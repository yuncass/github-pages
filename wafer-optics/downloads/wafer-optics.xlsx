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299ec5da8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계산기" sheetId="1" r:id="R672691e727974007"/>
    <x:sheet xmlns:r="http://schemas.openxmlformats.org/officeDocument/2006/relationships" name="계산 과정" sheetId="2" r:id="Rabc5216ff061423b"/>
    <x:sheet xmlns:r="http://schemas.openxmlformats.org/officeDocument/2006/relationships" name="광선 표본" sheetId="3" r:id="R71500447b4bc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"/>
    <x:numFmt numFmtId="201" formatCode="0.0"/>
    <x:numFmt numFmtId="202" formatCode="0.0000"/>
    <x:numFmt numFmtId="203" formatCode="0"/>
    <x:numFmt numFmtId="204" formatCode="0.0%"/>
    <x:numFmt numFmtId="205" formatCode="#,##0.0"/>
    <x:numFmt numFmtId="206" formatCode="#,##0.00"/>
  </x:numFmts>
  <x:fonts count="6">
    <x:font>
      <x:sz val="11"/>
      <x:name val="Carlito"/>
    </x:font>
    <x:font>
      <x:sz val="10"/>
      <x:color rgb="FF203247"/>
      <x:name val="Arial"/>
    </x:font>
    <x:font>
      <x:b/>
      <x:sz val="16"/>
      <x:color rgb="FF233B59"/>
      <x:name val="Arial"/>
    </x:font>
    <x:font>
      <x:b/>
      <x:sz val="10"/>
      <x:color rgb="FFFFFFFF"/>
      <x:name val="Arial"/>
    </x:font>
    <x:font>
      <x:sz val="10"/>
      <x:color rgb="FF245C9B"/>
      <x:name val="Arial"/>
    </x:font>
    <x:font>
      <x:i/>
      <x:sz val="10"/>
      <x:color rgb="FF6275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B59"/>
      </x:patternFill>
    </x:fill>
    <x:fill>
      <x:patternFill patternType="solid">
        <x:fgColor rgb="FFFFF2CC"/>
      </x:patternFill>
    </x:fill>
    <x:fill>
      <x:patternFill patternType="solid">
        <x:fgColor rgb="FFEDF3FA"/>
      </x:patternFill>
    </x:fill>
  </x:fills>
  <x:borders count="2">
    <x:border/>
    <x:border>
      <x:bottom style="thin">
        <x:color rgb="FFB5C4D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200" fontId="1" fillId="0" borderId="1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vertical="center" wrapText="0"/>
    </x:xf>
    <x:xf numFmtId="200" fontId="3" fillId="2" borderId="0" xfId="0" applyNumberFormat="1" applyFont="1" applyFill="1" applyBorder="1" applyAlignment="1">
      <x:alignment vertical="center" wrapText="0"/>
    </x:xf>
    <x:xf numFmtId="200" fontId="3" fillId="2" borderId="0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0" fontId="4" fillId="3" borderId="0" xfId="0" applyNumberFormat="1" applyFont="1" applyFill="1" applyBorder="1" applyAlignment="1">
      <x:alignment vertical="center" wrapText="0"/>
    </x:xf>
    <x:xf numFmtId="201" fontId="4" fillId="3" borderId="0" xfId="0" applyNumberFormat="1" applyFont="1" applyFill="1" applyBorder="1" applyAlignment="1">
      <x:alignment vertical="center" wrapText="0"/>
    </x:xf>
    <x:xf numFmtId="201" fontId="4" fillId="3" borderId="0" xfId="0" applyNumberFormat="1" applyFont="1" applyFill="1" applyBorder="1" applyAlignment="1">
      <x:alignment horizontal="right" vertical="center" wrapText="0"/>
    </x:xf>
    <x:xf numFmtId="202" fontId="4" fillId="3" borderId="0" xfId="0" applyNumberFormat="1" applyFont="1" applyFill="1" applyBorder="1" applyAlignment="1">
      <x:alignment vertical="center" wrapText="0"/>
    </x:xf>
    <x:xf numFmtId="202" fontId="4" fillId="3" borderId="0" xfId="0" applyNumberFormat="1" applyFont="1" applyFill="1" applyBorder="1" applyAlignment="1">
      <x:alignment horizontal="right" vertical="center" wrapText="0"/>
    </x:xf>
    <x:xf numFmtId="201" fontId="4" fillId="3" borderId="0" xfId="0" applyNumberFormat="1" applyFont="1" applyFill="1" applyBorder="1" applyAlignment="1">
      <x:alignment horizontal="left"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205" fontId="1" fillId="0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5" fontId="1" fillId="4" borderId="0" xfId="0" applyNumberFormat="1" applyFont="1" applyFill="1" applyBorder="1" applyAlignment="1">
      <x:alignment vertical="center" wrapText="0"/>
    </x:xf>
    <x:xf numFmtId="205" fontId="2" fillId="4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numFmt numFmtId="206" formatCode="#,##0.00"/>
    </x:dxf>
    <x:dxf>
      <x:numFmt numFmtId="200" formatCode="#,##0.000"/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9A5C00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8cde269954f80" /><Relationship Type="http://schemas.openxmlformats.org/officeDocument/2006/relationships/theme" Target="/xl/theme/theme1.xml" Id="R35185daf9cd847f6" /><Relationship Type="http://schemas.openxmlformats.org/officeDocument/2006/relationships/sharedStrings" Target="/xl/sharedStrings.xml" Id="R7aef7b16f22f4062" /><Relationship Type="http://schemas.openxmlformats.org/officeDocument/2006/relationships/worksheet" Target="/xl/worksheets/sheet1.xml" Id="R672691e727974007" /><Relationship Type="http://schemas.openxmlformats.org/officeDocument/2006/relationships/worksheet" Target="/xl/worksheets/sheet2.xml" Id="Rabc5216ff061423b" /><Relationship Type="http://schemas.openxmlformats.org/officeDocument/2006/relationships/worksheet" Target="/xl/worksheets/sheet3.xml" Id="R71500447b4bc40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853bb010894555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흡수판 위 반사 경계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반사 영역</c:v>
          </c:tx>
          <c:spPr>
            <a:solidFill>
              <a:srgbClr val="245C9B"/>
            </a:solidFill>
            <a:ln w="19050">
              <a:solidFill>
                <a:srgbClr val="245C9B"/>
              </a:solidFill>
              <a:prstDash val="solid"/>
            </a:ln>
          </c:spPr>
          <c:xVal>
            <c:numRef>
              <c:f>'광선 표본'!$W$6:$W$246</c:f>
              <c:numCache>
                <c:formatCode>0.000</c:formatCode>
                <c:ptCount val="241"/>
                <c:pt idx="0">
                  <c:v>204.7478582953745</c:v>
                </c:pt>
                <c:pt idx="1">
                  <c:v>204.66402047767784</c:v>
                </c:pt>
                <c:pt idx="2">
                  <c:v>204.41263166346582</c:v>
                </c:pt>
                <c:pt idx="3">
                  <c:v>203.9940653653922</c:v>
                </c:pt>
                <c:pt idx="4">
                  <c:v>203.40894276042303</c:v>
                </c:pt>
                <c:pt idx="5">
                  <c:v>202.6581306823082</c:v>
                </c:pt>
                <c:pt idx="6">
                  <c:v>201.7427388282632</c:v>
                </c:pt>
                <c:pt idx="7">
                  <c:v>200.66411619688358</c:v>
                </c:pt>
                <c:pt idx="8">
                  <c:v>199.42384677888708</c:v>
                </c:pt>
                <c:pt idx="9">
                  <c:v>198.02374452664685</c:v>
                </c:pt>
                <c:pt idx="10">
                  <c:v>196.46584763259557</c:v>
                </c:pt>
                <c:pt idx="11">
                  <c:v>194.75241215040992</c:v>
                </c:pt>
                <c:pt idx="12">
                  <c:v>192.88590499639682</c:v>
                </c:pt>
                <c:pt idx="13">
                  <c:v>190.86899637166346</c:v>
                </c:pt>
                <c:pt idx="14">
                  <c:v>188.7045516484446</c:v>
                </c:pt>
                <c:pt idx="15">
                  <c:v>186.39562276636028</c:v>
                </c:pt>
                <c:pt idx="16">
                  <c:v>183.94543918637115</c:v>
                </c:pt>
                <c:pt idx="17">
                  <c:v>181.35739845178003</c:v>
                </c:pt>
                <c:pt idx="18">
                  <c:v>178.63505640679193</c:v>
                </c:pt>
                <c:pt idx="19">
                  <c:v>175.78211712389432</c:v>
                </c:pt>
                <c:pt idx="20">
                  <c:v>172.80242259165445</c:v>
                </c:pt>
                <c:pt idx="21">
                  <c:v>169.69994221447155</c:v>
                </c:pt>
                <c:pt idx="22">
                  <c:v>166.4787621753749</c:v>
                </c:pt>
                <c:pt idx="23">
                  <c:v>163.14307471214659</c:v>
                </c:pt>
                <c:pt idx="24">
                  <c:v>159.69716735588977</c:v>
                </c:pt>
                <c:pt idx="25">
                  <c:v>156.14541217969028</c:v>
                </c:pt>
                <c:pt idx="26">
                  <c:v>152.49225510324786</c:v>
                </c:pt>
                <c:pt idx="27">
                  <c:v>148.74220529732403</c:v>
                </c:pt>
                <c:pt idx="28">
                  <c:v>144.89982472959008</c:v>
                </c:pt>
                <c:pt idx="29">
                  <c:v>140.9697178909937</c:v>
                </c:pt>
                <c:pt idx="30">
                  <c:v>136.95652173913035</c:v>
                </c:pt>
                <c:pt idx="31">
                  <c:v>132.8648958923368</c:v>
                </c:pt>
                <c:pt idx="32">
                  <c:v>128.69951310535131</c:v>
                </c:pt>
                <c:pt idx="33">
                  <c:v>124.46505005443657</c:v>
                </c:pt>
                <c:pt idx="34">
                  <c:v>120.16617845687286</c:v>
                </c:pt>
                <c:pt idx="35">
                  <c:v>115.807556546723</c:v>
                </c:pt>
                <c:pt idx="36">
                  <c:v>111.3938209257777</c:v>
                </c:pt>
                <c:pt idx="37">
                  <c:v>106.92957880563269</c:v>
                </c:pt>
                <c:pt idx="38">
                  <c:v>102.41940065395413</c:v>
                </c:pt>
                <c:pt idx="39">
                  <c:v>97.86781325517106</c:v>
                </c:pt>
                <c:pt idx="40">
                  <c:v>93.27929319311718</c:v>
                </c:pt>
                <c:pt idx="41">
                  <c:v>88.6582607605414</c:v>
                </c:pt>
                <c:pt idx="42">
                  <c:v>84.00907429793304</c:v>
                </c:pt>
                <c:pt idx="43">
                  <c:v>79.33602496177362</c:v>
                </c:pt>
                <c:pt idx="44">
                  <c:v>74.64333192014115</c:v>
                </c:pt>
                <c:pt idx="45">
                  <c:v>69.93513797156582</c:v>
                </c:pt>
                <c:pt idx="46">
                  <c:v>65.215505581166</c:v>
                </c:pt>
                <c:pt idx="47">
                  <c:v>60.48841332638962</c:v>
                </c:pt>
                <c:pt idx="48">
                  <c:v>55.75775274314674</c:v>
                </c:pt>
                <c:pt idx="49">
                  <c:v>51.027325561742586</c:v>
                </c:pt>
                <c:pt idx="50">
                  <c:v>46.30084132080779</c:v>
                </c:pt>
                <c:pt idx="51">
                  <c:v>41.58191534636739</c:v>
                </c:pt>
                <c:pt idx="52">
                  <c:v>36.874067082288384</c:v>
                </c:pt>
                <c:pt idx="53">
                  <c:v>32.180718757595685</c:v>
                </c:pt>
                <c:pt idx="54">
                  <c:v>27.505194375532298</c:v>
                </c:pt>
                <c:pt idx="55">
                  <c:v>22.850719008766976</c:v>
                </c:pt>
                <c:pt idx="56">
                  <c:v>18.220418384801423</c:v>
                </c:pt>
                <c:pt idx="57">
                  <c:v>13.617318745399377</c:v>
                </c:pt>
                <c:pt idx="58">
                  <c:v>9.04434696374078</c:v>
                </c:pt>
                <c:pt idx="59">
                  <c:v>4.5043309029847824</c:v>
                </c:pt>
                <c:pt idx="60">
                  <c:v>-6.515089900296377e-14</c:v>
                </c:pt>
                <c:pt idx="61">
                  <c:v>-4.466013941820602</c:v>
                </c:pt>
                <c:pt idx="62">
                  <c:v>-8.891175766506906</c:v>
                </c:pt>
                <c:pt idx="63">
                  <c:v>-13.27304580177101</c:v>
                </c:pt>
                <c:pt idx="64">
                  <c:v>-17.60927853276086</c:v>
                </c:pt>
                <c:pt idx="65">
                  <c:v>-21.897621128084708</c:v>
                </c:pt>
                <c:pt idx="66">
                  <c:v>-26.135911832422856</c:v>
                </c:pt>
                <c:pt idx="67">
                  <c:v>-30.322078239552365</c:v>
                </c:pt>
                <c:pt idx="68">
                  <c:v>-34.454135459087404</c:v>
                </c:pt>
                <c:pt idx="69">
                  <c:v>-38.53018418969018</c:v>
                </c:pt>
                <c:pt idx="70">
                  <c:v>-42.548408710944535</c:v>
                </c:pt>
                <c:pt idx="71">
                  <c:v>-46.50707480550503</c:v>
                </c:pt>
                <c:pt idx="72">
                  <c:v>-50.404527622550226</c:v>
                </c:pt>
                <c:pt idx="73">
                  <c:v>-54.23918949298071</c:v>
                </c:pt>
                <c:pt idx="74">
                  <c:v>-58.009557706212874</c:v>
                </c:pt>
                <c:pt idx="75">
                  <c:v>-61.71420225783832</c:v>
                </c:pt>
                <c:pt idx="76">
                  <c:v>-65.35176357684091</c:v>
                </c:pt>
                <c:pt idx="77">
                  <c:v>-68.92095024049881</c:v>
                </c:pt>
                <c:pt idx="78">
                  <c:v>-72.42053668454618</c:v>
                </c:pt>
                <c:pt idx="79">
                  <c:v>-75.8493609156304</c:v>
                </c:pt>
                <c:pt idx="80">
                  <c:v>-79.20632223258124</c:v>
                </c:pt>
                <c:pt idx="81">
                  <c:v>-82.4903789625035</c:v>
                </c:pt>
                <c:pt idx="82">
                  <c:v>-85.70054621722211</c:v>
                </c:pt>
                <c:pt idx="83">
                  <c:v>-88.83589367514651</c:v>
                </c:pt>
                <c:pt idx="84">
                  <c:v>-91.89554339317526</c:v>
                </c:pt>
                <c:pt idx="85">
                  <c:v>-94.87866765284733</c:v>
                </c:pt>
                <c:pt idx="86">
                  <c:v>-97.78448684454018</c:v>
                </c:pt>
                <c:pt idx="87">
                  <c:v>-100.61226739314506</c:v>
                </c:pt>
                <c:pt idx="88">
                  <c:v>-103.36131972828973</c:v>
                </c:pt>
                <c:pt idx="89">
                  <c:v>-106.03099630184947</c:v>
                </c:pt>
                <c:pt idx="90">
                  <c:v>-108.62068965517254</c:v>
                </c:pt>
                <c:pt idx="91">
                  <c:v>-111.12983053815921</c:v>
                </c:pt>
                <c:pt idx="92">
                  <c:v>-113.55788608206024</c:v>
                </c:pt>
                <c:pt idx="93">
                  <c:v>-115.90435802761395</c:v>
                </c:pt>
                <c:pt idx="94">
                  <c:v>-118.16878100990924</c:v>
                </c:pt>
                <c:pt idx="95">
                  <c:v>-120.35072090115126</c:v>
                </c:pt>
                <c:pt idx="96">
                  <c:v>-122.44977321231363</c:v>
                </c:pt>
                <c:pt idx="97">
                  <c:v>-124.46556155448471</c:v>
                </c:pt>
                <c:pt idx="98">
                  <c:v>-126.39773616055754</c:v>
                </c:pt>
                <c:pt idx="99">
                  <c:v>-128.24597246776875</c:v>
                </c:pt>
                <c:pt idx="100">
                  <c:v>-130.009969761466</c:v>
                </c:pt>
                <c:pt idx="101">
                  <c:v>-131.6894498803671</c:v>
                </c:pt>
                <c:pt idx="102">
                  <c:v>-133.28415598347752</c:v>
                </c:pt>
                <c:pt idx="103">
                  <c:v>-134.79385137874274</c:v>
                </c:pt>
                <c:pt idx="104">
                  <c:v>-136.21831841343976</c:v>
                </c:pt>
                <c:pt idx="105">
                  <c:v>-137.55735742624626</c:v>
                </c:pt>
                <c:pt idx="106">
                  <c:v>-138.81078576087492</c:v>
                </c:pt>
                <c:pt idx="107">
                  <c:v>-139.97843684111524</c:v>
                </c:pt>
                <c:pt idx="108">
                  <c:v>-141.06015930709313</c:v>
                </c:pt>
                <c:pt idx="109">
                  <c:v>-142.05581621253216</c:v>
                </c:pt>
                <c:pt idx="110">
                  <c:v>-142.9652842827827</c:v>
                </c:pt>
                <c:pt idx="111">
                  <c:v>-143.78845323337544</c:v>
                </c:pt>
                <c:pt idx="112">
                  <c:v>-144.5252251488516</c:v>
                </c:pt>
                <c:pt idx="113">
                  <c:v>-145.17551392162446</c:v>
                </c:pt>
                <c:pt idx="114">
                  <c:v>-145.73924475063393</c:v>
                </c:pt>
                <c:pt idx="115">
                  <c:v>-146.2163536995695</c:v>
                </c:pt>
                <c:pt idx="116">
                  <c:v>-146.60678731445208</c:v>
                </c:pt>
                <c:pt idx="117">
                  <c:v>-146.91050230038715</c:v>
                </c:pt>
                <c:pt idx="118">
                  <c:v>-147.1274652573238</c:v>
                </c:pt>
                <c:pt idx="119">
                  <c:v>-147.2576524746818</c:v>
                </c:pt>
                <c:pt idx="120">
                  <c:v>-147.30104978473645</c:v>
                </c:pt>
                <c:pt idx="121">
                  <c:v>-147.2576524746818</c:v>
                </c:pt>
                <c:pt idx="122">
                  <c:v>-147.1274652573238</c:v>
                </c:pt>
                <c:pt idx="123">
                  <c:v>-146.91050230038715</c:v>
                </c:pt>
                <c:pt idx="124">
                  <c:v>-146.60678731445208</c:v>
                </c:pt>
                <c:pt idx="125">
                  <c:v>-146.2163536995695</c:v>
                </c:pt>
                <c:pt idx="126">
                  <c:v>-145.73924475063396</c:v>
                </c:pt>
                <c:pt idx="127">
                  <c:v>-145.17551392162449</c:v>
                </c:pt>
                <c:pt idx="128">
                  <c:v>-144.5252251488516</c:v>
                </c:pt>
                <c:pt idx="129">
                  <c:v>-143.78845323337544</c:v>
                </c:pt>
                <c:pt idx="130">
                  <c:v>-142.9652842827827</c:v>
                </c:pt>
                <c:pt idx="131">
                  <c:v>-142.05581621253216</c:v>
                </c:pt>
                <c:pt idx="132">
                  <c:v>-141.06015930709316</c:v>
                </c:pt>
                <c:pt idx="133">
                  <c:v>-139.97843684111524</c:v>
                </c:pt>
                <c:pt idx="134">
                  <c:v>-138.81078576087495</c:v>
                </c:pt>
                <c:pt idx="135">
                  <c:v>-137.55735742624628</c:v>
                </c:pt>
                <c:pt idx="136">
                  <c:v>-136.21831841343976</c:v>
                </c:pt>
                <c:pt idx="137">
                  <c:v>-134.79385137874277</c:v>
                </c:pt>
                <c:pt idx="138">
                  <c:v>-133.28415598347758</c:v>
                </c:pt>
                <c:pt idx="139">
                  <c:v>-131.6894498803671</c:v>
                </c:pt>
                <c:pt idx="140">
                  <c:v>-130.00996976146607</c:v>
                </c:pt>
                <c:pt idx="141">
                  <c:v>-128.24597246776878</c:v>
                </c:pt>
                <c:pt idx="142">
                  <c:v>-126.39773616055756</c:v>
                </c:pt>
                <c:pt idx="143">
                  <c:v>-124.46556155448474</c:v>
                </c:pt>
                <c:pt idx="144">
                  <c:v>-122.44977321231363</c:v>
                </c:pt>
                <c:pt idx="145">
                  <c:v>-120.35072090115128</c:v>
                </c:pt>
                <c:pt idx="146">
                  <c:v>-118.16878100990927</c:v>
                </c:pt>
                <c:pt idx="147">
                  <c:v>-115.90435802761398</c:v>
                </c:pt>
                <c:pt idx="148">
                  <c:v>-113.55788608206026</c:v>
                </c:pt>
                <c:pt idx="149">
                  <c:v>-111.12983053815924</c:v>
                </c:pt>
                <c:pt idx="150">
                  <c:v>-108.62068965517255</c:v>
                </c:pt>
                <c:pt idx="151">
                  <c:v>-106.0309963018495</c:v>
                </c:pt>
                <c:pt idx="152">
                  <c:v>-103.36131972828981</c:v>
                </c:pt>
                <c:pt idx="153">
                  <c:v>-100.61226739314505</c:v>
                </c:pt>
                <c:pt idx="154">
                  <c:v>-97.78448684454025</c:v>
                </c:pt>
                <c:pt idx="155">
                  <c:v>-94.87866765284737</c:v>
                </c:pt>
                <c:pt idx="156">
                  <c:v>-91.89554339317527</c:v>
                </c:pt>
                <c:pt idx="157">
                  <c:v>-88.83589367514648</c:v>
                </c:pt>
                <c:pt idx="158">
                  <c:v>-85.70054621722217</c:v>
                </c:pt>
                <c:pt idx="159">
                  <c:v>-82.49037896250346</c:v>
                </c:pt>
                <c:pt idx="160">
                  <c:v>-79.20632223258134</c:v>
                </c:pt>
                <c:pt idx="161">
                  <c:v>-75.84936091563046</c:v>
                </c:pt>
                <c:pt idx="162">
                  <c:v>-72.4205366845462</c:v>
                </c:pt>
                <c:pt idx="163">
                  <c:v>-68.92095024049883</c:v>
                </c:pt>
                <c:pt idx="164">
                  <c:v>-65.35176357684102</c:v>
                </c:pt>
                <c:pt idx="165">
                  <c:v>-61.71420225783843</c:v>
                </c:pt>
                <c:pt idx="166">
                  <c:v>-58.00955770621283</c:v>
                </c:pt>
                <c:pt idx="167">
                  <c:v>-54.23918949298064</c:v>
                </c:pt>
                <c:pt idx="168">
                  <c:v>-50.40452762255027</c:v>
                </c:pt>
                <c:pt idx="169">
                  <c:v>-46.50707480550503</c:v>
                </c:pt>
                <c:pt idx="170">
                  <c:v>-42.548408710944535</c:v>
                </c:pt>
                <c:pt idx="171">
                  <c:v>-38.53018418969028</c:v>
                </c:pt>
                <c:pt idx="172">
                  <c:v>-34.454135459087475</c:v>
                </c:pt>
                <c:pt idx="173">
                  <c:v>-30.322078239552443</c:v>
                </c:pt>
                <c:pt idx="174">
                  <c:v>-26.135911832422895</c:v>
                </c:pt>
                <c:pt idx="175">
                  <c:v>-21.89762112808489</c:v>
                </c:pt>
                <c:pt idx="176">
                  <c:v>-17.609278532761014</c:v>
                </c:pt>
                <c:pt idx="177">
                  <c:v>-13.27304580177098</c:v>
                </c:pt>
                <c:pt idx="178">
                  <c:v>-8.891175766506873</c:v>
                </c:pt>
                <c:pt idx="179">
                  <c:v>-4.466013941820681</c:v>
                </c:pt>
                <c:pt idx="180">
                  <c:v>-1.4516100976555992e-13</c:v>
                </c:pt>
                <c:pt idx="181">
                  <c:v>4.504330902984778</c:v>
                </c:pt>
                <c:pt idx="182">
                  <c:v>9.044346963740816</c:v>
                </c:pt>
                <c:pt idx="183">
                  <c:v>13.617318745399256</c:v>
                </c:pt>
                <c:pt idx="184">
                  <c:v>18.22041838480134</c:v>
                </c:pt>
                <c:pt idx="185">
                  <c:v>22.850719008766937</c:v>
                </c:pt>
                <c:pt idx="186">
                  <c:v>27.50519437553226</c:v>
                </c:pt>
                <c:pt idx="187">
                  <c:v>32.18071875759568</c:v>
                </c:pt>
                <c:pt idx="188">
                  <c:v>36.87406708228841</c:v>
                </c:pt>
                <c:pt idx="189">
                  <c:v>41.581915346367424</c:v>
                </c:pt>
                <c:pt idx="190">
                  <c:v>46.30084132080787</c:v>
                </c:pt>
                <c:pt idx="191">
                  <c:v>51.027325561742494</c:v>
                </c:pt>
                <c:pt idx="192">
                  <c:v>55.75775274314669</c:v>
                </c:pt>
                <c:pt idx="193">
                  <c:v>60.48841332638962</c:v>
                </c:pt>
                <c:pt idx="194">
                  <c:v>65.21550558116584</c:v>
                </c:pt>
                <c:pt idx="195">
                  <c:v>69.9351379715657</c:v>
                </c:pt>
                <c:pt idx="196">
                  <c:v>74.64333192014104</c:v>
                </c:pt>
                <c:pt idx="197">
                  <c:v>79.33602496177355</c:v>
                </c:pt>
                <c:pt idx="198">
                  <c:v>84.009074297933</c:v>
                </c:pt>
                <c:pt idx="199">
                  <c:v>88.65826076054135</c:v>
                </c:pt>
                <c:pt idx="200">
                  <c:v>93.27929319311718</c:v>
                </c:pt>
                <c:pt idx="201">
                  <c:v>97.86781325517109</c:v>
                </c:pt>
                <c:pt idx="202">
                  <c:v>102.41940065395401</c:v>
                </c:pt>
                <c:pt idx="203">
                  <c:v>106.9295788056326</c:v>
                </c:pt>
                <c:pt idx="204">
                  <c:v>111.39382092577766</c:v>
                </c:pt>
                <c:pt idx="205">
                  <c:v>115.807556546723</c:v>
                </c:pt>
                <c:pt idx="206">
                  <c:v>120.16617845687271</c:v>
                </c:pt>
                <c:pt idx="207">
                  <c:v>124.46505005443647</c:v>
                </c:pt>
                <c:pt idx="208">
                  <c:v>128.69951310535137</c:v>
                </c:pt>
                <c:pt idx="209">
                  <c:v>132.8648958923369</c:v>
                </c:pt>
                <c:pt idx="210">
                  <c:v>136.9565217391303</c:v>
                </c:pt>
                <c:pt idx="211">
                  <c:v>140.9697178909937</c:v>
                </c:pt>
                <c:pt idx="212">
                  <c:v>144.89982472959008</c:v>
                </c:pt>
                <c:pt idx="213">
                  <c:v>148.74220529732403</c:v>
                </c:pt>
                <c:pt idx="214">
                  <c:v>152.4922551032478</c:v>
                </c:pt>
                <c:pt idx="215">
                  <c:v>156.14541217969028</c:v>
                </c:pt>
                <c:pt idx="216">
                  <c:v>159.69716735588977</c:v>
                </c:pt>
                <c:pt idx="217">
                  <c:v>163.14307471214644</c:v>
                </c:pt>
                <c:pt idx="218">
                  <c:v>166.4787621753748</c:v>
                </c:pt>
                <c:pt idx="219">
                  <c:v>169.69994221447155</c:v>
                </c:pt>
                <c:pt idx="220">
                  <c:v>172.8024225916545</c:v>
                </c:pt>
                <c:pt idx="221">
                  <c:v>175.78211712389427</c:v>
                </c:pt>
                <c:pt idx="222">
                  <c:v>178.63505640679188</c:v>
                </c:pt>
                <c:pt idx="223">
                  <c:v>181.35739845178003</c:v>
                </c:pt>
                <c:pt idx="224">
                  <c:v>183.9454391863712</c:v>
                </c:pt>
                <c:pt idx="225">
                  <c:v>186.39562276636025</c:v>
                </c:pt>
                <c:pt idx="226">
                  <c:v>188.70455164844452</c:v>
                </c:pt>
                <c:pt idx="227">
                  <c:v>190.86899637166346</c:v>
                </c:pt>
                <c:pt idx="228">
                  <c:v>192.88590499639682</c:v>
                </c:pt>
                <c:pt idx="229">
                  <c:v>194.75241215040987</c:v>
                </c:pt>
                <c:pt idx="230">
                  <c:v>196.46584763259557</c:v>
                </c:pt>
                <c:pt idx="231">
                  <c:v>198.02374452664685</c:v>
                </c:pt>
                <c:pt idx="232">
                  <c:v>199.42384677888708</c:v>
                </c:pt>
                <c:pt idx="233">
                  <c:v>200.66411619688353</c:v>
                </c:pt>
                <c:pt idx="234">
                  <c:v>201.74273882826319</c:v>
                </c:pt>
                <c:pt idx="235">
                  <c:v>202.6581306823082</c:v>
                </c:pt>
                <c:pt idx="236">
                  <c:v>203.40894276042303</c:v>
                </c:pt>
                <c:pt idx="237">
                  <c:v>203.9940653653922</c:v>
                </c:pt>
                <c:pt idx="238">
                  <c:v>204.41263166346582</c:v>
                </c:pt>
                <c:pt idx="239">
                  <c:v>204.66402047767784</c:v>
                </c:pt>
                <c:pt idx="240">
                  <c:v>204.7478582953745</c:v>
                </c:pt>
              </c:numCache>
            </c:numRef>
          </c:xVal>
          <c:yVal>
            <c:numRef>
              <c:f>'광선 표본'!$X$6:$X$246</c:f>
              <c:numCache>
                <c:formatCode>0.000</c:formatCode>
                <c:ptCount val="241"/>
                <c:pt idx="0">
                  <c:v>0</c:v>
                </c:pt>
                <c:pt idx="1">
                  <c:v>7.579217355644417</c:v>
                </c:pt>
                <c:pt idx="2">
                  <c:v>15.150204138769652</c:v>
                </c:pt>
                <c:pt idx="3">
                  <c:v>22.704747788458334</c:v>
                </c:pt>
                <c:pt idx="4">
                  <c:v>30.234671684464896</c:v>
                </c:pt>
                <c:pt idx="5">
                  <c:v>37.73185291187295</c:v>
                </c:pt>
                <c:pt idx="6">
                  <c:v>45.188239780752184</c:v>
                </c:pt>
                <c:pt idx="7">
                  <c:v>52.595869022148754</c:v>
                </c:pt>
                <c:pt idx="8">
                  <c:v>59.94688258426788</c:v>
                </c:pt>
                <c:pt idx="9">
                  <c:v>67.23354395580752</c:v>
                </c:pt>
                <c:pt idx="10">
                  <c:v>74.4482539470398</c:v>
                </c:pt>
                <c:pt idx="11">
                  <c:v>81.58356586337025</c:v>
                </c:pt>
                <c:pt idx="12">
                  <c:v>88.63220001068608</c:v>
                </c:pt>
                <c:pt idx="13">
                  <c:v>95.5870574767815</c:v>
                </c:pt>
                <c:pt idx="14">
                  <c:v>102.44123313846545</c:v>
                </c:pt>
                <c:pt idx="15">
                  <c:v>109.18802784955464</c:v>
                </c:pt>
                <c:pt idx="16">
                  <c:v>115.82095977077503</c:v>
                </c:pt>
                <c:pt idx="17">
                  <c:v>122.3337748085734</c:v>
                </c:pt>
                <c:pt idx="18">
                  <c:v>128.72045613591825</c:v>
                </c:pt>
                <c:pt idx="19">
                  <c:v>134.97523277428513</c:v>
                </c:pt>
                <c:pt idx="20">
                  <c:v>141.09258722211396</c:v>
                </c:pt>
                <c:pt idx="21">
                  <c:v>147.0672621210432</c:v>
                </c:pt>
                <c:pt idx="22">
                  <c:v>152.89426595710862</c:v>
                </c:pt>
                <c:pt idx="23">
                  <c:v>158.56887779979883</c:v>
                </c:pt>
                <c:pt idx="24">
                  <c:v>164.08665108733194</c:v>
                </c:pt>
                <c:pt idx="25">
                  <c:v>169.44341647172783</c:v>
                </c:pt>
                <c:pt idx="26">
                  <c:v>174.63528374214852</c:v>
                </c:pt>
                <c:pt idx="27">
                  <c:v>179.65864284954634</c:v>
                </c:pt>
                <c:pt idx="28">
                  <c:v>184.51016405986246</c:v>
                </c:pt>
                <c:pt idx="29">
                  <c:v>189.18679726683808</c:v>
                </c:pt>
                <c:pt idx="30">
                  <c:v>193.68577049892386</c:v>
                </c:pt>
                <c:pt idx="31">
                  <c:v>198.00458765778893</c:v>
                </c:pt>
                <c:pt idx="32">
                  <c:v>202.1410255285306</c:v>
                </c:pt>
                <c:pt idx="33">
                  <c:v>206.09313010387672</c:v>
                </c:pt>
                <c:pt idx="34">
                  <c:v>209.85921226645291</c:v>
                </c:pt>
                <c:pt idx="35">
                  <c:v>213.43784287456288</c:v>
                </c:pt>
                <c:pt idx="36">
                  <c:v>216.82784729792508</c:v>
                </c:pt>
                <c:pt idx="37">
                  <c:v>220.02829945042157</c:v>
                </c:pt>
                <c:pt idx="38">
                  <c:v>223.0385153671793</c:v>
                </c:pt>
                <c:pt idx="39">
                  <c:v>225.85804637322954</c:v>
                </c:pt>
                <c:pt idx="40">
                  <c:v>228.48667189060546</c:v>
                </c:pt>
                <c:pt idx="41">
                  <c:v>230.9243919300633</c:v>
                </c:pt>
                <c:pt idx="42">
                  <c:v>233.17141931267764</c:v>
                </c:pt>
                <c:pt idx="43">
                  <c:v>235.22817166538397</c:v>
                </c:pt>
                <c:pt idx="44">
                  <c:v>237.09526323315805</c:v>
                </c:pt>
                <c:pt idx="45">
                  <c:v>238.77349654895394</c:v>
                </c:pt>
                <c:pt idx="46">
                  <c:v>240.26385400079022</c:v>
                </c:pt>
                <c:pt idx="47">
                  <c:v>241.56748933351741</c:v>
                </c:pt>
                <c:pt idx="48">
                  <c:v>242.68571912082808</c:v>
                </c:pt>
                <c:pt idx="49">
                  <c:v>243.62001424101823</c:v>
                </c:pt>
                <c:pt idx="50">
                  <c:v>244.3719913878928</c:v>
                </c:pt>
                <c:pt idx="51">
                  <c:v>244.94340464605173</c:v>
                </c:pt>
                <c:pt idx="52">
                  <c:v>245.33613715761552</c:v>
                </c:pt>
                <c:pt idx="53">
                  <c:v>245.55219290526782</c:v>
                </c:pt>
                <c:pt idx="54">
                  <c:v>245.59368863432562</c:v>
                </c:pt>
                <c:pt idx="55">
                  <c:v>245.4628459344092</c:v>
                </c:pt>
                <c:pt idx="56">
                  <c:v>245.1619834991868</c:v>
                </c:pt>
                <c:pt idx="57">
                  <c:v>244.69350958062515</c:v>
                </c:pt>
                <c:pt idx="58">
                  <c:v>244.05991465219893</c:v>
                </c:pt>
                <c:pt idx="59">
                  <c:v>243.2637642936041</c:v>
                </c:pt>
                <c:pt idx="60">
                  <c:v>242.30769230769232</c:v>
                </c:pt>
                <c:pt idx="61">
                  <c:v>241.19439407860418</c:v>
                </c:pt>
                <c:pt idx="62">
                  <c:v>239.92662017842494</c:v>
                </c:pt>
                <c:pt idx="63">
                  <c:v>238.50717022813043</c:v>
                </c:pt>
                <c:pt idx="64">
                  <c:v>236.93888701712723</c:v>
                </c:pt>
                <c:pt idx="65">
                  <c:v>235.2246508843271</c:v>
                </c:pt>
                <c:pt idx="66">
                  <c:v>233.36737436242805</c:v>
                </c:pt>
                <c:pt idx="67">
                  <c:v>231.3699970859018</c:v>
                </c:pt>
                <c:pt idx="68">
                  <c:v>229.23548096211513</c:v>
                </c:pt>
                <c:pt idx="69">
                  <c:v>226.96680560402856</c:v>
                </c:pt>
                <c:pt idx="70">
                  <c:v>224.56696402202718</c:v>
                </c:pt>
                <c:pt idx="71">
                  <c:v>222.03895857163687</c:v>
                </c:pt>
                <c:pt idx="72">
                  <c:v>219.3857971531629</c:v>
                </c:pt>
                <c:pt idx="73">
                  <c:v>216.61048965865223</c:v>
                </c:pt>
                <c:pt idx="74">
                  <c:v>213.71604466102653</c:v>
                </c:pt>
                <c:pt idx="75">
                  <c:v>210.7054663397475</c:v>
                </c:pt>
                <c:pt idx="76">
                  <c:v>207.58175163696345</c:v>
                </c:pt>
                <c:pt idx="77">
                  <c:v>204.3478876377394</c:v>
                </c:pt>
                <c:pt idx="78">
                  <c:v>201.0068491676845</c:v>
                </c:pt>
                <c:pt idx="79">
                  <c:v>197.56159660106172</c:v>
                </c:pt>
                <c:pt idx="80">
                  <c:v>194.01507387228673</c:v>
                </c:pt>
                <c:pt idx="81">
                  <c:v>190.3702066835946</c:v>
                </c:pt>
                <c:pt idx="82">
                  <c:v>186.6299009015688</c:v>
                </c:pt>
                <c:pt idx="83">
                  <c:v>182.79704113518167</c:v>
                </c:pt>
                <c:pt idx="84">
                  <c:v>178.87448948799135</c:v>
                </c:pt>
                <c:pt idx="85">
                  <c:v>174.86508447716045</c:v>
                </c:pt>
                <c:pt idx="86">
                  <c:v>170.7716401120253</c:v>
                </c:pt>
                <c:pt idx="87">
                  <c:v>166.59694512501684</c:v>
                </c:pt>
                <c:pt idx="88">
                  <c:v>162.34376234784722</c:v>
                </c:pt>
                <c:pt idx="89">
                  <c:v>158.01482822599422</c:v>
                </c:pt>
                <c:pt idx="90">
                  <c:v>153.61285246466377</c:v>
                </c:pt>
                <c:pt idx="91">
                  <c:v>149.1405177995604</c:v>
                </c:pt>
                <c:pt idx="92">
                  <c:v>144.60047988597282</c:v>
                </c:pt>
                <c:pt idx="93">
                  <c:v>139.995367299853</c:v>
                </c:pt>
                <c:pt idx="94">
                  <c:v>135.32778164475937</c:v>
                </c:pt>
                <c:pt idx="95">
                  <c:v>130.60029775872508</c:v>
                </c:pt>
                <c:pt idx="96">
                  <c:v>125.81546401530947</c:v>
                </c:pt>
                <c:pt idx="97">
                  <c:v>120.97580271329144</c:v>
                </c:pt>
                <c:pt idx="98">
                  <c:v>116.08381054966353</c:v>
                </c:pt>
                <c:pt idx="99">
                  <c:v>111.14195917078526</c:v>
                </c:pt>
                <c:pt idx="100">
                  <c:v>106.15269579675392</c:v>
                </c:pt>
                <c:pt idx="101">
                  <c:v>101.1184439142469</c:v>
                </c:pt>
                <c:pt idx="102">
                  <c:v>96.04160403328191</c:v>
                </c:pt>
                <c:pt idx="103">
                  <c:v>90.92455450353079</c:v>
                </c:pt>
                <c:pt idx="104">
                  <c:v>85.76965238600242</c:v>
                </c:pt>
                <c:pt idx="105">
                  <c:v>80.57923437609162</c:v>
                </c:pt>
                <c:pt idx="106">
                  <c:v>75.35561777415428</c:v>
                </c:pt>
                <c:pt idx="107">
                  <c:v>70.10110149994023</c:v>
                </c:pt>
                <c:pt idx="108">
                  <c:v>64.81796714736132</c:v>
                </c:pt>
                <c:pt idx="109">
                  <c:v>59.508480076227634</c:v>
                </c:pt>
                <c:pt idx="110">
                  <c:v>54.174890537715335</c:v>
                </c:pt>
                <c:pt idx="111">
                  <c:v>48.81943483046716</c:v>
                </c:pt>
                <c:pt idx="112">
                  <c:v>43.4443364843382</c:v>
                </c:pt>
                <c:pt idx="113">
                  <c:v>38.05180746892045</c:v>
                </c:pt>
                <c:pt idx="114">
                  <c:v>32.644049424071504</c:v>
                </c:pt>
                <c:pt idx="115">
                  <c:v>27.223254909772873</c:v>
                </c:pt>
                <c:pt idx="116">
                  <c:v>21.791608672718905</c:v>
                </c:pt>
                <c:pt idx="117">
                  <c:v>16.351288927113565</c:v>
                </c:pt>
                <c:pt idx="118">
                  <c:v>10.904468647211186</c:v>
                </c:pt>
                <c:pt idx="119">
                  <c:v>5.453316869191975</c:v>
                </c:pt>
                <c:pt idx="120">
                  <c:v>1.1802175419947476e-13</c:v>
                </c:pt>
                <c:pt idx="121">
                  <c:v>-5.453316869191926</c:v>
                </c:pt>
                <c:pt idx="122">
                  <c:v>-10.904468647211136</c:v>
                </c:pt>
                <c:pt idx="123">
                  <c:v>-16.351288927113515</c:v>
                </c:pt>
                <c:pt idx="124">
                  <c:v>-21.79160867271886</c:v>
                </c:pt>
                <c:pt idx="125">
                  <c:v>-27.22325490977282</c:v>
                </c:pt>
                <c:pt idx="126">
                  <c:v>-32.64404942407145</c:v>
                </c:pt>
                <c:pt idx="127">
                  <c:v>-38.0518074689204</c:v>
                </c:pt>
                <c:pt idx="128">
                  <c:v>-43.44433648433815</c:v>
                </c:pt>
                <c:pt idx="129">
                  <c:v>-48.81943483046711</c:v>
                </c:pt>
                <c:pt idx="130">
                  <c:v>-54.174890537715285</c:v>
                </c:pt>
                <c:pt idx="131">
                  <c:v>-59.508480076227585</c:v>
                </c:pt>
                <c:pt idx="132">
                  <c:v>-64.81796714736127</c:v>
                </c:pt>
                <c:pt idx="133">
                  <c:v>-70.10110149994017</c:v>
                </c:pt>
                <c:pt idx="134">
                  <c:v>-75.35561777415423</c:v>
                </c:pt>
                <c:pt idx="135">
                  <c:v>-80.57923437609158</c:v>
                </c:pt>
                <c:pt idx="136">
                  <c:v>-85.76965238600246</c:v>
                </c:pt>
                <c:pt idx="137">
                  <c:v>-90.92455450353076</c:v>
                </c:pt>
                <c:pt idx="138">
                  <c:v>-96.04160403328184</c:v>
                </c:pt>
                <c:pt idx="139">
                  <c:v>-101.11844391424687</c:v>
                </c:pt>
                <c:pt idx="140">
                  <c:v>-106.15269579675389</c:v>
                </c:pt>
                <c:pt idx="141">
                  <c:v>-111.14195917078521</c:v>
                </c:pt>
                <c:pt idx="142">
                  <c:v>-116.0838105496635</c:v>
                </c:pt>
                <c:pt idx="143">
                  <c:v>-120.9758027132914</c:v>
                </c:pt>
                <c:pt idx="144">
                  <c:v>-125.81546401530943</c:v>
                </c:pt>
                <c:pt idx="145">
                  <c:v>-130.60029775872505</c:v>
                </c:pt>
                <c:pt idx="146">
                  <c:v>-135.32778164475934</c:v>
                </c:pt>
                <c:pt idx="147">
                  <c:v>-139.99536729985294</c:v>
                </c:pt>
                <c:pt idx="148">
                  <c:v>-144.6004798859728</c:v>
                </c:pt>
                <c:pt idx="149">
                  <c:v>-149.14051779956037</c:v>
                </c:pt>
                <c:pt idx="150">
                  <c:v>-153.61285246466375</c:v>
                </c:pt>
                <c:pt idx="151">
                  <c:v>-158.0148282259942</c:v>
                </c:pt>
                <c:pt idx="152">
                  <c:v>-162.3437623478471</c:v>
                </c:pt>
                <c:pt idx="153">
                  <c:v>-166.5969451250169</c:v>
                </c:pt>
                <c:pt idx="154">
                  <c:v>-170.77164011202518</c:v>
                </c:pt>
                <c:pt idx="155">
                  <c:v>-174.86508447716042</c:v>
                </c:pt>
                <c:pt idx="156">
                  <c:v>-178.8744894879913</c:v>
                </c:pt>
                <c:pt idx="157">
                  <c:v>-182.79704113518173</c:v>
                </c:pt>
                <c:pt idx="158">
                  <c:v>-186.62990090156876</c:v>
                </c:pt>
                <c:pt idx="159">
                  <c:v>-190.37020668359466</c:v>
                </c:pt>
                <c:pt idx="160">
                  <c:v>-194.01507387228665</c:v>
                </c:pt>
                <c:pt idx="161">
                  <c:v>-197.56159660106172</c:v>
                </c:pt>
                <c:pt idx="162">
                  <c:v>-201.00684916768444</c:v>
                </c:pt>
                <c:pt idx="163">
                  <c:v>-204.34788763773938</c:v>
                </c:pt>
                <c:pt idx="164">
                  <c:v>-207.58175163696333</c:v>
                </c:pt>
                <c:pt idx="165">
                  <c:v>-210.70546633974746</c:v>
                </c:pt>
                <c:pt idx="166">
                  <c:v>-213.71604466102661</c:v>
                </c:pt>
                <c:pt idx="167">
                  <c:v>-216.61048965865228</c:v>
                </c:pt>
                <c:pt idx="168">
                  <c:v>-219.38579715316288</c:v>
                </c:pt>
                <c:pt idx="169">
                  <c:v>-222.03895857163687</c:v>
                </c:pt>
                <c:pt idx="170">
                  <c:v>-224.56696402202718</c:v>
                </c:pt>
                <c:pt idx="171">
                  <c:v>-226.96680560402848</c:v>
                </c:pt>
                <c:pt idx="172">
                  <c:v>-229.23548096211508</c:v>
                </c:pt>
                <c:pt idx="173">
                  <c:v>-231.36999708590173</c:v>
                </c:pt>
                <c:pt idx="174">
                  <c:v>-233.36737436242802</c:v>
                </c:pt>
                <c:pt idx="175">
                  <c:v>-235.22465088432702</c:v>
                </c:pt>
                <c:pt idx="176">
                  <c:v>-236.93888701712717</c:v>
                </c:pt>
                <c:pt idx="177">
                  <c:v>-238.50717022813046</c:v>
                </c:pt>
                <c:pt idx="178">
                  <c:v>-239.92662017842497</c:v>
                </c:pt>
                <c:pt idx="179">
                  <c:v>-241.19439407860418</c:v>
                </c:pt>
                <c:pt idx="180">
                  <c:v>-242.30769230769232</c:v>
                </c:pt>
                <c:pt idx="181">
                  <c:v>-243.2637642936041</c:v>
                </c:pt>
                <c:pt idx="182">
                  <c:v>-244.05991465219893</c:v>
                </c:pt>
                <c:pt idx="183">
                  <c:v>-244.6935095806251</c:v>
                </c:pt>
                <c:pt idx="184">
                  <c:v>-245.1619834991868</c:v>
                </c:pt>
                <c:pt idx="185">
                  <c:v>-245.4628459344092</c:v>
                </c:pt>
                <c:pt idx="186">
                  <c:v>-245.59368863432562</c:v>
                </c:pt>
                <c:pt idx="187">
                  <c:v>-245.55219290526782</c:v>
                </c:pt>
                <c:pt idx="188">
                  <c:v>-245.33613715761547</c:v>
                </c:pt>
                <c:pt idx="189">
                  <c:v>-244.94340464605173</c:v>
                </c:pt>
                <c:pt idx="190">
                  <c:v>-244.37199138789282</c:v>
                </c:pt>
                <c:pt idx="191">
                  <c:v>-243.62001424101825</c:v>
                </c:pt>
                <c:pt idx="192">
                  <c:v>-242.68571912082814</c:v>
                </c:pt>
                <c:pt idx="193">
                  <c:v>-241.56748933351741</c:v>
                </c:pt>
                <c:pt idx="194">
                  <c:v>-240.26385400079027</c:v>
                </c:pt>
                <c:pt idx="195">
                  <c:v>-238.77349654895394</c:v>
                </c:pt>
                <c:pt idx="196">
                  <c:v>-237.09526323315808</c:v>
                </c:pt>
                <c:pt idx="197">
                  <c:v>-235.22817166538397</c:v>
                </c:pt>
                <c:pt idx="198">
                  <c:v>-233.17141931267767</c:v>
                </c:pt>
                <c:pt idx="199">
                  <c:v>-230.9243919300633</c:v>
                </c:pt>
                <c:pt idx="200">
                  <c:v>-228.48667189060546</c:v>
                </c:pt>
                <c:pt idx="201">
                  <c:v>-225.85804637322954</c:v>
                </c:pt>
                <c:pt idx="202">
                  <c:v>-223.03851536717931</c:v>
                </c:pt>
                <c:pt idx="203">
                  <c:v>-220.0282994504216</c:v>
                </c:pt>
                <c:pt idx="204">
                  <c:v>-216.8278472979251</c:v>
                </c:pt>
                <c:pt idx="205">
                  <c:v>-213.43784287456288</c:v>
                </c:pt>
                <c:pt idx="206">
                  <c:v>-209.859212266453</c:v>
                </c:pt>
                <c:pt idx="207">
                  <c:v>-206.09313010387686</c:v>
                </c:pt>
                <c:pt idx="208">
                  <c:v>-202.14102552853055</c:v>
                </c:pt>
                <c:pt idx="209">
                  <c:v>-198.00458765778893</c:v>
                </c:pt>
                <c:pt idx="210">
                  <c:v>-193.68577049892394</c:v>
                </c:pt>
                <c:pt idx="211">
                  <c:v>-189.18679726683808</c:v>
                </c:pt>
                <c:pt idx="212">
                  <c:v>-184.51016405986243</c:v>
                </c:pt>
                <c:pt idx="213">
                  <c:v>-179.65864284954628</c:v>
                </c:pt>
                <c:pt idx="214">
                  <c:v>-174.6352837421486</c:v>
                </c:pt>
                <c:pt idx="215">
                  <c:v>-169.44341647172791</c:v>
                </c:pt>
                <c:pt idx="216">
                  <c:v>-164.086651087332</c:v>
                </c:pt>
                <c:pt idx="217">
                  <c:v>-158.568877799799</c:v>
                </c:pt>
                <c:pt idx="218">
                  <c:v>-152.89426595710881</c:v>
                </c:pt>
                <c:pt idx="219">
                  <c:v>-147.06726212104317</c:v>
                </c:pt>
                <c:pt idx="220">
                  <c:v>-141.09258722211388</c:v>
                </c:pt>
                <c:pt idx="221">
                  <c:v>-134.9752327742852</c:v>
                </c:pt>
                <c:pt idx="222">
                  <c:v>-128.7204561359183</c:v>
                </c:pt>
                <c:pt idx="223">
                  <c:v>-122.33377480857342</c:v>
                </c:pt>
                <c:pt idx="224">
                  <c:v>-115.82095977077506</c:v>
                </c:pt>
                <c:pt idx="225">
                  <c:v>-109.18802784955484</c:v>
                </c:pt>
                <c:pt idx="226">
                  <c:v>-102.44123313846558</c:v>
                </c:pt>
                <c:pt idx="227">
                  <c:v>-95.58705747678161</c:v>
                </c:pt>
                <c:pt idx="228">
                  <c:v>-88.63220001068613</c:v>
                </c:pt>
                <c:pt idx="229">
                  <c:v>-81.58356586337054</c:v>
                </c:pt>
                <c:pt idx="230">
                  <c:v>-74.44825394703979</c:v>
                </c:pt>
                <c:pt idx="231">
                  <c:v>-67.23354395580746</c:v>
                </c:pt>
                <c:pt idx="232">
                  <c:v>-59.94688258426778</c:v>
                </c:pt>
                <c:pt idx="233">
                  <c:v>-52.59586902214886</c:v>
                </c:pt>
                <c:pt idx="234">
                  <c:v>-45.18823978075226</c:v>
                </c:pt>
                <c:pt idx="235">
                  <c:v>-37.73185291187298</c:v>
                </c:pt>
                <c:pt idx="236">
                  <c:v>-30.23467168446489</c:v>
                </c:pt>
                <c:pt idx="237">
                  <c:v>-22.704747788458526</c:v>
                </c:pt>
                <c:pt idx="238">
                  <c:v>-15.15020413876981</c:v>
                </c:pt>
                <c:pt idx="239">
                  <c:v>-7.579217355644531</c:v>
                </c:pt>
                <c:pt idx="240">
                  <c:v>-3.2809951374982796e-13</c:v>
                </c:pt>
              </c:numCache>
            </c:numRef>
          </c:yVal>
        </c:ser>
        <c:ser>
          <c:idx val="1"/>
          <c:order val="1"/>
          <c:tx>
            <c:v>보유 판</c:v>
          </c:tx>
          <c:spPr>
            <a:solidFill>
              <a:srgbClr val="748397"/>
            </a:solidFill>
            <a:ln w="14288">
              <a:solidFill>
                <a:srgbClr val="748397"/>
              </a:solidFill>
              <a:prstDash val="dash"/>
            </a:ln>
          </c:spPr>
          <c:xVal>
            <c:numRef>
              <c:f>'광선 표본'!$W$247:$W$447</c:f>
              <c:numCache>
                <c:formatCode>0.000</c:formatCode>
                <c:ptCount val="201"/>
                <c:pt idx="0">
                  <c:v>-231.27659574468098</c:v>
                </c:pt>
                <c:pt idx="1">
                  <c:v>-220.87659574468097</c:v>
                </c:pt>
                <c:pt idx="2">
                  <c:v>-210.476595744681</c:v>
                </c:pt>
                <c:pt idx="3">
                  <c:v>-200.076595744681</c:v>
                </c:pt>
                <c:pt idx="4">
                  <c:v>-189.67659574468098</c:v>
                </c:pt>
                <c:pt idx="5">
                  <c:v>-179.27659574468098</c:v>
                </c:pt>
                <c:pt idx="6">
                  <c:v>-168.87659574468097</c:v>
                </c:pt>
                <c:pt idx="7">
                  <c:v>-158.47659574468096</c:v>
                </c:pt>
                <c:pt idx="8">
                  <c:v>-148.07659574468096</c:v>
                </c:pt>
                <c:pt idx="9">
                  <c:v>-137.67659574468098</c:v>
                </c:pt>
                <c:pt idx="10">
                  <c:v>-127.27659574468098</c:v>
                </c:pt>
                <c:pt idx="11">
                  <c:v>-116.876595744681</c:v>
                </c:pt>
                <c:pt idx="12">
                  <c:v>-106.47659574468099</c:v>
                </c:pt>
                <c:pt idx="13">
                  <c:v>-96.07659574468097</c:v>
                </c:pt>
                <c:pt idx="14">
                  <c:v>-85.67659574468097</c:v>
                </c:pt>
                <c:pt idx="15">
                  <c:v>-75.27659574468098</c:v>
                </c:pt>
                <c:pt idx="16">
                  <c:v>-64.87659574468097</c:v>
                </c:pt>
                <c:pt idx="17">
                  <c:v>-54.476595744680964</c:v>
                </c:pt>
                <c:pt idx="18">
                  <c:v>-44.076595744680986</c:v>
                </c:pt>
                <c:pt idx="19">
                  <c:v>-33.676595744680974</c:v>
                </c:pt>
                <c:pt idx="20">
                  <c:v>-23.27659574468096</c:v>
                </c:pt>
                <c:pt idx="21">
                  <c:v>-12.876595744680984</c:v>
                </c:pt>
                <c:pt idx="22">
                  <c:v>-2.4765957446809743</c:v>
                </c:pt>
                <c:pt idx="23">
                  <c:v>7.923404255319035</c:v>
                </c:pt>
                <c:pt idx="24">
                  <c:v>18.323404255319016</c:v>
                </c:pt>
                <c:pt idx="25">
                  <c:v>28.723404255319025</c:v>
                </c:pt>
                <c:pt idx="26">
                  <c:v>39.12340425531903</c:v>
                </c:pt>
                <c:pt idx="27">
                  <c:v>49.52340425531904</c:v>
                </c:pt>
                <c:pt idx="28">
                  <c:v>59.923404255319056</c:v>
                </c:pt>
                <c:pt idx="29">
                  <c:v>70.323404255319</c:v>
                </c:pt>
                <c:pt idx="30">
                  <c:v>80.72340425531901</c:v>
                </c:pt>
                <c:pt idx="31">
                  <c:v>91.12340425531903</c:v>
                </c:pt>
                <c:pt idx="32">
                  <c:v>101.52340425531904</c:v>
                </c:pt>
                <c:pt idx="33">
                  <c:v>111.92340425531904</c:v>
                </c:pt>
                <c:pt idx="34">
                  <c:v>122.32340425531905</c:v>
                </c:pt>
                <c:pt idx="35">
                  <c:v>132.723404255319</c:v>
                </c:pt>
                <c:pt idx="36">
                  <c:v>143.12340425531903</c:v>
                </c:pt>
                <c:pt idx="37">
                  <c:v>153.523404255319</c:v>
                </c:pt>
                <c:pt idx="38">
                  <c:v>163.92340425531904</c:v>
                </c:pt>
                <c:pt idx="39">
                  <c:v>174.32340425531905</c:v>
                </c:pt>
                <c:pt idx="40">
                  <c:v>184.72340425531905</c:v>
                </c:pt>
                <c:pt idx="41">
                  <c:v>195.123404255319</c:v>
                </c:pt>
                <c:pt idx="42">
                  <c:v>205.523404255319</c:v>
                </c:pt>
                <c:pt idx="43">
                  <c:v>215.923404255319</c:v>
                </c:pt>
                <c:pt idx="44">
                  <c:v>226.32340425531902</c:v>
                </c:pt>
                <c:pt idx="45">
                  <c:v>236.72340425531902</c:v>
                </c:pt>
                <c:pt idx="46">
                  <c:v>247.12340425531906</c:v>
                </c:pt>
                <c:pt idx="47">
                  <c:v>257.523404255319</c:v>
                </c:pt>
                <c:pt idx="48">
                  <c:v>267.92340425531904</c:v>
                </c:pt>
                <c:pt idx="49">
                  <c:v>278.323404255319</c:v>
                </c:pt>
                <c:pt idx="50">
                  <c:v>288.723404255319</c:v>
                </c:pt>
                <c:pt idx="51">
                  <c:v>288.723404255319</c:v>
                </c:pt>
                <c:pt idx="52">
                  <c:v>288.723404255319</c:v>
                </c:pt>
                <c:pt idx="53">
                  <c:v>288.723404255319</c:v>
                </c:pt>
                <c:pt idx="54">
                  <c:v>288.723404255319</c:v>
                </c:pt>
                <c:pt idx="55">
                  <c:v>288.723404255319</c:v>
                </c:pt>
                <c:pt idx="56">
                  <c:v>288.723404255319</c:v>
                </c:pt>
                <c:pt idx="57">
                  <c:v>288.723404255319</c:v>
                </c:pt>
                <c:pt idx="58">
                  <c:v>288.723404255319</c:v>
                </c:pt>
                <c:pt idx="59">
                  <c:v>288.723404255319</c:v>
                </c:pt>
                <c:pt idx="60">
                  <c:v>288.723404255319</c:v>
                </c:pt>
                <c:pt idx="61">
                  <c:v>288.723404255319</c:v>
                </c:pt>
                <c:pt idx="62">
                  <c:v>288.723404255319</c:v>
                </c:pt>
                <c:pt idx="63">
                  <c:v>288.723404255319</c:v>
                </c:pt>
                <c:pt idx="64">
                  <c:v>288.723404255319</c:v>
                </c:pt>
                <c:pt idx="65">
                  <c:v>288.723404255319</c:v>
                </c:pt>
                <c:pt idx="66">
                  <c:v>288.723404255319</c:v>
                </c:pt>
                <c:pt idx="67">
                  <c:v>288.723404255319</c:v>
                </c:pt>
                <c:pt idx="68">
                  <c:v>288.723404255319</c:v>
                </c:pt>
                <c:pt idx="69">
                  <c:v>288.723404255319</c:v>
                </c:pt>
                <c:pt idx="70">
                  <c:v>288.723404255319</c:v>
                </c:pt>
                <c:pt idx="71">
                  <c:v>288.723404255319</c:v>
                </c:pt>
                <c:pt idx="72">
                  <c:v>288.723404255319</c:v>
                </c:pt>
                <c:pt idx="73">
                  <c:v>288.723404255319</c:v>
                </c:pt>
                <c:pt idx="74">
                  <c:v>288.723404255319</c:v>
                </c:pt>
                <c:pt idx="75">
                  <c:v>288.723404255319</c:v>
                </c:pt>
                <c:pt idx="76">
                  <c:v>288.723404255319</c:v>
                </c:pt>
                <c:pt idx="77">
                  <c:v>288.723404255319</c:v>
                </c:pt>
                <c:pt idx="78">
                  <c:v>288.723404255319</c:v>
                </c:pt>
                <c:pt idx="79">
                  <c:v>288.723404255319</c:v>
                </c:pt>
                <c:pt idx="80">
                  <c:v>288.723404255319</c:v>
                </c:pt>
                <c:pt idx="81">
                  <c:v>288.723404255319</c:v>
                </c:pt>
                <c:pt idx="82">
                  <c:v>288.723404255319</c:v>
                </c:pt>
                <c:pt idx="83">
                  <c:v>288.723404255319</c:v>
                </c:pt>
                <c:pt idx="84">
                  <c:v>288.723404255319</c:v>
                </c:pt>
                <c:pt idx="85">
                  <c:v>288.723404255319</c:v>
                </c:pt>
                <c:pt idx="86">
                  <c:v>288.723404255319</c:v>
                </c:pt>
                <c:pt idx="87">
                  <c:v>288.723404255319</c:v>
                </c:pt>
                <c:pt idx="88">
                  <c:v>288.723404255319</c:v>
                </c:pt>
                <c:pt idx="89">
                  <c:v>288.723404255319</c:v>
                </c:pt>
                <c:pt idx="90">
                  <c:v>288.723404255319</c:v>
                </c:pt>
                <c:pt idx="91">
                  <c:v>288.723404255319</c:v>
                </c:pt>
                <c:pt idx="92">
                  <c:v>288.723404255319</c:v>
                </c:pt>
                <c:pt idx="93">
                  <c:v>288.723404255319</c:v>
                </c:pt>
                <c:pt idx="94">
                  <c:v>288.723404255319</c:v>
                </c:pt>
                <c:pt idx="95">
                  <c:v>288.723404255319</c:v>
                </c:pt>
                <c:pt idx="96">
                  <c:v>288.723404255319</c:v>
                </c:pt>
                <c:pt idx="97">
                  <c:v>288.723404255319</c:v>
                </c:pt>
                <c:pt idx="98">
                  <c:v>288.723404255319</c:v>
                </c:pt>
                <c:pt idx="99">
                  <c:v>288.723404255319</c:v>
                </c:pt>
                <c:pt idx="100">
                  <c:v>288.723404255319</c:v>
                </c:pt>
                <c:pt idx="101">
                  <c:v>278.323404255319</c:v>
                </c:pt>
                <c:pt idx="102">
                  <c:v>267.92340425531904</c:v>
                </c:pt>
                <c:pt idx="103">
                  <c:v>257.52340425531906</c:v>
                </c:pt>
                <c:pt idx="104">
                  <c:v>247.12340425531903</c:v>
                </c:pt>
                <c:pt idx="105">
                  <c:v>236.72340425531902</c:v>
                </c:pt>
                <c:pt idx="106">
                  <c:v>226.32340425531902</c:v>
                </c:pt>
                <c:pt idx="107">
                  <c:v>215.923404255319</c:v>
                </c:pt>
                <c:pt idx="108">
                  <c:v>205.523404255319</c:v>
                </c:pt>
                <c:pt idx="109">
                  <c:v>195.12340425531903</c:v>
                </c:pt>
                <c:pt idx="110">
                  <c:v>184.72340425531902</c:v>
                </c:pt>
                <c:pt idx="111">
                  <c:v>174.32340425531905</c:v>
                </c:pt>
                <c:pt idx="112">
                  <c:v>163.92340425531904</c:v>
                </c:pt>
                <c:pt idx="113">
                  <c:v>153.523404255319</c:v>
                </c:pt>
                <c:pt idx="114">
                  <c:v>143.12340425531903</c:v>
                </c:pt>
                <c:pt idx="115">
                  <c:v>132.72340425531902</c:v>
                </c:pt>
                <c:pt idx="116">
                  <c:v>122.32340425531902</c:v>
                </c:pt>
                <c:pt idx="117">
                  <c:v>111.92340425531901</c:v>
                </c:pt>
                <c:pt idx="118">
                  <c:v>101.52340425531904</c:v>
                </c:pt>
                <c:pt idx="119">
                  <c:v>91.12340425531903</c:v>
                </c:pt>
                <c:pt idx="120">
                  <c:v>80.72340425531901</c:v>
                </c:pt>
                <c:pt idx="121">
                  <c:v>70.32340425531903</c:v>
                </c:pt>
                <c:pt idx="122">
                  <c:v>59.92340425531903</c:v>
                </c:pt>
                <c:pt idx="123">
                  <c:v>49.523404255319015</c:v>
                </c:pt>
                <c:pt idx="124">
                  <c:v>39.12340425531903</c:v>
                </c:pt>
                <c:pt idx="125">
                  <c:v>28.723404255319025</c:v>
                </c:pt>
                <c:pt idx="126">
                  <c:v>18.323404255319016</c:v>
                </c:pt>
                <c:pt idx="127">
                  <c:v>7.9234042553190065</c:v>
                </c:pt>
                <c:pt idx="128">
                  <c:v>-2.4765957446810027</c:v>
                </c:pt>
                <c:pt idx="129">
                  <c:v>-12.876595744680955</c:v>
                </c:pt>
                <c:pt idx="130">
                  <c:v>-23.27659574468096</c:v>
                </c:pt>
                <c:pt idx="131">
                  <c:v>-33.676595744680974</c:v>
                </c:pt>
                <c:pt idx="132">
                  <c:v>-44.076595744680986</c:v>
                </c:pt>
                <c:pt idx="133">
                  <c:v>-54.47659574468099</c:v>
                </c:pt>
                <c:pt idx="134">
                  <c:v>-64.876595744681</c:v>
                </c:pt>
                <c:pt idx="135">
                  <c:v>-75.27659574468095</c:v>
                </c:pt>
                <c:pt idx="136">
                  <c:v>-85.67659574468097</c:v>
                </c:pt>
                <c:pt idx="137">
                  <c:v>-96.07659574468097</c:v>
                </c:pt>
                <c:pt idx="138">
                  <c:v>-106.47659574468099</c:v>
                </c:pt>
                <c:pt idx="139">
                  <c:v>-116.876595744681</c:v>
                </c:pt>
                <c:pt idx="140">
                  <c:v>-127.276595744681</c:v>
                </c:pt>
                <c:pt idx="141">
                  <c:v>-137.67659574468095</c:v>
                </c:pt>
                <c:pt idx="142">
                  <c:v>-148.07659574468096</c:v>
                </c:pt>
                <c:pt idx="143">
                  <c:v>-158.47659574468096</c:v>
                </c:pt>
                <c:pt idx="144">
                  <c:v>-168.87659574468097</c:v>
                </c:pt>
                <c:pt idx="145">
                  <c:v>-179.27659574468098</c:v>
                </c:pt>
                <c:pt idx="146">
                  <c:v>-189.676595744681</c:v>
                </c:pt>
                <c:pt idx="147">
                  <c:v>-200.07659574468096</c:v>
                </c:pt>
                <c:pt idx="148">
                  <c:v>-210.47659574468096</c:v>
                </c:pt>
                <c:pt idx="149">
                  <c:v>-220.87659574468097</c:v>
                </c:pt>
                <c:pt idx="150">
                  <c:v>-231.27659574468098</c:v>
                </c:pt>
                <c:pt idx="151">
                  <c:v>-231.27659574468098</c:v>
                </c:pt>
                <c:pt idx="152">
                  <c:v>-231.27659574468098</c:v>
                </c:pt>
                <c:pt idx="153">
                  <c:v>-231.27659574468098</c:v>
                </c:pt>
                <c:pt idx="154">
                  <c:v>-231.27659574468098</c:v>
                </c:pt>
                <c:pt idx="155">
                  <c:v>-231.27659574468098</c:v>
                </c:pt>
                <c:pt idx="156">
                  <c:v>-231.27659574468098</c:v>
                </c:pt>
                <c:pt idx="157">
                  <c:v>-231.27659574468098</c:v>
                </c:pt>
                <c:pt idx="158">
                  <c:v>-231.27659574468098</c:v>
                </c:pt>
                <c:pt idx="159">
                  <c:v>-231.27659574468098</c:v>
                </c:pt>
                <c:pt idx="160">
                  <c:v>-231.27659574468098</c:v>
                </c:pt>
                <c:pt idx="161">
                  <c:v>-231.27659574468098</c:v>
                </c:pt>
                <c:pt idx="162">
                  <c:v>-231.27659574468098</c:v>
                </c:pt>
                <c:pt idx="163">
                  <c:v>-231.27659574468098</c:v>
                </c:pt>
                <c:pt idx="164">
                  <c:v>-231.27659574468098</c:v>
                </c:pt>
                <c:pt idx="165">
                  <c:v>-231.27659574468098</c:v>
                </c:pt>
                <c:pt idx="166">
                  <c:v>-231.27659574468098</c:v>
                </c:pt>
                <c:pt idx="167">
                  <c:v>-231.27659574468098</c:v>
                </c:pt>
                <c:pt idx="168">
                  <c:v>-231.27659574468098</c:v>
                </c:pt>
                <c:pt idx="169">
                  <c:v>-231.27659574468098</c:v>
                </c:pt>
                <c:pt idx="170">
                  <c:v>-231.27659574468098</c:v>
                </c:pt>
                <c:pt idx="171">
                  <c:v>-231.27659574468098</c:v>
                </c:pt>
                <c:pt idx="172">
                  <c:v>-231.27659574468098</c:v>
                </c:pt>
                <c:pt idx="173">
                  <c:v>-231.27659574468098</c:v>
                </c:pt>
                <c:pt idx="174">
                  <c:v>-231.27659574468098</c:v>
                </c:pt>
                <c:pt idx="175">
                  <c:v>-231.27659574468098</c:v>
                </c:pt>
                <c:pt idx="176">
                  <c:v>-231.27659574468098</c:v>
                </c:pt>
                <c:pt idx="177">
                  <c:v>-231.27659574468098</c:v>
                </c:pt>
                <c:pt idx="178">
                  <c:v>-231.27659574468098</c:v>
                </c:pt>
                <c:pt idx="179">
                  <c:v>-231.27659574468098</c:v>
                </c:pt>
                <c:pt idx="180">
                  <c:v>-231.27659574468098</c:v>
                </c:pt>
                <c:pt idx="181">
                  <c:v>-231.27659574468098</c:v>
                </c:pt>
                <c:pt idx="182">
                  <c:v>-231.27659574468098</c:v>
                </c:pt>
                <c:pt idx="183">
                  <c:v>-231.27659574468098</c:v>
                </c:pt>
                <c:pt idx="184">
                  <c:v>-231.27659574468098</c:v>
                </c:pt>
                <c:pt idx="185">
                  <c:v>-231.27659574468098</c:v>
                </c:pt>
                <c:pt idx="186">
                  <c:v>-231.27659574468098</c:v>
                </c:pt>
                <c:pt idx="187">
                  <c:v>-231.27659574468098</c:v>
                </c:pt>
                <c:pt idx="188">
                  <c:v>-231.27659574468098</c:v>
                </c:pt>
                <c:pt idx="189">
                  <c:v>-231.27659574468098</c:v>
                </c:pt>
                <c:pt idx="190">
                  <c:v>-231.27659574468098</c:v>
                </c:pt>
                <c:pt idx="191">
                  <c:v>-231.27659574468098</c:v>
                </c:pt>
                <c:pt idx="192">
                  <c:v>-231.27659574468098</c:v>
                </c:pt>
                <c:pt idx="193">
                  <c:v>-231.27659574468098</c:v>
                </c:pt>
                <c:pt idx="194">
                  <c:v>-231.27659574468098</c:v>
                </c:pt>
                <c:pt idx="195">
                  <c:v>-231.27659574468098</c:v>
                </c:pt>
                <c:pt idx="196">
                  <c:v>-231.27659574468098</c:v>
                </c:pt>
                <c:pt idx="197">
                  <c:v>-231.27659574468098</c:v>
                </c:pt>
                <c:pt idx="198">
                  <c:v>-231.27659574468098</c:v>
                </c:pt>
                <c:pt idx="199">
                  <c:v>-231.27659574468098</c:v>
                </c:pt>
                <c:pt idx="200">
                  <c:v>-231.27659574468098</c:v>
                </c:pt>
              </c:numCache>
            </c:numRef>
          </c:xVal>
          <c:yVal>
            <c:numRef>
              <c:f>'광선 표본'!$Y$247:$Y$447</c:f>
              <c:numCache>
                <c:formatCode>0.000</c:formatCode>
                <c:ptCount val="201"/>
                <c:pt idx="0">
                  <c:v>-260</c:v>
                </c:pt>
                <c:pt idx="1">
                  <c:v>-260</c:v>
                </c:pt>
                <c:pt idx="2">
                  <c:v>-260</c:v>
                </c:pt>
                <c:pt idx="3">
                  <c:v>-260</c:v>
                </c:pt>
                <c:pt idx="4">
                  <c:v>-260</c:v>
                </c:pt>
                <c:pt idx="5">
                  <c:v>-260</c:v>
                </c:pt>
                <c:pt idx="6">
                  <c:v>-260</c:v>
                </c:pt>
                <c:pt idx="7">
                  <c:v>-260</c:v>
                </c:pt>
                <c:pt idx="8">
                  <c:v>-260</c:v>
                </c:pt>
                <c:pt idx="9">
                  <c:v>-260</c:v>
                </c:pt>
                <c:pt idx="10">
                  <c:v>-260</c:v>
                </c:pt>
                <c:pt idx="11">
                  <c:v>-260</c:v>
                </c:pt>
                <c:pt idx="12">
                  <c:v>-260</c:v>
                </c:pt>
                <c:pt idx="13">
                  <c:v>-260</c:v>
                </c:pt>
                <c:pt idx="14">
                  <c:v>-260</c:v>
                </c:pt>
                <c:pt idx="15">
                  <c:v>-260</c:v>
                </c:pt>
                <c:pt idx="16">
                  <c:v>-260</c:v>
                </c:pt>
                <c:pt idx="17">
                  <c:v>-260</c:v>
                </c:pt>
                <c:pt idx="18">
                  <c:v>-260</c:v>
                </c:pt>
                <c:pt idx="19">
                  <c:v>-260</c:v>
                </c:pt>
                <c:pt idx="20">
                  <c:v>-260</c:v>
                </c:pt>
                <c:pt idx="21">
                  <c:v>-260</c:v>
                </c:pt>
                <c:pt idx="22">
                  <c:v>-260</c:v>
                </c:pt>
                <c:pt idx="23">
                  <c:v>-260</c:v>
                </c:pt>
                <c:pt idx="24">
                  <c:v>-260</c:v>
                </c:pt>
                <c:pt idx="25">
                  <c:v>-260</c:v>
                </c:pt>
                <c:pt idx="26">
                  <c:v>-260</c:v>
                </c:pt>
                <c:pt idx="27">
                  <c:v>-260</c:v>
                </c:pt>
                <c:pt idx="28">
                  <c:v>-260</c:v>
                </c:pt>
                <c:pt idx="29">
                  <c:v>-260</c:v>
                </c:pt>
                <c:pt idx="30">
                  <c:v>-260</c:v>
                </c:pt>
                <c:pt idx="31">
                  <c:v>-260</c:v>
                </c:pt>
                <c:pt idx="32">
                  <c:v>-260</c:v>
                </c:pt>
                <c:pt idx="33">
                  <c:v>-260</c:v>
                </c:pt>
                <c:pt idx="34">
                  <c:v>-260</c:v>
                </c:pt>
                <c:pt idx="35">
                  <c:v>-260</c:v>
                </c:pt>
                <c:pt idx="36">
                  <c:v>-260</c:v>
                </c:pt>
                <c:pt idx="37">
                  <c:v>-260</c:v>
                </c:pt>
                <c:pt idx="38">
                  <c:v>-260</c:v>
                </c:pt>
                <c:pt idx="39">
                  <c:v>-260</c:v>
                </c:pt>
                <c:pt idx="40">
                  <c:v>-260</c:v>
                </c:pt>
                <c:pt idx="41">
                  <c:v>-260</c:v>
                </c:pt>
                <c:pt idx="42">
                  <c:v>-260</c:v>
                </c:pt>
                <c:pt idx="43">
                  <c:v>-260</c:v>
                </c:pt>
                <c:pt idx="44">
                  <c:v>-260</c:v>
                </c:pt>
                <c:pt idx="45">
                  <c:v>-260</c:v>
                </c:pt>
                <c:pt idx="46">
                  <c:v>-260</c:v>
                </c:pt>
                <c:pt idx="47">
                  <c:v>-260</c:v>
                </c:pt>
                <c:pt idx="48">
                  <c:v>-260</c:v>
                </c:pt>
                <c:pt idx="49">
                  <c:v>-260</c:v>
                </c:pt>
                <c:pt idx="50">
                  <c:v>-260</c:v>
                </c:pt>
                <c:pt idx="51">
                  <c:v>-249.6</c:v>
                </c:pt>
                <c:pt idx="52">
                  <c:v>-239.20000000000002</c:v>
                </c:pt>
                <c:pt idx="53">
                  <c:v>-228.8</c:v>
                </c:pt>
                <c:pt idx="54">
                  <c:v>-218.4</c:v>
                </c:pt>
                <c:pt idx="55">
                  <c:v>-208</c:v>
                </c:pt>
                <c:pt idx="56">
                  <c:v>-197.6</c:v>
                </c:pt>
                <c:pt idx="57">
                  <c:v>-187.2</c:v>
                </c:pt>
                <c:pt idx="58">
                  <c:v>-176.79999999999998</c:v>
                </c:pt>
                <c:pt idx="59">
                  <c:v>-166.4</c:v>
                </c:pt>
                <c:pt idx="60">
                  <c:v>-156</c:v>
                </c:pt>
                <c:pt idx="61">
                  <c:v>-145.60000000000002</c:v>
                </c:pt>
                <c:pt idx="62">
                  <c:v>-135.20000000000002</c:v>
                </c:pt>
                <c:pt idx="63">
                  <c:v>-124.8</c:v>
                </c:pt>
                <c:pt idx="64">
                  <c:v>-114.39999999999999</c:v>
                </c:pt>
                <c:pt idx="65">
                  <c:v>-104</c:v>
                </c:pt>
                <c:pt idx="66">
                  <c:v>-93.6</c:v>
                </c:pt>
                <c:pt idx="67">
                  <c:v>-83.19999999999999</c:v>
                </c:pt>
                <c:pt idx="68">
                  <c:v>-72.80000000000001</c:v>
                </c:pt>
                <c:pt idx="69">
                  <c:v>-62.4</c:v>
                </c:pt>
                <c:pt idx="70">
                  <c:v>-51.999999999999986</c:v>
                </c:pt>
                <c:pt idx="71">
                  <c:v>-41.60000000000001</c:v>
                </c:pt>
                <c:pt idx="72">
                  <c:v>-31.2</c:v>
                </c:pt>
                <c:pt idx="73">
                  <c:v>-20.79999999999999</c:v>
                </c:pt>
                <c:pt idx="74">
                  <c:v>-10.40000000000001</c:v>
                </c:pt>
                <c:pt idx="75">
                  <c:v>0</c:v>
                </c:pt>
                <c:pt idx="76">
                  <c:v>10.40000000000001</c:v>
                </c:pt>
                <c:pt idx="77">
                  <c:v>20.80000000000002</c:v>
                </c:pt>
                <c:pt idx="78">
                  <c:v>31.200000000000028</c:v>
                </c:pt>
                <c:pt idx="79">
                  <c:v>41.59999999999998</c:v>
                </c:pt>
                <c:pt idx="80">
                  <c:v>51.999999999999986</c:v>
                </c:pt>
                <c:pt idx="81">
                  <c:v>62.4</c:v>
                </c:pt>
                <c:pt idx="82">
                  <c:v>72.80000000000001</c:v>
                </c:pt>
                <c:pt idx="83">
                  <c:v>83.20000000000002</c:v>
                </c:pt>
                <c:pt idx="84">
                  <c:v>93.60000000000002</c:v>
                </c:pt>
                <c:pt idx="85">
                  <c:v>103.99999999999997</c:v>
                </c:pt>
                <c:pt idx="86">
                  <c:v>114.39999999999999</c:v>
                </c:pt>
                <c:pt idx="87">
                  <c:v>124.8</c:v>
                </c:pt>
                <c:pt idx="88">
                  <c:v>135.20000000000002</c:v>
                </c:pt>
                <c:pt idx="89">
                  <c:v>145.60000000000002</c:v>
                </c:pt>
                <c:pt idx="90">
                  <c:v>156.00000000000003</c:v>
                </c:pt>
                <c:pt idx="91">
                  <c:v>166.39999999999998</c:v>
                </c:pt>
                <c:pt idx="92">
                  <c:v>176.79999999999998</c:v>
                </c:pt>
                <c:pt idx="93">
                  <c:v>187.2</c:v>
                </c:pt>
                <c:pt idx="94">
                  <c:v>197.6</c:v>
                </c:pt>
                <c:pt idx="95">
                  <c:v>208</c:v>
                </c:pt>
                <c:pt idx="96">
                  <c:v>218.40000000000003</c:v>
                </c:pt>
                <c:pt idx="97">
                  <c:v>228.79999999999998</c:v>
                </c:pt>
                <c:pt idx="98">
                  <c:v>239.2</c:v>
                </c:pt>
                <c:pt idx="99">
                  <c:v>249.6</c:v>
                </c:pt>
                <c:pt idx="100">
                  <c:v>260</c:v>
                </c:pt>
                <c:pt idx="101">
                  <c:v>260</c:v>
                </c:pt>
                <c:pt idx="102">
                  <c:v>260</c:v>
                </c:pt>
                <c:pt idx="103">
                  <c:v>260</c:v>
                </c:pt>
                <c:pt idx="104">
                  <c:v>260</c:v>
                </c:pt>
                <c:pt idx="105">
                  <c:v>260</c:v>
                </c:pt>
                <c:pt idx="106">
                  <c:v>260</c:v>
                </c:pt>
                <c:pt idx="107">
                  <c:v>260</c:v>
                </c:pt>
                <c:pt idx="108">
                  <c:v>260</c:v>
                </c:pt>
                <c:pt idx="109">
                  <c:v>260</c:v>
                </c:pt>
                <c:pt idx="110">
                  <c:v>260</c:v>
                </c:pt>
                <c:pt idx="111">
                  <c:v>260</c:v>
                </c:pt>
                <c:pt idx="112">
                  <c:v>260</c:v>
                </c:pt>
                <c:pt idx="113">
                  <c:v>260</c:v>
                </c:pt>
                <c:pt idx="114">
                  <c:v>260</c:v>
                </c:pt>
                <c:pt idx="115">
                  <c:v>260</c:v>
                </c:pt>
                <c:pt idx="116">
                  <c:v>260</c:v>
                </c:pt>
                <c:pt idx="117">
                  <c:v>260</c:v>
                </c:pt>
                <c:pt idx="118">
                  <c:v>260</c:v>
                </c:pt>
                <c:pt idx="119">
                  <c:v>260</c:v>
                </c:pt>
                <c:pt idx="120">
                  <c:v>260</c:v>
                </c:pt>
                <c:pt idx="121">
                  <c:v>260</c:v>
                </c:pt>
                <c:pt idx="122">
                  <c:v>260</c:v>
                </c:pt>
                <c:pt idx="123">
                  <c:v>260</c:v>
                </c:pt>
                <c:pt idx="124">
                  <c:v>260</c:v>
                </c:pt>
                <c:pt idx="125">
                  <c:v>260</c:v>
                </c:pt>
                <c:pt idx="126">
                  <c:v>260</c:v>
                </c:pt>
                <c:pt idx="127">
                  <c:v>260</c:v>
                </c:pt>
                <c:pt idx="128">
                  <c:v>260</c:v>
                </c:pt>
                <c:pt idx="129">
                  <c:v>260</c:v>
                </c:pt>
                <c:pt idx="130">
                  <c:v>260</c:v>
                </c:pt>
                <c:pt idx="131">
                  <c:v>260</c:v>
                </c:pt>
                <c:pt idx="132">
                  <c:v>260</c:v>
                </c:pt>
                <c:pt idx="133">
                  <c:v>260</c:v>
                </c:pt>
                <c:pt idx="134">
                  <c:v>260</c:v>
                </c:pt>
                <c:pt idx="135">
                  <c:v>260</c:v>
                </c:pt>
                <c:pt idx="136">
                  <c:v>260</c:v>
                </c:pt>
                <c:pt idx="137">
                  <c:v>260</c:v>
                </c:pt>
                <c:pt idx="138">
                  <c:v>260</c:v>
                </c:pt>
                <c:pt idx="139">
                  <c:v>260</c:v>
                </c:pt>
                <c:pt idx="140">
                  <c:v>260</c:v>
                </c:pt>
                <c:pt idx="141">
                  <c:v>260</c:v>
                </c:pt>
                <c:pt idx="142">
                  <c:v>260</c:v>
                </c:pt>
                <c:pt idx="143">
                  <c:v>260</c:v>
                </c:pt>
                <c:pt idx="144">
                  <c:v>260</c:v>
                </c:pt>
                <c:pt idx="145">
                  <c:v>260</c:v>
                </c:pt>
                <c:pt idx="146">
                  <c:v>260</c:v>
                </c:pt>
                <c:pt idx="147">
                  <c:v>260</c:v>
                </c:pt>
                <c:pt idx="148">
                  <c:v>260</c:v>
                </c:pt>
                <c:pt idx="149">
                  <c:v>260</c:v>
                </c:pt>
                <c:pt idx="150">
                  <c:v>260</c:v>
                </c:pt>
                <c:pt idx="151">
                  <c:v>249.6</c:v>
                </c:pt>
                <c:pt idx="152">
                  <c:v>239.20000000000002</c:v>
                </c:pt>
                <c:pt idx="153">
                  <c:v>228.8</c:v>
                </c:pt>
                <c:pt idx="154">
                  <c:v>218.4</c:v>
                </c:pt>
                <c:pt idx="155">
                  <c:v>208</c:v>
                </c:pt>
                <c:pt idx="156">
                  <c:v>197.6</c:v>
                </c:pt>
                <c:pt idx="157">
                  <c:v>187.2</c:v>
                </c:pt>
                <c:pt idx="158">
                  <c:v>176.79999999999998</c:v>
                </c:pt>
                <c:pt idx="159">
                  <c:v>166.4</c:v>
                </c:pt>
                <c:pt idx="160">
                  <c:v>156</c:v>
                </c:pt>
                <c:pt idx="161">
                  <c:v>145.60000000000002</c:v>
                </c:pt>
                <c:pt idx="162">
                  <c:v>135.20000000000002</c:v>
                </c:pt>
                <c:pt idx="163">
                  <c:v>124.8</c:v>
                </c:pt>
                <c:pt idx="164">
                  <c:v>114.39999999999999</c:v>
                </c:pt>
                <c:pt idx="165">
                  <c:v>104</c:v>
                </c:pt>
                <c:pt idx="166">
                  <c:v>93.6</c:v>
                </c:pt>
                <c:pt idx="167">
                  <c:v>83.19999999999999</c:v>
                </c:pt>
                <c:pt idx="168">
                  <c:v>72.80000000000001</c:v>
                </c:pt>
                <c:pt idx="169">
                  <c:v>62.4</c:v>
                </c:pt>
                <c:pt idx="170">
                  <c:v>51.999999999999986</c:v>
                </c:pt>
                <c:pt idx="171">
                  <c:v>41.60000000000001</c:v>
                </c:pt>
                <c:pt idx="172">
                  <c:v>31.2</c:v>
                </c:pt>
                <c:pt idx="173">
                  <c:v>20.79999999999999</c:v>
                </c:pt>
                <c:pt idx="174">
                  <c:v>10.40000000000001</c:v>
                </c:pt>
                <c:pt idx="175">
                  <c:v>0</c:v>
                </c:pt>
                <c:pt idx="176">
                  <c:v>-10.40000000000001</c:v>
                </c:pt>
                <c:pt idx="177">
                  <c:v>-20.80000000000002</c:v>
                </c:pt>
                <c:pt idx="178">
                  <c:v>-31.200000000000028</c:v>
                </c:pt>
                <c:pt idx="179">
                  <c:v>-41.59999999999998</c:v>
                </c:pt>
                <c:pt idx="180">
                  <c:v>-51.999999999999986</c:v>
                </c:pt>
                <c:pt idx="181">
                  <c:v>-62.4</c:v>
                </c:pt>
                <c:pt idx="182">
                  <c:v>-72.80000000000001</c:v>
                </c:pt>
                <c:pt idx="183">
                  <c:v>-83.20000000000002</c:v>
                </c:pt>
                <c:pt idx="184">
                  <c:v>-93.60000000000002</c:v>
                </c:pt>
                <c:pt idx="185">
                  <c:v>-103.99999999999997</c:v>
                </c:pt>
                <c:pt idx="186">
                  <c:v>-114.39999999999999</c:v>
                </c:pt>
                <c:pt idx="187">
                  <c:v>-124.8</c:v>
                </c:pt>
                <c:pt idx="188">
                  <c:v>-135.20000000000002</c:v>
                </c:pt>
                <c:pt idx="189">
                  <c:v>-145.60000000000002</c:v>
                </c:pt>
                <c:pt idx="190">
                  <c:v>-156.00000000000003</c:v>
                </c:pt>
                <c:pt idx="191">
                  <c:v>-166.39999999999998</c:v>
                </c:pt>
                <c:pt idx="192">
                  <c:v>-176.79999999999998</c:v>
                </c:pt>
                <c:pt idx="193">
                  <c:v>-187.2</c:v>
                </c:pt>
                <c:pt idx="194">
                  <c:v>-197.6</c:v>
                </c:pt>
                <c:pt idx="195">
                  <c:v>-208</c:v>
                </c:pt>
                <c:pt idx="196">
                  <c:v>-218.40000000000003</c:v>
                </c:pt>
                <c:pt idx="197">
                  <c:v>-228.79999999999998</c:v>
                </c:pt>
                <c:pt idx="198">
                  <c:v>-239.2</c:v>
                </c:pt>
                <c:pt idx="199">
                  <c:v>-249.6</c:v>
                </c:pt>
                <c:pt idx="200">
                  <c:v>-260</c:v>
                </c:pt>
              </c:numCache>
            </c:numRef>
          </c:yVal>
        </c:ser>
        <c:ser>
          <c:idx val="2"/>
          <c:order val="2"/>
          <c:tx>
            <c:v>필요 판 (여유 포함)</c:v>
          </c:tx>
          <c:spPr>
            <a:solidFill>
              <a:srgbClr val="D99218"/>
            </a:solidFill>
            <a:ln w="14288">
              <a:solidFill>
                <a:srgbClr val="D99218"/>
              </a:solidFill>
              <a:prstDash val="solid"/>
            </a:ln>
          </c:spPr>
          <c:xVal>
            <c:numRef>
              <c:f>'광선 표본'!$W$448:$W$648</c:f>
              <c:numCache>
                <c:formatCode>0.000</c:formatCode>
                <c:ptCount val="201"/>
                <c:pt idx="0">
                  <c:v>-152.30104978473645</c:v>
                </c:pt>
                <c:pt idx="1">
                  <c:v>-145.06007162313423</c:v>
                </c:pt>
                <c:pt idx="2">
                  <c:v>-137.81909346153202</c:v>
                </c:pt>
                <c:pt idx="3">
                  <c:v>-130.5781152999298</c:v>
                </c:pt>
                <c:pt idx="4">
                  <c:v>-123.33713713832756</c:v>
                </c:pt>
                <c:pt idx="5">
                  <c:v>-116.09615897672535</c:v>
                </c:pt>
                <c:pt idx="6">
                  <c:v>-108.85518081512313</c:v>
                </c:pt>
                <c:pt idx="7">
                  <c:v>-101.61420265352092</c:v>
                </c:pt>
                <c:pt idx="8">
                  <c:v>-94.37322449191869</c:v>
                </c:pt>
                <c:pt idx="9">
                  <c:v>-87.13224633031648</c:v>
                </c:pt>
                <c:pt idx="10">
                  <c:v>-79.89126816871426</c:v>
                </c:pt>
                <c:pt idx="11">
                  <c:v>-72.65029000711205</c:v>
                </c:pt>
                <c:pt idx="12">
                  <c:v>-65.40931184550982</c:v>
                </c:pt>
                <c:pt idx="13">
                  <c:v>-58.168333683907605</c:v>
                </c:pt>
                <c:pt idx="14">
                  <c:v>-50.927355522305376</c:v>
                </c:pt>
                <c:pt idx="15">
                  <c:v>-43.68637736070316</c:v>
                </c:pt>
                <c:pt idx="16">
                  <c:v>-36.44539919910095</c:v>
                </c:pt>
                <c:pt idx="17">
                  <c:v>-29.20442103749872</c:v>
                </c:pt>
                <c:pt idx="18">
                  <c:v>-21.96344287589651</c:v>
                </c:pt>
                <c:pt idx="19">
                  <c:v>-14.72246471429429</c:v>
                </c:pt>
                <c:pt idx="20">
                  <c:v>-7.481486552692061</c:v>
                </c:pt>
                <c:pt idx="21">
                  <c:v>-0.24050839108985755</c:v>
                </c:pt>
                <c:pt idx="22">
                  <c:v>7.0004697705123675</c:v>
                </c:pt>
                <c:pt idx="23">
                  <c:v>14.241447932114594</c:v>
                </c:pt>
                <c:pt idx="24">
                  <c:v>21.4824260937168</c:v>
                </c:pt>
                <c:pt idx="25">
                  <c:v>28.723404255319025</c:v>
                </c:pt>
                <c:pt idx="26">
                  <c:v>35.964382416921254</c:v>
                </c:pt>
                <c:pt idx="27">
                  <c:v>43.205360578523475</c:v>
                </c:pt>
                <c:pt idx="28">
                  <c:v>50.4463387401257</c:v>
                </c:pt>
                <c:pt idx="29">
                  <c:v>57.68731690172788</c:v>
                </c:pt>
                <c:pt idx="30">
                  <c:v>64.92829506333011</c:v>
                </c:pt>
                <c:pt idx="31">
                  <c:v>72.16927322493234</c:v>
                </c:pt>
                <c:pt idx="32">
                  <c:v>79.41025138653455</c:v>
                </c:pt>
                <c:pt idx="33">
                  <c:v>86.6512295481368</c:v>
                </c:pt>
                <c:pt idx="34">
                  <c:v>93.89220770973901</c:v>
                </c:pt>
                <c:pt idx="35">
                  <c:v>101.1331858713412</c:v>
                </c:pt>
                <c:pt idx="36">
                  <c:v>108.37416403294343</c:v>
                </c:pt>
                <c:pt idx="37">
                  <c:v>115.61514219454565</c:v>
                </c:pt>
                <c:pt idx="38">
                  <c:v>122.85612035614787</c:v>
                </c:pt>
                <c:pt idx="39">
                  <c:v>130.0970985177501</c:v>
                </c:pt>
                <c:pt idx="40">
                  <c:v>137.33807667935233</c:v>
                </c:pt>
                <c:pt idx="41">
                  <c:v>144.5790548409545</c:v>
                </c:pt>
                <c:pt idx="42">
                  <c:v>151.82003300255673</c:v>
                </c:pt>
                <c:pt idx="43">
                  <c:v>159.06101116415897</c:v>
                </c:pt>
                <c:pt idx="44">
                  <c:v>166.30198932576118</c:v>
                </c:pt>
                <c:pt idx="45">
                  <c:v>173.5429674873634</c:v>
                </c:pt>
                <c:pt idx="46">
                  <c:v>180.78394564896564</c:v>
                </c:pt>
                <c:pt idx="47">
                  <c:v>188.02492381056783</c:v>
                </c:pt>
                <c:pt idx="48">
                  <c:v>195.26590197217004</c:v>
                </c:pt>
                <c:pt idx="49">
                  <c:v>202.50688013377228</c:v>
                </c:pt>
                <c:pt idx="50">
                  <c:v>209.7478582953745</c:v>
                </c:pt>
                <c:pt idx="51">
                  <c:v>209.7478582953745</c:v>
                </c:pt>
                <c:pt idx="52">
                  <c:v>209.7478582953745</c:v>
                </c:pt>
                <c:pt idx="53">
                  <c:v>209.7478582953745</c:v>
                </c:pt>
                <c:pt idx="54">
                  <c:v>209.7478582953745</c:v>
                </c:pt>
                <c:pt idx="55">
                  <c:v>209.7478582953745</c:v>
                </c:pt>
                <c:pt idx="56">
                  <c:v>209.7478582953745</c:v>
                </c:pt>
                <c:pt idx="57">
                  <c:v>209.7478582953745</c:v>
                </c:pt>
                <c:pt idx="58">
                  <c:v>209.7478582953745</c:v>
                </c:pt>
                <c:pt idx="59">
                  <c:v>209.7478582953745</c:v>
                </c:pt>
                <c:pt idx="60">
                  <c:v>209.7478582953745</c:v>
                </c:pt>
                <c:pt idx="61">
                  <c:v>209.7478582953745</c:v>
                </c:pt>
                <c:pt idx="62">
                  <c:v>209.7478582953745</c:v>
                </c:pt>
                <c:pt idx="63">
                  <c:v>209.7478582953745</c:v>
                </c:pt>
                <c:pt idx="64">
                  <c:v>209.7478582953745</c:v>
                </c:pt>
                <c:pt idx="65">
                  <c:v>209.7478582953745</c:v>
                </c:pt>
                <c:pt idx="66">
                  <c:v>209.7478582953745</c:v>
                </c:pt>
                <c:pt idx="67">
                  <c:v>209.7478582953745</c:v>
                </c:pt>
                <c:pt idx="68">
                  <c:v>209.7478582953745</c:v>
                </c:pt>
                <c:pt idx="69">
                  <c:v>209.7478582953745</c:v>
                </c:pt>
                <c:pt idx="70">
                  <c:v>209.7478582953745</c:v>
                </c:pt>
                <c:pt idx="71">
                  <c:v>209.7478582953745</c:v>
                </c:pt>
                <c:pt idx="72">
                  <c:v>209.7478582953745</c:v>
                </c:pt>
                <c:pt idx="73">
                  <c:v>209.7478582953745</c:v>
                </c:pt>
                <c:pt idx="74">
                  <c:v>209.7478582953745</c:v>
                </c:pt>
                <c:pt idx="75">
                  <c:v>209.7478582953745</c:v>
                </c:pt>
                <c:pt idx="76">
                  <c:v>209.7478582953745</c:v>
                </c:pt>
                <c:pt idx="77">
                  <c:v>209.7478582953745</c:v>
                </c:pt>
                <c:pt idx="78">
                  <c:v>209.7478582953745</c:v>
                </c:pt>
                <c:pt idx="79">
                  <c:v>209.7478582953745</c:v>
                </c:pt>
                <c:pt idx="80">
                  <c:v>209.7478582953745</c:v>
                </c:pt>
                <c:pt idx="81">
                  <c:v>209.7478582953745</c:v>
                </c:pt>
                <c:pt idx="82">
                  <c:v>209.7478582953745</c:v>
                </c:pt>
                <c:pt idx="83">
                  <c:v>209.7478582953745</c:v>
                </c:pt>
                <c:pt idx="84">
                  <c:v>209.7478582953745</c:v>
                </c:pt>
                <c:pt idx="85">
                  <c:v>209.7478582953745</c:v>
                </c:pt>
                <c:pt idx="86">
                  <c:v>209.7478582953745</c:v>
                </c:pt>
                <c:pt idx="87">
                  <c:v>209.7478582953745</c:v>
                </c:pt>
                <c:pt idx="88">
                  <c:v>209.7478582953745</c:v>
                </c:pt>
                <c:pt idx="89">
                  <c:v>209.7478582953745</c:v>
                </c:pt>
                <c:pt idx="90">
                  <c:v>209.7478582953745</c:v>
                </c:pt>
                <c:pt idx="91">
                  <c:v>209.7478582953745</c:v>
                </c:pt>
                <c:pt idx="92">
                  <c:v>209.7478582953745</c:v>
                </c:pt>
                <c:pt idx="93">
                  <c:v>209.7478582953745</c:v>
                </c:pt>
                <c:pt idx="94">
                  <c:v>209.7478582953745</c:v>
                </c:pt>
                <c:pt idx="95">
                  <c:v>209.7478582953745</c:v>
                </c:pt>
                <c:pt idx="96">
                  <c:v>209.7478582953745</c:v>
                </c:pt>
                <c:pt idx="97">
                  <c:v>209.7478582953745</c:v>
                </c:pt>
                <c:pt idx="98">
                  <c:v>209.7478582953745</c:v>
                </c:pt>
                <c:pt idx="99">
                  <c:v>209.7478582953745</c:v>
                </c:pt>
                <c:pt idx="100">
                  <c:v>209.7478582953745</c:v>
                </c:pt>
                <c:pt idx="101">
                  <c:v>202.50688013377228</c:v>
                </c:pt>
                <c:pt idx="102">
                  <c:v>195.26590197217007</c:v>
                </c:pt>
                <c:pt idx="103">
                  <c:v>188.02492381056786</c:v>
                </c:pt>
                <c:pt idx="104">
                  <c:v>180.7839456489656</c:v>
                </c:pt>
                <c:pt idx="105">
                  <c:v>173.5429674873634</c:v>
                </c:pt>
                <c:pt idx="106">
                  <c:v>166.30198932576118</c:v>
                </c:pt>
                <c:pt idx="107">
                  <c:v>159.06101116415897</c:v>
                </c:pt>
                <c:pt idx="108">
                  <c:v>151.82003300255673</c:v>
                </c:pt>
                <c:pt idx="109">
                  <c:v>144.57905484095454</c:v>
                </c:pt>
                <c:pt idx="110">
                  <c:v>137.3380766793523</c:v>
                </c:pt>
                <c:pt idx="111">
                  <c:v>130.0970985177501</c:v>
                </c:pt>
                <c:pt idx="112">
                  <c:v>122.85612035614787</c:v>
                </c:pt>
                <c:pt idx="113">
                  <c:v>115.61514219454565</c:v>
                </c:pt>
                <c:pt idx="114">
                  <c:v>108.37416403294343</c:v>
                </c:pt>
                <c:pt idx="115">
                  <c:v>101.13318587134121</c:v>
                </c:pt>
                <c:pt idx="116">
                  <c:v>93.892207709739</c:v>
                </c:pt>
                <c:pt idx="117">
                  <c:v>86.65122954813677</c:v>
                </c:pt>
                <c:pt idx="118">
                  <c:v>79.41025138653455</c:v>
                </c:pt>
                <c:pt idx="119">
                  <c:v>72.16927322493234</c:v>
                </c:pt>
                <c:pt idx="120">
                  <c:v>64.92829506333011</c:v>
                </c:pt>
                <c:pt idx="121">
                  <c:v>57.68731690172791</c:v>
                </c:pt>
                <c:pt idx="122">
                  <c:v>50.44633874012568</c:v>
                </c:pt>
                <c:pt idx="123">
                  <c:v>43.205360578523454</c:v>
                </c:pt>
                <c:pt idx="124">
                  <c:v>35.964382416921254</c:v>
                </c:pt>
                <c:pt idx="125">
                  <c:v>28.723404255319025</c:v>
                </c:pt>
                <c:pt idx="126">
                  <c:v>21.4824260937168</c:v>
                </c:pt>
                <c:pt idx="127">
                  <c:v>14.241447932114575</c:v>
                </c:pt>
                <c:pt idx="128">
                  <c:v>7.00046977051235</c:v>
                </c:pt>
                <c:pt idx="129">
                  <c:v>-0.24050839108983624</c:v>
                </c:pt>
                <c:pt idx="130">
                  <c:v>-7.481486552692061</c:v>
                </c:pt>
                <c:pt idx="131">
                  <c:v>-14.72246471429429</c:v>
                </c:pt>
                <c:pt idx="132">
                  <c:v>-21.96344287589651</c:v>
                </c:pt>
                <c:pt idx="133">
                  <c:v>-29.20442103749874</c:v>
                </c:pt>
                <c:pt idx="134">
                  <c:v>-36.44539919910096</c:v>
                </c:pt>
                <c:pt idx="135">
                  <c:v>-43.68637736070315</c:v>
                </c:pt>
                <c:pt idx="136">
                  <c:v>-50.927355522305376</c:v>
                </c:pt>
                <c:pt idx="137">
                  <c:v>-58.168333683907605</c:v>
                </c:pt>
                <c:pt idx="138">
                  <c:v>-65.40931184550982</c:v>
                </c:pt>
                <c:pt idx="139">
                  <c:v>-72.65029000711205</c:v>
                </c:pt>
                <c:pt idx="140">
                  <c:v>-79.89126816871428</c:v>
                </c:pt>
                <c:pt idx="141">
                  <c:v>-87.13224633031646</c:v>
                </c:pt>
                <c:pt idx="142">
                  <c:v>-94.37322449191869</c:v>
                </c:pt>
                <c:pt idx="143">
                  <c:v>-101.61420265352092</c:v>
                </c:pt>
                <c:pt idx="144">
                  <c:v>-108.85518081512313</c:v>
                </c:pt>
                <c:pt idx="145">
                  <c:v>-116.09615897672535</c:v>
                </c:pt>
                <c:pt idx="146">
                  <c:v>-123.33713713832759</c:v>
                </c:pt>
                <c:pt idx="147">
                  <c:v>-130.57811529992978</c:v>
                </c:pt>
                <c:pt idx="148">
                  <c:v>-137.819093461532</c:v>
                </c:pt>
                <c:pt idx="149">
                  <c:v>-145.06007162313423</c:v>
                </c:pt>
                <c:pt idx="150">
                  <c:v>-152.30104978473645</c:v>
                </c:pt>
                <c:pt idx="151">
                  <c:v>-152.30104978473645</c:v>
                </c:pt>
                <c:pt idx="152">
                  <c:v>-152.30104978473645</c:v>
                </c:pt>
                <c:pt idx="153">
                  <c:v>-152.30104978473645</c:v>
                </c:pt>
                <c:pt idx="154">
                  <c:v>-152.30104978473645</c:v>
                </c:pt>
                <c:pt idx="155">
                  <c:v>-152.30104978473645</c:v>
                </c:pt>
                <c:pt idx="156">
                  <c:v>-152.30104978473645</c:v>
                </c:pt>
                <c:pt idx="157">
                  <c:v>-152.30104978473645</c:v>
                </c:pt>
                <c:pt idx="158">
                  <c:v>-152.30104978473645</c:v>
                </c:pt>
                <c:pt idx="159">
                  <c:v>-152.30104978473645</c:v>
                </c:pt>
                <c:pt idx="160">
                  <c:v>-152.30104978473645</c:v>
                </c:pt>
                <c:pt idx="161">
                  <c:v>-152.30104978473645</c:v>
                </c:pt>
                <c:pt idx="162">
                  <c:v>-152.30104978473645</c:v>
                </c:pt>
                <c:pt idx="163">
                  <c:v>-152.30104978473645</c:v>
                </c:pt>
                <c:pt idx="164">
                  <c:v>-152.30104978473645</c:v>
                </c:pt>
                <c:pt idx="165">
                  <c:v>-152.30104978473645</c:v>
                </c:pt>
                <c:pt idx="166">
                  <c:v>-152.30104978473645</c:v>
                </c:pt>
                <c:pt idx="167">
                  <c:v>-152.30104978473645</c:v>
                </c:pt>
                <c:pt idx="168">
                  <c:v>-152.30104978473645</c:v>
                </c:pt>
                <c:pt idx="169">
                  <c:v>-152.30104978473645</c:v>
                </c:pt>
                <c:pt idx="170">
                  <c:v>-152.30104978473645</c:v>
                </c:pt>
                <c:pt idx="171">
                  <c:v>-152.30104978473645</c:v>
                </c:pt>
                <c:pt idx="172">
                  <c:v>-152.30104978473645</c:v>
                </c:pt>
                <c:pt idx="173">
                  <c:v>-152.30104978473645</c:v>
                </c:pt>
                <c:pt idx="174">
                  <c:v>-152.30104978473645</c:v>
                </c:pt>
                <c:pt idx="175">
                  <c:v>-152.30104978473645</c:v>
                </c:pt>
                <c:pt idx="176">
                  <c:v>-152.30104978473645</c:v>
                </c:pt>
                <c:pt idx="177">
                  <c:v>-152.30104978473645</c:v>
                </c:pt>
                <c:pt idx="178">
                  <c:v>-152.30104978473645</c:v>
                </c:pt>
                <c:pt idx="179">
                  <c:v>-152.30104978473645</c:v>
                </c:pt>
                <c:pt idx="180">
                  <c:v>-152.30104978473645</c:v>
                </c:pt>
                <c:pt idx="181">
                  <c:v>-152.30104978473645</c:v>
                </c:pt>
                <c:pt idx="182">
                  <c:v>-152.30104978473645</c:v>
                </c:pt>
                <c:pt idx="183">
                  <c:v>-152.30104978473645</c:v>
                </c:pt>
                <c:pt idx="184">
                  <c:v>-152.30104978473645</c:v>
                </c:pt>
                <c:pt idx="185">
                  <c:v>-152.30104978473645</c:v>
                </c:pt>
                <c:pt idx="186">
                  <c:v>-152.30104978473645</c:v>
                </c:pt>
                <c:pt idx="187">
                  <c:v>-152.30104978473645</c:v>
                </c:pt>
                <c:pt idx="188">
                  <c:v>-152.30104978473645</c:v>
                </c:pt>
                <c:pt idx="189">
                  <c:v>-152.30104978473645</c:v>
                </c:pt>
                <c:pt idx="190">
                  <c:v>-152.30104978473645</c:v>
                </c:pt>
                <c:pt idx="191">
                  <c:v>-152.30104978473645</c:v>
                </c:pt>
                <c:pt idx="192">
                  <c:v>-152.30104978473645</c:v>
                </c:pt>
                <c:pt idx="193">
                  <c:v>-152.30104978473645</c:v>
                </c:pt>
                <c:pt idx="194">
                  <c:v>-152.30104978473645</c:v>
                </c:pt>
                <c:pt idx="195">
                  <c:v>-152.30104978473645</c:v>
                </c:pt>
                <c:pt idx="196">
                  <c:v>-152.30104978473645</c:v>
                </c:pt>
                <c:pt idx="197">
                  <c:v>-152.30104978473645</c:v>
                </c:pt>
                <c:pt idx="198">
                  <c:v>-152.30104978473645</c:v>
                </c:pt>
                <c:pt idx="199">
                  <c:v>-152.30104978473645</c:v>
                </c:pt>
                <c:pt idx="200">
                  <c:v>-152.30104978473645</c:v>
                </c:pt>
              </c:numCache>
            </c:numRef>
          </c:xVal>
          <c:yVal>
            <c:numRef>
              <c:f>'광선 표본'!$Z$448:$Z$648</c:f>
              <c:numCache>
                <c:formatCode>0.000</c:formatCode>
                <c:ptCount val="201"/>
                <c:pt idx="0">
                  <c:v>-250.5995703094169</c:v>
                </c:pt>
                <c:pt idx="1">
                  <c:v>-250.5995703094169</c:v>
                </c:pt>
                <c:pt idx="2">
                  <c:v>-250.5995703094169</c:v>
                </c:pt>
                <c:pt idx="3">
                  <c:v>-250.5995703094169</c:v>
                </c:pt>
                <c:pt idx="4">
                  <c:v>-250.5995703094169</c:v>
                </c:pt>
                <c:pt idx="5">
                  <c:v>-250.5995703094169</c:v>
                </c:pt>
                <c:pt idx="6">
                  <c:v>-250.5995703094169</c:v>
                </c:pt>
                <c:pt idx="7">
                  <c:v>-250.5995703094169</c:v>
                </c:pt>
                <c:pt idx="8">
                  <c:v>-250.5995703094169</c:v>
                </c:pt>
                <c:pt idx="9">
                  <c:v>-250.5995703094169</c:v>
                </c:pt>
                <c:pt idx="10">
                  <c:v>-250.5995703094169</c:v>
                </c:pt>
                <c:pt idx="11">
                  <c:v>-250.5995703094169</c:v>
                </c:pt>
                <c:pt idx="12">
                  <c:v>-250.5995703094169</c:v>
                </c:pt>
                <c:pt idx="13">
                  <c:v>-250.5995703094169</c:v>
                </c:pt>
                <c:pt idx="14">
                  <c:v>-250.5995703094169</c:v>
                </c:pt>
                <c:pt idx="15">
                  <c:v>-250.5995703094169</c:v>
                </c:pt>
                <c:pt idx="16">
                  <c:v>-250.5995703094169</c:v>
                </c:pt>
                <c:pt idx="17">
                  <c:v>-250.5995703094169</c:v>
                </c:pt>
                <c:pt idx="18">
                  <c:v>-250.5995703094169</c:v>
                </c:pt>
                <c:pt idx="19">
                  <c:v>-250.5995703094169</c:v>
                </c:pt>
                <c:pt idx="20">
                  <c:v>-250.5995703094169</c:v>
                </c:pt>
                <c:pt idx="21">
                  <c:v>-250.5995703094169</c:v>
                </c:pt>
                <c:pt idx="22">
                  <c:v>-250.5995703094169</c:v>
                </c:pt>
                <c:pt idx="23">
                  <c:v>-250.5995703094169</c:v>
                </c:pt>
                <c:pt idx="24">
                  <c:v>-250.5995703094169</c:v>
                </c:pt>
                <c:pt idx="25">
                  <c:v>-250.5995703094169</c:v>
                </c:pt>
                <c:pt idx="26">
                  <c:v>-250.5995703094169</c:v>
                </c:pt>
                <c:pt idx="27">
                  <c:v>-250.5995703094169</c:v>
                </c:pt>
                <c:pt idx="28">
                  <c:v>-250.5995703094169</c:v>
                </c:pt>
                <c:pt idx="29">
                  <c:v>-250.5995703094169</c:v>
                </c:pt>
                <c:pt idx="30">
                  <c:v>-250.5995703094169</c:v>
                </c:pt>
                <c:pt idx="31">
                  <c:v>-250.5995703094169</c:v>
                </c:pt>
                <c:pt idx="32">
                  <c:v>-250.5995703094169</c:v>
                </c:pt>
                <c:pt idx="33">
                  <c:v>-250.5995703094169</c:v>
                </c:pt>
                <c:pt idx="34">
                  <c:v>-250.5995703094169</c:v>
                </c:pt>
                <c:pt idx="35">
                  <c:v>-250.5995703094169</c:v>
                </c:pt>
                <c:pt idx="36">
                  <c:v>-250.5995703094169</c:v>
                </c:pt>
                <c:pt idx="37">
                  <c:v>-250.5995703094169</c:v>
                </c:pt>
                <c:pt idx="38">
                  <c:v>-250.5995703094169</c:v>
                </c:pt>
                <c:pt idx="39">
                  <c:v>-250.5995703094169</c:v>
                </c:pt>
                <c:pt idx="40">
                  <c:v>-250.5995703094169</c:v>
                </c:pt>
                <c:pt idx="41">
                  <c:v>-250.5995703094169</c:v>
                </c:pt>
                <c:pt idx="42">
                  <c:v>-250.5995703094169</c:v>
                </c:pt>
                <c:pt idx="43">
                  <c:v>-250.5995703094169</c:v>
                </c:pt>
                <c:pt idx="44">
                  <c:v>-250.5995703094169</c:v>
                </c:pt>
                <c:pt idx="45">
                  <c:v>-250.5995703094169</c:v>
                </c:pt>
                <c:pt idx="46">
                  <c:v>-250.5995703094169</c:v>
                </c:pt>
                <c:pt idx="47">
                  <c:v>-250.5995703094169</c:v>
                </c:pt>
                <c:pt idx="48">
                  <c:v>-250.5995703094169</c:v>
                </c:pt>
                <c:pt idx="49">
                  <c:v>-250.5995703094169</c:v>
                </c:pt>
                <c:pt idx="50">
                  <c:v>-250.5995703094169</c:v>
                </c:pt>
                <c:pt idx="51">
                  <c:v>-240.5755874970402</c:v>
                </c:pt>
                <c:pt idx="52">
                  <c:v>-230.55160468466354</c:v>
                </c:pt>
                <c:pt idx="53">
                  <c:v>-220.52762187228686</c:v>
                </c:pt>
                <c:pt idx="54">
                  <c:v>-210.50363905991017</c:v>
                </c:pt>
                <c:pt idx="55">
                  <c:v>-200.4796562475335</c:v>
                </c:pt>
                <c:pt idx="56">
                  <c:v>-190.45567343515683</c:v>
                </c:pt>
                <c:pt idx="57">
                  <c:v>-180.43169062278017</c:v>
                </c:pt>
                <c:pt idx="58">
                  <c:v>-170.40770781040348</c:v>
                </c:pt>
                <c:pt idx="59">
                  <c:v>-160.38372499802682</c:v>
                </c:pt>
                <c:pt idx="60">
                  <c:v>-150.35974218565013</c:v>
                </c:pt>
                <c:pt idx="61">
                  <c:v>-140.33575937327348</c:v>
                </c:pt>
                <c:pt idx="62">
                  <c:v>-130.3117765608968</c:v>
                </c:pt>
                <c:pt idx="63">
                  <c:v>-120.2877937485201</c:v>
                </c:pt>
                <c:pt idx="64">
                  <c:v>-110.26381093614341</c:v>
                </c:pt>
                <c:pt idx="65">
                  <c:v>-100.23982812376676</c:v>
                </c:pt>
                <c:pt idx="66">
                  <c:v>-90.21584531139008</c:v>
                </c:pt>
                <c:pt idx="67">
                  <c:v>-80.1918624990134</c:v>
                </c:pt>
                <c:pt idx="68">
                  <c:v>-70.16787968663674</c:v>
                </c:pt>
                <c:pt idx="69">
                  <c:v>-60.14389687426005</c:v>
                </c:pt>
                <c:pt idx="70">
                  <c:v>-50.119914061883364</c:v>
                </c:pt>
                <c:pt idx="71">
                  <c:v>-40.09593124950671</c:v>
                </c:pt>
                <c:pt idx="72">
                  <c:v>-30.071948437130025</c:v>
                </c:pt>
                <c:pt idx="73">
                  <c:v>-20.047965624753342</c:v>
                </c:pt>
                <c:pt idx="74">
                  <c:v>-10.023982812376685</c:v>
                </c:pt>
                <c:pt idx="75">
                  <c:v>0</c:v>
                </c:pt>
                <c:pt idx="76">
                  <c:v>10.023982812376685</c:v>
                </c:pt>
                <c:pt idx="77">
                  <c:v>20.04796562475337</c:v>
                </c:pt>
                <c:pt idx="78">
                  <c:v>30.071948437130054</c:v>
                </c:pt>
                <c:pt idx="79">
                  <c:v>40.095931249506684</c:v>
                </c:pt>
                <c:pt idx="80">
                  <c:v>50.119914061883364</c:v>
                </c:pt>
                <c:pt idx="81">
                  <c:v>60.14389687426005</c:v>
                </c:pt>
                <c:pt idx="82">
                  <c:v>70.16787968663674</c:v>
                </c:pt>
                <c:pt idx="83">
                  <c:v>80.19186249901342</c:v>
                </c:pt>
                <c:pt idx="84">
                  <c:v>90.21584531139011</c:v>
                </c:pt>
                <c:pt idx="85">
                  <c:v>100.23982812376673</c:v>
                </c:pt>
                <c:pt idx="86">
                  <c:v>110.26381093614341</c:v>
                </c:pt>
                <c:pt idx="87">
                  <c:v>120.2877937485201</c:v>
                </c:pt>
                <c:pt idx="88">
                  <c:v>130.3117765608968</c:v>
                </c:pt>
                <c:pt idx="89">
                  <c:v>140.33575937327348</c:v>
                </c:pt>
                <c:pt idx="90">
                  <c:v>150.35974218565016</c:v>
                </c:pt>
                <c:pt idx="91">
                  <c:v>160.3837249980268</c:v>
                </c:pt>
                <c:pt idx="92">
                  <c:v>170.40770781040348</c:v>
                </c:pt>
                <c:pt idx="93">
                  <c:v>180.43169062278017</c:v>
                </c:pt>
                <c:pt idx="94">
                  <c:v>190.45567343515683</c:v>
                </c:pt>
                <c:pt idx="95">
                  <c:v>200.4796562475335</c:v>
                </c:pt>
                <c:pt idx="96">
                  <c:v>210.5036390599102</c:v>
                </c:pt>
                <c:pt idx="97">
                  <c:v>220.52762187228683</c:v>
                </c:pt>
                <c:pt idx="98">
                  <c:v>230.55160468466352</c:v>
                </c:pt>
                <c:pt idx="99">
                  <c:v>240.5755874970402</c:v>
                </c:pt>
                <c:pt idx="100">
                  <c:v>250.5995703094169</c:v>
                </c:pt>
                <c:pt idx="101">
                  <c:v>250.5995703094169</c:v>
                </c:pt>
                <c:pt idx="102">
                  <c:v>250.5995703094169</c:v>
                </c:pt>
                <c:pt idx="103">
                  <c:v>250.5995703094169</c:v>
                </c:pt>
                <c:pt idx="104">
                  <c:v>250.5995703094169</c:v>
                </c:pt>
                <c:pt idx="105">
                  <c:v>250.5995703094169</c:v>
                </c:pt>
                <c:pt idx="106">
                  <c:v>250.5995703094169</c:v>
                </c:pt>
                <c:pt idx="107">
                  <c:v>250.5995703094169</c:v>
                </c:pt>
                <c:pt idx="108">
                  <c:v>250.5995703094169</c:v>
                </c:pt>
                <c:pt idx="109">
                  <c:v>250.5995703094169</c:v>
                </c:pt>
                <c:pt idx="110">
                  <c:v>250.5995703094169</c:v>
                </c:pt>
                <c:pt idx="111">
                  <c:v>250.5995703094169</c:v>
                </c:pt>
                <c:pt idx="112">
                  <c:v>250.5995703094169</c:v>
                </c:pt>
                <c:pt idx="113">
                  <c:v>250.5995703094169</c:v>
                </c:pt>
                <c:pt idx="114">
                  <c:v>250.5995703094169</c:v>
                </c:pt>
                <c:pt idx="115">
                  <c:v>250.5995703094169</c:v>
                </c:pt>
                <c:pt idx="116">
                  <c:v>250.5995703094169</c:v>
                </c:pt>
                <c:pt idx="117">
                  <c:v>250.5995703094169</c:v>
                </c:pt>
                <c:pt idx="118">
                  <c:v>250.5995703094169</c:v>
                </c:pt>
                <c:pt idx="119">
                  <c:v>250.5995703094169</c:v>
                </c:pt>
                <c:pt idx="120">
                  <c:v>250.5995703094169</c:v>
                </c:pt>
                <c:pt idx="121">
                  <c:v>250.5995703094169</c:v>
                </c:pt>
                <c:pt idx="122">
                  <c:v>250.5995703094169</c:v>
                </c:pt>
                <c:pt idx="123">
                  <c:v>250.5995703094169</c:v>
                </c:pt>
                <c:pt idx="124">
                  <c:v>250.5995703094169</c:v>
                </c:pt>
                <c:pt idx="125">
                  <c:v>250.5995703094169</c:v>
                </c:pt>
                <c:pt idx="126">
                  <c:v>250.5995703094169</c:v>
                </c:pt>
                <c:pt idx="127">
                  <c:v>250.5995703094169</c:v>
                </c:pt>
                <c:pt idx="128">
                  <c:v>250.5995703094169</c:v>
                </c:pt>
                <c:pt idx="129">
                  <c:v>250.5995703094169</c:v>
                </c:pt>
                <c:pt idx="130">
                  <c:v>250.5995703094169</c:v>
                </c:pt>
                <c:pt idx="131">
                  <c:v>250.5995703094169</c:v>
                </c:pt>
                <c:pt idx="132">
                  <c:v>250.5995703094169</c:v>
                </c:pt>
                <c:pt idx="133">
                  <c:v>250.5995703094169</c:v>
                </c:pt>
                <c:pt idx="134">
                  <c:v>250.5995703094169</c:v>
                </c:pt>
                <c:pt idx="135">
                  <c:v>250.5995703094169</c:v>
                </c:pt>
                <c:pt idx="136">
                  <c:v>250.5995703094169</c:v>
                </c:pt>
                <c:pt idx="137">
                  <c:v>250.5995703094169</c:v>
                </c:pt>
                <c:pt idx="138">
                  <c:v>250.5995703094169</c:v>
                </c:pt>
                <c:pt idx="139">
                  <c:v>250.5995703094169</c:v>
                </c:pt>
                <c:pt idx="140">
                  <c:v>250.5995703094169</c:v>
                </c:pt>
                <c:pt idx="141">
                  <c:v>250.5995703094169</c:v>
                </c:pt>
                <c:pt idx="142">
                  <c:v>250.5995703094169</c:v>
                </c:pt>
                <c:pt idx="143">
                  <c:v>250.5995703094169</c:v>
                </c:pt>
                <c:pt idx="144">
                  <c:v>250.5995703094169</c:v>
                </c:pt>
                <c:pt idx="145">
                  <c:v>250.5995703094169</c:v>
                </c:pt>
                <c:pt idx="146">
                  <c:v>250.5995703094169</c:v>
                </c:pt>
                <c:pt idx="147">
                  <c:v>250.5995703094169</c:v>
                </c:pt>
                <c:pt idx="148">
                  <c:v>250.5995703094169</c:v>
                </c:pt>
                <c:pt idx="149">
                  <c:v>250.5995703094169</c:v>
                </c:pt>
                <c:pt idx="150">
                  <c:v>250.5995703094169</c:v>
                </c:pt>
                <c:pt idx="151">
                  <c:v>240.5755874970402</c:v>
                </c:pt>
                <c:pt idx="152">
                  <c:v>230.55160468466354</c:v>
                </c:pt>
                <c:pt idx="153">
                  <c:v>220.52762187228686</c:v>
                </c:pt>
                <c:pt idx="154">
                  <c:v>210.50363905991017</c:v>
                </c:pt>
                <c:pt idx="155">
                  <c:v>200.4796562475335</c:v>
                </c:pt>
                <c:pt idx="156">
                  <c:v>190.45567343515683</c:v>
                </c:pt>
                <c:pt idx="157">
                  <c:v>180.43169062278017</c:v>
                </c:pt>
                <c:pt idx="158">
                  <c:v>170.40770781040348</c:v>
                </c:pt>
                <c:pt idx="159">
                  <c:v>160.38372499802682</c:v>
                </c:pt>
                <c:pt idx="160">
                  <c:v>150.35974218565013</c:v>
                </c:pt>
                <c:pt idx="161">
                  <c:v>140.33575937327348</c:v>
                </c:pt>
                <c:pt idx="162">
                  <c:v>130.3117765608968</c:v>
                </c:pt>
                <c:pt idx="163">
                  <c:v>120.2877937485201</c:v>
                </c:pt>
                <c:pt idx="164">
                  <c:v>110.26381093614341</c:v>
                </c:pt>
                <c:pt idx="165">
                  <c:v>100.23982812376676</c:v>
                </c:pt>
                <c:pt idx="166">
                  <c:v>90.21584531139008</c:v>
                </c:pt>
                <c:pt idx="167">
                  <c:v>80.1918624990134</c:v>
                </c:pt>
                <c:pt idx="168">
                  <c:v>70.16787968663674</c:v>
                </c:pt>
                <c:pt idx="169">
                  <c:v>60.14389687426005</c:v>
                </c:pt>
                <c:pt idx="170">
                  <c:v>50.119914061883364</c:v>
                </c:pt>
                <c:pt idx="171">
                  <c:v>40.09593124950671</c:v>
                </c:pt>
                <c:pt idx="172">
                  <c:v>30.071948437130025</c:v>
                </c:pt>
                <c:pt idx="173">
                  <c:v>20.047965624753342</c:v>
                </c:pt>
                <c:pt idx="174">
                  <c:v>10.023982812376685</c:v>
                </c:pt>
                <c:pt idx="175">
                  <c:v>0</c:v>
                </c:pt>
                <c:pt idx="176">
                  <c:v>-10.023982812376685</c:v>
                </c:pt>
                <c:pt idx="177">
                  <c:v>-20.04796562475337</c:v>
                </c:pt>
                <c:pt idx="178">
                  <c:v>-30.071948437130054</c:v>
                </c:pt>
                <c:pt idx="179">
                  <c:v>-40.095931249506684</c:v>
                </c:pt>
                <c:pt idx="180">
                  <c:v>-50.119914061883364</c:v>
                </c:pt>
                <c:pt idx="181">
                  <c:v>-60.14389687426005</c:v>
                </c:pt>
                <c:pt idx="182">
                  <c:v>-70.16787968663674</c:v>
                </c:pt>
                <c:pt idx="183">
                  <c:v>-80.19186249901342</c:v>
                </c:pt>
                <c:pt idx="184">
                  <c:v>-90.21584531139011</c:v>
                </c:pt>
                <c:pt idx="185">
                  <c:v>-100.23982812376673</c:v>
                </c:pt>
                <c:pt idx="186">
                  <c:v>-110.26381093614341</c:v>
                </c:pt>
                <c:pt idx="187">
                  <c:v>-120.2877937485201</c:v>
                </c:pt>
                <c:pt idx="188">
                  <c:v>-130.3117765608968</c:v>
                </c:pt>
                <c:pt idx="189">
                  <c:v>-140.33575937327348</c:v>
                </c:pt>
                <c:pt idx="190">
                  <c:v>-150.35974218565016</c:v>
                </c:pt>
                <c:pt idx="191">
                  <c:v>-160.3837249980268</c:v>
                </c:pt>
                <c:pt idx="192">
                  <c:v>-170.40770781040348</c:v>
                </c:pt>
                <c:pt idx="193">
                  <c:v>-180.43169062278017</c:v>
                </c:pt>
                <c:pt idx="194">
                  <c:v>-190.45567343515683</c:v>
                </c:pt>
                <c:pt idx="195">
                  <c:v>-200.4796562475335</c:v>
                </c:pt>
                <c:pt idx="196">
                  <c:v>-210.5036390599102</c:v>
                </c:pt>
                <c:pt idx="197">
                  <c:v>-220.52762187228683</c:v>
                </c:pt>
                <c:pt idx="198">
                  <c:v>-230.55160468466352</c:v>
                </c:pt>
                <c:pt idx="199">
                  <c:v>-240.5755874970402</c:v>
                </c:pt>
                <c:pt idx="200">
                  <c:v>-250.5995703094169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V (mm)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 (mm)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853bb0108945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706328638d48b5" /></Relationships>
</file>

<file path=xl/worksheets/sheet1.xml><?xml version="1.0" encoding="utf-8"?>
<x:worksheet xmlns:x="http://schemas.openxmlformats.org/spreadsheetml/2006/main">
  <x:sheetPr>
    <x:tabColor rgb="FF233B59"/>
  </x:sheetPr>
  <x:sheetViews>
    <x:sheetView showGridLines="0" workbookViewId="0"/>
  </x:sheetViews>
  <x:sheetFormatPr defaultRowHeight="15"/>
  <x:cols>
    <x:col min="1" max="1" width="3" hidden="0" customWidth="1"/>
    <x:col min="2" max="2" width="27.5" hidden="0" customWidth="1"/>
    <x:col min="3" max="3" width="20" hidden="0" customWidth="1"/>
    <x:col min="4" max="4" width="8.75" hidden="0" customWidth="1"/>
    <x:col min="5" max="5" width="3" hidden="0" customWidth="1"/>
    <x:col min="6" max="6" width="27.5" hidden="0" customWidth="1"/>
    <x:col min="7" max="7" width="20" hidden="0" customWidth="1"/>
    <x:col min="8" max="8" width="8.75" hidden="0" customWidth="1"/>
    <x:col min="9" max="9" width="3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4"/>
      <x:c r="B2" s="5" t="str">
        <x:v>웨이퍼 반사·흡수판 계산기</x:v>
      </x:c>
      <x:c r="C2" s="4"/>
      <x:c r="D2" s="4"/>
      <x:c r="E2" s="4"/>
      <x:c r="F2" s="4"/>
      <x:c r="G2" s="4"/>
      <x:c r="H2" s="4"/>
      <x:c r="I2" s="4"/>
    </x:row>
    <x:row r="3" ht="23" customHeight="1">
      <x:c r="A3" s="4"/>
      <x:c r="B3" s="6"/>
      <x:c r="C3" s="6"/>
      <x:c r="D3" s="6"/>
      <x:c r="E3" s="6"/>
      <x:c r="F3" s="6"/>
      <x:c r="G3" s="6"/>
      <x:c r="H3" s="6"/>
      <x:c r="I3" s="4"/>
    </x:row>
    <x:row r="4" ht="25" customHeight="1">
      <x:c r="A4" s="4"/>
      <x:c r="B4" s="8" t="str">
        <x:v>계산 결과</x:v>
      </x:c>
      <x:c r="C4" s="8"/>
      <x:c r="D4" s="8"/>
      <x:c r="E4" s="4"/>
      <x:c r="F4" s="4"/>
      <x:c r="G4" s="4"/>
      <x:c r="H4" s="4"/>
      <x:c r="I4" s="4"/>
    </x:row>
    <x:row r="5" ht="28" customHeight="1">
      <x:c r="A5" s="4"/>
      <x:c r="B5" s="23" t="str">
        <x:v>필요 폭 U (여유 포함)</x:v>
      </x:c>
      <x:c r="C5" s="25" t="n">
        <x:f>IF(ISNUMBER('계산 과정'!$C$104),'계산 과정'!$C$104,"")</x:f>
        <x:v>362.1</x:v>
      </x:c>
      <x:c r="D5" s="23" t="str">
        <x:f>'계산 과정'!$C$106</x:f>
        <x:v>mm</x:v>
      </x:c>
      <x:c r="E5" s="4"/>
      <x:c r="F5" s="4"/>
      <x:c r="G5" s="4"/>
      <x:c r="H5" s="4"/>
      <x:c r="I5" s="4"/>
    </x:row>
    <x:row r="6" ht="28" customHeight="1">
      <x:c r="A6" s="4"/>
      <x:c r="B6" s="23" t="str">
        <x:v>필요 높이 V (여유 포함)</x:v>
      </x:c>
      <x:c r="C6" s="25" t="n">
        <x:f>IF(ISNUMBER('계산 과정'!$C$105),'계산 과정'!$C$105,"")</x:f>
        <x:v>501.2</x:v>
      </x:c>
      <x:c r="D6" s="23" t="str">
        <x:f>'계산 과정'!$C$106</x:f>
        <x:v>mm</x:v>
      </x:c>
      <x:c r="E6" s="4"/>
      <x:c r="F6" s="4"/>
      <x:c r="G6" s="4"/>
      <x:c r="H6" s="4"/>
      <x:c r="I6" s="4"/>
    </x:row>
    <x:row r="7" ht="23" customHeight="1">
      <x:c r="A7" s="4"/>
      <x:c r="B7" s="4" t="str">
        <x:v>이론 최소 폭 (여유 없음)</x:v>
      </x:c>
      <x:c r="C7" s="4" t="n">
        <x:f>IF(AND(ISNUMBER('계산 과정'!$C$84),'계산 과정'!$L$9),'계산 과정'!$C$84/'계산 과정'!$L$19,"")</x:f>
        <x:v>352.04890808011095</x:v>
      </x:c>
      <x:c r="D7" s="4" t="str">
        <x:f>'계산 과정'!$C$106</x:f>
        <x:v>mm</x:v>
      </x:c>
      <x:c r="E7" s="4"/>
      <x:c r="F7" s="4"/>
      <x:c r="G7" s="4"/>
      <x:c r="H7" s="4"/>
      <x:c r="I7" s="4"/>
    </x:row>
    <x:row r="8" ht="23" customHeight="1">
      <x:c r="A8" s="4"/>
      <x:c r="B8" s="4" t="str">
        <x:v>이론 최소 높이 (여유 없음)</x:v>
      </x:c>
      <x:c r="C8" s="4" t="n">
        <x:f>IF(AND(ISNUMBER('계산 과정'!$C$85),'계산 과정'!$L$9),'계산 과정'!$C$85/'계산 과정'!$L$19,"")</x:f>
        <x:v>491.1991406188338</x:v>
      </x:c>
      <x:c r="D8" s="4" t="str">
        <x:f>'계산 과정'!$C$106</x:f>
        <x:v>mm</x:v>
      </x:c>
      <x:c r="E8" s="4"/>
      <x:c r="F8" s="4"/>
      <x:c r="G8" s="4"/>
      <x:c r="H8" s="4"/>
      <x:c r="I8" s="4"/>
    </x:row>
    <x:row r="9" ht="23" customHeight="1">
      <x:c r="A9" s="4"/>
      <x:c r="B9" s="4" t="str">
        <x:v>배치 가능 여부</x:v>
      </x:c>
      <x:c r="C9" s="26" t="str">
        <x:f>'계산 과정'!$C$107</x:f>
        <x:v>계산 가능</x:v>
      </x:c>
      <x:c r="D9" s="4"/>
      <x:c r="E9" s="4"/>
      <x:c r="F9" s="4"/>
      <x:c r="G9" s="4"/>
      <x:c r="H9" s="4"/>
      <x:c r="I9" s="4"/>
    </x:row>
    <x:row r="10" ht="23" customHeight="1">
      <x:c r="A10" s="4"/>
      <x:c r="B10" s="4" t="str">
        <x:v>보유 판의 전체 커버</x:v>
      </x:c>
      <x:c r="C10" s="26" t="str">
        <x:f>'계산 과정'!$C$109</x:f>
        <x:v>충족</x:v>
      </x:c>
      <x:c r="D10" s="4"/>
      <x:c r="E10" s="4"/>
      <x:c r="F10" s="4"/>
      <x:c r="G10" s="4"/>
      <x:c r="H10" s="4"/>
      <x:c r="I10" s="4"/>
    </x:row>
    <x:row r="11" ht="23" customHeight="1">
      <x:c r="A11" s="4"/>
      <x:c r="B11" s="4" t="str">
        <x:v>가장자리 여유까지 커버</x:v>
      </x:c>
      <x:c r="C11" s="26" t="str">
        <x:f>'계산 과정'!$C$110</x:f>
        <x:v>충족</x:v>
      </x:c>
      <x:c r="D11" s="4"/>
      <x:c r="E11" s="4"/>
      <x:c r="F11" s="4"/>
      <x:c r="G11" s="4"/>
      <x:c r="H11" s="4"/>
      <x:c r="I11" s="4"/>
    </x:row>
    <x:row r="12" ht="23" customHeight="1">
      <x:c r="A12" s="4"/>
      <x:c r="B12" s="4" t="str">
        <x:v>웨이퍼 전체가 화면에 포함</x:v>
      </x:c>
      <x:c r="C12" s="26" t="str">
        <x:f>'계산 과정'!$C$108</x:f>
        <x:v>전체 포함</x:v>
      </x:c>
      <x:c r="D12" s="4"/>
      <x:c r="E12" s="4"/>
      <x:c r="F12" s="4"/>
      <x:c r="G12" s="4"/>
      <x:c r="H12" s="4"/>
      <x:c r="I12" s="4"/>
    </x:row>
    <x:row r="13" ht="23" customHeight="1">
      <x:c r="A13" s="4"/>
      <x:c r="B13" s="4" t="str">
        <x:v>반사광 커버율 (추정)</x:v>
      </x:c>
      <x:c r="C13" s="21" t="n">
        <x:f>IF(ISNUMBER('계산 과정'!$C$102),'계산 과정'!$C$102,"")</x:f>
        <x:v>1</x:v>
      </x:c>
      <x:c r="D13" s="4"/>
      <x:c r="E13" s="4"/>
      <x:c r="F13" s="4"/>
      <x:c r="G13" s="4"/>
      <x:c r="H13" s="4"/>
      <x:c r="I13" s="4"/>
    </x:row>
    <x:row r="14" ht="23" customHeight="1">
      <x:c r="A14" s="4"/>
      <x:c r="B14" s="4" t="str">
        <x:v>시야 포함 비율 (추정)</x:v>
      </x:c>
      <x:c r="C14" s="21" t="n">
        <x:f>IF(ISNUMBER('계산 과정'!$C$101),'계산 과정'!$C$101,"")</x:f>
        <x:v>1</x:v>
      </x:c>
      <x:c r="D14" s="4"/>
      <x:c r="E14" s="4"/>
      <x:c r="F14" s="4"/>
      <x:c r="G14" s="4"/>
      <x:c r="H14" s="4"/>
      <x:c r="I14" s="4"/>
    </x:row>
    <x:row r="15" ht="23" customHeight="1">
      <x:c r="A15" s="4"/>
      <x:c r="B15" s="4" t="str">
        <x:v>카메라 가림 비율 (추정)</x:v>
      </x:c>
      <x:c r="C15" s="21" t="n">
        <x:f>IF(ISNUMBER('계산 과정'!$C$103),'계산 과정'!$C$103,"")</x:f>
        <x:v>0</x:v>
      </x:c>
      <x:c r="D15" s="4"/>
      <x:c r="E15" s="4"/>
      <x:c r="F15" s="4"/>
      <x:c r="G15" s="4"/>
      <x:c r="H15" s="4"/>
      <x:c r="I15" s="4"/>
    </x:row>
    <x:row r="16" ht="23" customHeight="1">
      <x:c r="A16" s="4"/>
      <x:c r="B16" s="4" t="str">
        <x:v>선택 판 중심 U</x:v>
      </x:c>
      <x:c r="C16" s="4" t="n">
        <x:f>IF(AND(ISNUMBER('계산 과정'!$C$88),'계산 과정'!$L$9),'계산 과정'!$C$88/'계산 과정'!$L$19,"")</x:f>
        <x:v>28.723404255319025</x:v>
      </x:c>
      <x:c r="D16" s="4" t="str">
        <x:f>'계산 과정'!$C$106</x:f>
        <x:v>mm</x:v>
      </x:c>
      <x:c r="E16" s="4"/>
      <x:c r="F16" s="4"/>
      <x:c r="G16" s="4"/>
      <x:c r="H16" s="4"/>
      <x:c r="I16" s="4"/>
    </x:row>
    <x:row r="17" ht="23" customHeight="1">
      <x:c r="A17" s="4"/>
      <x:c r="B17" s="4" t="str">
        <x:v>선택 판 중심 V</x:v>
      </x:c>
      <x:c r="C17" s="4" t="n">
        <x:f>IF(AND(ISNUMBER('계산 과정'!$C$89),'계산 과정'!$L$9),'계산 과정'!$C$89/'계산 과정'!$L$19,"")</x:f>
        <x:v>0</x:v>
      </x:c>
      <x:c r="D17" s="4" t="str">
        <x:f>'계산 과정'!$C$106</x:f>
        <x:v>mm</x:v>
      </x:c>
      <x:c r="E17" s="4"/>
      <x:c r="F17" s="4"/>
      <x:c r="G17" s="4"/>
      <x:c r="H17" s="4"/>
      <x:c r="I17" s="4"/>
    </x:row>
    <x:row r="18" ht="23" customHeight="1">
      <x:c r="A18" s="4"/>
      <x:c r="B18" s="4" t="str">
        <x:v>실제 판 중심 높이 Z</x:v>
      </x:c>
      <x:c r="C18" s="4" t="n">
        <x:f>IF(AND(ISNUMBER('계산 과정'!$C$96),'계산 과정'!$L$9),'계산 과정'!$C$96/'계산 과정'!$L$19,"")</x:f>
        <x:v>303.1532264023176</x:v>
      </x:c>
      <x:c r="D18" s="4" t="str">
        <x:f>'계산 과정'!$C$106</x:f>
        <x:v>mm</x:v>
      </x:c>
      <x:c r="E18" s="4"/>
      <x:c r="F18" s="4"/>
      <x:c r="G18" s="4"/>
      <x:c r="H18" s="4"/>
      <x:c r="I18" s="4"/>
    </x:row>
    <x:row r="19" ht="23" customHeight="1">
      <x:c r="A19" s="4"/>
      <x:c r="B19" s="4" t="str">
        <x:v>판 기준점 높이</x:v>
      </x:c>
      <x:c r="C19" s="4" t="n">
        <x:f>IF(AND(ISNUMBER('계산 과정'!$C$97),'계산 과정'!$L$9),'계산 과정'!$C$97/'계산 과정'!$L$19,"")</x:f>
        <x:v>282.842712474619</x:v>
      </x:c>
      <x:c r="D19" s="4" t="str">
        <x:f>'계산 과정'!$C$106</x:f>
        <x:v>mm</x:v>
      </x:c>
      <x:c r="E19" s="4"/>
      <x:c r="F19" s="4"/>
      <x:c r="G19" s="4"/>
      <x:c r="H19" s="4"/>
      <x:c r="I19" s="4"/>
    </x:row>
    <x:row r="20" ht="23" customHeight="1">
      <x:c r="A20" s="4"/>
      <x:c r="B20" s="4" t="str">
        <x:v>판 반사축 거리</x:v>
      </x:c>
      <x:c r="C20" s="4" t="n">
        <x:f>IF(AND(ISNUMBER('계산 과정'!$C$98),'계산 과정'!$L$9),'계산 과정'!$C$98/'계산 과정'!$L$19,"")</x:f>
        <x:v>400</x:v>
      </x:c>
      <x:c r="D20" s="4" t="str">
        <x:f>'계산 과정'!$C$106</x:f>
        <x:v>mm</x:v>
      </x:c>
      <x:c r="E20" s="4"/>
      <x:c r="F20" s="4"/>
      <x:c r="G20" s="4"/>
      <x:c r="H20" s="4"/>
      <x:c r="I20" s="4"/>
    </x:row>
    <x:row r="21" ht="23" customHeight="1">
      <x:c r="A21" s="4"/>
      <x:c r="B21" s="19" t="str">
        <x:v>필요 크기는 mm 0.1 / cm 0.01 / inch 0.001 단위로 올림</x:v>
      </x:c>
      <x:c r="C21" s="19"/>
      <x:c r="D21" s="19"/>
      <x:c r="E21" s="19"/>
      <x:c r="F21" s="19" t="str">
        <x:v>판 좌표(mm). 두 축의 눈금 간격은 다를 수 있습니다.</x:v>
      </x:c>
      <x:c r="G21" s="19"/>
      <x:c r="H21" s="19"/>
      <x:c r="I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ht="25" customHeight="1">
      <x:c r="A23" s="4"/>
      <x:c r="B23" s="8" t="str">
        <x:v>카메라와 웨이퍼</x:v>
      </x:c>
      <x:c r="C23" s="8"/>
      <x:c r="D23" s="8"/>
      <x:c r="E23" s="4"/>
      <x:c r="F23" s="8" t="str">
        <x:v>흡수판</x:v>
      </x:c>
      <x:c r="G23" s="8"/>
      <x:c r="H23" s="8"/>
      <x:c r="I23" s="4"/>
    </x:row>
    <x:row r="24" ht="23" customHeight="1">
      <x:c r="A24" s="4"/>
      <x:c r="B24" s="19" t="str">
        <x:v>노란색 셀을 수정하세요.</x:v>
      </x:c>
      <x:c r="C24" s="19"/>
      <x:c r="D24" s="19"/>
      <x:c r="E24" s="4"/>
      <x:c r="F24" s="19" t="str">
        <x:v>길이는 mm, 각도는 °로 입력</x:v>
      </x:c>
      <x:c r="G24" s="19"/>
      <x:c r="H24" s="19"/>
      <x:c r="I24" s="4"/>
    </x:row>
    <x:row r="25" ht="23" customHeight="1">
      <x:c r="A25" s="4"/>
      <x:c r="B25" s="4" t="str">
        <x:v>웨이퍼 지름</x:v>
      </x:c>
      <x:c r="C25" s="13" t="n">
        <x:v>300</x:v>
      </x:c>
      <x:c r="D25" s="4" t="str">
        <x:v>mm</x:v>
      </x:c>
      <x:c r="E25" s="4"/>
      <x:c r="F25" s="4" t="str">
        <x:v>흡수판 기준점 거리</x:v>
      </x:c>
      <x:c r="G25" s="13" t="n">
        <x:v>400</x:v>
      </x:c>
      <x:c r="H25" s="4" t="str">
        <x:v>mm</x:v>
      </x:c>
      <x:c r="I25" s="4"/>
    </x:row>
    <x:row r="26" ht="23" customHeight="1">
      <x:c r="A26" s="4"/>
      <x:c r="B26" s="4" t="str">
        <x:v>카메라–웨이퍼 중심 거리</x:v>
      </x:c>
      <x:c r="C26" s="13" t="n">
        <x:v>650</x:v>
      </x:c>
      <x:c r="D26" s="4" t="str">
        <x:v>mm</x:v>
      </x:c>
      <x:c r="E26" s="4"/>
      <x:c r="F26" s="4" t="str">
        <x:v>판 거리 기준</x:v>
      </x:c>
      <x:c r="G26" s="16" t="str">
        <x:v>반사축 거리</x:v>
      </x:c>
      <x:c r="H26" s="4" t="str">
        <x:v>선택</x:v>
      </x:c>
      <x:c r="I26" s="4"/>
    </x:row>
    <x:row r="27" ht="23" customHeight="1">
      <x:c r="A27" s="4"/>
      <x:c r="B27" s="4" t="str">
        <x:v>관측 각도 (법선 기준)</x:v>
      </x:c>
      <x:c r="C27" s="13" t="n">
        <x:v>45</x:v>
      </x:c>
      <x:c r="D27" s="4" t="str">
        <x:v>°</x:v>
      </x:c>
      <x:c r="E27" s="4"/>
      <x:c r="F27" s="4" t="str">
        <x:v>판의 기본 자세</x:v>
      </x:c>
      <x:c r="G27" s="16" t="str">
        <x:v>반사광 수직</x:v>
      </x:c>
      <x:c r="H27" s="4" t="str">
        <x:v>선택</x:v>
      </x:c>
      <x:c r="I27" s="4"/>
    </x:row>
    <x:row r="28" ht="23" customHeight="1">
      <x:c r="A28" s="4"/>
      <x:c r="B28" s="4" t="str">
        <x:v>카메라 방위각</x:v>
      </x:c>
      <x:c r="C28" s="13" t="n">
        <x:v>0</x:v>
      </x:c>
      <x:c r="D28" s="4" t="str">
        <x:v>°</x:v>
      </x:c>
      <x:c r="E28" s="4"/>
      <x:c r="F28" s="4" t="str">
        <x:v>판 U축 기울기</x:v>
      </x:c>
      <x:c r="G28" s="13" t="n">
        <x:v>0</x:v>
      </x:c>
      <x:c r="H28" s="4" t="str">
        <x:v>°</x:v>
      </x:c>
      <x:c r="I28" s="4"/>
    </x:row>
    <x:row r="29" ht="23" customHeight="1">
      <x:c r="A29" s="4"/>
      <x:c r="B29" s="4" t="str">
        <x:v>카메라 롤</x:v>
      </x:c>
      <x:c r="C29" s="13" t="n">
        <x:v>0</x:v>
      </x:c>
      <x:c r="D29" s="4" t="str">
        <x:v>°</x:v>
      </x:c>
      <x:c r="E29" s="4"/>
      <x:c r="F29" s="4" t="str">
        <x:v>판 V축 기울기</x:v>
      </x:c>
      <x:c r="G29" s="13" t="n">
        <x:v>0</x:v>
      </x:c>
      <x:c r="H29" s="4" t="str">
        <x:v>°</x:v>
      </x:c>
      <x:c r="I29" s="4"/>
    </x:row>
    <x:row r="30" ht="23" customHeight="1">
      <x:c r="A30" s="4"/>
      <x:c r="B30" s="4" t="str">
        <x:v>렌즈 초점거리</x:v>
      </x:c>
      <x:c r="C30" s="13" t="n">
        <x:v>8</x:v>
      </x:c>
      <x:c r="D30" s="4" t="str">
        <x:v>mm</x:v>
      </x:c>
      <x:c r="E30" s="4"/>
      <x:c r="F30" s="4" t="str">
        <x:v>판 회전 (롤)</x:v>
      </x:c>
      <x:c r="G30" s="13" t="n">
        <x:v>0</x:v>
      </x:c>
      <x:c r="H30" s="4" t="str">
        <x:v>°</x:v>
      </x:c>
      <x:c r="I30" s="4"/>
    </x:row>
    <x:row r="31" ht="23" customHeight="1">
      <x:c r="A31" s="4"/>
      <x:c r="B31" s="4" t="str">
        <x:v>센서 가로</x:v>
      </x:c>
      <x:c r="C31" s="15" t="n">
        <x:v>8.4456</x:v>
      </x:c>
      <x:c r="D31" s="4" t="str">
        <x:v>mm</x:v>
      </x:c>
      <x:c r="E31" s="4"/>
      <x:c r="F31" s="4" t="str">
        <x:v>판 중심 배치</x:v>
      </x:c>
      <x:c r="G31" s="16" t="str">
        <x:v>자동</x:v>
      </x:c>
      <x:c r="H31" s="4" t="str">
        <x:v>선택</x:v>
      </x:c>
      <x:c r="I31" s="4"/>
    </x:row>
    <x:row r="32" ht="23" customHeight="1">
      <x:c r="A32" s="4"/>
      <x:c r="B32" s="4" t="str">
        <x:v>센서 세로</x:v>
      </x:c>
      <x:c r="C32" s="15" t="n">
        <x:v>7.0656</x:v>
      </x:c>
      <x:c r="D32" s="4" t="str">
        <x:v>mm</x:v>
      </x:c>
      <x:c r="E32" s="4"/>
      <x:c r="F32" s="4" t="str">
        <x:v>고정 중심 U</x:v>
      </x:c>
      <x:c r="G32" s="13" t="n">
        <x:v>0</x:v>
      </x:c>
      <x:c r="H32" s="4" t="str">
        <x:v>mm</x:v>
      </x:c>
      <x:c r="I32" s="4"/>
    </x:row>
    <x:row r="33" ht="23" customHeight="1">
      <x:c r="A33" s="4"/>
      <x:c r="B33" s="4" t="str">
        <x:v>결과 표시 단위</x:v>
      </x:c>
      <x:c r="C33" s="16" t="str">
        <x:v>mm</x:v>
      </x:c>
      <x:c r="D33" s="4" t="str">
        <x:v>선택</x:v>
      </x:c>
      <x:c r="E33" s="4"/>
      <x:c r="F33" s="4" t="str">
        <x:v>고정 중심 V</x:v>
      </x:c>
      <x:c r="G33" s="13" t="n">
        <x:v>0</x:v>
      </x:c>
      <x:c r="H33" s="4" t="str">
        <x:v>mm</x:v>
      </x:c>
      <x:c r="I33" s="4"/>
    </x:row>
    <x:row r="34" ht="23" customHeight="1">
      <x:c r="A34" s="4"/>
      <x:c r="B34" s="4"/>
      <x:c r="C34" s="4"/>
      <x:c r="D34" s="4"/>
      <x:c r="E34" s="4"/>
      <x:c r="F34" s="4" t="str">
        <x:v>가장자리 여유 (한쪽)</x:v>
      </x:c>
      <x:c r="G34" s="13" t="n">
        <x:v>5</x:v>
      </x:c>
      <x:c r="H34" s="4" t="str">
        <x:v>mm</x:v>
      </x:c>
      <x:c r="I34" s="4"/>
    </x:row>
    <x:row r="35" ht="23" customHeight="1">
      <x:c r="A35" s="4"/>
      <x:c r="B35" s="4" t="str">
        <x:v>기본 카메라</x:v>
      </x:c>
      <x:c r="C35" s="4"/>
      <x:c r="D35" s="4"/>
      <x:c r="E35" s="4"/>
      <x:c r="F35" s="4" t="str">
        <x:v>보유 판 폭 U</x:v>
      </x:c>
      <x:c r="G35" s="13" t="n">
        <x:v>520</x:v>
      </x:c>
      <x:c r="H35" s="4" t="str">
        <x:v>mm</x:v>
      </x:c>
      <x:c r="I35" s="4"/>
    </x:row>
    <x:row r="36" ht="23" customHeight="1">
      <x:c r="A36" s="4"/>
      <x:c r="B36" s="4" t="str">
        <x:v>HIKROBOT MV-CS050-10GM</x:v>
      </x:c>
      <x:c r="C36" s="4"/>
      <x:c r="D36" s="4"/>
      <x:c r="E36" s="4"/>
      <x:c r="F36" s="4" t="str">
        <x:v>보유 판 높이 V</x:v>
      </x:c>
      <x:c r="G36" s="13" t="n">
        <x:v>520</x:v>
      </x:c>
      <x:c r="H36" s="4" t="str">
        <x:v>mm</x:v>
      </x:c>
      <x:c r="I36" s="4"/>
    </x:row>
    <x:row r="37" ht="23" customHeight="1">
      <x:c r="A37" s="4"/>
      <x:c r="B37" s="4" t="str">
        <x:v>2448 × 2048 px, 픽셀 3.45 μm</x:v>
      </x:c>
      <x:c r="C37" s="4"/>
      <x:c r="D37" s="4"/>
      <x:c r="E37" s="4"/>
      <x:c r="F37" s="4" t="str">
        <x:v>거리·각도 기본값은 측정값이 아닌 예시 조건입니다.</x:v>
      </x:c>
      <x:c r="G37" s="4"/>
      <x:c r="H37" s="4"/>
      <x:c r="I37" s="4"/>
    </x:row>
    <x:row r="38" ht="23" customHeight="1">
      <x:c r="A38" s="4"/>
      <x:c r="B38" s="4" t="str">
        <x:v>센서 = 해상도 × 픽셀 크기. 공식 사양서: 아래 URL</x:v>
      </x:c>
      <x:c r="C38" s="4"/>
      <x:c r="D38" s="4"/>
      <x:c r="E38" s="4"/>
      <x:c r="F38" s="4" t="str">
        <x:v>고정 중심 U·V는 중심 배치가 ‘고정’일 때 사용합니다.</x:v>
      </x:c>
      <x:c r="G38" s="4"/>
      <x:c r="H38" s="4"/>
      <x:c r="I38" s="4"/>
    </x:row>
    <x:row r="39" ht="23" customHeight="1">
      <x:c r="A39" s="4"/>
      <x:c r="B39" s="20" t="str">
        <x:v>https://www.hikrobotics.com/cn2/source/vision/document/2023/12/6/MV-CS050-10GM%28NPOE%29_20230508.pdf</x:v>
      </x:c>
      <x:c r="C39" s="4"/>
      <x:c r="D39" s="4"/>
      <x:c r="E39" s="4"/>
      <x:c r="F39" s="4"/>
      <x:c r="G39" s="4"/>
      <x:c r="H39" s="4"/>
      <x:c r="I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  <x:c r="I40" s="4"/>
    </x:row>
    <x:row r="41" ht="25" customHeight="1">
      <x:c r="A41" s="4"/>
      <x:c r="B41" s="8" t="str">
        <x:v>거리와 각도의 기준</x:v>
      </x:c>
      <x:c r="C41" s="8"/>
      <x:c r="D41" s="8"/>
      <x:c r="E41" s="4"/>
      <x:c r="F41" s="8" t="str">
        <x:v>결과 해석</x:v>
      </x:c>
      <x:c r="G41" s="8"/>
      <x:c r="H41" s="8"/>
      <x:c r="I41" s="4"/>
    </x:row>
    <x:row r="42" ht="23" customHeight="1">
      <x:c r="A42" s="4"/>
      <x:c r="B42" s="4" t="str">
        <x:v>웨이퍼는 z=0 평면, 카메라는 웨이퍼 중심을 향합니다.</x:v>
      </x:c>
      <x:c r="C42" s="4"/>
      <x:c r="D42" s="4"/>
      <x:c r="E42" s="4"/>
      <x:c r="F42" s="4" t="str">
        <x:v>평면 정반사와 핀홀 모델. 렌즈 왜곡·초점 오차는 제외합니다.</x:v>
      </x:c>
      <x:c r="G42" s="4"/>
      <x:c r="H42" s="4"/>
      <x:c r="I42" s="4"/>
    </x:row>
    <x:row r="43" ht="23" customHeight="1">
      <x:c r="A43" s="4"/>
      <x:c r="B43" s="4" t="str">
        <x:v>관측 각도 0°는 정면이며, 90°에 가까울수록 비스듬합니다.</x:v>
      </x:c>
      <x:c r="C43" s="4"/>
      <x:c r="D43" s="4"/>
      <x:c r="E43" s="4"/>
      <x:c r="F43" s="4" t="str">
        <x:v>최소 크기는 현재 U·V 방향에 맞춘 사각형의 정확한 극값입니다.</x:v>
      </x:c>
      <x:c r="G43" s="4"/>
      <x:c r="H43" s="4"/>
      <x:c r="I43" s="4"/>
    </x:row>
    <x:row r="44" ht="23" customHeight="1">
      <x:c r="A44" s="4"/>
      <x:c r="B44" s="4" t="str">
        <x:v>판 거리는 반사축상의 기준점 A까지의 거리 또는 높이입니다.</x:v>
      </x:c>
      <x:c r="C44" s="4"/>
      <x:c r="D44" s="4"/>
      <x:c r="E44" s="4"/>
      <x:c r="F44" s="4" t="str">
        <x:v>전체 포함 판정은 해석식, 면적 비율은 2,048개 표본 추정입니다.</x:v>
      </x:c>
      <x:c r="G44" s="4"/>
      <x:c r="H44" s="4"/>
      <x:c r="I44" s="4"/>
    </x:row>
    <x:row r="45" ht="23" customHeight="1">
      <x:c r="A45" s="4"/>
      <x:c r="B45" s="4" t="str">
        <x:v>판 자세 적용 순서: 기본 자세, U 기울기, V 기울기, 롤.</x:v>
      </x:c>
      <x:c r="C45" s="4"/>
      <x:c r="D45" s="4"/>
      <x:c r="E45" s="4"/>
      <x:c r="F45" s="4" t="str">
        <x:v>렌즈·센서 변경은 시야에만 영향을 주며 반사 영역은 같습니다.</x:v>
      </x:c>
      <x:c r="G45" s="4"/>
      <x:c r="H45" s="4"/>
      <x:c r="I45" s="4"/>
    </x:row>
    <x:row r="46" ht="23" customHeight="1">
      <x:c r="A46" s="4"/>
      <x:c r="B46" s="4" t="str">
        <x:v>자동 배치 시 판 중심은 기준점 A에서 이동할 수 있습니다.</x:v>
      </x:c>
      <x:c r="C46" s="4"/>
      <x:c r="D46" s="4"/>
      <x:c r="E46" s="4"/>
      <x:c r="F46" s="4" t="str">
        <x:v>가림 비율이 0%보다 크면 실제 판이 카메라 시선을 막습니다.</x:v>
      </x:c>
      <x:c r="G46" s="4"/>
      <x:c r="H46" s="4"/>
      <x:c r="I46" s="4"/>
    </x:row>
    <x:row r="47" ht="23" customHeight="1">
      <x:c r="A47" s="4"/>
      <x:c r="B47" s="4" t="str">
        <x:v>결과 단위를 바꿔도 입력 셀의 mm 단위는 바뀌지 않습니다.</x:v>
      </x:c>
      <x:c r="C47" s="4"/>
      <x:c r="D47" s="4"/>
      <x:c r="E47" s="4"/>
      <x:c r="F47" s="4" t="str">
        <x:v>3D 회전 화면·프리셋·검증 버튼은 함께 제공한 웹에서 사용하세요.</x:v>
      </x:c>
      <x:c r="G47" s="4"/>
      <x:c r="H47" s="4"/>
      <x:c r="I47" s="4"/>
    </x:row>
    <x:row r="48" ht="23" customHeight="1">
      <x:c r="A48" s="4"/>
      <x:c r="B48" s="4"/>
      <x:c r="C48" s="4"/>
      <x:c r="D48" s="4"/>
      <x:c r="E48" s="4"/>
      <x:c r="F48" s="4"/>
      <x:c r="G48" s="4"/>
      <x:c r="H48" s="4"/>
      <x:c r="I48" s="4"/>
    </x:row>
    <x:row r="49" ht="23" customHeight="1">
      <x:c r="A49" s="4"/>
      <x:c r="B49" s="4"/>
      <x:c r="C49" s="4"/>
      <x:c r="D49" s="4"/>
      <x:c r="E49" s="4"/>
      <x:c r="F49" s="4"/>
      <x:c r="G49" s="4"/>
      <x:c r="H49" s="4"/>
      <x:c r="I49" s="4"/>
    </x:row>
  </x:sheetData>
  <x:conditionalFormatting sqref="C25:C25">
    <x:cfRule type="expression" dxfId="0" priority="1">
      <x:formula>NOT(AND(ISNUMBER(C25),C25&gt;=1,C25&lt;=3000))</x:formula>
    </x:cfRule>
  </x:conditionalFormatting>
  <x:conditionalFormatting sqref="C26:C26">
    <x:cfRule type="expression" dxfId="1" priority="2">
      <x:formula>NOT(AND(ISNUMBER(C26),C26&gt;=1,C26&lt;=50000))</x:formula>
    </x:cfRule>
  </x:conditionalFormatting>
  <x:conditionalFormatting sqref="C27:C27">
    <x:cfRule type="expression" dxfId="2" priority="3">
      <x:formula>NOT(AND(ISNUMBER(C27),C27&gt;=0,C27&lt;=89.5))</x:formula>
    </x:cfRule>
  </x:conditionalFormatting>
  <x:conditionalFormatting sqref="C28:C28">
    <x:cfRule type="expression" dxfId="3" priority="4">
      <x:formula>NOT(AND(ISNUMBER(C28),C28&gt;=-180,C28&lt;=180))</x:formula>
    </x:cfRule>
  </x:conditionalFormatting>
  <x:conditionalFormatting sqref="C29:C29">
    <x:cfRule type="expression" dxfId="4" priority="5">
      <x:formula>NOT(AND(ISNUMBER(C29),C29&gt;=-180,C29&lt;=180))</x:formula>
    </x:cfRule>
  </x:conditionalFormatting>
  <x:conditionalFormatting sqref="C30:C30">
    <x:cfRule type="expression" dxfId="5" priority="6">
      <x:formula>NOT(AND(ISNUMBER(C30),C30&gt;=0.1,C30&lt;=1000))</x:formula>
    </x:cfRule>
  </x:conditionalFormatting>
  <x:conditionalFormatting sqref="C31:C31">
    <x:cfRule type="expression" dxfId="6" priority="7">
      <x:formula>NOT(AND(ISNUMBER(C31),C31&gt;=0.1,C31&lt;=1000))</x:formula>
    </x:cfRule>
  </x:conditionalFormatting>
  <x:conditionalFormatting sqref="C32:C32">
    <x:cfRule type="expression" dxfId="7" priority="8">
      <x:formula>NOT(AND(ISNUMBER(C32),C32&gt;=0.1,C32&lt;=1000))</x:formula>
    </x:cfRule>
  </x:conditionalFormatting>
  <x:conditionalFormatting sqref="G25:G25">
    <x:cfRule type="expression" dxfId="8" priority="9">
      <x:formula>NOT(AND(ISNUMBER(G25),G25&gt;=0.1,G25&lt;=50000))</x:formula>
    </x:cfRule>
  </x:conditionalFormatting>
  <x:conditionalFormatting sqref="G26:G26">
    <x:cfRule type="expression" dxfId="9" priority="10">
      <x:formula>NOT(OR(G26="반사축 거리",G26="수직 높이"))</x:formula>
    </x:cfRule>
  </x:conditionalFormatting>
  <x:conditionalFormatting sqref="G27:G27">
    <x:cfRule type="expression" dxfId="10" priority="11">
      <x:formula>NOT(OR(G27="반사광 수직",G27="웨이퍼 평행"))</x:formula>
    </x:cfRule>
  </x:conditionalFormatting>
  <x:conditionalFormatting sqref="G28:G28">
    <x:cfRule type="expression" dxfId="11" priority="12">
      <x:formula>NOT(AND(ISNUMBER(G28),G28&gt;=-180,G28&lt;=180))</x:formula>
    </x:cfRule>
  </x:conditionalFormatting>
  <x:conditionalFormatting sqref="G29:G29">
    <x:cfRule type="expression" dxfId="12" priority="13">
      <x:formula>NOT(AND(ISNUMBER(G29),G29&gt;=-180,G29&lt;=180))</x:formula>
    </x:cfRule>
  </x:conditionalFormatting>
  <x:conditionalFormatting sqref="G30:G30">
    <x:cfRule type="expression" dxfId="13" priority="14">
      <x:formula>NOT(AND(ISNUMBER(G30),G30&gt;=-180,G30&lt;=180))</x:formula>
    </x:cfRule>
  </x:conditionalFormatting>
  <x:conditionalFormatting sqref="G31:G31">
    <x:cfRule type="expression" dxfId="14" priority="15">
      <x:formula>NOT(OR(G31="자동",G31="고정"))</x:formula>
    </x:cfRule>
  </x:conditionalFormatting>
  <x:conditionalFormatting sqref="G32:G32">
    <x:cfRule type="expression" dxfId="15" priority="16">
      <x:formula>NOT(AND(ISNUMBER(G32),G32&gt;=-50000,G32&lt;=50000))</x:formula>
    </x:cfRule>
  </x:conditionalFormatting>
  <x:conditionalFormatting sqref="G33:G33">
    <x:cfRule type="expression" dxfId="16" priority="17">
      <x:formula>NOT(AND(ISNUMBER(G33),G33&gt;=-50000,G33&lt;=50000))</x:formula>
    </x:cfRule>
  </x:conditionalFormatting>
  <x:conditionalFormatting sqref="G34:G34">
    <x:cfRule type="expression" dxfId="17" priority="18">
      <x:formula>NOT(AND(ISNUMBER(G34),G34&gt;=0,G34&lt;=5000))</x:formula>
    </x:cfRule>
  </x:conditionalFormatting>
  <x:conditionalFormatting sqref="G35:G35">
    <x:cfRule type="expression" dxfId="18" priority="19">
      <x:formula>NOT(AND(ISNUMBER(G35),G35&gt;=0.1,G35&lt;=100000))</x:formula>
    </x:cfRule>
  </x:conditionalFormatting>
  <x:conditionalFormatting sqref="G36:G36">
    <x:cfRule type="expression" dxfId="19" priority="20">
      <x:formula>NOT(AND(ISNUMBER(G36),G36&gt;=0.1,G36&lt;=100000))</x:formula>
    </x:cfRule>
  </x:conditionalFormatting>
  <x:conditionalFormatting sqref="C33:C33">
    <x:cfRule type="expression" dxfId="20" priority="21">
      <x:formula>NOT(OR(C33="mm",C33="cm",C33="inch"))</x:formula>
    </x:cfRule>
  </x:conditionalFormatting>
  <x:conditionalFormatting sqref="C5:C6">
    <x:cfRule type="expression" dxfId="21" priority="22">
      <x:formula>$C$33="cm"</x:formula>
    </x:cfRule>
    <x:cfRule type="expression" dxfId="22" priority="23">
      <x:formula>$C$33="inch"</x:formula>
    </x:cfRule>
  </x:conditionalFormatting>
  <x:conditionalFormatting sqref="C9:C12">
    <x:cfRule type="expression" dxfId="23" priority="24">
      <x:formula>OR(C9="유한 크기 없음",C9="전방 교차 불가",C9="입력 확인",C9="판 크기 입력 확인",C9="부족",C9="일부 벗어남",C9="계산 불가")</x:formula>
    </x:cfRule>
  </x:conditionalFormatting>
  <x:conditionalFormatting sqref="C9:C9">
    <x:cfRule type="containsText" dxfId="24" priority="25" operator="containsText" text="한계 근접"/>
  </x:conditionalFormatting>
  <x:conditionalFormatting sqref="C15:C15">
    <x:cfRule type="cellIs" dxfId="25" priority="26" operator="greaterThan">
      <x:formula>0</x:formula>
    </x:cfRule>
  </x:conditionalFormatting>
  <x:dataValidations count="21">
    <x:dataValidation type="decimal" operator="between" sqref="C25">
      <x:formula1>1</x:formula1>
      <x:formula2>3000</x:formula2>
    </x:dataValidation>
    <x:dataValidation type="decimal" operator="between" sqref="C26">
      <x:formula1>1</x:formula1>
      <x:formula2>50000</x:formula2>
    </x:dataValidation>
    <x:dataValidation type="decimal" operator="between" sqref="C27">
      <x:formula1>0</x:formula1>
      <x:formula2>89.5</x:formula2>
    </x:dataValidation>
    <x:dataValidation type="decimal" operator="between" sqref="C28">
      <x:formula1>-180</x:formula1>
      <x:formula2>180</x:formula2>
    </x:dataValidation>
    <x:dataValidation type="decimal" operator="between" sqref="C29">
      <x:formula1>-180</x:formula1>
      <x:formula2>180</x:formula2>
    </x:dataValidation>
    <x:dataValidation type="decimal" operator="between" sqref="C30">
      <x:formula1>0.1</x:formula1>
      <x:formula2>1000</x:formula2>
    </x:dataValidation>
    <x:dataValidation type="decimal" operator="between" sqref="C31">
      <x:formula1>0.1</x:formula1>
      <x:formula2>1000</x:formula2>
    </x:dataValidation>
    <x:dataValidation type="decimal" operator="between" sqref="C32">
      <x:formula1>0.1</x:formula1>
      <x:formula2>1000</x:formula2>
    </x:dataValidation>
    <x:dataValidation type="decimal" operator="between" sqref="G25">
      <x:formula1>0.1</x:formula1>
      <x:formula2>50000</x:formula2>
    </x:dataValidation>
    <x:dataValidation type="list" sqref="G26">
      <x:formula1>"반사축 거리,수직 높이"</x:formula1>
    </x:dataValidation>
    <x:dataValidation type="list" sqref="G27">
      <x:formula1>"반사광 수직,웨이퍼 평행"</x:formula1>
    </x:dataValidation>
    <x:dataValidation type="decimal" operator="between" sqref="G28">
      <x:formula1>-180</x:formula1>
      <x:formula2>180</x:formula2>
    </x:dataValidation>
    <x:dataValidation type="decimal" operator="between" sqref="G29">
      <x:formula1>-180</x:formula1>
      <x:formula2>180</x:formula2>
    </x:dataValidation>
    <x:dataValidation type="decimal" operator="between" sqref="G30">
      <x:formula1>-180</x:formula1>
      <x:formula2>180</x:formula2>
    </x:dataValidation>
    <x:dataValidation type="list" sqref="G31">
      <x:formula1>"자동,고정"</x:formula1>
    </x:dataValidation>
    <x:dataValidation type="decimal" operator="between" sqref="G32">
      <x:formula1>-50000</x:formula1>
      <x:formula2>50000</x:formula2>
    </x:dataValidation>
    <x:dataValidation type="decimal" operator="between" sqref="G33">
      <x:formula1>-50000</x:formula1>
      <x:formula2>50000</x:formula2>
    </x:dataValidation>
    <x:dataValidation type="decimal" operator="between" sqref="G34">
      <x:formula1>0</x:formula1>
      <x:formula2>5000</x:formula2>
    </x:dataValidation>
    <x:dataValidation type="decimal" operator="between" sqref="G35">
      <x:formula1>0.1</x:formula1>
      <x:formula2>100000</x:formula2>
    </x:dataValidation>
    <x:dataValidation type="decimal" operator="between" sqref="G36">
      <x:formula1>0.1</x:formula1>
      <x:formula2>100000</x:formula2>
    </x:dataValidation>
    <x:dataValidation type="list" sqref="C33">
      <x:formula1>"mm,cm,inch"</x:formula1>
    </x:dataValidation>
  </x:dataValidations>
  <x:pageMargins left="0.7" right="0.7" top="0.75" bottom="0.75" header="0.3" footer="0.3"/>
  <x:drawing xmlns:r="http://schemas.openxmlformats.org/officeDocument/2006/relationships" r:id="R44706328638d48b5"/>
</x:worksheet>
</file>

<file path=xl/worksheets/sheet2.xml><?xml version="1.0" encoding="utf-8"?>
<x:worksheet xmlns:x="http://schemas.openxmlformats.org/spreadsheetml/2006/main">
  <x:sheetPr>
    <x:tabColor rgb="FF6C829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  <x:col min="9" max="9" width="3" hidden="0" customWidth="1"/>
    <x:col min="10" max="10" width="3" hidden="0" customWidth="1"/>
    <x:col min="11" max="11" width="28.1299991607666" hidden="0" customWidth="1"/>
    <x:col min="12" max="12" width="17.5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4"/>
      <x:c r="B2" s="5" t="str">
        <x:v>계산 과정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3" customHeight="1">
      <x:c r="A3" s="4"/>
      <x:c r="B3" s="6"/>
      <x:c r="C3" s="6"/>
      <x:c r="D3" s="6"/>
      <x:c r="E3" s="6"/>
      <x:c r="F3" s="6"/>
      <x:c r="G3" s="6"/>
      <x:c r="H3" s="6"/>
      <x:c r="I3" s="4"/>
      <x:c r="J3" s="4"/>
      <x:c r="K3" s="4"/>
      <x:c r="L3" s="4"/>
      <x:c r="M3" s="4"/>
    </x:row>
    <x:row r="4" ht="25" customHeight="1">
      <x:c r="A4" s="4"/>
      <x:c r="B4" s="8" t="str">
        <x:v>연결된 입력값</x:v>
      </x:c>
      <x:c r="C4" s="9" t="str">
        <x:v>단위</x:v>
      </x:c>
      <x:c r="D4" s="9" t="str">
        <x:v>값</x:v>
      </x:c>
      <x:c r="E4" s="9" t="str">
        <x:v>유효 (1/0)</x:v>
      </x:c>
      <x:c r="F4" s="4"/>
      <x:c r="G4" s="4"/>
      <x:c r="H4" s="4"/>
      <x:c r="I4" s="4"/>
      <x:c r="J4" s="4"/>
      <x:c r="K4" s="8" t="str">
        <x:v>계산 조건과 상수</x:v>
      </x:c>
      <x:c r="L4" s="8"/>
      <x:c r="M4" s="4"/>
    </x:row>
    <x:row r="5" ht="23" customHeight="1">
      <x:c r="A5" s="4"/>
      <x:c r="B5" s="4" t="str">
        <x:v>웨이퍼 지름</x:v>
      </x:c>
      <x:c r="C5" s="4" t="str">
        <x:v>mm</x:v>
      </x:c>
      <x:c r="D5" s="4" t="n">
        <x:f>IF(ISBLANK('계산기'!C25),"",'계산기'!C25)</x:f>
        <x:v>300</x:v>
      </x:c>
      <x:c r="E5" s="17" t="b">
        <x:f>AND(ISNUMBER(D5),D5&gt;=1,D5&lt;=3000)</x:f>
        <x:v>1</x:v>
      </x:c>
      <x:c r="F5" s="4"/>
      <x:c r="G5" s="4"/>
      <x:c r="H5" s="4"/>
      <x:c r="I5" s="4"/>
      <x:c r="J5" s="4"/>
      <x:c r="K5" s="4" t="str">
        <x:v>카메라 배치 입력 유효</x:v>
      </x:c>
      <x:c r="L5" s="17" t="b">
        <x:f>AND(E5:E9)</x:f>
        <x:v>1</x:v>
      </x:c>
      <x:c r="M5" s="4"/>
    </x:row>
    <x:row r="6" ht="23" customHeight="1">
      <x:c r="A6" s="4"/>
      <x:c r="B6" s="4" t="str">
        <x:v>카메라–웨이퍼 중심 거리</x:v>
      </x:c>
      <x:c r="C6" s="4" t="str">
        <x:v>mm</x:v>
      </x:c>
      <x:c r="D6" s="4" t="n">
        <x:f>IF(ISBLANK('계산기'!C26),"",'계산기'!C26)</x:f>
        <x:v>650</x:v>
      </x:c>
      <x:c r="E6" s="17" t="b">
        <x:f>AND(ISNUMBER(D6),D6&gt;=1,D6&lt;=50000)</x:f>
        <x:v>1</x:v>
      </x:c>
      <x:c r="F6" s="4"/>
      <x:c r="G6" s="4"/>
      <x:c r="H6" s="4"/>
      <x:c r="I6" s="4"/>
      <x:c r="J6" s="4"/>
      <x:c r="K6" s="4" t="str">
        <x:v>카메라 시야 입력 유효</x:v>
      </x:c>
      <x:c r="L6" s="17" t="b">
        <x:f>AND(L5,E10:E12)</x:f>
        <x:v>1</x:v>
      </x:c>
      <x:c r="M6" s="4"/>
    </x:row>
    <x:row r="7" ht="23" customHeight="1">
      <x:c r="A7" s="4"/>
      <x:c r="B7" s="4" t="str">
        <x:v>관측 각도 (법선 기준)</x:v>
      </x:c>
      <x:c r="C7" s="4" t="str">
        <x:v>°</x:v>
      </x:c>
      <x:c r="D7" s="4" t="n">
        <x:f>IF(ISBLANK('계산기'!C27),"",'계산기'!C27)</x:f>
        <x:v>45</x:v>
      </x:c>
      <x:c r="E7" s="17" t="b">
        <x:f>AND(ISNUMBER(D7),D7&gt;=0,D7&lt;=89.5)</x:f>
        <x:v>1</x:v>
      </x:c>
      <x:c r="F7" s="4"/>
      <x:c r="G7" s="4"/>
      <x:c r="H7" s="4"/>
      <x:c r="I7" s="4"/>
      <x:c r="J7" s="4"/>
      <x:c r="K7" s="4" t="str">
        <x:v>판 배치 입력 유효</x:v>
      </x:c>
      <x:c r="L7" s="17" t="b">
        <x:f>AND(L5,E13:E18)</x:f>
        <x:v>1</x:v>
      </x:c>
      <x:c r="M7" s="4"/>
    </x:row>
    <x:row r="8" ht="23" customHeight="1">
      <x:c r="A8" s="4"/>
      <x:c r="B8" s="4" t="str">
        <x:v>카메라 방위각</x:v>
      </x:c>
      <x:c r="C8" s="4" t="str">
        <x:v>°</x:v>
      </x:c>
      <x:c r="D8" s="4" t="n">
        <x:f>IF(ISBLANK('계산기'!C28),"",'계산기'!C28)</x:f>
        <x:v>0</x:v>
      </x:c>
      <x:c r="E8" s="17" t="b">
        <x:f>AND(ISNUMBER(D8),D8&gt;=-180,D8&lt;=180)</x:f>
        <x:v>1</x:v>
      </x:c>
      <x:c r="F8" s="4"/>
      <x:c r="G8" s="4"/>
      <x:c r="H8" s="4"/>
      <x:c r="I8" s="4"/>
      <x:c r="J8" s="4"/>
      <x:c r="K8" s="4" t="str">
        <x:v>판 크기·중심 입력 유효</x:v>
      </x:c>
      <x:c r="L8" s="17" t="b">
        <x:f>AND(E19:E24)</x:f>
        <x:v>1</x:v>
      </x:c>
      <x:c r="M8" s="4"/>
    </x:row>
    <x:row r="9" ht="23" customHeight="1">
      <x:c r="A9" s="4"/>
      <x:c r="B9" s="4" t="str">
        <x:v>카메라 롤</x:v>
      </x:c>
      <x:c r="C9" s="4" t="str">
        <x:v>°</x:v>
      </x:c>
      <x:c r="D9" s="4" t="n">
        <x:f>IF(ISBLANK('계산기'!C29),"",'계산기'!C29)</x:f>
        <x:v>0</x:v>
      </x:c>
      <x:c r="E9" s="17" t="b">
        <x:f>AND(ISNUMBER(D9),D9&gt;=-180,D9&lt;=180)</x:f>
        <x:v>1</x:v>
      </x:c>
      <x:c r="F9" s="4"/>
      <x:c r="G9" s="4"/>
      <x:c r="H9" s="4"/>
      <x:c r="I9" s="4"/>
      <x:c r="J9" s="4"/>
      <x:c r="K9" s="4" t="str">
        <x:v>표시 단위 유효</x:v>
      </x:c>
      <x:c r="L9" s="17" t="b">
        <x:f>E25</x:f>
        <x:v>1</x:v>
      </x:c>
      <x:c r="M9" s="4"/>
    </x:row>
    <x:row r="10" ht="23" customHeight="1">
      <x:c r="A10" s="4"/>
      <x:c r="B10" s="4" t="str">
        <x:v>렌즈 초점거리</x:v>
      </x:c>
      <x:c r="C10" s="4" t="str">
        <x:v>mm</x:v>
      </x:c>
      <x:c r="D10" s="4" t="n">
        <x:f>IF(ISBLANK('계산기'!C30),"",'계산기'!C30)</x:f>
        <x:v>8</x:v>
      </x:c>
      <x:c r="E10" s="17" t="b">
        <x:f>AND(ISNUMBER(D10),D10&gt;=0.1,D10&lt;=1000)</x:f>
        <x:v>1</x:v>
      </x:c>
      <x:c r="F10" s="4"/>
      <x:c r="G10" s="4"/>
      <x:c r="H10" s="4"/>
      <x:c r="I10" s="4"/>
      <x:c r="J10" s="4"/>
      <x:c r="K10" s="4"/>
      <x:c r="L10" s="4"/>
      <x:c r="M10" s="4"/>
    </x:row>
    <x:row r="11" ht="23" customHeight="1">
      <x:c r="A11" s="4"/>
      <x:c r="B11" s="4" t="str">
        <x:v>센서 가로</x:v>
      </x:c>
      <x:c r="C11" s="4" t="str">
        <x:v>mm</x:v>
      </x:c>
      <x:c r="D11" s="18" t="n">
        <x:f>IF(ISBLANK('계산기'!C31),"",'계산기'!C31)</x:f>
        <x:v>8.4456</x:v>
      </x:c>
      <x:c r="E11" s="17" t="b">
        <x:f>AND(ISNUMBER(D11),D11&gt;=0.1,D11&lt;=1000)</x:f>
        <x:v>1</x:v>
      </x:c>
      <x:c r="F11" s="4"/>
      <x:c r="G11" s="4"/>
      <x:c r="H11" s="4"/>
      <x:c r="I11" s="4"/>
      <x:c r="J11" s="4"/>
      <x:c r="K11" s="4" t="str">
        <x:v>웨이퍼 반지름 R (mm)</x:v>
      </x:c>
      <x:c r="L11" s="4" t="n">
        <x:f>IF($L$5,D5/2,"")</x:f>
        <x:v>150</x:v>
      </x:c>
      <x:c r="M11" s="4"/>
    </x:row>
    <x:row r="12" ht="23" customHeight="1">
      <x:c r="A12" s="4"/>
      <x:c r="B12" s="4" t="str">
        <x:v>센서 세로</x:v>
      </x:c>
      <x:c r="C12" s="4" t="str">
        <x:v>mm</x:v>
      </x:c>
      <x:c r="D12" s="18" t="n">
        <x:f>IF(ISBLANK('계산기'!C32),"",'계산기'!C32)</x:f>
        <x:v>7.0656</x:v>
      </x:c>
      <x:c r="E12" s="17" t="b">
        <x:f>AND(ISNUMBER(D12),D12&gt;=0.1,D12&lt;=1000)</x:f>
        <x:v>1</x:v>
      </x:c>
      <x:c r="F12" s="4"/>
      <x:c r="G12" s="4"/>
      <x:c r="H12" s="4"/>
      <x:c r="I12" s="4"/>
      <x:c r="J12" s="4"/>
      <x:c r="K12" s="4" t="str">
        <x:v>관측 각도 θ (rad)</x:v>
      </x:c>
      <x:c r="L12" s="4" t="n">
        <x:f>IF($L$5,RADIANS(D7),"")</x:f>
        <x:v>0.7853981633974483</x:v>
      </x:c>
      <x:c r="M12" s="4"/>
    </x:row>
    <x:row r="13" ht="23" customHeight="1">
      <x:c r="A13" s="4"/>
      <x:c r="B13" s="4" t="str">
        <x:v>흡수판 기준점 거리</x:v>
      </x:c>
      <x:c r="C13" s="4" t="str">
        <x:v>mm</x:v>
      </x:c>
      <x:c r="D13" s="4" t="n">
        <x:f>IF(ISBLANK('계산기'!G25),"",'계산기'!G25)</x:f>
        <x:v>400</x:v>
      </x:c>
      <x:c r="E13" s="17" t="b">
        <x:f>AND(ISNUMBER(D13),D13&gt;=0.1,D13&lt;=50000)</x:f>
        <x:v>1</x:v>
      </x:c>
      <x:c r="F13" s="4"/>
      <x:c r="G13" s="4"/>
      <x:c r="H13" s="4"/>
      <x:c r="I13" s="4"/>
      <x:c r="J13" s="4"/>
      <x:c r="K13" s="4" t="str">
        <x:v>방위각 φ (rad)</x:v>
      </x:c>
      <x:c r="L13" s="4" t="n">
        <x:f>IF($L$5,RADIANS(D8),"")</x:f>
        <x:v>0</x:v>
      </x:c>
      <x:c r="M13" s="4"/>
    </x:row>
    <x:row r="14" ht="23" customHeight="1">
      <x:c r="A14" s="4"/>
      <x:c r="B14" s="4" t="str">
        <x:v>판 거리 기준</x:v>
      </x:c>
      <x:c r="C14" s="4" t="str">
        <x:v>선택</x:v>
      </x:c>
      <x:c r="D14" s="4" t="str">
        <x:f>IF(ISBLANK('계산기'!G26),"",'계산기'!G26)</x:f>
        <x:v>반사축 거리</x:v>
      </x:c>
      <x:c r="E14" s="17" t="b">
        <x:f>OR(D14="반사축 거리",D14="수직 높이")</x:f>
        <x:v>1</x:v>
      </x:c>
      <x:c r="F14" s="4"/>
      <x:c r="G14" s="4"/>
      <x:c r="H14" s="4"/>
      <x:c r="I14" s="4"/>
      <x:c r="J14" s="4"/>
      <x:c r="K14" s="4" t="str">
        <x:v>카메라 롤 (rad)</x:v>
      </x:c>
      <x:c r="L14" s="4" t="n">
        <x:f>IF($L$5,RADIANS(D9),"")</x:f>
        <x:v>0</x:v>
      </x:c>
      <x:c r="M14" s="4"/>
    </x:row>
    <x:row r="15" ht="23" customHeight="1">
      <x:c r="A15" s="4"/>
      <x:c r="B15" s="4" t="str">
        <x:v>판의 기본 자세</x:v>
      </x:c>
      <x:c r="C15" s="4" t="str">
        <x:v>선택</x:v>
      </x:c>
      <x:c r="D15" s="4" t="str">
        <x:f>IF(ISBLANK('계산기'!G27),"",'계산기'!G27)</x:f>
        <x:v>반사광 수직</x:v>
      </x:c>
      <x:c r="E15" s="17" t="b">
        <x:f>OR(D15="반사광 수직",D15="웨이퍼 평행")</x:f>
        <x:v>1</x:v>
      </x:c>
      <x:c r="F15" s="4"/>
      <x:c r="G15" s="4"/>
      <x:c r="H15" s="4"/>
      <x:c r="I15" s="4"/>
      <x:c r="J15" s="4"/>
      <x:c r="K15" s="4" t="str">
        <x:v>판 U 기울기 α (rad)</x:v>
      </x:c>
      <x:c r="L15" s="4" t="n">
        <x:f>IF($L$7,RADIANS(D16),"")</x:f>
        <x:v>0</x:v>
      </x:c>
      <x:c r="M15" s="4"/>
    </x:row>
    <x:row r="16" ht="23" customHeight="1">
      <x:c r="A16" s="4"/>
      <x:c r="B16" s="4" t="str">
        <x:v>판 U축 기울기</x:v>
      </x:c>
      <x:c r="C16" s="4" t="str">
        <x:v>°</x:v>
      </x:c>
      <x:c r="D16" s="4" t="n">
        <x:f>IF(ISBLANK('계산기'!G28),"",'계산기'!G28)</x:f>
        <x:v>0</x:v>
      </x:c>
      <x:c r="E16" s="17" t="b">
        <x:f>AND(ISNUMBER(D16),D16&gt;=-180,D16&lt;=180)</x:f>
        <x:v>1</x:v>
      </x:c>
      <x:c r="F16" s="4"/>
      <x:c r="G16" s="4"/>
      <x:c r="H16" s="4"/>
      <x:c r="I16" s="4"/>
      <x:c r="J16" s="4"/>
      <x:c r="K16" s="4" t="str">
        <x:v>판 V 기울기 β (rad)</x:v>
      </x:c>
      <x:c r="L16" s="4" t="n">
        <x:f>IF($L$7,RADIANS(D17),"")</x:f>
        <x:v>0</x:v>
      </x:c>
      <x:c r="M16" s="4"/>
    </x:row>
    <x:row r="17" ht="23" customHeight="1">
      <x:c r="A17" s="4"/>
      <x:c r="B17" s="4" t="str">
        <x:v>판 V축 기울기</x:v>
      </x:c>
      <x:c r="C17" s="4" t="str">
        <x:v>°</x:v>
      </x:c>
      <x:c r="D17" s="4" t="n">
        <x:f>IF(ISBLANK('계산기'!G29),"",'계산기'!G29)</x:f>
        <x:v>0</x:v>
      </x:c>
      <x:c r="E17" s="17" t="b">
        <x:f>AND(ISNUMBER(D17),D17&gt;=-180,D17&lt;=180)</x:f>
        <x:v>1</x:v>
      </x:c>
      <x:c r="F17" s="4"/>
      <x:c r="G17" s="4"/>
      <x:c r="H17" s="4"/>
      <x:c r="I17" s="4"/>
      <x:c r="J17" s="4"/>
      <x:c r="K17" s="4" t="str">
        <x:v>판 롤 γ (rad)</x:v>
      </x:c>
      <x:c r="L17" s="4" t="n">
        <x:f>IF($L$7,RADIANS(D18),"")</x:f>
        <x:v>0</x:v>
      </x:c>
      <x:c r="M17" s="4"/>
    </x:row>
    <x:row r="18" ht="23" customHeight="1">
      <x:c r="A18" s="4"/>
      <x:c r="B18" s="4" t="str">
        <x:v>판 회전 (롤)</x:v>
      </x:c>
      <x:c r="C18" s="4" t="str">
        <x:v>°</x:v>
      </x:c>
      <x:c r="D18" s="4" t="n">
        <x:f>IF(ISBLANK('계산기'!G30),"",'계산기'!G30)</x:f>
        <x:v>0</x:v>
      </x:c>
      <x:c r="E18" s="17" t="b">
        <x:f>AND(ISNUMBER(D18),D18&gt;=-180,D18&lt;=180)</x:f>
        <x:v>1</x:v>
      </x:c>
      <x:c r="F18" s="4"/>
      <x:c r="G18" s="4"/>
      <x:c r="H18" s="4"/>
      <x:c r="I18" s="4"/>
      <x:c r="J18" s="4"/>
      <x:c r="K18" s="4" t="str">
        <x:v>판 반사축 거리 L (mm)</x:v>
      </x:c>
      <x:c r="L18" s="4" t="n">
        <x:f>IF($L$7,IF(D14="반사축 거리",D13,D13/COS(L12)),"")</x:f>
        <x:v>400</x:v>
      </x:c>
      <x:c r="M18" s="4"/>
    </x:row>
    <x:row r="19" ht="23" customHeight="1">
      <x:c r="A19" s="4"/>
      <x:c r="B19" s="4" t="str">
        <x:v>판 중심 배치</x:v>
      </x:c>
      <x:c r="C19" s="4" t="str">
        <x:v>선택</x:v>
      </x:c>
      <x:c r="D19" s="4" t="str">
        <x:f>IF(ISBLANK('계산기'!G31),"",'계산기'!G31)</x:f>
        <x:v>자동</x:v>
      </x:c>
      <x:c r="E19" s="17" t="b">
        <x:f>OR(D19="자동",D19="고정")</x:f>
        <x:v>1</x:v>
      </x:c>
      <x:c r="F19" s="4"/>
      <x:c r="G19" s="4"/>
      <x:c r="H19" s="4"/>
      <x:c r="I19" s="4"/>
      <x:c r="J19" s="4"/>
      <x:c r="K19" s="4" t="str">
        <x:v>표시 단위당 mm</x:v>
      </x:c>
      <x:c r="L19" s="4" t="n">
        <x:f>IF($L$9,IF(D25="mm",1,IF(D25="cm",10,25.4)),"")</x:f>
        <x:v>1</x:v>
      </x:c>
      <x:c r="M19" s="4"/>
    </x:row>
    <x:row r="20" ht="23" customHeight="1">
      <x:c r="A20" s="4"/>
      <x:c r="B20" s="4" t="str">
        <x:v>고정 중심 U</x:v>
      </x:c>
      <x:c r="C20" s="4" t="str">
        <x:v>mm</x:v>
      </x:c>
      <x:c r="D20" s="4" t="n">
        <x:f>IF(ISBLANK('계산기'!G32),"",'계산기'!G32)</x:f>
        <x:v>0</x:v>
      </x:c>
      <x:c r="E20" s="17" t="b">
        <x:f>AND(ISNUMBER(D20),D20&gt;=-50000,D20&lt;=50000)</x:f>
        <x:v>1</x:v>
      </x:c>
      <x:c r="F20" s="4"/>
      <x:c r="G20" s="4"/>
      <x:c r="H20" s="4"/>
      <x:c r="I20" s="4"/>
      <x:c r="J20" s="4"/>
      <x:c r="K20" s="4" t="str">
        <x:v>올림 소수 자릿수</x:v>
      </x:c>
      <x:c r="L20" s="4" t="n">
        <x:f>IF($L$9,IF(D25="mm",1,IF(D25="cm",2,3)),"")</x:f>
        <x:v>1</x:v>
      </x:c>
      <x:c r="M20" s="4"/>
    </x:row>
    <x:row r="21" ht="23" customHeight="1">
      <x:c r="A21" s="4"/>
      <x:c r="B21" s="4" t="str">
        <x:v>고정 중심 V</x:v>
      </x:c>
      <x:c r="C21" s="4" t="str">
        <x:v>mm</x:v>
      </x:c>
      <x:c r="D21" s="4" t="n">
        <x:f>IF(ISBLANK('계산기'!G33),"",'계산기'!G33)</x:f>
        <x:v>0</x:v>
      </x:c>
      <x:c r="E21" s="17" t="b">
        <x:f>AND(ISNUMBER(D21),D21&gt;=-50000,D21&lt;=50000)</x:f>
        <x:v>1</x:v>
      </x:c>
      <x:c r="F21" s="4"/>
      <x:c r="G21" s="4"/>
      <x:c r="H21" s="4"/>
      <x:c r="I21" s="4"/>
      <x:c r="J21" s="4"/>
      <x:c r="K21" s="4"/>
      <x:c r="L21" s="4"/>
      <x:c r="M21" s="4"/>
    </x:row>
    <x:row r="22" ht="23" customHeight="1">
      <x:c r="A22" s="4"/>
      <x:c r="B22" s="4" t="str">
        <x:v>가장자리 여유 (한쪽)</x:v>
      </x:c>
      <x:c r="C22" s="4" t="str">
        <x:v>mm</x:v>
      </x:c>
      <x:c r="D22" s="4" t="n">
        <x:f>IF(ISBLANK('계산기'!G34),"",'계산기'!G34)</x:f>
        <x:v>5</x:v>
      </x:c>
      <x:c r="E22" s="17" t="b">
        <x:f>AND(ISNUMBER(D22),D22&gt;=0,D22&lt;=5000)</x:f>
        <x:v>1</x:v>
      </x:c>
      <x:c r="F22" s="4"/>
      <x:c r="G22" s="4"/>
      <x:c r="H22" s="4"/>
      <x:c r="I22" s="4"/>
      <x:c r="J22" s="4"/>
      <x:c r="K22" s="4" t="str">
        <x:v>판 분모 b0</x:v>
      </x:c>
      <x:c r="L22" s="4" t="n">
        <x:f>IF($L$7,-(C49*C33+D49*D33+E49*E33),"")</x:f>
        <x:v>650</x:v>
      </x:c>
      <x:c r="M22" s="4"/>
    </x:row>
    <x:row r="23" ht="23" customHeight="1">
      <x:c r="A23" s="4"/>
      <x:c r="B23" s="4" t="str">
        <x:v>보유 판 폭 U</x:v>
      </x:c>
      <x:c r="C23" s="4" t="str">
        <x:v>mm</x:v>
      </x:c>
      <x:c r="D23" s="4" t="n">
        <x:f>IF(ISBLANK('계산기'!G35),"",'계산기'!G35)</x:f>
        <x:v>520</x:v>
      </x:c>
      <x:c r="E23" s="17" t="b">
        <x:f>AND(ISNUMBER(D23),D23&gt;=0.1,D23&lt;=100000)</x:f>
        <x:v>1</x:v>
      </x:c>
      <x:c r="F23" s="4"/>
      <x:c r="G23" s="4"/>
      <x:c r="H23" s="4"/>
      <x:c r="I23" s="4"/>
      <x:c r="J23" s="4"/>
      <x:c r="K23" s="4" t="str">
        <x:v>판 평면 상수 k</x:v>
      </x:c>
      <x:c r="L23" s="4" t="n">
        <x:f>IF($L$7,C49*C50+D49*D50+E49*E50,"")</x:f>
        <x:v>400</x:v>
      </x:c>
      <x:c r="M23" s="4"/>
    </x:row>
    <x:row r="24" ht="23" customHeight="1">
      <x:c r="A24" s="4"/>
      <x:c r="B24" s="4" t="str">
        <x:v>보유 판 높이 V</x:v>
      </x:c>
      <x:c r="C24" s="4" t="str">
        <x:v>mm</x:v>
      </x:c>
      <x:c r="D24" s="4" t="n">
        <x:f>IF(ISBLANK('계산기'!G36),"",'계산기'!G36)</x:f>
        <x:v>520</x:v>
      </x:c>
      <x:c r="E24" s="17" t="b">
        <x:f>AND(ISNUMBER(D24),D24&gt;=0.1,D24&lt;=100000)</x:f>
        <x:v>1</x:v>
      </x:c>
      <x:c r="F24" s="4"/>
      <x:c r="G24" s="4"/>
      <x:c r="H24" s="4"/>
      <x:c r="I24" s="4"/>
      <x:c r="J24" s="4"/>
      <x:c r="K24" s="4" t="str">
        <x:v>반사 투영 상수 H</x:v>
      </x:c>
      <x:c r="L24" s="4" t="n">
        <x:f>IF($L$7,C49*(C50-C33)+D49*(D50-D33)+E49*(E50-E33),"")</x:f>
        <x:v>1050</x:v>
      </x:c>
      <x:c r="M24" s="4"/>
    </x:row>
    <x:row r="25" ht="23" customHeight="1">
      <x:c r="A25" s="4"/>
      <x:c r="B25" s="4" t="str">
        <x:v>결과 표시 단위</x:v>
      </x:c>
      <x:c r="C25" s="4" t="str">
        <x:v>선택</x:v>
      </x:c>
      <x:c r="D25" s="4" t="str">
        <x:f>IF(ISBLANK('계산기'!C33),"",'계산기'!C33)</x:f>
        <x:v>mm</x:v>
      </x:c>
      <x:c r="E25" s="17" t="b">
        <x:f>OR(D25="mm",D25="cm",D25="inch")</x:f>
        <x:v>1</x:v>
      </x:c>
      <x:c r="F25" s="4"/>
      <x:c r="G25" s="4"/>
      <x:c r="H25" s="4"/>
      <x:c r="I25" s="4"/>
      <x:c r="J25" s="4"/>
      <x:c r="K25" s="4" t="str">
        <x:v>U 투영 기준 K</x:v>
      </x:c>
      <x:c r="L25" s="4" t="n">
        <x:f>IF($L$7,C47*(C33-C50)+D47*(D33-D50)+E47*(E33-E50),"")</x:f>
        <x:v>-1.1368683772161603e-13</x:v>
      </x:c>
      <x:c r="M25" s="4"/>
    </x:row>
    <x:row r="26" ht="23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 t="str">
        <x:v>V 투영 기준 K</x:v>
      </x:c>
      <x:c r="L26" s="4" t="n">
        <x:f>IF($L$7,C48*(C33-C50)+D48*(D33-D50)+E48*(E33-E50),"")</x:f>
        <x:v>0</x:v>
      </x:c>
      <x:c r="M26" s="4"/>
    </x:row>
    <x:row r="27" ht="23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</x:row>
    <x:row r="28" ht="23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 t="str">
        <x:v>최소 카메라 깊이 (mm)</x:v>
      </x:c>
      <x:c r="L28" s="4" t="n">
        <x:f>IF($L$5,D6-L11*SQRT(C35^2+D35^2),"")</x:f>
        <x:v>543.9339828220179</x:v>
      </x:c>
      <x:c r="M28" s="4"/>
    </x:row>
    <x:row r="29" ht="23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 ht="23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 t="str">
        <x:v>면적 표본 수</x:v>
      </x:c>
      <x:c r="L30" s="4" t="n">
        <x:v>2048</x:v>
      </x:c>
      <x:c r="M30" s="4"/>
    </x:row>
    <x:row r="31" ht="23" customHeight="1">
      <x:c r="A31" s="4"/>
      <x:c r="B31" s="9" t="str">
        <x:v>벡터</x:v>
      </x:c>
      <x:c r="C31" s="9" t="str">
        <x:v>x</x:v>
      </x:c>
      <x:c r="D31" s="9" t="str">
        <x:v>y</x:v>
      </x:c>
      <x:c r="E31" s="9" t="str">
        <x:v>z</x:v>
      </x:c>
      <x:c r="F31" s="4"/>
      <x:c r="G31" s="4"/>
      <x:c r="H31" s="4"/>
      <x:c r="I31" s="4"/>
      <x:c r="J31" s="4"/>
      <x:c r="K31" s="4"/>
      <x:c r="L31" s="4"/>
      <x:c r="M31" s="4"/>
    </x:row>
    <x:row r="32" ht="23" customHeight="1">
      <x:c r="A32" s="4"/>
      <x:c r="B32" s="4" t="str">
        <x:v>카메라 C (mm)</x:v>
      </x:c>
      <x:c r="C32" s="4" t="n">
        <x:f>IF($L$5,$D$6*SIN($L$12)*COS($L$13),"")</x:f>
        <x:v>459.61940777125585</x:v>
      </x:c>
      <x:c r="D32" s="4" t="n">
        <x:f>IF($L$5,$D$6*SIN($L$12)*SIN($L$13),"")</x:f>
        <x:v>0</x:v>
      </x:c>
      <x:c r="E32" s="4" t="n">
        <x:f>IF($L$5,$D$6*COS($L$12),"")</x:f>
        <x:v>459.6194077712559</x:v>
      </x:c>
      <x:c r="F32" s="4" t="str"/>
      <x:c r="G32" s="4"/>
      <x:c r="H32" s="4"/>
      <x:c r="I32" s="4"/>
      <x:c r="J32" s="4"/>
      <x:c r="K32" s="4"/>
      <x:c r="L32" s="4"/>
      <x:c r="M32" s="4"/>
    </x:row>
    <x:row r="33" ht="23" customHeight="1">
      <x:c r="A33" s="4"/>
      <x:c r="B33" s="4" t="str">
        <x:v>가상 카메라 V (mm)</x:v>
      </x:c>
      <x:c r="C33" s="4" t="n">
        <x:f>IF($L$5,C32,"")</x:f>
        <x:v>459.61940777125585</x:v>
      </x:c>
      <x:c r="D33" s="4" t="n">
        <x:f>IF($L$5,D32,"")</x:f>
        <x:v>0</x:v>
      </x:c>
      <x:c r="E33" s="4" t="n">
        <x:f>IF($L$5,-E32,"")</x:f>
        <x:v>-459.6194077712559</x:v>
      </x:c>
      <x:c r="F33" s="4" t="str"/>
      <x:c r="G33" s="4"/>
      <x:c r="H33" s="4"/>
      <x:c r="I33" s="4"/>
      <x:c r="J33" s="4"/>
      <x:c r="K33" s="4"/>
      <x:c r="L33" s="4"/>
      <x:c r="M33" s="4"/>
    </x:row>
    <x:row r="34" ht="23" customHeight="1">
      <x:c r="A34" s="4"/>
      <x:c r="B34" s="4" t="str">
        <x:v>중심 반사 방향 B</x:v>
      </x:c>
      <x:c r="C34" s="4" t="n">
        <x:f>IF($L$5,-SIN($L$12)*COS($L$13),"")</x:f>
        <x:v>-0.7071067811865475</x:v>
      </x:c>
      <x:c r="D34" s="4" t="n">
        <x:f>IF($L$5,-SIN($L$12)*SIN($L$13),"")</x:f>
        <x:v>0</x:v>
      </x:c>
      <x:c r="E34" s="4" t="n">
        <x:f>IF($L$5,COS($L$12),"")</x:f>
        <x:v>0.7071067811865476</x:v>
      </x:c>
      <x:c r="F34" s="4" t="str"/>
      <x:c r="G34" s="4"/>
      <x:c r="H34" s="4"/>
      <x:c r="I34" s="4"/>
      <x:c r="J34" s="4"/>
      <x:c r="K34" s="4"/>
      <x:c r="L34" s="4"/>
      <x:c r="M34" s="4"/>
    </x:row>
    <x:row r="35" ht="23" customHeight="1">
      <x:c r="A35" s="4"/>
      <x:c r="B35" s="4" t="str">
        <x:v>카메라 광축 F</x:v>
      </x:c>
      <x:c r="C35" s="4" t="n">
        <x:f>IF($L$5,-C32/$D$6,"")</x:f>
        <x:v>-0.7071067811865475</x:v>
      </x:c>
      <x:c r="D35" s="4" t="n">
        <x:f>IF($L$5,-D32/$D$6,"")</x:f>
        <x:v>0</x:v>
      </x:c>
      <x:c r="E35" s="4" t="n">
        <x:f>IF($L$5,-E32/$D$6,"")</x:f>
        <x:v>-0.7071067811865476</x:v>
      </x:c>
      <x:c r="F35" s="4" t="str"/>
      <x:c r="G35" s="4"/>
      <x:c r="H35" s="4"/>
      <x:c r="I35" s="4"/>
      <x:c r="J35" s="4"/>
      <x:c r="K35" s="4"/>
      <x:c r="L35" s="4"/>
      <x:c r="M35" s="4"/>
    </x:row>
    <x:row r="36" ht="23" customHeight="1">
      <x:c r="A36" s="4"/>
      <x:c r="B36" s="4" t="str">
        <x:v>카메라 가로 기준</x:v>
      </x:c>
      <x:c r="C36" s="4" t="n">
        <x:f>IF($L$5,COS($L$12)*COS($L$13),"")</x:f>
        <x:v>0.7071067811865476</x:v>
      </x:c>
      <x:c r="D36" s="4" t="n">
        <x:f>IF($L$5,COS($L$12)*SIN($L$13),"")</x:f>
        <x:v>0</x:v>
      </x:c>
      <x:c r="E36" s="4" t="n">
        <x:f>IF($L$5,-SIN($L$12),"")</x:f>
        <x:v>-0.7071067811865475</x:v>
      </x:c>
      <x:c r="F36" s="4" t="str"/>
      <x:c r="G36" s="4"/>
      <x:c r="H36" s="4"/>
      <x:c r="I36" s="4"/>
      <x:c r="J36" s="4"/>
      <x:c r="K36" s="4"/>
      <x:c r="L36" s="4"/>
      <x:c r="M36" s="4"/>
    </x:row>
    <x:row r="37" ht="23" customHeight="1">
      <x:c r="A37" s="4"/>
      <x:c r="B37" s="4" t="str">
        <x:v>카메라 세로 기준</x:v>
      </x:c>
      <x:c r="C37" s="4" t="n">
        <x:f>IF($L$5,-SIN($L$13),"")</x:f>
        <x:v>0</x:v>
      </x:c>
      <x:c r="D37" s="4" t="n">
        <x:f>IF($L$5,COS($L$13),"")</x:f>
        <x:v>1</x:v>
      </x:c>
      <x:c r="E37" s="4" t="n">
        <x:f>IF($L$5,0,"")</x:f>
        <x:v>0</x:v>
      </x:c>
      <x:c r="F37" s="4" t="str"/>
      <x:c r="G37" s="4"/>
      <x:c r="H37" s="4"/>
      <x:c r="I37" s="4"/>
      <x:c r="J37" s="4"/>
      <x:c r="K37" s="4"/>
      <x:c r="L37" s="4"/>
      <x:c r="M37" s="4"/>
    </x:row>
    <x:row r="38" ht="23" customHeight="1">
      <x:c r="A38" s="4"/>
      <x:c r="B38" s="4" t="str">
        <x:v>센서 가로축</x:v>
      </x:c>
      <x:c r="C38" s="4" t="n">
        <x:f>IF($L$5,C36*COS($L$14)+C37*SIN($L$14),"")</x:f>
        <x:v>0.7071067811865476</x:v>
      </x:c>
      <x:c r="D38" s="4" t="n">
        <x:f>IF($L$5,D36*COS($L$14)+D37*SIN($L$14),"")</x:f>
        <x:v>0</x:v>
      </x:c>
      <x:c r="E38" s="4" t="n">
        <x:f>IF($L$5,E36*COS($L$14)+E37*SIN($L$14),"")</x:f>
        <x:v>-0.7071067811865475</x:v>
      </x:c>
      <x:c r="F38" s="4" t="str"/>
      <x:c r="G38" s="4"/>
      <x:c r="H38" s="4"/>
      <x:c r="I38" s="4"/>
      <x:c r="J38" s="4"/>
      <x:c r="K38" s="4"/>
      <x:c r="L38" s="4"/>
      <x:c r="M38" s="4"/>
    </x:row>
    <x:row r="39" ht="23" customHeight="1">
      <x:c r="A39" s="4"/>
      <x:c r="B39" s="4" t="str">
        <x:v>센서 세로축</x:v>
      </x:c>
      <x:c r="C39" s="4" t="n">
        <x:f>IF($L$5,-C36*SIN($L$14)+C37*COS($L$14),"")</x:f>
        <x:v>0</x:v>
      </x:c>
      <x:c r="D39" s="4" t="n">
        <x:f>IF($L$5,-D36*SIN($L$14)+D37*COS($L$14),"")</x:f>
        <x:v>1</x:v>
      </x:c>
      <x:c r="E39" s="4" t="n">
        <x:f>IF($L$5,-E36*SIN($L$14)+E37*COS($L$14),"")</x:f>
        <x:v>0</x:v>
      </x:c>
      <x:c r="F39" s="4" t="str"/>
      <x:c r="G39" s="4"/>
      <x:c r="H39" s="4"/>
      <x:c r="I39" s="4"/>
      <x:c r="J39" s="4"/>
      <x:c r="K39" s="4"/>
      <x:c r="L39" s="4"/>
      <x:c r="M39" s="4"/>
    </x:row>
    <x:row r="40" ht="23" customHeight="1">
      <x:c r="A40" s="4"/>
      <x:c r="B40" s="4" t="str">
        <x:v>판 기준 U0</x:v>
      </x:c>
      <x:c r="C40" s="4" t="n">
        <x:f>IF($L$7,IF($D$15="반사광 수직",COS($L$12)*COS($L$13),COS($L$13)),"")</x:f>
        <x:v>0.7071067811865476</x:v>
      </x:c>
      <x:c r="D40" s="4" t="n">
        <x:f>IF($L$7,IF($D$15="반사광 수직",COS($L$12)*SIN($L$13),SIN($L$13)),"")</x:f>
        <x:v>0</x:v>
      </x:c>
      <x:c r="E40" s="4" t="n">
        <x:f>IF($L$7,IF($D$15="반사광 수직",SIN($L$12),0),"")</x:f>
        <x:v>0.7071067811865475</x:v>
      </x:c>
      <x:c r="F40" s="4" t="str"/>
      <x:c r="G40" s="4"/>
      <x:c r="H40" s="4"/>
      <x:c r="I40" s="4"/>
      <x:c r="J40" s="4"/>
      <x:c r="K40" s="4"/>
      <x:c r="L40" s="4"/>
      <x:c r="M40" s="4"/>
    </x:row>
    <x:row r="41" ht="23" customHeight="1">
      <x:c r="A41" s="4"/>
      <x:c r="B41" s="4" t="str">
        <x:v>판 기준 V0</x:v>
      </x:c>
      <x:c r="C41" s="4" t="n">
        <x:f>IF($L$7,-SIN($L$13),"")</x:f>
        <x:v>0</x:v>
      </x:c>
      <x:c r="D41" s="4" t="n">
        <x:f>IF($L$7,COS($L$13),"")</x:f>
        <x:v>1</x:v>
      </x:c>
      <x:c r="E41" s="4" t="n">
        <x:f>IF($L$7,0,"")</x:f>
        <x:v>0</x:v>
      </x:c>
      <x:c r="F41" s="4" t="str"/>
      <x:c r="G41" s="4"/>
      <x:c r="H41" s="4"/>
      <x:c r="I41" s="4"/>
      <x:c r="J41" s="4"/>
      <x:c r="K41" s="4"/>
      <x:c r="L41" s="4"/>
      <x:c r="M41" s="4"/>
    </x:row>
    <x:row r="42" ht="23" customHeight="1">
      <x:c r="A42" s="4"/>
      <x:c r="B42" s="4" t="str">
        <x:v>판 기준 법선 N0</x:v>
      </x:c>
      <x:c r="C42" s="4" t="n">
        <x:f>IF($L$7,D40*E41-E40*D41,"")</x:f>
        <x:v>-0.7071067811865475</x:v>
      </x:c>
      <x:c r="D42" s="4" t="n">
        <x:f>IF($L$7,E40*C41-C40*E41,"")</x:f>
        <x:v>0</x:v>
      </x:c>
      <x:c r="E42" s="4" t="n">
        <x:f>IF($L$7,C40*D41-D40*C41,"")</x:f>
        <x:v>0.7071067811865476</x:v>
      </x:c>
      <x:c r="F42" s="4" t="str"/>
      <x:c r="G42" s="4"/>
      <x:c r="H42" s="4"/>
      <x:c r="I42" s="4"/>
      <x:c r="J42" s="4"/>
      <x:c r="K42" s="4"/>
      <x:c r="L42" s="4"/>
      <x:c r="M42" s="4"/>
    </x:row>
    <x:row r="43" ht="23" customHeight="1">
      <x:c r="A43" s="4"/>
      <x:c r="B43" s="4" t="str">
        <x:v>U 기울기 후 V1</x:v>
      </x:c>
      <x:c r="C43" s="4" t="n">
        <x:f>IF($L$7,C41*COS($L$15)+C42*SIN($L$15),"")</x:f>
        <x:v>0</x:v>
      </x:c>
      <x:c r="D43" s="4" t="n">
        <x:f>IF($L$7,D41*COS($L$15)+D42*SIN($L$15),"")</x:f>
        <x:v>1</x:v>
      </x:c>
      <x:c r="E43" s="4" t="n">
        <x:f>IF($L$7,E41*COS($L$15)+E42*SIN($L$15),"")</x:f>
        <x:v>0</x:v>
      </x:c>
      <x:c r="F43" s="4" t="str"/>
      <x:c r="G43" s="4"/>
      <x:c r="H43" s="4"/>
      <x:c r="I43" s="4"/>
      <x:c r="J43" s="4"/>
      <x:c r="K43" s="4"/>
      <x:c r="L43" s="4"/>
      <x:c r="M43" s="4"/>
    </x:row>
    <x:row r="44" ht="23" customHeight="1">
      <x:c r="A44" s="4"/>
      <x:c r="B44" s="4" t="str">
        <x:v>U 기울기 후 N1</x:v>
      </x:c>
      <x:c r="C44" s="4" t="n">
        <x:f>IF($L$7,C42*COS($L$15)-C41*SIN($L$15),"")</x:f>
        <x:v>-0.7071067811865475</x:v>
      </x:c>
      <x:c r="D44" s="4" t="n">
        <x:f>IF($L$7,D42*COS($L$15)-D41*SIN($L$15),"")</x:f>
        <x:v>0</x:v>
      </x:c>
      <x:c r="E44" s="4" t="n">
        <x:f>IF($L$7,E42*COS($L$15)-E41*SIN($L$15),"")</x:f>
        <x:v>0.7071067811865476</x:v>
      </x:c>
      <x:c r="F44" s="4" t="str"/>
      <x:c r="G44" s="4"/>
      <x:c r="H44" s="4"/>
      <x:c r="I44" s="4"/>
      <x:c r="J44" s="4"/>
      <x:c r="K44" s="4"/>
      <x:c r="L44" s="4"/>
      <x:c r="M44" s="4"/>
    </x:row>
    <x:row r="45" ht="23" customHeight="1">
      <x:c r="A45" s="4"/>
      <x:c r="B45" s="4" t="str">
        <x:v>V 기울기 후 U2</x:v>
      </x:c>
      <x:c r="C45" s="4" t="n">
        <x:f>IF($L$7,C40*COS($L$16)-C44*SIN($L$16),"")</x:f>
        <x:v>0.7071067811865476</x:v>
      </x:c>
      <x:c r="D45" s="4" t="n">
        <x:f>IF($L$7,D40*COS($L$16)-D44*SIN($L$16),"")</x:f>
        <x:v>0</x:v>
      </x:c>
      <x:c r="E45" s="4" t="n">
        <x:f>IF($L$7,E40*COS($L$16)-E44*SIN($L$16),"")</x:f>
        <x:v>0.7071067811865475</x:v>
      </x:c>
      <x:c r="F45" s="4" t="str"/>
      <x:c r="G45" s="4"/>
      <x:c r="H45" s="4"/>
      <x:c r="I45" s="4"/>
      <x:c r="J45" s="4"/>
      <x:c r="K45" s="4"/>
      <x:c r="L45" s="4"/>
      <x:c r="M45" s="4"/>
    </x:row>
    <x:row r="46" ht="23" customHeight="1">
      <x:c r="A46" s="4"/>
      <x:c r="B46" s="4" t="str">
        <x:v>V 기울기 후 N2</x:v>
      </x:c>
      <x:c r="C46" s="4" t="n">
        <x:f>IF($L$7,C44*COS($L$16)+C40*SIN($L$16),"")</x:f>
        <x:v>-0.7071067811865475</x:v>
      </x:c>
      <x:c r="D46" s="4" t="n">
        <x:f>IF($L$7,D44*COS($L$16)+D40*SIN($L$16),"")</x:f>
        <x:v>0</x:v>
      </x:c>
      <x:c r="E46" s="4" t="n">
        <x:f>IF($L$7,E44*COS($L$16)+E40*SIN($L$16),"")</x:f>
        <x:v>0.7071067811865476</x:v>
      </x:c>
      <x:c r="F46" s="4" t="str"/>
      <x:c r="G46" s="4"/>
      <x:c r="H46" s="4"/>
      <x:c r="I46" s="4"/>
      <x:c r="J46" s="4"/>
      <x:c r="K46" s="4"/>
      <x:c r="L46" s="4"/>
      <x:c r="M46" s="4"/>
    </x:row>
    <x:row r="47" ht="23" customHeight="1">
      <x:c r="A47" s="4"/>
      <x:c r="B47" s="4" t="str">
        <x:v>최종 판 U축</x:v>
      </x:c>
      <x:c r="C47" s="4" t="n">
        <x:f>IF($L$7,C45*COS($L$17)+C43*SIN($L$17),"")</x:f>
        <x:v>0.7071067811865476</x:v>
      </x:c>
      <x:c r="D47" s="4" t="n">
        <x:f>IF($L$7,D45*COS($L$17)+D43*SIN($L$17),"")</x:f>
        <x:v>0</x:v>
      </x:c>
      <x:c r="E47" s="4" t="n">
        <x:f>IF($L$7,E45*COS($L$17)+E43*SIN($L$17),"")</x:f>
        <x:v>0.7071067811865475</x:v>
      </x:c>
      <x:c r="F47" s="4" t="str"/>
      <x:c r="G47" s="4"/>
      <x:c r="H47" s="4"/>
      <x:c r="I47" s="4"/>
      <x:c r="J47" s="4"/>
      <x:c r="K47" s="4"/>
      <x:c r="L47" s="4"/>
      <x:c r="M47" s="4"/>
    </x:row>
    <x:row r="48" ht="23" customHeight="1">
      <x:c r="A48" s="4"/>
      <x:c r="B48" s="4" t="str">
        <x:v>최종 판 V축</x:v>
      </x:c>
      <x:c r="C48" s="4" t="n">
        <x:f>IF($L$7,C43*COS($L$17)-C45*SIN($L$17),"")</x:f>
        <x:v>0</x:v>
      </x:c>
      <x:c r="D48" s="4" t="n">
        <x:f>IF($L$7,D43*COS($L$17)-D45*SIN($L$17),"")</x:f>
        <x:v>1</x:v>
      </x:c>
      <x:c r="E48" s="4" t="n">
        <x:f>IF($L$7,E43*COS($L$17)-E45*SIN($L$17),"")</x:f>
        <x:v>0</x:v>
      </x:c>
      <x:c r="F48" s="4" t="str"/>
      <x:c r="G48" s="4"/>
      <x:c r="H48" s="4"/>
      <x:c r="I48" s="4"/>
      <x:c r="J48" s="4"/>
      <x:c r="K48" s="4"/>
      <x:c r="L48" s="4"/>
      <x:c r="M48" s="4"/>
    </x:row>
    <x:row r="49" ht="23" customHeight="1">
      <x:c r="A49" s="4"/>
      <x:c r="B49" s="4" t="str">
        <x:v>최종 판 법선 n</x:v>
      </x:c>
      <x:c r="C49" s="4" t="n">
        <x:f>IF($L$7,C46,"")</x:f>
        <x:v>-0.7071067811865475</x:v>
      </x:c>
      <x:c r="D49" s="4" t="n">
        <x:f>IF($L$7,D46,"")</x:f>
        <x:v>0</x:v>
      </x:c>
      <x:c r="E49" s="4" t="n">
        <x:f>IF($L$7,E46,"")</x:f>
        <x:v>0.7071067811865476</x:v>
      </x:c>
      <x:c r="F49" s="4" t="str"/>
      <x:c r="G49" s="4"/>
      <x:c r="H49" s="4"/>
      <x:c r="I49" s="4"/>
      <x:c r="J49" s="4"/>
      <x:c r="K49" s="4"/>
      <x:c r="L49" s="4"/>
      <x:c r="M49" s="4"/>
    </x:row>
    <x:row r="50" ht="23" customHeight="1">
      <x:c r="A50" s="4"/>
      <x:c r="B50" s="4" t="str">
        <x:v>판 기준점 A (mm)</x:v>
      </x:c>
      <x:c r="C50" s="4" t="n">
        <x:f>IF($L$7,C34*$L$18,"")</x:f>
        <x:v>-282.84271247461896</x:v>
      </x:c>
      <x:c r="D50" s="4" t="n">
        <x:f>IF($L$7,D34*$L$18,"")</x:f>
        <x:v>0</x:v>
      </x:c>
      <x:c r="E50" s="4" t="n">
        <x:f>IF($L$7,E34*$L$18,"")</x:f>
        <x:v>282.842712474619</x:v>
      </x:c>
      <x:c r="F50" s="4" t="str"/>
      <x:c r="G50" s="4"/>
      <x:c r="H50" s="4"/>
      <x:c r="I50" s="4"/>
      <x:c r="J50" s="4"/>
      <x:c r="K50" s="4"/>
      <x:c r="L50" s="4"/>
      <x:c r="M50" s="4"/>
    </x:row>
    <x:row r="51" ht="23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3" customHeight="1">
      <x:c r="A52" s="4"/>
      <x:c r="B52" s="4" t="str">
        <x:v>원판 전체의 선형 분수함수 극값</x:v>
      </x:c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3" customHeight="1">
      <x:c r="A53" s="4"/>
      <x:c r="B53" s="4" t="str">
        <x:v>g(x,y) = (a0 + ax·x + ay·y) / (b0 + bx·x + by·y), x²+y² ≤ R²</x:v>
      </x:c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23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3" customHeight="1">
      <x:c r="A55" s="4"/>
      <x:c r="B55" s="9" t="str">
        <x:v>계수 / 결과</x:v>
      </x:c>
      <x:c r="C55" s="9" t="str">
        <x:v>반사광 t</x:v>
      </x:c>
      <x:c r="D55" s="9" t="str">
        <x:v>판 U (mm)</x:v>
      </x:c>
      <x:c r="E55" s="9" t="str">
        <x:v>판 V (mm)</x:v>
      </x:c>
      <x:c r="F55" s="9" t="str">
        <x:v>센서 X (mm)</x:v>
      </x:c>
      <x:c r="G55" s="9" t="str">
        <x:v>센서 Y (mm)</x:v>
      </x:c>
      <x:c r="H55" s="4"/>
      <x:c r="I55" s="4"/>
      <x:c r="J55" s="4"/>
      <x:c r="K55" s="4"/>
      <x:c r="L55" s="4"/>
      <x:c r="M55" s="4"/>
    </x:row>
    <x:row r="56" ht="23" customHeight="1">
      <x:c r="A56" s="4"/>
      <x:c r="B56" s="4" t="str">
        <x:v>분자 상수 a0</x:v>
      </x:c>
      <x:c r="C56" s="4" t="n">
        <x:f>IF($L$7,$L$23,"")</x:f>
        <x:v>400</x:v>
      </x:c>
      <x:c r="D56" s="4" t="n">
        <x:f>IF($L$7,$L$25*$L$22-$L$24*(C47*C33+D47*D33+E47*E33),"")</x:f>
        <x:v>-7.389644451905042e-11</x:v>
      </x:c>
      <x:c r="E56" s="4" t="n">
        <x:f>IF($L$7,$L$26*$L$22-$L$24*(C48*C33+D48*D33+E48*E33),"")</x:f>
        <x:v>0</x:v>
      </x:c>
      <x:c r="F56" s="4" t="n">
        <x:f>IF($L$6,-$D$10*(C32*C38+D32*D38+E32*E38),"")</x:f>
        <x:v>0</x:v>
      </x:c>
      <x:c r="G56" s="4" t="n">
        <x:f>IF($L$6,-$D$10*(C32*C39+D32*D39+E32*E39),"")</x:f>
        <x:v>0</x:v>
      </x:c>
      <x:c r="H56" s="4"/>
      <x:c r="I56" s="4"/>
      <x:c r="J56" s="4"/>
      <x:c r="K56" s="4"/>
      <x:c r="L56" s="4"/>
      <x:c r="M56" s="4"/>
    </x:row>
    <x:row r="57" ht="23" customHeight="1">
      <x:c r="A57" s="4"/>
      <x:c r="B57" s="4" t="str">
        <x:v>분자 x 계수 ax</x:v>
      </x:c>
      <x:c r="C57" s="4" t="n">
        <x:f>IF($L$7,-C49,"")</x:f>
        <x:v>0.7071067811865475</x:v>
      </x:c>
      <x:c r="D57" s="4" t="n">
        <x:f>IF($L$7,$L$25*C49+$L$24*C47,"")</x:f>
        <x:v>742.4621202458751</x:v>
      </x:c>
      <x:c r="E57" s="4" t="n">
        <x:f>IF($L$7,$L$26*C49+$L$24*C48,"")</x:f>
        <x:v>0</x:v>
      </x:c>
      <x:c r="F57" s="4" t="n">
        <x:f>IF($L$6,$D$10*C38,"")</x:f>
        <x:v>5.656854249492381</x:v>
      </x:c>
      <x:c r="G57" s="4" t="n">
        <x:f>IF($L$6,$D$10*C39,"")</x:f>
        <x:v>0</x:v>
      </x:c>
      <x:c r="H57" s="4"/>
      <x:c r="I57" s="4"/>
      <x:c r="J57" s="4"/>
      <x:c r="K57" s="4"/>
      <x:c r="L57" s="4"/>
      <x:c r="M57" s="4"/>
    </x:row>
    <x:row r="58" ht="23" customHeight="1">
      <x:c r="A58" s="4"/>
      <x:c r="B58" s="4" t="str">
        <x:v>분자 y 계수 ay</x:v>
      </x:c>
      <x:c r="C58" s="4" t="n">
        <x:f>IF($L$7,-D49,"")</x:f>
        <x:v>0</x:v>
      </x:c>
      <x:c r="D58" s="4" t="n">
        <x:f>IF($L$7,$L$25*D49+$L$24*D47,"")</x:f>
        <x:v>0</x:v>
      </x:c>
      <x:c r="E58" s="4" t="n">
        <x:f>IF($L$7,$L$26*D49+$L$24*D48,"")</x:f>
        <x:v>1050</x:v>
      </x:c>
      <x:c r="F58" s="4" t="n">
        <x:f>IF($L$6,$D$10*D38,"")</x:f>
        <x:v>0</x:v>
      </x:c>
      <x:c r="G58" s="4" t="n">
        <x:f>IF($L$6,$D$10*D39,"")</x:f>
        <x:v>8</x:v>
      </x:c>
      <x:c r="H58" s="4"/>
      <x:c r="I58" s="4"/>
      <x:c r="J58" s="4"/>
      <x:c r="K58" s="4"/>
      <x:c r="L58" s="4"/>
      <x:c r="M58" s="4"/>
    </x:row>
    <x:row r="59" ht="23" customHeight="1">
      <x:c r="A59" s="4"/>
      <x:c r="B59" s="4" t="str">
        <x:v>분모 상수 b0</x:v>
      </x:c>
      <x:c r="C59" s="4" t="n">
        <x:f>IF($L$7,$L$22,"")</x:f>
        <x:v>650</x:v>
      </x:c>
      <x:c r="D59" s="4" t="n">
        <x:f>IF($L$7,$L$22,"")</x:f>
        <x:v>650</x:v>
      </x:c>
      <x:c r="E59" s="4" t="n">
        <x:f>IF($L$7,$L$22,"")</x:f>
        <x:v>650</x:v>
      </x:c>
      <x:c r="F59" s="4" t="n">
        <x:f>IF($L$6,$D$6,"")</x:f>
        <x:v>650</x:v>
      </x:c>
      <x:c r="G59" s="4" t="n">
        <x:f>IF($L$6,$D$6,"")</x:f>
        <x:v>650</x:v>
      </x:c>
      <x:c r="H59" s="4"/>
      <x:c r="I59" s="4"/>
      <x:c r="J59" s="4"/>
      <x:c r="K59" s="4"/>
      <x:c r="L59" s="4"/>
      <x:c r="M59" s="4"/>
    </x:row>
    <x:row r="60" ht="23" customHeight="1">
      <x:c r="A60" s="4"/>
      <x:c r="B60" s="4" t="str">
        <x:v>분모 x 계수 bx</x:v>
      </x:c>
      <x:c r="C60" s="4" t="n">
        <x:f>IF($L$7,C49,"")</x:f>
        <x:v>-0.7071067811865475</x:v>
      </x:c>
      <x:c r="D60" s="4" t="n">
        <x:f>IF($L$7,C49,"")</x:f>
        <x:v>-0.7071067811865475</x:v>
      </x:c>
      <x:c r="E60" s="4" t="n">
        <x:f>IF($L$7,C49,"")</x:f>
        <x:v>-0.7071067811865475</x:v>
      </x:c>
      <x:c r="F60" s="4" t="n">
        <x:f>IF($L$6,C35,"")</x:f>
        <x:v>-0.7071067811865475</x:v>
      </x:c>
      <x:c r="G60" s="4" t="n">
        <x:f>IF($L$6,C35,"")</x:f>
        <x:v>-0.7071067811865475</x:v>
      </x:c>
      <x:c r="H60" s="4"/>
      <x:c r="I60" s="4"/>
      <x:c r="J60" s="4"/>
      <x:c r="K60" s="4"/>
      <x:c r="L60" s="4"/>
      <x:c r="M60" s="4"/>
    </x:row>
    <x:row r="61" ht="23" customHeight="1">
      <x:c r="A61" s="4"/>
      <x:c r="B61" s="4" t="str">
        <x:v>분모 y 계수 by</x:v>
      </x:c>
      <x:c r="C61" s="4" t="n">
        <x:f>IF($L$7,D49,"")</x:f>
        <x:v>0</x:v>
      </x:c>
      <x:c r="D61" s="4" t="n">
        <x:f>IF($L$7,D49,"")</x:f>
        <x:v>0</x:v>
      </x:c>
      <x:c r="E61" s="4" t="n">
        <x:f>IF($L$7,D49,"")</x:f>
        <x:v>0</x:v>
      </x:c>
      <x:c r="F61" s="4" t="n">
        <x:f>IF($L$6,D35,"")</x:f>
        <x:v>0</x:v>
      </x:c>
      <x:c r="G61" s="4" t="n">
        <x:f>IF($L$6,D35,"")</x:f>
        <x:v>0</x:v>
      </x:c>
      <x:c r="H61" s="4"/>
      <x:c r="I61" s="4"/>
      <x:c r="J61" s="4"/>
      <x:c r="K61" s="4"/>
      <x:c r="L61" s="4"/>
      <x:c r="M61" s="4"/>
    </x:row>
    <x:row r="62" ht="23" customHeight="1">
      <x:c r="A62" s="4"/>
      <x:c r="B62" s="4" t="str">
        <x:v>분모 변화폭</x:v>
      </x:c>
      <x:c r="C62" s="4" t="n">
        <x:f>IF($L$7,$L$11*SQRT(C60^2+C61^2),"")</x:f>
        <x:v>106.06601717798212</x:v>
      </x:c>
      <x:c r="D62" s="4" t="n">
        <x:f>IF($L$7,$L$11*SQRT(D60^2+D61^2),"")</x:f>
        <x:v>106.06601717798212</x:v>
      </x:c>
      <x:c r="E62" s="4" t="n">
        <x:f>IF($L$7,$L$11*SQRT(E60^2+E61^2),"")</x:f>
        <x:v>106.06601717798212</x:v>
      </x:c>
      <x:c r="F62" s="4" t="n">
        <x:f>IF($L$6,$L$11*SQRT(F60^2+F61^2),"")</x:f>
        <x:v>106.06601717798212</x:v>
      </x:c>
      <x:c r="G62" s="4" t="n">
        <x:f>IF($L$6,$L$11*SQRT(G60^2+G61^2),"")</x:f>
        <x:v>106.06601717798212</x:v>
      </x:c>
      <x:c r="H62" s="4"/>
      <x:c r="I62" s="4"/>
      <x:c r="J62" s="4"/>
      <x:c r="K62" s="4"/>
      <x:c r="L62" s="4"/>
      <x:c r="M62" s="4"/>
    </x:row>
    <x:row r="63" ht="23" customHeight="1">
      <x:c r="A63" s="4"/>
      <x:c r="B63" s="4" t="str">
        <x:v>분모의 0 접근 여유</x:v>
      </x:c>
      <x:c r="C63" s="4" t="n">
        <x:f>IF($L$7,ABS(C59)-C62,"")</x:f>
        <x:v>543.9339828220179</x:v>
      </x:c>
      <x:c r="D63" s="4" t="n">
        <x:f>IF($L$7,ABS(D59)-D62,"")</x:f>
        <x:v>543.9339828220179</x:v>
      </x:c>
      <x:c r="E63" s="4" t="n">
        <x:f>IF($L$7,ABS(E59)-E62,"")</x:f>
        <x:v>543.9339828220179</x:v>
      </x:c>
      <x:c r="F63" s="4" t="n">
        <x:f>IF($L$6,ABS(F59)-F62,"")</x:f>
        <x:v>543.9339828220179</x:v>
      </x:c>
      <x:c r="G63" s="4" t="n">
        <x:f>IF($L$6,ABS(G59)-G62,"")</x:f>
        <x:v>543.9339828220179</x:v>
      </x:c>
      <x:c r="H63" s="4"/>
      <x:c r="I63" s="4"/>
      <x:c r="J63" s="4"/>
      <x:c r="K63" s="4"/>
      <x:c r="L63" s="4"/>
      <x:c r="M63" s="4"/>
    </x:row>
    <x:row r="64" ht="23" customHeight="1">
      <x:c r="A64" s="4"/>
      <x:c r="B64" s="4" t="str">
        <x:v>극값 분모 A</x:v>
      </x:c>
      <x:c r="C64" s="4" t="n">
        <x:f>IF(C$72,(ABS(C59)-C62)*(ABS(C59)+C62),"")</x:f>
        <x:v>411250</x:v>
      </x:c>
      <x:c r="D64" s="4" t="n">
        <x:f>IF(D$72,(ABS(D59)-D62)*(ABS(D59)+D62),"")</x:f>
        <x:v>411250</x:v>
      </x:c>
      <x:c r="E64" s="4" t="n">
        <x:f>IF(E$72,(ABS(E59)-E62)*(ABS(E59)+E62),"")</x:f>
        <x:v>411250</x:v>
      </x:c>
      <x:c r="F64" s="4" t="n">
        <x:f>IF(F$72,(ABS(F59)-F62)*(ABS(F59)+F62),"")</x:f>
        <x:v>411250</x:v>
      </x:c>
      <x:c r="G64" s="4" t="n">
        <x:f>IF(G$72,(ABS(G59)-G62)*(ABS(G59)+G62),"")</x:f>
        <x:v>411250</x:v>
      </x:c>
      <x:c r="H64" s="4"/>
      <x:c r="I64" s="4"/>
      <x:c r="J64" s="4"/>
      <x:c r="K64" s="4"/>
      <x:c r="L64" s="4"/>
      <x:c r="M64" s="4"/>
    </x:row>
    <x:row r="65" ht="23" customHeight="1">
      <x:c r="A65" s="4"/>
      <x:c r="B65" s="4" t="str">
        <x:v>중심 비 g0</x:v>
      </x:c>
      <x:c r="C65" s="4" t="n">
        <x:f>IF(C$72,C56/C59,"")</x:f>
        <x:v>0.6153846153846154</x:v>
      </x:c>
      <x:c r="D65" s="4" t="n">
        <x:f>IF(D$72,D56/D59,"")</x:f>
        <x:v>-1.1368683772161603e-13</x:v>
      </x:c>
      <x:c r="E65" s="4" t="n">
        <x:f>IF(E$72,E56/E59,"")</x:f>
        <x:v>0</x:v>
      </x:c>
      <x:c r="F65" s="4" t="n">
        <x:f>IF(F$72,F56/F59,"")</x:f>
        <x:v>0</x:v>
      </x:c>
      <x:c r="G65" s="4" t="n">
        <x:f>IF(G$72,G56/G59,"")</x:f>
        <x:v>0</x:v>
      </x:c>
      <x:c r="H65" s="4"/>
      <x:c r="I65" s="4"/>
      <x:c r="J65" s="4"/>
      <x:c r="K65" s="4"/>
      <x:c r="L65" s="4"/>
      <x:c r="M65" s="4"/>
    </x:row>
    <x:row r="66" ht="23" customHeight="1">
      <x:c r="A66" s="4"/>
      <x:c r="B66" s="4" t="str">
        <x:v>보정 x 계수 cx</x:v>
      </x:c>
      <x:c r="C66" s="4" t="n">
        <x:f>IF(C$72,C57-C65*C60,"")</x:f>
        <x:v>1.1422494157628844</x:v>
      </x:c>
      <x:c r="D66" s="4" t="n">
        <x:f>IF(D$72,D57-D65*D60,"")</x:f>
        <x:v>742.462120245875</x:v>
      </x:c>
      <x:c r="E66" s="4" t="n">
        <x:f>IF(E$72,E57-E65*E60,"")</x:f>
        <x:v>0</x:v>
      </x:c>
      <x:c r="F66" s="4" t="n">
        <x:f>IF(F$72,F57-F65*F60,"")</x:f>
        <x:v>5.656854249492381</x:v>
      </x:c>
      <x:c r="G66" s="4" t="n">
        <x:f>IF(G$72,G57-G65*G60,"")</x:f>
        <x:v>0</x:v>
      </x:c>
      <x:c r="H66" s="4"/>
      <x:c r="I66" s="4"/>
      <x:c r="J66" s="4"/>
      <x:c r="K66" s="4"/>
      <x:c r="L66" s="4"/>
      <x:c r="M66" s="4"/>
    </x:row>
    <x:row r="67" ht="23" customHeight="1">
      <x:c r="A67" s="4"/>
      <x:c r="B67" s="4" t="str">
        <x:v>보정 y 계수 cy</x:v>
      </x:c>
      <x:c r="C67" s="4" t="n">
        <x:f>IF(C$72,C58-C65*C61,"")</x:f>
        <x:v>0</x:v>
      </x:c>
      <x:c r="D67" s="4" t="n">
        <x:f>IF(D$72,D58-D65*D61,"")</x:f>
        <x:v>0</x:v>
      </x:c>
      <x:c r="E67" s="4" t="n">
        <x:f>IF(E$72,E58-E65*E61,"")</x:f>
        <x:v>1050</x:v>
      </x:c>
      <x:c r="F67" s="4" t="n">
        <x:f>IF(F$72,F58-F65*F61,"")</x:f>
        <x:v>0</x:v>
      </x:c>
      <x:c r="G67" s="4" t="n">
        <x:f>IF(G$72,G58-G65*G61,"")</x:f>
        <x:v>8</x:v>
      </x:c>
      <x:c r="H67" s="4"/>
      <x:c r="I67" s="4"/>
      <x:c r="J67" s="4"/>
      <x:c r="K67" s="4"/>
      <x:c r="L67" s="4"/>
      <x:c r="M67" s="4"/>
    </x:row>
    <x:row r="68" ht="23" customHeight="1">
      <x:c r="A68" s="4"/>
      <x:c r="B68" s="4" t="str">
        <x:v>극값 중심 보정</x:v>
      </x:c>
      <x:c r="C68" s="4" t="n">
        <x:f>IF(C$72,-($L$11^2)*(C66*C60+C67*C61)/C64,"")</x:f>
        <x:v>0.04418985270049099</x:v>
      </x:c>
      <x:c r="D68" s="4" t="n">
        <x:f>IF(D$72,-($L$11^2)*(D66*D60+D67*D61)/D64,"")</x:f>
        <x:v>28.72340425531915</x:v>
      </x:c>
      <x:c r="E68" s="4" t="n">
        <x:f>IF(E$72,-($L$11^2)*(E66*E60+E67*E61)/E64,"")</x:f>
        <x:v>0</x:v>
      </x:c>
      <x:c r="F68" s="4" t="n">
        <x:f>IF(F$72,-($L$11^2)*(F66*F60+F67*F61)/F64,"")</x:f>
        <x:v>0.2188449848024316</x:v>
      </x:c>
      <x:c r="G68" s="4" t="n">
        <x:f>IF(G$72,-($L$11^2)*(G66*G60+G67*G61)/G64,"")</x:f>
        <x:v>0</x:v>
      </x:c>
      <x:c r="H68" s="4"/>
      <x:c r="I68" s="4"/>
      <x:c r="J68" s="4"/>
      <x:c r="K68" s="4"/>
      <x:c r="L68" s="4"/>
      <x:c r="M68" s="4"/>
    </x:row>
    <x:row r="69" ht="23" customHeight="1">
      <x:c r="A69" s="4"/>
      <x:c r="B69" s="4" t="str">
        <x:v>극값 반폭</x:v>
      </x:c>
      <x:c r="C69" s="4" t="n">
        <x:f>IF(C$72,SQRT(MAX(0,C68^2+$L$11^2*(C66^2+C67^2)/C64)),"")</x:f>
        <x:v>0.27080685236931606</x:v>
      </x:c>
      <x:c r="D69" s="4" t="n">
        <x:f>IF(D$72,SQRT(MAX(0,D68^2+$L$11^2*(D66^2+D67^2)/D64)),"")</x:f>
        <x:v>176.02445404005547</x:v>
      </x:c>
      <x:c r="E69" s="4" t="n">
        <x:f>IF(E$72,SQRT(MAX(0,E68^2+$L$11^2*(E66^2+E67^2)/E64)),"")</x:f>
        <x:v>245.5995703094169</x:v>
      </x:c>
      <x:c r="F69" s="4" t="n">
        <x:f>IF(F$72,SQRT(MAX(0,F68^2+$L$11^2*(F66^2+F67^2)/F64)),"")</x:f>
        <x:v>1.3411386974480417</x:v>
      </x:c>
      <x:c r="G69" s="4" t="n">
        <x:f>IF(G$72,SQRT(MAX(0,G68^2+$L$11^2*(G66^2+G67^2)/G64)),"")</x:f>
        <x:v>1.8712348214050811</x:v>
      </x:c>
      <x:c r="H69" s="4"/>
      <x:c r="I69" s="4"/>
      <x:c r="J69" s="4"/>
      <x:c r="K69" s="4"/>
      <x:c r="L69" s="4"/>
      <x:c r="M69" s="4"/>
    </x:row>
    <x:row r="70" ht="23" customHeight="1">
      <x:c r="A70" s="4"/>
      <x:c r="B70" s="4" t="str">
        <x:v>최솟값</x:v>
      </x:c>
      <x:c r="C70" s="4" t="n">
        <x:f>IF(C$72,C65+C68-C69,"")</x:f>
        <x:v>0.3887676157157904</x:v>
      </x:c>
      <x:c r="D70" s="4" t="n">
        <x:f>IF(D$72,D65+D68-D69,"")</x:f>
        <x:v>-147.30104978473645</x:v>
      </x:c>
      <x:c r="E70" s="4" t="n">
        <x:f>IF(E$72,E65+E68-E69,"")</x:f>
        <x:v>-245.5995703094169</x:v>
      </x:c>
      <x:c r="F70" s="4" t="n">
        <x:f>IF(F$72,F65+F68-F69,"")</x:f>
        <x:v>-1.12229371264561</x:v>
      </x:c>
      <x:c r="G70" s="4" t="n">
        <x:f>IF(G$72,G65+G68-G69,"")</x:f>
        <x:v>-1.8712348214050811</x:v>
      </x:c>
      <x:c r="H70" s="4"/>
      <x:c r="I70" s="4"/>
      <x:c r="J70" s="4"/>
      <x:c r="K70" s="4"/>
      <x:c r="L70" s="4"/>
      <x:c r="M70" s="4"/>
    </x:row>
    <x:row r="71" ht="23" customHeight="1">
      <x:c r="A71" s="4"/>
      <x:c r="B71" s="4" t="str">
        <x:v>최댓값</x:v>
      </x:c>
      <x:c r="C71" s="4" t="n">
        <x:f>IF(C$72,C65+C68+C69,"")</x:f>
        <x:v>0.9303813204544225</x:v>
      </x:c>
      <x:c r="D71" s="4" t="n">
        <x:f>IF(D$72,D65+D68+D69,"")</x:f>
        <x:v>204.7478582953745</x:v>
      </x:c>
      <x:c r="E71" s="4" t="n">
        <x:f>IF(E$72,E65+E68+E69,"")</x:f>
        <x:v>245.5995703094169</x:v>
      </x:c>
      <x:c r="F71" s="4" t="n">
        <x:f>IF(F$72,F65+F68+F69,"")</x:f>
        <x:v>1.5599836822504733</x:v>
      </x:c>
      <x:c r="G71" s="4" t="n">
        <x:f>IF(G$72,G65+G68+G69,"")</x:f>
        <x:v>1.8712348214050811</x:v>
      </x:c>
      <x:c r="H71" s="4"/>
      <x:c r="I71" s="4"/>
      <x:c r="J71" s="4"/>
      <x:c r="K71" s="4"/>
      <x:c r="L71" s="4"/>
      <x:c r="M71" s="4"/>
    </x:row>
    <x:row r="72" ht="23" customHeight="1">
      <x:c r="A72" s="4"/>
      <x:c r="B72" s="4" t="str">
        <x:v>유한 극값 존재</x:v>
      </x:c>
      <x:c r="C72" s="4" t="b">
        <x:f>IF($L$7,C63&gt;1E-12*MAX(1,ABS(C59),C62),FALSE)</x:f>
        <x:v>1</x:v>
      </x:c>
      <x:c r="D72" s="4" t="b">
        <x:f>IF($L$7,D63&gt;1E-12*MAX(1,ABS(D59),D62),FALSE)</x:f>
        <x:v>1</x:v>
      </x:c>
      <x:c r="E72" s="4" t="b">
        <x:f>IF($L$7,E63&gt;1E-12*MAX(1,ABS(E59),E62),FALSE)</x:f>
        <x:v>1</x:v>
      </x:c>
      <x:c r="F72" s="4" t="b">
        <x:f>IF($L$6,F63&gt;1E-12*MAX(1,ABS(F59),F62),FALSE)</x:f>
        <x:v>1</x:v>
      </x:c>
      <x:c r="G72" s="4" t="b">
        <x:f>IF($L$6,G63&gt;1E-12*MAX(1,ABS(G59),G62),FALSE)</x:f>
        <x:v>1</x:v>
      </x:c>
      <x:c r="H72" s="4"/>
      <x:c r="I72" s="4"/>
      <x:c r="J72" s="4"/>
      <x:c r="K72" s="4"/>
      <x:c r="L72" s="4"/>
      <x:c r="M72" s="4"/>
    </x:row>
    <x:row r="73" ht="23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23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25" customHeight="1">
      <x:c r="A75" s="4"/>
      <x:c r="B75" s="8" t="str">
        <x:v>배치 가능 여부와 결과</x:v>
      </x:c>
      <x:c r="C75" s="8"/>
      <x:c r="D75" s="8"/>
      <x:c r="E75" s="8"/>
      <x:c r="F75" s="8"/>
      <x:c r="G75" s="8"/>
      <x:c r="H75" s="4"/>
      <x:c r="I75" s="4"/>
      <x:c r="J75" s="4"/>
      <x:c r="K75" s="4"/>
      <x:c r="L75" s="4"/>
      <x:c r="M75" s="4"/>
    </x:row>
    <x:row r="76" ht="23" customHeight="1">
      <x:c r="A76" s="4"/>
      <x:c r="B76" s="4" t="str">
        <x:v>배치 상태 코드</x:v>
      </x:c>
      <x:c r="C76" s="4" t="str">
        <x:f>IF(NOT(L7),"input",IF(NOT(C72),"horizon",IF(C70&lt;=1E-10,"behind","ok")))</x:f>
        <x:v>ok</x:v>
      </x:c>
      <x:c r="D76" s="4"/>
      <x:c r="E76" s="4"/>
      <x:c r="F76" s="4" t="str">
        <x:v>분모가 원판 안에서 0이 되면 유한한 전체 커버 크기가 없습니다.</x:v>
      </x:c>
      <x:c r="G76" s="4"/>
      <x:c r="H76" s="4"/>
      <x:c r="I76" s="4"/>
      <x:c r="J76" s="4"/>
      <x:c r="K76" s="4"/>
      <x:c r="L76" s="4"/>
      <x:c r="M76" s="4"/>
    </x:row>
    <x:row r="77" ht="23" customHeight="1">
      <x:c r="A77" s="4"/>
      <x:c r="B77" s="4" t="str">
        <x:v>전체 반사광 전방 교차</x:v>
      </x:c>
      <x:c r="C77" s="4" t="b">
        <x:f>C76="ok"</x:f>
        <x:v>1</x:v>
      </x:c>
      <x:c r="D77" s="4"/>
      <x:c r="E77" s="4"/>
      <x:c r="F77" s="4" t="str">
        <x:v>최소 t가 양수일 때만 모든 반사광이 전방의 판과 만납니다.</x:v>
      </x:c>
      <x:c r="G77" s="4"/>
      <x:c r="H77" s="4"/>
      <x:c r="I77" s="4"/>
      <x:c r="J77" s="4"/>
      <x:c r="K77" s="4"/>
      <x:c r="L77" s="4"/>
      <x:c r="M77" s="4"/>
    </x:row>
    <x:row r="78" ht="23" customHeight="1">
      <x:c r="A78" s="4"/>
      <x:c r="B78" s="4" t="str">
        <x:v>판 크기 계산 가능</x:v>
      </x:c>
      <x:c r="C78" s="4" t="b">
        <x:f>AND(C77,L8)</x:f>
        <x:v>1</x:v>
      </x:c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3" customHeight="1">
      <x:c r="A79" s="4"/>
      <x:c r="B79" s="4" t="str">
        <x:v>웨이퍼 전체 시야 포함</x:v>
      </x:c>
      <x:c r="C79" s="4" t="b">
        <x:f>IF($L$6,AND(F72,G72,L28&gt;1E-9,F70&gt;=-D11/2-1E-8,F71&lt;=D11/2+1E-8,G70&gt;=-D12/2-1E-8,G71&lt;=D12/2+1E-8),"")</x:f>
        <x:v>1</x:v>
      </x:c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3" customHeight="1">
      <x:c r="A80" s="4"/>
      <x:c r="B80" s="4" t="str">
        <x:v>평행 광선 한계 근접</x:v>
      </x:c>
      <x:c r="C80" s="4" t="b">
        <x:f>IF(C77,C63/MAX(ABS(C59)+C62,1)&lt;0.02,"")</x:f>
        <x:v>0</x:v>
      </x:c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3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3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3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3" customHeight="1">
      <x:c r="A84" s="4"/>
      <x:c r="B84" s="4" t="str">
        <x:v>최소 폭 U (mm)</x:v>
      </x:c>
      <x:c r="C84" s="4" t="n">
        <x:f>IF($C$77,D71-D70,"")</x:f>
        <x:v>352.04890808011095</x:v>
      </x:c>
      <x:c r="D84" s="4"/>
      <x:c r="E84" s="4"/>
      <x:c r="F84" s="4" t="str">
        <x:v>U·V 축 방향을 고정한 최소 외접 사각형입니다.</x:v>
      </x:c>
      <x:c r="G84" s="4"/>
      <x:c r="H84" s="4"/>
      <x:c r="I84" s="4"/>
      <x:c r="J84" s="4"/>
      <x:c r="K84" s="4"/>
      <x:c r="L84" s="4"/>
      <x:c r="M84" s="4"/>
    </x:row>
    <x:row r="85" ht="23" customHeight="1">
      <x:c r="A85" s="4"/>
      <x:c r="B85" s="4" t="str">
        <x:v>최소 높이 V (mm)</x:v>
      </x:c>
      <x:c r="C85" s="4" t="n">
        <x:f>IF($C$77,E71-E70,"")</x:f>
        <x:v>491.1991406188338</x:v>
      </x:c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3" customHeight="1">
      <x:c r="A86" s="4"/>
      <x:c r="B86" s="4" t="str">
        <x:v>자동 중심 U (mm)</x:v>
      </x:c>
      <x:c r="C86" s="4" t="n">
        <x:f>IF($C$77,(D70+D71)/2,"")</x:f>
        <x:v>28.723404255319025</x:v>
      </x:c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3" customHeight="1">
      <x:c r="A87" s="4"/>
      <x:c r="B87" s="4" t="str">
        <x:v>자동 중심 V (mm)</x:v>
      </x:c>
      <x:c r="C87" s="4" t="n">
        <x:f>IF($C$77,(E70+E71)/2,"")</x:f>
        <x:v>0</x:v>
      </x:c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3" customHeight="1">
      <x:c r="A88" s="4"/>
      <x:c r="B88" s="4" t="str">
        <x:v>선택 중심 U (mm)</x:v>
      </x:c>
      <x:c r="C88" s="4" t="n">
        <x:f>IF($C$78,IF(D19="자동",C86,D20),"")</x:f>
        <x:v>28.723404255319025</x:v>
      </x:c>
      <x:c r="D88" s="4"/>
      <x:c r="E88" s="4"/>
      <x:c r="F88" s="4" t="str">
        <x:v>자동은 투영 범위 중앙, 고정은 입력 U·V를 사용합니다.</x:v>
      </x:c>
      <x:c r="G88" s="4"/>
      <x:c r="H88" s="4"/>
      <x:c r="I88" s="4"/>
      <x:c r="J88" s="4"/>
      <x:c r="K88" s="4"/>
      <x:c r="L88" s="4"/>
      <x:c r="M88" s="4"/>
    </x:row>
    <x:row r="89" ht="23" customHeight="1">
      <x:c r="A89" s="4"/>
      <x:c r="B89" s="4" t="str">
        <x:v>선택 중심 V (mm)</x:v>
      </x:c>
      <x:c r="C89" s="4" t="n">
        <x:f>IF($C$78,IF(D19="자동",C87,D21),"")</x:f>
        <x:v>0</x:v>
      </x:c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3" customHeight="1">
      <x:c r="A90" s="4"/>
      <x:c r="B90" s="4" t="str">
        <x:v>여유 포함 필요 폭 (mm)</x:v>
      </x:c>
      <x:c r="C90" s="4" t="n">
        <x:f>IF($C$78,2*MAX(C88-D70,D71-C88)+2*D22,"")</x:f>
        <x:v>362.04890808011095</x:v>
      </x:c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 ht="23" customHeight="1">
      <x:c r="A91" s="4"/>
      <x:c r="B91" s="4" t="str">
        <x:v>여유 포함 필요 높이 (mm)</x:v>
      </x:c>
      <x:c r="C91" s="4" t="n">
        <x:f>IF($C$78,2*MAX(C89-E70,E71-C89)+2*D22,"")</x:f>
        <x:v>501.1991406188338</x:v>
      </x:c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 ht="23" customHeight="1">
      <x:c r="A92" s="4"/>
      <x:c r="B92" s="4" t="str">
        <x:v>보유 판 전체 커버</x:v>
      </x:c>
      <x:c r="C92" s="4" t="b">
        <x:f>IF($C$78,AND(D70&gt;=C88-D23/2-1E-8,D71&lt;=C88+D23/2+1E-8,E70&gt;=C89-D24/2-1E-8,E71&lt;=C89+D24/2+1E-8),"")</x:f>
        <x:v>1</x:v>
      </x:c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 ht="23" customHeight="1">
      <x:c r="A93" s="4"/>
      <x:c r="B93" s="4" t="str">
        <x:v>보유 판 여유 포함 커버</x:v>
      </x:c>
      <x:c r="C93" s="4" t="b">
        <x:f>IF($C$78,AND(D70-D22&gt;=C88-D23/2-1E-8,D71+D22&lt;=C88+D23/2+1E-8,E70-D22&gt;=C89-D24/2-1E-8,E71+D22&lt;=C89+D24/2+1E-8),"")</x:f>
        <x:v>1</x:v>
      </x:c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 ht="23" customHeight="1">
      <x:c r="A94" s="4"/>
      <x:c r="B94" s="4" t="str">
        <x:v>실제 판 중심 X (mm)</x:v>
      </x:c>
      <x:c r="C94" s="4" t="n">
        <x:f>IF($C$78,C50+C47*C88+C48*C89,"")</x:f>
        <x:v>-262.53219854692037</x:v>
      </x:c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 ht="23" customHeight="1">
      <x:c r="A95" s="4"/>
      <x:c r="B95" s="4" t="str">
        <x:v>실제 판 중심 Y (mm)</x:v>
      </x:c>
      <x:c r="C95" s="4" t="n">
        <x:f>IF($C$78,D50+D47*C88+D48*C89,"")</x:f>
        <x:v>0</x:v>
      </x:c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 ht="23" customHeight="1">
      <x:c r="A96" s="4"/>
      <x:c r="B96" s="4" t="str">
        <x:v>실제 판 중심 Z (mm)</x:v>
      </x:c>
      <x:c r="C96" s="4" t="n">
        <x:f>IF($C$78,E50+E47*C88+E48*C89,"")</x:f>
        <x:v>303.1532264023176</x:v>
      </x:c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 ht="23" customHeight="1">
      <x:c r="A97" s="4"/>
      <x:c r="B97" s="4" t="str">
        <x:v>판 기준점 높이 (mm)</x:v>
      </x:c>
      <x:c r="C97" s="4" t="n">
        <x:f>IF($L$7,E50,"")</x:f>
        <x:v>282.842712474619</x:v>
      </x:c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 ht="23" customHeight="1">
      <x:c r="A98" s="4"/>
      <x:c r="B98" s="4" t="str">
        <x:v>판 반사축 거리 (mm)</x:v>
      </x:c>
      <x:c r="C98" s="4" t="n">
        <x:f>IF($L$7,L18,"")</x:f>
        <x:v>400</x:v>
      </x:c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 ht="23" customHeight="1">
      <x:c r="A99" s="4"/>
      <x:c r="B99" s="4" t="str">
        <x:v>가로 화각 (°)</x:v>
      </x:c>
      <x:c r="C99" s="4" t="n">
        <x:f>IF($L$6,DEGREES(2*ATAN(D11/(2*D10))),"")</x:f>
        <x:v>55.65466558091238</x:v>
      </x:c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 ht="23" customHeight="1">
      <x:c r="A100" s="4"/>
      <x:c r="B100" s="4" t="str">
        <x:v>세로 화각 (°)</x:v>
      </x:c>
      <x:c r="C100" s="4" t="n">
        <x:f>IF($L$6,DEGREES(2*ATAN(D12/(2*D10))),"")</x:f>
        <x:v>47.652506335380984</x:v>
      </x:c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  <x:row r="101" ht="23" customHeight="1">
      <x:c r="A101" s="4"/>
      <x:c r="B101" s="4" t="str">
        <x:v>시야 포함 면적 비율</x:v>
      </x:c>
      <x:c r="C101" s="21" t="n">
        <x:f>IF($L$6,SUM('광선 표본'!M6:M2053)/$L$30,"")</x:f>
        <x:v>1</x:v>
      </x:c>
      <x:c r="D101" s="4"/>
      <x:c r="E101" s="4"/>
      <x:c r="F101" s="4" t="str">
        <x:v>동일 면적의 황금각 표본. 면적 비율의 분모는 웨이퍼 면적입니다.</x:v>
      </x:c>
      <x:c r="G101" s="4"/>
      <x:c r="H101" s="4"/>
      <x:c r="I101" s="4"/>
      <x:c r="J101" s="4"/>
      <x:c r="K101" s="4"/>
      <x:c r="L101" s="4"/>
      <x:c r="M101" s="4"/>
    </x:row>
    <x:row r="102" ht="23" customHeight="1">
      <x:c r="A102" s="4"/>
      <x:c r="B102" s="4" t="str">
        <x:v>반사광 커버 면적 비율</x:v>
      </x:c>
      <x:c r="C102" s="21" t="n">
        <x:f>IF($C$78,SUM('광선 표본'!N6:N2053)/$L$30,"")</x:f>
        <x:v>1</x:v>
      </x:c>
      <x:c r="D102" s="4"/>
      <x:c r="E102" s="4"/>
      <x:c r="F102" s="4" t="str">
        <x:v>커버율은 여유를 제외한 보유 판 크기로 판정합니다.</x:v>
      </x:c>
      <x:c r="G102" s="4"/>
      <x:c r="H102" s="4"/>
      <x:c r="I102" s="4"/>
      <x:c r="J102" s="4"/>
      <x:c r="K102" s="4"/>
      <x:c r="L102" s="4"/>
      <x:c r="M102" s="4"/>
    </x:row>
    <x:row r="103" ht="23" customHeight="1">
      <x:c r="A103" s="4"/>
      <x:c r="B103" s="4" t="str">
        <x:v>카메라 가림 면적 비율</x:v>
      </x:c>
      <x:c r="C103" s="21" t="n">
        <x:f>IF($C$78,SUM('광선 표본'!S6:S2053)/$L$30,"")</x:f>
        <x:v>0</x:v>
      </x:c>
      <x:c r="D103" s="4"/>
      <x:c r="E103" s="4"/>
      <x:c r="F103" s="4" t="str">
        <x:v>카메라와 웨이퍼 사이에서 실제 판이 가리는 면적의 비율입니다.</x:v>
      </x:c>
      <x:c r="G103" s="4"/>
      <x:c r="H103" s="4"/>
      <x:c r="I103" s="4"/>
      <x:c r="J103" s="4"/>
      <x:c r="K103" s="4"/>
      <x:c r="L103" s="4"/>
      <x:c r="M103" s="4"/>
    </x:row>
    <x:row r="104" ht="23" customHeight="1">
      <x:c r="A104" s="4"/>
      <x:c r="B104" s="4" t="str">
        <x:v>표시 필요 폭 (올림)</x:v>
      </x:c>
      <x:c r="C104" s="4" t="n">
        <x:f>IF(AND($C$78,$L$9),ROUNDUP(C90/L19,L20),"")</x:f>
        <x:v>362.1</x:v>
      </x:c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</x:row>
    <x:row r="105" ht="23" customHeight="1">
      <x:c r="A105" s="4"/>
      <x:c r="B105" s="4" t="str">
        <x:v>표시 필요 높이 (올림)</x:v>
      </x:c>
      <x:c r="C105" s="4" t="n">
        <x:f>IF(AND($C$78,$L$9),ROUNDUP(C91/L19,L20),"")</x:f>
        <x:v>501.2</x:v>
      </x:c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</x:row>
    <x:row r="106" ht="23" customHeight="1">
      <x:c r="A106" s="4"/>
      <x:c r="B106" s="4" t="str">
        <x:v>표시 단위</x:v>
      </x:c>
      <x:c r="C106" s="4" t="str">
        <x:f>D25</x:f>
        <x:v>mm</x:v>
      </x:c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</x:row>
    <x:row r="107" ht="23" customHeight="1">
      <x:c r="A107" s="4"/>
      <x:c r="B107" s="4" t="str">
        <x:v>배치 안내</x:v>
      </x:c>
      <x:c r="C107" s="4" t="str">
        <x:f>IF(NOT(L7),"입력 확인",IF(C76="horizon","유한 크기 없음",IF(C76="behind","전방 교차 불가",IF(NOT(L8),"판 크기 입력 확인",IF(C80,"한계 근접","계산 가능")))))</x:f>
        <x:v>계산 가능</x:v>
      </x:c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</x:row>
    <x:row r="108" ht="23" customHeight="1">
      <x:c r="A108" s="4"/>
      <x:c r="B108" s="4" t="str">
        <x:v>시야 안내</x:v>
      </x:c>
      <x:c r="C108" s="4" t="str">
        <x:f>IF(NOT(L6),"입력 확인",IF(C79,"전체 포함","일부 벗어남"))</x:f>
        <x:v>전체 포함</x:v>
      </x:c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</x:row>
    <x:row r="109" ht="23" customHeight="1">
      <x:c r="A109" s="4"/>
      <x:c r="B109" s="4" t="str">
        <x:v>판 커버 안내</x:v>
      </x:c>
      <x:c r="C109" s="4" t="str">
        <x:f>IF(NOT(C78),"계산 불가",IF(C92,"충족","부족"))</x:f>
        <x:v>충족</x:v>
      </x:c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</x:row>
    <x:row r="110" ht="23" customHeight="1">
      <x:c r="A110" s="4"/>
      <x:c r="B110" s="4" t="str">
        <x:v>판 여유 안내</x:v>
      </x:c>
      <x:c r="C110" s="4" t="str">
        <x:f>IF(NOT(C78),"계산 불가",IF(C93,"충족","부족"))</x:f>
        <x:v>충족</x:v>
      </x:c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</x:row>
    <x:row r="111" ht="23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</x:row>
    <x:row r="112" ht="23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.1299991607666" hidden="0" customWidth="1"/>
    <x:col min="11" max="11" width="14" hidden="0" customWidth="1"/>
    <x:col min="12" max="12" width="14" hidden="0" customWidth="1"/>
    <x:col min="13" max="13" width="18.1299991607666" hidden="0" customWidth="1"/>
    <x:col min="14" max="14" width="18.1299991607666" hidden="0" customWidth="1"/>
    <x:col min="15" max="15" width="14" hidden="0" customWidth="1"/>
    <x:col min="16" max="16" width="14" hidden="0" customWidth="1"/>
    <x:col min="17" max="17" width="18.1299991607666" hidden="0" customWidth="1"/>
    <x:col min="18" max="18" width="18.1299991607666" hidden="0" customWidth="1"/>
    <x:col min="19" max="19" width="18.1299991607666" hidden="0" customWidth="1"/>
    <x:col min="20" max="20" width="3" hidden="0" customWidth="1"/>
    <x:col min="21" max="21" width="3" hidden="0" customWidth="1"/>
    <x:col min="22" max="22" width="3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3" customHeight="1">
      <x:c r="A2" s="5" t="str">
        <x:v>광선 표본과 도면 좌표</x:v>
      </x:c>
      <x:c r="B2" s="5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3" customHeight="1">
      <x:c r="A3" s="4" t="str">
        <x:v>면적 표본 2,048개. 판 크기·전체 포함 판정은 해석식으로 계산합니다.</x:v>
      </x:c>
      <x:c r="B3" s="6"/>
      <x:c r="C3" s="6"/>
      <x:c r="D3" s="6"/>
      <x:c r="E3" s="6"/>
      <x:c r="F3" s="6"/>
      <x:c r="G3" s="6"/>
      <x:c r="H3" s="6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7" customHeight="1">
      <x:c r="A5" s="9" t="str">
        <x:v>번호</x:v>
      </x:c>
      <x:c r="B5" s="9" t="str">
        <x:v>반지름 mm</x:v>
      </x:c>
      <x:c r="C5" s="9" t="str">
        <x:v>방위각 rad</x:v>
      </x:c>
      <x:c r="D5" s="9" t="str">
        <x:v>웨이퍼 x mm</x:v>
      </x:c>
      <x:c r="E5" s="9" t="str">
        <x:v>웨이퍼 y mm</x:v>
      </x:c>
      <x:c r="F5" s="9" t="str">
        <x:v>반사 분모</x:v>
      </x:c>
      <x:c r="G5" s="9" t="str">
        <x:v>반사 t</x:v>
      </x:c>
      <x:c r="H5" s="9" t="str">
        <x:v>판 U mm</x:v>
      </x:c>
      <x:c r="I5" s="9" t="str">
        <x:v>판 V mm</x:v>
      </x:c>
      <x:c r="J5" s="9" t="str">
        <x:v>카메라 깊이 mm</x:v>
      </x:c>
      <x:c r="K5" s="9" t="str">
        <x:v>센서 X mm</x:v>
      </x:c>
      <x:c r="L5" s="9" t="str">
        <x:v>센서 Y mm</x:v>
      </x:c>
      <x:c r="M5" s="9" t="str">
        <x:v>시야 포함 1/0</x:v>
      </x:c>
      <x:c r="N5" s="9" t="str">
        <x:v>판 커버 1/0</x:v>
      </x:c>
      <x:c r="O5" s="9" t="str">
        <x:v>시선 분모</x:v>
      </x:c>
      <x:c r="P5" s="9" t="str">
        <x:v>시선 교차 t</x:v>
      </x:c>
      <x:c r="Q5" s="9" t="str">
        <x:v>가림점 U mm</x:v>
      </x:c>
      <x:c r="R5" s="9" t="str">
        <x:v>가림점 V mm</x:v>
      </x:c>
      <x:c r="S5" s="9" t="str">
        <x:v>카메라 가림 1/0</x:v>
      </x:c>
      <x:c r="T5" s="4"/>
      <x:c r="U5" s="4"/>
      <x:c r="V5" s="4"/>
      <x:c r="W5" s="9" t="str">
        <x:v>U (mm)</x:v>
      </x:c>
      <x:c r="X5" s="9" t="str">
        <x:v>반사 영역</x:v>
      </x:c>
      <x:c r="Y5" s="9" t="str">
        <x:v>보유 판</x:v>
      </x:c>
      <x:c r="Z5" s="9" t="str">
        <x:v>필요 판 (여유 포함)</x:v>
      </x:c>
    </x:row>
    <x:row r="6" ht="23" customHeight="1">
      <x:c r="A6" s="17" t="n">
        <x:f>ROW()-6</x:f>
        <x:v>0</x:v>
      </x:c>
      <x:c r="B6" s="4" t="n">
        <x:f>IF('계산 과정'!$L$5,'계산 과정'!$L$11*SQRT((A6+0.5)/'계산 과정'!$L$30),"")</x:f>
        <x:v>2.34375</x:v>
      </x:c>
      <x:c r="C6" s="4" t="n">
        <x:f>A6*PI()*(3-SQRT(5))</x:f>
        <x:v>0</x:v>
      </x:c>
      <x:c r="D6" s="4" t="n">
        <x:f>IF('계산 과정'!$L$5,B6*COS(C6),"")</x:f>
        <x:v>2.34375</x:v>
      </x:c>
      <x:c r="E6" s="4" t="n">
        <x:f>IF('계산 과정'!$L$5,B6*SIN(C6),"")</x:f>
        <x:v>0</x:v>
      </x:c>
      <x:c r="F6" s="4" t="n">
        <x:f>IF('계산 과정'!$L$7,'계산 과정'!$L$22+'계산 과정'!$C$49*D6+'계산 과정'!$D$49*E6,"")</x:f>
        <x:v>648.342718481594</x:v>
      </x:c>
      <x:c r="G6" s="4" t="n">
        <x:f>IF('계산 과정'!$L$7,IF(ABS(F6)&gt;=1E-12*MAX(1,SQRT((D6-'계산 과정'!$C$33)^2+(E6-'계산 과정'!$D$33)^2+'계산 과정'!$E$33^2)),('계산 과정'!$L$23-'계산 과정'!$C$49*D6-'계산 과정'!$D$49*E6)/F6,""),"")</x:f>
        <x:v>0.6195138312944726</x:v>
      </x:c>
      <x:c r="H6" s="4" t="n">
        <x:f>IF(AND(ISNUMBER(G6),G6&gt;0),('계산 과정'!$D$56+'계산 과정'!$D$57*D6+'계산 과정'!$D$58*E6)/F6,"")</x:f>
        <x:v>2.6839903414070614</x:v>
      </x:c>
      <x:c r="I6" s="4" t="n">
        <x:f>IF(AND(ISNUMBER(G6),G6&gt;0),('계산 과정'!$E$56+'계산 과정'!$E$57*D6+'계산 과정'!$E$58*E6)/F6,"")</x:f>
        <x:v>0</x:v>
      </x:c>
      <x:c r="J6" s="4" t="n">
        <x:f>IF('계산 과정'!$L$5,'계산 과정'!$D$6+'계산 과정'!$C$35*D6+'계산 과정'!$D$35*E6,"")</x:f>
        <x:v>648.342718481594</x:v>
      </x:c>
      <x:c r="K6" s="4" t="n">
        <x:f>IF(AND('계산 과정'!$L$6,J6&gt;0),'계산 과정'!$D$10*('계산 과정'!$C$38*(D6-'계산 과정'!$C$32)+'계산 과정'!$D$38*(E6-'계산 과정'!$D$32)-'계산 과정'!$E$38*'계산 과정'!$E$32)/J6,"")</x:f>
        <x:v>0.020449450220245087</x:v>
      </x:c>
      <x:c r="L6" s="4" t="n">
        <x:f>IF(AND('계산 과정'!$L$6,J6&gt;0),'계산 과정'!$D$10*('계산 과정'!$C$39*(D6-'계산 과정'!$C$32)+'계산 과정'!$D$39*(E6-'계산 과정'!$D$32)-'계산 과정'!$E$39*'계산 과정'!$E$32)/J6,"")</x:f>
        <x:v>0</x:v>
      </x:c>
      <x:c r="M6" s="17" t="n">
        <x:f>IF('계산 과정'!$L$6,IF(J6&lt;=0,0,IF(AND(ABS(K6)&lt;='계산 과정'!$D$11/2,ABS(L6)&lt;='계산 과정'!$D$12/2),1,0)),"")</x:f>
        <x:v>1</x:v>
      </x:c>
      <x:c r="N6" s="17" t="n">
        <x:f>IF('계산 과정'!$C$78,IF(AND(ISNUMBER(H6),ISNUMBER(I6),ABS(H6-'계산 과정'!$C$88)&lt;='계산 과정'!$D$23/2,ABS(I6-'계산 과정'!$C$89)&lt;='계산 과정'!$D$24/2),1,0),"")</x:f>
        <x:v>1</x:v>
      </x:c>
      <x:c r="O6" s="4" t="n">
        <x:f>IF('계산 과정'!$L$7,'계산 과정'!$C$49*('계산 과정'!$C$32-D6)+'계산 과정'!$D$49*('계산 과정'!$D$32-E6)+'계산 과정'!$E$49*'계산 과정'!$E$32,"")</x:f>
        <x:v>1.65728151840608</x:v>
      </x:c>
      <x:c r="P6" s="4" t="n">
        <x:f>IF(AND('계산 과정'!$L$7,O6&lt;&gt;0),('계산 과정'!$L$23-'계산 과정'!$C$49*D6-'계산 과정'!$D$49*E6)/O6,"")</x:f>
        <x:v>242.35911464499225</x:v>
      </x:c>
      <x:c r="Q6" s="4" t="str">
        <x:f>IF(AND(ISNUMBER(P6),P6&gt;1E-9,P6&lt;1-1E-9),'계산 과정'!$C$47*(D6-'계산 과정'!$C$50+P6*('계산 과정'!$C$32-D6))+'계산 과정'!$D$47*(E6-'계산 과정'!$D$50+P6*('계산 과정'!$D$32-E6))+'계산 과정'!$E$47*(0-'계산 과정'!$E$50+P6*('계산 과정'!$E$32-0)),"")</x:f>
      </x:c>
      <x:c r="R6" s="4" t="str">
        <x:f>IF(AND(ISNUMBER(P6),P6&gt;1E-9,P6&lt;1-1E-9),'계산 과정'!$C$48*(D6-'계산 과정'!$C$50+P6*('계산 과정'!$C$32-D6))+'계산 과정'!$D$48*(E6-'계산 과정'!$D$50+P6*('계산 과정'!$D$32-E6))+'계산 과정'!$E$48*(0-'계산 과정'!$E$50+P6*('계산 과정'!$E$32-0)),"")</x:f>
      </x:c>
      <x:c r="S6" s="17" t="n">
        <x:f>IF('계산 과정'!$C$78,IF(AND(ISNUMBER(Q6),ISNUMBER(R6),ABS(Q6-'계산 과정'!$C$88)&lt;='계산 과정'!$D$23/2,ABS(R6-'계산 과정'!$C$89)&lt;='계산 과정'!$D$24/2),1,0),"")</x:f>
        <x:v>0</x:v>
      </x:c>
      <x:c r="T6" s="4"/>
      <x:c r="U6" s="4"/>
      <x:c r="V6" s="4"/>
      <x:c r="W6" s="4" t="n">
        <x:f>IF('계산 과정'!$C$77,('계산 과정'!$D$56+'계산 과정'!$D$57*('계산 과정'!$L$11*COS(0*2*PI()/240))+'계산 과정'!$D$58*('계산 과정'!$L$11*SIN(0*2*PI()/240)))/('계산 과정'!$D$59+'계산 과정'!$D$60*('계산 과정'!$L$11*COS(0*2*PI()/240))+'계산 과정'!$D$61*('계산 과정'!$L$11*SIN(0*2*PI()/240))),"")</x:f>
        <x:v>204.7478582953745</x:v>
      </x:c>
      <x:c r="X6" s="4" t="n">
        <x:f>IF('계산 과정'!$C$77,('계산 과정'!$E$56+'계산 과정'!$E$57*('계산 과정'!$L$11*COS(0*2*PI()/240))+'계산 과정'!$E$58*('계산 과정'!$L$11*SIN(0*2*PI()/240)))/('계산 과정'!$E$59+'계산 과정'!$E$60*('계산 과정'!$L$11*COS(0*2*PI()/240))+'계산 과정'!$E$61*('계산 과정'!$L$11*SIN(0*2*PI()/240))),"")</x:f>
        <x:v>0</x:v>
      </x:c>
      <x:c r="Y6" s="4" t="str">
        <x:f>""</x:f>
      </x:c>
      <x:c r="Z6" s="4" t="str">
        <x:f>""</x:f>
      </x:c>
    </x:row>
    <x:row r="7" ht="23" customHeight="1">
      <x:c r="A7" s="17" t="n">
        <x:f>ROW()-6</x:f>
        <x:v>1</x:v>
      </x:c>
      <x:c r="B7" s="4" t="n">
        <x:f>IF('계산 과정'!$L$5,'계산 과정'!$L$11*SQRT((A7+0.5)/'계산 과정'!$L$30),"")</x:f>
        <x:v>4.059494080239556</x:v>
      </x:c>
      <x:c r="C7" s="4" t="n">
        <x:f>A7*PI()*(3-SQRT(5))</x:f>
        <x:v>2.399963229728653</x:v>
      </x:c>
      <x:c r="D7" s="4" t="n">
        <x:f>IF('계산 과정'!$L$5,B7*COS(C7),"")</x:f>
        <x:v>-2.993344595511822</x:v>
      </x:c>
      <x:c r="E7" s="4" t="n">
        <x:f>IF('계산 과정'!$L$5,B7*SIN(C7),"")</x:f>
        <x:v>2.742148850813932</x:v>
      </x:c>
      <x:c r="F7" s="4" t="n">
        <x:f>IF('계산 과정'!$L$7,'계산 과정'!$L$22+'계산 과정'!$C$49*D7+'계산 과정'!$D$49*E7,"")</x:f>
        <x:v>652.1166142619145</x:v>
      </x:c>
      <x:c r="G7" s="4" t="n">
        <x:f>IF('계산 과정'!$L$7,IF(ABS(F7)&gt;=1E-12*MAX(1,SQRT((D7-'계산 과정'!$C$33)^2+(E7-'계산 과정'!$D$33)^2+'계산 과정'!$E$33^2)),('계산 과정'!$L$23-'계산 과정'!$C$49*D7-'계산 과정'!$D$49*E7)/F7,""),"")</x:f>
        <x:v>0.6101414640208517</x:v>
      </x:c>
      <x:c r="H7" s="4" t="n">
        <x:f>IF(AND(ISNUMBER(G7),G7&gt;0),('계산 과정'!$D$56+'계산 과정'!$D$57*D7+'계산 과정'!$D$58*E7)/F7,"")</x:f>
        <x:v>-3.4080483864465627</x:v>
      </x:c>
      <x:c r="I7" s="4" t="n">
        <x:f>IF(AND(ISNUMBER(G7),G7&gt;0),('계산 과정'!$E$56+'계산 과정'!$E$57*D7+'계산 과정'!$E$58*E7)/F7,"")</x:f>
        <x:v>4.415247565212641</x:v>
      </x:c>
      <x:c r="J7" s="4" t="n">
        <x:f>IF('계산 과정'!$L$5,'계산 과정'!$D$6+'계산 과정'!$C$35*D7+'계산 과정'!$D$35*E7,"")</x:f>
        <x:v>652.1166142619145</x:v>
      </x:c>
      <x:c r="K7" s="4" t="n">
        <x:f>IF(AND('계산 과정'!$L$6,J7&gt;0),'계산 과정'!$D$10*('계산 과정'!$C$38*(D7-'계산 과정'!$C$32)+'계산 과정'!$D$38*(E7-'계산 과정'!$D$32)-'계산 과정'!$E$38*'계산 과정'!$E$32)/J7,"")</x:f>
        <x:v>-0.025966082944353635</x:v>
      </x:c>
      <x:c r="L7" s="4" t="n">
        <x:f>IF(AND('계산 과정'!$L$6,J7&gt;0),'계산 과정'!$D$10*('계산 과정'!$C$39*(D7-'계산 과정'!$C$32)+'계산 과정'!$D$39*(E7-'계산 과정'!$D$32)-'계산 과정'!$E$39*'계산 과정'!$E$32)/J7,"")</x:f>
        <x:v>0.033639981449239166</x:v>
      </x:c>
      <x:c r="M7" s="17" t="n">
        <x:f>IF('계산 과정'!$L$6,IF(J7&lt;=0,0,IF(AND(ABS(K7)&lt;='계산 과정'!$D$11/2,ABS(L7)&lt;='계산 과정'!$D$12/2),1,0)),"")</x:f>
        <x:v>1</x:v>
      </x:c>
      <x:c r="N7" s="17" t="n">
        <x:f>IF('계산 과정'!$C$78,IF(AND(ISNUMBER(H7),ISNUMBER(I7),ABS(H7-'계산 과정'!$C$88)&lt;='계산 과정'!$D$23/2,ABS(I7-'계산 과정'!$C$89)&lt;='계산 과정'!$D$24/2),1,0),"")</x:f>
        <x:v>1</x:v>
      </x:c>
      <x:c r="O7" s="4" t="n">
        <x:f>IF('계산 과정'!$L$7,'계산 과정'!$C$49*('계산 과정'!$C$32-D7)+'계산 과정'!$D$49*('계산 과정'!$D$32-E7)+'계산 과정'!$E$49*'계산 과정'!$E$32,"")</x:f>
        <x:v>-2.1166142619143784</x:v>
      </x:c>
      <x:c r="P7" s="4" t="n">
        <x:f>IF(AND('계산 과정'!$L$7,O7&lt;&gt;0),('계산 과정'!$L$23-'계산 과정'!$C$49*D7-'계산 과정'!$D$49*E7)/O7,"")</x:f>
        <x:v>-187.98105677423652</x:v>
      </x:c>
      <x:c r="Q7" s="4" t="str">
        <x:f>IF(AND(ISNUMBER(P7),P7&gt;1E-9,P7&lt;1-1E-9),'계산 과정'!$C$47*(D7-'계산 과정'!$C$50+P7*('계산 과정'!$C$32-D7))+'계산 과정'!$D$47*(E7-'계산 과정'!$D$50+P7*('계산 과정'!$D$32-E7))+'계산 과정'!$E$47*(0-'계산 과정'!$E$50+P7*('계산 과정'!$E$32-0)),"")</x:f>
      </x:c>
      <x:c r="R7" s="4" t="str">
        <x:f>IF(AND(ISNUMBER(P7),P7&gt;1E-9,P7&lt;1-1E-9),'계산 과정'!$C$48*(D7-'계산 과정'!$C$50+P7*('계산 과정'!$C$32-D7))+'계산 과정'!$D$48*(E7-'계산 과정'!$D$50+P7*('계산 과정'!$D$32-E7))+'계산 과정'!$E$48*(0-'계산 과정'!$E$50+P7*('계산 과정'!$E$32-0)),"")</x:f>
      </x:c>
      <x:c r="S7" s="17" t="n">
        <x:f>IF('계산 과정'!$C$78,IF(AND(ISNUMBER(Q7),ISNUMBER(R7),ABS(Q7-'계산 과정'!$C$88)&lt;='계산 과정'!$D$23/2,ABS(R7-'계산 과정'!$C$89)&lt;='계산 과정'!$D$24/2),1,0),"")</x:f>
        <x:v>0</x:v>
      </x:c>
      <x:c r="T7" s="4"/>
      <x:c r="U7" s="4"/>
      <x:c r="V7" s="4"/>
      <x:c r="W7" s="4" t="n">
        <x:f>IF('계산 과정'!$C$77,('계산 과정'!$D$56+'계산 과정'!$D$57*('계산 과정'!$L$11*COS(1*2*PI()/240))+'계산 과정'!$D$58*('계산 과정'!$L$11*SIN(1*2*PI()/240)))/('계산 과정'!$D$59+'계산 과정'!$D$60*('계산 과정'!$L$11*COS(1*2*PI()/240))+'계산 과정'!$D$61*('계산 과정'!$L$11*SIN(1*2*PI()/240))),"")</x:f>
        <x:v>204.66402047767784</x:v>
      </x:c>
      <x:c r="X7" s="4" t="n">
        <x:f>IF('계산 과정'!$C$77,('계산 과정'!$E$56+'계산 과정'!$E$57*('계산 과정'!$L$11*COS(1*2*PI()/240))+'계산 과정'!$E$58*('계산 과정'!$L$11*SIN(1*2*PI()/240)))/('계산 과정'!$E$59+'계산 과정'!$E$60*('계산 과정'!$L$11*COS(1*2*PI()/240))+'계산 과정'!$E$61*('계산 과정'!$L$11*SIN(1*2*PI()/240))),"")</x:f>
        <x:v>7.579217355644417</x:v>
      </x:c>
      <x:c r="Y7" s="4" t="str">
        <x:f>""</x:f>
      </x:c>
      <x:c r="Z7" s="4" t="str">
        <x:f>""</x:f>
      </x:c>
    </x:row>
    <x:row r="8" ht="23" customHeight="1">
      <x:c r="A8" s="17" t="n">
        <x:f>ROW()-6</x:f>
        <x:v>2</x:v>
      </x:c>
      <x:c r="B8" s="4" t="n">
        <x:f>IF('계산 과정'!$L$5,'계산 과정'!$L$11*SQRT((A8+0.5)/'계산 과정'!$L$30),"")</x:f>
        <x:v>5.2407843222651325</x:v>
      </x:c>
      <x:c r="C8" s="4" t="n">
        <x:f>A8*PI()*(3-SQRT(5))</x:f>
        <x:v>4.799926459457306</x:v>
      </x:c>
      <x:c r="D8" s="4" t="n">
        <x:f>IF('계산 과정'!$L$5,B8*COS(C8),"")</x:f>
        <x:v>0.4581793674593106</x:v>
      </x:c>
      <x:c r="E8" s="4" t="n">
        <x:f>IF('계산 과정'!$L$5,B8*SIN(C8),"")</x:f>
        <x:v>-5.220717573258928</x:v>
      </x:c>
      <x:c r="F8" s="4" t="n">
        <x:f>IF('계산 과정'!$L$7,'계산 과정'!$L$22+'계산 과정'!$C$49*D8+'계산 과정'!$D$49*E8,"")</x:f>
        <x:v>649.6760182622697</x:v>
      </x:c>
      <x:c r="G8" s="4" t="n">
        <x:f>IF('계산 과정'!$L$7,IF(ABS(F8)&gt;=1E-12*MAX(1,SQRT((D8-'계산 과정'!$C$33)^2+(E8-'계산 과정'!$D$33)^2+'계산 과정'!$E$33^2)),('계산 과정'!$L$23-'계산 과정'!$C$49*D8-'계산 과정'!$D$49*E8)/F8,""),"")</x:f>
        <x:v>0.616190178619341</x:v>
      </x:c>
      <x:c r="H8" s="4" t="n">
        <x:f>IF(AND(ISNUMBER(G8),G8&gt;0),('계산 과정'!$D$56+'계산 과정'!$D$57*D8+'계산 과정'!$D$58*E8)/F8,"")</x:f>
        <x:v>0.5236161025715299</x:v>
      </x:c>
      <x:c r="I8" s="4" t="n">
        <x:f>IF(AND(ISNUMBER(G8),G8&gt;0),('계산 과정'!$E$56+'계산 과정'!$E$57*D8+'계산 과정'!$E$58*E8)/F8,"")</x:f>
        <x:v>-8.437672467246479</x:v>
      </x:c>
      <x:c r="J8" s="4" t="n">
        <x:f>IF('계산 과정'!$L$5,'계산 과정'!$D$6+'계산 과정'!$C$35*D8+'계산 과정'!$D$35*E8,"")</x:f>
        <x:v>649.6760182622697</x:v>
      </x:c>
      <x:c r="K8" s="4" t="n">
        <x:f>IF(AND('계산 과정'!$L$6,J8&gt;0),'계산 과정'!$D$10*('계산 과정'!$C$38*(D8-'계산 과정'!$C$32)+'계산 과정'!$D$38*(E8-'계산 과정'!$D$32)-'계산 과정'!$E$38*'계산 과정'!$E$32)/J8,"")</x:f>
        <x:v>0.003989456019593755</x:v>
      </x:c>
      <x:c r="L8" s="4" t="n">
        <x:f>IF(AND('계산 과정'!$L$6,J8&gt;0),'계산 과정'!$D$10*('계산 과정'!$C$39*(D8-'계산 과정'!$C$32)+'계산 과정'!$D$39*(E8-'계산 과정'!$D$32)-'계산 과정'!$E$39*'계산 과정'!$E$32)/J8,"")</x:f>
        <x:v>-0.06428702832187794</x:v>
      </x:c>
      <x:c r="M8" s="17" t="n">
        <x:f>IF('계산 과정'!$L$6,IF(J8&lt;=0,0,IF(AND(ABS(K8)&lt;='계산 과정'!$D$11/2,ABS(L8)&lt;='계산 과정'!$D$12/2),1,0)),"")</x:f>
        <x:v>1</x:v>
      </x:c>
      <x:c r="N8" s="17" t="n">
        <x:f>IF('계산 과정'!$C$78,IF(AND(ISNUMBER(H8),ISNUMBER(I8),ABS(H8-'계산 과정'!$C$88)&lt;='계산 과정'!$D$23/2,ABS(I8-'계산 과정'!$C$89)&lt;='계산 과정'!$D$24/2),1,0),"")</x:f>
        <x:v>1</x:v>
      </x:c>
      <x:c r="O8" s="4" t="n">
        <x:f>IF('계산 과정'!$L$7,'계산 과정'!$C$49*('계산 과정'!$C$32-D8)+'계산 과정'!$D$49*('계산 과정'!$D$32-E8)+'계산 과정'!$E$49*'계산 과정'!$E$32,"")</x:f>
        <x:v>0.32398173773037797</x:v>
      </x:c>
      <x:c r="P8" s="4" t="n">
        <x:f>IF(AND('계산 과정'!$L$7,O8&lt;&gt;0),('계산 과정'!$L$23-'계산 과정'!$C$49*D8-'계산 과정'!$D$49*E8)/O8,"")</x:f>
        <x:v>1235.6374916134482</x:v>
      </x:c>
      <x:c r="Q8" s="4" t="str">
        <x:f>IF(AND(ISNUMBER(P8),P8&gt;1E-9,P8&lt;1-1E-9),'계산 과정'!$C$47*(D8-'계산 과정'!$C$50+P8*('계산 과정'!$C$32-D8))+'계산 과정'!$D$47*(E8-'계산 과정'!$D$50+P8*('계산 과정'!$D$32-E8))+'계산 과정'!$E$47*(0-'계산 과정'!$E$50+P8*('계산 과정'!$E$32-0)),"")</x:f>
      </x:c>
      <x:c r="R8" s="4" t="str">
        <x:f>IF(AND(ISNUMBER(P8),P8&gt;1E-9,P8&lt;1-1E-9),'계산 과정'!$C$48*(D8-'계산 과정'!$C$50+P8*('계산 과정'!$C$32-D8))+'계산 과정'!$D$48*(E8-'계산 과정'!$D$50+P8*('계산 과정'!$D$32-E8))+'계산 과정'!$E$48*(0-'계산 과정'!$E$50+P8*('계산 과정'!$E$32-0)),"")</x:f>
      </x:c>
      <x:c r="S8" s="17" t="n">
        <x:f>IF('계산 과정'!$C$78,IF(AND(ISNUMBER(Q8),ISNUMBER(R8),ABS(Q8-'계산 과정'!$C$88)&lt;='계산 과정'!$D$23/2,ABS(R8-'계산 과정'!$C$89)&lt;='계산 과정'!$D$24/2),1,0),"")</x:f>
        <x:v>0</x:v>
      </x:c>
      <x:c r="T8" s="4"/>
      <x:c r="U8" s="4"/>
      <x:c r="V8" s="4"/>
      <x:c r="W8" s="4" t="n">
        <x:f>IF('계산 과정'!$C$77,('계산 과정'!$D$56+'계산 과정'!$D$57*('계산 과정'!$L$11*COS(2*2*PI()/240))+'계산 과정'!$D$58*('계산 과정'!$L$11*SIN(2*2*PI()/240)))/('계산 과정'!$D$59+'계산 과정'!$D$60*('계산 과정'!$L$11*COS(2*2*PI()/240))+'계산 과정'!$D$61*('계산 과정'!$L$11*SIN(2*2*PI()/240))),"")</x:f>
        <x:v>204.41263166346582</x:v>
      </x:c>
      <x:c r="X8" s="4" t="n">
        <x:f>IF('계산 과정'!$C$77,('계산 과정'!$E$56+'계산 과정'!$E$57*('계산 과정'!$L$11*COS(2*2*PI()/240))+'계산 과정'!$E$58*('계산 과정'!$L$11*SIN(2*2*PI()/240)))/('계산 과정'!$E$59+'계산 과정'!$E$60*('계산 과정'!$L$11*COS(2*2*PI()/240))+'계산 과정'!$E$61*('계산 과정'!$L$11*SIN(2*2*PI()/240))),"")</x:f>
        <x:v>15.150204138769652</x:v>
      </x:c>
      <x:c r="Y8" s="4" t="str">
        <x:f>""</x:f>
      </x:c>
      <x:c r="Z8" s="4" t="str">
        <x:f>""</x:f>
      </x:c>
    </x:row>
    <x:row r="9" ht="23" customHeight="1">
      <x:c r="A9" s="17" t="n">
        <x:f>ROW()-6</x:f>
        <x:v>3</x:v>
      </x:c>
      <x:c r="B9" s="4" t="n">
        <x:f>IF('계산 과정'!$L$5,'계산 과정'!$L$11*SQRT((A9+0.5)/'계산 과정'!$L$30),"")</x:f>
        <x:v>6.200979635307634</x:v>
      </x:c>
      <x:c r="C9" s="4" t="n">
        <x:f>A9*PI()*(3-SQRT(5))</x:f>
        <x:v>7.199889689185959</x:v>
      </x:c>
      <x:c r="D9" s="4" t="n">
        <x:f>IF('계산 과정'!$L$5,B9*COS(C9),"")</x:f>
        <x:v>3.7729169862596996</x:v>
      </x:c>
      <x:c r="E9" s="4" t="n">
        <x:f>IF('계산 과정'!$L$5,B9*SIN(C9),"")</x:f>
        <x:v>4.9211020973246455</x:v>
      </x:c>
      <x:c r="F9" s="4" t="n">
        <x:f>IF('계산 과정'!$L$7,'계산 과정'!$L$22+'계산 과정'!$C$49*D9+'계산 과정'!$D$49*E9,"")</x:f>
        <x:v>647.3321448141619</x:v>
      </x:c>
      <x:c r="G9" s="4" t="n">
        <x:f>IF('계산 과정'!$L$7,IF(ABS(F9)&gt;=1E-12*MAX(1,SQRT((D9-'계산 과정'!$C$33)^2+(E9-'계산 과정'!$D$33)^2+'계산 과정'!$E$33^2)),('계산 과정'!$L$23-'계산 과정'!$C$49*D9-'계산 과정'!$D$49*E9)/F9,""),"")</x:f>
        <x:v>0.6220421130197965</x:v>
      </x:c>
      <x:c r="H9" s="4" t="n">
        <x:f>IF(AND(ISNUMBER(G9),G9&gt;0),('계산 과정'!$D$56+'계산 과정'!$D$57*D9+'계산 과정'!$D$58*E9)/F9,"")</x:f>
        <x:v>4.327373462867614</x:v>
      </x:c>
      <x:c r="I9" s="4" t="n">
        <x:f>IF(AND(ISNUMBER(G9),G9&gt;0),('계산 과정'!$E$56+'계산 과정'!$E$57*D9+'계산 과정'!$E$58*E9)/F9,"")</x:f>
        <x:v>7.98223484433062</x:v>
      </x:c>
      <x:c r="J9" s="4" t="n">
        <x:f>IF('계산 과정'!$L$5,'계산 과정'!$D$6+'계산 과정'!$C$35*D9+'계산 과정'!$D$35*E9,"")</x:f>
        <x:v>647.3321448141619</x:v>
      </x:c>
      <x:c r="K9" s="4" t="n">
        <x:f>IF(AND('계산 과정'!$L$6,J9&gt;0),'계산 과정'!$D$10*('계산 과정'!$C$38*(D9-'계산 과정'!$C$32)+'계산 과정'!$D$38*(E9-'계산 과정'!$D$32)-'계산 과정'!$E$38*'계산 과정'!$E$32)/J9,"")</x:f>
        <x:v>0.032970464478992434</x:v>
      </x:c>
      <x:c r="L9" s="4" t="n">
        <x:f>IF(AND('계산 과정'!$L$6,J9&gt;0),'계산 과정'!$D$10*('계산 과정'!$C$39*(D9-'계산 과정'!$C$32)+'계산 과정'!$D$39*(E9-'계산 과정'!$D$32)-'계산 과정'!$E$39*'계산 과정'!$E$32)/J9,"")</x:f>
        <x:v>0.06081702738537615</x:v>
      </x:c>
      <x:c r="M9" s="17" t="n">
        <x:f>IF('계산 과정'!$L$6,IF(J9&lt;=0,0,IF(AND(ABS(K9)&lt;='계산 과정'!$D$11/2,ABS(L9)&lt;='계산 과정'!$D$12/2),1,0)),"")</x:f>
        <x:v>1</x:v>
      </x:c>
      <x:c r="N9" s="17" t="n">
        <x:f>IF('계산 과정'!$C$78,IF(AND(ISNUMBER(H9),ISNUMBER(I9),ABS(H9-'계산 과정'!$C$88)&lt;='계산 과정'!$D$23/2,ABS(I9-'계산 과정'!$C$89)&lt;='계산 과정'!$D$24/2),1,0),"")</x:f>
        <x:v>1</x:v>
      </x:c>
      <x:c r="O9" s="4" t="n">
        <x:f>IF('계산 과정'!$L$7,'계산 과정'!$C$49*('계산 과정'!$C$32-D9)+'계산 과정'!$D$49*('계산 과정'!$D$32-E9)+'계산 과정'!$E$49*'계산 과정'!$E$32,"")</x:f>
        <x:v>2.6678551858382775</x:v>
      </x:c>
      <x:c r="P9" s="4" t="n">
        <x:f>IF(AND('계산 과정'!$L$7,O9&lt;&gt;0),('계산 과정'!$L$23-'계산 과정'!$C$49*D9-'계산 과정'!$D$49*E9)/O9,"")</x:f>
        <x:v>150.933175579886</x:v>
      </x:c>
      <x:c r="Q9" s="4" t="str">
        <x:f>IF(AND(ISNUMBER(P9),P9&gt;1E-9,P9&lt;1-1E-9),'계산 과정'!$C$47*(D9-'계산 과정'!$C$50+P9*('계산 과정'!$C$32-D9))+'계산 과정'!$D$47*(E9-'계산 과정'!$D$50+P9*('계산 과정'!$D$32-E9))+'계산 과정'!$E$47*(0-'계산 과정'!$E$50+P9*('계산 과정'!$E$32-0)),"")</x:f>
      </x:c>
      <x:c r="R9" s="4" t="str">
        <x:f>IF(AND(ISNUMBER(P9),P9&gt;1E-9,P9&lt;1-1E-9),'계산 과정'!$C$48*(D9-'계산 과정'!$C$50+P9*('계산 과정'!$C$32-D9))+'계산 과정'!$D$48*(E9-'계산 과정'!$D$50+P9*('계산 과정'!$D$32-E9))+'계산 과정'!$E$48*(0-'계산 과정'!$E$50+P9*('계산 과정'!$E$32-0)),"")</x:f>
      </x:c>
      <x:c r="S9" s="17" t="n">
        <x:f>IF('계산 과정'!$C$78,IF(AND(ISNUMBER(Q9),ISNUMBER(R9),ABS(Q9-'계산 과정'!$C$88)&lt;='계산 과정'!$D$23/2,ABS(R9-'계산 과정'!$C$89)&lt;='계산 과정'!$D$24/2),1,0),"")</x:f>
        <x:v>0</x:v>
      </x:c>
      <x:c r="T9" s="4"/>
      <x:c r="U9" s="4"/>
      <x:c r="V9" s="4"/>
      <x:c r="W9" s="4" t="n">
        <x:f>IF('계산 과정'!$C$77,('계산 과정'!$D$56+'계산 과정'!$D$57*('계산 과정'!$L$11*COS(3*2*PI()/240))+'계산 과정'!$D$58*('계산 과정'!$L$11*SIN(3*2*PI()/240)))/('계산 과정'!$D$59+'계산 과정'!$D$60*('계산 과정'!$L$11*COS(3*2*PI()/240))+'계산 과정'!$D$61*('계산 과정'!$L$11*SIN(3*2*PI()/240))),"")</x:f>
        <x:v>203.9940653653922</x:v>
      </x:c>
      <x:c r="X9" s="4" t="n">
        <x:f>IF('계산 과정'!$C$77,('계산 과정'!$E$56+'계산 과정'!$E$57*('계산 과정'!$L$11*COS(3*2*PI()/240))+'계산 과정'!$E$58*('계산 과정'!$L$11*SIN(3*2*PI()/240)))/('계산 과정'!$E$59+'계산 과정'!$E$60*('계산 과정'!$L$11*COS(3*2*PI()/240))+'계산 과정'!$E$61*('계산 과정'!$L$11*SIN(3*2*PI()/240))),"")</x:f>
        <x:v>22.704747788458334</x:v>
      </x:c>
      <x:c r="Y9" s="4" t="str">
        <x:f>""</x:f>
      </x:c>
      <x:c r="Z9" s="4" t="str">
        <x:f>""</x:f>
      </x:c>
    </x:row>
    <x:row r="10" ht="23" customHeight="1">
      <x:c r="A10" s="17" t="n">
        <x:f>ROW()-6</x:f>
        <x:v>4</x:v>
      </x:c>
      <x:c r="B10" s="4" t="n">
        <x:f>IF('계산 과정'!$L$5,'계산 과정'!$L$11*SQRT((A10+0.5)/'계산 과정'!$L$30),"")</x:f>
        <x:v>7.03125</x:v>
      </x:c>
      <x:c r="C10" s="4" t="n">
        <x:f>A10*PI()*(3-SQRT(5))</x:f>
        <x:v>9.599852918914612</x:v>
      </x:c>
      <x:c r="D10" s="4" t="n">
        <x:f>IF('계산 과정'!$L$5,B10*COS(C10),"")</x:f>
        <x:v>-6.923766693624108</x:v>
      </x:c>
      <x:c r="E10" s="4" t="n">
        <x:f>IF('계산 과정'!$L$5,B10*SIN(C10),"")</x:f>
        <x:v>-1.224716838604535</x:v>
      </x:c>
      <x:c r="F10" s="4" t="n">
        <x:f>IF('계산 과정'!$L$7,'계산 과정'!$L$22+'계산 과정'!$C$49*D10+'계산 과정'!$D$49*E10,"")</x:f>
        <x:v>654.8958423804152</x:v>
      </x:c>
      <x:c r="G10" s="4" t="n">
        <x:f>IF('계산 과정'!$L$7,IF(ABS(F10)&gt;=1E-12*MAX(1,SQRT((D10-'계산 과정'!$C$33)^2+(E10-'계산 과정'!$D$33)^2+'계산 과정'!$E$33^2)),('계산 과정'!$L$23-'계산 과정'!$C$49*D10-'계산 과정'!$D$49*E10)/F10,""),"")</x:f>
        <x:v>0.6033083920390461</x:v>
      </x:c>
      <x:c r="H10" s="4" t="n">
        <x:f>IF(AND(ISNUMBER(G10),G10&gt;0),('계산 과정'!$D$56+'계산 과정'!$D$57*D10+'계산 과정'!$D$58*E10)/F10,"")</x:f>
        <x:v>-7.849545174620173</x:v>
      </x:c>
      <x:c r="I10" s="4" t="n">
        <x:f>IF(AND(ISNUMBER(G10),G10&gt;0),('계산 과정'!$E$56+'계산 과정'!$E$57*D10+'계산 과정'!$E$58*E10)/F10,"")</x:f>
        <x:v>-1.9635987852061811</x:v>
      </x:c>
      <x:c r="J10" s="4" t="n">
        <x:f>IF('계산 과정'!$L$5,'계산 과정'!$D$6+'계산 과정'!$C$35*D10+'계산 과정'!$D$35*E10,"")</x:f>
        <x:v>654.8958423804152</x:v>
      </x:c>
      <x:c r="K10" s="4" t="n">
        <x:f>IF(AND('계산 과정'!$L$6,J10&gt;0),'계산 과정'!$D$10*('계산 과정'!$C$38*(D10-'계산 과정'!$C$32)+'계산 과정'!$D$38*(E10-'계산 과정'!$D$32)-'계산 과정'!$E$38*'계산 과정'!$E$32)/J10,"")</x:f>
        <x:v>-0.0598060584732956</x:v>
      </x:c>
      <x:c r="L10" s="4" t="n">
        <x:f>IF(AND('계산 과정'!$L$6,J10&gt;0),'계산 과정'!$D$10*('계산 과정'!$C$39*(D10-'계산 과정'!$C$32)+'계산 과정'!$D$39*(E10-'계산 과정'!$D$32)-'계산 과정'!$E$39*'계산 과정'!$E$32)/J10,"")</x:f>
        <x:v>-0.01496075264918995</x:v>
      </x:c>
      <x:c r="M10" s="17" t="n">
        <x:f>IF('계산 과정'!$L$6,IF(J10&lt;=0,0,IF(AND(ABS(K10)&lt;='계산 과정'!$D$11/2,ABS(L10)&lt;='계산 과정'!$D$12/2),1,0)),"")</x:f>
        <x:v>1</x:v>
      </x:c>
      <x:c r="N10" s="17" t="n">
        <x:f>IF('계산 과정'!$C$78,IF(AND(ISNUMBER(H10),ISNUMBER(I10),ABS(H10-'계산 과정'!$C$88)&lt;='계산 과정'!$D$23/2,ABS(I10-'계산 과정'!$C$89)&lt;='계산 과정'!$D$24/2),1,0),"")</x:f>
        <x:v>1</x:v>
      </x:c>
      <x:c r="O10" s="4" t="n">
        <x:f>IF('계산 과정'!$L$7,'계산 과정'!$C$49*('계산 과정'!$C$32-D10)+'계산 과정'!$D$49*('계산 과정'!$D$32-E10)+'계산 과정'!$E$49*'계산 과정'!$E$32,"")</x:f>
        <x:v>-4.895842380415047</x:v>
      </x:c>
      <x:c r="P10" s="4" t="n">
        <x:f>IF(AND('계산 과정'!$L$7,O10&lt;&gt;0),('계산 과정'!$L$23-'계산 과정'!$C$49*D10-'계산 과정'!$D$49*E10)/O10,"")</x:f>
        <x:v>-80.70197668130193</x:v>
      </x:c>
      <x:c r="Q10" s="4" t="str">
        <x:f>IF(AND(ISNUMBER(P10),P10&gt;1E-9,P10&lt;1-1E-9),'계산 과정'!$C$47*(D10-'계산 과정'!$C$50+P10*('계산 과정'!$C$32-D10))+'계산 과정'!$D$47*(E10-'계산 과정'!$D$50+P10*('계산 과정'!$D$32-E10))+'계산 과정'!$E$47*(0-'계산 과정'!$E$50+P10*('계산 과정'!$E$32-0)),"")</x:f>
      </x:c>
      <x:c r="R10" s="4" t="str">
        <x:f>IF(AND(ISNUMBER(P10),P10&gt;1E-9,P10&lt;1-1E-9),'계산 과정'!$C$48*(D10-'계산 과정'!$C$50+P10*('계산 과정'!$C$32-D10))+'계산 과정'!$D$48*(E10-'계산 과정'!$D$50+P10*('계산 과정'!$D$32-E10))+'계산 과정'!$E$48*(0-'계산 과정'!$E$50+P10*('계산 과정'!$E$32-0)),"")</x:f>
      </x:c>
      <x:c r="S10" s="17" t="n">
        <x:f>IF('계산 과정'!$C$78,IF(AND(ISNUMBER(Q10),ISNUMBER(R10),ABS(Q10-'계산 과정'!$C$88)&lt;='계산 과정'!$D$23/2,ABS(R10-'계산 과정'!$C$89)&lt;='계산 과정'!$D$24/2),1,0),"")</x:f>
        <x:v>0</x:v>
      </x:c>
      <x:c r="T10" s="4"/>
      <x:c r="U10" s="4"/>
      <x:c r="V10" s="4"/>
      <x:c r="W10" s="4" t="n">
        <x:f>IF('계산 과정'!$C$77,('계산 과정'!$D$56+'계산 과정'!$D$57*('계산 과정'!$L$11*COS(4*2*PI()/240))+'계산 과정'!$D$58*('계산 과정'!$L$11*SIN(4*2*PI()/240)))/('계산 과정'!$D$59+'계산 과정'!$D$60*('계산 과정'!$L$11*COS(4*2*PI()/240))+'계산 과정'!$D$61*('계산 과정'!$L$11*SIN(4*2*PI()/240))),"")</x:f>
        <x:v>203.40894276042303</x:v>
      </x:c>
      <x:c r="X10" s="4" t="n">
        <x:f>IF('계산 과정'!$C$77,('계산 과정'!$E$56+'계산 과정'!$E$57*('계산 과정'!$L$11*COS(4*2*PI()/240))+'계산 과정'!$E$58*('계산 과정'!$L$11*SIN(4*2*PI()/240)))/('계산 과정'!$E$59+'계산 과정'!$E$60*('계산 과정'!$L$11*COS(4*2*PI()/240))+'계산 과정'!$E$61*('계산 과정'!$L$11*SIN(4*2*PI()/240))),"")</x:f>
        <x:v>30.234671684464896</x:v>
      </x:c>
      <x:c r="Y10" s="4" t="str">
        <x:f>""</x:f>
      </x:c>
      <x:c r="Z10" s="4" t="str">
        <x:f>""</x:f>
      </x:c>
    </x:row>
    <x:row r="11" ht="23" customHeight="1">
      <x:c r="A11" s="17" t="n">
        <x:f>ROW()-6</x:f>
        <x:v>5</x:v>
      </x:c>
      <x:c r="B11" s="4" t="n">
        <x:f>IF('계산 과정'!$L$5,'계산 과정'!$L$11*SQRT((A11+0.5)/'계산 과정'!$L$30),"")</x:f>
        <x:v>7.773339352395468</x:v>
      </x:c>
      <x:c r="C11" s="4" t="n">
        <x:f>A11*PI()*(3-SQRT(5))</x:f>
        <x:v>11.999816148643264</x:v>
      </x:c>
      <x:c r="D11" s="4" t="n">
        <x:f>IF('계산 과정'!$L$5,B11*COS(C11),"")</x:f>
        <x:v>6.558796236957241</x:v>
      </x:c>
      <x:c r="E11" s="4" t="n">
        <x:f>IF('계산 과정'!$L$5,B11*SIN(C11),"")</x:f>
        <x:v>-4.172169293014791</x:v>
      </x:c>
      <x:c r="F11" s="4" t="n">
        <x:f>IF('계산 과정'!$L$7,'계산 과정'!$L$22+'계산 과정'!$C$49*D11+'계산 과정'!$D$49*E11,"")</x:f>
        <x:v>645.3622307044267</x:v>
      </x:c>
      <x:c r="G11" s="4" t="n">
        <x:f>IF('계산 과정'!$L$7,IF(ABS(F11)&gt;=1E-12*MAX(1,SQRT((D11-'계산 과정'!$C$33)^2+(E11-'계산 과정'!$D$33)^2+'계산 과정'!$E$33^2)),('계산 과정'!$L$23-'계산 과정'!$C$49*D11-'계산 과정'!$D$49*E11)/F11,""),"")</x:f>
        <x:v>0.6269932605970797</x:v>
      </x:c>
      <x:c r="H11" s="4" t="n">
        <x:f>IF(AND(ISNUMBER(G11),G11&gt;0),('계산 과정'!$D$56+'계산 과정'!$D$57*D11+'계산 과정'!$D$58*E11)/F11,"")</x:f>
        <x:v>7.545619388101672</x:v>
      </x:c>
      <x:c r="I11" s="4" t="n">
        <x:f>IF(AND(ISNUMBER(G11),G11&gt;0),('계산 과정'!$E$56+'계산 과정'!$E$57*D11+'계산 과정'!$E$58*E11)/F11,"")</x:f>
        <x:v>-6.788091321805148</x:v>
      </x:c>
      <x:c r="J11" s="4" t="n">
        <x:f>IF('계산 과정'!$L$5,'계산 과정'!$D$6+'계산 과정'!$C$35*D11+'계산 과정'!$D$35*E11,"")</x:f>
        <x:v>645.3622307044267</x:v>
      </x:c>
      <x:c r="K11" s="4" t="n">
        <x:f>IF(AND('계산 과정'!$L$6,J11&gt;0),'계산 과정'!$D$10*('계산 과정'!$C$38*(D11-'계산 과정'!$C$32)+'계산 과정'!$D$38*(E11-'계산 과정'!$D$32)-'계산 과정'!$E$38*'계산 과정'!$E$32)/J11,"")</x:f>
        <x:v>0.05749043343315632</x:v>
      </x:c>
      <x:c r="L11" s="4" t="n">
        <x:f>IF(AND('계산 과정'!$L$6,J11&gt;0),'계산 과정'!$D$10*('계산 과정'!$C$39*(D11-'계산 과정'!$C$32)+'계산 과정'!$D$39*(E11-'계산 과정'!$D$32)-'계산 과정'!$E$39*'계산 과정'!$E$32)/J11,"")</x:f>
        <x:v>-0.051718791023277325</x:v>
      </x:c>
      <x:c r="M11" s="17" t="n">
        <x:f>IF('계산 과정'!$L$6,IF(J11&lt;=0,0,IF(AND(ABS(K11)&lt;='계산 과정'!$D$11/2,ABS(L11)&lt;='계산 과정'!$D$12/2),1,0)),"")</x:f>
        <x:v>1</x:v>
      </x:c>
      <x:c r="N11" s="17" t="n">
        <x:f>IF('계산 과정'!$C$78,IF(AND(ISNUMBER(H11),ISNUMBER(I11),ABS(H11-'계산 과정'!$C$88)&lt;='계산 과정'!$D$23/2,ABS(I11-'계산 과정'!$C$89)&lt;='계산 과정'!$D$24/2),1,0),"")</x:f>
        <x:v>1</x:v>
      </x:c>
      <x:c r="O11" s="4" t="n">
        <x:f>IF('계산 과정'!$L$7,'계산 과정'!$C$49*('계산 과정'!$C$32-D11)+'계산 과정'!$D$49*('계산 과정'!$D$32-E11)+'계산 과정'!$E$49*'계산 과정'!$E$32,"")</x:f>
        <x:v>4.637769295573378</x:v>
      </x:c>
      <x:c r="P11" s="4" t="n">
        <x:f>IF(AND('계산 과정'!$L$7,O11&lt;&gt;0),('계산 과정'!$L$23-'계산 과정'!$C$49*D11-'계산 과정'!$D$49*E11)/O11,"")</x:f>
        <x:v>87.2483609052716</x:v>
      </x:c>
      <x:c r="Q11" s="4" t="str">
        <x:f>IF(AND(ISNUMBER(P11),P11&gt;1E-9,P11&lt;1-1E-9),'계산 과정'!$C$47*(D11-'계산 과정'!$C$50+P11*('계산 과정'!$C$32-D11))+'계산 과정'!$D$47*(E11-'계산 과정'!$D$50+P11*('계산 과정'!$D$32-E11))+'계산 과정'!$E$47*(0-'계산 과정'!$E$50+P11*('계산 과정'!$E$32-0)),"")</x:f>
      </x:c>
      <x:c r="R11" s="4" t="str">
        <x:f>IF(AND(ISNUMBER(P11),P11&gt;1E-9,P11&lt;1-1E-9),'계산 과정'!$C$48*(D11-'계산 과정'!$C$50+P11*('계산 과정'!$C$32-D11))+'계산 과정'!$D$48*(E11-'계산 과정'!$D$50+P11*('계산 과정'!$D$32-E11))+'계산 과정'!$E$48*(0-'계산 과정'!$E$50+P11*('계산 과정'!$E$32-0)),"")</x:f>
      </x:c>
      <x:c r="S11" s="17" t="n">
        <x:f>IF('계산 과정'!$C$78,IF(AND(ISNUMBER(Q11),ISNUMBER(R11),ABS(Q11-'계산 과정'!$C$88)&lt;='계산 과정'!$D$23/2,ABS(R11-'계산 과정'!$C$89)&lt;='계산 과정'!$D$24/2),1,0),"")</x:f>
        <x:v>0</x:v>
      </x:c>
      <x:c r="T11" s="4"/>
      <x:c r="U11" s="4"/>
      <x:c r="V11" s="4"/>
      <x:c r="W11" s="4" t="n">
        <x:f>IF('계산 과정'!$C$77,('계산 과정'!$D$56+'계산 과정'!$D$57*('계산 과정'!$L$11*COS(5*2*PI()/240))+'계산 과정'!$D$58*('계산 과정'!$L$11*SIN(5*2*PI()/240)))/('계산 과정'!$D$59+'계산 과정'!$D$60*('계산 과정'!$L$11*COS(5*2*PI()/240))+'계산 과정'!$D$61*('계산 과정'!$L$11*SIN(5*2*PI()/240))),"")</x:f>
        <x:v>202.6581306823082</x:v>
      </x:c>
      <x:c r="X11" s="4" t="n">
        <x:f>IF('계산 과정'!$C$77,('계산 과정'!$E$56+'계산 과정'!$E$57*('계산 과정'!$L$11*COS(5*2*PI()/240))+'계산 과정'!$E$58*('계산 과정'!$L$11*SIN(5*2*PI()/240)))/('계산 과정'!$E$59+'계산 과정'!$E$60*('계산 과정'!$L$11*COS(5*2*PI()/240))+'계산 과정'!$E$61*('계산 과정'!$L$11*SIN(5*2*PI()/240))),"")</x:f>
        <x:v>37.73185291187295</x:v>
      </x:c>
      <x:c r="Y11" s="4" t="str">
        <x:f>""</x:f>
      </x:c>
      <x:c r="Z11" s="4" t="str">
        <x:f>""</x:f>
      </x:c>
    </x:row>
    <x:row r="12" ht="23" customHeight="1">
      <x:c r="A12" s="17" t="n">
        <x:f>ROW()-6</x:f>
        <x:v>6</x:v>
      </x:c>
      <x:c r="B12" s="4" t="n">
        <x:f>IF('계산 과정'!$L$5,'계산 과정'!$L$11*SQRT((A12+0.5)/'계산 과정'!$L$30),"")</x:f>
        <x:v>8.450510801868724</x:v>
      </x:c>
      <x:c r="C12" s="4" t="n">
        <x:f>A12*PI()*(3-SQRT(5))</x:f>
        <x:v>14.399779378371917</x:v>
      </x:c>
      <x:c r="D12" s="4" t="n">
        <x:f>IF('계산 과정'!$L$5,B12*COS(C12),"")</x:f>
        <x:v>-2.193788982781651</x:v>
      </x:c>
      <x:c r="E12" s="4" t="n">
        <x:f>IF('계산 과정'!$L$5,B12*SIN(C12),"")</x:f>
        <x:v>8.160785667539972</x:v>
      </x:c>
      <x:c r="F12" s="4" t="n">
        <x:f>IF('계산 과정'!$L$7,'계산 과정'!$L$22+'계산 과정'!$C$49*D12+'계산 과정'!$D$49*E12,"")</x:f>
        <x:v>651.5512430662172</x:v>
      </x:c>
      <x:c r="G12" s="4" t="n">
        <x:f>IF('계산 과정'!$L$7,IF(ABS(F12)&gt;=1E-12*MAX(1,SQRT((D12-'계산 과정'!$C$33)^2+(E12-'계산 과정'!$D$33)^2+'계산 과정'!$E$33^2)),('계산 과정'!$L$23-'계산 과정'!$C$49*D12-'계산 과정'!$D$49*E12)/F12,""),"")</x:f>
        <x:v>0.6115386336440285</x:v>
      </x:c>
      <x:c r="H12" s="4" t="n">
        <x:f>IF(AND(ISNUMBER(G12),G12&gt;0),('계산 과정'!$D$56+'계산 과정'!$D$57*D12+'계산 과정'!$D$58*E12)/F12,"")</x:f>
        <x:v>-2.4998881313816237</x:v>
      </x:c>
      <x:c r="I12" s="4" t="n">
        <x:f>IF(AND(ISNUMBER(G12),G12&gt;0),('계산 과정'!$E$56+'계산 과정'!$E$57*D12+'계산 과정'!$E$58*E12)/F12,"")</x:f>
        <x:v>13.151421384129138</x:v>
      </x:c>
      <x:c r="J12" s="4" t="n">
        <x:f>IF('계산 과정'!$L$5,'계산 과정'!$D$6+'계산 과정'!$C$35*D12+'계산 과정'!$D$35*E12,"")</x:f>
        <x:v>651.5512430662172</x:v>
      </x:c>
      <x:c r="K12" s="4" t="n">
        <x:f>IF(AND('계산 과정'!$L$6,J12&gt;0),'계산 과정'!$D$10*('계산 과정'!$C$38*(D12-'계산 과정'!$C$32)+'계산 과정'!$D$38*(E12-'계산 과정'!$D$32)-'계산 과정'!$E$38*'계산 과정'!$E$32)/J12,"")</x:f>
        <x:v>-0.01904676671528764</x:v>
      </x:c>
      <x:c r="L12" s="4" t="n">
        <x:f>IF(AND('계산 과정'!$L$6,J12&gt;0),'계산 과정'!$D$10*('계산 과정'!$C$39*(D12-'계산 과정'!$C$32)+'계산 과정'!$D$39*(E12-'계산 과정'!$D$32)-'계산 과정'!$E$39*'계산 과정'!$E$32)/J12,"")</x:f>
        <x:v>0.10020130578384105</x:v>
      </x:c>
      <x:c r="M12" s="17" t="n">
        <x:f>IF('계산 과정'!$L$6,IF(J12&lt;=0,0,IF(AND(ABS(K12)&lt;='계산 과정'!$D$11/2,ABS(L12)&lt;='계산 과정'!$D$12/2),1,0)),"")</x:f>
        <x:v>1</x:v>
      </x:c>
      <x:c r="N12" s="17" t="n">
        <x:f>IF('계산 과정'!$C$78,IF(AND(ISNUMBER(H12),ISNUMBER(I12),ABS(H12-'계산 과정'!$C$88)&lt;='계산 과정'!$D$23/2,ABS(I12-'계산 과정'!$C$89)&lt;='계산 과정'!$D$24/2),1,0),"")</x:f>
        <x:v>1</x:v>
      </x:c>
      <x:c r="O12" s="4" t="n">
        <x:f>IF('계산 과정'!$L$7,'계산 과정'!$C$49*('계산 과정'!$C$32-D12)+'계산 과정'!$D$49*('계산 과정'!$D$32-E12)+'계산 과정'!$E$49*'계산 과정'!$E$32,"")</x:f>
        <x:v>-1.5512430662171255</x:v>
      </x:c>
      <x:c r="P12" s="4" t="n">
        <x:f>IF(AND('계산 과정'!$L$7,O12&lt;&gt;0),('계산 과정'!$L$23-'계산 과정'!$C$49*D12-'계산 과정'!$D$49*E12)/O12,"")</x:f>
        <x:v>-256.8577198578191</x:v>
      </x:c>
      <x:c r="Q12" s="4" t="str">
        <x:f>IF(AND(ISNUMBER(P12),P12&gt;1E-9,P12&lt;1-1E-9),'계산 과정'!$C$47*(D12-'계산 과정'!$C$50+P12*('계산 과정'!$C$32-D12))+'계산 과정'!$D$47*(E12-'계산 과정'!$D$50+P12*('계산 과정'!$D$32-E12))+'계산 과정'!$E$47*(0-'계산 과정'!$E$50+P12*('계산 과정'!$E$32-0)),"")</x:f>
      </x:c>
      <x:c r="R12" s="4" t="str">
        <x:f>IF(AND(ISNUMBER(P12),P12&gt;1E-9,P12&lt;1-1E-9),'계산 과정'!$C$48*(D12-'계산 과정'!$C$50+P12*('계산 과정'!$C$32-D12))+'계산 과정'!$D$48*(E12-'계산 과정'!$D$50+P12*('계산 과정'!$D$32-E12))+'계산 과정'!$E$48*(0-'계산 과정'!$E$50+P12*('계산 과정'!$E$32-0)),"")</x:f>
      </x:c>
      <x:c r="S12" s="17" t="n">
        <x:f>IF('계산 과정'!$C$78,IF(AND(ISNUMBER(Q12),ISNUMBER(R12),ABS(Q12-'계산 과정'!$C$88)&lt;='계산 과정'!$D$23/2,ABS(R12-'계산 과정'!$C$89)&lt;='계산 과정'!$D$24/2),1,0),"")</x:f>
        <x:v>0</x:v>
      </x:c>
      <x:c r="T12" s="4"/>
      <x:c r="U12" s="4"/>
      <x:c r="V12" s="4"/>
      <x:c r="W12" s="4" t="n">
        <x:f>IF('계산 과정'!$C$77,('계산 과정'!$D$56+'계산 과정'!$D$57*('계산 과정'!$L$11*COS(6*2*PI()/240))+'계산 과정'!$D$58*('계산 과정'!$L$11*SIN(6*2*PI()/240)))/('계산 과정'!$D$59+'계산 과정'!$D$60*('계산 과정'!$L$11*COS(6*2*PI()/240))+'계산 과정'!$D$61*('계산 과정'!$L$11*SIN(6*2*PI()/240))),"")</x:f>
        <x:v>201.7427388282632</x:v>
      </x:c>
      <x:c r="X12" s="4" t="n">
        <x:f>IF('계산 과정'!$C$77,('계산 과정'!$E$56+'계산 과정'!$E$57*('계산 과정'!$L$11*COS(6*2*PI()/240))+'계산 과정'!$E$58*('계산 과정'!$L$11*SIN(6*2*PI()/240)))/('계산 과정'!$E$59+'계산 과정'!$E$60*('계산 과정'!$L$11*COS(6*2*PI()/240))+'계산 과정'!$E$61*('계산 과정'!$L$11*SIN(6*2*PI()/240))),"")</x:f>
        <x:v>45.188239780752184</x:v>
      </x:c>
      <x:c r="Y12" s="4" t="str">
        <x:f>""</x:f>
      </x:c>
      <x:c r="Z12" s="4" t="str">
        <x:f>""</x:f>
      </x:c>
    </x:row>
    <x:row r="13" ht="23" customHeight="1">
      <x:c r="A13" s="17" t="n">
        <x:f>ROW()-6</x:f>
        <x:v>7</x:v>
      </x:c>
      <x:c r="B13" s="4" t="n">
        <x:f>IF('계산 과정'!$L$5,'계산 과정'!$L$11*SQRT((A13+0.5)/'계산 과정'!$L$30),"")</x:f>
        <x:v>9.077304717673634</x:v>
      </x:c>
      <x:c r="C13" s="4" t="n">
        <x:f>A13*PI()*(3-SQRT(5))</x:f>
        <x:v>16.79974260810057</x:v>
      </x:c>
      <x:c r="D13" s="4" t="n">
        <x:f>IF('계산 과정'!$L$5,B13*COS(C13),"")</x:f>
        <x:v>-4.183793509839613</x:v>
      </x:c>
      <x:c r="E13" s="4" t="n">
        <x:f>IF('계산 과정'!$L$5,B13*SIN(C13),"")</x:f>
        <x:v>-8.055639813479992</x:v>
      </x:c>
      <x:c r="F13" s="4" t="n">
        <x:f>IF('계산 과정'!$L$7,'계산 과정'!$L$22+'계산 과정'!$C$49*D13+'계산 과정'!$D$49*E13,"")</x:f>
        <x:v>652.9583887618919</x:v>
      </x:c>
      <x:c r="G13" s="4" t="n">
        <x:f>IF('계산 과정'!$L$7,IF(ABS(F13)&gt;=1E-12*MAX(1,SQRT((D13-'계산 과정'!$C$33)^2+(E13-'계산 과정'!$D$33)^2+'계산 과정'!$E$33^2)),('계산 과정'!$L$23-'계산 과정'!$C$49*D13-'계산 과정'!$D$49*E13)/F13,""),"")</x:f>
        <x:v>0.6080657176194018</x:v>
      </x:c>
      <x:c r="H13" s="4" t="n">
        <x:f>IF(AND(ISNUMBER(G13),G13&gt;0),('계산 과정'!$D$56+'계산 과정'!$D$57*D13+'계산 과정'!$D$58*E13)/F13,"")</x:f>
        <x:v>-4.757283547388917</x:v>
      </x:c>
      <x:c r="I13" s="4" t="n">
        <x:f>IF(AND(ISNUMBER(G13),G13&gt;0),('계산 과정'!$E$56+'계산 과정'!$E$57*D13+'계산 과정'!$E$58*E13)/F13,"")</x:f>
        <x:v>-12.953998217547127</x:v>
      </x:c>
      <x:c r="J13" s="4" t="n">
        <x:f>IF('계산 과정'!$L$5,'계산 과정'!$D$6+'계산 과정'!$C$35*D13+'계산 과정'!$D$35*E13,"")</x:f>
        <x:v>652.9583887618919</x:v>
      </x:c>
      <x:c r="K13" s="4" t="n">
        <x:f>IF(AND('계산 과정'!$L$6,J13&gt;0),'계산 과정'!$D$10*('계산 과정'!$C$38*(D13-'계산 과정'!$C$32)+'계산 과정'!$D$38*(E13-'계산 과정'!$D$32)-'계산 과정'!$E$38*'계산 과정'!$E$32)/J13,"")</x:f>
        <x:v>-0.03624596988486703</x:v>
      </x:c>
      <x:c r="L13" s="4" t="n">
        <x:f>IF(AND('계산 과정'!$L$6,J13&gt;0),'계산 과정'!$D$10*('계산 과정'!$C$39*(D13-'계산 과정'!$C$32)+'계산 과정'!$D$39*(E13-'계산 과정'!$D$32)-'계산 과정'!$E$39*'계산 과정'!$E$32)/J13,"")</x:f>
        <x:v>-0.09869712927654954</x:v>
      </x:c>
      <x:c r="M13" s="17" t="n">
        <x:f>IF('계산 과정'!$L$6,IF(J13&lt;=0,0,IF(AND(ABS(K13)&lt;='계산 과정'!$D$11/2,ABS(L13)&lt;='계산 과정'!$D$12/2),1,0)),"")</x:f>
        <x:v>1</x:v>
      </x:c>
      <x:c r="N13" s="17" t="n">
        <x:f>IF('계산 과정'!$C$78,IF(AND(ISNUMBER(H13),ISNUMBER(I13),ABS(H13-'계산 과정'!$C$88)&lt;='계산 과정'!$D$23/2,ABS(I13-'계산 과정'!$C$89)&lt;='계산 과정'!$D$24/2),1,0),"")</x:f>
        <x:v>1</x:v>
      </x:c>
      <x:c r="O13" s="4" t="n">
        <x:f>IF('계산 과정'!$L$7,'계산 과정'!$C$49*('계산 과정'!$C$32-D13)+'계산 과정'!$D$49*('계산 과정'!$D$32-E13)+'계산 과정'!$E$49*'계산 과정'!$E$32,"")</x:f>
        <x:v>-2.95838876189174</x:v>
      </x:c>
      <x:c r="P13" s="4" t="n">
        <x:f>IF(AND('계산 과정'!$L$7,O13&lt;&gt;0),('계산 과정'!$L$23-'계산 과정'!$C$49*D13-'계산 과정'!$D$49*E13)/O13,"")</x:f>
        <x:v>-134.20873427879712</x:v>
      </x:c>
      <x:c r="Q13" s="4" t="str">
        <x:f>IF(AND(ISNUMBER(P13),P13&gt;1E-9,P13&lt;1-1E-9),'계산 과정'!$C$47*(D13-'계산 과정'!$C$50+P13*('계산 과정'!$C$32-D13))+'계산 과정'!$D$47*(E13-'계산 과정'!$D$50+P13*('계산 과정'!$D$32-E13))+'계산 과정'!$E$47*(0-'계산 과정'!$E$50+P13*('계산 과정'!$E$32-0)),"")</x:f>
      </x:c>
      <x:c r="R13" s="4" t="str">
        <x:f>IF(AND(ISNUMBER(P13),P13&gt;1E-9,P13&lt;1-1E-9),'계산 과정'!$C$48*(D13-'계산 과정'!$C$50+P13*('계산 과정'!$C$32-D13))+'계산 과정'!$D$48*(E13-'계산 과정'!$D$50+P13*('계산 과정'!$D$32-E13))+'계산 과정'!$E$48*(0-'계산 과정'!$E$50+P13*('계산 과정'!$E$32-0)),"")</x:f>
      </x:c>
      <x:c r="S13" s="17" t="n">
        <x:f>IF('계산 과정'!$C$78,IF(AND(ISNUMBER(Q13),ISNUMBER(R13),ABS(Q13-'계산 과정'!$C$88)&lt;='계산 과정'!$D$23/2,ABS(R13-'계산 과정'!$C$89)&lt;='계산 과정'!$D$24/2),1,0),"")</x:f>
        <x:v>0</x:v>
      </x:c>
      <x:c r="T13" s="4"/>
      <x:c r="U13" s="4"/>
      <x:c r="V13" s="4"/>
      <x:c r="W13" s="4" t="n">
        <x:f>IF('계산 과정'!$C$77,('계산 과정'!$D$56+'계산 과정'!$D$57*('계산 과정'!$L$11*COS(7*2*PI()/240))+'계산 과정'!$D$58*('계산 과정'!$L$11*SIN(7*2*PI()/240)))/('계산 과정'!$D$59+'계산 과정'!$D$60*('계산 과정'!$L$11*COS(7*2*PI()/240))+'계산 과정'!$D$61*('계산 과정'!$L$11*SIN(7*2*PI()/240))),"")</x:f>
        <x:v>200.66411619688358</x:v>
      </x:c>
      <x:c r="X13" s="4" t="n">
        <x:f>IF('계산 과정'!$C$77,('계산 과정'!$E$56+'계산 과정'!$E$57*('계산 과정'!$L$11*COS(7*2*PI()/240))+'계산 과정'!$E$58*('계산 과정'!$L$11*SIN(7*2*PI()/240)))/('계산 과정'!$E$59+'계산 과정'!$E$60*('계산 과정'!$L$11*COS(7*2*PI()/240))+'계산 과정'!$E$61*('계산 과정'!$L$11*SIN(7*2*PI()/240))),"")</x:f>
        <x:v>52.595869022148754</x:v>
      </x:c>
      <x:c r="Y13" s="4" t="str">
        <x:f>""</x:f>
      </x:c>
      <x:c r="Z13" s="4" t="str">
        <x:f>""</x:f>
      </x:c>
    </x:row>
    <x:row r="14" ht="23" customHeight="1">
      <x:c r="A14" s="17" t="n">
        <x:f>ROW()-6</x:f>
        <x:v>8</x:v>
      </x:c>
      <x:c r="B14" s="4" t="n">
        <x:f>IF('계산 과정'!$L$5,'계산 과정'!$L$11*SQRT((A14+0.5)/'계산 과정'!$L$30),"")</x:f>
        <x:v>9.663528810041392</x:v>
      </x:c>
      <x:c r="C14" s="4" t="n">
        <x:f>A14*PI()*(3-SQRT(5))</x:f>
        <x:v>19.199705837829224</x:v>
      </x:c>
      <x:c r="D14" s="4" t="n">
        <x:f>IF('계산 과정'!$L$5,B14*COS(C14),"")</x:f>
        <x:v>9.077158408913542</x:v>
      </x:c>
      <x:c r="E14" s="4" t="n">
        <x:f>IF('계산 과정'!$L$5,B14*SIN(C14),"")</x:f>
        <x:v>3.3149636924090395</x:v>
      </x:c>
      <x:c r="F14" s="4" t="n">
        <x:f>IF('계산 과정'!$L$7,'계산 과정'!$L$22+'계산 과정'!$C$49*D14+'계산 과정'!$D$49*E14,"")</x:f>
        <x:v>643.5814797351527</x:v>
      </x:c>
      <x:c r="G14" s="4" t="n">
        <x:f>IF('계산 과정'!$L$7,IF(ABS(F14)&gt;=1E-12*MAX(1,SQRT((D14-'계산 과정'!$C$33)^2+(E14-'계산 과정'!$D$33)^2+'계산 과정'!$E$33^2)),('계산 과정'!$L$23-'계산 과정'!$C$49*D14-'계산 과정'!$D$49*E14)/F14,""),"")</x:f>
        <x:v>0.6314950523935167</x:v>
      </x:c>
      <x:c r="H14" s="4" t="n">
        <x:f>IF(AND(ISNUMBER(G14),G14&gt;0),('계산 과정'!$D$56+'계산 과정'!$D$57*D14+'계산 과정'!$D$58*E14)/F14,"")</x:f>
        <x:v>10.471784055785715</x:v>
      </x:c>
      <x:c r="I14" s="4" t="n">
        <x:f>IF(AND(ISNUMBER(G14),G14&gt;0),('계산 과정'!$E$56+'계산 과정'!$E$57*D14+'계산 과정'!$E$58*E14)/F14,"")</x:f>
        <x:v>5.408346863029491</x:v>
      </x:c>
      <x:c r="J14" s="4" t="n">
        <x:f>IF('계산 과정'!$L$5,'계산 과정'!$D$6+'계산 과정'!$C$35*D14+'계산 과정'!$D$35*E14,"")</x:f>
        <x:v>643.5814797351527</x:v>
      </x:c>
      <x:c r="K14" s="4" t="n">
        <x:f>IF(AND('계산 과정'!$L$6,J14&gt;0),'계산 과정'!$D$10*('계산 과정'!$C$38*(D14-'계산 과정'!$C$32)+'계산 과정'!$D$38*(E14-'계산 과정'!$D$32)-'계산 과정'!$E$38*'계산 과정'!$E$32)/J14,"")</x:f>
        <x:v>0.07978502137741567</x:v>
      </x:c>
      <x:c r="L14" s="4" t="n">
        <x:f>IF(AND('계산 과정'!$L$6,J14&gt;0),'계산 과정'!$D$10*('계산 과정'!$C$39*(D14-'계산 과정'!$C$32)+'계산 과정'!$D$39*(E14-'계산 과정'!$D$32)-'계산 과정'!$E$39*'계산 과정'!$E$32)/J14,"")</x:f>
        <x:v>0.04120645228974851</x:v>
      </x:c>
      <x:c r="M14" s="17" t="n">
        <x:f>IF('계산 과정'!$L$6,IF(J14&lt;=0,0,IF(AND(ABS(K14)&lt;='계산 과정'!$D$11/2,ABS(L14)&lt;='계산 과정'!$D$12/2),1,0)),"")</x:f>
        <x:v>1</x:v>
      </x:c>
      <x:c r="N14" s="17" t="n">
        <x:f>IF('계산 과정'!$C$78,IF(AND(ISNUMBER(H14),ISNUMBER(I14),ABS(H14-'계산 과정'!$C$88)&lt;='계산 과정'!$D$23/2,ABS(I14-'계산 과정'!$C$89)&lt;='계산 과정'!$D$24/2),1,0),"")</x:f>
        <x:v>1</x:v>
      </x:c>
      <x:c r="O14" s="4" t="n">
        <x:f>IF('계산 과정'!$L$7,'계산 과정'!$C$49*('계산 과정'!$C$32-D14)+'계산 과정'!$D$49*('계산 과정'!$D$32-E14)+'계산 과정'!$E$49*'계산 과정'!$E$32,"")</x:f>
        <x:v>6.418520264847359</x:v>
      </x:c>
      <x:c r="P14" s="4" t="n">
        <x:f>IF(AND('계산 과정'!$L$7,O14&lt;&gt;0),('계산 과정'!$L$23-'계산 과정'!$C$49*D14-'계산 과정'!$D$49*E14)/O14,"")</x:f>
        <x:v>63.31965990521219</x:v>
      </x:c>
      <x:c r="Q14" s="4" t="str">
        <x:f>IF(AND(ISNUMBER(P14),P14&gt;1E-9,P14&lt;1-1E-9),'계산 과정'!$C$47*(D14-'계산 과정'!$C$50+P14*('계산 과정'!$C$32-D14))+'계산 과정'!$D$47*(E14-'계산 과정'!$D$50+P14*('계산 과정'!$D$32-E14))+'계산 과정'!$E$47*(0-'계산 과정'!$E$50+P14*('계산 과정'!$E$32-0)),"")</x:f>
      </x:c>
      <x:c r="R14" s="4" t="str">
        <x:f>IF(AND(ISNUMBER(P14),P14&gt;1E-9,P14&lt;1-1E-9),'계산 과정'!$C$48*(D14-'계산 과정'!$C$50+P14*('계산 과정'!$C$32-D14))+'계산 과정'!$D$48*(E14-'계산 과정'!$D$50+P14*('계산 과정'!$D$32-E14))+'계산 과정'!$E$48*(0-'계산 과정'!$E$50+P14*('계산 과정'!$E$32-0)),"")</x:f>
      </x:c>
      <x:c r="S14" s="17" t="n">
        <x:f>IF('계산 과정'!$C$78,IF(AND(ISNUMBER(Q14),ISNUMBER(R14),ABS(Q14-'계산 과정'!$C$88)&lt;='계산 과정'!$D$23/2,ABS(R14-'계산 과정'!$C$89)&lt;='계산 과정'!$D$24/2),1,0),"")</x:f>
        <x:v>0</x:v>
      </x:c>
      <x:c r="T14" s="4"/>
      <x:c r="U14" s="4"/>
      <x:c r="V14" s="4"/>
      <x:c r="W14" s="4" t="n">
        <x:f>IF('계산 과정'!$C$77,('계산 과정'!$D$56+'계산 과정'!$D$57*('계산 과정'!$L$11*COS(8*2*PI()/240))+'계산 과정'!$D$58*('계산 과정'!$L$11*SIN(8*2*PI()/240)))/('계산 과정'!$D$59+'계산 과정'!$D$60*('계산 과정'!$L$11*COS(8*2*PI()/240))+'계산 과정'!$D$61*('계산 과정'!$L$11*SIN(8*2*PI()/240))),"")</x:f>
        <x:v>199.42384677888708</x:v>
      </x:c>
      <x:c r="X14" s="4" t="n">
        <x:f>IF('계산 과정'!$C$77,('계산 과정'!$E$56+'계산 과정'!$E$57*('계산 과정'!$L$11*COS(8*2*PI()/240))+'계산 과정'!$E$58*('계산 과정'!$L$11*SIN(8*2*PI()/240)))/('계산 과정'!$E$59+'계산 과정'!$E$60*('계산 과정'!$L$11*COS(8*2*PI()/240))+'계산 과정'!$E$61*('계산 과정'!$L$11*SIN(8*2*PI()/240))),"")</x:f>
        <x:v>59.94688258426788</x:v>
      </x:c>
      <x:c r="Y14" s="4" t="str">
        <x:f>""</x:f>
      </x:c>
      <x:c r="Z14" s="4" t="str">
        <x:f>""</x:f>
      </x:c>
    </x:row>
    <x:row r="15" ht="23" customHeight="1">
      <x:c r="A15" s="17" t="n">
        <x:f>ROW()-6</x:f>
        <x:v>9</x:v>
      </x:c>
      <x:c r="B15" s="4" t="n">
        <x:f>IF('계산 과정'!$L$5,'계산 과정'!$L$11*SQRT((A15+0.5)/'계산 과정'!$L$30),"")</x:f>
        <x:v>10.216169398923455</x:v>
      </x:c>
      <x:c r="C15" s="4" t="n">
        <x:f>A15*PI()*(3-SQRT(5))</x:f>
        <x:v>21.599669067557876</x:v>
      </x:c>
      <x:c r="D15" s="4" t="n">
        <x:f>IF('계산 과정'!$L$5,B15*COS(C15),"")</x:f>
        <x:v>-9.443270784645923</x:v>
      </x:c>
      <x:c r="E15" s="4" t="n">
        <x:f>IF('계산 과정'!$L$5,B15*SIN(C15),"")</x:f>
        <x:v>3.898044904224782</x:v>
      </x:c>
      <x:c r="F15" s="4" t="n">
        <x:f>IF('계산 과정'!$L$7,'계산 과정'!$L$22+'계산 과정'!$C$49*D15+'계산 과정'!$D$49*E15,"")</x:f>
        <x:v>656.677400808404</x:v>
      </x:c>
      <x:c r="G15" s="4" t="n">
        <x:f>IF('계산 과정'!$L$7,IF(ABS(F15)&gt;=1E-12*MAX(1,SQRT((D15-'계산 과정'!$C$33)^2+(E15-'계산 과정'!$D$33)^2+'계산 과정'!$E$33^2)),('계산 과정'!$L$23-'계산 과정'!$C$49*D15-'계산 과정'!$D$49*E15)/F15,""),"")</x:f>
        <x:v>0.5989586343422136</x:v>
      </x:c>
      <x:c r="H15" s="4" t="n">
        <x:f>IF(AND(ISNUMBER(G15),G15&gt;0),('계산 과정'!$D$56+'계산 과정'!$D$57*D15+'계산 과정'!$D$58*E15)/F15,"")</x:f>
        <x:v>-10.676887677561275</x:v>
      </x:c>
      <x:c r="I15" s="4" t="n">
        <x:f>IF(AND(ISNUMBER(G15),G15&gt;0),('계산 과정'!$E$56+'계산 과정'!$E$57*D15+'계산 과정'!$E$58*E15)/F15,"")</x:f>
        <x:v>6.232812556663882</x:v>
      </x:c>
      <x:c r="J15" s="4" t="n">
        <x:f>IF('계산 과정'!$L$5,'계산 과정'!$D$6+'계산 과정'!$C$35*D15+'계산 과정'!$D$35*E15,"")</x:f>
        <x:v>656.677400808404</x:v>
      </x:c>
      <x:c r="K15" s="4" t="n">
        <x:f>IF(AND('계산 과정'!$L$6,J15&gt;0),'계산 과정'!$D$10*('계산 과정'!$C$38*(D15-'계산 과정'!$C$32)+'계산 과정'!$D$38*(E15-'계산 과정'!$D$32)-'계산 과정'!$E$38*'계산 과정'!$E$32)/J15,"")</x:f>
        <x:v>-0.08134771563856126</x:v>
      </x:c>
      <x:c r="L15" s="4" t="n">
        <x:f>IF(AND('계산 과정'!$L$6,J15&gt;0),'계산 과정'!$D$10*('계산 과정'!$C$39*(D15-'계산 과정'!$C$32)+'계산 과정'!$D$39*(E15-'계산 과정'!$D$32)-'계산 과정'!$E$39*'계산 과정'!$E$32)/J15,"")</x:f>
        <x:v>0.047488095669820055</x:v>
      </x:c>
      <x:c r="M15" s="17" t="n">
        <x:f>IF('계산 과정'!$L$6,IF(J15&lt;=0,0,IF(AND(ABS(K15)&lt;='계산 과정'!$D$11/2,ABS(L15)&lt;='계산 과정'!$D$12/2),1,0)),"")</x:f>
        <x:v>1</x:v>
      </x:c>
      <x:c r="N15" s="17" t="n">
        <x:f>IF('계산 과정'!$C$78,IF(AND(ISNUMBER(H15),ISNUMBER(I15),ABS(H15-'계산 과정'!$C$88)&lt;='계산 과정'!$D$23/2,ABS(I15-'계산 과정'!$C$89)&lt;='계산 과정'!$D$24/2),1,0),"")</x:f>
        <x:v>1</x:v>
      </x:c>
      <x:c r="O15" s="4" t="n">
        <x:f>IF('계산 과정'!$L$7,'계산 과정'!$C$49*('계산 과정'!$C$32-D15)+'계산 과정'!$D$49*('계산 과정'!$D$32-E15)+'계산 과정'!$E$49*'계산 과정'!$E$32,"")</x:f>
        <x:v>-6.677400808403831</x:v>
      </x:c>
      <x:c r="P15" s="4" t="n">
        <x:f>IF(AND('계산 과정'!$L$7,O15&lt;&gt;0),('계산 과정'!$L$23-'계산 과정'!$C$49*D15-'계산 과정'!$D$49*E15)/O15,"")</x:f>
        <x:v>-58.9035480237431</x:v>
      </x:c>
      <x:c r="Q15" s="4" t="str">
        <x:f>IF(AND(ISNUMBER(P15),P15&gt;1E-9,P15&lt;1-1E-9),'계산 과정'!$C$47*(D15-'계산 과정'!$C$50+P15*('계산 과정'!$C$32-D15))+'계산 과정'!$D$47*(E15-'계산 과정'!$D$50+P15*('계산 과정'!$D$32-E15))+'계산 과정'!$E$47*(0-'계산 과정'!$E$50+P15*('계산 과정'!$E$32-0)),"")</x:f>
      </x:c>
      <x:c r="R15" s="4" t="str">
        <x:f>IF(AND(ISNUMBER(P15),P15&gt;1E-9,P15&lt;1-1E-9),'계산 과정'!$C$48*(D15-'계산 과정'!$C$50+P15*('계산 과정'!$C$32-D15))+'계산 과정'!$D$48*(E15-'계산 과정'!$D$50+P15*('계산 과정'!$D$32-E15))+'계산 과정'!$E$48*(0-'계산 과정'!$E$50+P15*('계산 과정'!$E$32-0)),"")</x:f>
      </x:c>
      <x:c r="S15" s="17" t="n">
        <x:f>IF('계산 과정'!$C$78,IF(AND(ISNUMBER(Q15),ISNUMBER(R15),ABS(Q15-'계산 과정'!$C$88)&lt;='계산 과정'!$D$23/2,ABS(R15-'계산 과정'!$C$89)&lt;='계산 과정'!$D$24/2),1,0),"")</x:f>
        <x:v>0</x:v>
      </x:c>
      <x:c r="T15" s="4"/>
      <x:c r="U15" s="4"/>
      <x:c r="V15" s="4"/>
      <x:c r="W15" s="4" t="n">
        <x:f>IF('계산 과정'!$C$77,('계산 과정'!$D$56+'계산 과정'!$D$57*('계산 과정'!$L$11*COS(9*2*PI()/240))+'계산 과정'!$D$58*('계산 과정'!$L$11*SIN(9*2*PI()/240)))/('계산 과정'!$D$59+'계산 과정'!$D$60*('계산 과정'!$L$11*COS(9*2*PI()/240))+'계산 과정'!$D$61*('계산 과정'!$L$11*SIN(9*2*PI()/240))),"")</x:f>
        <x:v>198.02374452664685</x:v>
      </x:c>
      <x:c r="X15" s="4" t="n">
        <x:f>IF('계산 과정'!$C$77,('계산 과정'!$E$56+'계산 과정'!$E$57*('계산 과정'!$L$11*COS(9*2*PI()/240))+'계산 과정'!$E$58*('계산 과정'!$L$11*SIN(9*2*PI()/240)))/('계산 과정'!$E$59+'계산 과정'!$E$60*('계산 과정'!$L$11*COS(9*2*PI()/240))+'계산 과정'!$E$61*('계산 과정'!$L$11*SIN(9*2*PI()/240))),"")</x:f>
        <x:v>67.23354395580752</x:v>
      </x:c>
      <x:c r="Y15" s="4" t="str">
        <x:f>""</x:f>
      </x:c>
      <x:c r="Z15" s="4" t="str">
        <x:f>""</x:f>
      </x:c>
    </x:row>
    <x:row r="16" ht="23" customHeight="1">
      <x:c r="A16" s="17" t="n">
        <x:f>ROW()-6</x:f>
        <x:v>10</x:v>
      </x:c>
      <x:c r="B16" s="4" t="n">
        <x:f>IF('계산 과정'!$L$5,'계산 과정'!$L$11*SQRT((A16+0.5)/'계산 과정'!$L$30),"")</x:f>
        <x:v>10.74041178505275</x:v>
      </x:c>
      <x:c r="C16" s="4" t="n">
        <x:f>A16*PI()*(3-SQRT(5))</x:f>
        <x:v>23.999632297286528</x:v>
      </x:c>
      <x:c r="D16" s="4" t="n">
        <x:f>IF('계산 과정'!$L$5,B16*COS(C16),"")</x:f>
        <x:v>4.552280520259955</x:v>
      </x:c>
      <x:c r="E16" s="4" t="n">
        <x:f>IF('계산 과정'!$L$5,B16*SIN(C16),"")</x:f>
        <x:v>-9.727959055082508</x:v>
      </x:c>
      <x:c r="F16" s="4" t="n">
        <x:f>IF('계산 과정'!$L$7,'계산 과정'!$L$22+'계산 과정'!$C$49*D16+'계산 과정'!$D$49*E16,"")</x:f>
        <x:v>646.7810515742608</x:v>
      </x:c>
      <x:c r="G16" s="4" t="n">
        <x:f>IF('계산 과정'!$L$7,IF(ABS(F16)&gt;=1E-12*MAX(1,SQRT((D16-'계산 과정'!$C$33)^2+(E16-'계산 과정'!$D$33)^2+'계산 과정'!$E$33^2)),('계산 과정'!$L$23-'계산 과정'!$C$49*D16-'계산 과정'!$D$49*E16)/F16,""),"")</x:f>
        <x:v>0.623424182641571</x:v>
      </x:c>
      <x:c r="H16" s="4" t="n">
        <x:f>IF(AND(ISNUMBER(G16),G16&gt;0),('계산 과정'!$D$56+'계산 과정'!$D$57*D16+'계산 과정'!$D$58*E16)/F16,"")</x:f>
        <x:v>5.225718717020982</x:v>
      </x:c>
      <x:c r="I16" s="4" t="n">
        <x:f>IF(AND(ISNUMBER(G16),G16&gt;0),('계산 과정'!$E$56+'계산 과정'!$E$57*D16+'계산 과정'!$E$58*E16)/F16,"")</x:f>
        <x:v>-15.792603977767989</x:v>
      </x:c>
      <x:c r="J16" s="4" t="n">
        <x:f>IF('계산 과정'!$L$5,'계산 과정'!$D$6+'계산 과정'!$C$35*D16+'계산 과정'!$D$35*E16,"")</x:f>
        <x:v>646.7810515742608</x:v>
      </x:c>
      <x:c r="K16" s="4" t="n">
        <x:f>IF(AND('계산 과정'!$L$6,J16&gt;0),'계산 과정'!$D$10*('계산 과정'!$C$38*(D16-'계산 과정'!$C$32)+'계산 과정'!$D$38*(E16-'계산 과정'!$D$32)-'계산 과정'!$E$38*'계산 과정'!$E$32)/J16,"")</x:f>
        <x:v>0.03981499974873237</x:v>
      </x:c>
      <x:c r="L16" s="4" t="n">
        <x:f>IF(AND('계산 과정'!$L$6,J16&gt;0),'계산 과정'!$D$10*('계산 과정'!$C$39*(D16-'계산 과정'!$C$32)+'계산 과정'!$D$39*(E16-'계산 과정'!$D$32)-'계산 과정'!$E$39*'계산 과정'!$E$32)/J16,"")</x:f>
        <x:v>-0.12032460173537514</x:v>
      </x:c>
      <x:c r="M16" s="17" t="n">
        <x:f>IF('계산 과정'!$L$6,IF(J16&lt;=0,0,IF(AND(ABS(K16)&lt;='계산 과정'!$D$11/2,ABS(L16)&lt;='계산 과정'!$D$12/2),1,0)),"")</x:f>
        <x:v>1</x:v>
      </x:c>
      <x:c r="N16" s="17" t="n">
        <x:f>IF('계산 과정'!$C$78,IF(AND(ISNUMBER(H16),ISNUMBER(I16),ABS(H16-'계산 과정'!$C$88)&lt;='계산 과정'!$D$23/2,ABS(I16-'계산 과정'!$C$89)&lt;='계산 과정'!$D$24/2),1,0),"")</x:f>
        <x:v>1</x:v>
      </x:c>
      <x:c r="O16" s="4" t="n">
        <x:f>IF('계산 과정'!$L$7,'계산 과정'!$C$49*('계산 과정'!$C$32-D16)+'계산 과정'!$D$49*('계산 과정'!$D$32-E16)+'계산 과정'!$E$49*'계산 과정'!$E$32,"")</x:f>
        <x:v>3.21894842573937</x:v>
      </x:c>
      <x:c r="P16" s="4" t="n">
        <x:f>IF(AND('계산 과정'!$L$7,O16&lt;&gt;0),('계산 과정'!$L$23-'계산 과정'!$C$49*D16-'계산 과정'!$D$49*E16)/O16,"")</x:f>
        <x:v>125.2641841669528</x:v>
      </x:c>
      <x:c r="Q16" s="4" t="str">
        <x:f>IF(AND(ISNUMBER(P16),P16&gt;1E-9,P16&lt;1-1E-9),'계산 과정'!$C$47*(D16-'계산 과정'!$C$50+P16*('계산 과정'!$C$32-D16))+'계산 과정'!$D$47*(E16-'계산 과정'!$D$50+P16*('계산 과정'!$D$32-E16))+'계산 과정'!$E$47*(0-'계산 과정'!$E$50+P16*('계산 과정'!$E$32-0)),"")</x:f>
      </x:c>
      <x:c r="R16" s="4" t="str">
        <x:f>IF(AND(ISNUMBER(P16),P16&gt;1E-9,P16&lt;1-1E-9),'계산 과정'!$C$48*(D16-'계산 과정'!$C$50+P16*('계산 과정'!$C$32-D16))+'계산 과정'!$D$48*(E16-'계산 과정'!$D$50+P16*('계산 과정'!$D$32-E16))+'계산 과정'!$E$48*(0-'계산 과정'!$E$50+P16*('계산 과정'!$E$32-0)),"")</x:f>
      </x:c>
      <x:c r="S16" s="17" t="n">
        <x:f>IF('계산 과정'!$C$78,IF(AND(ISNUMBER(Q16),ISNUMBER(R16),ABS(Q16-'계산 과정'!$C$88)&lt;='계산 과정'!$D$23/2,ABS(R16-'계산 과정'!$C$89)&lt;='계산 과정'!$D$24/2),1,0),"")</x:f>
        <x:v>0</x:v>
      </x:c>
      <x:c r="T16" s="4"/>
      <x:c r="U16" s="4"/>
      <x:c r="V16" s="4"/>
      <x:c r="W16" s="4" t="n">
        <x:f>IF('계산 과정'!$C$77,('계산 과정'!$D$56+'계산 과정'!$D$57*('계산 과정'!$L$11*COS(10*2*PI()/240))+'계산 과정'!$D$58*('계산 과정'!$L$11*SIN(10*2*PI()/240)))/('계산 과정'!$D$59+'계산 과정'!$D$60*('계산 과정'!$L$11*COS(10*2*PI()/240))+'계산 과정'!$D$61*('계산 과정'!$L$11*SIN(10*2*PI()/240))),"")</x:f>
        <x:v>196.46584763259557</x:v>
      </x:c>
      <x:c r="X16" s="4" t="n">
        <x:f>IF('계산 과정'!$C$77,('계산 과정'!$E$56+'계산 과정'!$E$57*('계산 과정'!$L$11*COS(10*2*PI()/240))+'계산 과정'!$E$58*('계산 과정'!$L$11*SIN(10*2*PI()/240)))/('계산 과정'!$E$59+'계산 과정'!$E$60*('계산 과정'!$L$11*COS(10*2*PI()/240))+'계산 과정'!$E$61*('계산 과정'!$L$11*SIN(10*2*PI()/240))),"")</x:f>
        <x:v>74.4482539470398</x:v>
      </x:c>
      <x:c r="Y16" s="4" t="str">
        <x:f>""</x:f>
      </x:c>
      <x:c r="Z16" s="4" t="str">
        <x:f>""</x:f>
      </x:c>
    </x:row>
    <x:row r="17" ht="23" customHeight="1">
      <x:c r="A17" s="17" t="n">
        <x:f>ROW()-6</x:f>
        <x:v>11</x:v>
      </x:c>
      <x:c r="B17" s="4" t="n">
        <x:f>IF('계산 과정'!$L$5,'계산 과정'!$L$11*SQRT((A17+0.5)/'계산 과정'!$L$30),"")</x:f>
        <x:v>11.240230132764186</x:v>
      </x:c>
      <x:c r="C17" s="4" t="n">
        <x:f>A17*PI()*(3-SQRT(5))</x:f>
        <x:v>26.39959552701518</x:v>
      </x:c>
      <x:c r="D17" s="4" t="n">
        <x:f>IF('계산 과정'!$L$5,B17*COS(C17),"")</x:f>
        <x:v>3.3640195113834106</x:v>
      </x:c>
      <x:c r="E17" s="4" t="n">
        <x:f>IF('계산 과정'!$L$5,B17*SIN(C17),"")</x:f>
        <x:v>10.725024296687243</x:v>
      </x:c>
      <x:c r="F17" s="4" t="n">
        <x:f>IF('계산 과정'!$L$7,'계산 과정'!$L$22+'계산 과정'!$C$49*D17+'계산 과정'!$D$49*E17,"")</x:f>
        <x:v>647.621278991457</x:v>
      </x:c>
      <x:c r="G17" s="4" t="n">
        <x:f>IF('계산 과정'!$L$7,IF(ABS(F17)&gt;=1E-12*MAX(1,SQRT((D17-'계산 과정'!$C$33)^2+(E17-'계산 과정'!$D$33)^2+'계산 과정'!$E$33^2)),('계산 과정'!$L$23-'계산 과정'!$C$49*D17-'계산 과정'!$D$49*E17)/F17,""),"")</x:f>
        <x:v>0.6213179431583362</x:v>
      </x:c>
      <x:c r="H17" s="4" t="n">
        <x:f>IF(AND(ISNUMBER(G17),G17&gt;0),('계산 과정'!$D$56+'계산 과정'!$D$57*D17+'계산 과정'!$D$58*E17)/F17,"")</x:f>
        <x:v>3.8566630529184533</x:v>
      </x:c>
      <x:c r="I17" s="4" t="n">
        <x:f>IF(AND(ISNUMBER(G17),G17&gt;0),('계산 과정'!$E$56+'계산 과정'!$E$57*D17+'계산 과정'!$E$58*E17)/F17,"")</x:f>
        <x:v>17.388674333028142</x:v>
      </x:c>
      <x:c r="J17" s="4" t="n">
        <x:f>IF('계산 과정'!$L$5,'계산 과정'!$D$6+'계산 과정'!$C$35*D17+'계산 과정'!$D$35*E17,"")</x:f>
        <x:v>647.621278991457</x:v>
      </x:c>
      <x:c r="K17" s="4" t="n">
        <x:f>IF(AND('계산 과정'!$L$6,J17&gt;0),'계산 과정'!$D$10*('계산 과정'!$C$38*(D17-'계산 과정'!$C$32)+'계산 과정'!$D$38*(E17-'계산 과정'!$D$32)-'계산 과정'!$E$38*'계산 과정'!$E$32)/J17,"")</x:f>
        <x:v>0.02938409945080779</x:v>
      </x:c>
      <x:c r="L17" s="4" t="n">
        <x:f>IF(AND('계산 과정'!$L$6,J17&gt;0),'계산 과정'!$D$10*('계산 과정'!$C$39*(D17-'계산 과정'!$C$32)+'계산 과정'!$D$39*(E17-'계산 과정'!$D$32)-'계산 과정'!$E$39*'계산 과정'!$E$32)/J17,"")</x:f>
        <x:v>0.1324851377754525</x:v>
      </x:c>
      <x:c r="M17" s="17" t="n">
        <x:f>IF('계산 과정'!$L$6,IF(J17&lt;=0,0,IF(AND(ABS(K17)&lt;='계산 과정'!$D$11/2,ABS(L17)&lt;='계산 과정'!$D$12/2),1,0)),"")</x:f>
        <x:v>1</x:v>
      </x:c>
      <x:c r="N17" s="17" t="n">
        <x:f>IF('계산 과정'!$C$78,IF(AND(ISNUMBER(H17),ISNUMBER(I17),ABS(H17-'계산 과정'!$C$88)&lt;='계산 과정'!$D$23/2,ABS(I17-'계산 과정'!$C$89)&lt;='계산 과정'!$D$24/2),1,0),"")</x:f>
        <x:v>1</x:v>
      </x:c>
      <x:c r="O17" s="4" t="n">
        <x:f>IF('계산 과정'!$L$7,'계산 과정'!$C$49*('계산 과정'!$C$32-D17)+'계산 과정'!$D$49*('계산 과정'!$D$32-E17)+'계산 과정'!$E$49*'계산 과정'!$E$32,"")</x:f>
        <x:v>2.3787210085431525</x:v>
      </x:c>
      <x:c r="P17" s="4" t="n">
        <x:f>IF(AND('계산 과정'!$L$7,O17&lt;&gt;0),('계산 과정'!$L$23-'계산 과정'!$C$49*D17-'계산 과정'!$D$49*E17)/O17,"")</x:f>
        <x:v>169.15759332994662</x:v>
      </x:c>
      <x:c r="Q17" s="4" t="str">
        <x:f>IF(AND(ISNUMBER(P17),P17&gt;1E-9,P17&lt;1-1E-9),'계산 과정'!$C$47*(D17-'계산 과정'!$C$50+P17*('계산 과정'!$C$32-D17))+'계산 과정'!$D$47*(E17-'계산 과정'!$D$50+P17*('계산 과정'!$D$32-E17))+'계산 과정'!$E$47*(0-'계산 과정'!$E$50+P17*('계산 과정'!$E$32-0)),"")</x:f>
      </x:c>
      <x:c r="R17" s="4" t="str">
        <x:f>IF(AND(ISNUMBER(P17),P17&gt;1E-9,P17&lt;1-1E-9),'계산 과정'!$C$48*(D17-'계산 과정'!$C$50+P17*('계산 과정'!$C$32-D17))+'계산 과정'!$D$48*(E17-'계산 과정'!$D$50+P17*('계산 과정'!$D$32-E17))+'계산 과정'!$E$48*(0-'계산 과정'!$E$50+P17*('계산 과정'!$E$32-0)),"")</x:f>
      </x:c>
      <x:c r="S17" s="17" t="n">
        <x:f>IF('계산 과정'!$C$78,IF(AND(ISNUMBER(Q17),ISNUMBER(R17),ABS(Q17-'계산 과정'!$C$88)&lt;='계산 과정'!$D$23/2,ABS(R17-'계산 과정'!$C$89)&lt;='계산 과정'!$D$24/2),1,0),"")</x:f>
        <x:v>0</x:v>
      </x:c>
      <x:c r="T17" s="4"/>
      <x:c r="U17" s="4"/>
      <x:c r="V17" s="4"/>
      <x:c r="W17" s="4" t="n">
        <x:f>IF('계산 과정'!$C$77,('계산 과정'!$D$56+'계산 과정'!$D$57*('계산 과정'!$L$11*COS(11*2*PI()/240))+'계산 과정'!$D$58*('계산 과정'!$L$11*SIN(11*2*PI()/240)))/('계산 과정'!$D$59+'계산 과정'!$D$60*('계산 과정'!$L$11*COS(11*2*PI()/240))+'계산 과정'!$D$61*('계산 과정'!$L$11*SIN(11*2*PI()/240))),"")</x:f>
        <x:v>194.75241215040992</x:v>
      </x:c>
      <x:c r="X17" s="4" t="n">
        <x:f>IF('계산 과정'!$C$77,('계산 과정'!$E$56+'계산 과정'!$E$57*('계산 과정'!$L$11*COS(11*2*PI()/240))+'계산 과정'!$E$58*('계산 과정'!$L$11*SIN(11*2*PI()/240)))/('계산 과정'!$E$59+'계산 과정'!$E$60*('계산 과정'!$L$11*COS(11*2*PI()/240))+'계산 과정'!$E$61*('계산 과정'!$L$11*SIN(11*2*PI()/240))),"")</x:f>
        <x:v>81.58356586337025</x:v>
      </x:c>
      <x:c r="Y17" s="4" t="str">
        <x:f>""</x:f>
      </x:c>
      <x:c r="Z17" s="4" t="str">
        <x:f>""</x:f>
      </x:c>
    </x:row>
    <x:row r="18" ht="23" customHeight="1">
      <x:c r="A18" s="17" t="n">
        <x:f>ROW()-6</x:f>
        <x:v>12</x:v>
      </x:c>
      <x:c r="B18" s="4" t="n">
        <x:f>IF('계산 과정'!$L$5,'계산 과정'!$L$11*SQRT((A18+0.5)/'계산 과정'!$L$30),"")</x:f>
        <x:v>11.71875</x:v>
      </x:c>
      <x:c r="C18" s="4" t="n">
        <x:f>A18*PI()*(3-SQRT(5))</x:f>
        <x:v>28.799558756743835</x:v>
      </x:c>
      <x:c r="D18" s="4" t="n">
        <x:f>IF('계산 과정'!$L$5,B18*COS(C18),"")</x:f>
        <x:v>-10.139193864295663</x:v>
      </x:c>
      <x:c r="E18" s="4" t="n">
        <x:f>IF('계산 과정'!$L$5,B18*SIN(C18),"")</x:f>
        <x:v>-5.8758700925674985</x:v>
      </x:c>
      <x:c r="F18" s="4" t="n">
        <x:f>IF('계산 과정'!$L$7,'계산 과정'!$L$22+'계산 과정'!$C$49*D18+'계산 과정'!$D$49*E18,"")</x:f>
        <x:v>657.1694927372085</x:v>
      </x:c>
      <x:c r="G18" s="4" t="n">
        <x:f>IF('계산 과정'!$L$7,IF(ABS(F18)&gt;=1E-12*MAX(1,SQRT((D18-'계산 과정'!$C$33)^2+(E18-'계산 과정'!$D$33)^2+'계산 과정'!$E$33^2)),('계산 과정'!$L$23-'계산 과정'!$C$49*D18-'계산 과정'!$D$49*E18)/F18,""),"")</x:f>
        <x:v>0.5977613258135189</x:v>
      </x:c>
      <x:c r="H18" s="4" t="n">
        <x:f>IF(AND(ISNUMBER(G18),G18&gt;0),('계산 과정'!$D$56+'계산 과정'!$D$57*D18+'계산 과정'!$D$58*E18)/F18,"")</x:f>
        <x:v>-11.455138221212762</x:v>
      </x:c>
      <x:c r="I18" s="4" t="n">
        <x:f>IF(AND(ISNUMBER(G18),G18&gt;0),('계산 과정'!$E$56+'계산 과정'!$E$57*D18+'계산 과정'!$E$58*E18)/F18,"")</x:f>
        <x:v>-9.38823798940865</x:v>
      </x:c>
      <x:c r="J18" s="4" t="n">
        <x:f>IF('계산 과정'!$L$5,'계산 과정'!$D$6+'계산 과정'!$C$35*D18+'계산 과정'!$D$35*E18,"")</x:f>
        <x:v>657.1694927372085</x:v>
      </x:c>
      <x:c r="K18" s="4" t="n">
        <x:f>IF(AND('계산 과정'!$L$6,J18&gt;0),'계산 과정'!$D$10*('계산 과정'!$C$38*(D18-'계산 과정'!$C$32)+'계산 과정'!$D$38*(E18-'계산 과정'!$D$32)-'계산 과정'!$E$38*'계산 과정'!$E$32)/J18,"")</x:f>
        <x:v>-0.08727724359019143</x:v>
      </x:c>
      <x:c r="L18" s="4" t="n">
        <x:f>IF(AND('계산 과정'!$L$6,J18&gt;0),'계산 과정'!$D$10*('계산 과정'!$C$39*(D18-'계산 과정'!$C$32)+'계산 과정'!$D$39*(E18-'계산 과정'!$D$32)-'계산 과정'!$E$39*'계산 과정'!$E$32)/J18,"")</x:f>
        <x:v>-0.07152943230025638</x:v>
      </x:c>
      <x:c r="M18" s="17" t="n">
        <x:f>IF('계산 과정'!$L$6,IF(J18&lt;=0,0,IF(AND(ABS(K18)&lt;='계산 과정'!$D$11/2,ABS(L18)&lt;='계산 과정'!$D$12/2),1,0)),"")</x:f>
        <x:v>1</x:v>
      </x:c>
      <x:c r="N18" s="17" t="n">
        <x:f>IF('계산 과정'!$C$78,IF(AND(ISNUMBER(H18),ISNUMBER(I18),ABS(H18-'계산 과정'!$C$88)&lt;='계산 과정'!$D$23/2,ABS(I18-'계산 과정'!$C$89)&lt;='계산 과정'!$D$24/2),1,0),"")</x:f>
        <x:v>1</x:v>
      </x:c>
      <x:c r="O18" s="4" t="n">
        <x:f>IF('계산 과정'!$L$7,'계산 과정'!$C$49*('계산 과정'!$C$32-D18)+'계산 과정'!$D$49*('계산 과정'!$D$32-E18)+'계산 과정'!$E$49*'계산 과정'!$E$32,"")</x:f>
        <x:v>-7.1694927372083725</x:v>
      </x:c>
      <x:c r="P18" s="4" t="n">
        <x:f>IF(AND('계산 과정'!$L$7,O18&lt;&gt;0),('계산 과정'!$L$23-'계산 과정'!$C$49*D18-'계산 과정'!$D$49*E18)/O18,"")</x:f>
        <x:v>-54.791952745006924</x:v>
      </x:c>
      <x:c r="Q18" s="4" t="str">
        <x:f>IF(AND(ISNUMBER(P18),P18&gt;1E-9,P18&lt;1-1E-9),'계산 과정'!$C$47*(D18-'계산 과정'!$C$50+P18*('계산 과정'!$C$32-D18))+'계산 과정'!$D$47*(E18-'계산 과정'!$D$50+P18*('계산 과정'!$D$32-E18))+'계산 과정'!$E$47*(0-'계산 과정'!$E$50+P18*('계산 과정'!$E$32-0)),"")</x:f>
      </x:c>
      <x:c r="R18" s="4" t="str">
        <x:f>IF(AND(ISNUMBER(P18),P18&gt;1E-9,P18&lt;1-1E-9),'계산 과정'!$C$48*(D18-'계산 과정'!$C$50+P18*('계산 과정'!$C$32-D18))+'계산 과정'!$D$48*(E18-'계산 과정'!$D$50+P18*('계산 과정'!$D$32-E18))+'계산 과정'!$E$48*(0-'계산 과정'!$E$50+P18*('계산 과정'!$E$32-0)),"")</x:f>
      </x:c>
      <x:c r="S18" s="17" t="n">
        <x:f>IF('계산 과정'!$C$78,IF(AND(ISNUMBER(Q18),ISNUMBER(R18),ABS(Q18-'계산 과정'!$C$88)&lt;='계산 과정'!$D$23/2,ABS(R18-'계산 과정'!$C$89)&lt;='계산 과정'!$D$24/2),1,0),"")</x:f>
        <x:v>0</x:v>
      </x:c>
      <x:c r="T18" s="4"/>
      <x:c r="U18" s="4"/>
      <x:c r="V18" s="4"/>
      <x:c r="W18" s="4" t="n">
        <x:f>IF('계산 과정'!$C$77,('계산 과정'!$D$56+'계산 과정'!$D$57*('계산 과정'!$L$11*COS(12*2*PI()/240))+'계산 과정'!$D$58*('계산 과정'!$L$11*SIN(12*2*PI()/240)))/('계산 과정'!$D$59+'계산 과정'!$D$60*('계산 과정'!$L$11*COS(12*2*PI()/240))+'계산 과정'!$D$61*('계산 과정'!$L$11*SIN(12*2*PI()/240))),"")</x:f>
        <x:v>192.88590499639682</x:v>
      </x:c>
      <x:c r="X18" s="4" t="n">
        <x:f>IF('계산 과정'!$C$77,('계산 과정'!$E$56+'계산 과정'!$E$57*('계산 과정'!$L$11*COS(12*2*PI()/240))+'계산 과정'!$E$58*('계산 과정'!$L$11*SIN(12*2*PI()/240)))/('계산 과정'!$E$59+'계산 과정'!$E$60*('계산 과정'!$L$11*COS(12*2*PI()/240))+'계산 과정'!$E$61*('계산 과정'!$L$11*SIN(12*2*PI()/240))),"")</x:f>
        <x:v>88.63220001068608</x:v>
      </x:c>
      <x:c r="Y18" s="4" t="str">
        <x:f>""</x:f>
      </x:c>
      <x:c r="Z18" s="4" t="str">
        <x:f>""</x:f>
      </x:c>
    </x:row>
    <x:row r="19" ht="23" customHeight="1">
      <x:c r="A19" s="17" t="n">
        <x:f>ROW()-6</x:f>
        <x:v>13</x:v>
      </x:c>
      <x:c r="B19" s="4" t="n">
        <x:f>IF('계산 과정'!$L$5,'계산 과정'!$L$11*SQRT((A19+0.5)/'계산 과정'!$L$30),"")</x:f>
        <x:v>12.178482240718669</x:v>
      </x:c>
      <x:c r="C19" s="4" t="n">
        <x:f>A19*PI()*(3-SQRT(5))</x:f>
        <x:v>31.19952198647249</x:v>
      </x:c>
      <x:c r="D19" s="4" t="n">
        <x:f>IF('계산 과정'!$L$5,B19*COS(C19),"")</x:f>
        <x:v>11.894428564070909</x:v>
      </x:c>
      <x:c r="E19" s="4" t="n">
        <x:f>IF('계산 과정'!$L$5,B19*SIN(C19),"")</x:f>
        <x:v>-2.6149567533162106</x:v>
      </x:c>
      <x:c r="F19" s="4" t="n">
        <x:f>IF('계산 과정'!$L$7,'계산 과정'!$L$22+'계산 과정'!$C$49*D19+'계산 과정'!$D$49*E19,"")</x:f>
        <x:v>641.5893689040065</x:v>
      </x:c>
      <x:c r="G19" s="4" t="n">
        <x:f>IF('계산 과정'!$L$7,IF(ABS(F19)&gt;=1E-12*MAX(1,SQRT((D19-'계산 과정'!$C$33)^2+(E19-'계산 과정'!$D$33)^2+'계산 과정'!$E$33^2)),('계산 과정'!$L$23-'계산 과정'!$C$49*D19-'계산 과정'!$D$49*E19)/F19,""),"")</x:f>
        <x:v>0.6365607830966089</x:v>
      </x:c>
      <x:c r="H19" s="4" t="n">
        <x:f>IF(AND(ISNUMBER(G19),G19&gt;0),('계산 과정'!$D$56+'계산 과정'!$D$57*D19+'계산 과정'!$D$58*E19)/F19,"")</x:f>
        <x:v>13.764509012795715</x:v>
      </x:c>
      <x:c r="I19" s="4" t="n">
        <x:f>IF(AND(ISNUMBER(G19),G19&gt;0),('계산 과정'!$E$56+'계산 과정'!$E$57*D19+'계산 과정'!$E$58*E19)/F19,"")</x:f>
        <x:v>-4.279535671970944</x:v>
      </x:c>
      <x:c r="J19" s="4" t="n">
        <x:f>IF('계산 과정'!$L$5,'계산 과정'!$D$6+'계산 과정'!$C$35*D19+'계산 과정'!$D$35*E19,"")</x:f>
        <x:v>641.5893689040065</x:v>
      </x:c>
      <x:c r="K19" s="4" t="n">
        <x:f>IF(AND('계산 과정'!$L$6,J19&gt;0),'계산 과정'!$D$10*('계산 과정'!$C$38*(D19-'계산 과정'!$C$32)+'계산 과정'!$D$38*(E19-'계산 과정'!$D$32)-'계산 과정'!$E$38*'계산 과정'!$E$32)/J19,"")</x:f>
        <x:v>0.10487244962130136</x:v>
      </x:c>
      <x:c r="L19" s="4" t="n">
        <x:f>IF(AND('계산 과정'!$L$6,J19&gt;0),'계산 과정'!$D$10*('계산 과정'!$C$39*(D19-'계산 과정'!$C$32)+'계산 과정'!$D$39*(E19-'계산 과정'!$D$32)-'계산 과정'!$E$39*'계산 과정'!$E$32)/J19,"")</x:f>
        <x:v>-0.03260598607215957</x:v>
      </x:c>
      <x:c r="M19" s="17" t="n">
        <x:f>IF('계산 과정'!$L$6,IF(J19&lt;=0,0,IF(AND(ABS(K19)&lt;='계산 과정'!$D$11/2,ABS(L19)&lt;='계산 과정'!$D$12/2),1,0)),"")</x:f>
        <x:v>1</x:v>
      </x:c>
      <x:c r="N19" s="17" t="n">
        <x:f>IF('계산 과정'!$C$78,IF(AND(ISNUMBER(H19),ISNUMBER(I19),ABS(H19-'계산 과정'!$C$88)&lt;='계산 과정'!$D$23/2,ABS(I19-'계산 과정'!$C$89)&lt;='계산 과정'!$D$24/2),1,0),"")</x:f>
        <x:v>1</x:v>
      </x:c>
      <x:c r="O19" s="4" t="n">
        <x:f>IF('계산 과정'!$L$7,'계산 과정'!$C$49*('계산 과정'!$C$32-D19)+'계산 과정'!$D$49*('계산 과정'!$D$32-E19)+'계산 과정'!$E$49*'계산 과정'!$E$32,"")</x:f>
        <x:v>8.410631095993608</x:v>
      </x:c>
      <x:c r="P19" s="4" t="n">
        <x:f>IF(AND('계산 과정'!$L$7,O19&lt;&gt;0),('계산 과정'!$L$23-'계산 과정'!$C$49*D19-'계산 과정'!$D$49*E19)/O19,"")</x:f>
        <x:v>48.558856812842414</x:v>
      </x:c>
      <x:c r="Q19" s="4" t="str">
        <x:f>IF(AND(ISNUMBER(P19),P19&gt;1E-9,P19&lt;1-1E-9),'계산 과정'!$C$47*(D19-'계산 과정'!$C$50+P19*('계산 과정'!$C$32-D19))+'계산 과정'!$D$47*(E19-'계산 과정'!$D$50+P19*('계산 과정'!$D$32-E19))+'계산 과정'!$E$47*(0-'계산 과정'!$E$50+P19*('계산 과정'!$E$32-0)),"")</x:f>
      </x:c>
      <x:c r="R19" s="4" t="str">
        <x:f>IF(AND(ISNUMBER(P19),P19&gt;1E-9,P19&lt;1-1E-9),'계산 과정'!$C$48*(D19-'계산 과정'!$C$50+P19*('계산 과정'!$C$32-D19))+'계산 과정'!$D$48*(E19-'계산 과정'!$D$50+P19*('계산 과정'!$D$32-E19))+'계산 과정'!$E$48*(0-'계산 과정'!$E$50+P19*('계산 과정'!$E$32-0)),"")</x:f>
      </x:c>
      <x:c r="S19" s="17" t="n">
        <x:f>IF('계산 과정'!$C$78,IF(AND(ISNUMBER(Q19),ISNUMBER(R19),ABS(Q19-'계산 과정'!$C$88)&lt;='계산 과정'!$D$23/2,ABS(R19-'계산 과정'!$C$89)&lt;='계산 과정'!$D$24/2),1,0),"")</x:f>
        <x:v>0</x:v>
      </x:c>
      <x:c r="T19" s="4"/>
      <x:c r="U19" s="4"/>
      <x:c r="V19" s="4"/>
      <x:c r="W19" s="4" t="n">
        <x:f>IF('계산 과정'!$C$77,('계산 과정'!$D$56+'계산 과정'!$D$57*('계산 과정'!$L$11*COS(13*2*PI()/240))+'계산 과정'!$D$58*('계산 과정'!$L$11*SIN(13*2*PI()/240)))/('계산 과정'!$D$59+'계산 과정'!$D$60*('계산 과정'!$L$11*COS(13*2*PI()/240))+'계산 과정'!$D$61*('계산 과정'!$L$11*SIN(13*2*PI()/240))),"")</x:f>
        <x:v>190.86899637166346</x:v>
      </x:c>
      <x:c r="X19" s="4" t="n">
        <x:f>IF('계산 과정'!$C$77,('계산 과정'!$E$56+'계산 과정'!$E$57*('계산 과정'!$L$11*COS(13*2*PI()/240))+'계산 과정'!$E$58*('계산 과정'!$L$11*SIN(13*2*PI()/240)))/('계산 과정'!$E$59+'계산 과정'!$E$60*('계산 과정'!$L$11*COS(13*2*PI()/240))+'계산 과정'!$E$61*('계산 과정'!$L$11*SIN(13*2*PI()/240))),"")</x:f>
        <x:v>95.5870574767815</x:v>
      </x:c>
      <x:c r="Y19" s="4" t="str">
        <x:f>""</x:f>
      </x:c>
      <x:c r="Z19" s="4" t="str">
        <x:f>""</x:f>
      </x:c>
    </x:row>
    <x:row r="20" ht="23" customHeight="1">
      <x:c r="A20" s="17" t="n">
        <x:f>ROW()-6</x:f>
        <x:v>14</x:v>
      </x:c>
      <x:c r="B20" s="4" t="n">
        <x:f>IF('계산 과정'!$L$5,'계산 과정'!$L$11*SQRT((A20+0.5)/'계산 과정'!$L$30),"")</x:f>
        <x:v>12.621480016721494</x:v>
      </x:c>
      <x:c r="C20" s="4" t="n">
        <x:f>A20*PI()*(3-SQRT(5))</x:f>
        <x:v>33.59948521620114</x:v>
      </x:c>
      <x:c r="D20" s="4" t="n">
        <x:f>IF('계산 과정'!$L$5,B20*COS(C20),"")</x:f>
        <x:v>-7.258984596915587</x:v>
      </x:c>
      <x:c r="E20" s="4" t="n">
        <x:f>IF('계산 과정'!$L$5,B20*SIN(C20),"")</x:f>
        <x:v>10.325158615451981</x:v>
      </x:c>
      <x:c r="F20" s="4" t="n">
        <x:f>IF('계산 과정'!$L$7,'계산 과정'!$L$22+'계산 과정'!$C$49*D20+'계산 과정'!$D$49*E20,"")</x:f>
        <x:v>655.1328772330077</x:v>
      </x:c>
      <x:c r="G20" s="4" t="n">
        <x:f>IF('계산 과정'!$L$7,IF(ABS(F20)&gt;=1E-12*MAX(1,SQRT((D20-'계산 과정'!$C$33)^2+(E20-'계산 과정'!$D$33)^2+'계산 과정'!$E$33^2)),('계산 과정'!$L$23-'계산 과정'!$C$49*D20-'계산 과정'!$D$49*E20)/F20,""),"")</x:f>
        <x:v>0.6027282960286421</x:v>
      </x:c>
      <x:c r="H20" s="4" t="n">
        <x:f>IF(AND(ISNUMBER(G20),G20&gt;0),('계산 과정'!$D$56+'계산 과정'!$D$57*D20+'계산 과정'!$D$58*E20)/F20,"")</x:f>
        <x:v>-8.22660758138277</x:v>
      </x:c>
      <x:c r="I20" s="4" t="n">
        <x:f>IF(AND(ISNUMBER(G20),G20&gt;0),('계산 과정'!$E$56+'계산 과정'!$E$57*D20+'계산 과정'!$E$58*E20)/F20,"")</x:f>
        <x:v>16.548423873968808</x:v>
      </x:c>
      <x:c r="J20" s="4" t="n">
        <x:f>IF('계산 과정'!$L$5,'계산 과정'!$D$6+'계산 과정'!$C$35*D20+'계산 과정'!$D$35*E20,"")</x:f>
        <x:v>655.1328772330077</x:v>
      </x:c>
      <x:c r="K20" s="4" t="n">
        <x:f>IF(AND('계산 과정'!$L$6,J20&gt;0),'계산 과정'!$D$10*('계산 과정'!$C$38*(D20-'계산 과정'!$C$32)+'계산 과정'!$D$38*(E20-'계산 과정'!$D$32)-'계산 과정'!$E$38*'계산 과정'!$E$32)/J20,"")</x:f>
        <x:v>-0.06267891490577274</x:v>
      </x:c>
      <x:c r="L20" s="4" t="n">
        <x:f>IF(AND('계산 과정'!$L$6,J20&gt;0),'계산 과정'!$D$10*('계산 과정'!$C$39*(D20-'계산 과정'!$C$32)+'계산 과정'!$D$39*(E20-'계산 과정'!$D$32)-'계산 과정'!$E$39*'계산 과정'!$E$32)/J20,"")</x:f>
        <x:v>0.12608322951595283</x:v>
      </x:c>
      <x:c r="M20" s="17" t="n">
        <x:f>IF('계산 과정'!$L$6,IF(J20&lt;=0,0,IF(AND(ABS(K20)&lt;='계산 과정'!$D$11/2,ABS(L20)&lt;='계산 과정'!$D$12/2),1,0)),"")</x:f>
        <x:v>1</x:v>
      </x:c>
      <x:c r="N20" s="17" t="n">
        <x:f>IF('계산 과정'!$C$78,IF(AND(ISNUMBER(H20),ISNUMBER(I20),ABS(H20-'계산 과정'!$C$88)&lt;='계산 과정'!$D$23/2,ABS(I20-'계산 과정'!$C$89)&lt;='계산 과정'!$D$24/2),1,0),"")</x:f>
        <x:v>1</x:v>
      </x:c>
      <x:c r="O20" s="4" t="n">
        <x:f>IF('계산 과정'!$L$7,'계산 과정'!$C$49*('계산 과정'!$C$32-D20)+'계산 과정'!$D$49*('계산 과정'!$D$32-E20)+'계산 과정'!$E$49*'계산 과정'!$E$32,"")</x:f>
        <x:v>-5.132877233007605</x:v>
      </x:c>
      <x:c r="P20" s="4" t="n">
        <x:f>IF(AND('계산 과정'!$L$7,O20&lt;&gt;0),('계산 과정'!$L$23-'계산 과정'!$C$49*D20-'계산 과정'!$D$49*E20)/O20,"")</x:f>
        <x:v>-76.92900196945101</x:v>
      </x:c>
      <x:c r="Q20" s="4" t="str">
        <x:f>IF(AND(ISNUMBER(P20),P20&gt;1E-9,P20&lt;1-1E-9),'계산 과정'!$C$47*(D20-'계산 과정'!$C$50+P20*('계산 과정'!$C$32-D20))+'계산 과정'!$D$47*(E20-'계산 과정'!$D$50+P20*('계산 과정'!$D$32-E20))+'계산 과정'!$E$47*(0-'계산 과정'!$E$50+P20*('계산 과정'!$E$32-0)),"")</x:f>
      </x:c>
      <x:c r="R20" s="4" t="str">
        <x:f>IF(AND(ISNUMBER(P20),P20&gt;1E-9,P20&lt;1-1E-9),'계산 과정'!$C$48*(D20-'계산 과정'!$C$50+P20*('계산 과정'!$C$32-D20))+'계산 과정'!$D$48*(E20-'계산 과정'!$D$50+P20*('계산 과정'!$D$32-E20))+'계산 과정'!$E$48*(0-'계산 과정'!$E$50+P20*('계산 과정'!$E$32-0)),"")</x:f>
      </x:c>
      <x:c r="S20" s="17" t="n">
        <x:f>IF('계산 과정'!$C$78,IF(AND(ISNUMBER(Q20),ISNUMBER(R20),ABS(Q20-'계산 과정'!$C$88)&lt;='계산 과정'!$D$23/2,ABS(R20-'계산 과정'!$C$89)&lt;='계산 과정'!$D$24/2),1,0),"")</x:f>
        <x:v>0</x:v>
      </x:c>
      <x:c r="T20" s="4"/>
      <x:c r="U20" s="4"/>
      <x:c r="V20" s="4"/>
      <x:c r="W20" s="4" t="n">
        <x:f>IF('계산 과정'!$C$77,('계산 과정'!$D$56+'계산 과정'!$D$57*('계산 과정'!$L$11*COS(14*2*PI()/240))+'계산 과정'!$D$58*('계산 과정'!$L$11*SIN(14*2*PI()/240)))/('계산 과정'!$D$59+'계산 과정'!$D$60*('계산 과정'!$L$11*COS(14*2*PI()/240))+'계산 과정'!$D$61*('계산 과정'!$L$11*SIN(14*2*PI()/240))),"")</x:f>
        <x:v>188.7045516484446</x:v>
      </x:c>
      <x:c r="X20" s="4" t="n">
        <x:f>IF('계산 과정'!$C$77,('계산 과정'!$E$56+'계산 과정'!$E$57*('계산 과정'!$L$11*COS(14*2*PI()/240))+'계산 과정'!$E$58*('계산 과정'!$L$11*SIN(14*2*PI()/240)))/('계산 과정'!$E$59+'계산 과정'!$E$60*('계산 과정'!$L$11*COS(14*2*PI()/240))+'계산 과정'!$E$61*('계산 과정'!$L$11*SIN(14*2*PI()/240))),"")</x:f>
        <x:v>102.44123313846545</x:v>
      </x:c>
      <x:c r="Y20" s="4" t="str">
        <x:f>""</x:f>
      </x:c>
      <x:c r="Z20" s="4" t="str">
        <x:f>""</x:f>
      </x:c>
    </x:row>
    <x:row r="21" ht="23" customHeight="1">
      <x:c r="A21" s="17" t="n">
        <x:f>ROW()-6</x:f>
        <x:v>15</x:v>
      </x:c>
      <x:c r="B21" s="4" t="n">
        <x:f>IF('계산 과정'!$L$5,'계산 과정'!$L$11*SQRT((A21+0.5)/'계산 과정'!$L$30),"")</x:f>
        <x:v>13.049447725382864</x:v>
      </x:c>
      <x:c r="C21" s="4" t="n">
        <x:f>A21*PI()*(3-SQRT(5))</x:f>
        <x:v>35.999448445929794</x:v>
      </x:c>
      <x:c r="D21" s="4" t="n">
        <x:f>IF('계산 과정'!$L$5,B21*COS(C21),"")</x:f>
        <x:v>-1.6769935286848552</x:v>
      </x:c>
      <x:c r="E21" s="4" t="n">
        <x:f>IF('계산 과정'!$L$5,B21*SIN(C21),"")</x:f>
        <x:v>-12.941243319026542</x:v>
      </x:c>
      <x:c r="F21" s="4" t="n">
        <x:f>IF('계산 과정'!$L$7,'계산 과정'!$L$22+'계산 과정'!$C$49*D21+'계산 과정'!$D$49*E21,"")</x:f>
        <x:v>651.185813496139</x:v>
      </x:c>
      <x:c r="G21" s="4" t="n">
        <x:f>IF('계산 과정'!$L$7,IF(ABS(F21)&gt;=1E-12*MAX(1,SQRT((D21-'계산 과정'!$C$33)^2+(E21-'계산 과정'!$D$33)^2+'계산 과정'!$E$33^2)),('계산 과정'!$L$23-'계산 과정'!$C$49*D21-'계산 과정'!$D$49*E21)/F21,""),"")</x:f>
        <x:v>0.6124429897553744</x:v>
      </x:c>
      <x:c r="H21" s="4" t="n">
        <x:f>IF(AND(ISNUMBER(G21),G21&gt;0),('계산 과정'!$D$56+'계산 과정'!$D$57*D21+'계산 과정'!$D$58*E21)/F21,"")</x:f>
        <x:v>-1.9120566590067856</x:v>
      </x:c>
      <x:c r="I21" s="4" t="n">
        <x:f>IF(AND(ISNUMBER(G21),G21&gt;0),('계산 과정'!$E$56+'계산 과정'!$E$57*D21+'계산 과정'!$E$58*E21)/F21,"")</x:f>
        <x:v>-20.867017068482923</x:v>
      </x:c>
      <x:c r="J21" s="4" t="n">
        <x:f>IF('계산 과정'!$L$5,'계산 과정'!$D$6+'계산 과정'!$C$35*D21+'계산 과정'!$D$35*E21,"")</x:f>
        <x:v>651.185813496139</x:v>
      </x:c>
      <x:c r="K21" s="4" t="n">
        <x:f>IF(AND('계산 과정'!$L$6,J21&gt;0),'계산 과정'!$D$10*('계산 과정'!$C$38*(D21-'계산 과정'!$C$32)+'계산 과정'!$D$38*(E21-'계산 과정'!$D$32)-'계산 과정'!$E$38*'계산 과정'!$E$32)/J21,"")</x:f>
        <x:v>-0.01456805073528894</x:v>
      </x:c>
      <x:c r="L21" s="4" t="n">
        <x:f>IF(AND('계산 과정'!$L$6,J21&gt;0),'계산 과정'!$D$10*('계산 과정'!$C$39*(D21-'계산 과정'!$C$32)+'계산 과정'!$D$39*(E21-'계산 과정'!$D$32)-'계산 과정'!$E$39*'계산 과정'!$E$32)/J21,"")</x:f>
        <x:v>-0.15898679671225086</x:v>
      </x:c>
      <x:c r="M21" s="17" t="n">
        <x:f>IF('계산 과정'!$L$6,IF(J21&lt;=0,0,IF(AND(ABS(K21)&lt;='계산 과정'!$D$11/2,ABS(L21)&lt;='계산 과정'!$D$12/2),1,0)),"")</x:f>
        <x:v>1</x:v>
      </x:c>
      <x:c r="N21" s="17" t="n">
        <x:f>IF('계산 과정'!$C$78,IF(AND(ISNUMBER(H21),ISNUMBER(I21),ABS(H21-'계산 과정'!$C$88)&lt;='계산 과정'!$D$23/2,ABS(I21-'계산 과정'!$C$89)&lt;='계산 과정'!$D$24/2),1,0),"")</x:f>
        <x:v>1</x:v>
      </x:c>
      <x:c r="O21" s="4" t="n">
        <x:f>IF('계산 과정'!$L$7,'계산 과정'!$C$49*('계산 과정'!$C$32-D21)+'계산 과정'!$D$49*('계산 과정'!$D$32-E21)+'계산 과정'!$E$49*'계산 과정'!$E$32,"")</x:f>
        <x:v>-1.1858134961389055</x:v>
      </x:c>
      <x:c r="P21" s="4" t="n">
        <x:f>IF(AND('계산 과정'!$L$7,O21&lt;&gt;0),('계산 과정'!$L$23-'계산 과정'!$C$49*D21-'계산 과정'!$D$49*E21)/O21,"")</x:f>
        <x:v>-336.3211734412105</x:v>
      </x:c>
      <x:c r="Q21" s="4" t="str">
        <x:f>IF(AND(ISNUMBER(P21),P21&gt;1E-9,P21&lt;1-1E-9),'계산 과정'!$C$47*(D21-'계산 과정'!$C$50+P21*('계산 과정'!$C$32-D21))+'계산 과정'!$D$47*(E21-'계산 과정'!$D$50+P21*('계산 과정'!$D$32-E21))+'계산 과정'!$E$47*(0-'계산 과정'!$E$50+P21*('계산 과정'!$E$32-0)),"")</x:f>
      </x:c>
      <x:c r="R21" s="4" t="str">
        <x:f>IF(AND(ISNUMBER(P21),P21&gt;1E-9,P21&lt;1-1E-9),'계산 과정'!$C$48*(D21-'계산 과정'!$C$50+P21*('계산 과정'!$C$32-D21))+'계산 과정'!$D$48*(E21-'계산 과정'!$D$50+P21*('계산 과정'!$D$32-E21))+'계산 과정'!$E$48*(0-'계산 과정'!$E$50+P21*('계산 과정'!$E$32-0)),"")</x:f>
      </x:c>
      <x:c r="S21" s="17" t="n">
        <x:f>IF('계산 과정'!$C$78,IF(AND(ISNUMBER(Q21),ISNUMBER(R21),ABS(Q21-'계산 과정'!$C$88)&lt;='계산 과정'!$D$23/2,ABS(R21-'계산 과정'!$C$89)&lt;='계산 과정'!$D$24/2),1,0),"")</x:f>
        <x:v>0</x:v>
      </x:c>
      <x:c r="T21" s="4"/>
      <x:c r="U21" s="4"/>
      <x:c r="V21" s="4"/>
      <x:c r="W21" s="4" t="n">
        <x:f>IF('계산 과정'!$C$77,('계산 과정'!$D$56+'계산 과정'!$D$57*('계산 과정'!$L$11*COS(15*2*PI()/240))+'계산 과정'!$D$58*('계산 과정'!$L$11*SIN(15*2*PI()/240)))/('계산 과정'!$D$59+'계산 과정'!$D$60*('계산 과정'!$L$11*COS(15*2*PI()/240))+'계산 과정'!$D$61*('계산 과정'!$L$11*SIN(15*2*PI()/240))),"")</x:f>
        <x:v>186.39562276636028</x:v>
      </x:c>
      <x:c r="X21" s="4" t="n">
        <x:f>IF('계산 과정'!$C$77,('계산 과정'!$E$56+'계산 과정'!$E$57*('계산 과정'!$L$11*COS(15*2*PI()/240))+'계산 과정'!$E$58*('계산 과정'!$L$11*SIN(15*2*PI()/240)))/('계산 과정'!$E$59+'계산 과정'!$E$60*('계산 과정'!$L$11*COS(15*2*PI()/240))+'계산 과정'!$E$61*('계산 과정'!$L$11*SIN(15*2*PI()/240))),"")</x:f>
        <x:v>109.18802784955464</x:v>
      </x:c>
      <x:c r="Y21" s="4" t="str">
        <x:f>""</x:f>
      </x:c>
      <x:c r="Z21" s="4" t="str">
        <x:f>""</x:f>
      </x:c>
    </x:row>
    <x:row r="22" ht="23" customHeight="1">
      <x:c r="A22" s="17" t="n">
        <x:f>ROW()-6</x:f>
        <x:v>16</x:v>
      </x:c>
      <x:c r="B22" s="4" t="n">
        <x:f>IF('계산 과정'!$L$5,'계산 과정'!$L$11*SQRT((A22+0.5)/'계산 과정'!$L$30),"")</x:f>
        <x:v>13.463818702823504</x:v>
      </x:c>
      <x:c r="C22" s="4" t="n">
        <x:f>A22*PI()*(3-SQRT(5))</x:f>
        <x:v>38.39941167565845</x:v>
      </x:c>
      <x:c r="D22" s="4" t="n">
        <x:f>IF('계산 과정'!$L$5,B22*COS(C22),"")</x:f>
        <x:v>10.295095446116278</x:v>
      </x:c>
      <x:c r="E22" s="4" t="n">
        <x:f>IF('계산 과정'!$L$5,B22*SIN(C22),"")</x:f>
        <x:v>8.676717341129413</x:v>
      </x:c>
      <x:c r="F22" s="4" t="n">
        <x:f>IF('계산 과정'!$L$7,'계산 과정'!$L$22+'계산 과정'!$C$49*D22+'계산 과정'!$D$49*E22,"")</x:f>
        <x:v>642.7202681970884</x:v>
      </x:c>
      <x:c r="G22" s="4" t="n">
        <x:f>IF('계산 과정'!$L$7,IF(ABS(F22)&gt;=1E-12*MAX(1,SQRT((D22-'계산 과정'!$C$33)^2+(E22-'계산 과정'!$D$33)^2+'계산 과정'!$E$33^2)),('계산 과정'!$L$23-'계산 과정'!$C$49*D22-'계산 과정'!$D$49*E22)/F22,""),"")</x:f>
        <x:v>0.6336811704186375</x:v>
      </x:c>
      <x:c r="H22" s="4" t="n">
        <x:f>IF(AND(ISNUMBER(G22),G22&gt;0),('계산 과정'!$D$56+'계산 과정'!$D$57*D22+'계산 과정'!$D$58*E22)/F22,"")</x:f>
        <x:v>11.892760772114231</x:v>
      </x:c>
      <x:c r="I22" s="4" t="n">
        <x:f>IF(AND(ISNUMBER(G22),G22&gt;0),('계산 과정'!$E$56+'계산 과정'!$E$57*D22+'계산 과정'!$E$58*E22)/F22,"")</x:f>
        <x:v>14.174989741247987</x:v>
      </x:c>
      <x:c r="J22" s="4" t="n">
        <x:f>IF('계산 과정'!$L$5,'계산 과정'!$D$6+'계산 과정'!$C$35*D22+'계산 과정'!$D$35*E22,"")</x:f>
        <x:v>642.7202681970884</x:v>
      </x:c>
      <x:c r="K22" s="4" t="n">
        <x:f>IF(AND('계산 과정'!$L$6,J22&gt;0),'계산 과정'!$D$10*('계산 과정'!$C$38*(D22-'계산 과정'!$C$32)+'계산 과정'!$D$38*(E22-'계산 과정'!$D$32)-'계산 과정'!$E$38*'계산 과정'!$E$32)/J22,"")</x:f>
        <x:v>0.0906115106446813</x:v>
      </x:c>
      <x:c r="L22" s="4" t="n">
        <x:f>IF(AND('계산 과정'!$L$6,J22&gt;0),'계산 과정'!$D$10*('계산 과정'!$C$39*(D22-'계산 과정'!$C$32)+'계산 과정'!$D$39*(E22-'계산 과정'!$D$32)-'계산 과정'!$E$39*'계산 과정'!$E$32)/J22,"")</x:f>
        <x:v>0.1079999218380799</x:v>
      </x:c>
      <x:c r="M22" s="17" t="n">
        <x:f>IF('계산 과정'!$L$6,IF(J22&lt;=0,0,IF(AND(ABS(K22)&lt;='계산 과정'!$D$11/2,ABS(L22)&lt;='계산 과정'!$D$12/2),1,0)),"")</x:f>
        <x:v>1</x:v>
      </x:c>
      <x:c r="N22" s="17" t="n">
        <x:f>IF('계산 과정'!$C$78,IF(AND(ISNUMBER(H22),ISNUMBER(I22),ABS(H22-'계산 과정'!$C$88)&lt;='계산 과정'!$D$23/2,ABS(I22-'계산 과정'!$C$89)&lt;='계산 과정'!$D$24/2),1,0),"")</x:f>
        <x:v>1</x:v>
      </x:c>
      <x:c r="O22" s="4" t="n">
        <x:f>IF('계산 과정'!$L$7,'계산 과정'!$C$49*('계산 과정'!$C$32-D22)+'계산 과정'!$D$49*('계산 과정'!$D$32-E22)+'계산 과정'!$E$49*'계산 과정'!$E$32,"")</x:f>
        <x:v>7.279731802911726</x:v>
      </x:c>
      <x:c r="P22" s="4" t="n">
        <x:f>IF(AND('계산 과정'!$L$7,O22&lt;&gt;0),('계산 과정'!$L$23-'계산 과정'!$C$49*D22-'계산 과정'!$D$49*E22)/O22,"")</x:f>
        <x:v>55.94707920970509</x:v>
      </x:c>
      <x:c r="Q22" s="4" t="str">
        <x:f>IF(AND(ISNUMBER(P22),P22&gt;1E-9,P22&lt;1-1E-9),'계산 과정'!$C$47*(D22-'계산 과정'!$C$50+P22*('계산 과정'!$C$32-D22))+'계산 과정'!$D$47*(E22-'계산 과정'!$D$50+P22*('계산 과정'!$D$32-E22))+'계산 과정'!$E$47*(0-'계산 과정'!$E$50+P22*('계산 과정'!$E$32-0)),"")</x:f>
      </x:c>
      <x:c r="R22" s="4" t="str">
        <x:f>IF(AND(ISNUMBER(P22),P22&gt;1E-9,P22&lt;1-1E-9),'계산 과정'!$C$48*(D22-'계산 과정'!$C$50+P22*('계산 과정'!$C$32-D22))+'계산 과정'!$D$48*(E22-'계산 과정'!$D$50+P22*('계산 과정'!$D$32-E22))+'계산 과정'!$E$48*(0-'계산 과정'!$E$50+P22*('계산 과정'!$E$32-0)),"")</x:f>
      </x:c>
      <x:c r="S22" s="17" t="n">
        <x:f>IF('계산 과정'!$C$78,IF(AND(ISNUMBER(Q22),ISNUMBER(R22),ABS(Q22-'계산 과정'!$C$88)&lt;='계산 과정'!$D$23/2,ABS(R22-'계산 과정'!$C$89)&lt;='계산 과정'!$D$24/2),1,0),"")</x:f>
        <x:v>0</x:v>
      </x:c>
      <x:c r="T22" s="4"/>
      <x:c r="U22" s="4"/>
      <x:c r="V22" s="4"/>
      <x:c r="W22" s="4" t="n">
        <x:f>IF('계산 과정'!$C$77,('계산 과정'!$D$56+'계산 과정'!$D$57*('계산 과정'!$L$11*COS(16*2*PI()/240))+'계산 과정'!$D$58*('계산 과정'!$L$11*SIN(16*2*PI()/240)))/('계산 과정'!$D$59+'계산 과정'!$D$60*('계산 과정'!$L$11*COS(16*2*PI()/240))+'계산 과정'!$D$61*('계산 과정'!$L$11*SIN(16*2*PI()/240))),"")</x:f>
        <x:v>183.94543918637115</x:v>
      </x:c>
      <x:c r="X22" s="4" t="n">
        <x:f>IF('계산 과정'!$C$77,('계산 과정'!$E$56+'계산 과정'!$E$57*('계산 과정'!$L$11*COS(16*2*PI()/240))+'계산 과정'!$E$58*('계산 과정'!$L$11*SIN(16*2*PI()/240)))/('계산 과정'!$E$59+'계산 과정'!$E$60*('계산 과정'!$L$11*COS(16*2*PI()/240))+'계산 과정'!$E$61*('계산 과정'!$L$11*SIN(16*2*PI()/240))),"")</x:f>
        <x:v>115.82095977077503</x:v>
      </x:c>
      <x:c r="Y22" s="4" t="str">
        <x:f>""</x:f>
      </x:c>
      <x:c r="Z22" s="4" t="str">
        <x:f>""</x:f>
      </x:c>
    </x:row>
    <x:row r="23" ht="23" customHeight="1">
      <x:c r="A23" s="17" t="n">
        <x:f>ROW()-6</x:f>
        <x:v>17</x:v>
      </x:c>
      <x:c r="B23" s="4" t="n">
        <x:f>IF('계산 과정'!$L$5,'계산 과정'!$L$11*SQRT((A23+0.5)/'계산 과정'!$L$30),"")</x:f>
        <x:v>13.865811991639726</x:v>
      </x:c>
      <x:c r="C23" s="4" t="n">
        <x:f>A23*PI()*(3-SQRT(5))</x:f>
        <x:v>40.799374905387104</x:v>
      </x:c>
      <x:c r="D23" s="4" t="n">
        <x:f>IF('계산 과정'!$L$5,B23*COS(C23),"")</x:f>
        <x:v>-13.853971337053691</x:v>
      </x:c>
      <x:c r="E23" s="4" t="n">
        <x:f>IF('계산 과정'!$L$5,B23*SIN(C23),"")</x:f>
        <x:v>0.5729052099560529</x:v>
      </x:c>
      <x:c r="F23" s="4" t="n">
        <x:f>IF('계산 과정'!$L$7,'계산 과정'!$L$22+'계산 과정'!$C$49*D23+'계산 과정'!$D$49*E23,"")</x:f>
        <x:v>659.7962370787948</x:v>
      </x:c>
      <x:c r="G23" s="4" t="n">
        <x:f>IF('계산 과정'!$L$7,IF(ABS(F23)&gt;=1E-12*MAX(1,SQRT((D23-'계산 과정'!$C$33)^2+(E23-'계산 과정'!$D$33)^2+'계산 과정'!$E$33^2)),('계산 과정'!$L$23-'계산 과정'!$C$49*D23-'계산 과정'!$D$49*E23)/F23,""),"")</x:f>
        <x:v>0.5914004066601035</x:v>
      </x:c>
      <x:c r="H23" s="4" t="n">
        <x:f>IF(AND(ISNUMBER(G23),G23&gt;0),('계산 과정'!$D$56+'계산 과정'!$D$57*D23+'계산 과정'!$D$58*E23)/F23,"")</x:f>
        <x:v>-15.589735670932827</x:v>
      </x:c>
      <x:c r="I23" s="4" t="n">
        <x:f>IF(AND(ISNUMBER(G23),G23&gt;0),('계산 과정'!$E$56+'계산 과정'!$E$57*D23+'계산 과정'!$E$58*E23)/F23,"")</x:f>
        <x:v>0.9117215841017544</x:v>
      </x:c>
      <x:c r="J23" s="4" t="n">
        <x:f>IF('계산 과정'!$L$5,'계산 과정'!$D$6+'계산 과정'!$C$35*D23+'계산 과정'!$D$35*E23,"")</x:f>
        <x:v>659.7962370787948</x:v>
      </x:c>
      <x:c r="K23" s="4" t="n">
        <x:f>IF(AND('계산 과정'!$L$6,J23&gt;0),'계산 과정'!$D$10*('계산 과정'!$C$38*(D23-'계산 과정'!$C$32)+'계산 과정'!$D$38*(E23-'계산 과정'!$D$32)-'계산 과정'!$E$38*'계산 과정'!$E$32)/J23,"")</x:f>
        <x:v>-0.1187789384452015</x:v>
      </x:c>
      <x:c r="L23" s="4" t="n">
        <x:f>IF(AND('계산 과정'!$L$6,J23&gt;0),'계산 과정'!$D$10*('계산 과정'!$C$39*(D23-'계산 과정'!$C$32)+'계산 과정'!$D$39*(E23-'계산 과정'!$D$32)-'계산 과정'!$E$39*'계산 과정'!$E$32)/J23,"")</x:f>
        <x:v>0.006946450164584796</x:v>
      </x:c>
      <x:c r="M23" s="17" t="n">
        <x:f>IF('계산 과정'!$L$6,IF(J23&lt;=0,0,IF(AND(ABS(K23)&lt;='계산 과정'!$D$11/2,ABS(L23)&lt;='계산 과정'!$D$12/2),1,0)),"")</x:f>
        <x:v>1</x:v>
      </x:c>
      <x:c r="N23" s="17" t="n">
        <x:f>IF('계산 과정'!$C$78,IF(AND(ISNUMBER(H23),ISNUMBER(I23),ABS(H23-'계산 과정'!$C$88)&lt;='계산 과정'!$D$23/2,ABS(I23-'계산 과정'!$C$89)&lt;='계산 과정'!$D$24/2),1,0),"")</x:f>
        <x:v>1</x:v>
      </x:c>
      <x:c r="O23" s="4" t="n">
        <x:f>IF('계산 과정'!$L$7,'계산 과정'!$C$49*('계산 과정'!$C$32-D23)+'계산 과정'!$D$49*('계산 과정'!$D$32-E23)+'계산 과정'!$E$49*'계산 과정'!$E$32,"")</x:f>
        <x:v>-9.796237078794604</x:v>
      </x:c>
      <x:c r="P23" s="4" t="n">
        <x:f>IF(AND('계산 과정'!$L$7,O23&lt;&gt;0),('계산 과정'!$L$23-'계산 과정'!$C$49*D23-'계산 과정'!$D$49*E23)/O23,"")</x:f>
        <x:v>-39.83200485887165</x:v>
      </x:c>
      <x:c r="Q23" s="4" t="str">
        <x:f>IF(AND(ISNUMBER(P23),P23&gt;1E-9,P23&lt;1-1E-9),'계산 과정'!$C$47*(D23-'계산 과정'!$C$50+P23*('계산 과정'!$C$32-D23))+'계산 과정'!$D$47*(E23-'계산 과정'!$D$50+P23*('계산 과정'!$D$32-E23))+'계산 과정'!$E$47*(0-'계산 과정'!$E$50+P23*('계산 과정'!$E$32-0)),"")</x:f>
      </x:c>
      <x:c r="R23" s="4" t="str">
        <x:f>IF(AND(ISNUMBER(P23),P23&gt;1E-9,P23&lt;1-1E-9),'계산 과정'!$C$48*(D23-'계산 과정'!$C$50+P23*('계산 과정'!$C$32-D23))+'계산 과정'!$D$48*(E23-'계산 과정'!$D$50+P23*('계산 과정'!$D$32-E23))+'계산 과정'!$E$48*(0-'계산 과정'!$E$50+P23*('계산 과정'!$E$32-0)),"")</x:f>
      </x:c>
      <x:c r="S23" s="17" t="n">
        <x:f>IF('계산 과정'!$C$78,IF(AND(ISNUMBER(Q23),ISNUMBER(R23),ABS(Q23-'계산 과정'!$C$88)&lt;='계산 과정'!$D$23/2,ABS(R23-'계산 과정'!$C$89)&lt;='계산 과정'!$D$24/2),1,0),"")</x:f>
        <x:v>0</x:v>
      </x:c>
      <x:c r="T23" s="4"/>
      <x:c r="U23" s="4"/>
      <x:c r="V23" s="4"/>
      <x:c r="W23" s="4" t="n">
        <x:f>IF('계산 과정'!$C$77,('계산 과정'!$D$56+'계산 과정'!$D$57*('계산 과정'!$L$11*COS(17*2*PI()/240))+'계산 과정'!$D$58*('계산 과정'!$L$11*SIN(17*2*PI()/240)))/('계산 과정'!$D$59+'계산 과정'!$D$60*('계산 과정'!$L$11*COS(17*2*PI()/240))+'계산 과정'!$D$61*('계산 과정'!$L$11*SIN(17*2*PI()/240))),"")</x:f>
        <x:v>181.35739845178003</x:v>
      </x:c>
      <x:c r="X23" s="4" t="n">
        <x:f>IF('계산 과정'!$C$77,('계산 과정'!$E$56+'계산 과정'!$E$57*('계산 과정'!$L$11*COS(17*2*PI()/240))+'계산 과정'!$E$58*('계산 과정'!$L$11*SIN(17*2*PI()/240)))/('계산 과정'!$E$59+'계산 과정'!$E$60*('계산 과정'!$L$11*COS(17*2*PI()/240))+'계산 과정'!$E$61*('계산 과정'!$L$11*SIN(17*2*PI()/240))),"")</x:f>
        <x:v>122.3337748085734</x:v>
      </x:c>
      <x:c r="Y23" s="4" t="str">
        <x:f>""</x:f>
      </x:c>
      <x:c r="Z23" s="4" t="str">
        <x:f>""</x:f>
      </x:c>
    </x:row>
    <x:row r="24" ht="23" customHeight="1">
      <x:c r="A24" s="17" t="n">
        <x:f>ROW()-6</x:f>
        <x:v>18</x:v>
      </x:c>
      <x:c r="B24" s="4" t="n">
        <x:f>IF('계산 과정'!$L$5,'계산 과정'!$L$11*SQRT((A24+0.5)/'계산 과정'!$L$30),"")</x:f>
        <x:v>14.256474680386452</x:v>
      </x:c>
      <x:c r="C24" s="4" t="n">
        <x:f>A24*PI()*(3-SQRT(5))</x:f>
        <x:v>43.19933813511575</x:v>
      </x:c>
      <x:c r="D24" s="4" t="n">
        <x:f>IF('계산 과정'!$L$5,B24*COS(C24),"")</x:f>
        <x:v>10.105408597729797</x:v>
      </x:c>
      <x:c r="E24" s="4" t="n">
        <x:f>IF('계산 과정'!$L$5,B24*SIN(C24),"")</x:f>
        <x:v>-10.05623127147684</x:v>
      </x:c>
      <x:c r="F24" s="4" t="n">
        <x:f>IF('계산 과정'!$L$7,'계산 과정'!$L$22+'계산 과정'!$C$49*D24+'계산 과정'!$D$49*E24,"")</x:f>
        <x:v>642.8543970538844</x:v>
      </x:c>
      <x:c r="G24" s="4" t="n">
        <x:f>IF('계산 과정'!$L$7,IF(ABS(F24)&gt;=1E-12*MAX(1,SQRT((D24-'계산 과정'!$C$33)^2+(E24-'계산 과정'!$D$33)^2+'계산 과정'!$E$33^2)),('계산 과정'!$L$23-'계산 과정'!$C$49*D24-'계산 과정'!$D$49*E24)/F24,""),"")</x:f>
        <x:v>0.633340309737336</x:v>
      </x:c>
      <x:c r="H24" s="4" t="n">
        <x:f>IF(AND(ISNUMBER(G24),G24&gt;0),('계산 과정'!$D$56+'계산 과정'!$D$57*D24+'계산 과정'!$D$58*E24)/F24,"")</x:f>
        <x:v>11.67120132926833</x:v>
      </x:c>
      <x:c r="I24" s="4" t="n">
        <x:f>IF(AND(ISNUMBER(G24),G24&gt;0),('계산 과정'!$E$56+'계산 과정'!$E$57*D24+'계산 과정'!$E$58*E24)/F24,"")</x:f>
        <x:v>-16.425247899744264</x:v>
      </x:c>
      <x:c r="J24" s="4" t="n">
        <x:f>IF('계산 과정'!$L$5,'계산 과정'!$D$6+'계산 과정'!$C$35*D24+'계산 과정'!$D$35*E24,"")</x:f>
        <x:v>642.8543970538844</x:v>
      </x:c>
      <x:c r="K24" s="4" t="n">
        <x:f>IF(AND('계산 과정'!$L$6,J24&gt;0),'계산 과정'!$D$10*('계산 과정'!$C$38*(D24-'계산 과정'!$C$32)+'계산 과정'!$D$38*(E24-'계산 과정'!$D$32)-'계산 과정'!$E$38*'계산 과정'!$E$32)/J24,"")</x:f>
        <x:v>0.08892343869918859</x:v>
      </x:c>
      <x:c r="L24" s="4" t="n">
        <x:f>IF(AND('계산 과정'!$L$6,J24&gt;0),'계산 과정'!$D$10*('계산 과정'!$C$39*(D24-'계산 과정'!$C$32)+'계산 과정'!$D$39*(E24-'계산 과정'!$D$32)-'계산 과정'!$E$39*'계산 과정'!$E$32)/J24,"")</x:f>
        <x:v>-0.12514474590281346</x:v>
      </x:c>
      <x:c r="M24" s="17" t="n">
        <x:f>IF('계산 과정'!$L$6,IF(J24&lt;=0,0,IF(AND(ABS(K24)&lt;='계산 과정'!$D$11/2,ABS(L24)&lt;='계산 과정'!$D$12/2),1,0)),"")</x:f>
        <x:v>1</x:v>
      </x:c>
      <x:c r="N24" s="17" t="n">
        <x:f>IF('계산 과정'!$C$78,IF(AND(ISNUMBER(H24),ISNUMBER(I24),ABS(H24-'계산 과정'!$C$88)&lt;='계산 과정'!$D$23/2,ABS(I24-'계산 과정'!$C$89)&lt;='계산 과정'!$D$24/2),1,0),"")</x:f>
        <x:v>1</x:v>
      </x:c>
      <x:c r="O24" s="4" t="n">
        <x:f>IF('계산 과정'!$L$7,'계산 과정'!$C$49*('계산 과정'!$C$32-D24)+'계산 과정'!$D$49*('계산 과정'!$D$32-E24)+'계산 과정'!$E$49*'계산 과정'!$E$32,"")</x:f>
        <x:v>7.14560294611573</x:v>
      </x:c>
      <x:c r="P24" s="4" t="n">
        <x:f>IF(AND('계산 과정'!$L$7,O24&lt;&gt;0),('계산 과정'!$L$23-'계산 과정'!$C$49*D24-'계산 과정'!$D$49*E24)/O24,"")</x:f>
        <x:v>56.978481174557196</x:v>
      </x:c>
      <x:c r="Q24" s="4" t="str">
        <x:f>IF(AND(ISNUMBER(P24),P24&gt;1E-9,P24&lt;1-1E-9),'계산 과정'!$C$47*(D24-'계산 과정'!$C$50+P24*('계산 과정'!$C$32-D24))+'계산 과정'!$D$47*(E24-'계산 과정'!$D$50+P24*('계산 과정'!$D$32-E24))+'계산 과정'!$E$47*(0-'계산 과정'!$E$50+P24*('계산 과정'!$E$32-0)),"")</x:f>
      </x:c>
      <x:c r="R24" s="4" t="str">
        <x:f>IF(AND(ISNUMBER(P24),P24&gt;1E-9,P24&lt;1-1E-9),'계산 과정'!$C$48*(D24-'계산 과정'!$C$50+P24*('계산 과정'!$C$32-D24))+'계산 과정'!$D$48*(E24-'계산 과정'!$D$50+P24*('계산 과정'!$D$32-E24))+'계산 과정'!$E$48*(0-'계산 과정'!$E$50+P24*('계산 과정'!$E$32-0)),"")</x:f>
      </x:c>
      <x:c r="S24" s="17" t="n">
        <x:f>IF('계산 과정'!$C$78,IF(AND(ISNUMBER(Q24),ISNUMBER(R24),ABS(Q24-'계산 과정'!$C$88)&lt;='계산 과정'!$D$23/2,ABS(R24-'계산 과정'!$C$89)&lt;='계산 과정'!$D$24/2),1,0),"")</x:f>
        <x:v>0</x:v>
      </x:c>
      <x:c r="T24" s="4"/>
      <x:c r="U24" s="4"/>
      <x:c r="V24" s="4"/>
      <x:c r="W24" s="4" t="n">
        <x:f>IF('계산 과정'!$C$77,('계산 과정'!$D$56+'계산 과정'!$D$57*('계산 과정'!$L$11*COS(18*2*PI()/240))+'계산 과정'!$D$58*('계산 과정'!$L$11*SIN(18*2*PI()/240)))/('계산 과정'!$D$59+'계산 과정'!$D$60*('계산 과정'!$L$11*COS(18*2*PI()/240))+'계산 과정'!$D$61*('계산 과정'!$L$11*SIN(18*2*PI()/240))),"")</x:f>
        <x:v>178.63505640679193</x:v>
      </x:c>
      <x:c r="X24" s="4" t="n">
        <x:f>IF('계산 과정'!$C$77,('계산 과정'!$E$56+'계산 과정'!$E$57*('계산 과정'!$L$11*COS(18*2*PI()/240))+'계산 과정'!$E$58*('계산 과정'!$L$11*SIN(18*2*PI()/240)))/('계산 과정'!$E$59+'계산 과정'!$E$60*('계산 과정'!$L$11*COS(18*2*PI()/240))+'계산 과정'!$E$61*('계산 과정'!$L$11*SIN(18*2*PI()/240))),"")</x:f>
        <x:v>128.72045613591825</x:v>
      </x:c>
      <x:c r="Y24" s="4" t="str">
        <x:f>""</x:f>
      </x:c>
      <x:c r="Z24" s="4" t="str">
        <x:f>""</x:f>
      </x:c>
    </x:row>
    <x:row r="25" ht="23" customHeight="1">
      <x:c r="A25" s="17" t="n">
        <x:f>ROW()-6</x:f>
        <x:v>19</x:v>
      </x:c>
      <x:c r="B25" s="4" t="n">
        <x:f>IF('계산 과정'!$L$5,'계산 과정'!$L$11*SQRT((A25+0.5)/'계산 과정'!$L$30),"")</x:f>
        <x:v>14.636714058746247</x:v>
      </x:c>
      <x:c r="C25" s="4" t="n">
        <x:f>A25*PI()*(3-SQRT(5))</x:f>
        <x:v>45.5993013648444</x:v>
      </x:c>
      <x:c r="D25" s="4" t="n">
        <x:f>IF('계산 과정'!$L$5,B25*COS(C25),"")</x:f>
        <x:v>-0.676090986189029</x:v>
      </x:c>
      <x:c r="E25" s="4" t="n">
        <x:f>IF('계산 과정'!$L$5,B25*SIN(C25),"")</x:f>
        <x:v>14.621090910595349</x:v>
      </x:c>
      <x:c r="F25" s="4" t="n">
        <x:f>IF('계산 과정'!$L$7,'계산 과정'!$L$22+'계산 과정'!$C$49*D25+'계산 과정'!$D$49*E25,"")</x:f>
        <x:v>650.4780685210334</x:v>
      </x:c>
      <x:c r="G25" s="4" t="n">
        <x:f>IF('계산 과정'!$L$7,IF(ABS(F25)&gt;=1E-12*MAX(1,SQRT((D25-'계산 과정'!$C$33)^2+(E25-'계산 과정'!$D$33)^2+'계산 과정'!$E$33^2)),('계산 과정'!$L$23-'계산 과정'!$C$49*D25-'계산 과정'!$D$49*E25)/F25,""),"")</x:f>
        <x:v>0.6141973892945293</x:v>
      </x:c>
      <x:c r="H25" s="4" t="n">
        <x:f>IF(AND(ISNUMBER(G25),G25&gt;0),('계산 과정'!$D$56+'계산 과정'!$D$57*D25+'계산 과정'!$D$58*E25)/F25,"")</x:f>
        <x:v>-0.7716969585560648</x:v>
      </x:c>
      <x:c r="I25" s="4" t="n">
        <x:f>IF(AND(ISNUMBER(G25),G25&gt;0),('계산 과정'!$E$56+'계산 과정'!$E$57*D25+'계산 과정'!$E$58*E25)/F25,"")</x:f>
        <x:v>23.601326776520985</x:v>
      </x:c>
      <x:c r="J25" s="4" t="n">
        <x:f>IF('계산 과정'!$L$5,'계산 과정'!$D$6+'계산 과정'!$C$35*D25+'계산 과정'!$D$35*E25,"")</x:f>
        <x:v>650.4780685210334</x:v>
      </x:c>
      <x:c r="K25" s="4" t="n">
        <x:f>IF(AND('계산 과정'!$L$6,J25&gt;0),'계산 과정'!$D$10*('계산 과정'!$C$38*(D25-'계산 과정'!$C$32)+'계산 과정'!$D$38*(E25-'계산 과정'!$D$32)-'계산 과정'!$E$38*'계산 과정'!$E$32)/J25,"")</x:f>
        <x:v>-0.005879595874712202</x:v>
      </x:c>
      <x:c r="L25" s="4" t="n">
        <x:f>IF(AND('계산 과정'!$L$6,J25&gt;0),'계산 과정'!$D$10*('계산 과정'!$C$39*(D25-'계산 과정'!$C$32)+'계산 과정'!$D$39*(E25-'계산 과정'!$D$32)-'계산 과정'!$E$39*'계산 과정'!$E$32)/J25,"")</x:f>
        <x:v>0.17981963258301703</x:v>
      </x:c>
      <x:c r="M25" s="17" t="n">
        <x:f>IF('계산 과정'!$L$6,IF(J25&lt;=0,0,IF(AND(ABS(K25)&lt;='계산 과정'!$D$11/2,ABS(L25)&lt;='계산 과정'!$D$12/2),1,0)),"")</x:f>
        <x:v>1</x:v>
      </x:c>
      <x:c r="N25" s="17" t="n">
        <x:f>IF('계산 과정'!$C$78,IF(AND(ISNUMBER(H25),ISNUMBER(I25),ABS(H25-'계산 과정'!$C$88)&lt;='계산 과정'!$D$23/2,ABS(I25-'계산 과정'!$C$89)&lt;='계산 과정'!$D$24/2),1,0),"")</x:f>
        <x:v>1</x:v>
      </x:c>
      <x:c r="O25" s="4" t="n">
        <x:f>IF('계산 과정'!$L$7,'계산 과정'!$C$49*('계산 과정'!$C$32-D25)+'계산 과정'!$D$49*('계산 과정'!$D$32-E25)+'계산 과정'!$E$49*'계산 과정'!$E$32,"")</x:f>
        <x:v>-0.4780685210332649</x:v>
      </x:c>
      <x:c r="P25" s="4" t="n">
        <x:f>IF(AND('계산 과정'!$L$7,O25&lt;&gt;0),('계산 과정'!$L$23-'계산 과정'!$C$49*D25-'계산 과정'!$D$49*E25)/O25,"")</x:f>
        <x:v>-835.7001431833809</x:v>
      </x:c>
      <x:c r="Q25" s="4" t="str">
        <x:f>IF(AND(ISNUMBER(P25),P25&gt;1E-9,P25&lt;1-1E-9),'계산 과정'!$C$47*(D25-'계산 과정'!$C$50+P25*('계산 과정'!$C$32-D25))+'계산 과정'!$D$47*(E25-'계산 과정'!$D$50+P25*('계산 과정'!$D$32-E25))+'계산 과정'!$E$47*(0-'계산 과정'!$E$50+P25*('계산 과정'!$E$32-0)),"")</x:f>
      </x:c>
      <x:c r="R25" s="4" t="str">
        <x:f>IF(AND(ISNUMBER(P25),P25&gt;1E-9,P25&lt;1-1E-9),'계산 과정'!$C$48*(D25-'계산 과정'!$C$50+P25*('계산 과정'!$C$32-D25))+'계산 과정'!$D$48*(E25-'계산 과정'!$D$50+P25*('계산 과정'!$D$32-E25))+'계산 과정'!$E$48*(0-'계산 과정'!$E$50+P25*('계산 과정'!$E$32-0)),"")</x:f>
      </x:c>
      <x:c r="S25" s="17" t="n">
        <x:f>IF('계산 과정'!$C$78,IF(AND(ISNUMBER(Q25),ISNUMBER(R25),ABS(Q25-'계산 과정'!$C$88)&lt;='계산 과정'!$D$23/2,ABS(R25-'계산 과정'!$C$89)&lt;='계산 과정'!$D$24/2),1,0),"")</x:f>
        <x:v>0</x:v>
      </x:c>
      <x:c r="T25" s="4"/>
      <x:c r="U25" s="4"/>
      <x:c r="V25" s="4"/>
      <x:c r="W25" s="4" t="n">
        <x:f>IF('계산 과정'!$C$77,('계산 과정'!$D$56+'계산 과정'!$D$57*('계산 과정'!$L$11*COS(19*2*PI()/240))+'계산 과정'!$D$58*('계산 과정'!$L$11*SIN(19*2*PI()/240)))/('계산 과정'!$D$59+'계산 과정'!$D$60*('계산 과정'!$L$11*COS(19*2*PI()/240))+'계산 과정'!$D$61*('계산 과정'!$L$11*SIN(19*2*PI()/240))),"")</x:f>
        <x:v>175.78211712389432</x:v>
      </x:c>
      <x:c r="X25" s="4" t="n">
        <x:f>IF('계산 과정'!$C$77,('계산 과정'!$E$56+'계산 과정'!$E$57*('계산 과정'!$L$11*COS(19*2*PI()/240))+'계산 과정'!$E$58*('계산 과정'!$L$11*SIN(19*2*PI()/240)))/('계산 과정'!$E$59+'계산 과정'!$E$60*('계산 과정'!$L$11*COS(19*2*PI()/240))+'계산 과정'!$E$61*('계산 과정'!$L$11*SIN(19*2*PI()/240))),"")</x:f>
        <x:v>134.97523277428513</x:v>
      </x:c>
      <x:c r="Y25" s="4" t="str">
        <x:f>""</x:f>
      </x:c>
      <x:c r="Z25" s="4" t="str">
        <x:f>""</x:f>
      </x:c>
    </x:row>
    <x:row r="26" ht="23" customHeight="1">
      <x:c r="A26" s="17" t="n">
        <x:f>ROW()-6</x:f>
        <x:v>20</x:v>
      </x:c>
      <x:c r="B26" s="4" t="n">
        <x:f>IF('계산 과정'!$L$5,'계산 과정'!$L$11*SQRT((A26+0.5)/'계산 과정'!$L$30),"")</x:f>
        <x:v>15.007322431483239</x:v>
      </x:c>
      <x:c r="C26" s="4" t="n">
        <x:f>A26*PI()*(3-SQRT(5))</x:f>
        <x:v>47.999264594573056</x:v>
      </x:c>
      <x:c r="D26" s="4" t="n">
        <x:f>IF('계산 과정'!$L$5,B26*COS(C26),"")</x:f>
        <x:v>-9.615328723270157</x:v>
      </x:c>
      <x:c r="E26" s="4" t="n">
        <x:f>IF('계산 과정'!$L$5,B26*SIN(C26),"")</x:f>
        <x:v>-11.522377363459153</x:v>
      </x:c>
      <x:c r="F26" s="4" t="n">
        <x:f>IF('계산 과정'!$L$7,'계산 과정'!$L$22+'계산 과정'!$C$49*D26+'계산 과정'!$D$49*E26,"")</x:f>
        <x:v>656.7990641435621</x:v>
      </x:c>
      <x:c r="G26" s="4" t="n">
        <x:f>IF('계산 과정'!$L$7,IF(ABS(F26)&gt;=1E-12*MAX(1,SQRT((D26-'계산 과정'!$C$33)^2+(E26-'계산 과정'!$D$33)^2+'계산 과정'!$E$33^2)),('계산 과정'!$L$23-'계산 과정'!$C$49*D26-'계산 과정'!$D$49*E26)/F26,""),"")</x:f>
        <x:v>0.5986624484143489</x:v>
      </x:c>
      <x:c r="H26" s="4" t="n">
        <x:f>IF(AND(ISNUMBER(G26),G26&gt;0),('계산 과정'!$D$56+'계산 과정'!$D$57*D26+'계산 과정'!$D$58*E26)/F26,"")</x:f>
        <x:v>-10.869408530673336</x:v>
      </x:c>
      <x:c r="I26" s="4" t="n">
        <x:f>IF(AND(ISNUMBER(G26),G26&gt;0),('계산 과정'!$E$56+'계산 과정'!$E$57*D26+'계산 과정'!$E$58*E26)/F26,"")</x:f>
        <x:v>-18.420392007421682</x:v>
      </x:c>
      <x:c r="J26" s="4" t="n">
        <x:f>IF('계산 과정'!$L$5,'계산 과정'!$D$6+'계산 과정'!$C$35*D26+'계산 과정'!$D$35*E26,"")</x:f>
        <x:v>656.7990641435621</x:v>
      </x:c>
      <x:c r="K26" s="4" t="n">
        <x:f>IF(AND('계산 과정'!$L$6,J26&gt;0),'계산 과정'!$D$10*('계산 과정'!$C$38*(D26-'계산 과정'!$C$32)+'계산 과정'!$D$38*(E26-'계산 과정'!$D$32)-'계산 과정'!$E$38*'계산 과정'!$E$32)/J26,"")</x:f>
        <x:v>-0.0828145411860819</x:v>
      </x:c>
      <x:c r="L26" s="4" t="n">
        <x:f>IF(AND('계산 과정'!$L$6,J26&gt;0),'계산 과정'!$D$10*('계산 과정'!$C$39*(D26-'계산 과정'!$C$32)+'계산 과정'!$D$39*(E26-'계산 과정'!$D$32)-'계산 과정'!$E$39*'계산 과정'!$E$32)/J26,"")</x:f>
        <x:v>-0.14034584386606994</x:v>
      </x:c>
      <x:c r="M26" s="17" t="n">
        <x:f>IF('계산 과정'!$L$6,IF(J26&lt;=0,0,IF(AND(ABS(K26)&lt;='계산 과정'!$D$11/2,ABS(L26)&lt;='계산 과정'!$D$12/2),1,0)),"")</x:f>
        <x:v>1</x:v>
      </x:c>
      <x:c r="N26" s="17" t="n">
        <x:f>IF('계산 과정'!$C$78,IF(AND(ISNUMBER(H26),ISNUMBER(I26),ABS(H26-'계산 과정'!$C$88)&lt;='계산 과정'!$D$23/2,ABS(I26-'계산 과정'!$C$89)&lt;='계산 과정'!$D$24/2),1,0),"")</x:f>
        <x:v>1</x:v>
      </x:c>
      <x:c r="O26" s="4" t="n">
        <x:f>IF('계산 과정'!$L$7,'계산 과정'!$C$49*('계산 과정'!$C$32-D26)+'계산 과정'!$D$49*('계산 과정'!$D$32-E26)+'계산 과정'!$E$49*'계산 과정'!$E$32,"")</x:f>
        <x:v>-6.7990641435620205</x:v>
      </x:c>
      <x:c r="P26" s="4" t="n">
        <x:f>IF(AND('계산 과정'!$L$7,O26&lt;&gt;0),('계산 과정'!$L$23-'계산 과정'!$C$49*D26-'계산 과정'!$D$49*E26)/O26,"")</x:f>
        <x:v>-57.831626170015866</x:v>
      </x:c>
      <x:c r="Q26" s="4" t="str">
        <x:f>IF(AND(ISNUMBER(P26),P26&gt;1E-9,P26&lt;1-1E-9),'계산 과정'!$C$47*(D26-'계산 과정'!$C$50+P26*('계산 과정'!$C$32-D26))+'계산 과정'!$D$47*(E26-'계산 과정'!$D$50+P26*('계산 과정'!$D$32-E26))+'계산 과정'!$E$47*(0-'계산 과정'!$E$50+P26*('계산 과정'!$E$32-0)),"")</x:f>
      </x:c>
      <x:c r="R26" s="4" t="str">
        <x:f>IF(AND(ISNUMBER(P26),P26&gt;1E-9,P26&lt;1-1E-9),'계산 과정'!$C$48*(D26-'계산 과정'!$C$50+P26*('계산 과정'!$C$32-D26))+'계산 과정'!$D$48*(E26-'계산 과정'!$D$50+P26*('계산 과정'!$D$32-E26))+'계산 과정'!$E$48*(0-'계산 과정'!$E$50+P26*('계산 과정'!$E$32-0)),"")</x:f>
      </x:c>
      <x:c r="S26" s="17" t="n">
        <x:f>IF('계산 과정'!$C$78,IF(AND(ISNUMBER(Q26),ISNUMBER(R26),ABS(Q26-'계산 과정'!$C$88)&lt;='계산 과정'!$D$23/2,ABS(R26-'계산 과정'!$C$89)&lt;='계산 과정'!$D$24/2),1,0),"")</x:f>
        <x:v>0</x:v>
      </x:c>
      <x:c r="T26" s="4"/>
      <x:c r="U26" s="4"/>
      <x:c r="V26" s="4"/>
      <x:c r="W26" s="4" t="n">
        <x:f>IF('계산 과정'!$C$77,('계산 과정'!$D$56+'계산 과정'!$D$57*('계산 과정'!$L$11*COS(20*2*PI()/240))+'계산 과정'!$D$58*('계산 과정'!$L$11*SIN(20*2*PI()/240)))/('계산 과정'!$D$59+'계산 과정'!$D$60*('계산 과정'!$L$11*COS(20*2*PI()/240))+'계산 과정'!$D$61*('계산 과정'!$L$11*SIN(20*2*PI()/240))),"")</x:f>
        <x:v>172.80242259165445</x:v>
      </x:c>
      <x:c r="X26" s="4" t="n">
        <x:f>IF('계산 과정'!$C$77,('계산 과정'!$E$56+'계산 과정'!$E$57*('계산 과정'!$L$11*COS(20*2*PI()/240))+'계산 과정'!$E$58*('계산 과정'!$L$11*SIN(20*2*PI()/240)))/('계산 과정'!$E$59+'계산 과정'!$E$60*('계산 과정'!$L$11*COS(20*2*PI()/240))+'계산 과정'!$E$61*('계산 과정'!$L$11*SIN(20*2*PI()/240))),"")</x:f>
        <x:v>141.09258722211396</x:v>
      </x:c>
      <x:c r="Y26" s="4" t="str">
        <x:f>""</x:f>
      </x:c>
      <x:c r="Z26" s="4" t="str">
        <x:f>""</x:f>
      </x:c>
    </x:row>
    <x:row r="27" ht="23" customHeight="1">
      <x:c r="A27" s="17" t="n">
        <x:f>ROW()-6</x:f>
        <x:v>21</x:v>
      </x:c>
      <x:c r="B27" s="4" t="n">
        <x:f>IF('계산 과정'!$L$5,'계산 과정'!$L$11*SQRT((A27+0.5)/'계산 과정'!$L$30),"")</x:f>
        <x:v>15.368996541332812</x:v>
      </x:c>
      <x:c r="C27" s="4" t="n">
        <x:f>A27*PI()*(3-SQRT(5))</x:f>
        <x:v>50.39922782430171</x:v>
      </x:c>
      <x:c r="D27" s="4" t="n">
        <x:f>IF('계산 과정'!$L$5,B27*COS(C27),"")</x:f>
        <x:v>15.231742376516703</x:v>
      </x:c>
      <x:c r="E27" s="4" t="n">
        <x:f>IF('계산 과정'!$L$5,B27*SIN(C27),"")</x:f>
        <x:v>2.0494093936852247</x:v>
      </x:c>
      <x:c r="F27" s="4" t="n">
        <x:f>IF('계산 과정'!$L$7,'계산 과정'!$L$22+'계산 과정'!$C$49*D27+'계산 과정'!$D$49*E27,"")</x:f>
        <x:v>639.2295316762785</x:v>
      </x:c>
      <x:c r="G27" s="4" t="n">
        <x:f>IF('계산 과정'!$L$7,IF(ABS(F27)&gt;=1E-12*MAX(1,SQRT((D27-'계산 과정'!$C$33)^2+(E27-'계산 과정'!$D$33)^2+'계산 과정'!$E$33^2)),('계산 과정'!$L$23-'계산 과정'!$C$49*D27-'계산 과정'!$D$49*E27)/F27,""),"")</x:f>
        <x:v>0.642602458066261</x:v>
      </x:c>
      <x:c r="H27" s="4" t="n">
        <x:f>IF(AND(ISNUMBER(G27),G27&gt;0),('계산 과정'!$D$56+'계산 과정'!$D$57*D27+'계산 과정'!$D$58*E27)/F27,"")</x:f>
        <x:v>17.69159774306956</x:v>
      </x:c>
      <x:c r="I27" s="4" t="n">
        <x:f>IF(AND(ISNUMBER(G27),G27&gt;0),('계산 과정'!$E$56+'계산 과정'!$E$57*D27+'계산 과정'!$E$58*E27)/F27,"")</x:f>
        <x:v>3.366364907651436</x:v>
      </x:c>
      <x:c r="J27" s="4" t="n">
        <x:f>IF('계산 과정'!$L$5,'계산 과정'!$D$6+'계산 과정'!$C$35*D27+'계산 과정'!$D$35*E27,"")</x:f>
        <x:v>639.2295316762785</x:v>
      </x:c>
      <x:c r="K27" s="4" t="n">
        <x:f>IF(AND('계산 과정'!$L$6,J27&gt;0),'계산 과정'!$D$10*('계산 과정'!$C$38*(D27-'계산 과정'!$C$32)+'계산 과정'!$D$38*(E27-'계산 과정'!$D$32)-'계산 과정'!$E$38*'계산 과정'!$E$32)/J27,"")</x:f>
        <x:v>0.13479312566148305</x:v>
      </x:c>
      <x:c r="L27" s="4" t="n">
        <x:f>IF(AND('계산 과정'!$L$6,J27&gt;0),'계산 과정'!$D$10*('계산 과정'!$C$39*(D27-'계산 과정'!$C$32)+'계산 과정'!$D$39*(E27-'계산 과정'!$D$32)-'계산 과정'!$E$39*'계산 과정'!$E$32)/J27,"")</x:f>
        <x:v>0.025648494534487132</x:v>
      </x:c>
      <x:c r="M27" s="17" t="n">
        <x:f>IF('계산 과정'!$L$6,IF(J27&lt;=0,0,IF(AND(ABS(K27)&lt;='계산 과정'!$D$11/2,ABS(L27)&lt;='계산 과정'!$D$12/2),1,0)),"")</x:f>
        <x:v>1</x:v>
      </x:c>
      <x:c r="N27" s="17" t="n">
        <x:f>IF('계산 과정'!$C$78,IF(AND(ISNUMBER(H27),ISNUMBER(I27),ABS(H27-'계산 과정'!$C$88)&lt;='계산 과정'!$D$23/2,ABS(I27-'계산 과정'!$C$89)&lt;='계산 과정'!$D$24/2),1,0),"")</x:f>
        <x:v>1</x:v>
      </x:c>
      <x:c r="O27" s="4" t="n">
        <x:f>IF('계산 과정'!$L$7,'계산 과정'!$C$49*('계산 과정'!$C$32-D27)+'계산 과정'!$D$49*('계산 과정'!$D$32-E27)+'계산 과정'!$E$49*'계산 과정'!$E$32,"")</x:f>
        <x:v>10.770468323721559</x:v>
      </x:c>
      <x:c r="P27" s="4" t="n">
        <x:f>IF(AND('계산 과정'!$L$7,O27&lt;&gt;0),('계산 과정'!$L$23-'계산 과정'!$C$49*D27-'계산 과정'!$D$49*E27)/O27,"")</x:f>
        <x:v>38.13858933311327</x:v>
      </x:c>
      <x:c r="Q27" s="4" t="str">
        <x:f>IF(AND(ISNUMBER(P27),P27&gt;1E-9,P27&lt;1-1E-9),'계산 과정'!$C$47*(D27-'계산 과정'!$C$50+P27*('계산 과정'!$C$32-D27))+'계산 과정'!$D$47*(E27-'계산 과정'!$D$50+P27*('계산 과정'!$D$32-E27))+'계산 과정'!$E$47*(0-'계산 과정'!$E$50+P27*('계산 과정'!$E$32-0)),"")</x:f>
      </x:c>
      <x:c r="R27" s="4" t="str">
        <x:f>IF(AND(ISNUMBER(P27),P27&gt;1E-9,P27&lt;1-1E-9),'계산 과정'!$C$48*(D27-'계산 과정'!$C$50+P27*('계산 과정'!$C$32-D27))+'계산 과정'!$D$48*(E27-'계산 과정'!$D$50+P27*('계산 과정'!$D$32-E27))+'계산 과정'!$E$48*(0-'계산 과정'!$E$50+P27*('계산 과정'!$E$32-0)),"")</x:f>
      </x:c>
      <x:c r="S27" s="17" t="n">
        <x:f>IF('계산 과정'!$C$78,IF(AND(ISNUMBER(Q27),ISNUMBER(R27),ABS(Q27-'계산 과정'!$C$88)&lt;='계산 과정'!$D$23/2,ABS(R27-'계산 과정'!$C$89)&lt;='계산 과정'!$D$24/2),1,0),"")</x:f>
        <x:v>0</x:v>
      </x:c>
      <x:c r="T27" s="4"/>
      <x:c r="U27" s="4"/>
      <x:c r="V27" s="4"/>
      <x:c r="W27" s="4" t="n">
        <x:f>IF('계산 과정'!$C$77,('계산 과정'!$D$56+'계산 과정'!$D$57*('계산 과정'!$L$11*COS(21*2*PI()/240))+'계산 과정'!$D$58*('계산 과정'!$L$11*SIN(21*2*PI()/240)))/('계산 과정'!$D$59+'계산 과정'!$D$60*('계산 과정'!$L$11*COS(21*2*PI()/240))+'계산 과정'!$D$61*('계산 과정'!$L$11*SIN(21*2*PI()/240))),"")</x:f>
        <x:v>169.69994221447155</x:v>
      </x:c>
      <x:c r="X27" s="4" t="n">
        <x:f>IF('계산 과정'!$C$77,('계산 과정'!$E$56+'계산 과정'!$E$57*('계산 과정'!$L$11*COS(21*2*PI()/240))+'계산 과정'!$E$58*('계산 과정'!$L$11*SIN(21*2*PI()/240)))/('계산 과정'!$E$59+'계산 과정'!$E$60*('계산 과정'!$L$11*COS(21*2*PI()/240))+'계산 과정'!$E$61*('계산 과정'!$L$11*SIN(21*2*PI()/240))),"")</x:f>
        <x:v>147.0672621210432</x:v>
      </x:c>
      <x:c r="Y27" s="4" t="str">
        <x:f>""</x:f>
      </x:c>
      <x:c r="Z27" s="4" t="str">
        <x:f>""</x:f>
      </x:c>
    </x:row>
    <x:row r="28" ht="23" customHeight="1">
      <x:c r="A28" s="17" t="n">
        <x:f>ROW()-6</x:f>
        <x:v>22</x:v>
      </x:c>
      <x:c r="B28" s="4" t="n">
        <x:f>IF('계산 과정'!$L$5,'계산 과정'!$L$11*SQRT((A28+0.5)/'계산 과정'!$L$30),"")</x:f>
        <x:v>15.722352966795397</x:v>
      </x:c>
      <x:c r="C28" s="4" t="n">
        <x:f>A28*PI()*(3-SQRT(5))</x:f>
        <x:v>52.79919105403036</x:v>
      </x:c>
      <x:c r="D28" s="4" t="n">
        <x:f>IF('계산 과정'!$L$5,B28*COS(C28),"")</x:f>
        <x:v>-12.905824509514268</x:v>
      </x:c>
      <x:c r="E28" s="4" t="n">
        <x:f>IF('계산 과정'!$L$5,B28*SIN(C28),"")</x:f>
        <x:v>8.97953654383793</x:v>
      </x:c>
      <x:c r="F28" s="4" t="n">
        <x:f>IF('계산 과정'!$L$7,'계산 과정'!$L$22+'계산 과정'!$C$49*D28+'계산 과정'!$D$49*E28,"")</x:f>
        <x:v>659.1257960274811</x:v>
      </x:c>
      <x:c r="G28" s="4" t="n">
        <x:f>IF('계산 과정'!$L$7,IF(ABS(F28)&gt;=1E-12*MAX(1,SQRT((D28-'계산 과정'!$C$33)^2+(E28-'계산 과정'!$D$33)^2+'계산 과정'!$E$33^2)),('계산 과정'!$L$23-'계산 과정'!$C$49*D28-'계산 과정'!$D$49*E28)/F28,""),"")</x:f>
        <x:v>0.5930191267407505</x:v>
      </x:c>
      <x:c r="H28" s="4" t="n">
        <x:f>IF(AND(ISNUMBER(G28),G28&gt;0),('계산 과정'!$D$56+'계산 과정'!$D$57*D28+'계산 과정'!$D$58*E28)/F28,"")</x:f>
        <x:v>-14.537567618512249</x:v>
      </x:c>
      <x:c r="I28" s="4" t="n">
        <x:f>IF(AND(ISNUMBER(G28),G28&gt;0),('계산 과정'!$E$56+'계산 과정'!$E$57*D28+'계산 과정'!$E$58*E28)/F28,"")</x:f>
        <x:v>14.304573463601358</x:v>
      </x:c>
      <x:c r="J28" s="4" t="n">
        <x:f>IF('계산 과정'!$L$5,'계산 과정'!$D$6+'계산 과정'!$C$35*D28+'계산 과정'!$D$35*E28,"")</x:f>
        <x:v>659.1257960274811</x:v>
      </x:c>
      <x:c r="K28" s="4" t="n">
        <x:f>IF(AND('계산 과정'!$L$6,J28&gt;0),'계산 과정'!$D$10*('계산 과정'!$C$38*(D28-'계산 과정'!$C$32)+'계산 과정'!$D$38*(E28-'계산 과정'!$D$32)-'계산 과정'!$E$38*'계산 과정'!$E$32)/J28,"")</x:f>
        <x:v>-0.11076241995056879</x:v>
      </x:c>
      <x:c r="L28" s="4" t="n">
        <x:f>IF(AND('계산 과정'!$L$6,J28&gt;0),'계산 과정'!$D$10*('계산 과정'!$C$39*(D28-'계산 과정'!$C$32)+'계산 과정'!$D$39*(E28-'계산 과정'!$D$32)-'계산 과정'!$E$39*'계산 과정'!$E$32)/J28,"")</x:f>
        <x:v>0.10898722638934367</x:v>
      </x:c>
      <x:c r="M28" s="17" t="n">
        <x:f>IF('계산 과정'!$L$6,IF(J28&lt;=0,0,IF(AND(ABS(K28)&lt;='계산 과정'!$D$11/2,ABS(L28)&lt;='계산 과정'!$D$12/2),1,0)),"")</x:f>
        <x:v>1</x:v>
      </x:c>
      <x:c r="N28" s="17" t="n">
        <x:f>IF('계산 과정'!$C$78,IF(AND(ISNUMBER(H28),ISNUMBER(I28),ABS(H28-'계산 과정'!$C$88)&lt;='계산 과정'!$D$23/2,ABS(I28-'계산 과정'!$C$89)&lt;='계산 과정'!$D$24/2),1,0),"")</x:f>
        <x:v>1</x:v>
      </x:c>
      <x:c r="O28" s="4" t="n">
        <x:f>IF('계산 과정'!$L$7,'계산 과정'!$C$49*('계산 과정'!$C$32-D28)+'계산 과정'!$D$49*('계산 과정'!$D$32-E28)+'계산 과정'!$E$49*'계산 과정'!$E$32,"")</x:f>
        <x:v>-9.125796027480988</x:v>
      </x:c>
      <x:c r="P28" s="4" t="n">
        <x:f>IF(AND('계산 과정'!$L$7,O28&lt;&gt;0),('계산 과정'!$L$23-'계산 과정'!$C$49*D28-'계산 과정'!$D$49*E28)/O28,"")</x:f>
        <x:v>-42.831792732980105</x:v>
      </x:c>
      <x:c r="Q28" s="4" t="str">
        <x:f>IF(AND(ISNUMBER(P28),P28&gt;1E-9,P28&lt;1-1E-9),'계산 과정'!$C$47*(D28-'계산 과정'!$C$50+P28*('계산 과정'!$C$32-D28))+'계산 과정'!$D$47*(E28-'계산 과정'!$D$50+P28*('계산 과정'!$D$32-E28))+'계산 과정'!$E$47*(0-'계산 과정'!$E$50+P28*('계산 과정'!$E$32-0)),"")</x:f>
      </x:c>
      <x:c r="R28" s="4" t="str">
        <x:f>IF(AND(ISNUMBER(P28),P28&gt;1E-9,P28&lt;1-1E-9),'계산 과정'!$C$48*(D28-'계산 과정'!$C$50+P28*('계산 과정'!$C$32-D28))+'계산 과정'!$D$48*(E28-'계산 과정'!$D$50+P28*('계산 과정'!$D$32-E28))+'계산 과정'!$E$48*(0-'계산 과정'!$E$50+P28*('계산 과정'!$E$32-0)),"")</x:f>
      </x:c>
      <x:c r="S28" s="17" t="n">
        <x:f>IF('계산 과정'!$C$78,IF(AND(ISNUMBER(Q28),ISNUMBER(R28),ABS(Q28-'계산 과정'!$C$88)&lt;='계산 과정'!$D$23/2,ABS(R28-'계산 과정'!$C$89)&lt;='계산 과정'!$D$24/2),1,0),"")</x:f>
        <x:v>0</x:v>
      </x:c>
      <x:c r="T28" s="4"/>
      <x:c r="U28" s="4"/>
      <x:c r="V28" s="4"/>
      <x:c r="W28" s="4" t="n">
        <x:f>IF('계산 과정'!$C$77,('계산 과정'!$D$56+'계산 과정'!$D$57*('계산 과정'!$L$11*COS(22*2*PI()/240))+'계산 과정'!$D$58*('계산 과정'!$L$11*SIN(22*2*PI()/240)))/('계산 과정'!$D$59+'계산 과정'!$D$60*('계산 과정'!$L$11*COS(22*2*PI()/240))+'계산 과정'!$D$61*('계산 과정'!$L$11*SIN(22*2*PI()/240))),"")</x:f>
        <x:v>166.4787621753749</x:v>
      </x:c>
      <x:c r="X28" s="4" t="n">
        <x:f>IF('계산 과정'!$C$77,('계산 과정'!$E$56+'계산 과정'!$E$57*('계산 과정'!$L$11*COS(22*2*PI()/240))+'계산 과정'!$E$58*('계산 과정'!$L$11*SIN(22*2*PI()/240)))/('계산 과정'!$E$59+'계산 과정'!$E$60*('계산 과정'!$L$11*COS(22*2*PI()/240))+'계산 과정'!$E$61*('계산 과정'!$L$11*SIN(22*2*PI()/240))),"")</x:f>
        <x:v>152.89426595710862</x:v>
      </x:c>
      <x:c r="Y28" s="4" t="str">
        <x:f>""</x:f>
      </x:c>
      <x:c r="Z28" s="4" t="str">
        <x:f>""</x:f>
      </x:c>
    </x:row>
    <x:row r="29" ht="23" customHeight="1">
      <x:c r="A29" s="17" t="n">
        <x:f>ROW()-6</x:f>
        <x:v>23</x:v>
      </x:c>
      <x:c r="B29" s="4" t="n">
        <x:f>IF('계산 과정'!$L$5,'계산 과정'!$L$11*SQRT((A29+0.5)/'계산 과정'!$L$30),"")</x:f>
        <x:v>16.067940469689947</x:v>
      </x:c>
      <x:c r="C29" s="4" t="n">
        <x:f>A29*PI()*(3-SQRT(5))</x:f>
        <x:v>55.199154283759015</x:v>
      </x:c>
      <x:c r="D29" s="4" t="n">
        <x:f>IF('계산 과정'!$L$5,B29*COS(C29),"")</x:f>
        <x:v>3.5266135752567918</x:v>
      </x:c>
      <x:c r="E29" s="4" t="n">
        <x:f>IF('계산 과정'!$L$5,B29*SIN(C29),"")</x:f>
        <x:v>-15.676150918778324</x:v>
      </x:c>
      <x:c r="F29" s="4" t="n">
        <x:f>IF('계산 과정'!$L$7,'계산 과정'!$L$22+'계산 과정'!$C$49*D29+'계산 과정'!$D$49*E29,"")</x:f>
        <x:v>647.5063076263114</x:v>
      </x:c>
      <x:c r="G29" s="4" t="n">
        <x:f>IF('계산 과정'!$L$7,IF(ABS(F29)&gt;=1E-12*MAX(1,SQRT((D29-'계산 과정'!$C$33)^2+(E29-'계산 과정'!$D$33)^2+'계산 과정'!$E$33^2)),('계산 과정'!$L$23-'계산 과정'!$C$49*D29-'계산 과정'!$D$49*E29)/F29,""),"")</x:f>
        <x:v>0.6216058247358042</x:v>
      </x:c>
      <x:c r="H29" s="4" t="n">
        <x:f>IF(AND(ISNUMBER(G29),G29&gt;0),('계산 과정'!$D$56+'계산 과정'!$D$57*D29+'계산 과정'!$D$58*E29)/F29,"")</x:f>
        <x:v>4.0437860782725945</x:v>
      </x:c>
      <x:c r="I29" s="4" t="n">
        <x:f>IF(AND(ISNUMBER(G29),G29&gt;0),('계산 과정'!$E$56+'계산 과정'!$E$57*D29+'계산 과정'!$E$58*E29)/F29,"")</x:f>
        <x:v>-25.42053763932846</x:v>
      </x:c>
      <x:c r="J29" s="4" t="n">
        <x:f>IF('계산 과정'!$L$5,'계산 과정'!$D$6+'계산 과정'!$C$35*D29+'계산 과정'!$D$35*E29,"")</x:f>
        <x:v>647.5063076263114</x:v>
      </x:c>
      <x:c r="K29" s="4" t="n">
        <x:f>IF(AND('계산 과정'!$L$6,J29&gt;0),'계산 과정'!$D$10*('계산 과정'!$C$38*(D29-'계산 과정'!$C$32)+'계산 과정'!$D$38*(E29-'계산 과정'!$D$32)-'계산 과정'!$E$38*'계산 과정'!$E$32)/J29,"")</x:f>
        <x:v>0.030809798691601994</x:v>
      </x:c>
      <x:c r="L29" s="4" t="n">
        <x:f>IF(AND('계산 과정'!$L$6,J29&gt;0),'계산 과정'!$D$10*('계산 과정'!$C$39*(D29-'계산 과정'!$C$32)+'계산 과정'!$D$39*(E29-'계산 과정'!$D$32)-'계산 과정'!$E$39*'계산 과정'!$E$32)/J29,"")</x:f>
        <x:v>-0.19368028677583587</x:v>
      </x:c>
      <x:c r="M29" s="17" t="n">
        <x:f>IF('계산 과정'!$L$6,IF(J29&lt;=0,0,IF(AND(ABS(K29)&lt;='계산 과정'!$D$11/2,ABS(L29)&lt;='계산 과정'!$D$12/2),1,0)),"")</x:f>
        <x:v>1</x:v>
      </x:c>
      <x:c r="N29" s="17" t="n">
        <x:f>IF('계산 과정'!$C$78,IF(AND(ISNUMBER(H29),ISNUMBER(I29),ABS(H29-'계산 과정'!$C$88)&lt;='계산 과정'!$D$23/2,ABS(I29-'계산 과정'!$C$89)&lt;='계산 과정'!$D$24/2),1,0),"")</x:f>
        <x:v>1</x:v>
      </x:c>
      <x:c r="O29" s="4" t="n">
        <x:f>IF('계산 과정'!$L$7,'계산 과정'!$C$49*('계산 과정'!$C$32-D29)+'계산 과정'!$D$49*('계산 과정'!$D$32-E29)+'계산 과정'!$E$49*'계산 과정'!$E$32,"")</x:f>
        <x:v>2.4936923736887593</x:v>
      </x:c>
      <x:c r="P29" s="4" t="n">
        <x:f>IF(AND('계산 과정'!$L$7,O29&lt;&gt;0),('계산 과정'!$L$23-'계산 과정'!$C$49*D29-'계산 과정'!$D$49*E29)/O29,"")</x:f>
        <x:v>161.40470918564245</x:v>
      </x:c>
      <x:c r="Q29" s="4" t="str">
        <x:f>IF(AND(ISNUMBER(P29),P29&gt;1E-9,P29&lt;1-1E-9),'계산 과정'!$C$47*(D29-'계산 과정'!$C$50+P29*('계산 과정'!$C$32-D29))+'계산 과정'!$D$47*(E29-'계산 과정'!$D$50+P29*('계산 과정'!$D$32-E29))+'계산 과정'!$E$47*(0-'계산 과정'!$E$50+P29*('계산 과정'!$E$32-0)),"")</x:f>
      </x:c>
      <x:c r="R29" s="4" t="str">
        <x:f>IF(AND(ISNUMBER(P29),P29&gt;1E-9,P29&lt;1-1E-9),'계산 과정'!$C$48*(D29-'계산 과정'!$C$50+P29*('계산 과정'!$C$32-D29))+'계산 과정'!$D$48*(E29-'계산 과정'!$D$50+P29*('계산 과정'!$D$32-E29))+'계산 과정'!$E$48*(0-'계산 과정'!$E$50+P29*('계산 과정'!$E$32-0)),"")</x:f>
      </x:c>
      <x:c r="S29" s="17" t="n">
        <x:f>IF('계산 과정'!$C$78,IF(AND(ISNUMBER(Q29),ISNUMBER(R29),ABS(Q29-'계산 과정'!$C$88)&lt;='계산 과정'!$D$23/2,ABS(R29-'계산 과정'!$C$89)&lt;='계산 과정'!$D$24/2),1,0),"")</x:f>
        <x:v>0</x:v>
      </x:c>
      <x:c r="T29" s="4"/>
      <x:c r="U29" s="4"/>
      <x:c r="V29" s="4"/>
      <x:c r="W29" s="4" t="n">
        <x:f>IF('계산 과정'!$C$77,('계산 과정'!$D$56+'계산 과정'!$D$57*('계산 과정'!$L$11*COS(23*2*PI()/240))+'계산 과정'!$D$58*('계산 과정'!$L$11*SIN(23*2*PI()/240)))/('계산 과정'!$D$59+'계산 과정'!$D$60*('계산 과정'!$L$11*COS(23*2*PI()/240))+'계산 과정'!$D$61*('계산 과정'!$L$11*SIN(23*2*PI()/240))),"")</x:f>
        <x:v>163.14307471214659</x:v>
      </x:c>
      <x:c r="X29" s="4" t="n">
        <x:f>IF('계산 과정'!$C$77,('계산 과정'!$E$56+'계산 과정'!$E$57*('계산 과정'!$L$11*COS(23*2*PI()/240))+'계산 과정'!$E$58*('계산 과정'!$L$11*SIN(23*2*PI()/240)))/('계산 과정'!$E$59+'계산 과정'!$E$60*('계산 과정'!$L$11*COS(23*2*PI()/240))+'계산 과정'!$E$61*('계산 과정'!$L$11*SIN(23*2*PI()/240))),"")</x:f>
        <x:v>158.56887779979883</x:v>
      </x:c>
      <x:c r="Y29" s="4" t="str">
        <x:f>""</x:f>
      </x:c>
      <x:c r="Z29" s="4" t="str">
        <x:f>""</x:f>
      </x:c>
    </x:row>
    <x:row r="30" ht="23" customHeight="1">
      <x:c r="A30" s="17" t="n">
        <x:f>ROW()-6</x:f>
        <x:v>24</x:v>
      </x:c>
      <x:c r="B30" s="4" t="n">
        <x:f>IF('계산 과정'!$L$5,'계산 과정'!$L$11*SQRT((A30+0.5)/'계산 과정'!$L$30),"")</x:f>
        <x:v>16.40625</x:v>
      </x:c>
      <x:c r="C30" s="4" t="n">
        <x:f>A30*PI()*(3-SQRT(5))</x:f>
        <x:v>57.59911751348767</x:v>
      </x:c>
      <x:c r="D30" s="4" t="n">
        <x:f>IF('계산 과정'!$L$5,B30*COS(C30),"")</x:f>
        <x:v>8.156873729899376</x:v>
      </x:c>
      <x:c r="E30" s="4" t="n">
        <x:f>IF('계산 과정'!$L$5,B30*SIN(C30),"")</x:f>
        <x:v>14.234832279200816</x:v>
      </x:c>
      <x:c r="F30" s="4" t="n">
        <x:f>IF('계산 과정'!$L$7,'계산 과정'!$L$22+'계산 과정'!$C$49*D30+'계산 과정'!$D$49*E30,"")</x:f>
        <x:v>644.2322192723058</x:v>
      </x:c>
      <x:c r="G30" s="4" t="n">
        <x:f>IF('계산 과정'!$L$7,IF(ABS(F30)&gt;=1E-12*MAX(1,SQRT((D30-'계산 과정'!$C$33)^2+(E30-'계산 과정'!$D$33)^2+'계산 과정'!$E$33^2)),('계산 과정'!$L$23-'계산 과정'!$C$49*D30-'계산 과정'!$D$49*E30)/F30,""),"")</x:f>
        <x:v>0.6298470777913441</x:v>
      </x:c>
      <x:c r="H30" s="4" t="n">
        <x:f>IF(AND(ISNUMBER(G30),G30&gt;0),('계산 과정'!$D$56+'계산 과정'!$D$57*D30+'계산 과정'!$D$58*E30)/F30,"")</x:f>
        <x:v>9.400600564373603</x:v>
      </x:c>
      <x:c r="I30" s="4" t="n">
        <x:f>IF(AND(ISNUMBER(G30),G30&gt;0),('계산 과정'!$E$56+'계산 과정'!$E$57*D30+'계산 과정'!$E$58*E30)/F30,"")</x:f>
        <x:v>23.20059979310535</x:v>
      </x:c>
      <x:c r="J30" s="4" t="n">
        <x:f>IF('계산 과정'!$L$5,'계산 과정'!$D$6+'계산 과정'!$C$35*D30+'계산 과정'!$D$35*E30,"")</x:f>
        <x:v>644.2322192723058</x:v>
      </x:c>
      <x:c r="K30" s="4" t="n">
        <x:f>IF(AND('계산 과정'!$L$6,J30&gt;0),'계산 과정'!$D$10*('계산 과정'!$C$38*(D30-'계산 과정'!$C$32)+'계산 과정'!$D$38*(E30-'계산 과정'!$D$32)-'계산 과정'!$E$38*'계산 과정'!$E$32)/J30,"")</x:f>
        <x:v>0.07162362334760894</x:v>
      </x:c>
      <x:c r="L30" s="4" t="n">
        <x:f>IF(AND('계산 과정'!$L$6,J30&gt;0),'계산 과정'!$D$10*('계산 과정'!$C$39*(D30-'계산 과정'!$C$32)+'계산 과정'!$D$39*(E30-'계산 과정'!$D$32)-'계산 과정'!$E$39*'계산 과정'!$E$32)/J30,"")</x:f>
        <x:v>0.176766474614136</x:v>
      </x:c>
      <x:c r="M30" s="17" t="n">
        <x:f>IF('계산 과정'!$L$6,IF(J30&lt;=0,0,IF(AND(ABS(K30)&lt;='계산 과정'!$D$11/2,ABS(L30)&lt;='계산 과정'!$D$12/2),1,0)),"")</x:f>
        <x:v>1</x:v>
      </x:c>
      <x:c r="N30" s="17" t="n">
        <x:f>IF('계산 과정'!$C$78,IF(AND(ISNUMBER(H30),ISNUMBER(I30),ABS(H30-'계산 과정'!$C$88)&lt;='계산 과정'!$D$23/2,ABS(I30-'계산 과정'!$C$89)&lt;='계산 과정'!$D$24/2),1,0),"")</x:f>
        <x:v>1</x:v>
      </x:c>
      <x:c r="O30" s="4" t="n">
        <x:f>IF('계산 과정'!$L$7,'계산 과정'!$C$49*('계산 과정'!$C$32-D30)+'계산 과정'!$D$49*('계산 과정'!$D$32-E30)+'계산 과정'!$E$49*'계산 과정'!$E$32,"")</x:f>
        <x:v>5.767780727694344</x:v>
      </x:c>
      <x:c r="P30" s="4" t="n">
        <x:f>IF(AND('계산 과정'!$L$7,O30&lt;&gt;0),('계산 과정'!$L$23-'계산 과정'!$C$49*D30-'계산 과정'!$D$49*E30)/O30,"")</x:f>
        <x:v>70.35076399131749</x:v>
      </x:c>
      <x:c r="Q30" s="4" t="str">
        <x:f>IF(AND(ISNUMBER(P30),P30&gt;1E-9,P30&lt;1-1E-9),'계산 과정'!$C$47*(D30-'계산 과정'!$C$50+P30*('계산 과정'!$C$32-D30))+'계산 과정'!$D$47*(E30-'계산 과정'!$D$50+P30*('계산 과정'!$D$32-E30))+'계산 과정'!$E$47*(0-'계산 과정'!$E$50+P30*('계산 과정'!$E$32-0)),"")</x:f>
      </x:c>
      <x:c r="R30" s="4" t="str">
        <x:f>IF(AND(ISNUMBER(P30),P30&gt;1E-9,P30&lt;1-1E-9),'계산 과정'!$C$48*(D30-'계산 과정'!$C$50+P30*('계산 과정'!$C$32-D30))+'계산 과정'!$D$48*(E30-'계산 과정'!$D$50+P30*('계산 과정'!$D$32-E30))+'계산 과정'!$E$48*(0-'계산 과정'!$E$50+P30*('계산 과정'!$E$32-0)),"")</x:f>
      </x:c>
      <x:c r="S30" s="17" t="n">
        <x:f>IF('계산 과정'!$C$78,IF(AND(ISNUMBER(Q30),ISNUMBER(R30),ABS(Q30-'계산 과정'!$C$88)&lt;='계산 과정'!$D$23/2,ABS(R30-'계산 과정'!$C$89)&lt;='계산 과정'!$D$24/2),1,0),"")</x:f>
        <x:v>0</x:v>
      </x:c>
      <x:c r="T30" s="4"/>
      <x:c r="U30" s="4"/>
      <x:c r="V30" s="4"/>
      <x:c r="W30" s="4" t="n">
        <x:f>IF('계산 과정'!$C$77,('계산 과정'!$D$56+'계산 과정'!$D$57*('계산 과정'!$L$11*COS(24*2*PI()/240))+'계산 과정'!$D$58*('계산 과정'!$L$11*SIN(24*2*PI()/240)))/('계산 과정'!$D$59+'계산 과정'!$D$60*('계산 과정'!$L$11*COS(24*2*PI()/240))+'계산 과정'!$D$61*('계산 과정'!$L$11*SIN(24*2*PI()/240))),"")</x:f>
        <x:v>159.69716735588977</x:v>
      </x:c>
      <x:c r="X30" s="4" t="n">
        <x:f>IF('계산 과정'!$C$77,('계산 과정'!$E$56+'계산 과정'!$E$57*('계산 과정'!$L$11*COS(24*2*PI()/240))+'계산 과정'!$E$58*('계산 과정'!$L$11*SIN(24*2*PI()/240)))/('계산 과정'!$E$59+'계산 과정'!$E$60*('계산 과정'!$L$11*COS(24*2*PI()/240))+'계산 과정'!$E$61*('계산 과정'!$L$11*SIN(24*2*PI()/240))),"")</x:f>
        <x:v>164.08665108733194</x:v>
      </x:c>
      <x:c r="Y30" s="4" t="str">
        <x:f>""</x:f>
      </x:c>
      <x:c r="Z30" s="4" t="str">
        <x:f>""</x:f>
      </x:c>
    </x:row>
    <x:row r="31" ht="23" customHeight="1">
      <x:c r="A31" s="17" t="n">
        <x:f>ROW()-6</x:f>
        <x:v>25</x:v>
      </x:c>
      <x:c r="B31" s="4" t="n">
        <x:f>IF('계산 과정'!$L$5,'계산 과정'!$L$11*SQRT((A31+0.5)/'계산 과정'!$L$30),"")</x:f>
        <x:v>16.737722879397307</x:v>
      </x:c>
      <x:c r="C31" s="4" t="n">
        <x:f>A31*PI()*(3-SQRT(5))</x:f>
        <x:v>59.999080743216325</x:v>
      </x:c>
      <x:c r="D31" s="4" t="n">
        <x:f>IF('계산 과정'!$L$5,B31*COS(C31),"")</x:f>
        <x:v>-15.94590769392161</x:v>
      </x:c>
      <x:c r="E31" s="4" t="n">
        <x:f>IF('계산 과정'!$L$5,B31*SIN(C31),"")</x:f>
        <x:v>-5.087179474368057</x:v>
      </x:c>
      <x:c r="F31" s="4" t="n">
        <x:f>IF('계산 과정'!$L$7,'계산 과정'!$L$22+'계산 과정'!$C$49*D31+'계산 과정'!$D$49*E31,"")</x:f>
        <x:v>661.2754594625467</x:v>
      </x:c>
      <x:c r="G31" s="4" t="n">
        <x:f>IF('계산 과정'!$L$7,IF(ABS(F31)&gt;=1E-12*MAX(1,SQRT((D31-'계산 과정'!$C$33)^2+(E31-'계산 과정'!$D$33)^2+'계산 과정'!$E$33^2)),('계산 과정'!$L$23-'계산 과정'!$C$49*D31-'계산 과정'!$D$49*E31)/F31,""),"")</x:f>
        <x:v>0.5878405662496384</x:v>
      </x:c>
      <x:c r="H31" s="4" t="n">
        <x:f>IF(AND(ISNUMBER(G31),G31&gt;0),('계산 과정'!$D$56+'계산 과정'!$D$57*D31+'계산 과정'!$D$58*E31)/F31,"")</x:f>
        <x:v>-17.903631937735135</x:v>
      </x:c>
      <x:c r="I31" s="4" t="n">
        <x:f>IF(AND(ISNUMBER(G31),G31&gt;0),('계산 과정'!$E$56+'계산 과정'!$E$57*D31+'계산 과정'!$E$58*E31)/F31,"")</x:f>
        <x:v>-8.077629937194114</x:v>
      </x:c>
      <x:c r="J31" s="4" t="n">
        <x:f>IF('계산 과정'!$L$5,'계산 과정'!$D$6+'계산 과정'!$C$35*D31+'계산 과정'!$D$35*E31,"")</x:f>
        <x:v>661.2754594625467</x:v>
      </x:c>
      <x:c r="K31" s="4" t="n">
        <x:f>IF(AND('계산 과정'!$L$6,J31&gt;0),'계산 과정'!$D$10*('계산 과정'!$C$38*(D31-'계산 과정'!$C$32)+'계산 과정'!$D$38*(E31-'계산 과정'!$D$32)-'계산 과정'!$E$38*'계산 과정'!$E$32)/J31,"")</x:f>
        <x:v>-0.13640862428750447</x:v>
      </x:c>
      <x:c r="L31" s="4" t="n">
        <x:f>IF(AND('계산 과정'!$L$6,J31&gt;0),'계산 과정'!$D$10*('계산 과정'!$C$39*(D31-'계산 과정'!$C$32)+'계산 과정'!$D$39*(E31-'계산 과정'!$D$32)-'계산 과정'!$E$39*'계산 과정'!$E$32)/J31,"")</x:f>
        <x:v>-0.06154384714052658</x:v>
      </x:c>
      <x:c r="M31" s="17" t="n">
        <x:f>IF('계산 과정'!$L$6,IF(J31&lt;=0,0,IF(AND(ABS(K31)&lt;='계산 과정'!$D$11/2,ABS(L31)&lt;='계산 과정'!$D$12/2),1,0)),"")</x:f>
        <x:v>1</x:v>
      </x:c>
      <x:c r="N31" s="17" t="n">
        <x:f>IF('계산 과정'!$C$78,IF(AND(ISNUMBER(H31),ISNUMBER(I31),ABS(H31-'계산 과정'!$C$88)&lt;='계산 과정'!$D$23/2,ABS(I31-'계산 과정'!$C$89)&lt;='계산 과정'!$D$24/2),1,0),"")</x:f>
        <x:v>1</x:v>
      </x:c>
      <x:c r="O31" s="4" t="n">
        <x:f>IF('계산 과정'!$L$7,'계산 과정'!$C$49*('계산 과정'!$C$32-D31)+'계산 과정'!$D$49*('계산 과정'!$D$32-E31)+'계산 과정'!$E$49*'계산 과정'!$E$32,"")</x:f>
        <x:v>-11.275459462546564</x:v>
      </x:c>
      <x:c r="P31" s="4" t="n">
        <x:f>IF(AND('계산 과정'!$L$7,O31&lt;&gt;0),('계산 과정'!$L$23-'계산 과정'!$C$49*D31-'계산 과정'!$D$49*E31)/O31,"")</x:f>
        <x:v>-34.475272766371134</x:v>
      </x:c>
      <x:c r="Q31" s="4" t="str">
        <x:f>IF(AND(ISNUMBER(P31),P31&gt;1E-9,P31&lt;1-1E-9),'계산 과정'!$C$47*(D31-'계산 과정'!$C$50+P31*('계산 과정'!$C$32-D31))+'계산 과정'!$D$47*(E31-'계산 과정'!$D$50+P31*('계산 과정'!$D$32-E31))+'계산 과정'!$E$47*(0-'계산 과정'!$E$50+P31*('계산 과정'!$E$32-0)),"")</x:f>
      </x:c>
      <x:c r="R31" s="4" t="str">
        <x:f>IF(AND(ISNUMBER(P31),P31&gt;1E-9,P31&lt;1-1E-9),'계산 과정'!$C$48*(D31-'계산 과정'!$C$50+P31*('계산 과정'!$C$32-D31))+'계산 과정'!$D$48*(E31-'계산 과정'!$D$50+P31*('계산 과정'!$D$32-E31))+'계산 과정'!$E$48*(0-'계산 과정'!$E$50+P31*('계산 과정'!$E$32-0)),"")</x:f>
      </x:c>
      <x:c r="S31" s="17" t="n">
        <x:f>IF('계산 과정'!$C$78,IF(AND(ISNUMBER(Q31),ISNUMBER(R31),ABS(Q31-'계산 과정'!$C$88)&lt;='계산 과정'!$D$23/2,ABS(R31-'계산 과정'!$C$89)&lt;='계산 과정'!$D$24/2),1,0),"")</x:f>
        <x:v>0</x:v>
      </x:c>
      <x:c r="T31" s="4"/>
      <x:c r="U31" s="4"/>
      <x:c r="V31" s="4"/>
      <x:c r="W31" s="4" t="n">
        <x:f>IF('계산 과정'!$C$77,('계산 과정'!$D$56+'계산 과정'!$D$57*('계산 과정'!$L$11*COS(25*2*PI()/240))+'계산 과정'!$D$58*('계산 과정'!$L$11*SIN(25*2*PI()/240)))/('계산 과정'!$D$59+'계산 과정'!$D$60*('계산 과정'!$L$11*COS(25*2*PI()/240))+'계산 과정'!$D$61*('계산 과정'!$L$11*SIN(25*2*PI()/240))),"")</x:f>
        <x:v>156.14541217969028</x:v>
      </x:c>
      <x:c r="X31" s="4" t="n">
        <x:f>IF('계산 과정'!$C$77,('계산 과정'!$E$56+'계산 과정'!$E$57*('계산 과정'!$L$11*COS(25*2*PI()/240))+'계산 과정'!$E$58*('계산 과정'!$L$11*SIN(25*2*PI()/240)))/('계산 과정'!$E$59+'계산 과정'!$E$60*('계산 과정'!$L$11*COS(25*2*PI()/240))+'계산 과정'!$E$61*('계산 과정'!$L$11*SIN(25*2*PI()/240))),"")</x:f>
        <x:v>169.44341647172783</x:v>
      </x:c>
      <x:c r="Y31" s="4" t="str">
        <x:f>""</x:f>
      </x:c>
      <x:c r="Z31" s="4" t="str">
        <x:f>""</x:f>
      </x:c>
    </x:row>
    <x:row r="32" ht="23" customHeight="1">
      <x:c r="A32" s="17" t="n">
        <x:f>ROW()-6</x:f>
        <x:v>26</x:v>
      </x:c>
      <x:c r="B32" s="4" t="n">
        <x:f>IF('계산 과정'!$L$5,'계산 과정'!$L$11*SQRT((A32+0.5)/'계산 과정'!$L$30),"")</x:f>
        <x:v>17.062757553001216</x:v>
      </x:c>
      <x:c r="C32" s="4" t="n">
        <x:f>A32*PI()*(3-SQRT(5))</x:f>
        <x:v>62.39904397294498</x:v>
      </x:c>
      <x:c r="D32" s="4" t="n">
        <x:f>IF('계산 과정'!$L$5,B32*COS(C32),"")</x:f>
        <x:v>15.489420021114627</x:v>
      </x:c>
      <x:c r="E32" s="4" t="n">
        <x:f>IF('계산 과정'!$L$5,B32*SIN(C32),"")</x:f>
        <x:v>-7.156504923633697</x:v>
      </x:c>
      <x:c r="F32" s="4" t="n">
        <x:f>IF('계산 과정'!$L$7,'계산 과정'!$L$22+'계산 과정'!$C$49*D32+'계산 과정'!$D$49*E32,"")</x:f>
        <x:v>639.0473260664231</x:v>
      </x:c>
      <x:c r="G32" s="4" t="n">
        <x:f>IF('계산 과정'!$L$7,IF(ABS(F32)&gt;=1E-12*MAX(1,SQRT((D32-'계산 과정'!$C$33)^2+(E32-'계산 과정'!$D$33)^2+'계산 과정'!$E$33^2)),('계산 과정'!$L$23-'계산 과정'!$C$49*D32-'계산 과정'!$D$49*E32)/F32,""),"")</x:f>
        <x:v>0.6430707980004318</x:v>
      </x:c>
      <x:c r="H32" s="4" t="n">
        <x:f>IF(AND(ISNUMBER(G32),G32&gt;0),('계산 과정'!$D$56+'계산 과정'!$D$57*D32+'계산 과정'!$D$58*E32)/F32,"")</x:f>
        <x:v>17.996018700280494</x:v>
      </x:c>
      <x:c r="I32" s="4" t="n">
        <x:f>IF(AND(ISNUMBER(G32),G32&gt;0),('계산 과정'!$E$56+'계산 과정'!$E$57*D32+'계산 과정'!$E$58*E32)/F32,"")</x:f>
        <x:v>-11.758644255768838</x:v>
      </x:c>
      <x:c r="J32" s="4" t="n">
        <x:f>IF('계산 과정'!$L$5,'계산 과정'!$D$6+'계산 과정'!$C$35*D32+'계산 과정'!$D$35*E32,"")</x:f>
        <x:v>639.0473260664231</x:v>
      </x:c>
      <x:c r="K32" s="4" t="n">
        <x:f>IF(AND('계산 과정'!$L$6,J32&gt;0),'계산 과정'!$D$10*('계산 과정'!$C$38*(D32-'계산 과정'!$C$32)+'계산 과정'!$D$38*(E32-'계산 과정'!$D$32)-'계산 과정'!$E$38*'계산 과정'!$E$32)/J32,"")</x:f>
        <x:v>0.13711252343070998</x:v>
      </x:c>
      <x:c r="L32" s="4" t="n">
        <x:f>IF(AND('계산 과정'!$L$6,J32&gt;0),'계산 과정'!$D$10*('계산 과정'!$C$39*(D32-'계산 과정'!$C$32)+'계산 과정'!$D$39*(E32-'계산 과정'!$D$32)-'계산 과정'!$E$39*'계산 과정'!$E$32)/J32,"")</x:f>
        <x:v>-0.08958967052014352</x:v>
      </x:c>
      <x:c r="M32" s="17" t="n">
        <x:f>IF('계산 과정'!$L$6,IF(J32&lt;=0,0,IF(AND(ABS(K32)&lt;='계산 과정'!$D$11/2,ABS(L32)&lt;='계산 과정'!$D$12/2),1,0)),"")</x:f>
        <x:v>1</x:v>
      </x:c>
      <x:c r="N32" s="17" t="n">
        <x:f>IF('계산 과정'!$C$78,IF(AND(ISNUMBER(H32),ISNUMBER(I32),ABS(H32-'계산 과정'!$C$88)&lt;='계산 과정'!$D$23/2,ABS(I32-'계산 과정'!$C$89)&lt;='계산 과정'!$D$24/2),1,0),"")</x:f>
        <x:v>1</x:v>
      </x:c>
      <x:c r="O32" s="4" t="n">
        <x:f>IF('계산 과정'!$L$7,'계산 과정'!$C$49*('계산 과정'!$C$32-D32)+'계산 과정'!$D$49*('계산 과정'!$D$32-E32)+'계산 과정'!$E$49*'계산 과정'!$E$32,"")</x:f>
        <x:v>10.952673933576989</x:v>
      </x:c>
      <x:c r="P32" s="4" t="n">
        <x:f>IF(AND('계산 과정'!$L$7,O32&lt;&gt;0),('계산 과정'!$L$23-'계산 과정'!$C$49*D32-'계산 과정'!$D$49*E32)/O32,"")</x:f>
        <x:v>37.5207621833553</x:v>
      </x:c>
      <x:c r="Q32" s="4" t="str">
        <x:f>IF(AND(ISNUMBER(P32),P32&gt;1E-9,P32&lt;1-1E-9),'계산 과정'!$C$47*(D32-'계산 과정'!$C$50+P32*('계산 과정'!$C$32-D32))+'계산 과정'!$D$47*(E32-'계산 과정'!$D$50+P32*('계산 과정'!$D$32-E32))+'계산 과정'!$E$47*(0-'계산 과정'!$E$50+P32*('계산 과정'!$E$32-0)),"")</x:f>
      </x:c>
      <x:c r="R32" s="4" t="str">
        <x:f>IF(AND(ISNUMBER(P32),P32&gt;1E-9,P32&lt;1-1E-9),'계산 과정'!$C$48*(D32-'계산 과정'!$C$50+P32*('계산 과정'!$C$32-D32))+'계산 과정'!$D$48*(E32-'계산 과정'!$D$50+P32*('계산 과정'!$D$32-E32))+'계산 과정'!$E$48*(0-'계산 과정'!$E$50+P32*('계산 과정'!$E$32-0)),"")</x:f>
      </x:c>
      <x:c r="S32" s="17" t="n">
        <x:f>IF('계산 과정'!$C$78,IF(AND(ISNUMBER(Q32),ISNUMBER(R32),ABS(Q32-'계산 과정'!$C$88)&lt;='계산 과정'!$D$23/2,ABS(R32-'계산 과정'!$C$89)&lt;='계산 과정'!$D$24/2),1,0),"")</x:f>
        <x:v>0</x:v>
      </x:c>
      <x:c r="T32" s="4"/>
      <x:c r="U32" s="4"/>
      <x:c r="V32" s="4"/>
      <x:c r="W32" s="4" t="n">
        <x:f>IF('계산 과정'!$C$77,('계산 과정'!$D$56+'계산 과정'!$D$57*('계산 과정'!$L$11*COS(26*2*PI()/240))+'계산 과정'!$D$58*('계산 과정'!$L$11*SIN(26*2*PI()/240)))/('계산 과정'!$D$59+'계산 과정'!$D$60*('계산 과정'!$L$11*COS(26*2*PI()/240))+'계산 과정'!$D$61*('계산 과정'!$L$11*SIN(26*2*PI()/240))),"")</x:f>
        <x:v>152.49225510324786</x:v>
      </x:c>
      <x:c r="X32" s="4" t="n">
        <x:f>IF('계산 과정'!$C$77,('계산 과정'!$E$56+'계산 과정'!$E$57*('계산 과정'!$L$11*COS(26*2*PI()/240))+'계산 과정'!$E$58*('계산 과정'!$L$11*SIN(26*2*PI()/240)))/('계산 과정'!$E$59+'계산 과정'!$E$60*('계산 과정'!$L$11*COS(26*2*PI()/240))+'계산 과정'!$E$61*('계산 과정'!$L$11*SIN(26*2*PI()/240))),"")</x:f>
        <x:v>174.63528374214852</x:v>
      </x:c>
      <x:c r="Y32" s="4" t="str">
        <x:f>""</x:f>
      </x:c>
      <x:c r="Z32" s="4" t="str">
        <x:f>""</x:f>
      </x:c>
    </x:row>
    <x:row r="33" ht="23" customHeight="1">
      <x:c r="A33" s="17" t="n">
        <x:f>ROW()-6</x:f>
        <x:v>27</x:v>
      </x:c>
      <x:c r="B33" s="4" t="n">
        <x:f>IF('계산 과정'!$L$5,'계산 과정'!$L$11*SQRT((A33+0.5)/'계산 과정'!$L$30),"")</x:f>
        <x:v>17.38171520413046</x:v>
      </x:c>
      <x:c r="C33" s="4" t="n">
        <x:f>A33*PI()*(3-SQRT(5))</x:f>
        <x:v>64.79900720267362</x:v>
      </x:c>
      <x:c r="D33" s="4" t="n">
        <x:f>IF('계산 과정'!$L$5,B33*COS(C33),"")</x:f>
        <x:v>-6.71040378227594</x:v>
      </x:c>
      <x:c r="E33" s="4" t="n">
        <x:f>IF('계산 과정'!$L$5,B33*SIN(C33),"")</x:f>
        <x:v>16.03416678584568</x:v>
      </x:c>
      <x:c r="F33" s="4" t="n">
        <x:f>IF('계산 과정'!$L$7,'계산 과정'!$L$22+'계산 과정'!$C$49*D33+'계산 과정'!$D$49*E33,"")</x:f>
        <x:v>654.7449720189471</x:v>
      </x:c>
      <x:c r="G33" s="4" t="n">
        <x:f>IF('계산 과정'!$L$7,IF(ABS(F33)&gt;=1E-12*MAX(1,SQRT((D33-'계산 과정'!$C$33)^2+(E33-'계산 과정'!$D$33)^2+'계산 과정'!$E$33^2)),('계산 과정'!$L$23-'계산 과정'!$C$49*D33-'계산 과정'!$D$49*E33)/F33,""),"")</x:f>
        <x:v>0.6036778362150063</x:v>
      </x:c>
      <x:c r="H33" s="4" t="n">
        <x:f>IF(AND(ISNUMBER(G33),G33&gt;0),('계산 과정'!$D$56+'계산 과정'!$D$57*D33+'계산 과정'!$D$58*E33)/F33,"")</x:f>
        <x:v>-7.609406460246069</x:v>
      </x:c>
      <x:c r="I33" s="4" t="n">
        <x:f>IF(AND(ISNUMBER(G33),G33&gt;0),('계산 과정'!$E$56+'계산 과정'!$E$57*D33+'계산 과정'!$E$58*E33)/F33,"")</x:f>
        <x:v>25.713637896635525</x:v>
      </x:c>
      <x:c r="J33" s="4" t="n">
        <x:f>IF('계산 과정'!$L$5,'계산 과정'!$D$6+'계산 과정'!$C$35*D33+'계산 과정'!$D$35*E33,"")</x:f>
        <x:v>654.7449720189471</x:v>
      </x:c>
      <x:c r="K33" s="4" t="n">
        <x:f>IF(AND('계산 과정'!$L$6,J33&gt;0),'계산 과정'!$D$10*('계산 과정'!$C$38*(D33-'계산 과정'!$C$32)+'계산 과정'!$D$38*(E33-'계산 과정'!$D$32)-'계산 과정'!$E$38*'계산 과정'!$E$32)/J33,"")</x:f>
        <x:v>-0.05797643017330258</x:v>
      </x:c>
      <x:c r="L33" s="4" t="n">
        <x:f>IF(AND('계산 과정'!$L$6,J33&gt;0),'계산 과정'!$D$10*('계산 과정'!$C$39*(D33-'계산 과정'!$C$32)+'계산 과정'!$D$39*(E33-'계산 과정'!$D$32)-'계산 과정'!$E$39*'계산 과정'!$E$32)/J33,"")</x:f>
        <x:v>0.1959134315934135</x:v>
      </x:c>
      <x:c r="M33" s="17" t="n">
        <x:f>IF('계산 과정'!$L$6,IF(J33&lt;=0,0,IF(AND(ABS(K33)&lt;='계산 과정'!$D$11/2,ABS(L33)&lt;='계산 과정'!$D$12/2),1,0)),"")</x:f>
        <x:v>1</x:v>
      </x:c>
      <x:c r="N33" s="17" t="n">
        <x:f>IF('계산 과정'!$C$78,IF(AND(ISNUMBER(H33),ISNUMBER(I33),ABS(H33-'계산 과정'!$C$88)&lt;='계산 과정'!$D$23/2,ABS(I33-'계산 과정'!$C$89)&lt;='계산 과정'!$D$24/2),1,0),"")</x:f>
        <x:v>1</x:v>
      </x:c>
      <x:c r="O33" s="4" t="n">
        <x:f>IF('계산 과정'!$L$7,'계산 과정'!$C$49*('계산 과정'!$C$32-D33)+'계산 과정'!$D$49*('계산 과정'!$D$32-E33)+'계산 과정'!$E$49*'계산 과정'!$E$32,"")</x:f>
        <x:v>-4.744972018947067</x:v>
      </x:c>
      <x:c r="P33" s="4" t="n">
        <x:f>IF(AND('계산 과정'!$L$7,O33&lt;&gt;0),('계산 과정'!$L$23-'계산 과정'!$C$49*D33-'계산 과정'!$D$49*E33)/O33,"")</x:f>
        <x:v>-83.29975949336828</x:v>
      </x:c>
      <x:c r="Q33" s="4" t="str">
        <x:f>IF(AND(ISNUMBER(P33),P33&gt;1E-9,P33&lt;1-1E-9),'계산 과정'!$C$47*(D33-'계산 과정'!$C$50+P33*('계산 과정'!$C$32-D33))+'계산 과정'!$D$47*(E33-'계산 과정'!$D$50+P33*('계산 과정'!$D$32-E33))+'계산 과정'!$E$47*(0-'계산 과정'!$E$50+P33*('계산 과정'!$E$32-0)),"")</x:f>
      </x:c>
      <x:c r="R33" s="4" t="str">
        <x:f>IF(AND(ISNUMBER(P33),P33&gt;1E-9,P33&lt;1-1E-9),'계산 과정'!$C$48*(D33-'계산 과정'!$C$50+P33*('계산 과정'!$C$32-D33))+'계산 과정'!$D$48*(E33-'계산 과정'!$D$50+P33*('계산 과정'!$D$32-E33))+'계산 과정'!$E$48*(0-'계산 과정'!$E$50+P33*('계산 과정'!$E$32-0)),"")</x:f>
      </x:c>
      <x:c r="S33" s="17" t="n">
        <x:f>IF('계산 과정'!$C$78,IF(AND(ISNUMBER(Q33),ISNUMBER(R33),ABS(Q33-'계산 과정'!$C$88)&lt;='계산 과정'!$D$23/2,ABS(R33-'계산 과정'!$C$89)&lt;='계산 과정'!$D$24/2),1,0),"")</x:f>
        <x:v>0</x:v>
      </x:c>
      <x:c r="T33" s="4"/>
      <x:c r="U33" s="4"/>
      <x:c r="V33" s="4"/>
      <x:c r="W33" s="4" t="n">
        <x:f>IF('계산 과정'!$C$77,('계산 과정'!$D$56+'계산 과정'!$D$57*('계산 과정'!$L$11*COS(27*2*PI()/240))+'계산 과정'!$D$58*('계산 과정'!$L$11*SIN(27*2*PI()/240)))/('계산 과정'!$D$59+'계산 과정'!$D$60*('계산 과정'!$L$11*COS(27*2*PI()/240))+'계산 과정'!$D$61*('계산 과정'!$L$11*SIN(27*2*PI()/240))),"")</x:f>
        <x:v>148.74220529732403</x:v>
      </x:c>
      <x:c r="X33" s="4" t="n">
        <x:f>IF('계산 과정'!$C$77,('계산 과정'!$E$56+'계산 과정'!$E$57*('계산 과정'!$L$11*COS(27*2*PI()/240))+'계산 과정'!$E$58*('계산 과정'!$L$11*SIN(27*2*PI()/240)))/('계산 과정'!$E$59+'계산 과정'!$E$60*('계산 과정'!$L$11*COS(27*2*PI()/240))+'계산 과정'!$E$61*('계산 과정'!$L$11*SIN(27*2*PI()/240))),"")</x:f>
        <x:v>179.65864284954634</x:v>
      </x:c>
      <x:c r="Y33" s="4" t="str">
        <x:f>""</x:f>
      </x:c>
      <x:c r="Z33" s="4" t="str">
        <x:f>""</x:f>
      </x:c>
    </x:row>
    <x:row r="34" ht="23" customHeight="1">
      <x:c r="A34" s="17" t="n">
        <x:f>ROW()-6</x:f>
        <x:v>28</x:v>
      </x:c>
      <x:c r="B34" s="4" t="n">
        <x:f>IF('계산 과정'!$L$5,'계산 과정'!$L$11*SQRT((A34+0.5)/'계산 과정'!$L$30),"")</x:f>
        <x:v>17.69492445766582</x:v>
      </x:c>
      <x:c r="C34" s="4" t="n">
        <x:f>A34*PI()*(3-SQRT(5))</x:f>
        <x:v>67.19897043240228</x:v>
      </x:c>
      <x:c r="D34" s="4" t="n">
        <x:f>IF('계산 과정'!$L$5,B34*COS(C34),"")</x:f>
        <x:v>-5.988887517831536</x:v>
      </x:c>
      <x:c r="E34" s="4" t="n">
        <x:f>IF('계산 과정'!$L$5,B34*SIN(C34),"")</x:f>
        <x:v>-16.650632956775596</x:v>
      </x:c>
      <x:c r="F34" s="4" t="n">
        <x:f>IF('계산 과정'!$L$7,'계산 과정'!$L$22+'계산 과정'!$C$49*D34+'계산 과정'!$D$49*E34,"")</x:f>
        <x:v>654.2347829756221</x:v>
      </x:c>
      <x:c r="G34" s="4" t="n">
        <x:f>IF('계산 과정'!$L$7,IF(ABS(F34)&gt;=1E-12*MAX(1,SQRT((D34-'계산 과정'!$C$33)^2+(E34-'계산 과정'!$D$33)^2+'계산 과정'!$E$33^2)),('계산 과정'!$L$23-'계산 과정'!$C$49*D34-'계산 과정'!$D$49*E34)/F34,""),"")</x:f>
        <x:v>0.604928425273171</x:v>
      </x:c>
      <x:c r="H34" s="4" t="n">
        <x:f>IF(AND(ISNUMBER(G34),G34&gt;0),('계산 과정'!$D$56+'계산 과정'!$D$57*D34+'계산 과정'!$D$58*E34)/F34,"")</x:f>
        <x:v>-6.796523572439004</x:v>
      </x:c>
      <x:c r="I34" s="4" t="n">
        <x:f>IF(AND(ISNUMBER(G34),G34&gt;0),('계산 과정'!$E$56+'계산 과정'!$E$57*D34+'계산 과정'!$E$58*E34)/F34,"")</x:f>
        <x:v>-26.72307413111942</x:v>
      </x:c>
      <x:c r="J34" s="4" t="n">
        <x:f>IF('계산 과정'!$L$5,'계산 과정'!$D$6+'계산 과정'!$C$35*D34+'계산 과정'!$D$35*E34,"")</x:f>
        <x:v>654.2347829756221</x:v>
      </x:c>
      <x:c r="K34" s="4" t="n">
        <x:f>IF(AND('계산 과정'!$L$6,J34&gt;0),'계산 과정'!$D$10*('계산 과정'!$C$38*(D34-'계산 과정'!$C$32)+'계산 과정'!$D$38*(E34-'계산 과정'!$D$32)-'계산 과정'!$E$38*'계산 과정'!$E$32)/J34,"")</x:f>
        <x:v>-0.051783036742391236</x:v>
      </x:c>
      <x:c r="L34" s="4" t="n">
        <x:f>IF(AND('계산 과정'!$L$6,J34&gt;0),'계산 과정'!$D$10*('계산 과정'!$C$39*(D34-'계산 과정'!$C$32)+'계산 과정'!$D$39*(E34-'계산 과정'!$D$32)-'계산 과정'!$E$39*'계산 과정'!$E$32)/J34,"")</x:f>
        <x:v>-0.20360437433233844</x:v>
      </x:c>
      <x:c r="M34" s="17" t="n">
        <x:f>IF('계산 과정'!$L$6,IF(J34&lt;=0,0,IF(AND(ABS(K34)&lt;='계산 과정'!$D$11/2,ABS(L34)&lt;='계산 과정'!$D$12/2),1,0)),"")</x:f>
        <x:v>1</x:v>
      </x:c>
      <x:c r="N34" s="17" t="n">
        <x:f>IF('계산 과정'!$C$78,IF(AND(ISNUMBER(H34),ISNUMBER(I34),ABS(H34-'계산 과정'!$C$88)&lt;='계산 과정'!$D$23/2,ABS(I34-'계산 과정'!$C$89)&lt;='계산 과정'!$D$24/2),1,0),"")</x:f>
        <x:v>1</x:v>
      </x:c>
      <x:c r="O34" s="4" t="n">
        <x:f>IF('계산 과정'!$L$7,'계산 과정'!$C$49*('계산 과정'!$C$32-D34)+'계산 과정'!$D$49*('계산 과정'!$D$32-E34)+'계산 과정'!$E$49*'계산 과정'!$E$32,"")</x:f>
        <x:v>-4.234782975622011</x:v>
      </x:c>
      <x:c r="P34" s="4" t="n">
        <x:f>IF(AND('계산 과정'!$L$7,O34&lt;&gt;0),('계산 과정'!$L$23-'계산 과정'!$C$49*D34-'계산 과정'!$D$49*E34)/O34,"")</x:f>
        <x:v>-93.45584397185013</x:v>
      </x:c>
      <x:c r="Q34" s="4" t="str">
        <x:f>IF(AND(ISNUMBER(P34),P34&gt;1E-9,P34&lt;1-1E-9),'계산 과정'!$C$47*(D34-'계산 과정'!$C$50+P34*('계산 과정'!$C$32-D34))+'계산 과정'!$D$47*(E34-'계산 과정'!$D$50+P34*('계산 과정'!$D$32-E34))+'계산 과정'!$E$47*(0-'계산 과정'!$E$50+P34*('계산 과정'!$E$32-0)),"")</x:f>
      </x:c>
      <x:c r="R34" s="4" t="str">
        <x:f>IF(AND(ISNUMBER(P34),P34&gt;1E-9,P34&lt;1-1E-9),'계산 과정'!$C$48*(D34-'계산 과정'!$C$50+P34*('계산 과정'!$C$32-D34))+'계산 과정'!$D$48*(E34-'계산 과정'!$D$50+P34*('계산 과정'!$D$32-E34))+'계산 과정'!$E$48*(0-'계산 과정'!$E$50+P34*('계산 과정'!$E$32-0)),"")</x:f>
      </x:c>
      <x:c r="S34" s="17" t="n">
        <x:f>IF('계산 과정'!$C$78,IF(AND(ISNUMBER(Q34),ISNUMBER(R34),ABS(Q34-'계산 과정'!$C$88)&lt;='계산 과정'!$D$23/2,ABS(R34-'계산 과정'!$C$89)&lt;='계산 과정'!$D$24/2),1,0),"")</x:f>
        <x:v>0</x:v>
      </x:c>
      <x:c r="T34" s="4"/>
      <x:c r="U34" s="4"/>
      <x:c r="V34" s="4"/>
      <x:c r="W34" s="4" t="n">
        <x:f>IF('계산 과정'!$C$77,('계산 과정'!$D$56+'계산 과정'!$D$57*('계산 과정'!$L$11*COS(28*2*PI()/240))+'계산 과정'!$D$58*('계산 과정'!$L$11*SIN(28*2*PI()/240)))/('계산 과정'!$D$59+'계산 과정'!$D$60*('계산 과정'!$L$11*COS(28*2*PI()/240))+'계산 과정'!$D$61*('계산 과정'!$L$11*SIN(28*2*PI()/240))),"")</x:f>
        <x:v>144.89982472959008</x:v>
      </x:c>
      <x:c r="X34" s="4" t="n">
        <x:f>IF('계산 과정'!$C$77,('계산 과정'!$E$56+'계산 과정'!$E$57*('계산 과정'!$L$11*COS(28*2*PI()/240))+'계산 과정'!$E$58*('계산 과정'!$L$11*SIN(28*2*PI()/240)))/('계산 과정'!$E$59+'계산 과정'!$E$60*('계산 과정'!$L$11*COS(28*2*PI()/240))+'계산 과정'!$E$61*('계산 과정'!$L$11*SIN(28*2*PI()/240))),"")</x:f>
        <x:v>184.51016405986246</x:v>
      </x:c>
      <x:c r="Y34" s="4" t="str">
        <x:f>""</x:f>
      </x:c>
      <x:c r="Z34" s="4" t="str">
        <x:f>""</x:f>
      </x:c>
    </x:row>
    <x:row r="35" ht="23" customHeight="1">
      <x:c r="A35" s="17" t="n">
        <x:f>ROW()-6</x:f>
        <x:v>29</x:v>
      </x:c>
      <x:c r="B35" s="4" t="n">
        <x:f>IF('계산 과정'!$L$5,'계산 과정'!$L$11*SQRT((A35+0.5)/'계산 과정'!$L$30),"")</x:f>
        <x:v>18.00268534656705</x:v>
      </x:c>
      <x:c r="C35" s="4" t="n">
        <x:f>A35*PI()*(3-SQRT(5))</x:f>
        <x:v>69.59893366213093</x:v>
      </x:c>
      <x:c r="D35" s="4" t="n">
        <x:f>IF('계산 과정'!$L$5,B35*COS(C35),"")</x:f>
        <x:v>15.935786913674843</x:v>
      </x:c>
      <x:c r="E35" s="4" t="n">
        <x:f>IF('계산 과정'!$L$5,B35*SIN(C35),"")</x:f>
        <x:v>8.375402983107715</x:v>
      </x:c>
      <x:c r="F35" s="4" t="n">
        <x:f>IF('계산 과정'!$L$7,'계산 과정'!$L$22+'계산 과정'!$C$49*D35+'계산 과정'!$D$49*E35,"")</x:f>
        <x:v>638.7316970097967</x:v>
      </x:c>
      <x:c r="G35" s="4" t="n">
        <x:f>IF('계산 과정'!$L$7,IF(ABS(F35)&gt;=1E-12*MAX(1,SQRT((D35-'계산 과정'!$C$33)^2+(E35-'계산 과정'!$D$33)^2+'계산 과정'!$E$33^2)),('계산 과정'!$L$23-'계산 과정'!$C$49*D35-'계산 과정'!$D$49*E35)/F35,""),"")</x:f>
        <x:v>0.6438827208913283</x:v>
      </x:c>
      <x:c r="H35" s="4" t="n">
        <x:f>IF(AND(ISNUMBER(G35),G35&gt;0),('계산 과정'!$D$56+'계산 과정'!$D$57*D35+'계산 과정'!$D$58*E35)/F35,"")</x:f>
        <x:v>18.523768579363217</x:v>
      </x:c>
      <x:c r="I35" s="4" t="n">
        <x:f>IF(AND(ISNUMBER(G35),G35&gt;0),('계산 과정'!$E$56+'계산 과정'!$E$57*D35+'계산 과정'!$E$58*E35)/F35,"")</x:f>
        <x:v>13.768180244432457</x:v>
      </x:c>
      <x:c r="J35" s="4" t="n">
        <x:f>IF('계산 과정'!$L$5,'계산 과정'!$D$6+'계산 과정'!$C$35*D35+'계산 과정'!$D$35*E35,"")</x:f>
        <x:v>638.7316970097967</x:v>
      </x:c>
      <x:c r="K35" s="4" t="n">
        <x:f>IF(AND('계산 과정'!$L$6,J35&gt;0),'계산 과정'!$D$10*('계산 과정'!$C$38*(D35-'계산 과정'!$C$32)+'계산 과정'!$D$38*(E35-'계산 과정'!$D$32)-'계산 과정'!$E$38*'계산 과정'!$E$32)/J35,"")</x:f>
        <x:v>0.14113347489038727</x:v>
      </x:c>
      <x:c r="L35" s="4" t="n">
        <x:f>IF(AND('계산 과정'!$L$6,J35&gt;0),'계산 과정'!$D$10*('계산 과정'!$C$39*(D35-'계산 과정'!$C$32)+'계산 과정'!$D$39*(E35-'계산 과정'!$D$32)-'계산 과정'!$E$39*'계산 과정'!$E$32)/J35,"")</x:f>
        <x:v>0.10490042090996159</x:v>
      </x:c>
      <x:c r="M35" s="17" t="n">
        <x:f>IF('계산 과정'!$L$6,IF(J35&lt;=0,0,IF(AND(ABS(K35)&lt;='계산 과정'!$D$11/2,ABS(L35)&lt;='계산 과정'!$D$12/2),1,0)),"")</x:f>
        <x:v>1</x:v>
      </x:c>
      <x:c r="N35" s="17" t="n">
        <x:f>IF('계산 과정'!$C$78,IF(AND(ISNUMBER(H35),ISNUMBER(I35),ABS(H35-'계산 과정'!$C$88)&lt;='계산 과정'!$D$23/2,ABS(I35-'계산 과정'!$C$89)&lt;='계산 과정'!$D$24/2),1,0),"")</x:f>
        <x:v>1</x:v>
      </x:c>
      <x:c r="O35" s="4" t="n">
        <x:f>IF('계산 과정'!$L$7,'계산 과정'!$C$49*('계산 과정'!$C$32-D35)+'계산 과정'!$D$49*('계산 과정'!$D$32-E35)+'계산 과정'!$E$49*'계산 과정'!$E$32,"")</x:f>
        <x:v>11.268302990203438</x:v>
      </x:c>
      <x:c r="P35" s="4" t="n">
        <x:f>IF(AND('계산 과정'!$L$7,O35&lt;&gt;0),('계산 과정'!$L$23-'계산 과정'!$C$49*D35-'계산 과정'!$D$49*E35)/O35,"")</x:f>
        <x:v>36.49780302746175</x:v>
      </x:c>
      <x:c r="Q35" s="4" t="str">
        <x:f>IF(AND(ISNUMBER(P35),P35&gt;1E-9,P35&lt;1-1E-9),'계산 과정'!$C$47*(D35-'계산 과정'!$C$50+P35*('계산 과정'!$C$32-D35))+'계산 과정'!$D$47*(E35-'계산 과정'!$D$50+P35*('계산 과정'!$D$32-E35))+'계산 과정'!$E$47*(0-'계산 과정'!$E$50+P35*('계산 과정'!$E$32-0)),"")</x:f>
      </x:c>
      <x:c r="R35" s="4" t="str">
        <x:f>IF(AND(ISNUMBER(P35),P35&gt;1E-9,P35&lt;1-1E-9),'계산 과정'!$C$48*(D35-'계산 과정'!$C$50+P35*('계산 과정'!$C$32-D35))+'계산 과정'!$D$48*(E35-'계산 과정'!$D$50+P35*('계산 과정'!$D$32-E35))+'계산 과정'!$E$48*(0-'계산 과정'!$E$50+P35*('계산 과정'!$E$32-0)),"")</x:f>
      </x:c>
      <x:c r="S35" s="17" t="n">
        <x:f>IF('계산 과정'!$C$78,IF(AND(ISNUMBER(Q35),ISNUMBER(R35),ABS(Q35-'계산 과정'!$C$88)&lt;='계산 과정'!$D$23/2,ABS(R35-'계산 과정'!$C$89)&lt;='계산 과정'!$D$24/2),1,0),"")</x:f>
        <x:v>0</x:v>
      </x:c>
      <x:c r="T35" s="4"/>
      <x:c r="U35" s="4"/>
      <x:c r="V35" s="4"/>
      <x:c r="W35" s="4" t="n">
        <x:f>IF('계산 과정'!$C$77,('계산 과정'!$D$56+'계산 과정'!$D$57*('계산 과정'!$L$11*COS(29*2*PI()/240))+'계산 과정'!$D$58*('계산 과정'!$L$11*SIN(29*2*PI()/240)))/('계산 과정'!$D$59+'계산 과정'!$D$60*('계산 과정'!$L$11*COS(29*2*PI()/240))+'계산 과정'!$D$61*('계산 과정'!$L$11*SIN(29*2*PI()/240))),"")</x:f>
        <x:v>140.9697178909937</x:v>
      </x:c>
      <x:c r="X35" s="4" t="n">
        <x:f>IF('계산 과정'!$C$77,('계산 과정'!$E$56+'계산 과정'!$E$57*('계산 과정'!$L$11*COS(29*2*PI()/240))+'계산 과정'!$E$58*('계산 과정'!$L$11*SIN(29*2*PI()/240)))/('계산 과정'!$E$59+'계산 과정'!$E$60*('계산 과정'!$L$11*COS(29*2*PI()/240))+'계산 과정'!$E$61*('계산 과정'!$L$11*SIN(29*2*PI()/240))),"")</x:f>
        <x:v>189.18679726683808</x:v>
      </x:c>
      <x:c r="Y35" s="4" t="str">
        <x:f>""</x:f>
      </x:c>
      <x:c r="Z35" s="4" t="str">
        <x:f>""</x:f>
      </x:c>
    </x:row>
    <x:row r="36" ht="23" customHeight="1">
      <x:c r="A36" s="17" t="n">
        <x:f>ROW()-6</x:f>
        <x:v>30</x:v>
      </x:c>
      <x:c r="B36" s="4" t="n">
        <x:f>IF('계산 과정'!$L$5,'계산 과정'!$L$11*SQRT((A36+0.5)/'계산 과정'!$L$30),"")</x:f>
        <x:v>18.30527267790622</x:v>
      </x:c>
      <x:c r="C36" s="4" t="n">
        <x:f>A36*PI()*(3-SQRT(5))</x:f>
        <x:v>71.99889689185959</x:v>
      </x:c>
      <x:c r="D36" s="4" t="n">
        <x:f>IF('계산 과정'!$L$5,B36*COS(C36),"")</x:f>
        <x:v>-17.700649616812836</x:v>
      </x:c>
      <x:c r="E36" s="4" t="n">
        <x:f>IF('계산 과정'!$L$5,B36*SIN(C36),"")</x:f>
        <x:v>4.665834432909465</x:v>
      </x:c>
      <x:c r="F36" s="4" t="n">
        <x:f>IF('계산 과정'!$L$7,'계산 과정'!$L$22+'계산 과정'!$C$49*D36+'계산 과정'!$D$49*E36,"")</x:f>
        <x:v>662.5162493754555</x:v>
      </x:c>
      <x:c r="G36" s="4" t="n">
        <x:f>IF('계산 과정'!$L$7,IF(ABS(F36)&gt;=1E-12*MAX(1,SQRT((D36-'계산 과정'!$C$33)^2+(E36-'계산 과정'!$D$33)^2+'계산 과정'!$E$33^2)),('계산 과정'!$L$23-'계산 과정'!$C$49*D36-'계산 과정'!$D$49*E36)/F36,""),"")</x:f>
        <x:v>0.5848667877804054</x:v>
      </x:c>
      <x:c r="H36" s="4" t="n">
        <x:f>IF(AND(ISNUMBER(G36),G36&gt;0),('계산 과정'!$D$56+'계산 과정'!$D$57*D36+'계산 과정'!$D$58*E36)/F36,"")</x:f>
        <x:v>-19.836587942736653</x:v>
      </x:c>
      <x:c r="I36" s="4" t="n">
        <x:f>IF(AND(ISNUMBER(G36),G36&gt;0),('계산 과정'!$E$56+'계산 과정'!$E$57*D36+'계산 과정'!$E$58*E36)/F36,"")</x:f>
        <x:v>7.394726030000432</x:v>
      </x:c>
      <x:c r="J36" s="4" t="n">
        <x:f>IF('계산 과정'!$L$5,'계산 과정'!$D$6+'계산 과정'!$C$35*D36+'계산 과정'!$D$35*E36,"")</x:f>
        <x:v>662.5162493754555</x:v>
      </x:c>
      <x:c r="K36" s="4" t="n">
        <x:f>IF(AND('계산 과정'!$L$6,J36&gt;0),'계산 과정'!$D$10*('계산 과정'!$C$38*(D36-'계산 과정'!$C$32)+'계산 과정'!$D$38*(E36-'계산 과정'!$D$32)-'계산 과정'!$E$38*'계산 과정'!$E$32)/J36,"")</x:f>
        <x:v>-0.15113590813513528</x:v>
      </x:c>
      <x:c r="L36" s="4" t="n">
        <x:f>IF(AND('계산 과정'!$L$6,J36&gt;0),'계산 과정'!$D$10*('계산 과정'!$C$39*(D36-'계산 과정'!$C$32)+'계산 과정'!$D$39*(E36-'계산 과정'!$D$32)-'계산 과정'!$E$39*'계산 과정'!$E$32)/J36,"")</x:f>
        <x:v>0.056340769752384244</x:v>
      </x:c>
      <x:c r="M36" s="17" t="n">
        <x:f>IF('계산 과정'!$L$6,IF(J36&lt;=0,0,IF(AND(ABS(K36)&lt;='계산 과정'!$D$11/2,ABS(L36)&lt;='계산 과정'!$D$12/2),1,0)),"")</x:f>
        <x:v>1</x:v>
      </x:c>
      <x:c r="N36" s="17" t="n">
        <x:f>IF('계산 과정'!$C$78,IF(AND(ISNUMBER(H36),ISNUMBER(I36),ABS(H36-'계산 과정'!$C$88)&lt;='계산 과정'!$D$23/2,ABS(I36-'계산 과정'!$C$89)&lt;='계산 과정'!$D$24/2),1,0),"")</x:f>
        <x:v>1</x:v>
      </x:c>
      <x:c r="O36" s="4" t="n">
        <x:f>IF('계산 과정'!$L$7,'계산 과정'!$C$49*('계산 과정'!$C$32-D36)+'계산 과정'!$D$49*('계산 과정'!$D$32-E36)+'계산 과정'!$E$49*'계산 과정'!$E$32,"")</x:f>
        <x:v>-12.516249375455288</x:v>
      </x:c>
      <x:c r="P36" s="4" t="n">
        <x:f>IF(AND('계산 과정'!$L$7,O36&lt;&gt;0),('계산 과정'!$L$23-'계산 과정'!$C$49*D36-'계산 과정'!$D$49*E36)/O36,"")</x:f>
        <x:v>-30.95845560447293</x:v>
      </x:c>
      <x:c r="Q36" s="4" t="str">
        <x:f>IF(AND(ISNUMBER(P36),P36&gt;1E-9,P36&lt;1-1E-9),'계산 과정'!$C$47*(D36-'계산 과정'!$C$50+P36*('계산 과정'!$C$32-D36))+'계산 과정'!$D$47*(E36-'계산 과정'!$D$50+P36*('계산 과정'!$D$32-E36))+'계산 과정'!$E$47*(0-'계산 과정'!$E$50+P36*('계산 과정'!$E$32-0)),"")</x:f>
      </x:c>
      <x:c r="R36" s="4" t="str">
        <x:f>IF(AND(ISNUMBER(P36),P36&gt;1E-9,P36&lt;1-1E-9),'계산 과정'!$C$48*(D36-'계산 과정'!$C$50+P36*('계산 과정'!$C$32-D36))+'계산 과정'!$D$48*(E36-'계산 과정'!$D$50+P36*('계산 과정'!$D$32-E36))+'계산 과정'!$E$48*(0-'계산 과정'!$E$50+P36*('계산 과정'!$E$32-0)),"")</x:f>
      </x:c>
      <x:c r="S36" s="17" t="n">
        <x:f>IF('계산 과정'!$C$78,IF(AND(ISNUMBER(Q36),ISNUMBER(R36),ABS(Q36-'계산 과정'!$C$88)&lt;='계산 과정'!$D$23/2,ABS(R36-'계산 과정'!$C$89)&lt;='계산 과정'!$D$24/2),1,0),"")</x:f>
        <x:v>0</x:v>
      </x:c>
      <x:c r="T36" s="4"/>
      <x:c r="U36" s="4"/>
      <x:c r="V36" s="4"/>
      <x:c r="W36" s="4" t="n">
        <x:f>IF('계산 과정'!$C$77,('계산 과정'!$D$56+'계산 과정'!$D$57*('계산 과정'!$L$11*COS(30*2*PI()/240))+'계산 과정'!$D$58*('계산 과정'!$L$11*SIN(30*2*PI()/240)))/('계산 과정'!$D$59+'계산 과정'!$D$60*('계산 과정'!$L$11*COS(30*2*PI()/240))+'계산 과정'!$D$61*('계산 과정'!$L$11*SIN(30*2*PI()/240))),"")</x:f>
        <x:v>136.95652173913035</x:v>
      </x:c>
      <x:c r="X36" s="4" t="n">
        <x:f>IF('계산 과정'!$C$77,('계산 과정'!$E$56+'계산 과정'!$E$57*('계산 과정'!$L$11*COS(30*2*PI()/240))+'계산 과정'!$E$58*('계산 과정'!$L$11*SIN(30*2*PI()/240)))/('계산 과정'!$E$59+'계산 과정'!$E$60*('계산 과정'!$L$11*COS(30*2*PI()/240))+'계산 과정'!$E$61*('계산 과정'!$L$11*SIN(30*2*PI()/240))),"")</x:f>
        <x:v>193.68577049892386</x:v>
      </x:c>
      <x:c r="Y36" s="4" t="str">
        <x:f>""</x:f>
      </x:c>
      <x:c r="Z36" s="4" t="str">
        <x:f>""</x:f>
      </x:c>
    </x:row>
    <x:row r="37" ht="23" customHeight="1">
      <x:c r="A37" s="17" t="n">
        <x:f>ROW()-6</x:f>
        <x:v>31</x:v>
      </x:c>
      <x:c r="B37" s="4" t="n">
        <x:f>IF('계산 과정'!$L$5,'계산 과정'!$L$11*SQRT((A37+0.5)/'계산 과정'!$L$30),"")</x:f>
        <x:v>18.602938905922905</x:v>
      </x:c>
      <x:c r="C37" s="4" t="n">
        <x:f>A37*PI()*(3-SQRT(5))</x:f>
        <x:v>74.39886012158824</x:v>
      </x:c>
      <x:c r="D37" s="4" t="n">
        <x:f>IF('계산 과정'!$L$5,B37*COS(C37),"")</x:f>
        <x:v>10.061171404691288</x:v>
      </x:c>
      <x:c r="E37" s="4" t="n">
        <x:f>IF('계산 과정'!$L$5,B37*SIN(C37),"")</x:f>
        <x:v>-15.64743320493564</x:v>
      </x:c>
      <x:c r="F37" s="4" t="n">
        <x:f>IF('계산 과정'!$L$7,'계산 과정'!$L$22+'계산 과정'!$C$49*D37+'계산 과정'!$D$49*E37,"")</x:f>
        <x:v>642.8856774730626</x:v>
      </x:c>
      <x:c r="G37" s="4" t="n">
        <x:f>IF('계산 과정'!$L$7,IF(ABS(F37)&gt;=1E-12*MAX(1,SQRT((D37-'계산 과정'!$C$33)^2+(E37-'계산 과정'!$D$33)^2+'계산 과정'!$E$33^2)),('계산 과정'!$L$23-'계산 과정'!$C$49*D37-'계산 과정'!$D$49*E37)/F37,""),"")</x:f>
        <x:v>0.6332608374900307</x:v>
      </x:c>
      <x:c r="H37" s="4" t="n">
        <x:f>IF(AND(ISNUMBER(G37),G37&gt;0),('계산 과정'!$D$56+'계산 과정'!$D$57*D37+'계산 과정'!$D$58*E37)/F37,"")</x:f>
        <x:v>11.619544368519843</x:v>
      </x:c>
      <x:c r="I37" s="4" t="n">
        <x:f>IF(AND(ISNUMBER(G37),G37&gt;0),('계산 과정'!$E$56+'계산 과정'!$E$57*D37+'계산 과정'!$E$58*E37)/F37,"")</x:f>
        <x:v>-25.556339860862497</x:v>
      </x:c>
      <x:c r="J37" s="4" t="n">
        <x:f>IF('계산 과정'!$L$5,'계산 과정'!$D$6+'계산 과정'!$C$35*D37+'계산 과정'!$D$35*E37,"")</x:f>
        <x:v>642.8856774730626</x:v>
      </x:c>
      <x:c r="K37" s="4" t="n">
        <x:f>IF(AND('계산 과정'!$L$6,J37&gt;0),'계산 과정'!$D$10*('계산 과정'!$C$38*(D37-'계산 과정'!$C$32)+'계산 과정'!$D$38*(E37-'계산 과정'!$D$32)-'계산 과정'!$E$38*'계산 과정'!$E$32)/J37,"")</x:f>
        <x:v>0.08852986185538989</x:v>
      </x:c>
      <x:c r="L37" s="4" t="n">
        <x:f>IF(AND('계산 과정'!$L$6,J37&gt;0),'계산 과정'!$D$10*('계산 과정'!$C$39*(D37-'계산 과정'!$C$32)+'계산 과정'!$D$39*(E37-'계산 과정'!$D$32)-'계산 과정'!$E$39*'계산 과정'!$E$32)/J37,"")</x:f>
        <x:v>-0.19471497036847615</x:v>
      </x:c>
      <x:c r="M37" s="17" t="n">
        <x:f>IF('계산 과정'!$L$6,IF(J37&lt;=0,0,IF(AND(ABS(K37)&lt;='계산 과정'!$D$11/2,ABS(L37)&lt;='계산 과정'!$D$12/2),1,0)),"")</x:f>
        <x:v>1</x:v>
      </x:c>
      <x:c r="N37" s="17" t="n">
        <x:f>IF('계산 과정'!$C$78,IF(AND(ISNUMBER(H37),ISNUMBER(I37),ABS(H37-'계산 과정'!$C$88)&lt;='계산 과정'!$D$23/2,ABS(I37-'계산 과정'!$C$89)&lt;='계산 과정'!$D$24/2),1,0),"")</x:f>
        <x:v>1</x:v>
      </x:c>
      <x:c r="O37" s="4" t="n">
        <x:f>IF('계산 과정'!$L$7,'계산 과정'!$C$49*('계산 과정'!$C$32-D37)+'계산 과정'!$D$49*('계산 과정'!$D$32-E37)+'계산 과정'!$E$49*'계산 과정'!$E$32,"")</x:f>
        <x:v>7.114322526937485</x:v>
      </x:c>
      <x:c r="P37" s="4" t="n">
        <x:f>IF(AND('계산 과정'!$L$7,O37&lt;&gt;0),('계산 과정'!$L$23-'계산 과정'!$C$49*D37-'계산 과정'!$D$49*E37)/O37,"")</x:f>
        <x:v>57.224608665891985</x:v>
      </x:c>
      <x:c r="Q37" s="4" t="str">
        <x:f>IF(AND(ISNUMBER(P37),P37&gt;1E-9,P37&lt;1-1E-9),'계산 과정'!$C$47*(D37-'계산 과정'!$C$50+P37*('계산 과정'!$C$32-D37))+'계산 과정'!$D$47*(E37-'계산 과정'!$D$50+P37*('계산 과정'!$D$32-E37))+'계산 과정'!$E$47*(0-'계산 과정'!$E$50+P37*('계산 과정'!$E$32-0)),"")</x:f>
      </x:c>
      <x:c r="R37" s="4" t="str">
        <x:f>IF(AND(ISNUMBER(P37),P37&gt;1E-9,P37&lt;1-1E-9),'계산 과정'!$C$48*(D37-'계산 과정'!$C$50+P37*('계산 과정'!$C$32-D37))+'계산 과정'!$D$48*(E37-'계산 과정'!$D$50+P37*('계산 과정'!$D$32-E37))+'계산 과정'!$E$48*(0-'계산 과정'!$E$50+P37*('계산 과정'!$E$32-0)),"")</x:f>
      </x:c>
      <x:c r="S37" s="17" t="n">
        <x:f>IF('계산 과정'!$C$78,IF(AND(ISNUMBER(Q37),ISNUMBER(R37),ABS(Q37-'계산 과정'!$C$88)&lt;='계산 과정'!$D$23/2,ABS(R37-'계산 과정'!$C$89)&lt;='계산 과정'!$D$24/2),1,0),"")</x:f>
        <x:v>0</x:v>
      </x:c>
      <x:c r="T37" s="4"/>
      <x:c r="U37" s="4"/>
      <x:c r="V37" s="4"/>
      <x:c r="W37" s="4" t="n">
        <x:f>IF('계산 과정'!$C$77,('계산 과정'!$D$56+'계산 과정'!$D$57*('계산 과정'!$L$11*COS(31*2*PI()/240))+'계산 과정'!$D$58*('계산 과정'!$L$11*SIN(31*2*PI()/240)))/('계산 과정'!$D$59+'계산 과정'!$D$60*('계산 과정'!$L$11*COS(31*2*PI()/240))+'계산 과정'!$D$61*('계산 과정'!$L$11*SIN(31*2*PI()/240))),"")</x:f>
        <x:v>132.8648958923368</x:v>
      </x:c>
      <x:c r="X37" s="4" t="n">
        <x:f>IF('계산 과정'!$C$77,('계산 과정'!$E$56+'계산 과정'!$E$57*('계산 과정'!$L$11*COS(31*2*PI()/240))+'계산 과정'!$E$58*('계산 과정'!$L$11*SIN(31*2*PI()/240)))/('계산 과정'!$E$59+'계산 과정'!$E$60*('계산 과정'!$L$11*COS(31*2*PI()/240))+'계산 과정'!$E$61*('계산 과정'!$L$11*SIN(31*2*PI()/240))),"")</x:f>
        <x:v>198.00458765778893</x:v>
      </x:c>
      <x:c r="Y37" s="4" t="str">
        <x:f>""</x:f>
      </x:c>
      <x:c r="Z37" s="4" t="str">
        <x:f>""</x:f>
      </x:c>
    </x:row>
    <x:row r="38" ht="23" customHeight="1">
      <x:c r="A38" s="17" t="n">
        <x:f>ROW()-6</x:f>
        <x:v>32</x:v>
      </x:c>
      <x:c r="B38" s="4" t="n">
        <x:f>IF('계산 과정'!$L$5,'계산 과정'!$L$11*SQRT((A38+0.5)/'계산 과정'!$L$30),"")</x:f>
        <x:v>18.895916597574725</x:v>
      </x:c>
      <x:c r="C38" s="4" t="n">
        <x:f>A38*PI()*(3-SQRT(5))</x:f>
        <x:v>76.7988233513169</x:v>
      </x:c>
      <x:c r="D38" s="4" t="n">
        <x:f>IF('계산 과정'!$L$5,B38*COS(C38),"")</x:f>
        <x:v>3.2005180292495905</x:v>
      </x:c>
      <x:c r="E38" s="4" t="n">
        <x:f>IF('계산 과정'!$L$5,B38*SIN(C38),"")</x:f>
        <x:v>18.622898496392775</x:v>
      </x:c>
      <x:c r="F38" s="4" t="n">
        <x:f>IF('계산 과정'!$L$7,'계산 과정'!$L$22+'계산 과정'!$C$49*D38+'계산 과정'!$D$49*E38,"")</x:f>
        <x:v>647.7368919982079</x:v>
      </x:c>
      <x:c r="G38" s="4" t="n">
        <x:f>IF('계산 과정'!$L$7,IF(ABS(F38)&gt;=1E-12*MAX(1,SQRT((D38-'계산 과정'!$C$33)^2+(E38-'계산 과정'!$D$33)^2+'계산 과정'!$E$33^2)),('계산 과정'!$L$23-'계산 과정'!$C$49*D38-'계산 과정'!$D$49*E38)/F38,""),"")</x:f>
        <x:v>0.6210285580011478</x:v>
      </x:c>
      <x:c r="H38" s="4" t="n">
        <x:f>IF(AND(ISNUMBER(G38),G38&gt;0),('계산 과정'!$D$56+'계산 과정'!$D$57*D38+'계산 과정'!$D$58*E38)/F38,"")</x:f>
        <x:v>3.6685627007459405</x:v>
      </x:c>
      <x:c r="I38" s="4" t="n">
        <x:f>IF(AND(ISNUMBER(G38),G38&gt;0),('계산 과정'!$E$56+'계산 과정'!$E$57*D38+'계산 과정'!$E$58*E38)/F38,"")</x:f>
        <x:v>30.18825029540932</x:v>
      </x:c>
      <x:c r="J38" s="4" t="n">
        <x:f>IF('계산 과정'!$L$5,'계산 과정'!$D$6+'계산 과정'!$C$35*D38+'계산 과정'!$D$35*E38,"")</x:f>
        <x:v>647.7368919982079</x:v>
      </x:c>
      <x:c r="K38" s="4" t="n">
        <x:f>IF(AND('계산 과정'!$L$6,J38&gt;0),'계산 과정'!$D$10*('계산 과정'!$C$38*(D38-'계산 과정'!$C$32)+'계산 과정'!$D$38*(E38-'계산 과정'!$D$32)-'계산 과정'!$E$38*'계산 과정'!$E$32)/J38,"")</x:f>
        <x:v>0.027950953910446292</x:v>
      </x:c>
      <x:c r="L38" s="4" t="n">
        <x:f>IF(AND('계산 과정'!$L$6,J38&gt;0),'계산 과정'!$D$10*('계산 과정'!$C$39*(D38-'계산 과정'!$C$32)+'계산 과정'!$D$39*(E38-'계산 과정'!$D$32)-'계산 과정'!$E$39*'계산 과정'!$E$32)/J38,"")</x:f>
        <x:v>0.23000571653645197</x:v>
      </x:c>
      <x:c r="M38" s="17" t="n">
        <x:f>IF('계산 과정'!$L$6,IF(J38&lt;=0,0,IF(AND(ABS(K38)&lt;='계산 과정'!$D$11/2,ABS(L38)&lt;='계산 과정'!$D$12/2),1,0)),"")</x:f>
        <x:v>1</x:v>
      </x:c>
      <x:c r="N38" s="17" t="n">
        <x:f>IF('계산 과정'!$C$78,IF(AND(ISNUMBER(H38),ISNUMBER(I38),ABS(H38-'계산 과정'!$C$88)&lt;='계산 과정'!$D$23/2,ABS(I38-'계산 과정'!$C$89)&lt;='계산 과정'!$D$24/2),1,0),"")</x:f>
        <x:v>1</x:v>
      </x:c>
      <x:c r="O38" s="4" t="n">
        <x:f>IF('계산 과정'!$L$7,'계산 과정'!$C$49*('계산 과정'!$C$32-D38)+'계산 과정'!$D$49*('계산 과정'!$D$32-E38)+'계산 과정'!$E$49*'계산 과정'!$E$32,"")</x:f>
        <x:v>2.2631080017922613</x:v>
      </x:c>
      <x:c r="P38" s="4" t="n">
        <x:f>IF(AND('계산 과정'!$L$7,O38&lt;&gt;0),('계산 과정'!$L$23-'계산 과정'!$C$49*D38-'계산 과정'!$D$49*E38)/O38,"")</x:f>
        <x:v>177.74808258519752</x:v>
      </x:c>
      <x:c r="Q38" s="4" t="str">
        <x:f>IF(AND(ISNUMBER(P38),P38&gt;1E-9,P38&lt;1-1E-9),'계산 과정'!$C$47*(D38-'계산 과정'!$C$50+P38*('계산 과정'!$C$32-D38))+'계산 과정'!$D$47*(E38-'계산 과정'!$D$50+P38*('계산 과정'!$D$32-E38))+'계산 과정'!$E$47*(0-'계산 과정'!$E$50+P38*('계산 과정'!$E$32-0)),"")</x:f>
      </x:c>
      <x:c r="R38" s="4" t="str">
        <x:f>IF(AND(ISNUMBER(P38),P38&gt;1E-9,P38&lt;1-1E-9),'계산 과정'!$C$48*(D38-'계산 과정'!$C$50+P38*('계산 과정'!$C$32-D38))+'계산 과정'!$D$48*(E38-'계산 과정'!$D$50+P38*('계산 과정'!$D$32-E38))+'계산 과정'!$E$48*(0-'계산 과정'!$E$50+P38*('계산 과정'!$E$32-0)),"")</x:f>
      </x:c>
      <x:c r="S38" s="17" t="n">
        <x:f>IF('계산 과정'!$C$78,IF(AND(ISNUMBER(Q38),ISNUMBER(R38),ABS(Q38-'계산 과정'!$C$88)&lt;='계산 과정'!$D$23/2,ABS(R38-'계산 과정'!$C$89)&lt;='계산 과정'!$D$24/2),1,0),"")</x:f>
        <x:v>0</x:v>
      </x:c>
      <x:c r="T38" s="4"/>
      <x:c r="U38" s="4"/>
      <x:c r="V38" s="4"/>
      <x:c r="W38" s="4" t="n">
        <x:f>IF('계산 과정'!$C$77,('계산 과정'!$D$56+'계산 과정'!$D$57*('계산 과정'!$L$11*COS(32*2*PI()/240))+'계산 과정'!$D$58*('계산 과정'!$L$11*SIN(32*2*PI()/240)))/('계산 과정'!$D$59+'계산 과정'!$D$60*('계산 과정'!$L$11*COS(32*2*PI()/240))+'계산 과정'!$D$61*('계산 과정'!$L$11*SIN(32*2*PI()/240))),"")</x:f>
        <x:v>128.69951310535131</x:v>
      </x:c>
      <x:c r="X38" s="4" t="n">
        <x:f>IF('계산 과정'!$C$77,('계산 과정'!$E$56+'계산 과정'!$E$57*('계산 과정'!$L$11*COS(32*2*PI()/240))+'계산 과정'!$E$58*('계산 과정'!$L$11*SIN(32*2*PI()/240)))/('계산 과정'!$E$59+'계산 과정'!$E$60*('계산 과정'!$L$11*COS(32*2*PI()/240))+'계산 과정'!$E$61*('계산 과정'!$L$11*SIN(32*2*PI()/240))),"")</x:f>
        <x:v>202.1410255285306</x:v>
      </x:c>
      <x:c r="Y38" s="4" t="str">
        <x:f>""</x:f>
      </x:c>
      <x:c r="Z38" s="4" t="str">
        <x:f>""</x:f>
      </x:c>
    </x:row>
    <x:row r="39" ht="23" customHeight="1">
      <x:c r="A39" s="17" t="n">
        <x:f>ROW()-6</x:f>
        <x:v>33</x:v>
      </x:c>
      <x:c r="B39" s="4" t="n">
        <x:f>IF('계산 과정'!$L$5,'계산 과정'!$L$11*SQRT((A39+0.5)/'계산 과정'!$L$30),"")</x:f>
        <x:v>19.184420559076056</x:v>
      </x:c>
      <x:c r="C39" s="4" t="n">
        <x:f>A39*PI()*(3-SQRT(5))</x:f>
        <x:v>79.19878658104555</x:v>
      </x:c>
      <x:c r="D39" s="4" t="n">
        <x:f>IF('계산 과정'!$L$5,B39*COS(C39),"")</x:f>
        <x:v>-15.16764749185377</x:v>
      </x:c>
      <x:c r="E39" s="4" t="n">
        <x:f>IF('계산 과정'!$L$5,B39*SIN(C39),"")</x:f>
        <x:v>-11.746678754029245</x:v>
      </x:c>
      <x:c r="F39" s="4" t="n">
        <x:f>IF('계산 과정'!$L$7,'계산 과정'!$L$22+'계산 과정'!$C$49*D39+'계산 과정'!$D$49*E39,"")</x:f>
        <x:v>660.7251463961369</x:v>
      </x:c>
      <x:c r="G39" s="4" t="n">
        <x:f>IF('계산 과정'!$L$7,IF(ABS(F39)&gt;=1E-12*MAX(1,SQRT((D39-'계산 과정'!$C$33)^2+(E39-'계산 과정'!$D$33)^2+'계산 과정'!$E$33^2)),('계산 과정'!$L$23-'계산 과정'!$C$49*D39-'계산 과정'!$D$49*E39)/F39,""),"")</x:f>
        <x:v>0.5891630668624104</x:v>
      </x:c>
      <x:c r="H39" s="4" t="n">
        <x:f>IF(AND(ISNUMBER(G39),G39&gt;0),('계산 과정'!$D$56+'계산 과정'!$D$57*D39+'계산 과정'!$D$58*E39)/F39,"")</x:f>
        <x:v>-17.044006539433408</x:v>
      </x:c>
      <x:c r="I39" s="4" t="n">
        <x:f>IF(AND(ISNUMBER(G39),G39&gt;0),('계산 과정'!$E$56+'계산 과정'!$E$57*D39+'계산 과정'!$E$58*E39)/F39,"")</x:f>
        <x:v>-18.667388034200634</x:v>
      </x:c>
      <x:c r="J39" s="4" t="n">
        <x:f>IF('계산 과정'!$L$5,'계산 과정'!$D$6+'계산 과정'!$C$35*D39+'계산 과정'!$D$35*E39,"")</x:f>
        <x:v>660.7251463961369</x:v>
      </x:c>
      <x:c r="K39" s="4" t="n">
        <x:f>IF(AND('계산 과정'!$L$6,J39&gt;0),'계산 과정'!$D$10*('계산 과정'!$C$38*(D39-'계산 과정'!$C$32)+'계산 과정'!$D$38*(E39-'계산 과정'!$D$32)-'계산 과정'!$E$38*'계산 과정'!$E$32)/J39,"")</x:f>
        <x:v>-0.12985909744330082</x:v>
      </x:c>
      <x:c r="L39" s="4" t="n">
        <x:f>IF(AND('계산 과정'!$L$6,J39&gt;0),'계산 과정'!$D$10*('계산 과정'!$C$39*(D39-'계산 과정'!$C$32)+'계산 과정'!$D$39*(E39-'계산 과정'!$D$32)-'계산 과정'!$E$39*'계산 과정'!$E$32)/J39,"")</x:f>
        <x:v>-0.14222771835581435</x:v>
      </x:c>
      <x:c r="M39" s="17" t="n">
        <x:f>IF('계산 과정'!$L$6,IF(J39&lt;=0,0,IF(AND(ABS(K39)&lt;='계산 과정'!$D$11/2,ABS(L39)&lt;='계산 과정'!$D$12/2),1,0)),"")</x:f>
        <x:v>1</x:v>
      </x:c>
      <x:c r="N39" s="17" t="n">
        <x:f>IF('계산 과정'!$C$78,IF(AND(ISNUMBER(H39),ISNUMBER(I39),ABS(H39-'계산 과정'!$C$88)&lt;='계산 과정'!$D$23/2,ABS(I39-'계산 과정'!$C$89)&lt;='계산 과정'!$D$24/2),1,0),"")</x:f>
        <x:v>1</x:v>
      </x:c>
      <x:c r="O39" s="4" t="n">
        <x:f>IF('계산 과정'!$L$7,'계산 과정'!$C$49*('계산 과정'!$C$32-D39)+'계산 과정'!$D$49*('계산 과정'!$D$32-E39)+'계산 과정'!$E$49*'계산 과정'!$E$32,"")</x:f>
        <x:v>-10.725146396136779</x:v>
      </x:c>
      <x:c r="P39" s="4" t="n">
        <x:f>IF(AND('계산 과정'!$L$7,O39&lt;&gt;0),('계산 과정'!$L$23-'계산 과정'!$C$49*D39-'계산 과정'!$D$49*E39)/O39,"")</x:f>
        <x:v>-36.2955282124709</x:v>
      </x:c>
      <x:c r="Q39" s="4" t="str">
        <x:f>IF(AND(ISNUMBER(P39),P39&gt;1E-9,P39&lt;1-1E-9),'계산 과정'!$C$47*(D39-'계산 과정'!$C$50+P39*('계산 과정'!$C$32-D39))+'계산 과정'!$D$47*(E39-'계산 과정'!$D$50+P39*('계산 과정'!$D$32-E39))+'계산 과정'!$E$47*(0-'계산 과정'!$E$50+P39*('계산 과정'!$E$32-0)),"")</x:f>
      </x:c>
      <x:c r="R39" s="4" t="str">
        <x:f>IF(AND(ISNUMBER(P39),P39&gt;1E-9,P39&lt;1-1E-9),'계산 과정'!$C$48*(D39-'계산 과정'!$C$50+P39*('계산 과정'!$C$32-D39))+'계산 과정'!$D$48*(E39-'계산 과정'!$D$50+P39*('계산 과정'!$D$32-E39))+'계산 과정'!$E$48*(0-'계산 과정'!$E$50+P39*('계산 과정'!$E$32-0)),"")</x:f>
      </x:c>
      <x:c r="S39" s="17" t="n">
        <x:f>IF('계산 과정'!$C$78,IF(AND(ISNUMBER(Q39),ISNUMBER(R39),ABS(Q39-'계산 과정'!$C$88)&lt;='계산 과정'!$D$23/2,ABS(R39-'계산 과정'!$C$89)&lt;='계산 과정'!$D$24/2),1,0),"")</x:f>
        <x:v>0</x:v>
      </x:c>
      <x:c r="T39" s="4"/>
      <x:c r="U39" s="4"/>
      <x:c r="V39" s="4"/>
      <x:c r="W39" s="4" t="n">
        <x:f>IF('계산 과정'!$C$77,('계산 과정'!$D$56+'계산 과정'!$D$57*('계산 과정'!$L$11*COS(33*2*PI()/240))+'계산 과정'!$D$58*('계산 과정'!$L$11*SIN(33*2*PI()/240)))/('계산 과정'!$D$59+'계산 과정'!$D$60*('계산 과정'!$L$11*COS(33*2*PI()/240))+'계산 과정'!$D$61*('계산 과정'!$L$11*SIN(33*2*PI()/240))),"")</x:f>
        <x:v>124.46505005443657</x:v>
      </x:c>
      <x:c r="X39" s="4" t="n">
        <x:f>IF('계산 과정'!$C$77,('계산 과정'!$E$56+'계산 과정'!$E$57*('계산 과정'!$L$11*COS(33*2*PI()/240))+'계산 과정'!$E$58*('계산 과정'!$L$11*SIN(33*2*PI()/240)))/('계산 과정'!$E$59+'계산 과정'!$E$60*('계산 과정'!$L$11*COS(33*2*PI()/240))+'계산 과정'!$E$61*('계산 과정'!$L$11*SIN(33*2*PI()/240))),"")</x:f>
        <x:v>206.09313010387672</x:v>
      </x:c>
      <x:c r="Y39" s="4" t="str">
        <x:f>""</x:f>
      </x:c>
      <x:c r="Z39" s="4" t="str">
        <x:f>""</x:f>
      </x:c>
    </x:row>
    <x:row r="40" ht="23" customHeight="1">
      <x:c r="A40" s="17" t="n">
        <x:f>ROW()-6</x:f>
        <x:v>34</x:v>
      </x:c>
      <x:c r="B40" s="4" t="n">
        <x:f>IF('계산 과정'!$L$5,'계산 과정'!$L$11*SQRT((A40+0.5)/'계산 과정'!$L$30),"")</x:f>
        <x:v>19.46864967871424</x:v>
      </x:c>
      <x:c r="C40" s="4" t="n">
        <x:f>A40*PI()*(3-SQRT(5))</x:f>
        <x:v>81.59874981077421</x:v>
      </x:c>
      <x:c r="D40" s="4" t="n">
        <x:f>IF('계산 과정'!$L$5,B40*COS(C40),"")</x:f>
        <x:v>19.402177371210986</x:v>
      </x:c>
      <x:c r="E40" s="4" t="n">
        <x:f>IF('계산 과정'!$L$5,B40*SIN(C40),"")</x:f>
        <x:v>-1.6074307352319688</x:v>
      </x:c>
      <x:c r="F40" s="4" t="n">
        <x:f>IF('계산 과정'!$L$7,'계산 과정'!$L$22+'계산 과정'!$C$49*D40+'계산 과정'!$D$49*E40,"")</x:f>
        <x:v>636.2805888110325</x:v>
      </x:c>
      <x:c r="G40" s="4" t="n">
        <x:f>IF('계산 과정'!$L$7,IF(ABS(F40)&gt;=1E-12*MAX(1,SQRT((D40-'계산 과정'!$C$33)^2+(E40-'계산 과정'!$D$33)^2+'계산 과정'!$E$33^2)),('계산 과정'!$L$23-'계산 과정'!$C$49*D40-'계산 과정'!$D$49*E40)/F40,""),"")</x:f>
        <x:v>0.6502153585449658</x:v>
      </x:c>
      <x:c r="H40" s="4" t="n">
        <x:f>IF(AND(ISNUMBER(G40),G40&gt;0),('계산 과정'!$D$56+'계산 과정'!$D$57*D40+'계산 과정'!$D$58*E40)/F40,"")</x:f>
        <x:v>22.63998305422766</x:v>
      </x:c>
      <x:c r="I40" s="4" t="n">
        <x:f>IF(AND(ISNUMBER(G40),G40&gt;0),('계산 과정'!$E$56+'계산 과정'!$E$57*D40+'계산 과정'!$E$58*E40)/F40,"")</x:f>
        <x:v>-2.652606887077021</x:v>
      </x:c>
      <x:c r="J40" s="4" t="n">
        <x:f>IF('계산 과정'!$L$5,'계산 과정'!$D$6+'계산 과정'!$C$35*D40+'계산 과정'!$D$35*E40,"")</x:f>
        <x:v>636.2805888110325</x:v>
      </x:c>
      <x:c r="K40" s="4" t="n">
        <x:f>IF(AND('계산 과정'!$L$6,J40&gt;0),'계산 과정'!$D$10*('계산 과정'!$C$38*(D40-'계산 과정'!$C$32)+'계산 과정'!$D$38*(E40-'계산 과정'!$D$32)-'계산 과정'!$E$38*'계산 과정'!$E$32)/J40,"")</x:f>
        <x:v>0.17249510898459305</x:v>
      </x:c>
      <x:c r="L40" s="4" t="n">
        <x:f>IF(AND('계산 과정'!$L$6,J40&gt;0),'계산 과정'!$D$10*('계산 과정'!$C$39*(D40-'계산 과정'!$C$32)+'계산 과정'!$D$39*(E40-'계산 과정'!$D$32)-'계산 과정'!$E$39*'계산 과정'!$E$32)/J40,"")</x:f>
        <x:v>-0.020210338187253495</x:v>
      </x:c>
      <x:c r="M40" s="17" t="n">
        <x:f>IF('계산 과정'!$L$6,IF(J40&lt;=0,0,IF(AND(ABS(K40)&lt;='계산 과정'!$D$11/2,ABS(L40)&lt;='계산 과정'!$D$12/2),1,0)),"")</x:f>
        <x:v>1</x:v>
      </x:c>
      <x:c r="N40" s="17" t="n">
        <x:f>IF('계산 과정'!$C$78,IF(AND(ISNUMBER(H40),ISNUMBER(I40),ABS(H40-'계산 과정'!$C$88)&lt;='계산 과정'!$D$23/2,ABS(I40-'계산 과정'!$C$89)&lt;='계산 과정'!$D$24/2),1,0),"")</x:f>
        <x:v>1</x:v>
      </x:c>
      <x:c r="O40" s="4" t="n">
        <x:f>IF('계산 과정'!$L$7,'계산 과정'!$C$49*('계산 과정'!$C$32-D40)+'계산 과정'!$D$49*('계산 과정'!$D$32-E40)+'계산 과정'!$E$49*'계산 과정'!$E$32,"")</x:f>
        <x:v>13.71941118896757</x:v>
      </x:c>
      <x:c r="P40" s="4" t="n">
        <x:f>IF(AND('계산 과정'!$L$7,O40&lt;&gt;0),('계산 과정'!$L$23-'계산 과정'!$C$49*D40-'계산 과정'!$D$49*E40)/O40,"")</x:f>
        <x:v>30.15577020693562</x:v>
      </x:c>
      <x:c r="Q40" s="4" t="str">
        <x:f>IF(AND(ISNUMBER(P40),P40&gt;1E-9,P40&lt;1-1E-9),'계산 과정'!$C$47*(D40-'계산 과정'!$C$50+P40*('계산 과정'!$C$32-D40))+'계산 과정'!$D$47*(E40-'계산 과정'!$D$50+P40*('계산 과정'!$D$32-E40))+'계산 과정'!$E$47*(0-'계산 과정'!$E$50+P40*('계산 과정'!$E$32-0)),"")</x:f>
      </x:c>
      <x:c r="R40" s="4" t="str">
        <x:f>IF(AND(ISNUMBER(P40),P40&gt;1E-9,P40&lt;1-1E-9),'계산 과정'!$C$48*(D40-'계산 과정'!$C$50+P40*('계산 과정'!$C$32-D40))+'계산 과정'!$D$48*(E40-'계산 과정'!$D$50+P40*('계산 과정'!$D$32-E40))+'계산 과정'!$E$48*(0-'계산 과정'!$E$50+P40*('계산 과정'!$E$32-0)),"")</x:f>
      </x:c>
      <x:c r="S40" s="17" t="n">
        <x:f>IF('계산 과정'!$C$78,IF(AND(ISNUMBER(Q40),ISNUMBER(R40),ABS(Q40-'계산 과정'!$C$88)&lt;='계산 과정'!$D$23/2,ABS(R40-'계산 과정'!$C$89)&lt;='계산 과정'!$D$24/2),1,0),"")</x:f>
        <x:v>0</x:v>
      </x:c>
      <x:c r="T40" s="4"/>
      <x:c r="U40" s="4"/>
      <x:c r="V40" s="4"/>
      <x:c r="W40" s="4" t="n">
        <x:f>IF('계산 과정'!$C$77,('계산 과정'!$D$56+'계산 과정'!$D$57*('계산 과정'!$L$11*COS(34*2*PI()/240))+'계산 과정'!$D$58*('계산 과정'!$L$11*SIN(34*2*PI()/240)))/('계산 과정'!$D$59+'계산 과정'!$D$60*('계산 과정'!$L$11*COS(34*2*PI()/240))+'계산 과정'!$D$61*('계산 과정'!$L$11*SIN(34*2*PI()/240))),"")</x:f>
        <x:v>120.16617845687286</x:v>
      </x:c>
      <x:c r="X40" s="4" t="n">
        <x:f>IF('계산 과정'!$C$77,('계산 과정'!$E$56+'계산 과정'!$E$57*('계산 과정'!$L$11*COS(34*2*PI()/240))+'계산 과정'!$E$58*('계산 과정'!$L$11*SIN(34*2*PI()/240)))/('계산 과정'!$E$59+'계산 과정'!$E$60*('계산 과정'!$L$11*COS(34*2*PI()/240))+'계산 과정'!$E$61*('계산 과정'!$L$11*SIN(34*2*PI()/240))),"")</x:f>
        <x:v>209.85921226645291</x:v>
      </x:c>
      <x:c r="Y40" s="4" t="str">
        <x:f>""</x:f>
      </x:c>
      <x:c r="Z40" s="4" t="str">
        <x:f>""</x:f>
      </x:c>
    </x:row>
    <x:row r="41" ht="23" customHeight="1">
      <x:c r="A41" s="17" t="n">
        <x:f>ROW()-6</x:f>
        <x:v>35</x:v>
      </x:c>
      <x:c r="B41" s="4" t="n">
        <x:f>IF('계산 과정'!$L$5,'계산 과정'!$L$11*SQRT((A41+0.5)/'계산 과정'!$L$30),"")</x:f>
        <x:v>19.74878853088209</x:v>
      </x:c>
      <x:c r="C41" s="4" t="n">
        <x:f>A41*PI()*(3-SQRT(5))</x:f>
        <x:v>83.99871304050285</x:v>
      </x:c>
      <x:c r="D41" s="4" t="n">
        <x:f>IF('계산 과정'!$L$5,B41*COS(C41),"")</x:f>
        <x:v>-13.410994408785553</x:v>
      </x:c>
      <x:c r="E41" s="4" t="n">
        <x:f>IF('계산 과정'!$L$5,B41*SIN(C41),"")</x:f>
        <x:v>14.496891991217383</x:v>
      </x:c>
      <x:c r="F41" s="4" t="n">
        <x:f>IF('계산 과정'!$L$7,'계산 과정'!$L$22+'계산 과정'!$C$49*D41+'계산 과정'!$D$49*E41,"")</x:f>
        <x:v>659.4830050889071</x:v>
      </x:c>
      <x:c r="G41" s="4" t="n">
        <x:f>IF('계산 과정'!$L$7,IF(ABS(F41)&gt;=1E-12*MAX(1,SQRT((D41-'계산 과정'!$C$33)^2+(E41-'계산 과정'!$D$33)^2+'계산 과정'!$E$33^2)),('계산 과정'!$L$23-'계산 과정'!$C$49*D41-'계산 과정'!$D$49*E41)/F41,""),"")</x:f>
        <x:v>0.5921562677091974</x:v>
      </x:c>
      <x:c r="H41" s="4" t="n">
        <x:f>IF(AND(ISNUMBER(G41),G41&gt;0),('계산 과정'!$D$56+'계산 과정'!$D$57*D41+'계산 과정'!$D$58*E41)/F41,"")</x:f>
        <x:v>-15.098425989021832</x:v>
      </x:c>
      <x:c r="I41" s="4" t="n">
        <x:f>IF(AND(ISNUMBER(G41),G41&gt;0),('계산 과정'!$E$56+'계산 과정'!$E$57*D41+'계산 과정'!$E$58*E41)/F41,"")</x:f>
        <x:v>23.081317446120025</x:v>
      </x:c>
      <x:c r="J41" s="4" t="n">
        <x:f>IF('계산 과정'!$L$5,'계산 과정'!$D$6+'계산 과정'!$C$35*D41+'계산 과정'!$D$35*E41,"")</x:f>
        <x:v>659.4830050889071</x:v>
      </x:c>
      <x:c r="K41" s="4" t="n">
        <x:f>IF(AND('계산 과정'!$L$6,J41&gt;0),'계산 과정'!$D$10*('계산 과정'!$C$38*(D41-'계산 과정'!$C$32)+'계산 과정'!$D$38*(E41-'계산 과정'!$D$32)-'계산 과정'!$E$38*'계산 과정'!$E$32)/J41,"")</x:f>
        <x:v>-0.11503562658302253</x:v>
      </x:c>
      <x:c r="L41" s="4" t="n">
        <x:f>IF(AND('계산 과정'!$L$6,J41&gt;0),'계산 과정'!$D$10*('계산 과정'!$C$39*(D41-'계산 과정'!$C$32)+'계산 과정'!$D$39*(E41-'계산 과정'!$D$32)-'계산 과정'!$E$39*'계산 과정'!$E$32)/J41,"")</x:f>
        <x:v>0.17585765673234305</x:v>
      </x:c>
      <x:c r="M41" s="17" t="n">
        <x:f>IF('계산 과정'!$L$6,IF(J41&lt;=0,0,IF(AND(ABS(K41)&lt;='계산 과정'!$D$11/2,ABS(L41)&lt;='계산 과정'!$D$12/2),1,0)),"")</x:f>
        <x:v>1</x:v>
      </x:c>
      <x:c r="N41" s="17" t="n">
        <x:f>IF('계산 과정'!$C$78,IF(AND(ISNUMBER(H41),ISNUMBER(I41),ABS(H41-'계산 과정'!$C$88)&lt;='계산 과정'!$D$23/2,ABS(I41-'계산 과정'!$C$89)&lt;='계산 과정'!$D$24/2),1,0),"")</x:f>
        <x:v>1</x:v>
      </x:c>
      <x:c r="O41" s="4" t="n">
        <x:f>IF('계산 과정'!$L$7,'계산 과정'!$C$49*('계산 과정'!$C$32-D41)+'계산 과정'!$D$49*('계산 과정'!$D$32-E41)+'계산 과정'!$E$49*'계산 과정'!$E$32,"")</x:f>
        <x:v>-9.48300508890702</x:v>
      </x:c>
      <x:c r="P41" s="4" t="n">
        <x:f>IF(AND('계산 과정'!$L$7,O41&lt;&gt;0),('계산 과정'!$L$23-'계산 과정'!$C$49*D41-'계산 과정'!$D$49*E41)/O41,"")</x:f>
        <x:v>-41.180721854500504</x:v>
      </x:c>
      <x:c r="Q41" s="4" t="str">
        <x:f>IF(AND(ISNUMBER(P41),P41&gt;1E-9,P41&lt;1-1E-9),'계산 과정'!$C$47*(D41-'계산 과정'!$C$50+P41*('계산 과정'!$C$32-D41))+'계산 과정'!$D$47*(E41-'계산 과정'!$D$50+P41*('계산 과정'!$D$32-E41))+'계산 과정'!$E$47*(0-'계산 과정'!$E$50+P41*('계산 과정'!$E$32-0)),"")</x:f>
      </x:c>
      <x:c r="R41" s="4" t="str">
        <x:f>IF(AND(ISNUMBER(P41),P41&gt;1E-9,P41&lt;1-1E-9),'계산 과정'!$C$48*(D41-'계산 과정'!$C$50+P41*('계산 과정'!$C$32-D41))+'계산 과정'!$D$48*(E41-'계산 과정'!$D$50+P41*('계산 과정'!$D$32-E41))+'계산 과정'!$E$48*(0-'계산 과정'!$E$50+P41*('계산 과정'!$E$32-0)),"")</x:f>
      </x:c>
      <x:c r="S41" s="17" t="n">
        <x:f>IF('계산 과정'!$C$78,IF(AND(ISNUMBER(Q41),ISNUMBER(R41),ABS(Q41-'계산 과정'!$C$88)&lt;='계산 과정'!$D$23/2,ABS(R41-'계산 과정'!$C$89)&lt;='계산 과정'!$D$24/2),1,0),"")</x:f>
        <x:v>0</x:v>
      </x:c>
      <x:c r="T41" s="4"/>
      <x:c r="U41" s="4"/>
      <x:c r="V41" s="4"/>
      <x:c r="W41" s="4" t="n">
        <x:f>IF('계산 과정'!$C$77,('계산 과정'!$D$56+'계산 과정'!$D$57*('계산 과정'!$L$11*COS(35*2*PI()/240))+'계산 과정'!$D$58*('계산 과정'!$L$11*SIN(35*2*PI()/240)))/('계산 과정'!$D$59+'계산 과정'!$D$60*('계산 과정'!$L$11*COS(35*2*PI()/240))+'계산 과정'!$D$61*('계산 과정'!$L$11*SIN(35*2*PI()/240))),"")</x:f>
        <x:v>115.807556546723</x:v>
      </x:c>
      <x:c r="X41" s="4" t="n">
        <x:f>IF('계산 과정'!$C$77,('계산 과정'!$E$56+'계산 과정'!$E$57*('계산 과정'!$L$11*COS(35*2*PI()/240))+'계산 과정'!$E$58*('계산 과정'!$L$11*SIN(35*2*PI()/240)))/('계산 과정'!$E$59+'계산 과정'!$E$60*('계산 과정'!$L$11*COS(35*2*PI()/240))+'계산 과정'!$E$61*('계산 과정'!$L$11*SIN(35*2*PI()/240))),"")</x:f>
        <x:v>213.43784287456288</x:v>
      </x:c>
      <x:c r="Y41" s="4" t="str">
        <x:f>""</x:f>
      </x:c>
      <x:c r="Z41" s="4" t="str">
        <x:f>""</x:f>
      </x:c>
    </x:row>
    <x:row r="42" ht="23" customHeight="1">
      <x:c r="A42" s="17" t="n">
        <x:f>ROW()-6</x:f>
        <x:v>36</x:v>
      </x:c>
      <x:c r="B42" s="4" t="n">
        <x:f>IF('계산 과정'!$L$5,'계산 과정'!$L$11*SQRT((A42+0.5)/'계산 과정'!$L$30),"")</x:f>
        <x:v>20.02500877808796</x:v>
      </x:c>
      <x:c r="C42" s="4" t="n">
        <x:f>A42*PI()*(3-SQRT(5))</x:f>
        <x:v>86.3986762702315</x:v>
      </x:c>
      <x:c r="D42" s="4" t="n">
        <x:f>IF('계산 과정'!$L$5,B42*COS(C42),"")</x:f>
        <x:v>0.0976875430199338</x:v>
      </x:c>
      <x:c r="E42" s="4" t="n">
        <x:f>IF('계산 과정'!$L$5,B42*SIN(C42),"")</x:f>
        <x:v>-20.024770503215226</x:v>
      </x:c>
      <x:c r="F42" s="4" t="n">
        <x:f>IF('계산 과정'!$L$7,'계산 과정'!$L$22+'계산 과정'!$C$49*D42+'계산 과정'!$D$49*E42,"")</x:f>
        <x:v>649.9309244758931</x:v>
      </x:c>
      <x:c r="G42" s="4" t="n">
        <x:f>IF('계산 과정'!$L$7,IF(ABS(F42)&gt;=1E-12*MAX(1,SQRT((D42-'계산 과정'!$C$33)^2+(E42-'계산 과정'!$D$33)^2+'계산 과정'!$E$33^2)),('계산 과정'!$L$23-'계산 과정'!$C$49*D42-'계산 과정'!$D$49*E42)/F42,""),"")</x:f>
        <x:v>0.6155563006125984</x:v>
      </x:c>
      <x:c r="H42" s="4" t="n">
        <x:f>IF(AND(ISNUMBER(G42),G42&gt;0),('계산 과정'!$D$56+'계산 과정'!$D$57*D42+'계산 과정'!$D$58*E42)/F42,"")</x:f>
        <x:v>0.11159539818882169</x:v>
      </x:c>
      <x:c r="I42" s="4" t="n">
        <x:f>IF(AND(ISNUMBER(G42),G42&gt;0),('계산 과정'!$E$56+'계산 과정'!$E$57*D42+'계산 과정'!$E$58*E42)/F42,"")</x:f>
        <x:v>-32.351144154790674</x:v>
      </x:c>
      <x:c r="J42" s="4" t="n">
        <x:f>IF('계산 과정'!$L$5,'계산 과정'!$D$6+'계산 과정'!$C$35*D42+'계산 과정'!$D$35*E42,"")</x:f>
        <x:v>649.9309244758931</x:v>
      </x:c>
      <x:c r="K42" s="4" t="n">
        <x:f>IF(AND('계산 과정'!$L$6,J42&gt;0),'계산 과정'!$D$10*('계산 과정'!$C$38*(D42-'계산 과정'!$C$32)+'계산 과정'!$D$38*(E42-'계산 과정'!$D$32)-'계산 과정'!$E$38*'계산 과정'!$E$32)/J42,"")</x:f>
        <x:v>0.0008502506528686327</x:v>
      </x:c>
      <x:c r="L42" s="4" t="n">
        <x:f>IF(AND('계산 과정'!$L$6,J42&gt;0),'계산 과정'!$D$10*('계산 과정'!$C$39*(D42-'계산 과정'!$C$32)+'계산 과정'!$D$39*(E42-'계산 과정'!$D$32)-'계산 과정'!$E$39*'계산 과정'!$E$32)/J42,"")</x:f>
        <x:v>-0.24648490784602417</x:v>
      </x:c>
      <x:c r="M42" s="17" t="n">
        <x:f>IF('계산 과정'!$L$6,IF(J42&lt;=0,0,IF(AND(ABS(K42)&lt;='계산 과정'!$D$11/2,ABS(L42)&lt;='계산 과정'!$D$12/2),1,0)),"")</x:f>
        <x:v>1</x:v>
      </x:c>
      <x:c r="N42" s="17" t="n">
        <x:f>IF('계산 과정'!$C$78,IF(AND(ISNUMBER(H42),ISNUMBER(I42),ABS(H42-'계산 과정'!$C$88)&lt;='계산 과정'!$D$23/2,ABS(I42-'계산 과정'!$C$89)&lt;='계산 과정'!$D$24/2),1,0),"")</x:f>
        <x:v>1</x:v>
      </x:c>
      <x:c r="O42" s="4" t="n">
        <x:f>IF('계산 과정'!$L$7,'계산 과정'!$C$49*('계산 과정'!$C$32-D42)+'계산 과정'!$D$49*('계산 과정'!$D$32-E42)+'계산 과정'!$E$49*'계산 과정'!$E$32,"")</x:f>
        <x:v>0.06907552410700646</x:v>
      </x:c>
      <x:c r="P42" s="4" t="n">
        <x:f>IF(AND('계산 과정'!$L$7,O42&lt;&gt;0),('계산 과정'!$L$23-'계산 과정'!$C$49*D42-'계산 과정'!$D$49*E42)/O42,"")</x:f>
        <x:v>5791.763156286021</x:v>
      </x:c>
      <x:c r="Q42" s="4" t="str">
        <x:f>IF(AND(ISNUMBER(P42),P42&gt;1E-9,P42&lt;1-1E-9),'계산 과정'!$C$47*(D42-'계산 과정'!$C$50+P42*('계산 과정'!$C$32-D42))+'계산 과정'!$D$47*(E42-'계산 과정'!$D$50+P42*('계산 과정'!$D$32-E42))+'계산 과정'!$E$47*(0-'계산 과정'!$E$50+P42*('계산 과정'!$E$32-0)),"")</x:f>
      </x:c>
      <x:c r="R42" s="4" t="str">
        <x:f>IF(AND(ISNUMBER(P42),P42&gt;1E-9,P42&lt;1-1E-9),'계산 과정'!$C$48*(D42-'계산 과정'!$C$50+P42*('계산 과정'!$C$32-D42))+'계산 과정'!$D$48*(E42-'계산 과정'!$D$50+P42*('계산 과정'!$D$32-E42))+'계산 과정'!$E$48*(0-'계산 과정'!$E$50+P42*('계산 과정'!$E$32-0)),"")</x:f>
      </x:c>
      <x:c r="S42" s="17" t="n">
        <x:f>IF('계산 과정'!$C$78,IF(AND(ISNUMBER(Q42),ISNUMBER(R42),ABS(Q42-'계산 과정'!$C$88)&lt;='계산 과정'!$D$23/2,ABS(R42-'계산 과정'!$C$89)&lt;='계산 과정'!$D$24/2),1,0),"")</x:f>
        <x:v>0</x:v>
      </x:c>
      <x:c r="T42" s="4"/>
      <x:c r="U42" s="4"/>
      <x:c r="V42" s="4"/>
      <x:c r="W42" s="4" t="n">
        <x:f>IF('계산 과정'!$C$77,('계산 과정'!$D$56+'계산 과정'!$D$57*('계산 과정'!$L$11*COS(36*2*PI()/240))+'계산 과정'!$D$58*('계산 과정'!$L$11*SIN(36*2*PI()/240)))/('계산 과정'!$D$59+'계산 과정'!$D$60*('계산 과정'!$L$11*COS(36*2*PI()/240))+'계산 과정'!$D$61*('계산 과정'!$L$11*SIN(36*2*PI()/240))),"")</x:f>
        <x:v>111.3938209257777</x:v>
      </x:c>
      <x:c r="X42" s="4" t="n">
        <x:f>IF('계산 과정'!$C$77,('계산 과정'!$E$56+'계산 과정'!$E$57*('계산 과정'!$L$11*COS(36*2*PI()/240))+'계산 과정'!$E$58*('계산 과정'!$L$11*SIN(36*2*PI()/240)))/('계산 과정'!$E$59+'계산 과정'!$E$60*('계산 과정'!$L$11*COS(36*2*PI()/240))+'계산 과정'!$E$61*('계산 과정'!$L$11*SIN(36*2*PI()/240))),"")</x:f>
        <x:v>216.82784729792508</x:v>
      </x:c>
      <x:c r="Y42" s="4" t="str">
        <x:f>""</x:f>
      </x:c>
      <x:c r="Z42" s="4" t="str">
        <x:f>""</x:f>
      </x:c>
    </x:row>
    <x:row r="43" ht="23" customHeight="1">
      <x:c r="A43" s="17" t="n">
        <x:f>ROW()-6</x:f>
        <x:v>37</x:v>
      </x:c>
      <x:c r="B43" s="4" t="n">
        <x:f>IF('계산 과정'!$L$5,'계산 과정'!$L$11*SQRT((A43+0.5)/'계산 과정'!$L$30),"")</x:f>
        <x:v>20.29747040119778</x:v>
      </x:c>
      <x:c r="C43" s="4" t="n">
        <x:f>A43*PI()*(3-SQRT(5))</x:f>
        <x:v>88.79863949996016</x:v>
      </x:c>
      <x:c r="D43" s="4" t="n">
        <x:f>IF('계산 과정'!$L$5,B43*COS(C43),"")</x:f>
        <x:v>13.637569288863949</x:v>
      </x:c>
      <x:c r="E43" s="4" t="n">
        <x:f>IF('계산 과정'!$L$5,B43*SIN(C43),"")</x:f>
        <x:v>15.0334297011339</x:v>
      </x:c>
      <x:c r="F43" s="4" t="n">
        <x:f>IF('계산 과정'!$L$7,'계산 과정'!$L$22+'계산 과정'!$C$49*D43+'계산 과정'!$D$49*E43,"")</x:f>
        <x:v>640.3567822769429</x:v>
      </x:c>
      <x:c r="G43" s="4" t="n">
        <x:f>IF('계산 과정'!$L$7,IF(ABS(F43)&gt;=1E-12*MAX(1,SQRT((D43-'계산 과정'!$C$33)^2+(E43-'계산 과정'!$D$33)^2+'계산 과정'!$E$33^2)),('계산 과정'!$L$23-'계산 과정'!$C$49*D43-'계산 과정'!$D$49*E43)/F43,""),"")</x:f>
        <x:v>0.6397109065769115</x:v>
      </x:c>
      <x:c r="H43" s="4" t="n">
        <x:f>IF(AND(ISNUMBER(G43),G43&gt;0),('계산 과정'!$D$56+'계산 과정'!$D$57*D43+'계산 과정'!$D$58*E43)/F43,"")</x:f>
        <x:v>15.812089274992386</x:v>
      </x:c>
      <x:c r="I43" s="4" t="n">
        <x:f>IF(AND(ISNUMBER(G43),G43&gt;0),('계산 과정'!$E$56+'계산 과정'!$E$57*D43+'계산 과정'!$E$58*E43)/F43,"")</x:f>
        <x:v>24.650478644206533</x:v>
      </x:c>
      <x:c r="J43" s="4" t="n">
        <x:f>IF('계산 과정'!$L$5,'계산 과정'!$D$6+'계산 과정'!$C$35*D43+'계산 과정'!$D$35*E43,"")</x:f>
        <x:v>640.3567822769429</x:v>
      </x:c>
      <x:c r="K43" s="4" t="n">
        <x:f>IF(AND('계산 과정'!$L$6,J43&gt;0),'계산 과정'!$D$10*('계산 과정'!$C$38*(D43-'계산 과정'!$C$32)+'계산 과정'!$D$38*(E43-'계산 과정'!$D$32)-'계산 과정'!$E$38*'계산 과정'!$E$32)/J43,"")</x:f>
        <x:v>0.12047306114280058</x:v>
      </x:c>
      <x:c r="L43" s="4" t="n">
        <x:f>IF(AND('계산 과정'!$L$6,J43&gt;0),'계산 과정'!$D$10*('계산 과정'!$C$39*(D43-'계산 과정'!$C$32)+'계산 과정'!$D$39*(E43-'계산 과정'!$D$32)-'계산 과정'!$E$39*'계산 과정'!$E$32)/J43,"")</x:f>
        <x:v>0.18781317062252598</x:v>
      </x:c>
      <x:c r="M43" s="17" t="n">
        <x:f>IF('계산 과정'!$L$6,IF(J43&lt;=0,0,IF(AND(ABS(K43)&lt;='계산 과정'!$D$11/2,ABS(L43)&lt;='계산 과정'!$D$12/2),1,0)),"")</x:f>
        <x:v>1</x:v>
      </x:c>
      <x:c r="N43" s="17" t="n">
        <x:f>IF('계산 과정'!$C$78,IF(AND(ISNUMBER(H43),ISNUMBER(I43),ABS(H43-'계산 과정'!$C$88)&lt;='계산 과정'!$D$23/2,ABS(I43-'계산 과정'!$C$89)&lt;='계산 과정'!$D$24/2),1,0),"")</x:f>
        <x:v>1</x:v>
      </x:c>
      <x:c r="O43" s="4" t="n">
        <x:f>IF('계산 과정'!$L$7,'계산 과정'!$C$49*('계산 과정'!$C$32-D43)+'계산 과정'!$D$49*('계산 과정'!$D$32-E43)+'계산 과정'!$E$49*'계산 과정'!$E$32,"")</x:f>
        <x:v>9.643217723057205</x:v>
      </x:c>
      <x:c r="P43" s="4" t="n">
        <x:f>IF(AND('계산 과정'!$L$7,O43&lt;&gt;0),('계산 과정'!$L$23-'계산 과정'!$C$49*D43-'계산 과정'!$D$49*E43)/O43,"")</x:f>
        <x:v>42.479930401611554</x:v>
      </x:c>
      <x:c r="Q43" s="4" t="str">
        <x:f>IF(AND(ISNUMBER(P43),P43&gt;1E-9,P43&lt;1-1E-9),'계산 과정'!$C$47*(D43-'계산 과정'!$C$50+P43*('계산 과정'!$C$32-D43))+'계산 과정'!$D$47*(E43-'계산 과정'!$D$50+P43*('계산 과정'!$D$32-E43))+'계산 과정'!$E$47*(0-'계산 과정'!$E$50+P43*('계산 과정'!$E$32-0)),"")</x:f>
      </x:c>
      <x:c r="R43" s="4" t="str">
        <x:f>IF(AND(ISNUMBER(P43),P43&gt;1E-9,P43&lt;1-1E-9),'계산 과정'!$C$48*(D43-'계산 과정'!$C$50+P43*('계산 과정'!$C$32-D43))+'계산 과정'!$D$48*(E43-'계산 과정'!$D$50+P43*('계산 과정'!$D$32-E43))+'계산 과정'!$E$48*(0-'계산 과정'!$E$50+P43*('계산 과정'!$E$32-0)),"")</x:f>
      </x:c>
      <x:c r="S43" s="17" t="n">
        <x:f>IF('계산 과정'!$C$78,IF(AND(ISNUMBER(Q43),ISNUMBER(R43),ABS(Q43-'계산 과정'!$C$88)&lt;='계산 과정'!$D$23/2,ABS(R43-'계산 과정'!$C$89)&lt;='계산 과정'!$D$24/2),1,0),"")</x:f>
        <x:v>0</x:v>
      </x:c>
      <x:c r="T43" s="4"/>
      <x:c r="U43" s="4"/>
      <x:c r="V43" s="4"/>
      <x:c r="W43" s="4" t="n">
        <x:f>IF('계산 과정'!$C$77,('계산 과정'!$D$56+'계산 과정'!$D$57*('계산 과정'!$L$11*COS(37*2*PI()/240))+'계산 과정'!$D$58*('계산 과정'!$L$11*SIN(37*2*PI()/240)))/('계산 과정'!$D$59+'계산 과정'!$D$60*('계산 과정'!$L$11*COS(37*2*PI()/240))+'계산 과정'!$D$61*('계산 과정'!$L$11*SIN(37*2*PI()/240))),"")</x:f>
        <x:v>106.92957880563269</x:v>
      </x:c>
      <x:c r="X43" s="4" t="n">
        <x:f>IF('계산 과정'!$C$77,('계산 과정'!$E$56+'계산 과정'!$E$57*('계산 과정'!$L$11*COS(37*2*PI()/240))+'계산 과정'!$E$58*('계산 과정'!$L$11*SIN(37*2*PI()/240)))/('계산 과정'!$E$59+'계산 과정'!$E$60*('계산 과정'!$L$11*COS(37*2*PI()/240))+'계산 과정'!$E$61*('계산 과정'!$L$11*SIN(37*2*PI()/240))),"")</x:f>
        <x:v>220.02829945042157</x:v>
      </x:c>
      <x:c r="Y43" s="4" t="str">
        <x:f>""</x:f>
      </x:c>
      <x:c r="Z43" s="4" t="str">
        <x:f>""</x:f>
      </x:c>
    </x:row>
    <x:row r="44" ht="23" customHeight="1">
      <x:c r="A44" s="17" t="n">
        <x:f>ROW()-6</x:f>
        <x:v>38</x:v>
      </x:c>
      <x:c r="B44" s="4" t="n">
        <x:f>IF('계산 과정'!$L$5,'계산 과정'!$L$11*SQRT((A44+0.5)/'계산 과정'!$L$30),"")</x:f>
        <x:v>20.566322782950287</x:v>
      </x:c>
      <x:c r="C44" s="4" t="n">
        <x:f>A44*PI()*(3-SQRT(5))</x:f>
        <x:v>91.1986027296888</x:v>
      </x:c>
      <x:c r="D44" s="4" t="n">
        <x:f>IF('계산 과정'!$L$5,B44*COS(C44),"")</x:f>
        <x:v>-20.478560126980813</x:v>
      </x:c>
      <x:c r="E44" s="4" t="n">
        <x:f>IF('계산 과정'!$L$5,B44*SIN(C44),"")</x:f>
        <x:v>-1.8979483497007126</x:v>
      </x:c>
      <x:c r="F44" s="4" t="n">
        <x:f>IF('계산 과정'!$L$7,'계산 과정'!$L$22+'계산 과정'!$C$49*D44+'계산 과정'!$D$49*E44,"")</x:f>
        <x:v>664.4805287347245</x:v>
      </x:c>
      <x:c r="G44" s="4" t="n">
        <x:f>IF('계산 과정'!$L$7,IF(ABS(F44)&gt;=1E-12*MAX(1,SQRT((D44-'계산 과정'!$C$33)^2+(E44-'계산 과정'!$D$33)^2+'계산 과정'!$E$33^2)),('계산 과정'!$L$23-'계산 과정'!$C$49*D44-'계산 과정'!$D$49*E44)/F44,""),"")</x:f>
        <x:v>0.5801817428711795</x:v>
      </x:c>
      <x:c r="H44" s="4" t="n">
        <x:f>IF(AND(ISNUMBER(G44),G44&gt;0),('계산 과정'!$D$56+'계산 과정'!$D$57*D44+'계산 과정'!$D$58*E44)/F44,"")</x:f>
        <x:v>-22.8818671337334</x:v>
      </x:c>
      <x:c r="I44" s="4" t="n">
        <x:f>IF(AND(ISNUMBER(G44),G44&gt;0),('계산 과정'!$E$56+'계산 과정'!$E$57*D44+'계산 과정'!$E$58*E44)/F44,"")</x:f>
        <x:v>-2.999103331109551</x:v>
      </x:c>
      <x:c r="J44" s="4" t="n">
        <x:f>IF('계산 과정'!$L$5,'계산 과정'!$D$6+'계산 과정'!$C$35*D44+'계산 과정'!$D$35*E44,"")</x:f>
        <x:v>664.4805287347245</x:v>
      </x:c>
      <x:c r="K44" s="4" t="n">
        <x:f>IF(AND('계산 과정'!$L$6,J44&gt;0),'계산 과정'!$D$10*('계산 과정'!$C$38*(D44-'계산 과정'!$C$32)+'계산 과정'!$D$38*(E44-'계산 과정'!$D$32)-'계산 과정'!$E$38*'계산 과정'!$E$32)/J44,"")</x:f>
        <x:v>-0.1743380353046348</x:v>
      </x:c>
      <x:c r="L44" s="4" t="n">
        <x:f>IF(AND('계산 과정'!$L$6,J44&gt;0),'계산 과정'!$D$10*('계산 과정'!$C$39*(D44-'계산 과정'!$C$32)+'계산 과정'!$D$39*(E44-'계산 과정'!$D$32)-'계산 과정'!$E$39*'계산 과정'!$E$32)/J44,"")</x:f>
        <x:v>-0.02285031109416801</x:v>
      </x:c>
      <x:c r="M44" s="17" t="n">
        <x:f>IF('계산 과정'!$L$6,IF(J44&lt;=0,0,IF(AND(ABS(K44)&lt;='계산 과정'!$D$11/2,ABS(L44)&lt;='계산 과정'!$D$12/2),1,0)),"")</x:f>
        <x:v>1</x:v>
      </x:c>
      <x:c r="N44" s="17" t="n">
        <x:f>IF('계산 과정'!$C$78,IF(AND(ISNUMBER(H44),ISNUMBER(I44),ABS(H44-'계산 과정'!$C$88)&lt;='계산 과정'!$D$23/2,ABS(I44-'계산 과정'!$C$89)&lt;='계산 과정'!$D$24/2),1,0),"")</x:f>
        <x:v>1</x:v>
      </x:c>
      <x:c r="O44" s="4" t="n">
        <x:f>IF('계산 과정'!$L$7,'계산 과정'!$C$49*('계산 과정'!$C$32-D44)+'계산 과정'!$D$49*('계산 과정'!$D$32-E44)+'계산 과정'!$E$49*'계산 과정'!$E$32,"")</x:f>
        <x:v>-14.480528734724487</x:v>
      </x:c>
      <x:c r="P44" s="4" t="n">
        <x:f>IF(AND('계산 과정'!$L$7,O44&lt;&gt;0),('계산 과정'!$L$23-'계산 과정'!$C$49*D44-'계산 과정'!$D$49*E44)/O44,"")</x:f>
        <x:v>-26.623300732161454</x:v>
      </x:c>
      <x:c r="Q44" s="4" t="str">
        <x:f>IF(AND(ISNUMBER(P44),P44&gt;1E-9,P44&lt;1-1E-9),'계산 과정'!$C$47*(D44-'계산 과정'!$C$50+P44*('계산 과정'!$C$32-D44))+'계산 과정'!$D$47*(E44-'계산 과정'!$D$50+P44*('계산 과정'!$D$32-E44))+'계산 과정'!$E$47*(0-'계산 과정'!$E$50+P44*('계산 과정'!$E$32-0)),"")</x:f>
      </x:c>
      <x:c r="R44" s="4" t="str">
        <x:f>IF(AND(ISNUMBER(P44),P44&gt;1E-9,P44&lt;1-1E-9),'계산 과정'!$C$48*(D44-'계산 과정'!$C$50+P44*('계산 과정'!$C$32-D44))+'계산 과정'!$D$48*(E44-'계산 과정'!$D$50+P44*('계산 과정'!$D$32-E44))+'계산 과정'!$E$48*(0-'계산 과정'!$E$50+P44*('계산 과정'!$E$32-0)),"")</x:f>
      </x:c>
      <x:c r="S44" s="17" t="n">
        <x:f>IF('계산 과정'!$C$78,IF(AND(ISNUMBER(Q44),ISNUMBER(R44),ABS(Q44-'계산 과정'!$C$88)&lt;='계산 과정'!$D$23/2,ABS(R44-'계산 과정'!$C$89)&lt;='계산 과정'!$D$24/2),1,0),"")</x:f>
        <x:v>0</x:v>
      </x:c>
      <x:c r="T44" s="4"/>
      <x:c r="U44" s="4"/>
      <x:c r="V44" s="4"/>
      <x:c r="W44" s="4" t="n">
        <x:f>IF('계산 과정'!$C$77,('계산 과정'!$D$56+'계산 과정'!$D$57*('계산 과정'!$L$11*COS(38*2*PI()/240))+'계산 과정'!$D$58*('계산 과정'!$L$11*SIN(38*2*PI()/240)))/('계산 과정'!$D$59+'계산 과정'!$D$60*('계산 과정'!$L$11*COS(38*2*PI()/240))+'계산 과정'!$D$61*('계산 과정'!$L$11*SIN(38*2*PI()/240))),"")</x:f>
        <x:v>102.41940065395413</x:v>
      </x:c>
      <x:c r="X44" s="4" t="n">
        <x:f>IF('계산 과정'!$C$77,('계산 과정'!$E$56+'계산 과정'!$E$57*('계산 과정'!$L$11*COS(38*2*PI()/240))+'계산 과정'!$E$58*('계산 과정'!$L$11*SIN(38*2*PI()/240)))/('계산 과정'!$E$59+'계산 과정'!$E$60*('계산 과정'!$L$11*COS(38*2*PI()/240))+'계산 과정'!$E$61*('계산 과정'!$L$11*SIN(38*2*PI()/240))),"")</x:f>
        <x:v>223.0385153671793</x:v>
      </x:c>
      <x:c r="Y44" s="4" t="str">
        <x:f>""</x:f>
      </x:c>
      <x:c r="Z44" s="4" t="str">
        <x:f>""</x:f>
      </x:c>
    </x:row>
    <x:row r="45" ht="23" customHeight="1">
      <x:c r="A45" s="17" t="n">
        <x:f>ROW()-6</x:f>
        <x:v>39</x:v>
      </x:c>
      <x:c r="B45" s="4" t="n">
        <x:f>IF('계산 과정'!$L$5,'계산 과정'!$L$11*SQRT((A45+0.5)/'계산 과정'!$L$30),"")</x:f>
        <x:v>20.83170566558341</x:v>
      </x:c>
      <x:c r="C45" s="4" t="n">
        <x:f>A45*PI()*(3-SQRT(5))</x:f>
        <x:v>93.59856595941746</x:v>
      </x:c>
      <x:c r="D45" s="4" t="n">
        <x:f>IF('계산 과정'!$L$5,B45*COS(C45),"")</x:f>
        <x:v>16.593691835562574</x:v>
      </x:c>
      <x:c r="E45" s="4" t="n">
        <x:f>IF('계산 과정'!$L$5,B45*SIN(C45),"")</x:f>
        <x:v>-12.594020494023502</x:v>
      </x:c>
      <x:c r="F45" s="4" t="n">
        <x:f>IF('계산 과정'!$L$7,'계산 과정'!$L$22+'계산 과정'!$C$49*D45+'계산 과정'!$D$49*E45,"")</x:f>
        <x:v>638.2664879781538</x:v>
      </x:c>
      <x:c r="G45" s="4" t="n">
        <x:f>IF('계산 과정'!$L$7,IF(ABS(F45)&gt;=1E-12*MAX(1,SQRT((D45-'계산 과정'!$C$33)^2+(E45-'계산 과정'!$D$33)^2+'계산 과정'!$E$33^2)),('계산 과정'!$L$23-'계산 과정'!$C$49*D45-'계산 과정'!$D$49*E45)/F45,""),"")</x:f>
        <x:v>0.6450808867094064</x:v>
      </x:c>
      <x:c r="H45" s="4" t="n">
        <x:f>IF(AND(ISNUMBER(G45),G45&gt;0),('계산 과정'!$D$56+'계산 과정'!$D$57*D45+'계산 과정'!$D$58*E45)/F45,"")</x:f>
        <x:v>19.302576361114028</x:v>
      </x:c>
      <x:c r="I45" s="4" t="n">
        <x:f>IF(AND(ISNUMBER(G45),G45&gt;0),('계산 과정'!$E$56+'계산 과정'!$E$57*D45+'계산 과정'!$E$58*E45)/F45,"")</x:f>
        <x:v>-20.71818240154462</x:v>
      </x:c>
      <x:c r="J45" s="4" t="n">
        <x:f>IF('계산 과정'!$L$5,'계산 과정'!$D$6+'계산 과정'!$C$35*D45+'계산 과정'!$D$35*E45,"")</x:f>
        <x:v>638.2664879781538</x:v>
      </x:c>
      <x:c r="K45" s="4" t="n">
        <x:f>IF(AND('계산 과정'!$L$6,J45&gt;0),'계산 과정'!$D$10*('계산 과정'!$C$38*(D45-'계산 과정'!$C$32)+'계산 과정'!$D$38*(E45-'계산 과정'!$D$32)-'계산 과정'!$E$38*'계산 과정'!$E$32)/J45,"")</x:f>
        <x:v>0.14706724846563143</x:v>
      </x:c>
      <x:c r="L45" s="4" t="n">
        <x:f>IF(AND('계산 과정'!$L$6,J45&gt;0),'계산 과정'!$D$10*('계산 과정'!$C$39*(D45-'계산 과정'!$C$32)+'계산 과정'!$D$39*(E45-'계산 과정'!$D$32)-'계산 과정'!$E$39*'계산 과정'!$E$32)/J45,"")</x:f>
        <x:v>-0.15785281829748282</x:v>
      </x:c>
      <x:c r="M45" s="17" t="n">
        <x:f>IF('계산 과정'!$L$6,IF(J45&lt;=0,0,IF(AND(ABS(K45)&lt;='계산 과정'!$D$11/2,ABS(L45)&lt;='계산 과정'!$D$12/2),1,0)),"")</x:f>
        <x:v>1</x:v>
      </x:c>
      <x:c r="N45" s="17" t="n">
        <x:f>IF('계산 과정'!$C$78,IF(AND(ISNUMBER(H45),ISNUMBER(I45),ABS(H45-'계산 과정'!$C$88)&lt;='계산 과정'!$D$23/2,ABS(I45-'계산 과정'!$C$89)&lt;='계산 과정'!$D$24/2),1,0),"")</x:f>
        <x:v>1</x:v>
      </x:c>
      <x:c r="O45" s="4" t="n">
        <x:f>IF('계산 과정'!$L$7,'계산 과정'!$C$49*('계산 과정'!$C$32-D45)+'계산 과정'!$D$49*('계산 과정'!$D$32-E45)+'계산 과정'!$E$49*'계산 과정'!$E$32,"")</x:f>
        <x:v>11.733512021846252</x:v>
      </x:c>
      <x:c r="P45" s="4" t="n">
        <x:f>IF(AND('계산 과정'!$L$7,O45&lt;&gt;0),('계산 과정'!$L$23-'계산 과정'!$C$49*D45-'계산 과정'!$D$49*E45)/O45,"")</x:f>
        <x:v>35.09038992377155</x:v>
      </x:c>
      <x:c r="Q45" s="4" t="str">
        <x:f>IF(AND(ISNUMBER(P45),P45&gt;1E-9,P45&lt;1-1E-9),'계산 과정'!$C$47*(D45-'계산 과정'!$C$50+P45*('계산 과정'!$C$32-D45))+'계산 과정'!$D$47*(E45-'계산 과정'!$D$50+P45*('계산 과정'!$D$32-E45))+'계산 과정'!$E$47*(0-'계산 과정'!$E$50+P45*('계산 과정'!$E$32-0)),"")</x:f>
      </x:c>
      <x:c r="R45" s="4" t="str">
        <x:f>IF(AND(ISNUMBER(P45),P45&gt;1E-9,P45&lt;1-1E-9),'계산 과정'!$C$48*(D45-'계산 과정'!$C$50+P45*('계산 과정'!$C$32-D45))+'계산 과정'!$D$48*(E45-'계산 과정'!$D$50+P45*('계산 과정'!$D$32-E45))+'계산 과정'!$E$48*(0-'계산 과정'!$E$50+P45*('계산 과정'!$E$32-0)),"")</x:f>
      </x:c>
      <x:c r="S45" s="17" t="n">
        <x:f>IF('계산 과정'!$C$78,IF(AND(ISNUMBER(Q45),ISNUMBER(R45),ABS(Q45-'계산 과정'!$C$88)&lt;='계산 과정'!$D$23/2,ABS(R45-'계산 과정'!$C$89)&lt;='계산 과정'!$D$24/2),1,0),"")</x:f>
        <x:v>0</x:v>
      </x:c>
      <x:c r="T45" s="4"/>
      <x:c r="U45" s="4"/>
      <x:c r="V45" s="4"/>
      <x:c r="W45" s="4" t="n">
        <x:f>IF('계산 과정'!$C$77,('계산 과정'!$D$56+'계산 과정'!$D$57*('계산 과정'!$L$11*COS(39*2*PI()/240))+'계산 과정'!$D$58*('계산 과정'!$L$11*SIN(39*2*PI()/240)))/('계산 과정'!$D$59+'계산 과정'!$D$60*('계산 과정'!$L$11*COS(39*2*PI()/240))+'계산 과정'!$D$61*('계산 과정'!$L$11*SIN(39*2*PI()/240))),"")</x:f>
        <x:v>97.86781325517106</x:v>
      </x:c>
      <x:c r="X45" s="4" t="n">
        <x:f>IF('계산 과정'!$C$77,('계산 과정'!$E$56+'계산 과정'!$E$57*('계산 과정'!$L$11*COS(39*2*PI()/240))+'계산 과정'!$E$58*('계산 과정'!$L$11*SIN(39*2*PI()/240)))/('계산 과정'!$E$59+'계산 과정'!$E$60*('계산 과정'!$L$11*COS(39*2*PI()/240))+'계산 과정'!$E$61*('계산 과정'!$L$11*SIN(39*2*PI()/240))),"")</x:f>
        <x:v>225.85804637322954</x:v>
      </x:c>
      <x:c r="Y45" s="4" t="str">
        <x:f>""</x:f>
      </x:c>
      <x:c r="Z45" s="4" t="str">
        <x:f>""</x:f>
      </x:c>
    </x:row>
    <x:row r="46" ht="23" customHeight="1">
      <x:c r="A46" s="17" t="n">
        <x:f>ROW()-6</x:f>
        <x:v>40</x:v>
      </x:c>
      <x:c r="B46" s="4" t="n">
        <x:f>IF('계산 과정'!$L$5,'계산 과정'!$L$11*SQRT((A46+0.5)/'계산 과정'!$L$30),"")</x:f>
        <x:v>21.09375</x:v>
      </x:c>
      <x:c r="C46" s="4" t="n">
        <x:f>A46*PI()*(3-SQRT(5))</x:f>
        <x:v>95.99852918914611</x:v>
      </x:c>
      <x:c r="D46" s="4" t="n">
        <x:f>IF('계산 과정'!$L$5,B46*COS(C46),"")</x:f>
        <x:v>-3.775434956432714</x:v>
      </x:c>
      <x:c r="E46" s="4" t="n">
        <x:f>IF('계산 과정'!$L$5,B46*SIN(C46),"")</x:f>
        <x:v>20.75312940142392</x:v>
      </x:c>
      <x:c r="F46" s="4" t="n">
        <x:f>IF('계산 과정'!$L$7,'계산 과정'!$L$22+'계산 과정'!$C$49*D46+'계산 과정'!$D$49*E46,"")</x:f>
        <x:v>652.6696356596223</x:v>
      </x:c>
      <x:c r="G46" s="4" t="n">
        <x:f>IF('계산 과정'!$L$7,IF(ABS(F46)&gt;=1E-12*MAX(1,SQRT((D46-'계산 과정'!$C$33)^2+(E46-'계산 과정'!$D$33)^2+'계산 과정'!$E$33^2)),('계산 과정'!$L$23-'계산 과정'!$C$49*D46-'계산 과정'!$D$49*E46)/F46,""),"")</x:f>
        <x:v>0.6087771555954411</x:v>
      </x:c>
      <x:c r="H46" s="4" t="n">
        <x:f>IF(AND(ISNUMBER(G46),G46&gt;0),('계산 과정'!$D$56+'계산 과정'!$D$57*D46+'계산 과정'!$D$58*E46)/F46,"")</x:f>
        <x:v>-4.294848862963453</x:v>
      </x:c>
      <x:c r="I46" s="4" t="n">
        <x:f>IF(AND(ISNUMBER(G46),G46&gt;0),('계산 과정'!$E$56+'계산 과정'!$E$57*D46+'계산 과정'!$E$58*E46)/F46,"")</x:f>
        <x:v>33.387160488126895</x:v>
      </x:c>
      <x:c r="J46" s="4" t="n">
        <x:f>IF('계산 과정'!$L$5,'계산 과정'!$D$6+'계산 과정'!$C$35*D46+'계산 과정'!$D$35*E46,"")</x:f>
        <x:v>652.6696356596223</x:v>
      </x:c>
      <x:c r="K46" s="4" t="n">
        <x:f>IF(AND('계산 과정'!$L$6,J46&gt;0),'계산 과정'!$D$10*('계산 과정'!$C$38*(D46-'계산 과정'!$C$32)+'계산 과정'!$D$38*(E46-'계산 과정'!$D$32)-'계산 과정'!$E$38*'계산 과정'!$E$32)/J46,"")</x:f>
        <x:v>-0.03272265800353027</x:v>
      </x:c>
      <x:c r="L46" s="4" t="n">
        <x:f>IF(AND('계산 과정'!$L$6,J46&gt;0),'계산 과정'!$D$10*('계산 과정'!$C$39*(D46-'계산 과정'!$C$32)+'계산 과정'!$D$39*(E46-'계산 과정'!$D$32)-'계산 과정'!$E$39*'계산 과정'!$E$32)/J46,"")</x:f>
        <x:v>0.25437836562382393</x:v>
      </x:c>
      <x:c r="M46" s="17" t="n">
        <x:f>IF('계산 과정'!$L$6,IF(J46&lt;=0,0,IF(AND(ABS(K46)&lt;='계산 과정'!$D$11/2,ABS(L46)&lt;='계산 과정'!$D$12/2),1,0)),"")</x:f>
        <x:v>1</x:v>
      </x:c>
      <x:c r="N46" s="17" t="n">
        <x:f>IF('계산 과정'!$C$78,IF(AND(ISNUMBER(H46),ISNUMBER(I46),ABS(H46-'계산 과정'!$C$88)&lt;='계산 과정'!$D$23/2,ABS(I46-'계산 과정'!$C$89)&lt;='계산 과정'!$D$24/2),1,0),"")</x:f>
        <x:v>1</x:v>
      </x:c>
      <x:c r="O46" s="4" t="n">
        <x:f>IF('계산 과정'!$L$7,'계산 과정'!$C$49*('계산 과정'!$C$32-D46)+'계산 과정'!$D$49*('계산 과정'!$D$32-E46)+'계산 과정'!$E$49*'계산 과정'!$E$32,"")</x:f>
        <x:v>-2.6696356596222017</x:v>
      </x:c>
      <x:c r="P46" s="4" t="n">
        <x:f>IF(AND('계산 과정'!$L$7,O46&lt;&gt;0),('계산 과정'!$L$23-'계산 과정'!$C$49*D46-'계산 과정'!$D$49*E46)/O46,"")</x:f>
        <x:v>-148.83317987916246</x:v>
      </x:c>
      <x:c r="Q46" s="4" t="str">
        <x:f>IF(AND(ISNUMBER(P46),P46&gt;1E-9,P46&lt;1-1E-9),'계산 과정'!$C$47*(D46-'계산 과정'!$C$50+P46*('계산 과정'!$C$32-D46))+'계산 과정'!$D$47*(E46-'계산 과정'!$D$50+P46*('계산 과정'!$D$32-E46))+'계산 과정'!$E$47*(0-'계산 과정'!$E$50+P46*('계산 과정'!$E$32-0)),"")</x:f>
      </x:c>
      <x:c r="R46" s="4" t="str">
        <x:f>IF(AND(ISNUMBER(P46),P46&gt;1E-9,P46&lt;1-1E-9),'계산 과정'!$C$48*(D46-'계산 과정'!$C$50+P46*('계산 과정'!$C$32-D46))+'계산 과정'!$D$48*(E46-'계산 과정'!$D$50+P46*('계산 과정'!$D$32-E46))+'계산 과정'!$E$48*(0-'계산 과정'!$E$50+P46*('계산 과정'!$E$32-0)),"")</x:f>
      </x:c>
      <x:c r="S46" s="17" t="n">
        <x:f>IF('계산 과정'!$C$78,IF(AND(ISNUMBER(Q46),ISNUMBER(R46),ABS(Q46-'계산 과정'!$C$88)&lt;='계산 과정'!$D$23/2,ABS(R46-'계산 과정'!$C$89)&lt;='계산 과정'!$D$24/2),1,0),"")</x:f>
        <x:v>0</x:v>
      </x:c>
      <x:c r="T46" s="4"/>
      <x:c r="U46" s="4"/>
      <x:c r="V46" s="4"/>
      <x:c r="W46" s="4" t="n">
        <x:f>IF('계산 과정'!$C$77,('계산 과정'!$D$56+'계산 과정'!$D$57*('계산 과정'!$L$11*COS(40*2*PI()/240))+'계산 과정'!$D$58*('계산 과정'!$L$11*SIN(40*2*PI()/240)))/('계산 과정'!$D$59+'계산 과정'!$D$60*('계산 과정'!$L$11*COS(40*2*PI()/240))+'계산 과정'!$D$61*('계산 과정'!$L$11*SIN(40*2*PI()/240))),"")</x:f>
        <x:v>93.27929319311718</x:v>
      </x:c>
      <x:c r="X46" s="4" t="n">
        <x:f>IF('계산 과정'!$C$77,('계산 과정'!$E$56+'계산 과정'!$E$57*('계산 과정'!$L$11*COS(40*2*PI()/240))+'계산 과정'!$E$58*('계산 과정'!$L$11*SIN(40*2*PI()/240)))/('계산 과정'!$E$59+'계산 과정'!$E$60*('계산 과정'!$L$11*COS(40*2*PI()/240))+'계산 과정'!$E$61*('계산 과정'!$L$11*SIN(40*2*PI()/240))),"")</x:f>
        <x:v>228.48667189060546</x:v>
      </x:c>
      <x:c r="Y46" s="4" t="str">
        <x:f>""</x:f>
      </x:c>
      <x:c r="Z46" s="4" t="str">
        <x:f>""</x:f>
      </x:c>
    </x:row>
    <x:row r="47" ht="23" customHeight="1">
      <x:c r="A47" s="17" t="n">
        <x:f>ROW()-6</x:f>
        <x:v>41</x:v>
      </x:c>
      <x:c r="B47" s="4" t="n">
        <x:f>IF('계산 과정'!$L$5,'계산 과정'!$L$11*SQRT((A47+0.5)/'계산 과정'!$L$30),"")</x:f>
        <x:v>21.35257870111945</x:v>
      </x:c>
      <x:c r="C47" s="4" t="n">
        <x:f>A47*PI()*(3-SQRT(5))</x:f>
        <x:v>98.39849241887477</x:v>
      </x:c>
      <x:c r="D47" s="4" t="n">
        <x:f>IF('계산 과정'!$L$5,B47*COS(C47),"")</x:f>
        <x:v>-11.37250286223306</x:v>
      </x:c>
      <x:c r="E47" s="4" t="n">
        <x:f>IF('계산 과정'!$L$5,B47*SIN(C47),"")</x:f>
        <x:v>-18.072044594787855</x:v>
      </x:c>
      <x:c r="F47" s="4" t="n">
        <x:f>IF('계산 과정'!$L$7,'계산 과정'!$L$22+'계산 과정'!$C$49*D47+'계산 과정'!$D$49*E47,"")</x:f>
        <x:v>658.0415738929485</x:v>
      </x:c>
      <x:c r="G47" s="4" t="n">
        <x:f>IF('계산 과정'!$L$7,IF(ABS(F47)&gt;=1E-12*MAX(1,SQRT((D47-'계산 과정'!$C$33)^2+(E47-'계산 과정'!$D$33)^2+'계산 과정'!$E$33^2)),('계산 과정'!$L$23-'계산 과정'!$C$49*D47-'계산 과정'!$D$49*E47)/F47,""),"")</x:f>
        <x:v>0.5956438645483153</x:v>
      </x:c>
      <x:c r="H47" s="4" t="n">
        <x:f>IF(AND(ISNUMBER(G47),G47&gt;0),('계산 과정'!$D$56+'계산 과정'!$D$57*D47+'계산 과정'!$D$58*E47)/F47,"")</x:f>
        <x:v>-12.83148804359517</x:v>
      </x:c>
      <x:c r="I47" s="4" t="n">
        <x:f>IF(AND(ISNUMBER(G47),G47&gt;0),('계산 과정'!$E$56+'계산 과정'!$E$57*D47+'계산 과정'!$E$58*E47)/F47,"")</x:f>
        <x:v>-28.836547077516784</x:v>
      </x:c>
      <x:c r="J47" s="4" t="n">
        <x:f>IF('계산 과정'!$L$5,'계산 과정'!$D$6+'계산 과정'!$C$35*D47+'계산 과정'!$D$35*E47,"")</x:f>
        <x:v>658.0415738929485</x:v>
      </x:c>
      <x:c r="K47" s="4" t="n">
        <x:f>IF(AND('계산 과정'!$L$6,J47&gt;0),'계산 과정'!$D$10*('계산 과정'!$C$38*(D47-'계산 과정'!$C$32)+'계산 과정'!$D$38*(E47-'계산 과정'!$D$32)-'계산 과정'!$E$38*'계산 과정'!$E$32)/J47,"")</x:f>
        <x:v>-0.09776371842739075</x:v>
      </x:c>
      <x:c r="L47" s="4" t="n">
        <x:f>IF(AND('계산 과정'!$L$6,J47&gt;0),'계산 과정'!$D$10*('계산 과정'!$C$39*(D47-'계산 과정'!$C$32)+'계산 과정'!$D$39*(E47-'계산 과정'!$D$32)-'계산 과정'!$E$39*'계산 과정'!$E$32)/J47,"")</x:f>
        <x:v>-0.21970702535250883</x:v>
      </x:c>
      <x:c r="M47" s="17" t="n">
        <x:f>IF('계산 과정'!$L$6,IF(J47&lt;=0,0,IF(AND(ABS(K47)&lt;='계산 과정'!$D$11/2,ABS(L47)&lt;='계산 과정'!$D$12/2),1,0)),"")</x:f>
        <x:v>1</x:v>
      </x:c>
      <x:c r="N47" s="17" t="n">
        <x:f>IF('계산 과정'!$C$78,IF(AND(ISNUMBER(H47),ISNUMBER(I47),ABS(H47-'계산 과정'!$C$88)&lt;='계산 과정'!$D$23/2,ABS(I47-'계산 과정'!$C$89)&lt;='계산 과정'!$D$24/2),1,0),"")</x:f>
        <x:v>1</x:v>
      </x:c>
      <x:c r="O47" s="4" t="n">
        <x:f>IF('계산 과정'!$L$7,'계산 과정'!$C$49*('계산 과정'!$C$32-D47)+'계산 과정'!$D$49*('계산 과정'!$D$32-E47)+'계산 과정'!$E$49*'계산 과정'!$E$32,"")</x:f>
        <x:v>-8.041573892948293</x:v>
      </x:c>
      <x:c r="P47" s="4" t="n">
        <x:f>IF(AND('계산 과정'!$L$7,O47&lt;&gt;0),('계산 과정'!$L$23-'계산 과정'!$C$49*D47-'계산 과정'!$D$49*E47)/O47,"")</x:f>
        <x:v>-48.741506491753114</x:v>
      </x:c>
      <x:c r="Q47" s="4" t="str">
        <x:f>IF(AND(ISNUMBER(P47),P47&gt;1E-9,P47&lt;1-1E-9),'계산 과정'!$C$47*(D47-'계산 과정'!$C$50+P47*('계산 과정'!$C$32-D47))+'계산 과정'!$D$47*(E47-'계산 과정'!$D$50+P47*('계산 과정'!$D$32-E47))+'계산 과정'!$E$47*(0-'계산 과정'!$E$50+P47*('계산 과정'!$E$32-0)),"")</x:f>
      </x:c>
      <x:c r="R47" s="4" t="str">
        <x:f>IF(AND(ISNUMBER(P47),P47&gt;1E-9,P47&lt;1-1E-9),'계산 과정'!$C$48*(D47-'계산 과정'!$C$50+P47*('계산 과정'!$C$32-D47))+'계산 과정'!$D$48*(E47-'계산 과정'!$D$50+P47*('계산 과정'!$D$32-E47))+'계산 과정'!$E$48*(0-'계산 과정'!$E$50+P47*('계산 과정'!$E$32-0)),"")</x:f>
      </x:c>
      <x:c r="S47" s="17" t="n">
        <x:f>IF('계산 과정'!$C$78,IF(AND(ISNUMBER(Q47),ISNUMBER(R47),ABS(Q47-'계산 과정'!$C$88)&lt;='계산 과정'!$D$23/2,ABS(R47-'계산 과정'!$C$89)&lt;='계산 과정'!$D$24/2),1,0),"")</x:f>
        <x:v>0</x:v>
      </x:c>
      <x:c r="T47" s="4"/>
      <x:c r="U47" s="4"/>
      <x:c r="V47" s="4"/>
      <x:c r="W47" s="4" t="n">
        <x:f>IF('계산 과정'!$C$77,('계산 과정'!$D$56+'계산 과정'!$D$57*('계산 과정'!$L$11*COS(41*2*PI()/240))+'계산 과정'!$D$58*('계산 과정'!$L$11*SIN(41*2*PI()/240)))/('계산 과정'!$D$59+'계산 과정'!$D$60*('계산 과정'!$L$11*COS(41*2*PI()/240))+'계산 과정'!$D$61*('계산 과정'!$L$11*SIN(41*2*PI()/240))),"")</x:f>
        <x:v>88.6582607605414</x:v>
      </x:c>
      <x:c r="X47" s="4" t="n">
        <x:f>IF('계산 과정'!$C$77,('계산 과정'!$E$56+'계산 과정'!$E$57*('계산 과정'!$L$11*COS(41*2*PI()/240))+'계산 과정'!$E$58*('계산 과정'!$L$11*SIN(41*2*PI()/240)))/('계산 과정'!$E$59+'계산 과정'!$E$60*('계산 과정'!$L$11*COS(41*2*PI()/240))+'계산 과정'!$E$61*('계산 과정'!$L$11*SIN(41*2*PI()/240))),"")</x:f>
        <x:v>230.9243919300633</x:v>
      </x:c>
      <x:c r="Y47" s="4" t="str">
        <x:f>""</x:f>
      </x:c>
      <x:c r="Z47" s="4" t="str">
        <x:f>""</x:f>
      </x:c>
    </x:row>
    <x:row r="48" ht="23" customHeight="1">
      <x:c r="A48" s="17" t="n">
        <x:f>ROW()-6</x:f>
        <x:v>42</x:v>
      </x:c>
      <x:c r="B48" s="4" t="n">
        <x:f>IF('계산 과정'!$L$5,'계산 과정'!$L$11*SQRT((A48+0.5)/'계산 과정'!$L$30),"")</x:f>
        <x:v>21.608307321780202</x:v>
      </x:c>
      <x:c r="C48" s="4" t="n">
        <x:f>A48*PI()*(3-SQRT(5))</x:f>
        <x:v>100.79845564860342</x:v>
      </x:c>
      <x:c r="D48" s="4" t="n">
        <x:f>IF('계산 과정'!$L$5,B48*COS(C48),"")</x:f>
        <x:v>20.839854582786085</x:v>
      </x:c>
      <x:c r="E48" s="4" t="n">
        <x:f>IF('계산 과정'!$L$5,B48*SIN(C48),"")</x:f>
        <x:v>5.711340147533649</x:v>
      </x:c>
      <x:c r="F48" s="4" t="n">
        <x:f>IF('계산 과정'!$L$7,'계산 과정'!$L$22+'계산 과정'!$C$49*D48+'계산 과정'!$D$49*E48,"")</x:f>
        <x:v>635.2639975055704</x:v>
      </x:c>
      <x:c r="G48" s="4" t="n">
        <x:f>IF('계산 과정'!$L$7,IF(ABS(F48)&gt;=1E-12*MAX(1,SQRT((D48-'계산 과정'!$C$33)^2+(E48-'계산 과정'!$D$33)^2+'계산 과정'!$E$33^2)),('계산 과정'!$L$23-'계산 과정'!$C$49*D48-'계산 과정'!$D$49*E48)/F48,""),"")</x:f>
        <x:v>0.6528561418920847</x:v>
      </x:c>
      <x:c r="H48" s="4" t="n">
        <x:f>IF(AND(ISNUMBER(G48),G48&gt;0),('계산 과정'!$D$56+'계산 과정'!$D$57*D48+'계산 과정'!$D$58*E48)/F48,"")</x:f>
        <x:v>24.35649222985492</x:v>
      </x:c>
      <x:c r="I48" s="4" t="n">
        <x:f>IF(AND(ISNUMBER(G48),G48&gt;0),('계산 과정'!$E$56+'계산 과정'!$E$57*D48+'계산 과정'!$E$58*E48)/F48,"")</x:f>
        <x:v>9.440023641285837</x:v>
      </x:c>
      <x:c r="J48" s="4" t="n">
        <x:f>IF('계산 과정'!$L$5,'계산 과정'!$D$6+'계산 과정'!$C$35*D48+'계산 과정'!$D$35*E48,"")</x:f>
        <x:v>635.2639975055704</x:v>
      </x:c>
      <x:c r="K48" s="4" t="n">
        <x:f>IF(AND('계산 과정'!$L$6,J48&gt;0),'계산 과정'!$D$10*('계산 과정'!$C$38*(D48-'계산 과정'!$C$32)+'계산 과정'!$D$38*(E48-'계산 과정'!$D$32)-'계산 과정'!$E$38*'계산 과정'!$E$32)/J48,"")</x:f>
        <x:v>0.18557327413222907</x:v>
      </x:c>
      <x:c r="L48" s="4" t="n">
        <x:f>IF(AND('계산 과정'!$L$6,J48&gt;0),'계산 과정'!$D$10*('계산 과정'!$C$39*(D48-'계산 과정'!$C$32)+'계산 과정'!$D$39*(E48-'계산 과정'!$D$32)-'계산 과정'!$E$39*'계산 과정'!$E$32)/J48,"")</x:f>
        <x:v>0.0719239896478921</x:v>
      </x:c>
      <x:c r="M48" s="17" t="n">
        <x:f>IF('계산 과정'!$L$6,IF(J48&lt;=0,0,IF(AND(ABS(K48)&lt;='계산 과정'!$D$11/2,ABS(L48)&lt;='계산 과정'!$D$12/2),1,0)),"")</x:f>
        <x:v>1</x:v>
      </x:c>
      <x:c r="N48" s="17" t="n">
        <x:f>IF('계산 과정'!$C$78,IF(AND(ISNUMBER(H48),ISNUMBER(I48),ABS(H48-'계산 과정'!$C$88)&lt;='계산 과정'!$D$23/2,ABS(I48-'계산 과정'!$C$89)&lt;='계산 과정'!$D$24/2),1,0),"")</x:f>
        <x:v>1</x:v>
      </x:c>
      <x:c r="O48" s="4" t="n">
        <x:f>IF('계산 과정'!$L$7,'계산 과정'!$C$49*('계산 과정'!$C$32-D48)+'계산 과정'!$D$49*('계산 과정'!$D$32-E48)+'계산 과정'!$E$49*'계산 과정'!$E$32,"")</x:f>
        <x:v>14.73600249442967</x:v>
      </x:c>
      <x:c r="P48" s="4" t="n">
        <x:f>IF(AND('계산 과정'!$L$7,O48&lt;&gt;0),('계산 과정'!$L$23-'계산 과정'!$C$49*D48-'계산 과정'!$D$49*E48)/O48,"")</x:f>
        <x:v>28.144403657043572</x:v>
      </x:c>
      <x:c r="Q48" s="4" t="str">
        <x:f>IF(AND(ISNUMBER(P48),P48&gt;1E-9,P48&lt;1-1E-9),'계산 과정'!$C$47*(D48-'계산 과정'!$C$50+P48*('계산 과정'!$C$32-D48))+'계산 과정'!$D$47*(E48-'계산 과정'!$D$50+P48*('계산 과정'!$D$32-E48))+'계산 과정'!$E$47*(0-'계산 과정'!$E$50+P48*('계산 과정'!$E$32-0)),"")</x:f>
      </x:c>
      <x:c r="R48" s="4" t="str">
        <x:f>IF(AND(ISNUMBER(P48),P48&gt;1E-9,P48&lt;1-1E-9),'계산 과정'!$C$48*(D48-'계산 과정'!$C$50+P48*('계산 과정'!$C$32-D48))+'계산 과정'!$D$48*(E48-'계산 과정'!$D$50+P48*('계산 과정'!$D$32-E48))+'계산 과정'!$E$48*(0-'계산 과정'!$E$50+P48*('계산 과정'!$E$32-0)),"")</x:f>
      </x:c>
      <x:c r="S48" s="17" t="n">
        <x:f>IF('계산 과정'!$C$78,IF(AND(ISNUMBER(Q48),ISNUMBER(R48),ABS(Q48-'계산 과정'!$C$88)&lt;='계산 과정'!$D$23/2,ABS(R48-'계산 과정'!$C$89)&lt;='계산 과정'!$D$24/2),1,0),"")</x:f>
        <x:v>0</x:v>
      </x:c>
      <x:c r="T48" s="4"/>
      <x:c r="U48" s="4"/>
      <x:c r="V48" s="4"/>
      <x:c r="W48" s="4" t="n">
        <x:f>IF('계산 과정'!$C$77,('계산 과정'!$D$56+'계산 과정'!$D$57*('계산 과정'!$L$11*COS(42*2*PI()/240))+'계산 과정'!$D$58*('계산 과정'!$L$11*SIN(42*2*PI()/240)))/('계산 과정'!$D$59+'계산 과정'!$D$60*('계산 과정'!$L$11*COS(42*2*PI()/240))+'계산 과정'!$D$61*('계산 과정'!$L$11*SIN(42*2*PI()/240))),"")</x:f>
        <x:v>84.00907429793304</x:v>
      </x:c>
      <x:c r="X48" s="4" t="n">
        <x:f>IF('계산 과정'!$C$77,('계산 과정'!$E$56+'계산 과정'!$E$57*('계산 과정'!$L$11*COS(42*2*PI()/240))+'계산 과정'!$E$58*('계산 과정'!$L$11*SIN(42*2*PI()/240)))/('계산 과정'!$E$59+'계산 과정'!$E$60*('계산 과정'!$L$11*COS(42*2*PI()/240))+'계산 과정'!$E$61*('계산 과정'!$L$11*SIN(42*2*PI()/240))),"")</x:f>
        <x:v>233.17141931267764</x:v>
      </x:c>
      <x:c r="Y48" s="4" t="str">
        <x:f>""</x:f>
      </x:c>
      <x:c r="Z48" s="4" t="str">
        <x:f>""</x:f>
      </x:c>
    </x:row>
    <x:row r="49" ht="23" customHeight="1">
      <x:c r="A49" s="17" t="n">
        <x:f>ROW()-6</x:f>
        <x:v>43</x:v>
      </x:c>
      <x:c r="B49" s="4" t="n">
        <x:f>IF('계산 과정'!$L$5,'계산 과정'!$L$11*SQRT((A49+0.5)/'계산 과정'!$L$30),"")</x:f>
        <x:v>21.861044655676913</x:v>
      </x:c>
      <x:c r="C49" s="4" t="n">
        <x:f>A49*PI()*(3-SQRT(5))</x:f>
        <x:v>103.19841887833208</x:v>
      </x:c>
      <x:c r="D49" s="4" t="n">
        <x:f>IF('계산 과정'!$L$5,B49*COS(C49),"")</x:f>
        <x:v>-19.449471973838296</x:v>
      </x:c>
      <x:c r="E49" s="4" t="n">
        <x:f>IF('계산 과정'!$L$5,B49*SIN(C49),"")</x:f>
        <x:v>9.981147898732834</x:v>
      </x:c>
      <x:c r="F49" s="4" t="n">
        <x:f>IF('계산 과정'!$L$7,'계산 과정'!$L$22+'계산 과정'!$C$49*D49+'계산 과정'!$D$49*E49,"")</x:f>
        <x:v>663.7528535231987</x:v>
      </x:c>
      <x:c r="G49" s="4" t="n">
        <x:f>IF('계산 과정'!$L$7,IF(ABS(F49)&gt;=1E-12*MAX(1,SQRT((D49-'계산 과정'!$C$33)^2+(E49-'계산 과정'!$D$33)^2+'계산 과정'!$E$33^2)),('계산 과정'!$L$23-'계산 과정'!$C$49*D49-'계산 과정'!$D$49*E49)/F49,""),"")</x:f>
        <x:v>0.5819141031584304</x:v>
      </x:c>
      <x:c r="H49" s="4" t="n">
        <x:f>IF(AND(ISNUMBER(G49),G49&gt;0),('계산 과정'!$D$56+'계산 과정'!$D$57*D49+'계산 과정'!$D$58*E49)/F49,"")</x:f>
        <x:v>-21.755832947020355</x:v>
      </x:c>
      <x:c r="I49" s="4" t="n">
        <x:f>IF(AND(ISNUMBER(G49),G49&gt;0),('계산 과정'!$E$56+'계산 과정'!$E$57*D49+'계산 과정'!$E$58*E49)/F49,"")</x:f>
        <x:v>15.789318626715605</x:v>
      </x:c>
      <x:c r="J49" s="4" t="n">
        <x:f>IF('계산 과정'!$L$5,'계산 과정'!$D$6+'계산 과정'!$C$35*D49+'계산 과정'!$D$35*E49,"")</x:f>
        <x:v>663.7528535231987</x:v>
      </x:c>
      <x:c r="K49" s="4" t="n">
        <x:f>IF(AND('계산 과정'!$L$6,J49&gt;0),'계산 과정'!$D$10*('계산 과정'!$C$38*(D49-'계산 과정'!$C$32)+'계산 과정'!$D$38*(E49-'계산 과정'!$D$32)-'계산 과정'!$E$38*'계산 과정'!$E$32)/J49,"")</x:f>
        <x:v>-0.16575872721539245</x:v>
      </x:c>
      <x:c r="L49" s="4" t="n">
        <x:f>IF(AND('계산 과정'!$L$6,J49&gt;0),'계산 과정'!$D$10*('계산 과정'!$C$39*(D49-'계산 과정'!$C$32)+'계산 과정'!$D$39*(E49-'계산 과정'!$D$32)-'계산 과정'!$E$39*'계산 과정'!$E$32)/J49,"")</x:f>
        <x:v>0.12029957048926175</x:v>
      </x:c>
      <x:c r="M49" s="17" t="n">
        <x:f>IF('계산 과정'!$L$6,IF(J49&lt;=0,0,IF(AND(ABS(K49)&lt;='계산 과정'!$D$11/2,ABS(L49)&lt;='계산 과정'!$D$12/2),1,0)),"")</x:f>
        <x:v>1</x:v>
      </x:c>
      <x:c r="N49" s="17" t="n">
        <x:f>IF('계산 과정'!$C$78,IF(AND(ISNUMBER(H49),ISNUMBER(I49),ABS(H49-'계산 과정'!$C$88)&lt;='계산 과정'!$D$23/2,ABS(I49-'계산 과정'!$C$89)&lt;='계산 과정'!$D$24/2),1,0),"")</x:f>
        <x:v>1</x:v>
      </x:c>
      <x:c r="O49" s="4" t="n">
        <x:f>IF('계산 과정'!$L$7,'계산 과정'!$C$49*('계산 과정'!$C$32-D49)+'계산 과정'!$D$49*('계산 과정'!$D$32-E49)+'계산 과정'!$E$49*'계산 과정'!$E$32,"")</x:f>
        <x:v>-13.752853523198667</x:v>
      </x:c>
      <x:c r="P49" s="4" t="n">
        <x:f>IF(AND('계산 과정'!$L$7,O49&lt;&gt;0),('계산 과정'!$L$23-'계산 과정'!$C$49*D49-'계산 과정'!$D$49*E49)/O49,"")</x:f>
        <x:v>-28.08487313743796</x:v>
      </x:c>
      <x:c r="Q49" s="4" t="str">
        <x:f>IF(AND(ISNUMBER(P49),P49&gt;1E-9,P49&lt;1-1E-9),'계산 과정'!$C$47*(D49-'계산 과정'!$C$50+P49*('계산 과정'!$C$32-D49))+'계산 과정'!$D$47*(E49-'계산 과정'!$D$50+P49*('계산 과정'!$D$32-E49))+'계산 과정'!$E$47*(0-'계산 과정'!$E$50+P49*('계산 과정'!$E$32-0)),"")</x:f>
      </x:c>
      <x:c r="R49" s="4" t="str">
        <x:f>IF(AND(ISNUMBER(P49),P49&gt;1E-9,P49&lt;1-1E-9),'계산 과정'!$C$48*(D49-'계산 과정'!$C$50+P49*('계산 과정'!$C$32-D49))+'계산 과정'!$D$48*(E49-'계산 과정'!$D$50+P49*('계산 과정'!$D$32-E49))+'계산 과정'!$E$48*(0-'계산 과정'!$E$50+P49*('계산 과정'!$E$32-0)),"")</x:f>
      </x:c>
      <x:c r="S49" s="17" t="n">
        <x:f>IF('계산 과정'!$C$78,IF(AND(ISNUMBER(Q49),ISNUMBER(R49),ABS(Q49-'계산 과정'!$C$88)&lt;='계산 과정'!$D$23/2,ABS(R49-'계산 과정'!$C$89)&lt;='계산 과정'!$D$24/2),1,0),"")</x:f>
        <x:v>0</x:v>
      </x:c>
      <x:c r="T49" s="4"/>
      <x:c r="U49" s="4"/>
      <x:c r="V49" s="4"/>
      <x:c r="W49" s="4" t="n">
        <x:f>IF('계산 과정'!$C$77,('계산 과정'!$D$56+'계산 과정'!$D$57*('계산 과정'!$L$11*COS(43*2*PI()/240))+'계산 과정'!$D$58*('계산 과정'!$L$11*SIN(43*2*PI()/240)))/('계산 과정'!$D$59+'계산 과정'!$D$60*('계산 과정'!$L$11*COS(43*2*PI()/240))+'계산 과정'!$D$61*('계산 과정'!$L$11*SIN(43*2*PI()/240))),"")</x:f>
        <x:v>79.33602496177362</x:v>
      </x:c>
      <x:c r="X49" s="4" t="n">
        <x:f>IF('계산 과정'!$C$77,('계산 과정'!$E$56+'계산 과정'!$E$57*('계산 과정'!$L$11*COS(43*2*PI()/240))+'계산 과정'!$E$58*('계산 과정'!$L$11*SIN(43*2*PI()/240)))/('계산 과정'!$E$59+'계산 과정'!$E$60*('계산 과정'!$L$11*COS(43*2*PI()/240))+'계산 과정'!$E$61*('계산 과정'!$L$11*SIN(43*2*PI()/240))),"")</x:f>
        <x:v>235.22817166538397</x:v>
      </x:c>
      <x:c r="Y49" s="4" t="str">
        <x:f>""</x:f>
      </x:c>
      <x:c r="Z49" s="4" t="str">
        <x:f>""</x:f>
      </x:c>
    </x:row>
    <x:row r="50" ht="23" customHeight="1">
      <x:c r="A50" s="17" t="n">
        <x:f>ROW()-6</x:f>
        <x:v>44</x:v>
      </x:c>
      <x:c r="B50" s="4" t="n">
        <x:f>IF('계산 과정'!$L$5,'계산 과정'!$L$11*SQRT((A50+0.5)/'계산 과정'!$L$30),"")</x:f>
        <x:v>22.110893278257663</x:v>
      </x:c>
      <x:c r="C50" s="4" t="n">
        <x:f>A50*PI()*(3-SQRT(5))</x:f>
        <x:v>105.59838210806072</x:v>
      </x:c>
      <x:c r="D50" s="4" t="n">
        <x:f>IF('계산 과정'!$L$5,B50*COS(C50),"")</x:f>
        <x:v>7.686118380728076</x:v>
      </x:c>
      <x:c r="E50" s="4" t="n">
        <x:f>IF('계산 과정'!$L$5,B50*SIN(C50),"")</x:f>
        <x:v>-20.731984608327632</x:v>
      </x:c>
      <x:c r="F50" s="4" t="n">
        <x:f>IF('계산 과정'!$L$7,'계산 과정'!$L$22+'계산 과정'!$C$49*D50+'계산 과정'!$D$49*E50,"")</x:f>
        <x:v>644.5650935719846</x:v>
      </x:c>
      <x:c r="G50" s="4" t="n">
        <x:f>IF('계산 과정'!$L$7,IF(ABS(F50)&gt;=1E-12*MAX(1,SQRT((D50-'계산 과정'!$C$33)^2+(E50-'계산 과정'!$D$33)^2+'계산 과정'!$E$33^2)),('계산 과정'!$L$23-'계산 과정'!$C$49*D50-'계산 과정'!$D$49*E50)/F50,""),"")</x:f>
        <x:v>0.6290053719496629</x:v>
      </x:c>
      <x:c r="H50" s="4" t="n">
        <x:f>IF(AND(ISNUMBER(G50),G50&gt;0),('계산 과정'!$D$56+'계산 과정'!$D$57*D50+'계산 과정'!$D$58*E50)/F50,"")</x:f>
        <x:v>8.85349176728071</x:v>
      </x:c>
      <x:c r="I50" s="4" t="n">
        <x:f>IF(AND(ISNUMBER(G50),G50&gt;0),('계산 과정'!$E$56+'계산 과정'!$E$57*D50+'계산 과정'!$E$58*E50)/F50,"")</x:f>
        <x:v>-33.77251429814344</x:v>
      </x:c>
      <x:c r="J50" s="4" t="n">
        <x:f>IF('계산 과정'!$L$5,'계산 과정'!$D$6+'계산 과정'!$C$35*D50+'계산 과정'!$D$35*E50,"")</x:f>
        <x:v>644.5650935719846</x:v>
      </x:c>
      <x:c r="K50" s="4" t="n">
        <x:f>IF(AND('계산 과정'!$L$6,J50&gt;0),'계산 과정'!$D$10*('계산 과정'!$C$38*(D50-'계산 과정'!$C$32)+'계산 과정'!$D$38*(E50-'계산 과정'!$D$32)-'계산 과정'!$E$38*'계산 과정'!$E$32)/J50,"")</x:f>
        <x:v>0.06745517536975855</x:v>
      </x:c>
      <x:c r="L50" s="4" t="n">
        <x:f>IF(AND('계산 과정'!$L$6,J50&gt;0),'계산 과정'!$D$10*('계산 과정'!$C$39*(D50-'계산 과정'!$C$32)+'계산 과정'!$D$39*(E50-'계산 과정'!$D$32)-'계산 과정'!$E$39*'계산 과정'!$E$32)/J50,"")</x:f>
        <x:v>-0.2573143946525215</x:v>
      </x:c>
      <x:c r="M50" s="17" t="n">
        <x:f>IF('계산 과정'!$L$6,IF(J50&lt;=0,0,IF(AND(ABS(K50)&lt;='계산 과정'!$D$11/2,ABS(L50)&lt;='계산 과정'!$D$12/2),1,0)),"")</x:f>
        <x:v>1</x:v>
      </x:c>
      <x:c r="N50" s="17" t="n">
        <x:f>IF('계산 과정'!$C$78,IF(AND(ISNUMBER(H50),ISNUMBER(I50),ABS(H50-'계산 과정'!$C$88)&lt;='계산 과정'!$D$23/2,ABS(I50-'계산 과정'!$C$89)&lt;='계산 과정'!$D$24/2),1,0),"")</x:f>
        <x:v>1</x:v>
      </x:c>
      <x:c r="O50" s="4" t="n">
        <x:f>IF('계산 과정'!$L$7,'계산 과정'!$C$49*('계산 과정'!$C$32-D50)+'계산 과정'!$D$49*('계산 과정'!$D$32-E50)+'계산 과정'!$E$49*'계산 과정'!$E$32,"")</x:f>
        <x:v>5.434906428015495</x:v>
      </x:c>
      <x:c r="P50" s="4" t="n">
        <x:f>IF(AND('계산 과정'!$L$7,O50&lt;&gt;0),('계산 과정'!$L$23-'계산 과정'!$C$49*D50-'계산 과정'!$D$49*E50)/O50,"")</x:f>
        <x:v>74.59832322744444</x:v>
      </x:c>
      <x:c r="Q50" s="4" t="str">
        <x:f>IF(AND(ISNUMBER(P50),P50&gt;1E-9,P50&lt;1-1E-9),'계산 과정'!$C$47*(D50-'계산 과정'!$C$50+P50*('계산 과정'!$C$32-D50))+'계산 과정'!$D$47*(E50-'계산 과정'!$D$50+P50*('계산 과정'!$D$32-E50))+'계산 과정'!$E$47*(0-'계산 과정'!$E$50+P50*('계산 과정'!$E$32-0)),"")</x:f>
      </x:c>
      <x:c r="R50" s="4" t="str">
        <x:f>IF(AND(ISNUMBER(P50),P50&gt;1E-9,P50&lt;1-1E-9),'계산 과정'!$C$48*(D50-'계산 과정'!$C$50+P50*('계산 과정'!$C$32-D50))+'계산 과정'!$D$48*(E50-'계산 과정'!$D$50+P50*('계산 과정'!$D$32-E50))+'계산 과정'!$E$48*(0-'계산 과정'!$E$50+P50*('계산 과정'!$E$32-0)),"")</x:f>
      </x:c>
      <x:c r="S50" s="17" t="n">
        <x:f>IF('계산 과정'!$C$78,IF(AND(ISNUMBER(Q50),ISNUMBER(R50),ABS(Q50-'계산 과정'!$C$88)&lt;='계산 과정'!$D$23/2,ABS(R50-'계산 과정'!$C$89)&lt;='계산 과정'!$D$24/2),1,0),"")</x:f>
        <x:v>0</x:v>
      </x:c>
      <x:c r="T50" s="4"/>
      <x:c r="U50" s="4"/>
      <x:c r="V50" s="4"/>
      <x:c r="W50" s="4" t="n">
        <x:f>IF('계산 과정'!$C$77,('계산 과정'!$D$56+'계산 과정'!$D$57*('계산 과정'!$L$11*COS(44*2*PI()/240))+'계산 과정'!$D$58*('계산 과정'!$L$11*SIN(44*2*PI()/240)))/('계산 과정'!$D$59+'계산 과정'!$D$60*('계산 과정'!$L$11*COS(44*2*PI()/240))+'계산 과정'!$D$61*('계산 과정'!$L$11*SIN(44*2*PI()/240))),"")</x:f>
        <x:v>74.64333192014115</x:v>
      </x:c>
      <x:c r="X50" s="4" t="n">
        <x:f>IF('계산 과정'!$C$77,('계산 과정'!$E$56+'계산 과정'!$E$57*('계산 과정'!$L$11*COS(44*2*PI()/240))+'계산 과정'!$E$58*('계산 과정'!$L$11*SIN(44*2*PI()/240)))/('계산 과정'!$E$59+'계산 과정'!$E$60*('계산 과정'!$L$11*COS(44*2*PI()/240))+'계산 과정'!$E$61*('계산 과정'!$L$11*SIN(44*2*PI()/240))),"")</x:f>
        <x:v>237.09526323315805</x:v>
      </x:c>
      <x:c r="Y50" s="4" t="str">
        <x:f>""</x:f>
      </x:c>
      <x:c r="Z50" s="4" t="str">
        <x:f>""</x:f>
      </x:c>
    </x:row>
    <x:row r="51" ht="23" customHeight="1">
      <x:c r="A51" s="17" t="n">
        <x:f>ROW()-6</x:f>
        <x:v>45</x:v>
      </x:c>
      <x:c r="B51" s="4" t="n">
        <x:f>IF('계산 과정'!$L$5,'계산 과정'!$L$11*SQRT((A51+0.5)/'계산 과정'!$L$30),"")</x:f>
        <x:v>22.35795003320966</x:v>
      </x:c>
      <x:c r="C51" s="4" t="n">
        <x:f>A51*PI()*(3-SQRT(5))</x:f>
        <x:v>107.99834533778939</x:v>
      </x:c>
      <x:c r="D51" s="4" t="n">
        <x:f>IF('계산 과정'!$L$5,B51*COS(C51),"")</x:f>
        <x:v>8.42990083124601</x:v>
      </x:c>
      <x:c r="E51" s="4" t="n">
        <x:f>IF('계산 과정'!$L$5,B51*SIN(C51),"")</x:f>
        <x:v>20.70784155007126</x:v>
      </x:c>
      <x:c r="F51" s="4" t="n">
        <x:f>IF('계산 과정'!$L$7,'계산 과정'!$L$22+'계산 과정'!$C$49*D51+'계산 과정'!$D$49*E51,"")</x:f>
        <x:v>644.0391599574958</x:v>
      </x:c>
      <x:c r="G51" s="4" t="n">
        <x:f>IF('계산 과정'!$L$7,IF(ABS(F51)&gt;=1E-12*MAX(1,SQRT((D51-'계산 과정'!$C$33)^2+(E51-'계산 과정'!$D$33)^2+'계산 과정'!$E$33^2)),('계산 과정'!$L$23-'계산 과정'!$C$49*D51-'계산 과정'!$D$49*E51)/F51,""),"")</x:f>
        <x:v>0.6303356461574419</x:v>
      </x:c>
      <x:c r="H51" s="4" t="n">
        <x:f>IF(AND(ISNUMBER(G51),G51&gt;0),('계산 과정'!$D$56+'계산 과정'!$D$57*D51+'계산 과정'!$D$58*E51)/F51,"")</x:f>
        <x:v>9.718170002337073</x:v>
      </x:c>
      <x:c r="I51" s="4" t="n">
        <x:f>IF(AND(ISNUMBER(G51),G51&gt;0),('계산 과정'!$E$56+'계산 과정'!$E$57*D51+'계산 과정'!$E$58*E51)/F51,"")</x:f>
        <x:v>33.76073223406135</x:v>
      </x:c>
      <x:c r="J51" s="4" t="n">
        <x:f>IF('계산 과정'!$L$5,'계산 과정'!$D$6+'계산 과정'!$C$35*D51+'계산 과정'!$D$35*E51,"")</x:f>
        <x:v>644.0391599574958</x:v>
      </x:c>
      <x:c r="K51" s="4" t="n">
        <x:f>IF(AND('계산 과정'!$L$6,J51&gt;0),'계산 과정'!$D$10*('계산 과정'!$C$38*(D51-'계산 과정'!$C$32)+'계산 과정'!$D$38*(E51-'계산 과정'!$D$32)-'계산 과정'!$E$38*'계산 과정'!$E$32)/J51,"")</x:f>
        <x:v>0.0740432000178072</x:v>
      </x:c>
      <x:c r="L51" s="4" t="n">
        <x:f>IF(AND('계산 과정'!$L$6,J51&gt;0),'계산 과정'!$D$10*('계산 과정'!$C$39*(D51-'계산 과정'!$C$32)+'계산 과정'!$D$39*(E51-'계산 과정'!$D$32)-'계산 과정'!$E$39*'계산 과정'!$E$32)/J51,"")</x:f>
        <x:v>0.2572246265452294</x:v>
      </x:c>
      <x:c r="M51" s="17" t="n">
        <x:f>IF('계산 과정'!$L$6,IF(J51&lt;=0,0,IF(AND(ABS(K51)&lt;='계산 과정'!$D$11/2,ABS(L51)&lt;='계산 과정'!$D$12/2),1,0)),"")</x:f>
        <x:v>1</x:v>
      </x:c>
      <x:c r="N51" s="17" t="n">
        <x:f>IF('계산 과정'!$C$78,IF(AND(ISNUMBER(H51),ISNUMBER(I51),ABS(H51-'계산 과정'!$C$88)&lt;='계산 과정'!$D$23/2,ABS(I51-'계산 과정'!$C$89)&lt;='계산 과정'!$D$24/2),1,0),"")</x:f>
        <x:v>1</x:v>
      </x:c>
      <x:c r="O51" s="4" t="n">
        <x:f>IF('계산 과정'!$L$7,'계산 과정'!$C$49*('계산 과정'!$C$32-D51)+'계산 과정'!$D$49*('계산 과정'!$D$32-E51)+'계산 과정'!$E$49*'계산 과정'!$E$32,"")</x:f>
        <x:v>5.960840042504287</x:v>
      </x:c>
      <x:c r="P51" s="4" t="n">
        <x:f>IF(AND('계산 과정'!$L$7,O51&lt;&gt;0),('계산 과정'!$L$23-'계산 과정'!$C$49*D51-'계산 과정'!$D$49*E51)/O51,"")</x:f>
        <x:v>68.1046357808237</x:v>
      </x:c>
      <x:c r="Q51" s="4" t="str">
        <x:f>IF(AND(ISNUMBER(P51),P51&gt;1E-9,P51&lt;1-1E-9),'계산 과정'!$C$47*(D51-'계산 과정'!$C$50+P51*('계산 과정'!$C$32-D51))+'계산 과정'!$D$47*(E51-'계산 과정'!$D$50+P51*('계산 과정'!$D$32-E51))+'계산 과정'!$E$47*(0-'계산 과정'!$E$50+P51*('계산 과정'!$E$32-0)),"")</x:f>
      </x:c>
      <x:c r="R51" s="4" t="str">
        <x:f>IF(AND(ISNUMBER(P51),P51&gt;1E-9,P51&lt;1-1E-9),'계산 과정'!$C$48*(D51-'계산 과정'!$C$50+P51*('계산 과정'!$C$32-D51))+'계산 과정'!$D$48*(E51-'계산 과정'!$D$50+P51*('계산 과정'!$D$32-E51))+'계산 과정'!$E$48*(0-'계산 과정'!$E$50+P51*('계산 과정'!$E$32-0)),"")</x:f>
      </x:c>
      <x:c r="S51" s="17" t="n">
        <x:f>IF('계산 과정'!$C$78,IF(AND(ISNUMBER(Q51),ISNUMBER(R51),ABS(Q51-'계산 과정'!$C$88)&lt;='계산 과정'!$D$23/2,ABS(R51-'계산 과정'!$C$89)&lt;='계산 과정'!$D$24/2),1,0),"")</x:f>
        <x:v>0</x:v>
      </x:c>
      <x:c r="T51" s="4"/>
      <x:c r="U51" s="4"/>
      <x:c r="V51" s="4"/>
      <x:c r="W51" s="4" t="n">
        <x:f>IF('계산 과정'!$C$77,('계산 과정'!$D$56+'계산 과정'!$D$57*('계산 과정'!$L$11*COS(45*2*PI()/240))+'계산 과정'!$D$58*('계산 과정'!$L$11*SIN(45*2*PI()/240)))/('계산 과정'!$D$59+'계산 과정'!$D$60*('계산 과정'!$L$11*COS(45*2*PI()/240))+'계산 과정'!$D$61*('계산 과정'!$L$11*SIN(45*2*PI()/240))),"")</x:f>
        <x:v>69.93513797156582</x:v>
      </x:c>
      <x:c r="X51" s="4" t="n">
        <x:f>IF('계산 과정'!$C$77,('계산 과정'!$E$56+'계산 과정'!$E$57*('계산 과정'!$L$11*COS(45*2*PI()/240))+'계산 과정'!$E$58*('계산 과정'!$L$11*SIN(45*2*PI()/240)))/('계산 과정'!$E$59+'계산 과정'!$E$60*('계산 과정'!$L$11*COS(45*2*PI()/240))+'계산 과정'!$E$61*('계산 과정'!$L$11*SIN(45*2*PI()/240))),"")</x:f>
        <x:v>238.77349654895394</x:v>
      </x:c>
      <x:c r="Y51" s="4" t="str">
        <x:f>""</x:f>
      </x:c>
      <x:c r="Z51" s="4" t="str">
        <x:f>""</x:f>
      </x:c>
    </x:row>
    <x:row r="52" ht="23" customHeight="1">
      <x:c r="A52" s="17" t="n">
        <x:f>ROW()-6</x:f>
        <x:v>46</x:v>
      </x:c>
      <x:c r="B52" s="4" t="n">
        <x:f>IF('계산 과정'!$L$5,'계산 과정'!$L$11*SQRT((A52+0.5)/'계산 과정'!$L$30),"")</x:f>
        <x:v>22.602306471077238</x:v>
      </x:c>
      <x:c r="C52" s="4" t="n">
        <x:f>A52*PI()*(3-SQRT(5))</x:f>
        <x:v>110.39830856751803</x:v>
      </x:c>
      <x:c r="D52" s="4" t="n">
        <x:f>IF('계산 과정'!$L$5,B52*COS(C52),"")</x:f>
        <x:v>-20.42470662672708</x:v>
      </x:c>
      <x:c r="E52" s="4" t="n">
        <x:f>IF('계산 과정'!$L$5,B52*SIN(C52),"")</x:f>
        <x:v>-9.679649633361267</x:v>
      </x:c>
      <x:c r="F52" s="4" t="n">
        <x:f>IF('계산 과정'!$L$7,'계산 과정'!$L$22+'계산 과정'!$C$49*D52+'계산 과정'!$D$49*E52,"")</x:f>
        <x:v>664.4424485595046</x:v>
      </x:c>
      <x:c r="G52" s="4" t="n">
        <x:f>IF('계산 과정'!$L$7,IF(ABS(F52)&gt;=1E-12*MAX(1,SQRT((D52-'계산 과정'!$C$33)^2+(E52-'계산 과정'!$D$33)^2+'계산 과정'!$E$33^2)),('계산 과정'!$L$23-'계산 과정'!$C$49*D52-'계산 과정'!$D$49*E52)/F52,""),"")</x:f>
        <x:v>0.5802723054139227</x:v>
      </x:c>
      <x:c r="H52" s="4" t="n">
        <x:f>IF(AND(ISNUMBER(G52),G52&gt;0),('계산 과정'!$D$56+'계산 과정'!$D$57*D52+'계산 과정'!$D$58*E52)/F52,"")</x:f>
        <x:v>-22.82300148095033</x:v>
      </x:c>
      <x:c r="I52" s="4" t="n">
        <x:f>IF(AND(ISNUMBER(G52),G52&gt;0),('계산 과정'!$E$56+'계산 과정'!$E$57*D52+'계산 과정'!$E$58*E52)/F52,"")</x:f>
        <x:v>-15.29648224171084</x:v>
      </x:c>
      <x:c r="J52" s="4" t="n">
        <x:f>IF('계산 과정'!$L$5,'계산 과정'!$D$6+'계산 과정'!$C$35*D52+'계산 과정'!$D$35*E52,"")</x:f>
        <x:v>664.4424485595046</x:v>
      </x:c>
      <x:c r="K52" s="4" t="n">
        <x:f>IF(AND('계산 과정'!$L$6,J52&gt;0),'계산 과정'!$D$10*('계산 과정'!$C$38*(D52-'계산 과정'!$C$32)+'계산 과정'!$D$38*(E52-'계산 과정'!$D$32)-'계산 과정'!$E$38*'계산 과정'!$E$32)/J52,"")</x:f>
        <x:v>-0.1738895350929536</x:v>
      </x:c>
      <x:c r="L52" s="4" t="n">
        <x:f>IF(AND('계산 과정'!$L$6,J52&gt;0),'계산 과정'!$D$10*('계산 과정'!$C$39*(D52-'계산 과정'!$C$32)+'계산 과정'!$D$39*(E52-'계산 과정'!$D$32)-'계산 과정'!$E$39*'계산 과정'!$E$32)/J52,"")</x:f>
        <x:v>-0.11654462660351117</x:v>
      </x:c>
      <x:c r="M52" s="17" t="n">
        <x:f>IF('계산 과정'!$L$6,IF(J52&lt;=0,0,IF(AND(ABS(K52)&lt;='계산 과정'!$D$11/2,ABS(L52)&lt;='계산 과정'!$D$12/2),1,0)),"")</x:f>
        <x:v>1</x:v>
      </x:c>
      <x:c r="N52" s="17" t="n">
        <x:f>IF('계산 과정'!$C$78,IF(AND(ISNUMBER(H52),ISNUMBER(I52),ABS(H52-'계산 과정'!$C$88)&lt;='계산 과정'!$D$23/2,ABS(I52-'계산 과정'!$C$89)&lt;='계산 과정'!$D$24/2),1,0),"")</x:f>
        <x:v>1</x:v>
      </x:c>
      <x:c r="O52" s="4" t="n">
        <x:f>IF('계산 과정'!$L$7,'계산 과정'!$C$49*('계산 과정'!$C$32-D52)+'계산 과정'!$D$49*('계산 과정'!$D$32-E52)+'계산 과정'!$E$49*'계산 과정'!$E$32,"")</x:f>
        <x:v>-14.442448559504385</x:v>
      </x:c>
      <x:c r="P52" s="4" t="n">
        <x:f>IF(AND('계산 과정'!$L$7,O52&lt;&gt;0),('계산 과정'!$L$23-'계산 과정'!$C$49*D52-'계산 과정'!$D$49*E52)/O52,"")</x:f>
        <x:v>-26.69613465140335</x:v>
      </x:c>
      <x:c r="Q52" s="4" t="str">
        <x:f>IF(AND(ISNUMBER(P52),P52&gt;1E-9,P52&lt;1-1E-9),'계산 과정'!$C$47*(D52-'계산 과정'!$C$50+P52*('계산 과정'!$C$32-D52))+'계산 과정'!$D$47*(E52-'계산 과정'!$D$50+P52*('계산 과정'!$D$32-E52))+'계산 과정'!$E$47*(0-'계산 과정'!$E$50+P52*('계산 과정'!$E$32-0)),"")</x:f>
      </x:c>
      <x:c r="R52" s="4" t="str">
        <x:f>IF(AND(ISNUMBER(P52),P52&gt;1E-9,P52&lt;1-1E-9),'계산 과정'!$C$48*(D52-'계산 과정'!$C$50+P52*('계산 과정'!$C$32-D52))+'계산 과정'!$D$48*(E52-'계산 과정'!$D$50+P52*('계산 과정'!$D$32-E52))+'계산 과정'!$E$48*(0-'계산 과정'!$E$50+P52*('계산 과정'!$E$32-0)),"")</x:f>
      </x:c>
      <x:c r="S52" s="17" t="n">
        <x:f>IF('계산 과정'!$C$78,IF(AND(ISNUMBER(Q52),ISNUMBER(R52),ABS(Q52-'계산 과정'!$C$88)&lt;='계산 과정'!$D$23/2,ABS(R52-'계산 과정'!$C$89)&lt;='계산 과정'!$D$24/2),1,0),"")</x:f>
        <x:v>0</x:v>
      </x:c>
      <x:c r="T52" s="4"/>
      <x:c r="U52" s="4"/>
      <x:c r="V52" s="4"/>
      <x:c r="W52" s="4" t="n">
        <x:f>IF('계산 과정'!$C$77,('계산 과정'!$D$56+'계산 과정'!$D$57*('계산 과정'!$L$11*COS(46*2*PI()/240))+'계산 과정'!$D$58*('계산 과정'!$L$11*SIN(46*2*PI()/240)))/('계산 과정'!$D$59+'계산 과정'!$D$60*('계산 과정'!$L$11*COS(46*2*PI()/240))+'계산 과정'!$D$61*('계산 과정'!$L$11*SIN(46*2*PI()/240))),"")</x:f>
        <x:v>65.215505581166</x:v>
      </x:c>
      <x:c r="X52" s="4" t="n">
        <x:f>IF('계산 과정'!$C$77,('계산 과정'!$E$56+'계산 과정'!$E$57*('계산 과정'!$L$11*COS(46*2*PI()/240))+'계산 과정'!$E$58*('계산 과정'!$L$11*SIN(46*2*PI()/240)))/('계산 과정'!$E$59+'계산 과정'!$E$60*('계산 과정'!$L$11*COS(46*2*PI()/240))+'계산 과정'!$E$61*('계산 과정'!$L$11*SIN(46*2*PI()/240))),"")</x:f>
        <x:v>240.26385400079022</x:v>
      </x:c>
      <x:c r="Y52" s="4" t="str">
        <x:f>""</x:f>
      </x:c>
      <x:c r="Z52" s="4" t="str">
        <x:f>""</x:f>
      </x:c>
    </x:row>
    <x:row r="53" ht="23" customHeight="1">
      <x:c r="A53" s="17" t="n">
        <x:f>ROW()-6</x:f>
        <x:v>47</x:v>
      </x:c>
      <x:c r="B53" s="4" t="n">
        <x:f>IF('계산 과정'!$L$5,'계산 과정'!$L$11*SQRT((A53+0.5)/'계산 과정'!$L$30),"")</x:f>
        <x:v>22.84404924564601</x:v>
      </x:c>
      <x:c r="C53" s="4" t="n">
        <x:f>A53*PI()*(3-SQRT(5))</x:f>
        <x:v>112.7982717972467</x:v>
      </x:c>
      <x:c r="D53" s="4" t="n">
        <x:f>IF('계산 과정'!$L$5,B53*COS(C53),"")</x:f>
        <x:v>21.83006486878095</x:v>
      </x:c>
      <x:c r="E53" s="4" t="n">
        <x:f>IF('계산 과정'!$L$5,B53*SIN(C53),"")</x:f>
        <x:v>-6.73044231550317</x:v>
      </x:c>
      <x:c r="F53" s="4" t="n">
        <x:f>IF('계산 과정'!$L$7,'계산 과정'!$L$22+'계산 과정'!$C$49*D53+'계산 과정'!$D$49*E53,"")</x:f>
        <x:v>634.5638130975427</x:v>
      </x:c>
      <x:c r="G53" s="4" t="n">
        <x:f>IF('계산 과정'!$L$7,IF(ABS(F53)&gt;=1E-12*MAX(1,SQRT((D53-'계산 과정'!$C$33)^2+(E53-'계산 과정'!$D$33)^2+'계산 과정'!$E$33^2)),('계산 과정'!$L$23-'계산 과정'!$C$49*D53-'계산 과정'!$D$49*E53)/F53,""),"")</x:f>
        <x:v>0.6546799208019098</x:v>
      </x:c>
      <x:c r="H53" s="4" t="n">
        <x:f>IF(AND(ISNUMBER(G53),G53&gt;0),('계산 과정'!$D$56+'계산 과정'!$D$57*D53+'계산 과정'!$D$58*E53)/F53,"")</x:f>
        <x:v>25.5419485212413</x:v>
      </x:c>
      <x:c r="I53" s="4" t="n">
        <x:f>IF(AND(ISNUMBER(G53),G53&gt;0),('계산 과정'!$E$56+'계산 과정'!$E$57*D53+'계산 과정'!$E$58*E53)/F53,"")</x:f>
        <x:v>-11.136727757578608</x:v>
      </x:c>
      <x:c r="J53" s="4" t="n">
        <x:f>IF('계산 과정'!$L$5,'계산 과정'!$D$6+'계산 과정'!$C$35*D53+'계산 과정'!$D$35*E53,"")</x:f>
        <x:v>634.5638130975427</x:v>
      </x:c>
      <x:c r="K53" s="4" t="n">
        <x:f>IF(AND('계산 과정'!$L$6,J53&gt;0),'계산 과정'!$D$10*('계산 과정'!$C$38*(D53-'계산 과정'!$C$32)+'계산 과정'!$D$38*(E53-'계산 과정'!$D$32)-'계산 과정'!$E$38*'계산 과정'!$E$32)/J53,"")</x:f>
        <x:v>0.19460532206660114</x:v>
      </x:c>
      <x:c r="L53" s="4" t="n">
        <x:f>IF(AND('계산 과정'!$L$6,J53&gt;0),'계산 과정'!$D$10*('계산 과정'!$C$39*(D53-'계산 과정'!$C$32)+'계산 과정'!$D$39*(E53-'계산 과정'!$D$32)-'계산 과정'!$E$39*'계산 과정'!$E$32)/J53,"")</x:f>
        <x:v>-0.08485125910536083</x:v>
      </x:c>
      <x:c r="M53" s="17" t="n">
        <x:f>IF('계산 과정'!$L$6,IF(J53&lt;=0,0,IF(AND(ABS(K53)&lt;='계산 과정'!$D$11/2,ABS(L53)&lt;='계산 과정'!$D$12/2),1,0)),"")</x:f>
        <x:v>1</x:v>
      </x:c>
      <x:c r="N53" s="17" t="n">
        <x:f>IF('계산 과정'!$C$78,IF(AND(ISNUMBER(H53),ISNUMBER(I53),ABS(H53-'계산 과정'!$C$88)&lt;='계산 과정'!$D$23/2,ABS(I53-'계산 과정'!$C$89)&lt;='계산 과정'!$D$24/2),1,0),"")</x:f>
        <x:v>1</x:v>
      </x:c>
      <x:c r="O53" s="4" t="n">
        <x:f>IF('계산 과정'!$L$7,'계산 과정'!$C$49*('계산 과정'!$C$32-D53)+'계산 과정'!$D$49*('계산 과정'!$D$32-E53)+'계산 과정'!$E$49*'계산 과정'!$E$32,"")</x:f>
        <x:v>15.436186902457337</x:v>
      </x:c>
      <x:c r="P53" s="4" t="n">
        <x:f>IF(AND('계산 과정'!$L$7,O53&lt;&gt;0),('계산 과정'!$L$23-'계산 과정'!$C$49*D53-'계산 과정'!$D$49*E53)/O53,"")</x:f>
        <x:v>26.913135318173854</x:v>
      </x:c>
      <x:c r="Q53" s="4" t="str">
        <x:f>IF(AND(ISNUMBER(P53),P53&gt;1E-9,P53&lt;1-1E-9),'계산 과정'!$C$47*(D53-'계산 과정'!$C$50+P53*('계산 과정'!$C$32-D53))+'계산 과정'!$D$47*(E53-'계산 과정'!$D$50+P53*('계산 과정'!$D$32-E53))+'계산 과정'!$E$47*(0-'계산 과정'!$E$50+P53*('계산 과정'!$E$32-0)),"")</x:f>
      </x:c>
      <x:c r="R53" s="4" t="str">
        <x:f>IF(AND(ISNUMBER(P53),P53&gt;1E-9,P53&lt;1-1E-9),'계산 과정'!$C$48*(D53-'계산 과정'!$C$50+P53*('계산 과정'!$C$32-D53))+'계산 과정'!$D$48*(E53-'계산 과정'!$D$50+P53*('계산 과정'!$D$32-E53))+'계산 과정'!$E$48*(0-'계산 과정'!$E$50+P53*('계산 과정'!$E$32-0)),"")</x:f>
      </x:c>
      <x:c r="S53" s="17" t="n">
        <x:f>IF('계산 과정'!$C$78,IF(AND(ISNUMBER(Q53),ISNUMBER(R53),ABS(Q53-'계산 과정'!$C$88)&lt;='계산 과정'!$D$23/2,ABS(R53-'계산 과정'!$C$89)&lt;='계산 과정'!$D$24/2),1,0),"")</x:f>
        <x:v>0</x:v>
      </x:c>
      <x:c r="T53" s="4"/>
      <x:c r="U53" s="4"/>
      <x:c r="V53" s="4"/>
      <x:c r="W53" s="4" t="n">
        <x:f>IF('계산 과정'!$C$77,('계산 과정'!$D$56+'계산 과정'!$D$57*('계산 과정'!$L$11*COS(47*2*PI()/240))+'계산 과정'!$D$58*('계산 과정'!$L$11*SIN(47*2*PI()/240)))/('계산 과정'!$D$59+'계산 과정'!$D$60*('계산 과정'!$L$11*COS(47*2*PI()/240))+'계산 과정'!$D$61*('계산 과정'!$L$11*SIN(47*2*PI()/240))),"")</x:f>
        <x:v>60.48841332638962</x:v>
      </x:c>
      <x:c r="X53" s="4" t="n">
        <x:f>IF('계산 과정'!$C$77,('계산 과정'!$E$56+'계산 과정'!$E$57*('계산 과정'!$L$11*COS(47*2*PI()/240))+'계산 과정'!$E$58*('계산 과정'!$L$11*SIN(47*2*PI()/240)))/('계산 과정'!$E$59+'계산 과정'!$E$60*('계산 과정'!$L$11*COS(47*2*PI()/240))+'계산 과정'!$E$61*('계산 과정'!$L$11*SIN(47*2*PI()/240))),"")</x:f>
        <x:v>241.56748933351741</x:v>
      </x:c>
      <x:c r="Y53" s="4" t="str">
        <x:f>""</x:f>
      </x:c>
      <x:c r="Z53" s="4" t="str">
        <x:f>""</x:f>
      </x:c>
    </x:row>
    <x:row r="54" ht="23" customHeight="1">
      <x:c r="A54" s="17" t="n">
        <x:f>ROW()-6</x:f>
        <x:v>48</x:v>
      </x:c>
      <x:c r="B54" s="4" t="n">
        <x:f>IF('계산 과정'!$L$5,'계산 과정'!$L$11*SQRT((A54+0.5)/'계산 과정'!$L$30),"")</x:f>
        <x:v>23.08326047295962</x:v>
      </x:c>
      <x:c r="C54" s="4" t="n">
        <x:f>A54*PI()*(3-SQRT(5))</x:f>
        <x:v>115.19823502697534</x:v>
      </x:c>
      <x:c r="D54" s="4" t="n">
        <x:f>IF('계산 과정'!$L$5,B54*COS(C54),"")</x:f>
        <x:v>-11.671412524589904</x:v>
      </x:c>
      <x:c r="E54" s="4" t="n">
        <x:f>IF('계산 과정'!$L$5,B54*SIN(C54),"")</x:f>
        <x:v>19.915196301903375</x:v>
      </x:c>
      <x:c r="F54" s="4" t="n">
        <x:f>IF('계산 과정'!$L$7,'계산 과정'!$L$22+'계산 과정'!$C$49*D54+'계산 과정'!$D$49*E54,"")</x:f>
        <x:v>658.2529349421632</x:v>
      </x:c>
      <x:c r="G54" s="4" t="n">
        <x:f>IF('계산 과정'!$L$7,IF(ABS(F54)&gt;=1E-12*MAX(1,SQRT((D54-'계산 과정'!$C$33)^2+(E54-'계산 과정'!$D$33)^2+'계산 과정'!$E$33^2)),('계산 과정'!$L$23-'계산 과정'!$C$49*D54-'계산 과정'!$D$49*E54)/F54,""),"")</x:f>
        <x:v>0.5951315129225476</x:v>
      </x:c>
      <x:c r="H54" s="4" t="n">
        <x:f>IF(AND(ISNUMBER(G54),G54&gt;0),('계산 과정'!$D$56+'계산 과정'!$D$57*D54+'계산 과정'!$D$58*E54)/F54,"")</x:f>
        <x:v>-13.16451660034414</x:v>
      </x:c>
      <x:c r="I54" s="4" t="n">
        <x:f>IF(AND(ISNUMBER(G54),G54&gt;0),('계산 과정'!$E$56+'계산 과정'!$E$57*D54+'계산 과정'!$E$58*E54)/F54,"")</x:f>
        <x:v>31.767357207204654</x:v>
      </x:c>
      <x:c r="J54" s="4" t="n">
        <x:f>IF('계산 과정'!$L$5,'계산 과정'!$D$6+'계산 과정'!$C$35*D54+'계산 과정'!$D$35*E54,"")</x:f>
        <x:v>658.2529349421632</x:v>
      </x:c>
      <x:c r="K54" s="4" t="n">
        <x:f>IF(AND('계산 과정'!$L$6,J54&gt;0),'계산 과정'!$D$10*('계산 과정'!$C$38*(D54-'계산 과정'!$C$32)+'계산 과정'!$D$38*(E54-'계산 과정'!$D$32)-'계산 과정'!$E$38*'계산 과정'!$E$32)/J54,"")</x:f>
        <x:v>-0.10030107885976378</x:v>
      </x:c>
      <x:c r="L54" s="4" t="n">
        <x:f>IF(AND('계산 과정'!$L$6,J54&gt;0),'계산 과정'!$D$10*('계산 과정'!$C$39*(D54-'계산 과정'!$C$32)+'계산 과정'!$D$39*(E54-'계산 과정'!$D$32)-'계산 과정'!$E$39*'계산 과정'!$E$32)/J54,"")</x:f>
        <x:v>0.24203700729298785</x:v>
      </x:c>
      <x:c r="M54" s="17" t="n">
        <x:f>IF('계산 과정'!$L$6,IF(J54&lt;=0,0,IF(AND(ABS(K54)&lt;='계산 과정'!$D$11/2,ABS(L54)&lt;='계산 과정'!$D$12/2),1,0)),"")</x:f>
        <x:v>1</x:v>
      </x:c>
      <x:c r="N54" s="17" t="n">
        <x:f>IF('계산 과정'!$C$78,IF(AND(ISNUMBER(H54),ISNUMBER(I54),ABS(H54-'계산 과정'!$C$88)&lt;='계산 과정'!$D$23/2,ABS(I54-'계산 과정'!$C$89)&lt;='계산 과정'!$D$24/2),1,0),"")</x:f>
        <x:v>1</x:v>
      </x:c>
      <x:c r="O54" s="4" t="n">
        <x:f>IF('계산 과정'!$L$7,'계산 과정'!$C$49*('계산 과정'!$C$32-D54)+'계산 과정'!$D$49*('계산 과정'!$D$32-E54)+'계산 과정'!$E$49*'계산 과정'!$E$32,"")</x:f>
        <x:v>-8.252934942163051</x:v>
      </x:c>
      <x:c r="P54" s="4" t="n">
        <x:f>IF(AND('계산 과정'!$L$7,O54&lt;&gt;0),('계산 과정'!$L$23-'계산 과정'!$C$49*D54-'계산 과정'!$D$49*E54)/O54,"")</x:f>
        <x:v>-47.46760610658128</x:v>
      </x:c>
      <x:c r="Q54" s="4" t="str">
        <x:f>IF(AND(ISNUMBER(P54),P54&gt;1E-9,P54&lt;1-1E-9),'계산 과정'!$C$47*(D54-'계산 과정'!$C$50+P54*('계산 과정'!$C$32-D54))+'계산 과정'!$D$47*(E54-'계산 과정'!$D$50+P54*('계산 과정'!$D$32-E54))+'계산 과정'!$E$47*(0-'계산 과정'!$E$50+P54*('계산 과정'!$E$32-0)),"")</x:f>
      </x:c>
      <x:c r="R54" s="4" t="str">
        <x:f>IF(AND(ISNUMBER(P54),P54&gt;1E-9,P54&lt;1-1E-9),'계산 과정'!$C$48*(D54-'계산 과정'!$C$50+P54*('계산 과정'!$C$32-D54))+'계산 과정'!$D$48*(E54-'계산 과정'!$D$50+P54*('계산 과정'!$D$32-E54))+'계산 과정'!$E$48*(0-'계산 과정'!$E$50+P54*('계산 과정'!$E$32-0)),"")</x:f>
      </x:c>
      <x:c r="S54" s="17" t="n">
        <x:f>IF('계산 과정'!$C$78,IF(AND(ISNUMBER(Q54),ISNUMBER(R54),ABS(Q54-'계산 과정'!$C$88)&lt;='계산 과정'!$D$23/2,ABS(R54-'계산 과정'!$C$89)&lt;='계산 과정'!$D$24/2),1,0),"")</x:f>
        <x:v>0</x:v>
      </x:c>
      <x:c r="T54" s="4"/>
      <x:c r="U54" s="4"/>
      <x:c r="V54" s="4"/>
      <x:c r="W54" s="4" t="n">
        <x:f>IF('계산 과정'!$C$77,('계산 과정'!$D$56+'계산 과정'!$D$57*('계산 과정'!$L$11*COS(48*2*PI()/240))+'계산 과정'!$D$58*('계산 과정'!$L$11*SIN(48*2*PI()/240)))/('계산 과정'!$D$59+'계산 과정'!$D$60*('계산 과정'!$L$11*COS(48*2*PI()/240))+'계산 과정'!$D$61*('계산 과정'!$L$11*SIN(48*2*PI()/240))),"")</x:f>
        <x:v>55.75775274314674</x:v>
      </x:c>
      <x:c r="X54" s="4" t="n">
        <x:f>IF('계산 과정'!$C$77,('계산 과정'!$E$56+'계산 과정'!$E$57*('계산 과정'!$L$11*COS(48*2*PI()/240))+'계산 과정'!$E$58*('계산 과정'!$L$11*SIN(48*2*PI()/240)))/('계산 과정'!$E$59+'계산 과정'!$E$60*('계산 과정'!$L$11*COS(48*2*PI()/240))+'계산 과정'!$E$61*('계산 과정'!$L$11*SIN(48*2*PI()/240))),"")</x:f>
        <x:v>242.68571912082808</x:v>
      </x:c>
      <x:c r="Y54" s="4" t="str">
        <x:f>""</x:f>
      </x:c>
      <x:c r="Z54" s="4" t="str">
        <x:f>""</x:f>
      </x:c>
    </x:row>
    <x:row r="55" ht="23" customHeight="1">
      <x:c r="A55" s="17" t="n">
        <x:f>ROW()-6</x:f>
        <x:v>49</x:v>
      </x:c>
      <x:c r="B55" s="4" t="n">
        <x:f>IF('계산 과정'!$L$5,'계산 과정'!$L$11*SQRT((A55+0.5)/'계산 과정'!$L$30),"")</x:f>
        <x:v>23.320018057186406</x:v>
      </x:c>
      <x:c r="C55" s="4" t="n">
        <x:f>A55*PI()*(3-SQRT(5))</x:f>
        <x:v>117.59819825670398</x:v>
      </x:c>
      <x:c r="D55" s="4" t="n">
        <x:f>IF('계산 과정'!$L$5,B55*COS(C55),"")</x:f>
        <x:v>-4.896093269457884</x:v>
      </x:c>
      <x:c r="E55" s="4" t="n">
        <x:f>IF('계산 과정'!$L$5,B55*SIN(C55),"")</x:f>
        <x:v>-22.800252474134343</x:v>
      </x:c>
      <x:c r="F55" s="4" t="n">
        <x:f>IF('계산 과정'!$L$7,'계산 과정'!$L$22+'계산 과정'!$C$49*D55+'계산 과정'!$D$49*E55,"")</x:f>
        <x:v>653.4620607521555</x:v>
      </x:c>
      <x:c r="G55" s="4" t="n">
        <x:f>IF('계산 과정'!$L$7,IF(ABS(F55)&gt;=1E-12*MAX(1,SQRT((D55-'계산 과정'!$C$33)^2+(E55-'계산 과정'!$D$33)^2+'계산 과정'!$E$33^2)),('계산 과정'!$L$23-'계산 과정'!$C$49*D55-'계산 과정'!$D$49*E55)/F55,""),"")</x:f>
        <x:v>0.6068262613309438</x:v>
      </x:c>
      <x:c r="H55" s="4" t="n">
        <x:f>IF(AND(ISNUMBER(G55),G55&gt;0),('계산 과정'!$D$56+'계산 과정'!$D$57*D55+'계산 과정'!$D$58*E55)/F55,"")</x:f>
        <x:v>-5.562930134886705</x:v>
      </x:c>
      <x:c r="I55" s="4" t="n">
        <x:f>IF(AND(ISNUMBER(G55),G55&gt;0),('계산 과정'!$E$56+'계산 과정'!$E$57*D55+'계산 과정'!$E$58*E55)/F55,"")</x:f>
        <x:v>-36.636044440414885</x:v>
      </x:c>
      <x:c r="J55" s="4" t="n">
        <x:f>IF('계산 과정'!$L$5,'계산 과정'!$D$6+'계산 과정'!$C$35*D55+'계산 과정'!$D$35*E55,"")</x:f>
        <x:v>653.4620607521555</x:v>
      </x:c>
      <x:c r="K55" s="4" t="n">
        <x:f>IF(AND('계산 과정'!$L$6,J55&gt;0),'계산 과정'!$D$10*('계산 과정'!$C$38*(D55-'계산 과정'!$C$32)+'계산 과정'!$D$38*(E55-'계산 과정'!$D$32)-'계산 과정'!$E$38*'계산 과정'!$E$32)/J55,"")</x:f>
        <x:v>-0.04238422959913589</x:v>
      </x:c>
      <x:c r="L55" s="4" t="n">
        <x:f>IF(AND('계산 과정'!$L$6,J55&gt;0),'계산 과정'!$D$10*('계산 과정'!$C$39*(D55-'계산 과정'!$C$32)+'계산 과정'!$D$39*(E55-'계산 과정'!$D$32)-'계산 과정'!$E$39*'계산 과정'!$E$32)/J55,"")</x:f>
        <x:v>-0.27913176716506577</x:v>
      </x:c>
      <x:c r="M55" s="17" t="n">
        <x:f>IF('계산 과정'!$L$6,IF(J55&lt;=0,0,IF(AND(ABS(K55)&lt;='계산 과정'!$D$11/2,ABS(L55)&lt;='계산 과정'!$D$12/2),1,0)),"")</x:f>
        <x:v>1</x:v>
      </x:c>
      <x:c r="N55" s="17" t="n">
        <x:f>IF('계산 과정'!$C$78,IF(AND(ISNUMBER(H55),ISNUMBER(I55),ABS(H55-'계산 과정'!$C$88)&lt;='계산 과정'!$D$23/2,ABS(I55-'계산 과정'!$C$89)&lt;='계산 과정'!$D$24/2),1,0),"")</x:f>
        <x:v>1</x:v>
      </x:c>
      <x:c r="O55" s="4" t="n">
        <x:f>IF('계산 과정'!$L$7,'계산 과정'!$C$49*('계산 과정'!$C$32-D55)+'계산 과정'!$D$49*('계산 과정'!$D$32-E55)+'계산 과정'!$E$49*'계산 과정'!$E$32,"")</x:f>
        <x:v>-3.4620607521553666</x:v>
      </x:c>
      <x:c r="P55" s="4" t="n">
        <x:f>IF(AND('계산 과정'!$L$7,O55&lt;&gt;0),('계산 과정'!$L$23-'계산 과정'!$C$49*D55-'계산 과정'!$D$49*E55)/O55,"")</x:f>
        <x:v>-114.53812270653334</x:v>
      </x:c>
      <x:c r="Q55" s="4" t="str">
        <x:f>IF(AND(ISNUMBER(P55),P55&gt;1E-9,P55&lt;1-1E-9),'계산 과정'!$C$47*(D55-'계산 과정'!$C$50+P55*('계산 과정'!$C$32-D55))+'계산 과정'!$D$47*(E55-'계산 과정'!$D$50+P55*('계산 과정'!$D$32-E55))+'계산 과정'!$E$47*(0-'계산 과정'!$E$50+P55*('계산 과정'!$E$32-0)),"")</x:f>
      </x:c>
      <x:c r="R55" s="4" t="str">
        <x:f>IF(AND(ISNUMBER(P55),P55&gt;1E-9,P55&lt;1-1E-9),'계산 과정'!$C$48*(D55-'계산 과정'!$C$50+P55*('계산 과정'!$C$32-D55))+'계산 과정'!$D$48*(E55-'계산 과정'!$D$50+P55*('계산 과정'!$D$32-E55))+'계산 과정'!$E$48*(0-'계산 과정'!$E$50+P55*('계산 과정'!$E$32-0)),"")</x:f>
      </x:c>
      <x:c r="S55" s="17" t="n">
        <x:f>IF('계산 과정'!$C$78,IF(AND(ISNUMBER(Q55),ISNUMBER(R55),ABS(Q55-'계산 과정'!$C$88)&lt;='계산 과정'!$D$23/2,ABS(R55-'계산 과정'!$C$89)&lt;='계산 과정'!$D$24/2),1,0),"")</x:f>
        <x:v>0</x:v>
      </x:c>
      <x:c r="T55" s="4"/>
      <x:c r="U55" s="4"/>
      <x:c r="V55" s="4"/>
      <x:c r="W55" s="4" t="n">
        <x:f>IF('계산 과정'!$C$77,('계산 과정'!$D$56+'계산 과정'!$D$57*('계산 과정'!$L$11*COS(49*2*PI()/240))+'계산 과정'!$D$58*('계산 과정'!$L$11*SIN(49*2*PI()/240)))/('계산 과정'!$D$59+'계산 과정'!$D$60*('계산 과정'!$L$11*COS(49*2*PI()/240))+'계산 과정'!$D$61*('계산 과정'!$L$11*SIN(49*2*PI()/240))),"")</x:f>
        <x:v>51.027325561742586</x:v>
      </x:c>
      <x:c r="X55" s="4" t="n">
        <x:f>IF('계산 과정'!$C$77,('계산 과정'!$E$56+'계산 과정'!$E$57*('계산 과정'!$L$11*COS(49*2*PI()/240))+'계산 과정'!$E$58*('계산 과정'!$L$11*SIN(49*2*PI()/240)))/('계산 과정'!$E$59+'계산 과정'!$E$60*('계산 과정'!$L$11*COS(49*2*PI()/240))+'계산 과정'!$E$61*('계산 과정'!$L$11*SIN(49*2*PI()/240))),"")</x:f>
        <x:v>243.62001424101823</x:v>
      </x:c>
      <x:c r="Y55" s="4" t="str">
        <x:f>""</x:f>
      </x:c>
      <x:c r="Z55" s="4" t="str">
        <x:f>""</x:f>
      </x:c>
    </x:row>
    <x:row r="56" ht="23" customHeight="1">
      <x:c r="A56" s="17" t="n">
        <x:f>ROW()-6</x:f>
        <x:v>50</x:v>
      </x:c>
      <x:c r="B56" s="4" t="n">
        <x:f>IF('계산 과정'!$L$5,'계산 과정'!$L$11*SQRT((A56+0.5)/'계산 과정'!$L$30),"")</x:f>
        <x:v>23.554395987002085</x:v>
      </x:c>
      <x:c r="C56" s="4" t="n">
        <x:f>A56*PI()*(3-SQRT(5))</x:f>
        <x:v>119.99816148643265</x:v>
      </x:c>
      <x:c r="D56" s="4" t="n">
        <x:f>IF('계산 과정'!$L$5,B56*COS(C56),"")</x:f>
        <x:v>19.202651971200435</x:v>
      </x:c>
      <x:c r="E56" s="4" t="n">
        <x:f>IF('계산 과정'!$L$5,B56*SIN(C56),"")</x:f>
        <x:v>13.640664484747507</x:v>
      </x:c>
      <x:c r="F56" s="4" t="n">
        <x:f>IF('계산 과정'!$L$7,'계산 과정'!$L$22+'계산 과정'!$C$49*D56+'계산 과정'!$D$49*E56,"")</x:f>
        <x:v>636.4216745743989</x:v>
      </x:c>
      <x:c r="G56" s="4" t="n">
        <x:f>IF('계산 과정'!$L$7,IF(ABS(F56)&gt;=1E-12*MAX(1,SQRT((D56-'계산 과정'!$C$33)^2+(E56-'계산 과정'!$D$33)^2+'계산 과정'!$E$33^2)),('계산 과정'!$L$23-'계산 과정'!$C$49*D56-'계산 과정'!$D$49*E56)/F56,""),"")</x:f>
        <x:v>0.6498495289340636</x:v>
      </x:c>
      <x:c r="H56" s="4" t="n">
        <x:f>IF(AND(ISNUMBER(G56),G56&gt;0),('계산 과정'!$D$56+'계산 과정'!$D$57*D56+'계산 과정'!$D$58*E56)/F56,"")</x:f>
        <x:v>22.402193807141202</x:v>
      </x:c>
      <x:c r="I56" s="4" t="n">
        <x:f>IF(AND(ISNUMBER(G56),G56&gt;0),('계산 과정'!$E$56+'계산 과정'!$E$57*D56+'계산 과정'!$E$58*E56)/F56,"")</x:f>
        <x:v>22.505043874508285</x:v>
      </x:c>
      <x:c r="J56" s="4" t="n">
        <x:f>IF('계산 과정'!$L$5,'계산 과정'!$D$6+'계산 과정'!$C$35*D56+'계산 과정'!$D$35*E56,"")</x:f>
        <x:v>636.4216745743989</x:v>
      </x:c>
      <x:c r="K56" s="4" t="n">
        <x:f>IF(AND('계산 과정'!$L$6,J56&gt;0),'계산 과정'!$D$10*('계산 과정'!$C$38*(D56-'계산 과정'!$C$32)+'계산 과정'!$D$38*(E56-'계산 과정'!$D$32)-'계산 과정'!$E$38*'계산 과정'!$E$32)/J56,"")</x:f>
        <x:v>0.1706833813877435</x:v>
      </x:c>
      <x:c r="L56" s="4" t="n">
        <x:f>IF(AND('계산 과정'!$L$6,J56&gt;0),'계산 과정'!$D$10*('계산 과정'!$C$39*(D56-'계산 과정'!$C$32)+'계산 과정'!$D$39*(E56-'계산 과정'!$D$32)-'계산 과정'!$E$39*'계산 과정'!$E$32)/J56,"")</x:f>
        <x:v>0.17146700094863457</x:v>
      </x:c>
      <x:c r="M56" s="17" t="n">
        <x:f>IF('계산 과정'!$L$6,IF(J56&lt;=0,0,IF(AND(ABS(K56)&lt;='계산 과정'!$D$11/2,ABS(L56)&lt;='계산 과정'!$D$12/2),1,0)),"")</x:f>
        <x:v>1</x:v>
      </x:c>
      <x:c r="N56" s="17" t="n">
        <x:f>IF('계산 과정'!$C$78,IF(AND(ISNUMBER(H56),ISNUMBER(I56),ABS(H56-'계산 과정'!$C$88)&lt;='계산 과정'!$D$23/2,ABS(I56-'계산 과정'!$C$89)&lt;='계산 과정'!$D$24/2),1,0),"")</x:f>
        <x:v>1</x:v>
      </x:c>
      <x:c r="O56" s="4" t="n">
        <x:f>IF('계산 과정'!$L$7,'계산 과정'!$C$49*('계산 과정'!$C$32-D56)+'계산 과정'!$D$49*('계산 과정'!$D$32-E56)+'계산 과정'!$E$49*'계산 과정'!$E$32,"")</x:f>
        <x:v>13.578325425601179</x:v>
      </x:c>
      <x:c r="P56" s="4" t="n">
        <x:f>IF(AND('계산 과정'!$L$7,O56&lt;&gt;0),('계산 과정'!$L$23-'계산 과정'!$C$49*D56-'계산 과정'!$D$49*E56)/O56,"")</x:f>
        <x:v>30.458713608809383</x:v>
      </x:c>
      <x:c r="Q56" s="4" t="str">
        <x:f>IF(AND(ISNUMBER(P56),P56&gt;1E-9,P56&lt;1-1E-9),'계산 과정'!$C$47*(D56-'계산 과정'!$C$50+P56*('계산 과정'!$C$32-D56))+'계산 과정'!$D$47*(E56-'계산 과정'!$D$50+P56*('계산 과정'!$D$32-E56))+'계산 과정'!$E$47*(0-'계산 과정'!$E$50+P56*('계산 과정'!$E$32-0)),"")</x:f>
      </x:c>
      <x:c r="R56" s="4" t="str">
        <x:f>IF(AND(ISNUMBER(P56),P56&gt;1E-9,P56&lt;1-1E-9),'계산 과정'!$C$48*(D56-'계산 과정'!$C$50+P56*('계산 과정'!$C$32-D56))+'계산 과정'!$D$48*(E56-'계산 과정'!$D$50+P56*('계산 과정'!$D$32-E56))+'계산 과정'!$E$48*(0-'계산 과정'!$E$50+P56*('계산 과정'!$E$32-0)),"")</x:f>
      </x:c>
      <x:c r="S56" s="17" t="n">
        <x:f>IF('계산 과정'!$C$78,IF(AND(ISNUMBER(Q56),ISNUMBER(R56),ABS(Q56-'계산 과정'!$C$88)&lt;='계산 과정'!$D$23/2,ABS(R56-'계산 과정'!$C$89)&lt;='계산 과정'!$D$24/2),1,0),"")</x:f>
        <x:v>0</x:v>
      </x:c>
      <x:c r="T56" s="4"/>
      <x:c r="U56" s="4"/>
      <x:c r="V56" s="4"/>
      <x:c r="W56" s="4" t="n">
        <x:f>IF('계산 과정'!$C$77,('계산 과정'!$D$56+'계산 과정'!$D$57*('계산 과정'!$L$11*COS(50*2*PI()/240))+'계산 과정'!$D$58*('계산 과정'!$L$11*SIN(50*2*PI()/240)))/('계산 과정'!$D$59+'계산 과정'!$D$60*('계산 과정'!$L$11*COS(50*2*PI()/240))+'계산 과정'!$D$61*('계산 과정'!$L$11*SIN(50*2*PI()/240))),"")</x:f>
        <x:v>46.30084132080779</x:v>
      </x:c>
      <x:c r="X56" s="4" t="n">
        <x:f>IF('계산 과정'!$C$77,('계산 과정'!$E$56+'계산 과정'!$E$57*('계산 과정'!$L$11*COS(50*2*PI()/240))+'계산 과정'!$E$58*('계산 과정'!$L$11*SIN(50*2*PI()/240)))/('계산 과정'!$E$59+'계산 과정'!$E$60*('계산 과정'!$L$11*COS(50*2*PI()/240))+'계산 과정'!$E$61*('계산 과정'!$L$11*SIN(50*2*PI()/240))),"")</x:f>
        <x:v>244.3719913878928</x:v>
      </x:c>
      <x:c r="Y56" s="4" t="str">
        <x:f>""</x:f>
      </x:c>
      <x:c r="Z56" s="4" t="str">
        <x:f>""</x:f>
      </x:c>
    </x:row>
    <x:row r="57" ht="23" customHeight="1">
      <x:c r="A57" s="17" t="n">
        <x:f>ROW()-6</x:f>
        <x:v>51</x:v>
      </x:c>
      <x:c r="B57" s="4" t="n">
        <x:f>IF('계산 과정'!$L$5,'계산 과정'!$L$11*SQRT((A57+0.5)/'계산 과정'!$L$30),"")</x:f>
        <x:v>23.786464605684888</x:v>
      </x:c>
      <x:c r="C57" s="4" t="n">
        <x:f>A57*PI()*(3-SQRT(5))</x:f>
        <x:v>122.39812471616129</x:v>
      </x:c>
      <x:c r="D57" s="4" t="n">
        <x:f>IF('계산 과정'!$L$5,B57*COS(C57),"")</x:f>
        <x:v>-23.603861489118792</x:v>
      </x:c>
      <x:c r="E57" s="4" t="n">
        <x:f>IF('계산 과정'!$L$5,B57*SIN(C57),"")</x:f>
        <x:v>2.9417037988204626</x:v>
      </x:c>
      <x:c r="F57" s="4" t="n">
        <x:f>IF('계산 과정'!$L$7,'계산 과정'!$L$22+'계산 과정'!$C$49*D57+'계산 과정'!$D$49*E57,"")</x:f>
        <x:v>666.6904505211439</x:v>
      </x:c>
      <x:c r="G57" s="4" t="n">
        <x:f>IF('계산 과정'!$L$7,IF(ABS(F57)&gt;=1E-12*MAX(1,SQRT((D57-'계산 과정'!$C$33)^2+(E57-'계산 과정'!$D$33)^2+'계산 과정'!$E$33^2)),('계산 과정'!$L$23-'계산 과정'!$C$49*D57-'계산 과정'!$D$49*E57)/F57,""),"")</x:f>
        <x:v>0.5749438126483253</x:v>
      </x:c>
      <x:c r="H57" s="4" t="n">
        <x:f>IF(AND(ISNUMBER(G57),G57&gt;0),('계산 과정'!$D$56+'계산 과정'!$D$57*D57+'계산 과정'!$D$58*E57)/F57,"")</x:f>
        <x:v>-26.28652177858871</x:v>
      </x:c>
      <x:c r="I57" s="4" t="n">
        <x:f>IF(AND(ISNUMBER(G57),G57&gt;0),('계산 과정'!$E$56+'계산 과정'!$E$57*D57+'계산 과정'!$E$58*E57)/F57,"")</x:f>
        <x:v>4.633018196596361</x:v>
      </x:c>
      <x:c r="J57" s="4" t="n">
        <x:f>IF('계산 과정'!$L$5,'계산 과정'!$D$6+'계산 과정'!$C$35*D57+'계산 과정'!$D$35*E57,"")</x:f>
        <x:v>666.6904505211439</x:v>
      </x:c>
      <x:c r="K57" s="4" t="n">
        <x:f>IF(AND('계산 과정'!$L$6,J57&gt;0),'계산 과정'!$D$10*('계산 과정'!$C$38*(D57-'계산 과정'!$C$32)+'계산 과정'!$D$38*(E57-'계산 과정'!$D$32)-'계산 과정'!$E$38*'계산 과정'!$E$32)/J57,"")</x:f>
        <x:v>-0.20027826117019853</x:v>
      </x:c>
      <x:c r="L57" s="4" t="n">
        <x:f>IF(AND('계산 과정'!$L$6,J57&gt;0),'계산 과정'!$D$10*('계산 과정'!$C$39*(D57-'계산 과정'!$C$32)+'계산 과정'!$D$39*(E57-'계산 과정'!$D$32)-'계산 과정'!$E$39*'계산 과정'!$E$32)/J57,"")</x:f>
        <x:v>0.035299186259781797</x:v>
      </x:c>
      <x:c r="M57" s="17" t="n">
        <x:f>IF('계산 과정'!$L$6,IF(J57&lt;=0,0,IF(AND(ABS(K57)&lt;='계산 과정'!$D$11/2,ABS(L57)&lt;='계산 과정'!$D$12/2),1,0)),"")</x:f>
        <x:v>1</x:v>
      </x:c>
      <x:c r="N57" s="17" t="n">
        <x:f>IF('계산 과정'!$C$78,IF(AND(ISNUMBER(H57),ISNUMBER(I57),ABS(H57-'계산 과정'!$C$88)&lt;='계산 과정'!$D$23/2,ABS(I57-'계산 과정'!$C$89)&lt;='계산 과정'!$D$24/2),1,0),"")</x:f>
        <x:v>1</x:v>
      </x:c>
      <x:c r="O57" s="4" t="n">
        <x:f>IF('계산 과정'!$L$7,'계산 과정'!$C$49*('계산 과정'!$C$32-D57)+'계산 과정'!$D$49*('계산 과정'!$D$32-E57)+'계산 과정'!$E$49*'계산 과정'!$E$32,"")</x:f>
        <x:v>-16.69045052114376</x:v>
      </x:c>
      <x:c r="P57" s="4" t="n">
        <x:f>IF(AND('계산 과정'!$L$7,O57&lt;&gt;0),('계산 과정'!$L$23-'계산 과정'!$C$49*D57-'계산 과정'!$D$49*E57)/O57,"")</x:f>
        <x:v>-22.965800053945383</x:v>
      </x:c>
      <x:c r="Q57" s="4" t="str">
        <x:f>IF(AND(ISNUMBER(P57),P57&gt;1E-9,P57&lt;1-1E-9),'계산 과정'!$C$47*(D57-'계산 과정'!$C$50+P57*('계산 과정'!$C$32-D57))+'계산 과정'!$D$47*(E57-'계산 과정'!$D$50+P57*('계산 과정'!$D$32-E57))+'계산 과정'!$E$47*(0-'계산 과정'!$E$50+P57*('계산 과정'!$E$32-0)),"")</x:f>
      </x:c>
      <x:c r="R57" s="4" t="str">
        <x:f>IF(AND(ISNUMBER(P57),P57&gt;1E-9,P57&lt;1-1E-9),'계산 과정'!$C$48*(D57-'계산 과정'!$C$50+P57*('계산 과정'!$C$32-D57))+'계산 과정'!$D$48*(E57-'계산 과정'!$D$50+P57*('계산 과정'!$D$32-E57))+'계산 과정'!$E$48*(0-'계산 과정'!$E$50+P57*('계산 과정'!$E$32-0)),"")</x:f>
      </x:c>
      <x:c r="S57" s="17" t="n">
        <x:f>IF('계산 과정'!$C$78,IF(AND(ISNUMBER(Q57),ISNUMBER(R57),ABS(Q57-'계산 과정'!$C$88)&lt;='계산 과정'!$D$23/2,ABS(R57-'계산 과정'!$C$89)&lt;='계산 과정'!$D$24/2),1,0),"")</x:f>
        <x:v>0</x:v>
      </x:c>
      <x:c r="T57" s="4"/>
      <x:c r="U57" s="4"/>
      <x:c r="V57" s="4"/>
      <x:c r="W57" s="4" t="n">
        <x:f>IF('계산 과정'!$C$77,('계산 과정'!$D$56+'계산 과정'!$D$57*('계산 과정'!$L$11*COS(51*2*PI()/240))+'계산 과정'!$D$58*('계산 과정'!$L$11*SIN(51*2*PI()/240)))/('계산 과정'!$D$59+'계산 과정'!$D$60*('계산 과정'!$L$11*COS(51*2*PI()/240))+'계산 과정'!$D$61*('계산 과정'!$L$11*SIN(51*2*PI()/240))),"")</x:f>
        <x:v>41.58191534636739</x:v>
      </x:c>
      <x:c r="X57" s="4" t="n">
        <x:f>IF('계산 과정'!$C$77,('계산 과정'!$E$56+'계산 과정'!$E$57*('계산 과정'!$L$11*COS(51*2*PI()/240))+'계산 과정'!$E$58*('계산 과정'!$L$11*SIN(51*2*PI()/240)))/('계산 과정'!$E$59+'계산 과정'!$E$60*('계산 과정'!$L$11*COS(51*2*PI()/240))+'계산 과정'!$E$61*('계산 과정'!$L$11*SIN(51*2*PI()/240))),"")</x:f>
        <x:v>244.94340464605173</x:v>
      </x:c>
      <x:c r="Y57" s="4" t="str">
        <x:f>""</x:f>
      </x:c>
      <x:c r="Z57" s="4" t="str">
        <x:f>""</x:f>
      </x:c>
    </x:row>
    <x:row r="58" ht="23" customHeight="1">
      <x:c r="A58" s="17" t="n">
        <x:f>ROW()-6</x:f>
        <x:v>52</x:v>
      </x:c>
      <x:c r="B58" s="4" t="n">
        <x:f>IF('계산 과정'!$L$5,'계산 과정'!$L$11*SQRT((A58+0.5)/'계산 과정'!$L$30),"")</x:f>
        <x:v>24.01629085771781</x:v>
      </x:c>
      <x:c r="C58" s="4" t="n">
        <x:f>A58*PI()*(3-SQRT(5))</x:f>
        <x:v>124.79808794588996</x:v>
      </x:c>
      <x:c r="D58" s="4" t="n">
        <x:f>IF('계산 과정'!$L$5,B58*COS(C58),"")</x:f>
        <x:v>15.566626863140801</x:v>
      </x:c>
      <x:c r="E58" s="4" t="n">
        <x:f>IF('계산 과정'!$L$5,B58*SIN(C58),"")</x:f>
        <x:v>-18.288311968747777</x:v>
      </x:c>
      <x:c r="F58" s="4" t="n">
        <x:f>IF('계산 과정'!$L$7,'계산 과정'!$L$22+'계산 과정'!$C$49*D58+'계산 과정'!$D$49*E58,"")</x:f>
        <x:v>638.9927325848724</x:v>
      </x:c>
      <x:c r="G58" s="4" t="n">
        <x:f>IF('계산 과정'!$L$7,IF(ABS(F58)&gt;=1E-12*MAX(1,SQRT((D58-'계산 과정'!$C$33)^2+(E58-'계산 과정'!$D$33)^2+'계산 과정'!$E$33^2)),('계산 과정'!$L$23-'계산 과정'!$C$49*D58-'계산 과정'!$D$49*E58)/F58,""),"")</x:f>
        <x:v>0.6432111766788156</x:v>
      </x:c>
      <x:c r="H58" s="4" t="n">
        <x:f>IF(AND(ISNUMBER(G58),G58&gt;0),('계산 과정'!$D$56+'계산 과정'!$D$57*D58+'계산 과정'!$D$58*E58)/F58,"")</x:f>
        <x:v>18.08726484122999</x:v>
      </x:c>
      <x:c r="I58" s="4" t="n">
        <x:f>IF(AND(ISNUMBER(G58),G58&gt;0),('계산 과정'!$E$56+'계산 과정'!$E$57*D58+'계산 과정'!$E$58*E58)/F58,"")</x:f>
        <x:v>-30.051558629635306</x:v>
      </x:c>
      <x:c r="J58" s="4" t="n">
        <x:f>IF('계산 과정'!$L$5,'계산 과정'!$D$6+'계산 과정'!$C$35*D58+'계산 과정'!$D$35*E58,"")</x:f>
        <x:v>638.9927325848724</x:v>
      </x:c>
      <x:c r="K58" s="4" t="n">
        <x:f>IF(AND('계산 과정'!$L$6,J58&gt;0),'계산 과정'!$D$10*('계산 과정'!$C$38*(D58-'계산 과정'!$C$32)+'계산 과정'!$D$38*(E58-'계산 과정'!$D$32)-'계산 과정'!$E$38*'계산 과정'!$E$32)/J58,"")</x:f>
        <x:v>0.1378077321236582</x:v>
      </x:c>
      <x:c r="L58" s="4" t="n">
        <x:f>IF(AND('계산 과정'!$L$6,J58&gt;0),'계산 과정'!$D$10*('계산 과정'!$C$39*(D58-'계산 과정'!$C$32)+'계산 과정'!$D$39*(E58-'계산 과정'!$D$32)-'계산 과정'!$E$39*'계산 과정'!$E$32)/J58,"")</x:f>
        <x:v>-0.22896425622579278</x:v>
      </x:c>
      <x:c r="M58" s="17" t="n">
        <x:f>IF('계산 과정'!$L$6,IF(J58&lt;=0,0,IF(AND(ABS(K58)&lt;='계산 과정'!$D$11/2,ABS(L58)&lt;='계산 과정'!$D$12/2),1,0)),"")</x:f>
        <x:v>1</x:v>
      </x:c>
      <x:c r="N58" s="17" t="n">
        <x:f>IF('계산 과정'!$C$78,IF(AND(ISNUMBER(H58),ISNUMBER(I58),ABS(H58-'계산 과정'!$C$88)&lt;='계산 과정'!$D$23/2,ABS(I58-'계산 과정'!$C$89)&lt;='계산 과정'!$D$24/2),1,0),"")</x:f>
        <x:v>1</x:v>
      </x:c>
      <x:c r="O58" s="4" t="n">
        <x:f>IF('계산 과정'!$L$7,'계산 과정'!$C$49*('계산 과정'!$C$32-D58)+'계산 과정'!$D$49*('계산 과정'!$D$32-E58)+'계산 과정'!$E$49*'계산 과정'!$E$32,"")</x:f>
        <x:v>11.007267415127671</x:v>
      </x:c>
      <x:c r="P58" s="4" t="n">
        <x:f>IF(AND('계산 과정'!$L$7,O58&lt;&gt;0),('계산 과정'!$L$23-'계산 과정'!$C$49*D58-'계산 과정'!$D$49*E58)/O58,"")</x:f>
        <x:v>37.339627712711504</x:v>
      </x:c>
      <x:c r="Q58" s="4" t="str">
        <x:f>IF(AND(ISNUMBER(P58),P58&gt;1E-9,P58&lt;1-1E-9),'계산 과정'!$C$47*(D58-'계산 과정'!$C$50+P58*('계산 과정'!$C$32-D58))+'계산 과정'!$D$47*(E58-'계산 과정'!$D$50+P58*('계산 과정'!$D$32-E58))+'계산 과정'!$E$47*(0-'계산 과정'!$E$50+P58*('계산 과정'!$E$32-0)),"")</x:f>
      </x:c>
      <x:c r="R58" s="4" t="str">
        <x:f>IF(AND(ISNUMBER(P58),P58&gt;1E-9,P58&lt;1-1E-9),'계산 과정'!$C$48*(D58-'계산 과정'!$C$50+P58*('계산 과정'!$C$32-D58))+'계산 과정'!$D$48*(E58-'계산 과정'!$D$50+P58*('계산 과정'!$D$32-E58))+'계산 과정'!$E$48*(0-'계산 과정'!$E$50+P58*('계산 과정'!$E$32-0)),"")</x:f>
      </x:c>
      <x:c r="S58" s="17" t="n">
        <x:f>IF('계산 과정'!$C$78,IF(AND(ISNUMBER(Q58),ISNUMBER(R58),ABS(Q58-'계산 과정'!$C$88)&lt;='계산 과정'!$D$23/2,ABS(R58-'계산 과정'!$C$89)&lt;='계산 과정'!$D$24/2),1,0),"")</x:f>
        <x:v>0</x:v>
      </x:c>
      <x:c r="T58" s="4"/>
      <x:c r="U58" s="4"/>
      <x:c r="V58" s="4"/>
      <x:c r="W58" s="4" t="n">
        <x:f>IF('계산 과정'!$C$77,('계산 과정'!$D$56+'계산 과정'!$D$57*('계산 과정'!$L$11*COS(52*2*PI()/240))+'계산 과정'!$D$58*('계산 과정'!$L$11*SIN(52*2*PI()/240)))/('계산 과정'!$D$59+'계산 과정'!$D$60*('계산 과정'!$L$11*COS(52*2*PI()/240))+'계산 과정'!$D$61*('계산 과정'!$L$11*SIN(52*2*PI()/240))),"")</x:f>
        <x:v>36.874067082288384</x:v>
      </x:c>
      <x:c r="X58" s="4" t="n">
        <x:f>IF('계산 과정'!$C$77,('계산 과정'!$E$56+'계산 과정'!$E$57*('계산 과정'!$L$11*COS(52*2*PI()/240))+'계산 과정'!$E$58*('계산 과정'!$L$11*SIN(52*2*PI()/240)))/('계산 과정'!$E$59+'계산 과정'!$E$60*('계산 과정'!$L$11*COS(52*2*PI()/240))+'계산 과정'!$E$61*('계산 과정'!$L$11*SIN(52*2*PI()/240))),"")</x:f>
        <x:v>245.33613715761552</x:v>
      </x:c>
      <x:c r="Y58" s="4" t="str">
        <x:f>""</x:f>
      </x:c>
      <x:c r="Z58" s="4" t="str">
        <x:f>""</x:f>
      </x:c>
    </x:row>
    <x:row r="59" ht="23" customHeight="1">
      <x:c r="A59" s="17" t="n">
        <x:f>ROW()-6</x:f>
        <x:v>53</x:v>
      </x:c>
      <x:c r="B59" s="4" t="n">
        <x:f>IF('계산 과정'!$L$5,'계산 과정'!$L$11*SQRT((A59+0.5)/'계산 과정'!$L$30),"")</x:f>
        <x:v>24.243938514348283</x:v>
      </x:c>
      <x:c r="C59" s="4" t="n">
        <x:f>A59*PI()*(3-SQRT(5))</x:f>
        <x:v>127.1980511756186</x:v>
      </x:c>
      <x:c r="D59" s="4" t="n">
        <x:f>IF('계산 과정'!$L$5,B59*COS(C59),"")</x:f>
        <x:v>0.8835272621361938</x:v>
      </x:c>
      <x:c r="E59" s="4" t="n">
        <x:f>IF('계산 과정'!$L$5,B59*SIN(C59),"")</x:f>
        <x:v>24.227833874792896</x:v>
      </x:c>
      <x:c r="F59" s="4" t="n">
        <x:f>IF('계산 과정'!$L$7,'계산 과정'!$L$22+'계산 과정'!$C$49*D59+'계산 과정'!$D$49*E59,"")</x:f>
        <x:v>649.3752518815803</x:v>
      </x:c>
      <x:c r="G59" s="4" t="n">
        <x:f>IF('계산 과정'!$L$7,IF(ABS(F59)&gt;=1E-12*MAX(1,SQRT((D59-'계산 과정'!$C$33)^2+(E59-'계산 과정'!$D$33)^2+'계산 과정'!$E$33^2)),('계산 과정'!$L$23-'계산 과정'!$C$49*D59-'계산 과정'!$D$49*E59)/F59,""),"")</x:f>
        <x:v>0.6169387375906302</x:v>
      </x:c>
      <x:c r="H59" s="4" t="n">
        <x:f>IF(AND(ISNUMBER(G59),G59&gt;0),('계산 과정'!$D$56+'계산 과정'!$D$57*D59+'계산 과정'!$D$58*E59)/F59,"")</x:f>
        <x:v>1.0101794339095367</x:v>
      </x:c>
      <x:c r="I59" s="4" t="n">
        <x:f>IF(AND(ISNUMBER(G59),G59&gt;0),('계산 과정'!$E$56+'계산 과정'!$E$57*D59+'계산 과정'!$E$58*E59)/F59,"")</x:f>
        <x:v>39.174923120063134</x:v>
      </x:c>
      <x:c r="J59" s="4" t="n">
        <x:f>IF('계산 과정'!$L$5,'계산 과정'!$D$6+'계산 과정'!$C$35*D59+'계산 과정'!$D$35*E59,"")</x:f>
        <x:v>649.3752518815803</x:v>
      </x:c>
      <x:c r="K59" s="4" t="n">
        <x:f>IF(AND('계산 과정'!$L$6,J59&gt;0),'계산 과정'!$D$10*('계산 과정'!$C$38*(D59-'계산 과정'!$C$32)+'계산 과정'!$D$38*(E59-'계산 과정'!$D$32)-'계산 과정'!$E$38*'계산 과정'!$E$32)/J59,"")</x:f>
        <x:v>0.007696605210740212</x:v>
      </x:c>
      <x:c r="L59" s="4" t="n">
        <x:f>IF(AND('계산 과정'!$L$6,J59&gt;0),'계산 과정'!$D$10*('계산 과정'!$C$39*(D59-'계산 과정'!$C$32)+'계산 과정'!$D$39*(E59-'계산 과정'!$D$32)-'계산 과정'!$E$39*'계산 과정'!$E$32)/J59,"")</x:f>
        <x:v>0.2984756047242905</x:v>
      </x:c>
      <x:c r="M59" s="17" t="n">
        <x:f>IF('계산 과정'!$L$6,IF(J59&lt;=0,0,IF(AND(ABS(K59)&lt;='계산 과정'!$D$11/2,ABS(L59)&lt;='계산 과정'!$D$12/2),1,0)),"")</x:f>
        <x:v>1</x:v>
      </x:c>
      <x:c r="N59" s="17" t="n">
        <x:f>IF('계산 과정'!$C$78,IF(AND(ISNUMBER(H59),ISNUMBER(I59),ABS(H59-'계산 과정'!$C$88)&lt;='계산 과정'!$D$23/2,ABS(I59-'계산 과정'!$C$89)&lt;='계산 과정'!$D$24/2),1,0),"")</x:f>
        <x:v>1</x:v>
      </x:c>
      <x:c r="O59" s="4" t="n">
        <x:f>IF('계산 과정'!$L$7,'계산 과정'!$C$49*('계산 과정'!$C$32-D59)+'계산 과정'!$D$49*('계산 과정'!$D$32-E59)+'계산 과정'!$E$49*'계산 과정'!$E$32,"")</x:f>
        <x:v>0.6247481184198023</x:v>
      </x:c>
      <x:c r="P59" s="4" t="n">
        <x:f>IF(AND('계산 과정'!$L$7,O59&lt;&gt;0),('계산 과정'!$L$23-'계산 과정'!$C$49*D59-'계산 과정'!$D$49*E59)/O59,"")</x:f>
        <x:v>641.258030727222</x:v>
      </x:c>
      <x:c r="Q59" s="4" t="str">
        <x:f>IF(AND(ISNUMBER(P59),P59&gt;1E-9,P59&lt;1-1E-9),'계산 과정'!$C$47*(D59-'계산 과정'!$C$50+P59*('계산 과정'!$C$32-D59))+'계산 과정'!$D$47*(E59-'계산 과정'!$D$50+P59*('계산 과정'!$D$32-E59))+'계산 과정'!$E$47*(0-'계산 과정'!$E$50+P59*('계산 과정'!$E$32-0)),"")</x:f>
      </x:c>
      <x:c r="R59" s="4" t="str">
        <x:f>IF(AND(ISNUMBER(P59),P59&gt;1E-9,P59&lt;1-1E-9),'계산 과정'!$C$48*(D59-'계산 과정'!$C$50+P59*('계산 과정'!$C$32-D59))+'계산 과정'!$D$48*(E59-'계산 과정'!$D$50+P59*('계산 과정'!$D$32-E59))+'계산 과정'!$E$48*(0-'계산 과정'!$E$50+P59*('계산 과정'!$E$32-0)),"")</x:f>
      </x:c>
      <x:c r="S59" s="17" t="n">
        <x:f>IF('계산 과정'!$C$78,IF(AND(ISNUMBER(Q59),ISNUMBER(R59),ABS(Q59-'계산 과정'!$C$88)&lt;='계산 과정'!$D$23/2,ABS(R59-'계산 과정'!$C$89)&lt;='계산 과정'!$D$24/2),1,0),"")</x:f>
        <x:v>0</x:v>
      </x:c>
      <x:c r="T59" s="4"/>
      <x:c r="U59" s="4"/>
      <x:c r="V59" s="4"/>
      <x:c r="W59" s="4" t="n">
        <x:f>IF('계산 과정'!$C$77,('계산 과정'!$D$56+'계산 과정'!$D$57*('계산 과정'!$L$11*COS(53*2*PI()/240))+'계산 과정'!$D$58*('계산 과정'!$L$11*SIN(53*2*PI()/240)))/('계산 과정'!$D$59+'계산 과정'!$D$60*('계산 과정'!$L$11*COS(53*2*PI()/240))+'계산 과정'!$D$61*('계산 과정'!$L$11*SIN(53*2*PI()/240))),"")</x:f>
        <x:v>32.180718757595685</x:v>
      </x:c>
      <x:c r="X59" s="4" t="n">
        <x:f>IF('계산 과정'!$C$77,('계산 과정'!$E$56+'계산 과정'!$E$57*('계산 과정'!$L$11*COS(53*2*PI()/240))+'계산 과정'!$E$58*('계산 과정'!$L$11*SIN(53*2*PI()/240)))/('계산 과정'!$E$59+'계산 과정'!$E$60*('계산 과정'!$L$11*COS(53*2*PI()/240))+'계산 과정'!$E$61*('계산 과정'!$L$11*SIN(53*2*PI()/240))),"")</x:f>
        <x:v>245.55219290526782</x:v>
      </x:c>
      <x:c r="Y59" s="4" t="str">
        <x:f>""</x:f>
      </x:c>
      <x:c r="Z59" s="4" t="str">
        <x:f>""</x:f>
      </x:c>
    </x:row>
    <x:row r="60" ht="23" customHeight="1">
      <x:c r="A60" s="17" t="n">
        <x:f>ROW()-6</x:f>
        <x:v>54</x:v>
      </x:c>
      <x:c r="B60" s="4" t="n">
        <x:f>IF('계산 과정'!$L$5,'계산 과정'!$L$11*SQRT((A60+0.5)/'계산 과정'!$L$30),"")</x:f>
        <x:v>24.4694683802591</x:v>
      </x:c>
      <x:c r="C60" s="4" t="n">
        <x:f>A60*PI()*(3-SQRT(5))</x:f>
        <x:v>129.59801440534724</x:v>
      </x:c>
      <x:c r="D60" s="4" t="n">
        <x:f>IF('계산 과정'!$L$5,B60*COS(C60),"")</x:f>
        <x:v>-17.175454637931786</x:v>
      </x:c>
      <x:c r="E60" s="4" t="n">
        <x:f>IF('계산 과정'!$L$5,B60*SIN(C60),"")</x:f>
        <x:v>-17.428672949850412</x:v>
      </x:c>
      <x:c r="F60" s="4" t="n">
        <x:f>IF('계산 과정'!$L$7,'계산 과정'!$L$22+'계산 과정'!$C$49*D60+'계산 과정'!$D$49*E60,"")</x:f>
        <x:v>662.1448804444435</x:v>
      </x:c>
      <x:c r="G60" s="4" t="n">
        <x:f>IF('계산 과정'!$L$7,IF(ABS(F60)&gt;=1E-12*MAX(1,SQRT((D60-'계산 과정'!$C$33)^2+(E60-'계산 과정'!$D$33)^2+'계산 과정'!$E$33^2)),('계산 과정'!$L$23-'계산 과정'!$C$49*D60-'계산 과정'!$D$49*E60)/F60,""),"")</x:f>
        <x:v>0.5857556722257238</x:v>
      </x:c>
      <x:c r="H60" s="4" t="n">
        <x:f>IF(AND(ISNUMBER(G60),G60&gt;0),('계산 과정'!$D$56+'계산 과정'!$D$57*D60+'계산 과정'!$D$58*E60)/F60,"")</x:f>
        <x:v>-19.25881305327967</x:v>
      </x:c>
      <x:c r="I60" s="4" t="n">
        <x:f>IF(AND(ISNUMBER(G60),G60&gt;0),('계산 과정'!$E$56+'계산 과정'!$E$57*D60+'계산 과정'!$E$58*E60)/F60,"")</x:f>
        <x:v>-27.637616989592328</x:v>
      </x:c>
      <x:c r="J60" s="4" t="n">
        <x:f>IF('계산 과정'!$L$5,'계산 과정'!$D$6+'계산 과정'!$C$35*D60+'계산 과정'!$D$35*E60,"")</x:f>
        <x:v>662.1448804444435</x:v>
      </x:c>
      <x:c r="K60" s="4" t="n">
        <x:f>IF(AND('계산 과정'!$L$6,J60&gt;0),'계산 과정'!$D$10*('계산 과정'!$C$38*(D60-'계산 과정'!$C$32)+'계산 과정'!$D$38*(E60-'계산 과정'!$D$32)-'계산 과정'!$E$38*'계산 과정'!$E$32)/J60,"")</x:f>
        <x:v>-0.14673381373927294</x:v>
      </x:c>
      <x:c r="L60" s="4" t="n">
        <x:f>IF(AND('계산 과정'!$L$6,J60&gt;0),'계산 과정'!$D$10*('계산 과정'!$C$39*(D60-'계산 과정'!$C$32)+'계산 과정'!$D$39*(E60-'계산 과정'!$D$32)-'계산 과정'!$E$39*'계산 과정'!$E$32)/J60,"")</x:f>
        <x:v>-0.21057231992070344</x:v>
      </x:c>
      <x:c r="M60" s="17" t="n">
        <x:f>IF('계산 과정'!$L$6,IF(J60&lt;=0,0,IF(AND(ABS(K60)&lt;='계산 과정'!$D$11/2,ABS(L60)&lt;='계산 과정'!$D$12/2),1,0)),"")</x:f>
        <x:v>1</x:v>
      </x:c>
      <x:c r="N60" s="17" t="n">
        <x:f>IF('계산 과정'!$C$78,IF(AND(ISNUMBER(H60),ISNUMBER(I60),ABS(H60-'계산 과정'!$C$88)&lt;='계산 과정'!$D$23/2,ABS(I60-'계산 과정'!$C$89)&lt;='계산 과정'!$D$24/2),1,0),"")</x:f>
        <x:v>1</x:v>
      </x:c>
      <x:c r="O60" s="4" t="n">
        <x:f>IF('계산 과정'!$L$7,'계산 과정'!$C$49*('계산 과정'!$C$32-D60)+'계산 과정'!$D$49*('계산 과정'!$D$32-E60)+'계산 과정'!$E$49*'계산 과정'!$E$32,"")</x:f>
        <x:v>-12.144880444443402</x:v>
      </x:c>
      <x:c r="P60" s="4" t="n">
        <x:f>IF(AND('계산 과정'!$L$7,O60&lt;&gt;0),('계산 과정'!$L$23-'계산 과정'!$C$49*D60-'계산 과정'!$D$49*E60)/O60,"")</x:f>
        <x:v>-31.93568856686525</x:v>
      </x:c>
      <x:c r="Q60" s="4" t="str">
        <x:f>IF(AND(ISNUMBER(P60),P60&gt;1E-9,P60&lt;1-1E-9),'계산 과정'!$C$47*(D60-'계산 과정'!$C$50+P60*('계산 과정'!$C$32-D60))+'계산 과정'!$D$47*(E60-'계산 과정'!$D$50+P60*('계산 과정'!$D$32-E60))+'계산 과정'!$E$47*(0-'계산 과정'!$E$50+P60*('계산 과정'!$E$32-0)),"")</x:f>
      </x:c>
      <x:c r="R60" s="4" t="str">
        <x:f>IF(AND(ISNUMBER(P60),P60&gt;1E-9,P60&lt;1-1E-9),'계산 과정'!$C$48*(D60-'계산 과정'!$C$50+P60*('계산 과정'!$C$32-D60))+'계산 과정'!$D$48*(E60-'계산 과정'!$D$50+P60*('계산 과정'!$D$32-E60))+'계산 과정'!$E$48*(0-'계산 과정'!$E$50+P60*('계산 과정'!$E$32-0)),"")</x:f>
      </x:c>
      <x:c r="S60" s="17" t="n">
        <x:f>IF('계산 과정'!$C$78,IF(AND(ISNUMBER(Q60),ISNUMBER(R60),ABS(Q60-'계산 과정'!$C$88)&lt;='계산 과정'!$D$23/2,ABS(R60-'계산 과정'!$C$89)&lt;='계산 과정'!$D$24/2),1,0),"")</x:f>
        <x:v>0</x:v>
      </x:c>
      <x:c r="T60" s="4"/>
      <x:c r="U60" s="4"/>
      <x:c r="V60" s="4"/>
      <x:c r="W60" s="4" t="n">
        <x:f>IF('계산 과정'!$C$77,('계산 과정'!$D$56+'계산 과정'!$D$57*('계산 과정'!$L$11*COS(54*2*PI()/240))+'계산 과정'!$D$58*('계산 과정'!$L$11*SIN(54*2*PI()/240)))/('계산 과정'!$D$59+'계산 과정'!$D$60*('계산 과정'!$L$11*COS(54*2*PI()/240))+'계산 과정'!$D$61*('계산 과정'!$L$11*SIN(54*2*PI()/240))),"")</x:f>
        <x:v>27.505194375532298</x:v>
      </x:c>
      <x:c r="X60" s="4" t="n">
        <x:f>IF('계산 과정'!$C$77,('계산 과정'!$E$56+'계산 과정'!$E$57*('계산 과정'!$L$11*COS(54*2*PI()/240))+'계산 과정'!$E$58*('계산 과정'!$L$11*SIN(54*2*PI()/240)))/('계산 과정'!$E$59+'계산 과정'!$E$60*('계산 과정'!$L$11*COS(54*2*PI()/240))+'계산 과정'!$E$61*('계산 과정'!$L$11*SIN(54*2*PI()/240))),"")</x:f>
        <x:v>245.59368863432562</x:v>
      </x:c>
      <x:c r="Y60" s="4" t="str">
        <x:f>""</x:f>
      </x:c>
      <x:c r="Z60" s="4" t="str">
        <x:f>""</x:f>
      </x:c>
    </x:row>
    <x:row r="61" ht="23" customHeight="1">
      <x:c r="A61" s="17" t="n">
        <x:f>ROW()-6</x:f>
        <x:v>55</x:v>
      </x:c>
      <x:c r="B61" s="4" t="n">
        <x:f>IF('계산 과정'!$L$5,'계산 과정'!$L$11*SQRT((A61+0.5)/'계산 과정'!$L$30),"")</x:f>
        <x:v>24.692938483248604</x:v>
      </x:c>
      <x:c r="C61" s="4" t="n">
        <x:f>A61*PI()*(3-SQRT(5))</x:f>
        <x:v>131.99797763507593</x:v>
      </x:c>
      <x:c r="D61" s="4" t="n">
        <x:f>IF('계산 과정'!$L$5,B61*COS(C61),"")</x:f>
        <x:v>24.660723696803224</x:v>
      </x:c>
      <x:c r="E61" s="4" t="n">
        <x:f>IF('계산 과정'!$L$5,B61*SIN(C61),"")</x:f>
        <x:v>1.2609193818114788</x:v>
      </x:c>
      <x:c r="F61" s="4" t="n">
        <x:f>IF('계산 과정'!$L$7,'계산 과정'!$L$22+'계산 과정'!$C$49*D61+'계산 과정'!$D$49*E61,"")</x:f>
        <x:v>632.5622350450227</x:v>
      </x:c>
      <x:c r="G61" s="4" t="n">
        <x:f>IF('계산 과정'!$L$7,IF(ABS(F61)&gt;=1E-12*MAX(1,SQRT((D61-'계산 과정'!$C$33)^2+(E61-'계산 과정'!$D$33)^2+'계산 과정'!$E$33^2)),('계산 과정'!$L$23-'계산 과정'!$C$49*D61-'계산 과정'!$D$49*E61)/F61,""),"")</x:f>
        <x:v>0.6599157234311753</x:v>
      </x:c>
      <x:c r="H61" s="4" t="n">
        <x:f>IF(AND(ISNUMBER(G61),G61&gt;0),('계산 과정'!$D$56+'계산 과정'!$D$57*D61+'계산 과정'!$D$58*E61)/F61,"")</x:f>
        <x:v>28.94522023026391</x:v>
      </x:c>
      <x:c r="I61" s="4" t="n">
        <x:f>IF(AND(ISNUMBER(G61),G61&gt;0),('계산 과정'!$E$56+'계산 과정'!$E$57*D61+'계산 과정'!$E$58*E61)/F61,"")</x:f>
        <x:v>2.093019907847991</x:v>
      </x:c>
      <x:c r="J61" s="4" t="n">
        <x:f>IF('계산 과정'!$L$5,'계산 과정'!$D$6+'계산 과정'!$C$35*D61+'계산 과정'!$D$35*E61,"")</x:f>
        <x:v>632.5622350450227</x:v>
      </x:c>
      <x:c r="K61" s="4" t="n">
        <x:f>IF(AND('계산 과정'!$L$6,J61&gt;0),'계산 과정'!$D$10*('계산 과정'!$C$38*(D61-'계산 과정'!$C$32)+'계산 과정'!$D$38*(E61-'계산 과정'!$D$32)-'계산 과정'!$E$38*'계산 과정'!$E$32)/J61,"")</x:f>
        <x:v>0.22053501127820213</x:v>
      </x:c>
      <x:c r="L61" s="4" t="n">
        <x:f>IF(AND('계산 과정'!$L$6,J61&gt;0),'계산 과정'!$D$10*('계산 과정'!$C$39*(D61-'계산 과정'!$C$32)+'계산 과정'!$D$39*(E61-'계산 과정'!$D$32)-'계산 과정'!$E$39*'계산 과정'!$E$32)/J61,"")</x:f>
        <x:v>0.015946818345508505</x:v>
      </x:c>
      <x:c r="M61" s="17" t="n">
        <x:f>IF('계산 과정'!$L$6,IF(J61&lt;=0,0,IF(AND(ABS(K61)&lt;='계산 과정'!$D$11/2,ABS(L61)&lt;='계산 과정'!$D$12/2),1,0)),"")</x:f>
        <x:v>1</x:v>
      </x:c>
      <x:c r="N61" s="17" t="n">
        <x:f>IF('계산 과정'!$C$78,IF(AND(ISNUMBER(H61),ISNUMBER(I61),ABS(H61-'계산 과정'!$C$88)&lt;='계산 과정'!$D$23/2,ABS(I61-'계산 과정'!$C$89)&lt;='계산 과정'!$D$24/2),1,0),"")</x:f>
        <x:v>1</x:v>
      </x:c>
      <x:c r="O61" s="4" t="n">
        <x:f>IF('계산 과정'!$L$7,'계산 과정'!$C$49*('계산 과정'!$C$32-D61)+'계산 과정'!$D$49*('계산 과정'!$D$32-E61)+'계산 과정'!$E$49*'계산 과정'!$E$32,"")</x:f>
        <x:v>17.437764954977467</x:v>
      </x:c>
      <x:c r="P61" s="4" t="n">
        <x:f>IF(AND('계산 과정'!$L$7,O61&lt;&gt;0),('계산 과정'!$L$23-'계산 과정'!$C$49*D61-'계산 과정'!$D$49*E61)/O61,"")</x:f>
        <x:v>23.938719556821596</x:v>
      </x:c>
      <x:c r="Q61" s="4" t="str">
        <x:f>IF(AND(ISNUMBER(P61),P61&gt;1E-9,P61&lt;1-1E-9),'계산 과정'!$C$47*(D61-'계산 과정'!$C$50+P61*('계산 과정'!$C$32-D61))+'계산 과정'!$D$47*(E61-'계산 과정'!$D$50+P61*('계산 과정'!$D$32-E61))+'계산 과정'!$E$47*(0-'계산 과정'!$E$50+P61*('계산 과정'!$E$32-0)),"")</x:f>
      </x:c>
      <x:c r="R61" s="4" t="str">
        <x:f>IF(AND(ISNUMBER(P61),P61&gt;1E-9,P61&lt;1-1E-9),'계산 과정'!$C$48*(D61-'계산 과정'!$C$50+P61*('계산 과정'!$C$32-D61))+'계산 과정'!$D$48*(E61-'계산 과정'!$D$50+P61*('계산 과정'!$D$32-E61))+'계산 과정'!$E$48*(0-'계산 과정'!$E$50+P61*('계산 과정'!$E$32-0)),"")</x:f>
      </x:c>
      <x:c r="S61" s="17" t="n">
        <x:f>IF('계산 과정'!$C$78,IF(AND(ISNUMBER(Q61),ISNUMBER(R61),ABS(Q61-'계산 과정'!$C$88)&lt;='계산 과정'!$D$23/2,ABS(R61-'계산 과정'!$C$89)&lt;='계산 과정'!$D$24/2),1,0),"")</x:f>
        <x:v>0</x:v>
      </x:c>
      <x:c r="T61" s="4"/>
      <x:c r="U61" s="4"/>
      <x:c r="V61" s="4"/>
      <x:c r="W61" s="4" t="n">
        <x:f>IF('계산 과정'!$C$77,('계산 과정'!$D$56+'계산 과정'!$D$57*('계산 과정'!$L$11*COS(55*2*PI()/240))+'계산 과정'!$D$58*('계산 과정'!$L$11*SIN(55*2*PI()/240)))/('계산 과정'!$D$59+'계산 과정'!$D$60*('계산 과정'!$L$11*COS(55*2*PI()/240))+'계산 과정'!$D$61*('계산 과정'!$L$11*SIN(55*2*PI()/240))),"")</x:f>
        <x:v>22.850719008766976</x:v>
      </x:c>
      <x:c r="X61" s="4" t="n">
        <x:f>IF('계산 과정'!$C$77,('계산 과정'!$E$56+'계산 과정'!$E$57*('계산 과정'!$L$11*COS(55*2*PI()/240))+'계산 과정'!$E$58*('계산 과정'!$L$11*SIN(55*2*PI()/240)))/('계산 과정'!$E$59+'계산 과정'!$E$60*('계산 과정'!$L$11*COS(55*2*PI()/240))+'계산 과정'!$E$61*('계산 과정'!$L$11*SIN(55*2*PI()/240))),"")</x:f>
        <x:v>245.4628459344092</x:v>
      </x:c>
      <x:c r="Y61" s="4" t="str">
        <x:f>""</x:f>
      </x:c>
      <x:c r="Z61" s="4" t="str">
        <x:f>""</x:f>
      </x:c>
    </x:row>
    <x:row r="62" ht="23" customHeight="1">
      <x:c r="A62" s="17" t="n">
        <x:f>ROW()-6</x:f>
        <x:v>56</x:v>
      </x:c>
      <x:c r="B62" s="4" t="n">
        <x:f>IF('계산 과정'!$L$5,'계산 과정'!$L$11*SQRT((A62+0.5)/'계산 과정'!$L$30),"")</x:f>
        <x:v>24.914404248596835</x:v>
      </x:c>
      <x:c r="C62" s="4" t="n">
        <x:f>A62*PI()*(3-SQRT(5))</x:f>
        <x:v>134.39794086480455</x:v>
      </x:c>
      <x:c r="D62" s="4" t="n">
        <x:f>IF('계산 과정'!$L$5,B62*COS(C62),"")</x:f>
        <x:v>-19.206516951825538</x:v>
      </x:c>
      <x:c r="E62" s="4" t="n">
        <x:f>IF('계산 과정'!$L$5,B62*SIN(C62),"")</x:f>
        <x:v>15.86938075797976</x:v>
      </x:c>
      <x:c r="F62" s="4" t="n">
        <x:f>IF('계산 과정'!$L$7,'계산 과정'!$L$22+'계산 과정'!$C$49*D62+'계산 과정'!$D$49*E62,"")</x:f>
        <x:v>663.5810583796102</x:v>
      </x:c>
      <x:c r="G62" s="4" t="n">
        <x:f>IF('계산 과정'!$L$7,IF(ABS(F62)&gt;=1E-12*MAX(1,SQRT((D62-'계산 과정'!$C$33)^2+(E62-'계산 과정'!$D$33)^2+'계산 과정'!$E$33^2)),('계산 과정'!$L$23-'계산 과정'!$C$49*D62-'계산 과정'!$D$49*E62)/F62,""),"")</x:f>
        <x:v>0.5823236464343648</x:v>
      </x:c>
      <x:c r="H62" s="4" t="n">
        <x:f>IF(AND(ISNUMBER(G62),G62&gt;0),('계산 과정'!$D$56+'계산 과정'!$D$57*D62+'계산 과정'!$D$58*E62)/F62,"")</x:f>
        <x:v>-21.48962981766294</x:v>
      </x:c>
      <x:c r="I62" s="4" t="n">
        <x:f>IF(AND(ISNUMBER(G62),G62&gt;0),('계산 과정'!$E$56+'계산 과정'!$E$57*D62+'계산 과정'!$E$58*E62)/F62,"")</x:f>
        <x:v>25.11049642762188</x:v>
      </x:c>
      <x:c r="J62" s="4" t="n">
        <x:f>IF('계산 과정'!$L$5,'계산 과정'!$D$6+'계산 과정'!$C$35*D62+'계산 과정'!$D$35*E62,"")</x:f>
        <x:v>663.5810583796102</x:v>
      </x:c>
      <x:c r="K62" s="4" t="n">
        <x:f>IF(AND('계산 과정'!$L$6,J62&gt;0),'계산 과정'!$D$10*('계산 과정'!$C$38*(D62-'계산 과정'!$C$32)+'계산 과정'!$D$38*(E62-'계산 과정'!$D$32)-'계산 과정'!$E$38*'계산 과정'!$E$32)/J62,"")</x:f>
        <x:v>-0.16373051289647877</x:v>
      </x:c>
      <x:c r="L62" s="4" t="n">
        <x:f>IF(AND('계산 과정'!$L$6,J62&gt;0),'계산 과정'!$D$10*('계산 과정'!$C$39*(D62-'계산 과정'!$C$32)+'계산 과정'!$D$39*(E62-'계산 과정'!$D$32)-'계산 과정'!$E$39*'계산 과정'!$E$32)/J62,"")</x:f>
        <x:v>0.19131806801997622</x:v>
      </x:c>
      <x:c r="M62" s="17" t="n">
        <x:f>IF('계산 과정'!$L$6,IF(J62&lt;=0,0,IF(AND(ABS(K62)&lt;='계산 과정'!$D$11/2,ABS(L62)&lt;='계산 과정'!$D$12/2),1,0)),"")</x:f>
        <x:v>1</x:v>
      </x:c>
      <x:c r="N62" s="17" t="n">
        <x:f>IF('계산 과정'!$C$78,IF(AND(ISNUMBER(H62),ISNUMBER(I62),ABS(H62-'계산 과정'!$C$88)&lt;='계산 과정'!$D$23/2,ABS(I62-'계산 과정'!$C$89)&lt;='계산 과정'!$D$24/2),1,0),"")</x:f>
        <x:v>1</x:v>
      </x:c>
      <x:c r="O62" s="4" t="n">
        <x:f>IF('계산 과정'!$L$7,'계산 과정'!$C$49*('계산 과정'!$C$32-D62)+'계산 과정'!$D$49*('계산 과정'!$D$32-E62)+'계산 과정'!$E$49*'계산 과정'!$E$32,"")</x:f>
        <x:v>-13.581058379610113</x:v>
      </x:c>
      <x:c r="P62" s="4" t="n">
        <x:f>IF(AND('계산 과정'!$L$7,O62&lt;&gt;0),('계산 과정'!$L$23-'계산 과정'!$C$49*D62-'계산 과정'!$D$49*E62)/O62,"")</x:f>
        <x:v>-28.452785550243924</x:v>
      </x:c>
      <x:c r="Q62" s="4" t="str">
        <x:f>IF(AND(ISNUMBER(P62),P62&gt;1E-9,P62&lt;1-1E-9),'계산 과정'!$C$47*(D62-'계산 과정'!$C$50+P62*('계산 과정'!$C$32-D62))+'계산 과정'!$D$47*(E62-'계산 과정'!$D$50+P62*('계산 과정'!$D$32-E62))+'계산 과정'!$E$47*(0-'계산 과정'!$E$50+P62*('계산 과정'!$E$32-0)),"")</x:f>
      </x:c>
      <x:c r="R62" s="4" t="str">
        <x:f>IF(AND(ISNUMBER(P62),P62&gt;1E-9,P62&lt;1-1E-9),'계산 과정'!$C$48*(D62-'계산 과정'!$C$50+P62*('계산 과정'!$C$32-D62))+'계산 과정'!$D$48*(E62-'계산 과정'!$D$50+P62*('계산 과정'!$D$32-E62))+'계산 과정'!$E$48*(0-'계산 과정'!$E$50+P62*('계산 과정'!$E$32-0)),"")</x:f>
      </x:c>
      <x:c r="S62" s="17" t="n">
        <x:f>IF('계산 과정'!$C$78,IF(AND(ISNUMBER(Q62),ISNUMBER(R62),ABS(Q62-'계산 과정'!$C$88)&lt;='계산 과정'!$D$23/2,ABS(R62-'계산 과정'!$C$89)&lt;='계산 과정'!$D$24/2),1,0),"")</x:f>
        <x:v>0</x:v>
      </x:c>
      <x:c r="T62" s="4"/>
      <x:c r="U62" s="4"/>
      <x:c r="V62" s="4"/>
      <x:c r="W62" s="4" t="n">
        <x:f>IF('계산 과정'!$C$77,('계산 과정'!$D$56+'계산 과정'!$D$57*('계산 과정'!$L$11*COS(56*2*PI()/240))+'계산 과정'!$D$58*('계산 과정'!$L$11*SIN(56*2*PI()/240)))/('계산 과정'!$D$59+'계산 과정'!$D$60*('계산 과정'!$L$11*COS(56*2*PI()/240))+'계산 과정'!$D$61*('계산 과정'!$L$11*SIN(56*2*PI()/240))),"")</x:f>
        <x:v>18.220418384801423</x:v>
      </x:c>
      <x:c r="X62" s="4" t="n">
        <x:f>IF('계산 과정'!$C$77,('계산 과정'!$E$56+'계산 과정'!$E$57*('계산 과정'!$L$11*COS(56*2*PI()/240))+'계산 과정'!$E$58*('계산 과정'!$L$11*SIN(56*2*PI()/240)))/('계산 과정'!$E$59+'계산 과정'!$E$60*('계산 과정'!$L$11*COS(56*2*PI()/240))+'계산 과정'!$E$61*('계산 과정'!$L$11*SIN(56*2*PI()/240))),"")</x:f>
        <x:v>245.1619834991868</x:v>
      </x:c>
      <x:c r="Y62" s="4" t="str">
        <x:f>""</x:f>
      </x:c>
      <x:c r="Z62" s="4" t="str">
        <x:f>""</x:f>
      </x:c>
    </x:row>
    <x:row r="63" ht="23" customHeight="1">
      <x:c r="A63" s="17" t="n">
        <x:f>ROW()-6</x:f>
        <x:v>57</x:v>
      </x:c>
      <x:c r="B63" s="4" t="n">
        <x:f>IF('계산 과정'!$L$5,'계산 과정'!$L$11*SQRT((A63+0.5)/'계산 과정'!$L$30),"")</x:f>
        <x:v>25.133918659602205</x:v>
      </x:c>
      <x:c r="C63" s="4" t="n">
        <x:f>A63*PI()*(3-SQRT(5))</x:f>
        <x:v>136.7979040945332</x:v>
      </x:c>
      <x:c r="D63" s="4" t="n">
        <x:f>IF('계산 과정'!$L$5,B63*COS(C63),"")</x:f>
        <x:v>3.473007704582652</x:v>
      </x:c>
      <x:c r="E63" s="4" t="n">
        <x:f>IF('계산 과정'!$L$5,B63*SIN(C63),"")</x:f>
        <x:v>-24.89281190768551</x:v>
      </x:c>
      <x:c r="F63" s="4" t="n">
        <x:f>IF('계산 과정'!$L$7,'계산 과정'!$L$22+'계산 과정'!$C$49*D63+'계산 과정'!$D$49*E63,"")</x:f>
        <x:v>647.5442127009765</x:v>
      </x:c>
      <x:c r="G63" s="4" t="n">
        <x:f>IF('계산 과정'!$L$7,IF(ABS(F63)&gt;=1E-12*MAX(1,SQRT((D63-'계산 과정'!$C$33)^2+(E63-'계산 과정'!$D$33)^2+'계산 과정'!$E$33^2)),('계산 과정'!$L$23-'계산 과정'!$C$49*D63-'계산 과정'!$D$49*E63)/F63,""),"")</x:f>
        <x:v>0.6215109013488627</x:v>
      </x:c>
      <x:c r="H63" s="4" t="n">
        <x:f>IF(AND(ISNUMBER(G63),G63&gt;0),('계산 과정'!$D$56+'계산 과정'!$D$57*D63+'계산 과정'!$D$58*E63)/F63,"")</x:f>
        <x:v>3.982085876760602</x:v>
      </x:c>
      <x:c r="I63" s="4" t="n">
        <x:f>IF(AND(ISNUMBER(G63),G63&gt;0),('계산 과정'!$E$56+'계산 과정'!$E$57*D63+'계산 과정'!$E$58*E63)/F63,"")</x:f>
        <x:v>-40.36396587353883</x:v>
      </x:c>
      <x:c r="J63" s="4" t="n">
        <x:f>IF('계산 과정'!$L$5,'계산 과정'!$D$6+'계산 과정'!$C$35*D63+'계산 과정'!$D$35*E63,"")</x:f>
        <x:v>647.5442127009765</x:v>
      </x:c>
      <x:c r="K63" s="4" t="n">
        <x:f>IF(AND('계산 과정'!$L$6,J63&gt;0),'계산 과정'!$D$10*('계산 과정'!$C$38*(D63-'계산 과정'!$C$32)+'계산 과정'!$D$38*(E63-'계산 과정'!$D$32)-'계산 과정'!$E$38*'계산 과정'!$E$32)/J63,"")</x:f>
        <x:v>0.03033970191817715</x:v>
      </x:c>
      <x:c r="L63" s="4" t="n">
        <x:f>IF(AND('계산 과정'!$L$6,J63&gt;0),'계산 과정'!$D$10*('계산 과정'!$C$39*(D63-'계산 과정'!$C$32)+'계산 과정'!$D$39*(E63-'계산 과정'!$D$32)-'계산 과정'!$E$39*'계산 과정'!$E$32)/J63,"")</x:f>
        <x:v>-0.3075349780841054</x:v>
      </x:c>
      <x:c r="M63" s="17" t="n">
        <x:f>IF('계산 과정'!$L$6,IF(J63&lt;=0,0,IF(AND(ABS(K63)&lt;='계산 과정'!$D$11/2,ABS(L63)&lt;='계산 과정'!$D$12/2),1,0)),"")</x:f>
        <x:v>1</x:v>
      </x:c>
      <x:c r="N63" s="17" t="n">
        <x:f>IF('계산 과정'!$C$78,IF(AND(ISNUMBER(H63),ISNUMBER(I63),ABS(H63-'계산 과정'!$C$88)&lt;='계산 과정'!$D$23/2,ABS(I63-'계산 과정'!$C$89)&lt;='계산 과정'!$D$24/2),1,0),"")</x:f>
        <x:v>1</x:v>
      </x:c>
      <x:c r="O63" s="4" t="n">
        <x:f>IF('계산 과정'!$L$7,'계산 과정'!$C$49*('계산 과정'!$C$32-D63)+'계산 과정'!$D$49*('계산 과정'!$D$32-E63)+'계산 과정'!$E$49*'계산 과정'!$E$32,"")</x:f>
        <x:v>2.455787299023598</x:v>
      </x:c>
      <x:c r="P63" s="4" t="n">
        <x:f>IF(AND('계산 과정'!$L$7,O63&lt;&gt;0),('계산 과정'!$L$23-'계산 과정'!$C$49*D63-'계산 과정'!$D$49*E63)/O63,"")</x:f>
        <x:v>163.88055572200284</x:v>
      </x:c>
      <x:c r="Q63" s="4" t="str">
        <x:f>IF(AND(ISNUMBER(P63),P63&gt;1E-9,P63&lt;1-1E-9),'계산 과정'!$C$47*(D63-'계산 과정'!$C$50+P63*('계산 과정'!$C$32-D63))+'계산 과정'!$D$47*(E63-'계산 과정'!$D$50+P63*('계산 과정'!$D$32-E63))+'계산 과정'!$E$47*(0-'계산 과정'!$E$50+P63*('계산 과정'!$E$32-0)),"")</x:f>
      </x:c>
      <x:c r="R63" s="4" t="str">
        <x:f>IF(AND(ISNUMBER(P63),P63&gt;1E-9,P63&lt;1-1E-9),'계산 과정'!$C$48*(D63-'계산 과정'!$C$50+P63*('계산 과정'!$C$32-D63))+'계산 과정'!$D$48*(E63-'계산 과정'!$D$50+P63*('계산 과정'!$D$32-E63))+'계산 과정'!$E$48*(0-'계산 과정'!$E$50+P63*('계산 과정'!$E$32-0)),"")</x:f>
      </x:c>
      <x:c r="S63" s="17" t="n">
        <x:f>IF('계산 과정'!$C$78,IF(AND(ISNUMBER(Q63),ISNUMBER(R63),ABS(Q63-'계산 과정'!$C$88)&lt;='계산 과정'!$D$23/2,ABS(R63-'계산 과정'!$C$89)&lt;='계산 과정'!$D$24/2),1,0),"")</x:f>
        <x:v>0</x:v>
      </x:c>
      <x:c r="T63" s="4"/>
      <x:c r="U63" s="4"/>
      <x:c r="V63" s="4"/>
      <x:c r="W63" s="4" t="n">
        <x:f>IF('계산 과정'!$C$77,('계산 과정'!$D$56+'계산 과정'!$D$57*('계산 과정'!$L$11*COS(57*2*PI()/240))+'계산 과정'!$D$58*('계산 과정'!$L$11*SIN(57*2*PI()/240)))/('계산 과정'!$D$59+'계산 과정'!$D$60*('계산 과정'!$L$11*COS(57*2*PI()/240))+'계산 과정'!$D$61*('계산 과정'!$L$11*SIN(57*2*PI()/240))),"")</x:f>
        <x:v>13.617318745399377</x:v>
      </x:c>
      <x:c r="X63" s="4" t="n">
        <x:f>IF('계산 과정'!$C$77,('계산 과정'!$E$56+'계산 과정'!$E$57*('계산 과정'!$L$11*COS(57*2*PI()/240))+'계산 과정'!$E$58*('계산 과정'!$L$11*SIN(57*2*PI()/240)))/('계산 과정'!$E$59+'계산 과정'!$E$60*('계산 과정'!$L$11*COS(57*2*PI()/240))+'계산 과정'!$E$61*('계산 과정'!$L$11*SIN(57*2*PI()/240))),"")</x:f>
        <x:v>244.69350958062515</x:v>
      </x:c>
      <x:c r="Y63" s="4" t="str">
        <x:f>""</x:f>
      </x:c>
      <x:c r="Z63" s="4" t="str">
        <x:f>""</x:f>
      </x:c>
    </x:row>
    <x:row r="64" ht="23" customHeight="1">
      <x:c r="A64" s="17" t="n">
        <x:f>ROW()-6</x:f>
        <x:v>58</x:v>
      </x:c>
      <x:c r="B64" s="4" t="n">
        <x:f>IF('계산 과정'!$L$5,'계산 과정'!$L$11*SQRT((A64+0.5)/'계산 과정'!$L$30),"")</x:f>
        <x:v>25.351532405606175</x:v>
      </x:c>
      <x:c r="C64" s="4" t="n">
        <x:f>A64*PI()*(3-SQRT(5))</x:f>
        <x:v>139.19786732426186</x:v>
      </x:c>
      <x:c r="D64" s="4" t="n">
        <x:f>IF('계산 과정'!$L$5,B64*COS(C64),"")</x:f>
        <x:v>14.37737830148412</x:v>
      </x:c>
      <x:c r="E64" s="4" t="n">
        <x:f>IF('계산 과정'!$L$5,B64*SIN(C64),"")</x:f>
        <x:v>20.880402019322176</x:v>
      </x:c>
      <x:c r="F64" s="4" t="n">
        <x:f>IF('계산 과정'!$L$7,'계산 과정'!$L$22+'계산 과정'!$C$49*D64+'계산 과정'!$D$49*E64,"")</x:f>
        <x:v>639.8336583073362</x:v>
      </x:c>
      <x:c r="G64" s="4" t="n">
        <x:f>IF('계산 과정'!$L$7,IF(ABS(F64)&gt;=1E-12*MAX(1,SQRT((D64-'계산 과정'!$C$33)^2+(E64-'계산 과정'!$D$33)^2+'계산 과정'!$E$33^2)),('계산 과정'!$L$23-'계산 과정'!$C$49*D64-'계산 과정'!$D$49*E64)/F64,""),"")</x:f>
        <x:v>0.6410515238878625</x:v>
      </x:c>
      <x:c r="H64" s="4" t="n">
        <x:f>IF(AND(ISNUMBER(G64),G64&gt;0),('계산 과정'!$D$56+'계산 과정'!$D$57*D64+'계산 과정'!$D$58*E64)/F64,"")</x:f>
        <x:v>16.683490527110443</x:v>
      </x:c>
      <x:c r="I64" s="4" t="n">
        <x:f>IF(AND(ISNUMBER(G64),G64&gt;0),('계산 과정'!$E$56+'계산 과정'!$E$57*D64+'계산 과정'!$E$58*E64)/F64,"")</x:f>
        <x:v>34.26581555319986</x:v>
      </x:c>
      <x:c r="J64" s="4" t="n">
        <x:f>IF('계산 과정'!$L$5,'계산 과정'!$D$6+'계산 과정'!$C$35*D64+'계산 과정'!$D$35*E64,"")</x:f>
        <x:v>639.8336583073362</x:v>
      </x:c>
      <x:c r="K64" s="4" t="n">
        <x:f>IF(AND('계산 과정'!$L$6,J64&gt;0),'계산 과정'!$D$10*('계산 과정'!$C$38*(D64-'계산 과정'!$C$32)+'계산 과정'!$D$38*(E64-'계산 과정'!$D$32)-'계산 과정'!$E$38*'계산 과정'!$E$32)/J64,"")</x:f>
        <x:v>0.12711230877798538</x:v>
      </x:c>
      <x:c r="L64" s="4" t="n">
        <x:f>IF(AND('계산 과정'!$L$6,J64&gt;0),'계산 과정'!$D$10*('계산 과정'!$C$39*(D64-'계산 과정'!$C$32)+'계산 과정'!$D$39*(E64-'계산 과정'!$D$32)-'계산 과정'!$E$39*'계산 과정'!$E$32)/J64,"")</x:f>
        <x:v>0.2610728804053322</x:v>
      </x:c>
      <x:c r="M64" s="17" t="n">
        <x:f>IF('계산 과정'!$L$6,IF(J64&lt;=0,0,IF(AND(ABS(K64)&lt;='계산 과정'!$D$11/2,ABS(L64)&lt;='계산 과정'!$D$12/2),1,0)),"")</x:f>
        <x:v>1</x:v>
      </x:c>
      <x:c r="N64" s="17" t="n">
        <x:f>IF('계산 과정'!$C$78,IF(AND(ISNUMBER(H64),ISNUMBER(I64),ABS(H64-'계산 과정'!$C$88)&lt;='계산 과정'!$D$23/2,ABS(I64-'계산 과정'!$C$89)&lt;='계산 과정'!$D$24/2),1,0),"")</x:f>
        <x:v>1</x:v>
      </x:c>
      <x:c r="O64" s="4" t="n">
        <x:f>IF('계산 과정'!$L$7,'계산 과정'!$C$49*('계산 과정'!$C$32-D64)+'계산 과정'!$D$49*('계산 과정'!$D$32-E64)+'계산 과정'!$E$49*'계산 과정'!$E$32,"")</x:f>
        <x:v>10.16634169266382</x:v>
      </x:c>
      <x:c r="P64" s="4" t="n">
        <x:f>IF(AND('계산 과정'!$L$7,O64&lt;&gt;0),('계산 과정'!$L$23-'계산 과정'!$C$49*D64-'계산 과정'!$D$49*E64)/O64,"")</x:f>
        <x:v>40.34551996109335</x:v>
      </x:c>
      <x:c r="Q64" s="4" t="str">
        <x:f>IF(AND(ISNUMBER(P64),P64&gt;1E-9,P64&lt;1-1E-9),'계산 과정'!$C$47*(D64-'계산 과정'!$C$50+P64*('계산 과정'!$C$32-D64))+'계산 과정'!$D$47*(E64-'계산 과정'!$D$50+P64*('계산 과정'!$D$32-E64))+'계산 과정'!$E$47*(0-'계산 과정'!$E$50+P64*('계산 과정'!$E$32-0)),"")</x:f>
      </x:c>
      <x:c r="R64" s="4" t="str">
        <x:f>IF(AND(ISNUMBER(P64),P64&gt;1E-9,P64&lt;1-1E-9),'계산 과정'!$C$48*(D64-'계산 과정'!$C$50+P64*('계산 과정'!$C$32-D64))+'계산 과정'!$D$48*(E64-'계산 과정'!$D$50+P64*('계산 과정'!$D$32-E64))+'계산 과정'!$E$48*(0-'계산 과정'!$E$50+P64*('계산 과정'!$E$32-0)),"")</x:f>
      </x:c>
      <x:c r="S64" s="17" t="n">
        <x:f>IF('계산 과정'!$C$78,IF(AND(ISNUMBER(Q64),ISNUMBER(R64),ABS(Q64-'계산 과정'!$C$88)&lt;='계산 과정'!$D$23/2,ABS(R64-'계산 과정'!$C$89)&lt;='계산 과정'!$D$24/2),1,0),"")</x:f>
        <x:v>0</x:v>
      </x:c>
      <x:c r="T64" s="4"/>
      <x:c r="U64" s="4"/>
      <x:c r="V64" s="4"/>
      <x:c r="W64" s="4" t="n">
        <x:f>IF('계산 과정'!$C$77,('계산 과정'!$D$56+'계산 과정'!$D$57*('계산 과정'!$L$11*COS(58*2*PI()/240))+'계산 과정'!$D$58*('계산 과정'!$L$11*SIN(58*2*PI()/240)))/('계산 과정'!$D$59+'계산 과정'!$D$60*('계산 과정'!$L$11*COS(58*2*PI()/240))+'계산 과정'!$D$61*('계산 과정'!$L$11*SIN(58*2*PI()/240))),"")</x:f>
        <x:v>9.04434696374078</x:v>
      </x:c>
      <x:c r="X64" s="4" t="n">
        <x:f>IF('계산 과정'!$C$77,('계산 과정'!$E$56+'계산 과정'!$E$57*('계산 과정'!$L$11*COS(58*2*PI()/240))+'계산 과정'!$E$58*('계산 과정'!$L$11*SIN(58*2*PI()/240)))/('계산 과정'!$E$59+'계산 과정'!$E$60*('계산 과정'!$L$11*COS(58*2*PI()/240))+'계산 과정'!$E$61*('계산 과정'!$L$11*SIN(58*2*PI()/240))),"")</x:f>
        <x:v>244.05991465219893</x:v>
      </x:c>
      <x:c r="Y64" s="4" t="str">
        <x:f>""</x:f>
      </x:c>
      <x:c r="Z64" s="4" t="str">
        <x:f>""</x:f>
      </x:c>
    </x:row>
    <x:row r="65" ht="23" customHeight="1">
      <x:c r="A65" s="17" t="n">
        <x:f>ROW()-6</x:f>
        <x:v>59</x:v>
      </x:c>
      <x:c r="B65" s="4" t="n">
        <x:f>IF('계산 과정'!$L$5,'계산 과정'!$L$11*SQRT((A65+0.5)/'계산 과정'!$L$30),"")</x:f>
        <x:v>25.567294018677455</x:v>
      </x:c>
      <x:c r="C65" s="4" t="n">
        <x:f>A65*PI()*(3-SQRT(5))</x:f>
        <x:v>141.59783055399052</x:v>
      </x:c>
      <x:c r="D65" s="4" t="n">
        <x:f>IF('계산 과정'!$L$5,B65*COS(C65),"")</x:f>
        <x:v>-24.91620732455587</x:v>
      </x:c>
      <x:c r="E65" s="4" t="n">
        <x:f>IF('계산 과정'!$L$5,B65*SIN(C65),"")</x:f>
        <x:v>-5.733161082443812</x:v>
      </x:c>
      <x:c r="F65" s="4" t="n">
        <x:f>IF('계산 과정'!$L$7,'계산 과정'!$L$22+'계산 과정'!$C$49*D65+'계산 과정'!$D$49*E65,"")</x:f>
        <x:v>667.6184191606434</x:v>
      </x:c>
      <x:c r="G65" s="4" t="n">
        <x:f>IF('계산 과정'!$L$7,IF(ABS(F65)&gt;=1E-12*MAX(1,SQRT((D65-'계산 과정'!$C$33)^2+(E65-'계산 과정'!$D$33)^2+'계산 과정'!$E$33^2)),('계산 과정'!$L$23-'계산 과정'!$C$49*D65-'계산 과정'!$D$49*E65)/F65,""),"")</x:f>
        <x:v>0.5727546902017803</x:v>
      </x:c>
      <x:c r="H65" s="4" t="n">
        <x:f>IF(AND(ISNUMBER(G65),G65&gt;0),('계산 과정'!$D$56+'계산 과정'!$D$57*D65+'계산 과정'!$D$58*E65)/F65,"")</x:f>
        <x:v>-27.709451368842906</x:v>
      </x:c>
      <x:c r="I65" s="4" t="n">
        <x:f>IF(AND(ISNUMBER(G65),G65&gt;0),('계산 과정'!$E$56+'계산 과정'!$E$57*D65+'계산 과정'!$E$58*E65)/F65,"")</x:f>
        <x:v>-9.016855982095821</x:v>
      </x:c>
      <x:c r="J65" s="4" t="n">
        <x:f>IF('계산 과정'!$L$5,'계산 과정'!$D$6+'계산 과정'!$C$35*D65+'계산 과정'!$D$35*E65,"")</x:f>
        <x:v>667.6184191606434</x:v>
      </x:c>
      <x:c r="K65" s="4" t="n">
        <x:f>IF(AND('계산 과정'!$L$6,J65&gt;0),'계산 과정'!$D$10*('계산 과정'!$C$38*(D65-'계산 과정'!$C$32)+'계산 과정'!$D$38*(E65-'계산 과정'!$D$32)-'계산 과정'!$E$38*'계산 과정'!$E$32)/J65,"")</x:f>
        <x:v>-0.2111196294768975</x:v>
      </x:c>
      <x:c r="L65" s="4" t="n">
        <x:f>IF(AND('계산 과정'!$L$6,J65&gt;0),'계산 과정'!$D$10*('계산 과정'!$C$39*(D65-'계산 과정'!$C$32)+'계산 과정'!$D$39*(E65-'계산 과정'!$D$32)-'계산 과정'!$E$39*'계산 과정'!$E$32)/J65,"")</x:f>
        <x:v>-0.06869985510168244</x:v>
      </x:c>
      <x:c r="M65" s="17" t="n">
        <x:f>IF('계산 과정'!$L$6,IF(J65&lt;=0,0,IF(AND(ABS(K65)&lt;='계산 과정'!$D$11/2,ABS(L65)&lt;='계산 과정'!$D$12/2),1,0)),"")</x:f>
        <x:v>1</x:v>
      </x:c>
      <x:c r="N65" s="17" t="n">
        <x:f>IF('계산 과정'!$C$78,IF(AND(ISNUMBER(H65),ISNUMBER(I65),ABS(H65-'계산 과정'!$C$88)&lt;='계산 과정'!$D$23/2,ABS(I65-'계산 과정'!$C$89)&lt;='계산 과정'!$D$24/2),1,0),"")</x:f>
        <x:v>1</x:v>
      </x:c>
      <x:c r="O65" s="4" t="n">
        <x:f>IF('계산 과정'!$L$7,'계산 과정'!$C$49*('계산 과정'!$C$32-D65)+'계산 과정'!$D$49*('계산 과정'!$D$32-E65)+'계산 과정'!$E$49*'계산 과정'!$E$32,"")</x:f>
        <x:v>-17.61841916064327</x:v>
      </x:c>
      <x:c r="P65" s="4" t="n">
        <x:f>IF(AND('계산 과정'!$L$7,O65&lt;&gt;0),('계산 과정'!$L$23-'계산 과정'!$C$49*D65-'계산 과정'!$D$49*E65)/O65,"")</x:f>
        <x:v>-21.703512520211568</x:v>
      </x:c>
      <x:c r="Q65" s="4" t="str">
        <x:f>IF(AND(ISNUMBER(P65),P65&gt;1E-9,P65&lt;1-1E-9),'계산 과정'!$C$47*(D65-'계산 과정'!$C$50+P65*('계산 과정'!$C$32-D65))+'계산 과정'!$D$47*(E65-'계산 과정'!$D$50+P65*('계산 과정'!$D$32-E65))+'계산 과정'!$E$47*(0-'계산 과정'!$E$50+P65*('계산 과정'!$E$32-0)),"")</x:f>
      </x:c>
      <x:c r="R65" s="4" t="str">
        <x:f>IF(AND(ISNUMBER(P65),P65&gt;1E-9,P65&lt;1-1E-9),'계산 과정'!$C$48*(D65-'계산 과정'!$C$50+P65*('계산 과정'!$C$32-D65))+'계산 과정'!$D$48*(E65-'계산 과정'!$D$50+P65*('계산 과정'!$D$32-E65))+'계산 과정'!$E$48*(0-'계산 과정'!$E$50+P65*('계산 과정'!$E$32-0)),"")</x:f>
      </x:c>
      <x:c r="S65" s="17" t="n">
        <x:f>IF('계산 과정'!$C$78,IF(AND(ISNUMBER(Q65),ISNUMBER(R65),ABS(Q65-'계산 과정'!$C$88)&lt;='계산 과정'!$D$23/2,ABS(R65-'계산 과정'!$C$89)&lt;='계산 과정'!$D$24/2),1,0),"")</x:f>
        <x:v>0</x:v>
      </x:c>
      <x:c r="T65" s="4"/>
      <x:c r="U65" s="4"/>
      <x:c r="V65" s="4"/>
      <x:c r="W65" s="4" t="n">
        <x:f>IF('계산 과정'!$C$77,('계산 과정'!$D$56+'계산 과정'!$D$57*('계산 과정'!$L$11*COS(59*2*PI()/240))+'계산 과정'!$D$58*('계산 과정'!$L$11*SIN(59*2*PI()/240)))/('계산 과정'!$D$59+'계산 과정'!$D$60*('계산 과정'!$L$11*COS(59*2*PI()/240))+'계산 과정'!$D$61*('계산 과정'!$L$11*SIN(59*2*PI()/240))),"")</x:f>
        <x:v>4.5043309029847824</x:v>
      </x:c>
      <x:c r="X65" s="4" t="n">
        <x:f>IF('계산 과정'!$C$77,('계산 과정'!$E$56+'계산 과정'!$E$57*('계산 과정'!$L$11*COS(59*2*PI()/240))+'계산 과정'!$E$58*('계산 과정'!$L$11*SIN(59*2*PI()/240)))/('계산 과정'!$E$59+'계산 과정'!$E$60*('계산 과정'!$L$11*COS(59*2*PI()/240))+'계산 과정'!$E$61*('계산 과정'!$L$11*SIN(59*2*PI()/240))),"")</x:f>
        <x:v>243.2637642936041</x:v>
      </x:c>
      <x:c r="Y65" s="4" t="str">
        <x:f>""</x:f>
      </x:c>
      <x:c r="Z65" s="4" t="str">
        <x:f>""</x:f>
      </x:c>
    </x:row>
    <x:row r="66" ht="23" customHeight="1">
      <x:c r="A66" s="17" t="n">
        <x:f>ROW()-6</x:f>
        <x:v>60</x:v>
      </x:c>
      <x:c r="B66" s="4" t="n">
        <x:f>IF('계산 과정'!$L$5,'계산 과정'!$L$11*SQRT((A66+0.5)/'계산 과정'!$L$30),"")</x:f>
        <x:v>25.78125</x:v>
      </x:c>
      <x:c r="C66" s="4" t="n">
        <x:f>A66*PI()*(3-SQRT(5))</x:f>
        <x:v>143.99779378371917</x:v>
      </x:c>
      <x:c r="D66" s="4" t="n">
        <x:f>IF('계산 과정'!$L$5,B66*COS(C66),"")</x:f>
        <x:v>22.431285472667145</x:v>
      </x:c>
      <x:c r="E66" s="4" t="n">
        <x:f>IF('계산 과정'!$L$5,B66*SIN(C66),"")</x:f>
        <x:v>-12.708669623773051</x:v>
      </x:c>
      <x:c r="F66" s="4" t="n">
        <x:f>IF('계산 과정'!$L$7,'계산 과정'!$L$22+'계산 과정'!$C$49*D66+'계산 과정'!$D$49*E66,"")</x:f>
        <x:v>634.1386859315458</x:v>
      </x:c>
      <x:c r="G66" s="4" t="n">
        <x:f>IF('계산 과정'!$L$7,IF(ABS(F66)&gt;=1E-12*MAX(1,SQRT((D66-'계산 과정'!$C$33)^2+(E66-'계산 과정'!$D$33)^2+'계산 과정'!$E$33^2)),('계산 과정'!$L$23-'계산 과정'!$C$49*D66-'계산 과정'!$D$49*E66)/F66,""),"")</x:f>
        <x:v>0.6557892197627978</x:v>
      </x:c>
      <x:c r="H66" s="4" t="n">
        <x:f>IF(AND(ISNUMBER(G66),G66&gt;0),('계산 과정'!$D$56+'계산 과정'!$D$57*D66+'계산 과정'!$D$58*E66)/F66,"")</x:f>
        <x:v>26.26299284581841</x:v>
      </x:c>
      <x:c r="I66" s="4" t="n">
        <x:f>IF(AND(ISNUMBER(G66),G66&gt;0),('계산 과정'!$E$56+'계산 과정'!$E$57*D66+'계산 과정'!$E$58*E66)/F66,"")</x:f>
        <x:v>-21.042878160570346</x:v>
      </x:c>
      <x:c r="J66" s="4" t="n">
        <x:f>IF('계산 과정'!$L$5,'계산 과정'!$D$6+'계산 과정'!$C$35*D66+'계산 과정'!$D$35*E66,"")</x:f>
        <x:v>634.1386859315458</x:v>
      </x:c>
      <x:c r="K66" s="4" t="n">
        <x:f>IF(AND('계산 과정'!$L$6,J66&gt;0),'계산 과정'!$D$10*('계산 과정'!$C$38*(D66-'계산 과정'!$C$32)+'계산 과정'!$D$38*(E66-'계산 과정'!$D$32)-'계산 과정'!$E$38*'계산 과정'!$E$32)/J66,"")</x:f>
        <x:v>0.20009899311099846</x:v>
      </x:c>
      <x:c r="L66" s="4" t="n">
        <x:f>IF(AND('계산 과정'!$L$6,J66&gt;0),'계산 과정'!$D$10*('계산 과정'!$C$39*(D66-'계산 과정'!$C$32)+'계산 과정'!$D$39*(E66-'계산 과정'!$D$32)-'계산 과정'!$E$39*'계산 과정'!$E$32)/J66,"")</x:f>
        <x:v>-0.16032669074720265</x:v>
      </x:c>
      <x:c r="M66" s="17" t="n">
        <x:f>IF('계산 과정'!$L$6,IF(J66&lt;=0,0,IF(AND(ABS(K66)&lt;='계산 과정'!$D$11/2,ABS(L66)&lt;='계산 과정'!$D$12/2),1,0)),"")</x:f>
        <x:v>1</x:v>
      </x:c>
      <x:c r="N66" s="17" t="n">
        <x:f>IF('계산 과정'!$C$78,IF(AND(ISNUMBER(H66),ISNUMBER(I66),ABS(H66-'계산 과정'!$C$88)&lt;='계산 과정'!$D$23/2,ABS(I66-'계산 과정'!$C$89)&lt;='계산 과정'!$D$24/2),1,0),"")</x:f>
        <x:v>1</x:v>
      </x:c>
      <x:c r="O66" s="4" t="n">
        <x:f>IF('계산 과정'!$L$7,'계산 과정'!$C$49*('계산 과정'!$C$32-D66)+'계산 과정'!$D$49*('계산 과정'!$D$32-E66)+'계산 과정'!$E$49*'계산 과정'!$E$32,"")</x:f>
        <x:v>15.861314068454305</x:v>
      </x:c>
      <x:c r="P66" s="4" t="n">
        <x:f>IF(AND('계산 과정'!$L$7,O66&lt;&gt;0),('계산 과정'!$L$23-'계산 과정'!$C$49*D66-'계산 과정'!$D$49*E66)/O66,"")</x:f>
        <x:v>26.218591490823446</x:v>
      </x:c>
      <x:c r="Q66" s="4" t="str">
        <x:f>IF(AND(ISNUMBER(P66),P66&gt;1E-9,P66&lt;1-1E-9),'계산 과정'!$C$47*(D66-'계산 과정'!$C$50+P66*('계산 과정'!$C$32-D66))+'계산 과정'!$D$47*(E66-'계산 과정'!$D$50+P66*('계산 과정'!$D$32-E66))+'계산 과정'!$E$47*(0-'계산 과정'!$E$50+P66*('계산 과정'!$E$32-0)),"")</x:f>
      </x:c>
      <x:c r="R66" s="4" t="str">
        <x:f>IF(AND(ISNUMBER(P66),P66&gt;1E-9,P66&lt;1-1E-9),'계산 과정'!$C$48*(D66-'계산 과정'!$C$50+P66*('계산 과정'!$C$32-D66))+'계산 과정'!$D$48*(E66-'계산 과정'!$D$50+P66*('계산 과정'!$D$32-E66))+'계산 과정'!$E$48*(0-'계산 과정'!$E$50+P66*('계산 과정'!$E$32-0)),"")</x:f>
      </x:c>
      <x:c r="S66" s="17" t="n">
        <x:f>IF('계산 과정'!$C$78,IF(AND(ISNUMBER(Q66),ISNUMBER(R66),ABS(Q66-'계산 과정'!$C$88)&lt;='계산 과정'!$D$23/2,ABS(R66-'계산 과정'!$C$89)&lt;='계산 과정'!$D$24/2),1,0),"")</x:f>
        <x:v>0</x:v>
      </x:c>
      <x:c r="T66" s="4"/>
      <x:c r="U66" s="4"/>
      <x:c r="V66" s="4"/>
      <x:c r="W66" s="4" t="n">
        <x:f>IF('계산 과정'!$C$77,('계산 과정'!$D$56+'계산 과정'!$D$57*('계산 과정'!$L$11*COS(60*2*PI()/240))+'계산 과정'!$D$58*('계산 과정'!$L$11*SIN(60*2*PI()/240)))/('계산 과정'!$D$59+'계산 과정'!$D$60*('계산 과정'!$L$11*COS(60*2*PI()/240))+'계산 과정'!$D$61*('계산 과정'!$L$11*SIN(60*2*PI()/240))),"")</x:f>
        <x:v>-6.515089900296377e-14</x:v>
      </x:c>
      <x:c r="X66" s="4" t="n">
        <x:f>IF('계산 과정'!$C$77,('계산 과정'!$E$56+'계산 과정'!$E$57*('계산 과정'!$L$11*COS(60*2*PI()/240))+'계산 과정'!$E$58*('계산 과정'!$L$11*SIN(60*2*PI()/240)))/('계산 과정'!$E$59+'계산 과정'!$E$60*('계산 과정'!$L$11*COS(60*2*PI()/240))+'계산 과정'!$E$61*('계산 과정'!$L$11*SIN(60*2*PI()/240))),"")</x:f>
        <x:v>242.30769230769232</x:v>
      </x:c>
      <x:c r="Y66" s="4" t="str">
        <x:f>""</x:f>
      </x:c>
      <x:c r="Z66" s="4" t="str">
        <x:f>""</x:f>
      </x:c>
    </x:row>
    <x:row r="67" ht="23" customHeight="1">
      <x:c r="A67" s="17" t="n">
        <x:f>ROW()-6</x:f>
        <x:v>61</x:v>
      </x:c>
      <x:c r="B67" s="4" t="n">
        <x:f>IF('계산 과정'!$L$5,'계산 과정'!$L$11*SQRT((A67+0.5)/'계산 과정'!$L$30),"")</x:f>
        <x:v>25.993444936897074</x:v>
      </x:c>
      <x:c r="C67" s="4" t="n">
        <x:f>A67*PI()*(3-SQRT(5))</x:f>
        <x:v>146.39775701344783</x:v>
      </x:c>
      <x:c r="D67" s="4" t="n">
        <x:f>IF('계산 과정'!$L$5,B67*COS(C67),"")</x:f>
        <x:v>-8.021027691422178</x:v>
      </x:c>
      <x:c r="E67" s="4" t="n">
        <x:f>IF('계산 과정'!$L$5,B67*SIN(C67),"")</x:f>
        <x:v>24.7249326482589</x:v>
      </x:c>
      <x:c r="F67" s="4" t="n">
        <x:f>IF('계산 과정'!$L$7,'계산 과정'!$L$22+'계산 과정'!$C$49*D67+'계산 과정'!$D$49*E67,"")</x:f>
        <x:v>655.6717230726897</x:v>
      </x:c>
      <x:c r="G67" s="4" t="n">
        <x:f>IF('계산 과정'!$L$7,IF(ABS(F67)&gt;=1E-12*MAX(1,SQRT((D67-'계산 과정'!$C$33)^2+(E67-'계산 과정'!$D$33)^2+'계산 과정'!$E$33^2)),('계산 과정'!$L$23-'계산 과정'!$C$49*D67-'계산 과정'!$D$49*E67)/F67,""),"")</x:f>
        <x:v>0.6014111376945775</x:v>
      </x:c>
      <x:c r="H67" s="4" t="n">
        <x:f>IF(AND(ISNUMBER(G67),G67&gt;0),('계산 과정'!$D$56+'계산 과정'!$D$57*D67+'계산 과정'!$D$58*E67)/F67,"")</x:f>
        <x:v>-9.082760498524713</x:v>
      </x:c>
      <x:c r="I67" s="4" t="n">
        <x:f>IF(AND(ISNUMBER(G67),G67&gt;0),('계산 과정'!$E$56+'계산 과정'!$E$57*D67+'계산 과정'!$E$58*E67)/F67,"")</x:f>
        <x:v>39.59478252167009</x:v>
      </x:c>
      <x:c r="J67" s="4" t="n">
        <x:f>IF('계산 과정'!$L$5,'계산 과정'!$D$6+'계산 과정'!$C$35*D67+'계산 과정'!$D$35*E67,"")</x:f>
        <x:v>655.6717230726897</x:v>
      </x:c>
      <x:c r="K67" s="4" t="n">
        <x:f>IF(AND('계산 과정'!$L$6,J67&gt;0),'계산 과정'!$D$10*('계산 과정'!$C$38*(D67-'계산 과정'!$C$32)+'계산 과정'!$D$38*(E67-'계산 과정'!$D$32)-'계산 과정'!$E$38*'계산 과정'!$E$32)/J67,"")</x:f>
        <x:v>-0.06920198475066362</x:v>
      </x:c>
      <x:c r="L67" s="4" t="n">
        <x:f>IF(AND('계산 과정'!$L$6,J67&gt;0),'계산 과정'!$D$10*('계산 과정'!$C$39*(D67-'계산 과정'!$C$32)+'계산 과정'!$D$39*(E67-'계산 과정'!$D$32)-'계산 과정'!$E$39*'계산 과정'!$E$32)/J67,"")</x:f>
        <x:v>0.30167453349843876</x:v>
      </x:c>
      <x:c r="M67" s="17" t="n">
        <x:f>IF('계산 과정'!$L$6,IF(J67&lt;=0,0,IF(AND(ABS(K67)&lt;='계산 과정'!$D$11/2,ABS(L67)&lt;='계산 과정'!$D$12/2),1,0)),"")</x:f>
        <x:v>1</x:v>
      </x:c>
      <x:c r="N67" s="17" t="n">
        <x:f>IF('계산 과정'!$C$78,IF(AND(ISNUMBER(H67),ISNUMBER(I67),ABS(H67-'계산 과정'!$C$88)&lt;='계산 과정'!$D$23/2,ABS(I67-'계산 과정'!$C$89)&lt;='계산 과정'!$D$24/2),1,0),"")</x:f>
        <x:v>1</x:v>
      </x:c>
      <x:c r="O67" s="4" t="n">
        <x:f>IF('계산 과정'!$L$7,'계산 과정'!$C$49*('계산 과정'!$C$32-D67)+'계산 과정'!$D$49*('계산 과정'!$D$32-E67)+'계산 과정'!$E$49*'계산 과정'!$E$32,"")</x:f>
        <x:v>-5.671723072689588</x:v>
      </x:c>
      <x:c r="P67" s="4" t="n">
        <x:f>IF(AND('계산 과정'!$L$7,O67&lt;&gt;0),('계산 과정'!$L$23-'계산 과정'!$C$49*D67-'계산 과정'!$D$49*E67)/O67,"")</x:f>
        <x:v>-69.52530507458572</x:v>
      </x:c>
      <x:c r="Q67" s="4" t="str">
        <x:f>IF(AND(ISNUMBER(P67),P67&gt;1E-9,P67&lt;1-1E-9),'계산 과정'!$C$47*(D67-'계산 과정'!$C$50+P67*('계산 과정'!$C$32-D67))+'계산 과정'!$D$47*(E67-'계산 과정'!$D$50+P67*('계산 과정'!$D$32-E67))+'계산 과정'!$E$47*(0-'계산 과정'!$E$50+P67*('계산 과정'!$E$32-0)),"")</x:f>
      </x:c>
      <x:c r="R67" s="4" t="str">
        <x:f>IF(AND(ISNUMBER(P67),P67&gt;1E-9,P67&lt;1-1E-9),'계산 과정'!$C$48*(D67-'계산 과정'!$C$50+P67*('계산 과정'!$C$32-D67))+'계산 과정'!$D$48*(E67-'계산 과정'!$D$50+P67*('계산 과정'!$D$32-E67))+'계산 과정'!$E$48*(0-'계산 과정'!$E$50+P67*('계산 과정'!$E$32-0)),"")</x:f>
      </x:c>
      <x:c r="S67" s="17" t="n">
        <x:f>IF('계산 과정'!$C$78,IF(AND(ISNUMBER(Q67),ISNUMBER(R67),ABS(Q67-'계산 과정'!$C$88)&lt;='계산 과정'!$D$23/2,ABS(R67-'계산 과정'!$C$89)&lt;='계산 과정'!$D$24/2),1,0),"")</x:f>
        <x:v>0</x:v>
      </x:c>
      <x:c r="T67" s="4"/>
      <x:c r="U67" s="4"/>
      <x:c r="V67" s="4"/>
      <x:c r="W67" s="4" t="n">
        <x:f>IF('계산 과정'!$C$77,('계산 과정'!$D$56+'계산 과정'!$D$57*('계산 과정'!$L$11*COS(61*2*PI()/240))+'계산 과정'!$D$58*('계산 과정'!$L$11*SIN(61*2*PI()/240)))/('계산 과정'!$D$59+'계산 과정'!$D$60*('계산 과정'!$L$11*COS(61*2*PI()/240))+'계산 과정'!$D$61*('계산 과정'!$L$11*SIN(61*2*PI()/240))),"")</x:f>
        <x:v>-4.466013941820602</x:v>
      </x:c>
      <x:c r="X67" s="4" t="n">
        <x:f>IF('계산 과정'!$C$77,('계산 과정'!$E$56+'계산 과정'!$E$57*('계산 과정'!$L$11*COS(61*2*PI()/240))+'계산 과정'!$E$58*('계산 과정'!$L$11*SIN(61*2*PI()/240)))/('계산 과정'!$E$59+'계산 과정'!$E$60*('계산 과정'!$L$11*COS(61*2*PI()/240))+'계산 과정'!$E$61*('계산 과정'!$L$11*SIN(61*2*PI()/240))),"")</x:f>
        <x:v>241.19439407860418</x:v>
      </x:c>
      <x:c r="Y67" s="4" t="str">
        <x:f>""</x:f>
      </x:c>
      <x:c r="Z67" s="4" t="str">
        <x:f>""</x:f>
      </x:c>
    </x:row>
    <x:row r="68" ht="23" customHeight="1">
      <x:c r="A68" s="17" t="n">
        <x:f>ROW()-6</x:f>
        <x:v>62</x:v>
      </x:c>
      <x:c r="B68" s="4" t="n">
        <x:f>IF('계산 과정'!$L$5,'계산 과정'!$L$11*SQRT((A68+0.5)/'계산 과정'!$L$30),"")</x:f>
        <x:v>26.20392161132566</x:v>
      </x:c>
      <x:c r="C68" s="4" t="n">
        <x:f>A68*PI()*(3-SQRT(5))</x:f>
        <x:v>148.79772024317649</x:v>
      </x:c>
      <x:c r="D68" s="4" t="n">
        <x:f>IF('계산 과정'!$L$5,B68*COS(C68),"")</x:f>
        <x:v>-10.874341362115391</x:v>
      </x:c>
      <x:c r="E68" s="4" t="n">
        <x:f>IF('계산 과정'!$L$5,B68*SIN(C68),"")</x:f>
        <x:v>-23.841019436103952</x:v>
      </x:c>
      <x:c r="F68" s="4" t="n">
        <x:f>IF('계산 과정'!$L$7,'계산 과정'!$L$22+'계산 과정'!$C$49*D68+'계산 과정'!$D$49*E68,"")</x:f>
        <x:v>657.6893205180892</x:v>
      </x:c>
      <x:c r="G68" s="4" t="n">
        <x:f>IF('계산 과정'!$L$7,IF(ABS(F68)&gt;=1E-12*MAX(1,SQRT((D68-'계산 과정'!$C$33)^2+(E68-'계산 과정'!$D$33)^2+'계산 과정'!$E$33^2)),('계산 과정'!$L$23-'계산 과정'!$C$49*D68-'계산 과정'!$D$49*E68)/F68,""),"")</x:f>
        <x:v>0.596498479210323</x:v>
      </x:c>
      <x:c r="H68" s="4" t="n">
        <x:f>IF(AND(ISNUMBER(G68),G68&gt;0),('계산 과정'!$D$56+'계산 과정'!$D$57*D68+'계산 과정'!$D$58*E68)/F68,"")</x:f>
        <x:v>-12.275988513290176</x:v>
      </x:c>
      <x:c r="I68" s="4" t="n">
        <x:f>IF(AND(ISNUMBER(G68),G68&gt;0),('계산 과정'!$E$56+'계산 과정'!$E$57*D68+'계산 과정'!$E$58*E68)/F68,"")</x:f>
        <x:v>-38.06215127256371</x:v>
      </x:c>
      <x:c r="J68" s="4" t="n">
        <x:f>IF('계산 과정'!$L$5,'계산 과정'!$D$6+'계산 과정'!$C$35*D68+'계산 과정'!$D$35*E68,"")</x:f>
        <x:v>657.6893205180892</x:v>
      </x:c>
      <x:c r="K68" s="4" t="n">
        <x:f>IF(AND('계산 과정'!$L$6,J68&gt;0),'계산 과정'!$D$10*('계산 과정'!$C$38*(D68-'계산 과정'!$C$32)+'계산 과정'!$D$38*(E68-'계산 과정'!$D$32)-'계산 과정'!$E$38*'계산 과정'!$E$32)/J68,"")</x:f>
        <x:v>-0.09353134105363817</x:v>
      </x:c>
      <x:c r="L68" s="4" t="n">
        <x:f>IF(AND('계산 과정'!$L$6,J68&gt;0),'계산 과정'!$D$10*('계산 과정'!$C$39*(D68-'계산 과정'!$C$32)+'계산 과정'!$D$39*(E68-'계산 과정'!$D$32)-'계산 과정'!$E$39*'계산 과정'!$E$32)/J68,"")</x:f>
        <x:v>-0.28999734302905683</x:v>
      </x:c>
      <x:c r="M68" s="17" t="n">
        <x:f>IF('계산 과정'!$L$6,IF(J68&lt;=0,0,IF(AND(ABS(K68)&lt;='계산 과정'!$D$11/2,ABS(L68)&lt;='계산 과정'!$D$12/2),1,0)),"")</x:f>
        <x:v>1</x:v>
      </x:c>
      <x:c r="N68" s="17" t="n">
        <x:f>IF('계산 과정'!$C$78,IF(AND(ISNUMBER(H68),ISNUMBER(I68),ABS(H68-'계산 과정'!$C$88)&lt;='계산 과정'!$D$23/2,ABS(I68-'계산 과정'!$C$89)&lt;='계산 과정'!$D$24/2),1,0),"")</x:f>
        <x:v>1</x:v>
      </x:c>
      <x:c r="O68" s="4" t="n">
        <x:f>IF('계산 과정'!$L$7,'계산 과정'!$C$49*('계산 과정'!$C$32-D68)+'계산 과정'!$D$49*('계산 과정'!$D$32-E68)+'계산 과정'!$E$49*'계산 과정'!$E$32,"")</x:f>
        <x:v>-7.689320518089062</x:v>
      </x:c>
      <x:c r="P68" s="4" t="n">
        <x:f>IF(AND('계산 과정'!$L$7,O68&lt;&gt;0),('계산 과정'!$L$23-'계산 과정'!$C$49*D68-'계산 과정'!$D$49*E68)/O68,"")</x:f>
        <x:v>-51.020201142481085</x:v>
      </x:c>
      <x:c r="Q68" s="4" t="str">
        <x:f>IF(AND(ISNUMBER(P68),P68&gt;1E-9,P68&lt;1-1E-9),'계산 과정'!$C$47*(D68-'계산 과정'!$C$50+P68*('계산 과정'!$C$32-D68))+'계산 과정'!$D$47*(E68-'계산 과정'!$D$50+P68*('계산 과정'!$D$32-E68))+'계산 과정'!$E$47*(0-'계산 과정'!$E$50+P68*('계산 과정'!$E$32-0)),"")</x:f>
      </x:c>
      <x:c r="R68" s="4" t="str">
        <x:f>IF(AND(ISNUMBER(P68),P68&gt;1E-9,P68&lt;1-1E-9),'계산 과정'!$C$48*(D68-'계산 과정'!$C$50+P68*('계산 과정'!$C$32-D68))+'계산 과정'!$D$48*(E68-'계산 과정'!$D$50+P68*('계산 과정'!$D$32-E68))+'계산 과정'!$E$48*(0-'계산 과정'!$E$50+P68*('계산 과정'!$E$32-0)),"")</x:f>
      </x:c>
      <x:c r="S68" s="17" t="n">
        <x:f>IF('계산 과정'!$C$78,IF(AND(ISNUMBER(Q68),ISNUMBER(R68),ABS(Q68-'계산 과정'!$C$88)&lt;='계산 과정'!$D$23/2,ABS(R68-'계산 과정'!$C$89)&lt;='계산 과정'!$D$24/2),1,0),"")</x:f>
        <x:v>0</x:v>
      </x:c>
      <x:c r="T68" s="4"/>
      <x:c r="U68" s="4"/>
      <x:c r="V68" s="4"/>
      <x:c r="W68" s="4" t="n">
        <x:f>IF('계산 과정'!$C$77,('계산 과정'!$D$56+'계산 과정'!$D$57*('계산 과정'!$L$11*COS(62*2*PI()/240))+'계산 과정'!$D$58*('계산 과정'!$L$11*SIN(62*2*PI()/240)))/('계산 과정'!$D$59+'계산 과정'!$D$60*('계산 과정'!$L$11*COS(62*2*PI()/240))+'계산 과정'!$D$61*('계산 과정'!$L$11*SIN(62*2*PI()/240))),"")</x:f>
        <x:v>-8.891175766506906</x:v>
      </x:c>
      <x:c r="X68" s="4" t="n">
        <x:f>IF('계산 과정'!$C$77,('계산 과정'!$E$56+'계산 과정'!$E$57*('계산 과정'!$L$11*COS(62*2*PI()/240))+'계산 과정'!$E$58*('계산 과정'!$L$11*SIN(62*2*PI()/240)))/('계산 과정'!$E$59+'계산 과정'!$E$60*('계산 과정'!$L$11*COS(62*2*PI()/240))+'계산 과정'!$E$61*('계산 과정'!$L$11*SIN(62*2*PI()/240))),"")</x:f>
        <x:v>239.92662017842494</x:v>
      </x:c>
      <x:c r="Y68" s="4" t="str">
        <x:f>""</x:f>
      </x:c>
      <x:c r="Z68" s="4" t="str">
        <x:f>""</x:f>
      </x:c>
    </x:row>
    <x:row r="69" ht="23" customHeight="1">
      <x:c r="A69" s="17" t="n">
        <x:f>ROW()-6</x:f>
        <x:v>63</x:v>
      </x:c>
      <x:c r="B69" s="4" t="n">
        <x:f>IF('계산 과정'!$L$5,'계산 과정'!$L$11*SQRT((A69+0.5)/'계산 과정'!$L$30),"")</x:f>
        <x:v>26.41272110058901</x:v>
      </x:c>
      <x:c r="C69" s="4" t="n">
        <x:f>A69*PI()*(3-SQRT(5))</x:f>
        <x:v>151.19768347290514</x:v>
      </x:c>
      <x:c r="D69" s="4" t="n">
        <x:f>IF('계산 과정'!$L$5,B69*COS(C69),"")</x:f>
        <x:v>24.314994534867893</x:v>
      </x:c>
      <x:c r="E69" s="4" t="n">
        <x:f>IF('계산 과정'!$L$5,B69*SIN(C69),"")</x:f>
        <x:v>10.315661719290937</x:v>
      </x:c>
      <x:c r="F69" s="4" t="n">
        <x:f>IF('계산 과정'!$L$7,'계산 과정'!$L$22+'계산 과정'!$C$49*D69+'계산 과정'!$D$49*E69,"")</x:f>
        <x:v>632.8067024798811</x:v>
      </x:c>
      <x:c r="G69" s="4" t="n">
        <x:f>IF('계산 과정'!$L$7,IF(ABS(F69)&gt;=1E-12*MAX(1,SQRT((D69-'계산 과정'!$C$33)^2+(E69-'계산 과정'!$D$33)^2+'계산 과정'!$E$33^2)),('계산 과정'!$L$23-'계산 과정'!$C$49*D69-'계산 과정'!$D$49*E69)/F69,""),"")</x:f>
        <x:v>0.6592744607242569</x:v>
      </x:c>
      <x:c r="H69" s="4" t="n">
        <x:f>IF(AND(ISNUMBER(G69),G69&gt;0),('계산 과정'!$D$56+'계산 과정'!$D$57*D69+'계산 과정'!$D$58*E69)/F69,"")</x:f>
        <x:v>28.52839947076693</x:v>
      </x:c>
      <x:c r="I69" s="4" t="n">
        <x:f>IF(AND(ISNUMBER(G69),G69&gt;0),('계산 과정'!$E$56+'계산 과정'!$E$57*D69+'계산 과정'!$E$58*E69)/F69,"")</x:f>
        <x:v>17.11651403629033</x:v>
      </x:c>
      <x:c r="J69" s="4" t="n">
        <x:f>IF('계산 과정'!$L$5,'계산 과정'!$D$6+'계산 과정'!$C$35*D69+'계산 과정'!$D$35*E69,"")</x:f>
        <x:v>632.8067024798811</x:v>
      </x:c>
      <x:c r="K69" s="4" t="n">
        <x:f>IF(AND('계산 과정'!$L$6,J69&gt;0),'계산 과정'!$D$10*('계산 과정'!$C$38*(D69-'계산 과정'!$C$32)+'계산 과정'!$D$38*(E69-'계산 과정'!$D$32)-'계산 과정'!$E$38*'계산 과정'!$E$32)/J69,"")</x:f>
        <x:v>0.21735923406298666</x:v>
      </x:c>
      <x:c r="L69" s="4" t="n">
        <x:f>IF(AND('계산 과정'!$L$6,J69&gt;0),'계산 과정'!$D$10*('계산 과정'!$C$39*(D69-'계산 과정'!$C$32)+'계산 과정'!$D$39*(E69-'계산 과정'!$D$32)-'계산 과정'!$E$39*'계산 과정'!$E$32)/J69,"")</x:f>
        <x:v>0.130411535514593</x:v>
      </x:c>
      <x:c r="M69" s="17" t="n">
        <x:f>IF('계산 과정'!$L$6,IF(J69&lt;=0,0,IF(AND(ABS(K69)&lt;='계산 과정'!$D$11/2,ABS(L69)&lt;='계산 과정'!$D$12/2),1,0)),"")</x:f>
        <x:v>1</x:v>
      </x:c>
      <x:c r="N69" s="17" t="n">
        <x:f>IF('계산 과정'!$C$78,IF(AND(ISNUMBER(H69),ISNUMBER(I69),ABS(H69-'계산 과정'!$C$88)&lt;='계산 과정'!$D$23/2,ABS(I69-'계산 과정'!$C$89)&lt;='계산 과정'!$D$24/2),1,0),"")</x:f>
        <x:v>1</x:v>
      </x:c>
      <x:c r="O69" s="4" t="n">
        <x:f>IF('계산 과정'!$L$7,'계산 과정'!$C$49*('계산 과정'!$C$32-D69)+'계산 과정'!$D$49*('계산 과정'!$D$32-E69)+'계산 과정'!$E$49*'계산 과정'!$E$32,"")</x:f>
        <x:v>17.193297520119017</x:v>
      </x:c>
      <x:c r="P69" s="4" t="n">
        <x:f>IF(AND('계산 과정'!$L$7,O69&lt;&gt;0),('계산 과정'!$L$23-'계산 과정'!$C$49*D69-'계산 과정'!$D$49*E69)/O69,"")</x:f>
        <x:v>24.264879790042215</x:v>
      </x:c>
      <x:c r="Q69" s="4" t="str">
        <x:f>IF(AND(ISNUMBER(P69),P69&gt;1E-9,P69&lt;1-1E-9),'계산 과정'!$C$47*(D69-'계산 과정'!$C$50+P69*('계산 과정'!$C$32-D69))+'계산 과정'!$D$47*(E69-'계산 과정'!$D$50+P69*('계산 과정'!$D$32-E69))+'계산 과정'!$E$47*(0-'계산 과정'!$E$50+P69*('계산 과정'!$E$32-0)),"")</x:f>
      </x:c>
      <x:c r="R69" s="4" t="str">
        <x:f>IF(AND(ISNUMBER(P69),P69&gt;1E-9,P69&lt;1-1E-9),'계산 과정'!$C$48*(D69-'계산 과정'!$C$50+P69*('계산 과정'!$C$32-D69))+'계산 과정'!$D$48*(E69-'계산 과정'!$D$50+P69*('계산 과정'!$D$32-E69))+'계산 과정'!$E$48*(0-'계산 과정'!$E$50+P69*('계산 과정'!$E$32-0)),"")</x:f>
      </x:c>
      <x:c r="S69" s="17" t="n">
        <x:f>IF('계산 과정'!$C$78,IF(AND(ISNUMBER(Q69),ISNUMBER(R69),ABS(Q69-'계산 과정'!$C$88)&lt;='계산 과정'!$D$23/2,ABS(R69-'계산 과정'!$C$89)&lt;='계산 과정'!$D$24/2),1,0),"")</x:f>
        <x:v>0</x:v>
      </x:c>
      <x:c r="T69" s="4"/>
      <x:c r="U69" s="4"/>
      <x:c r="V69" s="4"/>
      <x:c r="W69" s="4" t="n">
        <x:f>IF('계산 과정'!$C$77,('계산 과정'!$D$56+'계산 과정'!$D$57*('계산 과정'!$L$11*COS(63*2*PI()/240))+'계산 과정'!$D$58*('계산 과정'!$L$11*SIN(63*2*PI()/240)))/('계산 과정'!$D$59+'계산 과정'!$D$60*('계산 과정'!$L$11*COS(63*2*PI()/240))+'계산 과정'!$D$61*('계산 과정'!$L$11*SIN(63*2*PI()/240))),"")</x:f>
        <x:v>-13.27304580177101</x:v>
      </x:c>
      <x:c r="X69" s="4" t="n">
        <x:f>IF('계산 과정'!$C$77,('계산 과정'!$E$56+'계산 과정'!$E$57*('계산 과정'!$L$11*COS(63*2*PI()/240))+'계산 과정'!$E$58*('계산 과정'!$L$11*SIN(63*2*PI()/240)))/('계산 과정'!$E$59+'계산 과정'!$E$60*('계산 과정'!$L$11*COS(63*2*PI()/240))+'계산 과정'!$E$61*('계산 과정'!$L$11*SIN(63*2*PI()/240))),"")</x:f>
        <x:v>238.50717022813043</x:v>
      </x:c>
      <x:c r="Y69" s="4" t="str">
        <x:f>""</x:f>
      </x:c>
      <x:c r="Z69" s="4" t="str">
        <x:f>""</x:f>
      </x:c>
    </x:row>
    <x:row r="70" ht="23" customHeight="1">
      <x:c r="A70" s="17" t="n">
        <x:f>ROW()-6</x:f>
        <x:v>64</x:v>
      </x:c>
      <x:c r="B70" s="4" t="n">
        <x:f>IF('계산 과정'!$L$5,'계산 과정'!$L$11*SQRT((A70+0.5)/'계산 과정'!$L$30),"")</x:f>
        <x:v>26.61988287093878</x:v>
      </x:c>
      <x:c r="C70" s="4" t="n">
        <x:f>A70*PI()*(3-SQRT(5))</x:f>
        <x:v>153.5976467026338</x:v>
      </x:c>
      <x:c r="D70" s="4" t="n">
        <x:f>IF('계산 과정'!$L$5,B70*COS(C70),"")</x:f>
        <x:v>-25.092525148289074</x:v>
      </x:c>
      <x:c r="E70" s="4" t="n">
        <x:f>IF('계산 과정'!$L$5,B70*SIN(C70),"")</x:f>
        <x:v>8.887257492892859</x:v>
      </x:c>
      <x:c r="F70" s="4" t="n">
        <x:f>IF('계산 과정'!$L$7,'계산 과정'!$L$22+'계산 과정'!$C$49*D70+'계산 과정'!$D$49*E70,"")</x:f>
        <x:v>667.7430946894492</x:v>
      </x:c>
      <x:c r="G70" s="4" t="n">
        <x:f>IF('계산 과정'!$L$7,IF(ABS(F70)&gt;=1E-12*MAX(1,SQRT((D70-'계산 과정'!$C$33)^2+(E70-'계산 과정'!$D$33)^2+'계산 과정'!$E$33^2)),('계산 과정'!$L$23-'계산 과정'!$C$49*D70-'계산 과정'!$D$49*E70)/F70,""),"")</x:f>
        <x:v>0.5724610383104434</x:v>
      </x:c>
      <x:c r="H70" s="4" t="n">
        <x:f>IF(AND(ISNUMBER(G70),G70&gt;0),('계산 과정'!$D$56+'계산 과정'!$D$57*D70+'계산 과정'!$D$58*E70)/F70,"")</x:f>
        <x:v>-27.90032509821189</x:v>
      </x:c>
      <x:c r="I70" s="4" t="n">
        <x:f>IF(AND(ISNUMBER(G70),G70&gt;0),('계산 과정'!$E$56+'계산 과정'!$E$57*D70+'계산 과정'!$E$58*E70)/F70,"")</x:f>
        <x:v>13.974866145006573</x:v>
      </x:c>
      <x:c r="J70" s="4" t="n">
        <x:f>IF('계산 과정'!$L$5,'계산 과정'!$D$6+'계산 과정'!$C$35*D70+'계산 과정'!$D$35*E70,"")</x:f>
        <x:v>667.7430946894492</x:v>
      </x:c>
      <x:c r="K70" s="4" t="n">
        <x:f>IF(AND('계산 과정'!$L$6,J70&gt;0),'계산 과정'!$D$10*('계산 과정'!$C$38*(D70-'계산 과정'!$C$32)+'계산 과정'!$D$38*(E70-'계산 과정'!$D$32)-'계산 과정'!$E$38*'계산 과정'!$E$32)/J70,"")</x:f>
        <x:v>-0.21257390551018526</x:v>
      </x:c>
      <x:c r="L70" s="4" t="n">
        <x:f>IF(AND('계산 과정'!$L$6,J70&gt;0),'계산 과정'!$D$10*('계산 과정'!$C$39*(D70-'계산 과정'!$C$32)+'계산 과정'!$D$39*(E70-'계산 과정'!$D$32)-'계산 과정'!$E$39*'계산 과정'!$E$32)/J70,"")</x:f>
        <x:v>0.10647517062862151</x:v>
      </x:c>
      <x:c r="M70" s="17" t="n">
        <x:f>IF('계산 과정'!$L$6,IF(J70&lt;=0,0,IF(AND(ABS(K70)&lt;='계산 과정'!$D$11/2,ABS(L70)&lt;='계산 과정'!$D$12/2),1,0)),"")</x:f>
        <x:v>1</x:v>
      </x:c>
      <x:c r="N70" s="17" t="n">
        <x:f>IF('계산 과정'!$C$78,IF(AND(ISNUMBER(H70),ISNUMBER(I70),ABS(H70-'계산 과정'!$C$88)&lt;='계산 과정'!$D$23/2,ABS(I70-'계산 과정'!$C$89)&lt;='계산 과정'!$D$24/2),1,0),"")</x:f>
        <x:v>1</x:v>
      </x:c>
      <x:c r="O70" s="4" t="n">
        <x:f>IF('계산 과정'!$L$7,'계산 과정'!$C$49*('계산 과정'!$C$32-D70)+'계산 과정'!$D$49*('계산 과정'!$D$32-E70)+'계산 과정'!$E$49*'계산 과정'!$E$32,"")</x:f>
        <x:v>-17.743094689449094</x:v>
      </x:c>
      <x:c r="P70" s="4" t="n">
        <x:f>IF(AND('계산 과정'!$L$7,O70&lt;&gt;0),('계산 과정'!$L$23-'계산 과정'!$C$49*D70-'계산 과정'!$D$49*E70)/O70,"")</x:f>
        <x:v>-21.54398158838995</x:v>
      </x:c>
      <x:c r="Q70" s="4" t="str">
        <x:f>IF(AND(ISNUMBER(P70),P70&gt;1E-9,P70&lt;1-1E-9),'계산 과정'!$C$47*(D70-'계산 과정'!$C$50+P70*('계산 과정'!$C$32-D70))+'계산 과정'!$D$47*(E70-'계산 과정'!$D$50+P70*('계산 과정'!$D$32-E70))+'계산 과정'!$E$47*(0-'계산 과정'!$E$50+P70*('계산 과정'!$E$32-0)),"")</x:f>
      </x:c>
      <x:c r="R70" s="4" t="str">
        <x:f>IF(AND(ISNUMBER(P70),P70&gt;1E-9,P70&lt;1-1E-9),'계산 과정'!$C$48*(D70-'계산 과정'!$C$50+P70*('계산 과정'!$C$32-D70))+'계산 과정'!$D$48*(E70-'계산 과정'!$D$50+P70*('계산 과정'!$D$32-E70))+'계산 과정'!$E$48*(0-'계산 과정'!$E$50+P70*('계산 과정'!$E$32-0)),"")</x:f>
      </x:c>
      <x:c r="S70" s="17" t="n">
        <x:f>IF('계산 과정'!$C$78,IF(AND(ISNUMBER(Q70),ISNUMBER(R70),ABS(Q70-'계산 과정'!$C$88)&lt;='계산 과정'!$D$23/2,ABS(R70-'계산 과정'!$C$89)&lt;='계산 과정'!$D$24/2),1,0),"")</x:f>
        <x:v>0</x:v>
      </x:c>
      <x:c r="T70" s="4"/>
      <x:c r="U70" s="4"/>
      <x:c r="V70" s="4"/>
      <x:c r="W70" s="4" t="n">
        <x:f>IF('계산 과정'!$C$77,('계산 과정'!$D$56+'계산 과정'!$D$57*('계산 과정'!$L$11*COS(64*2*PI()/240))+'계산 과정'!$D$58*('계산 과정'!$L$11*SIN(64*2*PI()/240)))/('계산 과정'!$D$59+'계산 과정'!$D$60*('계산 과정'!$L$11*COS(64*2*PI()/240))+'계산 과정'!$D$61*('계산 과정'!$L$11*SIN(64*2*PI()/240))),"")</x:f>
        <x:v>-17.60927853276086</x:v>
      </x:c>
      <x:c r="X70" s="4" t="n">
        <x:f>IF('계산 과정'!$C$77,('계산 과정'!$E$56+'계산 과정'!$E$57*('계산 과정'!$L$11*COS(64*2*PI()/240))+'계산 과정'!$E$58*('계산 과정'!$L$11*SIN(64*2*PI()/240)))/('계산 과정'!$E$59+'계산 과정'!$E$60*('계산 과정'!$L$11*COS(64*2*PI()/240))+'계산 과정'!$E$61*('계산 과정'!$L$11*SIN(64*2*PI()/240))),"")</x:f>
        <x:v>236.93888701712723</x:v>
      </x:c>
      <x:c r="Y70" s="4" t="str">
        <x:f>""</x:f>
      </x:c>
      <x:c r="Z70" s="4" t="str">
        <x:f>""</x:f>
      </x:c>
    </x:row>
    <x:row r="71" ht="23" customHeight="1">
      <x:c r="A71" s="17" t="n">
        <x:f>ROW()-6</x:f>
        <x:v>65</x:v>
      </x:c>
      <x:c r="B71" s="4" t="n">
        <x:f>IF('계산 과정'!$L$5,'계산 과정'!$L$11*SQRT((A71+0.5)/'계산 과정'!$L$30),"")</x:f>
        <x:v>26.82544486467093</x:v>
      </x:c>
      <x:c r="C71" s="4" t="n">
        <x:f>A71*PI()*(3-SQRT(5))</x:f>
        <x:v>155.99760993236242</x:v>
      </x:c>
      <x:c r="D71" s="4" t="n">
        <x:f>IF('계산 과정'!$L$5,B71*COS(C71),"")</x:f>
        <x:v>12.59571121998174</x:v>
      </x:c>
      <x:c r="E71" s="4" t="n">
        <x:f>IF('계산 과정'!$L$5,B71*SIN(C71),"")</x:f>
        <x:v>-23.684436895360765</x:v>
      </x:c>
      <x:c r="F71" s="4" t="n">
        <x:f>IF('계산 과정'!$L$7,'계산 과정'!$L$22+'계산 과정'!$C$49*D71+'계산 과정'!$D$49*E71,"")</x:f>
        <x:v>641.0934871824834</x:v>
      </x:c>
      <x:c r="G71" s="4" t="n">
        <x:f>IF('계산 과정'!$L$7,IF(ABS(F71)&gt;=1E-12*MAX(1,SQRT((D71-'계산 과정'!$C$33)^2+(E71-'계산 과정'!$D$33)^2+'계산 과정'!$E$33^2)),('계산 과정'!$L$23-'계산 과정'!$C$49*D71-'계산 과정'!$D$49*E71)/F71,""),"")</x:f>
        <x:v>0.6378266524194525</x:v>
      </x:c>
      <x:c r="H71" s="4" t="n">
        <x:f>IF(AND(ISNUMBER(G71),G71&gt;0),('계산 과정'!$D$56+'계산 과정'!$D$57*D71+'계산 과정'!$D$58*E71)/F71,"")</x:f>
        <x:v>14.587324072643996</x:v>
      </x:c>
      <x:c r="I71" s="4" t="n">
        <x:f>IF(AND(ISNUMBER(G71),G71&gt;0),('계산 과정'!$E$56+'계산 과정'!$E$57*D71+'계산 과정'!$E$58*E71)/F71,"")</x:f>
        <x:v>-38.79100199476849</x:v>
      </x:c>
      <x:c r="J71" s="4" t="n">
        <x:f>IF('계산 과정'!$L$5,'계산 과정'!$D$6+'계산 과정'!$C$35*D71+'계산 과정'!$D$35*E71,"")</x:f>
        <x:v>641.0934871824834</x:v>
      </x:c>
      <x:c r="K71" s="4" t="n">
        <x:f>IF(AND('계산 과정'!$L$6,J71&gt;0),'계산 과정'!$D$10*('계산 과정'!$C$38*(D71-'계산 과정'!$C$32)+'계산 과정'!$D$38*(E71-'계산 과정'!$D$32)-'계산 과정'!$E$38*'계산 과정'!$E$32)/J71,"")</x:f>
        <x:v>0.11114151674395496</x:v>
      </x:c>
      <x:c r="L71" s="4" t="n">
        <x:f>IF(AND('계산 과정'!$L$6,J71&gt;0),'계산 과정'!$D$10*('계산 과정'!$C$39*(D71-'계산 과정'!$C$32)+'계산 과정'!$D$39*(E71-'계산 과정'!$D$32)-'계산 과정'!$E$39*'계산 과정'!$E$32)/J71,"")</x:f>
        <x:v>-0.2955504913887123</x:v>
      </x:c>
      <x:c r="M71" s="17" t="n">
        <x:f>IF('계산 과정'!$L$6,IF(J71&lt;=0,0,IF(AND(ABS(K71)&lt;='계산 과정'!$D$11/2,ABS(L71)&lt;='계산 과정'!$D$12/2),1,0)),"")</x:f>
        <x:v>1</x:v>
      </x:c>
      <x:c r="N71" s="17" t="n">
        <x:f>IF('계산 과정'!$C$78,IF(AND(ISNUMBER(H71),ISNUMBER(I71),ABS(H71-'계산 과정'!$C$88)&lt;='계산 과정'!$D$23/2,ABS(I71-'계산 과정'!$C$89)&lt;='계산 과정'!$D$24/2),1,0),"")</x:f>
        <x:v>1</x:v>
      </x:c>
      <x:c r="O71" s="4" t="n">
        <x:f>IF('계산 과정'!$L$7,'계산 과정'!$C$49*('계산 과정'!$C$32-D71)+'계산 과정'!$D$49*('계산 과정'!$D$32-E71)+'계산 과정'!$E$49*'계산 과정'!$E$32,"")</x:f>
        <x:v>8.90651281751667</x:v>
      </x:c>
      <x:c r="P71" s="4" t="n">
        <x:f>IF(AND('계산 과정'!$L$7,O71&lt;&gt;0),('계산 과정'!$L$23-'계산 과정'!$C$49*D71-'계산 과정'!$D$49*E71)/O71,"")</x:f>
        <x:v>45.91095540931682</x:v>
      </x:c>
      <x:c r="Q71" s="4" t="str">
        <x:f>IF(AND(ISNUMBER(P71),P71&gt;1E-9,P71&lt;1-1E-9),'계산 과정'!$C$47*(D71-'계산 과정'!$C$50+P71*('계산 과정'!$C$32-D71))+'계산 과정'!$D$47*(E71-'계산 과정'!$D$50+P71*('계산 과정'!$D$32-E71))+'계산 과정'!$E$47*(0-'계산 과정'!$E$50+P71*('계산 과정'!$E$32-0)),"")</x:f>
      </x:c>
      <x:c r="R71" s="4" t="str">
        <x:f>IF(AND(ISNUMBER(P71),P71&gt;1E-9,P71&lt;1-1E-9),'계산 과정'!$C$48*(D71-'계산 과정'!$C$50+P71*('계산 과정'!$C$32-D71))+'계산 과정'!$D$48*(E71-'계산 과정'!$D$50+P71*('계산 과정'!$D$32-E71))+'계산 과정'!$E$48*(0-'계산 과정'!$E$50+P71*('계산 과정'!$E$32-0)),"")</x:f>
      </x:c>
      <x:c r="S71" s="17" t="n">
        <x:f>IF('계산 과정'!$C$78,IF(AND(ISNUMBER(Q71),ISNUMBER(R71),ABS(Q71-'계산 과정'!$C$88)&lt;='계산 과정'!$D$23/2,ABS(R71-'계산 과정'!$C$89)&lt;='계산 과정'!$D$24/2),1,0),"")</x:f>
        <x:v>0</x:v>
      </x:c>
      <x:c r="T71" s="4"/>
      <x:c r="U71" s="4"/>
      <x:c r="V71" s="4"/>
      <x:c r="W71" s="4" t="n">
        <x:f>IF('계산 과정'!$C$77,('계산 과정'!$D$56+'계산 과정'!$D$57*('계산 과정'!$L$11*COS(65*2*PI()/240))+'계산 과정'!$D$58*('계산 과정'!$L$11*SIN(65*2*PI()/240)))/('계산 과정'!$D$59+'계산 과정'!$D$60*('계산 과정'!$L$11*COS(65*2*PI()/240))+'계산 과정'!$D$61*('계산 과정'!$L$11*SIN(65*2*PI()/240))),"")</x:f>
        <x:v>-21.897621128084708</x:v>
      </x:c>
      <x:c r="X71" s="4" t="n">
        <x:f>IF('계산 과정'!$C$77,('계산 과정'!$E$56+'계산 과정'!$E$57*('계산 과정'!$L$11*COS(65*2*PI()/240))+'계산 과정'!$E$58*('계산 과정'!$L$11*SIN(65*2*PI()/240)))/('계산 과정'!$E$59+'계산 과정'!$E$60*('계산 과정'!$L$11*COS(65*2*PI()/240))+'계산 과정'!$E$61*('계산 과정'!$L$11*SIN(65*2*PI()/240))),"")</x:f>
        <x:v>235.2246508843271</x:v>
      </x:c>
      <x:c r="Y71" s="4" t="str">
        <x:f>""</x:f>
      </x:c>
      <x:c r="Z71" s="4" t="str">
        <x:f>""</x:f>
      </x:c>
    </x:row>
    <x:row r="72" ht="23" customHeight="1">
      <x:c r="A72" s="17" t="n">
        <x:f>ROW()-6</x:f>
        <x:v>66</x:v>
      </x:c>
      <x:c r="B72" s="4" t="n">
        <x:f>IF('계산 과정'!$L$5,'계산 과정'!$L$11*SQRT((A72+0.5)/'계산 과정'!$L$30),"")</x:f>
        <x:v>27.02944358125968</x:v>
      </x:c>
      <x:c r="C72" s="4" t="n">
        <x:f>A72*PI()*(3-SQRT(5))</x:f>
        <x:v>158.3975731620911</x:v>
      </x:c>
      <x:c r="D72" s="4" t="n">
        <x:f>IF('계산 과정'!$L$5,B72*COS(C72),"")</x:f>
        <x:v>6.761956157858172</x:v>
      </x:c>
      <x:c r="E72" s="4" t="n">
        <x:f>IF('계산 과정'!$L$5,B72*SIN(C72),"")</x:f>
        <x:v>26.169959289836584</x:v>
      </x:c>
      <x:c r="F72" s="4" t="n">
        <x:f>IF('계산 과정'!$L$7,'계산 과정'!$L$22+'계산 과정'!$C$49*D72+'계산 과정'!$D$49*E72,"")</x:f>
        <x:v>645.2185749466923</x:v>
      </x:c>
      <x:c r="G72" s="4" t="n">
        <x:f>IF('계산 과정'!$L$7,IF(ABS(F72)&gt;=1E-12*MAX(1,SQRT((D72-'계산 과정'!$C$33)^2+(E72-'계산 과정'!$D$33)^2+'계산 과정'!$E$33^2)),('계산 과정'!$L$23-'계산 과정'!$C$49*D72-'계산 과정'!$D$49*E72)/F72,""),"")</x:f>
        <x:v>0.6273555052049617</x:v>
      </x:c>
      <x:c r="H72" s="4" t="n">
        <x:f>IF(AND(ISNUMBER(G72),G72&gt;0),('계산 과정'!$D$56+'계산 과정'!$D$57*D72+'계산 과정'!$D$58*E72)/F72,"")</x:f>
        <x:v>7.781078383225013</x:v>
      </x:c>
      <x:c r="I72" s="4" t="n">
        <x:f>IF(AND(ISNUMBER(G72),G72&gt;0),('계산 과정'!$E$56+'계산 과정'!$E$57*D72+'계산 과정'!$E$58*E72)/F72,"")</x:f>
        <x:v>42.5878273213053</x:v>
      </x:c>
      <x:c r="J72" s="4" t="n">
        <x:f>IF('계산 과정'!$L$5,'계산 과정'!$D$6+'계산 과정'!$C$35*D72+'계산 과정'!$D$35*E72,"")</x:f>
        <x:v>645.2185749466923</x:v>
      </x:c>
      <x:c r="K72" s="4" t="n">
        <x:f>IF(AND('계산 과정'!$L$6,J72&gt;0),'계산 과정'!$D$10*('계산 과정'!$C$38*(D72-'계산 과정'!$C$32)+'계산 과정'!$D$38*(E72-'계산 과정'!$D$32)-'계산 과정'!$E$38*'계산 과정'!$E$32)/J72,"")</x:f>
        <x:v>0.05928440672933443</x:v>
      </x:c>
      <x:c r="L72" s="4" t="n">
        <x:f>IF(AND('계산 과정'!$L$6,J72&gt;0),'계산 과정'!$D$10*('계산 과정'!$C$39*(D72-'계산 과정'!$C$32)+'계산 과정'!$D$39*(E72-'계산 과정'!$D$32)-'계산 과정'!$E$39*'계산 과정'!$E$32)/J72,"")</x:f>
        <x:v>0.32447868435280225</x:v>
      </x:c>
      <x:c r="M72" s="17" t="n">
        <x:f>IF('계산 과정'!$L$6,IF(J72&lt;=0,0,IF(AND(ABS(K72)&lt;='계산 과정'!$D$11/2,ABS(L72)&lt;='계산 과정'!$D$12/2),1,0)),"")</x:f>
        <x:v>1</x:v>
      </x:c>
      <x:c r="N72" s="17" t="n">
        <x:f>IF('계산 과정'!$C$78,IF(AND(ISNUMBER(H72),ISNUMBER(I72),ABS(H72-'계산 과정'!$C$88)&lt;='계산 과정'!$D$23/2,ABS(I72-'계산 과정'!$C$89)&lt;='계산 과정'!$D$24/2),1,0),"")</x:f>
        <x:v>1</x:v>
      </x:c>
      <x:c r="O72" s="4" t="n">
        <x:f>IF('계산 과정'!$L$7,'계산 과정'!$C$49*('계산 과정'!$C$32-D72)+'계산 과정'!$D$49*('계산 과정'!$D$32-E72)+'계산 과정'!$E$49*'계산 과정'!$E$32,"")</x:f>
        <x:v>4.781425053307771</x:v>
      </x:c>
      <x:c r="P72" s="4" t="n">
        <x:f>IF(AND('계산 과정'!$L$7,O72&lt;&gt;0),('계산 과정'!$L$23-'계산 과정'!$C$49*D72-'계산 과정'!$D$49*E72)/O72,"")</x:f>
        <x:v>84.65706782819517</x:v>
      </x:c>
      <x:c r="Q72" s="4" t="str">
        <x:f>IF(AND(ISNUMBER(P72),P72&gt;1E-9,P72&lt;1-1E-9),'계산 과정'!$C$47*(D72-'계산 과정'!$C$50+P72*('계산 과정'!$C$32-D72))+'계산 과정'!$D$47*(E72-'계산 과정'!$D$50+P72*('계산 과정'!$D$32-E72))+'계산 과정'!$E$47*(0-'계산 과정'!$E$50+P72*('계산 과정'!$E$32-0)),"")</x:f>
      </x:c>
      <x:c r="R72" s="4" t="str">
        <x:f>IF(AND(ISNUMBER(P72),P72&gt;1E-9,P72&lt;1-1E-9),'계산 과정'!$C$48*(D72-'계산 과정'!$C$50+P72*('계산 과정'!$C$32-D72))+'계산 과정'!$D$48*(E72-'계산 과정'!$D$50+P72*('계산 과정'!$D$32-E72))+'계산 과정'!$E$48*(0-'계산 과정'!$E$50+P72*('계산 과정'!$E$32-0)),"")</x:f>
      </x:c>
      <x:c r="S72" s="17" t="n">
        <x:f>IF('계산 과정'!$C$78,IF(AND(ISNUMBER(Q72),ISNUMBER(R72),ABS(Q72-'계산 과정'!$C$88)&lt;='계산 과정'!$D$23/2,ABS(R72-'계산 과정'!$C$89)&lt;='계산 과정'!$D$24/2),1,0),"")</x:f>
        <x:v>0</x:v>
      </x:c>
      <x:c r="T72" s="4"/>
      <x:c r="U72" s="4"/>
      <x:c r="V72" s="4"/>
      <x:c r="W72" s="4" t="n">
        <x:f>IF('계산 과정'!$C$77,('계산 과정'!$D$56+'계산 과정'!$D$57*('계산 과정'!$L$11*COS(66*2*PI()/240))+'계산 과정'!$D$58*('계산 과정'!$L$11*SIN(66*2*PI()/240)))/('계산 과정'!$D$59+'계산 과정'!$D$60*('계산 과정'!$L$11*COS(66*2*PI()/240))+'계산 과정'!$D$61*('계산 과정'!$L$11*SIN(66*2*PI()/240))),"")</x:f>
        <x:v>-26.135911832422856</x:v>
      </x:c>
      <x:c r="X72" s="4" t="n">
        <x:f>IF('계산 과정'!$C$77,('계산 과정'!$E$56+'계산 과정'!$E$57*('계산 과정'!$L$11*COS(66*2*PI()/240))+'계산 과정'!$E$58*('계산 과정'!$L$11*SIN(66*2*PI()/240)))/('계산 과정'!$E$59+'계산 과정'!$E$60*('계산 과정'!$L$11*COS(66*2*PI()/240))+'계산 과정'!$E$61*('계산 과정'!$L$11*SIN(66*2*PI()/240))),"")</x:f>
        <x:v>233.36737436242805</x:v>
      </x:c>
      <x:c r="Y72" s="4" t="str">
        <x:f>""</x:f>
      </x:c>
      <x:c r="Z72" s="4" t="str">
        <x:f>""</x:f>
      </x:c>
    </x:row>
    <x:row r="73" ht="23" customHeight="1">
      <x:c r="A73" s="17" t="n">
        <x:f>ROW()-6</x:f>
        <x:v>67</x:v>
      </x:c>
      <x:c r="B73" s="4" t="n">
        <x:f>IF('계산 과정'!$L$5,'계산 과정'!$L$11*SQRT((A73+0.5)/'계산 과정'!$L$30),"")</x:f>
        <x:v>27.2319141530209</x:v>
      </x:c>
      <x:c r="C73" s="4" t="n">
        <x:f>A73*PI()*(3-SQRT(5))</x:f>
        <x:v>160.79753639181973</x:v>
      </x:c>
      <x:c r="D73" s="4" t="n">
        <x:f>IF('계산 과정'!$L$5,B73*COS(C73),"")</x:f>
        <x:v>-22.833376765153243</x:v>
      </x:c>
      <x:c r="E73" s="4" t="n">
        <x:f>IF('계산 과정'!$L$5,B73*SIN(C73),"")</x:f>
        <x:v>-14.839610976641533</x:v>
      </x:c>
      <x:c r="F73" s="4" t="n">
        <x:f>IF('계산 과정'!$L$7,'계산 과정'!$L$22+'계산 과정'!$C$49*D73+'계산 과정'!$D$49*E73,"")</x:f>
        <x:v>666.1456355480273</x:v>
      </x:c>
      <x:c r="G73" s="4" t="n">
        <x:f>IF('계산 과정'!$L$7,IF(ABS(F73)&gt;=1E-12*MAX(1,SQRT((D73-'계산 과정'!$C$33)^2+(E73-'계산 과정'!$D$33)^2+'계산 과정'!$E$33^2)),('계산 과정'!$L$23-'계산 과정'!$C$49*D73-'계산 과정'!$D$49*E73)/F73,""),"")</x:f>
        <x:v>0.5762318988042037</x:v>
      </x:c>
      <x:c r="H73" s="4" t="n">
        <x:f>IF(AND(ISNUMBER(G73),G73&gt;0),('계산 과정'!$D$56+'계산 과정'!$D$57*D73+'계산 과정'!$D$58*E73)/F73,"")</x:f>
        <x:v>-25.449265777267698</x:v>
      </x:c>
      <x:c r="I73" s="4" t="n">
        <x:f>IF(AND(ISNUMBER(G73),G73&gt;0),('계산 과정'!$E$56+'계산 과정'!$E$57*D73+'계산 과정'!$E$58*E73)/F73,"")</x:f>
        <x:v>-23.390668187227384</x:v>
      </x:c>
      <x:c r="J73" s="4" t="n">
        <x:f>IF('계산 과정'!$L$5,'계산 과정'!$D$6+'계산 과정'!$C$35*D73+'계산 과정'!$D$35*E73,"")</x:f>
        <x:v>666.1456355480273</x:v>
      </x:c>
      <x:c r="K73" s="4" t="n">
        <x:f>IF(AND('계산 과정'!$L$6,J73&gt;0),'계산 과정'!$D$10*('계산 과정'!$C$38*(D73-'계산 과정'!$C$32)+'계산 과정'!$D$38*(E73-'계산 과정'!$D$32)-'계산 과정'!$E$38*'계산 과정'!$E$32)/J73,"")</x:f>
        <x:v>-0.19389916782680047</x:v>
      </x:c>
      <x:c r="L73" s="4" t="n">
        <x:f>IF(AND('계산 과정'!$L$6,J73&gt;0),'계산 과정'!$D$10*('계산 과정'!$C$39*(D73-'계산 과정'!$C$32)+'계산 과정'!$D$39*(E73-'계산 과정'!$D$32)-'계산 과정'!$E$39*'계산 과정'!$E$32)/J73,"")</x:f>
        <x:v>-0.1782146147598277</x:v>
      </x:c>
      <x:c r="M73" s="17" t="n">
        <x:f>IF('계산 과정'!$L$6,IF(J73&lt;=0,0,IF(AND(ABS(K73)&lt;='계산 과정'!$D$11/2,ABS(L73)&lt;='계산 과정'!$D$12/2),1,0)),"")</x:f>
        <x:v>1</x:v>
      </x:c>
      <x:c r="N73" s="17" t="n">
        <x:f>IF('계산 과정'!$C$78,IF(AND(ISNUMBER(H73),ISNUMBER(I73),ABS(H73-'계산 과정'!$C$88)&lt;='계산 과정'!$D$23/2,ABS(I73-'계산 과정'!$C$89)&lt;='계산 과정'!$D$24/2),1,0),"")</x:f>
        <x:v>1</x:v>
      </x:c>
      <x:c r="O73" s="4" t="n">
        <x:f>IF('계산 과정'!$L$7,'계산 과정'!$C$49*('계산 과정'!$C$32-D73)+'계산 과정'!$D$49*('계산 과정'!$D$32-E73)+'계산 과정'!$E$49*'계산 과정'!$E$32,"")</x:f>
        <x:v>-16.145635548027087</x:v>
      </x:c>
      <x:c r="P73" s="4" t="n">
        <x:f>IF(AND('계산 과정'!$L$7,O73&lt;&gt;0),('계산 과정'!$L$23-'계산 과정'!$C$49*D73-'계산 과정'!$D$49*E73)/O73,"")</x:f>
        <x:v>-23.774497034207972</x:v>
      </x:c>
      <x:c r="Q73" s="4" t="str">
        <x:f>IF(AND(ISNUMBER(P73),P73&gt;1E-9,P73&lt;1-1E-9),'계산 과정'!$C$47*(D73-'계산 과정'!$C$50+P73*('계산 과정'!$C$32-D73))+'계산 과정'!$D$47*(E73-'계산 과정'!$D$50+P73*('계산 과정'!$D$32-E73))+'계산 과정'!$E$47*(0-'계산 과정'!$E$50+P73*('계산 과정'!$E$32-0)),"")</x:f>
      </x:c>
      <x:c r="R73" s="4" t="str">
        <x:f>IF(AND(ISNUMBER(P73),P73&gt;1E-9,P73&lt;1-1E-9),'계산 과정'!$C$48*(D73-'계산 과정'!$C$50+P73*('계산 과정'!$C$32-D73))+'계산 과정'!$D$48*(E73-'계산 과정'!$D$50+P73*('계산 과정'!$D$32-E73))+'계산 과정'!$E$48*(0-'계산 과정'!$E$50+P73*('계산 과정'!$E$32-0)),"")</x:f>
      </x:c>
      <x:c r="S73" s="17" t="n">
        <x:f>IF('계산 과정'!$C$78,IF(AND(ISNUMBER(Q73),ISNUMBER(R73),ABS(Q73-'계산 과정'!$C$88)&lt;='계산 과정'!$D$23/2,ABS(R73-'계산 과정'!$C$89)&lt;='계산 과정'!$D$24/2),1,0),"")</x:f>
        <x:v>0</x:v>
      </x:c>
      <x:c r="T73" s="4"/>
      <x:c r="U73" s="4"/>
      <x:c r="V73" s="4"/>
      <x:c r="W73" s="4" t="n">
        <x:f>IF('계산 과정'!$C$77,('계산 과정'!$D$56+'계산 과정'!$D$57*('계산 과정'!$L$11*COS(67*2*PI()/240))+'계산 과정'!$D$58*('계산 과정'!$L$11*SIN(67*2*PI()/240)))/('계산 과정'!$D$59+'계산 과정'!$D$60*('계산 과정'!$L$11*COS(67*2*PI()/240))+'계산 과정'!$D$61*('계산 과정'!$L$11*SIN(67*2*PI()/240))),"")</x:f>
        <x:v>-30.322078239552365</x:v>
      </x:c>
      <x:c r="X73" s="4" t="n">
        <x:f>IF('계산 과정'!$C$77,('계산 과정'!$E$56+'계산 과정'!$E$57*('계산 과정'!$L$11*COS(67*2*PI()/240))+'계산 과정'!$E$58*('계산 과정'!$L$11*SIN(67*2*PI()/240)))/('계산 과정'!$E$59+'계산 과정'!$E$60*('계산 과정'!$L$11*COS(67*2*PI()/240))+'계산 과정'!$E$61*('계산 과정'!$L$11*SIN(67*2*PI()/240))),"")</x:f>
        <x:v>231.3699970859018</x:v>
      </x:c>
      <x:c r="Y73" s="4" t="str">
        <x:f>""</x:f>
      </x:c>
      <x:c r="Z73" s="4" t="str">
        <x:f>""</x:f>
      </x:c>
    </x:row>
    <x:row r="74" ht="23" customHeight="1">
      <x:c r="A74" s="17" t="n">
        <x:f>ROW()-6</x:f>
        <x:v>68</x:v>
      </x:c>
      <x:c r="B74" s="4" t="n">
        <x:f>IF('계산 과정'!$L$5,'계산 과정'!$L$11*SQRT((A74+0.5)/'계산 과정'!$L$30),"")</x:f>
        <x:v>27.43289041574912</x:v>
      </x:c>
      <x:c r="C74" s="4" t="n">
        <x:f>A74*PI()*(3-SQRT(5))</x:f>
        <x:v>163.19749962154842</x:v>
      </x:c>
      <x:c r="D74" s="4" t="n">
        <x:f>IF('계산 과정'!$L$5,B74*COS(C74),"")</x:f>
        <x:v>27.058870748402736</x:v>
      </x:c>
      <x:c r="E74" s="4" t="n">
        <x:f>IF('계산 과정'!$L$5,B74*SIN(C74),"")</x:f>
        <x:v>-4.514531025891267</x:v>
      </x:c>
      <x:c r="F74" s="4" t="n">
        <x:f>IF('계산 과정'!$L$7,'계산 과정'!$L$22+'계산 과정'!$C$49*D74+'계산 과정'!$D$49*E74,"")</x:f>
        <x:v>630.8664890025541</x:v>
      </x:c>
      <x:c r="G74" s="4" t="n">
        <x:f>IF('계산 과정'!$L$7,IF(ABS(F74)&gt;=1E-12*MAX(1,SQRT((D74-'계산 과정'!$C$33)^2+(E74-'계산 과정'!$D$33)^2+'계산 과정'!$E$33^2)),('계산 과정'!$L$23-'계산 과정'!$C$49*D74-'계산 과정'!$D$49*E74)/F74,""),"")</x:f>
        <x:v>0.664377516168479</x:v>
      </x:c>
      <x:c r="H74" s="4" t="n">
        <x:f>IF(AND(ISNUMBER(G74),G74&gt;0),('계산 과정'!$D$56+'계산 과정'!$D$57*D74+'계산 과정'!$D$58*E74)/F74,"")</x:f>
        <x:v>31.845385509511154</x:v>
      </x:c>
      <x:c r="I74" s="4" t="n">
        <x:f>IF(AND(ISNUMBER(G74),G74&gt;0),('계산 과정'!$E$56+'계산 과정'!$E$57*D74+'계산 과정'!$E$58*E74)/F74,"")</x:f>
        <x:v>-7.513883935538441</x:v>
      </x:c>
      <x:c r="J74" s="4" t="n">
        <x:f>IF('계산 과정'!$L$5,'계산 과정'!$D$6+'계산 과정'!$C$35*D74+'계산 과정'!$D$35*E74,"")</x:f>
        <x:v>630.8664890025541</x:v>
      </x:c>
      <x:c r="K74" s="4" t="n">
        <x:f>IF(AND('계산 과정'!$L$6,J74&gt;0),'계산 과정'!$D$10*('계산 과정'!$C$38*(D74-'계산 과정'!$C$32)+'계산 과정'!$D$38*(E74-'계산 과정'!$D$32)-'계산 과정'!$E$38*'계산 과정'!$E$32)/J74,"")</x:f>
        <x:v>0.24263150864389563</x:v>
      </x:c>
      <x:c r="L74" s="4" t="n">
        <x:f>IF(AND('계산 과정'!$L$6,J74&gt;0),'계산 과정'!$D$10*('계산 과정'!$C$39*(D74-'계산 과정'!$C$32)+'계산 과정'!$D$39*(E74-'계산 과정'!$D$32)-'계산 과정'!$E$39*'계산 과정'!$E$32)/J74,"")</x:f>
        <x:v>-0.057248639508864316</x:v>
      </x:c>
      <x:c r="M74" s="17" t="n">
        <x:f>IF('계산 과정'!$L$6,IF(J74&lt;=0,0,IF(AND(ABS(K74)&lt;='계산 과정'!$D$11/2,ABS(L74)&lt;='계산 과정'!$D$12/2),1,0)),"")</x:f>
        <x:v>1</x:v>
      </x:c>
      <x:c r="N74" s="17" t="n">
        <x:f>IF('계산 과정'!$C$78,IF(AND(ISNUMBER(H74),ISNUMBER(I74),ABS(H74-'계산 과정'!$C$88)&lt;='계산 과정'!$D$23/2,ABS(I74-'계산 과정'!$C$89)&lt;='계산 과정'!$D$24/2),1,0),"")</x:f>
        <x:v>1</x:v>
      </x:c>
      <x:c r="O74" s="4" t="n">
        <x:f>IF('계산 과정'!$L$7,'계산 과정'!$C$49*('계산 과정'!$C$32-D74)+'계산 과정'!$D$49*('계산 과정'!$D$32-E74)+'계산 과정'!$E$49*'계산 과정'!$E$32,"")</x:f>
        <x:v>19.133510997446024</x:v>
      </x:c>
      <x:c r="P74" s="4" t="n">
        <x:f>IF(AND('계산 과정'!$L$7,O74&lt;&gt;0),('계산 과정'!$L$23-'계산 과정'!$C$49*D74-'계산 과정'!$D$49*E74)/O74,"")</x:f>
        <x:v>21.90572922310979</x:v>
      </x:c>
      <x:c r="Q74" s="4" t="str">
        <x:f>IF(AND(ISNUMBER(P74),P74&gt;1E-9,P74&lt;1-1E-9),'계산 과정'!$C$47*(D74-'계산 과정'!$C$50+P74*('계산 과정'!$C$32-D74))+'계산 과정'!$D$47*(E74-'계산 과정'!$D$50+P74*('계산 과정'!$D$32-E74))+'계산 과정'!$E$47*(0-'계산 과정'!$E$50+P74*('계산 과정'!$E$32-0)),"")</x:f>
      </x:c>
      <x:c r="R74" s="4" t="str">
        <x:f>IF(AND(ISNUMBER(P74),P74&gt;1E-9,P74&lt;1-1E-9),'계산 과정'!$C$48*(D74-'계산 과정'!$C$50+P74*('계산 과정'!$C$32-D74))+'계산 과정'!$D$48*(E74-'계산 과정'!$D$50+P74*('계산 과정'!$D$32-E74))+'계산 과정'!$E$48*(0-'계산 과정'!$E$50+P74*('계산 과정'!$E$32-0)),"")</x:f>
      </x:c>
      <x:c r="S74" s="17" t="n">
        <x:f>IF('계산 과정'!$C$78,IF(AND(ISNUMBER(Q74),ISNUMBER(R74),ABS(Q74-'계산 과정'!$C$88)&lt;='계산 과정'!$D$23/2,ABS(R74-'계산 과정'!$C$89)&lt;='계산 과정'!$D$24/2),1,0),"")</x:f>
        <x:v>0</x:v>
      </x:c>
      <x:c r="T74" s="4"/>
      <x:c r="U74" s="4"/>
      <x:c r="V74" s="4"/>
      <x:c r="W74" s="4" t="n">
        <x:f>IF('계산 과정'!$C$77,('계산 과정'!$D$56+'계산 과정'!$D$57*('계산 과정'!$L$11*COS(68*2*PI()/240))+'계산 과정'!$D$58*('계산 과정'!$L$11*SIN(68*2*PI()/240)))/('계산 과정'!$D$59+'계산 과정'!$D$60*('계산 과정'!$L$11*COS(68*2*PI()/240))+'계산 과정'!$D$61*('계산 과정'!$L$11*SIN(68*2*PI()/240))),"")</x:f>
        <x:v>-34.454135459087404</x:v>
      </x:c>
      <x:c r="X74" s="4" t="n">
        <x:f>IF('계산 과정'!$C$77,('계산 과정'!$E$56+'계산 과정'!$E$57*('계산 과정'!$L$11*COS(68*2*PI()/240))+'계산 과정'!$E$58*('계산 과정'!$L$11*SIN(68*2*PI()/240)))/('계산 과정'!$E$59+'계산 과정'!$E$60*('계산 과정'!$L$11*COS(68*2*PI()/240))+'계산 과정'!$E$61*('계산 과정'!$L$11*SIN(68*2*PI()/240))),"")</x:f>
        <x:v>229.23548096211513</x:v>
      </x:c>
      <x:c r="Y74" s="4" t="str">
        <x:f>""</x:f>
      </x:c>
      <x:c r="Z74" s="4" t="str">
        <x:f>""</x:f>
      </x:c>
    </x:row>
    <x:row r="75" ht="23" customHeight="1">
      <x:c r="A75" s="17" t="n">
        <x:f>ROW()-6</x:f>
        <x:v>69</x:v>
      </x:c>
      <x:c r="B75" s="4" t="n">
        <x:f>IF('계산 과정'!$L$5,'계산 과정'!$L$11*SQRT((A75+0.5)/'계산 과정'!$L$30),"")</x:f>
        <x:v>27.632404974730303</x:v>
      </x:c>
      <x:c r="C75" s="4" t="n">
        <x:f>A75*PI()*(3-SQRT(5))</x:f>
        <x:v>165.59746285127704</x:v>
      </x:c>
      <x:c r="D75" s="4" t="n">
        <x:f>IF('계산 과정'!$L$5,B75*COS(C75),"")</x:f>
        <x:v>-17.025778692715722</x:v>
      </x:c>
      <x:c r="E75" s="4" t="n">
        <x:f>IF('계산 과정'!$L$5,B75*SIN(C75),"")</x:f>
        <x:v>21.764022252197943</x:v>
      </x:c>
      <x:c r="F75" s="4" t="n">
        <x:f>IF('계산 과정'!$L$7,'계산 과정'!$L$22+'계산 과정'!$C$49*D75+'계산 과정'!$D$49*E75,"")</x:f>
        <x:v>662.0390435686007</x:v>
      </x:c>
      <x:c r="G75" s="4" t="n">
        <x:f>IF('계산 과정'!$L$7,IF(ABS(F75)&gt;=1E-12*MAX(1,SQRT((D75-'계산 과정'!$C$33)^2+(E75-'계산 과정'!$D$33)^2+'계산 과정'!$E$33^2)),('계산 과정'!$L$23-'계산 과정'!$C$49*D75-'계산 과정'!$D$49*E75)/F75,""),"")</x:f>
        <x:v>0.5860091790661869</x:v>
      </x:c>
      <x:c r="H75" s="4" t="n">
        <x:f>IF(AND(ISNUMBER(G75),G75&gt;0),('계산 과정'!$D$56+'계산 과정'!$D$57*D75+'계산 과정'!$D$58*E75)/F75,"")</x:f>
        <x:v>-19.094033606978602</x:v>
      </x:c>
      <x:c r="I75" s="4" t="n">
        <x:f>IF(AND(ISNUMBER(G75),G75&gt;0),('계산 과정'!$E$56+'계산 과정'!$E$57*D75+'계산 과정'!$E$58*E75)/F75,"")</x:f>
        <x:v>34.517939065386685</x:v>
      </x:c>
      <x:c r="J75" s="4" t="n">
        <x:f>IF('계산 과정'!$L$5,'계산 과정'!$D$6+'계산 과정'!$C$35*D75+'계산 과정'!$D$35*E75,"")</x:f>
        <x:v>662.0390435686007</x:v>
      </x:c>
      <x:c r="K75" s="4" t="n">
        <x:f>IF(AND('계산 과정'!$L$6,J75&gt;0),'계산 과정'!$D$10*('계산 과정'!$C$38*(D75-'계산 과정'!$C$32)+'계산 과정'!$D$38*(E75-'계산 과정'!$D$32)-'계산 과정'!$E$38*'계산 과정'!$E$32)/J75,"")</x:f>
        <x:v>-0.1454783512912648</x:v>
      </x:c>
      <x:c r="L75" s="4" t="n">
        <x:f>IF(AND('계산 과정'!$L$6,J75&gt;0),'계산 과정'!$D$10*('계산 과정'!$C$39*(D75-'계산 과정'!$C$32)+'계산 과정'!$D$39*(E75-'계산 과정'!$D$32)-'계산 과정'!$E$39*'계산 과정'!$E$32)/J75,"")</x:f>
        <x:v>0.2629938214505652</x:v>
      </x:c>
      <x:c r="M75" s="17" t="n">
        <x:f>IF('계산 과정'!$L$6,IF(J75&lt;=0,0,IF(AND(ABS(K75)&lt;='계산 과정'!$D$11/2,ABS(L75)&lt;='계산 과정'!$D$12/2),1,0)),"")</x:f>
        <x:v>1</x:v>
      </x:c>
      <x:c r="N75" s="17" t="n">
        <x:f>IF('계산 과정'!$C$78,IF(AND(ISNUMBER(H75),ISNUMBER(I75),ABS(H75-'계산 과정'!$C$88)&lt;='계산 과정'!$D$23/2,ABS(I75-'계산 과정'!$C$89)&lt;='계산 과정'!$D$24/2),1,0),"")</x:f>
        <x:v>1</x:v>
      </x:c>
      <x:c r="O75" s="4" t="n">
        <x:f>IF('계산 과정'!$L$7,'계산 과정'!$C$49*('계산 과정'!$C$32-D75)+'계산 과정'!$D$49*('계산 과정'!$D$32-E75)+'계산 과정'!$E$49*'계산 과정'!$E$32,"")</x:f>
        <x:v>-12.039043568600619</x:v>
      </x:c>
      <x:c r="P75" s="4" t="n">
        <x:f>IF(AND('계산 과정'!$L$7,O75&lt;&gt;0),('계산 과정'!$L$23-'계산 과정'!$C$49*D75-'계산 과정'!$D$49*E75)/O75,"")</x:f>
        <x:v>-32.22523070215076</x:v>
      </x:c>
      <x:c r="Q75" s="4" t="str">
        <x:f>IF(AND(ISNUMBER(P75),P75&gt;1E-9,P75&lt;1-1E-9),'계산 과정'!$C$47*(D75-'계산 과정'!$C$50+P75*('계산 과정'!$C$32-D75))+'계산 과정'!$D$47*(E75-'계산 과정'!$D$50+P75*('계산 과정'!$D$32-E75))+'계산 과정'!$E$47*(0-'계산 과정'!$E$50+P75*('계산 과정'!$E$32-0)),"")</x:f>
      </x:c>
      <x:c r="R75" s="4" t="str">
        <x:f>IF(AND(ISNUMBER(P75),P75&gt;1E-9,P75&lt;1-1E-9),'계산 과정'!$C$48*(D75-'계산 과정'!$C$50+P75*('계산 과정'!$C$32-D75))+'계산 과정'!$D$48*(E75-'계산 과정'!$D$50+P75*('계산 과정'!$D$32-E75))+'계산 과정'!$E$48*(0-'계산 과정'!$E$50+P75*('계산 과정'!$E$32-0)),"")</x:f>
      </x:c>
      <x:c r="S75" s="17" t="n">
        <x:f>IF('계산 과정'!$C$78,IF(AND(ISNUMBER(Q75),ISNUMBER(R75),ABS(Q75-'계산 과정'!$C$88)&lt;='계산 과정'!$D$23/2,ABS(R75-'계산 과정'!$C$89)&lt;='계산 과정'!$D$24/2),1,0),"")</x:f>
        <x:v>0</x:v>
      </x:c>
      <x:c r="T75" s="4"/>
      <x:c r="U75" s="4"/>
      <x:c r="V75" s="4"/>
      <x:c r="W75" s="4" t="n">
        <x:f>IF('계산 과정'!$C$77,('계산 과정'!$D$56+'계산 과정'!$D$57*('계산 과정'!$L$11*COS(69*2*PI()/240))+'계산 과정'!$D$58*('계산 과정'!$L$11*SIN(69*2*PI()/240)))/('계산 과정'!$D$59+'계산 과정'!$D$60*('계산 과정'!$L$11*COS(69*2*PI()/240))+'계산 과정'!$D$61*('계산 과정'!$L$11*SIN(69*2*PI()/240))),"")</x:f>
        <x:v>-38.53018418969018</x:v>
      </x:c>
      <x:c r="X75" s="4" t="n">
        <x:f>IF('계산 과정'!$C$77,('계산 과정'!$E$56+'계산 과정'!$E$57*('계산 과정'!$L$11*COS(69*2*PI()/240))+'계산 과정'!$E$58*('계산 과정'!$L$11*SIN(69*2*PI()/240)))/('계산 과정'!$E$59+'계산 과정'!$E$60*('계산 과정'!$L$11*COS(69*2*PI()/240))+'계산 과정'!$E$61*('계산 과정'!$L$11*SIN(69*2*PI()/240))),"")</x:f>
        <x:v>226.96680560402856</x:v>
      </x:c>
      <x:c r="Y75" s="4" t="str">
        <x:f>""</x:f>
      </x:c>
      <x:c r="Z75" s="4" t="str">
        <x:f>""</x:f>
      </x:c>
    </x:row>
    <x:row r="76" ht="23" customHeight="1">
      <x:c r="A76" s="17" t="n">
        <x:f>ROW()-6</x:f>
        <x:v>70</x:v>
      </x:c>
      <x:c r="B76" s="4" t="n">
        <x:f>IF('계산 과정'!$L$5,'계산 과정'!$L$11*SQRT((A76+0.5)/'계산 과정'!$L$30),"")</x:f>
        <x:v>27.830489266495118</x:v>
      </x:c>
      <x:c r="C76" s="4" t="n">
        <x:f>A76*PI()*(3-SQRT(5))</x:f>
        <x:v>167.9974260810057</x:v>
      </x:c>
      <x:c r="D76" s="4" t="n">
        <x:f>IF('계산 과정'!$L$5,B76*COS(C76),"")</x:f>
        <x:v>-2.162498103596924</x:v>
      </x:c>
      <x:c r="E76" s="4" t="n">
        <x:f>IF('계산 과정'!$L$5,B76*SIN(C76),"")</x:f>
        <x:v>-27.746346331804475</x:v>
      </x:c>
      <x:c r="F76" s="4" t="n">
        <x:f>IF('계산 과정'!$L$7,'계산 과정'!$L$22+'계산 과정'!$C$49*D76+'계산 과정'!$D$49*E76,"")</x:f>
        <x:v>651.5291170733565</x:v>
      </x:c>
      <x:c r="G76" s="4" t="n">
        <x:f>IF('계산 과정'!$L$7,IF(ABS(F76)&gt;=1E-12*MAX(1,SQRT((D76-'계산 과정'!$C$33)^2+(E76-'계산 과정'!$D$33)^2+'계산 과정'!$E$33^2)),('계산 과정'!$L$23-'계산 과정'!$C$49*D76-'계산 과정'!$D$49*E76)/F76,""),"")</x:f>
        <x:v>0.6115933616544404</x:v>
      </x:c>
      <x:c r="H76" s="4" t="n">
        <x:f>IF(AND(ISNUMBER(G76),G76&gt;0),('계산 과정'!$D$56+'계산 과정'!$D$57*D76+'계산 과정'!$D$58*E76)/F76,"")</x:f>
        <x:v>-2.4643149246138094</x:v>
      </x:c>
      <x:c r="I76" s="4" t="n">
        <x:f>IF(AND(ISNUMBER(G76),G76&gt;0),('계산 과정'!$E$56+'계산 과정'!$E$57*D76+'계산 과정'!$E$58*E76)/F76,"")</x:f>
        <x:v>-44.71582755850112</x:v>
      </x:c>
      <x:c r="J76" s="4" t="n">
        <x:f>IF('계산 과정'!$L$5,'계산 과정'!$D$6+'계산 과정'!$C$35*D76+'계산 과정'!$D$35*E76,"")</x:f>
        <x:v>651.5291170733565</x:v>
      </x:c>
      <x:c r="K76" s="4" t="n">
        <x:f>IF(AND('계산 과정'!$L$6,J76&gt;0),'계산 과정'!$D$10*('계산 과정'!$C$38*(D76-'계산 과정'!$C$32)+'계산 과정'!$D$38*(E76-'계산 과정'!$D$32)-'계산 과정'!$E$38*'계산 과정'!$E$32)/J76,"")</x:f>
        <x:v>-0.01877573275896128</x:v>
      </x:c>
      <x:c r="L76" s="4" t="n">
        <x:f>IF(AND('계산 과정'!$L$6,J76&gt;0),'계산 과정'!$D$10*('계산 과정'!$C$39*(D76-'계산 과정'!$C$32)+'계산 과정'!$D$39*(E76-'계산 과정'!$D$32)-'계산 과정'!$E$39*'계산 과정'!$E$32)/J76,"")</x:f>
        <x:v>-0.3406920194933419</x:v>
      </x:c>
      <x:c r="M76" s="17" t="n">
        <x:f>IF('계산 과정'!$L$6,IF(J76&lt;=0,0,IF(AND(ABS(K76)&lt;='계산 과정'!$D$11/2,ABS(L76)&lt;='계산 과정'!$D$12/2),1,0)),"")</x:f>
        <x:v>1</x:v>
      </x:c>
      <x:c r="N76" s="17" t="n">
        <x:f>IF('계산 과정'!$C$78,IF(AND(ISNUMBER(H76),ISNUMBER(I76),ABS(H76-'계산 과정'!$C$88)&lt;='계산 과정'!$D$23/2,ABS(I76-'계산 과정'!$C$89)&lt;='계산 과정'!$D$24/2),1,0),"")</x:f>
        <x:v>1</x:v>
      </x:c>
      <x:c r="O76" s="4" t="n">
        <x:f>IF('계산 과정'!$L$7,'계산 과정'!$C$49*('계산 과정'!$C$32-D76)+'계산 과정'!$D$49*('계산 과정'!$D$32-E76)+'계산 과정'!$E$49*'계산 과정'!$E$32,"")</x:f>
        <x:v>-1.5291170733563035</x:v>
      </x:c>
      <x:c r="P76" s="4" t="n">
        <x:f>IF(AND('계산 과정'!$L$7,O76&lt;&gt;0),('계산 과정'!$L$23-'계산 과정'!$C$49*D76-'계산 과정'!$D$49*E76)/O76,"")</x:f>
        <x:v>-260.588865214897</x:v>
      </x:c>
      <x:c r="Q76" s="4" t="str">
        <x:f>IF(AND(ISNUMBER(P76),P76&gt;1E-9,P76&lt;1-1E-9),'계산 과정'!$C$47*(D76-'계산 과정'!$C$50+P76*('계산 과정'!$C$32-D76))+'계산 과정'!$D$47*(E76-'계산 과정'!$D$50+P76*('계산 과정'!$D$32-E76))+'계산 과정'!$E$47*(0-'계산 과정'!$E$50+P76*('계산 과정'!$E$32-0)),"")</x:f>
      </x:c>
      <x:c r="R76" s="4" t="str">
        <x:f>IF(AND(ISNUMBER(P76),P76&gt;1E-9,P76&lt;1-1E-9),'계산 과정'!$C$48*(D76-'계산 과정'!$C$50+P76*('계산 과정'!$C$32-D76))+'계산 과정'!$D$48*(E76-'계산 과정'!$D$50+P76*('계산 과정'!$D$32-E76))+'계산 과정'!$E$48*(0-'계산 과정'!$E$50+P76*('계산 과정'!$E$32-0)),"")</x:f>
      </x:c>
      <x:c r="S76" s="17" t="n">
        <x:f>IF('계산 과정'!$C$78,IF(AND(ISNUMBER(Q76),ISNUMBER(R76),ABS(Q76-'계산 과정'!$C$88)&lt;='계산 과정'!$D$23/2,ABS(R76-'계산 과정'!$C$89)&lt;='계산 과정'!$D$24/2),1,0),"")</x:f>
        <x:v>0</x:v>
      </x:c>
      <x:c r="T76" s="4"/>
      <x:c r="U76" s="4"/>
      <x:c r="V76" s="4"/>
      <x:c r="W76" s="4" t="n">
        <x:f>IF('계산 과정'!$C$77,('계산 과정'!$D$56+'계산 과정'!$D$57*('계산 과정'!$L$11*COS(70*2*PI()/240))+'계산 과정'!$D$58*('계산 과정'!$L$11*SIN(70*2*PI()/240)))/('계산 과정'!$D$59+'계산 과정'!$D$60*('계산 과정'!$L$11*COS(70*2*PI()/240))+'계산 과정'!$D$61*('계산 과정'!$L$11*SIN(70*2*PI()/240))),"")</x:f>
        <x:v>-42.548408710944535</x:v>
      </x:c>
      <x:c r="X76" s="4" t="n">
        <x:f>IF('계산 과정'!$C$77,('계산 과정'!$E$56+'계산 과정'!$E$57*('계산 과정'!$L$11*COS(70*2*PI()/240))+'계산 과정'!$E$58*('계산 과정'!$L$11*SIN(70*2*PI()/240)))/('계산 과정'!$E$59+'계산 과정'!$E$60*('계산 과정'!$L$11*COS(70*2*PI()/240))+'계산 과정'!$E$61*('계산 과정'!$L$11*SIN(70*2*PI()/240))),"")</x:f>
        <x:v>224.56696402202718</x:v>
      </x:c>
      <x:c r="Y76" s="4" t="str">
        <x:f>""</x:f>
      </x:c>
      <x:c r="Z76" s="4" t="str">
        <x:f>""</x:f>
      </x:c>
    </x:row>
    <x:row r="77" ht="23" customHeight="1">
      <x:c r="A77" s="17" t="n">
        <x:f>ROW()-6</x:f>
        <x:v>71</x:v>
      </x:c>
      <x:c r="B77" s="4" t="n">
        <x:f>IF('계산 과정'!$L$5,'계산 과정'!$L$11*SQRT((A77+0.5)/'계산 과정'!$L$30),"")</x:f>
        <x:v>28.027173616643903</x:v>
      </x:c>
      <x:c r="C77" s="4" t="n">
        <x:f>A77*PI()*(3-SQRT(5))</x:f>
        <x:v>170.39738931073435</x:v>
      </x:c>
      <x:c r="D77" s="4" t="n">
        <x:f>IF('계산 과정'!$L$5,B77*COS(C77),"")</x:f>
        <x:v>20.48067224029972</x:v>
      </x:c>
      <x:c r="E77" s="4" t="n">
        <x:f>IF('계산 과정'!$L$5,B77*SIN(C77),"")</x:f>
        <x:v>19.13281279694433</x:v>
      </x:c>
      <x:c r="F77" s="4" t="n">
        <x:f>IF('계산 과정'!$L$7,'계산 과정'!$L$22+'계산 과정'!$C$49*D77+'계산 과정'!$D$49*E77,"")</x:f>
        <x:v>635.517977775625</x:v>
      </x:c>
      <x:c r="G77" s="4" t="n">
        <x:f>IF('계산 과정'!$L$7,IF(ABS(F77)&gt;=1E-12*MAX(1,SQRT((D77-'계산 과정'!$C$33)^2+(E77-'계산 과정'!$D$33)^2+'계산 과정'!$E$33^2)),('계산 과정'!$L$23-'계산 과정'!$C$49*D77-'계산 과정'!$D$49*E77)/F77,""),"")</x:f>
        <x:v>0.6521955896119611</x:v>
      </x:c>
      <x:c r="H77" s="4" t="n">
        <x:f>IF(AND(ISNUMBER(G77),G77&gt;0),('계산 과정'!$D$56+'계산 과정'!$D$57*D77+'계산 과정'!$D$58*E77)/F77,"")</x:f>
        <x:v>23.927133247774687</x:v>
      </x:c>
      <x:c r="I77" s="4" t="n">
        <x:f>IF(AND(ISNUMBER(G77),G77&gt;0),('계산 과정'!$E$56+'계산 과정'!$E$57*D77+'계산 과정'!$E$58*E77)/F77,"")</x:f>
        <x:v>31.61114891998271</x:v>
      </x:c>
      <x:c r="J77" s="4" t="n">
        <x:f>IF('계산 과정'!$L$5,'계산 과정'!$D$6+'계산 과정'!$C$35*D77+'계산 과정'!$D$35*E77,"")</x:f>
        <x:v>635.517977775625</x:v>
      </x:c>
      <x:c r="K77" s="4" t="n">
        <x:f>IF(AND('계산 과정'!$L$6,J77&gt;0),'계산 과정'!$D$10*('계산 과정'!$C$38*(D77-'계산 과정'!$C$32)+'계산 과정'!$D$38*(E77-'계산 과정'!$D$32)-'계산 과정'!$E$38*'계산 과정'!$E$32)/J77,"")</x:f>
        <x:v>0.1823019676020941</x:v>
      </x:c>
      <x:c r="L77" s="4" t="n">
        <x:f>IF(AND('계산 과정'!$L$6,J77&gt;0),'계산 과정'!$D$10*('계산 과정'!$C$39*(D77-'계산 과정'!$C$32)+'계산 과정'!$D$39*(E77-'계산 과정'!$D$32)-'계산 과정'!$E$39*'계산 과정'!$E$32)/J77,"")</x:f>
        <x:v>0.24084684891415398</x:v>
      </x:c>
      <x:c r="M77" s="17" t="n">
        <x:f>IF('계산 과정'!$L$6,IF(J77&lt;=0,0,IF(AND(ABS(K77)&lt;='계산 과정'!$D$11/2,ABS(L77)&lt;='계산 과정'!$D$12/2),1,0)),"")</x:f>
        <x:v>1</x:v>
      </x:c>
      <x:c r="N77" s="17" t="n">
        <x:f>IF('계산 과정'!$C$78,IF(AND(ISNUMBER(H77),ISNUMBER(I77),ABS(H77-'계산 과정'!$C$88)&lt;='계산 과정'!$D$23/2,ABS(I77-'계산 과정'!$C$89)&lt;='계산 과정'!$D$24/2),1,0),"")</x:f>
        <x:v>1</x:v>
      </x:c>
      <x:c r="O77" s="4" t="n">
        <x:f>IF('계산 과정'!$L$7,'계산 과정'!$C$49*('계산 과정'!$C$32-D77)+'계산 과정'!$D$49*('계산 과정'!$D$32-E77)+'계산 과정'!$E$49*'계산 과정'!$E$32,"")</x:f>
        <x:v>14.4820222243751</x:v>
      </x:c>
      <x:c r="P77" s="4" t="n">
        <x:f>IF(AND('계산 과정'!$L$7,O77&lt;&gt;0),('계산 과정'!$L$23-'계산 과정'!$C$49*D77-'계산 과정'!$D$49*E77)/O77,"")</x:f>
        <x:v>28.620452019936042</x:v>
      </x:c>
      <x:c r="Q77" s="4" t="str">
        <x:f>IF(AND(ISNUMBER(P77),P77&gt;1E-9,P77&lt;1-1E-9),'계산 과정'!$C$47*(D77-'계산 과정'!$C$50+P77*('계산 과정'!$C$32-D77))+'계산 과정'!$D$47*(E77-'계산 과정'!$D$50+P77*('계산 과정'!$D$32-E77))+'계산 과정'!$E$47*(0-'계산 과정'!$E$50+P77*('계산 과정'!$E$32-0)),"")</x:f>
      </x:c>
      <x:c r="R77" s="4" t="str">
        <x:f>IF(AND(ISNUMBER(P77),P77&gt;1E-9,P77&lt;1-1E-9),'계산 과정'!$C$48*(D77-'계산 과정'!$C$50+P77*('계산 과정'!$C$32-D77))+'계산 과정'!$D$48*(E77-'계산 과정'!$D$50+P77*('계산 과정'!$D$32-E77))+'계산 과정'!$E$48*(0-'계산 과정'!$E$50+P77*('계산 과정'!$E$32-0)),"")</x:f>
      </x:c>
      <x:c r="S77" s="17" t="n">
        <x:f>IF('계산 과정'!$C$78,IF(AND(ISNUMBER(Q77),ISNUMBER(R77),ABS(Q77-'계산 과정'!$C$88)&lt;='계산 과정'!$D$23/2,ABS(R77-'계산 과정'!$C$89)&lt;='계산 과정'!$D$24/2),1,0),"")</x:f>
        <x:v>0</x:v>
      </x:c>
      <x:c r="T77" s="4"/>
      <x:c r="U77" s="4"/>
      <x:c r="V77" s="4"/>
      <x:c r="W77" s="4" t="n">
        <x:f>IF('계산 과정'!$C$77,('계산 과정'!$D$56+'계산 과정'!$D$57*('계산 과정'!$L$11*COS(71*2*PI()/240))+'계산 과정'!$D$58*('계산 과정'!$L$11*SIN(71*2*PI()/240)))/('계산 과정'!$D$59+'계산 과정'!$D$60*('계산 과정'!$L$11*COS(71*2*PI()/240))+'계산 과정'!$D$61*('계산 과정'!$L$11*SIN(71*2*PI()/240))),"")</x:f>
        <x:v>-46.50707480550503</x:v>
      </x:c>
      <x:c r="X77" s="4" t="n">
        <x:f>IF('계산 과정'!$C$77,('계산 과정'!$E$56+'계산 과정'!$E$57*('계산 과정'!$L$11*COS(71*2*PI()/240))+'계산 과정'!$E$58*('계산 과정'!$L$11*SIN(71*2*PI()/240)))/('계산 과정'!$E$59+'계산 과정'!$E$60*('계산 과정'!$L$11*COS(71*2*PI()/240))+'계산 과정'!$E$61*('계산 과정'!$L$11*SIN(71*2*PI()/240))),"")</x:f>
        <x:v>222.03895857163687</x:v>
      </x:c>
      <x:c r="Y77" s="4" t="str">
        <x:f>""</x:f>
      </x:c>
      <x:c r="Z77" s="4" t="str">
        <x:f>""</x:f>
      </x:c>
    </x:row>
    <x:row r="78" ht="23" customHeight="1">
      <x:c r="A78" s="17" t="n">
        <x:f>ROW()-6</x:f>
        <x:v>72</x:v>
      </x:c>
      <x:c r="B78" s="4" t="n">
        <x:f>IF('계산 과정'!$L$5,'계산 과정'!$L$11*SQRT((A78+0.5)/'계산 과정'!$L$30),"")</x:f>
        <x:v>28.222487294044445</x:v>
      </x:c>
      <x:c r="C78" s="4" t="n">
        <x:f>A78*PI()*(3-SQRT(5))</x:f>
        <x:v>172.797352540463</x:v>
      </x:c>
      <x:c r="D78" s="4" t="n">
        <x:f>IF('계산 과정'!$L$5,B78*COS(C78),"")</x:f>
        <x:v>-28.22114403978982</x:v>
      </x:c>
      <x:c r="E78" s="4" t="n">
        <x:f>IF('계산 과정'!$L$5,B78*SIN(C78),"")</x:f>
        <x:v>-0.2753509541215417</x:v>
      </x:c>
      <x:c r="F78" s="4" t="n">
        <x:f>IF('계산 과정'!$L$7,'계산 과정'!$L$22+'계산 과정'!$C$49*D78+'계산 과정'!$D$49*E78,"")</x:f>
        <x:v>669.9553623233777</x:v>
      </x:c>
      <x:c r="G78" s="4" t="n">
        <x:f>IF('계산 과정'!$L$7,IF(ABS(F78)&gt;=1E-12*MAX(1,SQRT((D78-'계산 과정'!$C$33)^2+(E78-'계산 과정'!$D$33)^2+'계산 과정'!$E$33^2)),('계산 과정'!$L$23-'계산 과정'!$C$49*D78-'계산 과정'!$D$49*E78)/F78,""),"")</x:f>
        <x:v>0.5672685958638246</x:v>
      </x:c>
      <x:c r="H78" s="4" t="n">
        <x:f>IF(AND(ISNUMBER(G78),G78&gt;0),('계산 과정'!$D$56+'계산 과정'!$D$57*D78+'계산 과정'!$D$58*E78)/F78,"")</x:f>
        <x:v>-31.275412688514155</x:v>
      </x:c>
      <x:c r="I78" s="4" t="n">
        <x:f>IF(AND(ISNUMBER(G78),G78&gt;0),('계산 과정'!$E$56+'계산 과정'!$E$57*D78+'계산 과정'!$E$58*E78)/F78,"")</x:f>
        <x:v>-0.43154890323583306</x:v>
      </x:c>
      <x:c r="J78" s="4" t="n">
        <x:f>IF('계산 과정'!$L$5,'계산 과정'!$D$6+'계산 과정'!$C$35*D78+'계산 과정'!$D$35*E78,"")</x:f>
        <x:v>669.9553623233777</x:v>
      </x:c>
      <x:c r="K78" s="4" t="n">
        <x:f>IF(AND('계산 과정'!$L$6,J78&gt;0),'계산 과정'!$D$10*('계산 과정'!$C$38*(D78-'계산 과정'!$C$32)+'계산 과정'!$D$38*(E78-'계산 과정'!$D$32)-'계산 과정'!$E$38*'계산 과정'!$E$32)/J78,"")</x:f>
        <x:v>-0.23828885857915455</x:v>
      </x:c>
      <x:c r="L78" s="4" t="n">
        <x:f>IF(AND('계산 과정'!$L$6,J78&gt;0),'계산 과정'!$D$10*('계산 과정'!$C$39*(D78-'계산 과정'!$C$32)+'계산 과정'!$D$39*(E78-'계산 과정'!$D$32)-'계산 과정'!$E$39*'계산 과정'!$E$32)/J78,"")</x:f>
        <x:v>-0.003287991643701585</x:v>
      </x:c>
      <x:c r="M78" s="17" t="n">
        <x:f>IF('계산 과정'!$L$6,IF(J78&lt;=0,0,IF(AND(ABS(K78)&lt;='계산 과정'!$D$11/2,ABS(L78)&lt;='계산 과정'!$D$12/2),1,0)),"")</x:f>
        <x:v>1</x:v>
      </x:c>
      <x:c r="N78" s="17" t="n">
        <x:f>IF('계산 과정'!$C$78,IF(AND(ISNUMBER(H78),ISNUMBER(I78),ABS(H78-'계산 과정'!$C$88)&lt;='계산 과정'!$D$23/2,ABS(I78-'계산 과정'!$C$89)&lt;='계산 과정'!$D$24/2),1,0),"")</x:f>
        <x:v>1</x:v>
      </x:c>
      <x:c r="O78" s="4" t="n">
        <x:f>IF('계산 과정'!$L$7,'계산 과정'!$C$49*('계산 과정'!$C$32-D78)+'계산 과정'!$D$49*('계산 과정'!$D$32-E78)+'계산 과정'!$E$49*'계산 과정'!$E$32,"")</x:f>
        <x:v>-19.955362323377585</x:v>
      </x:c>
      <x:c r="P78" s="4" t="n">
        <x:f>IF(AND('계산 과정'!$L$7,O78&lt;&gt;0),('계산 과정'!$L$23-'계산 과정'!$C$49*D78-'계산 과정'!$D$49*E78)/O78,"")</x:f>
        <x:v>-19.044737525582402</x:v>
      </x:c>
      <x:c r="Q78" s="4" t="str">
        <x:f>IF(AND(ISNUMBER(P78),P78&gt;1E-9,P78&lt;1-1E-9),'계산 과정'!$C$47*(D78-'계산 과정'!$C$50+P78*('계산 과정'!$C$32-D78))+'계산 과정'!$D$47*(E78-'계산 과정'!$D$50+P78*('계산 과정'!$D$32-E78))+'계산 과정'!$E$47*(0-'계산 과정'!$E$50+P78*('계산 과정'!$E$32-0)),"")</x:f>
      </x:c>
      <x:c r="R78" s="4" t="str">
        <x:f>IF(AND(ISNUMBER(P78),P78&gt;1E-9,P78&lt;1-1E-9),'계산 과정'!$C$48*(D78-'계산 과정'!$C$50+P78*('계산 과정'!$C$32-D78))+'계산 과정'!$D$48*(E78-'계산 과정'!$D$50+P78*('계산 과정'!$D$32-E78))+'계산 과정'!$E$48*(0-'계산 과정'!$E$50+P78*('계산 과정'!$E$32-0)),"")</x:f>
      </x:c>
      <x:c r="S78" s="17" t="n">
        <x:f>IF('계산 과정'!$C$78,IF(AND(ISNUMBER(Q78),ISNUMBER(R78),ABS(Q78-'계산 과정'!$C$88)&lt;='계산 과정'!$D$23/2,ABS(R78-'계산 과정'!$C$89)&lt;='계산 과정'!$D$24/2),1,0),"")</x:f>
        <x:v>0</x:v>
      </x:c>
      <x:c r="T78" s="4"/>
      <x:c r="U78" s="4"/>
      <x:c r="V78" s="4"/>
      <x:c r="W78" s="4" t="n">
        <x:f>IF('계산 과정'!$C$77,('계산 과정'!$D$56+'계산 과정'!$D$57*('계산 과정'!$L$11*COS(72*2*PI()/240))+'계산 과정'!$D$58*('계산 과정'!$L$11*SIN(72*2*PI()/240)))/('계산 과정'!$D$59+'계산 과정'!$D$60*('계산 과정'!$L$11*COS(72*2*PI()/240))+'계산 과정'!$D$61*('계산 과정'!$L$11*SIN(72*2*PI()/240))),"")</x:f>
        <x:v>-50.404527622550226</x:v>
      </x:c>
      <x:c r="X78" s="4" t="n">
        <x:f>IF('계산 과정'!$C$77,('계산 과정'!$E$56+'계산 과정'!$E$57*('계산 과정'!$L$11*COS(72*2*PI()/240))+'계산 과정'!$E$58*('계산 과정'!$L$11*SIN(72*2*PI()/240)))/('계산 과정'!$E$59+'계산 과정'!$E$60*('계산 과정'!$L$11*COS(72*2*PI()/240))+'계산 과정'!$E$61*('계산 과정'!$L$11*SIN(72*2*PI()/240))),"")</x:f>
        <x:v>219.3857971531629</x:v>
      </x:c>
      <x:c r="Y78" s="4" t="str">
        <x:f>""</x:f>
      </x:c>
      <x:c r="Z78" s="4" t="str">
        <x:f>""</x:f>
      </x:c>
    </x:row>
    <x:row r="79" ht="23" customHeight="1">
      <x:c r="A79" s="17" t="n">
        <x:f>ROW()-6</x:f>
        <x:v>73</x:v>
      </x:c>
      <x:c r="B79" s="4" t="n">
        <x:f>IF('계산 과정'!$L$5,'계산 과정'!$L$11*SQRT((A79+0.5)/'계산 과정'!$L$30),"")</x:f>
        <x:v>28.416458561676894</x:v>
      </x:c>
      <x:c r="C79" s="4" t="n">
        <x:f>A79*PI()*(3-SQRT(5))</x:f>
        <x:v>175.19731577019166</x:v>
      </x:c>
      <x:c r="D79" s="4" t="n">
        <x:f>IF('계산 과정'!$L$5,B79*COS(C79),"")</x:f>
        <x:v>21.13969012849774</x:v>
      </x:c>
      <x:c r="E79" s="4" t="n">
        <x:f>IF('계산 과정'!$L$5,B79*SIN(C79),"")</x:f>
        <x:v>-18.989697692659444</x:v>
      </x:c>
      <x:c r="F79" s="4" t="n">
        <x:f>IF('계산 과정'!$L$7,'계산 과정'!$L$22+'계산 과정'!$C$49*D79+'계산 과정'!$D$49*E79,"")</x:f>
        <x:v>635.0519817579569</x:v>
      </x:c>
      <x:c r="G79" s="4" t="n">
        <x:f>IF('계산 과정'!$L$7,IF(ABS(F79)&gt;=1E-12*MAX(1,SQRT((D79-'계산 과정'!$C$33)^2+(E79-'계산 과정'!$D$33)^2+'계산 과정'!$E$33^2)),('계산 과정'!$L$23-'계산 과정'!$C$49*D79-'계산 과정'!$D$49*E79)/F79,""),"")</x:f>
        <x:v>0.6534079573980386</x:v>
      </x:c>
      <x:c r="H79" s="4" t="n">
        <x:f>IF(AND(ISNUMBER(G79),G79&gt;0),('계산 과정'!$D$56+'계산 과정'!$D$57*D79+'계산 과정'!$D$58*E79)/F79,"")</x:f>
        <x:v>24.71517230872494</x:v>
      </x:c>
      <x:c r="I79" s="4" t="n">
        <x:f>IF(AND(ISNUMBER(G79),G79&gt;0),('계산 과정'!$E$56+'계산 과정'!$E$57*D79+'계산 과정'!$E$58*E79)/F79,"")</x:f>
        <x:v>-31.3977172736263</x:v>
      </x:c>
      <x:c r="J79" s="4" t="n">
        <x:f>IF('계산 과정'!$L$5,'계산 과정'!$D$6+'계산 과정'!$C$35*D79+'계산 과정'!$D$35*E79,"")</x:f>
        <x:v>635.0519817579569</x:v>
      </x:c>
      <x:c r="K79" s="4" t="n">
        <x:f>IF(AND('계산 과정'!$L$6,J79&gt;0),'계산 과정'!$D$10*('계산 과정'!$C$38*(D79-'계산 과정'!$C$32)+'계산 과정'!$D$38*(E79-'계산 과정'!$D$32)-'계산 과정'!$E$38*'계산 과정'!$E$32)/J79,"")</x:f>
        <x:v>0.18830607473314334</x:v>
      </x:c>
      <x:c r="L79" s="4" t="n">
        <x:f>IF(AND('계산 과정'!$L$6,J79&gt;0),'계산 과정'!$D$10*('계산 과정'!$C$39*(D79-'계산 과정'!$C$32)+'계산 과정'!$D$39*(E79-'계산 과정'!$D$32)-'계산 과정'!$E$39*'계산 과정'!$E$32)/J79,"")</x:f>
        <x:v>-0.23922070303715273</x:v>
      </x:c>
      <x:c r="M79" s="17" t="n">
        <x:f>IF('계산 과정'!$L$6,IF(J79&lt;=0,0,IF(AND(ABS(K79)&lt;='계산 과정'!$D$11/2,ABS(L79)&lt;='계산 과정'!$D$12/2),1,0)),"")</x:f>
        <x:v>1</x:v>
      </x:c>
      <x:c r="N79" s="17" t="n">
        <x:f>IF('계산 과정'!$C$78,IF(AND(ISNUMBER(H79),ISNUMBER(I79),ABS(H79-'계산 과정'!$C$88)&lt;='계산 과정'!$D$23/2,ABS(I79-'계산 과정'!$C$89)&lt;='계산 과정'!$D$24/2),1,0),"")</x:f>
        <x:v>1</x:v>
      </x:c>
      <x:c r="O79" s="4" t="n">
        <x:f>IF('계산 과정'!$L$7,'계산 과정'!$C$49*('계산 과정'!$C$32-D79)+'계산 과정'!$D$49*('계산 과정'!$D$32-E79)+'계산 과정'!$E$49*'계산 과정'!$E$32,"")</x:f>
        <x:v>14.94801824204319</x:v>
      </x:c>
      <x:c r="P79" s="4" t="n">
        <x:f>IF(AND('계산 과정'!$L$7,O79&lt;&gt;0),('계산 과정'!$L$23-'계산 과정'!$C$49*D79-'계산 과정'!$D$49*E79)/O79,"")</x:f>
        <x:v>27.75940004374288</x:v>
      </x:c>
      <x:c r="Q79" s="4" t="str">
        <x:f>IF(AND(ISNUMBER(P79),P79&gt;1E-9,P79&lt;1-1E-9),'계산 과정'!$C$47*(D79-'계산 과정'!$C$50+P79*('계산 과정'!$C$32-D79))+'계산 과정'!$D$47*(E79-'계산 과정'!$D$50+P79*('계산 과정'!$D$32-E79))+'계산 과정'!$E$47*(0-'계산 과정'!$E$50+P79*('계산 과정'!$E$32-0)),"")</x:f>
      </x:c>
      <x:c r="R79" s="4" t="str">
        <x:f>IF(AND(ISNUMBER(P79),P79&gt;1E-9,P79&lt;1-1E-9),'계산 과정'!$C$48*(D79-'계산 과정'!$C$50+P79*('계산 과정'!$C$32-D79))+'계산 과정'!$D$48*(E79-'계산 과정'!$D$50+P79*('계산 과정'!$D$32-E79))+'계산 과정'!$E$48*(0-'계산 과정'!$E$50+P79*('계산 과정'!$E$32-0)),"")</x:f>
      </x:c>
      <x:c r="S79" s="17" t="n">
        <x:f>IF('계산 과정'!$C$78,IF(AND(ISNUMBER(Q79),ISNUMBER(R79),ABS(Q79-'계산 과정'!$C$88)&lt;='계산 과정'!$D$23/2,ABS(R79-'계산 과정'!$C$89)&lt;='계산 과정'!$D$24/2),1,0),"")</x:f>
        <x:v>0</x:v>
      </x:c>
      <x:c r="T79" s="4"/>
      <x:c r="U79" s="4"/>
      <x:c r="V79" s="4"/>
      <x:c r="W79" s="4" t="n">
        <x:f>IF('계산 과정'!$C$77,('계산 과정'!$D$56+'계산 과정'!$D$57*('계산 과정'!$L$11*COS(73*2*PI()/240))+'계산 과정'!$D$58*('계산 과정'!$L$11*SIN(73*2*PI()/240)))/('계산 과정'!$D$59+'계산 과정'!$D$60*('계산 과정'!$L$11*COS(73*2*PI()/240))+'계산 과정'!$D$61*('계산 과정'!$L$11*SIN(73*2*PI()/240))),"")</x:f>
        <x:v>-54.23918949298071</x:v>
      </x:c>
      <x:c r="X79" s="4" t="n">
        <x:f>IF('계산 과정'!$C$77,('계산 과정'!$E$56+'계산 과정'!$E$57*('계산 과정'!$L$11*COS(73*2*PI()/240))+'계산 과정'!$E$58*('계산 과정'!$L$11*SIN(73*2*PI()/240)))/('계산 과정'!$E$59+'계산 과정'!$E$60*('계산 과정'!$L$11*COS(73*2*PI()/240))+'계산 과정'!$E$61*('계산 과정'!$L$11*SIN(73*2*PI()/240))),"")</x:f>
        <x:v>216.61048965865223</x:v>
      </x:c>
      <x:c r="Y79" s="4" t="str">
        <x:f>""</x:f>
      </x:c>
      <x:c r="Z79" s="4" t="str">
        <x:f>""</x:f>
      </x:c>
    </x:row>
    <x:row r="80" ht="23" customHeight="1">
      <x:c r="A80" s="17" t="n">
        <x:f>ROW()-6</x:f>
        <x:v>74</x:v>
      </x:c>
      <x:c r="B80" s="4" t="n">
        <x:f>IF('계산 과정'!$L$5,'계산 과정'!$L$11*SQRT((A80+0.5)/'계산 과정'!$L$30),"")</x:f>
        <x:v>28.609114724375864</x:v>
      </x:c>
      <x:c r="C80" s="4" t="n">
        <x:f>A80*PI()*(3-SQRT(5))</x:f>
        <x:v>177.59727899992032</x:v>
      </x:c>
      <x:c r="D80" s="4" t="n">
        <x:f>IF('계산 과정'!$L$5,B80*COS(C80),"")</x:f>
        <x:v>-2.7791078545115306</x:v>
      </x:c>
      <x:c r="E80" s="4" t="n">
        <x:f>IF('계산 과정'!$L$5,B80*SIN(C80),"")</x:f>
        <x:v>28.473812615199467</x:v>
      </x:c>
      <x:c r="F80" s="4" t="n">
        <x:f>IF('계산 과정'!$L$7,'계산 과정'!$L$22+'계산 과정'!$C$49*D80+'계산 과정'!$D$49*E80,"")</x:f>
        <x:v>651.9651260095739</x:v>
      </x:c>
      <x:c r="G80" s="4" t="n">
        <x:f>IF('계산 과정'!$L$7,IF(ABS(F80)&gt;=1E-12*MAX(1,SQRT((D80-'계산 과정'!$C$33)^2+(E80-'계산 과정'!$D$33)^2+'계산 과정'!$E$33^2)),('계산 과정'!$L$23-'계산 과정'!$C$49*D80-'계산 과정'!$D$49*E80)/F80,""),"")</x:f>
        <x:v>0.6105155906522846</x:v>
      </x:c>
      <x:c r="H80" s="4" t="n">
        <x:f>IF(AND(ISNUMBER(G80),G80&gt;0),('계산 과정'!$D$56+'계산 과정'!$D$57*D80+'계산 과정'!$D$58*E80)/F80,"")</x:f>
        <x:v>-3.1648660760151914</x:v>
      </x:c>
      <x:c r="I80" s="4" t="n">
        <x:f>IF(AND(ISNUMBER(G80),G80&gt;0),('계산 과정'!$E$56+'계산 과정'!$E$57*D80+'계산 과정'!$E$58*E80)/F80,"")</x:f>
        <x:v>45.857519142090446</x:v>
      </x:c>
      <x:c r="J80" s="4" t="n">
        <x:f>IF('계산 과정'!$L$5,'계산 과정'!$D$6+'계산 과정'!$C$35*D80+'계산 과정'!$D$35*E80,"")</x:f>
        <x:v>651.9651260095739</x:v>
      </x:c>
      <x:c r="K80" s="4" t="n">
        <x:f>IF(AND('계산 과정'!$L$6,J80&gt;0),'계산 과정'!$D$10*('계산 과정'!$C$38*(D80-'계산 과정'!$C$32)+'계산 과정'!$D$38*(E80-'계산 과정'!$D$32)-'계산 과정'!$E$38*'계산 과정'!$E$32)/J80,"")</x:f>
        <x:v>-0.024113265341067343</x:v>
      </x:c>
      <x:c r="L80" s="4" t="n">
        <x:f>IF(AND('계산 과정'!$L$6,J80&gt;0),'계산 과정'!$D$10*('계산 과정'!$C$39*(D80-'계산 과정'!$C$32)+'계산 과정'!$D$39*(E80-'계산 과정'!$D$32)-'계산 과정'!$E$39*'계산 과정'!$E$32)/J80,"")</x:f>
        <x:v>0.3493906220349748</x:v>
      </x:c>
      <x:c r="M80" s="17" t="n">
        <x:f>IF('계산 과정'!$L$6,IF(J80&lt;=0,0,IF(AND(ABS(K80)&lt;='계산 과정'!$D$11/2,ABS(L80)&lt;='계산 과정'!$D$12/2),1,0)),"")</x:f>
        <x:v>1</x:v>
      </x:c>
      <x:c r="N80" s="17" t="n">
        <x:f>IF('계산 과정'!$C$78,IF(AND(ISNUMBER(H80),ISNUMBER(I80),ABS(H80-'계산 과정'!$C$88)&lt;='계산 과정'!$D$23/2,ABS(I80-'계산 과정'!$C$89)&lt;='계산 과정'!$D$24/2),1,0),"")</x:f>
        <x:v>1</x:v>
      </x:c>
      <x:c r="O80" s="4" t="n">
        <x:f>IF('계산 과정'!$L$7,'계산 과정'!$C$49*('계산 과정'!$C$32-D80)+'계산 과정'!$D$49*('계산 과정'!$D$32-E80)+'계산 과정'!$E$49*'계산 과정'!$E$32,"")</x:f>
        <x:v>-1.965126009573794</x:v>
      </x:c>
      <x:c r="P80" s="4" t="n">
        <x:f>IF(AND('계산 과정'!$L$7,O80&lt;&gt;0),('계산 과정'!$L$23-'계산 과정'!$C$49*D80-'계산 과정'!$D$49*E80)/O80,"")</x:f>
        <x:v>-202.54928795978526</x:v>
      </x:c>
      <x:c r="Q80" s="4" t="str">
        <x:f>IF(AND(ISNUMBER(P80),P80&gt;1E-9,P80&lt;1-1E-9),'계산 과정'!$C$47*(D80-'계산 과정'!$C$50+P80*('계산 과정'!$C$32-D80))+'계산 과정'!$D$47*(E80-'계산 과정'!$D$50+P80*('계산 과정'!$D$32-E80))+'계산 과정'!$E$47*(0-'계산 과정'!$E$50+P80*('계산 과정'!$E$32-0)),"")</x:f>
      </x:c>
      <x:c r="R80" s="4" t="str">
        <x:f>IF(AND(ISNUMBER(P80),P80&gt;1E-9,P80&lt;1-1E-9),'계산 과정'!$C$48*(D80-'계산 과정'!$C$50+P80*('계산 과정'!$C$32-D80))+'계산 과정'!$D$48*(E80-'계산 과정'!$D$50+P80*('계산 과정'!$D$32-E80))+'계산 과정'!$E$48*(0-'계산 과정'!$E$50+P80*('계산 과정'!$E$32-0)),"")</x:f>
      </x:c>
      <x:c r="S80" s="17" t="n">
        <x:f>IF('계산 과정'!$C$78,IF(AND(ISNUMBER(Q80),ISNUMBER(R80),ABS(Q80-'계산 과정'!$C$88)&lt;='계산 과정'!$D$23/2,ABS(R80-'계산 과정'!$C$89)&lt;='계산 과정'!$D$24/2),1,0),"")</x:f>
        <x:v>0</x:v>
      </x:c>
      <x:c r="T80" s="4"/>
      <x:c r="U80" s="4"/>
      <x:c r="V80" s="4"/>
      <x:c r="W80" s="4" t="n">
        <x:f>IF('계산 과정'!$C$77,('계산 과정'!$D$56+'계산 과정'!$D$57*('계산 과정'!$L$11*COS(74*2*PI()/240))+'계산 과정'!$D$58*('계산 과정'!$L$11*SIN(74*2*PI()/240)))/('계산 과정'!$D$59+'계산 과정'!$D$60*('계산 과정'!$L$11*COS(74*2*PI()/240))+'계산 과정'!$D$61*('계산 과정'!$L$11*SIN(74*2*PI()/240))),"")</x:f>
        <x:v>-58.009557706212874</x:v>
      </x:c>
      <x:c r="X80" s="4" t="n">
        <x:f>IF('계산 과정'!$C$77,('계산 과정'!$E$56+'계산 과정'!$E$57*('계산 과정'!$L$11*COS(74*2*PI()/240))+'계산 과정'!$E$58*('계산 과정'!$L$11*SIN(74*2*PI()/240)))/('계산 과정'!$E$59+'계산 과정'!$E$60*('계산 과정'!$L$11*COS(74*2*PI()/240))+'계산 과정'!$E$61*('계산 과정'!$L$11*SIN(74*2*PI()/240))),"")</x:f>
        <x:v>213.71604466102653</x:v>
      </x:c>
      <x:c r="Y80" s="4" t="str">
        <x:f>""</x:f>
      </x:c>
      <x:c r="Z80" s="4" t="str">
        <x:f>""</x:f>
      </x:c>
    </x:row>
    <x:row r="81" ht="23" customHeight="1">
      <x:c r="A81" s="17" t="n">
        <x:f>ROW()-6</x:f>
        <x:v>75</x:v>
      </x:c>
      <x:c r="B81" s="4" t="n">
        <x:f>IF('계산 과정'!$L$5,'계산 과정'!$L$11*SQRT((A81+0.5)/'계산 과정'!$L$30),"")</x:f>
        <x:v>28.800482173698065</x:v>
      </x:c>
      <x:c r="C81" s="4" t="n">
        <x:f>A81*PI()*(3-SQRT(5))</x:f>
        <x:v>179.99724222964898</x:v>
      </x:c>
      <x:c r="D81" s="4" t="n">
        <x:f>IF('계산 과정'!$L$5,B81*COS(C81),"")</x:f>
        <x:v>-17.299504568631473</x:v>
      </x:c>
      <x:c r="E81" s="4" t="n">
        <x:f>IF('계산 과정'!$L$5,B81*SIN(C81),"")</x:f>
        <x:v>-23.02596176313595</x:v>
      </x:c>
      <x:c r="F81" s="4" t="n">
        <x:f>IF('계산 과정'!$L$7,'계산 과정'!$L$22+'계산 과정'!$C$49*D81+'계산 과정'!$D$49*E81,"")</x:f>
        <x:v>662.232596991647</x:v>
      </x:c>
      <x:c r="G81" s="4" t="n">
        <x:f>IF('계산 과정'!$L$7,IF(ABS(F81)&gt;=1E-12*MAX(1,SQRT((D81-'계산 과정'!$C$33)^2+(E81-'계산 과정'!$D$33)^2+'계산 과정'!$E$33^2)),('계산 과정'!$L$23-'계산 과정'!$C$49*D81-'계산 과정'!$D$49*E81)/F81,""),"")</x:f>
        <x:v>0.585545629692469</x:v>
      </x:c>
      <x:c r="H81" s="4" t="n">
        <x:f>IF(AND(ISNUMBER(G81),G81&gt;0),('계산 과정'!$D$56+'계산 과정'!$D$57*D81+'계산 과정'!$D$58*E81)/F81,"")</x:f>
        <x:v>-19.395340699895222</x:v>
      </x:c>
      <x:c r="I81" s="4" t="n">
        <x:f>IF(AND(ISNUMBER(G81),G81&gt;0),('계산 과정'!$E$56+'계산 과정'!$E$57*D81+'계산 과정'!$E$58*E81)/F81,"")</x:f>
        <x:v>-36.508713043006104</x:v>
      </x:c>
      <x:c r="J81" s="4" t="n">
        <x:f>IF('계산 과정'!$L$5,'계산 과정'!$D$6+'계산 과정'!$C$35*D81+'계산 과정'!$D$35*E81,"")</x:f>
        <x:v>662.232596991647</x:v>
      </x:c>
      <x:c r="K81" s="4" t="n">
        <x:f>IF(AND('계산 과정'!$L$6,J81&gt;0),'계산 과정'!$D$10*('계산 과정'!$C$38*(D81-'계산 과정'!$C$32)+'계산 과정'!$D$38*(E81-'계산 과정'!$D$32)-'계산 과정'!$E$38*'계산 과정'!$E$32)/J81,"")</x:f>
        <x:v>-0.14777402438015314</x:v>
      </x:c>
      <x:c r="L81" s="4" t="n">
        <x:f>IF(AND('계산 과정'!$L$6,J81&gt;0),'계산 과정'!$D$10*('계산 과정'!$C$39*(D81-'계산 과정'!$C$32)+'계산 과정'!$D$39*(E81-'계산 과정'!$D$32)-'계산 과정'!$E$39*'계산 과정'!$E$32)/J81,"")</x:f>
        <x:v>-0.2781616231848084</x:v>
      </x:c>
      <x:c r="M81" s="17" t="n">
        <x:f>IF('계산 과정'!$L$6,IF(J81&lt;=0,0,IF(AND(ABS(K81)&lt;='계산 과정'!$D$11/2,ABS(L81)&lt;='계산 과정'!$D$12/2),1,0)),"")</x:f>
        <x:v>1</x:v>
      </x:c>
      <x:c r="N81" s="17" t="n">
        <x:f>IF('계산 과정'!$C$78,IF(AND(ISNUMBER(H81),ISNUMBER(I81),ABS(H81-'계산 과정'!$C$88)&lt;='계산 과정'!$D$23/2,ABS(I81-'계산 과정'!$C$89)&lt;='계산 과정'!$D$24/2),1,0),"")</x:f>
        <x:v>1</x:v>
      </x:c>
      <x:c r="O81" s="4" t="n">
        <x:f>IF('계산 과정'!$L$7,'계산 과정'!$C$49*('계산 과정'!$C$32-D81)+'계산 과정'!$D$49*('계산 과정'!$D$32-E81)+'계산 과정'!$E$49*'계산 과정'!$E$32,"")</x:f>
        <x:v>-12.232596991646858</x:v>
      </x:c>
      <x:c r="P81" s="4" t="n">
        <x:f>IF(AND('계산 과정'!$L$7,O81&lt;&gt;0),('계산 과정'!$L$23-'계산 과정'!$C$49*D81-'계산 과정'!$D$49*E81)/O81,"")</x:f>
        <x:v>-31.699515914171258</x:v>
      </x:c>
      <x:c r="Q81" s="4" t="str">
        <x:f>IF(AND(ISNUMBER(P81),P81&gt;1E-9,P81&lt;1-1E-9),'계산 과정'!$C$47*(D81-'계산 과정'!$C$50+P81*('계산 과정'!$C$32-D81))+'계산 과정'!$D$47*(E81-'계산 과정'!$D$50+P81*('계산 과정'!$D$32-E81))+'계산 과정'!$E$47*(0-'계산 과정'!$E$50+P81*('계산 과정'!$E$32-0)),"")</x:f>
      </x:c>
      <x:c r="R81" s="4" t="str">
        <x:f>IF(AND(ISNUMBER(P81),P81&gt;1E-9,P81&lt;1-1E-9),'계산 과정'!$C$48*(D81-'계산 과정'!$C$50+P81*('계산 과정'!$C$32-D81))+'계산 과정'!$D$48*(E81-'계산 과정'!$D$50+P81*('계산 과정'!$D$32-E81))+'계산 과정'!$E$48*(0-'계산 과정'!$E$50+P81*('계산 과정'!$E$32-0)),"")</x:f>
      </x:c>
      <x:c r="S81" s="17" t="n">
        <x:f>IF('계산 과정'!$C$78,IF(AND(ISNUMBER(Q81),ISNUMBER(R81),ABS(Q81-'계산 과정'!$C$88)&lt;='계산 과정'!$D$23/2,ABS(R81-'계산 과정'!$C$89)&lt;='계산 과정'!$D$24/2),1,0),"")</x:f>
        <x:v>0</x:v>
      </x:c>
      <x:c r="T81" s="4"/>
      <x:c r="U81" s="4"/>
      <x:c r="V81" s="4"/>
      <x:c r="W81" s="4" t="n">
        <x:f>IF('계산 과정'!$C$77,('계산 과정'!$D$56+'계산 과정'!$D$57*('계산 과정'!$L$11*COS(75*2*PI()/240))+'계산 과정'!$D$58*('계산 과정'!$L$11*SIN(75*2*PI()/240)))/('계산 과정'!$D$59+'계산 과정'!$D$60*('계산 과정'!$L$11*COS(75*2*PI()/240))+'계산 과정'!$D$61*('계산 과정'!$L$11*SIN(75*2*PI()/240))),"")</x:f>
        <x:v>-61.71420225783832</x:v>
      </x:c>
      <x:c r="X81" s="4" t="n">
        <x:f>IF('계산 과정'!$C$77,('계산 과정'!$E$56+'계산 과정'!$E$57*('계산 과정'!$L$11*COS(75*2*PI()/240))+'계산 과정'!$E$58*('계산 과정'!$L$11*SIN(75*2*PI()/240)))/('계산 과정'!$E$59+'계산 과정'!$E$60*('계산 과정'!$L$11*COS(75*2*PI()/240))+'계산 과정'!$E$61*('계산 과정'!$L$11*SIN(75*2*PI()/240))),"")</x:f>
        <x:v>210.7054663397475</x:v>
      </x:c>
      <x:c r="Y81" s="4" t="str">
        <x:f>""</x:f>
      </x:c>
      <x:c r="Z81" s="4" t="str">
        <x:f>""</x:f>
      </x:c>
    </x:row>
    <x:row r="82" ht="23" customHeight="1">
      <x:c r="A82" s="17" t="n">
        <x:f>ROW()-6</x:f>
        <x:v>76</x:v>
      </x:c>
      <x:c r="B82" s="4" t="n">
        <x:f>IF('계산 과정'!$L$5,'계산 과정'!$L$11*SQRT((A82+0.5)/'계산 과정'!$L$30),"")</x:f>
        <x:v>28.990586430124175</x:v>
      </x:c>
      <x:c r="C82" s="4" t="n">
        <x:f>A82*PI()*(3-SQRT(5))</x:f>
        <x:v>182.3972054593776</x:v>
      </x:c>
      <x:c r="D82" s="4" t="n">
        <x:f>IF('계산 과정'!$L$5,B82*COS(C82),"")</x:f>
        <x:v>28.49679621499756</x:v>
      </x:c>
      <x:c r="E82" s="4" t="n">
        <x:f>IF('계산 과정'!$L$5,B82*SIN(C82),"")</x:f>
        <x:v>5.327917702386245</x:v>
      </x:c>
      <x:c r="F82" s="4" t="n">
        <x:f>IF('계산 과정'!$L$7,'계산 과정'!$L$22+'계산 과정'!$C$49*D82+'계산 과정'!$D$49*E82,"")</x:f>
        <x:v>629.8497221542841</x:v>
      </x:c>
      <x:c r="G82" s="4" t="n">
        <x:f>IF('계산 과정'!$L$7,IF(ABS(F82)&gt;=1E-12*MAX(1,SQRT((D82-'계산 과정'!$C$33)^2+(E82-'계산 과정'!$D$33)^2+'계산 과정'!$E$33^2)),('계산 과정'!$L$23-'계산 과정'!$C$49*D82-'계산 과정'!$D$49*E82)/F82,""),"")</x:f>
        <x:v>0.6670643219602762</x:v>
      </x:c>
      <x:c r="H82" s="4" t="n">
        <x:f>IF(AND(ISNUMBER(G82),G82&gt;0),('계산 과정'!$D$56+'계산 과정'!$D$57*D82+'계산 과정'!$D$58*E82)/F82,"")</x:f>
        <x:v>33.59180927417947</x:v>
      </x:c>
      <x:c r="I82" s="4" t="n">
        <x:f>IF(AND(ISNUMBER(G82),G82&gt;0),('계산 과정'!$E$56+'계산 과정'!$E$57*D82+'계산 과정'!$E$58*E82)/F82,"")</x:f>
        <x:v>8.881981511988679</x:v>
      </x:c>
      <x:c r="J82" s="4" t="n">
        <x:f>IF('계산 과정'!$L$5,'계산 과정'!$D$6+'계산 과정'!$C$35*D82+'계산 과정'!$D$35*E82,"")</x:f>
        <x:v>629.8497221542841</x:v>
      </x:c>
      <x:c r="K82" s="4" t="n">
        <x:f>IF(AND('계산 과정'!$L$6,J82&gt;0),'계산 과정'!$D$10*('계산 과정'!$C$38*(D82-'계산 과정'!$C$32)+'계산 과정'!$D$38*(E82-'계산 과정'!$D$32)-'계산 과정'!$E$38*'계산 과정'!$E$32)/J82,"")</x:f>
        <x:v>0.2559375944699401</x:v>
      </x:c>
      <x:c r="L82" s="4" t="n">
        <x:f>IF(AND('계산 과정'!$L$6,J82&gt;0),'계산 과정'!$D$10*('계산 과정'!$C$39*(D82-'계산 과정'!$C$32)+'계산 과정'!$D$39*(E82-'계산 과정'!$D$32)-'계산 과정'!$E$39*'계산 과정'!$E$32)/J82,"")</x:f>
        <x:v>0.06767224009134232</x:v>
      </x:c>
      <x:c r="M82" s="17" t="n">
        <x:f>IF('계산 과정'!$L$6,IF(J82&lt;=0,0,IF(AND(ABS(K82)&lt;='계산 과정'!$D$11/2,ABS(L82)&lt;='계산 과정'!$D$12/2),1,0)),"")</x:f>
        <x:v>1</x:v>
      </x:c>
      <x:c r="N82" s="17" t="n">
        <x:f>IF('계산 과정'!$C$78,IF(AND(ISNUMBER(H82),ISNUMBER(I82),ABS(H82-'계산 과정'!$C$88)&lt;='계산 과정'!$D$23/2,ABS(I82-'계산 과정'!$C$89)&lt;='계산 과정'!$D$24/2),1,0),"")</x:f>
        <x:v>1</x:v>
      </x:c>
      <x:c r="O82" s="4" t="n">
        <x:f>IF('계산 과정'!$L$7,'계산 과정'!$C$49*('계산 과정'!$C$32-D82)+'계산 과정'!$D$49*('계산 과정'!$D$32-E82)+'계산 과정'!$E$49*'계산 과정'!$E$32,"")</x:f>
        <x:v>20.15027784571606</x:v>
      </x:c>
      <x:c r="P82" s="4" t="n">
        <x:f>IF(AND('계산 과정'!$L$7,O82&lt;&gt;0),('계산 과정'!$L$23-'계산 과정'!$C$49*D82-'계산 과정'!$D$49*E82)/O82,"")</x:f>
        <x:v>20.850842904632188</x:v>
      </x:c>
      <x:c r="Q82" s="4" t="str">
        <x:f>IF(AND(ISNUMBER(P82),P82&gt;1E-9,P82&lt;1-1E-9),'계산 과정'!$C$47*(D82-'계산 과정'!$C$50+P82*('계산 과정'!$C$32-D82))+'계산 과정'!$D$47*(E82-'계산 과정'!$D$50+P82*('계산 과정'!$D$32-E82))+'계산 과정'!$E$47*(0-'계산 과정'!$E$50+P82*('계산 과정'!$E$32-0)),"")</x:f>
      </x:c>
      <x:c r="R82" s="4" t="str">
        <x:f>IF(AND(ISNUMBER(P82),P82&gt;1E-9,P82&lt;1-1E-9),'계산 과정'!$C$48*(D82-'계산 과정'!$C$50+P82*('계산 과정'!$C$32-D82))+'계산 과정'!$D$48*(E82-'계산 과정'!$D$50+P82*('계산 과정'!$D$32-E82))+'계산 과정'!$E$48*(0-'계산 과정'!$E$50+P82*('계산 과정'!$E$32-0)),"")</x:f>
      </x:c>
      <x:c r="S82" s="17" t="n">
        <x:f>IF('계산 과정'!$C$78,IF(AND(ISNUMBER(Q82),ISNUMBER(R82),ABS(Q82-'계산 과정'!$C$88)&lt;='계산 과정'!$D$23/2,ABS(R82-'계산 과정'!$C$89)&lt;='계산 과정'!$D$24/2),1,0),"")</x:f>
        <x:v>0</x:v>
      </x:c>
      <x:c r="T82" s="4"/>
      <x:c r="U82" s="4"/>
      <x:c r="V82" s="4"/>
      <x:c r="W82" s="4" t="n">
        <x:f>IF('계산 과정'!$C$77,('계산 과정'!$D$56+'계산 과정'!$D$57*('계산 과정'!$L$11*COS(76*2*PI()/240))+'계산 과정'!$D$58*('계산 과정'!$L$11*SIN(76*2*PI()/240)))/('계산 과정'!$D$59+'계산 과정'!$D$60*('계산 과정'!$L$11*COS(76*2*PI()/240))+'계산 과정'!$D$61*('계산 과정'!$L$11*SIN(76*2*PI()/240))),"")</x:f>
        <x:v>-65.35176357684091</x:v>
      </x:c>
      <x:c r="X82" s="4" t="n">
        <x:f>IF('계산 과정'!$C$77,('계산 과정'!$E$56+'계산 과정'!$E$57*('계산 과정'!$L$11*COS(76*2*PI()/240))+'계산 과정'!$E$58*('계산 과정'!$L$11*SIN(76*2*PI()/240)))/('계산 과정'!$E$59+'계산 과정'!$E$60*('계산 과정'!$L$11*COS(76*2*PI()/240))+'계산 과정'!$E$61*('계산 과정'!$L$11*SIN(76*2*PI()/240))),"")</x:f>
        <x:v>207.58175163696345</x:v>
      </x:c>
      <x:c r="Y82" s="4" t="str">
        <x:f>""</x:f>
      </x:c>
      <x:c r="Z82" s="4" t="str">
        <x:f>""</x:f>
      </x:c>
    </x:row>
    <x:row r="83" ht="23" customHeight="1">
      <x:c r="A83" s="17" t="n">
        <x:f>ROW()-6</x:f>
        <x:v>77</x:v>
      </x:c>
      <x:c r="B83" s="4" t="n">
        <x:f>IF('계산 과정'!$L$5,'계산 과정'!$L$11*SQRT((A83+0.5)/'계산 과정'!$L$30),"")</x:f>
        <x:v>29.179452182786093</x:v>
      </x:c>
      <x:c r="C83" s="4" t="n">
        <x:f>A83*PI()*(3-SQRT(5))</x:f>
        <x:v>184.7971686891063</x:v>
      </x:c>
      <x:c r="D83" s="4" t="n">
        <x:f>IF('계산 과정'!$L$5,B83*COS(C83),"")</x:f>
        <x:v>-24.771945250413737</x:v>
      </x:c>
      <x:c r="E83" s="4" t="n">
        <x:f>IF('계산 과정'!$L$5,B83*SIN(C83),"")</x:f>
        <x:v>15.420478533366095</x:v>
      </x:c>
      <x:c r="F83" s="4" t="n">
        <x:f>IF('계산 과정'!$L$7,'계산 과정'!$L$22+'계산 과정'!$C$49*D83+'계산 과정'!$D$49*E83,"")</x:f>
        <x:v>667.5164104697494</x:v>
      </x:c>
      <x:c r="G83" s="4" t="n">
        <x:f>IF('계산 과정'!$L$7,IF(ABS(F83)&gt;=1E-12*MAX(1,SQRT((D83-'계산 과정'!$C$33)^2+(E83-'계산 과정'!$D$33)^2+'계산 과정'!$E$33^2)),('계산 과정'!$L$23-'계산 과정'!$C$49*D83-'계산 과정'!$D$49*E83)/F83,""),"")</x:f>
        <x:v>0.5729950358240429</x:v>
      </x:c>
      <x:c r="H83" s="4" t="n">
        <x:f>IF(AND(ISNUMBER(G83),G83&gt;0),('계산 과정'!$D$56+'계산 과정'!$D$57*D83+'계산 과정'!$D$58*E83)/F83,"")</x:f>
        <x:v>-27.553226714372276</x:v>
      </x:c>
      <x:c r="I83" s="4" t="n">
        <x:f>IF(AND(ISNUMBER(G83),G83&gt;0),('계산 과정'!$E$56+'계산 과정'!$E$57*D83+'계산 과정'!$E$58*E83)/F83,"")</x:f>
        <x:v>24.256336183016085</x:v>
      </x:c>
      <x:c r="J83" s="4" t="n">
        <x:f>IF('계산 과정'!$L$5,'계산 과정'!$D$6+'계산 과정'!$C$35*D83+'계산 과정'!$D$35*E83,"")</x:f>
        <x:v>667.5164104697494</x:v>
      </x:c>
      <x:c r="K83" s="4" t="n">
        <x:f>IF(AND('계산 과정'!$L$6,J83&gt;0),'계산 과정'!$D$10*('계산 과정'!$C$38*(D83-'계산 과정'!$C$32)+'계산 과정'!$D$38*(E83-'계산 과정'!$D$32)-'계산 과정'!$E$38*'계산 과정'!$E$32)/J83,"")</x:f>
        <x:v>-0.20992934639521685</x:v>
      </x:c>
      <x:c r="L83" s="4" t="n">
        <x:f>IF(AND('계산 과정'!$L$6,J83&gt;0),'계산 과정'!$D$10*('계산 과정'!$C$39*(D83-'계산 과정'!$C$32)+'계산 과정'!$D$39*(E83-'계산 과정'!$D$32)-'계산 과정'!$E$39*'계산 과정'!$E$32)/J83,"")</x:f>
        <x:v>0.18481018044202732</x:v>
      </x:c>
      <x:c r="M83" s="17" t="n">
        <x:f>IF('계산 과정'!$L$6,IF(J83&lt;=0,0,IF(AND(ABS(K83)&lt;='계산 과정'!$D$11/2,ABS(L83)&lt;='계산 과정'!$D$12/2),1,0)),"")</x:f>
        <x:v>1</x:v>
      </x:c>
      <x:c r="N83" s="17" t="n">
        <x:f>IF('계산 과정'!$C$78,IF(AND(ISNUMBER(H83),ISNUMBER(I83),ABS(H83-'계산 과정'!$C$88)&lt;='계산 과정'!$D$23/2,ABS(I83-'계산 과정'!$C$89)&lt;='계산 과정'!$D$24/2),1,0),"")</x:f>
        <x:v>1</x:v>
      </x:c>
      <x:c r="O83" s="4" t="n">
        <x:f>IF('계산 과정'!$L$7,'계산 과정'!$C$49*('계산 과정'!$C$32-D83)+'계산 과정'!$D$49*('계산 과정'!$D$32-E83)+'계산 과정'!$E$49*'계산 과정'!$E$32,"")</x:f>
        <x:v>-17.51641046974936</x:v>
      </x:c>
      <x:c r="P83" s="4" t="n">
        <x:f>IF(AND('계산 과정'!$L$7,O83&lt;&gt;0),('계산 과정'!$L$23-'계산 과정'!$C$49*D83-'계산 과정'!$D$49*E83)/O83,"")</x:f>
        <x:v>-21.835728854995455</x:v>
      </x:c>
      <x:c r="Q83" s="4" t="str">
        <x:f>IF(AND(ISNUMBER(P83),P83&gt;1E-9,P83&lt;1-1E-9),'계산 과정'!$C$47*(D83-'계산 과정'!$C$50+P83*('계산 과정'!$C$32-D83))+'계산 과정'!$D$47*(E83-'계산 과정'!$D$50+P83*('계산 과정'!$D$32-E83))+'계산 과정'!$E$47*(0-'계산 과정'!$E$50+P83*('계산 과정'!$E$32-0)),"")</x:f>
      </x:c>
      <x:c r="R83" s="4" t="str">
        <x:f>IF(AND(ISNUMBER(P83),P83&gt;1E-9,P83&lt;1-1E-9),'계산 과정'!$C$48*(D83-'계산 과정'!$C$50+P83*('계산 과정'!$C$32-D83))+'계산 과정'!$D$48*(E83-'계산 과정'!$D$50+P83*('계산 과정'!$D$32-E83))+'계산 과정'!$E$48*(0-'계산 과정'!$E$50+P83*('계산 과정'!$E$32-0)),"")</x:f>
      </x:c>
      <x:c r="S83" s="17" t="n">
        <x:f>IF('계산 과정'!$C$78,IF(AND(ISNUMBER(Q83),ISNUMBER(R83),ABS(Q83-'계산 과정'!$C$88)&lt;='계산 과정'!$D$23/2,ABS(R83-'계산 과정'!$C$89)&lt;='계산 과정'!$D$24/2),1,0),"")</x:f>
        <x:v>0</x:v>
      </x:c>
      <x:c r="T83" s="4"/>
      <x:c r="U83" s="4"/>
      <x:c r="V83" s="4"/>
      <x:c r="W83" s="4" t="n">
        <x:f>IF('계산 과정'!$C$77,('계산 과정'!$D$56+'계산 과정'!$D$57*('계산 과정'!$L$11*COS(77*2*PI()/240))+'계산 과정'!$D$58*('계산 과정'!$L$11*SIN(77*2*PI()/240)))/('계산 과정'!$D$59+'계산 과정'!$D$60*('계산 과정'!$L$11*COS(77*2*PI()/240))+'계산 과정'!$D$61*('계산 과정'!$L$11*SIN(77*2*PI()/240))),"")</x:f>
        <x:v>-68.92095024049881</x:v>
      </x:c>
      <x:c r="X83" s="4" t="n">
        <x:f>IF('계산 과정'!$C$77,('계산 과정'!$E$56+'계산 과정'!$E$57*('계산 과정'!$L$11*COS(77*2*PI()/240))+'계산 과정'!$E$58*('계산 과정'!$L$11*SIN(77*2*PI()/240)))/('계산 과정'!$E$59+'계산 과정'!$E$60*('계산 과정'!$L$11*COS(77*2*PI()/240))+'계산 과정'!$E$61*('계산 과정'!$L$11*SIN(77*2*PI()/240))),"")</x:f>
        <x:v>204.3478876377394</x:v>
      </x:c>
      <x:c r="Y83" s="4" t="str">
        <x:f>""</x:f>
      </x:c>
      <x:c r="Z83" s="4" t="str">
        <x:f>""</x:f>
      </x:c>
    </x:row>
    <x:row r="84" ht="23" customHeight="1">
      <x:c r="A84" s="17" t="n">
        <x:f>ROW()-6</x:f>
        <x:v>78</x:v>
      </x:c>
      <x:c r="B84" s="4" t="n">
        <x:f>IF('계산 과정'!$L$5,'계산 과정'!$L$11*SQRT((A84+0.5)/'계산 과정'!$L$30),"")</x:f>
        <x:v>29.367103326894533</x:v>
      </x:c>
      <x:c r="C84" s="4" t="n">
        <x:f>A84*PI()*(3-SQRT(5))</x:f>
        <x:v>187.1971319188349</x:v>
      </x:c>
      <x:c r="D84" s="4" t="n">
        <x:f>IF('계산 과정'!$L$5,B84*COS(C84),"")</x:f>
        <x:v>7.900158658908861</x:v>
      </x:c>
      <x:c r="E84" s="4" t="n">
        <x:f>IF('계산 과정'!$L$5,B84*SIN(C84),"")</x:f>
        <x:v>-28.284523170394216</x:v>
      </x:c>
      <x:c r="F84" s="4" t="n">
        <x:f>IF('계산 과정'!$L$7,'계산 과정'!$L$22+'계산 과정'!$C$49*D84+'계산 과정'!$D$49*E84,"")</x:f>
        <x:v>644.413744239836</x:v>
      </x:c>
      <x:c r="G84" s="4" t="n">
        <x:f>IF('계산 과정'!$L$7,IF(ABS(F84)&gt;=1E-12*MAX(1,SQRT((D84-'계산 과정'!$C$33)^2+(E84-'계산 과정'!$D$33)^2+'계산 과정'!$E$33^2)),('계산 과정'!$L$23-'계산 과정'!$C$49*D84-'계산 과정'!$D$49*E84)/F84,""),"")</x:f>
        <x:v>0.6293879660164639</x:v>
      </x:c>
      <x:c r="H84" s="4" t="n">
        <x:f>IF(AND(ISNUMBER(G84),G84&gt;0),('계산 과정'!$D$56+'계산 과정'!$D$57*D84+'계산 과정'!$D$58*E84)/F84,"")</x:f>
        <x:v>9.102177910701387</x:v>
      </x:c>
      <x:c r="I84" s="4" t="n">
        <x:f>IF(AND(ISNUMBER(G84),G84&gt;0),('계산 과정'!$E$56+'계산 과정'!$E$57*D84+'계산 과정'!$E$58*E84)/F84,"")</x:f>
        <x:v>-46.08646167835417</x:v>
      </x:c>
      <x:c r="J84" s="4" t="n">
        <x:f>IF('계산 과정'!$L$5,'계산 과정'!$D$6+'계산 과정'!$C$35*D84+'계산 과정'!$D$35*E84,"")</x:f>
        <x:v>644.413744239836</x:v>
      </x:c>
      <x:c r="K84" s="4" t="n">
        <x:f>IF(AND('계산 과정'!$L$6,J84&gt;0),'계산 과정'!$D$10*('계산 과정'!$C$38*(D84-'계산 과정'!$C$32)+'계산 과정'!$D$38*(E84-'계산 과정'!$D$32)-'계산 과정'!$E$38*'계산 과정'!$E$32)/J84,"")</x:f>
        <x:v>0.06934992693867811</x:v>
      </x:c>
      <x:c r="L84" s="4" t="n">
        <x:f>IF(AND('계산 과정'!$L$6,J84&gt;0),'계산 과정'!$D$10*('계산 과정'!$C$39*(D84-'계산 과정'!$C$32)+'계산 과정'!$D$39*(E84-'계산 과정'!$D$32)-'계산 과정'!$E$39*'계산 과정'!$E$32)/J84,"")</x:f>
        <x:v>-0.3511349461207937</x:v>
      </x:c>
      <x:c r="M84" s="17" t="n">
        <x:f>IF('계산 과정'!$L$6,IF(J84&lt;=0,0,IF(AND(ABS(K84)&lt;='계산 과정'!$D$11/2,ABS(L84)&lt;='계산 과정'!$D$12/2),1,0)),"")</x:f>
        <x:v>1</x:v>
      </x:c>
      <x:c r="N84" s="17" t="n">
        <x:f>IF('계산 과정'!$C$78,IF(AND(ISNUMBER(H84),ISNUMBER(I84),ABS(H84-'계산 과정'!$C$88)&lt;='계산 과정'!$D$23/2,ABS(I84-'계산 과정'!$C$89)&lt;='계산 과정'!$D$24/2),1,0),"")</x:f>
        <x:v>1</x:v>
      </x:c>
      <x:c r="O84" s="4" t="n">
        <x:f>IF('계산 과정'!$L$7,'계산 과정'!$C$49*('계산 과정'!$C$32-D84)+'계산 과정'!$D$49*('계산 과정'!$D$32-E84)+'계산 과정'!$E$49*'계산 과정'!$E$32,"")</x:f>
        <x:v>5.5862557601641925</x:v>
      </x:c>
      <x:c r="P84" s="4" t="n">
        <x:f>IF(AND('계산 과정'!$L$7,O84&lt;&gt;0),('계산 과정'!$L$23-'계산 과정'!$C$49*D84-'계산 과정'!$D$49*E84)/O84,"")</x:f>
        <x:v>72.60431193509174</x:v>
      </x:c>
      <x:c r="Q84" s="4" t="str">
        <x:f>IF(AND(ISNUMBER(P84),P84&gt;1E-9,P84&lt;1-1E-9),'계산 과정'!$C$47*(D84-'계산 과정'!$C$50+P84*('계산 과정'!$C$32-D84))+'계산 과정'!$D$47*(E84-'계산 과정'!$D$50+P84*('계산 과정'!$D$32-E84))+'계산 과정'!$E$47*(0-'계산 과정'!$E$50+P84*('계산 과정'!$E$32-0)),"")</x:f>
      </x:c>
      <x:c r="R84" s="4" t="str">
        <x:f>IF(AND(ISNUMBER(P84),P84&gt;1E-9,P84&lt;1-1E-9),'계산 과정'!$C$48*(D84-'계산 과정'!$C$50+P84*('계산 과정'!$C$32-D84))+'계산 과정'!$D$48*(E84-'계산 과정'!$D$50+P84*('계산 과정'!$D$32-E84))+'계산 과정'!$E$48*(0-'계산 과정'!$E$50+P84*('계산 과정'!$E$32-0)),"")</x:f>
      </x:c>
      <x:c r="S84" s="17" t="n">
        <x:f>IF('계산 과정'!$C$78,IF(AND(ISNUMBER(Q84),ISNUMBER(R84),ABS(Q84-'계산 과정'!$C$88)&lt;='계산 과정'!$D$23/2,ABS(R84-'계산 과정'!$C$89)&lt;='계산 과정'!$D$24/2),1,0),"")</x:f>
        <x:v>0</x:v>
      </x:c>
      <x:c r="T84" s="4"/>
      <x:c r="U84" s="4"/>
      <x:c r="V84" s="4"/>
      <x:c r="W84" s="4" t="n">
        <x:f>IF('계산 과정'!$C$77,('계산 과정'!$D$56+'계산 과정'!$D$57*('계산 과정'!$L$11*COS(78*2*PI()/240))+'계산 과정'!$D$58*('계산 과정'!$L$11*SIN(78*2*PI()/240)))/('계산 과정'!$D$59+'계산 과정'!$D$60*('계산 과정'!$L$11*COS(78*2*PI()/240))+'계산 과정'!$D$61*('계산 과정'!$L$11*SIN(78*2*PI()/240))),"")</x:f>
        <x:v>-72.42053668454618</x:v>
      </x:c>
      <x:c r="X84" s="4" t="n">
        <x:f>IF('계산 과정'!$C$77,('계산 과정'!$E$56+'계산 과정'!$E$57*('계산 과정'!$L$11*COS(78*2*PI()/240))+'계산 과정'!$E$58*('계산 과정'!$L$11*SIN(78*2*PI()/240)))/('계산 과정'!$E$59+'계산 과정'!$E$60*('계산 과정'!$L$11*COS(78*2*PI()/240))+'계산 과정'!$E$61*('계산 과정'!$L$11*SIN(78*2*PI()/240))),"")</x:f>
        <x:v>201.0068491676845</x:v>
      </x:c>
      <x:c r="Y84" s="4" t="str">
        <x:f>""</x:f>
      </x:c>
      <x:c r="Z84" s="4" t="str">
        <x:f>""</x:f>
      </x:c>
    </x:row>
    <x:row r="85" ht="23" customHeight="1">
      <x:c r="A85" s="17" t="n">
        <x:f>ROW()-6</x:f>
        <x:v>79</x:v>
      </x:c>
      <x:c r="B85" s="4" t="n">
        <x:f>IF('계산 과정'!$L$5,'계산 과정'!$L$11*SQRT((A85+0.5)/'계산 과정'!$L$30),"")</x:f>
        <x:v>29.553562999027715</x:v>
      </x:c>
      <x:c r="C85" s="4" t="n">
        <x:f>A85*PI()*(3-SQRT(5))</x:f>
        <x:v>189.5970951485636</x:v>
      </x:c>
      <x:c r="D85" s="4" t="n">
        <x:f>IF('계산 과정'!$L$5,B85*COS(C85),"")</x:f>
        <x:v>13.364911804358561</x:v>
      </x:c>
      <x:c r="E85" s="4" t="n">
        <x:f>IF('계산 과정'!$L$5,B85*SIN(C85),"")</x:f>
        <x:v>26.358911555662104</x:v>
      </x:c>
      <x:c r="F85" s="4" t="n">
        <x:f>IF('계산 과정'!$L$7,'계산 과정'!$L$22+'계산 과정'!$C$49*D85+'계산 과정'!$D$49*E85,"")</x:f>
        <x:v>640.549580233178</x:v>
      </x:c>
      <x:c r="G85" s="4" t="n">
        <x:f>IF('계산 과정'!$L$7,IF(ABS(F85)&gt;=1E-12*MAX(1,SQRT((D85-'계산 과정'!$C$33)^2+(E85-'계산 과정'!$D$33)^2+'계산 과정'!$E$33^2)),('계산 과정'!$L$23-'계산 과정'!$C$49*D85-'계산 과정'!$D$49*E85)/F85,""),"")</x:f>
        <x:v>0.6392173727094953</x:v>
      </x:c>
      <x:c r="H85" s="4" t="n">
        <x:f>IF(AND(ISNUMBER(G85),G85&gt;0),('계산 과정'!$D$56+'계산 과정'!$D$57*D85+'계산 과정'!$D$58*E85)/F85,"")</x:f>
        <x:v>15.49129226117185</x:v>
      </x:c>
      <x:c r="I85" s="4" t="n">
        <x:f>IF(AND(ISNUMBER(G85),G85&gt;0),('계산 과정'!$E$56+'계산 과정'!$E$57*D85+'계산 과정'!$E$58*E85)/F85,"")</x:f>
        <x:v>43.20798574775439</x:v>
      </x:c>
      <x:c r="J85" s="4" t="n">
        <x:f>IF('계산 과정'!$L$5,'계산 과정'!$D$6+'계산 과정'!$C$35*D85+'계산 과정'!$D$35*E85,"")</x:f>
        <x:v>640.549580233178</x:v>
      </x:c>
      <x:c r="K85" s="4" t="n">
        <x:f>IF(AND('계산 과정'!$L$6,J85&gt;0),'계산 과정'!$D$10*('계산 과정'!$C$38*(D85-'계산 과정'!$C$32)+'계산 과정'!$D$38*(E85-'계산 과정'!$D$32)-'계산 과정'!$E$38*'계산 과정'!$E$32)/J85,"")</x:f>
        <x:v>0.11802889341845275</x:v>
      </x:c>
      <x:c r="L85" s="4" t="n">
        <x:f>IF(AND('계산 과정'!$L$6,J85&gt;0),'계산 과정'!$D$10*('계산 과정'!$C$39*(D85-'계산 과정'!$C$32)+'계산 과정'!$D$39*(E85-'계산 과정'!$D$32)-'계산 과정'!$E$39*'계산 과정'!$E$32)/J85,"")</x:f>
        <x:v>0.3292037009352715</x:v>
      </x:c>
      <x:c r="M85" s="17" t="n">
        <x:f>IF('계산 과정'!$L$6,IF(J85&lt;=0,0,IF(AND(ABS(K85)&lt;='계산 과정'!$D$11/2,ABS(L85)&lt;='계산 과정'!$D$12/2),1,0)),"")</x:f>
        <x:v>1</x:v>
      </x:c>
      <x:c r="N85" s="17" t="n">
        <x:f>IF('계산 과정'!$C$78,IF(AND(ISNUMBER(H85),ISNUMBER(I85),ABS(H85-'계산 과정'!$C$88)&lt;='계산 과정'!$D$23/2,ABS(I85-'계산 과정'!$C$89)&lt;='계산 과정'!$D$24/2),1,0),"")</x:f>
        <x:v>1</x:v>
      </x:c>
      <x:c r="O85" s="4" t="n">
        <x:f>IF('계산 과정'!$L$7,'계산 과정'!$C$49*('계산 과정'!$C$32-D85)+'계산 과정'!$D$49*('계산 과정'!$D$32-E85)+'계산 과정'!$E$49*'계산 과정'!$E$32,"")</x:f>
        <x:v>9.450419766822165</x:v>
      </x:c>
      <x:c r="P85" s="4" t="n">
        <x:f>IF(AND('계산 과정'!$L$7,O85&lt;&gt;0),('계산 과정'!$L$23-'계산 과정'!$C$49*D85-'계산 과정'!$D$49*E85)/O85,"")</x:f>
        <x:v>43.326162209671395</x:v>
      </x:c>
      <x:c r="Q85" s="4" t="str">
        <x:f>IF(AND(ISNUMBER(P85),P85&gt;1E-9,P85&lt;1-1E-9),'계산 과정'!$C$47*(D85-'계산 과정'!$C$50+P85*('계산 과정'!$C$32-D85))+'계산 과정'!$D$47*(E85-'계산 과정'!$D$50+P85*('계산 과정'!$D$32-E85))+'계산 과정'!$E$47*(0-'계산 과정'!$E$50+P85*('계산 과정'!$E$32-0)),"")</x:f>
      </x:c>
      <x:c r="R85" s="4" t="str">
        <x:f>IF(AND(ISNUMBER(P85),P85&gt;1E-9,P85&lt;1-1E-9),'계산 과정'!$C$48*(D85-'계산 과정'!$C$50+P85*('계산 과정'!$C$32-D85))+'계산 과정'!$D$48*(E85-'계산 과정'!$D$50+P85*('계산 과정'!$D$32-E85))+'계산 과정'!$E$48*(0-'계산 과정'!$E$50+P85*('계산 과정'!$E$32-0)),"")</x:f>
      </x:c>
      <x:c r="S85" s="17" t="n">
        <x:f>IF('계산 과정'!$C$78,IF(AND(ISNUMBER(Q85),ISNUMBER(R85),ABS(Q85-'계산 과정'!$C$88)&lt;='계산 과정'!$D$23/2,ABS(R85-'계산 과정'!$C$89)&lt;='계산 과정'!$D$24/2),1,0),"")</x:f>
        <x:v>0</x:v>
      </x:c>
      <x:c r="T85" s="4"/>
      <x:c r="U85" s="4"/>
      <x:c r="V85" s="4"/>
      <x:c r="W85" s="4" t="n">
        <x:f>IF('계산 과정'!$C$77,('계산 과정'!$D$56+'계산 과정'!$D$57*('계산 과정'!$L$11*COS(79*2*PI()/240))+'계산 과정'!$D$58*('계산 과정'!$L$11*SIN(79*2*PI()/240)))/('계산 과정'!$D$59+'계산 과정'!$D$60*('계산 과정'!$L$11*COS(79*2*PI()/240))+'계산 과정'!$D$61*('계산 과정'!$L$11*SIN(79*2*PI()/240))),"")</x:f>
        <x:v>-75.8493609156304</x:v>
      </x:c>
      <x:c r="X85" s="4" t="n">
        <x:f>IF('계산 과정'!$C$77,('계산 과정'!$E$56+'계산 과정'!$E$57*('계산 과정'!$L$11*COS(79*2*PI()/240))+'계산 과정'!$E$58*('계산 과정'!$L$11*SIN(79*2*PI()/240)))/('계산 과정'!$E$59+'계산 과정'!$E$60*('계산 과정'!$L$11*COS(79*2*PI()/240))+'계산 과정'!$E$61*('계산 과정'!$L$11*SIN(79*2*PI()/240))),"")</x:f>
        <x:v>197.56159660106172</x:v>
      </x:c>
      <x:c r="Y85" s="4" t="str">
        <x:f>""</x:f>
      </x:c>
      <x:c r="Z85" s="4" t="str">
        <x:f>""</x:f>
      </x:c>
    </x:row>
    <x:row r="86" ht="23" customHeight="1">
      <x:c r="A86" s="17" t="n">
        <x:f>ROW()-6</x:f>
        <x:v>80</x:v>
      </x:c>
      <x:c r="B86" s="4" t="n">
        <x:f>IF('계산 과정'!$L$5,'계산 과정'!$L$11*SQRT((A86+0.5)/'계산 과정'!$L$30),"")</x:f>
        <x:v>29.738853610428563</x:v>
      </x:c>
      <x:c r="C86" s="4" t="n">
        <x:f>A86*PI()*(3-SQRT(5))</x:f>
        <x:v>191.99705837829222</x:v>
      </x:c>
      <x:c r="D86" s="4" t="n">
        <x:f>IF('계산 과정'!$L$5,B86*COS(C86),"")</x:f>
        <x:v>-27.833477942280638</x:v>
      </x:c>
      <x:c r="E86" s="4" t="n">
        <x:f>IF('계산 과정'!$L$5,B86*SIN(C86),"")</x:f>
        <x:v>-10.47362972894675</x:v>
      </x:c>
      <x:c r="F86" s="4" t="n">
        <x:f>IF('계산 과정'!$L$7,'계산 과정'!$L$22+'계산 과정'!$C$49*D86+'계산 과정'!$D$49*E86,"")</x:f>
        <x:v>669.6812409969929</x:v>
      </x:c>
      <x:c r="G86" s="4" t="n">
        <x:f>IF('계산 과정'!$L$7,IF(ABS(F86)&gt;=1E-12*MAX(1,SQRT((D86-'계산 과정'!$C$33)^2+(E86-'계산 과정'!$D$33)^2+'계산 과정'!$E$33^2)),('계산 과정'!$L$23-'계산 과정'!$C$49*D86-'계산 과정'!$D$49*E86)/F86,""),"")</x:f>
        <x:v>0.5679101275657727</x:v>
      </x:c>
      <x:c r="H86" s="4" t="n">
        <x:f>IF(AND(ISNUMBER(G86),G86&gt;0),('계산 과정'!$D$56+'계산 과정'!$D$57*D86+'계산 과정'!$D$58*E86)/F86,"")</x:f>
        <x:v>-30.858417082247865</x:v>
      </x:c>
      <x:c r="I86" s="4" t="n">
        <x:f>IF(AND(ISNUMBER(G86),G86&gt;0),('계산 과정'!$E$56+'계산 과정'!$E$57*D86+'계산 과정'!$E$58*E86)/F86,"")</x:f>
        <x:v>-16.42171012438957</x:v>
      </x:c>
      <x:c r="J86" s="4" t="n">
        <x:f>IF('계산 과정'!$L$5,'계산 과정'!$D$6+'계산 과정'!$C$35*D86+'계산 과정'!$D$35*E86,"")</x:f>
        <x:v>669.6812409969929</x:v>
      </x:c>
      <x:c r="K86" s="4" t="n">
        <x:f>IF(AND('계산 과정'!$L$6,J86&gt;0),'계산 과정'!$D$10*('계산 과정'!$C$38*(D86-'계산 과정'!$C$32)+'계산 과정'!$D$38*(E86-'계산 과정'!$D$32)-'계산 과정'!$E$38*'계산 과정'!$E$32)/J86,"")</x:f>
        <x:v>-0.2351117491980778</x:v>
      </x:c>
      <x:c r="L86" s="4" t="n">
        <x:f>IF(AND('계산 과정'!$L$6,J86&gt;0),'계산 과정'!$D$10*('계산 과정'!$C$39*(D86-'계산 과정'!$C$32)+'계산 과정'!$D$39*(E86-'계산 과정'!$D$32)-'계산 과정'!$E$39*'계산 과정'!$E$32)/J86,"")</x:f>
        <x:v>-0.12511779142392052</x:v>
      </x:c>
      <x:c r="M86" s="17" t="n">
        <x:f>IF('계산 과정'!$L$6,IF(J86&lt;=0,0,IF(AND(ABS(K86)&lt;='계산 과정'!$D$11/2,ABS(L86)&lt;='계산 과정'!$D$12/2),1,0)),"")</x:f>
        <x:v>1</x:v>
      </x:c>
      <x:c r="N86" s="17" t="n">
        <x:f>IF('계산 과정'!$C$78,IF(AND(ISNUMBER(H86),ISNUMBER(I86),ABS(H86-'계산 과정'!$C$88)&lt;='계산 과정'!$D$23/2,ABS(I86-'계산 과정'!$C$89)&lt;='계산 과정'!$D$24/2),1,0),"")</x:f>
        <x:v>1</x:v>
      </x:c>
      <x:c r="O86" s="4" t="n">
        <x:f>IF('계산 과정'!$L$7,'계산 과정'!$C$49*('계산 과정'!$C$32-D86)+'계산 과정'!$D$49*('계산 과정'!$D$32-E86)+'계산 과정'!$E$49*'계산 과정'!$E$32,"")</x:f>
        <x:v>-19.6812409969927</x:v>
      </x:c>
      <x:c r="P86" s="4" t="n">
        <x:f>IF(AND('계산 과정'!$L$7,O86&lt;&gt;0),('계산 과정'!$L$23-'계산 과정'!$C$49*D86-'계산 과정'!$D$49*E86)/O86,"")</x:f>
        <x:v>-19.323921650119523</x:v>
      </x:c>
      <x:c r="Q86" s="4" t="str">
        <x:f>IF(AND(ISNUMBER(P86),P86&gt;1E-9,P86&lt;1-1E-9),'계산 과정'!$C$47*(D86-'계산 과정'!$C$50+P86*('계산 과정'!$C$32-D86))+'계산 과정'!$D$47*(E86-'계산 과정'!$D$50+P86*('계산 과정'!$D$32-E86))+'계산 과정'!$E$47*(0-'계산 과정'!$E$50+P86*('계산 과정'!$E$32-0)),"")</x:f>
      </x:c>
      <x:c r="R86" s="4" t="str">
        <x:f>IF(AND(ISNUMBER(P86),P86&gt;1E-9,P86&lt;1-1E-9),'계산 과정'!$C$48*(D86-'계산 과정'!$C$50+P86*('계산 과정'!$C$32-D86))+'계산 과정'!$D$48*(E86-'계산 과정'!$D$50+P86*('계산 과정'!$D$32-E86))+'계산 과정'!$E$48*(0-'계산 과정'!$E$50+P86*('계산 과정'!$E$32-0)),"")</x:f>
      </x:c>
      <x:c r="S86" s="17" t="n">
        <x:f>IF('계산 과정'!$C$78,IF(AND(ISNUMBER(Q86),ISNUMBER(R86),ABS(Q86-'계산 과정'!$C$88)&lt;='계산 과정'!$D$23/2,ABS(R86-'계산 과정'!$C$89)&lt;='계산 과정'!$D$24/2),1,0),"")</x:f>
        <x:v>0</x:v>
      </x:c>
      <x:c r="T86" s="4"/>
      <x:c r="U86" s="4"/>
      <x:c r="V86" s="4"/>
      <x:c r="W86" s="4" t="n">
        <x:f>IF('계산 과정'!$C$77,('계산 과정'!$D$56+'계산 과정'!$D$57*('계산 과정'!$L$11*COS(80*2*PI()/240))+'계산 과정'!$D$58*('계산 과정'!$L$11*SIN(80*2*PI()/240)))/('계산 과정'!$D$59+'계산 과정'!$D$60*('계산 과정'!$L$11*COS(80*2*PI()/240))+'계산 과정'!$D$61*('계산 과정'!$L$11*SIN(80*2*PI()/240))),"")</x:f>
        <x:v>-79.20632223258124</x:v>
      </x:c>
      <x:c r="X86" s="4" t="n">
        <x:f>IF('계산 과정'!$C$77,('계산 과정'!$E$56+'계산 과정'!$E$57*('계산 과정'!$L$11*COS(80*2*PI()/240))+'계산 과정'!$E$58*('계산 과정'!$L$11*SIN(80*2*PI()/240)))/('계산 과정'!$E$59+'계산 과정'!$E$60*('계산 과정'!$L$11*COS(80*2*PI()/240))+'계산 과정'!$E$61*('계산 과정'!$L$11*SIN(80*2*PI()/240))),"")</x:f>
        <x:v>194.01507387228673</x:v>
      </x:c>
      <x:c r="Y86" s="4" t="str">
        <x:f>""</x:f>
      </x:c>
      <x:c r="Z86" s="4" t="str">
        <x:f>""</x:f>
      </x:c>
    </x:row>
    <x:row r="87" ht="23" customHeight="1">
      <x:c r="A87" s="17" t="n">
        <x:f>ROW()-6</x:f>
        <x:v>81</x:v>
      </x:c>
      <x:c r="B87" s="4" t="n">
        <x:f>IF('계산 과정'!$L$5,'계산 과정'!$L$11*SQRT((A87+0.5)/'계산 과정'!$L$30),"")</x:f>
        <x:v>29.92299687844618</x:v>
      </x:c>
      <x:c r="C87" s="4" t="n">
        <x:f>A87*PI()*(3-SQRT(5))</x:f>
        <x:v>194.39702160802088</x:v>
      </x:c>
      <x:c r="D87" s="4" t="n">
        <x:f>IF('계산 과정'!$L$5,B87*COS(C87),"")</x:f>
        <x:v>27.769265038659757</x:v>
      </x:c>
      <x:c r="E87" s="4" t="n">
        <x:f>IF('계산 과정'!$L$5,B87*SIN(C87),"")</x:f>
        <x:v>-11.146912639837492</x:v>
      </x:c>
      <x:c r="F87" s="4" t="n">
        <x:f>IF('계산 과정'!$L$7,'계산 과정'!$L$22+'계산 과정'!$C$49*D87+'계산 과정'!$D$49*E87,"")</x:f>
        <x:v>630.3641643825972</x:v>
      </x:c>
      <x:c r="G87" s="4" t="n">
        <x:f>IF('계산 과정'!$L$7,IF(ABS(F87)&gt;=1E-12*MAX(1,SQRT((D87-'계산 과정'!$C$33)^2+(E87-'계산 과정'!$D$33)^2+'계산 과정'!$E$33^2)),('계산 과정'!$L$23-'계산 과정'!$C$49*D87-'계산 과정'!$D$49*E87)/F87,""),"")</x:f>
        <x:v>0.6657038253886312</x:v>
      </x:c>
      <x:c r="H87" s="4" t="n">
        <x:f>IF(AND(ISNUMBER(G87),G87&gt;0),('계산 과정'!$D$56+'계산 과정'!$D$57*D87+'계산 과정'!$D$58*E87)/F87,"")</x:f>
        <x:v>32.70748650261012</x:v>
      </x:c>
      <x:c r="I87" s="4" t="n">
        <x:f>IF(AND(ISNUMBER(G87),G87&gt;0),('계산 과정'!$E$56+'계산 과정'!$E$57*D87+'계산 과정'!$E$58*E87)/F87,"")</x:f>
        <x:v>-18.567455025450194</x:v>
      </x:c>
      <x:c r="J87" s="4" t="n">
        <x:f>IF('계산 과정'!$L$5,'계산 과정'!$D$6+'계산 과정'!$C$35*D87+'계산 과정'!$D$35*E87,"")</x:f>
        <x:v>630.3641643825972</x:v>
      </x:c>
      <x:c r="K87" s="4" t="n">
        <x:f>IF(AND('계산 과정'!$L$6,J87&gt;0),'계산 과정'!$D$10*('계산 과정'!$C$38*(D87-'계산 과정'!$C$32)+'계산 과정'!$D$38*(E87-'계산 과정'!$D$32)-'계산 과정'!$E$38*'계산 과정'!$E$32)/J87,"")</x:f>
        <x:v>0.2491998971627448</x:v>
      </x:c>
      <x:c r="L87" s="4" t="n">
        <x:f>IF(AND('계산 과정'!$L$6,J87&gt;0),'계산 과정'!$D$10*('계산 과정'!$C$39*(D87-'계산 과정'!$C$32)+'계산 과정'!$D$39*(E87-'계산 과정'!$D$32)-'계산 과정'!$E$39*'계산 과정'!$E$32)/J87,"")</x:f>
        <x:v>-0.14146632400343004</x:v>
      </x:c>
      <x:c r="M87" s="17" t="n">
        <x:f>IF('계산 과정'!$L$6,IF(J87&lt;=0,0,IF(AND(ABS(K87)&lt;='계산 과정'!$D$11/2,ABS(L87)&lt;='계산 과정'!$D$12/2),1,0)),"")</x:f>
        <x:v>1</x:v>
      </x:c>
      <x:c r="N87" s="17" t="n">
        <x:f>IF('계산 과정'!$C$78,IF(AND(ISNUMBER(H87),ISNUMBER(I87),ABS(H87-'계산 과정'!$C$88)&lt;='계산 과정'!$D$23/2,ABS(I87-'계산 과정'!$C$89)&lt;='계산 과정'!$D$24/2),1,0),"")</x:f>
        <x:v>1</x:v>
      </x:c>
      <x:c r="O87" s="4" t="n">
        <x:f>IF('계산 과정'!$L$7,'계산 과정'!$C$49*('계산 과정'!$C$32-D87)+'계산 과정'!$D$49*('계산 과정'!$D$32-E87)+'계산 과정'!$E$49*'계산 과정'!$E$32,"")</x:f>
        <x:v>19.635835617402904</x:v>
      </x:c>
      <x:c r="P87" s="4" t="n">
        <x:f>IF(AND('계산 과정'!$L$7,O87&lt;&gt;0),('계산 과정'!$L$23-'계산 과정'!$C$49*D87-'계산 과정'!$D$49*E87)/O87,"")</x:f>
        <x:v>21.37091814139485</x:v>
      </x:c>
      <x:c r="Q87" s="4" t="str">
        <x:f>IF(AND(ISNUMBER(P87),P87&gt;1E-9,P87&lt;1-1E-9),'계산 과정'!$C$47*(D87-'계산 과정'!$C$50+P87*('계산 과정'!$C$32-D87))+'계산 과정'!$D$47*(E87-'계산 과정'!$D$50+P87*('계산 과정'!$D$32-E87))+'계산 과정'!$E$47*(0-'계산 과정'!$E$50+P87*('계산 과정'!$E$32-0)),"")</x:f>
      </x:c>
      <x:c r="R87" s="4" t="str">
        <x:f>IF(AND(ISNUMBER(P87),P87&gt;1E-9,P87&lt;1-1E-9),'계산 과정'!$C$48*(D87-'계산 과정'!$C$50+P87*('계산 과정'!$C$32-D87))+'계산 과정'!$D$48*(E87-'계산 과정'!$D$50+P87*('계산 과정'!$D$32-E87))+'계산 과정'!$E$48*(0-'계산 과정'!$E$50+P87*('계산 과정'!$E$32-0)),"")</x:f>
      </x:c>
      <x:c r="S87" s="17" t="n">
        <x:f>IF('계산 과정'!$C$78,IF(AND(ISNUMBER(Q87),ISNUMBER(R87),ABS(Q87-'계산 과정'!$C$88)&lt;='계산 과정'!$D$23/2,ABS(R87-'계산 과정'!$C$89)&lt;='계산 과정'!$D$24/2),1,0),"")</x:f>
        <x:v>0</x:v>
      </x:c>
      <x:c r="T87" s="4"/>
      <x:c r="U87" s="4"/>
      <x:c r="V87" s="4"/>
      <x:c r="W87" s="4" t="n">
        <x:f>IF('계산 과정'!$C$77,('계산 과정'!$D$56+'계산 과정'!$D$57*('계산 과정'!$L$11*COS(81*2*PI()/240))+'계산 과정'!$D$58*('계산 과정'!$L$11*SIN(81*2*PI()/240)))/('계산 과정'!$D$59+'계산 과정'!$D$60*('계산 과정'!$L$11*COS(81*2*PI()/240))+'계산 과정'!$D$61*('계산 과정'!$L$11*SIN(81*2*PI()/240))),"")</x:f>
        <x:v>-82.4903789625035</x:v>
      </x:c>
      <x:c r="X87" s="4" t="n">
        <x:f>IF('계산 과정'!$C$77,('계산 과정'!$E$56+'계산 과정'!$E$57*('계산 과정'!$L$11*COS(81*2*PI()/240))+'계산 과정'!$E$58*('계산 과정'!$L$11*SIN(81*2*PI()/240)))/('계산 과정'!$E$59+'계산 과정'!$E$60*('계산 과정'!$L$11*COS(81*2*PI()/240))+'계산 과정'!$E$61*('계산 과정'!$L$11*SIN(81*2*PI()/240))),"")</x:f>
        <x:v>190.3702066835946</x:v>
      </x:c>
      <x:c r="Y87" s="4" t="str">
        <x:f>""</x:f>
      </x:c>
      <x:c r="Z87" s="4" t="str">
        <x:f>""</x:f>
      </x:c>
    </x:row>
    <x:row r="88" ht="23" customHeight="1">
      <x:c r="A88" s="17" t="n">
        <x:f>ROW()-6</x:f>
        <x:v>82</x:v>
      </x:c>
      <x:c r="B88" s="4" t="n">
        <x:f>IF('계산 과정'!$L$5,'계산 과정'!$L$11*SQRT((A88+0.5)/'계산 과정'!$L$30),"")</x:f>
        <x:v>30.106013856246395</x:v>
      </x:c>
      <x:c r="C88" s="4" t="n">
        <x:f>A88*PI()*(3-SQRT(5))</x:f>
        <x:v>196.79698483774953</x:v>
      </x:c>
      <x:c r="D88" s="4" t="n">
        <x:f>IF('계산 과정'!$L$5,B88*COS(C88),"")</x:f>
        <x:v>-13.02574510202277</x:v>
      </x:c>
      <x:c r="E88" s="4" t="n">
        <x:f>IF('계산 과정'!$L$5,B88*SIN(C88),"")</x:f>
        <x:v>27.142255522517463</x:v>
      </x:c>
      <x:c r="F88" s="4" t="n">
        <x:f>IF('계산 과정'!$L$7,'계산 과정'!$L$22+'계산 과정'!$C$49*D88+'계산 과정'!$D$49*E88,"")</x:f>
        <x:v>659.2105926916478</x:v>
      </x:c>
      <x:c r="G88" s="4" t="n">
        <x:f>IF('계산 과정'!$L$7,IF(ABS(F88)&gt;=1E-12*MAX(1,SQRT((D88-'계산 과정'!$C$33)^2+(E88-'계산 과정'!$D$33)^2+'계산 과정'!$E$33^2)),('계산 과정'!$L$23-'계산 과정'!$C$49*D88-'계산 과정'!$D$49*E88)/F88,""),"")</x:f>
        <x:v>0.5928142108771419</x:v>
      </x:c>
      <x:c r="H88" s="4" t="n">
        <x:f>IF(AND(ISNUMBER(G88),G88&gt;0),('계산 과정'!$D$56+'계산 과정'!$D$57*D88+'계산 과정'!$D$58*E88)/F88,"")</x:f>
        <x:v>-14.670762929857812</x:v>
      </x:c>
      <x:c r="I88" s="4" t="n">
        <x:f>IF(AND(ISNUMBER(G88),G88&gt;0),('계산 과정'!$E$56+'계산 과정'!$E$57*D88+'계산 과정'!$E$58*E88)/F88,"")</x:f>
        <x:v>43.2325703115244</x:v>
      </x:c>
      <x:c r="J88" s="4" t="n">
        <x:f>IF('계산 과정'!$L$5,'계산 과정'!$D$6+'계산 과정'!$C$35*D88+'계산 과정'!$D$35*E88,"")</x:f>
        <x:v>659.2105926916478</x:v>
      </x:c>
      <x:c r="K88" s="4" t="n">
        <x:f>IF(AND('계산 과정'!$L$6,J88&gt;0),'계산 과정'!$D$10*('계산 과정'!$C$38*(D88-'계산 과정'!$C$32)+'계산 과정'!$D$38*(E88-'계산 과정'!$D$32)-'계산 과정'!$E$38*'계산 과정'!$E$32)/J88,"")</x:f>
        <x:v>-0.11177724137034456</x:v>
      </x:c>
      <x:c r="L88" s="4" t="n">
        <x:f>IF(AND('계산 과정'!$L$6,J88&gt;0),'계산 과정'!$D$10*('계산 과정'!$C$39*(D88-'계산 과정'!$C$32)+'계산 과정'!$D$39*(E88-'계산 과정'!$D$32)-'계산 과정'!$E$39*'계산 과정'!$E$32)/J88,"")</x:f>
        <x:v>0.3293910118973288</x:v>
      </x:c>
      <x:c r="M88" s="17" t="n">
        <x:f>IF('계산 과정'!$L$6,IF(J88&lt;=0,0,IF(AND(ABS(K88)&lt;='계산 과정'!$D$11/2,ABS(L88)&lt;='계산 과정'!$D$12/2),1,0)),"")</x:f>
        <x:v>1</x:v>
      </x:c>
      <x:c r="N88" s="17" t="n">
        <x:f>IF('계산 과정'!$C$78,IF(AND(ISNUMBER(H88),ISNUMBER(I88),ABS(H88-'계산 과정'!$C$88)&lt;='계산 과정'!$D$23/2,ABS(I88-'계산 과정'!$C$89)&lt;='계산 과정'!$D$24/2),1,0),"")</x:f>
        <x:v>1</x:v>
      </x:c>
      <x:c r="O88" s="4" t="n">
        <x:f>IF('계산 과정'!$L$7,'계산 과정'!$C$49*('계산 과정'!$C$32-D88)+'계산 과정'!$D$49*('계산 과정'!$D$32-E88)+'계산 과정'!$E$49*'계산 과정'!$E$32,"")</x:f>
        <x:v>-9.210592691647662</x:v>
      </x:c>
      <x:c r="P88" s="4" t="n">
        <x:f>IF(AND('계산 과정'!$L$7,O88&lt;&gt;0),('계산 과정'!$L$23-'계산 과정'!$C$49*D88-'계산 과정'!$D$49*E88)/O88,"")</x:f>
        <x:v>-42.428258461882415</x:v>
      </x:c>
      <x:c r="Q88" s="4" t="str">
        <x:f>IF(AND(ISNUMBER(P88),P88&gt;1E-9,P88&lt;1-1E-9),'계산 과정'!$C$47*(D88-'계산 과정'!$C$50+P88*('계산 과정'!$C$32-D88))+'계산 과정'!$D$47*(E88-'계산 과정'!$D$50+P88*('계산 과정'!$D$32-E88))+'계산 과정'!$E$47*(0-'계산 과정'!$E$50+P88*('계산 과정'!$E$32-0)),"")</x:f>
      </x:c>
      <x:c r="R88" s="4" t="str">
        <x:f>IF(AND(ISNUMBER(P88),P88&gt;1E-9,P88&lt;1-1E-9),'계산 과정'!$C$48*(D88-'계산 과정'!$C$50+P88*('계산 과정'!$C$32-D88))+'계산 과정'!$D$48*(E88-'계산 과정'!$D$50+P88*('계산 과정'!$D$32-E88))+'계산 과정'!$E$48*(0-'계산 과정'!$E$50+P88*('계산 과정'!$E$32-0)),"")</x:f>
      </x:c>
      <x:c r="S88" s="17" t="n">
        <x:f>IF('계산 과정'!$C$78,IF(AND(ISNUMBER(Q88),ISNUMBER(R88),ABS(Q88-'계산 과정'!$C$88)&lt;='계산 과정'!$D$23/2,ABS(R88-'계산 과정'!$C$89)&lt;='계산 과정'!$D$24/2),1,0),"")</x:f>
        <x:v>0</x:v>
      </x:c>
      <x:c r="T88" s="4"/>
      <x:c r="U88" s="4"/>
      <x:c r="V88" s="4"/>
      <x:c r="W88" s="4" t="n">
        <x:f>IF('계산 과정'!$C$77,('계산 과정'!$D$56+'계산 과정'!$D$57*('계산 과정'!$L$11*COS(82*2*PI()/240))+'계산 과정'!$D$58*('계산 과정'!$L$11*SIN(82*2*PI()/240)))/('계산 과정'!$D$59+'계산 과정'!$D$60*('계산 과정'!$L$11*COS(82*2*PI()/240))+'계산 과정'!$D$61*('계산 과정'!$L$11*SIN(82*2*PI()/240))),"")</x:f>
        <x:v>-85.70054621722211</x:v>
      </x:c>
      <x:c r="X88" s="4" t="n">
        <x:f>IF('계산 과정'!$C$77,('계산 과정'!$E$56+'계산 과정'!$E$57*('계산 과정'!$L$11*COS(82*2*PI()/240))+'계산 과정'!$E$58*('계산 과정'!$L$11*SIN(82*2*PI()/240)))/('계산 과정'!$E$59+'계산 과정'!$E$60*('계산 과정'!$L$11*COS(82*2*PI()/240))+'계산 과정'!$E$61*('계산 과정'!$L$11*SIN(82*2*PI()/240))),"")</x:f>
        <x:v>186.6299009015688</x:v>
      </x:c>
      <x:c r="Y88" s="4" t="str">
        <x:f>""</x:f>
      </x:c>
      <x:c r="Z88" s="4" t="str">
        <x:f>""</x:f>
      </x:c>
    </x:row>
    <x:row r="89" ht="23" customHeight="1">
      <x:c r="A89" s="17" t="n">
        <x:f>ROW()-6</x:f>
        <x:v>83</x:v>
      </x:c>
      <x:c r="B89" s="4" t="n">
        <x:f>IF('계산 과정'!$L$5,'계산 과정'!$L$11*SQRT((A89+0.5)/'계산 과정'!$L$30),"")</x:f>
        <x:v>30.28792496090645</x:v>
      </x:c>
      <x:c r="C89" s="4" t="n">
        <x:f>A89*PI()*(3-SQRT(5))</x:f>
        <x:v>199.19694806747822</x:v>
      </x:c>
      <x:c r="D89" s="4" t="n">
        <x:f>IF('계산 과정'!$L$5,B89*COS(C89),"")</x:f>
        <x:v>-8.782298130241042</x:v>
      </x:c>
      <x:c r="E89" s="4" t="n">
        <x:f>IF('계산 과정'!$L$5,B89*SIN(C89),"")</x:f>
        <x:v>-28.986714853343848</x:v>
      </x:c>
      <x:c r="F89" s="4" t="n">
        <x:f>IF('계산 과정'!$L$7,'계산 과정'!$L$22+'계산 과정'!$C$49*D89+'계산 과정'!$D$49*E89,"")</x:f>
        <x:v>656.2100225622954</x:v>
      </x:c>
      <x:c r="G89" s="4" t="n">
        <x:f>IF('계산 과정'!$L$7,IF(ABS(F89)&gt;=1E-12*MAX(1,SQRT((D89-'계산 과정'!$C$33)^2+(E89-'계산 과정'!$D$33)^2+'계산 과정'!$E$33^2)),('계산 과정'!$L$23-'계산 과정'!$C$49*D89-'계산 과정'!$D$49*E89)/F89,""),"")</x:f>
        <x:v>0.600097474738465</x:v>
      </x:c>
      <x:c r="H89" s="4" t="n">
        <x:f>IF(AND(ISNUMBER(G89),G89&gt;0),('계산 과정'!$D$56+'계산 과정'!$D$57*D89+'계산 과정'!$D$58*E89)/F89,"")</x:f>
        <x:v>-9.93664141999784</x:v>
      </x:c>
      <x:c r="I89" s="4" t="n">
        <x:f>IF(AND(ISNUMBER(G89),G89&gt;0),('계산 과정'!$E$56+'계산 과정'!$E$57*D89+'계산 과정'!$E$58*E89)/F89,"")</x:f>
        <x:v>-46.38156923779945</x:v>
      </x:c>
      <x:c r="J89" s="4" t="n">
        <x:f>IF('계산 과정'!$L$5,'계산 과정'!$D$6+'계산 과정'!$C$35*D89+'계산 과정'!$D$35*E89,"")</x:f>
        <x:v>656.2100225622954</x:v>
      </x:c>
      <x:c r="K89" s="4" t="n">
        <x:f>IF(AND('계산 과정'!$L$6,J89&gt;0),'계산 과정'!$D$10*('계산 과정'!$C$38*(D89-'계산 과정'!$C$32)+'계산 과정'!$D$38*(E89-'계산 과정'!$D$32)-'계산 과정'!$E$38*'계산 과정'!$E$32)/J89,"")</x:f>
        <x:v>-0.07570774415236346</x:v>
      </x:c>
      <x:c r="L89" s="4" t="n">
        <x:f>IF(AND('계산 과정'!$L$6,J89&gt;0),'계산 과정'!$D$10*('계산 과정'!$C$39*(D89-'계산 과정'!$C$32)+'계산 과정'!$D$39*(E89-'계산 과정'!$D$32)-'계산 과정'!$E$39*'계산 과정'!$E$32)/J89,"")</x:f>
        <x:v>-0.35338338466894814</x:v>
      </x:c>
      <x:c r="M89" s="17" t="n">
        <x:f>IF('계산 과정'!$L$6,IF(J89&lt;=0,0,IF(AND(ABS(K89)&lt;='계산 과정'!$D$11/2,ABS(L89)&lt;='계산 과정'!$D$12/2),1,0)),"")</x:f>
        <x:v>1</x:v>
      </x:c>
      <x:c r="N89" s="17" t="n">
        <x:f>IF('계산 과정'!$C$78,IF(AND(ISNUMBER(H89),ISNUMBER(I89),ABS(H89-'계산 과정'!$C$88)&lt;='계산 과정'!$D$23/2,ABS(I89-'계산 과정'!$C$89)&lt;='계산 과정'!$D$24/2),1,0),"")</x:f>
        <x:v>1</x:v>
      </x:c>
      <x:c r="O89" s="4" t="n">
        <x:f>IF('계산 과정'!$L$7,'계산 과정'!$C$49*('계산 과정'!$C$32-D89)+'계산 과정'!$D$49*('계산 과정'!$D$32-E89)+'계산 과정'!$E$49*'계산 과정'!$E$32,"")</x:f>
        <x:v>-6.210022562295251</x:v>
      </x:c>
      <x:c r="P89" s="4" t="n">
        <x:f>IF(AND('계산 과정'!$L$7,O89&lt;&gt;0),('계산 과정'!$L$23-'계산 과정'!$C$49*D89-'계산 과정'!$D$49*E89)/O89,"")</x:f>
        <x:v>-63.41200430230936</x:v>
      </x:c>
      <x:c r="Q89" s="4" t="str">
        <x:f>IF(AND(ISNUMBER(P89),P89&gt;1E-9,P89&lt;1-1E-9),'계산 과정'!$C$47*(D89-'계산 과정'!$C$50+P89*('계산 과정'!$C$32-D89))+'계산 과정'!$D$47*(E89-'계산 과정'!$D$50+P89*('계산 과정'!$D$32-E89))+'계산 과정'!$E$47*(0-'계산 과정'!$E$50+P89*('계산 과정'!$E$32-0)),"")</x:f>
      </x:c>
      <x:c r="R89" s="4" t="str">
        <x:f>IF(AND(ISNUMBER(P89),P89&gt;1E-9,P89&lt;1-1E-9),'계산 과정'!$C$48*(D89-'계산 과정'!$C$50+P89*('계산 과정'!$C$32-D89))+'계산 과정'!$D$48*(E89-'계산 과정'!$D$50+P89*('계산 과정'!$D$32-E89))+'계산 과정'!$E$48*(0-'계산 과정'!$E$50+P89*('계산 과정'!$E$32-0)),"")</x:f>
      </x:c>
      <x:c r="S89" s="17" t="n">
        <x:f>IF('계산 과정'!$C$78,IF(AND(ISNUMBER(Q89),ISNUMBER(R89),ABS(Q89-'계산 과정'!$C$88)&lt;='계산 과정'!$D$23/2,ABS(R89-'계산 과정'!$C$89)&lt;='계산 과정'!$D$24/2),1,0),"")</x:f>
        <x:v>0</x:v>
      </x:c>
      <x:c r="T89" s="4"/>
      <x:c r="U89" s="4"/>
      <x:c r="V89" s="4"/>
      <x:c r="W89" s="4" t="n">
        <x:f>IF('계산 과정'!$C$77,('계산 과정'!$D$56+'계산 과정'!$D$57*('계산 과정'!$L$11*COS(83*2*PI()/240))+'계산 과정'!$D$58*('계산 과정'!$L$11*SIN(83*2*PI()/240)))/('계산 과정'!$D$59+'계산 과정'!$D$60*('계산 과정'!$L$11*COS(83*2*PI()/240))+'계산 과정'!$D$61*('계산 과정'!$L$11*SIN(83*2*PI()/240))),"")</x:f>
        <x:v>-88.83589367514651</x:v>
      </x:c>
      <x:c r="X89" s="4" t="n">
        <x:f>IF('계산 과정'!$C$77,('계산 과정'!$E$56+'계산 과정'!$E$57*('계산 과정'!$L$11*COS(83*2*PI()/240))+'계산 과정'!$E$58*('계산 과정'!$L$11*SIN(83*2*PI()/240)))/('계산 과정'!$E$59+'계산 과정'!$E$60*('계산 과정'!$L$11*COS(83*2*PI()/240))+'계산 과정'!$E$61*('계산 과정'!$L$11*SIN(83*2*PI()/240))),"")</x:f>
        <x:v>182.79704113518167</x:v>
      </x:c>
      <x:c r="Y89" s="4" t="str">
        <x:f>""</x:f>
      </x:c>
      <x:c r="Z89" s="4" t="str">
        <x:f>""</x:f>
      </x:c>
    </x:row>
    <x:row r="90" ht="23" customHeight="1">
      <x:c r="A90" s="17" t="n">
        <x:f>ROW()-6</x:f>
        <x:v>84</x:v>
      </x:c>
      <x:c r="B90" s="4" t="n">
        <x:f>IF('계산 과정'!$L$5,'계산 과정'!$L$11*SQRT((A90+0.5)/'계산 과정'!$L$30),"")</x:f>
        <x:v>30.46875</x:v>
      </x:c>
      <x:c r="C90" s="4" t="n">
        <x:f>A90*PI()*(3-SQRT(5))</x:f>
        <x:v>201.59691129720684</x:v>
      </x:c>
      <x:c r="D90" s="4" t="n">
        <x:f>IF('계산 과정'!$L$5,B90*COS(C90),"")</x:f>
        <x:v>26.211597682250932</x:v>
      </x:c>
      <x:c r="E90" s="4" t="n">
        <x:f>IF('계산 과정'!$L$5,B90*SIN(C90),"")</x:f>
        <x:v>15.533733405280184</x:v>
      </x:c>
      <x:c r="F90" s="4" t="n">
        <x:f>IF('계산 과정'!$L$7,'계산 과정'!$L$22+'계산 과정'!$C$49*D90+'계산 과정'!$D$49*E90,"")</x:f>
        <x:v>631.4656015331468</x:v>
      </x:c>
      <x:c r="G90" s="4" t="n">
        <x:f>IF('계산 과정'!$L$7,IF(ABS(F90)&gt;=1E-12*MAX(1,SQRT((D90-'계산 과정'!$C$33)^2+(E90-'계산 과정'!$D$33)^2+'계산 과정'!$E$33^2)),('계산 과정'!$L$23-'계산 과정'!$C$49*D90-'계산 과정'!$D$49*E90)/F90,""),"")</x:f>
        <x:v>0.6627984128520793</x:v>
      </x:c>
      <x:c r="H90" s="4" t="n">
        <x:f>IF(AND(ISNUMBER(G90),G90&gt;0),('계산 과정'!$D$56+'계산 과정'!$D$57*D90+'계산 과정'!$D$58*E90)/F90,"")</x:f>
        <x:v>30.81896835385145</x:v>
      </x:c>
      <x:c r="I90" s="4" t="n">
        <x:f>IF(AND(ISNUMBER(G90),G90&gt;0),('계산 과정'!$E$56+'계산 과정'!$E$57*D90+'계산 과정'!$E$58*E90)/F90,"")</x:f>
        <x:v>25.829467251967216</x:v>
      </x:c>
      <x:c r="J90" s="4" t="n">
        <x:f>IF('계산 과정'!$L$5,'계산 과정'!$D$6+'계산 과정'!$C$35*D90+'계산 과정'!$D$35*E90,"")</x:f>
        <x:v>631.4656015331468</x:v>
      </x:c>
      <x:c r="K90" s="4" t="n">
        <x:f>IF(AND('계산 과정'!$L$6,J90&gt;0),'계산 과정'!$D$10*('계산 과정'!$C$38*(D90-'계산 과정'!$C$32)+'계산 과정'!$D$38*(E90-'계산 과정'!$D$32)-'계산 과정'!$E$38*'계산 과정'!$E$32)/J90,"")</x:f>
        <x:v>0.23481118745791688</x:v>
      </x:c>
      <x:c r="L90" s="4" t="n">
        <x:f>IF(AND('계산 과정'!$L$6,J90&gt;0),'계산 과정'!$D$10*('계산 과정'!$C$39*(D90-'계산 과정'!$C$32)+'계산 과정'!$D$39*(E90-'계산 과정'!$D$32)-'계산 과정'!$E$39*'계산 과정'!$E$32)/J90,"")</x:f>
        <x:v>0.19679594096736924</x:v>
      </x:c>
      <x:c r="M90" s="17" t="n">
        <x:f>IF('계산 과정'!$L$6,IF(J90&lt;=0,0,IF(AND(ABS(K90)&lt;='계산 과정'!$D$11/2,ABS(L90)&lt;='계산 과정'!$D$12/2),1,0)),"")</x:f>
        <x:v>1</x:v>
      </x:c>
      <x:c r="N90" s="17" t="n">
        <x:f>IF('계산 과정'!$C$78,IF(AND(ISNUMBER(H90),ISNUMBER(I90),ABS(H90-'계산 과정'!$C$88)&lt;='계산 과정'!$D$23/2,ABS(I90-'계산 과정'!$C$89)&lt;='계산 과정'!$D$24/2),1,0),"")</x:f>
        <x:v>1</x:v>
      </x:c>
      <x:c r="O90" s="4" t="n">
        <x:f>IF('계산 과정'!$L$7,'계산 과정'!$C$49*('계산 과정'!$C$32-D90)+'계산 과정'!$D$49*('계산 과정'!$D$32-E90)+'계산 과정'!$E$49*'계산 과정'!$E$32,"")</x:f>
        <x:v>18.53439846685336</x:v>
      </x:c>
      <x:c r="P90" s="4" t="n">
        <x:f>IF(AND('계산 과정'!$L$7,O90&lt;&gt;0),('계산 과정'!$L$23-'계산 과정'!$C$49*D90-'계산 과정'!$D$49*E90)/O90,"")</x:f>
        <x:v>22.581493497906276</x:v>
      </x:c>
      <x:c r="Q90" s="4" t="str">
        <x:f>IF(AND(ISNUMBER(P90),P90&gt;1E-9,P90&lt;1-1E-9),'계산 과정'!$C$47*(D90-'계산 과정'!$C$50+P90*('계산 과정'!$C$32-D90))+'계산 과정'!$D$47*(E90-'계산 과정'!$D$50+P90*('계산 과정'!$D$32-E90))+'계산 과정'!$E$47*(0-'계산 과정'!$E$50+P90*('계산 과정'!$E$32-0)),"")</x:f>
      </x:c>
      <x:c r="R90" s="4" t="str">
        <x:f>IF(AND(ISNUMBER(P90),P90&gt;1E-9,P90&lt;1-1E-9),'계산 과정'!$C$48*(D90-'계산 과정'!$C$50+P90*('계산 과정'!$C$32-D90))+'계산 과정'!$D$48*(E90-'계산 과정'!$D$50+P90*('계산 과정'!$D$32-E90))+'계산 과정'!$E$48*(0-'계산 과정'!$E$50+P90*('계산 과정'!$E$32-0)),"")</x:f>
      </x:c>
      <x:c r="S90" s="17" t="n">
        <x:f>IF('계산 과정'!$C$78,IF(AND(ISNUMBER(Q90),ISNUMBER(R90),ABS(Q90-'계산 과정'!$C$88)&lt;='계산 과정'!$D$23/2,ABS(R90-'계산 과정'!$C$89)&lt;='계산 과정'!$D$24/2),1,0),"")</x:f>
        <x:v>0</x:v>
      </x:c>
      <x:c r="T90" s="4"/>
      <x:c r="U90" s="4"/>
      <x:c r="V90" s="4"/>
      <x:c r="W90" s="4" t="n">
        <x:f>IF('계산 과정'!$C$77,('계산 과정'!$D$56+'계산 과정'!$D$57*('계산 과정'!$L$11*COS(84*2*PI()/240))+'계산 과정'!$D$58*('계산 과정'!$L$11*SIN(84*2*PI()/240)))/('계산 과정'!$D$59+'계산 과정'!$D$60*('계산 과정'!$L$11*COS(84*2*PI()/240))+'계산 과정'!$D$61*('계산 과정'!$L$11*SIN(84*2*PI()/240))),"")</x:f>
        <x:v>-91.89554339317526</x:v>
      </x:c>
      <x:c r="X90" s="4" t="n">
        <x:f>IF('계산 과정'!$C$77,('계산 과정'!$E$56+'계산 과정'!$E$57*('계산 과정'!$L$11*COS(84*2*PI()/240))+'계산 과정'!$E$58*('계산 과정'!$L$11*SIN(84*2*PI()/240)))/('계산 과정'!$E$59+'계산 과정'!$E$60*('계산 과정'!$L$11*COS(84*2*PI()/240))+'계산 과정'!$E$61*('계산 과정'!$L$11*SIN(84*2*PI()/240))),"")</x:f>
        <x:v>178.87448948799135</x:v>
      </x:c>
      <x:c r="Y90" s="4" t="str">
        <x:f>""</x:f>
      </x:c>
      <x:c r="Z90" s="4" t="str">
        <x:f>""</x:f>
      </x:c>
    </x:row>
    <x:row r="91" ht="23" customHeight="1">
      <x:c r="A91" s="17" t="n">
        <x:f>ROW()-6</x:f>
        <x:v>85</x:v>
      </x:c>
      <x:c r="B91" s="4" t="n">
        <x:f>IF('계산 과정'!$L$5,'계산 과정'!$L$11*SQRT((A91+0.5)/'계산 과정'!$L$30),"")</x:f>
        <x:v>30.64850819677036</x:v>
      </x:c>
      <x:c r="C91" s="4" t="n">
        <x:f>A91*PI()*(3-SQRT(5))</x:f>
        <x:v>203.9968745269355</x:v>
      </x:c>
      <x:c r="D91" s="4" t="n">
        <x:f>IF('계산 과정'!$L$5,B91*COS(C91),"")</x:f>
        <x:v>-29.996436219221078</x:v>
      </x:c>
      <x:c r="E91" s="4" t="n">
        <x:f>IF('계산 과정'!$L$5,B91*SIN(C91),"")</x:f>
        <x:v>6.288471104624869</x:v>
      </x:c>
      <x:c r="F91" s="4" t="n">
        <x:f>IF('계산 과정'!$L$7,'계산 과정'!$L$22+'계산 과정'!$C$49*D91+'계산 과정'!$D$49*E91,"")</x:f>
        <x:v>671.210683462041</x:v>
      </x:c>
      <x:c r="G91" s="4" t="n">
        <x:f>IF('계산 과정'!$L$7,IF(ABS(F91)&gt;=1E-12*MAX(1,SQRT((D91-'계산 과정'!$C$33)^2+(E91-'계산 과정'!$D$33)^2+'계산 과정'!$E$33^2)),('계산 과정'!$L$23-'계산 과정'!$C$49*D91-'계산 과정'!$D$49*E91)/F91,""),"")</x:f>
        <x:v>0.5643374366215383</x:v>
      </x:c>
      <x:c r="H91" s="4" t="n">
        <x:f>IF(AND(ISNUMBER(G91),G91&gt;0),('계산 과정'!$D$56+'계산 과정'!$D$57*D91+'계산 과정'!$D$58*E91)/F91,"")</x:f>
        <x:v>-33.180666196000175</x:v>
      </x:c>
      <x:c r="I91" s="4" t="n">
        <x:f>IF(AND(ISNUMBER(G91),G91&gt;0),('계산 과정'!$E$56+'계산 과정'!$E$57*D91+'계산 과정'!$E$58*E91)/F91,"")</x:f>
        <x:v>9.837290768077482</x:v>
      </x:c>
      <x:c r="J91" s="4" t="n">
        <x:f>IF('계산 과정'!$L$5,'계산 과정'!$D$6+'계산 과정'!$C$35*D91+'계산 과정'!$D$35*E91,"")</x:f>
        <x:v>671.210683462041</x:v>
      </x:c>
      <x:c r="K91" s="4" t="n">
        <x:f>IF(AND('계산 과정'!$L$6,J91&gt;0),'계산 과정'!$D$10*('계산 과정'!$C$38*(D91-'계산 과정'!$C$32)+'계산 과정'!$D$38*(E91-'계산 과정'!$D$32)-'계산 과정'!$E$38*'계산 과정'!$E$32)/J91,"")</x:f>
        <x:v>-0.25280507577904826</x:v>
      </x:c>
      <x:c r="L91" s="4" t="n">
        <x:f>IF(AND('계산 과정'!$L$6,J91&gt;0),'계산 과정'!$D$10*('계산 과정'!$C$39*(D91-'계산 과정'!$C$32)+'계산 과정'!$D$39*(E91-'계산 과정'!$D$32)-'계산 과정'!$E$39*'계산 과정'!$E$32)/J91,"")</x:f>
        <x:v>0.07495078680439987</x:v>
      </x:c>
      <x:c r="M91" s="17" t="n">
        <x:f>IF('계산 과정'!$L$6,IF(J91&lt;=0,0,IF(AND(ABS(K91)&lt;='계산 과정'!$D$11/2,ABS(L91)&lt;='계산 과정'!$D$12/2),1,0)),"")</x:f>
        <x:v>1</x:v>
      </x:c>
      <x:c r="N91" s="17" t="n">
        <x:f>IF('계산 과정'!$C$78,IF(AND(ISNUMBER(H91),ISNUMBER(I91),ABS(H91-'계산 과정'!$C$88)&lt;='계산 과정'!$D$23/2,ABS(I91-'계산 과정'!$C$89)&lt;='계산 과정'!$D$24/2),1,0),"")</x:f>
        <x:v>1</x:v>
      </x:c>
      <x:c r="O91" s="4" t="n">
        <x:f>IF('계산 과정'!$L$7,'계산 과정'!$C$49*('계산 과정'!$C$32-D91)+'계산 과정'!$D$49*('계산 과정'!$D$32-E91)+'계산 과정'!$E$49*'계산 과정'!$E$32,"")</x:f>
        <x:v>-21.21068346204089</x:v>
      </x:c>
      <x:c r="P91" s="4" t="n">
        <x:f>IF(AND('계산 과정'!$L$7,O91&lt;&gt;0),('계산 과정'!$L$23-'계산 과정'!$C$49*D91-'계산 과정'!$D$49*E91)/O91,"")</x:f>
        <x:v>-17.858421074259525</x:v>
      </x:c>
      <x:c r="Q91" s="4" t="str">
        <x:f>IF(AND(ISNUMBER(P91),P91&gt;1E-9,P91&lt;1-1E-9),'계산 과정'!$C$47*(D91-'계산 과정'!$C$50+P91*('계산 과정'!$C$32-D91))+'계산 과정'!$D$47*(E91-'계산 과정'!$D$50+P91*('계산 과정'!$D$32-E91))+'계산 과정'!$E$47*(0-'계산 과정'!$E$50+P91*('계산 과정'!$E$32-0)),"")</x:f>
      </x:c>
      <x:c r="R91" s="4" t="str">
        <x:f>IF(AND(ISNUMBER(P91),P91&gt;1E-9,P91&lt;1-1E-9),'계산 과정'!$C$48*(D91-'계산 과정'!$C$50+P91*('계산 과정'!$C$32-D91))+'계산 과정'!$D$48*(E91-'계산 과정'!$D$50+P91*('계산 과정'!$D$32-E91))+'계산 과정'!$E$48*(0-'계산 과정'!$E$50+P91*('계산 과정'!$E$32-0)),"")</x:f>
      </x:c>
      <x:c r="S91" s="17" t="n">
        <x:f>IF('계산 과정'!$C$78,IF(AND(ISNUMBER(Q91),ISNUMBER(R91),ABS(Q91-'계산 과정'!$C$88)&lt;='계산 과정'!$D$23/2,ABS(R91-'계산 과정'!$C$89)&lt;='계산 과정'!$D$24/2),1,0),"")</x:f>
        <x:v>0</x:v>
      </x:c>
      <x:c r="T91" s="4"/>
      <x:c r="U91" s="4"/>
      <x:c r="V91" s="4"/>
      <x:c r="W91" s="4" t="n">
        <x:f>IF('계산 과정'!$C$77,('계산 과정'!$D$56+'계산 과정'!$D$57*('계산 과정'!$L$11*COS(85*2*PI()/240))+'계산 과정'!$D$58*('계산 과정'!$L$11*SIN(85*2*PI()/240)))/('계산 과정'!$D$59+'계산 과정'!$D$60*('계산 과정'!$L$11*COS(85*2*PI()/240))+'계산 과정'!$D$61*('계산 과정'!$L$11*SIN(85*2*PI()/240))),"")</x:f>
        <x:v>-94.87866765284733</x:v>
      </x:c>
      <x:c r="X91" s="4" t="n">
        <x:f>IF('계산 과정'!$C$77,('계산 과정'!$E$56+'계산 과정'!$E$57*('계산 과정'!$L$11*COS(85*2*PI()/240))+'계산 과정'!$E$58*('계산 과정'!$L$11*SIN(85*2*PI()/240)))/('계산 과정'!$E$59+'계산 과정'!$E$60*('계산 과정'!$L$11*COS(85*2*PI()/240))+'계산 과정'!$E$61*('계산 과정'!$L$11*SIN(85*2*PI()/240))),"")</x:f>
        <x:v>174.86508447716045</x:v>
      </x:c>
      <x:c r="Y91" s="4" t="str">
        <x:f>""</x:f>
      </x:c>
      <x:c r="Z91" s="4" t="str">
        <x:f>""</x:f>
      </x:c>
    </x:row>
    <x:row r="92" ht="23" customHeight="1">
      <x:c r="A92" s="17" t="n">
        <x:f>ROW()-6</x:f>
        <x:v>86</x:v>
      </x:c>
      <x:c r="B92" s="4" t="n">
        <x:f>IF('계산 과정'!$L$5,'계산 과정'!$L$11*SQRT((A92+0.5)/'계산 과정'!$L$30),"")</x:f>
        <x:v>30.82721821398259</x:v>
      </x:c>
      <x:c r="C92" s="4" t="n">
        <x:f>A92*PI()*(3-SQRT(5))</x:f>
        <x:v>206.39683775666415</x:v>
      </x:c>
      <x:c r="D92" s="4" t="n">
        <x:f>IF('계산 과정'!$L$5,B92*COS(C92),"")</x:f>
        <x:v>17.974840174445273</x:v>
      </x:c>
      <x:c r="E92" s="4" t="n">
        <x:f>IF('계산 과정'!$L$5,B92*SIN(C92),"")</x:f>
        <x:v>-25.044410624242055</x:v>
      </x:c>
      <x:c r="F92" s="4" t="n">
        <x:f>IF('계산 과정'!$L$7,'계산 과정'!$L$22+'계산 과정'!$C$49*D92+'계산 과정'!$D$49*E92,"")</x:f>
        <x:v>637.2898686219054</x:v>
      </x:c>
      <x:c r="G92" s="4" t="n">
        <x:f>IF('계산 과정'!$L$7,IF(ABS(F92)&gt;=1E-12*MAX(1,SQRT((D92-'계산 과정'!$C$33)^2+(E92-'계산 과정'!$D$33)^2+'계산 과정'!$E$33^2)),('계산 과정'!$L$23-'계산 과정'!$C$49*D92-'계산 과정'!$D$49*E92)/F92,""),"")</x:f>
        <x:v>0.6476019025228681</x:v>
      </x:c>
      <x:c r="H92" s="4" t="n">
        <x:f>IF(AND(ISNUMBER(G92),G92&gt;0),('계산 과정'!$D$56+'계산 과정'!$D$57*D92+'계산 과정'!$D$58*E92)/F92,"")</x:f>
        <x:v>20.94123663986422</x:v>
      </x:c>
      <x:c r="I92" s="4" t="n">
        <x:f>IF(AND(ISNUMBER(G92),G92&gt;0),('계산 과정'!$E$56+'계산 과정'!$E$57*D92+'계산 과정'!$E$58*E92)/F92,"")</x:f>
        <x:v>-41.263218592065144</x:v>
      </x:c>
      <x:c r="J92" s="4" t="n">
        <x:f>IF('계산 과정'!$L$5,'계산 과정'!$D$6+'계산 과정'!$C$35*D92+'계산 과정'!$D$35*E92,"")</x:f>
        <x:v>637.2898686219054</x:v>
      </x:c>
      <x:c r="K92" s="4" t="n">
        <x:f>IF(AND('계산 과정'!$L$6,J92&gt;0),'계산 과정'!$D$10*('계산 과정'!$C$38*(D92-'계산 과정'!$C$32)+'계산 과정'!$D$38*(E92-'계산 과정'!$D$32)-'계산 과정'!$E$38*'계산 과정'!$E$32)/J92,"")</x:f>
        <x:v>0.1595522791608708</x:v>
      </x:c>
      <x:c r="L92" s="4" t="n">
        <x:f>IF(AND('계산 과정'!$L$6,J92&gt;0),'계산 과정'!$D$10*('계산 과정'!$C$39*(D92-'계산 과정'!$C$32)+'계산 과정'!$D$39*(E92-'계산 과정'!$D$32)-'계산 과정'!$E$39*'계산 과정'!$E$32)/J92,"")</x:f>
        <x:v>-0.31438642736811534</x:v>
      </x:c>
      <x:c r="M92" s="17" t="n">
        <x:f>IF('계산 과정'!$L$6,IF(J92&lt;=0,0,IF(AND(ABS(K92)&lt;='계산 과정'!$D$11/2,ABS(L92)&lt;='계산 과정'!$D$12/2),1,0)),"")</x:f>
        <x:v>1</x:v>
      </x:c>
      <x:c r="N92" s="17" t="n">
        <x:f>IF('계산 과정'!$C$78,IF(AND(ISNUMBER(H92),ISNUMBER(I92),ABS(H92-'계산 과정'!$C$88)&lt;='계산 과정'!$D$23/2,ABS(I92-'계산 과정'!$C$89)&lt;='계산 과정'!$D$24/2),1,0),"")</x:f>
        <x:v>1</x:v>
      </x:c>
      <x:c r="O92" s="4" t="n">
        <x:f>IF('계산 과정'!$L$7,'계산 과정'!$C$49*('계산 과정'!$C$32-D92)+'계산 과정'!$D$49*('계산 과정'!$D$32-E92)+'계산 과정'!$E$49*'계산 과정'!$E$32,"")</x:f>
        <x:v>12.71013137809473</x:v>
      </x:c>
      <x:c r="P92" s="4" t="n">
        <x:f>IF(AND('계산 과정'!$L$7,O92&lt;&gt;0),('계산 과정'!$L$23-'계산 과정'!$C$49*D92-'계산 과정'!$D$49*E92)/O92,"")</x:f>
        <x:v>32.47095715229032</x:v>
      </x:c>
      <x:c r="Q92" s="4" t="str">
        <x:f>IF(AND(ISNUMBER(P92),P92&gt;1E-9,P92&lt;1-1E-9),'계산 과정'!$C$47*(D92-'계산 과정'!$C$50+P92*('계산 과정'!$C$32-D92))+'계산 과정'!$D$47*(E92-'계산 과정'!$D$50+P92*('계산 과정'!$D$32-E92))+'계산 과정'!$E$47*(0-'계산 과정'!$E$50+P92*('계산 과정'!$E$32-0)),"")</x:f>
      </x:c>
      <x:c r="R92" s="4" t="str">
        <x:f>IF(AND(ISNUMBER(P92),P92&gt;1E-9,P92&lt;1-1E-9),'계산 과정'!$C$48*(D92-'계산 과정'!$C$50+P92*('계산 과정'!$C$32-D92))+'계산 과정'!$D$48*(E92-'계산 과정'!$D$50+P92*('계산 과정'!$D$32-E92))+'계산 과정'!$E$48*(0-'계산 과정'!$E$50+P92*('계산 과정'!$E$32-0)),"")</x:f>
      </x:c>
      <x:c r="S92" s="17" t="n">
        <x:f>IF('계산 과정'!$C$78,IF(AND(ISNUMBER(Q92),ISNUMBER(R92),ABS(Q92-'계산 과정'!$C$88)&lt;='계산 과정'!$D$23/2,ABS(R92-'계산 과정'!$C$89)&lt;='계산 과정'!$D$24/2),1,0),"")</x:f>
        <x:v>0</x:v>
      </x:c>
      <x:c r="T92" s="4"/>
      <x:c r="U92" s="4"/>
      <x:c r="V92" s="4"/>
      <x:c r="W92" s="4" t="n">
        <x:f>IF('계산 과정'!$C$77,('계산 과정'!$D$56+'계산 과정'!$D$57*('계산 과정'!$L$11*COS(86*2*PI()/240))+'계산 과정'!$D$58*('계산 과정'!$L$11*SIN(86*2*PI()/240)))/('계산 과정'!$D$59+'계산 과정'!$D$60*('계산 과정'!$L$11*COS(86*2*PI()/240))+'계산 과정'!$D$61*('계산 과정'!$L$11*SIN(86*2*PI()/240))),"")</x:f>
        <x:v>-97.78448684454018</x:v>
      </x:c>
      <x:c r="X92" s="4" t="n">
        <x:f>IF('계산 과정'!$C$77,('계산 과정'!$E$56+'계산 과정'!$E$57*('계산 과정'!$L$11*COS(86*2*PI()/240))+'계산 과정'!$E$58*('계산 과정'!$L$11*SIN(86*2*PI()/240)))/('계산 과정'!$E$59+'계산 과정'!$E$60*('계산 과정'!$L$11*COS(86*2*PI()/240))+'계산 과정'!$E$61*('계산 과정'!$L$11*SIN(86*2*PI()/240))),"")</x:f>
        <x:v>170.7716401120253</x:v>
      </x:c>
      <x:c r="Y92" s="4" t="str">
        <x:f>""</x:f>
      </x:c>
      <x:c r="Z92" s="4" t="str">
        <x:f>""</x:f>
      </x:c>
    </x:row>
    <x:row r="93" ht="23" customHeight="1">
      <x:c r="A93" s="17" t="n">
        <x:f>ROW()-6</x:f>
        <x:v>87</x:v>
      </x:c>
      <x:c r="B93" s="4" t="n">
        <x:f>IF('계산 과정'!$L$5,'계산 과정'!$L$11*SQRT((A93+0.5)/'계산 과정'!$L$30),"")</x:f>
        <x:v>31.00489817653817</x:v>
      </x:c>
      <x:c r="C93" s="4" t="n">
        <x:f>A93*PI()*(3-SQRT(5))</x:f>
        <x:v>208.79680098639278</x:v>
      </x:c>
      <x:c r="D93" s="4" t="n">
        <x:f>IF('계산 과정'!$L$5,B93*COS(C93),"")</x:f>
        <x:v>3.6842821074654686</x:v>
      </x:c>
      <x:c r="E93" s="4" t="n">
        <x:f>IF('계산 과정'!$L$5,B93*SIN(C93),"")</x:f>
        <x:v>30.78522009487848</x:v>
      </x:c>
      <x:c r="F93" s="4" t="n">
        <x:f>IF('계산 과정'!$L$7,'계산 과정'!$L$22+'계산 과정'!$C$49*D93+'계산 과정'!$D$49*E93,"")</x:f>
        <x:v>647.3948191380069</x:v>
      </x:c>
      <x:c r="G93" s="4" t="n">
        <x:f>IF('계산 과정'!$L$7,IF(ABS(F93)&gt;=1E-12*MAX(1,SQRT((D93-'계산 과정'!$C$33)^2+(E93-'계산 과정'!$D$33)^2+'계산 과정'!$E$33^2)),('계산 과정'!$L$23-'계산 과정'!$C$49*D93-'계산 과정'!$D$49*E93)/F93,""),"")</x:f>
        <x:v>0.6218850830441519</x:v>
      </x:c>
      <x:c r="H93" s="4" t="n">
        <x:f>IF(AND(ISNUMBER(G93),G93&gt;0),('계산 과정'!$D$56+'계산 과정'!$D$57*D93+'계산 과정'!$D$58*E93)/F93,"")</x:f>
        <x:v>4.225303978698596</x:v>
      </x:c>
      <x:c r="I93" s="4" t="n">
        <x:f>IF(AND(ISNUMBER(G93),G93&gt;0),('계산 과정'!$E$56+'계산 과정'!$E$57*D93+'계산 과정'!$E$58*E93)/F93,"")</x:f>
        <x:v>49.93008925011447</x:v>
      </x:c>
      <x:c r="J93" s="4" t="n">
        <x:f>IF('계산 과정'!$L$5,'계산 과정'!$D$6+'계산 과정'!$C$35*D93+'계산 과정'!$D$35*E93,"")</x:f>
        <x:v>647.3948191380069</x:v>
      </x:c>
      <x:c r="K93" s="4" t="n">
        <x:f>IF(AND('계산 과정'!$L$6,J93&gt;0),'계산 과정'!$D$10*('계산 과정'!$C$38*(D93-'계산 과정'!$C$32)+'계산 과정'!$D$38*(E93-'계산 과정'!$D$32)-'계산 과정'!$E$38*'계산 과정'!$E$32)/J93,"")</x:f>
        <x:v>0.032192792218657104</x:v>
      </x:c>
      <x:c r="L93" s="4" t="n">
        <x:f>IF(AND('계산 과정'!$L$6,J93&gt;0),'계산 과정'!$D$10*('계산 과정'!$C$39*(D93-'계산 과정'!$C$32)+'계산 과정'!$D$39*(E93-'계산 과정'!$D$32)-'계산 과정'!$E$39*'계산 과정'!$E$32)/J93,"")</x:f>
        <x:v>0.38041972761991977</x:v>
      </x:c>
      <x:c r="M93" s="17" t="n">
        <x:f>IF('계산 과정'!$L$6,IF(J93&lt;=0,0,IF(AND(ABS(K93)&lt;='계산 과정'!$D$11/2,ABS(L93)&lt;='계산 과정'!$D$12/2),1,0)),"")</x:f>
        <x:v>1</x:v>
      </x:c>
      <x:c r="N93" s="17" t="n">
        <x:f>IF('계산 과정'!$C$78,IF(AND(ISNUMBER(H93),ISNUMBER(I93),ABS(H93-'계산 과정'!$C$88)&lt;='계산 과정'!$D$23/2,ABS(I93-'계산 과정'!$C$89)&lt;='계산 과정'!$D$24/2),1,0),"")</x:f>
        <x:v>1</x:v>
      </x:c>
      <x:c r="O93" s="4" t="n">
        <x:f>IF('계산 과정'!$L$7,'계산 과정'!$C$49*('계산 과정'!$C$32-D93)+'계산 과정'!$D$49*('계산 과정'!$D$32-E93)+'계산 과정'!$E$49*'계산 과정'!$E$32,"")</x:f>
        <x:v>2.605180861993233</x:v>
      </x:c>
      <x:c r="P93" s="4" t="n">
        <x:f>IF(AND('계산 과정'!$L$7,O93&lt;&gt;0),('계산 과정'!$L$23-'계산 과정'!$C$49*D93-'계산 과정'!$D$49*E93)/O93,"")</x:f>
        <x:v>154.5402036133332</x:v>
      </x:c>
      <x:c r="Q93" s="4" t="str">
        <x:f>IF(AND(ISNUMBER(P93),P93&gt;1E-9,P93&lt;1-1E-9),'계산 과정'!$C$47*(D93-'계산 과정'!$C$50+P93*('계산 과정'!$C$32-D93))+'계산 과정'!$D$47*(E93-'계산 과정'!$D$50+P93*('계산 과정'!$D$32-E93))+'계산 과정'!$E$47*(0-'계산 과정'!$E$50+P93*('계산 과정'!$E$32-0)),"")</x:f>
      </x:c>
      <x:c r="R93" s="4" t="str">
        <x:f>IF(AND(ISNUMBER(P93),P93&gt;1E-9,P93&lt;1-1E-9),'계산 과정'!$C$48*(D93-'계산 과정'!$C$50+P93*('계산 과정'!$C$32-D93))+'계산 과정'!$D$48*(E93-'계산 과정'!$D$50+P93*('계산 과정'!$D$32-E93))+'계산 과정'!$E$48*(0-'계산 과정'!$E$50+P93*('계산 과정'!$E$32-0)),"")</x:f>
      </x:c>
      <x:c r="S93" s="17" t="n">
        <x:f>IF('계산 과정'!$C$78,IF(AND(ISNUMBER(Q93),ISNUMBER(R93),ABS(Q93-'계산 과정'!$C$88)&lt;='계산 과정'!$D$23/2,ABS(R93-'계산 과정'!$C$89)&lt;='계산 과정'!$D$24/2),1,0),"")</x:f>
        <x:v>0</x:v>
      </x:c>
      <x:c r="T93" s="4"/>
      <x:c r="U93" s="4"/>
      <x:c r="V93" s="4"/>
      <x:c r="W93" s="4" t="n">
        <x:f>IF('계산 과정'!$C$77,('계산 과정'!$D$56+'계산 과정'!$D$57*('계산 과정'!$L$11*COS(87*2*PI()/240))+'계산 과정'!$D$58*('계산 과정'!$L$11*SIN(87*2*PI()/240)))/('계산 과정'!$D$59+'계산 과정'!$D$60*('계산 과정'!$L$11*COS(87*2*PI()/240))+'계산 과정'!$D$61*('계산 과정'!$L$11*SIN(87*2*PI()/240))),"")</x:f>
        <x:v>-100.61226739314506</x:v>
      </x:c>
      <x:c r="X93" s="4" t="n">
        <x:f>IF('계산 과정'!$C$77,('계산 과정'!$E$56+'계산 과정'!$E$57*('계산 과정'!$L$11*COS(87*2*PI()/240))+'계산 과정'!$E$58*('계산 과정'!$L$11*SIN(87*2*PI()/240)))/('계산 과정'!$E$59+'계산 과정'!$E$60*('계산 과정'!$L$11*COS(87*2*PI()/240))+'계산 과정'!$E$61*('계산 과정'!$L$11*SIN(87*2*PI()/240))),"")</x:f>
        <x:v>166.59694512501684</x:v>
      </x:c>
      <x:c r="Y93" s="4" t="str">
        <x:f>""</x:f>
      </x:c>
      <x:c r="Z93" s="4" t="str">
        <x:f>""</x:f>
      </x:c>
    </x:row>
    <x:row r="94" ht="23" customHeight="1">
      <x:c r="A94" s="17" t="n">
        <x:f>ROW()-6</x:f>
        <x:v>88</x:v>
      </x:c>
      <x:c r="B94" s="4" t="n">
        <x:f>IF('계산 과정'!$L$5,'계산 과정'!$L$11*SQRT((A94+0.5)/'계산 과정'!$L$30),"")</x:f>
        <x:v>31.18156569292985</x:v>
      </x:c>
      <x:c r="C94" s="4" t="n">
        <x:f>A94*PI()*(3-SQRT(5))</x:f>
        <x:v>211.19676421612144</x:v>
      </x:c>
      <x:c r="D94" s="4" t="n">
        <x:f>IF('계산 과정'!$L$5,B94*COS(C94),"")</x:f>
        <x:v>-23.645763755993553</x:v>
      </x:c>
      <x:c r="E94" s="4" t="n">
        <x:f>IF('계산 과정'!$L$5,B94*SIN(C94),"")</x:f>
        <x:v>-20.326531810868318</x:v>
      </x:c>
      <x:c r="F94" s="4" t="n">
        <x:f>IF('계산 과정'!$L$7,'계산 과정'!$L$22+'계산 과정'!$C$49*D94+'계산 과정'!$D$49*E94,"")</x:f>
        <x:v>666.7200798981982</x:v>
      </x:c>
      <x:c r="G94" s="4" t="n">
        <x:f>IF('계산 과정'!$L$7,IF(ABS(F94)&gt;=1E-12*MAX(1,SQRT((D94-'계산 과정'!$C$33)^2+(E94-'계산 과정'!$D$33)^2+'계산 과정'!$E$33^2)),('계산 과정'!$L$23-'계산 과정'!$C$49*D94-'계산 과정'!$D$49*E94)/F94,""),"")</x:f>
        <x:v>0.574873821349921</x:v>
      </x:c>
      <x:c r="H94" s="4" t="n">
        <x:f>IF(AND(ISNUMBER(G94),G94&gt;0),('계산 과정'!$D$56+'계산 과정'!$D$57*D94+'계산 과정'!$D$58*E94)/F94,"")</x:f>
        <x:v>-26.3320161225514</x:v>
      </x:c>
      <x:c r="I94" s="4" t="n">
        <x:f>IF(AND(ISNUMBER(G94),G94&gt;0),('계산 과정'!$E$56+'계산 과정'!$E$57*D94+'계산 과정'!$E$58*E94)/F94,"")</x:f>
        <x:v>-32.011722827772914</x:v>
      </x:c>
      <x:c r="J94" s="4" t="n">
        <x:f>IF('계산 과정'!$L$5,'계산 과정'!$D$6+'계산 과정'!$C$35*D94+'계산 과정'!$D$35*E94,"")</x:f>
        <x:v>666.7200798981982</x:v>
      </x:c>
      <x:c r="K94" s="4" t="n">
        <x:f>IF(AND('계산 과정'!$L$6,J94&gt;0),'계산 과정'!$D$10*('계산 과정'!$C$38*(D94-'계산 과정'!$C$32)+'계산 과정'!$D$38*(E94-'계산 과정'!$D$32)-'계산 과정'!$E$38*'계산 과정'!$E$32)/J94,"")</x:f>
        <x:v>-0.20062488474324747</x:v>
      </x:c>
      <x:c r="L94" s="4" t="n">
        <x:f>IF(AND('계산 과정'!$L$6,J94&gt;0),'계산 과정'!$D$10*('계산 과정'!$C$39*(D94-'계산 과정'!$C$32)+'계산 과정'!$D$39*(E94-'계산 과정'!$D$32)-'계산 과정'!$E$39*'계산 과정'!$E$32)/J94,"")</x:f>
        <x:v>-0.24389884059255557</x:v>
      </x:c>
      <x:c r="M94" s="17" t="n">
        <x:f>IF('계산 과정'!$L$6,IF(J94&lt;=0,0,IF(AND(ABS(K94)&lt;='계산 과정'!$D$11/2,ABS(L94)&lt;='계산 과정'!$D$12/2),1,0)),"")</x:f>
        <x:v>1</x:v>
      </x:c>
      <x:c r="N94" s="17" t="n">
        <x:f>IF('계산 과정'!$C$78,IF(AND(ISNUMBER(H94),ISNUMBER(I94),ABS(H94-'계산 과정'!$C$88)&lt;='계산 과정'!$D$23/2,ABS(I94-'계산 과정'!$C$89)&lt;='계산 과정'!$D$24/2),1,0),"")</x:f>
        <x:v>1</x:v>
      </x:c>
      <x:c r="O94" s="4" t="n">
        <x:f>IF('계산 과정'!$L$7,'계산 과정'!$C$49*('계산 과정'!$C$32-D94)+'계산 과정'!$D$49*('계산 과정'!$D$32-E94)+'계산 과정'!$E$49*'계산 과정'!$E$32,"")</x:f>
        <x:v>-16.72007989819798</x:v>
      </x:c>
      <x:c r="P94" s="4" t="n">
        <x:f>IF(AND('계산 과정'!$L$7,O94&lt;&gt;0),('계산 과정'!$L$23-'계산 과정'!$C$49*D94-'계산 과정'!$D$49*E94)/O94,"")</x:f>
        <x:v>-22.923330656040115</x:v>
      </x:c>
      <x:c r="Q94" s="4" t="str">
        <x:f>IF(AND(ISNUMBER(P94),P94&gt;1E-9,P94&lt;1-1E-9),'계산 과정'!$C$47*(D94-'계산 과정'!$C$50+P94*('계산 과정'!$C$32-D94))+'계산 과정'!$D$47*(E94-'계산 과정'!$D$50+P94*('계산 과정'!$D$32-E94))+'계산 과정'!$E$47*(0-'계산 과정'!$E$50+P94*('계산 과정'!$E$32-0)),"")</x:f>
      </x:c>
      <x:c r="R94" s="4" t="str">
        <x:f>IF(AND(ISNUMBER(P94),P94&gt;1E-9,P94&lt;1-1E-9),'계산 과정'!$C$48*(D94-'계산 과정'!$C$50+P94*('계산 과정'!$C$32-D94))+'계산 과정'!$D$48*(E94-'계산 과정'!$D$50+P94*('계산 과정'!$D$32-E94))+'계산 과정'!$E$48*(0-'계산 과정'!$E$50+P94*('계산 과정'!$E$32-0)),"")</x:f>
      </x:c>
      <x:c r="S94" s="17" t="n">
        <x:f>IF('계산 과정'!$C$78,IF(AND(ISNUMBER(Q94),ISNUMBER(R94),ABS(Q94-'계산 과정'!$C$88)&lt;='계산 과정'!$D$23/2,ABS(R94-'계산 과정'!$C$89)&lt;='계산 과정'!$D$24/2),1,0),"")</x:f>
        <x:v>0</x:v>
      </x:c>
      <x:c r="T94" s="4"/>
      <x:c r="U94" s="4"/>
      <x:c r="V94" s="4"/>
      <x:c r="W94" s="4" t="n">
        <x:f>IF('계산 과정'!$C$77,('계산 과정'!$D$56+'계산 과정'!$D$57*('계산 과정'!$L$11*COS(88*2*PI()/240))+'계산 과정'!$D$58*('계산 과정'!$L$11*SIN(88*2*PI()/240)))/('계산 과정'!$D$59+'계산 과정'!$D$60*('계산 과정'!$L$11*COS(88*2*PI()/240))+'계산 과정'!$D$61*('계산 과정'!$L$11*SIN(88*2*PI()/240))),"")</x:f>
        <x:v>-103.36131972828973</x:v>
      </x:c>
      <x:c r="X94" s="4" t="n">
        <x:f>IF('계산 과정'!$C$77,('계산 과정'!$E$56+'계산 과정'!$E$57*('계산 과정'!$L$11*COS(88*2*PI()/240))+'계산 과정'!$E$58*('계산 과정'!$L$11*SIN(88*2*PI()/240)))/('계산 과정'!$E$59+'계산 과정'!$E$60*('계산 과정'!$L$11*COS(88*2*PI()/240))+'계산 과정'!$E$61*('계산 과정'!$L$11*SIN(88*2*PI()/240))),"")</x:f>
        <x:v>162.34376234784722</x:v>
      </x:c>
      <x:c r="Y94" s="4" t="str">
        <x:f>""</x:f>
      </x:c>
      <x:c r="Z94" s="4" t="str">
        <x:f>""</x:f>
      </x:c>
    </x:row>
    <x:row r="95" ht="23" customHeight="1">
      <x:c r="A95" s="17" t="n">
        <x:f>ROW()-6</x:f>
        <x:v>89</x:v>
      </x:c>
      <x:c r="B95" s="4" t="n">
        <x:f>IF('계산 과정'!$L$5,'계산 과정'!$L$11*SQRT((A95+0.5)/'계산 과정'!$L$30),"")</x:f>
        <x:v>31.35723787560856</x:v>
      </x:c>
      <x:c r="C95" s="4" t="n">
        <x:f>A95*PI()*(3-SQRT(5))</x:f>
        <x:v>213.59672744585012</x:v>
      </x:c>
      <x:c r="D95" s="4" t="n">
        <x:f>IF('계산 과정'!$L$5,B95*COS(C95),"")</x:f>
        <x:v>31.341609876475598</x:v>
      </x:c>
      <x:c r="E95" s="4" t="n">
        <x:f>IF('계산 과정'!$L$5,B95*SIN(C95),"")</x:f>
        <x:v>-0.989877537025357</x:v>
      </x:c>
      <x:c r="F95" s="4" t="n">
        <x:f>IF('계산 과정'!$L$7,'계산 과정'!$L$22+'계산 과정'!$C$49*D95+'계산 과정'!$D$49*E95,"")</x:f>
        <x:v>627.8381351230408</x:v>
      </x:c>
      <x:c r="G95" s="4" t="n">
        <x:f>IF('계산 과정'!$L$7,IF(ABS(F95)&gt;=1E-12*MAX(1,SQRT((D95-'계산 과정'!$C$33)^2+(E95-'계산 과정'!$D$33)^2+'계산 과정'!$E$33^2)),('계산 과정'!$L$23-'계산 과정'!$C$49*D95-'계산 과정'!$D$49*E95)/F95,""),"")</x:f>
        <x:v>0.6724055791772282</x:v>
      </x:c>
      <x:c r="H95" s="4" t="n">
        <x:f>IF(AND(ISNUMBER(G95),G95&gt;0),('계산 과정'!$D$56+'계산 과정'!$D$57*D95+'계산 과정'!$D$58*E95)/F95,"")</x:f>
        <x:v>37.06362646519826</x:v>
      </x:c>
      <x:c r="I95" s="4" t="n">
        <x:f>IF(AND(ISNUMBER(G95),G95&gt;0),('계산 과정'!$E$56+'계산 과정'!$E$57*D95+'계산 과정'!$E$58*E95)/F95,"")</x:f>
        <x:v>-1.6554767156234202</x:v>
      </x:c>
      <x:c r="J95" s="4" t="n">
        <x:f>IF('계산 과정'!$L$5,'계산 과정'!$D$6+'계산 과정'!$C$35*D95+'계산 과정'!$D$35*E95,"")</x:f>
        <x:v>627.8381351230408</x:v>
      </x:c>
      <x:c r="K95" s="4" t="n">
        <x:f>IF(AND('계산 과정'!$L$6,J95&gt;0),'계산 과정'!$D$10*('계산 과정'!$C$38*(D95-'계산 과정'!$C$32)+'계산 과정'!$D$38*(E95-'계산 과정'!$D$32)-'계산 과정'!$E$38*'계산 과정'!$E$32)/J95,"")</x:f>
        <x:v>0.28238953497294056</x:v>
      </x:c>
      <x:c r="L95" s="4" t="n">
        <x:f>IF(AND('계산 과정'!$L$6,J95&gt;0),'계산 과정'!$D$10*('계산 과정'!$C$39*(D95-'계산 과정'!$C$32)+'계산 과정'!$D$39*(E95-'계산 과정'!$D$32)-'계산 과정'!$E$39*'계산 과정'!$E$32)/J95,"")</x:f>
        <x:v>-0.012613155928559393</x:v>
      </x:c>
      <x:c r="M95" s="17" t="n">
        <x:f>IF('계산 과정'!$L$6,IF(J95&lt;=0,0,IF(AND(ABS(K95)&lt;='계산 과정'!$D$11/2,ABS(L95)&lt;='계산 과정'!$D$12/2),1,0)),"")</x:f>
        <x:v>1</x:v>
      </x:c>
      <x:c r="N95" s="17" t="n">
        <x:f>IF('계산 과정'!$C$78,IF(AND(ISNUMBER(H95),ISNUMBER(I95),ABS(H95-'계산 과정'!$C$88)&lt;='계산 과정'!$D$23/2,ABS(I95-'계산 과정'!$C$89)&lt;='계산 과정'!$D$24/2),1,0),"")</x:f>
        <x:v>1</x:v>
      </x:c>
      <x:c r="O95" s="4" t="n">
        <x:f>IF('계산 과정'!$L$7,'계산 과정'!$C$49*('계산 과정'!$C$32-D95)+'계산 과정'!$D$49*('계산 과정'!$D$32-E95)+'계산 과정'!$E$49*'계산 과정'!$E$32,"")</x:f>
        <x:v>22.16186487695927</x:v>
      </x:c>
      <x:c r="P95" s="4" t="n">
        <x:f>IF(AND('계산 과정'!$L$7,O95&lt;&gt;0),('계산 과정'!$L$23-'계산 과정'!$C$49*D95-'계산 과정'!$D$49*E95)/O95,"")</x:f>
        <x:v>19.049022598989968</x:v>
      </x:c>
      <x:c r="Q95" s="4" t="str">
        <x:f>IF(AND(ISNUMBER(P95),P95&gt;1E-9,P95&lt;1-1E-9),'계산 과정'!$C$47*(D95-'계산 과정'!$C$50+P95*('계산 과정'!$C$32-D95))+'계산 과정'!$D$47*(E95-'계산 과정'!$D$50+P95*('계산 과정'!$D$32-E95))+'계산 과정'!$E$47*(0-'계산 과정'!$E$50+P95*('계산 과정'!$E$32-0)),"")</x:f>
      </x:c>
      <x:c r="R95" s="4" t="str">
        <x:f>IF(AND(ISNUMBER(P95),P95&gt;1E-9,P95&lt;1-1E-9),'계산 과정'!$C$48*(D95-'계산 과정'!$C$50+P95*('계산 과정'!$C$32-D95))+'계산 과정'!$D$48*(E95-'계산 과정'!$D$50+P95*('계산 과정'!$D$32-E95))+'계산 과정'!$E$48*(0-'계산 과정'!$E$50+P95*('계산 과정'!$E$32-0)),"")</x:f>
      </x:c>
      <x:c r="S95" s="17" t="n">
        <x:f>IF('계산 과정'!$C$78,IF(AND(ISNUMBER(Q95),ISNUMBER(R95),ABS(Q95-'계산 과정'!$C$88)&lt;='계산 과정'!$D$23/2,ABS(R95-'계산 과정'!$C$89)&lt;='계산 과정'!$D$24/2),1,0),"")</x:f>
        <x:v>0</x:v>
      </x:c>
      <x:c r="T95" s="4"/>
      <x:c r="U95" s="4"/>
      <x:c r="V95" s="4"/>
      <x:c r="W95" s="4" t="n">
        <x:f>IF('계산 과정'!$C$77,('계산 과정'!$D$56+'계산 과정'!$D$57*('계산 과정'!$L$11*COS(89*2*PI()/240))+'계산 과정'!$D$58*('계산 과정'!$L$11*SIN(89*2*PI()/240)))/('계산 과정'!$D$59+'계산 과정'!$D$60*('계산 과정'!$L$11*COS(89*2*PI()/240))+'계산 과정'!$D$61*('계산 과정'!$L$11*SIN(89*2*PI()/240))),"")</x:f>
        <x:v>-106.03099630184947</x:v>
      </x:c>
      <x:c r="X95" s="4" t="n">
        <x:f>IF('계산 과정'!$C$77,('계산 과정'!$E$56+'계산 과정'!$E$57*('계산 과정'!$L$11*COS(89*2*PI()/240))+'계산 과정'!$E$58*('계산 과정'!$L$11*SIN(89*2*PI()/240)))/('계산 과정'!$E$59+'계산 과정'!$E$60*('계산 과정'!$L$11*COS(89*2*PI()/240))+'계산 과정'!$E$61*('계산 과정'!$L$11*SIN(89*2*PI()/240))),"")</x:f>
        <x:v>158.01482822599422</x:v>
      </x:c>
      <x:c r="Y95" s="4" t="str">
        <x:f>""</x:f>
      </x:c>
      <x:c r="Z95" s="4" t="str">
        <x:f>""</x:f>
      </x:c>
    </x:row>
    <x:row r="96" ht="23" customHeight="1">
      <x:c r="A96" s="17" t="n">
        <x:f>ROW()-6</x:f>
        <x:v>90</x:v>
      </x:c>
      <x:c r="B96" s="4" t="n">
        <x:f>IF('계산 과정'!$L$5,'계산 과정'!$L$11*SQRT((A96+0.5)/'계산 과정'!$L$30),"")</x:f>
        <x:v>31.531931360329008</x:v>
      </x:c>
      <x:c r="C96" s="4" t="n">
        <x:f>A96*PI()*(3-SQRT(5))</x:f>
        <x:v>215.99669067557878</x:v>
      </x:c>
      <x:c r="D96" s="4" t="n">
        <x:f>IF('계산 과정'!$L$5,B96*COS(C96),"")</x:f>
        <x:v>-22.566699269697427</x:v>
      </x:c>
      <x:c r="E96" s="4" t="n">
        <x:f>IF('계산 과정'!$L$5,B96*SIN(C96),"")</x:f>
        <x:v>22.02286946298183</x:v>
      </x:c>
      <x:c r="F96" s="4" t="n">
        <x:f>IF('계산 과정'!$L$7,'계산 과정'!$L$22+'계산 과정'!$C$49*D96+'계산 과정'!$D$49*E96,"")</x:f>
        <x:v>665.9570660826006</x:v>
      </x:c>
      <x:c r="G96" s="4" t="n">
        <x:f>IF('계산 과정'!$L$7,IF(ABS(F96)&gt;=1E-12*MAX(1,SQRT((D96-'계산 과정'!$C$33)^2+(E96-'계산 과정'!$D$33)^2+'계산 과정'!$E$33^2)),('계산 과정'!$L$23-'계산 과정'!$C$49*D96-'계산 과정'!$D$49*E96)/F96,""),"")</x:f>
        <x:v>0.5766782176762211</x:v>
      </x:c>
      <x:c r="H96" s="4" t="n">
        <x:f>IF(AND(ISNUMBER(G96),G96&gt;0),('계산 과정'!$D$56+'계산 과정'!$D$57*D96+'계산 과정'!$D$58*E96)/F96,"")</x:f>
        <x:v>-25.159158510456443</x:v>
      </x:c>
      <x:c r="I96" s="4" t="n">
        <x:f>IF(AND(ISNUMBER(G96),G96&gt;0),('계산 과정'!$E$56+'계산 과정'!$E$57*D96+'계산 과정'!$E$58*E96)/F96,"")</x:f>
        <x:v>34.722978573010266</x:v>
      </x:c>
      <x:c r="J96" s="4" t="n">
        <x:f>IF('계산 과정'!$L$5,'계산 과정'!$D$6+'계산 과정'!$C$35*D96+'계산 과정'!$D$35*E96,"")</x:f>
        <x:v>665.9570660826006</x:v>
      </x:c>
      <x:c r="K96" s="4" t="n">
        <x:f>IF(AND('계산 과정'!$L$6,J96&gt;0),'계산 과정'!$D$10*('계산 과정'!$C$38*(D96-'계산 과정'!$C$32)+'계산 과정'!$D$38*(E96-'계산 과정'!$D$32)-'계산 과정'!$E$38*'계산 과정'!$E$32)/J96,"")</x:f>
        <x:v>-0.1916888267463343</x:v>
      </x:c>
      <x:c r="L96" s="4" t="n">
        <x:f>IF(AND('계산 과정'!$L$6,J96&gt;0),'계산 과정'!$D$10*('계산 과정'!$C$39*(D96-'계산 과정'!$C$32)+'계산 과정'!$D$39*(E96-'계산 과정'!$D$32)-'계산 과정'!$E$39*'계산 과정'!$E$32)/J96,"")</x:f>
        <x:v>0.26455602722293536</x:v>
      </x:c>
      <x:c r="M96" s="17" t="n">
        <x:f>IF('계산 과정'!$L$6,IF(J96&lt;=0,0,IF(AND(ABS(K96)&lt;='계산 과정'!$D$11/2,ABS(L96)&lt;='계산 과정'!$D$12/2),1,0)),"")</x:f>
        <x:v>1</x:v>
      </x:c>
      <x:c r="N96" s="17" t="n">
        <x:f>IF('계산 과정'!$C$78,IF(AND(ISNUMBER(H96),ISNUMBER(I96),ABS(H96-'계산 과정'!$C$88)&lt;='계산 과정'!$D$23/2,ABS(I96-'계산 과정'!$C$89)&lt;='계산 과정'!$D$24/2),1,0),"")</x:f>
        <x:v>1</x:v>
      </x:c>
      <x:c r="O96" s="4" t="n">
        <x:f>IF('계산 과정'!$L$7,'계산 과정'!$C$49*('계산 과정'!$C$32-D96)+'계산 과정'!$D$49*('계산 과정'!$D$32-E96)+'계산 과정'!$E$49*'계산 과정'!$E$32,"")</x:f>
        <x:v>-15.957066082600477</x:v>
      </x:c>
      <x:c r="P96" s="4" t="n">
        <x:f>IF(AND('계산 과정'!$L$7,O96&lt;&gt;0),('계산 과정'!$L$23-'계산 과정'!$C$49*D96-'계산 과정'!$D$49*E96)/O96,"")</x:f>
        <x:v>-24.067264742116873</x:v>
      </x:c>
      <x:c r="Q96" s="4" t="str">
        <x:f>IF(AND(ISNUMBER(P96),P96&gt;1E-9,P96&lt;1-1E-9),'계산 과정'!$C$47*(D96-'계산 과정'!$C$50+P96*('계산 과정'!$C$32-D96))+'계산 과정'!$D$47*(E96-'계산 과정'!$D$50+P96*('계산 과정'!$D$32-E96))+'계산 과정'!$E$47*(0-'계산 과정'!$E$50+P96*('계산 과정'!$E$32-0)),"")</x:f>
      </x:c>
      <x:c r="R96" s="4" t="str">
        <x:f>IF(AND(ISNUMBER(P96),P96&gt;1E-9,P96&lt;1-1E-9),'계산 과정'!$C$48*(D96-'계산 과정'!$C$50+P96*('계산 과정'!$C$32-D96))+'계산 과정'!$D$48*(E96-'계산 과정'!$D$50+P96*('계산 과정'!$D$32-E96))+'계산 과정'!$E$48*(0-'계산 과정'!$E$50+P96*('계산 과정'!$E$32-0)),"")</x:f>
      </x:c>
      <x:c r="S96" s="17" t="n">
        <x:f>IF('계산 과정'!$C$78,IF(AND(ISNUMBER(Q96),ISNUMBER(R96),ABS(Q96-'계산 과정'!$C$88)&lt;='계산 과정'!$D$23/2,ABS(R96-'계산 과정'!$C$89)&lt;='계산 과정'!$D$24/2),1,0),"")</x:f>
        <x:v>0</x:v>
      </x:c>
      <x:c r="T96" s="4"/>
      <x:c r="U96" s="4"/>
      <x:c r="V96" s="4"/>
      <x:c r="W96" s="4" t="n">
        <x:f>IF('계산 과정'!$C$77,('계산 과정'!$D$56+'계산 과정'!$D$57*('계산 과정'!$L$11*COS(90*2*PI()/240))+'계산 과정'!$D$58*('계산 과정'!$L$11*SIN(90*2*PI()/240)))/('계산 과정'!$D$59+'계산 과정'!$D$60*('계산 과정'!$L$11*COS(90*2*PI()/240))+'계산 과정'!$D$61*('계산 과정'!$L$11*SIN(90*2*PI()/240))),"")</x:f>
        <x:v>-108.62068965517254</x:v>
      </x:c>
      <x:c r="X96" s="4" t="n">
        <x:f>IF('계산 과정'!$C$77,('계산 과정'!$E$56+'계산 과정'!$E$57*('계산 과정'!$L$11*COS(90*2*PI()/240))+'계산 과정'!$E$58*('계산 과정'!$L$11*SIN(90*2*PI()/240)))/('계산 과정'!$E$59+'계산 과정'!$E$60*('계산 과정'!$L$11*COS(90*2*PI()/240))+'계산 과정'!$E$61*('계산 과정'!$L$11*SIN(90*2*PI()/240))),"")</x:f>
        <x:v>153.61285246466377</x:v>
      </x:c>
      <x:c r="Y96" s="4" t="str">
        <x:f>""</x:f>
      </x:c>
      <x:c r="Z96" s="4" t="str">
        <x:f>""</x:f>
      </x:c>
    </x:row>
    <x:row r="97" ht="23" customHeight="1">
      <x:c r="A97" s="17" t="n">
        <x:f>ROW()-6</x:f>
        <x:v>91</x:v>
      </x:c>
      <x:c r="B97" s="4" t="n">
        <x:f>IF('계산 과정'!$L$5,'계산 과정'!$L$11*SQRT((A97+0.5)/'계산 과정'!$L$30),"")</x:f>
        <x:v>31.705662324535975</x:v>
      </x:c>
      <x:c r="C97" s="4" t="n">
        <x:f>A97*PI()*(3-SQRT(5))</x:f>
        <x:v>218.3966539053074</x:v>
      </x:c>
      <x:c r="D97" s="4" t="n">
        <x:f>IF('계산 과정'!$L$5,B97*COS(C97),"")</x:f>
        <x:v>1.7734648370826092</x:v>
      </x:c>
      <x:c r="E97" s="4" t="n">
        <x:f>IF('계산 과정'!$L$5,B97*SIN(C97),"")</x:f>
        <x:v>-31.656023848694762</x:v>
      </x:c>
      <x:c r="F97" s="4" t="n">
        <x:f>IF('계산 과정'!$L$7,'계산 과정'!$L$22+'계산 과정'!$C$49*D97+'계산 과정'!$D$49*E97,"")</x:f>
        <x:v>648.745970987503</x:v>
      </x:c>
      <x:c r="G97" s="4" t="n">
        <x:f>IF('계산 과정'!$L$7,IF(ABS(F97)&gt;=1E-12*MAX(1,SQRT((D97-'계산 과정'!$C$33)^2+(E97-'계산 과정'!$D$33)^2+'계산 과정'!$E$33^2)),('계산 과정'!$L$23-'계산 과정'!$C$49*D97-'계산 과정'!$D$49*E97)/F97,""),"")</x:f>
        <x:v>0.618507161442127</x:v>
      </x:c>
      <x:c r="H97" s="4" t="n">
        <x:f>IF(AND(ISNUMBER(G97),G97&gt;0),('계산 과정'!$D$56+'계산 과정'!$D$57*D97+'계산 과정'!$D$58*E97)/F97,"")</x:f>
        <x:v>2.0296549373824937</x:v>
      </x:c>
      <x:c r="I97" s="4" t="n">
        <x:f>IF(AND(ISNUMBER(G97),G97&gt;0),('계산 과정'!$E$56+'계산 과정'!$E$57*D97+'계산 과정'!$E$58*E97)/F97,"")</x:f>
        <x:v>-51.23550130189524</x:v>
      </x:c>
      <x:c r="J97" s="4" t="n">
        <x:f>IF('계산 과정'!$L$5,'계산 과정'!$D$6+'계산 과정'!$C$35*D97+'계산 과정'!$D$35*E97,"")</x:f>
        <x:v>648.745970987503</x:v>
      </x:c>
      <x:c r="K97" s="4" t="n">
        <x:f>IF(AND('계산 과정'!$L$6,J97&gt;0),'계산 과정'!$D$10*('계산 과정'!$C$38*(D97-'계산 과정'!$C$32)+'계산 과정'!$D$38*(E97-'계산 과정'!$D$32)-'계산 과정'!$E$38*'계산 과정'!$E$32)/J97,"")</x:f>
        <x:v>0.01546403761815344</x:v>
      </x:c>
      <x:c r="L97" s="4" t="n">
        <x:f>IF(AND('계산 과정'!$L$6,J97&gt;0),'계산 과정'!$D$10*('계산 과정'!$C$39*(D97-'계산 과정'!$C$32)+'계산 과정'!$D$39*(E97-'계산 과정'!$D$32)-'계산 과정'!$E$39*'계산 과정'!$E$32)/J97,"")</x:f>
        <x:v>-0.39036572420491605</x:v>
      </x:c>
      <x:c r="M97" s="17" t="n">
        <x:f>IF('계산 과정'!$L$6,IF(J97&lt;=0,0,IF(AND(ABS(K97)&lt;='계산 과정'!$D$11/2,ABS(L97)&lt;='계산 과정'!$D$12/2),1,0)),"")</x:f>
        <x:v>1</x:v>
      </x:c>
      <x:c r="N97" s="17" t="n">
        <x:f>IF('계산 과정'!$C$78,IF(AND(ISNUMBER(H97),ISNUMBER(I97),ABS(H97-'계산 과정'!$C$88)&lt;='계산 과정'!$D$23/2,ABS(I97-'계산 과정'!$C$89)&lt;='계산 과정'!$D$24/2),1,0),"")</x:f>
        <x:v>1</x:v>
      </x:c>
      <x:c r="O97" s="4" t="n">
        <x:f>IF('계산 과정'!$L$7,'계산 과정'!$C$49*('계산 과정'!$C$32-D97)+'계산 과정'!$D$49*('계산 과정'!$D$32-E97)+'계산 과정'!$E$49*'계산 과정'!$E$32,"")</x:f>
        <x:v>1.254029012497142</x:v>
      </x:c>
      <x:c r="P97" s="4" t="n">
        <x:f>IF(AND('계산 과정'!$L$7,O97&lt;&gt;0),('계산 과정'!$L$23-'계산 과정'!$C$49*D97-'계산 과정'!$D$49*E97)/O97,"")</x:f>
        <x:v>319.9718866260373</x:v>
      </x:c>
      <x:c r="Q97" s="4" t="str">
        <x:f>IF(AND(ISNUMBER(P97),P97&gt;1E-9,P97&lt;1-1E-9),'계산 과정'!$C$47*(D97-'계산 과정'!$C$50+P97*('계산 과정'!$C$32-D97))+'계산 과정'!$D$47*(E97-'계산 과정'!$D$50+P97*('계산 과정'!$D$32-E97))+'계산 과정'!$E$47*(0-'계산 과정'!$E$50+P97*('계산 과정'!$E$32-0)),"")</x:f>
      </x:c>
      <x:c r="R97" s="4" t="str">
        <x:f>IF(AND(ISNUMBER(P97),P97&gt;1E-9,P97&lt;1-1E-9),'계산 과정'!$C$48*(D97-'계산 과정'!$C$50+P97*('계산 과정'!$C$32-D97))+'계산 과정'!$D$48*(E97-'계산 과정'!$D$50+P97*('계산 과정'!$D$32-E97))+'계산 과정'!$E$48*(0-'계산 과정'!$E$50+P97*('계산 과정'!$E$32-0)),"")</x:f>
      </x:c>
      <x:c r="S97" s="17" t="n">
        <x:f>IF('계산 과정'!$C$78,IF(AND(ISNUMBER(Q97),ISNUMBER(R97),ABS(Q97-'계산 과정'!$C$88)&lt;='계산 과정'!$D$23/2,ABS(R97-'계산 과정'!$C$89)&lt;='계산 과정'!$D$24/2),1,0),"")</x:f>
        <x:v>0</x:v>
      </x:c>
      <x:c r="T97" s="4"/>
      <x:c r="U97" s="4"/>
      <x:c r="V97" s="4"/>
      <x:c r="W97" s="4" t="n">
        <x:f>IF('계산 과정'!$C$77,('계산 과정'!$D$56+'계산 과정'!$D$57*('계산 과정'!$L$11*COS(91*2*PI()/240))+'계산 과정'!$D$58*('계산 과정'!$L$11*SIN(91*2*PI()/240)))/('계산 과정'!$D$59+'계산 과정'!$D$60*('계산 과정'!$L$11*COS(91*2*PI()/240))+'계산 과정'!$D$61*('계산 과정'!$L$11*SIN(91*2*PI()/240))),"")</x:f>
        <x:v>-111.12983053815921</x:v>
      </x:c>
      <x:c r="X97" s="4" t="n">
        <x:f>IF('계산 과정'!$C$77,('계산 과정'!$E$56+'계산 과정'!$E$57*('계산 과정'!$L$11*COS(91*2*PI()/240))+'계산 과정'!$E$58*('계산 과정'!$L$11*SIN(91*2*PI()/240)))/('계산 과정'!$E$59+'계산 과정'!$E$60*('계산 과정'!$L$11*COS(91*2*PI()/240))+'계산 과정'!$E$61*('계산 과정'!$L$11*SIN(91*2*PI()/240))),"")</x:f>
        <x:v>149.1405177995604</x:v>
      </x:c>
      <x:c r="Y97" s="4" t="str">
        <x:f>""</x:f>
      </x:c>
      <x:c r="Z97" s="4" t="str">
        <x:f>""</x:f>
      </x:c>
    </x:row>
    <x:row r="98" ht="23" customHeight="1">
      <x:c r="A98" s="17" t="n">
        <x:f>ROW()-6</x:f>
        <x:v>92</x:v>
      </x:c>
      <x:c r="B98" s="4" t="n">
        <x:f>IF('계산 과정'!$L$5,'계산 과정'!$L$11*SQRT((A98+0.5)/'계산 과정'!$L$30),"")</x:f>
        <x:v>31.878446504848696</x:v>
      </x:c>
      <x:c r="C98" s="4" t="n">
        <x:f>A98*PI()*(3-SQRT(5))</x:f>
        <x:v>220.79661713503606</x:v>
      </x:c>
      <x:c r="D98" s="4" t="n">
        <x:f>IF('계산 과정'!$L$5,B98*COS(C98),"")</x:f>
        <x:v>20.185043925274446</x:v>
      </x:c>
      <x:c r="E98" s="4" t="n">
        <x:f>IF('계산 과정'!$L$5,B98*SIN(C98),"")</x:f>
        <x:v>24.67385971625115</x:v>
      </x:c>
      <x:c r="F98" s="4" t="n">
        <x:f>IF('계산 과정'!$L$7,'계산 과정'!$L$22+'계산 과정'!$C$49*D98+'계산 과정'!$D$49*E98,"")</x:f>
        <x:v>635.7270185618901</x:v>
      </x:c>
      <x:c r="G98" s="4" t="n">
        <x:f>IF('계산 과정'!$L$7,IF(ABS(F98)&gt;=1E-12*MAX(1,SQRT((D98-'계산 과정'!$C$33)^2+(E98-'계산 과정'!$D$33)^2+'계산 과정'!$E$33^2)),('계산 과정'!$L$23-'계산 과정'!$C$49*D98-'계산 과정'!$D$49*E98)/F98,""),"")</x:f>
        <x:v>0.6516523119864521</x:v>
      </x:c>
      <x:c r="H98" s="4" t="n">
        <x:f>IF(AND(ISNUMBER(G98),G98&gt;0),('계산 과정'!$D$56+'계산 과정'!$D$57*D98+'계산 과정'!$D$58*E98)/F98,"")</x:f>
        <x:v>23.574002791193802</x:v>
      </x:c>
      <x:c r="I98" s="4" t="n">
        <x:f>IF(AND(ISNUMBER(G98),G98&gt;0),('계산 과정'!$E$56+'계산 과정'!$E$57*D98+'계산 과정'!$E$58*E98)/F98,"")</x:f>
        <x:v>40.7526374459756</x:v>
      </x:c>
      <x:c r="J98" s="4" t="n">
        <x:f>IF('계산 과정'!$L$5,'계산 과정'!$D$6+'계산 과정'!$C$35*D98+'계산 과정'!$D$35*E98,"")</x:f>
        <x:v>635.7270185618901</x:v>
      </x:c>
      <x:c r="K98" s="4" t="n">
        <x:f>IF(AND('계산 과정'!$L$6,J98&gt;0),'계산 과정'!$D$10*('계산 과정'!$C$38*(D98-'계산 과정'!$C$32)+'계산 과정'!$D$38*(E98-'계산 과정'!$D$32)-'계산 과정'!$E$38*'계산 과정'!$E$32)/J98,"")</x:f>
        <x:v>0.17961144983766764</x:v>
      </x:c>
      <x:c r="L98" s="4" t="n">
        <x:f>IF(AND('계산 과정'!$L$6,J98&gt;0),'계산 과정'!$D$10*('계산 과정'!$C$39*(D98-'계산 과정'!$C$32)+'계산 과정'!$D$39*(E98-'계산 과정'!$D$32)-'계산 과정'!$E$39*'계산 과정'!$E$32)/J98,"")</x:f>
        <x:v>0.31049628530267126</x:v>
      </x:c>
      <x:c r="M98" s="17" t="n">
        <x:f>IF('계산 과정'!$L$6,IF(J98&lt;=0,0,IF(AND(ABS(K98)&lt;='계산 과정'!$D$11/2,ABS(L98)&lt;='계산 과정'!$D$12/2),1,0)),"")</x:f>
        <x:v>1</x:v>
      </x:c>
      <x:c r="N98" s="17" t="n">
        <x:f>IF('계산 과정'!$C$78,IF(AND(ISNUMBER(H98),ISNUMBER(I98),ABS(H98-'계산 과정'!$C$88)&lt;='계산 과정'!$D$23/2,ABS(I98-'계산 과정'!$C$89)&lt;='계산 과정'!$D$24/2),1,0),"")</x:f>
        <x:v>1</x:v>
      </x:c>
      <x:c r="O98" s="4" t="n">
        <x:f>IF('계산 과정'!$L$7,'계산 과정'!$C$49*('계산 과정'!$C$32-D98)+'계산 과정'!$D$49*('계산 과정'!$D$32-E98)+'계산 과정'!$E$49*'계산 과정'!$E$32,"")</x:f>
        <x:v>14.27298143810998</x:v>
      </x:c>
      <x:c r="P98" s="4" t="n">
        <x:f>IF(AND('계산 과정'!$L$7,O98&lt;&gt;0),('계산 과정'!$L$23-'계산 과정'!$C$49*D98-'계산 과정'!$D$49*E98)/O98,"")</x:f>
        <x:v>29.024978644753823</x:v>
      </x:c>
      <x:c r="Q98" s="4" t="str">
        <x:f>IF(AND(ISNUMBER(P98),P98&gt;1E-9,P98&lt;1-1E-9),'계산 과정'!$C$47*(D98-'계산 과정'!$C$50+P98*('계산 과정'!$C$32-D98))+'계산 과정'!$D$47*(E98-'계산 과정'!$D$50+P98*('계산 과정'!$D$32-E98))+'계산 과정'!$E$47*(0-'계산 과정'!$E$50+P98*('계산 과정'!$E$32-0)),"")</x:f>
      </x:c>
      <x:c r="R98" s="4" t="str">
        <x:f>IF(AND(ISNUMBER(P98),P98&gt;1E-9,P98&lt;1-1E-9),'계산 과정'!$C$48*(D98-'계산 과정'!$C$50+P98*('계산 과정'!$C$32-D98))+'계산 과정'!$D$48*(E98-'계산 과정'!$D$50+P98*('계산 과정'!$D$32-E98))+'계산 과정'!$E$48*(0-'계산 과정'!$E$50+P98*('계산 과정'!$E$32-0)),"")</x:f>
      </x:c>
      <x:c r="S98" s="17" t="n">
        <x:f>IF('계산 과정'!$C$78,IF(AND(ISNUMBER(Q98),ISNUMBER(R98),ABS(Q98-'계산 과정'!$C$88)&lt;='계산 과정'!$D$23/2,ABS(R98-'계산 과정'!$C$89)&lt;='계산 과정'!$D$24/2),1,0),"")</x:f>
        <x:v>0</x:v>
      </x:c>
      <x:c r="T98" s="4"/>
      <x:c r="U98" s="4"/>
      <x:c r="V98" s="4"/>
      <x:c r="W98" s="4" t="n">
        <x:f>IF('계산 과정'!$C$77,('계산 과정'!$D$56+'계산 과정'!$D$57*('계산 과정'!$L$11*COS(92*2*PI()/240))+'계산 과정'!$D$58*('계산 과정'!$L$11*SIN(92*2*PI()/240)))/('계산 과정'!$D$59+'계산 과정'!$D$60*('계산 과정'!$L$11*COS(92*2*PI()/240))+'계산 과정'!$D$61*('계산 과정'!$L$11*SIN(92*2*PI()/240))),"")</x:f>
        <x:v>-113.55788608206024</x:v>
      </x:c>
      <x:c r="X98" s="4" t="n">
        <x:f>IF('계산 과정'!$C$77,('계산 과정'!$E$56+'계산 과정'!$E$57*('계산 과정'!$L$11*COS(92*2*PI()/240))+'계산 과정'!$E$58*('계산 과정'!$L$11*SIN(92*2*PI()/240)))/('계산 과정'!$E$59+'계산 과정'!$E$60*('계산 과정'!$L$11*COS(92*2*PI()/240))+'계산 과정'!$E$61*('계산 과정'!$L$11*SIN(92*2*PI()/240))),"")</x:f>
        <x:v>144.60047988597282</x:v>
      </x:c>
      <x:c r="Y98" s="4" t="str">
        <x:f>""</x:f>
      </x:c>
      <x:c r="Z98" s="4" t="str">
        <x:f>""</x:f>
      </x:c>
    </x:row>
    <x:row r="99" ht="23" customHeight="1">
      <x:c r="A99" s="17" t="n">
        <x:f>ROW()-6</x:f>
        <x:v>93</x:v>
      </x:c>
      <x:c r="B99" s="4" t="n">
        <x:f>IF('계산 과정'!$L$5,'계산 과정'!$L$11*SQRT((A99+0.5)/'계산 과정'!$L$30),"")</x:f>
        <x:v>32.0502992136969</x:v>
      </x:c>
      <x:c r="C99" s="4" t="n">
        <x:f>A99*PI()*(3-SQRT(5))</x:f>
        <x:v>223.1965803647647</x:v>
      </x:c>
      <x:c r="D99" s="4" t="n">
        <x:f>IF('계산 과정'!$L$5,B99*COS(C99),"")</x:f>
        <x:v>-31.720862231421364</x:v>
      </x:c>
      <x:c r="E99" s="4" t="n">
        <x:f>IF('계산 과정'!$L$5,B99*SIN(C99),"")</x:f>
        <x:v>-4.58351164312756</x:v>
      </x:c>
      <x:c r="F99" s="4" t="n">
        <x:f>IF('계산 과정'!$L$7,'계산 과정'!$L$22+'계산 과정'!$C$49*D99+'계산 과정'!$D$49*E99,"")</x:f>
        <x:v>672.4300367889223</x:v>
      </x:c>
      <x:c r="G99" s="4" t="n">
        <x:f>IF('계산 과정'!$L$7,IF(ABS(F99)&gt;=1E-12*MAX(1,SQRT((D99-'계산 과정'!$C$33)^2+(E99-'계산 과정'!$D$33)^2+'계산 과정'!$E$33^2)),('계산 과정'!$L$23-'계산 과정'!$C$49*D99-'계산 과정'!$D$49*E99)/F99,""),"")</x:f>
        <x:v>0.5615007399343733</x:v>
      </x:c>
      <x:c r="H99" s="4" t="n">
        <x:f>IF(AND(ISNUMBER(G99),G99&gt;0),('계산 과정'!$D$56+'계산 과정'!$D$57*D99+'계산 과정'!$D$58*E99)/F99,"")</x:f>
        <x:v>-35.02451904265748</x:v>
      </x:c>
      <x:c r="I99" s="4" t="n">
        <x:f>IF(AND(ISNUMBER(G99),G99&gt;0),('계산 과정'!$E$56+'계산 과정'!$E$57*D99+'계산 과정'!$E$58*E99)/F99,"")</x:f>
        <x:v>-7.157156822241499</x:v>
      </x:c>
      <x:c r="J99" s="4" t="n">
        <x:f>IF('계산 과정'!$L$5,'계산 과정'!$D$6+'계산 과정'!$C$35*D99+'계산 과정'!$D$35*E99,"")</x:f>
        <x:v>672.4300367889223</x:v>
      </x:c>
      <x:c r="K99" s="4" t="n">
        <x:f>IF(AND('계산 과정'!$L$6,J99&gt;0),'계산 과정'!$D$10*('계산 과정'!$C$38*(D99-'계산 과정'!$C$32)+'계산 과정'!$D$38*(E99-'계산 과정'!$D$32)-'계산 과정'!$E$38*'계산 과정'!$E$32)/J99,"")</x:f>
        <x:v>-0.26685347842024654</x:v>
      </x:c>
      <x:c r="L99" s="4" t="n">
        <x:f>IF(AND('계산 과정'!$L$6,J99&gt;0),'계산 과정'!$D$10*('계산 과정'!$C$39*(D99-'계산 과정'!$C$32)+'계산 과정'!$D$39*(E99-'계산 과정'!$D$32)-'계산 과정'!$E$39*'계산 과정'!$E$32)/J99,"")</x:f>
        <x:v>-0.05453071864564952</x:v>
      </x:c>
      <x:c r="M99" s="17" t="n">
        <x:f>IF('계산 과정'!$L$6,IF(J99&lt;=0,0,IF(AND(ABS(K99)&lt;='계산 과정'!$D$11/2,ABS(L99)&lt;='계산 과정'!$D$12/2),1,0)),"")</x:f>
        <x:v>1</x:v>
      </x:c>
      <x:c r="N99" s="17" t="n">
        <x:f>IF('계산 과정'!$C$78,IF(AND(ISNUMBER(H99),ISNUMBER(I99),ABS(H99-'계산 과정'!$C$88)&lt;='계산 과정'!$D$23/2,ABS(I99-'계산 과정'!$C$89)&lt;='계산 과정'!$D$24/2),1,0),"")</x:f>
        <x:v>1</x:v>
      </x:c>
      <x:c r="O99" s="4" t="n">
        <x:f>IF('계산 과정'!$L$7,'계산 과정'!$C$49*('계산 과정'!$C$32-D99)+'계산 과정'!$D$49*('계산 과정'!$D$32-E99)+'계산 과정'!$E$49*'계산 과정'!$E$32,"")</x:f>
        <x:v>-22.430036788922166</x:v>
      </x:c>
      <x:c r="P99" s="4" t="n">
        <x:f>IF(AND('계산 과정'!$L$7,O99&lt;&gt;0),('계산 과정'!$L$23-'계산 과정'!$C$49*D99-'계산 과정'!$D$49*E99)/O99,"")</x:f>
        <x:v>-16.83322977863119</x:v>
      </x:c>
      <x:c r="Q99" s="4" t="str">
        <x:f>IF(AND(ISNUMBER(P99),P99&gt;1E-9,P99&lt;1-1E-9),'계산 과정'!$C$47*(D99-'계산 과정'!$C$50+P99*('계산 과정'!$C$32-D99))+'계산 과정'!$D$47*(E99-'계산 과정'!$D$50+P99*('계산 과정'!$D$32-E99))+'계산 과정'!$E$47*(0-'계산 과정'!$E$50+P99*('계산 과정'!$E$32-0)),"")</x:f>
      </x:c>
      <x:c r="R99" s="4" t="str">
        <x:f>IF(AND(ISNUMBER(P99),P99&gt;1E-9,P99&lt;1-1E-9),'계산 과정'!$C$48*(D99-'계산 과정'!$C$50+P99*('계산 과정'!$C$32-D99))+'계산 과정'!$D$48*(E99-'계산 과정'!$D$50+P99*('계산 과정'!$D$32-E99))+'계산 과정'!$E$48*(0-'계산 과정'!$E$50+P99*('계산 과정'!$E$32-0)),"")</x:f>
      </x:c>
      <x:c r="S99" s="17" t="n">
        <x:f>IF('계산 과정'!$C$78,IF(AND(ISNUMBER(Q99),ISNUMBER(R99),ABS(Q99-'계산 과정'!$C$88)&lt;='계산 과정'!$D$23/2,ABS(R99-'계산 과정'!$C$89)&lt;='계산 과정'!$D$24/2),1,0),"")</x:f>
        <x:v>0</x:v>
      </x:c>
      <x:c r="T99" s="4"/>
      <x:c r="U99" s="4"/>
      <x:c r="V99" s="4"/>
      <x:c r="W99" s="4" t="n">
        <x:f>IF('계산 과정'!$C$77,('계산 과정'!$D$56+'계산 과정'!$D$57*('계산 과정'!$L$11*COS(93*2*PI()/240))+'계산 과정'!$D$58*('계산 과정'!$L$11*SIN(93*2*PI()/240)))/('계산 과정'!$D$59+'계산 과정'!$D$60*('계산 과정'!$L$11*COS(93*2*PI()/240))+'계산 과정'!$D$61*('계산 과정'!$L$11*SIN(93*2*PI()/240))),"")</x:f>
        <x:v>-115.90435802761395</x:v>
      </x:c>
      <x:c r="X99" s="4" t="n">
        <x:f>IF('계산 과정'!$C$77,('계산 과정'!$E$56+'계산 과정'!$E$57*('계산 과정'!$L$11*COS(93*2*PI()/240))+'계산 과정'!$E$58*('계산 과정'!$L$11*SIN(93*2*PI()/240)))/('계산 과정'!$E$59+'계산 과정'!$E$60*('계산 과정'!$L$11*COS(93*2*PI()/240))+'계산 과정'!$E$61*('계산 과정'!$L$11*SIN(93*2*PI()/240))),"")</x:f>
        <x:v>139.995367299853</x:v>
      </x:c>
      <x:c r="Y99" s="4" t="str">
        <x:f>""</x:f>
      </x:c>
      <x:c r="Z99" s="4" t="str">
        <x:f>""</x:f>
      </x:c>
    </x:row>
    <x:row r="100" ht="23" customHeight="1">
      <x:c r="A100" s="17" t="n">
        <x:f>ROW()-6</x:f>
        <x:v>94</x:v>
      </x:c>
      <x:c r="B100" s="4" t="n">
        <x:f>IF('계산 과정'!$L$5,'계산 과정'!$L$11*SQRT((A100+0.5)/'계산 과정'!$L$30),"")</x:f>
        <x:v>32.22123535515825</x:v>
      </x:c>
      <x:c r="C100" s="4" t="n">
        <x:f>A100*PI()*(3-SQRT(5))</x:f>
        <x:v>225.5965435944934</x:v>
      </x:c>
      <x:c r="D100" s="4" t="n">
        <x:f>IF('계산 과정'!$L$5,B100*COS(C100),"")</x:f>
        <x:v>26.627354394874043</x:v>
      </x:c>
      <x:c r="E100" s="4" t="n">
        <x:f>IF('계산 과정'!$L$5,B100*SIN(C100),"")</x:f>
        <x:v>-18.143649184832746</x:v>
      </x:c>
      <x:c r="F100" s="4" t="n">
        <x:f>IF('계산 과정'!$L$7,'계산 과정'!$L$22+'계산 과정'!$C$49*D100+'계산 과정'!$D$49*E100,"")</x:f>
        <x:v>631.1716171423271</x:v>
      </x:c>
      <x:c r="G100" s="4" t="n">
        <x:f>IF('계산 과정'!$L$7,IF(ABS(F100)&gt;=1E-12*MAX(1,SQRT((D100-'계산 과정'!$C$33)^2+(E100-'계산 과정'!$D$33)^2+'계산 과정'!$E$33^2)),('계산 과정'!$L$23-'계산 과정'!$C$49*D100-'계산 과정'!$D$49*E100)/F100,""),"")</x:f>
        <x:v>0.6635729039178713</x:v>
      </x:c>
      <x:c r="H100" s="4" t="n">
        <x:f>IF(AND(ISNUMBER(G100),G100&gt;0),('계산 과정'!$D$56+'계산 과정'!$D$57*D100+'계산 과정'!$D$58*E100)/F100,"")</x:f>
        <x:v>31.322387546616188</x:v>
      </x:c>
      <x:c r="I100" s="4" t="n">
        <x:f>IF(AND(ISNUMBER(G100),G100&gt;0),('계산 과정'!$E$56+'계산 과정'!$E$57*D100+'계산 과정'!$E$58*E100)/F100,"")</x:f>
        <x:v>-30.18328316207933</x:v>
      </x:c>
      <x:c r="J100" s="4" t="n">
        <x:f>IF('계산 과정'!$L$5,'계산 과정'!$D$6+'계산 과정'!$C$35*D100+'계산 과정'!$D$35*E100,"")</x:f>
        <x:v>631.1716171423271</x:v>
      </x:c>
      <x:c r="K100" s="4" t="n">
        <x:f>IF(AND('계산 과정'!$L$6,J100&gt;0),'계산 과정'!$D$10*('계산 과정'!$C$38*(D100-'계산 과정'!$C$32)+'계산 과정'!$D$38*(E100-'계산 과정'!$D$32)-'계산 과정'!$E$38*'계산 과정'!$E$32)/J100,"")</x:f>
        <x:v>0.2386467622599338</x:v>
      </x:c>
      <x:c r="L100" s="4" t="n">
        <x:f>IF(AND('계산 과정'!$L$6,J100&gt;0),'계산 과정'!$D$10*('계산 과정'!$C$39*(D100-'계산 과정'!$C$32)+'계산 과정'!$D$39*(E100-'계산 과정'!$D$32)-'계산 과정'!$E$39*'계산 과정'!$E$32)/J100,"")</x:f>
        <x:v>-0.2299678717110806</x:v>
      </x:c>
      <x:c r="M100" s="17" t="n">
        <x:f>IF('계산 과정'!$L$6,IF(J100&lt;=0,0,IF(AND(ABS(K100)&lt;='계산 과정'!$D$11/2,ABS(L100)&lt;='계산 과정'!$D$12/2),1,0)),"")</x:f>
        <x:v>1</x:v>
      </x:c>
      <x:c r="N100" s="17" t="n">
        <x:f>IF('계산 과정'!$C$78,IF(AND(ISNUMBER(H100),ISNUMBER(I100),ABS(H100-'계산 과정'!$C$88)&lt;='계산 과정'!$D$23/2,ABS(I100-'계산 과정'!$C$89)&lt;='계산 과정'!$D$24/2),1,0),"")</x:f>
        <x:v>1</x:v>
      </x:c>
      <x:c r="O100" s="4" t="n">
        <x:f>IF('계산 과정'!$L$7,'계산 과정'!$C$49*('계산 과정'!$C$32-D100)+'계산 과정'!$D$49*('계산 과정'!$D$32-E100)+'계산 과정'!$E$49*'계산 과정'!$E$32,"")</x:f>
        <x:v>18.828382857672977</x:v>
      </x:c>
      <x:c r="P100" s="4" t="n">
        <x:f>IF(AND('계산 과정'!$L$7,O100&lt;&gt;0),('계산 과정'!$L$23-'계산 과정'!$C$49*D100-'계산 과정'!$D$49*E100)/O100,"")</x:f>
        <x:v>22.244522326939574</x:v>
      </x:c>
      <x:c r="Q100" s="4" t="str">
        <x:f>IF(AND(ISNUMBER(P100),P100&gt;1E-9,P100&lt;1-1E-9),'계산 과정'!$C$47*(D100-'계산 과정'!$C$50+P100*('계산 과정'!$C$32-D100))+'계산 과정'!$D$47*(E100-'계산 과정'!$D$50+P100*('계산 과정'!$D$32-E100))+'계산 과정'!$E$47*(0-'계산 과정'!$E$50+P100*('계산 과정'!$E$32-0)),"")</x:f>
      </x:c>
      <x:c r="R100" s="4" t="str">
        <x:f>IF(AND(ISNUMBER(P100),P100&gt;1E-9,P100&lt;1-1E-9),'계산 과정'!$C$48*(D100-'계산 과정'!$C$50+P100*('계산 과정'!$C$32-D100))+'계산 과정'!$D$48*(E100-'계산 과정'!$D$50+P100*('계산 과정'!$D$32-E100))+'계산 과정'!$E$48*(0-'계산 과정'!$E$50+P100*('계산 과정'!$E$32-0)),"")</x:f>
      </x:c>
      <x:c r="S100" s="17" t="n">
        <x:f>IF('계산 과정'!$C$78,IF(AND(ISNUMBER(Q100),ISNUMBER(R100),ABS(Q100-'계산 과정'!$C$88)&lt;='계산 과정'!$D$23/2,ABS(R100-'계산 과정'!$C$89)&lt;='계산 과정'!$D$24/2),1,0),"")</x:f>
        <x:v>0</x:v>
      </x:c>
      <x:c r="T100" s="4"/>
      <x:c r="U100" s="4"/>
      <x:c r="V100" s="4"/>
      <x:c r="W100" s="4" t="n">
        <x:f>IF('계산 과정'!$C$77,('계산 과정'!$D$56+'계산 과정'!$D$57*('계산 과정'!$L$11*COS(94*2*PI()/240))+'계산 과정'!$D$58*('계산 과정'!$L$11*SIN(94*2*PI()/240)))/('계산 과정'!$D$59+'계산 과정'!$D$60*('계산 과정'!$L$11*COS(94*2*PI()/240))+'계산 과정'!$D$61*('계산 과정'!$L$11*SIN(94*2*PI()/240))),"")</x:f>
        <x:v>-118.16878100990924</x:v>
      </x:c>
      <x:c r="X100" s="4" t="n">
        <x:f>IF('계산 과정'!$C$77,('계산 과정'!$E$56+'계산 과정'!$E$57*('계산 과정'!$L$11*COS(94*2*PI()/240))+'계산 과정'!$E$58*('계산 과정'!$L$11*SIN(94*2*PI()/240)))/('계산 과정'!$E$59+'계산 과정'!$E$60*('계산 과정'!$L$11*COS(94*2*PI()/240))+'계산 과정'!$E$61*('계산 과정'!$L$11*SIN(94*2*PI()/240))),"")</x:f>
        <x:v>135.32778164475937</x:v>
      </x:c>
      <x:c r="Y100" s="4" t="str">
        <x:f>""</x:f>
      </x:c>
      <x:c r="Z100" s="4" t="str">
        <x:f>""</x:f>
      </x:c>
    </x:row>
    <x:row r="101" ht="23" customHeight="1">
      <x:c r="A101" s="17" t="n">
        <x:f>ROW()-6</x:f>
        <x:v>95</x:v>
      </x:c>
      <x:c r="B101" s="4" t="n">
        <x:f>IF('계산 과정'!$L$5,'계산 과정'!$L$11*SQRT((A101+0.5)/'계산 과정'!$L$30),"")</x:f>
        <x:v>32.391269440043565</x:v>
      </x:c>
      <x:c r="C101" s="4" t="n">
        <x:f>A101*PI()*(3-SQRT(5))</x:f>
        <x:v>227.99650682422202</x:v>
      </x:c>
      <x:c r="D101" s="4" t="n">
        <x:f>IF('계산 과정'!$L$5,B101*COS(C101),"")</x:f>
        <x:v>-7.4172595239675125</x:v>
      </x:c>
      <x:c r="E101" s="4" t="n">
        <x:f>IF('계산 과정'!$L$5,B101*SIN(C101),"")</x:f>
        <x:v>31.530597791535975</x:v>
      </x:c>
      <x:c r="F101" s="4" t="n">
        <x:f>IF('계산 과정'!$L$7,'계산 과정'!$L$22+'계산 과정'!$C$49*D101+'계산 과정'!$D$49*E101,"")</x:f>
        <x:v>655.2447945072179</x:v>
      </x:c>
      <x:c r="G101" s="4" t="n">
        <x:f>IF('계산 과정'!$L$7,IF(ABS(F101)&gt;=1E-12*MAX(1,SQRT((D101-'계산 과정'!$C$33)^2+(E101-'계산 과정'!$D$33)^2+'계산 과정'!$E$33^2)),('계산 과정'!$L$23-'계산 과정'!$C$49*D101-'계산 과정'!$D$49*E101)/F101,""),"")</x:f>
        <x:v>0.6024545464564292</x:v>
      </x:c>
      <x:c r="H101" s="4" t="n">
        <x:f>IF(AND(ISNUMBER(G101),G101&gt;0),('계산 과정'!$D$56+'계산 과정'!$D$57*D101+'계산 과정'!$D$58*E101)/F101,"")</x:f>
        <x:v>-8.404544803321196</x:v>
      </x:c>
      <x:c r="I101" s="4" t="n">
        <x:f>IF(AND(ISNUMBER(G101),G101&gt;0),('계산 과정'!$E$56+'계산 과정'!$E$57*D101+'계산 과정'!$E$58*E101)/F101,"")</x:f>
        <x:v>50.52634978353587</x:v>
      </x:c>
      <x:c r="J101" s="4" t="n">
        <x:f>IF('계산 과정'!$L$5,'계산 과정'!$D$6+'계산 과정'!$C$35*D101+'계산 과정'!$D$35*E101,"")</x:f>
        <x:v>655.2447945072179</x:v>
      </x:c>
      <x:c r="K101" s="4" t="n">
        <x:f>IF(AND('계산 과정'!$L$6,J101&gt;0),'계산 과정'!$D$10*('계산 과정'!$C$38*(D101-'계산 과정'!$C$32)+'계산 과정'!$D$38*(E101-'계산 과정'!$D$32)-'계산 과정'!$E$38*'계산 과정'!$E$32)/J101,"")</x:f>
        <x:v>-0.06403462707292254</x:v>
      </x:c>
      <x:c r="L101" s="4" t="n">
        <x:f>IF(AND('계산 과정'!$L$6,J101&gt;0),'계산 과정'!$D$10*('계산 과정'!$C$39*(D101-'계산 과정'!$C$32)+'계산 과정'!$D$39*(E101-'계산 과정'!$D$32)-'계산 과정'!$E$39*'계산 과정'!$E$32)/J101,"")</x:f>
        <x:v>0.38496266501741616</x:v>
      </x:c>
      <x:c r="M101" s="17" t="n">
        <x:f>IF('계산 과정'!$L$6,IF(J101&lt;=0,0,IF(AND(ABS(K101)&lt;='계산 과정'!$D$11/2,ABS(L101)&lt;='계산 과정'!$D$12/2),1,0)),"")</x:f>
        <x:v>1</x:v>
      </x:c>
      <x:c r="N101" s="17" t="n">
        <x:f>IF('계산 과정'!$C$78,IF(AND(ISNUMBER(H101),ISNUMBER(I101),ABS(H101-'계산 과정'!$C$88)&lt;='계산 과정'!$D$23/2,ABS(I101-'계산 과정'!$C$89)&lt;='계산 과정'!$D$24/2),1,0),"")</x:f>
        <x:v>1</x:v>
      </x:c>
      <x:c r="O101" s="4" t="n">
        <x:f>IF('계산 과정'!$L$7,'계산 과정'!$C$49*('계산 과정'!$C$32-D101)+'계산 과정'!$D$49*('계산 과정'!$D$32-E101)+'계산 과정'!$E$49*'계산 과정'!$E$32,"")</x:f>
        <x:v>-5.244794507217819</x:v>
      </x:c>
      <x:c r="P101" s="4" t="n">
        <x:f>IF(AND('계산 과정'!$L$7,O101&lt;&gt;0),('계산 과정'!$L$23-'계산 과정'!$C$49*D101-'계산 과정'!$D$49*E101)/O101,"")</x:f>
        <x:v>-75.26609573540489</x:v>
      </x:c>
      <x:c r="Q101" s="4" t="str">
        <x:f>IF(AND(ISNUMBER(P101),P101&gt;1E-9,P101&lt;1-1E-9),'계산 과정'!$C$47*(D101-'계산 과정'!$C$50+P101*('계산 과정'!$C$32-D101))+'계산 과정'!$D$47*(E101-'계산 과정'!$D$50+P101*('계산 과정'!$D$32-E101))+'계산 과정'!$E$47*(0-'계산 과정'!$E$50+P101*('계산 과정'!$E$32-0)),"")</x:f>
      </x:c>
      <x:c r="R101" s="4" t="str">
        <x:f>IF(AND(ISNUMBER(P101),P101&gt;1E-9,P101&lt;1-1E-9),'계산 과정'!$C$48*(D101-'계산 과정'!$C$50+P101*('계산 과정'!$C$32-D101))+'계산 과정'!$D$48*(E101-'계산 과정'!$D$50+P101*('계산 과정'!$D$32-E101))+'계산 과정'!$E$48*(0-'계산 과정'!$E$50+P101*('계산 과정'!$E$32-0)),"")</x:f>
      </x:c>
      <x:c r="S101" s="17" t="n">
        <x:f>IF('계산 과정'!$C$78,IF(AND(ISNUMBER(Q101),ISNUMBER(R101),ABS(Q101-'계산 과정'!$C$88)&lt;='계산 과정'!$D$23/2,ABS(R101-'계산 과정'!$C$89)&lt;='계산 과정'!$D$24/2),1,0),"")</x:f>
        <x:v>0</x:v>
      </x:c>
      <x:c r="T101" s="4"/>
      <x:c r="U101" s="4"/>
      <x:c r="V101" s="4"/>
      <x:c r="W101" s="4" t="n">
        <x:f>IF('계산 과정'!$C$77,('계산 과정'!$D$56+'계산 과정'!$D$57*('계산 과정'!$L$11*COS(95*2*PI()/240))+'계산 과정'!$D$58*('계산 과정'!$L$11*SIN(95*2*PI()/240)))/('계산 과정'!$D$59+'계산 과정'!$D$60*('계산 과정'!$L$11*COS(95*2*PI()/240))+'계산 과정'!$D$61*('계산 과정'!$L$11*SIN(95*2*PI()/240))),"")</x:f>
        <x:v>-120.35072090115126</x:v>
      </x:c>
      <x:c r="X101" s="4" t="n">
        <x:f>IF('계산 과정'!$C$77,('계산 과정'!$E$56+'계산 과정'!$E$57*('계산 과정'!$L$11*COS(95*2*PI()/240))+'계산 과정'!$E$58*('계산 과정'!$L$11*SIN(95*2*PI()/240)))/('계산 과정'!$E$59+'계산 과정'!$E$60*('계산 과정'!$L$11*COS(95*2*PI()/240))+'계산 과정'!$E$61*('계산 과정'!$L$11*SIN(95*2*PI()/240))),"")</x:f>
        <x:v>130.60029775872508</x:v>
      </x:c>
      <x:c r="Y101" s="4" t="str">
        <x:f>""</x:f>
      </x:c>
      <x:c r="Z101" s="4" t="str">
        <x:f>""</x:f>
      </x:c>
    </x:row>
    <x:row r="102" ht="23" customHeight="1">
      <x:c r="A102" s="17" t="n">
        <x:f>ROW()-6</x:f>
        <x:v>96</x:v>
      </x:c>
      <x:c r="B102" s="4" t="n">
        <x:f>IF('계산 과정'!$L$5,'계산 과정'!$L$11*SQRT((A102+0.5)/'계산 과정'!$L$30),"")</x:f>
        <x:v>32.560415600272975</x:v>
      </x:c>
      <x:c r="C102" s="4" t="n">
        <x:f>A102*PI()*(3-SQRT(5))</x:f>
        <x:v>230.39647005395068</x:v>
      </x:c>
      <x:c r="D102" s="4" t="n">
        <x:f>IF('계산 과정'!$L$5,B102*COS(C102),"")</x:f>
        <x:v>-15.912016833674441</x:v>
      </x:c>
      <x:c r="E102" s="4" t="n">
        <x:f>IF('계산 과정'!$L$5,B102*SIN(C102),"")</x:f>
        <x:v>-28.4075409767787</x:v>
      </x:c>
      <x:c r="F102" s="4" t="n">
        <x:f>IF('계산 과정'!$L$7,'계산 과정'!$L$22+'계산 과정'!$C$49*D102+'계산 과정'!$D$49*E102,"")</x:f>
        <x:v>661.2514950054457</x:v>
      </x:c>
      <x:c r="G102" s="4" t="n">
        <x:f>IF('계산 과정'!$L$7,IF(ABS(F102)&gt;=1E-12*MAX(1,SQRT((D102-'계산 과정'!$C$33)^2+(E102-'계산 과정'!$D$33)^2+'계산 과정'!$E$33^2)),('계산 과정'!$L$23-'계산 과정'!$C$49*D102-'계산 과정'!$D$49*E102)/F102,""),"")</x:f>
        <x:v>0.587898111279662</x:v>
      </x:c>
      <x:c r="H102" s="4" t="n">
        <x:f>IF(AND(ISNUMBER(G102),G102&gt;0),('계산 과정'!$D$56+'계산 과정'!$D$57*D102+'계산 과정'!$D$58*E102)/F102,"")</x:f>
        <x:v>-17.86622766821988</x:v>
      </x:c>
      <x:c r="I102" s="4" t="n">
        <x:f>IF(AND(ISNUMBER(G102),G102&gt;0),('계산 과정'!$E$56+'계산 과정'!$E$57*D102+'계산 과정'!$E$58*E102)/F102,"")</x:f>
        <x:v>-45.1082806631265</x:v>
      </x:c>
      <x:c r="J102" s="4" t="n">
        <x:f>IF('계산 과정'!$L$5,'계산 과정'!$D$6+'계산 과정'!$C$35*D102+'계산 과정'!$D$35*E102,"")</x:f>
        <x:v>661.2514950054457</x:v>
      </x:c>
      <x:c r="K102" s="4" t="n">
        <x:f>IF(AND('계산 과정'!$L$6,J102&gt;0),'계산 과정'!$D$10*('계산 과정'!$C$38*(D102-'계산 과정'!$C$32)+'계산 과정'!$D$38*(E102-'계산 과정'!$D$32)-'계산 과정'!$E$38*'계산 과정'!$E$32)/J102,"")</x:f>
        <x:v>-0.13612363937691246</x:v>
      </x:c>
      <x:c r="L102" s="4" t="n">
        <x:f>IF(AND('계산 과정'!$L$6,J102&gt;0),'계산 과정'!$D$10*('계산 과정'!$C$39*(D102-'계산 과정'!$C$32)+'계산 과정'!$D$39*(E102-'계산 과정'!$D$32)-'계산 과정'!$E$39*'계산 과정'!$E$32)/J102,"")</x:f>
        <x:v>-0.34368213838572576</x:v>
      </x:c>
      <x:c r="M102" s="17" t="n">
        <x:f>IF('계산 과정'!$L$6,IF(J102&lt;=0,0,IF(AND(ABS(K102)&lt;='계산 과정'!$D$11/2,ABS(L102)&lt;='계산 과정'!$D$12/2),1,0)),"")</x:f>
        <x:v>1</x:v>
      </x:c>
      <x:c r="N102" s="17" t="n">
        <x:f>IF('계산 과정'!$C$78,IF(AND(ISNUMBER(H102),ISNUMBER(I102),ABS(H102-'계산 과정'!$C$88)&lt;='계산 과정'!$D$23/2,ABS(I102-'계산 과정'!$C$89)&lt;='계산 과정'!$D$24/2),1,0),"")</x:f>
        <x:v>1</x:v>
      </x:c>
      <x:c r="O102" s="4" t="n">
        <x:f>IF('계산 과정'!$L$7,'계산 과정'!$C$49*('계산 과정'!$C$32-D102)+'계산 과정'!$D$49*('계산 과정'!$D$32-E102)+'계산 과정'!$E$49*'계산 과정'!$E$32,"")</x:f>
        <x:v>-11.251495005445577</x:v>
      </x:c>
      <x:c r="P102" s="4" t="n">
        <x:f>IF(AND('계산 과정'!$L$7,O102&lt;&gt;0),('계산 과정'!$L$23-'계산 과정'!$C$49*D102-'계산 과정'!$D$49*E102)/O102,"")</x:f>
        <x:v>-34.55083122788617</x:v>
      </x:c>
      <x:c r="Q102" s="4" t="str">
        <x:f>IF(AND(ISNUMBER(P102),P102&gt;1E-9,P102&lt;1-1E-9),'계산 과정'!$C$47*(D102-'계산 과정'!$C$50+P102*('계산 과정'!$C$32-D102))+'계산 과정'!$D$47*(E102-'계산 과정'!$D$50+P102*('계산 과정'!$D$32-E102))+'계산 과정'!$E$47*(0-'계산 과정'!$E$50+P102*('계산 과정'!$E$32-0)),"")</x:f>
      </x:c>
      <x:c r="R102" s="4" t="str">
        <x:f>IF(AND(ISNUMBER(P102),P102&gt;1E-9,P102&lt;1-1E-9),'계산 과정'!$C$48*(D102-'계산 과정'!$C$50+P102*('계산 과정'!$C$32-D102))+'계산 과정'!$D$48*(E102-'계산 과정'!$D$50+P102*('계산 과정'!$D$32-E102))+'계산 과정'!$E$48*(0-'계산 과정'!$E$50+P102*('계산 과정'!$E$32-0)),"")</x:f>
      </x:c>
      <x:c r="S102" s="17" t="n">
        <x:f>IF('계산 과정'!$C$78,IF(AND(ISNUMBER(Q102),ISNUMBER(R102),ABS(Q102-'계산 과정'!$C$88)&lt;='계산 과정'!$D$23/2,ABS(R102-'계산 과정'!$C$89)&lt;='계산 과정'!$D$24/2),1,0),"")</x:f>
        <x:v>0</x:v>
      </x:c>
      <x:c r="T102" s="4"/>
      <x:c r="U102" s="4"/>
      <x:c r="V102" s="4"/>
      <x:c r="W102" s="4" t="n">
        <x:f>IF('계산 과정'!$C$77,('계산 과정'!$D$56+'계산 과정'!$D$57*('계산 과정'!$L$11*COS(96*2*PI()/240))+'계산 과정'!$D$58*('계산 과정'!$L$11*SIN(96*2*PI()/240)))/('계산 과정'!$D$59+'계산 과정'!$D$60*('계산 과정'!$L$11*COS(96*2*PI()/240))+'계산 과정'!$D$61*('계산 과정'!$L$11*SIN(96*2*PI()/240))),"")</x:f>
        <x:v>-122.44977321231363</x:v>
      </x:c>
      <x:c r="X102" s="4" t="n">
        <x:f>IF('계산 과정'!$C$77,('계산 과정'!$E$56+'계산 과정'!$E$57*('계산 과정'!$L$11*COS(96*2*PI()/240))+'계산 과정'!$E$58*('계산 과정'!$L$11*SIN(96*2*PI()/240)))/('계산 과정'!$E$59+'계산 과정'!$E$60*('계산 과정'!$L$11*COS(96*2*PI()/240))+'계산 과정'!$E$61*('계산 과정'!$L$11*SIN(96*2*PI()/240))),"")</x:f>
        <x:v>125.81546401530947</x:v>
      </x:c>
      <x:c r="Y102" s="4" t="str">
        <x:f>""</x:f>
      </x:c>
      <x:c r="Z102" s="4" t="str">
        <x:f>""</x:f>
      </x:c>
    </x:row>
    <x:row r="103" ht="23" customHeight="1">
      <x:c r="A103" s="17" t="n">
        <x:f>ROW()-6</x:f>
        <x:v>97</x:v>
      </x:c>
      <x:c r="B103" s="4" t="n">
        <x:f>IF('계산 과정'!$L$5,'계산 과정'!$L$11*SQRT((A103+0.5)/'계산 과정'!$L$30),"")</x:f>
        <x:v>32.728687602583456</x:v>
      </x:c>
      <x:c r="C103" s="4" t="n">
        <x:f>A103*PI()*(3-SQRT(5))</x:f>
        <x:v>232.79643328367933</x:v>
      </x:c>
      <x:c r="D103" s="4" t="n">
        <x:f>IF('계산 과정'!$L$5,B103*COS(C103),"")</x:f>
        <x:v>31.08184912459522</x:v>
      </x:c>
      <x:c r="E103" s="4" t="n">
        <x:f>IF('계산 과정'!$L$5,B103*SIN(C103),"")</x:f>
        <x:v>10.251129068712352</x:v>
      </x:c>
      <x:c r="F103" s="4" t="n">
        <x:f>IF('계산 과정'!$L$7,'계산 과정'!$L$22+'계산 과정'!$C$49*D103+'계산 과정'!$D$49*E103,"")</x:f>
        <x:v>628.0218137121816</x:v>
      </x:c>
      <x:c r="G103" s="4" t="n">
        <x:f>IF('계산 과정'!$L$7,IF(ABS(F103)&gt;=1E-12*MAX(1,SQRT((D103-'계산 과정'!$C$33)^2+(E103-'계산 과정'!$D$33)^2+'계산 과정'!$E$33^2)),('계산 과정'!$L$23-'계산 과정'!$C$49*D103-'계산 과정'!$D$49*E103)/F103,""),"")</x:f>
        <x:v>0.6719164479232698</x:v>
      </x:c>
      <x:c r="H103" s="4" t="n">
        <x:f>IF(AND(ISNUMBER(G103),G103&gt;0),('계산 과정'!$D$56+'계산 과정'!$D$57*D103+'계산 과정'!$D$58*E103)/F103,"")</x:f>
        <x:v>36.745691150125204</x:v>
      </x:c>
      <x:c r="I103" s="4" t="n">
        <x:f>IF(AND(ISNUMBER(G103),G103&gt;0),('계산 과정'!$E$56+'계산 과정'!$E$57*D103+'계산 과정'!$E$58*E103)/F103,"")</x:f>
        <x:v>17.13903129976453</x:v>
      </x:c>
      <x:c r="J103" s="4" t="n">
        <x:f>IF('계산 과정'!$L$5,'계산 과정'!$D$6+'계산 과정'!$C$35*D103+'계산 과정'!$D$35*E103,"")</x:f>
        <x:v>628.0218137121816</x:v>
      </x:c>
      <x:c r="K103" s="4" t="n">
        <x:f>IF(AND('계산 과정'!$L$6,J103&gt;0),'계산 과정'!$D$10*('계산 과정'!$C$38*(D103-'계산 과정'!$C$32)+'계산 과정'!$D$38*(E103-'계산 과정'!$D$32)-'계산 과정'!$E$38*'계산 과정'!$E$32)/J103,"")</x:f>
        <x:v>0.2799671706676217</x:v>
      </x:c>
      <x:c r="L103" s="4" t="n">
        <x:f>IF(AND('계산 과정'!$L$6,J103&gt;0),'계산 과정'!$D$10*('계산 과정'!$C$39*(D103-'계산 과정'!$C$32)+'계산 과정'!$D$39*(E103-'계산 과정'!$D$32)-'계산 과정'!$E$39*'계산 과정'!$E$32)/J103,"")</x:f>
        <x:v>0.13058309561725356</x:v>
      </x:c>
      <x:c r="M103" s="17" t="n">
        <x:f>IF('계산 과정'!$L$6,IF(J103&lt;=0,0,IF(AND(ABS(K103)&lt;='계산 과정'!$D$11/2,ABS(L103)&lt;='계산 과정'!$D$12/2),1,0)),"")</x:f>
        <x:v>1</x:v>
      </x:c>
      <x:c r="N103" s="17" t="n">
        <x:f>IF('계산 과정'!$C$78,IF(AND(ISNUMBER(H103),ISNUMBER(I103),ABS(H103-'계산 과정'!$C$88)&lt;='계산 과정'!$D$23/2,ABS(I103-'계산 과정'!$C$89)&lt;='계산 과정'!$D$24/2),1,0),"")</x:f>
        <x:v>1</x:v>
      </x:c>
      <x:c r="O103" s="4" t="n">
        <x:f>IF('계산 과정'!$L$7,'계산 과정'!$C$49*('계산 과정'!$C$32-D103)+'계산 과정'!$D$49*('계산 과정'!$D$32-E103)+'계산 과정'!$E$49*'계산 과정'!$E$32,"")</x:f>
        <x:v>21.978186287818573</x:v>
      </x:c>
      <x:c r="P103" s="4" t="n">
        <x:f>IF(AND('계산 과정'!$L$7,O103&lt;&gt;0),('계산 과정'!$L$23-'계산 과정'!$C$49*D103-'계산 과정'!$D$49*E103)/O103,"")</x:f>
        <x:v>19.19986393607466</x:v>
      </x:c>
      <x:c r="Q103" s="4" t="str">
        <x:f>IF(AND(ISNUMBER(P103),P103&gt;1E-9,P103&lt;1-1E-9),'계산 과정'!$C$47*(D103-'계산 과정'!$C$50+P103*('계산 과정'!$C$32-D103))+'계산 과정'!$D$47*(E103-'계산 과정'!$D$50+P103*('계산 과정'!$D$32-E103))+'계산 과정'!$E$47*(0-'계산 과정'!$E$50+P103*('계산 과정'!$E$32-0)),"")</x:f>
      </x:c>
      <x:c r="R103" s="4" t="str">
        <x:f>IF(AND(ISNUMBER(P103),P103&gt;1E-9,P103&lt;1-1E-9),'계산 과정'!$C$48*(D103-'계산 과정'!$C$50+P103*('계산 과정'!$C$32-D103))+'계산 과정'!$D$48*(E103-'계산 과정'!$D$50+P103*('계산 과정'!$D$32-E103))+'계산 과정'!$E$48*(0-'계산 과정'!$E$50+P103*('계산 과정'!$E$32-0)),"")</x:f>
      </x:c>
      <x:c r="S103" s="17" t="n">
        <x:f>IF('계산 과정'!$C$78,IF(AND(ISNUMBER(Q103),ISNUMBER(R103),ABS(Q103-'계산 과정'!$C$88)&lt;='계산 과정'!$D$23/2,ABS(R103-'계산 과정'!$C$89)&lt;='계산 과정'!$D$24/2),1,0),"")</x:f>
        <x:v>0</x:v>
      </x:c>
      <x:c r="T103" s="4"/>
      <x:c r="U103" s="4"/>
      <x:c r="V103" s="4"/>
      <x:c r="W103" s="4" t="n">
        <x:f>IF('계산 과정'!$C$77,('계산 과정'!$D$56+'계산 과정'!$D$57*('계산 과정'!$L$11*COS(97*2*PI()/240))+'계산 과정'!$D$58*('계산 과정'!$L$11*SIN(97*2*PI()/240)))/('계산 과정'!$D$59+'계산 과정'!$D$60*('계산 과정'!$L$11*COS(97*2*PI()/240))+'계산 과정'!$D$61*('계산 과정'!$L$11*SIN(97*2*PI()/240))),"")</x:f>
        <x:v>-124.46556155448471</x:v>
      </x:c>
      <x:c r="X103" s="4" t="n">
        <x:f>IF('계산 과정'!$C$77,('계산 과정'!$E$56+'계산 과정'!$E$57*('계산 과정'!$L$11*COS(97*2*PI()/240))+'계산 과정'!$E$58*('계산 과정'!$L$11*SIN(97*2*PI()/240)))/('계산 과정'!$E$59+'계산 과정'!$E$60*('계산 과정'!$L$11*COS(97*2*PI()/240))+'계산 과정'!$E$61*('계산 과정'!$L$11*SIN(97*2*PI()/240))),"")</x:f>
        <x:v>120.97580271329144</x:v>
      </x:c>
      <x:c r="Y103" s="4" t="str">
        <x:f>""</x:f>
      </x:c>
      <x:c r="Z103" s="4" t="str">
        <x:f>""</x:f>
      </x:c>
    </x:row>
    <x:row r="104" ht="23" customHeight="1">
      <x:c r="A104" s="17" t="n">
        <x:f>ROW()-6</x:f>
        <x:v>98</x:v>
      </x:c>
      <x:c r="B104" s="4" t="n">
        <x:f>IF('계산 과정'!$L$5,'계산 과정'!$L$11*SQRT((A104+0.5)/'계산 과정'!$L$30),"")</x:f>
        <x:v>32.896098861605154</x:v>
      </x:c>
      <x:c r="C104" s="4" t="n">
        <x:f>A104*PI()*(3-SQRT(5))</x:f>
        <x:v>235.19639651340796</x:v>
      </x:c>
      <x:c r="D104" s="4" t="n">
        <x:f>IF('계산 과정'!$L$5,B104*COS(C104),"")</x:f>
        <x:v>-29.995978690680825</x:v>
      </x:c>
      <x:c r="E104" s="4" t="n">
        <x:f>IF('계산 과정'!$L$5,B104*SIN(C104),"")</x:f>
        <x:v>13.505353853221385</x:v>
      </x:c>
      <x:c r="F104" s="4" t="n">
        <x:f>IF('계산 과정'!$L$7,'계산 과정'!$L$22+'계산 과정'!$C$49*D104+'계산 과정'!$D$49*E104,"")</x:f>
        <x:v>671.2103599405076</x:v>
      </x:c>
      <x:c r="G104" s="4" t="n">
        <x:f>IF('계산 과정'!$L$7,IF(ABS(F104)&gt;=1E-12*MAX(1,SQRT((D104-'계산 과정'!$C$33)^2+(E104-'계산 과정'!$D$33)^2+'계산 과정'!$E$33^2)),('계산 과정'!$L$23-'계산 과정'!$C$49*D104-'계산 과정'!$D$49*E104)/F104,""),"")</x:f>
        <x:v>0.5643381906278476</x:v>
      </x:c>
      <x:c r="H104" s="4" t="n">
        <x:f>IF(AND(ISNUMBER(G104),G104&gt;0),('계산 과정'!$D$56+'계산 과정'!$D$57*D104+'계산 과정'!$D$58*E104)/F104,"")</x:f>
        <x:v>-33.18017609189914</x:v>
      </x:c>
      <x:c r="I104" s="4" t="n">
        <x:f>IF(AND(ISNUMBER(G104),G104&gt;0),('계산 과정'!$E$56+'계산 과정'!$E$57*D104+'계산 과정'!$E$58*E104)/F104,"")</x:f>
        <x:v>21.12694081053717</x:v>
      </x:c>
      <x:c r="J104" s="4" t="n">
        <x:f>IF('계산 과정'!$L$5,'계산 과정'!$D$6+'계산 과정'!$C$35*D104+'계산 과정'!$D$35*E104,"")</x:f>
        <x:v>671.2103599405076</x:v>
      </x:c>
      <x:c r="K104" s="4" t="n">
        <x:f>IF(AND('계산 과정'!$L$6,J104&gt;0),'계산 과정'!$D$10*('계산 과정'!$C$38*(D104-'계산 과정'!$C$32)+'계산 과정'!$D$38*(E104-'계산 과정'!$D$32)-'계산 과정'!$E$38*'계산 과정'!$E$32)/J104,"")</x:f>
        <x:v>-0.2528013416525641</x:v>
      </x:c>
      <x:c r="L104" s="4" t="n">
        <x:f>IF(AND('계산 과정'!$L$6,J104&gt;0),'계산 과정'!$D$10*('계산 과정'!$C$39*(D104-'계산 과정'!$C$32)+'계산 과정'!$D$39*(E104-'계산 과정'!$D$32)-'계산 과정'!$E$39*'계산 과정'!$E$32)/J104,"")</x:f>
        <x:v>0.16096716808028322</x:v>
      </x:c>
      <x:c r="M104" s="17" t="n">
        <x:f>IF('계산 과정'!$L$6,IF(J104&lt;=0,0,IF(AND(ABS(K104)&lt;='계산 과정'!$D$11/2,ABS(L104)&lt;='계산 과정'!$D$12/2),1,0)),"")</x:f>
        <x:v>1</x:v>
      </x:c>
      <x:c r="N104" s="17" t="n">
        <x:f>IF('계산 과정'!$C$78,IF(AND(ISNUMBER(H104),ISNUMBER(I104),ABS(H104-'계산 과정'!$C$88)&lt;='계산 과정'!$D$23/2,ABS(I104-'계산 과정'!$C$89)&lt;='계산 과정'!$D$24/2),1,0),"")</x:f>
        <x:v>1</x:v>
      </x:c>
      <x:c r="O104" s="4" t="n">
        <x:f>IF('계산 과정'!$L$7,'계산 과정'!$C$49*('계산 과정'!$C$32-D104)+'계산 과정'!$D$49*('계산 과정'!$D$32-E104)+'계산 과정'!$E$49*'계산 과정'!$E$32,"")</x:f>
        <x:v>-21.210359940507487</x:v>
      </x:c>
      <x:c r="P104" s="4" t="n">
        <x:f>IF(AND('계산 과정'!$L$7,O104&lt;&gt;0),('계산 과정'!$L$23-'계산 과정'!$C$49*D104-'계산 과정'!$D$49*E104)/O104,"")</x:f>
        <x:v>-17.858708721679022</x:v>
      </x:c>
      <x:c r="Q104" s="4" t="str">
        <x:f>IF(AND(ISNUMBER(P104),P104&gt;1E-9,P104&lt;1-1E-9),'계산 과정'!$C$47*(D104-'계산 과정'!$C$50+P104*('계산 과정'!$C$32-D104))+'계산 과정'!$D$47*(E104-'계산 과정'!$D$50+P104*('계산 과정'!$D$32-E104))+'계산 과정'!$E$47*(0-'계산 과정'!$E$50+P104*('계산 과정'!$E$32-0)),"")</x:f>
      </x:c>
      <x:c r="R104" s="4" t="str">
        <x:f>IF(AND(ISNUMBER(P104),P104&gt;1E-9,P104&lt;1-1E-9),'계산 과정'!$C$48*(D104-'계산 과정'!$C$50+P104*('계산 과정'!$C$32-D104))+'계산 과정'!$D$48*(E104-'계산 과정'!$D$50+P104*('계산 과정'!$D$32-E104))+'계산 과정'!$E$48*(0-'계산 과정'!$E$50+P104*('계산 과정'!$E$32-0)),"")</x:f>
      </x:c>
      <x:c r="S104" s="17" t="n">
        <x:f>IF('계산 과정'!$C$78,IF(AND(ISNUMBER(Q104),ISNUMBER(R104),ABS(Q104-'계산 과정'!$C$88)&lt;='계산 과정'!$D$23/2,ABS(R104-'계산 과정'!$C$89)&lt;='계산 과정'!$D$24/2),1,0),"")</x:f>
        <x:v>0</x:v>
      </x:c>
      <x:c r="T104" s="4"/>
      <x:c r="U104" s="4"/>
      <x:c r="V104" s="4"/>
      <x:c r="W104" s="4" t="n">
        <x:f>IF('계산 과정'!$C$77,('계산 과정'!$D$56+'계산 과정'!$D$57*('계산 과정'!$L$11*COS(98*2*PI()/240))+'계산 과정'!$D$58*('계산 과정'!$L$11*SIN(98*2*PI()/240)))/('계산 과정'!$D$59+'계산 과정'!$D$60*('계산 과정'!$L$11*COS(98*2*PI()/240))+'계산 과정'!$D$61*('계산 과정'!$L$11*SIN(98*2*PI()/240))),"")</x:f>
        <x:v>-126.39773616055754</x:v>
      </x:c>
      <x:c r="X104" s="4" t="n">
        <x:f>IF('계산 과정'!$C$77,('계산 과정'!$E$56+'계산 과정'!$E$57*('계산 과정'!$L$11*COS(98*2*PI()/240))+'계산 과정'!$E$58*('계산 과정'!$L$11*SIN(98*2*PI()/240)))/('계산 과정'!$E$59+'계산 과정'!$E$60*('계산 과정'!$L$11*COS(98*2*PI()/240))+'계산 과정'!$E$61*('계산 과정'!$L$11*SIN(98*2*PI()/240))),"")</x:f>
        <x:v>116.08381054966353</x:v>
      </x:c>
      <x:c r="Y104" s="4" t="str">
        <x:f>""</x:f>
      </x:c>
      <x:c r="Z104" s="4" t="str">
        <x:f>""</x:f>
      </x:c>
    </x:row>
    <x:row r="105" ht="23" customHeight="1">
      <x:c r="A105" s="17" t="n">
        <x:f>ROW()-6</x:f>
        <x:v>99</x:v>
      </x:c>
      <x:c r="B105" s="4" t="n">
        <x:f>IF('계산 과정'!$L$5,'계산 과정'!$L$11*SQRT((A105+0.5)/'계산 과정'!$L$30),"")</x:f>
        <x:v>33.06266245234192</x:v>
      </x:c>
      <x:c r="C105" s="4" t="n">
        <x:f>A105*PI()*(3-SQRT(5))</x:f>
        <x:v>237.59635974313665</x:v>
      </x:c>
      <x:c r="D105" s="4" t="n">
        <x:f>IF('계산 과정'!$L$5,B105*COS(C105),"")</x:f>
        <x:v>13.06116544628257</x:v>
      </x:c>
      <x:c r="E105" s="4" t="n">
        <x:f>IF('계산 과정'!$L$5,B105*SIN(C105),"")</x:f>
        <x:v>-30.373435854745413</x:v>
      </x:c>
      <x:c r="F105" s="4" t="n">
        <x:f>IF('계산 과정'!$L$7,'계산 과정'!$L$22+'계산 과정'!$C$49*D105+'계산 과정'!$D$49*E105,"")</x:f>
        <x:v>640.7643613427342</x:v>
      </x:c>
      <x:c r="G105" s="4" t="n">
        <x:f>IF('계산 과정'!$L$7,IF(ABS(F105)&gt;=1E-12*MAX(1,SQRT((D105-'계산 과정'!$C$33)^2+(E105-'계산 과정'!$D$33)^2+'계산 과정'!$E$33^2)),('계산 과정'!$L$23-'계산 과정'!$C$49*D105-'계산 과정'!$D$49*E105)/F105,""),"")</x:f>
        <x:v>0.6386679149878195</x:v>
      </x:c>
      <x:c r="H105" s="4" t="n">
        <x:f>IF(AND(ISNUMBER(G105),G105&gt;0),('계산 과정'!$D$56+'계산 과정'!$D$57*D105+'계산 과정'!$D$58*E105)/F105,"")</x:f>
        <x:v>15.134144742082581</x:v>
      </x:c>
      <x:c r="I105" s="4" t="n">
        <x:f>IF(AND(ISNUMBER(G105),G105&gt;0),('계산 과정'!$E$56+'계산 과정'!$E$57*D105+'계산 과정'!$E$58*E105)/F105,"")</x:f>
        <x:v>-49.771974803111945</x:v>
      </x:c>
      <x:c r="J105" s="4" t="n">
        <x:f>IF('계산 과정'!$L$5,'계산 과정'!$D$6+'계산 과정'!$C$35*D105+'계산 과정'!$D$35*E105,"")</x:f>
        <x:v>640.7643613427342</x:v>
      </x:c>
      <x:c r="K105" s="4" t="n">
        <x:f>IF(AND('계산 과정'!$L$6,J105&gt;0),'계산 과정'!$D$10*('계산 과정'!$C$38*(D105-'계산 과정'!$C$32)+'계산 과정'!$D$38*(E105-'계산 과정'!$D$32)-'계산 과정'!$E$38*'계산 과정'!$E$32)/J105,"")</x:f>
        <x:v>0.11530776946348735</x:v>
      </x:c>
      <x:c r="L105" s="4" t="n">
        <x:f>IF(AND('계산 과정'!$L$6,J105&gt;0),'계산 과정'!$D$10*('계산 과정'!$C$39*(D105-'계산 과정'!$C$32)+'계산 과정'!$D$39*(E105-'계산 과정'!$D$32)-'계산 과정'!$E$39*'계산 과정'!$E$32)/J105,"")</x:f>
        <x:v>-0.37921504611894813</x:v>
      </x:c>
      <x:c r="M105" s="17" t="n">
        <x:f>IF('계산 과정'!$L$6,IF(J105&lt;=0,0,IF(AND(ABS(K105)&lt;='계산 과정'!$D$11/2,ABS(L105)&lt;='계산 과정'!$D$12/2),1,0)),"")</x:f>
        <x:v>1</x:v>
      </x:c>
      <x:c r="N105" s="17" t="n">
        <x:f>IF('계산 과정'!$C$78,IF(AND(ISNUMBER(H105),ISNUMBER(I105),ABS(H105-'계산 과정'!$C$88)&lt;='계산 과정'!$D$23/2,ABS(I105-'계산 과정'!$C$89)&lt;='계산 과정'!$D$24/2),1,0),"")</x:f>
        <x:v>1</x:v>
      </x:c>
      <x:c r="O105" s="4" t="n">
        <x:f>IF('계산 과정'!$L$7,'계산 과정'!$C$49*('계산 과정'!$C$32-D105)+'계산 과정'!$D$49*('계산 과정'!$D$32-E105)+'계산 과정'!$E$49*'계산 과정'!$E$32,"")</x:f>
        <x:v>9.235638657265952</x:v>
      </x:c>
      <x:c r="P105" s="4" t="n">
        <x:f>IF(AND('계산 과정'!$L$7,O105&lt;&gt;0),('계산 과정'!$L$23-'계산 과정'!$C$49*D105-'계산 과정'!$D$49*E105)/O105,"")</x:f>
        <x:v>44.31048613355049</x:v>
      </x:c>
      <x:c r="Q105" s="4" t="str">
        <x:f>IF(AND(ISNUMBER(P105),P105&gt;1E-9,P105&lt;1-1E-9),'계산 과정'!$C$47*(D105-'계산 과정'!$C$50+P105*('계산 과정'!$C$32-D105))+'계산 과정'!$D$47*(E105-'계산 과정'!$D$50+P105*('계산 과정'!$D$32-E105))+'계산 과정'!$E$47*(0-'계산 과정'!$E$50+P105*('계산 과정'!$E$32-0)),"")</x:f>
      </x:c>
      <x:c r="R105" s="4" t="str">
        <x:f>IF(AND(ISNUMBER(P105),P105&gt;1E-9,P105&lt;1-1E-9),'계산 과정'!$C$48*(D105-'계산 과정'!$C$50+P105*('계산 과정'!$C$32-D105))+'계산 과정'!$D$48*(E105-'계산 과정'!$D$50+P105*('계산 과정'!$D$32-E105))+'계산 과정'!$E$48*(0-'계산 과정'!$E$50+P105*('계산 과정'!$E$32-0)),"")</x:f>
      </x:c>
      <x:c r="S105" s="17" t="n">
        <x:f>IF('계산 과정'!$C$78,IF(AND(ISNUMBER(Q105),ISNUMBER(R105),ABS(Q105-'계산 과정'!$C$88)&lt;='계산 과정'!$D$23/2,ABS(R105-'계산 과정'!$C$89)&lt;='계산 과정'!$D$24/2),1,0),"")</x:f>
        <x:v>0</x:v>
      </x:c>
      <x:c r="T105" s="4"/>
      <x:c r="U105" s="4"/>
      <x:c r="V105" s="4"/>
      <x:c r="W105" s="4" t="n">
        <x:f>IF('계산 과정'!$C$77,('계산 과정'!$D$56+'계산 과정'!$D$57*('계산 과정'!$L$11*COS(99*2*PI()/240))+'계산 과정'!$D$58*('계산 과정'!$L$11*SIN(99*2*PI()/240)))/('계산 과정'!$D$59+'계산 과정'!$D$60*('계산 과정'!$L$11*COS(99*2*PI()/240))+'계산 과정'!$D$61*('계산 과정'!$L$11*SIN(99*2*PI()/240))),"")</x:f>
        <x:v>-128.24597246776875</x:v>
      </x:c>
      <x:c r="X105" s="4" t="n">
        <x:f>IF('계산 과정'!$C$77,('계산 과정'!$E$56+'계산 과정'!$E$57*('계산 과정'!$L$11*COS(99*2*PI()/240))+'계산 과정'!$E$58*('계산 과정'!$L$11*SIN(99*2*PI()/240)))/('계산 과정'!$E$59+'계산 과정'!$E$60*('계산 과정'!$L$11*COS(99*2*PI()/240))+'계산 과정'!$E$61*('계산 과정'!$L$11*SIN(99*2*PI()/240))),"")</x:f>
        <x:v>111.14195917078526</x:v>
      </x:c>
      <x:c r="Y105" s="4" t="str">
        <x:f>""</x:f>
      </x:c>
      <x:c r="Z105" s="4" t="str">
        <x:f>""</x:f>
      </x:c>
    </x:row>
    <x:row r="106" ht="23" customHeight="1">
      <x:c r="A106" s="17" t="n">
        <x:f>ROW()-6</x:f>
        <x:v>100</x:v>
      </x:c>
      <x:c r="B106" s="4" t="n">
        <x:f>IF('계산 과정'!$L$5,'계산 과정'!$L$11*SQRT((A106+0.5)/'계산 과정'!$L$30),"")</x:f>
        <x:v>33.22839112208865</x:v>
      </x:c>
      <x:c r="C106" s="4" t="n">
        <x:f>A106*PI()*(3-SQRT(5))</x:f>
        <x:v>239.9963229728653</x:v>
      </x:c>
      <x:c r="D106" s="4" t="n">
        <x:f>IF('계산 과정'!$L$5,B106*COS(C106),"")</x:f>
        <x:v>10.9406312915393</x:v>
      </x:c>
      <x:c r="E106" s="4" t="n">
        <x:f>IF('계산 과정'!$L$5,B106*SIN(C106),"")</x:f>
        <x:v>31.375604591865493</x:v>
      </x:c>
      <x:c r="F106" s="4" t="n">
        <x:f>IF('계산 과정'!$L$7,'계산 과정'!$L$22+'계산 과정'!$C$49*D106+'계산 과정'!$D$49*E106,"")</x:f>
        <x:v>642.2638054232908</x:v>
      </x:c>
      <x:c r="G106" s="4" t="n">
        <x:f>IF('계산 과정'!$L$7,IF(ABS(F106)&gt;=1E-12*MAX(1,SQRT((D106-'계산 과정'!$C$33)^2+(E106-'계산 과정'!$D$33)^2+'계산 과정'!$E$33^2)),('계산 과정'!$L$23-'계산 과정'!$C$49*D106-'계산 과정'!$D$49*E106)/F106,""),"")</x:f>
        <x:v>0.6348422426015214</x:v>
      </x:c>
      <x:c r="H106" s="4" t="n">
        <x:f>IF(AND(ISNUMBER(G106),G106&gt;0),('계산 과정'!$D$56+'계산 과정'!$D$57*D106+'계산 과정'!$D$58*E106)/F106,"")</x:f>
        <x:v>12.647457690988842</x:v>
      </x:c>
      <x:c r="I106" s="4" t="n">
        <x:f>IF(AND(ISNUMBER(G106),G106&gt;0),('계산 과정'!$E$56+'계산 과정'!$E$57*D106+'계산 과정'!$E$58*E106)/F106,"")</x:f>
        <x:v>51.294163773943986</x:v>
      </x:c>
      <x:c r="J106" s="4" t="n">
        <x:f>IF('계산 과정'!$L$5,'계산 과정'!$D$6+'계산 과정'!$C$35*D106+'계산 과정'!$D$35*E106,"")</x:f>
        <x:v>642.2638054232908</x:v>
      </x:c>
      <x:c r="K106" s="4" t="n">
        <x:f>IF(AND('계산 과정'!$L$6,J106&gt;0),'계산 과정'!$D$10*('계산 과정'!$C$38*(D106-'계산 과정'!$C$32)+'계산 과정'!$D$38*(E106-'계산 과정'!$D$32)-'계산 과정'!$E$38*'계산 과정'!$E$32)/J106,"")</x:f>
        <x:v>0.09636158240753498</x:v>
      </x:c>
      <x:c r="L106" s="4" t="n">
        <x:f>IF(AND('계산 과정'!$L$6,J106&gt;0),'계산 과정'!$D$10*('계산 과정'!$C$39*(D106-'계산 과정'!$C$32)+'계산 과정'!$D$39*(E106-'계산 과정'!$D$32)-'계산 과정'!$E$39*'계산 과정'!$E$32)/J106,"")</x:f>
        <x:v>0.3908126763729065</x:v>
      </x:c>
      <x:c r="M106" s="17" t="n">
        <x:f>IF('계산 과정'!$L$6,IF(J106&lt;=0,0,IF(AND(ABS(K106)&lt;='계산 과정'!$D$11/2,ABS(L106)&lt;='계산 과정'!$D$12/2),1,0)),"")</x:f>
        <x:v>1</x:v>
      </x:c>
      <x:c r="N106" s="17" t="n">
        <x:f>IF('계산 과정'!$C$78,IF(AND(ISNUMBER(H106),ISNUMBER(I106),ABS(H106-'계산 과정'!$C$88)&lt;='계산 과정'!$D$23/2,ABS(I106-'계산 과정'!$C$89)&lt;='계산 과정'!$D$24/2),1,0),"")</x:f>
        <x:v>1</x:v>
      </x:c>
      <x:c r="O106" s="4" t="n">
        <x:f>IF('계산 과정'!$L$7,'계산 과정'!$C$49*('계산 과정'!$C$32-D106)+'계산 과정'!$D$49*('계산 과정'!$D$32-E106)+'계산 과정'!$E$49*'계산 과정'!$E$32,"")</x:f>
        <x:v>7.736194576709295</x:v>
      </x:c>
      <x:c r="P106" s="4" t="n">
        <x:f>IF(AND('계산 과정'!$L$7,O106&lt;&gt;0),('계산 과정'!$L$23-'계산 과정'!$C$49*D106-'계산 과정'!$D$49*E106)/O106,"")</x:f>
        <x:v>52.7050076796473</x:v>
      </x:c>
      <x:c r="Q106" s="4" t="str">
        <x:f>IF(AND(ISNUMBER(P106),P106&gt;1E-9,P106&lt;1-1E-9),'계산 과정'!$C$47*(D106-'계산 과정'!$C$50+P106*('계산 과정'!$C$32-D106))+'계산 과정'!$D$47*(E106-'계산 과정'!$D$50+P106*('계산 과정'!$D$32-E106))+'계산 과정'!$E$47*(0-'계산 과정'!$E$50+P106*('계산 과정'!$E$32-0)),"")</x:f>
      </x:c>
      <x:c r="R106" s="4" t="str">
        <x:f>IF(AND(ISNUMBER(P106),P106&gt;1E-9,P106&lt;1-1E-9),'계산 과정'!$C$48*(D106-'계산 과정'!$C$50+P106*('계산 과정'!$C$32-D106))+'계산 과정'!$D$48*(E106-'계산 과정'!$D$50+P106*('계산 과정'!$D$32-E106))+'계산 과정'!$E$48*(0-'계산 과정'!$E$50+P106*('계산 과정'!$E$32-0)),"")</x:f>
      </x:c>
      <x:c r="S106" s="17" t="n">
        <x:f>IF('계산 과정'!$C$78,IF(AND(ISNUMBER(Q106),ISNUMBER(R106),ABS(Q106-'계산 과정'!$C$88)&lt;='계산 과정'!$D$23/2,ABS(R106-'계산 과정'!$C$89)&lt;='계산 과정'!$D$24/2),1,0),"")</x:f>
        <x:v>0</x:v>
      </x:c>
      <x:c r="T106" s="4"/>
      <x:c r="U106" s="4"/>
      <x:c r="V106" s="4"/>
      <x:c r="W106" s="4" t="n">
        <x:f>IF('계산 과정'!$C$77,('계산 과정'!$D$56+'계산 과정'!$D$57*('계산 과정'!$L$11*COS(100*2*PI()/240))+'계산 과정'!$D$58*('계산 과정'!$L$11*SIN(100*2*PI()/240)))/('계산 과정'!$D$59+'계산 과정'!$D$60*('계산 과정'!$L$11*COS(100*2*PI()/240))+'계산 과정'!$D$61*('계산 과정'!$L$11*SIN(100*2*PI()/240))),"")</x:f>
        <x:v>-130.009969761466</x:v>
      </x:c>
      <x:c r="X106" s="4" t="n">
        <x:f>IF('계산 과정'!$C$77,('계산 과정'!$E$56+'계산 과정'!$E$57*('계산 과정'!$L$11*COS(100*2*PI()/240))+'계산 과정'!$E$58*('계산 과정'!$L$11*SIN(100*2*PI()/240)))/('계산 과정'!$E$59+'계산 과정'!$E$60*('계산 과정'!$L$11*COS(100*2*PI()/240))+'계산 과정'!$E$61*('계산 과정'!$L$11*SIN(100*2*PI()/240))),"")</x:f>
        <x:v>106.15269579675392</x:v>
      </x:c>
      <x:c r="Y106" s="4" t="str">
        <x:f>""</x:f>
      </x:c>
      <x:c r="Z106" s="4" t="str">
        <x:f>""</x:f>
      </x:c>
    </x:row>
    <x:row r="107" ht="23" customHeight="1">
      <x:c r="A107" s="17" t="n">
        <x:f>ROW()-6</x:f>
        <x:v>101</x:v>
      </x:c>
      <x:c r="B107" s="4" t="n">
        <x:f>IF('계산 과정'!$L$5,'계산 과정'!$L$11*SQRT((A107+0.5)/'계산 과정'!$L$30),"")</x:f>
        <x:v>33.393297301816425</x:v>
      </x:c>
      <x:c r="C107" s="4" t="n">
        <x:f>A107*PI()*(3-SQRT(5))</x:f>
        <x:v>242.39628620259396</x:v>
      </x:c>
      <x:c r="D107" s="4" t="n">
        <x:f>IF('계산 과정'!$L$5,B107*COS(C107),"")</x:f>
        <x:v>-29.40641515178641</x:v>
      </x:c>
      <x:c r="E107" s="4" t="n">
        <x:f>IF('계산 과정'!$L$5,B107*SIN(C107),"")</x:f>
        <x:v>-15.823244060820368</x:v>
      </x:c>
      <x:c r="F107" s="4" t="n">
        <x:f>IF('계산 과정'!$L$7,'계산 과정'!$L$22+'계산 과정'!$C$49*D107+'계산 과정'!$D$49*E107,"")</x:f>
        <x:v>670.793475564215</x:v>
      </x:c>
      <x:c r="G107" s="4" t="n">
        <x:f>IF('계산 과정'!$L$7,IF(ABS(F107)&gt;=1E-12*MAX(1,SQRT((D107-'계산 과정'!$C$33)^2+(E107-'계산 과정'!$D$33)^2+'계산 과정'!$E$33^2)),('계산 과정'!$L$23-'계산 과정'!$C$49*D107-'계산 과정'!$D$49*E107)/F107,""),"")</x:f>
        <x:v>0.5653103947035687</x:v>
      </x:c>
      <x:c r="H107" s="4" t="n">
        <x:f>IF(AND(ISNUMBER(G107),G107&gt;0),('계산 과정'!$D$56+'계산 과정'!$D$57*D107+'계산 과정'!$D$58*E107)/F107,"")</x:f>
        <x:v>-32.54824344268052</x:v>
      </x:c>
      <x:c r="I107" s="4" t="n">
        <x:f>IF(AND(ISNUMBER(G107),G107&gt;0),('계산 과정'!$E$56+'계산 과정'!$E$57*D107+'계산 과정'!$E$58*E107)/F107,"")</x:f>
        <x:v>-24.768288406333628</x:v>
      </x:c>
      <x:c r="J107" s="4" t="n">
        <x:f>IF('계산 과정'!$L$5,'계산 과정'!$D$6+'계산 과정'!$C$35*D107+'계산 과정'!$D$35*E107,"")</x:f>
        <x:v>670.793475564215</x:v>
      </x:c>
      <x:c r="K107" s="4" t="n">
        <x:f>IF(AND('계산 과정'!$L$6,J107&gt;0),'계산 과정'!$D$10*('계산 과정'!$C$38*(D107-'계산 과정'!$C$32)+'계산 과정'!$D$38*(E107-'계산 과정'!$D$32)-'계산 과정'!$E$38*'계산 과정'!$E$32)/J107,"")</x:f>
        <x:v>-0.24798661670613617</x:v>
      </x:c>
      <x:c r="L107" s="4" t="n">
        <x:f>IF(AND('계산 과정'!$L$6,J107&gt;0),'계산 과정'!$D$10*('계산 과정'!$C$39*(D107-'계산 과정'!$C$32)+'계산 과정'!$D$39*(E107-'계산 과정'!$D$32)-'계산 과정'!$E$39*'계산 과정'!$E$32)/J107,"")</x:f>
        <x:v>-0.188710768810161</x:v>
      </x:c>
      <x:c r="M107" s="17" t="n">
        <x:f>IF('계산 과정'!$L$6,IF(J107&lt;=0,0,IF(AND(ABS(K107)&lt;='계산 과정'!$D$11/2,ABS(L107)&lt;='계산 과정'!$D$12/2),1,0)),"")</x:f>
        <x:v>1</x:v>
      </x:c>
      <x:c r="N107" s="17" t="n">
        <x:f>IF('계산 과정'!$C$78,IF(AND(ISNUMBER(H107),ISNUMBER(I107),ABS(H107-'계산 과정'!$C$88)&lt;='계산 과정'!$D$23/2,ABS(I107-'계산 과정'!$C$89)&lt;='계산 과정'!$D$24/2),1,0),"")</x:f>
        <x:v>1</x:v>
      </x:c>
      <x:c r="O107" s="4" t="n">
        <x:f>IF('계산 과정'!$L$7,'계산 과정'!$C$49*('계산 과정'!$C$32-D107)+'계산 과정'!$D$49*('계산 과정'!$D$32-E107)+'계산 과정'!$E$49*'계산 과정'!$E$32,"")</x:f>
        <x:v>-20.793475564214873</x:v>
      </x:c>
      <x:c r="P107" s="4" t="n">
        <x:f>IF(AND('계산 과정'!$L$7,O107&lt;&gt;0),('계산 과정'!$L$23-'계산 과정'!$C$49*D107-'계산 과정'!$D$49*E107)/O107,"")</x:f>
        <x:v>-18.236803331156015</x:v>
      </x:c>
      <x:c r="Q107" s="4" t="str">
        <x:f>IF(AND(ISNUMBER(P107),P107&gt;1E-9,P107&lt;1-1E-9),'계산 과정'!$C$47*(D107-'계산 과정'!$C$50+P107*('계산 과정'!$C$32-D107))+'계산 과정'!$D$47*(E107-'계산 과정'!$D$50+P107*('계산 과정'!$D$32-E107))+'계산 과정'!$E$47*(0-'계산 과정'!$E$50+P107*('계산 과정'!$E$32-0)),"")</x:f>
      </x:c>
      <x:c r="R107" s="4" t="str">
        <x:f>IF(AND(ISNUMBER(P107),P107&gt;1E-9,P107&lt;1-1E-9),'계산 과정'!$C$48*(D107-'계산 과정'!$C$50+P107*('계산 과정'!$C$32-D107))+'계산 과정'!$D$48*(E107-'계산 과정'!$D$50+P107*('계산 과정'!$D$32-E107))+'계산 과정'!$E$48*(0-'계산 과정'!$E$50+P107*('계산 과정'!$E$32-0)),"")</x:f>
      </x:c>
      <x:c r="S107" s="17" t="n">
        <x:f>IF('계산 과정'!$C$78,IF(AND(ISNUMBER(Q107),ISNUMBER(R107),ABS(Q107-'계산 과정'!$C$88)&lt;='계산 과정'!$D$23/2,ABS(R107-'계산 과정'!$C$89)&lt;='계산 과정'!$D$24/2),1,0),"")</x:f>
        <x:v>0</x:v>
      </x:c>
      <x:c r="T107" s="4"/>
      <x:c r="U107" s="4"/>
      <x:c r="V107" s="4"/>
      <x:c r="W107" s="4" t="n">
        <x:f>IF('계산 과정'!$C$77,('계산 과정'!$D$56+'계산 과정'!$D$57*('계산 과정'!$L$11*COS(101*2*PI()/240))+'계산 과정'!$D$58*('계산 과정'!$L$11*SIN(101*2*PI()/240)))/('계산 과정'!$D$59+'계산 과정'!$D$60*('계산 과정'!$L$11*COS(101*2*PI()/240))+'계산 과정'!$D$61*('계산 과정'!$L$11*SIN(101*2*PI()/240))),"")</x:f>
        <x:v>-131.6894498803671</x:v>
      </x:c>
      <x:c r="X107" s="4" t="n">
        <x:f>IF('계산 과정'!$C$77,('계산 과정'!$E$56+'계산 과정'!$E$57*('계산 과정'!$L$11*COS(101*2*PI()/240))+'계산 과정'!$E$58*('계산 과정'!$L$11*SIN(101*2*PI()/240)))/('계산 과정'!$E$59+'계산 과정'!$E$60*('계산 과정'!$L$11*COS(101*2*PI()/240))+'계산 과정'!$E$61*('계산 과정'!$L$11*SIN(101*2*PI()/240))),"")</x:f>
        <x:v>101.1184439142469</x:v>
      </x:c>
      <x:c r="Y107" s="4" t="str">
        <x:f>""</x:f>
      </x:c>
      <x:c r="Z107" s="4" t="str">
        <x:f>""</x:f>
      </x:c>
    </x:row>
    <x:row r="108" ht="23" customHeight="1">
      <x:c r="A108" s="17" t="n">
        <x:f>ROW()-6</x:f>
        <x:v>102</x:v>
      </x:c>
      <x:c r="B108" s="4" t="n">
        <x:f>IF('계산 과정'!$L$5,'계산 과정'!$L$11*SQRT((A108+0.5)/'계산 과정'!$L$30),"")</x:f>
        <x:v>33.557393117053955</x:v>
      </x:c>
      <x:c r="C108" s="4" t="n">
        <x:f>A108*PI()*(3-SQRT(5))</x:f>
        <x:v>244.79624943232258</x:v>
      </x:c>
      <x:c r="D108" s="4" t="n">
        <x:f>IF('계산 과정'!$L$5,B108*COS(C108),"")</x:f>
        <x:v>32.53089939153018</x:v>
      </x:c>
      <x:c r="E108" s="4" t="n">
        <x:f>IF('계산 과정'!$L$5,B108*SIN(C108),"")</x:f>
        <x:v>-8.23645661620589</x:v>
      </x:c>
      <x:c r="F108" s="4" t="n">
        <x:f>IF('계산 과정'!$L$7,'계산 과정'!$L$22+'계산 과정'!$C$49*D108+'계산 과정'!$D$49*E108,"")</x:f>
        <x:v>626.9971804421517</x:v>
      </x:c>
      <x:c r="G108" s="4" t="n">
        <x:f>IF('계산 과정'!$L$7,IF(ABS(F108)&gt;=1E-12*MAX(1,SQRT((D108-'계산 과정'!$C$33)^2+(E108-'계산 과정'!$D$33)^2+'계산 과정'!$E$33^2)),('계산 과정'!$L$23-'계산 과정'!$C$49*D108-'계산 과정'!$D$49*E108)/F108,""),"")</x:f>
        <x:v>0.6746486790571391</x:v>
      </x:c>
      <x:c r="H108" s="4" t="n">
        <x:f>IF(AND(ISNUMBER(G108),G108&gt;0),('계산 과정'!$D$56+'계산 과정'!$D$57*D108+'계산 과정'!$D$58*E108)/F108,"")</x:f>
        <x:v>38.521641387140306</x:v>
      </x:c>
      <x:c r="I108" s="4" t="n">
        <x:f>IF(AND(ISNUMBER(G108),G108&gt;0),('계산 과정'!$E$56+'계산 과정'!$E$57*D108+'계산 과정'!$E$58*E108)/F108,"")</x:f>
        <x:v>-13.793171192440626</x:v>
      </x:c>
      <x:c r="J108" s="4" t="n">
        <x:f>IF('계산 과정'!$L$5,'계산 과정'!$D$6+'계산 과정'!$C$35*D108+'계산 과정'!$D$35*E108,"")</x:f>
        <x:v>626.9971804421517</x:v>
      </x:c>
      <x:c r="K108" s="4" t="n">
        <x:f>IF(AND('계산 과정'!$L$6,J108&gt;0),'계산 과정'!$D$10*('계산 과정'!$C$38*(D108-'계산 과정'!$C$32)+'계산 과정'!$D$38*(E108-'계산 과정'!$D$32)-'계산 과정'!$E$38*'계산 과정'!$E$32)/J108,"")</x:f>
        <x:v>0.29349822009249865</x:v>
      </x:c>
      <x:c r="L108" s="4" t="n">
        <x:f>IF(AND('계산 과정'!$L$6,J108&gt;0),'계산 과정'!$D$10*('계산 과정'!$C$39*(D108-'계산 과정'!$C$32)+'계산 과정'!$D$39*(E108-'계산 과정'!$D$32)-'계산 과정'!$E$39*'계산 과정'!$E$32)/J108,"")</x:f>
        <x:v>-0.10509082813288097</x:v>
      </x:c>
      <x:c r="M108" s="17" t="n">
        <x:f>IF('계산 과정'!$L$6,IF(J108&lt;=0,0,IF(AND(ABS(K108)&lt;='계산 과정'!$D$11/2,ABS(L108)&lt;='계산 과정'!$D$12/2),1,0)),"")</x:f>
        <x:v>1</x:v>
      </x:c>
      <x:c r="N108" s="17" t="n">
        <x:f>IF('계산 과정'!$C$78,IF(AND(ISNUMBER(H108),ISNUMBER(I108),ABS(H108-'계산 과정'!$C$88)&lt;='계산 과정'!$D$23/2,ABS(I108-'계산 과정'!$C$89)&lt;='계산 과정'!$D$24/2),1,0),"")</x:f>
        <x:v>1</x:v>
      </x:c>
      <x:c r="O108" s="4" t="n">
        <x:f>IF('계산 과정'!$L$7,'계산 과정'!$C$49*('계산 과정'!$C$32-D108)+'계산 과정'!$D$49*('계산 과정'!$D$32-E108)+'계산 과정'!$E$49*'계산 과정'!$E$32,"")</x:f>
        <x:v>23.002819557848454</x:v>
      </x:c>
      <x:c r="P108" s="4" t="n">
        <x:f>IF(AND('계산 과정'!$L$7,O108&lt;&gt;0),('계산 과정'!$L$23-'계산 과정'!$C$49*D108-'계산 과정'!$D$49*E108)/O108,"")</x:f>
        <x:v>18.389172618341988</x:v>
      </x:c>
      <x:c r="Q108" s="4" t="str">
        <x:f>IF(AND(ISNUMBER(P108),P108&gt;1E-9,P108&lt;1-1E-9),'계산 과정'!$C$47*(D108-'계산 과정'!$C$50+P108*('계산 과정'!$C$32-D108))+'계산 과정'!$D$47*(E108-'계산 과정'!$D$50+P108*('계산 과정'!$D$32-E108))+'계산 과정'!$E$47*(0-'계산 과정'!$E$50+P108*('계산 과정'!$E$32-0)),"")</x:f>
      </x:c>
      <x:c r="R108" s="4" t="str">
        <x:f>IF(AND(ISNUMBER(P108),P108&gt;1E-9,P108&lt;1-1E-9),'계산 과정'!$C$48*(D108-'계산 과정'!$C$50+P108*('계산 과정'!$C$32-D108))+'계산 과정'!$D$48*(E108-'계산 과정'!$D$50+P108*('계산 과정'!$D$32-E108))+'계산 과정'!$E$48*(0-'계산 과정'!$E$50+P108*('계산 과정'!$E$32-0)),"")</x:f>
      </x:c>
      <x:c r="S108" s="17" t="n">
        <x:f>IF('계산 과정'!$C$78,IF(AND(ISNUMBER(Q108),ISNUMBER(R108),ABS(Q108-'계산 과정'!$C$88)&lt;='계산 과정'!$D$23/2,ABS(R108-'계산 과정'!$C$89)&lt;='계산 과정'!$D$24/2),1,0),"")</x:f>
        <x:v>0</x:v>
      </x:c>
      <x:c r="T108" s="4"/>
      <x:c r="U108" s="4"/>
      <x:c r="V108" s="4"/>
      <x:c r="W108" s="4" t="n">
        <x:f>IF('계산 과정'!$C$77,('계산 과정'!$D$56+'계산 과정'!$D$57*('계산 과정'!$L$11*COS(102*2*PI()/240))+'계산 과정'!$D$58*('계산 과정'!$L$11*SIN(102*2*PI()/240)))/('계산 과정'!$D$59+'계산 과정'!$D$60*('계산 과정'!$L$11*COS(102*2*PI()/240))+'계산 과정'!$D$61*('계산 과정'!$L$11*SIN(102*2*PI()/240))),"")</x:f>
        <x:v>-133.28415598347752</x:v>
      </x:c>
      <x:c r="X108" s="4" t="n">
        <x:f>IF('계산 과정'!$C$77,('계산 과정'!$E$56+'계산 과정'!$E$57*('계산 과정'!$L$11*COS(102*2*PI()/240))+'계산 과정'!$E$58*('계산 과정'!$L$11*SIN(102*2*PI()/240)))/('계산 과정'!$E$59+'계산 과정'!$E$60*('계산 과정'!$L$11*COS(102*2*PI()/240))+'계산 과정'!$E$61*('계산 과정'!$L$11*SIN(102*2*PI()/240))),"")</x:f>
        <x:v>96.04160403328191</x:v>
      </x:c>
      <x:c r="Y108" s="4" t="str">
        <x:f>""</x:f>
      </x:c>
      <x:c r="Z108" s="4" t="str">
        <x:f>""</x:f>
      </x:c>
    </x:row>
    <x:row r="109" ht="23" customHeight="1">
      <x:c r="A109" s="17" t="n">
        <x:f>ROW()-6</x:f>
        <x:v>103</x:v>
      </x:c>
      <x:c r="B109" s="4" t="n">
        <x:f>IF('계산 과정'!$L$5,'계산 과정'!$L$11*SQRT((A109+0.5)/'계산 과정'!$L$30),"")</x:f>
        <x:v>33.72069039829256</x:v>
      </x:c>
      <x:c r="C109" s="4" t="n">
        <x:f>A109*PI()*(3-SQRT(5))</x:f>
        <x:v>247.19621266205124</x:v>
      </x:c>
      <x:c r="D109" s="4" t="n">
        <x:f>IF('계산 과정'!$L$5,B109*COS(C109),"")</x:f>
        <x:v>-18.51327949596007</x:v>
      </x:c>
      <x:c r="E109" s="4" t="n">
        <x:f>IF('계산 과정'!$L$5,B109*SIN(C109),"")</x:f>
        <x:v>28.184099120638297</x:v>
      </x:c>
      <x:c r="F109" s="4" t="n">
        <x:f>IF('계산 과정'!$L$7,'계산 과정'!$L$22+'계산 과정'!$C$49*D109+'계산 과정'!$D$49*E109,"")</x:f>
        <x:v>663.0908654735953</x:v>
      </x:c>
      <x:c r="G109" s="4" t="n">
        <x:f>IF('계산 과정'!$L$7,IF(ABS(F109)&gt;=1E-12*MAX(1,SQRT((D109-'계산 과정'!$C$33)^2+(E109-'계산 과정'!$D$33)^2+'계산 과정'!$E$33^2)),('계산 과정'!$L$23-'계산 과정'!$C$49*D109-'계산 과정'!$D$49*E109)/F109,""),"")</x:f>
        <x:v>0.5834933863099819</x:v>
      </x:c>
      <x:c r="H109" s="4" t="n">
        <x:f>IF(AND(ISNUMBER(G109),G109&gt;0),('계산 과정'!$D$56+'계산 과정'!$D$57*D109+'계산 과정'!$D$58*E109)/F109,"")</x:f>
        <x:v>-20.72929889851186</x:v>
      </x:c>
      <x:c r="I109" s="4" t="n">
        <x:f>IF(AND(ISNUMBER(G109),G109&gt;0),('계산 과정'!$E$56+'계산 과정'!$E$57*D109+'계산 과정'!$E$58*E109)/F109,"")</x:f>
        <x:v>44.62933455663572</x:v>
      </x:c>
      <x:c r="J109" s="4" t="n">
        <x:f>IF('계산 과정'!$L$5,'계산 과정'!$D$6+'계산 과정'!$C$35*D109+'계산 과정'!$D$35*E109,"")</x:f>
        <x:v>663.0908654735953</x:v>
      </x:c>
      <x:c r="K109" s="4" t="n">
        <x:f>IF(AND('계산 과정'!$L$6,J109&gt;0),'계산 과정'!$D$10*('계산 과정'!$C$38*(D109-'계산 과정'!$C$32)+'계산 과정'!$D$38*(E109-'계산 과정'!$D$32)-'계산 과정'!$E$38*'계산 과정'!$E$32)/J109,"")</x:f>
        <x:v>-0.15793751541723278</x:v>
      </x:c>
      <x:c r="L109" s="4" t="n">
        <x:f>IF(AND('계산 과정'!$L$6,J109&gt;0),'계산 과정'!$D$10*('계산 과정'!$C$39*(D109-'계산 과정'!$C$32)+'계산 과정'!$D$39*(E109-'계산 과정'!$D$32)-'계산 과정'!$E$39*'계산 과정'!$E$32)/J109,"")</x:f>
        <x:v>0.340033025193415</x:v>
      </x:c>
      <x:c r="M109" s="17" t="n">
        <x:f>IF('계산 과정'!$L$6,IF(J109&lt;=0,0,IF(AND(ABS(K109)&lt;='계산 과정'!$D$11/2,ABS(L109)&lt;='계산 과정'!$D$12/2),1,0)),"")</x:f>
        <x:v>1</x:v>
      </x:c>
      <x:c r="N109" s="17" t="n">
        <x:f>IF('계산 과정'!$C$78,IF(AND(ISNUMBER(H109),ISNUMBER(I109),ABS(H109-'계산 과정'!$C$88)&lt;='계산 과정'!$D$23/2,ABS(I109-'계산 과정'!$C$89)&lt;='계산 과정'!$D$24/2),1,0),"")</x:f>
        <x:v>1</x:v>
      </x:c>
      <x:c r="O109" s="4" t="n">
        <x:f>IF('계산 과정'!$L$7,'계산 과정'!$C$49*('계산 과정'!$C$32-D109)+'계산 과정'!$D$49*('계산 과정'!$D$32-E109)+'계산 과정'!$E$49*'계산 과정'!$E$32,"")</x:f>
        <x:v>-13.090865473595159</x:v>
      </x:c>
      <x:c r="P109" s="4" t="n">
        <x:f>IF(AND('계산 과정'!$L$7,O109&lt;&gt;0),('계산 과정'!$L$23-'계산 과정'!$C$49*D109-'계산 과정'!$D$49*E109)/O109,"")</x:f>
        <x:v>-29.555657363282606</x:v>
      </x:c>
      <x:c r="Q109" s="4" t="str">
        <x:f>IF(AND(ISNUMBER(P109),P109&gt;1E-9,P109&lt;1-1E-9),'계산 과정'!$C$47*(D109-'계산 과정'!$C$50+P109*('계산 과정'!$C$32-D109))+'계산 과정'!$D$47*(E109-'계산 과정'!$D$50+P109*('계산 과정'!$D$32-E109))+'계산 과정'!$E$47*(0-'계산 과정'!$E$50+P109*('계산 과정'!$E$32-0)),"")</x:f>
      </x:c>
      <x:c r="R109" s="4" t="str">
        <x:f>IF(AND(ISNUMBER(P109),P109&gt;1E-9,P109&lt;1-1E-9),'계산 과정'!$C$48*(D109-'계산 과정'!$C$50+P109*('계산 과정'!$C$32-D109))+'계산 과정'!$D$48*(E109-'계산 과정'!$D$50+P109*('계산 과정'!$D$32-E109))+'계산 과정'!$E$48*(0-'계산 과정'!$E$50+P109*('계산 과정'!$E$32-0)),"")</x:f>
      </x:c>
      <x:c r="S109" s="17" t="n">
        <x:f>IF('계산 과정'!$C$78,IF(AND(ISNUMBER(Q109),ISNUMBER(R109),ABS(Q109-'계산 과정'!$C$88)&lt;='계산 과정'!$D$23/2,ABS(R109-'계산 과정'!$C$89)&lt;='계산 과정'!$D$24/2),1,0),"")</x:f>
        <x:v>0</x:v>
      </x:c>
      <x:c r="T109" s="4"/>
      <x:c r="U109" s="4"/>
      <x:c r="V109" s="4"/>
      <x:c r="W109" s="4" t="n">
        <x:f>IF('계산 과정'!$C$77,('계산 과정'!$D$56+'계산 과정'!$D$57*('계산 과정'!$L$11*COS(103*2*PI()/240))+'계산 과정'!$D$58*('계산 과정'!$L$11*SIN(103*2*PI()/240)))/('계산 과정'!$D$59+'계산 과정'!$D$60*('계산 과정'!$L$11*COS(103*2*PI()/240))+'계산 과정'!$D$61*('계산 과정'!$L$11*SIN(103*2*PI()/240))),"")</x:f>
        <x:v>-134.79385137874274</x:v>
      </x:c>
      <x:c r="X109" s="4" t="n">
        <x:f>IF('계산 과정'!$C$77,('계산 과정'!$E$56+'계산 과정'!$E$57*('계산 과정'!$L$11*COS(103*2*PI()/240))+'계산 과정'!$E$58*('계산 과정'!$L$11*SIN(103*2*PI()/240)))/('계산 과정'!$E$59+'계산 과정'!$E$60*('계산 과정'!$L$11*COS(103*2*PI()/240))+'계산 과정'!$E$61*('계산 과정'!$L$11*SIN(103*2*PI()/240))),"")</x:f>
        <x:v>90.92455450353079</x:v>
      </x:c>
      <x:c r="Y109" s="4" t="str">
        <x:f>""</x:f>
      </x:c>
      <x:c r="Z109" s="4" t="str">
        <x:f>""</x:f>
      </x:c>
    </x:row>
    <x:row r="110" ht="23" customHeight="1">
      <x:c r="A110" s="17" t="n">
        <x:f>ROW()-6</x:f>
        <x:v>104</x:v>
      </x:c>
      <x:c r="B110" s="4" t="n">
        <x:f>IF('계산 과정'!$L$5,'계산 과정'!$L$11*SQRT((A110+0.5)/'계산 과정'!$L$30),"")</x:f>
        <x:v>33.88320069093975</x:v>
      </x:c>
      <x:c r="C110" s="4" t="n">
        <x:f>A110*PI()*(3-SQRT(5))</x:f>
        <x:v>249.59617589177992</x:v>
      </x:c>
      <x:c r="D110" s="4" t="n">
        <x:f>IF('계산 과정'!$L$5,B110*COS(C110),"")</x:f>
        <x:v>-5.412930725108952</x:v>
      </x:c>
      <x:c r="E110" s="4" t="n">
        <x:f>IF('계산 과정'!$L$5,B110*SIN(C110),"")</x:f>
        <x:v>-33.44804134815178</x:v>
      </x:c>
      <x:c r="F110" s="4" t="n">
        <x:f>IF('계산 과정'!$L$7,'계산 과정'!$L$22+'계산 과정'!$C$49*D110+'계산 과정'!$D$49*E110,"")</x:f>
        <x:v>653.8275200218176</x:v>
      </x:c>
      <x:c r="G110" s="4" t="n">
        <x:f>IF('계산 과정'!$L$7,IF(ABS(F110)&gt;=1E-12*MAX(1,SQRT((D110-'계산 과정'!$C$33)^2+(E110-'계산 과정'!$D$33)^2+'계산 과정'!$E$33^2)),('계산 과정'!$L$23-'계산 과정'!$C$49*D110-'계산 과정'!$D$49*E110)/F110,""),"")</x:f>
        <x:v>0.6059281199496811</x:v>
      </x:c>
      <x:c r="H110" s="4" t="n">
        <x:f>IF(AND(ISNUMBER(G110),G110&gt;0),('계산 과정'!$D$56+'계산 과정'!$D$57*D110+'계산 과정'!$D$58*E110)/F110,"")</x:f>
        <x:v>-6.146722032707345</x:v>
      </x:c>
      <x:c r="I110" s="4" t="n">
        <x:f>IF(AND(ISNUMBER(G110),G110&gt;0),('계산 과정'!$E$56+'계산 과정'!$E$57*D110+'계산 과정'!$E$58*E110)/F110,"")</x:f>
        <x:v>-53.71515015823659</x:v>
      </x:c>
      <x:c r="J110" s="4" t="n">
        <x:f>IF('계산 과정'!$L$5,'계산 과정'!$D$6+'계산 과정'!$C$35*D110+'계산 과정'!$D$35*E110,"")</x:f>
        <x:v>653.8275200218176</x:v>
      </x:c>
      <x:c r="K110" s="4" t="n">
        <x:f>IF(AND('계산 과정'!$L$6,J110&gt;0),'계산 과정'!$D$10*('계산 과정'!$C$38*(D110-'계산 과정'!$C$32)+'계산 과정'!$D$38*(E110-'계산 과정'!$D$32)-'계산 과정'!$E$38*'계산 과정'!$E$32)/J110,"")</x:f>
        <x:v>-0.04683216786824512</x:v>
      </x:c>
      <x:c r="L110" s="4" t="n">
        <x:f>IF(AND('계산 과정'!$L$6,J110&gt;0),'계산 과정'!$D$10*('계산 과정'!$C$39*(D110-'계산 과정'!$C$32)+'계산 과정'!$D$39*(E110-'계산 과정'!$D$32)-'계산 과정'!$E$39*'계산 과정'!$E$32)/J110,"")</x:f>
        <x:v>-0.40925828691989785</x:v>
      </x:c>
      <x:c r="M110" s="17" t="n">
        <x:f>IF('계산 과정'!$L$6,IF(J110&lt;=0,0,IF(AND(ABS(K110)&lt;='계산 과정'!$D$11/2,ABS(L110)&lt;='계산 과정'!$D$12/2),1,0)),"")</x:f>
        <x:v>1</x:v>
      </x:c>
      <x:c r="N110" s="17" t="n">
        <x:f>IF('계산 과정'!$C$78,IF(AND(ISNUMBER(H110),ISNUMBER(I110),ABS(H110-'계산 과정'!$C$88)&lt;='계산 과정'!$D$23/2,ABS(I110-'계산 과정'!$C$89)&lt;='계산 과정'!$D$24/2),1,0),"")</x:f>
        <x:v>1</x:v>
      </x:c>
      <x:c r="O110" s="4" t="n">
        <x:f>IF('계산 과정'!$L$7,'계산 과정'!$C$49*('계산 과정'!$C$32-D110)+'계산 과정'!$D$49*('계산 과정'!$D$32-E110)+'계산 과정'!$E$49*'계산 과정'!$E$32,"")</x:f>
        <x:v>-3.8275200218174064</x:v>
      </x:c>
      <x:c r="P110" s="4" t="n">
        <x:f>IF(AND('계산 과정'!$L$7,O110&lt;&gt;0),('계산 과정'!$L$23-'계산 과정'!$C$49*D110-'계산 과정'!$D$49*E110)/O110,"")</x:f>
        <x:v>-103.50631158555493</x:v>
      </x:c>
      <x:c r="Q110" s="4" t="str">
        <x:f>IF(AND(ISNUMBER(P110),P110&gt;1E-9,P110&lt;1-1E-9),'계산 과정'!$C$47*(D110-'계산 과정'!$C$50+P110*('계산 과정'!$C$32-D110))+'계산 과정'!$D$47*(E110-'계산 과정'!$D$50+P110*('계산 과정'!$D$32-E110))+'계산 과정'!$E$47*(0-'계산 과정'!$E$50+P110*('계산 과정'!$E$32-0)),"")</x:f>
      </x:c>
      <x:c r="R110" s="4" t="str">
        <x:f>IF(AND(ISNUMBER(P110),P110&gt;1E-9,P110&lt;1-1E-9),'계산 과정'!$C$48*(D110-'계산 과정'!$C$50+P110*('계산 과정'!$C$32-D110))+'계산 과정'!$D$48*(E110-'계산 과정'!$D$50+P110*('계산 과정'!$D$32-E110))+'계산 과정'!$E$48*(0-'계산 과정'!$E$50+P110*('계산 과정'!$E$32-0)),"")</x:f>
      </x:c>
      <x:c r="S110" s="17" t="n">
        <x:f>IF('계산 과정'!$C$78,IF(AND(ISNUMBER(Q110),ISNUMBER(R110),ABS(Q110-'계산 과정'!$C$88)&lt;='계산 과정'!$D$23/2,ABS(R110-'계산 과정'!$C$89)&lt;='계산 과정'!$D$24/2),1,0),"")</x:f>
        <x:v>0</x:v>
      </x:c>
      <x:c r="T110" s="4"/>
      <x:c r="U110" s="4"/>
      <x:c r="V110" s="4"/>
      <x:c r="W110" s="4" t="n">
        <x:f>IF('계산 과정'!$C$77,('계산 과정'!$D$56+'계산 과정'!$D$57*('계산 과정'!$L$11*COS(104*2*PI()/240))+'계산 과정'!$D$58*('계산 과정'!$L$11*SIN(104*2*PI()/240)))/('계산 과정'!$D$59+'계산 과정'!$D$60*('계산 과정'!$L$11*COS(104*2*PI()/240))+'계산 과정'!$D$61*('계산 과정'!$L$11*SIN(104*2*PI()/240))),"")</x:f>
        <x:v>-136.21831841343976</x:v>
      </x:c>
      <x:c r="X110" s="4" t="n">
        <x:f>IF('계산 과정'!$C$77,('계산 과정'!$E$56+'계산 과정'!$E$57*('계산 과정'!$L$11*COS(104*2*PI()/240))+'계산 과정'!$E$58*('계산 과정'!$L$11*SIN(104*2*PI()/240)))/('계산 과정'!$E$59+'계산 과정'!$E$60*('계산 과정'!$L$11*COS(104*2*PI()/240))+'계산 과정'!$E$61*('계산 과정'!$L$11*SIN(104*2*PI()/240))),"")</x:f>
        <x:v>85.76965238600242</x:v>
      </x:c>
      <x:c r="Y110" s="4" t="str">
        <x:f>""</x:f>
      </x:c>
      <x:c r="Z110" s="4" t="str">
        <x:f>""</x:f>
      </x:c>
    </x:row>
    <x:row r="111" ht="23" customHeight="1">
      <x:c r="A111" s="17" t="n">
        <x:f>ROW()-6</x:f>
        <x:v>105</x:v>
      </x:c>
      <x:c r="B111" s="4" t="n">
        <x:f>IF('계산 과정'!$L$5,'계산 과정'!$L$11*SQRT((A111+0.5)/'계산 과정'!$L$30),"")</x:f>
        <x:v>34.04493526484519</x:v>
      </x:c>
      <x:c r="C111" s="4" t="n">
        <x:f>A111*PI()*(3-SQRT(5))</x:f>
        <x:v>251.99613912150858</x:v>
      </x:c>
      <x:c r="D111" s="4" t="n">
        <x:f>IF('계산 과정'!$L$5,B111*COS(C111),"")</x:f>
        <x:v>26.712052779265957</x:v>
      </x:c>
      <x:c r="E111" s="4" t="n">
        <x:f>IF('계산 과정'!$L$5,B111*SIN(C111),"")</x:f>
        <x:v>21.107435976574934</x:v>
      </x:c>
      <x:c r="F111" s="4" t="n">
        <x:f>IF('계산 과정'!$L$7,'계산 과정'!$L$22+'계산 과정'!$C$49*D111+'계산 과정'!$D$49*E111,"")</x:f>
        <x:v>631.111726340368</x:v>
      </x:c>
      <x:c r="G111" s="4" t="n">
        <x:f>IF('계산 과정'!$L$7,IF(ABS(F111)&gt;=1E-12*MAX(1,SQRT((D111-'계산 과정'!$C$33)^2+(E111-'계산 과정'!$D$33)^2+'계산 과정'!$E$33^2)),('계산 과정'!$L$23-'계산 과정'!$C$49*D111-'계산 과정'!$D$49*E111)/F111,""),"")</x:f>
        <x:v>0.6637307725030595</x:v>
      </x:c>
      <x:c r="H111" s="4" t="n">
        <x:f>IF(AND(ISNUMBER(G111),G111&gt;0),('계산 과정'!$D$56+'계산 과정'!$D$57*D111+'계산 과정'!$D$58*E111)/F111,"")</x:f>
        <x:v>31.425002126988502</x:v>
      </x:c>
      <x:c r="I111" s="4" t="n">
        <x:f>IF(AND(ISNUMBER(G111),G111&gt;0),('계산 과정'!$E$56+'계산 과정'!$E$57*D111+'계산 과정'!$E$58*E111)/F111,"")</x:f>
        <x:v>35.117090762865885</x:v>
      </x:c>
      <x:c r="J111" s="4" t="n">
        <x:f>IF('계산 과정'!$L$5,'계산 과정'!$D$6+'계산 과정'!$C$35*D111+'계산 과정'!$D$35*E111,"")</x:f>
        <x:v>631.111726340368</x:v>
      </x:c>
      <x:c r="K111" s="4" t="n">
        <x:f>IF(AND('계산 과정'!$L$6,J111&gt;0),'계산 과정'!$D$10*('계산 과정'!$C$38*(D111-'계산 과정'!$C$32)+'계산 과정'!$D$38*(E111-'계산 과정'!$D$32)-'계산 과정'!$E$38*'계산 과정'!$E$32)/J111,"")</x:f>
        <x:v>0.23942858763419891</x:v>
      </x:c>
      <x:c r="L111" s="4" t="n">
        <x:f>IF(AND('계산 과정'!$L$6,J111&gt;0),'계산 과정'!$D$10*('계산 과정'!$C$39*(D111-'계산 과정'!$C$32)+'계산 과정'!$D$39*(E111-'계산 과정'!$D$32)-'계산 과정'!$E$39*'계산 과정'!$E$32)/J111,"")</x:f>
        <x:v>0.26755878676469247</x:v>
      </x:c>
      <x:c r="M111" s="17" t="n">
        <x:f>IF('계산 과정'!$L$6,IF(J111&lt;=0,0,IF(AND(ABS(K111)&lt;='계산 과정'!$D$11/2,ABS(L111)&lt;='계산 과정'!$D$12/2),1,0)),"")</x:f>
        <x:v>1</x:v>
      </x:c>
      <x:c r="N111" s="17" t="n">
        <x:f>IF('계산 과정'!$C$78,IF(AND(ISNUMBER(H111),ISNUMBER(I111),ABS(H111-'계산 과정'!$C$88)&lt;='계산 과정'!$D$23/2,ABS(I111-'계산 과정'!$C$89)&lt;='계산 과정'!$D$24/2),1,0),"")</x:f>
        <x:v>1</x:v>
      </x:c>
      <x:c r="O111" s="4" t="n">
        <x:f>IF('계산 과정'!$L$7,'계산 과정'!$C$49*('계산 과정'!$C$32-D111)+'계산 과정'!$D$49*('계산 과정'!$D$32-E111)+'계산 과정'!$E$49*'계산 과정'!$E$32,"")</x:f>
        <x:v>18.888273659632034</x:v>
      </x:c>
      <x:c r="P111" s="4" t="n">
        <x:f>IF(AND('계산 과정'!$L$7,O111&lt;&gt;0),('계산 과정'!$L$23-'계산 과정'!$C$49*D111-'계산 과정'!$D$49*E111)/O111,"")</x:f>
        <x:v>22.17716034869183</x:v>
      </x:c>
      <x:c r="Q111" s="4" t="str">
        <x:f>IF(AND(ISNUMBER(P111),P111&gt;1E-9,P111&lt;1-1E-9),'계산 과정'!$C$47*(D111-'계산 과정'!$C$50+P111*('계산 과정'!$C$32-D111))+'계산 과정'!$D$47*(E111-'계산 과정'!$D$50+P111*('계산 과정'!$D$32-E111))+'계산 과정'!$E$47*(0-'계산 과정'!$E$50+P111*('계산 과정'!$E$32-0)),"")</x:f>
      </x:c>
      <x:c r="R111" s="4" t="str">
        <x:f>IF(AND(ISNUMBER(P111),P111&gt;1E-9,P111&lt;1-1E-9),'계산 과정'!$C$48*(D111-'계산 과정'!$C$50+P111*('계산 과정'!$C$32-D111))+'계산 과정'!$D$48*(E111-'계산 과정'!$D$50+P111*('계산 과정'!$D$32-E111))+'계산 과정'!$E$48*(0-'계산 과정'!$E$50+P111*('계산 과정'!$E$32-0)),"")</x:f>
      </x:c>
      <x:c r="S111" s="17" t="n">
        <x:f>IF('계산 과정'!$C$78,IF(AND(ISNUMBER(Q111),ISNUMBER(R111),ABS(Q111-'계산 과정'!$C$88)&lt;='계산 과정'!$D$23/2,ABS(R111-'계산 과정'!$C$89)&lt;='계산 과정'!$D$24/2),1,0),"")</x:f>
        <x:v>0</x:v>
      </x:c>
      <x:c r="T111" s="4"/>
      <x:c r="U111" s="4"/>
      <x:c r="V111" s="4"/>
      <x:c r="W111" s="4" t="n">
        <x:f>IF('계산 과정'!$C$77,('계산 과정'!$D$56+'계산 과정'!$D$57*('계산 과정'!$L$11*COS(105*2*PI()/240))+'계산 과정'!$D$58*('계산 과정'!$L$11*SIN(105*2*PI()/240)))/('계산 과정'!$D$59+'계산 과정'!$D$60*('계산 과정'!$L$11*COS(105*2*PI()/240))+'계산 과정'!$D$61*('계산 과정'!$L$11*SIN(105*2*PI()/240))),"")</x:f>
        <x:v>-137.55735742624626</x:v>
      </x:c>
      <x:c r="X111" s="4" t="n">
        <x:f>IF('계산 과정'!$C$77,('계산 과정'!$E$56+'계산 과정'!$E$57*('계산 과정'!$L$11*COS(105*2*PI()/240))+'계산 과정'!$E$58*('계산 과정'!$L$11*SIN(105*2*PI()/240)))/('계산 과정'!$E$59+'계산 과정'!$E$60*('계산 과정'!$L$11*COS(105*2*PI()/240))+'계산 과정'!$E$61*('계산 과정'!$L$11*SIN(105*2*PI()/240))),"")</x:f>
        <x:v>80.57923437609162</x:v>
      </x:c>
      <x:c r="Y111" s="4" t="str">
        <x:f>""</x:f>
      </x:c>
      <x:c r="Z111" s="4" t="str">
        <x:f>""</x:f>
      </x:c>
    </x:row>
    <x:row r="112" ht="23" customHeight="1">
      <x:c r="A112" s="17" t="n">
        <x:f>ROW()-6</x:f>
        <x:v>106</x:v>
      </x:c>
      <x:c r="B112" s="4" t="n">
        <x:f>IF('계산 과정'!$L$5,'계산 과정'!$L$11*SQRT((A112+0.5)/'계산 과정'!$L$30),"")</x:f>
        <x:v>34.2059051234213</x:v>
      </x:c>
      <x:c r="C112" s="4" t="n">
        <x:f>A112*PI()*(3-SQRT(5))</x:f>
        <x:v>254.3961023512372</x:v>
      </x:c>
      <x:c r="D112" s="4" t="n">
        <x:f>IF('계산 과정'!$L$5,B112*COS(C112),"")</x:f>
        <x:v>-34.11504681563512</x:v>
      </x:c>
      <x:c r="E112" s="4" t="n">
        <x:f>IF('계산 과정'!$L$5,B112*SIN(C112),"")</x:f>
        <x:v>2.4914907343844828</x:v>
      </x:c>
      <x:c r="F112" s="4" t="n">
        <x:f>IF('계산 과정'!$L$7,'계산 과정'!$L$22+'계산 과정'!$C$49*D112+'계산 과정'!$D$49*E112,"")</x:f>
        <x:v>674.1229809438321</x:v>
      </x:c>
      <x:c r="G112" s="4" t="n">
        <x:f>IF('계산 과정'!$L$7,IF(ABS(F112)&gt;=1E-12*MAX(1,SQRT((D112-'계산 과정'!$C$33)^2+(E112-'계산 과정'!$D$33)^2+'계산 과정'!$E$33^2)),('계산 과정'!$L$23-'계산 과정'!$C$49*D112-'계산 과정'!$D$49*E112)/F112,""),"")</x:f>
        <x:v>0.5575792988542041</x:v>
      </x:c>
      <x:c r="H112" s="4" t="n">
        <x:f>IF(AND(ISNUMBER(G112),G112&gt;0),('계산 과정'!$D$56+'계산 과정'!$D$57*D112+'계산 과정'!$D$58*E112)/F112,"")</x:f>
        <x:v>-37.573455744767486</x:v>
      </x:c>
      <x:c r="I112" s="4" t="n">
        <x:f>IF(AND(ISNUMBER(G112),G112&gt;0),('계산 과정'!$E$56+'계산 과정'!$E$57*D112+'계산 과정'!$E$58*E112)/F112,"")</x:f>
        <x:v>3.8806943911643286</x:v>
      </x:c>
      <x:c r="J112" s="4" t="n">
        <x:f>IF('계산 과정'!$L$5,'계산 과정'!$D$6+'계산 과정'!$C$35*D112+'계산 과정'!$D$35*E112,"")</x:f>
        <x:v>674.1229809438321</x:v>
      </x:c>
      <x:c r="K112" s="4" t="n">
        <x:f>IF(AND('계산 과정'!$L$6,J112&gt;0),'계산 과정'!$D$10*('계산 과정'!$C$38*(D112-'계산 과정'!$C$32)+'계산 과정'!$D$38*(E112-'계산 과정'!$D$32)-'계산 과정'!$E$38*'계산 과정'!$E$32)/J112,"")</x:f>
        <x:v>-0.2862739485315612</x:v>
      </x:c>
      <x:c r="L112" s="4" t="n">
        <x:f>IF(AND('계산 과정'!$L$6,J112&gt;0),'계산 과정'!$D$10*('계산 과정'!$C$39*(D112-'계산 과정'!$C$32)+'계산 과정'!$D$39*(E112-'계산 과정'!$D$32)-'계산 과정'!$E$39*'계산 과정'!$E$32)/J112,"")</x:f>
        <x:v>0.02956719536125203</x:v>
      </x:c>
      <x:c r="M112" s="17" t="n">
        <x:f>IF('계산 과정'!$L$6,IF(J112&lt;=0,0,IF(AND(ABS(K112)&lt;='계산 과정'!$D$11/2,ABS(L112)&lt;='계산 과정'!$D$12/2),1,0)),"")</x:f>
        <x:v>1</x:v>
      </x:c>
      <x:c r="N112" s="17" t="n">
        <x:f>IF('계산 과정'!$C$78,IF(AND(ISNUMBER(H112),ISNUMBER(I112),ABS(H112-'계산 과정'!$C$88)&lt;='계산 과정'!$D$23/2,ABS(I112-'계산 과정'!$C$89)&lt;='계산 과정'!$D$24/2),1,0),"")</x:f>
        <x:v>1</x:v>
      </x:c>
      <x:c r="O112" s="4" t="n">
        <x:f>IF('계산 과정'!$L$7,'계산 과정'!$C$49*('계산 과정'!$C$32-D112)+'계산 과정'!$D$49*('계산 과정'!$D$32-E112)+'계산 과정'!$E$49*'계산 과정'!$E$32,"")</x:f>
        <x:v>-24.122980943832033</x:v>
      </x:c>
      <x:c r="P112" s="4" t="n">
        <x:f>IF(AND('계산 과정'!$L$7,O112&lt;&gt;0),('계산 과정'!$L$23-'계산 과정'!$C$49*D112-'계산 과정'!$D$49*E112)/O112,"")</x:f>
        <x:v>-15.581698627187087</x:v>
      </x:c>
      <x:c r="Q112" s="4" t="str">
        <x:f>IF(AND(ISNUMBER(P112),P112&gt;1E-9,P112&lt;1-1E-9),'계산 과정'!$C$47*(D112-'계산 과정'!$C$50+P112*('계산 과정'!$C$32-D112))+'계산 과정'!$D$47*(E112-'계산 과정'!$D$50+P112*('계산 과정'!$D$32-E112))+'계산 과정'!$E$47*(0-'계산 과정'!$E$50+P112*('계산 과정'!$E$32-0)),"")</x:f>
      </x:c>
      <x:c r="R112" s="4" t="str">
        <x:f>IF(AND(ISNUMBER(P112),P112&gt;1E-9,P112&lt;1-1E-9),'계산 과정'!$C$48*(D112-'계산 과정'!$C$50+P112*('계산 과정'!$C$32-D112))+'계산 과정'!$D$48*(E112-'계산 과정'!$D$50+P112*('계산 과정'!$D$32-E112))+'계산 과정'!$E$48*(0-'계산 과정'!$E$50+P112*('계산 과정'!$E$32-0)),"")</x:f>
      </x:c>
      <x:c r="S112" s="17" t="n">
        <x:f>IF('계산 과정'!$C$78,IF(AND(ISNUMBER(Q112),ISNUMBER(R112),ABS(Q112-'계산 과정'!$C$88)&lt;='계산 과정'!$D$23/2,ABS(R112-'계산 과정'!$C$89)&lt;='계산 과정'!$D$24/2),1,0),"")</x:f>
        <x:v>0</x:v>
      </x:c>
      <x:c r="T112" s="4"/>
      <x:c r="U112" s="4"/>
      <x:c r="V112" s="4"/>
      <x:c r="W112" s="4" t="n">
        <x:f>IF('계산 과정'!$C$77,('계산 과정'!$D$56+'계산 과정'!$D$57*('계산 과정'!$L$11*COS(106*2*PI()/240))+'계산 과정'!$D$58*('계산 과정'!$L$11*SIN(106*2*PI()/240)))/('계산 과정'!$D$59+'계산 과정'!$D$60*('계산 과정'!$L$11*COS(106*2*PI()/240))+'계산 과정'!$D$61*('계산 과정'!$L$11*SIN(106*2*PI()/240))),"")</x:f>
        <x:v>-138.81078576087492</x:v>
      </x:c>
      <x:c r="X112" s="4" t="n">
        <x:f>IF('계산 과정'!$C$77,('계산 과정'!$E$56+'계산 과정'!$E$57*('계산 과정'!$L$11*COS(106*2*PI()/240))+'계산 과정'!$E$58*('계산 과정'!$L$11*SIN(106*2*PI()/240)))/('계산 과정'!$E$59+'계산 과정'!$E$60*('계산 과정'!$L$11*COS(106*2*PI()/240))+'계산 과정'!$E$61*('계산 과정'!$L$11*SIN(106*2*PI()/240))),"")</x:f>
        <x:v>75.35561777415428</x:v>
      </x:c>
      <x:c r="Y112" s="4" t="str">
        <x:f>""</x:f>
      </x:c>
      <x:c r="Z112" s="4" t="str">
        <x:f>""</x:f>
      </x:c>
    </x:row>
    <x:row r="113" ht="23" customHeight="1">
      <x:c r="A113" s="17" t="n">
        <x:f>ROW()-6</x:f>
        <x:v>107</x:v>
      </x:c>
      <x:c r="B113" s="4" t="n">
        <x:f>IF('계산 과정'!$L$5,'계산 과정'!$L$11*SQRT((A113+0.5)/'계산 과정'!$L$30),"")</x:f>
        <x:v>34.36612101237933</x:v>
      </x:c>
      <x:c r="C113" s="4" t="n">
        <x:f>A113*PI()*(3-SQRT(5))</x:f>
        <x:v>256.79606558096583</x:v>
      </x:c>
      <x:c r="D113" s="4" t="n">
        <x:f>IF('계산 과정'!$L$5,B113*COS(C113),"")</x:f>
        <x:v>23.58233755310228</x:v>
      </x:c>
      <x:c r="E113" s="4" t="n">
        <x:f>IF('계산 과정'!$L$5,B113*SIN(C113),"")</x:f>
        <x:v>-24.99807250507611</x:v>
      </x:c>
      <x:c r="F113" s="4" t="n">
        <x:f>IF('계산 과정'!$L$7,'계산 과정'!$L$22+'계산 과정'!$C$49*D113+'계산 과정'!$D$49*E113,"")</x:f>
        <x:v>633.3247691999712</x:v>
      </x:c>
      <x:c r="G113" s="4" t="n">
        <x:f>IF('계산 과정'!$L$7,IF(ABS(F113)&gt;=1E-12*MAX(1,SQRT((D113-'계산 과정'!$C$33)^2+(E113-'계산 과정'!$D$33)^2+'계산 과정'!$E$33^2)),('계산 과정'!$L$23-'계산 과정'!$C$49*D113-'계산 과정'!$D$49*E113)/F113,""),"")</x:f>
        <x:v>0.657917155721513</x:v>
      </x:c>
      <x:c r="H113" s="4" t="n">
        <x:f>IF(AND(ISNUMBER(G113),G113&gt;0),('계산 과정'!$D$56+'계산 과정'!$D$57*D113+'계산 과정'!$D$58*E113)/F113,"")</x:f>
        <x:v>27.64615121898341</x:v>
      </x:c>
      <x:c r="I113" s="4" t="n">
        <x:f>IF(AND(ISNUMBER(G113),G113&gt;0),('계산 과정'!$E$56+'계산 과정'!$E$57*D113+'계산 과정'!$E$58*E113)/F113,"")</x:f>
        <x:v>-41.44473326613594</x:v>
      </x:c>
      <x:c r="J113" s="4" t="n">
        <x:f>IF('계산 과정'!$L$5,'계산 과정'!$D$6+'계산 과정'!$C$35*D113+'계산 과정'!$D$35*E113,"")</x:f>
        <x:v>633.3247691999712</x:v>
      </x:c>
      <x:c r="K113" s="4" t="n">
        <x:f>IF(AND('계산 과정'!$L$6,J113&gt;0),'계산 과정'!$D$10*('계산 과정'!$C$38*(D113-'계산 과정'!$C$32)+'계산 과정'!$D$38*(E113-'계산 과정'!$D$32)-'계산 과정'!$E$38*'계산 과정'!$E$32)/J113,"")</x:f>
        <x:v>0.21063734262082645</x:v>
      </x:c>
      <x:c r="L113" s="4" t="n">
        <x:f>IF(AND('계산 과정'!$L$6,J113&gt;0),'계산 과정'!$D$10*('계산 과정'!$C$39*(D113-'계산 과정'!$C$32)+'계산 과정'!$D$39*(E113-'계산 과정'!$D$32)-'계산 과정'!$E$39*'계산 과정'!$E$32)/J113,"")</x:f>
        <x:v>-0.3157693963134167</x:v>
      </x:c>
      <x:c r="M113" s="17" t="n">
        <x:f>IF('계산 과정'!$L$6,IF(J113&lt;=0,0,IF(AND(ABS(K113)&lt;='계산 과정'!$D$11/2,ABS(L113)&lt;='계산 과정'!$D$12/2),1,0)),"")</x:f>
        <x:v>1</x:v>
      </x:c>
      <x:c r="N113" s="17" t="n">
        <x:f>IF('계산 과정'!$C$78,IF(AND(ISNUMBER(H113),ISNUMBER(I113),ABS(H113-'계산 과정'!$C$88)&lt;='계산 과정'!$D$23/2,ABS(I113-'계산 과정'!$C$89)&lt;='계산 과정'!$D$24/2),1,0),"")</x:f>
        <x:v>1</x:v>
      </x:c>
      <x:c r="O113" s="4" t="n">
        <x:f>IF('계산 과정'!$L$7,'계산 과정'!$C$49*('계산 과정'!$C$32-D113)+'계산 과정'!$D$49*('계산 과정'!$D$32-E113)+'계산 과정'!$E$49*'계산 과정'!$E$32,"")</x:f>
        <x:v>16.675230800028885</x:v>
      </x:c>
      <x:c r="P113" s="4" t="n">
        <x:f>IF(AND('계산 과정'!$L$7,O113&lt;&gt;0),('계산 과정'!$L$23-'계산 과정'!$C$49*D113-'계산 과정'!$D$49*E113)/O113,"")</x:f>
        <x:v>24.987673981658293</x:v>
      </x:c>
      <x:c r="Q113" s="4" t="str">
        <x:f>IF(AND(ISNUMBER(P113),P113&gt;1E-9,P113&lt;1-1E-9),'계산 과정'!$C$47*(D113-'계산 과정'!$C$50+P113*('계산 과정'!$C$32-D113))+'계산 과정'!$D$47*(E113-'계산 과정'!$D$50+P113*('계산 과정'!$D$32-E113))+'계산 과정'!$E$47*(0-'계산 과정'!$E$50+P113*('계산 과정'!$E$32-0)),"")</x:f>
      </x:c>
      <x:c r="R113" s="4" t="str">
        <x:f>IF(AND(ISNUMBER(P113),P113&gt;1E-9,P113&lt;1-1E-9),'계산 과정'!$C$48*(D113-'계산 과정'!$C$50+P113*('계산 과정'!$C$32-D113))+'계산 과정'!$D$48*(E113-'계산 과정'!$D$50+P113*('계산 과정'!$D$32-E113))+'계산 과정'!$E$48*(0-'계산 과정'!$E$50+P113*('계산 과정'!$E$32-0)),"")</x:f>
      </x:c>
      <x:c r="S113" s="17" t="n">
        <x:f>IF('계산 과정'!$C$78,IF(AND(ISNUMBER(Q113),ISNUMBER(R113),ABS(Q113-'계산 과정'!$C$88)&lt;='계산 과정'!$D$23/2,ABS(R113-'계산 과정'!$C$89)&lt;='계산 과정'!$D$24/2),1,0),"")</x:f>
        <x:v>0</x:v>
      </x:c>
      <x:c r="T113" s="4"/>
      <x:c r="U113" s="4"/>
      <x:c r="V113" s="4"/>
      <x:c r="W113" s="4" t="n">
        <x:f>IF('계산 과정'!$C$77,('계산 과정'!$D$56+'계산 과정'!$D$57*('계산 과정'!$L$11*COS(107*2*PI()/240))+'계산 과정'!$D$58*('계산 과정'!$L$11*SIN(107*2*PI()/240)))/('계산 과정'!$D$59+'계산 과정'!$D$60*('계산 과정'!$L$11*COS(107*2*PI()/240))+'계산 과정'!$D$61*('계산 과정'!$L$11*SIN(107*2*PI()/240))),"")</x:f>
        <x:v>-139.97843684111524</x:v>
      </x:c>
      <x:c r="X113" s="4" t="n">
        <x:f>IF('계산 과정'!$C$77,('계산 과정'!$E$56+'계산 과정'!$E$57*('계산 과정'!$L$11*COS(107*2*PI()/240))+'계산 과정'!$E$58*('계산 과정'!$L$11*SIN(107*2*PI()/240)))/('계산 과정'!$E$59+'계산 과정'!$E$60*('계산 과정'!$L$11*COS(107*2*PI()/240))+'계산 과정'!$E$61*('계산 과정'!$L$11*SIN(107*2*PI()/240))),"")</x:f>
        <x:v>70.10110149994023</x:v>
      </x:c>
      <x:c r="Y113" s="4" t="str">
        <x:f>""</x:f>
      </x:c>
      <x:c r="Z113" s="4" t="str">
        <x:f>""</x:f>
      </x:c>
    </x:row>
    <x:row r="114" ht="23" customHeight="1">
      <x:c r="A114" s="17" t="n">
        <x:f>ROW()-6</x:f>
        <x:v>108</x:v>
      </x:c>
      <x:c r="B114" s="4" t="n">
        <x:f>IF('계산 과정'!$L$5,'계산 과정'!$L$11*SQRT((A114+0.5)/'계산 과정'!$L$30),"")</x:f>
        <x:v>34.52559342810055</x:v>
      </x:c>
      <x:c r="C114" s="4" t="n">
        <x:f>A114*PI()*(3-SQRT(5))</x:f>
        <x:v>259.1960288106945</x:v>
      </x:c>
      <x:c r="D114" s="4" t="n">
        <x:f>IF('계산 과정'!$L$5,B114*COS(C114),"")</x:f>
        <x:v>-0.5052602094485981</x:v>
      </x:c>
      <x:c r="E114" s="4" t="n">
        <x:f>IF('계산 과정'!$L$5,B114*SIN(C114),"")</x:f>
        <x:v>34.52189614843379</x:v>
      </x:c>
      <x:c r="F114" s="4" t="n">
        <x:f>IF('계산 과정'!$L$7,'계산 과정'!$L$22+'계산 과정'!$C$49*D114+'계산 과정'!$D$49*E114,"")</x:f>
        <x:v>650.3572729203648</x:v>
      </x:c>
      <x:c r="G114" s="4" t="n">
        <x:f>IF('계산 과정'!$L$7,IF(ABS(F114)&gt;=1E-12*MAX(1,SQRT((D114-'계산 과정'!$C$33)^2+(E114-'계산 과정'!$D$33)^2+'계산 과정'!$E$33^2)),('계산 과정'!$L$23-'계산 과정'!$C$49*D114-'계산 과정'!$D$49*E114)/F114,""),"")</x:f>
        <x:v>0.6144972059512445</x:v>
      </x:c>
      <x:c r="H114" s="4" t="n">
        <x:f>IF(AND(ISNUMBER(G114),G114&gt;0),('계산 과정'!$D$56+'계산 과정'!$D$57*D114+'계산 과정'!$D$58*E114)/F114,"")</x:f>
        <x:v>-0.5768161316911878</x:v>
      </x:c>
      <x:c r="I114" s="4" t="n">
        <x:f>IF(AND(ISNUMBER(G114),G114&gt;0),('계산 과정'!$E$56+'계산 과정'!$E$57*D114+'계산 과정'!$E$58*E114)/F114,"")</x:f>
        <x:v>55.73550487578538</x:v>
      </x:c>
      <x:c r="J114" s="4" t="n">
        <x:f>IF('계산 과정'!$L$5,'계산 과정'!$D$6+'계산 과정'!$C$35*D114+'계산 과정'!$D$35*E114,"")</x:f>
        <x:v>650.3572729203648</x:v>
      </x:c>
      <x:c r="K114" s="4" t="n">
        <x:f>IF(AND('계산 과정'!$L$6,J114&gt;0),'계산 과정'!$D$10*('계산 과정'!$C$38*(D114-'계산 과정'!$C$32)+'계산 과정'!$D$38*(E114-'계산 과정'!$D$32)-'계산 과정'!$E$38*'계산 과정'!$E$32)/J114,"")</x:f>
        <x:v>-0.004394789574789087</x:v>
      </x:c>
      <x:c r="L114" s="4" t="n">
        <x:f>IF(AND('계산 과정'!$L$6,J114&gt;0),'계산 과정'!$D$10*('계산 과정'!$C$39*(D114-'계산 과정'!$C$32)+'계산 과정'!$D$39*(E114-'계산 과정'!$D$32)-'계산 과정'!$E$39*'계산 과정'!$E$32)/J114,"")</x:f>
        <x:v>0.42465146572026957</x:v>
      </x:c>
      <x:c r="M114" s="17" t="n">
        <x:f>IF('계산 과정'!$L$6,IF(J114&lt;=0,0,IF(AND(ABS(K114)&lt;='계산 과정'!$D$11/2,ABS(L114)&lt;='계산 과정'!$D$12/2),1,0)),"")</x:f>
        <x:v>1</x:v>
      </x:c>
      <x:c r="N114" s="17" t="n">
        <x:f>IF('계산 과정'!$C$78,IF(AND(ISNUMBER(H114),ISNUMBER(I114),ABS(H114-'계산 과정'!$C$88)&lt;='계산 과정'!$D$23/2,ABS(I114-'계산 과정'!$C$89)&lt;='계산 과정'!$D$24/2),1,0),"")</x:f>
        <x:v>1</x:v>
      </x:c>
      <x:c r="O114" s="4" t="n">
        <x:f>IF('계산 과정'!$L$7,'계산 과정'!$C$49*('계산 과정'!$C$32-D114)+'계산 과정'!$D$49*('계산 과정'!$D$32-E114)+'계산 과정'!$E$49*'계산 과정'!$E$32,"")</x:f>
        <x:v>-0.35727292036472136</x:v>
      </x:c>
      <x:c r="P114" s="4" t="n">
        <x:f>IF(AND('계산 과정'!$L$7,O114&lt;&gt;0),('계산 과정'!$L$23-'계산 과정'!$C$49*D114-'계산 과정'!$D$49*E114)/O114,"")</x:f>
        <x:v>-1118.5922702220496</x:v>
      </x:c>
      <x:c r="Q114" s="4" t="str">
        <x:f>IF(AND(ISNUMBER(P114),P114&gt;1E-9,P114&lt;1-1E-9),'계산 과정'!$C$47*(D114-'계산 과정'!$C$50+P114*('계산 과정'!$C$32-D114))+'계산 과정'!$D$47*(E114-'계산 과정'!$D$50+P114*('계산 과정'!$D$32-E114))+'계산 과정'!$E$47*(0-'계산 과정'!$E$50+P114*('계산 과정'!$E$32-0)),"")</x:f>
      </x:c>
      <x:c r="R114" s="4" t="str">
        <x:f>IF(AND(ISNUMBER(P114),P114&gt;1E-9,P114&lt;1-1E-9),'계산 과정'!$C$48*(D114-'계산 과정'!$C$50+P114*('계산 과정'!$C$32-D114))+'계산 과정'!$D$48*(E114-'계산 과정'!$D$50+P114*('계산 과정'!$D$32-E114))+'계산 과정'!$E$48*(0-'계산 과정'!$E$50+P114*('계산 과정'!$E$32-0)),"")</x:f>
      </x:c>
      <x:c r="S114" s="17" t="n">
        <x:f>IF('계산 과정'!$C$78,IF(AND(ISNUMBER(Q114),ISNUMBER(R114),ABS(Q114-'계산 과정'!$C$88)&lt;='계산 과정'!$D$23/2,ABS(R114-'계산 과정'!$C$89)&lt;='계산 과정'!$D$24/2),1,0),"")</x:f>
        <x:v>0</x:v>
      </x:c>
      <x:c r="T114" s="4"/>
      <x:c r="U114" s="4"/>
      <x:c r="V114" s="4"/>
      <x:c r="W114" s="4" t="n">
        <x:f>IF('계산 과정'!$C$77,('계산 과정'!$D$56+'계산 과정'!$D$57*('계산 과정'!$L$11*COS(108*2*PI()/240))+'계산 과정'!$D$58*('계산 과정'!$L$11*SIN(108*2*PI()/240)))/('계산 과정'!$D$59+'계산 과정'!$D$60*('계산 과정'!$L$11*COS(108*2*PI()/240))+'계산 과정'!$D$61*('계산 과정'!$L$11*SIN(108*2*PI()/240))),"")</x:f>
        <x:v>-141.06015930709313</x:v>
      </x:c>
      <x:c r="X114" s="4" t="n">
        <x:f>IF('계산 과정'!$C$77,('계산 과정'!$E$56+'계산 과정'!$E$57*('계산 과정'!$L$11*COS(108*2*PI()/240))+'계산 과정'!$E$58*('계산 과정'!$L$11*SIN(108*2*PI()/240)))/('계산 과정'!$E$59+'계산 과정'!$E$60*('계산 과정'!$L$11*COS(108*2*PI()/240))+'계산 과정'!$E$61*('계산 과정'!$L$11*SIN(108*2*PI()/240))),"")</x:f>
        <x:v>64.81796714736132</x:v>
      </x:c>
      <x:c r="Y114" s="4" t="str">
        <x:f>""</x:f>
      </x:c>
      <x:c r="Z114" s="4" t="str">
        <x:f>""</x:f>
      </x:c>
    </x:row>
    <x:row r="115" ht="23" customHeight="1">
      <x:c r="A115" s="17" t="n">
        <x:f>ROW()-6</x:f>
        <x:v>109</x:v>
      </x:c>
      <x:c r="B115" s="4" t="n">
        <x:f>IF('계산 과정'!$L$5,'계산 과정'!$L$11*SQRT((A115+0.5)/'계산 과정'!$L$30),"")</x:f>
        <x:v>34.68433262566111</x:v>
      </x:c>
      <x:c r="C115" s="4" t="n">
        <x:f>A115*PI()*(3-SQRT(5))</x:f>
        <x:v>261.59599204042314</x:v>
      </x:c>
      <x:c r="D115" s="4" t="n">
        <x:f>IF('계산 과정'!$L$5,B115*COS(C115),"")</x:f>
        <x:v>-23.052144995480226</x:v>
      </x:c>
      <x:c r="E115" s="4" t="n">
        <x:f>IF('계산 과정'!$L$5,B115*SIN(C115),"")</x:f>
        <x:v>-25.91527620525886</x:v>
      </x:c>
      <x:c r="F115" s="4" t="n">
        <x:f>IF('계산 과정'!$L$7,'계산 과정'!$L$22+'계산 과정'!$C$49*D115+'계산 과정'!$D$49*E115,"")</x:f>
        <x:v>666.3003280471996</x:v>
      </x:c>
      <x:c r="G115" s="4" t="n">
        <x:f>IF('계산 과정'!$L$7,IF(ABS(F115)&gt;=1E-12*MAX(1,SQRT((D115-'계산 과정'!$C$33)^2+(E115-'계산 과정'!$D$33)^2+'계산 과정'!$E$33^2)),('계산 과정'!$L$23-'계산 과정'!$C$49*D115-'계산 과정'!$D$49*E115)/F115,""),"")</x:f>
        <x:v>0.5758659508353412</x:v>
      </x:c>
      <x:c r="H115" s="4" t="n">
        <x:f>IF(AND(ISNUMBER(G115),G115&gt;0),('계산 과정'!$D$56+'계산 과정'!$D$57*D115+'계산 과정'!$D$58*E115)/F115,"")</x:f>
        <x:v>-25.6871319570283</x:v>
      </x:c>
      <x:c r="I115" s="4" t="n">
        <x:f>IF(AND(ISNUMBER(G115),G115&gt;0),('계산 과정'!$E$56+'계산 과정'!$E$57*D115+'계산 과정'!$E$58*E115)/F115,"")</x:f>
        <x:v>-40.83900137836074</x:v>
      </x:c>
      <x:c r="J115" s="4" t="n">
        <x:f>IF('계산 과정'!$L$5,'계산 과정'!$D$6+'계산 과정'!$C$35*D115+'계산 과정'!$D$35*E115,"")</x:f>
        <x:v>666.3003280471996</x:v>
      </x:c>
      <x:c r="K115" s="4" t="n">
        <x:f>IF(AND('계산 과정'!$L$6,J115&gt;0),'계산 과정'!$D$10*('계산 과정'!$C$38*(D115-'계산 과정'!$C$32)+'계산 과정'!$D$38*(E115-'계산 과정'!$D$32)-'계산 과정'!$E$38*'계산 과정'!$E$32)/J115,"")</x:f>
        <x:v>-0.1957114815773572</x:v>
      </x:c>
      <x:c r="L115" s="4" t="n">
        <x:f>IF(AND('계산 과정'!$L$6,J115&gt;0),'계산 과정'!$D$10*('계산 과정'!$C$39*(D115-'계산 과정'!$C$32)+'계산 과정'!$D$39*(E115-'계산 과정'!$D$32)-'계산 과정'!$E$39*'계산 과정'!$E$32)/J115,"")</x:f>
        <x:v>-0.31115429621608187</x:v>
      </x:c>
      <x:c r="M115" s="17" t="n">
        <x:f>IF('계산 과정'!$L$6,IF(J115&lt;=0,0,IF(AND(ABS(K115)&lt;='계산 과정'!$D$11/2,ABS(L115)&lt;='계산 과정'!$D$12/2),1,0)),"")</x:f>
        <x:v>1</x:v>
      </x:c>
      <x:c r="N115" s="17" t="n">
        <x:f>IF('계산 과정'!$C$78,IF(AND(ISNUMBER(H115),ISNUMBER(I115),ABS(H115-'계산 과정'!$C$88)&lt;='계산 과정'!$D$23/2,ABS(I115-'계산 과정'!$C$89)&lt;='계산 과정'!$D$24/2),1,0),"")</x:f>
        <x:v>1</x:v>
      </x:c>
      <x:c r="O115" s="4" t="n">
        <x:f>IF('계산 과정'!$L$7,'계산 과정'!$C$49*('계산 과정'!$C$32-D115)+'계산 과정'!$D$49*('계산 과정'!$D$32-E115)+'계산 과정'!$E$49*'계산 과정'!$E$32,"")</x:f>
        <x:v>-16.300328047199457</x:v>
      </x:c>
      <x:c r="P115" s="4" t="n">
        <x:f>IF(AND('계산 과정'!$L$7,O115&lt;&gt;0),('계산 과정'!$L$23-'계산 과정'!$C$49*D115-'계산 과정'!$D$49*E115)/O115,"")</x:f>
        <x:v>-23.539383430919564</x:v>
      </x:c>
      <x:c r="Q115" s="4" t="str">
        <x:f>IF(AND(ISNUMBER(P115),P115&gt;1E-9,P115&lt;1-1E-9),'계산 과정'!$C$47*(D115-'계산 과정'!$C$50+P115*('계산 과정'!$C$32-D115))+'계산 과정'!$D$47*(E115-'계산 과정'!$D$50+P115*('계산 과정'!$D$32-E115))+'계산 과정'!$E$47*(0-'계산 과정'!$E$50+P115*('계산 과정'!$E$32-0)),"")</x:f>
      </x:c>
      <x:c r="R115" s="4" t="str">
        <x:f>IF(AND(ISNUMBER(P115),P115&gt;1E-9,P115&lt;1-1E-9),'계산 과정'!$C$48*(D115-'계산 과정'!$C$50+P115*('계산 과정'!$C$32-D115))+'계산 과정'!$D$48*(E115-'계산 과정'!$D$50+P115*('계산 과정'!$D$32-E115))+'계산 과정'!$E$48*(0-'계산 과정'!$E$50+P115*('계산 과정'!$E$32-0)),"")</x:f>
      </x:c>
      <x:c r="S115" s="17" t="n">
        <x:f>IF('계산 과정'!$C$78,IF(AND(ISNUMBER(Q115),ISNUMBER(R115),ABS(Q115-'계산 과정'!$C$88)&lt;='계산 과정'!$D$23/2,ABS(R115-'계산 과정'!$C$89)&lt;='계산 과정'!$D$24/2),1,0),"")</x:f>
        <x:v>0</x:v>
      </x:c>
      <x:c r="T115" s="4"/>
      <x:c r="U115" s="4"/>
      <x:c r="V115" s="4"/>
      <x:c r="W115" s="4" t="n">
        <x:f>IF('계산 과정'!$C$77,('계산 과정'!$D$56+'계산 과정'!$D$57*('계산 과정'!$L$11*COS(109*2*PI()/240))+'계산 과정'!$D$58*('계산 과정'!$L$11*SIN(109*2*PI()/240)))/('계산 과정'!$D$59+'계산 과정'!$D$60*('계산 과정'!$L$11*COS(109*2*PI()/240))+'계산 과정'!$D$61*('계산 과정'!$L$11*SIN(109*2*PI()/240))),"")</x:f>
        <x:v>-142.05581621253216</x:v>
      </x:c>
      <x:c r="X115" s="4" t="n">
        <x:f>IF('계산 과정'!$C$77,('계산 과정'!$E$56+'계산 과정'!$E$57*('계산 과정'!$L$11*COS(109*2*PI()/240))+'계산 과정'!$E$58*('계산 과정'!$L$11*SIN(109*2*PI()/240)))/('계산 과정'!$E$59+'계산 과정'!$E$60*('계산 과정'!$L$11*COS(109*2*PI()/240))+'계산 과정'!$E$61*('계산 과정'!$L$11*SIN(109*2*PI()/240))),"")</x:f>
        <x:v>59.508480076227634</x:v>
      </x:c>
      <x:c r="Y115" s="4" t="str">
        <x:f>""</x:f>
      </x:c>
      <x:c r="Z115" s="4" t="str">
        <x:f>""</x:f>
      </x:c>
    </x:row>
    <x:row r="116" ht="23" customHeight="1">
      <x:c r="A116" s="17" t="n">
        <x:f>ROW()-6</x:f>
        <x:v>110</x:v>
      </x:c>
      <x:c r="B116" s="4" t="n">
        <x:f>IF('계산 과정'!$L$5,'계산 과정'!$L$11*SQRT((A116+0.5)/'계산 과정'!$L$30),"")</x:f>
        <x:v>34.84234862652775</x:v>
      </x:c>
      <x:c r="C116" s="4" t="n">
        <x:f>A116*PI()*(3-SQRT(5))</x:f>
        <x:v>263.99595527015185</x:v>
      </x:c>
      <x:c r="D116" s="4" t="n">
        <x:f>IF('계산 과정'!$L$5,B116*COS(C116),"")</x:f>
        <x:v>34.66064378073696</x:v>
      </x:c>
      <x:c r="E116" s="4" t="n">
        <x:f>IF('계산 과정'!$L$5,B116*SIN(C116),"")</x:f>
        <x:v>3.5537347280516602</x:v>
      </x:c>
      <x:c r="F116" s="4" t="n">
        <x:f>IF('계산 과정'!$L$7,'계산 과정'!$L$22+'계산 과정'!$C$49*D116+'계산 과정'!$D$49*E116,"")</x:f>
        <x:v>625.4912237423496</x:v>
      </x:c>
      <x:c r="G116" s="4" t="n">
        <x:f>IF('계산 과정'!$L$7,IF(ABS(F116)&gt;=1E-12*MAX(1,SQRT((D116-'계산 과정'!$C$33)^2+(E116-'계산 과정'!$D$33)^2+'계산 과정'!$E$33^2)),('계산 과정'!$L$23-'계산 과정'!$C$49*D116-'계산 과정'!$D$49*E116)/F116,""),"")</x:f>
        <x:v>0.6786806275518787</x:v>
      </x:c>
      <x:c r="H116" s="4" t="n">
        <x:f>IF(AND(ISNUMBER(G116),G116&gt;0),('계산 과정'!$D$56+'계산 과정'!$D$57*D116+'계산 과정'!$D$58*E116)/F116,"")</x:f>
        <x:v>41.142407908721125</x:v>
      </x:c>
      <x:c r="I116" s="4" t="n">
        <x:f>IF(AND(ISNUMBER(G116),G116&gt;0),('계산 과정'!$E$56+'계산 과정'!$E$57*D116+'계산 과정'!$E$58*E116)/F116,"")</x:f>
        <x:v>5.965585643438666</x:v>
      </x:c>
      <x:c r="J116" s="4" t="n">
        <x:f>IF('계산 과정'!$L$5,'계산 과정'!$D$6+'계산 과정'!$C$35*D116+'계산 과정'!$D$35*E116,"")</x:f>
        <x:v>625.4912237423496</x:v>
      </x:c>
      <x:c r="K116" s="4" t="n">
        <x:f>IF(AND('계산 과정'!$L$6,J116&gt;0),'계산 과정'!$D$10*('계산 과정'!$C$38*(D116-'계산 과정'!$C$32)+'계산 과정'!$D$38*(E116-'계산 과정'!$D$32)-'계산 과정'!$E$38*'계산 과정'!$E$32)/J116,"")</x:f>
        <x:v>0.31346596501882823</x:v>
      </x:c>
      <x:c r="L116" s="4" t="n">
        <x:f>IF(AND('계산 과정'!$L$6,J116&gt;0),'계산 과정'!$D$10*('계산 과정'!$C$39*(D116-'계산 과정'!$C$32)+'계산 과정'!$D$39*(E116-'계산 과정'!$D$32)-'계산 과정'!$E$39*'계산 과정'!$E$32)/J116,"")</x:f>
        <x:v>0.045452081092866026</x:v>
      </x:c>
      <x:c r="M116" s="17" t="n">
        <x:f>IF('계산 과정'!$L$6,IF(J116&lt;=0,0,IF(AND(ABS(K116)&lt;='계산 과정'!$D$11/2,ABS(L116)&lt;='계산 과정'!$D$12/2),1,0)),"")</x:f>
        <x:v>1</x:v>
      </x:c>
      <x:c r="N116" s="17" t="n">
        <x:f>IF('계산 과정'!$C$78,IF(AND(ISNUMBER(H116),ISNUMBER(I116),ABS(H116-'계산 과정'!$C$88)&lt;='계산 과정'!$D$23/2,ABS(I116-'계산 과정'!$C$89)&lt;='계산 과정'!$D$24/2),1,0),"")</x:f>
        <x:v>1</x:v>
      </x:c>
      <x:c r="O116" s="4" t="n">
        <x:f>IF('계산 과정'!$L$7,'계산 과정'!$C$49*('계산 과정'!$C$32-D116)+'계산 과정'!$D$49*('계산 과정'!$D$32-E116)+'계산 과정'!$E$49*'계산 과정'!$E$32,"")</x:f>
        <x:v>24.50877625765054</x:v>
      </x:c>
      <x:c r="P116" s="4" t="n">
        <x:f>IF(AND('계산 과정'!$L$7,O116&lt;&gt;0),('계산 과정'!$L$23-'계산 과정'!$C$49*D116-'계산 과정'!$D$49*E116)/O116,"")</x:f>
        <x:v>17.320684304877844</x:v>
      </x:c>
      <x:c r="Q116" s="4" t="str">
        <x:f>IF(AND(ISNUMBER(P116),P116&gt;1E-9,P116&lt;1-1E-9),'계산 과정'!$C$47*(D116-'계산 과정'!$C$50+P116*('계산 과정'!$C$32-D116))+'계산 과정'!$D$47*(E116-'계산 과정'!$D$50+P116*('계산 과정'!$D$32-E116))+'계산 과정'!$E$47*(0-'계산 과정'!$E$50+P116*('계산 과정'!$E$32-0)),"")</x:f>
      </x:c>
      <x:c r="R116" s="4" t="str">
        <x:f>IF(AND(ISNUMBER(P116),P116&gt;1E-9,P116&lt;1-1E-9),'계산 과정'!$C$48*(D116-'계산 과정'!$C$50+P116*('계산 과정'!$C$32-D116))+'계산 과정'!$D$48*(E116-'계산 과정'!$D$50+P116*('계산 과정'!$D$32-E116))+'계산 과정'!$E$48*(0-'계산 과정'!$E$50+P116*('계산 과정'!$E$32-0)),"")</x:f>
      </x:c>
      <x:c r="S116" s="17" t="n">
        <x:f>IF('계산 과정'!$C$78,IF(AND(ISNUMBER(Q116),ISNUMBER(R116),ABS(Q116-'계산 과정'!$C$88)&lt;='계산 과정'!$D$23/2,ABS(R116-'계산 과정'!$C$89)&lt;='계산 과정'!$D$24/2),1,0),"")</x:f>
        <x:v>0</x:v>
      </x:c>
      <x:c r="T116" s="4"/>
      <x:c r="U116" s="4"/>
      <x:c r="V116" s="4"/>
      <x:c r="W116" s="4" t="n">
        <x:f>IF('계산 과정'!$C$77,('계산 과정'!$D$56+'계산 과정'!$D$57*('계산 과정'!$L$11*COS(110*2*PI()/240))+'계산 과정'!$D$58*('계산 과정'!$L$11*SIN(110*2*PI()/240)))/('계산 과정'!$D$59+'계산 과정'!$D$60*('계산 과정'!$L$11*COS(110*2*PI()/240))+'계산 과정'!$D$61*('계산 과정'!$L$11*SIN(110*2*PI()/240))),"")</x:f>
        <x:v>-142.9652842827827</x:v>
      </x:c>
      <x:c r="X116" s="4" t="n">
        <x:f>IF('계산 과정'!$C$77,('계산 과정'!$E$56+'계산 과정'!$E$57*('계산 과정'!$L$11*COS(110*2*PI()/240))+'계산 과정'!$E$58*('계산 과정'!$L$11*SIN(110*2*PI()/240)))/('계산 과정'!$E$59+'계산 과정'!$E$60*('계산 과정'!$L$11*COS(110*2*PI()/240))+'계산 과정'!$E$61*('계산 과정'!$L$11*SIN(110*2*PI()/240))),"")</x:f>
        <x:v>54.174890537715335</x:v>
      </x:c>
      <x:c r="Y116" s="4" t="str">
        <x:f>""</x:f>
      </x:c>
      <x:c r="Z116" s="4" t="str">
        <x:f>""</x:f>
      </x:c>
    </x:row>
    <x:row r="117" ht="23" customHeight="1">
      <x:c r="A117" s="17" t="n">
        <x:f>ROW()-6</x:f>
        <x:v>111</x:v>
      </x:c>
      <x:c r="B117" s="4" t="n">
        <x:f>IF('계산 과정'!$L$5,'계산 과정'!$L$11*SQRT((A117+0.5)/'계산 과정'!$L$30),"")</x:f>
        <x:v>34.99965122594081</x:v>
      </x:c>
      <x:c r="C117" s="4" t="n">
        <x:f>A117*PI()*(3-SQRT(5))</x:f>
        <x:v>266.39591849988045</x:v>
      </x:c>
      <x:c r="D117" s="4" t="n">
        <x:f>IF('계산 과정'!$L$5,B117*COS(C117),"")</x:f>
        <x:v>-28.084416068790286</x:v>
      </x:c>
      <x:c r="E117" s="4" t="n">
        <x:f>IF('계산 과정'!$L$5,B117*SIN(C117),"")</x:f>
        <x:v>20.88638695448722</x:v>
      </x:c>
      <x:c r="F117" s="4" t="n">
        <x:f>IF('계산 과정'!$L$7,'계산 과정'!$L$22+'계산 과정'!$C$49*D117+'계산 과정'!$D$49*E117,"")</x:f>
        <x:v>669.8586810479061</x:v>
      </x:c>
      <x:c r="G117" s="4" t="n">
        <x:f>IF('계산 과정'!$L$7,IF(ABS(F117)&gt;=1E-12*MAX(1,SQRT((D117-'계산 과정'!$C$33)^2+(E117-'계산 과정'!$D$33)^2+'계산 과정'!$E$33^2)),('계산 과정'!$L$23-'계산 과정'!$C$49*D117-'계산 과정'!$D$49*E117)/F117,""),"")</x:f>
        <x:v>0.5674948010786585</x:v>
      </x:c>
      <x:c r="H117" s="4" t="n">
        <x:f>IF(AND(ISNUMBER(G117),G117&gt;0),('계산 과정'!$D$56+'계산 과정'!$D$57*D117+'계산 과정'!$D$58*E117)/F117,"")</x:f>
        <x:v>-31.12837929887214</x:v>
      </x:c>
      <x:c r="I117" s="4" t="n">
        <x:f>IF(AND(ISNUMBER(G117),G117&gt;0),('계산 과정'!$E$56+'계산 과정'!$E$57*D117+'계산 과정'!$E$58*E117)/F117,"")</x:f>
        <x:v>32.73930296447583</x:v>
      </x:c>
      <x:c r="J117" s="4" t="n">
        <x:f>IF('계산 과정'!$L$5,'계산 과정'!$D$6+'계산 과정'!$C$35*D117+'계산 과정'!$D$35*E117,"")</x:f>
        <x:v>669.8586810479061</x:v>
      </x:c>
      <x:c r="K117" s="4" t="n">
        <x:f>IF(AND('계산 과정'!$L$6,J117&gt;0),'계산 과정'!$D$10*('계산 과정'!$C$38*(D117-'계산 과정'!$C$32)+'계산 과정'!$D$38*(E117-'계산 과정'!$D$32)-'계산 과정'!$E$38*'계산 과정'!$E$32)/J117,"")</x:f>
        <x:v>-0.23716860418188182</x:v>
      </x:c>
      <x:c r="L117" s="4" t="n">
        <x:f>IF(AND('계산 과정'!$L$6,J117&gt;0),'계산 과정'!$D$10*('계산 과정'!$C$39*(D117-'계산 과정'!$C$32)+'계산 과정'!$D$39*(E117-'계산 과정'!$D$32)-'계산 과정'!$E$39*'계산 과정'!$E$32)/J117,"")</x:f>
        <x:v>0.24944230830076825</x:v>
      </x:c>
      <x:c r="M117" s="17" t="n">
        <x:f>IF('계산 과정'!$L$6,IF(J117&lt;=0,0,IF(AND(ABS(K117)&lt;='계산 과정'!$D$11/2,ABS(L117)&lt;='계산 과정'!$D$12/2),1,0)),"")</x:f>
        <x:v>1</x:v>
      </x:c>
      <x:c r="N117" s="17" t="n">
        <x:f>IF('계산 과정'!$C$78,IF(AND(ISNUMBER(H117),ISNUMBER(I117),ABS(H117-'계산 과정'!$C$88)&lt;='계산 과정'!$D$23/2,ABS(I117-'계산 과정'!$C$89)&lt;='계산 과정'!$D$24/2),1,0),"")</x:f>
        <x:v>1</x:v>
      </x:c>
      <x:c r="O117" s="4" t="n">
        <x:f>IF('계산 과정'!$L$7,'계산 과정'!$C$49*('계산 과정'!$C$32-D117)+'계산 과정'!$D$49*('계산 과정'!$D$32-E117)+'계산 과정'!$E$49*'계산 과정'!$E$32,"")</x:f>
        <x:v>-19.858681047905918</x:v>
      </x:c>
      <x:c r="P117" s="4" t="n">
        <x:f>IF(AND('계산 과정'!$L$7,O117&lt;&gt;0),('계산 과정'!$L$23-'계산 과정'!$C$49*D117-'계산 과정'!$D$49*E117)/O117,"")</x:f>
        <x:v>-19.142324610333553</x:v>
      </x:c>
      <x:c r="Q117" s="4" t="str">
        <x:f>IF(AND(ISNUMBER(P117),P117&gt;1E-9,P117&lt;1-1E-9),'계산 과정'!$C$47*(D117-'계산 과정'!$C$50+P117*('계산 과정'!$C$32-D117))+'계산 과정'!$D$47*(E117-'계산 과정'!$D$50+P117*('계산 과정'!$D$32-E117))+'계산 과정'!$E$47*(0-'계산 과정'!$E$50+P117*('계산 과정'!$E$32-0)),"")</x:f>
      </x:c>
      <x:c r="R117" s="4" t="str">
        <x:f>IF(AND(ISNUMBER(P117),P117&gt;1E-9,P117&lt;1-1E-9),'계산 과정'!$C$48*(D117-'계산 과정'!$C$50+P117*('계산 과정'!$C$32-D117))+'계산 과정'!$D$48*(E117-'계산 과정'!$D$50+P117*('계산 과정'!$D$32-E117))+'계산 과정'!$E$48*(0-'계산 과정'!$E$50+P117*('계산 과정'!$E$32-0)),"")</x:f>
      </x:c>
      <x:c r="S117" s="17" t="n">
        <x:f>IF('계산 과정'!$C$78,IF(AND(ISNUMBER(Q117),ISNUMBER(R117),ABS(Q117-'계산 과정'!$C$88)&lt;='계산 과정'!$D$23/2,ABS(R117-'계산 과정'!$C$89)&lt;='계산 과정'!$D$24/2),1,0),"")</x:f>
        <x:v>0</x:v>
      </x:c>
      <x:c r="T117" s="4"/>
      <x:c r="U117" s="4"/>
      <x:c r="V117" s="4"/>
      <x:c r="W117" s="4" t="n">
        <x:f>IF('계산 과정'!$C$77,('계산 과정'!$D$56+'계산 과정'!$D$57*('계산 과정'!$L$11*COS(111*2*PI()/240))+'계산 과정'!$D$58*('계산 과정'!$L$11*SIN(111*2*PI()/240)))/('계산 과정'!$D$59+'계산 과정'!$D$60*('계산 과정'!$L$11*COS(111*2*PI()/240))+'계산 과정'!$D$61*('계산 과정'!$L$11*SIN(111*2*PI()/240))),"")</x:f>
        <x:v>-143.78845323337544</x:v>
      </x:c>
      <x:c r="X117" s="4" t="n">
        <x:f>IF('계산 과정'!$C$77,('계산 과정'!$E$56+'계산 과정'!$E$57*('계산 과정'!$L$11*COS(111*2*PI()/240))+'계산 과정'!$E$58*('계산 과정'!$L$11*SIN(111*2*PI()/240)))/('계산 과정'!$E$59+'계산 과정'!$E$60*('계산 과정'!$L$11*COS(111*2*PI()/240))+'계산 과정'!$E$61*('계산 과정'!$L$11*SIN(111*2*PI()/240))),"")</x:f>
        <x:v>48.81943483046716</x:v>
      </x:c>
      <x:c r="Y117" s="4" t="str">
        <x:f>""</x:f>
      </x:c>
      <x:c r="Z117" s="4" t="str">
        <x:f>""</x:f>
      </x:c>
    </x:row>
    <x:row r="118" ht="23" customHeight="1">
      <x:c r="A118" s="17" t="n">
        <x:f>ROW()-6</x:f>
        <x:v>112</x:v>
      </x:c>
      <x:c r="B118" s="4" t="n">
        <x:f>IF('계산 과정'!$L$5,'계산 과정'!$L$11*SQRT((A118+0.5)/'계산 과정'!$L$30),"")</x:f>
        <x:v>35.15625</x:v>
      </x:c>
      <x:c r="C118" s="4" t="n">
        <x:f>A118*PI()*(3-SQRT(5))</x:f>
        <x:v>268.7958817296091</x:v>
      </x:c>
      <x:c r="D118" s="4" t="n">
        <x:f>IF('계산 과정'!$L$5,B118*COS(C118),"")</x:f>
        <x:v>6.629553148546456</x:v>
      </x:c>
      <x:c r="E118" s="4" t="n">
        <x:f>IF('계산 과정'!$L$5,B118*SIN(C118),"")</x:f>
        <x:v>-34.525511424352544</x:v>
      </x:c>
      <x:c r="F118" s="4" t="n">
        <x:f>IF('계산 과정'!$L$7,'계산 과정'!$L$22+'계산 과정'!$C$49*D118+'계산 과정'!$D$49*E118,"")</x:f>
        <x:v>645.3121980124262</x:v>
      </x:c>
      <x:c r="G118" s="4" t="n">
        <x:f>IF('계산 과정'!$L$7,IF(ABS(F118)&gt;=1E-12*MAX(1,SQRT((D118-'계산 과정'!$C$33)^2+(E118-'계산 과정'!$D$33)^2+'계산 과정'!$E$33^2)),('계산 과정'!$L$23-'계산 과정'!$C$49*D118-'계산 과정'!$D$49*E118)/F118,""),"")</x:f>
        <x:v>0.6271194055125875</x:v>
      </x:c>
      <x:c r="H118" s="4" t="n">
        <x:f>IF(AND(ISNUMBER(G118),G118&gt;0),('계산 과정'!$D$56+'계산 과정'!$D$57*D118+'계산 과정'!$D$58*E118)/F118,"")</x:f>
        <x:v>7.627613583181737</x:v>
      </x:c>
      <x:c r="I118" s="4" t="n">
        <x:f>IF(AND(ISNUMBER(G118),G118&gt;0),('계산 과정'!$E$56+'계산 과정'!$E$57*D118+'계산 과정'!$E$58*E118)/F118,"")</x:f>
        <x:v>-56.17712962381055</x:v>
      </x:c>
      <x:c r="J118" s="4" t="n">
        <x:f>IF('계산 과정'!$L$5,'계산 과정'!$D$6+'계산 과정'!$C$35*D118+'계산 과정'!$D$35*E118,"")</x:f>
        <x:v>645.3121980124262</x:v>
      </x:c>
      <x:c r="K118" s="4" t="n">
        <x:f>IF(AND('계산 과정'!$L$6,J118&gt;0),'계산 과정'!$D$10*('계산 과정'!$C$38*(D118-'계산 과정'!$C$32)+'계산 과정'!$D$38*(E118-'계산 과정'!$D$32)-'계산 과정'!$E$38*'계산 과정'!$E$32)/J118,"")</x:f>
        <x:v>0.058115151109957054</x:v>
      </x:c>
      <x:c r="L118" s="4" t="n">
        <x:f>IF(AND('계산 과정'!$L$6,J118&gt;0),'계산 과정'!$D$10*('계산 과정'!$C$39*(D118-'계산 과정'!$C$32)+'계산 과정'!$D$39*(E118-'계산 과정'!$D$32)-'계산 과정'!$E$39*'계산 과정'!$E$32)/J118,"")</x:f>
        <x:v>-0.4280162257052233</x:v>
      </x:c>
      <x:c r="M118" s="17" t="n">
        <x:f>IF('계산 과정'!$L$6,IF(J118&lt;=0,0,IF(AND(ABS(K118)&lt;='계산 과정'!$D$11/2,ABS(L118)&lt;='계산 과정'!$D$12/2),1,0)),"")</x:f>
        <x:v>1</x:v>
      </x:c>
      <x:c r="N118" s="17" t="n">
        <x:f>IF('계산 과정'!$C$78,IF(AND(ISNUMBER(H118),ISNUMBER(I118),ABS(H118-'계산 과정'!$C$88)&lt;='계산 과정'!$D$23/2,ABS(I118-'계산 과정'!$C$89)&lt;='계산 과정'!$D$24/2),1,0),"")</x:f>
        <x:v>1</x:v>
      </x:c>
      <x:c r="O118" s="4" t="n">
        <x:f>IF('계산 과정'!$L$7,'계산 과정'!$C$49*('계산 과정'!$C$32-D118)+'계산 과정'!$D$49*('계산 과정'!$D$32-E118)+'계산 과정'!$E$49*'계산 과정'!$E$32,"")</x:f>
        <x:v>4.687801987573948</x:v>
      </x:c>
      <x:c r="P118" s="4" t="n">
        <x:f>IF(AND('계산 과정'!$L$7,O118&lt;&gt;0),('계산 과정'!$L$23-'계산 과정'!$C$49*D118-'계산 과정'!$D$49*E118)/O118,"")</x:f>
        <x:v>86.3278361714697</x:v>
      </x:c>
      <x:c r="Q118" s="4" t="str">
        <x:f>IF(AND(ISNUMBER(P118),P118&gt;1E-9,P118&lt;1-1E-9),'계산 과정'!$C$47*(D118-'계산 과정'!$C$50+P118*('계산 과정'!$C$32-D118))+'계산 과정'!$D$47*(E118-'계산 과정'!$D$50+P118*('계산 과정'!$D$32-E118))+'계산 과정'!$E$47*(0-'계산 과정'!$E$50+P118*('계산 과정'!$E$32-0)),"")</x:f>
      </x:c>
      <x:c r="R118" s="4" t="str">
        <x:f>IF(AND(ISNUMBER(P118),P118&gt;1E-9,P118&lt;1-1E-9),'계산 과정'!$C$48*(D118-'계산 과정'!$C$50+P118*('계산 과정'!$C$32-D118))+'계산 과정'!$D$48*(E118-'계산 과정'!$D$50+P118*('계산 과정'!$D$32-E118))+'계산 과정'!$E$48*(0-'계산 과정'!$E$50+P118*('계산 과정'!$E$32-0)),"")</x:f>
      </x:c>
      <x:c r="S118" s="17" t="n">
        <x:f>IF('계산 과정'!$C$78,IF(AND(ISNUMBER(Q118),ISNUMBER(R118),ABS(Q118-'계산 과정'!$C$88)&lt;='계산 과정'!$D$23/2,ABS(R118-'계산 과정'!$C$89)&lt;='계산 과정'!$D$24/2),1,0),"")</x:f>
        <x:v>0</x:v>
      </x:c>
      <x:c r="T118" s="4"/>
      <x:c r="U118" s="4"/>
      <x:c r="V118" s="4"/>
      <x:c r="W118" s="4" t="n">
        <x:f>IF('계산 과정'!$C$77,('계산 과정'!$D$56+'계산 과정'!$D$57*('계산 과정'!$L$11*COS(112*2*PI()/240))+'계산 과정'!$D$58*('계산 과정'!$L$11*SIN(112*2*PI()/240)))/('계산 과정'!$D$59+'계산 과정'!$D$60*('계산 과정'!$L$11*COS(112*2*PI()/240))+'계산 과정'!$D$61*('계산 과정'!$L$11*SIN(112*2*PI()/240))),"")</x:f>
        <x:v>-144.5252251488516</x:v>
      </x:c>
      <x:c r="X118" s="4" t="n">
        <x:f>IF('계산 과정'!$C$77,('계산 과정'!$E$56+'계산 과정'!$E$57*('계산 과정'!$L$11*COS(112*2*PI()/240))+'계산 과정'!$E$58*('계산 과정'!$L$11*SIN(112*2*PI()/240)))/('계산 과정'!$E$59+'계산 과정'!$E$60*('계산 과정'!$L$11*COS(112*2*PI()/240))+'계산 과정'!$E$61*('계산 과정'!$L$11*SIN(112*2*PI()/240))),"")</x:f>
        <x:v>43.4443364843382</x:v>
      </x:c>
      <x:c r="Y118" s="4" t="str">
        <x:f>""</x:f>
      </x:c>
      <x:c r="Z118" s="4" t="str">
        <x:f>""</x:f>
      </x:c>
    </x:row>
    <x:row r="119" ht="23" customHeight="1">
      <x:c r="A119" s="17" t="n">
        <x:f>ROW()-6</x:f>
        <x:v>113</x:v>
      </x:c>
      <x:c r="B119" s="4" t="n">
        <x:f>IF('계산 과정'!$L$5,'계산 과정'!$L$11*SQRT((A119+0.5)/'계산 과정'!$L$30),"")</x:f>
        <x:v>35.31215431246726</x:v>
      </x:c>
      <x:c r="C119" s="4" t="n">
        <x:f>A119*PI()*(3-SQRT(5))</x:f>
        <x:v>271.19584495933776</x:v>
      </x:c>
      <x:c r="D119" s="4" t="n">
        <x:f>IF('계산 과정'!$L$5,B119*COS(C119),"")</x:f>
        <x:v>18.51496588221981</x:v>
      </x:c>
      <x:c r="E119" s="4" t="n">
        <x:f>IF('계산 과정'!$L$5,B119*SIN(C119),"")</x:f>
        <x:v>30.068992011168856</x:v>
      </x:c>
      <x:c r="F119" s="4" t="n">
        <x:f>IF('계산 과정'!$L$7,'계산 과정'!$L$22+'계산 과정'!$C$49*D119+'계산 과정'!$D$49*E119,"")</x:f>
        <x:v>636.9079420712449</x:v>
      </x:c>
      <x:c r="G119" s="4" t="n">
        <x:f>IF('계산 과정'!$L$7,IF(ABS(F119)&gt;=1E-12*MAX(1,SQRT((D119-'계산 과정'!$C$33)^2+(E119-'계산 과정'!$D$33)^2+'계산 과정'!$E$33^2)),('계산 과정'!$L$23-'계산 과정'!$C$49*D119-'계산 과정'!$D$49*E119)/F119,""),"")</x:f>
        <x:v>0.6485898991703051</x:v>
      </x:c>
      <x:c r="H119" s="4" t="n">
        <x:f>IF(AND(ISNUMBER(G119),G119&gt;0),('계산 과정'!$D$56+'계산 과정'!$D$57*D119+'계산 과정'!$D$58*E119)/F119,"")</x:f>
        <x:v>21.583434460698207</x:v>
      </x:c>
      <x:c r="I119" s="4" t="n">
        <x:f>IF(AND(ISNUMBER(G119),G119&gt;0),('계산 과정'!$E$56+'계산 과정'!$E$57*D119+'계산 과정'!$E$58*E119)/F119,"")</x:f>
        <x:v>49.57143650784557</x:v>
      </x:c>
      <x:c r="J119" s="4" t="n">
        <x:f>IF('계산 과정'!$L$5,'계산 과정'!$D$6+'계산 과정'!$C$35*D119+'계산 과정'!$D$35*E119,"")</x:f>
        <x:v>636.9079420712449</x:v>
      </x:c>
      <x:c r="K119" s="4" t="n">
        <x:f>IF(AND('계산 과정'!$L$6,J119&gt;0),'계산 과정'!$D$10*('계산 과정'!$C$38*(D119-'계산 과정'!$C$32)+'계산 과정'!$D$38*(E119-'계산 과정'!$D$32)-'계산 과정'!$E$38*'계산 과정'!$E$32)/J119,"")</x:f>
        <x:v>0.16444521493865386</x:v>
      </x:c>
      <x:c r="L119" s="4" t="n">
        <x:f>IF(AND('계산 과정'!$L$6,J119&gt;0),'계산 과정'!$D$10*('계산 과정'!$C$39*(D119-'계산 과정'!$C$32)+'계산 과정'!$D$39*(E119-'계산 과정'!$D$32)-'계산 과정'!$E$39*'계산 과정'!$E$32)/J119,"")</x:f>
        <x:v>0.377687135297871</x:v>
      </x:c>
      <x:c r="M119" s="17" t="n">
        <x:f>IF('계산 과정'!$L$6,IF(J119&lt;=0,0,IF(AND(ABS(K119)&lt;='계산 과정'!$D$11/2,ABS(L119)&lt;='계산 과정'!$D$12/2),1,0)),"")</x:f>
        <x:v>1</x:v>
      </x:c>
      <x:c r="N119" s="17" t="n">
        <x:f>IF('계산 과정'!$C$78,IF(AND(ISNUMBER(H119),ISNUMBER(I119),ABS(H119-'계산 과정'!$C$88)&lt;='계산 과정'!$D$23/2,ABS(I119-'계산 과정'!$C$89)&lt;='계산 과정'!$D$24/2),1,0),"")</x:f>
        <x:v>1</x:v>
      </x:c>
      <x:c r="O119" s="4" t="n">
        <x:f>IF('계산 과정'!$L$7,'계산 과정'!$C$49*('계산 과정'!$C$32-D119)+'계산 과정'!$D$49*('계산 과정'!$D$32-E119)+'계산 과정'!$E$49*'계산 과정'!$E$32,"")</x:f>
        <x:v>13.09205792875531</x:v>
      </x:c>
      <x:c r="P119" s="4" t="n">
        <x:f>IF(AND('계산 과정'!$L$7,O119&lt;&gt;0),('계산 과정'!$L$23-'계산 과정'!$C$49*D119-'계산 과정'!$D$49*E119)/O119,"")</x:f>
        <x:v>31.55287428276975</x:v>
      </x:c>
      <x:c r="Q119" s="4" t="str">
        <x:f>IF(AND(ISNUMBER(P119),P119&gt;1E-9,P119&lt;1-1E-9),'계산 과정'!$C$47*(D119-'계산 과정'!$C$50+P119*('계산 과정'!$C$32-D119))+'계산 과정'!$D$47*(E119-'계산 과정'!$D$50+P119*('계산 과정'!$D$32-E119))+'계산 과정'!$E$47*(0-'계산 과정'!$E$50+P119*('계산 과정'!$E$32-0)),"")</x:f>
      </x:c>
      <x:c r="R119" s="4" t="str">
        <x:f>IF(AND(ISNUMBER(P119),P119&gt;1E-9,P119&lt;1-1E-9),'계산 과정'!$C$48*(D119-'계산 과정'!$C$50+P119*('계산 과정'!$C$32-D119))+'계산 과정'!$D$48*(E119-'계산 과정'!$D$50+P119*('계산 과정'!$D$32-E119))+'계산 과정'!$E$48*(0-'계산 과정'!$E$50+P119*('계산 과정'!$E$32-0)),"")</x:f>
      </x:c>
      <x:c r="S119" s="17" t="n">
        <x:f>IF('계산 과정'!$C$78,IF(AND(ISNUMBER(Q119),ISNUMBER(R119),ABS(Q119-'계산 과정'!$C$88)&lt;='계산 과정'!$D$23/2,ABS(R119-'계산 과정'!$C$89)&lt;='계산 과정'!$D$24/2),1,0),"")</x:f>
        <x:v>0</x:v>
      </x:c>
      <x:c r="T119" s="4"/>
      <x:c r="U119" s="4"/>
      <x:c r="V119" s="4"/>
      <x:c r="W119" s="4" t="n">
        <x:f>IF('계산 과정'!$C$77,('계산 과정'!$D$56+'계산 과정'!$D$57*('계산 과정'!$L$11*COS(113*2*PI()/240))+'계산 과정'!$D$58*('계산 과정'!$L$11*SIN(113*2*PI()/240)))/('계산 과정'!$D$59+'계산 과정'!$D$60*('계산 과정'!$L$11*COS(113*2*PI()/240))+'계산 과정'!$D$61*('계산 과정'!$L$11*SIN(113*2*PI()/240))),"")</x:f>
        <x:v>-145.17551392162446</x:v>
      </x:c>
      <x:c r="X119" s="4" t="n">
        <x:f>IF('계산 과정'!$C$77,('계산 과정'!$E$56+'계산 과정'!$E$57*('계산 과정'!$L$11*COS(113*2*PI()/240))+'계산 과정'!$E$58*('계산 과정'!$L$11*SIN(113*2*PI()/240)))/('계산 과정'!$E$59+'계산 과정'!$E$60*('계산 과정'!$L$11*COS(113*2*PI()/240))+'계산 과정'!$E$61*('계산 과정'!$L$11*SIN(113*2*PI()/240))),"")</x:f>
        <x:v>38.05180746892045</x:v>
      </x:c>
      <x:c r="Y119" s="4" t="str">
        <x:f>""</x:f>
      </x:c>
      <x:c r="Z119" s="4" t="str">
        <x:f>""</x:f>
      </x:c>
    </x:row>
    <x:row r="120" ht="23" customHeight="1">
      <x:c r="A120" s="17" t="n">
        <x:f>ROW()-6</x:f>
        <x:v>114</x:v>
      </x:c>
      <x:c r="B120" s="4" t="n">
        <x:f>IF('계산 과정'!$L$5,'계산 과정'!$L$11*SQRT((A120+0.5)/'계산 과정'!$L$30),"")</x:f>
        <x:v>35.46737332130052</x:v>
      </x:c>
      <x:c r="C120" s="4" t="n">
        <x:f>A120*PI()*(3-SQRT(5))</x:f>
        <x:v>273.5958081890664</x:v>
      </x:c>
      <x:c r="D120" s="4" t="n">
        <x:f>IF('계산 과정'!$L$5,B120*COS(C120),"")</x:f>
        <x:v>-34.11296346696835</x:v>
      </x:c>
      <x:c r="E120" s="4" t="n">
        <x:f>IF('계산 과정'!$L$5,B120*SIN(C120),"")</x:f>
        <x:v>-9.707744012579978</x:v>
      </x:c>
      <x:c r="F120" s="4" t="n">
        <x:f>IF('계산 과정'!$L$7,'계산 과정'!$L$22+'계산 과정'!$C$49*D120+'계산 과정'!$D$49*E120,"")</x:f>
        <x:v>674.1215077938623</x:v>
      </x:c>
      <x:c r="G120" s="4" t="n">
        <x:f>IF('계산 과정'!$L$7,IF(ABS(F120)&gt;=1E-12*MAX(1,SQRT((D120-'계산 과정'!$C$33)^2+(E120-'계산 과정'!$D$33)^2+'계산 과정'!$E$33^2)),('계산 과정'!$L$23-'계산 과정'!$C$49*D120-'계산 과정'!$D$49*E120)/F120,""),"")</x:f>
        <x:v>0.5575827026143134</x:v>
      </x:c>
      <x:c r="H120" s="4" t="n">
        <x:f>IF(AND(ISNUMBER(G120),G120&gt;0),('계산 과정'!$D$56+'계산 과정'!$D$57*D120+'계산 과정'!$D$58*E120)/F120,"")</x:f>
        <x:v>-37.57124330069635</x:v>
      </x:c>
      <x:c r="I120" s="4" t="n">
        <x:f>IF(AND(ISNUMBER(G120),G120&gt;0),('계산 과정'!$E$56+'계산 과정'!$E$57*D120+'계산 과정'!$E$58*E120)/F120,"")</x:f>
        <x:v>-15.120614155402242</x:v>
      </x:c>
      <x:c r="J120" s="4" t="n">
        <x:f>IF('계산 과정'!$L$5,'계산 과정'!$D$6+'계산 과정'!$C$35*D120+'계산 과정'!$D$35*E120,"")</x:f>
        <x:v>674.1215077938623</x:v>
      </x:c>
      <x:c r="K120" s="4" t="n">
        <x:f>IF(AND('계산 과정'!$L$6,J120&gt;0),'계산 과정'!$D$10*('계산 과정'!$C$38*(D120-'계산 과정'!$C$32)+'계산 과정'!$D$38*(E120-'계산 과정'!$D$32)-'계산 과정'!$E$38*'계산 과정'!$E$32)/J120,"")</x:f>
        <x:v>-0.2862570918148286</x:v>
      </x:c>
      <x:c r="L120" s="4" t="n">
        <x:f>IF(AND('계산 과정'!$L$6,J120&gt;0),'계산 과정'!$D$10*('계산 과정'!$C$39*(D120-'계산 과정'!$C$32)+'계산 과정'!$D$39*(E120-'계산 과정'!$D$32)-'계산 과정'!$E$39*'계산 과정'!$E$32)/J120,"")</x:f>
        <x:v>-0.11520467927925518</x:v>
      </x:c>
      <x:c r="M120" s="17" t="n">
        <x:f>IF('계산 과정'!$L$6,IF(J120&lt;=0,0,IF(AND(ABS(K120)&lt;='계산 과정'!$D$11/2,ABS(L120)&lt;='계산 과정'!$D$12/2),1,0)),"")</x:f>
        <x:v>1</x:v>
      </x:c>
      <x:c r="N120" s="17" t="n">
        <x:f>IF('계산 과정'!$C$78,IF(AND(ISNUMBER(H120),ISNUMBER(I120),ABS(H120-'계산 과정'!$C$88)&lt;='계산 과정'!$D$23/2,ABS(I120-'계산 과정'!$C$89)&lt;='계산 과정'!$D$24/2),1,0),"")</x:f>
        <x:v>1</x:v>
      </x:c>
      <x:c r="O120" s="4" t="n">
        <x:f>IF('계산 과정'!$L$7,'계산 과정'!$C$49*('계산 과정'!$C$32-D120)+'계산 과정'!$D$49*('계산 과정'!$D$32-E120)+'계산 과정'!$E$49*'계산 과정'!$E$32,"")</x:f>
        <x:v>-24.12150779386218</x:v>
      </x:c>
      <x:c r="P120" s="4" t="n">
        <x:f>IF(AND('계산 과정'!$L$7,O120&lt;&gt;0),('계산 과정'!$L$23-'계산 과정'!$C$49*D120-'계산 과정'!$D$49*E120)/O120,"")</x:f>
        <x:v>-15.582711305542086</x:v>
      </x:c>
      <x:c r="Q120" s="4" t="str">
        <x:f>IF(AND(ISNUMBER(P120),P120&gt;1E-9,P120&lt;1-1E-9),'계산 과정'!$C$47*(D120-'계산 과정'!$C$50+P120*('계산 과정'!$C$32-D120))+'계산 과정'!$D$47*(E120-'계산 과정'!$D$50+P120*('계산 과정'!$D$32-E120))+'계산 과정'!$E$47*(0-'계산 과정'!$E$50+P120*('계산 과정'!$E$32-0)),"")</x:f>
      </x:c>
      <x:c r="R120" s="4" t="str">
        <x:f>IF(AND(ISNUMBER(P120),P120&gt;1E-9,P120&lt;1-1E-9),'계산 과정'!$C$48*(D120-'계산 과정'!$C$50+P120*('계산 과정'!$C$32-D120))+'계산 과정'!$D$48*(E120-'계산 과정'!$D$50+P120*('계산 과정'!$D$32-E120))+'계산 과정'!$E$48*(0-'계산 과정'!$E$50+P120*('계산 과정'!$E$32-0)),"")</x:f>
      </x:c>
      <x:c r="S120" s="17" t="n">
        <x:f>IF('계산 과정'!$C$78,IF(AND(ISNUMBER(Q120),ISNUMBER(R120),ABS(Q120-'계산 과정'!$C$88)&lt;='계산 과정'!$D$23/2,ABS(R120-'계산 과정'!$C$89)&lt;='계산 과정'!$D$24/2),1,0),"")</x:f>
        <x:v>0</x:v>
      </x:c>
      <x:c r="T120" s="4"/>
      <x:c r="U120" s="4"/>
      <x:c r="V120" s="4"/>
      <x:c r="W120" s="4" t="n">
        <x:f>IF('계산 과정'!$C$77,('계산 과정'!$D$56+'계산 과정'!$D$57*('계산 과정'!$L$11*COS(114*2*PI()/240))+'계산 과정'!$D$58*('계산 과정'!$L$11*SIN(114*2*PI()/240)))/('계산 과정'!$D$59+'계산 과정'!$D$60*('계산 과정'!$L$11*COS(114*2*PI()/240))+'계산 과정'!$D$61*('계산 과정'!$L$11*SIN(114*2*PI()/240))),"")</x:f>
        <x:v>-145.73924475063393</x:v>
      </x:c>
      <x:c r="X120" s="4" t="n">
        <x:f>IF('계산 과정'!$C$77,('계산 과정'!$E$56+'계산 과정'!$E$57*('계산 과정'!$L$11*COS(114*2*PI()/240))+'계산 과정'!$E$58*('계산 과정'!$L$11*SIN(114*2*PI()/240)))/('계산 과정'!$E$59+'계산 과정'!$E$60*('계산 과정'!$L$11*COS(114*2*PI()/240))+'계산 과정'!$E$61*('계산 과정'!$L$11*SIN(114*2*PI()/240))),"")</x:f>
        <x:v>32.644049424071504</x:v>
      </x:c>
      <x:c r="Y120" s="4" t="str">
        <x:f>""</x:f>
      </x:c>
      <x:c r="Z120" s="4" t="str">
        <x:f>""</x:f>
      </x:c>
    </x:row>
    <x:row r="121" ht="23" customHeight="1">
      <x:c r="A121" s="17" t="n">
        <x:f>ROW()-6</x:f>
        <x:v>115</x:v>
      </x:c>
      <x:c r="B121" s="4" t="n">
        <x:f>IF('계산 과정'!$L$5,'계산 과정'!$L$11*SQRT((A121+0.5)/'계산 과정'!$L$30),"")</x:f>
        <x:v>35.62191598493124</x:v>
      </x:c>
      <x:c r="C121" s="4" t="n">
        <x:f>A121*PI()*(3-SQRT(5))</x:f>
        <x:v>275.9957714187951</x:v>
      </x:c>
      <x:c r="D121" s="4" t="n">
        <x:f>IF('계산 과정'!$L$5,B121*COS(C121),"")</x:f>
        <x:v>31.849500819376274</x:v>
      </x:c>
      <x:c r="E121" s="4" t="n">
        <x:f>IF('계산 과정'!$L$5,B121*SIN(C121),"")</x:f>
        <x:v>-15.954002507021551</x:v>
      </x:c>
      <x:c r="F121" s="4" t="n">
        <x:f>IF('계산 과정'!$L$7,'계산 과정'!$L$22+'계산 과정'!$C$49*D121+'계산 과정'!$D$49*E121,"")</x:f>
        <x:v>627.4790019932126</x:v>
      </x:c>
      <x:c r="G121" s="4" t="n">
        <x:f>IF('계산 과정'!$L$7,IF(ABS(F121)&gt;=1E-12*MAX(1,SQRT((D121-'계산 과정'!$C$33)^2+(E121-'계산 과정'!$D$33)^2+'계산 과정'!$E$33^2)),('계산 과정'!$L$23-'계산 과정'!$C$49*D121-'계산 과정'!$D$49*E121)/F121,""),"")</x:f>
        <x:v>0.6733627685781234</x:v>
      </x:c>
      <x:c r="H121" s="4" t="n">
        <x:f>IF(AND(ISNUMBER(G121),G121&gt;0),('계산 과정'!$D$56+'계산 과정'!$D$57*D121+'계산 과정'!$D$58*E121)/F121,"")</x:f>
        <x:v>37.685799575780166</x:v>
      </x:c>
      <x:c r="I121" s="4" t="n">
        <x:f>IF(AND(ISNUMBER(G121),G121&gt;0),('계산 과정'!$E$56+'계산 과정'!$E$57*D121+'계산 과정'!$E$58*E121)/F121,"")</x:f>
        <x:v>-26.696833805051902</x:v>
      </x:c>
      <x:c r="J121" s="4" t="n">
        <x:f>IF('계산 과정'!$L$5,'계산 과정'!$D$6+'계산 과정'!$C$35*D121+'계산 과정'!$D$35*E121,"")</x:f>
        <x:v>627.4790019932126</x:v>
      </x:c>
      <x:c r="K121" s="4" t="n">
        <x:f>IF(AND('계산 과정'!$L$6,J121&gt;0),'계산 과정'!$D$10*('계산 과정'!$C$38*(D121-'계산 과정'!$C$32)+'계산 과정'!$D$38*(E121-'계산 과정'!$D$32)-'계산 과정'!$E$38*'계산 과정'!$E$32)/J121,"")</x:f>
        <x:v>0.2871299015297544</x:v>
      </x:c>
      <x:c r="L121" s="4" t="n">
        <x:f>IF(AND('계산 과정'!$L$6,J121&gt;0),'계산 과정'!$D$10*('계산 과정'!$C$39*(D121-'계산 과정'!$C$32)+'계산 과정'!$D$39*(E121-'계산 과정'!$D$32)-'계산 과정'!$E$39*'계산 과정'!$E$32)/J121,"")</x:f>
        <x:v>-0.2034044480384907</x:v>
      </x:c>
      <x:c r="M121" s="17" t="n">
        <x:f>IF('계산 과정'!$L$6,IF(J121&lt;=0,0,IF(AND(ABS(K121)&lt;='계산 과정'!$D$11/2,ABS(L121)&lt;='계산 과정'!$D$12/2),1,0)),"")</x:f>
        <x:v>1</x:v>
      </x:c>
      <x:c r="N121" s="17" t="n">
        <x:f>IF('계산 과정'!$C$78,IF(AND(ISNUMBER(H121),ISNUMBER(I121),ABS(H121-'계산 과정'!$C$88)&lt;='계산 과정'!$D$23/2,ABS(I121-'계산 과정'!$C$89)&lt;='계산 과정'!$D$24/2),1,0),"")</x:f>
        <x:v>1</x:v>
      </x:c>
      <x:c r="O121" s="4" t="n">
        <x:f>IF('계산 과정'!$L$7,'계산 과정'!$C$49*('계산 과정'!$C$32-D121)+'계산 과정'!$D$49*('계산 과정'!$D$32-E121)+'계산 과정'!$E$49*'계산 과정'!$E$32,"")</x:f>
        <x:v>22.52099800678758</x:v>
      </x:c>
      <x:c r="P121" s="4" t="n">
        <x:f>IF(AND('계산 과정'!$L$7,O121&lt;&gt;0),('계산 과정'!$L$23-'계산 과정'!$C$49*D121-'계산 과정'!$D$49*E121)/O121,"")</x:f>
        <x:v>18.761202229112772</x:v>
      </x:c>
      <x:c r="Q121" s="4" t="str">
        <x:f>IF(AND(ISNUMBER(P121),P121&gt;1E-9,P121&lt;1-1E-9),'계산 과정'!$C$47*(D121-'계산 과정'!$C$50+P121*('계산 과정'!$C$32-D121))+'계산 과정'!$D$47*(E121-'계산 과정'!$D$50+P121*('계산 과정'!$D$32-E121))+'계산 과정'!$E$47*(0-'계산 과정'!$E$50+P121*('계산 과정'!$E$32-0)),"")</x:f>
      </x:c>
      <x:c r="R121" s="4" t="str">
        <x:f>IF(AND(ISNUMBER(P121),P121&gt;1E-9,P121&lt;1-1E-9),'계산 과정'!$C$48*(D121-'계산 과정'!$C$50+P121*('계산 과정'!$C$32-D121))+'계산 과정'!$D$48*(E121-'계산 과정'!$D$50+P121*('계산 과정'!$D$32-E121))+'계산 과정'!$E$48*(0-'계산 과정'!$E$50+P121*('계산 과정'!$E$32-0)),"")</x:f>
      </x:c>
      <x:c r="S121" s="17" t="n">
        <x:f>IF('계산 과정'!$C$78,IF(AND(ISNUMBER(Q121),ISNUMBER(R121),ABS(Q121-'계산 과정'!$C$88)&lt;='계산 과정'!$D$23/2,ABS(R121-'계산 과정'!$C$89)&lt;='계산 과정'!$D$24/2),1,0),"")</x:f>
        <x:v>0</x:v>
      </x:c>
      <x:c r="T121" s="4"/>
      <x:c r="U121" s="4"/>
      <x:c r="V121" s="4"/>
      <x:c r="W121" s="4" t="n">
        <x:f>IF('계산 과정'!$C$77,('계산 과정'!$D$56+'계산 과정'!$D$57*('계산 과정'!$L$11*COS(115*2*PI()/240))+'계산 과정'!$D$58*('계산 과정'!$L$11*SIN(115*2*PI()/240)))/('계산 과정'!$D$59+'계산 과정'!$D$60*('계산 과정'!$L$11*COS(115*2*PI()/240))+'계산 과정'!$D$61*('계산 과정'!$L$11*SIN(115*2*PI()/240))),"")</x:f>
        <x:v>-146.2163536995695</x:v>
      </x:c>
      <x:c r="X121" s="4" t="n">
        <x:f>IF('계산 과정'!$C$77,('계산 과정'!$E$56+'계산 과정'!$E$57*('계산 과정'!$L$11*COS(115*2*PI()/240))+'계산 과정'!$E$58*('계산 과정'!$L$11*SIN(115*2*PI()/240)))/('계산 과정'!$E$59+'계산 과정'!$E$60*('계산 과정'!$L$11*COS(115*2*PI()/240))+'계산 과정'!$E$61*('계산 과정'!$L$11*SIN(115*2*PI()/240))),"")</x:f>
        <x:v>27.223254909772873</x:v>
      </x:c>
      <x:c r="Y121" s="4" t="str">
        <x:f>""</x:f>
      </x:c>
      <x:c r="Z121" s="4" t="str">
        <x:f>""</x:f>
      </x:c>
    </x:row>
    <x:row r="122" ht="23" customHeight="1">
      <x:c r="A122" s="17" t="n">
        <x:f>ROW()-6</x:f>
        <x:v>116</x:v>
      </x:c>
      <x:c r="B122" s="4" t="n">
        <x:f>IF('계산 과정'!$L$5,'계산 과정'!$L$11*SQRT((A122+0.5)/'계산 과정'!$L$30),"")</x:f>
        <x:v>35.77579106829784</x:v>
      </x:c>
      <x:c r="C122" s="4" t="n">
        <x:f>A122*PI()*(3-SQRT(5))</x:f>
        <x:v>278.3957346485237</x:v>
      </x:c>
      <x:c r="D122" s="4" t="n">
        <x:f>IF('계산 과정'!$L$5,B122*COS(C122),"")</x:f>
        <x:v>-12.762951507934762</x:v>
      </x:c>
      <x:c r="E122" s="4" t="n">
        <x:f>IF('계산 과정'!$L$5,B122*SIN(C122),"")</x:f>
        <x:v>33.42176379798956</x:v>
      </x:c>
      <x:c r="F122" s="4" t="n">
        <x:f>IF('계산 과정'!$L$7,'계산 과정'!$L$22+'계산 과정'!$C$49*D122+'계산 과정'!$D$49*E122,"")</x:f>
        <x:v>659.0247695592158</x:v>
      </x:c>
      <x:c r="G122" s="4" t="n">
        <x:f>IF('계산 과정'!$L$7,IF(ABS(F122)&gt;=1E-12*MAX(1,SQRT((D122-'계산 과정'!$C$33)^2+(E122-'계산 과정'!$D$33)^2+'계산 과정'!$E$33^2)),('계산 과정'!$L$23-'계산 과정'!$C$49*D122-'계산 과정'!$D$49*E122)/F122,""),"")</x:f>
        <x:v>0.593263331668528</x:v>
      </x:c>
      <x:c r="H122" s="4" t="n">
        <x:f>IF(AND(ISNUMBER(G122),G122&gt;0),('계산 과정'!$D$56+'계산 과정'!$D$57*D122+'계산 과정'!$D$58*E122)/F122,"")</x:f>
        <x:v>-14.378834415456904</x:v>
      </x:c>
      <x:c r="I122" s="4" t="n">
        <x:f>IF(AND(ISNUMBER(G122),G122&gt;0),('계산 과정'!$E$56+'계산 과정'!$E$57*D122+'계산 과정'!$E$58*E122)/F122,"")</x:f>
        <x:v>53.24967073902345</x:v>
      </x:c>
      <x:c r="J122" s="4" t="n">
        <x:f>IF('계산 과정'!$L$5,'계산 과정'!$D$6+'계산 과정'!$C$35*D122+'계산 과정'!$D$35*E122,"")</x:f>
        <x:v>659.0247695592158</x:v>
      </x:c>
      <x:c r="K122" s="4" t="n">
        <x:f>IF(AND('계산 과정'!$L$6,J122&gt;0),'계산 과정'!$D$10*('계산 과정'!$C$38*(D122-'계산 과정'!$C$32)+'계산 과정'!$D$38*(E122-'계산 과정'!$D$32)-'계산 과정'!$E$38*'계산 과정'!$E$32)/J122,"")</x:f>
        <x:v>-0.10955302411776563</x:v>
      </x:c>
      <x:c r="L122" s="4" t="n">
        <x:f>IF(AND('계산 과정'!$L$6,J122&gt;0),'계산 과정'!$D$10*('계산 과정'!$C$39*(D122-'계산 과정'!$C$32)+'계산 과정'!$D$39*(E122-'계산 과정'!$D$32)-'계산 과정'!$E$39*'계산 과정'!$E$32)/J122,"")</x:f>
        <x:v>0.40571177705922623</x:v>
      </x:c>
      <x:c r="M122" s="17" t="n">
        <x:f>IF('계산 과정'!$L$6,IF(J122&lt;=0,0,IF(AND(ABS(K122)&lt;='계산 과정'!$D$11/2,ABS(L122)&lt;='계산 과정'!$D$12/2),1,0)),"")</x:f>
        <x:v>1</x:v>
      </x:c>
      <x:c r="N122" s="17" t="n">
        <x:f>IF('계산 과정'!$C$78,IF(AND(ISNUMBER(H122),ISNUMBER(I122),ABS(H122-'계산 과정'!$C$88)&lt;='계산 과정'!$D$23/2,ABS(I122-'계산 과정'!$C$89)&lt;='계산 과정'!$D$24/2),1,0),"")</x:f>
        <x:v>1</x:v>
      </x:c>
      <x:c r="O122" s="4" t="n">
        <x:f>IF('계산 과정'!$L$7,'계산 과정'!$C$49*('계산 과정'!$C$32-D122)+'계산 과정'!$D$49*('계산 과정'!$D$32-E122)+'계산 과정'!$E$49*'계산 과정'!$E$32,"")</x:f>
        <x:v>-9.0247695592156</x:v>
      </x:c>
      <x:c r="P122" s="4" t="n">
        <x:f>IF(AND('계산 과정'!$L$7,O122&lt;&gt;0),('계산 과정'!$L$23-'계산 과정'!$C$49*D122-'계산 과정'!$D$49*E122)/O122,"")</x:f>
        <x:v>-43.322461352106416</x:v>
      </x:c>
      <x:c r="Q122" s="4" t="str">
        <x:f>IF(AND(ISNUMBER(P122),P122&gt;1E-9,P122&lt;1-1E-9),'계산 과정'!$C$47*(D122-'계산 과정'!$C$50+P122*('계산 과정'!$C$32-D122))+'계산 과정'!$D$47*(E122-'계산 과정'!$D$50+P122*('계산 과정'!$D$32-E122))+'계산 과정'!$E$47*(0-'계산 과정'!$E$50+P122*('계산 과정'!$E$32-0)),"")</x:f>
      </x:c>
      <x:c r="R122" s="4" t="str">
        <x:f>IF(AND(ISNUMBER(P122),P122&gt;1E-9,P122&lt;1-1E-9),'계산 과정'!$C$48*(D122-'계산 과정'!$C$50+P122*('계산 과정'!$C$32-D122))+'계산 과정'!$D$48*(E122-'계산 과정'!$D$50+P122*('계산 과정'!$D$32-E122))+'계산 과정'!$E$48*(0-'계산 과정'!$E$50+P122*('계산 과정'!$E$32-0)),"")</x:f>
      </x:c>
      <x:c r="S122" s="17" t="n">
        <x:f>IF('계산 과정'!$C$78,IF(AND(ISNUMBER(Q122),ISNUMBER(R122),ABS(Q122-'계산 과정'!$C$88)&lt;='계산 과정'!$D$23/2,ABS(R122-'계산 과정'!$C$89)&lt;='계산 과정'!$D$24/2),1,0),"")</x:f>
        <x:v>0</x:v>
      </x:c>
      <x:c r="T122" s="4"/>
      <x:c r="U122" s="4"/>
      <x:c r="V122" s="4"/>
      <x:c r="W122" s="4" t="n">
        <x:f>IF('계산 과정'!$C$77,('계산 과정'!$D$56+'계산 과정'!$D$57*('계산 과정'!$L$11*COS(116*2*PI()/240))+'계산 과정'!$D$58*('계산 과정'!$L$11*SIN(116*2*PI()/240)))/('계산 과정'!$D$59+'계산 과정'!$D$60*('계산 과정'!$L$11*COS(116*2*PI()/240))+'계산 과정'!$D$61*('계산 과정'!$L$11*SIN(116*2*PI()/240))),"")</x:f>
        <x:v>-146.60678731445208</x:v>
      </x:c>
      <x:c r="X122" s="4" t="n">
        <x:f>IF('계산 과정'!$C$77,('계산 과정'!$E$56+'계산 과정'!$E$57*('계산 과정'!$L$11*COS(116*2*PI()/240))+'계산 과정'!$E$58*('계산 과정'!$L$11*SIN(116*2*PI()/240)))/('계산 과정'!$E$59+'계산 과정'!$E$60*('계산 과정'!$L$11*COS(116*2*PI()/240))+'계산 과정'!$E$61*('계산 과정'!$L$11*SIN(116*2*PI()/240))),"")</x:f>
        <x:v>21.791608672718905</x:v>
      </x:c>
      <x:c r="Y122" s="4" t="str">
        <x:f>""</x:f>
      </x:c>
      <x:c r="Z122" s="4" t="str">
        <x:f>""</x:f>
      </x:c>
    </x:row>
    <x:row r="123" ht="23" customHeight="1">
      <x:c r="A123" s="17" t="n">
        <x:f>ROW()-6</x:f>
        <x:v>117</x:v>
      </x:c>
      <x:c r="B123" s="4" t="n">
        <x:f>IF('계산 과정'!$L$5,'계산 과정'!$L$11*SQRT((A123+0.5)/'계산 과정'!$L$30),"")</x:f>
        <x:v>35.92900714864662</x:v>
      </x:c>
      <x:c r="C123" s="4" t="n">
        <x:f>A123*PI()*(3-SQRT(5))</x:f>
        <x:v>280.7956978782524</x:v>
      </x:c>
      <x:c r="D123" s="4" t="n">
        <x:f>IF('계산 과정'!$L$5,B123*COS(C123),"")</x:f>
        <x:v>-13.221455558742141</x:v>
      </x:c>
      <x:c r="E123" s="4" t="n">
        <x:f>IF('계산 과정'!$L$5,B123*SIN(C123),"")</x:f>
        <x:v>-33.40788331510553</x:v>
      </x:c>
      <x:c r="F123" s="4" t="n">
        <x:f>IF('계산 과정'!$L$7,'계산 과정'!$L$22+'계산 과정'!$C$49*D123+'계산 과정'!$D$49*E123,"")</x:f>
        <x:v>659.3489808827431</x:v>
      </x:c>
      <x:c r="G123" s="4" t="n">
        <x:f>IF('계산 과정'!$L$7,IF(ABS(F123)&gt;=1E-12*MAX(1,SQRT((D123-'계산 과정'!$C$33)^2+(E123-'계산 과정'!$D$33)^2+'계산 과정'!$E$33^2)),('계산 과정'!$L$23-'계산 과정'!$C$49*D123-'계산 과정'!$D$49*E123)/F123,""),"")</x:f>
        <x:v>0.5924799013024169</x:v>
      </x:c>
      <x:c r="H123" s="4" t="n">
        <x:f>IF(AND(ISNUMBER(G123),G123&gt;0),('계산 과정'!$D$56+'계산 과정'!$D$57*D123+'계산 과정'!$D$58*E123)/F123,"")</x:f>
        <x:v>-14.888064153429097</x:v>
      </x:c>
      <x:c r="I123" s="4" t="n">
        <x:f>IF(AND(ISNUMBER(G123),G123&gt;0),('계산 과정'!$E$56+'계산 과정'!$E$57*D123+'계산 과정'!$E$58*E123)/F123,"")</x:f>
        <x:v>-53.20138272436192</x:v>
      </x:c>
      <x:c r="J123" s="4" t="n">
        <x:f>IF('계산 과정'!$L$5,'계산 과정'!$D$6+'계산 과정'!$C$35*D123+'계산 과정'!$D$35*E123,"")</x:f>
        <x:v>659.3489808827431</x:v>
      </x:c>
      <x:c r="K123" s="4" t="n">
        <x:f>IF(AND('계산 과정'!$L$6,J123&gt;0),'계산 과정'!$D$10*('계산 과정'!$C$38*(D123-'계산 과정'!$C$32)+'계산 과정'!$D$38*(E123-'계산 과정'!$D$32)-'계산 과정'!$E$38*'계산 과정'!$E$32)/J123,"")</x:f>
        <x:v>-0.11343286974041138</x:v>
      </x:c>
      <x:c r="L123" s="4" t="n">
        <x:f>IF(AND('계산 과정'!$L$6,J123&gt;0),'계산 과정'!$D$10*('계산 과정'!$C$39*(D123-'계산 과정'!$C$32)+'계산 과정'!$D$39*(E123-'계산 과정'!$D$32)-'계산 과정'!$E$39*'계산 과정'!$E$32)/J123,"")</x:f>
        <x:v>-0.40534386837609077</x:v>
      </x:c>
      <x:c r="M123" s="17" t="n">
        <x:f>IF('계산 과정'!$L$6,IF(J123&lt;=0,0,IF(AND(ABS(K123)&lt;='계산 과정'!$D$11/2,ABS(L123)&lt;='계산 과정'!$D$12/2),1,0)),"")</x:f>
        <x:v>1</x:v>
      </x:c>
      <x:c r="N123" s="17" t="n">
        <x:f>IF('계산 과정'!$C$78,IF(AND(ISNUMBER(H123),ISNUMBER(I123),ABS(H123-'계산 과정'!$C$88)&lt;='계산 과정'!$D$23/2,ABS(I123-'계산 과정'!$C$89)&lt;='계산 과정'!$D$24/2),1,0),"")</x:f>
        <x:v>1</x:v>
      </x:c>
      <x:c r="O123" s="4" t="n">
        <x:f>IF('계산 과정'!$L$7,'계산 과정'!$C$49*('계산 과정'!$C$32-D123)+'계산 과정'!$D$49*('계산 과정'!$D$32-E123)+'계산 과정'!$E$49*'계산 과정'!$E$32,"")</x:f>
        <x:v>-9.348980882743035</x:v>
      </x:c>
      <x:c r="P123" s="4" t="n">
        <x:f>IF(AND('계산 과정'!$L$7,O123&lt;&gt;0),('계산 과정'!$L$23-'계산 과정'!$C$49*D123-'계산 과정'!$D$49*E123)/O123,"")</x:f>
        <x:v>-41.78541212319155</x:v>
      </x:c>
      <x:c r="Q123" s="4" t="str">
        <x:f>IF(AND(ISNUMBER(P123),P123&gt;1E-9,P123&lt;1-1E-9),'계산 과정'!$C$47*(D123-'계산 과정'!$C$50+P123*('계산 과정'!$C$32-D123))+'계산 과정'!$D$47*(E123-'계산 과정'!$D$50+P123*('계산 과정'!$D$32-E123))+'계산 과정'!$E$47*(0-'계산 과정'!$E$50+P123*('계산 과정'!$E$32-0)),"")</x:f>
      </x:c>
      <x:c r="R123" s="4" t="str">
        <x:f>IF(AND(ISNUMBER(P123),P123&gt;1E-9,P123&lt;1-1E-9),'계산 과정'!$C$48*(D123-'계산 과정'!$C$50+P123*('계산 과정'!$C$32-D123))+'계산 과정'!$D$48*(E123-'계산 과정'!$D$50+P123*('계산 과정'!$D$32-E123))+'계산 과정'!$E$48*(0-'계산 과정'!$E$50+P123*('계산 과정'!$E$32-0)),"")</x:f>
      </x:c>
      <x:c r="S123" s="17" t="n">
        <x:f>IF('계산 과정'!$C$78,IF(AND(ISNUMBER(Q123),ISNUMBER(R123),ABS(Q123-'계산 과정'!$C$88)&lt;='계산 과정'!$D$23/2,ABS(R123-'계산 과정'!$C$89)&lt;='계산 과정'!$D$24/2),1,0),"")</x:f>
        <x:v>0</x:v>
      </x:c>
      <x:c r="T123" s="4"/>
      <x:c r="U123" s="4"/>
      <x:c r="V123" s="4"/>
      <x:c r="W123" s="4" t="n">
        <x:f>IF('계산 과정'!$C$77,('계산 과정'!$D$56+'계산 과정'!$D$57*('계산 과정'!$L$11*COS(117*2*PI()/240))+'계산 과정'!$D$58*('계산 과정'!$L$11*SIN(117*2*PI()/240)))/('계산 과정'!$D$59+'계산 과정'!$D$60*('계산 과정'!$L$11*COS(117*2*PI()/240))+'계산 과정'!$D$61*('계산 과정'!$L$11*SIN(117*2*PI()/240))),"")</x:f>
        <x:v>-146.91050230038715</x:v>
      </x:c>
      <x:c r="X123" s="4" t="n">
        <x:f>IF('계산 과정'!$C$77,('계산 과정'!$E$56+'계산 과정'!$E$57*('계산 과정'!$L$11*COS(117*2*PI()/240))+'계산 과정'!$E$58*('계산 과정'!$L$11*SIN(117*2*PI()/240)))/('계산 과정'!$E$59+'계산 과정'!$E$60*('계산 과정'!$L$11*COS(117*2*PI()/240))+'계산 과정'!$E$61*('계산 과정'!$L$11*SIN(117*2*PI()/240))),"")</x:f>
        <x:v>16.351288927113565</x:v>
      </x:c>
      <x:c r="Y123" s="4" t="str">
        <x:f>""</x:f>
      </x:c>
      <x:c r="Z123" s="4" t="str">
        <x:f>""</x:f>
      </x:c>
    </x:row>
    <x:row r="124" ht="23" customHeight="1">
      <x:c r="A124" s="17" t="n">
        <x:f>ROW()-6</x:f>
        <x:v>118</x:v>
      </x:c>
      <x:c r="B124" s="4" t="n">
        <x:f>IF('계산 과정'!$L$5,'계산 과정'!$L$11*SQRT((A124+0.5)/'계산 과정'!$L$30),"")</x:f>
        <x:v>36.0815726211109</x:v>
      </x:c>
      <x:c r="C124" s="4" t="n">
        <x:f>A124*PI()*(3-SQRT(5))</x:f>
        <x:v>283.19566110798104</x:v>
      </x:c>
      <x:c r="D124" s="4" t="n">
        <x:f>IF('계산 과정'!$L$5,B124*COS(C124),"")</x:f>
        <x:v>32.453013441884444</x:v>
      </x:c>
      <x:c r="E124" s="4" t="n">
        <x:f>IF('계산 과정'!$L$5,B124*SIN(C124),"")</x:f>
        <x:v>15.769648104931425</x:v>
      </x:c>
      <x:c r="F124" s="4" t="n">
        <x:f>IF('계산 과정'!$L$7,'계산 과정'!$L$22+'계산 과정'!$C$49*D124+'계산 과정'!$D$49*E124,"")</x:f>
        <x:v>627.0522541253054</x:v>
      </x:c>
      <x:c r="G124" s="4" t="n">
        <x:f>IF('계산 과정'!$L$7,IF(ABS(F124)&gt;=1E-12*MAX(1,SQRT((D124-'계산 과정'!$C$33)^2+(E124-'계산 과정'!$D$33)^2+'계산 과정'!$E$33^2)),('계산 과정'!$L$23-'계산 과정'!$C$49*D124-'계산 과정'!$D$49*E124)/F124,""),"")</x:f>
        <x:v>0.6745015955084598</x:v>
      </x:c>
      <x:c r="H124" s="4" t="n">
        <x:f>IF(AND(ISNUMBER(G124),G124&gt;0),('계산 과정'!$D$56+'계산 과정'!$D$57*D124+'계산 과정'!$D$58*E124)/F124,"")</x:f>
        <x:v>38.426037080498794</x:v>
      </x:c>
      <x:c r="I124" s="4" t="n">
        <x:f>IF(AND(ISNUMBER(G124),G124&gt;0),('계산 과정'!$E$56+'계산 과정'!$E$57*D124+'계산 과정'!$E$58*E124)/F124,"")</x:f>
        <x:v>26.406300912314634</x:v>
      </x:c>
      <x:c r="J124" s="4" t="n">
        <x:f>IF('계산 과정'!$L$5,'계산 과정'!$D$6+'계산 과정'!$C$35*D124+'계산 과정'!$D$35*E124,"")</x:f>
        <x:v>627.0522541253054</x:v>
      </x:c>
      <x:c r="K124" s="4" t="n">
        <x:f>IF(AND('계산 과정'!$L$6,J124&gt;0),'계산 과정'!$D$10*('계산 과정'!$C$38*(D124-'계산 과정'!$C$32)+'계산 과정'!$D$38*(E124-'계산 과정'!$D$32)-'계산 과정'!$E$38*'계산 과정'!$E$32)/J124,"")</x:f>
        <x:v>0.2927698063276104</x:v>
      </x:c>
      <x:c r="L124" s="4" t="n">
        <x:f>IF(AND('계산 과정'!$L$6,J124&gt;0),'계산 과정'!$D$10*('계산 과정'!$C$39*(D124-'계산 과정'!$C$32)+'계산 과정'!$D$39*(E124-'계산 과정'!$D$32)-'계산 과정'!$E$39*'계산 과정'!$E$32)/J124,"")</x:f>
        <x:v>0.20119086409382575</x:v>
      </x:c>
      <x:c r="M124" s="17" t="n">
        <x:f>IF('계산 과정'!$L$6,IF(J124&lt;=0,0,IF(AND(ABS(K124)&lt;='계산 과정'!$D$11/2,ABS(L124)&lt;='계산 과정'!$D$12/2),1,0)),"")</x:f>
        <x:v>1</x:v>
      </x:c>
      <x:c r="N124" s="17" t="n">
        <x:f>IF('계산 과정'!$C$78,IF(AND(ISNUMBER(H124),ISNUMBER(I124),ABS(H124-'계산 과정'!$C$88)&lt;='계산 과정'!$D$23/2,ABS(I124-'계산 과정'!$C$89)&lt;='계산 과정'!$D$24/2),1,0),"")</x:f>
        <x:v>1</x:v>
      </x:c>
      <x:c r="O124" s="4" t="n">
        <x:f>IF('계산 과정'!$L$7,'계산 과정'!$C$49*('계산 과정'!$C$32-D124)+'계산 과정'!$D$49*('계산 과정'!$D$32-E124)+'계산 과정'!$E$49*'계산 과정'!$E$32,"")</x:f>
        <x:v>22.94774587469476</x:v>
      </x:c>
      <x:c r="P124" s="4" t="n">
        <x:f>IF(AND('계산 과정'!$L$7,O124&lt;&gt;0),('계산 과정'!$L$23-'계산 과정'!$C$49*D124-'계산 과정'!$D$49*E124)/O124,"")</x:f>
        <x:v>18.43090594536752</x:v>
      </x:c>
      <x:c r="Q124" s="4" t="str">
        <x:f>IF(AND(ISNUMBER(P124),P124&gt;1E-9,P124&lt;1-1E-9),'계산 과정'!$C$47*(D124-'계산 과정'!$C$50+P124*('계산 과정'!$C$32-D124))+'계산 과정'!$D$47*(E124-'계산 과정'!$D$50+P124*('계산 과정'!$D$32-E124))+'계산 과정'!$E$47*(0-'계산 과정'!$E$50+P124*('계산 과정'!$E$32-0)),"")</x:f>
      </x:c>
      <x:c r="R124" s="4" t="str">
        <x:f>IF(AND(ISNUMBER(P124),P124&gt;1E-9,P124&lt;1-1E-9),'계산 과정'!$C$48*(D124-'계산 과정'!$C$50+P124*('계산 과정'!$C$32-D124))+'계산 과정'!$D$48*(E124-'계산 과정'!$D$50+P124*('계산 과정'!$D$32-E124))+'계산 과정'!$E$48*(0-'계산 과정'!$E$50+P124*('계산 과정'!$E$32-0)),"")</x:f>
      </x:c>
      <x:c r="S124" s="17" t="n">
        <x:f>IF('계산 과정'!$C$78,IF(AND(ISNUMBER(Q124),ISNUMBER(R124),ABS(Q124-'계산 과정'!$C$88)&lt;='계산 과정'!$D$23/2,ABS(R124-'계산 과정'!$C$89)&lt;='계산 과정'!$D$24/2),1,0),"")</x:f>
        <x:v>0</x:v>
      </x:c>
      <x:c r="T124" s="4"/>
      <x:c r="U124" s="4"/>
      <x:c r="V124" s="4"/>
      <x:c r="W124" s="4" t="n">
        <x:f>IF('계산 과정'!$C$77,('계산 과정'!$D$56+'계산 과정'!$D$57*('계산 과정'!$L$11*COS(118*2*PI()/240))+'계산 과정'!$D$58*('계산 과정'!$L$11*SIN(118*2*PI()/240)))/('계산 과정'!$D$59+'계산 과정'!$D$60*('계산 과정'!$L$11*COS(118*2*PI()/240))+'계산 과정'!$D$61*('계산 과정'!$L$11*SIN(118*2*PI()/240))),"")</x:f>
        <x:v>-147.1274652573238</x:v>
      </x:c>
      <x:c r="X124" s="4" t="n">
        <x:f>IF('계산 과정'!$C$77,('계산 과정'!$E$56+'계산 과정'!$E$57*('계산 과정'!$L$11*COS(118*2*PI()/240))+'계산 과정'!$E$58*('계산 과정'!$L$11*SIN(118*2*PI()/240)))/('계산 과정'!$E$59+'계산 과정'!$E$60*('계산 과정'!$L$11*COS(118*2*PI()/240))+'계산 과정'!$E$61*('계산 과정'!$L$11*SIN(118*2*PI()/240))),"")</x:f>
        <x:v>10.904468647211186</x:v>
      </x:c>
      <x:c r="Y124" s="4" t="str">
        <x:f>""</x:f>
      </x:c>
      <x:c r="Z124" s="4" t="str">
        <x:f>""</x:f>
      </x:c>
    </x:row>
    <x:row r="125" ht="23" customHeight="1">
      <x:c r="A125" s="17" t="n">
        <x:f>ROW()-6</x:f>
        <x:v>119</x:v>
      </x:c>
      <x:c r="B125" s="4" t="n">
        <x:f>IF('계산 과정'!$L$5,'계산 과정'!$L$11*SQRT((A125+0.5)/'계산 과정'!$L$30),"")</x:f>
        <x:v>36.23349570407884</x:v>
      </x:c>
      <x:c r="C125" s="4" t="n">
        <x:f>A125*PI()*(3-SQRT(5))</x:f>
        <x:v>285.5956243377097</x:v>
      </x:c>
      <x:c r="D125" s="4" t="n">
        <x:f>IF('계산 과정'!$L$5,B125*COS(C125),"")</x:f>
        <x:v>-34.72769577934573</x:v>
      </x:c>
      <x:c r="E125" s="4" t="n">
        <x:f>IF('계산 과정'!$L$5,B125*SIN(C125),"")</x:f>
        <x:v>10.336989735639316</x:v>
      </x:c>
      <x:c r="F125" s="4" t="n">
        <x:f>IF('계산 과정'!$L$7,'계산 과정'!$L$22+'계산 과정'!$C$49*D125+'계산 과정'!$D$49*E125,"")</x:f>
        <x:v>674.5561891805588</x:v>
      </x:c>
      <x:c r="G125" s="4" t="n">
        <x:f>IF('계산 과정'!$L$7,IF(ABS(F125)&gt;=1E-12*MAX(1,SQRT((D125-'계산 과정'!$C$33)^2+(E125-'계산 과정'!$D$33)^2+'계산 과정'!$E$33^2)),('계산 과정'!$L$23-'계산 과정'!$C$49*D125-'계산 과정'!$D$49*E125)/F125,""),"")</x:f>
        <x:v>0.5565790023741757</x:v>
      </x:c>
      <x:c r="H125" s="4" t="n">
        <x:f>IF(AND(ISNUMBER(G125),G125&gt;0),('계산 과정'!$D$56+'계산 과정'!$D$57*D125+'계산 과정'!$D$58*E125)/F125,"")</x:f>
        <x:v>-38.22364845678588</x:v>
      </x:c>
      <x:c r="I125" s="4" t="n">
        <x:f>IF(AND(ISNUMBER(G125),G125&gt;0),('계산 과정'!$E$56+'계산 과정'!$E$57*D125+'계산 과정'!$E$58*E125)/F125,"")</x:f>
        <x:v>16.09034117025354</x:v>
      </x:c>
      <x:c r="J125" s="4" t="n">
        <x:f>IF('계산 과정'!$L$5,'계산 과정'!$D$6+'계산 과정'!$C$35*D125+'계산 과정'!$D$35*E125,"")</x:f>
        <x:v>674.5561891805588</x:v>
      </x:c>
      <x:c r="K125" s="4" t="n">
        <x:f>IF(AND('계산 과정'!$L$6,J125&gt;0),'계산 과정'!$D$10*('계산 과정'!$C$38*(D125-'계산 과정'!$C$32)+'계산 과정'!$D$38*(E125-'계산 과정'!$D$32)-'계산 과정'!$E$38*'계산 과정'!$E$32)/J125,"")</x:f>
        <x:v>-0.29122779776598684</x:v>
      </x:c>
      <x:c r="L125" s="4" t="n">
        <x:f>IF(AND('계산 과정'!$L$6,J125&gt;0),'계산 과정'!$D$10*('계산 과정'!$C$39*(D125-'계산 과정'!$C$32)+'계산 과정'!$D$39*(E125-'계산 과정'!$D$32)-'계산 과정'!$E$39*'계산 과정'!$E$32)/J125,"")</x:f>
        <x:v>0.12259307558288411</x:v>
      </x:c>
      <x:c r="M125" s="17" t="n">
        <x:f>IF('계산 과정'!$L$6,IF(J125&lt;=0,0,IF(AND(ABS(K125)&lt;='계산 과정'!$D$11/2,ABS(L125)&lt;='계산 과정'!$D$12/2),1,0)),"")</x:f>
        <x:v>1</x:v>
      </x:c>
      <x:c r="N125" s="17" t="n">
        <x:f>IF('계산 과정'!$C$78,IF(AND(ISNUMBER(H125),ISNUMBER(I125),ABS(H125-'계산 과정'!$C$88)&lt;='계산 과정'!$D$23/2,ABS(I125-'계산 과정'!$C$89)&lt;='계산 과정'!$D$24/2),1,0),"")</x:f>
        <x:v>1</x:v>
      </x:c>
      <x:c r="O125" s="4" t="n">
        <x:f>IF('계산 과정'!$L$7,'계산 과정'!$C$49*('계산 과정'!$C$32-D125)+'계산 과정'!$D$49*('계산 과정'!$D$32-E125)+'계산 과정'!$E$49*'계산 과정'!$E$32,"")</x:f>
        <x:v>-24.556189180558704</x:v>
      </x:c>
      <x:c r="P125" s="4" t="n">
        <x:f>IF(AND('계산 과정'!$L$7,O125&lt;&gt;0),('계산 과정'!$L$23-'계산 과정'!$C$49*D125-'계산 과정'!$D$49*E125)/O125,"")</x:f>
        <x:v>-15.289172438721987</x:v>
      </x:c>
      <x:c r="Q125" s="4" t="str">
        <x:f>IF(AND(ISNUMBER(P125),P125&gt;1E-9,P125&lt;1-1E-9),'계산 과정'!$C$47*(D125-'계산 과정'!$C$50+P125*('계산 과정'!$C$32-D125))+'계산 과정'!$D$47*(E125-'계산 과정'!$D$50+P125*('계산 과정'!$D$32-E125))+'계산 과정'!$E$47*(0-'계산 과정'!$E$50+P125*('계산 과정'!$E$32-0)),"")</x:f>
      </x:c>
      <x:c r="R125" s="4" t="str">
        <x:f>IF(AND(ISNUMBER(P125),P125&gt;1E-9,P125&lt;1-1E-9),'계산 과정'!$C$48*(D125-'계산 과정'!$C$50+P125*('계산 과정'!$C$32-D125))+'계산 과정'!$D$48*(E125-'계산 과정'!$D$50+P125*('계산 과정'!$D$32-E125))+'계산 과정'!$E$48*(0-'계산 과정'!$E$50+P125*('계산 과정'!$E$32-0)),"")</x:f>
      </x:c>
      <x:c r="S125" s="17" t="n">
        <x:f>IF('계산 과정'!$C$78,IF(AND(ISNUMBER(Q125),ISNUMBER(R125),ABS(Q125-'계산 과정'!$C$88)&lt;='계산 과정'!$D$23/2,ABS(R125-'계산 과정'!$C$89)&lt;='계산 과정'!$D$24/2),1,0),"")</x:f>
        <x:v>0</x:v>
      </x:c>
      <x:c r="T125" s="4"/>
      <x:c r="U125" s="4"/>
      <x:c r="V125" s="4"/>
      <x:c r="W125" s="4" t="n">
        <x:f>IF('계산 과정'!$C$77,('계산 과정'!$D$56+'계산 과정'!$D$57*('계산 과정'!$L$11*COS(119*2*PI()/240))+'계산 과정'!$D$58*('계산 과정'!$L$11*SIN(119*2*PI()/240)))/('계산 과정'!$D$59+'계산 과정'!$D$60*('계산 과정'!$L$11*COS(119*2*PI()/240))+'계산 과정'!$D$61*('계산 과정'!$L$11*SIN(119*2*PI()/240))),"")</x:f>
        <x:v>-147.2576524746818</x:v>
      </x:c>
      <x:c r="X125" s="4" t="n">
        <x:f>IF('계산 과정'!$C$77,('계산 과정'!$E$56+'계산 과정'!$E$57*('계산 과정'!$L$11*COS(119*2*PI()/240))+'계산 과정'!$E$58*('계산 과정'!$L$11*SIN(119*2*PI()/240)))/('계산 과정'!$E$59+'계산 과정'!$E$60*('계산 과정'!$L$11*COS(119*2*PI()/240))+'계산 과정'!$E$61*('계산 과정'!$L$11*SIN(119*2*PI()/240))),"")</x:f>
        <x:v>5.453316869191975</x:v>
      </x:c>
      <x:c r="Y125" s="4" t="str">
        <x:f>""</x:f>
      </x:c>
      <x:c r="Z125" s="4" t="str">
        <x:f>""</x:f>
      </x:c>
    </x:row>
    <x:row r="126" ht="23" customHeight="1">
      <x:c r="A126" s="17" t="n">
        <x:f>ROW()-6</x:f>
        <x:v>120</x:v>
      </x:c>
      <x:c r="B126" s="4" t="n">
        <x:f>IF('계산 과정'!$L$5,'계산 과정'!$L$11*SQRT((A126+0.5)/'계산 과정'!$L$30),"")</x:f>
        <x:v>36.38478444435943</x:v>
      </x:c>
      <x:c r="C126" s="4" t="n">
        <x:f>A126*PI()*(3-SQRT(5))</x:f>
        <x:v>287.99558756743835</x:v>
      </x:c>
      <x:c r="D126" s="4" t="n">
        <x:f>IF('계산 과정'!$L$5,B126*COS(C126),"")</x:f>
        <x:v>18.70235062524082</x:v>
      </x:c>
      <x:c r="E126" s="4" t="n">
        <x:f>IF('계산 과정'!$L$5,B126*SIN(C126),"")</x:f>
        <x:v>-31.210168537722677</x:v>
      </x:c>
      <x:c r="F126" s="4" t="n">
        <x:f>IF('계산 과정'!$L$7,'계산 과정'!$L$22+'계산 과정'!$C$49*D126+'계산 과정'!$D$49*E126,"")</x:f>
        <x:v>636.7754410487637</x:v>
      </x:c>
      <x:c r="G126" s="4" t="n">
        <x:f>IF('계산 과정'!$L$7,IF(ABS(F126)&gt;=1E-12*MAX(1,SQRT((D126-'계산 과정'!$C$33)^2+(E126-'계산 과정'!$D$33)^2+'계산 과정'!$E$33^2)),('계산 과정'!$L$23-'계산 과정'!$C$49*D126-'계산 과정'!$D$49*E126)/F126,""),"")</x:f>
        <x:v>0.6489329397984617</x:v>
      </x:c>
      <x:c r="H126" s="4" t="n">
        <x:f>IF(AND(ISNUMBER(G126),G126&gt;0),('계산 과정'!$D$56+'계산 과정'!$D$57*D126+'계산 과정'!$D$58*E126)/F126,"")</x:f>
        <x:v>21.80641086899994</x:v>
      </x:c>
      <x:c r="I126" s="4" t="n">
        <x:f>IF(AND(ISNUMBER(G126),G126&gt;0),('계산 과정'!$E$56+'계산 과정'!$E$57*D126+'계산 과정'!$E$58*E126)/F126,"")</x:f>
        <x:v>-51.463474958512506</x:v>
      </x:c>
      <x:c r="J126" s="4" t="n">
        <x:f>IF('계산 과정'!$L$5,'계산 과정'!$D$6+'계산 과정'!$C$35*D126+'계산 과정'!$D$35*E126,"")</x:f>
        <x:v>636.7754410487637</x:v>
      </x:c>
      <x:c r="K126" s="4" t="n">
        <x:f>IF(AND('계산 과정'!$L$6,J126&gt;0),'계산 과정'!$D$10*('계산 과정'!$C$38*(D126-'계산 과정'!$C$32)+'계산 과정'!$D$38*(E126-'계산 과정'!$D$32)-'계산 과정'!$E$38*'계산 과정'!$E$32)/J126,"")</x:f>
        <x:v>0.16614408281142892</x:v>
      </x:c>
      <x:c r="L126" s="4" t="n">
        <x:f>IF(AND('계산 과정'!$L$6,J126&gt;0),'계산 과정'!$D$10*('계산 과정'!$C$39*(D126-'계산 과정'!$C$32)+'계산 과정'!$D$39*(E126-'계산 과정'!$D$32)-'계산 과정'!$E$39*'계산 과정'!$E$32)/J126,"")</x:f>
        <x:v>-0.3921026663505715</x:v>
      </x:c>
      <x:c r="M126" s="17" t="n">
        <x:f>IF('계산 과정'!$L$6,IF(J126&lt;=0,0,IF(AND(ABS(K126)&lt;='계산 과정'!$D$11/2,ABS(L126)&lt;='계산 과정'!$D$12/2),1,0)),"")</x:f>
        <x:v>1</x:v>
      </x:c>
      <x:c r="N126" s="17" t="n">
        <x:f>IF('계산 과정'!$C$78,IF(AND(ISNUMBER(H126),ISNUMBER(I126),ABS(H126-'계산 과정'!$C$88)&lt;='계산 과정'!$D$23/2,ABS(I126-'계산 과정'!$C$89)&lt;='계산 과정'!$D$24/2),1,0),"")</x:f>
        <x:v>1</x:v>
      </x:c>
      <x:c r="O126" s="4" t="n">
        <x:f>IF('계산 과정'!$L$7,'계산 과정'!$C$49*('계산 과정'!$C$32-D126)+'계산 과정'!$D$49*('계산 과정'!$D$32-E126)+'계산 과정'!$E$49*'계산 과정'!$E$32,"")</x:f>
        <x:v>13.22455895123636</x:v>
      </x:c>
      <x:c r="P126" s="4" t="n">
        <x:f>IF(AND('계산 과정'!$L$7,O126&lt;&gt;0),('계산 과정'!$L$23-'계산 과정'!$C$49*D126-'계산 과정'!$D$49*E126)/O126,"")</x:f>
        <x:v>31.24675540976011</x:v>
      </x:c>
      <x:c r="Q126" s="4" t="str">
        <x:f>IF(AND(ISNUMBER(P126),P126&gt;1E-9,P126&lt;1-1E-9),'계산 과정'!$C$47*(D126-'계산 과정'!$C$50+P126*('계산 과정'!$C$32-D126))+'계산 과정'!$D$47*(E126-'계산 과정'!$D$50+P126*('계산 과정'!$D$32-E126))+'계산 과정'!$E$47*(0-'계산 과정'!$E$50+P126*('계산 과정'!$E$32-0)),"")</x:f>
      </x:c>
      <x:c r="R126" s="4" t="str">
        <x:f>IF(AND(ISNUMBER(P126),P126&gt;1E-9,P126&lt;1-1E-9),'계산 과정'!$C$48*(D126-'계산 과정'!$C$50+P126*('계산 과정'!$C$32-D126))+'계산 과정'!$D$48*(E126-'계산 과정'!$D$50+P126*('계산 과정'!$D$32-E126))+'계산 과정'!$E$48*(0-'계산 과정'!$E$50+P126*('계산 과정'!$E$32-0)),"")</x:f>
      </x:c>
      <x:c r="S126" s="17" t="n">
        <x:f>IF('계산 과정'!$C$78,IF(AND(ISNUMBER(Q126),ISNUMBER(R126),ABS(Q126-'계산 과정'!$C$88)&lt;='계산 과정'!$D$23/2,ABS(R126-'계산 과정'!$C$89)&lt;='계산 과정'!$D$24/2),1,0),"")</x:f>
        <x:v>0</x:v>
      </x:c>
      <x:c r="T126" s="4"/>
      <x:c r="U126" s="4"/>
      <x:c r="V126" s="4"/>
      <x:c r="W126" s="4" t="n">
        <x:f>IF('계산 과정'!$C$77,('계산 과정'!$D$56+'계산 과정'!$D$57*('계산 과정'!$L$11*COS(120*2*PI()/240))+'계산 과정'!$D$58*('계산 과정'!$L$11*SIN(120*2*PI()/240)))/('계산 과정'!$D$59+'계산 과정'!$D$60*('계산 과정'!$L$11*COS(120*2*PI()/240))+'계산 과정'!$D$61*('계산 과정'!$L$11*SIN(120*2*PI()/240))),"")</x:f>
        <x:v>-147.30104978473645</x:v>
      </x:c>
      <x:c r="X126" s="4" t="n">
        <x:f>IF('계산 과정'!$C$77,('계산 과정'!$E$56+'계산 과정'!$E$57*('계산 과정'!$L$11*COS(120*2*PI()/240))+'계산 과정'!$E$58*('계산 과정'!$L$11*SIN(120*2*PI()/240)))/('계산 과정'!$E$59+'계산 과정'!$E$60*('계산 과정'!$L$11*COS(120*2*PI()/240))+'계산 과정'!$E$61*('계산 과정'!$L$11*SIN(120*2*PI()/240))),"")</x:f>
        <x:v>1.1802175419947476e-13</x:v>
      </x:c>
      <x:c r="Y126" s="4" t="str">
        <x:f>""</x:f>
      </x:c>
      <x:c r="Z126" s="4" t="str">
        <x:f>""</x:f>
      </x:c>
    </x:row>
    <x:row r="127" ht="23" customHeight="1">
      <x:c r="A127" s="17" t="n">
        <x:f>ROW()-6</x:f>
        <x:v>121</x:v>
      </x:c>
      <x:c r="B127" s="4" t="n">
        <x:f>IF('계산 과정'!$L$5,'계산 과정'!$L$11*SQRT((A127+0.5)/'계산 과정'!$L$30),"")</x:f>
        <x:v>36.53544672215601</x:v>
      </x:c>
      <x:c r="C127" s="4" t="n">
        <x:f>A127*PI()*(3-SQRT(5))</x:f>
        <x:v>290.395550797167</x:v>
      </x:c>
      <x:c r="D127" s="4" t="n">
        <x:f>IF('계산 과정'!$L$5,B127*COS(C127),"")</x:f>
        <x:v>7.321827864758421</x:v>
      </x:c>
      <x:c r="E127" s="4" t="n">
        <x:f>IF('계산 과정'!$L$5,B127*SIN(C127),"")</x:f>
        <x:v>35.79426914893427</x:v>
      </x:c>
      <x:c r="F127" s="4" t="n">
        <x:f>IF('계산 과정'!$L$7,'계산 과정'!$L$22+'계산 과정'!$C$49*D127+'계산 과정'!$D$49*E127,"")</x:f>
        <x:v>644.8226858661487</x:v>
      </x:c>
      <x:c r="G127" s="4" t="n">
        <x:f>IF('계산 과정'!$L$7,IF(ABS(F127)&gt;=1E-12*MAX(1,SQRT((D127-'계산 과정'!$C$33)^2+(E127-'계산 과정'!$D$33)^2+'계산 과정'!$E$33^2)),('계산 과정'!$L$23-'계산 과정'!$C$49*D127-'계산 과정'!$D$49*E127)/F127,""),"")</x:f>
        <x:v>0.6283546206033411</x:v>
      </x:c>
      <x:c r="H127" s="4" t="n">
        <x:f>IF(AND(ISNUMBER(G127),G127&gt;0),('계산 과정'!$D$56+'계산 과정'!$D$57*D127+'계산 과정'!$D$58*E127)/F127,"")</x:f>
        <x:v>8.430503392171635</x:v>
      </x:c>
      <x:c r="I127" s="4" t="n">
        <x:f>IF(AND(ISNUMBER(G127),G127&gt;0),('계산 과정'!$E$56+'계산 과정'!$E$57*D127+'계산 과정'!$E$58*E127)/F127,"")</x:f>
        <x:v>58.28576355978674</x:v>
      </x:c>
      <x:c r="J127" s="4" t="n">
        <x:f>IF('계산 과정'!$L$5,'계산 과정'!$D$6+'계산 과정'!$C$35*D127+'계산 과정'!$D$35*E127,"")</x:f>
        <x:v>644.8226858661487</x:v>
      </x:c>
      <x:c r="K127" s="4" t="n">
        <x:f>IF(AND('계산 과정'!$L$6,J127&gt;0),'계산 과정'!$D$10*('계산 과정'!$C$38*(D127-'계산 과정'!$C$32)+'계산 과정'!$D$38*(E127-'계산 과정'!$D$32)-'계산 과정'!$E$38*'계산 과정'!$E$32)/J127,"")</x:f>
        <x:v>0.06423240679749866</x:v>
      </x:c>
      <x:c r="L127" s="4" t="n">
        <x:f>IF(AND('계산 과정'!$L$6,J127&gt;0),'계산 과정'!$D$10*('계산 과정'!$C$39*(D127-'계산 과정'!$C$32)+'계산 과정'!$D$39*(E127-'계산 과정'!$D$32)-'계산 과정'!$E$39*'계산 과정'!$E$32)/J127,"")</x:f>
        <x:v>0.4440820080745656</x:v>
      </x:c>
      <x:c r="M127" s="17" t="n">
        <x:f>IF('계산 과정'!$L$6,IF(J127&lt;=0,0,IF(AND(ABS(K127)&lt;='계산 과정'!$D$11/2,ABS(L127)&lt;='계산 과정'!$D$12/2),1,0)),"")</x:f>
        <x:v>1</x:v>
      </x:c>
      <x:c r="N127" s="17" t="n">
        <x:f>IF('계산 과정'!$C$78,IF(AND(ISNUMBER(H127),ISNUMBER(I127),ABS(H127-'계산 과정'!$C$88)&lt;='계산 과정'!$D$23/2,ABS(I127-'계산 과정'!$C$89)&lt;='계산 과정'!$D$24/2),1,0),"")</x:f>
        <x:v>1</x:v>
      </x:c>
      <x:c r="O127" s="4" t="n">
        <x:f>IF('계산 과정'!$L$7,'계산 과정'!$C$49*('계산 과정'!$C$32-D127)+'계산 과정'!$D$49*('계산 과정'!$D$32-E127)+'계산 과정'!$E$49*'계산 과정'!$E$32,"")</x:f>
        <x:v>5.177314133851382</x:v>
      </x:c>
      <x:c r="P127" s="4" t="n">
        <x:f>IF(AND('계산 과정'!$L$7,O127&lt;&gt;0),('계산 과정'!$L$23-'계산 과정'!$C$49*D127-'계산 과정'!$D$49*E127)/O127,"")</x:f>
        <x:v>78.26013714034416</x:v>
      </x:c>
      <x:c r="Q127" s="4" t="str">
        <x:f>IF(AND(ISNUMBER(P127),P127&gt;1E-9,P127&lt;1-1E-9),'계산 과정'!$C$47*(D127-'계산 과정'!$C$50+P127*('계산 과정'!$C$32-D127))+'계산 과정'!$D$47*(E127-'계산 과정'!$D$50+P127*('계산 과정'!$D$32-E127))+'계산 과정'!$E$47*(0-'계산 과정'!$E$50+P127*('계산 과정'!$E$32-0)),"")</x:f>
      </x:c>
      <x:c r="R127" s="4" t="str">
        <x:f>IF(AND(ISNUMBER(P127),P127&gt;1E-9,P127&lt;1-1E-9),'계산 과정'!$C$48*(D127-'계산 과정'!$C$50+P127*('계산 과정'!$C$32-D127))+'계산 과정'!$D$48*(E127-'계산 과정'!$D$50+P127*('계산 과정'!$D$32-E127))+'계산 과정'!$E$48*(0-'계산 과정'!$E$50+P127*('계산 과정'!$E$32-0)),"")</x:f>
      </x:c>
      <x:c r="S127" s="17" t="n">
        <x:f>IF('계산 과정'!$C$78,IF(AND(ISNUMBER(Q127),ISNUMBER(R127),ABS(Q127-'계산 과정'!$C$88)&lt;='계산 과정'!$D$23/2,ABS(R127-'계산 과정'!$C$89)&lt;='계산 과정'!$D$24/2),1,0),"")</x:f>
        <x:v>0</x:v>
      </x:c>
      <x:c r="T127" s="4"/>
      <x:c r="U127" s="4"/>
      <x:c r="V127" s="4"/>
      <x:c r="W127" s="4" t="n">
        <x:f>IF('계산 과정'!$C$77,('계산 과정'!$D$56+'계산 과정'!$D$57*('계산 과정'!$L$11*COS(121*2*PI()/240))+'계산 과정'!$D$58*('계산 과정'!$L$11*SIN(121*2*PI()/240)))/('계산 과정'!$D$59+'계산 과정'!$D$60*('계산 과정'!$L$11*COS(121*2*PI()/240))+'계산 과정'!$D$61*('계산 과정'!$L$11*SIN(121*2*PI()/240))),"")</x:f>
        <x:v>-147.2576524746818</x:v>
      </x:c>
      <x:c r="X127" s="4" t="n">
        <x:f>IF('계산 과정'!$C$77,('계산 과정'!$E$56+'계산 과정'!$E$57*('계산 과정'!$L$11*COS(121*2*PI()/240))+'계산 과정'!$E$58*('계산 과정'!$L$11*SIN(121*2*PI()/240)))/('계산 과정'!$E$59+'계산 과정'!$E$60*('계산 과정'!$L$11*COS(121*2*PI()/240))+'계산 과정'!$E$61*('계산 과정'!$L$11*SIN(121*2*PI()/240))),"")</x:f>
        <x:v>-5.453316869191926</x:v>
      </x:c>
      <x:c r="Y127" s="4" t="str">
        <x:f>""</x:f>
      </x:c>
      <x:c r="Z127" s="4" t="str">
        <x:f>""</x:f>
      </x:c>
    </x:row>
    <x:row r="128" ht="23" customHeight="1">
      <x:c r="A128" s="17" t="n">
        <x:f>ROW()-6</x:f>
        <x:v>122</x:v>
      </x:c>
      <x:c r="B128" s="4" t="n">
        <x:f>IF('계산 과정'!$L$5,'계산 과정'!$L$11*SQRT((A128+0.5)/'계산 과정'!$L$30),"")</x:f>
        <x:v>36.685490255855925</x:v>
      </x:c>
      <x:c r="C128" s="4" t="n">
        <x:f>A128*PI()*(3-SQRT(5))</x:f>
        <x:v>292.79551402689566</x:v>
      </x:c>
      <x:c r="D128" s="4" t="n">
        <x:f>IF('계산 과정'!$L$5,B128*COS(C128),"")</x:f>
        <x:v>-29.69903836701229</x:v>
      </x:c>
      <x:c r="E128" s="4" t="n">
        <x:f>IF('계산 과정'!$L$5,B128*SIN(C128),"")</x:f>
        <x:v>-21.53583793092881</x:v>
      </x:c>
      <x:c r="F128" s="4" t="n">
        <x:f>IF('계산 과정'!$L$7,'계산 과정'!$L$22+'계산 과정'!$C$49*D128+'계산 과정'!$D$49*E128,"")</x:f>
        <x:v>671.0003914240339</x:v>
      </x:c>
      <x:c r="G128" s="4" t="n">
        <x:f>IF('계산 과정'!$L$7,IF(ABS(F128)&gt;=1E-12*MAX(1,SQRT((D128-'계산 과정'!$C$33)^2+(E128-'계산 과정'!$D$33)^2+'계산 과정'!$E$33^2)),('계산 과정'!$L$23-'계산 과정'!$C$49*D128-'계산 과정'!$D$49*E128)/F128,""),"")</x:f>
        <x:v>0.564827701175602</x:v>
      </x:c>
      <x:c r="H128" s="4" t="n">
        <x:f>IF(AND(ISNUMBER(G128),G128&gt;0),('계산 과정'!$D$56+'계산 과정'!$D$57*D128+'계산 과정'!$D$58*E128)/F128,"")</x:f>
        <x:v>-32.861994235858816</x:v>
      </x:c>
      <x:c r="I128" s="4" t="n">
        <x:f>IF(AND(ISNUMBER(G128),G128&gt;0),('계산 과정'!$E$56+'계산 과정'!$E$57*D128+'계산 과정'!$E$58*E128)/F128,"")</x:f>
        <x:v>-33.69987576234566</x:v>
      </x:c>
      <x:c r="J128" s="4" t="n">
        <x:f>IF('계산 과정'!$L$5,'계산 과정'!$D$6+'계산 과정'!$C$35*D128+'계산 과정'!$D$35*E128,"")</x:f>
        <x:v>671.0003914240339</x:v>
      </x:c>
      <x:c r="K128" s="4" t="n">
        <x:f>IF(AND('계산 과정'!$L$6,J128&gt;0),'계산 과정'!$D$10*('계산 과정'!$C$38*(D128-'계산 과정'!$C$32)+'계산 과정'!$D$38*(E128-'계산 과정'!$D$32)-'계산 과정'!$E$38*'계산 과정'!$E$32)/J128,"")</x:f>
        <x:v>-0.2503770989398761</x:v>
      </x:c>
      <x:c r="L128" s="4" t="n">
        <x:f>IF(AND('계산 과정'!$L$6,J128&gt;0),'계산 과정'!$D$10*('계산 과정'!$C$39*(D128-'계산 과정'!$C$32)+'계산 과정'!$D$39*(E128-'계산 과정'!$D$32)-'계산 과정'!$E$39*'계산 과정'!$E$32)/J128,"")</x:f>
        <x:v>-0.2567609581893003</x:v>
      </x:c>
      <x:c r="M128" s="17" t="n">
        <x:f>IF('계산 과정'!$L$6,IF(J128&lt;=0,0,IF(AND(ABS(K128)&lt;='계산 과정'!$D$11/2,ABS(L128)&lt;='계산 과정'!$D$12/2),1,0)),"")</x:f>
        <x:v>1</x:v>
      </x:c>
      <x:c r="N128" s="17" t="n">
        <x:f>IF('계산 과정'!$C$78,IF(AND(ISNUMBER(H128),ISNUMBER(I128),ABS(H128-'계산 과정'!$C$88)&lt;='계산 과정'!$D$23/2,ABS(I128-'계산 과정'!$C$89)&lt;='계산 과정'!$D$24/2),1,0),"")</x:f>
        <x:v>1</x:v>
      </x:c>
      <x:c r="O128" s="4" t="n">
        <x:f>IF('계산 과정'!$L$7,'계산 과정'!$C$49*('계산 과정'!$C$32-D128)+'계산 과정'!$D$49*('계산 과정'!$D$32-E128)+'계산 과정'!$E$49*'계산 과정'!$E$32,"")</x:f>
        <x:v>-21.00039142403375</x:v>
      </x:c>
      <x:c r="P128" s="4" t="n">
        <x:f>IF(AND('계산 과정'!$L$7,O128&lt;&gt;0),('계산 과정'!$L$23-'계산 과정'!$C$49*D128-'계산 과정'!$D$49*E128)/O128,"")</x:f>
        <x:v>-18.047264021099277</x:v>
      </x:c>
      <x:c r="Q128" s="4" t="str">
        <x:f>IF(AND(ISNUMBER(P128),P128&gt;1E-9,P128&lt;1-1E-9),'계산 과정'!$C$47*(D128-'계산 과정'!$C$50+P128*('계산 과정'!$C$32-D128))+'계산 과정'!$D$47*(E128-'계산 과정'!$D$50+P128*('계산 과정'!$D$32-E128))+'계산 과정'!$E$47*(0-'계산 과정'!$E$50+P128*('계산 과정'!$E$32-0)),"")</x:f>
      </x:c>
      <x:c r="R128" s="4" t="str">
        <x:f>IF(AND(ISNUMBER(P128),P128&gt;1E-9,P128&lt;1-1E-9),'계산 과정'!$C$48*(D128-'계산 과정'!$C$50+P128*('계산 과정'!$C$32-D128))+'계산 과정'!$D$48*(E128-'계산 과정'!$D$50+P128*('계산 과정'!$D$32-E128))+'계산 과정'!$E$48*(0-'계산 과정'!$E$50+P128*('계산 과정'!$E$32-0)),"")</x:f>
      </x:c>
      <x:c r="S128" s="17" t="n">
        <x:f>IF('계산 과정'!$C$78,IF(AND(ISNUMBER(Q128),ISNUMBER(R128),ABS(Q128-'계산 과정'!$C$88)&lt;='계산 과정'!$D$23/2,ABS(R128-'계산 과정'!$C$89)&lt;='계산 과정'!$D$24/2),1,0),"")</x:f>
        <x:v>0</x:v>
      </x:c>
      <x:c r="T128" s="4"/>
      <x:c r="U128" s="4"/>
      <x:c r="V128" s="4"/>
      <x:c r="W128" s="4" t="n">
        <x:f>IF('계산 과정'!$C$77,('계산 과정'!$D$56+'계산 과정'!$D$57*('계산 과정'!$L$11*COS(122*2*PI()/240))+'계산 과정'!$D$58*('계산 과정'!$L$11*SIN(122*2*PI()/240)))/('계산 과정'!$D$59+'계산 과정'!$D$60*('계산 과정'!$L$11*COS(122*2*PI()/240))+'계산 과정'!$D$61*('계산 과정'!$L$11*SIN(122*2*PI()/240))),"")</x:f>
        <x:v>-147.1274652573238</x:v>
      </x:c>
      <x:c r="X128" s="4" t="n">
        <x:f>IF('계산 과정'!$C$77,('계산 과정'!$E$56+'계산 과정'!$E$57*('계산 과정'!$L$11*COS(122*2*PI()/240))+'계산 과정'!$E$58*('계산 과정'!$L$11*SIN(122*2*PI()/240)))/('계산 과정'!$E$59+'계산 과정'!$E$60*('계산 과정'!$L$11*COS(122*2*PI()/240))+'계산 과정'!$E$61*('계산 과정'!$L$11*SIN(122*2*PI()/240))),"")</x:f>
        <x:v>-10.904468647211136</x:v>
      </x:c>
      <x:c r="Y128" s="4" t="str">
        <x:f>""</x:f>
      </x:c>
      <x:c r="Z128" s="4" t="str">
        <x:f>""</x:f>
      </x:c>
    </x:row>
    <x:row r="129" ht="23" customHeight="1">
      <x:c r="A129" s="17" t="n">
        <x:f>ROW()-6</x:f>
        <x:v>123</x:v>
      </x:c>
      <x:c r="B129" s="4" t="n">
        <x:f>IF('계산 과정'!$L$5,'계산 과정'!$L$11*SQRT((A129+0.5)/'계산 과정'!$L$30),"")</x:f>
        <x:v>36.83492260664464</x:v>
      </x:c>
      <x:c r="C129" s="4" t="n">
        <x:f>A129*PI()*(3-SQRT(5))</x:f>
        <x:v>295.1954772566243</x:v>
      </x:c>
      <x:c r="D129" s="4" t="n">
        <x:f>IF('계산 과정'!$L$5,B129*COS(C129),"")</x:f>
        <x:v>36.59485454163648</x:v>
      </x:c>
      <x:c r="E129" s="4" t="n">
        <x:f>IF('계산 과정'!$L$5,B129*SIN(C129),"")</x:f>
        <x:v>-4.1985883953976755</x:v>
      </x:c>
      <x:c r="F129" s="4" t="n">
        <x:f>IF('계산 과정'!$L$7,'계산 과정'!$L$22+'계산 과정'!$C$49*D129+'계산 과정'!$D$49*E129,"")</x:f>
        <x:v>624.1235301970735</x:v>
      </x:c>
      <x:c r="G129" s="4" t="n">
        <x:f>IF('계산 과정'!$L$7,IF(ABS(F129)&gt;=1E-12*MAX(1,SQRT((D129-'계산 과정'!$C$33)^2+(E129-'계산 과정'!$D$33)^2+'계산 과정'!$E$33^2)),('계산 과정'!$L$23-'계산 과정'!$C$49*D129-'계산 과정'!$D$49*E129)/F129,""),"")</x:f>
        <x:v>0.6823592593415787</x:v>
      </x:c>
      <x:c r="H129" s="4" t="n">
        <x:f>IF(AND(ISNUMBER(G129),G129&gt;0),('계산 과정'!$D$56+'계산 과정'!$D$57*D129+'계산 과정'!$D$58*E129)/F129,"")</x:f>
        <x:v>43.53351857202602</x:v>
      </x:c>
      <x:c r="I129" s="4" t="n">
        <x:f>IF(AND(ISNUMBER(G129),G129&gt;0),('계산 과정'!$E$56+'계산 과정'!$E$57*D129+'계산 과정'!$E$58*E129)/F129,"")</x:f>
        <x:v>-7.063534063161381</x:v>
      </x:c>
      <x:c r="J129" s="4" t="n">
        <x:f>IF('계산 과정'!$L$5,'계산 과정'!$D$6+'계산 과정'!$C$35*D129+'계산 과정'!$D$35*E129,"")</x:f>
        <x:v>624.1235301970735</x:v>
      </x:c>
      <x:c r="K129" s="4" t="n">
        <x:f>IF(AND('계산 과정'!$L$6,J129&gt;0),'계산 과정'!$D$10*('계산 과정'!$C$38*(D129-'계산 과정'!$C$32)+'계산 과정'!$D$38*(E129-'계산 과정'!$D$32)-'계산 과정'!$E$38*'계산 과정'!$E$32)/J129,"")</x:f>
        <x:v>0.33168395102496145</x:v>
      </x:c>
      <x:c r="L129" s="4" t="n">
        <x:f>IF(AND('계산 과정'!$L$6,J129&gt;0),'계산 과정'!$D$10*('계산 과정'!$C$39*(D129-'계산 과정'!$C$32)+'계산 과정'!$D$39*(E129-'계산 과정'!$D$32)-'계산 과정'!$E$39*'계산 과정'!$E$32)/J129,"")</x:f>
        <x:v>-0.053817402385991475</x:v>
      </x:c>
      <x:c r="M129" s="17" t="n">
        <x:f>IF('계산 과정'!$L$6,IF(J129&lt;=0,0,IF(AND(ABS(K129)&lt;='계산 과정'!$D$11/2,ABS(L129)&lt;='계산 과정'!$D$12/2),1,0)),"")</x:f>
        <x:v>1</x:v>
      </x:c>
      <x:c r="N129" s="17" t="n">
        <x:f>IF('계산 과정'!$C$78,IF(AND(ISNUMBER(H129),ISNUMBER(I129),ABS(H129-'계산 과정'!$C$88)&lt;='계산 과정'!$D$23/2,ABS(I129-'계산 과정'!$C$89)&lt;='계산 과정'!$D$24/2),1,0),"")</x:f>
        <x:v>1</x:v>
      </x:c>
      <x:c r="O129" s="4" t="n">
        <x:f>IF('계산 과정'!$L$7,'계산 과정'!$C$49*('계산 과정'!$C$32-D129)+'계산 과정'!$D$49*('계산 과정'!$D$32-E129)+'계산 과정'!$E$49*'계산 과정'!$E$32,"")</x:f>
        <x:v>25.87646980292658</x:v>
      </x:c>
      <x:c r="P129" s="4" t="n">
        <x:f>IF(AND('계산 과정'!$L$7,O129&lt;&gt;0),('계산 과정'!$L$23-'계산 과정'!$C$49*D129-'계산 과정'!$D$49*E129)/O129,"")</x:f>
        <x:v>16.458059118820014</x:v>
      </x:c>
      <x:c r="Q129" s="4" t="str">
        <x:f>IF(AND(ISNUMBER(P129),P129&gt;1E-9,P129&lt;1-1E-9),'계산 과정'!$C$47*(D129-'계산 과정'!$C$50+P129*('계산 과정'!$C$32-D129))+'계산 과정'!$D$47*(E129-'계산 과정'!$D$50+P129*('계산 과정'!$D$32-E129))+'계산 과정'!$E$47*(0-'계산 과정'!$E$50+P129*('계산 과정'!$E$32-0)),"")</x:f>
      </x:c>
      <x:c r="R129" s="4" t="str">
        <x:f>IF(AND(ISNUMBER(P129),P129&gt;1E-9,P129&lt;1-1E-9),'계산 과정'!$C$48*(D129-'계산 과정'!$C$50+P129*('계산 과정'!$C$32-D129))+'계산 과정'!$D$48*(E129-'계산 과정'!$D$50+P129*('계산 과정'!$D$32-E129))+'계산 과정'!$E$48*(0-'계산 과정'!$E$50+P129*('계산 과정'!$E$32-0)),"")</x:f>
      </x:c>
      <x:c r="S129" s="17" t="n">
        <x:f>IF('계산 과정'!$C$78,IF(AND(ISNUMBER(Q129),ISNUMBER(R129),ABS(Q129-'계산 과정'!$C$88)&lt;='계산 과정'!$D$23/2,ABS(R129-'계산 과정'!$C$89)&lt;='계산 과정'!$D$24/2),1,0),"")</x:f>
        <x:v>0</x:v>
      </x:c>
      <x:c r="T129" s="4"/>
      <x:c r="U129" s="4"/>
      <x:c r="V129" s="4"/>
      <x:c r="W129" s="4" t="n">
        <x:f>IF('계산 과정'!$C$77,('계산 과정'!$D$56+'계산 과정'!$D$57*('계산 과정'!$L$11*COS(123*2*PI()/240))+'계산 과정'!$D$58*('계산 과정'!$L$11*SIN(123*2*PI()/240)))/('계산 과정'!$D$59+'계산 과정'!$D$60*('계산 과정'!$L$11*COS(123*2*PI()/240))+'계산 과정'!$D$61*('계산 과정'!$L$11*SIN(123*2*PI()/240))),"")</x:f>
        <x:v>-146.91050230038715</x:v>
      </x:c>
      <x:c r="X129" s="4" t="n">
        <x:f>IF('계산 과정'!$C$77,('계산 과정'!$E$56+'계산 과정'!$E$57*('계산 과정'!$L$11*COS(123*2*PI()/240))+'계산 과정'!$E$58*('계산 과정'!$L$11*SIN(123*2*PI()/240)))/('계산 과정'!$E$59+'계산 과정'!$E$60*('계산 과정'!$L$11*COS(123*2*PI()/240))+'계산 과정'!$E$61*('계산 과정'!$L$11*SIN(123*2*PI()/240))),"")</x:f>
        <x:v>-16.351288927113515</x:v>
      </x:c>
      <x:c r="Y129" s="4" t="str">
        <x:f>""</x:f>
      </x:c>
      <x:c r="Z129" s="4" t="str">
        <x:f>""</x:f>
      </x:c>
    </x:row>
    <x:row r="130" ht="23" customHeight="1">
      <x:c r="A130" s="17" t="n">
        <x:f>ROW()-6</x:f>
        <x:v>124</x:v>
      </x:c>
      <x:c r="B130" s="4" t="n">
        <x:f>IF('계산 과정'!$L$5,'계산 과정'!$L$11*SQRT((A130+0.5)/'계산 과정'!$L$30),"")</x:f>
        <x:v>36.98375118295195</x:v>
      </x:c>
      <x:c r="C130" s="4" t="n">
        <x:f>A130*PI()*(3-SQRT(5))</x:f>
        <x:v>297.59544048635297</x:v>
      </x:c>
      <x:c r="D130" s="4" t="n">
        <x:f>IF('계산 과정'!$L$5,B130*COS(C130),"")</x:f>
        <x:v>-24.24536839674442</x:v>
      </x:c>
      <x:c r="E130" s="4" t="n">
        <x:f>IF('계산 과정'!$L$5,B130*SIN(C130),"")</x:f>
        <x:v>27.92776329870773</x:v>
      </x:c>
      <x:c r="F130" s="4" t="n">
        <x:f>IF('계산 과정'!$L$7,'계산 과정'!$L$22+'계산 과정'!$C$49*D130+'계산 과정'!$D$49*E130,"")</x:f>
        <x:v>667.144064405704</x:v>
      </x:c>
      <x:c r="G130" s="4" t="n">
        <x:f>IF('계산 과정'!$L$7,IF(ABS(F130)&gt;=1E-12*MAX(1,SQRT((D130-'계산 과정'!$C$33)^2+(E130-'계산 과정'!$D$33)^2+'계산 과정'!$E$33^2)),('계산 과정'!$L$23-'계산 과정'!$C$49*D130-'계산 과정'!$D$49*E130)/F130,""),"")</x:f>
        <x:v>0.5738729549146876</x:v>
      </x:c>
      <x:c r="H130" s="4" t="n">
        <x:f>IF(AND(ISNUMBER(G130),G130&gt;0),('계산 과정'!$D$56+'계산 과정'!$D$57*D130+'계산 과정'!$D$58*E130)/F130,"")</x:f>
        <x:v>-26.98257930545318</x:v>
      </x:c>
      <x:c r="I130" s="4" t="n">
        <x:f>IF(AND(ISNUMBER(G130),G130&gt;0),('계산 과정'!$E$56+'계산 과정'!$E$57*D130+'계산 과정'!$E$58*E130)/F130,"")</x:f>
        <x:v>43.954751347095105</x:v>
      </x:c>
      <x:c r="J130" s="4" t="n">
        <x:f>IF('계산 과정'!$L$5,'계산 과정'!$D$6+'계산 과정'!$C$35*D130+'계산 과정'!$D$35*E130,"")</x:f>
        <x:v>667.144064405704</x:v>
      </x:c>
      <x:c r="K130" s="4" t="n">
        <x:f>IF(AND('계산 과정'!$L$6,J130&gt;0),'계산 과정'!$D$10*('계산 과정'!$C$38*(D130-'계산 과정'!$C$32)+'계산 과정'!$D$38*(E130-'계산 과정'!$D$32)-'계산 과정'!$E$38*'계산 과정'!$E$32)/J130,"")</x:f>
        <x:v>-0.2055815566129758</x:v>
      </x:c>
      <x:c r="L130" s="4" t="n">
        <x:f>IF(AND('계산 과정'!$L$6,J130&gt;0),'계산 과정'!$D$10*('계산 과정'!$C$39*(D130-'계산 과정'!$C$32)+'계산 과정'!$D$39*(E130-'계산 과정'!$D$32)-'계산 과정'!$E$39*'계산 과정'!$E$32)/J130,"")</x:f>
        <x:v>0.3348933435969151</x:v>
      </x:c>
      <x:c r="M130" s="17" t="n">
        <x:f>IF('계산 과정'!$L$6,IF(J130&lt;=0,0,IF(AND(ABS(K130)&lt;='계산 과정'!$D$11/2,ABS(L130)&lt;='계산 과정'!$D$12/2),1,0)),"")</x:f>
        <x:v>1</x:v>
      </x:c>
      <x:c r="N130" s="17" t="n">
        <x:f>IF('계산 과정'!$C$78,IF(AND(ISNUMBER(H130),ISNUMBER(I130),ABS(H130-'계산 과정'!$C$88)&lt;='계산 과정'!$D$23/2,ABS(I130-'계산 과정'!$C$89)&lt;='계산 과정'!$D$24/2),1,0),"")</x:f>
        <x:v>1</x:v>
      </x:c>
      <x:c r="O130" s="4" t="n">
        <x:f>IF('계산 과정'!$L$7,'계산 과정'!$C$49*('계산 과정'!$C$32-D130)+'계산 과정'!$D$49*('계산 과정'!$D$32-E130)+'계산 과정'!$E$49*'계산 과정'!$E$32,"")</x:f>
        <x:v>-17.144064405703887</x:v>
      </x:c>
      <x:c r="P130" s="4" t="n">
        <x:f>IF(AND('계산 과정'!$L$7,O130&lt;&gt;0),('계산 과정'!$L$23-'계산 과정'!$C$49*D130-'계산 과정'!$D$49*E130)/O130,"")</x:f>
        <x:v>-22.33169023017194</x:v>
      </x:c>
      <x:c r="Q130" s="4" t="str">
        <x:f>IF(AND(ISNUMBER(P130),P130&gt;1E-9,P130&lt;1-1E-9),'계산 과정'!$C$47*(D130-'계산 과정'!$C$50+P130*('계산 과정'!$C$32-D130))+'계산 과정'!$D$47*(E130-'계산 과정'!$D$50+P130*('계산 과정'!$D$32-E130))+'계산 과정'!$E$47*(0-'계산 과정'!$E$50+P130*('계산 과정'!$E$32-0)),"")</x:f>
      </x:c>
      <x:c r="R130" s="4" t="str">
        <x:f>IF(AND(ISNUMBER(P130),P130&gt;1E-9,P130&lt;1-1E-9),'계산 과정'!$C$48*(D130-'계산 과정'!$C$50+P130*('계산 과정'!$C$32-D130))+'계산 과정'!$D$48*(E130-'계산 과정'!$D$50+P130*('계산 과정'!$D$32-E130))+'계산 과정'!$E$48*(0-'계산 과정'!$E$50+P130*('계산 과정'!$E$32-0)),"")</x:f>
      </x:c>
      <x:c r="S130" s="17" t="n">
        <x:f>IF('계산 과정'!$C$78,IF(AND(ISNUMBER(Q130),ISNUMBER(R130),ABS(Q130-'계산 과정'!$C$88)&lt;='계산 과정'!$D$23/2,ABS(R130-'계산 과정'!$C$89)&lt;='계산 과정'!$D$24/2),1,0),"")</x:f>
        <x:v>0</x:v>
      </x:c>
      <x:c r="T130" s="4"/>
      <x:c r="U130" s="4"/>
      <x:c r="V130" s="4"/>
      <x:c r="W130" s="4" t="n">
        <x:f>IF('계산 과정'!$C$77,('계산 과정'!$D$56+'계산 과정'!$D$57*('계산 과정'!$L$11*COS(124*2*PI()/240))+'계산 과정'!$D$58*('계산 과정'!$L$11*SIN(124*2*PI()/240)))/('계산 과정'!$D$59+'계산 과정'!$D$60*('계산 과정'!$L$11*COS(124*2*PI()/240))+'계산 과정'!$D$61*('계산 과정'!$L$11*SIN(124*2*PI()/240))),"")</x:f>
        <x:v>-146.60678731445208</x:v>
      </x:c>
      <x:c r="X130" s="4" t="n">
        <x:f>IF('계산 과정'!$C$77,('계산 과정'!$E$56+'계산 과정'!$E$57*('계산 과정'!$L$11*COS(124*2*PI()/240))+'계산 과정'!$E$58*('계산 과정'!$L$11*SIN(124*2*PI()/240)))/('계산 과정'!$E$59+'계산 과정'!$E$60*('계산 과정'!$L$11*COS(124*2*PI()/240))+'계산 과정'!$E$61*('계산 과정'!$L$11*SIN(124*2*PI()/240))),"")</x:f>
        <x:v>-21.79160867271886</x:v>
      </x:c>
      <x:c r="Y130" s="4" t="str">
        <x:f>""</x:f>
      </x:c>
      <x:c r="Z130" s="4" t="str">
        <x:f>""</x:f>
      </x:c>
    </x:row>
    <x:row r="131" ht="23" customHeight="1">
      <x:c r="A131" s="17" t="n">
        <x:f>ROW()-6</x:f>
        <x:v>125</x:v>
      </x:c>
      <x:c r="B131" s="4" t="n">
        <x:f>IF('계산 과정'!$L$5,'계산 과정'!$L$11*SQRT((A131+0.5)/'계산 과정'!$L$30),"")</x:f>
        <x:v>37.13198324473795</x:v>
      </x:c>
      <x:c r="C131" s="4" t="n">
        <x:f>A131*PI()*(3-SQRT(5))</x:f>
        <x:v>299.99540371608157</x:v>
      </x:c>
      <x:c r="D131" s="4" t="n">
        <x:f>IF('계산 과정'!$L$5,B131*COS(C131),"")</x:f>
        <x:v>-0.9911094961386298</x:v>
      </x:c>
      <x:c r="E131" s="4" t="n">
        <x:f>IF('계산 과정'!$L$5,B131*SIN(C131),"")</x:f>
        <x:v>-37.11875377291328</x:v>
      </x:c>
      <x:c r="F131" s="4" t="n">
        <x:f>IF('계산 과정'!$L$7,'계산 과정'!$L$22+'계산 과정'!$C$49*D131+'계산 과정'!$D$49*E131,"")</x:f>
        <x:v>650.700820245618</x:v>
      </x:c>
      <x:c r="G131" s="4" t="n">
        <x:f>IF('계산 과정'!$L$7,IF(ABS(F131)&gt;=1E-12*MAX(1,SQRT((D131-'계산 과정'!$C$33)^2+(E131-'계산 과정'!$D$33)^2+'계산 과정'!$E$33^2)),('계산 과정'!$L$23-'계산 과정'!$C$49*D131-'계산 과정'!$D$49*E131)/F131,""),"")</x:f>
        <x:v>0.61364480776843</x:v>
      </x:c>
      <x:c r="H131" s="4" t="n">
        <x:f>IF(AND(ISNUMBER(G131),G131&gt;0),('계산 과정'!$D$56+'계산 과정'!$D$57*D131+'계산 과정'!$D$58*E131)/F131,"")</x:f>
        <x:v>-1.1308749505206073</x:v>
      </x:c>
      <x:c r="I131" s="4" t="n">
        <x:f>IF(AND(ISNUMBER(G131),G131&gt;0),('계산 과정'!$E$56+'계산 과정'!$E$57*D131+'계산 과정'!$E$58*E131)/F131,"")</x:f>
        <x:v>-59.896484296496325</x:v>
      </x:c>
      <x:c r="J131" s="4" t="n">
        <x:f>IF('계산 과정'!$L$5,'계산 과정'!$D$6+'계산 과정'!$C$35*D131+'계산 과정'!$D$35*E131,"")</x:f>
        <x:v>650.700820245618</x:v>
      </x:c>
      <x:c r="K131" s="4" t="n">
        <x:f>IF(AND('계산 과정'!$L$6,J131&gt;0),'계산 과정'!$D$10*('계산 과정'!$C$38*(D131-'계산 과정'!$C$32)+'계산 과정'!$D$38*(E131-'계산 과정'!$D$32)-'계산 과정'!$E$38*'계산 과정'!$E$32)/J131,"")</x:f>
        <x:v>-0.008616190099203547</x:v>
      </x:c>
      <x:c r="L131" s="4" t="n">
        <x:f>IF(AND('계산 과정'!$L$6,J131&gt;0),'계산 과정'!$D$10*('계산 과정'!$C$39*(D131-'계산 과정'!$C$32)+'계산 과정'!$D$39*(E131-'계산 과정'!$D$32)-'계산 과정'!$E$39*'계산 과정'!$E$32)/J131,"")</x:f>
        <x:v>-0.4563541660685435</x:v>
      </x:c>
      <x:c r="M131" s="17" t="n">
        <x:f>IF('계산 과정'!$L$6,IF(J131&lt;=0,0,IF(AND(ABS(K131)&lt;='계산 과정'!$D$11/2,ABS(L131)&lt;='계산 과정'!$D$12/2),1,0)),"")</x:f>
        <x:v>1</x:v>
      </x:c>
      <x:c r="N131" s="17" t="n">
        <x:f>IF('계산 과정'!$C$78,IF(AND(ISNUMBER(H131),ISNUMBER(I131),ABS(H131-'계산 과정'!$C$88)&lt;='계산 과정'!$D$23/2,ABS(I131-'계산 과정'!$C$89)&lt;='계산 과정'!$D$24/2),1,0),"")</x:f>
        <x:v>1</x:v>
      </x:c>
      <x:c r="O131" s="4" t="n">
        <x:f>IF('계산 과정'!$L$7,'계산 과정'!$C$49*('계산 과정'!$C$32-D131)+'계산 과정'!$D$49*('계산 과정'!$D$32-E131)+'계산 과정'!$E$49*'계산 과정'!$E$32,"")</x:f>
        <x:v>-0.7008202456178765</x:v>
      </x:c>
      <x:c r="P131" s="4" t="n">
        <x:f>IF(AND('계산 과정'!$L$7,O131&lt;&gt;0),('계산 과정'!$L$23-'계산 과정'!$C$49*D131-'계산 과정'!$D$49*E131)/O131,"")</x:f>
        <x:v>-569.759766860532</x:v>
      </x:c>
      <x:c r="Q131" s="4" t="str">
        <x:f>IF(AND(ISNUMBER(P131),P131&gt;1E-9,P131&lt;1-1E-9),'계산 과정'!$C$47*(D131-'계산 과정'!$C$50+P131*('계산 과정'!$C$32-D131))+'계산 과정'!$D$47*(E131-'계산 과정'!$D$50+P131*('계산 과정'!$D$32-E131))+'계산 과정'!$E$47*(0-'계산 과정'!$E$50+P131*('계산 과정'!$E$32-0)),"")</x:f>
      </x:c>
      <x:c r="R131" s="4" t="str">
        <x:f>IF(AND(ISNUMBER(P131),P131&gt;1E-9,P131&lt;1-1E-9),'계산 과정'!$C$48*(D131-'계산 과정'!$C$50+P131*('계산 과정'!$C$32-D131))+'계산 과정'!$D$48*(E131-'계산 과정'!$D$50+P131*('계산 과정'!$D$32-E131))+'계산 과정'!$E$48*(0-'계산 과정'!$E$50+P131*('계산 과정'!$E$32-0)),"")</x:f>
      </x:c>
      <x:c r="S131" s="17" t="n">
        <x:f>IF('계산 과정'!$C$78,IF(AND(ISNUMBER(Q131),ISNUMBER(R131),ABS(Q131-'계산 과정'!$C$88)&lt;='계산 과정'!$D$23/2,ABS(R131-'계산 과정'!$C$89)&lt;='계산 과정'!$D$24/2),1,0),"")</x:f>
        <x:v>0</x:v>
      </x:c>
      <x:c r="T131" s="4"/>
      <x:c r="U131" s="4"/>
      <x:c r="V131" s="4"/>
      <x:c r="W131" s="4" t="n">
        <x:f>IF('계산 과정'!$C$77,('계산 과정'!$D$56+'계산 과정'!$D$57*('계산 과정'!$L$11*COS(125*2*PI()/240))+'계산 과정'!$D$58*('계산 과정'!$L$11*SIN(125*2*PI()/240)))/('계산 과정'!$D$59+'계산 과정'!$D$60*('계산 과정'!$L$11*COS(125*2*PI()/240))+'계산 과정'!$D$61*('계산 과정'!$L$11*SIN(125*2*PI()/240))),"")</x:f>
        <x:v>-146.2163536995695</x:v>
      </x:c>
      <x:c r="X131" s="4" t="n">
        <x:f>IF('계산 과정'!$C$77,('계산 과정'!$E$56+'계산 과정'!$E$57*('계산 과정'!$L$11*COS(125*2*PI()/240))+'계산 과정'!$E$58*('계산 과정'!$L$11*SIN(125*2*PI()/240)))/('계산 과정'!$E$59+'계산 과정'!$E$60*('계산 과정'!$L$11*COS(125*2*PI()/240))+'계산 과정'!$E$61*('계산 과정'!$L$11*SIN(125*2*PI()/240))),"")</x:f>
        <x:v>-27.22325490977282</x:v>
      </x:c>
      <x:c r="Y131" s="4" t="str">
        <x:f>""</x:f>
      </x:c>
      <x:c r="Z131" s="4" t="str">
        <x:f>""</x:f>
      </x:c>
    </x:row>
    <x:row r="132" ht="23" customHeight="1">
      <x:c r="A132" s="17" t="n">
        <x:f>ROW()-6</x:f>
        <x:v>126</x:v>
      </x:c>
      <x:c r="B132" s="4" t="n">
        <x:f>IF('계산 과정'!$L$5,'계산 과정'!$L$11*SQRT((A132+0.5)/'계산 과정'!$L$30),"")</x:f>
        <x:v>37.279625907625466</x:v>
      </x:c>
      <x:c r="C132" s="4" t="n">
        <x:f>A132*PI()*(3-SQRT(5))</x:f>
        <x:v>302.3953669458103</x:v>
      </x:c>
      <x:c r="D132" s="4" t="n">
        <x:f>IF('계산 과정'!$L$5,B132*COS(C132),"")</x:f>
        <x:v>25.906772688980684</x:v>
      </x:c>
      <x:c r="E132" s="4" t="n">
        <x:f>IF('계산 과정'!$L$5,B132*SIN(C132),"")</x:f>
        <x:v>26.806895319189508</x:v>
      </x:c>
      <x:c r="F132" s="4" t="n">
        <x:f>IF('계산 과정'!$L$7,'계산 과정'!$L$22+'계산 과정'!$C$49*D132+'계산 과정'!$D$49*E132,"")</x:f>
        <x:v>631.6811453529633</x:v>
      </x:c>
      <x:c r="G132" s="4" t="n">
        <x:f>IF('계산 과정'!$L$7,IF(ABS(F132)&gt;=1E-12*MAX(1,SQRT((D132-'계산 과정'!$C$33)^2+(E132-'계산 과정'!$D$33)^2+'계산 과정'!$E$33^2)),('계산 과정'!$L$23-'계산 과정'!$C$49*D132-'계산 과정'!$D$49*E132)/F132,""),"")</x:f>
        <x:v>0.662231028620133</x:v>
      </x:c>
      <x:c r="H132" s="4" t="n">
        <x:f>IF(AND(ISNUMBER(G132),G132&gt;0),('계산 과정'!$D$56+'계산 과정'!$D$57*D132+'계산 과정'!$D$58*E132)/F132,"")</x:f>
        <x:v>30.450168603086393</x:v>
      </x:c>
      <x:c r="I132" s="4" t="n">
        <x:f>IF(AND(ISNUMBER(G132),G132&gt;0),('계산 과정'!$E$56+'계산 과정'!$E$57*D132+'계산 과정'!$E$58*E132)/F132,"")</x:f>
        <x:v>44.55925318052861</x:v>
      </x:c>
      <x:c r="J132" s="4" t="n">
        <x:f>IF('계산 과정'!$L$5,'계산 과정'!$D$6+'계산 과정'!$C$35*D132+'계산 과정'!$D$35*E132,"")</x:f>
        <x:v>631.6811453529633</x:v>
      </x:c>
      <x:c r="K132" s="4" t="n">
        <x:f>IF(AND('계산 과정'!$L$6,J132&gt;0),'계산 과정'!$D$10*('계산 과정'!$C$38*(D132-'계산 과정'!$C$32)+'계산 과정'!$D$38*(E132-'계산 과정'!$D$32)-'계산 과정'!$E$38*'계산 과정'!$E$32)/J132,"")</x:f>
        <x:v>0.23200128459494473</x:v>
      </x:c>
      <x:c r="L132" s="4" t="n">
        <x:f>IF(AND('계산 과정'!$L$6,J132&gt;0),'계산 과정'!$D$10*('계산 과정'!$C$39*(D132-'계산 과정'!$C$32)+'계산 과정'!$D$39*(E132-'계산 과정'!$D$32)-'계산 과정'!$E$39*'계산 과정'!$E$32)/J132,"")</x:f>
        <x:v>0.3394990718516465</x:v>
      </x:c>
      <x:c r="M132" s="17" t="n">
        <x:f>IF('계산 과정'!$L$6,IF(J132&lt;=0,0,IF(AND(ABS(K132)&lt;='계산 과정'!$D$11/2,ABS(L132)&lt;='계산 과정'!$D$12/2),1,0)),"")</x:f>
        <x:v>1</x:v>
      </x:c>
      <x:c r="N132" s="17" t="n">
        <x:f>IF('계산 과정'!$C$78,IF(AND(ISNUMBER(H132),ISNUMBER(I132),ABS(H132-'계산 과정'!$C$88)&lt;='계산 과정'!$D$23/2,ABS(I132-'계산 과정'!$C$89)&lt;='계산 과정'!$D$24/2),1,0),"")</x:f>
        <x:v>1</x:v>
      </x:c>
      <x:c r="O132" s="4" t="n">
        <x:f>IF('계산 과정'!$L$7,'계산 과정'!$C$49*('계산 과정'!$C$32-D132)+'계산 과정'!$D$49*('계산 과정'!$D$32-E132)+'계산 과정'!$E$49*'계산 과정'!$E$32,"")</x:f>
        <x:v>18.3188546470368</x:v>
      </x:c>
      <x:c r="P132" s="4" t="n">
        <x:f>IF(AND('계산 과정'!$L$7,O132&lt;&gt;0),('계산 과정'!$L$23-'계산 과정'!$C$49*D132-'계산 과정'!$D$49*E132)/O132,"")</x:f>
        <x:v>22.835426270206398</x:v>
      </x:c>
      <x:c r="Q132" s="4" t="str">
        <x:f>IF(AND(ISNUMBER(P132),P132&gt;1E-9,P132&lt;1-1E-9),'계산 과정'!$C$47*(D132-'계산 과정'!$C$50+P132*('계산 과정'!$C$32-D132))+'계산 과정'!$D$47*(E132-'계산 과정'!$D$50+P132*('계산 과정'!$D$32-E132))+'계산 과정'!$E$47*(0-'계산 과정'!$E$50+P132*('계산 과정'!$E$32-0)),"")</x:f>
      </x:c>
      <x:c r="R132" s="4" t="str">
        <x:f>IF(AND(ISNUMBER(P132),P132&gt;1E-9,P132&lt;1-1E-9),'계산 과정'!$C$48*(D132-'계산 과정'!$C$50+P132*('계산 과정'!$C$32-D132))+'계산 과정'!$D$48*(E132-'계산 과정'!$D$50+P132*('계산 과정'!$D$32-E132))+'계산 과정'!$E$48*(0-'계산 과정'!$E$50+P132*('계산 과정'!$E$32-0)),"")</x:f>
      </x:c>
      <x:c r="S132" s="17" t="n">
        <x:f>IF('계산 과정'!$C$78,IF(AND(ISNUMBER(Q132),ISNUMBER(R132),ABS(Q132-'계산 과정'!$C$88)&lt;='계산 과정'!$D$23/2,ABS(R132-'계산 과정'!$C$89)&lt;='계산 과정'!$D$24/2),1,0),"")</x:f>
        <x:v>0</x:v>
      </x:c>
      <x:c r="T132" s="4"/>
      <x:c r="U132" s="4"/>
      <x:c r="V132" s="4"/>
      <x:c r="W132" s="4" t="n">
        <x:f>IF('계산 과정'!$C$77,('계산 과정'!$D$56+'계산 과정'!$D$57*('계산 과정'!$L$11*COS(126*2*PI()/240))+'계산 과정'!$D$58*('계산 과정'!$L$11*SIN(126*2*PI()/240)))/('계산 과정'!$D$59+'계산 과정'!$D$60*('계산 과정'!$L$11*COS(126*2*PI()/240))+'계산 과정'!$D$61*('계산 과정'!$L$11*SIN(126*2*PI()/240))),"")</x:f>
        <x:v>-145.73924475063396</x:v>
      </x:c>
      <x:c r="X132" s="4" t="n">
        <x:f>IF('계산 과정'!$C$77,('계산 과정'!$E$56+'계산 과정'!$E$57*('계산 과정'!$L$11*COS(126*2*PI()/240))+'계산 과정'!$E$58*('계산 과정'!$L$11*SIN(126*2*PI()/240)))/('계산 과정'!$E$59+'계산 과정'!$E$60*('계산 과정'!$L$11*COS(126*2*PI()/240))+'계산 과정'!$E$61*('계산 과정'!$L$11*SIN(126*2*PI()/240))),"")</x:f>
        <x:v>-32.64404942407145</x:v>
      </x:c>
      <x:c r="Y132" s="4" t="str">
        <x:f>""</x:f>
      </x:c>
      <x:c r="Z132" s="4" t="str">
        <x:f>""</x:f>
      </x:c>
    </x:row>
    <x:row r="133" ht="23" customHeight="1">
      <x:c r="A133" s="17" t="n">
        <x:f>ROW()-6</x:f>
        <x:v>127</x:v>
      </x:c>
      <x:c r="B133" s="4" t="n">
        <x:f>IF('계산 과정'!$L$5,'계산 과정'!$L$11*SQRT((A133+0.5)/'계산 과정'!$L$30),"")</x:f>
        <x:v>37.426686146885885</x:v>
      </x:c>
      <x:c r="C133" s="4" t="n">
        <x:f>A133*PI()*(3-SQRT(5))</x:f>
        <x:v>304.79533017553894</x:v>
      </x:c>
      <x:c r="D133" s="4" t="n">
        <x:f>IF('계산 과정'!$L$5,B133*COS(C133),"")</x:f>
        <x:v>-37.35743364592089</x:v>
      </x:c>
      <x:c r="E133" s="4" t="n">
        <x:f>IF('계산 과정'!$L$5,B133*SIN(C133),"")</x:f>
        <x:v>-2.275738853233664</x:v>
      </x:c>
      <x:c r="F133" s="4" t="n">
        <x:f>IF('계산 과정'!$L$7,'계산 과정'!$L$22+'계산 과정'!$C$49*D133+'계산 과정'!$D$49*E133,"")</x:f>
        <x:v>676.4156946587572</x:v>
      </x:c>
      <x:c r="G133" s="4" t="n">
        <x:f>IF('계산 과정'!$L$7,IF(ABS(F133)&gt;=1E-12*MAX(1,SQRT((D133-'계산 과정'!$C$33)^2+(E133-'계산 과정'!$D$33)^2+'계산 과정'!$E$33^2)),('계산 과정'!$L$23-'계산 과정'!$C$49*D133-'계산 과정'!$D$49*E133)/F133,""),"")</x:f>
        <x:v>0.5522998775622899</x:v>
      </x:c>
      <x:c r="H133" s="4" t="n">
        <x:f>IF(AND(ISNUMBER(G133),G133&gt;0),('계산 과정'!$D$56+'계산 과정'!$D$57*D133+'계산 과정'!$D$58*E133)/F133,"")</x:f>
        <x:v>-41.005079584511684</x:v>
      </x:c>
      <x:c r="I133" s="4" t="n">
        <x:f>IF(AND(ISNUMBER(G133),G133&gt;0),('계산 과정'!$E$56+'계산 과정'!$E$57*D133+'계산 과정'!$E$58*E133)/F133,"")</x:f>
        <x:v>-3.532629143238363</x:v>
      </x:c>
      <x:c r="J133" s="4" t="n">
        <x:f>IF('계산 과정'!$L$5,'계산 과정'!$D$6+'계산 과정'!$C$35*D133+'계산 과정'!$D$35*E133,"")</x:f>
        <x:v>676.4156946587572</x:v>
      </x:c>
      <x:c r="K133" s="4" t="n">
        <x:f>IF(AND('계산 과정'!$L$6,J133&gt;0),'계산 과정'!$D$10*('계산 과정'!$C$38*(D133-'계산 과정'!$C$32)+'계산 과정'!$D$38*(E133-'계산 과정'!$D$32)-'계산 과정'!$E$38*'계산 과정'!$E$32)/J133,"")</x:f>
        <x:v>-0.31241965397723104</x:v>
      </x:c>
      <x:c r="L133" s="4" t="n">
        <x:f>IF(AND('계산 과정'!$L$6,J133&gt;0),'계산 과정'!$D$10*('계산 과정'!$C$39*(D133-'계산 과정'!$C$32)+'계산 과정'!$D$39*(E133-'계산 과정'!$D$32)-'계산 과정'!$E$39*'계산 과정'!$E$32)/J133,"")</x:f>
        <x:v>-0.02691526966276848</x:v>
      </x:c>
      <x:c r="M133" s="17" t="n">
        <x:f>IF('계산 과정'!$L$6,IF(J133&lt;=0,0,IF(AND(ABS(K133)&lt;='계산 과정'!$D$11/2,ABS(L133)&lt;='계산 과정'!$D$12/2),1,0)),"")</x:f>
        <x:v>1</x:v>
      </x:c>
      <x:c r="N133" s="17" t="n">
        <x:f>IF('계산 과정'!$C$78,IF(AND(ISNUMBER(H133),ISNUMBER(I133),ABS(H133-'계산 과정'!$C$88)&lt;='계산 과정'!$D$23/2,ABS(I133-'계산 과정'!$C$89)&lt;='계산 과정'!$D$24/2),1,0),"")</x:f>
        <x:v>1</x:v>
      </x:c>
      <x:c r="O133" s="4" t="n">
        <x:f>IF('계산 과정'!$L$7,'계산 과정'!$C$49*('계산 과정'!$C$32-D133)+'계산 과정'!$D$49*('계산 과정'!$D$32-E133)+'계산 과정'!$E$49*'계산 과정'!$E$32,"")</x:f>
        <x:v>-26.415694658757047</x:v>
      </x:c>
      <x:c r="P133" s="4" t="n">
        <x:f>IF(AND('계산 과정'!$L$7,O133&lt;&gt;0),('계산 과정'!$L$23-'계산 과정'!$C$49*D133-'계산 과정'!$D$49*E133)/O133,"")</x:f>
        <x:v>-14.142513008545706</x:v>
      </x:c>
      <x:c r="Q133" s="4" t="str">
        <x:f>IF(AND(ISNUMBER(P133),P133&gt;1E-9,P133&lt;1-1E-9),'계산 과정'!$C$47*(D133-'계산 과정'!$C$50+P133*('계산 과정'!$C$32-D133))+'계산 과정'!$D$47*(E133-'계산 과정'!$D$50+P133*('계산 과정'!$D$32-E133))+'계산 과정'!$E$47*(0-'계산 과정'!$E$50+P133*('계산 과정'!$E$32-0)),"")</x:f>
      </x:c>
      <x:c r="R133" s="4" t="str">
        <x:f>IF(AND(ISNUMBER(P133),P133&gt;1E-9,P133&lt;1-1E-9),'계산 과정'!$C$48*(D133-'계산 과정'!$C$50+P133*('계산 과정'!$C$32-D133))+'계산 과정'!$D$48*(E133-'계산 과정'!$D$50+P133*('계산 과정'!$D$32-E133))+'계산 과정'!$E$48*(0-'계산 과정'!$E$50+P133*('계산 과정'!$E$32-0)),"")</x:f>
      </x:c>
      <x:c r="S133" s="17" t="n">
        <x:f>IF('계산 과정'!$C$78,IF(AND(ISNUMBER(Q133),ISNUMBER(R133),ABS(Q133-'계산 과정'!$C$88)&lt;='계산 과정'!$D$23/2,ABS(R133-'계산 과정'!$C$89)&lt;='계산 과정'!$D$24/2),1,0),"")</x:f>
        <x:v>0</x:v>
      </x:c>
      <x:c r="T133" s="4"/>
      <x:c r="U133" s="4"/>
      <x:c r="V133" s="4"/>
      <x:c r="W133" s="4" t="n">
        <x:f>IF('계산 과정'!$C$77,('계산 과정'!$D$56+'계산 과정'!$D$57*('계산 과정'!$L$11*COS(127*2*PI()/240))+'계산 과정'!$D$58*('계산 과정'!$L$11*SIN(127*2*PI()/240)))/('계산 과정'!$D$59+'계산 과정'!$D$60*('계산 과정'!$L$11*COS(127*2*PI()/240))+'계산 과정'!$D$61*('계산 과정'!$L$11*SIN(127*2*PI()/240))),"")</x:f>
        <x:v>-145.17551392162449</x:v>
      </x:c>
      <x:c r="X133" s="4" t="n">
        <x:f>IF('계산 과정'!$C$77,('계산 과정'!$E$56+'계산 과정'!$E$57*('계산 과정'!$L$11*COS(127*2*PI()/240))+'계산 과정'!$E$58*('계산 과정'!$L$11*SIN(127*2*PI()/240)))/('계산 과정'!$E$59+'계산 과정'!$E$60*('계산 과정'!$L$11*COS(127*2*PI()/240))+'계산 과정'!$E$61*('계산 과정'!$L$11*SIN(127*2*PI()/240))),"")</x:f>
        <x:v>-38.0518074689204</x:v>
      </x:c>
      <x:c r="Y133" s="4" t="str">
        <x:f>""</x:f>
      </x:c>
      <x:c r="Z133" s="4" t="str">
        <x:f>""</x:f>
      </x:c>
    </x:row>
    <x:row r="134" ht="23" customHeight="1">
      <x:c r="A134" s="17" t="n">
        <x:f>ROW()-6</x:f>
        <x:v>128</x:v>
      </x:c>
      <x:c r="B134" s="4" t="n">
        <x:f>IF('계산 과정'!$L$5,'계산 과정'!$L$11*SQRT((A134+0.5)/'계산 과정'!$L$30),"")</x:f>
        <x:v>37.573170801284526</x:v>
      </x:c>
      <x:c r="C134" s="4" t="n">
        <x:f>A134*PI()*(3-SQRT(5))</x:f>
        <x:v>307.1952934052676</x:v>
      </x:c>
      <x:c r="D134" s="4" t="n">
        <x:f>IF('계산 과정'!$L$5,B134*COS(C134),"")</x:f>
        <x:v>29.1972784218978</x:v>
      </x:c>
      <x:c r="E134" s="4" t="n">
        <x:f>IF('계산 과정'!$L$5,B134*SIN(C134),"")</x:f>
        <x:v>-23.648722942617457</x:v>
      </x:c>
      <x:c r="F134" s="4" t="n">
        <x:f>IF('계산 과정'!$L$7,'계산 과정'!$L$22+'계산 과정'!$C$49*D134+'계산 과정'!$D$49*E134,"")</x:f>
        <x:v>629.3544064356844</x:v>
      </x:c>
      <x:c r="G134" s="4" t="n">
        <x:f>IF('계산 과정'!$L$7,IF(ABS(F134)&gt;=1E-12*MAX(1,SQRT((D134-'계산 과정'!$C$33)^2+(E134-'계산 과정'!$D$33)^2+'계산 과정'!$E$33^2)),('계산 과정'!$L$23-'계산 과정'!$C$49*D134-'계산 과정'!$D$49*E134)/F134,""),"")</x:f>
        <x:v>0.6683763381377114</x:v>
      </x:c>
      <x:c r="H134" s="4" t="n">
        <x:f>IF(AND(ISNUMBER(G134),G134&gt;0),('계산 과정'!$D$56+'계산 과정'!$D$57*D134+'계산 과정'!$D$58*E134)/F134,"")</x:f>
        <x:v>34.444619789512245</x:v>
      </x:c>
      <x:c r="I134" s="4" t="n">
        <x:f>IF(AND(ISNUMBER(G134),G134&gt;0),('계산 과정'!$E$56+'계산 과정'!$E$57*D134+'계산 과정'!$E$58*E134)/F134,"")</x:f>
        <x:v>-39.45496978463739</x:v>
      </x:c>
      <x:c r="J134" s="4" t="n">
        <x:f>IF('계산 과정'!$L$5,'계산 과정'!$D$6+'계산 과정'!$C$35*D134+'계산 과정'!$D$35*E134,"")</x:f>
        <x:v>629.3544064356844</x:v>
      </x:c>
      <x:c r="K134" s="4" t="n">
        <x:f>IF(AND('계산 과정'!$L$6,J134&gt;0),'계산 과정'!$D$10*('계산 과정'!$C$38*(D134-'계산 과정'!$C$32)+'계산 과정'!$D$38*(E134-'계산 과정'!$D$32)-'계산 과정'!$E$38*'계산 과정'!$E$32)/J134,"")</x:f>
        <x:v>0.2624351983962849</x:v>
      </x:c>
      <x:c r="L134" s="4" t="n">
        <x:f>IF(AND('계산 과정'!$L$6,J134&gt;0),'계산 과정'!$D$10*('계산 과정'!$C$39*(D134-'계산 과정'!$C$32)+'계산 과정'!$D$39*(E134-'계산 과정'!$D$32)-'계산 과정'!$E$39*'계산 과정'!$E$32)/J134,"")</x:f>
        <x:v>-0.3006092935972373</x:v>
      </x:c>
      <x:c r="M134" s="17" t="n">
        <x:f>IF('계산 과정'!$L$6,IF(J134&lt;=0,0,IF(AND(ABS(K134)&lt;='계산 과정'!$D$11/2,ABS(L134)&lt;='계산 과정'!$D$12/2),1,0)),"")</x:f>
        <x:v>1</x:v>
      </x:c>
      <x:c r="N134" s="17" t="n">
        <x:f>IF('계산 과정'!$C$78,IF(AND(ISNUMBER(H134),ISNUMBER(I134),ABS(H134-'계산 과정'!$C$88)&lt;='계산 과정'!$D$23/2,ABS(I134-'계산 과정'!$C$89)&lt;='계산 과정'!$D$24/2),1,0),"")</x:f>
        <x:v>1</x:v>
      </x:c>
      <x:c r="O134" s="4" t="n">
        <x:f>IF('계산 과정'!$L$7,'계산 과정'!$C$49*('계산 과정'!$C$32-D134)+'계산 과정'!$D$49*('계산 과정'!$D$32-E134)+'계산 과정'!$E$49*'계산 과정'!$E$32,"")</x:f>
        <x:v>20.645593564315732</x:v>
      </x:c>
      <x:c r="P134" s="4" t="n">
        <x:f>IF(AND('계산 과정'!$L$7,O134&lt;&gt;0),('계산 과정'!$L$23-'계산 과정'!$C$49*D134-'계산 과정'!$D$49*E134)/O134,"")</x:f>
        <x:v>20.374594329482882</x:v>
      </x:c>
      <x:c r="Q134" s="4" t="str">
        <x:f>IF(AND(ISNUMBER(P134),P134&gt;1E-9,P134&lt;1-1E-9),'계산 과정'!$C$47*(D134-'계산 과정'!$C$50+P134*('계산 과정'!$C$32-D134))+'계산 과정'!$D$47*(E134-'계산 과정'!$D$50+P134*('계산 과정'!$D$32-E134))+'계산 과정'!$E$47*(0-'계산 과정'!$E$50+P134*('계산 과정'!$E$32-0)),"")</x:f>
      </x:c>
      <x:c r="R134" s="4" t="str">
        <x:f>IF(AND(ISNUMBER(P134),P134&gt;1E-9,P134&lt;1-1E-9),'계산 과정'!$C$48*(D134-'계산 과정'!$C$50+P134*('계산 과정'!$C$32-D134))+'계산 과정'!$D$48*(E134-'계산 과정'!$D$50+P134*('계산 과정'!$D$32-E134))+'계산 과정'!$E$48*(0-'계산 과정'!$E$50+P134*('계산 과정'!$E$32-0)),"")</x:f>
      </x:c>
      <x:c r="S134" s="17" t="n">
        <x:f>IF('계산 과정'!$C$78,IF(AND(ISNUMBER(Q134),ISNUMBER(R134),ABS(Q134-'계산 과정'!$C$88)&lt;='계산 과정'!$D$23/2,ABS(R134-'계산 과정'!$C$89)&lt;='계산 과정'!$D$24/2),1,0),"")</x:f>
        <x:v>0</x:v>
      </x:c>
      <x:c r="T134" s="4"/>
      <x:c r="U134" s="4"/>
      <x:c r="V134" s="4"/>
      <x:c r="W134" s="4" t="n">
        <x:f>IF('계산 과정'!$C$77,('계산 과정'!$D$56+'계산 과정'!$D$57*('계산 과정'!$L$11*COS(128*2*PI()/240))+'계산 과정'!$D$58*('계산 과정'!$L$11*SIN(128*2*PI()/240)))/('계산 과정'!$D$59+'계산 과정'!$D$60*('계산 과정'!$L$11*COS(128*2*PI()/240))+'계산 과정'!$D$61*('계산 과정'!$L$11*SIN(128*2*PI()/240))),"")</x:f>
        <x:v>-144.5252251488516</x:v>
      </x:c>
      <x:c r="X134" s="4" t="n">
        <x:f>IF('계산 과정'!$C$77,('계산 과정'!$E$56+'계산 과정'!$E$57*('계산 과정'!$L$11*COS(128*2*PI()/240))+'계산 과정'!$E$58*('계산 과정'!$L$11*SIN(128*2*PI()/240)))/('계산 과정'!$E$59+'계산 과정'!$E$60*('계산 과정'!$L$11*COS(128*2*PI()/240))+'계산 과정'!$E$61*('계산 과정'!$L$11*SIN(128*2*PI()/240))),"")</x:f>
        <x:v>-43.44433648433815</x:v>
      </x:c>
      <x:c r="Y134" s="4" t="str">
        <x:f>""</x:f>
      </x:c>
      <x:c r="Z134" s="4" t="str">
        <x:f>""</x:f>
      </x:c>
    </x:row>
    <x:row r="135" ht="23" customHeight="1">
      <x:c r="A135" s="17" t="n">
        <x:f>ROW()-6</x:f>
        <x:v>129</x:v>
      </x:c>
      <x:c r="B135" s="4" t="n">
        <x:f>IF('계산 과정'!$L$5,'계산 과정'!$L$11*SQRT((A135+0.5)/'계산 과정'!$L$30),"")</x:f>
        <x:v>37.7190865767916</x:v>
      </x:c>
      <x:c r="C135" s="4" t="n">
        <x:f>A135*PI()*(3-SQRT(5))</x:f>
        <x:v>309.5952566349962</x:v>
      </x:c>
      <x:c r="D135" s="4" t="n">
        <x:f>IF('계산 과정'!$L$5,B135*COS(C135),"")</x:f>
        <x:v>-5.5762532737327435</x:v>
      </x:c>
      <x:c r="E135" s="4" t="n">
        <x:f>IF('계산 과정'!$L$5,B135*SIN(C135),"")</x:f>
        <x:v>37.30462292551266</x:v>
      </x:c>
      <x:c r="F135" s="4" t="n">
        <x:f>IF('계산 과정'!$L$7,'계산 과정'!$L$22+'계산 과정'!$C$49*D135+'계산 과정'!$D$49*E135,"")</x:f>
        <x:v>653.9430065034701</x:v>
      </x:c>
      <x:c r="G135" s="4" t="n">
        <x:f>IF('계산 과정'!$L$7,IF(ABS(F135)&gt;=1E-12*MAX(1,SQRT((D135-'계산 과정'!$C$33)^2+(E135-'계산 과정'!$D$33)^2+'계산 과정'!$E$33^2)),('계산 과정'!$L$23-'계산 과정'!$C$49*D135-'계산 과정'!$D$49*E135)/F135,""),"")</x:f>
        <x:v>0.605644512683428</x:v>
      </x:c>
      <x:c r="H135" s="4" t="n">
        <x:f>IF(AND(ISNUMBER(G135),G135&gt;0),('계산 과정'!$D$56+'계산 과정'!$D$57*D135+'계산 과정'!$D$58*E135)/F135,"")</x:f>
        <x:v>-6.331066755771964</x:v>
      </x:c>
      <x:c r="I135" s="4" t="n">
        <x:f>IF(AND(ISNUMBER(G135),G135&gt;0),('계산 과정'!$E$56+'계산 과정'!$E$57*D135+'계산 과정'!$E$58*E135)/F135,"")</x:f>
        <x:v>59.89796309807381</x:v>
      </x:c>
      <x:c r="J135" s="4" t="n">
        <x:f>IF('계산 과정'!$L$5,'계산 과정'!$D$6+'계산 과정'!$C$35*D135+'계산 과정'!$D$35*E135,"")</x:f>
        <x:v>653.9430065034701</x:v>
      </x:c>
      <x:c r="K135" s="4" t="n">
        <x:f>IF(AND('계산 과정'!$L$6,J135&gt;0),'계산 과정'!$D$10*('계산 과정'!$C$38*(D135-'계산 과정'!$C$32)+'계산 과정'!$D$38*(E135-'계산 과정'!$D$32)-'계산 과정'!$E$38*'계산 과정'!$E$32)/J135,"")</x:f>
        <x:v>-0.04823669909159479</x:v>
      </x:c>
      <x:c r="L135" s="4" t="n">
        <x:f>IF(AND('계산 과정'!$L$6,J135&gt;0),'계산 과정'!$D$10*('계산 과정'!$C$39*(D135-'계산 과정'!$C$32)+'계산 과정'!$D$39*(E135-'계산 과정'!$D$32)-'계산 과정'!$E$39*'계산 과정'!$E$32)/J135,"")</x:f>
        <x:v>0.4563654331281814</x:v>
      </x:c>
      <x:c r="M135" s="17" t="n">
        <x:f>IF('계산 과정'!$L$6,IF(J135&lt;=0,0,IF(AND(ABS(K135)&lt;='계산 과정'!$D$11/2,ABS(L135)&lt;='계산 과정'!$D$12/2),1,0)),"")</x:f>
        <x:v>1</x:v>
      </x:c>
      <x:c r="N135" s="17" t="n">
        <x:f>IF('계산 과정'!$C$78,IF(AND(ISNUMBER(H135),ISNUMBER(I135),ABS(H135-'계산 과정'!$C$88)&lt;='계산 과정'!$D$23/2,ABS(I135-'계산 과정'!$C$89)&lt;='계산 과정'!$D$24/2),1,0),"")</x:f>
        <x:v>1</x:v>
      </x:c>
      <x:c r="O135" s="4" t="n">
        <x:f>IF('계산 과정'!$L$7,'계산 과정'!$C$49*('계산 과정'!$C$32-D135)+'계산 과정'!$D$49*('계산 과정'!$D$32-E135)+'계산 과정'!$E$49*'계산 과정'!$E$32,"")</x:f>
        <x:v>-3.9430065034699737</x:v>
      </x:c>
      <x:c r="P135" s="4" t="n">
        <x:f>IF(AND('계산 과정'!$L$7,O135&lt;&gt;0),('계산 과정'!$L$23-'계산 과정'!$C$49*D135-'계산 과정'!$D$49*E135)/O135,"")</x:f>
        <x:v>-100.44543247595125</x:v>
      </x:c>
      <x:c r="Q135" s="4" t="str">
        <x:f>IF(AND(ISNUMBER(P135),P135&gt;1E-9,P135&lt;1-1E-9),'계산 과정'!$C$47*(D135-'계산 과정'!$C$50+P135*('계산 과정'!$C$32-D135))+'계산 과정'!$D$47*(E135-'계산 과정'!$D$50+P135*('계산 과정'!$D$32-E135))+'계산 과정'!$E$47*(0-'계산 과정'!$E$50+P135*('계산 과정'!$E$32-0)),"")</x:f>
      </x:c>
      <x:c r="R135" s="4" t="str">
        <x:f>IF(AND(ISNUMBER(P135),P135&gt;1E-9,P135&lt;1-1E-9),'계산 과정'!$C$48*(D135-'계산 과정'!$C$50+P135*('계산 과정'!$C$32-D135))+'계산 과정'!$D$48*(E135-'계산 과정'!$D$50+P135*('계산 과정'!$D$32-E135))+'계산 과정'!$E$48*(0-'계산 과정'!$E$50+P135*('계산 과정'!$E$32-0)),"")</x:f>
      </x:c>
      <x:c r="S135" s="17" t="n">
        <x:f>IF('계산 과정'!$C$78,IF(AND(ISNUMBER(Q135),ISNUMBER(R135),ABS(Q135-'계산 과정'!$C$88)&lt;='계산 과정'!$D$23/2,ABS(R135-'계산 과정'!$C$89)&lt;='계산 과정'!$D$24/2),1,0),"")</x:f>
        <x:v>0</x:v>
      </x:c>
      <x:c r="T135" s="4"/>
      <x:c r="U135" s="4"/>
      <x:c r="V135" s="4"/>
      <x:c r="W135" s="4" t="n">
        <x:f>IF('계산 과정'!$C$77,('계산 과정'!$D$56+'계산 과정'!$D$57*('계산 과정'!$L$11*COS(129*2*PI()/240))+'계산 과정'!$D$58*('계산 과정'!$L$11*SIN(129*2*PI()/240)))/('계산 과정'!$D$59+'계산 과정'!$D$60*('계산 과정'!$L$11*COS(129*2*PI()/240))+'계산 과정'!$D$61*('계산 과정'!$L$11*SIN(129*2*PI()/240))),"")</x:f>
        <x:v>-143.78845323337544</x:v>
      </x:c>
      <x:c r="X135" s="4" t="n">
        <x:f>IF('계산 과정'!$C$77,('계산 과정'!$E$56+'계산 과정'!$E$57*('계산 과정'!$L$11*COS(129*2*PI()/240))+'계산 과정'!$E$58*('계산 과정'!$L$11*SIN(129*2*PI()/240)))/('계산 과정'!$E$59+'계산 과정'!$E$60*('계산 과정'!$L$11*COS(129*2*PI()/240))+'계산 과정'!$E$61*('계산 과정'!$L$11*SIN(129*2*PI()/240))),"")</x:f>
        <x:v>-48.81943483046711</x:v>
      </x:c>
      <x:c r="Y135" s="4" t="str">
        <x:f>""</x:f>
      </x:c>
      <x:c r="Z135" s="4" t="str">
        <x:f>""</x:f>
      </x:c>
    </x:row>
    <x:row r="136" ht="23" customHeight="1">
      <x:c r="A136" s="17" t="n">
        <x:f>ROW()-6</x:f>
        <x:v>130</x:v>
      </x:c>
      <x:c r="B136" s="4" t="n">
        <x:f>IF('계산 과정'!$L$5,'계산 과정'!$L$11*SQRT((A136+0.5)/'계산 과정'!$L$30),"")</x:f>
        <x:v>37.864440050164475</x:v>
      </x:c>
      <x:c r="C136" s="4" t="n">
        <x:f>A136*PI()*(3-SQRT(5))</x:f>
        <x:v>311.99521986472485</x:v>
      </x:c>
      <x:c r="D136" s="4" t="n">
        <x:f>IF('계산 과정'!$L$5,B136*COS(C136),"")</x:f>
        <x:v>-21.168416111321438</x:v>
      </x:c>
      <x:c r="E136" s="4" t="n">
        <x:f>IF('계산 과정'!$L$5,B136*SIN(C136),"")</x:f>
        <x:v>-31.39448963831784</x:v>
      </x:c>
      <x:c r="F136" s="4" t="n">
        <x:f>IF('계산 과정'!$L$7,'계산 과정'!$L$22+'계산 과정'!$C$49*D136+'계산 과정'!$D$49*E136,"")</x:f>
        <x:v>664.9683305792939</x:v>
      </x:c>
      <x:c r="G136" s="4" t="n">
        <x:f>IF('계산 과정'!$L$7,IF(ABS(F136)&gt;=1E-12*MAX(1,SQRT((D136-'계산 과정'!$C$33)^2+(E136-'계산 과정'!$D$33)^2+'계산 과정'!$E$33^2)),('계산 과정'!$L$23-'계산 과정'!$C$49*D136-'계산 과정'!$D$49*E136)/F136,""),"")</x:f>
        <x:v>0.5790225665112229</x:v>
      </x:c>
      <x:c r="H136" s="4" t="n">
        <x:f>IF(AND(ISNUMBER(G136),G136&gt;0),('계산 과정'!$D$56+'계산 과정'!$D$57*D136+'계산 과정'!$D$58*E136)/F136,"")</x:f>
        <x:v>-23.63533176770528</x:v>
      </x:c>
      <x:c r="I136" s="4" t="n">
        <x:f>IF(AND(ISNUMBER(G136),G136&gt;0),('계산 과정'!$E$56+'계산 과정'!$E$57*D136+'계산 과정'!$E$58*E136)/F136,"")</x:f>
        <x:v>-49.572607603006624</x:v>
      </x:c>
      <x:c r="J136" s="4" t="n">
        <x:f>IF('계산 과정'!$L$5,'계산 과정'!$D$6+'계산 과정'!$C$35*D136+'계산 과정'!$D$35*E136,"")</x:f>
        <x:v>664.9683305792939</x:v>
      </x:c>
      <x:c r="K136" s="4" t="n">
        <x:f>IF(AND('계산 과정'!$L$6,J136&gt;0),'계산 과정'!$D$10*('계산 과정'!$C$38*(D136-'계산 과정'!$C$32)+'계산 과정'!$D$38*(E136-'계산 과정'!$D$32)-'계산 과정'!$E$38*'계산 과정'!$E$32)/J136,"")</x:f>
        <x:v>-0.1800787182301343</x:v>
      </x:c>
      <x:c r="L136" s="4" t="n">
        <x:f>IF(AND('계산 과정'!$L$6,J136&gt;0),'계산 과정'!$D$10*('계산 과정'!$C$39*(D136-'계산 과정'!$C$32)+'계산 과정'!$D$39*(E136-'계산 과정'!$D$32)-'계산 과정'!$E$39*'계산 과정'!$E$32)/J136,"")</x:f>
        <x:v>-0.3776960579276695</x:v>
      </x:c>
      <x:c r="M136" s="17" t="n">
        <x:f>IF('계산 과정'!$L$6,IF(J136&lt;=0,0,IF(AND(ABS(K136)&lt;='계산 과정'!$D$11/2,ABS(L136)&lt;='계산 과정'!$D$12/2),1,0)),"")</x:f>
        <x:v>1</x:v>
      </x:c>
      <x:c r="N136" s="17" t="n">
        <x:f>IF('계산 과정'!$C$78,IF(AND(ISNUMBER(H136),ISNUMBER(I136),ABS(H136-'계산 과정'!$C$88)&lt;='계산 과정'!$D$23/2,ABS(I136-'계산 과정'!$C$89)&lt;='계산 과정'!$D$24/2),1,0),"")</x:f>
        <x:v>1</x:v>
      </x:c>
      <x:c r="O136" s="4" t="n">
        <x:f>IF('계산 과정'!$L$7,'계산 과정'!$C$49*('계산 과정'!$C$32-D136)+'계산 과정'!$D$49*('계산 과정'!$D$32-E136)+'계산 과정'!$E$49*'계산 과정'!$E$32,"")</x:f>
        <x:v>-14.96833057929382</x:v>
      </x:c>
      <x:c r="P136" s="4" t="n">
        <x:f>IF(AND('계산 과정'!$L$7,O136&lt;&gt;0),('계산 과정'!$L$23-'계산 과정'!$C$49*D136-'계산 과정'!$D$49*E136)/O136,"")</x:f>
        <x:v>-25.723086978940252</x:v>
      </x:c>
      <x:c r="Q136" s="4" t="str">
        <x:f>IF(AND(ISNUMBER(P136),P136&gt;1E-9,P136&lt;1-1E-9),'계산 과정'!$C$47*(D136-'계산 과정'!$C$50+P136*('계산 과정'!$C$32-D136))+'계산 과정'!$D$47*(E136-'계산 과정'!$D$50+P136*('계산 과정'!$D$32-E136))+'계산 과정'!$E$47*(0-'계산 과정'!$E$50+P136*('계산 과정'!$E$32-0)),"")</x:f>
      </x:c>
      <x:c r="R136" s="4" t="str">
        <x:f>IF(AND(ISNUMBER(P136),P136&gt;1E-9,P136&lt;1-1E-9),'계산 과정'!$C$48*(D136-'계산 과정'!$C$50+P136*('계산 과정'!$C$32-D136))+'계산 과정'!$D$48*(E136-'계산 과정'!$D$50+P136*('계산 과정'!$D$32-E136))+'계산 과정'!$E$48*(0-'계산 과정'!$E$50+P136*('계산 과정'!$E$32-0)),"")</x:f>
      </x:c>
      <x:c r="S136" s="17" t="n">
        <x:f>IF('계산 과정'!$C$78,IF(AND(ISNUMBER(Q136),ISNUMBER(R136),ABS(Q136-'계산 과정'!$C$88)&lt;='계산 과정'!$D$23/2,ABS(R136-'계산 과정'!$C$89)&lt;='계산 과정'!$D$24/2),1,0),"")</x:f>
        <x:v>0</x:v>
      </x:c>
      <x:c r="T136" s="4"/>
      <x:c r="U136" s="4"/>
      <x:c r="V136" s="4"/>
      <x:c r="W136" s="4" t="n">
        <x:f>IF('계산 과정'!$C$77,('계산 과정'!$D$56+'계산 과정'!$D$57*('계산 과정'!$L$11*COS(130*2*PI()/240))+'계산 과정'!$D$58*('계산 과정'!$L$11*SIN(130*2*PI()/240)))/('계산 과정'!$D$59+'계산 과정'!$D$60*('계산 과정'!$L$11*COS(130*2*PI()/240))+'계산 과정'!$D$61*('계산 과정'!$L$11*SIN(130*2*PI()/240))),"")</x:f>
        <x:v>-142.9652842827827</x:v>
      </x:c>
      <x:c r="X136" s="4" t="n">
        <x:f>IF('계산 과정'!$C$77,('계산 과정'!$E$56+'계산 과정'!$E$57*('계산 과정'!$L$11*COS(130*2*PI()/240))+'계산 과정'!$E$58*('계산 과정'!$L$11*SIN(130*2*PI()/240)))/('계산 과정'!$E$59+'계산 과정'!$E$60*('계산 과정'!$L$11*COS(130*2*PI()/240))+'계산 과정'!$E$61*('계산 과정'!$L$11*SIN(130*2*PI()/240))),"")</x:f>
        <x:v>-54.174890537715285</x:v>
      </x:c>
      <x:c r="Y136" s="4" t="str">
        <x:f>""</x:f>
      </x:c>
      <x:c r="Z136" s="4" t="str">
        <x:f>""</x:f>
      </x:c>
    </x:row>
    <x:row r="137" ht="23" customHeight="1">
      <x:c r="A137" s="17" t="n">
        <x:f>ROW()-6</x:f>
        <x:v>131</x:v>
      </x:c>
      <x:c r="B137" s="4" t="n">
        <x:f>IF('계산 과정'!$L$5,'계산 과정'!$L$11*SQRT((A137+0.5)/'계산 과정'!$L$30),"")</x:f>
        <x:v>38.00923767240669</x:v>
      </x:c>
      <x:c r="C137" s="4" t="n">
        <x:f>A137*PI()*(3-SQRT(5))</x:f>
        <x:v>314.39518309445356</x:v>
      </x:c>
      <x:c r="D137" s="4" t="n">
        <x:f>IF('계산 과정'!$L$5,B137*COS(C137),"")</x:f>
        <x:v>36.956391046048914</x:v>
      </x:c>
      <x:c r="E137" s="4" t="n">
        <x:f>IF('계산 과정'!$L$5,B137*SIN(C137),"")</x:f>
        <x:v>8.884104304262516</x:v>
      </x:c>
      <x:c r="F137" s="4" t="n">
        <x:f>IF('계산 과정'!$L$7,'계산 과정'!$L$22+'계산 과정'!$C$49*D137+'계산 과정'!$D$49*E137,"")</x:f>
        <x:v>623.867885283157</x:v>
      </x:c>
      <x:c r="G137" s="4" t="n">
        <x:f>IF('계산 과정'!$L$7,IF(ABS(F137)&gt;=1E-12*MAX(1,SQRT((D137-'계산 과정'!$C$33)^2+(E137-'계산 과정'!$D$33)^2+'계산 과정'!$E$33^2)),('계산 과정'!$L$23-'계산 과정'!$C$49*D137-'계산 과정'!$D$49*E137)/F137,""),"")</x:f>
        <x:v>0.683048646627215</x:v>
      </x:c>
      <x:c r="H137" s="4" t="n">
        <x:f>IF(AND(ISNUMBER(G137),G137&gt;0),('계산 과정'!$D$56+'계산 과정'!$D$57*D137+'계산 과정'!$D$58*E137)/F137,"")</x:f>
        <x:v>43.981620307689624</x:v>
      </x:c>
      <x:c r="I137" s="4" t="n">
        <x:f>IF(AND(ISNUMBER(G137),G137&gt;0),('계산 과정'!$E$56+'계산 과정'!$E$57*D137+'계산 과정'!$E$58*E137)/F137,"")</x:f>
        <x:v>14.952379725784045</x:v>
      </x:c>
      <x:c r="J137" s="4" t="n">
        <x:f>IF('계산 과정'!$L$5,'계산 과정'!$D$6+'계산 과정'!$C$35*D137+'계산 과정'!$D$35*E137,"")</x:f>
        <x:v>623.867885283157</x:v>
      </x:c>
      <x:c r="K137" s="4" t="n">
        <x:f>IF(AND('계산 과정'!$L$6,J137&gt;0),'계산 과정'!$D$10*('계산 과정'!$C$38*(D137-'계산 과정'!$C$32)+'계산 과정'!$D$38*(E137-'계산 과정'!$D$32)-'계산 과정'!$E$38*'계산 과정'!$E$32)/J137,"")</x:f>
        <x:v>0.33509805948715965</x:v>
      </x:c>
      <x:c r="L137" s="4" t="n">
        <x:f>IF(AND('계산 과정'!$L$6,J137&gt;0),'계산 과정'!$D$10*('계산 과정'!$C$39*(D137-'계산 과정'!$C$32)+'계산 과정'!$D$39*(E137-'계산 과정'!$D$32)-'계산 과정'!$E$39*'계산 과정'!$E$32)/J137,"")</x:f>
        <x:v>0.11392289314883082</x:v>
      </x:c>
      <x:c r="M137" s="17" t="n">
        <x:f>IF('계산 과정'!$L$6,IF(J137&lt;=0,0,IF(AND(ABS(K137)&lt;='계산 과정'!$D$11/2,ABS(L137)&lt;='계산 과정'!$D$12/2),1,0)),"")</x:f>
        <x:v>1</x:v>
      </x:c>
      <x:c r="N137" s="17" t="n">
        <x:f>IF('계산 과정'!$C$78,IF(AND(ISNUMBER(H137),ISNUMBER(I137),ABS(H137-'계산 과정'!$C$88)&lt;='계산 과정'!$D$23/2,ABS(I137-'계산 과정'!$C$89)&lt;='계산 과정'!$D$24/2),1,0),"")</x:f>
        <x:v>1</x:v>
      </x:c>
      <x:c r="O137" s="4" t="n">
        <x:f>IF('계산 과정'!$L$7,'계산 과정'!$C$49*('계산 과정'!$C$32-D137)+'계산 과정'!$D$49*('계산 과정'!$D$32-E137)+'계산 과정'!$E$49*'계산 과정'!$E$32,"")</x:f>
        <x:v>26.13211471684309</x:v>
      </x:c>
      <x:c r="P137" s="4" t="n">
        <x:f>IF(AND('계산 과정'!$L$7,O137&lt;&gt;0),('계산 과정'!$L$23-'계산 과정'!$C$49*D137-'계산 과정'!$D$49*E137)/O137,"")</x:f>
        <x:v>16.306836217973032</x:v>
      </x:c>
      <x:c r="Q137" s="4" t="str">
        <x:f>IF(AND(ISNUMBER(P137),P137&gt;1E-9,P137&lt;1-1E-9),'계산 과정'!$C$47*(D137-'계산 과정'!$C$50+P137*('계산 과정'!$C$32-D137))+'계산 과정'!$D$47*(E137-'계산 과정'!$D$50+P137*('계산 과정'!$D$32-E137))+'계산 과정'!$E$47*(0-'계산 과정'!$E$50+P137*('계산 과정'!$E$32-0)),"")</x:f>
      </x:c>
      <x:c r="R137" s="4" t="str">
        <x:f>IF(AND(ISNUMBER(P137),P137&gt;1E-9,P137&lt;1-1E-9),'계산 과정'!$C$48*(D137-'계산 과정'!$C$50+P137*('계산 과정'!$C$32-D137))+'계산 과정'!$D$48*(E137-'계산 과정'!$D$50+P137*('계산 과정'!$D$32-E137))+'계산 과정'!$E$48*(0-'계산 과정'!$E$50+P137*('계산 과정'!$E$32-0)),"")</x:f>
      </x:c>
      <x:c r="S137" s="17" t="n">
        <x:f>IF('계산 과정'!$C$78,IF(AND(ISNUMBER(Q137),ISNUMBER(R137),ABS(Q137-'계산 과정'!$C$88)&lt;='계산 과정'!$D$23/2,ABS(R137-'계산 과정'!$C$89)&lt;='계산 과정'!$D$24/2),1,0),"")</x:f>
        <x:v>0</x:v>
      </x:c>
      <x:c r="T137" s="4"/>
      <x:c r="U137" s="4"/>
      <x:c r="V137" s="4"/>
      <x:c r="W137" s="4" t="n">
        <x:f>IF('계산 과정'!$C$77,('계산 과정'!$D$56+'계산 과정'!$D$57*('계산 과정'!$L$11*COS(131*2*PI()/240))+'계산 과정'!$D$58*('계산 과정'!$L$11*SIN(131*2*PI()/240)))/('계산 과정'!$D$59+'계산 과정'!$D$60*('계산 과정'!$L$11*COS(131*2*PI()/240))+'계산 과정'!$D$61*('계산 과정'!$L$11*SIN(131*2*PI()/240))),"")</x:f>
        <x:v>-142.05581621253216</x:v>
      </x:c>
      <x:c r="X137" s="4" t="n">
        <x:f>IF('계산 과정'!$C$77,('계산 과정'!$E$56+'계산 과정'!$E$57*('계산 과정'!$L$11*COS(131*2*PI()/240))+'계산 과정'!$E$58*('계산 과정'!$L$11*SIN(131*2*PI()/240)))/('계산 과정'!$E$59+'계산 과정'!$E$60*('계산 과정'!$L$11*COS(131*2*PI()/240))+'계산 과정'!$E$61*('계산 과정'!$L$11*SIN(131*2*PI()/240))),"")</x:f>
        <x:v>-59.508480076227585</x:v>
      </x:c>
      <x:c r="Y137" s="4" t="str">
        <x:f>""</x:f>
      </x:c>
      <x:c r="Z137" s="4" t="str">
        <x:f>""</x:f>
      </x:c>
    </x:row>
    <x:row r="138" ht="23" customHeight="1">
      <x:c r="A138" s="17" t="n">
        <x:f>ROW()-6</x:f>
        <x:v>132</x:v>
      </x:c>
      <x:c r="B138" s="4" t="n">
        <x:f>IF('계산 과정'!$L$5,'계산 과정'!$L$11*SQRT((A138+0.5)/'계산 과정'!$L$30),"")</x:f>
        <x:v>38.15348577210869</x:v>
      </x:c>
      <x:c r="C138" s="4" t="n">
        <x:f>A138*PI()*(3-SQRT(5))</x:f>
        <x:v>316.7951463241822</x:v>
      </x:c>
      <x:c r="D138" s="4" t="n">
        <x:f>IF('계산 과정'!$L$5,B138*COS(C138),"")</x:f>
        <x:v>-33.377811389536724</x:v>
      </x:c>
      <x:c r="E138" s="4" t="n">
        <x:f>IF('계산 과정'!$L$5,B138*SIN(C138),"")</x:f>
        <x:v>18.482699570328272</x:v>
      </x:c>
      <x:c r="F138" s="4" t="n">
        <x:f>IF('계산 과정'!$L$7,'계산 과정'!$L$22+'계산 과정'!$C$49*D138+'계산 과정'!$D$49*E138,"")</x:f>
        <x:v>673.601676774707</x:v>
      </x:c>
      <x:c r="G138" s="4" t="n">
        <x:f>IF('계산 과정'!$L$7,IF(ABS(F138)&gt;=1E-12*MAX(1,SQRT((D138-'계산 과정'!$C$33)^2+(E138-'계산 과정'!$D$33)^2+'계산 과정'!$E$33^2)),('계산 과정'!$L$23-'계산 과정'!$C$49*D138-'계산 과정'!$D$49*E138)/F138,""),"")</x:f>
        <x:v>0.5587847183331511</x:v>
      </x:c>
      <x:c r="H138" s="4" t="n">
        <x:f>IF(AND(ISNUMBER(G138),G138&gt;0),('계산 과정'!$D$56+'계산 과정'!$D$57*D138+'계산 과정'!$D$58*E138)/F138,"")</x:f>
        <x:v>-36.78993308345184</x:v>
      </x:c>
      <x:c r="I138" s="4" t="n">
        <x:f>IF(AND(ISNUMBER(G138),G138&gt;0),('계산 과정'!$E$56+'계산 과정'!$E$57*D138+'계산 과정'!$E$58*E138)/F138,"")</x:f>
        <x:v>28.81054964377041</x:v>
      </x:c>
      <x:c r="J138" s="4" t="n">
        <x:f>IF('계산 과정'!$L$5,'계산 과정'!$D$6+'계산 과정'!$C$35*D138+'계산 과정'!$D$35*E138,"")</x:f>
        <x:v>673.601676774707</x:v>
      </x:c>
      <x:c r="K138" s="4" t="n">
        <x:f>IF(AND('계산 과정'!$L$6,J138&gt;0),'계산 과정'!$D$10*('계산 과정'!$C$38*(D138-'계산 과정'!$C$32)+'계산 과정'!$D$38*(E138-'계산 과정'!$D$32)-'계산 과정'!$E$38*'계산 과정'!$E$32)/J138,"")</x:f>
        <x:v>-0.28030425206439363</x:v>
      </x:c>
      <x:c r="L138" s="4" t="n">
        <x:f>IF(AND('계산 과정'!$L$6,J138&gt;0),'계산 과정'!$D$10*('계산 과정'!$C$39*(D138-'계산 과정'!$C$32)+'계산 과정'!$D$39*(E138-'계산 과정'!$D$32)-'계산 과정'!$E$39*'계산 과정'!$E$32)/J138,"")</x:f>
        <x:v>0.21950894966682216</x:v>
      </x:c>
      <x:c r="M138" s="17" t="n">
        <x:f>IF('계산 과정'!$L$6,IF(J138&lt;=0,0,IF(AND(ABS(K138)&lt;='계산 과정'!$D$11/2,ABS(L138)&lt;='계산 과정'!$D$12/2),1,0)),"")</x:f>
        <x:v>1</x:v>
      </x:c>
      <x:c r="N138" s="17" t="n">
        <x:f>IF('계산 과정'!$C$78,IF(AND(ISNUMBER(H138),ISNUMBER(I138),ABS(H138-'계산 과정'!$C$88)&lt;='계산 과정'!$D$23/2,ABS(I138-'계산 과정'!$C$89)&lt;='계산 과정'!$D$24/2),1,0),"")</x:f>
        <x:v>1</x:v>
      </x:c>
      <x:c r="O138" s="4" t="n">
        <x:f>IF('계산 과정'!$L$7,'계산 과정'!$C$49*('계산 과정'!$C$32-D138)+'계산 과정'!$D$49*('계산 과정'!$D$32-E138)+'계산 과정'!$E$49*'계산 과정'!$E$32,"")</x:f>
        <x:v>-23.601676774706846</x:v>
      </x:c>
      <x:c r="P138" s="4" t="n">
        <x:f>IF(AND('계산 과정'!$L$7,O138&lt;&gt;0),('계산 과정'!$L$23-'계산 과정'!$C$49*D138-'계산 과정'!$D$49*E138)/O138,"")</x:f>
        <x:v>-15.94794839444064</x:v>
      </x:c>
      <x:c r="Q138" s="4" t="str">
        <x:f>IF(AND(ISNUMBER(P138),P138&gt;1E-9,P138&lt;1-1E-9),'계산 과정'!$C$47*(D138-'계산 과정'!$C$50+P138*('계산 과정'!$C$32-D138))+'계산 과정'!$D$47*(E138-'계산 과정'!$D$50+P138*('계산 과정'!$D$32-E138))+'계산 과정'!$E$47*(0-'계산 과정'!$E$50+P138*('계산 과정'!$E$32-0)),"")</x:f>
      </x:c>
      <x:c r="R138" s="4" t="str">
        <x:f>IF(AND(ISNUMBER(P138),P138&gt;1E-9,P138&lt;1-1E-9),'계산 과정'!$C$48*(D138-'계산 과정'!$C$50+P138*('계산 과정'!$C$32-D138))+'계산 과정'!$D$48*(E138-'계산 과정'!$D$50+P138*('계산 과정'!$D$32-E138))+'계산 과정'!$E$48*(0-'계산 과정'!$E$50+P138*('계산 과정'!$E$32-0)),"")</x:f>
      </x:c>
      <x:c r="S138" s="17" t="n">
        <x:f>IF('계산 과정'!$C$78,IF(AND(ISNUMBER(Q138),ISNUMBER(R138),ABS(Q138-'계산 과정'!$C$88)&lt;='계산 과정'!$D$23/2,ABS(R138-'계산 과정'!$C$89)&lt;='계산 과정'!$D$24/2),1,0),"")</x:f>
        <x:v>0</x:v>
      </x:c>
      <x:c r="T138" s="4"/>
      <x:c r="U138" s="4"/>
      <x:c r="V138" s="4"/>
      <x:c r="W138" s="4" t="n">
        <x:f>IF('계산 과정'!$C$77,('계산 과정'!$D$56+'계산 과정'!$D$57*('계산 과정'!$L$11*COS(132*2*PI()/240))+'계산 과정'!$D$58*('계산 과정'!$L$11*SIN(132*2*PI()/240)))/('계산 과정'!$D$59+'계산 과정'!$D$60*('계산 과정'!$L$11*COS(132*2*PI()/240))+'계산 과정'!$D$61*('계산 과정'!$L$11*SIN(132*2*PI()/240))),"")</x:f>
        <x:v>-141.06015930709316</x:v>
      </x:c>
      <x:c r="X138" s="4" t="n">
        <x:f>IF('계산 과정'!$C$77,('계산 과정'!$E$56+'계산 과정'!$E$57*('계산 과정'!$L$11*COS(132*2*PI()/240))+'계산 과정'!$E$58*('계산 과정'!$L$11*SIN(132*2*PI()/240)))/('계산 과정'!$E$59+'계산 과정'!$E$60*('계산 과정'!$L$11*COS(132*2*PI()/240))+'계산 과정'!$E$61*('계산 과정'!$L$11*SIN(132*2*PI()/240))),"")</x:f>
        <x:v>-64.81796714736127</x:v>
      </x:c>
      <x:c r="Y138" s="4" t="str">
        <x:f>""</x:f>
      </x:c>
      <x:c r="Z138" s="4" t="str">
        <x:f>""</x:f>
      </x:c>
    </x:row>
    <x:row r="139" ht="23" customHeight="1">
      <x:c r="A139" s="17" t="n">
        <x:f>ROW()-6</x:f>
        <x:v>133</x:v>
      </x:c>
      <x:c r="B139" s="4" t="n">
        <x:f>IF('계산 과정'!$L$5,'계산 과정'!$L$11*SQRT((A139+0.5)/'계산 과정'!$L$30),"")</x:f>
        <x:v>38.297190558675446</x:v>
      </x:c>
      <x:c r="C139" s="4" t="n">
        <x:f>A139*PI()*(3-SQRT(5))</x:f>
        <x:v>319.1951095539108</x:v>
      </x:c>
      <x:c r="D139" s="4" t="n">
        <x:f>IF('계산 과정'!$L$5,B139*COS(C139),"")</x:f>
        <x:v>12.17255093986749</x:v>
      </x:c>
      <x:c r="E139" s="4" t="n">
        <x:f>IF('계산 과정'!$L$5,B139*SIN(C139),"")</x:f>
        <x:v>-36.311207750553145</x:v>
      </x:c>
      <x:c r="F139" s="4" t="n">
        <x:f>IF('계산 과정'!$L$7,'계산 과정'!$L$22+'계산 과정'!$C$49*D139+'계산 과정'!$D$49*E139,"")</x:f>
        <x:v>641.392706686081</x:v>
      </x:c>
      <x:c r="G139" s="4" t="n">
        <x:f>IF('계산 과정'!$L$7,IF(ABS(F139)&gt;=1E-12*MAX(1,SQRT((D139-'계산 과정'!$C$33)^2+(E139-'계산 과정'!$D$33)^2+'계산 과정'!$E$33^2)),('계산 과정'!$L$23-'계산 과정'!$C$49*D139-'계산 과정'!$D$49*E139)/F139,""),"")</x:f>
        <x:v>0.6370625812461959</x:v>
      </x:c>
      <x:c r="H139" s="4" t="n">
        <x:f>IF(AND(ISNUMBER(G139),G139&gt;0),('계산 과정'!$D$56+'계산 과정'!$D$57*D139+'계산 과정'!$D$58*E139)/F139,"")</x:f>
        <x:v>14.090677810027223</x:v>
      </x:c>
      <x:c r="I139" s="4" t="n">
        <x:f>IF(AND(ISNUMBER(G139),G139&gt;0),('계산 과정'!$E$56+'계산 과정'!$E$57*D139+'계산 과정'!$E$58*E139)/F139,"")</x:f>
        <x:v>-59.4437194882874</x:v>
      </x:c>
      <x:c r="J139" s="4" t="n">
        <x:f>IF('계산 과정'!$L$5,'계산 과정'!$D$6+'계산 과정'!$C$35*D139+'계산 과정'!$D$35*E139,"")</x:f>
        <x:v>641.392706686081</x:v>
      </x:c>
      <x:c r="K139" s="4" t="n">
        <x:f>IF(AND('계산 과정'!$L$6,J139&gt;0),'계산 과정'!$D$10*('계산 과정'!$C$38*(D139-'계산 과정'!$C$32)+'계산 과정'!$D$38*(E139-'계산 과정'!$D$32)-'계산 과정'!$E$38*'계산 과정'!$E$32)/J139,"")</x:f>
        <x:v>0.1073575452192561</x:v>
      </x:c>
      <x:c r="L139" s="4" t="n">
        <x:f>IF(AND('계산 과정'!$L$6,J139&gt;0),'계산 과정'!$D$10*('계산 과정'!$C$39*(D139-'계산 과정'!$C$32)+'계산 과정'!$D$39*(E139-'계산 과정'!$D$32)-'계산 과정'!$E$39*'계산 과정'!$E$32)/J139,"")</x:f>
        <x:v>-0.45290452943457066</x:v>
      </x:c>
      <x:c r="M139" s="17" t="n">
        <x:f>IF('계산 과정'!$L$6,IF(J139&lt;=0,0,IF(AND(ABS(K139)&lt;='계산 과정'!$D$11/2,ABS(L139)&lt;='계산 과정'!$D$12/2),1,0)),"")</x:f>
        <x:v>1</x:v>
      </x:c>
      <x:c r="N139" s="17" t="n">
        <x:f>IF('계산 과정'!$C$78,IF(AND(ISNUMBER(H139),ISNUMBER(I139),ABS(H139-'계산 과정'!$C$88)&lt;='계산 과정'!$D$23/2,ABS(I139-'계산 과정'!$C$89)&lt;='계산 과정'!$D$24/2),1,0),"")</x:f>
        <x:v>1</x:v>
      </x:c>
      <x:c r="O139" s="4" t="n">
        <x:f>IF('계산 과정'!$L$7,'계산 과정'!$C$49*('계산 과정'!$C$32-D139)+'계산 과정'!$D$49*('계산 과정'!$D$32-E139)+'계산 과정'!$E$49*'계산 과정'!$E$32,"")</x:f>
        <x:v>8.607293313919115</x:v>
      </x:c>
      <x:c r="P139" s="4" t="n">
        <x:f>IF(AND('계산 과정'!$L$7,O139&lt;&gt;0),('계산 과정'!$L$23-'계산 과정'!$C$49*D139-'계산 과정'!$D$49*E139)/O139,"")</x:f>
        <x:v>47.47221669013507</x:v>
      </x:c>
      <x:c r="Q139" s="4" t="str">
        <x:f>IF(AND(ISNUMBER(P139),P139&gt;1E-9,P139&lt;1-1E-9),'계산 과정'!$C$47*(D139-'계산 과정'!$C$50+P139*('계산 과정'!$C$32-D139))+'계산 과정'!$D$47*(E139-'계산 과정'!$D$50+P139*('계산 과정'!$D$32-E139))+'계산 과정'!$E$47*(0-'계산 과정'!$E$50+P139*('계산 과정'!$E$32-0)),"")</x:f>
      </x:c>
      <x:c r="R139" s="4" t="str">
        <x:f>IF(AND(ISNUMBER(P139),P139&gt;1E-9,P139&lt;1-1E-9),'계산 과정'!$C$48*(D139-'계산 과정'!$C$50+P139*('계산 과정'!$C$32-D139))+'계산 과정'!$D$48*(E139-'계산 과정'!$D$50+P139*('계산 과정'!$D$32-E139))+'계산 과정'!$E$48*(0-'계산 과정'!$E$50+P139*('계산 과정'!$E$32-0)),"")</x:f>
      </x:c>
      <x:c r="S139" s="17" t="n">
        <x:f>IF('계산 과정'!$C$78,IF(AND(ISNUMBER(Q139),ISNUMBER(R139),ABS(Q139-'계산 과정'!$C$88)&lt;='계산 과정'!$D$23/2,ABS(R139-'계산 과정'!$C$89)&lt;='계산 과정'!$D$24/2),1,0),"")</x:f>
        <x:v>0</x:v>
      </x:c>
      <x:c r="T139" s="4"/>
      <x:c r="U139" s="4"/>
      <x:c r="V139" s="4"/>
      <x:c r="W139" s="4" t="n">
        <x:f>IF('계산 과정'!$C$77,('계산 과정'!$D$56+'계산 과정'!$D$57*('계산 과정'!$L$11*COS(133*2*PI()/240))+'계산 과정'!$D$58*('계산 과정'!$L$11*SIN(133*2*PI()/240)))/('계산 과정'!$D$59+'계산 과정'!$D$60*('계산 과정'!$L$11*COS(133*2*PI()/240))+'계산 과정'!$D$61*('계산 과정'!$L$11*SIN(133*2*PI()/240))),"")</x:f>
        <x:v>-139.97843684111524</x:v>
      </x:c>
      <x:c r="X139" s="4" t="n">
        <x:f>IF('계산 과정'!$C$77,('계산 과정'!$E$56+'계산 과정'!$E$57*('계산 과정'!$L$11*COS(133*2*PI()/240))+'계산 과정'!$E$58*('계산 과정'!$L$11*SIN(133*2*PI()/240)))/('계산 과정'!$E$59+'계산 과정'!$E$60*('계산 과정'!$L$11*COS(133*2*PI()/240))+'계산 과정'!$E$61*('계산 과정'!$L$11*SIN(133*2*PI()/240))),"")</x:f>
        <x:v>-70.10110149994017</x:v>
      </x:c>
      <x:c r="Y139" s="4" t="str">
        <x:f>""</x:f>
      </x:c>
      <x:c r="Z139" s="4" t="str">
        <x:f>""</x:f>
      </x:c>
    </x:row>
    <x:row r="140" ht="23" customHeight="1">
      <x:c r="A140" s="17" t="n">
        <x:f>ROW()-6</x:f>
        <x:v>134</x:v>
      </x:c>
      <x:c r="B140" s="4" t="n">
        <x:f>IF('계산 과정'!$L$5,'계산 과정'!$L$11*SQRT((A140+0.5)/'계산 과정'!$L$30),"")</x:f>
        <x:v>38.44035812544546</x:v>
      </x:c>
      <x:c r="C140" s="4" t="n">
        <x:f>A140*PI()*(3-SQRT(5))</x:f>
        <x:v>321.59507278363947</x:v>
      </x:c>
      <x:c r="D140" s="4" t="n">
        <x:f>IF('계산 과정'!$L$5,B140*COS(C140),"")</x:f>
        <x:v>15.61034747727182</x:v>
      </x:c>
      <x:c r="E140" s="4" t="n">
        <x:f>IF('계산 과정'!$L$5,B140*SIN(C140),"")</x:f>
        <x:v>35.12802562700235</x:v>
      </x:c>
      <x:c r="F140" s="4" t="n">
        <x:f>IF('계산 과정'!$L$7,'계산 과정'!$L$22+'계산 과정'!$C$49*D140+'계산 과정'!$D$49*E140,"")</x:f>
        <x:v>638.9618174421428</x:v>
      </x:c>
      <x:c r="G140" s="4" t="n">
        <x:f>IF('계산 과정'!$L$7,IF(ABS(F140)&gt;=1E-12*MAX(1,SQRT((D140-'계산 과정'!$C$33)^2+(E140-'계산 과정'!$D$33)^2+'계산 과정'!$E$33^2)),('계산 과정'!$L$23-'계산 과정'!$C$49*D140-'계산 과정'!$D$49*E140)/F140,""),"")</x:f>
        <x:v>0.6432906808161135</x:v>
      </x:c>
      <x:c r="H140" s="4" t="n">
        <x:f>IF(AND(ISNUMBER(G140),G140&gt;0),('계산 과정'!$D$56+'계산 과정'!$D$57*D140+'계산 과정'!$D$58*E140)/F140,"")</x:f>
        <x:v>18.138942530473628</x:v>
      </x:c>
      <x:c r="I140" s="4" t="n">
        <x:f>IF(AND(ISNUMBER(G140),G140&gt;0),('계산 과정'!$E$56+'계산 과정'!$E$57*D140+'계산 과정'!$E$58*E140)/F140,"")</x:f>
        <x:v>57.72555714832258</x:v>
      </x:c>
      <x:c r="J140" s="4" t="n">
        <x:f>IF('계산 과정'!$L$5,'계산 과정'!$D$6+'계산 과정'!$C$35*D140+'계산 과정'!$D$35*E140,"")</x:f>
        <x:v>638.9618174421428</x:v>
      </x:c>
      <x:c r="K140" s="4" t="n">
        <x:f>IF(AND('계산 과정'!$L$6,J140&gt;0),'계산 과정'!$D$10*('계산 과정'!$C$38*(D140-'계산 과정'!$C$32)+'계산 과정'!$D$38*(E140-'계산 과정'!$D$32)-'계산 과정'!$E$38*'계산 과정'!$E$32)/J140,"")</x:f>
        <x:v>0.13820146689884763</x:v>
      </x:c>
      <x:c r="L140" s="4" t="n">
        <x:f>IF(AND('계산 과정'!$L$6,J140&gt;0),'계산 과정'!$D$10*('계산 과정'!$C$39*(D140-'계산 과정'!$C$32)+'계산 과정'!$D$39*(E140-'계산 과정'!$D$32)-'계산 과정'!$E$39*'계산 과정'!$E$32)/J140,"")</x:f>
        <x:v>0.43981376874912437</x:v>
      </x:c>
      <x:c r="M140" s="17" t="n">
        <x:f>IF('계산 과정'!$L$6,IF(J140&lt;=0,0,IF(AND(ABS(K140)&lt;='계산 과정'!$D$11/2,ABS(L140)&lt;='계산 과정'!$D$12/2),1,0)),"")</x:f>
        <x:v>1</x:v>
      </x:c>
      <x:c r="N140" s="17" t="n">
        <x:f>IF('계산 과정'!$C$78,IF(AND(ISNUMBER(H140),ISNUMBER(I140),ABS(H140-'계산 과정'!$C$88)&lt;='계산 과정'!$D$23/2,ABS(I140-'계산 과정'!$C$89)&lt;='계산 과정'!$D$24/2),1,0),"")</x:f>
        <x:v>1</x:v>
      </x:c>
      <x:c r="O140" s="4" t="n">
        <x:f>IF('계산 과정'!$L$7,'계산 과정'!$C$49*('계산 과정'!$C$32-D140)+'계산 과정'!$D$49*('계산 과정'!$D$32-E140)+'계산 과정'!$E$49*'계산 과정'!$E$32,"")</x:f>
        <x:v>11.03818255785734</x:v>
      </x:c>
      <x:c r="P140" s="4" t="n">
        <x:f>IF(AND('계산 과정'!$L$7,O140&lt;&gt;0),('계산 과정'!$L$23-'계산 과정'!$C$49*D140-'계산 과정'!$D$49*E140)/O140,"")</x:f>
        <x:v>37.23784965535533</x:v>
      </x:c>
      <x:c r="Q140" s="4" t="str">
        <x:f>IF(AND(ISNUMBER(P140),P140&gt;1E-9,P140&lt;1-1E-9),'계산 과정'!$C$47*(D140-'계산 과정'!$C$50+P140*('계산 과정'!$C$32-D140))+'계산 과정'!$D$47*(E140-'계산 과정'!$D$50+P140*('계산 과정'!$D$32-E140))+'계산 과정'!$E$47*(0-'계산 과정'!$E$50+P140*('계산 과정'!$E$32-0)),"")</x:f>
      </x:c>
      <x:c r="R140" s="4" t="str">
        <x:f>IF(AND(ISNUMBER(P140),P140&gt;1E-9,P140&lt;1-1E-9),'계산 과정'!$C$48*(D140-'계산 과정'!$C$50+P140*('계산 과정'!$C$32-D140))+'계산 과정'!$D$48*(E140-'계산 과정'!$D$50+P140*('계산 과정'!$D$32-E140))+'계산 과정'!$E$48*(0-'계산 과정'!$E$50+P140*('계산 과정'!$E$32-0)),"")</x:f>
      </x:c>
      <x:c r="S140" s="17" t="n">
        <x:f>IF('계산 과정'!$C$78,IF(AND(ISNUMBER(Q140),ISNUMBER(R140),ABS(Q140-'계산 과정'!$C$88)&lt;='계산 과정'!$D$23/2,ABS(R140-'계산 과정'!$C$89)&lt;='계산 과정'!$D$24/2),1,0),"")</x:f>
        <x:v>0</x:v>
      </x:c>
      <x:c r="T140" s="4"/>
      <x:c r="U140" s="4"/>
      <x:c r="V140" s="4"/>
      <x:c r="W140" s="4" t="n">
        <x:f>IF('계산 과정'!$C$77,('계산 과정'!$D$56+'계산 과정'!$D$57*('계산 과정'!$L$11*COS(134*2*PI()/240))+'계산 과정'!$D$58*('계산 과정'!$L$11*SIN(134*2*PI()/240)))/('계산 과정'!$D$59+'계산 과정'!$D$60*('계산 과정'!$L$11*COS(134*2*PI()/240))+'계산 과정'!$D$61*('계산 과정'!$L$11*SIN(134*2*PI()/240))),"")</x:f>
        <x:v>-138.81078576087495</x:v>
      </x:c>
      <x:c r="X140" s="4" t="n">
        <x:f>IF('계산 과정'!$C$77,('계산 과정'!$E$56+'계산 과정'!$E$57*('계산 과정'!$L$11*COS(134*2*PI()/240))+'계산 과정'!$E$58*('계산 과정'!$L$11*SIN(134*2*PI()/240)))/('계산 과정'!$E$59+'계산 과정'!$E$60*('계산 과정'!$L$11*COS(134*2*PI()/240))+'계산 과정'!$E$61*('계산 과정'!$L$11*SIN(134*2*PI()/240))),"")</x:f>
        <x:v>-75.35561777415423</x:v>
      </x:c>
      <x:c r="Y140" s="4" t="str">
        <x:f>""</x:f>
      </x:c>
      <x:c r="Z140" s="4" t="str">
        <x:f>""</x:f>
      </x:c>
    </x:row>
    <x:row r="141" ht="23" customHeight="1">
      <x:c r="A141" s="17" t="n">
        <x:f>ROW()-6</x:f>
        <x:v>135</x:v>
      </x:c>
      <x:c r="B141" s="4" t="n">
        <x:f>IF('계산 과정'!$L$5,'계산 과정'!$L$11*SQRT((A141+0.5)/'계산 과정'!$L$30),"")</x:f>
        <x:v>38.582994452705464</x:v>
      </x:c>
      <x:c r="C141" s="4" t="n">
        <x:f>A141*PI()*(3-SQRT(5))</x:f>
        <x:v>323.9950360133681</x:v>
      </x:c>
      <x:c r="D141" s="4" t="n">
        <x:f>IF('계산 과정'!$L$5,B141*COS(C141),"")</x:f>
        <x:v>-35.369983013955476</x:v>
      </x:c>
      <x:c r="E141" s="4" t="n">
        <x:f>IF('계산 과정'!$L$5,B141*SIN(C141),"")</x:f>
        <x:v>-15.41466063622555</x:v>
      </x:c>
      <x:c r="F141" s="4" t="n">
        <x:f>IF('계산 과정'!$L$7,'계산 과정'!$L$22+'계산 과정'!$C$49*D141+'계산 과정'!$D$49*E141,"")</x:f>
        <x:v>675.010354839621</x:v>
      </x:c>
      <x:c r="G141" s="4" t="n">
        <x:f>IF('계산 과정'!$L$7,IF(ABS(F141)&gt;=1E-12*MAX(1,SQRT((D141-'계산 과정'!$C$33)^2+(E141-'계산 과정'!$D$33)^2+'계산 과정'!$E$33^2)),('계산 과정'!$L$23-'계산 과정'!$C$49*D141-'계산 과정'!$D$49*E141)/F141,""),"")</x:f>
        <x:v>0.5555316929167328</x:v>
      </x:c>
      <x:c r="H141" s="4" t="n">
        <x:f>IF(AND(ISNUMBER(G141),G141&gt;0),('계산 과정'!$D$56+'계산 과정'!$D$57*D141+'계산 과정'!$D$58*E141)/F141,"")</x:f>
        <x:v>-38.904399604123846</x:v>
      </x:c>
      <x:c r="I141" s="4" t="n">
        <x:f>IF(AND(ISNUMBER(G141),G141&gt;0),('계산 과정'!$E$56+'계산 과정'!$E$57*D141+'계산 과정'!$E$58*E141)/F141,"")</x:f>
        <x:v>-23.97799315520485</x:v>
      </x:c>
      <x:c r="J141" s="4" t="n">
        <x:f>IF('계산 과정'!$L$5,'계산 과정'!$D$6+'계산 과정'!$C$35*D141+'계산 과정'!$D$35*E141,"")</x:f>
        <x:v>675.010354839621</x:v>
      </x:c>
      <x:c r="K141" s="4" t="n">
        <x:f>IF(AND('계산 과정'!$L$6,J141&gt;0),'계산 과정'!$D$10*('계산 과정'!$C$38*(D141-'계산 과정'!$C$32)+'계산 과정'!$D$38*(E141-'계산 과정'!$D$32)-'계산 과정'!$E$38*'계산 과정'!$E$32)/J141,"")</x:f>
        <x:v>-0.2964144731742758</x:v>
      </x:c>
      <x:c r="L141" s="4" t="n">
        <x:f>IF(AND('계산 과정'!$L$6,J141&gt;0),'계산 과정'!$D$10*('계산 과정'!$C$39*(D141-'계산 과정'!$C$32)+'계산 과정'!$D$39*(E141-'계산 과정'!$D$32)-'계산 과정'!$E$39*'계산 과정'!$E$32)/J141,"")</x:f>
        <x:v>-0.1826894716587036</x:v>
      </x:c>
      <x:c r="M141" s="17" t="n">
        <x:f>IF('계산 과정'!$L$6,IF(J141&lt;=0,0,IF(AND(ABS(K141)&lt;='계산 과정'!$D$11/2,ABS(L141)&lt;='계산 과정'!$D$12/2),1,0)),"")</x:f>
        <x:v>1</x:v>
      </x:c>
      <x:c r="N141" s="17" t="n">
        <x:f>IF('계산 과정'!$C$78,IF(AND(ISNUMBER(H141),ISNUMBER(I141),ABS(H141-'계산 과정'!$C$88)&lt;='계산 과정'!$D$23/2,ABS(I141-'계산 과정'!$C$89)&lt;='계산 과정'!$D$24/2),1,0),"")</x:f>
        <x:v>1</x:v>
      </x:c>
      <x:c r="O141" s="4" t="n">
        <x:f>IF('계산 과정'!$L$7,'계산 과정'!$C$49*('계산 과정'!$C$32-D141)+'계산 과정'!$D$49*('계산 과정'!$D$32-E141)+'계산 과정'!$E$49*'계산 과정'!$E$32,"")</x:f>
        <x:v>-25.01035483962079</x:v>
      </x:c>
      <x:c r="P141" s="4" t="n">
        <x:f>IF(AND('계산 과정'!$L$7,O141&lt;&gt;0),('계산 과정'!$L$23-'계산 과정'!$C$49*D141-'계산 과정'!$D$49*E141)/O141,"")</x:f>
        <x:v>-14.993375646407452</x:v>
      </x:c>
      <x:c r="Q141" s="4" t="str">
        <x:f>IF(AND(ISNUMBER(P141),P141&gt;1E-9,P141&lt;1-1E-9),'계산 과정'!$C$47*(D141-'계산 과정'!$C$50+P141*('계산 과정'!$C$32-D141))+'계산 과정'!$D$47*(E141-'계산 과정'!$D$50+P141*('계산 과정'!$D$32-E141))+'계산 과정'!$E$47*(0-'계산 과정'!$E$50+P141*('계산 과정'!$E$32-0)),"")</x:f>
      </x:c>
      <x:c r="R141" s="4" t="str">
        <x:f>IF(AND(ISNUMBER(P141),P141&gt;1E-9,P141&lt;1-1E-9),'계산 과정'!$C$48*(D141-'계산 과정'!$C$50+P141*('계산 과정'!$C$32-D141))+'계산 과정'!$D$48*(E141-'계산 과정'!$D$50+P141*('계산 과정'!$D$32-E141))+'계산 과정'!$E$48*(0-'계산 과정'!$E$50+P141*('계산 과정'!$E$32-0)),"")</x:f>
      </x:c>
      <x:c r="S141" s="17" t="n">
        <x:f>IF('계산 과정'!$C$78,IF(AND(ISNUMBER(Q141),ISNUMBER(R141),ABS(Q141-'계산 과정'!$C$88)&lt;='계산 과정'!$D$23/2,ABS(R141-'계산 과정'!$C$89)&lt;='계산 과정'!$D$24/2),1,0),"")</x:f>
        <x:v>0</x:v>
      </x:c>
      <x:c r="T141" s="4"/>
      <x:c r="U141" s="4"/>
      <x:c r="V141" s="4"/>
      <x:c r="W141" s="4" t="n">
        <x:f>IF('계산 과정'!$C$77,('계산 과정'!$D$56+'계산 과정'!$D$57*('계산 과정'!$L$11*COS(135*2*PI()/240))+'계산 과정'!$D$58*('계산 과정'!$L$11*SIN(135*2*PI()/240)))/('계산 과정'!$D$59+'계산 과정'!$D$60*('계산 과정'!$L$11*COS(135*2*PI()/240))+'계산 과정'!$D$61*('계산 과정'!$L$11*SIN(135*2*PI()/240))),"")</x:f>
        <x:v>-137.55735742624628</x:v>
      </x:c>
      <x:c r="X141" s="4" t="n">
        <x:f>IF('계산 과정'!$C$77,('계산 과정'!$E$56+'계산 과정'!$E$57*('계산 과정'!$L$11*COS(135*2*PI()/240))+'계산 과정'!$E$58*('계산 과정'!$L$11*SIN(135*2*PI()/240)))/('계산 과정'!$E$59+'계산 과정'!$E$60*('계산 과정'!$L$11*COS(135*2*PI()/240))+'계산 과정'!$E$61*('계산 과정'!$L$11*SIN(135*2*PI()/240))),"")</x:f>
        <x:v>-80.57923437609158</x:v>
      </x:c>
      <x:c r="Y141" s="4" t="str">
        <x:f>""</x:f>
      </x:c>
      <x:c r="Z141" s="4" t="str">
        <x:f>""</x:f>
      </x:c>
    </x:row>
    <x:row r="142" ht="23" customHeight="1">
      <x:c r="A142" s="17" t="n">
        <x:f>ROW()-6</x:f>
        <x:v>136</x:v>
      </x:c>
      <x:c r="B142" s="4" t="n">
        <x:f>IF('계산 과정'!$L$5,'계산 과정'!$L$11*SQRT((A142+0.5)/'계산 과정'!$L$30),"")</x:f>
        <x:v>38.7251054106054</x:v>
      </x:c>
      <x:c r="C142" s="4" t="n">
        <x:f>A142*PI()*(3-SQRT(5))</x:f>
        <x:v>326.39499924309683</x:v>
      </x:c>
      <x:c r="D142" s="4" t="n">
        <x:f>IF('계산 과정'!$L$5,B142*COS(C142),"")</x:f>
        <x:v>36.62759197668812</x:v>
      </x:c>
      <x:c r="E142" s="4" t="n">
        <x:f>IF('계산 과정'!$L$5,B142*SIN(C142),"")</x:f>
        <x:v>-12.571924874566804</x:v>
      </x:c>
      <x:c r="F142" s="4" t="n">
        <x:f>IF('계산 과정'!$L$7,'계산 과정'!$L$22+'계산 과정'!$C$49*D142+'계산 과정'!$D$49*E142,"")</x:f>
        <x:v>624.1003813347498</x:v>
      </x:c>
      <x:c r="G142" s="4" t="n">
        <x:f>IF('계산 과정'!$L$7,IF(ABS(F142)&gt;=1E-12*MAX(1,SQRT((D142-'계산 과정'!$C$33)^2+(E142-'계산 과정'!$D$33)^2+'계산 과정'!$E$33^2)),('계산 과정'!$L$23-'계산 과정'!$C$49*D142-'계산 과정'!$D$49*E142)/F142,""),"")</x:f>
        <x:v>0.6824216606860389</x:v>
      </x:c>
      <x:c r="H142" s="4" t="n">
        <x:f>IF(AND(ISNUMBER(G142),G142&gt;0),('계산 과정'!$D$56+'계산 과정'!$D$57*D142+'계산 과정'!$D$58*E142)/F142,"")</x:f>
        <x:v>43.574079445925186</x:v>
      </x:c>
      <x:c r="I142" s="4" t="n">
        <x:f>IF(AND(ISNUMBER(G142),G142&gt;0),('계산 과정'!$E$56+'계산 과정'!$E$57*D142+'계산 과정'!$E$58*E142)/F142,"")</x:f>
        <x:v>-21.151278725488805</x:v>
      </x:c>
      <x:c r="J142" s="4" t="n">
        <x:f>IF('계산 과정'!$L$5,'계산 과정'!$D$6+'계산 과정'!$C$35*D142+'계산 과정'!$D$35*E142,"")</x:f>
        <x:v>624.1003813347498</x:v>
      </x:c>
      <x:c r="K142" s="4" t="n">
        <x:f>IF(AND('계산 과정'!$L$6,J142&gt;0),'계산 과정'!$D$10*('계산 과정'!$C$38*(D142-'계산 과정'!$C$32)+'계산 과정'!$D$38*(E142-'계산 과정'!$D$32)-'계산 과정'!$E$38*'계산 과정'!$E$32)/J142,"")</x:f>
        <x:v>0.331992986254669</x:v>
      </x:c>
      <x:c r="L142" s="4" t="n">
        <x:f>IF(AND('계산 과정'!$L$6,J142&gt;0),'계산 과정'!$D$10*('계산 과정'!$C$39*(D142-'계산 과정'!$C$32)+'계산 과정'!$D$39*(E142-'계산 과정'!$D$32)-'계산 과정'!$E$39*'계산 과정'!$E$32)/J142,"")</x:f>
        <x:v>-0.16115259981324803</x:v>
      </x:c>
      <x:c r="M142" s="17" t="n">
        <x:f>IF('계산 과정'!$L$6,IF(J142&lt;=0,0,IF(AND(ABS(K142)&lt;='계산 과정'!$D$11/2,ABS(L142)&lt;='계산 과정'!$D$12/2),1,0)),"")</x:f>
        <x:v>1</x:v>
      </x:c>
      <x:c r="N142" s="17" t="n">
        <x:f>IF('계산 과정'!$C$78,IF(AND(ISNUMBER(H142),ISNUMBER(I142),ABS(H142-'계산 과정'!$C$88)&lt;='계산 과정'!$D$23/2,ABS(I142-'계산 과정'!$C$89)&lt;='계산 과정'!$D$24/2),1,0),"")</x:f>
        <x:v>1</x:v>
      </x:c>
      <x:c r="O142" s="4" t="n">
        <x:f>IF('계산 과정'!$L$7,'계산 과정'!$C$49*('계산 과정'!$C$32-D142)+'계산 과정'!$D$49*('계산 과정'!$D$32-E142)+'계산 과정'!$E$49*'계산 과정'!$E$32,"")</x:f>
        <x:v>25.899618665250273</x:v>
      </x:c>
      <x:c r="P142" s="4" t="n">
        <x:f>IF(AND('계산 과정'!$L$7,O142&lt;&gt;0),('계산 과정'!$L$23-'계산 과정'!$C$49*D142-'계산 과정'!$D$49*E142)/O142,"")</x:f>
        <x:v>16.444242834999077</x:v>
      </x:c>
      <x:c r="Q142" s="4" t="str">
        <x:f>IF(AND(ISNUMBER(P142),P142&gt;1E-9,P142&lt;1-1E-9),'계산 과정'!$C$47*(D142-'계산 과정'!$C$50+P142*('계산 과정'!$C$32-D142))+'계산 과정'!$D$47*(E142-'계산 과정'!$D$50+P142*('계산 과정'!$D$32-E142))+'계산 과정'!$E$47*(0-'계산 과정'!$E$50+P142*('계산 과정'!$E$32-0)),"")</x:f>
      </x:c>
      <x:c r="R142" s="4" t="str">
        <x:f>IF(AND(ISNUMBER(P142),P142&gt;1E-9,P142&lt;1-1E-9),'계산 과정'!$C$48*(D142-'계산 과정'!$C$50+P142*('계산 과정'!$C$32-D142))+'계산 과정'!$D$48*(E142-'계산 과정'!$D$50+P142*('계산 과정'!$D$32-E142))+'계산 과정'!$E$48*(0-'계산 과정'!$E$50+P142*('계산 과정'!$E$32-0)),"")</x:f>
      </x:c>
      <x:c r="S142" s="17" t="n">
        <x:f>IF('계산 과정'!$C$78,IF(AND(ISNUMBER(Q142),ISNUMBER(R142),ABS(Q142-'계산 과정'!$C$88)&lt;='계산 과정'!$D$23/2,ABS(R142-'계산 과정'!$C$89)&lt;='계산 과정'!$D$24/2),1,0),"")</x:f>
        <x:v>0</x:v>
      </x:c>
      <x:c r="T142" s="4"/>
      <x:c r="U142" s="4"/>
      <x:c r="V142" s="4"/>
      <x:c r="W142" s="4" t="n">
        <x:f>IF('계산 과정'!$C$77,('계산 과정'!$D$56+'계산 과정'!$D$57*('계산 과정'!$L$11*COS(136*2*PI()/240))+'계산 과정'!$D$58*('계산 과정'!$L$11*SIN(136*2*PI()/240)))/('계산 과정'!$D$59+'계산 과정'!$D$60*('계산 과정'!$L$11*COS(136*2*PI()/240))+'계산 과정'!$D$61*('계산 과정'!$L$11*SIN(136*2*PI()/240))),"")</x:f>
        <x:v>-136.21831841343976</x:v>
      </x:c>
      <x:c r="X142" s="4" t="n">
        <x:f>IF('계산 과정'!$C$77,('계산 과정'!$E$56+'계산 과정'!$E$57*('계산 과정'!$L$11*COS(136*2*PI()/240))+'계산 과정'!$E$58*('계산 과정'!$L$11*SIN(136*2*PI()/240)))/('계산 과정'!$E$59+'계산 과정'!$E$60*('계산 과정'!$L$11*COS(136*2*PI()/240))+'계산 과정'!$E$61*('계산 과정'!$L$11*SIN(136*2*PI()/240))),"")</x:f>
        <x:v>-85.76965238600246</x:v>
      </x:c>
      <x:c r="Y142" s="4" t="str">
        <x:f>""</x:f>
      </x:c>
      <x:c r="Z142" s="4" t="str">
        <x:f>""</x:f>
      </x:c>
    </x:row>
    <x:row r="143" ht="23" customHeight="1">
      <x:c r="A143" s="17" t="n">
        <x:f>ROW()-6</x:f>
        <x:v>137</x:v>
      </x:c>
      <x:c r="B143" s="4" t="n">
        <x:f>IF('계산 과정'!$L$5,'계산 과정'!$L$11*SQRT((A143+0.5)/'계산 과정'!$L$30),"")</x:f>
        <x:v>38.866696761977344</x:v>
      </x:c>
      <x:c r="C143" s="4" t="n">
        <x:f>A143*PI()*(3-SQRT(5))</x:f>
        <x:v>328.79496247282543</x:v>
      </x:c>
      <x:c r="D143" s="4" t="n">
        <x:f>IF('계산 과정'!$L$5,B143*COS(C143),"")</x:f>
        <x:v>-18.58353296828686</x:v>
      </x:c>
      <x:c r="E143" s="4" t="n">
        <x:f>IF('계산 과정'!$L$5,B143*SIN(C143),"")</x:f>
        <x:v>34.1360867646556</x:v>
      </x:c>
      <x:c r="F143" s="4" t="n">
        <x:f>IF('계산 과정'!$L$7,'계산 과정'!$L$22+'계산 과정'!$C$49*D143+'계산 과정'!$D$49*E143,"")</x:f>
        <x:v>663.1405421802795</x:v>
      </x:c>
      <x:c r="G143" s="4" t="n">
        <x:f>IF('계산 과정'!$L$7,IF(ABS(F143)&gt;=1E-12*MAX(1,SQRT((D143-'계산 과정'!$C$33)^2+(E143-'계산 과정'!$D$33)^2+'계산 과정'!$E$33^2)),('계산 과정'!$L$23-'계산 과정'!$C$49*D143-'계산 과정'!$D$49*E143)/F143,""),"")</x:f>
        <x:v>0.5833747647939012</x:v>
      </x:c>
      <x:c r="H143" s="4" t="n">
        <x:f>IF(AND(ISNUMBER(G143),G143&gt;0),('계산 과정'!$D$56+'계산 과정'!$D$57*D143+'계산 과정'!$D$58*E143)/F143,"")</x:f>
        <x:v>-20.806402883964363</x:v>
      </x:c>
      <x:c r="I143" s="4" t="n">
        <x:f>IF(AND(ISNUMBER(G143),G143&gt;0),('계산 과정'!$E$56+'계산 과정'!$E$57*D143+'계산 과정'!$E$58*E143)/F143,"")</x:f>
        <x:v>54.05021835197076</x:v>
      </x:c>
      <x:c r="J143" s="4" t="n">
        <x:f>IF('계산 과정'!$L$5,'계산 과정'!$D$6+'계산 과정'!$C$35*D143+'계산 과정'!$D$35*E143,"")</x:f>
        <x:v>663.1405421802795</x:v>
      </x:c>
      <x:c r="K143" s="4" t="n">
        <x:f>IF(AND('계산 과정'!$L$6,J143&gt;0),'계산 과정'!$D$10*('계산 과정'!$C$38*(D143-'계산 과정'!$C$32)+'계산 과정'!$D$38*(E143-'계산 과정'!$D$32)-'계산 과정'!$E$38*'계산 과정'!$E$32)/J143,"")</x:f>
        <x:v>-0.15852497435401314</x:v>
      </x:c>
      <x:c r="L143" s="4" t="n">
        <x:f>IF(AND('계산 과정'!$L$6,J143&gt;0),'계산 과정'!$D$10*('계산 과정'!$C$39*(D143-'계산 과정'!$C$32)+'계산 과정'!$D$39*(E143-'계산 과정'!$D$32)-'계산 과정'!$E$39*'계산 과정'!$E$32)/J143,"")</x:f>
        <x:v>0.41181118744358675</x:v>
      </x:c>
      <x:c r="M143" s="17" t="n">
        <x:f>IF('계산 과정'!$L$6,IF(J143&lt;=0,0,IF(AND(ABS(K143)&lt;='계산 과정'!$D$11/2,ABS(L143)&lt;='계산 과정'!$D$12/2),1,0)),"")</x:f>
        <x:v>1</x:v>
      </x:c>
      <x:c r="N143" s="17" t="n">
        <x:f>IF('계산 과정'!$C$78,IF(AND(ISNUMBER(H143),ISNUMBER(I143),ABS(H143-'계산 과정'!$C$88)&lt;='계산 과정'!$D$23/2,ABS(I143-'계산 과정'!$C$89)&lt;='계산 과정'!$D$24/2),1,0),"")</x:f>
        <x:v>1</x:v>
      </x:c>
      <x:c r="O143" s="4" t="n">
        <x:f>IF('계산 과정'!$L$7,'계산 과정'!$C$49*('계산 과정'!$C$32-D143)+'계산 과정'!$D$49*('계산 과정'!$D$32-E143)+'계산 과정'!$E$49*'계산 과정'!$E$32,"")</x:f>
        <x:v>-13.140542180279283</x:v>
      </x:c>
      <x:c r="P143" s="4" t="n">
        <x:f>IF(AND('계산 과정'!$L$7,O143&lt;&gt;0),('계산 과정'!$L$23-'계산 과정'!$C$49*D143-'계산 과정'!$D$49*E143)/O143,"")</x:f>
        <x:v>-29.440144288741855</x:v>
      </x:c>
      <x:c r="Q143" s="4" t="str">
        <x:f>IF(AND(ISNUMBER(P143),P143&gt;1E-9,P143&lt;1-1E-9),'계산 과정'!$C$47*(D143-'계산 과정'!$C$50+P143*('계산 과정'!$C$32-D143))+'계산 과정'!$D$47*(E143-'계산 과정'!$D$50+P143*('계산 과정'!$D$32-E143))+'계산 과정'!$E$47*(0-'계산 과정'!$E$50+P143*('계산 과정'!$E$32-0)),"")</x:f>
      </x:c>
      <x:c r="R143" s="4" t="str">
        <x:f>IF(AND(ISNUMBER(P143),P143&gt;1E-9,P143&lt;1-1E-9),'계산 과정'!$C$48*(D143-'계산 과정'!$C$50+P143*('계산 과정'!$C$32-D143))+'계산 과정'!$D$48*(E143-'계산 과정'!$D$50+P143*('계산 과정'!$D$32-E143))+'계산 과정'!$E$48*(0-'계산 과정'!$E$50+P143*('계산 과정'!$E$32-0)),"")</x:f>
      </x:c>
      <x:c r="S143" s="17" t="n">
        <x:f>IF('계산 과정'!$C$78,IF(AND(ISNUMBER(Q143),ISNUMBER(R143),ABS(Q143-'계산 과정'!$C$88)&lt;='계산 과정'!$D$23/2,ABS(R143-'계산 과정'!$C$89)&lt;='계산 과정'!$D$24/2),1,0),"")</x:f>
        <x:v>0</x:v>
      </x:c>
      <x:c r="T143" s="4"/>
      <x:c r="U143" s="4"/>
      <x:c r="V143" s="4"/>
      <x:c r="W143" s="4" t="n">
        <x:f>IF('계산 과정'!$C$77,('계산 과정'!$D$56+'계산 과정'!$D$57*('계산 과정'!$L$11*COS(137*2*PI()/240))+'계산 과정'!$D$58*('계산 과정'!$L$11*SIN(137*2*PI()/240)))/('계산 과정'!$D$59+'계산 과정'!$D$60*('계산 과정'!$L$11*COS(137*2*PI()/240))+'계산 과정'!$D$61*('계산 과정'!$L$11*SIN(137*2*PI()/240))),"")</x:f>
        <x:v>-134.79385137874277</x:v>
      </x:c>
      <x:c r="X143" s="4" t="n">
        <x:f>IF('계산 과정'!$C$77,('계산 과정'!$E$56+'계산 과정'!$E$57*('계산 과정'!$L$11*COS(137*2*PI()/240))+'계산 과정'!$E$58*('계산 과정'!$L$11*SIN(137*2*PI()/240)))/('계산 과정'!$E$59+'계산 과정'!$E$60*('계산 과정'!$L$11*COS(137*2*PI()/240))+'계산 과정'!$E$61*('계산 과정'!$L$11*SIN(137*2*PI()/240))),"")</x:f>
        <x:v>-90.92455450353076</x:v>
      </x:c>
      <x:c r="Y143" s="4" t="str">
        <x:f>""</x:f>
      </x:c>
      <x:c r="Z143" s="4" t="str">
        <x:f>""</x:f>
      </x:c>
    </x:row>
    <x:row r="144" ht="23" customHeight="1">
      <x:c r="A144" s="17" t="n">
        <x:f>ROW()-6</x:f>
        <x:v>138</x:v>
      </x:c>
      <x:c r="B144" s="4" t="n">
        <x:f>IF('계산 과정'!$L$5,'계산 과정'!$L$11*SQRT((A144+0.5)/'계산 과정'!$L$30),"")</x:f>
        <x:v>39.00777416506228</x:v>
      </x:c>
      <x:c r="C144" s="4" t="n">
        <x:f>A144*PI()*(3-SQRT(5))</x:f>
        <x:v>331.1949257025541</x:v>
      </x:c>
      <x:c r="D144" s="4" t="n">
        <x:f>IF('계산 과정'!$L$5,B144*COS(C144),"")</x:f>
        <x:v>-9.389635447830395</x:v>
      </x:c>
      <x:c r="E144" s="4" t="n">
        <x:f>IF('계산 과정'!$L$5,B144*SIN(C144),"")</x:f>
        <x:v>-37.86081340210941</x:v>
      </x:c>
      <x:c r="F144" s="4" t="n">
        <x:f>IF('계산 과정'!$L$7,'계산 과정'!$L$22+'계산 과정'!$C$49*D144+'계산 과정'!$D$49*E144,"")</x:f>
        <x:v>656.6394748980305</x:v>
      </x:c>
      <x:c r="G144" s="4" t="n">
        <x:f>IF('계산 과정'!$L$7,IF(ABS(F144)&gt;=1E-12*MAX(1,SQRT((D144-'계산 과정'!$C$33)^2+(E144-'계산 과정'!$D$33)^2+'계산 과정'!$E$33^2)),('계산 과정'!$L$23-'계산 과정'!$C$49*D144-'계산 과정'!$D$49*E144)/F144,""),"")</x:f>
        <x:v>0.5990509863316617</x:v>
      </x:c>
      <x:c r="H144" s="4" t="n">
        <x:f>IF(AND(ISNUMBER(G144),G144&gt;0),('계산 과정'!$D$56+'계산 과정'!$D$57*D144+'계산 과정'!$D$58*E144)/F144,"")</x:f>
        <x:v>-10.616858884420028</x:v>
      </x:c>
      <x:c r="I144" s="4" t="n">
        <x:f>IF(AND(ISNUMBER(G144),G144&gt;0),('계산 과정'!$E$56+'계산 과정'!$E$57*D144+'계산 과정'!$E$58*E144)/F144,"")</x:f>
        <x:v>-60.541371013962035</x:v>
      </x:c>
      <x:c r="J144" s="4" t="n">
        <x:f>IF('계산 과정'!$L$5,'계산 과정'!$D$6+'계산 과정'!$C$35*D144+'계산 과정'!$D$35*E144,"")</x:f>
        <x:v>656.6394748980305</x:v>
      </x:c>
      <x:c r="K144" s="4" t="n">
        <x:f>IF(AND('계산 과정'!$L$6,J144&gt;0),'계산 과정'!$D$10*('계산 과정'!$C$38*(D144-'계산 과정'!$C$32)+'계산 과정'!$D$38*(E144-'계산 과정'!$D$32)-'계산 과정'!$E$38*'계산 과정'!$E$32)/J144,"")</x:f>
        <x:v>-0.08089035340510425</x:v>
      </x:c>
      <x:c r="L144" s="4" t="n">
        <x:f>IF(AND('계산 과정'!$L$6,J144&gt;0),'계산 과정'!$D$10*('계산 과정'!$C$39*(D144-'계산 과정'!$C$32)+'계산 과정'!$D$39*(E144-'계산 과정'!$D$32)-'계산 과정'!$E$39*'계산 과정'!$E$32)/J144,"")</x:f>
        <x:v>-0.46126758867780604</x:v>
      </x:c>
      <x:c r="M144" s="17" t="n">
        <x:f>IF('계산 과정'!$L$6,IF(J144&lt;=0,0,IF(AND(ABS(K144)&lt;='계산 과정'!$D$11/2,ABS(L144)&lt;='계산 과정'!$D$12/2),1,0)),"")</x:f>
        <x:v>1</x:v>
      </x:c>
      <x:c r="N144" s="17" t="n">
        <x:f>IF('계산 과정'!$C$78,IF(AND(ISNUMBER(H144),ISNUMBER(I144),ABS(H144-'계산 과정'!$C$88)&lt;='계산 과정'!$D$23/2,ABS(I144-'계산 과정'!$C$89)&lt;='계산 과정'!$D$24/2),1,0),"")</x:f>
        <x:v>1</x:v>
      </x:c>
      <x:c r="O144" s="4" t="n">
        <x:f>IF('계산 과정'!$L$7,'계산 과정'!$C$49*('계산 과정'!$C$32-D144)+'계산 과정'!$D$49*('계산 과정'!$D$32-E144)+'계산 과정'!$E$49*'계산 과정'!$E$32,"")</x:f>
        <x:v>-6.6394748980303575</x:v>
      </x:c>
      <x:c r="P144" s="4" t="n">
        <x:f>IF(AND('계산 과정'!$L$7,O144&lt;&gt;0),('계산 과정'!$L$23-'계산 과정'!$C$49*D144-'계산 과정'!$D$49*E144)/O144,"")</x:f>
        <x:v>-59.24572818532117</x:v>
      </x:c>
      <x:c r="Q144" s="4" t="str">
        <x:f>IF(AND(ISNUMBER(P144),P144&gt;1E-9,P144&lt;1-1E-9),'계산 과정'!$C$47*(D144-'계산 과정'!$C$50+P144*('계산 과정'!$C$32-D144))+'계산 과정'!$D$47*(E144-'계산 과정'!$D$50+P144*('계산 과정'!$D$32-E144))+'계산 과정'!$E$47*(0-'계산 과정'!$E$50+P144*('계산 과정'!$E$32-0)),"")</x:f>
      </x:c>
      <x:c r="R144" s="4" t="str">
        <x:f>IF(AND(ISNUMBER(P144),P144&gt;1E-9,P144&lt;1-1E-9),'계산 과정'!$C$48*(D144-'계산 과정'!$C$50+P144*('계산 과정'!$C$32-D144))+'계산 과정'!$D$48*(E144-'계산 과정'!$D$50+P144*('계산 과정'!$D$32-E144))+'계산 과정'!$E$48*(0-'계산 과정'!$E$50+P144*('계산 과정'!$E$32-0)),"")</x:f>
      </x:c>
      <x:c r="S144" s="17" t="n">
        <x:f>IF('계산 과정'!$C$78,IF(AND(ISNUMBER(Q144),ISNUMBER(R144),ABS(Q144-'계산 과정'!$C$88)&lt;='계산 과정'!$D$23/2,ABS(R144-'계산 과정'!$C$89)&lt;='계산 과정'!$D$24/2),1,0),"")</x:f>
        <x:v>0</x:v>
      </x:c>
      <x:c r="T144" s="4"/>
      <x:c r="U144" s="4"/>
      <x:c r="V144" s="4"/>
      <x:c r="W144" s="4" t="n">
        <x:f>IF('계산 과정'!$C$77,('계산 과정'!$D$56+'계산 과정'!$D$57*('계산 과정'!$L$11*COS(138*2*PI()/240))+'계산 과정'!$D$58*('계산 과정'!$L$11*SIN(138*2*PI()/240)))/('계산 과정'!$D$59+'계산 과정'!$D$60*('계산 과정'!$L$11*COS(138*2*PI()/240))+'계산 과정'!$D$61*('계산 과정'!$L$11*SIN(138*2*PI()/240))),"")</x:f>
        <x:v>-133.28415598347758</x:v>
      </x:c>
      <x:c r="X144" s="4" t="n">
        <x:f>IF('계산 과정'!$C$77,('계산 과정'!$E$56+'계산 과정'!$E$57*('계산 과정'!$L$11*COS(138*2*PI()/240))+'계산 과정'!$E$58*('계산 과정'!$L$11*SIN(138*2*PI()/240)))/('계산 과정'!$E$59+'계산 과정'!$E$60*('계산 과정'!$L$11*COS(138*2*PI()/240))+'계산 과정'!$E$61*('계산 과정'!$L$11*SIN(138*2*PI()/240))),"")</x:f>
        <x:v>-96.04160403328184</x:v>
      </x:c>
      <x:c r="Y144" s="4" t="str">
        <x:f>""</x:f>
      </x:c>
      <x:c r="Z144" s="4" t="str">
        <x:f>""</x:f>
      </x:c>
    </x:row>
    <x:row r="145" ht="23" customHeight="1">
      <x:c r="A145" s="17" t="n">
        <x:f>ROW()-6</x:f>
        <x:v>139</x:v>
      </x:c>
      <x:c r="B145" s="4" t="n">
        <x:f>IF('계산 과정'!$L$5,'계산 과정'!$L$11*SQRT((A145+0.5)/'계산 과정'!$L$30),"")</x:f>
        <x:v>39.14834317614859</x:v>
      </x:c>
      <x:c r="C145" s="4" t="n">
        <x:f>A145*PI()*(3-SQRT(5))</x:f>
        <x:v>333.59488893228274</x:v>
      </x:c>
      <x:c r="D145" s="4" t="n">
        <x:f>IF('계산 과정'!$L$5,B145*COS(C145),"")</x:f>
        <x:v>32.61534808497402</x:v>
      </x:c>
      <x:c r="E145" s="4" t="n">
        <x:f>IF('계산 과정'!$L$5,B145*SIN(C145),"")</x:f>
        <x:v>21.652525089085607</x:v>
      </x:c>
      <x:c r="F145" s="4" t="n">
        <x:f>IF('계산 과정'!$L$7,'계산 과정'!$L$22+'계산 과정'!$C$49*D145+'계산 과정'!$D$49*E145,"")</x:f>
        <x:v>626.9374661983552</x:v>
      </x:c>
      <x:c r="G145" s="4" t="n">
        <x:f>IF('계산 과정'!$L$7,IF(ABS(F145)&gt;=1E-12*MAX(1,SQRT((D145-'계산 과정'!$C$33)^2+(E145-'계산 과정'!$D$33)^2+'계산 과정'!$E$33^2)),('계산 과정'!$L$23-'계산 과정'!$C$49*D145-'계산 과정'!$D$49*E145)/F145,""),"")</x:f>
        <x:v>0.6748081852039022</x:v>
      </x:c>
      <x:c r="H145" s="4" t="n">
        <x:f>IF(AND(ISNUMBER(G145),G145&gt;0),('계산 과정'!$D$56+'계산 과정'!$D$57*D145+'계산 과정'!$D$58*E145)/F145,"")</x:f>
        <x:v>38.62532038253629</x:v>
      </x:c>
      <x:c r="I145" s="4" t="n">
        <x:f>IF(AND(ISNUMBER(G145),G145&gt;0),('계산 과정'!$E$56+'계산 과정'!$E$57*D145+'계산 과정'!$E$58*E145)/F145,"")</x:f>
        <x:v>36.26382624953342</x:v>
      </x:c>
      <x:c r="J145" s="4" t="n">
        <x:f>IF('계산 과정'!$L$5,'계산 과정'!$D$6+'계산 과정'!$C$35*D145+'계산 과정'!$D$35*E145,"")</x:f>
        <x:v>626.9374661983552</x:v>
      </x:c>
      <x:c r="K145" s="4" t="n">
        <x:f>IF(AND('계산 과정'!$L$6,J145&gt;0),'계산 과정'!$D$10*('계산 과정'!$C$38*(D145-'계산 과정'!$C$32)+'계산 과정'!$D$38*(E145-'계산 과정'!$D$32)-'계산 과정'!$E$38*'계산 과정'!$E$32)/J145,"")</x:f>
        <x:v>0.29428815529551533</x:v>
      </x:c>
      <x:c r="L145" s="4" t="n">
        <x:f>IF(AND('계산 과정'!$L$6,J145&gt;0),'계산 과정'!$D$10*('계산 과정'!$C$39*(D145-'계산 과정'!$C$32)+'계산 과정'!$D$39*(E145-'계산 과정'!$D$32)-'계산 과정'!$E$39*'계산 과정'!$E$32)/J145,"")</x:f>
        <x:v>0.2762958190440642</x:v>
      </x:c>
      <x:c r="M145" s="17" t="n">
        <x:f>IF('계산 과정'!$L$6,IF(J145&lt;=0,0,IF(AND(ABS(K145)&lt;='계산 과정'!$D$11/2,ABS(L145)&lt;='계산 과정'!$D$12/2),1,0)),"")</x:f>
        <x:v>1</x:v>
      </x:c>
      <x:c r="N145" s="17" t="n">
        <x:f>IF('계산 과정'!$C$78,IF(AND(ISNUMBER(H145),ISNUMBER(I145),ABS(H145-'계산 과정'!$C$88)&lt;='계산 과정'!$D$23/2,ABS(I145-'계산 과정'!$C$89)&lt;='계산 과정'!$D$24/2),1,0),"")</x:f>
        <x:v>1</x:v>
      </x:c>
      <x:c r="O145" s="4" t="n">
        <x:f>IF('계산 과정'!$L$7,'계산 과정'!$C$49*('계산 과정'!$C$32-D145)+'계산 과정'!$D$49*('계산 과정'!$D$32-E145)+'계산 과정'!$E$49*'계산 과정'!$E$32,"")</x:f>
        <x:v>23.062533801644918</x:v>
      </x:c>
      <x:c r="P145" s="4" t="n">
        <x:f>IF(AND('계산 과정'!$L$7,O145&lt;&gt;0),('계산 과정'!$L$23-'계산 과정'!$C$49*D145-'계산 과정'!$D$49*E145)/O145,"")</x:f>
        <x:v>18.34414802121483</x:v>
      </x:c>
      <x:c r="Q145" s="4" t="str">
        <x:f>IF(AND(ISNUMBER(P145),P145&gt;1E-9,P145&lt;1-1E-9),'계산 과정'!$C$47*(D145-'계산 과정'!$C$50+P145*('계산 과정'!$C$32-D145))+'계산 과정'!$D$47*(E145-'계산 과정'!$D$50+P145*('계산 과정'!$D$32-E145))+'계산 과정'!$E$47*(0-'계산 과정'!$E$50+P145*('계산 과정'!$E$32-0)),"")</x:f>
      </x:c>
      <x:c r="R145" s="4" t="str">
        <x:f>IF(AND(ISNUMBER(P145),P145&gt;1E-9,P145&lt;1-1E-9),'계산 과정'!$C$48*(D145-'계산 과정'!$C$50+P145*('계산 과정'!$C$32-D145))+'계산 과정'!$D$48*(E145-'계산 과정'!$D$50+P145*('계산 과정'!$D$32-E145))+'계산 과정'!$E$48*(0-'계산 과정'!$E$50+P145*('계산 과정'!$E$32-0)),"")</x:f>
      </x:c>
      <x:c r="S145" s="17" t="n">
        <x:f>IF('계산 과정'!$C$78,IF(AND(ISNUMBER(Q145),ISNUMBER(R145),ABS(Q145-'계산 과정'!$C$88)&lt;='계산 과정'!$D$23/2,ABS(R145-'계산 과정'!$C$89)&lt;='계산 과정'!$D$24/2),1,0),"")</x:f>
        <x:v>0</x:v>
      </x:c>
      <x:c r="T145" s="4"/>
      <x:c r="U145" s="4"/>
      <x:c r="V145" s="4"/>
      <x:c r="W145" s="4" t="n">
        <x:f>IF('계산 과정'!$C$77,('계산 과정'!$D$56+'계산 과정'!$D$57*('계산 과정'!$L$11*COS(139*2*PI()/240))+'계산 과정'!$D$58*('계산 과정'!$L$11*SIN(139*2*PI()/240)))/('계산 과정'!$D$59+'계산 과정'!$D$60*('계산 과정'!$L$11*COS(139*2*PI()/240))+'계산 과정'!$D$61*('계산 과정'!$L$11*SIN(139*2*PI()/240))),"")</x:f>
        <x:v>-131.6894498803671</x:v>
      </x:c>
      <x:c r="X145" s="4" t="n">
        <x:f>IF('계산 과정'!$C$77,('계산 과정'!$E$56+'계산 과정'!$E$57*('계산 과정'!$L$11*COS(139*2*PI()/240))+'계산 과정'!$E$58*('계산 과정'!$L$11*SIN(139*2*PI()/240)))/('계산 과정'!$E$59+'계산 과정'!$E$60*('계산 과정'!$L$11*COS(139*2*PI()/240))+'계산 과정'!$E$61*('계산 과정'!$L$11*SIN(139*2*PI()/240))),"")</x:f>
        <x:v>-101.11844391424687</x:v>
      </x:c>
      <x:c r="Y145" s="4" t="str">
        <x:f>""</x:f>
      </x:c>
      <x:c r="Z145" s="4" t="str">
        <x:f>""</x:f>
      </x:c>
    </x:row>
    <x:row r="146" ht="23" customHeight="1">
      <x:c r="A146" s="17" t="n">
        <x:f>ROW()-6</x:f>
        <x:v>140</x:v>
      </x:c>
      <x:c r="B146" s="4" t="n">
        <x:f>IF('계산 과정'!$L$5,'계산 과정'!$L$11*SQRT((A146+0.5)/'계산 과정'!$L$30),"")</x:f>
        <x:v>39.2884092521255</x:v>
      </x:c>
      <x:c r="C146" s="4" t="n">
        <x:f>A146*PI()*(3-SQRT(5))</x:f>
        <x:v>335.9948521620114</x:v>
      </x:c>
      <x:c r="D146" s="4" t="n">
        <x:f>IF('계산 과정'!$L$5,B146*COS(C146),"")</x:f>
        <x:v>-38.81398789835113</x:v>
      </x:c>
      <x:c r="E146" s="4" t="n">
        <x:f>IF('계산 과정'!$L$5,B146*SIN(C146),"")</x:f>
        <x:v>6.087154096057713</x:v>
      </x:c>
      <x:c r="F146" s="4" t="n">
        <x:f>IF('계산 과정'!$L$7,'계산 과정'!$L$22+'계산 과정'!$C$49*D146+'계산 과정'!$D$49*E146,"")</x:f>
        <x:v>677.4456340478167</x:v>
      </x:c>
      <x:c r="G146" s="4" t="n">
        <x:f>IF('계산 과정'!$L$7,IF(ABS(F146)&gt;=1E-12*MAX(1,SQRT((D146-'계산 과정'!$C$33)^2+(E146-'계산 과정'!$D$33)^2+'계산 과정'!$E$33^2)),('계산 과정'!$L$23-'계산 과정'!$C$49*D146-'계산 과정'!$D$49*E146)/F146,""),"")</x:f>
        <x:v>0.5499398729992951</x:v>
      </x:c>
      <x:c r="H146" s="4" t="n">
        <x:f>IF(AND(ISNUMBER(G146),G146&gt;0),('계산 과정'!$D$56+'계산 과정'!$D$57*D146+'계산 과정'!$D$58*E146)/F146,"")</x:f>
        <x:v>-42.539082550458225</x:v>
      </x:c>
      <x:c r="I146" s="4" t="n">
        <x:f>IF(AND(ISNUMBER(G146),G146&gt;0),('계산 과정'!$E$56+'계산 과정'!$E$57*D146+'계산 과정'!$E$58*E146)/F146,"")</x:f>
        <x:v>9.43472284657083</x:v>
      </x:c>
      <x:c r="J146" s="4" t="n">
        <x:f>IF('계산 과정'!$L$5,'계산 과정'!$D$6+'계산 과정'!$C$35*D146+'계산 과정'!$D$35*E146,"")</x:f>
        <x:v>677.4456340478167</x:v>
      </x:c>
      <x:c r="K146" s="4" t="n">
        <x:f>IF(AND('계산 과정'!$L$6,J146&gt;0),'계산 과정'!$D$10*('계산 과정'!$C$38*(D146-'계산 과정'!$C$32)+'계산 과정'!$D$38*(E146-'계산 과정'!$D$32)-'계산 과정'!$E$38*'계산 과정'!$E$32)/J146,"")</x:f>
        <x:v>-0.32410729562253787</x:v>
      </x:c>
      <x:c r="L146" s="4" t="n">
        <x:f>IF(AND('계산 과정'!$L$6,J146&gt;0),'계산 과정'!$D$10*('계산 과정'!$C$39*(D146-'계산 과정'!$C$32)+'계산 과정'!$D$39*(E146-'계산 과정'!$D$32)-'계산 과정'!$E$39*'계산 과정'!$E$32)/J146,"")</x:f>
        <x:v>0.07188360264053965</x:v>
      </x:c>
      <x:c r="M146" s="17" t="n">
        <x:f>IF('계산 과정'!$L$6,IF(J146&lt;=0,0,IF(AND(ABS(K146)&lt;='계산 과정'!$D$11/2,ABS(L146)&lt;='계산 과정'!$D$12/2),1,0)),"")</x:f>
        <x:v>1</x:v>
      </x:c>
      <x:c r="N146" s="17" t="n">
        <x:f>IF('계산 과정'!$C$78,IF(AND(ISNUMBER(H146),ISNUMBER(I146),ABS(H146-'계산 과정'!$C$88)&lt;='계산 과정'!$D$23/2,ABS(I146-'계산 과정'!$C$89)&lt;='계산 과정'!$D$24/2),1,0),"")</x:f>
        <x:v>1</x:v>
      </x:c>
      <x:c r="O146" s="4" t="n">
        <x:f>IF('계산 과정'!$L$7,'계산 과정'!$C$49*('계산 과정'!$C$32-D146)+'계산 과정'!$D$49*('계산 과정'!$D$32-E146)+'계산 과정'!$E$49*'계산 과정'!$E$32,"")</x:f>
        <x:v>-27.445634047816554</x:v>
      </x:c>
      <x:c r="P146" s="4" t="n">
        <x:f>IF(AND('계산 과정'!$L$7,O146&lt;&gt;0),('계산 과정'!$L$23-'계산 과정'!$C$49*D146-'계산 과정'!$D$49*E146)/O146,"")</x:f>
        <x:v>-13.574267051113072</x:v>
      </x:c>
      <x:c r="Q146" s="4" t="str">
        <x:f>IF(AND(ISNUMBER(P146),P146&gt;1E-9,P146&lt;1-1E-9),'계산 과정'!$C$47*(D146-'계산 과정'!$C$50+P146*('계산 과정'!$C$32-D146))+'계산 과정'!$D$47*(E146-'계산 과정'!$D$50+P146*('계산 과정'!$D$32-E146))+'계산 과정'!$E$47*(0-'계산 과정'!$E$50+P146*('계산 과정'!$E$32-0)),"")</x:f>
      </x:c>
      <x:c r="R146" s="4" t="str">
        <x:f>IF(AND(ISNUMBER(P146),P146&gt;1E-9,P146&lt;1-1E-9),'계산 과정'!$C$48*(D146-'계산 과정'!$C$50+P146*('계산 과정'!$C$32-D146))+'계산 과정'!$D$48*(E146-'계산 과정'!$D$50+P146*('계산 과정'!$D$32-E146))+'계산 과정'!$E$48*(0-'계산 과정'!$E$50+P146*('계산 과정'!$E$32-0)),"")</x:f>
      </x:c>
      <x:c r="S146" s="17" t="n">
        <x:f>IF('계산 과정'!$C$78,IF(AND(ISNUMBER(Q146),ISNUMBER(R146),ABS(Q146-'계산 과정'!$C$88)&lt;='계산 과정'!$D$23/2,ABS(R146-'계산 과정'!$C$89)&lt;='계산 과정'!$D$24/2),1,0),"")</x:f>
        <x:v>0</x:v>
      </x:c>
      <x:c r="T146" s="4"/>
      <x:c r="U146" s="4"/>
      <x:c r="V146" s="4"/>
      <x:c r="W146" s="4" t="n">
        <x:f>IF('계산 과정'!$C$77,('계산 과정'!$D$56+'계산 과정'!$D$57*('계산 과정'!$L$11*COS(140*2*PI()/240))+'계산 과정'!$D$58*('계산 과정'!$L$11*SIN(140*2*PI()/240)))/('계산 과정'!$D$59+'계산 과정'!$D$60*('계산 과정'!$L$11*COS(140*2*PI()/240))+'계산 과정'!$D$61*('계산 과정'!$L$11*SIN(140*2*PI()/240))),"")</x:f>
        <x:v>-130.00996976146607</x:v>
      </x:c>
      <x:c r="X146" s="4" t="n">
        <x:f>IF('계산 과정'!$C$77,('계산 과정'!$E$56+'계산 과정'!$E$57*('계산 과정'!$L$11*COS(140*2*PI()/240))+'계산 과정'!$E$58*('계산 과정'!$L$11*SIN(140*2*PI()/240)))/('계산 과정'!$E$59+'계산 과정'!$E$60*('계산 과정'!$L$11*COS(140*2*PI()/240))+'계산 과정'!$E$61*('계산 과정'!$L$11*SIN(140*2*PI()/240))),"")</x:f>
        <x:v>-106.15269579675389</x:v>
      </x:c>
      <x:c r="Y146" s="4" t="str">
        <x:f>""</x:f>
      </x:c>
      <x:c r="Z146" s="4" t="str">
        <x:f>""</x:f>
      </x:c>
    </x:row>
    <x:row r="147" ht="23" customHeight="1">
      <x:c r="A147" s="17" t="n">
        <x:f>ROW()-6</x:f>
        <x:v>141</x:v>
      </x:c>
      <x:c r="B147" s="4" t="n">
        <x:f>IF('계산 과정'!$L$5,'계산 과정'!$L$11*SQRT((A147+0.5)/'계산 과정'!$L$30),"")</x:f>
        <x:v>39.42797775295482</x:v>
      </x:c>
      <x:c r="C147" s="4" t="n">
        <x:f>A147*PI()*(3-SQRT(5))</x:f>
        <x:v>338.39481539174005</x:v>
      </x:c>
      <x:c r="D147" s="4" t="n">
        <x:f>IF('계산 과정'!$L$5,B147*COS(C147),"")</x:f>
        <x:v>24.595477107790924</x:v>
      </x:c>
      <x:c r="E147" s="4" t="n">
        <x:f>IF('계산 과정'!$L$5,B147*SIN(C147),"")</x:f>
        <x:v>-30.81603374101918</x:v>
      </x:c>
      <x:c r="F147" s="4" t="n">
        <x:f>IF('계산 과정'!$L$7,'계산 과정'!$L$22+'계산 과정'!$C$49*D147+'계산 과정'!$D$49*E147,"")</x:f>
        <x:v>632.6083713505625</x:v>
      </x:c>
      <x:c r="G147" s="4" t="n">
        <x:f>IF('계산 과정'!$L$7,IF(ABS(F147)&gt;=1E-12*MAX(1,SQRT((D147-'계산 과정'!$C$33)^2+(E147-'계산 과정'!$D$33)^2+'계산 과정'!$E$33^2)),('계산 과정'!$L$23-'계산 과정'!$C$49*D147-'계산 과정'!$D$49*E147)/F147,""),"")</x:f>
        <x:v>0.6597946653129858</x:v>
      </x:c>
      <x:c r="H147" s="4" t="n">
        <x:f>IF(AND(ISNUMBER(G147),G147&gt;0),('계산 과정'!$D$56+'계산 과정'!$D$57*D147+'계산 과정'!$D$58*E147)/F147,"")</x:f>
        <x:v>28.86653245344067</x:v>
      </x:c>
      <x:c r="I147" s="4" t="n">
        <x:f>IF(AND(ISNUMBER(G147),G147&gt;0),('계산 과정'!$E$56+'계산 과정'!$E$57*D147+'계산 과정'!$E$58*E147)/F147,"")</x:f>
        <x:v>-51.14828840944861</x:v>
      </x:c>
      <x:c r="J147" s="4" t="n">
        <x:f>IF('계산 과정'!$L$5,'계산 과정'!$D$6+'계산 과정'!$C$35*D147+'계산 과정'!$D$35*E147,"")</x:f>
        <x:v>632.6083713505625</x:v>
      </x:c>
      <x:c r="K147" s="4" t="n">
        <x:f>IF(AND('계산 과정'!$L$6,J147&gt;0),'계산 과정'!$D$10*('계산 과정'!$C$38*(D147-'계산 과정'!$C$32)+'계산 과정'!$D$38*(E147-'계산 과정'!$D$32)-'계산 과정'!$E$38*'계산 과정'!$E$32)/J147,"")</x:f>
        <x:v>0.21993548535954874</x:v>
      </x:c>
      <x:c r="L147" s="4" t="n">
        <x:f>IF(AND('계산 과정'!$L$6,J147&gt;0),'계산 과정'!$D$10*('계산 과정'!$C$39*(D147-'계산 과정'!$C$32)+'계산 과정'!$D$39*(E147-'계산 과정'!$D$32)-'계산 과정'!$E$39*'계산 과정'!$E$32)/J147,"")</x:f>
        <x:v>-0.38970124502437037</x:v>
      </x:c>
      <x:c r="M147" s="17" t="n">
        <x:f>IF('계산 과정'!$L$6,IF(J147&lt;=0,0,IF(AND(ABS(K147)&lt;='계산 과정'!$D$11/2,ABS(L147)&lt;='계산 과정'!$D$12/2),1,0)),"")</x:f>
        <x:v>1</x:v>
      </x:c>
      <x:c r="N147" s="17" t="n">
        <x:f>IF('계산 과정'!$C$78,IF(AND(ISNUMBER(H147),ISNUMBER(I147),ABS(H147-'계산 과정'!$C$88)&lt;='계산 과정'!$D$23/2,ABS(I147-'계산 과정'!$C$89)&lt;='계산 과정'!$D$24/2),1,0),"")</x:f>
        <x:v>1</x:v>
      </x:c>
      <x:c r="O147" s="4" t="n">
        <x:f>IF('계산 과정'!$L$7,'계산 과정'!$C$49*('계산 과정'!$C$32-D147)+'계산 과정'!$D$49*('계산 과정'!$D$32-E147)+'계산 과정'!$E$49*'계산 과정'!$E$32,"")</x:f>
        <x:v>17.391628649437564</x:v>
      </x:c>
      <x:c r="P147" s="4" t="n">
        <x:f>IF(AND('계산 과정'!$L$7,O147&lt;&gt;0),('계산 과정'!$L$23-'계산 과정'!$C$49*D147-'계산 과정'!$D$49*E147)/O147,"")</x:f>
        <x:v>23.999571119116304</x:v>
      </x:c>
      <x:c r="Q147" s="4" t="str">
        <x:f>IF(AND(ISNUMBER(P147),P147&gt;1E-9,P147&lt;1-1E-9),'계산 과정'!$C$47*(D147-'계산 과정'!$C$50+P147*('계산 과정'!$C$32-D147))+'계산 과정'!$D$47*(E147-'계산 과정'!$D$50+P147*('계산 과정'!$D$32-E147))+'계산 과정'!$E$47*(0-'계산 과정'!$E$50+P147*('계산 과정'!$E$32-0)),"")</x:f>
      </x:c>
      <x:c r="R147" s="4" t="str">
        <x:f>IF(AND(ISNUMBER(P147),P147&gt;1E-9,P147&lt;1-1E-9),'계산 과정'!$C$48*(D147-'계산 과정'!$C$50+P147*('계산 과정'!$C$32-D147))+'계산 과정'!$D$48*(E147-'계산 과정'!$D$50+P147*('계산 과정'!$D$32-E147))+'계산 과정'!$E$48*(0-'계산 과정'!$E$50+P147*('계산 과정'!$E$32-0)),"")</x:f>
      </x:c>
      <x:c r="S147" s="17" t="n">
        <x:f>IF('계산 과정'!$C$78,IF(AND(ISNUMBER(Q147),ISNUMBER(R147),ABS(Q147-'계산 과정'!$C$88)&lt;='계산 과정'!$D$23/2,ABS(R147-'계산 과정'!$C$89)&lt;='계산 과정'!$D$24/2),1,0),"")</x:f>
        <x:v>0</x:v>
      </x:c>
      <x:c r="T147" s="4"/>
      <x:c r="U147" s="4"/>
      <x:c r="V147" s="4"/>
      <x:c r="W147" s="4" t="n">
        <x:f>IF('계산 과정'!$C$77,('계산 과정'!$D$56+'계산 과정'!$D$57*('계산 과정'!$L$11*COS(141*2*PI()/240))+'계산 과정'!$D$58*('계산 과정'!$L$11*SIN(141*2*PI()/240)))/('계산 과정'!$D$59+'계산 과정'!$D$60*('계산 과정'!$L$11*COS(141*2*PI()/240))+'계산 과정'!$D$61*('계산 과정'!$L$11*SIN(141*2*PI()/240))),"")</x:f>
        <x:v>-128.24597246776878</x:v>
      </x:c>
      <x:c r="X147" s="4" t="n">
        <x:f>IF('계산 과정'!$C$77,('계산 과정'!$E$56+'계산 과정'!$E$57*('계산 과정'!$L$11*COS(141*2*PI()/240))+'계산 과정'!$E$58*('계산 과정'!$L$11*SIN(141*2*PI()/240)))/('계산 과정'!$E$59+'계산 과정'!$E$60*('계산 과정'!$L$11*COS(141*2*PI()/240))+'계산 과정'!$E$61*('계산 과정'!$L$11*SIN(141*2*PI()/240))),"")</x:f>
        <x:v>-111.14195917078521</x:v>
      </x:c>
      <x:c r="Y147" s="4" t="str">
        <x:f>""</x:f>
      </x:c>
      <x:c r="Z147" s="4" t="str">
        <x:f>""</x:f>
      </x:c>
    </x:row>
    <x:row r="148" ht="23" customHeight="1">
      <x:c r="A148" s="17" t="n">
        <x:f>ROW()-6</x:f>
        <x:v>142</x:v>
      </x:c>
      <x:c r="B148" s="4" t="n">
        <x:f>IF('계산 과정'!$L$5,'계산 과정'!$L$11*SQRT((A148+0.5)/'계산 과정'!$L$30),"")</x:f>
        <x:v>39.56705394406438</x:v>
      </x:c>
      <x:c r="C148" s="4" t="n">
        <x:f>A148*PI()*(3-SQRT(5))</x:f>
        <x:v>340.7947786214687</x:v>
      </x:c>
      <x:c r="D148" s="4" t="n">
        <x:f>IF('계산 과정'!$L$5,B148*COS(C148),"")</x:f>
        <x:v>2.689445604037561</x:v>
      </x:c>
      <x:c r="E148" s="4" t="n">
        <x:f>IF('계산 과정'!$L$5,B148*SIN(C148),"")</x:f>
        <x:v>39.47554483671408</x:v>
      </x:c>
      <x:c r="F148" s="4" t="n">
        <x:f>IF('계산 과정'!$L$7,'계산 과정'!$L$22+'계산 과정'!$C$49*D148+'계산 과정'!$D$49*E148,"")</x:f>
        <x:v>648.0982747757527</x:v>
      </x:c>
      <x:c r="G148" s="4" t="n">
        <x:f>IF('계산 과정'!$L$7,IF(ABS(F148)&gt;=1E-12*MAX(1,SQRT((D148-'계산 과정'!$C$33)^2+(E148-'계산 과정'!$D$33)^2+'계산 과정'!$E$33^2)),('계산 과정'!$L$23-'계산 과정'!$C$49*D148-'계산 과정'!$D$49*E148)/F148,""),"")</x:f>
        <x:v>0.6201246645245408</x:v>
      </x:c>
      <x:c r="H148" s="4" t="n">
        <x:f>IF(AND(ISNUMBER(G148),G148&gt;0),('계산 과정'!$D$56+'계산 과정'!$D$57*D148+'계산 과정'!$D$58*E148)/F148,"")</x:f>
        <x:v>3.081031940951417</x:v>
      </x:c>
      <x:c r="I148" s="4" t="n">
        <x:f>IF(AND(ISNUMBER(G148),G148&gt;0),('계산 과정'!$E$56+'계산 과정'!$E$57*D148+'계산 과정'!$E$58*E148)/F148,"")</x:f>
        <x:v>63.95530383550487</x:v>
      </x:c>
      <x:c r="J148" s="4" t="n">
        <x:f>IF('계산 과정'!$L$5,'계산 과정'!$D$6+'계산 과정'!$C$35*D148+'계산 과정'!$D$35*E148,"")</x:f>
        <x:v>648.0982747757527</x:v>
      </x:c>
      <x:c r="K148" s="4" t="n">
        <x:f>IF(AND('계산 과정'!$L$6,J148&gt;0),'계산 과정'!$D$10*('계산 과정'!$C$38*(D148-'계산 과정'!$C$32)+'계산 과정'!$D$38*(E148-'계산 과정'!$D$32)-'계산 과정'!$E$38*'계산 과정'!$E$32)/J148,"")</x:f>
        <x:v>0.023474529073916832</x:v>
      </x:c>
      <x:c r="L148" s="4" t="n">
        <x:f>IF(AND('계산 과정'!$L$6,J148&gt;0),'계산 과정'!$D$10*('계산 과정'!$C$39*(D148-'계산 과정'!$C$32)+'계산 과정'!$D$39*(E148-'계산 과정'!$D$32)-'계산 과정'!$E$39*'계산 과정'!$E$32)/J148,"")</x:f>
        <x:v>0.4872785054133704</x:v>
      </x:c>
      <x:c r="M148" s="17" t="n">
        <x:f>IF('계산 과정'!$L$6,IF(J148&lt;=0,0,IF(AND(ABS(K148)&lt;='계산 과정'!$D$11/2,ABS(L148)&lt;='계산 과정'!$D$12/2),1,0)),"")</x:f>
        <x:v>1</x:v>
      </x:c>
      <x:c r="N148" s="17" t="n">
        <x:f>IF('계산 과정'!$C$78,IF(AND(ISNUMBER(H148),ISNUMBER(I148),ABS(H148-'계산 과정'!$C$88)&lt;='계산 과정'!$D$23/2,ABS(I148-'계산 과정'!$C$89)&lt;='계산 과정'!$D$24/2),1,0),"")</x:f>
        <x:v>1</x:v>
      </x:c>
      <x:c r="O148" s="4" t="n">
        <x:f>IF('계산 과정'!$L$7,'계산 과정'!$C$49*('계산 과정'!$C$32-D148)+'계산 과정'!$D$49*('계산 과정'!$D$32-E148)+'계산 과정'!$E$49*'계산 과정'!$E$32,"")</x:f>
        <x:v>1.901725224247457</x:v>
      </x:c>
      <x:c r="P148" s="4" t="n">
        <x:f>IF(AND('계산 과정'!$L$7,O148&lt;&gt;0),('계산 과정'!$L$23-'계산 과정'!$C$49*D148-'계산 과정'!$D$49*E148)/O148,"")</x:f>
        <x:v>211.33532862681895</x:v>
      </x:c>
      <x:c r="Q148" s="4" t="str">
        <x:f>IF(AND(ISNUMBER(P148),P148&gt;1E-9,P148&lt;1-1E-9),'계산 과정'!$C$47*(D148-'계산 과정'!$C$50+P148*('계산 과정'!$C$32-D148))+'계산 과정'!$D$47*(E148-'계산 과정'!$D$50+P148*('계산 과정'!$D$32-E148))+'계산 과정'!$E$47*(0-'계산 과정'!$E$50+P148*('계산 과정'!$E$32-0)),"")</x:f>
      </x:c>
      <x:c r="R148" s="4" t="str">
        <x:f>IF(AND(ISNUMBER(P148),P148&gt;1E-9,P148&lt;1-1E-9),'계산 과정'!$C$48*(D148-'계산 과정'!$C$50+P148*('계산 과정'!$C$32-D148))+'계산 과정'!$D$48*(E148-'계산 과정'!$D$50+P148*('계산 과정'!$D$32-E148))+'계산 과정'!$E$48*(0-'계산 과정'!$E$50+P148*('계산 과정'!$E$32-0)),"")</x:f>
      </x:c>
      <x:c r="S148" s="17" t="n">
        <x:f>IF('계산 과정'!$C$78,IF(AND(ISNUMBER(Q148),ISNUMBER(R148),ABS(Q148-'계산 과정'!$C$88)&lt;='계산 과정'!$D$23/2,ABS(R148-'계산 과정'!$C$89)&lt;='계산 과정'!$D$24/2),1,0),"")</x:f>
        <x:v>0</x:v>
      </x:c>
      <x:c r="T148" s="4"/>
      <x:c r="U148" s="4"/>
      <x:c r="V148" s="4"/>
      <x:c r="W148" s="4" t="n">
        <x:f>IF('계산 과정'!$C$77,('계산 과정'!$D$56+'계산 과정'!$D$57*('계산 과정'!$L$11*COS(142*2*PI()/240))+'계산 과정'!$D$58*('계산 과정'!$L$11*SIN(142*2*PI()/240)))/('계산 과정'!$D$59+'계산 과정'!$D$60*('계산 과정'!$L$11*COS(142*2*PI()/240))+'계산 과정'!$D$61*('계산 과정'!$L$11*SIN(142*2*PI()/240))),"")</x:f>
        <x:v>-126.39773616055756</x:v>
      </x:c>
      <x:c r="X148" s="4" t="n">
        <x:f>IF('계산 과정'!$C$77,('계산 과정'!$E$56+'계산 과정'!$E$57*('계산 과정'!$L$11*COS(142*2*PI()/240))+'계산 과정'!$E$58*('계산 과정'!$L$11*SIN(142*2*PI()/240)))/('계산 과정'!$E$59+'계산 과정'!$E$60*('계산 과정'!$L$11*COS(142*2*PI()/240))+'계산 과정'!$E$61*('계산 과정'!$L$11*SIN(142*2*PI()/240))),"")</x:f>
        <x:v>-116.0838105496635</x:v>
      </x:c>
      <x:c r="Y148" s="4" t="str">
        <x:f>""</x:f>
      </x:c>
      <x:c r="Z148" s="4" t="str">
        <x:f>""</x:f>
      </x:c>
    </x:row>
    <x:row r="149" ht="23" customHeight="1">
      <x:c r="A149" s="17" t="n">
        <x:f>ROW()-6</x:f>
        <x:v>143</x:v>
      </x:c>
      <x:c r="B149" s="4" t="n">
        <x:f>IF('계산 과정'!$L$5,'계산 과정'!$L$11*SQRT((A149+0.5)/'계산 과정'!$L$30),"")</x:f>
        <x:v>39.705642998665816</x:v>
      </x:c>
      <x:c r="C149" s="4" t="n">
        <x:f>A149*PI()*(3-SQRT(5))</x:f>
        <x:v>343.19474185119736</x:v>
      </x:c>
      <x:c r="D149" s="4" t="n">
        <x:f>IF('계산 과정'!$L$5,B149*COS(C149),"")</x:f>
        <x:v>-28.748806064572594</x:v>
      </x:c>
      <x:c r="E149" s="4" t="n">
        <x:f>IF('계산 과정'!$L$5,B149*SIN(C149),"")</x:f>
        <x:v>-27.386935494850345</x:v>
      </x:c>
      <x:c r="F149" s="4" t="n">
        <x:f>IF('계산 과정'!$L$7,'계산 과정'!$L$22+'계산 과정'!$C$49*D149+'계산 과정'!$D$49*E149,"")</x:f>
        <x:v>670.3284757192762</x:v>
      </x:c>
      <x:c r="G149" s="4" t="n">
        <x:f>IF('계산 과정'!$L$7,IF(ABS(F149)&gt;=1E-12*MAX(1,SQRT((D149-'계산 과정'!$C$33)^2+(E149-'계산 과정'!$D$33)^2+'계산 과정'!$E$33^2)),('계산 과정'!$L$23-'계산 과정'!$C$49*D149-'계산 과정'!$D$49*E149)/F149,""),"")</x:f>
        <x:v>0.5663962341348074</x:v>
      </x:c>
      <x:c r="H149" s="4" t="n">
        <x:f>IF(AND(ISNUMBER(G149),G149&gt;0),('계산 과정'!$D$56+'계산 과정'!$D$57*D149+'계산 과정'!$D$58*E149)/F149,"")</x:f>
        <x:v>-31.84244781237527</x:v>
      </x:c>
      <x:c r="I149" s="4" t="n">
        <x:f>IF(AND(ISNUMBER(G149),G149&gt;0),('계산 과정'!$E$56+'계산 과정'!$E$57*D149+'계산 과정'!$E$58*E149)/F149,"")</x:f>
        <x:v>-42.89879262362647</x:v>
      </x:c>
      <x:c r="J149" s="4" t="n">
        <x:f>IF('계산 과정'!$L$5,'계산 과정'!$D$6+'계산 과정'!$C$35*D149+'계산 과정'!$D$35*E149,"")</x:f>
        <x:v>670.3284757192762</x:v>
      </x:c>
      <x:c r="K149" s="4" t="n">
        <x:f>IF(AND('계산 과정'!$L$6,J149&gt;0),'계산 과정'!$D$10*('계산 과정'!$C$38*(D149-'계산 과정'!$C$32)+'계산 과정'!$D$38*(E149-'계산 과정'!$D$32)-'계산 과정'!$E$38*'계산 과정'!$E$32)/J149,"")</x:f>
        <x:v>-0.24260912618952515</x:v>
      </x:c>
      <x:c r="L149" s="4" t="n">
        <x:f>IF(AND('계산 과정'!$L$6,J149&gt;0),'계산 과정'!$D$10*('계산 과정'!$C$39*(D149-'계산 과정'!$C$32)+'계산 과정'!$D$39*(E149-'계산 과정'!$D$32)-'계산 과정'!$E$39*'계산 과정'!$E$32)/J149,"")</x:f>
        <x:v>-0.32684794379905885</x:v>
      </x:c>
      <x:c r="M149" s="17" t="n">
        <x:f>IF('계산 과정'!$L$6,IF(J149&lt;=0,0,IF(AND(ABS(K149)&lt;='계산 과정'!$D$11/2,ABS(L149)&lt;='계산 과정'!$D$12/2),1,0)),"")</x:f>
        <x:v>1</x:v>
      </x:c>
      <x:c r="N149" s="17" t="n">
        <x:f>IF('계산 과정'!$C$78,IF(AND(ISNUMBER(H149),ISNUMBER(I149),ABS(H149-'계산 과정'!$C$88)&lt;='계산 과정'!$D$23/2,ABS(I149-'계산 과정'!$C$89)&lt;='계산 과정'!$D$24/2),1,0),"")</x:f>
        <x:v>1</x:v>
      </x:c>
      <x:c r="O149" s="4" t="n">
        <x:f>IF('계산 과정'!$L$7,'계산 과정'!$C$49*('계산 과정'!$C$32-D149)+'계산 과정'!$D$49*('계산 과정'!$D$32-E149)+'계산 과정'!$E$49*'계산 과정'!$E$32,"")</x:f>
        <x:v>-20.328475719276128</x:v>
      </x:c>
      <x:c r="P149" s="4" t="n">
        <x:f>IF(AND('계산 과정'!$L$7,O149&lt;&gt;0),('계산 과정'!$L$23-'계산 과정'!$C$49*D149-'계산 과정'!$D$49*E149)/O149,"")</x:f>
        <x:v>-18.67683192403387</x:v>
      </x:c>
      <x:c r="Q149" s="4" t="str">
        <x:f>IF(AND(ISNUMBER(P149),P149&gt;1E-9,P149&lt;1-1E-9),'계산 과정'!$C$47*(D149-'계산 과정'!$C$50+P149*('계산 과정'!$C$32-D149))+'계산 과정'!$D$47*(E149-'계산 과정'!$D$50+P149*('계산 과정'!$D$32-E149))+'계산 과정'!$E$47*(0-'계산 과정'!$E$50+P149*('계산 과정'!$E$32-0)),"")</x:f>
      </x:c>
      <x:c r="R149" s="4" t="str">
        <x:f>IF(AND(ISNUMBER(P149),P149&gt;1E-9,P149&lt;1-1E-9),'계산 과정'!$C$48*(D149-'계산 과정'!$C$50+P149*('계산 과정'!$C$32-D149))+'계산 과정'!$D$48*(E149-'계산 과정'!$D$50+P149*('계산 과정'!$D$32-E149))+'계산 과정'!$E$48*(0-'계산 과정'!$E$50+P149*('계산 과정'!$E$32-0)),"")</x:f>
      </x:c>
      <x:c r="S149" s="17" t="n">
        <x:f>IF('계산 과정'!$C$78,IF(AND(ISNUMBER(Q149),ISNUMBER(R149),ABS(Q149-'계산 과정'!$C$88)&lt;='계산 과정'!$D$23/2,ABS(R149-'계산 과정'!$C$89)&lt;='계산 과정'!$D$24/2),1,0),"")</x:f>
        <x:v>0</x:v>
      </x:c>
      <x:c r="T149" s="4"/>
      <x:c r="U149" s="4"/>
      <x:c r="V149" s="4"/>
      <x:c r="W149" s="4" t="n">
        <x:f>IF('계산 과정'!$C$77,('계산 과정'!$D$56+'계산 과정'!$D$57*('계산 과정'!$L$11*COS(143*2*PI()/240))+'계산 과정'!$D$58*('계산 과정'!$L$11*SIN(143*2*PI()/240)))/('계산 과정'!$D$59+'계산 과정'!$D$60*('계산 과정'!$L$11*COS(143*2*PI()/240))+'계산 과정'!$D$61*('계산 과정'!$L$11*SIN(143*2*PI()/240))),"")</x:f>
        <x:v>-124.46556155448474</x:v>
      </x:c>
      <x:c r="X149" s="4" t="n">
        <x:f>IF('계산 과정'!$C$77,('계산 과정'!$E$56+'계산 과정'!$E$57*('계산 과정'!$L$11*COS(143*2*PI()/240))+'계산 과정'!$E$58*('계산 과정'!$L$11*SIN(143*2*PI()/240)))/('계산 과정'!$E$59+'계산 과정'!$E$60*('계산 과정'!$L$11*COS(143*2*PI()/240))+'계산 과정'!$E$61*('계산 과정'!$L$11*SIN(143*2*PI()/240))),"")</x:f>
        <x:v>-120.9758027132914</x:v>
      </x:c>
      <x:c r="Y149" s="4" t="str">
        <x:f>""</x:f>
      </x:c>
      <x:c r="Z149" s="4" t="str">
        <x:f>""</x:f>
      </x:c>
    </x:row>
    <x:row r="150" ht="23" customHeight="1">
      <x:c r="A150" s="17" t="n">
        <x:f>ROW()-6</x:f>
        <x:v>144</x:v>
      </x:c>
      <x:c r="B150" s="4" t="n">
        <x:f>IF('계산 과정'!$L$5,'계산 과정'!$L$11*SQRT((A150+0.5)/'계산 과정'!$L$30),"")</x:f>
        <x:v>39.84375</x:v>
      </x:c>
      <x:c r="C150" s="4" t="n">
        <x:f>A150*PI()*(3-SQRT(5))</x:f>
        <x:v>345.594705080926</x:v>
      </x:c>
      <x:c r="D150" s="4" t="n">
        <x:f>IF('계산 과정'!$L$5,B150*COS(C150),"")</x:f>
        <x:v>39.83616469931458</x:v>
      </x:c>
      <x:c r="E150" s="4" t="n">
        <x:f>IF('계산 과정'!$L$5,B150*SIN(C150),"")</x:f>
        <x:v>0.7774291682096784</x:v>
      </x:c>
      <x:c r="F150" s="4" t="n">
        <x:f>IF('계산 과정'!$L$7,'계산 과정'!$L$22+'계산 과정'!$C$49*D150+'계산 과정'!$D$49*E150,"")</x:f>
        <x:v>621.8315778046505</x:v>
      </x:c>
      <x:c r="G150" s="4" t="n">
        <x:f>IF('계산 과정'!$L$7,IF(ABS(F150)&gt;=1E-12*MAX(1,SQRT((D150-'계산 과정'!$C$33)^2+(E150-'계산 과정'!$D$33)^2+'계산 과정'!$E$33^2)),('계산 과정'!$L$23-'계산 과정'!$C$49*D150-'계산 과정'!$D$49*E150)/F150,""),"")</x:f>
        <x:v>0.6885601141501685</x:v>
      </x:c>
      <x:c r="H150" s="4" t="n">
        <x:f>IF(AND(ISNUMBER(G150),G150&gt;0),('계산 과정'!$D$56+'계산 과정'!$D$57*D150+'계산 과정'!$D$58*E150)/F150,"")</x:f>
        <x:v>47.56407419760939</x:v>
      </x:c>
      <x:c r="I150" s="4" t="n">
        <x:f>IF(AND(ISNUMBER(G150),G150&gt;0),('계산 과정'!$E$56+'계산 과정'!$E$57*D150+'계산 과정'!$E$58*E150)/F150,"")</x:f>
        <x:v>1.3127358850158053</x:v>
      </x:c>
      <x:c r="J150" s="4" t="n">
        <x:f>IF('계산 과정'!$L$5,'계산 과정'!$D$6+'계산 과정'!$C$35*D150+'계산 과정'!$D$35*E150,"")</x:f>
        <x:v>621.8315778046505</x:v>
      </x:c>
      <x:c r="K150" s="4" t="n">
        <x:f>IF(AND('계산 과정'!$L$6,J150&gt;0),'계산 과정'!$D$10*('계산 과정'!$C$38*(D150-'계산 과정'!$C$32)+'계산 과정'!$D$38*(E150-'계산 과정'!$D$32)-'계산 과정'!$E$38*'계산 과정'!$E$32)/J150,"")</x:f>
        <x:v>0.3623929462675006</x:v>
      </x:c>
      <x:c r="L150" s="4" t="n">
        <x:f>IF(AND('계산 과정'!$L$6,J150&gt;0),'계산 과정'!$D$10*('계산 과정'!$C$39*(D150-'계산 과정'!$C$32)+'계산 과정'!$D$39*(E150-'계산 과정'!$D$32)-'계산 과정'!$E$39*'계산 과정'!$E$32)/J150,"")</x:f>
        <x:v>0.01000179721916804</x:v>
      </x:c>
      <x:c r="M150" s="17" t="n">
        <x:f>IF('계산 과정'!$L$6,IF(J150&lt;=0,0,IF(AND(ABS(K150)&lt;='계산 과정'!$D$11/2,ABS(L150)&lt;='계산 과정'!$D$12/2),1,0)),"")</x:f>
        <x:v>1</x:v>
      </x:c>
      <x:c r="N150" s="17" t="n">
        <x:f>IF('계산 과정'!$C$78,IF(AND(ISNUMBER(H150),ISNUMBER(I150),ABS(H150-'계산 과정'!$C$88)&lt;='계산 과정'!$D$23/2,ABS(I150-'계산 과정'!$C$89)&lt;='계산 과정'!$D$24/2),1,0),"")</x:f>
        <x:v>1</x:v>
      </x:c>
      <x:c r="O150" s="4" t="n">
        <x:f>IF('계산 과정'!$L$7,'계산 과정'!$C$49*('계산 과정'!$C$32-D150)+'계산 과정'!$D$49*('계산 과정'!$D$32-E150)+'계산 과정'!$E$49*'계산 과정'!$E$32,"")</x:f>
        <x:v>28.168422195349592</x:v>
      </x:c>
      <x:c r="P150" s="4" t="n">
        <x:f>IF(AND('계산 과정'!$L$7,O150&lt;&gt;0),('계산 과정'!$L$23-'계산 과정'!$C$49*D150-'계산 과정'!$D$49*E150)/O150,"")</x:f>
        <x:v>15.200298377593796</x:v>
      </x:c>
      <x:c r="Q150" s="4" t="str">
        <x:f>IF(AND(ISNUMBER(P150),P150&gt;1E-9,P150&lt;1-1E-9),'계산 과정'!$C$47*(D150-'계산 과정'!$C$50+P150*('계산 과정'!$C$32-D150))+'계산 과정'!$D$47*(E150-'계산 과정'!$D$50+P150*('계산 과정'!$D$32-E150))+'계산 과정'!$E$47*(0-'계산 과정'!$E$50+P150*('계산 과정'!$E$32-0)),"")</x:f>
      </x:c>
      <x:c r="R150" s="4" t="str">
        <x:f>IF(AND(ISNUMBER(P150),P150&gt;1E-9,P150&lt;1-1E-9),'계산 과정'!$C$48*(D150-'계산 과정'!$C$50+P150*('계산 과정'!$C$32-D150))+'계산 과정'!$D$48*(E150-'계산 과정'!$D$50+P150*('계산 과정'!$D$32-E150))+'계산 과정'!$E$48*(0-'계산 과정'!$E$50+P150*('계산 과정'!$E$32-0)),"")</x:f>
      </x:c>
      <x:c r="S150" s="17" t="n">
        <x:f>IF('계산 과정'!$C$78,IF(AND(ISNUMBER(Q150),ISNUMBER(R150),ABS(Q150-'계산 과정'!$C$88)&lt;='계산 과정'!$D$23/2,ABS(R150-'계산 과정'!$C$89)&lt;='계산 과정'!$D$24/2),1,0),"")</x:f>
        <x:v>0</x:v>
      </x:c>
      <x:c r="T150" s="4"/>
      <x:c r="U150" s="4"/>
      <x:c r="V150" s="4"/>
      <x:c r="W150" s="4" t="n">
        <x:f>IF('계산 과정'!$C$77,('계산 과정'!$D$56+'계산 과정'!$D$57*('계산 과정'!$L$11*COS(144*2*PI()/240))+'계산 과정'!$D$58*('계산 과정'!$L$11*SIN(144*2*PI()/240)))/('계산 과정'!$D$59+'계산 과정'!$D$60*('계산 과정'!$L$11*COS(144*2*PI()/240))+'계산 과정'!$D$61*('계산 과정'!$L$11*SIN(144*2*PI()/240))),"")</x:f>
        <x:v>-122.44977321231363</x:v>
      </x:c>
      <x:c r="X150" s="4" t="n">
        <x:f>IF('계산 과정'!$C$77,('계산 과정'!$E$56+'계산 과정'!$E$57*('계산 과정'!$L$11*COS(144*2*PI()/240))+'계산 과정'!$E$58*('계산 과정'!$L$11*SIN(144*2*PI()/240)))/('계산 과정'!$E$59+'계산 과정'!$E$60*('계산 과정'!$L$11*COS(144*2*PI()/240))+'계산 과정'!$E$61*('계산 과정'!$L$11*SIN(144*2*PI()/240))),"")</x:f>
        <x:v>-125.81546401530943</x:v>
      </x:c>
      <x:c r="Y150" s="4" t="str">
        <x:f>""</x:f>
      </x:c>
      <x:c r="Z150" s="4" t="str">
        <x:f>""</x:f>
      </x:c>
    </x:row>
    <x:row r="151" ht="23" customHeight="1">
      <x:c r="A151" s="17" t="n">
        <x:f>ROW()-6</x:f>
        <x:v>145</x:v>
      </x:c>
      <x:c r="B151" s="4" t="n">
        <x:f>IF('계산 과정'!$L$5,'계산 과정'!$L$11*SQRT((A151+0.5)/'계산 과정'!$L$30),"")</x:f>
        <x:v>39.98137994351245</x:v>
      </x:c>
      <x:c r="C151" s="4" t="n">
        <x:f>A151*PI()*(3-SQRT(5))</x:f>
        <x:v>347.9946683106547</x:v>
      </x:c>
      <x:c r="D151" s="4" t="n">
        <x:f>IF('계산 과정'!$L$5,B151*COS(C151),"")</x:f>
        <x:v>-30.00237262650348</x:v>
      </x:c>
      <x:c r="E151" s="4" t="n">
        <x:f>IF('계산 과정'!$L$5,B151*SIN(C151),"")</x:f>
        <x:v>26.426660382423165</x:v>
      </x:c>
      <x:c r="F151" s="4" t="n">
        <x:f>IF('계산 과정'!$L$7,'계산 과정'!$L$22+'계산 과정'!$C$49*D151+'계산 과정'!$D$49*E151,"")</x:f>
        <x:v>671.2148811358862</x:v>
      </x:c>
      <x:c r="G151" s="4" t="n">
        <x:f>IF('계산 과정'!$L$7,IF(ABS(F151)&gt;=1E-12*MAX(1,SQRT((D151-'계산 과정'!$C$33)^2+(E151-'계산 과정'!$D$33)^2+'계산 과정'!$E$33^2)),('계산 과정'!$L$23-'계산 과정'!$C$49*D151-'계산 과정'!$D$49*E151)/F151,""),"")</x:f>
        <x:v>0.5643276534976426</x:v>
      </x:c>
      <x:c r="H151" s="4" t="n">
        <x:f>IF(AND(ISNUMBER(G151),G151&gt;0),('계산 과정'!$D$56+'계산 과정'!$D$57*D151+'계산 과정'!$D$58*E151)/F151,"")</x:f>
        <x:v>-33.18702522653247</x:v>
      </x:c>
      <x:c r="I151" s="4" t="n">
        <x:f>IF(AND(ISNUMBER(G151),G151&gt;0),('계산 과정'!$E$56+'계산 과정'!$E$57*D151+'계산 과정'!$E$58*E151)/F151,"")</x:f>
        <x:v>41.33995562581514</x:v>
      </x:c>
      <x:c r="J151" s="4" t="n">
        <x:f>IF('계산 과정'!$L$5,'계산 과정'!$D$6+'계산 과정'!$C$35*D151+'계산 과정'!$D$35*E151,"")</x:f>
        <x:v>671.2148811358862</x:v>
      </x:c>
      <x:c r="K151" s="4" t="n">
        <x:f>IF(AND('계산 과정'!$L$6,J151&gt;0),'계산 과정'!$D$10*('계산 과정'!$C$38*(D151-'계산 과정'!$C$32)+'계산 과정'!$D$38*(E151-'계산 과정'!$D$32)-'계산 과정'!$E$38*'계산 과정'!$E$32)/J151,"")</x:f>
        <x:v>-0.25285352553548424</x:v>
      </x:c>
      <x:c r="L151" s="4" t="n">
        <x:f>IF(AND('계산 과정'!$L$6,J151&gt;0),'계산 과정'!$D$10*('계산 과정'!$C$39*(D151-'계산 과정'!$C$32)+'계산 과정'!$D$39*(E151-'계산 과정'!$D$32)-'계산 과정'!$E$39*'계산 과정'!$E$32)/J151,"")</x:f>
        <x:v>0.31497109048240113</x:v>
      </x:c>
      <x:c r="M151" s="17" t="n">
        <x:f>IF('계산 과정'!$L$6,IF(J151&lt;=0,0,IF(AND(ABS(K151)&lt;='계산 과정'!$D$11/2,ABS(L151)&lt;='계산 과정'!$D$12/2),1,0)),"")</x:f>
        <x:v>1</x:v>
      </x:c>
      <x:c r="N151" s="17" t="n">
        <x:f>IF('계산 과정'!$C$78,IF(AND(ISNUMBER(H151),ISNUMBER(I151),ABS(H151-'계산 과정'!$C$88)&lt;='계산 과정'!$D$23/2,ABS(I151-'계산 과정'!$C$89)&lt;='계산 과정'!$D$24/2),1,0),"")</x:f>
        <x:v>1</x:v>
      </x:c>
      <x:c r="O151" s="4" t="n">
        <x:f>IF('계산 과정'!$L$7,'계산 과정'!$C$49*('계산 과정'!$C$32-D151)+'계산 과정'!$D$49*('계산 과정'!$D$32-E151)+'계산 과정'!$E$49*'계산 과정'!$E$32,"")</x:f>
        <x:v>-21.214881135886117</x:v>
      </x:c>
      <x:c r="P151" s="4" t="n">
        <x:f>IF(AND('계산 과정'!$L$7,O151&lt;&gt;0),('계산 과정'!$L$23-'계산 과정'!$C$49*D151-'계산 과정'!$D$49*E151)/O151,"")</x:f>
        <x:v>-17.854689660427947</x:v>
      </x:c>
      <x:c r="Q151" s="4" t="str">
        <x:f>IF(AND(ISNUMBER(P151),P151&gt;1E-9,P151&lt;1-1E-9),'계산 과정'!$C$47*(D151-'계산 과정'!$C$50+P151*('계산 과정'!$C$32-D151))+'계산 과정'!$D$47*(E151-'계산 과정'!$D$50+P151*('계산 과정'!$D$32-E151))+'계산 과정'!$E$47*(0-'계산 과정'!$E$50+P151*('계산 과정'!$E$32-0)),"")</x:f>
      </x:c>
      <x:c r="R151" s="4" t="str">
        <x:f>IF(AND(ISNUMBER(P151),P151&gt;1E-9,P151&lt;1-1E-9),'계산 과정'!$C$48*(D151-'계산 과정'!$C$50+P151*('계산 과정'!$C$32-D151))+'계산 과정'!$D$48*(E151-'계산 과정'!$D$50+P151*('계산 과정'!$D$32-E151))+'계산 과정'!$E$48*(0-'계산 과정'!$E$50+P151*('계산 과정'!$E$32-0)),"")</x:f>
      </x:c>
      <x:c r="S151" s="17" t="n">
        <x:f>IF('계산 과정'!$C$78,IF(AND(ISNUMBER(Q151),ISNUMBER(R151),ABS(Q151-'계산 과정'!$C$88)&lt;='계산 과정'!$D$23/2,ABS(R151-'계산 과정'!$C$89)&lt;='계산 과정'!$D$24/2),1,0),"")</x:f>
        <x:v>0</x:v>
      </x:c>
      <x:c r="T151" s="4"/>
      <x:c r="U151" s="4"/>
      <x:c r="V151" s="4"/>
      <x:c r="W151" s="4" t="n">
        <x:f>IF('계산 과정'!$C$77,('계산 과정'!$D$56+'계산 과정'!$D$57*('계산 과정'!$L$11*COS(145*2*PI()/240))+'계산 과정'!$D$58*('계산 과정'!$L$11*SIN(145*2*PI()/240)))/('계산 과정'!$D$59+'계산 과정'!$D$60*('계산 과정'!$L$11*COS(145*2*PI()/240))+'계산 과정'!$D$61*('계산 과정'!$L$11*SIN(145*2*PI()/240))),"")</x:f>
        <x:v>-120.35072090115128</x:v>
      </x:c>
      <x:c r="X151" s="4" t="n">
        <x:f>IF('계산 과정'!$C$77,('계산 과정'!$E$56+'계산 과정'!$E$57*('계산 과정'!$L$11*COS(145*2*PI()/240))+'계산 과정'!$E$58*('계산 과정'!$L$11*SIN(145*2*PI()/240)))/('계산 과정'!$E$59+'계산 과정'!$E$60*('계산 과정'!$L$11*COS(145*2*PI()/240))+'계산 과정'!$E$61*('계산 과정'!$L$11*SIN(145*2*PI()/240))),"")</x:f>
        <x:v>-130.60029775872505</x:v>
      </x:c>
      <x:c r="Y151" s="4" t="str">
        <x:f>""</x:f>
      </x:c>
      <x:c r="Z151" s="4" t="str">
        <x:f>""</x:f>
      </x:c>
    </x:row>
    <x:row r="152" ht="23" customHeight="1">
      <x:c r="A152" s="17" t="n">
        <x:f>ROW()-6</x:f>
        <x:v>146</x:v>
      </x:c>
      <x:c r="B152" s="4" t="n">
        <x:f>IF('계산 과정'!$L$5,'계산 과정'!$L$11*SQRT((A152+0.5)/'계산 과정'!$L$30),"")</x:f>
        <x:v>40.11853773896178</x:v>
      </x:c>
      <x:c r="C152" s="4" t="n">
        <x:f>A152*PI()*(3-SQRT(5))</x:f>
        <x:v>350.39463154038333</x:v>
      </x:c>
      <x:c r="D152" s="4" t="n">
        <x:f>IF('계산 과정'!$L$5,B152*COS(C152),"")</x:f>
        <x:v>4.286518050682297</x:v>
      </x:c>
      <x:c r="E152" s="4" t="n">
        <x:f>IF('계산 과정'!$L$5,B152*SIN(C152),"")</x:f>
        <x:v>-39.88888107372373</x:v>
      </x:c>
      <x:c r="F152" s="4" t="n">
        <x:f>IF('계산 과정'!$L$7,'계산 과정'!$L$22+'계산 과정'!$C$49*D152+'계산 과정'!$D$49*E152,"")</x:f>
        <x:v>646.968974018684</x:v>
      </x:c>
      <x:c r="G152" s="4" t="n">
        <x:f>IF('계산 과정'!$L$7,IF(ABS(F152)&gt;=1E-12*MAX(1,SQRT((D152-'계산 과정'!$C$33)^2+(E152-'계산 과정'!$D$33)^2+'계산 과정'!$E$33^2)),('계산 과정'!$L$23-'계산 과정'!$C$49*D152-'계산 과정'!$D$49*E152)/F152,""),"")</x:f>
        <x:v>0.6229526332273189</x:v>
      </x:c>
      <x:c r="H152" s="4" t="n">
        <x:f>IF(AND(ISNUMBER(G152),G152&gt;0),('계산 과정'!$D$56+'계산 과정'!$D$57*D152+'계산 과정'!$D$58*E152)/F152,"")</x:f>
        <x:v>4.919211597757097</x:v>
      </x:c>
      <x:c r="I152" s="4" t="n">
        <x:f>IF(AND(ISNUMBER(G152),G152&gt;0),('계산 과정'!$E$56+'계산 과정'!$E$57*D152+'계산 과정'!$E$58*E152)/F152,"")</x:f>
        <x:v>-64.73776457509129</x:v>
      </x:c>
      <x:c r="J152" s="4" t="n">
        <x:f>IF('계산 과정'!$L$5,'계산 과정'!$D$6+'계산 과정'!$C$35*D152+'계산 과정'!$D$35*E152,"")</x:f>
        <x:v>646.968974018684</x:v>
      </x:c>
      <x:c r="K152" s="4" t="n">
        <x:f>IF(AND('계산 과정'!$L$6,J152&gt;0),'계산 과정'!$D$10*('계산 과정'!$C$38*(D152-'계산 과정'!$C$32)+'계산 과정'!$D$38*(E152-'계산 과정'!$D$32)-'계산 과정'!$E$38*'계산 과정'!$E$32)/J152,"")</x:f>
        <x:v>0.037479707411483126</x:v>
      </x:c>
      <x:c r="L152" s="4" t="n">
        <x:f>IF(AND('계산 과정'!$L$6,J152&gt;0),'계산 과정'!$D$10*('계산 과정'!$C$39*(D152-'계산 과정'!$C$32)+'계산 과정'!$D$39*(E152-'계산 과정'!$D$32)-'계산 과정'!$E$39*'계산 과정'!$E$32)/J152,"")</x:f>
        <x:v>-0.4932401110483146</x:v>
      </x:c>
      <x:c r="M152" s="17" t="n">
        <x:f>IF('계산 과정'!$L$6,IF(J152&lt;=0,0,IF(AND(ABS(K152)&lt;='계산 과정'!$D$11/2,ABS(L152)&lt;='계산 과정'!$D$12/2),1,0)),"")</x:f>
        <x:v>1</x:v>
      </x:c>
      <x:c r="N152" s="17" t="n">
        <x:f>IF('계산 과정'!$C$78,IF(AND(ISNUMBER(H152),ISNUMBER(I152),ABS(H152-'계산 과정'!$C$88)&lt;='계산 과정'!$D$23/2,ABS(I152-'계산 과정'!$C$89)&lt;='계산 과정'!$D$24/2),1,0),"")</x:f>
        <x:v>1</x:v>
      </x:c>
      <x:c r="O152" s="4" t="n">
        <x:f>IF('계산 과정'!$L$7,'계산 과정'!$C$49*('계산 과정'!$C$32-D152)+'계산 과정'!$D$49*('계산 과정'!$D$32-E152)+'계산 과정'!$E$49*'계산 과정'!$E$32,"")</x:f>
        <x:v>3.031025981316077</x:v>
      </x:c>
      <x:c r="P152" s="4" t="n">
        <x:f>IF(AND('계산 과정'!$L$7,O152&lt;&gt;0),('계산 과정'!$L$23-'계산 과정'!$C$49*D152-'계산 과정'!$D$49*E152)/O152,"")</x:f>
        <x:v>132.96851576518628</x:v>
      </x:c>
      <x:c r="Q152" s="4" t="str">
        <x:f>IF(AND(ISNUMBER(P152),P152&gt;1E-9,P152&lt;1-1E-9),'계산 과정'!$C$47*(D152-'계산 과정'!$C$50+P152*('계산 과정'!$C$32-D152))+'계산 과정'!$D$47*(E152-'계산 과정'!$D$50+P152*('계산 과정'!$D$32-E152))+'계산 과정'!$E$47*(0-'계산 과정'!$E$50+P152*('계산 과정'!$E$32-0)),"")</x:f>
      </x:c>
      <x:c r="R152" s="4" t="str">
        <x:f>IF(AND(ISNUMBER(P152),P152&gt;1E-9,P152&lt;1-1E-9),'계산 과정'!$C$48*(D152-'계산 과정'!$C$50+P152*('계산 과정'!$C$32-D152))+'계산 과정'!$D$48*(E152-'계산 과정'!$D$50+P152*('계산 과정'!$D$32-E152))+'계산 과정'!$E$48*(0-'계산 과정'!$E$50+P152*('계산 과정'!$E$32-0)),"")</x:f>
      </x:c>
      <x:c r="S152" s="17" t="n">
        <x:f>IF('계산 과정'!$C$78,IF(AND(ISNUMBER(Q152),ISNUMBER(R152),ABS(Q152-'계산 과정'!$C$88)&lt;='계산 과정'!$D$23/2,ABS(R152-'계산 과정'!$C$89)&lt;='계산 과정'!$D$24/2),1,0),"")</x:f>
        <x:v>0</x:v>
      </x:c>
      <x:c r="T152" s="4"/>
      <x:c r="U152" s="4"/>
      <x:c r="V152" s="4"/>
      <x:c r="W152" s="4" t="n">
        <x:f>IF('계산 과정'!$C$77,('계산 과정'!$D$56+'계산 과정'!$D$57*('계산 과정'!$L$11*COS(146*2*PI()/240))+'계산 과정'!$D$58*('계산 과정'!$L$11*SIN(146*2*PI()/240)))/('계산 과정'!$D$59+'계산 과정'!$D$60*('계산 과정'!$L$11*COS(146*2*PI()/240))+'계산 과정'!$D$61*('계산 과정'!$L$11*SIN(146*2*PI()/240))),"")</x:f>
        <x:v>-118.16878100990927</x:v>
      </x:c>
      <x:c r="X152" s="4" t="n">
        <x:f>IF('계산 과정'!$C$77,('계산 과정'!$E$56+'계산 과정'!$E$57*('계산 과정'!$L$11*COS(146*2*PI()/240))+'계산 과정'!$E$58*('계산 과정'!$L$11*SIN(146*2*PI()/240)))/('계산 과정'!$E$59+'계산 과정'!$E$60*('계산 과정'!$L$11*COS(146*2*PI()/240))+'계산 과정'!$E$61*('계산 과정'!$L$11*SIN(146*2*PI()/240))),"")</x:f>
        <x:v>-135.32778164475934</x:v>
      </x:c>
      <x:c r="Y152" s="4" t="str">
        <x:f>""</x:f>
      </x:c>
      <x:c r="Z152" s="4" t="str">
        <x:f>""</x:f>
      </x:c>
    </x:row>
    <x:row r="153" ht="23" customHeight="1">
      <x:c r="A153" s="17" t="n">
        <x:f>ROW()-6</x:f>
        <x:v>147</x:v>
      </x:c>
      <x:c r="B153" s="4" t="n">
        <x:f>IF('계산 과정'!$L$5,'계산 과정'!$L$11*SQRT((A153+0.5)/'계산 과정'!$L$30),"")</x:f>
        <x:v>40.25522821246328</x:v>
      </x:c>
      <x:c r="C153" s="4" t="n">
        <x:f>A153*PI()*(3-SQRT(5))</x:f>
        <x:v>352.794594770112</x:v>
      </x:c>
      <x:c r="D153" s="4" t="n">
        <x:f>IF('계산 과정'!$L$5,B153*COS(C153),"")</x:f>
        <x:v>23.86484236071335</x:v>
      </x:c>
      <x:c r="E153" s="4" t="n">
        <x:f>IF('계산 과정'!$L$5,B153*SIN(C153),"")</x:f>
        <x:v>32.41840060113702</x:v>
      </x:c>
      <x:c r="F153" s="4" t="n">
        <x:f>IF('계산 과정'!$L$7,'계산 과정'!$L$22+'계산 과정'!$C$49*D153+'계산 과정'!$D$49*E153,"")</x:f>
        <x:v>633.1250081347916</x:v>
      </x:c>
      <x:c r="G153" s="4" t="n">
        <x:f>IF('계산 과정'!$L$7,IF(ABS(F153)&gt;=1E-12*MAX(1,SQRT((D153-'계산 과정'!$C$33)^2+(E153-'계산 과정'!$D$33)^2+'계산 과정'!$E$33^2)),('계산 과정'!$L$23-'계산 과정'!$C$49*D153-'계산 과정'!$D$49*E153)/F153,""),"")</x:f>
        <x:v>0.6584402550980203</x:v>
      </x:c>
      <x:c r="H153" s="4" t="n">
        <x:f>IF(AND(ISNUMBER(G153),G153&gt;0),('계산 과정'!$D$56+'계산 과정'!$D$57*D153+'계산 과정'!$D$58*E153)/F153,"")</x:f>
        <x:v>27.986165813713104</x:v>
      </x:c>
      <x:c r="I153" s="4" t="n">
        <x:f>IF(AND(ISNUMBER(G153),G153&gt;0),('계산 과정'!$E$56+'계산 과정'!$E$57*D153+'계산 과정'!$E$58*E153)/F153,"")</x:f>
        <x:v>53.763980562819505</x:v>
      </x:c>
      <x:c r="J153" s="4" t="n">
        <x:f>IF('계산 과정'!$L$5,'계산 과정'!$D$6+'계산 과정'!$C$35*D153+'계산 과정'!$D$35*E153,"")</x:f>
        <x:v>633.1250081347916</x:v>
      </x:c>
      <x:c r="K153" s="4" t="n">
        <x:f>IF(AND('계산 과정'!$L$6,J153&gt;0),'계산 과정'!$D$10*('계산 과정'!$C$38*(D153-'계산 과정'!$C$32)+'계산 과정'!$D$38*(E153-'계산 과정'!$D$32)-'계산 과정'!$E$38*'계산 과정'!$E$32)/J153,"")</x:f>
        <x:v>0.21322793000924317</x:v>
      </x:c>
      <x:c r="L153" s="4" t="n">
        <x:f>IF(AND('계산 과정'!$L$6,J153&gt;0),'계산 과정'!$D$10*('계산 과정'!$C$39*(D153-'계산 과정'!$C$32)+'계산 과정'!$D$39*(E153-'계산 과정'!$D$32)-'계산 과정'!$E$39*'계산 과정'!$E$32)/J153,"")</x:f>
        <x:v>0.40963032809767236</x:v>
      </x:c>
      <x:c r="M153" s="17" t="n">
        <x:f>IF('계산 과정'!$L$6,IF(J153&lt;=0,0,IF(AND(ABS(K153)&lt;='계산 과정'!$D$11/2,ABS(L153)&lt;='계산 과정'!$D$12/2),1,0)),"")</x:f>
        <x:v>1</x:v>
      </x:c>
      <x:c r="N153" s="17" t="n">
        <x:f>IF('계산 과정'!$C$78,IF(AND(ISNUMBER(H153),ISNUMBER(I153),ABS(H153-'계산 과정'!$C$88)&lt;='계산 과정'!$D$23/2,ABS(I153-'계산 과정'!$C$89)&lt;='계산 과정'!$D$24/2),1,0),"")</x:f>
        <x:v>1</x:v>
      </x:c>
      <x:c r="O153" s="4" t="n">
        <x:f>IF('계산 과정'!$L$7,'계산 과정'!$C$49*('계산 과정'!$C$32-D153)+'계산 과정'!$D$49*('계산 과정'!$D$32-E153)+'계산 과정'!$E$49*'계산 과정'!$E$32,"")</x:f>
        <x:v>16.87499186520847</x:v>
      </x:c>
      <x:c r="P153" s="4" t="n">
        <x:f>IF(AND('계산 과정'!$L$7,O153&lt;&gt;0),('계산 과정'!$L$23-'계산 과정'!$C$49*D153-'계산 과정'!$D$49*E153)/O153,"")</x:f>
        <x:v>24.703715130357388</x:v>
      </x:c>
      <x:c r="Q153" s="4" t="str">
        <x:f>IF(AND(ISNUMBER(P153),P153&gt;1E-9,P153&lt;1-1E-9),'계산 과정'!$C$47*(D153-'계산 과정'!$C$50+P153*('계산 과정'!$C$32-D153))+'계산 과정'!$D$47*(E153-'계산 과정'!$D$50+P153*('계산 과정'!$D$32-E153))+'계산 과정'!$E$47*(0-'계산 과정'!$E$50+P153*('계산 과정'!$E$32-0)),"")</x:f>
      </x:c>
      <x:c r="R153" s="4" t="str">
        <x:f>IF(AND(ISNUMBER(P153),P153&gt;1E-9,P153&lt;1-1E-9),'계산 과정'!$C$48*(D153-'계산 과정'!$C$50+P153*('계산 과정'!$C$32-D153))+'계산 과정'!$D$48*(E153-'계산 과정'!$D$50+P153*('계산 과정'!$D$32-E153))+'계산 과정'!$E$48*(0-'계산 과정'!$E$50+P153*('계산 과정'!$E$32-0)),"")</x:f>
      </x:c>
      <x:c r="S153" s="17" t="n">
        <x:f>IF('계산 과정'!$C$78,IF(AND(ISNUMBER(Q153),ISNUMBER(R153),ABS(Q153-'계산 과정'!$C$88)&lt;='계산 과정'!$D$23/2,ABS(R153-'계산 과정'!$C$89)&lt;='계산 과정'!$D$24/2),1,0),"")</x:f>
        <x:v>0</x:v>
      </x:c>
      <x:c r="T153" s="4"/>
      <x:c r="U153" s="4"/>
      <x:c r="V153" s="4"/>
      <x:c r="W153" s="4" t="n">
        <x:f>IF('계산 과정'!$C$77,('계산 과정'!$D$56+'계산 과정'!$D$57*('계산 과정'!$L$11*COS(147*2*PI()/240))+'계산 과정'!$D$58*('계산 과정'!$L$11*SIN(147*2*PI()/240)))/('계산 과정'!$D$59+'계산 과정'!$D$60*('계산 과정'!$L$11*COS(147*2*PI()/240))+'계산 과정'!$D$61*('계산 과정'!$L$11*SIN(147*2*PI()/240))),"")</x:f>
        <x:v>-115.90435802761398</x:v>
      </x:c>
      <x:c r="X153" s="4" t="n">
        <x:f>IF('계산 과정'!$C$77,('계산 과정'!$E$56+'계산 과정'!$E$57*('계산 과정'!$L$11*COS(147*2*PI()/240))+'계산 과정'!$E$58*('계산 과정'!$L$11*SIN(147*2*PI()/240)))/('계산 과정'!$E$59+'계산 과정'!$E$60*('계산 과정'!$L$11*COS(147*2*PI()/240))+'계산 과정'!$E$61*('계산 과정'!$L$11*SIN(147*2*PI()/240))),"")</x:f>
        <x:v>-139.99536729985294</x:v>
      </x:c>
      <x:c r="Y153" s="4" t="str">
        <x:f>""</x:f>
      </x:c>
      <x:c r="Z153" s="4" t="str">
        <x:f>""</x:f>
      </x:c>
    </x:row>
    <x:row r="154" ht="23" customHeight="1">
      <x:c r="A154" s="17" t="n">
        <x:f>ROW()-6</x:f>
        <x:v>148</x:v>
      </x:c>
      <x:c r="B154" s="4" t="n">
        <x:f>IF('계산 과정'!$L$5,'계산 과정'!$L$11*SQRT((A154+0.5)/'계산 과정'!$L$30),"")</x:f>
        <x:v>40.391456108470514</x:v>
      </x:c>
      <x:c r="C154" s="4" t="n">
        <x:f>A154*PI()*(3-SQRT(5))</x:f>
        <x:v>355.19455799984064</x:v>
      </x:c>
      <x:c r="D154" s="4" t="n">
        <x:f>IF('계산 과정'!$L$5,B154*COS(C154),"")</x:f>
        <x:v>-39.62916391866915</x:v>
      </x:c>
      <x:c r="E154" s="4" t="n">
        <x:f>IF('계산 과정'!$L$5,B154*SIN(C154),"")</x:f>
        <x:v>-7.810191653842513</x:v>
      </x:c>
      <x:c r="F154" s="4" t="n">
        <x:f>IF('계산 과정'!$L$7,'계산 과정'!$L$22+'계산 과정'!$C$49*D154+'계산 과정'!$D$49*E154,"")</x:f>
        <x:v>678.0220505396442</x:v>
      </x:c>
      <x:c r="G154" s="4" t="n">
        <x:f>IF('계산 과정'!$L$7,IF(ABS(F154)&gt;=1E-12*MAX(1,SQRT((D154-'계산 과정'!$C$33)^2+(E154-'계산 과정'!$D$33)^2+'계산 과정'!$E$33^2)),('계산 과정'!$L$23-'계산 과정'!$C$49*D154-'계산 과정'!$D$49*E154)/F154,""),"")</x:f>
        <x:v>0.5486222006560038</x:v>
      </x:c>
      <x:c r="H154" s="4" t="n">
        <x:f>IF(AND(ISNUMBER(G154),G154&gt;0),('계산 과정'!$D$56+'계산 과정'!$D$57*D154+'계산 과정'!$D$58*E154)/F154,"")</x:f>
        <x:v>-43.3955695735977</x:v>
      </x:c>
      <x:c r="I154" s="4" t="n">
        <x:f>IF(AND(ISNUMBER(G154),G154&gt;0),('계산 과정'!$E$56+'계산 과정'!$E$57*D154+'계산 과정'!$E$58*E154)/F154,"")</x:f>
        <x:v>-12.095036186518746</x:v>
      </x:c>
      <x:c r="J154" s="4" t="n">
        <x:f>IF('계산 과정'!$L$5,'계산 과정'!$D$6+'계산 과정'!$C$35*D154+'계산 과정'!$D$35*E154,"")</x:f>
        <x:v>678.0220505396442</x:v>
      </x:c>
      <x:c r="K154" s="4" t="n">
        <x:f>IF(AND('계산 과정'!$L$6,J154&gt;0),'계산 과정'!$D$10*('계산 과정'!$C$38*(D154-'계산 과정'!$C$32)+'계산 과정'!$D$38*(E154-'계산 과정'!$D$32)-'계산 과정'!$E$38*'계산 과정'!$E$32)/J154,"")</x:f>
        <x:v>-0.3306329110369341</x:v>
      </x:c>
      <x:c r="L154" s="4" t="n">
        <x:f>IF(AND('계산 과정'!$L$6,J154&gt;0),'계산 과정'!$D$10*('계산 과정'!$C$39*(D154-'계산 과정'!$C$32)+'계산 과정'!$D$39*(E154-'계산 과정'!$D$32)-'계산 과정'!$E$39*'계산 과정'!$E$32)/J154,"")</x:f>
        <x:v>-0.09215265665919045</x:v>
      </x:c>
      <x:c r="M154" s="17" t="n">
        <x:f>IF('계산 과정'!$L$6,IF(J154&lt;=0,0,IF(AND(ABS(K154)&lt;='계산 과정'!$D$11/2,ABS(L154)&lt;='계산 과정'!$D$12/2),1,0)),"")</x:f>
        <x:v>1</x:v>
      </x:c>
      <x:c r="N154" s="17" t="n">
        <x:f>IF('계산 과정'!$C$78,IF(AND(ISNUMBER(H154),ISNUMBER(I154),ABS(H154-'계산 과정'!$C$88)&lt;='계산 과정'!$D$23/2,ABS(I154-'계산 과정'!$C$89)&lt;='계산 과정'!$D$24/2),1,0),"")</x:f>
        <x:v>1</x:v>
      </x:c>
      <x:c r="O154" s="4" t="n">
        <x:f>IF('계산 과정'!$L$7,'계산 과정'!$C$49*('계산 과정'!$C$32-D154)+'계산 과정'!$D$49*('계산 과정'!$D$32-E154)+'계산 과정'!$E$49*'계산 과정'!$E$32,"")</x:f>
        <x:v>-28.022050539644113</x:v>
      </x:c>
      <x:c r="P154" s="4" t="n">
        <x:f>IF(AND('계산 과정'!$L$7,O154&lt;&gt;0),('계산 과정'!$L$23-'계산 과정'!$C$49*D154-'계산 과정'!$D$49*E154)/O154,"")</x:f>
        <x:v>-13.27447286322252</x:v>
      </x:c>
      <x:c r="Q154" s="4" t="str">
        <x:f>IF(AND(ISNUMBER(P154),P154&gt;1E-9,P154&lt;1-1E-9),'계산 과정'!$C$47*(D154-'계산 과정'!$C$50+P154*('계산 과정'!$C$32-D154))+'계산 과정'!$D$47*(E154-'계산 과정'!$D$50+P154*('계산 과정'!$D$32-E154))+'계산 과정'!$E$47*(0-'계산 과정'!$E$50+P154*('계산 과정'!$E$32-0)),"")</x:f>
      </x:c>
      <x:c r="R154" s="4" t="str">
        <x:f>IF(AND(ISNUMBER(P154),P154&gt;1E-9,P154&lt;1-1E-9),'계산 과정'!$C$48*(D154-'계산 과정'!$C$50+P154*('계산 과정'!$C$32-D154))+'계산 과정'!$D$48*(E154-'계산 과정'!$D$50+P154*('계산 과정'!$D$32-E154))+'계산 과정'!$E$48*(0-'계산 과정'!$E$50+P154*('계산 과정'!$E$32-0)),"")</x:f>
      </x:c>
      <x:c r="S154" s="17" t="n">
        <x:f>IF('계산 과정'!$C$78,IF(AND(ISNUMBER(Q154),ISNUMBER(R154),ABS(Q154-'계산 과정'!$C$88)&lt;='계산 과정'!$D$23/2,ABS(R154-'계산 과정'!$C$89)&lt;='계산 과정'!$D$24/2),1,0),"")</x:f>
        <x:v>0</x:v>
      </x:c>
      <x:c r="T154" s="4"/>
      <x:c r="U154" s="4"/>
      <x:c r="V154" s="4"/>
      <x:c r="W154" s="4" t="n">
        <x:f>IF('계산 과정'!$C$77,('계산 과정'!$D$56+'계산 과정'!$D$57*('계산 과정'!$L$11*COS(148*2*PI()/240))+'계산 과정'!$D$58*('계산 과정'!$L$11*SIN(148*2*PI()/240)))/('계산 과정'!$D$59+'계산 과정'!$D$60*('계산 과정'!$L$11*COS(148*2*PI()/240))+'계산 과정'!$D$61*('계산 과정'!$L$11*SIN(148*2*PI()/240))),"")</x:f>
        <x:v>-113.55788608206026</x:v>
      </x:c>
      <x:c r="X154" s="4" t="n">
        <x:f>IF('계산 과정'!$C$77,('계산 과정'!$E$56+'계산 과정'!$E$57*('계산 과정'!$L$11*COS(148*2*PI()/240))+'계산 과정'!$E$58*('계산 과정'!$L$11*SIN(148*2*PI()/240)))/('계산 과정'!$E$59+'계산 과정'!$E$60*('계산 과정'!$L$11*COS(148*2*PI()/240))+'계산 과정'!$E$61*('계산 과정'!$L$11*SIN(148*2*PI()/240))),"")</x:f>
        <x:v>-144.6004798859728</x:v>
      </x:c>
      <x:c r="Y154" s="4" t="str">
        <x:f>""</x:f>
      </x:c>
      <x:c r="Z154" s="4" t="str">
        <x:f>""</x:f>
      </x:c>
    </x:row>
    <x:row r="155" ht="23" customHeight="1">
      <x:c r="A155" s="17" t="n">
        <x:f>ROW()-6</x:f>
        <x:v>149</x:v>
      </x:c>
      <x:c r="B155" s="4" t="n">
        <x:f>IF('계산 과정'!$L$5,'계산 과정'!$L$11*SQRT((A155+0.5)/'계산 과정'!$L$30),"")</x:f>
        <x:v>40.527226091696676</x:v>
      </x:c>
      <x:c r="C155" s="4" t="n">
        <x:f>A155*PI()*(3-SQRT(5))</x:f>
        <x:v>357.5945212295693</x:v>
      </x:c>
      <x:c r="D155" s="4" t="n">
        <x:f>IF('계산 과정'!$L$5,B155*COS(C155),"")</x:f>
        <x:v>34.61297749579826</x:v>
      </x:c>
      <x:c r="E155" s="4" t="n">
        <x:f>IF('계산 과정'!$L$5,B155*SIN(C155),"")</x:f>
        <x:v>-21.080745801865326</x:v>
      </x:c>
      <x:c r="F155" s="4" t="n">
        <x:f>IF('계산 과정'!$L$7,'계산 과정'!$L$22+'계산 과정'!$C$49*D155+'계산 과정'!$D$49*E155,"")</x:f>
        <x:v>625.5249288956637</x:v>
      </x:c>
      <x:c r="G155" s="4" t="n">
        <x:f>IF('계산 과정'!$L$7,IF(ABS(F155)&gt;=1E-12*MAX(1,SQRT((D155-'계산 과정'!$C$33)^2+(E155-'계산 과정'!$D$33)^2+'계산 과정'!$E$33^2)),('계산 과정'!$L$23-'계산 과정'!$C$49*D155-'계산 과정'!$D$49*E155)/F155,""),"")</x:f>
        <x:v>0.678590175220879</x:v>
      </x:c>
      <x:c r="H155" s="4" t="n">
        <x:f>IF(AND(ISNUMBER(G155),G155&gt;0),('계산 과정'!$D$56+'계산 과정'!$D$57*D155+'계산 과정'!$D$58*E155)/F155,"")</x:f>
        <x:v>41.08361389357126</x:v>
      </x:c>
      <x:c r="I155" s="4" t="n">
        <x:f>IF(AND(ISNUMBER(G155),G155&gt;0),('계산 과정'!$E$56+'계산 과정'!$E$57*D155+'계산 과정'!$E$58*E155)/F155,"")</x:f>
        <x:v>-35.385932789339925</x:v>
      </x:c>
      <x:c r="J155" s="4" t="n">
        <x:f>IF('계산 과정'!$L$5,'계산 과정'!$D$6+'계산 과정'!$C$35*D155+'계산 과정'!$D$35*E155,"")</x:f>
        <x:v>625.5249288956637</x:v>
      </x:c>
      <x:c r="K155" s="4" t="n">
        <x:f>IF(AND('계산 과정'!$L$6,J155&gt;0),'계산 과정'!$D$10*('계산 과정'!$C$38*(D155-'계산 과정'!$C$32)+'계산 과정'!$D$38*(E155-'계산 과정'!$D$32)-'계산 과정'!$E$38*'계산 과정'!$E$32)/J155,"")</x:f>
        <x:v>0.31301801061768686</x:v>
      </x:c>
      <x:c r="L155" s="4" t="n">
        <x:f>IF(AND('계산 과정'!$L$6,J155&gt;0),'계산 과정'!$D$10*('계산 과정'!$C$39*(D155-'계산 과정'!$C$32)+'계산 과정'!$D$39*(E155-'계산 과정'!$D$32)-'계산 과정'!$E$39*'계산 과정'!$E$32)/J155,"")</x:f>
        <x:v>-0.26960710696639945</x:v>
      </x:c>
      <x:c r="M155" s="17" t="n">
        <x:f>IF('계산 과정'!$L$6,IF(J155&lt;=0,0,IF(AND(ABS(K155)&lt;='계산 과정'!$D$11/2,ABS(L155)&lt;='계산 과정'!$D$12/2),1,0)),"")</x:f>
        <x:v>1</x:v>
      </x:c>
      <x:c r="N155" s="17" t="n">
        <x:f>IF('계산 과정'!$C$78,IF(AND(ISNUMBER(H155),ISNUMBER(I155),ABS(H155-'계산 과정'!$C$88)&lt;='계산 과정'!$D$23/2,ABS(I155-'계산 과정'!$C$89)&lt;='계산 과정'!$D$24/2),1,0),"")</x:f>
        <x:v>1</x:v>
      </x:c>
      <x:c r="O155" s="4" t="n">
        <x:f>IF('계산 과정'!$L$7,'계산 과정'!$C$49*('계산 과정'!$C$32-D155)+'계산 과정'!$D$49*('계산 과정'!$D$32-E155)+'계산 과정'!$E$49*'계산 과정'!$E$32,"")</x:f>
        <x:v>24.475071104336394</x:v>
      </x:c>
      <x:c r="P155" s="4" t="n">
        <x:f>IF(AND('계산 과정'!$L$7,O155&lt;&gt;0),('계산 과정'!$L$23-'계산 과정'!$C$49*D155-'계산 과정'!$D$49*E155)/O155,"")</x:f>
        <x:v>17.34315987458478</x:v>
      </x:c>
      <x:c r="Q155" s="4" t="str">
        <x:f>IF(AND(ISNUMBER(P155),P155&gt;1E-9,P155&lt;1-1E-9),'계산 과정'!$C$47*(D155-'계산 과정'!$C$50+P155*('계산 과정'!$C$32-D155))+'계산 과정'!$D$47*(E155-'계산 과정'!$D$50+P155*('계산 과정'!$D$32-E155))+'계산 과정'!$E$47*(0-'계산 과정'!$E$50+P155*('계산 과정'!$E$32-0)),"")</x:f>
      </x:c>
      <x:c r="R155" s="4" t="str">
        <x:f>IF(AND(ISNUMBER(P155),P155&gt;1E-9,P155&lt;1-1E-9),'계산 과정'!$C$48*(D155-'계산 과정'!$C$50+P155*('계산 과정'!$C$32-D155))+'계산 과정'!$D$48*(E155-'계산 과정'!$D$50+P155*('계산 과정'!$D$32-E155))+'계산 과정'!$E$48*(0-'계산 과정'!$E$50+P155*('계산 과정'!$E$32-0)),"")</x:f>
      </x:c>
      <x:c r="S155" s="17" t="n">
        <x:f>IF('계산 과정'!$C$78,IF(AND(ISNUMBER(Q155),ISNUMBER(R155),ABS(Q155-'계산 과정'!$C$88)&lt;='계산 과정'!$D$23/2,ABS(R155-'계산 과정'!$C$89)&lt;='계산 과정'!$D$24/2),1,0),"")</x:f>
        <x:v>0</x:v>
      </x:c>
      <x:c r="T155" s="4"/>
      <x:c r="U155" s="4"/>
      <x:c r="V155" s="4"/>
      <x:c r="W155" s="4" t="n">
        <x:f>IF('계산 과정'!$C$77,('계산 과정'!$D$56+'계산 과정'!$D$57*('계산 과정'!$L$11*COS(149*2*PI()/240))+'계산 과정'!$D$58*('계산 과정'!$L$11*SIN(149*2*PI()/240)))/('계산 과정'!$D$59+'계산 과정'!$D$60*('계산 과정'!$L$11*COS(149*2*PI()/240))+'계산 과정'!$D$61*('계산 과정'!$L$11*SIN(149*2*PI()/240))),"")</x:f>
        <x:v>-111.12983053815924</x:v>
      </x:c>
      <x:c r="X155" s="4" t="n">
        <x:f>IF('계산 과정'!$C$77,('계산 과정'!$E$56+'계산 과정'!$E$57*('계산 과정'!$L$11*COS(149*2*PI()/240))+'계산 과정'!$E$58*('계산 과정'!$L$11*SIN(149*2*PI()/240)))/('계산 과정'!$E$59+'계산 과정'!$E$60*('계산 과정'!$L$11*COS(149*2*PI()/240))+'계산 과정'!$E$61*('계산 과정'!$L$11*SIN(149*2*PI()/240))),"")</x:f>
        <x:v>-149.14051779956037</x:v>
      </x:c>
      <x:c r="Y155" s="4" t="str">
        <x:f>""</x:f>
      </x:c>
      <x:c r="Z155" s="4" t="str">
        <x:f>""</x:f>
      </x:c>
    </x:row>
    <x:row r="156" ht="23" customHeight="1">
      <x:c r="A156" s="17" t="n">
        <x:f>ROW()-6</x:f>
        <x:v>150</x:v>
      </x:c>
      <x:c r="B156" s="4" t="n">
        <x:f>IF('계산 과정'!$L$5,'계산 과정'!$L$11*SQRT((A156+0.5)/'계산 과정'!$L$30),"")</x:f>
        <x:v>40.66254274897845</x:v>
      </x:c>
      <x:c r="C156" s="4" t="n">
        <x:f>A156*PI()*(3-SQRT(5))</x:f>
        <x:v>359.99448445929795</x:v>
      </x:c>
      <x:c r="D156" s="4" t="n">
        <x:f>IF('계산 과정'!$L$5,B156*COS(C156),"")</x:f>
        <x:v>-11.320365066491233</x:v>
      </x:c>
      <x:c r="E156" s="4" t="n">
        <x:f>IF('계산 과정'!$L$5,B156*SIN(C156),"")</x:f>
        <x:v>39.05498326172814</x:v>
      </x:c>
      <x:c r="F156" s="4" t="n">
        <x:f>IF('계산 과정'!$L$7,'계산 과정'!$L$22+'계산 과정'!$C$49*D156+'계산 과정'!$D$49*E156,"")</x:f>
        <x:v>658.0047069040232</x:v>
      </x:c>
      <x:c r="G156" s="4" t="n">
        <x:f>IF('계산 과정'!$L$7,IF(ABS(F156)&gt;=1E-12*MAX(1,SQRT((D156-'계산 과정'!$C$33)^2+(E156-'계산 과정'!$D$33)^2+'계산 과정'!$E$33^2)),('계산 과정'!$L$23-'계산 과정'!$C$49*D156-'계산 과정'!$D$49*E156)/F156,""),"")</x:f>
        <x:v>0.5957332660131766</x:v>
      </x:c>
      <x:c r="H156" s="4" t="n">
        <x:f>IF(AND(ISNUMBER(G156),G156&gt;0),('계산 과정'!$D$56+'계산 과정'!$D$57*D156+'계산 과정'!$D$58*E156)/F156,"")</x:f>
        <x:v>-12.773377091435364</x:v>
      </x:c>
      <x:c r="I156" s="4" t="n">
        <x:f>IF(AND(ISNUMBER(G156),G156&gt;0),('계산 과정'!$E$56+'계산 과정'!$E$57*D156+'계산 과정'!$E$58*E156)/F156,"")</x:f>
        <x:v>62.321335994327384</x:v>
      </x:c>
      <x:c r="J156" s="4" t="n">
        <x:f>IF('계산 과정'!$L$5,'계산 과정'!$D$6+'계산 과정'!$C$35*D156+'계산 과정'!$D$35*E156,"")</x:f>
        <x:v>658.0047069040232</x:v>
      </x:c>
      <x:c r="K156" s="4" t="n">
        <x:f>IF(AND('계산 과정'!$L$6,J156&gt;0),'계산 과정'!$D$10*('계산 과정'!$C$38*(D156-'계산 과정'!$C$32)+'계산 과정'!$D$38*(E156-'계산 과정'!$D$32)-'계산 과정'!$E$38*'계산 과정'!$E$32)/J156,"")</x:f>
        <x:v>-0.09732096831569695</x:v>
      </x:c>
      <x:c r="L156" s="4" t="n">
        <x:f>IF(AND('계산 과정'!$L$6,J156&gt;0),'계산 과정'!$D$10*('계산 과정'!$C$39*(D156-'계산 과정'!$C$32)+'계산 과정'!$D$39*(E156-'계산 과정'!$D$32)-'계산 과정'!$E$39*'계산 과정'!$E$32)/J156,"")</x:f>
        <x:v>0.4748292266234468</x:v>
      </x:c>
      <x:c r="M156" s="17" t="n">
        <x:f>IF('계산 과정'!$L$6,IF(J156&lt;=0,0,IF(AND(ABS(K156)&lt;='계산 과정'!$D$11/2,ABS(L156)&lt;='계산 과정'!$D$12/2),1,0)),"")</x:f>
        <x:v>1</x:v>
      </x:c>
      <x:c r="N156" s="17" t="n">
        <x:f>IF('계산 과정'!$C$78,IF(AND(ISNUMBER(H156),ISNUMBER(I156),ABS(H156-'계산 과정'!$C$88)&lt;='계산 과정'!$D$23/2,ABS(I156-'계산 과정'!$C$89)&lt;='계산 과정'!$D$24/2),1,0),"")</x:f>
        <x:v>1</x:v>
      </x:c>
      <x:c r="O156" s="4" t="n">
        <x:f>IF('계산 과정'!$L$7,'계산 과정'!$C$49*('계산 과정'!$C$32-D156)+'계산 과정'!$D$49*('계산 과정'!$D$32-E156)+'계산 과정'!$E$49*'계산 과정'!$E$32,"")</x:f>
        <x:v>-8.004706904023124</x:v>
      </x:c>
      <x:c r="P156" s="4" t="n">
        <x:f>IF(AND('계산 과정'!$L$7,O156&lt;&gt;0),('계산 과정'!$L$23-'계산 과정'!$C$49*D156-'계산 과정'!$D$49*E156)/O156,"")</x:f>
        <x:v>-48.9705991482289</x:v>
      </x:c>
      <x:c r="Q156" s="4" t="str">
        <x:f>IF(AND(ISNUMBER(P156),P156&gt;1E-9,P156&lt;1-1E-9),'계산 과정'!$C$47*(D156-'계산 과정'!$C$50+P156*('계산 과정'!$C$32-D156))+'계산 과정'!$D$47*(E156-'계산 과정'!$D$50+P156*('계산 과정'!$D$32-E156))+'계산 과정'!$E$47*(0-'계산 과정'!$E$50+P156*('계산 과정'!$E$32-0)),"")</x:f>
      </x:c>
      <x:c r="R156" s="4" t="str">
        <x:f>IF(AND(ISNUMBER(P156),P156&gt;1E-9,P156&lt;1-1E-9),'계산 과정'!$C$48*(D156-'계산 과정'!$C$50+P156*('계산 과정'!$C$32-D156))+'계산 과정'!$D$48*(E156-'계산 과정'!$D$50+P156*('계산 과정'!$D$32-E156))+'계산 과정'!$E$48*(0-'계산 과정'!$E$50+P156*('계산 과정'!$E$32-0)),"")</x:f>
      </x:c>
      <x:c r="S156" s="17" t="n">
        <x:f>IF('계산 과정'!$C$78,IF(AND(ISNUMBER(Q156),ISNUMBER(R156),ABS(Q156-'계산 과정'!$C$88)&lt;='계산 과정'!$D$23/2,ABS(R156-'계산 과정'!$C$89)&lt;='계산 과정'!$D$24/2),1,0),"")</x:f>
        <x:v>0</x:v>
      </x:c>
      <x:c r="T156" s="4"/>
      <x:c r="U156" s="4"/>
      <x:c r="V156" s="4"/>
      <x:c r="W156" s="4" t="n">
        <x:f>IF('계산 과정'!$C$77,('계산 과정'!$D$56+'계산 과정'!$D$57*('계산 과정'!$L$11*COS(150*2*PI()/240))+'계산 과정'!$D$58*('계산 과정'!$L$11*SIN(150*2*PI()/240)))/('계산 과정'!$D$59+'계산 과정'!$D$60*('계산 과정'!$L$11*COS(150*2*PI()/240))+'계산 과정'!$D$61*('계산 과정'!$L$11*SIN(150*2*PI()/240))),"")</x:f>
        <x:v>-108.62068965517255</x:v>
      </x:c>
      <x:c r="X156" s="4" t="n">
        <x:f>IF('계산 과정'!$C$77,('계산 과정'!$E$56+'계산 과정'!$E$57*('계산 과정'!$L$11*COS(150*2*PI()/240))+'계산 과정'!$E$58*('계산 과정'!$L$11*SIN(150*2*PI()/240)))/('계산 과정'!$E$59+'계산 과정'!$E$60*('계산 과정'!$L$11*COS(150*2*PI()/240))+'계산 과정'!$E$61*('계산 과정'!$L$11*SIN(150*2*PI()/240))),"")</x:f>
        <x:v>-153.61285246466375</x:v>
      </x:c>
      <x:c r="Y156" s="4" t="str">
        <x:f>""</x:f>
      </x:c>
      <x:c r="Z156" s="4" t="str">
        <x:f>""</x:f>
      </x:c>
    </x:row>
    <x:row r="157" ht="23" customHeight="1">
      <x:c r="A157" s="17" t="n">
        <x:f>ROW()-6</x:f>
        <x:v>151</x:v>
      </x:c>
      <x:c r="B157" s="4" t="n">
        <x:f>IF('계산 과정'!$L$5,'계산 과정'!$L$11*SQRT((A157+0.5)/'계산 과정'!$L$30),"")</x:f>
        <x:v>40.79741059108409</x:v>
      </x:c>
      <x:c r="C157" s="4" t="n">
        <x:f>A157*PI()*(3-SQRT(5))</x:f>
        <x:v>362.39444768902655</x:v>
      </x:c>
      <x:c r="D157" s="4" t="n">
        <x:f>IF('계산 과정'!$L$5,B157*COS(C157),"")</x:f>
        <x:v>-18.093791598118223</x:v>
      </x:c>
      <x:c r="E157" s="4" t="n">
        <x:f>IF('계산 과정'!$L$5,B157*SIN(C157),"")</x:f>
        <x:v>-36.565604282458764</x:v>
      </x:c>
      <x:c r="F157" s="4" t="n">
        <x:f>IF('계산 과정'!$L$7,'계산 과정'!$L$22+'계산 과정'!$C$49*D157+'계산 과정'!$D$49*E157,"")</x:f>
        <x:v>662.7942427364055</x:v>
      </x:c>
      <x:c r="G157" s="4" t="n">
        <x:f>IF('계산 과정'!$L$7,IF(ABS(F157)&gt;=1E-12*MAX(1,SQRT((D157-'계산 과정'!$C$33)^2+(E157-'계산 과정'!$D$33)^2+'계산 과정'!$E$33^2)),('계산 과정'!$L$23-'계산 과정'!$C$49*D157-'계산 과정'!$D$49*E157)/F157,""),"")</x:f>
        <x:v>0.5842020529100866</x:v>
      </x:c>
      <x:c r="H157" s="4" t="n">
        <x:f>IF(AND(ISNUMBER(G157),G157&gt;0),('계산 과정'!$D$56+'계산 과정'!$D$57*D157+'계산 과정'!$D$58*E157)/F157,"")</x:f>
        <x:v>-20.268665608443797</x:v>
      </x:c>
      <x:c r="I157" s="4" t="n">
        <x:f>IF(AND(ISNUMBER(G157),G157&gt;0),('계산 과정'!$E$56+'계산 과정'!$E$57*D157+'계산 과정'!$E$58*E157)/F157,"")</x:f>
        <x:v>-57.92730537016904</x:v>
      </x:c>
      <x:c r="J157" s="4" t="n">
        <x:f>IF('계산 과정'!$L$5,'계산 과정'!$D$6+'계산 과정'!$C$35*D157+'계산 과정'!$D$35*E157,"")</x:f>
        <x:v>662.7942427364055</x:v>
      </x:c>
      <x:c r="K157" s="4" t="n">
        <x:f>IF(AND('계산 과정'!$L$6,J157&gt;0),'계산 과정'!$D$10*('계산 과정'!$C$38*(D157-'계산 과정'!$C$32)+'계산 과정'!$D$38*(E157-'계산 과정'!$D$32)-'계산 과정'!$E$38*'계산 과정'!$E$32)/J157,"")</x:f>
        <x:v>-0.15442792844528522</x:v>
      </x:c>
      <x:c r="L157" s="4" t="n">
        <x:f>IF(AND('계산 과정'!$L$6,J157&gt;0),'계산 과정'!$D$10*('계산 과정'!$C$39*(D157-'계산 과정'!$C$32)+'계산 과정'!$D$39*(E157-'계산 과정'!$D$32)-'계산 과정'!$E$39*'계산 과정'!$E$32)/J157,"")</x:f>
        <x:v>-0.44135089805843075</x:v>
      </x:c>
      <x:c r="M157" s="17" t="n">
        <x:f>IF('계산 과정'!$L$6,IF(J157&lt;=0,0,IF(AND(ABS(K157)&lt;='계산 과정'!$D$11/2,ABS(L157)&lt;='계산 과정'!$D$12/2),1,0)),"")</x:f>
        <x:v>1</x:v>
      </x:c>
      <x:c r="N157" s="17" t="n">
        <x:f>IF('계산 과정'!$C$78,IF(AND(ISNUMBER(H157),ISNUMBER(I157),ABS(H157-'계산 과정'!$C$88)&lt;='계산 과정'!$D$23/2,ABS(I157-'계산 과정'!$C$89)&lt;='계산 과정'!$D$24/2),1,0),"")</x:f>
        <x:v>1</x:v>
      </x:c>
      <x:c r="O157" s="4" t="n">
        <x:f>IF('계산 과정'!$L$7,'계산 과정'!$C$49*('계산 과정'!$C$32-D157)+'계산 과정'!$D$49*('계산 과정'!$D$32-E157)+'계산 과정'!$E$49*'계산 과정'!$E$32,"")</x:f>
        <x:v>-12.794242736405465</x:v>
      </x:c>
      <x:c r="P157" s="4" t="n">
        <x:f>IF(AND('계산 과정'!$L$7,O157&lt;&gt;0),('계산 과정'!$L$23-'계산 과정'!$C$49*D157-'계산 과정'!$D$49*E157)/O157,"")</x:f>
        <x:v>-30.264062144281283</x:v>
      </x:c>
      <x:c r="Q157" s="4" t="str">
        <x:f>IF(AND(ISNUMBER(P157),P157&gt;1E-9,P157&lt;1-1E-9),'계산 과정'!$C$47*(D157-'계산 과정'!$C$50+P157*('계산 과정'!$C$32-D157))+'계산 과정'!$D$47*(E157-'계산 과정'!$D$50+P157*('계산 과정'!$D$32-E157))+'계산 과정'!$E$47*(0-'계산 과정'!$E$50+P157*('계산 과정'!$E$32-0)),"")</x:f>
      </x:c>
      <x:c r="R157" s="4" t="str">
        <x:f>IF(AND(ISNUMBER(P157),P157&gt;1E-9,P157&lt;1-1E-9),'계산 과정'!$C$48*(D157-'계산 과정'!$C$50+P157*('계산 과정'!$C$32-D157))+'계산 과정'!$D$48*(E157-'계산 과정'!$D$50+P157*('계산 과정'!$D$32-E157))+'계산 과정'!$E$48*(0-'계산 과정'!$E$50+P157*('계산 과정'!$E$32-0)),"")</x:f>
      </x:c>
      <x:c r="S157" s="17" t="n">
        <x:f>IF('계산 과정'!$C$78,IF(AND(ISNUMBER(Q157),ISNUMBER(R157),ABS(Q157-'계산 과정'!$C$88)&lt;='계산 과정'!$D$23/2,ABS(R157-'계산 과정'!$C$89)&lt;='계산 과정'!$D$24/2),1,0),"")</x:f>
        <x:v>0</x:v>
      </x:c>
      <x:c r="T157" s="4"/>
      <x:c r="U157" s="4"/>
      <x:c r="V157" s="4"/>
      <x:c r="W157" s="4" t="n">
        <x:f>IF('계산 과정'!$C$77,('계산 과정'!$D$56+'계산 과정'!$D$57*('계산 과정'!$L$11*COS(151*2*PI()/240))+'계산 과정'!$D$58*('계산 과정'!$L$11*SIN(151*2*PI()/240)))/('계산 과정'!$D$59+'계산 과정'!$D$60*('계산 과정'!$L$11*COS(151*2*PI()/240))+'계산 과정'!$D$61*('계산 과정'!$L$11*SIN(151*2*PI()/240))),"")</x:f>
        <x:v>-106.0309963018495</x:v>
      </x:c>
      <x:c r="X157" s="4" t="n">
        <x:f>IF('계산 과정'!$C$77,('계산 과정'!$E$56+'계산 과정'!$E$57*('계산 과정'!$L$11*COS(151*2*PI()/240))+'계산 과정'!$E$58*('계산 과정'!$L$11*SIN(151*2*PI()/240)))/('계산 과정'!$E$59+'계산 과정'!$E$60*('계산 과정'!$L$11*COS(151*2*PI()/240))+'계산 과정'!$E$61*('계산 과정'!$L$11*SIN(151*2*PI()/240))),"")</x:f>
        <x:v>-158.0148282259942</x:v>
      </x:c>
      <x:c r="Y157" s="4" t="str">
        <x:f>""</x:f>
      </x:c>
      <x:c r="Z157" s="4" t="str">
        <x:f>""</x:f>
      </x:c>
    </x:row>
    <x:row r="158" ht="23" customHeight="1">
      <x:c r="A158" s="17" t="n">
        <x:f>ROW()-6</x:f>
        <x:v>152</x:v>
      </x:c>
      <x:c r="B158" s="4" t="n">
        <x:f>IF('계산 과정'!$L$5,'계산 과정'!$L$11*SQRT((A158+0.5)/'계산 과정'!$L$30),"")</x:f>
        <x:v>40.93183405446792</x:v>
      </x:c>
      <x:c r="C158" s="4" t="n">
        <x:f>A158*PI()*(3-SQRT(5))</x:f>
        <x:v>364.7944109187552</x:v>
      </x:c>
      <x:c r="D158" s="4" t="n">
        <x:f>IF('계산 과정'!$L$5,B158*COS(C158),"")</x:f>
        <x:v>38.166852647647175</x:v>
      </x:c>
      <x:c r="E158" s="4" t="n">
        <x:f>IF('계산 과정'!$L$5,B158*SIN(C158),"")</x:f>
        <x:v>14.788725368850683</x:v>
      </x:c>
      <x:c r="F158" s="4" t="n">
        <x:f>IF('계산 과정'!$L$7,'계산 과정'!$L$22+'계산 과정'!$C$49*D158+'계산 과정'!$D$49*E158,"")</x:f>
        <x:v>623.011959676301</x:v>
      </x:c>
      <x:c r="G158" s="4" t="n">
        <x:f>IF('계산 과정'!$L$7,IF(ABS(F158)&gt;=1E-12*MAX(1,SQRT((D158-'계산 과정'!$C$33)^2+(E158-'계산 과정'!$D$33)^2+'계산 과정'!$E$33^2)),('계산 과정'!$L$23-'계산 과정'!$C$49*D158-'계산 과정'!$D$49*E158)/F158,""),"")</x:f>
        <x:v>0.6853609047016525</x:v>
      </x:c>
      <x:c r="H158" s="4" t="n">
        <x:f>IF(AND(ISNUMBER(G158),G158&gt;0),('계산 과정'!$D$56+'계산 과정'!$D$57*D158+'계산 과정'!$D$58*E158)/F158,"")</x:f>
        <x:v>45.484588056074</x:v>
      </x:c>
      <x:c r="I158" s="4" t="n">
        <x:f>IF(AND(ISNUMBER(G158),G158&gt;0),('계산 과정'!$E$56+'계산 과정'!$E$57*D158+'계산 과정'!$E$58*E158)/F158,"")</x:f>
        <x:v>24.924339567030465</x:v>
      </x:c>
      <x:c r="J158" s="4" t="n">
        <x:f>IF('계산 과정'!$L$5,'계산 과정'!$D$6+'계산 과정'!$C$35*D158+'계산 과정'!$D$35*E158,"")</x:f>
        <x:v>623.011959676301</x:v>
      </x:c>
      <x:c r="K158" s="4" t="n">
        <x:f>IF(AND('계산 과정'!$L$6,J158&gt;0),'계산 과정'!$D$10*('계산 과정'!$C$38*(D158-'계산 과정'!$C$32)+'계산 과정'!$D$38*(E158-'계산 과정'!$D$32)-'계산 과정'!$E$38*'계산 과정'!$E$32)/J158,"")</x:f>
        <x:v>0.3465492423319934</x:v>
      </x:c>
      <x:c r="L158" s="4" t="n">
        <x:f>IF(AND('계산 과정'!$L$6,J158&gt;0),'계산 과정'!$D$10*('계산 과정'!$C$39*(D158-'계산 과정'!$C$32)+'계산 과정'!$D$39*(E158-'계산 과정'!$D$32)-'계산 과정'!$E$39*'계산 과정'!$E$32)/J158,"")</x:f>
        <x:v>0.18989973003451782</x:v>
      </x:c>
      <x:c r="M158" s="17" t="n">
        <x:f>IF('계산 과정'!$L$6,IF(J158&lt;=0,0,IF(AND(ABS(K158)&lt;='계산 과정'!$D$11/2,ABS(L158)&lt;='계산 과정'!$D$12/2),1,0)),"")</x:f>
        <x:v>1</x:v>
      </x:c>
      <x:c r="N158" s="17" t="n">
        <x:f>IF('계산 과정'!$C$78,IF(AND(ISNUMBER(H158),ISNUMBER(I158),ABS(H158-'계산 과정'!$C$88)&lt;='계산 과정'!$D$23/2,ABS(I158-'계산 과정'!$C$89)&lt;='계산 과정'!$D$24/2),1,0),"")</x:f>
        <x:v>1</x:v>
      </x:c>
      <x:c r="O158" s="4" t="n">
        <x:f>IF('계산 과정'!$L$7,'계산 과정'!$C$49*('계산 과정'!$C$32-D158)+'계산 과정'!$D$49*('계산 과정'!$D$32-E158)+'계산 과정'!$E$49*'계산 과정'!$E$32,"")</x:f>
        <x:v>26.988040323699124</x:v>
      </x:c>
      <x:c r="P158" s="4" t="n">
        <x:f>IF(AND('계산 과정'!$L$7,O158&lt;&gt;0),('계산 과정'!$L$23-'계산 과정'!$C$49*D158-'계산 과정'!$D$49*E158)/O158,"")</x:f>
        <x:v>15.821379959505478</x:v>
      </x:c>
      <x:c r="Q158" s="4" t="str">
        <x:f>IF(AND(ISNUMBER(P158),P158&gt;1E-9,P158&lt;1-1E-9),'계산 과정'!$C$47*(D158-'계산 과정'!$C$50+P158*('계산 과정'!$C$32-D158))+'계산 과정'!$D$47*(E158-'계산 과정'!$D$50+P158*('계산 과정'!$D$32-E158))+'계산 과정'!$E$47*(0-'계산 과정'!$E$50+P158*('계산 과정'!$E$32-0)),"")</x:f>
      </x:c>
      <x:c r="R158" s="4" t="str">
        <x:f>IF(AND(ISNUMBER(P158),P158&gt;1E-9,P158&lt;1-1E-9),'계산 과정'!$C$48*(D158-'계산 과정'!$C$50+P158*('계산 과정'!$C$32-D158))+'계산 과정'!$D$48*(E158-'계산 과정'!$D$50+P158*('계산 과정'!$D$32-E158))+'계산 과정'!$E$48*(0-'계산 과정'!$E$50+P158*('계산 과정'!$E$32-0)),"")</x:f>
      </x:c>
      <x:c r="S158" s="17" t="n">
        <x:f>IF('계산 과정'!$C$78,IF(AND(ISNUMBER(Q158),ISNUMBER(R158),ABS(Q158-'계산 과정'!$C$88)&lt;='계산 과정'!$D$23/2,ABS(R158-'계산 과정'!$C$89)&lt;='계산 과정'!$D$24/2),1,0),"")</x:f>
        <x:v>0</x:v>
      </x:c>
      <x:c r="T158" s="4"/>
      <x:c r="U158" s="4"/>
      <x:c r="V158" s="4"/>
      <x:c r="W158" s="4" t="n">
        <x:f>IF('계산 과정'!$C$77,('계산 과정'!$D$56+'계산 과정'!$D$57*('계산 과정'!$L$11*COS(152*2*PI()/240))+'계산 과정'!$D$58*('계산 과정'!$L$11*SIN(152*2*PI()/240)))/('계산 과정'!$D$59+'계산 과정'!$D$60*('계산 과정'!$L$11*COS(152*2*PI()/240))+'계산 과정'!$D$61*('계산 과정'!$L$11*SIN(152*2*PI()/240))),"")</x:f>
        <x:v>-103.36131972828981</x:v>
      </x:c>
      <x:c r="X158" s="4" t="n">
        <x:f>IF('계산 과정'!$C$77,('계산 과정'!$E$56+'계산 과정'!$E$57*('계산 과정'!$L$11*COS(152*2*PI()/240))+'계산 과정'!$E$58*('계산 과정'!$L$11*SIN(152*2*PI()/240)))/('계산 과정'!$E$59+'계산 과정'!$E$60*('계산 과정'!$L$11*COS(152*2*PI()/240))+'계산 과정'!$E$61*('계산 과정'!$L$11*SIN(152*2*PI()/240))),"")</x:f>
        <x:v>-162.3437623478471</x:v>
      </x:c>
      <x:c r="Y158" s="4" t="str">
        <x:f>""</x:f>
      </x:c>
      <x:c r="Z158" s="4" t="str">
        <x:f>""</x:f>
      </x:c>
    </x:row>
    <x:row r="159" ht="23" customHeight="1">
      <x:c r="A159" s="17" t="n">
        <x:f>ROW()-6</x:f>
        <x:v>153</x:v>
      </x:c>
      <x:c r="B159" s="4" t="n">
        <x:f>IF('계산 과정'!$L$5,'계산 과정'!$L$11*SQRT((A159+0.5)/'계산 과정'!$L$30),"")</x:f>
        <x:v>41.065817502973196</x:v>
      </x:c>
      <x:c r="C159" s="4" t="n">
        <x:f>A159*PI()*(3-SQRT(5))</x:f>
        <x:v>367.1943741484839</x:v>
      </x:c>
      <x:c r="D159" s="4" t="n">
        <x:f>IF('계산 과정'!$L$5,B159*COS(C159),"")</x:f>
        <x:v>-38.25751068997995</x:v>
      </x:c>
      <x:c r="E159" s="4" t="n">
        <x:f>IF('계산 과정'!$L$5,B159*SIN(C159),"")</x:f>
        <x:v>14.925288707209967</x:v>
      </x:c>
      <x:c r="F159" s="4" t="n">
        <x:f>IF('계산 과정'!$L$7,'계산 과정'!$L$22+'계산 과정'!$C$49*D159+'계산 과정'!$D$49*E159,"")</x:f>
        <x:v>677.0521452402016</x:v>
      </x:c>
      <x:c r="G159" s="4" t="n">
        <x:f>IF('계산 과정'!$L$7,IF(ABS(F159)&gt;=1E-12*MAX(1,SQRT((D159-'계산 과정'!$C$33)^2+(E159-'계산 과정'!$D$33)^2+'계산 과정'!$E$33^2)),('계산 과정'!$L$23-'계산 과정'!$C$49*D159-'계산 과정'!$D$49*E159)/F159,""),"")</x:f>
        <x:v>0.550840666234778</x:v>
      </x:c>
      <x:c r="H159" s="4" t="n">
        <x:f>IF(AND(ISNUMBER(G159),G159&gt;0),('계산 과정'!$D$56+'계산 과정'!$D$57*D159+'계산 과정'!$D$58*E159)/F159,"")</x:f>
        <x:v>-41.953566947394435</x:v>
      </x:c>
      <x:c r="I159" s="4" t="n">
        <x:f>IF(AND(ISNUMBER(G159),G159&gt;0),('계산 과정'!$E$56+'계산 과정'!$E$57*D159+'계산 과정'!$E$58*E159)/F159,"")</x:f>
        <x:v>23.146744682435912</x:v>
      </x:c>
      <x:c r="J159" s="4" t="n">
        <x:f>IF('계산 과정'!$L$5,'계산 과정'!$D$6+'계산 과정'!$C$35*D159+'계산 과정'!$D$35*E159,"")</x:f>
        <x:v>677.0521452402016</x:v>
      </x:c>
      <x:c r="K159" s="4" t="n">
        <x:f>IF(AND('계산 과정'!$L$6,J159&gt;0),'계산 과정'!$D$10*('계산 과정'!$C$38*(D159-'계산 과정'!$C$32)+'계산 과정'!$D$38*(E159-'계산 과정'!$D$32)-'계산 과정'!$E$38*'계산 과정'!$E$32)/J159,"")</x:f>
        <x:v>-0.31964622436109935</x:v>
      </x:c>
      <x:c r="L159" s="4" t="n">
        <x:f>IF(AND('계산 과정'!$L$6,J159&gt;0),'계산 과정'!$D$10*('계산 과정'!$C$39*(D159-'계산 과정'!$C$32)+'계산 과정'!$D$39*(E159-'계산 과정'!$D$32)-'계산 과정'!$E$39*'계산 과정'!$E$32)/J159,"")</x:f>
        <x:v>0.1763561499614165</x:v>
      </x:c>
      <x:c r="M159" s="17" t="n">
        <x:f>IF('계산 과정'!$L$6,IF(J159&lt;=0,0,IF(AND(ABS(K159)&lt;='계산 과정'!$D$11/2,ABS(L159)&lt;='계산 과정'!$D$12/2),1,0)),"")</x:f>
        <x:v>1</x:v>
      </x:c>
      <x:c r="N159" s="17" t="n">
        <x:f>IF('계산 과정'!$C$78,IF(AND(ISNUMBER(H159),ISNUMBER(I159),ABS(H159-'계산 과정'!$C$88)&lt;='계산 과정'!$D$23/2,ABS(I159-'계산 과정'!$C$89)&lt;='계산 과정'!$D$24/2),1,0),"")</x:f>
        <x:v>1</x:v>
      </x:c>
      <x:c r="O159" s="4" t="n">
        <x:f>IF('계산 과정'!$L$7,'계산 과정'!$C$49*('계산 과정'!$C$32-D159)+'계산 과정'!$D$49*('계산 과정'!$D$32-E159)+'계산 과정'!$E$49*'계산 과정'!$E$32,"")</x:f>
        <x:v>-27.052145240201526</x:v>
      </x:c>
      <x:c r="P159" s="4" t="n">
        <x:f>IF(AND('계산 과정'!$L$7,O159&lt;&gt;0),('계산 과정'!$L$23-'계산 과정'!$C$49*D159-'계산 과정'!$D$49*E159)/O159,"")</x:f>
        <x:v>-13.786258037886391</x:v>
      </x:c>
      <x:c r="Q159" s="4" t="str">
        <x:f>IF(AND(ISNUMBER(P159),P159&gt;1E-9,P159&lt;1-1E-9),'계산 과정'!$C$47*(D159-'계산 과정'!$C$50+P159*('계산 과정'!$C$32-D159))+'계산 과정'!$D$47*(E159-'계산 과정'!$D$50+P159*('계산 과정'!$D$32-E159))+'계산 과정'!$E$47*(0-'계산 과정'!$E$50+P159*('계산 과정'!$E$32-0)),"")</x:f>
      </x:c>
      <x:c r="R159" s="4" t="str">
        <x:f>IF(AND(ISNUMBER(P159),P159&gt;1E-9,P159&lt;1-1E-9),'계산 과정'!$C$48*(D159-'계산 과정'!$C$50+P159*('계산 과정'!$C$32-D159))+'계산 과정'!$D$48*(E159-'계산 과정'!$D$50+P159*('계산 과정'!$D$32-E159))+'계산 과정'!$E$48*(0-'계산 과정'!$E$50+P159*('계산 과정'!$E$32-0)),"")</x:f>
      </x:c>
      <x:c r="S159" s="17" t="n">
        <x:f>IF('계산 과정'!$C$78,IF(AND(ISNUMBER(Q159),ISNUMBER(R159),ABS(Q159-'계산 과정'!$C$88)&lt;='계산 과정'!$D$23/2,ABS(R159-'계산 과정'!$C$89)&lt;='계산 과정'!$D$24/2),1,0),"")</x:f>
        <x:v>0</x:v>
      </x:c>
      <x:c r="T159" s="4"/>
      <x:c r="U159" s="4"/>
      <x:c r="V159" s="4"/>
      <x:c r="W159" s="4" t="n">
        <x:f>IF('계산 과정'!$C$77,('계산 과정'!$D$56+'계산 과정'!$D$57*('계산 과정'!$L$11*COS(153*2*PI()/240))+'계산 과정'!$D$58*('계산 과정'!$L$11*SIN(153*2*PI()/240)))/('계산 과정'!$D$59+'계산 과정'!$D$60*('계산 과정'!$L$11*COS(153*2*PI()/240))+'계산 과정'!$D$61*('계산 과정'!$L$11*SIN(153*2*PI()/240))),"")</x:f>
        <x:v>-100.61226739314505</x:v>
      </x:c>
      <x:c r="X159" s="4" t="n">
        <x:f>IF('계산 과정'!$C$77,('계산 과정'!$E$56+'계산 과정'!$E$57*('계산 과정'!$L$11*COS(153*2*PI()/240))+'계산 과정'!$E$58*('계산 과정'!$L$11*SIN(153*2*PI()/240)))/('계산 과정'!$E$59+'계산 과정'!$E$60*('계산 과정'!$L$11*COS(153*2*PI()/240))+'계산 과정'!$E$61*('계산 과정'!$L$11*SIN(153*2*PI()/240))),"")</x:f>
        <x:v>-166.5969451250169</x:v>
      </x:c>
      <x:c r="Y159" s="4" t="str">
        <x:f>""</x:f>
      </x:c>
      <x:c r="Z159" s="4" t="str">
        <x:f>""</x:f>
      </x:c>
    </x:row>
    <x:row r="160" ht="23" customHeight="1">
      <x:c r="A160" s="17" t="n">
        <x:f>ROW()-6</x:f>
        <x:v>154</x:v>
      </x:c>
      <x:c r="B160" s="4" t="n">
        <x:f>IF('계산 과정'!$L$5,'계산 과정'!$L$11*SQRT((A160+0.5)/'계산 과정'!$L$30),"")</x:f>
        <x:v>41.19936522948503</x:v>
      </x:c>
      <x:c r="C160" s="4" t="n">
        <x:f>A160*PI()*(3-SQRT(5))</x:f>
        <x:v>369.5943373782126</x:v>
      </x:c>
      <x:c r="D160" s="4" t="n">
        <x:f>IF('계산 과정'!$L$5,B160*COS(C160),"")</x:f>
        <x:v>18.186963108675403</x:v>
      </x:c>
      <x:c r="E160" s="4" t="n">
        <x:f>IF('계산 과정'!$L$5,B160*SIN(C160),"")</x:f>
        <x:v>-36.96785182014476</x:v>
      </x:c>
      <x:c r="F160" s="4" t="n">
        <x:f>IF('계산 과정'!$L$7,'계산 과정'!$L$22+'계산 과정'!$C$49*D160+'계산 과정'!$D$49*E160,"")</x:f>
        <x:v>637.139875056666</x:v>
      </x:c>
      <x:c r="G160" s="4" t="n">
        <x:f>IF('계산 과정'!$L$7,IF(ABS(F160)&gt;=1E-12*MAX(1,SQRT((D160-'계산 과정'!$C$33)^2+(E160-'계산 과정'!$D$33)^2+'계산 과정'!$E$33^2)),('계산 과정'!$L$23-'계산 과정'!$C$49*D160-'계산 과정'!$D$49*E160)/F160,""),"")</x:f>
        <x:v>0.6479897760387623</x:v>
      </x:c>
      <x:c r="H160" s="4" t="n">
        <x:f>IF(AND(ISNUMBER(G160),G160&gt;0),('계산 과정'!$D$56+'계산 과정'!$D$57*D160+'계산 과정'!$D$58*E160)/F160,"")</x:f>
        <x:v>21.193354425195306</x:v>
      </x:c>
      <x:c r="I160" s="4" t="n">
        <x:f>IF(AND(ISNUMBER(G160),G160&gt;0),('계산 과정'!$E$56+'계산 과정'!$E$57*D160+'계산 과정'!$E$58*E160)/F160,"")</x:f>
        <x:v>-60.92264184171451</x:v>
      </x:c>
      <x:c r="J160" s="4" t="n">
        <x:f>IF('계산 과정'!$L$5,'계산 과정'!$D$6+'계산 과정'!$C$35*D160+'계산 과정'!$D$35*E160,"")</x:f>
        <x:v>637.139875056666</x:v>
      </x:c>
      <x:c r="K160" s="4" t="n">
        <x:f>IF(AND('계산 과정'!$L$6,J160&gt;0),'계산 과정'!$D$10*('계산 과정'!$C$38*(D160-'계산 과정'!$C$32)+'계산 과정'!$D$38*(E160-'계산 과정'!$D$32)-'계산 과정'!$E$38*'계산 과정'!$E$32)/J160,"")</x:f>
        <x:v>0.16147317657291774</x:v>
      </x:c>
      <x:c r="L160" s="4" t="n">
        <x:f>IF(AND('계산 과정'!$L$6,J160&gt;0),'계산 과정'!$D$10*('계산 과정'!$C$39*(D160-'계산 과정'!$C$32)+'계산 과정'!$D$39*(E160-'계산 과정'!$D$32)-'계산 과정'!$E$39*'계산 과정'!$E$32)/J160,"")</x:f>
        <x:v>-0.4641725092702058</x:v>
      </x:c>
      <x:c r="M160" s="17" t="n">
        <x:f>IF('계산 과정'!$L$6,IF(J160&lt;=0,0,IF(AND(ABS(K160)&lt;='계산 과정'!$D$11/2,ABS(L160)&lt;='계산 과정'!$D$12/2),1,0)),"")</x:f>
        <x:v>1</x:v>
      </x:c>
      <x:c r="N160" s="17" t="n">
        <x:f>IF('계산 과정'!$C$78,IF(AND(ISNUMBER(H160),ISNUMBER(I160),ABS(H160-'계산 과정'!$C$88)&lt;='계산 과정'!$D$23/2,ABS(I160-'계산 과정'!$C$89)&lt;='계산 과정'!$D$24/2),1,0),"")</x:f>
        <x:v>1</x:v>
      </x:c>
      <x:c r="O160" s="4" t="n">
        <x:f>IF('계산 과정'!$L$7,'계산 과정'!$C$49*('계산 과정'!$C$32-D160)+'계산 과정'!$D$49*('계산 과정'!$D$32-E160)+'계산 과정'!$E$49*'계산 과정'!$E$32,"")</x:f>
        <x:v>12.860124943334085</x:v>
      </x:c>
      <x:c r="P160" s="4" t="n">
        <x:f>IF(AND('계산 과정'!$L$7,O160&lt;&gt;0),('계산 과정'!$L$23-'계산 과정'!$C$49*D160-'계산 과정'!$D$49*E160)/O160,"")</x:f>
        <x:v>32.10389687211677</x:v>
      </x:c>
      <x:c r="Q160" s="4" t="str">
        <x:f>IF(AND(ISNUMBER(P160),P160&gt;1E-9,P160&lt;1-1E-9),'계산 과정'!$C$47*(D160-'계산 과정'!$C$50+P160*('계산 과정'!$C$32-D160))+'계산 과정'!$D$47*(E160-'계산 과정'!$D$50+P160*('계산 과정'!$D$32-E160))+'계산 과정'!$E$47*(0-'계산 과정'!$E$50+P160*('계산 과정'!$E$32-0)),"")</x:f>
      </x:c>
      <x:c r="R160" s="4" t="str">
        <x:f>IF(AND(ISNUMBER(P160),P160&gt;1E-9,P160&lt;1-1E-9),'계산 과정'!$C$48*(D160-'계산 과정'!$C$50+P160*('계산 과정'!$C$32-D160))+'계산 과정'!$D$48*(E160-'계산 과정'!$D$50+P160*('계산 과정'!$D$32-E160))+'계산 과정'!$E$48*(0-'계산 과정'!$E$50+P160*('계산 과정'!$E$32-0)),"")</x:f>
      </x:c>
      <x:c r="S160" s="17" t="n">
        <x:f>IF('계산 과정'!$C$78,IF(AND(ISNUMBER(Q160),ISNUMBER(R160),ABS(Q160-'계산 과정'!$C$88)&lt;='계산 과정'!$D$23/2,ABS(R160-'계산 과정'!$C$89)&lt;='계산 과정'!$D$24/2),1,0),"")</x:f>
        <x:v>0</x:v>
      </x:c>
      <x:c r="T160" s="4"/>
      <x:c r="U160" s="4"/>
      <x:c r="V160" s="4"/>
      <x:c r="W160" s="4" t="n">
        <x:f>IF('계산 과정'!$C$77,('계산 과정'!$D$56+'계산 과정'!$D$57*('계산 과정'!$L$11*COS(154*2*PI()/240))+'계산 과정'!$D$58*('계산 과정'!$L$11*SIN(154*2*PI()/240)))/('계산 과정'!$D$59+'계산 과정'!$D$60*('계산 과정'!$L$11*COS(154*2*PI()/240))+'계산 과정'!$D$61*('계산 과정'!$L$11*SIN(154*2*PI()/240))),"")</x:f>
        <x:v>-97.78448684454025</x:v>
      </x:c>
      <x:c r="X160" s="4" t="n">
        <x:f>IF('계산 과정'!$C$77,('계산 과정'!$E$56+'계산 과정'!$E$57*('계산 과정'!$L$11*COS(154*2*PI()/240))+'계산 과정'!$E$58*('계산 과정'!$L$11*SIN(154*2*PI()/240)))/('계산 과정'!$E$59+'계산 과정'!$E$60*('계산 과정'!$L$11*COS(154*2*PI()/240))+'계산 과정'!$E$61*('계산 과정'!$L$11*SIN(154*2*PI()/240))),"")</x:f>
        <x:v>-170.77164011202518</x:v>
      </x:c>
      <x:c r="Y160" s="4" t="str">
        <x:f>""</x:f>
      </x:c>
      <x:c r="Z160" s="4" t="str">
        <x:f>""</x:f>
      </x:c>
    </x:row>
    <x:row r="161" ht="23" customHeight="1">
      <x:c r="A161" s="17" t="n">
        <x:f>ROW()-6</x:f>
        <x:v>155</x:v>
      </x:c>
      <x:c r="B161" s="4" t="n">
        <x:f>IF('계산 과정'!$L$5,'계산 과정'!$L$11*SQRT((A161+0.5)/'계산 과정'!$L$30),"")</x:f>
        <x:v>41.33248145753531</x:v>
      </x:c>
      <x:c r="C161" s="4" t="n">
        <x:f>A161*PI()*(3-SQRT(5))</x:f>
        <x:v>371.99430060794117</x:v>
      </x:c>
      <x:c r="D161" s="4" t="n">
        <x:f>IF('계산 과정'!$L$5,B161*COS(C161),"")</x:f>
        <x:v>11.598278171015778</x:v>
      </x:c>
      <x:c r="E161" s="4" t="n">
        <x:f>IF('계산 과정'!$L$5,B161*SIN(C161),"")</x:f>
        <x:v>39.671828378652265</x:v>
      </x:c>
      <x:c r="F161" s="4" t="n">
        <x:f>IF('계산 과정'!$L$7,'계산 과정'!$L$22+'계산 과정'!$C$49*D161+'계산 과정'!$D$49*E161,"")</x:f>
        <x:v>641.7987788551868</x:v>
      </x:c>
      <x:c r="G161" s="4" t="n">
        <x:f>IF('계산 과정'!$L$7,IF(ABS(F161)&gt;=1E-12*MAX(1,SQRT((D161-'계산 과정'!$C$33)^2+(E161-'계산 과정'!$D$33)^2+'계산 과정'!$E$33^2)),('계산 과정'!$L$23-'계산 과정'!$C$49*D161-'계산 과정'!$D$49*E161)/F161,""),"")</x:f>
        <x:v>0.6360267962381372</x:v>
      </x:c>
      <x:c r="H161" s="4" t="n">
        <x:f>IF(AND(ISNUMBER(G161),G161&gt;0),('계산 과정'!$D$56+'계산 과정'!$D$57*D161+'계산 과정'!$D$58*E161)/F161,"")</x:f>
        <x:v>13.417417554789036</x:v>
      </x:c>
      <x:c r="I161" s="4" t="n">
        <x:f>IF(AND(ISNUMBER(G161),G161&gt;0),('계산 과정'!$E$56+'계산 과정'!$E$57*D161+'계산 과정'!$E$58*E161)/F161,"")</x:f>
        <x:v>64.90417428323568</x:v>
      </x:c>
      <x:c r="J161" s="4" t="n">
        <x:f>IF('계산 과정'!$L$5,'계산 과정'!$D$6+'계산 과정'!$C$35*D161+'계산 과정'!$D$35*E161,"")</x:f>
        <x:v>641.7987788551868</x:v>
      </x:c>
      <x:c r="K161" s="4" t="n">
        <x:f>IF(AND('계산 과정'!$L$6,J161&gt;0),'계산 과정'!$D$10*('계산 과정'!$C$38*(D161-'계산 과정'!$C$32)+'계산 과정'!$D$38*(E161-'계산 과정'!$D$32)-'계산 과정'!$E$38*'계산 과정'!$E$32)/J161,"")</x:f>
        <x:v>0.1022279432745836</x:v>
      </x:c>
      <x:c r="L161" s="4" t="n">
        <x:f>IF(AND('계산 과정'!$L$6,J161&gt;0),'계산 과정'!$D$10*('계산 과정'!$C$39*(D161-'계산 과정'!$C$32)+'계산 과정'!$D$39*(E161-'계산 과정'!$D$32)-'계산 과정'!$E$39*'계산 과정'!$E$32)/J161,"")</x:f>
        <x:v>0.4945079945389385</x:v>
      </x:c>
      <x:c r="M161" s="17" t="n">
        <x:f>IF('계산 과정'!$L$6,IF(J161&lt;=0,0,IF(AND(ABS(K161)&lt;='계산 과정'!$D$11/2,ABS(L161)&lt;='계산 과정'!$D$12/2),1,0)),"")</x:f>
        <x:v>1</x:v>
      </x:c>
      <x:c r="N161" s="17" t="n">
        <x:f>IF('계산 과정'!$C$78,IF(AND(ISNUMBER(H161),ISNUMBER(I161),ABS(H161-'계산 과정'!$C$88)&lt;='계산 과정'!$D$23/2,ABS(I161-'계산 과정'!$C$89)&lt;='계산 과정'!$D$24/2),1,0),"")</x:f>
        <x:v>1</x:v>
      </x:c>
      <x:c r="O161" s="4" t="n">
        <x:f>IF('계산 과정'!$L$7,'계산 과정'!$C$49*('계산 과정'!$C$32-D161)+'계산 과정'!$D$49*('계산 과정'!$D$32-E161)+'계산 과정'!$E$49*'계산 과정'!$E$32,"")</x:f>
        <x:v>8.201221144813246</x:v>
      </x:c>
      <x:c r="P161" s="4" t="n">
        <x:f>IF(AND('계산 과정'!$L$7,O161&lt;&gt;0),('계산 과정'!$L$23-'계산 과정'!$C$49*D161-'계산 과정'!$D$49*E161)/O161,"")</x:f>
        <x:v>49.773224491449625</x:v>
      </x:c>
      <x:c r="Q161" s="4" t="str">
        <x:f>IF(AND(ISNUMBER(P161),P161&gt;1E-9,P161&lt;1-1E-9),'계산 과정'!$C$47*(D161-'계산 과정'!$C$50+P161*('계산 과정'!$C$32-D161))+'계산 과정'!$D$47*(E161-'계산 과정'!$D$50+P161*('계산 과정'!$D$32-E161))+'계산 과정'!$E$47*(0-'계산 과정'!$E$50+P161*('계산 과정'!$E$32-0)),"")</x:f>
      </x:c>
      <x:c r="R161" s="4" t="str">
        <x:f>IF(AND(ISNUMBER(P161),P161&gt;1E-9,P161&lt;1-1E-9),'계산 과정'!$C$48*(D161-'계산 과정'!$C$50+P161*('계산 과정'!$C$32-D161))+'계산 과정'!$D$48*(E161-'계산 과정'!$D$50+P161*('계산 과정'!$D$32-E161))+'계산 과정'!$E$48*(0-'계산 과정'!$E$50+P161*('계산 과정'!$E$32-0)),"")</x:f>
      </x:c>
      <x:c r="S161" s="17" t="n">
        <x:f>IF('계산 과정'!$C$78,IF(AND(ISNUMBER(Q161),ISNUMBER(R161),ABS(Q161-'계산 과정'!$C$88)&lt;='계산 과정'!$D$23/2,ABS(R161-'계산 과정'!$C$89)&lt;='계산 과정'!$D$24/2),1,0),"")</x:f>
        <x:v>0</x:v>
      </x:c>
      <x:c r="T161" s="4"/>
      <x:c r="U161" s="4"/>
      <x:c r="V161" s="4"/>
      <x:c r="W161" s="4" t="n">
        <x:f>IF('계산 과정'!$C$77,('계산 과정'!$D$56+'계산 과정'!$D$57*('계산 과정'!$L$11*COS(155*2*PI()/240))+'계산 과정'!$D$58*('계산 과정'!$L$11*SIN(155*2*PI()/240)))/('계산 과정'!$D$59+'계산 과정'!$D$60*('계산 과정'!$L$11*COS(155*2*PI()/240))+'계산 과정'!$D$61*('계산 과정'!$L$11*SIN(155*2*PI()/240))),"")</x:f>
        <x:v>-94.87866765284737</x:v>
      </x:c>
      <x:c r="X161" s="4" t="n">
        <x:f>IF('계산 과정'!$C$77,('계산 과정'!$E$56+'계산 과정'!$E$57*('계산 과정'!$L$11*COS(155*2*PI()/240))+'계산 과정'!$E$58*('계산 과정'!$L$11*SIN(155*2*PI()/240)))/('계산 과정'!$E$59+'계산 과정'!$E$60*('계산 과정'!$L$11*COS(155*2*PI()/240))+'계산 과정'!$E$61*('계산 과정'!$L$11*SIN(155*2*PI()/240))),"")</x:f>
        <x:v>-174.86508447716042</x:v>
      </x:c>
      <x:c r="Y161" s="4" t="str">
        <x:f>""</x:f>
      </x:c>
      <x:c r="Z161" s="4" t="str">
        <x:f>""</x:f>
      </x:c>
    </x:row>
    <x:row r="162" ht="23" customHeight="1">
      <x:c r="A162" s="17" t="n">
        <x:f>ROW()-6</x:f>
        <x:v>156</x:v>
      </x:c>
      <x:c r="B162" s="4" t="n">
        <x:f>IF('계산 과정'!$L$5,'계산 과정'!$L$11*SQRT((A162+0.5)/'계산 과정'!$L$30),"")</x:f>
        <x:v>41.46517034286125</x:v>
      </x:c>
      <x:c r="C162" s="4" t="n">
        <x:f>A162*PI()*(3-SQRT(5))</x:f>
        <x:v>374.3942638376698</x:v>
      </x:c>
      <x:c r="D162" s="4" t="n">
        <x:f>IF('계산 과정'!$L$5,B162*COS(C162),"")</x:f>
        <x:v>-35.46362828950213</x:v>
      </x:c>
      <x:c r="E162" s="4" t="n">
        <x:f>IF('계산 과정'!$L$5,B162*SIN(C162),"")</x:f>
        <x:v>-21.487005843218927</x:v>
      </x:c>
      <x:c r="F162" s="4" t="n">
        <x:f>IF('계산 과정'!$L$7,'계산 과정'!$L$22+'계산 과정'!$C$49*D162+'계산 과정'!$D$49*E162,"")</x:f>
        <x:v>675.076572048986</x:v>
      </x:c>
      <x:c r="G162" s="4" t="n">
        <x:f>IF('계산 과정'!$L$7,IF(ABS(F162)&gt;=1E-12*MAX(1,SQRT((D162-'계산 과정'!$C$33)^2+(E162-'계산 과정'!$D$33)^2+'계산 과정'!$E$33^2)),('계산 과정'!$L$23-'계산 과정'!$C$49*D162-'계산 과정'!$D$49*E162)/F162,""),"")</x:f>
        <x:v>0.5553791132360733</x:v>
      </x:c>
      <x:c r="H162" s="4" t="n">
        <x:f>IF(AND(ISNUMBER(G162),G162&gt;0),('계산 과정'!$D$56+'계산 과정'!$D$57*D162+'계산 과정'!$D$58*E162)/F162,"")</x:f>
        <x:v>-39.003576396552525</x:v>
      </x:c>
      <x:c r="I162" s="4" t="n">
        <x:f>IF(AND(ISNUMBER(G162),G162&gt;0),('계산 과정'!$E$56+'계산 과정'!$E$57*D162+'계산 과정'!$E$58*E162)/F162,"")</x:f>
        <x:v>-33.42044009452418</x:v>
      </x:c>
      <x:c r="J162" s="4" t="n">
        <x:f>IF('계산 과정'!$L$5,'계산 과정'!$D$6+'계산 과정'!$C$35*D162+'계산 과정'!$D$35*E162,"")</x:f>
        <x:v>675.076572048986</x:v>
      </x:c>
      <x:c r="K162" s="4" t="n">
        <x:f>IF(AND('계산 과정'!$L$6,J162&gt;0),'계산 과정'!$D$10*('계산 과정'!$C$38*(D162-'계산 과정'!$C$32)+'계산 과정'!$D$38*(E162-'계산 과정'!$D$32)-'계산 과정'!$E$38*'계산 과정'!$E$32)/J162,"")</x:f>
        <x:v>-0.29717010587849485</x:v>
      </x:c>
      <x:c r="L162" s="4" t="n">
        <x:f>IF(AND('계산 과정'!$L$6,J162&gt;0),'계산 과정'!$D$10*('계산 과정'!$C$39*(D162-'계산 과정'!$C$32)+'계산 과정'!$D$39*(E162-'계산 과정'!$D$32)-'계산 과정'!$E$39*'계산 과정'!$E$32)/J162,"")</x:f>
        <x:v>-0.25463192452970806</x:v>
      </x:c>
      <x:c r="M162" s="17" t="n">
        <x:f>IF('계산 과정'!$L$6,IF(J162&lt;=0,0,IF(AND(ABS(K162)&lt;='계산 과정'!$D$11/2,ABS(L162)&lt;='계산 과정'!$D$12/2),1,0)),"")</x:f>
        <x:v>1</x:v>
      </x:c>
      <x:c r="N162" s="17" t="n">
        <x:f>IF('계산 과정'!$C$78,IF(AND(ISNUMBER(H162),ISNUMBER(I162),ABS(H162-'계산 과정'!$C$88)&lt;='계산 과정'!$D$23/2,ABS(I162-'계산 과정'!$C$89)&lt;='계산 과정'!$D$24/2),1,0),"")</x:f>
        <x:v>1</x:v>
      </x:c>
      <x:c r="O162" s="4" t="n">
        <x:f>IF('계산 과정'!$L$7,'계산 과정'!$C$49*('계산 과정'!$C$32-D162)+'계산 과정'!$D$49*('계산 과정'!$D$32-E162)+'계산 과정'!$E$49*'계산 과정'!$E$32,"")</x:f>
        <x:v>-25.076572048985952</x:v>
      </x:c>
      <x:c r="P162" s="4" t="n">
        <x:f>IF(AND('계산 과정'!$L$7,O162&lt;&gt;0),('계산 과정'!$L$23-'계산 과정'!$C$49*D162-'계산 과정'!$D$49*E162)/O162,"")</x:f>
        <x:v>-14.95114353024879</x:v>
      </x:c>
      <x:c r="Q162" s="4" t="str">
        <x:f>IF(AND(ISNUMBER(P162),P162&gt;1E-9,P162&lt;1-1E-9),'계산 과정'!$C$47*(D162-'계산 과정'!$C$50+P162*('계산 과정'!$C$32-D162))+'계산 과정'!$D$47*(E162-'계산 과정'!$D$50+P162*('계산 과정'!$D$32-E162))+'계산 과정'!$E$47*(0-'계산 과정'!$E$50+P162*('계산 과정'!$E$32-0)),"")</x:f>
      </x:c>
      <x:c r="R162" s="4" t="str">
        <x:f>IF(AND(ISNUMBER(P162),P162&gt;1E-9,P162&lt;1-1E-9),'계산 과정'!$C$48*(D162-'계산 과정'!$C$50+P162*('계산 과정'!$C$32-D162))+'계산 과정'!$D$48*(E162-'계산 과정'!$D$50+P162*('계산 과정'!$D$32-E162))+'계산 과정'!$E$48*(0-'계산 과정'!$E$50+P162*('계산 과정'!$E$32-0)),"")</x:f>
      </x:c>
      <x:c r="S162" s="17" t="n">
        <x:f>IF('계산 과정'!$C$78,IF(AND(ISNUMBER(Q162),ISNUMBER(R162),ABS(Q162-'계산 과정'!$C$88)&lt;='계산 과정'!$D$23/2,ABS(R162-'계산 과정'!$C$89)&lt;='계산 과정'!$D$24/2),1,0),"")</x:f>
        <x:v>0</x:v>
      </x:c>
      <x:c r="T162" s="4"/>
      <x:c r="U162" s="4"/>
      <x:c r="V162" s="4"/>
      <x:c r="W162" s="4" t="n">
        <x:f>IF('계산 과정'!$C$77,('계산 과정'!$D$56+'계산 과정'!$D$57*('계산 과정'!$L$11*COS(156*2*PI()/240))+'계산 과정'!$D$58*('계산 과정'!$L$11*SIN(156*2*PI()/240)))/('계산 과정'!$D$59+'계산 과정'!$D$60*('계산 과정'!$L$11*COS(156*2*PI()/240))+'계산 과정'!$D$61*('계산 과정'!$L$11*SIN(156*2*PI()/240))),"")</x:f>
        <x:v>-91.89554339317527</x:v>
      </x:c>
      <x:c r="X162" s="4" t="n">
        <x:f>IF('계산 과정'!$C$77,('계산 과정'!$E$56+'계산 과정'!$E$57*('계산 과정'!$L$11*COS(156*2*PI()/240))+'계산 과정'!$E$58*('계산 과정'!$L$11*SIN(156*2*PI()/240)))/('계산 과정'!$E$59+'계산 과정'!$E$60*('계산 과정'!$L$11*COS(156*2*PI()/240))+'계산 과정'!$E$61*('계산 과정'!$L$11*SIN(156*2*PI()/240))),"")</x:f>
        <x:v>-178.8744894879913</x:v>
      </x:c>
      <x:c r="Y162" s="4" t="str">
        <x:f>""</x:f>
      </x:c>
      <x:c r="Z162" s="4" t="str">
        <x:f>""</x:f>
      </x:c>
    </x:row>
    <x:row r="163" ht="23" customHeight="1">
      <x:c r="A163" s="17" t="n">
        <x:f>ROW()-6</x:f>
        <x:v>157</x:v>
      </x:c>
      <x:c r="B163" s="4" t="n">
        <x:f>IF('계산 과정'!$L$5,'계산 과정'!$L$11*SQRT((A163+0.5)/'계산 과정'!$L$30),"")</x:f>
        <x:v>41.59743597491918</x:v>
      </x:c>
      <x:c r="C163" s="4" t="n">
        <x:f>A163*PI()*(3-SQRT(5))</x:f>
        <x:v>376.7942270673985</x:v>
      </x:c>
      <x:c r="D163" s="4" t="n">
        <x:f>IF('계산 과정'!$L$5,B163*COS(C163),"")</x:f>
        <x:v>40.793749889186266</x:v>
      </x:c>
      <x:c r="E163" s="4" t="n">
        <x:f>IF('계산 과정'!$L$5,B163*SIN(C163),"")</x:f>
        <x:v>-8.137361345424937</x:v>
      </x:c>
      <x:c r="F163" s="4" t="n">
        <x:f>IF('계산 과정'!$L$7,'계산 과정'!$L$22+'계산 과정'!$C$49*D163+'계산 과정'!$D$49*E163,"")</x:f>
        <x:v>621.1544628233285</x:v>
      </x:c>
      <x:c r="G163" s="4" t="n">
        <x:f>IF('계산 과정'!$L$7,IF(ABS(F163)&gt;=1E-12*MAX(1,SQRT((D163-'계산 과정'!$C$33)^2+(E163-'계산 과정'!$D$33)^2+'계산 과정'!$E$33^2)),('계산 과정'!$L$23-'계산 과정'!$C$49*D163-'계산 과정'!$D$49*E163)/F163,""),"")</x:f>
        <x:v>0.6904007985830825</x:v>
      </x:c>
      <x:c r="H163" s="4" t="n">
        <x:f>IF(AND(ISNUMBER(G163),G163&gt;0),('계산 과정'!$D$56+'계산 과정'!$D$57*D163+'계산 과정'!$D$58*E163)/F163,"")</x:f>
        <x:v>48.76051907900353</x:v>
      </x:c>
      <x:c r="I163" s="4" t="n">
        <x:f>IF(AND(ISNUMBER(G163),G163&gt;0),('계산 과정'!$E$56+'계산 과정'!$E$57*D163+'계산 과정'!$E$58*E163)/F163,"")</x:f>
        <x:v>-13.75540211666542</x:v>
      </x:c>
      <x:c r="J163" s="4" t="n">
        <x:f>IF('계산 과정'!$L$5,'계산 과정'!$D$6+'계산 과정'!$C$35*D163+'계산 과정'!$D$35*E163,"")</x:f>
        <x:v>621.1544628233285</x:v>
      </x:c>
      <x:c r="K163" s="4" t="n">
        <x:f>IF(AND('계산 과정'!$L$6,J163&gt;0),'계산 과정'!$D$10*('계산 과정'!$C$38*(D163-'계산 과정'!$C$32)+'계산 과정'!$D$38*(E163-'계산 과정'!$D$32)-'계산 과정'!$E$38*'계산 과정'!$E$32)/J163,"")</x:f>
        <x:v>0.3715087167924089</x:v>
      </x:c>
      <x:c r="L163" s="4" t="n">
        <x:f>IF(AND('계산 과정'!$L$6,J163&gt;0),'계산 과정'!$D$10*('계산 과정'!$C$39*(D163-'계산 과정'!$C$32)+'계산 과정'!$D$39*(E163-'계산 과정'!$D$32)-'계산 과정'!$E$39*'계산 과정'!$E$32)/J163,"")</x:f>
        <x:v>-0.10480306374602225</x:v>
      </x:c>
      <x:c r="M163" s="17" t="n">
        <x:f>IF('계산 과정'!$L$6,IF(J163&lt;=0,0,IF(AND(ABS(K163)&lt;='계산 과정'!$D$11/2,ABS(L163)&lt;='계산 과정'!$D$12/2),1,0)),"")</x:f>
        <x:v>1</x:v>
      </x:c>
      <x:c r="N163" s="17" t="n">
        <x:f>IF('계산 과정'!$C$78,IF(AND(ISNUMBER(H163),ISNUMBER(I163),ABS(H163-'계산 과정'!$C$88)&lt;='계산 과정'!$D$23/2,ABS(I163-'계산 과정'!$C$89)&lt;='계산 과정'!$D$24/2),1,0),"")</x:f>
        <x:v>1</x:v>
      </x:c>
      <x:c r="O163" s="4" t="n">
        <x:f>IF('계산 과정'!$L$7,'계산 과정'!$C$49*('계산 과정'!$C$32-D163)+'계산 과정'!$D$49*('계산 과정'!$D$32-E163)+'계산 과정'!$E$49*'계산 과정'!$E$32,"")</x:f>
        <x:v>28.845537176671655</x:v>
      </x:c>
      <x:c r="P163" s="4" t="n">
        <x:f>IF(AND('계산 과정'!$L$7,O163&lt;&gt;0),('계산 과정'!$L$23-'계산 과정'!$C$49*D163-'계산 과정'!$D$49*E163)/O163,"")</x:f>
        <x:v>14.866963112876027</x:v>
      </x:c>
      <x:c r="Q163" s="4" t="str">
        <x:f>IF(AND(ISNUMBER(P163),P163&gt;1E-9,P163&lt;1-1E-9),'계산 과정'!$C$47*(D163-'계산 과정'!$C$50+P163*('계산 과정'!$C$32-D163))+'계산 과정'!$D$47*(E163-'계산 과정'!$D$50+P163*('계산 과정'!$D$32-E163))+'계산 과정'!$E$47*(0-'계산 과정'!$E$50+P163*('계산 과정'!$E$32-0)),"")</x:f>
      </x:c>
      <x:c r="R163" s="4" t="str">
        <x:f>IF(AND(ISNUMBER(P163),P163&gt;1E-9,P163&lt;1-1E-9),'계산 과정'!$C$48*(D163-'계산 과정'!$C$50+P163*('계산 과정'!$C$32-D163))+'계산 과정'!$D$48*(E163-'계산 과정'!$D$50+P163*('계산 과정'!$D$32-E163))+'계산 과정'!$E$48*(0-'계산 과정'!$E$50+P163*('계산 과정'!$E$32-0)),"")</x:f>
      </x:c>
      <x:c r="S163" s="17" t="n">
        <x:f>IF('계산 과정'!$C$78,IF(AND(ISNUMBER(Q163),ISNUMBER(R163),ABS(Q163-'계산 과정'!$C$88)&lt;='계산 과정'!$D$23/2,ABS(R163-'계산 과정'!$C$89)&lt;='계산 과정'!$D$24/2),1,0),"")</x:f>
        <x:v>0</x:v>
      </x:c>
      <x:c r="T163" s="4"/>
      <x:c r="U163" s="4"/>
      <x:c r="V163" s="4"/>
      <x:c r="W163" s="4" t="n">
        <x:f>IF('계산 과정'!$C$77,('계산 과정'!$D$56+'계산 과정'!$D$57*('계산 과정'!$L$11*COS(157*2*PI()/240))+'계산 과정'!$D$58*('계산 과정'!$L$11*SIN(157*2*PI()/240)))/('계산 과정'!$D$59+'계산 과정'!$D$60*('계산 과정'!$L$11*COS(157*2*PI()/240))+'계산 과정'!$D$61*('계산 과정'!$L$11*SIN(157*2*PI()/240))),"")</x:f>
        <x:v>-88.83589367514648</x:v>
      </x:c>
      <x:c r="X163" s="4" t="n">
        <x:f>IF('계산 과정'!$C$77,('계산 과정'!$E$56+'계산 과정'!$E$57*('계산 과정'!$L$11*COS(157*2*PI()/240))+'계산 과정'!$E$58*('계산 과정'!$L$11*SIN(157*2*PI()/240)))/('계산 과정'!$E$59+'계산 과정'!$E$60*('계산 과정'!$L$11*COS(157*2*PI()/240))+'계산 과정'!$E$61*('계산 과정'!$L$11*SIN(157*2*PI()/240))),"")</x:f>
        <x:v>-182.79704113518173</x:v>
      </x:c>
      <x:c r="Y163" s="4" t="str">
        <x:f>""</x:f>
      </x:c>
      <x:c r="Z163" s="4" t="str">
        <x:f>""</x:f>
      </x:c>
    </x:row>
    <x:row r="164" ht="23" customHeight="1">
      <x:c r="A164" s="17" t="n">
        <x:f>ROW()-6</x:f>
        <x:v>158</x:v>
      </x:c>
      <x:c r="B164" s="4" t="n">
        <x:f>IF('계산 과정'!$L$5,'계산 과정'!$L$11*SQRT((A164+0.5)/'계산 과정'!$L$30),"")</x:f>
        <x:v>41.72928237835514</x:v>
      </x:c>
      <x:c r="C164" s="4" t="n">
        <x:f>A164*PI()*(3-SQRT(5))</x:f>
        <x:v>379.1941902971272</x:v>
      </x:c>
      <x:c r="D164" s="4" t="n">
        <x:f>IF('계산 과정'!$L$5,B164*COS(C164),"")</x:f>
        <x:v>-24.661251820578148</x:v>
      </x:c>
      <x:c r="E164" s="4" t="n">
        <x:f>IF('계산 과정'!$L$5,B164*SIN(C164),"")</x:f>
        <x:v>33.662377611430415</x:v>
      </x:c>
      <x:c r="F164" s="4" t="n">
        <x:f>IF('계산 과정'!$L$7,'계산 과정'!$L$22+'계산 과정'!$C$49*D164+'계산 과정'!$D$49*E164,"")</x:f>
        <x:v>667.4381383948798</x:v>
      </x:c>
      <x:c r="G164" s="4" t="n">
        <x:f>IF('계산 과정'!$L$7,IF(ABS(F164)&gt;=1E-12*MAX(1,SQRT((D164-'계산 과정'!$C$33)^2+(E164-'계산 과정'!$D$33)^2+'계산 과정'!$E$33^2)),('계산 과정'!$L$23-'계산 과정'!$C$49*D164-'계산 과정'!$D$49*E164)/F164,""),"")</x:f>
        <x:v>0.573179504733041</x:v>
      </x:c>
      <x:c r="H164" s="4" t="n">
        <x:f>IF(AND(ISNUMBER(G164),G164&gt;0),('계산 과정'!$D$56+'계산 과정'!$D$57*D164+'계산 과정'!$D$58*E164)/F164,"")</x:f>
        <x:v>-27.4333219235235</x:v>
      </x:c>
      <x:c r="I164" s="4" t="n">
        <x:f>IF(AND(ISNUMBER(G164),G164&gt;0),('계산 과정'!$E$56+'계산 과정'!$E$57*D164+'계산 과정'!$E$58*E164)/F164,"")</x:f>
        <x:v>52.95696253888671</x:v>
      </x:c>
      <x:c r="J164" s="4" t="n">
        <x:f>IF('계산 과정'!$L$5,'계산 과정'!$D$6+'계산 과정'!$C$35*D164+'계산 과정'!$D$35*E164,"")</x:f>
        <x:v>667.4381383948798</x:v>
      </x:c>
      <x:c r="K164" s="4" t="n">
        <x:f>IF(AND('계산 과정'!$L$6,J164&gt;0),'계산 과정'!$D$10*('계산 과정'!$C$38*(D164-'계산 과정'!$C$32)+'계산 과정'!$D$38*(E164-'계산 과정'!$D$32)-'계산 과정'!$E$38*'계산 과정'!$E$32)/J164,"")</x:f>
        <x:v>-0.20901578608398771</x:v>
      </x:c>
      <x:c r="L164" s="4" t="n">
        <x:f>IF(AND('계산 과정'!$L$6,J164&gt;0),'계산 과정'!$D$10*('계산 과정'!$C$39*(D164-'계산 과정'!$C$32)+'계산 과정'!$D$39*(E164-'계산 과정'!$D$32)-'계산 과정'!$E$39*'계산 과정'!$E$32)/J164,"")</x:f>
        <x:v>0.40348161934389876</x:v>
      </x:c>
      <x:c r="M164" s="17" t="n">
        <x:f>IF('계산 과정'!$L$6,IF(J164&lt;=0,0,IF(AND(ABS(K164)&lt;='계산 과정'!$D$11/2,ABS(L164)&lt;='계산 과정'!$D$12/2),1,0)),"")</x:f>
        <x:v>1</x:v>
      </x:c>
      <x:c r="N164" s="17" t="n">
        <x:f>IF('계산 과정'!$C$78,IF(AND(ISNUMBER(H164),ISNUMBER(I164),ABS(H164-'계산 과정'!$C$88)&lt;='계산 과정'!$D$23/2,ABS(I164-'계산 과정'!$C$89)&lt;='계산 과정'!$D$24/2),1,0),"")</x:f>
        <x:v>1</x:v>
      </x:c>
      <x:c r="O164" s="4" t="n">
        <x:f>IF('계산 과정'!$L$7,'계산 과정'!$C$49*('계산 과정'!$C$32-D164)+'계산 과정'!$D$49*('계산 과정'!$D$32-E164)+'계산 과정'!$E$49*'계산 과정'!$E$32,"")</x:f>
        <x:v>-17.438138394879786</x:v>
      </x:c>
      <x:c r="P164" s="4" t="n">
        <x:f>IF(AND('계산 과정'!$L$7,O164&lt;&gt;0),('계산 과정'!$L$23-'계산 과정'!$C$49*D164-'계산 과정'!$D$49*E164)/O164,"")</x:f>
        <x:v>-21.938228321289646</x:v>
      </x:c>
      <x:c r="Q164" s="4" t="str">
        <x:f>IF(AND(ISNUMBER(P164),P164&gt;1E-9,P164&lt;1-1E-9),'계산 과정'!$C$47*(D164-'계산 과정'!$C$50+P164*('계산 과정'!$C$32-D164))+'계산 과정'!$D$47*(E164-'계산 과정'!$D$50+P164*('계산 과정'!$D$32-E164))+'계산 과정'!$E$47*(0-'계산 과정'!$E$50+P164*('계산 과정'!$E$32-0)),"")</x:f>
      </x:c>
      <x:c r="R164" s="4" t="str">
        <x:f>IF(AND(ISNUMBER(P164),P164&gt;1E-9,P164&lt;1-1E-9),'계산 과정'!$C$48*(D164-'계산 과정'!$C$50+P164*('계산 과정'!$C$32-D164))+'계산 과정'!$D$48*(E164-'계산 과정'!$D$50+P164*('계산 과정'!$D$32-E164))+'계산 과정'!$E$48*(0-'계산 과정'!$E$50+P164*('계산 과정'!$E$32-0)),"")</x:f>
      </x:c>
      <x:c r="S164" s="17" t="n">
        <x:f>IF('계산 과정'!$C$78,IF(AND(ISNUMBER(Q164),ISNUMBER(R164),ABS(Q164-'계산 과정'!$C$88)&lt;='계산 과정'!$D$23/2,ABS(R164-'계산 과정'!$C$89)&lt;='계산 과정'!$D$24/2),1,0),"")</x:f>
        <x:v>0</x:v>
      </x:c>
      <x:c r="T164" s="4"/>
      <x:c r="U164" s="4"/>
      <x:c r="V164" s="4"/>
      <x:c r="W164" s="4" t="n">
        <x:f>IF('계산 과정'!$C$77,('계산 과정'!$D$56+'계산 과정'!$D$57*('계산 과정'!$L$11*COS(158*2*PI()/240))+'계산 과정'!$D$58*('계산 과정'!$L$11*SIN(158*2*PI()/240)))/('계산 과정'!$D$59+'계산 과정'!$D$60*('계산 과정'!$L$11*COS(158*2*PI()/240))+'계산 과정'!$D$61*('계산 과정'!$L$11*SIN(158*2*PI()/240))),"")</x:f>
        <x:v>-85.70054621722217</x:v>
      </x:c>
      <x:c r="X164" s="4" t="n">
        <x:f>IF('계산 과정'!$C$77,('계산 과정'!$E$56+'계산 과정'!$E$57*('계산 과정'!$L$11*COS(158*2*PI()/240))+'계산 과정'!$E$58*('계산 과정'!$L$11*SIN(158*2*PI()/240)))/('계산 과정'!$E$59+'계산 과정'!$E$60*('계산 과정'!$L$11*COS(158*2*PI()/240))+'계산 과정'!$E$61*('계산 과정'!$L$11*SIN(158*2*PI()/240))),"")</x:f>
        <x:v>-186.62990090156876</x:v>
      </x:c>
      <x:c r="Y164" s="4" t="str">
        <x:f>""</x:f>
      </x:c>
      <x:c r="Z164" s="4" t="str">
        <x:f>""</x:f>
      </x:c>
    </x:row>
    <x:row r="165" ht="23" customHeight="1">
      <x:c r="A165" s="17" t="n">
        <x:f>ROW()-6</x:f>
        <x:v>159</x:v>
      </x:c>
      <x:c r="B165" s="4" t="n">
        <x:f>IF('계산 과정'!$L$5,'계산 과정'!$L$11*SQRT((A165+0.5)/'계산 과정'!$L$30),"")</x:f>
        <x:v>41.86071351443379</x:v>
      </x:c>
      <x:c r="C165" s="4" t="n">
        <x:f>A165*PI()*(3-SQRT(5))</x:f>
        <x:v>381.5941535268558</x:v>
      </x:c>
      <x:c r="D165" s="4" t="n">
        <x:f>IF('계산 과정'!$L$5,B165*COS(C165),"")</x:f>
        <x:v>-4.5685136486598426</x:v>
      </x:c>
      <x:c r="E165" s="4" t="n">
        <x:f>IF('계산 과정'!$L$5,B165*SIN(C165),"")</x:f>
        <x:v>-41.61067193616932</x:v>
      </x:c>
      <x:c r="F165" s="4" t="n">
        <x:f>IF('계산 과정'!$L$7,'계산 과정'!$L$22+'계산 과정'!$C$49*D165+'계산 과정'!$D$49*E165,"")</x:f>
        <x:v>653.2304269809107</x:v>
      </x:c>
      <x:c r="G165" s="4" t="n">
        <x:f>IF('계산 과정'!$L$7,IF(ABS(F165)&gt;=1E-12*MAX(1,SQRT((D165-'계산 과정'!$C$33)^2+(E165-'계산 과정'!$D$33)^2+'계산 과정'!$E$33^2)),('계산 과정'!$L$23-'계산 과정'!$C$49*D165-'계산 과정'!$D$49*E165)/F165,""),"")</x:f>
        <x:v>0.6073960376476525</x:v>
      </x:c>
      <x:c r="H165" s="4" t="n">
        <x:f>IF(AND(ISNUMBER(G165),G165&gt;0),('계산 과정'!$D$56+'계산 과정'!$D$57*D165+'계산 과정'!$D$58*E165)/F165,"")</x:f>
        <x:v>-5.192575529025996</x:v>
      </x:c>
      <x:c r="I165" s="4" t="n">
        <x:f>IF(AND(ISNUMBER(G165),G165&gt;0),('계산 과정'!$E$56+'계산 과정'!$E$57*D165+'계산 과정'!$E$58*E165)/F165,"")</x:f>
        <x:v>-66.88482919405493</x:v>
      </x:c>
      <x:c r="J165" s="4" t="n">
        <x:f>IF('계산 과정'!$L$5,'계산 과정'!$D$6+'계산 과정'!$C$35*D165+'계산 과정'!$D$35*E165,"")</x:f>
        <x:v>653.2304269809107</x:v>
      </x:c>
      <x:c r="K165" s="4" t="n">
        <x:f>IF(AND('계산 과정'!$L$6,J165&gt;0),'계산 과정'!$D$10*('계산 과정'!$C$38*(D165-'계산 과정'!$C$32)+'계산 과정'!$D$38*(E165-'계산 과정'!$D$32)-'계산 과정'!$E$38*'계산 과정'!$E$32)/J165,"")</x:f>
        <x:v>-0.03956248022114984</x:v>
      </x:c>
      <x:c r="L165" s="4" t="n">
        <x:f>IF(AND('계산 과정'!$L$6,J165&gt;0),'계산 과정'!$D$10*('계산 과정'!$C$39*(D165-'계산 과정'!$C$32)+'계산 과정'!$D$39*(E165-'계산 과정'!$D$32)-'계산 과정'!$E$39*'계산 과정'!$E$32)/J165,"")</x:f>
        <x:v>-0.5095986986213709</x:v>
      </x:c>
      <x:c r="M165" s="17" t="n">
        <x:f>IF('계산 과정'!$L$6,IF(J165&lt;=0,0,IF(AND(ABS(K165)&lt;='계산 과정'!$D$11/2,ABS(L165)&lt;='계산 과정'!$D$12/2),1,0)),"")</x:f>
        <x:v>1</x:v>
      </x:c>
      <x:c r="N165" s="17" t="n">
        <x:f>IF('계산 과정'!$C$78,IF(AND(ISNUMBER(H165),ISNUMBER(I165),ABS(H165-'계산 과정'!$C$88)&lt;='계산 과정'!$D$23/2,ABS(I165-'계산 과정'!$C$89)&lt;='계산 과정'!$D$24/2),1,0),"")</x:f>
        <x:v>1</x:v>
      </x:c>
      <x:c r="O165" s="4" t="n">
        <x:f>IF('계산 과정'!$L$7,'계산 과정'!$C$49*('계산 과정'!$C$32-D165)+'계산 과정'!$D$49*('계산 과정'!$D$32-E165)+'계산 과정'!$E$49*'계산 과정'!$E$32,"")</x:f>
        <x:v>-3.230426980910579</x:v>
      </x:c>
      <x:c r="P165" s="4" t="n">
        <x:f>IF(AND('계산 과정'!$L$7,O165&lt;&gt;0),('계산 과정'!$L$23-'계산 과정'!$C$49*D165-'계산 과정'!$D$49*E165)/O165,"")</x:f>
        <x:v>-122.82264089660667</x:v>
      </x:c>
      <x:c r="Q165" s="4" t="str">
        <x:f>IF(AND(ISNUMBER(P165),P165&gt;1E-9,P165&lt;1-1E-9),'계산 과정'!$C$47*(D165-'계산 과정'!$C$50+P165*('계산 과정'!$C$32-D165))+'계산 과정'!$D$47*(E165-'계산 과정'!$D$50+P165*('계산 과정'!$D$32-E165))+'계산 과정'!$E$47*(0-'계산 과정'!$E$50+P165*('계산 과정'!$E$32-0)),"")</x:f>
      </x:c>
      <x:c r="R165" s="4" t="str">
        <x:f>IF(AND(ISNUMBER(P165),P165&gt;1E-9,P165&lt;1-1E-9),'계산 과정'!$C$48*(D165-'계산 과정'!$C$50+P165*('계산 과정'!$C$32-D165))+'계산 과정'!$D$48*(E165-'계산 과정'!$D$50+P165*('계산 과정'!$D$32-E165))+'계산 과정'!$E$48*(0-'계산 과정'!$E$50+P165*('계산 과정'!$E$32-0)),"")</x:f>
      </x:c>
      <x:c r="S165" s="17" t="n">
        <x:f>IF('계산 과정'!$C$78,IF(AND(ISNUMBER(Q165),ISNUMBER(R165),ABS(Q165-'계산 과정'!$C$88)&lt;='계산 과정'!$D$23/2,ABS(R165-'계산 과정'!$C$89)&lt;='계산 과정'!$D$24/2),1,0),"")</x:f>
        <x:v>0</x:v>
      </x:c>
      <x:c r="T165" s="4"/>
      <x:c r="U165" s="4"/>
      <x:c r="V165" s="4"/>
      <x:c r="W165" s="4" t="n">
        <x:f>IF('계산 과정'!$C$77,('계산 과정'!$D$56+'계산 과정'!$D$57*('계산 과정'!$L$11*COS(159*2*PI()/240))+'계산 과정'!$D$58*('계산 과정'!$L$11*SIN(159*2*PI()/240)))/('계산 과정'!$D$59+'계산 과정'!$D$60*('계산 과정'!$L$11*COS(159*2*PI()/240))+'계산 과정'!$D$61*('계산 과정'!$L$11*SIN(159*2*PI()/240))),"")</x:f>
        <x:v>-82.49037896250346</x:v>
      </x:c>
      <x:c r="X165" s="4" t="n">
        <x:f>IF('계산 과정'!$C$77,('계산 과정'!$E$56+'계산 과정'!$E$57*('계산 과정'!$L$11*COS(159*2*PI()/240))+'계산 과정'!$E$58*('계산 과정'!$L$11*SIN(159*2*PI()/240)))/('계산 과정'!$E$59+'계산 과정'!$E$60*('계산 과정'!$L$11*COS(159*2*PI()/240))+'계산 과정'!$E$61*('계산 과정'!$L$11*SIN(159*2*PI()/240))),"")</x:f>
        <x:v>-190.37020668359466</x:v>
      </x:c>
      <x:c r="Y165" s="4" t="str">
        <x:f>""</x:f>
      </x:c>
      <x:c r="Z165" s="4" t="str">
        <x:f>""</x:f>
      </x:c>
    </x:row>
    <x:row r="166" ht="23" customHeight="1">
      <x:c r="A166" s="17" t="n">
        <x:f>ROW()-6</x:f>
        <x:v>160</x:v>
      </x:c>
      <x:c r="B166" s="4" t="n">
        <x:f>IF('계산 과정'!$L$5,'계산 과정'!$L$11*SQRT((A166+0.5)/'계산 과정'!$L$30),"")</x:f>
        <x:v>41.99173328242715</x:v>
      </x:c>
      <x:c r="C166" s="4" t="n">
        <x:f>A166*PI()*(3-SQRT(5))</x:f>
        <x:v>383.99411675658445</x:v>
      </x:c>
      <x:c r="D166" s="4" t="n">
        <x:f>IF('계산 과정'!$L$5,B166*COS(C166),"")</x:f>
        <x:v>31.574802378440936</x:v>
      </x:c>
      <x:c r="E166" s="4" t="n">
        <x:f>IF('계산 과정'!$L$5,B166*SIN(C166),"")</x:f>
        <x:v>27.68280186008816</x:v>
      </x:c>
      <x:c r="F166" s="4" t="n">
        <x:f>IF('계산 과정'!$L$7,'계산 과정'!$L$22+'계산 과정'!$C$49*D166+'계산 과정'!$D$49*E166,"")</x:f>
        <x:v>627.6732431235793</x:v>
      </x:c>
      <x:c r="G166" s="4" t="n">
        <x:f>IF('계산 과정'!$L$7,IF(ABS(F166)&gt;=1E-12*MAX(1,SQRT((D166-'계산 과정'!$C$33)^2+(E166-'계산 과정'!$D$33)^2+'계산 과정'!$E$33^2)),('계산 과정'!$L$23-'계산 과정'!$C$49*D166-'계산 과정'!$D$49*E166)/F166,""),"")</x:f>
        <x:v>0.6728449260872365</x:v>
      </x:c>
      <x:c r="H166" s="4" t="n">
        <x:f>IF(AND(ISNUMBER(G166),G166&gt;0),('계산 과정'!$D$56+'계산 과정'!$D$57*D166+'계산 과정'!$D$58*E166)/F166,"")</x:f>
        <x:v>37.3492019567036</x:v>
      </x:c>
      <x:c r="I166" s="4" t="n">
        <x:f>IF(AND(ISNUMBER(G166),G166&gt;0),('계산 과정'!$E$56+'계산 과정'!$E$57*D166+'계산 과정'!$E$58*E166)/F166,"")</x:f>
        <x:v>46.30903463152679</x:v>
      </x:c>
      <x:c r="J166" s="4" t="n">
        <x:f>IF('계산 과정'!$L$5,'계산 과정'!$D$6+'계산 과정'!$C$35*D166+'계산 과정'!$D$35*E166,"")</x:f>
        <x:v>627.6732431235793</x:v>
      </x:c>
      <x:c r="K166" s="4" t="n">
        <x:f>IF(AND('계산 과정'!$L$6,J166&gt;0),'계산 과정'!$D$10*('계산 과정'!$C$38*(D166-'계산 과정'!$C$32)+'계산 과정'!$D$38*(E166-'계산 과정'!$D$32)-'계산 과정'!$E$38*'계산 과정'!$E$32)/J166,"")</x:f>
        <x:v>0.2845653482415525</x:v>
      </x:c>
      <x:c r="L166" s="4" t="n">
        <x:f>IF(AND('계산 과정'!$L$6,J166&gt;0),'계산 과정'!$D$10*('계산 과정'!$C$39*(D166-'계산 과정'!$C$32)+'계산 과정'!$D$39*(E166-'계산 과정'!$D$32)-'계산 과정'!$E$39*'계산 과정'!$E$32)/J166,"")</x:f>
        <x:v>0.3528307400497279</x:v>
      </x:c>
      <x:c r="M166" s="17" t="n">
        <x:f>IF('계산 과정'!$L$6,IF(J166&lt;=0,0,IF(AND(ABS(K166)&lt;='계산 과정'!$D$11/2,ABS(L166)&lt;='계산 과정'!$D$12/2),1,0)),"")</x:f>
        <x:v>1</x:v>
      </x:c>
      <x:c r="N166" s="17" t="n">
        <x:f>IF('계산 과정'!$C$78,IF(AND(ISNUMBER(H166),ISNUMBER(I166),ABS(H166-'계산 과정'!$C$88)&lt;='계산 과정'!$D$23/2,ABS(I166-'계산 과정'!$C$89)&lt;='계산 과정'!$D$24/2),1,0),"")</x:f>
        <x:v>1</x:v>
      </x:c>
      <x:c r="O166" s="4" t="n">
        <x:f>IF('계산 과정'!$L$7,'계산 과정'!$C$49*('계산 과정'!$C$32-D166)+'계산 과정'!$D$49*('계산 과정'!$D$32-E166)+'계산 과정'!$E$49*'계산 과정'!$E$32,"")</x:f>
        <x:v>22.32675687642086</x:v>
      </x:c>
      <x:c r="P166" s="4" t="n">
        <x:f>IF(AND('계산 과정'!$L$7,O166&lt;&gt;0),('계산 과정'!$L$23-'계산 과정'!$C$49*D166-'계산 과정'!$D$49*E166)/O166,"")</x:f>
        <x:v>18.915723372364805</x:v>
      </x:c>
      <x:c r="Q166" s="4" t="str">
        <x:f>IF(AND(ISNUMBER(P166),P166&gt;1E-9,P166&lt;1-1E-9),'계산 과정'!$C$47*(D166-'계산 과정'!$C$50+P166*('계산 과정'!$C$32-D166))+'계산 과정'!$D$47*(E166-'계산 과정'!$D$50+P166*('계산 과정'!$D$32-E166))+'계산 과정'!$E$47*(0-'계산 과정'!$E$50+P166*('계산 과정'!$E$32-0)),"")</x:f>
      </x:c>
      <x:c r="R166" s="4" t="str">
        <x:f>IF(AND(ISNUMBER(P166),P166&gt;1E-9,P166&lt;1-1E-9),'계산 과정'!$C$48*(D166-'계산 과정'!$C$50+P166*('계산 과정'!$C$32-D166))+'계산 과정'!$D$48*(E166-'계산 과정'!$D$50+P166*('계산 과정'!$D$32-E166))+'계산 과정'!$E$48*(0-'계산 과정'!$E$50+P166*('계산 과정'!$E$32-0)),"")</x:f>
      </x:c>
      <x:c r="S166" s="17" t="n">
        <x:f>IF('계산 과정'!$C$78,IF(AND(ISNUMBER(Q166),ISNUMBER(R166),ABS(Q166-'계산 과정'!$C$88)&lt;='계산 과정'!$D$23/2,ABS(R166-'계산 과정'!$C$89)&lt;='계산 과정'!$D$24/2),1,0),"")</x:f>
        <x:v>0</x:v>
      </x:c>
      <x:c r="T166" s="4"/>
      <x:c r="U166" s="4"/>
      <x:c r="V166" s="4"/>
      <x:c r="W166" s="4" t="n">
        <x:f>IF('계산 과정'!$C$77,('계산 과정'!$D$56+'계산 과정'!$D$57*('계산 과정'!$L$11*COS(160*2*PI()/240))+'계산 과정'!$D$58*('계산 과정'!$L$11*SIN(160*2*PI()/240)))/('계산 과정'!$D$59+'계산 과정'!$D$60*('계산 과정'!$L$11*COS(160*2*PI()/240))+'계산 과정'!$D$61*('계산 과정'!$L$11*SIN(160*2*PI()/240))),"")</x:f>
        <x:v>-79.20632223258134</x:v>
      </x:c>
      <x:c r="X166" s="4" t="n">
        <x:f>IF('계산 과정'!$C$77,('계산 과정'!$E$56+'계산 과정'!$E$57*('계산 과정'!$L$11*COS(160*2*PI()/240))+'계산 과정'!$E$58*('계산 과정'!$L$11*SIN(160*2*PI()/240)))/('계산 과정'!$E$59+'계산 과정'!$E$60*('계산 과정'!$L$11*COS(160*2*PI()/240))+'계산 과정'!$E$61*('계산 과정'!$L$11*SIN(160*2*PI()/240))),"")</x:f>
        <x:v>-194.01507387228665</x:v>
      </x:c>
      <x:c r="Y166" s="4" t="str">
        <x:f>""</x:f>
      </x:c>
      <x:c r="Z166" s="4" t="str">
        <x:f>""</x:f>
      </x:c>
    </x:row>
    <x:row r="167" ht="23" customHeight="1">
      <x:c r="A167" s="17" t="n">
        <x:f>ROW()-6</x:f>
        <x:v>161</x:v>
      </x:c>
      <x:c r="B167" s="4" t="n">
        <x:f>IF('계산 과정'!$L$5,'계산 과정'!$L$11*SQRT((A167+0.5)/'계산 과정'!$L$30),"")</x:f>
        <x:v>42.12234552096429</x:v>
      </x:c>
      <x:c r="C167" s="4" t="n">
        <x:f>A167*PI()*(3-SQRT(5))</x:f>
        <x:v>386.3940799863131</x:v>
      </x:c>
      <x:c r="D167" s="4" t="n">
        <x:f>IF('계산 과정'!$L$5,B167*COS(C167),"")</x:f>
        <x:v>-42.11232173675094</x:v>
      </x:c>
      <x:c r="E167" s="4" t="n">
        <x:f>IF('계산 과정'!$L$5,B167*SIN(C167),"")</x:f>
        <x:v>0.9188852637159156</x:v>
      </x:c>
      <x:c r="F167" s="4" t="n">
        <x:f>IF('계산 과정'!$L$7,'계산 과정'!$L$22+'계산 과정'!$C$49*D167+'계산 과정'!$D$49*E167,"")</x:f>
        <x:v>679.7779082715663</x:v>
      </x:c>
      <x:c r="G167" s="4" t="n">
        <x:f>IF('계산 과정'!$L$7,IF(ABS(F167)&gt;=1E-12*MAX(1,SQRT((D167-'계산 과정'!$C$33)^2+(E167-'계산 과정'!$D$33)^2+'계산 과정'!$E$33^2)),('계산 과정'!$L$23-'계산 과정'!$C$49*D167-'계산 과정'!$D$49*E167)/F167,""),"")</x:f>
        <x:v>0.5446221291153416</x:v>
      </x:c>
      <x:c r="H167" s="4" t="n">
        <x:f>IF(AND(ISNUMBER(G167),G167&gt;0),('계산 과정'!$D$56+'계산 과정'!$D$57*D167+'계산 과정'!$D$58*E167)/F167,"")</x:f>
        <x:v>-45.995616075028096</x:v>
      </x:c>
      <x:c r="I167" s="4" t="n">
        <x:f>IF(AND(ISNUMBER(G167),G167&gt;0),('계산 과정'!$E$56+'계산 과정'!$E$57*D167+'계산 과정'!$E$58*E167)/F167,"")</x:f>
        <x:v>1.4193305124535895</x:v>
      </x:c>
      <x:c r="J167" s="4" t="n">
        <x:f>IF('계산 과정'!$L$5,'계산 과정'!$D$6+'계산 과정'!$C$35*D167+'계산 과정'!$D$35*E167,"")</x:f>
        <x:v>679.7779082715663</x:v>
      </x:c>
      <x:c r="K167" s="4" t="n">
        <x:f>IF(AND('계산 과정'!$L$6,J167&gt;0),'계산 과정'!$D$10*('계산 과정'!$C$38*(D167-'계산 과정'!$C$32)+'계산 과정'!$D$38*(E167-'계산 과정'!$D$32)-'계산 과정'!$E$38*'계산 과정'!$E$32)/J167,"")</x:f>
        <x:v>-0.3504427891430701</x:v>
      </x:c>
      <x:c r="L167" s="4" t="n">
        <x:f>IF(AND('계산 과정'!$L$6,J167&gt;0),'계산 과정'!$D$10*('계산 과정'!$C$39*(D167-'계산 과정'!$C$32)+'계산 과정'!$D$39*(E167-'계산 과정'!$D$32)-'계산 과정'!$E$39*'계산 과정'!$E$32)/J167,"")</x:f>
        <x:v>0.010813946761551159</x:v>
      </x:c>
      <x:c r="M167" s="17" t="n">
        <x:f>IF('계산 과정'!$L$6,IF(J167&lt;=0,0,IF(AND(ABS(K167)&lt;='계산 과정'!$D$11/2,ABS(L167)&lt;='계산 과정'!$D$12/2),1,0)),"")</x:f>
        <x:v>1</x:v>
      </x:c>
      <x:c r="N167" s="17" t="n">
        <x:f>IF('계산 과정'!$C$78,IF(AND(ISNUMBER(H167),ISNUMBER(I167),ABS(H167-'계산 과정'!$C$88)&lt;='계산 과정'!$D$23/2,ABS(I167-'계산 과정'!$C$89)&lt;='계산 과정'!$D$24/2),1,0),"")</x:f>
        <x:v>1</x:v>
      </x:c>
      <x:c r="O167" s="4" t="n">
        <x:f>IF('계산 과정'!$L$7,'계산 과정'!$C$49*('계산 과정'!$C$32-D167)+'계산 과정'!$D$49*('계산 과정'!$D$32-E167)+'계산 과정'!$E$49*'계산 과정'!$E$32,"")</x:f>
        <x:v>-29.777908271566105</x:v>
      </x:c>
      <x:c r="P167" s="4" t="n">
        <x:f>IF(AND('계산 과정'!$L$7,O167&lt;&gt;0),('계산 과정'!$L$23-'계산 과정'!$C$49*D167-'계산 과정'!$D$49*E167)/O167,"")</x:f>
        <x:v>-12.432776955053827</x:v>
      </x:c>
      <x:c r="Q167" s="4" t="str">
        <x:f>IF(AND(ISNUMBER(P167),P167&gt;1E-9,P167&lt;1-1E-9),'계산 과정'!$C$47*(D167-'계산 과정'!$C$50+P167*('계산 과정'!$C$32-D167))+'계산 과정'!$D$47*(E167-'계산 과정'!$D$50+P167*('계산 과정'!$D$32-E167))+'계산 과정'!$E$47*(0-'계산 과정'!$E$50+P167*('계산 과정'!$E$32-0)),"")</x:f>
      </x:c>
      <x:c r="R167" s="4" t="str">
        <x:f>IF(AND(ISNUMBER(P167),P167&gt;1E-9,P167&lt;1-1E-9),'계산 과정'!$C$48*(D167-'계산 과정'!$C$50+P167*('계산 과정'!$C$32-D167))+'계산 과정'!$D$48*(E167-'계산 과정'!$D$50+P167*('계산 과정'!$D$32-E167))+'계산 과정'!$E$48*(0-'계산 과정'!$E$50+P167*('계산 과정'!$E$32-0)),"")</x:f>
      </x:c>
      <x:c r="S167" s="17" t="n">
        <x:f>IF('계산 과정'!$C$78,IF(AND(ISNUMBER(Q167),ISNUMBER(R167),ABS(Q167-'계산 과정'!$C$88)&lt;='계산 과정'!$D$23/2,ABS(R167-'계산 과정'!$C$89)&lt;='계산 과정'!$D$24/2),1,0),"")</x:f>
        <x:v>0</x:v>
      </x:c>
      <x:c r="T167" s="4"/>
      <x:c r="U167" s="4"/>
      <x:c r="V167" s="4"/>
      <x:c r="W167" s="4" t="n">
        <x:f>IF('계산 과정'!$C$77,('계산 과정'!$D$56+'계산 과정'!$D$57*('계산 과정'!$L$11*COS(161*2*PI()/240))+'계산 과정'!$D$58*('계산 과정'!$L$11*SIN(161*2*PI()/240)))/('계산 과정'!$D$59+'계산 과정'!$D$60*('계산 과정'!$L$11*COS(161*2*PI()/240))+'계산 과정'!$D$61*('계산 과정'!$L$11*SIN(161*2*PI()/240))),"")</x:f>
        <x:v>-75.84936091563046</x:v>
      </x:c>
      <x:c r="X167" s="4" t="n">
        <x:f>IF('계산 과정'!$C$77,('계산 과정'!$E$56+'계산 과정'!$E$57*('계산 과정'!$L$11*COS(161*2*PI()/240))+'계산 과정'!$E$58*('계산 과정'!$L$11*SIN(161*2*PI()/240)))/('계산 과정'!$E$59+'계산 과정'!$E$60*('계산 과정'!$L$11*COS(161*2*PI()/240))+'계산 과정'!$E$61*('계산 과정'!$L$11*SIN(161*2*PI()/240))),"")</x:f>
        <x:v>-197.56159660106172</x:v>
      </x:c>
      <x:c r="Y167" s="4" t="str">
        <x:f>""</x:f>
      </x:c>
      <x:c r="Z167" s="4" t="str">
        <x:f>""</x:f>
      </x:c>
    </x:row>
    <x:row r="168" ht="23" customHeight="1">
      <x:c r="A168" s="17" t="n">
        <x:f>ROW()-6</x:f>
        <x:v>162</x:v>
      </x:c>
      <x:c r="B168" s="4" t="n">
        <x:f>IF('계산 과정'!$L$5,'계산 과정'!$L$11*SQRT((A168+0.5)/'계산 과정'!$L$30),"")</x:f>
        <x:v>42.252554009343626</x:v>
      </x:c>
      <x:c r="C168" s="4" t="n">
        <x:f>A168*PI()*(3-SQRT(5))</x:f>
        <x:v>388.79404321604176</x:v>
      </x:c>
      <x:c r="D168" s="4" t="n">
        <x:f>IF('계산 과정'!$L$5,B168*COS(C168),"")</x:f>
        <x:v>30.52568749404024</x:v>
      </x:c>
      <x:c r="E168" s="4" t="n">
        <x:f>IF('계산 과정'!$L$5,B168*SIN(C168),"")</x:f>
        <x:v>-29.21405010142714</x:v>
      </x:c>
      <x:c r="F168" s="4" t="n">
        <x:f>IF('계산 과정'!$L$7,'계산 과정'!$L$22+'계산 과정'!$C$49*D168+'계산 과정'!$D$49*E168,"")</x:f>
        <x:v>628.4150793725828</x:v>
      </x:c>
      <x:c r="G168" s="4" t="n">
        <x:f>IF('계산 과정'!$L$7,IF(ABS(F168)&gt;=1E-12*MAX(1,SQRT((D168-'계산 과정'!$C$33)^2+(E168-'계산 과정'!$D$33)^2+'계산 과정'!$E$33^2)),('계산 과정'!$L$23-'계산 과정'!$C$49*D168-'계산 과정'!$D$49*E168)/F168,""),"")</x:f>
        <x:v>0.6708701532883851</x:v>
      </x:c>
      <x:c r="H168" s="4" t="n">
        <x:f>IF(AND(ISNUMBER(G168),G168&gt;0),('계산 과정'!$D$56+'계산 과정'!$D$57*D168+'계산 과정'!$D$58*E168)/F168,"")</x:f>
        <x:v>36.06559963745016</x:v>
      </x:c>
      <x:c r="I168" s="4" t="n">
        <x:f>IF(AND(ISNUMBER(G168),G168&gt;0),('계산 과정'!$E$56+'계산 과정'!$E$57*D168+'계산 과정'!$E$58*E168)/F168,"")</x:f>
        <x:v>-48.812884371146126</x:v>
      </x:c>
      <x:c r="J168" s="4" t="n">
        <x:f>IF('계산 과정'!$L$5,'계산 과정'!$D$6+'계산 과정'!$C$35*D168+'계산 과정'!$D$35*E168,"")</x:f>
        <x:v>628.4150793725828</x:v>
      </x:c>
      <x:c r="K168" s="4" t="n">
        <x:f>IF(AND('계산 과정'!$L$6,J168&gt;0),'계산 과정'!$D$10*('계산 과정'!$C$38*(D168-'계산 과정'!$C$32)+'계산 과정'!$D$38*(E168-'계산 과정'!$D$32)-'계산 과정'!$E$38*'계산 과정'!$E$32)/J168,"")</x:f>
        <x:v>0.2747855210472404</x:v>
      </x:c>
      <x:c r="L168" s="4" t="n">
        <x:f>IF(AND('계산 과정'!$L$6,J168&gt;0),'계산 과정'!$D$10*('계산 과정'!$C$39*(D168-'계산 과정'!$C$32)+'계산 과정'!$D$39*(E168-'계산 과정'!$D$32)-'계산 과정'!$E$39*'계산 과정'!$E$32)/J168,"")</x:f>
        <x:v>-0.3719076904468276</x:v>
      </x:c>
      <x:c r="M168" s="17" t="n">
        <x:f>IF('계산 과정'!$L$6,IF(J168&lt;=0,0,IF(AND(ABS(K168)&lt;='계산 과정'!$D$11/2,ABS(L168)&lt;='계산 과정'!$D$12/2),1,0)),"")</x:f>
        <x:v>1</x:v>
      </x:c>
      <x:c r="N168" s="17" t="n">
        <x:f>IF('계산 과정'!$C$78,IF(AND(ISNUMBER(H168),ISNUMBER(I168),ABS(H168-'계산 과정'!$C$88)&lt;='계산 과정'!$D$23/2,ABS(I168-'계산 과정'!$C$89)&lt;='계산 과정'!$D$24/2),1,0),"")</x:f>
        <x:v>1</x:v>
      </x:c>
      <x:c r="O168" s="4" t="n">
        <x:f>IF('계산 과정'!$L$7,'계산 과정'!$C$49*('계산 과정'!$C$32-D168)+'계산 과정'!$D$49*('계산 과정'!$D$32-E168)+'계산 과정'!$E$49*'계산 과정'!$E$32,"")</x:f>
        <x:v>21.584920627417375</x:v>
      </x:c>
      <x:c r="P168" s="4" t="n">
        <x:f>IF(AND('계산 과정'!$L$7,O168&lt;&gt;0),('계산 과정'!$L$23-'계산 과정'!$C$49*D168-'계산 과정'!$D$49*E168)/O168,"")</x:f>
        <x:v>19.531455681700123</x:v>
      </x:c>
      <x:c r="Q168" s="4" t="str">
        <x:f>IF(AND(ISNUMBER(P168),P168&gt;1E-9,P168&lt;1-1E-9),'계산 과정'!$C$47*(D168-'계산 과정'!$C$50+P168*('계산 과정'!$C$32-D168))+'계산 과정'!$D$47*(E168-'계산 과정'!$D$50+P168*('계산 과정'!$D$32-E168))+'계산 과정'!$E$47*(0-'계산 과정'!$E$50+P168*('계산 과정'!$E$32-0)),"")</x:f>
      </x:c>
      <x:c r="R168" s="4" t="str">
        <x:f>IF(AND(ISNUMBER(P168),P168&gt;1E-9,P168&lt;1-1E-9),'계산 과정'!$C$48*(D168-'계산 과정'!$C$50+P168*('계산 과정'!$C$32-D168))+'계산 과정'!$D$48*(E168-'계산 과정'!$D$50+P168*('계산 과정'!$D$32-E168))+'계산 과정'!$E$48*(0-'계산 과정'!$E$50+P168*('계산 과정'!$E$32-0)),"")</x:f>
      </x:c>
      <x:c r="S168" s="17" t="n">
        <x:f>IF('계산 과정'!$C$78,IF(AND(ISNUMBER(Q168),ISNUMBER(R168),ABS(Q168-'계산 과정'!$C$88)&lt;='계산 과정'!$D$23/2,ABS(R168-'계산 과정'!$C$89)&lt;='계산 과정'!$D$24/2),1,0),"")</x:f>
        <x:v>0</x:v>
      </x:c>
      <x:c r="T168" s="4"/>
      <x:c r="U168" s="4"/>
      <x:c r="V168" s="4"/>
      <x:c r="W168" s="4" t="n">
        <x:f>IF('계산 과정'!$C$77,('계산 과정'!$D$56+'계산 과정'!$D$57*('계산 과정'!$L$11*COS(162*2*PI()/240))+'계산 과정'!$D$58*('계산 과정'!$L$11*SIN(162*2*PI()/240)))/('계산 과정'!$D$59+'계산 과정'!$D$60*('계산 과정'!$L$11*COS(162*2*PI()/240))+'계산 과정'!$D$61*('계산 과정'!$L$11*SIN(162*2*PI()/240))),"")</x:f>
        <x:v>-72.4205366845462</x:v>
      </x:c>
      <x:c r="X168" s="4" t="n">
        <x:f>IF('계산 과정'!$C$77,('계산 과정'!$E$56+'계산 과정'!$E$57*('계산 과정'!$L$11*COS(162*2*PI()/240))+'계산 과정'!$E$58*('계산 과정'!$L$11*SIN(162*2*PI()/240)))/('계산 과정'!$E$59+'계산 과정'!$E$60*('계산 과정'!$L$11*COS(162*2*PI()/240))+'계산 과정'!$E$61*('계산 과정'!$L$11*SIN(162*2*PI()/240))),"")</x:f>
        <x:v>-201.00684916768444</x:v>
      </x:c>
      <x:c r="Y168" s="4" t="str">
        <x:f>""</x:f>
      </x:c>
      <x:c r="Z168" s="4" t="str">
        <x:f>""</x:f>
      </x:c>
    </x:row>
    <x:row r="169" ht="23" customHeight="1">
      <x:c r="A169" s="17" t="n">
        <x:f>ROW()-6</x:f>
        <x:v>163</x:v>
      </x:c>
      <x:c r="B169" s="4" t="n">
        <x:f>IF('계산 과정'!$L$5,'계산 과정'!$L$11*SQRT((A169+0.5)/'계산 과정'!$L$30),"")</x:f>
        <x:v>42.382362468808886</x:v>
      </x:c>
      <x:c r="C169" s="4" t="n">
        <x:f>A169*PI()*(3-SQRT(5))</x:f>
        <x:v>391.1940064457704</x:v>
      </x:c>
      <x:c r="D169" s="4" t="n">
        <x:f>IF('계산 과정'!$L$5,B169*COS(C169),"")</x:f>
        <x:v>-2.783409651765768</x:v>
      </x:c>
      <x:c r="E169" s="4" t="n">
        <x:f>IF('계산 과정'!$L$5,B169*SIN(C169),"")</x:f>
        <x:v>42.290865197439</x:v>
      </x:c>
      <x:c r="F169" s="4" t="n">
        <x:f>IF('계산 과정'!$L$7,'계산 과정'!$L$22+'계산 과정'!$C$49*D169+'계산 과정'!$D$49*E169,"")</x:f>
        <x:v>651.9681678395837</x:v>
      </x:c>
      <x:c r="G169" s="4" t="n">
        <x:f>IF('계산 과정'!$L$7,IF(ABS(F169)&gt;=1E-12*MAX(1,SQRT((D169-'계산 과정'!$C$33)^2+(E169-'계산 과정'!$D$33)^2+'계산 과정'!$E$33^2)),('계산 과정'!$L$23-'계산 과정'!$C$49*D169-'계산 과정'!$D$49*E169)/F169,""),"")</x:f>
        <x:v>0.610508076612648</x:v>
      </x:c>
      <x:c r="H169" s="4" t="n">
        <x:f>IF(AND(ISNUMBER(G169),G169&gt;0),('계산 과정'!$D$56+'계산 과정'!$D$57*D169+'계산 과정'!$D$58*E169)/F169,"")</x:f>
        <x:v>-3.169750201778868</x:v>
      </x:c>
      <x:c r="I169" s="4" t="n">
        <x:f>IF(AND(ISNUMBER(G169),G169&gt;0),('계산 과정'!$E$56+'계산 과정'!$E$57*D169+'계산 과정'!$E$58*E169)/F169,"")</x:f>
        <x:v>68.10977996741227</x:v>
      </x:c>
      <x:c r="J169" s="4" t="n">
        <x:f>IF('계산 과정'!$L$5,'계산 과정'!$D$6+'계산 과정'!$C$35*D169+'계산 과정'!$D$35*E169,"")</x:f>
        <x:v>651.9681678395837</x:v>
      </x:c>
      <x:c r="K169" s="4" t="n">
        <x:f>IF(AND('계산 과정'!$L$6,J169&gt;0),'계산 과정'!$D$10*('계산 과정'!$C$38*(D169-'계산 과정'!$C$32)+'계산 과정'!$D$38*(E169-'계산 과정'!$D$32)-'계산 과정'!$E$38*'계산 과정'!$E$32)/J169,"")</x:f>
        <x:v>-0.024150477727838068</x:v>
      </x:c>
      <x:c r="L169" s="4" t="n">
        <x:f>IF(AND('계산 과정'!$L$6,J169&gt;0),'계산 과정'!$D$10*('계산 과정'!$C$39*(D169-'계산 과정'!$C$32)+'계산 과정'!$D$39*(E169-'계산 과정'!$D$32)-'계산 과정'!$E$39*'계산 과정'!$E$32)/J169,"")</x:f>
        <x:v>0.5189316568945695</x:v>
      </x:c>
      <x:c r="M169" s="17" t="n">
        <x:f>IF('계산 과정'!$L$6,IF(J169&lt;=0,0,IF(AND(ABS(K169)&lt;='계산 과정'!$D$11/2,ABS(L169)&lt;='계산 과정'!$D$12/2),1,0)),"")</x:f>
        <x:v>1</x:v>
      </x:c>
      <x:c r="N169" s="17" t="n">
        <x:f>IF('계산 과정'!$C$78,IF(AND(ISNUMBER(H169),ISNUMBER(I169),ABS(H169-'계산 과정'!$C$88)&lt;='계산 과정'!$D$23/2,ABS(I169-'계산 과정'!$C$89)&lt;='계산 과정'!$D$24/2),1,0),"")</x:f>
        <x:v>1</x:v>
      </x:c>
      <x:c r="O169" s="4" t="n">
        <x:f>IF('계산 과정'!$L$7,'계산 과정'!$C$49*('계산 과정'!$C$32-D169)+'계산 과정'!$D$49*('계산 과정'!$D$32-E169)+'계산 과정'!$E$49*'계산 과정'!$E$32,"")</x:f>
        <x:v>-1.9681678395835434</x:v>
      </x:c>
      <x:c r="P169" s="4" t="n">
        <x:f>IF(AND('계산 과정'!$L$7,O169&lt;&gt;0),('계산 과정'!$L$23-'계산 과정'!$C$49*D169-'계산 과정'!$D$49*E169)/O169,"")</x:f>
        <x:v>-202.23469978283882</x:v>
      </x:c>
      <x:c r="Q169" s="4" t="str">
        <x:f>IF(AND(ISNUMBER(P169),P169&gt;1E-9,P169&lt;1-1E-9),'계산 과정'!$C$47*(D169-'계산 과정'!$C$50+P169*('계산 과정'!$C$32-D169))+'계산 과정'!$D$47*(E169-'계산 과정'!$D$50+P169*('계산 과정'!$D$32-E169))+'계산 과정'!$E$47*(0-'계산 과정'!$E$50+P169*('계산 과정'!$E$32-0)),"")</x:f>
      </x:c>
      <x:c r="R169" s="4" t="str">
        <x:f>IF(AND(ISNUMBER(P169),P169&gt;1E-9,P169&lt;1-1E-9),'계산 과정'!$C$48*(D169-'계산 과정'!$C$50+P169*('계산 과정'!$C$32-D169))+'계산 과정'!$D$48*(E169-'계산 과정'!$D$50+P169*('계산 과정'!$D$32-E169))+'계산 과정'!$E$48*(0-'계산 과정'!$E$50+P169*('계산 과정'!$E$32-0)),"")</x:f>
      </x:c>
      <x:c r="S169" s="17" t="n">
        <x:f>IF('계산 과정'!$C$78,IF(AND(ISNUMBER(Q169),ISNUMBER(R169),ABS(Q169-'계산 과정'!$C$88)&lt;='계산 과정'!$D$23/2,ABS(R169-'계산 과정'!$C$89)&lt;='계산 과정'!$D$24/2),1,0),"")</x:f>
        <x:v>0</x:v>
      </x:c>
      <x:c r="T169" s="4"/>
      <x:c r="U169" s="4"/>
      <x:c r="V169" s="4"/>
      <x:c r="W169" s="4" t="n">
        <x:f>IF('계산 과정'!$C$77,('계산 과정'!$D$56+'계산 과정'!$D$57*('계산 과정'!$L$11*COS(163*2*PI()/240))+'계산 과정'!$D$58*('계산 과정'!$L$11*SIN(163*2*PI()/240)))/('계산 과정'!$D$59+'계산 과정'!$D$60*('계산 과정'!$L$11*COS(163*2*PI()/240))+'계산 과정'!$D$61*('계산 과정'!$L$11*SIN(163*2*PI()/240))),"")</x:f>
        <x:v>-68.92095024049883</x:v>
      </x:c>
      <x:c r="X169" s="4" t="n">
        <x:f>IF('계산 과정'!$C$77,('계산 과정'!$E$56+'계산 과정'!$E$57*('계산 과정'!$L$11*COS(163*2*PI()/240))+'계산 과정'!$E$58*('계산 과정'!$L$11*SIN(163*2*PI()/240)))/('계산 과정'!$E$59+'계산 과정'!$E$60*('계산 과정'!$L$11*COS(163*2*PI()/240))+'계산 과정'!$E$61*('계산 과정'!$L$11*SIN(163*2*PI()/240))),"")</x:f>
        <x:v>-204.34788763773938</x:v>
      </x:c>
      <x:c r="Y169" s="4" t="str">
        <x:f>""</x:f>
      </x:c>
      <x:c r="Z169" s="4" t="str">
        <x:f>""</x:f>
      </x:c>
    </x:row>
    <x:row r="170" ht="23" customHeight="1">
      <x:c r="A170" s="17" t="n">
        <x:f>ROW()-6</x:f>
        <x:v>164</x:v>
      </x:c>
      <x:c r="B170" s="4" t="n">
        <x:f>IF('계산 과정'!$L$5,'계산 과정'!$L$11*SQRT((A170+0.5)/'계산 과정'!$L$30),"")</x:f>
        <x:v>42.51177456378997</x:v>
      </x:c>
      <x:c r="C170" s="4" t="n">
        <x:f>A170*PI()*(3-SQRT(5))</x:f>
        <x:v>393.59396967549907</x:v>
      </x:c>
      <x:c r="D170" s="4" t="n">
        <x:f>IF('계산 과정'!$L$5,B170*COS(C170),"")</x:f>
        <x:v>-26.59563033542493</x:v>
      </x:c>
      <x:c r="E170" s="4" t="n">
        <x:f>IF('계산 과정'!$L$5,B170*SIN(C170),"")</x:f>
        <x:v>-33.16509345115622</x:v>
      </x:c>
      <x:c r="F170" s="4" t="n">
        <x:f>IF('계산 과정'!$L$7,'계산 과정'!$L$22+'계산 과정'!$C$49*D170+'계산 과정'!$D$49*E170,"")</x:f>
        <x:v>668.8059505601096</x:v>
      </x:c>
      <x:c r="G170" s="4" t="n">
        <x:f>IF('계산 과정'!$L$7,IF(ABS(F170)&gt;=1E-12*MAX(1,SQRT((D170-'계산 과정'!$C$33)^2+(E170-'계산 과정'!$D$33)^2+'계산 과정'!$E$33^2)),('계산 과정'!$L$23-'계산 과정'!$C$49*D170-'계산 과정'!$D$49*E170)/F170,""),"")</x:f>
        <x:v>0.5699621080234843</x:v>
      </x:c>
      <x:c r="H170" s="4" t="n">
        <x:f>IF(AND(ISNUMBER(G170),G170&gt;0),('계산 과정'!$D$56+'계산 과정'!$D$57*D170+'계산 과정'!$D$58*E170)/F170,"")</x:f>
        <x:v>-29.524629784735243</x:v>
      </x:c>
      <x:c r="I170" s="4" t="n">
        <x:f>IF(AND(ISNUMBER(G170),G170&gt;0),('계산 과정'!$E$56+'계산 과정'!$E$57*D170+'계산 과정'!$E$58*E170)/F170,"")</x:f>
        <x:v>-52.067940027373076</x:v>
      </x:c>
      <x:c r="J170" s="4" t="n">
        <x:f>IF('계산 과정'!$L$5,'계산 과정'!$D$6+'계산 과정'!$C$35*D170+'계산 과정'!$D$35*E170,"")</x:f>
        <x:v>668.8059505601096</x:v>
      </x:c>
      <x:c r="K170" s="4" t="n">
        <x:f>IF(AND('계산 과정'!$L$6,J170&gt;0),'계산 과정'!$D$10*('계산 과정'!$C$38*(D170-'계산 과정'!$C$32)+'계산 과정'!$D$38*(E170-'계산 과정'!$D$32)-'계산 과정'!$E$38*'계산 과정'!$E$32)/J170,"")</x:f>
        <x:v>-0.2249495602646481</x:v>
      </x:c>
      <x:c r="L170" s="4" t="n">
        <x:f>IF(AND('계산 과정'!$L$6,J170&gt;0),'계산 과정'!$D$10*('계산 과정'!$C$39*(D170-'계산 과정'!$C$32)+'계산 과정'!$D$39*(E170-'계산 과정'!$D$32)-'계산 과정'!$E$39*'계산 과정'!$E$32)/J170,"")</x:f>
        <x:v>-0.396708114494271</x:v>
      </x:c>
      <x:c r="M170" s="17" t="n">
        <x:f>IF('계산 과정'!$L$6,IF(J170&lt;=0,0,IF(AND(ABS(K170)&lt;='계산 과정'!$D$11/2,ABS(L170)&lt;='계산 과정'!$D$12/2),1,0)),"")</x:f>
        <x:v>1</x:v>
      </x:c>
      <x:c r="N170" s="17" t="n">
        <x:f>IF('계산 과정'!$C$78,IF(AND(ISNUMBER(H170),ISNUMBER(I170),ABS(H170-'계산 과정'!$C$88)&lt;='계산 과정'!$D$23/2,ABS(I170-'계산 과정'!$C$89)&lt;='계산 과정'!$D$24/2),1,0),"")</x:f>
        <x:v>1</x:v>
      </x:c>
      <x:c r="O170" s="4" t="n">
        <x:f>IF('계산 과정'!$L$7,'계산 과정'!$C$49*('계산 과정'!$C$32-D170)+'계산 과정'!$D$49*('계산 과정'!$D$32-E170)+'계산 과정'!$E$49*'계산 과정'!$E$32,"")</x:f>
        <x:v>-18.805950560109522</x:v>
      </x:c>
      <x:c r="P170" s="4" t="n">
        <x:f>IF(AND('계산 과정'!$L$7,O170&lt;&gt;0),('계산 과정'!$L$23-'계산 과정'!$C$49*D170-'계산 과정'!$D$49*E170)/O170,"")</x:f>
        <x:v>-20.26986342548751</x:v>
      </x:c>
      <x:c r="Q170" s="4" t="str">
        <x:f>IF(AND(ISNUMBER(P170),P170&gt;1E-9,P170&lt;1-1E-9),'계산 과정'!$C$47*(D170-'계산 과정'!$C$50+P170*('계산 과정'!$C$32-D170))+'계산 과정'!$D$47*(E170-'계산 과정'!$D$50+P170*('계산 과정'!$D$32-E170))+'계산 과정'!$E$47*(0-'계산 과정'!$E$50+P170*('계산 과정'!$E$32-0)),"")</x:f>
      </x:c>
      <x:c r="R170" s="4" t="str">
        <x:f>IF(AND(ISNUMBER(P170),P170&gt;1E-9,P170&lt;1-1E-9),'계산 과정'!$C$48*(D170-'계산 과정'!$C$50+P170*('계산 과정'!$C$32-D170))+'계산 과정'!$D$48*(E170-'계산 과정'!$D$50+P170*('계산 과정'!$D$32-E170))+'계산 과정'!$E$48*(0-'계산 과정'!$E$50+P170*('계산 과정'!$E$32-0)),"")</x:f>
      </x:c>
      <x:c r="S170" s="17" t="n">
        <x:f>IF('계산 과정'!$C$78,IF(AND(ISNUMBER(Q170),ISNUMBER(R170),ABS(Q170-'계산 과정'!$C$88)&lt;='계산 과정'!$D$23/2,ABS(R170-'계산 과정'!$C$89)&lt;='계산 과정'!$D$24/2),1,0),"")</x:f>
        <x:v>0</x:v>
      </x:c>
      <x:c r="T170" s="4"/>
      <x:c r="U170" s="4"/>
      <x:c r="V170" s="4"/>
      <x:c r="W170" s="4" t="n">
        <x:f>IF('계산 과정'!$C$77,('계산 과정'!$D$56+'계산 과정'!$D$57*('계산 과정'!$L$11*COS(164*2*PI()/240))+'계산 과정'!$D$58*('계산 과정'!$L$11*SIN(164*2*PI()/240)))/('계산 과정'!$D$59+'계산 과정'!$D$60*('계산 과정'!$L$11*COS(164*2*PI()/240))+'계산 과정'!$D$61*('계산 과정'!$L$11*SIN(164*2*PI()/240))),"")</x:f>
        <x:v>-65.35176357684102</x:v>
      </x:c>
      <x:c r="X170" s="4" t="n">
        <x:f>IF('계산 과정'!$C$77,('계산 과정'!$E$56+'계산 과정'!$E$57*('계산 과정'!$L$11*COS(164*2*PI()/240))+'계산 과정'!$E$58*('계산 과정'!$L$11*SIN(164*2*PI()/240)))/('계산 과정'!$E$59+'계산 과정'!$E$60*('계산 과정'!$L$11*COS(164*2*PI()/240))+'계산 과정'!$E$61*('계산 과정'!$L$11*SIN(164*2*PI()/240))),"")</x:f>
        <x:v>-207.58175163696333</x:v>
      </x:c>
      <x:c r="Y170" s="4" t="str">
        <x:f>""</x:f>
      </x:c>
      <x:c r="Z170" s="4" t="str">
        <x:f>""</x:f>
      </x:c>
    </x:row>
    <x:row r="171" ht="23" customHeight="1">
      <x:c r="A171" s="17" t="n">
        <x:f>ROW()-6</x:f>
        <x:v>165</x:v>
      </x:c>
      <x:c r="B171" s="4" t="n">
        <x:f>IF('계산 과정'!$L$5,'계산 과정'!$L$11*SQRT((A171+0.5)/'계산 과정'!$L$30),"")</x:f>
        <x:v>42.640793903109966</x:v>
      </x:c>
      <x:c r="C171" s="4" t="n">
        <x:f>A171*PI()*(3-SQRT(5))</x:f>
        <x:v>395.99393290522767</x:v>
      </x:c>
      <x:c r="D171" s="4" t="n">
        <x:f>IF('계산 과정'!$L$5,B171*COS(C171),"")</x:f>
        <x:v>42.14099592456038</x:v>
      </x:c>
      <x:c r="E171" s="4" t="n">
        <x:f>IF('계산 과정'!$L$5,B171*SIN(C171),"")</x:f>
        <x:v>6.509513589638301</x:v>
      </x:c>
      <x:c r="F171" s="4" t="n">
        <x:f>IF('계산 과정'!$L$7,'계산 과정'!$L$22+'계산 과정'!$C$49*D171+'계산 과정'!$D$49*E171,"")</x:f>
        <x:v>620.2018160157887</x:v>
      </x:c>
      <x:c r="G171" s="4" t="n">
        <x:f>IF('계산 과정'!$L$7,IF(ABS(F171)&gt;=1E-12*MAX(1,SQRT((D171-'계산 과정'!$C$33)^2+(E171-'계산 과정'!$D$33)^2+'계산 과정'!$E$33^2)),('계산 과정'!$L$23-'계산 과정'!$C$49*D171-'계산 과정'!$D$49*E171)/F171,""),"")</x:f>
        <x:v>0.6929973000486502</x:v>
      </x:c>
      <x:c r="H171" s="4" t="n">
        <x:f>IF(AND(ISNUMBER(G171),G171&gt;0),('계산 과정'!$D$56+'계산 과정'!$D$57*D171+'계산 과정'!$D$58*E171)/F171,"")</x:f>
        <x:v>50.44824503162257</x:v>
      </x:c>
      <x:c r="I171" s="4" t="n">
        <x:f>IF(AND(ISNUMBER(G171),G171&gt;0),('계산 과정'!$E$56+'계산 과정'!$E$57*D171+'계산 과정'!$E$58*E171)/F171,"")</x:f>
        <x:v>11.02058893188764</x:v>
      </x:c>
      <x:c r="J171" s="4" t="n">
        <x:f>IF('계산 과정'!$L$5,'계산 과정'!$D$6+'계산 과정'!$C$35*D171+'계산 과정'!$D$35*E171,"")</x:f>
        <x:v>620.2018160157887</x:v>
      </x:c>
      <x:c r="K171" s="4" t="n">
        <x:f>IF(AND('계산 과정'!$L$6,J171&gt;0),'계산 과정'!$D$10*('계산 과정'!$C$38*(D171-'계산 과정'!$C$32)+'계산 과정'!$D$38*(E171-'계산 과정'!$D$32)-'계산 과정'!$E$38*'계산 과정'!$E$32)/J171,"")</x:f>
        <x:v>0.38436758119331593</x:v>
      </x:c>
      <x:c r="L171" s="4" t="n">
        <x:f>IF(AND('계산 과정'!$L$6,J171&gt;0),'계산 과정'!$D$10*('계산 과정'!$C$39*(D171-'계산 과정'!$C$32)+'계산 과정'!$D$39*(E171-'계산 과정'!$D$32)-'계산 과정'!$E$39*'계산 과정'!$E$32)/J171,"")</x:f>
        <x:v>0.08396639186200107</x:v>
      </x:c>
      <x:c r="M171" s="17" t="n">
        <x:f>IF('계산 과정'!$L$6,IF(J171&lt;=0,0,IF(AND(ABS(K171)&lt;='계산 과정'!$D$11/2,ABS(L171)&lt;='계산 과정'!$D$12/2),1,0)),"")</x:f>
        <x:v>1</x:v>
      </x:c>
      <x:c r="N171" s="17" t="n">
        <x:f>IF('계산 과정'!$C$78,IF(AND(ISNUMBER(H171),ISNUMBER(I171),ABS(H171-'계산 과정'!$C$88)&lt;='계산 과정'!$D$23/2,ABS(I171-'계산 과정'!$C$89)&lt;='계산 과정'!$D$24/2),1,0),"")</x:f>
        <x:v>1</x:v>
      </x:c>
      <x:c r="O171" s="4" t="n">
        <x:f>IF('계산 과정'!$L$7,'계산 과정'!$C$49*('계산 과정'!$C$32-D171)+'계산 과정'!$D$49*('계산 과정'!$D$32-E171)+'계산 과정'!$E$49*'계산 과정'!$E$32,"")</x:f>
        <x:v>29.798183984211448</x:v>
      </x:c>
      <x:c r="P171" s="4" t="n">
        <x:f>IF(AND('계산 과정'!$L$7,O171&lt;&gt;0),('계산 과정'!$L$23-'계산 과정'!$C$49*D171-'계산 과정'!$D$49*E171)/O171,"")</x:f>
        <x:v>14.42363683008131</x:v>
      </x:c>
      <x:c r="Q171" s="4" t="str">
        <x:f>IF(AND(ISNUMBER(P171),P171&gt;1E-9,P171&lt;1-1E-9),'계산 과정'!$C$47*(D171-'계산 과정'!$C$50+P171*('계산 과정'!$C$32-D171))+'계산 과정'!$D$47*(E171-'계산 과정'!$D$50+P171*('계산 과정'!$D$32-E171))+'계산 과정'!$E$47*(0-'계산 과정'!$E$50+P171*('계산 과정'!$E$32-0)),"")</x:f>
      </x:c>
      <x:c r="R171" s="4" t="str">
        <x:f>IF(AND(ISNUMBER(P171),P171&gt;1E-9,P171&lt;1-1E-9),'계산 과정'!$C$48*(D171-'계산 과정'!$C$50+P171*('계산 과정'!$C$32-D171))+'계산 과정'!$D$48*(E171-'계산 과정'!$D$50+P171*('계산 과정'!$D$32-E171))+'계산 과정'!$E$48*(0-'계산 과정'!$E$50+P171*('계산 과정'!$E$32-0)),"")</x:f>
      </x:c>
      <x:c r="S171" s="17" t="n">
        <x:f>IF('계산 과정'!$C$78,IF(AND(ISNUMBER(Q171),ISNUMBER(R171),ABS(Q171-'계산 과정'!$C$88)&lt;='계산 과정'!$D$23/2,ABS(R171-'계산 과정'!$C$89)&lt;='계산 과정'!$D$24/2),1,0),"")</x:f>
        <x:v>0</x:v>
      </x:c>
      <x:c r="T171" s="4"/>
      <x:c r="U171" s="4"/>
      <x:c r="V171" s="4"/>
      <x:c r="W171" s="4" t="n">
        <x:f>IF('계산 과정'!$C$77,('계산 과정'!$D$56+'계산 과정'!$D$57*('계산 과정'!$L$11*COS(165*2*PI()/240))+'계산 과정'!$D$58*('계산 과정'!$L$11*SIN(165*2*PI()/240)))/('계산 과정'!$D$59+'계산 과정'!$D$60*('계산 과정'!$L$11*COS(165*2*PI()/240))+'계산 과정'!$D$61*('계산 과정'!$L$11*SIN(165*2*PI()/240))),"")</x:f>
        <x:v>-61.71420225783843</x:v>
      </x:c>
      <x:c r="X171" s="4" t="n">
        <x:f>IF('계산 과정'!$C$77,('계산 과정'!$E$56+'계산 과정'!$E$57*('계산 과정'!$L$11*COS(165*2*PI()/240))+'계산 과정'!$E$58*('계산 과정'!$L$11*SIN(165*2*PI()/240)))/('계산 과정'!$E$59+'계산 과정'!$E$60*('계산 과정'!$L$11*COS(165*2*PI()/240))+'계산 과정'!$E$61*('계산 과정'!$L$11*SIN(165*2*PI()/240))),"")</x:f>
        <x:v>-210.70546633974746</x:v>
      </x:c>
      <x:c r="Y171" s="4" t="str">
        <x:f>""</x:f>
      </x:c>
      <x:c r="Z171" s="4" t="str">
        <x:f>""</x:f>
      </x:c>
    </x:row>
    <x:row r="172" ht="23" customHeight="1">
      <x:c r="A172" s="17" t="n">
        <x:f>ROW()-6</x:f>
        <x:v>166</x:v>
      </x:c>
      <x:c r="B172" s="4" t="n">
        <x:f>IF('계산 과정'!$L$5,'계산 과정'!$L$11*SQRT((A172+0.5)/'계산 과정'!$L$30),"")</x:f>
        <x:v>42.769424041159354</x:v>
      </x:c>
      <x:c r="C172" s="4" t="n">
        <x:f>A172*PI()*(3-SQRT(5))</x:f>
        <x:v>398.39389613495644</x:v>
      </x:c>
      <x:c r="D172" s="4" t="n">
        <x:f>IF('계산 과정'!$L$5,B172*COS(C172),"")</x:f>
        <x:v>-35.57757259682361</x:v>
      </x:c>
      <x:c r="E172" s="4" t="n">
        <x:f>IF('계산 과정'!$L$5,B172*SIN(C172),"")</x:f>
        <x:v>23.737311577561712</x:v>
      </x:c>
      <x:c r="F172" s="4" t="n">
        <x:f>IF('계산 과정'!$L$7,'계산 과정'!$L$22+'계산 과정'!$C$49*D172+'계산 과정'!$D$49*E172,"")</x:f>
        <x:v>675.1571428413706</x:v>
      </x:c>
      <x:c r="G172" s="4" t="n">
        <x:f>IF('계산 과정'!$L$7,IF(ABS(F172)&gt;=1E-12*MAX(1,SQRT((D172-'계산 과정'!$C$33)^2+(E172-'계산 과정'!$D$33)^2+'계산 과정'!$E$33^2)),('계산 과정'!$L$23-'계산 과정'!$C$49*D172-'계산 과정'!$D$49*E172)/F172,""),"")</x:f>
        <x:v>0.5551934999622737</x:v>
      </x:c>
      <x:c r="H172" s="4" t="n">
        <x:f>IF(AND(ISNUMBER(G172),G172&gt;0),('계산 과정'!$D$56+'계산 과정'!$D$57*D172+'계산 과정'!$D$58*E172)/F172,"")</x:f>
        <x:v>-39.12422502452222</x:v>
      </x:c>
      <x:c r="I172" s="4" t="n">
        <x:f>IF(AND(ISNUMBER(G172),G172&gt;0),('계산 과정'!$E$56+'계산 과정'!$E$57*D172+'계산 과정'!$E$58*E172)/F172,"")</x:f>
        <x:v>36.9161126720032</x:v>
      </x:c>
      <x:c r="J172" s="4" t="n">
        <x:f>IF('계산 과정'!$L$5,'계산 과정'!$D$6+'계산 과정'!$C$35*D172+'계산 과정'!$D$35*E172,"")</x:f>
        <x:v>675.1571428413706</x:v>
      </x:c>
      <x:c r="K172" s="4" t="n">
        <x:f>IF(AND('계산 과정'!$L$6,J172&gt;0),'계산 과정'!$D$10*('계산 과정'!$C$38*(D172-'계산 과정'!$C$32)+'계산 과정'!$D$38*(E172-'계산 과정'!$D$32)-'계산 과정'!$E$38*'계산 과정'!$E$32)/J172,"")</x:f>
        <x:v>-0.2980893335201678</x:v>
      </x:c>
      <x:c r="L172" s="4" t="n">
        <x:f>IF(AND('계산 과정'!$L$6,J172&gt;0),'계산 과정'!$D$10*('계산 과정'!$C$39*(D172-'계산 과정'!$C$32)+'계산 과정'!$D$39*(E172-'계산 과정'!$D$32)-'계산 과정'!$E$39*'계산 과정'!$E$32)/J172,"")</x:f>
        <x:v>0.28126562035811964</x:v>
      </x:c>
      <x:c r="M172" s="17" t="n">
        <x:f>IF('계산 과정'!$L$6,IF(J172&lt;=0,0,IF(AND(ABS(K172)&lt;='계산 과정'!$D$11/2,ABS(L172)&lt;='계산 과정'!$D$12/2),1,0)),"")</x:f>
        <x:v>1</x:v>
      </x:c>
      <x:c r="N172" s="17" t="n">
        <x:f>IF('계산 과정'!$C$78,IF(AND(ISNUMBER(H172),ISNUMBER(I172),ABS(H172-'계산 과정'!$C$88)&lt;='계산 과정'!$D$23/2,ABS(I172-'계산 과정'!$C$89)&lt;='계산 과정'!$D$24/2),1,0),"")</x:f>
        <x:v>1</x:v>
      </x:c>
      <x:c r="O172" s="4" t="n">
        <x:f>IF('계산 과정'!$L$7,'계산 과정'!$C$49*('계산 과정'!$C$32-D172)+'계산 과정'!$D$49*('계산 과정'!$D$32-E172)+'계산 과정'!$E$49*'계산 과정'!$E$32,"")</x:f>
        <x:v>-25.1571428413705</x:v>
      </x:c>
      <x:c r="P172" s="4" t="n">
        <x:f>IF(AND('계산 과정'!$L$7,O172&lt;&gt;0),('계산 과정'!$L$23-'계산 과정'!$C$49*D172-'계산 과정'!$D$49*E172)/O172,"")</x:f>
        <x:v>-14.90005679588568</x:v>
      </x:c>
      <x:c r="Q172" s="4" t="str">
        <x:f>IF(AND(ISNUMBER(P172),P172&gt;1E-9,P172&lt;1-1E-9),'계산 과정'!$C$47*(D172-'계산 과정'!$C$50+P172*('계산 과정'!$C$32-D172))+'계산 과정'!$D$47*(E172-'계산 과정'!$D$50+P172*('계산 과정'!$D$32-E172))+'계산 과정'!$E$47*(0-'계산 과정'!$E$50+P172*('계산 과정'!$E$32-0)),"")</x:f>
      </x:c>
      <x:c r="R172" s="4" t="str">
        <x:f>IF(AND(ISNUMBER(P172),P172&gt;1E-9,P172&lt;1-1E-9),'계산 과정'!$C$48*(D172-'계산 과정'!$C$50+P172*('계산 과정'!$C$32-D172))+'계산 과정'!$D$48*(E172-'계산 과정'!$D$50+P172*('계산 과정'!$D$32-E172))+'계산 과정'!$E$48*(0-'계산 과정'!$E$50+P172*('계산 과정'!$E$32-0)),"")</x:f>
      </x:c>
      <x:c r="S172" s="17" t="n">
        <x:f>IF('계산 과정'!$C$78,IF(AND(ISNUMBER(Q172),ISNUMBER(R172),ABS(Q172-'계산 과정'!$C$88)&lt;='계산 과정'!$D$23/2,ABS(R172-'계산 과정'!$C$89)&lt;='계산 과정'!$D$24/2),1,0),"")</x:f>
        <x:v>0</x:v>
      </x:c>
      <x:c r="T172" s="4"/>
      <x:c r="U172" s="4"/>
      <x:c r="V172" s="4"/>
      <x:c r="W172" s="4" t="n">
        <x:f>IF('계산 과정'!$C$77,('계산 과정'!$D$56+'계산 과정'!$D$57*('계산 과정'!$L$11*COS(166*2*PI()/240))+'계산 과정'!$D$58*('계산 과정'!$L$11*SIN(166*2*PI()/240)))/('계산 과정'!$D$59+'계산 과정'!$D$60*('계산 과정'!$L$11*COS(166*2*PI()/240))+'계산 과정'!$D$61*('계산 과정'!$L$11*SIN(166*2*PI()/240))),"")</x:f>
        <x:v>-58.00955770621283</x:v>
      </x:c>
      <x:c r="X172" s="4" t="n">
        <x:f>IF('계산 과정'!$C$77,('계산 과정'!$E$56+'계산 과정'!$E$57*('계산 과정'!$L$11*COS(166*2*PI()/240))+'계산 과정'!$E$58*('계산 과정'!$L$11*SIN(166*2*PI()/240)))/('계산 과정'!$E$59+'계산 과정'!$E$60*('계산 과정'!$L$11*COS(166*2*PI()/240))+'계산 과정'!$E$61*('계산 과정'!$L$11*SIN(166*2*PI()/240))),"")</x:f>
        <x:v>-213.71604466102661</x:v>
      </x:c>
      <x:c r="Y172" s="4" t="str">
        <x:f>""</x:f>
      </x:c>
      <x:c r="Z172" s="4" t="str">
        <x:f>""</x:f>
      </x:c>
    </x:row>
    <x:row r="173" ht="23" customHeight="1">
      <x:c r="A173" s="17" t="n">
        <x:f>ROW()-6</x:f>
        <x:v>167</x:v>
      </x:c>
      <x:c r="B173" s="4" t="n">
        <x:f>IF('계산 과정'!$L$5,'계산 과정'!$L$11*SQRT((A173+0.5)/'계산 과정'!$L$30),"")</x:f>
        <x:v>42.89766847903857</x:v>
      </x:c>
      <x:c r="C173" s="4" t="n">
        <x:f>A173*PI()*(3-SQRT(5))</x:f>
        <x:v>400.7938593646851</x:v>
      </x:c>
      <x:c r="D173" s="4" t="n">
        <x:f>IF('계산 과정'!$L$5,B173*COS(C173),"")</x:f>
        <x:v>10.230054398668779</x:v>
      </x:c>
      <x:c r="E173" s="4" t="n">
        <x:f>IF('계산 과정'!$L$5,B173*SIN(C173),"")</x:f>
        <x:v>-41.660004175921266</x:v>
      </x:c>
      <x:c r="F173" s="4" t="n">
        <x:f>IF('계산 과정'!$L$7,'계산 과정'!$L$22+'계산 과정'!$C$49*D173+'계산 과정'!$D$49*E173,"")</x:f>
        <x:v>642.7662591627941</x:v>
      </x:c>
      <x:c r="G173" s="4" t="n">
        <x:f>IF('계산 과정'!$L$7,IF(ABS(F173)&gt;=1E-12*MAX(1,SQRT((D173-'계산 과정'!$C$33)^2+(E173-'계산 과정'!$D$33)^2+'계산 과정'!$E$33^2)),('계산 과정'!$L$23-'계산 과정'!$C$49*D173-'계산 과정'!$D$49*E173)/F173,""),"")</x:f>
        <x:v>0.6335642778879367</x:v>
      </x:c>
      <x:c r="H173" s="4" t="n">
        <x:f>IF(AND(ISNUMBER(G173),G173&gt;0),('계산 과정'!$D$56+'계산 과정'!$D$57*D173+'계산 과정'!$D$58*E173)/F173,"")</x:f>
        <x:v>11.816780627158723</x:v>
      </x:c>
      <x:c r="I173" s="4" t="n">
        <x:f>IF(AND(ISNUMBER(G173),G173&gt;0),('계산 과정'!$E$56+'계산 과정'!$E$57*D173+'계산 과정'!$E$58*E173)/F173,"")</x:f>
        <x:v>-68.05429463844725</x:v>
      </x:c>
      <x:c r="J173" s="4" t="n">
        <x:f>IF('계산 과정'!$L$5,'계산 과정'!$D$6+'계산 과정'!$C$35*D173+'계산 과정'!$D$35*E173,"")</x:f>
        <x:v>642.7662591627941</x:v>
      </x:c>
      <x:c r="K173" s="4" t="n">
        <x:f>IF(AND('계산 과정'!$L$6,J173&gt;0),'계산 과정'!$D$10*('계산 과정'!$C$38*(D173-'계산 과정'!$C$32)+'계산 과정'!$D$38*(E173-'계산 과정'!$D$32)-'계산 과정'!$E$38*'계산 과정'!$E$32)/J173,"")</x:f>
        <x:v>0.09003261430216267</x:v>
      </x:c>
      <x:c r="L173" s="4" t="n">
        <x:f>IF(AND('계산 과정'!$L$6,J173&gt;0),'계산 과정'!$D$10*('계산 과정'!$C$39*(D173-'계산 과정'!$C$32)+'계산 과정'!$D$39*(E173-'계산 과정'!$D$32)-'계산 과정'!$E$39*'계산 과정'!$E$32)/J173,"")</x:f>
        <x:v>-0.5185089115310266</x:v>
      </x:c>
      <x:c r="M173" s="17" t="n">
        <x:f>IF('계산 과정'!$L$6,IF(J173&lt;=0,0,IF(AND(ABS(K173)&lt;='계산 과정'!$D$11/2,ABS(L173)&lt;='계산 과정'!$D$12/2),1,0)),"")</x:f>
        <x:v>1</x:v>
      </x:c>
      <x:c r="N173" s="17" t="n">
        <x:f>IF('계산 과정'!$C$78,IF(AND(ISNUMBER(H173),ISNUMBER(I173),ABS(H173-'계산 과정'!$C$88)&lt;='계산 과정'!$D$23/2,ABS(I173-'계산 과정'!$C$89)&lt;='계산 과정'!$D$24/2),1,0),"")</x:f>
        <x:v>1</x:v>
      </x:c>
      <x:c r="O173" s="4" t="n">
        <x:f>IF('계산 과정'!$L$7,'계산 과정'!$C$49*('계산 과정'!$C$32-D173)+'계산 과정'!$D$49*('계산 과정'!$D$32-E173)+'계산 과정'!$E$49*'계산 과정'!$E$32,"")</x:f>
        <x:v>7.233740837206085</x:v>
      </x:c>
      <x:c r="P173" s="4" t="n">
        <x:f>IF(AND('계산 과정'!$L$7,O173&lt;&gt;0),('계산 과정'!$L$23-'계산 과정'!$C$49*D173-'계산 과정'!$D$49*E173)/O173,"")</x:f>
        <x:v>56.29642393913761</x:v>
      </x:c>
      <x:c r="Q173" s="4" t="str">
        <x:f>IF(AND(ISNUMBER(P173),P173&gt;1E-9,P173&lt;1-1E-9),'계산 과정'!$C$47*(D173-'계산 과정'!$C$50+P173*('계산 과정'!$C$32-D173))+'계산 과정'!$D$47*(E173-'계산 과정'!$D$50+P173*('계산 과정'!$D$32-E173))+'계산 과정'!$E$47*(0-'계산 과정'!$E$50+P173*('계산 과정'!$E$32-0)),"")</x:f>
      </x:c>
      <x:c r="R173" s="4" t="str">
        <x:f>IF(AND(ISNUMBER(P173),P173&gt;1E-9,P173&lt;1-1E-9),'계산 과정'!$C$48*(D173-'계산 과정'!$C$50+P173*('계산 과정'!$C$32-D173))+'계산 과정'!$D$48*(E173-'계산 과정'!$D$50+P173*('계산 과정'!$D$32-E173))+'계산 과정'!$E$48*(0-'계산 과정'!$E$50+P173*('계산 과정'!$E$32-0)),"")</x:f>
      </x:c>
      <x:c r="S173" s="17" t="n">
        <x:f>IF('계산 과정'!$C$78,IF(AND(ISNUMBER(Q173),ISNUMBER(R173),ABS(Q173-'계산 과정'!$C$88)&lt;='계산 과정'!$D$23/2,ABS(R173-'계산 과정'!$C$89)&lt;='계산 과정'!$D$24/2),1,0),"")</x:f>
        <x:v>0</x:v>
      </x:c>
      <x:c r="T173" s="4"/>
      <x:c r="U173" s="4"/>
      <x:c r="V173" s="4"/>
      <x:c r="W173" s="4" t="n">
        <x:f>IF('계산 과정'!$C$77,('계산 과정'!$D$56+'계산 과정'!$D$57*('계산 과정'!$L$11*COS(167*2*PI()/240))+'계산 과정'!$D$58*('계산 과정'!$L$11*SIN(167*2*PI()/240)))/('계산 과정'!$D$59+'계산 과정'!$D$60*('계산 과정'!$L$11*COS(167*2*PI()/240))+'계산 과정'!$D$61*('계산 과정'!$L$11*SIN(167*2*PI()/240))),"")</x:f>
        <x:v>-54.23918949298064</x:v>
      </x:c>
      <x:c r="X173" s="4" t="n">
        <x:f>IF('계산 과정'!$C$77,('계산 과정'!$E$56+'계산 과정'!$E$57*('계산 과정'!$L$11*COS(167*2*PI()/240))+'계산 과정'!$E$58*('계산 과정'!$L$11*SIN(167*2*PI()/240)))/('계산 과정'!$E$59+'계산 과정'!$E$60*('계산 과정'!$L$11*COS(167*2*PI()/240))+'계산 과정'!$E$61*('계산 과정'!$L$11*SIN(167*2*PI()/240))),"")</x:f>
        <x:v>-216.61048965865228</x:v>
      </x:c>
      <x:c r="Y173" s="4" t="str">
        <x:f>""</x:f>
      </x:c>
      <x:c r="Z173" s="4" t="str">
        <x:f>""</x:f>
      </x:c>
    </x:row>
    <x:row r="174" ht="23" customHeight="1">
      <x:c r="A174" s="17" t="n">
        <x:f>ROW()-6</x:f>
        <x:v>168</x:v>
      </x:c>
      <x:c r="B174" s="4" t="n">
        <x:f>IF('계산 과정'!$L$5,'계산 과정'!$L$11*SQRT((A174+0.5)/'계산 과정'!$L$30),"")</x:f>
        <x:v>43.02553066566989</x:v>
      </x:c>
      <x:c r="C174" s="4" t="n">
        <x:f>A174*PI()*(3-SQRT(5))</x:f>
        <x:v>403.1938225944137</x:v>
      </x:c>
      <x:c r="D174" s="4" t="n">
        <x:f>IF('계산 과정'!$L$5,B174*COS(C174),"")</x:f>
        <x:v>20.658998636089006</x:v>
      </x:c>
      <x:c r="E174" s="4" t="n">
        <x:f>IF('계산 과정'!$L$5,B174*SIN(C174),"")</x:f>
        <x:v>37.741251495102446</x:v>
      </x:c>
      <x:c r="F174" s="4" t="n">
        <x:f>IF('계산 과정'!$L$7,'계산 과정'!$L$22+'계산 과정'!$C$49*D174+'계산 과정'!$D$49*E174,"")</x:f>
        <x:v>635.3918819718979</x:v>
      </x:c>
      <x:c r="G174" s="4" t="n">
        <x:f>IF('계산 과정'!$L$7,IF(ABS(F174)&gt;=1E-12*MAX(1,SQRT((D174-'계산 과정'!$C$33)^2+(E174-'계산 과정'!$D$33)^2+'계산 과정'!$E$33^2)),('계산 과정'!$L$23-'계산 과정'!$C$49*D174-'계산 과정'!$D$49*E174)/F174,""),"")</x:f>
        <x:v>0.6525234737677046</x:v>
      </x:c>
      <x:c r="H174" s="4" t="n">
        <x:f>IF(AND(ISNUMBER(G174),G174&gt;0),('계산 과정'!$D$56+'계산 과정'!$D$57*D174+'계산 과정'!$D$58*E174)/F174,"")</x:f>
        <x:v>24.14025794900792</x:v>
      </x:c>
      <x:c r="I174" s="4" t="n">
        <x:f>IF(AND(ISNUMBER(G174),G174&gt;0),('계산 과정'!$E$56+'계산 과정'!$E$57*D174+'계산 과정'!$E$58*E174)/F174,"")</x:f>
        <x:v>62.368304025027264</x:v>
      </x:c>
      <x:c r="J174" s="4" t="n">
        <x:f>IF('계산 과정'!$L$5,'계산 과정'!$D$6+'계산 과정'!$C$35*D174+'계산 과정'!$D$35*E174,"")</x:f>
        <x:v>635.3918819718979</x:v>
      </x:c>
      <x:c r="K174" s="4" t="n">
        <x:f>IF(AND('계산 과정'!$L$6,J174&gt;0),'계산 과정'!$D$10*('계산 과정'!$C$38*(D174-'계산 과정'!$C$32)+'계산 과정'!$D$38*(E174-'계산 과정'!$D$32)-'계산 과정'!$E$38*'계산 과정'!$E$32)/J174,"")</x:f>
        <x:v>0.18392577484958514</x:v>
      </x:c>
      <x:c r="L174" s="4" t="n">
        <x:f>IF(AND('계산 과정'!$L$6,J174&gt;0),'계산 과정'!$D$10*('계산 과정'!$C$39*(D174-'계산 과정'!$C$32)+'계산 과정'!$D$39*(E174-'계산 과정'!$D$32)-'계산 과정'!$E$39*'계산 과정'!$E$32)/J174,"")</x:f>
        <x:v>0.47518707828592205</x:v>
      </x:c>
      <x:c r="M174" s="17" t="n">
        <x:f>IF('계산 과정'!$L$6,IF(J174&lt;=0,0,IF(AND(ABS(K174)&lt;='계산 과정'!$D$11/2,ABS(L174)&lt;='계산 과정'!$D$12/2),1,0)),"")</x:f>
        <x:v>1</x:v>
      </x:c>
      <x:c r="N174" s="17" t="n">
        <x:f>IF('계산 과정'!$C$78,IF(AND(ISNUMBER(H174),ISNUMBER(I174),ABS(H174-'계산 과정'!$C$88)&lt;='계산 과정'!$D$23/2,ABS(I174-'계산 과정'!$C$89)&lt;='계산 과정'!$D$24/2),1,0),"")</x:f>
        <x:v>1</x:v>
      </x:c>
      <x:c r="O174" s="4" t="n">
        <x:f>IF('계산 과정'!$L$7,'계산 과정'!$C$49*('계산 과정'!$C$32-D174)+'계산 과정'!$D$49*('계산 과정'!$D$32-E174)+'계산 과정'!$E$49*'계산 과정'!$E$32,"")</x:f>
        <x:v>14.608118028102297</x:v>
      </x:c>
      <x:c r="P174" s="4" t="n">
        <x:f>IF(AND('계산 과정'!$L$7,O174&lt;&gt;0),('계산 과정'!$L$23-'계산 과정'!$C$49*D174-'계산 과정'!$D$49*E174)/O174,"")</x:f>
        <x:v>28.38203505958138</x:v>
      </x:c>
      <x:c r="Q174" s="4" t="str">
        <x:f>IF(AND(ISNUMBER(P174),P174&gt;1E-9,P174&lt;1-1E-9),'계산 과정'!$C$47*(D174-'계산 과정'!$C$50+P174*('계산 과정'!$C$32-D174))+'계산 과정'!$D$47*(E174-'계산 과정'!$D$50+P174*('계산 과정'!$D$32-E174))+'계산 과정'!$E$47*(0-'계산 과정'!$E$50+P174*('계산 과정'!$E$32-0)),"")</x:f>
      </x:c>
      <x:c r="R174" s="4" t="str">
        <x:f>IF(AND(ISNUMBER(P174),P174&gt;1E-9,P174&lt;1-1E-9),'계산 과정'!$C$48*(D174-'계산 과정'!$C$50+P174*('계산 과정'!$C$32-D174))+'계산 과정'!$D$48*(E174-'계산 과정'!$D$50+P174*('계산 과정'!$D$32-E174))+'계산 과정'!$E$48*(0-'계산 과정'!$E$50+P174*('계산 과정'!$E$32-0)),"")</x:f>
      </x:c>
      <x:c r="S174" s="17" t="n">
        <x:f>IF('계산 과정'!$C$78,IF(AND(ISNUMBER(Q174),ISNUMBER(R174),ABS(Q174-'계산 과정'!$C$88)&lt;='계산 과정'!$D$23/2,ABS(R174-'계산 과정'!$C$89)&lt;='계산 과정'!$D$24/2),1,0),"")</x:f>
        <x:v>0</x:v>
      </x:c>
      <x:c r="T174" s="4"/>
      <x:c r="U174" s="4"/>
      <x:c r="V174" s="4"/>
      <x:c r="W174" s="4" t="n">
        <x:f>IF('계산 과정'!$C$77,('계산 과정'!$D$56+'계산 과정'!$D$57*('계산 과정'!$L$11*COS(168*2*PI()/240))+'계산 과정'!$D$58*('계산 과정'!$L$11*SIN(168*2*PI()/240)))/('계산 과정'!$D$59+'계산 과정'!$D$60*('계산 과정'!$L$11*COS(168*2*PI()/240))+'계산 과정'!$D$61*('계산 과정'!$L$11*SIN(168*2*PI()/240))),"")</x:f>
        <x:v>-50.40452762255027</x:v>
      </x:c>
      <x:c r="X174" s="4" t="n">
        <x:f>IF('계산 과정'!$C$77,('계산 과정'!$E$56+'계산 과정'!$E$57*('계산 과정'!$L$11*COS(168*2*PI()/240))+'계산 과정'!$E$58*('계산 과정'!$L$11*SIN(168*2*PI()/240)))/('계산 과정'!$E$59+'계산 과정'!$E$60*('계산 과정'!$L$11*COS(168*2*PI()/240))+'계산 과정'!$E$61*('계산 과정'!$L$11*SIN(168*2*PI()/240))),"")</x:f>
        <x:v>-219.38579715316288</x:v>
      </x:c>
      <x:c r="Y174" s="4" t="str">
        <x:f>""</x:f>
      </x:c>
      <x:c r="Z174" s="4" t="str">
        <x:f>""</x:f>
      </x:c>
    </x:row>
    <x:row r="175" ht="23" customHeight="1">
      <x:c r="A175" s="17" t="n">
        <x:f>ROW()-6</x:f>
        <x:v>169</x:v>
      </x:c>
      <x:c r="B175" s="4" t="n">
        <x:f>IF('계산 과정'!$L$5,'계산 과정'!$L$11*SQRT((A175+0.5)/'계산 과정'!$L$30),"")</x:f>
        <x:v>43.15301399887961</x:v>
      </x:c>
      <x:c r="C175" s="4" t="n">
        <x:f>A175*PI()*(3-SQRT(5))</x:f>
        <x:v>405.59378582414234</x:v>
      </x:c>
      <x:c r="D175" s="4" t="n">
        <x:f>IF('계산 과정'!$L$5,B175*COS(C175),"")</x:f>
        <x:v>-40.84782503134779</x:v>
      </x:c>
      <x:c r="E175" s="4" t="n">
        <x:f>IF('계산 과정'!$L$5,B175*SIN(C175),"")</x:f>
        <x:v>-13.915380246184307</x:v>
      </x:c>
      <x:c r="F175" s="4" t="n">
        <x:f>IF('계산 과정'!$L$7,'계산 과정'!$L$22+'계산 과정'!$C$49*D175+'계산 과정'!$D$49*E175,"")</x:f>
        <x:v>678.8837740763876</x:v>
      </x:c>
      <x:c r="G175" s="4" t="n">
        <x:f>IF('계산 과정'!$L$7,IF(ABS(F175)&gt;=1E-12*MAX(1,SQRT((D175-'계산 과정'!$C$33)^2+(E175-'계산 과정'!$D$33)^2+'계산 과정'!$E$33^2)),('계산 과정'!$L$23-'계산 과정'!$C$49*D175-'계산 과정'!$D$49*E175)/F175,""),"")</x:f>
        <x:v>0.5466564971721575</x:v>
      </x:c>
      <x:c r="H175" s="4" t="n">
        <x:f>IF(AND(ISNUMBER(G175),G175&gt;0),('계산 과정'!$D$56+'계산 과정'!$D$57*D175+'계산 과정'!$D$58*E175)/F175,"")</x:f>
        <x:v>-44.67327683809777</x:v>
      </x:c>
      <x:c r="I175" s="4" t="n">
        <x:f>IF(AND(ISNUMBER(G175),G175&gt;0),('계산 과정'!$E$56+'계산 과정'!$E$57*D175+'계산 과정'!$E$58*E175)/F175,"")</x:f>
        <x:v>-21.522313268382057</x:v>
      </x:c>
      <x:c r="J175" s="4" t="n">
        <x:f>IF('계산 과정'!$L$5,'계산 과정'!$D$6+'계산 과정'!$C$35*D175+'계산 과정'!$D$35*E175,"")</x:f>
        <x:v>678.8837740763876</x:v>
      </x:c>
      <x:c r="K175" s="4" t="n">
        <x:f>IF(AND('계산 과정'!$L$6,J175&gt;0),'계산 과정'!$D$10*('계산 과정'!$C$38*(D175-'계산 과정'!$C$32)+'계산 과정'!$D$38*(E175-'계산 과정'!$D$32)-'계산 과정'!$E$38*'계산 과정'!$E$32)/J175,"")</x:f>
        <x:v>-0.3403678235283631</x:v>
      </x:c>
      <x:c r="L175" s="4" t="n">
        <x:f>IF(AND('계산 과정'!$L$6,J175&gt;0),'계산 과정'!$D$10*('계산 과정'!$C$39*(D175-'계산 과정'!$C$32)+'계산 과정'!$D$39*(E175-'계산 과정'!$D$32)-'계산 과정'!$E$39*'계산 과정'!$E$32)/J175,"")</x:f>
        <x:v>-0.16397952966386328</x:v>
      </x:c>
      <x:c r="M175" s="17" t="n">
        <x:f>IF('계산 과정'!$L$6,IF(J175&lt;=0,0,IF(AND(ABS(K175)&lt;='계산 과정'!$D$11/2,ABS(L175)&lt;='계산 과정'!$D$12/2),1,0)),"")</x:f>
        <x:v>1</x:v>
      </x:c>
      <x:c r="N175" s="17" t="n">
        <x:f>IF('계산 과정'!$C$78,IF(AND(ISNUMBER(H175),ISNUMBER(I175),ABS(H175-'계산 과정'!$C$88)&lt;='계산 과정'!$D$23/2,ABS(I175-'계산 과정'!$C$89)&lt;='계산 과정'!$D$24/2),1,0),"")</x:f>
        <x:v>1</x:v>
      </x:c>
      <x:c r="O175" s="4" t="n">
        <x:f>IF('계산 과정'!$L$7,'계산 과정'!$C$49*('계산 과정'!$C$32-D175)+'계산 과정'!$D$49*('계산 과정'!$D$32-E175)+'계산 과정'!$E$49*'계산 과정'!$E$32,"")</x:f>
        <x:v>-28.88377407638751</x:v>
      </x:c>
      <x:c r="P175" s="4" t="n">
        <x:f>IF(AND('계산 과정'!$L$7,O175&lt;&gt;0),('계산 과정'!$L$23-'계산 과정'!$C$49*D175-'계산 과정'!$D$49*E175)/O175,"")</x:f>
        <x:v>-12.848605758448995</x:v>
      </x:c>
      <x:c r="Q175" s="4" t="str">
        <x:f>IF(AND(ISNUMBER(P175),P175&gt;1E-9,P175&lt;1-1E-9),'계산 과정'!$C$47*(D175-'계산 과정'!$C$50+P175*('계산 과정'!$C$32-D175))+'계산 과정'!$D$47*(E175-'계산 과정'!$D$50+P175*('계산 과정'!$D$32-E175))+'계산 과정'!$E$47*(0-'계산 과정'!$E$50+P175*('계산 과정'!$E$32-0)),"")</x:f>
      </x:c>
      <x:c r="R175" s="4" t="str">
        <x:f>IF(AND(ISNUMBER(P175),P175&gt;1E-9,P175&lt;1-1E-9),'계산 과정'!$C$48*(D175-'계산 과정'!$C$50+P175*('계산 과정'!$C$32-D175))+'계산 과정'!$D$48*(E175-'계산 과정'!$D$50+P175*('계산 과정'!$D$32-E175))+'계산 과정'!$E$48*(0-'계산 과정'!$E$50+P175*('계산 과정'!$E$32-0)),"")</x:f>
      </x:c>
      <x:c r="S175" s="17" t="n">
        <x:f>IF('계산 과정'!$C$78,IF(AND(ISNUMBER(Q175),ISNUMBER(R175),ABS(Q175-'계산 과정'!$C$88)&lt;='계산 과정'!$D$23/2,ABS(R175-'계산 과정'!$C$89)&lt;='계산 과정'!$D$24/2),1,0),"")</x:f>
        <x:v>0</x:v>
      </x:c>
      <x:c r="T175" s="4"/>
      <x:c r="U175" s="4"/>
      <x:c r="V175" s="4"/>
      <x:c r="W175" s="4" t="n">
        <x:f>IF('계산 과정'!$C$77,('계산 과정'!$D$56+'계산 과정'!$D$57*('계산 과정'!$L$11*COS(169*2*PI()/240))+'계산 과정'!$D$58*('계산 과정'!$L$11*SIN(169*2*PI()/240)))/('계산 과정'!$D$59+'계산 과정'!$D$60*('계산 과정'!$L$11*COS(169*2*PI()/240))+'계산 과정'!$D$61*('계산 과정'!$L$11*SIN(169*2*PI()/240))),"")</x:f>
        <x:v>-46.50707480550503</x:v>
      </x:c>
      <x:c r="X175" s="4" t="n">
        <x:f>IF('계산 과정'!$C$77,('계산 과정'!$E$56+'계산 과정'!$E$57*('계산 과정'!$L$11*COS(169*2*PI()/240))+'계산 과정'!$E$58*('계산 과정'!$L$11*SIN(169*2*PI()/240)))/('계산 과정'!$E$59+'계산 과정'!$E$60*('계산 과정'!$L$11*COS(169*2*PI()/240))+'계산 과정'!$E$61*('계산 과정'!$L$11*SIN(169*2*PI()/240))),"")</x:f>
        <x:v>-222.03895857163687</x:v>
      </x:c>
      <x:c r="Y175" s="4" t="str">
        <x:f>""</x:f>
      </x:c>
      <x:c r="Z175" s="4" t="str">
        <x:f>""</x:f>
      </x:c>
    </x:row>
    <x:row r="176" ht="23" customHeight="1">
      <x:c r="A176" s="17" t="n">
        <x:f>ROW()-6</x:f>
        <x:v>170</x:v>
      </x:c>
      <x:c r="B176" s="4" t="n">
        <x:f>IF('계산 과정'!$L$5,'계산 과정'!$L$11*SQRT((A176+0.5)/'계산 과정'!$L$30),"")</x:f>
        <x:v>43.28012182645169</x:v>
      </x:c>
      <x:c r="C176" s="4" t="n">
        <x:f>A176*PI()*(3-SQRT(5))</x:f>
        <x:v>407.993749053871</x:v>
      </x:c>
      <x:c r="D176" s="4" t="n">
        <x:f>IF('계산 과정'!$L$5,B176*COS(C176),"")</x:f>
        <x:v>39.63602482317937</x:v>
      </x:c>
      <x:c r="E176" s="4" t="n">
        <x:f>IF('계산 과정'!$L$5,B176*SIN(C176),"")</x:f>
        <x:v>-17.38259133526439</x:v>
      </x:c>
      <x:c r="F176" s="4" t="n">
        <x:f>IF('계산 과정'!$L$7,'계산 과정'!$L$22+'계산 과정'!$C$49*D176+'계산 과정'!$D$49*E176,"")</x:f>
        <x:v>621.9730980682515</x:v>
      </x:c>
      <x:c r="G176" s="4" t="n">
        <x:f>IF('계산 과정'!$L$7,IF(ABS(F176)&gt;=1E-12*MAX(1,SQRT((D176-'계산 과정'!$C$33)^2+(E176-'계산 과정'!$D$33)^2+'계산 과정'!$E$33^2)),('계산 과정'!$L$23-'계산 과정'!$C$49*D176-'계산 과정'!$D$49*E176)/F176,""),"")</x:f>
        <x:v>0.6881759086705378</x:v>
      </x:c>
      <x:c r="H176" s="4" t="n">
        <x:f>IF(AND(ISNUMBER(G176),G176&gt;0),('계산 과정'!$D$56+'계산 과정'!$D$57*D176+'계산 과정'!$D$58*E176)/F176,"")</x:f>
        <x:v>47.314340635849405</x:v>
      </x:c>
      <x:c r="I176" s="4" t="n">
        <x:f>IF(AND(ISNUMBER(G176),G176&gt;0),('계산 과정'!$E$56+'계산 과정'!$E$57*D176+'계산 과정'!$E$58*E176)/F176,"")</x:f>
        <x:v>-29.34487192245858</x:v>
      </x:c>
      <x:c r="J176" s="4" t="n">
        <x:f>IF('계산 과정'!$L$5,'계산 과정'!$D$6+'계산 과정'!$C$35*D176+'계산 과정'!$D$35*E176,"")</x:f>
        <x:v>621.9730980682515</x:v>
      </x:c>
      <x:c r="K176" s="4" t="n">
        <x:f>IF(AND('계산 과정'!$L$6,J176&gt;0),'계산 과정'!$D$10*('계산 과정'!$C$38*(D176-'계산 과정'!$C$32)+'계산 과정'!$D$38*(E176-'계산 과정'!$D$32)-'계산 과정'!$E$38*'계산 과정'!$E$32)/J176,"")</x:f>
        <x:v>0.36049021436837714</x:v>
      </x:c>
      <x:c r="L176" s="4" t="n">
        <x:f>IF(AND('계산 과정'!$L$6,J176&gt;0),'계산 과정'!$D$10*('계산 과정'!$C$39*(D176-'계산 과정'!$C$32)+'계산 과정'!$D$39*(E176-'계산 과정'!$D$32)-'계산 과정'!$E$39*'계산 과정'!$E$32)/J176,"")</x:f>
        <x:v>-0.22357997655206538</x:v>
      </x:c>
      <x:c r="M176" s="17" t="n">
        <x:f>IF('계산 과정'!$L$6,IF(J176&lt;=0,0,IF(AND(ABS(K176)&lt;='계산 과정'!$D$11/2,ABS(L176)&lt;='계산 과정'!$D$12/2),1,0)),"")</x:f>
        <x:v>1</x:v>
      </x:c>
      <x:c r="N176" s="17" t="n">
        <x:f>IF('계산 과정'!$C$78,IF(AND(ISNUMBER(H176),ISNUMBER(I176),ABS(H176-'계산 과정'!$C$88)&lt;='계산 과정'!$D$23/2,ABS(I176-'계산 과정'!$C$89)&lt;='계산 과정'!$D$24/2),1,0),"")</x:f>
        <x:v>1</x:v>
      </x:c>
      <x:c r="O176" s="4" t="n">
        <x:f>IF('계산 과정'!$L$7,'계산 과정'!$C$49*('계산 과정'!$C$32-D176)+'계산 과정'!$D$49*('계산 과정'!$D$32-E176)+'계산 과정'!$E$49*'계산 과정'!$E$32,"")</x:f>
        <x:v>28.02690193174857</x:v>
      </x:c>
      <x:c r="P176" s="4" t="n">
        <x:f>IF(AND('계산 과정'!$L$7,O176&lt;&gt;0),('계산 과정'!$L$23-'계산 과정'!$C$49*D176-'계산 과정'!$D$49*E176)/O176,"")</x:f>
        <x:v>15.272001984881685</x:v>
      </x:c>
      <x:c r="Q176" s="4" t="str">
        <x:f>IF(AND(ISNUMBER(P176),P176&gt;1E-9,P176&lt;1-1E-9),'계산 과정'!$C$47*(D176-'계산 과정'!$C$50+P176*('계산 과정'!$C$32-D176))+'계산 과정'!$D$47*(E176-'계산 과정'!$D$50+P176*('계산 과정'!$D$32-E176))+'계산 과정'!$E$47*(0-'계산 과정'!$E$50+P176*('계산 과정'!$E$32-0)),"")</x:f>
      </x:c>
      <x:c r="R176" s="4" t="str">
        <x:f>IF(AND(ISNUMBER(P176),P176&gt;1E-9,P176&lt;1-1E-9),'계산 과정'!$C$48*(D176-'계산 과정'!$C$50+P176*('계산 과정'!$C$32-D176))+'계산 과정'!$D$48*(E176-'계산 과정'!$D$50+P176*('계산 과정'!$D$32-E176))+'계산 과정'!$E$48*(0-'계산 과정'!$E$50+P176*('계산 과정'!$E$32-0)),"")</x:f>
      </x:c>
      <x:c r="S176" s="17" t="n">
        <x:f>IF('계산 과정'!$C$78,IF(AND(ISNUMBER(Q176),ISNUMBER(R176),ABS(Q176-'계산 과정'!$C$88)&lt;='계산 과정'!$D$23/2,ABS(R176-'계산 과정'!$C$89)&lt;='계산 과정'!$D$24/2),1,0),"")</x:f>
        <x:v>0</x:v>
      </x:c>
      <x:c r="T176" s="4"/>
      <x:c r="U176" s="4"/>
      <x:c r="V176" s="4"/>
      <x:c r="W176" s="4" t="n">
        <x:f>IF('계산 과정'!$C$77,('계산 과정'!$D$56+'계산 과정'!$D$57*('계산 과정'!$L$11*COS(170*2*PI()/240))+'계산 과정'!$D$58*('계산 과정'!$L$11*SIN(170*2*PI()/240)))/('계산 과정'!$D$59+'계산 과정'!$D$60*('계산 과정'!$L$11*COS(170*2*PI()/240))+'계산 과정'!$D$61*('계산 과정'!$L$11*SIN(170*2*PI()/240))),"")</x:f>
        <x:v>-42.548408710944535</x:v>
      </x:c>
      <x:c r="X176" s="4" t="n">
        <x:f>IF('계산 과정'!$C$77,('계산 과정'!$E$56+'계산 과정'!$E$57*('계산 과정'!$L$11*COS(170*2*PI()/240))+'계산 과정'!$E$58*('계산 과정'!$L$11*SIN(170*2*PI()/240)))/('계산 과정'!$E$59+'계산 과정'!$E$60*('계산 과정'!$L$11*COS(170*2*PI()/240))+'계산 과정'!$E$61*('계산 과정'!$L$11*SIN(170*2*PI()/240))),"")</x:f>
        <x:v>-224.56696402202718</x:v>
      </x:c>
      <x:c r="Y176" s="4" t="str">
        <x:f>""</x:f>
      </x:c>
      <x:c r="Z176" s="4" t="str">
        <x:f>""</x:f>
      </x:c>
    </x:row>
    <x:row r="177" ht="23" customHeight="1">
      <x:c r="A177" s="17" t="n">
        <x:f>ROW()-6</x:f>
        <x:v>171</x:v>
      </x:c>
      <x:c r="B177" s="4" t="n">
        <x:f>IF('계산 과정'!$L$5,'계산 과정'!$L$11*SQRT((A177+0.5)/'계산 과정'!$L$30),"")</x:f>
        <x:v>43.40685744715344</x:v>
      </x:c>
      <x:c r="C177" s="4" t="n">
        <x:f>A177*PI()*(3-SQRT(5))</x:f>
        <x:v>410.39371228359965</x:v>
      </x:c>
      <x:c r="D177" s="4" t="n">
        <x:f>IF('계산 과정'!$L$5,B177*COS(C177),"")</x:f>
        <x:v>-17.535798941509487</x:v>
      </x:c>
      <x:c r="E177" s="4" t="n">
        <x:f>IF('계산 과정'!$L$5,B177*SIN(C177),"")</x:f>
        <x:v>39.707065226738365</x:v>
      </x:c>
      <x:c r="F177" s="4" t="n">
        <x:f>IF('계산 과정'!$L$7,'계산 과정'!$L$22+'계산 과정'!$C$49*D177+'계산 과정'!$D$49*E177,"")</x:f>
        <x:v>662.3996823450652</x:v>
      </x:c>
      <x:c r="G177" s="4" t="n">
        <x:f>IF('계산 과정'!$L$7,IF(ABS(F177)&gt;=1E-12*MAX(1,SQRT((D177-'계산 과정'!$C$33)^2+(E177-'계산 과정'!$D$33)^2+'계산 과정'!$E$33^2)),('계산 과정'!$L$23-'계산 과정'!$C$49*D177-'계산 과정'!$D$49*E177)/F177,""),"")</x:f>
        <x:v>0.5851456876952748</x:v>
      </x:c>
      <x:c r="H177" s="4" t="n">
        <x:f>IF(AND(ISNUMBER(G177),G177&gt;0),('계산 과정'!$D$56+'계산 과정'!$D$57*D177+'계산 과정'!$D$58*E177)/F177,"")</x:f>
        <x:v>-19.655302998071516</x:v>
      </x:c>
      <x:c r="I177" s="4" t="n">
        <x:f>IF(AND(ISNUMBER(G177),G177&gt;0),('계산 과정'!$E$56+'계산 과정'!$E$57*D177+'계산 과정'!$E$58*E177)/F177,"")</x:f>
        <x:v>62.94148321519931</x:v>
      </x:c>
      <x:c r="J177" s="4" t="n">
        <x:f>IF('계산 과정'!$L$5,'계산 과정'!$D$6+'계산 과정'!$C$35*D177+'계산 과정'!$D$35*E177,"")</x:f>
        <x:v>662.3996823450652</x:v>
      </x:c>
      <x:c r="K177" s="4" t="n">
        <x:f>IF(AND('계산 과정'!$L$6,J177&gt;0),'계산 과정'!$D$10*('계산 과정'!$C$38*(D177-'계산 과정'!$C$32)+'계산 과정'!$D$38*(E177-'계산 과정'!$D$32)-'계산 과정'!$E$38*'계산 과정'!$E$32)/J177,"")</x:f>
        <x:v>-0.1497546895091153</x:v>
      </x:c>
      <x:c r="L177" s="4" t="n">
        <x:f>IF(AND('계산 과정'!$L$6,J177&gt;0),'계산 과정'!$D$10*('계산 과정'!$C$39*(D177-'계산 과정'!$C$32)+'계산 과정'!$D$39*(E177-'계산 과정'!$D$32)-'계산 과정'!$E$39*'계산 과정'!$E$32)/J177,"")</x:f>
        <x:v>0.47955415783009003</x:v>
      </x:c>
      <x:c r="M177" s="17" t="n">
        <x:f>IF('계산 과정'!$L$6,IF(J177&lt;=0,0,IF(AND(ABS(K177)&lt;='계산 과정'!$D$11/2,ABS(L177)&lt;='계산 과정'!$D$12/2),1,0)),"")</x:f>
        <x:v>1</x:v>
      </x:c>
      <x:c r="N177" s="17" t="n">
        <x:f>IF('계산 과정'!$C$78,IF(AND(ISNUMBER(H177),ISNUMBER(I177),ABS(H177-'계산 과정'!$C$88)&lt;='계산 과정'!$D$23/2,ABS(I177-'계산 과정'!$C$89)&lt;='계산 과정'!$D$24/2),1,0),"")</x:f>
        <x:v>1</x:v>
      </x:c>
      <x:c r="O177" s="4" t="n">
        <x:f>IF('계산 과정'!$L$7,'계산 과정'!$C$49*('계산 과정'!$C$32-D177)+'계산 과정'!$D$49*('계산 과정'!$D$32-E177)+'계산 과정'!$E$49*'계산 과정'!$E$32,"")</x:f>
        <x:v>-12.399682345065116</x:v>
      </x:c>
      <x:c r="P177" s="4" t="n">
        <x:f>IF(AND('계산 과정'!$L$7,O177&lt;&gt;0),('계산 과정'!$L$23-'계산 과정'!$C$49*D177-'계산 과정'!$D$49*E177)/O177,"")</x:f>
        <x:v>-31.25889090289428</x:v>
      </x:c>
      <x:c r="Q177" s="4" t="str">
        <x:f>IF(AND(ISNUMBER(P177),P177&gt;1E-9,P177&lt;1-1E-9),'계산 과정'!$C$47*(D177-'계산 과정'!$C$50+P177*('계산 과정'!$C$32-D177))+'계산 과정'!$D$47*(E177-'계산 과정'!$D$50+P177*('계산 과정'!$D$32-E177))+'계산 과정'!$E$47*(0-'계산 과정'!$E$50+P177*('계산 과정'!$E$32-0)),"")</x:f>
      </x:c>
      <x:c r="R177" s="4" t="str">
        <x:f>IF(AND(ISNUMBER(P177),P177&gt;1E-9,P177&lt;1-1E-9),'계산 과정'!$C$48*(D177-'계산 과정'!$C$50+P177*('계산 과정'!$C$32-D177))+'계산 과정'!$D$48*(E177-'계산 과정'!$D$50+P177*('계산 과정'!$D$32-E177))+'계산 과정'!$E$48*(0-'계산 과정'!$E$50+P177*('계산 과정'!$E$32-0)),"")</x:f>
      </x:c>
      <x:c r="S177" s="17" t="n">
        <x:f>IF('계산 과정'!$C$78,IF(AND(ISNUMBER(Q177),ISNUMBER(R177),ABS(Q177-'계산 과정'!$C$88)&lt;='계산 과정'!$D$23/2,ABS(R177-'계산 과정'!$C$89)&lt;='계산 과정'!$D$24/2),1,0),"")</x:f>
        <x:v>0</x:v>
      </x:c>
      <x:c r="T177" s="4"/>
      <x:c r="U177" s="4"/>
      <x:c r="V177" s="4"/>
      <x:c r="W177" s="4" t="n">
        <x:f>IF('계산 과정'!$C$77,('계산 과정'!$D$56+'계산 과정'!$D$57*('계산 과정'!$L$11*COS(171*2*PI()/240))+'계산 과정'!$D$58*('계산 과정'!$L$11*SIN(171*2*PI()/240)))/('계산 과정'!$D$59+'계산 과정'!$D$60*('계산 과정'!$L$11*COS(171*2*PI()/240))+'계산 과정'!$D$61*('계산 과정'!$L$11*SIN(171*2*PI()/240))),"")</x:f>
        <x:v>-38.53018418969028</x:v>
      </x:c>
      <x:c r="X177" s="4" t="n">
        <x:f>IF('계산 과정'!$C$77,('계산 과정'!$E$56+'계산 과정'!$E$57*('계산 과정'!$L$11*COS(171*2*PI()/240))+'계산 과정'!$E$58*('계산 과정'!$L$11*SIN(171*2*PI()/240)))/('계산 과정'!$E$59+'계산 과정'!$E$60*('계산 과정'!$L$11*COS(171*2*PI()/240))+'계산 과정'!$E$61*('계산 과정'!$L$11*SIN(171*2*PI()/240))),"")</x:f>
        <x:v>-226.96680560402848</x:v>
      </x:c>
      <x:c r="Y177" s="4" t="str">
        <x:f>""</x:f>
      </x:c>
      <x:c r="Z177" s="4" t="str">
        <x:f>""</x:f>
      </x:c>
    </x:row>
    <x:row r="178" ht="23" customHeight="1">
      <x:c r="A178" s="17" t="n">
        <x:f>ROW()-6</x:f>
        <x:v>172</x:v>
      </x:c>
      <x:c r="B178" s="4" t="n">
        <x:f>IF('계산 과정'!$L$5,'계산 과정'!$L$11*SQRT((A178+0.5)/'계산 과정'!$L$30),"")</x:f>
        <x:v>43.53322411173448</x:v>
      </x:c>
      <x:c r="C178" s="4" t="n">
        <x:f>A178*PI()*(3-SQRT(5))</x:f>
        <x:v>412.7936755133283</x:v>
      </x:c>
      <x:c r="D178" s="4" t="n">
        <x:f>IF('계산 과정'!$L$5,B178*COS(C178),"")</x:f>
        <x:v>-13.931825580737007</x:v>
      </x:c>
      <x:c r="E178" s="4" t="n">
        <x:f>IF('계산 과정'!$L$5,B178*SIN(C178),"")</x:f>
        <x:v>-41.24373694938932</x:v>
      </x:c>
      <x:c r="F178" s="4" t="n">
        <x:f>IF('계산 과정'!$L$7,'계산 과정'!$L$22+'계산 과정'!$C$49*D178+'계산 과정'!$D$49*E178,"")</x:f>
        <x:v>659.8512883424473</x:v>
      </x:c>
      <x:c r="G178" s="4" t="n">
        <x:f>IF('계산 과정'!$L$7,IF(ABS(F178)&gt;=1E-12*MAX(1,SQRT((D178-'계산 과정'!$C$33)^2+(E178-'계산 과정'!$D$33)^2+'계산 과정'!$E$33^2)),('계산 과정'!$L$23-'계산 과정'!$C$49*D178-'계산 과정'!$D$49*E178)/F178,""),"")</x:f>
        <x:v>0.5912676364360975</x:v>
      </x:c>
      <x:c r="H178" s="4" t="n">
        <x:f>IF(AND(ISNUMBER(G178),G178&gt;0),('계산 과정'!$D$56+'계산 과정'!$D$57*D178+'계산 과정'!$D$58*E178)/F178,"")</x:f>
        <x:v>-15.676036316536788</x:v>
      </x:c>
      <x:c r="I178" s="4" t="n">
        <x:f>IF(AND(ISNUMBER(G178),G178&gt;0),('계산 과정'!$E$56+'계산 과정'!$E$57*D178+'계산 과정'!$E$58*E178)/F178,"")</x:f>
        <x:v>-65.62982381324689</x:v>
      </x:c>
      <x:c r="J178" s="4" t="n">
        <x:f>IF('계산 과정'!$L$5,'계산 과정'!$D$6+'계산 과정'!$C$35*D178+'계산 과정'!$D$35*E178,"")</x:f>
        <x:v>659.8512883424473</x:v>
      </x:c>
      <x:c r="K178" s="4" t="n">
        <x:f>IF(AND('계산 과정'!$L$6,J178&gt;0),'계산 과정'!$D$10*('계산 과정'!$C$38*(D178-'계산 과정'!$C$32)+'계산 과정'!$D$38*(E178-'계산 과정'!$D$32)-'계산 과정'!$E$38*'계산 과정'!$E$32)/J178,"")</x:f>
        <x:v>-0.11943646717361256</x:v>
      </x:c>
      <x:c r="L178" s="4" t="n">
        <x:f>IF(AND('계산 과정'!$L$6,J178&gt;0),'계산 과정'!$D$10*('계산 과정'!$C$39*(D178-'계산 과정'!$C$32)+'계산 과정'!$D$39*(E178-'계산 과정'!$D$32)-'계산 과정'!$E$39*'계산 과정'!$E$32)/J178,"")</x:f>
        <x:v>-0.5000367528628334</x:v>
      </x:c>
      <x:c r="M178" s="17" t="n">
        <x:f>IF('계산 과정'!$L$6,IF(J178&lt;=0,0,IF(AND(ABS(K178)&lt;='계산 과정'!$D$11/2,ABS(L178)&lt;='계산 과정'!$D$12/2),1,0)),"")</x:f>
        <x:v>1</x:v>
      </x:c>
      <x:c r="N178" s="17" t="n">
        <x:f>IF('계산 과정'!$C$78,IF(AND(ISNUMBER(H178),ISNUMBER(I178),ABS(H178-'계산 과정'!$C$88)&lt;='계산 과정'!$D$23/2,ABS(I178-'계산 과정'!$C$89)&lt;='계산 과정'!$D$24/2),1,0),"")</x:f>
        <x:v>1</x:v>
      </x:c>
      <x:c r="O178" s="4" t="n">
        <x:f>IF('계산 과정'!$L$7,'계산 과정'!$C$49*('계산 과정'!$C$32-D178)+'계산 과정'!$D$49*('계산 과정'!$D$32-E178)+'계산 과정'!$E$49*'계산 과정'!$E$32,"")</x:f>
        <x:v>-9.85128834244722</x:v>
      </x:c>
      <x:c r="P178" s="4" t="n">
        <x:f>IF(AND('계산 과정'!$L$7,O178&lt;&gt;0),('계산 과정'!$L$23-'계산 과정'!$C$49*D178-'계산 과정'!$D$49*E178)/O178,"")</x:f>
        <x:v>-39.603826230167314</x:v>
      </x:c>
      <x:c r="Q178" s="4" t="str">
        <x:f>IF(AND(ISNUMBER(P178),P178&gt;1E-9,P178&lt;1-1E-9),'계산 과정'!$C$47*(D178-'계산 과정'!$C$50+P178*('계산 과정'!$C$32-D178))+'계산 과정'!$D$47*(E178-'계산 과정'!$D$50+P178*('계산 과정'!$D$32-E178))+'계산 과정'!$E$47*(0-'계산 과정'!$E$50+P178*('계산 과정'!$E$32-0)),"")</x:f>
      </x:c>
      <x:c r="R178" s="4" t="str">
        <x:f>IF(AND(ISNUMBER(P178),P178&gt;1E-9,P178&lt;1-1E-9),'계산 과정'!$C$48*(D178-'계산 과정'!$C$50+P178*('계산 과정'!$C$32-D178))+'계산 과정'!$D$48*(E178-'계산 과정'!$D$50+P178*('계산 과정'!$D$32-E178))+'계산 과정'!$E$48*(0-'계산 과정'!$E$50+P178*('계산 과정'!$E$32-0)),"")</x:f>
      </x:c>
      <x:c r="S178" s="17" t="n">
        <x:f>IF('계산 과정'!$C$78,IF(AND(ISNUMBER(Q178),ISNUMBER(R178),ABS(Q178-'계산 과정'!$C$88)&lt;='계산 과정'!$D$23/2,ABS(R178-'계산 과정'!$C$89)&lt;='계산 과정'!$D$24/2),1,0),"")</x:f>
        <x:v>0</x:v>
      </x:c>
      <x:c r="T178" s="4"/>
      <x:c r="U178" s="4"/>
      <x:c r="V178" s="4"/>
      <x:c r="W178" s="4" t="n">
        <x:f>IF('계산 과정'!$C$77,('계산 과정'!$D$56+'계산 과정'!$D$57*('계산 과정'!$L$11*COS(172*2*PI()/240))+'계산 과정'!$D$58*('계산 과정'!$L$11*SIN(172*2*PI()/240)))/('계산 과정'!$D$59+'계산 과정'!$D$60*('계산 과정'!$L$11*COS(172*2*PI()/240))+'계산 과정'!$D$61*('계산 과정'!$L$11*SIN(172*2*PI()/240))),"")</x:f>
        <x:v>-34.454135459087475</x:v>
      </x:c>
      <x:c r="X178" s="4" t="n">
        <x:f>IF('계산 과정'!$C$77,('계산 과정'!$E$56+'계산 과정'!$E$57*('계산 과정'!$L$11*COS(172*2*PI()/240))+'계산 과정'!$E$58*('계산 과정'!$L$11*SIN(172*2*PI()/240)))/('계산 과정'!$E$59+'계산 과정'!$E$60*('계산 과정'!$L$11*COS(172*2*PI()/240))+'계산 과정'!$E$61*('계산 과정'!$L$11*SIN(172*2*PI()/240))),"")</x:f>
        <x:v>-229.23548096211508</x:v>
      </x:c>
      <x:c r="Y178" s="4" t="str">
        <x:f>""</x:f>
      </x:c>
      <x:c r="Z178" s="4" t="str">
        <x:f>""</x:f>
      </x:c>
    </x:row>
    <x:row r="179" ht="23" customHeight="1">
      <x:c r="A179" s="17" t="n">
        <x:f>ROW()-6</x:f>
        <x:v>173</x:v>
      </x:c>
      <x:c r="B179" s="4" t="n">
        <x:f>IF('계산 과정'!$L$5,'계산 과정'!$L$11*SQRT((A179+0.5)/'계산 과정'!$L$30),"")</x:f>
        <x:v>43.65922502389959</x:v>
      </x:c>
      <x:c r="C179" s="4" t="n">
        <x:f>A179*PI()*(3-SQRT(5))</x:f>
        <x:v>415.1936387430569</x:v>
      </x:c>
      <x:c r="D179" s="4" t="n">
        <x:f>IF('계산 과정'!$L$5,B179*COS(C179),"")</x:f>
        <x:v>38.243008268823324</x:v>
      </x:c>
      <x:c r="E179" s="4" t="n">
        <x:f>IF('계산 과정'!$L$5,B179*SIN(C179),"")</x:f>
        <x:v>21.061819680127606</x:v>
      </x:c>
      <x:c r="F179" s="4" t="n">
        <x:f>IF('계산 과정'!$L$7,'계산 과정'!$L$22+'계산 과정'!$C$49*D179+'계산 과정'!$D$49*E179,"")</x:f>
        <x:v>622.9581095201419</x:v>
      </x:c>
      <x:c r="G179" s="4" t="n">
        <x:f>IF('계산 과정'!$L$7,IF(ABS(F179)&gt;=1E-12*MAX(1,SQRT((D179-'계산 과정'!$C$33)^2+(E179-'계산 과정'!$D$33)^2+'계산 과정'!$E$33^2)),('계산 과정'!$L$23-'계산 과정'!$C$49*D179-'계산 과정'!$D$49*E179)/F179,""),"")</x:f>
        <x:v>0.6855065917815952</x:v>
      </x:c>
      <x:c r="H179" s="4" t="n">
        <x:f>IF(AND(ISNUMBER(G179),G179&gt;0),('계산 과정'!$D$56+'계산 과정'!$D$57*D179+'계산 과정'!$D$58*E179)/F179,"")</x:f>
        <x:v>45.579284658036826</x:v>
      </x:c>
      <x:c r="I179" s="4" t="n">
        <x:f>IF(AND(ISNUMBER(G179),G179&gt;0),('계산 과정'!$E$56+'계산 과정'!$E$57*D179+'계산 과정'!$E$58*E179)/F179,"")</x:f>
        <x:v>35.499835905770404</x:v>
      </x:c>
      <x:c r="J179" s="4" t="n">
        <x:f>IF('계산 과정'!$L$5,'계산 과정'!$D$6+'계산 과정'!$C$35*D179+'계산 과정'!$D$35*E179,"")</x:f>
        <x:v>622.9581095201419</x:v>
      </x:c>
      <x:c r="K179" s="4" t="n">
        <x:f>IF(AND('계산 과정'!$L$6,J179&gt;0),'계산 과정'!$D$10*('계산 과정'!$C$38*(D179-'계산 과정'!$C$32)+'계산 과정'!$D$38*(E179-'계산 과정'!$D$32)-'계산 과정'!$E$38*'계산 과정'!$E$32)/J179,"")</x:f>
        <x:v>0.34727074025170995</x:v>
      </x:c>
      <x:c r="L179" s="4" t="n">
        <x:f>IF(AND('계산 과정'!$L$6,J179&gt;0),'계산 과정'!$D$10*('계산 과정'!$C$39*(D179-'계산 과정'!$C$32)+'계산 과정'!$D$39*(E179-'계산 과정'!$D$32)-'계산 과정'!$E$39*'계산 과정'!$E$32)/J179,"")</x:f>
        <x:v>0.2704749402344412</x:v>
      </x:c>
      <x:c r="M179" s="17" t="n">
        <x:f>IF('계산 과정'!$L$6,IF(J179&lt;=0,0,IF(AND(ABS(K179)&lt;='계산 과정'!$D$11/2,ABS(L179)&lt;='계산 과정'!$D$12/2),1,0)),"")</x:f>
        <x:v>1</x:v>
      </x:c>
      <x:c r="N179" s="17" t="n">
        <x:f>IF('계산 과정'!$C$78,IF(AND(ISNUMBER(H179),ISNUMBER(I179),ABS(H179-'계산 과정'!$C$88)&lt;='계산 과정'!$D$23/2,ABS(I179-'계산 과정'!$C$89)&lt;='계산 과정'!$D$24/2),1,0),"")</x:f>
        <x:v>1</x:v>
      </x:c>
      <x:c r="O179" s="4" t="n">
        <x:f>IF('계산 과정'!$L$7,'계산 과정'!$C$49*('계산 과정'!$C$32-D179)+'계산 과정'!$D$49*('계산 과정'!$D$32-E179)+'계산 과정'!$E$49*'계산 과정'!$E$32,"")</x:f>
        <x:v>27.041890479858296</x:v>
      </x:c>
      <x:c r="P179" s="4" t="n">
        <x:f>IF(AND('계산 과정'!$L$7,O179&lt;&gt;0),('계산 과정'!$L$23-'계산 과정'!$C$49*D179-'계산 과정'!$D$49*E179)/O179,"")</x:f>
        <x:v>15.791865246918785</x:v>
      </x:c>
      <x:c r="Q179" s="4" t="str">
        <x:f>IF(AND(ISNUMBER(P179),P179&gt;1E-9,P179&lt;1-1E-9),'계산 과정'!$C$47*(D179-'계산 과정'!$C$50+P179*('계산 과정'!$C$32-D179))+'계산 과정'!$D$47*(E179-'계산 과정'!$D$50+P179*('계산 과정'!$D$32-E179))+'계산 과정'!$E$47*(0-'계산 과정'!$E$50+P179*('계산 과정'!$E$32-0)),"")</x:f>
      </x:c>
      <x:c r="R179" s="4" t="str">
        <x:f>IF(AND(ISNUMBER(P179),P179&gt;1E-9,P179&lt;1-1E-9),'계산 과정'!$C$48*(D179-'계산 과정'!$C$50+P179*('계산 과정'!$C$32-D179))+'계산 과정'!$D$48*(E179-'계산 과정'!$D$50+P179*('계산 과정'!$D$32-E179))+'계산 과정'!$E$48*(0-'계산 과정'!$E$50+P179*('계산 과정'!$E$32-0)),"")</x:f>
      </x:c>
      <x:c r="S179" s="17" t="n">
        <x:f>IF('계산 과정'!$C$78,IF(AND(ISNUMBER(Q179),ISNUMBER(R179),ABS(Q179-'계산 과정'!$C$88)&lt;='계산 과정'!$D$23/2,ABS(R179-'계산 과정'!$C$89)&lt;='계산 과정'!$D$24/2),1,0),"")</x:f>
        <x:v>0</x:v>
      </x:c>
      <x:c r="T179" s="4"/>
      <x:c r="U179" s="4"/>
      <x:c r="V179" s="4"/>
      <x:c r="W179" s="4" t="n">
        <x:f>IF('계산 과정'!$C$77,('계산 과정'!$D$56+'계산 과정'!$D$57*('계산 과정'!$L$11*COS(173*2*PI()/240))+'계산 과정'!$D$58*('계산 과정'!$L$11*SIN(173*2*PI()/240)))/('계산 과정'!$D$59+'계산 과정'!$D$60*('계산 과정'!$L$11*COS(173*2*PI()/240))+'계산 과정'!$D$61*('계산 과정'!$L$11*SIN(173*2*PI()/240))),"")</x:f>
        <x:v>-30.322078239552443</x:v>
      </x:c>
      <x:c r="X179" s="4" t="n">
        <x:f>IF('계산 과정'!$C$77,('계산 과정'!$E$56+'계산 과정'!$E$57*('계산 과정'!$L$11*COS(173*2*PI()/240))+'계산 과정'!$E$58*('계산 과정'!$L$11*SIN(173*2*PI()/240)))/('계산 과정'!$E$59+'계산 과정'!$E$60*('계산 과정'!$L$11*COS(173*2*PI()/240))+'계산 과정'!$E$61*('계산 과정'!$L$11*SIN(173*2*PI()/240))),"")</x:f>
        <x:v>-231.36999708590173</x:v>
      </x:c>
      <x:c r="Y179" s="4" t="str">
        <x:f>""</x:f>
      </x:c>
      <x:c r="Z179" s="4" t="str">
        <x:f>""</x:f>
      </x:c>
    </x:row>
    <x:row r="180" ht="23" customHeight="1">
      <x:c r="A180" s="17" t="n">
        <x:f>ROW()-6</x:f>
        <x:v>174</x:v>
      </x:c>
      <x:c r="B180" s="4" t="n">
        <x:f>IF('계산 과정'!$L$5,'계산 과정'!$L$11*SQRT((A180+0.5)/'계산 과정'!$L$30),"")</x:f>
        <x:v>43.78486334125642</x:v>
      </x:c>
      <x:c r="C180" s="4" t="n">
        <x:f>A180*PI()*(3-SQRT(5))</x:f>
        <x:v>417.59360197278556</x:v>
      </x:c>
      <x:c r="D180" s="4" t="n">
        <x:f>IF('계산 과정'!$L$5,B180*COS(C180),"")</x:f>
        <x:v>-42.548349080930706</x:v>
      </x:c>
      <x:c r="E180" s="4" t="n">
        <x:f>IF('계산 과정'!$L$5,B180*SIN(C180),"")</x:f>
        <x:v>10.332097962164498</x:v>
      </x:c>
      <x:c r="F180" s="4" t="n">
        <x:f>IF('계산 과정'!$L$7,'계산 과정'!$L$22+'계산 과정'!$C$49*D180+'계산 과정'!$D$49*E180,"")</x:f>
        <x:v>680.0862261634185</x:v>
      </x:c>
      <x:c r="G180" s="4" t="n">
        <x:f>IF('계산 과정'!$L$7,IF(ABS(F180)&gt;=1E-12*MAX(1,SQRT((D180-'계산 과정'!$C$33)^2+(E180-'계산 과정'!$D$33)^2+'계산 과정'!$E$33^2)),('계산 과정'!$L$23-'계산 과정'!$C$49*D180-'계산 과정'!$D$49*E180)/F180,""),"")</x:f>
        <x:v>0.5439218728533617</x:v>
      </x:c>
      <x:c r="H180" s="4" t="n">
        <x:f>IF(AND(ISNUMBER(G180),G180&gt;0),('계산 과정'!$D$56+'계산 과정'!$D$57*D180+'계산 과정'!$D$58*E180)/F180,"")</x:f>
        <x:v>-46.45078264531504</x:v>
      </x:c>
      <x:c r="I180" s="4" t="n">
        <x:f>IF(AND(ISNUMBER(G180),G180&gt;0),('계산 과정'!$E$56+'계산 과정'!$E$57*D180+'계산 과정'!$E$58*E180)/F180,"")</x:f>
        <x:v>15.951952036249416</x:v>
      </x:c>
      <x:c r="J180" s="4" t="n">
        <x:f>IF('계산 과정'!$L$5,'계산 과정'!$D$6+'계산 과정'!$C$35*D180+'계산 과정'!$D$35*E180,"")</x:f>
        <x:v>680.0862261634185</x:v>
      </x:c>
      <x:c r="K180" s="4" t="n">
        <x:f>IF(AND('계산 과정'!$L$6,J180&gt;0),'계산 과정'!$D$10*('계산 과정'!$C$38*(D180-'계산 과정'!$C$32)+'계산 과정'!$D$38*(E180-'계산 과정'!$D$32)-'계산 과정'!$E$38*'계산 과정'!$E$32)/J180,"")</x:f>
        <x:v>-0.35391072491668535</x:v>
      </x:c>
      <x:c r="L180" s="4" t="n">
        <x:f>IF(AND('계산 과정'!$L$6,J180&gt;0),'계산 과정'!$D$10*('계산 과정'!$C$39*(D180-'계산 과정'!$C$32)+'계산 과정'!$D$39*(E180-'계산 과정'!$D$32)-'계산 과정'!$E$39*'계산 과정'!$E$32)/J180,"")</x:f>
        <x:v>0.12153868218094792</x:v>
      </x:c>
      <x:c r="M180" s="17" t="n">
        <x:f>IF('계산 과정'!$L$6,IF(J180&lt;=0,0,IF(AND(ABS(K180)&lt;='계산 과정'!$D$11/2,ABS(L180)&lt;='계산 과정'!$D$12/2),1,0)),"")</x:f>
        <x:v>1</x:v>
      </x:c>
      <x:c r="N180" s="17" t="n">
        <x:f>IF('계산 과정'!$C$78,IF(AND(ISNUMBER(H180),ISNUMBER(I180),ABS(H180-'계산 과정'!$C$88)&lt;='계산 과정'!$D$23/2,ABS(I180-'계산 과정'!$C$89)&lt;='계산 과정'!$D$24/2),1,0),"")</x:f>
        <x:v>1</x:v>
      </x:c>
      <x:c r="O180" s="4" t="n">
        <x:f>IF('계산 과정'!$L$7,'계산 과정'!$C$49*('계산 과정'!$C$32-D180)+'계산 과정'!$D$49*('계산 과정'!$D$32-E180)+'계산 과정'!$E$49*'계산 과정'!$E$32,"")</x:f>
        <x:v>-30.086226163418416</x:v>
      </x:c>
      <x:c r="P180" s="4" t="n">
        <x:f>IF(AND('계산 과정'!$L$7,O180&lt;&gt;0),('계산 과정'!$L$23-'계산 과정'!$C$49*D180-'계산 과정'!$D$49*E180)/O180,"")</x:f>
        <x:v>-12.295120425783292</x:v>
      </x:c>
      <x:c r="Q180" s="4" t="str">
        <x:f>IF(AND(ISNUMBER(P180),P180&gt;1E-9,P180&lt;1-1E-9),'계산 과정'!$C$47*(D180-'계산 과정'!$C$50+P180*('계산 과정'!$C$32-D180))+'계산 과정'!$D$47*(E180-'계산 과정'!$D$50+P180*('계산 과정'!$D$32-E180))+'계산 과정'!$E$47*(0-'계산 과정'!$E$50+P180*('계산 과정'!$E$32-0)),"")</x:f>
      </x:c>
      <x:c r="R180" s="4" t="str">
        <x:f>IF(AND(ISNUMBER(P180),P180&gt;1E-9,P180&lt;1-1E-9),'계산 과정'!$C$48*(D180-'계산 과정'!$C$50+P180*('계산 과정'!$C$32-D180))+'계산 과정'!$D$48*(E180-'계산 과정'!$D$50+P180*('계산 과정'!$D$32-E180))+'계산 과정'!$E$48*(0-'계산 과정'!$E$50+P180*('계산 과정'!$E$32-0)),"")</x:f>
      </x:c>
      <x:c r="S180" s="17" t="n">
        <x:f>IF('계산 과정'!$C$78,IF(AND(ISNUMBER(Q180),ISNUMBER(R180),ABS(Q180-'계산 과정'!$C$88)&lt;='계산 과정'!$D$23/2,ABS(R180-'계산 과정'!$C$89)&lt;='계산 과정'!$D$24/2),1,0),"")</x:f>
        <x:v>0</x:v>
      </x:c>
      <x:c r="T180" s="4"/>
      <x:c r="U180" s="4"/>
      <x:c r="V180" s="4"/>
      <x:c r="W180" s="4" t="n">
        <x:f>IF('계산 과정'!$C$77,('계산 과정'!$D$56+'계산 과정'!$D$57*('계산 과정'!$L$11*COS(174*2*PI()/240))+'계산 과정'!$D$58*('계산 과정'!$L$11*SIN(174*2*PI()/240)))/('계산 과정'!$D$59+'계산 과정'!$D$60*('계산 과정'!$L$11*COS(174*2*PI()/240))+'계산 과정'!$D$61*('계산 과정'!$L$11*SIN(174*2*PI()/240))),"")</x:f>
        <x:v>-26.135911832422895</x:v>
      </x:c>
      <x:c r="X180" s="4" t="n">
        <x:f>IF('계산 과정'!$C$77,('계산 과정'!$E$56+'계산 과정'!$E$57*('계산 과정'!$L$11*COS(174*2*PI()/240))+'계산 과정'!$E$58*('계산 과정'!$L$11*SIN(174*2*PI()/240)))/('계산 과정'!$E$59+'계산 과정'!$E$60*('계산 과정'!$L$11*COS(174*2*PI()/240))+'계산 과정'!$E$61*('계산 과정'!$L$11*SIN(174*2*PI()/240))),"")</x:f>
        <x:v>-233.36737436242802</x:v>
      </x:c>
      <x:c r="Y180" s="4" t="str">
        <x:f>""</x:f>
      </x:c>
      <x:c r="Z180" s="4" t="str">
        <x:f>""</x:f>
      </x:c>
    </x:row>
    <x:row r="181" ht="23" customHeight="1">
      <x:c r="A181" s="17" t="n">
        <x:f>ROW()-6</x:f>
        <x:v>175</x:v>
      </x:c>
      <x:c r="B181" s="4" t="n">
        <x:f>IF('계산 과정'!$L$5,'계산 과정'!$L$11*SQRT((A181+0.5)/'계산 과정'!$L$30),"")</x:f>
        <x:v>43.910142176238736</x:v>
      </x:c>
      <x:c r="C181" s="4" t="n">
        <x:f>A181*PI()*(3-SQRT(5))</x:f>
        <x:v>419.9935652025142</x:v>
      </x:c>
      <x:c r="D181" s="4" t="n">
        <x:f>IF('계산 과정'!$L$5,B181*COS(C181),"")</x:f>
        <x:v>24.464395235204883</x:v>
      </x:c>
      <x:c r="E181" s="4" t="n">
        <x:f>IF('계산 과정'!$L$5,B181*SIN(C181),"")</x:f>
        <x:v>-36.46359762438677</x:v>
      </x:c>
      <x:c r="F181" s="4" t="n">
        <x:f>IF('계산 과정'!$L$7,'계산 과정'!$L$22+'계산 과정'!$C$49*D181+'계산 과정'!$D$49*E181,"")</x:f>
        <x:v>632.7010602315588</x:v>
      </x:c>
      <x:c r="G181" s="4" t="n">
        <x:f>IF('계산 과정'!$L$7,IF(ABS(F181)&gt;=1E-12*MAX(1,SQRT((D181-'계산 과정'!$C$33)^2+(E181-'계산 과정'!$D$33)^2+'계산 과정'!$E$33^2)),('계산 과정'!$L$23-'계산 과정'!$C$49*D181-'계산 과정'!$D$49*E181)/F181,""),"")</x:f>
        <x:v>0.6595515101803627</x:v>
      </x:c>
      <x:c r="H181" s="4" t="n">
        <x:f>IF(AND(ISNUMBER(G181),G181&gt;0),('계산 과정'!$D$56+'계산 과정'!$D$57*D181+'계산 과정'!$D$58*E181)/F181,"")</x:f>
        <x:v>28.70848161723568</x:v>
      </x:c>
      <x:c r="I181" s="4" t="n">
        <x:f>IF(AND(ISNUMBER(G181),G181&gt;0),('계산 과정'!$E$56+'계산 과정'!$E$57*D181+'계산 과정'!$E$58*E181)/F181,"")</x:f>
        <x:v>-60.51321850416014</x:v>
      </x:c>
      <x:c r="J181" s="4" t="n">
        <x:f>IF('계산 과정'!$L$5,'계산 과정'!$D$6+'계산 과정'!$C$35*D181+'계산 과정'!$D$35*E181,"")</x:f>
        <x:v>632.7010602315588</x:v>
      </x:c>
      <x:c r="K181" s="4" t="n">
        <x:f>IF(AND('계산 과정'!$L$6,J181&gt;0),'계산 과정'!$D$10*('계산 과정'!$C$38*(D181-'계산 과정'!$C$32)+'계산 과정'!$D$38*(E181-'계산 과정'!$D$32)-'계산 과정'!$E$38*'계산 과정'!$E$32)/J181,"")</x:f>
        <x:v>0.21873128851227275</x:v>
      </x:c>
      <x:c r="L181" s="4" t="n">
        <x:f>IF(AND('계산 과정'!$L$6,J181&gt;0),'계산 과정'!$D$10*('계산 과정'!$C$39*(D181-'계산 과정'!$C$32)+'계산 과정'!$D$39*(E181-'계산 과정'!$D$32)-'계산 과정'!$E$39*'계산 과정'!$E$32)/J181,"")</x:f>
        <x:v>-0.4610530933650297</x:v>
      </x:c>
      <x:c r="M181" s="17" t="n">
        <x:f>IF('계산 과정'!$L$6,IF(J181&lt;=0,0,IF(AND(ABS(K181)&lt;='계산 과정'!$D$11/2,ABS(L181)&lt;='계산 과정'!$D$12/2),1,0)),"")</x:f>
        <x:v>1</x:v>
      </x:c>
      <x:c r="N181" s="17" t="n">
        <x:f>IF('계산 과정'!$C$78,IF(AND(ISNUMBER(H181),ISNUMBER(I181),ABS(H181-'계산 과정'!$C$88)&lt;='계산 과정'!$D$23/2,ABS(I181-'계산 과정'!$C$89)&lt;='계산 과정'!$D$24/2),1,0),"")</x:f>
        <x:v>1</x:v>
      </x:c>
      <x:c r="O181" s="4" t="n">
        <x:f>IF('계산 과정'!$L$7,'계산 과정'!$C$49*('계산 과정'!$C$32-D181)+'계산 과정'!$D$49*('계산 과정'!$D$32-E181)+'계산 과정'!$E$49*'계산 과정'!$E$32,"")</x:f>
        <x:v>17.298939768441358</x:v>
      </x:c>
      <x:c r="P181" s="4" t="n">
        <x:f>IF(AND('계산 과정'!$L$7,O181&lt;&gt;0),('계산 과정'!$L$23-'계산 과정'!$C$49*D181-'계산 과정'!$D$49*E181)/O181,"")</x:f>
        <x:v>24.1228043657175</x:v>
      </x:c>
      <x:c r="Q181" s="4" t="str">
        <x:f>IF(AND(ISNUMBER(P181),P181&gt;1E-9,P181&lt;1-1E-9),'계산 과정'!$C$47*(D181-'계산 과정'!$C$50+P181*('계산 과정'!$C$32-D181))+'계산 과정'!$D$47*(E181-'계산 과정'!$D$50+P181*('계산 과정'!$D$32-E181))+'계산 과정'!$E$47*(0-'계산 과정'!$E$50+P181*('계산 과정'!$E$32-0)),"")</x:f>
      </x:c>
      <x:c r="R181" s="4" t="str">
        <x:f>IF(AND(ISNUMBER(P181),P181&gt;1E-9,P181&lt;1-1E-9),'계산 과정'!$C$48*(D181-'계산 과정'!$C$50+P181*('계산 과정'!$C$32-D181))+'계산 과정'!$D$48*(E181-'계산 과정'!$D$50+P181*('계산 과정'!$D$32-E181))+'계산 과정'!$E$48*(0-'계산 과정'!$E$50+P181*('계산 과정'!$E$32-0)),"")</x:f>
      </x:c>
      <x:c r="S181" s="17" t="n">
        <x:f>IF('계산 과정'!$C$78,IF(AND(ISNUMBER(Q181),ISNUMBER(R181),ABS(Q181-'계산 과정'!$C$88)&lt;='계산 과정'!$D$23/2,ABS(R181-'계산 과정'!$C$89)&lt;='계산 과정'!$D$24/2),1,0),"")</x:f>
        <x:v>0</x:v>
      </x:c>
      <x:c r="T181" s="4"/>
      <x:c r="U181" s="4"/>
      <x:c r="V181" s="4"/>
      <x:c r="W181" s="4" t="n">
        <x:f>IF('계산 과정'!$C$77,('계산 과정'!$D$56+'계산 과정'!$D$57*('계산 과정'!$L$11*COS(175*2*PI()/240))+'계산 과정'!$D$58*('계산 과정'!$L$11*SIN(175*2*PI()/240)))/('계산 과정'!$D$59+'계산 과정'!$D$60*('계산 과정'!$L$11*COS(175*2*PI()/240))+'계산 과정'!$D$61*('계산 과정'!$L$11*SIN(175*2*PI()/240))),"")</x:f>
        <x:v>-21.89762112808489</x:v>
      </x:c>
      <x:c r="X181" s="4" t="n">
        <x:f>IF('계산 과정'!$C$77,('계산 과정'!$E$56+'계산 과정'!$E$57*('계산 과정'!$L$11*COS(175*2*PI()/240))+'계산 과정'!$E$58*('계산 과정'!$L$11*SIN(175*2*PI()/240)))/('계산 과정'!$E$59+'계산 과정'!$E$60*('계산 과정'!$L$11*COS(175*2*PI()/240))+'계산 과정'!$E$61*('계산 과정'!$L$11*SIN(175*2*PI()/240))),"")</x:f>
        <x:v>-235.22465088432702</x:v>
      </x:c>
      <x:c r="Y181" s="4" t="str">
        <x:f>""</x:f>
      </x:c>
      <x:c r="Z181" s="4" t="str">
        <x:f>""</x:f>
      </x:c>
    </x:row>
    <x:row r="182" ht="23" customHeight="1">
      <x:c r="A182" s="17" t="n">
        <x:f>ROW()-6</x:f>
        <x:v>176</x:v>
      </x:c>
      <x:c r="B182" s="4" t="n">
        <x:f>IF('계산 과정'!$L$5,'계산 과정'!$L$11*SQRT((A182+0.5)/'계산 과정'!$L$30),"")</x:f>
        <x:v>44.0350645970061</x:v>
      </x:c>
      <x:c r="C182" s="4" t="n">
        <x:f>A182*PI()*(3-SQRT(5))</x:f>
        <x:v>422.3935284322429</x:v>
      </x:c>
      <x:c r="D182" s="4" t="n">
        <x:f>IF('계산 과정'!$L$5,B182*COS(C182),"")</x:f>
        <x:v>6.6102752132629465</x:v>
      </x:c>
      <x:c r="E182" s="4" t="n">
        <x:f>IF('계산 과정'!$L$5,B182*SIN(C182),"")</x:f>
        <x:v>43.536090495902606</x:v>
      </x:c>
      <x:c r="F182" s="4" t="n">
        <x:f>IF('계산 과정'!$L$7,'계산 과정'!$L$22+'계산 과정'!$C$49*D182+'계산 과정'!$D$49*E182,"")</x:f>
        <x:v>645.3258295711925</x:v>
      </x:c>
      <x:c r="G182" s="4" t="n">
        <x:f>IF('계산 과정'!$L$7,IF(ABS(F182)&gt;=1E-12*MAX(1,SQRT((D182-'계산 과정'!$C$33)^2+(E182-'계산 과정'!$D$33)^2+'계산 과정'!$E$33^2)),('계산 과정'!$L$23-'계산 과정'!$C$49*D182-'계산 과정'!$D$49*E182)/F182,""),"")</x:f>
        <x:v>0.6270850350089139</x:v>
      </x:c>
      <x:c r="H182" s="4" t="n">
        <x:f>IF(AND(ISNUMBER(G182),G182&gt;0),('계산 과정'!$D$56+'계산 과정'!$D$57*D182+'계산 과정'!$D$58*E182)/F182,"")</x:f>
        <x:v>7.6052727557939</x:v>
      </x:c>
      <x:c r="I182" s="4" t="n">
        <x:f>IF(AND(ISNUMBER(G182),G182&gt;0),('계산 과정'!$E$56+'계산 과정'!$E$57*D182+'계산 과정'!$E$58*E182)/F182,"")</x:f>
        <x:v>70.83692132867694</x:v>
      </x:c>
      <x:c r="J182" s="4" t="n">
        <x:f>IF('계산 과정'!$L$5,'계산 과정'!$D$6+'계산 과정'!$C$35*D182+'계산 과정'!$D$35*E182,"")</x:f>
        <x:v>645.3258295711925</x:v>
      </x:c>
      <x:c r="K182" s="4" t="n">
        <x:f>IF(AND('계산 과정'!$L$6,J182&gt;0),'계산 과정'!$D$10*('계산 과정'!$C$38*(D182-'계산 과정'!$C$32)+'계산 과정'!$D$38*(E182-'계산 과정'!$D$32)-'계산 과정'!$E$38*'계산 과정'!$E$32)/J182,"")</x:f>
        <x:v>0.057944935282240324</x:v>
      </x:c>
      <x:c r="L182" s="4" t="n">
        <x:f>IF(AND('계산 과정'!$L$6,J182&gt;0),'계산 과정'!$D$10*('계산 과정'!$C$39*(D182-'계산 과정'!$C$32)+'계산 과정'!$D$39*(E182-'계산 과정'!$D$32)-'계산 과정'!$E$39*'계산 과정'!$E$32)/J182,"")</x:f>
        <x:v>0.5397098767899194</x:v>
      </x:c>
      <x:c r="M182" s="17" t="n">
        <x:f>IF('계산 과정'!$L$6,IF(J182&lt;=0,0,IF(AND(ABS(K182)&lt;='계산 과정'!$D$11/2,ABS(L182)&lt;='계산 과정'!$D$12/2),1,0)),"")</x:f>
        <x:v>1</x:v>
      </x:c>
      <x:c r="N182" s="17" t="n">
        <x:f>IF('계산 과정'!$C$78,IF(AND(ISNUMBER(H182),ISNUMBER(I182),ABS(H182-'계산 과정'!$C$88)&lt;='계산 과정'!$D$23/2,ABS(I182-'계산 과정'!$C$89)&lt;='계산 과정'!$D$24/2),1,0),"")</x:f>
        <x:v>1</x:v>
      </x:c>
      <x:c r="O182" s="4" t="n">
        <x:f>IF('계산 과정'!$L$7,'계산 과정'!$C$49*('계산 과정'!$C$32-D182)+'계산 과정'!$D$49*('계산 과정'!$D$32-E182)+'계산 과정'!$E$49*'계산 과정'!$E$32,"")</x:f>
        <x:v>4.674170428807656</x:v>
      </x:c>
      <x:c r="P182" s="4" t="n">
        <x:f>IF(AND('계산 과정'!$L$7,O182&lt;&gt;0),('계산 과정'!$L$23-'계산 과정'!$C$49*D182-'계산 과정'!$D$49*E182)/O182,"")</x:f>
        <x:v>86.57668277021656</x:v>
      </x:c>
      <x:c r="Q182" s="4" t="str">
        <x:f>IF(AND(ISNUMBER(P182),P182&gt;1E-9,P182&lt;1-1E-9),'계산 과정'!$C$47*(D182-'계산 과정'!$C$50+P182*('계산 과정'!$C$32-D182))+'계산 과정'!$D$47*(E182-'계산 과정'!$D$50+P182*('계산 과정'!$D$32-E182))+'계산 과정'!$E$47*(0-'계산 과정'!$E$50+P182*('계산 과정'!$E$32-0)),"")</x:f>
      </x:c>
      <x:c r="R182" s="4" t="str">
        <x:f>IF(AND(ISNUMBER(P182),P182&gt;1E-9,P182&lt;1-1E-9),'계산 과정'!$C$48*(D182-'계산 과정'!$C$50+P182*('계산 과정'!$C$32-D182))+'계산 과정'!$D$48*(E182-'계산 과정'!$D$50+P182*('계산 과정'!$D$32-E182))+'계산 과정'!$E$48*(0-'계산 과정'!$E$50+P182*('계산 과정'!$E$32-0)),"")</x:f>
      </x:c>
      <x:c r="S182" s="17" t="n">
        <x:f>IF('계산 과정'!$C$78,IF(AND(ISNUMBER(Q182),ISNUMBER(R182),ABS(Q182-'계산 과정'!$C$88)&lt;='계산 과정'!$D$23/2,ABS(R182-'계산 과정'!$C$89)&lt;='계산 과정'!$D$24/2),1,0),"")</x:f>
        <x:v>0</x:v>
      </x:c>
      <x:c r="T182" s="4"/>
      <x:c r="U182" s="4"/>
      <x:c r="V182" s="4"/>
      <x:c r="W182" s="4" t="n">
        <x:f>IF('계산 과정'!$C$77,('계산 과정'!$D$56+'계산 과정'!$D$57*('계산 과정'!$L$11*COS(176*2*PI()/240))+'계산 과정'!$D$58*('계산 과정'!$L$11*SIN(176*2*PI()/240)))/('계산 과정'!$D$59+'계산 과정'!$D$60*('계산 과정'!$L$11*COS(176*2*PI()/240))+'계산 과정'!$D$61*('계산 과정'!$L$11*SIN(176*2*PI()/240))),"")</x:f>
        <x:v>-17.609278532761014</x:v>
      </x:c>
      <x:c r="X182" s="4" t="n">
        <x:f>IF('계산 과정'!$C$77,('계산 과정'!$E$56+'계산 과정'!$E$57*('계산 과정'!$L$11*COS(176*2*PI()/240))+'계산 과정'!$E$58*('계산 과정'!$L$11*SIN(176*2*PI()/240)))/('계산 과정'!$E$59+'계산 과정'!$E$60*('계산 과정'!$L$11*COS(176*2*PI()/240))+'계산 과정'!$E$61*('계산 과정'!$L$11*SIN(176*2*PI()/240))),"")</x:f>
        <x:v>-236.93888701712717</x:v>
      </x:c>
      <x:c r="Y182" s="4" t="str">
        <x:f>""</x:f>
      </x:c>
      <x:c r="Z182" s="4" t="str">
        <x:f>""</x:f>
      </x:c>
    </x:row>
    <x:row r="183" ht="23" customHeight="1">
      <x:c r="A183" s="17" t="n">
        <x:f>ROW()-6</x:f>
        <x:v>177</x:v>
      </x:c>
      <x:c r="B183" s="4" t="n">
        <x:f>IF('계산 과정'!$L$5,'계산 과정'!$L$11*SQRT((A183+0.5)/'계산 과정'!$L$30),"")</x:f>
        <x:v>44.15963362832056</x:v>
      </x:c>
      <x:c r="C183" s="4" t="n">
        <x:f>A183*PI()*(3-SQRT(5))</x:f>
        <x:v>424.7934916619716</x:v>
      </x:c>
      <x:c r="D183" s="4" t="n">
        <x:f>IF('계산 과정'!$L$5,B183*COS(C183),"")</x:f>
        <x:v>-34.379397957091776</x:v>
      </x:c>
      <x:c r="E183" s="4" t="n">
        <x:f>IF('계산 과정'!$L$5,B183*SIN(C183),"")</x:f>
        <x:v>-27.715162606331827</x:v>
      </x:c>
      <x:c r="F183" s="4" t="n">
        <x:f>IF('계산 과정'!$L$7,'계산 과정'!$L$22+'계산 과정'!$C$49*D183+'계산 과정'!$D$49*E183,"")</x:f>
        <x:v>674.3099054285706</x:v>
      </x:c>
      <x:c r="G183" s="4" t="n">
        <x:f>IF('계산 과정'!$L$7,IF(ABS(F183)&gt;=1E-12*MAX(1,SQRT((D183-'계산 과정'!$C$33)^2+(E183-'계산 과정'!$D$33)^2+'계산 과정'!$E$33^2)),('계산 과정'!$L$23-'계산 과정'!$C$49*D183-'계산 과정'!$D$49*E183)/F183,""),"")</x:f>
        <x:v>0.5571475245238352</x:v>
      </x:c>
      <x:c r="H183" s="4" t="n">
        <x:f>IF(AND(ISNUMBER(G183),G183&gt;0),('계산 과정'!$D$56+'계산 과정'!$D$57*D183+'계산 과정'!$D$58*E183)/F183,"")</x:f>
        <x:v>-37.854109059507266</x:v>
      </x:c>
      <x:c r="I183" s="4" t="n">
        <x:f>IF(AND(ISNUMBER(G183),G183&gt;0),('계산 과정'!$E$56+'계산 과정'!$E$57*D183+'계산 과정'!$E$58*E183)/F183,"")</x:f>
        <x:v>-43.15659684422516</x:v>
      </x:c>
      <x:c r="J183" s="4" t="n">
        <x:f>IF('계산 과정'!$L$5,'계산 과정'!$D$6+'계산 과정'!$C$35*D183+'계산 과정'!$D$35*E183,"")</x:f>
        <x:v>674.3099054285706</x:v>
      </x:c>
      <x:c r="K183" s="4" t="n">
        <x:f>IF(AND('계산 과정'!$L$6,J183&gt;0),'계산 과정'!$D$10*('계산 과정'!$C$38*(D183-'계산 과정'!$C$32)+'계산 과정'!$D$38*(E183-'계산 과정'!$D$32)-'계산 과정'!$E$38*'계산 과정'!$E$32)/J183,"")</x:f>
        <x:v>-0.28841225950100663</x:v>
      </x:c>
      <x:c r="L183" s="4" t="n">
        <x:f>IF(AND('계산 과정'!$L$6,J183&gt;0),'계산 과정'!$D$10*('계산 과정'!$C$39*(D183-'계산 과정'!$C$32)+'계산 과정'!$D$39*(E183-'계산 과정'!$D$32)-'계산 과정'!$E$39*'계산 과정'!$E$32)/J183,"")</x:f>
        <x:v>-0.32881216643219174</x:v>
      </x:c>
      <x:c r="M183" s="17" t="n">
        <x:f>IF('계산 과정'!$L$6,IF(J183&lt;=0,0,IF(AND(ABS(K183)&lt;='계산 과정'!$D$11/2,ABS(L183)&lt;='계산 과정'!$D$12/2),1,0)),"")</x:f>
        <x:v>1</x:v>
      </x:c>
      <x:c r="N183" s="17" t="n">
        <x:f>IF('계산 과정'!$C$78,IF(AND(ISNUMBER(H183),ISNUMBER(I183),ABS(H183-'계산 과정'!$C$88)&lt;='계산 과정'!$D$23/2,ABS(I183-'계산 과정'!$C$89)&lt;='계산 과정'!$D$24/2),1,0),"")</x:f>
        <x:v>1</x:v>
      </x:c>
      <x:c r="O183" s="4" t="n">
        <x:f>IF('계산 과정'!$L$7,'계산 과정'!$C$49*('계산 과정'!$C$32-D183)+'계산 과정'!$D$49*('계산 과정'!$D$32-E183)+'계산 과정'!$E$49*'계산 과정'!$E$32,"")</x:f>
        <x:v>-24.309905428570403</x:v>
      </x:c>
      <x:c r="P183" s="4" t="n">
        <x:f>IF(AND('계산 과정'!$L$7,O183&lt;&gt;0),('계산 과정'!$L$23-'계산 과정'!$C$49*D183-'계산 과정'!$D$49*E183)/O183,"")</x:f>
        <x:v>-15.454198111766276</x:v>
      </x:c>
      <x:c r="Q183" s="4" t="str">
        <x:f>IF(AND(ISNUMBER(P183),P183&gt;1E-9,P183&lt;1-1E-9),'계산 과정'!$C$47*(D183-'계산 과정'!$C$50+P183*('계산 과정'!$C$32-D183))+'계산 과정'!$D$47*(E183-'계산 과정'!$D$50+P183*('계산 과정'!$D$32-E183))+'계산 과정'!$E$47*(0-'계산 과정'!$E$50+P183*('계산 과정'!$E$32-0)),"")</x:f>
      </x:c>
      <x:c r="R183" s="4" t="str">
        <x:f>IF(AND(ISNUMBER(P183),P183&gt;1E-9,P183&lt;1-1E-9),'계산 과정'!$C$48*(D183-'계산 과정'!$C$50+P183*('계산 과정'!$C$32-D183))+'계산 과정'!$D$48*(E183-'계산 과정'!$D$50+P183*('계산 과정'!$D$32-E183))+'계산 과정'!$E$48*(0-'계산 과정'!$E$50+P183*('계산 과정'!$E$32-0)),"")</x:f>
      </x:c>
      <x:c r="S183" s="17" t="n">
        <x:f>IF('계산 과정'!$C$78,IF(AND(ISNUMBER(Q183),ISNUMBER(R183),ABS(Q183-'계산 과정'!$C$88)&lt;='계산 과정'!$D$23/2,ABS(R183-'계산 과정'!$C$89)&lt;='계산 과정'!$D$24/2),1,0),"")</x:f>
        <x:v>0</x:v>
      </x:c>
      <x:c r="T183" s="4"/>
      <x:c r="U183" s="4"/>
      <x:c r="V183" s="4"/>
      <x:c r="W183" s="4" t="n">
        <x:f>IF('계산 과정'!$C$77,('계산 과정'!$D$56+'계산 과정'!$D$57*('계산 과정'!$L$11*COS(177*2*PI()/240))+'계산 과정'!$D$58*('계산 과정'!$L$11*SIN(177*2*PI()/240)))/('계산 과정'!$D$59+'계산 과정'!$D$60*('계산 과정'!$L$11*COS(177*2*PI()/240))+'계산 과정'!$D$61*('계산 과정'!$L$11*SIN(177*2*PI()/240))),"")</x:f>
        <x:v>-13.27304580177098</x:v>
      </x:c>
      <x:c r="X183" s="4" t="n">
        <x:f>IF('계산 과정'!$C$77,('계산 과정'!$E$56+'계산 과정'!$E$57*('계산 과정'!$L$11*COS(177*2*PI()/240))+'계산 과정'!$E$58*('계산 과정'!$L$11*SIN(177*2*PI()/240)))/('계산 과정'!$E$59+'계산 과정'!$E$60*('계산 과정'!$L$11*COS(177*2*PI()/240))+'계산 과정'!$E$61*('계산 과정'!$L$11*SIN(177*2*PI()/240))),"")</x:f>
        <x:v>-238.50717022813046</x:v>
      </x:c>
      <x:c r="Y183" s="4" t="str">
        <x:f>""</x:f>
      </x:c>
      <x:c r="Z183" s="4" t="str">
        <x:f>""</x:f>
      </x:c>
    </x:row>
    <x:row r="184" ht="23" customHeight="1">
      <x:c r="A184" s="17" t="n">
        <x:f>ROW()-6</x:f>
        <x:v>178</x:v>
      </x:c>
      <x:c r="B184" s="4" t="n">
        <x:f>IF('계산 과정'!$L$5,'계산 과정'!$L$11*SQRT((A184+0.5)/'계산 과정'!$L$30),"")</x:f>
        <x:v>44.28385225240122</x:v>
      </x:c>
      <x:c r="C184" s="4" t="n">
        <x:f>A184*PI()*(3-SQRT(5))</x:f>
        <x:v>427.19345489170024</x:v>
      </x:c>
      <x:c r="D184" s="4" t="n">
        <x:f>IF('계산 과정'!$L$5,B184*COS(C184),"")</x:f>
        <x:v>44.195592495728896</x:v>
      </x:c>
      <x:c r="E184" s="4" t="n">
        <x:f>IF('계산 과정'!$L$5,B184*SIN(C184),"")</x:f>
        <x:v>-2.794489982800434</x:v>
      </x:c>
      <x:c r="F184" s="4" t="n">
        <x:f>IF('계산 과정'!$L$7,'계산 과정'!$L$22+'계산 과정'!$C$49*D184+'계산 과정'!$D$49*E184,"")</x:f>
        <x:v>618.7489968477128</x:v>
      </x:c>
      <x:c r="G184" s="4" t="n">
        <x:f>IF('계산 과정'!$L$7,IF(ABS(F184)&gt;=1E-12*MAX(1,SQRT((D184-'계산 과정'!$C$33)^2+(E184-'계산 과정'!$D$33)^2+'계산 과정'!$E$33^2)),('계산 과정'!$L$23-'계산 과정'!$C$49*D184-'계산 과정'!$D$49*E184)/F184,""),"")</x:f>
        <x:v>0.6969724481968368</x:v>
      </x:c>
      <x:c r="H184" s="4" t="n">
        <x:f>IF(AND(ISNUMBER(G184),G184&gt;0),('계산 과정'!$D$56+'계산 과정'!$D$57*D184+'계산 과정'!$D$58*E184)/F184,"")</x:f>
        <x:v>53.03209132794375</x:v>
      </x:c>
      <x:c r="I184" s="4" t="n">
        <x:f>IF(AND(ISNUMBER(G184),G184&gt;0),('계산 과정'!$E$56+'계산 과정'!$E$57*D184+'계산 과정'!$E$58*E184)/F184,"")</x:f>
        <x:v>-4.742172507574389</x:v>
      </x:c>
      <x:c r="J184" s="4" t="n">
        <x:f>IF('계산 과정'!$L$5,'계산 과정'!$D$6+'계산 과정'!$C$35*D184+'계산 과정'!$D$35*E184,"")</x:f>
        <x:v>618.7489968477128</x:v>
      </x:c>
      <x:c r="K184" s="4" t="n">
        <x:f>IF(AND('계산 과정'!$L$6,J184&gt;0),'계산 과정'!$D$10*('계산 과정'!$C$38*(D184-'계산 과정'!$C$32)+'계산 과정'!$D$38*(E184-'계산 과정'!$D$32)-'계산 과정'!$E$38*'계산 과정'!$E$32)/J184,"")</x:f>
        <x:v>0.40405402916528643</x:v>
      </x:c>
      <x:c r="L184" s="4" t="n">
        <x:f>IF(AND('계산 과정'!$L$6,J184&gt;0),'계산 과정'!$D$10*('계산 과정'!$C$39*(D184-'계산 과정'!$C$32)+'계산 과정'!$D$39*(E184-'계산 과정'!$D$32)-'계산 과정'!$E$39*'계산 과정'!$E$32)/J184,"")</x:f>
        <x:v>-0.03613083815294772</x:v>
      </x:c>
      <x:c r="M184" s="17" t="n">
        <x:f>IF('계산 과정'!$L$6,IF(J184&lt;=0,0,IF(AND(ABS(K184)&lt;='계산 과정'!$D$11/2,ABS(L184)&lt;='계산 과정'!$D$12/2),1,0)),"")</x:f>
        <x:v>1</x:v>
      </x:c>
      <x:c r="N184" s="17" t="n">
        <x:f>IF('계산 과정'!$C$78,IF(AND(ISNUMBER(H184),ISNUMBER(I184),ABS(H184-'계산 과정'!$C$88)&lt;='계산 과정'!$D$23/2,ABS(I184-'계산 과정'!$C$89)&lt;='계산 과정'!$D$24/2),1,0),"")</x:f>
        <x:v>1</x:v>
      </x:c>
      <x:c r="O184" s="4" t="n">
        <x:f>IF('계산 과정'!$L$7,'계산 과정'!$C$49*('계산 과정'!$C$32-D184)+'계산 과정'!$D$49*('계산 과정'!$D$32-E184)+'계산 과정'!$E$49*'계산 과정'!$E$32,"")</x:f>
        <x:v>31.251003152287296</x:v>
      </x:c>
      <x:c r="P184" s="4" t="n">
        <x:f>IF(AND('계산 과정'!$L$7,O184&lt;&gt;0),('계산 과정'!$L$23-'계산 과정'!$C$49*D184-'계산 과정'!$D$49*E184)/O184,"")</x:f>
        <x:v>13.799589122012662</x:v>
      </x:c>
      <x:c r="Q184" s="4" t="str">
        <x:f>IF(AND(ISNUMBER(P184),P184&gt;1E-9,P184&lt;1-1E-9),'계산 과정'!$C$47*(D184-'계산 과정'!$C$50+P184*('계산 과정'!$C$32-D184))+'계산 과정'!$D$47*(E184-'계산 과정'!$D$50+P184*('계산 과정'!$D$32-E184))+'계산 과정'!$E$47*(0-'계산 과정'!$E$50+P184*('계산 과정'!$E$32-0)),"")</x:f>
      </x:c>
      <x:c r="R184" s="4" t="str">
        <x:f>IF(AND(ISNUMBER(P184),P184&gt;1E-9,P184&lt;1-1E-9),'계산 과정'!$C$48*(D184-'계산 과정'!$C$50+P184*('계산 과정'!$C$32-D184))+'계산 과정'!$D$48*(E184-'계산 과정'!$D$50+P184*('계산 과정'!$D$32-E184))+'계산 과정'!$E$48*(0-'계산 과정'!$E$50+P184*('계산 과정'!$E$32-0)),"")</x:f>
      </x:c>
      <x:c r="S184" s="17" t="n">
        <x:f>IF('계산 과정'!$C$78,IF(AND(ISNUMBER(Q184),ISNUMBER(R184),ABS(Q184-'계산 과정'!$C$88)&lt;='계산 과정'!$D$23/2,ABS(R184-'계산 과정'!$C$89)&lt;='계산 과정'!$D$24/2),1,0),"")</x:f>
        <x:v>0</x:v>
      </x:c>
      <x:c r="T184" s="4"/>
      <x:c r="U184" s="4"/>
      <x:c r="V184" s="4"/>
      <x:c r="W184" s="4" t="n">
        <x:f>IF('계산 과정'!$C$77,('계산 과정'!$D$56+'계산 과정'!$D$57*('계산 과정'!$L$11*COS(178*2*PI()/240))+'계산 과정'!$D$58*('계산 과정'!$L$11*SIN(178*2*PI()/240)))/('계산 과정'!$D$59+'계산 과정'!$D$60*('계산 과정'!$L$11*COS(178*2*PI()/240))+'계산 과정'!$D$61*('계산 과정'!$L$11*SIN(178*2*PI()/240))),"")</x:f>
        <x:v>-8.891175766506873</x:v>
      </x:c>
      <x:c r="X184" s="4" t="n">
        <x:f>IF('계산 과정'!$C$77,('계산 과정'!$E$56+'계산 과정'!$E$57*('계산 과정'!$L$11*COS(178*2*PI()/240))+'계산 과정'!$E$58*('계산 과정'!$L$11*SIN(178*2*PI()/240)))/('계산 과정'!$E$59+'계산 과정'!$E$60*('계산 과정'!$L$11*COS(178*2*PI()/240))+'계산 과정'!$E$61*('계산 과정'!$L$11*SIN(178*2*PI()/240))),"")</x:f>
        <x:v>-239.92662017842497</x:v>
      </x:c>
      <x:c r="Y184" s="4" t="str">
        <x:f>""</x:f>
      </x:c>
      <x:c r="Z184" s="4" t="str">
        <x:f>""</x:f>
      </x:c>
    </x:row>
    <x:row r="185" ht="23" customHeight="1">
      <x:c r="A185" s="17" t="n">
        <x:f>ROW()-6</x:f>
        <x:v>179</x:v>
      </x:c>
      <x:c r="B185" s="4" t="n">
        <x:f>IF('계산 과정'!$L$5,'계산 과정'!$L$11*SQRT((A185+0.5)/'계산 과정'!$L$30),"")</x:f>
        <x:v>44.407723409757224</x:v>
      </x:c>
      <x:c r="C185" s="4" t="n">
        <x:f>A185*PI()*(3-SQRT(5))</x:f>
        <x:v>429.5934181214289</x:v>
      </x:c>
      <x:c r="D185" s="4" t="n">
        <x:f>IF('계산 과정'!$L$5,B185*COS(C185),"")</x:f>
        <x:v>-30.78668013522607</x:v>
      </x:c>
      <x:c r="E185" s="4" t="n">
        <x:f>IF('계산 과정'!$L$5,B185*SIN(C185),"")</x:f>
        <x:v>32.0035345655566</x:v>
      </x:c>
      <x:c r="F185" s="4" t="n">
        <x:f>IF('계산 과정'!$L$7,'계산 과정'!$L$22+'계산 과정'!$C$49*D185+'계산 과정'!$D$49*E185,"")</x:f>
        <x:v>671.7694702938395</x:v>
      </x:c>
      <x:c r="G185" s="4" t="n">
        <x:f>IF('계산 과정'!$L$7,IF(ABS(F185)&gt;=1E-12*MAX(1,SQRT((D185-'계산 과정'!$C$33)^2+(E185-'계산 과정'!$D$33)^2+'계산 과정'!$E$33^2)),('계산 과정'!$L$23-'계산 과정'!$C$49*D185-'계산 과정'!$D$49*E185)/F185,""),"")</x:f>
        <x:v>0.5630361998152703</x:v>
      </x:c>
      <x:c r="H185" s="4" t="n">
        <x:f>IF(AND(ISNUMBER(G185),G185&gt;0),('계산 과정'!$D$56+'계산 과정'!$D$57*D185+'계산 과정'!$D$58*E185)/F185,"")</x:f>
        <x:v>-34.02647012007447</x:v>
      </x:c>
      <x:c r="I185" s="4" t="n">
        <x:f>IF(AND(ISNUMBER(G185),G185&gt;0),('계산 과정'!$E$56+'계산 과정'!$E$57*D185+'계산 과정'!$E$58*E185)/F185,"")</x:f>
        <x:v>50.02268304800423</x:v>
      </x:c>
      <x:c r="J185" s="4" t="n">
        <x:f>IF('계산 과정'!$L$5,'계산 과정'!$D$6+'계산 과정'!$C$35*D185+'계산 과정'!$D$35*E185,"")</x:f>
        <x:v>671.7694702938395</x:v>
      </x:c>
      <x:c r="K185" s="4" t="n">
        <x:f>IF(AND('계산 과정'!$L$6,J185&gt;0),'계산 과정'!$D$10*('계산 과정'!$C$38*(D185-'계산 과정'!$C$32)+'계산 과정'!$D$38*(E185-'계산 과정'!$D$32)-'계산 과정'!$E$38*'계산 과정'!$E$32)/J185,"")</x:f>
        <x:v>-0.2592492961529472</x:v>
      </x:c>
      <x:c r="L185" s="4" t="n">
        <x:f>IF(AND('계산 과정'!$L$6,J185&gt;0),'계산 과정'!$D$10*('계산 과정'!$C$39*(D185-'계산 과정'!$C$32)+'계산 과정'!$D$39*(E185-'계산 과정'!$D$32)-'계산 과정'!$E$39*'계산 과정'!$E$32)/J185,"")</x:f>
        <x:v>0.38112520417527035</x:v>
      </x:c>
      <x:c r="M185" s="17" t="n">
        <x:f>IF('계산 과정'!$L$6,IF(J185&lt;=0,0,IF(AND(ABS(K185)&lt;='계산 과정'!$D$11/2,ABS(L185)&lt;='계산 과정'!$D$12/2),1,0)),"")</x:f>
        <x:v>1</x:v>
      </x:c>
      <x:c r="N185" s="17" t="n">
        <x:f>IF('계산 과정'!$C$78,IF(AND(ISNUMBER(H185),ISNUMBER(I185),ABS(H185-'계산 과정'!$C$88)&lt;='계산 과정'!$D$23/2,ABS(I185-'계산 과정'!$C$89)&lt;='계산 과정'!$D$24/2),1,0),"")</x:f>
        <x:v>1</x:v>
      </x:c>
      <x:c r="O185" s="4" t="n">
        <x:f>IF('계산 과정'!$L$7,'계산 과정'!$C$49*('계산 과정'!$C$32-D185)+'계산 과정'!$D$49*('계산 과정'!$D$32-E185)+'계산 과정'!$E$49*'계산 과정'!$E$32,"")</x:f>
        <x:v>-21.76947029383939</x:v>
      </x:c>
      <x:c r="P185" s="4" t="n">
        <x:f>IF(AND('계산 과정'!$L$7,O185&lt;&gt;0),('계산 과정'!$L$23-'계산 과정'!$C$49*D185-'계산 과정'!$D$49*E185)/O185,"")</x:f>
        <x:v>-17.374356132734984</x:v>
      </x:c>
      <x:c r="Q185" s="4" t="str">
        <x:f>IF(AND(ISNUMBER(P185),P185&gt;1E-9,P185&lt;1-1E-9),'계산 과정'!$C$47*(D185-'계산 과정'!$C$50+P185*('계산 과정'!$C$32-D185))+'계산 과정'!$D$47*(E185-'계산 과정'!$D$50+P185*('계산 과정'!$D$32-E185))+'계산 과정'!$E$47*(0-'계산 과정'!$E$50+P185*('계산 과정'!$E$32-0)),"")</x:f>
      </x:c>
      <x:c r="R185" s="4" t="str">
        <x:f>IF(AND(ISNUMBER(P185),P185&gt;1E-9,P185&lt;1-1E-9),'계산 과정'!$C$48*(D185-'계산 과정'!$C$50+P185*('계산 과정'!$C$32-D185))+'계산 과정'!$D$48*(E185-'계산 과정'!$D$50+P185*('계산 과정'!$D$32-E185))+'계산 과정'!$E$48*(0-'계산 과정'!$E$50+P185*('계산 과정'!$E$32-0)),"")</x:f>
      </x:c>
      <x:c r="S185" s="17" t="n">
        <x:f>IF('계산 과정'!$C$78,IF(AND(ISNUMBER(Q185),ISNUMBER(R185),ABS(Q185-'계산 과정'!$C$88)&lt;='계산 과정'!$D$23/2,ABS(R185-'계산 과정'!$C$89)&lt;='계산 과정'!$D$24/2),1,0),"")</x:f>
        <x:v>0</x:v>
      </x:c>
      <x:c r="T185" s="4"/>
      <x:c r="U185" s="4"/>
      <x:c r="V185" s="4"/>
      <x:c r="W185" s="4" t="n">
        <x:f>IF('계산 과정'!$C$77,('계산 과정'!$D$56+'계산 과정'!$D$57*('계산 과정'!$L$11*COS(179*2*PI()/240))+'계산 과정'!$D$58*('계산 과정'!$L$11*SIN(179*2*PI()/240)))/('계산 과정'!$D$59+'계산 과정'!$D$60*('계산 과정'!$L$11*COS(179*2*PI()/240))+'계산 과정'!$D$61*('계산 과정'!$L$11*SIN(179*2*PI()/240))),"")</x:f>
        <x:v>-4.466013941820681</x:v>
      </x:c>
      <x:c r="X185" s="4" t="n">
        <x:f>IF('계산 과정'!$C$77,('계산 과정'!$E$56+'계산 과정'!$E$57*('계산 과정'!$L$11*COS(179*2*PI()/240))+'계산 과정'!$E$58*('계산 과정'!$L$11*SIN(179*2*PI()/240)))/('계산 과정'!$E$59+'계산 과정'!$E$60*('계산 과정'!$L$11*COS(179*2*PI()/240))+'계산 과정'!$E$61*('계산 과정'!$L$11*SIN(179*2*PI()/240))),"")</x:f>
        <x:v>-241.19439407860418</x:v>
      </x:c>
      <x:c r="Y185" s="4" t="str">
        <x:f>""</x:f>
      </x:c>
      <x:c r="Z185" s="4" t="str">
        <x:f>""</x:f>
      </x:c>
    </x:row>
    <x:row r="186" ht="23" customHeight="1">
      <x:c r="A186" s="17" t="n">
        <x:f>ROW()-6</x:f>
        <x:v>180</x:v>
      </x:c>
      <x:c r="B186" s="4" t="n">
        <x:f>IF('계산 과정'!$L$5,'계산 과정'!$L$11*SQRT((A186+0.5)/'계산 과정'!$L$30),"")</x:f>
        <x:v>44.53125</x:v>
      </x:c>
      <x:c r="C186" s="4" t="n">
        <x:f>A186*PI()*(3-SQRT(5))</x:f>
        <x:v>431.99338135115755</x:v>
      </x:c>
      <x:c r="D186" s="4" t="n">
        <x:f>IF('계산 과정'!$L$5,B186*COS(C186),"")</x:f>
        <x:v>1.0860755078908444</x:v>
      </x:c>
      <x:c r="E186" s="4" t="n">
        <x:f>IF('계산 과정'!$L$5,B186*SIN(C186),"")</x:f>
        <x:v>-44.51800384736112</x:v>
      </x:c>
      <x:c r="F186" s="4" t="n">
        <x:f>IF('계산 과정'!$L$7,'계산 과정'!$L$22+'계산 과정'!$C$49*D186+'계산 과정'!$D$49*E186,"")</x:f>
        <x:v>649.2320286434898</x:v>
      </x:c>
      <x:c r="G186" s="4" t="n">
        <x:f>IF('계산 과정'!$L$7,IF(ABS(F186)&gt;=1E-12*MAX(1,SQRT((D186-'계산 과정'!$C$33)^2+(E186-'계산 과정'!$D$33)^2+'계산 과정'!$E$33^2)),('계산 과정'!$L$23-'계산 과정'!$C$49*D186-'계산 과정'!$D$49*E186)/F186,""),"")</x:f>
        <x:v>0.6172954408824806</x:v>
      </x:c>
      <x:c r="H186" s="4" t="n">
        <x:f>IF(AND(ISNUMBER(G186),G186&gt;0),('계산 과정'!$D$56+'계산 과정'!$D$57*D186+'계산 과정'!$D$58*E186)/F186,"")</x:f>
        <x:v>1.2420365736122314</x:v>
      </x:c>
      <x:c r="I186" s="4" t="n">
        <x:f>IF(AND(ISNUMBER(G186),G186&gt;0),('계산 과정'!$E$56+'계산 과정'!$E$57*D186+'계산 과정'!$E$58*E186)/F186,"")</x:f>
        <x:v>-71.99876465952586</x:v>
      </x:c>
      <x:c r="J186" s="4" t="n">
        <x:f>IF('계산 과정'!$L$5,'계산 과정'!$D$6+'계산 과정'!$C$35*D186+'계산 과정'!$D$35*E186,"")</x:f>
        <x:v>649.2320286434898</x:v>
      </x:c>
      <x:c r="K186" s="4" t="n">
        <x:f>IF(AND('계산 과정'!$L$6,J186&gt;0),'계산 과정'!$D$10*('계산 과정'!$C$38*(D186-'계산 과정'!$C$32)+'계산 과정'!$D$38*(E186-'계산 과정'!$D$32)-'계산 과정'!$E$38*'계산 과정'!$E$32)/J186,"")</x:f>
        <x:v>0.009463135798951434</x:v>
      </x:c>
      <x:c r="L186" s="4" t="n">
        <x:f>IF(AND('계산 과정'!$L$6,J186&gt;0),'계산 과정'!$D$10*('계산 과정'!$C$39*(D186-'계산 과정'!$C$32)+'계산 과정'!$D$39*(E186-'계산 과정'!$D$32)-'계산 과정'!$E$39*'계산 과정'!$E$32)/J186,"")</x:f>
        <x:v>-0.5485620164535304</x:v>
      </x:c>
      <x:c r="M186" s="17" t="n">
        <x:f>IF('계산 과정'!$L$6,IF(J186&lt;=0,0,IF(AND(ABS(K186)&lt;='계산 과정'!$D$11/2,ABS(L186)&lt;='계산 과정'!$D$12/2),1,0)),"")</x:f>
        <x:v>1</x:v>
      </x:c>
      <x:c r="N186" s="17" t="n">
        <x:f>IF('계산 과정'!$C$78,IF(AND(ISNUMBER(H186),ISNUMBER(I186),ABS(H186-'계산 과정'!$C$88)&lt;='계산 과정'!$D$23/2,ABS(I186-'계산 과정'!$C$89)&lt;='계산 과정'!$D$24/2),1,0),"")</x:f>
        <x:v>1</x:v>
      </x:c>
      <x:c r="O186" s="4" t="n">
        <x:f>IF('계산 과정'!$L$7,'계산 과정'!$C$49*('계산 과정'!$C$32-D186)+'계산 과정'!$D$49*('계산 과정'!$D$32-E186)+'계산 과정'!$E$49*'계산 과정'!$E$32,"")</x:f>
        <x:v>0.7679713565103157</x:v>
      </x:c>
      <x:c r="P186" s="4" t="n">
        <x:f>IF(AND('계산 과정'!$L$7,O186&lt;&gt;0),('계산 과정'!$L$23-'계산 과정'!$C$49*D186-'계산 과정'!$D$49*E186)/O186,"")</x:f>
        <x:v>521.8527591674924</x:v>
      </x:c>
      <x:c r="Q186" s="4" t="str">
        <x:f>IF(AND(ISNUMBER(P186),P186&gt;1E-9,P186&lt;1-1E-9),'계산 과정'!$C$47*(D186-'계산 과정'!$C$50+P186*('계산 과정'!$C$32-D186))+'계산 과정'!$D$47*(E186-'계산 과정'!$D$50+P186*('계산 과정'!$D$32-E186))+'계산 과정'!$E$47*(0-'계산 과정'!$E$50+P186*('계산 과정'!$E$32-0)),"")</x:f>
      </x:c>
      <x:c r="R186" s="4" t="str">
        <x:f>IF(AND(ISNUMBER(P186),P186&gt;1E-9,P186&lt;1-1E-9),'계산 과정'!$C$48*(D186-'계산 과정'!$C$50+P186*('계산 과정'!$C$32-D186))+'계산 과정'!$D$48*(E186-'계산 과정'!$D$50+P186*('계산 과정'!$D$32-E186))+'계산 과정'!$E$48*(0-'계산 과정'!$E$50+P186*('계산 과정'!$E$32-0)),"")</x:f>
      </x:c>
      <x:c r="S186" s="17" t="n">
        <x:f>IF('계산 과정'!$C$78,IF(AND(ISNUMBER(Q186),ISNUMBER(R186),ABS(Q186-'계산 과정'!$C$88)&lt;='계산 과정'!$D$23/2,ABS(R186-'계산 과정'!$C$89)&lt;='계산 과정'!$D$24/2),1,0),"")</x:f>
        <x:v>0</x:v>
      </x:c>
      <x:c r="T186" s="4"/>
      <x:c r="U186" s="4"/>
      <x:c r="V186" s="4"/>
      <x:c r="W186" s="4" t="n">
        <x:f>IF('계산 과정'!$C$77,('계산 과정'!$D$56+'계산 과정'!$D$57*('계산 과정'!$L$11*COS(180*2*PI()/240))+'계산 과정'!$D$58*('계산 과정'!$L$11*SIN(180*2*PI()/240)))/('계산 과정'!$D$59+'계산 과정'!$D$60*('계산 과정'!$L$11*COS(180*2*PI()/240))+'계산 과정'!$D$61*('계산 과정'!$L$11*SIN(180*2*PI()/240))),"")</x:f>
        <x:v>-1.4516100976555992e-13</x:v>
      </x:c>
      <x:c r="X186" s="4" t="n">
        <x:f>IF('계산 과정'!$C$77,('계산 과정'!$E$56+'계산 과정'!$E$57*('계산 과정'!$L$11*COS(180*2*PI()/240))+'계산 과정'!$E$58*('계산 과정'!$L$11*SIN(180*2*PI()/240)))/('계산 과정'!$E$59+'계산 과정'!$E$60*('계산 과정'!$L$11*COS(180*2*PI()/240))+'계산 과정'!$E$61*('계산 과정'!$L$11*SIN(180*2*PI()/240))),"")</x:f>
        <x:v>-242.30769230769232</x:v>
      </x:c>
      <x:c r="Y186" s="4" t="str">
        <x:f>""</x:f>
      </x:c>
      <x:c r="Z186" s="4" t="str">
        <x:f>""</x:f>
      </x:c>
    </x:row>
    <x:row r="187" ht="23" customHeight="1">
      <x:c r="A187" s="17" t="n">
        <x:f>ROW()-6</x:f>
        <x:v>181</x:v>
      </x:c>
      <x:c r="B187" s="4" t="n">
        <x:f>IF('계산 과정'!$L$5,'계산 과정'!$L$11*SQRT((A187+0.5)/'계산 과정'!$L$30),"")</x:f>
        <x:v>44.654434882635115</x:v>
      </x:c>
      <x:c r="C187" s="4" t="n">
        <x:f>A187*PI()*(3-SQRT(5))</x:f>
        <x:v>434.39334458088615</x:v>
      </x:c>
      <x:c r="D187" s="4" t="n">
        <x:f>IF('계산 과정'!$L$5,B187*COS(C187),"")</x:f>
        <x:v>29.35161135665128</x:v>
      </x:c>
      <x:c r="E187" s="4" t="n">
        <x:f>IF('계산 과정'!$L$5,B187*SIN(C187),"")</x:f>
        <x:v>33.6526591141859</x:v>
      </x:c>
      <x:c r="F187" s="4" t="n">
        <x:f>IF('계산 과정'!$L$7,'계산 과정'!$L$22+'계산 과정'!$C$49*D187+'계산 과정'!$D$49*E187,"")</x:f>
        <x:v>629.2452765709598</x:v>
      </x:c>
      <x:c r="G187" s="4" t="n">
        <x:f>IF('계산 과정'!$L$7,IF(ABS(F187)&gt;=1E-12*MAX(1,SQRT((D187-'계산 과정'!$C$33)^2+(E187-'계산 과정'!$D$33)^2+'계산 과정'!$E$33^2)),('계산 과정'!$L$23-'계산 과정'!$C$49*D187-'계산 과정'!$D$49*E187)/F187,""),"")</x:f>
        <x:v>0.6686656842653181</x:v>
      </x:c>
      <x:c r="H187" s="4" t="n">
        <x:f>IF(AND(ISNUMBER(G187),G187&gt;0),('계산 과정'!$D$56+'계산 과정'!$D$57*D187+'계산 과정'!$D$58*E187)/F187,"")</x:f>
        <x:v>34.63269477245669</x:v>
      </x:c>
      <x:c r="I187" s="4" t="n">
        <x:f>IF(AND(ISNUMBER(G187),G187&gt;0),('계산 과정'!$E$56+'계산 과정'!$E$57*D187+'계산 과정'!$E$58*E187)/F187,"")</x:f>
        <x:v>56.1550374481205</x:v>
      </x:c>
      <x:c r="J187" s="4" t="n">
        <x:f>IF('계산 과정'!$L$5,'계산 과정'!$D$6+'계산 과정'!$C$35*D187+'계산 과정'!$D$35*E187,"")</x:f>
        <x:v>629.2452765709598</x:v>
      </x:c>
      <x:c r="K187" s="4" t="n">
        <x:f>IF(AND('계산 과정'!$L$6,J187&gt;0),'계산 과정'!$D$10*('계산 과정'!$C$38*(D187-'계산 과정'!$C$32)+'계산 과정'!$D$38*(E187-'계산 과정'!$D$32)-'계산 과정'!$E$38*'계산 과정'!$E$32)/J187,"")</x:f>
        <x:v>0.26386815064729</x:v>
      </x:c>
      <x:c r="L187" s="4" t="n">
        <x:f>IF(AND('계산 과정'!$L$6,J187&gt;0),'계산 과정'!$D$10*('계산 과정'!$C$39*(D187-'계산 과정'!$C$32)+'계산 과정'!$D$39*(E187-'계산 과정'!$D$32)-'계산 과정'!$E$39*'계산 과정'!$E$32)/J187,"")</x:f>
        <x:v>0.42784790436663245</x:v>
      </x:c>
      <x:c r="M187" s="17" t="n">
        <x:f>IF('계산 과정'!$L$6,IF(J187&lt;=0,0,IF(AND(ABS(K187)&lt;='계산 과정'!$D$11/2,ABS(L187)&lt;='계산 과정'!$D$12/2),1,0)),"")</x:f>
        <x:v>1</x:v>
      </x:c>
      <x:c r="N187" s="17" t="n">
        <x:f>IF('계산 과정'!$C$78,IF(AND(ISNUMBER(H187),ISNUMBER(I187),ABS(H187-'계산 과정'!$C$88)&lt;='계산 과정'!$D$23/2,ABS(I187-'계산 과정'!$C$89)&lt;='계산 과정'!$D$24/2),1,0),"")</x:f>
        <x:v>1</x:v>
      </x:c>
      <x:c r="O187" s="4" t="n">
        <x:f>IF('계산 과정'!$L$7,'계산 과정'!$C$49*('계산 과정'!$C$32-D187)+'계산 과정'!$D$49*('계산 과정'!$D$32-E187)+'계산 과정'!$E$49*'계산 과정'!$E$32,"")</x:f>
        <x:v>20.754723429040325</x:v>
      </x:c>
      <x:c r="P187" s="4" t="n">
        <x:f>IF(AND('계산 과정'!$L$7,O187&lt;&gt;0),('계산 과정'!$L$23-'계산 과정'!$C$49*D187-'계산 과정'!$D$49*E187)/O187,"")</x:f>
        <x:v>20.2727212852335</x:v>
      </x:c>
      <x:c r="Q187" s="4" t="str">
        <x:f>IF(AND(ISNUMBER(P187),P187&gt;1E-9,P187&lt;1-1E-9),'계산 과정'!$C$47*(D187-'계산 과정'!$C$50+P187*('계산 과정'!$C$32-D187))+'계산 과정'!$D$47*(E187-'계산 과정'!$D$50+P187*('계산 과정'!$D$32-E187))+'계산 과정'!$E$47*(0-'계산 과정'!$E$50+P187*('계산 과정'!$E$32-0)),"")</x:f>
      </x:c>
      <x:c r="R187" s="4" t="str">
        <x:f>IF(AND(ISNUMBER(P187),P187&gt;1E-9,P187&lt;1-1E-9),'계산 과정'!$C$48*(D187-'계산 과정'!$C$50+P187*('계산 과정'!$C$32-D187))+'계산 과정'!$D$48*(E187-'계산 과정'!$D$50+P187*('계산 과정'!$D$32-E187))+'계산 과정'!$E$48*(0-'계산 과정'!$E$50+P187*('계산 과정'!$E$32-0)),"")</x:f>
      </x:c>
      <x:c r="S187" s="17" t="n">
        <x:f>IF('계산 과정'!$C$78,IF(AND(ISNUMBER(Q187),ISNUMBER(R187),ABS(Q187-'계산 과정'!$C$88)&lt;='계산 과정'!$D$23/2,ABS(R187-'계산 과정'!$C$89)&lt;='계산 과정'!$D$24/2),1,0),"")</x:f>
        <x:v>0</x:v>
      </x:c>
      <x:c r="T187" s="4"/>
      <x:c r="U187" s="4"/>
      <x:c r="V187" s="4"/>
      <x:c r="W187" s="4" t="n">
        <x:f>IF('계산 과정'!$C$77,('계산 과정'!$D$56+'계산 과정'!$D$57*('계산 과정'!$L$11*COS(181*2*PI()/240))+'계산 과정'!$D$58*('계산 과정'!$L$11*SIN(181*2*PI()/240)))/('계산 과정'!$D$59+'계산 과정'!$D$60*('계산 과정'!$L$11*COS(181*2*PI()/240))+'계산 과정'!$D$61*('계산 과정'!$L$11*SIN(181*2*PI()/240))),"")</x:f>
        <x:v>4.504330902984778</x:v>
      </x:c>
      <x:c r="X187" s="4" t="n">
        <x:f>IF('계산 과정'!$C$77,('계산 과정'!$E$56+'계산 과정'!$E$57*('계산 과정'!$L$11*COS(181*2*PI()/240))+'계산 과정'!$E$58*('계산 과정'!$L$11*SIN(181*2*PI()/240)))/('계산 과정'!$E$59+'계산 과정'!$E$60*('계산 과정'!$L$11*COS(181*2*PI()/240))+'계산 과정'!$E$61*('계산 과정'!$L$11*SIN(181*2*PI()/240))),"")</x:f>
        <x:v>-243.2637642936041</x:v>
      </x:c>
      <x:c r="Y187" s="4" t="str">
        <x:f>""</x:f>
      </x:c>
      <x:c r="Z187" s="4" t="str">
        <x:f>""</x:f>
      </x:c>
    </x:row>
    <x:row r="188" ht="23" customHeight="1">
      <x:c r="A188" s="17" t="n">
        <x:f>ROW()-6</x:f>
        <x:v>182</x:v>
      </x:c>
      <x:c r="B188" s="4" t="n">
        <x:f>IF('계산 과정'!$L$5,'계산 과정'!$L$11*SQRT((A188+0.5)/'계산 과정'!$L$30),"")</x:f>
        <x:v>44.777280877834684</x:v>
      </x:c>
      <x:c r="C188" s="4" t="n">
        <x:f>A188*PI()*(3-SQRT(5))</x:f>
        <x:v>436.7933078106148</x:v>
      </x:c>
      <x:c r="D188" s="4" t="n">
        <x:f>IF('계산 과정'!$L$5,B188*COS(C188),"")</x:f>
        <x:v>-44.49708662881801</x:v>
      </x:c>
      <x:c r="E188" s="4" t="n">
        <x:f>IF('계산 과정'!$L$5,B188*SIN(C188),"")</x:f>
        <x:v>-5.001416235424236</x:v>
      </x:c>
      <x:c r="F188" s="4" t="n">
        <x:f>IF('계산 과정'!$L$7,'계산 과정'!$L$22+'계산 과정'!$C$49*D188+'계산 과정'!$D$49*E188,"")</x:f>
        <x:v>681.4641916982824</x:v>
      </x:c>
      <x:c r="G188" s="4" t="n">
        <x:f>IF('계산 과정'!$L$7,IF(ABS(F188)&gt;=1E-12*MAX(1,SQRT((D188-'계산 과정'!$C$33)^2+(E188-'계산 과정'!$D$33)^2+'계산 과정'!$E$33^2)),('계산 과정'!$L$23-'계산 과정'!$C$49*D188-'계산 과정'!$D$49*E188)/F188,""),"")</x:f>
        <x:v>0.5407999610123115</x:v>
      </x:c>
      <x:c r="H188" s="4" t="n">
        <x:f>IF(AND(ISNUMBER(G188),G188&gt;0),('계산 과정'!$D$56+'계산 과정'!$D$57*D188+'계산 과정'!$D$58*E188)/F188,"")</x:f>
        <x:v>-48.48002534199764</x:v>
      </x:c>
      <x:c r="I188" s="4" t="n">
        <x:f>IF(AND(ISNUMBER(G188),G188&gt;0),('계산 과정'!$E$56+'계산 과정'!$E$57*D188+'계산 과정'!$E$58*E188)/F188,"")</x:f>
        <x:v>-7.706181940548006</x:v>
      </x:c>
      <x:c r="J188" s="4" t="n">
        <x:f>IF('계산 과정'!$L$5,'계산 과정'!$D$6+'계산 과정'!$C$35*D188+'계산 과정'!$D$35*E188,"")</x:f>
        <x:v>681.4641916982824</x:v>
      </x:c>
      <x:c r="K188" s="4" t="n">
        <x:f>IF(AND('계산 과정'!$L$6,J188&gt;0),'계산 과정'!$D$10*('계산 과정'!$C$38*(D188-'계산 과정'!$C$32)+'계산 과정'!$D$38*(E188-'계산 과정'!$D$32)-'계산 과정'!$E$38*'계산 과정'!$E$32)/J188,"")</x:f>
        <x:v>-0.3693716216533147</x:v>
      </x:c>
      <x:c r="L188" s="4" t="n">
        <x:f>IF(AND('계산 과정'!$L$6,J188&gt;0),'계산 과정'!$D$10*('계산 과정'!$C$39*(D188-'계산 과정'!$C$32)+'계산 과정'!$D$39*(E188-'계산 과정'!$D$32)-'계산 과정'!$E$39*'계산 과정'!$E$32)/J188,"")</x:f>
        <x:v>-0.058713767166080046</x:v>
      </x:c>
      <x:c r="M188" s="17" t="n">
        <x:f>IF('계산 과정'!$L$6,IF(J188&lt;=0,0,IF(AND(ABS(K188)&lt;='계산 과정'!$D$11/2,ABS(L188)&lt;='계산 과정'!$D$12/2),1,0)),"")</x:f>
        <x:v>1</x:v>
      </x:c>
      <x:c r="N188" s="17" t="n">
        <x:f>IF('계산 과정'!$C$78,IF(AND(ISNUMBER(H188),ISNUMBER(I188),ABS(H188-'계산 과정'!$C$88)&lt;='계산 과정'!$D$23/2,ABS(I188-'계산 과정'!$C$89)&lt;='계산 과정'!$D$24/2),1,0),"")</x:f>
        <x:v>1</x:v>
      </x:c>
      <x:c r="O188" s="4" t="n">
        <x:f>IF('계산 과정'!$L$7,'계산 과정'!$C$49*('계산 과정'!$C$32-D188)+'계산 과정'!$D$49*('계산 과정'!$D$32-E188)+'계산 과정'!$E$49*'계산 과정'!$E$32,"")</x:f>
        <x:v>-31.464191698282377</x:v>
      </x:c>
      <x:c r="P188" s="4" t="n">
        <x:f>IF(AND('계산 과정'!$L$7,O188&lt;&gt;0),('계산 과정'!$L$23-'계산 과정'!$C$49*D188-'계산 과정'!$D$49*E188)/O188,"")</x:f>
        <x:v>-11.712864320040227</x:v>
      </x:c>
      <x:c r="Q188" s="4" t="str">
        <x:f>IF(AND(ISNUMBER(P188),P188&gt;1E-9,P188&lt;1-1E-9),'계산 과정'!$C$47*(D188-'계산 과정'!$C$50+P188*('계산 과정'!$C$32-D188))+'계산 과정'!$D$47*(E188-'계산 과정'!$D$50+P188*('계산 과정'!$D$32-E188))+'계산 과정'!$E$47*(0-'계산 과정'!$E$50+P188*('계산 과정'!$E$32-0)),"")</x:f>
      </x:c>
      <x:c r="R188" s="4" t="str">
        <x:f>IF(AND(ISNUMBER(P188),P188&gt;1E-9,P188&lt;1-1E-9),'계산 과정'!$C$48*(D188-'계산 과정'!$C$50+P188*('계산 과정'!$C$32-D188))+'계산 과정'!$D$48*(E188-'계산 과정'!$D$50+P188*('계산 과정'!$D$32-E188))+'계산 과정'!$E$48*(0-'계산 과정'!$E$50+P188*('계산 과정'!$E$32-0)),"")</x:f>
      </x:c>
      <x:c r="S188" s="17" t="n">
        <x:f>IF('계산 과정'!$C$78,IF(AND(ISNUMBER(Q188),ISNUMBER(R188),ABS(Q188-'계산 과정'!$C$88)&lt;='계산 과정'!$D$23/2,ABS(R188-'계산 과정'!$C$89)&lt;='계산 과정'!$D$24/2),1,0),"")</x:f>
        <x:v>0</x:v>
      </x:c>
      <x:c r="T188" s="4"/>
      <x:c r="U188" s="4"/>
      <x:c r="V188" s="4"/>
      <x:c r="W188" s="4" t="n">
        <x:f>IF('계산 과정'!$C$77,('계산 과정'!$D$56+'계산 과정'!$D$57*('계산 과정'!$L$11*COS(182*2*PI()/240))+'계산 과정'!$D$58*('계산 과정'!$L$11*SIN(182*2*PI()/240)))/('계산 과정'!$D$59+'계산 과정'!$D$60*('계산 과정'!$L$11*COS(182*2*PI()/240))+'계산 과정'!$D$61*('계산 과정'!$L$11*SIN(182*2*PI()/240))),"")</x:f>
        <x:v>9.044346963740816</x:v>
      </x:c>
      <x:c r="X188" s="4" t="n">
        <x:f>IF('계산 과정'!$C$77,('계산 과정'!$E$56+'계산 과정'!$E$57*('계산 과정'!$L$11*COS(182*2*PI()/240))+'계산 과정'!$E$58*('계산 과정'!$L$11*SIN(182*2*PI()/240)))/('계산 과정'!$E$59+'계산 과정'!$E$60*('계산 과정'!$L$11*COS(182*2*PI()/240))+'계산 과정'!$E$61*('계산 과정'!$L$11*SIN(182*2*PI()/240))),"")</x:f>
        <x:v>-244.05991465219893</x:v>
      </x:c>
      <x:c r="Y188" s="4" t="str">
        <x:f>""</x:f>
      </x:c>
      <x:c r="Z188" s="4" t="str">
        <x:f>""</x:f>
      </x:c>
    </x:row>
    <x:row r="189" ht="23" customHeight="1">
      <x:c r="A189" s="17" t="n">
        <x:f>ROW()-6</x:f>
        <x:v>183</x:v>
      </x:c>
      <x:c r="B189" s="4" t="n">
        <x:f>IF('계산 과정'!$L$5,'계산 과정'!$L$11*SQRT((A189+0.5)/'계산 과정'!$L$30),"")</x:f>
        <x:v>44.899790767190666</x:v>
      </x:c>
      <x:c r="C189" s="4" t="n">
        <x:f>A189*PI()*(3-SQRT(5))</x:f>
        <x:v>439.19327104034346</x:v>
      </x:c>
      <x:c r="D189" s="4" t="n">
        <x:f>IF('계산 과정'!$L$5,B189*COS(C189),"")</x:f>
        <x:v>36.28818794549114</x:v>
      </x:c>
      <x:c r="E189" s="4" t="n">
        <x:f>IF('계산 과정'!$L$5,B189*SIN(C189),"")</x:f>
        <x:v>-26.441607866584285</x:v>
      </x:c>
      <x:c r="F189" s="4" t="n">
        <x:f>IF('계산 과정'!$L$7,'계산 과정'!$L$22+'계산 과정'!$C$49*D189+'계산 과정'!$D$49*E189,"")</x:f>
        <x:v>624.3403762267712</x:v>
      </x:c>
      <x:c r="G189" s="4" t="n">
        <x:f>IF('계산 과정'!$L$7,IF(ABS(F189)&gt;=1E-12*MAX(1,SQRT((D189-'계산 과정'!$C$33)^2+(E189-'계산 과정'!$D$33)^2+'계산 과정'!$E$33^2)),('계산 과정'!$L$23-'계산 과정'!$C$49*D189-'계산 과정'!$D$49*E189)/F189,""),"")</x:f>
        <x:v>0.6817749419727129</x:v>
      </x:c>
      <x:c r="H189" s="4" t="n">
        <x:f>IF(AND(ISNUMBER(G189),G189&gt;0),('계산 과정'!$D$56+'계산 과정'!$D$57*D189+'계산 과정'!$D$58*E189)/F189,"")</x:f>
        <x:v>43.153712282263264</x:v>
      </x:c>
      <x:c r="I189" s="4" t="n">
        <x:f>IF(AND(ISNUMBER(G189),G189&gt;0),('계산 과정'!$E$56+'계산 과정'!$E$57*D189+'계산 과정'!$E$58*E189)/F189,"")</x:f>
        <x:v>-44.46883353549001</x:v>
      </x:c>
      <x:c r="J189" s="4" t="n">
        <x:f>IF('계산 과정'!$L$5,'계산 과정'!$D$6+'계산 과정'!$C$35*D189+'계산 과정'!$D$35*E189,"")</x:f>
        <x:v>624.3403762267712</x:v>
      </x:c>
      <x:c r="K189" s="4" t="n">
        <x:f>IF(AND('계산 과정'!$L$6,J189&gt;0),'계산 과정'!$D$10*('계산 과정'!$C$38*(D189-'계산 과정'!$C$32)+'계산 과정'!$D$38*(E189-'계산 과정'!$D$32)-'계산 과정'!$E$38*'계산 과정'!$E$32)/J189,"")</x:f>
        <x:v>0.32879018881724453</x:v>
      </x:c>
      <x:c r="L189" s="4" t="n">
        <x:f>IF(AND('계산 과정'!$L$6,J189&gt;0),'계산 과정'!$D$10*('계산 과정'!$C$39*(D189-'계산 과정'!$C$32)+'계산 과정'!$D$39*(E189-'계산 과정'!$D$32)-'계산 과정'!$E$39*'계산 과정'!$E$32)/J189,"")</x:f>
        <x:v>-0.3388101602704001</x:v>
      </x:c>
      <x:c r="M189" s="17" t="n">
        <x:f>IF('계산 과정'!$L$6,IF(J189&lt;=0,0,IF(AND(ABS(K189)&lt;='계산 과정'!$D$11/2,ABS(L189)&lt;='계산 과정'!$D$12/2),1,0)),"")</x:f>
        <x:v>1</x:v>
      </x:c>
      <x:c r="N189" s="17" t="n">
        <x:f>IF('계산 과정'!$C$78,IF(AND(ISNUMBER(H189),ISNUMBER(I189),ABS(H189-'계산 과정'!$C$88)&lt;='계산 과정'!$D$23/2,ABS(I189-'계산 과정'!$C$89)&lt;='계산 과정'!$D$24/2),1,0),"")</x:f>
        <x:v>1</x:v>
      </x:c>
      <x:c r="O189" s="4" t="n">
        <x:f>IF('계산 과정'!$L$7,'계산 과정'!$C$49*('계산 과정'!$C$32-D189)+'계산 과정'!$D$49*('계산 과정'!$D$32-E189)+'계산 과정'!$E$49*'계산 과정'!$E$32,"")</x:f>
        <x:v>25.659623773228816</x:v>
      </x:c>
      <x:c r="P189" s="4" t="n">
        <x:f>IF(AND('계산 과정'!$L$7,O189&lt;&gt;0),('계산 과정'!$L$23-'계산 과정'!$C$49*D189-'계산 과정'!$D$49*E189)/O189,"")</x:f>
        <x:v>16.588693097570964</x:v>
      </x:c>
      <x:c r="Q189" s="4" t="str">
        <x:f>IF(AND(ISNUMBER(P189),P189&gt;1E-9,P189&lt;1-1E-9),'계산 과정'!$C$47*(D189-'계산 과정'!$C$50+P189*('계산 과정'!$C$32-D189))+'계산 과정'!$D$47*(E189-'계산 과정'!$D$50+P189*('계산 과정'!$D$32-E189))+'계산 과정'!$E$47*(0-'계산 과정'!$E$50+P189*('계산 과정'!$E$32-0)),"")</x:f>
      </x:c>
      <x:c r="R189" s="4" t="str">
        <x:f>IF(AND(ISNUMBER(P189),P189&gt;1E-9,P189&lt;1-1E-9),'계산 과정'!$C$48*(D189-'계산 과정'!$C$50+P189*('계산 과정'!$C$32-D189))+'계산 과정'!$D$48*(E189-'계산 과정'!$D$50+P189*('계산 과정'!$D$32-E189))+'계산 과정'!$E$48*(0-'계산 과정'!$E$50+P189*('계산 과정'!$E$32-0)),"")</x:f>
      </x:c>
      <x:c r="S189" s="17" t="n">
        <x:f>IF('계산 과정'!$C$78,IF(AND(ISNUMBER(Q189),ISNUMBER(R189),ABS(Q189-'계산 과정'!$C$88)&lt;='계산 과정'!$D$23/2,ABS(R189-'계산 과정'!$C$89)&lt;='계산 과정'!$D$24/2),1,0),"")</x:f>
        <x:v>0</x:v>
      </x:c>
      <x:c r="T189" s="4"/>
      <x:c r="U189" s="4"/>
      <x:c r="V189" s="4"/>
      <x:c r="W189" s="4" t="n">
        <x:f>IF('계산 과정'!$C$77,('계산 과정'!$D$56+'계산 과정'!$D$57*('계산 과정'!$L$11*COS(183*2*PI()/240))+'계산 과정'!$D$58*('계산 과정'!$L$11*SIN(183*2*PI()/240)))/('계산 과정'!$D$59+'계산 과정'!$D$60*('계산 과정'!$L$11*COS(183*2*PI()/240))+'계산 과정'!$D$61*('계산 과정'!$L$11*SIN(183*2*PI()/240))),"")</x:f>
        <x:v>13.617318745399256</x:v>
      </x:c>
      <x:c r="X189" s="4" t="n">
        <x:f>IF('계산 과정'!$C$77,('계산 과정'!$E$56+'계산 과정'!$E$57*('계산 과정'!$L$11*COS(183*2*PI()/240))+'계산 과정'!$E$58*('계산 과정'!$L$11*SIN(183*2*PI()/240)))/('계산 과정'!$E$59+'계산 과정'!$E$60*('계산 과정'!$L$11*COS(183*2*PI()/240))+'계산 과정'!$E$61*('계산 과정'!$L$11*SIN(183*2*PI()/240))),"")</x:f>
        <x:v>-244.6935095806251</x:v>
      </x:c>
      <x:c r="Y189" s="4" t="str">
        <x:f>""</x:f>
      </x:c>
      <x:c r="Z189" s="4" t="str">
        <x:f>""</x:f>
      </x:c>
    </x:row>
    <x:row r="190" ht="23" customHeight="1">
      <x:c r="A190" s="17" t="n">
        <x:f>ROW()-6</x:f>
        <x:v>184</x:v>
      </x:c>
      <x:c r="B190" s="4" t="n">
        <x:f>IF('계산 과정'!$L$5,'계산 과정'!$L$11*SQRT((A190+0.5)/'계산 과정'!$L$30),"")</x:f>
        <x:v>45.021967294449716</x:v>
      </x:c>
      <x:c r="C190" s="4" t="n">
        <x:f>A190*PI()*(3-SQRT(5))</x:f>
        <x:v>441.5932342700721</x:v>
      </x:c>
      <x:c r="D190" s="4" t="n">
        <x:f>IF('계산 과정'!$L$5,B190*COS(C190),"")</x:f>
        <x:v>-8.920939790779386</x:v>
      </x:c>
      <x:c r="E190" s="4" t="n">
        <x:f>IF('계산 과정'!$L$5,B190*SIN(C190),"")</x:f>
        <x:v>44.129291545545904</x:v>
      </x:c>
      <x:c r="F190" s="4" t="n">
        <x:f>IF('계산 과정'!$L$7,'계산 과정'!$L$22+'계산 과정'!$C$49*D190+'계산 과정'!$D$49*E190,"")</x:f>
        <x:v>656.308057020617</x:v>
      </x:c>
      <x:c r="G190" s="4" t="n">
        <x:f>IF('계산 과정'!$L$7,IF(ABS(F190)&gt;=1E-12*MAX(1,SQRT((D190-'계산 과정'!$C$33)^2+(E190-'계산 과정'!$D$33)^2+'계산 과정'!$E$33^2)),('계산 과정'!$L$23-'계산 과정'!$C$49*D190-'계산 과정'!$D$49*E190)/F190,""),"")</x:f>
        <x:v>0.5998584639758822</x:v>
      </x:c>
      <x:c r="H190" s="4" t="n">
        <x:f>IF(AND(ISNUMBER(G190),G190&gt;0),('계산 과정'!$D$56+'계산 과정'!$D$57*D190+'계산 과정'!$D$58*E190)/F190,"")</x:f>
        <x:v>-10.091998415676715</x:v>
      </x:c>
      <x:c r="I190" s="4" t="n">
        <x:f>IF(AND(ISNUMBER(G190),G190&gt;0),('계산 과정'!$E$56+'계산 과정'!$E$57*D190+'계산 과정'!$E$58*E190)/F190,"")</x:f>
        <x:v>70.60062058840096</x:v>
      </x:c>
      <x:c r="J190" s="4" t="n">
        <x:f>IF('계산 과정'!$L$5,'계산 과정'!$D$6+'계산 과정'!$C$35*D190+'계산 과정'!$D$35*E190,"")</x:f>
        <x:v>656.308057020617</x:v>
      </x:c>
      <x:c r="K190" s="4" t="n">
        <x:f>IF(AND('계산 과정'!$L$6,J190&gt;0),'계산 과정'!$D$10*('계산 과정'!$C$38*(D190-'계산 과정'!$C$32)+'계산 과정'!$D$38*(E190-'계산 과정'!$D$32)-'계산 과정'!$E$38*'계산 과정'!$E$32)/J190,"")</x:f>
        <x:v>-0.07689141650039256</x:v>
      </x:c>
      <x:c r="L190" s="4" t="n">
        <x:f>IF(AND('계산 과정'!$L$6,J190&gt;0),'계산 과정'!$D$10*('계산 과정'!$C$39*(D190-'계산 과정'!$C$32)+'계산 과정'!$D$39*(E190-'계산 과정'!$D$32)-'계산 과정'!$E$39*'계산 과정'!$E$32)/J190,"")</x:f>
        <x:v>0.5379094901973406</x:v>
      </x:c>
      <x:c r="M190" s="17" t="n">
        <x:f>IF('계산 과정'!$L$6,IF(J190&lt;=0,0,IF(AND(ABS(K190)&lt;='계산 과정'!$D$11/2,ABS(L190)&lt;='계산 과정'!$D$12/2),1,0)),"")</x:f>
        <x:v>1</x:v>
      </x:c>
      <x:c r="N190" s="17" t="n">
        <x:f>IF('계산 과정'!$C$78,IF(AND(ISNUMBER(H190),ISNUMBER(I190),ABS(H190-'계산 과정'!$C$88)&lt;='계산 과정'!$D$23/2,ABS(I190-'계산 과정'!$C$89)&lt;='계산 과정'!$D$24/2),1,0),"")</x:f>
        <x:v>1</x:v>
      </x:c>
      <x:c r="O190" s="4" t="n">
        <x:f>IF('계산 과정'!$L$7,'계산 과정'!$C$49*('계산 과정'!$C$32-D190)+'계산 과정'!$D$49*('계산 과정'!$D$32-E190)+'계산 과정'!$E$49*'계산 과정'!$E$32,"")</x:f>
        <x:v>-6.308057020616843</x:v>
      </x:c>
      <x:c r="P190" s="4" t="n">
        <x:f>IF(AND('계산 과정'!$L$7,O190&lt;&gt;0),('계산 과정'!$L$23-'계산 과정'!$C$49*D190-'계산 과정'!$D$49*E190)/O190,"")</x:f>
        <x:v>-62.41096770252169</x:v>
      </x:c>
      <x:c r="Q190" s="4" t="str">
        <x:f>IF(AND(ISNUMBER(P190),P190&gt;1E-9,P190&lt;1-1E-9),'계산 과정'!$C$47*(D190-'계산 과정'!$C$50+P190*('계산 과정'!$C$32-D190))+'계산 과정'!$D$47*(E190-'계산 과정'!$D$50+P190*('계산 과정'!$D$32-E190))+'계산 과정'!$E$47*(0-'계산 과정'!$E$50+P190*('계산 과정'!$E$32-0)),"")</x:f>
      </x:c>
      <x:c r="R190" s="4" t="str">
        <x:f>IF(AND(ISNUMBER(P190),P190&gt;1E-9,P190&lt;1-1E-9),'계산 과정'!$C$48*(D190-'계산 과정'!$C$50+P190*('계산 과정'!$C$32-D190))+'계산 과정'!$D$48*(E190-'계산 과정'!$D$50+P190*('계산 과정'!$D$32-E190))+'계산 과정'!$E$48*(0-'계산 과정'!$E$50+P190*('계산 과정'!$E$32-0)),"")</x:f>
      </x:c>
      <x:c r="S190" s="17" t="n">
        <x:f>IF('계산 과정'!$C$78,IF(AND(ISNUMBER(Q190),ISNUMBER(R190),ABS(Q190-'계산 과정'!$C$88)&lt;='계산 과정'!$D$23/2,ABS(R190-'계산 과정'!$C$89)&lt;='계산 과정'!$D$24/2),1,0),"")</x:f>
        <x:v>0</x:v>
      </x:c>
      <x:c r="T190" s="4"/>
      <x:c r="U190" s="4"/>
      <x:c r="V190" s="4"/>
      <x:c r="W190" s="4" t="n">
        <x:f>IF('계산 과정'!$C$77,('계산 과정'!$D$56+'계산 과정'!$D$57*('계산 과정'!$L$11*COS(184*2*PI()/240))+'계산 과정'!$D$58*('계산 과정'!$L$11*SIN(184*2*PI()/240)))/('계산 과정'!$D$59+'계산 과정'!$D$60*('계산 과정'!$L$11*COS(184*2*PI()/240))+'계산 과정'!$D$61*('계산 과정'!$L$11*SIN(184*2*PI()/240))),"")</x:f>
        <x:v>18.22041838480134</x:v>
      </x:c>
      <x:c r="X190" s="4" t="n">
        <x:f>IF('계산 과정'!$C$77,('계산 과정'!$E$56+'계산 과정'!$E$57*('계산 과정'!$L$11*COS(184*2*PI()/240))+'계산 과정'!$E$58*('계산 과정'!$L$11*SIN(184*2*PI()/240)))/('계산 과정'!$E$59+'계산 과정'!$E$60*('계산 과정'!$L$11*COS(184*2*PI()/240))+'계산 과정'!$E$61*('계산 과정'!$L$11*SIN(184*2*PI()/240))),"")</x:f>
        <x:v>-245.1619834991868</x:v>
      </x:c>
      <x:c r="Y190" s="4" t="str">
        <x:f>""</x:f>
      </x:c>
      <x:c r="Z190" s="4" t="str">
        <x:f>""</x:f>
      </x:c>
    </x:row>
    <x:row r="191" ht="23" customHeight="1">
      <x:c r="A191" s="17" t="n">
        <x:f>ROW()-6</x:f>
        <x:v>185</x:v>
      </x:c>
      <x:c r="B191" s="4" t="n">
        <x:f>IF('계산 과정'!$L$5,'계산 과정'!$L$11*SQRT((A191+0.5)/'계산 과정'!$L$30),"")</x:f>
        <x:v>45.14381316623021</x:v>
      </x:c>
      <x:c r="C191" s="4" t="n">
        <x:f>A191*PI()*(3-SQRT(5))</x:f>
        <x:v>443.9931974998008</x:v>
      </x:c>
      <x:c r="D191" s="4" t="n">
        <x:f>IF('계산 과정'!$L$5,B191*COS(C191),"")</x:f>
        <x:v>-23.293756017729837</x:v>
      </x:c>
      <x:c r="E191" s="4" t="n">
        <x:f>IF('계산 과정'!$L$5,B191*SIN(C191),"")</x:f>
        <x:v>-38.66994695850998</x:v>
      </x:c>
      <x:c r="F191" s="4" t="n">
        <x:f>IF('계산 과정'!$L$7,'계산 과정'!$L$22+'계산 과정'!$C$49*D191+'계산 과정'!$D$49*E191,"")</x:f>
        <x:v>666.4711728394417</x:v>
      </x:c>
      <x:c r="G191" s="4" t="n">
        <x:f>IF('계산 과정'!$L$7,IF(ABS(F191)&gt;=1E-12*MAX(1,SQRT((D191-'계산 과정'!$C$33)^2+(E191-'계산 과정'!$D$33)^2+'계산 과정'!$E$33^2)),('계산 과정'!$L$23-'계산 과정'!$C$49*D191-'계산 과정'!$D$49*E191)/F191,""),"")</x:f>
        <x:v>0.5754619896410036</x:v>
      </x:c>
      <x:c r="H191" s="4" t="n">
        <x:f>IF(AND(ISNUMBER(G191),G191&gt;0),('계산 과정'!$D$56+'계산 과정'!$D$57*D191+'계산 과정'!$D$58*E191)/F191,"")</x:f>
        <x:v>-25.949706733347824</x:v>
      </x:c>
      <x:c r="I191" s="4" t="n">
        <x:f>IF(AND(ISNUMBER(G191),G191&gt;0),('계산 과정'!$E$56+'계산 과정'!$E$57*D191+'계산 과정'!$E$58*E191)/F191,"")</x:f>
        <x:v>-60.92303157456621</x:v>
      </x:c>
      <x:c r="J191" s="4" t="n">
        <x:f>IF('계산 과정'!$L$5,'계산 과정'!$D$6+'계산 과정'!$C$35*D191+'계산 과정'!$D$35*E191,"")</x:f>
        <x:v>666.4711728394417</x:v>
      </x:c>
      <x:c r="K191" s="4" t="n">
        <x:f>IF(AND('계산 과정'!$L$6,J191&gt;0),'계산 과정'!$D$10*('계산 과정'!$C$38*(D191-'계산 과정'!$C$32)+'계산 과정'!$D$38*(E191-'계산 과정'!$D$32)-'계산 과정'!$E$38*'계산 과정'!$E$32)/J191,"")</x:f>
        <x:v>-0.1977120513016965</x:v>
      </x:c>
      <x:c r="L191" s="4" t="n">
        <x:f>IF(AND('계산 과정'!$L$6,J191&gt;0),'계산 과정'!$D$10*('계산 과정'!$C$39*(D191-'계산 과정'!$C$32)+'계산 과정'!$D$39*(E191-'계산 과정'!$D$32)-'계산 과정'!$E$39*'계산 과정'!$E$32)/J191,"")</x:f>
        <x:v>-0.4641754786633616</x:v>
      </x:c>
      <x:c r="M191" s="17" t="n">
        <x:f>IF('계산 과정'!$L$6,IF(J191&lt;=0,0,IF(AND(ABS(K191)&lt;='계산 과정'!$D$11/2,ABS(L191)&lt;='계산 과정'!$D$12/2),1,0)),"")</x:f>
        <x:v>1</x:v>
      </x:c>
      <x:c r="N191" s="17" t="n">
        <x:f>IF('계산 과정'!$C$78,IF(AND(ISNUMBER(H191),ISNUMBER(I191),ABS(H191-'계산 과정'!$C$88)&lt;='계산 과정'!$D$23/2,ABS(I191-'계산 과정'!$C$89)&lt;='계산 과정'!$D$24/2),1,0),"")</x:f>
        <x:v>1</x:v>
      </x:c>
      <x:c r="O191" s="4" t="n">
        <x:f>IF('계산 과정'!$L$7,'계산 과정'!$C$49*('계산 과정'!$C$32-D191)+'계산 과정'!$D$49*('계산 과정'!$D$32-E191)+'계산 과정'!$E$49*'계산 과정'!$E$32,"")</x:f>
        <x:v>-16.47117283944158</x:v>
      </x:c>
      <x:c r="P191" s="4" t="n">
        <x:f>IF(AND('계산 과정'!$L$7,O191&lt;&gt;0),('계산 과정'!$L$23-'계산 과정'!$C$49*D191-'계산 과정'!$D$49*E191)/O191,"")</x:f>
        <x:v>-23.284852323458534</x:v>
      </x:c>
      <x:c r="Q191" s="4" t="str">
        <x:f>IF(AND(ISNUMBER(P191),P191&gt;1E-9,P191&lt;1-1E-9),'계산 과정'!$C$47*(D191-'계산 과정'!$C$50+P191*('계산 과정'!$C$32-D191))+'계산 과정'!$D$47*(E191-'계산 과정'!$D$50+P191*('계산 과정'!$D$32-E191))+'계산 과정'!$E$47*(0-'계산 과정'!$E$50+P191*('계산 과정'!$E$32-0)),"")</x:f>
      </x:c>
      <x:c r="R191" s="4" t="str">
        <x:f>IF(AND(ISNUMBER(P191),P191&gt;1E-9,P191&lt;1-1E-9),'계산 과정'!$C$48*(D191-'계산 과정'!$C$50+P191*('계산 과정'!$C$32-D191))+'계산 과정'!$D$48*(E191-'계산 과정'!$D$50+P191*('계산 과정'!$D$32-E191))+'계산 과정'!$E$48*(0-'계산 과정'!$E$50+P191*('계산 과정'!$E$32-0)),"")</x:f>
      </x:c>
      <x:c r="S191" s="17" t="n">
        <x:f>IF('계산 과정'!$C$78,IF(AND(ISNUMBER(Q191),ISNUMBER(R191),ABS(Q191-'계산 과정'!$C$88)&lt;='계산 과정'!$D$23/2,ABS(R191-'계산 과정'!$C$89)&lt;='계산 과정'!$D$24/2),1,0),"")</x:f>
        <x:v>0</x:v>
      </x:c>
      <x:c r="T191" s="4"/>
      <x:c r="U191" s="4"/>
      <x:c r="V191" s="4"/>
      <x:c r="W191" s="4" t="n">
        <x:f>IF('계산 과정'!$C$77,('계산 과정'!$D$56+'계산 과정'!$D$57*('계산 과정'!$L$11*COS(185*2*PI()/240))+'계산 과정'!$D$58*('계산 과정'!$L$11*SIN(185*2*PI()/240)))/('계산 과정'!$D$59+'계산 과정'!$D$60*('계산 과정'!$L$11*COS(185*2*PI()/240))+'계산 과정'!$D$61*('계산 과정'!$L$11*SIN(185*2*PI()/240))),"")</x:f>
        <x:v>22.850719008766937</x:v>
      </x:c>
      <x:c r="X191" s="4" t="n">
        <x:f>IF('계산 과정'!$C$77,('계산 과정'!$E$56+'계산 과정'!$E$57*('계산 과정'!$L$11*COS(185*2*PI()/240))+'계산 과정'!$E$58*('계산 과정'!$L$11*SIN(185*2*PI()/240)))/('계산 과정'!$E$59+'계산 과정'!$E$60*('계산 과정'!$L$11*COS(185*2*PI()/240))+'계산 과정'!$E$61*('계산 과정'!$L$11*SIN(185*2*PI()/240))),"")</x:f>
        <x:v>-245.4628459344092</x:v>
      </x:c>
      <x:c r="Y191" s="4" t="str">
        <x:f>""</x:f>
      </x:c>
      <x:c r="Z191" s="4" t="str">
        <x:f>""</x:f>
      </x:c>
    </x:row>
    <x:row r="192" ht="23" customHeight="1">
      <x:c r="A192" s="17" t="n">
        <x:f>ROW()-6</x:f>
        <x:v>186</x:v>
      </x:c>
      <x:c r="B192" s="4" t="n">
        <x:f>IF('계산 과정'!$L$5,'계산 과정'!$L$11*SQRT((A192+0.5)/'계산 과정'!$L$30),"")</x:f>
        <x:v>45.2653310527218</x:v>
      </x:c>
      <x:c r="C192" s="4" t="n">
        <x:f>A192*PI()*(3-SQRT(5))</x:f>
        <x:v>446.3931607295294</x:v>
      </x:c>
      <x:c r="D192" s="4" t="n">
        <x:f>IF('계산 과정'!$L$5,B192*COS(C192),"")</x:f>
        <x:v>43.41381194754125</x:v>
      </x:c>
      <x:c r="E192" s="4" t="n">
        <x:f>IF('계산 과정'!$L$5,B192*SIN(C192),"")</x:f>
        <x:v>12.81370857698992</x:v>
      </x:c>
      <x:c r="F192" s="4" t="n">
        <x:f>IF('계산 과정'!$L$7,'계산 과정'!$L$22+'계산 과정'!$C$49*D192+'계산 과정'!$D$49*E192,"")</x:f>
        <x:v>619.3017991747361</x:v>
      </x:c>
      <x:c r="G192" s="4" t="n">
        <x:f>IF('계산 과정'!$L$7,IF(ABS(F192)&gt;=1E-12*MAX(1,SQRT((D192-'계산 과정'!$C$33)^2+(E192-'계산 과정'!$D$33)^2+'계산 과정'!$E$33^2)),('계산 과정'!$L$23-'계산 과정'!$C$49*D192-'계산 과정'!$D$49*E192)/F192,""),"")</x:f>
        <x:v>0.6954576934851475</x:v>
      </x:c>
      <x:c r="H192" s="4" t="n">
        <x:f>IF(AND(ISNUMBER(G192),G192&gt;0),('계산 과정'!$D$56+'계산 과정'!$D$57*D192+'계산 과정'!$D$58*E192)/F192,"")</x:f>
        <x:v>52.0475007653458</x:v>
      </x:c>
      <x:c r="I192" s="4" t="n">
        <x:f>IF(AND(ISNUMBER(G192),G192&gt;0),('계산 과정'!$E$56+'계산 과정'!$E$57*D192+'계산 과정'!$E$58*E192)/F192,"")</x:f>
        <x:v>21.72510078893418</x:v>
      </x:c>
      <x:c r="J192" s="4" t="n">
        <x:f>IF('계산 과정'!$L$5,'계산 과정'!$D$6+'계산 과정'!$C$35*D192+'계산 과정'!$D$35*E192,"")</x:f>
        <x:v>619.3017991747361</x:v>
      </x:c>
      <x:c r="K192" s="4" t="n">
        <x:f>IF(AND('계산 과정'!$L$6,J192&gt;0),'계산 과정'!$D$10*('계산 과정'!$C$38*(D192-'계산 과정'!$C$32)+'계산 과정'!$D$38*(E192-'계산 과정'!$D$32)-'계산 과정'!$E$38*'계산 과정'!$E$32)/J192,"")</x:f>
        <x:v>0.3965523867835882</x:v>
      </x:c>
      <x:c r="L192" s="4" t="n">
        <x:f>IF(AND('계산 과정'!$L$6,J192&gt;0),'계산 과정'!$D$10*('계산 과정'!$C$39*(D192-'계산 과정'!$C$32)+'계산 과정'!$D$39*(E192-'계산 과정'!$D$32)-'계산 과정'!$E$39*'계산 과정'!$E$32)/J192,"")</x:f>
        <x:v>0.16552457743949853</x:v>
      </x:c>
      <x:c r="M192" s="17" t="n">
        <x:f>IF('계산 과정'!$L$6,IF(J192&lt;=0,0,IF(AND(ABS(K192)&lt;='계산 과정'!$D$11/2,ABS(L192)&lt;='계산 과정'!$D$12/2),1,0)),"")</x:f>
        <x:v>1</x:v>
      </x:c>
      <x:c r="N192" s="17" t="n">
        <x:f>IF('계산 과정'!$C$78,IF(AND(ISNUMBER(H192),ISNUMBER(I192),ABS(H192-'계산 과정'!$C$88)&lt;='계산 과정'!$D$23/2,ABS(I192-'계산 과정'!$C$89)&lt;='계산 과정'!$D$24/2),1,0),"")</x:f>
        <x:v>1</x:v>
      </x:c>
      <x:c r="O192" s="4" t="n">
        <x:f>IF('계산 과정'!$L$7,'계산 과정'!$C$49*('계산 과정'!$C$32-D192)+'계산 과정'!$D$49*('계산 과정'!$D$32-E192)+'계산 과정'!$E$49*'계산 과정'!$E$32,"")</x:f>
        <x:v>30.69820082526411</x:v>
      </x:c>
      <x:c r="P192" s="4" t="n">
        <x:f>IF(AND('계산 과정'!$L$7,O192&lt;&gt;0),('계산 과정'!$L$23-'계산 과정'!$C$49*D192-'계산 과정'!$D$49*E192)/O192,"")</x:f>
        <x:v>14.030079589250928</x:v>
      </x:c>
      <x:c r="Q192" s="4" t="str">
        <x:f>IF(AND(ISNUMBER(P192),P192&gt;1E-9,P192&lt;1-1E-9),'계산 과정'!$C$47*(D192-'계산 과정'!$C$50+P192*('계산 과정'!$C$32-D192))+'계산 과정'!$D$47*(E192-'계산 과정'!$D$50+P192*('계산 과정'!$D$32-E192))+'계산 과정'!$E$47*(0-'계산 과정'!$E$50+P192*('계산 과정'!$E$32-0)),"")</x:f>
      </x:c>
      <x:c r="R192" s="4" t="str">
        <x:f>IF(AND(ISNUMBER(P192),P192&gt;1E-9,P192&lt;1-1E-9),'계산 과정'!$C$48*(D192-'계산 과정'!$C$50+P192*('계산 과정'!$C$32-D192))+'계산 과정'!$D$48*(E192-'계산 과정'!$D$50+P192*('계산 과정'!$D$32-E192))+'계산 과정'!$E$48*(0-'계산 과정'!$E$50+P192*('계산 과정'!$E$32-0)),"")</x:f>
      </x:c>
      <x:c r="S192" s="17" t="n">
        <x:f>IF('계산 과정'!$C$78,IF(AND(ISNUMBER(Q192),ISNUMBER(R192),ABS(Q192-'계산 과정'!$C$88)&lt;='계산 과정'!$D$23/2,ABS(R192-'계산 과정'!$C$89)&lt;='계산 과정'!$D$24/2),1,0),"")</x:f>
        <x:v>0</x:v>
      </x:c>
      <x:c r="T192" s="4"/>
      <x:c r="U192" s="4"/>
      <x:c r="V192" s="4"/>
      <x:c r="W192" s="4" t="n">
        <x:f>IF('계산 과정'!$C$77,('계산 과정'!$D$56+'계산 과정'!$D$57*('계산 과정'!$L$11*COS(186*2*PI()/240))+'계산 과정'!$D$58*('계산 과정'!$L$11*SIN(186*2*PI()/240)))/('계산 과정'!$D$59+'계산 과정'!$D$60*('계산 과정'!$L$11*COS(186*2*PI()/240))+'계산 과정'!$D$61*('계산 과정'!$L$11*SIN(186*2*PI()/240))),"")</x:f>
        <x:v>27.50519437553226</x:v>
      </x:c>
      <x:c r="X192" s="4" t="n">
        <x:f>IF('계산 과정'!$C$77,('계산 과정'!$E$56+'계산 과정'!$E$57*('계산 과정'!$L$11*COS(186*2*PI()/240))+'계산 과정'!$E$58*('계산 과정'!$L$11*SIN(186*2*PI()/240)))/('계산 과정'!$E$59+'계산 과정'!$E$60*('계산 과정'!$L$11*COS(186*2*PI()/240))+'계산 과정'!$E$61*('계산 과정'!$L$11*SIN(186*2*PI()/240))),"")</x:f>
        <x:v>-245.59368863432562</x:v>
      </x:c>
      <x:c r="Y192" s="4" t="str">
        <x:f>""</x:f>
      </x:c>
      <x:c r="Z192" s="4" t="str">
        <x:f>""</x:f>
      </x:c>
    </x:row>
    <x:row r="193" ht="23" customHeight="1">
      <x:c r="A193" s="17" t="n">
        <x:f>ROW()-6</x:f>
        <x:v>187</x:v>
      </x:c>
      <x:c r="B193" s="4" t="n">
        <x:f>IF('계산 과정'!$L$5,'계산 과정'!$L$11*SQRT((A193+0.5)/'계산 과정'!$L$30),"")</x:f>
        <x:v>45.38652358836816</x:v>
      </x:c>
      <x:c r="C193" s="4" t="n">
        <x:f>A193*PI()*(3-SQRT(5))</x:f>
        <x:v>448.79312395925814</x:v>
      </x:c>
      <x:c r="D193" s="4" t="n">
        <x:f>IF('계산 과정'!$L$5,B193*COS(C193),"")</x:f>
        <x:v>-40.77641205564298</x:v>
      </x:c>
      <x:c r="E193" s="4" t="n">
        <x:f>IF('계산 과정'!$L$5,B193*SIN(C193),"")</x:f>
        <x:v>19.93039746984274</x:v>
      </x:c>
      <x:c r="F193" s="4" t="n">
        <x:f>IF('계산 과정'!$L$7,'계산 과정'!$L$22+'계산 과정'!$C$49*D193+'계산 과정'!$D$49*E193,"")</x:f>
        <x:v>678.8332774770021</x:v>
      </x:c>
      <x:c r="G193" s="4" t="n">
        <x:f>IF('계산 과정'!$L$7,IF(ABS(F193)&gt;=1E-12*MAX(1,SQRT((D193-'계산 과정'!$C$33)^2+(E193-'계산 과정'!$D$33)^2+'계산 과정'!$E$33^2)),('계산 과정'!$L$23-'계산 과정'!$C$49*D193-'계산 과정'!$D$49*E193)/F193,""),"")</x:f>
        <x:v>0.5467715488293406</x:v>
      </x:c>
      <x:c r="H193" s="4" t="n">
        <x:f>IF(AND(ISNUMBER(G193),G193&gt;0),('계산 과정'!$D$56+'계산 과정'!$D$57*D193+'계산 과정'!$D$58*E193)/F193,"")</x:f>
        <x:v>-44.5984932609287</x:v>
      </x:c>
      <x:c r="I193" s="4" t="n">
        <x:f>IF(AND(ISNUMBER(G193),G193&gt;0),('계산 과정'!$E$56+'계산 과정'!$E$57*D193+'계산 과정'!$E$58*E193)/F193,"")</x:f>
        <x:v>30.82777176321303</x:v>
      </x:c>
      <x:c r="J193" s="4" t="n">
        <x:f>IF('계산 과정'!$L$5,'계산 과정'!$D$6+'계산 과정'!$C$35*D193+'계산 과정'!$D$35*E193,"")</x:f>
        <x:v>678.8332774770021</x:v>
      </x:c>
      <x:c r="K193" s="4" t="n">
        <x:f>IF(AND('계산 과정'!$L$6,J193&gt;0),'계산 과정'!$D$10*('계산 과정'!$C$38*(D193-'계산 과정'!$C$32)+'계산 과정'!$D$38*(E193-'계산 과정'!$D$32)-'계산 과정'!$E$38*'계산 과정'!$E$32)/J193,"")</x:f>
        <x:v>-0.3397980438927896</x:v>
      </x:c>
      <x:c r="L193" s="4" t="n">
        <x:f>IF(AND('계산 과정'!$L$6,J193&gt;0),'계산 과정'!$D$10*('계산 과정'!$C$39*(D193-'계산 과정'!$C$32)+'계산 과정'!$D$39*(E193-'계산 과정'!$D$32)-'계산 과정'!$E$39*'계산 과정'!$E$32)/J193,"")</x:f>
        <x:v>0.23487826105305165</x:v>
      </x:c>
      <x:c r="M193" s="17" t="n">
        <x:f>IF('계산 과정'!$L$6,IF(J193&lt;=0,0,IF(AND(ABS(K193)&lt;='계산 과정'!$D$11/2,ABS(L193)&lt;='계산 과정'!$D$12/2),1,0)),"")</x:f>
        <x:v>1</x:v>
      </x:c>
      <x:c r="N193" s="17" t="n">
        <x:f>IF('계산 과정'!$C$78,IF(AND(ISNUMBER(H193),ISNUMBER(I193),ABS(H193-'계산 과정'!$C$88)&lt;='계산 과정'!$D$23/2,ABS(I193-'계산 과정'!$C$89)&lt;='계산 과정'!$D$24/2),1,0),"")</x:f>
        <x:v>1</x:v>
      </x:c>
      <x:c r="O193" s="4" t="n">
        <x:f>IF('계산 과정'!$L$7,'계산 과정'!$C$49*('계산 과정'!$C$32-D193)+'계산 과정'!$D$49*('계산 과정'!$D$32-E193)+'계산 과정'!$E$49*'계산 과정'!$E$32,"")</x:f>
        <x:v>-28.833277477001957</x:v>
      </x:c>
      <x:c r="P193" s="4" t="n">
        <x:f>IF(AND('계산 과정'!$L$7,O193&lt;&gt;0),('계산 과정'!$L$23-'계산 과정'!$C$49*D193-'계산 과정'!$D$49*E193)/O193,"")</x:f>
        <x:v>-12.872859244636638</x:v>
      </x:c>
      <x:c r="Q193" s="4" t="str">
        <x:f>IF(AND(ISNUMBER(P193),P193&gt;1E-9,P193&lt;1-1E-9),'계산 과정'!$C$47*(D193-'계산 과정'!$C$50+P193*('계산 과정'!$C$32-D193))+'계산 과정'!$D$47*(E193-'계산 과정'!$D$50+P193*('계산 과정'!$D$32-E193))+'계산 과정'!$E$47*(0-'계산 과정'!$E$50+P193*('계산 과정'!$E$32-0)),"")</x:f>
      </x:c>
      <x:c r="R193" s="4" t="str">
        <x:f>IF(AND(ISNUMBER(P193),P193&gt;1E-9,P193&lt;1-1E-9),'계산 과정'!$C$48*(D193-'계산 과정'!$C$50+P193*('계산 과정'!$C$32-D193))+'계산 과정'!$D$48*(E193-'계산 과정'!$D$50+P193*('계산 과정'!$D$32-E193))+'계산 과정'!$E$48*(0-'계산 과정'!$E$50+P193*('계산 과정'!$E$32-0)),"")</x:f>
      </x:c>
      <x:c r="S193" s="17" t="n">
        <x:f>IF('계산 과정'!$C$78,IF(AND(ISNUMBER(Q193),ISNUMBER(R193),ABS(Q193-'계산 과정'!$C$88)&lt;='계산 과정'!$D$23/2,ABS(R193-'계산 과정'!$C$89)&lt;='계산 과정'!$D$24/2),1,0),"")</x:f>
        <x:v>0</x:v>
      </x:c>
      <x:c r="T193" s="4"/>
      <x:c r="U193" s="4"/>
      <x:c r="V193" s="4"/>
      <x:c r="W193" s="4" t="n">
        <x:f>IF('계산 과정'!$C$77,('계산 과정'!$D$56+'계산 과정'!$D$57*('계산 과정'!$L$11*COS(187*2*PI()/240))+'계산 과정'!$D$58*('계산 과정'!$L$11*SIN(187*2*PI()/240)))/('계산 과정'!$D$59+'계산 과정'!$D$60*('계산 과정'!$L$11*COS(187*2*PI()/240))+'계산 과정'!$D$61*('계산 과정'!$L$11*SIN(187*2*PI()/240))),"")</x:f>
        <x:v>32.18071875759568</x:v>
      </x:c>
      <x:c r="X193" s="4" t="n">
        <x:f>IF('계산 과정'!$C$77,('계산 과정'!$E$56+'계산 과정'!$E$57*('계산 과정'!$L$11*COS(187*2*PI()/240))+'계산 과정'!$E$58*('계산 과정'!$L$11*SIN(187*2*PI()/240)))/('계산 과정'!$E$59+'계산 과정'!$E$60*('계산 과정'!$L$11*COS(187*2*PI()/240))+'계산 과정'!$E$61*('계산 과정'!$L$11*SIN(187*2*PI()/240))),"")</x:f>
        <x:v>-245.55219290526782</x:v>
      </x:c>
      <x:c r="Y193" s="4" t="str">
        <x:f>""</x:f>
      </x:c>
      <x:c r="Z193" s="4" t="str">
        <x:f>""</x:f>
      </x:c>
    </x:row>
    <x:row r="194" ht="23" customHeight="1">
      <x:c r="A194" s="17" t="n">
        <x:f>ROW()-6</x:f>
        <x:v>188</x:v>
      </x:c>
      <x:c r="B194" s="4" t="n">
        <x:f>IF('계산 과정'!$L$5,'계산 과정'!$L$11*SQRT((A194+0.5)/'계산 과정'!$L$30),"")</x:f>
        <x:v>45.507393372533436</x:v>
      </x:c>
      <x:c r="C194" s="4" t="n">
        <x:f>A194*PI()*(3-SQRT(5))</x:f>
        <x:v>451.1930871889868</x:v>
      </x:c>
      <x:c r="D194" s="4" t="n">
        <x:f>IF('계산 과정'!$L$5,B194*COS(C194),"")</x:f>
        <x:v>16.648686855769956</x:v>
      </x:c>
      <x:c r="E194" s="4" t="n">
        <x:f>IF('계산 과정'!$L$5,B194*SIN(C194),"")</x:f>
        <x:v>-42.352615946845745</x:v>
      </x:c>
      <x:c r="F194" s="4" t="n">
        <x:f>IF('계산 과정'!$L$7,'계산 과정'!$L$22+'계산 과정'!$C$49*D194+'계산 과정'!$D$49*E194,"")</x:f>
        <x:v>638.2276006264337</x:v>
      </x:c>
      <x:c r="G194" s="4" t="n">
        <x:f>IF('계산 과정'!$L$7,IF(ABS(F194)&gt;=1E-12*MAX(1,SQRT((D194-'계산 과정'!$C$33)^2+(E194-'계산 과정'!$D$33)^2+'계산 과정'!$E$33^2)),('계산 과정'!$L$23-'계산 과정'!$C$49*D194-'계산 과정'!$D$49*E194)/F194,""),"")</x:f>
        <x:v>0.6451811218590406</x:v>
      </x:c>
      <x:c r="H194" s="4" t="n">
        <x:f>IF(AND(ISNUMBER(G194),G194&gt;0),('계산 과정'!$D$56+'계산 과정'!$D$57*D194+'계산 과정'!$D$58*E194)/F194,"")</x:f>
        <x:v>19.36772920837632</x:v>
      </x:c>
      <x:c r="I194" s="4" t="n">
        <x:f>IF(AND(ISNUMBER(G194),G194&gt;0),('계산 과정'!$E$56+'계산 과정'!$E$57*D194+'계산 과정'!$E$58*E194)/F194,"")</x:f>
        <x:v>-69.67772421709677</x:v>
      </x:c>
      <x:c r="J194" s="4" t="n">
        <x:f>IF('계산 과정'!$L$5,'계산 과정'!$D$6+'계산 과정'!$C$35*D194+'계산 과정'!$D$35*E194,"")</x:f>
        <x:v>638.2276006264337</x:v>
      </x:c>
      <x:c r="K194" s="4" t="n">
        <x:f>IF(AND('계산 과정'!$L$6,J194&gt;0),'계산 과정'!$D$10*('계산 과정'!$C$38*(D194-'계산 과정'!$C$32)+'계산 과정'!$D$38*(E194-'계산 과정'!$D$32)-'계산 과정'!$E$38*'계산 과정'!$E$32)/J194,"")</x:f>
        <x:v>0.14756365111143926</x:v>
      </x:c>
      <x:c r="L194" s="4" t="n">
        <x:f>IF(AND('계산 과정'!$L$6,J194&gt;0),'계산 과정'!$D$10*('계산 과정'!$C$39*(D194-'계산 과정'!$C$32)+'계산 과정'!$D$39*(E194-'계산 과정'!$D$32)-'계산 과정'!$E$39*'계산 과정'!$E$32)/J194,"")</x:f>
        <x:v>-0.5308778987969278</x:v>
      </x:c>
      <x:c r="M194" s="17" t="n">
        <x:f>IF('계산 과정'!$L$6,IF(J194&lt;=0,0,IF(AND(ABS(K194)&lt;='계산 과정'!$D$11/2,ABS(L194)&lt;='계산 과정'!$D$12/2),1,0)),"")</x:f>
        <x:v>1</x:v>
      </x:c>
      <x:c r="N194" s="17" t="n">
        <x:f>IF('계산 과정'!$C$78,IF(AND(ISNUMBER(H194),ISNUMBER(I194),ABS(H194-'계산 과정'!$C$88)&lt;='계산 과정'!$D$23/2,ABS(I194-'계산 과정'!$C$89)&lt;='계산 과정'!$D$24/2),1,0),"")</x:f>
        <x:v>1</x:v>
      </x:c>
      <x:c r="O194" s="4" t="n">
        <x:f>IF('계산 과정'!$L$7,'계산 과정'!$C$49*('계산 과정'!$C$32-D194)+'계산 과정'!$D$49*('계산 과정'!$D$32-E194)+'계산 과정'!$E$49*'계산 과정'!$E$32,"")</x:f>
        <x:v>11.772399373566373</x:v>
      </x:c>
      <x:c r="P194" s="4" t="n">
        <x:f>IF(AND('계산 과정'!$L$7,O194&lt;&gt;0),('계산 과정'!$L$23-'계산 과정'!$C$49*D194-'계산 과정'!$D$49*E194)/O194,"")</x:f>
        <x:v>34.97778034086712</x:v>
      </x:c>
      <x:c r="Q194" s="4" t="str">
        <x:f>IF(AND(ISNUMBER(P194),P194&gt;1E-9,P194&lt;1-1E-9),'계산 과정'!$C$47*(D194-'계산 과정'!$C$50+P194*('계산 과정'!$C$32-D194))+'계산 과정'!$D$47*(E194-'계산 과정'!$D$50+P194*('계산 과정'!$D$32-E194))+'계산 과정'!$E$47*(0-'계산 과정'!$E$50+P194*('계산 과정'!$E$32-0)),"")</x:f>
      </x:c>
      <x:c r="R194" s="4" t="str">
        <x:f>IF(AND(ISNUMBER(P194),P194&gt;1E-9,P194&lt;1-1E-9),'계산 과정'!$C$48*(D194-'계산 과정'!$C$50+P194*('계산 과정'!$C$32-D194))+'계산 과정'!$D$48*(E194-'계산 과정'!$D$50+P194*('계산 과정'!$D$32-E194))+'계산 과정'!$E$48*(0-'계산 과정'!$E$50+P194*('계산 과정'!$E$32-0)),"")</x:f>
      </x:c>
      <x:c r="S194" s="17" t="n">
        <x:f>IF('계산 과정'!$C$78,IF(AND(ISNUMBER(Q194),ISNUMBER(R194),ABS(Q194-'계산 과정'!$C$88)&lt;='계산 과정'!$D$23/2,ABS(R194-'계산 과정'!$C$89)&lt;='계산 과정'!$D$24/2),1,0),"")</x:f>
        <x:v>0</x:v>
      </x:c>
      <x:c r="T194" s="4"/>
      <x:c r="U194" s="4"/>
      <x:c r="V194" s="4"/>
      <x:c r="W194" s="4" t="n">
        <x:f>IF('계산 과정'!$C$77,('계산 과정'!$D$56+'계산 과정'!$D$57*('계산 과정'!$L$11*COS(188*2*PI()/240))+'계산 과정'!$D$58*('계산 과정'!$L$11*SIN(188*2*PI()/240)))/('계산 과정'!$D$59+'계산 과정'!$D$60*('계산 과정'!$L$11*COS(188*2*PI()/240))+'계산 과정'!$D$61*('계산 과정'!$L$11*SIN(188*2*PI()/240))),"")</x:f>
        <x:v>36.87406708228841</x:v>
      </x:c>
      <x:c r="X194" s="4" t="n">
        <x:f>IF('계산 과정'!$C$77,('계산 과정'!$E$56+'계산 과정'!$E$57*('계산 과정'!$L$11*COS(188*2*PI()/240))+'계산 과정'!$E$58*('계산 과정'!$L$11*SIN(188*2*PI()/240)))/('계산 과정'!$E$59+'계산 과정'!$E$60*('계산 과정'!$L$11*COS(188*2*PI()/240))+'계산 과정'!$E$61*('계산 과정'!$L$11*SIN(188*2*PI()/240))),"")</x:f>
        <x:v>-245.33613715761547</x:v>
      </x:c>
      <x:c r="Y194" s="4" t="str">
        <x:f>""</x:f>
      </x:c>
      <x:c r="Z194" s="4" t="str">
        <x:f>""</x:f>
      </x:c>
    </x:row>
    <x:row r="195" ht="23" customHeight="1">
      <x:c r="A195" s="17" t="n">
        <x:f>ROW()-6</x:f>
        <x:v>189</x:v>
      </x:c>
      <x:c r="B195" s="4" t="n">
        <x:f>IF('계산 과정'!$L$5,'계산 과정'!$L$11*SQRT((A195+0.5)/'계산 과정'!$L$30),"")</x:f>
        <x:v>45.627942970152624</x:v>
      </x:c>
      <x:c r="C195" s="4" t="n">
        <x:f>A195*PI()*(3-SQRT(5))</x:f>
        <x:v>453.5930504187154</x:v>
      </x:c>
      <x:c r="D195" s="4" t="n">
        <x:f>IF('계산 과정'!$L$5,B195*COS(C195),"")</x:f>
        <x:v>16.375822589041384</x:v>
      </x:c>
      <x:c r="E195" s="4" t="n">
        <x:f>IF('계산 과정'!$L$5,B195*SIN(C195),"")</x:f>
        <x:v>42.58804543788952</x:v>
      </x:c>
      <x:c r="F195" s="4" t="n">
        <x:f>IF('계산 과정'!$L$7,'계산 과정'!$L$22+'계산 과정'!$C$49*D195+'계산 과정'!$D$49*E195,"")</x:f>
        <x:v>638.4205447997809</x:v>
      </x:c>
      <x:c r="G195" s="4" t="n">
        <x:f>IF('계산 과정'!$L$7,IF(ABS(F195)&gt;=1E-12*MAX(1,SQRT((D195-'계산 과정'!$C$33)^2+(E195-'계산 과정'!$D$33)^2+'계산 과정'!$E$33^2)),('계산 과정'!$L$23-'계산 과정'!$C$49*D195-'계산 과정'!$D$49*E195)/F195,""),"")</x:f>
        <x:v>0.6446839133745249</x:v>
      </x:c>
      <x:c r="H195" s="4" t="n">
        <x:f>IF(AND(ISNUMBER(G195),G195&gt;0),('계산 과정'!$D$56+'계산 과정'!$D$57*D195+'계산 과정'!$D$58*E195)/F195,"")</x:f>
        <x:v>19.04454369344108</x:v>
      </x:c>
      <x:c r="I195" s="4" t="n">
        <x:f>IF(AND(ISNUMBER(G195),G195&gt;0),('계산 과정'!$E$56+'계산 과정'!$E$57*D195+'계산 과정'!$E$58*E195)/F195,"")</x:f>
        <x:v>70.04387323376022</x:v>
      </x:c>
      <x:c r="J195" s="4" t="n">
        <x:f>IF('계산 과정'!$L$5,'계산 과정'!$D$6+'계산 과정'!$C$35*D195+'계산 과정'!$D$35*E195,"")</x:f>
        <x:v>638.4205447997809</x:v>
      </x:c>
      <x:c r="K195" s="4" t="n">
        <x:f>IF(AND('계산 과정'!$L$6,J195&gt;0),'계산 과정'!$D$10*('계산 과정'!$C$38*(D195-'계산 과정'!$C$32)+'계산 과정'!$D$38*(E195-'계산 과정'!$D$32)-'계산 과정'!$E$38*'계산 과정'!$E$32)/J195,"")</x:f>
        <x:v>0.1451012852833614</x:v>
      </x:c>
      <x:c r="L195" s="4" t="n">
        <x:f>IF(AND('계산 과정'!$L$6,J195&gt;0),'계산 과정'!$D$10*('계산 과정'!$C$39*(D195-'계산 과정'!$C$32)+'계산 과정'!$D$39*(E195-'계산 과정'!$D$32)-'계산 과정'!$E$39*'계산 과정'!$E$32)/J195,"")</x:f>
        <x:v>0.533667605590554</x:v>
      </x:c>
      <x:c r="M195" s="17" t="n">
        <x:f>IF('계산 과정'!$L$6,IF(J195&lt;=0,0,IF(AND(ABS(K195)&lt;='계산 과정'!$D$11/2,ABS(L195)&lt;='계산 과정'!$D$12/2),1,0)),"")</x:f>
        <x:v>1</x:v>
      </x:c>
      <x:c r="N195" s="17" t="n">
        <x:f>IF('계산 과정'!$C$78,IF(AND(ISNUMBER(H195),ISNUMBER(I195),ABS(H195-'계산 과정'!$C$88)&lt;='계산 과정'!$D$23/2,ABS(I195-'계산 과정'!$C$89)&lt;='계산 과정'!$D$24/2),1,0),"")</x:f>
        <x:v>1</x:v>
      </x:c>
      <x:c r="O195" s="4" t="n">
        <x:f>IF('계산 과정'!$L$7,'계산 과정'!$C$49*('계산 과정'!$C$32-D195)+'계산 과정'!$D$49*('계산 과정'!$D$32-E195)+'계산 과정'!$E$49*'계산 과정'!$E$32,"")</x:f>
        <x:v>11.579455200219115</x:v>
      </x:c>
      <x:c r="P195" s="4" t="n">
        <x:f>IF(AND('계산 과정'!$L$7,O195&lt;&gt;0),('계산 과정'!$L$23-'계산 과정'!$C$49*D195-'계산 과정'!$D$49*E195)/O195,"")</x:f>
        <x:v>35.543939510421076</x:v>
      </x:c>
      <x:c r="Q195" s="4" t="str">
        <x:f>IF(AND(ISNUMBER(P195),P195&gt;1E-9,P195&lt;1-1E-9),'계산 과정'!$C$47*(D195-'계산 과정'!$C$50+P195*('계산 과정'!$C$32-D195))+'계산 과정'!$D$47*(E195-'계산 과정'!$D$50+P195*('계산 과정'!$D$32-E195))+'계산 과정'!$E$47*(0-'계산 과정'!$E$50+P195*('계산 과정'!$E$32-0)),"")</x:f>
      </x:c>
      <x:c r="R195" s="4" t="str">
        <x:f>IF(AND(ISNUMBER(P195),P195&gt;1E-9,P195&lt;1-1E-9),'계산 과정'!$C$48*(D195-'계산 과정'!$C$50+P195*('계산 과정'!$C$32-D195))+'계산 과정'!$D$48*(E195-'계산 과정'!$D$50+P195*('계산 과정'!$D$32-E195))+'계산 과정'!$E$48*(0-'계산 과정'!$E$50+P195*('계산 과정'!$E$32-0)),"")</x:f>
      </x:c>
      <x:c r="S195" s="17" t="n">
        <x:f>IF('계산 과정'!$C$78,IF(AND(ISNUMBER(Q195),ISNUMBER(R195),ABS(Q195-'계산 과정'!$C$88)&lt;='계산 과정'!$D$23/2,ABS(R195-'계산 과정'!$C$89)&lt;='계산 과정'!$D$24/2),1,0),"")</x:f>
        <x:v>0</x:v>
      </x:c>
      <x:c r="T195" s="4"/>
      <x:c r="U195" s="4"/>
      <x:c r="V195" s="4"/>
      <x:c r="W195" s="4" t="n">
        <x:f>IF('계산 과정'!$C$77,('계산 과정'!$D$56+'계산 과정'!$D$57*('계산 과정'!$L$11*COS(189*2*PI()/240))+'계산 과정'!$D$58*('계산 과정'!$L$11*SIN(189*2*PI()/240)))/('계산 과정'!$D$59+'계산 과정'!$D$60*('계산 과정'!$L$11*COS(189*2*PI()/240))+'계산 과정'!$D$61*('계산 과정'!$L$11*SIN(189*2*PI()/240))),"")</x:f>
        <x:v>41.581915346367424</x:v>
      </x:c>
      <x:c r="X195" s="4" t="n">
        <x:f>IF('계산 과정'!$C$77,('계산 과정'!$E$56+'계산 과정'!$E$57*('계산 과정'!$L$11*COS(189*2*PI()/240))+'계산 과정'!$E$58*('계산 과정'!$L$11*SIN(189*2*PI()/240)))/('계산 과정'!$E$59+'계산 과정'!$E$60*('계산 과정'!$L$11*COS(189*2*PI()/240))+'계산 과정'!$E$61*('계산 과정'!$L$11*SIN(189*2*PI()/240))),"")</x:f>
        <x:v>-244.94340464605173</x:v>
      </x:c>
      <x:c r="Y195" s="4" t="str">
        <x:f>""</x:f>
      </x:c>
      <x:c r="Z195" s="4" t="str">
        <x:f>""</x:f>
      </x:c>
    </x:row>
    <x:row r="196" ht="23" customHeight="1">
      <x:c r="A196" s="17" t="n">
        <x:f>ROW()-6</x:f>
        <x:v>190</x:v>
      </x:c>
      <x:c r="B196" s="4" t="n">
        <x:f>IF('계산 과정'!$L$5,'계산 과정'!$L$11*SQRT((A196+0.5)/'계산 과정'!$L$30),"")</x:f>
        <x:v>45.74817491236673</x:v>
      </x:c>
      <x:c r="C196" s="4" t="n">
        <x:f>A196*PI()*(3-SQRT(5))</x:f>
        <x:v>455.99301364844405</x:v>
      </x:c>
      <x:c r="D196" s="4" t="n">
        <x:f>IF('계산 과정'!$L$5,B196*COS(C196),"")</x:f>
        <x:v>-40.950456210605374</x:v>
      </x:c>
      <x:c r="E196" s="4" t="n">
        <x:f>IF('계산 과정'!$L$5,B196*SIN(C196),"")</x:f>
        <x:v>-20.39499065838944</x:v>
      </x:c>
      <x:c r="F196" s="4" t="n">
        <x:f>IF('계산 과정'!$L$7,'계산 과정'!$L$22+'계산 과정'!$C$49*D196+'계산 과정'!$D$49*E196,"")</x:f>
        <x:v>678.9563452792019</x:v>
      </x:c>
      <x:c r="G196" s="4" t="n">
        <x:f>IF('계산 과정'!$L$7,IF(ABS(F196)&gt;=1E-12*MAX(1,SQRT((D196-'계산 과정'!$C$33)^2+(E196-'계산 과정'!$D$33)^2+'계산 과정'!$E$33^2)),('계산 과정'!$L$23-'계산 과정'!$C$49*D196-'계산 과정'!$D$49*E196)/F196,""),"")</x:f>
        <x:v>0.5464911806195976</x:v>
      </x:c>
      <x:c r="H196" s="4" t="n">
        <x:f>IF(AND(ISNUMBER(G196),G196&gt;0),('계산 과정'!$D$56+'계산 과정'!$D$57*D196+'계산 과정'!$D$58*E196)/F196,"")</x:f>
        <x:v>-44.78073259726167</x:v>
      </x:c>
      <x:c r="I196" s="4" t="n">
        <x:f>IF(AND(ISNUMBER(G196),G196&gt;0),('계산 과정'!$E$56+'계산 과정'!$E$57*D196+'계산 과정'!$E$58*E196)/F196,"")</x:f>
        <x:v>-31.54067318201835</x:v>
      </x:c>
      <x:c r="J196" s="4" t="n">
        <x:f>IF('계산 과정'!$L$5,'계산 과정'!$D$6+'계산 과정'!$C$35*D196+'계산 과정'!$D$35*E196,"")</x:f>
        <x:v>678.9563452792019</x:v>
      </x:c>
      <x:c r="K196" s="4" t="n">
        <x:f>IF(AND('계산 과정'!$L$6,J196&gt;0),'계산 과정'!$D$10*('계산 과정'!$C$38*(D196-'계산 과정'!$C$32)+'계산 과정'!$D$38*(E196-'계산 과정'!$D$32)-'계산 과정'!$E$38*'계산 과정'!$E$32)/J196,"")</x:f>
        <x:v>-0.3411865340743733</x:v>
      </x:c>
      <x:c r="L196" s="4" t="n">
        <x:f>IF(AND('계산 과정'!$L$6,J196&gt;0),'계산 과정'!$D$10*('계산 과정'!$C$39*(D196-'계산 과정'!$C$32)+'계산 과정'!$D$39*(E196-'계산 과정'!$D$32)-'계산 과정'!$E$39*'계산 과정'!$E$32)/J196,"")</x:f>
        <x:v>-0.24030989091061597</x:v>
      </x:c>
      <x:c r="M196" s="17" t="n">
        <x:f>IF('계산 과정'!$L$6,IF(J196&lt;=0,0,IF(AND(ABS(K196)&lt;='계산 과정'!$D$11/2,ABS(L196)&lt;='계산 과정'!$D$12/2),1,0)),"")</x:f>
        <x:v>1</x:v>
      </x:c>
      <x:c r="N196" s="17" t="n">
        <x:f>IF('계산 과정'!$C$78,IF(AND(ISNUMBER(H196),ISNUMBER(I196),ABS(H196-'계산 과정'!$C$88)&lt;='계산 과정'!$D$23/2,ABS(I196-'계산 과정'!$C$89)&lt;='계산 과정'!$D$24/2),1,0),"")</x:f>
        <x:v>1</x:v>
      </x:c>
      <x:c r="O196" s="4" t="n">
        <x:f>IF('계산 과정'!$L$7,'계산 과정'!$C$49*('계산 과정'!$C$32-D196)+'계산 과정'!$D$49*('계산 과정'!$D$32-E196)+'계산 과정'!$E$49*'계산 과정'!$E$32,"")</x:f>
        <x:v>-28.956345279201685</x:v>
      </x:c>
      <x:c r="P196" s="4" t="n">
        <x:f>IF(AND('계산 과정'!$L$7,O196&lt;&gt;0),('계산 과정'!$L$23-'계산 과정'!$C$49*D196-'계산 과정'!$D$49*E196)/O196,"")</x:f>
        <x:v>-12.813897995176402</x:v>
      </x:c>
      <x:c r="Q196" s="4" t="str">
        <x:f>IF(AND(ISNUMBER(P196),P196&gt;1E-9,P196&lt;1-1E-9),'계산 과정'!$C$47*(D196-'계산 과정'!$C$50+P196*('계산 과정'!$C$32-D196))+'계산 과정'!$D$47*(E196-'계산 과정'!$D$50+P196*('계산 과정'!$D$32-E196))+'계산 과정'!$E$47*(0-'계산 과정'!$E$50+P196*('계산 과정'!$E$32-0)),"")</x:f>
      </x:c>
      <x:c r="R196" s="4" t="str">
        <x:f>IF(AND(ISNUMBER(P196),P196&gt;1E-9,P196&lt;1-1E-9),'계산 과정'!$C$48*(D196-'계산 과정'!$C$50+P196*('계산 과정'!$C$32-D196))+'계산 과정'!$D$48*(E196-'계산 과정'!$D$50+P196*('계산 과정'!$D$32-E196))+'계산 과정'!$E$48*(0-'계산 과정'!$E$50+P196*('계산 과정'!$E$32-0)),"")</x:f>
      </x:c>
      <x:c r="S196" s="17" t="n">
        <x:f>IF('계산 과정'!$C$78,IF(AND(ISNUMBER(Q196),ISNUMBER(R196),ABS(Q196-'계산 과정'!$C$88)&lt;='계산 과정'!$D$23/2,ABS(R196-'계산 과정'!$C$89)&lt;='계산 과정'!$D$24/2),1,0),"")</x:f>
        <x:v>0</x:v>
      </x:c>
      <x:c r="T196" s="4"/>
      <x:c r="U196" s="4"/>
      <x:c r="V196" s="4"/>
      <x:c r="W196" s="4" t="n">
        <x:f>IF('계산 과정'!$C$77,('계산 과정'!$D$56+'계산 과정'!$D$57*('계산 과정'!$L$11*COS(190*2*PI()/240))+'계산 과정'!$D$58*('계산 과정'!$L$11*SIN(190*2*PI()/240)))/('계산 과정'!$D$59+'계산 과정'!$D$60*('계산 과정'!$L$11*COS(190*2*PI()/240))+'계산 과정'!$D$61*('계산 과정'!$L$11*SIN(190*2*PI()/240))),"")</x:f>
        <x:v>46.30084132080787</x:v>
      </x:c>
      <x:c r="X196" s="4" t="n">
        <x:f>IF('계산 과정'!$C$77,('계산 과정'!$E$56+'계산 과정'!$E$57*('계산 과정'!$L$11*COS(190*2*PI()/240))+'계산 과정'!$E$58*('계산 과정'!$L$11*SIN(190*2*PI()/240)))/('계산 과정'!$E$59+'계산 과정'!$E$60*('계산 과정'!$L$11*COS(190*2*PI()/240))+'계산 과정'!$E$61*('계산 과정'!$L$11*SIN(190*2*PI()/240))),"")</x:f>
        <x:v>-244.37199138789282</x:v>
      </x:c>
      <x:c r="Y196" s="4" t="str">
        <x:f>""</x:f>
      </x:c>
      <x:c r="Z196" s="4" t="str">
        <x:f>""</x:f>
      </x:c>
    </x:row>
    <x:row r="197" ht="23" customHeight="1">
      <x:c r="A197" s="17" t="n">
        <x:f>ROW()-6</x:f>
        <x:v>191</x:v>
      </x:c>
      <x:c r="B197" s="4" t="n">
        <x:f>IF('계산 과정'!$L$5,'계산 과정'!$L$11*SQRT((A197+0.5)/'계산 과정'!$L$30),"")</x:f>
        <x:v>45.868091697142795</x:v>
      </x:c>
      <x:c r="C197" s="4" t="n">
        <x:f>A197*PI()*(3-SQRT(5))</x:f>
        <x:v>458.3929768781727</x:v>
      </x:c>
      <x:c r="D197" s="4" t="n">
        <x:f>IF('계산 과정'!$L$5,B197*COS(C197),"")</x:f>
        <x:v>44.08747175538302</x:v>
      </x:c>
      <x:c r="E197" s="4" t="n">
        <x:f>IF('계산 과정'!$L$5,B197*SIN(C197),"")</x:f>
        <x:v>-12.656092215048208</x:v>
      </x:c>
      <x:c r="F197" s="4" t="n">
        <x:f>IF('계산 과정'!$L$7,'계산 과정'!$L$22+'계산 과정'!$C$49*D197+'계산 과정'!$D$49*E197,"")</x:f>
        <x:v>618.8254497563983</x:v>
      </x:c>
      <x:c r="G197" s="4" t="n">
        <x:f>IF('계산 과정'!$L$7,IF(ABS(F197)&gt;=1E-12*MAX(1,SQRT((D197-'계산 과정'!$C$33)^2+(E197-'계산 과정'!$D$33)^2+'계산 과정'!$E$33^2)),('계산 과정'!$L$23-'계산 과정'!$C$49*D197-'계산 과정'!$D$49*E197)/F197,""),"")</x:f>
        <x:v>0.6967627954107808</x:v>
      </x:c>
      <x:c r="H197" s="4" t="n">
        <x:f>IF(AND(ISNUMBER(G197),G197&gt;0),('계산 과정'!$D$56+'계산 과정'!$D$57*D197+'계산 과정'!$D$58*E197)/F197,"")</x:f>
        <x:v>52.89581701700738</x:v>
      </x:c>
      <x:c r="I197" s="4" t="n">
        <x:f>IF(AND(ISNUMBER(G197),G197&gt;0),('계산 과정'!$E$56+'계산 과정'!$E$57*D197+'계산 과정'!$E$58*E197)/F197,"")</x:f>
        <x:v>-21.474386405781818</x:v>
      </x:c>
      <x:c r="J197" s="4" t="n">
        <x:f>IF('계산 과정'!$L$5,'계산 과정'!$D$6+'계산 과정'!$C$35*D197+'계산 과정'!$D$35*E197,"")</x:f>
        <x:v>618.8254497563983</x:v>
      </x:c>
      <x:c r="K197" s="4" t="n">
        <x:f>IF(AND('계산 과정'!$L$6,J197&gt;0),'계산 과정'!$D$10*('계산 과정'!$C$38*(D197-'계산 과정'!$C$32)+'계산 과정'!$D$38*(E197-'계산 과정'!$D$32)-'계산 과정'!$E$38*'계산 과정'!$E$32)/J197,"")</x:f>
        <x:v>0.40301574870100976</x:v>
      </x:c>
      <x:c r="L197" s="4" t="n">
        <x:f>IF(AND('계산 과정'!$L$6,J197&gt;0),'계산 과정'!$D$10*('계산 과정'!$C$39*(D197-'계산 과정'!$C$32)+'계산 과정'!$D$39*(E197-'계산 과정'!$D$32)-'계산 과정'!$E$39*'계산 과정'!$E$32)/J197,"")</x:f>
        <x:v>-0.1636143726154805</x:v>
      </x:c>
      <x:c r="M197" s="17" t="n">
        <x:f>IF('계산 과정'!$L$6,IF(J197&lt;=0,0,IF(AND(ABS(K197)&lt;='계산 과정'!$D$11/2,ABS(L197)&lt;='계산 과정'!$D$12/2),1,0)),"")</x:f>
        <x:v>1</x:v>
      </x:c>
      <x:c r="N197" s="17" t="n">
        <x:f>IF('계산 과정'!$C$78,IF(AND(ISNUMBER(H197),ISNUMBER(I197),ABS(H197-'계산 과정'!$C$88)&lt;='계산 과정'!$D$23/2,ABS(I197-'계산 과정'!$C$89)&lt;='계산 과정'!$D$24/2),1,0),"")</x:f>
        <x:v>1</x:v>
      </x:c>
      <x:c r="O197" s="4" t="n">
        <x:f>IF('계산 과정'!$L$7,'계산 과정'!$C$49*('계산 과정'!$C$32-D197)+'계산 과정'!$D$49*('계산 과정'!$D$32-E197)+'계산 과정'!$E$49*'계산 과정'!$E$32,"")</x:f>
        <x:v>31.174550243601857</x:v>
      </x:c>
      <x:c r="P197" s="4" t="n">
        <x:f>IF(AND('계산 과정'!$L$7,O197&lt;&gt;0),('계산 과정'!$L$23-'계산 과정'!$C$49*D197-'계산 과정'!$D$49*E197)/O197,"")</x:f>
        <x:v>13.830979015714728</x:v>
      </x:c>
      <x:c r="Q197" s="4" t="str">
        <x:f>IF(AND(ISNUMBER(P197),P197&gt;1E-9,P197&lt;1-1E-9),'계산 과정'!$C$47*(D197-'계산 과정'!$C$50+P197*('계산 과정'!$C$32-D197))+'계산 과정'!$D$47*(E197-'계산 과정'!$D$50+P197*('계산 과정'!$D$32-E197))+'계산 과정'!$E$47*(0-'계산 과정'!$E$50+P197*('계산 과정'!$E$32-0)),"")</x:f>
      </x:c>
      <x:c r="R197" s="4" t="str">
        <x:f>IF(AND(ISNUMBER(P197),P197&gt;1E-9,P197&lt;1-1E-9),'계산 과정'!$C$48*(D197-'계산 과정'!$C$50+P197*('계산 과정'!$C$32-D197))+'계산 과정'!$D$48*(E197-'계산 과정'!$D$50+P197*('계산 과정'!$D$32-E197))+'계산 과정'!$E$48*(0-'계산 과정'!$E$50+P197*('계산 과정'!$E$32-0)),"")</x:f>
      </x:c>
      <x:c r="S197" s="17" t="n">
        <x:f>IF('계산 과정'!$C$78,IF(AND(ISNUMBER(Q197),ISNUMBER(R197),ABS(Q197-'계산 과정'!$C$88)&lt;='계산 과정'!$D$23/2,ABS(R197-'계산 과정'!$C$89)&lt;='계산 과정'!$D$24/2),1,0),"")</x:f>
        <x:v>0</x:v>
      </x:c>
      <x:c r="T197" s="4"/>
      <x:c r="U197" s="4"/>
      <x:c r="V197" s="4"/>
      <x:c r="W197" s="4" t="n">
        <x:f>IF('계산 과정'!$C$77,('계산 과정'!$D$56+'계산 과정'!$D$57*('계산 과정'!$L$11*COS(191*2*PI()/240))+'계산 과정'!$D$58*('계산 과정'!$L$11*SIN(191*2*PI()/240)))/('계산 과정'!$D$59+'계산 과정'!$D$60*('계산 과정'!$L$11*COS(191*2*PI()/240))+'계산 과정'!$D$61*('계산 과정'!$L$11*SIN(191*2*PI()/240))),"")</x:f>
        <x:v>51.027325561742494</x:v>
      </x:c>
      <x:c r="X197" s="4" t="n">
        <x:f>IF('계산 과정'!$C$77,('계산 과정'!$E$56+'계산 과정'!$E$57*('계산 과정'!$L$11*COS(191*2*PI()/240))+'계산 과정'!$E$58*('계산 과정'!$L$11*SIN(191*2*PI()/240)))/('계산 과정'!$E$59+'계산 과정'!$E$60*('계산 과정'!$L$11*COS(191*2*PI()/240))+'계산 과정'!$E$61*('계산 과정'!$L$11*SIN(191*2*PI()/240))),"")</x:f>
        <x:v>-243.62001424101825</x:v>
      </x:c>
      <x:c r="Y197" s="4" t="str">
        <x:f>""</x:f>
      </x:c>
      <x:c r="Z197" s="4" t="str">
        <x:f>""</x:f>
      </x:c>
    </x:row>
    <x:row r="198" ht="23" customHeight="1">
      <x:c r="A198" s="17" t="n">
        <x:f>ROW()-6</x:f>
        <x:v>192</x:v>
      </x:c>
      <x:c r="B198" s="4" t="n">
        <x:f>IF('계산 과정'!$L$5,'계산 과정'!$L$11*SQRT((A198+0.5)/'계산 과정'!$L$30),"")</x:f>
        <x:v>45.98769578987949</x:v>
      </x:c>
      <x:c r="C198" s="4" t="n">
        <x:f>A198*PI()*(3-SQRT(5))</x:f>
        <x:v>460.79294010790136</x:v>
      </x:c>
      <x:c r="D198" s="4" t="n">
        <x:f>IF('계산 과정'!$L$5,B198*COS(C198),"")</x:f>
        <x:v>-24.022138539913538</x:v>
      </x:c>
      <x:c r="E198" s="4" t="n">
        <x:f>IF('계산 과정'!$L$5,B198*SIN(C198),"")</x:f>
        <x:v>39.21485718489486</x:v>
      </x:c>
      <x:c r="F198" s="4" t="n">
        <x:f>IF('계산 과정'!$L$7,'계산 과정'!$L$22+'계산 과정'!$C$49*D198+'계산 과정'!$D$49*E198,"")</x:f>
        <x:v>666.9862170601756</x:v>
      </x:c>
      <x:c r="G198" s="4" t="n">
        <x:f>IF('계산 과정'!$L$7,IF(ABS(F198)&gt;=1E-12*MAX(1,SQRT((D198-'계산 과정'!$C$33)^2+(E198-'계산 과정'!$D$33)^2+'계산 과정'!$E$33^2)),('계산 과정'!$L$23-'계산 과정'!$C$49*D198-'계산 과정'!$D$49*E198)/F198,""),"")</x:f>
        <x:v>0.5742454238829778</x:v>
      </x:c>
      <x:c r="H198" s="4" t="n">
        <x:f>IF(AND(ISNUMBER(G198),G198&gt;0),('계산 과정'!$D$56+'계산 과정'!$D$57*D198+'계산 과정'!$D$58*E198)/F198,"")</x:f>
        <x:v>-26.74047447606448</x:v>
      </x:c>
      <x:c r="I198" s="4" t="n">
        <x:f>IF(AND(ISNUMBER(G198),G198&gt;0),('계산 과정'!$E$56+'계산 과정'!$E$57*D198+'계산 과정'!$E$58*E198)/F198,"")</x:f>
        <x:v>61.73380947154525</x:v>
      </x:c>
      <x:c r="J198" s="4" t="n">
        <x:f>IF('계산 과정'!$L$5,'계산 과정'!$D$6+'계산 과정'!$C$35*D198+'계산 과정'!$D$35*E198,"")</x:f>
        <x:v>666.9862170601756</x:v>
      </x:c>
      <x:c r="K198" s="4" t="n">
        <x:f>IF(AND('계산 과정'!$L$6,J198&gt;0),'계산 과정'!$D$10*('계산 과정'!$C$38*(D198-'계산 과정'!$C$32)+'계산 과정'!$D$38*(E198-'계산 과정'!$D$32)-'계산 과정'!$E$38*'계산 과정'!$E$32)/J198,"")</x:f>
        <x:v>-0.20373694838906203</x:v>
      </x:c>
      <x:c r="L198" s="4" t="n">
        <x:f>IF(AND('계산 과정'!$L$6,J198&gt;0),'계산 과정'!$D$10*('계산 과정'!$C$39*(D198-'계산 과정'!$C$32)+'계산 과정'!$D$39*(E198-'계산 과정'!$D$32)-'계산 과정'!$E$39*'계산 과정'!$E$32)/J198,"")</x:f>
        <x:v>0.4703528340689162</x:v>
      </x:c>
      <x:c r="M198" s="17" t="n">
        <x:f>IF('계산 과정'!$L$6,IF(J198&lt;=0,0,IF(AND(ABS(K198)&lt;='계산 과정'!$D$11/2,ABS(L198)&lt;='계산 과정'!$D$12/2),1,0)),"")</x:f>
        <x:v>1</x:v>
      </x:c>
      <x:c r="N198" s="17" t="n">
        <x:f>IF('계산 과정'!$C$78,IF(AND(ISNUMBER(H198),ISNUMBER(I198),ABS(H198-'계산 과정'!$C$88)&lt;='계산 과정'!$D$23/2,ABS(I198-'계산 과정'!$C$89)&lt;='계산 과정'!$D$24/2),1,0),"")</x:f>
        <x:v>1</x:v>
      </x:c>
      <x:c r="O198" s="4" t="n">
        <x:f>IF('계산 과정'!$L$7,'계산 과정'!$C$49*('계산 과정'!$C$32-D198)+'계산 과정'!$D$49*('계산 과정'!$D$32-E198)+'계산 과정'!$E$49*'계산 과정'!$E$32,"")</x:f>
        <x:v>-16.986217060175477</x:v>
      </x:c>
      <x:c r="P198" s="4" t="n">
        <x:f>IF(AND('계산 과정'!$L$7,O198&lt;&gt;0),('계산 과정'!$L$23-'계산 과정'!$C$49*D198-'계산 과정'!$D$49*E198)/O198,"")</x:f>
        <x:v>-22.548503977251524</x:v>
      </x:c>
      <x:c r="Q198" s="4" t="str">
        <x:f>IF(AND(ISNUMBER(P198),P198&gt;1E-9,P198&lt;1-1E-9),'계산 과정'!$C$47*(D198-'계산 과정'!$C$50+P198*('계산 과정'!$C$32-D198))+'계산 과정'!$D$47*(E198-'계산 과정'!$D$50+P198*('계산 과정'!$D$32-E198))+'계산 과정'!$E$47*(0-'계산 과정'!$E$50+P198*('계산 과정'!$E$32-0)),"")</x:f>
      </x:c>
      <x:c r="R198" s="4" t="str">
        <x:f>IF(AND(ISNUMBER(P198),P198&gt;1E-9,P198&lt;1-1E-9),'계산 과정'!$C$48*(D198-'계산 과정'!$C$50+P198*('계산 과정'!$C$32-D198))+'계산 과정'!$D$48*(E198-'계산 과정'!$D$50+P198*('계산 과정'!$D$32-E198))+'계산 과정'!$E$48*(0-'계산 과정'!$E$50+P198*('계산 과정'!$E$32-0)),"")</x:f>
      </x:c>
      <x:c r="S198" s="17" t="n">
        <x:f>IF('계산 과정'!$C$78,IF(AND(ISNUMBER(Q198),ISNUMBER(R198),ABS(Q198-'계산 과정'!$C$88)&lt;='계산 과정'!$D$23/2,ABS(R198-'계산 과정'!$C$89)&lt;='계산 과정'!$D$24/2),1,0),"")</x:f>
        <x:v>0</x:v>
      </x:c>
      <x:c r="T198" s="4"/>
      <x:c r="U198" s="4"/>
      <x:c r="V198" s="4"/>
      <x:c r="W198" s="4" t="n">
        <x:f>IF('계산 과정'!$C$77,('계산 과정'!$D$56+'계산 과정'!$D$57*('계산 과정'!$L$11*COS(192*2*PI()/240))+'계산 과정'!$D$58*('계산 과정'!$L$11*SIN(192*2*PI()/240)))/('계산 과정'!$D$59+'계산 과정'!$D$60*('계산 과정'!$L$11*COS(192*2*PI()/240))+'계산 과정'!$D$61*('계산 과정'!$L$11*SIN(192*2*PI()/240))),"")</x:f>
        <x:v>55.75775274314669</x:v>
      </x:c>
      <x:c r="X198" s="4" t="n">
        <x:f>IF('계산 과정'!$C$77,('계산 과정'!$E$56+'계산 과정'!$E$57*('계산 과정'!$L$11*COS(192*2*PI()/240))+'계산 과정'!$E$58*('계산 과정'!$L$11*SIN(192*2*PI()/240)))/('계산 과정'!$E$59+'계산 과정'!$E$60*('계산 과정'!$L$11*COS(192*2*PI()/240))+'계산 과정'!$E$61*('계산 과정'!$L$11*SIN(192*2*PI()/240))),"")</x:f>
        <x:v>-242.68571912082814</x:v>
      </x:c>
      <x:c r="Y198" s="4" t="str">
        <x:f>""</x:f>
      </x:c>
      <x:c r="Z198" s="4" t="str">
        <x:f>""</x:f>
      </x:c>
    </x:row>
    <x:row r="199" ht="23" customHeight="1">
      <x:c r="A199" s="17" t="n">
        <x:f>ROW()-6</x:f>
        <x:v>193</x:v>
      </x:c>
      <x:c r="B199" s="4" t="n">
        <x:f>IF('계산 과정'!$L$5,'계산 과정'!$L$11*SQRT((A199+0.5)/'계산 과정'!$L$30),"")</x:f>
        <x:v>46.10698962399844</x:v>
      </x:c>
      <x:c r="C199" s="4" t="n">
        <x:f>A199*PI()*(3-SQRT(5))</x:f>
        <x:v>463.19290333763</x:v>
      </x:c>
      <x:c r="D199" s="4" t="n">
        <x:f>IF('계산 과정'!$L$5,B199*COS(C199),"")</x:f>
        <x:v>-8.79884355575528</x:v>
      </x:c>
      <x:c r="E199" s="4" t="n">
        <x:f>IF('계산 과정'!$L$5,B199*SIN(C199),"")</x:f>
        <x:v>-45.25963813674214</x:v>
      </x:c>
      <x:c r="F199" s="4" t="n">
        <x:f>IF('계산 과정'!$L$7,'계산 과정'!$L$22+'계산 과정'!$C$49*D199+'계산 과정'!$D$49*E199,"")</x:f>
        <x:v>656.2217219448742</x:v>
      </x:c>
      <x:c r="G199" s="4" t="n">
        <x:f>IF('계산 과정'!$L$7,IF(ABS(F199)&gt;=1E-12*MAX(1,SQRT((D199-'계산 과정'!$C$33)^2+(E199-'계산 과정'!$D$33)^2+'계산 과정'!$E$33^2)),('계산 과정'!$L$23-'계산 과정'!$C$49*D199-'계산 과정'!$D$49*E199)/F199,""),"")</x:f>
        <x:v>0.6000689475625209</x:v>
      </x:c>
      <x:c r="H199" s="4" t="n">
        <x:f>IF(AND(ISNUMBER(G199),G199&gt;0),('계산 과정'!$D$56+'계산 과정'!$D$57*D199+'계산 과정'!$D$58*E199)/F199,"")</x:f>
        <x:v>-9.955184084361477</x:v>
      </x:c>
      <x:c r="I199" s="4" t="n">
        <x:f>IF(AND(ISNUMBER(G199),G199&gt;0),('계산 과정'!$E$56+'계산 과정'!$E$57*D199+'계산 과정'!$E$58*E199)/F199,"")</x:f>
        <x:v>-72.41854156051753</x:v>
      </x:c>
      <x:c r="J199" s="4" t="n">
        <x:f>IF('계산 과정'!$L$5,'계산 과정'!$D$6+'계산 과정'!$C$35*D199+'계산 과정'!$D$35*E199,"")</x:f>
        <x:v>656.2217219448742</x:v>
      </x:c>
      <x:c r="K199" s="4" t="n">
        <x:f>IF(AND('계산 과정'!$L$6,J199&gt;0),'계산 과정'!$D$10*('계산 과정'!$C$38*(D199-'계산 과정'!$C$32)+'계산 과정'!$D$38*(E199-'계산 과정'!$D$32)-'계산 과정'!$E$38*'계산 과정'!$E$32)/J199,"")</x:f>
        <x:v>-0.07584902159513408</x:v>
      </x:c>
      <x:c r="L199" s="4" t="n">
        <x:f>IF(AND('계산 과정'!$L$6,J199&gt;0),'계산 과정'!$D$10*('계산 과정'!$C$39*(D199-'계산 과정'!$C$32)+'계산 과정'!$D$39*(E199-'계산 과정'!$D$32)-'계산 과정'!$E$39*'계산 과정'!$E$32)/J199,"")</x:f>
        <x:v>-0.5517603166515621</x:v>
      </x:c>
      <x:c r="M199" s="17" t="n">
        <x:f>IF('계산 과정'!$L$6,IF(J199&lt;=0,0,IF(AND(ABS(K199)&lt;='계산 과정'!$D$11/2,ABS(L199)&lt;='계산 과정'!$D$12/2),1,0)),"")</x:f>
        <x:v>1</x:v>
      </x:c>
      <x:c r="N199" s="17" t="n">
        <x:f>IF('계산 과정'!$C$78,IF(AND(ISNUMBER(H199),ISNUMBER(I199),ABS(H199-'계산 과정'!$C$88)&lt;='계산 과정'!$D$23/2,ABS(I199-'계산 과정'!$C$89)&lt;='계산 과정'!$D$24/2),1,0),"")</x:f>
        <x:v>1</x:v>
      </x:c>
      <x:c r="O199" s="4" t="n">
        <x:f>IF('계산 과정'!$L$7,'계산 과정'!$C$49*('계산 과정'!$C$32-D199)+'계산 과정'!$D$49*('계산 과정'!$D$32-E199)+'계산 과정'!$E$49*'계산 과정'!$E$32,"")</x:f>
        <x:v>-6.221721944873991</x:v>
      </x:c>
      <x:c r="P199" s="4" t="n">
        <x:f>IF(AND('계산 과정'!$L$7,O199&lt;&gt;0),('계산 과정'!$L$23-'계산 과정'!$C$49*D199-'계산 과정'!$D$49*E199)/O199,"")</x:f>
        <x:v>-63.29088338310514</x:v>
      </x:c>
      <x:c r="Q199" s="4" t="str">
        <x:f>IF(AND(ISNUMBER(P199),P199&gt;1E-9,P199&lt;1-1E-9),'계산 과정'!$C$47*(D199-'계산 과정'!$C$50+P199*('계산 과정'!$C$32-D199))+'계산 과정'!$D$47*(E199-'계산 과정'!$D$50+P199*('계산 과정'!$D$32-E199))+'계산 과정'!$E$47*(0-'계산 과정'!$E$50+P199*('계산 과정'!$E$32-0)),"")</x:f>
      </x:c>
      <x:c r="R199" s="4" t="str">
        <x:f>IF(AND(ISNUMBER(P199),P199&gt;1E-9,P199&lt;1-1E-9),'계산 과정'!$C$48*(D199-'계산 과정'!$C$50+P199*('계산 과정'!$C$32-D199))+'계산 과정'!$D$48*(E199-'계산 과정'!$D$50+P199*('계산 과정'!$D$32-E199))+'계산 과정'!$E$48*(0-'계산 과정'!$E$50+P199*('계산 과정'!$E$32-0)),"")</x:f>
      </x:c>
      <x:c r="S199" s="17" t="n">
        <x:f>IF('계산 과정'!$C$78,IF(AND(ISNUMBER(Q199),ISNUMBER(R199),ABS(Q199-'계산 과정'!$C$88)&lt;='계산 과정'!$D$23/2,ABS(R199-'계산 과정'!$C$89)&lt;='계산 과정'!$D$24/2),1,0),"")</x:f>
        <x:v>0</x:v>
      </x:c>
      <x:c r="T199" s="4"/>
      <x:c r="U199" s="4"/>
      <x:c r="V199" s="4"/>
      <x:c r="W199" s="4" t="n">
        <x:f>IF('계산 과정'!$C$77,('계산 과정'!$D$56+'계산 과정'!$D$57*('계산 과정'!$L$11*COS(193*2*PI()/240))+'계산 과정'!$D$58*('계산 과정'!$L$11*SIN(193*2*PI()/240)))/('계산 과정'!$D$59+'계산 과정'!$D$60*('계산 과정'!$L$11*COS(193*2*PI()/240))+'계산 과정'!$D$61*('계산 과정'!$L$11*SIN(193*2*PI()/240))),"")</x:f>
        <x:v>60.48841332638962</x:v>
      </x:c>
      <x:c r="X199" s="4" t="n">
        <x:f>IF('계산 과정'!$C$77,('계산 과정'!$E$56+'계산 과정'!$E$57*('계산 과정'!$L$11*COS(193*2*PI()/240))+'계산 과정'!$E$58*('계산 과정'!$L$11*SIN(193*2*PI()/240)))/('계산 과정'!$E$59+'계산 과정'!$E$60*('계산 과정'!$L$11*COS(193*2*PI()/240))+'계산 과정'!$E$61*('계산 과정'!$L$11*SIN(193*2*PI()/240))),"")</x:f>
        <x:v>-241.56748933351741</x:v>
      </x:c>
      <x:c r="Y199" s="4" t="str">
        <x:f>""</x:f>
      </x:c>
      <x:c r="Z199" s="4" t="str">
        <x:f>""</x:f>
      </x:c>
    </x:row>
    <x:row r="200" ht="23" customHeight="1">
      <x:c r="A200" s="17" t="n">
        <x:f>ROW()-6</x:f>
        <x:v>194</x:v>
      </x:c>
      <x:c r="B200" s="4" t="n">
        <x:f>IF('계산 과정'!$L$5,'계산 과정'!$L$11*SQRT((A200+0.5)/'계산 과정'!$L$30),"")</x:f>
        <x:v>46.225975601521924</x:v>
      </x:c>
      <x:c r="C200" s="4" t="n">
        <x:f>A200*PI()*(3-SQRT(5))</x:f>
        <x:v>465.59286656735867</x:v>
      </x:c>
      <x:c r="D200" s="4" t="n">
        <x:f>IF('계산 과정'!$L$5,B200*COS(C200),"")</x:f>
        <x:v>37.15607968762756</x:v>
      </x:c>
      <x:c r="E200" s="4" t="n">
        <x:f>IF('계산 과정'!$L$5,B200*SIN(C200),"")</x:f>
        <x:v>27.50030113579069</x:v>
      </x:c>
      <x:c r="F200" s="4" t="n">
        <x:f>IF('계산 과정'!$L$7,'계산 과정'!$L$22+'계산 과정'!$C$49*D200+'계산 과정'!$D$49*E200,"")</x:f>
        <x:v>623.7266840905709</x:v>
      </x:c>
      <x:c r="G200" s="4" t="n">
        <x:f>IF('계산 과정'!$L$7,IF(ABS(F200)&gt;=1E-12*MAX(1,SQRT((D200-'계산 과정'!$C$33)^2+(E200-'계산 과정'!$D$33)^2+'계산 과정'!$E$33^2)),('계산 과정'!$L$23-'계산 과정'!$C$49*D200-'계산 과정'!$D$49*E200)/F200,""),"")</x:f>
        <x:v>0.6834296604304496</x:v>
      </x:c>
      <x:c r="H200" s="4" t="n">
        <x:f>IF(AND(ISNUMBER(G200),G200&gt;0),('계산 과정'!$D$56+'계산 과정'!$D$57*D200+'계산 과정'!$D$58*E200)/F200,"")</x:f>
        <x:v>44.229279279792195</x:v>
      </x:c>
      <x:c r="I200" s="4" t="n">
        <x:f>IF(AND(ISNUMBER(G200),G200&gt;0),('계산 과정'!$E$56+'계산 과정'!$E$57*D200+'계산 과정'!$E$58*E200)/F200,"")</x:f>
        <x:v>46.294822602759226</x:v>
      </x:c>
      <x:c r="J200" s="4" t="n">
        <x:f>IF('계산 과정'!$L$5,'계산 과정'!$D$6+'계산 과정'!$C$35*D200+'계산 과정'!$D$35*E200,"")</x:f>
        <x:v>623.7266840905709</x:v>
      </x:c>
      <x:c r="K200" s="4" t="n">
        <x:f>IF(AND('계산 과정'!$L$6,J200&gt;0),'계산 과정'!$D$10*('계산 과정'!$C$38*(D200-'계산 과정'!$C$32)+'계산 과정'!$D$38*(E200-'계산 과정'!$D$32)-'계산 과정'!$E$38*'계산 과정'!$E$32)/J200,"")</x:f>
        <x:v>0.33698498498889373</x:v>
      </x:c>
      <x:c r="L200" s="4" t="n">
        <x:f>IF(AND('계산 과정'!$L$6,J200&gt;0),'계산 과정'!$D$10*('계산 과정'!$C$39*(D200-'계산 과정'!$C$32)+'계산 과정'!$D$39*(E200-'계산 과정'!$D$32)-'계산 과정'!$E$39*'계산 과정'!$E$32)/J200,"")</x:f>
        <x:v>0.3527224579257846</x:v>
      </x:c>
      <x:c r="M200" s="17" t="n">
        <x:f>IF('계산 과정'!$L$6,IF(J200&lt;=0,0,IF(AND(ABS(K200)&lt;='계산 과정'!$D$11/2,ABS(L200)&lt;='계산 과정'!$D$12/2),1,0)),"")</x:f>
        <x:v>1</x:v>
      </x:c>
      <x:c r="N200" s="17" t="n">
        <x:f>IF('계산 과정'!$C$78,IF(AND(ISNUMBER(H200),ISNUMBER(I200),ABS(H200-'계산 과정'!$C$88)&lt;='계산 과정'!$D$23/2,ABS(I200-'계산 과정'!$C$89)&lt;='계산 과정'!$D$24/2),1,0),"")</x:f>
        <x:v>1</x:v>
      </x:c>
      <x:c r="O200" s="4" t="n">
        <x:f>IF('계산 과정'!$L$7,'계산 과정'!$C$49*('계산 과정'!$C$32-D200)+'계산 과정'!$D$49*('계산 과정'!$D$32-E200)+'계산 과정'!$E$49*'계산 과정'!$E$32,"")</x:f>
        <x:v>26.2733159094293</x:v>
      </x:c>
      <x:c r="P200" s="4" t="n">
        <x:f>IF(AND('계산 과정'!$L$7,O200&lt;&gt;0),('계산 과정'!$L$23-'계산 과정'!$C$49*D200-'계산 과정'!$D$49*E200)/O200,"")</x:f>
        <x:v>16.224572390439793</x:v>
      </x:c>
      <x:c r="Q200" s="4" t="str">
        <x:f>IF(AND(ISNUMBER(P200),P200&gt;1E-9,P200&lt;1-1E-9),'계산 과정'!$C$47*(D200-'계산 과정'!$C$50+P200*('계산 과정'!$C$32-D200))+'계산 과정'!$D$47*(E200-'계산 과정'!$D$50+P200*('계산 과정'!$D$32-E200))+'계산 과정'!$E$47*(0-'계산 과정'!$E$50+P200*('계산 과정'!$E$32-0)),"")</x:f>
      </x:c>
      <x:c r="R200" s="4" t="str">
        <x:f>IF(AND(ISNUMBER(P200),P200&gt;1E-9,P200&lt;1-1E-9),'계산 과정'!$C$48*(D200-'계산 과정'!$C$50+P200*('계산 과정'!$C$32-D200))+'계산 과정'!$D$48*(E200-'계산 과정'!$D$50+P200*('계산 과정'!$D$32-E200))+'계산 과정'!$E$48*(0-'계산 과정'!$E$50+P200*('계산 과정'!$E$32-0)),"")</x:f>
      </x:c>
      <x:c r="S200" s="17" t="n">
        <x:f>IF('계산 과정'!$C$78,IF(AND(ISNUMBER(Q200),ISNUMBER(R200),ABS(Q200-'계산 과정'!$C$88)&lt;='계산 과정'!$D$23/2,ABS(R200-'계산 과정'!$C$89)&lt;='계산 과정'!$D$24/2),1,0),"")</x:f>
        <x:v>0</x:v>
      </x:c>
      <x:c r="T200" s="4"/>
      <x:c r="U200" s="4"/>
      <x:c r="V200" s="4"/>
      <x:c r="W200" s="4" t="n">
        <x:f>IF('계산 과정'!$C$77,('계산 과정'!$D$56+'계산 과정'!$D$57*('계산 과정'!$L$11*COS(194*2*PI()/240))+'계산 과정'!$D$58*('계산 과정'!$L$11*SIN(194*2*PI()/240)))/('계산 과정'!$D$59+'계산 과정'!$D$60*('계산 과정'!$L$11*COS(194*2*PI()/240))+'계산 과정'!$D$61*('계산 과정'!$L$11*SIN(194*2*PI()/240))),"")</x:f>
        <x:v>65.21550558116584</x:v>
      </x:c>
      <x:c r="X200" s="4" t="n">
        <x:f>IF('계산 과정'!$C$77,('계산 과정'!$E$56+'계산 과정'!$E$57*('계산 과정'!$L$11*COS(194*2*PI()/240))+'계산 과정'!$E$58*('계산 과정'!$L$11*SIN(194*2*PI()/240)))/('계산 과정'!$E$59+'계산 과정'!$E$60*('계산 과정'!$L$11*COS(194*2*PI()/240))+'계산 과정'!$E$61*('계산 과정'!$L$11*SIN(194*2*PI()/240))),"")</x:f>
        <x:v>-240.26385400079027</x:v>
      </x:c>
      <x:c r="Y200" s="4" t="str">
        <x:f>""</x:f>
      </x:c>
      <x:c r="Z200" s="4" t="str">
        <x:f>""</x:f>
      </x:c>
    </x:row>
    <x:row r="201" ht="23" customHeight="1">
      <x:c r="A201" s="17" t="n">
        <x:f>ROW()-6</x:f>
        <x:v>195</x:v>
      </x:c>
      <x:c r="B201" s="4" t="n">
        <x:f>IF('계산 과정'!$L$5,'계산 과정'!$L$11*SQRT((A201+0.5)/'계산 과정'!$L$30),"")</x:f>
        <x:v>46.34465609363716</x:v>
      </x:c>
      <x:c r="C201" s="4" t="n">
        <x:f>A201*PI()*(3-SQRT(5))</x:f>
        <x:v>467.99282979708727</x:v>
      </x:c>
      <x:c r="D201" s="4" t="n">
        <x:f>IF('계산 과정'!$L$5,B201*COS(C201),"")</x:f>
        <x:v>-46.0919566730086</x:v>
      </x:c>
      <x:c r="E201" s="4" t="n">
        <x:f>IF('계산 과정'!$L$5,B201*SIN(C201),"")</x:f>
        <x:v>4.833081676425253</x:v>
      </x:c>
      <x:c r="F201" s="4" t="n">
        <x:f>IF('계산 과정'!$L$7,'계산 과정'!$L$22+'계산 과정'!$C$49*D201+'계산 과정'!$D$49*E201,"")</x:f>
        <x:v>682.591935121641</x:v>
      </x:c>
      <x:c r="G201" s="4" t="n">
        <x:f>IF('계산 과정'!$L$7,IF(ABS(F201)&gt;=1E-12*MAX(1,SQRT((D201-'계산 과정'!$C$33)^2+(E201-'계산 과정'!$D$33)^2+'계산 과정'!$E$33^2)),('계산 과정'!$L$23-'계산 과정'!$C$49*D201-'계산 과정'!$D$49*E201)/F201,""),"")</x:f>
        <x:v>0.5382543302579239</x:v>
      </x:c>
      <x:c r="H201" s="4" t="n">
        <x:f>IF(AND(ISNUMBER(G201),G201&gt;0),('계산 과정'!$D$56+'계산 과정'!$D$57*D201+'계산 과정'!$D$58*E201)/F201,"")</x:f>
        <x:v>-50.13468533234958</x:v>
      </x:c>
      <x:c r="I201" s="4" t="n">
        <x:f>IF(AND(ISNUMBER(G201),G201&gt;0),('계산 과정'!$E$56+'계산 과정'!$E$57*D201+'계산 과정'!$E$58*E201)/F201,"")</x:f>
        <x:v>7.434508817251371</x:v>
      </x:c>
      <x:c r="J201" s="4" t="n">
        <x:f>IF('계산 과정'!$L$5,'계산 과정'!$D$6+'계산 과정'!$C$35*D201+'계산 과정'!$D$35*E201,"")</x:f>
        <x:v>682.591935121641</x:v>
      </x:c>
      <x:c r="K201" s="4" t="n">
        <x:f>IF(AND('계산 과정'!$L$6,J201&gt;0),'계산 과정'!$D$10*('계산 과정'!$C$38*(D201-'계산 과정'!$C$32)+'계산 과정'!$D$38*(E201-'계산 과정'!$D$32)-'계산 과정'!$E$38*'계산 과정'!$E$32)/J201,"")</x:f>
        <x:v>-0.38197855491313865</x:v>
      </x:c>
      <x:c r="L201" s="4" t="n">
        <x:f>IF(AND('계산 과정'!$L$6,J201&gt;0),'계산 과정'!$D$10*('계산 과정'!$C$39*(D201-'계산 과정'!$C$32)+'계산 과정'!$D$39*(E201-'계산 과정'!$D$32)-'계산 과정'!$E$39*'계산 과정'!$E$32)/J201,"")</x:f>
        <x:v>0.056643876702867586</x:v>
      </x:c>
      <x:c r="M201" s="17" t="n">
        <x:f>IF('계산 과정'!$L$6,IF(J201&lt;=0,0,IF(AND(ABS(K201)&lt;='계산 과정'!$D$11/2,ABS(L201)&lt;='계산 과정'!$D$12/2),1,0)),"")</x:f>
        <x:v>1</x:v>
      </x:c>
      <x:c r="N201" s="17" t="n">
        <x:f>IF('계산 과정'!$C$78,IF(AND(ISNUMBER(H201),ISNUMBER(I201),ABS(H201-'계산 과정'!$C$88)&lt;='계산 과정'!$D$23/2,ABS(I201-'계산 과정'!$C$89)&lt;='계산 과정'!$D$24/2),1,0),"")</x:f>
        <x:v>1</x:v>
      </x:c>
      <x:c r="O201" s="4" t="n">
        <x:f>IF('계산 과정'!$L$7,'계산 과정'!$C$49*('계산 과정'!$C$32-D201)+'계산 과정'!$D$49*('계산 과정'!$D$32-E201)+'계산 과정'!$E$49*'계산 과정'!$E$32,"")</x:f>
        <x:v>-32.5919351216408</x:v>
      </x:c>
      <x:c r="P201" s="4" t="n">
        <x:f>IF(AND('계산 과정'!$L$7,O201&lt;&gt;0),('계산 과정'!$L$23-'계산 과정'!$C$49*D201-'계산 과정'!$D$49*E201)/O201,"")</x:f>
        <x:v>-11.272974848136675</x:v>
      </x:c>
      <x:c r="Q201" s="4" t="str">
        <x:f>IF(AND(ISNUMBER(P201),P201&gt;1E-9,P201&lt;1-1E-9),'계산 과정'!$C$47*(D201-'계산 과정'!$C$50+P201*('계산 과정'!$C$32-D201))+'계산 과정'!$D$47*(E201-'계산 과정'!$D$50+P201*('계산 과정'!$D$32-E201))+'계산 과정'!$E$47*(0-'계산 과정'!$E$50+P201*('계산 과정'!$E$32-0)),"")</x:f>
      </x:c>
      <x:c r="R201" s="4" t="str">
        <x:f>IF(AND(ISNUMBER(P201),P201&gt;1E-9,P201&lt;1-1E-9),'계산 과정'!$C$48*(D201-'계산 과정'!$C$50+P201*('계산 과정'!$C$32-D201))+'계산 과정'!$D$48*(E201-'계산 과정'!$D$50+P201*('계산 과정'!$D$32-E201))+'계산 과정'!$E$48*(0-'계산 과정'!$E$50+P201*('계산 과정'!$E$32-0)),"")</x:f>
      </x:c>
      <x:c r="S201" s="17" t="n">
        <x:f>IF('계산 과정'!$C$78,IF(AND(ISNUMBER(Q201),ISNUMBER(R201),ABS(Q201-'계산 과정'!$C$88)&lt;='계산 과정'!$D$23/2,ABS(R201-'계산 과정'!$C$89)&lt;='계산 과정'!$D$24/2),1,0),"")</x:f>
        <x:v>0</x:v>
      </x:c>
      <x:c r="T201" s="4"/>
      <x:c r="U201" s="4"/>
      <x:c r="V201" s="4"/>
      <x:c r="W201" s="4" t="n">
        <x:f>IF('계산 과정'!$C$77,('계산 과정'!$D$56+'계산 과정'!$D$57*('계산 과정'!$L$11*COS(195*2*PI()/240))+'계산 과정'!$D$58*('계산 과정'!$L$11*SIN(195*2*PI()/240)))/('계산 과정'!$D$59+'계산 과정'!$D$60*('계산 과정'!$L$11*COS(195*2*PI()/240))+'계산 과정'!$D$61*('계산 과정'!$L$11*SIN(195*2*PI()/240))),"")</x:f>
        <x:v>69.9351379715657</x:v>
      </x:c>
      <x:c r="X201" s="4" t="n">
        <x:f>IF('계산 과정'!$C$77,('계산 과정'!$E$56+'계산 과정'!$E$57*('계산 과정'!$L$11*COS(195*2*PI()/240))+'계산 과정'!$E$58*('계산 과정'!$L$11*SIN(195*2*PI()/240)))/('계산 과정'!$E$59+'계산 과정'!$E$60*('계산 과정'!$L$11*COS(195*2*PI()/240))+'계산 과정'!$E$61*('계산 과정'!$L$11*SIN(195*2*PI()/240))),"")</x:f>
        <x:v>-238.77349654895394</x:v>
      </x:c>
      <x:c r="Y201" s="4" t="str">
        <x:f>""</x:f>
      </x:c>
      <x:c r="Z201" s="4" t="str">
        <x:f>""</x:f>
      </x:c>
    </x:row>
    <x:row r="202" ht="23" customHeight="1">
      <x:c r="A202" s="17" t="n">
        <x:f>ROW()-6</x:f>
        <x:v>196</x:v>
      </x:c>
      <x:c r="B202" s="4" t="n">
        <x:f>IF('계산 과정'!$L$5,'계산 과정'!$L$11*SQRT((A202+0.5)/'계산 과정'!$L$30),"")</x:f>
        <x:v>46.46303344124768</x:v>
      </x:c>
      <x:c r="C202" s="4" t="n">
        <x:f>A202*PI()*(3-SQRT(5))</x:f>
        <x:v>470.3927930268159</x:v>
      </x:c>
      <x:c r="D202" s="4" t="n">
        <x:f>IF('계산 과정'!$L$5,B202*COS(C202),"")</x:f>
        <x:v>30.800547476543926</x:v>
      </x:c>
      <x:c r="E202" s="4" t="n">
        <x:f>IF('계산 과정'!$L$5,B202*SIN(C202),"")</x:f>
        <x:v>-34.787062993412704</x:v>
      </x:c>
      <x:c r="F202" s="4" t="n">
        <x:f>IF('계산 과정'!$L$7,'계산 과정'!$L$22+'계산 과정'!$C$49*D202+'계산 과정'!$D$49*E202,"")</x:f>
        <x:v>628.2207240150776</x:v>
      </x:c>
      <x:c r="G202" s="4" t="n">
        <x:f>IF('계산 과정'!$L$7,IF(ABS(F202)&gt;=1E-12*MAX(1,SQRT((D202-'계산 과정'!$C$33)^2+(E202-'계산 과정'!$D$33)^2+'계산 과정'!$E$33^2)),('계산 과정'!$L$23-'계산 과정'!$C$49*D202-'계산 과정'!$D$49*E202)/F202,""),"")</x:f>
        <x:v>0.6713870776010877</x:v>
      </x:c>
      <x:c r="H202" s="4" t="n">
        <x:f>IF(AND(ISNUMBER(G202),G202&gt;0),('계산 과정'!$D$56+'계산 과정'!$D$57*D202+'계산 과정'!$D$58*E202)/F202,"")</x:f>
        <x:v>36.401600440706915</x:v>
      </x:c>
      <x:c r="I202" s="4" t="n">
        <x:f>IF(AND(ISNUMBER(G202),G202&gt;0),('계산 과정'!$E$56+'계산 과정'!$E$57*D202+'계산 과정'!$E$58*E202)/F202,"")</x:f>
        <x:v>-58.14264755488501</x:v>
      </x:c>
      <x:c r="J202" s="4" t="n">
        <x:f>IF('계산 과정'!$L$5,'계산 과정'!$D$6+'계산 과정'!$C$35*D202+'계산 과정'!$D$35*E202,"")</x:f>
        <x:v>628.2207240150776</x:v>
      </x:c>
      <x:c r="K202" s="4" t="n">
        <x:f>IF(AND('계산 과정'!$L$6,J202&gt;0),'계산 과정'!$D$10*('계산 과정'!$C$38*(D202-'계산 과정'!$C$32)+'계산 과정'!$D$38*(E202-'계산 과정'!$D$32)-'계산 과정'!$E$38*'계산 과정'!$E$32)/J202,"")</x:f>
        <x:v>0.27734552716729116</x:v>
      </x:c>
      <x:c r="L202" s="4" t="n">
        <x:f>IF(AND('계산 과정'!$L$6,J202&gt;0),'계산 과정'!$D$10*('계산 과정'!$C$39*(D202-'계산 과정'!$C$32)+'계산 과정'!$D$39*(E202-'계산 과정'!$D$32)-'계산 과정'!$E$39*'계산 과정'!$E$32)/J202,"")</x:f>
        <x:v>-0.4429916004181714</x:v>
      </x:c>
      <x:c r="M202" s="17" t="n">
        <x:f>IF('계산 과정'!$L$6,IF(J202&lt;=0,0,IF(AND(ABS(K202)&lt;='계산 과정'!$D$11/2,ABS(L202)&lt;='계산 과정'!$D$12/2),1,0)),"")</x:f>
        <x:v>1</x:v>
      </x:c>
      <x:c r="N202" s="17" t="n">
        <x:f>IF('계산 과정'!$C$78,IF(AND(ISNUMBER(H202),ISNUMBER(I202),ABS(H202-'계산 과정'!$C$88)&lt;='계산 과정'!$D$23/2,ABS(I202-'계산 과정'!$C$89)&lt;='계산 과정'!$D$24/2),1,0),"")</x:f>
        <x:v>1</x:v>
      </x:c>
      <x:c r="O202" s="4" t="n">
        <x:f>IF('계산 과정'!$L$7,'계산 과정'!$C$49*('계산 과정'!$C$32-D202)+'계산 과정'!$D$49*('계산 과정'!$D$32-E202)+'계산 과정'!$E$49*'계산 과정'!$E$32,"")</x:f>
        <x:v>21.779275984922492</x:v>
      </x:c>
      <x:c r="P202" s="4" t="n">
        <x:f>IF(AND('계산 과정'!$L$7,O202&lt;&gt;0),('계산 과정'!$L$23-'계산 과정'!$C$49*D202-'계산 과정'!$D$49*E202)/O202,"")</x:f>
        <x:v>19.366083439913922</x:v>
      </x:c>
      <x:c r="Q202" s="4" t="str">
        <x:f>IF(AND(ISNUMBER(P202),P202&gt;1E-9,P202&lt;1-1E-9),'계산 과정'!$C$47*(D202-'계산 과정'!$C$50+P202*('계산 과정'!$C$32-D202))+'계산 과정'!$D$47*(E202-'계산 과정'!$D$50+P202*('계산 과정'!$D$32-E202))+'계산 과정'!$E$47*(0-'계산 과정'!$E$50+P202*('계산 과정'!$E$32-0)),"")</x:f>
      </x:c>
      <x:c r="R202" s="4" t="str">
        <x:f>IF(AND(ISNUMBER(P202),P202&gt;1E-9,P202&lt;1-1E-9),'계산 과정'!$C$48*(D202-'계산 과정'!$C$50+P202*('계산 과정'!$C$32-D202))+'계산 과정'!$D$48*(E202-'계산 과정'!$D$50+P202*('계산 과정'!$D$32-E202))+'계산 과정'!$E$48*(0-'계산 과정'!$E$50+P202*('계산 과정'!$E$32-0)),"")</x:f>
      </x:c>
      <x:c r="S202" s="17" t="n">
        <x:f>IF('계산 과정'!$C$78,IF(AND(ISNUMBER(Q202),ISNUMBER(R202),ABS(Q202-'계산 과정'!$C$88)&lt;='계산 과정'!$D$23/2,ABS(R202-'계산 과정'!$C$89)&lt;='계산 과정'!$D$24/2),1,0),"")</x:f>
        <x:v>0</x:v>
      </x:c>
      <x:c r="T202" s="4"/>
      <x:c r="U202" s="4"/>
      <x:c r="V202" s="4"/>
      <x:c r="W202" s="4" t="n">
        <x:f>IF('계산 과정'!$C$77,('계산 과정'!$D$56+'계산 과정'!$D$57*('계산 과정'!$L$11*COS(196*2*PI()/240))+'계산 과정'!$D$58*('계산 과정'!$L$11*SIN(196*2*PI()/240)))/('계산 과정'!$D$59+'계산 과정'!$D$60*('계산 과정'!$L$11*COS(196*2*PI()/240))+'계산 과정'!$D$61*('계산 과정'!$L$11*SIN(196*2*PI()/240))),"")</x:f>
        <x:v>74.64333192014104</x:v>
      </x:c>
      <x:c r="X202" s="4" t="n">
        <x:f>IF('계산 과정'!$C$77,('계산 과정'!$E$56+'계산 과정'!$E$57*('계산 과정'!$L$11*COS(196*2*PI()/240))+'계산 과정'!$E$58*('계산 과정'!$L$11*SIN(196*2*PI()/240)))/('계산 과정'!$E$59+'계산 과정'!$E$60*('계산 과정'!$L$11*COS(196*2*PI()/240))+'계산 과정'!$E$61*('계산 과정'!$L$11*SIN(196*2*PI()/240))),"")</x:f>
        <x:v>-237.09526323315808</x:v>
      </x:c>
      <x:c r="Y202" s="4" t="str">
        <x:f>""</x:f>
      </x:c>
      <x:c r="Z202" s="4" t="str">
        <x:f>""</x:f>
      </x:c>
    </x:row>
    <x:row r="203" ht="23" customHeight="1">
      <x:c r="A203" s="17" t="n">
        <x:f>ROW()-6</x:f>
        <x:v>197</x:v>
      </x:c>
      <x:c r="B203" s="4" t="n">
        <x:f>IF('계산 과정'!$L$5,'계산 과정'!$L$11*SQRT((A203+0.5)/'계산 과정'!$L$30),"")</x:f>
        <x:v>46.58110995551201</x:v>
      </x:c>
      <x:c r="C203" s="4" t="n">
        <x:f>A203*PI()*(3-SQRT(5))</x:f>
        <x:v>472.7927562565446</x:v>
      </x:c>
      <x:c r="D203" s="4" t="n">
        <x:f>IF('계산 과정'!$L$5,B203*COS(C203),"")</x:f>
        <x:v>0.7889581781415376</x:v>
      </x:c>
      <x:c r="E203" s="4" t="n">
        <x:f>IF('계산 과정'!$L$5,B203*SIN(C203),"")</x:f>
        <x:v>46.5744280660605</x:v>
      </x:c>
      <x:c r="F203" s="4" t="n">
        <x:f>IF('계산 과정'!$L$7,'계산 과정'!$L$22+'계산 과정'!$C$49*D203+'계산 과정'!$D$49*E203,"")</x:f>
        <x:v>649.4421223221635</x:v>
      </x:c>
      <x:c r="G203" s="4" t="n">
        <x:f>IF('계산 과정'!$L$7,IF(ABS(F203)&gt;=1E-12*MAX(1,SQRT((D203-'계산 과정'!$C$33)^2+(E203-'계산 과정'!$D$33)^2+'계산 과정'!$E$33^2)),('계산 과정'!$L$23-'계산 과정'!$C$49*D203-'계산 과정'!$D$49*E203)/F203,""),"")</x:f>
        <x:v>0.6167722479188606</x:v>
      </x:c>
      <x:c r="H203" s="4" t="n">
        <x:f>IF(AND(ISNUMBER(G203),G203&gt;0),('계산 과정'!$D$56+'계산 과정'!$D$57*D203+'계산 과정'!$D$58*E203)/F203,"")</x:f>
        <x:v>0.9019611472593025</x:v>
      </x:c>
      <x:c r="I203" s="4" t="n">
        <x:f>IF(AND(ISNUMBER(G203),G203&gt;0),('계산 과정'!$E$56+'계산 과정'!$E$57*D203+'계산 과정'!$E$58*E203)/F203,"")</x:f>
        <x:v>75.3002427598999</x:v>
      </x:c>
      <x:c r="J203" s="4" t="n">
        <x:f>IF('계산 과정'!$L$5,'계산 과정'!$D$6+'계산 과정'!$C$35*D203+'계산 과정'!$D$35*E203,"")</x:f>
        <x:v>649.4421223221635</x:v>
      </x:c>
      <x:c r="K203" s="4" t="n">
        <x:f>IF(AND('계산 과정'!$L$6,J203&gt;0),'계산 과정'!$D$10*('계산 과정'!$C$38*(D203-'계산 과정'!$C$32)+'계산 과정'!$D$38*(E203-'계산 과정'!$D$32)-'계산 과정'!$E$38*'계산 과정'!$E$32)/J203,"")</x:f>
        <x:v>0.006872084931500403</x:v>
      </x:c>
      <x:c r="L203" s="4" t="n">
        <x:f>IF(AND('계산 과정'!$L$6,J203&gt;0),'계산 과정'!$D$10*('계산 과정'!$C$39*(D203-'계산 과정'!$C$32)+'계산 과정'!$D$39*(E203-'계산 과정'!$D$32)-'계산 과정'!$E$39*'계산 과정'!$E$32)/J203,"")</x:f>
        <x:v>0.5737161353135231</x:v>
      </x:c>
      <x:c r="M203" s="17" t="n">
        <x:f>IF('계산 과정'!$L$6,IF(J203&lt;=0,0,IF(AND(ABS(K203)&lt;='계산 과정'!$D$11/2,ABS(L203)&lt;='계산 과정'!$D$12/2),1,0)),"")</x:f>
        <x:v>1</x:v>
      </x:c>
      <x:c r="N203" s="17" t="n">
        <x:f>IF('계산 과정'!$C$78,IF(AND(ISNUMBER(H203),ISNUMBER(I203),ABS(H203-'계산 과정'!$C$88)&lt;='계산 과정'!$D$23/2,ABS(I203-'계산 과정'!$C$89)&lt;='계산 과정'!$D$24/2),1,0),"")</x:f>
        <x:v>1</x:v>
      </x:c>
      <x:c r="O203" s="4" t="n">
        <x:f>IF('계산 과정'!$L$7,'계산 과정'!$C$49*('계산 과정'!$C$32-D203)+'계산 과정'!$D$49*('계산 과정'!$D$32-E203)+'계산 과정'!$E$49*'계산 과정'!$E$32,"")</x:f>
        <x:v>0.5578776778365864</x:v>
      </x:c>
      <x:c r="P203" s="4" t="n">
        <x:f>IF(AND('계산 과정'!$L$7,O203&lt;&gt;0),('계산 과정'!$L$23-'계산 과정'!$C$49*D203-'계산 과정'!$D$49*E203)/O203,"")</x:f>
        <x:v>718.0030562096947</x:v>
      </x:c>
      <x:c r="Q203" s="4" t="str">
        <x:f>IF(AND(ISNUMBER(P203),P203&gt;1E-9,P203&lt;1-1E-9),'계산 과정'!$C$47*(D203-'계산 과정'!$C$50+P203*('계산 과정'!$C$32-D203))+'계산 과정'!$D$47*(E203-'계산 과정'!$D$50+P203*('계산 과정'!$D$32-E203))+'계산 과정'!$E$47*(0-'계산 과정'!$E$50+P203*('계산 과정'!$E$32-0)),"")</x:f>
      </x:c>
      <x:c r="R203" s="4" t="str">
        <x:f>IF(AND(ISNUMBER(P203),P203&gt;1E-9,P203&lt;1-1E-9),'계산 과정'!$C$48*(D203-'계산 과정'!$C$50+P203*('계산 과정'!$C$32-D203))+'계산 과정'!$D$48*(E203-'계산 과정'!$D$50+P203*('계산 과정'!$D$32-E203))+'계산 과정'!$E$48*(0-'계산 과정'!$E$50+P203*('계산 과정'!$E$32-0)),"")</x:f>
      </x:c>
      <x:c r="S203" s="17" t="n">
        <x:f>IF('계산 과정'!$C$78,IF(AND(ISNUMBER(Q203),ISNUMBER(R203),ABS(Q203-'계산 과정'!$C$88)&lt;='계산 과정'!$D$23/2,ABS(R203-'계산 과정'!$C$89)&lt;='계산 과정'!$D$24/2),1,0),"")</x:f>
        <x:v>0</x:v>
      </x:c>
      <x:c r="T203" s="4"/>
      <x:c r="U203" s="4"/>
      <x:c r="V203" s="4"/>
      <x:c r="W203" s="4" t="n">
        <x:f>IF('계산 과정'!$C$77,('계산 과정'!$D$56+'계산 과정'!$D$57*('계산 과정'!$L$11*COS(197*2*PI()/240))+'계산 과정'!$D$58*('계산 과정'!$L$11*SIN(197*2*PI()/240)))/('계산 과정'!$D$59+'계산 과정'!$D$60*('계산 과정'!$L$11*COS(197*2*PI()/240))+'계산 과정'!$D$61*('계산 과정'!$L$11*SIN(197*2*PI()/240))),"")</x:f>
        <x:v>79.33602496177355</x:v>
      </x:c>
      <x:c r="X203" s="4" t="n">
        <x:f>IF('계산 과정'!$C$77,('계산 과정'!$E$56+'계산 과정'!$E$57*('계산 과정'!$L$11*COS(197*2*PI()/240))+'계산 과정'!$E$58*('계산 과정'!$L$11*SIN(197*2*PI()/240)))/('계산 과정'!$E$59+'계산 과정'!$E$60*('계산 과정'!$L$11*COS(197*2*PI()/240))+'계산 과정'!$E$61*('계산 과정'!$L$11*SIN(197*2*PI()/240))),"")</x:f>
        <x:v>-235.22817166538397</x:v>
      </x:c>
      <x:c r="Y203" s="4" t="str">
        <x:f>""</x:f>
      </x:c>
      <x:c r="Z203" s="4" t="str">
        <x:f>""</x:f>
      </x:c>
    </x:row>
    <x:row r="204" ht="23" customHeight="1">
      <x:c r="A204" s="17" t="n">
        <x:f>ROW()-6</x:f>
        <x:v>198</x:v>
      </x:c>
      <x:c r="B204" s="4" t="n">
        <x:f>IF('계산 과정'!$L$5,'계산 과정'!$L$11*SQRT((A204+0.5)/'계산 과정'!$L$30),"")</x:f>
        <x:v>46.698887918370175</x:v>
      </x:c>
      <x:c r="C204" s="4" t="n">
        <x:f>A204*PI()*(3-SQRT(5))</x:f>
        <x:v>475.1927194862733</x:v>
      </x:c>
      <x:c r="D204" s="4" t="n">
        <x:f>IF('계산 과정'!$L$5,B204*COS(C204),"")</x:f>
        <x:v>-32.12334471791228</x:v>
      </x:c>
      <x:c r="E204" s="4" t="n">
        <x:f>IF('계산 과정'!$L$5,B204*SIN(C204),"")</x:f>
        <x:v>-33.8950860294922</x:v>
      </x:c>
      <x:c r="F204" s="4" t="n">
        <x:f>IF('계산 과정'!$L$7,'계산 과정'!$L$22+'계산 과정'!$C$49*D204+'계산 과정'!$D$49*E204,"")</x:f>
        <x:v>672.7146348844288</x:v>
      </x:c>
      <x:c r="G204" s="4" t="n">
        <x:f>IF('계산 과정'!$L$7,IF(ABS(F204)&gt;=1E-12*MAX(1,SQRT((D204-'계산 과정'!$C$33)^2+(E204-'계산 과정'!$D$33)^2+'계산 과정'!$E$33^2)),('계산 과정'!$L$23-'계산 과정'!$C$49*D204-'계산 과정'!$D$49*E204)/F204,""),"")</x:f>
        <x:v>0.5608401327263945</x:v>
      </x:c>
      <x:c r="H204" s="4" t="n">
        <x:f>IF(AND(ISNUMBER(G204),G204&gt;0),('계산 과정'!$D$56+'계산 과정'!$D$57*D204+'계산 과정'!$D$58*E204)/F204,"")</x:f>
        <x:v>-35.45391372784361</x:v>
      </x:c>
      <x:c r="I204" s="4" t="n">
        <x:f>IF(AND(ISNUMBER(G204),G204&gt;0),('계산 과정'!$E$56+'계산 과정'!$E$57*D204+'계산 과정'!$E$58*E204)/F204,"")</x:f>
        <x:v>-52.90481057704516</x:v>
      </x:c>
      <x:c r="J204" s="4" t="n">
        <x:f>IF('계산 과정'!$L$5,'계산 과정'!$D$6+'계산 과정'!$C$35*D204+'계산 과정'!$D$35*E204,"")</x:f>
        <x:v>672.7146348844288</x:v>
      </x:c>
      <x:c r="K204" s="4" t="n">
        <x:f>IF(AND('계산 과정'!$L$6,J204&gt;0),'계산 과정'!$D$10*('계산 과정'!$C$38*(D204-'계산 과정'!$C$32)+'계산 과정'!$D$38*(E204-'계산 과정'!$D$32)-'계산 과정'!$E$38*'계산 과정'!$E$32)/J204,"")</x:f>
        <x:v>-0.2701250569740458</x:v>
      </x:c>
      <x:c r="L204" s="4" t="n">
        <x:f>IF(AND('계산 과정'!$L$6,J204&gt;0),'계산 과정'!$D$10*('계산 과정'!$C$39*(D204-'계산 과정'!$C$32)+'계산 과정'!$D$39*(E204-'계산 과정'!$D$32)-'계산 과정'!$E$39*'계산 과정'!$E$32)/J204,"")</x:f>
        <x:v>-0.40308427106320127</x:v>
      </x:c>
      <x:c r="M204" s="17" t="n">
        <x:f>IF('계산 과정'!$L$6,IF(J204&lt;=0,0,IF(AND(ABS(K204)&lt;='계산 과정'!$D$11/2,ABS(L204)&lt;='계산 과정'!$D$12/2),1,0)),"")</x:f>
        <x:v>1</x:v>
      </x:c>
      <x:c r="N204" s="17" t="n">
        <x:f>IF('계산 과정'!$C$78,IF(AND(ISNUMBER(H204),ISNUMBER(I204),ABS(H204-'계산 과정'!$C$88)&lt;='계산 과정'!$D$23/2,ABS(I204-'계산 과정'!$C$89)&lt;='계산 과정'!$D$24/2),1,0),"")</x:f>
        <x:v>1</x:v>
      </x:c>
      <x:c r="O204" s="4" t="n">
        <x:f>IF('계산 과정'!$L$7,'계산 과정'!$C$49*('계산 과정'!$C$32-D204)+'계산 과정'!$D$49*('계산 과정'!$D$32-E204)+'계산 과정'!$E$49*'계산 과정'!$E$32,"")</x:f>
        <x:v>-22.714634884428733</x:v>
      </x:c>
      <x:c r="P204" s="4" t="n">
        <x:f>IF(AND('계산 과정'!$L$7,O204&lt;&gt;0),('계산 과정'!$L$23-'계산 과정'!$C$49*D204-'계산 과정'!$D$49*E204)/O204,"")</x:f>
        <x:v>-16.60979219059368</x:v>
      </x:c>
      <x:c r="Q204" s="4" t="str">
        <x:f>IF(AND(ISNUMBER(P204),P204&gt;1E-9,P204&lt;1-1E-9),'계산 과정'!$C$47*(D204-'계산 과정'!$C$50+P204*('계산 과정'!$C$32-D204))+'계산 과정'!$D$47*(E204-'계산 과정'!$D$50+P204*('계산 과정'!$D$32-E204))+'계산 과정'!$E$47*(0-'계산 과정'!$E$50+P204*('계산 과정'!$E$32-0)),"")</x:f>
      </x:c>
      <x:c r="R204" s="4" t="str">
        <x:f>IF(AND(ISNUMBER(P204),P204&gt;1E-9,P204&lt;1-1E-9),'계산 과정'!$C$48*(D204-'계산 과정'!$C$50+P204*('계산 과정'!$C$32-D204))+'계산 과정'!$D$48*(E204-'계산 과정'!$D$50+P204*('계산 과정'!$D$32-E204))+'계산 과정'!$E$48*(0-'계산 과정'!$E$50+P204*('계산 과정'!$E$32-0)),"")</x:f>
      </x:c>
      <x:c r="S204" s="17" t="n">
        <x:f>IF('계산 과정'!$C$78,IF(AND(ISNUMBER(Q204),ISNUMBER(R204),ABS(Q204-'계산 과정'!$C$88)&lt;='계산 과정'!$D$23/2,ABS(R204-'계산 과정'!$C$89)&lt;='계산 과정'!$D$24/2),1,0),"")</x:f>
        <x:v>0</x:v>
      </x:c>
      <x:c r="T204" s="4"/>
      <x:c r="U204" s="4"/>
      <x:c r="V204" s="4"/>
      <x:c r="W204" s="4" t="n">
        <x:f>IF('계산 과정'!$C$77,('계산 과정'!$D$56+'계산 과정'!$D$57*('계산 과정'!$L$11*COS(198*2*PI()/240))+'계산 과정'!$D$58*('계산 과정'!$L$11*SIN(198*2*PI()/240)))/('계산 과정'!$D$59+'계산 과정'!$D$60*('계산 과정'!$L$11*COS(198*2*PI()/240))+'계산 과정'!$D$61*('계산 과정'!$L$11*SIN(198*2*PI()/240))),"")</x:f>
        <x:v>84.009074297933</x:v>
      </x:c>
      <x:c r="X204" s="4" t="n">
        <x:f>IF('계산 과정'!$C$77,('계산 과정'!$E$56+'계산 과정'!$E$57*('계산 과정'!$L$11*COS(198*2*PI()/240))+'계산 과정'!$E$58*('계산 과정'!$L$11*SIN(198*2*PI()/240)))/('계산 과정'!$E$59+'계산 과정'!$E$60*('계산 과정'!$L$11*COS(198*2*PI()/240))+'계산 과정'!$E$61*('계산 과정'!$L$11*SIN(198*2*PI()/240))),"")</x:f>
        <x:v>-233.17141931267767</x:v>
      </x:c>
      <x:c r="Y204" s="4" t="str">
        <x:f>""</x:f>
      </x:c>
      <x:c r="Z204" s="4" t="str">
        <x:f>""</x:f>
      </x:c>
    </x:row>
    <x:row r="205" ht="23" customHeight="1">
      <x:c r="A205" s="17" t="n">
        <x:f>ROW()-6</x:f>
        <x:v>199</x:v>
      </x:c>
      <x:c r="B205" s="4" t="n">
        <x:f>IF('계산 과정'!$L$5,'계산 과정'!$L$11*SQRT((A205+0.5)/'계산 과정'!$L$30),"")</x:f>
        <x:v>46.816369583058226</x:v>
      </x:c>
      <x:c r="C205" s="4" t="n">
        <x:f>A205*PI()*(3-SQRT(5))</x:f>
        <x:v>477.59268271600195</x:v>
      </x:c>
      <x:c r="D205" s="4" t="n">
        <x:f>IF('계산 과정'!$L$5,B205*COS(C205),"")</x:f>
        <x:v>46.699745296894584</x:v>
      </x:c>
      <x:c r="E205" s="4" t="n">
        <x:f>IF('계산 과정'!$L$5,B205*SIN(C205),"")</x:f>
        <x:v>3.302461225006526</x:v>
      </x:c>
      <x:c r="F205" s="4" t="n">
        <x:f>IF('계산 과정'!$L$7,'계산 과정'!$L$22+'계산 과정'!$C$49*D205+'계산 과정'!$D$49*E205,"")</x:f>
        <x:v>616.9782934208813</x:v>
      </x:c>
      <x:c r="G205" s="4" t="n">
        <x:f>IF('계산 과정'!$L$7,IF(ABS(F205)&gt;=1E-12*MAX(1,SQRT((D205-'계산 과정'!$C$33)^2+(E205-'계산 과정'!$D$33)^2+'계산 과정'!$E$33^2)),('계산 과정'!$L$23-'계산 과정'!$C$49*D205-'계산 과정'!$D$49*E205)/F205,""),"")</x:f>
        <x:v>0.7018426923550231</x:v>
      </x:c>
      <x:c r="H205" s="4" t="n">
        <x:f>IF(AND(ISNUMBER(G205),G205&gt;0),('계산 과정'!$D$56+'계산 과정'!$D$57*D205+'계산 과정'!$D$58*E205)/F205,"")</x:f>
        <x:v>56.19775003076491</x:v>
      </x:c>
      <x:c r="I205" s="4" t="n">
        <x:f>IF(AND(ISNUMBER(G205),G205&gt;0),('계산 과정'!$E$56+'계산 과정'!$E$57*D205+'계산 과정'!$E$58*E205)/F205,"")</x:f>
        <x:v>5.620269502563174</x:v>
      </x:c>
      <x:c r="J205" s="4" t="n">
        <x:f>IF('계산 과정'!$L$5,'계산 과정'!$D$6+'계산 과정'!$C$35*D205+'계산 과정'!$D$35*E205,"")</x:f>
        <x:v>616.9782934208813</x:v>
      </x:c>
      <x:c r="K205" s="4" t="n">
        <x:f>IF(AND('계산 과정'!$L$6,J205&gt;0),'계산 과정'!$D$10*('계산 과정'!$C$38*(D205-'계산 과정'!$C$32)+'계산 과정'!$D$38*(E205-'계산 과정'!$D$32)-'계산 과정'!$E$38*'계산 과정'!$E$32)/J205,"")</x:f>
        <x:v>0.4281733335677336</x:v>
      </x:c>
      <x:c r="L205" s="4" t="n">
        <x:f>IF(AND('계산 과정'!$L$6,J205&gt;0),'계산 과정'!$D$10*('계산 과정'!$C$39*(D205-'계산 과정'!$C$32)+'계산 과정'!$D$39*(E205-'계산 과정'!$D$32)-'계산 과정'!$E$39*'계산 과정'!$E$32)/J205,"")</x:f>
        <x:v>0.042821100971909894</x:v>
      </x:c>
      <x:c r="M205" s="17" t="n">
        <x:f>IF('계산 과정'!$L$6,IF(J205&lt;=0,0,IF(AND(ABS(K205)&lt;='계산 과정'!$D$11/2,ABS(L205)&lt;='계산 과정'!$D$12/2),1,0)),"")</x:f>
        <x:v>1</x:v>
      </x:c>
      <x:c r="N205" s="17" t="n">
        <x:f>IF('계산 과정'!$C$78,IF(AND(ISNUMBER(H205),ISNUMBER(I205),ABS(H205-'계산 과정'!$C$88)&lt;='계산 과정'!$D$23/2,ABS(I205-'계산 과정'!$C$89)&lt;='계산 과정'!$D$24/2),1,0),"")</x:f>
        <x:v>1</x:v>
      </x:c>
      <x:c r="O205" s="4" t="n">
        <x:f>IF('계산 과정'!$L$7,'계산 과정'!$C$49*('계산 과정'!$C$32-D205)+'계산 과정'!$D$49*('계산 과정'!$D$32-E205)+'계산 과정'!$E$49*'계산 과정'!$E$32,"")</x:f>
        <x:v>33.02170657911887</x:v>
      </x:c>
      <x:c r="P205" s="4" t="n">
        <x:f>IF(AND('계산 과정'!$L$7,O205&lt;&gt;0),('계산 과정'!$L$23-'계산 과정'!$C$49*D205-'계산 과정'!$D$49*E205)/O205,"")</x:f>
        <x:v>13.113244330410776</x:v>
      </x:c>
      <x:c r="Q205" s="4" t="str">
        <x:f>IF(AND(ISNUMBER(P205),P205&gt;1E-9,P205&lt;1-1E-9),'계산 과정'!$C$47*(D205-'계산 과정'!$C$50+P205*('계산 과정'!$C$32-D205))+'계산 과정'!$D$47*(E205-'계산 과정'!$D$50+P205*('계산 과정'!$D$32-E205))+'계산 과정'!$E$47*(0-'계산 과정'!$E$50+P205*('계산 과정'!$E$32-0)),"")</x:f>
      </x:c>
      <x:c r="R205" s="4" t="str">
        <x:f>IF(AND(ISNUMBER(P205),P205&gt;1E-9,P205&lt;1-1E-9),'계산 과정'!$C$48*(D205-'계산 과정'!$C$50+P205*('계산 과정'!$C$32-D205))+'계산 과정'!$D$48*(E205-'계산 과정'!$D$50+P205*('계산 과정'!$D$32-E205))+'계산 과정'!$E$48*(0-'계산 과정'!$E$50+P205*('계산 과정'!$E$32-0)),"")</x:f>
      </x:c>
      <x:c r="S205" s="17" t="n">
        <x:f>IF('계산 과정'!$C$78,IF(AND(ISNUMBER(Q205),ISNUMBER(R205),ABS(Q205-'계산 과정'!$C$88)&lt;='계산 과정'!$D$23/2,ABS(R205-'계산 과정'!$C$89)&lt;='계산 과정'!$D$24/2),1,0),"")</x:f>
        <x:v>0</x:v>
      </x:c>
      <x:c r="T205" s="4"/>
      <x:c r="U205" s="4"/>
      <x:c r="V205" s="4"/>
      <x:c r="W205" s="4" t="n">
        <x:f>IF('계산 과정'!$C$77,('계산 과정'!$D$56+'계산 과정'!$D$57*('계산 과정'!$L$11*COS(199*2*PI()/240))+'계산 과정'!$D$58*('계산 과정'!$L$11*SIN(199*2*PI()/240)))/('계산 과정'!$D$59+'계산 과정'!$D$60*('계산 과정'!$L$11*COS(199*2*PI()/240))+'계산 과정'!$D$61*('계산 과정'!$L$11*SIN(199*2*PI()/240))),"")</x:f>
        <x:v>88.65826076054135</x:v>
      </x:c>
      <x:c r="X205" s="4" t="n">
        <x:f>IF('계산 과정'!$C$77,('계산 과정'!$E$56+'계산 과정'!$E$57*('계산 과정'!$L$11*COS(199*2*PI()/240))+'계산 과정'!$E$58*('계산 과정'!$L$11*SIN(199*2*PI()/240)))/('계산 과정'!$E$59+'계산 과정'!$E$60*('계산 과정'!$L$11*COS(199*2*PI()/240))+'계산 과정'!$E$61*('계산 과정'!$L$11*SIN(199*2*PI()/240))),"")</x:f>
        <x:v>-230.9243919300633</x:v>
      </x:c>
      <x:c r="Y205" s="4" t="str">
        <x:f>""</x:f>
      </x:c>
      <x:c r="Z205" s="4" t="str">
        <x:f>""</x:f>
      </x:c>
    </x:row>
    <x:row r="206" ht="23" customHeight="1">
      <x:c r="A206" s="17" t="n">
        <x:f>ROW()-6</x:f>
        <x:v>200</x:v>
      </x:c>
      <x:c r="B206" s="4" t="n">
        <x:f>IF('계산 과정'!$L$5,'계산 과정'!$L$11*SQRT((A206+0.5)/'계산 과정'!$L$30),"")</x:f>
        <x:v>46.933557174611224</x:v>
      </x:c>
      <x:c r="C206" s="4" t="n">
        <x:f>A206*PI()*(3-SQRT(5))</x:f>
        <x:v>479.9926459457306</x:v>
      </x:c>
      <x:c r="D206" s="4" t="n">
        <x:f>IF('계산 과정'!$L$5,B206*COS(C206),"")</x:f>
        <x:v>-36.757498466395596</x:v>
      </x:c>
      <x:c r="E206" s="4" t="n">
        <x:f>IF('계산 과정'!$L$5,B206*SIN(C206),"")</x:f>
        <x:v>29.18295899245699</x:v>
      </x:c>
      <x:c r="F206" s="4" t="n">
        <x:f>IF('계산 과정'!$L$7,'계산 과정'!$L$22+'계산 과정'!$C$49*D206+'계산 과정'!$D$49*E206,"")</x:f>
        <x:v>675.9914764250425</x:v>
      </x:c>
      <x:c r="G206" s="4" t="n">
        <x:f>IF('계산 과정'!$L$7,IF(ABS(F206)&gt;=1E-12*MAX(1,SQRT((D206-'계산 과정'!$C$33)^2+(E206-'계산 과정'!$D$33)^2+'계산 과정'!$E$33^2)),('계산 과정'!$L$23-'계산 과정'!$C$49*D206-'계산 과정'!$D$49*E206)/F206,""),"")</x:f>
        <x:v>0.5532740228514251</x:v>
      </x:c>
      <x:c r="H206" s="4" t="n">
        <x:f>IF(AND(ISNUMBER(G206),G206&gt;0),('계산 과정'!$D$56+'계산 과정'!$D$57*D206+'계산 과정'!$D$58*E206)/F206,"")</x:f>
        <x:v>-40.371885146573774</x:v>
      </x:c>
      <x:c r="I206" s="4" t="n">
        <x:f>IF(AND(ISNUMBER(G206),G206&gt;0),('계산 과정'!$E$56+'계산 과정'!$E$57*D206+'계산 과정'!$E$58*E206)/F206,"")</x:f>
        <x:v>45.32913211292183</x:v>
      </x:c>
      <x:c r="J206" s="4" t="n">
        <x:f>IF('계산 과정'!$L$5,'계산 과정'!$D$6+'계산 과정'!$C$35*D206+'계산 과정'!$D$35*E206,"")</x:f>
        <x:v>675.9914764250425</x:v>
      </x:c>
      <x:c r="K206" s="4" t="n">
        <x:f>IF(AND('계산 과정'!$L$6,J206&gt;0),'계산 과정'!$D$10*('계산 과정'!$C$38*(D206-'계산 과정'!$C$32)+'계산 과정'!$D$38*(E206-'계산 과정'!$D$32)-'계산 과정'!$E$38*'계산 과정'!$E$32)/J206,"")</x:f>
        <x:v>-0.3075953154024658</x:v>
      </x:c>
      <x:c r="L206" s="4" t="n">
        <x:f>IF(AND('계산 과정'!$L$6,J206&gt;0),'계산 과정'!$D$10*('계산 과정'!$C$39*(D206-'계산 과정'!$C$32)+'계산 과정'!$D$39*(E206-'계산 과정'!$D$32)-'계산 과정'!$E$39*'계산 과정'!$E$32)/J206,"")</x:f>
        <x:v>0.3453648160984521</x:v>
      </x:c>
      <x:c r="M206" s="17" t="n">
        <x:f>IF('계산 과정'!$L$6,IF(J206&lt;=0,0,IF(AND(ABS(K206)&lt;='계산 과정'!$D$11/2,ABS(L206)&lt;='계산 과정'!$D$12/2),1,0)),"")</x:f>
        <x:v>1</x:v>
      </x:c>
      <x:c r="N206" s="17" t="n">
        <x:f>IF('계산 과정'!$C$78,IF(AND(ISNUMBER(H206),ISNUMBER(I206),ABS(H206-'계산 과정'!$C$88)&lt;='계산 과정'!$D$23/2,ABS(I206-'계산 과정'!$C$89)&lt;='계산 과정'!$D$24/2),1,0),"")</x:f>
        <x:v>1</x:v>
      </x:c>
      <x:c r="O206" s="4" t="n">
        <x:f>IF('계산 과정'!$L$7,'계산 과정'!$C$49*('계산 과정'!$C$32-D206)+'계산 과정'!$D$49*('계산 과정'!$D$32-E206)+'계산 과정'!$E$49*'계산 과정'!$E$32,"")</x:f>
        <x:v>-25.991476425042322</x:v>
      </x:c>
      <x:c r="P206" s="4" t="n">
        <x:f>IF(AND('계산 과정'!$L$7,O206&lt;&gt;0),('계산 과정'!$L$23-'계산 과정'!$C$49*D206-'계산 과정'!$D$49*E206)/O206,"")</x:f>
        <x:v>-14.389660574056773</x:v>
      </x:c>
      <x:c r="Q206" s="4" t="str">
        <x:f>IF(AND(ISNUMBER(P206),P206&gt;1E-9,P206&lt;1-1E-9),'계산 과정'!$C$47*(D206-'계산 과정'!$C$50+P206*('계산 과정'!$C$32-D206))+'계산 과정'!$D$47*(E206-'계산 과정'!$D$50+P206*('계산 과정'!$D$32-E206))+'계산 과정'!$E$47*(0-'계산 과정'!$E$50+P206*('계산 과정'!$E$32-0)),"")</x:f>
      </x:c>
      <x:c r="R206" s="4" t="str">
        <x:f>IF(AND(ISNUMBER(P206),P206&gt;1E-9,P206&lt;1-1E-9),'계산 과정'!$C$48*(D206-'계산 과정'!$C$50+P206*('계산 과정'!$C$32-D206))+'계산 과정'!$D$48*(E206-'계산 과정'!$D$50+P206*('계산 과정'!$D$32-E206))+'계산 과정'!$E$48*(0-'계산 과정'!$E$50+P206*('계산 과정'!$E$32-0)),"")</x:f>
      </x:c>
      <x:c r="S206" s="17" t="n">
        <x:f>IF('계산 과정'!$C$78,IF(AND(ISNUMBER(Q206),ISNUMBER(R206),ABS(Q206-'계산 과정'!$C$88)&lt;='계산 과정'!$D$23/2,ABS(R206-'계산 과정'!$C$89)&lt;='계산 과정'!$D$24/2),1,0),"")</x:f>
        <x:v>0</x:v>
      </x:c>
      <x:c r="T206" s="4"/>
      <x:c r="U206" s="4"/>
      <x:c r="V206" s="4"/>
      <x:c r="W206" s="4" t="n">
        <x:f>IF('계산 과정'!$C$77,('계산 과정'!$D$56+'계산 과정'!$D$57*('계산 과정'!$L$11*COS(200*2*PI()/240))+'계산 과정'!$D$58*('계산 과정'!$L$11*SIN(200*2*PI()/240)))/('계산 과정'!$D$59+'계산 과정'!$D$60*('계산 과정'!$L$11*COS(200*2*PI()/240))+'계산 과정'!$D$61*('계산 과정'!$L$11*SIN(200*2*PI()/240))),"")</x:f>
        <x:v>93.27929319311718</x:v>
      </x:c>
      <x:c r="X206" s="4" t="n">
        <x:f>IF('계산 과정'!$C$77,('계산 과정'!$E$56+'계산 과정'!$E$57*('계산 과정'!$L$11*COS(200*2*PI()/240))+'계산 과정'!$E$58*('계산 과정'!$L$11*SIN(200*2*PI()/240)))/('계산 과정'!$E$59+'계산 과정'!$E$60*('계산 과정'!$L$11*COS(200*2*PI()/240))+'계산 과정'!$E$61*('계산 과정'!$L$11*SIN(200*2*PI()/240))),"")</x:f>
        <x:v>-228.48667189060546</x:v>
      </x:c>
      <x:c r="Y206" s="4" t="str">
        <x:f>""</x:f>
      </x:c>
      <x:c r="Z206" s="4" t="str">
        <x:f>""</x:f>
      </x:c>
    </x:row>
    <x:row r="207" ht="23" customHeight="1">
      <x:c r="A207" s="17" t="n">
        <x:f>ROW()-6</x:f>
        <x:v>201</x:v>
      </x:c>
      <x:c r="B207" s="4" t="n">
        <x:f>IF('계산 과정'!$L$5,'계산 과정'!$L$11*SQRT((A207+0.5)/'계산 과정'!$L$30),"")</x:f>
        <x:v>47.05045289035484</x:v>
      </x:c>
      <x:c r="C207" s="4" t="n">
        <x:f>A207*PI()*(3-SQRT(5))</x:f>
        <x:v>482.39260917545926</x:v>
      </x:c>
      <x:c r="D207" s="4" t="n">
        <x:f>IF('계산 과정'!$L$5,B207*COS(C207),"")</x:f>
        <x:v>7.409438418993479</x:v>
      </x:c>
      <x:c r="E207" s="4" t="n">
        <x:f>IF('계산 과정'!$L$5,B207*SIN(C207),"")</x:f>
        <x:v>-46.46337632482861</x:v>
      </x:c>
      <x:c r="F207" s="4" t="n">
        <x:f>IF('계산 과정'!$L$7,'계산 과정'!$L$22+'계산 과정'!$C$49*D207+'계산 과정'!$D$49*E207,"")</x:f>
        <x:v>644.7607358491456</x:v>
      </x:c>
      <x:c r="G207" s="4" t="n">
        <x:f>IF('계산 과정'!$L$7,IF(ABS(F207)&gt;=1E-12*MAX(1,SQRT((D207-'계산 과정'!$C$33)^2+(E207-'계산 과정'!$D$33)^2+'계산 과정'!$E$33^2)),('계산 과정'!$L$23-'계산 과정'!$C$49*D207-'계산 과정'!$D$49*E207)/F207,""),"")</x:f>
        <x:v>0.6285110764649107</x:v>
      </x:c>
      <x:c r="H207" s="4" t="n">
        <x:f>IF(AND(ISNUMBER(G207),G207&gt;0),('계산 과정'!$D$56+'계산 과정'!$D$57*D207+'계산 과정'!$D$58*E207)/F207,"")</x:f>
        <x:v>8.532199702191836</x:v>
      </x:c>
      <x:c r="I207" s="4" t="n">
        <x:f>IF(AND(ISNUMBER(G207),G207&gt;0),('계산 과정'!$E$56+'계산 과정'!$E$57*D207+'계산 과정'!$E$58*E207)/F207,"")</x:f>
        <x:v>-75.66612299494088</x:v>
      </x:c>
      <x:c r="J207" s="4" t="n">
        <x:f>IF('계산 과정'!$L$5,'계산 과정'!$D$6+'계산 과정'!$C$35*D207+'계산 과정'!$D$35*E207,"")</x:f>
        <x:v>644.7607358491456</x:v>
      </x:c>
      <x:c r="K207" s="4" t="n">
        <x:f>IF(AND('계산 과정'!$L$6,J207&gt;0),'계산 과정'!$D$10*('계산 과정'!$C$38*(D207-'계산 과정'!$C$32)+'계산 과정'!$D$38*(E207-'계산 과정'!$D$32)-'계산 과정'!$E$38*'계산 과정'!$E$32)/J207,"")</x:f>
        <x:v>0.06500723582622424</x:v>
      </x:c>
      <x:c r="L207" s="4" t="n">
        <x:f>IF(AND('계산 과정'!$L$6,J207&gt;0),'계산 과정'!$D$10*('계산 과정'!$C$39*(D207-'계산 과정'!$C$32)+'계산 과정'!$D$39*(E207-'계산 과정'!$D$32)-'계산 과정'!$E$39*'계산 과정'!$E$32)/J207,"")</x:f>
        <x:v>-0.5765037942471686</x:v>
      </x:c>
      <x:c r="M207" s="17" t="n">
        <x:f>IF('계산 과정'!$L$6,IF(J207&lt;=0,0,IF(AND(ABS(K207)&lt;='계산 과정'!$D$11/2,ABS(L207)&lt;='계산 과정'!$D$12/2),1,0)),"")</x:f>
        <x:v>1</x:v>
      </x:c>
      <x:c r="N207" s="17" t="n">
        <x:f>IF('계산 과정'!$C$78,IF(AND(ISNUMBER(H207),ISNUMBER(I207),ABS(H207-'계산 과정'!$C$88)&lt;='계산 과정'!$D$23/2,ABS(I207-'계산 과정'!$C$89)&lt;='계산 과정'!$D$24/2),1,0),"")</x:f>
        <x:v>1</x:v>
      </x:c>
      <x:c r="O207" s="4" t="n">
        <x:f>IF('계산 과정'!$L$7,'계산 과정'!$C$49*('계산 과정'!$C$32-D207)+'계산 과정'!$D$49*('계산 과정'!$D$32-E207)+'계산 과정'!$E$49*'계산 과정'!$E$32,"")</x:f>
        <x:v>5.239264150854524</x:v>
      </x:c>
      <x:c r="P207" s="4" t="n">
        <x:f>IF(AND('계산 과정'!$L$7,O207&lt;&gt;0),('계산 과정'!$L$23-'계산 과정'!$C$49*D207-'계산 과정'!$D$49*E207)/O207,"")</x:f>
        <x:v>77.34659915644067</x:v>
      </x:c>
      <x:c r="Q207" s="4" t="str">
        <x:f>IF(AND(ISNUMBER(P207),P207&gt;1E-9,P207&lt;1-1E-9),'계산 과정'!$C$47*(D207-'계산 과정'!$C$50+P207*('계산 과정'!$C$32-D207))+'계산 과정'!$D$47*(E207-'계산 과정'!$D$50+P207*('계산 과정'!$D$32-E207))+'계산 과정'!$E$47*(0-'계산 과정'!$E$50+P207*('계산 과정'!$E$32-0)),"")</x:f>
      </x:c>
      <x:c r="R207" s="4" t="str">
        <x:f>IF(AND(ISNUMBER(P207),P207&gt;1E-9,P207&lt;1-1E-9),'계산 과정'!$C$48*(D207-'계산 과정'!$C$50+P207*('계산 과정'!$C$32-D207))+'계산 과정'!$D$48*(E207-'계산 과정'!$D$50+P207*('계산 과정'!$D$32-E207))+'계산 과정'!$E$48*(0-'계산 과정'!$E$50+P207*('계산 과정'!$E$32-0)),"")</x:f>
      </x:c>
      <x:c r="S207" s="17" t="n">
        <x:f>IF('계산 과정'!$C$78,IF(AND(ISNUMBER(Q207),ISNUMBER(R207),ABS(Q207-'계산 과정'!$C$88)&lt;='계산 과정'!$D$23/2,ABS(R207-'계산 과정'!$C$89)&lt;='계산 과정'!$D$24/2),1,0),"")</x:f>
        <x:v>0</x:v>
      </x:c>
      <x:c r="T207" s="4"/>
      <x:c r="U207" s="4"/>
      <x:c r="V207" s="4"/>
      <x:c r="W207" s="4" t="n">
        <x:f>IF('계산 과정'!$C$77,('계산 과정'!$D$56+'계산 과정'!$D$57*('계산 과정'!$L$11*COS(201*2*PI()/240))+'계산 과정'!$D$58*('계산 과정'!$L$11*SIN(201*2*PI()/240)))/('계산 과정'!$D$59+'계산 과정'!$D$60*('계산 과정'!$L$11*COS(201*2*PI()/240))+'계산 과정'!$D$61*('계산 과정'!$L$11*SIN(201*2*PI()/240))),"")</x:f>
        <x:v>97.86781325517109</x:v>
      </x:c>
      <x:c r="X207" s="4" t="n">
        <x:f>IF('계산 과정'!$C$77,('계산 과정'!$E$56+'계산 과정'!$E$57*('계산 과정'!$L$11*COS(201*2*PI()/240))+'계산 과정'!$E$58*('계산 과정'!$L$11*SIN(201*2*PI()/240)))/('계산 과정'!$E$59+'계산 과정'!$E$60*('계산 과정'!$L$11*COS(201*2*PI()/240))+'계산 과정'!$E$61*('계산 과정'!$L$11*SIN(201*2*PI()/240))),"")</x:f>
        <x:v>-225.85804637322954</x:v>
      </x:c>
      <x:c r="Y207" s="4" t="str">
        <x:f>""</x:f>
      </x:c>
      <x:c r="Z207" s="4" t="str">
        <x:f>""</x:f>
      </x:c>
    </x:row>
    <x:row r="208" ht="23" customHeight="1">
      <x:c r="A208" s="17" t="n">
        <x:f>ROW()-6</x:f>
        <x:v>202</x:v>
      </x:c>
      <x:c r="B208" s="4" t="n">
        <x:f>IF('계산 과정'!$L$5,'계산 과정'!$L$11*SQRT((A208+0.5)/'계산 과정'!$L$30),"")</x:f>
        <x:v>47.16705890038619</x:v>
      </x:c>
      <x:c r="C208" s="4" t="n">
        <x:f>A208*PI()*(3-SQRT(5))</x:f>
        <x:v>484.7925724051879</x:v>
      </x:c>
      <x:c r="D208" s="4" t="n">
        <x:f>IF('계산 과정'!$L$5,B208*COS(C208),"")</x:f>
        <x:v>25.986313599809744</x:v>
      </x:c>
      <x:c r="E208" s="4" t="n">
        <x:f>IF('계산 과정'!$L$5,B208*SIN(C208),"")</x:f>
        <x:v>39.36296420246884</x:v>
      </x:c>
      <x:c r="F208" s="4" t="n">
        <x:f>IF('계산 과정'!$L$7,'계산 과정'!$L$22+'계산 과정'!$C$49*D208+'계산 과정'!$D$49*E208,"")</x:f>
        <x:v>631.6249014355343</x:v>
      </x:c>
      <x:c r="G208" s="4" t="n">
        <x:f>IF('계산 과정'!$L$7,IF(ABS(F208)&gt;=1E-12*MAX(1,SQRT((D208-'계산 과정'!$C$33)^2+(E208-'계산 과정'!$D$33)^2+'계산 과정'!$E$33^2)),('계산 과정'!$L$23-'계산 과정'!$C$49*D208-'계산 과정'!$D$49*E208)/F208,""),"")</x:f>
        <x:v>0.6623790442928988</x:v>
      </x:c>
      <x:c r="H208" s="4" t="n">
        <x:f>IF(AND(ISNUMBER(G208),G208&gt;0),('계산 과정'!$D$56+'계산 과정'!$D$57*D208+'계산 과정'!$D$58*E208)/F208,"")</x:f>
        <x:v>30.546378790384157</x:v>
      </x:c>
      <x:c r="I208" s="4" t="n">
        <x:f>IF(AND(ISNUMBER(G208),G208&gt;0),('계산 과정'!$E$56+'계산 과정'!$E$57*D208+'계산 과정'!$E$58*E208)/F208,"")</x:f>
        <x:v>65.43616681143574</x:v>
      </x:c>
      <x:c r="J208" s="4" t="n">
        <x:f>IF('계산 과정'!$L$5,'계산 과정'!$D$6+'계산 과정'!$C$35*D208+'계산 과정'!$D$35*E208,"")</x:f>
        <x:v>631.6249014355343</x:v>
      </x:c>
      <x:c r="K208" s="4" t="n">
        <x:f>IF(AND('계산 과정'!$L$6,J208&gt;0),'계산 과정'!$D$10*('계산 과정'!$C$38*(D208-'계산 과정'!$C$32)+'계산 과정'!$D$38*(E208-'계산 과정'!$D$32)-'계산 과정'!$E$38*'계산 과정'!$E$32)/J208,"")</x:f>
        <x:v>0.2327343145934043</x:v>
      </x:c>
      <x:c r="L208" s="4" t="n">
        <x:f>IF(AND('계산 과정'!$L$6,J208&gt;0),'계산 과정'!$D$10*('계산 과정'!$C$39*(D208-'계산 과정'!$C$32)+'계산 과정'!$D$39*(E208-'계산 과정'!$D$32)-'계산 과정'!$E$39*'계산 과정'!$E$32)/J208,"")</x:f>
        <x:v>0.49856127094427233</x:v>
      </x:c>
      <x:c r="M208" s="17" t="n">
        <x:f>IF('계산 과정'!$L$6,IF(J208&lt;=0,0,IF(AND(ABS(K208)&lt;='계산 과정'!$D$11/2,ABS(L208)&lt;='계산 과정'!$D$12/2),1,0)),"")</x:f>
        <x:v>1</x:v>
      </x:c>
      <x:c r="N208" s="17" t="n">
        <x:f>IF('계산 과정'!$C$78,IF(AND(ISNUMBER(H208),ISNUMBER(I208),ABS(H208-'계산 과정'!$C$88)&lt;='계산 과정'!$D$23/2,ABS(I208-'계산 과정'!$C$89)&lt;='계산 과정'!$D$24/2),1,0),"")</x:f>
        <x:v>1</x:v>
      </x:c>
      <x:c r="O208" s="4" t="n">
        <x:f>IF('계산 과정'!$L$7,'계산 과정'!$C$49*('계산 과정'!$C$32-D208)+'계산 과정'!$D$49*('계산 과정'!$D$32-E208)+'계산 과정'!$E$49*'계산 과정'!$E$32,"")</x:f>
        <x:v>18.375098564465816</x:v>
      </x:c>
      <x:c r="P208" s="4" t="n">
        <x:f>IF(AND('계산 과정'!$L$7,O208&lt;&gt;0),('계산 과정'!$L$23-'계산 과정'!$C$49*D208-'계산 과정'!$D$49*E208)/O208,"")</x:f>
        <x:v>22.768590715128404</x:v>
      </x:c>
      <x:c r="Q208" s="4" t="str">
        <x:f>IF(AND(ISNUMBER(P208),P208&gt;1E-9,P208&lt;1-1E-9),'계산 과정'!$C$47*(D208-'계산 과정'!$C$50+P208*('계산 과정'!$C$32-D208))+'계산 과정'!$D$47*(E208-'계산 과정'!$D$50+P208*('계산 과정'!$D$32-E208))+'계산 과정'!$E$47*(0-'계산 과정'!$E$50+P208*('계산 과정'!$E$32-0)),"")</x:f>
      </x:c>
      <x:c r="R208" s="4" t="str">
        <x:f>IF(AND(ISNUMBER(P208),P208&gt;1E-9,P208&lt;1-1E-9),'계산 과정'!$C$48*(D208-'계산 과정'!$C$50+P208*('계산 과정'!$C$32-D208))+'계산 과정'!$D$48*(E208-'계산 과정'!$D$50+P208*('계산 과정'!$D$32-E208))+'계산 과정'!$E$48*(0-'계산 과정'!$E$50+P208*('계산 과정'!$E$32-0)),"")</x:f>
      </x:c>
      <x:c r="S208" s="17" t="n">
        <x:f>IF('계산 과정'!$C$78,IF(AND(ISNUMBER(Q208),ISNUMBER(R208),ABS(Q208-'계산 과정'!$C$88)&lt;='계산 과정'!$D$23/2,ABS(R208-'계산 과정'!$C$89)&lt;='계산 과정'!$D$24/2),1,0),"")</x:f>
        <x:v>0</x:v>
      </x:c>
      <x:c r="T208" s="4"/>
      <x:c r="U208" s="4"/>
      <x:c r="V208" s="4"/>
      <x:c r="W208" s="4" t="n">
        <x:f>IF('계산 과정'!$C$77,('계산 과정'!$D$56+'계산 과정'!$D$57*('계산 과정'!$L$11*COS(202*2*PI()/240))+'계산 과정'!$D$58*('계산 과정'!$L$11*SIN(202*2*PI()/240)))/('계산 과정'!$D$59+'계산 과정'!$D$60*('계산 과정'!$L$11*COS(202*2*PI()/240))+'계산 과정'!$D$61*('계산 과정'!$L$11*SIN(202*2*PI()/240))),"")</x:f>
        <x:v>102.41940065395401</x:v>
      </x:c>
      <x:c r="X208" s="4" t="n">
        <x:f>IF('계산 과정'!$C$77,('계산 과정'!$E$56+'계산 과정'!$E$57*('계산 과정'!$L$11*COS(202*2*PI()/240))+'계산 과정'!$E$58*('계산 과정'!$L$11*SIN(202*2*PI()/240)))/('계산 과정'!$E$59+'계산 과정'!$E$60*('계산 과정'!$L$11*COS(202*2*PI()/240))+'계산 과정'!$E$61*('계산 과정'!$L$11*SIN(202*2*PI()/240))),"")</x:f>
        <x:v>-223.03851536717931</x:v>
      </x:c>
      <x:c r="Y208" s="4" t="str">
        <x:f>""</x:f>
      </x:c>
      <x:c r="Z208" s="4" t="str">
        <x:f>""</x:f>
      </x:c>
    </x:row>
    <x:row r="209" ht="23" customHeight="1">
      <x:c r="A209" s="17" t="n">
        <x:f>ROW()-6</x:f>
        <x:v>203</x:v>
      </x:c>
      <x:c r="B209" s="4" t="n">
        <x:f>IF('계산 과정'!$L$5,'계산 과정'!$L$11*SQRT((A209+0.5)/'계산 과정'!$L$30),"")</x:f>
        <x:v>47.283377348043786</x:v>
      </x:c>
      <x:c r="C209" s="4" t="n">
        <x:f>A209*PI()*(3-SQRT(5))</x:f>
        <x:v>487.1925356349165</x:v>
      </x:c>
      <x:c r="D209" s="4" t="n">
        <x:f>IF('계산 과정'!$L$5,B209*COS(C209),"")</x:f>
        <x:v>-45.86362499326318</x:v>
      </x:c>
      <x:c r="E209" s="4" t="n">
        <x:f>IF('계산 과정'!$L$5,B209*SIN(C209),"")</x:f>
        <x:v>-11.49981199475996</x:v>
      </x:c>
      <x:c r="F209" s="4" t="n">
        <x:f>IF('계산 과정'!$L$7,'계산 과정'!$L$22+'계산 과정'!$C$49*D209+'계산 과정'!$D$49*E209,"")</x:f>
        <x:v>682.4304802425332</x:v>
      </x:c>
      <x:c r="G209" s="4" t="n">
        <x:f>IF('계산 과정'!$L$7,IF(ABS(F209)&gt;=1E-12*MAX(1,SQRT((D209-'계산 과정'!$C$33)^2+(E209-'계산 과정'!$D$33)^2+'계산 과정'!$E$33^2)),('계산 과정'!$L$23-'계산 과정'!$C$49*D209-'계산 과정'!$D$49*E209)/F209,""),"")</x:f>
        <x:v>0.538618262810937</x:v>
      </x:c>
      <x:c r="H209" s="4" t="n">
        <x:f>IF(AND(ISNUMBER(G209),G209&gt;0),('계산 과정'!$D$56+'계산 과정'!$D$57*D209+'계산 과정'!$D$58*E209)/F209,"")</x:f>
        <x:v>-49.898129172891004</x:v>
      </x:c>
      <x:c r="I209" s="4" t="n">
        <x:f>IF(AND(ISNUMBER(G209),G209&gt;0),('계산 과정'!$E$56+'계산 과정'!$E$57*D209+'계산 과정'!$E$58*E209)/F209,"")</x:f>
        <x:v>-17.693820754029947</x:v>
      </x:c>
      <x:c r="J209" s="4" t="n">
        <x:f>IF('계산 과정'!$L$5,'계산 과정'!$D$6+'계산 과정'!$C$35*D209+'계산 과정'!$D$35*E209,"")</x:f>
        <x:v>682.4304802425332</x:v>
      </x:c>
      <x:c r="K209" s="4" t="n">
        <x:f>IF(AND('계산 과정'!$L$6,J209&gt;0),'계산 과정'!$D$10*('계산 과정'!$C$38*(D209-'계산 과정'!$C$32)+'계산 과정'!$D$38*(E209-'계산 과정'!$D$32)-'계산 과정'!$E$38*'계산 과정'!$E$32)/J209,"")</x:f>
        <x:v>-0.3801762222696443</x:v>
      </x:c>
      <x:c r="L209" s="4" t="n">
        <x:f>IF(AND('계산 과정'!$L$6,J209&gt;0),'계산 과정'!$D$10*('계산 과정'!$C$39*(D209-'계산 과정'!$C$32)+'계산 과정'!$D$39*(E209-'계산 과정'!$D$32)-'계산 과정'!$E$39*'계산 과정'!$E$32)/J209,"")</x:f>
        <x:v>-0.13481006288784722</x:v>
      </x:c>
      <x:c r="M209" s="17" t="n">
        <x:f>IF('계산 과정'!$L$6,IF(J209&lt;=0,0,IF(AND(ABS(K209)&lt;='계산 과정'!$D$11/2,ABS(L209)&lt;='계산 과정'!$D$12/2),1,0)),"")</x:f>
        <x:v>1</x:v>
      </x:c>
      <x:c r="N209" s="17" t="n">
        <x:f>IF('계산 과정'!$C$78,IF(AND(ISNUMBER(H209),ISNUMBER(I209),ABS(H209-'계산 과정'!$C$88)&lt;='계산 과정'!$D$23/2,ABS(I209-'계산 과정'!$C$89)&lt;='계산 과정'!$D$24/2),1,0),"")</x:f>
        <x:v>1</x:v>
      </x:c>
      <x:c r="O209" s="4" t="n">
        <x:f>IF('계산 과정'!$L$7,'계산 과정'!$C$49*('계산 과정'!$C$32-D209)+'계산 과정'!$D$49*('계산 과정'!$D$32-E209)+'계산 과정'!$E$49*'계산 과정'!$E$32,"")</x:f>
        <x:v>-32.430480242533065</x:v>
      </x:c>
      <x:c r="P209" s="4" t="n">
        <x:f>IF(AND('계산 과정'!$L$7,O209&lt;&gt;0),('계산 과정'!$L$23-'계산 과정'!$C$49*D209-'계산 과정'!$D$49*E209)/O209,"")</x:f>
        <x:v>-11.334075752458139</x:v>
      </x:c>
      <x:c r="Q209" s="4" t="str">
        <x:f>IF(AND(ISNUMBER(P209),P209&gt;1E-9,P209&lt;1-1E-9),'계산 과정'!$C$47*(D209-'계산 과정'!$C$50+P209*('계산 과정'!$C$32-D209))+'계산 과정'!$D$47*(E209-'계산 과정'!$D$50+P209*('계산 과정'!$D$32-E209))+'계산 과정'!$E$47*(0-'계산 과정'!$E$50+P209*('계산 과정'!$E$32-0)),"")</x:f>
      </x:c>
      <x:c r="R209" s="4" t="str">
        <x:f>IF(AND(ISNUMBER(P209),P209&gt;1E-9,P209&lt;1-1E-9),'계산 과정'!$C$48*(D209-'계산 과정'!$C$50+P209*('계산 과정'!$C$32-D209))+'계산 과정'!$D$48*(E209-'계산 과정'!$D$50+P209*('계산 과정'!$D$32-E209))+'계산 과정'!$E$48*(0-'계산 과정'!$E$50+P209*('계산 과정'!$E$32-0)),"")</x:f>
      </x:c>
      <x:c r="S209" s="17" t="n">
        <x:f>IF('계산 과정'!$C$78,IF(AND(ISNUMBER(Q209),ISNUMBER(R209),ABS(Q209-'계산 과정'!$C$88)&lt;='계산 과정'!$D$23/2,ABS(R209-'계산 과정'!$C$89)&lt;='계산 과정'!$D$24/2),1,0),"")</x:f>
        <x:v>0</x:v>
      </x:c>
      <x:c r="T209" s="4"/>
      <x:c r="U209" s="4"/>
      <x:c r="V209" s="4"/>
      <x:c r="W209" s="4" t="n">
        <x:f>IF('계산 과정'!$C$77,('계산 과정'!$D$56+'계산 과정'!$D$57*('계산 과정'!$L$11*COS(203*2*PI()/240))+'계산 과정'!$D$58*('계산 과정'!$L$11*SIN(203*2*PI()/240)))/('계산 과정'!$D$59+'계산 과정'!$D$60*('계산 과정'!$L$11*COS(203*2*PI()/240))+'계산 과정'!$D$61*('계산 과정'!$L$11*SIN(203*2*PI()/240))),"")</x:f>
        <x:v>106.9295788056326</x:v>
      </x:c>
      <x:c r="X209" s="4" t="n">
        <x:f>IF('계산 과정'!$C$77,('계산 과정'!$E$56+'계산 과정'!$E$57*('계산 과정'!$L$11*COS(203*2*PI()/240))+'계산 과정'!$E$58*('계산 과정'!$L$11*SIN(203*2*PI()/240)))/('계산 과정'!$E$59+'계산 과정'!$E$60*('계산 과정'!$L$11*COS(203*2*PI()/240))+'계산 과정'!$E$61*('계산 과정'!$L$11*SIN(203*2*PI()/240))),"")</x:f>
        <x:v>-220.0282994504216</x:v>
      </x:c>
      <x:c r="Y209" s="4" t="str">
        <x:f>""</x:f>
      </x:c>
      <x:c r="Z209" s="4" t="str">
        <x:f>""</x:f>
      </x:c>
    </x:row>
    <x:row r="210" ht="23" customHeight="1">
      <x:c r="A210" s="17" t="n">
        <x:f>ROW()-6</x:f>
        <x:v>204</x:v>
      </x:c>
      <x:c r="B210" s="4" t="n">
        <x:f>IF('계산 과정'!$L$5,'계산 과정'!$L$11*SQRT((A210+0.5)/'계산 과정'!$L$30),"")</x:f>
        <x:v>47.399410350367226</x:v>
      </x:c>
      <x:c r="C210" s="4" t="n">
        <x:f>A210*PI()*(3-SQRT(5))</x:f>
        <x:v>489.59249886464517</x:v>
      </x:c>
      <x:c r="D210" s="4" t="n">
        <x:f>IF('계산 과정'!$L$5,B210*COS(C210),"")</x:f>
        <x:v>41.68847381473593</x:v>
      </x:c>
      <x:c r="E210" s="4" t="n">
        <x:f>IF('계산 과정'!$L$5,B210*SIN(C210),"")</x:f>
        <x:v>-22.556046917857227</x:v>
      </x:c>
      <x:c r="F210" s="4" t="n">
        <x:f>IF('계산 과정'!$L$7,'계산 과정'!$L$22+'계산 과정'!$C$49*D210+'계산 과정'!$D$49*E210,"")</x:f>
        <x:v>620.5217974682824</x:v>
      </x:c>
      <x:c r="G210" s="4" t="n">
        <x:f>IF('계산 과정'!$L$7,IF(ABS(F210)&gt;=1E-12*MAX(1,SQRT((D210-'계산 과정'!$C$33)^2+(E210-'계산 과정'!$D$33)^2+'계산 과정'!$E$33^2)),('계산 과정'!$L$23-'계산 과정'!$C$49*D210-'계산 과정'!$D$49*E210)/F210,""),"")</x:f>
        <x:v>0.6921242803781927</x:v>
      </x:c>
      <x:c r="H210" s="4" t="n">
        <x:f>IF(AND(ISNUMBER(G210),G210&gt;0),('계산 과정'!$D$56+'계산 과정'!$D$57*D210+'계산 과정'!$D$58*E210)/F210,"")</x:f>
        <x:v>49.880782245825145</x:v>
      </x:c>
      <x:c r="I210" s="4" t="n">
        <x:f>IF(AND(ISNUMBER(G210),G210&gt;0),('계산 과정'!$E$56+'계산 과정'!$E$57*D210+'계산 과정'!$E$58*E210)/F210,"")</x:f>
        <x:v>-38.16763465905591</x:v>
      </x:c>
      <x:c r="J210" s="4" t="n">
        <x:f>IF('계산 과정'!$L$5,'계산 과정'!$D$6+'계산 과정'!$C$35*D210+'계산 과정'!$D$35*E210,"")</x:f>
        <x:v>620.5217974682824</x:v>
      </x:c>
      <x:c r="K210" s="4" t="n">
        <x:f>IF(AND('계산 과정'!$L$6,J210&gt;0),'계산 과정'!$D$10*('계산 과정'!$C$38*(D210-'계산 과정'!$C$32)+'계산 과정'!$D$38*(E210-'계산 과정'!$D$32)-'계산 과정'!$E$38*'계산 과정'!$E$32)/J210,"")</x:f>
        <x:v>0.38004405520628787</x:v>
      </x:c>
      <x:c r="L210" s="4" t="n">
        <x:f>IF(AND('계산 과정'!$L$6,J210&gt;0),'계산 과정'!$D$10*('계산 과정'!$C$39*(D210-'계산 과정'!$C$32)+'계산 과정'!$D$39*(E210-'계산 과정'!$D$32)-'계산 과정'!$E$39*'계산 과정'!$E$32)/J210,"")</x:f>
        <x:v>-0.2908010259737593</x:v>
      </x:c>
      <x:c r="M210" s="17" t="n">
        <x:f>IF('계산 과정'!$L$6,IF(J210&lt;=0,0,IF(AND(ABS(K210)&lt;='계산 과정'!$D$11/2,ABS(L210)&lt;='계산 과정'!$D$12/2),1,0)),"")</x:f>
        <x:v>1</x:v>
      </x:c>
      <x:c r="N210" s="17" t="n">
        <x:f>IF('계산 과정'!$C$78,IF(AND(ISNUMBER(H210),ISNUMBER(I210),ABS(H210-'계산 과정'!$C$88)&lt;='계산 과정'!$D$23/2,ABS(I210-'계산 과정'!$C$89)&lt;='계산 과정'!$D$24/2),1,0),"")</x:f>
        <x:v>1</x:v>
      </x:c>
      <x:c r="O210" s="4" t="n">
        <x:f>IF('계산 과정'!$L$7,'계산 과정'!$C$49*('계산 과정'!$C$32-D210)+'계산 과정'!$D$49*('계산 과정'!$D$32-E210)+'계산 과정'!$E$49*'계산 과정'!$E$32,"")</x:f>
        <x:v>29.47820253171767</x:v>
      </x:c>
      <x:c r="P210" s="4" t="n">
        <x:f>IF(AND('계산 과정'!$L$7,O210&lt;&gt;0),('계산 과정'!$L$23-'계산 과정'!$C$49*D210-'계산 과정'!$D$49*E210)/O210,"")</x:f>
        <x:v>14.56934838783375</x:v>
      </x:c>
      <x:c r="Q210" s="4" t="str">
        <x:f>IF(AND(ISNUMBER(P210),P210&gt;1E-9,P210&lt;1-1E-9),'계산 과정'!$C$47*(D210-'계산 과정'!$C$50+P210*('계산 과정'!$C$32-D210))+'계산 과정'!$D$47*(E210-'계산 과정'!$D$50+P210*('계산 과정'!$D$32-E210))+'계산 과정'!$E$47*(0-'계산 과정'!$E$50+P210*('계산 과정'!$E$32-0)),"")</x:f>
      </x:c>
      <x:c r="R210" s="4" t="str">
        <x:f>IF(AND(ISNUMBER(P210),P210&gt;1E-9,P210&lt;1-1E-9),'계산 과정'!$C$48*(D210-'계산 과정'!$C$50+P210*('계산 과정'!$C$32-D210))+'계산 과정'!$D$48*(E210-'계산 과정'!$D$50+P210*('계산 과정'!$D$32-E210))+'계산 과정'!$E$48*(0-'계산 과정'!$E$50+P210*('계산 과정'!$E$32-0)),"")</x:f>
      </x:c>
      <x:c r="S210" s="17" t="n">
        <x:f>IF('계산 과정'!$C$78,IF(AND(ISNUMBER(Q210),ISNUMBER(R210),ABS(Q210-'계산 과정'!$C$88)&lt;='계산 과정'!$D$23/2,ABS(R210-'계산 과정'!$C$89)&lt;='계산 과정'!$D$24/2),1,0),"")</x:f>
        <x:v>0</x:v>
      </x:c>
      <x:c r="T210" s="4"/>
      <x:c r="U210" s="4"/>
      <x:c r="V210" s="4"/>
      <x:c r="W210" s="4" t="n">
        <x:f>IF('계산 과정'!$C$77,('계산 과정'!$D$56+'계산 과정'!$D$57*('계산 과정'!$L$11*COS(204*2*PI()/240))+'계산 과정'!$D$58*('계산 과정'!$L$11*SIN(204*2*PI()/240)))/('계산 과정'!$D$59+'계산 과정'!$D$60*('계산 과정'!$L$11*COS(204*2*PI()/240))+'계산 과정'!$D$61*('계산 과정'!$L$11*SIN(204*2*PI()/240))),"")</x:f>
        <x:v>111.39382092577766</x:v>
      </x:c>
      <x:c r="X210" s="4" t="n">
        <x:f>IF('계산 과정'!$C$77,('계산 과정'!$E$56+'계산 과정'!$E$57*('계산 과정'!$L$11*COS(204*2*PI()/240))+'계산 과정'!$E$58*('계산 과정'!$L$11*SIN(204*2*PI()/240)))/('계산 과정'!$E$59+'계산 과정'!$E$60*('계산 과정'!$L$11*COS(204*2*PI()/240))+'계산 과정'!$E$61*('계산 과정'!$L$11*SIN(204*2*PI()/240))),"")</x:f>
        <x:v>-216.8278472979251</x:v>
      </x:c>
      <x:c r="Y210" s="4" t="str">
        <x:f>""</x:f>
      </x:c>
      <x:c r="Z210" s="4" t="str">
        <x:f>""</x:f>
      </x:c>
    </x:row>
    <x:row r="211" ht="23" customHeight="1">
      <x:c r="A211" s="17" t="n">
        <x:f>ROW()-6</x:f>
        <x:v>205</x:v>
      </x:c>
      <x:c r="B211" s="4" t="n">
        <x:f>IF('계산 과정'!$L$5,'계산 과정'!$L$11*SQRT((A211+0.5)/'계산 과정'!$L$30),"")</x:f>
        <x:v>47.515159998546785</x:v>
      </x:c>
      <x:c r="C211" s="4" t="n">
        <x:f>A211*PI()*(3-SQRT(5))</x:f>
        <x:v>491.9924620943738</x:v>
      </x:c>
      <x:c r="D211" s="4" t="n">
        <x:f>IF('계산 과정'!$L$5,B211*COS(C211),"")</x:f>
        <x:v>-15.541251774112403</x:v>
      </x:c>
      <x:c r="E211" s="4" t="n">
        <x:f>IF('계산 과정'!$L$5,B211*SIN(C211),"")</x:f>
        <x:v>44.90166948991038</x:v>
      </x:c>
      <x:c r="F211" s="4" t="n">
        <x:f>IF('계산 과정'!$L$7,'계산 과정'!$L$22+'계산 과정'!$C$49*D211+'계산 과정'!$D$49*E211,"")</x:f>
        <x:v>660.9893245176023</x:v>
      </x:c>
      <x:c r="G211" s="4" t="n">
        <x:f>IF('계산 과정'!$L$7,IF(ABS(F211)&gt;=1E-12*MAX(1,SQRT((D211-'계산 과정'!$C$33)^2+(E211-'계산 과정'!$D$33)^2+'계산 과정'!$E$33^2)),('계산 과정'!$L$23-'계산 과정'!$C$49*D211-'계산 과정'!$D$49*E211)/F211,""),"")</x:f>
        <x:v>0.5885279248137664</x:v>
      </x:c>
      <x:c r="H211" s="4" t="n">
        <x:f>IF(AND(ISNUMBER(G211),G211&gt;0),('계산 과정'!$D$56+'계산 과정'!$D$57*D211+'계산 과정'!$D$58*E211)/F211,"")</x:f>
        <x:v>-17.45684887105201</x:v>
      </x:c>
      <x:c r="I211" s="4" t="n">
        <x:f>IF(AND(ISNUMBER(G211),G211&gt;0),('계산 과정'!$E$56+'계산 과정'!$E$57*D211+'계산 과정'!$E$58*E211)/F211,"")</x:f>
        <x:v>71.32755585548095</x:v>
      </x:c>
      <x:c r="J211" s="4" t="n">
        <x:f>IF('계산 과정'!$L$5,'계산 과정'!$D$6+'계산 과정'!$C$35*D211+'계산 과정'!$D$35*E211,"")</x:f>
        <x:v>660.9893245176023</x:v>
      </x:c>
      <x:c r="K211" s="4" t="n">
        <x:f>IF(AND('계산 과정'!$L$6,J211&gt;0),'계산 과정'!$D$10*('계산 과정'!$C$38*(D211-'계산 과정'!$C$32)+'계산 과정'!$D$38*(E211-'계산 과정'!$D$32)-'계산 과정'!$E$38*'계산 과정'!$E$32)/J211,"")</x:f>
        <x:v>-0.13300456282706238</x:v>
      </x:c>
      <x:c r="L211" s="4" t="n">
        <x:f>IF(AND('계산 과정'!$L$6,J211&gt;0),'계산 과정'!$D$10*('계산 과정'!$C$39*(D211-'계산 과정'!$C$32)+'계산 과정'!$D$39*(E211-'계산 과정'!$D$32)-'계산 과정'!$E$39*'계산 과정'!$E$32)/J211,"")</x:f>
        <x:v>0.5434480446131882</x:v>
      </x:c>
      <x:c r="M211" s="17" t="n">
        <x:f>IF('계산 과정'!$L$6,IF(J211&lt;=0,0,IF(AND(ABS(K211)&lt;='계산 과정'!$D$11/2,ABS(L211)&lt;='계산 과정'!$D$12/2),1,0)),"")</x:f>
        <x:v>1</x:v>
      </x:c>
      <x:c r="N211" s="17" t="n">
        <x:f>IF('계산 과정'!$C$78,IF(AND(ISNUMBER(H211),ISNUMBER(I211),ABS(H211-'계산 과정'!$C$88)&lt;='계산 과정'!$D$23/2,ABS(I211-'계산 과정'!$C$89)&lt;='계산 과정'!$D$24/2),1,0),"")</x:f>
        <x:v>1</x:v>
      </x:c>
      <x:c r="O211" s="4" t="n">
        <x:f>IF('계산 과정'!$L$7,'계산 과정'!$C$49*('계산 과정'!$C$32-D211)+'계산 과정'!$D$49*('계산 과정'!$D$32-E211)+'계산 과정'!$E$49*'계산 과정'!$E$32,"")</x:f>
        <x:v>-10.989324517602256</x:v>
      </x:c>
      <x:c r="P211" s="4" t="n">
        <x:f>IF(AND('계산 과정'!$L$7,O211&lt;&gt;0),('계산 과정'!$L$23-'계산 과정'!$C$49*D211-'계산 과정'!$D$49*E211)/O211,"")</x:f>
        <x:v>-35.3989614975239</x:v>
      </x:c>
      <x:c r="Q211" s="4" t="str">
        <x:f>IF(AND(ISNUMBER(P211),P211&gt;1E-9,P211&lt;1-1E-9),'계산 과정'!$C$47*(D211-'계산 과정'!$C$50+P211*('계산 과정'!$C$32-D211))+'계산 과정'!$D$47*(E211-'계산 과정'!$D$50+P211*('계산 과정'!$D$32-E211))+'계산 과정'!$E$47*(0-'계산 과정'!$E$50+P211*('계산 과정'!$E$32-0)),"")</x:f>
      </x:c>
      <x:c r="R211" s="4" t="str">
        <x:f>IF(AND(ISNUMBER(P211),P211&gt;1E-9,P211&lt;1-1E-9),'계산 과정'!$C$48*(D211-'계산 과정'!$C$50+P211*('계산 과정'!$C$32-D211))+'계산 과정'!$D$48*(E211-'계산 과정'!$D$50+P211*('계산 과정'!$D$32-E211))+'계산 과정'!$E$48*(0-'계산 과정'!$E$50+P211*('계산 과정'!$E$32-0)),"")</x:f>
      </x:c>
      <x:c r="S211" s="17" t="n">
        <x:f>IF('계산 과정'!$C$78,IF(AND(ISNUMBER(Q211),ISNUMBER(R211),ABS(Q211-'계산 과정'!$C$88)&lt;='계산 과정'!$D$23/2,ABS(R211-'계산 과정'!$C$89)&lt;='계산 과정'!$D$24/2),1,0),"")</x:f>
        <x:v>0</x:v>
      </x:c>
      <x:c r="T211" s="4"/>
      <x:c r="U211" s="4"/>
      <x:c r="V211" s="4"/>
      <x:c r="W211" s="4" t="n">
        <x:f>IF('계산 과정'!$C$77,('계산 과정'!$D$56+'계산 과정'!$D$57*('계산 과정'!$L$11*COS(205*2*PI()/240))+'계산 과정'!$D$58*('계산 과정'!$L$11*SIN(205*2*PI()/240)))/('계산 과정'!$D$59+'계산 과정'!$D$60*('계산 과정'!$L$11*COS(205*2*PI()/240))+'계산 과정'!$D$61*('계산 과정'!$L$11*SIN(205*2*PI()/240))),"")</x:f>
        <x:v>115.807556546723</x:v>
      </x:c>
      <x:c r="X211" s="4" t="n">
        <x:f>IF('계산 과정'!$C$77,('계산 과정'!$E$56+'계산 과정'!$E$57*('계산 과정'!$L$11*COS(205*2*PI()/240))+'계산 과정'!$E$58*('계산 과정'!$L$11*SIN(205*2*PI()/240)))/('계산 과정'!$E$59+'계산 과정'!$E$60*('계산 과정'!$L$11*COS(205*2*PI()/240))+'계산 과정'!$E$61*('계산 과정'!$L$11*SIN(205*2*PI()/240))),"")</x:f>
        <x:v>-213.43784287456288</x:v>
      </x:c>
      <x:c r="Y211" s="4" t="str">
        <x:f>""</x:f>
      </x:c>
      <x:c r="Z211" s="4" t="str">
        <x:f>""</x:f>
      </x:c>
    </x:row>
    <x:row r="212" ht="23" customHeight="1">
      <x:c r="A212" s="17" t="n">
        <x:f>ROW()-6</x:f>
        <x:v>206</x:v>
      </x:c>
      <x:c r="B212" s="4" t="n">
        <x:f>IF('계산 과정'!$L$5,'계산 과정'!$L$11*SQRT((A212+0.5)/'계산 과정'!$L$30),"")</x:f>
        <x:v>47.63062835836307</x:v>
      </x:c>
      <x:c r="C212" s="4" t="n">
        <x:f>A212*PI()*(3-SQRT(5))</x:f>
        <x:v>494.3924253241025</x:v>
      </x:c>
      <x:c r="D212" s="4" t="n">
        <x:f>IF('계산 과정'!$L$5,B212*COS(C212),"")</x:f>
        <x:v>-18.916865687756992</x:v>
      </x:c>
      <x:c r="E212" s="4" t="n">
        <x:f>IF('계산 과정'!$L$5,B212*SIN(C212),"")</x:f>
        <x:v>-43.713029526262105</x:v>
      </x:c>
      <x:c r="F212" s="4" t="n">
        <x:f>IF('계산 과정'!$L$7,'계산 과정'!$L$22+'계산 과정'!$C$49*D212+'계산 과정'!$D$49*E212,"")</x:f>
        <x:v>663.3762440066081</x:v>
      </x:c>
      <x:c r="G212" s="4" t="n">
        <x:f>IF('계산 과정'!$L$7,IF(ABS(F212)&gt;=1E-12*MAX(1,SQRT((D212-'계산 과정'!$C$33)^2+(E212-'계산 과정'!$D$33)^2+'계산 과정'!$E$33^2)),('계산 과정'!$L$23-'계산 과정'!$C$49*D212-'계산 과정'!$D$49*E212)/F212,""),"")</x:f>
        <x:v>0.582812181603447</x:v>
      </x:c>
      <x:c r="H212" s="4" t="n">
        <x:f>IF(AND(ISNUMBER(G212),G212&gt;0),('계산 과정'!$D$56+'계산 과정'!$D$57*D212+'계산 과정'!$D$58*E212)/F212,"")</x:f>
        <x:v>-21.17208195775951</x:v>
      </x:c>
      <x:c r="I212" s="4" t="n">
        <x:f>IF(AND(ISNUMBER(G212),G212&gt;0),('계산 과정'!$E$56+'계산 과정'!$E$57*D212+'계산 과정'!$E$58*E212)/F212,"")</x:f>
        <x:v>-69.18951562895883</x:v>
      </x:c>
      <x:c r="J212" s="4" t="n">
        <x:f>IF('계산 과정'!$L$5,'계산 과정'!$D$6+'계산 과정'!$C$35*D212+'계산 과정'!$D$35*E212,"")</x:f>
        <x:v>663.3762440066081</x:v>
      </x:c>
      <x:c r="K212" s="4" t="n">
        <x:f>IF(AND('계산 과정'!$L$6,J212&gt;0),'계산 과정'!$D$10*('계산 과정'!$C$38*(D212-'계산 과정'!$C$32)+'계산 과정'!$D$38*(E212-'계산 과정'!$D$32)-'계산 과정'!$E$38*'계산 과정'!$E$32)/J212,"")</x:f>
        <x:v>-0.16131110063054768</x:v>
      </x:c>
      <x:c r="L212" s="4" t="n">
        <x:f>IF(AND('계산 과정'!$L$6,J212&gt;0),'계산 과정'!$D$10*('계산 과정'!$C$39*(D212-'계산 과정'!$C$32)+'계산 과정'!$D$39*(E212-'계산 과정'!$D$32)-'계산 과정'!$E$39*'계산 과정'!$E$32)/J212,"")</x:f>
        <x:v>-0.5271582143158767</x:v>
      </x:c>
      <x:c r="M212" s="17" t="n">
        <x:f>IF('계산 과정'!$L$6,IF(J212&lt;=0,0,IF(AND(ABS(K212)&lt;='계산 과정'!$D$11/2,ABS(L212)&lt;='계산 과정'!$D$12/2),1,0)),"")</x:f>
        <x:v>1</x:v>
      </x:c>
      <x:c r="N212" s="17" t="n">
        <x:f>IF('계산 과정'!$C$78,IF(AND(ISNUMBER(H212),ISNUMBER(I212),ABS(H212-'계산 과정'!$C$88)&lt;='계산 과정'!$D$23/2,ABS(I212-'계산 과정'!$C$89)&lt;='계산 과정'!$D$24/2),1,0),"")</x:f>
        <x:v>1</x:v>
      </x:c>
      <x:c r="O212" s="4" t="n">
        <x:f>IF('계산 과정'!$L$7,'계산 과정'!$C$49*('계산 과정'!$C$32-D212)+'계산 과정'!$D$49*('계산 과정'!$D$32-E212)+'계산 과정'!$E$49*'계산 과정'!$E$32,"")</x:f>
        <x:v>-13.376244006607976</x:v>
      </x:c>
      <x:c r="P212" s="4" t="n">
        <x:f>IF(AND('계산 과정'!$L$7,O212&lt;&gt;0),('계산 과정'!$L$23-'계산 과정'!$C$49*D212-'계산 과정'!$D$49*E212)/O212,"")</x:f>
        <x:v>-28.903760712080054</x:v>
      </x:c>
      <x:c r="Q212" s="4" t="str">
        <x:f>IF(AND(ISNUMBER(P212),P212&gt;1E-9,P212&lt;1-1E-9),'계산 과정'!$C$47*(D212-'계산 과정'!$C$50+P212*('계산 과정'!$C$32-D212))+'계산 과정'!$D$47*(E212-'계산 과정'!$D$50+P212*('계산 과정'!$D$32-E212))+'계산 과정'!$E$47*(0-'계산 과정'!$E$50+P212*('계산 과정'!$E$32-0)),"")</x:f>
      </x:c>
      <x:c r="R212" s="4" t="str">
        <x:f>IF(AND(ISNUMBER(P212),P212&gt;1E-9,P212&lt;1-1E-9),'계산 과정'!$C$48*(D212-'계산 과정'!$C$50+P212*('계산 과정'!$C$32-D212))+'계산 과정'!$D$48*(E212-'계산 과정'!$D$50+P212*('계산 과정'!$D$32-E212))+'계산 과정'!$E$48*(0-'계산 과정'!$E$50+P212*('계산 과정'!$E$32-0)),"")</x:f>
      </x:c>
      <x:c r="S212" s="17" t="n">
        <x:f>IF('계산 과정'!$C$78,IF(AND(ISNUMBER(Q212),ISNUMBER(R212),ABS(Q212-'계산 과정'!$C$88)&lt;='계산 과정'!$D$23/2,ABS(R212-'계산 과정'!$C$89)&lt;='계산 과정'!$D$24/2),1,0),"")</x:f>
        <x:v>0</x:v>
      </x:c>
      <x:c r="T212" s="4"/>
      <x:c r="U212" s="4"/>
      <x:c r="V212" s="4"/>
      <x:c r="W212" s="4" t="n">
        <x:f>IF('계산 과정'!$C$77,('계산 과정'!$D$56+'계산 과정'!$D$57*('계산 과정'!$L$11*COS(206*2*PI()/240))+'계산 과정'!$D$58*('계산 과정'!$L$11*SIN(206*2*PI()/240)))/('계산 과정'!$D$59+'계산 과정'!$D$60*('계산 과정'!$L$11*COS(206*2*PI()/240))+'계산 과정'!$D$61*('계산 과정'!$L$11*SIN(206*2*PI()/240))),"")</x:f>
        <x:v>120.16617845687271</x:v>
      </x:c>
      <x:c r="X212" s="4" t="n">
        <x:f>IF('계산 과정'!$C$77,('계산 과정'!$E$56+'계산 과정'!$E$57*('계산 과정'!$L$11*COS(206*2*PI()/240))+'계산 과정'!$E$58*('계산 과정'!$L$11*SIN(206*2*PI()/240)))/('계산 과정'!$E$59+'계산 과정'!$E$60*('계산 과정'!$L$11*COS(206*2*PI()/240))+'계산 과정'!$E$61*('계산 과정'!$L$11*SIN(206*2*PI()/240))),"")</x:f>
        <x:v>-209.859212266453</x:v>
      </x:c>
      <x:c r="Y212" s="4" t="str">
        <x:f>""</x:f>
      </x:c>
      <x:c r="Z212" s="4" t="str">
        <x:f>""</x:f>
      </x:c>
    </x:row>
    <x:row r="213" ht="23" customHeight="1">
      <x:c r="A213" s="17" t="n">
        <x:f>ROW()-6</x:f>
        <x:v>207</x:v>
      </x:c>
      <x:c r="B213" s="4" t="n">
        <x:f>IF('계산 과정'!$L$5,'계산 과정'!$L$11*SQRT((A213+0.5)/'계산 과정'!$L$30),"")</x:f>
        <x:v>47.745817470617254</x:v>
      </x:c>
      <x:c r="C213" s="4" t="n">
        <x:f>A213*PI()*(3-SQRT(5))</x:f>
        <x:v>496.79238855383113</x:v>
      </x:c>
      <x:c r="D213" s="4" t="n">
        <x:f>IF('계산 과정'!$L$5,B213*COS(C213),"")</x:f>
        <x:v>43.58157788795158</x:v>
      </x:c>
      <x:c r="E213" s="4" t="n">
        <x:f>IF('계산 과정'!$L$5,B213*SIN(C213),"")</x:f>
        <x:v>19.501516729062622</x:v>
      </x:c>
      <x:c r="F213" s="4" t="n">
        <x:f>IF('계산 과정'!$L$7,'계산 과정'!$L$22+'계산 과정'!$C$49*D213+'계산 과정'!$D$49*E213,"")</x:f>
        <x:v>619.1831707406197</x:v>
      </x:c>
      <x:c r="G213" s="4" t="n">
        <x:f>IF('계산 과정'!$L$7,IF(ABS(F213)&gt;=1E-12*MAX(1,SQRT((D213-'계산 과정'!$C$33)^2+(E213-'계산 과정'!$D$33)^2+'계산 과정'!$E$33^2)),('계산 과정'!$L$23-'계산 과정'!$C$49*D213-'계산 과정'!$D$49*E213)/F213,""),"")</x:f>
        <x:v>0.6957825238435825</x:v>
      </x:c>
      <x:c r="H213" s="4" t="n">
        <x:f>IF(AND(ISNUMBER(G213),G213&gt;0),('계산 과정'!$D$56+'계산 과정'!$D$57*D213+'계산 과정'!$D$58*E213)/F213,"")</x:f>
        <x:v>52.258640498328504</x:v>
      </x:c>
      <x:c r="I213" s="4" t="n">
        <x:f>IF(AND(ISNUMBER(G213),G213&gt;0),('계산 과정'!$E$56+'계산 과정'!$E$57*D213+'계산 과정'!$E$58*E213)/F213,"")</x:f>
        <x:v>33.07033125758766</x:v>
      </x:c>
      <x:c r="J213" s="4" t="n">
        <x:f>IF('계산 과정'!$L$5,'계산 과정'!$D$6+'계산 과정'!$C$35*D213+'계산 과정'!$D$35*E213,"")</x:f>
        <x:v>619.1831707406197</x:v>
      </x:c>
      <x:c r="K213" s="4" t="n">
        <x:f>IF(AND('계산 과정'!$L$6,J213&gt;0),'계산 과정'!$D$10*('계산 과정'!$C$38*(D213-'계산 과정'!$C$32)+'계산 과정'!$D$38*(E213-'계산 과정'!$D$32)-'계산 과정'!$E$38*'계산 과정'!$E$32)/J213,"")</x:f>
        <x:v>0.39816107046345606</x:v>
      </x:c>
      <x:c r="L213" s="4" t="n">
        <x:f>IF(AND('계산 과정'!$L$6,J213&gt;0),'계산 과정'!$D$10*('계산 과정'!$C$39*(D213-'계산 과정'!$C$32)+'계산 과정'!$D$39*(E213-'계산 과정'!$D$32)-'계산 과정'!$E$39*'계산 과정'!$E$32)/J213,"")</x:f>
        <x:v>0.2519644286292393</x:v>
      </x:c>
      <x:c r="M213" s="17" t="n">
        <x:f>IF('계산 과정'!$L$6,IF(J213&lt;=0,0,IF(AND(ABS(K213)&lt;='계산 과정'!$D$11/2,ABS(L213)&lt;='계산 과정'!$D$12/2),1,0)),"")</x:f>
        <x:v>1</x:v>
      </x:c>
      <x:c r="N213" s="17" t="n">
        <x:f>IF('계산 과정'!$C$78,IF(AND(ISNUMBER(H213),ISNUMBER(I213),ABS(H213-'계산 과정'!$C$88)&lt;='계산 과정'!$D$23/2,ABS(I213-'계산 과정'!$C$89)&lt;='계산 과정'!$D$24/2),1,0),"")</x:f>
        <x:v>1</x:v>
      </x:c>
      <x:c r="O213" s="4" t="n">
        <x:f>IF('계산 과정'!$L$7,'계산 과정'!$C$49*('계산 과정'!$C$32-D213)+'계산 과정'!$D$49*('계산 과정'!$D$32-E213)+'계산 과정'!$E$49*'계산 과정'!$E$32,"")</x:f>
        <x:v>30.81682925938037</x:v>
      </x:c>
      <x:c r="P213" s="4" t="n">
        <x:f>IF(AND('계산 과정'!$L$7,O213&lt;&gt;0),('계산 과정'!$L$23-'계산 과정'!$C$49*D213-'계산 과정'!$D$49*E213)/O213,"")</x:f>
        <x:v>13.97992069960421</x:v>
      </x:c>
      <x:c r="Q213" s="4" t="str">
        <x:f>IF(AND(ISNUMBER(P213),P213&gt;1E-9,P213&lt;1-1E-9),'계산 과정'!$C$47*(D213-'계산 과정'!$C$50+P213*('계산 과정'!$C$32-D213))+'계산 과정'!$D$47*(E213-'계산 과정'!$D$50+P213*('계산 과정'!$D$32-E213))+'계산 과정'!$E$47*(0-'계산 과정'!$E$50+P213*('계산 과정'!$E$32-0)),"")</x:f>
      </x:c>
      <x:c r="R213" s="4" t="str">
        <x:f>IF(AND(ISNUMBER(P213),P213&gt;1E-9,P213&lt;1-1E-9),'계산 과정'!$C$48*(D213-'계산 과정'!$C$50+P213*('계산 과정'!$C$32-D213))+'계산 과정'!$D$48*(E213-'계산 과정'!$D$50+P213*('계산 과정'!$D$32-E213))+'계산 과정'!$E$48*(0-'계산 과정'!$E$50+P213*('계산 과정'!$E$32-0)),"")</x:f>
      </x:c>
      <x:c r="S213" s="17" t="n">
        <x:f>IF('계산 과정'!$C$78,IF(AND(ISNUMBER(Q213),ISNUMBER(R213),ABS(Q213-'계산 과정'!$C$88)&lt;='계산 과정'!$D$23/2,ABS(R213-'계산 과정'!$C$89)&lt;='계산 과정'!$D$24/2),1,0),"")</x:f>
        <x:v>0</x:v>
      </x:c>
      <x:c r="T213" s="4"/>
      <x:c r="U213" s="4"/>
      <x:c r="V213" s="4"/>
      <x:c r="W213" s="4" t="n">
        <x:f>IF('계산 과정'!$C$77,('계산 과정'!$D$56+'계산 과정'!$D$57*('계산 과정'!$L$11*COS(207*2*PI()/240))+'계산 과정'!$D$58*('계산 과정'!$L$11*SIN(207*2*PI()/240)))/('계산 과정'!$D$59+'계산 과정'!$D$60*('계산 과정'!$L$11*COS(207*2*PI()/240))+'계산 과정'!$D$61*('계산 과정'!$L$11*SIN(207*2*PI()/240))),"")</x:f>
        <x:v>124.46505005443647</x:v>
      </x:c>
      <x:c r="X213" s="4" t="n">
        <x:f>IF('계산 과정'!$C$77,('계산 과정'!$E$56+'계산 과정'!$E$57*('계산 과정'!$L$11*COS(207*2*PI()/240))+'계산 과정'!$E$58*('계산 과정'!$L$11*SIN(207*2*PI()/240)))/('계산 과정'!$E$59+'계산 과정'!$E$60*('계산 과정'!$L$11*COS(207*2*PI()/240))+'계산 과정'!$E$61*('계산 과정'!$L$11*SIN(207*2*PI()/240))),"")</x:f>
        <x:v>-206.09313010387686</x:v>
      </x:c>
      <x:c r="Y213" s="4" t="str">
        <x:f>""</x:f>
      </x:c>
      <x:c r="Z213" s="4" t="str">
        <x:f>""</x:f>
      </x:c>
    </x:row>
    <x:row r="214" ht="23" customHeight="1">
      <x:c r="A214" s="17" t="n">
        <x:f>ROW()-6</x:f>
        <x:v>208</x:v>
      </x:c>
      <x:c r="B214" s="4" t="n">
        <x:f>IF('계산 과정'!$L$5,'계산 과정'!$L$11*SQRT((A214+0.5)/'계산 과정'!$L$30),"")</x:f>
        <x:v>47.86072935155189</x:v>
      </x:c>
      <x:c r="C214" s="4" t="n">
        <x:f>A214*PI()*(3-SQRT(5))</x:f>
        <x:v>499.19235178355984</x:v>
      </x:c>
      <x:c r="D214" s="4" t="n">
        <x:f>IF('계산 과정'!$L$5,B214*COS(C214),"")</x:f>
        <x:v>-45.4178310363776</x:v>
      </x:c>
      <x:c r="E214" s="4" t="n">
        <x:f>IF('계산 과정'!$L$5,B214*SIN(C214),"")</x:f>
        <x:v>15.095364785706767</x:v>
      </x:c>
      <x:c r="F214" s="4" t="n">
        <x:f>IF('계산 과정'!$L$7,'계산 과정'!$L$22+'계산 과정'!$C$49*D214+'계산 과정'!$D$49*E214,"")</x:f>
        <x:v>682.1152563126075</x:v>
      </x:c>
      <x:c r="G214" s="4" t="n">
        <x:f>IF('계산 과정'!$L$7,IF(ABS(F214)&gt;=1E-12*MAX(1,SQRT((D214-'계산 과정'!$C$33)^2+(E214-'계산 과정'!$D$33)^2+'계산 과정'!$E$33^2)),('계산 과정'!$L$23-'계산 과정'!$C$49*D214-'계산 과정'!$D$49*E214)/F214,""),"")</x:f>
        <x:v>0.5393292999721357</x:v>
      </x:c>
      <x:c r="H214" s="4" t="n">
        <x:f>IF(AND(ISNUMBER(G214),G214&gt;0),('계산 과정'!$D$56+'계산 과정'!$D$57*D214+'계산 과정'!$D$58*E214)/F214,"")</x:f>
        <x:v>-49.43595501811185</x:v>
      </x:c>
      <x:c r="I214" s="4" t="n">
        <x:f>IF(AND(ISNUMBER(G214),G214&gt;0),('계산 과정'!$E$56+'계산 과정'!$E$57*D214+'계산 과정'!$E$58*E214)/F214,"")</x:f>
        <x:v>23.236737308406024</x:v>
      </x:c>
      <x:c r="J214" s="4" t="n">
        <x:f>IF('계산 과정'!$L$5,'계산 과정'!$D$6+'계산 과정'!$C$35*D214+'계산 과정'!$D$35*E214,"")</x:f>
        <x:v>682.1152563126075</x:v>
      </x:c>
      <x:c r="K214" s="4" t="n">
        <x:f>IF(AND('계산 과정'!$L$6,J214&gt;0),'계산 과정'!$D$10*('계산 과정'!$C$38*(D214-'계산 과정'!$C$32)+'계산 과정'!$D$38*(E214-'계산 과정'!$D$32)-'계산 과정'!$E$38*'계산 과정'!$E$32)/J214,"")</x:f>
        <x:v>-0.3766548953760897</x:v>
      </x:c>
      <x:c r="L214" s="4" t="n">
        <x:f>IF(AND('계산 과정'!$L$6,J214&gt;0),'계산 과정'!$D$10*('계산 과정'!$C$39*(D214-'계산 과정'!$C$32)+'계산 과정'!$D$39*(E214-'계산 과정'!$D$32)-'계산 과정'!$E$39*'계산 과정'!$E$32)/J214,"")</x:f>
        <x:v>0.17704180806404593</x:v>
      </x:c>
      <x:c r="M214" s="17" t="n">
        <x:f>IF('계산 과정'!$L$6,IF(J214&lt;=0,0,IF(AND(ABS(K214)&lt;='계산 과정'!$D$11/2,ABS(L214)&lt;='계산 과정'!$D$12/2),1,0)),"")</x:f>
        <x:v>1</x:v>
      </x:c>
      <x:c r="N214" s="17" t="n">
        <x:f>IF('계산 과정'!$C$78,IF(AND(ISNUMBER(H214),ISNUMBER(I214),ABS(H214-'계산 과정'!$C$88)&lt;='계산 과정'!$D$23/2,ABS(I214-'계산 과정'!$C$89)&lt;='계산 과정'!$D$24/2),1,0),"")</x:f>
        <x:v>1</x:v>
      </x:c>
      <x:c r="O214" s="4" t="n">
        <x:f>IF('계산 과정'!$L$7,'계산 과정'!$C$49*('계산 과정'!$C$32-D214)+'계산 과정'!$D$49*('계산 과정'!$D$32-E214)+'계산 과정'!$E$49*'계산 과정'!$E$32,"")</x:f>
        <x:v>-32.11525631260736</x:v>
      </x:c>
      <x:c r="P214" s="4" t="n">
        <x:f>IF(AND('계산 과정'!$L$7,O214&lt;&gt;0),('계산 과정'!$L$23-'계산 과정'!$C$49*D214-'계산 과정'!$D$49*E214)/O214,"")</x:f>
        <x:v>-11.455139579346078</x:v>
      </x:c>
      <x:c r="Q214" s="4" t="str">
        <x:f>IF(AND(ISNUMBER(P214),P214&gt;1E-9,P214&lt;1-1E-9),'계산 과정'!$C$47*(D214-'계산 과정'!$C$50+P214*('계산 과정'!$C$32-D214))+'계산 과정'!$D$47*(E214-'계산 과정'!$D$50+P214*('계산 과정'!$D$32-E214))+'계산 과정'!$E$47*(0-'계산 과정'!$E$50+P214*('계산 과정'!$E$32-0)),"")</x:f>
      </x:c>
      <x:c r="R214" s="4" t="str">
        <x:f>IF(AND(ISNUMBER(P214),P214&gt;1E-9,P214&lt;1-1E-9),'계산 과정'!$C$48*(D214-'계산 과정'!$C$50+P214*('계산 과정'!$C$32-D214))+'계산 과정'!$D$48*(E214-'계산 과정'!$D$50+P214*('계산 과정'!$D$32-E214))+'계산 과정'!$E$48*(0-'계산 과정'!$E$50+P214*('계산 과정'!$E$32-0)),"")</x:f>
      </x:c>
      <x:c r="S214" s="17" t="n">
        <x:f>IF('계산 과정'!$C$78,IF(AND(ISNUMBER(Q214),ISNUMBER(R214),ABS(Q214-'계산 과정'!$C$88)&lt;='계산 과정'!$D$23/2,ABS(R214-'계산 과정'!$C$89)&lt;='계산 과정'!$D$24/2),1,0),"")</x:f>
        <x:v>0</x:v>
      </x:c>
      <x:c r="T214" s="4"/>
      <x:c r="U214" s="4"/>
      <x:c r="V214" s="4"/>
      <x:c r="W214" s="4" t="n">
        <x:f>IF('계산 과정'!$C$77,('계산 과정'!$D$56+'계산 과정'!$D$57*('계산 과정'!$L$11*COS(208*2*PI()/240))+'계산 과정'!$D$58*('계산 과정'!$L$11*SIN(208*2*PI()/240)))/('계산 과정'!$D$59+'계산 과정'!$D$60*('계산 과정'!$L$11*COS(208*2*PI()/240))+'계산 과정'!$D$61*('계산 과정'!$L$11*SIN(208*2*PI()/240))),"")</x:f>
        <x:v>128.69951310535137</x:v>
      </x:c>
      <x:c r="X214" s="4" t="n">
        <x:f>IF('계산 과정'!$C$77,('계산 과정'!$E$56+'계산 과정'!$E$57*('계산 과정'!$L$11*COS(208*2*PI()/240))+'계산 과정'!$E$58*('계산 과정'!$L$11*SIN(208*2*PI()/240)))/('계산 과정'!$E$59+'계산 과정'!$E$60*('계산 과정'!$L$11*COS(208*2*PI()/240))+'계산 과정'!$E$61*('계산 과정'!$L$11*SIN(208*2*PI()/240))),"")</x:f>
        <x:v>-202.14102552853055</x:v>
      </x:c>
      <x:c r="Y214" s="4" t="str">
        <x:f>""</x:f>
      </x:c>
      <x:c r="Z214" s="4" t="str">
        <x:f>""</x:f>
      </x:c>
    </x:row>
    <x:row r="215" ht="23" customHeight="1">
      <x:c r="A215" s="17" t="n">
        <x:f>ROW()-6</x:f>
        <x:v>209</x:v>
      </x:c>
      <x:c r="B215" s="4" t="n">
        <x:f>IF('계산 과정'!$L$5,'계산 과정'!$L$11*SQRT((A215+0.5)/'계산 과정'!$L$30),"")</x:f>
        <x:v>47.97536599326263</x:v>
      </x:c>
      <x:c r="C215" s="4" t="n">
        <x:f>A215*PI()*(3-SQRT(5))</x:f>
        <x:v>501.5923150132885</x:v>
      </x:c>
      <x:c r="D215" s="4" t="n">
        <x:f>IF('계산 과정'!$L$5,B215*COS(C215),"")</x:f>
        <x:v>23.348714226538803</x:v>
      </x:c>
      <x:c r="E215" s="4" t="n">
        <x:f>IF('계산 과정'!$L$5,B215*SIN(C215),"")</x:f>
        <x:v>-41.91030047798422</x:v>
      </x:c>
      <x:c r="F215" s="4" t="n">
        <x:f>IF('계산 과정'!$L$7,'계산 과정'!$L$22+'계산 과정'!$C$49*D215+'계산 과정'!$D$49*E215,"")</x:f>
        <x:v>633.4899658384276</x:v>
      </x:c>
      <x:c r="G215" s="4" t="n">
        <x:f>IF('계산 과정'!$L$7,IF(ABS(F215)&gt;=1E-12*MAX(1,SQRT((D215-'계산 과정'!$C$33)^2+(E215-'계산 과정'!$D$33)^2+'계산 과정'!$E$33^2)),('계산 과정'!$L$23-'계산 과정'!$C$49*D215-'계산 과정'!$D$49*E215)/F215,""),"")</x:f>
        <x:v>0.6574848168436559</x:v>
      </x:c>
      <x:c r="H215" s="4" t="n">
        <x:f>IF(AND(ISNUMBER(G215),G215&gt;0),('계산 과정'!$D$56+'계산 과정'!$D$57*D215+'계산 과정'!$D$58*E215)/F215,"")</x:f>
        <x:v>27.36513094837623</x:v>
      </x:c>
      <x:c r="I215" s="4" t="n">
        <x:f>IF(AND(ISNUMBER(G215),G215&gt;0),('계산 과정'!$E$56+'계산 과정'!$E$57*D215+'계산 과정'!$E$58*E215)/F215,"")</x:f>
        <x:v>-69.46568671161427</x:v>
      </x:c>
      <x:c r="J215" s="4" t="n">
        <x:f>IF('계산 과정'!$L$5,'계산 과정'!$D$6+'계산 과정'!$C$35*D215+'계산 과정'!$D$35*E215,"")</x:f>
        <x:v>633.4899658384276</x:v>
      </x:c>
      <x:c r="K215" s="4" t="n">
        <x:f>IF(AND('계산 과정'!$L$6,J215&gt;0),'계산 과정'!$D$10*('계산 과정'!$C$38*(D215-'계산 과정'!$C$32)+'계산 과정'!$D$38*(E215-'계산 과정'!$D$32)-'계산 과정'!$E$38*'계산 과정'!$E$32)/J215,"")</x:f>
        <x:v>0.20849623579715273</x:v>
      </x:c>
      <x:c r="L215" s="4" t="n">
        <x:f>IF(AND('계산 과정'!$L$6,J215&gt;0),'계산 과정'!$D$10*('계산 과정'!$C$39*(D215-'계산 과정'!$C$32)+'계산 과정'!$D$39*(E215-'계산 과정'!$D$32)-'계산 과정'!$E$39*'계산 과정'!$E$32)/J215,"")</x:f>
        <x:v>-0.5292623749456326</x:v>
      </x:c>
      <x:c r="M215" s="17" t="n">
        <x:f>IF('계산 과정'!$L$6,IF(J215&lt;=0,0,IF(AND(ABS(K215)&lt;='계산 과정'!$D$11/2,ABS(L215)&lt;='계산 과정'!$D$12/2),1,0)),"")</x:f>
        <x:v>1</x:v>
      </x:c>
      <x:c r="N215" s="17" t="n">
        <x:f>IF('계산 과정'!$C$78,IF(AND(ISNUMBER(H215),ISNUMBER(I215),ABS(H215-'계산 과정'!$C$88)&lt;='계산 과정'!$D$23/2,ABS(I215-'계산 과정'!$C$89)&lt;='계산 과정'!$D$24/2),1,0),"")</x:f>
        <x:v>1</x:v>
      </x:c>
      <x:c r="O215" s="4" t="n">
        <x:f>IF('계산 과정'!$L$7,'계산 과정'!$C$49*('계산 과정'!$C$32-D215)+'계산 과정'!$D$49*('계산 과정'!$D$32-E215)+'계산 과정'!$E$49*'계산 과정'!$E$32,"")</x:f>
        <x:v>16.51003416157249</x:v>
      </x:c>
      <x:c r="P215" s="4" t="n">
        <x:f>IF(AND('계산 과정'!$L$7,O215&lt;&gt;0),('계산 과정'!$L$23-'계산 과정'!$C$49*D215-'계산 과정'!$D$49*E215)/O215,"")</x:f>
        <x:v>25.22769063258571</x:v>
      </x:c>
      <x:c r="Q215" s="4" t="str">
        <x:f>IF(AND(ISNUMBER(P215),P215&gt;1E-9,P215&lt;1-1E-9),'계산 과정'!$C$47*(D215-'계산 과정'!$C$50+P215*('계산 과정'!$C$32-D215))+'계산 과정'!$D$47*(E215-'계산 과정'!$D$50+P215*('계산 과정'!$D$32-E215))+'계산 과정'!$E$47*(0-'계산 과정'!$E$50+P215*('계산 과정'!$E$32-0)),"")</x:f>
      </x:c>
      <x:c r="R215" s="4" t="str">
        <x:f>IF(AND(ISNUMBER(P215),P215&gt;1E-9,P215&lt;1-1E-9),'계산 과정'!$C$48*(D215-'계산 과정'!$C$50+P215*('계산 과정'!$C$32-D215))+'계산 과정'!$D$48*(E215-'계산 과정'!$D$50+P215*('계산 과정'!$D$32-E215))+'계산 과정'!$E$48*(0-'계산 과정'!$E$50+P215*('계산 과정'!$E$32-0)),"")</x:f>
      </x:c>
      <x:c r="S215" s="17" t="n">
        <x:f>IF('계산 과정'!$C$78,IF(AND(ISNUMBER(Q215),ISNUMBER(R215),ABS(Q215-'계산 과정'!$C$88)&lt;='계산 과정'!$D$23/2,ABS(R215-'계산 과정'!$C$89)&lt;='계산 과정'!$D$24/2),1,0),"")</x:f>
        <x:v>0</x:v>
      </x:c>
      <x:c r="T215" s="4"/>
      <x:c r="U215" s="4"/>
      <x:c r="V215" s="4"/>
      <x:c r="W215" s="4" t="n">
        <x:f>IF('계산 과정'!$C$77,('계산 과정'!$D$56+'계산 과정'!$D$57*('계산 과정'!$L$11*COS(209*2*PI()/240))+'계산 과정'!$D$58*('계산 과정'!$L$11*SIN(209*2*PI()/240)))/('계산 과정'!$D$59+'계산 과정'!$D$60*('계산 과정'!$L$11*COS(209*2*PI()/240))+'계산 과정'!$D$61*('계산 과정'!$L$11*SIN(209*2*PI()/240))),"")</x:f>
        <x:v>132.8648958923369</x:v>
      </x:c>
      <x:c r="X215" s="4" t="n">
        <x:f>IF('계산 과정'!$C$77,('계산 과정'!$E$56+'계산 과정'!$E$57*('계산 과정'!$L$11*COS(209*2*PI()/240))+'계산 과정'!$E$58*('계산 과정'!$L$11*SIN(209*2*PI()/240)))/('계산 과정'!$E$59+'계산 과정'!$E$60*('계산 과정'!$L$11*COS(209*2*PI()/240))+'계산 과정'!$E$61*('계산 과정'!$L$11*SIN(209*2*PI()/240))),"")</x:f>
        <x:v>-198.00458765778893</x:v>
      </x:c>
      <x:c r="Y215" s="4" t="str">
        <x:f>""</x:f>
      </x:c>
      <x:c r="Z215" s="4" t="str">
        <x:f>""</x:f>
      </x:c>
    </x:row>
    <x:row r="216" ht="23" customHeight="1">
      <x:c r="A216" s="17" t="n">
        <x:f>ROW()-6</x:f>
        <x:v>210</x:v>
      </x:c>
      <x:c r="B216" s="4" t="n">
        <x:f>IF('계산 과정'!$L$5,'계산 과정'!$L$11*SQRT((A216+0.5)/'계산 과정'!$L$30),"")</x:f>
        <x:v>48.08972936410123</x:v>
      </x:c>
      <x:c r="C216" s="4" t="n">
        <x:f>A216*PI()*(3-SQRT(5))</x:f>
        <x:v>503.99227824301715</x:v>
      </x:c>
      <x:c r="D216" s="4" t="n">
        <x:f>IF('계산 과정'!$L$5,B216*COS(C216),"")</x:f>
        <x:v>11.119830331288789</x:v>
      </x:c>
      <x:c r="E216" s="4" t="n">
        <x:f>IF('계산 과정'!$L$5,B216*SIN(C216),"")</x:f>
        <x:v>46.78644508525787</x:v>
      </x:c>
      <x:c r="F216" s="4" t="n">
        <x:f>IF('계산 과정'!$L$7,'계산 과정'!$L$22+'계산 과정'!$C$49*D216+'계산 과정'!$D$49*E216,"")</x:f>
        <x:v>642.1370925671018</x:v>
      </x:c>
      <x:c r="G216" s="4" t="n">
        <x:f>IF('계산 과정'!$L$7,IF(ABS(F216)&gt;=1E-12*MAX(1,SQRT((D216-'계산 과정'!$C$33)^2+(E216-'계산 과정'!$D$33)^2+'계산 과정'!$E$33^2)),('계산 과정'!$L$23-'계산 과정'!$C$49*D216-'계산 과정'!$D$49*E216)/F216,""),"")</x:f>
        <x:v>0.6351648458779501</x:v>
      </x:c>
      <x:c r="H216" s="4" t="n">
        <x:f>IF(AND(ISNUMBER(G216),G216&gt;0),('계산 과정'!$D$56+'계산 과정'!$D$57*D216+'계산 과정'!$D$58*E216)/F216,"")</x:f>
        <x:v>12.857149820667388</x:v>
      </x:c>
      <x:c r="I216" s="4" t="n">
        <x:f>IF(AND(ISNUMBER(G216),G216&gt;0),('계산 과정'!$E$56+'계산 과정'!$E$57*D216+'계산 과정'!$E$58*E216)/F216,"")</x:f>
        <x:v>76.50355026701286</x:v>
      </x:c>
      <x:c r="J216" s="4" t="n">
        <x:f>IF('계산 과정'!$L$5,'계산 과정'!$D$6+'계산 과정'!$C$35*D216+'계산 과정'!$D$35*E216,"")</x:f>
        <x:v>642.1370925671018</x:v>
      </x:c>
      <x:c r="K216" s="4" t="n">
        <x:f>IF(AND('계산 과정'!$L$6,J216&gt;0),'계산 과정'!$D$10*('계산 과정'!$C$38*(D216-'계산 과정'!$C$32)+'계산 과정'!$D$38*(E216-'계산 과정'!$D$32)-'계산 과정'!$E$38*'계산 과정'!$E$32)/J216,"")</x:f>
        <x:v>0.09795923672889541</x:v>
      </x:c>
      <x:c r="L216" s="4" t="n">
        <x:f>IF(AND('계산 과정'!$L$6,J216&gt;0),'계산 과정'!$D$10*('계산 과정'!$C$39*(D216-'계산 과정'!$C$32)+'계산 과정'!$D$39*(E216-'계산 과정'!$D$32)-'계산 과정'!$E$39*'계산 과정'!$E$32)/J216,"")</x:f>
        <x:v>0.5828841925105741</x:v>
      </x:c>
      <x:c r="M216" s="17" t="n">
        <x:f>IF('계산 과정'!$L$6,IF(J216&lt;=0,0,IF(AND(ABS(K216)&lt;='계산 과정'!$D$11/2,ABS(L216)&lt;='계산 과정'!$D$12/2),1,0)),"")</x:f>
        <x:v>1</x:v>
      </x:c>
      <x:c r="N216" s="17" t="n">
        <x:f>IF('계산 과정'!$C$78,IF(AND(ISNUMBER(H216),ISNUMBER(I216),ABS(H216-'계산 과정'!$C$88)&lt;='계산 과정'!$D$23/2,ABS(I216-'계산 과정'!$C$89)&lt;='계산 과정'!$D$24/2),1,0),"")</x:f>
        <x:v>1</x:v>
      </x:c>
      <x:c r="O216" s="4" t="n">
        <x:f>IF('계산 과정'!$L$7,'계산 과정'!$C$49*('계산 과정'!$C$32-D216)+'계산 과정'!$D$49*('계산 과정'!$D$32-E216)+'계산 과정'!$E$49*'계산 과정'!$E$32,"")</x:f>
        <x:v>7.862907432898226</x:v>
      </x:c>
      <x:c r="P216" s="4" t="n">
        <x:f>IF(AND('계산 과정'!$L$7,O216&lt;&gt;0),('계산 과정'!$L$23-'계산 과정'!$C$49*D216-'계산 과정'!$D$49*E216)/O216,"")</x:f>
        <x:v>51.87176765256183</x:v>
      </x:c>
      <x:c r="Q216" s="4" t="str">
        <x:f>IF(AND(ISNUMBER(P216),P216&gt;1E-9,P216&lt;1-1E-9),'계산 과정'!$C$47*(D216-'계산 과정'!$C$50+P216*('계산 과정'!$C$32-D216))+'계산 과정'!$D$47*(E216-'계산 과정'!$D$50+P216*('계산 과정'!$D$32-E216))+'계산 과정'!$E$47*(0-'계산 과정'!$E$50+P216*('계산 과정'!$E$32-0)),"")</x:f>
      </x:c>
      <x:c r="R216" s="4" t="str">
        <x:f>IF(AND(ISNUMBER(P216),P216&gt;1E-9,P216&lt;1-1E-9),'계산 과정'!$C$48*(D216-'계산 과정'!$C$50+P216*('계산 과정'!$C$32-D216))+'계산 과정'!$D$48*(E216-'계산 과정'!$D$50+P216*('계산 과정'!$D$32-E216))+'계산 과정'!$E$48*(0-'계산 과정'!$E$50+P216*('계산 과정'!$E$32-0)),"")</x:f>
      </x:c>
      <x:c r="S216" s="17" t="n">
        <x:f>IF('계산 과정'!$C$78,IF(AND(ISNUMBER(Q216),ISNUMBER(R216),ABS(Q216-'계산 과정'!$C$88)&lt;='계산 과정'!$D$23/2,ABS(R216-'계산 과정'!$C$89)&lt;='계산 과정'!$D$24/2),1,0),"")</x:f>
        <x:v>0</x:v>
      </x:c>
      <x:c r="T216" s="4"/>
      <x:c r="U216" s="4"/>
      <x:c r="V216" s="4"/>
      <x:c r="W216" s="4" t="n">
        <x:f>IF('계산 과정'!$C$77,('계산 과정'!$D$56+'계산 과정'!$D$57*('계산 과정'!$L$11*COS(210*2*PI()/240))+'계산 과정'!$D$58*('계산 과정'!$L$11*SIN(210*2*PI()/240)))/('계산 과정'!$D$59+'계산 과정'!$D$60*('계산 과정'!$L$11*COS(210*2*PI()/240))+'계산 과정'!$D$61*('계산 과정'!$L$11*SIN(210*2*PI()/240))),"")</x:f>
        <x:v>136.9565217391303</x:v>
      </x:c>
      <x:c r="X216" s="4" t="n">
        <x:f>IF('계산 과정'!$C$77,('계산 과정'!$E$56+'계산 과정'!$E$57*('계산 과정'!$L$11*COS(210*2*PI()/240))+'계산 과정'!$E$58*('계산 과정'!$L$11*SIN(210*2*PI()/240)))/('계산 과정'!$E$59+'계산 과정'!$E$60*('계산 과정'!$L$11*COS(210*2*PI()/240))+'계산 과정'!$E$61*('계산 과정'!$L$11*SIN(210*2*PI()/240))),"")</x:f>
        <x:v>-193.68577049892394</x:v>
      </x:c>
      <x:c r="Y216" s="4" t="str">
        <x:f>""</x:f>
      </x:c>
      <x:c r="Z216" s="4" t="str">
        <x:f>""</x:f>
      </x:c>
    </x:row>
    <x:row r="217" ht="23" customHeight="1">
      <x:c r="A217" s="17" t="n">
        <x:f>ROW()-6</x:f>
        <x:v>211</x:v>
      </x:c>
      <x:c r="B217" s="4" t="n">
        <x:f>IF('계산 과정'!$L$5,'계산 과정'!$L$11*SQRT((A217+0.5)/'계산 과정'!$L$30),"")</x:f>
        <x:v>48.203821409069846</x:v>
      </x:c>
      <x:c r="C217" s="4" t="n">
        <x:f>A217*PI()*(3-SQRT(5))</x:f>
        <x:v>506.39224147274575</x:v>
      </x:c>
      <x:c r="D217" s="4" t="n">
        <x:f>IF('계산 과정'!$L$5,B217*COS(C217),"")</x:f>
        <x:v>-39.89763878746091</x:v>
      </x:c>
      <x:c r="E217" s="4" t="n">
        <x:f>IF('계산 과정'!$L$5,B217*SIN(C217),"")</x:f>
        <x:v>-27.051558506355878</x:v>
      </x:c>
      <x:c r="F217" s="4" t="n">
        <x:f>IF('계산 과정'!$L$7,'계산 과정'!$L$22+'계산 과정'!$C$49*D217+'계산 과정'!$D$49*E217,"")</x:f>
        <x:v>678.2118909399451</x:v>
      </x:c>
      <x:c r="G217" s="4" t="n">
        <x:f>IF('계산 과정'!$L$7,IF(ABS(F217)&gt;=1E-12*MAX(1,SQRT((D217-'계산 과정'!$C$33)^2+(E217-'계산 과정'!$D$33)^2+'계산 과정'!$E$33^2)),('계산 과정'!$L$23-'계산 과정'!$C$49*D217-'계산 과정'!$D$49*E217)/F217,""),"")</x:f>
        <x:v>0.5481887209980758</x:v>
      </x:c>
      <x:c r="H217" s="4" t="n">
        <x:f>IF(AND(ISNUMBER(G217),G217&gt;0),('계산 과정'!$D$56+'계산 과정'!$D$57*D217+'계산 과정'!$D$58*E217)/F217,"")</x:f>
        <x:v>-43.67733135125083</x:v>
      </x:c>
      <x:c r="I217" s="4" t="n">
        <x:f>IF(AND(ISNUMBER(G217),G217&gt;0),('계산 과정'!$E$56+'계산 과정'!$E$57*D217+'계산 과정'!$E$58*E217)/F217,"")</x:f>
        <x:v>-41.880917764959726</x:v>
      </x:c>
      <x:c r="J217" s="4" t="n">
        <x:f>IF('계산 과정'!$L$5,'계산 과정'!$D$6+'계산 과정'!$C$35*D217+'계산 과정'!$D$35*E217,"")</x:f>
        <x:v>678.2118909399451</x:v>
      </x:c>
      <x:c r="K217" s="4" t="n">
        <x:f>IF(AND('계산 과정'!$L$6,J217&gt;0),'계산 과정'!$D$10*('계산 과정'!$C$38*(D217-'계산 과정'!$C$32)+'계산 과정'!$D$38*(E217-'계산 과정'!$D$32)-'계산 과정'!$E$38*'계산 과정'!$E$32)/J217,"")</x:f>
        <x:v>-0.33277966743810045</x:v>
      </x:c>
      <x:c r="L217" s="4" t="n">
        <x:f>IF(AND('계산 과정'!$L$6,J217&gt;0),'계산 과정'!$D$10*('계산 과정'!$C$39*(D217-'계산 과정'!$C$32)+'계산 과정'!$D$39*(E217-'계산 과정'!$D$32)-'계산 과정'!$E$39*'계산 과정'!$E$32)/J217,"")</x:f>
        <x:v>-0.3190927067806455</x:v>
      </x:c>
      <x:c r="M217" s="17" t="n">
        <x:f>IF('계산 과정'!$L$6,IF(J217&lt;=0,0,IF(AND(ABS(K217)&lt;='계산 과정'!$D$11/2,ABS(L217)&lt;='계산 과정'!$D$12/2),1,0)),"")</x:f>
        <x:v>1</x:v>
      </x:c>
      <x:c r="N217" s="17" t="n">
        <x:f>IF('계산 과정'!$C$78,IF(AND(ISNUMBER(H217),ISNUMBER(I217),ABS(H217-'계산 과정'!$C$88)&lt;='계산 과정'!$D$23/2,ABS(I217-'계산 과정'!$C$89)&lt;='계산 과정'!$D$24/2),1,0),"")</x:f>
        <x:v>1</x:v>
      </x:c>
      <x:c r="O217" s="4" t="n">
        <x:f>IF('계산 과정'!$L$7,'계산 과정'!$C$49*('계산 과정'!$C$32-D217)+'계산 과정'!$D$49*('계산 과정'!$D$32-E217)+'계산 과정'!$E$49*'계산 과정'!$E$32,"")</x:f>
        <x:v>-28.211890939944908</x:v>
      </x:c>
      <x:c r="P217" s="4" t="n">
        <x:f>IF(AND('계산 과정'!$L$7,O217&lt;&gt;0),('계산 과정'!$L$23-'계산 과정'!$C$49*D217-'계산 과정'!$D$49*E217)/O217,"")</x:f>
        <x:v>-13.178418626794146</x:v>
      </x:c>
      <x:c r="Q217" s="4" t="str">
        <x:f>IF(AND(ISNUMBER(P217),P217&gt;1E-9,P217&lt;1-1E-9),'계산 과정'!$C$47*(D217-'계산 과정'!$C$50+P217*('계산 과정'!$C$32-D217))+'계산 과정'!$D$47*(E217-'계산 과정'!$D$50+P217*('계산 과정'!$D$32-E217))+'계산 과정'!$E$47*(0-'계산 과정'!$E$50+P217*('계산 과정'!$E$32-0)),"")</x:f>
      </x:c>
      <x:c r="R217" s="4" t="str">
        <x:f>IF(AND(ISNUMBER(P217),P217&gt;1E-9,P217&lt;1-1E-9),'계산 과정'!$C$48*(D217-'계산 과정'!$C$50+P217*('계산 과정'!$C$32-D217))+'계산 과정'!$D$48*(E217-'계산 과정'!$D$50+P217*('계산 과정'!$D$32-E217))+'계산 과정'!$E$48*(0-'계산 과정'!$E$50+P217*('계산 과정'!$E$32-0)),"")</x:f>
      </x:c>
      <x:c r="S217" s="17" t="n">
        <x:f>IF('계산 과정'!$C$78,IF(AND(ISNUMBER(Q217),ISNUMBER(R217),ABS(Q217-'계산 과정'!$C$88)&lt;='계산 과정'!$D$23/2,ABS(R217-'계산 과정'!$C$89)&lt;='계산 과정'!$D$24/2),1,0),"")</x:f>
        <x:v>0</x:v>
      </x:c>
      <x:c r="T217" s="4"/>
      <x:c r="U217" s="4"/>
      <x:c r="V217" s="4"/>
      <x:c r="W217" s="4" t="n">
        <x:f>IF('계산 과정'!$C$77,('계산 과정'!$D$56+'계산 과정'!$D$57*('계산 과정'!$L$11*COS(211*2*PI()/240))+'계산 과정'!$D$58*('계산 과정'!$L$11*SIN(211*2*PI()/240)))/('계산 과정'!$D$59+'계산 과정'!$D$60*('계산 과정'!$L$11*COS(211*2*PI()/240))+'계산 과정'!$D$61*('계산 과정'!$L$11*SIN(211*2*PI()/240))),"")</x:f>
        <x:v>140.9697178909937</x:v>
      </x:c>
      <x:c r="X217" s="4" t="n">
        <x:f>IF('계산 과정'!$C$77,('계산 과정'!$E$56+'계산 과정'!$E$57*('계산 과정'!$L$11*COS(211*2*PI()/240))+'계산 과정'!$E$58*('계산 과정'!$L$11*SIN(211*2*PI()/240)))/('계산 과정'!$E$59+'계산 과정'!$E$60*('계산 과정'!$L$11*COS(211*2*PI()/240))+'계산 과정'!$E$61*('계산 과정'!$L$11*SIN(211*2*PI()/240))),"")</x:f>
        <x:v>-189.18679726683808</x:v>
      </x:c>
      <x:c r="Y217" s="4" t="str">
        <x:f>""</x:f>
      </x:c>
      <x:c r="Z217" s="4" t="str">
        <x:f>""</x:f>
      </x:c>
    </x:row>
    <x:row r="218" ht="23" customHeight="1">
      <x:c r="A218" s="17" t="n">
        <x:f>ROW()-6</x:f>
        <x:v>212</x:v>
      </x:c>
      <x:c r="B218" s="4" t="n">
        <x:f>IF('계산 과정'!$L$5,'계산 과정'!$L$11*SQRT((A218+0.5)/'계산 과정'!$L$30),"")</x:f>
        <x:v>48.317644050206965</x:v>
      </x:c>
      <x:c r="C218" s="4" t="n">
        <x:f>A218*PI()*(3-SQRT(5))</x:f>
        <x:v>508.7922047024744</x:v>
      </x:c>
      <x:c r="D218" s="4" t="n">
        <x:f>IF('계산 과정'!$L$5,B218*COS(C218),"")</x:f>
        <x:v>47.804957263109074</x:v>
      </x:c>
      <x:c r="E218" s="4" t="n">
        <x:f>IF('계산 과정'!$L$5,B218*SIN(C218),"")</x:f>
        <x:v>-7.020027609263067</x:v>
      </x:c>
      <x:c r="F218" s="4" t="n">
        <x:f>IF('계산 과정'!$L$7,'계산 과정'!$L$22+'계산 과정'!$C$49*D218+'계산 과정'!$D$49*E218,"")</x:f>
        <x:v>616.1967905449225</x:v>
      </x:c>
      <x:c r="G218" s="4" t="n">
        <x:f>IF('계산 과정'!$L$7,IF(ABS(F218)&gt;=1E-12*MAX(1,SQRT((D218-'계산 과정'!$C$33)^2+(E218-'계산 과정'!$D$33)^2+'계산 과정'!$E$33^2)),('계산 과정'!$L$23-'계산 과정'!$C$49*D218-'계산 과정'!$D$49*E218)/F218,""),"")</x:f>
        <x:v>0.7040010855484196</x:v>
      </x:c>
      <x:c r="H218" s="4" t="n">
        <x:f>IF(AND(ISNUMBER(G218),G218&gt;0),('계산 과정'!$D$56+'계산 과정'!$D$57*D218+'계산 과정'!$D$58*E218)/F218,"")</x:f>
        <x:v>57.600705606472594</x:v>
      </x:c>
      <x:c r="I218" s="4" t="n">
        <x:f>IF(AND(ISNUMBER(G218),G218&gt;0),('계산 과정'!$E$56+'계산 과정'!$E$57*D218+'계산 과정'!$E$58*E218)/F218,"")</x:f>
        <x:v>-11.962134666764143</x:v>
      </x:c>
      <x:c r="J218" s="4" t="n">
        <x:f>IF('계산 과정'!$L$5,'계산 과정'!$D$6+'계산 과정'!$C$35*D218+'계산 과정'!$D$35*E218,"")</x:f>
        <x:v>616.1967905449225</x:v>
      </x:c>
      <x:c r="K218" s="4" t="n">
        <x:f>IF(AND('계산 과정'!$L$6,J218&gt;0),'계산 과정'!$D$10*('계산 과정'!$C$38*(D218-'계산 과정'!$C$32)+'계산 과정'!$D$38*(E218-'계산 과정'!$D$32)-'계산 과정'!$E$38*'계산 과정'!$E$32)/J218,"")</x:f>
        <x:v>0.43886251890645883</x:v>
      </x:c>
      <x:c r="L218" s="4" t="n">
        <x:f>IF(AND('계산 과정'!$L$6,J218&gt;0),'계산 과정'!$D$10*('계산 과정'!$C$39*(D218-'계산 과정'!$C$32)+'계산 과정'!$D$39*(E218-'계산 과정'!$D$32)-'계산 과정'!$E$39*'계산 과정'!$E$32)/J218,"")</x:f>
        <x:v>-0.09114007365153633</x:v>
      </x:c>
      <x:c r="M218" s="17" t="n">
        <x:f>IF('계산 과정'!$L$6,IF(J218&lt;=0,0,IF(AND(ABS(K218)&lt;='계산 과정'!$D$11/2,ABS(L218)&lt;='계산 과정'!$D$12/2),1,0)),"")</x:f>
        <x:v>1</x:v>
      </x:c>
      <x:c r="N218" s="17" t="n">
        <x:f>IF('계산 과정'!$C$78,IF(AND(ISNUMBER(H218),ISNUMBER(I218),ABS(H218-'계산 과정'!$C$88)&lt;='계산 과정'!$D$23/2,ABS(I218-'계산 과정'!$C$89)&lt;='계산 과정'!$D$24/2),1,0),"")</x:f>
        <x:v>1</x:v>
      </x:c>
      <x:c r="O218" s="4" t="n">
        <x:f>IF('계산 과정'!$L$7,'계산 과정'!$C$49*('계산 과정'!$C$32-D218)+'계산 과정'!$D$49*('계산 과정'!$D$32-E218)+'계산 과정'!$E$49*'계산 과정'!$E$32,"")</x:f>
        <x:v>33.80320945507765</x:v>
      </x:c>
      <x:c r="P218" s="4" t="n">
        <x:f>IF(AND('계산 과정'!$L$7,O218&lt;&gt;0),('계산 과정'!$L$23-'계산 과정'!$C$49*D218-'계산 과정'!$D$49*E218)/O218,"")</x:f>
        <x:v>12.833195913884298</x:v>
      </x:c>
      <x:c r="Q218" s="4" t="str">
        <x:f>IF(AND(ISNUMBER(P218),P218&gt;1E-9,P218&lt;1-1E-9),'계산 과정'!$C$47*(D218-'계산 과정'!$C$50+P218*('계산 과정'!$C$32-D218))+'계산 과정'!$D$47*(E218-'계산 과정'!$D$50+P218*('계산 과정'!$D$32-E218))+'계산 과정'!$E$47*(0-'계산 과정'!$E$50+P218*('계산 과정'!$E$32-0)),"")</x:f>
      </x:c>
      <x:c r="R218" s="4" t="str">
        <x:f>IF(AND(ISNUMBER(P218),P218&gt;1E-9,P218&lt;1-1E-9),'계산 과정'!$C$48*(D218-'계산 과정'!$C$50+P218*('계산 과정'!$C$32-D218))+'계산 과정'!$D$48*(E218-'계산 과정'!$D$50+P218*('계산 과정'!$D$32-E218))+'계산 과정'!$E$48*(0-'계산 과정'!$E$50+P218*('계산 과정'!$E$32-0)),"")</x:f>
      </x:c>
      <x:c r="S218" s="17" t="n">
        <x:f>IF('계산 과정'!$C$78,IF(AND(ISNUMBER(Q218),ISNUMBER(R218),ABS(Q218-'계산 과정'!$C$88)&lt;='계산 과정'!$D$23/2,ABS(R218-'계산 과정'!$C$89)&lt;='계산 과정'!$D$24/2),1,0),"")</x:f>
        <x:v>0</x:v>
      </x:c>
      <x:c r="T218" s="4"/>
      <x:c r="U218" s="4"/>
      <x:c r="V218" s="4"/>
      <x:c r="W218" s="4" t="n">
        <x:f>IF('계산 과정'!$C$77,('계산 과정'!$D$56+'계산 과정'!$D$57*('계산 과정'!$L$11*COS(212*2*PI()/240))+'계산 과정'!$D$58*('계산 과정'!$L$11*SIN(212*2*PI()/240)))/('계산 과정'!$D$59+'계산 과정'!$D$60*('계산 과정'!$L$11*COS(212*2*PI()/240))+'계산 과정'!$D$61*('계산 과정'!$L$11*SIN(212*2*PI()/240))),"")</x:f>
        <x:v>144.89982472959008</x:v>
      </x:c>
      <x:c r="X218" s="4" t="n">
        <x:f>IF('계산 과정'!$C$77,('계산 과정'!$E$56+'계산 과정'!$E$57*('계산 과정'!$L$11*COS(212*2*PI()/240))+'계산 과정'!$E$58*('계산 과정'!$L$11*SIN(212*2*PI()/240)))/('계산 과정'!$E$59+'계산 과정'!$E$60*('계산 과정'!$L$11*COS(212*2*PI()/240))+'계산 과정'!$E$61*('계산 과정'!$L$11*SIN(212*2*PI()/240))),"")</x:f>
        <x:v>-184.51016405986243</x:v>
      </x:c>
      <x:c r="Y218" s="4" t="str">
        <x:f>""</x:f>
      </x:c>
      <x:c r="Z218" s="4" t="str">
        <x:f>""</x:f>
      </x:c>
    </x:row>
    <x:row r="219" ht="23" customHeight="1">
      <x:c r="A219" s="17" t="n">
        <x:f>ROW()-6</x:f>
        <x:v>213</x:v>
      </x:c>
      <x:c r="B219" s="4" t="n">
        <x:f>IF('계산 과정'!$L$5,'계산 과정'!$L$11*SQRT((A219+0.5)/'계산 과정'!$L$30),"")</x:f>
        <x:v>48.431199186965216</x:v>
      </x:c>
      <x:c r="C219" s="4" t="n">
        <x:f>A219*PI()*(3-SQRT(5))</x:f>
        <x:v>511.19216793220306</x:v>
      </x:c>
      <x:c r="D219" s="4" t="n">
        <x:f>IF('계산 과정'!$L$5,B219*COS(C219),"")</x:f>
        <x:v>-30.579626293381757</x:v>
      </x:c>
      <x:c r="E219" s="4" t="n">
        <x:f>IF('계산 과정'!$L$5,B219*SIN(C219),"")</x:f>
        <x:v>37.55619137298956</x:v>
      </x:c>
      <x:c r="F219" s="4" t="n">
        <x:f>IF('계산 과정'!$L$7,'계산 과정'!$L$22+'계산 과정'!$C$49*D219+'계산 과정'!$D$49*E219,"")</x:f>
        <x:v>671.6230611182007</x:v>
      </x:c>
      <x:c r="G219" s="4" t="n">
        <x:f>IF('계산 과정'!$L$7,IF(ABS(F219)&gt;=1E-12*MAX(1,SQRT((D219-'계산 과정'!$C$33)^2+(E219-'계산 과정'!$D$33)^2+'계산 과정'!$E$33^2)),('계산 과정'!$L$23-'계산 과정'!$C$49*D219-'계산 과정'!$D$49*E219)/F219,""),"")</x:f>
        <x:v>0.5633769308811863</x:v>
      </x:c>
      <x:c r="H219" s="4" t="n">
        <x:f>IF(AND(ISNUMBER(G219),G219&gt;0),('계산 과정'!$D$56+'계산 과정'!$D$57*D219+'계산 과정'!$D$58*E219)/F219,"")</x:f>
        <x:v>-33.804994927229025</x:v>
      </x:c>
      <x:c r="I219" s="4" t="n">
        <x:f>IF(AND(ISNUMBER(G219),G219&gt;0),('계산 과정'!$E$56+'계산 과정'!$E$57*D219+'계산 과정'!$E$58*E219)/F219,"")</x:f>
        <x:v>58.71448320429091</x:v>
      </x:c>
      <x:c r="J219" s="4" t="n">
        <x:f>IF('계산 과정'!$L$5,'계산 과정'!$D$6+'계산 과정'!$C$35*D219+'계산 과정'!$D$35*E219,"")</x:f>
        <x:v>671.6230611182007</x:v>
      </x:c>
      <x:c r="K219" s="4" t="n">
        <x:f>IF(AND('계산 과정'!$L$6,J219&gt;0),'계산 과정'!$D$10*('계산 과정'!$C$38*(D219-'계산 과정'!$C$32)+'계산 과정'!$D$38*(E219-'계산 과정'!$D$32)-'계산 과정'!$E$38*'계산 과정'!$E$32)/J219,"")</x:f>
        <x:v>-0.25756186611222</x:v>
      </x:c>
      <x:c r="L219" s="4" t="n">
        <x:f>IF(AND('계산 과정'!$L$6,J219&gt;0),'계산 과정'!$D$10*('계산 과정'!$C$39*(D219-'계산 과정'!$C$32)+'계산 과정'!$D$39*(E219-'계산 과정'!$D$32)-'계산 과정'!$E$39*'계산 과정'!$E$32)/J219,"")</x:f>
        <x:v>0.44734844346126407</x:v>
      </x:c>
      <x:c r="M219" s="17" t="n">
        <x:f>IF('계산 과정'!$L$6,IF(J219&lt;=0,0,IF(AND(ABS(K219)&lt;='계산 과정'!$D$11/2,ABS(L219)&lt;='계산 과정'!$D$12/2),1,0)),"")</x:f>
        <x:v>1</x:v>
      </x:c>
      <x:c r="N219" s="17" t="n">
        <x:f>IF('계산 과정'!$C$78,IF(AND(ISNUMBER(H219),ISNUMBER(I219),ABS(H219-'계산 과정'!$C$88)&lt;='계산 과정'!$D$23/2,ABS(I219-'계산 과정'!$C$89)&lt;='계산 과정'!$D$24/2),1,0),"")</x:f>
        <x:v>1</x:v>
      </x:c>
      <x:c r="O219" s="4" t="n">
        <x:f>IF('계산 과정'!$L$7,'계산 과정'!$C$49*('계산 과정'!$C$32-D219)+'계산 과정'!$D$49*('계산 과정'!$D$32-E219)+'계산 과정'!$E$49*'계산 과정'!$E$32,"")</x:f>
        <x:v>-21.623061118200553</x:v>
      </x:c>
      <x:c r="P219" s="4" t="n">
        <x:f>IF(AND('계산 과정'!$L$7,O219&lt;&gt;0),('계산 과정'!$L$23-'계산 과정'!$C$49*D219-'계산 과정'!$D$49*E219)/O219,"")</x:f>
        <x:v>-17.498768412734684</x:v>
      </x:c>
      <x:c r="Q219" s="4" t="str">
        <x:f>IF(AND(ISNUMBER(P219),P219&gt;1E-9,P219&lt;1-1E-9),'계산 과정'!$C$47*(D219-'계산 과정'!$C$50+P219*('계산 과정'!$C$32-D219))+'계산 과정'!$D$47*(E219-'계산 과정'!$D$50+P219*('계산 과정'!$D$32-E219))+'계산 과정'!$E$47*(0-'계산 과정'!$E$50+P219*('계산 과정'!$E$32-0)),"")</x:f>
      </x:c>
      <x:c r="R219" s="4" t="str">
        <x:f>IF(AND(ISNUMBER(P219),P219&gt;1E-9,P219&lt;1-1E-9),'계산 과정'!$C$48*(D219-'계산 과정'!$C$50+P219*('계산 과정'!$C$32-D219))+'계산 과정'!$D$48*(E219-'계산 과정'!$D$50+P219*('계산 과정'!$D$32-E219))+'계산 과정'!$E$48*(0-'계산 과정'!$E$50+P219*('계산 과정'!$E$32-0)),"")</x:f>
      </x:c>
      <x:c r="S219" s="17" t="n">
        <x:f>IF('계산 과정'!$C$78,IF(AND(ISNUMBER(Q219),ISNUMBER(R219),ABS(Q219-'계산 과정'!$C$88)&lt;='계산 과정'!$D$23/2,ABS(R219-'계산 과정'!$C$89)&lt;='계산 과정'!$D$24/2),1,0),"")</x:f>
        <x:v>0</x:v>
      </x:c>
      <x:c r="T219" s="4"/>
      <x:c r="U219" s="4"/>
      <x:c r="V219" s="4"/>
      <x:c r="W219" s="4" t="n">
        <x:f>IF('계산 과정'!$C$77,('계산 과정'!$D$56+'계산 과정'!$D$57*('계산 과정'!$L$11*COS(213*2*PI()/240))+'계산 과정'!$D$58*('계산 과정'!$L$11*SIN(213*2*PI()/240)))/('계산 과정'!$D$59+'계산 과정'!$D$60*('계산 과정'!$L$11*COS(213*2*PI()/240))+'계산 과정'!$D$61*('계산 과정'!$L$11*SIN(213*2*PI()/240))),"")</x:f>
        <x:v>148.74220529732403</x:v>
      </x:c>
      <x:c r="X219" s="4" t="n">
        <x:f>IF('계산 과정'!$C$77,('계산 과정'!$E$56+'계산 과정'!$E$57*('계산 과정'!$L$11*COS(213*2*PI()/240))+'계산 과정'!$E$58*('계산 과정'!$L$11*SIN(213*2*PI()/240)))/('계산 과정'!$E$59+'계산 과정'!$E$60*('계산 과정'!$L$11*COS(213*2*PI()/240))+'계산 과정'!$E$61*('계산 과정'!$L$11*SIN(213*2*PI()/240))),"")</x:f>
        <x:v>-179.65864284954628</x:v>
      </x:c>
      <x:c r="Y219" s="4" t="str">
        <x:f>""</x:f>
      </x:c>
      <x:c r="Z219" s="4" t="str">
        <x:f>""</x:f>
      </x:c>
    </x:row>
    <x:row r="220" ht="23" customHeight="1">
      <x:c r="A220" s="17" t="n">
        <x:f>ROW()-6</x:f>
        <x:v>214</x:v>
      </x:c>
      <x:c r="B220" s="4" t="n">
        <x:f>IF('계산 과정'!$L$5,'계산 과정'!$L$11*SQRT((A220+0.5)/'계산 과정'!$L$30),"")</x:f>
        <x:v>48.544488696581205</x:v>
      </x:c>
      <x:c r="C220" s="4" t="n">
        <x:f>A220*PI()*(3-SQRT(5))</x:f>
        <x:v>513.5921311619317</x:v>
      </x:c>
      <x:c r="D220" s="4" t="n">
        <x:f>IF('계산 과정'!$L$5,B220*COS(C220),"")</x:f>
        <x:v>-2.826975414403071</x:v>
      </x:c>
      <x:c r="E220" s="4" t="n">
        <x:f>IF('계산 과정'!$L$5,B220*SIN(C220),"")</x:f>
        <x:v>-48.462104708925516</x:v>
      </x:c>
      <x:c r="F220" s="4" t="n">
        <x:f>IF('계산 과정'!$L$7,'계산 과정'!$L$22+'계산 과정'!$C$49*D220+'계산 과정'!$D$49*E220,"")</x:f>
        <x:v>651.998973485772</x:v>
      </x:c>
      <x:c r="G220" s="4" t="n">
        <x:f>IF('계산 과정'!$L$7,IF(ABS(F220)&gt;=1E-12*MAX(1,SQRT((D220-'계산 과정'!$C$33)^2+(E220-'계산 과정'!$D$33)^2+'계산 과정'!$E$33^2)),('계산 과정'!$L$23-'계산 과정'!$C$49*D220-'계산 과정'!$D$49*E220)/F220,""),"")</x:f>
        <x:v>0.6104319833302823</x:v>
      </x:c>
      <x:c r="H220" s="4" t="n">
        <x:f>IF(AND(ISNUMBER(G220),G220&gt;0),('계산 과정'!$D$56+'계산 과정'!$D$57*D220+'계산 과정'!$D$58*E220)/F220,"")</x:f>
        <x:v>-3.219210835316664</x:v>
      </x:c>
      <x:c r="I220" s="4" t="n">
        <x:f>IF(AND(ISNUMBER(G220),G220&gt;0),('계산 과정'!$E$56+'계산 과정'!$E$57*D220+'계산 과정'!$E$58*E220)/F220,"")</x:f>
        <x:v>-78.04492340275473</x:v>
      </x:c>
      <x:c r="J220" s="4" t="n">
        <x:f>IF('계산 과정'!$L$5,'계산 과정'!$D$6+'계산 과정'!$C$35*D220+'계산 과정'!$D$35*E220,"")</x:f>
        <x:v>651.998973485772</x:v>
      </x:c>
      <x:c r="K220" s="4" t="n">
        <x:f>IF(AND('계산 과정'!$L$6,J220&gt;0),'계산 과정'!$D$10*('계산 과정'!$C$38*(D220-'계산 과정'!$C$32)+'계산 과정'!$D$38*(E220-'계산 과정'!$D$32)-'계산 과정'!$E$38*'계산 과정'!$E$32)/J220,"")</x:f>
        <x:v>-0.024527320650030944</x:v>
      </x:c>
      <x:c r="L220" s="4" t="n">
        <x:f>IF(AND('계산 과정'!$L$6,J220&gt;0),'계산 과정'!$D$10*('계산 과정'!$C$39*(D220-'계산 과정'!$C$32)+'계산 과정'!$D$39*(E220-'계산 과정'!$D$32)-'계산 과정'!$E$39*'계산 과정'!$E$32)/J220,"")</x:f>
        <x:v>-0.5946279878305123</x:v>
      </x:c>
      <x:c r="M220" s="17" t="n">
        <x:f>IF('계산 과정'!$L$6,IF(J220&lt;=0,0,IF(AND(ABS(K220)&lt;='계산 과정'!$D$11/2,ABS(L220)&lt;='계산 과정'!$D$12/2),1,0)),"")</x:f>
        <x:v>1</x:v>
      </x:c>
      <x:c r="N220" s="17" t="n">
        <x:f>IF('계산 과정'!$C$78,IF(AND(ISNUMBER(H220),ISNUMBER(I220),ABS(H220-'계산 과정'!$C$88)&lt;='계산 과정'!$D$23/2,ABS(I220-'계산 과정'!$C$89)&lt;='계산 과정'!$D$24/2),1,0),"")</x:f>
        <x:v>1</x:v>
      </x:c>
      <x:c r="O220" s="4" t="n">
        <x:f>IF('계산 과정'!$L$7,'계산 과정'!$C$49*('계산 과정'!$C$32-D220)+'계산 과정'!$D$49*('계산 과정'!$D$32-E220)+'계산 과정'!$E$49*'계산 과정'!$E$32,"")</x:f>
        <x:v>-1.9989734857719554</x:v>
      </x:c>
      <x:c r="P220" s="4" t="n">
        <x:f>IF(AND('계산 과정'!$L$7,O220&lt;&gt;0),('계산 과정'!$L$23-'계산 과정'!$C$49*D220-'계산 과정'!$D$49*E220)/O220,"")</x:f>
        <x:v>-199.10270413643306</x:v>
      </x:c>
      <x:c r="Q220" s="4" t="str">
        <x:f>IF(AND(ISNUMBER(P220),P220&gt;1E-9,P220&lt;1-1E-9),'계산 과정'!$C$47*(D220-'계산 과정'!$C$50+P220*('계산 과정'!$C$32-D220))+'계산 과정'!$D$47*(E220-'계산 과정'!$D$50+P220*('계산 과정'!$D$32-E220))+'계산 과정'!$E$47*(0-'계산 과정'!$E$50+P220*('계산 과정'!$E$32-0)),"")</x:f>
      </x:c>
      <x:c r="R220" s="4" t="str">
        <x:f>IF(AND(ISNUMBER(P220),P220&gt;1E-9,P220&lt;1-1E-9),'계산 과정'!$C$48*(D220-'계산 과정'!$C$50+P220*('계산 과정'!$C$32-D220))+'계산 과정'!$D$48*(E220-'계산 과정'!$D$50+P220*('계산 과정'!$D$32-E220))+'계산 과정'!$E$48*(0-'계산 과정'!$E$50+P220*('계산 과정'!$E$32-0)),"")</x:f>
      </x:c>
      <x:c r="S220" s="17" t="n">
        <x:f>IF('계산 과정'!$C$78,IF(AND(ISNUMBER(Q220),ISNUMBER(R220),ABS(Q220-'계산 과정'!$C$88)&lt;='계산 과정'!$D$23/2,ABS(R220-'계산 과정'!$C$89)&lt;='계산 과정'!$D$24/2),1,0),"")</x:f>
        <x:v>0</x:v>
      </x:c>
      <x:c r="T220" s="4"/>
      <x:c r="U220" s="4"/>
      <x:c r="V220" s="4"/>
      <x:c r="W220" s="4" t="n">
        <x:f>IF('계산 과정'!$C$77,('계산 과정'!$D$56+'계산 과정'!$D$57*('계산 과정'!$L$11*COS(214*2*PI()/240))+'계산 과정'!$D$58*('계산 과정'!$L$11*SIN(214*2*PI()/240)))/('계산 과정'!$D$59+'계산 과정'!$D$60*('계산 과정'!$L$11*COS(214*2*PI()/240))+'계산 과정'!$D$61*('계산 과정'!$L$11*SIN(214*2*PI()/240))),"")</x:f>
        <x:v>152.4922551032478</x:v>
      </x:c>
      <x:c r="X220" s="4" t="n">
        <x:f>IF('계산 과정'!$C$77,('계산 과정'!$E$56+'계산 과정'!$E$57*('계산 과정'!$L$11*COS(214*2*PI()/240))+'계산 과정'!$E$58*('계산 과정'!$L$11*SIN(214*2*PI()/240)))/('계산 과정'!$E$59+'계산 과정'!$E$60*('계산 과정'!$L$11*COS(214*2*PI()/240))+'계산 과정'!$E$61*('계산 과정'!$L$11*SIN(214*2*PI()/240))),"")</x:f>
        <x:v>-174.6352837421486</x:v>
      </x:c>
      <x:c r="Y220" s="4" t="str">
        <x:f>""</x:f>
      </x:c>
      <x:c r="Z220" s="4" t="str">
        <x:f>""</x:f>
      </x:c>
    </x:row>
    <x:row r="221" ht="23" customHeight="1">
      <x:c r="A221" s="17" t="n">
        <x:f>ROW()-6</x:f>
        <x:v>215</x:v>
      </x:c>
      <x:c r="B221" s="4" t="n">
        <x:f>IF('계산 과정'!$L$5,'계산 과정'!$L$11*SQRT((A221+0.5)/'계산 과정'!$L$30),"")</x:f>
        <x:v>48.657514434437566</x:v>
      </x:c>
      <x:c r="C221" s="4" t="n">
        <x:f>A221*PI()*(3-SQRT(5))</x:f>
        <x:v>515.9920943916603</x:v>
      </x:c>
      <x:c r="D221" s="4" t="n">
        <x:f>IF('계산 과정'!$L$5,B221*COS(C221),"")</x:f>
        <x:v>34.90127666002597</x:v>
      </x:c>
      <x:c r="E221" s="4" t="n">
        <x:f>IF('계산 과정'!$L$5,B221*SIN(C221),"")</x:f>
        <x:v>33.903607454632706</x:v>
      </x:c>
      <x:c r="F221" s="4" t="n">
        <x:f>IF('계산 과정'!$L$7,'계산 과정'!$L$22+'계산 과정'!$C$49*D221+'계산 과정'!$D$49*E221,"")</x:f>
        <x:v>625.3210706016279</x:v>
      </x:c>
      <x:c r="G221" s="4" t="n">
        <x:f>IF('계산 과정'!$L$7,IF(ABS(F221)&gt;=1E-12*MAX(1,SQRT((D221-'계산 과정'!$C$33)^2+(E221-'계산 과정'!$D$33)^2+'계산 과정'!$E$33^2)),('계산 과정'!$L$23-'계산 과정'!$C$49*D221-'계산 과정'!$D$49*E221)/F221,""),"")</x:f>
        <x:v>0.679137405348878</x:v>
      </x:c>
      <x:c r="H221" s="4" t="n">
        <x:f>IF(AND(ISNUMBER(G221),G221&gt;0),('계산 과정'!$D$56+'계산 과정'!$D$57*D221+'계산 과정'!$D$58*E221)/F221,"")</x:f>
        <x:v>41.43931347677064</x:v>
      </x:c>
      <x:c r="I221" s="4" t="n">
        <x:f>IF(AND(ISNUMBER(G221),G221&gt;0),('계산 과정'!$E$56+'계산 과정'!$E$57*D221+'계산 과정'!$E$58*E221)/F221,"")</x:f>
        <x:v>56.92881545333884</x:v>
      </x:c>
      <x:c r="J221" s="4" t="n">
        <x:f>IF('계산 과정'!$L$5,'계산 과정'!$D$6+'계산 과정'!$C$35*D221+'계산 과정'!$D$35*E221,"")</x:f>
        <x:v>625.3210706016279</x:v>
      </x:c>
      <x:c r="K221" s="4" t="n">
        <x:f>IF(AND('계산 과정'!$L$6,J221&gt;0),'계산 과정'!$D$10*('계산 과정'!$C$38*(D221-'계산 과정'!$C$32)+'계산 과정'!$D$38*(E221-'계산 과정'!$D$32)-'계산 과정'!$E$38*'계산 과정'!$E$32)/J221,"")</x:f>
        <x:v>0.31572810268015794</x:v>
      </x:c>
      <x:c r="L221" s="4" t="n">
        <x:f>IF(AND('계산 과정'!$L$6,J221&gt;0),'계산 과정'!$D$10*('계산 과정'!$C$39*(D221-'계산 과정'!$C$32)+'계산 과정'!$D$39*(E221-'계산 과정'!$D$32)-'계산 과정'!$E$39*'계산 과정'!$E$32)/J221,"")</x:f>
        <x:v>0.4337433558349626</x:v>
      </x:c>
      <x:c r="M221" s="17" t="n">
        <x:f>IF('계산 과정'!$L$6,IF(J221&lt;=0,0,IF(AND(ABS(K221)&lt;='계산 과정'!$D$11/2,ABS(L221)&lt;='계산 과정'!$D$12/2),1,0)),"")</x:f>
        <x:v>1</x:v>
      </x:c>
      <x:c r="N221" s="17" t="n">
        <x:f>IF('계산 과정'!$C$78,IF(AND(ISNUMBER(H221),ISNUMBER(I221),ABS(H221-'계산 과정'!$C$88)&lt;='계산 과정'!$D$23/2,ABS(I221-'계산 과정'!$C$89)&lt;='계산 과정'!$D$24/2),1,0),"")</x:f>
        <x:v>1</x:v>
      </x:c>
      <x:c r="O221" s="4" t="n">
        <x:f>IF('계산 과정'!$L$7,'계산 과정'!$C$49*('계산 과정'!$C$32-D221)+'계산 과정'!$D$49*('계산 과정'!$D$32-E221)+'계산 과정'!$E$49*'계산 과정'!$E$32,"")</x:f>
        <x:v>24.678929398372247</x:v>
      </x:c>
      <x:c r="P221" s="4" t="n">
        <x:f>IF(AND('계산 과정'!$L$7,O221&lt;&gt;0),('계산 과정'!$L$23-'계산 과정'!$C$49*D221-'계산 과정'!$D$49*E221)/O221,"")</x:f>
        <x:v>17.208158528399647</x:v>
      </x:c>
      <x:c r="Q221" s="4" t="str">
        <x:f>IF(AND(ISNUMBER(P221),P221&gt;1E-9,P221&lt;1-1E-9),'계산 과정'!$C$47*(D221-'계산 과정'!$C$50+P221*('계산 과정'!$C$32-D221))+'계산 과정'!$D$47*(E221-'계산 과정'!$D$50+P221*('계산 과정'!$D$32-E221))+'계산 과정'!$E$47*(0-'계산 과정'!$E$50+P221*('계산 과정'!$E$32-0)),"")</x:f>
      </x:c>
      <x:c r="R221" s="4" t="str">
        <x:f>IF(AND(ISNUMBER(P221),P221&gt;1E-9,P221&lt;1-1E-9),'계산 과정'!$C$48*(D221-'계산 과정'!$C$50+P221*('계산 과정'!$C$32-D221))+'계산 과정'!$D$48*(E221-'계산 과정'!$D$50+P221*('계산 과정'!$D$32-E221))+'계산 과정'!$E$48*(0-'계산 과정'!$E$50+P221*('계산 과정'!$E$32-0)),"")</x:f>
      </x:c>
      <x:c r="S221" s="17" t="n">
        <x:f>IF('계산 과정'!$C$78,IF(AND(ISNUMBER(Q221),ISNUMBER(R221),ABS(Q221-'계산 과정'!$C$88)&lt;='계산 과정'!$D$23/2,ABS(R221-'계산 과정'!$C$89)&lt;='계산 과정'!$D$24/2),1,0),"")</x:f>
        <x:v>0</x:v>
      </x:c>
      <x:c r="T221" s="4"/>
      <x:c r="U221" s="4"/>
      <x:c r="V221" s="4"/>
      <x:c r="W221" s="4" t="n">
        <x:f>IF('계산 과정'!$C$77,('계산 과정'!$D$56+'계산 과정'!$D$57*('계산 과정'!$L$11*COS(215*2*PI()/240))+'계산 과정'!$D$58*('계산 과정'!$L$11*SIN(215*2*PI()/240)))/('계산 과정'!$D$59+'계산 과정'!$D$60*('계산 과정'!$L$11*COS(215*2*PI()/240))+'계산 과정'!$D$61*('계산 과정'!$L$11*SIN(215*2*PI()/240))),"")</x:f>
        <x:v>156.14541217969028</x:v>
      </x:c>
      <x:c r="X221" s="4" t="n">
        <x:f>IF('계산 과정'!$C$77,('계산 과정'!$E$56+'계산 과정'!$E$57*('계산 과정'!$L$11*COS(215*2*PI()/240))+'계산 과정'!$E$58*('계산 과정'!$L$11*SIN(215*2*PI()/240)))/('계산 과정'!$E$59+'계산 과정'!$E$60*('계산 과정'!$L$11*COS(215*2*PI()/240))+'계산 과정'!$E$61*('계산 과정'!$L$11*SIN(215*2*PI()/240))),"")</x:f>
        <x:v>-169.44341647172791</x:v>
      </x:c>
      <x:c r="Y221" s="4" t="str">
        <x:f>""</x:f>
      </x:c>
      <x:c r="Z221" s="4" t="str">
        <x:f>""</x:f>
      </x:c>
    </x:row>
    <x:row r="222" ht="23" customHeight="1">
      <x:c r="A222" s="17" t="n">
        <x:f>ROW()-6</x:f>
        <x:v>216</x:v>
      </x:c>
      <x:c r="B222" s="4" t="n">
        <x:f>IF('계산 과정'!$L$5,'계산 과정'!$L$11*SQRT((A222+0.5)/'계산 과정'!$L$30),"")</x:f>
        <x:v>48.77027823441753</x:v>
      </x:c>
      <x:c r="C222" s="4" t="n">
        <x:f>A222*PI()*(3-SQRT(5))</x:f>
        <x:v>518.392057621389</x:v>
      </x:c>
      <x:c r="D222" s="4" t="n">
        <x:f>IF('계산 과정'!$L$5,B222*COS(C222),"")</x:f>
        <x:v>-48.74938849029035</x:v>
      </x:c>
      <x:c r="E222" s="4" t="n">
        <x:f>IF('계산 과정'!$L$5,B222*SIN(C222),"")</x:f>
        <x:v>-1.4272914507020444</x:v>
      </x:c>
      <x:c r="F222" s="4" t="n">
        <x:f>IF('계산 과정'!$L$7,'계산 과정'!$L$22+'계산 과정'!$C$49*D222+'계산 과정'!$D$49*E222,"")</x:f>
        <x:v>684.4710231801818</x:v>
      </x:c>
      <x:c r="G222" s="4" t="n">
        <x:f>IF('계산 과정'!$L$7,IF(ABS(F222)&gt;=1E-12*MAX(1,SQRT((D222-'계산 과정'!$C$33)^2+(E222-'계산 과정'!$D$33)^2+'계산 과정'!$E$33^2)),('계산 과정'!$L$23-'계산 과정'!$C$49*D222-'계산 과정'!$D$49*E222)/F222,""),"")</x:f>
        <x:v>0.534031338713948</x:v>
      </x:c>
      <x:c r="H222" s="4" t="n">
        <x:f>IF(AND(ISNUMBER(G222),G222&gt;0),('계산 과정'!$D$56+'계산 과정'!$D$57*D222+'계산 과정'!$D$58*E222)/F222,"")</x:f>
        <x:v>-52.87962983593385</x:v>
      </x:c>
      <x:c r="I222" s="4" t="n">
        <x:f>IF(AND(ISNUMBER(G222),G222&gt;0),('계산 과정'!$E$56+'계산 과정'!$E$57*D222+'계산 과정'!$E$58*E222)/F222,"")</x:f>
        <x:v>-2.1895098148554304</x:v>
      </x:c>
      <x:c r="J222" s="4" t="n">
        <x:f>IF('계산 과정'!$L$5,'계산 과정'!$D$6+'계산 과정'!$C$35*D222+'계산 과정'!$D$35*E222,"")</x:f>
        <x:v>684.4710231801818</x:v>
      </x:c>
      <x:c r="K222" s="4" t="n">
        <x:f>IF(AND('계산 과정'!$L$6,J222&gt;0),'계산 과정'!$D$10*('계산 과정'!$C$38*(D222-'계산 과정'!$C$32)+'계산 과정'!$D$38*(E222-'계산 과정'!$D$32)-'계산 과정'!$E$38*'계산 과정'!$E$32)/J222,"")</x:f>
        <x:v>-0.40289241779759055</x:v>
      </x:c>
      <x:c r="L222" s="4" t="n">
        <x:f>IF(AND('계산 과정'!$L$6,J222&gt;0),'계산 과정'!$D$10*('계산 과정'!$C$39*(D222-'계산 과정'!$C$32)+'계산 과정'!$D$39*(E222-'계산 과정'!$D$32)-'계산 과정'!$E$39*'계산 과정'!$E$32)/J222,"")</x:f>
        <x:v>-0.016681979541755657</x:v>
      </x:c>
      <x:c r="M222" s="17" t="n">
        <x:f>IF('계산 과정'!$L$6,IF(J222&lt;=0,0,IF(AND(ABS(K222)&lt;='계산 과정'!$D$11/2,ABS(L222)&lt;='계산 과정'!$D$12/2),1,0)),"")</x:f>
        <x:v>1</x:v>
      </x:c>
      <x:c r="N222" s="17" t="n">
        <x:f>IF('계산 과정'!$C$78,IF(AND(ISNUMBER(H222),ISNUMBER(I222),ABS(H222-'계산 과정'!$C$88)&lt;='계산 과정'!$D$23/2,ABS(I222-'계산 과정'!$C$89)&lt;='계산 과정'!$D$24/2),1,0),"")</x:f>
        <x:v>1</x:v>
      </x:c>
      <x:c r="O222" s="4" t="n">
        <x:f>IF('계산 과정'!$L$7,'계산 과정'!$C$49*('계산 과정'!$C$32-D222)+'계산 과정'!$D$49*('계산 과정'!$D$32-E222)+'계산 과정'!$E$49*'계산 과정'!$E$32,"")</x:f>
        <x:v>-34.471023180181646</x:v>
      </x:c>
      <x:c r="P222" s="4" t="n">
        <x:f>IF(AND('계산 과정'!$L$7,O222&lt;&gt;0),('계산 과정'!$L$23-'계산 과정'!$C$49*D222-'계산 과정'!$D$49*E222)/O222,"")</x:f>
        <x:v>-10.603949146191026</x:v>
      </x:c>
      <x:c r="Q222" s="4" t="str">
        <x:f>IF(AND(ISNUMBER(P222),P222&gt;1E-9,P222&lt;1-1E-9),'계산 과정'!$C$47*(D222-'계산 과정'!$C$50+P222*('계산 과정'!$C$32-D222))+'계산 과정'!$D$47*(E222-'계산 과정'!$D$50+P222*('계산 과정'!$D$32-E222))+'계산 과정'!$E$47*(0-'계산 과정'!$E$50+P222*('계산 과정'!$E$32-0)),"")</x:f>
      </x:c>
      <x:c r="R222" s="4" t="str">
        <x:f>IF(AND(ISNUMBER(P222),P222&gt;1E-9,P222&lt;1-1E-9),'계산 과정'!$C$48*(D222-'계산 과정'!$C$50+P222*('계산 과정'!$C$32-D222))+'계산 과정'!$D$48*(E222-'계산 과정'!$D$50+P222*('계산 과정'!$D$32-E222))+'계산 과정'!$E$48*(0-'계산 과정'!$E$50+P222*('계산 과정'!$E$32-0)),"")</x:f>
      </x:c>
      <x:c r="S222" s="17" t="n">
        <x:f>IF('계산 과정'!$C$78,IF(AND(ISNUMBER(Q222),ISNUMBER(R222),ABS(Q222-'계산 과정'!$C$88)&lt;='계산 과정'!$D$23/2,ABS(R222-'계산 과정'!$C$89)&lt;='계산 과정'!$D$24/2),1,0),"")</x:f>
        <x:v>0</x:v>
      </x:c>
      <x:c r="T222" s="4"/>
      <x:c r="U222" s="4"/>
      <x:c r="V222" s="4"/>
      <x:c r="W222" s="4" t="n">
        <x:f>IF('계산 과정'!$C$77,('계산 과정'!$D$56+'계산 과정'!$D$57*('계산 과정'!$L$11*COS(216*2*PI()/240))+'계산 과정'!$D$58*('계산 과정'!$L$11*SIN(216*2*PI()/240)))/('계산 과정'!$D$59+'계산 과정'!$D$60*('계산 과정'!$L$11*COS(216*2*PI()/240))+'계산 과정'!$D$61*('계산 과정'!$L$11*SIN(216*2*PI()/240))),"")</x:f>
        <x:v>159.69716735588977</x:v>
      </x:c>
      <x:c r="X222" s="4" t="n">
        <x:f>IF('계산 과정'!$C$77,('계산 과정'!$E$56+'계산 과정'!$E$57*('계산 과정'!$L$11*COS(216*2*PI()/240))+'계산 과정'!$E$58*('계산 과정'!$L$11*SIN(216*2*PI()/240)))/('계산 과정'!$E$59+'계산 과정'!$E$60*('계산 과정'!$L$11*COS(216*2*PI()/240))+'계산 과정'!$E$61*('계산 과정'!$L$11*SIN(216*2*PI()/240))),"")</x:f>
        <x:v>-164.086651087332</x:v>
      </x:c>
      <x:c r="Y222" s="4" t="str">
        <x:f>""</x:f>
      </x:c>
      <x:c r="Z222" s="4" t="str">
        <x:f>""</x:f>
      </x:c>
    </x:row>
    <x:row r="223" ht="23" customHeight="1">
      <x:c r="A223" s="17" t="n">
        <x:f>ROW()-6</x:f>
        <x:v>217</x:v>
      </x:c>
      <x:c r="B223" s="4" t="n">
        <x:f>IF('계산 과정'!$L$5,'계산 과정'!$L$11*SQRT((A223+0.5)/'계산 과정'!$L$30),"")</x:f>
        <x:v>48.88278190925205</x:v>
      </x:c>
      <x:c r="C223" s="4" t="n">
        <x:f>A223*PI()*(3-SQRT(5))</x:f>
        <x:v>520.7920208511176</x:v>
      </x:c>
      <x:c r="D223" s="4" t="n">
        <x:f>IF('계산 과정'!$L$5,B223*COS(C223),"")</x:f>
        <x:v>36.99554863919159</x:v>
      </x:c>
      <x:c r="E223" s="4" t="n">
        <x:f>IF('계산 과정'!$L$5,B223*SIN(C223),"")</x:f>
        <x:v>-31.95083329230568</x:v>
      </x:c>
      <x:c r="F223" s="4" t="n">
        <x:f>IF('계산 과정'!$L$7,'계산 과정'!$L$22+'계산 과정'!$C$49*D223+'계산 과정'!$D$49*E223,"")</x:f>
        <x:v>623.8401966835108</x:v>
      </x:c>
      <x:c r="G223" s="4" t="n">
        <x:f>IF('계산 과정'!$L$7,IF(ABS(F223)&gt;=1E-12*MAX(1,SQRT((D223-'계산 과정'!$C$33)^2+(E223-'계산 과정'!$D$33)^2+'계산 과정'!$E$33^2)),('계산 과정'!$L$23-'계산 과정'!$C$49*D223-'계산 과정'!$D$49*E223)/F223,""),"")</x:f>
        <x:v>0.683123347264348</x:v>
      </x:c>
      <x:c r="H223" s="4" t="n">
        <x:f>IF(AND(ISNUMBER(G223),G223&gt;0),('계산 과정'!$D$56+'계산 과정'!$D$57*D223+'계산 과정'!$D$58*E223)/F223,"")</x:f>
        <x:v>44.03017572182606</x:v>
      </x:c>
      <x:c r="I223" s="4" t="n">
        <x:f>IF(AND(ISNUMBER(G223),G223&gt;0),('계산 과정'!$E$56+'계산 과정'!$E$57*D223+'계산 과정'!$E$58*E223)/F223,"")</x:f>
        <x:v>-53.77719347883071</x:v>
      </x:c>
      <x:c r="J223" s="4" t="n">
        <x:f>IF('계산 과정'!$L$5,'계산 과정'!$D$6+'계산 과정'!$C$35*D223+'계산 과정'!$D$35*E223,"")</x:f>
        <x:v>623.8401966835108</x:v>
      </x:c>
      <x:c r="K223" s="4" t="n">
        <x:f>IF(AND('계산 과정'!$L$6,J223&gt;0),'계산 과정'!$D$10*('계산 과정'!$C$38*(D223-'계산 과정'!$C$32)+'계산 과정'!$D$38*(E223-'계산 과정'!$D$32)-'계산 과정'!$E$38*'계산 과정'!$E$32)/J223,"")</x:f>
        <x:v>0.3354680054996284</x:v>
      </x:c>
      <x:c r="L223" s="4" t="n">
        <x:f>IF(AND('계산 과정'!$L$6,J223&gt;0),'계산 과정'!$D$10*('계산 과정'!$C$39*(D223-'계산 과정'!$C$32)+'계산 과정'!$D$39*(E223-'계산 과정'!$D$32)-'계산 과정'!$E$39*'계산 과정'!$E$32)/J223,"")</x:f>
        <x:v>-0.40973099793394824</x:v>
      </x:c>
      <x:c r="M223" s="17" t="n">
        <x:f>IF('계산 과정'!$L$6,IF(J223&lt;=0,0,IF(AND(ABS(K223)&lt;='계산 과정'!$D$11/2,ABS(L223)&lt;='계산 과정'!$D$12/2),1,0)),"")</x:f>
        <x:v>1</x:v>
      </x:c>
      <x:c r="N223" s="17" t="n">
        <x:f>IF('계산 과정'!$C$78,IF(AND(ISNUMBER(H223),ISNUMBER(I223),ABS(H223-'계산 과정'!$C$88)&lt;='계산 과정'!$D$23/2,ABS(I223-'계산 과정'!$C$89)&lt;='계산 과정'!$D$24/2),1,0),"")</x:f>
        <x:v>1</x:v>
      </x:c>
      <x:c r="O223" s="4" t="n">
        <x:f>IF('계산 과정'!$L$7,'계산 과정'!$C$49*('계산 과정'!$C$32-D223)+'계산 과정'!$D$49*('계산 과정'!$D$32-E223)+'계산 과정'!$E$49*'계산 과정'!$E$32,"")</x:f>
        <x:v>26.159803316489274</x:v>
      </x:c>
      <x:c r="P223" s="4" t="n">
        <x:f>IF(AND('계산 과정'!$L$7,O223&lt;&gt;0),('계산 과정'!$L$23-'계산 과정'!$C$49*D223-'계산 과정'!$D$49*E223)/O223,"")</x:f>
        <x:v>16.290634840051275</x:v>
      </x:c>
      <x:c r="Q223" s="4" t="str">
        <x:f>IF(AND(ISNUMBER(P223),P223&gt;1E-9,P223&lt;1-1E-9),'계산 과정'!$C$47*(D223-'계산 과정'!$C$50+P223*('계산 과정'!$C$32-D223))+'계산 과정'!$D$47*(E223-'계산 과정'!$D$50+P223*('계산 과정'!$D$32-E223))+'계산 과정'!$E$47*(0-'계산 과정'!$E$50+P223*('계산 과정'!$E$32-0)),"")</x:f>
      </x:c>
      <x:c r="R223" s="4" t="str">
        <x:f>IF(AND(ISNUMBER(P223),P223&gt;1E-9,P223&lt;1-1E-9),'계산 과정'!$C$48*(D223-'계산 과정'!$C$50+P223*('계산 과정'!$C$32-D223))+'계산 과정'!$D$48*(E223-'계산 과정'!$D$50+P223*('계산 과정'!$D$32-E223))+'계산 과정'!$E$48*(0-'계산 과정'!$E$50+P223*('계산 과정'!$E$32-0)),"")</x:f>
      </x:c>
      <x:c r="S223" s="17" t="n">
        <x:f>IF('계산 과정'!$C$78,IF(AND(ISNUMBER(Q223),ISNUMBER(R223),ABS(Q223-'계산 과정'!$C$88)&lt;='계산 과정'!$D$23/2,ABS(R223-'계산 과정'!$C$89)&lt;='계산 과정'!$D$24/2),1,0),"")</x:f>
        <x:v>0</x:v>
      </x:c>
      <x:c r="T223" s="4"/>
      <x:c r="U223" s="4"/>
      <x:c r="V223" s="4"/>
      <x:c r="W223" s="4" t="n">
        <x:f>IF('계산 과정'!$C$77,('계산 과정'!$D$56+'계산 과정'!$D$57*('계산 과정'!$L$11*COS(217*2*PI()/240))+'계산 과정'!$D$58*('계산 과정'!$L$11*SIN(217*2*PI()/240)))/('계산 과정'!$D$59+'계산 과정'!$D$60*('계산 과정'!$L$11*COS(217*2*PI()/240))+'계산 과정'!$D$61*('계산 과정'!$L$11*SIN(217*2*PI()/240))),"")</x:f>
        <x:v>163.14307471214644</x:v>
      </x:c>
      <x:c r="X223" s="4" t="n">
        <x:f>IF('계산 과정'!$C$77,('계산 과정'!$E$56+'계산 과정'!$E$57*('계산 과정'!$L$11*COS(217*2*PI()/240))+'계산 과정'!$E$58*('계산 과정'!$L$11*SIN(217*2*PI()/240)))/('계산 과정'!$E$59+'계산 과정'!$E$60*('계산 과정'!$L$11*COS(217*2*PI()/240))+'계산 과정'!$E$61*('계산 과정'!$L$11*SIN(217*2*PI()/240))),"")</x:f>
        <x:v>-158.568877799799</x:v>
      </x:c>
      <x:c r="Y223" s="4" t="str">
        <x:f>""</x:f>
      </x:c>
      <x:c r="Z223" s="4" t="str">
        <x:f>""</x:f>
      </x:c>
    </x:row>
    <x:row r="224" ht="23" customHeight="1">
      <x:c r="A224" s="17" t="n">
        <x:f>ROW()-6</x:f>
        <x:v>218</x:v>
      </x:c>
      <x:c r="B224" s="4" t="n">
        <x:f>IF('계산 과정'!$L$5,'계산 과정'!$L$11*SQRT((A224+0.5)/'계산 과정'!$L$30),"")</x:f>
        <x:v>48.99502725085986</x:v>
      </x:c>
      <x:c r="C224" s="4" t="n">
        <x:f>A224*PI()*(3-SQRT(5))</x:f>
        <x:v>523.1919840808463</x:v>
      </x:c>
      <x:c r="D224" s="4" t="n">
        <x:f>IF('계산 과정'!$L$5,B224*COS(C224),"")</x:f>
        <x:v>-5.709969687944093</x:v>
      </x:c>
      <x:c r="E224" s="4" t="n">
        <x:f>IF('계산 과정'!$L$5,B224*SIN(C224),"")</x:f>
        <x:v>48.661164612812755</x:v>
      </x:c>
      <x:c r="F224" s="4" t="n">
        <x:f>IF('계산 과정'!$L$7,'계산 과정'!$L$22+'계산 과정'!$C$49*D224+'계산 과정'!$D$49*E224,"")</x:f>
        <x:v>654.0375582867149</x:v>
      </x:c>
      <x:c r="G224" s="4" t="n">
        <x:f>IF('계산 과정'!$L$7,IF(ABS(F224)&gt;=1E-12*MAX(1,SQRT((D224-'계산 과정'!$C$33)^2+(E224-'계산 과정'!$D$33)^2+'계산 과정'!$E$33^2)),('계산 과정'!$L$23-'계산 과정'!$C$49*D224-'계산 과정'!$D$49*E224)/F224,""),"")</x:f>
        <x:v>0.6054123906133604</x:v>
      </x:c>
      <x:c r="H224" s="4" t="n">
        <x:f>IF(AND(ISNUMBER(G224),G224&gt;0),('계산 과정'!$D$56+'계산 과정'!$D$57*D224+'계산 과정'!$D$58*E224)/F224,"")</x:f>
        <x:v>-6.48194610131587</x:v>
      </x:c>
      <x:c r="I224" s="4" t="n">
        <x:f>IF(AND(ISNUMBER(G224),G224&gt;0),('계산 과정'!$E$56+'계산 과정'!$E$57*D224+'계산 과정'!$E$58*E224)/F224,"")</x:f>
        <x:v>78.12123661108598</x:v>
      </x:c>
      <x:c r="J224" s="4" t="n">
        <x:f>IF('계산 과정'!$L$5,'계산 과정'!$D$6+'계산 과정'!$C$35*D224+'계산 과정'!$D$35*E224,"")</x:f>
        <x:v>654.0375582867149</x:v>
      </x:c>
      <x:c r="K224" s="4" t="n">
        <x:f>IF(AND('계산 과정'!$L$6,J224&gt;0),'계산 과정'!$D$10*('계산 과정'!$C$38*(D224-'계산 과정'!$C$32)+'계산 과정'!$D$38*(E224-'계산 과정'!$D$32)-'계산 과정'!$E$38*'계산 과정'!$E$32)/J224,"")</x:f>
        <x:v>-0.04938625601002474</x:v>
      </x:c>
      <x:c r="L224" s="4" t="n">
        <x:f>IF(AND('계산 과정'!$L$6,J224&gt;0),'계산 과정'!$D$10*('계산 과정'!$C$39*(D224-'계산 과정'!$C$32)+'계산 과정'!$D$39*(E224-'계산 과정'!$D$32)-'계산 과정'!$E$39*'계산 과정'!$E$32)/J224,"")</x:f>
        <x:v>0.5952094217987504</x:v>
      </x:c>
      <x:c r="M224" s="17" t="n">
        <x:f>IF('계산 과정'!$L$6,IF(J224&lt;=0,0,IF(AND(ABS(K224)&lt;='계산 과정'!$D$11/2,ABS(L224)&lt;='계산 과정'!$D$12/2),1,0)),"")</x:f>
        <x:v>1</x:v>
      </x:c>
      <x:c r="N224" s="17" t="n">
        <x:f>IF('계산 과정'!$C$78,IF(AND(ISNUMBER(H224),ISNUMBER(I224),ABS(H224-'계산 과정'!$C$88)&lt;='계산 과정'!$D$23/2,ABS(I224-'계산 과정'!$C$89)&lt;='계산 과정'!$D$24/2),1,0),"")</x:f>
        <x:v>1</x:v>
      </x:c>
      <x:c r="O224" s="4" t="n">
        <x:f>IF('계산 과정'!$L$7,'계산 과정'!$C$49*('계산 과정'!$C$32-D224)+'계산 과정'!$D$49*('계산 과정'!$D$32-E224)+'계산 과정'!$E$49*'계산 과정'!$E$32,"")</x:f>
        <x:v>-4.037558286714784</x:v>
      </x:c>
      <x:c r="P224" s="4" t="n">
        <x:f>IF(AND('계산 과정'!$L$7,O224&lt;&gt;0),('계산 과정'!$L$23-'계산 과정'!$C$49*D224-'계산 과정'!$D$49*E224)/O224,"")</x:f>
        <x:v>-98.06977722554824</x:v>
      </x:c>
      <x:c r="Q224" s="4" t="str">
        <x:f>IF(AND(ISNUMBER(P224),P224&gt;1E-9,P224&lt;1-1E-9),'계산 과정'!$C$47*(D224-'계산 과정'!$C$50+P224*('계산 과정'!$C$32-D224))+'계산 과정'!$D$47*(E224-'계산 과정'!$D$50+P224*('계산 과정'!$D$32-E224))+'계산 과정'!$E$47*(0-'계산 과정'!$E$50+P224*('계산 과정'!$E$32-0)),"")</x:f>
      </x:c>
      <x:c r="R224" s="4" t="str">
        <x:f>IF(AND(ISNUMBER(P224),P224&gt;1E-9,P224&lt;1-1E-9),'계산 과정'!$C$48*(D224-'계산 과정'!$C$50+P224*('계산 과정'!$C$32-D224))+'계산 과정'!$D$48*(E224-'계산 과정'!$D$50+P224*('계산 과정'!$D$32-E224))+'계산 과정'!$E$48*(0-'계산 과정'!$E$50+P224*('계산 과정'!$E$32-0)),"")</x:f>
      </x:c>
      <x:c r="S224" s="17" t="n">
        <x:f>IF('계산 과정'!$C$78,IF(AND(ISNUMBER(Q224),ISNUMBER(R224),ABS(Q224-'계산 과정'!$C$88)&lt;='계산 과정'!$D$23/2,ABS(R224-'계산 과정'!$C$89)&lt;='계산 과정'!$D$24/2),1,0),"")</x:f>
        <x:v>0</x:v>
      </x:c>
      <x:c r="T224" s="4"/>
      <x:c r="U224" s="4"/>
      <x:c r="V224" s="4"/>
      <x:c r="W224" s="4" t="n">
        <x:f>IF('계산 과정'!$C$77,('계산 과정'!$D$56+'계산 과정'!$D$57*('계산 과정'!$L$11*COS(218*2*PI()/240))+'계산 과정'!$D$58*('계산 과정'!$L$11*SIN(218*2*PI()/240)))/('계산 과정'!$D$59+'계산 과정'!$D$60*('계산 과정'!$L$11*COS(218*2*PI()/240))+'계산 과정'!$D$61*('계산 과정'!$L$11*SIN(218*2*PI()/240))),"")</x:f>
        <x:v>166.4787621753748</x:v>
      </x:c>
      <x:c r="X224" s="4" t="n">
        <x:f>IF('계산 과정'!$C$77,('계산 과정'!$E$56+'계산 과정'!$E$57*('계산 과정'!$L$11*COS(218*2*PI()/240))+'계산 과정'!$E$58*('계산 과정'!$L$11*SIN(218*2*PI()/240)))/('계산 과정'!$E$59+'계산 과정'!$E$60*('계산 과정'!$L$11*COS(218*2*PI()/240))+'계산 과정'!$E$61*('계산 과정'!$L$11*SIN(218*2*PI()/240))),"")</x:f>
        <x:v>-152.89426595710881</x:v>
      </x:c>
      <x:c r="Y224" s="4" t="str">
        <x:f>""</x:f>
      </x:c>
      <x:c r="Z224" s="4" t="str">
        <x:f>""</x:f>
      </x:c>
    </x:row>
    <x:row r="225" ht="23" customHeight="1">
      <x:c r="A225" s="17" t="n">
        <x:f>ROW()-6</x:f>
        <x:v>219</x:v>
      </x:c>
      <x:c r="B225" s="4" t="n">
        <x:f>IF('계산 과정'!$L$5,'계산 과정'!$L$11*SQRT((A225+0.5)/'계산 과정'!$L$30),"")</x:f>
        <x:v>49.107016030680384</x:v>
      </x:c>
      <x:c r="C225" s="4" t="n">
        <x:f>A225*PI()*(3-SQRT(5))</x:f>
        <x:v>525.591947310575</x:v>
      </x:c>
      <x:c r="D225" s="4" t="n">
        <x:f>IF('계산 과정'!$L$5,B225*COS(C225),"")</x:f>
        <x:v>-28.725298638698042</x:v>
      </x:c>
      <x:c r="E225" s="4" t="n">
        <x:f>IF('계산 과정'!$L$5,B225*SIN(C225),"")</x:f>
        <x:v>-39.82908788254023</x:v>
      </x:c>
      <x:c r="F225" s="4" t="n">
        <x:f>IF('계산 과정'!$L$7,'계산 과정'!$L$22+'계산 과정'!$C$49*D225+'계산 과정'!$D$49*E225,"")</x:f>
        <x:v>670.3118534590321</x:v>
      </x:c>
      <x:c r="G225" s="4" t="n">
        <x:f>IF('계산 과정'!$L$7,IF(ABS(F225)&gt;=1E-12*MAX(1,SQRT((D225-'계산 과정'!$C$33)^2+(E225-'계산 과정'!$D$33)^2+'계산 과정'!$E$33^2)),('계산 과정'!$L$23-'계산 과정'!$C$49*D225-'계산 과정'!$D$49*E225)/F225,""),"")</x:f>
        <x:v>0.566435077317596</x:v>
      </x:c>
      <x:c r="H225" s="4" t="n">
        <x:f>IF(AND(ISNUMBER(G225),G225&gt;0),('계산 과정'!$D$56+'계산 과정'!$D$57*D225+'계산 과정'!$D$58*E225)/F225,"")</x:f>
        <x:v>-31.817199743562725</x:v>
      </x:c>
      <x:c r="I225" s="4" t="n">
        <x:f>IF(AND(ISNUMBER(G225),G225&gt;0),('계산 과정'!$E$56+'계산 과정'!$E$57*D225+'계산 과정'!$E$58*E225)/F225,"")</x:f>
        <x:v>-62.389680356776225</x:v>
      </x:c>
      <x:c r="J225" s="4" t="n">
        <x:f>IF('계산 과정'!$L$5,'계산 과정'!$D$6+'계산 과정'!$C$35*D225+'계산 과정'!$D$35*E225,"")</x:f>
        <x:v>670.3118534590321</x:v>
      </x:c>
      <x:c r="K225" s="4" t="n">
        <x:f>IF(AND('계산 과정'!$L$6,J225&gt;0),'계산 과정'!$D$10*('계산 과정'!$C$38*(D225-'계산 과정'!$C$32)+'계산 과정'!$D$38*(E225-'계산 과정'!$D$32)-'계산 과정'!$E$38*'계산 과정'!$E$32)/J225,"")</x:f>
        <x:v>-0.24241675995095308</x:v>
      </x:c>
      <x:c r="L225" s="4" t="n">
        <x:f>IF(AND('계산 과정'!$L$6,J225&gt;0),'계산 과정'!$D$10*('계산 과정'!$C$39*(D225-'계산 과정'!$C$32)+'계산 과정'!$D$39*(E225-'계산 과정'!$D$32)-'계산 과정'!$E$39*'계산 과정'!$E$32)/J225,"")</x:f>
        <x:v>-0.4753499455754379</x:v>
      </x:c>
      <x:c r="M225" s="17" t="n">
        <x:f>IF('계산 과정'!$L$6,IF(J225&lt;=0,0,IF(AND(ABS(K225)&lt;='계산 과정'!$D$11/2,ABS(L225)&lt;='계산 과정'!$D$12/2),1,0)),"")</x:f>
        <x:v>1</x:v>
      </x:c>
      <x:c r="N225" s="17" t="n">
        <x:f>IF('계산 과정'!$C$78,IF(AND(ISNUMBER(H225),ISNUMBER(I225),ABS(H225-'계산 과정'!$C$88)&lt;='계산 과정'!$D$23/2,ABS(I225-'계산 과정'!$C$89)&lt;='계산 과정'!$D$24/2),1,0),"")</x:f>
        <x:v>1</x:v>
      </x:c>
      <x:c r="O225" s="4" t="n">
        <x:f>IF('계산 과정'!$L$7,'계산 과정'!$C$49*('계산 과정'!$C$32-D225)+'계산 과정'!$D$49*('계산 과정'!$D$32-E225)+'계산 과정'!$E$49*'계산 과정'!$E$32,"")</x:f>
        <x:v>-20.311853459031965</x:v>
      </x:c>
      <x:c r="P225" s="4" t="n">
        <x:f>IF(AND('계산 과정'!$L$7,O225&lt;&gt;0),('계산 과정'!$L$23-'계산 과정'!$C$49*D225-'계산 과정'!$D$49*E225)/O225,"")</x:f>
        <x:v>-18.69293451268643</x:v>
      </x:c>
      <x:c r="Q225" s="4" t="str">
        <x:f>IF(AND(ISNUMBER(P225),P225&gt;1E-9,P225&lt;1-1E-9),'계산 과정'!$C$47*(D225-'계산 과정'!$C$50+P225*('계산 과정'!$C$32-D225))+'계산 과정'!$D$47*(E225-'계산 과정'!$D$50+P225*('계산 과정'!$D$32-E225))+'계산 과정'!$E$47*(0-'계산 과정'!$E$50+P225*('계산 과정'!$E$32-0)),"")</x:f>
      </x:c>
      <x:c r="R225" s="4" t="str">
        <x:f>IF(AND(ISNUMBER(P225),P225&gt;1E-9,P225&lt;1-1E-9),'계산 과정'!$C$48*(D225-'계산 과정'!$C$50+P225*('계산 과정'!$C$32-D225))+'계산 과정'!$D$48*(E225-'계산 과정'!$D$50+P225*('계산 과정'!$D$32-E225))+'계산 과정'!$E$48*(0-'계산 과정'!$E$50+P225*('계산 과정'!$E$32-0)),"")</x:f>
      </x:c>
      <x:c r="S225" s="17" t="n">
        <x:f>IF('계산 과정'!$C$78,IF(AND(ISNUMBER(Q225),ISNUMBER(R225),ABS(Q225-'계산 과정'!$C$88)&lt;='계산 과정'!$D$23/2,ABS(R225-'계산 과정'!$C$89)&lt;='계산 과정'!$D$24/2),1,0),"")</x:f>
        <x:v>0</x:v>
      </x:c>
      <x:c r="T225" s="4"/>
      <x:c r="U225" s="4"/>
      <x:c r="V225" s="4"/>
      <x:c r="W225" s="4" t="n">
        <x:f>IF('계산 과정'!$C$77,('계산 과정'!$D$56+'계산 과정'!$D$57*('계산 과정'!$L$11*COS(219*2*PI()/240))+'계산 과정'!$D$58*('계산 과정'!$L$11*SIN(219*2*PI()/240)))/('계산 과정'!$D$59+'계산 과정'!$D$60*('계산 과정'!$L$11*COS(219*2*PI()/240))+'계산 과정'!$D$61*('계산 과정'!$L$11*SIN(219*2*PI()/240))),"")</x:f>
        <x:v>169.69994221447155</x:v>
      </x:c>
      <x:c r="X225" s="4" t="n">
        <x:f>IF('계산 과정'!$C$77,('계산 과정'!$E$56+'계산 과정'!$E$57*('계산 과정'!$L$11*COS(219*2*PI()/240))+'계산 과정'!$E$58*('계산 과정'!$L$11*SIN(219*2*PI()/240)))/('계산 과정'!$E$59+'계산 과정'!$E$60*('계산 과정'!$L$11*COS(219*2*PI()/240))+'계산 과정'!$E$61*('계산 과정'!$L$11*SIN(219*2*PI()/240))),"")</x:f>
        <x:v>-147.06726212104317</x:v>
      </x:c>
      <x:c r="Y225" s="4" t="str">
        <x:f>""</x:f>
      </x:c>
      <x:c r="Z225" s="4" t="str">
        <x:f>""</x:f>
      </x:c>
    </x:row>
    <x:row r="226" ht="23" customHeight="1">
      <x:c r="A226" s="17" t="n">
        <x:f>ROW()-6</x:f>
        <x:v>220</x:v>
      </x:c>
      <x:c r="B226" s="4" t="n">
        <x:f>IF('계산 과정'!$L$5,'계산 과정'!$L$11*SQRT((A226+0.5)/'계산 과정'!$L$30),"")</x:f>
        <x:v>49.21875</x:v>
      </x:c>
      <x:c r="C226" s="4" t="n">
        <x:f>A226*PI()*(3-SQRT(5))</x:f>
        <x:v>527.9919105403037</x:v>
      </x:c>
      <x:c r="D226" s="4" t="n">
        <x:f>IF('계산 과정'!$L$5,B226*COS(C226),"")</x:f>
        <x:v>48.19471277433892</x:v>
      </x:c>
      <x:c r="E226" s="4" t="n">
        <x:f>IF('계산 과정'!$L$5,B226*SIN(C226),"")</x:f>
        <x:v>9.987743096489458</x:v>
      </x:c>
      <x:c r="F226" s="4" t="n">
        <x:f>IF('계산 과정'!$L$7,'계산 과정'!$L$22+'계산 과정'!$C$49*D226+'계산 과정'!$D$49*E226,"")</x:f>
        <x:v>615.9211917799271</x:v>
      </x:c>
      <x:c r="G226" s="4" t="n">
        <x:f>IF('계산 과정'!$L$7,IF(ABS(F226)&gt;=1E-12*MAX(1,SQRT((D226-'계산 과정'!$C$33)^2+(E226-'계산 과정'!$D$33)^2+'계산 과정'!$E$33^2)),('계산 과정'!$L$23-'계산 과정'!$C$49*D226-'계산 과정'!$D$49*E226)/F226,""),"")</x:f>
        <x:v>0.7047635541905048</x:v>
      </x:c>
      <x:c r="H226" s="4" t="n">
        <x:f>IF(AND(ISNUMBER(G226),G226&gt;0),('계산 과정'!$D$56+'계산 과정'!$D$57*D226+'계산 과정'!$D$58*E226)/F226,"")</x:f>
        <x:v>58.09631022382809</x:v>
      </x:c>
      <x:c r="I226" s="4" t="n">
        <x:f>IF(AND(ISNUMBER(G226),G226&gt;0),('계산 과정'!$E$56+'계산 과정'!$E$57*D226+'계산 과정'!$E$58*E226)/F226,"")</x:f>
        <x:v>17.026740419513047</x:v>
      </x:c>
      <x:c r="J226" s="4" t="n">
        <x:f>IF('계산 과정'!$L$5,'계산 과정'!$D$6+'계산 과정'!$C$35*D226+'계산 과정'!$D$35*E226,"")</x:f>
        <x:v>615.9211917799271</x:v>
      </x:c>
      <x:c r="K226" s="4" t="n">
        <x:f>IF(AND('계산 과정'!$L$6,J226&gt;0),'계산 과정'!$D$10*('계산 과정'!$C$38*(D226-'계산 과정'!$C$32)+'계산 과정'!$D$38*(E226-'계산 과정'!$D$32)-'계산 과정'!$E$38*'계산 과정'!$E$32)/J226,"")</x:f>
        <x:v>0.44263855408631003</x:v>
      </x:c>
      <x:c r="L226" s="4" t="n">
        <x:f>IF(AND('계산 과정'!$L$6,J226&gt;0),'계산 과정'!$D$10*('계산 과정'!$C$39*(D226-'계산 과정'!$C$32)+'계산 과정'!$D$39*(E226-'계산 과정'!$D$32)-'계산 과정'!$E$39*'계산 과정'!$E$32)/J226,"")</x:f>
        <x:v>0.12972754605343273</x:v>
      </x:c>
      <x:c r="M226" s="17" t="n">
        <x:f>IF('계산 과정'!$L$6,IF(J226&lt;=0,0,IF(AND(ABS(K226)&lt;='계산 과정'!$D$11/2,ABS(L226)&lt;='계산 과정'!$D$12/2),1,0)),"")</x:f>
        <x:v>1</x:v>
      </x:c>
      <x:c r="N226" s="17" t="n">
        <x:f>IF('계산 과정'!$C$78,IF(AND(ISNUMBER(H226),ISNUMBER(I226),ABS(H226-'계산 과정'!$C$88)&lt;='계산 과정'!$D$23/2,ABS(I226-'계산 과정'!$C$89)&lt;='계산 과정'!$D$24/2),1,0),"")</x:f>
        <x:v>1</x:v>
      </x:c>
      <x:c r="O226" s="4" t="n">
        <x:f>IF('계산 과정'!$L$7,'계산 과정'!$C$49*('계산 과정'!$C$32-D226)+'계산 과정'!$D$49*('계산 과정'!$D$32-E226)+'계산 과정'!$E$49*'계산 과정'!$E$32,"")</x:f>
        <x:v>34.078808220073086</x:v>
      </x:c>
      <x:c r="P226" s="4" t="n">
        <x:f>IF(AND('계산 과정'!$L$7,O226&lt;&gt;0),('계산 과정'!$L$23-'계산 과정'!$C$49*D226-'계산 과정'!$D$49*E226)/O226,"")</x:f>
        <x:v>12.737499663042561</x:v>
      </x:c>
      <x:c r="Q226" s="4" t="str">
        <x:f>IF(AND(ISNUMBER(P226),P226&gt;1E-9,P226&lt;1-1E-9),'계산 과정'!$C$47*(D226-'계산 과정'!$C$50+P226*('계산 과정'!$C$32-D226))+'계산 과정'!$D$47*(E226-'계산 과정'!$D$50+P226*('계산 과정'!$D$32-E226))+'계산 과정'!$E$47*(0-'계산 과정'!$E$50+P226*('계산 과정'!$E$32-0)),"")</x:f>
      </x:c>
      <x:c r="R226" s="4" t="str">
        <x:f>IF(AND(ISNUMBER(P226),P226&gt;1E-9,P226&lt;1-1E-9),'계산 과정'!$C$48*(D226-'계산 과정'!$C$50+P226*('계산 과정'!$C$32-D226))+'계산 과정'!$D$48*(E226-'계산 과정'!$D$50+P226*('계산 과정'!$D$32-E226))+'계산 과정'!$E$48*(0-'계산 과정'!$E$50+P226*('계산 과정'!$E$32-0)),"")</x:f>
      </x:c>
      <x:c r="S226" s="17" t="n">
        <x:f>IF('계산 과정'!$C$78,IF(AND(ISNUMBER(Q226),ISNUMBER(R226),ABS(Q226-'계산 과정'!$C$88)&lt;='계산 과정'!$D$23/2,ABS(R226-'계산 과정'!$C$89)&lt;='계산 과정'!$D$24/2),1,0),"")</x:f>
        <x:v>0</x:v>
      </x:c>
      <x:c r="T226" s="4"/>
      <x:c r="U226" s="4"/>
      <x:c r="V226" s="4"/>
      <x:c r="W226" s="4" t="n">
        <x:f>IF('계산 과정'!$C$77,('계산 과정'!$D$56+'계산 과정'!$D$57*('계산 과정'!$L$11*COS(220*2*PI()/240))+'계산 과정'!$D$58*('계산 과정'!$L$11*SIN(220*2*PI()/240)))/('계산 과정'!$D$59+'계산 과정'!$D$60*('계산 과정'!$L$11*COS(220*2*PI()/240))+'계산 과정'!$D$61*('계산 과정'!$L$11*SIN(220*2*PI()/240))),"")</x:f>
        <x:v>172.8024225916545</x:v>
      </x:c>
      <x:c r="X226" s="4" t="n">
        <x:f>IF('계산 과정'!$C$77,('계산 과정'!$E$56+'계산 과정'!$E$57*('계산 과정'!$L$11*COS(220*2*PI()/240))+'계산 과정'!$E$58*('계산 과정'!$L$11*SIN(220*2*PI()/240)))/('계산 과정'!$E$59+'계산 과정'!$E$60*('계산 과정'!$L$11*COS(220*2*PI()/240))+'계산 과정'!$E$61*('계산 과정'!$L$11*SIN(220*2*PI()/240))),"")</x:f>
        <x:v>-141.09258722211388</x:v>
      </x:c>
      <x:c r="Y226" s="4" t="str">
        <x:f>""</x:f>
      </x:c>
      <x:c r="Z226" s="4" t="str">
        <x:f>""</x:f>
      </x:c>
    </x:row>
    <x:row r="227" ht="23" customHeight="1">
      <x:c r="A227" s="17" t="n">
        <x:f>ROW()-6</x:f>
        <x:v>221</x:v>
      </x:c>
      <x:c r="B227" s="4" t="n">
        <x:f>IF('계산 과정'!$L$5,'계산 과정'!$L$11*SQRT((A227+0.5)/'계산 과정'!$L$30),"")</x:f>
        <x:v>49.33023089027153</x:v>
      </x:c>
      <x:c r="C227" s="4" t="n">
        <x:f>A227*PI()*(3-SQRT(5))</x:f>
        <x:v>530.3918737700324</x:v>
      </x:c>
      <x:c r="D227" s="4" t="n">
        <x:f>IF('계산 과정'!$L$5,B227*COS(C227),"")</x:f>
        <x:v>-42.37967821750404</x:v>
      </x:c>
      <x:c r="E227" s="4" t="n">
        <x:f>IF('계산 과정'!$L$5,B227*SIN(C227),"")</x:f>
        <x:v>25.247466286111024</x:v>
      </x:c>
      <x:c r="F227" s="4" t="n">
        <x:f>IF('계산 과정'!$L$7,'계산 과정'!$L$22+'계산 과정'!$C$49*D227+'계산 과정'!$D$49*E227,"")</x:f>
        <x:v>679.9669578521009</x:v>
      </x:c>
      <x:c r="G227" s="4" t="n">
        <x:f>IF('계산 과정'!$L$7,IF(ABS(F227)&gt;=1E-12*MAX(1,SQRT((D227-'계산 과정'!$C$33)^2+(E227-'계산 과정'!$D$33)^2+'계산 과정'!$E$33^2)),('계산 과정'!$L$23-'계산 과정'!$C$49*D227-'계산 과정'!$D$49*E227)/F227,""),"")</x:f>
        <x:v>0.5441926815337764</x:v>
      </x:c>
      <x:c r="H227" s="4" t="n">
        <x:f>IF(AND(ISNUMBER(G227),G227&gt;0),('계산 과정'!$D$56+'계산 과정'!$D$57*D227+'계산 과정'!$D$58*E227)/F227,"")</x:f>
        <x:v>-46.2747570030455</x:v>
      </x:c>
      <x:c r="I227" s="4" t="n">
        <x:f>IF(AND(ISNUMBER(G227),G227&gt;0),('계산 과정'!$E$56+'계산 과정'!$E$57*D227+'계산 과정'!$E$58*E227)/F227,"")</x:f>
        <x:v>38.98695266628339</x:v>
      </x:c>
      <x:c r="J227" s="4" t="n">
        <x:f>IF('계산 과정'!$L$5,'계산 과정'!$D$6+'계산 과정'!$C$35*D227+'계산 과정'!$D$35*E227,"")</x:f>
        <x:v>679.9669578521009</x:v>
      </x:c>
      <x:c r="K227" s="4" t="n">
        <x:f>IF(AND('계산 과정'!$L$6,J227&gt;0),'계산 과정'!$D$10*('계산 과정'!$C$38*(D227-'계산 과정'!$C$32)+'계산 과정'!$D$38*(E227-'계산 과정'!$D$32)-'계산 과정'!$E$38*'계산 과정'!$E$32)/J227,"")</x:f>
        <x:v>-0.3525695771660598</x:v>
      </x:c>
      <x:c r="L227" s="4" t="n">
        <x:f>IF(AND('계산 과정'!$L$6,J227&gt;0),'계산 과정'!$D$10*('계산 과정'!$C$39*(D227-'계산 과정'!$C$32)+'계산 과정'!$D$39*(E227-'계산 과정'!$D$32)-'계산 과정'!$E$39*'계산 과정'!$E$32)/J227,"")</x:f>
        <x:v>0.29704344888596873</x:v>
      </x:c>
      <x:c r="M227" s="17" t="n">
        <x:f>IF('계산 과정'!$L$6,IF(J227&lt;=0,0,IF(AND(ABS(K227)&lt;='계산 과정'!$D$11/2,ABS(L227)&lt;='계산 과정'!$D$12/2),1,0)),"")</x:f>
        <x:v>1</x:v>
      </x:c>
      <x:c r="N227" s="17" t="n">
        <x:f>IF('계산 과정'!$C$78,IF(AND(ISNUMBER(H227),ISNUMBER(I227),ABS(H227-'계산 과정'!$C$88)&lt;='계산 과정'!$D$23/2,ABS(I227-'계산 과정'!$C$89)&lt;='계산 과정'!$D$24/2),1,0),"")</x:f>
        <x:v>1</x:v>
      </x:c>
      <x:c r="O227" s="4" t="n">
        <x:f>IF('계산 과정'!$L$7,'계산 과정'!$C$49*('계산 과정'!$C$32-D227)+'계산 과정'!$D$49*('계산 과정'!$D$32-E227)+'계산 과정'!$E$49*'계산 과정'!$E$32,"")</x:f>
        <x:v>-29.96695785210079</x:v>
      </x:c>
      <x:c r="P227" s="4" t="n">
        <x:f>IF(AND('계산 과정'!$L$7,O227&lt;&gt;0),('계산 과정'!$L$23-'계산 과정'!$C$49*D227-'계산 과정'!$D$49*E227)/O227,"")</x:f>
        <x:v>-12.34803492480497</x:v>
      </x:c>
      <x:c r="Q227" s="4" t="str">
        <x:f>IF(AND(ISNUMBER(P227),P227&gt;1E-9,P227&lt;1-1E-9),'계산 과정'!$C$47*(D227-'계산 과정'!$C$50+P227*('계산 과정'!$C$32-D227))+'계산 과정'!$D$47*(E227-'계산 과정'!$D$50+P227*('계산 과정'!$D$32-E227))+'계산 과정'!$E$47*(0-'계산 과정'!$E$50+P227*('계산 과정'!$E$32-0)),"")</x:f>
      </x:c>
      <x:c r="R227" s="4" t="str">
        <x:f>IF(AND(ISNUMBER(P227),P227&gt;1E-9,P227&lt;1-1E-9),'계산 과정'!$C$48*(D227-'계산 과정'!$C$50+P227*('계산 과정'!$C$32-D227))+'계산 과정'!$D$48*(E227-'계산 과정'!$D$50+P227*('계산 과정'!$D$32-E227))+'계산 과정'!$E$48*(0-'계산 과정'!$E$50+P227*('계산 과정'!$E$32-0)),"")</x:f>
      </x:c>
      <x:c r="S227" s="17" t="n">
        <x:f>IF('계산 과정'!$C$78,IF(AND(ISNUMBER(Q227),ISNUMBER(R227),ABS(Q227-'계산 과정'!$C$88)&lt;='계산 과정'!$D$23/2,ABS(R227-'계산 과정'!$C$89)&lt;='계산 과정'!$D$24/2),1,0),"")</x:f>
        <x:v>0</x:v>
      </x:c>
      <x:c r="T227" s="4"/>
      <x:c r="U227" s="4"/>
      <x:c r="V227" s="4"/>
      <x:c r="W227" s="4" t="n">
        <x:f>IF('계산 과정'!$C$77,('계산 과정'!$D$56+'계산 과정'!$D$57*('계산 과정'!$L$11*COS(221*2*PI()/240))+'계산 과정'!$D$58*('계산 과정'!$L$11*SIN(221*2*PI()/240)))/('계산 과정'!$D$59+'계산 과정'!$D$60*('계산 과정'!$L$11*COS(221*2*PI()/240))+'계산 과정'!$D$61*('계산 과정'!$L$11*SIN(221*2*PI()/240))),"")</x:f>
        <x:v>175.78211712389427</x:v>
      </x:c>
      <x:c r="X227" s="4" t="n">
        <x:f>IF('계산 과정'!$C$77,('계산 과정'!$E$56+'계산 과정'!$E$57*('계산 과정'!$L$11*COS(221*2*PI()/240))+'계산 과정'!$E$58*('계산 과정'!$L$11*SIN(221*2*PI()/240)))/('계산 과정'!$E$59+'계산 과정'!$E$60*('계산 과정'!$L$11*COS(221*2*PI()/240))+'계산 과정'!$E$61*('계산 과정'!$L$11*SIN(221*2*PI()/240))),"")</x:f>
        <x:v>-134.9752327742852</x:v>
      </x:c>
      <x:c r="Y227" s="4" t="str">
        <x:f>""</x:f>
      </x:c>
      <x:c r="Z227" s="4" t="str">
        <x:f>""</x:f>
      </x:c>
    </x:row>
    <x:row r="228" ht="23" customHeight="1">
      <x:c r="A228" s="17" t="n">
        <x:f>ROW()-6</x:f>
        <x:v>222</x:v>
      </x:c>
      <x:c r="B228" s="4" t="n">
        <x:f>IF('계산 과정'!$L$5,'계산 과정'!$L$11*SQRT((A228+0.5)/'계산 과정'!$L$30),"")</x:f>
        <x:v>49.441460413427315</x:v>
      </x:c>
      <x:c r="C228" s="4" t="n">
        <x:f>A228*PI()*(3-SQRT(5))</x:f>
        <x:v>532.7918369997609</x:v>
      </x:c>
      <x:c r="D228" s="4" t="n">
        <x:f>IF('계산 과정'!$L$5,B228*COS(C228),"")</x:f>
        <x:v>14.227044238818367</x:v>
      </x:c>
      <x:c r="E228" s="4" t="n">
        <x:f>IF('계산 과정'!$L$5,B228*SIN(C228),"")</x:f>
        <x:v>-47.3502821537444</x:v>
      </x:c>
      <x:c r="F228" s="4" t="n">
        <x:f>IF('계산 과정'!$L$7,'계산 과정'!$L$22+'계산 과정'!$C$49*D228+'계산 과정'!$D$49*E228,"")</x:f>
        <x:v>639.9399605424906</x:v>
      </x:c>
      <x:c r="G228" s="4" t="n">
        <x:f>IF('계산 과정'!$L$7,IF(ABS(F228)&gt;=1E-12*MAX(1,SQRT((D228-'계산 과정'!$C$33)^2+(E228-'계산 과정'!$D$33)^2+'계산 과정'!$E$33^2)),('계산 과정'!$L$23-'계산 과정'!$C$49*D228-'계산 과정'!$D$49*E228)/F228,""),"")</x:f>
        <x:v>0.6407789241820325</x:v>
      </x:c>
      <x:c r="H228" s="4" t="n">
        <x:f>IF(AND(ISNUMBER(G228),G228&gt;0),('계산 과정'!$D$56+'계산 과정'!$D$57*D228+'계산 과정'!$D$58*E228)/F228,"")</x:f>
        <x:v>16.506300718321075</x:v>
      </x:c>
      <x:c r="I228" s="4" t="n">
        <x:f>IF(AND(ISNUMBER(G228),G228&gt;0),('계산 과정'!$E$56+'계산 과정'!$E$57*D228+'계산 과정'!$E$58*E228)/F228,"")</x:f>
        <x:v>-77.69134501193643</x:v>
      </x:c>
      <x:c r="J228" s="4" t="n">
        <x:f>IF('계산 과정'!$L$5,'계산 과정'!$D$6+'계산 과정'!$C$35*D228+'계산 과정'!$D$35*E228,"")</x:f>
        <x:v>639.9399605424906</x:v>
      </x:c>
      <x:c r="K228" s="4" t="n">
        <x:f>IF(AND('계산 과정'!$L$6,J228&gt;0),'계산 과정'!$D$10*('계산 과정'!$C$38*(D228-'계산 과정'!$C$32)+'계산 과정'!$D$38*(E228-'계산 과정'!$D$32)-'계산 과정'!$E$38*'계산 과정'!$E$32)/J228,"")</x:f>
        <x:v>0.12576229118720947</x:v>
      </x:c>
      <x:c r="L228" s="4" t="n">
        <x:f>IF(AND('계산 과정'!$L$6,J228&gt;0),'계산 과정'!$D$10*('계산 과정'!$C$39*(D228-'계산 과정'!$C$32)+'계산 과정'!$D$39*(E228-'계산 과정'!$D$32)-'계산 과정'!$E$39*'계산 과정'!$E$32)/J228,"")</x:f>
        <x:v>-0.5919340572338014</x:v>
      </x:c>
      <x:c r="M228" s="17" t="n">
        <x:f>IF('계산 과정'!$L$6,IF(J228&lt;=0,0,IF(AND(ABS(K228)&lt;='계산 과정'!$D$11/2,ABS(L228)&lt;='계산 과정'!$D$12/2),1,0)),"")</x:f>
        <x:v>1</x:v>
      </x:c>
      <x:c r="N228" s="17" t="n">
        <x:f>IF('계산 과정'!$C$78,IF(AND(ISNUMBER(H228),ISNUMBER(I228),ABS(H228-'계산 과정'!$C$88)&lt;='계산 과정'!$D$23/2,ABS(I228-'계산 과정'!$C$89)&lt;='계산 과정'!$D$24/2),1,0),"")</x:f>
        <x:v>1</x:v>
      </x:c>
      <x:c r="O228" s="4" t="n">
        <x:f>IF('계산 과정'!$L$7,'계산 과정'!$C$49*('계산 과정'!$C$32-D228)+'계산 과정'!$D$49*('계산 과정'!$D$32-E228)+'계산 과정'!$E$49*'계산 과정'!$E$32,"")</x:f>
        <x:v>10.060039457509617</x:v>
      </x:c>
      <x:c r="P228" s="4" t="n">
        <x:f>IF(AND('계산 과정'!$L$7,O228&lt;&gt;0),('계산 과정'!$L$23-'계산 과정'!$C$49*D228-'계산 과정'!$D$49*E228)/O228,"")</x:f>
        <x:v>40.76127545915418</x:v>
      </x:c>
      <x:c r="Q228" s="4" t="str">
        <x:f>IF(AND(ISNUMBER(P228),P228&gt;1E-9,P228&lt;1-1E-9),'계산 과정'!$C$47*(D228-'계산 과정'!$C$50+P228*('계산 과정'!$C$32-D228))+'계산 과정'!$D$47*(E228-'계산 과정'!$D$50+P228*('계산 과정'!$D$32-E228))+'계산 과정'!$E$47*(0-'계산 과정'!$E$50+P228*('계산 과정'!$E$32-0)),"")</x:f>
      </x:c>
      <x:c r="R228" s="4" t="str">
        <x:f>IF(AND(ISNUMBER(P228),P228&gt;1E-9,P228&lt;1-1E-9),'계산 과정'!$C$48*(D228-'계산 과정'!$C$50+P228*('계산 과정'!$C$32-D228))+'계산 과정'!$D$48*(E228-'계산 과정'!$D$50+P228*('계산 과정'!$D$32-E228))+'계산 과정'!$E$48*(0-'계산 과정'!$E$50+P228*('계산 과정'!$E$32-0)),"")</x:f>
      </x:c>
      <x:c r="S228" s="17" t="n">
        <x:f>IF('계산 과정'!$C$78,IF(AND(ISNUMBER(Q228),ISNUMBER(R228),ABS(Q228-'계산 과정'!$C$88)&lt;='계산 과정'!$D$23/2,ABS(R228-'계산 과정'!$C$89)&lt;='계산 과정'!$D$24/2),1,0),"")</x:f>
        <x:v>0</x:v>
      </x:c>
      <x:c r="T228" s="4"/>
      <x:c r="U228" s="4"/>
      <x:c r="V228" s="4"/>
      <x:c r="W228" s="4" t="n">
        <x:f>IF('계산 과정'!$C$77,('계산 과정'!$D$56+'계산 과정'!$D$57*('계산 과정'!$L$11*COS(222*2*PI()/240))+'계산 과정'!$D$58*('계산 과정'!$L$11*SIN(222*2*PI()/240)))/('계산 과정'!$D$59+'계산 과정'!$D$60*('계산 과정'!$L$11*COS(222*2*PI()/240))+'계산 과정'!$D$61*('계산 과정'!$L$11*SIN(222*2*PI()/240))),"")</x:f>
        <x:v>178.63505640679188</x:v>
      </x:c>
      <x:c r="X228" s="4" t="n">
        <x:f>IF('계산 과정'!$C$77,('계산 과정'!$E$56+'계산 과정'!$E$57*('계산 과정'!$L$11*COS(222*2*PI()/240))+'계산 과정'!$E$58*('계산 과정'!$L$11*SIN(222*2*PI()/240)))/('계산 과정'!$E$59+'계산 과정'!$E$60*('계산 과정'!$L$11*COS(222*2*PI()/240))+'계산 과정'!$E$61*('계산 과정'!$L$11*SIN(222*2*PI()/240))),"")</x:f>
        <x:v>-128.7204561359183</x:v>
      </x:c>
      <x:c r="Y228" s="4" t="str">
        <x:f>""</x:f>
      </x:c>
      <x:c r="Z228" s="4" t="str">
        <x:f>""</x:f>
      </x:c>
    </x:row>
    <x:row r="229" ht="23" customHeight="1">
      <x:c r="A229" s="17" t="n">
        <x:f>ROW()-6</x:f>
        <x:v>223</x:v>
      </x:c>
      <x:c r="B229" s="4" t="n">
        <x:f>IF('계산 과정'!$L$5,'계산 과정'!$L$11*SQRT((A229+0.5)/'계산 과정'!$L$30),"")</x:f>
        <x:v>49.552440262185875</x:v>
      </x:c>
      <x:c r="C229" s="4" t="n">
        <x:f>A229*PI()*(3-SQRT(5))</x:f>
        <x:v>535.1918002294896</x:v>
      </x:c>
      <x:c r="D229" s="4" t="n">
        <x:f>IF('계산 과정'!$L$5,B229*COS(C229),"")</x:f>
        <x:v>21.542323522377025</x:v>
      </x:c>
      <x:c r="E229" s="4" t="n">
        <x:f>IF('계산 과정'!$L$5,B229*SIN(C229),"")</x:f>
        <x:v>44.62479841069023</x:v>
      </x:c>
      <x:c r="F229" s="4" t="n">
        <x:f>IF('계산 과정'!$L$7,'계산 과정'!$L$22+'계산 과정'!$C$49*D229+'계산 과정'!$D$49*E229,"")</x:f>
        <x:v>634.7672769548127</x:v>
      </x:c>
      <x:c r="G229" s="4" t="n">
        <x:f>IF('계산 과정'!$L$7,IF(ABS(F229)&gt;=1E-12*MAX(1,SQRT((D229-'계산 과정'!$C$33)^2+(E229-'계산 과정'!$D$33)^2+'계산 과정'!$E$33^2)),('계산 과정'!$L$23-'계산 과정'!$C$49*D229-'계산 과정'!$D$49*E229)/F229,""),"")</x:f>
        <x:v>0.654149541288888</x:v>
      </x:c>
      <x:c r="H229" s="4" t="n">
        <x:f>IF(AND(ISNUMBER(G229),G229&gt;0),('계산 과정'!$D$56+'계산 과정'!$D$57*D229+'계산 과정'!$D$58*E229)/F229,"")</x:f>
        <x:v>25.19720183777708</x:v>
      </x:c>
      <x:c r="I229" s="4" t="n">
        <x:f>IF(AND(ISNUMBER(G229),G229&gt;0),('계산 과정'!$E$56+'계산 과정'!$E$57*D229+'계산 과정'!$E$58*E229)/F229,"")</x:f>
        <x:v>73.81608982115235</x:v>
      </x:c>
      <x:c r="J229" s="4" t="n">
        <x:f>IF('계산 과정'!$L$5,'계산 과정'!$D$6+'계산 과정'!$C$35*D229+'계산 과정'!$D$35*E229,"")</x:f>
        <x:v>634.7672769548127</x:v>
      </x:c>
      <x:c r="K229" s="4" t="n">
        <x:f>IF(AND('계산 과정'!$L$6,J229&gt;0),'계산 과정'!$D$10*('계산 과정'!$C$38*(D229-'계산 과정'!$C$32)+'계산 과정'!$D$38*(E229-'계산 과정'!$D$32)-'계산 과정'!$E$38*'계산 과정'!$E$32)/J229,"")</x:f>
        <x:v>0.19197868066877902</x:v>
      </x:c>
      <x:c r="L229" s="4" t="n">
        <x:f>IF(AND('계산 과정'!$L$6,J229&gt;0),'계산 과정'!$D$10*('계산 과정'!$C$39*(D229-'계산 과정'!$C$32)+'계산 과정'!$D$39*(E229-'계산 과정'!$D$32)-'계산 과정'!$E$39*'계산 과정'!$E$32)/J229,"")</x:f>
        <x:v>0.562408303399256</x:v>
      </x:c>
      <x:c r="M229" s="17" t="n">
        <x:f>IF('계산 과정'!$L$6,IF(J229&lt;=0,0,IF(AND(ABS(K229)&lt;='계산 과정'!$D$11/2,ABS(L229)&lt;='계산 과정'!$D$12/2),1,0)),"")</x:f>
        <x:v>1</x:v>
      </x:c>
      <x:c r="N229" s="17" t="n">
        <x:f>IF('계산 과정'!$C$78,IF(AND(ISNUMBER(H229),ISNUMBER(I229),ABS(H229-'계산 과정'!$C$88)&lt;='계산 과정'!$D$23/2,ABS(I229-'계산 과정'!$C$89)&lt;='계산 과정'!$D$24/2),1,0),"")</x:f>
        <x:v>1</x:v>
      </x:c>
      <x:c r="O229" s="4" t="n">
        <x:f>IF('계산 과정'!$L$7,'계산 과정'!$C$49*('계산 과정'!$C$32-D229)+'계산 과정'!$D$49*('계산 과정'!$D$32-E229)+'계산 과정'!$E$49*'계산 과정'!$E$32,"")</x:f>
        <x:v>15.232723045187413</x:v>
      </x:c>
      <x:c r="P229" s="4" t="n">
        <x:f>IF(AND('계산 과정'!$L$7,O229&lt;&gt;0),('계산 과정'!$L$23-'계산 과정'!$C$49*D229-'계산 과정'!$D$49*E229)/O229,"")</x:f>
        <x:v>27.25925770549441</x:v>
      </x:c>
      <x:c r="Q229" s="4" t="str">
        <x:f>IF(AND(ISNUMBER(P229),P229&gt;1E-9,P229&lt;1-1E-9),'계산 과정'!$C$47*(D229-'계산 과정'!$C$50+P229*('계산 과정'!$C$32-D229))+'계산 과정'!$D$47*(E229-'계산 과정'!$D$50+P229*('계산 과정'!$D$32-E229))+'계산 과정'!$E$47*(0-'계산 과정'!$E$50+P229*('계산 과정'!$E$32-0)),"")</x:f>
      </x:c>
      <x:c r="R229" s="4" t="str">
        <x:f>IF(AND(ISNUMBER(P229),P229&gt;1E-9,P229&lt;1-1E-9),'계산 과정'!$C$48*(D229-'계산 과정'!$C$50+P229*('계산 과정'!$C$32-D229))+'계산 과정'!$D$48*(E229-'계산 과정'!$D$50+P229*('계산 과정'!$D$32-E229))+'계산 과정'!$E$48*(0-'계산 과정'!$E$50+P229*('계산 과정'!$E$32-0)),"")</x:f>
      </x:c>
      <x:c r="S229" s="17" t="n">
        <x:f>IF('계산 과정'!$C$78,IF(AND(ISNUMBER(Q229),ISNUMBER(R229),ABS(Q229-'계산 과정'!$C$88)&lt;='계산 과정'!$D$23/2,ABS(R229-'계산 과정'!$C$89)&lt;='계산 과정'!$D$24/2),1,0),"")</x:f>
        <x:v>0</x:v>
      </x:c>
      <x:c r="T229" s="4"/>
      <x:c r="U229" s="4"/>
      <x:c r="V229" s="4"/>
      <x:c r="W229" s="4" t="n">
        <x:f>IF('계산 과정'!$C$77,('계산 과정'!$D$56+'계산 과정'!$D$57*('계산 과정'!$L$11*COS(223*2*PI()/240))+'계산 과정'!$D$58*('계산 과정'!$L$11*SIN(223*2*PI()/240)))/('계산 과정'!$D$59+'계산 과정'!$D$60*('계산 과정'!$L$11*COS(223*2*PI()/240))+'계산 과정'!$D$61*('계산 과정'!$L$11*SIN(223*2*PI()/240))),"")</x:f>
        <x:v>181.35739845178003</x:v>
      </x:c>
      <x:c r="X229" s="4" t="n">
        <x:f>IF('계산 과정'!$C$77,('계산 과정'!$E$56+'계산 과정'!$E$57*('계산 과정'!$L$11*COS(223*2*PI()/240))+'계산 과정'!$E$58*('계산 과정'!$L$11*SIN(223*2*PI()/240)))/('계산 과정'!$E$59+'계산 과정'!$E$60*('계산 과정'!$L$11*COS(223*2*PI()/240))+'계산 과정'!$E$61*('계산 과정'!$L$11*SIN(223*2*PI()/240))),"")</x:f>
        <x:v>-122.33377480857342</x:v>
      </x:c>
      <x:c r="Y229" s="4" t="str">
        <x:f>""</x:f>
      </x:c>
      <x:c r="Z229" s="4" t="str">
        <x:f>""</x:f>
      </x:c>
    </x:row>
    <x:row r="230" ht="23" customHeight="1">
      <x:c r="A230" s="17" t="n">
        <x:f>ROW()-6</x:f>
        <x:v>224</x:v>
      </x:c>
      <x:c r="B230" s="4" t="n">
        <x:f>IF('계산 과정'!$L$5,'계산 과정'!$L$11*SQRT((A230+0.5)/'계산 과정'!$L$30),"")</x:f>
        <x:v>49.663172110352555</x:v>
      </x:c>
      <x:c r="C230" s="4" t="n">
        <x:f>A230*PI()*(3-SQRT(5))</x:f>
        <x:v>537.5917634592182</x:v>
      </x:c>
      <x:c r="D230" s="4" t="n">
        <x:f>IF('계산 과정'!$L$5,B230*COS(C230),"")</x:f>
        <x:v>-46.13111370548559</x:v>
      </x:c>
      <x:c r="E230" s="4" t="n">
        <x:f>IF('계산 과정'!$L$5,B230*SIN(C230),"")</x:f>
        <x:v>-18.394320111220726</x:v>
      </x:c>
      <x:c r="F230" s="4" t="n">
        <x:f>IF('계산 과정'!$L$7,'계산 과정'!$L$22+'계산 과정'!$C$49*D230+'계산 과정'!$D$49*E230,"")</x:f>
        <x:v>682.6196233248365</x:v>
      </x:c>
      <x:c r="G230" s="4" t="n">
        <x:f>IF('계산 과정'!$L$7,IF(ABS(F230)&gt;=1E-12*MAX(1,SQRT((D230-'계산 과정'!$C$33)^2+(E230-'계산 과정'!$D$33)^2+'계산 과정'!$E$33^2)),('계산 과정'!$L$23-'계산 과정'!$C$49*D230-'계산 과정'!$D$49*E230)/F230,""),"")</x:f>
        <x:v>0.5381919360679426</x:v>
      </x:c>
      <x:c r="H230" s="4" t="n">
        <x:f>IF(AND(ISNUMBER(G230),G230&gt;0),('계산 과정'!$D$56+'계산 과정'!$D$57*D230+'계산 과정'!$D$58*E230)/F230,"")</x:f>
        <x:v>-50.17524155583745</x:v>
      </x:c>
      <x:c r="I230" s="4" t="n">
        <x:f>IF(AND(ISNUMBER(G230),G230&gt;0),('계산 과정'!$E$56+'계산 과정'!$E$57*D230+'계산 과정'!$E$58*E230)/F230,"")</x:f>
        <x:v>-28.2939948645321</x:v>
      </x:c>
      <x:c r="J230" s="4" t="n">
        <x:f>IF('계산 과정'!$L$5,'계산 과정'!$D$6+'계산 과정'!$C$35*D230+'계산 과정'!$D$35*E230,"")</x:f>
        <x:v>682.6196233248365</x:v>
      </x:c>
      <x:c r="K230" s="4" t="n">
        <x:f>IF(AND('계산 과정'!$L$6,J230&gt;0),'계산 과정'!$D$10*('계산 과정'!$C$38*(D230-'계산 과정'!$C$32)+'계산 과정'!$D$38*(E230-'계산 과정'!$D$32)-'계산 과정'!$E$38*'계산 과정'!$E$32)/J230,"")</x:f>
        <x:v>-0.38228755471114156</x:v>
      </x:c>
      <x:c r="L230" s="4" t="n">
        <x:f>IF(AND('계산 과정'!$L$6,J230&gt;0),'계산 과정'!$D$10*('계산 과정'!$C$39*(D230-'계산 과정'!$C$32)+'계산 과정'!$D$39*(E230-'계산 과정'!$D$32)-'계산 과정'!$E$39*'계산 과정'!$E$32)/J230,"")</x:f>
        <x:v>-0.21557329420595886</x:v>
      </x:c>
      <x:c r="M230" s="17" t="n">
        <x:f>IF('계산 과정'!$L$6,IF(J230&lt;=0,0,IF(AND(ABS(K230)&lt;='계산 과정'!$D$11/2,ABS(L230)&lt;='계산 과정'!$D$12/2),1,0)),"")</x:f>
        <x:v>1</x:v>
      </x:c>
      <x:c r="N230" s="17" t="n">
        <x:f>IF('계산 과정'!$C$78,IF(AND(ISNUMBER(H230),ISNUMBER(I230),ABS(H230-'계산 과정'!$C$88)&lt;='계산 과정'!$D$23/2,ABS(I230-'계산 과정'!$C$89)&lt;='계산 과정'!$D$24/2),1,0),"")</x:f>
        <x:v>1</x:v>
      </x:c>
      <x:c r="O230" s="4" t="n">
        <x:f>IF('계산 과정'!$L$7,'계산 과정'!$C$49*('계산 과정'!$C$32-D230)+'계산 과정'!$D$49*('계산 과정'!$D$32-E230)+'계산 과정'!$E$49*'계산 과정'!$E$32,"")</x:f>
        <x:v>-32.619623324836425</x:v>
      </x:c>
      <x:c r="P230" s="4" t="n">
        <x:f>IF(AND('계산 과정'!$L$7,O230&lt;&gt;0),('계산 과정'!$L$23-'계산 과정'!$C$49*D230-'계산 과정'!$D$49*E230)/O230,"")</x:f>
        <x:v>-11.262557296161106</x:v>
      </x:c>
      <x:c r="Q230" s="4" t="str">
        <x:f>IF(AND(ISNUMBER(P230),P230&gt;1E-9,P230&lt;1-1E-9),'계산 과정'!$C$47*(D230-'계산 과정'!$C$50+P230*('계산 과정'!$C$32-D230))+'계산 과정'!$D$47*(E230-'계산 과정'!$D$50+P230*('계산 과정'!$D$32-E230))+'계산 과정'!$E$47*(0-'계산 과정'!$E$50+P230*('계산 과정'!$E$32-0)),"")</x:f>
      </x:c>
      <x:c r="R230" s="4" t="str">
        <x:f>IF(AND(ISNUMBER(P230),P230&gt;1E-9,P230&lt;1-1E-9),'계산 과정'!$C$48*(D230-'계산 과정'!$C$50+P230*('계산 과정'!$C$32-D230))+'계산 과정'!$D$48*(E230-'계산 과정'!$D$50+P230*('계산 과정'!$D$32-E230))+'계산 과정'!$E$48*(0-'계산 과정'!$E$50+P230*('계산 과정'!$E$32-0)),"")</x:f>
      </x:c>
      <x:c r="S230" s="17" t="n">
        <x:f>IF('계산 과정'!$C$78,IF(AND(ISNUMBER(Q230),ISNUMBER(R230),ABS(Q230-'계산 과정'!$C$88)&lt;='계산 과정'!$D$23/2,ABS(R230-'계산 과정'!$C$89)&lt;='계산 과정'!$D$24/2),1,0),"")</x:f>
        <x:v>0</x:v>
      </x:c>
      <x:c r="T230" s="4"/>
      <x:c r="U230" s="4"/>
      <x:c r="V230" s="4"/>
      <x:c r="W230" s="4" t="n">
        <x:f>IF('계산 과정'!$C$77,('계산 과정'!$D$56+'계산 과정'!$D$57*('계산 과정'!$L$11*COS(224*2*PI()/240))+'계산 과정'!$D$58*('계산 과정'!$L$11*SIN(224*2*PI()/240)))/('계산 과정'!$D$59+'계산 과정'!$D$60*('계산 과정'!$L$11*COS(224*2*PI()/240))+'계산 과정'!$D$61*('계산 과정'!$L$11*SIN(224*2*PI()/240))),"")</x:f>
        <x:v>183.9454391863712</x:v>
      </x:c>
      <x:c r="X230" s="4" t="n">
        <x:f>IF('계산 과정'!$C$77,('계산 과정'!$E$56+'계산 과정'!$E$57*('계산 과정'!$L$11*COS(224*2*PI()/240))+'계산 과정'!$E$58*('계산 과정'!$L$11*SIN(224*2*PI()/240)))/('계산 과정'!$E$59+'계산 과정'!$E$60*('계산 과정'!$L$11*COS(224*2*PI()/240))+'계산 과정'!$E$61*('계산 과정'!$L$11*SIN(224*2*PI()/240))),"")</x:f>
        <x:v>-115.82095977077506</x:v>
      </x:c>
      <x:c r="Y230" s="4" t="str">
        <x:f>""</x:f>
      </x:c>
      <x:c r="Z230" s="4" t="str">
        <x:f>""</x:f>
      </x:c>
    </x:row>
    <x:row r="231" ht="23" customHeight="1">
      <x:c r="A231" s="17" t="n">
        <x:f>ROW()-6</x:f>
        <x:v>225</x:v>
      </x:c>
      <x:c r="B231" s="4" t="n">
        <x:f>IF('계산 과정'!$L$5,'계산 과정'!$L$11*SQRT((A231+0.5)/'계산 과정'!$L$30),"")</x:f>
        <x:v>49.77365761311399</x:v>
      </x:c>
      <x:c r="C231" s="4" t="n">
        <x:f>A231*PI()*(3-SQRT(5))</x:f>
        <x:v>539.9917266889469</x:v>
      </x:c>
      <x:c r="D231" s="4" t="n">
        <x:f>IF('계산 과정'!$L$5,B231*COS(C231),"")</x:f>
        <x:v>46.54414903562469</x:v>
      </x:c>
      <x:c r="E231" s="4" t="n">
        <x:f>IF('계산 과정'!$L$5,B231*SIN(C231),"")</x:f>
        <x:v>-17.636869981293653</x:v>
      </x:c>
      <x:c r="F231" s="4" t="n">
        <x:f>IF('계산 과정'!$L$7,'계산 과정'!$L$22+'계산 과정'!$C$49*D231+'계산 과정'!$D$49*E231,"")</x:f>
        <x:v>617.0883165923525</x:v>
      </x:c>
      <x:c r="G231" s="4" t="n">
        <x:f>IF('계산 과정'!$L$7,IF(ABS(F231)&gt;=1E-12*MAX(1,SQRT((D231-'계산 과정'!$C$33)^2+(E231-'계산 과정'!$D$33)^2+'계산 과정'!$E$33^2)),('계산 과정'!$L$23-'계산 과정'!$C$49*D231-'계산 과정'!$D$49*E231)/F231,""),"")</x:f>
        <x:v>0.701539263939149</x:v>
      </x:c>
      <x:c r="H231" s="4" t="n">
        <x:f>IF(AND(ISNUMBER(G231),G231&gt;0),('계산 과정'!$D$56+'계산 과정'!$D$57*D231+'계산 과정'!$D$58*E231)/F231,"")</x:f>
        <x:v>56.00052156044677</x:v>
      </x:c>
      <x:c r="I231" s="4" t="n">
        <x:f>IF(AND(ISNUMBER(G231),G231&gt;0),('계산 과정'!$E$56+'계산 과정'!$E$57*D231+'계산 과정'!$E$58*E231)/F231,"")</x:f>
        <x:v>-30.009826766160874</x:v>
      </x:c>
      <x:c r="J231" s="4" t="n">
        <x:f>IF('계산 과정'!$L$5,'계산 과정'!$D$6+'계산 과정'!$C$35*D231+'계산 과정'!$D$35*E231,"")</x:f>
        <x:v>617.0883165923525</x:v>
      </x:c>
      <x:c r="K231" s="4" t="n">
        <x:f>IF(AND('계산 과정'!$L$6,J231&gt;0),'계산 과정'!$D$10*('계산 과정'!$C$38*(D231-'계산 과정'!$C$32)+'계산 과정'!$D$38*(E231-'계산 과정'!$D$32)-'계산 과정'!$E$38*'계산 과정'!$E$32)/J231,"")</x:f>
        <x:v>0.4266706404605473</x:v>
      </x:c>
      <x:c r="L231" s="4" t="n">
        <x:f>IF(AND('계산 과정'!$L$6,J231&gt;0),'계산 과정'!$D$10*('계산 과정'!$C$39*(D231-'계산 과정'!$C$32)+'계산 과정'!$D$39*(E231-'계산 과정'!$D$32)-'계산 과정'!$E$39*'계산 과정'!$E$32)/J231,"")</x:f>
        <x:v>-0.22864629917074952</x:v>
      </x:c>
      <x:c r="M231" s="17" t="n">
        <x:f>IF('계산 과정'!$L$6,IF(J231&lt;=0,0,IF(AND(ABS(K231)&lt;='계산 과정'!$D$11/2,ABS(L231)&lt;='계산 과정'!$D$12/2),1,0)),"")</x:f>
        <x:v>1</x:v>
      </x:c>
      <x:c r="N231" s="17" t="n">
        <x:f>IF('계산 과정'!$C$78,IF(AND(ISNUMBER(H231),ISNUMBER(I231),ABS(H231-'계산 과정'!$C$88)&lt;='계산 과정'!$D$23/2,ABS(I231-'계산 과정'!$C$89)&lt;='계산 과정'!$D$24/2),1,0),"")</x:f>
        <x:v>1</x:v>
      </x:c>
      <x:c r="O231" s="4" t="n">
        <x:f>IF('계산 과정'!$L$7,'계산 과정'!$C$49*('계산 과정'!$C$32-D231)+'계산 과정'!$D$49*('계산 과정'!$D$32-E231)+'계산 과정'!$E$49*'계산 과정'!$E$32,"")</x:f>
        <x:v>32.911683407647615</x:v>
      </x:c>
      <x:c r="P231" s="4" t="n">
        <x:f>IF(AND('계산 과정'!$L$7,O231&lt;&gt;0),('계산 과정'!$L$23-'계산 과정'!$C$49*D231-'계산 과정'!$D$49*E231)/O231,"")</x:f>
        <x:v>13.153738690469195</x:v>
      </x:c>
      <x:c r="Q231" s="4" t="str">
        <x:f>IF(AND(ISNUMBER(P231),P231&gt;1E-9,P231&lt;1-1E-9),'계산 과정'!$C$47*(D231-'계산 과정'!$C$50+P231*('계산 과정'!$C$32-D231))+'계산 과정'!$D$47*(E231-'계산 과정'!$D$50+P231*('계산 과정'!$D$32-E231))+'계산 과정'!$E$47*(0-'계산 과정'!$E$50+P231*('계산 과정'!$E$32-0)),"")</x:f>
      </x:c>
      <x:c r="R231" s="4" t="str">
        <x:f>IF(AND(ISNUMBER(P231),P231&gt;1E-9,P231&lt;1-1E-9),'계산 과정'!$C$48*(D231-'계산 과정'!$C$50+P231*('계산 과정'!$C$32-D231))+'계산 과정'!$D$48*(E231-'계산 과정'!$D$50+P231*('계산 과정'!$D$32-E231))+'계산 과정'!$E$48*(0-'계산 과정'!$E$50+P231*('계산 과정'!$E$32-0)),"")</x:f>
      </x:c>
      <x:c r="S231" s="17" t="n">
        <x:f>IF('계산 과정'!$C$78,IF(AND(ISNUMBER(Q231),ISNUMBER(R231),ABS(Q231-'계산 과정'!$C$88)&lt;='계산 과정'!$D$23/2,ABS(R231-'계산 과정'!$C$89)&lt;='계산 과정'!$D$24/2),1,0),"")</x:f>
        <x:v>0</x:v>
      </x:c>
      <x:c r="T231" s="4"/>
      <x:c r="U231" s="4"/>
      <x:c r="V231" s="4"/>
      <x:c r="W231" s="4" t="n">
        <x:f>IF('계산 과정'!$C$77,('계산 과정'!$D$56+'계산 과정'!$D$57*('계산 과정'!$L$11*COS(225*2*PI()/240))+'계산 과정'!$D$58*('계산 과정'!$L$11*SIN(225*2*PI()/240)))/('계산 과정'!$D$59+'계산 과정'!$D$60*('계산 과정'!$L$11*COS(225*2*PI()/240))+'계산 과정'!$D$61*('계산 과정'!$L$11*SIN(225*2*PI()/240))),"")</x:f>
        <x:v>186.39562276636025</x:v>
      </x:c>
      <x:c r="X231" s="4" t="n">
        <x:f>IF('계산 과정'!$C$77,('계산 과정'!$E$56+'계산 과정'!$E$57*('계산 과정'!$L$11*COS(225*2*PI()/240))+'계산 과정'!$E$58*('계산 과정'!$L$11*SIN(225*2*PI()/240)))/('계산 과정'!$E$59+'계산 과정'!$E$60*('계산 과정'!$L$11*COS(225*2*PI()/240))+'계산 과정'!$E$61*('계산 과정'!$L$11*SIN(225*2*PI()/240))),"")</x:f>
        <x:v>-109.18802784955484</x:v>
      </x:c>
      <x:c r="Y231" s="4" t="str">
        <x:f>""</x:f>
      </x:c>
      <x:c r="Z231" s="4" t="str">
        <x:f>""</x:f>
      </x:c>
    </x:row>
    <x:row r="232" ht="23" customHeight="1">
      <x:c r="A232" s="17" t="n">
        <x:f>ROW()-6</x:f>
        <x:v>226</x:v>
      </x:c>
      <x:c r="B232" s="4" t="n">
        <x:f>IF('계산 과정'!$L$5,'계산 과정'!$L$11*SQRT((A232+0.5)/'계산 과정'!$L$30),"")</x:f>
        <x:v>49.88389840732679</x:v>
      </x:c>
      <x:c r="C232" s="4" t="n">
        <x:f>A232*PI()*(3-SQRT(5))</x:f>
        <x:v>542.3916899186755</x:v>
      </x:c>
      <x:c r="D232" s="4" t="n">
        <x:f>IF('계산 과정'!$L$5,B232*COS(C232),"")</x:f>
        <x:v>-22.45629970431968</x:v>
      </x:c>
      <x:c r="E232" s="4" t="n">
        <x:f>IF('계산 과정'!$L$5,B232*SIN(C232),"")</x:f>
        <x:v>44.54343861785114</x:v>
      </x:c>
      <x:c r="F232" s="4" t="n">
        <x:f>IF('계산 과정'!$L$7,'계산 과정'!$L$22+'계산 과정'!$C$49*D232+'계산 과정'!$D$49*E232,"")</x:f>
        <x:v>665.8790018012819</x:v>
      </x:c>
      <x:c r="G232" s="4" t="n">
        <x:f>IF('계산 과정'!$L$7,IF(ABS(F232)&gt;=1E-12*MAX(1,SQRT((D232-'계산 과정'!$C$33)^2+(E232-'계산 과정'!$D$33)^2+'계산 과정'!$E$33^2)),('계산 과정'!$L$23-'계산 과정'!$C$49*D232-'계산 과정'!$D$49*E232)/F232,""),"")</x:f>
        <x:v>0.5768630594441709</x:v>
      </x:c>
      <x:c r="H232" s="4" t="n">
        <x:f>IF(AND(ISNUMBER(G232),G232&gt;0),('계산 과정'!$D$56+'계산 과정'!$D$57*D232+'계산 과정'!$D$58*E232)/F232,"")</x:f>
        <x:v>-25.03901136128901</x:v>
      </x:c>
      <x:c r="I232" s="4" t="n">
        <x:f>IF(AND(ISNUMBER(G232),G232&gt;0),('계산 과정'!$E$56+'계산 과정'!$E$57*D232+'계산 과정'!$E$58*E232)/F232,"")</x:f>
        <x:v>70.23890289710837</x:v>
      </x:c>
      <x:c r="J232" s="4" t="n">
        <x:f>IF('계산 과정'!$L$5,'계산 과정'!$D$6+'계산 과정'!$C$35*D232+'계산 과정'!$D$35*E232,"")</x:f>
        <x:v>665.8790018012819</x:v>
      </x:c>
      <x:c r="K232" s="4" t="n">
        <x:f>IF(AND('계산 과정'!$L$6,J232&gt;0),'계산 과정'!$D$10*('계산 과정'!$C$38*(D232-'계산 과정'!$C$32)+'계산 과정'!$D$38*(E232-'계산 과정'!$D$32)-'계산 과정'!$E$38*'계산 과정'!$E$32)/J232,"")</x:f>
        <x:v>-0.19077341989553434</x:v>
      </x:c>
      <x:c r="L232" s="4" t="n">
        <x:f>IF(AND('계산 과정'!$L$6,J232&gt;0),'계산 과정'!$D$10*('계산 과정'!$C$39*(D232-'계산 과정'!$C$32)+'계산 과정'!$D$39*(E232-'계산 과정'!$D$32)-'계산 과정'!$E$39*'계산 과정'!$E$32)/J232,"")</x:f>
        <x:v>0.5351535458827305</x:v>
      </x:c>
      <x:c r="M232" s="17" t="n">
        <x:f>IF('계산 과정'!$L$6,IF(J232&lt;=0,0,IF(AND(ABS(K232)&lt;='계산 과정'!$D$11/2,ABS(L232)&lt;='계산 과정'!$D$12/2),1,0)),"")</x:f>
        <x:v>1</x:v>
      </x:c>
      <x:c r="N232" s="17" t="n">
        <x:f>IF('계산 과정'!$C$78,IF(AND(ISNUMBER(H232),ISNUMBER(I232),ABS(H232-'계산 과정'!$C$88)&lt;='계산 과정'!$D$23/2,ABS(I232-'계산 과정'!$C$89)&lt;='계산 과정'!$D$24/2),1,0),"")</x:f>
        <x:v>1</x:v>
      </x:c>
      <x:c r="O232" s="4" t="n">
        <x:f>IF('계산 과정'!$L$7,'계산 과정'!$C$49*('계산 과정'!$C$32-D232)+'계산 과정'!$D$49*('계산 과정'!$D$32-E232)+'계산 과정'!$E$49*'계산 과정'!$E$32,"")</x:f>
        <x:v>-15.879001801281788</x:v>
      </x:c>
      <x:c r="P232" s="4" t="n">
        <x:f>IF(AND('계산 과정'!$L$7,O232&lt;&gt;0),('계산 과정'!$L$23-'계산 과정'!$C$49*D232-'계산 과정'!$D$49*E232)/O232,"")</x:f>
        <x:v>-24.190500322741382</x:v>
      </x:c>
      <x:c r="Q232" s="4" t="str">
        <x:f>IF(AND(ISNUMBER(P232),P232&gt;1E-9,P232&lt;1-1E-9),'계산 과정'!$C$47*(D232-'계산 과정'!$C$50+P232*('계산 과정'!$C$32-D232))+'계산 과정'!$D$47*(E232-'계산 과정'!$D$50+P232*('계산 과정'!$D$32-E232))+'계산 과정'!$E$47*(0-'계산 과정'!$E$50+P232*('계산 과정'!$E$32-0)),"")</x:f>
      </x:c>
      <x:c r="R232" s="4" t="str">
        <x:f>IF(AND(ISNUMBER(P232),P232&gt;1E-9,P232&lt;1-1E-9),'계산 과정'!$C$48*(D232-'계산 과정'!$C$50+P232*('계산 과정'!$C$32-D232))+'계산 과정'!$D$48*(E232-'계산 과정'!$D$50+P232*('계산 과정'!$D$32-E232))+'계산 과정'!$E$48*(0-'계산 과정'!$E$50+P232*('계산 과정'!$E$32-0)),"")</x:f>
      </x:c>
      <x:c r="S232" s="17" t="n">
        <x:f>IF('계산 과정'!$C$78,IF(AND(ISNUMBER(Q232),ISNUMBER(R232),ABS(Q232-'계산 과정'!$C$88)&lt;='계산 과정'!$D$23/2,ABS(R232-'계산 과정'!$C$89)&lt;='계산 과정'!$D$24/2),1,0),"")</x:f>
        <x:v>0</x:v>
      </x:c>
      <x:c r="T232" s="4"/>
      <x:c r="U232" s="4"/>
      <x:c r="V232" s="4"/>
      <x:c r="W232" s="4" t="n">
        <x:f>IF('계산 과정'!$C$77,('계산 과정'!$D$56+'계산 과정'!$D$57*('계산 과정'!$L$11*COS(226*2*PI()/240))+'계산 과정'!$D$58*('계산 과정'!$L$11*SIN(226*2*PI()/240)))/('계산 과정'!$D$59+'계산 과정'!$D$60*('계산 과정'!$L$11*COS(226*2*PI()/240))+'계산 과정'!$D$61*('계산 과정'!$L$11*SIN(226*2*PI()/240))),"")</x:f>
        <x:v>188.70455164844452</x:v>
      </x:c>
      <x:c r="X232" s="4" t="n">
        <x:f>IF('계산 과정'!$C$77,('계산 과정'!$E$56+'계산 과정'!$E$57*('계산 과정'!$L$11*COS(226*2*PI()/240))+'계산 과정'!$E$58*('계산 과정'!$L$11*SIN(226*2*PI()/240)))/('계산 과정'!$E$59+'계산 과정'!$E$60*('계산 과정'!$L$11*COS(226*2*PI()/240))+'계산 과정'!$E$61*('계산 과정'!$L$11*SIN(226*2*PI()/240))),"")</x:f>
        <x:v>-102.44123313846558</x:v>
      </x:c>
      <x:c r="Y232" s="4" t="str">
        <x:f>""</x:f>
      </x:c>
      <x:c r="Z232" s="4" t="str">
        <x:f>""</x:f>
      </x:c>
    </x:row>
    <x:row r="233" ht="23" customHeight="1">
      <x:c r="A233" s="17" t="n">
        <x:f>ROW()-6</x:f>
        <x:v>227</x:v>
      </x:c>
      <x:c r="B233" s="4" t="n">
        <x:f>IF('계산 과정'!$L$5,'계산 과정'!$L$11*SQRT((A233+0.5)/'계산 과정'!$L$30),"")</x:f>
        <x:v>49.99389611180049</x:v>
      </x:c>
      <x:c r="C233" s="4" t="n">
        <x:f>A233*PI()*(3-SQRT(5))</x:f>
        <x:v>544.7916531484042</x:v>
      </x:c>
      <x:c r="D233" s="4" t="n">
        <x:f>IF('계산 과정'!$L$5,B233*COS(C233),"")</x:f>
        <x:v>-13.55991878157471</x:v>
      </x:c>
      <x:c r="E233" s="4" t="n">
        <x:f>IF('계산 과정'!$L$5,B233*SIN(C233),"")</x:f>
        <x:v>-48.11983220123068</x:v>
      </x:c>
      <x:c r="F233" s="4" t="n">
        <x:f>IF('계산 과정'!$L$7,'계산 과정'!$L$22+'계산 과정'!$C$49*D233+'계산 과정'!$D$49*E233,"")</x:f>
        <x:v>659.5883105227903</x:v>
      </x:c>
      <x:c r="G233" s="4" t="n">
        <x:f>IF('계산 과정'!$L$7,IF(ABS(F233)&gt;=1E-12*MAX(1,SQRT((D233-'계산 과정'!$C$33)^2+(E233-'계산 과정'!$D$33)^2+'계산 과정'!$E$33^2)),('계산 과정'!$L$23-'계산 과정'!$C$49*D233-'계산 과정'!$D$49*E233)/F233,""),"")</x:f>
        <x:v>0.5919020747468509</x:v>
      </x:c>
      <x:c r="H233" s="4" t="n">
        <x:f>IF(AND(ISNUMBER(G233),G233&gt;0),('계산 과정'!$D$56+'계산 과정'!$D$57*D233+'계산 과정'!$D$58*E233)/F233,"")</x:f>
        <x:v>-15.263651414547066</x:v>
      </x:c>
      <x:c r="I233" s="4" t="n">
        <x:f>IF(AND(ISNUMBER(G233),G233&gt;0),('계산 과정'!$E$56+'계산 과정'!$E$57*D233+'계산 과정'!$E$58*E233)/F233,"")</x:f>
        <x:v>-76.60206071760945</x:v>
      </x:c>
      <x:c r="J233" s="4" t="n">
        <x:f>IF('계산 과정'!$L$5,'계산 과정'!$D$6+'계산 과정'!$C$35*D233+'계산 과정'!$D$35*E233,"")</x:f>
        <x:v>659.5883105227903</x:v>
      </x:c>
      <x:c r="K233" s="4" t="n">
        <x:f>IF(AND('계산 과정'!$L$6,J233&gt;0),'계산 과정'!$D$10*('계산 과정'!$C$38*(D233-'계산 과정'!$C$32)+'계산 과정'!$D$38*(E233-'계산 과정'!$D$32)-'계산 과정'!$E$38*'계산 과정'!$E$32)/J233,"")</x:f>
        <x:v>-0.11629448696797698</x:v>
      </x:c>
      <x:c r="L233" s="4" t="n">
        <x:f>IF(AND('계산 과정'!$L$6,J233&gt;0),'계산 과정'!$D$10*('계산 과정'!$C$39*(D233-'계산 과정'!$C$32)+'계산 과정'!$D$39*(E233-'계산 과정'!$D$32)-'계산 과정'!$E$39*'계산 과정'!$E$32)/J233,"")</x:f>
        <x:v>-0.5836347483246433</x:v>
      </x:c>
      <x:c r="M233" s="17" t="n">
        <x:f>IF('계산 과정'!$L$6,IF(J233&lt;=0,0,IF(AND(ABS(K233)&lt;='계산 과정'!$D$11/2,ABS(L233)&lt;='계산 과정'!$D$12/2),1,0)),"")</x:f>
        <x:v>1</x:v>
      </x:c>
      <x:c r="N233" s="17" t="n">
        <x:f>IF('계산 과정'!$C$78,IF(AND(ISNUMBER(H233),ISNUMBER(I233),ABS(H233-'계산 과정'!$C$88)&lt;='계산 과정'!$D$23/2,ABS(I233-'계산 과정'!$C$89)&lt;='계산 과정'!$D$24/2),1,0),"")</x:f>
        <x:v>1</x:v>
      </x:c>
      <x:c r="O233" s="4" t="n">
        <x:f>IF('계산 과정'!$L$7,'계산 과정'!$C$49*('계산 과정'!$C$32-D233)+'계산 과정'!$D$49*('계산 과정'!$D$32-E233)+'계산 과정'!$E$49*'계산 과정'!$E$32,"")</x:f>
        <x:v>-9.58831052279021</x:v>
      </x:c>
      <x:c r="P233" s="4" t="n">
        <x:f>IF(AND('계산 과정'!$L$7,O233&lt;&gt;0),('계산 과정'!$L$23-'계산 과정'!$C$49*D233-'계산 과정'!$D$49*E233)/O233,"")</x:f>
        <x:v>-40.71746409852394</x:v>
      </x:c>
      <x:c r="Q233" s="4" t="str">
        <x:f>IF(AND(ISNUMBER(P233),P233&gt;1E-9,P233&lt;1-1E-9),'계산 과정'!$C$47*(D233-'계산 과정'!$C$50+P233*('계산 과정'!$C$32-D233))+'계산 과정'!$D$47*(E233-'계산 과정'!$D$50+P233*('계산 과정'!$D$32-E233))+'계산 과정'!$E$47*(0-'계산 과정'!$E$50+P233*('계산 과정'!$E$32-0)),"")</x:f>
      </x:c>
      <x:c r="R233" s="4" t="str">
        <x:f>IF(AND(ISNUMBER(P233),P233&gt;1E-9,P233&lt;1-1E-9),'계산 과정'!$C$48*(D233-'계산 과정'!$C$50+P233*('계산 과정'!$C$32-D233))+'계산 과정'!$D$48*(E233-'계산 과정'!$D$50+P233*('계산 과정'!$D$32-E233))+'계산 과정'!$E$48*(0-'계산 과정'!$E$50+P233*('계산 과정'!$E$32-0)),"")</x:f>
      </x:c>
      <x:c r="S233" s="17" t="n">
        <x:f>IF('계산 과정'!$C$78,IF(AND(ISNUMBER(Q233),ISNUMBER(R233),ABS(Q233-'계산 과정'!$C$88)&lt;='계산 과정'!$D$23/2,ABS(R233-'계산 과정'!$C$89)&lt;='계산 과정'!$D$24/2),1,0),"")</x:f>
        <x:v>0</x:v>
      </x:c>
      <x:c r="T233" s="4"/>
      <x:c r="U233" s="4"/>
      <x:c r="V233" s="4"/>
      <x:c r="W233" s="4" t="n">
        <x:f>IF('계산 과정'!$C$77,('계산 과정'!$D$56+'계산 과정'!$D$57*('계산 과정'!$L$11*COS(227*2*PI()/240))+'계산 과정'!$D$58*('계산 과정'!$L$11*SIN(227*2*PI()/240)))/('계산 과정'!$D$59+'계산 과정'!$D$60*('계산 과정'!$L$11*COS(227*2*PI()/240))+'계산 과정'!$D$61*('계산 과정'!$L$11*SIN(227*2*PI()/240))),"")</x:f>
        <x:v>190.86899637166346</x:v>
      </x:c>
      <x:c r="X233" s="4" t="n">
        <x:f>IF('계산 과정'!$C$77,('계산 과정'!$E$56+'계산 과정'!$E$57*('계산 과정'!$L$11*COS(227*2*PI()/240))+'계산 과정'!$E$58*('계산 과정'!$L$11*SIN(227*2*PI()/240)))/('계산 과정'!$E$59+'계산 과정'!$E$60*('계산 과정'!$L$11*COS(227*2*PI()/240))+'계산 과정'!$E$61*('계산 과정'!$L$11*SIN(227*2*PI()/240))),"")</x:f>
        <x:v>-95.58705747678161</x:v>
      </x:c>
      <x:c r="Y233" s="4" t="str">
        <x:f>""</x:f>
      </x:c>
      <x:c r="Z233" s="4" t="str">
        <x:f>""</x:f>
      </x:c>
    </x:row>
    <x:row r="234" ht="23" customHeight="1">
      <x:c r="A234" s="17" t="n">
        <x:f>ROW()-6</x:f>
        <x:v>228</x:v>
      </x:c>
      <x:c r="B234" s="4" t="n">
        <x:f>IF('계산 과정'!$L$5,'계산 과정'!$L$11*SQRT((A234+0.5)/'계산 과정'!$L$30),"")</x:f>
        <x:v>50.10365232757488</x:v>
      </x:c>
      <x:c r="C234" s="4" t="n">
        <x:f>A234*PI()*(3-SQRT(5))</x:f>
        <x:v>547.1916163781328</x:v>
      </x:c>
      <x:c r="D234" s="4" t="n">
        <x:f>IF('계산 과정'!$L$5,B234*COS(C234),"")</x:f>
        <x:v>42.596452783291326</x:v>
      </x:c>
      <x:c r="E234" s="4" t="n">
        <x:f>IF('계산 과정'!$L$5,B234*SIN(C234),"")</x:f>
        <x:v>26.380261311126766</x:v>
      </x:c>
      <x:c r="F234" s="4" t="n">
        <x:f>IF('계산 과정'!$L$7,'계산 과정'!$L$22+'계산 과정'!$C$49*D234+'계산 과정'!$D$49*E234,"")</x:f>
        <x:v>619.8797593824421</x:v>
      </x:c>
      <x:c r="G234" s="4" t="n">
        <x:f>IF('계산 과정'!$L$7,IF(ABS(F234)&gt;=1E-12*MAX(1,SQRT((D234-'계산 과정'!$C$33)^2+(E234-'계산 과정'!$D$33)^2+'계산 과정'!$E$33^2)),('계산 과정'!$L$23-'계산 과정'!$C$49*D234-'계산 과정'!$D$49*E234)/F234,""),"")</x:f>
        <x:v>0.693876891618573</x:v>
      </x:c>
      <x:c r="H234" s="4" t="n">
        <x:f>IF(AND(ISNUMBER(G234),G234&gt;0),('계산 과정'!$D$56+'계산 과정'!$D$57*D234+'계산 과정'!$D$58*E234)/F234,"")</x:f>
        <x:v>51.01997955207233</x:v>
      </x:c>
      <x:c r="I234" s="4" t="n">
        <x:f>IF(AND(ISNUMBER(G234),G234&gt;0),('계산 과정'!$E$56+'계산 과정'!$E$57*D234+'계산 과정'!$E$58*E234)/F234,"")</x:f>
        <x:v>44.68491502977711</x:v>
      </x:c>
      <x:c r="J234" s="4" t="n">
        <x:f>IF('계산 과정'!$L$5,'계산 과정'!$D$6+'계산 과정'!$C$35*D234+'계산 과정'!$D$35*E234,"")</x:f>
        <x:v>619.8797593824421</x:v>
      </x:c>
      <x:c r="K234" s="4" t="n">
        <x:f>IF(AND('계산 과정'!$L$6,J234&gt;0),'계산 과정'!$D$10*('계산 과정'!$C$38*(D234-'계산 과정'!$C$32)+'계산 과정'!$D$38*(E234-'계산 과정'!$D$32)-'계산 과정'!$E$38*'계산 과정'!$E$32)/J234,"")</x:f>
        <x:v>0.3887236537300759</x:v>
      </x:c>
      <x:c r="L234" s="4" t="n">
        <x:f>IF(AND('계산 과정'!$L$6,J234&gt;0),'계산 과정'!$D$10*('계산 과정'!$C$39*(D234-'계산 과정'!$C$32)+'계산 과정'!$D$39*(E234-'계산 과정'!$D$32)-'계산 과정'!$E$39*'계산 과정'!$E$32)/J234,"")</x:f>
        <x:v>0.3404564954649684</x:v>
      </x:c>
      <x:c r="M234" s="17" t="n">
        <x:f>IF('계산 과정'!$L$6,IF(J234&lt;=0,0,IF(AND(ABS(K234)&lt;='계산 과정'!$D$11/2,ABS(L234)&lt;='계산 과정'!$D$12/2),1,0)),"")</x:f>
        <x:v>1</x:v>
      </x:c>
      <x:c r="N234" s="17" t="n">
        <x:f>IF('계산 과정'!$C$78,IF(AND(ISNUMBER(H234),ISNUMBER(I234),ABS(H234-'계산 과정'!$C$88)&lt;='계산 과정'!$D$23/2,ABS(I234-'계산 과정'!$C$89)&lt;='계산 과정'!$D$24/2),1,0),"")</x:f>
        <x:v>1</x:v>
      </x:c>
      <x:c r="O234" s="4" t="n">
        <x:f>IF('계산 과정'!$L$7,'계산 과정'!$C$49*('계산 과정'!$C$32-D234)+'계산 과정'!$D$49*('계산 과정'!$D$32-E234)+'계산 과정'!$E$49*'계산 과정'!$E$32,"")</x:f>
        <x:v>30.12024061755801</x:v>
      </x:c>
      <x:c r="P234" s="4" t="n">
        <x:f>IF(AND('계산 과정'!$L$7,O234&lt;&gt;0),('계산 과정'!$L$23-'계산 과정'!$C$49*D234-'계산 과정'!$D$49*E234)/O234,"")</x:f>
        <x:v>14.280106393533512</x:v>
      </x:c>
      <x:c r="Q234" s="4" t="str">
        <x:f>IF(AND(ISNUMBER(P234),P234&gt;1E-9,P234&lt;1-1E-9),'계산 과정'!$C$47*(D234-'계산 과정'!$C$50+P234*('계산 과정'!$C$32-D234))+'계산 과정'!$D$47*(E234-'계산 과정'!$D$50+P234*('계산 과정'!$D$32-E234))+'계산 과정'!$E$47*(0-'계산 과정'!$E$50+P234*('계산 과정'!$E$32-0)),"")</x:f>
      </x:c>
      <x:c r="R234" s="4" t="str">
        <x:f>IF(AND(ISNUMBER(P234),P234&gt;1E-9,P234&lt;1-1E-9),'계산 과정'!$C$48*(D234-'계산 과정'!$C$50+P234*('계산 과정'!$C$32-D234))+'계산 과정'!$D$48*(E234-'계산 과정'!$D$50+P234*('계산 과정'!$D$32-E234))+'계산 과정'!$E$48*(0-'계산 과정'!$E$50+P234*('계산 과정'!$E$32-0)),"")</x:f>
      </x:c>
      <x:c r="S234" s="17" t="n">
        <x:f>IF('계산 과정'!$C$78,IF(AND(ISNUMBER(Q234),ISNUMBER(R234),ABS(Q234-'계산 과정'!$C$88)&lt;='계산 과정'!$D$23/2,ABS(R234-'계산 과정'!$C$89)&lt;='계산 과정'!$D$24/2),1,0),"")</x:f>
        <x:v>0</x:v>
      </x:c>
      <x:c r="T234" s="4"/>
      <x:c r="U234" s="4"/>
      <x:c r="V234" s="4"/>
      <x:c r="W234" s="4" t="n">
        <x:f>IF('계산 과정'!$C$77,('계산 과정'!$D$56+'계산 과정'!$D$57*('계산 과정'!$L$11*COS(228*2*PI()/240))+'계산 과정'!$D$58*('계산 과정'!$L$11*SIN(228*2*PI()/240)))/('계산 과정'!$D$59+'계산 과정'!$D$60*('계산 과정'!$L$11*COS(228*2*PI()/240))+'계산 과정'!$D$61*('계산 과정'!$L$11*SIN(228*2*PI()/240))),"")</x:f>
        <x:v>192.88590499639682</x:v>
      </x:c>
      <x:c r="X234" s="4" t="n">
        <x:f>IF('계산 과정'!$C$77,('계산 과정'!$E$56+'계산 과정'!$E$57*('계산 과정'!$L$11*COS(228*2*PI()/240))+'계산 과정'!$E$58*('계산 과정'!$L$11*SIN(228*2*PI()/240)))/('계산 과정'!$E$59+'계산 과정'!$E$60*('계산 과정'!$L$11*COS(228*2*PI()/240))+'계산 과정'!$E$61*('계산 과정'!$L$11*SIN(228*2*PI()/240))),"")</x:f>
        <x:v>-88.63220001068613</x:v>
      </x:c>
      <x:c r="Y234" s="4" t="str">
        <x:f>""</x:f>
      </x:c>
      <x:c r="Z234" s="4" t="str">
        <x:f>""</x:f>
      </x:c>
    </x:row>
    <x:row r="235" ht="23" customHeight="1">
      <x:c r="A235" s="17" t="n">
        <x:f>ROW()-6</x:f>
        <x:v>229</x:v>
      </x:c>
      <x:c r="B235" s="4" t="n">
        <x:f>IF('계산 과정'!$L$5,'계산 과정'!$L$11*SQRT((A235+0.5)/'계산 과정'!$L$30),"")</x:f>
        <x:v>50.21316863819191</x:v>
      </x:c>
      <x:c r="C235" s="4" t="n">
        <x:f>A235*PI()*(3-SQRT(5))</x:f>
        <x:v>549.5915796078615</x:v>
      </x:c>
      <x:c r="D235" s="4" t="n">
        <x:f>IF('계산 과정'!$L$5,B235*COS(C235),"")</x:f>
        <x:v>-49.33651337590621</x:v>
      </x:c>
      <x:c r="E235" s="4" t="n">
        <x:f>IF('계산 과정'!$L$5,B235*SIN(C235),"")</x:f>
        <x:v>9.341881641111048</x:v>
      </x:c>
      <x:c r="F235" s="4" t="n">
        <x:f>IF('계산 과정'!$L$7,'계산 과정'!$L$22+'계산 과정'!$C$49*D235+'계산 과정'!$D$49*E235,"")</x:f>
        <x:v>684.8861831682041</x:v>
      </x:c>
      <x:c r="G235" s="4" t="n">
        <x:f>IF('계산 과정'!$L$7,IF(ABS(F235)&gt;=1E-12*MAX(1,SQRT((D235-'계산 과정'!$C$33)^2+(E235-'계산 과정'!$D$33)^2+'계산 과정'!$E$33^2)),('계산 과정'!$L$23-'계산 과정'!$C$49*D235-'계산 과정'!$D$49*E235)/F235,""),"")</x:f>
        <x:v>0.5331014492697483</x:v>
      </x:c>
      <x:c r="H235" s="4" t="n">
        <x:f>IF(AND(ISNUMBER(G235),G235&gt;0),('계산 과정'!$D$56+'계산 과정'!$D$57*D235+'계산 과정'!$D$58*E235)/F235,"")</x:f>
        <x:v>-53.484057974663706</x:v>
      </x:c>
      <x:c r="I235" s="4" t="n">
        <x:f>IF(AND(ISNUMBER(G235),G235&gt;0),('계산 과정'!$E$56+'계산 과정'!$E$57*D235+'계산 과정'!$E$58*E235)/F235,"")</x:f>
        <x:v>14.322052282893804</x:v>
      </x:c>
      <x:c r="J235" s="4" t="n">
        <x:f>IF('계산 과정'!$L$5,'계산 과정'!$D$6+'계산 과정'!$C$35*D235+'계산 과정'!$D$35*E235,"")</x:f>
        <x:v>684.8861831682041</x:v>
      </x:c>
      <x:c r="K235" s="4" t="n">
        <x:f>IF(AND('계산 과정'!$L$6,J235&gt;0),'계산 과정'!$D$10*('계산 과정'!$C$38*(D235-'계산 과정'!$C$32)+'계산 과정'!$D$38*(E235-'계산 과정'!$D$32)-'계산 과정'!$E$38*'계산 과정'!$E$32)/J235,"")</x:f>
        <x:v>-0.40749758456886526</x:v>
      </x:c>
      <x:c r="L235" s="4" t="n">
        <x:f>IF(AND('계산 과정'!$L$6,J235&gt;0),'계산 과정'!$D$10*('계산 과정'!$C$39*(D235-'계산 과정'!$C$32)+'계산 과정'!$D$39*(E235-'계산 과정'!$D$32)-'계산 과정'!$E$39*'계산 과정'!$E$32)/J235,"")</x:f>
        <x:v>0.10912039834585754</x:v>
      </x:c>
      <x:c r="M235" s="17" t="n">
        <x:f>IF('계산 과정'!$L$6,IF(J235&lt;=0,0,IF(AND(ABS(K235)&lt;='계산 과정'!$D$11/2,ABS(L235)&lt;='계산 과정'!$D$12/2),1,0)),"")</x:f>
        <x:v>1</x:v>
      </x:c>
      <x:c r="N235" s="17" t="n">
        <x:f>IF('계산 과정'!$C$78,IF(AND(ISNUMBER(H235),ISNUMBER(I235),ABS(H235-'계산 과정'!$C$88)&lt;='계산 과정'!$D$23/2,ABS(I235-'계산 과정'!$C$89)&lt;='계산 과정'!$D$24/2),1,0),"")</x:f>
        <x:v>1</x:v>
      </x:c>
      <x:c r="O235" s="4" t="n">
        <x:f>IF('계산 과정'!$L$7,'계산 과정'!$C$49*('계산 과정'!$C$32-D235)+'계산 과정'!$D$49*('계산 과정'!$D$32-E235)+'계산 과정'!$E$49*'계산 과정'!$E$32,"")</x:f>
        <x:v>-34.88618316820396</x:v>
      </x:c>
      <x:c r="P235" s="4" t="n">
        <x:f>IF(AND('계산 과정'!$L$7,O235&lt;&gt;0),('계산 과정'!$L$23-'계산 과정'!$C$49*D235-'계산 과정'!$D$49*E235)/O235,"")</x:f>
        <x:v>-10.465857358811576</x:v>
      </x:c>
      <x:c r="Q235" s="4" t="str">
        <x:f>IF(AND(ISNUMBER(P235),P235&gt;1E-9,P235&lt;1-1E-9),'계산 과정'!$C$47*(D235-'계산 과정'!$C$50+P235*('계산 과정'!$C$32-D235))+'계산 과정'!$D$47*(E235-'계산 과정'!$D$50+P235*('계산 과정'!$D$32-E235))+'계산 과정'!$E$47*(0-'계산 과정'!$E$50+P235*('계산 과정'!$E$32-0)),"")</x:f>
      </x:c>
      <x:c r="R235" s="4" t="str">
        <x:f>IF(AND(ISNUMBER(P235),P235&gt;1E-9,P235&lt;1-1E-9),'계산 과정'!$C$48*(D235-'계산 과정'!$C$50+P235*('계산 과정'!$C$32-D235))+'계산 과정'!$D$48*(E235-'계산 과정'!$D$50+P235*('계산 과정'!$D$32-E235))+'계산 과정'!$E$48*(0-'계산 과정'!$E$50+P235*('계산 과정'!$E$32-0)),"")</x:f>
      </x:c>
      <x:c r="S235" s="17" t="n">
        <x:f>IF('계산 과정'!$C$78,IF(AND(ISNUMBER(Q235),ISNUMBER(R235),ABS(Q235-'계산 과정'!$C$88)&lt;='계산 과정'!$D$23/2,ABS(R235-'계산 과정'!$C$89)&lt;='계산 과정'!$D$24/2),1,0),"")</x:f>
        <x:v>0</x:v>
      </x:c>
      <x:c r="T235" s="4"/>
      <x:c r="U235" s="4"/>
      <x:c r="V235" s="4"/>
      <x:c r="W235" s="4" t="n">
        <x:f>IF('계산 과정'!$C$77,('계산 과정'!$D$56+'계산 과정'!$D$57*('계산 과정'!$L$11*COS(229*2*PI()/240))+'계산 과정'!$D$58*('계산 과정'!$L$11*SIN(229*2*PI()/240)))/('계산 과정'!$D$59+'계산 과정'!$D$60*('계산 과정'!$L$11*COS(229*2*PI()/240))+'계산 과정'!$D$61*('계산 과정'!$L$11*SIN(229*2*PI()/240))),"")</x:f>
        <x:v>194.75241215040987</x:v>
      </x:c>
      <x:c r="X235" s="4" t="n">
        <x:f>IF('계산 과정'!$C$77,('계산 과정'!$E$56+'계산 과정'!$E$57*('계산 과정'!$L$11*COS(229*2*PI()/240))+'계산 과정'!$E$58*('계산 과정'!$L$11*SIN(229*2*PI()/240)))/('계산 과정'!$E$59+'계산 과정'!$E$60*('계산 과정'!$L$11*COS(229*2*PI()/240))+'계산 과정'!$E$61*('계산 과정'!$L$11*SIN(229*2*PI()/240))),"")</x:f>
        <x:v>-81.58356586337054</x:v>
      </x:c>
      <x:c r="Y235" s="4" t="str">
        <x:f>""</x:f>
      </x:c>
      <x:c r="Z235" s="4" t="str">
        <x:f>""</x:f>
      </x:c>
    </x:row>
    <x:row r="236" ht="23" customHeight="1">
      <x:c r="A236" s="17" t="n">
        <x:f>ROW()-6</x:f>
        <x:v>230</x:v>
      </x:c>
      <x:c r="B236" s="4" t="n">
        <x:f>IF('계산 과정'!$L$5,'계산 과정'!$L$11*SQRT((A236+0.5)/'계산 과정'!$L$30),"")</x:f>
        <x:v>50.322446609962235</x:v>
      </x:c>
      <x:c r="C236" s="4" t="n">
        <x:f>A236*PI()*(3-SQRT(5))</x:f>
        <x:v>551.9915428375901</x:v>
      </x:c>
      <x:c r="D236" s="4" t="n">
        <x:f>IF('계산 과정'!$L$5,B236*COS(C236),"")</x:f>
        <x:v>30.134297428550234</x:v>
      </x:c>
      <x:c r="E236" s="4" t="n">
        <x:f>IF('계산 과정'!$L$5,B236*SIN(C236),"")</x:f>
        <x:v>-40.302267322077185</x:v>
      </x:c>
      <x:c r="F236" s="4" t="n">
        <x:f>IF('계산 과정'!$L$7,'계산 과정'!$L$22+'계산 과정'!$C$49*D236+'계산 과정'!$D$49*E236,"")</x:f>
        <x:v>628.6918339419798</x:v>
      </x:c>
      <x:c r="G236" s="4" t="n">
        <x:f>IF('계산 과정'!$L$7,IF(ABS(F236)&gt;=1E-12*MAX(1,SQRT((D236-'계산 과정'!$C$33)^2+(E236-'계산 과정'!$D$33)^2+'계산 과정'!$E$33^2)),('계산 과정'!$L$23-'계산 과정'!$C$49*D236-'계산 과정'!$D$49*E236)/F236,""),"")</x:f>
        <x:v>0.6701346244890173</x:v>
      </x:c>
      <x:c r="H236" s="4" t="n">
        <x:f>IF(AND(ISNUMBER(G236),G236&gt;0),('계산 과정'!$D$56+'계산 과정'!$D$57*D236+'계산 과정'!$D$58*E236)/F236,"")</x:f>
        <x:v>35.58750591786111</x:v>
      </x:c>
      <x:c r="I236" s="4" t="n">
        <x:f>IF(AND(ISNUMBER(G236),G236&gt;0),('계산 과정'!$E$56+'계산 과정'!$E$57*D236+'계산 과정'!$E$58*E236)/F236,"")</x:f>
        <x:v>-67.31021210001337</x:v>
      </x:c>
      <x:c r="J236" s="4" t="n">
        <x:f>IF('계산 과정'!$L$5,'계산 과정'!$D$6+'계산 과정'!$C$35*D236+'계산 과정'!$D$35*E236,"")</x:f>
        <x:v>628.6918339419798</x:v>
      </x:c>
      <x:c r="K236" s="4" t="n">
        <x:f>IF(AND('계산 과정'!$L$6,J236&gt;0),'계산 과정'!$D$10*('계산 과정'!$C$38*(D236-'계산 과정'!$C$32)+'계산 과정'!$D$38*(E236-'계산 과정'!$D$32)-'계산 과정'!$E$38*'계산 과정'!$E$32)/J236,"")</x:f>
        <x:v>0.2711429022313236</x:v>
      </x:c>
      <x:c r="L236" s="4" t="n">
        <x:f>IF(AND('계산 과정'!$L$6,J236&gt;0),'계산 과정'!$D$10*('계산 과정'!$C$39*(D236-'계산 과정'!$C$32)+'계산 과정'!$D$39*(E236-'계산 과정'!$D$32)-'계산 과정'!$E$39*'계산 과정'!$E$32)/J236,"")</x:f>
        <x:v>-0.5128397112381972</x:v>
      </x:c>
      <x:c r="M236" s="17" t="n">
        <x:f>IF('계산 과정'!$L$6,IF(J236&lt;=0,0,IF(AND(ABS(K236)&lt;='계산 과정'!$D$11/2,ABS(L236)&lt;='계산 과정'!$D$12/2),1,0)),"")</x:f>
        <x:v>1</x:v>
      </x:c>
      <x:c r="N236" s="17" t="n">
        <x:f>IF('계산 과정'!$C$78,IF(AND(ISNUMBER(H236),ISNUMBER(I236),ABS(H236-'계산 과정'!$C$88)&lt;='계산 과정'!$D$23/2,ABS(I236-'계산 과정'!$C$89)&lt;='계산 과정'!$D$24/2),1,0),"")</x:f>
        <x:v>1</x:v>
      </x:c>
      <x:c r="O236" s="4" t="n">
        <x:f>IF('계산 과정'!$L$7,'계산 과정'!$C$49*('계산 과정'!$C$32-D236)+'계산 과정'!$D$49*('계산 과정'!$D$32-E236)+'계산 과정'!$E$49*'계산 과정'!$E$32,"")</x:f>
        <x:v>21.308166058020333</x:v>
      </x:c>
      <x:c r="P236" s="4" t="n">
        <x:f>IF(AND('계산 과정'!$L$7,O236&lt;&gt;0),('계산 과정'!$L$23-'계산 과정'!$C$49*D236-'계산 과정'!$D$49*E236)/O236,"")</x:f>
        <x:v>19.77214580132489</x:v>
      </x:c>
      <x:c r="Q236" s="4" t="str">
        <x:f>IF(AND(ISNUMBER(P236),P236&gt;1E-9,P236&lt;1-1E-9),'계산 과정'!$C$47*(D236-'계산 과정'!$C$50+P236*('계산 과정'!$C$32-D236))+'계산 과정'!$D$47*(E236-'계산 과정'!$D$50+P236*('계산 과정'!$D$32-E236))+'계산 과정'!$E$47*(0-'계산 과정'!$E$50+P236*('계산 과정'!$E$32-0)),"")</x:f>
      </x:c>
      <x:c r="R236" s="4" t="str">
        <x:f>IF(AND(ISNUMBER(P236),P236&gt;1E-9,P236&lt;1-1E-9),'계산 과정'!$C$48*(D236-'계산 과정'!$C$50+P236*('계산 과정'!$C$32-D236))+'계산 과정'!$D$48*(E236-'계산 과정'!$D$50+P236*('계산 과정'!$D$32-E236))+'계산 과정'!$E$48*(0-'계산 과정'!$E$50+P236*('계산 과정'!$E$32-0)),"")</x:f>
      </x:c>
      <x:c r="S236" s="17" t="n">
        <x:f>IF('계산 과정'!$C$78,IF(AND(ISNUMBER(Q236),ISNUMBER(R236),ABS(Q236-'계산 과정'!$C$88)&lt;='계산 과정'!$D$23/2,ABS(R236-'계산 과정'!$C$89)&lt;='계산 과정'!$D$24/2),1,0),"")</x:f>
        <x:v>0</x:v>
      </x:c>
      <x:c r="T236" s="4"/>
      <x:c r="U236" s="4"/>
      <x:c r="V236" s="4"/>
      <x:c r="W236" s="4" t="n">
        <x:f>IF('계산 과정'!$C$77,('계산 과정'!$D$56+'계산 과정'!$D$57*('계산 과정'!$L$11*COS(230*2*PI()/240))+'계산 과정'!$D$58*('계산 과정'!$L$11*SIN(230*2*PI()/240)))/('계산 과정'!$D$59+'계산 과정'!$D$60*('계산 과정'!$L$11*COS(230*2*PI()/240))+'계산 과정'!$D$61*('계산 과정'!$L$11*SIN(230*2*PI()/240))),"")</x:f>
        <x:v>196.46584763259557</x:v>
      </x:c>
      <x:c r="X236" s="4" t="n">
        <x:f>IF('계산 과정'!$C$77,('계산 과정'!$E$56+'계산 과정'!$E$57*('계산 과정'!$L$11*COS(230*2*PI()/240))+'계산 과정'!$E$58*('계산 과정'!$L$11*SIN(230*2*PI()/240)))/('계산 과정'!$E$59+'계산 과정'!$E$60*('계산 과정'!$L$11*COS(230*2*PI()/240))+'계산 과정'!$E$61*('계산 과정'!$L$11*SIN(230*2*PI()/240))),"")</x:f>
        <x:v>-74.44825394703979</x:v>
      </x:c>
      <x:c r="Y236" s="4" t="str">
        <x:f>""</x:f>
      </x:c>
      <x:c r="Z236" s="4" t="str">
        <x:f>""</x:f>
      </x:c>
    </x:row>
    <x:row r="237" ht="23" customHeight="1">
      <x:c r="A237" s="17" t="n">
        <x:f>ROW()-6</x:f>
        <x:v>231</x:v>
      </x:c>
      <x:c r="B237" s="4" t="n">
        <x:f>IF('계산 과정'!$L$5,'계산 과정'!$L$11*SQRT((A237+0.5)/'계산 과정'!$L$30),"")</x:f>
        <x:v>50.43148779222659</x:v>
      </x:c>
      <x:c r="C237" s="4" t="n">
        <x:f>A237*PI()*(3-SQRT(5))</x:f>
        <x:v>554.3915060673188</x:v>
      </x:c>
      <x:c r="D237" s="4" t="n">
        <x:f>IF('계산 과정'!$L$5,B237*COS(C237),"")</x:f>
        <x:v>5.014539586668356</x:v>
      </x:c>
      <x:c r="E237" s="4" t="n">
        <x:f>IF('계산 과정'!$L$5,B237*SIN(C237),"")</x:f>
        <x:v>50.18156388227887</x:v>
      </x:c>
      <x:c r="F237" s="4" t="n">
        <x:f>IF('계산 과정'!$L$7,'계산 과정'!$L$22+'계산 과정'!$C$49*D237+'계산 과정'!$D$49*E237,"")</x:f>
        <x:v>646.4541850537385</x:v>
      </x:c>
      <x:c r="G237" s="4" t="n">
        <x:f>IF('계산 과정'!$L$7,IF(ABS(F237)&gt;=1E-12*MAX(1,SQRT((D237-'계산 과정'!$C$33)^2+(E237-'계산 과정'!$D$33)^2+'계산 과정'!$E$33^2)),('계산 과정'!$L$23-'계산 과정'!$C$49*D237-'계산 과정'!$D$49*E237)/F237,""),"")</x:f>
        <x:v>0.6242450343371443</x:v>
      </x:c>
      <x:c r="H237" s="4" t="n">
        <x:f>IF(AND(ISNUMBER(G237),G237&gt;0),('계산 과정'!$D$56+'계산 과정'!$D$57*D237+'계산 과정'!$D$58*E237)/F237,"")</x:f>
        <x:v>5.7592723191436885</x:v>
      </x:c>
      <x:c r="I237" s="4" t="n">
        <x:f>IF(AND(ISNUMBER(G237),G237&gt;0),('계산 과정'!$E$56+'계산 과정'!$E$57*D237+'계산 과정'!$E$58*E237)/F237,"")</x:f>
        <x:v>81.50715595106365</x:v>
      </x:c>
      <x:c r="J237" s="4" t="n">
        <x:f>IF('계산 과정'!$L$5,'계산 과정'!$D$6+'계산 과정'!$C$35*D237+'계산 과정'!$D$35*E237,"")</x:f>
        <x:v>646.4541850537385</x:v>
      </x:c>
      <x:c r="K237" s="4" t="n">
        <x:f>IF(AND('계산 과정'!$L$6,J237&gt;0),'계산 과정'!$D$10*('계산 과정'!$C$38*(D237-'계산 과정'!$C$32)+'계산 과정'!$D$38*(E237-'계산 과정'!$D$32)-'계산 과정'!$E$38*'계산 과정'!$E$32)/J237,"")</x:f>
        <x:v>0.04388017005061968</x:v>
      </x:c>
      <x:c r="L237" s="4" t="n">
        <x:f>IF(AND('계산 과정'!$L$6,J237&gt;0),'계산 과정'!$D$10*('계산 과정'!$C$39*(D237-'계산 과정'!$C$32)+'계산 과정'!$D$39*(E237-'계산 과정'!$D$32)-'계산 과정'!$E$39*'계산 과정'!$E$32)/J237,"")</x:f>
        <x:v>0.6210069024842945</x:v>
      </x:c>
      <x:c r="M237" s="17" t="n">
        <x:f>IF('계산 과정'!$L$6,IF(J237&lt;=0,0,IF(AND(ABS(K237)&lt;='계산 과정'!$D$11/2,ABS(L237)&lt;='계산 과정'!$D$12/2),1,0)),"")</x:f>
        <x:v>1</x:v>
      </x:c>
      <x:c r="N237" s="17" t="n">
        <x:f>IF('계산 과정'!$C$78,IF(AND(ISNUMBER(H237),ISNUMBER(I237),ABS(H237-'계산 과정'!$C$88)&lt;='계산 과정'!$D$23/2,ABS(I237-'계산 과정'!$C$89)&lt;='계산 과정'!$D$24/2),1,0),"")</x:f>
        <x:v>1</x:v>
      </x:c>
      <x:c r="O237" s="4" t="n">
        <x:f>IF('계산 과정'!$L$7,'계산 과정'!$C$49*('계산 과정'!$C$32-D237)+'계산 과정'!$D$49*('계산 과정'!$D$32-E237)+'계산 과정'!$E$49*'계산 과정'!$E$32,"")</x:f>
        <x:v>3.5458149462617143</x:v>
      </x:c>
      <x:c r="P237" s="4" t="n">
        <x:f>IF(AND('계산 과정'!$L$7,O237&lt;&gt;0),('계산 과정'!$L$23-'계산 과정'!$C$49*D237-'계산 과정'!$D$49*E237)/O237,"")</x:f>
        <x:v>113.80904561071704</x:v>
      </x:c>
      <x:c r="Q237" s="4" t="str">
        <x:f>IF(AND(ISNUMBER(P237),P237&gt;1E-9,P237&lt;1-1E-9),'계산 과정'!$C$47*(D237-'계산 과정'!$C$50+P237*('계산 과정'!$C$32-D237))+'계산 과정'!$D$47*(E237-'계산 과정'!$D$50+P237*('계산 과정'!$D$32-E237))+'계산 과정'!$E$47*(0-'계산 과정'!$E$50+P237*('계산 과정'!$E$32-0)),"")</x:f>
      </x:c>
      <x:c r="R237" s="4" t="str">
        <x:f>IF(AND(ISNUMBER(P237),P237&gt;1E-9,P237&lt;1-1E-9),'계산 과정'!$C$48*(D237-'계산 과정'!$C$50+P237*('계산 과정'!$C$32-D237))+'계산 과정'!$D$48*(E237-'계산 과정'!$D$50+P237*('계산 과정'!$D$32-E237))+'계산 과정'!$E$48*(0-'계산 과정'!$E$50+P237*('계산 과정'!$E$32-0)),"")</x:f>
      </x:c>
      <x:c r="S237" s="17" t="n">
        <x:f>IF('계산 과정'!$C$78,IF(AND(ISNUMBER(Q237),ISNUMBER(R237),ABS(Q237-'계산 과정'!$C$88)&lt;='계산 과정'!$D$23/2,ABS(R237-'계산 과정'!$C$89)&lt;='계산 과정'!$D$24/2),1,0),"")</x:f>
        <x:v>0</x:v>
      </x:c>
      <x:c r="T237" s="4"/>
      <x:c r="U237" s="4"/>
      <x:c r="V237" s="4"/>
      <x:c r="W237" s="4" t="n">
        <x:f>IF('계산 과정'!$C$77,('계산 과정'!$D$56+'계산 과정'!$D$57*('계산 과정'!$L$11*COS(231*2*PI()/240))+'계산 과정'!$D$58*('계산 과정'!$L$11*SIN(231*2*PI()/240)))/('계산 과정'!$D$59+'계산 과정'!$D$60*('계산 과정'!$L$11*COS(231*2*PI()/240))+'계산 과정'!$D$61*('계산 과정'!$L$11*SIN(231*2*PI()/240))),"")</x:f>
        <x:v>198.02374452664685</x:v>
      </x:c>
      <x:c r="X237" s="4" t="n">
        <x:f>IF('계산 과정'!$C$77,('계산 과정'!$E$56+'계산 과정'!$E$57*('계산 과정'!$L$11*COS(231*2*PI()/240))+'계산 과정'!$E$58*('계산 과정'!$L$11*SIN(231*2*PI()/240)))/('계산 과정'!$E$59+'계산 과정'!$E$60*('계산 과정'!$L$11*COS(231*2*PI()/240))+'계산 과정'!$E$61*('계산 과정'!$L$11*SIN(231*2*PI()/240))),"")</x:f>
        <x:v>-67.23354395580746</x:v>
      </x:c>
      <x:c r="Y237" s="4" t="str">
        <x:f>""</x:f>
      </x:c>
      <x:c r="Z237" s="4" t="str">
        <x:f>""</x:f>
      </x:c>
    </x:row>
    <x:row r="238" ht="23" customHeight="1">
      <x:c r="A238" s="17" t="n">
        <x:f>ROW()-6</x:f>
        <x:v>232</x:v>
      </x:c>
      <x:c r="B238" s="4" t="n">
        <x:f>IF('계산 과정'!$L$5,'계산 과정'!$L$11*SQRT((A238+0.5)/'계산 과정'!$L$30),"")</x:f>
        <x:v>50.54029371761209</x:v>
      </x:c>
      <x:c r="C238" s="4" t="n">
        <x:f>A238*PI()*(3-SQRT(5))</x:f>
        <x:v>556.7914692970475</x:v>
      </x:c>
      <x:c r="D238" s="4" t="n">
        <x:f>IF('계산 과정'!$L$5,B238*COS(C238),"")</x:f>
        <x:v>-37.67583539406159</x:v>
      </x:c>
      <x:c r="E238" s="4" t="n">
        <x:f>IF('계산 과정'!$L$5,B238*SIN(C238),"")</x:f>
        <x:v>-33.68757510451109</x:v>
      </x:c>
      <x:c r="F238" s="4" t="n">
        <x:f>IF('계산 과정'!$L$7,'계산 과정'!$L$22+'계산 과정'!$C$49*D238+'계산 과정'!$D$49*E238,"")</x:f>
        <x:v>676.6408386940091</x:v>
      </x:c>
      <x:c r="G238" s="4" t="n">
        <x:f>IF('계산 과정'!$L$7,IF(ABS(F238)&gt;=1E-12*MAX(1,SQRT((D238-'계산 과정'!$C$33)^2+(E238-'계산 과정'!$D$33)^2+'계산 과정'!$E$33^2)),('계산 과정'!$L$23-'계산 과정'!$C$49*D238-'계산 과정'!$D$49*E238)/F238,""),"")</x:f>
        <x:v>0.5517833685986424</x:v>
      </x:c>
      <x:c r="H238" s="4" t="n">
        <x:f>IF(AND(ISNUMBER(G238),G238&gt;0),('계산 과정'!$D$56+'계산 과정'!$D$57*D238+'계산 과정'!$D$58*E238)/F238,"")</x:f>
        <x:v>-41.340810410882604</x:v>
      </x:c>
      <x:c r="I238" s="4" t="n">
        <x:f>IF(AND(ISNUMBER(G238),G238&gt;0),('계산 과정'!$E$56+'계산 과정'!$E$57*D238+'계산 과정'!$E$58*E238)/F238,"")</x:f>
        <x:v>-52.27581877559799</x:v>
      </x:c>
      <x:c r="J238" s="4" t="n">
        <x:f>IF('계산 과정'!$L$5,'계산 과정'!$D$6+'계산 과정'!$C$35*D238+'계산 과정'!$D$35*E238,"")</x:f>
        <x:v>676.6408386940091</x:v>
      </x:c>
      <x:c r="K238" s="4" t="n">
        <x:f>IF(AND('계산 과정'!$L$6,J238&gt;0),'계산 과정'!$D$10*('계산 과정'!$C$38*(D238-'계산 과정'!$C$32)+'계산 과정'!$D$38*(E238-'계산 과정'!$D$32)-'계산 과정'!$E$38*'계산 과정'!$E$32)/J238,"")</x:f>
        <x:v>-0.3149776031305335</x:v>
      </x:c>
      <x:c r="L238" s="4" t="n">
        <x:f>IF(AND('계산 과정'!$L$6,J238&gt;0),'계산 과정'!$D$10*('계산 과정'!$C$39*(D238-'계산 과정'!$C$32)+'계산 과정'!$D$39*(E238-'계산 과정'!$D$32)-'계산 과정'!$E$39*'계산 과정'!$E$32)/J238,"")</x:f>
        <x:v>-0.39829195257598465</x:v>
      </x:c>
      <x:c r="M238" s="17" t="n">
        <x:f>IF('계산 과정'!$L$6,IF(J238&lt;=0,0,IF(AND(ABS(K238)&lt;='계산 과정'!$D$11/2,ABS(L238)&lt;='계산 과정'!$D$12/2),1,0)),"")</x:f>
        <x:v>1</x:v>
      </x:c>
      <x:c r="N238" s="17" t="n">
        <x:f>IF('계산 과정'!$C$78,IF(AND(ISNUMBER(H238),ISNUMBER(I238),ABS(H238-'계산 과정'!$C$88)&lt;='계산 과정'!$D$23/2,ABS(I238-'계산 과정'!$C$89)&lt;='계산 과정'!$D$24/2),1,0),"")</x:f>
        <x:v>1</x:v>
      </x:c>
      <x:c r="O238" s="4" t="n">
        <x:f>IF('계산 과정'!$L$7,'계산 과정'!$C$49*('계산 과정'!$C$32-D238)+'계산 과정'!$D$49*('계산 과정'!$D$32-E238)+'계산 과정'!$E$49*'계산 과정'!$E$32,"")</x:f>
        <x:v>-26.640838694009005</x:v>
      </x:c>
      <x:c r="P238" s="4" t="n">
        <x:f>IF(AND('계산 과정'!$L$7,O238&lt;&gt;0),('계산 과정'!$L$23-'계산 과정'!$C$49*D238-'계산 과정'!$D$49*E238)/O238,"")</x:f>
        <x:v>-14.01454231956864</x:v>
      </x:c>
      <x:c r="Q238" s="4" t="str">
        <x:f>IF(AND(ISNUMBER(P238),P238&gt;1E-9,P238&lt;1-1E-9),'계산 과정'!$C$47*(D238-'계산 과정'!$C$50+P238*('계산 과정'!$C$32-D238))+'계산 과정'!$D$47*(E238-'계산 과정'!$D$50+P238*('계산 과정'!$D$32-E238))+'계산 과정'!$E$47*(0-'계산 과정'!$E$50+P238*('계산 과정'!$E$32-0)),"")</x:f>
      </x:c>
      <x:c r="R238" s="4" t="str">
        <x:f>IF(AND(ISNUMBER(P238),P238&gt;1E-9,P238&lt;1-1E-9),'계산 과정'!$C$48*(D238-'계산 과정'!$C$50+P238*('계산 과정'!$C$32-D238))+'계산 과정'!$D$48*(E238-'계산 과정'!$D$50+P238*('계산 과정'!$D$32-E238))+'계산 과정'!$E$48*(0-'계산 과정'!$E$50+P238*('계산 과정'!$E$32-0)),"")</x:f>
      </x:c>
      <x:c r="S238" s="17" t="n">
        <x:f>IF('계산 과정'!$C$78,IF(AND(ISNUMBER(Q238),ISNUMBER(R238),ABS(Q238-'계산 과정'!$C$88)&lt;='계산 과정'!$D$23/2,ABS(R238-'계산 과정'!$C$89)&lt;='계산 과정'!$D$24/2),1,0),"")</x:f>
        <x:v>0</x:v>
      </x:c>
      <x:c r="T238" s="4"/>
      <x:c r="U238" s="4"/>
      <x:c r="V238" s="4"/>
      <x:c r="W238" s="4" t="n">
        <x:f>IF('계산 과정'!$C$77,('계산 과정'!$D$56+'계산 과정'!$D$57*('계산 과정'!$L$11*COS(232*2*PI()/240))+'계산 과정'!$D$58*('계산 과정'!$L$11*SIN(232*2*PI()/240)))/('계산 과정'!$D$59+'계산 과정'!$D$60*('계산 과정'!$L$11*COS(232*2*PI()/240))+'계산 과정'!$D$61*('계산 과정'!$L$11*SIN(232*2*PI()/240))),"")</x:f>
        <x:v>199.42384677888708</x:v>
      </x:c>
      <x:c r="X238" s="4" t="n">
        <x:f>IF('계산 과정'!$C$77,('계산 과정'!$E$56+'계산 과정'!$E$57*('계산 과정'!$L$11*COS(232*2*PI()/240))+'계산 과정'!$E$58*('계산 과정'!$L$11*SIN(232*2*PI()/240)))/('계산 과정'!$E$59+'계산 과정'!$E$60*('계산 과정'!$L$11*COS(232*2*PI()/240))+'계산 과정'!$E$61*('계산 과정'!$L$11*SIN(232*2*PI()/240))),"")</x:f>
        <x:v>-59.94688258426778</x:v>
      </x:c>
      <x:c r="Y238" s="4" t="str">
        <x:f>""</x:f>
      </x:c>
      <x:c r="Z238" s="4" t="str">
        <x:f>""</x:f>
      </x:c>
    </x:row>
    <x:row r="239" ht="23" customHeight="1">
      <x:c r="A239" s="17" t="n">
        <x:f>ROW()-6</x:f>
        <x:v>233</x:v>
      </x:c>
      <x:c r="B239" s="4" t="n">
        <x:f>IF('계산 과정'!$L$5,'계산 과정'!$L$11*SQRT((A239+0.5)/'계산 과정'!$L$30),"")</x:f>
        <x:v>50.64886590228354</x:v>
      </x:c>
      <x:c r="C239" s="4" t="n">
        <x:f>A239*PI()*(3-SQRT(5))</x:f>
        <x:v>559.1914325267761</x:v>
      </x:c>
      <x:c r="D239" s="4" t="n">
        <x:f>IF('계산 과정'!$L$5,B239*COS(C239),"")</x:f>
        <x:v>50.64518278493436</x:v>
      </x:c>
      <x:c r="E239" s="4" t="n">
        <x:f>IF('계산 과정'!$L$5,B239*SIN(C239),"")</x:f>
        <x:v>-0.6108010053104022</x:v>
      </x:c>
      <x:c r="F239" s="4" t="n">
        <x:f>IF('계산 과정'!$L$7,'계산 과정'!$L$22+'계산 과정'!$C$49*D239+'계산 과정'!$D$49*E239,"")</x:f>
        <x:v>614.1884478183407</x:v>
      </x:c>
      <x:c r="G239" s="4" t="n">
        <x:f>IF('계산 과정'!$L$7,IF(ABS(F239)&gt;=1E-12*MAX(1,SQRT((D239-'계산 과정'!$C$33)^2+(E239-'계산 과정'!$D$33)^2+'계산 과정'!$E$33^2)),('계산 과정'!$L$23-'계산 과정'!$C$49*D239-'계산 과정'!$D$49*E239)/F239,""),"")</x:f>
        <x:v>0.7095730206742017</x:v>
      </x:c>
      <x:c r="H239" s="4" t="n">
        <x:f>IF(AND(ISNUMBER(G239),G239&gt;0),('계산 과정'!$D$56+'계산 과정'!$D$57*D239+'계산 과정'!$D$58*E239)/F239,"")</x:f>
        <x:v>61.22246343823097</x:v>
      </x:c>
      <x:c r="I239" s="4" t="n">
        <x:f>IF(AND(ISNUMBER(G239),G239&gt;0),('계산 과정'!$E$56+'계산 과정'!$E$57*D239+'계산 과정'!$E$58*E239)/F239,"")</x:f>
        <x:v>-1.0442089196793434</x:v>
      </x:c>
      <x:c r="J239" s="4" t="n">
        <x:f>IF('계산 과정'!$L$5,'계산 과정'!$D$6+'계산 과정'!$C$35*D239+'계산 과정'!$D$35*E239,"")</x:f>
        <x:v>614.1884478183407</x:v>
      </x:c>
      <x:c r="K239" s="4" t="n">
        <x:f>IF(AND('계산 과정'!$L$6,J239&gt;0),'계산 과정'!$D$10*('계산 과정'!$C$38*(D239-'계산 과정'!$C$32)+'계산 과정'!$D$38*(E239-'계산 과정'!$D$32)-'계산 과정'!$E$38*'계산 과정'!$E$32)/J239,"")</x:f>
        <x:v>0.4664568642912844</x:v>
      </x:c>
      <x:c r="L239" s="4" t="n">
        <x:f>IF(AND('계산 과정'!$L$6,J239&gt;0),'계산 과정'!$D$10*('계산 과정'!$C$39*(D239-'계산 과정'!$C$32)+'계산 과정'!$D$39*(E239-'계산 과정'!$D$32)-'계산 과정'!$E$39*'계산 과정'!$E$32)/J239,"")</x:f>
        <x:v>-0.007955877483271187</x:v>
      </x:c>
      <x:c r="M239" s="17" t="n">
        <x:f>IF('계산 과정'!$L$6,IF(J239&lt;=0,0,IF(AND(ABS(K239)&lt;='계산 과정'!$D$11/2,ABS(L239)&lt;='계산 과정'!$D$12/2),1,0)),"")</x:f>
        <x:v>1</x:v>
      </x:c>
      <x:c r="N239" s="17" t="n">
        <x:f>IF('계산 과정'!$C$78,IF(AND(ISNUMBER(H239),ISNUMBER(I239),ABS(H239-'계산 과정'!$C$88)&lt;='계산 과정'!$D$23/2,ABS(I239-'계산 과정'!$C$89)&lt;='계산 과정'!$D$24/2),1,0),"")</x:f>
        <x:v>1</x:v>
      </x:c>
      <x:c r="O239" s="4" t="n">
        <x:f>IF('계산 과정'!$L$7,'계산 과정'!$C$49*('계산 과정'!$C$32-D239)+'계산 과정'!$D$49*('계산 과정'!$D$32-E239)+'계산 과정'!$E$49*'계산 과정'!$E$32,"")</x:f>
        <x:v>35.81155218165941</x:v>
      </x:c>
      <x:c r="P239" s="4" t="n">
        <x:f>IF(AND('계산 과정'!$L$7,O239&lt;&gt;0),('계산 과정'!$L$23-'계산 과정'!$C$49*D239-'계산 과정'!$D$49*E239)/O239,"")</x:f>
        <x:v>12.169580083291017</x:v>
      </x:c>
      <x:c r="Q239" s="4" t="str">
        <x:f>IF(AND(ISNUMBER(P239),P239&gt;1E-9,P239&lt;1-1E-9),'계산 과정'!$C$47*(D239-'계산 과정'!$C$50+P239*('계산 과정'!$C$32-D239))+'계산 과정'!$D$47*(E239-'계산 과정'!$D$50+P239*('계산 과정'!$D$32-E239))+'계산 과정'!$E$47*(0-'계산 과정'!$E$50+P239*('계산 과정'!$E$32-0)),"")</x:f>
      </x:c>
      <x:c r="R239" s="4" t="str">
        <x:f>IF(AND(ISNUMBER(P239),P239&gt;1E-9,P239&lt;1-1E-9),'계산 과정'!$C$48*(D239-'계산 과정'!$C$50+P239*('계산 과정'!$C$32-D239))+'계산 과정'!$D$48*(E239-'계산 과정'!$D$50+P239*('계산 과정'!$D$32-E239))+'계산 과정'!$E$48*(0-'계산 과정'!$E$50+P239*('계산 과정'!$E$32-0)),"")</x:f>
      </x:c>
      <x:c r="S239" s="17" t="n">
        <x:f>IF('계산 과정'!$C$78,IF(AND(ISNUMBER(Q239),ISNUMBER(R239),ABS(Q239-'계산 과정'!$C$88)&lt;='계산 과정'!$D$23/2,ABS(R239-'계산 과정'!$C$89)&lt;='계산 과정'!$D$24/2),1,0),"")</x:f>
        <x:v>0</x:v>
      </x:c>
      <x:c r="T239" s="4"/>
      <x:c r="U239" s="4"/>
      <x:c r="V239" s="4"/>
      <x:c r="W239" s="4" t="n">
        <x:f>IF('계산 과정'!$C$77,('계산 과정'!$D$56+'계산 과정'!$D$57*('계산 과정'!$L$11*COS(233*2*PI()/240))+'계산 과정'!$D$58*('계산 과정'!$L$11*SIN(233*2*PI()/240)))/('계산 과정'!$D$59+'계산 과정'!$D$60*('계산 과정'!$L$11*COS(233*2*PI()/240))+'계산 과정'!$D$61*('계산 과정'!$L$11*SIN(233*2*PI()/240))),"")</x:f>
        <x:v>200.66411619688353</x:v>
      </x:c>
      <x:c r="X239" s="4" t="n">
        <x:f>IF('계산 과정'!$C$77,('계산 과정'!$E$56+'계산 과정'!$E$57*('계산 과정'!$L$11*COS(233*2*PI()/240))+'계산 과정'!$E$58*('계산 과정'!$L$11*SIN(233*2*PI()/240)))/('계산 과정'!$E$59+'계산 과정'!$E$60*('계산 과정'!$L$11*COS(233*2*PI()/240))+'계산 과정'!$E$61*('계산 과정'!$L$11*SIN(233*2*PI()/240))),"")</x:f>
        <x:v>-52.59586902214886</x:v>
      </x:c>
      <x:c r="Y239" s="4" t="str">
        <x:f>""</x:f>
      </x:c>
      <x:c r="Z239" s="4" t="str">
        <x:f>""</x:f>
      </x:c>
    </x:row>
    <x:row r="240" ht="23" customHeight="1">
      <x:c r="A240" s="17" t="n">
        <x:f>ROW()-6</x:f>
        <x:v>234</x:v>
      </x:c>
      <x:c r="B240" s="4" t="n">
        <x:f>IF('계산 과정'!$L$5,'계산 과정'!$L$11*SQRT((A240+0.5)/'계산 과정'!$L$30),"")</x:f>
        <x:v>50.757205846189954</x:v>
      </x:c>
      <x:c r="C240" s="4" t="n">
        <x:f>A240*PI()*(3-SQRT(5))</x:f>
        <x:v>561.5913957565048</x:v>
      </x:c>
      <x:c r="D240" s="4" t="n">
        <x:f>IF('계산 과정'!$L$5,B240*COS(C240),"")</x:f>
        <x:v>-37.01058960625101</x:v>
      </x:c>
      <x:c r="E240" s="4" t="n">
        <x:f>IF('계산 과정'!$L$5,B240*SIN(C240),"")</x:f>
        <x:v>34.73485572605944</x:v>
      </x:c>
      <x:c r="F240" s="4" t="n">
        <x:f>IF('계산 과정'!$L$7,'계산 과정'!$L$22+'계산 과정'!$C$49*D240+'계산 과정'!$D$49*E240,"")</x:f>
        <x:v>676.1704388862925</x:v>
      </x:c>
      <x:c r="G240" s="4" t="n">
        <x:f>IF('계산 과정'!$L$7,IF(ABS(F240)&gt;=1E-12*MAX(1,SQRT((D240-'계산 과정'!$C$33)^2+(E240-'계산 과정'!$D$33)^2+'계산 과정'!$E$33^2)),('계산 과정'!$L$23-'계산 과정'!$C$49*D240-'계산 과정'!$D$49*E240)/F240,""),"")</x:f>
        <x:v>0.5528629168252832</x:v>
      </x:c>
      <x:c r="H240" s="4" t="n">
        <x:f>IF(AND(ISNUMBER(G240),G240&gt;0),('계산 과정'!$D$56+'계산 과정'!$D$57*D240+'계산 과정'!$D$58*E240)/F240,"")</x:f>
        <x:v>-40.639104063566016</x:v>
      </x:c>
      <x:c r="I240" s="4" t="n">
        <x:f>IF(AND(ISNUMBER(G240),G240&gt;0),('계산 과정'!$E$56+'계산 과정'!$E$57*D240+'계산 과정'!$E$58*E240)/F240,"")</x:f>
        <x:v>53.93846937827405</x:v>
      </x:c>
      <x:c r="J240" s="4" t="n">
        <x:f>IF('계산 과정'!$L$5,'계산 과정'!$D$6+'계산 과정'!$C$35*D240+'계산 과정'!$D$35*E240,"")</x:f>
        <x:v>676.1704388862925</x:v>
      </x:c>
      <x:c r="K240" s="4" t="n">
        <x:f>IF(AND('계산 과정'!$L$6,J240&gt;0),'계산 과정'!$D$10*('계산 과정'!$C$38*(D240-'계산 과정'!$C$32)+'계산 과정'!$D$38*(E240-'계산 과정'!$D$32)-'계산 과정'!$E$38*'계산 과정'!$E$32)/J240,"")</x:f>
        <x:v>-0.30963126905574034</x:v>
      </x:c>
      <x:c r="L240" s="4" t="n">
        <x:f>IF(AND('계산 과정'!$L$6,J240&gt;0),'계산 과정'!$D$10*('계산 과정'!$C$39*(D240-'계산 과정'!$C$32)+'계산 과정'!$D$39*(E240-'계산 과정'!$D$32)-'계산 과정'!$E$39*'계산 과정'!$E$32)/J240,"")</x:f>
        <x:v>0.4109597666916119</x:v>
      </x:c>
      <x:c r="M240" s="17" t="n">
        <x:f>IF('계산 과정'!$L$6,IF(J240&lt;=0,0,IF(AND(ABS(K240)&lt;='계산 과정'!$D$11/2,ABS(L240)&lt;='계산 과정'!$D$12/2),1,0)),"")</x:f>
        <x:v>1</x:v>
      </x:c>
      <x:c r="N240" s="17" t="n">
        <x:f>IF('계산 과정'!$C$78,IF(AND(ISNUMBER(H240),ISNUMBER(I240),ABS(H240-'계산 과정'!$C$88)&lt;='계산 과정'!$D$23/2,ABS(I240-'계산 과정'!$C$89)&lt;='계산 과정'!$D$24/2),1,0),"")</x:f>
        <x:v>1</x:v>
      </x:c>
      <x:c r="O240" s="4" t="n">
        <x:f>IF('계산 과정'!$L$7,'계산 과정'!$C$49*('계산 과정'!$C$32-D240)+'계산 과정'!$D$49*('계산 과정'!$D$32-E240)+'계산 과정'!$E$49*'계산 과정'!$E$32,"")</x:f>
        <x:v>-26.170438886292345</x:v>
      </x:c>
      <x:c r="P240" s="4" t="n">
        <x:f>IF(AND('계산 과정'!$L$7,O240&lt;&gt;0),('계산 과정'!$L$23-'계산 과정'!$C$49*D240-'계산 과정'!$D$49*E240)/O240,"")</x:f>
        <x:v>-14.284420782469699</x:v>
      </x:c>
      <x:c r="Q240" s="4" t="str">
        <x:f>IF(AND(ISNUMBER(P240),P240&gt;1E-9,P240&lt;1-1E-9),'계산 과정'!$C$47*(D240-'계산 과정'!$C$50+P240*('계산 과정'!$C$32-D240))+'계산 과정'!$D$47*(E240-'계산 과정'!$D$50+P240*('계산 과정'!$D$32-E240))+'계산 과정'!$E$47*(0-'계산 과정'!$E$50+P240*('계산 과정'!$E$32-0)),"")</x:f>
      </x:c>
      <x:c r="R240" s="4" t="str">
        <x:f>IF(AND(ISNUMBER(P240),P240&gt;1E-9,P240&lt;1-1E-9),'계산 과정'!$C$48*(D240-'계산 과정'!$C$50+P240*('계산 과정'!$C$32-D240))+'계산 과정'!$D$48*(E240-'계산 과정'!$D$50+P240*('계산 과정'!$D$32-E240))+'계산 과정'!$E$48*(0-'계산 과정'!$E$50+P240*('계산 과정'!$E$32-0)),"")</x:f>
      </x:c>
      <x:c r="S240" s="17" t="n">
        <x:f>IF('계산 과정'!$C$78,IF(AND(ISNUMBER(Q240),ISNUMBER(R240),ABS(Q240-'계산 과정'!$C$88)&lt;='계산 과정'!$D$23/2,ABS(R240-'계산 과정'!$C$89)&lt;='계산 과정'!$D$24/2),1,0),"")</x:f>
        <x:v>0</x:v>
      </x:c>
      <x:c r="T240" s="4"/>
      <x:c r="U240" s="4"/>
      <x:c r="V240" s="4"/>
      <x:c r="W240" s="4" t="n">
        <x:f>IF('계산 과정'!$C$77,('계산 과정'!$D$56+'계산 과정'!$D$57*('계산 과정'!$L$11*COS(234*2*PI()/240))+'계산 과정'!$D$58*('계산 과정'!$L$11*SIN(234*2*PI()/240)))/('계산 과정'!$D$59+'계산 과정'!$D$60*('계산 과정'!$L$11*COS(234*2*PI()/240))+'계산 과정'!$D$61*('계산 과정'!$L$11*SIN(234*2*PI()/240))),"")</x:f>
        <x:v>201.74273882826319</x:v>
      </x:c>
      <x:c r="X240" s="4" t="n">
        <x:f>IF('계산 과정'!$C$77,('계산 과정'!$E$56+'계산 과정'!$E$57*('계산 과정'!$L$11*COS(234*2*PI()/240))+'계산 과정'!$E$58*('계산 과정'!$L$11*SIN(234*2*PI()/240)))/('계산 과정'!$E$59+'계산 과정'!$E$60*('계산 과정'!$L$11*COS(234*2*PI()/240))+'계산 과정'!$E$61*('계산 과정'!$L$11*SIN(234*2*PI()/240))),"")</x:f>
        <x:v>-45.18823978075226</x:v>
      </x:c>
      <x:c r="Y240" s="4" t="str">
        <x:f>""</x:f>
      </x:c>
      <x:c r="Z240" s="4" t="str">
        <x:f>""</x:f>
      </x:c>
    </x:row>
    <x:row r="241" ht="23" customHeight="1">
      <x:c r="A241" s="17" t="n">
        <x:f>ROW()-6</x:f>
        <x:v>235</x:v>
      </x:c>
      <x:c r="B241" s="4" t="n">
        <x:f>IF('계산 과정'!$L$5,'계산 과정'!$L$11*SQRT((A241+0.5)/'계산 과정'!$L$30),"")</x:f>
        <x:v>50.865315033306345</x:v>
      </x:c>
      <x:c r="C241" s="4" t="n">
        <x:f>A241*PI()*(3-SQRT(5))</x:f>
        <x:v>563.9913589862334</x:v>
      </x:c>
      <x:c r="D241" s="4" t="n">
        <x:f>IF('계산 과정'!$L$5,B241*COS(C241),"")</x:f>
        <x:v>3.835551103275717</x:v>
      </x:c>
      <x:c r="E241" s="4" t="n">
        <x:f>IF('계산 과정'!$L$5,B241*SIN(C241),"")</x:f>
        <x:v>-50.7204970517015</x:v>
      </x:c>
      <x:c r="F241" s="4" t="n">
        <x:f>IF('계산 과정'!$L$7,'계산 과정'!$L$22+'계산 과정'!$C$49*D241+'계산 과정'!$D$49*E241,"")</x:f>
        <x:v>647.2878558052862</x:v>
      </x:c>
      <x:c r="G241" s="4" t="n">
        <x:f>IF('계산 과정'!$L$7,IF(ABS(F241)&gt;=1E-12*MAX(1,SQRT((D241-'계산 과정'!$C$33)^2+(E241-'계산 과정'!$D$33)^2+'계산 과정'!$E$33^2)),('계산 과정'!$L$23-'계산 과정'!$C$49*D241-'계산 과정'!$D$49*E241)/F241,""),"")</x:f>
        <x:v>0.6221530970849167</x:v>
      </x:c>
      <x:c r="H241" s="4" t="n">
        <x:f>IF(AND(ISNUMBER(G241),G241&gt;0),('계산 과정'!$D$56+'계산 과정'!$D$57*D241+'계산 과정'!$D$58*E241)/F241,"")</x:f>
        <x:v>4.39951310519576</x:v>
      </x:c>
      <x:c r="I241" s="4" t="n">
        <x:f>IF(AND(ISNUMBER(G241),G241&gt;0),('계산 과정'!$E$56+'계산 과정'!$E$57*D241+'계산 과정'!$E$58*E241)/F241,"")</x:f>
        <x:v>-82.27641137810397</x:v>
      </x:c>
      <x:c r="J241" s="4" t="n">
        <x:f>IF('계산 과정'!$L$5,'계산 과정'!$D$6+'계산 과정'!$C$35*D241+'계산 과정'!$D$35*E241,"")</x:f>
        <x:v>647.2878558052862</x:v>
      </x:c>
      <x:c r="K241" s="4" t="n">
        <x:f>IF(AND('계산 과정'!$L$6,J241&gt;0),'계산 과정'!$D$10*('계산 과정'!$C$38*(D241-'계산 과정'!$C$32)+'계산 과정'!$D$38*(E241-'계산 과정'!$D$32)-'계산 과정'!$E$38*'계산 과정'!$E$32)/J241,"")</x:f>
        <x:v>0.03352009984911139</x:v>
      </x:c>
      <x:c r="L241" s="4" t="n">
        <x:f>IF(AND('계산 과정'!$L$6,J241&gt;0),'계산 과정'!$D$10*('계산 과정'!$C$39*(D241-'계산 과정'!$C$32)+'계산 과정'!$D$39*(E241-'계산 과정'!$D$32)-'계산 과정'!$E$39*'계산 과정'!$E$32)/J241,"")</x:f>
        <x:v>-0.6268678962141255</x:v>
      </x:c>
      <x:c r="M241" s="17" t="n">
        <x:f>IF('계산 과정'!$L$6,IF(J241&lt;=0,0,IF(AND(ABS(K241)&lt;='계산 과정'!$D$11/2,ABS(L241)&lt;='계산 과정'!$D$12/2),1,0)),"")</x:f>
        <x:v>1</x:v>
      </x:c>
      <x:c r="N241" s="17" t="n">
        <x:f>IF('계산 과정'!$C$78,IF(AND(ISNUMBER(H241),ISNUMBER(I241),ABS(H241-'계산 과정'!$C$88)&lt;='계산 과정'!$D$23/2,ABS(I241-'계산 과정'!$C$89)&lt;='계산 과정'!$D$24/2),1,0),"")</x:f>
        <x:v>1</x:v>
      </x:c>
      <x:c r="O241" s="4" t="n">
        <x:f>IF('계산 과정'!$L$7,'계산 과정'!$C$49*('계산 과정'!$C$32-D241)+'계산 과정'!$D$49*('계산 과정'!$D$32-E241)+'계산 과정'!$E$49*'계산 과정'!$E$32,"")</x:f>
        <x:v>2.7121441947139147</x:v>
      </x:c>
      <x:c r="P241" s="4" t="n">
        <x:f>IF(AND('계산 과정'!$L$7,O241&lt;&gt;0),('계산 과정'!$L$23-'계산 과정'!$C$49*D241-'계산 과정'!$D$49*E241)/O241,"")</x:f>
        <x:v>148.4847837292785</x:v>
      </x:c>
      <x:c r="Q241" s="4" t="str">
        <x:f>IF(AND(ISNUMBER(P241),P241&gt;1E-9,P241&lt;1-1E-9),'계산 과정'!$C$47*(D241-'계산 과정'!$C$50+P241*('계산 과정'!$C$32-D241))+'계산 과정'!$D$47*(E241-'계산 과정'!$D$50+P241*('계산 과정'!$D$32-E241))+'계산 과정'!$E$47*(0-'계산 과정'!$E$50+P241*('계산 과정'!$E$32-0)),"")</x:f>
      </x:c>
      <x:c r="R241" s="4" t="str">
        <x:f>IF(AND(ISNUMBER(P241),P241&gt;1E-9,P241&lt;1-1E-9),'계산 과정'!$C$48*(D241-'계산 과정'!$C$50+P241*('계산 과정'!$C$32-D241))+'계산 과정'!$D$48*(E241-'계산 과정'!$D$50+P241*('계산 과정'!$D$32-E241))+'계산 과정'!$E$48*(0-'계산 과정'!$E$50+P241*('계산 과정'!$E$32-0)),"")</x:f>
      </x:c>
      <x:c r="S241" s="17" t="n">
        <x:f>IF('계산 과정'!$C$78,IF(AND(ISNUMBER(Q241),ISNUMBER(R241),ABS(Q241-'계산 과정'!$C$88)&lt;='계산 과정'!$D$23/2,ABS(R241-'계산 과정'!$C$89)&lt;='계산 과정'!$D$24/2),1,0),"")</x:f>
        <x:v>0</x:v>
      </x:c>
      <x:c r="T241" s="4"/>
      <x:c r="U241" s="4"/>
      <x:c r="V241" s="4"/>
      <x:c r="W241" s="4" t="n">
        <x:f>IF('계산 과정'!$C$77,('계산 과정'!$D$56+'계산 과정'!$D$57*('계산 과정'!$L$11*COS(235*2*PI()/240))+'계산 과정'!$D$58*('계산 과정'!$L$11*SIN(235*2*PI()/240)))/('계산 과정'!$D$59+'계산 과정'!$D$60*('계산 과정'!$L$11*COS(235*2*PI()/240))+'계산 과정'!$D$61*('계산 과정'!$L$11*SIN(235*2*PI()/240))),"")</x:f>
        <x:v>202.6581306823082</x:v>
      </x:c>
      <x:c r="X241" s="4" t="n">
        <x:f>IF('계산 과정'!$C$77,('계산 과정'!$E$56+'계산 과정'!$E$57*('계산 과정'!$L$11*COS(235*2*PI()/240))+'계산 과정'!$E$58*('계산 과정'!$L$11*SIN(235*2*PI()/240)))/('계산 과정'!$E$59+'계산 과정'!$E$60*('계산 과정'!$L$11*COS(235*2*PI()/240))+'계산 과정'!$E$61*('계산 과정'!$L$11*SIN(235*2*PI()/240))),"")</x:f>
        <x:v>-37.73185291187298</x:v>
      </x:c>
      <x:c r="Y241" s="4" t="str">
        <x:f>""</x:f>
      </x:c>
      <x:c r="Z241" s="4" t="str">
        <x:f>""</x:f>
      </x:c>
    </x:row>
    <x:row r="242" ht="23" customHeight="1">
      <x:c r="A242" s="17" t="n">
        <x:f>ROW()-6</x:f>
        <x:v>236</x:v>
      </x:c>
      <x:c r="B242" s="4" t="n">
        <x:f>IF('계산 과정'!$L$5,'계산 과정'!$L$11*SQRT((A242+0.5)/'계산 과정'!$L$30),"")</x:f>
        <x:v>50.973194931870815</x:v>
      </x:c>
      <x:c r="C242" s="4" t="n">
        <x:f>A242*PI()*(3-SQRT(5))</x:f>
        <x:v>566.3913222159621</x:v>
      </x:c>
      <x:c r="D242" s="4" t="n">
        <x:f>IF('계산 과정'!$L$5,B242*COS(C242),"")</x:f>
        <x:v>31.499653472716684</x:v>
      </x:c>
      <x:c r="E242" s="4" t="n">
        <x:f>IF('계산 과정'!$L$5,B242*SIN(C242),"")</x:f>
        <x:v>40.07540932618491</x:v>
      </x:c>
      <x:c r="F242" s="4" t="n">
        <x:f>IF('계산 과정'!$L$7,'계산 과정'!$L$22+'계산 과정'!$C$49*D242+'계산 과정'!$D$49*E242,"")</x:f>
        <x:v>627.7263814244156</x:v>
      </x:c>
      <x:c r="G242" s="4" t="n">
        <x:f>IF('계산 과정'!$L$7,IF(ABS(F242)&gt;=1E-12*MAX(1,SQRT((D242-'계산 과정'!$C$33)^2+(E242-'계산 과정'!$D$33)^2+'계산 과정'!$E$33^2)),('계산 과정'!$L$23-'계산 과정'!$C$49*D242-'계산 과정'!$D$49*E242)/F242,""),"")</x:f>
        <x:v>0.6727033163993764</x:v>
      </x:c>
      <x:c r="H242" s="4" t="n">
        <x:f>IF(AND(ISNUMBER(G242),G242&gt;0),('계산 과정'!$D$56+'계산 과정'!$D$57*D242+'계산 과정'!$D$58*E242)/F242,"")</x:f>
        <x:v>37.25715565959459</x:v>
      </x:c>
      <x:c r="I242" s="4" t="n">
        <x:f>IF(AND(ISNUMBER(G242),G242&gt;0),('계산 과정'!$E$56+'계산 과정'!$E$57*D242+'계산 과정'!$E$58*E242)/F242,"")</x:f>
        <x:v>67.034270085972</x:v>
      </x:c>
      <x:c r="J242" s="4" t="n">
        <x:f>IF('계산 과정'!$L$5,'계산 과정'!$D$6+'계산 과정'!$C$35*D242+'계산 과정'!$D$35*E242,"")</x:f>
        <x:v>627.7263814244156</x:v>
      </x:c>
      <x:c r="K242" s="4" t="n">
        <x:f>IF(AND('계산 과정'!$L$6,J242&gt;0),'계산 과정'!$D$10*('계산 과정'!$C$38*(D242-'계산 과정'!$C$32)+'계산 과정'!$D$38*(E242-'계산 과정'!$D$32)-'계산 과정'!$E$38*'계산 과정'!$E$32)/J242,"")</x:f>
        <x:v>0.2838640431207215</x:v>
      </x:c>
      <x:c r="L242" s="4" t="n">
        <x:f>IF(AND('계산 과정'!$L$6,J242&gt;0),'계산 과정'!$D$10*('계산 과정'!$C$39*(D242-'계산 과정'!$C$32)+'계산 과정'!$D$39*(E242-'계산 과정'!$D$32)-'계산 과정'!$E$39*'계산 과정'!$E$32)/J242,"")</x:f>
        <x:v>0.51073729589312</x:v>
      </x:c>
      <x:c r="M242" s="17" t="n">
        <x:f>IF('계산 과정'!$L$6,IF(J242&lt;=0,0,IF(AND(ABS(K242)&lt;='계산 과정'!$D$11/2,ABS(L242)&lt;='계산 과정'!$D$12/2),1,0)),"")</x:f>
        <x:v>1</x:v>
      </x:c>
      <x:c r="N242" s="17" t="n">
        <x:f>IF('계산 과정'!$C$78,IF(AND(ISNUMBER(H242),ISNUMBER(I242),ABS(H242-'계산 과정'!$C$88)&lt;='계산 과정'!$D$23/2,ABS(I242-'계산 과정'!$C$89)&lt;='계산 과정'!$D$24/2),1,0),"")</x:f>
        <x:v>1</x:v>
      </x:c>
      <x:c r="O242" s="4" t="n">
        <x:f>IF('계산 과정'!$L$7,'계산 과정'!$C$49*('계산 과정'!$C$32-D242)+'계산 과정'!$D$49*('계산 과정'!$D$32-E242)+'계산 과정'!$E$49*'계산 과정'!$E$32,"")</x:f>
        <x:v>22.273618575584464</x:v>
      </x:c>
      <x:c r="P242" s="4" t="n">
        <x:f>IF(AND('계산 과정'!$L$7,O242&lt;&gt;0),('계산 과정'!$L$23-'계산 과정'!$C$49*D242-'계산 과정'!$D$49*E242)/O242,"")</x:f>
        <x:v>18.958465017375552</x:v>
      </x:c>
      <x:c r="Q242" s="4" t="str">
        <x:f>IF(AND(ISNUMBER(P242),P242&gt;1E-9,P242&lt;1-1E-9),'계산 과정'!$C$47*(D242-'계산 과정'!$C$50+P242*('계산 과정'!$C$32-D242))+'계산 과정'!$D$47*(E242-'계산 과정'!$D$50+P242*('계산 과정'!$D$32-E242))+'계산 과정'!$E$47*(0-'계산 과정'!$E$50+P242*('계산 과정'!$E$32-0)),"")</x:f>
      </x:c>
      <x:c r="R242" s="4" t="str">
        <x:f>IF(AND(ISNUMBER(P242),P242&gt;1E-9,P242&lt;1-1E-9),'계산 과정'!$C$48*(D242-'계산 과정'!$C$50+P242*('계산 과정'!$C$32-D242))+'계산 과정'!$D$48*(E242-'계산 과정'!$D$50+P242*('계산 과정'!$D$32-E242))+'계산 과정'!$E$48*(0-'계산 과정'!$E$50+P242*('계산 과정'!$E$32-0)),"")</x:f>
      </x:c>
      <x:c r="S242" s="17" t="n">
        <x:f>IF('계산 과정'!$C$78,IF(AND(ISNUMBER(Q242),ISNUMBER(R242),ABS(Q242-'계산 과정'!$C$88)&lt;='계산 과정'!$D$23/2,ABS(R242-'계산 과정'!$C$89)&lt;='계산 과정'!$D$24/2),1,0),"")</x:f>
        <x:v>0</x:v>
      </x:c>
      <x:c r="T242" s="4"/>
      <x:c r="U242" s="4"/>
      <x:c r="V242" s="4"/>
      <x:c r="W242" s="4" t="n">
        <x:f>IF('계산 과정'!$C$77,('계산 과정'!$D$56+'계산 과정'!$D$57*('계산 과정'!$L$11*COS(236*2*PI()/240))+'계산 과정'!$D$58*('계산 과정'!$L$11*SIN(236*2*PI()/240)))/('계산 과정'!$D$59+'계산 과정'!$D$60*('계산 과정'!$L$11*COS(236*2*PI()/240))+'계산 과정'!$D$61*('계산 과정'!$L$11*SIN(236*2*PI()/240))),"")</x:f>
        <x:v>203.40894276042303</x:v>
      </x:c>
      <x:c r="X242" s="4" t="n">
        <x:f>IF('계산 과정'!$C$77,('계산 과정'!$E$56+'계산 과정'!$E$57*('계산 과정'!$L$11*COS(236*2*PI()/240))+'계산 과정'!$E$58*('계산 과정'!$L$11*SIN(236*2*PI()/240)))/('계산 과정'!$E$59+'계산 과정'!$E$60*('계산 과정'!$L$11*COS(236*2*PI()/240))+'계산 과정'!$E$61*('계산 과정'!$L$11*SIN(236*2*PI()/240))),"")</x:f>
        <x:v>-30.23467168446489</x:v>
      </x:c>
      <x:c r="Y242" s="4" t="str">
        <x:f>""</x:f>
      </x:c>
      <x:c r="Z242" s="4" t="str">
        <x:f>""</x:f>
      </x:c>
    </x:row>
    <x:row r="243" ht="23" customHeight="1">
      <x:c r="A243" s="17" t="n">
        <x:f>ROW()-6</x:f>
        <x:v>237</x:v>
      </x:c>
      <x:c r="B243" s="4" t="n">
        <x:f>IF('계산 과정'!$L$5,'계산 과정'!$L$11*SQRT((A243+0.5)/'계산 과정'!$L$30),"")</x:f>
        <x:v>51.08084699461727</x:v>
      </x:c>
      <x:c r="C243" s="4" t="n">
        <x:f>A243*PI()*(3-SQRT(5))</x:f>
        <x:v>568.7912854456907</x:v>
      </x:c>
      <x:c r="D243" s="4" t="n">
        <x:f>IF('계산 과정'!$L$5,B243*COS(C243),"")</x:f>
        <x:v>-50.40363903730664</x:v>
      </x:c>
      <x:c r="E243" s="4" t="n">
        <x:f>IF('계산 과정'!$L$5,B243*SIN(C243),"")</x:f>
        <x:v>-8.290120715912279</x:v>
      </x:c>
      <x:c r="F243" s="4" t="n">
        <x:f>IF('계산 과정'!$L$7,'계산 과정'!$L$22+'계산 과정'!$C$49*D243+'계산 과정'!$D$49*E243,"")</x:f>
        <x:v>685.6407549597585</x:v>
      </x:c>
      <x:c r="G243" s="4" t="n">
        <x:f>IF('계산 과정'!$L$7,IF(ABS(F243)&gt;=1E-12*MAX(1,SQRT((D243-'계산 과정'!$C$33)^2+(E243-'계산 과정'!$D$33)^2+'계산 과정'!$E$33^2)),('계산 과정'!$L$23-'계산 과정'!$C$49*D243-'계산 과정'!$D$49*E243)/F243,""),"")</x:f>
        <x:v>0.5314142171458672</x:v>
      </x:c>
      <x:c r="H243" s="4" t="n">
        <x:f>IF(AND(ISNUMBER(G243),G243&gt;0),('계산 과정'!$D$56+'계산 과정'!$D$57*D243+'계산 과정'!$D$58*E243)/F243,"")</x:f>
        <x:v>-54.58075885518639</x:v>
      </x:c>
      <x:c r="I243" s="4" t="n">
        <x:f>IF(AND(ISNUMBER(G243),G243&gt;0),('계산 과정'!$E$56+'계산 과정'!$E$57*D243+'계산 과정'!$E$58*E243)/F243,"")</x:f>
        <x:v>-12.695608726203538</x:v>
      </x:c>
      <x:c r="J243" s="4" t="n">
        <x:f>IF('계산 과정'!$L$5,'계산 과정'!$D$6+'계산 과정'!$C$35*D243+'계산 과정'!$D$35*E243,"")</x:f>
        <x:v>685.6407549597585</x:v>
      </x:c>
      <x:c r="K243" s="4" t="n">
        <x:f>IF(AND('계산 과정'!$L$6,J243&gt;0),'계산 과정'!$D$10*('계산 과정'!$C$38*(D243-'계산 과정'!$C$32)+'계산 과정'!$D$38*(E243-'계산 과정'!$D$32)-'계산 과정'!$E$38*'계산 과정'!$E$32)/J243,"")</x:f>
        <x:v>-0.4158534008014192</x:v>
      </x:c>
      <x:c r="L243" s="4" t="n">
        <x:f>IF(AND('계산 과정'!$L$6,J243&gt;0),'계산 과정'!$D$10*('계산 과정'!$C$39*(D243-'계산 과정'!$C$32)+'계산 과정'!$D$39*(E243-'계산 과정'!$D$32)-'계산 과정'!$E$39*'계산 과정'!$E$32)/J243,"")</x:f>
        <x:v>-0.09672844743774126</x:v>
      </x:c>
      <x:c r="M243" s="17" t="n">
        <x:f>IF('계산 과정'!$L$6,IF(J243&lt;=0,0,IF(AND(ABS(K243)&lt;='계산 과정'!$D$11/2,ABS(L243)&lt;='계산 과정'!$D$12/2),1,0)),"")</x:f>
        <x:v>1</x:v>
      </x:c>
      <x:c r="N243" s="17" t="n">
        <x:f>IF('계산 과정'!$C$78,IF(AND(ISNUMBER(H243),ISNUMBER(I243),ABS(H243-'계산 과정'!$C$88)&lt;='계산 과정'!$D$23/2,ABS(I243-'계산 과정'!$C$89)&lt;='계산 과정'!$D$24/2),1,0),"")</x:f>
        <x:v>1</x:v>
      </x:c>
      <x:c r="O243" s="4" t="n">
        <x:f>IF('계산 과정'!$L$7,'계산 과정'!$C$49*('계산 과정'!$C$32-D243)+'계산 과정'!$D$49*('계산 과정'!$D$32-E243)+'계산 과정'!$E$49*'계산 과정'!$E$32,"")</x:f>
        <x:v>-35.6407549597584</x:v>
      </x:c>
      <x:c r="P243" s="4" t="n">
        <x:f>IF(AND('계산 과정'!$L$7,O243&lt;&gt;0),('계산 과정'!$L$23-'계산 과정'!$C$49*D243-'계산 과정'!$D$49*E243)/O243,"")</x:f>
        <x:v>-10.223106818349827</x:v>
      </x:c>
      <x:c r="Q243" s="4" t="str">
        <x:f>IF(AND(ISNUMBER(P243),P243&gt;1E-9,P243&lt;1-1E-9),'계산 과정'!$C$47*(D243-'계산 과정'!$C$50+P243*('계산 과정'!$C$32-D243))+'계산 과정'!$D$47*(E243-'계산 과정'!$D$50+P243*('계산 과정'!$D$32-E243))+'계산 과정'!$E$47*(0-'계산 과정'!$E$50+P243*('계산 과정'!$E$32-0)),"")</x:f>
      </x:c>
      <x:c r="R243" s="4" t="str">
        <x:f>IF(AND(ISNUMBER(P243),P243&gt;1E-9,P243&lt;1-1E-9),'계산 과정'!$C$48*(D243-'계산 과정'!$C$50+P243*('계산 과정'!$C$32-D243))+'계산 과정'!$D$48*(E243-'계산 과정'!$D$50+P243*('계산 과정'!$D$32-E243))+'계산 과정'!$E$48*(0-'계산 과정'!$E$50+P243*('계산 과정'!$E$32-0)),"")</x:f>
      </x:c>
      <x:c r="S243" s="17" t="n">
        <x:f>IF('계산 과정'!$C$78,IF(AND(ISNUMBER(Q243),ISNUMBER(R243),ABS(Q243-'계산 과정'!$C$88)&lt;='계산 과정'!$D$23/2,ABS(R243-'계산 과정'!$C$89)&lt;='계산 과정'!$D$24/2),1,0),"")</x:f>
        <x:v>0</x:v>
      </x:c>
      <x:c r="T243" s="4"/>
      <x:c r="U243" s="4"/>
      <x:c r="V243" s="4"/>
      <x:c r="W243" s="4" t="n">
        <x:f>IF('계산 과정'!$C$77,('계산 과정'!$D$56+'계산 과정'!$D$57*('계산 과정'!$L$11*COS(237*2*PI()/240))+'계산 과정'!$D$58*('계산 과정'!$L$11*SIN(237*2*PI()/240)))/('계산 과정'!$D$59+'계산 과정'!$D$60*('계산 과정'!$L$11*COS(237*2*PI()/240))+'계산 과정'!$D$61*('계산 과정'!$L$11*SIN(237*2*PI()/240))),"")</x:f>
        <x:v>203.9940653653922</x:v>
      </x:c>
      <x:c r="X243" s="4" t="n">
        <x:f>IF('계산 과정'!$C$77,('계산 과정'!$E$56+'계산 과정'!$E$57*('계산 과정'!$L$11*COS(237*2*PI()/240))+'계산 과정'!$E$58*('계산 과정'!$L$11*SIN(237*2*PI()/240)))/('계산 과정'!$E$59+'계산 과정'!$E$60*('계산 과정'!$L$11*COS(237*2*PI()/240))+'계산 과정'!$E$61*('계산 과정'!$L$11*SIN(237*2*PI()/240))),"")</x:f>
        <x:v>-22.704747788458526</x:v>
      </x:c>
      <x:c r="Y243" s="4" t="str">
        <x:f>""</x:f>
      </x:c>
      <x:c r="Z243" s="4" t="str">
        <x:f>""</x:f>
      </x:c>
    </x:row>
    <x:row r="244" ht="23" customHeight="1">
      <x:c r="A244" s="17" t="n">
        <x:f>ROW()-6</x:f>
        <x:v>238</x:v>
      </x:c>
      <x:c r="B244" s="4" t="n">
        <x:f>IF('계산 과정'!$L$5,'계산 과정'!$L$11*SQRT((A244+0.5)/'계산 과정'!$L$30),"")</x:f>
        <x:v>51.188272659003644</x:v>
      </x:c>
      <x:c r="C244" s="4" t="n">
        <x:f>A244*PI()*(3-SQRT(5))</x:f>
        <x:v>571.1912486754194</x:v>
      </x:c>
      <x:c r="D244" s="4" t="n">
        <x:f>IF('계산 과정'!$L$5,B244*COS(C244),"")</x:f>
        <x:v>42.85590989946282</x:v>
      </x:c>
      <x:c r="E244" s="4" t="n">
        <x:f>IF('계산 과정'!$L$5,B244*SIN(C244),"")</x:f>
        <x:v>-27.993039215162486</x:v>
      </x:c>
      <x:c r="F244" s="4" t="n">
        <x:f>IF('계산 과정'!$L$7,'계산 과정'!$L$22+'계산 과정'!$C$49*D244+'계산 과정'!$D$49*E244,"")</x:f>
        <x:v>619.6962954961701</x:v>
      </x:c>
      <x:c r="G244" s="4" t="n">
        <x:f>IF('계산 과정'!$L$7,IF(ABS(F244)&gt;=1E-12*MAX(1,SQRT((D244-'계산 과정'!$C$33)^2+(E244-'계산 과정'!$D$33)^2+'계산 과정'!$E$33^2)),('계산 과정'!$L$23-'계산 과정'!$C$49*D244-'계산 과정'!$D$49*E244)/F244,""),"")</x:f>
        <x:v>0.6943783715203591</x:v>
      </x:c>
      <x:c r="H244" s="4" t="n">
        <x:f>IF(AND(ISNUMBER(G244),G244&gt;0),('계산 과정'!$D$56+'계산 과정'!$D$57*D244+'계산 과정'!$D$58*E244)/F244,"")</x:f>
        <x:v>51.3459414882333</x:v>
      </x:c>
      <x:c r="I244" s="4" t="n">
        <x:f>IF(AND(ISNUMBER(G244),G244&gt;0),('계산 과정'!$E$56+'계산 과정'!$E$57*D244+'계산 과정'!$E$58*E244)/F244,"")</x:f>
        <x:v>-47.43080019929257</x:v>
      </x:c>
      <x:c r="J244" s="4" t="n">
        <x:f>IF('계산 과정'!$L$5,'계산 과정'!$D$6+'계산 과정'!$C$35*D244+'계산 과정'!$D$35*E244,"")</x:f>
        <x:v>619.6962954961701</x:v>
      </x:c>
      <x:c r="K244" s="4" t="n">
        <x:f>IF(AND('계산 과정'!$L$6,J244&gt;0),'계산 과정'!$D$10*('계산 과정'!$C$38*(D244-'계산 과정'!$C$32)+'계산 과정'!$D$38*(E244-'계산 과정'!$D$32)-'계산 과정'!$E$38*'계산 과정'!$E$32)/J244,"")</x:f>
        <x:v>0.39120717324368315</x:v>
      </x:c>
      <x:c r="L244" s="4" t="n">
        <x:f>IF(AND('계산 과정'!$L$6,J244&gt;0),'계산 과정'!$D$10*('계산 과정'!$C$39*(D244-'계산 과정'!$C$32)+'계산 과정'!$D$39*(E244-'계산 과정'!$D$32)-'계산 과정'!$E$39*'계산 과정'!$E$32)/J244,"")</x:f>
        <x:v>-0.36137752532794337</x:v>
      </x:c>
      <x:c r="M244" s="17" t="n">
        <x:f>IF('계산 과정'!$L$6,IF(J244&lt;=0,0,IF(AND(ABS(K244)&lt;='계산 과정'!$D$11/2,ABS(L244)&lt;='계산 과정'!$D$12/2),1,0)),"")</x:f>
        <x:v>1</x:v>
      </x:c>
      <x:c r="N244" s="17" t="n">
        <x:f>IF('계산 과정'!$C$78,IF(AND(ISNUMBER(H244),ISNUMBER(I244),ABS(H244-'계산 과정'!$C$88)&lt;='계산 과정'!$D$23/2,ABS(I244-'계산 과정'!$C$89)&lt;='계산 과정'!$D$24/2),1,0),"")</x:f>
        <x:v>1</x:v>
      </x:c>
      <x:c r="O244" s="4" t="n">
        <x:f>IF('계산 과정'!$L$7,'계산 과정'!$C$49*('계산 과정'!$C$32-D244)+'계산 과정'!$D$49*('계산 과정'!$D$32-E244)+'계산 과정'!$E$49*'계산 과정'!$E$32,"")</x:f>
        <x:v>30.303704503829977</x:v>
      </x:c>
      <x:c r="P244" s="4" t="n">
        <x:f>IF(AND('계산 과정'!$L$7,O244&lt;&gt;0),('계산 과정'!$L$23-'계산 과정'!$C$49*D244-'계산 과정'!$D$49*E244)/O244,"")</x:f>
        <x:v>14.19970632466553</x:v>
      </x:c>
      <x:c r="Q244" s="4" t="str">
        <x:f>IF(AND(ISNUMBER(P244),P244&gt;1E-9,P244&lt;1-1E-9),'계산 과정'!$C$47*(D244-'계산 과정'!$C$50+P244*('계산 과정'!$C$32-D244))+'계산 과정'!$D$47*(E244-'계산 과정'!$D$50+P244*('계산 과정'!$D$32-E244))+'계산 과정'!$E$47*(0-'계산 과정'!$E$50+P244*('계산 과정'!$E$32-0)),"")</x:f>
      </x:c>
      <x:c r="R244" s="4" t="str">
        <x:f>IF(AND(ISNUMBER(P244),P244&gt;1E-9,P244&lt;1-1E-9),'계산 과정'!$C$48*(D244-'계산 과정'!$C$50+P244*('계산 과정'!$C$32-D244))+'계산 과정'!$D$48*(E244-'계산 과정'!$D$50+P244*('계산 과정'!$D$32-E244))+'계산 과정'!$E$48*(0-'계산 과정'!$E$50+P244*('계산 과정'!$E$32-0)),"")</x:f>
      </x:c>
      <x:c r="S244" s="17" t="n">
        <x:f>IF('계산 과정'!$C$78,IF(AND(ISNUMBER(Q244),ISNUMBER(R244),ABS(Q244-'계산 과정'!$C$88)&lt;='계산 과정'!$D$23/2,ABS(R244-'계산 과정'!$C$89)&lt;='계산 과정'!$D$24/2),1,0),"")</x:f>
        <x:v>0</x:v>
      </x:c>
      <x:c r="T244" s="4"/>
      <x:c r="U244" s="4"/>
      <x:c r="V244" s="4"/>
      <x:c r="W244" s="4" t="n">
        <x:f>IF('계산 과정'!$C$77,('계산 과정'!$D$56+'계산 과정'!$D$57*('계산 과정'!$L$11*COS(238*2*PI()/240))+'계산 과정'!$D$58*('계산 과정'!$L$11*SIN(238*2*PI()/240)))/('계산 과정'!$D$59+'계산 과정'!$D$60*('계산 과정'!$L$11*COS(238*2*PI()/240))+'계산 과정'!$D$61*('계산 과정'!$L$11*SIN(238*2*PI()/240))),"")</x:f>
        <x:v>204.41263166346582</x:v>
      </x:c>
      <x:c r="X244" s="4" t="n">
        <x:f>IF('계산 과정'!$C$77,('계산 과정'!$E$56+'계산 과정'!$E$57*('계산 과정'!$L$11*COS(238*2*PI()/240))+'계산 과정'!$E$58*('계산 과정'!$L$11*SIN(238*2*PI()/240)))/('계산 과정'!$E$59+'계산 과정'!$E$60*('계산 과정'!$L$11*COS(238*2*PI()/240))+'계산 과정'!$E$61*('계산 과정'!$L$11*SIN(238*2*PI()/240))),"")</x:f>
        <x:v>-15.15020413876981</x:v>
      </x:c>
      <x:c r="Y244" s="4" t="str">
        <x:f>""</x:f>
      </x:c>
      <x:c r="Z244" s="4" t="str">
        <x:f>""</x:f>
      </x:c>
    </x:row>
    <x:row r="245" ht="23" customHeight="1">
      <x:c r="A245" s="17" t="n">
        <x:f>ROW()-6</x:f>
        <x:v>239</x:v>
      </x:c>
      <x:c r="B245" s="4" t="n">
        <x:f>IF('계산 과정'!$L$5,'계산 과정'!$L$11*SQRT((A245+0.5)/'계산 과정'!$L$30),"")</x:f>
        <x:v>51.29547334743584</x:v>
      </x:c>
      <x:c r="C245" s="4" t="n">
        <x:f>A245*PI()*(3-SQRT(5))</x:f>
        <x:v>573.591211905148</x:v>
      </x:c>
      <x:c r="D245" s="4" t="n">
        <x:f>IF('계산 과정'!$L$5,B245*COS(C245),"")</x:f>
        <x:v>-12.718167175666357</x:v>
      </x:c>
      <x:c r="E245" s="4" t="n">
        <x:f>IF('계산 과정'!$L$5,B245*SIN(C245),"")</x:f>
        <x:v>49.69380051504718</x:v>
      </x:c>
      <x:c r="F245" s="4" t="n">
        <x:f>IF('계산 과정'!$L$7,'계산 과정'!$L$22+'계산 과정'!$C$49*D245+'계산 과정'!$D$49*E245,"")</x:f>
        <x:v>658.9931022541779</x:v>
      </x:c>
      <x:c r="G245" s="4" t="n">
        <x:f>IF('계산 과정'!$L$7,IF(ABS(F245)&gt;=1E-12*MAX(1,SQRT((D245-'계산 과정'!$C$33)^2+(E245-'계산 과정'!$D$33)^2+'계산 과정'!$E$33^2)),('계산 과정'!$L$23-'계산 과정'!$C$49*D245-'계산 과정'!$D$49*E245)/F245,""),"")</x:f>
        <x:v>0.5933398944667683</x:v>
      </x:c>
      <x:c r="H245" s="4" t="n">
        <x:f>IF(AND(ISNUMBER(G245),G245&gt;0),('계산 과정'!$D$56+'계산 과정'!$D$57*D245+'계산 과정'!$D$58*E245)/F245,"")</x:f>
        <x:v>-14.329068596600697</x:v>
      </x:c>
      <x:c r="I245" s="4" t="n">
        <x:f>IF(AND(ISNUMBER(G245),G245&gt;0),('계산 과정'!$E$56+'계산 과정'!$E$57*D245+'계산 과정'!$E$58*E245)/F245,"")</x:f>
        <x:v>79.17911486829792</x:v>
      </x:c>
      <x:c r="J245" s="4" t="n">
        <x:f>IF('계산 과정'!$L$5,'계산 과정'!$D$6+'계산 과정'!$C$35*D245+'계산 과정'!$D$35*E245,"")</x:f>
        <x:v>658.9931022541779</x:v>
      </x:c>
      <x:c r="K245" s="4" t="n">
        <x:f>IF(AND('계산 과정'!$L$6,J245&gt;0),'계산 과정'!$D$10*('계산 과정'!$C$38*(D245-'계산 과정'!$C$32)+'계산 과정'!$D$38*(E245-'계산 과정'!$D$32)-'계산 과정'!$E$38*'계산 과정'!$E$32)/J245,"")</x:f>
        <x:v>-0.1091738559740993</x:v>
      </x:c>
      <x:c r="L245" s="4" t="n">
        <x:f>IF(AND('계산 과정'!$L$6,J245&gt;0),'계산 과정'!$D$10*('계산 과정'!$C$39*(D245-'계산 과정'!$C$32)+'계산 과정'!$D$39*(E245-'계산 과정'!$D$32)-'계산 과정'!$E$39*'계산 과정'!$E$32)/J245,"")</x:f>
        <x:v>0.6032694466156031</x:v>
      </x:c>
      <x:c r="M245" s="17" t="n">
        <x:f>IF('계산 과정'!$L$6,IF(J245&lt;=0,0,IF(AND(ABS(K245)&lt;='계산 과정'!$D$11/2,ABS(L245)&lt;='계산 과정'!$D$12/2),1,0)),"")</x:f>
        <x:v>1</x:v>
      </x:c>
      <x:c r="N245" s="17" t="n">
        <x:f>IF('계산 과정'!$C$78,IF(AND(ISNUMBER(H245),ISNUMBER(I245),ABS(H245-'계산 과정'!$C$88)&lt;='계산 과정'!$D$23/2,ABS(I245-'계산 과정'!$C$89)&lt;='계산 과정'!$D$24/2),1,0),"")</x:f>
        <x:v>1</x:v>
      </x:c>
      <x:c r="O245" s="4" t="n">
        <x:f>IF('계산 과정'!$L$7,'계산 과정'!$C$49*('계산 과정'!$C$32-D245)+'계산 과정'!$D$49*('계산 과정'!$D$32-E245)+'계산 과정'!$E$49*'계산 과정'!$E$32,"")</x:f>
        <x:v>-8.9931022541777</x:v>
      </x:c>
      <x:c r="P245" s="4" t="n">
        <x:f>IF(AND('계산 과정'!$L$7,O245&lt;&gt;0),('계산 과정'!$L$23-'계산 과정'!$C$49*D245-'계산 과정'!$D$49*E245)/O245,"")</x:f>
        <x:v>-43.47853351319139</x:v>
      </x:c>
      <x:c r="Q245" s="4" t="str">
        <x:f>IF(AND(ISNUMBER(P245),P245&gt;1E-9,P245&lt;1-1E-9),'계산 과정'!$C$47*(D245-'계산 과정'!$C$50+P245*('계산 과정'!$C$32-D245))+'계산 과정'!$D$47*(E245-'계산 과정'!$D$50+P245*('계산 과정'!$D$32-E245))+'계산 과정'!$E$47*(0-'계산 과정'!$E$50+P245*('계산 과정'!$E$32-0)),"")</x:f>
      </x:c>
      <x:c r="R245" s="4" t="str">
        <x:f>IF(AND(ISNUMBER(P245),P245&gt;1E-9,P245&lt;1-1E-9),'계산 과정'!$C$48*(D245-'계산 과정'!$C$50+P245*('계산 과정'!$C$32-D245))+'계산 과정'!$D$48*(E245-'계산 과정'!$D$50+P245*('계산 과정'!$D$32-E245))+'계산 과정'!$E$48*(0-'계산 과정'!$E$50+P245*('계산 과정'!$E$32-0)),"")</x:f>
      </x:c>
      <x:c r="S245" s="17" t="n">
        <x:f>IF('계산 과정'!$C$78,IF(AND(ISNUMBER(Q245),ISNUMBER(R245),ABS(Q245-'계산 과정'!$C$88)&lt;='계산 과정'!$D$23/2,ABS(R245-'계산 과정'!$C$89)&lt;='계산 과정'!$D$24/2),1,0),"")</x:f>
        <x:v>0</x:v>
      </x:c>
      <x:c r="T245" s="4"/>
      <x:c r="U245" s="4"/>
      <x:c r="V245" s="4"/>
      <x:c r="W245" s="4" t="n">
        <x:f>IF('계산 과정'!$C$77,('계산 과정'!$D$56+'계산 과정'!$D$57*('계산 과정'!$L$11*COS(239*2*PI()/240))+'계산 과정'!$D$58*('계산 과정'!$L$11*SIN(239*2*PI()/240)))/('계산 과정'!$D$59+'계산 과정'!$D$60*('계산 과정'!$L$11*COS(239*2*PI()/240))+'계산 과정'!$D$61*('계산 과정'!$L$11*SIN(239*2*PI()/240))),"")</x:f>
        <x:v>204.66402047767784</x:v>
      </x:c>
      <x:c r="X245" s="4" t="n">
        <x:f>IF('계산 과정'!$C$77,('계산 과정'!$E$56+'계산 과정'!$E$57*('계산 과정'!$L$11*COS(239*2*PI()/240))+'계산 과정'!$E$58*('계산 과정'!$L$11*SIN(239*2*PI()/240)))/('계산 과정'!$E$59+'계산 과정'!$E$60*('계산 과정'!$L$11*COS(239*2*PI()/240))+'계산 과정'!$E$61*('계산 과정'!$L$11*SIN(239*2*PI()/240))),"")</x:f>
        <x:v>-7.579217355644531</x:v>
      </x:c>
      <x:c r="Y245" s="4" t="str">
        <x:f>""</x:f>
      </x:c>
      <x:c r="Z245" s="4" t="str">
        <x:f>""</x:f>
      </x:c>
    </x:row>
    <x:row r="246" ht="23" customHeight="1">
      <x:c r="A246" s="17" t="n">
        <x:f>ROW()-6</x:f>
        <x:v>240</x:v>
      </x:c>
      <x:c r="B246" s="4" t="n">
        <x:f>IF('계산 과정'!$L$5,'계산 과정'!$L$11*SQRT((A246+0.5)/'계산 과정'!$L$30),"")</x:f>
        <x:v>51.40245046748744</x:v>
      </x:c>
      <x:c r="C246" s="4" t="n">
        <x:f>A246*PI()*(3-SQRT(5))</x:f>
        <x:v>575.9911751348767</x:v>
      </x:c>
      <x:c r="D246" s="4" t="n">
        <x:f>IF('계산 과정'!$L$5,B246*COS(C246),"")</x:f>
        <x:v>-24.240147082707214</x:v>
      </x:c>
      <x:c r="E246" s="4" t="n">
        <x:f>IF('계산 과정'!$L$5,B246*SIN(C246),"")</x:f>
        <x:v>-45.32799558188318</x:v>
      </x:c>
      <x:c r="F246" s="4" t="n">
        <x:f>IF('계산 과정'!$L$7,'계산 과정'!$L$22+'계산 과정'!$C$49*D246+'계산 과정'!$D$49*E246,"")</x:f>
        <x:v>667.1403723791416</x:v>
      </x:c>
      <x:c r="G246" s="4" t="n">
        <x:f>IF('계산 과정'!$L$7,IF(ABS(F246)&gt;=1E-12*MAX(1,SQRT((D246-'계산 과정'!$C$33)^2+(E246-'계산 과정'!$D$33)^2+'계산 과정'!$E$33^2)),('계산 과정'!$L$23-'계산 과정'!$C$49*D246-'계산 과정'!$D$49*E246)/F246,""),"")</x:f>
        <x:v>0.5738816648968682</x:v>
      </x:c>
      <x:c r="H246" s="4" t="n">
        <x:f>IF(AND(ISNUMBER(G246),G246&gt;0),('계산 과정'!$D$56+'계산 과정'!$D$57*D246+'계산 과정'!$D$58*E246)/F246,"")</x:f>
        <x:v>-26.976917817035755</x:v>
      </x:c>
      <x:c r="I246" s="4" t="n">
        <x:f>IF(AND(ISNUMBER(G246),G246&gt;0),('계산 과정'!$E$56+'계산 과정'!$E$57*D246+'계산 과정'!$E$58*E246)/F246,"")</x:f>
        <x:v>-71.34090115285218</x:v>
      </x:c>
      <x:c r="J246" s="4" t="n">
        <x:f>IF('계산 과정'!$L$5,'계산 과정'!$D$6+'계산 과정'!$C$35*D246+'계산 과정'!$D$35*E246,"")</x:f>
        <x:v>667.1403723791416</x:v>
      </x:c>
      <x:c r="K246" s="4" t="n">
        <x:f>IF(AND('계산 과정'!$L$6,J246&gt;0),'계산 과정'!$D$10*('계산 과정'!$C$38*(D246-'계산 과정'!$C$32)+'계산 과정'!$D$38*(E246-'계산 과정'!$D$32)-'계산 과정'!$E$38*'계산 과정'!$E$32)/J246,"")</x:f>
        <x:v>-0.20553842146312873</x:v>
      </x:c>
      <x:c r="L246" s="4" t="n">
        <x:f>IF(AND('계산 과정'!$L$6,J246&gt;0),'계산 과정'!$D$10*('계산 과정'!$C$39*(D246-'계산 과정'!$C$32)+'계산 과정'!$D$39*(E246-'계산 과정'!$D$32)-'계산 과정'!$E$39*'계산 과정'!$E$32)/J246,"")</x:f>
        <x:v>-0.54354972306935</x:v>
      </x:c>
      <x:c r="M246" s="17" t="n">
        <x:f>IF('계산 과정'!$L$6,IF(J246&lt;=0,0,IF(AND(ABS(K246)&lt;='계산 과정'!$D$11/2,ABS(L246)&lt;='계산 과정'!$D$12/2),1,0)),"")</x:f>
        <x:v>1</x:v>
      </x:c>
      <x:c r="N246" s="17" t="n">
        <x:f>IF('계산 과정'!$C$78,IF(AND(ISNUMBER(H246),ISNUMBER(I246),ABS(H246-'계산 과정'!$C$88)&lt;='계산 과정'!$D$23/2,ABS(I246-'계산 과정'!$C$89)&lt;='계산 과정'!$D$24/2),1,0),"")</x:f>
        <x:v>1</x:v>
      </x:c>
      <x:c r="O246" s="4" t="n">
        <x:f>IF('계산 과정'!$L$7,'계산 과정'!$C$49*('계산 과정'!$C$32-D246)+'계산 과정'!$D$49*('계산 과정'!$D$32-E246)+'계산 과정'!$E$49*'계산 과정'!$E$32,"")</x:f>
        <x:v>-17.140372379141468</x:v>
      </x:c>
      <x:c r="P246" s="4" t="n">
        <x:f>IF(AND('계산 과정'!$L$7,O246&lt;&gt;0),('계산 과정'!$L$23-'계산 과정'!$C$49*D246-'계산 과정'!$D$49*E246)/O246,"")</x:f>
        <x:v>-22.336715863114474</x:v>
      </x:c>
      <x:c r="Q246" s="4" t="str">
        <x:f>IF(AND(ISNUMBER(P246),P246&gt;1E-9,P246&lt;1-1E-9),'계산 과정'!$C$47*(D246-'계산 과정'!$C$50+P246*('계산 과정'!$C$32-D246))+'계산 과정'!$D$47*(E246-'계산 과정'!$D$50+P246*('계산 과정'!$D$32-E246))+'계산 과정'!$E$47*(0-'계산 과정'!$E$50+P246*('계산 과정'!$E$32-0)),"")</x:f>
      </x:c>
      <x:c r="R246" s="4" t="str">
        <x:f>IF(AND(ISNUMBER(P246),P246&gt;1E-9,P246&lt;1-1E-9),'계산 과정'!$C$48*(D246-'계산 과정'!$C$50+P246*('계산 과정'!$C$32-D246))+'계산 과정'!$D$48*(E246-'계산 과정'!$D$50+P246*('계산 과정'!$D$32-E246))+'계산 과정'!$E$48*(0-'계산 과정'!$E$50+P246*('계산 과정'!$E$32-0)),"")</x:f>
      </x:c>
      <x:c r="S246" s="17" t="n">
        <x:f>IF('계산 과정'!$C$78,IF(AND(ISNUMBER(Q246),ISNUMBER(R246),ABS(Q246-'계산 과정'!$C$88)&lt;='계산 과정'!$D$23/2,ABS(R246-'계산 과정'!$C$89)&lt;='계산 과정'!$D$24/2),1,0),"")</x:f>
        <x:v>0</x:v>
      </x:c>
      <x:c r="T246" s="4"/>
      <x:c r="U246" s="4"/>
      <x:c r="V246" s="4"/>
      <x:c r="W246" s="4" t="n">
        <x:f>IF('계산 과정'!$C$77,('계산 과정'!$D$56+'계산 과정'!$D$57*('계산 과정'!$L$11*COS(240*2*PI()/240))+'계산 과정'!$D$58*('계산 과정'!$L$11*SIN(240*2*PI()/240)))/('계산 과정'!$D$59+'계산 과정'!$D$60*('계산 과정'!$L$11*COS(240*2*PI()/240))+'계산 과정'!$D$61*('계산 과정'!$L$11*SIN(240*2*PI()/240))),"")</x:f>
        <x:v>204.7478582953745</x:v>
      </x:c>
      <x:c r="X246" s="4" t="n">
        <x:f>IF('계산 과정'!$C$77,('계산 과정'!$E$56+'계산 과정'!$E$57*('계산 과정'!$L$11*COS(240*2*PI()/240))+'계산 과정'!$E$58*('계산 과정'!$L$11*SIN(240*2*PI()/240)))/('계산 과정'!$E$59+'계산 과정'!$E$60*('계산 과정'!$L$11*COS(240*2*PI()/240))+'계산 과정'!$E$61*('계산 과정'!$L$11*SIN(240*2*PI()/240))),"")</x:f>
        <x:v>-3.2809951374982796e-13</x:v>
      </x:c>
      <x:c r="Y246" s="4" t="str">
        <x:f>""</x:f>
      </x:c>
      <x:c r="Z246" s="4" t="str">
        <x:f>""</x:f>
      </x:c>
    </x:row>
    <x:row r="247" ht="23" customHeight="1">
      <x:c r="A247" s="17" t="n">
        <x:f>ROW()-6</x:f>
        <x:v>241</x:v>
      </x:c>
      <x:c r="B247" s="4" t="n">
        <x:f>IF('계산 과정'!$L$5,'계산 과정'!$L$11*SQRT((A247+0.5)/'계산 과정'!$L$30),"")</x:f>
        <x:v>51.50920541211541</x:v>
      </x:c>
      <x:c r="C247" s="4" t="n">
        <x:f>A247*PI()*(3-SQRT(5))</x:f>
        <x:v>578.3911383646054</x:v>
      </x:c>
      <x:c r="D247" s="4" t="n">
        <x:f>IF('계산 과정'!$L$5,B247*COS(C247),"")</x:f>
        <x:v>48.59326266619729</x:v>
      </x:c>
      <x:c r="E247" s="4" t="n">
        <x:f>IF('계산 과정'!$L$5,B247*SIN(C247),"")</x:f>
        <x:v>17.08487827411879</x:v>
      </x:c>
      <x:c r="F247" s="4" t="n">
        <x:f>IF('계산 과정'!$L$7,'계산 과정'!$L$22+'계산 과정'!$C$49*D247+'계산 과정'!$D$49*E247,"")</x:f>
        <x:v>615.6393744487528</x:v>
      </x:c>
      <x:c r="G247" s="4" t="n">
        <x:f>IF('계산 과정'!$L$7,IF(ABS(F247)&gt;=1E-12*MAX(1,SQRT((D247-'계산 과정'!$C$33)^2+(E247-'계산 과정'!$D$33)^2+'계산 과정'!$E$33^2)),('계산 과정'!$L$23-'계산 과정'!$C$49*D247-'계산 과정'!$D$49*E247)/F247,""),"")</x:f>
        <x:v>0.7055439329886531</x:v>
      </x:c>
      <x:c r="H247" s="4" t="n">
        <x:f>IF(AND(ISNUMBER(G247),G247&gt;0),('계산 과정'!$D$56+'계산 과정'!$D$57*D247+'계산 과정'!$D$58*E247)/F247,"")</x:f>
        <x:v>58.603556442624445</x:v>
      </x:c>
      <x:c r="I247" s="4" t="n">
        <x:f>IF(AND(ISNUMBER(G247),G247&gt;0),('계산 과정'!$E$56+'계산 과정'!$E$57*D247+'계산 과정'!$E$58*E247)/F247,"")</x:f>
        <x:v>29.139010486272955</x:v>
      </x:c>
      <x:c r="J247" s="4" t="n">
        <x:f>IF('계산 과정'!$L$5,'계산 과정'!$D$6+'계산 과정'!$C$35*D247+'계산 과정'!$D$35*E247,"")</x:f>
        <x:v>615.6393744487528</x:v>
      </x:c>
      <x:c r="K247" s="4" t="n">
        <x:f>IF(AND('계산 과정'!$L$6,J247&gt;0),'계산 과정'!$D$10*('계산 과정'!$C$38*(D247-'계산 과정'!$C$32)+'계산 과정'!$D$38*(E247-'계산 과정'!$D$32)-'계산 과정'!$E$38*'계산 과정'!$E$32)/J247,"")</x:f>
        <x:v>0.4465032871819015</x:v>
      </x:c>
      <x:c r="L247" s="4" t="n">
        <x:f>IF(AND('계산 과정'!$L$6,J247&gt;0),'계산 과정'!$D$10*('계산 과정'!$C$39*(D247-'계산 과정'!$C$32)+'계산 과정'!$D$39*(E247-'계산 과정'!$D$32)-'계산 과정'!$E$39*'계산 과정'!$E$32)/J247,"")</x:f>
        <x:v>0.22201150846684153</x:v>
      </x:c>
      <x:c r="M247" s="17" t="n">
        <x:f>IF('계산 과정'!$L$6,IF(J247&lt;=0,0,IF(AND(ABS(K247)&lt;='계산 과정'!$D$11/2,ABS(L247)&lt;='계산 과정'!$D$12/2),1,0)),"")</x:f>
        <x:v>1</x:v>
      </x:c>
      <x:c r="N247" s="17" t="n">
        <x:f>IF('계산 과정'!$C$78,IF(AND(ISNUMBER(H247),ISNUMBER(I247),ABS(H247-'계산 과정'!$C$88)&lt;='계산 과정'!$D$23/2,ABS(I247-'계산 과정'!$C$89)&lt;='계산 과정'!$D$24/2),1,0),"")</x:f>
        <x:v>1</x:v>
      </x:c>
      <x:c r="O247" s="4" t="n">
        <x:f>IF('계산 과정'!$L$7,'계산 과정'!$C$49*('계산 과정'!$C$32-D247)+'계산 과정'!$D$49*('계산 과정'!$D$32-E247)+'계산 과정'!$E$49*'계산 과정'!$E$32,"")</x:f>
        <x:v>34.360625551247324</x:v>
      </x:c>
      <x:c r="P247" s="4" t="n">
        <x:f>IF(AND('계산 과정'!$L$7,O247&lt;&gt;0),('계산 과정'!$L$23-'계산 과정'!$C$49*D247-'계산 과정'!$D$49*E247)/O247,"")</x:f>
        <x:v>12.641231601078331</x:v>
      </x:c>
      <x:c r="Q247" s="4" t="str">
        <x:f>IF(AND(ISNUMBER(P247),P247&gt;1E-9,P247&lt;1-1E-9),'계산 과정'!$C$47*(D247-'계산 과정'!$C$50+P247*('계산 과정'!$C$32-D247))+'계산 과정'!$D$47*(E247-'계산 과정'!$D$50+P247*('계산 과정'!$D$32-E247))+'계산 과정'!$E$47*(0-'계산 과정'!$E$50+P247*('계산 과정'!$E$32-0)),"")</x:f>
      </x:c>
      <x:c r="R247" s="4" t="str">
        <x:f>IF(AND(ISNUMBER(P247),P247&gt;1E-9,P247&lt;1-1E-9),'계산 과정'!$C$48*(D247-'계산 과정'!$C$50+P247*('계산 과정'!$C$32-D247))+'계산 과정'!$D$48*(E247-'계산 과정'!$D$50+P247*('계산 과정'!$D$32-E247))+'계산 과정'!$E$48*(0-'계산 과정'!$E$50+P247*('계산 과정'!$E$32-0)),"")</x:f>
      </x:c>
      <x:c r="S247" s="17" t="n">
        <x:f>IF('계산 과정'!$C$78,IF(AND(ISNUMBER(Q247),ISNUMBER(R247),ABS(Q247-'계산 과정'!$C$88)&lt;='계산 과정'!$D$23/2,ABS(R247-'계산 과정'!$C$89)&lt;='계산 과정'!$D$24/2),1,0),"")</x:f>
        <x:v>0</x:v>
      </x:c>
      <x:c r="T247" s="4"/>
      <x:c r="U247" s="4"/>
      <x:c r="V247" s="4"/>
      <x:c r="W247" s="4" t="n">
        <x:f>IF('계산 과정'!$C$78,'계산 과정'!$C$88+-1*'계산 과정'!$D$23/2,"")</x:f>
        <x:v>-231.27659574468098</x:v>
      </x:c>
      <x:c r="X247" s="4" t="str">
        <x:f>""</x:f>
      </x:c>
      <x:c r="Y247" s="4" t="n">
        <x:f>IF('계산 과정'!$C$78,'계산 과정'!$C$89+-1*'계산 과정'!$D$24/2,"")</x:f>
        <x:v>-260</x:v>
      </x:c>
      <x:c r="Z247" s="4" t="str">
        <x:f>""</x:f>
      </x:c>
    </x:row>
    <x:row r="248" ht="23" customHeight="1">
      <x:c r="A248" s="17" t="n">
        <x:f>ROW()-6</x:f>
        <x:v>242</x:v>
      </x:c>
      <x:c r="B248" s="4" t="n">
        <x:f>IF('계산 과정'!$L$5,'계산 과정'!$L$11*SQRT((A248+0.5)/'계산 과정'!$L$30),"")</x:f>
        <x:v>51.615739559871656</x:v>
      </x:c>
      <x:c r="C248" s="4" t="n">
        <x:f>A248*PI()*(3-SQRT(5))</x:f>
        <x:v>580.791101594334</x:v>
      </x:c>
      <x:c r="D248" s="4" t="n">
        <x:f>IF('계산 과정'!$L$5,B248*COS(C248),"")</x:f>
        <x:v>-47.46980602742539</x:v>
      </x:c>
      <x:c r="E248" s="4" t="n">
        <x:f>IF('계산 과정'!$L$5,B248*SIN(C248),"")</x:f>
        <x:v>20.268253156873378</x:v>
      </x:c>
      <x:c r="F248" s="4" t="n">
        <x:f>IF('계산 과정'!$L$7,'계산 과정'!$L$22+'계산 과정'!$C$49*D248+'계산 과정'!$D$49*E248,"")</x:f>
        <x:v>683.5662217436026</x:v>
      </x:c>
      <x:c r="G248" s="4" t="n">
        <x:f>IF('계산 과정'!$L$7,IF(ABS(F248)&gt;=1E-12*MAX(1,SQRT((D248-'계산 과정'!$C$33)^2+(E248-'계산 과정'!$D$33)^2+'계산 과정'!$E$33^2)),('계산 과정'!$L$23-'계산 과정'!$C$49*D248-'계산 과정'!$D$49*E248)/F248,""),"")</x:f>
        <x:v>0.5360618570673644</x:v>
      </x:c>
      <x:c r="H248" s="4" t="n">
        <x:f>IF(AND(ISNUMBER(G248),G248&gt;0),('계산 과정'!$D$56+'계산 과정'!$D$57*D248+'계산 과정'!$D$58*E248)/F248,"")</x:f>
        <x:v>-51.55979290621319</x:v>
      </x:c>
      <x:c r="I248" s="4" t="n">
        <x:f>IF(AND(ISNUMBER(G248),G248&gt;0),('계산 과정'!$E$56+'계산 과정'!$E$57*D248+'계산 과정'!$E$58*E248)/F248,"")</x:f>
        <x:v>31.13329058365839</x:v>
      </x:c>
      <x:c r="J248" s="4" t="n">
        <x:f>IF('계산 과정'!$L$5,'계산 과정'!$D$6+'계산 과정'!$C$35*D248+'계산 과정'!$D$35*E248,"")</x:f>
        <x:v>683.5662217436026</x:v>
      </x:c>
      <x:c r="K248" s="4" t="n">
        <x:f>IF(AND('계산 과정'!$L$6,J248&gt;0),'계산 과정'!$D$10*('계산 과정'!$C$38*(D248-'계산 과정'!$C$32)+'계산 과정'!$D$38*(E248-'계산 과정'!$D$32)-'계산 과정'!$E$38*'계산 과정'!$E$32)/J248,"")</x:f>
        <x:v>-0.3928365173806713</x:v>
      </x:c>
      <x:c r="L248" s="4" t="n">
        <x:f>IF(AND('계산 과정'!$L$6,J248&gt;0),'계산 과정'!$D$10*('계산 과정'!$C$39*(D248-'계산 과정'!$C$32)+'계산 과정'!$D$39*(E248-'계산 과정'!$D$32)-'계산 과정'!$E$39*'계산 과정'!$E$32)/J248,"")</x:f>
        <x:v>0.23720602349454015</x:v>
      </x:c>
      <x:c r="M248" s="17" t="n">
        <x:f>IF('계산 과정'!$L$6,IF(J248&lt;=0,0,IF(AND(ABS(K248)&lt;='계산 과정'!$D$11/2,ABS(L248)&lt;='계산 과정'!$D$12/2),1,0)),"")</x:f>
        <x:v>1</x:v>
      </x:c>
      <x:c r="N248" s="17" t="n">
        <x:f>IF('계산 과정'!$C$78,IF(AND(ISNUMBER(H248),ISNUMBER(I248),ABS(H248-'계산 과정'!$C$88)&lt;='계산 과정'!$D$23/2,ABS(I248-'계산 과정'!$C$89)&lt;='계산 과정'!$D$24/2),1,0),"")</x:f>
        <x:v>1</x:v>
      </x:c>
      <x:c r="O248" s="4" t="n">
        <x:f>IF('계산 과정'!$L$7,'계산 과정'!$C$49*('계산 과정'!$C$32-D248)+'계산 과정'!$D$49*('계산 과정'!$D$32-E248)+'계산 과정'!$E$49*'계산 과정'!$E$32,"")</x:f>
        <x:v>-33.566221743602455</x:v>
      </x:c>
      <x:c r="P248" s="4" t="n">
        <x:f>IF(AND('계산 과정'!$L$7,O248&lt;&gt;0),('계산 과정'!$L$23-'계산 과정'!$C$49*D248-'계산 과정'!$D$49*E248)/O248,"")</x:f>
        <x:v>-10.916741867923749</x:v>
      </x:c>
      <x:c r="Q248" s="4" t="str">
        <x:f>IF(AND(ISNUMBER(P248),P248&gt;1E-9,P248&lt;1-1E-9),'계산 과정'!$C$47*(D248-'계산 과정'!$C$50+P248*('계산 과정'!$C$32-D248))+'계산 과정'!$D$47*(E248-'계산 과정'!$D$50+P248*('계산 과정'!$D$32-E248))+'계산 과정'!$E$47*(0-'계산 과정'!$E$50+P248*('계산 과정'!$E$32-0)),"")</x:f>
      </x:c>
      <x:c r="R248" s="4" t="str">
        <x:f>IF(AND(ISNUMBER(P248),P248&gt;1E-9,P248&lt;1-1E-9),'계산 과정'!$C$48*(D248-'계산 과정'!$C$50+P248*('계산 과정'!$C$32-D248))+'계산 과정'!$D$48*(E248-'계산 과정'!$D$50+P248*('계산 과정'!$D$32-E248))+'계산 과정'!$E$48*(0-'계산 과정'!$E$50+P248*('계산 과정'!$E$32-0)),"")</x:f>
      </x:c>
      <x:c r="S248" s="17" t="n">
        <x:f>IF('계산 과정'!$C$78,IF(AND(ISNUMBER(Q248),ISNUMBER(R248),ABS(Q248-'계산 과정'!$C$88)&lt;='계산 과정'!$D$23/2,ABS(R248-'계산 과정'!$C$89)&lt;='계산 과정'!$D$24/2),1,0),"")</x:f>
        <x:v>0</x:v>
      </x:c>
      <x:c r="T248" s="4"/>
      <x:c r="U248" s="4"/>
      <x:c r="V248" s="4"/>
      <x:c r="W248" s="4" t="n">
        <x:f>IF('계산 과정'!$C$78,'계산 과정'!$C$88+-0.96*'계산 과정'!$D$23/2,"")</x:f>
        <x:v>-220.87659574468097</x:v>
      </x:c>
      <x:c r="X248" s="4" t="str">
        <x:f>""</x:f>
      </x:c>
      <x:c r="Y248" s="4" t="n">
        <x:f>IF('계산 과정'!$C$78,'계산 과정'!$C$89+-1*'계산 과정'!$D$24/2,"")</x:f>
        <x:v>-260</x:v>
      </x:c>
      <x:c r="Z248" s="4" t="str">
        <x:f>""</x:f>
      </x:c>
    </x:row>
    <x:row r="249" ht="23" customHeight="1">
      <x:c r="A249" s="17" t="n">
        <x:f>ROW()-6</x:f>
        <x:v>243</x:v>
      </x:c>
      <x:c r="B249" s="4" t="n">
        <x:f>IF('계산 과정'!$L$5,'계산 과정'!$L$11*SQRT((A249+0.5)/'계산 과정'!$L$30),"")</x:f>
        <x:v>51.72205427511073</x:v>
      </x:c>
      <x:c r="C249" s="4" t="n">
        <x:f>A249*PI()*(3-SQRT(5))</x:f>
        <x:v>583.1910648240627</x:v>
      </x:c>
      <x:c r="D249" s="4" t="n">
        <x:f>IF('계산 과정'!$L$5,B249*COS(C249),"")</x:f>
        <x:v>21.35564586750734</x:v>
      </x:c>
      <x:c r="E249" s="4" t="n">
        <x:f>IF('계산 과정'!$L$5,B249*SIN(C249),"")</x:f>
        <x:v>-47.10740162669892</x:v>
      </x:c>
      <x:c r="F249" s="4" t="n">
        <x:f>IF('계산 과정'!$L$7,'계산 과정'!$L$22+'계산 과정'!$C$49*D249+'계산 과정'!$D$49*E249,"")</x:f>
        <x:v>634.8992779904671</x:v>
      </x:c>
      <x:c r="G249" s="4" t="n">
        <x:f>IF('계산 과정'!$L$7,IF(ABS(F249)&gt;=1E-12*MAX(1,SQRT((D249-'계산 과정'!$C$33)^2+(E249-'계산 과정'!$D$33)^2+'계산 과정'!$E$33^2)),('계산 과정'!$L$23-'계산 과정'!$C$49*D249-'계산 과정'!$D$49*E249)/F249,""),"")</x:f>
        <x:v>0.6538056293328555</x:v>
      </x:c>
      <x:c r="H249" s="4" t="n">
        <x:f>IF(AND(ISNUMBER(G249),G249&gt;0),('계산 과정'!$D$56+'계산 과정'!$D$57*D249+'계산 과정'!$D$58*E249)/F249,"")</x:f>
        <x:v>24.973659066355967</x:v>
      </x:c>
      <x:c r="I249" s="4" t="n">
        <x:f>IF(AND(ISNUMBER(G249),G249&gt;0),('계산 과정'!$E$56+'계산 과정'!$E$57*D249+'계산 과정'!$E$58*E249)/F249,"")</x:f>
        <x:v>-77.9064859934784</x:v>
      </x:c>
      <x:c r="J249" s="4" t="n">
        <x:f>IF('계산 과정'!$L$5,'계산 과정'!$D$6+'계산 과정'!$C$35*D249+'계산 과정'!$D$35*E249,"")</x:f>
        <x:v>634.8992779904671</x:v>
      </x:c>
      <x:c r="K249" s="4" t="n">
        <x:f>IF(AND('계산 과정'!$L$6,J249&gt;0),'계산 과정'!$D$10*('계산 과정'!$C$38*(D249-'계산 과정'!$C$32)+'계산 과정'!$D$38*(E249-'계산 과정'!$D$32)-'계산 과정'!$E$38*'계산 과정'!$E$32)/J249,"")</x:f>
        <x:v>0.1902754976484277</x:v>
      </x:c>
      <x:c r="L249" s="4" t="n">
        <x:f>IF(AND('계산 과정'!$L$6,J249&gt;0),'계산 과정'!$D$10*('계산 과정'!$C$39*(D249-'계산 과정'!$C$32)+'계산 과정'!$D$39*(E249-'계산 과정'!$D$32)-'계산 과정'!$E$39*'계산 과정'!$E$32)/J249,"")</x:f>
        <x:v>-0.5935732266169782</x:v>
      </x:c>
      <x:c r="M249" s="17" t="n">
        <x:f>IF('계산 과정'!$L$6,IF(J249&lt;=0,0,IF(AND(ABS(K249)&lt;='계산 과정'!$D$11/2,ABS(L249)&lt;='계산 과정'!$D$12/2),1,0)),"")</x:f>
        <x:v>1</x:v>
      </x:c>
      <x:c r="N249" s="17" t="n">
        <x:f>IF('계산 과정'!$C$78,IF(AND(ISNUMBER(H249),ISNUMBER(I249),ABS(H249-'계산 과정'!$C$88)&lt;='계산 과정'!$D$23/2,ABS(I249-'계산 과정'!$C$89)&lt;='계산 과정'!$D$24/2),1,0),"")</x:f>
        <x:v>1</x:v>
      </x:c>
      <x:c r="O249" s="4" t="n">
        <x:f>IF('계산 과정'!$L$7,'계산 과정'!$C$49*('계산 과정'!$C$32-D249)+'계산 과정'!$D$49*('계산 과정'!$D$32-E249)+'계산 과정'!$E$49*'계산 과정'!$E$32,"")</x:f>
        <x:v>15.100722009533001</x:v>
      </x:c>
      <x:c r="P249" s="4" t="n">
        <x:f>IF(AND('계산 과정'!$L$7,O249&lt;&gt;0),('계산 과정'!$L$23-'계산 과정'!$C$49*D249-'계산 과정'!$D$49*E249)/O249,"")</x:f>
        <x:v>27.488799657889345</x:v>
      </x:c>
      <x:c r="Q249" s="4" t="str">
        <x:f>IF(AND(ISNUMBER(P249),P249&gt;1E-9,P249&lt;1-1E-9),'계산 과정'!$C$47*(D249-'계산 과정'!$C$50+P249*('계산 과정'!$C$32-D249))+'계산 과정'!$D$47*(E249-'계산 과정'!$D$50+P249*('계산 과정'!$D$32-E249))+'계산 과정'!$E$47*(0-'계산 과정'!$E$50+P249*('계산 과정'!$E$32-0)),"")</x:f>
      </x:c>
      <x:c r="R249" s="4" t="str">
        <x:f>IF(AND(ISNUMBER(P249),P249&gt;1E-9,P249&lt;1-1E-9),'계산 과정'!$C$48*(D249-'계산 과정'!$C$50+P249*('계산 과정'!$C$32-D249))+'계산 과정'!$D$48*(E249-'계산 과정'!$D$50+P249*('계산 과정'!$D$32-E249))+'계산 과정'!$E$48*(0-'계산 과정'!$E$50+P249*('계산 과정'!$E$32-0)),"")</x:f>
      </x:c>
      <x:c r="S249" s="17" t="n">
        <x:f>IF('계산 과정'!$C$78,IF(AND(ISNUMBER(Q249),ISNUMBER(R249),ABS(Q249-'계산 과정'!$C$88)&lt;='계산 과정'!$D$23/2,ABS(R249-'계산 과정'!$C$89)&lt;='계산 과정'!$D$24/2),1,0),"")</x:f>
        <x:v>0</x:v>
      </x:c>
      <x:c r="T249" s="4"/>
      <x:c r="U249" s="4"/>
      <x:c r="V249" s="4"/>
      <x:c r="W249" s="4" t="n">
        <x:f>IF('계산 과정'!$C$78,'계산 과정'!$C$88+-0.92*'계산 과정'!$D$23/2,"")</x:f>
        <x:v>-210.476595744681</x:v>
      </x:c>
      <x:c r="X249" s="4" t="str">
        <x:f>""</x:f>
      </x:c>
      <x:c r="Y249" s="4" t="n">
        <x:f>IF('계산 과정'!$C$78,'계산 과정'!$C$89+-1*'계산 과정'!$D$24/2,"")</x:f>
        <x:v>-260</x:v>
      </x:c>
      <x:c r="Z249" s="4" t="str">
        <x:f>""</x:f>
      </x:c>
    </x:row>
    <x:row r="250" ht="23" customHeight="1">
      <x:c r="A250" s="17" t="n">
        <x:f>ROW()-6</x:f>
        <x:v>244</x:v>
      </x:c>
      <x:c r="B250" s="4" t="n">
        <x:f>IF('계산 과정'!$L$5,'계산 과정'!$L$11*SQRT((A250+0.5)/'계산 과정'!$L$30),"")</x:f>
        <x:v>51.828150908193706</x:v>
      </x:c>
      <x:c r="C250" s="4" t="n">
        <x:f>A250*PI()*(3-SQRT(5))</x:f>
        <x:v>585.5910280537913</x:v>
      </x:c>
      <x:c r="D250" s="4" t="n">
        <x:f>IF('계산 과정'!$L$5,B250*COS(C250),"")</x:f>
        <x:v>16.106575482688996</x:v>
      </x:c>
      <x:c r="E250" s="4" t="n">
        <x:f>IF('계산 과정'!$L$5,B250*SIN(C250),"")</x:f>
        <x:v>49.2619067107937</x:v>
      </x:c>
      <x:c r="F250" s="4" t="n">
        <x:f>IF('계산 과정'!$L$7,'계산 과정'!$L$22+'계산 과정'!$C$49*D250+'계산 과정'!$D$49*E250,"")</x:f>
        <x:v>638.6109312544976</x:v>
      </x:c>
      <x:c r="G250" s="4" t="n">
        <x:f>IF('계산 과정'!$L$7,IF(ABS(F250)&gt;=1E-12*MAX(1,SQRT((D250-'계산 과정'!$C$33)^2+(E250-'계산 과정'!$D$33)^2+'계산 과정'!$E$33^2)),('계산 과정'!$L$23-'계산 과정'!$C$49*D250-'계산 과정'!$D$49*E250)/F250,""),"")</x:f>
        <x:v>0.6441935905127134</x:v>
      </x:c>
      <x:c r="H250" s="4" t="n">
        <x:f>IF(AND(ISNUMBER(G250),G250&gt;0),('계산 과정'!$D$56+'계산 과정'!$D$57*D250+'계산 과정'!$D$58*E250)/F250,"")</x:f>
        <x:v>18.725833833263568</x:v>
      </x:c>
      <x:c r="I250" s="4" t="n">
        <x:f>IF(AND(ISNUMBER(G250),G250&gt;0),('계산 과정'!$E$56+'계산 과정'!$E$57*D250+'계산 과정'!$E$58*E250)/F250,"")</x:f>
        <x:v>80.99611127032223</x:v>
      </x:c>
      <x:c r="J250" s="4" t="n">
        <x:f>IF('계산 과정'!$L$5,'계산 과정'!$D$6+'계산 과정'!$C$35*D250+'계산 과정'!$D$35*E250,"")</x:f>
        <x:v>638.6109312544976</x:v>
      </x:c>
      <x:c r="K250" s="4" t="n">
        <x:f>IF(AND('계산 과정'!$L$6,J250&gt;0),'계산 과정'!$D$10*('계산 과정'!$C$38*(D250-'계산 과정'!$C$32)+'계산 과정'!$D$38*(E250-'계산 과정'!$D$32)-'계산 과정'!$E$38*'계산 과정'!$E$32)/J250,"")</x:f>
        <x:v>0.1426730196820087</x:v>
      </x:c>
      <x:c r="L250" s="4" t="n">
        <x:f>IF(AND('계산 과정'!$L$6,J250&gt;0),'계산 과정'!$D$10*('계산 과정'!$C$39*(D250-'계산 과정'!$C$32)+'계산 과정'!$D$39*(E250-'계산 과정'!$D$32)-'계산 과정'!$E$39*'계산 과정'!$E$32)/J250,"")</x:f>
        <x:v>0.6171132287262646</x:v>
      </x:c>
      <x:c r="M250" s="17" t="n">
        <x:f>IF('계산 과정'!$L$6,IF(J250&lt;=0,0,IF(AND(ABS(K250)&lt;='계산 과정'!$D$11/2,ABS(L250)&lt;='계산 과정'!$D$12/2),1,0)),"")</x:f>
        <x:v>1</x:v>
      </x:c>
      <x:c r="N250" s="17" t="n">
        <x:f>IF('계산 과정'!$C$78,IF(AND(ISNUMBER(H250),ISNUMBER(I250),ABS(H250-'계산 과정'!$C$88)&lt;='계산 과정'!$D$23/2,ABS(I250-'계산 과정'!$C$89)&lt;='계산 과정'!$D$24/2),1,0),"")</x:f>
        <x:v>1</x:v>
      </x:c>
      <x:c r="O250" s="4" t="n">
        <x:f>IF('계산 과정'!$L$7,'계산 과정'!$C$49*('계산 과정'!$C$32-D250)+'계산 과정'!$D$49*('계산 과정'!$D$32-E250)+'계산 과정'!$E$49*'계산 과정'!$E$32,"")</x:f>
        <x:v>11.38906874550247</x:v>
      </x:c>
      <x:c r="P250" s="4" t="n">
        <x:f>IF(AND('계산 과정'!$L$7,O250&lt;&gt;0),('계산 과정'!$L$23-'계산 과정'!$C$49*D250-'계산 과정'!$D$49*E250)/O250,"")</x:f>
        <x:v>36.12139657230179</x:v>
      </x:c>
      <x:c r="Q250" s="4" t="str">
        <x:f>IF(AND(ISNUMBER(P250),P250&gt;1E-9,P250&lt;1-1E-9),'계산 과정'!$C$47*(D250-'계산 과정'!$C$50+P250*('계산 과정'!$C$32-D250))+'계산 과정'!$D$47*(E250-'계산 과정'!$D$50+P250*('계산 과정'!$D$32-E250))+'계산 과정'!$E$47*(0-'계산 과정'!$E$50+P250*('계산 과정'!$E$32-0)),"")</x:f>
      </x:c>
      <x:c r="R250" s="4" t="str">
        <x:f>IF(AND(ISNUMBER(P250),P250&gt;1E-9,P250&lt;1-1E-9),'계산 과정'!$C$48*(D250-'계산 과정'!$C$50+P250*('계산 과정'!$C$32-D250))+'계산 과정'!$D$48*(E250-'계산 과정'!$D$50+P250*('계산 과정'!$D$32-E250))+'계산 과정'!$E$48*(0-'계산 과정'!$E$50+P250*('계산 과정'!$E$32-0)),"")</x:f>
      </x:c>
      <x:c r="S250" s="17" t="n">
        <x:f>IF('계산 과정'!$C$78,IF(AND(ISNUMBER(Q250),ISNUMBER(R250),ABS(Q250-'계산 과정'!$C$88)&lt;='계산 과정'!$D$23/2,ABS(R250-'계산 과정'!$C$89)&lt;='계산 과정'!$D$24/2),1,0),"")</x:f>
        <x:v>0</x:v>
      </x:c>
      <x:c r="T250" s="4"/>
      <x:c r="U250" s="4"/>
      <x:c r="V250" s="4"/>
      <x:c r="W250" s="4" t="n">
        <x:f>IF('계산 과정'!$C$78,'계산 과정'!$C$88+-0.88*'계산 과정'!$D$23/2,"")</x:f>
        <x:v>-200.076595744681</x:v>
      </x:c>
      <x:c r="X250" s="4" t="str">
        <x:f>""</x:f>
      </x:c>
      <x:c r="Y250" s="4" t="n">
        <x:f>IF('계산 과정'!$C$78,'계산 과정'!$C$89+-1*'계산 과정'!$D$24/2,"")</x:f>
        <x:v>-260</x:v>
      </x:c>
      <x:c r="Z250" s="4" t="str">
        <x:f>""</x:f>
      </x:c>
    </x:row>
    <x:row r="251" ht="23" customHeight="1">
      <x:c r="A251" s="17" t="n">
        <x:f>ROW()-6</x:f>
        <x:v>245</x:v>
      </x:c>
      <x:c r="B251" s="4" t="n">
        <x:f>IF('계산 과정'!$L$5,'계산 과정'!$L$11*SQRT((A251+0.5)/'계산 과정'!$L$30),"")</x:f>
        <x:v>51.934030795688294</x:v>
      </x:c>
      <x:c r="C251" s="4" t="n">
        <x:f>A251*PI()*(3-SQRT(5))</x:f>
        <x:v>587.99099128352</x:v>
      </x:c>
      <x:c r="D251" s="4" t="n">
        <x:f>IF('계산 과정'!$L$5,B251*COS(C251),"")</x:f>
        <x:v>-45.24466938480446</x:v>
      </x:c>
      <x:c r="E251" s="4" t="n">
        <x:f>IF('계산 과정'!$L$5,B251*SIN(C251),"")</x:f>
        <x:v>-25.496341834609098</x:v>
      </x:c>
      <x:c r="F251" s="4" t="n">
        <x:f>IF('계산 과정'!$L$7,'계산 과정'!$L$22+'계산 과정'!$C$49*D251+'계산 과정'!$D$49*E251,"")</x:f>
        <x:v>681.9928125345386</x:v>
      </x:c>
      <x:c r="G251" s="4" t="n">
        <x:f>IF('계산 과정'!$L$7,IF(ABS(F251)&gt;=1E-12*MAX(1,SQRT((D251-'계산 과정'!$C$33)^2+(E251-'계산 과정'!$D$33)^2+'계산 과정'!$E$33^2)),('계산 과정'!$L$23-'계산 과정'!$C$49*D251-'계산 과정'!$D$49*E251)/F251,""),"")</x:f>
        <x:v>0.5396056684201846</x:v>
      </x:c>
      <x:c r="H251" s="4" t="n">
        <x:f>IF(AND(ISNUMBER(G251),G251&gt;0),('계산 과정'!$D$56+'계산 과정'!$D$57*D251+'계산 과정'!$D$58*E251)/F251,"")</x:f>
        <x:v>-49.25631552688011</x:v>
      </x:c>
      <x:c r="I251" s="4" t="n">
        <x:f>IF(AND(ISNUMBER(G251),G251&gt;0),('계산 과정'!$E$56+'계산 과정'!$E$57*D251+'계산 과정'!$E$58*E251)/F251,"")</x:f>
        <x:v>-39.25431241254285</x:v>
      </x:c>
      <x:c r="J251" s="4" t="n">
        <x:f>IF('계산 과정'!$L$5,'계산 과정'!$D$6+'계산 과정'!$C$35*D251+'계산 과정'!$D$35*E251,"")</x:f>
        <x:v>681.9928125345386</x:v>
      </x:c>
      <x:c r="K251" s="4" t="n">
        <x:f>IF(AND('계산 과정'!$L$6,J251&gt;0),'계산 과정'!$D$10*('계산 과정'!$C$38*(D251-'계산 과정'!$C$32)+'계산 과정'!$D$38*(E251-'계산 과정'!$D$32)-'계산 과정'!$E$38*'계산 과정'!$E$32)/J251,"")</x:f>
        <x:v>-0.37528621353813285</x:v>
      </x:c>
      <x:c r="L251" s="4" t="n">
        <x:f>IF(AND('계산 과정'!$L$6,J251&gt;0),'계산 과정'!$D$10*('계산 과정'!$C$39*(D251-'계산 과정'!$C$32)+'계산 과정'!$D$39*(E251-'계산 과정'!$D$32)-'계산 과정'!$E$39*'계산 과정'!$E$32)/J251,"")</x:f>
        <x:v>-0.299080475524136</x:v>
      </x:c>
      <x:c r="M251" s="17" t="n">
        <x:f>IF('계산 과정'!$L$6,IF(J251&lt;=0,0,IF(AND(ABS(K251)&lt;='계산 과정'!$D$11/2,ABS(L251)&lt;='계산 과정'!$D$12/2),1,0)),"")</x:f>
        <x:v>1</x:v>
      </x:c>
      <x:c r="N251" s="17" t="n">
        <x:f>IF('계산 과정'!$C$78,IF(AND(ISNUMBER(H251),ISNUMBER(I251),ABS(H251-'계산 과정'!$C$88)&lt;='계산 과정'!$D$23/2,ABS(I251-'계산 과정'!$C$89)&lt;='계산 과정'!$D$24/2),1,0),"")</x:f>
        <x:v>1</x:v>
      </x:c>
      <x:c r="O251" s="4" t="n">
        <x:f>IF('계산 과정'!$L$7,'계산 과정'!$C$49*('계산 과정'!$C$32-D251)+'계산 과정'!$D$49*('계산 과정'!$D$32-E251)+'계산 과정'!$E$49*'계산 과정'!$E$32,"")</x:f>
        <x:v>-31.99281253453853</x:v>
      </x:c>
      <x:c r="P251" s="4" t="n">
        <x:f>IF(AND('계산 과정'!$L$7,O251&lt;&gt;0),('계산 과정'!$L$23-'계산 과정'!$C$49*D251-'계산 과정'!$D$49*E251)/O251,"")</x:f>
        <x:v>-11.502808234448638</x:v>
      </x:c>
      <x:c r="Q251" s="4" t="str">
        <x:f>IF(AND(ISNUMBER(P251),P251&gt;1E-9,P251&lt;1-1E-9),'계산 과정'!$C$47*(D251-'계산 과정'!$C$50+P251*('계산 과정'!$C$32-D251))+'계산 과정'!$D$47*(E251-'계산 과정'!$D$50+P251*('계산 과정'!$D$32-E251))+'계산 과정'!$E$47*(0-'계산 과정'!$E$50+P251*('계산 과정'!$E$32-0)),"")</x:f>
      </x:c>
      <x:c r="R251" s="4" t="str">
        <x:f>IF(AND(ISNUMBER(P251),P251&gt;1E-9,P251&lt;1-1E-9),'계산 과정'!$C$48*(D251-'계산 과정'!$C$50+P251*('계산 과정'!$C$32-D251))+'계산 과정'!$D$48*(E251-'계산 과정'!$D$50+P251*('계산 과정'!$D$32-E251))+'계산 과정'!$E$48*(0-'계산 과정'!$E$50+P251*('계산 과정'!$E$32-0)),"")</x:f>
      </x:c>
      <x:c r="S251" s="17" t="n">
        <x:f>IF('계산 과정'!$C$78,IF(AND(ISNUMBER(Q251),ISNUMBER(R251),ABS(Q251-'계산 과정'!$C$88)&lt;='계산 과정'!$D$23/2,ABS(R251-'계산 과정'!$C$89)&lt;='계산 과정'!$D$24/2),1,0),"")</x:f>
        <x:v>0</x:v>
      </x:c>
      <x:c r="T251" s="4"/>
      <x:c r="U251" s="4"/>
      <x:c r="V251" s="4"/>
      <x:c r="W251" s="4" t="n">
        <x:f>IF('계산 과정'!$C$78,'계산 과정'!$C$88+-0.84*'계산 과정'!$D$23/2,"")</x:f>
        <x:v>-189.67659574468098</x:v>
      </x:c>
      <x:c r="X251" s="4" t="str">
        <x:f>""</x:f>
      </x:c>
      <x:c r="Y251" s="4" t="n">
        <x:f>IF('계산 과정'!$C$78,'계산 과정'!$C$89+-1*'계산 과정'!$D$24/2,"")</x:f>
        <x:v>-260</x:v>
      </x:c>
      <x:c r="Z251" s="4" t="str">
        <x:f>""</x:f>
      </x:c>
    </x:row>
    <x:row r="252" ht="23" customHeight="1">
      <x:c r="A252" s="17" t="n">
        <x:f>ROW()-6</x:f>
        <x:v>246</x:v>
      </x:c>
      <x:c r="B252" s="4" t="n">
        <x:f>IF('계산 과정'!$L$5,'계산 과정'!$L$11*SQRT((A252+0.5)/'계산 과정'!$L$30),"")</x:f>
        <x:v>52.039695260565274</x:v>
      </x:c>
      <x:c r="C252" s="4" t="n">
        <x:f>A252*PI()*(3-SQRT(5))</x:f>
        <x:v>590.3909545132486</x:v>
      </x:c>
      <x:c r="D252" s="4" t="n">
        <x:f>IF('계산 과정'!$L$5,B252*COS(C252),"")</x:f>
        <x:v>50.68746136120695</x:v>
      </x:c>
      <x:c r="E252" s="4" t="n">
        <x:f>IF('계산 과정'!$L$5,B252*SIN(C252),"")</x:f>
        <x:v>-11.78605716805466</x:v>
      </x:c>
      <x:c r="F252" s="4" t="n">
        <x:f>IF('계산 과정'!$L$7,'계산 과정'!$L$22+'계산 과정'!$C$49*D252+'계산 과정'!$D$49*E252,"")</x:f>
        <x:v>614.1585523503595</x:v>
      </x:c>
      <x:c r="G252" s="4" t="n">
        <x:f>IF('계산 과정'!$L$7,IF(ABS(F252)&gt;=1E-12*MAX(1,SQRT((D252-'계산 과정'!$C$33)^2+(E252-'계산 과정'!$D$33)^2+'계산 과정'!$E$33^2)),('계산 과정'!$L$23-'계산 과정'!$C$49*D252-'계산 과정'!$D$49*E252)/F252,""),"")</x:f>
        <x:v>0.7096562377609059</x:v>
      </x:c>
      <x:c r="H252" s="4" t="n">
        <x:f>IF(AND(ISNUMBER(G252),G252&gt;0),('계산 과정'!$D$56+'계산 과정'!$D$57*D252+'계산 과정'!$D$58*E252)/F252,"")</x:f>
        <x:v>61.27655454458882</x:v>
      </x:c>
      <x:c r="I252" s="4" t="n">
        <x:f>IF(AND(ISNUMBER(G252),G252&gt;0),('계산 과정'!$E$56+'계산 과정'!$E$57*D252+'계산 과정'!$E$58*E252)/F252,"")</x:f>
        <x:v>-20.150106155971287</x:v>
      </x:c>
      <x:c r="J252" s="4" t="n">
        <x:f>IF('계산 과정'!$L$5,'계산 과정'!$D$6+'계산 과정'!$C$35*D252+'계산 과정'!$D$35*E252,"")</x:f>
        <x:v>614.1585523503595</x:v>
      </x:c>
      <x:c r="K252" s="4" t="n">
        <x:f>IF(AND('계산 과정'!$L$6,J252&gt;0),'계산 과정'!$D$10*('계산 과정'!$C$38*(D252-'계산 과정'!$C$32)+'계산 과정'!$D$38*(E252-'계산 과정'!$D$32)-'계산 과정'!$E$38*'계산 과정'!$E$32)/J252,"")</x:f>
        <x:v>0.46686898700639173</x:v>
      </x:c>
      <x:c r="L252" s="4" t="n">
        <x:f>IF(AND('계산 과정'!$L$6,J252&gt;0),'계산 과정'!$D$10*('계산 과정'!$C$39*(D252-'계산 과정'!$C$32)+'계산 과정'!$D$39*(E252-'계산 과정'!$D$32)-'계산 과정'!$E$39*'계산 과정'!$E$32)/J252,"")</x:f>
        <x:v>-0.1535246183312098</x:v>
      </x:c>
      <x:c r="M252" s="17" t="n">
        <x:f>IF('계산 과정'!$L$6,IF(J252&lt;=0,0,IF(AND(ABS(K252)&lt;='계산 과정'!$D$11/2,ABS(L252)&lt;='계산 과정'!$D$12/2),1,0)),"")</x:f>
        <x:v>1</x:v>
      </x:c>
      <x:c r="N252" s="17" t="n">
        <x:f>IF('계산 과정'!$C$78,IF(AND(ISNUMBER(H252),ISNUMBER(I252),ABS(H252-'계산 과정'!$C$88)&lt;='계산 과정'!$D$23/2,ABS(I252-'계산 과정'!$C$89)&lt;='계산 과정'!$D$24/2),1,0),"")</x:f>
        <x:v>1</x:v>
      </x:c>
      <x:c r="O252" s="4" t="n">
        <x:f>IF('계산 과정'!$L$7,'계산 과정'!$C$49*('계산 과정'!$C$32-D252)+'계산 과정'!$D$49*('계산 과정'!$D$32-E252)+'계산 과정'!$E$49*'계산 과정'!$E$32,"")</x:f>
        <x:v>35.841447649640656</x:v>
      </x:c>
      <x:c r="P252" s="4" t="n">
        <x:f>IF(AND('계산 과정'!$L$7,O252&lt;&gt;0),('계산 과정'!$L$23-'계산 과정'!$C$49*D252-'계산 과정'!$D$49*E252)/O252,"")</x:f>
        <x:v>12.160263500238676</x:v>
      </x:c>
      <x:c r="Q252" s="4" t="str">
        <x:f>IF(AND(ISNUMBER(P252),P252&gt;1E-9,P252&lt;1-1E-9),'계산 과정'!$C$47*(D252-'계산 과정'!$C$50+P252*('계산 과정'!$C$32-D252))+'계산 과정'!$D$47*(E252-'계산 과정'!$D$50+P252*('계산 과정'!$D$32-E252))+'계산 과정'!$E$47*(0-'계산 과정'!$E$50+P252*('계산 과정'!$E$32-0)),"")</x:f>
      </x:c>
      <x:c r="R252" s="4" t="str">
        <x:f>IF(AND(ISNUMBER(P252),P252&gt;1E-9,P252&lt;1-1E-9),'계산 과정'!$C$48*(D252-'계산 과정'!$C$50+P252*('계산 과정'!$C$32-D252))+'계산 과정'!$D$48*(E252-'계산 과정'!$D$50+P252*('계산 과정'!$D$32-E252))+'계산 과정'!$E$48*(0-'계산 과정'!$E$50+P252*('계산 과정'!$E$32-0)),"")</x:f>
      </x:c>
      <x:c r="S252" s="17" t="n">
        <x:f>IF('계산 과정'!$C$78,IF(AND(ISNUMBER(Q252),ISNUMBER(R252),ABS(Q252-'계산 과정'!$C$88)&lt;='계산 과정'!$D$23/2,ABS(R252-'계산 과정'!$C$89)&lt;='계산 과정'!$D$24/2),1,0),"")</x:f>
        <x:v>0</x:v>
      </x:c>
      <x:c r="T252" s="4"/>
      <x:c r="U252" s="4"/>
      <x:c r="V252" s="4"/>
      <x:c r="W252" s="4" t="n">
        <x:f>IF('계산 과정'!$C$78,'계산 과정'!$C$88+-0.8*'계산 과정'!$D$23/2,"")</x:f>
        <x:v>-179.27659574468098</x:v>
      </x:c>
      <x:c r="X252" s="4" t="str">
        <x:f>""</x:f>
      </x:c>
      <x:c r="Y252" s="4" t="n">
        <x:f>IF('계산 과정'!$C$78,'계산 과정'!$C$89+-1*'계산 과정'!$D$24/2,"")</x:f>
        <x:v>-260</x:v>
      </x:c>
      <x:c r="Z252" s="4" t="str">
        <x:f>""</x:f>
      </x:c>
    </x:row>
    <x:row r="253" ht="23" customHeight="1">
      <x:c r="A253" s="17" t="n">
        <x:f>ROW()-6</x:f>
        <x:v>247</x:v>
      </x:c>
      <x:c r="B253" s="4" t="n">
        <x:f>IF('계산 과정'!$L$5,'계산 과정'!$L$11*SQRT((A253+0.5)/'계산 과정'!$L$30),"")</x:f>
        <x:v>52.14514561239138</x:v>
      </x:c>
      <x:c r="C253" s="4" t="n">
        <x:f>A253*PI()*(3-SQRT(5))</x:f>
        <x:v>592.7909177429773</x:v>
      </x:c>
      <x:c r="D253" s="4" t="n">
        <x:f>IF('계산 과정'!$L$5,B253*COS(C253),"")</x:f>
        <x:v>-29.473592168221693</x:v>
      </x:c>
      <x:c r="E253" s="4" t="n">
        <x:f>IF('계산 과정'!$L$5,B253*SIN(C253),"")</x:f>
        <x:v>43.016550020182244</x:v>
      </x:c>
      <x:c r="F253" s="4" t="n">
        <x:f>IF('계산 과정'!$L$7,'계산 과정'!$L$22+'계산 과정'!$C$49*D253+'계산 과정'!$D$49*E253,"")</x:f>
        <x:v>670.8409768880763</x:v>
      </x:c>
      <x:c r="G253" s="4" t="n">
        <x:f>IF('계산 과정'!$L$7,IF(ABS(F253)&gt;=1E-12*MAX(1,SQRT((D253-'계산 과정'!$C$33)^2+(E253-'계산 과정'!$D$33)^2+'계산 과정'!$E$33^2)),('계산 과정'!$L$23-'계산 과정'!$C$49*D253-'계산 과정'!$D$49*E253)/F253,""),"")</x:f>
        <x:v>0.5651995572345351</x:v>
      </x:c>
      <x:c r="H253" s="4" t="n">
        <x:f>IF(AND(ISNUMBER(G253),G253&gt;0),('계산 과정'!$D$56+'계산 과정'!$D$57*D253+'계산 과정'!$D$58*E253)/F253,"")</x:f>
        <x:v>-32.62028779755229</x:v>
      </x:c>
      <x:c r="I253" s="4" t="n">
        <x:f>IF(AND(ISNUMBER(G253),G253&gt;0),('계산 과정'!$E$56+'계산 과정'!$E$57*D253+'계산 과정'!$E$58*E253)/F253,"")</x:f>
        <x:v>67.32948504534647</x:v>
      </x:c>
      <x:c r="J253" s="4" t="n">
        <x:f>IF('계산 과정'!$L$5,'계산 과정'!$D$6+'계산 과정'!$C$35*D253+'계산 과정'!$D$35*E253,"")</x:f>
        <x:v>670.8409768880763</x:v>
      </x:c>
      <x:c r="K253" s="4" t="n">
        <x:f>IF(AND('계산 과정'!$L$6,J253&gt;0),'계산 과정'!$D$10*('계산 과정'!$C$38*(D253-'계산 과정'!$C$32)+'계산 과정'!$D$38*(E253-'계산 과정'!$D$32)-'계산 과정'!$E$38*'계산 과정'!$E$32)/J253,"")</x:f>
        <x:v>-0.24853552607658802</x:v>
      </x:c>
      <x:c r="L253" s="4" t="n">
        <x:f>IF(AND('계산 과정'!$L$6,J253&gt;0),'계산 과정'!$D$10*('계산 과정'!$C$39*(D253-'계산 과정'!$C$32)+'계산 과정'!$D$39*(E253-'계산 과정'!$D$32)-'계산 과정'!$E$39*'계산 과정'!$E$32)/J253,"")</x:f>
        <x:v>0.5129865527264493</x:v>
      </x:c>
      <x:c r="M253" s="17" t="n">
        <x:f>IF('계산 과정'!$L$6,IF(J253&lt;=0,0,IF(AND(ABS(K253)&lt;='계산 과정'!$D$11/2,ABS(L253)&lt;='계산 과정'!$D$12/2),1,0)),"")</x:f>
        <x:v>1</x:v>
      </x:c>
      <x:c r="N253" s="17" t="n">
        <x:f>IF('계산 과정'!$C$78,IF(AND(ISNUMBER(H253),ISNUMBER(I253),ABS(H253-'계산 과정'!$C$88)&lt;='계산 과정'!$D$23/2,ABS(I253-'계산 과정'!$C$89)&lt;='계산 과정'!$D$24/2),1,0),"")</x:f>
        <x:v>1</x:v>
      </x:c>
      <x:c r="O253" s="4" t="n">
        <x:f>IF('계산 과정'!$L$7,'계산 과정'!$C$49*('계산 과정'!$C$32-D253)+'계산 과정'!$D$49*('계산 과정'!$D$32-E253)+'계산 과정'!$E$49*'계산 과정'!$E$32,"")</x:f>
        <x:v>-20.84097688807617</x:v>
      </x:c>
      <x:c r="P253" s="4" t="n">
        <x:f>IF(AND('계산 과정'!$L$7,O253&lt;&gt;0),('계산 과정'!$L$23-'계산 과정'!$C$49*D253-'계산 과정'!$D$49*E253)/O253,"")</x:f>
        <x:v>-18.192958283488785</x:v>
      </x:c>
      <x:c r="Q253" s="4" t="str">
        <x:f>IF(AND(ISNUMBER(P253),P253&gt;1E-9,P253&lt;1-1E-9),'계산 과정'!$C$47*(D253-'계산 과정'!$C$50+P253*('계산 과정'!$C$32-D253))+'계산 과정'!$D$47*(E253-'계산 과정'!$D$50+P253*('계산 과정'!$D$32-E253))+'계산 과정'!$E$47*(0-'계산 과정'!$E$50+P253*('계산 과정'!$E$32-0)),"")</x:f>
      </x:c>
      <x:c r="R253" s="4" t="str">
        <x:f>IF(AND(ISNUMBER(P253),P253&gt;1E-9,P253&lt;1-1E-9),'계산 과정'!$C$48*(D253-'계산 과정'!$C$50+P253*('계산 과정'!$C$32-D253))+'계산 과정'!$D$48*(E253-'계산 과정'!$D$50+P253*('계산 과정'!$D$32-E253))+'계산 과정'!$E$48*(0-'계산 과정'!$E$50+P253*('계산 과정'!$E$32-0)),"")</x:f>
      </x:c>
      <x:c r="S253" s="17" t="n">
        <x:f>IF('계산 과정'!$C$78,IF(AND(ISNUMBER(Q253),ISNUMBER(R253),ABS(Q253-'계산 과정'!$C$88)&lt;='계산 과정'!$D$23/2,ABS(R253-'계산 과정'!$C$89)&lt;='계산 과정'!$D$24/2),1,0),"")</x:f>
        <x:v>0</x:v>
      </x:c>
      <x:c r="T253" s="4"/>
      <x:c r="U253" s="4"/>
      <x:c r="V253" s="4"/>
      <x:c r="W253" s="4" t="n">
        <x:f>IF('계산 과정'!$C$78,'계산 과정'!$C$88+-0.76*'계산 과정'!$D$23/2,"")</x:f>
        <x:v>-168.87659574468097</x:v>
      </x:c>
      <x:c r="X253" s="4" t="str">
        <x:f>""</x:f>
      </x:c>
      <x:c r="Y253" s="4" t="n">
        <x:f>IF('계산 과정'!$C$78,'계산 과정'!$C$89+-1*'계산 과정'!$D$24/2,"")</x:f>
        <x:v>-260</x:v>
      </x:c>
      <x:c r="Z253" s="4" t="str">
        <x:f>""</x:f>
      </x:c>
    </x:row>
    <x:row r="254" ht="23" customHeight="1">
      <x:c r="A254" s="17" t="n">
        <x:f>ROW()-6</x:f>
        <x:v>248</x:v>
      </x:c>
      <x:c r="B254" s="4" t="n">
        <x:f>IF('계산 과정'!$L$5,'계산 과정'!$L$11*SQRT((A254+0.5)/'계산 과정'!$L$30),"")</x:f>
        <x:v>52.25038314751865</x:v>
      </x:c>
      <x:c r="C254" s="4" t="n">
        <x:f>A254*PI()*(3-SQRT(5))</x:f>
        <x:v>595.1908809727059</x:v>
      </x:c>
      <x:c r="D254" s="4" t="n">
        <x:f>IF('계산 과정'!$L$5,B254*COS(C254),"")</x:f>
        <x:v>-7.339134196812459</x:v>
      </x:c>
      <x:c r="E254" s="4" t="n">
        <x:f>IF('계산 과정'!$L$5,B254*SIN(C254),"")</x:f>
        <x:v>-51.732384908330665</x:v>
      </x:c>
      <x:c r="F254" s="4" t="n">
        <x:f>IF('계산 과정'!$L$7,'계산 과정'!$L$22+'계산 과정'!$C$49*D254+'계산 과정'!$D$49*E254,"")</x:f>
        <x:v>655.1895515586042</x:v>
      </x:c>
      <x:c r="G254" s="4" t="n">
        <x:f>IF('계산 과정'!$L$7,IF(ABS(F254)&gt;=1E-12*MAX(1,SQRT((D254-'계산 과정'!$C$33)^2+(E254-'계산 과정'!$D$33)^2+'계산 과정'!$E$33^2)),('계산 과정'!$L$23-'계산 과정'!$C$49*D254-'계산 과정'!$D$49*E254)/F254,""),"")</x:f>
        <x:v>0.6025896589806675</x:v>
      </x:c>
      <x:c r="H254" s="4" t="n">
        <x:f>IF(AND(ISNUMBER(G254),G254&gt;0),('계산 과정'!$D$56+'계산 과정'!$D$57*D254+'계산 과정'!$D$58*E254)/F254,"")</x:f>
        <x:v>-8.316721662566174</x:v>
      </x:c>
      <x:c r="I254" s="4" t="n">
        <x:f>IF(AND(ISNUMBER(G254),G254&gt;0),('계산 과정'!$E$56+'계산 과정'!$E$57*D254+'계산 과정'!$E$58*E254)/F254,"")</x:f>
        <x:v>-82.90578508849828</x:v>
      </x:c>
      <x:c r="J254" s="4" t="n">
        <x:f>IF('계산 과정'!$L$5,'계산 과정'!$D$6+'계산 과정'!$C$35*D254+'계산 과정'!$D$35*E254,"")</x:f>
        <x:v>655.1895515586042</x:v>
      </x:c>
      <x:c r="K254" s="4" t="n">
        <x:f>IF(AND('계산 과정'!$L$6,J254&gt;0),'계산 과정'!$D$10*('계산 과정'!$C$38*(D254-'계산 과정'!$C$32)+'계산 과정'!$D$38*(E254-'계산 과정'!$D$32)-'계산 과정'!$E$38*'계산 과정'!$E$32)/J254,"")</x:f>
        <x:v>-0.06336549838145521</x:v>
      </x:c>
      <x:c r="L254" s="4" t="n">
        <x:f>IF(AND('계산 과정'!$L$6,J254&gt;0),'계산 과정'!$D$10*('계산 과정'!$C$39*(D254-'계산 과정'!$C$32)+'계산 과정'!$D$39*(E254-'계산 과정'!$D$32)-'계산 과정'!$E$39*'계산 과정'!$E$32)/J254,"")</x:f>
        <x:v>-0.6316631244837964</x:v>
      </x:c>
      <x:c r="M254" s="17" t="n">
        <x:f>IF('계산 과정'!$L$6,IF(J254&lt;=0,0,IF(AND(ABS(K254)&lt;='계산 과정'!$D$11/2,ABS(L254)&lt;='계산 과정'!$D$12/2),1,0)),"")</x:f>
        <x:v>1</x:v>
      </x:c>
      <x:c r="N254" s="17" t="n">
        <x:f>IF('계산 과정'!$C$78,IF(AND(ISNUMBER(H254),ISNUMBER(I254),ABS(H254-'계산 과정'!$C$88)&lt;='계산 과정'!$D$23/2,ABS(I254-'계산 과정'!$C$89)&lt;='계산 과정'!$D$24/2),1,0),"")</x:f>
        <x:v>1</x:v>
      </x:c>
      <x:c r="O254" s="4" t="n">
        <x:f>IF('계산 과정'!$L$7,'계산 과정'!$C$49*('계산 과정'!$C$32-D254)+'계산 과정'!$D$49*('계산 과정'!$D$32-E254)+'계산 과정'!$E$49*'계산 과정'!$E$32,"")</x:f>
        <x:v>-5.189551558604023</x:v>
      </x:c>
      <x:c r="P254" s="4" t="n">
        <x:f>IF(AND('계산 과정'!$L$7,O254&lt;&gt;0),('계산 과정'!$L$23-'계산 과정'!$C$49*D254-'계산 과정'!$D$49*E254)/O254,"")</x:f>
        <x:v>-76.07795085623908</x:v>
      </x:c>
      <x:c r="Q254" s="4" t="str">
        <x:f>IF(AND(ISNUMBER(P254),P254&gt;1E-9,P254&lt;1-1E-9),'계산 과정'!$C$47*(D254-'계산 과정'!$C$50+P254*('계산 과정'!$C$32-D254))+'계산 과정'!$D$47*(E254-'계산 과정'!$D$50+P254*('계산 과정'!$D$32-E254))+'계산 과정'!$E$47*(0-'계산 과정'!$E$50+P254*('계산 과정'!$E$32-0)),"")</x:f>
      </x:c>
      <x:c r="R254" s="4" t="str">
        <x:f>IF(AND(ISNUMBER(P254),P254&gt;1E-9,P254&lt;1-1E-9),'계산 과정'!$C$48*(D254-'계산 과정'!$C$50+P254*('계산 과정'!$C$32-D254))+'계산 과정'!$D$48*(E254-'계산 과정'!$D$50+P254*('계산 과정'!$D$32-E254))+'계산 과정'!$E$48*(0-'계산 과정'!$E$50+P254*('계산 과정'!$E$32-0)),"")</x:f>
      </x:c>
      <x:c r="S254" s="17" t="n">
        <x:f>IF('계산 과정'!$C$78,IF(AND(ISNUMBER(Q254),ISNUMBER(R254),ABS(Q254-'계산 과정'!$C$88)&lt;='계산 과정'!$D$23/2,ABS(R254-'계산 과정'!$C$89)&lt;='계산 과정'!$D$24/2),1,0),"")</x:f>
        <x:v>0</x:v>
      </x:c>
      <x:c r="T254" s="4"/>
      <x:c r="U254" s="4"/>
      <x:c r="V254" s="4"/>
      <x:c r="W254" s="4" t="n">
        <x:f>IF('계산 과정'!$C$78,'계산 과정'!$C$88+-0.72*'계산 과정'!$D$23/2,"")</x:f>
        <x:v>-158.47659574468096</x:v>
      </x:c>
      <x:c r="X254" s="4" t="str">
        <x:f>""</x:f>
      </x:c>
      <x:c r="Y254" s="4" t="n">
        <x:f>IF('계산 과정'!$C$78,'계산 과정'!$C$89+-1*'계산 과정'!$D$24/2,"")</x:f>
        <x:v>-260</x:v>
      </x:c>
      <x:c r="Z254" s="4" t="str">
        <x:f>""</x:f>
      </x:c>
    </x:row>
    <x:row r="255" ht="23" customHeight="1">
      <x:c r="A255" s="17" t="n">
        <x:f>ROW()-6</x:f>
        <x:v>249</x:v>
      </x:c>
      <x:c r="B255" s="4" t="n">
        <x:f>IF('계산 과정'!$L$5,'계산 과정'!$L$11*SQRT((A255+0.5)/'계산 과정'!$L$30),"")</x:f>
        <x:v>52.355409149270336</x:v>
      </x:c>
      <x:c r="C255" s="4" t="n">
        <x:f>A255*PI()*(3-SQRT(5))</x:f>
        <x:v>597.5908442024346</x:v>
      </x:c>
      <x:c r="D255" s="4" t="n">
        <x:f>IF('계산 과정'!$L$5,B255*COS(C255),"")</x:f>
        <x:v>40.43749147299768</x:v>
      </x:c>
      <x:c r="E255" s="4" t="n">
        <x:f>IF('계산 과정'!$L$5,B255*SIN(C255),"")</x:f>
        <x:v>33.25504699378337</x:v>
      </x:c>
      <x:c r="F255" s="4" t="n">
        <x:f>IF('계산 과정'!$L$7,'계산 과정'!$L$22+'계산 과정'!$C$49*D255+'계산 과정'!$D$49*E255,"")</x:f>
        <x:v>621.4063755652702</x:v>
      </x:c>
      <x:c r="G255" s="4" t="n">
        <x:f>IF('계산 과정'!$L$7,IF(ABS(F255)&gt;=1E-12*MAX(1,SQRT((D255-'계산 과정'!$C$33)^2+(E255-'계산 과정'!$D$33)^2+'계산 과정'!$E$33^2)),('계산 과정'!$L$23-'계산 과정'!$C$49*D255-'계산 과정'!$D$49*E255)/F255,""),"")</x:f>
        <x:v>0.6897155247962402</x:v>
      </x:c>
      <x:c r="H255" s="4" t="n">
        <x:f>IF(AND(ISNUMBER(G255),G255&gt;0),('계산 과정'!$D$56+'계산 과정'!$D$57*D255+'계산 과정'!$D$58*E255)/F255,"")</x:f>
        <x:v>48.31509111755604</x:v>
      </x:c>
      <x:c r="I255" s="4" t="n">
        <x:f>IF(AND(ISNUMBER(G255),G255&gt;0),('계산 과정'!$E$56+'계산 과정'!$E$57*D255+'계산 과정'!$E$58*E255)/F255,"")</x:f>
        <x:v>56.19156918322429</x:v>
      </x:c>
      <x:c r="J255" s="4" t="n">
        <x:f>IF('계산 과정'!$L$5,'계산 과정'!$D$6+'계산 과정'!$C$35*D255+'계산 과정'!$D$35*E255,"")</x:f>
        <x:v>621.4063755652702</x:v>
      </x:c>
      <x:c r="K255" s="4" t="n">
        <x:f>IF(AND('계산 과정'!$L$6,J255&gt;0),'계산 과정'!$D$10*('계산 과정'!$C$38*(D255-'계산 과정'!$C$32)+'계산 과정'!$D$38*(E255-'계산 과정'!$D$32)-'계산 과정'!$E$38*'계산 과정'!$E$32)/J255,"")</x:f>
        <x:v>0.368114979943285</x:v>
      </x:c>
      <x:c r="L255" s="4" t="n">
        <x:f>IF(AND('계산 과정'!$L$6,J255&gt;0),'계산 과정'!$D$10*('계산 과정'!$C$39*(D255-'계산 과정'!$C$32)+'계산 과정'!$D$39*(E255-'계산 과정'!$D$32)-'계산 과정'!$E$39*'계산 과정'!$E$32)/J255,"")</x:f>
        <x:v>0.4281262413959946</x:v>
      </x:c>
      <x:c r="M255" s="17" t="n">
        <x:f>IF('계산 과정'!$L$6,IF(J255&lt;=0,0,IF(AND(ABS(K255)&lt;='계산 과정'!$D$11/2,ABS(L255)&lt;='계산 과정'!$D$12/2),1,0)),"")</x:f>
        <x:v>1</x:v>
      </x:c>
      <x:c r="N255" s="17" t="n">
        <x:f>IF('계산 과정'!$C$78,IF(AND(ISNUMBER(H255),ISNUMBER(I255),ABS(H255-'계산 과정'!$C$88)&lt;='계산 과정'!$D$23/2,ABS(I255-'계산 과정'!$C$89)&lt;='계산 과정'!$D$24/2),1,0),"")</x:f>
        <x:v>1</x:v>
      </x:c>
      <x:c r="O255" s="4" t="n">
        <x:f>IF('계산 과정'!$L$7,'계산 과정'!$C$49*('계산 과정'!$C$32-D255)+'계산 과정'!$D$49*('계산 과정'!$D$32-E255)+'계산 과정'!$E$49*'계산 과정'!$E$32,"")</x:f>
        <x:v>28.593624434729975</x:v>
      </x:c>
      <x:c r="P255" s="4" t="n">
        <x:f>IF(AND('계산 과정'!$L$7,O255&lt;&gt;0),('계산 과정'!$L$23-'계산 과정'!$C$49*D255-'계산 과정'!$D$49*E255)/O255,"")</x:f>
        <x:v>14.989132469480072</x:v>
      </x:c>
      <x:c r="Q255" s="4" t="str">
        <x:f>IF(AND(ISNUMBER(P255),P255&gt;1E-9,P255&lt;1-1E-9),'계산 과정'!$C$47*(D255-'계산 과정'!$C$50+P255*('계산 과정'!$C$32-D255))+'계산 과정'!$D$47*(E255-'계산 과정'!$D$50+P255*('계산 과정'!$D$32-E255))+'계산 과정'!$E$47*(0-'계산 과정'!$E$50+P255*('계산 과정'!$E$32-0)),"")</x:f>
      </x:c>
      <x:c r="R255" s="4" t="str">
        <x:f>IF(AND(ISNUMBER(P255),P255&gt;1E-9,P255&lt;1-1E-9),'계산 과정'!$C$48*(D255-'계산 과정'!$C$50+P255*('계산 과정'!$C$32-D255))+'계산 과정'!$D$48*(E255-'계산 과정'!$D$50+P255*('계산 과정'!$D$32-E255))+'계산 과정'!$E$48*(0-'계산 과정'!$E$50+P255*('계산 과정'!$E$32-0)),"")</x:f>
      </x:c>
      <x:c r="S255" s="17" t="n">
        <x:f>IF('계산 과정'!$C$78,IF(AND(ISNUMBER(Q255),ISNUMBER(R255),ABS(Q255-'계산 과정'!$C$88)&lt;='계산 과정'!$D$23/2,ABS(R255-'계산 과정'!$C$89)&lt;='계산 과정'!$D$24/2),1,0),"")</x:f>
        <x:v>0</x:v>
      </x:c>
      <x:c r="T255" s="4"/>
      <x:c r="U255" s="4"/>
      <x:c r="V255" s="4"/>
      <x:c r="W255" s="4" t="n">
        <x:f>IF('계산 과정'!$C$78,'계산 과정'!$C$88+-0.6799999999999999*'계산 과정'!$D$23/2,"")</x:f>
        <x:v>-148.07659574468096</x:v>
      </x:c>
      <x:c r="X255" s="4" t="str">
        <x:f>""</x:f>
      </x:c>
      <x:c r="Y255" s="4" t="n">
        <x:f>IF('계산 과정'!$C$78,'계산 과정'!$C$89+-1*'계산 과정'!$D$24/2,"")</x:f>
        <x:v>-260</x:v>
      </x:c>
      <x:c r="Z255" s="4" t="str">
        <x:f>""</x:f>
      </x:c>
    </x:row>
    <x:row r="256" ht="23" customHeight="1">
      <x:c r="A256" s="17" t="n">
        <x:f>ROW()-6</x:f>
        <x:v>250</x:v>
      </x:c>
      <x:c r="B256" s="4" t="n">
        <x:f>IF('계산 과정'!$L$5,'계산 과정'!$L$11*SQRT((A256+0.5)/'계산 과정'!$L$30),"")</x:f>
        <x:v>52.46022488812358</x:v>
      </x:c>
      <x:c r="C256" s="4" t="n">
        <x:f>A256*PI()*(3-SQRT(5))</x:f>
        <x:v>599.9908074321631</x:v>
      </x:c>
      <x:c r="D256" s="4" t="n">
        <x:f>IF('계산 과정'!$L$5,B256*COS(C256),"")</x:f>
        <x:v>-52.38547558871161</x:v>
      </x:c>
      <x:c r="E256" s="4" t="n">
        <x:f>IF('계산 과정'!$L$5,B256*SIN(C256),"")</x:f>
        <x:v>2.799489713680172</x:v>
      </x:c>
      <x:c r="F256" s="4" t="n">
        <x:f>IF('계산 과정'!$L$7,'계산 과정'!$L$22+'계산 과정'!$C$49*D256+'계산 과정'!$D$49*E256,"")</x:f>
        <x:v>687.0421250244603</x:v>
      </x:c>
      <x:c r="G256" s="4" t="n">
        <x:f>IF('계산 과정'!$L$7,IF(ABS(F256)&gt;=1E-12*MAX(1,SQRT((D256-'계산 과정'!$C$33)^2+(E256-'계산 과정'!$D$33)^2+'계산 과정'!$E$33^2)),('계산 과정'!$L$23-'계산 과정'!$C$49*D256-'계산 과정'!$D$49*E256)/F256,""),"")</x:f>
        <x:v>0.5282905687371316</x:v>
      </x:c>
      <x:c r="H256" s="4" t="n">
        <x:f>IF(AND(ISNUMBER(G256),G256&gt;0),('계산 과정'!$D$56+'계산 과정'!$D$57*D256+'계산 과정'!$D$58*E256)/F256,"")</x:f>
        <x:v>-56.611130320864525</x:v>
      </x:c>
      <x:c r="I256" s="4" t="n">
        <x:f>IF(AND(ISNUMBER(G256),G256&gt;0),('계산 과정'!$E$56+'계산 과정'!$E$57*D256+'계산 과정'!$E$58*E256)/F256,"")</x:f>
        <x:v>4.27843372669402</x:v>
      </x:c>
      <x:c r="J256" s="4" t="n">
        <x:f>IF('계산 과정'!$L$5,'계산 과정'!$D$6+'계산 과정'!$C$35*D256+'계산 과정'!$D$35*E256,"")</x:f>
        <x:v>687.0421250244603</x:v>
      </x:c>
      <x:c r="K256" s="4" t="n">
        <x:f>IF(AND('계산 과정'!$L$6,J256&gt;0),'계산 과정'!$D$10*('계산 과정'!$C$38*(D256-'계산 과정'!$C$32)+'계산 과정'!$D$38*(E256-'계산 과정'!$D$32)-'계산 과정'!$E$38*'계산 과정'!$E$32)/J256,"")</x:f>
        <x:v>-0.4313228976827767</x:v>
      </x:c>
      <x:c r="L256" s="4" t="n">
        <x:f>IF(AND('계산 과정'!$L$6,J256&gt;0),'계산 과정'!$D$10*('계산 과정'!$C$39*(D256-'계산 과정'!$C$32)+'계산 과정'!$D$39*(E256-'계산 과정'!$D$32)-'계산 과정'!$E$39*'계산 과정'!$E$32)/J256,"")</x:f>
        <x:v>0.0325975902986211</x:v>
      </x:c>
      <x:c r="M256" s="17" t="n">
        <x:f>IF('계산 과정'!$L$6,IF(J256&lt;=0,0,IF(AND(ABS(K256)&lt;='계산 과정'!$D$11/2,ABS(L256)&lt;='계산 과정'!$D$12/2),1,0)),"")</x:f>
        <x:v>1</x:v>
      </x:c>
      <x:c r="N256" s="17" t="n">
        <x:f>IF('계산 과정'!$C$78,IF(AND(ISNUMBER(H256),ISNUMBER(I256),ABS(H256-'계산 과정'!$C$88)&lt;='계산 과정'!$D$23/2,ABS(I256-'계산 과정'!$C$89)&lt;='계산 과정'!$D$24/2),1,0),"")</x:f>
        <x:v>1</x:v>
      </x:c>
      <x:c r="O256" s="4" t="n">
        <x:f>IF('계산 과정'!$L$7,'계산 과정'!$C$49*('계산 과정'!$C$32-D256)+'계산 과정'!$D$49*('계산 과정'!$D$32-E256)+'계산 과정'!$E$49*'계산 과정'!$E$32,"")</x:f>
        <x:v>-37.04212502446023</x:v>
      </x:c>
      <x:c r="P256" s="4" t="n">
        <x:f>IF(AND('계산 과정'!$L$7,O256&lt;&gt;0),('계산 과정'!$L$23-'계산 과정'!$C$49*D256-'계산 과정'!$D$49*E256)/O256,"")</x:f>
        <x:v>-9.798516546657776</x:v>
      </x:c>
      <x:c r="Q256" s="4" t="str">
        <x:f>IF(AND(ISNUMBER(P256),P256&gt;1E-9,P256&lt;1-1E-9),'계산 과정'!$C$47*(D256-'계산 과정'!$C$50+P256*('계산 과정'!$C$32-D256))+'계산 과정'!$D$47*(E256-'계산 과정'!$D$50+P256*('계산 과정'!$D$32-E256))+'계산 과정'!$E$47*(0-'계산 과정'!$E$50+P256*('계산 과정'!$E$32-0)),"")</x:f>
      </x:c>
      <x:c r="R256" s="4" t="str">
        <x:f>IF(AND(ISNUMBER(P256),P256&gt;1E-9,P256&lt;1-1E-9),'계산 과정'!$C$48*(D256-'계산 과정'!$C$50+P256*('계산 과정'!$C$32-D256))+'계산 과정'!$D$48*(E256-'계산 과정'!$D$50+P256*('계산 과정'!$D$32-E256))+'계산 과정'!$E$48*(0-'계산 과정'!$E$50+P256*('계산 과정'!$E$32-0)),"")</x:f>
      </x:c>
      <x:c r="S256" s="17" t="n">
        <x:f>IF('계산 과정'!$C$78,IF(AND(ISNUMBER(Q256),ISNUMBER(R256),ABS(Q256-'계산 과정'!$C$88)&lt;='계산 과정'!$D$23/2,ABS(R256-'계산 과정'!$C$89)&lt;='계산 과정'!$D$24/2),1,0),"")</x:f>
        <x:v>0</x:v>
      </x:c>
      <x:c r="T256" s="4"/>
      <x:c r="U256" s="4"/>
      <x:c r="V256" s="4"/>
      <x:c r="W256" s="4" t="n">
        <x:f>IF('계산 과정'!$C$78,'계산 과정'!$C$88+-0.64*'계산 과정'!$D$23/2,"")</x:f>
        <x:v>-137.67659574468098</x:v>
      </x:c>
      <x:c r="X256" s="4" t="str">
        <x:f>""</x:f>
      </x:c>
      <x:c r="Y256" s="4" t="n">
        <x:f>IF('계산 과정'!$C$78,'계산 과정'!$C$89+-1*'계산 과정'!$D$24/2,"")</x:f>
        <x:v>-260</x:v>
      </x:c>
      <x:c r="Z256" s="4" t="str">
        <x:f>""</x:f>
      </x:c>
    </x:row>
    <x:row r="257" ht="23" customHeight="1">
      <x:c r="A257" s="17" t="n">
        <x:f>ROW()-6</x:f>
        <x:v>251</x:v>
      </x:c>
      <x:c r="B257" s="4" t="n">
        <x:f>IF('계산 과정'!$L$5,'계산 과정'!$L$11*SQRT((A257+0.5)/'계산 과정'!$L$30),"")</x:f>
        <x:v>52.5648316218886</x:v>
      </x:c>
      <x:c r="C257" s="4" t="n">
        <x:f>A257*PI()*(3-SQRT(5))</x:f>
        <x:v>602.3907706618919</x:v>
      </x:c>
      <x:c r="D257" s="4" t="n">
        <x:f>IF('계산 과정'!$L$5,B257*COS(C257),"")</x:f>
        <x:v>36.80964432811275</x:v>
      </x:c>
      <x:c r="E257" s="4" t="n">
        <x:f>IF('계산 과정'!$L$5,B257*SIN(C257),"")</x:f>
        <x:v>-37.524813229053336</x:v>
      </x:c>
      <x:c r="F257" s="4" t="n">
        <x:f>IF('계산 과정'!$L$7,'계산 과정'!$L$22+'계산 과정'!$C$49*D257+'계산 과정'!$D$49*E257,"")</x:f>
        <x:v>623.9716508825265</x:v>
      </x:c>
      <x:c r="G257" s="4" t="n">
        <x:f>IF('계산 과정'!$L$7,IF(ABS(F257)&gt;=1E-12*MAX(1,SQRT((D257-'계산 과정'!$C$33)^2+(E257-'계산 과정'!$D$33)^2+'계산 과정'!$E$33^2)),('계산 과정'!$L$23-'계산 과정'!$C$49*D257-'계산 과정'!$D$49*E257)/F257,""),"")</x:f>
        <x:v>0.6827687580275673</x:v>
      </x:c>
      <x:c r="H257" s="4" t="n">
        <x:f>IF(AND(ISNUMBER(G257),G257&gt;0),('계산 과정'!$D$56+'계산 과정'!$D$57*D257+'계산 과정'!$D$58*E257)/F257,"")</x:f>
        <x:v>43.79969271791864</x:v>
      </x:c>
      <x:c r="I257" s="4" t="n">
        <x:f>IF(AND(ISNUMBER(G257),G257&gt;0),('계산 과정'!$E$56+'계산 과정'!$E$57*D257+'계산 과정'!$E$58*E257)/F257,"")</x:f>
        <x:v>-63.145583352670506</x:v>
      </x:c>
      <x:c r="J257" s="4" t="n">
        <x:f>IF('계산 과정'!$L$5,'계산 과정'!$D$6+'계산 과정'!$C$35*D257+'계산 과정'!$D$35*E257,"")</x:f>
        <x:v>623.9716508825265</x:v>
      </x:c>
      <x:c r="K257" s="4" t="n">
        <x:f>IF(AND('계산 과정'!$L$6,J257&gt;0),'계산 과정'!$D$10*('계산 과정'!$C$38*(D257-'계산 과정'!$C$32)+'계산 과정'!$D$38*(E257-'계산 과정'!$D$32)-'계산 과정'!$E$38*'계산 과정'!$E$32)/J257,"")</x:f>
        <x:v>0.33371194451747677</x:v>
      </x:c>
      <x:c r="L257" s="4" t="n">
        <x:f>IF(AND('계산 과정'!$L$6,J257&gt;0),'계산 과정'!$D$10*('계산 과정'!$C$39*(D257-'계산 과정'!$C$32)+'계산 과정'!$D$39*(E257-'계산 과정'!$D$32)-'계산 과정'!$E$39*'계산 과정'!$E$32)/J257,"")</x:f>
        <x:v>-0.4811092064965372</x:v>
      </x:c>
      <x:c r="M257" s="17" t="n">
        <x:f>IF('계산 과정'!$L$6,IF(J257&lt;=0,0,IF(AND(ABS(K257)&lt;='계산 과정'!$D$11/2,ABS(L257)&lt;='계산 과정'!$D$12/2),1,0)),"")</x:f>
        <x:v>1</x:v>
      </x:c>
      <x:c r="N257" s="17" t="n">
        <x:f>IF('계산 과정'!$C$78,IF(AND(ISNUMBER(H257),ISNUMBER(I257),ABS(H257-'계산 과정'!$C$88)&lt;='계산 과정'!$D$23/2,ABS(I257-'계산 과정'!$C$89)&lt;='계산 과정'!$D$24/2),1,0),"")</x:f>
        <x:v>1</x:v>
      </x:c>
      <x:c r="O257" s="4" t="n">
        <x:f>IF('계산 과정'!$L$7,'계산 과정'!$C$49*('계산 과정'!$C$32-D257)+'계산 과정'!$D$49*('계산 과정'!$D$32-E257)+'계산 과정'!$E$49*'계산 과정'!$E$32,"")</x:f>
        <x:v>26.028349117473567</x:v>
      </x:c>
      <x:c r="P257" s="4" t="n">
        <x:f>IF(AND('계산 과정'!$L$7,O257&lt;&gt;0),('계산 과정'!$L$23-'계산 과정'!$C$49*D257-'계산 과정'!$D$49*E257)/O257,"")</x:f>
        <x:v>16.36785902919477</x:v>
      </x:c>
      <x:c r="Q257" s="4" t="str">
        <x:f>IF(AND(ISNUMBER(P257),P257&gt;1E-9,P257&lt;1-1E-9),'계산 과정'!$C$47*(D257-'계산 과정'!$C$50+P257*('계산 과정'!$C$32-D257))+'계산 과정'!$D$47*(E257-'계산 과정'!$D$50+P257*('계산 과정'!$D$32-E257))+'계산 과정'!$E$47*(0-'계산 과정'!$E$50+P257*('계산 과정'!$E$32-0)),"")</x:f>
      </x:c>
      <x:c r="R257" s="4" t="str">
        <x:f>IF(AND(ISNUMBER(P257),P257&gt;1E-9,P257&lt;1-1E-9),'계산 과정'!$C$48*(D257-'계산 과정'!$C$50+P257*('계산 과정'!$C$32-D257))+'계산 과정'!$D$48*(E257-'계산 과정'!$D$50+P257*('계산 과정'!$D$32-E257))+'계산 과정'!$E$48*(0-'계산 과정'!$E$50+P257*('계산 과정'!$E$32-0)),"")</x:f>
      </x:c>
      <x:c r="S257" s="17" t="n">
        <x:f>IF('계산 과정'!$C$78,IF(AND(ISNUMBER(Q257),ISNUMBER(R257),ABS(Q257-'계산 과정'!$C$88)&lt;='계산 과정'!$D$23/2,ABS(R257-'계산 과정'!$C$89)&lt;='계산 과정'!$D$24/2),1,0),"")</x:f>
        <x:v>0</x:v>
      </x:c>
      <x:c r="T257" s="4"/>
      <x:c r="U257" s="4"/>
      <x:c r="V257" s="4"/>
      <x:c r="W257" s="4" t="n">
        <x:f>IF('계산 과정'!$C$78,'계산 과정'!$C$88+-0.6*'계산 과정'!$D$23/2,"")</x:f>
        <x:v>-127.27659574468098</x:v>
      </x:c>
      <x:c r="X257" s="4" t="str">
        <x:f>""</x:f>
      </x:c>
      <x:c r="Y257" s="4" t="n">
        <x:f>IF('계산 과정'!$C$78,'계산 과정'!$C$89+-1*'계산 과정'!$D$24/2,"")</x:f>
        <x:v>-260</x:v>
      </x:c>
      <x:c r="Z257" s="4" t="str">
        <x:f>""</x:f>
      </x:c>
    </x:row>
    <x:row r="258" ht="23" customHeight="1">
      <x:c r="A258" s="17" t="n">
        <x:f>ROW()-6</x:f>
        <x:v>252</x:v>
      </x:c>
      <x:c r="B258" s="4" t="n">
        <x:f>IF('계산 과정'!$L$5,'계산 과정'!$L$11*SQRT((A258+0.5)/'계산 과정'!$L$30),"")</x:f>
        <x:v>52.66923059588492</x:v>
      </x:c>
      <x:c r="C258" s="4" t="n">
        <x:f>A258*PI()*(3-SQRT(5))</x:f>
        <x:v>604.7907338916206</x:v>
      </x:c>
      <x:c r="D258" s="4" t="n">
        <x:f>IF('계산 과정'!$L$5,B258*COS(C258),"")</x:f>
        <x:v>-1.7982033417189796</x:v>
      </x:c>
      <x:c r="E258" s="4" t="n">
        <x:f>IF('계산 과정'!$L$5,B258*SIN(C258),"")</x:f>
        <x:v>52.63852502022004</x:v>
      </x:c>
      <x:c r="F258" s="4" t="n">
        <x:f>IF('계산 과정'!$L$7,'계산 과정'!$L$22+'계산 과정'!$C$49*D258+'계산 과정'!$D$49*E258,"")</x:f>
        <x:v>651.2715217768819</x:v>
      </x:c>
      <x:c r="G258" s="4" t="n">
        <x:f>IF('계산 과정'!$L$7,IF(ABS(F258)&gt;=1E-12*MAX(1,SQRT((D258-'계산 과정'!$C$33)^2+(E258-'계산 과정'!$D$33)^2+'계산 과정'!$E$33^2)),('계산 과정'!$L$23-'계산 과정'!$C$49*D258-'계산 과정'!$D$49*E258)/F258,""),"")</x:f>
        <x:v>0.612230789909647</x:v>
      </x:c>
      <x:c r="H258" s="4" t="n">
        <x:f>IF(AND(ISNUMBER(G258),G258&gt;0),('계산 과정'!$D$56+'계산 과정'!$D$57*D258+'계산 과정'!$D$58*E258)/F258,"")</x:f>
        <x:v>-2.049986558729578</x:v>
      </x:c>
      <x:c r="I258" s="4" t="n">
        <x:f>IF(AND(ISNUMBER(G258),G258&gt;0),('계산 과정'!$E$56+'계산 과정'!$E$57*D258+'계산 과정'!$E$58*E258)/F258,"")</x:f>
        <x:v>84.86545077302806</x:v>
      </x:c>
      <x:c r="J258" s="4" t="n">
        <x:f>IF('계산 과정'!$L$5,'계산 과정'!$D$6+'계산 과정'!$C$35*D258+'계산 과정'!$D$35*E258,"")</x:f>
        <x:v>651.2715217768819</x:v>
      </x:c>
      <x:c r="K258" s="4" t="n">
        <x:f>IF(AND('계산 과정'!$L$6,J258&gt;0),'계산 과정'!$D$10*('계산 과정'!$C$38*(D258-'계산 과정'!$C$32)+'계산 과정'!$D$38*(E258-'계산 과정'!$D$32)-'계산 과정'!$E$38*'계산 과정'!$E$32)/J258,"")</x:f>
        <x:v>-0.015618945209367305</x:v>
      </x:c>
      <x:c r="L258" s="4" t="n">
        <x:f>IF(AND('계산 과정'!$L$6,J258&gt;0),'계산 과정'!$D$10*('계산 과정'!$C$39*(D258-'계산 과정'!$C$32)+'계산 과정'!$D$39*(E258-'계산 과정'!$D$32)-'계산 과정'!$E$39*'계산 과정'!$E$32)/J258,"")</x:f>
        <x:v>0.6465939106516424</x:v>
      </x:c>
      <x:c r="M258" s="17" t="n">
        <x:f>IF('계산 과정'!$L$6,IF(J258&lt;=0,0,IF(AND(ABS(K258)&lt;='계산 과정'!$D$11/2,ABS(L258)&lt;='계산 과정'!$D$12/2),1,0)),"")</x:f>
        <x:v>1</x:v>
      </x:c>
      <x:c r="N258" s="17" t="n">
        <x:f>IF('계산 과정'!$C$78,IF(AND(ISNUMBER(H258),ISNUMBER(I258),ABS(H258-'계산 과정'!$C$88)&lt;='계산 과정'!$D$23/2,ABS(I258-'계산 과정'!$C$89)&lt;='계산 과정'!$D$24/2),1,0),"")</x:f>
        <x:v>1</x:v>
      </x:c>
      <x:c r="O258" s="4" t="n">
        <x:f>IF('계산 과정'!$L$7,'계산 과정'!$C$49*('계산 과정'!$C$32-D258)+'계산 과정'!$D$49*('계산 과정'!$D$32-E258)+'계산 과정'!$E$49*'계산 과정'!$E$32,"")</x:f>
        <x:v>-1.2715217768816842</x:v>
      </x:c>
      <x:c r="P258" s="4" t="n">
        <x:f>IF(AND('계산 과정'!$L$7,O258&lt;&gt;0),('계산 과정'!$L$23-'계산 과정'!$C$49*D258-'계산 과정'!$D$49*E258)/O258,"")</x:f>
        <x:v>-313.5836801796436</x:v>
      </x:c>
      <x:c r="Q258" s="4" t="str">
        <x:f>IF(AND(ISNUMBER(P258),P258&gt;1E-9,P258&lt;1-1E-9),'계산 과정'!$C$47*(D258-'계산 과정'!$C$50+P258*('계산 과정'!$C$32-D258))+'계산 과정'!$D$47*(E258-'계산 과정'!$D$50+P258*('계산 과정'!$D$32-E258))+'계산 과정'!$E$47*(0-'계산 과정'!$E$50+P258*('계산 과정'!$E$32-0)),"")</x:f>
      </x:c>
      <x:c r="R258" s="4" t="str">
        <x:f>IF(AND(ISNUMBER(P258),P258&gt;1E-9,P258&lt;1-1E-9),'계산 과정'!$C$48*(D258-'계산 과정'!$C$50+P258*('계산 과정'!$C$32-D258))+'계산 과정'!$D$48*(E258-'계산 과정'!$D$50+P258*('계산 과정'!$D$32-E258))+'계산 과정'!$E$48*(0-'계산 과정'!$E$50+P258*('계산 과정'!$E$32-0)),"")</x:f>
      </x:c>
      <x:c r="S258" s="17" t="n">
        <x:f>IF('계산 과정'!$C$78,IF(AND(ISNUMBER(Q258),ISNUMBER(R258),ABS(Q258-'계산 과정'!$C$88)&lt;='계산 과정'!$D$23/2,ABS(R258-'계산 과정'!$C$89)&lt;='계산 과정'!$D$24/2),1,0),"")</x:f>
        <x:v>0</x:v>
      </x:c>
      <x:c r="T258" s="4"/>
      <x:c r="U258" s="4"/>
      <x:c r="V258" s="4"/>
      <x:c r="W258" s="4" t="n">
        <x:f>IF('계산 과정'!$C$78,'계산 과정'!$C$88+-0.56*'계산 과정'!$D$23/2,"")</x:f>
        <x:v>-116.876595744681</x:v>
      </x:c>
      <x:c r="X258" s="4" t="str">
        <x:f>""</x:f>
      </x:c>
      <x:c r="Y258" s="4" t="n">
        <x:f>IF('계산 과정'!$C$78,'계산 과정'!$C$89+-1*'계산 과정'!$D$24/2,"")</x:f>
        <x:v>-260</x:v>
      </x:c>
      <x:c r="Z258" s="4" t="str">
        <x:f>""</x:f>
      </x:c>
    </x:row>
    <x:row r="259" ht="23" customHeight="1">
      <x:c r="A259" s="17" t="n">
        <x:f>ROW()-6</x:f>
        <x:v>253</x:v>
      </x:c>
      <x:c r="B259" s="4" t="n">
        <x:f>IF('계산 과정'!$L$5,'계산 과정'!$L$11*SQRT((A259+0.5)/'계산 과정'!$L$30),"")</x:f>
        <x:v>52.77342304311423</x:v>
      </x:c>
      <x:c r="C259" s="4" t="n">
        <x:f>A259*PI()*(3-SQRT(5))</x:f>
        <x:v>607.1906971213492</x:v>
      </x:c>
      <x:c r="D259" s="4" t="n">
        <x:f>IF('계산 과정'!$L$5,B259*COS(C259),"")</x:f>
        <x:v>-34.29859050261804</x:v>
      </x:c>
      <x:c r="E259" s="4" t="n">
        <x:f>IF('계산 과정'!$L$5,B259*SIN(C259),"")</x:f>
        <x:v>-40.10786542838225</x:v>
      </x:c>
      <x:c r="F259" s="4" t="n">
        <x:f>IF('계산 과정'!$L$7,'계산 과정'!$L$22+'계산 과정'!$C$49*D259+'계산 과정'!$D$49*E259,"")</x:f>
        <x:v>674.2527659295417</x:v>
      </x:c>
      <x:c r="G259" s="4" t="n">
        <x:f>IF('계산 과정'!$L$7,IF(ABS(F259)&gt;=1E-12*MAX(1,SQRT((D259-'계산 과정'!$C$33)^2+(E259-'계산 과정'!$D$33)^2+'계산 과정'!$E$33^2)),('계산 과정'!$L$23-'계산 과정'!$C$49*D259-'계산 과정'!$D$49*E259)/F259,""),"")</x:f>
        <x:v>0.5572794848715877</x:v>
      </x:c>
      <x:c r="H259" s="4" t="n">
        <x:f>IF(AND(ISNUMBER(G259),G259&gt;0),('계산 과정'!$D$56+'계산 과정'!$D$57*D259+'계산 과정'!$D$58*E259)/F259,"")</x:f>
        <x:v>-37.76833483346806</x:v>
      </x:c>
      <x:c r="I259" s="4" t="n">
        <x:f>IF(AND(ISNUMBER(G259),G259&gt;0),('계산 과정'!$E$56+'계산 과정'!$E$57*D259+'계산 과정'!$E$58*E259)/F259,"")</x:f>
        <x:v>-62.45915601361007</x:v>
      </x:c>
      <x:c r="J259" s="4" t="n">
        <x:f>IF('계산 과정'!$L$5,'계산 과정'!$D$6+'계산 과정'!$C$35*D259+'계산 과정'!$D$35*E259,"")</x:f>
        <x:v>674.2527659295417</x:v>
      </x:c>
      <x:c r="K259" s="4" t="n">
        <x:f>IF(AND('계산 과정'!$L$6,J259&gt;0),'계산 과정'!$D$10*('계산 과정'!$C$38*(D259-'계산 과정'!$C$32)+'계산 과정'!$D$38*(E259-'계산 과정'!$D$32)-'계산 과정'!$E$38*'계산 과정'!$E$32)/J259,"")</x:f>
        <x:v>-0.28775874158832726</x:v>
      </x:c>
      <x:c r="L259" s="4" t="n">
        <x:f>IF(AND('계산 과정'!$L$6,J259&gt;0),'계산 과정'!$D$10*('계산 과정'!$C$39*(D259-'계산 과정'!$C$32)+'계산 과정'!$D$39*(E259-'계산 과정'!$D$32)-'계산 과정'!$E$39*'계산 과정'!$E$32)/J259,"")</x:f>
        <x:v>-0.4758792839132196</x:v>
      </x:c>
      <x:c r="M259" s="17" t="n">
        <x:f>IF('계산 과정'!$L$6,IF(J259&lt;=0,0,IF(AND(ABS(K259)&lt;='계산 과정'!$D$11/2,ABS(L259)&lt;='계산 과정'!$D$12/2),1,0)),"")</x:f>
        <x:v>1</x:v>
      </x:c>
      <x:c r="N259" s="17" t="n">
        <x:f>IF('계산 과정'!$C$78,IF(AND(ISNUMBER(H259),ISNUMBER(I259),ABS(H259-'계산 과정'!$C$88)&lt;='계산 과정'!$D$23/2,ABS(I259-'계산 과정'!$C$89)&lt;='계산 과정'!$D$24/2),1,0),"")</x:f>
        <x:v>1</x:v>
      </x:c>
      <x:c r="O259" s="4" t="n">
        <x:f>IF('계산 과정'!$L$7,'계산 과정'!$C$49*('계산 과정'!$C$32-D259)+'계산 과정'!$D$49*('계산 과정'!$D$32-E259)+'계산 과정'!$E$49*'계산 과정'!$E$32,"")</x:f>
        <x:v>-24.252765929541624</x:v>
      </x:c>
      <x:c r="P259" s="4" t="n">
        <x:f>IF(AND('계산 과정'!$L$7,O259&lt;&gt;0),('계산 과정'!$L$23-'계산 과정'!$C$49*D259-'계산 과정'!$D$49*E259)/O259,"")</x:f>
        <x:v>-15.49296419064396</x:v>
      </x:c>
      <x:c r="Q259" s="4" t="str">
        <x:f>IF(AND(ISNUMBER(P259),P259&gt;1E-9,P259&lt;1-1E-9),'계산 과정'!$C$47*(D259-'계산 과정'!$C$50+P259*('계산 과정'!$C$32-D259))+'계산 과정'!$D$47*(E259-'계산 과정'!$D$50+P259*('계산 과정'!$D$32-E259))+'계산 과정'!$E$47*(0-'계산 과정'!$E$50+P259*('계산 과정'!$E$32-0)),"")</x:f>
      </x:c>
      <x:c r="R259" s="4" t="str">
        <x:f>IF(AND(ISNUMBER(P259),P259&gt;1E-9,P259&lt;1-1E-9),'계산 과정'!$C$48*(D259-'계산 과정'!$C$50+P259*('계산 과정'!$C$32-D259))+'계산 과정'!$D$48*(E259-'계산 과정'!$D$50+P259*('계산 과정'!$D$32-E259))+'계산 과정'!$E$48*(0-'계산 과정'!$E$50+P259*('계산 과정'!$E$32-0)),"")</x:f>
      </x:c>
      <x:c r="S259" s="17" t="n">
        <x:f>IF('계산 과정'!$C$78,IF(AND(ISNUMBER(Q259),ISNUMBER(R259),ABS(Q259-'계산 과정'!$C$88)&lt;='계산 과정'!$D$23/2,ABS(R259-'계산 과정'!$C$89)&lt;='계산 과정'!$D$24/2),1,0),"")</x:f>
        <x:v>0</x:v>
      </x:c>
      <x:c r="T259" s="4"/>
      <x:c r="U259" s="4"/>
      <x:c r="V259" s="4"/>
      <x:c r="W259" s="4" t="n">
        <x:f>IF('계산 과정'!$C$78,'계산 과정'!$C$88+-0.52*'계산 과정'!$D$23/2,"")</x:f>
        <x:v>-106.47659574468099</x:v>
      </x:c>
      <x:c r="X259" s="4" t="str">
        <x:f>""</x:f>
      </x:c>
      <x:c r="Y259" s="4" t="n">
        <x:f>IF('계산 과정'!$C$78,'계산 과정'!$C$89+-1*'계산 과정'!$D$24/2,"")</x:f>
        <x:v>-260</x:v>
      </x:c>
      <x:c r="Z259" s="4" t="str">
        <x:f>""</x:f>
      </x:c>
    </x:row>
    <x:row r="260" ht="23" customHeight="1">
      <x:c r="A260" s="17" t="n">
        <x:f>ROW()-6</x:f>
        <x:v>254</x:v>
      </x:c>
      <x:c r="B260" s="4" t="n">
        <x:f>IF('계산 과정'!$L$5,'계산 과정'!$L$11*SQRT((A260+0.5)/'계산 과정'!$L$30),"")</x:f>
        <x:v>52.87741018443037</x:v>
      </x:c>
      <x:c r="C260" s="4" t="n">
        <x:f>A260*PI()*(3-SQRT(5))</x:f>
        <x:v>609.5906603510779</x:v>
      </x:c>
      <x:c r="D260" s="4" t="n">
        <x:f>IF('계산 과정'!$L$5,B260*COS(C260),"")</x:f>
        <x:v>52.48640522159463</x:v>
      </x:c>
      <x:c r="E260" s="4" t="n">
        <x:f>IF('계산 과정'!$L$5,B260*SIN(C260),"")</x:f>
        <x:v>6.418549269660892</x:v>
      </x:c>
      <x:c r="F260" s="4" t="n">
        <x:f>IF('계산 과정'!$L$7,'계산 과정'!$L$22+'계산 과정'!$C$49*D260+'계산 과정'!$D$49*E260,"")</x:f>
        <x:v>612.8865069477055</x:v>
      </x:c>
      <x:c r="G260" s="4" t="n">
        <x:f>IF('계산 과정'!$L$7,IF(ABS(F260)&gt;=1E-12*MAX(1,SQRT((D260-'계산 과정'!$C$33)^2+(E260-'계산 과정'!$D$33)^2+'계산 과정'!$E$33^2)),('계산 과정'!$L$23-'계산 과정'!$C$49*D260-'계산 과정'!$D$49*E260)/F260,""),"")</x:f>
        <x:v>0.7132046277690223</x:v>
      </x:c>
      <x:c r="H260" s="4" t="n">
        <x:f>IF(AND(ISNUMBER(G260),G260&gt;0),('계산 과정'!$D$56+'계산 과정'!$D$57*D260+'계산 과정'!$D$58*E260)/F260,"")</x:f>
        <x:v>63.583008049864425</x:v>
      </x:c>
      <x:c r="I260" s="4" t="n">
        <x:f>IF(AND(ISNUMBER(G260),G260&gt;0),('계산 과정'!$E$56+'계산 과정'!$E$57*D260+'계산 과정'!$E$58*E260)/F260,"")</x:f>
        <x:v>10.996288312346518</x:v>
      </x:c>
      <x:c r="J260" s="4" t="n">
        <x:f>IF('계산 과정'!$L$5,'계산 과정'!$D$6+'계산 과정'!$C$35*D260+'계산 과정'!$D$35*E260,"")</x:f>
        <x:v>612.8865069477055</x:v>
      </x:c>
      <x:c r="K260" s="4" t="n">
        <x:f>IF(AND('계산 과정'!$L$6,J260&gt;0),'계산 과정'!$D$10*('계산 과정'!$C$38*(D260-'계산 과정'!$C$32)+'계산 과정'!$D$38*(E260-'계산 과정'!$D$32)-'계산 과정'!$E$38*'계산 과정'!$E$32)/J260,"")</x:f>
        <x:v>0.48444196609420603</x:v>
      </x:c>
      <x:c r="L260" s="4" t="n">
        <x:f>IF(AND('계산 과정'!$L$6,J260&gt;0),'계산 과정'!$D$10*('계산 과정'!$C$39*(D260-'계산 과정'!$C$32)+'계산 과정'!$D$39*(E260-'계산 과정'!$D$32)-'계산 과정'!$E$39*'계산 과정'!$E$32)/J260,"")</x:f>
        <x:v>0.0837812442845449</x:v>
      </x:c>
      <x:c r="M260" s="17" t="n">
        <x:f>IF('계산 과정'!$L$6,IF(J260&lt;=0,0,IF(AND(ABS(K260)&lt;='계산 과정'!$D$11/2,ABS(L260)&lt;='계산 과정'!$D$12/2),1,0)),"")</x:f>
        <x:v>1</x:v>
      </x:c>
      <x:c r="N260" s="17" t="n">
        <x:f>IF('계산 과정'!$C$78,IF(AND(ISNUMBER(H260),ISNUMBER(I260),ABS(H260-'계산 과정'!$C$88)&lt;='계산 과정'!$D$23/2,ABS(I260-'계산 과정'!$C$89)&lt;='계산 과정'!$D$24/2),1,0),"")</x:f>
        <x:v>1</x:v>
      </x:c>
      <x:c r="O260" s="4" t="n">
        <x:f>IF('계산 과정'!$L$7,'계산 과정'!$C$49*('계산 과정'!$C$32-D260)+'계산 과정'!$D$49*('계산 과정'!$D$32-E260)+'계산 과정'!$E$49*'계산 과정'!$E$32,"")</x:f>
        <x:v>37.1134930522947</x:v>
      </x:c>
      <x:c r="P260" s="4" t="n">
        <x:f>IF(AND('계산 과정'!$L$7,O260&lt;&gt;0),('계산 과정'!$L$23-'계산 과정'!$C$49*D260-'계산 과정'!$D$49*E260)/O260,"")</x:f>
        <x:v>11.777751354106728</x:v>
      </x:c>
      <x:c r="Q260" s="4" t="str">
        <x:f>IF(AND(ISNUMBER(P260),P260&gt;1E-9,P260&lt;1-1E-9),'계산 과정'!$C$47*(D260-'계산 과정'!$C$50+P260*('계산 과정'!$C$32-D260))+'계산 과정'!$D$47*(E260-'계산 과정'!$D$50+P260*('계산 과정'!$D$32-E260))+'계산 과정'!$E$47*(0-'계산 과정'!$E$50+P260*('계산 과정'!$E$32-0)),"")</x:f>
      </x:c>
      <x:c r="R260" s="4" t="str">
        <x:f>IF(AND(ISNUMBER(P260),P260&gt;1E-9,P260&lt;1-1E-9),'계산 과정'!$C$48*(D260-'계산 과정'!$C$50+P260*('계산 과정'!$C$32-D260))+'계산 과정'!$D$48*(E260-'계산 과정'!$D$50+P260*('계산 과정'!$D$32-E260))+'계산 과정'!$E$48*(0-'계산 과정'!$E$50+P260*('계산 과정'!$E$32-0)),"")</x:f>
      </x:c>
      <x:c r="S260" s="17" t="n">
        <x:f>IF('계산 과정'!$C$78,IF(AND(ISNUMBER(Q260),ISNUMBER(R260),ABS(Q260-'계산 과정'!$C$88)&lt;='계산 과정'!$D$23/2,ABS(R260-'계산 과정'!$C$89)&lt;='계산 과정'!$D$24/2),1,0),"")</x:f>
        <x:v>0</x:v>
      </x:c>
      <x:c r="T260" s="4"/>
      <x:c r="U260" s="4"/>
      <x:c r="V260" s="4"/>
      <x:c r="W260" s="4" t="n">
        <x:f>IF('계산 과정'!$C$78,'계산 과정'!$C$88+-0.48*'계산 과정'!$D$23/2,"")</x:f>
        <x:v>-96.07659574468097</x:v>
      </x:c>
      <x:c r="X260" s="4" t="str">
        <x:f>""</x:f>
      </x:c>
      <x:c r="Y260" s="4" t="n">
        <x:f>IF('계산 과정'!$C$78,'계산 과정'!$C$89+-1*'계산 과정'!$D$24/2,"")</x:f>
        <x:v>-260</x:v>
      </x:c>
      <x:c r="Z260" s="4" t="str">
        <x:f>""</x:f>
      </x:c>
    </x:row>
    <x:row r="261" ht="23" customHeight="1">
      <x:c r="A261" s="17" t="n">
        <x:f>ROW()-6</x:f>
        <x:v>255</x:v>
      </x:c>
      <x:c r="B261" s="4" t="n">
        <x:f>IF('계산 과정'!$L$5,'계산 과정'!$L$11*SQRT((A261+0.5)/'계산 과정'!$L$30),"")</x:f>
        <x:v>52.98119322870616</x:v>
      </x:c>
      <x:c r="C261" s="4" t="n">
        <x:f>A261*PI()*(3-SQRT(5))</x:f>
        <x:v>611.9906235808065</x:v>
      </x:c>
      <x:c r="D261" s="4" t="n">
        <x:f>IF('계산 과정'!$L$5,B261*COS(C261),"")</x:f>
        <x:v>-43.121979636053275</x:v>
      </x:c>
      <x:c r="E261" s="4" t="n">
        <x:f>IF('계산 과정'!$L$5,B261*SIN(C261),"")</x:f>
        <x:v>30.781515690513128</x:v>
      </x:c>
      <x:c r="F261" s="4" t="n">
        <x:f>IF('계산 과정'!$L$7,'계산 과정'!$L$22+'계산 과정'!$C$49*D261+'계산 과정'!$D$49*E261,"")</x:f>
        <x:v>680.4918442188415</x:v>
      </x:c>
      <x:c r="G261" s="4" t="n">
        <x:f>IF('계산 과정'!$L$7,IF(ABS(F261)&gt;=1E-12*MAX(1,SQRT((D261-'계산 과정'!$C$33)^2+(E261-'계산 과정'!$D$33)^2+'계산 과정'!$E$33^2)),('계산 과정'!$L$23-'계산 과정'!$C$49*D261-'계산 과정'!$D$49*E261)/F261,""),"")</x:f>
        <x:v>0.5430015935096604</x:v>
      </x:c>
      <x:c r="H261" s="4" t="n">
        <x:f>IF(AND(ISNUMBER(G261),G261&gt;0),('계산 과정'!$D$56+'계산 과정'!$D$57*D261+'계산 과정'!$D$58*E261)/F261,"")</x:f>
        <x:v>-47.04896421872085</x:v>
      </x:c>
      <x:c r="I261" s="4" t="n">
        <x:f>IF(AND(ISNUMBER(G261),G261&gt;0),('계산 과정'!$E$56+'계산 과정'!$E$57*D261+'계산 과정'!$E$58*E261)/F261,"")</x:f>
        <x:v>47.49592776110437</x:v>
      </x:c>
      <x:c r="J261" s="4" t="n">
        <x:f>IF('계산 과정'!$L$5,'계산 과정'!$D$6+'계산 과정'!$C$35*D261+'계산 과정'!$D$35*E261,"")</x:f>
        <x:v>680.4918442188415</x:v>
      </x:c>
      <x:c r="K261" s="4" t="n">
        <x:f>IF(AND('계산 과정'!$L$6,J261&gt;0),'계산 과정'!$D$10*('계산 과정'!$C$38*(D261-'계산 과정'!$C$32)+'계산 과정'!$D$38*(E261-'계산 과정'!$D$32)-'계산 과정'!$E$38*'계산 과정'!$E$32)/J261,"")</x:f>
        <x:v>-0.35846829880930026</x:v>
      </x:c>
      <x:c r="L261" s="4" t="n">
        <x:f>IF(AND('계산 과정'!$L$6,J261&gt;0),'계산 과정'!$D$10*('계산 과정'!$C$39*(D261-'계산 과정'!$C$32)+'계산 과정'!$D$39*(E261-'계산 과정'!$D$32)-'계산 과정'!$E$39*'계산 과정'!$E$32)/J261,"")</x:f>
        <x:v>0.36187373532269995</x:v>
      </x:c>
      <x:c r="M261" s="17" t="n">
        <x:f>IF('계산 과정'!$L$6,IF(J261&lt;=0,0,IF(AND(ABS(K261)&lt;='계산 과정'!$D$11/2,ABS(L261)&lt;='계산 과정'!$D$12/2),1,0)),"")</x:f>
        <x:v>1</x:v>
      </x:c>
      <x:c r="N261" s="17" t="n">
        <x:f>IF('계산 과정'!$C$78,IF(AND(ISNUMBER(H261),ISNUMBER(I261),ABS(H261-'계산 과정'!$C$88)&lt;='계산 과정'!$D$23/2,ABS(I261-'계산 과정'!$C$89)&lt;='계산 과정'!$D$24/2),1,0),"")</x:f>
        <x:v>1</x:v>
      </x:c>
      <x:c r="O261" s="4" t="n">
        <x:f>IF('계산 과정'!$L$7,'계산 과정'!$C$49*('계산 과정'!$C$32-D261)+'계산 과정'!$D$49*('계산 과정'!$D$32-E261)+'계산 과정'!$E$49*'계산 과정'!$E$32,"")</x:f>
        <x:v>-30.491844218841322</x:v>
      </x:c>
      <x:c r="P261" s="4" t="n">
        <x:f>IF(AND('계산 과정'!$L$7,O261&lt;&gt;0),('계산 과정'!$L$23-'계산 과정'!$C$49*D261-'계산 과정'!$D$49*E261)/O261,"")</x:f>
        <x:v>-12.118261956514733</x:v>
      </x:c>
      <x:c r="Q261" s="4" t="str">
        <x:f>IF(AND(ISNUMBER(P261),P261&gt;1E-9,P261&lt;1-1E-9),'계산 과정'!$C$47*(D261-'계산 과정'!$C$50+P261*('계산 과정'!$C$32-D261))+'계산 과정'!$D$47*(E261-'계산 과정'!$D$50+P261*('계산 과정'!$D$32-E261))+'계산 과정'!$E$47*(0-'계산 과정'!$E$50+P261*('계산 과정'!$E$32-0)),"")</x:f>
      </x:c>
      <x:c r="R261" s="4" t="str">
        <x:f>IF(AND(ISNUMBER(P261),P261&gt;1E-9,P261&lt;1-1E-9),'계산 과정'!$C$48*(D261-'계산 과정'!$C$50+P261*('계산 과정'!$C$32-D261))+'계산 과정'!$D$48*(E261-'계산 과정'!$D$50+P261*('계산 과정'!$D$32-E261))+'계산 과정'!$E$48*(0-'계산 과정'!$E$50+P261*('계산 과정'!$E$32-0)),"")</x:f>
      </x:c>
      <x:c r="S261" s="17" t="n">
        <x:f>IF('계산 과정'!$C$78,IF(AND(ISNUMBER(Q261),ISNUMBER(R261),ABS(Q261-'계산 과정'!$C$88)&lt;='계산 과정'!$D$23/2,ABS(R261-'계산 과정'!$C$89)&lt;='계산 과정'!$D$24/2),1,0),"")</x:f>
        <x:v>0</x:v>
      </x:c>
      <x:c r="T261" s="4"/>
      <x:c r="U261" s="4"/>
      <x:c r="V261" s="4"/>
      <x:c r="W261" s="4" t="n">
        <x:f>IF('계산 과정'!$C$78,'계산 과정'!$C$88+-0.43999999999999995*'계산 과정'!$D$23/2,"")</x:f>
        <x:v>-85.67659574468097</x:v>
      </x:c>
      <x:c r="X261" s="4" t="str">
        <x:f>""</x:f>
      </x:c>
      <x:c r="Y261" s="4" t="n">
        <x:f>IF('계산 과정'!$C$78,'계산 과정'!$C$89+-1*'계산 과정'!$D$24/2,"")</x:f>
        <x:v>-260</x:v>
      </x:c>
      <x:c r="Z261" s="4" t="str">
        <x:f>""</x:f>
      </x:c>
    </x:row>
    <x:row r="262" ht="23" customHeight="1">
      <x:c r="A262" s="17" t="n">
        <x:f>ROW()-6</x:f>
        <x:v>256</x:v>
      </x:c>
      <x:c r="B262" s="4" t="n">
        <x:f>IF('계산 과정'!$L$5,'계산 과정'!$L$11*SQRT((A262+0.5)/'계산 과정'!$L$30),"")</x:f>
        <x:v>53.08477337299746</x:v>
      </x:c>
      <x:c r="C262" s="4" t="n">
        <x:f>A262*PI()*(3-SQRT(5))</x:f>
        <x:v>614.3905868105352</x:v>
      </x:c>
      <x:c r="D262" s="4" t="n">
        <x:f>IF('계산 과정'!$L$5,B262*COS(C262),"")</x:f>
        <x:v>11.025704242903856</x:v>
      </x:c>
      <x:c r="E262" s="4" t="n">
        <x:f>IF('계산 과정'!$L$5,B262*SIN(C262),"")</x:f>
        <x:v>-51.92713173294393</x:v>
      </x:c>
      <x:c r="F262" s="4" t="n">
        <x:f>IF('계산 과정'!$L$7,'계산 과정'!$L$22+'계산 과정'!$C$49*D262+'계산 과정'!$D$49*E262,"")</x:f>
        <x:v>642.2036497624854</x:v>
      </x:c>
      <x:c r="G262" s="4" t="n">
        <x:f>IF('계산 과정'!$L$7,IF(ABS(F262)&gt;=1E-12*MAX(1,SQRT((D262-'계산 과정'!$C$33)^2+(E262-'계산 과정'!$D$33)^2+'계산 과정'!$E$33^2)),('계산 과정'!$L$23-'계산 과정'!$C$49*D262-'계산 과정'!$D$49*E262)/F262,""),"")</x:f>
        <x:v>0.634995379407039</x:v>
      </x:c>
      <x:c r="H262" s="4" t="n">
        <x:f>IF(AND(ISNUMBER(G262),G262&gt;0),('계산 과정'!$D$56+'계산 과정'!$D$57*D262+'계산 과정'!$D$58*E262)/F262,"")</x:f>
        <x:v>12.74699661457524</x:v>
      </x:c>
      <x:c r="I262" s="4" t="n">
        <x:f>IF(AND(ISNUMBER(G262),G262&gt;0),('계산 과정'!$E$56+'계산 과정'!$E$57*D262+'계산 과정'!$E$58*E262)/F262,"")</x:f>
        <x:v>-84.90062044922395</x:v>
      </x:c>
      <x:c r="J262" s="4" t="n">
        <x:f>IF('계산 과정'!$L$5,'계산 과정'!$D$6+'계산 과정'!$C$35*D262+'계산 과정'!$D$35*E262,"")</x:f>
        <x:v>642.2036497624854</x:v>
      </x:c>
      <x:c r="K262" s="4" t="n">
        <x:f>IF(AND('계산 과정'!$L$6,J262&gt;0),'계산 과정'!$D$10*('계산 과정'!$C$38*(D262-'계산 과정'!$C$32)+'계산 과정'!$D$38*(E262-'계산 과정'!$D$32)-'계산 과정'!$E$38*'계산 과정'!$E$32)/J262,"")</x:f>
        <x:v>0.09711997420628853</x:v>
      </x:c>
      <x:c r="L262" s="4" t="n">
        <x:f>IF(AND('계산 과정'!$L$6,J262&gt;0),'계산 과정'!$D$10*('계산 과정'!$C$39*(D262-'계산 과정'!$C$32)+'계산 과정'!$D$39*(E262-'계산 과정'!$D$32)-'계산 과정'!$E$39*'계산 과정'!$E$32)/J262,"")</x:f>
        <x:v>-0.6468618700893254</x:v>
      </x:c>
      <x:c r="M262" s="17" t="n">
        <x:f>IF('계산 과정'!$L$6,IF(J262&lt;=0,0,IF(AND(ABS(K262)&lt;='계산 과정'!$D$11/2,ABS(L262)&lt;='계산 과정'!$D$12/2),1,0)),"")</x:f>
        <x:v>1</x:v>
      </x:c>
      <x:c r="N262" s="17" t="n">
        <x:f>IF('계산 과정'!$C$78,IF(AND(ISNUMBER(H262),ISNUMBER(I262),ABS(H262-'계산 과정'!$C$88)&lt;='계산 과정'!$D$23/2,ABS(I262-'계산 과정'!$C$89)&lt;='계산 과정'!$D$24/2),1,0),"")</x:f>
        <x:v>1</x:v>
      </x:c>
      <x:c r="O262" s="4" t="n">
        <x:f>IF('계산 과정'!$L$7,'계산 과정'!$C$49*('계산 과정'!$C$32-D262)+'계산 과정'!$D$49*('계산 과정'!$D$32-E262)+'계산 과정'!$E$49*'계산 과정'!$E$32,"")</x:f>
        <x:v>7.79635023751473</x:v>
      </x:c>
      <x:c r="P262" s="4" t="n">
        <x:f>IF(AND('계산 과정'!$L$7,O262&lt;&gt;0),('계산 과정'!$L$23-'계산 과정'!$C$49*D262-'계산 과정'!$D$49*E262)/O262,"")</x:f>
        <x:v>52.30605832396638</x:v>
      </x:c>
      <x:c r="Q262" s="4" t="str">
        <x:f>IF(AND(ISNUMBER(P262),P262&gt;1E-9,P262&lt;1-1E-9),'계산 과정'!$C$47*(D262-'계산 과정'!$C$50+P262*('계산 과정'!$C$32-D262))+'계산 과정'!$D$47*(E262-'계산 과정'!$D$50+P262*('계산 과정'!$D$32-E262))+'계산 과정'!$E$47*(0-'계산 과정'!$E$50+P262*('계산 과정'!$E$32-0)),"")</x:f>
      </x:c>
      <x:c r="R262" s="4" t="str">
        <x:f>IF(AND(ISNUMBER(P262),P262&gt;1E-9,P262&lt;1-1E-9),'계산 과정'!$C$48*(D262-'계산 과정'!$C$50+P262*('계산 과정'!$C$32-D262))+'계산 과정'!$D$48*(E262-'계산 과정'!$D$50+P262*('계산 과정'!$D$32-E262))+'계산 과정'!$E$48*(0-'계산 과정'!$E$50+P262*('계산 과정'!$E$32-0)),"")</x:f>
      </x:c>
      <x:c r="S262" s="17" t="n">
        <x:f>IF('계산 과정'!$C$78,IF(AND(ISNUMBER(Q262),ISNUMBER(R262),ABS(Q262-'계산 과정'!$C$88)&lt;='계산 과정'!$D$23/2,ABS(R262-'계산 과정'!$C$89)&lt;='계산 과정'!$D$24/2),1,0),"")</x:f>
        <x:v>0</x:v>
      </x:c>
      <x:c r="T262" s="4"/>
      <x:c r="U262" s="4"/>
      <x:c r="V262" s="4"/>
      <x:c r="W262" s="4" t="n">
        <x:f>IF('계산 과정'!$C$78,'계산 과정'!$C$88+-0.4*'계산 과정'!$D$23/2,"")</x:f>
        <x:v>-75.27659574468098</x:v>
      </x:c>
      <x:c r="X262" s="4" t="str">
        <x:f>""</x:f>
      </x:c>
      <x:c r="Y262" s="4" t="n">
        <x:f>IF('계산 과정'!$C$78,'계산 과정'!$C$89+-1*'계산 과정'!$D$24/2,"")</x:f>
        <x:v>-260</x:v>
      </x:c>
      <x:c r="Z262" s="4" t="str">
        <x:f>""</x:f>
      </x:c>
    </x:row>
    <x:row r="263" ht="23" customHeight="1">
      <x:c r="A263" s="17" t="n">
        <x:f>ROW()-6</x:f>
        <x:v>257</x:v>
      </x:c>
      <x:c r="B263" s="4" t="n">
        <x:f>IF('계산 과정'!$L$5,'계산 과정'!$L$11*SQRT((A263+0.5)/'계산 과정'!$L$30),"")</x:f>
        <x:v>53.18815180270414</x:v>
      </x:c>
      <x:c r="C263" s="4" t="n">
        <x:f>A263*PI()*(3-SQRT(5))</x:f>
        <x:v>616.7905500402638</x:v>
      </x:c>
      <x:c r="D263" s="4" t="n">
        <x:f>IF('계산 과정'!$L$5,B263*COS(C263),"")</x:f>
        <x:v>26.998738057793826</x:v>
      </x:c>
      <x:c r="E263" s="4" t="n">
        <x:f>IF('계산 과정'!$L$5,B263*SIN(C263),"")</x:f>
        <x:v>45.82627669224432</x:v>
      </x:c>
      <x:c r="F263" s="4" t="n">
        <x:f>IF('계산 과정'!$L$7,'계산 과정'!$L$22+'계산 과정'!$C$49*D263+'계산 과정'!$D$49*E263,"")</x:f>
        <x:v>630.9090092358547</x:v>
      </x:c>
      <x:c r="G263" s="4" t="n">
        <x:f>IF('계산 과정'!$L$7,IF(ABS(F263)&gt;=1E-12*MAX(1,SQRT((D263-'계산 과정'!$C$33)^2+(E263-'계산 과정'!$D$33)^2+'계산 과정'!$E$33^2)),('계산 과정'!$L$23-'계산 과정'!$C$49*D263-'계산 과정'!$D$49*E263)/F263,""),"")</x:f>
        <x:v>0.6642653451275653</x:v>
      </x:c>
      <x:c r="H263" s="4" t="n">
        <x:f>IF(AND(ISNUMBER(G263),G263&gt;0),('계산 과정'!$D$56+'계산 과정'!$D$57*D263+'계산 과정'!$D$58*E263)/F263,"")</x:f>
        <x:v>31.772474332917387</x:v>
      </x:c>
      <x:c r="I263" s="4" t="n">
        <x:f>IF(AND(ISNUMBER(G263),G263&gt;0),('계산 과정'!$E$56+'계산 과정'!$E$57*D263+'계산 과정'!$E$58*E263)/F263,"")</x:f>
        <x:v>76.26708419512929</x:v>
      </x:c>
      <x:c r="J263" s="4" t="n">
        <x:f>IF('계산 과정'!$L$5,'계산 과정'!$D$6+'계산 과정'!$C$35*D263+'계산 과정'!$D$35*E263,"")</x:f>
        <x:v>630.9090092358547</x:v>
      </x:c>
      <x:c r="K263" s="4" t="n">
        <x:f>IF(AND('계산 과정'!$L$6,J263&gt;0),'계산 과정'!$D$10*('계산 과정'!$C$38*(D263-'계산 과정'!$C$32)+'계산 과정'!$D$38*(E263-'계산 과정'!$D$32)-'계산 과정'!$E$38*'계산 과정'!$E$32)/J263,"")</x:f>
        <x:v>0.24207599491746715</x:v>
      </x:c>
      <x:c r="L263" s="4" t="n">
        <x:f>IF(AND('계산 과정'!$L$6,J263&gt;0),'계산 과정'!$D$10*('계산 과정'!$C$39*(D263-'계산 과정'!$C$32)+'계산 과정'!$D$39*(E263-'계산 과정'!$D$32)-'계산 과정'!$E$39*'계산 과정'!$E$32)/J263,"")</x:f>
        <x:v>0.5810825462486042</x:v>
      </x:c>
      <x:c r="M263" s="17" t="n">
        <x:f>IF('계산 과정'!$L$6,IF(J263&lt;=0,0,IF(AND(ABS(K263)&lt;='계산 과정'!$D$11/2,ABS(L263)&lt;='계산 과정'!$D$12/2),1,0)),"")</x:f>
        <x:v>1</x:v>
      </x:c>
      <x:c r="N263" s="17" t="n">
        <x:f>IF('계산 과정'!$C$78,IF(AND(ISNUMBER(H263),ISNUMBER(I263),ABS(H263-'계산 과정'!$C$88)&lt;='계산 과정'!$D$23/2,ABS(I263-'계산 과정'!$C$89)&lt;='계산 과정'!$D$24/2),1,0),"")</x:f>
        <x:v>1</x:v>
      </x:c>
      <x:c r="O263" s="4" t="n">
        <x:f>IF('계산 과정'!$L$7,'계산 과정'!$C$49*('계산 과정'!$C$32-D263)+'계산 과정'!$D$49*('계산 과정'!$D$32-E263)+'계산 과정'!$E$49*'계산 과정'!$E$32,"")</x:f>
        <x:v>19.09099076414543</x:v>
      </x:c>
      <x:c r="P263" s="4" t="n">
        <x:f>IF(AND('계산 과정'!$L$7,O263&lt;&gt;0),('계산 과정'!$L$23-'계산 과정'!$C$49*D263-'계산 과정'!$D$49*E263)/O263,"")</x:f>
        <x:v>21.952291315924537</x:v>
      </x:c>
      <x:c r="Q263" s="4" t="str">
        <x:f>IF(AND(ISNUMBER(P263),P263&gt;1E-9,P263&lt;1-1E-9),'계산 과정'!$C$47*(D263-'계산 과정'!$C$50+P263*('계산 과정'!$C$32-D263))+'계산 과정'!$D$47*(E263-'계산 과정'!$D$50+P263*('계산 과정'!$D$32-E263))+'계산 과정'!$E$47*(0-'계산 과정'!$E$50+P263*('계산 과정'!$E$32-0)),"")</x:f>
      </x:c>
      <x:c r="R263" s="4" t="str">
        <x:f>IF(AND(ISNUMBER(P263),P263&gt;1E-9,P263&lt;1-1E-9),'계산 과정'!$C$48*(D263-'계산 과정'!$C$50+P263*('계산 과정'!$C$32-D263))+'계산 과정'!$D$48*(E263-'계산 과정'!$D$50+P263*('계산 과정'!$D$32-E263))+'계산 과정'!$E$48*(0-'계산 과정'!$E$50+P263*('계산 과정'!$E$32-0)),"")</x:f>
      </x:c>
      <x:c r="S263" s="17" t="n">
        <x:f>IF('계산 과정'!$C$78,IF(AND(ISNUMBER(Q263),ISNUMBER(R263),ABS(Q263-'계산 과정'!$C$88)&lt;='계산 과정'!$D$23/2,ABS(R263-'계산 과정'!$C$89)&lt;='계산 과정'!$D$24/2),1,0),"")</x:f>
        <x:v>0</x:v>
      </x:c>
      <x:c r="T263" s="4"/>
      <x:c r="U263" s="4"/>
      <x:c r="V263" s="4"/>
      <x:c r="W263" s="4" t="n">
        <x:f>IF('계산 과정'!$C$78,'계산 과정'!$C$88+-0.36*'계산 과정'!$D$23/2,"")</x:f>
        <x:v>-64.87659574468097</x:v>
      </x:c>
      <x:c r="X263" s="4" t="str">
        <x:f>""</x:f>
      </x:c>
      <x:c r="Y263" s="4" t="n">
        <x:f>IF('계산 과정'!$C$78,'계산 과정'!$C$89+-1*'계산 과정'!$D$24/2,"")</x:f>
        <x:v>-260</x:v>
      </x:c>
      <x:c r="Z263" s="4" t="str">
        <x:f>""</x:f>
      </x:c>
    </x:row>
    <x:row r="264" ht="23" customHeight="1">
      <x:c r="A264" s="17" t="n">
        <x:f>ROW()-6</x:f>
        <x:v>258</x:v>
      </x:c>
      <x:c r="B264" s="4" t="n">
        <x:f>IF('계산 과정'!$L$5,'계산 과정'!$L$11*SQRT((A264+0.5)/'계산 과정'!$L$30),"")</x:f>
        <x:v>53.291329691728464</x:v>
      </x:c>
      <x:c r="C264" s="4" t="n">
        <x:f>A264*PI()*(3-SQRT(5))</x:f>
        <x:v>619.1905132699924</x:v>
      </x:c>
      <x:c r="D264" s="4" t="n">
        <x:f>IF('계산 과정'!$L$5,B264*COS(C264),"")</x:f>
        <x:v>-50.9619021795305</x:v>
      </x:c>
      <x:c r="E264" s="4" t="n">
        <x:f>IF('계산 과정'!$L$5,B264*SIN(C264),"")</x:f>
        <x:v>-15.583656392402403</x:v>
      </x:c>
      <x:c r="F264" s="4" t="n">
        <x:f>IF('계산 과정'!$L$7,'계산 과정'!$L$22+'계산 과정'!$C$49*D264+'계산 과정'!$D$49*E264,"")</x:f>
        <x:v>686.0355066133116</x:v>
      </x:c>
      <x:c r="G264" s="4" t="n">
        <x:f>IF('계산 과정'!$L$7,IF(ABS(F264)&gt;=1E-12*MAX(1,SQRT((D264-'계산 과정'!$C$33)^2+(E264-'계산 과정'!$D$33)^2+'계산 과정'!$E$33^2)),('계산 과정'!$L$23-'계산 과정'!$C$49*D264-'계산 과정'!$D$49*E264)/F264,""),"")</x:f>
        <x:v>0.5305330261744594</x:v>
      </x:c>
      <x:c r="H264" s="4" t="n">
        <x:f>IF(AND(ISNUMBER(G264),G264&gt;0),('계산 과정'!$D$56+'계산 과정'!$D$57*D264+'계산 과정'!$D$58*E264)/F264,"")</x:f>
        <x:v>-55.153532986601526</x:v>
      </x:c>
      <x:c r="I264" s="4" t="n">
        <x:f>IF(AND(ISNUMBER(G264),G264&gt;0),('계산 과정'!$E$56+'계산 과정'!$E$57*D264+'계산 과정'!$E$58*E264)/F264,"")</x:f>
        <x:v>-23.851300777126607</x:v>
      </x:c>
      <x:c r="J264" s="4" t="n">
        <x:f>IF('계산 과정'!$L$5,'계산 과정'!$D$6+'계산 과정'!$C$35*D264+'계산 과정'!$D$35*E264,"")</x:f>
        <x:v>686.0355066133116</x:v>
      </x:c>
      <x:c r="K264" s="4" t="n">
        <x:f>IF(AND('계산 과정'!$L$6,J264&gt;0),'계산 과정'!$D$10*('계산 과정'!$C$38*(D264-'계산 과정'!$C$32)+'계산 과정'!$D$38*(E264-'계산 과정'!$D$32)-'계산 과정'!$E$38*'계산 과정'!$E$32)/J264,"")</x:f>
        <x:v>-0.42021739418362963</x:v>
      </x:c>
      <x:c r="L264" s="4" t="n">
        <x:f>IF(AND('계산 과정'!$L$6,J264&gt;0),'계산 과정'!$D$10*('계산 과정'!$C$39*(D264-'계산 과정'!$C$32)+'계산 과정'!$D$39*(E264-'계산 과정'!$D$32)-'계산 과정'!$E$39*'계산 과정'!$E$32)/J264,"")</x:f>
        <x:v>-0.1817241963971551</x:v>
      </x:c>
      <x:c r="M264" s="17" t="n">
        <x:f>IF('계산 과정'!$L$6,IF(J264&lt;=0,0,IF(AND(ABS(K264)&lt;='계산 과정'!$D$11/2,ABS(L264)&lt;='계산 과정'!$D$12/2),1,0)),"")</x:f>
        <x:v>1</x:v>
      </x:c>
      <x:c r="N264" s="17" t="n">
        <x:f>IF('계산 과정'!$C$78,IF(AND(ISNUMBER(H264),ISNUMBER(I264),ABS(H264-'계산 과정'!$C$88)&lt;='계산 과정'!$D$23/2,ABS(I264-'계산 과정'!$C$89)&lt;='계산 과정'!$D$24/2),1,0),"")</x:f>
        <x:v>1</x:v>
      </x:c>
      <x:c r="O264" s="4" t="n">
        <x:f>IF('계산 과정'!$L$7,'계산 과정'!$C$49*('계산 과정'!$C$32-D264)+'계산 과정'!$D$49*('계산 과정'!$D$32-E264)+'계산 과정'!$E$49*'계산 과정'!$E$32,"")</x:f>
        <x:v>-36.035506613311384</x:v>
      </x:c>
      <x:c r="P264" s="4" t="n">
        <x:f>IF(AND('계산 과정'!$L$7,O264&lt;&gt;0),('계산 과정'!$L$23-'계산 과정'!$C$49*D264-'계산 과정'!$D$49*E264)/O264,"")</x:f>
        <x:v>-10.100163077830613</x:v>
      </x:c>
      <x:c r="Q264" s="4" t="str">
        <x:f>IF(AND(ISNUMBER(P264),P264&gt;1E-9,P264&lt;1-1E-9),'계산 과정'!$C$47*(D264-'계산 과정'!$C$50+P264*('계산 과정'!$C$32-D264))+'계산 과정'!$D$47*(E264-'계산 과정'!$D$50+P264*('계산 과정'!$D$32-E264))+'계산 과정'!$E$47*(0-'계산 과정'!$E$50+P264*('계산 과정'!$E$32-0)),"")</x:f>
      </x:c>
      <x:c r="R264" s="4" t="str">
        <x:f>IF(AND(ISNUMBER(P264),P264&gt;1E-9,P264&lt;1-1E-9),'계산 과정'!$C$48*(D264-'계산 과정'!$C$50+P264*('계산 과정'!$C$32-D264))+'계산 과정'!$D$48*(E264-'계산 과정'!$D$50+P264*('계산 과정'!$D$32-E264))+'계산 과정'!$E$48*(0-'계산 과정'!$E$50+P264*('계산 과정'!$E$32-0)),"")</x:f>
      </x:c>
      <x:c r="S264" s="17" t="n">
        <x:f>IF('계산 과정'!$C$78,IF(AND(ISNUMBER(Q264),ISNUMBER(R264),ABS(Q264-'계산 과정'!$C$88)&lt;='계산 과정'!$D$23/2,ABS(R264-'계산 과정'!$C$89)&lt;='계산 과정'!$D$24/2),1,0),"")</x:f>
        <x:v>0</x:v>
      </x:c>
      <x:c r="T264" s="4"/>
      <x:c r="U264" s="4"/>
      <x:c r="V264" s="4"/>
      <x:c r="W264" s="4" t="n">
        <x:f>IF('계산 과정'!$C$78,'계산 과정'!$C$88+-0.31999999999999995*'계산 과정'!$D$23/2,"")</x:f>
        <x:v>-54.476595744680964</x:v>
      </x:c>
      <x:c r="X264" s="4" t="str">
        <x:f>""</x:f>
      </x:c>
      <x:c r="Y264" s="4" t="n">
        <x:f>IF('계산 과정'!$C$78,'계산 과정'!$C$89+-1*'계산 과정'!$D$24/2,"")</x:f>
        <x:v>-260</x:v>
      </x:c>
      <x:c r="Z264" s="4" t="str">
        <x:f>""</x:f>
      </x:c>
    </x:row>
    <x:row r="265" ht="23" customHeight="1">
      <x:c r="A265" s="17" t="n">
        <x:f>ROW()-6</x:f>
        <x:v>259</x:v>
      </x:c>
      <x:c r="B265" s="4" t="n">
        <x:f>IF('계산 과정'!$L$5,'계산 과정'!$L$11*SQRT((A265+0.5)/'계산 과정'!$L$30),"")</x:f>
        <x:v>53.39430820263055</x:v>
      </x:c>
      <x:c r="C265" s="4" t="n">
        <x:f>A265*PI()*(3-SQRT(5))</x:f>
        <x:v>621.590476499721</x:v>
      </x:c>
      <x:c r="D265" s="4" t="n">
        <x:f>IF('계산 과정'!$L$5,B265*COS(C265),"")</x:f>
        <x:v>48.19728458937911</x:v>
      </x:c>
      <x:c r="E265" s="4" t="n">
        <x:f>IF('계산 과정'!$L$5,B265*SIN(C265),"")</x:f>
        <x:v>-22.97768279544086</x:v>
      </x:c>
      <x:c r="F265" s="4" t="n">
        <x:f>IF('계산 과정'!$L$7,'계산 과정'!$L$22+'계산 과정'!$C$49*D265+'계산 과정'!$D$49*E265,"")</x:f>
        <x:v>615.9193732320722</x:v>
      </x:c>
      <x:c r="G265" s="4" t="n">
        <x:f>IF('계산 과정'!$L$7,IF(ABS(F265)&gt;=1E-12*MAX(1,SQRT((D265-'계산 과정'!$C$33)^2+(E265-'계산 과정'!$D$33)^2+'계산 과정'!$E$33^2)),('계산 과정'!$L$23-'계산 과정'!$C$49*D265-'계산 과정'!$D$49*E265)/F265,""),"")</x:f>
        <x:v>0.7047685876319573</x:v>
      </x:c>
      <x:c r="H265" s="4" t="n">
        <x:f>IF(AND(ISNUMBER(G265),G265&gt;0),('계산 과정'!$D$56+'계산 과정'!$D$57*D265+'계산 과정'!$D$58*E265)/F265,"")</x:f>
        <x:v>58.099581960772134</x:v>
      </x:c>
      <x:c r="I265" s="4" t="n">
        <x:f>IF(AND(ISNUMBER(G265),G265&gt;0),('계산 과정'!$E$56+'계산 과정'!$E$57*D265+'계산 과정'!$E$58*E265)/F265,"")</x:f>
        <x:v>-39.17163184623884</x:v>
      </x:c>
      <x:c r="J265" s="4" t="n">
        <x:f>IF('계산 과정'!$L$5,'계산 과정'!$D$6+'계산 과정'!$C$35*D265+'계산 과정'!$D$35*E265,"")</x:f>
        <x:v>615.9193732320722</x:v>
      </x:c>
      <x:c r="K265" s="4" t="n">
        <x:f>IF(AND('계산 과정'!$L$6,J265&gt;0),'계산 과정'!$D$10*('계산 과정'!$C$38*(D265-'계산 과정'!$C$32)+'계산 과정'!$D$38*(E265-'계산 과정'!$D$32)-'계산 과정'!$E$38*'계산 과정'!$E$32)/J265,"")</x:f>
        <x:v>0.4426634816058839</x:v>
      </x:c>
      <x:c r="L265" s="4" t="n">
        <x:f>IF(AND('계산 과정'!$L$6,J265&gt;0),'계산 과정'!$D$10*('계산 과정'!$C$39*(D265-'계산 과정'!$C$32)+'계산 과정'!$D$39*(E265-'계산 과정'!$D$32)-'계산 과정'!$E$39*'계산 과정'!$E$32)/J265,"")</x:f>
        <x:v>-0.2984505283522959</x:v>
      </x:c>
      <x:c r="M265" s="17" t="n">
        <x:f>IF('계산 과정'!$L$6,IF(J265&lt;=0,0,IF(AND(ABS(K265)&lt;='계산 과정'!$D$11/2,ABS(L265)&lt;='계산 과정'!$D$12/2),1,0)),"")</x:f>
        <x:v>1</x:v>
      </x:c>
      <x:c r="N265" s="17" t="n">
        <x:f>IF('계산 과정'!$C$78,IF(AND(ISNUMBER(H265),ISNUMBER(I265),ABS(H265-'계산 과정'!$C$88)&lt;='계산 과정'!$D$23/2,ABS(I265-'계산 과정'!$C$89)&lt;='계산 과정'!$D$24/2),1,0),"")</x:f>
        <x:v>1</x:v>
      </x:c>
      <x:c r="O265" s="4" t="n">
        <x:f>IF('계산 과정'!$L$7,'계산 과정'!$C$49*('계산 과정'!$C$32-D265)+'계산 과정'!$D$49*('계산 과정'!$D$32-E265)+'계산 과정'!$E$49*'계산 과정'!$E$32,"")</x:f>
        <x:v>34.08062676792798</x:v>
      </x:c>
      <x:c r="P265" s="4" t="n">
        <x:f>IF(AND('계산 과정'!$L$7,O265&lt;&gt;0),('계산 과정'!$L$23-'계산 과정'!$C$49*D265-'계산 과정'!$D$49*E265)/O265,"")</x:f>
        <x:v>12.736873348128242</x:v>
      </x:c>
      <x:c r="Q265" s="4" t="str">
        <x:f>IF(AND(ISNUMBER(P265),P265&gt;1E-9,P265&lt;1-1E-9),'계산 과정'!$C$47*(D265-'계산 과정'!$C$50+P265*('계산 과정'!$C$32-D265))+'계산 과정'!$D$47*(E265-'계산 과정'!$D$50+P265*('계산 과정'!$D$32-E265))+'계산 과정'!$E$47*(0-'계산 과정'!$E$50+P265*('계산 과정'!$E$32-0)),"")</x:f>
      </x:c>
      <x:c r="R265" s="4" t="str">
        <x:f>IF(AND(ISNUMBER(P265),P265&gt;1E-9,P265&lt;1-1E-9),'계산 과정'!$C$48*(D265-'계산 과정'!$C$50+P265*('계산 과정'!$C$32-D265))+'계산 과정'!$D$48*(E265-'계산 과정'!$D$50+P265*('계산 과정'!$D$32-E265))+'계산 과정'!$E$48*(0-'계산 과정'!$E$50+P265*('계산 과정'!$E$32-0)),"")</x:f>
      </x:c>
      <x:c r="S265" s="17" t="n">
        <x:f>IF('계산 과정'!$C$78,IF(AND(ISNUMBER(Q265),ISNUMBER(R265),ABS(Q265-'계산 과정'!$C$88)&lt;='계산 과정'!$D$23/2,ABS(R265-'계산 과정'!$C$89)&lt;='계산 과정'!$D$24/2),1,0),"")</x:f>
        <x:v>0</x:v>
      </x:c>
      <x:c r="T265" s="4"/>
      <x:c r="U265" s="4"/>
      <x:c r="V265" s="4"/>
      <x:c r="W265" s="4" t="n">
        <x:f>IF('계산 과정'!$C$78,'계산 과정'!$C$88+-0.28*'계산 과정'!$D$23/2,"")</x:f>
        <x:v>-44.076595744680986</x:v>
      </x:c>
      <x:c r="X265" s="4" t="str">
        <x:f>""</x:f>
      </x:c>
      <x:c r="Y265" s="4" t="n">
        <x:f>IF('계산 과정'!$C$78,'계산 과정'!$C$89+-1*'계산 과정'!$D$24/2,"")</x:f>
        <x:v>-260</x:v>
      </x:c>
      <x:c r="Z265" s="4" t="str">
        <x:f>""</x:f>
      </x:c>
    </x:row>
    <x:row r="266" ht="23" customHeight="1">
      <x:c r="A266" s="17" t="n">
        <x:f>ROW()-6</x:f>
        <x:v>260</x:v>
      </x:c>
      <x:c r="B266" s="4" t="n">
        <x:f>IF('계산 과정'!$L$5,'계산 과정'!$L$11*SQRT((A266+0.5)/'계산 과정'!$L$30),"")</x:f>
        <x:v>53.497088486781216</x:v>
      </x:c>
      <x:c r="C266" s="4" t="n">
        <x:f>A266*PI()*(3-SQRT(5))</x:f>
        <x:v>623.9904397294497</x:v>
      </x:c>
      <x:c r="D266" s="4" t="n">
        <x:f>IF('계산 과정'!$L$5,B266*COS(C266),"")</x:f>
        <x:v>-20.05650914552471</x:v>
      </x:c>
      <x:c r="E266" s="4" t="n">
        <x:f>IF('계산 과정'!$L$5,B266*SIN(C266),"")</x:f>
        <x:v>49.595109813952256</x:v>
      </x:c>
      <x:c r="F266" s="4" t="n">
        <x:f>IF('계산 과정'!$L$7,'계산 과정'!$L$22+'계산 과정'!$C$49*D266+'계산 과정'!$D$49*E266,"")</x:f>
        <x:v>664.1820936237306</x:v>
      </x:c>
      <x:c r="G266" s="4" t="n">
        <x:f>IF('계산 과정'!$L$7,IF(ABS(F266)&gt;=1E-12*MAX(1,SQRT((D266-'계산 과정'!$C$33)^2+(E266-'계산 과정'!$D$33)^2+'계산 과정'!$E$33^2)),('계산 과정'!$L$23-'계산 과정'!$C$49*D266-'계산 과정'!$D$49*E266)/F266,""),"")</x:f>
        <x:v>0.5808917615819394</x:v>
      </x:c>
      <x:c r="H266" s="4" t="n">
        <x:f>IF(AND(ISNUMBER(G266),G266&gt;0),('계산 과정'!$D$56+'계산 과정'!$D$57*D266+'계산 과정'!$D$58*E266)/F266,"")</x:f>
        <x:v>-22.420354971739467</x:v>
      </x:c>
      <x:c r="I266" s="4" t="n">
        <x:f>IF(AND(ISNUMBER(G266),G266&gt;0),('계산 과정'!$E$56+'계산 과정'!$E$57*D266+'계산 과정'!$E$58*E266)/F266,"")</x:f>
        <x:v>78.40450051962871</x:v>
      </x:c>
      <x:c r="J266" s="4" t="n">
        <x:f>IF('계산 과정'!$L$5,'계산 과정'!$D$6+'계산 과정'!$C$35*D266+'계산 과정'!$D$35*E266,"")</x:f>
        <x:v>664.1820936237306</x:v>
      </x:c>
      <x:c r="K266" s="4" t="n">
        <x:f>IF(AND('계산 과정'!$L$6,J266&gt;0),'계산 과정'!$D$10*('계산 과정'!$C$38*(D266-'계산 과정'!$C$32)+'계산 과정'!$D$38*(E266-'계산 과정'!$D$32)-'계산 과정'!$E$38*'계산 과정'!$E$32)/J266,"")</x:f>
        <x:v>-0.17082175216563356</x:v>
      </x:c>
      <x:c r="L266" s="4" t="n">
        <x:f>IF(AND('계산 과정'!$L$6,J266&gt;0),'계산 과정'!$D$10*('계산 과정'!$C$39*(D266-'계산 과정'!$C$32)+'계산 과정'!$D$39*(E266-'계산 과정'!$D$32)-'계산 과정'!$E$39*'계산 과정'!$E$32)/J266,"")</x:f>
        <x:v>0.597367623006695</x:v>
      </x:c>
      <x:c r="M266" s="17" t="n">
        <x:f>IF('계산 과정'!$L$6,IF(J266&lt;=0,0,IF(AND(ABS(K266)&lt;='계산 과정'!$D$11/2,ABS(L266)&lt;='계산 과정'!$D$12/2),1,0)),"")</x:f>
        <x:v>1</x:v>
      </x:c>
      <x:c r="N266" s="17" t="n">
        <x:f>IF('계산 과정'!$C$78,IF(AND(ISNUMBER(H266),ISNUMBER(I266),ABS(H266-'계산 과정'!$C$88)&lt;='계산 과정'!$D$23/2,ABS(I266-'계산 과정'!$C$89)&lt;='계산 과정'!$D$24/2),1,0),"")</x:f>
        <x:v>1</x:v>
      </x:c>
      <x:c r="O266" s="4" t="n">
        <x:f>IF('계산 과정'!$L$7,'계산 과정'!$C$49*('계산 과정'!$C$32-D266)+'계산 과정'!$D$49*('계산 과정'!$D$32-E266)+'계산 과정'!$E$49*'계산 과정'!$E$32,"")</x:f>
        <x:v>-14.182093623730452</x:v>
      </x:c>
      <x:c r="P266" s="4" t="n">
        <x:f>IF(AND('계산 과정'!$L$7,O266&lt;&gt;0),('계산 과정'!$L$23-'계산 과정'!$C$49*D266-'계산 과정'!$D$49*E266)/O266,"")</x:f>
        <x:v>-27.204580410517984</x:v>
      </x:c>
      <x:c r="Q266" s="4" t="str">
        <x:f>IF(AND(ISNUMBER(P266),P266&gt;1E-9,P266&lt;1-1E-9),'계산 과정'!$C$47*(D266-'계산 과정'!$C$50+P266*('계산 과정'!$C$32-D266))+'계산 과정'!$D$47*(E266-'계산 과정'!$D$50+P266*('계산 과정'!$D$32-E266))+'계산 과정'!$E$47*(0-'계산 과정'!$E$50+P266*('계산 과정'!$E$32-0)),"")</x:f>
      </x:c>
      <x:c r="R266" s="4" t="str">
        <x:f>IF(AND(ISNUMBER(P266),P266&gt;1E-9,P266&lt;1-1E-9),'계산 과정'!$C$48*(D266-'계산 과정'!$C$50+P266*('계산 과정'!$C$32-D266))+'계산 과정'!$D$48*(E266-'계산 과정'!$D$50+P266*('계산 과정'!$D$32-E266))+'계산 과정'!$E$48*(0-'계산 과정'!$E$50+P266*('계산 과정'!$E$32-0)),"")</x:f>
      </x:c>
      <x:c r="S266" s="17" t="n">
        <x:f>IF('계산 과정'!$C$78,IF(AND(ISNUMBER(Q266),ISNUMBER(R266),ABS(Q266-'계산 과정'!$C$88)&lt;='계산 과정'!$D$23/2,ABS(R266-'계산 과정'!$C$89)&lt;='계산 과정'!$D$24/2),1,0),"")</x:f>
        <x:v>0</x:v>
      </x:c>
      <x:c r="T266" s="4"/>
      <x:c r="U266" s="4"/>
      <x:c r="V266" s="4"/>
      <x:c r="W266" s="4" t="n">
        <x:f>IF('계산 과정'!$C$78,'계산 과정'!$C$88+-0.24*'계산 과정'!$D$23/2,"")</x:f>
        <x:v>-33.676595744680974</x:v>
      </x:c>
      <x:c r="X266" s="4" t="str">
        <x:f>""</x:f>
      </x:c>
      <x:c r="Y266" s="4" t="n">
        <x:f>IF('계산 과정'!$C$78,'계산 과정'!$C$89+-1*'계산 과정'!$D$24/2,"")</x:f>
        <x:v>-260</x:v>
      </x:c>
      <x:c r="Z266" s="4" t="str">
        <x:f>""</x:f>
      </x:c>
    </x:row>
    <x:row r="267" ht="23" customHeight="1">
      <x:c r="A267" s="17" t="n">
        <x:f>ROW()-6</x:f>
        <x:v>261</x:v>
      </x:c>
      <x:c r="B267" s="4" t="n">
        <x:f>IF('계산 과정'!$L$5,'계산 과정'!$L$11*SQRT((A267+0.5)/'계산 과정'!$L$30),"")</x:f>
        <x:v>53.59967168451221</x:v>
      </x:c>
      <x:c r="C267" s="4" t="n">
        <x:f>A267*PI()*(3-SQRT(5))</x:f>
        <x:v>626.3904029591783</x:v>
      </x:c>
      <x:c r="D267" s="4" t="n">
        <x:f>IF('계산 과정'!$L$5,B267*COS(C267),"")</x:f>
        <x:v>-18.747850762335453</x:v>
      </x:c>
      <x:c r="E267" s="4" t="n">
        <x:f>IF('계산 과정'!$L$5,B267*SIN(C267),"")</x:f>
        <x:v>-50.213971128369224</x:v>
      </x:c>
      <x:c r="F267" s="4" t="n">
        <x:f>IF('계산 과정'!$L$7,'계산 과정'!$L$22+'계산 과정'!$C$49*D267+'계산 과정'!$D$49*E267,"")</x:f>
        <x:v>663.2567324067207</x:v>
      </x:c>
      <x:c r="G267" s="4" t="n">
        <x:f>IF('계산 과정'!$L$7,IF(ABS(F267)&gt;=1E-12*MAX(1,SQRT((D267-'계산 과정'!$C$33)^2+(E267-'계산 과정'!$D$33)^2+'계산 과정'!$E$33^2)),('계산 과정'!$L$23-'계산 과정'!$C$49*D267-'계산 과정'!$D$49*E267)/F267,""),"")</x:f>
        <x:v>0.5830973870252725</x:v>
      </x:c>
      <x:c r="H267" s="4" t="n">
        <x:f>IF(AND(ISNUMBER(G267),G267&gt;0),('계산 과정'!$D$56+'계산 과정'!$D$57*D267+'계산 과정'!$D$58*E267)/F267,"")</x:f>
        <x:v>-20.986698433573043</x:v>
      </x:c>
      <x:c r="I267" s="4" t="n">
        <x:f>IF(AND(ISNUMBER(G267),G267&gt;0),('계산 과정'!$E$56+'계산 과정'!$E$57*D267+'계산 과정'!$E$58*E267)/F267,"")</x:f>
        <x:v>-79.4936064854838</x:v>
      </x:c>
      <x:c r="J267" s="4" t="n">
        <x:f>IF('계산 과정'!$L$5,'계산 과정'!$D$6+'계산 과정'!$C$35*D267+'계산 과정'!$D$35*E267,"")</x:f>
        <x:v>663.2567324067207</x:v>
      </x:c>
      <x:c r="K267" s="4" t="n">
        <x:f>IF(AND('계산 과정'!$L$6,J267&gt;0),'계산 과정'!$D$10*('계산 과정'!$C$38*(D267-'계산 과정'!$C$32)+'계산 과정'!$D$38*(E267-'계산 과정'!$D$32)-'계산 과정'!$E$38*'계산 과정'!$E$32)/J267,"")</x:f>
        <x:v>-0.1598986547319844</x:v>
      </x:c>
      <x:c r="L267" s="4" t="n">
        <x:f>IF(AND('계산 과정'!$L$6,J267&gt;0),'계산 과정'!$D$10*('계산 과정'!$C$39*(D267-'계산 과정'!$C$32)+'계산 과정'!$D$39*(E267-'계산 과정'!$D$32)-'계산 과정'!$E$39*'계산 과정'!$E$32)/J267,"")</x:f>
        <x:v>-0.6056655732227336</x:v>
      </x:c>
      <x:c r="M267" s="17" t="n">
        <x:f>IF('계산 과정'!$L$6,IF(J267&lt;=0,0,IF(AND(ABS(K267)&lt;='계산 과정'!$D$11/2,ABS(L267)&lt;='계산 과정'!$D$12/2),1,0)),"")</x:f>
        <x:v>1</x:v>
      </x:c>
      <x:c r="N267" s="17" t="n">
        <x:f>IF('계산 과정'!$C$78,IF(AND(ISNUMBER(H267),ISNUMBER(I267),ABS(H267-'계산 과정'!$C$88)&lt;='계산 과정'!$D$23/2,ABS(I267-'계산 과정'!$C$89)&lt;='계산 과정'!$D$24/2),1,0),"")</x:f>
        <x:v>1</x:v>
      </x:c>
      <x:c r="O267" s="4" t="n">
        <x:f>IF('계산 과정'!$L$7,'계산 과정'!$C$49*('계산 과정'!$C$32-D267)+'계산 과정'!$D$49*('계산 과정'!$D$32-E267)+'계산 과정'!$E$49*'계산 과정'!$E$32,"")</x:f>
        <x:v>-13.256732406720687</x:v>
      </x:c>
      <x:c r="P267" s="4" t="n">
        <x:f>IF(AND('계산 과정'!$L$7,O267&lt;&gt;0),('계산 과정'!$L$23-'계산 과정'!$C$49*D267-'계산 과정'!$D$49*E267)/O267,"")</x:f>
        <x:v>-29.173347981076713</x:v>
      </x:c>
      <x:c r="Q267" s="4" t="str">
        <x:f>IF(AND(ISNUMBER(P267),P267&gt;1E-9,P267&lt;1-1E-9),'계산 과정'!$C$47*(D267-'계산 과정'!$C$50+P267*('계산 과정'!$C$32-D267))+'계산 과정'!$D$47*(E267-'계산 과정'!$D$50+P267*('계산 과정'!$D$32-E267))+'계산 과정'!$E$47*(0-'계산 과정'!$E$50+P267*('계산 과정'!$E$32-0)),"")</x:f>
      </x:c>
      <x:c r="R267" s="4" t="str">
        <x:f>IF(AND(ISNUMBER(P267),P267&gt;1E-9,P267&lt;1-1E-9),'계산 과정'!$C$48*(D267-'계산 과정'!$C$50+P267*('계산 과정'!$C$32-D267))+'계산 과정'!$D$48*(E267-'계산 과정'!$D$50+P267*('계산 과정'!$D$32-E267))+'계산 과정'!$E$48*(0-'계산 과정'!$E$50+P267*('계산 과정'!$E$32-0)),"")</x:f>
      </x:c>
      <x:c r="S267" s="17" t="n">
        <x:f>IF('계산 과정'!$C$78,IF(AND(ISNUMBER(Q267),ISNUMBER(R267),ABS(Q267-'계산 과정'!$C$88)&lt;='계산 과정'!$D$23/2,ABS(R267-'계산 과정'!$C$89)&lt;='계산 과정'!$D$24/2),1,0),"")</x:f>
        <x:v>0</x:v>
      </x:c>
      <x:c r="T267" s="4"/>
      <x:c r="U267" s="4"/>
      <x:c r="V267" s="4"/>
      <x:c r="W267" s="4" t="n">
        <x:f>IF('계산 과정'!$C$78,'계산 과정'!$C$88+-0.19999999999999996*'계산 과정'!$D$23/2,"")</x:f>
        <x:v>-23.27659574468096</x:v>
      </x:c>
      <x:c r="X267" s="4" t="str">
        <x:f>""</x:f>
      </x:c>
      <x:c r="Y267" s="4" t="n">
        <x:f>IF('계산 과정'!$C$78,'계산 과정'!$C$89+-1*'계산 과정'!$D$24/2,"")</x:f>
        <x:v>-260</x:v>
      </x:c>
      <x:c r="Z267" s="4" t="str">
        <x:f>""</x:f>
      </x:c>
    </x:row>
    <x:row r="268" ht="23" customHeight="1">
      <x:c r="A268" s="17" t="n">
        <x:f>ROW()-6</x:f>
        <x:v>262</x:v>
      </x:c>
      <x:c r="B268" s="4" t="n">
        <x:f>IF('계산 과정'!$L$5,'계산 과정'!$L$11*SQRT((A268+0.5)/'계산 과정'!$L$30),"")</x:f>
        <x:v>53.70205892526375</x:v>
      </x:c>
      <x:c r="C268" s="4" t="n">
        <x:f>A268*PI()*(3-SQRT(5))</x:f>
        <x:v>628.7903661889071</x:v>
      </x:c>
      <x:c r="D268" s="4" t="n">
        <x:f>IF('계산 과정'!$L$5,B268*COS(C268),"")</x:f>
        <x:v>47.834331769413104</x:v>
      </x:c>
      <x:c r="E268" s="4" t="n">
        <x:f>IF('계산 과정'!$L$5,B268*SIN(C268),"")</x:f>
        <x:v>24.408765576862255</x:v>
      </x:c>
      <x:c r="F268" s="4" t="n">
        <x:f>IF('계산 과정'!$L$7,'계산 과정'!$L$22+'계산 과정'!$C$49*D268+'계산 과정'!$D$49*E268,"")</x:f>
        <x:v>616.1760196323208</x:v>
      </x:c>
      <x:c r="G268" s="4" t="n">
        <x:f>IF('계산 과정'!$L$7,IF(ABS(F268)&gt;=1E-12*MAX(1,SQRT((D268-'계산 과정'!$C$33)^2+(E268-'계산 과정'!$D$33)^2+'계산 과정'!$E$33^2)),('계산 과정'!$L$23-'계산 과정'!$C$49*D268-'계산 과정'!$D$49*E268)/F268,""),"")</x:f>
        <x:v>0.7040585263713228</x:v>
      </x:c>
      <x:c r="H268" s="4" t="n">
        <x:f>IF(AND(ISNUMBER(G268),G268&gt;0),('계산 과정'!$D$56+'계산 과정'!$D$57*D268+'계산 과정'!$D$58*E268)/F268,"")</x:f>
        <x:v>57.638042141359726</x:v>
      </x:c>
      <x:c r="I268" s="4" t="n">
        <x:f>IF(AND(ISNUMBER(G268),G268&gt;0),('계산 과정'!$E$56+'계산 과정'!$E$57*D268+'계산 과정'!$E$58*E268)/F268,"")</x:f>
        <x:v>41.59396509945097</x:v>
      </x:c>
      <x:c r="J268" s="4" t="n">
        <x:f>IF('계산 과정'!$L$5,'계산 과정'!$D$6+'계산 과정'!$C$35*D268+'계산 과정'!$D$35*E268,"")</x:f>
        <x:v>616.1760196323208</x:v>
      </x:c>
      <x:c r="K268" s="4" t="n">
        <x:f>IF(AND('계산 과정'!$L$6,J268&gt;0),'계산 과정'!$D$10*('계산 과정'!$C$38*(D268-'계산 과정'!$C$32)+'계산 과정'!$D$38*(E268-'계산 과정'!$D$32)-'계산 과정'!$E$38*'계산 과정'!$E$32)/J268,"")</x:f>
        <x:v>0.4391469877436937</x:v>
      </x:c>
      <x:c r="L268" s="4" t="n">
        <x:f>IF(AND('계산 과정'!$L$6,J268&gt;0),'계산 과정'!$D$10*('계산 과정'!$C$39*(D268-'계산 과정'!$C$32)+'계산 과정'!$D$39*(E268-'계산 과정'!$D$32)-'계산 과정'!$E$39*'계산 과정'!$E$32)/J268,"")</x:f>
        <x:v>0.31690640075772164</x:v>
      </x:c>
      <x:c r="M268" s="17" t="n">
        <x:f>IF('계산 과정'!$L$6,IF(J268&lt;=0,0,IF(AND(ABS(K268)&lt;='계산 과정'!$D$11/2,ABS(L268)&lt;='계산 과정'!$D$12/2),1,0)),"")</x:f>
        <x:v>1</x:v>
      </x:c>
      <x:c r="N268" s="17" t="n">
        <x:f>IF('계산 과정'!$C$78,IF(AND(ISNUMBER(H268),ISNUMBER(I268),ABS(H268-'계산 과정'!$C$88)&lt;='계산 과정'!$D$23/2,ABS(I268-'계산 과정'!$C$89)&lt;='계산 과정'!$D$24/2),1,0),"")</x:f>
        <x:v>1</x:v>
      </x:c>
      <x:c r="O268" s="4" t="n">
        <x:f>IF('계산 과정'!$L$7,'계산 과정'!$C$49*('계산 과정'!$C$32-D268)+'계산 과정'!$D$49*('계산 과정'!$D$32-E268)+'계산 과정'!$E$49*'계산 과정'!$E$32,"")</x:f>
        <x:v>33.82398036767921</x:v>
      </x:c>
      <x:c r="P268" s="4" t="n">
        <x:f>IF(AND('계산 과정'!$L$7,O268&lt;&gt;0),('계산 과정'!$L$23-'계산 과정'!$C$49*D268-'계산 과정'!$D$49*E268)/O268,"")</x:f>
        <x:v>12.82592928602286</x:v>
      </x:c>
      <x:c r="Q268" s="4" t="str">
        <x:f>IF(AND(ISNUMBER(P268),P268&gt;1E-9,P268&lt;1-1E-9),'계산 과정'!$C$47*(D268-'계산 과정'!$C$50+P268*('계산 과정'!$C$32-D268))+'계산 과정'!$D$47*(E268-'계산 과정'!$D$50+P268*('계산 과정'!$D$32-E268))+'계산 과정'!$E$47*(0-'계산 과정'!$E$50+P268*('계산 과정'!$E$32-0)),"")</x:f>
      </x:c>
      <x:c r="R268" s="4" t="str">
        <x:f>IF(AND(ISNUMBER(P268),P268&gt;1E-9,P268&lt;1-1E-9),'계산 과정'!$C$48*(D268-'계산 과정'!$C$50+P268*('계산 과정'!$C$32-D268))+'계산 과정'!$D$48*(E268-'계산 과정'!$D$50+P268*('계산 과정'!$D$32-E268))+'계산 과정'!$E$48*(0-'계산 과정'!$E$50+P268*('계산 과정'!$E$32-0)),"")</x:f>
      </x:c>
      <x:c r="S268" s="17" t="n">
        <x:f>IF('계산 과정'!$C$78,IF(AND(ISNUMBER(Q268),ISNUMBER(R268),ABS(Q268-'계산 과정'!$C$88)&lt;='계산 과정'!$D$23/2,ABS(R268-'계산 과정'!$C$89)&lt;='계산 과정'!$D$24/2),1,0),"")</x:f>
        <x:v>0</x:v>
      </x:c>
      <x:c r="T268" s="4"/>
      <x:c r="U268" s="4"/>
      <x:c r="V268" s="4"/>
      <x:c r="W268" s="4" t="n">
        <x:f>IF('계산 과정'!$C$78,'계산 과정'!$C$88+-0.16000000000000003*'계산 과정'!$D$23/2,"")</x:f>
        <x:v>-12.876595744680984</x:v>
      </x:c>
      <x:c r="X268" s="4" t="str">
        <x:f>""</x:f>
      </x:c>
      <x:c r="Y268" s="4" t="n">
        <x:f>IF('계산 과정'!$C$78,'계산 과정'!$C$89+-1*'계산 과정'!$D$24/2,"")</x:f>
        <x:v>-260</x:v>
      </x:c>
      <x:c r="Z268" s="4" t="str">
        <x:f>""</x:f>
      </x:c>
    </x:row>
    <x:row r="269" ht="23" customHeight="1">
      <x:c r="A269" s="17" t="n">
        <x:f>ROW()-6</x:f>
        <x:v>263</x:v>
      </x:c>
      <x:c r="B269" s="4" t="n">
        <x:f>IF('계산 과정'!$L$5,'계산 과정'!$L$11*SQRT((A269+0.5)/'계산 과정'!$L$30),"")</x:f>
        <x:v>53.80425132772967</x:v>
      </x:c>
      <x:c r="C269" s="4" t="n">
        <x:f>A269*PI()*(3-SQRT(5))</x:f>
        <x:v>631.1903294186358</x:v>
      </x:c>
      <x:c r="D269" s="4" t="n">
        <x:f>IF('계산 과정'!$L$5,B269*COS(C269),"")</x:f>
        <x:v>-51.85792747016548</x:v>
      </x:c>
      <x:c r="E269" s="4" t="n">
        <x:f>IF('계산 과정'!$L$5,B269*SIN(C269),"")</x:f>
        <x:v>14.34060038619573</x:v>
      </x:c>
      <x:c r="F269" s="4" t="n">
        <x:f>IF('계산 과정'!$L$7,'계산 과정'!$L$22+'계산 과정'!$C$49*D269+'계산 과정'!$D$49*E269,"")</x:f>
        <x:v>686.6690921724341</x:v>
      </x:c>
      <x:c r="G269" s="4" t="n">
        <x:f>IF('계산 과정'!$L$7,IF(ABS(F269)&gt;=1E-12*MAX(1,SQRT((D269-'계산 과정'!$C$33)^2+(E269-'계산 과정'!$D$33)^2+'계산 과정'!$E$33^2)),('계산 과정'!$L$23-'계산 과정'!$C$49*D269-'계산 과정'!$D$49*E269)/F269,""),"")</x:f>
        <x:v>0.5291208122941514</x:v>
      </x:c>
      <x:c r="H269" s="4" t="n">
        <x:f>IF(AND(ISNUMBER(G269),G269&gt;0),('계산 과정'!$D$56+'계산 과정'!$D$57*D269+'계산 과정'!$D$58*E269)/F269,"")</x:f>
        <x:v>-56.07147200880174</x:v>
      </x:c>
      <x:c r="I269" s="4" t="n">
        <x:f>IF(AND(ISNUMBER(G269),G269&gt;0),('계산 과정'!$E$56+'계산 과정'!$E$57*D269+'계산 과정'!$E$58*E269)/F269,"")</x:f>
        <x:v>21.928510511325435</x:v>
      </x:c>
      <x:c r="J269" s="4" t="n">
        <x:f>IF('계산 과정'!$L$5,'계산 과정'!$D$6+'계산 과정'!$C$35*D269+'계산 과정'!$D$35*E269,"")</x:f>
        <x:v>686.6690921724341</x:v>
      </x:c>
      <x:c r="K269" s="4" t="n">
        <x:f>IF(AND('계산 과정'!$L$6,J269&gt;0),'계산 과정'!$D$10*('계산 과정'!$C$38*(D269-'계산 과정'!$C$32)+'계산 과정'!$D$38*(E269-'계산 과정'!$D$32)-'계산 과정'!$E$38*'계산 과정'!$E$32)/J269,"")</x:f>
        <x:v>-0.42721121530515516</x:v>
      </x:c>
      <x:c r="L269" s="4" t="n">
        <x:f>IF(AND('계산 과정'!$L$6,J269&gt;0),'계산 과정'!$D$10*('계산 과정'!$C$39*(D269-'계산 과정'!$C$32)+'계산 과정'!$D$39*(E269-'계산 과정'!$D$32)-'계산 과정'!$E$39*'계산 과정'!$E$32)/J269,"")</x:f>
        <x:v>0.16707436580057475</x:v>
      </x:c>
      <x:c r="M269" s="17" t="n">
        <x:f>IF('계산 과정'!$L$6,IF(J269&lt;=0,0,IF(AND(ABS(K269)&lt;='계산 과정'!$D$11/2,ABS(L269)&lt;='계산 과정'!$D$12/2),1,0)),"")</x:f>
        <x:v>1</x:v>
      </x:c>
      <x:c r="N269" s="17" t="n">
        <x:f>IF('계산 과정'!$C$78,IF(AND(ISNUMBER(H269),ISNUMBER(I269),ABS(H269-'계산 과정'!$C$88)&lt;='계산 과정'!$D$23/2,ABS(I269-'계산 과정'!$C$89)&lt;='계산 과정'!$D$24/2),1,0),"")</x:f>
        <x:v>1</x:v>
      </x:c>
      <x:c r="O269" s="4" t="n">
        <x:f>IF('계산 과정'!$L$7,'계산 과정'!$C$49*('계산 과정'!$C$32-D269)+'계산 과정'!$D$49*('계산 과정'!$D$32-E269)+'계산 과정'!$E$49*'계산 과정'!$E$32,"")</x:f>
        <x:v>-36.669092172434034</x:v>
      </x:c>
      <x:c r="P269" s="4" t="n">
        <x:f>IF(AND('계산 과정'!$L$7,O269&lt;&gt;0),('계산 과정'!$L$23-'계산 과정'!$C$49*D269-'계산 과정'!$D$49*E269)/O269,"")</x:f>
        <x:v>-9.908369318744674</x:v>
      </x:c>
      <x:c r="Q269" s="4" t="str">
        <x:f>IF(AND(ISNUMBER(P269),P269&gt;1E-9,P269&lt;1-1E-9),'계산 과정'!$C$47*(D269-'계산 과정'!$C$50+P269*('계산 과정'!$C$32-D269))+'계산 과정'!$D$47*(E269-'계산 과정'!$D$50+P269*('계산 과정'!$D$32-E269))+'계산 과정'!$E$47*(0-'계산 과정'!$E$50+P269*('계산 과정'!$E$32-0)),"")</x:f>
      </x:c>
      <x:c r="R269" s="4" t="str">
        <x:f>IF(AND(ISNUMBER(P269),P269&gt;1E-9,P269&lt;1-1E-9),'계산 과정'!$C$48*(D269-'계산 과정'!$C$50+P269*('계산 과정'!$C$32-D269))+'계산 과정'!$D$48*(E269-'계산 과정'!$D$50+P269*('계산 과정'!$D$32-E269))+'계산 과정'!$E$48*(0-'계산 과정'!$E$50+P269*('계산 과정'!$E$32-0)),"")</x:f>
      </x:c>
      <x:c r="S269" s="17" t="n">
        <x:f>IF('계산 과정'!$C$78,IF(AND(ISNUMBER(Q269),ISNUMBER(R269),ABS(Q269-'계산 과정'!$C$88)&lt;='계산 과정'!$D$23/2,ABS(R269-'계산 과정'!$C$89)&lt;='계산 과정'!$D$24/2),1,0),"")</x:f>
        <x:v>0</x:v>
      </x:c>
      <x:c r="T269" s="4"/>
      <x:c r="U269" s="4"/>
      <x:c r="V269" s="4"/>
      <x:c r="W269" s="4" t="n">
        <x:f>IF('계산 과정'!$C$78,'계산 과정'!$C$88+-0.12*'계산 과정'!$D$23/2,"")</x:f>
        <x:v>-2.4765957446809743</x:v>
      </x:c>
      <x:c r="X269" s="4" t="str">
        <x:f>""</x:f>
      </x:c>
      <x:c r="Y269" s="4" t="n">
        <x:f>IF('계산 과정'!$C$78,'계산 과정'!$C$89+-1*'계산 과정'!$D$24/2,"")</x:f>
        <x:v>-260</x:v>
      </x:c>
      <x:c r="Z269" s="4" t="str">
        <x:f>""</x:f>
      </x:c>
    </x:row>
    <x:row r="270" ht="23" customHeight="1">
      <x:c r="A270" s="17" t="n">
        <x:f>ROW()-6</x:f>
        <x:v>264</x:v>
      </x:c>
      <x:c r="B270" s="4" t="n">
        <x:f>IF('계산 과정'!$L$5,'계산 과정'!$L$11*SQRT((A270+0.5)/'계산 과정'!$L$30),"")</x:f>
        <x:v>53.90625</x:v>
      </x:c>
      <x:c r="C270" s="4" t="n">
        <x:f>A270*PI()*(3-SQRT(5))</x:f>
        <x:v>633.5902926483644</x:v>
      </x:c>
      <x:c r="D270" s="4" t="n">
        <x:f>IF('계산 과정'!$L$5,B270*COS(C270),"")</x:f>
        <x:v>28.605611510685645</x:v>
      </x:c>
      <x:c r="E270" s="4" t="n">
        <x:f>IF('계산 과정'!$L$5,B270*SIN(C270),"")</x:f>
        <x:v>-45.69029195750701</x:v>
      </x:c>
      <x:c r="F270" s="4" t="n">
        <x:f>IF('계산 과정'!$L$7,'계산 과정'!$L$22+'계산 과정'!$C$49*D270+'계산 과정'!$D$49*E270,"")</x:f>
        <x:v>629.7727781208063</x:v>
      </x:c>
      <x:c r="G270" s="4" t="n">
        <x:f>IF('계산 과정'!$L$7,IF(ABS(F270)&gt;=1E-12*MAX(1,SQRT((D270-'계산 과정'!$C$33)^2+(E270-'계산 과정'!$D$33)^2+'계산 과정'!$E$33^2)),('계산 과정'!$L$23-'계산 과정'!$C$49*D270-'계산 과정'!$D$49*E270)/F270,""),"")</x:f>
        <x:v>0.6672679996317397</x:v>
      </x:c>
      <x:c r="H270" s="4" t="n">
        <x:f>IF(AND(ISNUMBER(G270),G270&gt;0),('계산 과정'!$D$56+'계산 과정'!$D$57*D270+'계산 과정'!$D$58*E270)/F270,"")</x:f>
        <x:v>33.72419976063066</x:v>
      </x:c>
      <x:c r="I270" s="4" t="n">
        <x:f>IF(AND(ISNUMBER(G270),G270&gt;0),('계산 과정'!$E$56+'계산 과정'!$E$57*D270+'계산 과정'!$E$58*E270)/F270,"")</x:f>
        <x:v>-76.17796167458286</x:v>
      </x:c>
      <x:c r="J270" s="4" t="n">
        <x:f>IF('계산 과정'!$L$5,'계산 과정'!$D$6+'계산 과정'!$C$35*D270+'계산 과정'!$D$35*E270,"")</x:f>
        <x:v>629.7727781208063</x:v>
      </x:c>
      <x:c r="K270" s="4" t="n">
        <x:f>IF(AND('계산 과정'!$L$6,J270&gt;0),'계산 과정'!$D$10*('계산 과정'!$C$38*(D270-'계산 과정'!$C$32)+'계산 과정'!$D$38*(E270-'계산 과정'!$D$32)-'계산 과정'!$E$38*'계산 과정'!$E$32)/J270,"")</x:f>
        <x:v>0.25694628389052027</x:v>
      </x:c>
      <x:c r="L270" s="4" t="n">
        <x:f>IF(AND('계산 과정'!$L$6,J270&gt;0),'계산 과정'!$D$10*('계산 과정'!$C$39*(D270-'계산 과정'!$C$32)+'계산 과정'!$D$39*(E270-'계산 과정'!$D$32)-'계산 과정'!$E$39*'계산 과정'!$E$32)/J270,"")</x:f>
        <x:v>-0.5804035175206314</x:v>
      </x:c>
      <x:c r="M270" s="17" t="n">
        <x:f>IF('계산 과정'!$L$6,IF(J270&lt;=0,0,IF(AND(ABS(K270)&lt;='계산 과정'!$D$11/2,ABS(L270)&lt;='계산 과정'!$D$12/2),1,0)),"")</x:f>
        <x:v>1</x:v>
      </x:c>
      <x:c r="N270" s="17" t="n">
        <x:f>IF('계산 과정'!$C$78,IF(AND(ISNUMBER(H270),ISNUMBER(I270),ABS(H270-'계산 과정'!$C$88)&lt;='계산 과정'!$D$23/2,ABS(I270-'계산 과정'!$C$89)&lt;='계산 과정'!$D$24/2),1,0),"")</x:f>
        <x:v>1</x:v>
      </x:c>
      <x:c r="O270" s="4" t="n">
        <x:f>IF('계산 과정'!$L$7,'계산 과정'!$C$49*('계산 과정'!$C$32-D270)+'계산 과정'!$D$49*('계산 과정'!$D$32-E270)+'계산 과정'!$E$49*'계산 과정'!$E$32,"")</x:f>
        <x:v>20.227221879193905</x:v>
      </x:c>
      <x:c r="P270" s="4" t="n">
        <x:f>IF(AND('계산 과정'!$L$7,O270&lt;&gt;0),('계산 과정'!$L$23-'계산 과정'!$C$49*D270-'계산 과정'!$D$49*E270)/O270,"")</x:f>
        <x:v>20.775330610846133</x:v>
      </x:c>
      <x:c r="Q270" s="4" t="str">
        <x:f>IF(AND(ISNUMBER(P270),P270&gt;1E-9,P270&lt;1-1E-9),'계산 과정'!$C$47*(D270-'계산 과정'!$C$50+P270*('계산 과정'!$C$32-D270))+'계산 과정'!$D$47*(E270-'계산 과정'!$D$50+P270*('계산 과정'!$D$32-E270))+'계산 과정'!$E$47*(0-'계산 과정'!$E$50+P270*('계산 과정'!$E$32-0)),"")</x:f>
      </x:c>
      <x:c r="R270" s="4" t="str">
        <x:f>IF(AND(ISNUMBER(P270),P270&gt;1E-9,P270&lt;1-1E-9),'계산 과정'!$C$48*(D270-'계산 과정'!$C$50+P270*('계산 과정'!$C$32-D270))+'계산 과정'!$D$48*(E270-'계산 과정'!$D$50+P270*('계산 과정'!$D$32-E270))+'계산 과정'!$E$48*(0-'계산 과정'!$E$50+P270*('계산 과정'!$E$32-0)),"")</x:f>
      </x:c>
      <x:c r="S270" s="17" t="n">
        <x:f>IF('계산 과정'!$C$78,IF(AND(ISNUMBER(Q270),ISNUMBER(R270),ABS(Q270-'계산 과정'!$C$88)&lt;='계산 과정'!$D$23/2,ABS(R270-'계산 과정'!$C$89)&lt;='계산 과정'!$D$24/2),1,0),"")</x:f>
        <x:v>0</x:v>
      </x:c>
      <x:c r="T270" s="4"/>
      <x:c r="U270" s="4"/>
      <x:c r="V270" s="4"/>
      <x:c r="W270" s="4" t="n">
        <x:f>IF('계산 과정'!$C$78,'계산 과정'!$C$88+-0.07999999999999996*'계산 과정'!$D$23/2,"")</x:f>
        <x:v>7.923404255319035</x:v>
      </x:c>
      <x:c r="X270" s="4" t="str">
        <x:f>""</x:f>
      </x:c>
      <x:c r="Y270" s="4" t="n">
        <x:f>IF('계산 과정'!$C$78,'계산 과정'!$C$89+-1*'계산 과정'!$D$24/2,"")</x:f>
        <x:v>-260</x:v>
      </x:c>
      <x:c r="Z270" s="4" t="str">
        <x:f>""</x:f>
      </x:c>
    </x:row>
    <x:row r="271" ht="23" customHeight="1">
      <x:c r="A271" s="17" t="n">
        <x:f>ROW()-6</x:f>
        <x:v>265</x:v>
      </x:c>
      <x:c r="B271" s="4" t="n">
        <x:f>IF('계산 과정'!$L$5,'계산 과정'!$L$11*SQRT((A271+0.5)/'계산 과정'!$L$30),"")</x:f>
        <x:v>54.00805603970115</x:v>
      </x:c>
      <x:c r="C271" s="4" t="n">
        <x:f>A271*PI()*(3-SQRT(5))</x:f>
        <x:v>635.9902558780931</x:v>
      </x:c>
      <x:c r="D271" s="4" t="n">
        <x:f>IF('계산 과정'!$L$5,B271*COS(C271),"")</x:f>
        <x:v>9.788913349354997</x:v>
      </x:c>
      <x:c r="E271" s="4" t="n">
        <x:f>IF('계산 과정'!$L$5,B271*SIN(C271),"")</x:f>
        <x:v>53.11353210459948</x:v>
      </x:c>
      <x:c r="F271" s="4" t="n">
        <x:f>IF('계산 과정'!$L$7,'계산 과정'!$L$22+'계산 과정'!$C$49*D271+'계산 과정'!$D$49*E271,"")</x:f>
        <x:v>643.0781929902236</x:v>
      </x:c>
      <x:c r="G271" s="4" t="n">
        <x:f>IF('계산 과정'!$L$7,IF(ABS(F271)&gt;=1E-12*MAX(1,SQRT((D271-'계산 과정'!$C$33)^2+(E271-'계산 과정'!$D$33)^2+'계산 과정'!$E$33^2)),('계산 과정'!$L$23-'계산 과정'!$C$49*D271-'계산 과정'!$D$49*E271)/F271,""),"")</x:f>
        <x:v>0.6327718953081694</x:v>
      </x:c>
      <x:c r="H271" s="4" t="n">
        <x:f>IF(AND(ISNUMBER(G271),G271&gt;0),('계산 과정'!$D$56+'계산 과정'!$D$57*D271+'계산 과정'!$D$58*E271)/F271,"")</x:f>
        <x:v>11.301731950309936</x:v>
      </x:c>
      <x:c r="I271" s="4" t="n">
        <x:f>IF(AND(ISNUMBER(G271),G271&gt;0),('계산 과정'!$E$56+'계산 과정'!$E$57*D271+'계산 과정'!$E$58*E271)/F271,"")</x:f>
        <x:v>86.72228248093819</x:v>
      </x:c>
      <x:c r="J271" s="4" t="n">
        <x:f>IF('계산 과정'!$L$5,'계산 과정'!$D$6+'계산 과정'!$C$35*D271+'계산 과정'!$D$35*E271,"")</x:f>
        <x:v>643.0781929902236</x:v>
      </x:c>
      <x:c r="K271" s="4" t="n">
        <x:f>IF(AND('계산 과정'!$L$6,J271&gt;0),'계산 과정'!$D$10*('계산 과정'!$C$38*(D271-'계산 과정'!$C$32)+'계산 과정'!$D$38*(E271-'계산 과정'!$D$32)-'계산 과정'!$E$38*'계산 과정'!$E$32)/J271,"")</x:f>
        <x:v>0.08610843390712423</x:v>
      </x:c>
      <x:c r="L271" s="4" t="n">
        <x:f>IF(AND('계산 과정'!$L$6,J271&gt;0),'계산 과정'!$D$10*('계산 과정'!$C$39*(D271-'계산 과정'!$C$32)+'계산 과정'!$D$39*(E271-'계산 과정'!$D$32)-'계산 과정'!$E$39*'계산 과정'!$E$32)/J271,"")</x:f>
        <x:v>0.6607411998547672</x:v>
      </x:c>
      <x:c r="M271" s="17" t="n">
        <x:f>IF('계산 과정'!$L$6,IF(J271&lt;=0,0,IF(AND(ABS(K271)&lt;='계산 과정'!$D$11/2,ABS(L271)&lt;='계산 과정'!$D$12/2),1,0)),"")</x:f>
        <x:v>1</x:v>
      </x:c>
      <x:c r="N271" s="17" t="n">
        <x:f>IF('계산 과정'!$C$78,IF(AND(ISNUMBER(H271),ISNUMBER(I271),ABS(H271-'계산 과정'!$C$88)&lt;='계산 과정'!$D$23/2,ABS(I271-'계산 과정'!$C$89)&lt;='계산 과정'!$D$24/2),1,0),"")</x:f>
        <x:v>1</x:v>
      </x:c>
      <x:c r="O271" s="4" t="n">
        <x:f>IF('계산 과정'!$L$7,'계산 과정'!$C$49*('계산 과정'!$C$32-D271)+'계산 과정'!$D$49*('계산 과정'!$D$32-E271)+'계산 과정'!$E$49*'계산 과정'!$E$32,"")</x:f>
        <x:v>6.921807009776558</x:v>
      </x:c>
      <x:c r="P271" s="4" t="n">
        <x:f>IF(AND('계산 과정'!$L$7,O271&lt;&gt;0),('계산 과정'!$L$23-'계산 과정'!$C$49*D271-'계산 과정'!$D$49*E271)/O271,"")</x:f>
        <x:v>58.78837801097726</x:v>
      </x:c>
      <x:c r="Q271" s="4" t="str">
        <x:f>IF(AND(ISNUMBER(P271),P271&gt;1E-9,P271&lt;1-1E-9),'계산 과정'!$C$47*(D271-'계산 과정'!$C$50+P271*('계산 과정'!$C$32-D271))+'계산 과정'!$D$47*(E271-'계산 과정'!$D$50+P271*('계산 과정'!$D$32-E271))+'계산 과정'!$E$47*(0-'계산 과정'!$E$50+P271*('계산 과정'!$E$32-0)),"")</x:f>
      </x:c>
      <x:c r="R271" s="4" t="str">
        <x:f>IF(AND(ISNUMBER(P271),P271&gt;1E-9,P271&lt;1-1E-9),'계산 과정'!$C$48*(D271-'계산 과정'!$C$50+P271*('계산 과정'!$C$32-D271))+'계산 과정'!$D$48*(E271-'계산 과정'!$D$50+P271*('계산 과정'!$D$32-E271))+'계산 과정'!$E$48*(0-'계산 과정'!$E$50+P271*('계산 과정'!$E$32-0)),"")</x:f>
      </x:c>
      <x:c r="S271" s="17" t="n">
        <x:f>IF('계산 과정'!$C$78,IF(AND(ISNUMBER(Q271),ISNUMBER(R271),ABS(Q271-'계산 과정'!$C$88)&lt;='계산 과정'!$D$23/2,ABS(R271-'계산 과정'!$C$89)&lt;='계산 과정'!$D$24/2),1,0),"")</x:f>
        <x:v>0</x:v>
      </x:c>
      <x:c r="T271" s="4"/>
      <x:c r="U271" s="4"/>
      <x:c r="V271" s="4"/>
      <x:c r="W271" s="4" t="n">
        <x:f>IF('계산 과정'!$C$78,'계산 과정'!$C$88+-0.040000000000000036*'계산 과정'!$D$23/2,"")</x:f>
        <x:v>18.323404255319016</x:v>
      </x:c>
      <x:c r="X271" s="4" t="str">
        <x:f>""</x:f>
      </x:c>
      <x:c r="Y271" s="4" t="n">
        <x:f>IF('계산 과정'!$C$78,'계산 과정'!$C$89+-1*'계산 과정'!$D$24/2,"")</x:f>
        <x:v>-260</x:v>
      </x:c>
      <x:c r="Z271" s="4" t="str">
        <x:f>""</x:f>
      </x:c>
    </x:row>
    <x:row r="272" ht="23" customHeight="1">
      <x:c r="A272" s="17" t="n">
        <x:f>ROW()-6</x:f>
        <x:v>266</x:v>
      </x:c>
      <x:c r="B272" s="4" t="n">
        <x:f>IF('계산 과정'!$L$5,'계산 과정'!$L$11*SQRT((A272+0.5)/'계산 과정'!$L$30),"")</x:f>
        <x:v>54.10967053413373</x:v>
      </x:c>
      <x:c r="C272" s="4" t="n">
        <x:f>A272*PI()*(3-SQRT(5))</x:f>
        <x:v>638.3902191078216</x:v>
      </x:c>
      <x:c r="D272" s="4" t="n">
        <x:f>IF('계산 과정'!$L$5,B272*COS(C272),"")</x:f>
        <x:v>-43.176798746317196</x:v>
      </x:c>
      <x:c r="E272" s="4" t="n">
        <x:f>IF('계산 과정'!$L$5,B272*SIN(C272),"")</x:f>
        <x:v>-32.61319511076034</x:v>
      </x:c>
      <x:c r="F272" s="4" t="n">
        <x:f>IF('계산 과정'!$L$7,'계산 과정'!$L$22+'계산 과정'!$C$49*D272+'계산 과정'!$D$49*E272,"")</x:f>
        <x:v>680.5306071834477</x:v>
      </x:c>
      <x:c r="G272" s="4" t="n">
        <x:f>IF('계산 과정'!$L$7,IF(ABS(F272)&gt;=1E-12*MAX(1,SQRT((D272-'계산 과정'!$C$33)^2+(E272-'계산 과정'!$D$33)^2+'계산 과정'!$E$33^2)),('계산 과정'!$L$23-'계산 과정'!$C$49*D272-'계산 과정'!$D$49*E272)/F272,""),"")</x:f>
        <x:v>0.5429137042721666</x:v>
      </x:c>
      <x:c r="H272" s="4" t="n">
        <x:f>IF(AND(ISNUMBER(G272),G272&gt;0),('계산 과정'!$D$56+'계산 과정'!$D$57*D272+'계산 과정'!$D$58*E272)/F272,"")</x:f>
        <x:v>-47.10609222309185</x:v>
      </x:c>
      <x:c r="I272" s="4" t="n">
        <x:f>IF(AND(ISNUMBER(G272),G272&gt;0),('계산 과정'!$E$56+'계산 과정'!$E$57*D272+'계산 과정'!$E$58*E272)/F272,"")</x:f>
        <x:v>-50.31934567649414</x:v>
      </x:c>
      <x:c r="J272" s="4" t="n">
        <x:f>IF('계산 과정'!$L$5,'계산 과정'!$D$6+'계산 과정'!$C$35*D272+'계산 과정'!$D$35*E272,"")</x:f>
        <x:v>680.5306071834477</x:v>
      </x:c>
      <x:c r="K272" s="4" t="n">
        <x:f>IF(AND('계산 과정'!$L$6,J272&gt;0),'계산 과정'!$D$10*('계산 과정'!$C$38*(D272-'계산 과정'!$C$32)+'계산 과정'!$D$38*(E272-'계산 과정'!$D$32)-'계산 과정'!$E$38*'계산 과정'!$E$32)/J272,"")</x:f>
        <x:v>-0.3589035597949848</x:v>
      </x:c>
      <x:c r="L272" s="4" t="n">
        <x:f>IF(AND('계산 과정'!$L$6,J272&gt;0),'계산 과정'!$D$10*('계산 과정'!$C$39*(D272-'계산 과정'!$C$32)+'계산 과정'!$D$39*(E272-'계산 과정'!$D$32)-'계산 과정'!$E$39*'계산 과정'!$E$32)/J272,"")</x:f>
        <x:v>-0.3833854908685268</x:v>
      </x:c>
      <x:c r="M272" s="17" t="n">
        <x:f>IF('계산 과정'!$L$6,IF(J272&lt;=0,0,IF(AND(ABS(K272)&lt;='계산 과정'!$D$11/2,ABS(L272)&lt;='계산 과정'!$D$12/2),1,0)),"")</x:f>
        <x:v>1</x:v>
      </x:c>
      <x:c r="N272" s="17" t="n">
        <x:f>IF('계산 과정'!$C$78,IF(AND(ISNUMBER(H272),ISNUMBER(I272),ABS(H272-'계산 과정'!$C$88)&lt;='계산 과정'!$D$23/2,ABS(I272-'계산 과정'!$C$89)&lt;='계산 과정'!$D$24/2),1,0),"")</x:f>
        <x:v>1</x:v>
      </x:c>
      <x:c r="O272" s="4" t="n">
        <x:f>IF('계산 과정'!$L$7,'계산 과정'!$C$49*('계산 과정'!$C$32-D272)+'계산 과정'!$D$49*('계산 과정'!$D$32-E272)+'계산 과정'!$E$49*'계산 과정'!$E$32,"")</x:f>
        <x:v>-30.530607183447614</x:v>
      </x:c>
      <x:c r="P272" s="4" t="n">
        <x:f>IF(AND('계산 과정'!$L$7,O272&lt;&gt;0),('계산 과정'!$L$23-'계산 과정'!$C$49*D272-'계산 과정'!$D$49*E272)/O272,"")</x:f>
        <x:v>-12.101606450095847</x:v>
      </x:c>
      <x:c r="Q272" s="4" t="str">
        <x:f>IF(AND(ISNUMBER(P272),P272&gt;1E-9,P272&lt;1-1E-9),'계산 과정'!$C$47*(D272-'계산 과정'!$C$50+P272*('계산 과정'!$C$32-D272))+'계산 과정'!$D$47*(E272-'계산 과정'!$D$50+P272*('계산 과정'!$D$32-E272))+'계산 과정'!$E$47*(0-'계산 과정'!$E$50+P272*('계산 과정'!$E$32-0)),"")</x:f>
      </x:c>
      <x:c r="R272" s="4" t="str">
        <x:f>IF(AND(ISNUMBER(P272),P272&gt;1E-9,P272&lt;1-1E-9),'계산 과정'!$C$48*(D272-'계산 과정'!$C$50+P272*('계산 과정'!$C$32-D272))+'계산 과정'!$D$48*(E272-'계산 과정'!$D$50+P272*('계산 과정'!$D$32-E272))+'계산 과정'!$E$48*(0-'계산 과정'!$E$50+P272*('계산 과정'!$E$32-0)),"")</x:f>
      </x:c>
      <x:c r="S272" s="17" t="n">
        <x:f>IF('계산 과정'!$C$78,IF(AND(ISNUMBER(Q272),ISNUMBER(R272),ABS(Q272-'계산 과정'!$C$88)&lt;='계산 과정'!$D$23/2,ABS(R272-'계산 과정'!$C$89)&lt;='계산 과정'!$D$24/2),1,0),"")</x:f>
        <x:v>0</x:v>
      </x:c>
      <x:c r="T272" s="4"/>
      <x:c r="U272" s="4"/>
      <x:c r="V272" s="4"/>
      <x:c r="W272" s="4" t="n">
        <x:f>IF('계산 과정'!$C$78,'계산 과정'!$C$88+0*'계산 과정'!$D$23/2,"")</x:f>
        <x:v>28.723404255319025</x:v>
      </x:c>
      <x:c r="X272" s="4" t="str">
        <x:f>""</x:f>
      </x:c>
      <x:c r="Y272" s="4" t="n">
        <x:f>IF('계산 과정'!$C$78,'계산 과정'!$C$89+-1*'계산 과정'!$D$24/2,"")</x:f>
        <x:v>-260</x:v>
      </x:c>
      <x:c r="Z272" s="4" t="str">
        <x:f>""</x:f>
      </x:c>
    </x:row>
    <x:row r="273" ht="23" customHeight="1">
      <x:c r="A273" s="17" t="n">
        <x:f>ROW()-6</x:f>
        <x:v>267</x:v>
      </x:c>
      <x:c r="B273" s="4" t="n">
        <x:f>IF('계산 과정'!$L$5,'계산 과정'!$L$11*SQRT((A273+0.5)/'계산 과정'!$L$30),"")</x:f>
        <x:v>54.21109456040802</x:v>
      </x:c>
      <x:c r="C273" s="4" t="n">
        <x:f>A273*PI()*(3-SQRT(5))</x:f>
        <x:v>640.7901823375503</x:v>
      </x:c>
      <x:c r="D273" s="4" t="n">
        <x:f>IF('계산 과정'!$L$5,B273*COS(C273),"")</x:f>
        <x:v>53.968093806731545</x:v>
      </x:c>
      <x:c r="E273" s="4" t="n">
        <x:f>IF('계산 과정'!$L$5,B273*SIN(C273),"")</x:f>
        <x:v>-5.12714582446456</x:v>
      </x:c>
      <x:c r="F273" s="4" t="n">
        <x:f>IF('계산 과정'!$L$7,'계산 과정'!$L$22+'계산 과정'!$C$49*D273+'계산 과정'!$D$49*E273,"")</x:f>
        <x:v>611.8387949015485</x:v>
      </x:c>
      <x:c r="G273" s="4" t="n">
        <x:f>IF('계산 과정'!$L$7,IF(ABS(F273)&gt;=1E-12*MAX(1,SQRT((D273-'계산 과정'!$C$33)^2+(E273-'계산 과정'!$D$33)^2+'계산 과정'!$E$33^2)),('계산 과정'!$L$23-'계산 과정'!$C$49*D273-'계산 과정'!$D$49*E273)/F273,""),"")</x:f>
        <x:v>0.7161383173960987</x:v>
      </x:c>
      <x:c r="H273" s="4" t="n">
        <x:f>IF(AND(ISNUMBER(G273),G273&gt;0),('계산 과정'!$D$56+'계산 과정'!$D$57*D273+'계산 과정'!$D$58*E273)/F273,"")</x:f>
        <x:v>65.48990630746403</x:v>
      </x:c>
      <x:c r="I273" s="4" t="n">
        <x:f>IF(AND(ISNUMBER(G273),G273&gt;0),('계산 과정'!$E$56+'계산 과정'!$E$57*D273+'계산 과정'!$E$58*E273)/F273,"")</x:f>
        <x:v>-8.798891408241044</x:v>
      </x:c>
      <x:c r="J273" s="4" t="n">
        <x:f>IF('계산 과정'!$L$5,'계산 과정'!$D$6+'계산 과정'!$C$35*D273+'계산 과정'!$D$35*E273,"")</x:f>
        <x:v>611.8387949015485</x:v>
      </x:c>
      <x:c r="K273" s="4" t="n">
        <x:f>IF(AND('계산 과정'!$L$6,J273&gt;0),'계산 과정'!$D$10*('계산 과정'!$C$38*(D273-'계산 과정'!$C$32)+'계산 과정'!$D$38*(E273-'계산 과정'!$D$32)-'계산 과정'!$E$38*'계산 과정'!$E$32)/J273,"")</x:f>
        <x:v>0.4989707147235364</x:v>
      </x:c>
      <x:c r="L273" s="4" t="n">
        <x:f>IF(AND('계산 과정'!$L$6,J273&gt;0),'계산 과정'!$D$10*('계산 과정'!$C$39*(D273-'계산 과정'!$C$32)+'계산 과정'!$D$39*(E273-'계산 과정'!$D$32)-'계산 과정'!$E$39*'계산 과정'!$E$32)/J273,"")</x:f>
        <x:v>-0.06703917263421746</x:v>
      </x:c>
      <x:c r="M273" s="17" t="n">
        <x:f>IF('계산 과정'!$L$6,IF(J273&lt;=0,0,IF(AND(ABS(K273)&lt;='계산 과정'!$D$11/2,ABS(L273)&lt;='계산 과정'!$D$12/2),1,0)),"")</x:f>
        <x:v>1</x:v>
      </x:c>
      <x:c r="N273" s="17" t="n">
        <x:f>IF('계산 과정'!$C$78,IF(AND(ISNUMBER(H273),ISNUMBER(I273),ABS(H273-'계산 과정'!$C$88)&lt;='계산 과정'!$D$23/2,ABS(I273-'계산 과정'!$C$89)&lt;='계산 과정'!$D$24/2),1,0),"")</x:f>
        <x:v>1</x:v>
      </x:c>
      <x:c r="O273" s="4" t="n">
        <x:f>IF('계산 과정'!$L$7,'계산 과정'!$C$49*('계산 과정'!$C$32-D273)+'계산 과정'!$D$49*('계산 과정'!$D$32-E273)+'계산 과정'!$E$49*'계산 과정'!$E$32,"")</x:f>
        <x:v>38.16120509845172</x:v>
      </x:c>
      <x:c r="P273" s="4" t="n">
        <x:f>IF(AND('계산 과정'!$L$7,O273&lt;&gt;0),('계산 과정'!$L$23-'계산 과정'!$C$49*D273-'계산 과정'!$D$49*E273)/O273,"")</x:f>
        <x:v>11.481849275148514</x:v>
      </x:c>
      <x:c r="Q273" s="4" t="str">
        <x:f>IF(AND(ISNUMBER(P273),P273&gt;1E-9,P273&lt;1-1E-9),'계산 과정'!$C$47*(D273-'계산 과정'!$C$50+P273*('계산 과정'!$C$32-D273))+'계산 과정'!$D$47*(E273-'계산 과정'!$D$50+P273*('계산 과정'!$D$32-E273))+'계산 과정'!$E$47*(0-'계산 과정'!$E$50+P273*('계산 과정'!$E$32-0)),"")</x:f>
      </x:c>
      <x:c r="R273" s="4" t="str">
        <x:f>IF(AND(ISNUMBER(P273),P273&gt;1E-9,P273&lt;1-1E-9),'계산 과정'!$C$48*(D273-'계산 과정'!$C$50+P273*('계산 과정'!$C$32-D273))+'계산 과정'!$D$48*(E273-'계산 과정'!$D$50+P273*('계산 과정'!$D$32-E273))+'계산 과정'!$E$48*(0-'계산 과정'!$E$50+P273*('계산 과정'!$E$32-0)),"")</x:f>
      </x:c>
      <x:c r="S273" s="17" t="n">
        <x:f>IF('계산 과정'!$C$78,IF(AND(ISNUMBER(Q273),ISNUMBER(R273),ABS(Q273-'계산 과정'!$C$88)&lt;='계산 과정'!$D$23/2,ABS(R273-'계산 과정'!$C$89)&lt;='계산 과정'!$D$24/2),1,0),"")</x:f>
        <x:v>0</x:v>
      </x:c>
      <x:c r="T273" s="4"/>
      <x:c r="U273" s="4"/>
      <x:c r="V273" s="4"/>
      <x:c r="W273" s="4" t="n">
        <x:f>IF('계산 과정'!$C$78,'계산 과정'!$C$88+0.040000000000000036*'계산 과정'!$D$23/2,"")</x:f>
        <x:v>39.12340425531903</x:v>
      </x:c>
      <x:c r="X273" s="4" t="str">
        <x:f>""</x:f>
      </x:c>
      <x:c r="Y273" s="4" t="n">
        <x:f>IF('계산 과정'!$C$78,'계산 과정'!$C$89+-1*'계산 과정'!$D$24/2,"")</x:f>
        <x:v>-260</x:v>
      </x:c>
      <x:c r="Z273" s="4" t="str">
        <x:f>""</x:f>
      </x:c>
    </x:row>
    <x:row r="274" ht="23" customHeight="1">
      <x:c r="A274" s="17" t="n">
        <x:f>ROW()-6</x:f>
        <x:v>268</x:v>
      </x:c>
      <x:c r="B274" s="4" t="n">
        <x:f>IF('계산 과정'!$L$5,'계산 과정'!$L$11*SQRT((A274+0.5)/'계산 과정'!$L$30),"")</x:f>
        <x:v>54.31232918557719</x:v>
      </x:c>
      <x:c r="C274" s="4" t="n">
        <x:f>A274*PI()*(3-SQRT(5))</x:f>
        <x:v>643.1901455672789</x:v>
      </x:c>
      <x:c r="D274" s="4" t="n">
        <x:f>IF('계산 과정'!$L$5,B274*COS(C274),"")</x:f>
        <x:v>-36.39890070808462</x:v>
      </x:c>
      <x:c r="E274" s="4" t="n">
        <x:f>IF('계산 과정'!$L$5,B274*SIN(C274),"")</x:f>
        <x:v>40.31065775704357</x:v>
      </x:c>
      <x:c r="F274" s="4" t="n">
        <x:f>IF('계산 과정'!$L$7,'계산 과정'!$L$22+'계산 과정'!$C$49*D274+'계산 과정'!$D$49*E274,"")</x:f>
        <x:v>675.7379095184225</x:v>
      </x:c>
      <x:c r="G274" s="4" t="n">
        <x:f>IF('계산 과정'!$L$7,IF(ABS(F274)&gt;=1E-12*MAX(1,SQRT((D274-'계산 과정'!$C$33)^2+(E274-'계산 과정'!$D$33)^2+'계산 과정'!$E$33^2)),('계산 과정'!$L$23-'계산 과정'!$C$49*D274-'계산 과정'!$D$49*E274)/F274,""),"")</x:f>
        <x:v>0.5538568803225833</x:v>
      </x:c>
      <x:c r="H274" s="4" t="n">
        <x:f>IF(AND(ISNUMBER(G274),G274&gt;0),('계산 과정'!$D$56+'계산 과정'!$D$57*D274+'계산 과정'!$D$58*E274)/F274,"")</x:f>
        <x:v>-39.993027790320966</x:v>
      </x:c>
      <x:c r="I274" s="4" t="n">
        <x:f>IF(AND(ISNUMBER(G274),G274&gt;0),('계산 과정'!$E$56+'계산 과정'!$E$57*D274+'계산 과정'!$E$58*E274)/F274,"")</x:f>
        <x:v>62.63699290611107</x:v>
      </x:c>
      <x:c r="J274" s="4" t="n">
        <x:f>IF('계산 과정'!$L$5,'계산 과정'!$D$6+'계산 과정'!$C$35*D274+'계산 과정'!$D$35*E274,"")</x:f>
        <x:v>675.7379095184225</x:v>
      </x:c>
      <x:c r="K274" s="4" t="n">
        <x:f>IF(AND('계산 과정'!$L$6,J274&gt;0),'계산 과정'!$D$10*('계산 과정'!$C$38*(D274-'계산 과정'!$C$32)+'계산 과정'!$D$38*(E274-'계산 과정'!$D$32)-'계산 과정'!$E$38*'계산 과정'!$E$32)/J274,"")</x:f>
        <x:v>-0.3047087831643491</x:v>
      </x:c>
      <x:c r="L274" s="4" t="n">
        <x:f>IF(AND('계산 과정'!$L$6,J274&gt;0),'계산 과정'!$D$10*('계산 과정'!$C$39*(D274-'계산 과정'!$C$32)+'계산 과정'!$D$39*(E274-'계산 과정'!$D$32)-'계산 과정'!$E$39*'계산 과정'!$E$32)/J274,"")</x:f>
        <x:v>0.47723423166560813</x:v>
      </x:c>
      <x:c r="M274" s="17" t="n">
        <x:f>IF('계산 과정'!$L$6,IF(J274&lt;=0,0,IF(AND(ABS(K274)&lt;='계산 과정'!$D$11/2,ABS(L274)&lt;='계산 과정'!$D$12/2),1,0)),"")</x:f>
        <x:v>1</x:v>
      </x:c>
      <x:c r="N274" s="17" t="n">
        <x:f>IF('계산 과정'!$C$78,IF(AND(ISNUMBER(H274),ISNUMBER(I274),ABS(H274-'계산 과정'!$C$88)&lt;='계산 과정'!$D$23/2,ABS(I274-'계산 과정'!$C$89)&lt;='계산 과정'!$D$24/2),1,0),"")</x:f>
        <x:v>1</x:v>
      </x:c>
      <x:c r="O274" s="4" t="n">
        <x:f>IF('계산 과정'!$L$7,'계산 과정'!$C$49*('계산 과정'!$C$32-D274)+'계산 과정'!$D$49*('계산 과정'!$D$32-E274)+'계산 과정'!$E$49*'계산 과정'!$E$32,"")</x:f>
        <x:v>-25.737909518422327</x:v>
      </x:c>
      <x:c r="P274" s="4" t="n">
        <x:f>IF(AND('계산 과정'!$L$7,O274&lt;&gt;0),('계산 과정'!$L$23-'계산 과정'!$C$49*D274-'계산 과정'!$D$49*E274)/O274,"")</x:f>
        <x:v>-14.541277729401193</x:v>
      </x:c>
      <x:c r="Q274" s="4" t="str">
        <x:f>IF(AND(ISNUMBER(P274),P274&gt;1E-9,P274&lt;1-1E-9),'계산 과정'!$C$47*(D274-'계산 과정'!$C$50+P274*('계산 과정'!$C$32-D274))+'계산 과정'!$D$47*(E274-'계산 과정'!$D$50+P274*('계산 과정'!$D$32-E274))+'계산 과정'!$E$47*(0-'계산 과정'!$E$50+P274*('계산 과정'!$E$32-0)),"")</x:f>
      </x:c>
      <x:c r="R274" s="4" t="str">
        <x:f>IF(AND(ISNUMBER(P274),P274&gt;1E-9,P274&lt;1-1E-9),'계산 과정'!$C$48*(D274-'계산 과정'!$C$50+P274*('계산 과정'!$C$32-D274))+'계산 과정'!$D$48*(E274-'계산 과정'!$D$50+P274*('계산 과정'!$D$32-E274))+'계산 과정'!$E$48*(0-'계산 과정'!$E$50+P274*('계산 과정'!$E$32-0)),"")</x:f>
      </x:c>
      <x:c r="S274" s="17" t="n">
        <x:f>IF('계산 과정'!$C$78,IF(AND(ISNUMBER(Q274),ISNUMBER(R274),ABS(Q274-'계산 과정'!$C$88)&lt;='계산 과정'!$D$23/2,ABS(R274-'계산 과정'!$C$89)&lt;='계산 과정'!$D$24/2),1,0),"")</x:f>
        <x:v>0</x:v>
      </x:c>
      <x:c r="T274" s="4"/>
      <x:c r="U274" s="4"/>
      <x:c r="V274" s="4"/>
      <x:c r="W274" s="4" t="n">
        <x:f>IF('계산 과정'!$C$78,'계산 과정'!$C$88+0.08000000000000007*'계산 과정'!$D$23/2,"")</x:f>
        <x:v>49.52340425531904</x:v>
      </x:c>
      <x:c r="X274" s="4" t="str">
        <x:f>""</x:f>
      </x:c>
      <x:c r="Y274" s="4" t="n">
        <x:f>IF('계산 과정'!$C$78,'계산 과정'!$C$89+-1*'계산 과정'!$D$24/2,"")</x:f>
        <x:v>-260</x:v>
      </x:c>
      <x:c r="Z274" s="4" t="str">
        <x:f>""</x:f>
      </x:c>
    </x:row>
    <x:row r="275" ht="23" customHeight="1">
      <x:c r="A275" s="17" t="n">
        <x:f>ROW()-6</x:f>
        <x:v>269</x:v>
      </x:c>
      <x:c r="B275" s="4" t="n">
        <x:f>IF('계산 과정'!$L$5,'계산 과정'!$L$11*SQRT((A275+0.5)/'계산 과정'!$L$30),"")</x:f>
        <x:v>54.41337546676828</x:v>
      </x:c>
      <x:c r="C275" s="4" t="n">
        <x:f>A275*PI()*(3-SQRT(5))</x:f>
        <x:v>645.5901087970076</x:v>
      </x:c>
      <x:c r="D275" s="4" t="n">
        <x:f>IF('계산 과정'!$L$5,B275*COS(C275),"")</x:f>
        <x:v>-0.3907671509930141</x:v>
      </x:c>
      <x:c r="E275" s="4" t="n">
        <x:f>IF('계산 과정'!$L$5,B275*SIN(C275),"")</x:f>
        <x:v>-54.411972310523765</x:v>
      </x:c>
      <x:c r="F275" s="4" t="n">
        <x:f>IF('계산 과정'!$L$7,'계산 과정'!$L$22+'계산 과정'!$C$49*D275+'계산 과정'!$D$49*E275,"")</x:f>
        <x:v>650.2763141023321</x:v>
      </x:c>
      <x:c r="G275" s="4" t="n">
        <x:f>IF('계산 과정'!$L$7,IF(ABS(F275)&gt;=1E-12*MAX(1,SQRT((D275-'계산 과정'!$C$33)^2+(E275-'계산 과정'!$D$33)^2+'계산 과정'!$E$33^2)),('계산 과정'!$L$23-'계산 과정'!$C$49*D275-'계산 과정'!$D$49*E275)/F275,""),"")</x:f>
        <x:v>0.6146982094057397</x:v>
      </x:c>
      <x:c r="H275" s="4" t="n">
        <x:f>IF(AND(ISNUMBER(G275),G275&gt;0),('계산 과정'!$D$56+'계산 과정'!$D$57*D275+'계산 과정'!$D$58*E275)/F275,"")</x:f>
        <x:v>-0.4461638862693226</x:v>
      </x:c>
      <x:c r="I275" s="4" t="n">
        <x:f>IF(AND(ISNUMBER(G275),G275&gt;0),('계산 과정'!$E$56+'계산 과정'!$E$57*D275+'계산 과정'!$E$58*E275)/F275,"")</x:f>
        <x:v>-87.85891426003742</x:v>
      </x:c>
      <x:c r="J275" s="4" t="n">
        <x:f>IF('계산 과정'!$L$5,'계산 과정'!$D$6+'계산 과정'!$C$35*D275+'계산 과정'!$D$35*E275,"")</x:f>
        <x:v>650.2763141023321</x:v>
      </x:c>
      <x:c r="K275" s="4" t="n">
        <x:f>IF(AND('계산 과정'!$L$6,J275&gt;0),'계산 과정'!$D$10*('계산 과정'!$C$38*(D275-'계산 과정'!$C$32)+'계산 과정'!$D$38*(E275-'계산 과정'!$D$32)-'계산 과정'!$E$38*'계산 과정'!$E$32)/J275,"")</x:f>
        <x:v>-0.0033993438953842793</x:v>
      </x:c>
      <x:c r="L275" s="4" t="n">
        <x:f>IF(AND('계산 과정'!$L$6,J275&gt;0),'계산 과정'!$D$10*('계산 과정'!$C$39*(D275-'계산 과정'!$C$32)+'계산 과정'!$D$39*(E275-'계산 과정'!$D$32)-'계산 과정'!$E$39*'계산 과정'!$E$32)/J275,"")</x:f>
        <x:v>-0.6694012515050469</x:v>
      </x:c>
      <x:c r="M275" s="17" t="n">
        <x:f>IF('계산 과정'!$L$6,IF(J275&lt;=0,0,IF(AND(ABS(K275)&lt;='계산 과정'!$D$11/2,ABS(L275)&lt;='계산 과정'!$D$12/2),1,0)),"")</x:f>
        <x:v>1</x:v>
      </x:c>
      <x:c r="N275" s="17" t="n">
        <x:f>IF('계산 과정'!$C$78,IF(AND(ISNUMBER(H275),ISNUMBER(I275),ABS(H275-'계산 과정'!$C$88)&lt;='계산 과정'!$D$23/2,ABS(I275-'계산 과정'!$C$89)&lt;='계산 과정'!$D$24/2),1,0),"")</x:f>
        <x:v>1</x:v>
      </x:c>
      <x:c r="O275" s="4" t="n">
        <x:f>IF('계산 과정'!$L$7,'계산 과정'!$C$49*('계산 과정'!$C$32-D275)+'계산 과정'!$D$49*('계산 과정'!$D$32-E275)+'계산 과정'!$E$49*'계산 과정'!$E$32,"")</x:f>
        <x:v>-0.27631410233203724</x:v>
      </x:c>
      <x:c r="P275" s="4" t="n">
        <x:f>IF(AND('계산 과정'!$L$7,O275&lt;&gt;0),('계산 과정'!$L$23-'계산 과정'!$C$49*D275-'계산 과정'!$D$49*E275)/O275,"")</x:f>
        <x:v>-1446.6278866119312</x:v>
      </x:c>
      <x:c r="Q275" s="4" t="str">
        <x:f>IF(AND(ISNUMBER(P275),P275&gt;1E-9,P275&lt;1-1E-9),'계산 과정'!$C$47*(D275-'계산 과정'!$C$50+P275*('계산 과정'!$C$32-D275))+'계산 과정'!$D$47*(E275-'계산 과정'!$D$50+P275*('계산 과정'!$D$32-E275))+'계산 과정'!$E$47*(0-'계산 과정'!$E$50+P275*('계산 과정'!$E$32-0)),"")</x:f>
      </x:c>
      <x:c r="R275" s="4" t="str">
        <x:f>IF(AND(ISNUMBER(P275),P275&gt;1E-9,P275&lt;1-1E-9),'계산 과정'!$C$48*(D275-'계산 과정'!$C$50+P275*('계산 과정'!$C$32-D275))+'계산 과정'!$D$48*(E275-'계산 과정'!$D$50+P275*('계산 과정'!$D$32-E275))+'계산 과정'!$E$48*(0-'계산 과정'!$E$50+P275*('계산 과정'!$E$32-0)),"")</x:f>
      </x:c>
      <x:c r="S275" s="17" t="n">
        <x:f>IF('계산 과정'!$C$78,IF(AND(ISNUMBER(Q275),ISNUMBER(R275),ABS(Q275-'계산 과정'!$C$88)&lt;='계산 과정'!$D$23/2,ABS(R275-'계산 과정'!$C$89)&lt;='계산 과정'!$D$24/2),1,0),"")</x:f>
        <x:v>0</x:v>
      </x:c>
      <x:c r="T275" s="4"/>
      <x:c r="U275" s="4"/>
      <x:c r="V275" s="4"/>
      <x:c r="W275" s="4" t="n">
        <x:f>IF('계산 과정'!$C$78,'계산 과정'!$C$88+0.1200000000000001*'계산 과정'!$D$23/2,"")</x:f>
        <x:v>59.923404255319056</x:v>
      </x:c>
      <x:c r="X275" s="4" t="str">
        <x:f>""</x:f>
      </x:c>
      <x:c r="Y275" s="4" t="n">
        <x:f>IF('계산 과정'!$C$78,'계산 과정'!$C$89+-1*'계산 과정'!$D$24/2,"")</x:f>
        <x:v>-260</x:v>
      </x:c>
      <x:c r="Z275" s="4" t="str">
        <x:f>""</x:f>
      </x:c>
    </x:row>
    <x:row r="276" ht="23" customHeight="1">
      <x:c r="A276" s="17" t="n">
        <x:f>ROW()-6</x:f>
        <x:v>270</x:v>
      </x:c>
      <x:c r="B276" s="4" t="n">
        <x:f>IF('계산 과정'!$L$5,'계산 과정'!$L$11*SQRT((A276+0.5)/'계산 과정'!$L$30),"")</x:f>
        <x:v>54.514234451310976</x:v>
      </x:c>
      <x:c r="C276" s="4" t="n">
        <x:f>A276*PI()*(3-SQRT(5))</x:f>
        <x:v>647.9900720267362</x:v>
      </x:c>
      <x:c r="D276" s="4" t="n">
        <x:f>IF('계산 과정'!$L$5,B276*COS(C276),"")</x:f>
        <x:v>37.11156031811866</x:v>
      </x:c>
      <x:c r="E276" s="4" t="n">
        <x:f>IF('계산 과정'!$L$5,B276*SIN(C276),"")</x:f>
        <x:v>39.931614650138314</x:v>
      </x:c>
      <x:c r="F276" s="4" t="n">
        <x:f>IF('계산 과정'!$L$7,'계산 과정'!$L$22+'계산 과정'!$C$49*D276+'계산 과정'!$D$49*E276,"")</x:f>
        <x:v>623.7581640386447</x:v>
      </x:c>
      <x:c r="G276" s="4" t="n">
        <x:f>IF('계산 과정'!$L$7,IF(ABS(F276)&gt;=1E-12*MAX(1,SQRT((D276-'계산 과정'!$C$33)^2+(E276-'계산 과정'!$D$33)^2+'계산 과정'!$E$33^2)),('계산 과정'!$L$23-'계산 과정'!$C$49*D276-'계산 과정'!$D$49*E276)/F276,""),"")</x:f>
        <x:v>0.683344700775648</x:v>
      </x:c>
      <x:c r="H276" s="4" t="n">
        <x:f>IF(AND(ISNUMBER(G276),G276&gt;0),('계산 과정'!$D$56+'계산 과정'!$D$57*D276+'계산 과정'!$D$58*E276)/F276,"")</x:f>
        <x:v>44.174055504171164</x:v>
      </x:c>
      <x:c r="I276" s="4" t="n">
        <x:f>IF(AND(ISNUMBER(G276),G276&gt;0),('계산 과정'!$E$56+'계산 과정'!$E$57*D276+'계산 과정'!$E$58*E276)/F276,"")</x:f>
        <x:v>67.21867191472556</x:v>
      </x:c>
      <x:c r="J276" s="4" t="n">
        <x:f>IF('계산 과정'!$L$5,'계산 과정'!$D$6+'계산 과정'!$C$35*D276+'계산 과정'!$D$35*E276,"")</x:f>
        <x:v>623.7581640386447</x:v>
      </x:c>
      <x:c r="K276" s="4" t="n">
        <x:f>IF(AND('계산 과정'!$L$6,J276&gt;0),'계산 과정'!$D$10*('계산 과정'!$C$38*(D276-'계산 과정'!$C$32)+'계산 과정'!$D$38*(E276-'계산 과정'!$D$32)-'계산 과정'!$E$38*'계산 과정'!$E$32)/J276,"")</x:f>
        <x:v>0.3365642324127338</x:v>
      </x:c>
      <x:c r="L276" s="4" t="n">
        <x:f>IF(AND('계산 과정'!$L$6,J276&gt;0),'계산 과정'!$D$10*('계산 과정'!$C$39*(D276-'계산 과정'!$C$32)+'계산 과정'!$D$39*(E276-'계산 과정'!$D$32)-'계산 과정'!$E$39*'계산 과정'!$E$32)/J276,"")</x:f>
        <x:v>0.5121422622074329</x:v>
      </x:c>
      <x:c r="M276" s="17" t="n">
        <x:f>IF('계산 과정'!$L$6,IF(J276&lt;=0,0,IF(AND(ABS(K276)&lt;='계산 과정'!$D$11/2,ABS(L276)&lt;='계산 과정'!$D$12/2),1,0)),"")</x:f>
        <x:v>1</x:v>
      </x:c>
      <x:c r="N276" s="17" t="n">
        <x:f>IF('계산 과정'!$C$78,IF(AND(ISNUMBER(H276),ISNUMBER(I276),ABS(H276-'계산 과정'!$C$88)&lt;='계산 과정'!$D$23/2,ABS(I276-'계산 과정'!$C$89)&lt;='계산 과정'!$D$24/2),1,0),"")</x:f>
        <x:v>1</x:v>
      </x:c>
      <x:c r="O276" s="4" t="n">
        <x:f>IF('계산 과정'!$L$7,'계산 과정'!$C$49*('계산 과정'!$C$32-D276)+'계산 과정'!$D$49*('계산 과정'!$D$32-E276)+'계산 과정'!$E$49*'계산 과정'!$E$32,"")</x:f>
        <x:v>26.241835961355434</x:v>
      </x:c>
      <x:c r="P276" s="4" t="n">
        <x:f>IF(AND('계산 과정'!$L$7,O276&lt;&gt;0),('계산 과정'!$L$23-'계산 과정'!$C$49*D276-'계산 과정'!$D$49*E276)/O276,"")</x:f>
        <x:v>16.242835927678712</x:v>
      </x:c>
      <x:c r="Q276" s="4" t="str">
        <x:f>IF(AND(ISNUMBER(P276),P276&gt;1E-9,P276&lt;1-1E-9),'계산 과정'!$C$47*(D276-'계산 과정'!$C$50+P276*('계산 과정'!$C$32-D276))+'계산 과정'!$D$47*(E276-'계산 과정'!$D$50+P276*('계산 과정'!$D$32-E276))+'계산 과정'!$E$47*(0-'계산 과정'!$E$50+P276*('계산 과정'!$E$32-0)),"")</x:f>
      </x:c>
      <x:c r="R276" s="4" t="str">
        <x:f>IF(AND(ISNUMBER(P276),P276&gt;1E-9,P276&lt;1-1E-9),'계산 과정'!$C$48*(D276-'계산 과정'!$C$50+P276*('계산 과정'!$C$32-D276))+'계산 과정'!$D$48*(E276-'계산 과정'!$D$50+P276*('계산 과정'!$D$32-E276))+'계산 과정'!$E$48*(0-'계산 과정'!$E$50+P276*('계산 과정'!$E$32-0)),"")</x:f>
      </x:c>
      <x:c r="S276" s="17" t="n">
        <x:f>IF('계산 과정'!$C$78,IF(AND(ISNUMBER(Q276),ISNUMBER(R276),ABS(Q276-'계산 과정'!$C$88)&lt;='계산 과정'!$D$23/2,ABS(R276-'계산 과정'!$C$89)&lt;='계산 과정'!$D$24/2),1,0),"")</x:f>
        <x:v>0</x:v>
      </x:c>
      <x:c r="T276" s="4"/>
      <x:c r="U276" s="4"/>
      <x:c r="V276" s="4"/>
      <x:c r="W276" s="4" t="n">
        <x:f>IF('계산 과정'!$C$78,'계산 과정'!$C$88+0.15999999999999992*'계산 과정'!$D$23/2,"")</x:f>
        <x:v>70.323404255319</x:v>
      </x:c>
      <x:c r="X276" s="4" t="str">
        <x:f>""</x:f>
      </x:c>
      <x:c r="Y276" s="4" t="n">
        <x:f>IF('계산 과정'!$C$78,'계산 과정'!$C$89+-1*'계산 과정'!$D$24/2,"")</x:f>
        <x:v>-260</x:v>
      </x:c>
      <x:c r="Z276" s="4" t="str">
        <x:f>""</x:f>
      </x:c>
    </x:row>
    <x:row r="277" ht="23" customHeight="1">
      <x:c r="A277" s="17" t="n">
        <x:f>ROW()-6</x:f>
        <x:v>271</x:v>
      </x:c>
      <x:c r="B277" s="4" t="n">
        <x:f>IF('계산 과정'!$L$5,'계산 과정'!$L$11*SQRT((A277+0.5)/'계산 과정'!$L$30),"")</x:f>
        <x:v>54.61490717686427</x:v>
      </x:c>
      <x:c r="C277" s="4" t="n">
        <x:f>A277*PI()*(3-SQRT(5))</x:f>
        <x:v>650.3900352564649</x:v>
      </x:c>
      <x:c r="D277" s="4" t="n">
        <x:f>IF('계산 과정'!$L$5,B277*COS(C277),"")</x:f>
        <x:v>-54.43867560031148</x:v>
      </x:c>
      <x:c r="E277" s="4" t="n">
        <x:f>IF('계산 과정'!$L$5,B277*SIN(C277),"")</x:f>
        <x:v>-4.383912045371321</x:v>
      </x:c>
      <x:c r="F277" s="4" t="n">
        <x:f>IF('계산 과정'!$L$7,'계산 과정'!$L$22+'계산 과정'!$C$49*D277+'계산 과정'!$D$49*E277,"")</x:f>
        <x:v>688.4939566757948</x:v>
      </x:c>
      <x:c r="G277" s="4" t="n">
        <x:f>IF('계산 과정'!$L$7,IF(ABS(F277)&gt;=1E-12*MAX(1,SQRT((D277-'계산 과정'!$C$33)^2+(E277-'계산 과정'!$D$33)^2+'계산 과정'!$E$33^2)),('계산 과정'!$L$23-'계산 과정'!$C$49*D277-'계산 과정'!$D$49*E277)/F277,""),"")</x:f>
        <x:v>0.5250678525482466</x:v>
      </x:c>
      <x:c r="H277" s="4" t="n">
        <x:f>IF(AND(ISNUMBER(G277),G277&gt;0),('계산 과정'!$D$56+'계산 과정'!$D$57*D277+'계산 과정'!$D$58*E277)/F277,"")</x:f>
        <x:v>-58.70589584363988</x:v>
      </x:c>
      <x:c r="I277" s="4" t="n">
        <x:f>IF(AND(ISNUMBER(G277),G277&gt;0),('계산 과정'!$E$56+'계산 과정'!$E$57*D277+'계산 과정'!$E$58*E277)/F277,"")</x:f>
        <x:v>-6.685763328794833</x:v>
      </x:c>
      <x:c r="J277" s="4" t="n">
        <x:f>IF('계산 과정'!$L$5,'계산 과정'!$D$6+'계산 과정'!$C$35*D277+'계산 과정'!$D$35*E277,"")</x:f>
        <x:v>688.4939566757948</x:v>
      </x:c>
      <x:c r="K277" s="4" t="n">
        <x:f>IF(AND('계산 과정'!$L$6,J277&gt;0),'계산 과정'!$D$10*('계산 과정'!$C$38*(D277-'계산 과정'!$C$32)+'계산 과정'!$D$38*(E277-'계산 과정'!$D$32)-'계산 과정'!$E$38*'계산 과정'!$E$32)/J277,"")</x:f>
        <x:v>-0.447283015951541</x:v>
      </x:c>
      <x:c r="L277" s="4" t="n">
        <x:f>IF(AND('계산 과정'!$L$6,J277&gt;0),'계산 과정'!$D$10*('계산 과정'!$C$39*(D277-'계산 과정'!$C$32)+'계산 과정'!$D$39*(E277-'계산 과정'!$D$32)-'계산 과정'!$E$39*'계산 과정'!$E$32)/J277,"")</x:f>
        <x:v>-0.05093914917177016</x:v>
      </x:c>
      <x:c r="M277" s="17" t="n">
        <x:f>IF('계산 과정'!$L$6,IF(J277&lt;=0,0,IF(AND(ABS(K277)&lt;='계산 과정'!$D$11/2,ABS(L277)&lt;='계산 과정'!$D$12/2),1,0)),"")</x:f>
        <x:v>1</x:v>
      </x:c>
      <x:c r="N277" s="17" t="n">
        <x:f>IF('계산 과정'!$C$78,IF(AND(ISNUMBER(H277),ISNUMBER(I277),ABS(H277-'계산 과정'!$C$88)&lt;='계산 과정'!$D$23/2,ABS(I277-'계산 과정'!$C$89)&lt;='계산 과정'!$D$24/2),1,0),"")</x:f>
        <x:v>1</x:v>
      </x:c>
      <x:c r="O277" s="4" t="n">
        <x:f>IF('계산 과정'!$L$7,'계산 과정'!$C$49*('계산 과정'!$C$32-D277)+'계산 과정'!$D$49*('계산 과정'!$D$32-E277)+'계산 과정'!$E$49*'계산 과정'!$E$32,"")</x:f>
        <x:v>-38.49395667579478</x:v>
      </x:c>
      <x:c r="P277" s="4" t="n">
        <x:f>IF(AND('계산 과정'!$L$7,O277&lt;&gt;0),('계산 과정'!$L$23-'계산 과정'!$C$49*D277-'계산 과정'!$D$49*E277)/O277,"")</x:f>
        <x:v>-9.391241497175638</x:v>
      </x:c>
      <x:c r="Q277" s="4" t="str">
        <x:f>IF(AND(ISNUMBER(P277),P277&gt;1E-9,P277&lt;1-1E-9),'계산 과정'!$C$47*(D277-'계산 과정'!$C$50+P277*('계산 과정'!$C$32-D277))+'계산 과정'!$D$47*(E277-'계산 과정'!$D$50+P277*('계산 과정'!$D$32-E277))+'계산 과정'!$E$47*(0-'계산 과정'!$E$50+P277*('계산 과정'!$E$32-0)),"")</x:f>
      </x:c>
      <x:c r="R277" s="4" t="str">
        <x:f>IF(AND(ISNUMBER(P277),P277&gt;1E-9,P277&lt;1-1E-9),'계산 과정'!$C$48*(D277-'계산 과정'!$C$50+P277*('계산 과정'!$C$32-D277))+'계산 과정'!$D$48*(E277-'계산 과정'!$D$50+P277*('계산 과정'!$D$32-E277))+'계산 과정'!$E$48*(0-'계산 과정'!$E$50+P277*('계산 과정'!$E$32-0)),"")</x:f>
      </x:c>
      <x:c r="S277" s="17" t="n">
        <x:f>IF('계산 과정'!$C$78,IF(AND(ISNUMBER(Q277),ISNUMBER(R277),ABS(Q277-'계산 과정'!$C$88)&lt;='계산 과정'!$D$23/2,ABS(R277-'계산 과정'!$C$89)&lt;='계산 과정'!$D$24/2),1,0),"")</x:f>
        <x:v>0</x:v>
      </x:c>
      <x:c r="T277" s="4"/>
      <x:c r="U277" s="4"/>
      <x:c r="V277" s="4"/>
      <x:c r="W277" s="4" t="n">
        <x:f>IF('계산 과정'!$C$78,'계산 과정'!$C$88+0.19999999999999996*'계산 과정'!$D$23/2,"")</x:f>
        <x:v>80.72340425531901</x:v>
      </x:c>
      <x:c r="X277" s="4" t="str">
        <x:f>""</x:f>
      </x:c>
      <x:c r="Y277" s="4" t="n">
        <x:f>IF('계산 과정'!$C$78,'계산 과정'!$C$89+-1*'계산 과정'!$D$24/2,"")</x:f>
        <x:v>-260</x:v>
      </x:c>
      <x:c r="Z277" s="4" t="str">
        <x:f>""</x:f>
      </x:c>
    </x:row>
    <x:row r="278" ht="23" customHeight="1">
      <x:c r="A278" s="17" t="n">
        <x:f>ROW()-6</x:f>
        <x:v>272</x:v>
      </x:c>
      <x:c r="B278" s="4" t="n">
        <x:f>IF('계산 과정'!$L$5,'계산 과정'!$L$11*SQRT((A278+0.5)/'계산 과정'!$L$30),"")</x:f>
        <x:v>54.71539467154103</x:v>
      </x:c>
      <x:c r="C278" s="4" t="n">
        <x:f>A278*PI()*(3-SQRT(5))</x:f>
        <x:v>652.7899984861937</x:v>
      </x:c>
      <x:c r="D278" s="4" t="n">
        <x:f>IF('계산 과정'!$L$5,B278*COS(C278),"")</x:f>
        <x:v>43.1819810061949</x:v>
      </x:c>
      <x:c r="E278" s="4" t="n">
        <x:f>IF('계산 과정'!$L$5,B278*SIN(C278),"")</x:f>
        <x:v>-33.60194831320236</x:v>
      </x:c>
      <x:c r="F278" s="4" t="n">
        <x:f>IF('계산 과정'!$L$7,'계산 과정'!$L$22+'계산 과정'!$C$49*D278+'계산 과정'!$D$49*E278,"")</x:f>
        <x:v>619.4657284054509</x:v>
      </x:c>
      <x:c r="G278" s="4" t="n">
        <x:f>IF('계산 과정'!$L$7,IF(ABS(F278)&gt;=1E-12*MAX(1,SQRT((D278-'계산 과정'!$C$33)^2+(E278-'계산 과정'!$D$33)^2+'계산 과정'!$E$33^2)),('계산 과정'!$L$23-'계산 과정'!$C$49*D278-'계산 과정'!$D$49*E278)/F278,""),"")</x:f>
        <x:v>0.6950090244746471</x:v>
      </x:c>
      <x:c r="H278" s="4" t="n">
        <x:f>IF(AND(ISNUMBER(G278),G278&gt;0),('계산 과정'!$D$56+'계산 과정'!$D$57*D278+'계산 과정'!$D$58*E278)/F278,"")</x:f>
        <x:v>51.755865908520505</x:v>
      </x:c>
      <x:c r="I278" s="4" t="n">
        <x:f>IF(AND(ISNUMBER(G278),G278&gt;0),('계산 과정'!$E$56+'계산 과정'!$E$57*D278+'계산 과정'!$E$58*E278)/F278,"")</x:f>
        <x:v>-56.955605630808634</x:v>
      </x:c>
      <x:c r="J278" s="4" t="n">
        <x:f>IF('계산 과정'!$L$5,'계산 과정'!$D$6+'계산 과정'!$C$35*D278+'계산 과정'!$D$35*E278,"")</x:f>
        <x:v>619.4657284054509</x:v>
      </x:c>
      <x:c r="K278" s="4" t="n">
        <x:f>IF(AND('계산 과정'!$L$6,J278&gt;0),'계산 과정'!$D$10*('계산 과정'!$C$38*(D278-'계산 과정'!$C$32)+'계산 과정'!$D$38*(E278-'계산 과정'!$D$32)-'계산 과정'!$E$38*'계산 과정'!$E$32)/J278,"")</x:f>
        <x:v>0.394330406922062</x:v>
      </x:c>
      <x:c r="L278" s="4" t="n">
        <x:f>IF(AND('계산 과정'!$L$6,J278&gt;0),'계산 과정'!$D$10*('계산 과정'!$C$39*(D278-'계산 과정'!$C$32)+'계산 과정'!$D$39*(E278-'계산 과정'!$D$32)-'계산 과정'!$E$39*'계산 과정'!$E$32)/J278,"")</x:f>
        <x:v>-0.4339474714728277</x:v>
      </x:c>
      <x:c r="M278" s="17" t="n">
        <x:f>IF('계산 과정'!$L$6,IF(J278&lt;=0,0,IF(AND(ABS(K278)&lt;='계산 과정'!$D$11/2,ABS(L278)&lt;='계산 과정'!$D$12/2),1,0)),"")</x:f>
        <x:v>1</x:v>
      </x:c>
      <x:c r="N278" s="17" t="n">
        <x:f>IF('계산 과정'!$C$78,IF(AND(ISNUMBER(H278),ISNUMBER(I278),ABS(H278-'계산 과정'!$C$88)&lt;='계산 과정'!$D$23/2,ABS(I278-'계산 과정'!$C$89)&lt;='계산 과정'!$D$24/2),1,0),"")</x:f>
        <x:v>1</x:v>
      </x:c>
      <x:c r="O278" s="4" t="n">
        <x:f>IF('계산 과정'!$L$7,'계산 과정'!$C$49*('계산 과정'!$C$32-D278)+'계산 과정'!$D$49*('계산 과정'!$D$32-E278)+'계산 과정'!$E$49*'계산 과정'!$E$32,"")</x:f>
        <x:v>30.53427159454924</x:v>
      </x:c>
      <x:c r="P278" s="4" t="n">
        <x:f>IF(AND('계산 과정'!$L$7,O278&lt;&gt;0),('계산 과정'!$L$23-'계산 과정'!$C$49*D278-'계산 과정'!$D$49*E278)/O278,"")</x:f>
        <x:v>14.100034129237425</x:v>
      </x:c>
      <x:c r="Q278" s="4" t="str">
        <x:f>IF(AND(ISNUMBER(P278),P278&gt;1E-9,P278&lt;1-1E-9),'계산 과정'!$C$47*(D278-'계산 과정'!$C$50+P278*('계산 과정'!$C$32-D278))+'계산 과정'!$D$47*(E278-'계산 과정'!$D$50+P278*('계산 과정'!$D$32-E278))+'계산 과정'!$E$47*(0-'계산 과정'!$E$50+P278*('계산 과정'!$E$32-0)),"")</x:f>
      </x:c>
      <x:c r="R278" s="4" t="str">
        <x:f>IF(AND(ISNUMBER(P278),P278&gt;1E-9,P278&lt;1-1E-9),'계산 과정'!$C$48*(D278-'계산 과정'!$C$50+P278*('계산 과정'!$C$32-D278))+'계산 과정'!$D$48*(E278-'계산 과정'!$D$50+P278*('계산 과정'!$D$32-E278))+'계산 과정'!$E$48*(0-'계산 과정'!$E$50+P278*('계산 과정'!$E$32-0)),"")</x:f>
      </x:c>
      <x:c r="S278" s="17" t="n">
        <x:f>IF('계산 과정'!$C$78,IF(AND(ISNUMBER(Q278),ISNUMBER(R278),ABS(Q278-'계산 과정'!$C$88)&lt;='계산 과정'!$D$23/2,ABS(R278-'계산 과정'!$C$89)&lt;='계산 과정'!$D$24/2),1,0),"")</x:f>
        <x:v>0</x:v>
      </x:c>
      <x:c r="T278" s="4"/>
      <x:c r="U278" s="4"/>
      <x:c r="V278" s="4"/>
      <x:c r="W278" s="4" t="n">
        <x:f>IF('계산 과정'!$C$78,'계산 과정'!$C$88+0.24*'계산 과정'!$D$23/2,"")</x:f>
        <x:v>91.12340425531903</x:v>
      </x:c>
      <x:c r="X278" s="4" t="str">
        <x:f>""</x:f>
      </x:c>
      <x:c r="Y278" s="4" t="n">
        <x:f>IF('계산 과정'!$C$78,'계산 과정'!$C$89+-1*'계산 과정'!$D$24/2,"")</x:f>
        <x:v>-260</x:v>
      </x:c>
      <x:c r="Z278" s="4" t="str">
        <x:f>""</x:f>
      </x:c>
    </x:row>
    <x:row r="279" ht="23" customHeight="1">
      <x:c r="A279" s="17" t="n">
        <x:f>ROW()-6</x:f>
        <x:v>273</x:v>
      </x:c>
      <x:c r="B279" s="4" t="n">
        <x:f>IF('계산 과정'!$L$5,'계산 과정'!$L$11*SQRT((A279+0.5)/'계산 과정'!$L$30),"")</x:f>
        <x:v>54.81569795403047</x:v>
      </x:c>
      <x:c r="C279" s="4" t="n">
        <x:f>A279*PI()*(3-SQRT(5))</x:f>
        <x:v>655.1899617159223</x:v>
      </x:c>
      <x:c r="D279" s="4" t="n">
        <x:f>IF('계산 과정'!$L$5,B279*COS(C279),"")</x:f>
        <x:v>-9.160020192569096</x:v>
      </x:c>
      <x:c r="E279" s="4" t="n">
        <x:f>IF('계산 과정'!$L$5,B279*SIN(C279),"")</x:f>
        <x:v>54.04493290086709</x:v>
      </x:c>
      <x:c r="F279" s="4" t="n">
        <x:f>IF('계산 과정'!$L$7,'계산 과정'!$L$22+'계산 과정'!$C$49*D279+'계산 과정'!$D$49*E279,"")</x:f>
        <x:v>656.4771123939713</x:v>
      </x:c>
      <x:c r="G279" s="4" t="n">
        <x:f>IF('계산 과정'!$L$7,IF(ABS(F279)&gt;=1E-12*MAX(1,SQRT((D279-'계산 과정'!$C$33)^2+(E279-'계산 과정'!$D$33)^2+'계산 과정'!$E$33^2)),('계산 과정'!$L$23-'계산 과정'!$C$49*D279-'계산 과정'!$D$49*E279)/F279,""),"")</x:f>
        <x:v>0.599446469917239</x:v>
      </x:c>
      <x:c r="H279" s="4" t="n">
        <x:f>IF(AND(ISNUMBER(G279),G279&gt;0),('계산 과정'!$D$56+'계산 과정'!$D$57*D279+'계산 과정'!$D$58*E279)/F279,"")</x:f>
        <x:v>-10.359794553794728</x:v>
      </x:c>
      <x:c r="I279" s="4" t="n">
        <x:f>IF(AND(ISNUMBER(G279),G279&gt;0),('계산 과정'!$E$56+'계산 과정'!$E$57*D279+'계산 과정'!$E$58*E279)/F279,"")</x:f>
        <x:v>86.44197714520591</x:v>
      </x:c>
      <x:c r="J279" s="4" t="n">
        <x:f>IF('계산 과정'!$L$5,'계산 과정'!$D$6+'계산 과정'!$C$35*D279+'계산 과정'!$D$35*E279,"")</x:f>
        <x:v>656.4771123939713</x:v>
      </x:c>
      <x:c r="K279" s="4" t="n">
        <x:f>IF(AND('계산 과정'!$L$6,J279&gt;0),'계산 과정'!$D$10*('계산 과정'!$C$38*(D279-'계산 과정'!$C$32)+'계산 과정'!$D$38*(E279-'계산 과정'!$D$32)-'계산 과정'!$E$38*'계산 과정'!$E$32)/J279,"")</x:f>
        <x:v>-0.07893176802891132</x:v>
      </x:c>
      <x:c r="L279" s="4" t="n">
        <x:f>IF(AND('계산 과정'!$L$6,J279&gt;0),'계산 과정'!$D$10*('계산 과정'!$C$39*(D279-'계산 과정'!$C$32)+'계산 과정'!$D$39*(E279-'계산 과정'!$D$32)-'계산 과정'!$E$39*'계산 과정'!$E$32)/J279,"")</x:f>
        <x:v>0.6586055401539498</x:v>
      </x:c>
      <x:c r="M279" s="17" t="n">
        <x:f>IF('계산 과정'!$L$6,IF(J279&lt;=0,0,IF(AND(ABS(K279)&lt;='계산 과정'!$D$11/2,ABS(L279)&lt;='계산 과정'!$D$12/2),1,0)),"")</x:f>
        <x:v>1</x:v>
      </x:c>
      <x:c r="N279" s="17" t="n">
        <x:f>IF('계산 과정'!$C$78,IF(AND(ISNUMBER(H279),ISNUMBER(I279),ABS(H279-'계산 과정'!$C$88)&lt;='계산 과정'!$D$23/2,ABS(I279-'계산 과정'!$C$89)&lt;='계산 과정'!$D$24/2),1,0),"")</x:f>
        <x:v>1</x:v>
      </x:c>
      <x:c r="O279" s="4" t="n">
        <x:f>IF('계산 과정'!$L$7,'계산 과정'!$C$49*('계산 과정'!$C$32-D279)+'계산 과정'!$D$49*('계산 과정'!$D$32-E279)+'계산 과정'!$E$49*'계산 과정'!$E$32,"")</x:f>
        <x:v>-6.477112393971197</x:v>
      </x:c>
      <x:c r="P279" s="4" t="n">
        <x:f>IF(AND('계산 과정'!$L$7,O279&lt;&gt;0),('계산 과정'!$L$23-'계산 과정'!$C$49*D279-'계산 과정'!$D$49*E279)/O279,"")</x:f>
        <x:v>-60.75591462212608</x:v>
      </x:c>
      <x:c r="Q279" s="4" t="str">
        <x:f>IF(AND(ISNUMBER(P279),P279&gt;1E-9,P279&lt;1-1E-9),'계산 과정'!$C$47*(D279-'계산 과정'!$C$50+P279*('계산 과정'!$C$32-D279))+'계산 과정'!$D$47*(E279-'계산 과정'!$D$50+P279*('계산 과정'!$D$32-E279))+'계산 과정'!$E$47*(0-'계산 과정'!$E$50+P279*('계산 과정'!$E$32-0)),"")</x:f>
      </x:c>
      <x:c r="R279" s="4" t="str">
        <x:f>IF(AND(ISNUMBER(P279),P279&gt;1E-9,P279&lt;1-1E-9),'계산 과정'!$C$48*(D279-'계산 과정'!$C$50+P279*('계산 과정'!$C$32-D279))+'계산 과정'!$D$48*(E279-'계산 과정'!$D$50+P279*('계산 과정'!$D$32-E279))+'계산 과정'!$E$48*(0-'계산 과정'!$E$50+P279*('계산 과정'!$E$32-0)),"")</x:f>
      </x:c>
      <x:c r="S279" s="17" t="n">
        <x:f>IF('계산 과정'!$C$78,IF(AND(ISNUMBER(Q279),ISNUMBER(R279),ABS(Q279-'계산 과정'!$C$88)&lt;='계산 과정'!$D$23/2,ABS(R279-'계산 과정'!$C$89)&lt;='계산 과정'!$D$24/2),1,0),"")</x:f>
        <x:v>0</x:v>
      </x:c>
      <x:c r="T279" s="4"/>
      <x:c r="U279" s="4"/>
      <x:c r="V279" s="4"/>
      <x:c r="W279" s="4" t="n">
        <x:f>IF('계산 과정'!$C$78,'계산 과정'!$C$88+0.28*'계산 과정'!$D$23/2,"")</x:f>
        <x:v>101.52340425531904</x:v>
      </x:c>
      <x:c r="X279" s="4" t="str">
        <x:f>""</x:f>
      </x:c>
      <x:c r="Y279" s="4" t="n">
        <x:f>IF('계산 과정'!$C$78,'계산 과정'!$C$89+-1*'계산 과정'!$D$24/2,"")</x:f>
        <x:v>-260</x:v>
      </x:c>
      <x:c r="Z279" s="4" t="str">
        <x:f>""</x:f>
      </x:c>
    </x:row>
    <x:row r="280" ht="23" customHeight="1">
      <x:c r="A280" s="17" t="n">
        <x:f>ROW()-6</x:f>
        <x:v>274</x:v>
      </x:c>
      <x:c r="B280" s="4" t="n">
        <x:f>IF('계산 과정'!$L$5,'계산 과정'!$L$11*SQRT((A280+0.5)/'계산 과정'!$L$30),"")</x:f>
        <x:v>54.91581803371866</x:v>
      </x:c>
      <x:c r="C280" s="4" t="n">
        <x:f>A280*PI()*(3-SQRT(5))</x:f>
        <x:v>657.5899249456509</x:v>
      </x:c>
      <x:c r="D280" s="4" t="n">
        <x:f>IF('계산 과정'!$L$5,B280*COS(C280),"")</x:f>
        <x:v>-29.806856352255785</x:v>
      </x:c>
      <x:c r="E280" s="4" t="n">
        <x:f>IF('계산 과정'!$L$5,B280*SIN(C280),"")</x:f>
        <x:v>-46.122645031573036</x:v>
      </x:c>
      <x:c r="F280" s="4" t="n">
        <x:f>IF('계산 과정'!$L$7,'계산 과정'!$L$22+'계산 과정'!$C$49*D280+'계산 과정'!$D$49*E280,"")</x:f>
        <x:v>671.0766302525334</x:v>
      </x:c>
      <x:c r="G280" s="4" t="n">
        <x:f>IF('계산 과정'!$L$7,IF(ABS(F280)&gt;=1E-12*MAX(1,SQRT((D280-'계산 과정'!$C$33)^2+(E280-'계산 과정'!$D$33)^2+'계산 과정'!$E$33^2)),('계산 과정'!$L$23-'계산 과정'!$C$49*D280-'계산 과정'!$D$49*E280)/F280,""),"")</x:f>
        <x:v>0.5646499262012352</x:v>
      </x:c>
      <x:c r="H280" s="4" t="n">
        <x:f>IF(AND(ISNUMBER(G280),G280&gt;0),('계산 과정'!$D$56+'계산 과정'!$D$57*D280+'계산 과정'!$D$58*E280)/F280,"")</x:f>
        <x:v>-32.9775479691972</x:v>
      </x:c>
      <x:c r="I280" s="4" t="n">
        <x:f>IF(AND(ISNUMBER(G280),G280&gt;0),('계산 과정'!$E$56+'계산 과정'!$E$57*D280+'계산 과정'!$E$58*E280)/F280,"")</x:f>
        <x:v>-72.16579314485652</x:v>
      </x:c>
      <x:c r="J280" s="4" t="n">
        <x:f>IF('계산 과정'!$L$5,'계산 과정'!$D$6+'계산 과정'!$C$35*D280+'계산 과정'!$D$35*E280,"")</x:f>
        <x:v>671.0766302525334</x:v>
      </x:c>
      <x:c r="K280" s="4" t="n">
        <x:f>IF(AND('계산 과정'!$L$6,J280&gt;0),'계산 과정'!$D$10*('계산 과정'!$C$38*(D280-'계산 과정'!$C$32)+'계산 과정'!$D$38*(E280-'계산 과정'!$D$32)-'계산 과정'!$E$38*'계산 과정'!$E$32)/J280,"")</x:f>
        <x:v>-0.25125750833673977</x:v>
      </x:c>
      <x:c r="L280" s="4" t="n">
        <x:f>IF(AND('계산 과정'!$L$6,J280&gt;0),'계산 과정'!$D$10*('계산 과정'!$C$39*(D280-'계산 과정'!$C$32)+'계산 과정'!$D$39*(E280-'계산 과정'!$D$32)-'계산 과정'!$E$39*'계산 과정'!$E$32)/J280,"")</x:f>
        <x:v>-0.5498346144370021</x:v>
      </x:c>
      <x:c r="M280" s="17" t="n">
        <x:f>IF('계산 과정'!$L$6,IF(J280&lt;=0,0,IF(AND(ABS(K280)&lt;='계산 과정'!$D$11/2,ABS(L280)&lt;='계산 과정'!$D$12/2),1,0)),"")</x:f>
        <x:v>1</x:v>
      </x:c>
      <x:c r="N280" s="17" t="n">
        <x:f>IF('계산 과정'!$C$78,IF(AND(ISNUMBER(H280),ISNUMBER(I280),ABS(H280-'계산 과정'!$C$88)&lt;='계산 과정'!$D$23/2,ABS(I280-'계산 과정'!$C$89)&lt;='계산 과정'!$D$24/2),1,0),"")</x:f>
        <x:v>1</x:v>
      </x:c>
      <x:c r="O280" s="4" t="n">
        <x:f>IF('계산 과정'!$L$7,'계산 과정'!$C$49*('계산 과정'!$C$32-D280)+'계산 과정'!$D$49*('계산 과정'!$D$32-E280)+'계산 과정'!$E$49*'계산 과정'!$E$32,"")</x:f>
        <x:v>-21.076630252533278</x:v>
      </x:c>
      <x:c r="P280" s="4" t="n">
        <x:f>IF(AND('계산 과정'!$L$7,O280&lt;&gt;0),('계산 과정'!$L$23-'계산 과정'!$C$49*D280-'계산 과정'!$D$49*E280)/O280,"")</x:f>
        <x:v>-17.978365858646804</x:v>
      </x:c>
      <x:c r="Q280" s="4" t="str">
        <x:f>IF(AND(ISNUMBER(P280),P280&gt;1E-9,P280&lt;1-1E-9),'계산 과정'!$C$47*(D280-'계산 과정'!$C$50+P280*('계산 과정'!$C$32-D280))+'계산 과정'!$D$47*(E280-'계산 과정'!$D$50+P280*('계산 과정'!$D$32-E280))+'계산 과정'!$E$47*(0-'계산 과정'!$E$50+P280*('계산 과정'!$E$32-0)),"")</x:f>
      </x:c>
      <x:c r="R280" s="4" t="str">
        <x:f>IF(AND(ISNUMBER(P280),P280&gt;1E-9,P280&lt;1-1E-9),'계산 과정'!$C$48*(D280-'계산 과정'!$C$50+P280*('계산 과정'!$C$32-D280))+'계산 과정'!$D$48*(E280-'계산 과정'!$D$50+P280*('계산 과정'!$D$32-E280))+'계산 과정'!$E$48*(0-'계산 과정'!$E$50+P280*('계산 과정'!$E$32-0)),"")</x:f>
      </x:c>
      <x:c r="S280" s="17" t="n">
        <x:f>IF('계산 과정'!$C$78,IF(AND(ISNUMBER(Q280),ISNUMBER(R280),ABS(Q280-'계산 과정'!$C$88)&lt;='계산 과정'!$D$23/2,ABS(R280-'계산 과정'!$C$89)&lt;='계산 과정'!$D$24/2),1,0),"")</x:f>
        <x:v>0</x:v>
      </x:c>
      <x:c r="T280" s="4"/>
      <x:c r="U280" s="4"/>
      <x:c r="V280" s="4"/>
      <x:c r="W280" s="4" t="n">
        <x:f>IF('계산 과정'!$C$78,'계산 과정'!$C$88+0.32000000000000006*'계산 과정'!$D$23/2,"")</x:f>
        <x:v>111.92340425531904</x:v>
      </x:c>
      <x:c r="X280" s="4" t="str">
        <x:f>""</x:f>
      </x:c>
      <x:c r="Y280" s="4" t="n">
        <x:f>IF('계산 과정'!$C$78,'계산 과정'!$C$89+-1*'계산 과정'!$D$24/2,"")</x:f>
        <x:v>-260</x:v>
      </x:c>
      <x:c r="Z280" s="4" t="str">
        <x:f>""</x:f>
      </x:c>
    </x:row>
    <x:row r="281" ht="23" customHeight="1">
      <x:c r="A281" s="17" t="n">
        <x:f>ROW()-6</x:f>
        <x:v>275</x:v>
      </x:c>
      <x:c r="B281" s="4" t="n">
        <x:f>IF('계산 과정'!$L$5,'계산 과정'!$L$11*SQRT((A281+0.5)/'계산 과정'!$L$30),"")</x:f>
        <x:v>55.015755910807044</x:v>
      </x:c>
      <x:c r="C281" s="4" t="n">
        <x:f>A281*PI()*(3-SQRT(5))</x:f>
        <x:v>659.9898881753795</x:v>
      </x:c>
      <x:c r="D281" s="4" t="n">
        <x:f>IF('계산 과정'!$L$5,B281*COS(C281),"")</x:f>
        <x:v>53.230742635485555</x:v>
      </x:c>
      <x:c r="E281" s="4" t="n">
        <x:f>IF('계산 과정'!$L$5,B281*SIN(C281),"")</x:f>
        <x:v>13.900411393631506</x:v>
      </x:c>
      <x:c r="F281" s="4" t="n">
        <x:f>IF('계산 과정'!$L$7,'계산 과정'!$L$22+'계산 과정'!$C$49*D281+'계산 과정'!$D$49*E281,"")</x:f>
        <x:v>612.3601809148523</x:v>
      </x:c>
      <x:c r="G281" s="4" t="n">
        <x:f>IF('계산 과정'!$L$7,IF(ABS(F281)&gt;=1E-12*MAX(1,SQRT((D281-'계산 과정'!$C$33)^2+(E281-'계산 과정'!$D$33)^2+'계산 과정'!$E$33^2)),('계산 과정'!$L$23-'계산 과정'!$C$49*D281-'계산 과정'!$D$49*E281)/F281,""),"")</x:f>
        <x:v>0.7146771340215552</x:v>
      </x:c>
      <x:c r="H281" s="4" t="n">
        <x:f>IF(AND(ISNUMBER(G281),G281&gt;0),('계산 과정'!$D$56+'계산 과정'!$D$57*D281+'계산 과정'!$D$58*E281)/F281,"")</x:f>
        <x:v>64.5401371140108</x:v>
      </x:c>
      <x:c r="I281" s="4" t="n">
        <x:f>IF(AND(ISNUMBER(G281),G281&gt;0),('계산 과정'!$E$56+'계산 과정'!$E$57*D281+'계산 과정'!$E$58*E281)/F281,"")</x:f>
        <x:v>23.834717570152645</x:v>
      </x:c>
      <x:c r="J281" s="4" t="n">
        <x:f>IF('계산 과정'!$L$5,'계산 과정'!$D$6+'계산 과정'!$C$35*D281+'계산 과정'!$D$35*E281,"")</x:f>
        <x:v>612.3601809148523</x:v>
      </x:c>
      <x:c r="K281" s="4" t="n">
        <x:f>IF(AND('계산 과정'!$L$6,J281&gt;0),'계산 과정'!$D$10*('계산 과정'!$C$38*(D281-'계산 과정'!$C$32)+'계산 과정'!$D$38*(E281-'계산 과정'!$D$32)-'계산 과정'!$E$38*'계산 과정'!$E$32)/J281,"")</x:f>
        <x:v>0.49173437801151204</x:v>
      </x:c>
      <x:c r="L281" s="4" t="n">
        <x:f>IF(AND('계산 과정'!$L$6,J281&gt;0),'계산 과정'!$D$10*('계산 과정'!$C$39*(D281-'계산 과정'!$C$32)+'계산 과정'!$D$39*(E281-'계산 과정'!$D$32)-'계산 과정'!$E$39*'계산 과정'!$E$32)/J281,"")</x:f>
        <x:v>0.18159784815354393</x:v>
      </x:c>
      <x:c r="M281" s="17" t="n">
        <x:f>IF('계산 과정'!$L$6,IF(J281&lt;=0,0,IF(AND(ABS(K281)&lt;='계산 과정'!$D$11/2,ABS(L281)&lt;='계산 과정'!$D$12/2),1,0)),"")</x:f>
        <x:v>1</x:v>
      </x:c>
      <x:c r="N281" s="17" t="n">
        <x:f>IF('계산 과정'!$C$78,IF(AND(ISNUMBER(H281),ISNUMBER(I281),ABS(H281-'계산 과정'!$C$88)&lt;='계산 과정'!$D$23/2,ABS(I281-'계산 과정'!$C$89)&lt;='계산 과정'!$D$24/2),1,0),"")</x:f>
        <x:v>1</x:v>
      </x:c>
      <x:c r="O281" s="4" t="n">
        <x:f>IF('계산 과정'!$L$7,'계산 과정'!$C$49*('계산 과정'!$C$32-D281)+'계산 과정'!$D$49*('계산 과정'!$D$32-E281)+'계산 과정'!$E$49*'계산 과정'!$E$32,"")</x:f>
        <x:v>37.63981908514785</x:v>
      </x:c>
      <x:c r="P281" s="4" t="n">
        <x:f>IF(AND('계산 과정'!$L$7,O281&lt;&gt;0),('계산 과정'!$L$23-'계산 과정'!$C$49*D281-'계산 과정'!$D$49*E281)/O281,"")</x:f>
        <x:v>11.62704363948004</x:v>
      </x:c>
      <x:c r="Q281" s="4" t="str">
        <x:f>IF(AND(ISNUMBER(P281),P281&gt;1E-9,P281&lt;1-1E-9),'계산 과정'!$C$47*(D281-'계산 과정'!$C$50+P281*('계산 과정'!$C$32-D281))+'계산 과정'!$D$47*(E281-'계산 과정'!$D$50+P281*('계산 과정'!$D$32-E281))+'계산 과정'!$E$47*(0-'계산 과정'!$E$50+P281*('계산 과정'!$E$32-0)),"")</x:f>
      </x:c>
      <x:c r="R281" s="4" t="str">
        <x:f>IF(AND(ISNUMBER(P281),P281&gt;1E-9,P281&lt;1-1E-9),'계산 과정'!$C$48*(D281-'계산 과정'!$C$50+P281*('계산 과정'!$C$32-D281))+'계산 과정'!$D$48*(E281-'계산 과정'!$D$50+P281*('계산 과정'!$D$32-E281))+'계산 과정'!$E$48*(0-'계산 과정'!$E$50+P281*('계산 과정'!$E$32-0)),"")</x:f>
      </x:c>
      <x:c r="S281" s="17" t="n">
        <x:f>IF('계산 과정'!$C$78,IF(AND(ISNUMBER(Q281),ISNUMBER(R281),ABS(Q281-'계산 과정'!$C$88)&lt;='계산 과정'!$D$23/2,ABS(R281-'계산 과정'!$C$89)&lt;='계산 과정'!$D$24/2),1,0),"")</x:f>
        <x:v>0</x:v>
      </x:c>
      <x:c r="T281" s="4"/>
      <x:c r="U281" s="4"/>
      <x:c r="V281" s="4"/>
      <x:c r="W281" s="4" t="n">
        <x:f>IF('계산 과정'!$C$78,'계산 과정'!$C$88+0.3600000000000001*'계산 과정'!$D$23/2,"")</x:f>
        <x:v>122.32340425531905</x:v>
      </x:c>
      <x:c r="X281" s="4" t="str">
        <x:f>""</x:f>
      </x:c>
      <x:c r="Y281" s="4" t="n">
        <x:f>IF('계산 과정'!$C$78,'계산 과정'!$C$89+-1*'계산 과정'!$D$24/2,"")</x:f>
        <x:v>-260</x:v>
      </x:c>
      <x:c r="Z281" s="4" t="str">
        <x:f>""</x:f>
      </x:c>
    </x:row>
    <x:row r="282" ht="23" customHeight="1">
      <x:c r="A282" s="17" t="n">
        <x:f>ROW()-6</x:f>
        <x:v>276</x:v>
      </x:c>
      <x:c r="B282" s="4" t="n">
        <x:f>IF('계산 과정'!$L$5,'계산 과정'!$L$11*SQRT((A282+0.5)/'계산 과정'!$L$30),"")</x:f>
        <x:v>55.11551257642897</x:v>
      </x:c>
      <x:c r="C282" s="4" t="n">
        <x:f>A282*PI()*(3-SQRT(5))</x:f>
        <x:v>662.3898514051082</x:v>
      </x:c>
      <x:c r="D282" s="4" t="n">
        <x:f>IF('계산 과정'!$L$5,B282*COS(C282),"")</x:f>
        <x:v>-48.728482379539415</x:v>
      </x:c>
      <x:c r="E282" s="4" t="n">
        <x:f>IF('계산 과정'!$L$5,B282*SIN(C282),"")</x:f>
        <x:v>25.753732380946587</x:v>
      </x:c>
      <x:c r="F282" s="4" t="n">
        <x:f>IF('계산 과정'!$L$7,'계산 과정'!$L$22+'계산 과정'!$C$49*D282+'계산 과정'!$D$49*E282,"")</x:f>
        <x:v>684.4562403275015</x:v>
      </x:c>
      <x:c r="G282" s="4" t="n">
        <x:f>IF('계산 과정'!$L$7,IF(ABS(F282)&gt;=1E-12*MAX(1,SQRT((D282-'계산 과정'!$C$33)^2+(E282-'계산 과정'!$D$33)^2+'계산 과정'!$E$33^2)),('계산 과정'!$L$23-'계산 과정'!$C$49*D282-'계산 과정'!$D$49*E282)/F282,""),"")</x:f>
        <x:v>0.5340644706483961</x:v>
      </x:c>
      <x:c r="H282" s="4" t="n">
        <x:f>IF(AND(ISNUMBER(G282),G282&gt;0),('계산 과정'!$D$56+'계산 과정'!$D$57*D282+'계산 과정'!$D$58*E282)/F282,"")</x:f>
        <x:v>-52.85809407854264</x:v>
      </x:c>
      <x:c r="I282" s="4" t="n">
        <x:f>IF(AND(ISNUMBER(G282),G282&gt;0),('계산 과정'!$E$56+'계산 과정'!$E$57*D282+'계산 과정'!$E$58*E282)/F282,"")</x:f>
        <x:v>39.50788583219728</x:v>
      </x:c>
      <x:c r="J282" s="4" t="n">
        <x:f>IF('계산 과정'!$L$5,'계산 과정'!$D$6+'계산 과정'!$C$35*D282+'계산 과정'!$D$35*E282,"")</x:f>
        <x:v>684.4562403275015</x:v>
      </x:c>
      <x:c r="K282" s="4" t="n">
        <x:f>IF(AND('계산 과정'!$L$6,J282&gt;0),'계산 과정'!$D$10*('계산 과정'!$C$38*(D282-'계산 과정'!$C$32)+'계산 과정'!$D$38*(E282-'계산 과정'!$D$32)-'계산 과정'!$E$38*'계산 과정'!$E$32)/J282,"")</x:f>
        <x:v>-0.4027283358365146</x:v>
      </x:c>
      <x:c r="L282" s="4" t="n">
        <x:f>IF(AND('계산 과정'!$L$6,J282&gt;0),'계산 과정'!$D$10*('계산 과정'!$C$39*(D282-'계산 과정'!$C$32)+'계산 과정'!$D$39*(E282-'계산 과정'!$D$32)-'계산 과정'!$E$39*'계산 과정'!$E$32)/J282,"")</x:f>
        <x:v>0.3010124634834079</x:v>
      </x:c>
      <x:c r="M282" s="17" t="n">
        <x:f>IF('계산 과정'!$L$6,IF(J282&lt;=0,0,IF(AND(ABS(K282)&lt;='계산 과정'!$D$11/2,ABS(L282)&lt;='계산 과정'!$D$12/2),1,0)),"")</x:f>
        <x:v>1</x:v>
      </x:c>
      <x:c r="N282" s="17" t="n">
        <x:f>IF('계산 과정'!$C$78,IF(AND(ISNUMBER(H282),ISNUMBER(I282),ABS(H282-'계산 과정'!$C$88)&lt;='계산 과정'!$D$23/2,ABS(I282-'계산 과정'!$C$89)&lt;='계산 과정'!$D$24/2),1,0),"")</x:f>
        <x:v>1</x:v>
      </x:c>
      <x:c r="O282" s="4" t="n">
        <x:f>IF('계산 과정'!$L$7,'계산 과정'!$C$49*('계산 과정'!$C$32-D282)+'계산 과정'!$D$49*('계산 과정'!$D$32-E282)+'계산 과정'!$E$49*'계산 과정'!$E$32,"")</x:f>
        <x:v>-34.456240327501405</x:v>
      </x:c>
      <x:c r="P282" s="4" t="n">
        <x:f>IF(AND('계산 과정'!$L$7,O282&lt;&gt;0),('계산 과정'!$L$23-'계산 과정'!$C$49*D282-'계산 과정'!$D$49*E282)/O282,"")</x:f>
        <x:v>-10.608927619440188</x:v>
      </x:c>
      <x:c r="Q282" s="4" t="str">
        <x:f>IF(AND(ISNUMBER(P282),P282&gt;1E-9,P282&lt;1-1E-9),'계산 과정'!$C$47*(D282-'계산 과정'!$C$50+P282*('계산 과정'!$C$32-D282))+'계산 과정'!$D$47*(E282-'계산 과정'!$D$50+P282*('계산 과정'!$D$32-E282))+'계산 과정'!$E$47*(0-'계산 과정'!$E$50+P282*('계산 과정'!$E$32-0)),"")</x:f>
      </x:c>
      <x:c r="R282" s="4" t="str">
        <x:f>IF(AND(ISNUMBER(P282),P282&gt;1E-9,P282&lt;1-1E-9),'계산 과정'!$C$48*(D282-'계산 과정'!$C$50+P282*('계산 과정'!$C$32-D282))+'계산 과정'!$D$48*(E282-'계산 과정'!$D$50+P282*('계산 과정'!$D$32-E282))+'계산 과정'!$E$48*(0-'계산 과정'!$E$50+P282*('계산 과정'!$E$32-0)),"")</x:f>
      </x:c>
      <x:c r="S282" s="17" t="n">
        <x:f>IF('계산 과정'!$C$78,IF(AND(ISNUMBER(Q282),ISNUMBER(R282),ABS(Q282-'계산 과정'!$C$88)&lt;='계산 과정'!$D$23/2,ABS(R282-'계산 과정'!$C$89)&lt;='계산 과정'!$D$24/2),1,0),"")</x:f>
        <x:v>0</x:v>
      </x:c>
      <x:c r="T282" s="4"/>
      <x:c r="U282" s="4"/>
      <x:c r="V282" s="4"/>
      <x:c r="W282" s="4" t="n">
        <x:f>IF('계산 과정'!$C$78,'계산 과정'!$C$88+0.3999999999999999*'계산 과정'!$D$23/2,"")</x:f>
        <x:v>132.723404255319</x:v>
      </x:c>
      <x:c r="X282" s="4" t="str">
        <x:f>""</x:f>
      </x:c>
      <x:c r="Y282" s="4" t="n">
        <x:f>IF('계산 과정'!$C$78,'계산 과정'!$C$89+-1*'계산 과정'!$D$24/2,"")</x:f>
        <x:v>-260</x:v>
      </x:c>
      <x:c r="Z282" s="4" t="str">
        <x:f>""</x:f>
      </x:c>
    </x:row>
    <x:row r="283" ht="23" customHeight="1">
      <x:c r="A283" s="17" t="n">
        <x:f>ROW()-6</x:f>
        <x:v>277</x:v>
      </x:c>
      <x:c r="B283" s="4" t="n">
        <x:f>IF('계산 과정'!$L$5,'계산 과정'!$L$11*SQRT((A283+0.5)/'계산 과정'!$L$30),"")</x:f>
        <x:v>55.21508901276444</x:v>
      </x:c>
      <x:c r="C283" s="4" t="n">
        <x:f>A283*PI()*(3-SQRT(5))</x:f>
        <x:v>664.7898146348368</x:v>
      </x:c>
      <x:c r="D283" s="4" t="n">
        <x:f>IF('계산 과정'!$L$5,B283*COS(C283),"")</x:f>
        <x:v>18.56795608982949</x:v>
      </x:c>
      <x:c r="E283" s="4" t="n">
        <x:f>IF('계산 과정'!$L$5,B283*SIN(C283),"")</x:f>
        <x:v>-51.9993948169944</x:v>
      </x:c>
      <x:c r="F283" s="4" t="n">
        <x:f>IF('계산 과정'!$L$7,'계산 과정'!$L$22+'계산 과정'!$C$49*D283+'계산 과정'!$D$49*E283,"")</x:f>
        <x:v>636.8704723361075</x:v>
      </x:c>
      <x:c r="G283" s="4" t="n">
        <x:f>IF('계산 과정'!$L$7,IF(ABS(F283)&gt;=1E-12*MAX(1,SQRT((D283-'계산 과정'!$C$33)^2+(E283-'계산 과정'!$D$33)^2+'계산 과정'!$E$33^2)),('계산 과정'!$L$23-'계산 과정'!$C$49*D283-'계산 과정'!$D$49*E283)/F283,""),"")</x:f>
        <x:v>0.6486868925615128</x:v>
      </x:c>
      <x:c r="H283" s="4" t="n">
        <x:f>IF(AND(ISNUMBER(G283),G283&gt;0),('계산 과정'!$D$56+'계산 과정'!$D$57*D283+'계산 과정'!$D$58*E283)/F283,"")</x:f>
        <x:v>21.64648016498321</x:v>
      </x:c>
      <x:c r="I283" s="4" t="n">
        <x:f>IF(AND(ISNUMBER(G283),G283&gt;0),('계산 과정'!$E$56+'계산 과정'!$E$57*D283+'계산 과정'!$E$58*E283)/F283,"")</x:f>
        <x:v>-85.73072065590974</x:v>
      </x:c>
      <x:c r="J283" s="4" t="n">
        <x:f>IF('계산 과정'!$L$5,'계산 과정'!$D$6+'계산 과정'!$C$35*D283+'계산 과정'!$D$35*E283,"")</x:f>
        <x:v>636.8704723361075</x:v>
      </x:c>
      <x:c r="K283" s="4" t="n">
        <x:f>IF(AND('계산 과정'!$L$6,J283&gt;0),'계산 과정'!$D$10*('계산 과정'!$C$38*(D283-'계산 과정'!$C$32)+'계산 과정'!$D$38*(E283-'계산 과정'!$D$32)-'계산 과정'!$E$38*'계산 과정'!$E$32)/J283,"")</x:f>
        <x:v>0.16492556316177756</x:v>
      </x:c>
      <x:c r="L283" s="4" t="n">
        <x:f>IF(AND('계산 과정'!$L$6,J283&gt;0),'계산 과정'!$D$10*('계산 과정'!$C$39*(D283-'계산 과정'!$C$32)+'계산 과정'!$D$39*(E283-'계산 과정'!$D$32)-'계산 과정'!$E$39*'계산 과정'!$E$32)/J283,"")</x:f>
        <x:v>-0.6531864430926456</x:v>
      </x:c>
      <x:c r="M283" s="17" t="n">
        <x:f>IF('계산 과정'!$L$6,IF(J283&lt;=0,0,IF(AND(ABS(K283)&lt;='계산 과정'!$D$11/2,ABS(L283)&lt;='계산 과정'!$D$12/2),1,0)),"")</x:f>
        <x:v>1</x:v>
      </x:c>
      <x:c r="N283" s="17" t="n">
        <x:f>IF('계산 과정'!$C$78,IF(AND(ISNUMBER(H283),ISNUMBER(I283),ABS(H283-'계산 과정'!$C$88)&lt;='계산 과정'!$D$23/2,ABS(I283-'계산 과정'!$C$89)&lt;='계산 과정'!$D$24/2),1,0),"")</x:f>
        <x:v>1</x:v>
      </x:c>
      <x:c r="O283" s="4" t="n">
        <x:f>IF('계산 과정'!$L$7,'계산 과정'!$C$49*('계산 과정'!$C$32-D283)+'계산 과정'!$D$49*('계산 과정'!$D$32-E283)+'계산 과정'!$E$49*'계산 과정'!$E$32,"")</x:f>
        <x:v>13.129527663892588</x:v>
      </x:c>
      <x:c r="P283" s="4" t="n">
        <x:f>IF(AND('계산 과정'!$L$7,O283&lt;&gt;0),('계산 과정'!$L$23-'계산 과정'!$C$49*D283-'계산 과정'!$D$49*E283)/O283,"")</x:f>
        <x:v>31.465680886604684</x:v>
      </x:c>
      <x:c r="Q283" s="4" t="str">
        <x:f>IF(AND(ISNUMBER(P283),P283&gt;1E-9,P283&lt;1-1E-9),'계산 과정'!$C$47*(D283-'계산 과정'!$C$50+P283*('계산 과정'!$C$32-D283))+'계산 과정'!$D$47*(E283-'계산 과정'!$D$50+P283*('계산 과정'!$D$32-E283))+'계산 과정'!$E$47*(0-'계산 과정'!$E$50+P283*('계산 과정'!$E$32-0)),"")</x:f>
      </x:c>
      <x:c r="R283" s="4" t="str">
        <x:f>IF(AND(ISNUMBER(P283),P283&gt;1E-9,P283&lt;1-1E-9),'계산 과정'!$C$48*(D283-'계산 과정'!$C$50+P283*('계산 과정'!$C$32-D283))+'계산 과정'!$D$48*(E283-'계산 과정'!$D$50+P283*('계산 과정'!$D$32-E283))+'계산 과정'!$E$48*(0-'계산 과정'!$E$50+P283*('계산 과정'!$E$32-0)),"")</x:f>
      </x:c>
      <x:c r="S283" s="17" t="n">
        <x:f>IF('계산 과정'!$C$78,IF(AND(ISNUMBER(Q283),ISNUMBER(R283),ABS(Q283-'계산 과정'!$C$88)&lt;='계산 과정'!$D$23/2,ABS(R283-'계산 과정'!$C$89)&lt;='계산 과정'!$D$24/2),1,0),"")</x:f>
        <x:v>0</x:v>
      </x:c>
      <x:c r="T283" s="4"/>
      <x:c r="U283" s="4"/>
      <x:c r="V283" s="4"/>
      <x:c r="W283" s="4" t="n">
        <x:f>IF('계산 과정'!$C$78,'계산 과정'!$C$88+0.43999999999999995*'계산 과정'!$D$23/2,"")</x:f>
        <x:v>143.12340425531903</x:v>
      </x:c>
      <x:c r="X283" s="4" t="str">
        <x:f>""</x:f>
      </x:c>
      <x:c r="Y283" s="4" t="n">
        <x:f>IF('계산 과정'!$C$78,'계산 과정'!$C$89+-1*'계산 과정'!$D$24/2,"")</x:f>
        <x:v>-260</x:v>
      </x:c>
      <x:c r="Z283" s="4" t="str">
        <x:f>""</x:f>
      </x:c>
    </x:row>
    <x:row r="284" ht="23" customHeight="1">
      <x:c r="A284" s="17" t="n">
        <x:f>ROW()-6</x:f>
        <x:v>278</x:v>
      </x:c>
      <x:c r="B284" s="4" t="n">
        <x:f>IF('계산 과정'!$L$5,'계산 과정'!$L$11*SQRT((A284+0.5)/'계산 과정'!$L$30),"")</x:f>
        <x:v>55.314486193152874</x:v>
      </x:c>
      <x:c r="C284" s="4" t="n">
        <x:f>A284*PI()*(3-SQRT(5))</x:f>
        <x:v>667.1897778645655</x:v>
      </x:c>
      <x:c r="D284" s="4" t="n">
        <x:f>IF('계산 과정'!$L$5,B284*COS(C284),"")</x:f>
        <x:v>21.472238022263717</x:v>
      </x:c>
      <x:c r="E284" s="4" t="n">
        <x:f>IF('계산 과정'!$L$5,B284*SIN(C284),"")</x:f>
        <x:v>50.976812151484644</x:v>
      </x:c>
      <x:c r="F284" s="4" t="n">
        <x:f>IF('계산 과정'!$L$7,'계산 과정'!$L$22+'계산 과정'!$C$49*D284+'계산 과정'!$D$49*E284,"")</x:f>
        <x:v>634.8168348872057</x:v>
      </x:c>
      <x:c r="G284" s="4" t="n">
        <x:f>IF('계산 과정'!$L$7,IF(ABS(F284)&gt;=1E-12*MAX(1,SQRT((D284-'계산 과정'!$C$33)^2+(E284-'계산 과정'!$D$33)^2+'계산 과정'!$E$33^2)),('계산 과정'!$L$23-'계산 과정'!$C$49*D284-'계산 과정'!$D$49*E284)/F284,""),"")</x:f>
        <x:v>0.6540204076134246</x:v>
      </x:c>
      <x:c r="H284" s="4" t="n">
        <x:f>IF(AND(ISNUMBER(G284),G284&gt;0),('계산 과정'!$D$56+'계산 과정'!$D$57*D284+'계산 과정'!$D$58*E284)/F284,"")</x:f>
        <x:v>25.11326494872584</x:v>
      </x:c>
      <x:c r="I284" s="4" t="n">
        <x:f>IF(AND(ISNUMBER(G284),G284&gt;0),('계산 과정'!$E$56+'계산 과정'!$E$57*D284+'계산 과정'!$E$58*E284)/F284,"")</x:f>
        <x:v>84.3166876136316</x:v>
      </x:c>
      <x:c r="J284" s="4" t="n">
        <x:f>IF('계산 과정'!$L$5,'계산 과정'!$D$6+'계산 과정'!$C$35*D284+'계산 과정'!$D$35*E284,"")</x:f>
        <x:v>634.8168348872057</x:v>
      </x:c>
      <x:c r="K284" s="4" t="n">
        <x:f>IF(AND('계산 과정'!$L$6,J284&gt;0),'계산 과정'!$D$10*('계산 과정'!$C$38*(D284-'계산 과정'!$C$32)+'계산 과정'!$D$38*(E284-'계산 과정'!$D$32)-'계산 과정'!$E$38*'계산 과정'!$E$32)/J284,"")</x:f>
        <x:v>0.19133916151410268</x:v>
      </x:c>
      <x:c r="L284" s="4" t="n">
        <x:f>IF(AND('계산 과정'!$L$6,J284&gt;0),'계산 과정'!$D$10*('계산 과정'!$C$39*(D284-'계산 과정'!$C$32)+'계산 과정'!$D$39*(E284-'계산 과정'!$D$32)-'계산 과정'!$E$39*'계산 과정'!$E$32)/J284,"")</x:f>
        <x:v>0.6424128580086218</x:v>
      </x:c>
      <x:c r="M284" s="17" t="n">
        <x:f>IF('계산 과정'!$L$6,IF(J284&lt;=0,0,IF(AND(ABS(K284)&lt;='계산 과정'!$D$11/2,ABS(L284)&lt;='계산 과정'!$D$12/2),1,0)),"")</x:f>
        <x:v>1</x:v>
      </x:c>
      <x:c r="N284" s="17" t="n">
        <x:f>IF('계산 과정'!$C$78,IF(AND(ISNUMBER(H284),ISNUMBER(I284),ABS(H284-'계산 과정'!$C$88)&lt;='계산 과정'!$D$23/2,ABS(I284-'계산 과정'!$C$89)&lt;='계산 과정'!$D$24/2),1,0),"")</x:f>
        <x:v>1</x:v>
      </x:c>
      <x:c r="O284" s="4" t="n">
        <x:f>IF('계산 과정'!$L$7,'계산 과정'!$C$49*('계산 과정'!$C$32-D284)+'계산 과정'!$D$49*('계산 과정'!$D$32-E284)+'계산 과정'!$E$49*'계산 과정'!$E$32,"")</x:f>
        <x:v>15.18316511279437</x:v>
      </x:c>
      <x:c r="P284" s="4" t="n">
        <x:f>IF(AND('계산 과정'!$L$7,O284&lt;&gt;0),('계산 과정'!$L$23-'계산 과정'!$C$49*D284-'계산 과정'!$D$49*E284)/O284,"")</x:f>
        <x:v>27.344968063538523</x:v>
      </x:c>
      <x:c r="Q284" s="4" t="str">
        <x:f>IF(AND(ISNUMBER(P284),P284&gt;1E-9,P284&lt;1-1E-9),'계산 과정'!$C$47*(D284-'계산 과정'!$C$50+P284*('계산 과정'!$C$32-D284))+'계산 과정'!$D$47*(E284-'계산 과정'!$D$50+P284*('계산 과정'!$D$32-E284))+'계산 과정'!$E$47*(0-'계산 과정'!$E$50+P284*('계산 과정'!$E$32-0)),"")</x:f>
      </x:c>
      <x:c r="R284" s="4" t="str">
        <x:f>IF(AND(ISNUMBER(P284),P284&gt;1E-9,P284&lt;1-1E-9),'계산 과정'!$C$48*(D284-'계산 과정'!$C$50+P284*('계산 과정'!$C$32-D284))+'계산 과정'!$D$48*(E284-'계산 과정'!$D$50+P284*('계산 과정'!$D$32-E284))+'계산 과정'!$E$48*(0-'계산 과정'!$E$50+P284*('계산 과정'!$E$32-0)),"")</x:f>
      </x:c>
      <x:c r="S284" s="17" t="n">
        <x:f>IF('계산 과정'!$C$78,IF(AND(ISNUMBER(Q284),ISNUMBER(R284),ABS(Q284-'계산 과정'!$C$88)&lt;='계산 과정'!$D$23/2,ABS(R284-'계산 과정'!$C$89)&lt;='계산 과정'!$D$24/2),1,0),"")</x:f>
        <x:v>0</x:v>
      </x:c>
      <x:c r="T284" s="4"/>
      <x:c r="U284" s="4"/>
      <x:c r="V284" s="4"/>
      <x:c r="W284" s="4" t="n">
        <x:f>IF('계산 과정'!$C$78,'계산 과정'!$C$88+0.48*'계산 과정'!$D$23/2,"")</x:f>
        <x:v>153.523404255319</x:v>
      </x:c>
      <x:c r="X284" s="4" t="str">
        <x:f>""</x:f>
      </x:c>
      <x:c r="Y284" s="4" t="n">
        <x:f>IF('계산 과정'!$C$78,'계산 과정'!$C$89+-1*'계산 과정'!$D$24/2,"")</x:f>
        <x:v>-260</x:v>
      </x:c>
      <x:c r="Z284" s="4" t="str">
        <x:f>""</x:f>
      </x:c>
    </x:row>
    <x:row r="285" ht="23" customHeight="1">
      <x:c r="A285" s="17" t="n">
        <x:f>ROW()-6</x:f>
        <x:v>279</x:v>
      </x:c>
      <x:c r="B285" s="4" t="n">
        <x:f>IF('계산 과정'!$L$5,'계산 과정'!$L$11*SQRT((A285+0.5)/'계산 과정'!$L$30),"")</x:f>
        <x:v>55.41370508220417</x:v>
      </x:c>
      <x:c r="C285" s="4" t="n">
        <x:f>A285*PI()*(3-SQRT(5))</x:f>
        <x:v>669.5897410942941</x:v>
      </x:c>
      <x:c r="D285" s="4" t="n">
        <x:f>IF('계산 과정'!$L$5,B285*COS(C285),"")</x:f>
        <x:v>-50.357467537436676</x:v>
      </x:c>
      <x:c r="E285" s="4" t="n">
        <x:f>IF('계산 과정'!$L$5,B285*SIN(C285),"")</x:f>
        <x:v>-23.12583348019076</x:v>
      </x:c>
      <x:c r="F285" s="4" t="n">
        <x:f>IF('계산 과정'!$L$7,'계산 과정'!$L$22+'계산 과정'!$C$49*D285+'계산 과정'!$D$49*E285,"")</x:f>
        <x:v>685.6081067791029</x:v>
      </x:c>
      <x:c r="G285" s="4" t="n">
        <x:f>IF('계산 과정'!$L$7,IF(ABS(F285)&gt;=1E-12*MAX(1,SQRT((D285-'계산 과정'!$C$33)^2+(E285-'계산 과정'!$D$33)^2+'계산 과정'!$E$33^2)),('계산 과정'!$L$23-'계산 과정'!$C$49*D285-'계산 과정'!$D$49*E285)/F285,""),"")</x:f>
        <x:v>0.5314871420245635</x:v>
      </x:c>
      <x:c r="H285" s="4" t="n">
        <x:f>IF(AND(ISNUMBER(G285),G285&gt;0),('계산 과정'!$D$56+'계산 과정'!$D$57*D285+'계산 과정'!$D$58*E285)/F285,"")</x:f>
        <x:v>-54.533357684033916</x:v>
      </x:c>
      <x:c r="I285" s="4" t="n">
        <x:f>IF(AND(ISNUMBER(G285),G285&gt;0),('계산 과정'!$E$56+'계산 과정'!$E$57*D285+'계산 과정'!$E$58*E285)/F285,"")</x:f>
        <x:v>-35.41691662351331</x:v>
      </x:c>
      <x:c r="J285" s="4" t="n">
        <x:f>IF('계산 과정'!$L$5,'계산 과정'!$D$6+'계산 과정'!$C$35*D285+'계산 과정'!$D$35*E285,"")</x:f>
        <x:v>685.6081067791029</x:v>
      </x:c>
      <x:c r="K285" s="4" t="n">
        <x:f>IF(AND('계산 과정'!$L$6,J285&gt;0),'계산 과정'!$D$10*('계산 과정'!$C$38*(D285-'계산 과정'!$C$32)+'계산 과정'!$D$38*(E285-'계산 과정'!$D$32)-'계산 과정'!$E$38*'계산 과정'!$E$32)/J285,"")</x:f>
        <x:v>-0.4154922490212099</x:v>
      </x:c>
      <x:c r="L285" s="4" t="n">
        <x:f>IF(AND('계산 과정'!$L$6,J285&gt;0),'계산 과정'!$D$10*('계산 과정'!$C$39*(D285-'계산 과정'!$C$32)+'계산 과정'!$D$39*(E285-'계산 과정'!$D$32)-'계산 과정'!$E$39*'계산 과정'!$E$32)/J285,"")</x:f>
        <x:v>-0.26984317427438714</x:v>
      </x:c>
      <x:c r="M285" s="17" t="n">
        <x:f>IF('계산 과정'!$L$6,IF(J285&lt;=0,0,IF(AND(ABS(K285)&lt;='계산 과정'!$D$11/2,ABS(L285)&lt;='계산 과정'!$D$12/2),1,0)),"")</x:f>
        <x:v>1</x:v>
      </x:c>
      <x:c r="N285" s="17" t="n">
        <x:f>IF('계산 과정'!$C$78,IF(AND(ISNUMBER(H285),ISNUMBER(I285),ABS(H285-'계산 과정'!$C$88)&lt;='계산 과정'!$D$23/2,ABS(I285-'계산 과정'!$C$89)&lt;='계산 과정'!$D$24/2),1,0),"")</x:f>
        <x:v>1</x:v>
      </x:c>
      <x:c r="O285" s="4" t="n">
        <x:f>IF('계산 과정'!$L$7,'계산 과정'!$C$49*('계산 과정'!$C$32-D285)+'계산 과정'!$D$49*('계산 과정'!$D$32-E285)+'계산 과정'!$E$49*'계산 과정'!$E$32,"")</x:f>
        <x:v>-35.6081067791028</x:v>
      </x:c>
      <x:c r="P285" s="4" t="n">
        <x:f>IF(AND('계산 과정'!$L$7,O285&lt;&gt;0),('계산 과정'!$L$23-'계산 과정'!$C$49*D285-'계산 과정'!$D$49*E285)/O285,"")</x:f>
        <x:v>-10.233397003705528</x:v>
      </x:c>
      <x:c r="Q285" s="4" t="str">
        <x:f>IF(AND(ISNUMBER(P285),P285&gt;1E-9,P285&lt;1-1E-9),'계산 과정'!$C$47*(D285-'계산 과정'!$C$50+P285*('계산 과정'!$C$32-D285))+'계산 과정'!$D$47*(E285-'계산 과정'!$D$50+P285*('계산 과정'!$D$32-E285))+'계산 과정'!$E$47*(0-'계산 과정'!$E$50+P285*('계산 과정'!$E$32-0)),"")</x:f>
      </x:c>
      <x:c r="R285" s="4" t="str">
        <x:f>IF(AND(ISNUMBER(P285),P285&gt;1E-9,P285&lt;1-1E-9),'계산 과정'!$C$48*(D285-'계산 과정'!$C$50+P285*('계산 과정'!$C$32-D285))+'계산 과정'!$D$48*(E285-'계산 과정'!$D$50+P285*('계산 과정'!$D$32-E285))+'계산 과정'!$E$48*(0-'계산 과정'!$E$50+P285*('계산 과정'!$E$32-0)),"")</x:f>
      </x:c>
      <x:c r="S285" s="17" t="n">
        <x:f>IF('계산 과정'!$C$78,IF(AND(ISNUMBER(Q285),ISNUMBER(R285),ABS(Q285-'계산 과정'!$C$88)&lt;='계산 과정'!$D$23/2,ABS(R285-'계산 과정'!$C$89)&lt;='계산 과정'!$D$24/2),1,0),"")</x:f>
        <x:v>0</x:v>
      </x:c>
      <x:c r="T285" s="4"/>
      <x:c r="U285" s="4"/>
      <x:c r="V285" s="4"/>
      <x:c r="W285" s="4" t="n">
        <x:f>IF('계산 과정'!$C$78,'계산 과정'!$C$88+0.52*'계산 과정'!$D$23/2,"")</x:f>
        <x:v>163.92340425531904</x:v>
      </x:c>
      <x:c r="X285" s="4" t="str">
        <x:f>""</x:f>
      </x:c>
      <x:c r="Y285" s="4" t="n">
        <x:f>IF('계산 과정'!$C$78,'계산 과정'!$C$89+-1*'계산 과정'!$D$24/2,"")</x:f>
        <x:v>-260</x:v>
      </x:c>
      <x:c r="Z285" s="4" t="str">
        <x:f>""</x:f>
      </x:c>
    </x:row>
    <x:row r="286" ht="23" customHeight="1">
      <x:c r="A286" s="17" t="n">
        <x:f>ROW()-6</x:f>
        <x:v>280</x:v>
      </x:c>
      <x:c r="B286" s="4" t="n">
        <x:f>IF('계산 과정'!$L$5,'계산 과정'!$L$11*SQRT((A286+0.5)/'계산 과정'!$L$30),"")</x:f>
        <x:v>55.51274663590786</x:v>
      </x:c>
      <x:c r="C286" s="4" t="n">
        <x:f>A286*PI()*(3-SQRT(5))</x:f>
        <x:v>671.9897043240228</x:v>
      </x:c>
      <x:c r="D286" s="4" t="n">
        <x:f>IF('계산 과정'!$L$5,B286*COS(C286),"")</x:f>
        <x:v>52.84759199422062</x:v>
      </x:c>
      <x:c r="E286" s="4" t="n">
        <x:f>IF('계산 과정'!$L$5,B286*SIN(C286),"")</x:f>
        <x:v>-16.994030112803955</x:v>
      </x:c>
      <x:c r="F286" s="4" t="n">
        <x:f>IF('계산 과정'!$L$7,'계산 과정'!$L$22+'계산 과정'!$C$49*D286+'계산 과정'!$D$49*E286,"")</x:f>
        <x:v>612.6311093315067</x:v>
      </x:c>
      <x:c r="G286" s="4" t="n">
        <x:f>IF('계산 과정'!$L$7,IF(ABS(F286)&gt;=1E-12*MAX(1,SQRT((D286-'계산 과정'!$C$33)^2+(E286-'계산 과정'!$D$33)^2+'계산 과정'!$E$33^2)),('계산 과정'!$L$23-'계산 과정'!$C$49*D286-'계산 과정'!$D$49*E286)/F286,""),"")</x:f>
        <x:v>0.7139188395864247</x:v>
      </x:c>
      <x:c r="H286" s="4" t="n">
        <x:f>IF(AND(ISNUMBER(G286),G286&gt;0),('계산 과정'!$D$56+'계산 과정'!$D$57*D286+'계산 과정'!$D$58*E286)/F286,"")</x:f>
        <x:v>64.04724573117592</x:v>
      </x:c>
      <x:c r="I286" s="4" t="n">
        <x:f>IF(AND(ISNUMBER(G286),G286&gt;0),('계산 과정'!$E$56+'계산 과정'!$E$57*D286+'계산 과정'!$E$58*E286)/F286,"")</x:f>
        <x:v>-29.126388370833713</x:v>
      </x:c>
      <x:c r="J286" s="4" t="n">
        <x:f>IF('계산 과정'!$L$5,'계산 과정'!$D$6+'계산 과정'!$C$35*D286+'계산 과정'!$D$35*E286,"")</x:f>
        <x:v>612.6311093315067</x:v>
      </x:c>
      <x:c r="K286" s="4" t="n">
        <x:f>IF(AND('계산 과정'!$L$6,J286&gt;0),'계산 과정'!$D$10*('계산 과정'!$C$38*(D286-'계산 과정'!$C$32)+'계산 과정'!$D$38*(E286-'계산 과정'!$D$32)-'계산 과정'!$E$38*'계산 과정'!$E$32)/J286,"")</x:f>
        <x:v>0.4879790150946743</x:v>
      </x:c>
      <x:c r="L286" s="4" t="n">
        <x:f>IF(AND('계산 과정'!$L$6,J286&gt;0),'계산 과정'!$D$10*('계산 과정'!$C$39*(D286-'계산 과정'!$C$32)+'계산 과정'!$D$39*(E286-'계산 과정'!$D$32)-'계산 과정'!$E$39*'계산 과정'!$E$32)/J286,"")</x:f>
        <x:v>-0.22191533996825688</x:v>
      </x:c>
      <x:c r="M286" s="17" t="n">
        <x:f>IF('계산 과정'!$L$6,IF(J286&lt;=0,0,IF(AND(ABS(K286)&lt;='계산 과정'!$D$11/2,ABS(L286)&lt;='계산 과정'!$D$12/2),1,0)),"")</x:f>
        <x:v>1</x:v>
      </x:c>
      <x:c r="N286" s="17" t="n">
        <x:f>IF('계산 과정'!$C$78,IF(AND(ISNUMBER(H286),ISNUMBER(I286),ABS(H286-'계산 과정'!$C$88)&lt;='계산 과정'!$D$23/2,ABS(I286-'계산 과정'!$C$89)&lt;='계산 과정'!$D$24/2),1,0),"")</x:f>
        <x:v>1</x:v>
      </x:c>
      <x:c r="O286" s="4" t="n">
        <x:f>IF('계산 과정'!$L$7,'계산 과정'!$C$49*('계산 과정'!$C$32-D286)+'계산 과정'!$D$49*('계산 과정'!$D$32-E286)+'계산 과정'!$E$49*'계산 과정'!$E$32,"")</x:f>
        <x:v>37.36889066849341</x:v>
      </x:c>
      <x:c r="P286" s="4" t="n">
        <x:f>IF(AND('계산 과정'!$L$7,O286&lt;&gt;0),('계산 과정'!$L$23-'계산 과정'!$C$49*D286-'계산 과정'!$D$49*E286)/O286,"")</x:f>
        <x:v>11.70409083182256</x:v>
      </x:c>
      <x:c r="Q286" s="4" t="str">
        <x:f>IF(AND(ISNUMBER(P286),P286&gt;1E-9,P286&lt;1-1E-9),'계산 과정'!$C$47*(D286-'계산 과정'!$C$50+P286*('계산 과정'!$C$32-D286))+'계산 과정'!$D$47*(E286-'계산 과정'!$D$50+P286*('계산 과정'!$D$32-E286))+'계산 과정'!$E$47*(0-'계산 과정'!$E$50+P286*('계산 과정'!$E$32-0)),"")</x:f>
      </x:c>
      <x:c r="R286" s="4" t="str">
        <x:f>IF(AND(ISNUMBER(P286),P286&gt;1E-9,P286&lt;1-1E-9),'계산 과정'!$C$48*(D286-'계산 과정'!$C$50+P286*('계산 과정'!$C$32-D286))+'계산 과정'!$D$48*(E286-'계산 과정'!$D$50+P286*('계산 과정'!$D$32-E286))+'계산 과정'!$E$48*(0-'계산 과정'!$E$50+P286*('계산 과정'!$E$32-0)),"")</x:f>
      </x:c>
      <x:c r="S286" s="17" t="n">
        <x:f>IF('계산 과정'!$C$78,IF(AND(ISNUMBER(Q286),ISNUMBER(R286),ABS(Q286-'계산 과정'!$C$88)&lt;='계산 과정'!$D$23/2,ABS(R286-'계산 과정'!$C$89)&lt;='계산 과정'!$D$24/2),1,0),"")</x:f>
        <x:v>0</x:v>
      </x:c>
      <x:c r="T286" s="4"/>
      <x:c r="U286" s="4"/>
      <x:c r="V286" s="4"/>
      <x:c r="W286" s="4" t="n">
        <x:f>IF('계산 과정'!$C$78,'계산 과정'!$C$88+0.56*'계산 과정'!$D$23/2,"")</x:f>
        <x:v>174.32340425531905</x:v>
      </x:c>
      <x:c r="X286" s="4" t="str">
        <x:f>""</x:f>
      </x:c>
      <x:c r="Y286" s="4" t="n">
        <x:f>IF('계산 과정'!$C$78,'계산 과정'!$C$89+-1*'계산 과정'!$D$24/2,"")</x:f>
        <x:v>-260</x:v>
      </x:c>
      <x:c r="Z286" s="4" t="str">
        <x:f>""</x:f>
      </x:c>
    </x:row>
    <x:row r="287" ht="23" customHeight="1">
      <x:c r="A287" s="17" t="n">
        <x:f>ROW()-6</x:f>
        <x:v>281</x:v>
      </x:c>
      <x:c r="B287" s="4" t="n">
        <x:f>IF('계산 과정'!$L$5,'계산 과정'!$L$11*SQRT((A287+0.5)/'계산 과정'!$L$30),"")</x:f>
        <x:v>55.61161180174065</x:v>
      </x:c>
      <x:c r="C287" s="4" t="n">
        <x:f>A287*PI()*(3-SQRT(5))</x:f>
        <x:v>674.3896675537515</x:v>
      </x:c>
      <x:c r="D287" s="4" t="n">
        <x:f>IF('계산 과정'!$L$5,B287*COS(C287),"")</x:f>
        <x:v>-27.537823385511217</x:v>
      </x:c>
      <x:c r="E287" s="4" t="n">
        <x:f>IF('계산 과정'!$L$5,B287*SIN(C287),"")</x:f>
        <x:v>48.314797426625844</x:v>
      </x:c>
      <x:c r="F287" s="4" t="n">
        <x:f>IF('계산 과정'!$L$7,'계산 과정'!$L$22+'계산 과정'!$C$49*D287+'계산 과정'!$D$49*E287,"")</x:f>
        <x:v>669.4721816550125</x:v>
      </x:c>
      <x:c r="G287" s="4" t="n">
        <x:f>IF('계산 과정'!$L$7,IF(ABS(F287)&gt;=1E-12*MAX(1,SQRT((D287-'계산 과정'!$C$33)^2+(E287-'계산 과정'!$D$33)^2+'계산 과정'!$E$33^2)),('계산 과정'!$L$23-'계산 과정'!$C$49*D287-'계산 과정'!$D$49*E287)/F287,""),"")</x:f>
        <x:v>0.5683997465051929</x:v>
      </x:c>
      <x:c r="H287" s="4" t="n">
        <x:f>IF(AND(ISNUMBER(G287),G287&gt;0),('계산 과정'!$D$56+'계산 과정'!$D$57*D287+'계산 과정'!$D$58*E287)/F287,"")</x:f>
        <x:v>-30.540164771624745</x:v>
      </x:c>
      <x:c r="I287" s="4" t="n">
        <x:f>IF(AND(ISNUMBER(G287),G287&gt;0),('계산 과정'!$E$56+'계산 과정'!$E$57*D287+'계산 과정'!$E$58*E287)/F287,"")</x:f>
        <x:v>75.77691603636973</x:v>
      </x:c>
      <x:c r="J287" s="4" t="n">
        <x:f>IF('계산 과정'!$L$5,'계산 과정'!$D$6+'계산 과정'!$C$35*D287+'계산 과정'!$D$35*E287,"")</x:f>
        <x:v>669.4721816550125</x:v>
      </x:c>
      <x:c r="K287" s="4" t="n">
        <x:f>IF(AND('계산 과정'!$L$6,J287&gt;0),'계산 과정'!$D$10*('계산 과정'!$C$38*(D287-'계산 과정'!$C$32)+'계산 과정'!$D$38*(E287-'계산 과정'!$D$32)-'계산 과정'!$E$38*'계산 과정'!$E$32)/J287,"")</x:f>
        <x:v>-0.2326869696885688</x:v>
      </x:c>
      <x:c r="L287" s="4" t="n">
        <x:f>IF(AND('계산 과정'!$L$6,J287&gt;0),'계산 과정'!$D$10*('계산 과정'!$C$39*(D287-'계산 과정'!$C$32)+'계산 과정'!$D$39*(E287-'계산 과정'!$D$32)-'계산 과정'!$E$39*'계산 과정'!$E$32)/J287,"")</x:f>
        <x:v>0.577347931705674</x:v>
      </x:c>
      <x:c r="M287" s="17" t="n">
        <x:f>IF('계산 과정'!$L$6,IF(J287&lt;=0,0,IF(AND(ABS(K287)&lt;='계산 과정'!$D$11/2,ABS(L287)&lt;='계산 과정'!$D$12/2),1,0)),"")</x:f>
        <x:v>1</x:v>
      </x:c>
      <x:c r="N287" s="17" t="n">
        <x:f>IF('계산 과정'!$C$78,IF(AND(ISNUMBER(H287),ISNUMBER(I287),ABS(H287-'계산 과정'!$C$88)&lt;='계산 과정'!$D$23/2,ABS(I287-'계산 과정'!$C$89)&lt;='계산 과정'!$D$24/2),1,0),"")</x:f>
        <x:v>1</x:v>
      </x:c>
      <x:c r="O287" s="4" t="n">
        <x:f>IF('계산 과정'!$L$7,'계산 과정'!$C$49*('계산 과정'!$C$32-D287)+'계산 과정'!$D$49*('계산 과정'!$D$32-E287)+'계산 과정'!$E$49*'계산 과정'!$E$32,"")</x:f>
        <x:v>-19.472181655012378</x:v>
      </x:c>
      <x:c r="P287" s="4" t="n">
        <x:f>IF(AND('계산 과정'!$L$7,O287&lt;&gt;0),('계산 과정'!$L$23-'계산 과정'!$C$49*D287-'계산 과정'!$D$49*E287)/O287,"")</x:f>
        <x:v>-19.542125535123848</x:v>
      </x:c>
      <x:c r="Q287" s="4" t="str">
        <x:f>IF(AND(ISNUMBER(P287),P287&gt;1E-9,P287&lt;1-1E-9),'계산 과정'!$C$47*(D287-'계산 과정'!$C$50+P287*('계산 과정'!$C$32-D287))+'계산 과정'!$D$47*(E287-'계산 과정'!$D$50+P287*('계산 과정'!$D$32-E287))+'계산 과정'!$E$47*(0-'계산 과정'!$E$50+P287*('계산 과정'!$E$32-0)),"")</x:f>
      </x:c>
      <x:c r="R287" s="4" t="str">
        <x:f>IF(AND(ISNUMBER(P287),P287&gt;1E-9,P287&lt;1-1E-9),'계산 과정'!$C$48*(D287-'계산 과정'!$C$50+P287*('계산 과정'!$C$32-D287))+'계산 과정'!$D$48*(E287-'계산 과정'!$D$50+P287*('계산 과정'!$D$32-E287))+'계산 과정'!$E$48*(0-'계산 과정'!$E$50+P287*('계산 과정'!$E$32-0)),"")</x:f>
      </x:c>
      <x:c r="S287" s="17" t="n">
        <x:f>IF('계산 과정'!$C$78,IF(AND(ISNUMBER(Q287),ISNUMBER(R287),ABS(Q287-'계산 과정'!$C$88)&lt;='계산 과정'!$D$23/2,ABS(R287-'계산 과정'!$C$89)&lt;='계산 과정'!$D$24/2),1,0),"")</x:f>
        <x:v>0</x:v>
      </x:c>
      <x:c r="T287" s="4"/>
      <x:c r="U287" s="4"/>
      <x:c r="V287" s="4"/>
      <x:c r="W287" s="4" t="n">
        <x:f>IF('계산 과정'!$C$78,'계산 과정'!$C$88+0.6000000000000001*'계산 과정'!$D$23/2,"")</x:f>
        <x:v>184.72340425531905</x:v>
      </x:c>
      <x:c r="X287" s="4" t="str">
        <x:f>""</x:f>
      </x:c>
      <x:c r="Y287" s="4" t="n">
        <x:f>IF('계산 과정'!$C$78,'계산 과정'!$C$89+-1*'계산 과정'!$D$24/2,"")</x:f>
        <x:v>-260</x:v>
      </x:c>
      <x:c r="Z287" s="4" t="str">
        <x:f>""</x:f>
      </x:c>
    </x:row>
    <x:row r="288" ht="23" customHeight="1">
      <x:c r="A288" s="17" t="n">
        <x:f>ROW()-6</x:f>
        <x:v>282</x:v>
      </x:c>
      <x:c r="B288" s="4" t="n">
        <x:f>IF('계산 과정'!$L$5,'계산 과정'!$L$11*SQRT((A288+0.5)/'계산 과정'!$L$30),"")</x:f>
        <x:v>55.71030151877209</x:v>
      </x:c>
      <x:c r="C288" s="4" t="n">
        <x:f>A288*PI()*(3-SQRT(5))</x:f>
        <x:v>676.7896307834801</x:v>
      </x:c>
      <x:c r="D288" s="4" t="n">
        <x:f>IF('계산 과정'!$L$5,B288*COS(C288),"")</x:f>
        <x:v>-12.35252505460449</x:v>
      </x:c>
      <x:c r="E288" s="4" t="n">
        <x:f>IF('계산 과정'!$L$5,B288*SIN(C288),"")</x:f>
        <x:v>-54.32359358591687</x:v>
      </x:c>
      <x:c r="F288" s="4" t="n">
        <x:f>IF('계산 과정'!$L$7,'계산 과정'!$L$22+'계산 과정'!$C$49*D288+'계산 과정'!$D$49*E288,"")</x:f>
        <x:v>658.7345542308875</x:v>
      </x:c>
      <x:c r="G288" s="4" t="n">
        <x:f>IF('계산 과정'!$L$7,IF(ABS(F288)&gt;=1E-12*MAX(1,SQRT((D288-'계산 과정'!$C$33)^2+(E288-'계산 과정'!$D$33)^2+'계산 과정'!$E$33^2)),('계산 과정'!$L$23-'계산 과정'!$C$49*D288-'계산 과정'!$D$49*E288)/F288,""),"")</x:f>
        <x:v>0.5939652675817781</x:v>
      </x:c>
      <x:c r="H288" s="4" t="n">
        <x:f>IF(AND(ISNUMBER(G288),G288&gt;0),('계산 과정'!$D$56+'계산 과정'!$D$57*D288+'계산 과정'!$D$58*E288)/F288,"")</x:f>
        <x:v>-13.922576071844365</x:v>
      </x:c>
      <x:c r="I288" s="4" t="n">
        <x:f>IF(AND(ISNUMBER(G288),G288&gt;0),('계산 과정'!$E$56+'계산 과정'!$E$57*D288+'계산 과정'!$E$58*E288)/F288,"")</x:f>
        <x:v>-86.58992138617975</x:v>
      </x:c>
      <x:c r="J288" s="4" t="n">
        <x:f>IF('계산 과정'!$L$5,'계산 과정'!$D$6+'계산 과정'!$C$35*D288+'계산 과정'!$D$35*E288,"")</x:f>
        <x:v>658.7345542308875</x:v>
      </x:c>
      <x:c r="K288" s="4" t="n">
        <x:f>IF(AND('계산 과정'!$L$6,J288&gt;0),'계산 과정'!$D$10*('계산 과정'!$C$38*(D288-'계산 과정'!$C$32)+'계산 과정'!$D$38*(E288-'계산 과정'!$D$32)-'계산 과정'!$E$38*'계산 과정'!$E$32)/J288,"")</x:f>
        <x:v>-0.10607677007119433</x:v>
      </x:c>
      <x:c r="L288" s="4" t="n">
        <x:f>IF(AND('계산 과정'!$L$6,J288&gt;0),'계산 과정'!$D$10*('계산 과정'!$C$39*(D288-'계산 과정'!$C$32)+'계산 과정'!$D$39*(E288-'계산 과정'!$D$32)-'계산 과정'!$E$39*'계산 과정'!$E$32)/J288,"")</x:f>
        <x:v>-0.6597327343708933</x:v>
      </x:c>
      <x:c r="M288" s="17" t="n">
        <x:f>IF('계산 과정'!$L$6,IF(J288&lt;=0,0,IF(AND(ABS(K288)&lt;='계산 과정'!$D$11/2,ABS(L288)&lt;='계산 과정'!$D$12/2),1,0)),"")</x:f>
        <x:v>1</x:v>
      </x:c>
      <x:c r="N288" s="17" t="n">
        <x:f>IF('계산 과정'!$C$78,IF(AND(ISNUMBER(H288),ISNUMBER(I288),ABS(H288-'계산 과정'!$C$88)&lt;='계산 과정'!$D$23/2,ABS(I288-'계산 과정'!$C$89)&lt;='계산 과정'!$D$24/2),1,0),"")</x:f>
        <x:v>1</x:v>
      </x:c>
      <x:c r="O288" s="4" t="n">
        <x:f>IF('계산 과정'!$L$7,'계산 과정'!$C$49*('계산 과정'!$C$32-D288)+'계산 과정'!$D$49*('계산 과정'!$D$32-E288)+'계산 과정'!$E$49*'계산 과정'!$E$32,"")</x:f>
        <x:v>-8.734554230887454</x:v>
      </x:c>
      <x:c r="P288" s="4" t="n">
        <x:f>IF(AND('계산 과정'!$L$7,O288&lt;&gt;0),('계산 과정'!$L$23-'계산 과정'!$C$49*D288-'계산 과정'!$D$49*E288)/O288,"")</x:f>
        <x:v>-44.79512467682725</x:v>
      </x:c>
      <x:c r="Q288" s="4" t="str">
        <x:f>IF(AND(ISNUMBER(P288),P288&gt;1E-9,P288&lt;1-1E-9),'계산 과정'!$C$47*(D288-'계산 과정'!$C$50+P288*('계산 과정'!$C$32-D288))+'계산 과정'!$D$47*(E288-'계산 과정'!$D$50+P288*('계산 과정'!$D$32-E288))+'계산 과정'!$E$47*(0-'계산 과정'!$E$50+P288*('계산 과정'!$E$32-0)),"")</x:f>
      </x:c>
      <x:c r="R288" s="4" t="str">
        <x:f>IF(AND(ISNUMBER(P288),P288&gt;1E-9,P288&lt;1-1E-9),'계산 과정'!$C$48*(D288-'계산 과정'!$C$50+P288*('계산 과정'!$C$32-D288))+'계산 과정'!$D$48*(E288-'계산 과정'!$D$50+P288*('계산 과정'!$D$32-E288))+'계산 과정'!$E$48*(0-'계산 과정'!$E$50+P288*('계산 과정'!$E$32-0)),"")</x:f>
      </x:c>
      <x:c r="S288" s="17" t="n">
        <x:f>IF('계산 과정'!$C$78,IF(AND(ISNUMBER(Q288),ISNUMBER(R288),ABS(Q288-'계산 과정'!$C$88)&lt;='계산 과정'!$D$23/2,ABS(R288-'계산 과정'!$C$89)&lt;='계산 과정'!$D$24/2),1,0),"")</x:f>
        <x:v>0</x:v>
      </x:c>
      <x:c r="T288" s="4"/>
      <x:c r="U288" s="4"/>
      <x:c r="V288" s="4"/>
      <x:c r="W288" s="4" t="n">
        <x:f>IF('계산 과정'!$C$78,'계산 과정'!$C$88+0.6399999999999999*'계산 과정'!$D$23/2,"")</x:f>
        <x:v>195.123404255319</x:v>
      </x:c>
      <x:c r="X288" s="4" t="str">
        <x:f>""</x:f>
      </x:c>
      <x:c r="Y288" s="4" t="n">
        <x:f>IF('계산 과정'!$C$78,'계산 과정'!$C$89+-1*'계산 과정'!$D$24/2,"")</x:f>
        <x:v>-260</x:v>
      </x:c>
      <x:c r="Z288" s="4" t="str">
        <x:f>""</x:f>
      </x:c>
    </x:row>
    <x:row r="289" ht="23" customHeight="1">
      <x:c r="A289" s="17" t="n">
        <x:f>ROW()-6</x:f>
        <x:v>283</x:v>
      </x:c>
      <x:c r="B289" s="4" t="n">
        <x:f>IF('계산 과정'!$L$5,'계산 과정'!$L$11*SQRT((A289+0.5)/'계산 과정'!$L$30),"")</x:f>
        <x:v>55.80881671776871</x:v>
      </x:c>
      <x:c r="C289" s="4" t="n">
        <x:f>A289*PI()*(3-SQRT(5))</x:f>
        <x:v>679.1895940132088</x:v>
      </x:c>
      <x:c r="D289" s="4" t="n">
        <x:f>IF('계산 과정'!$L$5,B289*COS(C289),"")</x:f>
        <x:v>45.88442415646372</x:v>
      </x:c>
      <x:c r="E289" s="4" t="n">
        <x:f>IF('계산 과정'!$L$5,B289*SIN(C289),"")</x:f>
        <x:v>31.768595235975226</x:v>
      </x:c>
      <x:c r="F289" s="4" t="n">
        <x:f>IF('계산 과정'!$L$7,'계산 과정'!$L$22+'계산 과정'!$C$49*D289+'계산 과정'!$D$49*E289,"")</x:f>
        <x:v>617.5548125281247</x:v>
      </x:c>
      <x:c r="G289" s="4" t="n">
        <x:f>IF('계산 과정'!$L$7,IF(ABS(F289)&gt;=1E-12*MAX(1,SQRT((D289-'계산 과정'!$C$33)^2+(E289-'계산 과정'!$D$33)^2+'계산 과정'!$E$33^2)),('계산 과정'!$L$23-'계산 과정'!$C$49*D289-'계산 과정'!$D$49*E289)/F289,""),"")</x:f>
        <x:v>0.7002539348718636</x:v>
      </x:c>
      <x:c r="H289" s="4" t="n">
        <x:f>IF(AND(ISNUMBER(G289),G289&gt;0),('계산 과정'!$D$56+'계산 과정'!$D$57*D289+'계산 과정'!$D$58*E289)/F289,"")</x:f>
        <x:v>55.16505766671121</x:v>
      </x:c>
      <x:c r="I289" s="4" t="n">
        <x:f>IF(AND(ISNUMBER(G289),G289&gt;0),('계산 과정'!$E$56+'계산 과정'!$E$57*D289+'계산 과정'!$E$58*E289)/F289,"")</x:f>
        <x:v>54.01467905531842</x:v>
      </x:c>
      <x:c r="J289" s="4" t="n">
        <x:f>IF('계산 과정'!$L$5,'계산 과정'!$D$6+'계산 과정'!$C$35*D289+'계산 과정'!$D$35*E289,"")</x:f>
        <x:v>617.5548125281247</x:v>
      </x:c>
      <x:c r="K289" s="4" t="n">
        <x:f>IF(AND('계산 과정'!$L$6,J289&gt;0),'계산 과정'!$D$10*('계산 과정'!$C$38*(D289-'계산 과정'!$C$32)+'계산 과정'!$D$38*(E289-'계산 과정'!$D$32)-'계산 과정'!$E$38*'계산 과정'!$E$32)/J289,"")</x:f>
        <x:v>0.4203052012701822</x:v>
      </x:c>
      <x:c r="L289" s="4" t="n">
        <x:f>IF(AND('계산 과정'!$L$6,J289&gt;0),'계산 과정'!$D$10*('계산 과정'!$C$39*(D289-'계산 과정'!$C$32)+'계산 과정'!$D$39*(E289-'계산 과정'!$D$32)-'계산 과정'!$E$39*'계산 과정'!$E$32)/J289,"")</x:f>
        <x:v>0.4115404118500451</x:v>
      </x:c>
      <x:c r="M289" s="17" t="n">
        <x:f>IF('계산 과정'!$L$6,IF(J289&lt;=0,0,IF(AND(ABS(K289)&lt;='계산 과정'!$D$11/2,ABS(L289)&lt;='계산 과정'!$D$12/2),1,0)),"")</x:f>
        <x:v>1</x:v>
      </x:c>
      <x:c r="N289" s="17" t="n">
        <x:f>IF('계산 과정'!$C$78,IF(AND(ISNUMBER(H289),ISNUMBER(I289),ABS(H289-'계산 과정'!$C$88)&lt;='계산 과정'!$D$23/2,ABS(I289-'계산 과정'!$C$89)&lt;='계산 과정'!$D$24/2),1,0),"")</x:f>
        <x:v>1</x:v>
      </x:c>
      <x:c r="O289" s="4" t="n">
        <x:f>IF('계산 과정'!$L$7,'계산 과정'!$C$49*('계산 과정'!$C$32-D289)+'계산 과정'!$D$49*('계산 과정'!$D$32-E289)+'계산 과정'!$E$49*'계산 과정'!$E$32,"")</x:f>
        <x:v>32.44518747187544</x:v>
      </x:c>
      <x:c r="P289" s="4" t="n">
        <x:f>IF(AND('계산 과정'!$L$7,O289&lt;&gt;0),('계산 과정'!$L$23-'계산 과정'!$C$49*D289-'계산 과정'!$D$49*E289)/O289,"")</x:f>
        <x:v>13.328484782118553</x:v>
      </x:c>
      <x:c r="Q289" s="4" t="str">
        <x:f>IF(AND(ISNUMBER(P289),P289&gt;1E-9,P289&lt;1-1E-9),'계산 과정'!$C$47*(D289-'계산 과정'!$C$50+P289*('계산 과정'!$C$32-D289))+'계산 과정'!$D$47*(E289-'계산 과정'!$D$50+P289*('계산 과정'!$D$32-E289))+'계산 과정'!$E$47*(0-'계산 과정'!$E$50+P289*('계산 과정'!$E$32-0)),"")</x:f>
      </x:c>
      <x:c r="R289" s="4" t="str">
        <x:f>IF(AND(ISNUMBER(P289),P289&gt;1E-9,P289&lt;1-1E-9),'계산 과정'!$C$48*(D289-'계산 과정'!$C$50+P289*('계산 과정'!$C$32-D289))+'계산 과정'!$D$48*(E289-'계산 과정'!$D$50+P289*('계산 과정'!$D$32-E289))+'계산 과정'!$E$48*(0-'계산 과정'!$E$50+P289*('계산 과정'!$E$32-0)),"")</x:f>
      </x:c>
      <x:c r="S289" s="17" t="n">
        <x:f>IF('계산 과정'!$C$78,IF(AND(ISNUMBER(Q289),ISNUMBER(R289),ABS(Q289-'계산 과정'!$C$88)&lt;='계산 과정'!$D$23/2,ABS(R289-'계산 과정'!$C$89)&lt;='계산 과정'!$D$24/2),1,0),"")</x:f>
        <x:v>0</x:v>
      </x:c>
      <x:c r="T289" s="4"/>
      <x:c r="U289" s="4"/>
      <x:c r="V289" s="4"/>
      <x:c r="W289" s="4" t="n">
        <x:f>IF('계산 과정'!$C$78,'계산 과정'!$C$88+0.6799999999999999*'계산 과정'!$D$23/2,"")</x:f>
        <x:v>205.523404255319</x:v>
      </x:c>
      <x:c r="X289" s="4" t="str">
        <x:f>""</x:f>
      </x:c>
      <x:c r="Y289" s="4" t="n">
        <x:f>IF('계산 과정'!$C$78,'계산 과정'!$C$89+-1*'계산 과정'!$D$24/2,"")</x:f>
        <x:v>-260</x:v>
      </x:c>
      <x:c r="Z289" s="4" t="str">
        <x:f>""</x:f>
      </x:c>
    </x:row>
    <x:row r="290" ht="23" customHeight="1">
      <x:c r="A290" s="17" t="n">
        <x:f>ROW()-6</x:f>
        <x:v>284</x:v>
      </x:c>
      <x:c r="B290" s="4" t="n">
        <x:f>IF('계산 과정'!$L$5,'계산 과정'!$L$11*SQRT((A290+0.5)/'계산 과정'!$L$30),"")</x:f>
        <x:v>55.90715832129639</x:v>
      </x:c>
      <x:c r="C290" s="4" t="n">
        <x:f>A290*PI()*(3-SQRT(5))</x:f>
        <x:v>681.5895572429374</x:v>
      </x:c>
      <x:c r="D290" s="4" t="n">
        <x:f>IF('계산 과정'!$L$5,B290*COS(C290),"")</x:f>
        <x:v>-55.39055699911999</x:v>
      </x:c>
      <x:c r="E290" s="4" t="n">
        <x:f>IF('계산 과정'!$L$5,B290*SIN(C290),"")</x:f>
        <x:v>7.582647749285219</x:v>
      </x:c>
      <x:c r="F290" s="4" t="n">
        <x:f>IF('계산 과정'!$L$7,'계산 과정'!$L$22+'계산 과정'!$C$49*D290+'계산 과정'!$D$49*E290,"")</x:f>
        <x:v>689.1670384677777</x:v>
      </x:c>
      <x:c r="G290" s="4" t="n">
        <x:f>IF('계산 과정'!$L$7,IF(ABS(F290)&gt;=1E-12*MAX(1,SQRT((D290-'계산 과정'!$C$33)^2+(E290-'계산 과정'!$D$33)^2+'계산 과정'!$E$33^2)),('계산 과정'!$L$23-'계산 과정'!$C$49*D290-'계산 과정'!$D$49*E290)/F290,""),"")</x:f>
        <x:v>0.5235783799736864</x:v>
      </x:c>
      <x:c r="H290" s="4" t="n">
        <x:f>IF(AND(ISNUMBER(G290),G290&gt;0),('계산 과정'!$D$56+'계산 과정'!$D$57*D290+'계산 과정'!$D$58*E290)/F290,"")</x:f>
        <x:v>-59.67405301710396</x:v>
      </x:c>
      <x:c r="I290" s="4" t="n">
        <x:f>IF(AND(ISNUMBER(G290),G290&gt;0),('계산 과정'!$E$56+'계산 과정'!$E$57*D290+'계산 과정'!$E$58*E290)/F290,"")</x:f>
        <x:v>11.552758173767094</x:v>
      </x:c>
      <x:c r="J290" s="4" t="n">
        <x:f>IF('계산 과정'!$L$5,'계산 과정'!$D$6+'계산 과정'!$C$35*D290+'계산 과정'!$D$35*E290,"")</x:f>
        <x:v>689.1670384677777</x:v>
      </x:c>
      <x:c r="K290" s="4" t="n">
        <x:f>IF(AND('계산 과정'!$L$6,J290&gt;0),'계산 과정'!$D$10*('계산 과정'!$C$38*(D290-'계산 과정'!$C$32)+'계산 과정'!$D$38*(E290-'계산 과정'!$D$32)-'계산 과정'!$E$38*'계산 과정'!$E$32)/J290,"")</x:f>
        <x:v>-0.4546594515588865</x:v>
      </x:c>
      <x:c r="L290" s="4" t="n">
        <x:f>IF(AND('계산 과정'!$L$6,J290&gt;0),'계산 과정'!$D$10*('계산 과정'!$C$39*(D290-'계산 과정'!$C$32)+'계산 과정'!$D$39*(E290-'계산 과정'!$D$32)-'계산 과정'!$E$39*'계산 과정'!$E$32)/J290,"")</x:f>
        <x:v>0.08802101465727309</x:v>
      </x:c>
      <x:c r="M290" s="17" t="n">
        <x:f>IF('계산 과정'!$L$6,IF(J290&lt;=0,0,IF(AND(ABS(K290)&lt;='계산 과정'!$D$11/2,ABS(L290)&lt;='계산 과정'!$D$12/2),1,0)),"")</x:f>
        <x:v>1</x:v>
      </x:c>
      <x:c r="N290" s="17" t="n">
        <x:f>IF('계산 과정'!$C$78,IF(AND(ISNUMBER(H290),ISNUMBER(I290),ABS(H290-'계산 과정'!$C$88)&lt;='계산 과정'!$D$23/2,ABS(I290-'계산 과정'!$C$89)&lt;='계산 과정'!$D$24/2),1,0),"")</x:f>
        <x:v>1</x:v>
      </x:c>
      <x:c r="O290" s="4" t="n">
        <x:f>IF('계산 과정'!$L$7,'계산 과정'!$C$49*('계산 과정'!$C$32-D290)+'계산 과정'!$D$49*('계산 과정'!$D$32-E290)+'계산 과정'!$E$49*'계산 과정'!$E$32,"")</x:f>
        <x:v>-39.167038467777616</x:v>
      </x:c>
      <x:c r="P290" s="4" t="n">
        <x:f>IF(AND('계산 과정'!$L$7,O290&lt;&gt;0),('계산 과정'!$L$23-'계산 과정'!$C$49*D290-'계산 과정'!$D$49*E290)/O290,"")</x:f>
        <x:v>-9.212669010680408</x:v>
      </x:c>
      <x:c r="Q290" s="4" t="str">
        <x:f>IF(AND(ISNUMBER(P290),P290&gt;1E-9,P290&lt;1-1E-9),'계산 과정'!$C$47*(D290-'계산 과정'!$C$50+P290*('계산 과정'!$C$32-D290))+'계산 과정'!$D$47*(E290-'계산 과정'!$D$50+P290*('계산 과정'!$D$32-E290))+'계산 과정'!$E$47*(0-'계산 과정'!$E$50+P290*('계산 과정'!$E$32-0)),"")</x:f>
      </x:c>
      <x:c r="R290" s="4" t="str">
        <x:f>IF(AND(ISNUMBER(P290),P290&gt;1E-9,P290&lt;1-1E-9),'계산 과정'!$C$48*(D290-'계산 과정'!$C$50+P290*('계산 과정'!$C$32-D290))+'계산 과정'!$D$48*(E290-'계산 과정'!$D$50+P290*('계산 과정'!$D$32-E290))+'계산 과정'!$E$48*(0-'계산 과정'!$E$50+P290*('계산 과정'!$E$32-0)),"")</x:f>
      </x:c>
      <x:c r="S290" s="17" t="n">
        <x:f>IF('계산 과정'!$C$78,IF(AND(ISNUMBER(Q290),ISNUMBER(R290),ABS(Q290-'계산 과정'!$C$88)&lt;='계산 과정'!$D$23/2,ABS(R290-'계산 과정'!$C$89)&lt;='계산 과정'!$D$24/2),1,0),"")</x:f>
        <x:v>0</x:v>
      </x:c>
      <x:c r="T290" s="4"/>
      <x:c r="U290" s="4"/>
      <x:c r="V290" s="4"/>
      <x:c r="W290" s="4" t="n">
        <x:f>IF('계산 과정'!$C$78,'계산 과정'!$C$88+0.72*'계산 과정'!$D$23/2,"")</x:f>
        <x:v>215.923404255319</x:v>
      </x:c>
      <x:c r="X290" s="4" t="str">
        <x:f>""</x:f>
      </x:c>
      <x:c r="Y290" s="4" t="n">
        <x:f>IF('계산 과정'!$C$78,'계산 과정'!$C$89+-1*'계산 과정'!$D$24/2,"")</x:f>
        <x:v>-260</x:v>
      </x:c>
      <x:c r="Z290" s="4" t="str">
        <x:f>""</x:f>
      </x:c>
    </x:row>
    <x:row r="291" ht="23" customHeight="1">
      <x:c r="A291" s="17" t="n">
        <x:f>ROW()-6</x:f>
        <x:v>285</x:v>
      </x:c>
      <x:c r="B291" s="4" t="n">
        <x:f>IF('계산 과정'!$L$5,'계산 과정'!$L$11*SQRT((A291+0.5)/'계산 과정'!$L$30),"")</x:f>
        <x:v>56.00532724382119</x:v>
      </x:c>
      <x:c r="C291" s="4" t="n">
        <x:f>A291*PI()*(3-SQRT(5))</x:f>
        <x:v>683.9895204726661</x:v>
      </x:c>
      <x:c r="D291" s="4" t="n">
        <x:f>IF('계산 과정'!$L$5,B291*COS(C291),"")</x:f>
        <x:v>35.783991871482364</x:v>
      </x:c>
      <x:c r="E291" s="4" t="n">
        <x:f>IF('계산 과정'!$L$5,B291*SIN(C291),"")</x:f>
        <x:v>-43.082509274985185</x:v>
      </x:c>
      <x:c r="F291" s="4" t="n">
        <x:f>IF('계산 과정'!$L$7,'계산 과정'!$L$22+'계산 과정'!$C$49*D291+'계산 과정'!$D$49*E291,"")</x:f>
        <x:v>624.6968966897505</x:v>
      </x:c>
      <x:c r="G291" s="4" t="n">
        <x:f>IF('계산 과정'!$L$7,IF(ABS(F291)&gt;=1E-12*MAX(1,SQRT((D291-'계산 과정'!$C$33)^2+(E291-'계산 과정'!$D$33)^2+'계산 과정'!$E$33^2)),('계산 과정'!$L$23-'계산 과정'!$C$49*D291-'계산 과정'!$D$49*E291)/F291,""),"")</x:f>
        <x:v>0.6808151370111128</x:v>
      </x:c>
      <x:c r="H291" s="4" t="n">
        <x:f>IF(AND(ISNUMBER(G291),G291&gt;0),('계산 과정'!$D$56+'계산 과정'!$D$57*D291+'계산 과정'!$D$58*E291)/F291,"")</x:f>
        <x:v>42.529839057223214</x:v>
      </x:c>
      <x:c r="I291" s="4" t="n">
        <x:f>IF(AND(ISNUMBER(G291),G291&gt;0),('계산 과정'!$E$56+'계산 과정'!$E$57*D291+'계산 과정'!$E$58*E291)/F291,"")</x:f>
        <x:v>-72.41373372981677</x:v>
      </x:c>
      <x:c r="J291" s="4" t="n">
        <x:f>IF('계산 과정'!$L$5,'계산 과정'!$D$6+'계산 과정'!$C$35*D291+'계산 과정'!$D$35*E291,"")</x:f>
        <x:v>624.6968966897505</x:v>
      </x:c>
      <x:c r="K291" s="4" t="n">
        <x:f>IF(AND('계산 과정'!$L$6,J291&gt;0),'계산 과정'!$D$10*('계산 과정'!$C$38*(D291-'계산 과정'!$C$32)+'계산 과정'!$D$38*(E291-'계산 과정'!$D$32)-'계산 과정'!$E$38*'계산 과정'!$E$32)/J291,"")</x:f>
        <x:v>0.3240368690074164</x:v>
      </x:c>
      <x:c r="L291" s="4" t="n">
        <x:f>IF(AND('계산 과정'!$L$6,J291&gt;0),'계산 과정'!$D$10*('계산 과정'!$C$39*(D291-'계산 과정'!$C$32)+'계산 과정'!$D$39*(E291-'계산 과정'!$D$32)-'계산 과정'!$E$39*'계산 과정'!$E$32)/J291,"")</x:f>
        <x:v>-0.5517236855605087</x:v>
      </x:c>
      <x:c r="M291" s="17" t="n">
        <x:f>IF('계산 과정'!$L$6,IF(J291&lt;=0,0,IF(AND(ABS(K291)&lt;='계산 과정'!$D$11/2,ABS(L291)&lt;='계산 과정'!$D$12/2),1,0)),"")</x:f>
        <x:v>1</x:v>
      </x:c>
      <x:c r="N291" s="17" t="n">
        <x:f>IF('계산 과정'!$C$78,IF(AND(ISNUMBER(H291),ISNUMBER(I291),ABS(H291-'계산 과정'!$C$88)&lt;='계산 과정'!$D$23/2,ABS(I291-'계산 과정'!$C$89)&lt;='계산 과정'!$D$24/2),1,0),"")</x:f>
        <x:v>1</x:v>
      </x:c>
      <x:c r="O291" s="4" t="n">
        <x:f>IF('계산 과정'!$L$7,'계산 과정'!$C$49*('계산 과정'!$C$32-D291)+'계산 과정'!$D$49*('계산 과정'!$D$32-E291)+'계산 과정'!$E$49*'계산 과정'!$E$32,"")</x:f>
        <x:v>25.303103310249583</x:v>
      </x:c>
      <x:c r="P291" s="4" t="n">
        <x:f>IF(AND('계산 과정'!$L$7,O291&lt;&gt;0),('계산 과정'!$L$23-'계산 과정'!$C$49*D291-'계산 과정'!$D$49*E291)/O291,"")</x:f>
        <x:v>16.808337621495266</x:v>
      </x:c>
      <x:c r="Q291" s="4" t="str">
        <x:f>IF(AND(ISNUMBER(P291),P291&gt;1E-9,P291&lt;1-1E-9),'계산 과정'!$C$47*(D291-'계산 과정'!$C$50+P291*('계산 과정'!$C$32-D291))+'계산 과정'!$D$47*(E291-'계산 과정'!$D$50+P291*('계산 과정'!$D$32-E291))+'계산 과정'!$E$47*(0-'계산 과정'!$E$50+P291*('계산 과정'!$E$32-0)),"")</x:f>
      </x:c>
      <x:c r="R291" s="4" t="str">
        <x:f>IF(AND(ISNUMBER(P291),P291&gt;1E-9,P291&lt;1-1E-9),'계산 과정'!$C$48*(D291-'계산 과정'!$C$50+P291*('계산 과정'!$C$32-D291))+'계산 과정'!$D$48*(E291-'계산 과정'!$D$50+P291*('계산 과정'!$D$32-E291))+'계산 과정'!$E$48*(0-'계산 과정'!$E$50+P291*('계산 과정'!$E$32-0)),"")</x:f>
      </x:c>
      <x:c r="S291" s="17" t="n">
        <x:f>IF('계산 과정'!$C$78,IF(AND(ISNUMBER(Q291),ISNUMBER(R291),ABS(Q291-'계산 과정'!$C$88)&lt;='계산 과정'!$D$23/2,ABS(R291-'계산 과정'!$C$89)&lt;='계산 과정'!$D$24/2),1,0),"")</x:f>
        <x:v>0</x:v>
      </x:c>
      <x:c r="T291" s="4"/>
      <x:c r="U291" s="4"/>
      <x:c r="V291" s="4"/>
      <x:c r="W291" s="4" t="n">
        <x:f>IF('계산 과정'!$C$78,'계산 과정'!$C$88+0.76*'계산 과정'!$D$23/2,"")</x:f>
        <x:v>226.32340425531902</x:v>
      </x:c>
      <x:c r="X291" s="4" t="str">
        <x:f>""</x:f>
      </x:c>
      <x:c r="Y291" s="4" t="n">
        <x:f>IF('계산 과정'!$C$78,'계산 과정'!$C$89+-1*'계산 과정'!$D$24/2,"")</x:f>
        <x:v>-260</x:v>
      </x:c>
      <x:c r="Z291" s="4" t="str">
        <x:f>""</x:f>
      </x:c>
    </x:row>
    <x:row r="292" ht="23" customHeight="1">
      <x:c r="A292" s="17" t="n">
        <x:f>ROW()-6</x:f>
        <x:v>286</x:v>
      </x:c>
      <x:c r="B292" s="4" t="n">
        <x:f>IF('계산 과정'!$L$5,'계산 과정'!$L$11*SQRT((A292+0.5)/'계산 과정'!$L$30),"")</x:f>
        <x:v>56.10332439180855</x:v>
      </x:c>
      <x:c r="C292" s="4" t="n">
        <x:f>A292*PI()*(3-SQRT(5))</x:f>
        <x:v>686.3894837023947</x:v>
      </x:c>
      <x:c r="D292" s="4" t="n">
        <x:f>IF('계산 과정'!$L$5,B292*COS(C292),"")</x:f>
        <x:v>2.7205670139941804</x:v>
      </x:c>
      <x:c r="E292" s="4" t="n">
        <x:f>IF('계산 과정'!$L$5,B292*SIN(C292),"")</x:f>
        <x:v>56.03732258892163</x:v>
      </x:c>
      <x:c r="F292" s="4" t="n">
        <x:f>IF('계산 과정'!$L$7,'계산 과정'!$L$22+'계산 과정'!$C$49*D292+'계산 과정'!$D$49*E292,"")</x:f>
        <x:v>648.0762686157323</x:v>
      </x:c>
      <x:c r="G292" s="4" t="n">
        <x:f>IF('계산 과정'!$L$7,IF(ABS(F292)&gt;=1E-12*MAX(1,SQRT((D292-'계산 과정'!$C$33)^2+(E292-'계산 과정'!$D$33)^2+'계산 과정'!$E$33^2)),('계산 과정'!$L$23-'계산 과정'!$C$49*D292-'계산 과정'!$D$49*E292)/F292,""),"")</x:f>
        <x:v>0.6201796776832493</x:v>
      </x:c>
      <x:c r="H292" s="4" t="n">
        <x:f>IF(AND(ISNUMBER(G292),G292&gt;0),('계산 과정'!$D$56+'계산 과정'!$D$57*D292+'계산 과정'!$D$58*E292)/F292,"")</x:f>
        <x:v>3.1167904941119153</x:v>
      </x:c>
      <x:c r="I292" s="4" t="n">
        <x:f>IF(AND(ISNUMBER(G292),G292&gt;0),('계산 과정'!$E$56+'계산 과정'!$E$57*D292+'계산 과정'!$E$58*E292)/F292,"")</x:f>
        <x:v>90.79053125035132</x:v>
      </x:c>
      <x:c r="J292" s="4" t="n">
        <x:f>IF('계산 과정'!$L$5,'계산 과정'!$D$6+'계산 과정'!$C$35*D292+'계산 과정'!$D$35*E292,"")</x:f>
        <x:v>648.0762686157323</x:v>
      </x:c>
      <x:c r="K292" s="4" t="n">
        <x:f>IF(AND('계산 과정'!$L$6,J292&gt;0),'계산 과정'!$D$10*('계산 과정'!$C$38*(D292-'계산 과정'!$C$32)+'계산 과정'!$D$38*(E292-'계산 과정'!$D$32)-'계산 과정'!$E$38*'계산 과정'!$E$32)/J292,"")</x:f>
        <x:v>0.02374697519323472</x:v>
      </x:c>
      <x:c r="L292" s="4" t="n">
        <x:f>IF(AND('계산 과정'!$L$6,J292&gt;0),'계산 과정'!$D$10*('계산 과정'!$C$39*(D292-'계산 과정'!$C$32)+'계산 과정'!$D$39*(E292-'계산 과정'!$D$32)-'계산 과정'!$E$39*'계산 과정'!$E$32)/J292,"")</x:f>
        <x:v>0.6917373809550577</x:v>
      </x:c>
      <x:c r="M292" s="17" t="n">
        <x:f>IF('계산 과정'!$L$6,IF(J292&lt;=0,0,IF(AND(ABS(K292)&lt;='계산 과정'!$D$11/2,ABS(L292)&lt;='계산 과정'!$D$12/2),1,0)),"")</x:f>
        <x:v>1</x:v>
      </x:c>
      <x:c r="N292" s="17" t="n">
        <x:f>IF('계산 과정'!$C$78,IF(AND(ISNUMBER(H292),ISNUMBER(I292),ABS(H292-'계산 과정'!$C$88)&lt;='계산 과정'!$D$23/2,ABS(I292-'계산 과정'!$C$89)&lt;='계산 과정'!$D$24/2),1,0),"")</x:f>
        <x:v>1</x:v>
      </x:c>
      <x:c r="O292" s="4" t="n">
        <x:f>IF('계산 과정'!$L$7,'계산 과정'!$C$49*('계산 과정'!$C$32-D292)+'계산 과정'!$D$49*('계산 과정'!$D$32-E292)+'계산 과정'!$E$49*'계산 과정'!$E$32,"")</x:f>
        <x:v>1.9237313842678532</x:v>
      </x:c>
      <x:c r="P292" s="4" t="n">
        <x:f>IF(AND('계산 과정'!$L$7,O292&lt;&gt;0),('계산 과정'!$L$23-'계산 과정'!$C$49*D292-'계산 과정'!$D$49*E292)/O292,"")</x:f>
        <x:v>208.92923755944992</x:v>
      </x:c>
      <x:c r="Q292" s="4" t="str">
        <x:f>IF(AND(ISNUMBER(P292),P292&gt;1E-9,P292&lt;1-1E-9),'계산 과정'!$C$47*(D292-'계산 과정'!$C$50+P292*('계산 과정'!$C$32-D292))+'계산 과정'!$D$47*(E292-'계산 과정'!$D$50+P292*('계산 과정'!$D$32-E292))+'계산 과정'!$E$47*(0-'계산 과정'!$E$50+P292*('계산 과정'!$E$32-0)),"")</x:f>
      </x:c>
      <x:c r="R292" s="4" t="str">
        <x:f>IF(AND(ISNUMBER(P292),P292&gt;1E-9,P292&lt;1-1E-9),'계산 과정'!$C$48*(D292-'계산 과정'!$C$50+P292*('계산 과정'!$C$32-D292))+'계산 과정'!$D$48*(E292-'계산 과정'!$D$50+P292*('계산 과정'!$D$32-E292))+'계산 과정'!$E$48*(0-'계산 과정'!$E$50+P292*('계산 과정'!$E$32-0)),"")</x:f>
      </x:c>
      <x:c r="S292" s="17" t="n">
        <x:f>IF('계산 과정'!$C$78,IF(AND(ISNUMBER(Q292),ISNUMBER(R292),ABS(Q292-'계산 과정'!$C$88)&lt;='계산 과정'!$D$23/2,ABS(R292-'계산 과정'!$C$89)&lt;='계산 과정'!$D$24/2),1,0),"")</x:f>
        <x:v>0</x:v>
      </x:c>
      <x:c r="T292" s="4"/>
      <x:c r="U292" s="4"/>
      <x:c r="V292" s="4"/>
      <x:c r="W292" s="4" t="n">
        <x:f>IF('계산 과정'!$C$78,'계산 과정'!$C$88+0.8*'계산 과정'!$D$23/2,"")</x:f>
        <x:v>236.72340425531902</x:v>
      </x:c>
      <x:c r="X292" s="4" t="str">
        <x:f>""</x:f>
      </x:c>
      <x:c r="Y292" s="4" t="n">
        <x:f>IF('계산 과정'!$C$78,'계산 과정'!$C$89+-1*'계산 과정'!$D$24/2,"")</x:f>
        <x:v>-260</x:v>
      </x:c>
      <x:c r="Z292" s="4" t="str">
        <x:f>""</x:f>
      </x:c>
    </x:row>
    <x:row r="293" ht="23" customHeight="1">
      <x:c r="A293" s="17" t="n">
        <x:f>ROW()-6</x:f>
        <x:v>287</x:v>
      </x:c>
      <x:c r="B293" s="4" t="n">
        <x:f>IF('계산 과정'!$L$5,'계산 과정'!$L$11*SQRT((A293+0.5)/'계산 과정'!$L$30),"")</x:f>
        <x:v>56.20115066382093</x:v>
      </x:c>
      <x:c r="C293" s="4" t="n">
        <x:f>A293*PI()*(3-SQRT(5))</x:f>
        <x:v>688.7894469321234</x:v>
      </x:c>
      <x:c r="D293" s="4" t="n">
        <x:f>IF('계산 과정'!$L$5,B293*COS(C293),"")</x:f>
        <x:v>-39.92822986001985</x:v>
      </x:c>
      <x:c r="E293" s="4" t="n">
        <x:f>IF('계산 과정'!$L$5,B293*SIN(C293),"")</x:f>
        <x:v>-39.55130587203056</x:v>
      </x:c>
      <x:c r="F293" s="4" t="n">
        <x:f>IF('계산 과정'!$L$7,'계산 과정'!$L$22+'계산 과정'!$C$49*D293+'계산 과정'!$D$49*E293,"")</x:f>
        <x:v>678.2335220947953</x:v>
      </x:c>
      <x:c r="G293" s="4" t="n">
        <x:f>IF('계산 과정'!$L$7,IF(ABS(F293)&gt;=1E-12*MAX(1,SQRT((D293-'계산 과정'!$C$33)^2+(E293-'계산 과정'!$D$33)^2+'계산 과정'!$E$33^2)),('계산 과정'!$L$23-'계산 과정'!$C$49*D293-'계산 과정'!$D$49*E293)/F293,""),"")</x:f>
        <x:v>0.5481393440373827</x:v>
      </x:c>
      <x:c r="H293" s="4" t="n">
        <x:f>IF(AND(ISNUMBER(G293),G293&gt;0),('계산 과정'!$D$56+'계산 과정'!$D$57*D293+'계산 과정'!$D$58*E293)/F293,"")</x:f>
        <x:v>-43.70942637570135</x:v>
      </x:c>
      <x:c r="I293" s="4" t="n">
        <x:f>IF(AND(ISNUMBER(G293),G293&gt;0),('계산 과정'!$E$56+'계산 과정'!$E$57*D293+'계산 과정'!$E$58*E293)/F293,"")</x:f>
        <x:v>-61.23093272854727</x:v>
      </x:c>
      <x:c r="J293" s="4" t="n">
        <x:f>IF('계산 과정'!$L$5,'계산 과정'!$D$6+'계산 과정'!$C$35*D293+'계산 과정'!$D$35*E293,"")</x:f>
        <x:v>678.2335220947953</x:v>
      </x:c>
      <x:c r="K293" s="4" t="n">
        <x:f>IF(AND('계산 과정'!$L$6,J293&gt;0),'계산 과정'!$D$10*('계산 과정'!$C$38*(D293-'계산 과정'!$C$32)+'계산 과정'!$D$38*(E293-'계산 과정'!$D$32)-'계산 과정'!$E$38*'계산 과정'!$E$32)/J293,"")</x:f>
        <x:v>-0.3330242009577234</x:v>
      </x:c>
      <x:c r="L293" s="4" t="n">
        <x:f>IF(AND('계산 과정'!$L$6,J293&gt;0),'계산 과정'!$D$10*('계산 과정'!$C$39*(D293-'계산 과정'!$C$32)+'계산 과정'!$D$39*(E293-'계산 과정'!$D$32)-'계산 과정'!$E$39*'계산 과정'!$E$32)/J293,"")</x:f>
        <x:v>-0.46652139221750305</x:v>
      </x:c>
      <x:c r="M293" s="17" t="n">
        <x:f>IF('계산 과정'!$L$6,IF(J293&lt;=0,0,IF(AND(ABS(K293)&lt;='계산 과정'!$D$11/2,ABS(L293)&lt;='계산 과정'!$D$12/2),1,0)),"")</x:f>
        <x:v>1</x:v>
      </x:c>
      <x:c r="N293" s="17" t="n">
        <x:f>IF('계산 과정'!$C$78,IF(AND(ISNUMBER(H293),ISNUMBER(I293),ABS(H293-'계산 과정'!$C$88)&lt;='계산 과정'!$D$23/2,ABS(I293-'계산 과정'!$C$89)&lt;='계산 과정'!$D$24/2),1,0),"")</x:f>
        <x:v>1</x:v>
      </x:c>
      <x:c r="O293" s="4" t="n">
        <x:f>IF('계산 과정'!$L$7,'계산 과정'!$C$49*('계산 과정'!$C$32-D293)+'계산 과정'!$D$49*('계산 과정'!$D$32-E293)+'계산 과정'!$E$49*'계산 과정'!$E$32,"")</x:f>
        <x:v>-28.23352209479509</x:v>
      </x:c>
      <x:c r="P293" s="4" t="n">
        <x:f>IF(AND('계산 과정'!$L$7,O293&lt;&gt;0),('계산 과정'!$L$23-'계산 과정'!$C$49*D293-'계산 과정'!$D$49*E293)/O293,"")</x:f>
        <x:v>-13.167555810323103</x:v>
      </x:c>
      <x:c r="Q293" s="4" t="str">
        <x:f>IF(AND(ISNUMBER(P293),P293&gt;1E-9,P293&lt;1-1E-9),'계산 과정'!$C$47*(D293-'계산 과정'!$C$50+P293*('계산 과정'!$C$32-D293))+'계산 과정'!$D$47*(E293-'계산 과정'!$D$50+P293*('계산 과정'!$D$32-E293))+'계산 과정'!$E$47*(0-'계산 과정'!$E$50+P293*('계산 과정'!$E$32-0)),"")</x:f>
      </x:c>
      <x:c r="R293" s="4" t="str">
        <x:f>IF(AND(ISNUMBER(P293),P293&gt;1E-9,P293&lt;1-1E-9),'계산 과정'!$C$48*(D293-'계산 과정'!$C$50+P293*('계산 과정'!$C$32-D293))+'계산 과정'!$D$48*(E293-'계산 과정'!$D$50+P293*('계산 과정'!$D$32-E293))+'계산 과정'!$E$48*(0-'계산 과정'!$E$50+P293*('계산 과정'!$E$32-0)),"")</x:f>
      </x:c>
      <x:c r="S293" s="17" t="n">
        <x:f>IF('계산 과정'!$C$78,IF(AND(ISNUMBER(Q293),ISNUMBER(R293),ABS(Q293-'계산 과정'!$C$88)&lt;='계산 과정'!$D$23/2,ABS(R293-'계산 과정'!$C$89)&lt;='계산 과정'!$D$24/2),1,0),"")</x:f>
        <x:v>0</x:v>
      </x:c>
      <x:c r="T293" s="4"/>
      <x:c r="U293" s="4"/>
      <x:c r="V293" s="4"/>
      <x:c r="W293" s="4" t="n">
        <x:f>IF('계산 과정'!$C$78,'계산 과정'!$C$88+0.8400000000000001*'계산 과정'!$D$23/2,"")</x:f>
        <x:v>247.12340425531906</x:v>
      </x:c>
      <x:c r="X293" s="4" t="str">
        <x:f>""</x:f>
      </x:c>
      <x:c r="Y293" s="4" t="n">
        <x:f>IF('계산 과정'!$C$78,'계산 과정'!$C$89+-1*'계산 과정'!$D$24/2,"")</x:f>
        <x:v>-260</x:v>
      </x:c>
      <x:c r="Z293" s="4" t="str">
        <x:f>""</x:f>
      </x:c>
    </x:row>
    <x:row r="294" ht="23" customHeight="1">
      <x:c r="A294" s="17" t="n">
        <x:f>ROW()-6</x:f>
        <x:v>288</x:v>
      </x:c>
      <x:c r="B294" s="4" t="n">
        <x:f>IF('계산 과정'!$L$5,'계산 과정'!$L$11*SQRT((A294+0.5)/'계산 과정'!$L$30),"")</x:f>
        <x:v>56.29880695061397</x:v>
      </x:c>
      <x:c r="C294" s="4" t="n">
        <x:f>A294*PI()*(3-SQRT(5))</x:f>
        <x:v>691.189410161852</x:v>
      </x:c>
      <x:c r="D294" s="4" t="n">
        <x:f>IF('계산 과정'!$L$5,B294*COS(C294),"")</x:f>
        <x:v>56.255939225612316</x:v>
      </x:c>
      <x:c r="E294" s="4" t="n">
        <x:f>IF('계산 과정'!$L$5,B294*SIN(C294),"")</x:f>
        <x:v>2.1965805031261123</x:v>
      </x:c>
      <x:c r="F294" s="4" t="n">
        <x:f>IF('계산 과정'!$L$7,'계산 과정'!$L$22+'계산 과정'!$C$49*D294+'계산 과정'!$D$49*E294,"")</x:f>
        <x:v>610.2210438915513</x:v>
      </x:c>
      <x:c r="G294" s="4" t="n">
        <x:f>IF('계산 과정'!$L$7,IF(ABS(F294)&gt;=1E-12*MAX(1,SQRT((D294-'계산 과정'!$C$33)^2+(E294-'계산 과정'!$D$33)^2+'계산 과정'!$E$33^2)),('계산 과정'!$L$23-'계산 과정'!$C$49*D294-'계산 과정'!$D$49*E294)/F294,""),"")</x:f>
        <x:v>0.7206879548169212</x:v>
      </x:c>
      <x:c r="H294" s="4" t="n">
        <x:f>IF(AND(ISNUMBER(G294),G294&gt;0),('계산 과정'!$D$56+'계산 과정'!$D$57*D294+'계산 과정'!$D$58*E294)/F294,"")</x:f>
        <x:v>68.44717063099867</x:v>
      </x:c>
      <x:c r="I294" s="4" t="n">
        <x:f>IF(AND(ISNUMBER(G294),G294&gt;0),('계산 과정'!$E$56+'계산 과정'!$E$57*D294+'계산 과정'!$E$58*E294)/F294,"")</x:f>
        <x:v>3.7796296135147935</x:v>
      </x:c>
      <x:c r="J294" s="4" t="n">
        <x:f>IF('계산 과정'!$L$5,'계산 과정'!$D$6+'계산 과정'!$C$35*D294+'계산 과정'!$D$35*E294,"")</x:f>
        <x:v>610.2210438915513</x:v>
      </x:c>
      <x:c r="K294" s="4" t="n">
        <x:f>IF(AND('계산 과정'!$L$6,J294&gt;0),'계산 과정'!$D$10*('계산 과정'!$C$38*(D294-'계산 과정'!$C$32)+'계산 과정'!$D$38*(E294-'계산 과정'!$D$32)-'계산 과정'!$E$38*'계산 과정'!$E$32)/J294,"")</x:f>
        <x:v>0.5215022524266574</x:v>
      </x:c>
      <x:c r="L294" s="4" t="n">
        <x:f>IF(AND('계산 과정'!$L$6,J294&gt;0),'계산 과정'!$D$10*('계산 과정'!$C$39*(D294-'계산 과정'!$C$32)+'계산 과정'!$D$39*(E294-'계산 과정'!$D$32)-'계산 과정'!$E$39*'계산 과정'!$E$32)/J294,"")</x:f>
        <x:v>0.02879717800773176</x:v>
      </x:c>
      <x:c r="M294" s="17" t="n">
        <x:f>IF('계산 과정'!$L$6,IF(J294&lt;=0,0,IF(AND(ABS(K294)&lt;='계산 과정'!$D$11/2,ABS(L294)&lt;='계산 과정'!$D$12/2),1,0)),"")</x:f>
        <x:v>1</x:v>
      </x:c>
      <x:c r="N294" s="17" t="n">
        <x:f>IF('계산 과정'!$C$78,IF(AND(ISNUMBER(H294),ISNUMBER(I294),ABS(H294-'계산 과정'!$C$88)&lt;='계산 과정'!$D$23/2,ABS(I294-'계산 과정'!$C$89)&lt;='계산 과정'!$D$24/2),1,0),"")</x:f>
        <x:v>1</x:v>
      </x:c>
      <x:c r="O294" s="4" t="n">
        <x:f>IF('계산 과정'!$L$7,'계산 과정'!$C$49*('계산 과정'!$C$32-D294)+'계산 과정'!$D$49*('계산 과정'!$D$32-E294)+'계산 과정'!$E$49*'계산 과정'!$E$32,"")</x:f>
        <x:v>39.77895610844888</x:v>
      </x:c>
      <x:c r="P294" s="4" t="n">
        <x:f>IF(AND('계산 과정'!$L$7,O294&lt;&gt;0),('계산 과정'!$L$23-'계산 과정'!$C$49*D294-'계산 과정'!$D$49*E294)/O294,"")</x:f>
        <x:v>11.055568047323433</x:v>
      </x:c>
      <x:c r="Q294" s="4" t="str">
        <x:f>IF(AND(ISNUMBER(P294),P294&gt;1E-9,P294&lt;1-1E-9),'계산 과정'!$C$47*(D294-'계산 과정'!$C$50+P294*('계산 과정'!$C$32-D294))+'계산 과정'!$D$47*(E294-'계산 과정'!$D$50+P294*('계산 과정'!$D$32-E294))+'계산 과정'!$E$47*(0-'계산 과정'!$E$50+P294*('계산 과정'!$E$32-0)),"")</x:f>
      </x:c>
      <x:c r="R294" s="4" t="str">
        <x:f>IF(AND(ISNUMBER(P294),P294&gt;1E-9,P294&lt;1-1E-9),'계산 과정'!$C$48*(D294-'계산 과정'!$C$50+P294*('계산 과정'!$C$32-D294))+'계산 과정'!$D$48*(E294-'계산 과정'!$D$50+P294*('계산 과정'!$D$32-E294))+'계산 과정'!$E$48*(0-'계산 과정'!$E$50+P294*('계산 과정'!$E$32-0)),"")</x:f>
      </x:c>
      <x:c r="S294" s="17" t="n">
        <x:f>IF('계산 과정'!$C$78,IF(AND(ISNUMBER(Q294),ISNUMBER(R294),ABS(Q294-'계산 과정'!$C$88)&lt;='계산 과정'!$D$23/2,ABS(R294-'계산 과정'!$C$89)&lt;='계산 과정'!$D$24/2),1,0),"")</x:f>
        <x:v>0</x:v>
      </x:c>
      <x:c r="T294" s="4"/>
      <x:c r="U294" s="4"/>
      <x:c r="V294" s="4"/>
      <x:c r="W294" s="4" t="n">
        <x:f>IF('계산 과정'!$C$78,'계산 과정'!$C$88+0.8799999999999999*'계산 과정'!$D$23/2,"")</x:f>
        <x:v>257.523404255319</x:v>
      </x:c>
      <x:c r="X294" s="4" t="str">
        <x:f>""</x:f>
      </x:c>
      <x:c r="Y294" s="4" t="n">
        <x:f>IF('계산 과정'!$C$78,'계산 과정'!$C$89+-1*'계산 과정'!$D$24/2,"")</x:f>
        <x:v>-260</x:v>
      </x:c>
      <x:c r="Z294" s="4" t="str">
        <x:f>""</x:f>
      </x:c>
    </x:row>
    <x:row r="295" ht="23" customHeight="1">
      <x:c r="A295" s="17" t="n">
        <x:f>ROW()-6</x:f>
        <x:v>289</x:v>
      </x:c>
      <x:c r="B295" s="4" t="n">
        <x:f>IF('계산 과정'!$L$5,'계산 과정'!$L$11*SQRT((A295+0.5)/'계산 과정'!$L$30),"")</x:f>
        <x:v>56.39629413523109</x:v>
      </x:c>
      <x:c r="C295" s="4" t="n">
        <x:f>A295*PI()*(3-SQRT(5))</x:f>
        <x:v>693.5893733915807</x:v>
      </x:c>
      <x:c r="D295" s="4" t="n">
        <x:f>IF('계산 과정'!$L$5,B295*COS(C295),"")</x:f>
        <x:v>-43.0395461821665</x:v>
      </x:c>
      <x:c r="E295" s="4" t="n">
        <x:f>IF('계산 과정'!$L$5,B295*SIN(C295),"")</x:f>
        <x:v>36.443647685442485</x:v>
      </x:c>
      <x:c r="F295" s="4" t="n">
        <x:f>IF('계산 과정'!$L$7,'계산 과정'!$L$22+'계산 과정'!$C$49*D295+'계산 과정'!$D$49*E295,"")</x:f>
        <x:v>680.4335549646015</x:v>
      </x:c>
      <x:c r="G295" s="4" t="n">
        <x:f>IF('계산 과정'!$L$7,IF(ABS(F295)&gt;=1E-12*MAX(1,SQRT((D295-'계산 과정'!$C$33)^2+(E295-'계산 과정'!$D$33)^2+'계산 과정'!$E$33^2)),('계산 과정'!$L$23-'계산 과정'!$C$49*D295-'계산 과정'!$D$49*E295)/F295,""),"")</x:f>
        <x:v>0.5431337745455904</x:v>
      </x:c>
      <x:c r="H295" s="4" t="n">
        <x:f>IF(AND(ISNUMBER(G295),G295&gt;0),('계산 과정'!$D$56+'계산 과정'!$D$57*D295+'계산 과정'!$D$58*E295)/F295,"")</x:f>
        <x:v>-46.96304654536634</x:v>
      </x:c>
      <x:c r="I295" s="4" t="n">
        <x:f>IF(AND(ISNUMBER(G295),G295&gt;0),('계산 과정'!$E$56+'계산 과정'!$E$57*D295+'계산 과정'!$E$58*E295)/F295,"")</x:f>
        <x:v>56.23742361104654</x:v>
      </x:c>
      <x:c r="J295" s="4" t="n">
        <x:f>IF('계산 과정'!$L$5,'계산 과정'!$D$6+'계산 과정'!$C$35*D295+'계산 과정'!$D$35*E295,"")</x:f>
        <x:v>680.4335549646015</x:v>
      </x:c>
      <x:c r="K295" s="4" t="n">
        <x:f>IF(AND('계산 과정'!$L$6,J295&gt;0),'계산 과정'!$D$10*('계산 과정'!$C$38*(D295-'계산 과정'!$C$32)+'계산 과정'!$D$38*(E295-'계산 과정'!$D$32)-'계산 과정'!$E$38*'계산 과정'!$E$32)/J295,"")</x:f>
        <x:v>-0.35781368796469504</x:v>
      </x:c>
      <x:c r="L295" s="4" t="n">
        <x:f>IF(AND('계산 과정'!$L$6,J295&gt;0),'계산 과정'!$D$10*('계산 과정'!$C$39*(D295-'계산 과정'!$C$32)+'계산 과정'!$D$39*(E295-'계산 과정'!$D$32)-'계산 과정'!$E$39*'계산 과정'!$E$32)/J295,"")</x:f>
        <x:v>0.42847560846511645</x:v>
      </x:c>
      <x:c r="M295" s="17" t="n">
        <x:f>IF('계산 과정'!$L$6,IF(J295&lt;=0,0,IF(AND(ABS(K295)&lt;='계산 과정'!$D$11/2,ABS(L295)&lt;='계산 과정'!$D$12/2),1,0)),"")</x:f>
        <x:v>1</x:v>
      </x:c>
      <x:c r="N295" s="17" t="n">
        <x:f>IF('계산 과정'!$C$78,IF(AND(ISNUMBER(H295),ISNUMBER(I295),ABS(H295-'계산 과정'!$C$88)&lt;='계산 과정'!$D$23/2,ABS(I295-'계산 과정'!$C$89)&lt;='계산 과정'!$D$24/2),1,0),"")</x:f>
        <x:v>1</x:v>
      </x:c>
      <x:c r="O295" s="4" t="n">
        <x:f>IF('계산 과정'!$L$7,'계산 과정'!$C$49*('계산 과정'!$C$32-D295)+'계산 과정'!$D$49*('계산 과정'!$D$32-E295)+'계산 과정'!$E$49*'계산 과정'!$E$32,"")</x:f>
        <x:v>-30.4335549646014</x:v>
      </x:c>
      <x:c r="P295" s="4" t="n">
        <x:f>IF(AND('계산 과정'!$L$7,O295&lt;&gt;0),('계산 과정'!$L$23-'계산 과정'!$C$49*D295-'계산 과정'!$D$49*E295)/O295,"")</x:f>
        <x:v>-12.143387306059296</x:v>
      </x:c>
      <x:c r="Q295" s="4" t="str">
        <x:f>IF(AND(ISNUMBER(P295),P295&gt;1E-9,P295&lt;1-1E-9),'계산 과정'!$C$47*(D295-'계산 과정'!$C$50+P295*('계산 과정'!$C$32-D295))+'계산 과정'!$D$47*(E295-'계산 과정'!$D$50+P295*('계산 과정'!$D$32-E295))+'계산 과정'!$E$47*(0-'계산 과정'!$E$50+P295*('계산 과정'!$E$32-0)),"")</x:f>
      </x:c>
      <x:c r="R295" s="4" t="str">
        <x:f>IF(AND(ISNUMBER(P295),P295&gt;1E-9,P295&lt;1-1E-9),'계산 과정'!$C$48*(D295-'계산 과정'!$C$50+P295*('계산 과정'!$C$32-D295))+'계산 과정'!$D$48*(E295-'계산 과정'!$D$50+P295*('계산 과정'!$D$32-E295))+'계산 과정'!$E$48*(0-'계산 과정'!$E$50+P295*('계산 과정'!$E$32-0)),"")</x:f>
      </x:c>
      <x:c r="S295" s="17" t="n">
        <x:f>IF('계산 과정'!$C$78,IF(AND(ISNUMBER(Q295),ISNUMBER(R295),ABS(Q295-'계산 과정'!$C$88)&lt;='계산 과정'!$D$23/2,ABS(R295-'계산 과정'!$C$89)&lt;='계산 과정'!$D$24/2),1,0),"")</x:f>
        <x:v>0</x:v>
      </x:c>
      <x:c r="T295" s="4"/>
      <x:c r="U295" s="4"/>
      <x:c r="V295" s="4"/>
      <x:c r="W295" s="4" t="n">
        <x:f>IF('계산 과정'!$C$78,'계산 과정'!$C$88+0.9199999999999999*'계산 과정'!$D$23/2,"")</x:f>
        <x:v>267.92340425531904</x:v>
      </x:c>
      <x:c r="X295" s="4" t="str">
        <x:f>""</x:f>
      </x:c>
      <x:c r="Y295" s="4" t="n">
        <x:f>IF('계산 과정'!$C$78,'계산 과정'!$C$89+-1*'계산 과정'!$D$24/2,"")</x:f>
        <x:v>-260</x:v>
      </x:c>
      <x:c r="Z295" s="4" t="str">
        <x:f>""</x:f>
      </x:c>
    </x:row>
    <x:row r="296" ht="23" customHeight="1">
      <x:c r="A296" s="17" t="n">
        <x:f>ROW()-6</x:f>
        <x:v>290</x:v>
      </x:c>
      <x:c r="B296" s="4" t="n">
        <x:f>IF('계산 과정'!$L$5,'계산 과정'!$L$11*SQRT((A296+0.5)/'계산 과정'!$L$30),"")</x:f>
        <x:v>56.49361309309664</x:v>
      </x:c>
      <x:c r="C296" s="4" t="n">
        <x:f>A296*PI()*(3-SQRT(5))</x:f>
        <x:v>695.9893366213093</x:v>
      </x:c>
      <x:c r="D296" s="4" t="n">
        <x:f>IF('계산 과정'!$L$5,B296*COS(C296),"")</x:f>
        <x:v>7.1309757874790565</x:v>
      </x:c>
      <x:c r="E296" s="4" t="n">
        <x:f>IF('계산 과정'!$L$5,B296*SIN(C296),"")</x:f>
        <x:v>-56.04174787273223</x:v>
      </x:c>
      <x:c r="F296" s="4" t="n">
        <x:f>IF('계산 과정'!$L$7,'계산 과정'!$L$22+'계산 과정'!$C$49*D296+'계산 과정'!$D$49*E296,"")</x:f>
        <x:v>644.9576386641965</x:v>
      </x:c>
      <x:c r="G296" s="4" t="n">
        <x:f>IF('계산 과정'!$L$7,IF(ABS(F296)&gt;=1E-12*MAX(1,SQRT((D296-'계산 과정'!$C$33)^2+(E296-'계산 과정'!$D$33)^2+'계산 과정'!$E$33^2)),('계산 과정'!$L$23-'계산 과정'!$C$49*D296-'계산 과정'!$D$49*E296)/F296,""),"")</x:f>
        <x:v>0.6280138989821203</x:v>
      </x:c>
      <x:c r="H296" s="4" t="n">
        <x:f>IF(AND(ISNUMBER(G296),G296&gt;0),('계산 과정'!$D$56+'계산 과정'!$D$57*D296+'계산 과정'!$D$58*E296)/F296,"")</x:f>
        <x:v>8.209034338378071</x:v>
      </x:c>
      <x:c r="I296" s="4" t="n">
        <x:f>IF(AND(ISNUMBER(G296),G296&gt;0),('계산 과정'!$E$56+'계산 과정'!$E$57*D296+'계산 과정'!$E$58*E296)/F296,"")</x:f>
        <x:v>-91.23674446005975</x:v>
      </x:c>
      <x:c r="J296" s="4" t="n">
        <x:f>IF('계산 과정'!$L$5,'계산 과정'!$D$6+'계산 과정'!$C$35*D296+'계산 과정'!$D$35*E296,"")</x:f>
        <x:v>644.9576386641965</x:v>
      </x:c>
      <x:c r="K296" s="4" t="n">
        <x:f>IF(AND('계산 과정'!$L$6,J296&gt;0),'계산 과정'!$D$10*('계산 과정'!$C$38*(D296-'계산 과정'!$C$32)+'계산 과정'!$D$38*(E296-'계산 과정'!$D$32)-'계산 과정'!$E$38*'계산 과정'!$E$32)/J296,"")</x:f>
        <x:v>0.06254502353050008</x:v>
      </x:c>
      <x:c r="L296" s="4" t="n">
        <x:f>IF(AND('계산 과정'!$L$6,J296&gt;0),'계산 과정'!$D$10*('계산 과정'!$C$39*(D296-'계산 과정'!$C$32)+'계산 과정'!$D$39*(E296-'계산 과정'!$D$32)-'계산 과정'!$E$39*'계산 과정'!$E$32)/J296,"")</x:f>
        <x:v>-0.6951371006480742</x:v>
      </x:c>
      <x:c r="M296" s="17" t="n">
        <x:f>IF('계산 과정'!$L$6,IF(J296&lt;=0,0,IF(AND(ABS(K296)&lt;='계산 과정'!$D$11/2,ABS(L296)&lt;='계산 과정'!$D$12/2),1,0)),"")</x:f>
        <x:v>1</x:v>
      </x:c>
      <x:c r="N296" s="17" t="n">
        <x:f>IF('계산 과정'!$C$78,IF(AND(ISNUMBER(H296),ISNUMBER(I296),ABS(H296-'계산 과정'!$C$88)&lt;='계산 과정'!$D$23/2,ABS(I296-'계산 과정'!$C$89)&lt;='계산 과정'!$D$24/2),1,0),"")</x:f>
        <x:v>1</x:v>
      </x:c>
      <x:c r="O296" s="4" t="n">
        <x:f>IF('계산 과정'!$L$7,'계산 과정'!$C$49*('계산 과정'!$C$32-D296)+'계산 과정'!$D$49*('계산 과정'!$D$32-E296)+'계산 과정'!$E$49*'계산 과정'!$E$32,"")</x:f>
        <x:v>5.042361335803605</x:v>
      </x:c>
      <x:c r="P296" s="4" t="n">
        <x:f>IF(AND('계산 과정'!$L$7,O296&lt;&gt;0),('계산 과정'!$L$23-'계산 과정'!$C$49*D296-'계산 과정'!$D$49*E296)/O296,"")</x:f>
        <x:v>80.32791273004865</x:v>
      </x:c>
      <x:c r="Q296" s="4" t="str">
        <x:f>IF(AND(ISNUMBER(P296),P296&gt;1E-9,P296&lt;1-1E-9),'계산 과정'!$C$47*(D296-'계산 과정'!$C$50+P296*('계산 과정'!$C$32-D296))+'계산 과정'!$D$47*(E296-'계산 과정'!$D$50+P296*('계산 과정'!$D$32-E296))+'계산 과정'!$E$47*(0-'계산 과정'!$E$50+P296*('계산 과정'!$E$32-0)),"")</x:f>
      </x:c>
      <x:c r="R296" s="4" t="str">
        <x:f>IF(AND(ISNUMBER(P296),P296&gt;1E-9,P296&lt;1-1E-9),'계산 과정'!$C$48*(D296-'계산 과정'!$C$50+P296*('계산 과정'!$C$32-D296))+'계산 과정'!$D$48*(E296-'계산 과정'!$D$50+P296*('계산 과정'!$D$32-E296))+'계산 과정'!$E$48*(0-'계산 과정'!$E$50+P296*('계산 과정'!$E$32-0)),"")</x:f>
      </x:c>
      <x:c r="S296" s="17" t="n">
        <x:f>IF('계산 과정'!$C$78,IF(AND(ISNUMBER(Q296),ISNUMBER(R296),ABS(Q296-'계산 과정'!$C$88)&lt;='계산 과정'!$D$23/2,ABS(R296-'계산 과정'!$C$89)&lt;='계산 과정'!$D$24/2),1,0),"")</x:f>
        <x:v>0</x:v>
      </x:c>
      <x:c r="T296" s="4"/>
      <x:c r="U296" s="4"/>
      <x:c r="V296" s="4"/>
      <x:c r="W296" s="4" t="n">
        <x:f>IF('계산 과정'!$C$78,'계산 과정'!$C$88+0.96*'계산 과정'!$D$23/2,"")</x:f>
        <x:v>278.323404255319</x:v>
      </x:c>
      <x:c r="X296" s="4" t="str">
        <x:f>""</x:f>
      </x:c>
      <x:c r="Y296" s="4" t="n">
        <x:f>IF('계산 과정'!$C$78,'계산 과정'!$C$89+-1*'계산 과정'!$D$24/2,"")</x:f>
        <x:v>-260</x:v>
      </x:c>
      <x:c r="Z296" s="4" t="str">
        <x:f>""</x:f>
      </x:c>
    </x:row>
    <x:row r="297" ht="23" customHeight="1">
      <x:c r="A297" s="17" t="n">
        <x:f>ROW()-6</x:f>
        <x:v>291</x:v>
      </x:c>
      <x:c r="B297" s="4" t="n">
        <x:f>IF('계산 과정'!$L$5,'계산 과정'!$L$11*SQRT((A297+0.5)/'계산 과정'!$L$30),"")</x:f>
        <x:v>56.590764692107676</x:v>
      </x:c>
      <x:c r="C297" s="4" t="n">
        <x:f>A297*PI()*(3-SQRT(5))</x:f>
        <x:v>698.389299851038</x:v>
      </x:c>
      <x:c r="D297" s="4" t="n">
        <x:f>IF('계산 과정'!$L$5,B297*COS(C297),"")</x:f>
        <x:v>32.653554791595916</x:v>
      </x:c>
      <x:c r="E297" s="4" t="n">
        <x:f>IF('계산 과정'!$L$5,B297*SIN(C297),"")</x:f>
        <x:v>46.21969285823678</x:v>
      </x:c>
      <x:c r="F297" s="4" t="n">
        <x:f>IF('계산 과정'!$L$7,'계산 과정'!$L$22+'계산 과정'!$C$49*D297+'계산 과정'!$D$49*E297,"")</x:f>
        <x:v>626.910449977016</x:v>
      </x:c>
      <x:c r="G297" s="4" t="n">
        <x:f>IF('계산 과정'!$L$7,IF(ABS(F297)&gt;=1E-12*MAX(1,SQRT((D297-'계산 과정'!$C$33)^2+(E297-'계산 과정'!$D$33)^2+'계산 과정'!$E$33^2)),('계산 과정'!$L$23-'계산 과정'!$C$49*D297-'계산 과정'!$D$49*E297)/F297,""),"")</x:f>
        <x:v>0.6748803597682816</x:v>
      </x:c>
      <x:c r="H297" s="4" t="n">
        <x:f>IF(AND(ISNUMBER(G297),G297&gt;0),('계산 과정'!$D$56+'계산 과정'!$D$57*D297+'계산 과정'!$D$58*E297)/F297,"")</x:f>
        <x:v>38.672233849383</x:v>
      </x:c>
      <x:c r="I297" s="4" t="n">
        <x:f>IF(AND(ISNUMBER(G297),G297&gt;0),('계산 과정'!$E$56+'계산 과정'!$E$57*D297+'계산 과정'!$E$58*E297)/F297,"")</x:f>
        <x:v>77.41245580278311</x:v>
      </x:c>
      <x:c r="J297" s="4" t="n">
        <x:f>IF('계산 과정'!$L$5,'계산 과정'!$D$6+'계산 과정'!$C$35*D297+'계산 과정'!$D$35*E297,"")</x:f>
        <x:v>626.910449977016</x:v>
      </x:c>
      <x:c r="K297" s="4" t="n">
        <x:f>IF(AND('계산 과정'!$L$6,J297&gt;0),'계산 과정'!$D$10*('계산 과정'!$C$38*(D297-'계산 과정'!$C$32)+'계산 과정'!$D$38*(E297-'계산 과정'!$D$32)-'계산 과정'!$E$38*'계산 과정'!$E$32)/J297,"")</x:f>
        <x:v>0.29464559123339545</x:v>
      </x:c>
      <x:c r="L297" s="4" t="n">
        <x:f>IF(AND('계산 과정'!$L$6,J297&gt;0),'계산 과정'!$D$10*('계산 과정'!$C$39*(D297-'계산 과정'!$C$32)+'계산 과정'!$D$39*(E297-'계산 과정'!$D$32)-'계산 과정'!$E$39*'계산 과정'!$E$32)/J297,"")</x:f>
        <x:v>0.5898091870688237</x:v>
      </x:c>
      <x:c r="M297" s="17" t="n">
        <x:f>IF('계산 과정'!$L$6,IF(J297&lt;=0,0,IF(AND(ABS(K297)&lt;='계산 과정'!$D$11/2,ABS(L297)&lt;='계산 과정'!$D$12/2),1,0)),"")</x:f>
        <x:v>1</x:v>
      </x:c>
      <x:c r="N297" s="17" t="n">
        <x:f>IF('계산 과정'!$C$78,IF(AND(ISNUMBER(H297),ISNUMBER(I297),ABS(H297-'계산 과정'!$C$88)&lt;='계산 과정'!$D$23/2,ABS(I297-'계산 과정'!$C$89)&lt;='계산 과정'!$D$24/2),1,0),"")</x:f>
        <x:v>1</x:v>
      </x:c>
      <x:c r="O297" s="4" t="n">
        <x:f>IF('계산 과정'!$L$7,'계산 과정'!$C$49*('계산 과정'!$C$32-D297)+'계산 과정'!$D$49*('계산 과정'!$D$32-E297)+'계산 과정'!$E$49*'계산 과정'!$E$32,"")</x:f>
        <x:v>23.089550022984042</x:v>
      </x:c>
      <x:c r="P297" s="4" t="n">
        <x:f>IF(AND('계산 과정'!$L$7,O297&lt;&gt;0),('계산 과정'!$L$23-'계산 과정'!$C$49*D297-'계산 과정'!$D$49*E297)/O297,"")</x:f>
        <x:v>18.32385428047873</x:v>
      </x:c>
      <x:c r="Q297" s="4" t="str">
        <x:f>IF(AND(ISNUMBER(P297),P297&gt;1E-9,P297&lt;1-1E-9),'계산 과정'!$C$47*(D297-'계산 과정'!$C$50+P297*('계산 과정'!$C$32-D297))+'계산 과정'!$D$47*(E297-'계산 과정'!$D$50+P297*('계산 과정'!$D$32-E297))+'계산 과정'!$E$47*(0-'계산 과정'!$E$50+P297*('계산 과정'!$E$32-0)),"")</x:f>
      </x:c>
      <x:c r="R297" s="4" t="str">
        <x:f>IF(AND(ISNUMBER(P297),P297&gt;1E-9,P297&lt;1-1E-9),'계산 과정'!$C$48*(D297-'계산 과정'!$C$50+P297*('계산 과정'!$C$32-D297))+'계산 과정'!$D$48*(E297-'계산 과정'!$D$50+P297*('계산 과정'!$D$32-E297))+'계산 과정'!$E$48*(0-'계산 과정'!$E$50+P297*('계산 과정'!$E$32-0)),"")</x:f>
      </x:c>
      <x:c r="S297" s="17" t="n">
        <x:f>IF('계산 과정'!$C$78,IF(AND(ISNUMBER(Q297),ISNUMBER(R297),ABS(Q297-'계산 과정'!$C$88)&lt;='계산 과정'!$D$23/2,ABS(R297-'계산 과정'!$C$89)&lt;='계산 과정'!$D$24/2),1,0),"")</x:f>
        <x:v>0</x:v>
      </x:c>
      <x:c r="T297" s="4"/>
      <x:c r="U297" s="4"/>
      <x:c r="V297" s="4"/>
      <x:c r="W297" s="4" t="n">
        <x:f>IF('계산 과정'!$C$78,'계산 과정'!$C$88+1*'계산 과정'!$D$23/2,"")</x:f>
        <x:v>288.723404255319</x:v>
      </x:c>
      <x:c r="X297" s="4" t="str">
        <x:f>""</x:f>
      </x:c>
      <x:c r="Y297" s="4" t="n">
        <x:f>IF('계산 과정'!$C$78,'계산 과정'!$C$89+-1*'계산 과정'!$D$24/2,"")</x:f>
        <x:v>-260</x:v>
      </x:c>
      <x:c r="Z297" s="4" t="str">
        <x:f>""</x:f>
      </x:c>
    </x:row>
    <x:row r="298" ht="23" customHeight="1">
      <x:c r="A298" s="17" t="n">
        <x:f>ROW()-6</x:f>
        <x:v>292</x:v>
      </x:c>
      <x:c r="B298" s="4" t="n">
        <x:f>IF('계산 과정'!$L$5,'계산 과정'!$L$11*SQRT((A298+0.5)/'계산 과정'!$L$30),"")</x:f>
        <x:v>56.687749792724176</x:v>
      </x:c>
      <x:c r="C298" s="4" t="n">
        <x:f>A298*PI()*(3-SQRT(5))</x:f>
        <x:v>700.7892630807667</x:v>
      </x:c>
      <x:c r="D298" s="4" t="n">
        <x:f>IF('계산 과정'!$L$5,B298*COS(C298),"")</x:f>
        <x:v>-55.39343970190882</x:v>
      </x:c>
      <x:c r="E298" s="4" t="n">
        <x:f>IF('계산 과정'!$L$5,B298*SIN(C298),"")</x:f>
        <x:v>-12.044410095703824</x:v>
      </x:c>
      <x:c r="F298" s="4" t="n">
        <x:f>IF('계산 과정'!$L$7,'계산 과정'!$L$22+'계산 과정'!$C$49*D298+'계산 과정'!$D$49*E298,"")</x:f>
        <x:v>689.1690768464679</x:v>
      </x:c>
      <x:c r="G298" s="4" t="n">
        <x:f>IF('계산 과정'!$L$7,IF(ABS(F298)&gt;=1E-12*MAX(1,SQRT((D298-'계산 과정'!$C$33)^2+(E298-'계산 과정'!$D$33)^2+'계산 과정'!$E$33^2)),('계산 과정'!$L$23-'계산 과정'!$C$49*D298-'계산 과정'!$D$49*E298)/F298,""),"")</x:f>
        <x:v>0.523573873634376</x:v>
      </x:c>
      <x:c r="H298" s="4" t="n">
        <x:f>IF(AND(ISNUMBER(G298),G298&gt;0),('계산 과정'!$D$56+'계산 과정'!$D$57*D298+'계산 과정'!$D$58*E298)/F298,"")</x:f>
        <x:v>-59.6769821376557</x:v>
      </x:c>
      <x:c r="I298" s="4" t="n">
        <x:f>IF(AND(ISNUMBER(G298),G298&gt;0),('계산 과정'!$E$56+'계산 과정'!$E$57*D298+'계산 과정'!$E$58*E298)/F298,"")</x:f>
        <x:v>-18.35054854515246</x:v>
      </x:c>
      <x:c r="J298" s="4" t="n">
        <x:f>IF('계산 과정'!$L$5,'계산 과정'!$D$6+'계산 과정'!$C$35*D298+'계산 과정'!$D$35*E298,"")</x:f>
        <x:v>689.1690768464679</x:v>
      </x:c>
      <x:c r="K298" s="4" t="n">
        <x:f>IF(AND('계산 과정'!$L$6,J298&gt;0),'계산 과정'!$D$10*('계산 과정'!$C$38*(D298-'계산 과정'!$C$32)+'계산 과정'!$D$38*(E298-'계산 과정'!$D$32)-'계산 과정'!$E$38*'계산 과정'!$E$32)/J298,"")</x:f>
        <x:v>-0.45468176866785226</x:v>
      </x:c>
      <x:c r="L298" s="4" t="n">
        <x:f>IF(AND('계산 과정'!$L$6,J298&gt;0),'계산 과정'!$D$10*('계산 과정'!$C$39*(D298-'계산 과정'!$C$32)+'계산 과정'!$D$39*(E298-'계산 과정'!$D$32)-'계산 과정'!$E$39*'계산 과정'!$E$32)/J298,"")</x:f>
        <x:v>-0.1398137032011616</x:v>
      </x:c>
      <x:c r="M298" s="17" t="n">
        <x:f>IF('계산 과정'!$L$6,IF(J298&lt;=0,0,IF(AND(ABS(K298)&lt;='계산 과정'!$D$11/2,ABS(L298)&lt;='계산 과정'!$D$12/2),1,0)),"")</x:f>
        <x:v>1</x:v>
      </x:c>
      <x:c r="N298" s="17" t="n">
        <x:f>IF('계산 과정'!$C$78,IF(AND(ISNUMBER(H298),ISNUMBER(I298),ABS(H298-'계산 과정'!$C$88)&lt;='계산 과정'!$D$23/2,ABS(I298-'계산 과정'!$C$89)&lt;='계산 과정'!$D$24/2),1,0),"")</x:f>
        <x:v>1</x:v>
      </x:c>
      <x:c r="O298" s="4" t="n">
        <x:f>IF('계산 과정'!$L$7,'계산 과정'!$C$49*('계산 과정'!$C$32-D298)+'계산 과정'!$D$49*('계산 과정'!$D$32-E298)+'계산 과정'!$E$49*'계산 과정'!$E$32,"")</x:f>
        <x:v>-39.16907684646776</x:v>
      </x:c>
      <x:c r="P298" s="4" t="n">
        <x:f>IF(AND('계산 과정'!$L$7,O298&lt;&gt;0),('계산 과정'!$L$23-'계산 과정'!$C$49*D298-'계산 과정'!$D$49*E298)/O298,"")</x:f>
        <x:v>-9.21213753818841</x:v>
      </x:c>
      <x:c r="Q298" s="4" t="str">
        <x:f>IF(AND(ISNUMBER(P298),P298&gt;1E-9,P298&lt;1-1E-9),'계산 과정'!$C$47*(D298-'계산 과정'!$C$50+P298*('계산 과정'!$C$32-D298))+'계산 과정'!$D$47*(E298-'계산 과정'!$D$50+P298*('계산 과정'!$D$32-E298))+'계산 과정'!$E$47*(0-'계산 과정'!$E$50+P298*('계산 과정'!$E$32-0)),"")</x:f>
      </x:c>
      <x:c r="R298" s="4" t="str">
        <x:f>IF(AND(ISNUMBER(P298),P298&gt;1E-9,P298&lt;1-1E-9),'계산 과정'!$C$48*(D298-'계산 과정'!$C$50+P298*('계산 과정'!$C$32-D298))+'계산 과정'!$D$48*(E298-'계산 과정'!$D$50+P298*('계산 과정'!$D$32-E298))+'계산 과정'!$E$48*(0-'계산 과정'!$E$50+P298*('계산 과정'!$E$32-0)),"")</x:f>
      </x:c>
      <x:c r="S298" s="17" t="n">
        <x:f>IF('계산 과정'!$C$78,IF(AND(ISNUMBER(Q298),ISNUMBER(R298),ABS(Q298-'계산 과정'!$C$88)&lt;='계산 과정'!$D$23/2,ABS(R298-'계산 과정'!$C$89)&lt;='계산 과정'!$D$24/2),1,0),"")</x:f>
        <x:v>0</x:v>
      </x:c>
      <x:c r="T298" s="4"/>
      <x:c r="U298" s="4"/>
      <x:c r="V298" s="4"/>
      <x:c r="W298" s="4" t="n">
        <x:f>IF('계산 과정'!$C$78,'계산 과정'!$C$88+1*'계산 과정'!$D$23/2,"")</x:f>
        <x:v>288.723404255319</x:v>
      </x:c>
      <x:c r="X298" s="4" t="str">
        <x:f>""</x:f>
      </x:c>
      <x:c r="Y298" s="4" t="n">
        <x:f>IF('계산 과정'!$C$78,'계산 과정'!$C$89+-0.96*'계산 과정'!$D$24/2,"")</x:f>
        <x:v>-249.6</x:v>
      </x:c>
      <x:c r="Z298" s="4" t="str">
        <x:f>""</x:f>
      </x:c>
    </x:row>
    <x:row r="299" ht="23" customHeight="1">
      <x:c r="A299" s="17" t="n">
        <x:f>ROW()-6</x:f>
        <x:v>293</x:v>
      </x:c>
      <x:c r="B299" s="4" t="n">
        <x:f>IF('계산 과정'!$L$5,'계산 과정'!$L$11*SQRT((A299+0.5)/'계산 과정'!$L$30),"")</x:f>
        <x:v>56.78456924805805</x:v>
      </x:c>
      <x:c r="C299" s="4" t="n">
        <x:f>A299*PI()*(3-SQRT(5))</x:f>
        <x:v>703.1892263104952</x:v>
      </x:c>
      <x:c r="D299" s="4" t="n">
        <x:f>IF('계산 과정'!$L$5,B299*COS(C299),"")</x:f>
        <x:v>49.06493784953245</x:v>
      </x:c>
      <x:c r="E299" s="4" t="n">
        <x:f>IF('계산 과정'!$L$5,B299*SIN(C299),"")</x:f>
        <x:v>-28.585296544010482</x:v>
      </x:c>
      <x:c r="F299" s="4" t="n">
        <x:f>IF('계산 과정'!$L$7,'계산 과정'!$L$22+'계산 과정'!$C$49*D299+'계산 과정'!$D$49*E299,"")</x:f>
        <x:v>615.3058497280991</x:v>
      </x:c>
      <x:c r="G299" s="4" t="n">
        <x:f>IF('계산 과정'!$L$7,IF(ABS(F299)&gt;=1E-12*MAX(1,SQRT((D299-'계산 과정'!$C$33)^2+(E299-'계산 과정'!$D$33)^2+'계산 과정'!$E$33^2)),('계산 과정'!$L$23-'계산 과정'!$C$49*D299-'계산 과정'!$D$49*E299)/F299,""),"")</x:f>
        <x:v>0.7064684180460664</x:v>
      </x:c>
      <x:c r="H299" s="4" t="n">
        <x:f>IF(AND(ISNUMBER(G299),G299&gt;0),('계산 과정'!$D$56+'계산 과정'!$D$57*D299+'계산 과정'!$D$58*E299)/F299,"")</x:f>
        <x:v>59.20447172994312</x:v>
      </x:c>
      <x:c r="I299" s="4" t="n">
        <x:f>IF(AND(ISNUMBER(G299),G299&gt;0),('계산 과정'!$E$56+'계산 과정'!$E$57*D299+'계산 과정'!$E$58*E299)/F299,"")</x:f>
        <x:v>-48.77990577283526</x:v>
      </x:c>
      <x:c r="J299" s="4" t="n">
        <x:f>IF('계산 과정'!$L$5,'계산 과정'!$D$6+'계산 과정'!$C$35*D299+'계산 과정'!$D$35*E299,"")</x:f>
        <x:v>615.3058497280991</x:v>
      </x:c>
      <x:c r="K299" s="4" t="n">
        <x:f>IF(AND('계산 과정'!$L$6,J299&gt;0),'계산 과정'!$D$10*('계산 과정'!$C$38*(D299-'계산 과정'!$C$32)+'계산 과정'!$D$38*(E299-'계산 과정'!$D$32)-'계산 과정'!$E$38*'계산 과정'!$E$32)/J299,"")</x:f>
        <x:v>0.45108168937099635</x:v>
      </x:c>
      <x:c r="L299" s="4" t="n">
        <x:f>IF(AND('계산 과정'!$L$6,J299&gt;0),'계산 과정'!$D$10*('계산 과정'!$C$39*(D299-'계산 과정'!$C$32)+'계산 과정'!$D$39*(E299-'계산 과정'!$D$32)-'계산 과정'!$E$39*'계산 과정'!$E$32)/J299,"")</x:f>
        <x:v>-0.3716564249358877</x:v>
      </x:c>
      <x:c r="M299" s="17" t="n">
        <x:f>IF('계산 과정'!$L$6,IF(J299&lt;=0,0,IF(AND(ABS(K299)&lt;='계산 과정'!$D$11/2,ABS(L299)&lt;='계산 과정'!$D$12/2),1,0)),"")</x:f>
        <x:v>1</x:v>
      </x:c>
      <x:c r="N299" s="17" t="n">
        <x:f>IF('계산 과정'!$C$78,IF(AND(ISNUMBER(H299),ISNUMBER(I299),ABS(H299-'계산 과정'!$C$88)&lt;='계산 과정'!$D$23/2,ABS(I299-'계산 과정'!$C$89)&lt;='계산 과정'!$D$24/2),1,0),"")</x:f>
        <x:v>1</x:v>
      </x:c>
      <x:c r="O299" s="4" t="n">
        <x:f>IF('계산 과정'!$L$7,'계산 과정'!$C$49*('계산 과정'!$C$32-D299)+'계산 과정'!$D$49*('계산 과정'!$D$32-E299)+'계산 과정'!$E$49*'계산 과정'!$E$32,"")</x:f>
        <x:v>34.69415027190098</x:v>
      </x:c>
      <x:c r="P299" s="4" t="n">
        <x:f>IF(AND('계산 과정'!$L$7,O299&lt;&gt;0),('계산 과정'!$L$23-'계산 과정'!$C$49*D299-'계산 과정'!$D$49*E299)/O299,"")</x:f>
        <x:v>12.529321135268228</x:v>
      </x:c>
      <x:c r="Q299" s="4" t="str">
        <x:f>IF(AND(ISNUMBER(P299),P299&gt;1E-9,P299&lt;1-1E-9),'계산 과정'!$C$47*(D299-'계산 과정'!$C$50+P299*('계산 과정'!$C$32-D299))+'계산 과정'!$D$47*(E299-'계산 과정'!$D$50+P299*('계산 과정'!$D$32-E299))+'계산 과정'!$E$47*(0-'계산 과정'!$E$50+P299*('계산 과정'!$E$32-0)),"")</x:f>
      </x:c>
      <x:c r="R299" s="4" t="str">
        <x:f>IF(AND(ISNUMBER(P299),P299&gt;1E-9,P299&lt;1-1E-9),'계산 과정'!$C$48*(D299-'계산 과정'!$C$50+P299*('계산 과정'!$C$32-D299))+'계산 과정'!$D$48*(E299-'계산 과정'!$D$50+P299*('계산 과정'!$D$32-E299))+'계산 과정'!$E$48*(0-'계산 과정'!$E$50+P299*('계산 과정'!$E$32-0)),"")</x:f>
      </x:c>
      <x:c r="S299" s="17" t="n">
        <x:f>IF('계산 과정'!$C$78,IF(AND(ISNUMBER(Q299),ISNUMBER(R299),ABS(Q299-'계산 과정'!$C$88)&lt;='계산 과정'!$D$23/2,ABS(R299-'계산 과정'!$C$89)&lt;='계산 과정'!$D$24/2),1,0),"")</x:f>
        <x:v>0</x:v>
      </x:c>
      <x:c r="T299" s="4"/>
      <x:c r="U299" s="4"/>
      <x:c r="V299" s="4"/>
      <x:c r="W299" s="4" t="n">
        <x:f>IF('계산 과정'!$C$78,'계산 과정'!$C$88+1*'계산 과정'!$D$23/2,"")</x:f>
        <x:v>288.723404255319</x:v>
      </x:c>
      <x:c r="X299" s="4" t="str">
        <x:f>""</x:f>
      </x:c>
      <x:c r="Y299" s="4" t="n">
        <x:f>IF('계산 과정'!$C$78,'계산 과정'!$C$89+-0.92*'계산 과정'!$D$24/2,"")</x:f>
        <x:v>-239.20000000000002</x:v>
      </x:c>
      <x:c r="Z299" s="4" t="str">
        <x:f>""</x:f>
      </x:c>
    </x:row>
    <x:row r="300" ht="23" customHeight="1">
      <x:c r="A300" s="17" t="n">
        <x:f>ROW()-6</x:f>
        <x:v>294</x:v>
      </x:c>
      <x:c r="B300" s="4" t="n">
        <x:f>IF('계산 과정'!$L$5,'계산 과정'!$L$11*SQRT((A300+0.5)/'계산 과정'!$L$30),"")</x:f>
        <x:v>56.88122390396061</x:v>
      </x:c>
      <x:c r="C300" s="4" t="n">
        <x:f>A300*PI()*(3-SQRT(5))</x:f>
        <x:v>705.589189540224</x:v>
      </x:c>
      <x:c r="D300" s="4" t="n">
        <x:f>IF('계산 과정'!$L$5,B300*COS(C300),"")</x:f>
        <x:v>-16.898582490410103</x:v>
      </x:c>
      <x:c r="E300" s="4" t="n">
        <x:f>IF('계산 과정'!$L$5,B300*SIN(C300),"")</x:f>
        <x:v>54.31308813377587</x:v>
      </x:c>
      <x:c r="F300" s="4" t="n">
        <x:f>IF('계산 과정'!$L$7,'계산 과정'!$L$22+'계산 과정'!$C$49*D300+'계산 과정'!$D$49*E300,"")</x:f>
        <x:v>661.9491022714093</x:v>
      </x:c>
      <x:c r="G300" s="4" t="n">
        <x:f>IF('계산 과정'!$L$7,IF(ABS(F300)&gt;=1E-12*MAX(1,SQRT((D300-'계산 과정'!$C$33)^2+(E300-'계산 과정'!$D$33)^2+'계산 과정'!$E$33^2)),('계산 과정'!$L$23-'계산 과정'!$C$49*D300-'계산 과정'!$D$49*E300)/F300,""),"")</x:f>
        <x:v>0.5862246755785824</x:v>
      </x:c>
      <x:c r="H300" s="4" t="n">
        <x:f>IF(AND(ISNUMBER(G300),G300&gt;0),('계산 과정'!$D$56+'계산 과정'!$D$57*D300+'계산 과정'!$D$58*E300)/F300,"")</x:f>
        <x:v>-18.95396087392154</x:v>
      </x:c>
      <x:c r="I300" s="4" t="n">
        <x:f>IF(AND(ISNUMBER(G300),G300&gt;0),('계산 과정'!$E$56+'계산 과정'!$E$57*D300+'계산 과정'!$E$58*E300)/F300,"")</x:f>
        <x:v>86.15276060466958</x:v>
      </x:c>
      <x:c r="J300" s="4" t="n">
        <x:f>IF('계산 과정'!$L$5,'계산 과정'!$D$6+'계산 과정'!$C$35*D300+'계산 과정'!$D$35*E300,"")</x:f>
        <x:v>661.9491022714093</x:v>
      </x:c>
      <x:c r="K300" s="4" t="n">
        <x:f>IF(AND('계산 과정'!$L$6,J300&gt;0),'계산 과정'!$D$10*('계산 과정'!$C$38*(D300-'계산 과정'!$C$32)+'계산 과정'!$D$38*(E300-'계산 과정'!$D$32)-'계산 과정'!$E$38*'계산 과정'!$E$32)/J300,"")</x:f>
        <x:v>-0.14441113046797263</x:v>
      </x:c>
      <x:c r="L300" s="4" t="n">
        <x:f>IF(AND('계산 과정'!$L$6,J300&gt;0),'계산 과정'!$D$10*('계산 과정'!$C$39*(D300-'계산 과정'!$C$32)+'계산 과정'!$D$39*(E300-'계산 과정'!$D$32)-'계산 과정'!$E$39*'계산 과정'!$E$32)/J300,"")</x:f>
        <x:v>0.6564019855593872</x:v>
      </x:c>
      <x:c r="M300" s="17" t="n">
        <x:f>IF('계산 과정'!$L$6,IF(J300&lt;=0,0,IF(AND(ABS(K300)&lt;='계산 과정'!$D$11/2,ABS(L300)&lt;='계산 과정'!$D$12/2),1,0)),"")</x:f>
        <x:v>1</x:v>
      </x:c>
      <x:c r="N300" s="17" t="n">
        <x:f>IF('계산 과정'!$C$78,IF(AND(ISNUMBER(H300),ISNUMBER(I300),ABS(H300-'계산 과정'!$C$88)&lt;='계산 과정'!$D$23/2,ABS(I300-'계산 과정'!$C$89)&lt;='계산 과정'!$D$24/2),1,0),"")</x:f>
        <x:v>1</x:v>
      </x:c>
      <x:c r="O300" s="4" t="n">
        <x:f>IF('계산 과정'!$L$7,'계산 과정'!$C$49*('계산 과정'!$C$32-D300)+'계산 과정'!$D$49*('계산 과정'!$D$32-E300)+'계산 과정'!$E$49*'계산 과정'!$E$32,"")</x:f>
        <x:v>-11.949102271409117</x:v>
      </x:c>
      <x:c r="P300" s="4" t="n">
        <x:f>IF(AND('계산 과정'!$L$7,O300&lt;&gt;0),('계산 과정'!$L$23-'계산 과정'!$C$49*D300-'계산 과정'!$D$49*E300)/O300,"")</x:f>
        <x:v>-32.475318138090486</x:v>
      </x:c>
      <x:c r="Q300" s="4" t="str">
        <x:f>IF(AND(ISNUMBER(P300),P300&gt;1E-9,P300&lt;1-1E-9),'계산 과정'!$C$47*(D300-'계산 과정'!$C$50+P300*('계산 과정'!$C$32-D300))+'계산 과정'!$D$47*(E300-'계산 과정'!$D$50+P300*('계산 과정'!$D$32-E300))+'계산 과정'!$E$47*(0-'계산 과정'!$E$50+P300*('계산 과정'!$E$32-0)),"")</x:f>
      </x:c>
      <x:c r="R300" s="4" t="str">
        <x:f>IF(AND(ISNUMBER(P300),P300&gt;1E-9,P300&lt;1-1E-9),'계산 과정'!$C$48*(D300-'계산 과정'!$C$50+P300*('계산 과정'!$C$32-D300))+'계산 과정'!$D$48*(E300-'계산 과정'!$D$50+P300*('계산 과정'!$D$32-E300))+'계산 과정'!$E$48*(0-'계산 과정'!$E$50+P300*('계산 과정'!$E$32-0)),"")</x:f>
      </x:c>
      <x:c r="S300" s="17" t="n">
        <x:f>IF('계산 과정'!$C$78,IF(AND(ISNUMBER(Q300),ISNUMBER(R300),ABS(Q300-'계산 과정'!$C$88)&lt;='계산 과정'!$D$23/2,ABS(R300-'계산 과정'!$C$89)&lt;='계산 과정'!$D$24/2),1,0),"")</x:f>
        <x:v>0</x:v>
      </x:c>
      <x:c r="T300" s="4"/>
      <x:c r="U300" s="4"/>
      <x:c r="V300" s="4"/>
      <x:c r="W300" s="4" t="n">
        <x:f>IF('계산 과정'!$C$78,'계산 과정'!$C$88+1*'계산 과정'!$D$23/2,"")</x:f>
        <x:v>288.723404255319</x:v>
      </x:c>
      <x:c r="X300" s="4" t="str">
        <x:f>""</x:f>
      </x:c>
      <x:c r="Y300" s="4" t="n">
        <x:f>IF('계산 과정'!$C$78,'계산 과정'!$C$89+-0.88*'계산 과정'!$D$24/2,"")</x:f>
        <x:v>-228.8</x:v>
      </x:c>
      <x:c r="Z300" s="4" t="str">
        <x:f>""</x:f>
      </x:c>
    </x:row>
    <x:row r="301" ht="23" customHeight="1">
      <x:c r="A301" s="17" t="n">
        <x:f>ROW()-6</x:f>
        <x:v>295</x:v>
      </x:c>
      <x:c r="B301" s="4" t="n">
        <x:f>IF('계산 과정'!$L$5,'계산 과정'!$L$11*SQRT((A301+0.5)/'계산 과정'!$L$30),"")</x:f>
        <x:v>56.977714599108836</x:v>
      </x:c>
      <x:c r="C301" s="4" t="n">
        <x:f>A301*PI()*(3-SQRT(5))</x:f>
        <x:v>707.9891527699526</x:v>
      </x:c>
      <x:c r="D301" s="4" t="n">
        <x:f>IF('계산 과정'!$L$5,B301*COS(C301),"")</x:f>
        <x:v>-24.268573449390807</x:v>
      </x:c>
      <x:c r="E301" s="4" t="n">
        <x:f>IF('계산 과정'!$L$5,B301*SIN(C301),"")</x:f>
        <x:v>-51.550909823872395</x:v>
      </x:c>
      <x:c r="F301" s="4" t="n">
        <x:f>IF('계산 과정'!$L$7,'계산 과정'!$L$22+'계산 과정'!$C$49*D301+'계산 과정'!$D$49*E301,"")</x:f>
        <x:v>667.160472855788</x:v>
      </x:c>
      <x:c r="G301" s="4" t="n">
        <x:f>IF('계산 과정'!$L$7,IF(ABS(F301)&gt;=1E-12*MAX(1,SQRT((D301-'계산 과정'!$C$33)^2+(E301-'계산 과정'!$D$33)^2+'계산 과정'!$E$33^2)),('계산 과정'!$L$23-'계산 과정'!$C$49*D301-'계산 과정'!$D$49*E301)/F301,""),"")</x:f>
        <x:v>0.5738342463627424</x:v>
      </x:c>
      <x:c r="H301" s="4" t="n">
        <x:f>IF(AND(ISNUMBER(G301),G301&gt;0),('계산 과정'!$D$56+'계산 과정'!$D$57*D301+'계산 과정'!$D$58*E301)/F301,"")</x:f>
        <x:v>-27.007739864217587</x:v>
      </x:c>
      <x:c r="I301" s="4" t="n">
        <x:f>IF(AND(ISNUMBER(G301),G301&gt;0),('계산 과정'!$E$56+'계산 과정'!$E$57*D301+'계산 과정'!$E$58*E301)/F301,"")</x:f>
        <x:v>-81.1325873119679</x:v>
      </x:c>
      <x:c r="J301" s="4" t="n">
        <x:f>IF('계산 과정'!$L$5,'계산 과정'!$D$6+'계산 과정'!$C$35*D301+'계산 과정'!$D$35*E301,"")</x:f>
        <x:v>667.160472855788</x:v>
      </x:c>
      <x:c r="K301" s="4" t="n">
        <x:f>IF(AND('계산 과정'!$L$6,J301&gt;0),'계산 과정'!$D$10*('계산 과정'!$C$38*(D301-'계산 과정'!$C$32)+'계산 과정'!$D$38*(E301-'계산 과정'!$D$32)-'계산 과정'!$E$38*'계산 과정'!$E$32)/J301,"")</x:f>
        <x:v>-0.2057732561083236</x:v>
      </x:c>
      <x:c r="L301" s="4" t="n">
        <x:f>IF(AND('계산 과정'!$L$6,J301&gt;0),'계산 과정'!$D$10*('계산 과정'!$C$39*(D301-'계산 과정'!$C$32)+'계산 과정'!$D$39*(E301-'계산 과정'!$D$32)-'계산 과정'!$E$39*'계산 과정'!$E$32)/J301,"")</x:f>
        <x:v>-0.6181530461864221</x:v>
      </x:c>
      <x:c r="M301" s="17" t="n">
        <x:f>IF('계산 과정'!$L$6,IF(J301&lt;=0,0,IF(AND(ABS(K301)&lt;='계산 과정'!$D$11/2,ABS(L301)&lt;='계산 과정'!$D$12/2),1,0)),"")</x:f>
        <x:v>1</x:v>
      </x:c>
      <x:c r="N301" s="17" t="n">
        <x:f>IF('계산 과정'!$C$78,IF(AND(ISNUMBER(H301),ISNUMBER(I301),ABS(H301-'계산 과정'!$C$88)&lt;='계산 과정'!$D$23/2,ABS(I301-'계산 과정'!$C$89)&lt;='계산 과정'!$D$24/2),1,0),"")</x:f>
        <x:v>1</x:v>
      </x:c>
      <x:c r="O301" s="4" t="n">
        <x:f>IF('계산 과정'!$L$7,'계산 과정'!$C$49*('계산 과정'!$C$32-D301)+'계산 과정'!$D$49*('계산 과정'!$D$32-E301)+'계산 과정'!$E$49*'계산 과정'!$E$32,"")</x:f>
        <x:v>-17.16047285578793</x:v>
      </x:c>
      <x:c r="P301" s="4" t="n">
        <x:f>IF(AND('계산 과정'!$L$7,O301&lt;&gt;0),('계산 과정'!$L$23-'계산 과정'!$C$49*D301-'계산 과정'!$D$49*E301)/O301,"")</x:f>
        <x:v>-22.309381003745873</x:v>
      </x:c>
      <x:c r="Q301" s="4" t="str">
        <x:f>IF(AND(ISNUMBER(P301),P301&gt;1E-9,P301&lt;1-1E-9),'계산 과정'!$C$47*(D301-'계산 과정'!$C$50+P301*('계산 과정'!$C$32-D301))+'계산 과정'!$D$47*(E301-'계산 과정'!$D$50+P301*('계산 과정'!$D$32-E301))+'계산 과정'!$E$47*(0-'계산 과정'!$E$50+P301*('계산 과정'!$E$32-0)),"")</x:f>
      </x:c>
      <x:c r="R301" s="4" t="str">
        <x:f>IF(AND(ISNUMBER(P301),P301&gt;1E-9,P301&lt;1-1E-9),'계산 과정'!$C$48*(D301-'계산 과정'!$C$50+P301*('계산 과정'!$C$32-D301))+'계산 과정'!$D$48*(E301-'계산 과정'!$D$50+P301*('계산 과정'!$D$32-E301))+'계산 과정'!$E$48*(0-'계산 과정'!$E$50+P301*('계산 과정'!$E$32-0)),"")</x:f>
      </x:c>
      <x:c r="S301" s="17" t="n">
        <x:f>IF('계산 과정'!$C$78,IF(AND(ISNUMBER(Q301),ISNUMBER(R301),ABS(Q301-'계산 과정'!$C$88)&lt;='계산 과정'!$D$23/2,ABS(R301-'계산 과정'!$C$89)&lt;='계산 과정'!$D$24/2),1,0),"")</x:f>
        <x:v>0</x:v>
      </x:c>
      <x:c r="T301" s="4"/>
      <x:c r="U301" s="4"/>
      <x:c r="V301" s="4"/>
      <x:c r="W301" s="4" t="n">
        <x:f>IF('계산 과정'!$C$78,'계산 과정'!$C$88+1*'계산 과정'!$D$23/2,"")</x:f>
        <x:v>288.723404255319</x:v>
      </x:c>
      <x:c r="X301" s="4" t="str">
        <x:f>""</x:f>
      </x:c>
      <x:c r="Y301" s="4" t="n">
        <x:f>IF('계산 과정'!$C$78,'계산 과정'!$C$89+-0.84*'계산 과정'!$D$24/2,"")</x:f>
        <x:v>-218.4</x:v>
      </x:c>
      <x:c r="Z301" s="4" t="str">
        <x:f>""</x:f>
      </x:c>
    </x:row>
    <x:row r="302" ht="23" customHeight="1">
      <x:c r="A302" s="17" t="n">
        <x:f>ROW()-6</x:f>
        <x:v>296</x:v>
      </x:c>
      <x:c r="B302" s="4" t="n">
        <x:f>IF('계산 과정'!$L$5,'계산 과정'!$L$11*SQRT((A302+0.5)/'계산 과정'!$L$30),"")</x:f>
        <x:v>57.074042165090255</x:v>
      </x:c>
      <x:c r="C302" s="4" t="n">
        <x:f>A302*PI()*(3-SQRT(5))</x:f>
        <x:v>710.3891159996813</x:v>
      </x:c>
      <x:c r="D302" s="4" t="n">
        <x:f>IF('계산 과정'!$L$5,B302*COS(C302),"")</x:f>
        <x:v>52.806154398058126</x:v>
      </x:c>
      <x:c r="E302" s="4" t="n">
        <x:f>IF('계산 과정'!$L$5,B302*SIN(C302),"")</x:f>
        <x:v>21.65539994437754</x:v>
      </x:c>
      <x:c r="F302" s="4" t="n">
        <x:f>IF('계산 과정'!$L$7,'계산 과정'!$L$22+'계산 과정'!$C$49*D302+'계산 과정'!$D$49*E302,"")</x:f>
        <x:v>612.6604101367493</x:v>
      </x:c>
      <x:c r="G302" s="4" t="n">
        <x:f>IF('계산 과정'!$L$7,IF(ABS(F302)&gt;=1E-12*MAX(1,SQRT((D302-'계산 과정'!$C$33)^2+(E302-'계산 과정'!$D$33)^2+'계산 과정'!$E$33^2)),('계산 과정'!$L$23-'계산 과정'!$C$49*D302-'계산 과정'!$D$49*E302)/F302,""),"")</x:f>
        <x:v>0.7138368705195657</x:v>
      </x:c>
      <x:c r="H302" s="4" t="n">
        <x:f>IF(AND(ISNUMBER(G302),G302&gt;0),('계산 과정'!$D$56+'계산 과정'!$D$57*D302+'계산 과정'!$D$58*E302)/F302,"")</x:f>
        <x:v>63.99396583771763</x:v>
      </x:c>
      <x:c r="I302" s="4" t="n">
        <x:f>IF(AND(ISNUMBER(G302),G302&gt;0),('계산 과정'!$E$56+'계산 과정'!$E$57*D302+'계산 과정'!$E$58*E302)/F302,"")</x:f>
        <x:v>37.11382287052158</x:v>
      </x:c>
      <x:c r="J302" s="4" t="n">
        <x:f>IF('계산 과정'!$L$5,'계산 과정'!$D$6+'계산 과정'!$C$35*D302+'계산 과정'!$D$35*E302,"")</x:f>
        <x:v>612.6604101367493</x:v>
      </x:c>
      <x:c r="K302" s="4" t="n">
        <x:f>IF(AND('계산 과정'!$L$6,J302&gt;0),'계산 과정'!$D$10*('계산 과정'!$C$38*(D302-'계산 과정'!$C$32)+'계산 과정'!$D$38*(E302-'계산 과정'!$D$32)-'계산 과정'!$E$38*'계산 과정'!$E$32)/J302,"")</x:f>
        <x:v>0.4875730730492782</x:v>
      </x:c>
      <x:c r="L302" s="4" t="n">
        <x:f>IF(AND('계산 과정'!$L$6,J302&gt;0),'계산 과정'!$D$10*('계산 과정'!$C$39*(D302-'계산 과정'!$C$32)+'계산 과정'!$D$39*(E302-'계산 과정'!$D$32)-'계산 과정'!$E$39*'계산 과정'!$E$32)/J302,"")</x:f>
        <x:v>0.28277198377540247</x:v>
      </x:c>
      <x:c r="M302" s="17" t="n">
        <x:f>IF('계산 과정'!$L$6,IF(J302&lt;=0,0,IF(AND(ABS(K302)&lt;='계산 과정'!$D$11/2,ABS(L302)&lt;='계산 과정'!$D$12/2),1,0)),"")</x:f>
        <x:v>1</x:v>
      </x:c>
      <x:c r="N302" s="17" t="n">
        <x:f>IF('계산 과정'!$C$78,IF(AND(ISNUMBER(H302),ISNUMBER(I302),ABS(H302-'계산 과정'!$C$88)&lt;='계산 과정'!$D$23/2,ABS(I302-'계산 과정'!$C$89)&lt;='계산 과정'!$D$24/2),1,0),"")</x:f>
        <x:v>1</x:v>
      </x:c>
      <x:c r="O302" s="4" t="n">
        <x:f>IF('계산 과정'!$L$7,'계산 과정'!$C$49*('계산 과정'!$C$32-D302)+'계산 과정'!$D$49*('계산 과정'!$D$32-E302)+'계산 과정'!$E$49*'계산 과정'!$E$32,"")</x:f>
        <x:v>37.339589863250865</x:v>
      </x:c>
      <x:c r="P302" s="4" t="n">
        <x:f>IF(AND('계산 과정'!$L$7,O302&lt;&gt;0),('계산 과정'!$L$23-'계산 과정'!$C$49*D302-'계산 과정'!$D$49*E302)/O302,"")</x:f>
        <x:v>11.712490454901184</x:v>
      </x:c>
      <x:c r="Q302" s="4" t="str">
        <x:f>IF(AND(ISNUMBER(P302),P302&gt;1E-9,P302&lt;1-1E-9),'계산 과정'!$C$47*(D302-'계산 과정'!$C$50+P302*('계산 과정'!$C$32-D302))+'계산 과정'!$D$47*(E302-'계산 과정'!$D$50+P302*('계산 과정'!$D$32-E302))+'계산 과정'!$E$47*(0-'계산 과정'!$E$50+P302*('계산 과정'!$E$32-0)),"")</x:f>
      </x:c>
      <x:c r="R302" s="4" t="str">
        <x:f>IF(AND(ISNUMBER(P302),P302&gt;1E-9,P302&lt;1-1E-9),'계산 과정'!$C$48*(D302-'계산 과정'!$C$50+P302*('계산 과정'!$C$32-D302))+'계산 과정'!$D$48*(E302-'계산 과정'!$D$50+P302*('계산 과정'!$D$32-E302))+'계산 과정'!$E$48*(0-'계산 과정'!$E$50+P302*('계산 과정'!$E$32-0)),"")</x:f>
      </x:c>
      <x:c r="S302" s="17" t="n">
        <x:f>IF('계산 과정'!$C$78,IF(AND(ISNUMBER(Q302),ISNUMBER(R302),ABS(Q302-'계산 과정'!$C$88)&lt;='계산 과정'!$D$23/2,ABS(R302-'계산 과정'!$C$89)&lt;='계산 과정'!$D$24/2),1,0),"")</x:f>
        <x:v>0</x:v>
      </x:c>
      <x:c r="T302" s="4"/>
      <x:c r="U302" s="4"/>
      <x:c r="V302" s="4"/>
      <x:c r="W302" s="4" t="n">
        <x:f>IF('계산 과정'!$C$78,'계산 과정'!$C$88+1*'계산 과정'!$D$23/2,"")</x:f>
        <x:v>288.723404255319</x:v>
      </x:c>
      <x:c r="X302" s="4" t="str">
        <x:f>""</x:f>
      </x:c>
      <x:c r="Y302" s="4" t="n">
        <x:f>IF('계산 과정'!$C$78,'계산 과정'!$C$89+-0.8*'계산 과정'!$D$24/2,"")</x:f>
        <x:v>-208</x:v>
      </x:c>
      <x:c r="Z302" s="4" t="str">
        <x:f>""</x:f>
      </x:c>
    </x:row>
    <x:row r="303" ht="23" customHeight="1">
      <x:c r="A303" s="17" t="n">
        <x:f>ROW()-6</x:f>
        <x:v>297</x:v>
      </x:c>
      <x:c r="B303" s="4" t="n">
        <x:f>IF('계산 과정'!$L$5,'계산 과정'!$L$11*SQRT((A303+0.5)/'계산 과정'!$L$30),"")</x:f>
        <x:v>57.17020742648657</x:v>
      </x:c>
      <x:c r="C303" s="4" t="n">
        <x:f>A303*PI()*(3-SQRT(5))</x:f>
        <x:v>712.7890792294099</x:v>
      </x:c>
      <x:c r="D303" s="4" t="n">
        <x:f>IF('계산 과정'!$L$5,B303*COS(C303),"")</x:f>
        <x:v>-53.655881163861565</x:v>
      </x:c>
      <x:c r="E303" s="4" t="n">
        <x:f>IF('계산 과정'!$L$5,B303*SIN(C303),"")</x:f>
        <x:v>19.735223173733463</x:v>
      </x:c>
      <x:c r="F303" s="4" t="n">
        <x:f>IF('계산 과정'!$L$7,'계산 과정'!$L$22+'계산 과정'!$C$49*D303+'계산 과정'!$D$49*E303,"")</x:f>
        <x:v>687.9404374215061</x:v>
      </x:c>
      <x:c r="G303" s="4" t="n">
        <x:f>IF('계산 과정'!$L$7,IF(ABS(F303)&gt;=1E-12*MAX(1,SQRT((D303-'계산 과정'!$C$33)^2+(E303-'계산 과정'!$D$33)^2+'계산 과정'!$E$33^2)),('계산 과정'!$L$23-'계산 과정'!$C$49*D303-'계산 과정'!$D$49*E303)/F303,""),"")</x:f>
        <x:v>0.5262949274148533</x:v>
      </x:c>
      <x:c r="H303" s="4" t="n">
        <x:f>IF(AND(ISNUMBER(G303),G303&gt;0),('계산 과정'!$D$56+'계산 과정'!$D$57*D303+'계산 과정'!$D$58*E303)/F303,"")</x:f>
        <x:v>-57.908297180345485</x:v>
      </x:c>
      <x:c r="I303" s="4" t="n">
        <x:f>IF(AND(ISNUMBER(G303),G303&gt;0),('계산 과정'!$E$56+'계산 과정'!$E$57*D303+'계산 과정'!$E$58*E303)/F303,"")</x:f>
        <x:v>30.121771021469446</x:v>
      </x:c>
      <x:c r="J303" s="4" t="n">
        <x:f>IF('계산 과정'!$L$5,'계산 과정'!$D$6+'계산 과정'!$C$35*D303+'계산 과정'!$D$35*E303,"")</x:f>
        <x:v>687.9404374215061</x:v>
      </x:c>
      <x:c r="K303" s="4" t="n">
        <x:f>IF(AND('계산 과정'!$L$6,J303&gt;0),'계산 과정'!$D$10*('계산 과정'!$C$38*(D303-'계산 과정'!$C$32)+'계산 과정'!$D$38*(E303-'계산 과정'!$D$32)-'계산 과정'!$E$38*'계산 과정'!$E$32)/J303,"")</x:f>
        <x:v>-0.44120607375501203</x:v>
      </x:c>
      <x:c r="L303" s="4" t="n">
        <x:f>IF(AND('계산 과정'!$L$6,J303&gt;0),'계산 과정'!$D$10*('계산 과정'!$C$39*(D303-'계산 과정'!$C$32)+'계산 과정'!$D$39*(E303-'계산 과정'!$D$32)-'계산 과정'!$E$39*'계산 과정'!$E$32)/J303,"")</x:f>
        <x:v>0.22949920778262434</x:v>
      </x:c>
      <x:c r="M303" s="17" t="n">
        <x:f>IF('계산 과정'!$L$6,IF(J303&lt;=0,0,IF(AND(ABS(K303)&lt;='계산 과정'!$D$11/2,ABS(L303)&lt;='계산 과정'!$D$12/2),1,0)),"")</x:f>
        <x:v>1</x:v>
      </x:c>
      <x:c r="N303" s="17" t="n">
        <x:f>IF('계산 과정'!$C$78,IF(AND(ISNUMBER(H303),ISNUMBER(I303),ABS(H303-'계산 과정'!$C$88)&lt;='계산 과정'!$D$23/2,ABS(I303-'계산 과정'!$C$89)&lt;='계산 과정'!$D$24/2),1,0),"")</x:f>
        <x:v>1</x:v>
      </x:c>
      <x:c r="O303" s="4" t="n">
        <x:f>IF('계산 과정'!$L$7,'계산 과정'!$C$49*('계산 과정'!$C$32-D303)+'계산 과정'!$D$49*('계산 과정'!$D$32-E303)+'계산 과정'!$E$49*'계산 과정'!$E$32,"")</x:f>
        <x:v>-37.94043742150592</x:v>
      </x:c>
      <x:c r="P303" s="4" t="n">
        <x:f>IF(AND('계산 과정'!$L$7,O303&lt;&gt;0),('계산 과정'!$L$23-'계산 과정'!$C$49*D303-'계산 과정'!$D$49*E303)/O303,"")</x:f>
        <x:v>-9.542841020943696</x:v>
      </x:c>
      <x:c r="Q303" s="4" t="str">
        <x:f>IF(AND(ISNUMBER(P303),P303&gt;1E-9,P303&lt;1-1E-9),'계산 과정'!$C$47*(D303-'계산 과정'!$C$50+P303*('계산 과정'!$C$32-D303))+'계산 과정'!$D$47*(E303-'계산 과정'!$D$50+P303*('계산 과정'!$D$32-E303))+'계산 과정'!$E$47*(0-'계산 과정'!$E$50+P303*('계산 과정'!$E$32-0)),"")</x:f>
      </x:c>
      <x:c r="R303" s="4" t="str">
        <x:f>IF(AND(ISNUMBER(P303),P303&gt;1E-9,P303&lt;1-1E-9),'계산 과정'!$C$48*(D303-'계산 과정'!$C$50+P303*('계산 과정'!$C$32-D303))+'계산 과정'!$D$48*(E303-'계산 과정'!$D$50+P303*('계산 과정'!$D$32-E303))+'계산 과정'!$E$48*(0-'계산 과정'!$E$50+P303*('계산 과정'!$E$32-0)),"")</x:f>
      </x:c>
      <x:c r="S303" s="17" t="n">
        <x:f>IF('계산 과정'!$C$78,IF(AND(ISNUMBER(Q303),ISNUMBER(R303),ABS(Q303-'계산 과정'!$C$88)&lt;='계산 과정'!$D$23/2,ABS(R303-'계산 과정'!$C$89)&lt;='계산 과정'!$D$24/2),1,0),"")</x:f>
        <x:v>0</x:v>
      </x:c>
      <x:c r="T303" s="4"/>
      <x:c r="U303" s="4"/>
      <x:c r="V303" s="4"/>
      <x:c r="W303" s="4" t="n">
        <x:f>IF('계산 과정'!$C$78,'계산 과정'!$C$88+1*'계산 과정'!$D$23/2,"")</x:f>
        <x:v>288.723404255319</x:v>
      </x:c>
      <x:c r="X303" s="4" t="str">
        <x:f>""</x:f>
      </x:c>
      <x:c r="Y303" s="4" t="n">
        <x:f>IF('계산 과정'!$C$78,'계산 과정'!$C$89+-0.76*'계산 과정'!$D$24/2,"")</x:f>
        <x:v>-197.6</x:v>
      </x:c>
      <x:c r="Z303" s="4" t="str">
        <x:f>""</x:f>
      </x:c>
    </x:row>
    <x:row r="304" ht="23" customHeight="1">
      <x:c r="A304" s="17" t="n">
        <x:f>ROW()-6</x:f>
        <x:v>298</x:v>
      </x:c>
      <x:c r="B304" s="4" t="n">
        <x:f>IF('계산 과정'!$L$5,'계산 과정'!$L$11*SQRT((A304+0.5)/'계산 과정'!$L$30),"")</x:f>
        <x:v>57.26621120095601</x:v>
      </x:c>
      <x:c r="C304" s="4" t="n">
        <x:f>A304*PI()*(3-SQRT(5))</x:f>
        <x:v>715.1890424591386</x:v>
      </x:c>
      <x:c r="D304" s="4" t="n">
        <x:f>IF('계산 과정'!$L$5,B304*COS(C304),"")</x:f>
        <x:v>26.277277653431266</x:v>
      </x:c>
      <x:c r="E304" s="4" t="n">
        <x:f>IF('계산 과정'!$L$5,B304*SIN(C304),"")</x:f>
        <x:v>-50.881466413980064</x:v>
      </x:c>
      <x:c r="F304" s="4" t="n">
        <x:f>IF('계산 과정'!$L$7,'계산 과정'!$L$22+'계산 과정'!$C$49*D304+'계산 과정'!$D$49*E304,"")</x:f>
        <x:v>631.419158780137</x:v>
      </x:c>
      <x:c r="G304" s="4" t="n">
        <x:f>IF('계산 과정'!$L$7,IF(ABS(F304)&gt;=1E-12*MAX(1,SQRT((D304-'계산 과정'!$C$33)^2+(E304-'계산 과정'!$D$33)^2+'계산 과정'!$E$33^2)),('계산 과정'!$L$23-'계산 과정'!$C$49*D304-'계산 과정'!$D$49*E304)/F304,""),"")</x:f>
        <x:v>0.6629207166100811</x:v>
      </x:c>
      <x:c r="H304" s="4" t="n">
        <x:f>IF(AND(ISNUMBER(G304),G304&gt;0),('계산 과정'!$D$56+'계산 과정'!$D$57*D304+'계산 과정'!$D$58*E304)/F304,"")</x:f>
        <x:v>30.89846579655257</x:v>
      </x:c>
      <x:c r="I304" s="4" t="n">
        <x:f>IF(AND(ISNUMBER(G304),G304&gt;0),('계산 과정'!$E$56+'계산 과정'!$E$57*D304+'계산 과정'!$E$58*E304)/F304,"")</x:f>
        <x:v>-84.61184459130752</x:v>
      </x:c>
      <x:c r="J304" s="4" t="n">
        <x:f>IF('계산 과정'!$L$5,'계산 과정'!$D$6+'계산 과정'!$C$35*D304+'계산 과정'!$D$35*E304,"")</x:f>
        <x:v>631.419158780137</x:v>
      </x:c>
      <x:c r="K304" s="4" t="n">
        <x:f>IF(AND('계산 과정'!$L$6,J304&gt;0),'계산 과정'!$D$10*('계산 과정'!$C$38*(D304-'계산 과정'!$C$32)+'계산 과정'!$D$38*(E304-'계산 과정'!$D$32)-'계산 과정'!$E$38*'계산 과정'!$E$32)/J304,"")</x:f>
        <x:v>0.23541688225944896</x:v>
      </x:c>
      <x:c r="L304" s="4" t="n">
        <x:f>IF(AND('계산 과정'!$L$6,J304&gt;0),'계산 과정'!$D$10*('계산 과정'!$C$39*(D304-'계산 과정'!$C$32)+'계산 과정'!$D$39*(E304-'계산 과정'!$D$32)-'계산 과정'!$E$39*'계산 과정'!$E$32)/J304,"")</x:f>
        <x:v>-0.6446616730766286</x:v>
      </x:c>
      <x:c r="M304" s="17" t="n">
        <x:f>IF('계산 과정'!$L$6,IF(J304&lt;=0,0,IF(AND(ABS(K304)&lt;='계산 과정'!$D$11/2,ABS(L304)&lt;='계산 과정'!$D$12/2),1,0)),"")</x:f>
        <x:v>1</x:v>
      </x:c>
      <x:c r="N304" s="17" t="n">
        <x:f>IF('계산 과정'!$C$78,IF(AND(ISNUMBER(H304),ISNUMBER(I304),ABS(H304-'계산 과정'!$C$88)&lt;='계산 과정'!$D$23/2,ABS(I304-'계산 과정'!$C$89)&lt;='계산 과정'!$D$24/2),1,0),"")</x:f>
        <x:v>1</x:v>
      </x:c>
      <x:c r="O304" s="4" t="n">
        <x:f>IF('계산 과정'!$L$7,'계산 과정'!$C$49*('계산 과정'!$C$32-D304)+'계산 과정'!$D$49*('계산 과정'!$D$32-E304)+'계산 과정'!$E$49*'계산 과정'!$E$32,"")</x:f>
        <x:v>18.58084121986309</x:v>
      </x:c>
      <x:c r="P304" s="4" t="n">
        <x:f>IF(AND('계산 과정'!$L$7,O304&lt;&gt;0),('계산 과정'!$L$23-'계산 과정'!$C$49*D304-'계산 과정'!$D$49*E304)/O304,"")</x:f>
        <x:v>22.52755062415561</x:v>
      </x:c>
      <x:c r="Q304" s="4" t="str">
        <x:f>IF(AND(ISNUMBER(P304),P304&gt;1E-9,P304&lt;1-1E-9),'계산 과정'!$C$47*(D304-'계산 과정'!$C$50+P304*('계산 과정'!$C$32-D304))+'계산 과정'!$D$47*(E304-'계산 과정'!$D$50+P304*('계산 과정'!$D$32-E304))+'계산 과정'!$E$47*(0-'계산 과정'!$E$50+P304*('계산 과정'!$E$32-0)),"")</x:f>
      </x:c>
      <x:c r="R304" s="4" t="str">
        <x:f>IF(AND(ISNUMBER(P304),P304&gt;1E-9,P304&lt;1-1E-9),'계산 과정'!$C$48*(D304-'계산 과정'!$C$50+P304*('계산 과정'!$C$32-D304))+'계산 과정'!$D$48*(E304-'계산 과정'!$D$50+P304*('계산 과정'!$D$32-E304))+'계산 과정'!$E$48*(0-'계산 과정'!$E$50+P304*('계산 과정'!$E$32-0)),"")</x:f>
      </x:c>
      <x:c r="S304" s="17" t="n">
        <x:f>IF('계산 과정'!$C$78,IF(AND(ISNUMBER(Q304),ISNUMBER(R304),ABS(Q304-'계산 과정'!$C$88)&lt;='계산 과정'!$D$23/2,ABS(R304-'계산 과정'!$C$89)&lt;='계산 과정'!$D$24/2),1,0),"")</x:f>
        <x:v>0</x:v>
      </x:c>
      <x:c r="T304" s="4"/>
      <x:c r="U304" s="4"/>
      <x:c r="V304" s="4"/>
      <x:c r="W304" s="4" t="n">
        <x:f>IF('계산 과정'!$C$78,'계산 과정'!$C$88+1*'계산 과정'!$D$23/2,"")</x:f>
        <x:v>288.723404255319</x:v>
      </x:c>
      <x:c r="X304" s="4" t="str">
        <x:f>""</x:f>
      </x:c>
      <x:c r="Y304" s="4" t="n">
        <x:f>IF('계산 과정'!$C$78,'계산 과정'!$C$89+-0.72*'계산 과정'!$D$24/2,"")</x:f>
        <x:v>-187.2</x:v>
      </x:c>
      <x:c r="Z304" s="4" t="str">
        <x:f>""</x:f>
      </x:c>
    </x:row>
    <x:row r="305" ht="23" customHeight="1">
      <x:c r="A305" s="17" t="n">
        <x:f>ROW()-6</x:f>
        <x:v>299</x:v>
      </x:c>
      <x:c r="B305" s="4" t="n">
        <x:f>IF('계산 과정'!$L$5,'계산 과정'!$L$11*SQRT((A305+0.5)/'계산 과정'!$L$30),"")</x:f>
        <x:v>57.36205429931445</x:v>
      </x:c>
      <x:c r="C305" s="4" t="n">
        <x:f>A305*PI()*(3-SQRT(5))</x:f>
        <x:v>717.5890056888672</x:v>
      </x:c>
      <x:c r="D305" s="4" t="n">
        <x:f>IF('계산 과정'!$L$5,B305*COS(C305),"")</x:f>
        <x:v>15.018984372264622</x:v>
      </x:c>
      <x:c r="E305" s="4" t="n">
        <x:f>IF('계산 과정'!$L$5,B305*SIN(C305),"")</x:f>
        <x:v>55.36095539153177</x:v>
      </x:c>
      <x:c r="F305" s="4" t="n">
        <x:f>IF('계산 과정'!$L$7,'계산 과정'!$L$22+'계산 과정'!$C$49*D305+'계산 과정'!$D$49*E305,"")</x:f>
        <x:v>639.3799743038369</x:v>
      </x:c>
      <x:c r="G305" s="4" t="n">
        <x:f>IF('계산 과정'!$L$7,IF(ABS(F305)&gt;=1E-12*MAX(1,SQRT((D305-'계산 과정'!$C$33)^2+(E305-'계산 과정'!$D$33)^2+'계산 과정'!$E$33^2)),('계산 과정'!$L$23-'계산 과정'!$C$49*D305-'계산 과정'!$D$49*E305)/F305,""),"")</x:f>
        <x:v>0.6422159626492059</x:v>
      </x:c>
      <x:c r="H305" s="4" t="n">
        <x:f>IF(AND(ISNUMBER(G305),G305&gt;0),('계산 과정'!$D$56+'계산 과정'!$D$57*D305+'계산 과정'!$D$58*E305)/F305,"")</x:f>
        <x:v>17.44037572198367</x:v>
      </x:c>
      <x:c r="I305" s="4" t="n">
        <x:f>IF(AND(ISNUMBER(G305),G305&gt;0),('계산 과정'!$E$56+'계산 과정'!$E$57*D305+'계산 과정'!$E$58*E305)/F305,"")</x:f>
        <x:v>90.91464465148408</x:v>
      </x:c>
      <x:c r="J305" s="4" t="n">
        <x:f>IF('계산 과정'!$L$5,'계산 과정'!$D$6+'계산 과정'!$C$35*D305+'계산 과정'!$D$35*E305,"")</x:f>
        <x:v>639.3799743038369</x:v>
      </x:c>
      <x:c r="K305" s="4" t="n">
        <x:f>IF(AND('계산 과정'!$L$6,J305&gt;0),'계산 과정'!$D$10*('계산 과정'!$C$38*(D305-'계산 과정'!$C$32)+'계산 과정'!$D$38*(E305-'계산 과정'!$D$32)-'계산 과정'!$E$38*'계산 과정'!$E$32)/J305,"")</x:f>
        <x:v>0.1328790531198766</x:v>
      </x:c>
      <x:c r="L305" s="4" t="n">
        <x:f>IF(AND('계산 과정'!$L$6,J305&gt;0),'계산 과정'!$D$10*('계산 과정'!$C$39*(D305-'계산 과정'!$C$32)+'계산 과정'!$D$39*(E305-'계산 과정'!$D$32)-'계산 과정'!$E$39*'계산 과정'!$E$32)/J305,"")</x:f>
        <x:v>0.6926830068684502</x:v>
      </x:c>
      <x:c r="M305" s="17" t="n">
        <x:f>IF('계산 과정'!$L$6,IF(J305&lt;=0,0,IF(AND(ABS(K305)&lt;='계산 과정'!$D$11/2,ABS(L305)&lt;='계산 과정'!$D$12/2),1,0)),"")</x:f>
        <x:v>1</x:v>
      </x:c>
      <x:c r="N305" s="17" t="n">
        <x:f>IF('계산 과정'!$C$78,IF(AND(ISNUMBER(H305),ISNUMBER(I305),ABS(H305-'계산 과정'!$C$88)&lt;='계산 과정'!$D$23/2,ABS(I305-'계산 과정'!$C$89)&lt;='계산 과정'!$D$24/2),1,0),"")</x:f>
        <x:v>1</x:v>
      </x:c>
      <x:c r="O305" s="4" t="n">
        <x:f>IF('계산 과정'!$L$7,'계산 과정'!$C$49*('계산 과정'!$C$32-D305)+'계산 과정'!$D$49*('계산 과정'!$D$32-E305)+'계산 과정'!$E$49*'계산 과정'!$E$32,"")</x:f>
        <x:v>10.620025696163225</x:v>
      </x:c>
      <x:c r="P305" s="4" t="n">
        <x:f>IF(AND('계산 과정'!$L$7,O305&lt;&gt;0),('계산 과정'!$L$23-'계산 과정'!$C$49*D305-'계산 과정'!$D$49*E305)/O305,"")</x:f>
        <x:v>38.664692293966</x:v>
      </x:c>
      <x:c r="Q305" s="4" t="str">
        <x:f>IF(AND(ISNUMBER(P305),P305&gt;1E-9,P305&lt;1-1E-9),'계산 과정'!$C$47*(D305-'계산 과정'!$C$50+P305*('계산 과정'!$C$32-D305))+'계산 과정'!$D$47*(E305-'계산 과정'!$D$50+P305*('계산 과정'!$D$32-E305))+'계산 과정'!$E$47*(0-'계산 과정'!$E$50+P305*('계산 과정'!$E$32-0)),"")</x:f>
      </x:c>
      <x:c r="R305" s="4" t="str">
        <x:f>IF(AND(ISNUMBER(P305),P305&gt;1E-9,P305&lt;1-1E-9),'계산 과정'!$C$48*(D305-'계산 과정'!$C$50+P305*('계산 과정'!$C$32-D305))+'계산 과정'!$D$48*(E305-'계산 과정'!$D$50+P305*('계산 과정'!$D$32-E305))+'계산 과정'!$E$48*(0-'계산 과정'!$E$50+P305*('계산 과정'!$E$32-0)),"")</x:f>
      </x:c>
      <x:c r="S305" s="17" t="n">
        <x:f>IF('계산 과정'!$C$78,IF(AND(ISNUMBER(Q305),ISNUMBER(R305),ABS(Q305-'계산 과정'!$C$88)&lt;='계산 과정'!$D$23/2,ABS(R305-'계산 과정'!$C$89)&lt;='계산 과정'!$D$24/2),1,0),"")</x:f>
        <x:v>0</x:v>
      </x:c>
      <x:c r="T305" s="4"/>
      <x:c r="U305" s="4"/>
      <x:c r="V305" s="4"/>
      <x:c r="W305" s="4" t="n">
        <x:f>IF('계산 과정'!$C$78,'계산 과정'!$C$88+1*'계산 과정'!$D$23/2,"")</x:f>
        <x:v>288.723404255319</x:v>
      </x:c>
      <x:c r="X305" s="4" t="str">
        <x:f>""</x:f>
      </x:c>
      <x:c r="Y305" s="4" t="n">
        <x:f>IF('계산 과정'!$C$78,'계산 과정'!$C$89+-0.6799999999999999*'계산 과정'!$D$24/2,"")</x:f>
        <x:v>-176.79999999999998</x:v>
      </x:c>
      <x:c r="Z305" s="4" t="str">
        <x:f>""</x:f>
      </x:c>
    </x:row>
    <x:row r="306" ht="23" customHeight="1">
      <x:c r="A306" s="17" t="n">
        <x:f>ROW()-6</x:f>
        <x:v>300</x:v>
      </x:c>
      <x:c r="B306" s="4" t="n">
        <x:f>IF('계산 과정'!$L$5,'계산 과정'!$L$11*SQRT((A306+0.5)/'계산 과정'!$L$30),"")</x:f>
        <x:v>57.45773752561529</x:v>
      </x:c>
      <x:c r="C306" s="4" t="n">
        <x:f>A306*PI()*(3-SQRT(5))</x:f>
        <x:v>719.9889689185959</x:v>
      </x:c>
      <x:c r="D306" s="4" t="n">
        <x:f>IF('계산 과정'!$L$5,B306*COS(C306),"")</x:f>
        <x:v>-48.55117100288031</x:v>
      </x:c>
      <x:c r="E306" s="4" t="n">
        <x:f>IF('계산 과정'!$L$5,B306*SIN(C306),"")</x:f>
        <x:v>-30.72743718261538</x:v>
      </x:c>
      <x:c r="F306" s="4" t="n">
        <x:f>IF('계산 과정'!$L$7,'계산 과정'!$L$22+'계산 과정'!$C$49*D306+'계산 과정'!$D$49*E306,"")</x:f>
        <x:v>684.3308622506843</x:v>
      </x:c>
      <x:c r="G306" s="4" t="n">
        <x:f>IF('계산 과정'!$L$7,IF(ABS(F306)&gt;=1E-12*MAX(1,SQRT((D306-'계산 과정'!$C$33)^2+(E306-'계산 과정'!$D$33)^2+'계산 과정'!$E$33^2)),('계산 과정'!$L$23-'계산 과정'!$C$49*D306-'계산 과정'!$D$49*E306)/F306,""),"")</x:f>
        <x:v>0.5343455306789359</x:v>
      </x:c>
      <x:c r="H306" s="4" t="n">
        <x:f>IF(AND(ISNUMBER(G306),G306&gt;0),('계산 과정'!$D$56+'계산 과정'!$D$57*D306+'계산 과정'!$D$58*E306)/F306,"")</x:f>
        <x:v>-52.67540505869184</x:v>
      </x:c>
      <x:c r="I306" s="4" t="n">
        <x:f>IF(AND(ISNUMBER(G306),G306&gt;0),('계산 과정'!$E$56+'계산 과정'!$E$57*D306+'계산 과정'!$E$58*E306)/F306,"")</x:f>
        <x:v>-47.14650591036366</x:v>
      </x:c>
      <x:c r="J306" s="4" t="n">
        <x:f>IF('계산 과정'!$L$5,'계산 과정'!$D$6+'계산 과정'!$C$35*D306+'계산 과정'!$D$35*E306,"")</x:f>
        <x:v>684.3308622506843</x:v>
      </x:c>
      <x:c r="K306" s="4" t="n">
        <x:f>IF(AND('계산 과정'!$L$6,J306&gt;0),'계산 과정'!$D$10*('계산 과정'!$C$38*(D306-'계산 과정'!$C$32)+'계산 과정'!$D$38*(E306-'계산 과정'!$D$32)-'계산 과정'!$E$38*'계산 과정'!$E$32)/J306,"")</x:f>
        <x:v>-0.40133641949479393</x:v>
      </x:c>
      <x:c r="L306" s="4" t="n">
        <x:f>IF(AND('계산 과정'!$L$6,J306&gt;0),'계산 과정'!$D$10*('계산 과정'!$C$39*(D306-'계산 과정'!$C$32)+'계산 과정'!$D$39*(E306-'계산 과정'!$D$32)-'계산 과정'!$E$39*'계산 과정'!$E$32)/J306,"")</x:f>
        <x:v>-0.3592114736027708</x:v>
      </x:c>
      <x:c r="M306" s="17" t="n">
        <x:f>IF('계산 과정'!$L$6,IF(J306&lt;=0,0,IF(AND(ABS(K306)&lt;='계산 과정'!$D$11/2,ABS(L306)&lt;='계산 과정'!$D$12/2),1,0)),"")</x:f>
        <x:v>1</x:v>
      </x:c>
      <x:c r="N306" s="17" t="n">
        <x:f>IF('계산 과정'!$C$78,IF(AND(ISNUMBER(H306),ISNUMBER(I306),ABS(H306-'계산 과정'!$C$88)&lt;='계산 과정'!$D$23/2,ABS(I306-'계산 과정'!$C$89)&lt;='계산 과정'!$D$24/2),1,0),"")</x:f>
        <x:v>1</x:v>
      </x:c>
      <x:c r="O306" s="4" t="n">
        <x:f>IF('계산 과정'!$L$7,'계산 과정'!$C$49*('계산 과정'!$C$32-D306)+'계산 과정'!$D$49*('계산 과정'!$D$32-E306)+'계산 과정'!$E$49*'계산 과정'!$E$32,"")</x:f>
        <x:v>-34.33086225068422</x:v>
      </x:c>
      <x:c r="P306" s="4" t="n">
        <x:f>IF(AND('계산 과정'!$L$7,O306&lt;&gt;0),('계산 과정'!$L$23-'계산 과정'!$C$49*D306-'계산 과정'!$D$49*E306)/O306,"")</x:f>
        <x:v>-10.65132402091147</x:v>
      </x:c>
      <x:c r="Q306" s="4" t="str">
        <x:f>IF(AND(ISNUMBER(P306),P306&gt;1E-9,P306&lt;1-1E-9),'계산 과정'!$C$47*(D306-'계산 과정'!$C$50+P306*('계산 과정'!$C$32-D306))+'계산 과정'!$D$47*(E306-'계산 과정'!$D$50+P306*('계산 과정'!$D$32-E306))+'계산 과정'!$E$47*(0-'계산 과정'!$E$50+P306*('계산 과정'!$E$32-0)),"")</x:f>
      </x:c>
      <x:c r="R306" s="4" t="str">
        <x:f>IF(AND(ISNUMBER(P306),P306&gt;1E-9,P306&lt;1-1E-9),'계산 과정'!$C$48*(D306-'계산 과정'!$C$50+P306*('계산 과정'!$C$32-D306))+'계산 과정'!$D$48*(E306-'계산 과정'!$D$50+P306*('계산 과정'!$D$32-E306))+'계산 과정'!$E$48*(0-'계산 과정'!$E$50+P306*('계산 과정'!$E$32-0)),"")</x:f>
      </x:c>
      <x:c r="S306" s="17" t="n">
        <x:f>IF('계산 과정'!$C$78,IF(AND(ISNUMBER(Q306),ISNUMBER(R306),ABS(Q306-'계산 과정'!$C$88)&lt;='계산 과정'!$D$23/2,ABS(R306-'계산 과정'!$C$89)&lt;='계산 과정'!$D$24/2),1,0),"")</x:f>
        <x:v>0</x:v>
      </x:c>
      <x:c r="T306" s="4"/>
      <x:c r="U306" s="4"/>
      <x:c r="V306" s="4"/>
      <x:c r="W306" s="4" t="n">
        <x:f>IF('계산 과정'!$C$78,'계산 과정'!$C$88+1*'계산 과정'!$D$23/2,"")</x:f>
        <x:v>288.723404255319</x:v>
      </x:c>
      <x:c r="X306" s="4" t="str">
        <x:f>""</x:f>
      </x:c>
      <x:c r="Y306" s="4" t="n">
        <x:f>IF('계산 과정'!$C$78,'계산 과정'!$C$89+-0.64*'계산 과정'!$D$24/2,"")</x:f>
        <x:v>-166.4</x:v>
      </x:c>
      <x:c r="Z306" s="4" t="str">
        <x:f>""</x:f>
      </x:c>
    </x:row>
    <x:row r="307" ht="23" customHeight="1">
      <x:c r="A307" s="17" t="n">
        <x:f>ROW()-6</x:f>
        <x:v>301</x:v>
      </x:c>
      <x:c r="B307" s="4" t="n">
        <x:f>IF('계산 과정'!$L$5,'계산 과정'!$L$11*SQRT((A307+0.5)/'계산 과정'!$L$30),"")</x:f>
        <x:v>57.553261677228164</x:v>
      </x:c>
      <x:c r="C307" s="4" t="n">
        <x:f>A307*PI()*(3-SQRT(5))</x:f>
        <x:v>722.3889321483246</x:v>
      </x:c>
      <x:c r="D307" s="4" t="n">
        <x:f>IF('계산 과정'!$L$5,B307*COS(C307),"")</x:f>
        <x:v>56.65023342467074</x:v>
      </x:c>
      <x:c r="E307" s="4" t="n">
        <x:f>IF('계산 과정'!$L$5,B307*SIN(C307),"")</x:f>
        <x:v>-10.155244094447866</x:v>
      </x:c>
      <x:c r="F307" s="4" t="n">
        <x:f>IF('계산 과정'!$L$7,'계산 과정'!$L$22+'계산 과정'!$C$49*D307+'계산 과정'!$D$49*E307,"")</x:f>
        <x:v>609.9422357896145</x:v>
      </x:c>
      <x:c r="G307" s="4" t="n">
        <x:f>IF('계산 과정'!$L$7,IF(ABS(F307)&gt;=1E-12*MAX(1,SQRT((D307-'계산 과정'!$C$33)^2+(E307-'계산 과정'!$D$33)^2+'계산 과정'!$E$33^2)),('계산 과정'!$L$23-'계산 과정'!$C$49*D307-'계산 과정'!$D$49*E307)/F307,""),"")</x:f>
        <x:v>0.7214744911716087</x:v>
      </x:c>
      <x:c r="H307" s="4" t="n">
        <x:f>IF(AND(ISNUMBER(G307),G307&gt;0),('계산 과정'!$D$56+'계산 과정'!$D$57*D307+'계산 과정'!$D$58*E307)/F307,"")</x:f>
        <x:v>68.95841926154554</x:v>
      </x:c>
      <x:c r="I307" s="4" t="n">
        <x:f>IF(AND(ISNUMBER(G307),G307&gt;0),('계산 과정'!$E$56+'계산 과정'!$E$57*D307+'계산 과정'!$E$58*E307)/F307,"")</x:f>
        <x:v>-17.481993660213124</x:v>
      </x:c>
      <x:c r="J307" s="4" t="n">
        <x:f>IF('계산 과정'!$L$5,'계산 과정'!$D$6+'계산 과정'!$C$35*D307+'계산 과정'!$D$35*E307,"")</x:f>
        <x:v>609.9422357896145</x:v>
      </x:c>
      <x:c r="K307" s="4" t="n">
        <x:f>IF(AND('계산 과정'!$L$6,J307&gt;0),'계산 과정'!$D$10*('계산 과정'!$C$38*(D307-'계산 과정'!$C$32)+'계산 과정'!$D$38*(E307-'계산 과정'!$D$32)-'계산 과정'!$E$38*'계산 과정'!$E$32)/J307,"")</x:f>
        <x:v>0.5253974800879665</x:v>
      </x:c>
      <x:c r="L307" s="4" t="n">
        <x:f>IF(AND('계산 과정'!$L$6,J307&gt;0),'계산 과정'!$D$10*('계산 과정'!$C$39*(D307-'계산 과정'!$C$32)+'계산 과정'!$D$39*(E307-'계산 과정'!$D$32)-'계산 과정'!$E$39*'계산 과정'!$E$32)/J307,"")</x:f>
        <x:v>-0.13319614217305237</x:v>
      </x:c>
      <x:c r="M307" s="17" t="n">
        <x:f>IF('계산 과정'!$L$6,IF(J307&lt;=0,0,IF(AND(ABS(K307)&lt;='계산 과정'!$D$11/2,ABS(L307)&lt;='계산 과정'!$D$12/2),1,0)),"")</x:f>
        <x:v>1</x:v>
      </x:c>
      <x:c r="N307" s="17" t="n">
        <x:f>IF('계산 과정'!$C$78,IF(AND(ISNUMBER(H307),ISNUMBER(I307),ABS(H307-'계산 과정'!$C$88)&lt;='계산 과정'!$D$23/2,ABS(I307-'계산 과정'!$C$89)&lt;='계산 과정'!$D$24/2),1,0),"")</x:f>
        <x:v>1</x:v>
      </x:c>
      <x:c r="O307" s="4" t="n">
        <x:f>IF('계산 과정'!$L$7,'계산 과정'!$C$49*('계산 과정'!$C$32-D307)+'계산 과정'!$D$49*('계산 과정'!$D$32-E307)+'계산 과정'!$E$49*'계산 과정'!$E$32,"")</x:f>
        <x:v>40.057764210385585</x:v>
      </x:c>
      <x:c r="P307" s="4" t="n">
        <x:f>IF(AND('계산 과정'!$L$7,O307&lt;&gt;0),('계산 과정'!$L$23-'계산 과정'!$C$49*D307-'계산 과정'!$D$49*E307)/O307,"")</x:f>
        <x:v>10.98557977173109</x:v>
      </x:c>
      <x:c r="Q307" s="4" t="str">
        <x:f>IF(AND(ISNUMBER(P307),P307&gt;1E-9,P307&lt;1-1E-9),'계산 과정'!$C$47*(D307-'계산 과정'!$C$50+P307*('계산 과정'!$C$32-D307))+'계산 과정'!$D$47*(E307-'계산 과정'!$D$50+P307*('계산 과정'!$D$32-E307))+'계산 과정'!$E$47*(0-'계산 과정'!$E$50+P307*('계산 과정'!$E$32-0)),"")</x:f>
      </x:c>
      <x:c r="R307" s="4" t="str">
        <x:f>IF(AND(ISNUMBER(P307),P307&gt;1E-9,P307&lt;1-1E-9),'계산 과정'!$C$48*(D307-'계산 과정'!$C$50+P307*('계산 과정'!$C$32-D307))+'계산 과정'!$D$48*(E307-'계산 과정'!$D$50+P307*('계산 과정'!$D$32-E307))+'계산 과정'!$E$48*(0-'계산 과정'!$E$50+P307*('계산 과정'!$E$32-0)),"")</x:f>
      </x:c>
      <x:c r="S307" s="17" t="n">
        <x:f>IF('계산 과정'!$C$78,IF(AND(ISNUMBER(Q307),ISNUMBER(R307),ABS(Q307-'계산 과정'!$C$88)&lt;='계산 과정'!$D$23/2,ABS(R307-'계산 과정'!$C$89)&lt;='계산 과정'!$D$24/2),1,0),"")</x:f>
        <x:v>0</x:v>
      </x:c>
      <x:c r="T307" s="4"/>
      <x:c r="U307" s="4"/>
      <x:c r="V307" s="4"/>
      <x:c r="W307" s="4" t="n">
        <x:f>IF('계산 과정'!$C$78,'계산 과정'!$C$88+1*'계산 과정'!$D$23/2,"")</x:f>
        <x:v>288.723404255319</x:v>
      </x:c>
      <x:c r="X307" s="4" t="str">
        <x:f>""</x:f>
      </x:c>
      <x:c r="Y307" s="4" t="n">
        <x:f>IF('계산 과정'!$C$78,'계산 과정'!$C$89+-0.6*'계산 과정'!$D$24/2,"")</x:f>
        <x:v>-156</x:v>
      </x:c>
      <x:c r="Z307" s="4" t="str">
        <x:f>""</x:f>
      </x:c>
    </x:row>
    <x:row r="308" ht="23" customHeight="1">
      <x:c r="A308" s="17" t="n">
        <x:f>ROW()-6</x:f>
        <x:v>302</x:v>
      </x:c>
      <x:c r="B308" s="4" t="n">
        <x:f>IF('계산 과정'!$L$5,'계산 과정'!$L$11*SQRT((A308+0.5)/'계산 과정'!$L$30),"")</x:f>
        <x:v>57.64862754491646</x:v>
      </x:c>
      <x:c r="C308" s="4" t="n">
        <x:f>A308*PI()*(3-SQRT(5))</x:f>
        <x:v>724.7888953780531</x:v>
      </x:c>
      <x:c r="D308" s="4" t="n">
        <x:f>IF('계산 과정'!$L$5,B308*COS(C308),"")</x:f>
        <x:v>-34.970200074514295</x:v>
      </x:c>
      <x:c r="E308" s="4" t="n">
        <x:f>IF('계산 과정'!$L$5,B308*SIN(C308),"")</x:f>
        <x:v>45.83065965662005</x:v>
      </x:c>
      <x:c r="F308" s="4" t="n">
        <x:f>IF('계산 과정'!$L$7,'계산 과정'!$L$22+'계산 과정'!$C$49*D308+'계산 과정'!$D$49*E308,"")</x:f>
        <x:v>674.7276656121394</x:v>
      </x:c>
      <x:c r="G308" s="4" t="n">
        <x:f>IF('계산 과정'!$L$7,IF(ABS(F308)&gt;=1E-12*MAX(1,SQRT((D308-'계산 과정'!$C$33)^2+(E308-'계산 과정'!$D$33)^2+'계산 과정'!$E$33^2)),('계산 과정'!$L$23-'계산 과정'!$C$49*D308-'계산 과정'!$D$49*E308)/F308,""),"")</x:f>
        <x:v>0.5561834107504675</x:v>
      </x:c>
      <x:c r="H308" s="4" t="n">
        <x:f>IF(AND(ISNUMBER(G308),G308&gt;0),('계산 과정'!$D$56+'계산 과정'!$D$57*D308+'계산 과정'!$D$58*E308)/F308,"")</x:f>
        <x:v>-38.480783012196206</x:v>
      </x:c>
      <x:c r="I308" s="4" t="n">
        <x:f>IF(AND(ISNUMBER(G308),G308&gt;0),('계산 과정'!$E$56+'계산 과정'!$E$57*D308+'계산 과정'!$E$58*E308)/F308,"")</x:f>
        <x:v>71.32091226138284</x:v>
      </x:c>
      <x:c r="J308" s="4" t="n">
        <x:f>IF('계산 과정'!$L$5,'계산 과정'!$D$6+'계산 과정'!$C$35*D308+'계산 과정'!$D$35*E308,"")</x:f>
        <x:v>674.7276656121394</x:v>
      </x:c>
      <x:c r="K308" s="4" t="n">
        <x:f>IF(AND('계산 과정'!$L$6,J308&gt;0),'계산 과정'!$D$10*('계산 과정'!$C$38*(D308-'계산 과정'!$C$32)+'계산 과정'!$D$38*(E308-'계산 과정'!$D$32)-'계산 과정'!$E$38*'계산 과정'!$E$32)/J308,"")</x:f>
        <x:v>-0.29318691818816095</x:v>
      </x:c>
      <x:c r="L308" s="4" t="n">
        <x:f>IF(AND('계산 과정'!$L$6,J308&gt;0),'계산 과정'!$D$10*('계산 과정'!$C$39*(D308-'계산 과정'!$C$32)+'계산 과정'!$D$39*(E308-'계산 과정'!$D$32)-'계산 과정'!$E$39*'계산 과정'!$E$32)/J308,"")</x:f>
        <x:v>0.5433974267533931</x:v>
      </x:c>
      <x:c r="M308" s="17" t="n">
        <x:f>IF('계산 과정'!$L$6,IF(J308&lt;=0,0,IF(AND(ABS(K308)&lt;='계산 과정'!$D$11/2,ABS(L308)&lt;='계산 과정'!$D$12/2),1,0)),"")</x:f>
        <x:v>1</x:v>
      </x:c>
      <x:c r="N308" s="17" t="n">
        <x:f>IF('계산 과정'!$C$78,IF(AND(ISNUMBER(H308),ISNUMBER(I308),ABS(H308-'계산 과정'!$C$88)&lt;='계산 과정'!$D$23/2,ABS(I308-'계산 과정'!$C$89)&lt;='계산 과정'!$D$24/2),1,0),"")</x:f>
        <x:v>1</x:v>
      </x:c>
      <x:c r="O308" s="4" t="n">
        <x:f>IF('계산 과정'!$L$7,'계산 과정'!$C$49*('계산 과정'!$C$32-D308)+'계산 과정'!$D$49*('계산 과정'!$D$32-E308)+'계산 과정'!$E$49*'계산 과정'!$E$32,"")</x:f>
        <x:v>-24.727665612139276</x:v>
      </x:c>
      <x:c r="P308" s="4" t="n">
        <x:f>IF(AND('계산 과정'!$L$7,O308&lt;&gt;0),('계산 과정'!$L$23-'계산 과정'!$C$49*D308-'계산 과정'!$D$49*E308)/O308,"")</x:f>
        <x:v>-15.176213568806606</x:v>
      </x:c>
      <x:c r="Q308" s="4" t="str">
        <x:f>IF(AND(ISNUMBER(P308),P308&gt;1E-9,P308&lt;1-1E-9),'계산 과정'!$C$47*(D308-'계산 과정'!$C$50+P308*('계산 과정'!$C$32-D308))+'계산 과정'!$D$47*(E308-'계산 과정'!$D$50+P308*('계산 과정'!$D$32-E308))+'계산 과정'!$E$47*(0-'계산 과정'!$E$50+P308*('계산 과정'!$E$32-0)),"")</x:f>
      </x:c>
      <x:c r="R308" s="4" t="str">
        <x:f>IF(AND(ISNUMBER(P308),P308&gt;1E-9,P308&lt;1-1E-9),'계산 과정'!$C$48*(D308-'계산 과정'!$C$50+P308*('계산 과정'!$C$32-D308))+'계산 과정'!$D$48*(E308-'계산 과정'!$D$50+P308*('계산 과정'!$D$32-E308))+'계산 과정'!$E$48*(0-'계산 과정'!$E$50+P308*('계산 과정'!$E$32-0)),"")</x:f>
      </x:c>
      <x:c r="S308" s="17" t="n">
        <x:f>IF('계산 과정'!$C$78,IF(AND(ISNUMBER(Q308),ISNUMBER(R308),ABS(Q308-'계산 과정'!$C$88)&lt;='계산 과정'!$D$23/2,ABS(R308-'계산 과정'!$C$89)&lt;='계산 과정'!$D$24/2),1,0),"")</x:f>
        <x:v>0</x:v>
      </x:c>
      <x:c r="T308" s="4"/>
      <x:c r="U308" s="4"/>
      <x:c r="V308" s="4"/>
      <x:c r="W308" s="4" t="n">
        <x:f>IF('계산 과정'!$C$78,'계산 과정'!$C$88+1*'계산 과정'!$D$23/2,"")</x:f>
        <x:v>288.723404255319</x:v>
      </x:c>
      <x:c r="X308" s="4" t="str">
        <x:f>""</x:f>
      </x:c>
      <x:c r="Y308" s="4" t="n">
        <x:f>IF('계산 과정'!$C$78,'계산 과정'!$C$89+-0.56*'계산 과정'!$D$24/2,"")</x:f>
        <x:v>-145.60000000000002</x:v>
      </x:c>
      <x:c r="Z308" s="4" t="str">
        <x:f>""</x:f>
      </x:c>
    </x:row>
    <x:row r="309" ht="23" customHeight="1">
      <x:c r="A309" s="17" t="n">
        <x:f>ROW()-6</x:f>
        <x:v>303</x:v>
      </x:c>
      <x:c r="B309" s="4" t="n">
        <x:f>IF('계산 과정'!$L$5,'계산 과정'!$L$11*SQRT((A309+0.5)/'계산 과정'!$L$30),"")</x:f>
        <x:v>57.74383591291369</x:v>
      </x:c>
      <x:c r="C309" s="4" t="n">
        <x:f>A309*PI()*(3-SQRT(5))</x:f>
        <x:v>727.1888586077818</x:v>
      </x:c>
      <x:c r="D309" s="4" t="n">
        <x:f>IF('계산 과정'!$L$5,B309*COS(C309),"")</x:f>
        <x:v>-5.18077066693471</x:v>
      </x:c>
      <x:c r="E309" s="4" t="n">
        <x:f>IF('계산 과정'!$L$5,B309*SIN(C309),"")</x:f>
        <x:v>-57.51095722759385</x:v>
      </x:c>
      <x:c r="F309" s="4" t="n">
        <x:f>IF('계산 과정'!$L$7,'계산 과정'!$L$22+'계산 과정'!$C$49*D309+'계산 과정'!$D$49*E309,"")</x:f>
        <x:v>653.6633580703619</x:v>
      </x:c>
      <x:c r="G309" s="4" t="n">
        <x:f>IF('계산 과정'!$L$7,IF(ABS(F309)&gt;=1E-12*MAX(1,SQRT((D309-'계산 과정'!$C$33)^2+(E309-'계산 과정'!$D$33)^2+'계산 과정'!$E$33^2)),('계산 과정'!$L$23-'계산 과정'!$C$49*D309-'계산 과정'!$D$49*E309)/F309,""),"")</x:f>
        <x:v>0.6063314350365888</x:v>
      </x:c>
      <x:c r="H309" s="4" t="n">
        <x:f>IF(AND(ISNUMBER(G309),G309&gt;0),('계산 과정'!$D$56+'계산 과정'!$D$57*D309+'계산 과정'!$D$58*E309)/F309,"")</x:f>
        <x:v>-5.884567226217391</x:v>
      </x:c>
      <x:c r="I309" s="4" t="n">
        <x:f>IF(AND(ISNUMBER(G309),G309&gt;0),('계산 과정'!$E$56+'계산 과정'!$E$57*D309+'계산 과정'!$E$58*E309)/F309,"")</x:f>
        <x:v>-92.3816584537287</x:v>
      </x:c>
      <x:c r="J309" s="4" t="n">
        <x:f>IF('계산 과정'!$L$5,'계산 과정'!$D$6+'계산 과정'!$C$35*D309+'계산 과정'!$D$35*E309,"")</x:f>
        <x:v>653.6633580703619</x:v>
      </x:c>
      <x:c r="K309" s="4" t="n">
        <x:f>IF(AND('계산 과정'!$L$6,J309&gt;0),'계산 과정'!$D$10*('계산 과정'!$C$38*(D309-'계산 과정'!$C$32)+'계산 과정'!$D$38*(E309-'계산 과정'!$D$32)-'계산 과정'!$E$38*'계산 과정'!$E$32)/J309,"")</x:f>
        <x:v>-0.04483479791403633</x:v>
      </x:c>
      <x:c r="L309" s="4" t="n">
        <x:f>IF(AND('계산 과정'!$L$6,J309&gt;0),'계산 과정'!$D$10*('계산 과정'!$C$39*(D309-'계산 과정'!$C$32)+'계산 과정'!$D$39*(E309-'계산 과정'!$D$32)-'계산 과정'!$E$39*'계산 과정'!$E$32)/J309,"")</x:f>
        <x:v>-0.703860254885552</x:v>
      </x:c>
      <x:c r="M309" s="17" t="n">
        <x:f>IF('계산 과정'!$L$6,IF(J309&lt;=0,0,IF(AND(ABS(K309)&lt;='계산 과정'!$D$11/2,ABS(L309)&lt;='계산 과정'!$D$12/2),1,0)),"")</x:f>
        <x:v>1</x:v>
      </x:c>
      <x:c r="N309" s="17" t="n">
        <x:f>IF('계산 과정'!$C$78,IF(AND(ISNUMBER(H309),ISNUMBER(I309),ABS(H309-'계산 과정'!$C$88)&lt;='계산 과정'!$D$23/2,ABS(I309-'계산 과정'!$C$89)&lt;='계산 과정'!$D$24/2),1,0),"")</x:f>
        <x:v>1</x:v>
      </x:c>
      <x:c r="O309" s="4" t="n">
        <x:f>IF('계산 과정'!$L$7,'계산 과정'!$C$49*('계산 과정'!$C$32-D309)+'계산 과정'!$D$49*('계산 과정'!$D$32-E309)+'계산 과정'!$E$49*'계산 과정'!$E$32,"")</x:f>
        <x:v>-3.6633580703617667</x:v>
      </x:c>
      <x:c r="P309" s="4" t="n">
        <x:f>IF(AND('계산 과정'!$L$7,O309&lt;&gt;0),('계산 과정'!$L$23-'계산 과정'!$C$49*D309-'계산 과정'!$D$49*E309)/O309,"")</x:f>
        <x:v>-108.18943557174545</x:v>
      </x:c>
      <x:c r="Q309" s="4" t="str">
        <x:f>IF(AND(ISNUMBER(P309),P309&gt;1E-9,P309&lt;1-1E-9),'계산 과정'!$C$47*(D309-'계산 과정'!$C$50+P309*('계산 과정'!$C$32-D309))+'계산 과정'!$D$47*(E309-'계산 과정'!$D$50+P309*('계산 과정'!$D$32-E309))+'계산 과정'!$E$47*(0-'계산 과정'!$E$50+P309*('계산 과정'!$E$32-0)),"")</x:f>
      </x:c>
      <x:c r="R309" s="4" t="str">
        <x:f>IF(AND(ISNUMBER(P309),P309&gt;1E-9,P309&lt;1-1E-9),'계산 과정'!$C$48*(D309-'계산 과정'!$C$50+P309*('계산 과정'!$C$32-D309))+'계산 과정'!$D$48*(E309-'계산 과정'!$D$50+P309*('계산 과정'!$D$32-E309))+'계산 과정'!$E$48*(0-'계산 과정'!$E$50+P309*('계산 과정'!$E$32-0)),"")</x:f>
      </x:c>
      <x:c r="S309" s="17" t="n">
        <x:f>IF('계산 과정'!$C$78,IF(AND(ISNUMBER(Q309),ISNUMBER(R309),ABS(Q309-'계산 과정'!$C$88)&lt;='계산 과정'!$D$23/2,ABS(R309-'계산 과정'!$C$89)&lt;='계산 과정'!$D$24/2),1,0),"")</x:f>
        <x:v>0</x:v>
      </x:c>
      <x:c r="T309" s="4"/>
      <x:c r="U309" s="4"/>
      <x:c r="V309" s="4"/>
      <x:c r="W309" s="4" t="n">
        <x:f>IF('계산 과정'!$C$78,'계산 과정'!$C$88+1*'계산 과정'!$D$23/2,"")</x:f>
        <x:v>288.723404255319</x:v>
      </x:c>
      <x:c r="X309" s="4" t="str">
        <x:f>""</x:f>
      </x:c>
      <x:c r="Y309" s="4" t="n">
        <x:f>IF('계산 과정'!$C$78,'계산 과정'!$C$89+-0.52*'계산 과정'!$D$24/2,"")</x:f>
        <x:v>-135.20000000000002</x:v>
      </x:c>
      <x:c r="Z309" s="4" t="str">
        <x:f>""</x:f>
      </x:c>
    </x:row>
    <x:row r="310" ht="23" customHeight="1">
      <x:c r="A310" s="17" t="n">
        <x:f>ROW()-6</x:f>
        <x:v>304</x:v>
      </x:c>
      <x:c r="B310" s="4" t="n">
        <x:f>IF('계산 과정'!$L$5,'계산 과정'!$L$11*SQRT((A310+0.5)/'계산 과정'!$L$30),"")</x:f>
        <x:v>57.83888755899875</x:v>
      </x:c>
      <x:c r="C310" s="4" t="n">
        <x:f>A310*PI()*(3-SQRT(5))</x:f>
        <x:v>729.5888218375104</x:v>
      </x:c>
      <x:c r="D310" s="4" t="n">
        <x:f>IF('계산 과정'!$L$5,B310*COS(C310),"")</x:f>
        <x:v>42.738468296348515</x:v>
      </x:c>
      <x:c r="E310" s="4" t="n">
        <x:f>IF('계산 과정'!$L$5,B310*SIN(C310),"")</x:f>
        <x:v>38.97127457172158</x:v>
      </x:c>
      <x:c r="F310" s="4" t="n">
        <x:f>IF('계산 과정'!$L$7,'계산 과정'!$L$22+'계산 과정'!$C$49*D310+'계산 과정'!$D$49*E310,"")</x:f>
        <x:v>619.7793392501256</x:v>
      </x:c>
      <x:c r="G310" s="4" t="n">
        <x:f>IF('계산 과정'!$L$7,IF(ABS(F310)&gt;=1E-12*MAX(1,SQRT((D310-'계산 과정'!$C$33)^2+(E310-'계산 과정'!$D$33)^2+'계산 과정'!$E$33^2)),('계산 과정'!$L$23-'계산 과정'!$C$49*D310-'계산 과정'!$D$49*E310)/F310,""),"")</x:f>
        <x:v>0.6941513430738117</x:v>
      </x:c>
      <x:c r="H310" s="4" t="n">
        <x:f>IF(AND(ISNUMBER(G310),G310&gt;0),('계산 과정'!$D$56+'계산 과정'!$D$57*D310+'계산 과정'!$D$58*E310)/F310,"")</x:f>
        <x:v>51.198372997977486</x:v>
      </x:c>
      <x:c r="I310" s="4" t="n">
        <x:f>IF(AND(ISNUMBER(G310),G310&gt;0),('계산 과정'!$E$56+'계산 과정'!$E$57*D310+'계산 과정'!$E$58*E310)/F310,"")</x:f>
        <x:v>66.0232371569804</x:v>
      </x:c>
      <x:c r="J310" s="4" t="n">
        <x:f>IF('계산 과정'!$L$5,'계산 과정'!$D$6+'계산 과정'!$C$35*D310+'계산 과정'!$D$35*E310,"")</x:f>
        <x:v>619.7793392501256</x:v>
      </x:c>
      <x:c r="K310" s="4" t="n">
        <x:f>IF(AND('계산 과정'!$L$6,J310&gt;0),'계산 과정'!$D$10*('계산 과정'!$C$38*(D310-'계산 과정'!$C$32)+'계산 과정'!$D$38*(E310-'계산 과정'!$D$32)-'계산 과정'!$E$38*'계산 과정'!$E$32)/J310,"")</x:f>
        <x:v>0.39008284188935294</x:v>
      </x:c>
      <x:c r="L310" s="4" t="n">
        <x:f>IF(AND('계산 과정'!$L$6,J310&gt;0),'계산 과정'!$D$10*('계산 과정'!$C$39*(D310-'계산 과정'!$C$32)+'계산 과정'!$D$39*(E310-'계산 과정'!$D$32)-'계산 과정'!$E$39*'계산 과정'!$E$32)/J310,"")</x:f>
        <x:v>0.5030341878627078</x:v>
      </x:c>
      <x:c r="M310" s="17" t="n">
        <x:f>IF('계산 과정'!$L$6,IF(J310&lt;=0,0,IF(AND(ABS(K310)&lt;='계산 과정'!$D$11/2,ABS(L310)&lt;='계산 과정'!$D$12/2),1,0)),"")</x:f>
        <x:v>1</x:v>
      </x:c>
      <x:c r="N310" s="17" t="n">
        <x:f>IF('계산 과정'!$C$78,IF(AND(ISNUMBER(H310),ISNUMBER(I310),ABS(H310-'계산 과정'!$C$88)&lt;='계산 과정'!$D$23/2,ABS(I310-'계산 과정'!$C$89)&lt;='계산 과정'!$D$24/2),1,0),"")</x:f>
        <x:v>1</x:v>
      </x:c>
      <x:c r="O310" s="4" t="n">
        <x:f>IF('계산 과정'!$L$7,'계산 과정'!$C$49*('계산 과정'!$C$32-D310)+'계산 과정'!$D$49*('계산 과정'!$D$32-E310)+'계산 과정'!$E$49*'계산 과정'!$E$32,"")</x:f>
        <x:v>30.220660749874412</x:v>
      </x:c>
      <x:c r="P310" s="4" t="n">
        <x:f>IF(AND('계산 과정'!$L$7,O310&lt;&gt;0),('계산 과정'!$L$23-'계산 과정'!$C$49*D310-'계산 과정'!$D$49*E310)/O310,"")</x:f>
        <x:v>14.23597797250883</x:v>
      </x:c>
      <x:c r="Q310" s="4" t="str">
        <x:f>IF(AND(ISNUMBER(P310),P310&gt;1E-9,P310&lt;1-1E-9),'계산 과정'!$C$47*(D310-'계산 과정'!$C$50+P310*('계산 과정'!$C$32-D310))+'계산 과정'!$D$47*(E310-'계산 과정'!$D$50+P310*('계산 과정'!$D$32-E310))+'계산 과정'!$E$47*(0-'계산 과정'!$E$50+P310*('계산 과정'!$E$32-0)),"")</x:f>
      </x:c>
      <x:c r="R310" s="4" t="str">
        <x:f>IF(AND(ISNUMBER(P310),P310&gt;1E-9,P310&lt;1-1E-9),'계산 과정'!$C$48*(D310-'계산 과정'!$C$50+P310*('계산 과정'!$C$32-D310))+'계산 과정'!$D$48*(E310-'계산 과정'!$D$50+P310*('계산 과정'!$D$32-E310))+'계산 과정'!$E$48*(0-'계산 과정'!$E$50+P310*('계산 과정'!$E$32-0)),"")</x:f>
      </x:c>
      <x:c r="S310" s="17" t="n">
        <x:f>IF('계산 과정'!$C$78,IF(AND(ISNUMBER(Q310),ISNUMBER(R310),ABS(Q310-'계산 과정'!$C$88)&lt;='계산 과정'!$D$23/2,ABS(R310-'계산 과정'!$C$89)&lt;='계산 과정'!$D$24/2),1,0),"")</x:f>
        <x:v>0</x:v>
      </x:c>
      <x:c r="T310" s="4"/>
      <x:c r="U310" s="4"/>
      <x:c r="V310" s="4"/>
      <x:c r="W310" s="4" t="n">
        <x:f>IF('계산 과정'!$C$78,'계산 과정'!$C$88+1*'계산 과정'!$D$23/2,"")</x:f>
        <x:v>288.723404255319</x:v>
      </x:c>
      <x:c r="X310" s="4" t="str">
        <x:f>""</x:f>
      </x:c>
      <x:c r="Y310" s="4" t="n">
        <x:f>IF('계산 과정'!$C$78,'계산 과정'!$C$89+-0.48*'계산 과정'!$D$24/2,"")</x:f>
        <x:v>-124.8</x:v>
      </x:c>
      <x:c r="Z310" s="4" t="str">
        <x:f>""</x:f>
      </x:c>
    </x:row>
    <x:row r="311" ht="23" customHeight="1">
      <x:c r="A311" s="17" t="n">
        <x:f>ROW()-6</x:f>
        <x:v>305</x:v>
      </x:c>
      <x:c r="B311" s="4" t="n">
        <x:f>IF('계산 과정'!$L$5,'계산 과정'!$L$11*SQRT((A311+0.5)/'계산 과정'!$L$30),"")</x:f>
        <x:v>57.93378325457004</x:v>
      </x:c>
      <x:c r="C311" s="4" t="n">
        <x:f>A311*PI()*(3-SQRT(5))</x:f>
        <x:v>731.9887850672392</x:v>
      </x:c>
      <x:c r="D311" s="4" t="n">
        <x:f>IF('계산 과정'!$L$5,B311*COS(C311),"")</x:f>
        <x:v>-57.933629590532384</x:v>
      </x:c>
      <x:c r="E311" s="4" t="n">
        <x:f>IF('계산 과정'!$L$5,B311*SIN(C311),"")</x:f>
        <x:v>0.13343408294121784</x:v>
      </x:c>
      <x:c r="F311" s="4" t="n">
        <x:f>IF('계산 과정'!$L$7,'계산 과정'!$L$22+'계산 과정'!$C$49*D311+'계산 과정'!$D$49*E311,"")</x:f>
        <x:v>690.965262342215</x:v>
      </x:c>
      <x:c r="G311" s="4" t="n">
        <x:f>IF('계산 과정'!$L$7,IF(ABS(F311)&gt;=1E-12*MAX(1,SQRT((D311-'계산 과정'!$C$33)^2+(E311-'계산 과정'!$D$33)^2+'계산 과정'!$E$33^2)),('계산 과정'!$L$23-'계산 과정'!$C$49*D311-'계산 과정'!$D$49*E311)/F311,""),"")</x:f>
        <x:v>0.5196132963916867</x:v>
      </x:c>
      <x:c r="H311" s="4" t="n">
        <x:f>IF(AND(ISNUMBER(G311),G311&gt;0),('계산 과정'!$D$56+'계산 과정'!$D$57*D311+'계산 과정'!$D$58*E311)/F311,"")</x:f>
        <x:v>-62.251357345403804</x:v>
      </x:c>
      <x:c r="I311" s="4" t="n">
        <x:f>IF(AND(ISNUMBER(G311),G311&gt;0),('계산 과정'!$E$56+'계산 과정'!$E$57*D311+'계산 과정'!$E$58*E311)/F311,"")</x:f>
        <x:v>0.20276820662930578</x:v>
      </x:c>
      <x:c r="J311" s="4" t="n">
        <x:f>IF('계산 과정'!$L$5,'계산 과정'!$D$6+'계산 과정'!$C$35*D311+'계산 과정'!$D$35*E311,"")</x:f>
        <x:v>690.965262342215</x:v>
      </x:c>
      <x:c r="K311" s="4" t="n">
        <x:f>IF(AND('계산 과정'!$L$6,J311&gt;0),'계산 과정'!$D$10*('계산 과정'!$C$38*(D311-'계산 과정'!$C$32)+'계산 과정'!$D$38*(E311-'계산 과정'!$D$32)-'계산 과정'!$E$38*'계산 과정'!$E$32)/J311,"")</x:f>
        <x:v>-0.4742960559649808</x:v>
      </x:c>
      <x:c r="L311" s="4" t="n">
        <x:f>IF(AND('계산 과정'!$L$6,J311&gt;0),'계산 과정'!$D$10*('계산 과정'!$C$39*(D311-'계산 과정'!$C$32)+'계산 과정'!$D$39*(E311-'계산 과정'!$D$32)-'계산 과정'!$E$39*'계산 과정'!$E$32)/J311,"")</x:f>
        <x:v>0.0015449006219375677</x:v>
      </x:c>
      <x:c r="M311" s="17" t="n">
        <x:f>IF('계산 과정'!$L$6,IF(J311&lt;=0,0,IF(AND(ABS(K311)&lt;='계산 과정'!$D$11/2,ABS(L311)&lt;='계산 과정'!$D$12/2),1,0)),"")</x:f>
        <x:v>1</x:v>
      </x:c>
      <x:c r="N311" s="17" t="n">
        <x:f>IF('계산 과정'!$C$78,IF(AND(ISNUMBER(H311),ISNUMBER(I311),ABS(H311-'계산 과정'!$C$88)&lt;='계산 과정'!$D$23/2,ABS(I311-'계산 과정'!$C$89)&lt;='계산 과정'!$D$24/2),1,0),"")</x:f>
        <x:v>1</x:v>
      </x:c>
      <x:c r="O311" s="4" t="n">
        <x:f>IF('계산 과정'!$L$7,'계산 과정'!$C$49*('계산 과정'!$C$32-D311)+'계산 과정'!$D$49*('계산 과정'!$D$32-E311)+'계산 과정'!$E$49*'계산 과정'!$E$32,"")</x:f>
        <x:v>-40.965262342215</x:v>
      </x:c>
      <x:c r="P311" s="4" t="n">
        <x:f>IF(AND('계산 과정'!$L$7,O311&lt;&gt;0),('계산 과정'!$L$23-'계산 과정'!$C$49*D311-'계산 과정'!$D$49*E311)/O311,"")</x:f>
        <x:v>-8.76437052101573</x:v>
      </x:c>
      <x:c r="Q311" s="4" t="str">
        <x:f>IF(AND(ISNUMBER(P311),P311&gt;1E-9,P311&lt;1-1E-9),'계산 과정'!$C$47*(D311-'계산 과정'!$C$50+P311*('계산 과정'!$C$32-D311))+'계산 과정'!$D$47*(E311-'계산 과정'!$D$50+P311*('계산 과정'!$D$32-E311))+'계산 과정'!$E$47*(0-'계산 과정'!$E$50+P311*('계산 과정'!$E$32-0)),"")</x:f>
      </x:c>
      <x:c r="R311" s="4" t="str">
        <x:f>IF(AND(ISNUMBER(P311),P311&gt;1E-9,P311&lt;1-1E-9),'계산 과정'!$C$48*(D311-'계산 과정'!$C$50+P311*('계산 과정'!$C$32-D311))+'계산 과정'!$D$48*(E311-'계산 과정'!$D$50+P311*('계산 과정'!$D$32-E311))+'계산 과정'!$E$48*(0-'계산 과정'!$E$50+P311*('계산 과정'!$E$32-0)),"")</x:f>
      </x:c>
      <x:c r="S311" s="17" t="n">
        <x:f>IF('계산 과정'!$C$78,IF(AND(ISNUMBER(Q311),ISNUMBER(R311),ABS(Q311-'계산 과정'!$C$88)&lt;='계산 과정'!$D$23/2,ABS(R311-'계산 과정'!$C$89)&lt;='계산 과정'!$D$24/2),1,0),"")</x:f>
        <x:v>0</x:v>
      </x:c>
      <x:c r="T311" s="4"/>
      <x:c r="U311" s="4"/>
      <x:c r="V311" s="4"/>
      <x:c r="W311" s="4" t="n">
        <x:f>IF('계산 과정'!$C$78,'계산 과정'!$C$88+1*'계산 과정'!$D$23/2,"")</x:f>
        <x:v>288.723404255319</x:v>
      </x:c>
      <x:c r="X311" s="4" t="str">
        <x:f>""</x:f>
      </x:c>
      <x:c r="Y311" s="4" t="n">
        <x:f>IF('계산 과정'!$C$78,'계산 과정'!$C$89+-0.43999999999999995*'계산 과정'!$D$24/2,"")</x:f>
        <x:v>-114.39999999999999</x:v>
      </x:c>
      <x:c r="Z311" s="4" t="str">
        <x:f>""</x:f>
      </x:c>
    </x:row>
    <x:row r="312" ht="23" customHeight="1">
      <x:c r="A312" s="17" t="n">
        <x:f>ROW()-6</x:f>
        <x:v>306</x:v>
      </x:c>
      <x:c r="B312" s="4" t="n">
        <x:f>IF('계산 과정'!$L$5,'계산 과정'!$L$11*SQRT((A312+0.5)/'계산 과정'!$L$30),"")</x:f>
        <x:v>58.02852376471851</x:v>
      </x:c>
      <x:c r="C312" s="4" t="n">
        <x:f>A312*PI()*(3-SQRT(5))</x:f>
        <x:v>734.3887482969678</x:v>
      </x:c>
      <x:c r="D312" s="4" t="n">
        <x:f>IF('계산 과정'!$L$5,B312*COS(C312),"")</x:f>
        <x:v>42.698033147244246</x:v>
      </x:c>
      <x:c r="E312" s="4" t="n">
        <x:f>IF('계산 과정'!$L$5,B312*SIN(C312),"")</x:f>
        <x:v>-39.29615166488103</x:v>
      </x:c>
      <x:c r="F312" s="4" t="n">
        <x:f>IF('계산 과정'!$L$7,'계산 과정'!$L$22+'계산 과정'!$C$49*D312+'계산 과정'!$D$49*E312,"")</x:f>
        <x:v>619.8079312182556</x:v>
      </x:c>
      <x:c r="G312" s="4" t="n">
        <x:f>IF('계산 과정'!$L$7,IF(ABS(F312)&gt;=1E-12*MAX(1,SQRT((D312-'계산 과정'!$C$33)^2+(E312-'계산 과정'!$D$33)^2+'계산 과정'!$E$33^2)),('계산 과정'!$L$23-'계산 과정'!$C$49*D312-'계산 과정'!$D$49*E312)/F312,""),"")</x:f>
        <x:v>0.6940731912484338</x:v>
      </x:c>
      <x:c r="H312" s="4" t="n">
        <x:f>IF(AND(ISNUMBER(G312),G312&gt;0),('계산 과정'!$D$56+'계산 과정'!$D$57*D312+'계산 과정'!$D$58*E312)/F312,"")</x:f>
        <x:v>51.147574311481826</x:v>
      </x:c>
      <x:c r="I312" s="4" t="n">
        <x:f>IF(AND(ISNUMBER(G312),G312&gt;0),('계산 과정'!$E$56+'계산 과정'!$E$57*D312+'계산 과정'!$E$58*E312)/F312,"")</x:f>
        <x:v>-66.57055705470746</x:v>
      </x:c>
      <x:c r="J312" s="4" t="n">
        <x:f>IF('계산 과정'!$L$5,'계산 과정'!$D$6+'계산 과정'!$C$35*D312+'계산 과정'!$D$35*E312,"")</x:f>
        <x:v>619.8079312182556</x:v>
      </x:c>
      <x:c r="K312" s="4" t="n">
        <x:f>IF(AND('계산 과정'!$L$6,J312&gt;0),'계산 과정'!$D$10*('계산 과정'!$C$38*(D312-'계산 과정'!$C$32)+'계산 과정'!$D$38*(E312-'계산 과정'!$D$32)-'계산 과정'!$E$38*'계산 과정'!$E$32)/J312,"")</x:f>
        <x:v>0.38969580427795786</x:v>
      </x:c>
      <x:c r="L312" s="4" t="n">
        <x:f>IF(AND('계산 과정'!$L$6,J312&gt;0),'계산 과정'!$D$10*('계산 과정'!$C$39*(D312-'계산 과정'!$C$32)+'계산 과정'!$D$39*(E312-'계산 과정'!$D$32)-'계산 과정'!$E$39*'계산 과정'!$E$32)/J312,"")</x:f>
        <x:v>-0.5072042442263426</x:v>
      </x:c>
      <x:c r="M312" s="17" t="n">
        <x:f>IF('계산 과정'!$L$6,IF(J312&lt;=0,0,IF(AND(ABS(K312)&lt;='계산 과정'!$D$11/2,ABS(L312)&lt;='계산 과정'!$D$12/2),1,0)),"")</x:f>
        <x:v>1</x:v>
      </x:c>
      <x:c r="N312" s="17" t="n">
        <x:f>IF('계산 과정'!$C$78,IF(AND(ISNUMBER(H312),ISNUMBER(I312),ABS(H312-'계산 과정'!$C$88)&lt;='계산 과정'!$D$23/2,ABS(I312-'계산 과정'!$C$89)&lt;='계산 과정'!$D$24/2),1,0),"")</x:f>
        <x:v>1</x:v>
      </x:c>
      <x:c r="O312" s="4" t="n">
        <x:f>IF('계산 과정'!$L$7,'계산 과정'!$C$49*('계산 과정'!$C$32-D312)+'계산 과정'!$D$49*('계산 과정'!$D$32-E312)+'계산 과정'!$E$49*'계산 과정'!$E$32,"")</x:f>
        <x:v>30.192068781744524</x:v>
      </x:c>
      <x:c r="P312" s="4" t="n">
        <x:f>IF(AND('계산 과정'!$L$7,O312&lt;&gt;0),('계산 과정'!$L$23-'계산 과정'!$C$49*D312-'계산 과정'!$D$49*E312)/O312,"")</x:f>
        <x:v>14.248512478278991</x:v>
      </x:c>
      <x:c r="Q312" s="4" t="str">
        <x:f>IF(AND(ISNUMBER(P312),P312&gt;1E-9,P312&lt;1-1E-9),'계산 과정'!$C$47*(D312-'계산 과정'!$C$50+P312*('계산 과정'!$C$32-D312))+'계산 과정'!$D$47*(E312-'계산 과정'!$D$50+P312*('계산 과정'!$D$32-E312))+'계산 과정'!$E$47*(0-'계산 과정'!$E$50+P312*('계산 과정'!$E$32-0)),"")</x:f>
      </x:c>
      <x:c r="R312" s="4" t="str">
        <x:f>IF(AND(ISNUMBER(P312),P312&gt;1E-9,P312&lt;1-1E-9),'계산 과정'!$C$48*(D312-'계산 과정'!$C$50+P312*('계산 과정'!$C$32-D312))+'계산 과정'!$D$48*(E312-'계산 과정'!$D$50+P312*('계산 과정'!$D$32-E312))+'계산 과정'!$E$48*(0-'계산 과정'!$E$50+P312*('계산 과정'!$E$32-0)),"")</x:f>
      </x:c>
      <x:c r="S312" s="17" t="n">
        <x:f>IF('계산 과정'!$C$78,IF(AND(ISNUMBER(Q312),ISNUMBER(R312),ABS(Q312-'계산 과정'!$C$88)&lt;='계산 과정'!$D$23/2,ABS(R312-'계산 과정'!$C$89)&lt;='계산 과정'!$D$24/2),1,0),"")</x:f>
        <x:v>0</x:v>
      </x:c>
      <x:c r="T312" s="4"/>
      <x:c r="U312" s="4"/>
      <x:c r="V312" s="4"/>
      <x:c r="W312" s="4" t="n">
        <x:f>IF('계산 과정'!$C$78,'계산 과정'!$C$88+1*'계산 과정'!$D$23/2,"")</x:f>
        <x:v>288.723404255319</x:v>
      </x:c>
      <x:c r="X312" s="4" t="str">
        <x:f>""</x:f>
      </x:c>
      <x:c r="Y312" s="4" t="n">
        <x:f>IF('계산 과정'!$C$78,'계산 과정'!$C$89+-0.4*'계산 과정'!$D$24/2,"")</x:f>
        <x:v>-104</x:v>
      </x:c>
      <x:c r="Z312" s="4" t="str">
        <x:f>""</x:f>
      </x:c>
    </x:row>
    <x:row r="313" ht="23" customHeight="1">
      <x:c r="A313" s="17" t="n">
        <x:f>ROW()-6</x:f>
        <x:v>307</x:v>
      </x:c>
      <x:c r="B313" s="4" t="n">
        <x:f>IF('계산 과정'!$L$5,'계산 과정'!$L$11*SQRT((A313+0.5)/'계산 과정'!$L$30),"")</x:f>
        <x:v>58.123109848299585</x:v>
      </x:c>
      <x:c r="C313" s="4" t="n">
        <x:f>A313*PI()*(3-SQRT(5))</x:f>
        <x:v>736.7887115266965</x:v>
      </x:c>
      <x:c r="D313" s="4" t="n">
        <x:f>IF('계산 과정'!$L$5,B313*COS(C313),"")</x:f>
        <x:v>-4.948083963308344</x:v>
      </x:c>
      <x:c r="E313" s="4" t="n">
        <x:f>IF('계산 과정'!$L$5,B313*SIN(C313),"")</x:f>
        <x:v>57.91210895425542</x:v>
      </x:c>
      <x:c r="F313" s="4" t="n">
        <x:f>IF('계산 과정'!$L$7,'계산 과정'!$L$22+'계산 과정'!$C$49*D313+'계산 과정'!$D$49*E313,"")</x:f>
        <x:v>653.4988237243357</x:v>
      </x:c>
      <x:c r="G313" s="4" t="n">
        <x:f>IF('계산 과정'!$L$7,IF(ABS(F313)&gt;=1E-12*MAX(1,SQRT((D313-'계산 과정'!$C$33)^2+(E313-'계산 과정'!$D$33)^2+'계산 과정'!$E$33^2)),('계산 과정'!$L$23-'계산 과정'!$C$49*D313-'계산 과정'!$D$49*E313)/F313,""),"")</x:f>
        <x:v>0.6067358683462906</x:v>
      </x:c>
      <x:c r="H313" s="4" t="n">
        <x:f>IF(AND(ISNUMBER(G313),G313&gt;0),('계산 과정'!$D$56+'계산 과정'!$D$57*D313+'계산 과정'!$D$58*E313)/F313,"")</x:f>
        <x:v>-5.621685574911299</x:v>
      </x:c>
      <x:c r="I313" s="4" t="n">
        <x:f>IF(AND(ISNUMBER(G313),G313&gt;0),('계산 과정'!$E$56+'계산 과정'!$E$57*D313+'계산 과정'!$E$58*E313)/F313,"")</x:f>
        <x:v>93.04946266838058</x:v>
      </x:c>
      <x:c r="J313" s="4" t="n">
        <x:f>IF('계산 과정'!$L$5,'계산 과정'!$D$6+'계산 과정'!$C$35*D313+'계산 과정'!$D$35*E313,"")</x:f>
        <x:v>653.4988237243357</x:v>
      </x:c>
      <x:c r="K313" s="4" t="n">
        <x:f>IF(AND('계산 과정'!$L$6,J313&gt;0),'계산 과정'!$D$10*('계산 과정'!$C$38*(D313-'계산 과정'!$C$32)+'계산 과정'!$D$38*(E313-'계산 과정'!$D$32)-'계산 과정'!$E$38*'계산 과정'!$E$32)/J313,"")</x:f>
        <x:v>-0.04283189009456156</x:v>
      </x:c>
      <x:c r="L313" s="4" t="n">
        <x:f>IF(AND('계산 과정'!$L$6,J313&gt;0),'계산 과정'!$D$10*('계산 과정'!$C$39*(D313-'계산 과정'!$C$32)+'계산 과정'!$D$39*(E313-'계산 과정'!$D$32)-'계산 과정'!$E$39*'계산 과정'!$E$32)/J313,"")</x:f>
        <x:v>0.7089482869971854</x:v>
      </x:c>
      <x:c r="M313" s="17" t="n">
        <x:f>IF('계산 과정'!$L$6,IF(J313&lt;=0,0,IF(AND(ABS(K313)&lt;='계산 과정'!$D$11/2,ABS(L313)&lt;='계산 과정'!$D$12/2),1,0)),"")</x:f>
        <x:v>1</x:v>
      </x:c>
      <x:c r="N313" s="17" t="n">
        <x:f>IF('계산 과정'!$C$78,IF(AND(ISNUMBER(H313),ISNUMBER(I313),ABS(H313-'계산 과정'!$C$88)&lt;='계산 과정'!$D$23/2,ABS(I313-'계산 과정'!$C$89)&lt;='계산 과정'!$D$24/2),1,0),"")</x:f>
        <x:v>1</x:v>
      </x:c>
      <x:c r="O313" s="4" t="n">
        <x:f>IF('계산 과정'!$L$7,'계산 과정'!$C$49*('계산 과정'!$C$32-D313)+'계산 과정'!$D$49*('계산 과정'!$D$32-E313)+'계산 과정'!$E$49*'계산 과정'!$E$32,"")</x:f>
        <x:v>-3.4988237243356366</x:v>
      </x:c>
      <x:c r="P313" s="4" t="n">
        <x:f>IF(AND('계산 과정'!$L$7,O313&lt;&gt;0),('계산 과정'!$L$23-'계산 과정'!$C$49*D313-'계산 과정'!$D$49*E313)/O313,"")</x:f>
        <x:v>-113.32413619978888</x:v>
      </x:c>
      <x:c r="Q313" s="4" t="str">
        <x:f>IF(AND(ISNUMBER(P313),P313&gt;1E-9,P313&lt;1-1E-9),'계산 과정'!$C$47*(D313-'계산 과정'!$C$50+P313*('계산 과정'!$C$32-D313))+'계산 과정'!$D$47*(E313-'계산 과정'!$D$50+P313*('계산 과정'!$D$32-E313))+'계산 과정'!$E$47*(0-'계산 과정'!$E$50+P313*('계산 과정'!$E$32-0)),"")</x:f>
      </x:c>
      <x:c r="R313" s="4" t="str">
        <x:f>IF(AND(ISNUMBER(P313),P313&gt;1E-9,P313&lt;1-1E-9),'계산 과정'!$C$48*(D313-'계산 과정'!$C$50+P313*('계산 과정'!$C$32-D313))+'계산 과정'!$D$48*(E313-'계산 과정'!$D$50+P313*('계산 과정'!$D$32-E313))+'계산 과정'!$E$48*(0-'계산 과정'!$E$50+P313*('계산 과정'!$E$32-0)),"")</x:f>
      </x:c>
      <x:c r="S313" s="17" t="n">
        <x:f>IF('계산 과정'!$C$78,IF(AND(ISNUMBER(Q313),ISNUMBER(R313),ABS(Q313-'계산 과정'!$C$88)&lt;='계산 과정'!$D$23/2,ABS(R313-'계산 과정'!$C$89)&lt;='계산 과정'!$D$24/2),1,0),"")</x:f>
        <x:v>0</x:v>
      </x:c>
      <x:c r="T313" s="4"/>
      <x:c r="U313" s="4"/>
      <x:c r="V313" s="4"/>
      <x:c r="W313" s="4" t="n">
        <x:f>IF('계산 과정'!$C$78,'계산 과정'!$C$88+1*'계산 과정'!$D$23/2,"")</x:f>
        <x:v>288.723404255319</x:v>
      </x:c>
      <x:c r="X313" s="4" t="str">
        <x:f>""</x:f>
      </x:c>
      <x:c r="Y313" s="4" t="n">
        <x:f>IF('계산 과정'!$C$78,'계산 과정'!$C$89+-0.36*'계산 과정'!$D$24/2,"")</x:f>
        <x:v>-93.6</x:v>
      </x:c>
      <x:c r="Z313" s="4" t="str">
        <x:f>""</x:f>
      </x:c>
    </x:row>
    <x:row r="314" ht="23" customHeight="1">
      <x:c r="A314" s="17" t="n">
        <x:f>ROW()-6</x:f>
        <x:v>308</x:v>
      </x:c>
      <x:c r="B314" s="4" t="n">
        <x:f>IF('계산 과정'!$L$5,'계산 과정'!$L$11*SQRT((A314+0.5)/'계산 과정'!$L$30),"")</x:f>
        <x:v>58.217542258004165</x:v>
      </x:c>
      <x:c r="C314" s="4" t="n">
        <x:f>A314*PI()*(3-SQRT(5))</x:f>
        <x:v>739.1886747564251</x:v>
      </x:c>
      <x:c r="D314" s="4" t="n">
        <x:f>IF('계산 과정'!$L$5,B314*COS(C314),"")</x:f>
        <x:v>-35.52813320040594</x:v>
      </x:c>
      <x:c r="E314" s="4" t="n">
        <x:f>IF('계산 과정'!$L$5,B314*SIN(C314),"")</x:f>
        <x:v>-46.11977859722133</x:v>
      </x:c>
      <x:c r="F314" s="4" t="n">
        <x:f>IF('계산 과정'!$L$7,'계산 과정'!$L$22+'계산 과정'!$C$49*D314+'계산 과정'!$D$49*E314,"")</x:f>
        <x:v>675.122183908906</x:v>
      </x:c>
      <x:c r="G314" s="4" t="n">
        <x:f>IF('계산 과정'!$L$7,IF(ABS(F314)&gt;=1E-12*MAX(1,SQRT((D314-'계산 과정'!$C$33)^2+(E314-'계산 과정'!$D$33)^2+'계산 과정'!$E$33^2)),('계산 과정'!$L$23-'계산 과정'!$C$49*D314-'계산 과정'!$D$49*E314)/F314,""),"")</x:f>
        <x:v>0.5552740304289514</x:v>
      </x:c>
      <x:c r="H314" s="4" t="n">
        <x:f>IF(AND(ISNUMBER(G314),G314&gt;0),('계산 과정'!$D$56+'계산 과정'!$D$57*D314+'계산 과정'!$D$58*E314)/F314,"")</x:f>
        <x:v>-39.07188022118164</x:v>
      </x:c>
      <x:c r="I314" s="4" t="n">
        <x:f>IF(AND(ISNUMBER(G314),G314&gt;0),('계산 과정'!$E$56+'계산 과정'!$E$57*D314+'계산 과정'!$E$58*E314)/F314,"")</x:f>
        <x:v>-71.7288939413913</x:v>
      </x:c>
      <x:c r="J314" s="4" t="n">
        <x:f>IF('계산 과정'!$L$5,'계산 과정'!$D$6+'계산 과정'!$C$35*D314+'계산 과정'!$D$35*E314,"")</x:f>
        <x:v>675.122183908906</x:v>
      </x:c>
      <x:c r="K314" s="4" t="n">
        <x:f>IF(AND('계산 과정'!$L$6,J314&gt;0),'계산 과정'!$D$10*('계산 과정'!$C$38*(D314-'계산 과정'!$C$32)+'계산 과정'!$D$38*(E314-'계산 과정'!$D$32)-'계산 과정'!$E$38*'계산 과정'!$E$32)/J314,"")</x:f>
        <x:v>-0.2976905159709064</x:v>
      </x:c>
      <x:c r="L314" s="4" t="n">
        <x:f>IF(AND('계산 과정'!$L$6,J314&gt;0),'계산 과정'!$D$10*('계산 과정'!$C$39*(D314-'계산 과정'!$C$32)+'계산 과정'!$D$39*(E314-'계산 과정'!$D$32)-'계산 과정'!$E$39*'계산 과정'!$E$32)/J314,"")</x:f>
        <x:v>-0.5465058586010766</x:v>
      </x:c>
      <x:c r="M314" s="17" t="n">
        <x:f>IF('계산 과정'!$L$6,IF(J314&lt;=0,0,IF(AND(ABS(K314)&lt;='계산 과정'!$D$11/2,ABS(L314)&lt;='계산 과정'!$D$12/2),1,0)),"")</x:f>
        <x:v>1</x:v>
      </x:c>
      <x:c r="N314" s="17" t="n">
        <x:f>IF('계산 과정'!$C$78,IF(AND(ISNUMBER(H314),ISNUMBER(I314),ABS(H314-'계산 과정'!$C$88)&lt;='계산 과정'!$D$23/2,ABS(I314-'계산 과정'!$C$89)&lt;='계산 과정'!$D$24/2),1,0),"")</x:f>
        <x:v>1</x:v>
      </x:c>
      <x:c r="O314" s="4" t="n">
        <x:f>IF('계산 과정'!$L$7,'계산 과정'!$C$49*('계산 과정'!$C$32-D314)+'계산 과정'!$D$49*('계산 과정'!$D$32-E314)+'계산 과정'!$E$49*'계산 과정'!$E$32,"")</x:f>
        <x:v>-25.12218390890581</x:v>
      </x:c>
      <x:c r="P314" s="4" t="n">
        <x:f>IF(AND('계산 과정'!$L$7,O314&lt;&gt;0),('계산 과정'!$L$23-'계산 과정'!$C$49*D314-'계산 과정'!$D$49*E314)/O314,"")</x:f>
        <x:v>-14.92218261956915</x:v>
      </x:c>
      <x:c r="Q314" s="4" t="str">
        <x:f>IF(AND(ISNUMBER(P314),P314&gt;1E-9,P314&lt;1-1E-9),'계산 과정'!$C$47*(D314-'계산 과정'!$C$50+P314*('계산 과정'!$C$32-D314))+'계산 과정'!$D$47*(E314-'계산 과정'!$D$50+P314*('계산 과정'!$D$32-E314))+'계산 과정'!$E$47*(0-'계산 과정'!$E$50+P314*('계산 과정'!$E$32-0)),"")</x:f>
      </x:c>
      <x:c r="R314" s="4" t="str">
        <x:f>IF(AND(ISNUMBER(P314),P314&gt;1E-9,P314&lt;1-1E-9),'계산 과정'!$C$48*(D314-'계산 과정'!$C$50+P314*('계산 과정'!$C$32-D314))+'계산 과정'!$D$48*(E314-'계산 과정'!$D$50+P314*('계산 과정'!$D$32-E314))+'계산 과정'!$E$48*(0-'계산 과정'!$E$50+P314*('계산 과정'!$E$32-0)),"")</x:f>
      </x:c>
      <x:c r="S314" s="17" t="n">
        <x:f>IF('계산 과정'!$C$78,IF(AND(ISNUMBER(Q314),ISNUMBER(R314),ABS(Q314-'계산 과정'!$C$88)&lt;='계산 과정'!$D$23/2,ABS(R314-'계산 과정'!$C$89)&lt;='계산 과정'!$D$24/2),1,0),"")</x:f>
        <x:v>0</x:v>
      </x:c>
      <x:c r="T314" s="4"/>
      <x:c r="U314" s="4"/>
      <x:c r="V314" s="4"/>
      <x:c r="W314" s="4" t="n">
        <x:f>IF('계산 과정'!$C$78,'계산 과정'!$C$88+1*'계산 과정'!$D$23/2,"")</x:f>
        <x:v>288.723404255319</x:v>
      </x:c>
      <x:c r="X314" s="4" t="str">
        <x:f>""</x:f>
      </x:c>
      <x:c r="Y314" s="4" t="n">
        <x:f>IF('계산 과정'!$C$78,'계산 과정'!$C$89+-0.31999999999999995*'계산 과정'!$D$24/2,"")</x:f>
        <x:v>-83.19999999999999</x:v>
      </x:c>
      <x:c r="Z314" s="4" t="str">
        <x:f>""</x:f>
      </x:c>
    </x:row>
    <x:row r="315" ht="23" customHeight="1">
      <x:c r="A315" s="17" t="n">
        <x:f>ROW()-6</x:f>
        <x:v>309</x:v>
      </x:c>
      <x:c r="B315" s="4" t="n">
        <x:f>IF('계산 과정'!$L$5,'계산 과정'!$L$11*SQRT((A315+0.5)/'계산 과정'!$L$30),"")</x:f>
        <x:v>58.311821740428414</x:v>
      </x:c>
      <x:c r="C315" s="4" t="n">
        <x:f>A315*PI()*(3-SQRT(5))</x:f>
        <x:v>741.5886379861538</x:v>
      </x:c>
      <x:c r="D315" s="4" t="n">
        <x:f>IF('계산 과정'!$L$5,B315*COS(C315),"")</x:f>
        <x:v>57.44367838853526</x:v>
      </x:c>
      <x:c r="E315" s="4" t="n">
        <x:f>IF('계산 과정'!$L$5,B315*SIN(C315),"")</x:f>
        <x:v>10.02458816520793</x:v>
      </x:c>
      <x:c r="F315" s="4" t="n">
        <x:f>IF('계산 과정'!$L$7,'계산 과정'!$L$22+'계산 과정'!$C$49*D315+'계산 과정'!$D$49*E315,"")</x:f>
        <x:v>609.3811854751676</x:v>
      </x:c>
      <x:c r="G315" s="4" t="n">
        <x:f>IF('계산 과정'!$L$7,IF(ABS(F315)&gt;=1E-12*MAX(1,SQRT((D315-'계산 과정'!$C$33)^2+(E315-'계산 과정'!$D$33)^2+'계산 과정'!$E$33^2)),('계산 과정'!$L$23-'계산 과정'!$C$49*D315-'계산 과정'!$D$49*E315)/F315,""),"")</x:f>
        <x:v>0.7230594331219103</x:v>
      </x:c>
      <x:c r="H315" s="4" t="n">
        <x:f>IF(AND(ISNUMBER(G315),G315&gt;0),('계산 과정'!$D$56+'계산 과정'!$D$57*D315+'계산 과정'!$D$58*E315)/F315,"")</x:f>
        <x:v>69.98863152924164</x:v>
      </x:c>
      <x:c r="I315" s="4" t="n">
        <x:f>IF(AND(ISNUMBER(G315),G315&gt;0),('계산 과정'!$E$56+'계산 과정'!$E$57*D315+'계산 과정'!$E$58*E315)/F315,"")</x:f>
        <x:v>17.272961201223787</x:v>
      </x:c>
      <x:c r="J315" s="4" t="n">
        <x:f>IF('계산 과정'!$L$5,'계산 과정'!$D$6+'계산 과정'!$C$35*D315+'계산 과정'!$D$35*E315,"")</x:f>
        <x:v>609.3811854751676</x:v>
      </x:c>
      <x:c r="K315" s="4" t="n">
        <x:f>IF(AND('계산 과정'!$L$6,J315&gt;0),'계산 과정'!$D$10*('계산 과정'!$C$38*(D315-'계산 과정'!$C$32)+'계산 과정'!$D$38*(E315-'계산 과정'!$D$32)-'계산 과정'!$E$38*'계산 과정'!$E$32)/J315,"")</x:f>
        <x:v>0.5332467164132707</x:v>
      </x:c>
      <x:c r="L315" s="4" t="n">
        <x:f>IF(AND('계산 과정'!$L$6,J315&gt;0),'계산 과정'!$D$10*('계산 과정'!$C$39*(D315-'계산 과정'!$C$32)+'계산 과정'!$D$39*(E315-'계산 과정'!$D$32)-'계산 과정'!$E$39*'계산 과정'!$E$32)/J315,"")</x:f>
        <x:v>0.131603513914086</x:v>
      </x:c>
      <x:c r="M315" s="17" t="n">
        <x:f>IF('계산 과정'!$L$6,IF(J315&lt;=0,0,IF(AND(ABS(K315)&lt;='계산 과정'!$D$11/2,ABS(L315)&lt;='계산 과정'!$D$12/2),1,0)),"")</x:f>
        <x:v>1</x:v>
      </x:c>
      <x:c r="N315" s="17" t="n">
        <x:f>IF('계산 과정'!$C$78,IF(AND(ISNUMBER(H315),ISNUMBER(I315),ABS(H315-'계산 과정'!$C$88)&lt;='계산 과정'!$D$23/2,ABS(I315-'계산 과정'!$C$89)&lt;='계산 과정'!$D$24/2),1,0),"")</x:f>
        <x:v>1</x:v>
      </x:c>
      <x:c r="O315" s="4" t="n">
        <x:f>IF('계산 과정'!$L$7,'계산 과정'!$C$49*('계산 과정'!$C$32-D315)+'계산 과정'!$D$49*('계산 과정'!$D$32-E315)+'계산 과정'!$E$49*'계산 과정'!$E$32,"")</x:f>
        <x:v>40.618814524832544</x:v>
      </x:c>
      <x:c r="P315" s="4" t="n">
        <x:f>IF(AND('계산 과정'!$L$7,O315&lt;&gt;0),('계산 과정'!$L$23-'계산 과정'!$C$49*D315-'계산 과정'!$D$49*E315)/O315,"")</x:f>
        <x:v>10.847653228664702</x:v>
      </x:c>
      <x:c r="Q315" s="4" t="str">
        <x:f>IF(AND(ISNUMBER(P315),P315&gt;1E-9,P315&lt;1-1E-9),'계산 과정'!$C$47*(D315-'계산 과정'!$C$50+P315*('계산 과정'!$C$32-D315))+'계산 과정'!$D$47*(E315-'계산 과정'!$D$50+P315*('계산 과정'!$D$32-E315))+'계산 과정'!$E$47*(0-'계산 과정'!$E$50+P315*('계산 과정'!$E$32-0)),"")</x:f>
      </x:c>
      <x:c r="R315" s="4" t="str">
        <x:f>IF(AND(ISNUMBER(P315),P315&gt;1E-9,P315&lt;1-1E-9),'계산 과정'!$C$48*(D315-'계산 과정'!$C$50+P315*('계산 과정'!$C$32-D315))+'계산 과정'!$D$48*(E315-'계산 과정'!$D$50+P315*('계산 과정'!$D$32-E315))+'계산 과정'!$E$48*(0-'계산 과정'!$E$50+P315*('계산 과정'!$E$32-0)),"")</x:f>
      </x:c>
      <x:c r="S315" s="17" t="n">
        <x:f>IF('계산 과정'!$C$78,IF(AND(ISNUMBER(Q315),ISNUMBER(R315),ABS(Q315-'계산 과정'!$C$88)&lt;='계산 과정'!$D$23/2,ABS(R315-'계산 과정'!$C$89)&lt;='계산 과정'!$D$24/2),1,0),"")</x:f>
        <x:v>0</x:v>
      </x:c>
      <x:c r="T315" s="4"/>
      <x:c r="U315" s="4"/>
      <x:c r="V315" s="4"/>
      <x:c r="W315" s="4" t="n">
        <x:f>IF('계산 과정'!$C$78,'계산 과정'!$C$88+1*'계산 과정'!$D$23/2,"")</x:f>
        <x:v>288.723404255319</x:v>
      </x:c>
      <x:c r="X315" s="4" t="str">
        <x:f>""</x:f>
      </x:c>
      <x:c r="Y315" s="4" t="n">
        <x:f>IF('계산 과정'!$C$78,'계산 과정'!$C$89+-0.28*'계산 과정'!$D$24/2,"")</x:f>
        <x:v>-72.80000000000001</x:v>
      </x:c>
      <x:c r="Z315" s="4" t="str">
        <x:f>""</x:f>
      </x:c>
    </x:row>
    <x:row r="316" ht="23" customHeight="1">
      <x:c r="A316" s="17" t="n">
        <x:f>ROW()-6</x:f>
        <x:v>310</x:v>
      </x:c>
      <x:c r="B316" s="4" t="n">
        <x:f>IF('계산 과정'!$L$5,'계산 과정'!$L$11*SQRT((A316+0.5)/'계산 과정'!$L$30),"")</x:f>
        <x:v>58.40594903614271</x:v>
      </x:c>
      <x:c r="C316" s="4" t="n">
        <x:f>A316*PI()*(3-SQRT(5))</x:f>
        <x:v>743.9886012158823</x:v>
      </x:c>
      <x:c r="D316" s="4" t="n">
        <x:f>IF('계산 과정'!$L$5,B316*COS(C316),"")</x:f>
        <x:v>-49.20799652881847</x:v>
      </x:c>
      <x:c r="E316" s="4" t="n">
        <x:f>IF('계산 과정'!$L$5,B316*SIN(C316),"")</x:f>
        <x:v>31.461531438127565</x:v>
      </x:c>
      <x:c r="F316" s="4" t="n">
        <x:f>IF('계산 과정'!$L$7,'계산 과정'!$L$22+'계산 과정'!$C$49*D316+'계산 과정'!$D$49*E316,"")</x:f>
        <x:v>684.7953080341316</x:v>
      </x:c>
      <x:c r="G316" s="4" t="n">
        <x:f>IF('계산 과정'!$L$7,IF(ABS(F316)&gt;=1E-12*MAX(1,SQRT((D316-'계산 과정'!$C$33)^2+(E316-'계산 과정'!$D$33)^2+'계산 과정'!$E$33^2)),('계산 과정'!$L$23-'계산 과정'!$C$49*D316-'계산 과정'!$D$49*E316)/F316,""),"")</x:f>
        <x:v>0.5333048980932356</x:v>
      </x:c>
      <x:c r="H316" s="4" t="n">
        <x:f>IF(AND(ISNUMBER(G316),G316&gt;0),('계산 과정'!$D$56+'계산 과정'!$D$57*D316+'계산 과정'!$D$58*E316)/F316,"")</x:f>
        <x:v>-53.35181623939707</x:v>
      </x:c>
      <x:c r="I316" s="4" t="n">
        <x:f>IF(AND(ISNUMBER(G316),G316&gt;0),('계산 과정'!$E$56+'계산 과정'!$E$57*D316+'계산 과정'!$E$58*E316)/F316,"")</x:f>
        <x:v>48.240120255595315</x:v>
      </x:c>
      <x:c r="J316" s="4" t="n">
        <x:f>IF('계산 과정'!$L$5,'계산 과정'!$D$6+'계산 과정'!$C$35*D316+'계산 과정'!$D$35*E316,"")</x:f>
        <x:v>684.7953080341316</x:v>
      </x:c>
      <x:c r="K316" s="4" t="n">
        <x:f>IF(AND('계산 과정'!$L$6,J316&gt;0),'계산 과정'!$D$10*('계산 과정'!$C$38*(D316-'계산 과정'!$C$32)+'계산 과정'!$D$38*(E316-'계산 과정'!$D$32)-'계산 과정'!$E$38*'계산 과정'!$E$32)/J316,"")</x:f>
        <x:v>-0.4064900284906431</x:v>
      </x:c>
      <x:c r="L316" s="4" t="n">
        <x:f>IF(AND('계산 과정'!$L$6,J316&gt;0),'계산 과정'!$D$10*('계산 과정'!$C$39*(D316-'계산 과정'!$C$32)+'계산 과정'!$D$39*(E316-'계산 과정'!$D$32)-'계산 과정'!$E$39*'계산 과정'!$E$32)/J316,"")</x:f>
        <x:v>0.3675437733759643</x:v>
      </x:c>
      <x:c r="M316" s="17" t="n">
        <x:f>IF('계산 과정'!$L$6,IF(J316&lt;=0,0,IF(AND(ABS(K316)&lt;='계산 과정'!$D$11/2,ABS(L316)&lt;='계산 과정'!$D$12/2),1,0)),"")</x:f>
        <x:v>1</x:v>
      </x:c>
      <x:c r="N316" s="17" t="n">
        <x:f>IF('계산 과정'!$C$78,IF(AND(ISNUMBER(H316),ISNUMBER(I316),ABS(H316-'계산 과정'!$C$88)&lt;='계산 과정'!$D$23/2,ABS(I316-'계산 과정'!$C$89)&lt;='계산 과정'!$D$24/2),1,0),"")</x:f>
        <x:v>1</x:v>
      </x:c>
      <x:c r="O316" s="4" t="n">
        <x:f>IF('계산 과정'!$L$7,'계산 과정'!$C$49*('계산 과정'!$C$32-D316)+'계산 과정'!$D$49*('계산 과정'!$D$32-E316)+'계산 과정'!$E$49*'계산 과정'!$E$32,"")</x:f>
        <x:v>-34.795308034131494</x:v>
      </x:c>
      <x:c r="P316" s="4" t="n">
        <x:f>IF(AND('계산 과정'!$L$7,O316&lt;&gt;0),('계산 과정'!$L$23-'계산 과정'!$C$49*D316-'계산 과정'!$D$49*E316)/O316,"")</x:f>
        <x:v>-10.495802813633118</x:v>
      </x:c>
      <x:c r="Q316" s="4" t="str">
        <x:f>IF(AND(ISNUMBER(P316),P316&gt;1E-9,P316&lt;1-1E-9),'계산 과정'!$C$47*(D316-'계산 과정'!$C$50+P316*('계산 과정'!$C$32-D316))+'계산 과정'!$D$47*(E316-'계산 과정'!$D$50+P316*('계산 과정'!$D$32-E316))+'계산 과정'!$E$47*(0-'계산 과정'!$E$50+P316*('계산 과정'!$E$32-0)),"")</x:f>
      </x:c>
      <x:c r="R316" s="4" t="str">
        <x:f>IF(AND(ISNUMBER(P316),P316&gt;1E-9,P316&lt;1-1E-9),'계산 과정'!$C$48*(D316-'계산 과정'!$C$50+P316*('계산 과정'!$C$32-D316))+'계산 과정'!$D$48*(E316-'계산 과정'!$D$50+P316*('계산 과정'!$D$32-E316))+'계산 과정'!$E$48*(0-'계산 과정'!$E$50+P316*('계산 과정'!$E$32-0)),"")</x:f>
      </x:c>
      <x:c r="S316" s="17" t="n">
        <x:f>IF('계산 과정'!$C$78,IF(AND(ISNUMBER(Q316),ISNUMBER(R316),ABS(Q316-'계산 과정'!$C$88)&lt;='계산 과정'!$D$23/2,ABS(R316-'계산 과정'!$C$89)&lt;='계산 과정'!$D$24/2),1,0),"")</x:f>
        <x:v>0</x:v>
      </x:c>
      <x:c r="T316" s="4"/>
      <x:c r="U316" s="4"/>
      <x:c r="V316" s="4"/>
      <x:c r="W316" s="4" t="n">
        <x:f>IF('계산 과정'!$C$78,'계산 과정'!$C$88+1*'계산 과정'!$D$23/2,"")</x:f>
        <x:v>288.723404255319</x:v>
      </x:c>
      <x:c r="X316" s="4" t="str">
        <x:f>""</x:f>
      </x:c>
      <x:c r="Y316" s="4" t="n">
        <x:f>IF('계산 과정'!$C$78,'계산 과정'!$C$89+-0.24*'계산 과정'!$D$24/2,"")</x:f>
        <x:v>-62.4</x:v>
      </x:c>
      <x:c r="Z316" s="4" t="str">
        <x:f>""</x:f>
      </x:c>
    </x:row>
    <x:row r="317" ht="23" customHeight="1">
      <x:c r="A317" s="17" t="n">
        <x:f>ROW()-6</x:f>
        <x:v>311</x:v>
      </x:c>
      <x:c r="B317" s="4" t="n">
        <x:f>IF('계산 과정'!$L$5,'계산 과정'!$L$11*SQRT((A317+0.5)/'계산 과정'!$L$30),"")</x:f>
        <x:v>58.499924879759455</x:v>
      </x:c>
      <x:c r="C317" s="4" t="n">
        <x:f>A317*PI()*(3-SQRT(5))</x:f>
        <x:v>746.388564445611</x:v>
      </x:c>
      <x:c r="D317" s="4" t="n">
        <x:f>IF('계산 과정'!$L$5,B317*COS(C317),"")</x:f>
        <x:v>15.056673506815168</x:v>
      </x:c>
      <x:c r="E317" s="4" t="n">
        <x:f>IF('계산 과정'!$L$5,B317*SIN(C317),"")</x:f>
        <x:v>-56.529088033035436</x:v>
      </x:c>
      <x:c r="F317" s="4" t="n">
        <x:f>IF('계산 과정'!$L$7,'계산 과정'!$L$22+'계산 과정'!$C$49*D317+'계산 과정'!$D$49*E317,"")</x:f>
        <x:v>639.3533240612192</x:v>
      </x:c>
      <x:c r="G317" s="4" t="n">
        <x:f>IF('계산 과정'!$L$7,IF(ABS(F317)&gt;=1E-12*MAX(1,SQRT((D317-'계산 과정'!$C$33)^2+(E317-'계산 과정'!$D$33)^2+'계산 과정'!$E$33^2)),('계산 과정'!$L$23-'계산 과정'!$C$49*D317-'계산 과정'!$D$49*E317)/F317,""),"")</x:f>
        <x:v>0.6422844153375524</x:v>
      </x:c>
      <x:c r="H317" s="4" t="n">
        <x:f>IF(AND(ISNUMBER(G317),G317&gt;0),('계산 과정'!$D$56+'계산 과정'!$D$57*D317+'계산 과정'!$D$58*E317)/F317,"")</x:f>
        <x:v>17.484869969408965</x:v>
      </x:c>
      <x:c r="I317" s="4" t="n">
        <x:f>IF(AND(ISNUMBER(G317),G317&gt;0),('계산 과정'!$E$56+'계산 과정'!$E$57*D317+'계산 과정'!$E$58*E317)/F317,"")</x:f>
        <x:v>-92.83684028989863</x:v>
      </x:c>
      <x:c r="J317" s="4" t="n">
        <x:f>IF('계산 과정'!$L$5,'계산 과정'!$D$6+'계산 과정'!$C$35*D317+'계산 과정'!$D$35*E317,"")</x:f>
        <x:v>639.3533240612192</x:v>
      </x:c>
      <x:c r="K317" s="4" t="n">
        <x:f>IF(AND('계산 과정'!$L$6,J317&gt;0),'계산 과정'!$D$10*('계산 과정'!$C$38*(D317-'계산 과정'!$C$32)+'계산 과정'!$D$38*(E317-'계산 과정'!$D$32)-'계산 과정'!$E$38*'계산 과정'!$E$32)/J317,"")</x:f>
        <x:v>0.13321805690978353</x:v>
      </x:c>
      <x:c r="L317" s="4" t="n">
        <x:f>IF(AND('계산 과정'!$L$6,J317&gt;0),'계산 과정'!$D$10*('계산 과정'!$C$39*(D317-'계산 과정'!$C$32)+'계산 과정'!$D$39*(E317-'계산 과정'!$D$32)-'계산 과정'!$E$39*'계산 과정'!$E$32)/J317,"")</x:f>
        <x:v>-0.7073283069706563</x:v>
      </x:c>
      <x:c r="M317" s="17" t="n">
        <x:f>IF('계산 과정'!$L$6,IF(J317&lt;=0,0,IF(AND(ABS(K317)&lt;='계산 과정'!$D$11/2,ABS(L317)&lt;='계산 과정'!$D$12/2),1,0)),"")</x:f>
        <x:v>1</x:v>
      </x:c>
      <x:c r="N317" s="17" t="n">
        <x:f>IF('계산 과정'!$C$78,IF(AND(ISNUMBER(H317),ISNUMBER(I317),ABS(H317-'계산 과정'!$C$88)&lt;='계산 과정'!$D$23/2,ABS(I317-'계산 과정'!$C$89)&lt;='계산 과정'!$D$24/2),1,0),"")</x:f>
        <x:v>1</x:v>
      </x:c>
      <x:c r="O317" s="4" t="n">
        <x:f>IF('계산 과정'!$L$7,'계산 과정'!$C$49*('계산 과정'!$C$32-D317)+'계산 과정'!$D$49*('계산 과정'!$D$32-E317)+'계산 과정'!$E$49*'계산 과정'!$E$32,"")</x:f>
        <x:v>10.646675938780959</x:v>
      </x:c>
      <x:c r="P317" s="4" t="n">
        <x:f>IF(AND('계산 과정'!$L$7,O317&lt;&gt;0),('계산 과정'!$L$23-'계산 과정'!$C$49*D317-'계산 과정'!$D$49*E317)/O317,"")</x:f>
        <x:v>38.570411863761464</x:v>
      </x:c>
      <x:c r="Q317" s="4" t="str">
        <x:f>IF(AND(ISNUMBER(P317),P317&gt;1E-9,P317&lt;1-1E-9),'계산 과정'!$C$47*(D317-'계산 과정'!$C$50+P317*('계산 과정'!$C$32-D317))+'계산 과정'!$D$47*(E317-'계산 과정'!$D$50+P317*('계산 과정'!$D$32-E317))+'계산 과정'!$E$47*(0-'계산 과정'!$E$50+P317*('계산 과정'!$E$32-0)),"")</x:f>
      </x:c>
      <x:c r="R317" s="4" t="str">
        <x:f>IF(AND(ISNUMBER(P317),P317&gt;1E-9,P317&lt;1-1E-9),'계산 과정'!$C$48*(D317-'계산 과정'!$C$50+P317*('계산 과정'!$C$32-D317))+'계산 과정'!$D$48*(E317-'계산 과정'!$D$50+P317*('계산 과정'!$D$32-E317))+'계산 과정'!$E$48*(0-'계산 과정'!$E$50+P317*('계산 과정'!$E$32-0)),"")</x:f>
      </x:c>
      <x:c r="S317" s="17" t="n">
        <x:f>IF('계산 과정'!$C$78,IF(AND(ISNUMBER(Q317),ISNUMBER(R317),ABS(Q317-'계산 과정'!$C$88)&lt;='계산 과정'!$D$23/2,ABS(R317-'계산 과정'!$C$89)&lt;='계산 과정'!$D$24/2),1,0),"")</x:f>
        <x:v>0</x:v>
      </x:c>
      <x:c r="T317" s="4"/>
      <x:c r="U317" s="4"/>
      <x:c r="V317" s="4"/>
      <x:c r="W317" s="4" t="n">
        <x:f>IF('계산 과정'!$C$78,'계산 과정'!$C$88+1*'계산 과정'!$D$23/2,"")</x:f>
        <x:v>288.723404255319</x:v>
      </x:c>
      <x:c r="X317" s="4" t="str">
        <x:f>""</x:f>
      </x:c>
      <x:c r="Y317" s="4" t="n">
        <x:f>IF('계산 과정'!$C$78,'계산 과정'!$C$89+-0.19999999999999996*'계산 과정'!$D$24/2,"")</x:f>
        <x:v>-51.999999999999986</x:v>
      </x:c>
      <x:c r="Z317" s="4" t="str">
        <x:f>""</x:f>
      </x:c>
    </x:row>
    <x:row r="318" ht="23" customHeight="1">
      <x:c r="A318" s="17" t="n">
        <x:f>ROW()-6</x:f>
        <x:v>312</x:v>
      </x:c>
      <x:c r="B318" s="4" t="n">
        <x:f>IF('계산 과정'!$L$5,'계산 과정'!$L$11*SQRT((A318+0.5)/'계산 과정'!$L$30),"")</x:f>
        <x:v>58.59375</x:v>
      </x:c>
      <x:c r="C318" s="4" t="n">
        <x:f>A318*PI()*(3-SQRT(5))</x:f>
        <x:v>748.7885276753397</x:v>
      </x:c>
      <x:c r="D318" s="4" t="n">
        <x:f>IF('계산 과정'!$L$5,B318*COS(C318),"")</x:f>
        <x:v>27.12596417804307</x:v>
      </x:c>
      <x:c r="E318" s="4" t="n">
        <x:f>IF('계산 과정'!$L$5,B318*SIN(C318),"")</x:f>
        <x:v>51.936592172321284</x:v>
      </x:c>
      <x:c r="F318" s="4" t="n">
        <x:f>IF('계산 과정'!$L$7,'계산 과정'!$L$22+'계산 과정'!$C$49*D318+'계산 과정'!$D$49*E318,"")</x:f>
        <x:v>630.8190467834823</x:v>
      </x:c>
      <x:c r="G318" s="4" t="n">
        <x:f>IF('계산 과정'!$L$7,IF(ABS(F318)&gt;=1E-12*MAX(1,SQRT((D318-'계산 과정'!$C$33)^2+(E318-'계산 과정'!$D$33)^2+'계산 과정'!$E$33^2)),('계산 과정'!$L$23-'계산 과정'!$C$49*D318-'계산 과정'!$D$49*E318)/F318,""),"")</x:f>
        <x:v>0.6645026895651016</x:v>
      </x:c>
      <x:c r="H318" s="4" t="n">
        <x:f>IF(AND(ISNUMBER(G318),G318&gt;0),('계산 과정'!$D$56+'계산 과정'!$D$57*D318+'계산 과정'!$D$58*E318)/F318,"")</x:f>
        <x:v>31.926748217315872</x:v>
      </x:c>
      <x:c r="I318" s="4" t="n">
        <x:f>IF(AND(ISNUMBER(G318),G318&gt;0),('계산 과정'!$E$56+'계산 과정'!$E$57*D318+'계산 과정'!$E$58*E318)/F318,"")</x:f>
        <x:v>86.44859735767459</x:v>
      </x:c>
      <x:c r="J318" s="4" t="n">
        <x:f>IF('계산 과정'!$L$5,'계산 과정'!$D$6+'계산 과정'!$C$35*D318+'계산 과정'!$D$35*E318,"")</x:f>
        <x:v>630.8190467834823</x:v>
      </x:c>
      <x:c r="K318" s="4" t="n">
        <x:f>IF(AND('계산 과정'!$L$6,J318&gt;0),'계산 과정'!$D$10*('계산 과정'!$C$38*(D318-'계산 과정'!$C$32)+'계산 과정'!$D$38*(E318-'계산 과정'!$D$32)-'계산 과정'!$E$38*'계산 과정'!$E$32)/J318,"")</x:f>
        <x:v>0.2432514149890744</x:v>
      </x:c>
      <x:c r="L318" s="4" t="n">
        <x:f>IF(AND('계산 과정'!$L$6,J318&gt;0),'계산 과정'!$D$10*('계산 과정'!$C$39*(D318-'계산 과정'!$C$32)+'계산 과정'!$D$39*(E318-'계산 과정'!$D$32)-'계산 과정'!$E$39*'계산 과정'!$E$32)/J318,"")</x:f>
        <x:v>0.6586559798679967</x:v>
      </x:c>
      <x:c r="M318" s="17" t="n">
        <x:f>IF('계산 과정'!$L$6,IF(J318&lt;=0,0,IF(AND(ABS(K318)&lt;='계산 과정'!$D$11/2,ABS(L318)&lt;='계산 과정'!$D$12/2),1,0)),"")</x:f>
        <x:v>1</x:v>
      </x:c>
      <x:c r="N318" s="17" t="n">
        <x:f>IF('계산 과정'!$C$78,IF(AND(ISNUMBER(H318),ISNUMBER(I318),ABS(H318-'계산 과정'!$C$88)&lt;='계산 과정'!$D$23/2,ABS(I318-'계산 과정'!$C$89)&lt;='계산 과정'!$D$24/2),1,0),"")</x:f>
        <x:v>1</x:v>
      </x:c>
      <x:c r="O318" s="4" t="n">
        <x:f>IF('계산 과정'!$L$7,'계산 과정'!$C$49*('계산 과정'!$C$32-D318)+'계산 과정'!$D$49*('계산 과정'!$D$32-E318)+'계산 과정'!$E$49*'계산 과정'!$E$32,"")</x:f>
        <x:v>19.180953216517764</x:v>
      </x:c>
      <x:c r="P318" s="4" t="n">
        <x:f>IF(AND('계산 과정'!$L$7,O318&lt;&gt;0),('계산 과정'!$L$23-'계산 과정'!$C$49*D318-'계산 과정'!$D$49*E318)/O318,"")</x:f>
        <x:v>21.85402093862249</x:v>
      </x:c>
      <x:c r="Q318" s="4" t="str">
        <x:f>IF(AND(ISNUMBER(P318),P318&gt;1E-9,P318&lt;1-1E-9),'계산 과정'!$C$47*(D318-'계산 과정'!$C$50+P318*('계산 과정'!$C$32-D318))+'계산 과정'!$D$47*(E318-'계산 과정'!$D$50+P318*('계산 과정'!$D$32-E318))+'계산 과정'!$E$47*(0-'계산 과정'!$E$50+P318*('계산 과정'!$E$32-0)),"")</x:f>
      </x:c>
      <x:c r="R318" s="4" t="str">
        <x:f>IF(AND(ISNUMBER(P318),P318&gt;1E-9,P318&lt;1-1E-9),'계산 과정'!$C$48*(D318-'계산 과정'!$C$50+P318*('계산 과정'!$C$32-D318))+'계산 과정'!$D$48*(E318-'계산 과정'!$D$50+P318*('계산 과정'!$D$32-E318))+'계산 과정'!$E$48*(0-'계산 과정'!$E$50+P318*('계산 과정'!$E$32-0)),"")</x:f>
      </x:c>
      <x:c r="S318" s="17" t="n">
        <x:f>IF('계산 과정'!$C$78,IF(AND(ISNUMBER(Q318),ISNUMBER(R318),ABS(Q318-'계산 과정'!$C$88)&lt;='계산 과정'!$D$23/2,ABS(R318-'계산 과정'!$C$89)&lt;='계산 과정'!$D$24/2),1,0),"")</x:f>
        <x:v>0</x:v>
      </x:c>
      <x:c r="T318" s="4"/>
      <x:c r="U318" s="4"/>
      <x:c r="V318" s="4"/>
      <x:c r="W318" s="4" t="n">
        <x:f>IF('계산 과정'!$C$78,'계산 과정'!$C$88+1*'계산 과정'!$D$23/2,"")</x:f>
        <x:v>288.723404255319</x:v>
      </x:c>
      <x:c r="X318" s="4" t="str">
        <x:f>""</x:f>
      </x:c>
      <x:c r="Y318" s="4" t="n">
        <x:f>IF('계산 과정'!$C$78,'계산 과정'!$C$89+-0.16000000000000003*'계산 과정'!$D$24/2,"")</x:f>
        <x:v>-41.60000000000001</x:v>
      </x:c>
      <x:c r="Z318" s="4" t="str">
        <x:f>""</x:f>
      </x:c>
    </x:row>
    <x:row r="319" ht="23" customHeight="1">
      <x:c r="A319" s="17" t="n">
        <x:f>ROW()-6</x:f>
        <x:v>313</x:v>
      </x:c>
      <x:c r="B319" s="4" t="n">
        <x:f>IF('계산 과정'!$L$5,'계산 과정'!$L$11*SQRT((A319+0.5)/'계산 과정'!$L$30),"")</x:f>
        <x:v>58.68742511976054</x:v>
      </x:c>
      <x:c r="C319" s="4" t="n">
        <x:f>A319*PI()*(3-SQRT(5))</x:f>
        <x:v>751.1884909050683</x:v>
      </x:c>
      <x:c r="D319" s="4" t="n">
        <x:f>IF('계산 과정'!$L$5,B319*COS(C319),"")</x:f>
        <x:v>-55.17257051572246</x:v>
      </x:c>
      <x:c r="E319" s="4" t="n">
        <x:f>IF('계산 과정'!$L$5,B319*SIN(C319),"")</x:f>
        <x:v>-20.005032613698322</x:v>
      </x:c>
      <x:c r="F319" s="4" t="n">
        <x:f>IF('계산 과정'!$L$7,'계산 과정'!$L$22+'계산 과정'!$C$49*D319+'계산 과정'!$D$49*E319,"")</x:f>
        <x:v>689.0128987471603</x:v>
      </x:c>
      <x:c r="G319" s="4" t="n">
        <x:f>IF('계산 과정'!$L$7,IF(ABS(F319)&gt;=1E-12*MAX(1,SQRT((D319-'계산 과정'!$C$33)^2+(E319-'계산 과정'!$D$33)^2+'계산 과정'!$E$33^2)),('계산 과정'!$L$23-'계산 과정'!$C$49*D319-'계산 과정'!$D$49*E319)/F319,""),"")</x:f>
        <x:v>0.5239192211194108</x:v>
      </x:c>
      <x:c r="H319" s="4" t="n">
        <x:f>IF(AND(ISNUMBER(G319),G319&gt;0),('계산 과정'!$D$56+'계산 과정'!$D$57*D319+'계산 과정'!$D$58*E319)/F319,"")</x:f>
        <x:v>-59.45250627238312</x:v>
      </x:c>
      <x:c r="I319" s="4" t="n">
        <x:f>IF(AND(ISNUMBER(G319),G319&gt;0),('계산 과정'!$E$56+'계산 과정'!$E$57*D319+'계산 과정'!$E$58*E319)/F319,"")</x:f>
        <x:v>-30.48605371913556</x:v>
      </x:c>
      <x:c r="J319" s="4" t="n">
        <x:f>IF('계산 과정'!$L$5,'계산 과정'!$D$6+'계산 과정'!$C$35*D319+'계산 과정'!$D$35*E319,"")</x:f>
        <x:v>689.0128987471603</x:v>
      </x:c>
      <x:c r="K319" s="4" t="n">
        <x:f>IF(AND('계산 과정'!$L$6,J319&gt;0),'계산 과정'!$D$10*('계산 과정'!$C$38*(D319-'계산 과정'!$C$32)+'계산 과정'!$D$38*(E319-'계산 과정'!$D$32)-'계산 과정'!$E$38*'계산 과정'!$E$32)/J319,"")</x:f>
        <x:v>-0.45297147636101315</x:v>
      </x:c>
      <x:c r="L319" s="4" t="n">
        <x:f>IF(AND('계산 과정'!$L$6,J319&gt;0),'계산 과정'!$D$10*('계산 과정'!$C$39*(D319-'계산 과정'!$C$32)+'계산 과정'!$D$39*(E319-'계산 과정'!$D$32)-'계산 과정'!$E$39*'계산 과정'!$E$32)/J319,"")</x:f>
        <x:v>-0.2322746950029376</x:v>
      </x:c>
      <x:c r="M319" s="17" t="n">
        <x:f>IF('계산 과정'!$L$6,IF(J319&lt;=0,0,IF(AND(ABS(K319)&lt;='계산 과정'!$D$11/2,ABS(L319)&lt;='계산 과정'!$D$12/2),1,0)),"")</x:f>
        <x:v>1</x:v>
      </x:c>
      <x:c r="N319" s="17" t="n">
        <x:f>IF('계산 과정'!$C$78,IF(AND(ISNUMBER(H319),ISNUMBER(I319),ABS(H319-'계산 과정'!$C$88)&lt;='계산 과정'!$D$23/2,ABS(I319-'계산 과정'!$C$89)&lt;='계산 과정'!$D$24/2),1,0),"")</x:f>
        <x:v>1</x:v>
      </x:c>
      <x:c r="O319" s="4" t="n">
        <x:f>IF('계산 과정'!$L$7,'계산 과정'!$C$49*('계산 과정'!$C$32-D319)+'계산 과정'!$D$49*('계산 과정'!$D$32-E319)+'계산 과정'!$E$49*'계산 과정'!$E$32,"")</x:f>
        <x:v>-39.01289874716019</x:v>
      </x:c>
      <x:c r="P319" s="4" t="n">
        <x:f>IF(AND('계산 과정'!$L$7,O319&lt;&gt;0),('계산 과정'!$L$23-'계산 과정'!$C$49*D319-'계산 과정'!$D$49*E319)/O319,"")</x:f>
        <x:v>-9.253019202504568</x:v>
      </x:c>
      <x:c r="Q319" s="4" t="str">
        <x:f>IF(AND(ISNUMBER(P319),P319&gt;1E-9,P319&lt;1-1E-9),'계산 과정'!$C$47*(D319-'계산 과정'!$C$50+P319*('계산 과정'!$C$32-D319))+'계산 과정'!$D$47*(E319-'계산 과정'!$D$50+P319*('계산 과정'!$D$32-E319))+'계산 과정'!$E$47*(0-'계산 과정'!$E$50+P319*('계산 과정'!$E$32-0)),"")</x:f>
      </x:c>
      <x:c r="R319" s="4" t="str">
        <x:f>IF(AND(ISNUMBER(P319),P319&gt;1E-9,P319&lt;1-1E-9),'계산 과정'!$C$48*(D319-'계산 과정'!$C$50+P319*('계산 과정'!$C$32-D319))+'계산 과정'!$D$48*(E319-'계산 과정'!$D$50+P319*('계산 과정'!$D$32-E319))+'계산 과정'!$E$48*(0-'계산 과정'!$E$50+P319*('계산 과정'!$E$32-0)),"")</x:f>
      </x:c>
      <x:c r="S319" s="17" t="n">
        <x:f>IF('계산 과정'!$C$78,IF(AND(ISNUMBER(Q319),ISNUMBER(R319),ABS(Q319-'계산 과정'!$C$88)&lt;='계산 과정'!$D$23/2,ABS(R319-'계산 과정'!$C$89)&lt;='계산 과정'!$D$24/2),1,0),"")</x:f>
        <x:v>0</x:v>
      </x:c>
      <x:c r="T319" s="4"/>
      <x:c r="U319" s="4"/>
      <x:c r="V319" s="4"/>
      <x:c r="W319" s="4" t="n">
        <x:f>IF('계산 과정'!$C$78,'계산 과정'!$C$88+1*'계산 과정'!$D$23/2,"")</x:f>
        <x:v>288.723404255319</x:v>
      </x:c>
      <x:c r="X319" s="4" t="str">
        <x:f>""</x:f>
      </x:c>
      <x:c r="Y319" s="4" t="n">
        <x:f>IF('계산 과정'!$C$78,'계산 과정'!$C$89+-0.12*'계산 과정'!$D$24/2,"")</x:f>
        <x:v>-31.2</x:v>
      </x:c>
      <x:c r="Z319" s="4" t="str">
        <x:f>""</x:f>
      </x:c>
    </x:row>
    <x:row r="320" ht="23" customHeight="1">
      <x:c r="A320" s="17" t="n">
        <x:f>ROW()-6</x:f>
        <x:v>314</x:v>
      </x:c>
      <x:c r="B320" s="4" t="n">
        <x:f>IF('계산 과정'!$L$5,'계산 과정'!$L$11*SQRT((A320+0.5)/'계산 과정'!$L$30),"")</x:f>
        <x:v>58.78095095617712</x:v>
      </x:c>
      <x:c r="C320" s="4" t="n">
        <x:f>A320*PI()*(3-SQRT(5))</x:f>
        <x:v>753.588454134797</x:v>
      </x:c>
      <x:c r="D320" s="4" t="n">
        <x:f>IF('계산 과정'!$L$5,B320*COS(C320),"")</x:f>
        <x:v>54.28210955960405</x:v>
      </x:c>
      <x:c r="E320" s="4" t="n">
        <x:f>IF('계산 과정'!$L$5,B320*SIN(C320),"")</x:f>
        <x:v>-22.55333183970037</x:v>
      </x:c>
      <x:c r="F320" s="4" t="n">
        <x:f>IF('계산 과정'!$L$7,'계산 과정'!$L$22+'계산 과정'!$C$49*D320+'계산 과정'!$D$49*E320,"")</x:f>
        <x:v>611.6167522332929</x:v>
      </x:c>
      <x:c r="G320" s="4" t="n">
        <x:f>IF('계산 과정'!$L$7,IF(ABS(F320)&gt;=1E-12*MAX(1,SQRT((D320-'계산 과정'!$C$33)^2+(E320-'계산 과정'!$D$33)^2+'계산 과정'!$E$33^2)),('계산 과정'!$L$23-'계산 과정'!$C$49*D320-'계산 과정'!$D$49*E320)/F320,""),"")</x:f>
        <x:v>0.7167613479617245</x:v>
      </x:c>
      <x:c r="H320" s="4" t="n">
        <x:f>IF(AND(ISNUMBER(G320),G320&gt;0),('계산 과정'!$D$56+'계산 과정'!$D$57*D320+'계산 과정'!$D$58*E320)/F320,"")</x:f>
        <x:v>65.8948761751209</x:v>
      </x:c>
      <x:c r="I320" s="4" t="n">
        <x:f>IF(AND(ISNUMBER(G320),G320&gt;0),('계산 과정'!$E$56+'계산 과정'!$E$57*D320+'계산 과정'!$E$58*E320)/F320,"")</x:f>
        <x:v>-38.71868837015209</x:v>
      </x:c>
      <x:c r="J320" s="4" t="n">
        <x:f>IF('계산 과정'!$L$5,'계산 과정'!$D$6+'계산 과정'!$C$35*D320+'계산 과정'!$D$35*E320,"")</x:f>
        <x:v>611.6167522332929</x:v>
      </x:c>
      <x:c r="K320" s="4" t="n">
        <x:f>IF(AND('계산 과정'!$L$6,J320&gt;0),'계산 과정'!$D$10*('계산 과정'!$C$38*(D320-'계산 과정'!$C$32)+'계산 과정'!$D$38*(E320-'계산 과정'!$D$32)-'계산 과정'!$E$38*'계산 과정'!$E$32)/J320,"")</x:f>
        <x:v>0.5020561994294934</x:v>
      </x:c>
      <x:c r="L320" s="4" t="n">
        <x:f>IF(AND('계산 과정'!$L$6,J320&gt;0),'계산 과정'!$D$10*('계산 과정'!$C$39*(D320-'계산 과정'!$C$32)+'계산 과정'!$D$39*(E320-'계산 과정'!$D$32)-'계산 과정'!$E$39*'계산 과정'!$E$32)/J320,"")</x:f>
        <x:v>-0.294999530439254</x:v>
      </x:c>
      <x:c r="M320" s="17" t="n">
        <x:f>IF('계산 과정'!$L$6,IF(J320&lt;=0,0,IF(AND(ABS(K320)&lt;='계산 과정'!$D$11/2,ABS(L320)&lt;='계산 과정'!$D$12/2),1,0)),"")</x:f>
        <x:v>1</x:v>
      </x:c>
      <x:c r="N320" s="17" t="n">
        <x:f>IF('계산 과정'!$C$78,IF(AND(ISNUMBER(H320),ISNUMBER(I320),ABS(H320-'계산 과정'!$C$88)&lt;='계산 과정'!$D$23/2,ABS(I320-'계산 과정'!$C$89)&lt;='계산 과정'!$D$24/2),1,0),"")</x:f>
        <x:v>1</x:v>
      </x:c>
      <x:c r="O320" s="4" t="n">
        <x:f>IF('계산 과정'!$L$7,'계산 과정'!$C$49*('계산 과정'!$C$32-D320)+'계산 과정'!$D$49*('계산 과정'!$D$32-E320)+'계산 과정'!$E$49*'계산 과정'!$E$32,"")</x:f>
        <x:v>38.38324776670726</x:v>
      </x:c>
      <x:c r="P320" s="4" t="n">
        <x:f>IF(AND('계산 과정'!$L$7,O320&lt;&gt;0),('계산 과정'!$L$23-'계산 과정'!$C$49*D320-'계산 과정'!$D$49*E320)/O320,"")</x:f>
        <x:v>11.421212984143324</x:v>
      </x:c>
      <x:c r="Q320" s="4" t="str">
        <x:f>IF(AND(ISNUMBER(P320),P320&gt;1E-9,P320&lt;1-1E-9),'계산 과정'!$C$47*(D320-'계산 과정'!$C$50+P320*('계산 과정'!$C$32-D320))+'계산 과정'!$D$47*(E320-'계산 과정'!$D$50+P320*('계산 과정'!$D$32-E320))+'계산 과정'!$E$47*(0-'계산 과정'!$E$50+P320*('계산 과정'!$E$32-0)),"")</x:f>
      </x:c>
      <x:c r="R320" s="4" t="str">
        <x:f>IF(AND(ISNUMBER(P320),P320&gt;1E-9,P320&lt;1-1E-9),'계산 과정'!$C$48*(D320-'계산 과정'!$C$50+P320*('계산 과정'!$C$32-D320))+'계산 과정'!$D$48*(E320-'계산 과정'!$D$50+P320*('계산 과정'!$D$32-E320))+'계산 과정'!$E$48*(0-'계산 과정'!$E$50+P320*('계산 과정'!$E$32-0)),"")</x:f>
      </x:c>
      <x:c r="S320" s="17" t="n">
        <x:f>IF('계산 과정'!$C$78,IF(AND(ISNUMBER(Q320),ISNUMBER(R320),ABS(Q320-'계산 과정'!$C$88)&lt;='계산 과정'!$D$23/2,ABS(R320-'계산 과정'!$C$89)&lt;='계산 과정'!$D$24/2),1,0),"")</x:f>
        <x:v>0</x:v>
      </x:c>
      <x:c r="T320" s="4"/>
      <x:c r="U320" s="4"/>
      <x:c r="V320" s="4"/>
      <x:c r="W320" s="4" t="n">
        <x:f>IF('계산 과정'!$C$78,'계산 과정'!$C$88+1*'계산 과정'!$D$23/2,"")</x:f>
        <x:v>288.723404255319</x:v>
      </x:c>
      <x:c r="X320" s="4" t="str">
        <x:f>""</x:f>
      </x:c>
      <x:c r="Y320" s="4" t="n">
        <x:f>IF('계산 과정'!$C$78,'계산 과정'!$C$89+-0.07999999999999996*'계산 과정'!$D$24/2,"")</x:f>
        <x:v>-20.79999999999999</x:v>
      </x:c>
      <x:c r="Z320" s="4" t="str">
        <x:f>""</x:f>
      </x:c>
    </x:row>
    <x:row r="321" ht="23" customHeight="1">
      <x:c r="A321" s="17" t="n">
        <x:f>ROW()-6</x:f>
        <x:v>315</x:v>
      </x:c>
      <x:c r="B321" s="4" t="n">
        <x:f>IF('계산 과정'!$L$5,'계산 과정'!$L$11*SQRT((A321+0.5)/'계산 과정'!$L$30),"")</x:f>
        <x:v>58.874328220689705</x:v>
      </x:c>
      <x:c r="C321" s="4" t="n">
        <x:f>A321*PI()*(3-SQRT(5))</x:f>
        <x:v>755.9884173645257</x:v>
      </x:c>
      <x:c r="D321" s="4" t="n">
        <x:f>IF('계산 과정'!$L$5,B321*COS(C321),"")</x:f>
        <x:v>-24.83076414477092</x:v>
      </x:c>
      <x:c r="E321" s="4" t="n">
        <x:f>IF('계산 과정'!$L$5,B321*SIN(C321),"")</x:f>
        <x:v>53.381829075297325</x:v>
      </x:c>
      <x:c r="F321" s="4" t="n">
        <x:f>IF('계산 과정'!$L$7,'계산 과정'!$L$22+'계산 과정'!$C$49*D321+'계산 과정'!$D$49*E321,"")</x:f>
        <x:v>667.5580017088113</x:v>
      </x:c>
      <x:c r="G321" s="4" t="n">
        <x:f>IF('계산 과정'!$L$7,IF(ABS(F321)&gt;=1E-12*MAX(1,SQRT((D321-'계산 과정'!$C$33)^2+(E321-'계산 과정'!$D$33)^2+'계산 과정'!$E$33^2)),('계산 과정'!$L$23-'계산 과정'!$C$49*D321-'계산 과정'!$D$49*E321)/F321,""),"")</x:f>
        <x:v>0.5728970326356898</x:v>
      </x:c>
      <x:c r="H321" s="4" t="n">
        <x:f>IF(AND(ISNUMBER(G321),G321&gt;0),('계산 과정'!$D$56+'계산 과정'!$D$57*D321+'계산 과정'!$D$58*E321)/F321,"")</x:f>
        <x:v>-27.616928786801786</x:v>
      </x:c>
      <x:c r="I321" s="4" t="n">
        <x:f>IF(AND(ISNUMBER(G321),G321&gt;0),('계산 과정'!$E$56+'계산 과정'!$E$57*D321+'계산 과정'!$E$58*E321)/F321,"")</x:f>
        <x:v>83.96412054920076</x:v>
      </x:c>
      <x:c r="J321" s="4" t="n">
        <x:f>IF('계산 과정'!$L$5,'계산 과정'!$D$6+'계산 과정'!$C$35*D321+'계산 과정'!$D$35*E321,"")</x:f>
        <x:v>667.5580017088113</x:v>
      </x:c>
      <x:c r="K321" s="4" t="n">
        <x:f>IF(AND('계산 과정'!$L$6,J321&gt;0),'계산 과정'!$D$10*('계산 과정'!$C$38*(D321-'계산 과정'!$C$32)+'계산 과정'!$D$38*(E321-'계산 과정'!$D$32)-'계산 과정'!$E$38*'계산 과정'!$E$32)/J321,"")</x:f>
        <x:v>-0.21041469551848857</x:v>
      </x:c>
      <x:c r="L321" s="4" t="n">
        <x:f>IF(AND('계산 과정'!$L$6,J321&gt;0),'계산 과정'!$D$10*('계산 과정'!$C$39*(D321-'계산 과정'!$C$32)+'계산 과정'!$D$39*(E321-'계산 과정'!$D$32)-'계산 과정'!$E$39*'계산 과정'!$E$32)/J321,"")</x:f>
        <x:v>0.6397266327558152</x:v>
      </x:c>
      <x:c r="M321" s="17" t="n">
        <x:f>IF('계산 과정'!$L$6,IF(J321&lt;=0,0,IF(AND(ABS(K321)&lt;='계산 과정'!$D$11/2,ABS(L321)&lt;='계산 과정'!$D$12/2),1,0)),"")</x:f>
        <x:v>1</x:v>
      </x:c>
      <x:c r="N321" s="17" t="n">
        <x:f>IF('계산 과정'!$C$78,IF(AND(ISNUMBER(H321),ISNUMBER(I321),ABS(H321-'계산 과정'!$C$88)&lt;='계산 과정'!$D$23/2,ABS(I321-'계산 과정'!$C$89)&lt;='계산 과정'!$D$24/2),1,0),"")</x:f>
        <x:v>1</x:v>
      </x:c>
      <x:c r="O321" s="4" t="n">
        <x:f>IF('계산 과정'!$L$7,'계산 과정'!$C$49*('계산 과정'!$C$32-D321)+'계산 과정'!$D$49*('계산 과정'!$D$32-E321)+'계산 과정'!$E$49*'계산 과정'!$E$32,"")</x:f>
        <x:v>-17.55800170881116</x:v>
      </x:c>
      <x:c r="P321" s="4" t="n">
        <x:f>IF(AND('계산 과정'!$L$7,O321&lt;&gt;0),('계산 과정'!$L$23-'계산 과정'!$C$49*D321-'계산 과정'!$D$49*E321)/O321,"")</x:f>
        <x:v>-21.781635782576966</x:v>
      </x:c>
      <x:c r="Q321" s="4" t="str">
        <x:f>IF(AND(ISNUMBER(P321),P321&gt;1E-9,P321&lt;1-1E-9),'계산 과정'!$C$47*(D321-'계산 과정'!$C$50+P321*('계산 과정'!$C$32-D321))+'계산 과정'!$D$47*(E321-'계산 과정'!$D$50+P321*('계산 과정'!$D$32-E321))+'계산 과정'!$E$47*(0-'계산 과정'!$E$50+P321*('계산 과정'!$E$32-0)),"")</x:f>
      </x:c>
      <x:c r="R321" s="4" t="str">
        <x:f>IF(AND(ISNUMBER(P321),P321&gt;1E-9,P321&lt;1-1E-9),'계산 과정'!$C$48*(D321-'계산 과정'!$C$50+P321*('계산 과정'!$C$32-D321))+'계산 과정'!$D$48*(E321-'계산 과정'!$D$50+P321*('계산 과정'!$D$32-E321))+'계산 과정'!$E$48*(0-'계산 과정'!$E$50+P321*('계산 과정'!$E$32-0)),"")</x:f>
      </x:c>
      <x:c r="S321" s="17" t="n">
        <x:f>IF('계산 과정'!$C$78,IF(AND(ISNUMBER(Q321),ISNUMBER(R321),ABS(Q321-'계산 과정'!$C$88)&lt;='계산 과정'!$D$23/2,ABS(R321-'계산 과정'!$C$89)&lt;='계산 과정'!$D$24/2),1,0),"")</x:f>
        <x:v>0</x:v>
      </x:c>
      <x:c r="T321" s="4"/>
      <x:c r="U321" s="4"/>
      <x:c r="V321" s="4"/>
      <x:c r="W321" s="4" t="n">
        <x:f>IF('계산 과정'!$C$78,'계산 과정'!$C$88+1*'계산 과정'!$D$23/2,"")</x:f>
        <x:v>288.723404255319</x:v>
      </x:c>
      <x:c r="X321" s="4" t="str">
        <x:f>""</x:f>
      </x:c>
      <x:c r="Y321" s="4" t="n">
        <x:f>IF('계산 과정'!$C$78,'계산 과정'!$C$89+-0.040000000000000036*'계산 과정'!$D$24/2,"")</x:f>
        <x:v>-10.40000000000001</x:v>
      </x:c>
      <x:c r="Z321" s="4" t="str">
        <x:f>""</x:f>
      </x:c>
    </x:row>
    <x:row r="322" ht="23" customHeight="1">
      <x:c r="A322" s="17" t="n">
        <x:f>ROW()-6</x:f>
        <x:v>316</x:v>
      </x:c>
      <x:c r="B322" s="4" t="n">
        <x:f>IF('계산 과정'!$L$5,'계산 과정'!$L$11*SQRT((A322+0.5)/'계산 과정'!$L$30),"")</x:f>
        <x:v>58.96755761910527</x:v>
      </x:c>
      <x:c r="C322" s="4" t="n">
        <x:f>A322*PI()*(3-SQRT(5))</x:f>
        <x:v>758.3883805942544</x:v>
      </x:c>
      <x:c r="D322" s="4" t="n">
        <x:f>IF('계산 과정'!$L$5,B322*COS(C322),"")</x:f>
        <x:v>-17.777581596986643</x:v>
      </x:c>
      <x:c r="E322" s="4" t="n">
        <x:f>IF('계산 과정'!$L$5,B322*SIN(C322),"")</x:f>
        <x:v>-56.22393124039782</x:v>
      </x:c>
      <x:c r="F322" s="4" t="n">
        <x:f>IF('계산 과정'!$L$7,'계산 과정'!$L$22+'계산 과정'!$C$49*D322+'계산 과정'!$D$49*E322,"")</x:f>
        <x:v>662.5706485003265</x:v>
      </x:c>
      <x:c r="G322" s="4" t="n">
        <x:f>IF('계산 과정'!$L$7,IF(ABS(F322)&gt;=1E-12*MAX(1,SQRT((D322-'계산 과정'!$C$33)^2+(E322-'계산 과정'!$D$33)^2+'계산 과정'!$E$33^2)),('계산 과정'!$L$23-'계산 과정'!$C$49*D322-'계산 과정'!$D$49*E322)/F322,""),"")</x:f>
        <x:v>0.5847366652546225</x:v>
      </x:c>
      <x:c r="H322" s="4" t="n">
        <x:f>IF(AND(ISNUMBER(G322),G322&gt;0),('계산 과정'!$D$56+'계산 과정'!$D$57*D322+'계산 과정'!$D$58*E322)/F322,"")</x:f>
        <x:v>-19.921167584495443</x:v>
      </x:c>
      <x:c r="I322" s="4" t="n">
        <x:f>IF(AND(ISNUMBER(G322),G322&gt;0),('계산 과정'!$E$56+'계산 과정'!$E$57*D322+'계산 과정'!$E$58*E322)/F322,"")</x:f>
        <x:v>-89.10012530141323</x:v>
      </x:c>
      <x:c r="J322" s="4" t="n">
        <x:f>IF('계산 과정'!$L$5,'계산 과정'!$D$6+'계산 과정'!$C$35*D322+'계산 과정'!$D$35*E322,"")</x:f>
        <x:v>662.5706485003265</x:v>
      </x:c>
      <x:c r="K322" s="4" t="n">
        <x:f>IF(AND('계산 과정'!$L$6,J322&gt;0),'계산 과정'!$D$10*('계산 과정'!$C$38*(D322-'계산 과정'!$C$32)+'계산 과정'!$D$38*(E322-'계산 과정'!$D$32)-'계산 과정'!$E$38*'계산 과정'!$E$32)/J322,"")</x:f>
        <x:v>-0.15178032445329737</x:v>
      </x:c>
      <x:c r="L322" s="4" t="n">
        <x:f>IF(AND('계산 과정'!$L$6,J322&gt;0),'계산 과정'!$D$10*('계산 과정'!$C$39*(D322-'계산 과정'!$C$32)+'계산 과정'!$D$39*(E322-'계산 과정'!$D$32)-'계산 과정'!$E$39*'계산 과정'!$E$32)/J322,"")</x:f>
        <x:v>-0.6788580975345769</x:v>
      </x:c>
      <x:c r="M322" s="17" t="n">
        <x:f>IF('계산 과정'!$L$6,IF(J322&lt;=0,0,IF(AND(ABS(K322)&lt;='계산 과정'!$D$11/2,ABS(L322)&lt;='계산 과정'!$D$12/2),1,0)),"")</x:f>
        <x:v>1</x:v>
      </x:c>
      <x:c r="N322" s="17" t="n">
        <x:f>IF('계산 과정'!$C$78,IF(AND(ISNUMBER(H322),ISNUMBER(I322),ABS(H322-'계산 과정'!$C$88)&lt;='계산 과정'!$D$23/2,ABS(I322-'계산 과정'!$C$89)&lt;='계산 과정'!$D$24/2),1,0),"")</x:f>
        <x:v>1</x:v>
      </x:c>
      <x:c r="O322" s="4" t="n">
        <x:f>IF('계산 과정'!$L$7,'계산 과정'!$C$49*('계산 과정'!$C$32-D322)+'계산 과정'!$D$49*('계산 과정'!$D$32-E322)+'계산 과정'!$E$49*'계산 과정'!$E$32,"")</x:f>
        <x:v>-12.570648500326286</x:v>
      </x:c>
      <x:c r="P322" s="4" t="n">
        <x:f>IF(AND('계산 과정'!$L$7,O322&lt;&gt;0),('계산 과정'!$L$23-'계산 과정'!$C$49*D322-'계산 과정'!$D$49*E322)/O322,"")</x:f>
        <x:v>-30.820156294213252</x:v>
      </x:c>
      <x:c r="Q322" s="4" t="str">
        <x:f>IF(AND(ISNUMBER(P322),P322&gt;1E-9,P322&lt;1-1E-9),'계산 과정'!$C$47*(D322-'계산 과정'!$C$50+P322*('계산 과정'!$C$32-D322))+'계산 과정'!$D$47*(E322-'계산 과정'!$D$50+P322*('계산 과정'!$D$32-E322))+'계산 과정'!$E$47*(0-'계산 과정'!$E$50+P322*('계산 과정'!$E$32-0)),"")</x:f>
      </x:c>
      <x:c r="R322" s="4" t="str">
        <x:f>IF(AND(ISNUMBER(P322),P322&gt;1E-9,P322&lt;1-1E-9),'계산 과정'!$C$48*(D322-'계산 과정'!$C$50+P322*('계산 과정'!$C$32-D322))+'계산 과정'!$D$48*(E322-'계산 과정'!$D$50+P322*('계산 과정'!$D$32-E322))+'계산 과정'!$E$48*(0-'계산 과정'!$E$50+P322*('계산 과정'!$E$32-0)),"")</x:f>
      </x:c>
      <x:c r="S322" s="17" t="n">
        <x:f>IF('계산 과정'!$C$78,IF(AND(ISNUMBER(Q322),ISNUMBER(R322),ABS(Q322-'계산 과정'!$C$88)&lt;='계산 과정'!$D$23/2,ABS(R322-'계산 과정'!$C$89)&lt;='계산 과정'!$D$24/2),1,0),"")</x:f>
        <x:v>0</x:v>
      </x:c>
      <x:c r="T322" s="4"/>
      <x:c r="U322" s="4"/>
      <x:c r="V322" s="4"/>
      <x:c r="W322" s="4" t="n">
        <x:f>IF('계산 과정'!$C$78,'계산 과정'!$C$88+1*'계산 과정'!$D$23/2,"")</x:f>
        <x:v>288.723404255319</x:v>
      </x:c>
      <x:c r="X322" s="4" t="str">
        <x:f>""</x:f>
      </x:c>
      <x:c r="Y322" s="4" t="n">
        <x:f>IF('계산 과정'!$C$78,'계산 과정'!$C$89+0*'계산 과정'!$D$24/2,"")</x:f>
        <x:v>0</x:v>
      </x:c>
      <x:c r="Z322" s="4" t="str">
        <x:f>""</x:f>
      </x:c>
    </x:row>
    <x:row r="323" ht="23" customHeight="1">
      <x:c r="A323" s="17" t="n">
        <x:f>ROW()-6</x:f>
        <x:v>317</x:v>
      </x:c>
      <x:c r="B323" s="4" t="n">
        <x:f>IF('계산 과정'!$L$5,'계산 과정'!$L$11*SQRT((A323+0.5)/'계산 과정'!$L$30),"")</x:f>
        <x:v>59.060639851660085</x:v>
      </x:c>
      <x:c r="C323" s="4" t="n">
        <x:f>A323*PI()*(3-SQRT(5))</x:f>
        <x:v>760.788343823983</x:v>
      </x:c>
      <x:c r="D323" s="4" t="n">
        <x:f>IF('계산 과정'!$L$5,B323*COS(C323),"")</x:f>
        <x:v>51.167998328719634</x:v>
      </x:c>
      <x:c r="E323" s="4" t="n">
        <x:f>IF('계산 과정'!$L$5,B323*SIN(C323),"")</x:f>
        <x:v>29.495679797550753</x:v>
      </x:c>
      <x:c r="F323" s="4" t="n">
        <x:f>IF('계산 과정'!$L$7,'계산 과정'!$L$22+'계산 과정'!$C$49*D323+'계산 과정'!$D$49*E323,"")</x:f>
        <x:v>613.8187614020204</x:v>
      </x:c>
      <x:c r="G323" s="4" t="n">
        <x:f>IF('계산 과정'!$L$7,IF(ABS(F323)&gt;=1E-12*MAX(1,SQRT((D323-'계산 과정'!$C$33)^2+(E323-'계산 과정'!$D$33)^2+'계산 과정'!$E$33^2)),('계산 과정'!$L$23-'계산 과정'!$C$49*D323-'계산 과정'!$D$49*E323)/F323,""),"")</x:f>
        <x:v>0.7106026502052498</x:v>
      </x:c>
      <x:c r="H323" s="4" t="n">
        <x:f>IF(AND(ISNUMBER(G323),G323&gt;0),('계산 과정'!$D$56+'계산 과정'!$D$57*D323+'계산 과정'!$D$58*E323)/F323,"")</x:f>
        <x:v>61.89172263341225</x:v>
      </x:c>
      <x:c r="I323" s="4" t="n">
        <x:f>IF(AND(ISNUMBER(G323),G323&gt;0),('계산 과정'!$E$56+'계산 과정'!$E$57*D323+'계산 과정'!$E$58*E323)/F323,"")</x:f>
        <x:v>50.45538803129577</x:v>
      </x:c>
      <x:c r="J323" s="4" t="n">
        <x:f>IF('계산 과정'!$L$5,'계산 과정'!$D$6+'계산 과정'!$C$35*D323+'계산 과정'!$D$35*E323,"")</x:f>
        <x:v>613.8187614020204</x:v>
      </x:c>
      <x:c r="K323" s="4" t="n">
        <x:f>IF(AND('계산 과정'!$L$6,J323&gt;0),'계산 과정'!$D$10*('계산 과정'!$C$38*(D323-'계산 과정'!$C$32)+'계산 과정'!$D$38*(E323-'계산 과정'!$D$32)-'계산 과정'!$E$38*'계산 과정'!$E$32)/J323,"")</x:f>
        <x:v>0.47155598196885606</x:v>
      </x:c>
      <x:c r="L323" s="4" t="n">
        <x:f>IF(AND('계산 과정'!$L$6,J323&gt;0),'계산 과정'!$D$10*('계산 과정'!$C$39*(D323-'계산 과정'!$C$32)+'계산 과정'!$D$39*(E323-'계산 과정'!$D$32)-'계산 과정'!$E$39*'계산 과정'!$E$32)/J323,"")</x:f>
        <x:v>0.3844220040479677</x:v>
      </x:c>
      <x:c r="M323" s="17" t="n">
        <x:f>IF('계산 과정'!$L$6,IF(J323&lt;=0,0,IF(AND(ABS(K323)&lt;='계산 과정'!$D$11/2,ABS(L323)&lt;='계산 과정'!$D$12/2),1,0)),"")</x:f>
        <x:v>1</x:v>
      </x:c>
      <x:c r="N323" s="17" t="n">
        <x:f>IF('계산 과정'!$C$78,IF(AND(ISNUMBER(H323),ISNUMBER(I323),ABS(H323-'계산 과정'!$C$88)&lt;='계산 과정'!$D$23/2,ABS(I323-'계산 과정'!$C$89)&lt;='계산 과정'!$D$24/2),1,0),"")</x:f>
        <x:v>1</x:v>
      </x:c>
      <x:c r="O323" s="4" t="n">
        <x:f>IF('계산 과정'!$L$7,'계산 과정'!$C$49*('계산 과정'!$C$32-D323)+'계산 과정'!$D$49*('계산 과정'!$D$32-E323)+'계산 과정'!$E$49*'계산 과정'!$E$32,"")</x:f>
        <x:v>36.1812385979797</x:v>
      </x:c>
      <x:c r="P323" s="4" t="n">
        <x:f>IF(AND('계산 과정'!$L$7,O323&lt;&gt;0),('계산 과정'!$L$23-'계산 과정'!$C$49*D323-'계산 과정'!$D$49*E323)/O323,"")</x:f>
        <x:v>12.055453475336115</x:v>
      </x:c>
      <x:c r="Q323" s="4" t="str">
        <x:f>IF(AND(ISNUMBER(P323),P323&gt;1E-9,P323&lt;1-1E-9),'계산 과정'!$C$47*(D323-'계산 과정'!$C$50+P323*('계산 과정'!$C$32-D323))+'계산 과정'!$D$47*(E323-'계산 과정'!$D$50+P323*('계산 과정'!$D$32-E323))+'계산 과정'!$E$47*(0-'계산 과정'!$E$50+P323*('계산 과정'!$E$32-0)),"")</x:f>
      </x:c>
      <x:c r="R323" s="4" t="str">
        <x:f>IF(AND(ISNUMBER(P323),P323&gt;1E-9,P323&lt;1-1E-9),'계산 과정'!$C$48*(D323-'계산 과정'!$C$50+P323*('계산 과정'!$C$32-D323))+'계산 과정'!$D$48*(E323-'계산 과정'!$D$50+P323*('계산 과정'!$D$32-E323))+'계산 과정'!$E$48*(0-'계산 과정'!$E$50+P323*('계산 과정'!$E$32-0)),"")</x:f>
      </x:c>
      <x:c r="S323" s="17" t="n">
        <x:f>IF('계산 과정'!$C$78,IF(AND(ISNUMBER(Q323),ISNUMBER(R323),ABS(Q323-'계산 과정'!$C$88)&lt;='계산 과정'!$D$23/2,ABS(R323-'계산 과정'!$C$89)&lt;='계산 과정'!$D$24/2),1,0),"")</x:f>
        <x:v>0</x:v>
      </x:c>
      <x:c r="T323" s="4"/>
      <x:c r="U323" s="4"/>
      <x:c r="V323" s="4"/>
      <x:c r="W323" s="4" t="n">
        <x:f>IF('계산 과정'!$C$78,'계산 과정'!$C$88+1*'계산 과정'!$D$23/2,"")</x:f>
        <x:v>288.723404255319</x:v>
      </x:c>
      <x:c r="X323" s="4" t="str">
        <x:f>""</x:f>
      </x:c>
      <x:c r="Y323" s="4" t="n">
        <x:f>IF('계산 과정'!$C$78,'계산 과정'!$C$89+0.040000000000000036*'계산 과정'!$D$24/2,"")</x:f>
        <x:v>10.40000000000001</x:v>
      </x:c>
      <x:c r="Z323" s="4" t="str">
        <x:f>""</x:f>
      </x:c>
    </x:row>
    <x:row r="324" ht="23" customHeight="1">
      <x:c r="A324" s="17" t="n">
        <x:f>ROW()-6</x:f>
        <x:v>318</x:v>
      </x:c>
      <x:c r="B324" s="4" t="n">
        <x:f>IF('계산 과정'!$L$5,'계산 과정'!$L$11*SQRT((A324+0.5)/'계산 과정'!$L$30),"")</x:f>
        <x:v>59.153575613081074</x:v>
      </x:c>
      <x:c r="C324" s="4" t="n">
        <x:f>A324*PI()*(3-SQRT(5))</x:f>
        <x:v>763.1883070537116</x:v>
      </x:c>
      <x:c r="D324" s="4" t="n">
        <x:f>IF('계산 과정'!$L$5,B324*COS(C324),"")</x:f>
        <x:v>-57.74445685202079</x:v>
      </x:c>
      <x:c r="E324" s="4" t="n">
        <x:f>IF('계산 과정'!$L$5,B324*SIN(C324),"")</x:f>
        <x:v>12.834454046729435</x:v>
      </x:c>
      <x:c r="F324" s="4" t="n">
        <x:f>IF('계산 과정'!$L$7,'계산 과정'!$L$22+'계산 과정'!$C$49*D324+'계산 과정'!$D$49*E324,"")</x:f>
        <x:v>690.8314970159979</x:v>
      </x:c>
      <x:c r="G324" s="4" t="n">
        <x:f>IF('계산 과정'!$L$7,IF(ABS(F324)&gt;=1E-12*MAX(1,SQRT((D324-'계산 과정'!$C$33)^2+(E324-'계산 과정'!$D$33)^2+'계산 과정'!$E$33^2)),('계산 과정'!$L$23-'계산 과정'!$C$49*D324-'계산 과정'!$D$49*E324)/F324,""),"")</x:f>
        <x:v>0.5199075382859746</x:v>
      </x:c>
      <x:c r="H324" s="4" t="n">
        <x:f>IF(AND(ISNUMBER(G324),G324&gt;0),('계산 과정'!$D$56+'계산 과정'!$D$57*D324+'계산 과정'!$D$58*E324)/F324,"")</x:f>
        <x:v>-62.06010011411661</x:v>
      </x:c>
      <x:c r="I324" s="4" t="n">
        <x:f>IF(AND(ISNUMBER(G324),G324&gt;0),('계산 과정'!$E$56+'계산 과정'!$E$57*D324+'계산 과정'!$E$58*E324)/F324,"")</x:f>
        <x:v>19.507183455409002</x:v>
      </x:c>
      <x:c r="J324" s="4" t="n">
        <x:f>IF('계산 과정'!$L$5,'계산 과정'!$D$6+'계산 과정'!$C$35*D324+'계산 과정'!$D$35*E324,"")</x:f>
        <x:v>690.8314970159979</x:v>
      </x:c>
      <x:c r="K324" s="4" t="n">
        <x:f>IF(AND('계산 과정'!$L$6,J324&gt;0),'계산 과정'!$D$10*('계산 과정'!$C$38*(D324-'계산 과정'!$C$32)+'계산 과정'!$D$38*(E324-'계산 과정'!$D$32)-'계산 과정'!$E$38*'계산 과정'!$E$32)/J324,"")</x:f>
        <x:v>-0.47283885801231623</x:v>
      </x:c>
      <x:c r="L324" s="4" t="n">
        <x:f>IF(AND('계산 과정'!$L$6,J324&gt;0),'계산 과정'!$D$10*('계산 과정'!$C$39*(D324-'계산 과정'!$C$32)+'계산 과정'!$D$39*(E324-'계산 과정'!$D$32)-'계산 과정'!$E$39*'계산 과정'!$E$32)/J324,"")</x:f>
        <x:v>0.14862615966025905</x:v>
      </x:c>
      <x:c r="M324" s="17" t="n">
        <x:f>IF('계산 과정'!$L$6,IF(J324&lt;=0,0,IF(AND(ABS(K324)&lt;='계산 과정'!$D$11/2,ABS(L324)&lt;='계산 과정'!$D$12/2),1,0)),"")</x:f>
        <x:v>1</x:v>
      </x:c>
      <x:c r="N324" s="17" t="n">
        <x:f>IF('계산 과정'!$C$78,IF(AND(ISNUMBER(H324),ISNUMBER(I324),ABS(H324-'계산 과정'!$C$88)&lt;='계산 과정'!$D$23/2,ABS(I324-'계산 과정'!$C$89)&lt;='계산 과정'!$D$24/2),1,0),"")</x:f>
        <x:v>1</x:v>
      </x:c>
      <x:c r="O324" s="4" t="n">
        <x:f>IF('계산 과정'!$L$7,'계산 과정'!$C$49*('계산 과정'!$C$32-D324)+'계산 과정'!$D$49*('계산 과정'!$D$32-E324)+'계산 과정'!$E$49*'계산 과정'!$E$32,"")</x:f>
        <x:v>-40.8314970159978</x:v>
      </x:c>
      <x:c r="P324" s="4" t="n">
        <x:f>IF(AND('계산 과정'!$L$7,O324&lt;&gt;0),('계산 과정'!$L$23-'계산 과정'!$C$49*D324-'계산 과정'!$D$49*E324)/O324,"")</x:f>
        <x:v>-8.79635891976431</x:v>
      </x:c>
      <x:c r="Q324" s="4" t="str">
        <x:f>IF(AND(ISNUMBER(P324),P324&gt;1E-9,P324&lt;1-1E-9),'계산 과정'!$C$47*(D324-'계산 과정'!$C$50+P324*('계산 과정'!$C$32-D324))+'계산 과정'!$D$47*(E324-'계산 과정'!$D$50+P324*('계산 과정'!$D$32-E324))+'계산 과정'!$E$47*(0-'계산 과정'!$E$50+P324*('계산 과정'!$E$32-0)),"")</x:f>
      </x:c>
      <x:c r="R324" s="4" t="str">
        <x:f>IF(AND(ISNUMBER(P324),P324&gt;1E-9,P324&lt;1-1E-9),'계산 과정'!$C$48*(D324-'계산 과정'!$C$50+P324*('계산 과정'!$C$32-D324))+'계산 과정'!$D$48*(E324-'계산 과정'!$D$50+P324*('계산 과정'!$D$32-E324))+'계산 과정'!$E$48*(0-'계산 과정'!$E$50+P324*('계산 과정'!$E$32-0)),"")</x:f>
      </x:c>
      <x:c r="S324" s="17" t="n">
        <x:f>IF('계산 과정'!$C$78,IF(AND(ISNUMBER(Q324),ISNUMBER(R324),ABS(Q324-'계산 과정'!$C$88)&lt;='계산 과정'!$D$23/2,ABS(R324-'계산 과정'!$C$89)&lt;='계산 과정'!$D$24/2),1,0),"")</x:f>
        <x:v>0</x:v>
      </x:c>
      <x:c r="T324" s="4"/>
      <x:c r="U324" s="4"/>
      <x:c r="V324" s="4"/>
      <x:c r="W324" s="4" t="n">
        <x:f>IF('계산 과정'!$C$78,'계산 과정'!$C$88+1*'계산 과정'!$D$23/2,"")</x:f>
        <x:v>288.723404255319</x:v>
      </x:c>
      <x:c r="X324" s="4" t="str">
        <x:f>""</x:f>
      </x:c>
      <x:c r="Y324" s="4" t="n">
        <x:f>IF('계산 과정'!$C$78,'계산 과정'!$C$89+0.08000000000000007*'계산 과정'!$D$24/2,"")</x:f>
        <x:v>20.80000000000002</x:v>
      </x:c>
      <x:c r="Z324" s="4" t="str">
        <x:f>""</x:f>
      </x:c>
    </x:row>
    <x:row r="325" ht="23" customHeight="1">
      <x:c r="A325" s="17" t="n">
        <x:f>ROW()-6</x:f>
        <x:v>319</x:v>
      </x:c>
      <x:c r="B325" s="4" t="n">
        <x:f>IF('계산 과정'!$L$5,'계산 과정'!$L$11*SQRT((A325+0.5)/'계산 과정'!$L$30),"")</x:f>
        <x:v>59.24636559264628</x:v>
      </x:c>
      <x:c r="C325" s="4" t="n">
        <x:f>A325*PI()*(3-SQRT(5))</x:f>
        <x:v>765.5882702834402</x:v>
      </x:c>
      <x:c r="D325" s="4" t="n">
        <x:f>IF('계산 과정'!$L$5,B325*COS(C325),"")</x:f>
        <x:v>33.96260749733514</x:v>
      </x:c>
      <x:c r="E325" s="4" t="n">
        <x:f>IF('계산 과정'!$L$5,B325*SIN(C325),"")</x:f>
        <x:v>-48.54557784102951</x:v>
      </x:c>
      <x:c r="F325" s="4" t="n">
        <x:f>IF('계산 과정'!$L$7,'계산 과정'!$L$22+'계산 과정'!$C$49*D325+'계산 과정'!$D$49*E325,"")</x:f>
        <x:v>625.9848099318573</x:v>
      </x:c>
      <x:c r="G325" s="4" t="n">
        <x:f>IF('계산 과정'!$L$7,IF(ABS(F325)&gt;=1E-12*MAX(1,SQRT((D325-'계산 과정'!$C$33)^2+(E325-'계산 과정'!$D$33)^2+'계산 과정'!$E$33^2)),('계산 과정'!$L$23-'계산 과정'!$C$49*D325-'계산 과정'!$D$49*E325)/F325,""),"")</x:f>
        <x:v>0.6773569954745383</x:v>
      </x:c>
      <x:c r="H325" s="4" t="n">
        <x:f>IF(AND(ISNUMBER(G325),G325&gt;0),('계산 과정'!$D$56+'계산 과정'!$D$57*D325+'계산 과정'!$D$58*E325)/F325,"")</x:f>
        <x:v>40.282047058449805</x:v>
      </x:c>
      <x:c r="I325" s="4" t="n">
        <x:f>IF(AND(ISNUMBER(G325),G325&gt;0),('계산 과정'!$E$56+'계산 과정'!$E$57*D325+'계산 과정'!$E$58*E325)/F325,"")</x:f>
        <x:v>-81.42826459100458</x:v>
      </x:c>
      <x:c r="J325" s="4" t="n">
        <x:f>IF('계산 과정'!$L$5,'계산 과정'!$D$6+'계산 과정'!$C$35*D325+'계산 과정'!$D$35*E325,"")</x:f>
        <x:v>625.9848099318573</x:v>
      </x:c>
      <x:c r="K325" s="4" t="n">
        <x:f>IF(AND('계산 과정'!$L$6,J325&gt;0),'계산 과정'!$D$10*('계산 과정'!$C$38*(D325-'계산 과정'!$C$32)+'계산 과정'!$D$38*(E325-'계산 과정'!$D$32)-'계산 과정'!$E$38*'계산 과정'!$E$32)/J325,"")</x:f>
        <x:v>0.3069108347310471</x:v>
      </x:c>
      <x:c r="L325" s="4" t="n">
        <x:f>IF(AND('계산 과정'!$L$6,J325&gt;0),'계산 과정'!$D$10*('계산 과정'!$C$39*(D325-'계산 과정'!$C$32)+'계산 과정'!$D$39*(E325-'계산 과정'!$D$32)-'계산 과정'!$E$39*'계산 과정'!$E$32)/J325,"")</x:f>
        <x:v>-0.620405825455273</x:v>
      </x:c>
      <x:c r="M325" s="17" t="n">
        <x:f>IF('계산 과정'!$L$6,IF(J325&lt;=0,0,IF(AND(ABS(K325)&lt;='계산 과정'!$D$11/2,ABS(L325)&lt;='계산 과정'!$D$12/2),1,0)),"")</x:f>
        <x:v>1</x:v>
      </x:c>
      <x:c r="N325" s="17" t="n">
        <x:f>IF('계산 과정'!$C$78,IF(AND(ISNUMBER(H325),ISNUMBER(I325),ABS(H325-'계산 과정'!$C$88)&lt;='계산 과정'!$D$23/2,ABS(I325-'계산 과정'!$C$89)&lt;='계산 과정'!$D$24/2),1,0),"")</x:f>
        <x:v>1</x:v>
      </x:c>
      <x:c r="O325" s="4" t="n">
        <x:f>IF('계산 과정'!$L$7,'계산 과정'!$C$49*('계산 과정'!$C$32-D325)+'계산 과정'!$D$49*('계산 과정'!$D$32-E325)+'계산 과정'!$E$49*'계산 과정'!$E$32,"")</x:f>
        <x:v>24.015190068142886</x:v>
      </x:c>
      <x:c r="P325" s="4" t="n">
        <x:f>IF(AND('계산 과정'!$L$7,O325&lt;&gt;0),('계산 과정'!$L$23-'계산 과정'!$C$49*D325-'계산 과정'!$D$49*E325)/O325,"")</x:f>
        <x:v>17.656124680462803</x:v>
      </x:c>
      <x:c r="Q325" s="4" t="str">
        <x:f>IF(AND(ISNUMBER(P325),P325&gt;1E-9,P325&lt;1-1E-9),'계산 과정'!$C$47*(D325-'계산 과정'!$C$50+P325*('계산 과정'!$C$32-D325))+'계산 과정'!$D$47*(E325-'계산 과정'!$D$50+P325*('계산 과정'!$D$32-E325))+'계산 과정'!$E$47*(0-'계산 과정'!$E$50+P325*('계산 과정'!$E$32-0)),"")</x:f>
      </x:c>
      <x:c r="R325" s="4" t="str">
        <x:f>IF(AND(ISNUMBER(P325),P325&gt;1E-9,P325&lt;1-1E-9),'계산 과정'!$C$48*(D325-'계산 과정'!$C$50+P325*('계산 과정'!$C$32-D325))+'계산 과정'!$D$48*(E325-'계산 과정'!$D$50+P325*('계산 과정'!$D$32-E325))+'계산 과정'!$E$48*(0-'계산 과정'!$E$50+P325*('계산 과정'!$E$32-0)),"")</x:f>
      </x:c>
      <x:c r="S325" s="17" t="n">
        <x:f>IF('계산 과정'!$C$78,IF(AND(ISNUMBER(Q325),ISNUMBER(R325),ABS(Q325-'계산 과정'!$C$88)&lt;='계산 과정'!$D$23/2,ABS(R325-'계산 과정'!$C$89)&lt;='계산 과정'!$D$24/2),1,0),"")</x:f>
        <x:v>0</x:v>
      </x:c>
      <x:c r="T325" s="4"/>
      <x:c r="U325" s="4"/>
      <x:c r="V325" s="4"/>
      <x:c r="W325" s="4" t="n">
        <x:f>IF('계산 과정'!$C$78,'계산 과정'!$C$88+1*'계산 과정'!$D$23/2,"")</x:f>
        <x:v>288.723404255319</x:v>
      </x:c>
      <x:c r="X325" s="4" t="str">
        <x:f>""</x:f>
      </x:c>
      <x:c r="Y325" s="4" t="n">
        <x:f>IF('계산 과정'!$C$78,'계산 과정'!$C$89+0.1200000000000001*'계산 과정'!$D$24/2,"")</x:f>
        <x:v>31.200000000000028</x:v>
      </x:c>
      <x:c r="Z325" s="4" t="str">
        <x:f>""</x:f>
      </x:c>
    </x:row>
    <x:row r="326" ht="23" customHeight="1">
      <x:c r="A326" s="17" t="n">
        <x:f>ROW()-6</x:f>
        <x:v>320</x:v>
      </x:c>
      <x:c r="B326" s="4" t="n">
        <x:f>IF('계산 과정'!$L$5,'계산 과정'!$L$11*SQRT((A326+0.5)/'계산 과정'!$L$30),"")</x:f>
        <x:v>59.33901047424452</x:v>
      </x:c>
      <x:c r="C326" s="4" t="n">
        <x:f>A326*PI()*(3-SQRT(5))</x:f>
        <x:v>767.9882335131689</x:v>
      </x:c>
      <x:c r="D326" s="4" t="n">
        <x:f>IF('계산 과정'!$L$5,B326*COS(C326),"")</x:f>
        <x:v>7.761214312018245</x:v>
      </x:c>
      <x:c r="E326" s="4" t="n">
        <x:f>IF('계산 과정'!$L$5,B326*SIN(C326),"")</x:f>
        <x:v>58.82925901679728</x:v>
      </x:c>
      <x:c r="F326" s="4" t="n">
        <x:f>IF('계산 과정'!$L$7,'계산 과정'!$L$22+'계산 과정'!$C$49*D326+'계산 과정'!$D$49*E326,"")</x:f>
        <x:v>644.5119927297299</x:v>
      </x:c>
      <x:c r="G326" s="4" t="n">
        <x:f>IF('계산 과정'!$L$7,IF(ABS(F326)&gt;=1E-12*MAX(1,SQRT((D326-'계산 과정'!$C$33)^2+(E326-'계산 과정'!$D$33)^2+'계산 과정'!$E$33^2)),('계산 과정'!$L$23-'계산 과정'!$C$49*D326-'계산 과정'!$D$49*E326)/F326,""),"")</x:f>
        <x:v>0.6291395844364185</x:v>
      </x:c>
      <x:c r="H326" s="4" t="n">
        <x:f>IF(AND(ISNUMBER(G326),G326&gt;0),('계산 과정'!$D$56+'계산 과정'!$D$57*D326+'계산 과정'!$D$58*E326)/F326,"")</x:f>
        <x:v>8.940729883671901</x:v>
      </x:c>
      <x:c r="I326" s="4" t="n">
        <x:f>IF(AND(ISNUMBER(G326),G326&gt;0),('계산 과정'!$E$56+'계산 과정'!$E$57*D326+'계산 과정'!$E$58*E326)/F326,"")</x:f>
        <x:v>95.84107458732754</x:v>
      </x:c>
      <x:c r="J326" s="4" t="n">
        <x:f>IF('계산 과정'!$L$5,'계산 과정'!$D$6+'계산 과정'!$C$35*D326+'계산 과정'!$D$35*E326,"")</x:f>
        <x:v>644.5119927297299</x:v>
      </x:c>
      <x:c r="K326" s="4" t="n">
        <x:f>IF(AND('계산 과정'!$L$6,J326&gt;0),'계산 과정'!$D$10*('계산 과정'!$C$38*(D326-'계산 과정'!$C$32)+'계산 과정'!$D$38*(E326-'계산 과정'!$D$32)-'계산 과정'!$E$38*'계산 과정'!$E$32)/J326,"")</x:f>
        <x:v>0.06811984673273935</x:v>
      </x:c>
      <x:c r="L326" s="4" t="n">
        <x:f>IF(AND('계산 과정'!$L$6,J326&gt;0),'계산 과정'!$D$10*('계산 과정'!$C$39*(D326-'계산 과정'!$C$32)+'계산 과정'!$D$39*(E326-'계산 과정'!$D$32)-'계산 과정'!$E$39*'계산 과정'!$E$32)/J326,"")</x:f>
        <x:v>0.7302177111415432</x:v>
      </x:c>
      <x:c r="M326" s="17" t="n">
        <x:f>IF('계산 과정'!$L$6,IF(J326&lt;=0,0,IF(AND(ABS(K326)&lt;='계산 과정'!$D$11/2,ABS(L326)&lt;='계산 과정'!$D$12/2),1,0)),"")</x:f>
        <x:v>1</x:v>
      </x:c>
      <x:c r="N326" s="17" t="n">
        <x:f>IF('계산 과정'!$C$78,IF(AND(ISNUMBER(H326),ISNUMBER(I326),ABS(H326-'계산 과정'!$C$88)&lt;='계산 과정'!$D$23/2,ABS(I326-'계산 과정'!$C$89)&lt;='계산 과정'!$D$24/2),1,0),"")</x:f>
        <x:v>1</x:v>
      </x:c>
      <x:c r="O326" s="4" t="n">
        <x:f>IF('계산 과정'!$L$7,'계산 과정'!$C$49*('계산 과정'!$C$32-D326)+'계산 과정'!$D$49*('계산 과정'!$D$32-E326)+'계산 과정'!$E$49*'계산 과정'!$E$32,"")</x:f>
        <x:v>5.488007270270316</x:v>
      </x:c>
      <x:c r="P326" s="4" t="n">
        <x:f>IF(AND('계산 과정'!$L$7,O326&lt;&gt;0),('계산 과정'!$L$23-'계산 과정'!$C$49*D326-'계산 과정'!$D$49*E326)/O326,"")</x:f>
        <x:v>73.88620081953674</x:v>
      </x:c>
      <x:c r="Q326" s="4" t="str">
        <x:f>IF(AND(ISNUMBER(P326),P326&gt;1E-9,P326&lt;1-1E-9),'계산 과정'!$C$47*(D326-'계산 과정'!$C$50+P326*('계산 과정'!$C$32-D326))+'계산 과정'!$D$47*(E326-'계산 과정'!$D$50+P326*('계산 과정'!$D$32-E326))+'계산 과정'!$E$47*(0-'계산 과정'!$E$50+P326*('계산 과정'!$E$32-0)),"")</x:f>
      </x:c>
      <x:c r="R326" s="4" t="str">
        <x:f>IF(AND(ISNUMBER(P326),P326&gt;1E-9,P326&lt;1-1E-9),'계산 과정'!$C$48*(D326-'계산 과정'!$C$50+P326*('계산 과정'!$C$32-D326))+'계산 과정'!$D$48*(E326-'계산 과정'!$D$50+P326*('계산 과정'!$D$32-E326))+'계산 과정'!$E$48*(0-'계산 과정'!$E$50+P326*('계산 과정'!$E$32-0)),"")</x:f>
      </x:c>
      <x:c r="S326" s="17" t="n">
        <x:f>IF('계산 과정'!$C$78,IF(AND(ISNUMBER(Q326),ISNUMBER(R326),ABS(Q326-'계산 과정'!$C$88)&lt;='계산 과정'!$D$23/2,ABS(R326-'계산 과정'!$C$89)&lt;='계산 과정'!$D$24/2),1,0),"")</x:f>
        <x:v>0</x:v>
      </x:c>
      <x:c r="T326" s="4"/>
      <x:c r="U326" s="4"/>
      <x:c r="V326" s="4"/>
      <x:c r="W326" s="4" t="n">
        <x:f>IF('계산 과정'!$C$78,'계산 과정'!$C$88+1*'계산 과정'!$D$23/2,"")</x:f>
        <x:v>288.723404255319</x:v>
      </x:c>
      <x:c r="X326" s="4" t="str">
        <x:f>""</x:f>
      </x:c>
      <x:c r="Y326" s="4" t="n">
        <x:f>IF('계산 과정'!$C$78,'계산 과정'!$C$89+0.15999999999999992*'계산 과정'!$D$24/2,"")</x:f>
        <x:v>41.59999999999998</x:v>
      </x:c>
      <x:c r="Z326" s="4" t="str">
        <x:f>""</x:f>
      </x:c>
    </x:row>
    <x:row r="327" ht="23" customHeight="1">
      <x:c r="A327" s="17" t="n">
        <x:f>ROW()-6</x:f>
        <x:v>321</x:v>
      </x:c>
      <x:c r="B327" s="4" t="n">
        <x:f>IF('계산 과정'!$L$5,'계산 과정'!$L$11*SQRT((A327+0.5)/'계산 과정'!$L$30),"")</x:f>
        <x:v>59.431510936434215</x:v>
      </x:c>
      <x:c r="C327" s="4" t="n">
        <x:f>A327*PI()*(3-SQRT(5))</x:f>
        <x:v>770.3881967428975</x:v>
      </x:c>
      <x:c r="D327" s="4" t="n">
        <x:f>IF('계산 과정'!$L$5,B327*COS(C327),"")</x:f>
        <x:v>-45.532338870668795</x:v>
      </x:c>
      <x:c r="E327" s="4" t="n">
        <x:f>IF('계산 과정'!$L$5,B327*SIN(C327),"")</x:f>
        <x:v>-38.19568835816529</x:v>
      </x:c>
      <x:c r="F327" s="4" t="n">
        <x:f>IF('계산 과정'!$L$7,'계산 과정'!$L$22+'계산 과정'!$C$49*D327+'계산 과정'!$D$49*E327,"")</x:f>
        <x:v>682.1962255787337</x:v>
      </x:c>
      <x:c r="G327" s="4" t="n">
        <x:f>IF('계산 과정'!$L$7,IF(ABS(F327)&gt;=1E-12*MAX(1,SQRT((D327-'계산 과정'!$C$33)^2+(E327-'계산 과정'!$D$33)^2+'계산 과정'!$E$33^2)),('계산 과정'!$L$23-'계산 과정'!$C$49*D327-'계산 과정'!$D$49*E327)/F327,""),"")</x:f>
        <x:v>0.5391465983401534</x:v>
      </x:c>
      <x:c r="H327" s="4" t="n">
        <x:f>IF(AND(ISNUMBER(G327),G327&gt;0),('계산 과정'!$D$56+'계산 과정'!$D$57*D327+'계산 과정'!$D$58*E327)/F327,"")</x:f>
        <x:v>-49.55471107890038</x:v>
      </x:c>
      <x:c r="I327" s="4" t="n">
        <x:f>IF(AND(ISNUMBER(G327),G327&gt;0),('계산 과정'!$E$56+'계산 과정'!$E$57*D327+'계산 과정'!$E$58*E327)/F327,"")</x:f>
        <x:v>-58.78876380773071</x:v>
      </x:c>
      <x:c r="J327" s="4" t="n">
        <x:f>IF('계산 과정'!$L$5,'계산 과정'!$D$6+'계산 과정'!$C$35*D327+'계산 과정'!$D$35*E327,"")</x:f>
        <x:v>682.1962255787337</x:v>
      </x:c>
      <x:c r="K327" s="4" t="n">
        <x:f>IF(AND('계산 과정'!$L$6,J327&gt;0),'계산 과정'!$D$10*('계산 과정'!$C$38*(D327-'계산 과정'!$C$32)+'계산 과정'!$D$38*(E327-'계산 과정'!$D$32)-'계산 과정'!$E$38*'계산 과정'!$E$32)/J327,"")</x:f>
        <x:v>-0.3775597034582877</x:v>
      </x:c>
      <x:c r="L327" s="4" t="n">
        <x:f>IF(AND('계산 과정'!$L$6,J327&gt;0),'계산 과정'!$D$10*('계산 과정'!$C$39*(D327-'계산 과정'!$C$32)+'계산 과정'!$D$39*(E327-'계산 과정'!$D$32)-'계산 과정'!$E$39*'계산 과정'!$E$32)/J327,"")</x:f>
        <x:v>-0.4479143909160435</x:v>
      </x:c>
      <x:c r="M327" s="17" t="n">
        <x:f>IF('계산 과정'!$L$6,IF(J327&lt;=0,0,IF(AND(ABS(K327)&lt;='계산 과정'!$D$11/2,ABS(L327)&lt;='계산 과정'!$D$12/2),1,0)),"")</x:f>
        <x:v>1</x:v>
      </x:c>
      <x:c r="N327" s="17" t="n">
        <x:f>IF('계산 과정'!$C$78,IF(AND(ISNUMBER(H327),ISNUMBER(I327),ABS(H327-'계산 과정'!$C$88)&lt;='계산 과정'!$D$23/2,ABS(I327-'계산 과정'!$C$89)&lt;='계산 과정'!$D$24/2),1,0),"")</x:f>
        <x:v>1</x:v>
      </x:c>
      <x:c r="O327" s="4" t="n">
        <x:f>IF('계산 과정'!$L$7,'계산 과정'!$C$49*('계산 과정'!$C$32-D327)+'계산 과정'!$D$49*('계산 과정'!$D$32-E327)+'계산 과정'!$E$49*'계산 과정'!$E$32,"")</x:f>
        <x:v>-32.19622557873362</x:v>
      </x:c>
      <x:c r="P327" s="4" t="n">
        <x:f>IF(AND('계산 과정'!$L$7,O327&lt;&gt;0),('계산 과정'!$L$23-'계산 과정'!$C$49*D327-'계산 과정'!$D$49*E327)/O327,"")</x:f>
        <x:v>-11.423816544017804</x:v>
      </x:c>
      <x:c r="Q327" s="4" t="str">
        <x:f>IF(AND(ISNUMBER(P327),P327&gt;1E-9,P327&lt;1-1E-9),'계산 과정'!$C$47*(D327-'계산 과정'!$C$50+P327*('계산 과정'!$C$32-D327))+'계산 과정'!$D$47*(E327-'계산 과정'!$D$50+P327*('계산 과정'!$D$32-E327))+'계산 과정'!$E$47*(0-'계산 과정'!$E$50+P327*('계산 과정'!$E$32-0)),"")</x:f>
      </x:c>
      <x:c r="R327" s="4" t="str">
        <x:f>IF(AND(ISNUMBER(P327),P327&gt;1E-9,P327&lt;1-1E-9),'계산 과정'!$C$48*(D327-'계산 과정'!$C$50+P327*('계산 과정'!$C$32-D327))+'계산 과정'!$D$48*(E327-'계산 과정'!$D$50+P327*('계산 과정'!$D$32-E327))+'계산 과정'!$E$48*(0-'계산 과정'!$E$50+P327*('계산 과정'!$E$32-0)),"")</x:f>
      </x:c>
      <x:c r="S327" s="17" t="n">
        <x:f>IF('계산 과정'!$C$78,IF(AND(ISNUMBER(Q327),ISNUMBER(R327),ABS(Q327-'계산 과정'!$C$88)&lt;='계산 과정'!$D$23/2,ABS(R327-'계산 과정'!$C$89)&lt;='계산 과정'!$D$24/2),1,0),"")</x:f>
        <x:v>0</x:v>
      </x:c>
      <x:c r="T327" s="4"/>
      <x:c r="U327" s="4"/>
      <x:c r="V327" s="4"/>
      <x:c r="W327" s="4" t="n">
        <x:f>IF('계산 과정'!$C$78,'계산 과정'!$C$88+1*'계산 과정'!$D$23/2,"")</x:f>
        <x:v>288.723404255319</x:v>
      </x:c>
      <x:c r="X327" s="4" t="str">
        <x:f>""</x:f>
      </x:c>
      <x:c r="Y327" s="4" t="n">
        <x:f>IF('계산 과정'!$C$78,'계산 과정'!$C$89+0.19999999999999996*'계산 과정'!$D$24/2,"")</x:f>
        <x:v>51.999999999999986</x:v>
      </x:c>
      <x:c r="Z327" s="4" t="str">
        <x:f>""</x:f>
      </x:c>
    </x:row>
    <x:row r="328" ht="23" customHeight="1">
      <x:c r="A328" s="17" t="n">
        <x:f>ROW()-6</x:f>
        <x:v>322</x:v>
      </x:c>
      <x:c r="B328" s="4" t="n">
        <x:f>IF('계산 과정'!$L$5,'계산 과정'!$L$11*SQRT((A328+0.5)/'계산 과정'!$L$30),"")</x:f>
        <x:v>59.52386765250138</x:v>
      </x:c>
      <x:c r="C328" s="4" t="n">
        <x:f>A328*PI()*(3-SQRT(5))</x:f>
        <x:v>772.7881599726262</x:v>
      </x:c>
      <x:c r="D328" s="4" t="n">
        <x:f>IF('계산 과정'!$L$5,B328*COS(C328),"")</x:f>
        <x:v>59.46721521255885</x:v>
      </x:c>
      <x:c r="E328" s="4" t="n">
        <x:f>IF('계산 과정'!$L$5,B328*SIN(C328),"")</x:f>
        <x:v>-2.5963696146176667</x:v>
      </x:c>
      <x:c r="F328" s="4" t="n">
        <x:f>IF('계산 과정'!$L$7,'계산 과정'!$L$22+'계산 과정'!$C$49*D328+'계산 과정'!$D$49*E328,"")</x:f>
        <x:v>607.9503288649198</x:v>
      </x:c>
      <x:c r="G328" s="4" t="n">
        <x:f>IF('계산 과정'!$L$7,IF(ABS(F328)&gt;=1E-12*MAX(1,SQRT((D328-'계산 과정'!$C$33)^2+(E328-'계산 과정'!$D$33)^2+'계산 과정'!$E$33^2)),('계산 과정'!$L$23-'계산 과정'!$C$49*D328-'계산 과정'!$D$49*E328)/F328,""),"")</x:f>
        <x:v>0.7271147824862827</x:v>
      </x:c>
      <x:c r="H328" s="4" t="n">
        <x:f>IF(AND(ISNUMBER(G328),G328&gt;0),('계산 과정'!$D$56+'계산 과정'!$D$57*D328+'계산 과정'!$D$58*E328)/F328,"")</x:f>
        <x:v>72.62460861608362</x:v>
      </x:c>
      <x:c r="I328" s="4" t="n">
        <x:f>IF(AND(ISNUMBER(G328),G328&gt;0),('계산 과정'!$E$56+'계산 과정'!$E$57*D328+'계산 과정'!$E$58*E328)/F328,"")</x:f>
        <x:v>-4.484228342204386</x:v>
      </x:c>
      <x:c r="J328" s="4" t="n">
        <x:f>IF('계산 과정'!$L$5,'계산 과정'!$D$6+'계산 과정'!$C$35*D328+'계산 과정'!$D$35*E328,"")</x:f>
        <x:v>607.9503288649198</x:v>
      </x:c>
      <x:c r="K328" s="4" t="n">
        <x:f>IF(AND('계산 과정'!$L$6,J328&gt;0),'계산 과정'!$D$10*('계산 과정'!$C$38*(D328-'계산 과정'!$C$32)+'계산 과정'!$D$38*(E328-'계산 과정'!$D$32)-'계산 과정'!$E$38*'계산 과정'!$E$32)/J328,"")</x:f>
        <x:v>0.553330351360638</x:v>
      </x:c>
      <x:c r="L328" s="4" t="n">
        <x:f>IF(AND('계산 과정'!$L$6,J328&gt;0),'계산 과정'!$D$10*('계산 과정'!$C$39*(D328-'계산 과정'!$C$32)+'계산 과정'!$D$39*(E328-'계산 과정'!$D$32)-'계산 과정'!$E$39*'계산 과정'!$E$32)/J328,"")</x:f>
        <x:v>-0.034165549273938174</x:v>
      </x:c>
      <x:c r="M328" s="17" t="n">
        <x:f>IF('계산 과정'!$L$6,IF(J328&lt;=0,0,IF(AND(ABS(K328)&lt;='계산 과정'!$D$11/2,ABS(L328)&lt;='계산 과정'!$D$12/2),1,0)),"")</x:f>
        <x:v>1</x:v>
      </x:c>
      <x:c r="N328" s="17" t="n">
        <x:f>IF('계산 과정'!$C$78,IF(AND(ISNUMBER(H328),ISNUMBER(I328),ABS(H328-'계산 과정'!$C$88)&lt;='계산 과정'!$D$23/2,ABS(I328-'계산 과정'!$C$89)&lt;='계산 과정'!$D$24/2),1,0),"")</x:f>
        <x:v>1</x:v>
      </x:c>
      <x:c r="O328" s="4" t="n">
        <x:f>IF('계산 과정'!$L$7,'계산 과정'!$C$49*('계산 과정'!$C$32-D328)+'계산 과정'!$D$49*('계산 과정'!$D$32-E328)+'계산 과정'!$E$49*'계산 과정'!$E$32,"")</x:f>
        <x:v>42.0496711350803</x:v>
      </x:c>
      <x:c r="P328" s="4" t="n">
        <x:f>IF(AND('계산 과정'!$L$7,O328&lt;&gt;0),('계산 과정'!$L$23-'계산 과정'!$C$49*D328-'계산 과정'!$D$49*E328)/O328,"")</x:f>
        <x:v>10.512559532630837</x:v>
      </x:c>
      <x:c r="Q328" s="4" t="str">
        <x:f>IF(AND(ISNUMBER(P328),P328&gt;1E-9,P328&lt;1-1E-9),'계산 과정'!$C$47*(D328-'계산 과정'!$C$50+P328*('계산 과정'!$C$32-D328))+'계산 과정'!$D$47*(E328-'계산 과정'!$D$50+P328*('계산 과정'!$D$32-E328))+'계산 과정'!$E$47*(0-'계산 과정'!$E$50+P328*('계산 과정'!$E$32-0)),"")</x:f>
      </x:c>
      <x:c r="R328" s="4" t="str">
        <x:f>IF(AND(ISNUMBER(P328),P328&gt;1E-9,P328&lt;1-1E-9),'계산 과정'!$C$48*(D328-'계산 과정'!$C$50+P328*('계산 과정'!$C$32-D328))+'계산 과정'!$D$48*(E328-'계산 과정'!$D$50+P328*('계산 과정'!$D$32-E328))+'계산 과정'!$E$48*(0-'계산 과정'!$E$50+P328*('계산 과정'!$E$32-0)),"")</x:f>
      </x:c>
      <x:c r="S328" s="17" t="n">
        <x:f>IF('계산 과정'!$C$78,IF(AND(ISNUMBER(Q328),ISNUMBER(R328),ABS(Q328-'계산 과정'!$C$88)&lt;='계산 과정'!$D$23/2,ABS(R328-'계산 과정'!$C$89)&lt;='계산 과정'!$D$24/2),1,0),"")</x:f>
        <x:v>0</x:v>
      </x:c>
      <x:c r="T328" s="4"/>
      <x:c r="U328" s="4"/>
      <x:c r="V328" s="4"/>
      <x:c r="W328" s="4" t="n">
        <x:f>IF('계산 과정'!$C$78,'계산 과정'!$C$88+1*'계산 과정'!$D$23/2,"")</x:f>
        <x:v>288.723404255319</x:v>
      </x:c>
      <x:c r="X328" s="4" t="str">
        <x:f>""</x:f>
      </x:c>
      <x:c r="Y328" s="4" t="n">
        <x:f>IF('계산 과정'!$C$78,'계산 과정'!$C$89+0.24*'계산 과정'!$D$24/2,"")</x:f>
        <x:v>62.4</x:v>
      </x:c>
      <x:c r="Z328" s="4" t="str">
        <x:f>""</x:f>
      </x:c>
    </x:row>
    <x:row r="329" ht="23" customHeight="1">
      <x:c r="A329" s="17" t="n">
        <x:f>ROW()-6</x:f>
        <x:v>323</x:v>
      </x:c>
      <x:c r="B329" s="4" t="n">
        <x:f>IF('계산 과정'!$L$5,'계산 과정'!$L$11*SQRT((A329+0.5)/'계산 과정'!$L$30),"")</x:f>
        <x:v>59.61608129051674</x:v>
      </x:c>
      <x:c r="C329" s="4" t="n">
        <x:f>A329*PI()*(3-SQRT(5))</x:f>
        <x:v>775.1881232023549</x:v>
      </x:c>
      <x:c r="D329" s="4" t="n">
        <x:f>IF('계산 과정'!$L$5,B329*COS(C329),"")</x:f>
        <x:v>-42.16066504013307</x:v>
      </x:c>
      <x:c r="E329" s="4" t="n">
        <x:f>IF('계산 과정'!$L$5,B329*SIN(C329),"")</x:f>
        <x:v>42.149204877567996</x:v>
      </x:c>
      <x:c r="F329" s="4" t="n">
        <x:f>IF('계산 과정'!$L$7,'계산 과정'!$L$22+'계산 과정'!$C$49*D329+'계산 과정'!$D$49*E329,"")</x:f>
        <x:v>679.8120921492127</x:v>
      </x:c>
      <x:c r="G329" s="4" t="n">
        <x:f>IF('계산 과정'!$L$7,IF(ABS(F329)&gt;=1E-12*MAX(1,SQRT((D329-'계산 과정'!$C$33)^2+(E329-'계산 과정'!$D$33)^2+'계산 과정'!$E$33^2)),('계산 과정'!$L$23-'계산 과정'!$C$49*D329-'계산 과정'!$D$49*E329)/F329,""),"")</x:f>
        <x:v>0.5445444588672224</x:v>
      </x:c>
      <x:c r="H329" s="4" t="n">
        <x:f>IF(AND(ISNUMBER(G329),G329&gt;0),('계산 과정'!$D$56+'계산 과정'!$D$57*D329+'계산 과정'!$D$58*E329)/F329,"")</x:f>
        <x:v>-46.04610173630561</x:v>
      </x:c>
      <x:c r="I329" s="4" t="n">
        <x:f>IF(AND(ISNUMBER(G329),G329&gt;0),('계산 과정'!$E$56+'계산 과정'!$E$57*D329+'계산 과정'!$E$58*E329)/F329,"")</x:f>
        <x:v>65.10132083930694</x:v>
      </x:c>
      <x:c r="J329" s="4" t="n">
        <x:f>IF('계산 과정'!$L$5,'계산 과정'!$D$6+'계산 과정'!$C$35*D329+'계산 과정'!$D$35*E329,"")</x:f>
        <x:v>679.8120921492127</x:v>
      </x:c>
      <x:c r="K329" s="4" t="n">
        <x:f>IF(AND('계산 과정'!$L$6,J329&gt;0),'계산 과정'!$D$10*('계산 과정'!$C$38*(D329-'계산 과정'!$C$32)+'계산 과정'!$D$38*(E329-'계산 과정'!$D$32)-'계산 과정'!$E$38*'계산 과정'!$E$32)/J329,"")</x:f>
        <x:v>-0.3508274418004225</x:v>
      </x:c>
      <x:c r="L329" s="4" t="n">
        <x:f>IF(AND('계산 과정'!$L$6,J329&gt;0),'계산 과정'!$D$10*('계산 과정'!$C$39*(D329-'계산 과정'!$C$32)+'계산 과정'!$D$39*(E329-'계산 과정'!$D$32)-'계산 과정'!$E$39*'계산 과정'!$E$32)/J329,"")</x:f>
        <x:v>0.4960100635375767</x:v>
      </x:c>
      <x:c r="M329" s="17" t="n">
        <x:f>IF('계산 과정'!$L$6,IF(J329&lt;=0,0,IF(AND(ABS(K329)&lt;='계산 과정'!$D$11/2,ABS(L329)&lt;='계산 과정'!$D$12/2),1,0)),"")</x:f>
        <x:v>1</x:v>
      </x:c>
      <x:c r="N329" s="17" t="n">
        <x:f>IF('계산 과정'!$C$78,IF(AND(ISNUMBER(H329),ISNUMBER(I329),ABS(H329-'계산 과정'!$C$88)&lt;='계산 과정'!$D$23/2,ABS(I329-'계산 과정'!$C$89)&lt;='계산 과정'!$D$24/2),1,0),"")</x:f>
        <x:v>1</x:v>
      </x:c>
      <x:c r="O329" s="4" t="n">
        <x:f>IF('계산 과정'!$L$7,'계산 과정'!$C$49*('계산 과정'!$C$32-D329)+'계산 과정'!$D$49*('계산 과정'!$D$32-E329)+'계산 과정'!$E$49*'계산 과정'!$E$32,"")</x:f>
        <x:v>-29.81209214921256</x:v>
      </x:c>
      <x:c r="P329" s="4" t="n">
        <x:f>IF(AND('계산 과정'!$L$7,O329&lt;&gt;0),('계산 과정'!$L$23-'계산 과정'!$C$49*D329-'계산 과정'!$D$49*E329)/O329,"")</x:f>
        <x:v>-12.41737433246748</x:v>
      </x:c>
      <x:c r="Q329" s="4" t="str">
        <x:f>IF(AND(ISNUMBER(P329),P329&gt;1E-9,P329&lt;1-1E-9),'계산 과정'!$C$47*(D329-'계산 과정'!$C$50+P329*('계산 과정'!$C$32-D329))+'계산 과정'!$D$47*(E329-'계산 과정'!$D$50+P329*('계산 과정'!$D$32-E329))+'계산 과정'!$E$47*(0-'계산 과정'!$E$50+P329*('계산 과정'!$E$32-0)),"")</x:f>
      </x:c>
      <x:c r="R329" s="4" t="str">
        <x:f>IF(AND(ISNUMBER(P329),P329&gt;1E-9,P329&lt;1-1E-9),'계산 과정'!$C$48*(D329-'계산 과정'!$C$50+P329*('계산 과정'!$C$32-D329))+'계산 과정'!$D$48*(E329-'계산 과정'!$D$50+P329*('계산 과정'!$D$32-E329))+'계산 과정'!$E$48*(0-'계산 과정'!$E$50+P329*('계산 과정'!$E$32-0)),"")</x:f>
      </x:c>
      <x:c r="S329" s="17" t="n">
        <x:f>IF('계산 과정'!$C$78,IF(AND(ISNUMBER(Q329),ISNUMBER(R329),ABS(Q329-'계산 과정'!$C$88)&lt;='계산 과정'!$D$23/2,ABS(R329-'계산 과정'!$C$89)&lt;='계산 과정'!$D$24/2),1,0),"")</x:f>
        <x:v>0</x:v>
      </x:c>
      <x:c r="T329" s="4"/>
      <x:c r="U329" s="4"/>
      <x:c r="V329" s="4"/>
      <x:c r="W329" s="4" t="n">
        <x:f>IF('계산 과정'!$C$78,'계산 과정'!$C$88+1*'계산 과정'!$D$23/2,"")</x:f>
        <x:v>288.723404255319</x:v>
      </x:c>
      <x:c r="X329" s="4" t="str">
        <x:f>""</x:f>
      </x:c>
      <x:c r="Y329" s="4" t="n">
        <x:f>IF('계산 과정'!$C$78,'계산 과정'!$C$89+0.28*'계산 과정'!$D$24/2,"")</x:f>
        <x:v>72.80000000000001</x:v>
      </x:c>
      <x:c r="Z329" s="4" t="str">
        <x:f>""</x:f>
      </x:c>
    </x:row>
    <x:row r="330" ht="23" customHeight="1">
      <x:c r="A330" s="17" t="n">
        <x:f>ROW()-6</x:f>
        <x:v>324</x:v>
      </x:c>
      <x:c r="B330" s="4" t="n">
        <x:f>IF('계산 과정'!$L$5,'계산 과정'!$L$11*SQRT((A330+0.5)/'계산 과정'!$L$30),"")</x:f>
        <x:v>59.70815251339217</x:v>
      </x:c>
      <x:c r="C330" s="4" t="n">
        <x:f>A330*PI()*(3-SQRT(5))</x:f>
        <x:v>777.5880864320835</x:v>
      </x:c>
      <x:c r="D330" s="4" t="n">
        <x:f>IF('계산 과정'!$L$5,B330*COS(C330),"")</x:f>
        <x:v>2.620624532007396</x:v>
      </x:c>
      <x:c r="E330" s="4" t="n">
        <x:f>IF('계산 과정'!$L$5,B330*SIN(C330),"")</x:f>
        <x:v>-59.6506144446538</x:v>
      </x:c>
      <x:c r="F330" s="4" t="n">
        <x:f>IF('계산 과정'!$L$7,'계산 과정'!$L$22+'계산 과정'!$C$49*D330+'계산 과정'!$D$49*E330,"")</x:f>
        <x:v>648.1469386224737</x:v>
      </x:c>
      <x:c r="G330" s="4" t="n">
        <x:f>IF('계산 과정'!$L$7,IF(ABS(F330)&gt;=1E-12*MAX(1,SQRT((D330-'계산 과정'!$C$33)^2+(E330-'계산 과정'!$D$33)^2+'계산 과정'!$E$33^2)),('계산 과정'!$L$23-'계산 과정'!$C$49*D330-'계산 과정'!$D$49*E330)/F330,""),"")</x:f>
        <x:v>0.6200030231286701</x:v>
      </x:c>
      <x:c r="H330" s="4" t="n">
        <x:f>IF(AND(ISNUMBER(G330),G330&gt;0),('계산 과정'!$D$56+'계산 과정'!$D$57*D330+'계산 과정'!$D$58*E330)/F330,"")</x:f>
        <x:v>3.0019650336353934</x:v>
      </x:c>
      <x:c r="I330" s="4" t="n">
        <x:f>IF(AND(ISNUMBER(G330),G330&gt;0),('계산 과정'!$E$56+'계산 과정'!$E$57*D330+'계산 과정'!$E$58*E330)/F330,"")</x:f>
        <x:v>-96.63417573182187</x:v>
      </x:c>
      <x:c r="J330" s="4" t="n">
        <x:f>IF('계산 과정'!$L$5,'계산 과정'!$D$6+'계산 과정'!$C$35*D330+'계산 과정'!$D$35*E330,"")</x:f>
        <x:v>648.1469386224737</x:v>
      </x:c>
      <x:c r="K330" s="4" t="n">
        <x:f>IF(AND('계산 과정'!$L$6,J330&gt;0),'계산 과정'!$D$10*('계산 과정'!$C$38*(D330-'계산 과정'!$C$32)+'계산 과정'!$D$38*(E330-'계산 과정'!$D$32)-'계산 과정'!$E$38*'계산 과정'!$E$32)/J330,"")</x:f>
        <x:v>0.022872114541985074</x:v>
      </x:c>
      <x:c r="L330" s="4" t="n">
        <x:f>IF(AND('계산 과정'!$L$6,J330&gt;0),'계산 과정'!$D$10*('계산 과정'!$C$39*(D330-'계산 과정'!$C$32)+'계산 과정'!$D$39*(E330-'계산 과정'!$D$32)-'계산 과정'!$E$39*'계산 과정'!$E$32)/J330,"")</x:f>
        <x:v>-0.7362603865281666</x:v>
      </x:c>
      <x:c r="M330" s="17" t="n">
        <x:f>IF('계산 과정'!$L$6,IF(J330&lt;=0,0,IF(AND(ABS(K330)&lt;='계산 과정'!$D$11/2,ABS(L330)&lt;='계산 과정'!$D$12/2),1,0)),"")</x:f>
        <x:v>1</x:v>
      </x:c>
      <x:c r="N330" s="17" t="n">
        <x:f>IF('계산 과정'!$C$78,IF(AND(ISNUMBER(H330),ISNUMBER(I330),ABS(H330-'계산 과정'!$C$88)&lt;='계산 과정'!$D$23/2,ABS(I330-'계산 과정'!$C$89)&lt;='계산 과정'!$D$24/2),1,0),"")</x:f>
        <x:v>1</x:v>
      </x:c>
      <x:c r="O330" s="4" t="n">
        <x:f>IF('계산 과정'!$L$7,'계산 과정'!$C$49*('계산 과정'!$C$32-D330)+'계산 과정'!$D$49*('계산 과정'!$D$32-E330)+'계산 과정'!$E$49*'계산 과정'!$E$32,"")</x:f>
        <x:v>1.8530613775263873</x:v>
      </x:c>
      <x:c r="P330" s="4" t="n">
        <x:f>IF(AND('계산 과정'!$L$7,O330&lt;&gt;0),('계산 과정'!$L$23-'계산 과정'!$C$49*D330-'계산 과정'!$D$49*E330)/O330,"")</x:f>
        <x:v>216.8590130101095</x:v>
      </x:c>
      <x:c r="Q330" s="4" t="str">
        <x:f>IF(AND(ISNUMBER(P330),P330&gt;1E-9,P330&lt;1-1E-9),'계산 과정'!$C$47*(D330-'계산 과정'!$C$50+P330*('계산 과정'!$C$32-D330))+'계산 과정'!$D$47*(E330-'계산 과정'!$D$50+P330*('계산 과정'!$D$32-E330))+'계산 과정'!$E$47*(0-'계산 과정'!$E$50+P330*('계산 과정'!$E$32-0)),"")</x:f>
      </x:c>
      <x:c r="R330" s="4" t="str">
        <x:f>IF(AND(ISNUMBER(P330),P330&gt;1E-9,P330&lt;1-1E-9),'계산 과정'!$C$48*(D330-'계산 과정'!$C$50+P330*('계산 과정'!$C$32-D330))+'계산 과정'!$D$48*(E330-'계산 과정'!$D$50+P330*('계산 과정'!$D$32-E330))+'계산 과정'!$E$48*(0-'계산 과정'!$E$50+P330*('계산 과정'!$E$32-0)),"")</x:f>
      </x:c>
      <x:c r="S330" s="17" t="n">
        <x:f>IF('계산 과정'!$C$78,IF(AND(ISNUMBER(Q330),ISNUMBER(R330),ABS(Q330-'계산 과정'!$C$88)&lt;='계산 과정'!$D$23/2,ABS(R330-'계산 과정'!$C$89)&lt;='계산 과정'!$D$24/2),1,0),"")</x:f>
        <x:v>0</x:v>
      </x:c>
      <x:c r="T330" s="4"/>
      <x:c r="U330" s="4"/>
      <x:c r="V330" s="4"/>
      <x:c r="W330" s="4" t="n">
        <x:f>IF('계산 과정'!$C$78,'계산 과정'!$C$88+1*'계산 과정'!$D$23/2,"")</x:f>
        <x:v>288.723404255319</x:v>
      </x:c>
      <x:c r="X330" s="4" t="str">
        <x:f>""</x:f>
      </x:c>
      <x:c r="Y330" s="4" t="n">
        <x:f>IF('계산 과정'!$C$78,'계산 과정'!$C$89+0.32000000000000006*'계산 과정'!$D$24/2,"")</x:f>
        <x:v>83.20000000000002</x:v>
      </x:c>
      <x:c r="Z330" s="4" t="str">
        <x:f>""</x:f>
      </x:c>
    </x:row>
    <x:row r="331" ht="23" customHeight="1">
      <x:c r="A331" s="17" t="n">
        <x:f>ROW()-6</x:f>
        <x:v>325</x:v>
      </x:c>
      <x:c r="B331" s="4" t="n">
        <x:f>IF('계산 과정'!$L$5,'계산 과정'!$L$11*SQRT((A331+0.5)/'계산 과정'!$L$30),"")</x:f>
        <x:v>59.800081978936284</x:v>
      </x:c>
      <x:c r="C331" s="4" t="n">
        <x:f>A331*PI()*(3-SQRT(5))</x:f>
        <x:v>779.9880496618122</x:v>
      </x:c>
      <x:c r="D331" s="4" t="n">
        <x:f>IF('계산 과정'!$L$5,B331*COS(C331),"")</x:f>
        <x:v>38.42010659165161</x:v>
      </x:c>
      <x:c r="E331" s="4" t="n">
        <x:f>IF('계산 과정'!$L$5,B331*SIN(C331),"")</x:f>
        <x:v>45.82515918328739</x:v>
      </x:c>
      <x:c r="F331" s="4" t="n">
        <x:f>IF('계산 과정'!$L$7,'계산 과정'!$L$22+'계산 과정'!$C$49*D331+'계산 과정'!$D$49*E331,"")</x:f>
        <x:v>622.8328820951332</x:v>
      </x:c>
      <x:c r="G331" s="4" t="n">
        <x:f>IF('계산 과정'!$L$7,IF(ABS(F331)&gt;=1E-12*MAX(1,SQRT((D331-'계산 과정'!$C$33)^2+(E331-'계산 과정'!$D$33)^2+'계산 과정'!$E$33^2)),('계산 과정'!$L$23-'계산 과정'!$C$49*D331-'계산 과정'!$D$49*E331)/F331,""),"")</x:f>
        <x:v>0.6858454814844219</x:v>
      </x:c>
      <x:c r="H331" s="4" t="n">
        <x:f>IF(AND(ISNUMBER(G331),G331&gt;0),('계산 과정'!$D$56+'계산 과정'!$D$57*D331+'계산 과정'!$D$58*E331)/F331,"")</x:f>
        <x:v>45.79956296487417</x:v>
      </x:c>
      <x:c r="I331" s="4" t="n">
        <x:f>IF(AND(ISNUMBER(G331),G331&gt;0),('계산 과정'!$E$56+'계산 과정'!$E$57*D331+'계산 과정'!$E$58*E331)/F331,"")</x:f>
        <x:v>77.25413754744942</x:v>
      </x:c>
      <x:c r="J331" s="4" t="n">
        <x:f>IF('계산 과정'!$L$5,'계산 과정'!$D$6+'계산 과정'!$C$35*D331+'계산 과정'!$D$35*E331,"")</x:f>
        <x:v>622.8328820951332</x:v>
      </x:c>
      <x:c r="K331" s="4" t="n">
        <x:f>IF(AND('계산 과정'!$L$6,J331&gt;0),'계산 과정'!$D$10*('계산 과정'!$C$38*(D331-'계산 과정'!$C$32)+'계산 과정'!$D$38*(E331-'계산 과정'!$D$32)-'계산 과정'!$E$38*'계산 과정'!$E$32)/J331,"")</x:f>
        <x:v>0.34894905116094743</x:v>
      </x:c>
      <x:c r="L331" s="4" t="n">
        <x:f>IF(AND('계산 과정'!$L$6,J331&gt;0),'계산 과정'!$D$10*('계산 과정'!$C$39*(D331-'계산 과정'!$C$32)+'계산 과정'!$D$39*(E331-'계산 과정'!$D$32)-'계산 과정'!$E$39*'계산 과정'!$E$32)/J331,"")</x:f>
        <x:v>0.5886029527424717</x:v>
      </x:c>
      <x:c r="M331" s="17" t="n">
        <x:f>IF('계산 과정'!$L$6,IF(J331&lt;=0,0,IF(AND(ABS(K331)&lt;='계산 과정'!$D$11/2,ABS(L331)&lt;='계산 과정'!$D$12/2),1,0)),"")</x:f>
        <x:v>1</x:v>
      </x:c>
      <x:c r="N331" s="17" t="n">
        <x:f>IF('계산 과정'!$C$78,IF(AND(ISNUMBER(H331),ISNUMBER(I331),ABS(H331-'계산 과정'!$C$88)&lt;='계산 과정'!$D$23/2,ABS(I331-'계산 과정'!$C$89)&lt;='계산 과정'!$D$24/2),1,0),"")</x:f>
        <x:v>1</x:v>
      </x:c>
      <x:c r="O331" s="4" t="n">
        <x:f>IF('계산 과정'!$L$7,'계산 과정'!$C$49*('계산 과정'!$C$32-D331)+'계산 과정'!$D$49*('계산 과정'!$D$32-E331)+'계산 과정'!$E$49*'계산 과정'!$E$32,"")</x:f>
        <x:v>27.167117904866927</x:v>
      </x:c>
      <x:c r="P331" s="4" t="n">
        <x:f>IF(AND('계산 과정'!$L$7,O331&lt;&gt;0),('계산 과정'!$L$23-'계산 과정'!$C$49*D331-'계산 과정'!$D$49*E331)/O331,"")</x:f>
        <x:v>15.723681820085185</x:v>
      </x:c>
      <x:c r="Q331" s="4" t="str">
        <x:f>IF(AND(ISNUMBER(P331),P331&gt;1E-9,P331&lt;1-1E-9),'계산 과정'!$C$47*(D331-'계산 과정'!$C$50+P331*('계산 과정'!$C$32-D331))+'계산 과정'!$D$47*(E331-'계산 과정'!$D$50+P331*('계산 과정'!$D$32-E331))+'계산 과정'!$E$47*(0-'계산 과정'!$E$50+P331*('계산 과정'!$E$32-0)),"")</x:f>
      </x:c>
      <x:c r="R331" s="4" t="str">
        <x:f>IF(AND(ISNUMBER(P331),P331&gt;1E-9,P331&lt;1-1E-9),'계산 과정'!$C$48*(D331-'계산 과정'!$C$50+P331*('계산 과정'!$C$32-D331))+'계산 과정'!$D$48*(E331-'계산 과정'!$D$50+P331*('계산 과정'!$D$32-E331))+'계산 과정'!$E$48*(0-'계산 과정'!$E$50+P331*('계산 과정'!$E$32-0)),"")</x:f>
      </x:c>
      <x:c r="S331" s="17" t="n">
        <x:f>IF('계산 과정'!$C$78,IF(AND(ISNUMBER(Q331),ISNUMBER(R331),ABS(Q331-'계산 과정'!$C$88)&lt;='계산 과정'!$D$23/2,ABS(R331-'계산 과정'!$C$89)&lt;='계산 과정'!$D$24/2),1,0),"")</x:f>
        <x:v>0</x:v>
      </x:c>
      <x:c r="T331" s="4"/>
      <x:c r="U331" s="4"/>
      <x:c r="V331" s="4"/>
      <x:c r="W331" s="4" t="n">
        <x:f>IF('계산 과정'!$C$78,'계산 과정'!$C$88+1*'계산 과정'!$D$23/2,"")</x:f>
        <x:v>288.723404255319</x:v>
      </x:c>
      <x:c r="X331" s="4" t="str">
        <x:f>""</x:f>
      </x:c>
      <x:c r="Y331" s="4" t="n">
        <x:f>IF('계산 과정'!$C$78,'계산 과정'!$C$89+0.3600000000000001*'계산 과정'!$D$24/2,"")</x:f>
        <x:v>93.60000000000002</x:v>
      </x:c>
      <x:c r="Z331" s="4" t="str">
        <x:f>""</x:f>
      </x:c>
    </x:row>
    <x:row r="332" ht="23" customHeight="1">
      <x:c r="A332" s="17" t="n">
        <x:f>ROW()-6</x:f>
        <x:v>326</x:v>
      </x:c>
      <x:c r="B332" s="4" t="n">
        <x:f>IF('계산 과정'!$L$5,'계산 과정'!$L$11*SQRT((A332+0.5)/'계산 과정'!$L$30),"")</x:f>
        <x:v>59.89187033990924</x:v>
      </x:c>
      <x:c r="C332" s="4" t="n">
        <x:f>A332*PI()*(3-SQRT(5))</x:f>
        <x:v>782.3880128915408</x:v>
      </x:c>
      <x:c r="D332" s="4" t="n">
        <x:f>IF('계산 과정'!$L$5,B332*COS(C332),"")</x:f>
        <x:v>-59.37523774084505</x:v>
      </x:c>
      <x:c r="E332" s="4" t="n">
        <x:f>IF('계산 과정'!$L$5,B332*SIN(C332),"")</x:f>
        <x:v>-7.8496672560452945</x:v>
      </x:c>
      <x:c r="F332" s="4" t="n">
        <x:f>IF('계산 과정'!$L$7,'계산 과정'!$L$22+'계산 과정'!$C$49*D332+'계산 과정'!$D$49*E332,"")</x:f>
        <x:v>691.9846332411149</x:v>
      </x:c>
      <x:c r="G332" s="4" t="n">
        <x:f>IF('계산 과정'!$L$7,IF(ABS(F332)&gt;=1E-12*MAX(1,SQRT((D332-'계산 과정'!$C$33)^2+(E332-'계산 과정'!$D$33)^2+'계산 과정'!$E$33^2)),('계산 과정'!$L$23-'계산 과정'!$C$49*D332-'계산 과정'!$D$49*E332)/F332,""),"")</x:f>
        <x:v>0.5173747357394543</x:v>
      </x:c>
      <x:c r="H332" s="4" t="n">
        <x:f>IF(AND(ISNUMBER(G332),G332&gt;0),('계산 과정'!$D$56+'계산 과정'!$D$57*D332+'계산 과정'!$D$58*E332)/F332,"")</x:f>
        <x:v>-63.70642176935484</x:v>
      </x:c>
      <x:c r="I332" s="4" t="n">
        <x:f>IF(AND(ISNUMBER(G332),G332&gt;0),('계산 과정'!$E$56+'계산 과정'!$E$57*D332+'계산 과정'!$E$58*E332)/F332,"")</x:f>
        <x:v>-11.910886778284377</x:v>
      </x:c>
      <x:c r="J332" s="4" t="n">
        <x:f>IF('계산 과정'!$L$5,'계산 과정'!$D$6+'계산 과정'!$C$35*D332+'계산 과정'!$D$35*E332,"")</x:f>
        <x:v>691.9846332411149</x:v>
      </x:c>
      <x:c r="K332" s="4" t="n">
        <x:f>IF(AND('계산 과정'!$L$6,J332&gt;0),'계산 과정'!$D$10*('계산 과정'!$C$38*(D332-'계산 과정'!$C$32)+'계산 과정'!$D$38*(E332-'계산 과정'!$D$32)-'계산 과정'!$E$38*'계산 과정'!$E$32)/J332,"")</x:f>
        <x:v>-0.48538226109984506</x:v>
      </x:c>
      <x:c r="L332" s="4" t="n">
        <x:f>IF(AND('계산 과정'!$L$6,J332&gt;0),'계산 과정'!$D$10*('계산 과정'!$C$39*(D332-'계산 과정'!$C$32)+'계산 과정'!$D$39*(E332-'계산 과정'!$D$32)-'계산 과정'!$E$39*'계산 과정'!$E$32)/J332,"")</x:f>
        <x:v>-0.09074961354883335</x:v>
      </x:c>
      <x:c r="M332" s="17" t="n">
        <x:f>IF('계산 과정'!$L$6,IF(J332&lt;=0,0,IF(AND(ABS(K332)&lt;='계산 과정'!$D$11/2,ABS(L332)&lt;='계산 과정'!$D$12/2),1,0)),"")</x:f>
        <x:v>1</x:v>
      </x:c>
      <x:c r="N332" s="17" t="n">
        <x:f>IF('계산 과정'!$C$78,IF(AND(ISNUMBER(H332),ISNUMBER(I332),ABS(H332-'계산 과정'!$C$88)&lt;='계산 과정'!$D$23/2,ABS(I332-'계산 과정'!$C$89)&lt;='계산 과정'!$D$24/2),1,0),"")</x:f>
        <x:v>1</x:v>
      </x:c>
      <x:c r="O332" s="4" t="n">
        <x:f>IF('계산 과정'!$L$7,'계산 과정'!$C$49*('계산 과정'!$C$32-D332)+'계산 과정'!$D$49*('계산 과정'!$D$32-E332)+'계산 과정'!$E$49*'계산 과정'!$E$32,"")</x:f>
        <x:v>-41.98463324111481</x:v>
      </x:c>
      <x:c r="P332" s="4" t="n">
        <x:f>IF(AND('계산 과정'!$L$7,O332&lt;&gt;0),('계산 과정'!$L$23-'계산 과정'!$C$49*D332-'계산 과정'!$D$49*E332)/O332,"")</x:f>
        <x:v>-8.527295325002076</x:v>
      </x:c>
      <x:c r="Q332" s="4" t="str">
        <x:f>IF(AND(ISNUMBER(P332),P332&gt;1E-9,P332&lt;1-1E-9),'계산 과정'!$C$47*(D332-'계산 과정'!$C$50+P332*('계산 과정'!$C$32-D332))+'계산 과정'!$D$47*(E332-'계산 과정'!$D$50+P332*('계산 과정'!$D$32-E332))+'계산 과정'!$E$47*(0-'계산 과정'!$E$50+P332*('계산 과정'!$E$32-0)),"")</x:f>
      </x:c>
      <x:c r="R332" s="4" t="str">
        <x:f>IF(AND(ISNUMBER(P332),P332&gt;1E-9,P332&lt;1-1E-9),'계산 과정'!$C$48*(D332-'계산 과정'!$C$50+P332*('계산 과정'!$C$32-D332))+'계산 과정'!$D$48*(E332-'계산 과정'!$D$50+P332*('계산 과정'!$D$32-E332))+'계산 과정'!$E$48*(0-'계산 과정'!$E$50+P332*('계산 과정'!$E$32-0)),"")</x:f>
      </x:c>
      <x:c r="S332" s="17" t="n">
        <x:f>IF('계산 과정'!$C$78,IF(AND(ISNUMBER(Q332),ISNUMBER(R332),ABS(Q332-'계산 과정'!$C$88)&lt;='계산 과정'!$D$23/2,ABS(R332-'계산 과정'!$C$89)&lt;='계산 과정'!$D$24/2),1,0),"")</x:f>
        <x:v>0</x:v>
      </x:c>
      <x:c r="T332" s="4"/>
      <x:c r="U332" s="4"/>
      <x:c r="V332" s="4"/>
      <x:c r="W332" s="4" t="n">
        <x:f>IF('계산 과정'!$C$78,'계산 과정'!$C$88+1*'계산 과정'!$D$23/2,"")</x:f>
        <x:v>288.723404255319</x:v>
      </x:c>
      <x:c r="X332" s="4" t="str">
        <x:f>""</x:f>
      </x:c>
      <x:c r="Y332" s="4" t="n">
        <x:f>IF('계산 과정'!$C$78,'계산 과정'!$C$89+0.3999999999999999*'계산 과정'!$D$24/2,"")</x:f>
        <x:v>103.99999999999997</x:v>
      </x:c>
      <x:c r="Z332" s="4" t="str">
        <x:f>""</x:f>
      </x:c>
    </x:row>
    <x:row r="333" ht="23" customHeight="1">
      <x:c r="A333" s="17" t="n">
        <x:f>ROW()-6</x:f>
        <x:v>327</x:v>
      </x:c>
      <x:c r="B333" s="4" t="n">
        <x:f>IF('계산 과정'!$L$5,'계산 과정'!$L$11*SQRT((A333+0.5)/'계산 과정'!$L$30),"")</x:f>
        <x:v>59.98351824407685</x:v>
      </x:c>
      <x:c r="C333" s="4" t="n">
        <x:f>A333*PI()*(3-SQRT(5))</x:f>
        <x:v>784.7879761212695</x:v>
      </x:c>
      <x:c r="D333" s="4" t="n">
        <x:f>IF('계산 과정'!$L$5,B333*COS(C333),"")</x:f>
        <x:v>49.158935672521956</x:v>
      </x:c>
      <x:c r="E333" s="4" t="n">
        <x:f>IF('계산 과정'!$L$5,B333*SIN(C333),"")</x:f>
        <x:v>-34.37181264469986</x:v>
      </x:c>
      <x:c r="F333" s="4" t="n">
        <x:f>IF('계산 과정'!$L$7,'계산 과정'!$L$22+'계산 과정'!$C$49*D333+'계산 과정'!$D$49*E333,"")</x:f>
        <x:v>615.2393832300464</x:v>
      </x:c>
      <x:c r="G333" s="4" t="n">
        <x:f>IF('계산 과정'!$L$7,IF(ABS(F333)&gt;=1E-12*MAX(1,SQRT((D333-'계산 과정'!$C$33)^2+(E333-'계산 과정'!$D$33)^2+'계산 과정'!$E$33^2)),('계산 과정'!$L$23-'계산 과정'!$C$49*D333-'계산 과정'!$D$49*E333)/F333,""),"")</x:f>
        <x:v>0.7066527738966129</x:v>
      </x:c>
      <x:c r="H333" s="4" t="n">
        <x:f>IF(AND(ISNUMBER(G333),G333&gt;0),('계산 과정'!$D$56+'계산 과정'!$D$57*D333+'계산 과정'!$D$58*E333)/F333,"")</x:f>
        <x:v>59.324303032798234</x:v>
      </x:c>
      <x:c r="I333" s="4" t="n">
        <x:f>IF(AND(ISNUMBER(G333),G333&gt;0),('계산 과정'!$E$56+'계산 과정'!$E$57*D333+'계산 과정'!$E$58*E333)/F333,"")</x:f>
        <x:v>-58.66074939393168</x:v>
      </x:c>
      <x:c r="J333" s="4" t="n">
        <x:f>IF('계산 과정'!$L$5,'계산 과정'!$D$6+'계산 과정'!$C$35*D333+'계산 과정'!$D$35*E333,"")</x:f>
        <x:v>615.2393832300464</x:v>
      </x:c>
      <x:c r="K333" s="4" t="n">
        <x:f>IF(AND('계산 과정'!$L$6,J333&gt;0),'계산 과정'!$D$10*('계산 과정'!$C$38*(D333-'계산 과정'!$C$32)+'계산 과정'!$D$38*(E333-'계산 과정'!$D$32)-'계산 과정'!$E$38*'계산 과정'!$E$32)/J333,"")</x:f>
        <x:v>0.451994689773702</x:v>
      </x:c>
      <x:c r="L333" s="4" t="n">
        <x:f>IF(AND('계산 과정'!$L$6,J333&gt;0),'계산 과정'!$D$10*('계산 과정'!$C$39*(D333-'계산 과정'!$C$32)+'계산 과정'!$D$39*(E333-'계산 과정'!$D$32)-'계산 과정'!$E$39*'계산 과정'!$E$32)/J333,"")</x:f>
        <x:v>-0.44693904300138426</x:v>
      </x:c>
      <x:c r="M333" s="17" t="n">
        <x:f>IF('계산 과정'!$L$6,IF(J333&lt;=0,0,IF(AND(ABS(K333)&lt;='계산 과정'!$D$11/2,ABS(L333)&lt;='계산 과정'!$D$12/2),1,0)),"")</x:f>
        <x:v>1</x:v>
      </x:c>
      <x:c r="N333" s="17" t="n">
        <x:f>IF('계산 과정'!$C$78,IF(AND(ISNUMBER(H333),ISNUMBER(I333),ABS(H333-'계산 과정'!$C$88)&lt;='계산 과정'!$D$23/2,ABS(I333-'계산 과정'!$C$89)&lt;='계산 과정'!$D$24/2),1,0),"")</x:f>
        <x:v>1</x:v>
      </x:c>
      <x:c r="O333" s="4" t="n">
        <x:f>IF('계산 과정'!$L$7,'계산 과정'!$C$49*('계산 과정'!$C$32-D333)+'계산 과정'!$D$49*('계산 과정'!$D$32-E333)+'계산 과정'!$E$49*'계산 과정'!$E$32,"")</x:f>
        <x:v>34.760616769953685</x:v>
      </x:c>
      <x:c r="P333" s="4" t="n">
        <x:f>IF(AND('계산 과정'!$L$7,O333&lt;&gt;0),('계산 과정'!$L$23-'계산 과정'!$C$49*D333-'계산 과정'!$D$49*E333)/O333,"")</x:f>
        <x:v>12.507275680613098</x:v>
      </x:c>
      <x:c r="Q333" s="4" t="str">
        <x:f>IF(AND(ISNUMBER(P333),P333&gt;1E-9,P333&lt;1-1E-9),'계산 과정'!$C$47*(D333-'계산 과정'!$C$50+P333*('계산 과정'!$C$32-D333))+'계산 과정'!$D$47*(E333-'계산 과정'!$D$50+P333*('계산 과정'!$D$32-E333))+'계산 과정'!$E$47*(0-'계산 과정'!$E$50+P333*('계산 과정'!$E$32-0)),"")</x:f>
      </x:c>
      <x:c r="R333" s="4" t="str">
        <x:f>IF(AND(ISNUMBER(P333),P333&gt;1E-9,P333&lt;1-1E-9),'계산 과정'!$C$48*(D333-'계산 과정'!$C$50+P333*('계산 과정'!$C$32-D333))+'계산 과정'!$D$48*(E333-'계산 과정'!$D$50+P333*('계산 과정'!$D$32-E333))+'계산 과정'!$E$48*(0-'계산 과정'!$E$50+P333*('계산 과정'!$E$32-0)),"")</x:f>
      </x:c>
      <x:c r="S333" s="17" t="n">
        <x:f>IF('계산 과정'!$C$78,IF(AND(ISNUMBER(Q333),ISNUMBER(R333),ABS(Q333-'계산 과정'!$C$88)&lt;='계산 과정'!$D$23/2,ABS(R333-'계산 과정'!$C$89)&lt;='계산 과정'!$D$24/2),1,0),"")</x:f>
        <x:v>0</x:v>
      </x:c>
      <x:c r="T333" s="4"/>
      <x:c r="U333" s="4"/>
      <x:c r="V333" s="4"/>
      <x:c r="W333" s="4" t="n">
        <x:f>IF('계산 과정'!$C$78,'계산 과정'!$C$88+1*'계산 과정'!$D$23/2,"")</x:f>
        <x:v>288.723404255319</x:v>
      </x:c>
      <x:c r="X333" s="4" t="str">
        <x:f>""</x:f>
      </x:c>
      <x:c r="Y333" s="4" t="n">
        <x:f>IF('계산 과정'!$C$78,'계산 과정'!$C$89+0.43999999999999995*'계산 과정'!$D$24/2,"")</x:f>
        <x:v>114.39999999999999</x:v>
      </x:c>
      <x:c r="Z333" s="4" t="str">
        <x:f>""</x:f>
      </x:c>
    </x:row>
    <x:row r="334" ht="23" customHeight="1">
      <x:c r="A334" s="17" t="n">
        <x:f>ROW()-6</x:f>
        <x:v>328</x:v>
      </x:c>
      <x:c r="B334" s="4" t="n">
        <x:f>IF('계산 과정'!$L$5,'계산 과정'!$L$11*SQRT((A334+0.5)/'계산 과정'!$L$30),"")</x:f>
        <x:v>60.07502633426389</x:v>
      </x:c>
      <x:c r="C334" s="4" t="n">
        <x:f>A334*PI()*(3-SQRT(5))</x:f>
        <x:v>787.1879393509981</x:v>
      </x:c>
      <x:c r="D334" s="4" t="n">
        <x:f>IF('계산 과정'!$L$5,B334*COS(C334),"")</x:f>
        <x:v>-13.050322050458197</x:v>
      </x:c>
      <x:c r="E334" s="4" t="n">
        <x:f>IF('계산 과정'!$L$5,B334*SIN(C334),"")</x:f>
        <x:v>58.6404116922948</x:v>
      </x:c>
      <x:c r="F334" s="4" t="n">
        <x:f>IF('계산 과정'!$L$7,'계산 과정'!$L$22+'계산 과정'!$C$49*D334+'계산 과정'!$D$49*E334,"")</x:f>
        <x:v>659.2279712185473</x:v>
      </x:c>
      <x:c r="G334" s="4" t="n">
        <x:f>IF('계산 과정'!$L$7,IF(ABS(F334)&gt;=1E-12*MAX(1,SQRT((D334-'계산 과정'!$C$33)^2+(E334-'계산 과정'!$D$33)^2+'계산 과정'!$E$33^2)),('계산 과정'!$L$23-'계산 과정'!$C$49*D334-'계산 과정'!$D$49*E334)/F334,""),"")</x:f>
        <x:v>0.5927722212076828</x:v>
      </x:c>
      <x:c r="H334" s="4" t="n">
        <x:f>IF(AND(ISNUMBER(G334),G334&gt;0),('계산 과정'!$D$56+'계산 과정'!$D$57*D334+'계산 과정'!$D$58*E334)/F334,"")</x:f>
        <x:v>-14.698056215006302</x:v>
      </x:c>
      <x:c r="I334" s="4" t="n">
        <x:f>IF(AND(ISNUMBER(G334),G334&gt;0),('계산 과정'!$E$56+'계산 과정'!$E$57*D334+'계산 과정'!$E$58*E334)/F334,"")</x:f>
        <x:v>93.40081878366937</x:v>
      </x:c>
      <x:c r="J334" s="4" t="n">
        <x:f>IF('계산 과정'!$L$5,'계산 과정'!$D$6+'계산 과정'!$C$35*D334+'계산 과정'!$D$35*E334,"")</x:f>
        <x:v>659.2279712185473</x:v>
      </x:c>
      <x:c r="K334" s="4" t="n">
        <x:f>IF(AND('계산 과정'!$L$6,J334&gt;0),'계산 과정'!$D$10*('계산 과정'!$C$38*(D334-'계산 과정'!$C$32)+'계산 과정'!$D$38*(E334-'계산 과정'!$D$32)-'계산 과정'!$E$38*'계산 과정'!$E$32)/J334,"")</x:f>
        <x:v>-0.11198519020957115</x:v>
      </x:c>
      <x:c r="L334" s="4" t="n">
        <x:f>IF(AND('계산 과정'!$L$6,J334&gt;0),'계산 과정'!$D$10*('계산 과정'!$C$39*(D334-'계산 과정'!$C$32)+'계산 과정'!$D$39*(E334-'계산 과정'!$D$32)-'계산 과정'!$E$39*'계산 과정'!$E$32)/J334,"")</x:f>
        <x:v>0.7116252859708142</x:v>
      </x:c>
      <x:c r="M334" s="17" t="n">
        <x:f>IF('계산 과정'!$L$6,IF(J334&lt;=0,0,IF(AND(ABS(K334)&lt;='계산 과정'!$D$11/2,ABS(L334)&lt;='계산 과정'!$D$12/2),1,0)),"")</x:f>
        <x:v>1</x:v>
      </x:c>
      <x:c r="N334" s="17" t="n">
        <x:f>IF('계산 과정'!$C$78,IF(AND(ISNUMBER(H334),ISNUMBER(I334),ABS(H334-'계산 과정'!$C$88)&lt;='계산 과정'!$D$23/2,ABS(I334-'계산 과정'!$C$89)&lt;='계산 과정'!$D$24/2),1,0),"")</x:f>
        <x:v>1</x:v>
      </x:c>
      <x:c r="O334" s="4" t="n">
        <x:f>IF('계산 과정'!$L$7,'계산 과정'!$C$49*('계산 과정'!$C$32-D334)+'계산 과정'!$D$49*('계산 과정'!$D$32-E334)+'계산 과정'!$E$49*'계산 과정'!$E$32,"")</x:f>
        <x:v>-9.227971218547225</x:v>
      </x:c>
      <x:c r="P334" s="4" t="n">
        <x:f>IF(AND('계산 과정'!$L$7,O334&lt;&gt;0),('계산 과정'!$L$23-'계산 과정'!$C$49*D334-'계산 과정'!$D$49*E334)/O334,"")</x:f>
        <x:v>-42.34647242896067</x:v>
      </x:c>
      <x:c r="Q334" s="4" t="str">
        <x:f>IF(AND(ISNUMBER(P334),P334&gt;1E-9,P334&lt;1-1E-9),'계산 과정'!$C$47*(D334-'계산 과정'!$C$50+P334*('계산 과정'!$C$32-D334))+'계산 과정'!$D$47*(E334-'계산 과정'!$D$50+P334*('계산 과정'!$D$32-E334))+'계산 과정'!$E$47*(0-'계산 과정'!$E$50+P334*('계산 과정'!$E$32-0)),"")</x:f>
      </x:c>
      <x:c r="R334" s="4" t="str">
        <x:f>IF(AND(ISNUMBER(P334),P334&gt;1E-9,P334&lt;1-1E-9),'계산 과정'!$C$48*(D334-'계산 과정'!$C$50+P334*('계산 과정'!$C$32-D334))+'계산 과정'!$D$48*(E334-'계산 과정'!$D$50+P334*('계산 과정'!$D$32-E334))+'계산 과정'!$E$48*(0-'계산 과정'!$E$50+P334*('계산 과정'!$E$32-0)),"")</x:f>
      </x:c>
      <x:c r="S334" s="17" t="n">
        <x:f>IF('계산 과정'!$C$78,IF(AND(ISNUMBER(Q334),ISNUMBER(R334),ABS(Q334-'계산 과정'!$C$88)&lt;='계산 과정'!$D$23/2,ABS(R334-'계산 과정'!$C$89)&lt;='계산 과정'!$D$24/2),1,0),"")</x:f>
        <x:v>0</x:v>
      </x:c>
      <x:c r="T334" s="4"/>
      <x:c r="U334" s="4"/>
      <x:c r="V334" s="4"/>
      <x:c r="W334" s="4" t="n">
        <x:f>IF('계산 과정'!$C$78,'계산 과정'!$C$88+1*'계산 과정'!$D$23/2,"")</x:f>
        <x:v>288.723404255319</x:v>
      </x:c>
      <x:c r="X334" s="4" t="str">
        <x:f>""</x:f>
      </x:c>
      <x:c r="Y334" s="4" t="n">
        <x:f>IF('계산 과정'!$C$78,'계산 과정'!$C$89+0.48*'계산 과정'!$D$24/2,"")</x:f>
        <x:v>124.8</x:v>
      </x:c>
      <x:c r="Z334" s="4" t="str">
        <x:f>""</x:f>
      </x:c>
    </x:row>
    <x:row r="335" ht="23" customHeight="1">
      <x:c r="A335" s="17" t="n">
        <x:f>ROW()-6</x:f>
        <x:v>329</x:v>
      </x:c>
      <x:c r="B335" s="4" t="n">
        <x:f>IF('계산 과정'!$L$5,'계산 과정'!$L$11*SQRT((A335+0.5)/'계산 과정'!$L$30),"")</x:f>
        <x:v>60.16639524840673</x:v>
      </x:c>
      <x:c r="C335" s="4" t="n">
        <x:f>A335*PI()*(3-SQRT(5))</x:f>
        <x:v>789.5879025807268</x:v>
      </x:c>
      <x:c r="D335" s="4" t="n">
        <x:f>IF('계산 과정'!$L$5,B335*COS(C335),"")</x:f>
        <x:v>-30.033736966668723</x:v>
      </x:c>
      <x:c r="E335" s="4" t="n">
        <x:f>IF('계산 과정'!$L$5,B335*SIN(C335),"")</x:f>
        <x:v>-52.13415158036483</x:v>
      </x:c>
      <x:c r="F335" s="4" t="n">
        <x:f>IF('계산 과정'!$L$7,'계산 과정'!$L$22+'계산 과정'!$C$49*D335+'계산 과정'!$D$49*E335,"")</x:f>
        <x:v>671.2370590735045</x:v>
      </x:c>
      <x:c r="G335" s="4" t="n">
        <x:f>IF('계산 과정'!$L$7,IF(ABS(F335)&gt;=1E-12*MAX(1,SQRT((D335-'계산 과정'!$C$33)^2+(E335-'계산 과정'!$D$33)^2+'계산 과정'!$E$33^2)),('계산 과정'!$L$23-'계산 과정'!$C$49*D335-'계산 과정'!$D$49*E335)/F335,""),"")</x:f>
        <x:v>0.56427596749395</x:v>
      </x:c>
      <x:c r="H335" s="4" t="n">
        <x:f>IF(AND(ISNUMBER(G335),G335&gt;0),('계산 과정'!$D$56+'계산 과정'!$D$57*D335+'계산 과정'!$D$58*E335)/F335,"")</x:f>
        <x:v>-33.220621128932606</x:v>
      </x:c>
      <x:c r="I335" s="4" t="n">
        <x:f>IF(AND(ISNUMBER(G335),G335&gt;0),('계산 과정'!$E$56+'계산 과정'!$E$57*D335+'계산 과정'!$E$58*E335)/F335,"")</x:f>
        <x:v>-81.55220040285144</x:v>
      </x:c>
      <x:c r="J335" s="4" t="n">
        <x:f>IF('계산 과정'!$L$5,'계산 과정'!$D$6+'계산 과정'!$C$35*D335+'계산 과정'!$D$35*E335,"")</x:f>
        <x:v>671.2370590735045</x:v>
      </x:c>
      <x:c r="K335" s="4" t="n">
        <x:f>IF(AND('계산 과정'!$L$6,J335&gt;0),'계산 과정'!$D$10*('계산 과정'!$C$38*(D335-'계산 과정'!$C$32)+'계산 과정'!$D$38*(E335-'계산 과정'!$D$32)-'계산 과정'!$E$38*'계산 과정'!$E$32)/J335,"")</x:f>
        <x:v>-0.2531094943156756</x:v>
      </x:c>
      <x:c r="L335" s="4" t="n">
        <x:f>IF(AND('계산 과정'!$L$6,J335&gt;0),'계산 과정'!$D$10*('계산 과정'!$C$39*(D335-'계산 과정'!$C$32)+'계산 과정'!$D$39*(E335-'계산 과정'!$D$32)-'계산 과정'!$E$39*'계산 과정'!$E$32)/J335,"")</x:f>
        <x:v>-0.6213500983074396</x:v>
      </x:c>
      <x:c r="M335" s="17" t="n">
        <x:f>IF('계산 과정'!$L$6,IF(J335&lt;=0,0,IF(AND(ABS(K335)&lt;='계산 과정'!$D$11/2,ABS(L335)&lt;='계산 과정'!$D$12/2),1,0)),"")</x:f>
        <x:v>1</x:v>
      </x:c>
      <x:c r="N335" s="17" t="n">
        <x:f>IF('계산 과정'!$C$78,IF(AND(ISNUMBER(H335),ISNUMBER(I335),ABS(H335-'계산 과정'!$C$88)&lt;='계산 과정'!$D$23/2,ABS(I335-'계산 과정'!$C$89)&lt;='계산 과정'!$D$24/2),1,0),"")</x:f>
        <x:v>1</x:v>
      </x:c>
      <x:c r="O335" s="4" t="n">
        <x:f>IF('계산 과정'!$L$7,'계산 과정'!$C$49*('계산 과정'!$C$32-D335)+'계산 과정'!$D$49*('계산 과정'!$D$32-E335)+'계산 과정'!$E$49*'계산 과정'!$E$32,"")</x:f>
        <x:v>-21.237059073504383</x:v>
      </x:c>
      <x:c r="P335" s="4" t="n">
        <x:f>IF(AND('계산 과정'!$L$7,O335&lt;&gt;0),('계산 과정'!$L$23-'계산 과정'!$C$49*D335-'계산 과정'!$D$49*E335)/O335,"")</x:f>
        <x:v>-17.834999639806284</x:v>
      </x:c>
      <x:c r="Q335" s="4" t="str">
        <x:f>IF(AND(ISNUMBER(P335),P335&gt;1E-9,P335&lt;1-1E-9),'계산 과정'!$C$47*(D335-'계산 과정'!$C$50+P335*('계산 과정'!$C$32-D335))+'계산 과정'!$D$47*(E335-'계산 과정'!$D$50+P335*('계산 과정'!$D$32-E335))+'계산 과정'!$E$47*(0-'계산 과정'!$E$50+P335*('계산 과정'!$E$32-0)),"")</x:f>
      </x:c>
      <x:c r="R335" s="4" t="str">
        <x:f>IF(AND(ISNUMBER(P335),P335&gt;1E-9,P335&lt;1-1E-9),'계산 과정'!$C$48*(D335-'계산 과정'!$C$50+P335*('계산 과정'!$C$32-D335))+'계산 과정'!$D$48*(E335-'계산 과정'!$D$50+P335*('계산 과정'!$D$32-E335))+'계산 과정'!$E$48*(0-'계산 과정'!$E$50+P335*('계산 과정'!$E$32-0)),"")</x:f>
      </x:c>
      <x:c r="S335" s="17" t="n">
        <x:f>IF('계산 과정'!$C$78,IF(AND(ISNUMBER(Q335),ISNUMBER(R335),ABS(Q335-'계산 과정'!$C$88)&lt;='계산 과정'!$D$23/2,ABS(R335-'계산 과정'!$C$89)&lt;='계산 과정'!$D$24/2),1,0),"")</x:f>
        <x:v>0</x:v>
      </x:c>
      <x:c r="T335" s="4"/>
      <x:c r="U335" s="4"/>
      <x:c r="V335" s="4"/>
      <x:c r="W335" s="4" t="n">
        <x:f>IF('계산 과정'!$C$78,'계산 과정'!$C$88+1*'계산 과정'!$D$23/2,"")</x:f>
        <x:v>288.723404255319</x:v>
      </x:c>
      <x:c r="X335" s="4" t="str">
        <x:f>""</x:f>
      </x:c>
      <x:c r="Y335" s="4" t="n">
        <x:f>IF('계산 과정'!$C$78,'계산 과정'!$C$89+0.52*'계산 과정'!$D$24/2,"")</x:f>
        <x:v>135.20000000000002</x:v>
      </x:c>
      <x:c r="Z335" s="4" t="str">
        <x:f>""</x:f>
      </x:c>
    </x:row>
    <x:row r="336" ht="23" customHeight="1">
      <x:c r="A336" s="17" t="n">
        <x:f>ROW()-6</x:f>
        <x:v>330</x:v>
      </x:c>
      <x:c r="B336" s="4" t="n">
        <x:f>IF('계산 과정'!$L$5,'계산 과정'!$L$11*SQRT((A336+0.5)/'계산 과정'!$L$30),"")</x:f>
        <x:v>60.25762561960519</x:v>
      </x:c>
      <x:c r="C336" s="4" t="n">
        <x:f>A336*PI()*(3-SQRT(5))</x:f>
        <x:v>791.9878658104553</x:v>
      </x:c>
      <x:c r="D336" s="4" t="n">
        <x:f>IF('계산 과정'!$L$5,B336*COS(C336),"")</x:f>
        <x:v>57.44903447271624</x:v>
      </x:c>
      <x:c r="E336" s="4" t="n">
        <x:f>IF('계산 과정'!$L$5,B336*SIN(C336),"")</x:f>
        <x:v>18.182130883512</x:v>
      </x:c>
      <x:c r="F336" s="4" t="n">
        <x:f>IF('계산 과정'!$L$7,'계산 과정'!$L$22+'계산 과정'!$C$49*D336+'계산 과정'!$D$49*E336,"")</x:f>
        <x:v>609.3773981517227</x:v>
      </x:c>
      <x:c r="G336" s="4" t="n">
        <x:f>IF('계산 과정'!$L$7,IF(ABS(F336)&gt;=1E-12*MAX(1,SQRT((D336-'계산 과정'!$C$33)^2+(E336-'계산 과정'!$D$33)^2+'계산 과정'!$E$33^2)),('계산 과정'!$L$23-'계산 과정'!$C$49*D336-'계산 과정'!$D$49*E336)/F336,""),"")</x:f>
        <x:v>0.7230701420576338</x:v>
      </x:c>
      <x:c r="H336" s="4" t="n">
        <x:f>IF(AND(ISNUMBER(G336),G336&gt;0),('계산 과정'!$D$56+'계산 과정'!$D$57*D336+'계산 과정'!$D$58*E336)/F336,"")</x:f>
        <x:v>69.99559233746191</x:v>
      </x:c>
      <x:c r="I336" s="4" t="n">
        <x:f>IF(AND(ISNUMBER(G336),G336&gt;0),('계산 과정'!$E$56+'계산 과정'!$E$57*D336+'계산 과정'!$E$58*E336)/F336,"")</x:f>
        <x:v>31.32908684436351</x:v>
      </x:c>
      <x:c r="J336" s="4" t="n">
        <x:f>IF('계산 과정'!$L$5,'계산 과정'!$D$6+'계산 과정'!$C$35*D336+'계산 과정'!$D$35*E336,"")</x:f>
        <x:v>609.3773981517227</x:v>
      </x:c>
      <x:c r="K336" s="4" t="n">
        <x:f>IF(AND('계산 과정'!$L$6,J336&gt;0),'계산 과정'!$D$10*('계산 과정'!$C$38*(D336-'계산 과정'!$C$32)+'계산 과정'!$D$38*(E336-'계산 과정'!$D$32)-'계산 과정'!$E$38*'계산 과정'!$E$32)/J336,"")</x:f>
        <x:v>0.5332997511425677</x:v>
      </x:c>
      <x:c r="L336" s="4" t="n">
        <x:f>IF(AND('계산 과정'!$L$6,J336&gt;0),'계산 과정'!$D$10*('계산 과정'!$C$39*(D336-'계산 과정'!$C$32)+'계산 과정'!$D$39*(E336-'계산 과정'!$D$32)-'계산 과정'!$E$39*'계산 과정'!$E$32)/J336,"")</x:f>
        <x:v>0.23869780452848388</x:v>
      </x:c>
      <x:c r="M336" s="17" t="n">
        <x:f>IF('계산 과정'!$L$6,IF(J336&lt;=0,0,IF(AND(ABS(K336)&lt;='계산 과정'!$D$11/2,ABS(L336)&lt;='계산 과정'!$D$12/2),1,0)),"")</x:f>
        <x:v>1</x:v>
      </x:c>
      <x:c r="N336" s="17" t="n">
        <x:f>IF('계산 과정'!$C$78,IF(AND(ISNUMBER(H336),ISNUMBER(I336),ABS(H336-'계산 과정'!$C$88)&lt;='계산 과정'!$D$23/2,ABS(I336-'계산 과정'!$C$89)&lt;='계산 과정'!$D$24/2),1,0),"")</x:f>
        <x:v>1</x:v>
      </x:c>
      <x:c r="O336" s="4" t="n">
        <x:f>IF('계산 과정'!$L$7,'계산 과정'!$C$49*('계산 과정'!$C$32-D336)+'계산 과정'!$D$49*('계산 과정'!$D$32-E336)+'계산 과정'!$E$49*'계산 과정'!$E$32,"")</x:f>
        <x:v>40.6226018482775</x:v>
      </x:c>
      <x:c r="P336" s="4" t="n">
        <x:f>IF(AND('계산 과정'!$L$7,O336&lt;&gt;0),('계산 과정'!$L$23-'계산 과정'!$C$49*D336-'계산 과정'!$D$49*E336)/O336,"")</x:f>
        <x:v>10.846735112979006</x:v>
      </x:c>
      <x:c r="Q336" s="4" t="str">
        <x:f>IF(AND(ISNUMBER(P336),P336&gt;1E-9,P336&lt;1-1E-9),'계산 과정'!$C$47*(D336-'계산 과정'!$C$50+P336*('계산 과정'!$C$32-D336))+'계산 과정'!$D$47*(E336-'계산 과정'!$D$50+P336*('계산 과정'!$D$32-E336))+'계산 과정'!$E$47*(0-'계산 과정'!$E$50+P336*('계산 과정'!$E$32-0)),"")</x:f>
      </x:c>
      <x:c r="R336" s="4" t="str">
        <x:f>IF(AND(ISNUMBER(P336),P336&gt;1E-9,P336&lt;1-1E-9),'계산 과정'!$C$48*(D336-'계산 과정'!$C$50+P336*('계산 과정'!$C$32-D336))+'계산 과정'!$D$48*(E336-'계산 과정'!$D$50+P336*('계산 과정'!$D$32-E336))+'계산 과정'!$E$48*(0-'계산 과정'!$E$50+P336*('계산 과정'!$E$32-0)),"")</x:f>
      </x:c>
      <x:c r="S336" s="17" t="n">
        <x:f>IF('계산 과정'!$C$78,IF(AND(ISNUMBER(Q336),ISNUMBER(R336),ABS(Q336-'계산 과정'!$C$88)&lt;='계산 과정'!$D$23/2,ABS(R336-'계산 과정'!$C$89)&lt;='계산 과정'!$D$24/2),1,0),"")</x:f>
        <x:v>0</x:v>
      </x:c>
      <x:c r="T336" s="4"/>
      <x:c r="U336" s="4"/>
      <x:c r="V336" s="4"/>
      <x:c r="W336" s="4" t="n">
        <x:f>IF('계산 과정'!$C$78,'계산 과정'!$C$88+1*'계산 과정'!$D$23/2,"")</x:f>
        <x:v>288.723404255319</x:v>
      </x:c>
      <x:c r="X336" s="4" t="str">
        <x:f>""</x:f>
      </x:c>
      <x:c r="Y336" s="4" t="n">
        <x:f>IF('계산 과정'!$C$78,'계산 과정'!$C$89+0.56*'계산 과정'!$D$24/2,"")</x:f>
        <x:v>145.60000000000002</x:v>
      </x:c>
      <x:c r="Z336" s="4" t="str">
        <x:f>""</x:f>
      </x:c>
    </x:row>
    <x:row r="337" ht="23" customHeight="1">
      <x:c r="A337" s="17" t="n">
        <x:f>ROW()-6</x:f>
        <x:v>331</x:v>
      </x:c>
      <x:c r="B337" s="4" t="n">
        <x:f>IF('계산 과정'!$L$5,'계산 과정'!$L$11*SQRT((A337+0.5)/'계산 과정'!$L$30),"")</x:f>
        <x:v>60.348718076173746</x:v>
      </x:c>
      <x:c r="C337" s="4" t="n">
        <x:f>A337*PI()*(3-SQRT(5))</x:f>
        <x:v>794.3878290401841</x:v>
      </x:c>
      <x:c r="D337" s="4" t="n">
        <x:f>IF('계산 과정'!$L$5,B337*COS(C337),"")</x:f>
        <x:v>-54.725587744470886</x:v>
      </x:c>
      <x:c r="E337" s="4" t="n">
        <x:f>IF('계산 과정'!$L$5,B337*SIN(C337),"")</x:f>
        <x:v>25.437724337285328</x:v>
      </x:c>
      <x:c r="F337" s="4" t="n">
        <x:f>IF('계산 과정'!$L$7,'계산 과정'!$L$22+'계산 과정'!$C$49*D337+'계산 과정'!$D$49*E337,"")</x:f>
        <x:v>688.6968341985348</x:v>
      </x:c>
      <x:c r="G337" s="4" t="n">
        <x:f>IF('계산 과정'!$L$7,IF(ABS(F337)&gt;=1E-12*MAX(1,SQRT((D337-'계산 과정'!$C$33)^2+(E337-'계산 과정'!$D$33)^2+'계산 과정'!$E$33^2)),('계산 과정'!$L$23-'계산 과정'!$C$49*D337-'계산 과정'!$D$49*E337)/F337,""),"")</x:f>
        <x:v>0.52461859538229</x:v>
      </x:c>
      <x:c r="H337" s="4" t="n">
        <x:f>IF(AND(ISNUMBER(G337),G337&gt;0),('계산 과정'!$D$56+'계산 과정'!$D$57*D337+'계산 과정'!$D$58*E337)/F337,"")</x:f>
        <x:v>-58.997913001511584</x:v>
      </x:c>
      <x:c r="I337" s="4" t="n">
        <x:f>IF(AND(ISNUMBER(G337),G337&gt;0),('계산 과정'!$E$56+'계산 과정'!$E$57*D337+'계산 과정'!$E$58*E337)/F337,"")</x:f>
        <x:v>38.78282754883385</x:v>
      </x:c>
      <x:c r="J337" s="4" t="n">
        <x:f>IF('계산 과정'!$L$5,'계산 과정'!$D$6+'계산 과정'!$C$35*D337+'계산 과정'!$D$35*E337,"")</x:f>
        <x:v>688.6968341985348</x:v>
      </x:c>
      <x:c r="K337" s="4" t="n">
        <x:f>IF(AND('계산 과정'!$L$6,J337&gt;0),'계산 과정'!$D$10*('계산 과정'!$C$38*(D337-'계산 과정'!$C$32)+'계산 과정'!$D$38*(E337-'계산 과정'!$D$32)-'계산 과정'!$E$38*'계산 과정'!$E$32)/J337,"")</x:f>
        <x:v>-0.4495079085829442</x:v>
      </x:c>
      <x:c r="L337" s="4" t="n">
        <x:f>IF(AND('계산 과정'!$L$6,J337&gt;0),'계산 과정'!$D$10*('계산 과정'!$C$39*(D337-'계산 과정'!$C$32)+'계산 과정'!$D$39*(E337-'계산 과정'!$D$32)-'계산 과정'!$E$39*'계산 과정'!$E$32)/J337,"")</x:f>
        <x:v>0.29548820989587693</x:v>
      </x:c>
      <x:c r="M337" s="17" t="n">
        <x:f>IF('계산 과정'!$L$6,IF(J337&lt;=0,0,IF(AND(ABS(K337)&lt;='계산 과정'!$D$11/2,ABS(L337)&lt;='계산 과정'!$D$12/2),1,0)),"")</x:f>
        <x:v>1</x:v>
      </x:c>
      <x:c r="N337" s="17" t="n">
        <x:f>IF('계산 과정'!$C$78,IF(AND(ISNUMBER(H337),ISNUMBER(I337),ABS(H337-'계산 과정'!$C$88)&lt;='계산 과정'!$D$23/2,ABS(I337-'계산 과정'!$C$89)&lt;='계산 과정'!$D$24/2),1,0),"")</x:f>
        <x:v>1</x:v>
      </x:c>
      <x:c r="O337" s="4" t="n">
        <x:f>IF('계산 과정'!$L$7,'계산 과정'!$C$49*('계산 과정'!$C$32-D337)+'계산 과정'!$D$49*('계산 과정'!$D$32-E337)+'계산 과정'!$E$49*'계산 과정'!$E$32,"")</x:f>
        <x:v>-38.696834198534646</x:v>
      </x:c>
      <x:c r="P337" s="4" t="n">
        <x:f>IF(AND('계산 과정'!$L$7,O337&lt;&gt;0),('계산 과정'!$L$23-'계산 과정'!$C$49*D337-'계산 과정'!$D$49*E337)/O337,"")</x:f>
        <x:v>-9.336762897651894</x:v>
      </x:c>
      <x:c r="Q337" s="4" t="str">
        <x:f>IF(AND(ISNUMBER(P337),P337&gt;1E-9,P337&lt;1-1E-9),'계산 과정'!$C$47*(D337-'계산 과정'!$C$50+P337*('계산 과정'!$C$32-D337))+'계산 과정'!$D$47*(E337-'계산 과정'!$D$50+P337*('계산 과정'!$D$32-E337))+'계산 과정'!$E$47*(0-'계산 과정'!$E$50+P337*('계산 과정'!$E$32-0)),"")</x:f>
      </x:c>
      <x:c r="R337" s="4" t="str">
        <x:f>IF(AND(ISNUMBER(P337),P337&gt;1E-9,P337&lt;1-1E-9),'계산 과정'!$C$48*(D337-'계산 과정'!$C$50+P337*('계산 과정'!$C$32-D337))+'계산 과정'!$D$48*(E337-'계산 과정'!$D$50+P337*('계산 과정'!$D$32-E337))+'계산 과정'!$E$48*(0-'계산 과정'!$E$50+P337*('계산 과정'!$E$32-0)),"")</x:f>
      </x:c>
      <x:c r="S337" s="17" t="n">
        <x:f>IF('계산 과정'!$C$78,IF(AND(ISNUMBER(Q337),ISNUMBER(R337),ABS(Q337-'계산 과정'!$C$88)&lt;='계산 과정'!$D$23/2,ABS(R337-'계산 과정'!$C$89)&lt;='계산 과정'!$D$24/2),1,0),"")</x:f>
        <x:v>0</x:v>
      </x:c>
      <x:c r="T337" s="4"/>
      <x:c r="U337" s="4"/>
      <x:c r="V337" s="4"/>
      <x:c r="W337" s="4" t="n">
        <x:f>IF('계산 과정'!$C$78,'계산 과정'!$C$88+1*'계산 과정'!$D$23/2,"")</x:f>
        <x:v>288.723404255319</x:v>
      </x:c>
      <x:c r="X337" s="4" t="str">
        <x:f>""</x:f>
      </x:c>
      <x:c r="Y337" s="4" t="n">
        <x:f>IF('계산 과정'!$C$78,'계산 과정'!$C$89+0.6000000000000001*'계산 과정'!$D$24/2,"")</x:f>
        <x:v>156.00000000000003</x:v>
      </x:c>
      <x:c r="Z337" s="4" t="str">
        <x:f>""</x:f>
      </x:c>
    </x:row>
    <x:row r="338" ht="23" customHeight="1">
      <x:c r="A338" s="17" t="n">
        <x:f>ROW()-6</x:f>
        <x:v>332</x:v>
      </x:c>
      <x:c r="B338" s="4" t="n">
        <x:f>IF('계산 과정'!$L$5,'계산 과정'!$L$11*SQRT((A338+0.5)/'계산 과정'!$L$30),"")</x:f>
        <x:v>60.439673241692</x:v>
      </x:c>
      <x:c r="C338" s="4" t="n">
        <x:f>A338*PI()*(3-SQRT(5))</x:f>
        <x:v>796.7877922699129</x:v>
      </x:c>
      <x:c r="D338" s="4" t="n">
        <x:f>IF('계산 과정'!$L$5,B338*COS(C338),"")</x:f>
        <x:v>23.204930247431406</x:v>
      </x:c>
      <x:c r="E338" s="4" t="n">
        <x:f>IF('계산 과정'!$L$5,B338*SIN(C338),"")</x:f>
        <x:v>-55.807573982160726</x:v>
      </x:c>
      <x:c r="F338" s="4" t="n">
        <x:f>IF('계산 과정'!$L$7,'계산 과정'!$L$22+'계산 과정'!$C$49*D338+'계산 과정'!$D$49*E338,"")</x:f>
        <x:v>633.5916364650805</x:v>
      </x:c>
      <x:c r="G338" s="4" t="n">
        <x:f>IF('계산 과정'!$L$7,IF(ABS(F338)&gt;=1E-12*MAX(1,SQRT((D338-'계산 과정'!$C$33)^2+(E338-'계산 과정'!$D$33)^2+'계산 과정'!$E$33^2)),('계산 과정'!$L$23-'계산 과정'!$C$49*D338-'계산 과정'!$D$49*E338)/F338,""),"")</x:f>
        <x:v>0.657218845024747</x:v>
      </x:c>
      <x:c r="H338" s="4" t="n">
        <x:f>IF(AND(ISNUMBER(G338),G338&gt;0),('계산 과정'!$D$56+'계산 과정'!$D$57*D338+'계산 과정'!$D$58*E338)/F338,"")</x:f>
        <x:v>27.19224926608549</x:v>
      </x:c>
      <x:c r="I338" s="4" t="n">
        <x:f>IF(AND(ISNUMBER(G338),G338&gt;0),('계산 과정'!$E$56+'계산 과정'!$E$57*D338+'계산 과정'!$E$58*E338)/F338,"")</x:f>
        <x:v>-92.48536329834951</x:v>
      </x:c>
      <x:c r="J338" s="4" t="n">
        <x:f>IF('계산 과정'!$L$5,'계산 과정'!$D$6+'계산 과정'!$C$35*D338+'계산 과정'!$D$35*E338,"")</x:f>
        <x:v>633.5916364650805</x:v>
      </x:c>
      <x:c r="K338" s="4" t="n">
        <x:f>IF(AND('계산 과정'!$L$6,J338&gt;0),'계산 과정'!$D$10*('계산 과정'!$C$38*(D338-'계산 과정'!$C$32)+'계산 과정'!$D$38*(E338-'계산 과정'!$D$32)-'계산 과정'!$E$38*'계산 과정'!$E$32)/J338,"")</x:f>
        <x:v>0.20717904202731913</x:v>
      </x:c>
      <x:c r="L338" s="4" t="n">
        <x:f>IF(AND('계산 과정'!$L$6,J338&gt;0),'계산 과정'!$D$10*('계산 과정'!$C$39*(D338-'계산 과정'!$C$32)+'계산 과정'!$D$39*(E338-'계산 과정'!$D$32)-'계산 과정'!$E$39*'계산 과정'!$E$32)/J338,"")</x:f>
        <x:v>-0.7046503870350439</x:v>
      </x:c>
      <x:c r="M338" s="17" t="n">
        <x:f>IF('계산 과정'!$L$6,IF(J338&lt;=0,0,IF(AND(ABS(K338)&lt;='계산 과정'!$D$11/2,ABS(L338)&lt;='계산 과정'!$D$12/2),1,0)),"")</x:f>
        <x:v>1</x:v>
      </x:c>
      <x:c r="N338" s="17" t="n">
        <x:f>IF('계산 과정'!$C$78,IF(AND(ISNUMBER(H338),ISNUMBER(I338),ABS(H338-'계산 과정'!$C$88)&lt;='계산 과정'!$D$23/2,ABS(I338-'계산 과정'!$C$89)&lt;='계산 과정'!$D$24/2),1,0),"")</x:f>
        <x:v>1</x:v>
      </x:c>
      <x:c r="O338" s="4" t="n">
        <x:f>IF('계산 과정'!$L$7,'계산 과정'!$C$49*('계산 과정'!$C$32-D338)+'계산 과정'!$D$49*('계산 과정'!$D$32-E338)+'계산 과정'!$E$49*'계산 과정'!$E$32,"")</x:f>
        <x:v>16.408363534919715</x:v>
      </x:c>
      <x:c r="P338" s="4" t="n">
        <x:f>IF(AND('계산 과정'!$L$7,O338&lt;&gt;0),('계산 과정'!$L$23-'계산 과정'!$C$49*D338-'계산 과정'!$D$49*E338)/O338,"")</x:f>
        <x:v>25.377811909684574</x:v>
      </x:c>
      <x:c r="Q338" s="4" t="str">
        <x:f>IF(AND(ISNUMBER(P338),P338&gt;1E-9,P338&lt;1-1E-9),'계산 과정'!$C$47*(D338-'계산 과정'!$C$50+P338*('계산 과정'!$C$32-D338))+'계산 과정'!$D$47*(E338-'계산 과정'!$D$50+P338*('계산 과정'!$D$32-E338))+'계산 과정'!$E$47*(0-'계산 과정'!$E$50+P338*('계산 과정'!$E$32-0)),"")</x:f>
      </x:c>
      <x:c r="R338" s="4" t="str">
        <x:f>IF(AND(ISNUMBER(P338),P338&gt;1E-9,P338&lt;1-1E-9),'계산 과정'!$C$48*(D338-'계산 과정'!$C$50+P338*('계산 과정'!$C$32-D338))+'계산 과정'!$D$48*(E338-'계산 과정'!$D$50+P338*('계산 과정'!$D$32-E338))+'계산 과정'!$E$48*(0-'계산 과정'!$E$50+P338*('계산 과정'!$E$32-0)),"")</x:f>
      </x:c>
      <x:c r="S338" s="17" t="n">
        <x:f>IF('계산 과정'!$C$78,IF(AND(ISNUMBER(Q338),ISNUMBER(R338),ABS(Q338-'계산 과정'!$C$88)&lt;='계산 과정'!$D$23/2,ABS(R338-'계산 과정'!$C$89)&lt;='계산 과정'!$D$24/2),1,0),"")</x:f>
        <x:v>0</x:v>
      </x:c>
      <x:c r="T338" s="4"/>
      <x:c r="U338" s="4"/>
      <x:c r="V338" s="4"/>
      <x:c r="W338" s="4" t="n">
        <x:f>IF('계산 과정'!$C$78,'계산 과정'!$C$88+1*'계산 과정'!$D$23/2,"")</x:f>
        <x:v>288.723404255319</x:v>
      </x:c>
      <x:c r="X338" s="4" t="str">
        <x:f>""</x:f>
      </x:c>
      <x:c r="Y338" s="4" t="n">
        <x:f>IF('계산 과정'!$C$78,'계산 과정'!$C$89+0.6399999999999999*'계산 과정'!$D$24/2,"")</x:f>
        <x:v>166.39999999999998</x:v>
      </x:c>
      <x:c r="Z338" s="4" t="str">
        <x:f>""</x:f>
      </x:c>
    </x:row>
    <x:row r="339" ht="23" customHeight="1">
      <x:c r="A339" s="17" t="n">
        <x:f>ROW()-6</x:f>
        <x:v>333</x:v>
      </x:c>
      <x:c r="B339" s="4" t="n">
        <x:f>IF('계산 과정'!$L$5,'계산 과정'!$L$11*SQRT((A339+0.5)/'계산 과정'!$L$30),"")</x:f>
        <x:v>60.53049173505449</x:v>
      </x:c>
      <x:c r="C339" s="4" t="n">
        <x:f>A339*PI()*(3-SQRT(5))</x:f>
        <x:v>799.1877554996414</x:v>
      </x:c>
      <x:c r="D339" s="4" t="n">
        <x:f>IF('계산 과정'!$L$5,B339*COS(C339),"")</x:f>
        <x:v>20.61781566333539</x:v>
      </x:c>
      <x:c r="E339" s="4" t="n">
        <x:f>IF('계산 과정'!$L$5,B339*SIN(C339),"")</x:f>
        <x:v>56.91086106324716</x:v>
      </x:c>
      <x:c r="F339" s="4" t="n">
        <x:f>IF('계산 과정'!$L$7,'계산 과정'!$L$22+'계산 과정'!$C$49*D339+'계산 과정'!$D$49*E339,"")</x:f>
        <x:v>635.4210027312014</x:v>
      </x:c>
      <x:c r="G339" s="4" t="n">
        <x:f>IF('계산 과정'!$L$7,IF(ABS(F339)&gt;=1E-12*MAX(1,SQRT((D339-'계산 과정'!$C$33)^2+(E339-'계산 과정'!$D$33)^2+'계산 과정'!$E$33^2)),('계산 과정'!$L$23-'계산 과정'!$C$49*D339-'계산 과정'!$D$49*E339)/F339,""),"")</x:f>
        <x:v>0.6524477401389512</x:v>
      </x:c>
      <x:c r="H339" s="4" t="n">
        <x:f>IF(AND(ISNUMBER(G339),G339&gt;0),('계산 과정'!$D$56+'계산 과정'!$D$57*D339+'계산 과정'!$D$58*E339)/F339,"")</x:f>
        <x:v>24.09103109031819</x:v>
      </x:c>
      <x:c r="I339" s="4" t="n">
        <x:f>IF(AND(ISNUMBER(G339),G339&gt;0),('계산 과정'!$E$56+'계산 과정'!$E$57*D339+'계산 과정'!$E$58*E339)/F339,"")</x:f>
        <x:v>94.04222375332459</x:v>
      </x:c>
      <x:c r="J339" s="4" t="n">
        <x:f>IF('계산 과정'!$L$5,'계산 과정'!$D$6+'계산 과정'!$C$35*D339+'계산 과정'!$D$35*E339,"")</x:f>
        <x:v>635.4210027312014</x:v>
      </x:c>
      <x:c r="K339" s="4" t="n">
        <x:f>IF(AND('계산 과정'!$L$6,J339&gt;0),'계산 과정'!$D$10*('계산 과정'!$C$38*(D339-'계산 과정'!$C$32)+'계산 과정'!$D$38*(E339-'계산 과정'!$D$32)-'계산 과정'!$E$38*'계산 과정'!$E$32)/J339,"")</x:f>
        <x:v>0.18355071306909188</x:v>
      </x:c>
      <x:c r="L339" s="4" t="n">
        <x:f>IF(AND('계산 과정'!$L$6,J339&gt;0),'계산 과정'!$D$10*('계산 과정'!$C$39*(D339-'계산 과정'!$C$32)+'계산 과정'!$D$39*(E339-'계산 과정'!$D$32)-'계산 과정'!$E$39*'계산 과정'!$E$32)/J339,"")</x:f>
        <x:v>0.7165121809777112</x:v>
      </x:c>
      <x:c r="M339" s="17" t="n">
        <x:f>IF('계산 과정'!$L$6,IF(J339&lt;=0,0,IF(AND(ABS(K339)&lt;='계산 과정'!$D$11/2,ABS(L339)&lt;='계산 과정'!$D$12/2),1,0)),"")</x:f>
        <x:v>1</x:v>
      </x:c>
      <x:c r="N339" s="17" t="n">
        <x:f>IF('계산 과정'!$C$78,IF(AND(ISNUMBER(H339),ISNUMBER(I339),ABS(H339-'계산 과정'!$C$88)&lt;='계산 과정'!$D$23/2,ABS(I339-'계산 과정'!$C$89)&lt;='계산 과정'!$D$24/2),1,0),"")</x:f>
        <x:v>1</x:v>
      </x:c>
      <x:c r="O339" s="4" t="n">
        <x:f>IF('계산 과정'!$L$7,'계산 과정'!$C$49*('계산 과정'!$C$32-D339)+'계산 과정'!$D$49*('계산 과정'!$D$32-E339)+'계산 과정'!$E$49*'계산 과정'!$E$32,"")</x:f>
        <x:v>14.578997268798787</x:v>
      </x:c>
      <x:c r="P339" s="4" t="n">
        <x:f>IF(AND('계산 과정'!$L$7,O339&lt;&gt;0),('계산 과정'!$L$23-'계산 과정'!$C$49*D339-'계산 과정'!$D$49*E339)/O339,"")</x:f>
        <x:v>28.43672919509074</x:v>
      </x:c>
      <x:c r="Q339" s="4" t="str">
        <x:f>IF(AND(ISNUMBER(P339),P339&gt;1E-9,P339&lt;1-1E-9),'계산 과정'!$C$47*(D339-'계산 과정'!$C$50+P339*('계산 과정'!$C$32-D339))+'계산 과정'!$D$47*(E339-'계산 과정'!$D$50+P339*('계산 과정'!$D$32-E339))+'계산 과정'!$E$47*(0-'계산 과정'!$E$50+P339*('계산 과정'!$E$32-0)),"")</x:f>
      </x:c>
      <x:c r="R339" s="4" t="str">
        <x:f>IF(AND(ISNUMBER(P339),P339&gt;1E-9,P339&lt;1-1E-9),'계산 과정'!$C$48*(D339-'계산 과정'!$C$50+P339*('계산 과정'!$C$32-D339))+'계산 과정'!$D$48*(E339-'계산 과정'!$D$50+P339*('계산 과정'!$D$32-E339))+'계산 과정'!$E$48*(0-'계산 과정'!$E$50+P339*('계산 과정'!$E$32-0)),"")</x:f>
      </x:c>
      <x:c r="S339" s="17" t="n">
        <x:f>IF('계산 과정'!$C$78,IF(AND(ISNUMBER(Q339),ISNUMBER(R339),ABS(Q339-'계산 과정'!$C$88)&lt;='계산 과정'!$D$23/2,ABS(R339-'계산 과정'!$C$89)&lt;='계산 과정'!$D$24/2),1,0),"")</x:f>
        <x:v>0</x:v>
      </x:c>
      <x:c r="T339" s="4"/>
      <x:c r="U339" s="4"/>
      <x:c r="V339" s="4"/>
      <x:c r="W339" s="4" t="n">
        <x:f>IF('계산 과정'!$C$78,'계산 과정'!$C$88+1*'계산 과정'!$D$23/2,"")</x:f>
        <x:v>288.723404255319</x:v>
      </x:c>
      <x:c r="X339" s="4" t="str">
        <x:f>""</x:f>
      </x:c>
      <x:c r="Y339" s="4" t="n">
        <x:f>IF('계산 과정'!$C$78,'계산 과정'!$C$89+0.6799999999999999*'계산 과정'!$D$24/2,"")</x:f>
        <x:v>176.79999999999998</x:v>
      </x:c>
      <x:c r="Z339" s="4" t="str">
        <x:f>""</x:f>
      </x:c>
    </x:row>
    <x:row r="340" ht="23" customHeight="1">
      <x:c r="A340" s="17" t="n">
        <x:f>ROW()-6</x:f>
        <x:v>334</x:v>
      </x:c>
      <x:c r="B340" s="4" t="n">
        <x:f>IF('계산 과정'!$L$5,'계산 과정'!$L$11*SQRT((A340+0.5)/'계산 과정'!$L$30),"")</x:f>
        <x:v>60.62117417051982</x:v>
      </x:c>
      <x:c r="C340" s="4" t="n">
        <x:f>A340*PI()*(3-SQRT(5))</x:f>
        <x:v>801.5877187293702</x:v>
      </x:c>
      <x:c r="D340" s="4" t="n">
        <x:f>IF('계산 과정'!$L$5,B340*COS(C340),"")</x:f>
        <x:v>-53.72603798022562</x:v>
      </x:c>
      <x:c r="E340" s="4" t="n">
        <x:f>IF('계산 과정'!$L$5,B340*SIN(C340),"")</x:f>
        <x:v>-28.079166667831405</x:v>
      </x:c>
      <x:c r="F340" s="4" t="n">
        <x:f>IF('계산 과정'!$L$7,'계산 과정'!$L$22+'계산 과정'!$C$49*D340+'계산 과정'!$D$49*E340,"")</x:f>
        <x:v>687.9900457821035</x:v>
      </x:c>
      <x:c r="G340" s="4" t="n">
        <x:f>IF('계산 과정'!$L$7,IF(ABS(F340)&gt;=1E-12*MAX(1,SQRT((D340-'계산 과정'!$C$33)^2+(E340-'계산 과정'!$D$33)^2+'계산 과정'!$E$33^2)),('계산 과정'!$L$23-'계산 과정'!$C$49*D340-'계산 과정'!$D$49*E340)/F340,""),"")</x:f>
        <x:v>0.526184872059254</x:v>
      </x:c>
      <x:c r="H340" s="4" t="n">
        <x:f>IF(AND(ISNUMBER(G340),G340&gt;0),('계산 과정'!$D$56+'계산 과정'!$D$57*D340+'계산 과정'!$D$58*E340)/F340,"")</x:f>
        <x:v>-57.979833161485026</x:v>
      </x:c>
      <x:c r="I340" s="4" t="n">
        <x:f>IF(AND(ISNUMBER(G340),G340&gt;0),('계산 과정'!$E$56+'계산 과정'!$E$57*D340+'계산 과정'!$E$58*E340)/F340,"")</x:f>
        <x:v>-42.85399938847475</x:v>
      </x:c>
      <x:c r="J340" s="4" t="n">
        <x:f>IF('계산 과정'!$L$5,'계산 과정'!$D$6+'계산 과정'!$C$35*D340+'계산 과정'!$D$35*E340,"")</x:f>
        <x:v>687.9900457821035</x:v>
      </x:c>
      <x:c r="K340" s="4" t="n">
        <x:f>IF(AND('계산 과정'!$L$6,J340&gt;0),'계산 과정'!$D$10*('계산 과정'!$C$38*(D340-'계산 과정'!$C$32)+'계산 과정'!$D$38*(E340-'계산 과정'!$D$32)-'계산 과정'!$E$38*'계산 과정'!$E$32)/J340,"")</x:f>
        <x:v>-0.44175110980178983</x:v>
      </x:c>
      <x:c r="L340" s="4" t="n">
        <x:f>IF(AND('계산 과정'!$L$6,J340&gt;0),'계산 과정'!$D$10*('계산 과정'!$C$39*(D340-'계산 과정'!$C$32)+'계산 과정'!$D$39*(E340-'계산 과정'!$D$32)-'계산 과정'!$E$39*'계산 과정'!$E$32)/J340,"")</x:f>
        <x:v>-0.3265066620074266</x:v>
      </x:c>
      <x:c r="M340" s="17" t="n">
        <x:f>IF('계산 과정'!$L$6,IF(J340&lt;=0,0,IF(AND(ABS(K340)&lt;='계산 과정'!$D$11/2,ABS(L340)&lt;='계산 과정'!$D$12/2),1,0)),"")</x:f>
        <x:v>1</x:v>
      </x:c>
      <x:c r="N340" s="17" t="n">
        <x:f>IF('계산 과정'!$C$78,IF(AND(ISNUMBER(H340),ISNUMBER(I340),ABS(H340-'계산 과정'!$C$88)&lt;='계산 과정'!$D$23/2,ABS(I340-'계산 과정'!$C$89)&lt;='계산 과정'!$D$24/2),1,0),"")</x:f>
        <x:v>1</x:v>
      </x:c>
      <x:c r="O340" s="4" t="n">
        <x:f>IF('계산 과정'!$L$7,'계산 과정'!$C$49*('계산 과정'!$C$32-D340)+'계산 과정'!$D$49*('계산 과정'!$D$32-E340)+'계산 과정'!$E$49*'계산 과정'!$E$32,"")</x:f>
        <x:v>-37.99004578210344</x:v>
      </x:c>
      <x:c r="P340" s="4" t="n">
        <x:f>IF(AND('계산 과정'!$L$7,O340&lt;&gt;0),('계산 과정'!$L$23-'계산 과정'!$C$49*D340-'계산 과정'!$D$49*E340)/O340,"")</x:f>
        <x:v>-9.52907391305209</x:v>
      </x:c>
      <x:c r="Q340" s="4" t="str">
        <x:f>IF(AND(ISNUMBER(P340),P340&gt;1E-9,P340&lt;1-1E-9),'계산 과정'!$C$47*(D340-'계산 과정'!$C$50+P340*('계산 과정'!$C$32-D340))+'계산 과정'!$D$47*(E340-'계산 과정'!$D$50+P340*('계산 과정'!$D$32-E340))+'계산 과정'!$E$47*(0-'계산 과정'!$E$50+P340*('계산 과정'!$E$32-0)),"")</x:f>
      </x:c>
      <x:c r="R340" s="4" t="str">
        <x:f>IF(AND(ISNUMBER(P340),P340&gt;1E-9,P340&lt;1-1E-9),'계산 과정'!$C$48*(D340-'계산 과정'!$C$50+P340*('계산 과정'!$C$32-D340))+'계산 과정'!$D$48*(E340-'계산 과정'!$D$50+P340*('계산 과정'!$D$32-E340))+'계산 과정'!$E$48*(0-'계산 과정'!$E$50+P340*('계산 과정'!$E$32-0)),"")</x:f>
      </x:c>
      <x:c r="S340" s="17" t="n">
        <x:f>IF('계산 과정'!$C$78,IF(AND(ISNUMBER(Q340),ISNUMBER(R340),ABS(Q340-'계산 과정'!$C$88)&lt;='계산 과정'!$D$23/2,ABS(R340-'계산 과정'!$C$89)&lt;='계산 과정'!$D$24/2),1,0),"")</x:f>
        <x:v>0</x:v>
      </x:c>
      <x:c r="T340" s="4"/>
      <x:c r="U340" s="4"/>
      <x:c r="V340" s="4"/>
      <x:c r="W340" s="4" t="n">
        <x:f>IF('계산 과정'!$C$78,'계산 과정'!$C$88+1*'계산 과정'!$D$23/2,"")</x:f>
        <x:v>288.723404255319</x:v>
      </x:c>
      <x:c r="X340" s="4" t="str">
        <x:f>""</x:f>
      </x:c>
      <x:c r="Y340" s="4" t="n">
        <x:f>IF('계산 과정'!$C$78,'계산 과정'!$C$89+0.72*'계산 과정'!$D$24/2,"")</x:f>
        <x:v>187.2</x:v>
      </x:c>
      <x:c r="Z340" s="4" t="str">
        <x:f>""</x:f>
      </x:c>
    </x:row>
    <x:row r="341" ht="23" customHeight="1">
      <x:c r="A341" s="17" t="n">
        <x:f>ROW()-6</x:f>
        <x:v>335</x:v>
      </x:c>
      <x:c r="B341" s="4" t="n">
        <x:f>IF('계산 과정'!$L$5,'계산 과정'!$L$11*SQRT((A341+0.5)/'계산 과정'!$L$30),"")</x:f>
        <x:v>60.71172115775915</x:v>
      </x:c>
      <x:c r="C341" s="4" t="n">
        <x:f>A341*PI()*(3-SQRT(5))</x:f>
        <x:v>803.9876819590987</x:v>
      </x:c>
      <x:c r="D341" s="4" t="n">
        <x:f>IF('계산 과정'!$L$5,B341*COS(C341),"")</x:f>
        <x:v>58.67061573544092</x:v>
      </x:c>
      <x:c r="E341" s="4" t="n">
        <x:f>IF('계산 과정'!$L$5,B341*SIN(C341),"")</x:f>
        <x:v>-15.609994720105856</x:v>
      </x:c>
      <x:c r="F341" s="4" t="n">
        <x:f>IF('계산 과정'!$L$7,'계산 과정'!$L$22+'계산 과정'!$C$49*D341+'계산 과정'!$D$49*E341,"")</x:f>
        <x:v>608.5136097570796</x:v>
      </x:c>
      <x:c r="G341" s="4" t="n">
        <x:f>IF('계산 과정'!$L$7,IF(ABS(F341)&gt;=1E-12*MAX(1,SQRT((D341-'계산 과정'!$C$33)^2+(E341-'계산 과정'!$D$33)^2+'계산 과정'!$E$33^2)),('계산 과정'!$L$23-'계산 과정'!$C$49*D341-'계산 과정'!$D$49*E341)/F341,""),"")</x:f>
        <x:v>0.7255160495410499</x:v>
      </x:c>
      <x:c r="H341" s="4" t="n">
        <x:f>IF(AND(ISNUMBER(G341),G341&gt;0),('계산 과정'!$D$56+'계산 과정'!$D$57*D341+'계산 과정'!$D$58*E341)/F341,"")</x:f>
        <x:v>71.58543220168232</x:v>
      </x:c>
      <x:c r="I341" s="4" t="n">
        <x:f>IF(AND(ISNUMBER(G341),G341&gt;0),('계산 과정'!$E$56+'계산 과정'!$E$57*D341+'계산 과정'!$E$58*E341)/F341,"")</x:f>
        <x:v>-26.935296422793698</x:v>
      </x:c>
      <x:c r="J341" s="4" t="n">
        <x:f>IF('계산 과정'!$L$5,'계산 과정'!$D$6+'계산 과정'!$C$35*D341+'계산 과정'!$D$35*E341,"")</x:f>
        <x:v>608.5136097570796</x:v>
      </x:c>
      <x:c r="K341" s="4" t="n">
        <x:f>IF(AND('계산 과정'!$L$6,J341&gt;0),'계산 과정'!$D$10*('계산 과정'!$C$38*(D341-'계산 과정'!$C$32)+'계산 과정'!$D$38*(E341-'계산 과정'!$D$32)-'계산 과정'!$E$38*'계산 과정'!$E$32)/J341,"")</x:f>
        <x:v>0.5454128167747232</x:v>
      </x:c>
      <x:c r="L341" s="4" t="n">
        <x:f>IF(AND('계산 과정'!$L$6,J341&gt;0),'계산 과정'!$D$10*('계산 과정'!$C$39*(D341-'계산 과정'!$C$32)+'계산 과정'!$D$39*(E341-'계산 과정'!$D$32)-'계산 과정'!$E$39*'계산 과정'!$E$32)/J341,"")</x:f>
        <x:v>-0.2052213060784282</x:v>
      </x:c>
      <x:c r="M341" s="17" t="n">
        <x:f>IF('계산 과정'!$L$6,IF(J341&lt;=0,0,IF(AND(ABS(K341)&lt;='계산 과정'!$D$11/2,ABS(L341)&lt;='계산 과정'!$D$12/2),1,0)),"")</x:f>
        <x:v>1</x:v>
      </x:c>
      <x:c r="N341" s="17" t="n">
        <x:f>IF('계산 과정'!$C$78,IF(AND(ISNUMBER(H341),ISNUMBER(I341),ABS(H341-'계산 과정'!$C$88)&lt;='계산 과정'!$D$23/2,ABS(I341-'계산 과정'!$C$89)&lt;='계산 과정'!$D$24/2),1,0),"")</x:f>
        <x:v>1</x:v>
      </x:c>
      <x:c r="O341" s="4" t="n">
        <x:f>IF('계산 과정'!$L$7,'계산 과정'!$C$49*('계산 과정'!$C$32-D341)+'계산 과정'!$D$49*('계산 과정'!$D$32-E341)+'계산 과정'!$E$49*'계산 과정'!$E$32,"")</x:f>
        <x:v>41.48639024292055</x:v>
      </x:c>
      <x:c r="P341" s="4" t="n">
        <x:f>IF(AND('계산 과정'!$L$7,O341&lt;&gt;0),('계산 과정'!$L$23-'계산 과정'!$C$49*D341-'계산 과정'!$D$49*E341)/O341,"")</x:f>
        <x:v>10.641716178675196</x:v>
      </x:c>
      <x:c r="Q341" s="4" t="str">
        <x:f>IF(AND(ISNUMBER(P341),P341&gt;1E-9,P341&lt;1-1E-9),'계산 과정'!$C$47*(D341-'계산 과정'!$C$50+P341*('계산 과정'!$C$32-D341))+'계산 과정'!$D$47*(E341-'계산 과정'!$D$50+P341*('계산 과정'!$D$32-E341))+'계산 과정'!$E$47*(0-'계산 과정'!$E$50+P341*('계산 과정'!$E$32-0)),"")</x:f>
      </x:c>
      <x:c r="R341" s="4" t="str">
        <x:f>IF(AND(ISNUMBER(P341),P341&gt;1E-9,P341&lt;1-1E-9),'계산 과정'!$C$48*(D341-'계산 과정'!$C$50+P341*('계산 과정'!$C$32-D341))+'계산 과정'!$D$48*(E341-'계산 과정'!$D$50+P341*('계산 과정'!$D$32-E341))+'계산 과정'!$E$48*(0-'계산 과정'!$E$50+P341*('계산 과정'!$E$32-0)),"")</x:f>
      </x:c>
      <x:c r="S341" s="17" t="n">
        <x:f>IF('계산 과정'!$C$78,IF(AND(ISNUMBER(Q341),ISNUMBER(R341),ABS(Q341-'계산 과정'!$C$88)&lt;='계산 과정'!$D$23/2,ABS(R341-'계산 과정'!$C$89)&lt;='계산 과정'!$D$24/2),1,0),"")</x:f>
        <x:v>0</x:v>
      </x:c>
      <x:c r="T341" s="4"/>
      <x:c r="U341" s="4"/>
      <x:c r="V341" s="4"/>
      <x:c r="W341" s="4" t="n">
        <x:f>IF('계산 과정'!$C$78,'계산 과정'!$C$88+1*'계산 과정'!$D$23/2,"")</x:f>
        <x:v>288.723404255319</x:v>
      </x:c>
      <x:c r="X341" s="4" t="str">
        <x:f>""</x:f>
      </x:c>
      <x:c r="Y341" s="4" t="n">
        <x:f>IF('계산 과정'!$C$78,'계산 과정'!$C$89+0.76*'계산 과정'!$D$24/2,"")</x:f>
        <x:v>197.6</x:v>
      </x:c>
      <x:c r="Z341" s="4" t="str">
        <x:f>""</x:f>
      </x:c>
    </x:row>
    <x:row r="342" ht="23" customHeight="1">
      <x:c r="A342" s="17" t="n">
        <x:f>ROW()-6</x:f>
        <x:v>336</x:v>
      </x:c>
      <x:c r="B342" s="4" t="n">
        <x:f>IF('계산 과정'!$L$5,'계산 과정'!$L$11*SQRT((A342+0.5)/'계산 과정'!$L$30),"")</x:f>
        <x:v>60.80213330190397</x:v>
      </x:c>
      <x:c r="C342" s="4" t="n">
        <x:f>A342*PI()*(3-SQRT(5))</x:f>
        <x:v>806.3876451888274</x:v>
      </x:c>
      <x:c r="D342" s="4" t="n">
        <x:f>IF('계산 과정'!$L$5,B342*COS(C342),"")</x:f>
        <x:v>-32.7662091886958</x:v>
      </x:c>
      <x:c r="E342" s="4" t="n">
        <x:f>IF('계산 과정'!$L$5,B342*SIN(C342),"")</x:f>
        <x:v>51.217916293667464</x:v>
      </x:c>
      <x:c r="F342" s="4" t="n">
        <x:f>IF('계산 과정'!$L$7,'계산 과정'!$L$22+'계산 과정'!$C$49*D342+'계산 과정'!$D$49*E342,"")</x:f>
        <x:v>673.1692087111038</x:v>
      </x:c>
      <x:c r="G342" s="4" t="n">
        <x:f>IF('계산 과정'!$L$7,IF(ABS(F342)&gt;=1E-12*MAX(1,SQRT((D342-'계산 과정'!$C$33)^2+(E342-'계산 과정'!$D$33)^2+'계산 과정'!$E$33^2)),('계산 과정'!$L$23-'계산 과정'!$C$49*D342-'계산 과정'!$D$49*E342)/F342,""),"")</x:f>
        <x:v>0.5597861375899864</x:v>
      </x:c>
      <x:c r="H342" s="4" t="n">
        <x:f>IF(AND(ISNUMBER(G342),G342&gt;0),('계산 과정'!$D$56+'계산 과정'!$D$57*D342+'계산 과정'!$D$58*E342)/F342,"")</x:f>
        <x:v>-36.139010566508915</x:v>
      </x:c>
      <x:c r="I342" s="4" t="n">
        <x:f>IF(AND(ISNUMBER(G342),G342&gt;0),('계산 과정'!$E$56+'계산 과정'!$E$57*D342+'계산 과정'!$E$58*E342)/F342,"")</x:f>
        <x:v>79.8889958311068</x:v>
      </x:c>
      <x:c r="J342" s="4" t="n">
        <x:f>IF('계산 과정'!$L$5,'계산 과정'!$D$6+'계산 과정'!$C$35*D342+'계산 과정'!$D$35*E342,"")</x:f>
        <x:v>673.1692087111038</x:v>
      </x:c>
      <x:c r="K342" s="4" t="n">
        <x:f>IF(AND('계산 과정'!$L$6,J342&gt;0),'계산 과정'!$D$10*('계산 과정'!$C$38*(D342-'계산 과정'!$C$32)+'계산 과정'!$D$38*(E342-'계산 과정'!$D$32)-'계산 과정'!$E$38*'계산 과정'!$E$32)/J342,"")</x:f>
        <x:v>-0.2753448424114955</x:v>
      </x:c>
      <x:c r="L342" s="4" t="n">
        <x:f>IF(AND('계산 과정'!$L$6,J342&gt;0),'계산 과정'!$D$10*('계산 과정'!$C$39*(D342-'계산 과정'!$C$32)+'계산 과정'!$D$39*(E342-'계산 과정'!$D$32)-'계산 과정'!$E$39*'계산 과정'!$E$32)/J342,"")</x:f>
        <x:v>0.6086780634750995</x:v>
      </x:c>
      <x:c r="M342" s="17" t="n">
        <x:f>IF('계산 과정'!$L$6,IF(J342&lt;=0,0,IF(AND(ABS(K342)&lt;='계산 과정'!$D$11/2,ABS(L342)&lt;='계산 과정'!$D$12/2),1,0)),"")</x:f>
        <x:v>1</x:v>
      </x:c>
      <x:c r="N342" s="17" t="n">
        <x:f>IF('계산 과정'!$C$78,IF(AND(ISNUMBER(H342),ISNUMBER(I342),ABS(H342-'계산 과정'!$C$88)&lt;='계산 과정'!$D$23/2,ABS(I342-'계산 과정'!$C$89)&lt;='계산 과정'!$D$24/2),1,0),"")</x:f>
        <x:v>1</x:v>
      </x:c>
      <x:c r="O342" s="4" t="n">
        <x:f>IF('계산 과정'!$L$7,'계산 과정'!$C$49*('계산 과정'!$C$32-D342)+'계산 과정'!$D$49*('계산 과정'!$D$32-E342)+'계산 과정'!$E$49*'계산 과정'!$E$32,"")</x:f>
        <x:v>-23.169208711103693</x:v>
      </x:c>
      <x:c r="P342" s="4" t="n">
        <x:f>IF(AND('계산 과정'!$L$7,O342&lt;&gt;0),('계산 과정'!$L$23-'계산 과정'!$C$49*D342-'계산 과정'!$D$49*E342)/O342,"")</x:f>
        <x:v>-16.264292664785852</x:v>
      </x:c>
      <x:c r="Q342" s="4" t="str">
        <x:f>IF(AND(ISNUMBER(P342),P342&gt;1E-9,P342&lt;1-1E-9),'계산 과정'!$C$47*(D342-'계산 과정'!$C$50+P342*('계산 과정'!$C$32-D342))+'계산 과정'!$D$47*(E342-'계산 과정'!$D$50+P342*('계산 과정'!$D$32-E342))+'계산 과정'!$E$47*(0-'계산 과정'!$E$50+P342*('계산 과정'!$E$32-0)),"")</x:f>
      </x:c>
      <x:c r="R342" s="4" t="str">
        <x:f>IF(AND(ISNUMBER(P342),P342&gt;1E-9,P342&lt;1-1E-9),'계산 과정'!$C$48*(D342-'계산 과정'!$C$50+P342*('계산 과정'!$C$32-D342))+'계산 과정'!$D$48*(E342-'계산 과정'!$D$50+P342*('계산 과정'!$D$32-E342))+'계산 과정'!$E$48*(0-'계산 과정'!$E$50+P342*('계산 과정'!$E$32-0)),"")</x:f>
      </x:c>
      <x:c r="S342" s="17" t="n">
        <x:f>IF('계산 과정'!$C$78,IF(AND(ISNUMBER(Q342),ISNUMBER(R342),ABS(Q342-'계산 과정'!$C$88)&lt;='계산 과정'!$D$23/2,ABS(R342-'계산 과정'!$C$89)&lt;='계산 과정'!$D$24/2),1,0),"")</x:f>
        <x:v>0</x:v>
      </x:c>
      <x:c r="T342" s="4"/>
      <x:c r="U342" s="4"/>
      <x:c r="V342" s="4"/>
      <x:c r="W342" s="4" t="n">
        <x:f>IF('계산 과정'!$C$78,'계산 과정'!$C$88+1*'계산 과정'!$D$23/2,"")</x:f>
        <x:v>288.723404255319</x:v>
      </x:c>
      <x:c r="X342" s="4" t="str">
        <x:f>""</x:f>
      </x:c>
      <x:c r="Y342" s="4" t="n">
        <x:f>IF('계산 과정'!$C$78,'계산 과정'!$C$89+0.8*'계산 과정'!$D$24/2,"")</x:f>
        <x:v>208</x:v>
      </x:c>
      <x:c r="Z342" s="4" t="str">
        <x:f>""</x:f>
      </x:c>
    </x:row>
    <x:row r="343" ht="23" customHeight="1">
      <x:c r="A343" s="17" t="n">
        <x:f>ROW()-6</x:f>
        <x:v>337</x:v>
      </x:c>
      <x:c r="B343" s="4" t="n">
        <x:f>IF('계산 과정'!$L$5,'계산 과정'!$L$11*SQRT((A343+0.5)/'계산 과정'!$L$30),"")</x:f>
        <x:v>60.89241120359334</x:v>
      </x:c>
      <x:c r="C343" s="4" t="n">
        <x:f>A343*PI()*(3-SQRT(5))</x:f>
        <x:v>808.7876084185559</x:v>
      </x:c>
      <x:c r="D343" s="4" t="n">
        <x:f>IF('계산 과정'!$L$5,B343*COS(C343),"")</x:f>
        <x:v>-10.451918250557288</x:v>
      </x:c>
      <x:c r="E343" s="4" t="n">
        <x:f>IF('계산 과정'!$L$5,B343*SIN(C343),"")</x:f>
        <x:v>-59.98869182663652</x:v>
      </x:c>
      <x:c r="F343" s="4" t="n">
        <x:f>IF('계산 과정'!$L$7,'계산 과정'!$L$22+'계산 과정'!$C$49*D343+'계산 과정'!$D$49*E343,"")</x:f>
        <x:v>657.3906222713765</x:v>
      </x:c>
      <x:c r="G343" s="4" t="n">
        <x:f>IF('계산 과정'!$L$7,IF(ABS(F343)&gt;=1E-12*MAX(1,SQRT((D343-'계산 과정'!$C$33)^2+(E343-'계산 과정'!$D$33)^2+'계산 과정'!$E$33^2)),('계산 과정'!$L$23-'계산 과정'!$C$49*D343-'계산 과정'!$D$49*E343)/F343,""),"")</x:f>
        <x:v>0.5972238794221055</x:v>
      </x:c>
      <x:c r="H343" s="4" t="n">
        <x:f>IF(AND(ISNUMBER(G343),G343&gt;0),('계산 과정'!$D$56+'계산 과정'!$D$57*D343+'계산 과정'!$D$58*E343)/F343,"")</x:f>
        <x:v>-11.804478375631493</x:v>
      </x:c>
      <x:c r="I343" s="4" t="n">
        <x:f>IF(AND(ISNUMBER(G343),G343&gt;0),('계산 과정'!$E$56+'계산 과정'!$E$57*D343+'계산 과정'!$E$58*E343)/F343,"")</x:f>
        <x:v>-95.81537108079753</x:v>
      </x:c>
      <x:c r="J343" s="4" t="n">
        <x:f>IF('계산 과정'!$L$5,'계산 과정'!$D$6+'계산 과정'!$C$35*D343+'계산 과정'!$D$35*E343,"")</x:f>
        <x:v>657.3906222713765</x:v>
      </x:c>
      <x:c r="K343" s="4" t="n">
        <x:f>IF(AND('계산 과정'!$L$6,J343&gt;0),'계산 과정'!$D$10*('계산 과정'!$C$38*(D343-'계산 과정'!$C$32)+'계산 과정'!$D$38*(E343-'계산 과정'!$D$32)-'계산 과정'!$E$38*'계산 과정'!$E$32)/J343,"")</x:f>
        <x:v>-0.0899388828619536</x:v>
      </x:c>
      <x:c r="L343" s="4" t="n">
        <x:f>IF(AND('계산 과정'!$L$6,J343&gt;0),'계산 과정'!$D$10*('계산 과정'!$C$39*(D343-'계산 과정'!$C$32)+'계산 과정'!$D$39*(E343-'계산 과정'!$D$32)-'계산 과정'!$E$39*'계산 과정'!$E$32)/J343,"")</x:f>
        <x:v>-0.7300218749013145</x:v>
      </x:c>
      <x:c r="M343" s="17" t="n">
        <x:f>IF('계산 과정'!$L$6,IF(J343&lt;=0,0,IF(AND(ABS(K343)&lt;='계산 과정'!$D$11/2,ABS(L343)&lt;='계산 과정'!$D$12/2),1,0)),"")</x:f>
        <x:v>1</x:v>
      </x:c>
      <x:c r="N343" s="17" t="n">
        <x:f>IF('계산 과정'!$C$78,IF(AND(ISNUMBER(H343),ISNUMBER(I343),ABS(H343-'계산 과정'!$C$88)&lt;='계산 과정'!$D$23/2,ABS(I343-'계산 과정'!$C$89)&lt;='계산 과정'!$D$24/2),1,0),"")</x:f>
        <x:v>1</x:v>
      </x:c>
      <x:c r="O343" s="4" t="n">
        <x:f>IF('계산 과정'!$L$7,'계산 과정'!$C$49*('계산 과정'!$C$32-D343)+'계산 과정'!$D$49*('계산 과정'!$D$32-E343)+'계산 과정'!$E$49*'계산 과정'!$E$32,"")</x:f>
        <x:v>-7.390622271376401</x:v>
      </x:c>
      <x:c r="P343" s="4" t="n">
        <x:f>IF(AND('계산 과정'!$L$7,O343&lt;&gt;0),('계산 과정'!$L$23-'계산 과정'!$C$49*D343-'계산 과정'!$D$49*E343)/O343,"")</x:f>
        <x:v>-53.12264154659678</x:v>
      </x:c>
      <x:c r="Q343" s="4" t="str">
        <x:f>IF(AND(ISNUMBER(P343),P343&gt;1E-9,P343&lt;1-1E-9),'계산 과정'!$C$47*(D343-'계산 과정'!$C$50+P343*('계산 과정'!$C$32-D343))+'계산 과정'!$D$47*(E343-'계산 과정'!$D$50+P343*('계산 과정'!$D$32-E343))+'계산 과정'!$E$47*(0-'계산 과정'!$E$50+P343*('계산 과정'!$E$32-0)),"")</x:f>
      </x:c>
      <x:c r="R343" s="4" t="str">
        <x:f>IF(AND(ISNUMBER(P343),P343&gt;1E-9,P343&lt;1-1E-9),'계산 과정'!$C$48*(D343-'계산 과정'!$C$50+P343*('계산 과정'!$C$32-D343))+'계산 과정'!$D$48*(E343-'계산 과정'!$D$50+P343*('계산 과정'!$D$32-E343))+'계산 과정'!$E$48*(0-'계산 과정'!$E$50+P343*('계산 과정'!$E$32-0)),"")</x:f>
      </x:c>
      <x:c r="S343" s="17" t="n">
        <x:f>IF('계산 과정'!$C$78,IF(AND(ISNUMBER(Q343),ISNUMBER(R343),ABS(Q343-'계산 과정'!$C$88)&lt;='계산 과정'!$D$23/2,ABS(R343-'계산 과정'!$C$89)&lt;='계산 과정'!$D$24/2),1,0),"")</x:f>
        <x:v>0</x:v>
      </x:c>
      <x:c r="T343" s="4"/>
      <x:c r="U343" s="4"/>
      <x:c r="V343" s="4"/>
      <x:c r="W343" s="4" t="n">
        <x:f>IF('계산 과정'!$C$78,'계산 과정'!$C$88+1*'계산 과정'!$D$23/2,"")</x:f>
        <x:v>288.723404255319</x:v>
      </x:c>
      <x:c r="X343" s="4" t="str">
        <x:f>""</x:f>
      </x:c>
      <x:c r="Y343" s="4" t="n">
        <x:f>IF('계산 과정'!$C$78,'계산 과정'!$C$89+0.8400000000000001*'계산 과정'!$D$24/2,"")</x:f>
        <x:v>218.40000000000003</x:v>
      </x:c>
      <x:c r="Z343" s="4" t="str">
        <x:f>""</x:f>
      </x:c>
    </x:row>
    <x:row r="344" ht="23" customHeight="1">
      <x:c r="A344" s="17" t="n">
        <x:f>ROW()-6</x:f>
        <x:v>338</x:v>
      </x:c>
      <x:c r="B344" s="4" t="n">
        <x:f>IF('계산 과정'!$L$5,'계산 과정'!$L$11*SQRT((A344+0.5)/'계산 과정'!$L$30),"")</x:f>
        <x:v>60.98255545902041</x:v>
      </x:c>
      <x:c r="C344" s="4" t="n">
        <x:f>A344*PI()*(3-SQRT(5))</x:f>
        <x:v>811.1875716482847</x:v>
      </x:c>
      <x:c r="D344" s="4" t="n">
        <x:f>IF('계산 과정'!$L$5,B344*COS(C344),"")</x:f>
        <x:v>48.30009540435823</x:v>
      </x:c>
      <x:c r="E344" s="4" t="n">
        <x:f>IF('계산 과정'!$L$5,B344*SIN(C344),"")</x:f>
        <x:v>37.22865635827317</x:v>
      </x:c>
      <x:c r="F344" s="4" t="n">
        <x:f>IF('계산 과정'!$L$7,'계산 과정'!$L$22+'계산 과정'!$C$49*D344+'계산 과정'!$D$49*E344,"")</x:f>
        <x:v>615.8466750076211</x:v>
      </x:c>
      <x:c r="G344" s="4" t="n">
        <x:f>IF('계산 과정'!$L$7,IF(ABS(F344)&gt;=1E-12*MAX(1,SQRT((D344-'계산 과정'!$C$33)^2+(E344-'계산 과정'!$D$33)^2+'계산 과정'!$E$33^2)),('계산 과정'!$L$23-'계산 과정'!$C$49*D344-'계산 과정'!$D$49*E344)/F344,""),"")</x:f>
        <x:v>0.7049698287110282</x:v>
      </x:c>
      <x:c r="H344" s="4" t="n">
        <x:f>IF(AND(ISNUMBER(G344),G344&gt;0),('계산 과정'!$D$56+'계산 과정'!$D$57*D344+'계산 과정'!$D$58*E344)/F344,"")</x:f>
        <x:v>58.23038866216823</x:v>
      </x:c>
      <x:c r="I344" s="4" t="n">
        <x:f>IF(AND(ISNUMBER(G344),G344&gt;0),('계산 과정'!$E$56+'계산 과정'!$E$57*D344+'계산 과정'!$E$58*E344)/F344,"")</x:f>
        <x:v>63.47373585430673</x:v>
      </x:c>
      <x:c r="J344" s="4" t="n">
        <x:f>IF('계산 과정'!$L$5,'계산 과정'!$D$6+'계산 과정'!$C$35*D344+'계산 과정'!$D$35*E344,"")</x:f>
        <x:v>615.8466750076211</x:v>
      </x:c>
      <x:c r="K344" s="4" t="n">
        <x:f>IF(AND('계산 과정'!$L$6,J344&gt;0),'계산 과정'!$D$10*('계산 과정'!$C$38*(D344-'계산 과정'!$C$32)+'계산 과정'!$D$38*(E344-'계산 과정'!$D$32)-'계산 과정'!$E$38*'계산 과정'!$E$32)/J344,"")</x:f>
        <x:v>0.4436601040927109</x:v>
      </x:c>
      <x:c r="L344" s="4" t="n">
        <x:f>IF(AND('계산 과정'!$L$6,J344&gt;0),'계산 과정'!$D$10*('계산 과정'!$C$39*(D344-'계산 과정'!$C$32)+'계산 과정'!$D$39*(E344-'계산 과정'!$D$32)-'계산 과정'!$E$39*'계산 과정'!$E$32)/J344,"")</x:f>
        <x:v>0.4836094160328132</x:v>
      </x:c>
      <x:c r="M344" s="17" t="n">
        <x:f>IF('계산 과정'!$L$6,IF(J344&lt;=0,0,IF(AND(ABS(K344)&lt;='계산 과정'!$D$11/2,ABS(L344)&lt;='계산 과정'!$D$12/2),1,0)),"")</x:f>
        <x:v>1</x:v>
      </x:c>
      <x:c r="N344" s="17" t="n">
        <x:f>IF('계산 과정'!$C$78,IF(AND(ISNUMBER(H344),ISNUMBER(I344),ABS(H344-'계산 과정'!$C$88)&lt;='계산 과정'!$D$23/2,ABS(I344-'계산 과정'!$C$89)&lt;='계산 과정'!$D$24/2),1,0),"")</x:f>
        <x:v>1</x:v>
      </x:c>
      <x:c r="O344" s="4" t="n">
        <x:f>IF('계산 과정'!$L$7,'계산 과정'!$C$49*('계산 과정'!$C$32-D344)+'계산 과정'!$D$49*('계산 과정'!$D$32-E344)+'계산 과정'!$E$49*'계산 과정'!$E$32,"")</x:f>
        <x:v>34.153324992379</x:v>
      </x:c>
      <x:c r="P344" s="4" t="n">
        <x:f>IF(AND('계산 과정'!$L$7,O344&lt;&gt;0),('계산 과정'!$L$23-'계산 과정'!$C$49*D344-'계산 과정'!$D$49*E344)/O344,"")</x:f>
        <x:v>12.711890426166596</x:v>
      </x:c>
      <x:c r="Q344" s="4" t="str">
        <x:f>IF(AND(ISNUMBER(P344),P344&gt;1E-9,P344&lt;1-1E-9),'계산 과정'!$C$47*(D344-'계산 과정'!$C$50+P344*('계산 과정'!$C$32-D344))+'계산 과정'!$D$47*(E344-'계산 과정'!$D$50+P344*('계산 과정'!$D$32-E344))+'계산 과정'!$E$47*(0-'계산 과정'!$E$50+P344*('계산 과정'!$E$32-0)),"")</x:f>
      </x:c>
      <x:c r="R344" s="4" t="str">
        <x:f>IF(AND(ISNUMBER(P344),P344&gt;1E-9,P344&lt;1-1E-9),'계산 과정'!$C$48*(D344-'계산 과정'!$C$50+P344*('계산 과정'!$C$32-D344))+'계산 과정'!$D$48*(E344-'계산 과정'!$D$50+P344*('계산 과정'!$D$32-E344))+'계산 과정'!$E$48*(0-'계산 과정'!$E$50+P344*('계산 과정'!$E$32-0)),"")</x:f>
      </x:c>
      <x:c r="S344" s="17" t="n">
        <x:f>IF('계산 과정'!$C$78,IF(AND(ISNUMBER(Q344),ISNUMBER(R344),ABS(Q344-'계산 과정'!$C$88)&lt;='계산 과정'!$D$23/2,ABS(R344-'계산 과정'!$C$89)&lt;='계산 과정'!$D$24/2),1,0),"")</x:f>
        <x:v>0</x:v>
      </x:c>
      <x:c r="T344" s="4"/>
      <x:c r="U344" s="4"/>
      <x:c r="V344" s="4"/>
      <x:c r="W344" s="4" t="n">
        <x:f>IF('계산 과정'!$C$78,'계산 과정'!$C$88+1*'계산 과정'!$D$23/2,"")</x:f>
        <x:v>288.723404255319</x:v>
      </x:c>
      <x:c r="X344" s="4" t="str">
        <x:f>""</x:f>
      </x:c>
      <x:c r="Y344" s="4" t="n">
        <x:f>IF('계산 과정'!$C$78,'계산 과정'!$C$89+0.8799999999999999*'계산 과정'!$D$24/2,"")</x:f>
        <x:v>228.79999999999998</x:v>
      </x:c>
      <x:c r="Z344" s="4" t="str">
        <x:f>""</x:f>
      </x:c>
    </x:row>
    <x:row r="345" ht="23" customHeight="1">
      <x:c r="A345" s="17" t="n">
        <x:f>ROW()-6</x:f>
        <x:v>339</x:v>
      </x:c>
      <x:c r="B345" s="4" t="n">
        <x:f>IF('계산 과정'!$L$5,'계산 과정'!$L$11*SQRT((A345+0.5)/'계산 과정'!$L$30),"")</x:f>
        <x:v>61.07256665997836</x:v>
      </x:c>
      <x:c r="C345" s="4" t="n">
        <x:f>A345*PI()*(3-SQRT(5))</x:f>
        <x:v>813.5875348780132</x:v>
      </x:c>
      <x:c r="D345" s="4" t="n">
        <x:f>IF('계산 과정'!$L$5,B345*COS(C345),"")</x:f>
        <x:v>-60.8522697162748</x:v>
      </x:c>
      <x:c r="E345" s="4" t="n">
        <x:f>IF('계산 과정'!$L$5,B345*SIN(C345),"")</x:f>
        <x:v>5.182631456629441</x:v>
      </x:c>
      <x:c r="F345" s="4" t="n">
        <x:f>IF('계산 과정'!$L$7,'계산 과정'!$L$22+'계산 과정'!$C$49*D345+'계산 과정'!$D$49*E345,"")</x:f>
        <x:v>693.0290525669707</x:v>
      </x:c>
      <x:c r="G345" s="4" t="n">
        <x:f>IF('계산 과정'!$L$7,IF(ABS(F345)&gt;=1E-12*MAX(1,SQRT((D345-'계산 과정'!$C$33)^2+(E345-'계산 과정'!$D$33)^2+'계산 과정'!$E$33^2)),('계산 과정'!$L$23-'계산 과정'!$C$49*D345-'계산 과정'!$D$49*E345)/F345,""),"")</x:f>
        <x:v>0.5150879982748393</x:v>
      </x:c>
      <x:c r="H345" s="4" t="n">
        <x:f>IF(AND(ISNUMBER(G345),G345&gt;0),('계산 과정'!$D$56+'계산 과정'!$D$57*D345+'계산 과정'!$D$58*E345)/F345,"")</x:f>
        <x:v>-65.19280112135459</x:v>
      </x:c>
      <x:c r="I345" s="4" t="n">
        <x:f>IF(AND(ISNUMBER(G345),G345&gt;0),('계산 과정'!$E$56+'계산 과정'!$E$57*D345+'계산 과정'!$E$58*E345)/F345,"")</x:f>
        <x:v>7.852142719420914</x:v>
      </x:c>
      <x:c r="J345" s="4" t="n">
        <x:f>IF('계산 과정'!$L$5,'계산 과정'!$D$6+'계산 과정'!$C$35*D345+'계산 과정'!$D$35*E345,"")</x:f>
        <x:v>693.0290525669707</x:v>
      </x:c>
      <x:c r="K345" s="4" t="n">
        <x:f>IF(AND('계산 과정'!$L$6,J345&gt;0),'계산 과정'!$D$10*('계산 과정'!$C$38*(D345-'계산 과정'!$C$32)+'계산 과정'!$D$38*(E345-'계산 과정'!$D$32)-'계산 과정'!$E$38*'계산 과정'!$E$32)/J345,"")</x:f>
        <x:v>-0.4967070561627005</x:v>
      </x:c>
      <x:c r="L345" s="4" t="n">
        <x:f>IF(AND('계산 과정'!$L$6,J345&gt;0),'계산 과정'!$D$10*('계산 과정'!$C$39*(D345-'계산 과정'!$C$32)+'계산 과정'!$D$39*(E345-'계산 과정'!$D$32)-'계산 과정'!$E$39*'계산 과정'!$E$32)/J345,"")</x:f>
        <x:v>0.05982584929082601</x:v>
      </x:c>
      <x:c r="M345" s="17" t="n">
        <x:f>IF('계산 과정'!$L$6,IF(J345&lt;=0,0,IF(AND(ABS(K345)&lt;='계산 과정'!$D$11/2,ABS(L345)&lt;='계산 과정'!$D$12/2),1,0)),"")</x:f>
        <x:v>1</x:v>
      </x:c>
      <x:c r="N345" s="17" t="n">
        <x:f>IF('계산 과정'!$C$78,IF(AND(ISNUMBER(H345),ISNUMBER(I345),ABS(H345-'계산 과정'!$C$88)&lt;='계산 과정'!$D$23/2,ABS(I345-'계산 과정'!$C$89)&lt;='계산 과정'!$D$24/2),1,0),"")</x:f>
        <x:v>1</x:v>
      </x:c>
      <x:c r="O345" s="4" t="n">
        <x:f>IF('계산 과정'!$L$7,'계산 과정'!$C$49*('계산 과정'!$C$32-D345)+'계산 과정'!$D$49*('계산 과정'!$D$32-E345)+'계산 과정'!$E$49*'계산 과정'!$E$32,"")</x:f>
        <x:v>-43.02905256697056</x:v>
      </x:c>
      <x:c r="P345" s="4" t="n">
        <x:f>IF(AND('계산 과정'!$L$7,O345&lt;&gt;0),('계산 과정'!$L$23-'계산 과정'!$C$49*D345-'계산 과정'!$D$49*E345)/O345,"")</x:f>
        <x:v>-8.296044791537962</x:v>
      </x:c>
      <x:c r="Q345" s="4" t="str">
        <x:f>IF(AND(ISNUMBER(P345),P345&gt;1E-9,P345&lt;1-1E-9),'계산 과정'!$C$47*(D345-'계산 과정'!$C$50+P345*('계산 과정'!$C$32-D345))+'계산 과정'!$D$47*(E345-'계산 과정'!$D$50+P345*('계산 과정'!$D$32-E345))+'계산 과정'!$E$47*(0-'계산 과정'!$E$50+P345*('계산 과정'!$E$32-0)),"")</x:f>
      </x:c>
      <x:c r="R345" s="4" t="str">
        <x:f>IF(AND(ISNUMBER(P345),P345&gt;1E-9,P345&lt;1-1E-9),'계산 과정'!$C$48*(D345-'계산 과정'!$C$50+P345*('계산 과정'!$C$32-D345))+'계산 과정'!$D$48*(E345-'계산 과정'!$D$50+P345*('계산 과정'!$D$32-E345))+'계산 과정'!$E$48*(0-'계산 과정'!$E$50+P345*('계산 과정'!$E$32-0)),"")</x:f>
      </x:c>
      <x:c r="S345" s="17" t="n">
        <x:f>IF('계산 과정'!$C$78,IF(AND(ISNUMBER(Q345),ISNUMBER(R345),ABS(Q345-'계산 과정'!$C$88)&lt;='계산 과정'!$D$23/2,ABS(R345-'계산 과정'!$C$89)&lt;='계산 과정'!$D$24/2),1,0),"")</x:f>
        <x:v>0</x:v>
      </x:c>
      <x:c r="T345" s="4"/>
      <x:c r="U345" s="4"/>
      <x:c r="V345" s="4"/>
      <x:c r="W345" s="4" t="n">
        <x:f>IF('계산 과정'!$C$78,'계산 과정'!$C$88+1*'계산 과정'!$D$23/2,"")</x:f>
        <x:v>288.723404255319</x:v>
      </x:c>
      <x:c r="X345" s="4" t="str">
        <x:f>""</x:f>
      </x:c>
      <x:c r="Y345" s="4" t="n">
        <x:f>IF('계산 과정'!$C$78,'계산 과정'!$C$89+0.9199999999999999*'계산 과정'!$D$24/2,"")</x:f>
        <x:v>239.2</x:v>
      </x:c>
      <x:c r="Z345" s="4" t="str">
        <x:f>""</x:f>
      </x:c>
    </x:row>
    <x:row r="346" ht="23" customHeight="1">
      <x:c r="A346" s="17" t="n">
        <x:f>ROW()-6</x:f>
        <x:v>340</x:v>
      </x:c>
      <x:c r="B346" s="4" t="n">
        <x:f>IF('계산 과정'!$L$5,'계산 과정'!$L$11*SQRT((A346+0.5)/'계산 과정'!$L$30),"")</x:f>
        <x:v>61.16244539390573</x:v>
      </x:c>
      <x:c r="C346" s="4" t="n">
        <x:f>A346*PI()*(3-SQRT(5))</x:f>
        <x:v>815.987498107742</x:v>
      </x:c>
      <x:c r="D346" s="4" t="n">
        <x:f>IF('계산 과정'!$L$5,B346*COS(C346),"")</x:f>
        <x:v>41.43063527258583</x:v>
      </x:c>
      <x:c r="E346" s="4" t="n">
        <x:f>IF('계산 과정'!$L$5,B346*SIN(C346),"")</x:f>
        <x:v>-44.99274594279023</x:v>
      </x:c>
      <x:c r="F346" s="4" t="n">
        <x:f>IF('계산 과정'!$L$7,'계산 과정'!$L$22+'계산 과정'!$C$49*D346+'계산 과정'!$D$49*E346,"")</x:f>
        <x:v>620.704116849888</x:v>
      </x:c>
      <x:c r="G346" s="4" t="n">
        <x:f>IF('계산 과정'!$L$7,IF(ABS(F346)&gt;=1E-12*MAX(1,SQRT((D346-'계산 과정'!$C$33)^2+(E346-'계산 과정'!$D$33)^2+'계산 과정'!$E$33^2)),('계산 과정'!$L$23-'계산 과정'!$C$49*D346-'계산 과정'!$D$49*E346)/F346,""),"")</x:f>
        <x:v>0.6916272528186461</x:v>
      </x:c>
      <x:c r="H346" s="4" t="n">
        <x:f>IF(AND(ISNUMBER(G346),G346&gt;0),('계산 과정'!$D$56+'계산 과정'!$D$57*D346+'계산 과정'!$D$58*E346)/F346,"")</x:f>
        <x:v>49.55771433211994</x:v>
      </x:c>
      <x:c r="I346" s="4" t="n">
        <x:f>IF(AND(ISNUMBER(G346),G346&gt;0),('계산 과정'!$E$56+'계산 과정'!$E$57*D346+'계산 과정'!$E$58*E346)/F346,"")</x:f>
        <x:v>-76.11095521596953</x:v>
      </x:c>
      <x:c r="J346" s="4" t="n">
        <x:f>IF('계산 과정'!$L$5,'계산 과정'!$D$6+'계산 과정'!$C$35*D346+'계산 과정'!$D$35*E346,"")</x:f>
        <x:v>620.704116849888</x:v>
      </x:c>
      <x:c r="K346" s="4" t="n">
        <x:f>IF(AND('계산 과정'!$L$6,J346&gt;0),'계산 과정'!$D$10*('계산 과정'!$C$38*(D346-'계산 과정'!$C$32)+'계산 과정'!$D$38*(E346-'계산 과정'!$D$32)-'계산 과정'!$E$38*'계산 과정'!$E$32)/J346,"")</x:f>
        <x:v>0.37758258538758177</x:v>
      </x:c>
      <x:c r="L346" s="4" t="n">
        <x:f>IF(AND('계산 과정'!$L$6,J346&gt;0),'계산 과정'!$D$10*('계산 과정'!$C$39*(D346-'계산 과정'!$C$32)+'계산 과정'!$D$39*(E346-'계산 과정'!$D$32)-'계산 과정'!$E$39*'계산 과정'!$E$32)/J346,"")</x:f>
        <x:v>-0.5798929921216726</x:v>
      </x:c>
      <x:c r="M346" s="17" t="n">
        <x:f>IF('계산 과정'!$L$6,IF(J346&lt;=0,0,IF(AND(ABS(K346)&lt;='계산 과정'!$D$11/2,ABS(L346)&lt;='계산 과정'!$D$12/2),1,0)),"")</x:f>
        <x:v>1</x:v>
      </x:c>
      <x:c r="N346" s="17" t="n">
        <x:f>IF('계산 과정'!$C$78,IF(AND(ISNUMBER(H346),ISNUMBER(I346),ABS(H346-'계산 과정'!$C$88)&lt;='계산 과정'!$D$23/2,ABS(I346-'계산 과정'!$C$89)&lt;='계산 과정'!$D$24/2),1,0),"")</x:f>
        <x:v>1</x:v>
      </x:c>
      <x:c r="O346" s="4" t="n">
        <x:f>IF('계산 과정'!$L$7,'계산 과정'!$C$49*('계산 과정'!$C$32-D346)+'계산 과정'!$D$49*('계산 과정'!$D$32-E346)+'계산 과정'!$E$49*'계산 과정'!$E$32,"")</x:f>
        <x:v>29.295883150112104</x:v>
      </x:c>
      <x:c r="P346" s="4" t="n">
        <x:f>IF(AND('계산 과정'!$L$7,O346&lt;&gt;0),('계산 과정'!$L$23-'계산 과정'!$C$49*D346-'계산 과정'!$D$49*E346)/O346,"")</x:f>
        <x:v>14.653795584533155</x:v>
      </x:c>
      <x:c r="Q346" s="4" t="str">
        <x:f>IF(AND(ISNUMBER(P346),P346&gt;1E-9,P346&lt;1-1E-9),'계산 과정'!$C$47*(D346-'계산 과정'!$C$50+P346*('계산 과정'!$C$32-D346))+'계산 과정'!$D$47*(E346-'계산 과정'!$D$50+P346*('계산 과정'!$D$32-E346))+'계산 과정'!$E$47*(0-'계산 과정'!$E$50+P346*('계산 과정'!$E$32-0)),"")</x:f>
      </x:c>
      <x:c r="R346" s="4" t="str">
        <x:f>IF(AND(ISNUMBER(P346),P346&gt;1E-9,P346&lt;1-1E-9),'계산 과정'!$C$48*(D346-'계산 과정'!$C$50+P346*('계산 과정'!$C$32-D346))+'계산 과정'!$D$48*(E346-'계산 과정'!$D$50+P346*('계산 과정'!$D$32-E346))+'계산 과정'!$E$48*(0-'계산 과정'!$E$50+P346*('계산 과정'!$E$32-0)),"")</x:f>
      </x:c>
      <x:c r="S346" s="17" t="n">
        <x:f>IF('계산 과정'!$C$78,IF(AND(ISNUMBER(Q346),ISNUMBER(R346),ABS(Q346-'계산 과정'!$C$88)&lt;='계산 과정'!$D$23/2,ABS(R346-'계산 과정'!$C$89)&lt;='계산 과정'!$D$24/2),1,0),"")</x:f>
        <x:v>0</x:v>
      </x:c>
      <x:c r="T346" s="4"/>
      <x:c r="U346" s="4"/>
      <x:c r="V346" s="4"/>
      <x:c r="W346" s="4" t="n">
        <x:f>IF('계산 과정'!$C$78,'계산 과정'!$C$88+1*'계산 과정'!$D$23/2,"")</x:f>
        <x:v>288.723404255319</x:v>
      </x:c>
      <x:c r="X346" s="4" t="str">
        <x:f>""</x:f>
      </x:c>
      <x:c r="Y346" s="4" t="n">
        <x:f>IF('계산 과정'!$C$78,'계산 과정'!$C$89+0.96*'계산 과정'!$D$24/2,"")</x:f>
        <x:v>249.6</x:v>
      </x:c>
      <x:c r="Z346" s="4" t="str">
        <x:f>""</x:f>
      </x:c>
    </x:row>
    <x:row r="347" ht="23" customHeight="1">
      <x:c r="A347" s="17" t="n">
        <x:f>ROW()-6</x:f>
        <x:v>341</x:v>
      </x:c>
      <x:c r="B347" s="4" t="n">
        <x:f>IF('계산 과정'!$L$5,'계산 과정'!$L$11*SQRT((A347+0.5)/'계산 과정'!$L$30),"")</x:f>
        <x:v>61.252192243931155</x:v>
      </x:c>
      <x:c r="C347" s="4" t="n">
        <x:f>A347*PI()*(3-SQRT(5))</x:f>
        <x:v>818.3874613374705</x:v>
      </x:c>
      <x:c r="D347" s="4" t="n">
        <x:f>IF('계산 과정'!$L$5,B347*COS(C347),"")</x:f>
        <x:v>-0.15772895730597808</x:v>
      </x:c>
      <x:c r="E347" s="4" t="n">
        <x:f>IF('계산 과정'!$L$5,B347*SIN(C347),"")</x:f>
        <x:v>61.25198916168787</x:v>
      </x:c>
      <x:c r="F347" s="4" t="n">
        <x:f>IF('계산 과정'!$L$7,'계산 과정'!$L$22+'계산 과정'!$C$49*D347+'계산 과정'!$D$49*E347,"")</x:f>
        <x:v>650.1115312153005</x:v>
      </x:c>
      <x:c r="G347" s="4" t="n">
        <x:f>IF('계산 과정'!$L$7,IF(ABS(F347)&gt;=1E-12*MAX(1,SQRT((D347-'계산 과정'!$C$33)^2+(E347-'계산 과정'!$D$33)^2+'계산 과정'!$E$33^2)),('계산 과정'!$L$23-'계산 과정'!$C$49*D347-'계산 과정'!$D$49*E347)/F347,""),"")</x:f>
        <x:v>0.6151074847682813</x:v>
      </x:c>
      <x:c r="H347" s="4" t="n">
        <x:f>IF(AND(ISNUMBER(G347),G347&gt;0),('계산 과정'!$D$56+'계산 과정'!$D$57*D347+'계산 과정'!$D$58*E347)/F347,"")</x:f>
        <x:v>-0.1801349006173194</x:v>
      </x:c>
      <x:c r="I347" s="4" t="n">
        <x:f>IF(AND(ISNUMBER(G347),G347&gt;0),('계산 과정'!$E$56+'계산 과정'!$E$57*D347+'계산 과정'!$E$58*E347)/F347,"")</x:f>
        <x:v>98.92854615198772</x:v>
      </x:c>
      <x:c r="J347" s="4" t="n">
        <x:f>IF('계산 과정'!$L$5,'계산 과정'!$D$6+'계산 과정'!$C$35*D347+'계산 과정'!$D$35*E347,"")</x:f>
        <x:v>650.1115312153005</x:v>
      </x:c>
      <x:c r="K347" s="4" t="n">
        <x:f>IF(AND('계산 과정'!$L$6,J347&gt;0),'계산 과정'!$D$10*('계산 과정'!$C$38*(D347-'계산 과정'!$C$32)+'계산 과정'!$D$38*(E347-'계산 과정'!$D$32)-'계산 과정'!$E$38*'계산 과정'!$E$32)/J347,"")</x:f>
        <x:v>-0.0013724563856549526</x:v>
      </x:c>
      <x:c r="L347" s="4" t="n">
        <x:f>IF(AND('계산 과정'!$L$6,J347&gt;0),'계산 과정'!$D$10*('계산 과정'!$C$39*(D347-'계산 과정'!$C$32)+'계산 과정'!$D$39*(E347-'계산 과정'!$D$32)-'계산 과정'!$E$39*'계산 과정'!$E$32)/J347,"")</x:f>
        <x:v>0.7537413040151445</x:v>
      </x:c>
      <x:c r="M347" s="17" t="n">
        <x:f>IF('계산 과정'!$L$6,IF(J347&lt;=0,0,IF(AND(ABS(K347)&lt;='계산 과정'!$D$11/2,ABS(L347)&lt;='계산 과정'!$D$12/2),1,0)),"")</x:f>
        <x:v>1</x:v>
      </x:c>
      <x:c r="N347" s="17" t="n">
        <x:f>IF('계산 과정'!$C$78,IF(AND(ISNUMBER(H347),ISNUMBER(I347),ABS(H347-'계산 과정'!$C$88)&lt;='계산 과정'!$D$23/2,ABS(I347-'계산 과정'!$C$89)&lt;='계산 과정'!$D$24/2),1,0),"")</x:f>
        <x:v>1</x:v>
      </x:c>
      <x:c r="O347" s="4" t="n">
        <x:f>IF('계산 과정'!$L$7,'계산 과정'!$C$49*('계산 과정'!$C$32-D347)+'계산 과정'!$D$49*('계산 과정'!$D$32-E347)+'계산 과정'!$E$49*'계산 과정'!$E$32,"")</x:f>
        <x:v>-0.11153121530043109</x:v>
      </x:c>
      <x:c r="P347" s="4" t="n">
        <x:f>IF(AND('계산 과정'!$L$7,O347&lt;&gt;0),('계산 과정'!$L$23-'계산 과정'!$C$49*D347-'계산 과정'!$D$49*E347)/O347,"")</x:f>
        <x:v>-3585.43989418139</x:v>
      </x:c>
      <x:c r="Q347" s="4" t="str">
        <x:f>IF(AND(ISNUMBER(P347),P347&gt;1E-9,P347&lt;1-1E-9),'계산 과정'!$C$47*(D347-'계산 과정'!$C$50+P347*('계산 과정'!$C$32-D347))+'계산 과정'!$D$47*(E347-'계산 과정'!$D$50+P347*('계산 과정'!$D$32-E347))+'계산 과정'!$E$47*(0-'계산 과정'!$E$50+P347*('계산 과정'!$E$32-0)),"")</x:f>
      </x:c>
      <x:c r="R347" s="4" t="str">
        <x:f>IF(AND(ISNUMBER(P347),P347&gt;1E-9,P347&lt;1-1E-9),'계산 과정'!$C$48*(D347-'계산 과정'!$C$50+P347*('계산 과정'!$C$32-D347))+'계산 과정'!$D$48*(E347-'계산 과정'!$D$50+P347*('계산 과정'!$D$32-E347))+'계산 과정'!$E$48*(0-'계산 과정'!$E$50+P347*('계산 과정'!$E$32-0)),"")</x:f>
      </x:c>
      <x:c r="S347" s="17" t="n">
        <x:f>IF('계산 과정'!$C$78,IF(AND(ISNUMBER(Q347),ISNUMBER(R347),ABS(Q347-'계산 과정'!$C$88)&lt;='계산 과정'!$D$23/2,ABS(R347-'계산 과정'!$C$89)&lt;='계산 과정'!$D$24/2),1,0),"")</x:f>
        <x:v>0</x:v>
      </x:c>
      <x:c r="T347" s="4"/>
      <x:c r="U347" s="4"/>
      <x:c r="V347" s="4"/>
      <x:c r="W347" s="4" t="n">
        <x:f>IF('계산 과정'!$C$78,'계산 과정'!$C$88+1*'계산 과정'!$D$23/2,"")</x:f>
        <x:v>288.723404255319</x:v>
      </x:c>
      <x:c r="X347" s="4" t="str">
        <x:f>""</x:f>
      </x:c>
      <x:c r="Y347" s="4" t="n">
        <x:f>IF('계산 과정'!$C$78,'계산 과정'!$C$89+1*'계산 과정'!$D$24/2,"")</x:f>
        <x:v>260</x:v>
      </x:c>
      <x:c r="Z347" s="4" t="str">
        <x:f>""</x:f>
      </x:c>
    </x:row>
    <x:row r="348" ht="23" customHeight="1">
      <x:c r="A348" s="17" t="n">
        <x:f>ROW()-6</x:f>
        <x:v>342</x:v>
      </x:c>
      <x:c r="B348" s="4" t="n">
        <x:f>IF('계산 과정'!$L$5,'계산 과정'!$L$11*SQRT((A348+0.5)/'계산 과정'!$L$30),"")</x:f>
        <x:v>61.3418077889175</x:v>
      </x:c>
      <x:c r="C348" s="4" t="n">
        <x:f>A348*PI()*(3-SQRT(5))</x:f>
        <x:v>820.7874245671993</x:v>
      </x:c>
      <x:c r="D348" s="4" t="n">
        <x:f>IF('계산 과정'!$L$5,B348*COS(C348),"")</x:f>
        <x:v>-41.31918382860346</x:v>
      </x:c>
      <x:c r="E348" s="4" t="n">
        <x:f>IF('계산 과정'!$L$5,B348*SIN(C348),"")</x:f>
        <x:v>-45.33809028345343</x:v>
      </x:c>
      <x:c r="F348" s="4" t="n">
        <x:f>IF('계산 과정'!$L$7,'계산 과정'!$L$22+'계산 과정'!$C$49*D348+'계산 과정'!$D$49*E348,"")</x:f>
        <x:v>679.217075078299</x:v>
      </x:c>
      <x:c r="G348" s="4" t="n">
        <x:f>IF('계산 과정'!$L$7,IF(ABS(F348)&gt;=1E-12*MAX(1,SQRT((D348-'계산 과정'!$C$33)^2+(E348-'계산 과정'!$D$33)^2+'계산 과정'!$E$33^2)),('계산 과정'!$L$23-'계산 과정'!$C$49*D348-'계산 과정'!$D$49*E348)/F348,""),"")</x:f>
        <x:v>0.5458975319178448</x:v>
      </x:c>
      <x:c r="H348" s="4" t="n">
        <x:f>IF(AND(ISNUMBER(G348),G348&gt;0),('계산 과정'!$D$56+'계산 과정'!$D$57*D348+'계산 과정'!$D$58*E348)/F348,"")</x:f>
        <x:v>-45.166604253400976</x:v>
      </x:c>
      <x:c r="I348" s="4" t="n">
        <x:f>IF(AND(ISNUMBER(G348),G348&gt;0),('계산 과정'!$E$56+'계산 과정'!$E$57*D348+'계산 과정'!$E$58*E348)/F348,"")</x:f>
        <x:v>-70.08804187105909</x:v>
      </x:c>
      <x:c r="J348" s="4" t="n">
        <x:f>IF('계산 과정'!$L$5,'계산 과정'!$D$6+'계산 과정'!$C$35*D348+'계산 과정'!$D$35*E348,"")</x:f>
        <x:v>679.217075078299</x:v>
      </x:c>
      <x:c r="K348" s="4" t="n">
        <x:f>IF(AND('계산 과정'!$L$6,J348&gt;0),'계산 과정'!$D$10*('계산 과정'!$C$38*(D348-'계산 과정'!$C$32)+'계산 과정'!$D$38*(E348-'계산 과정'!$D$32)-'계산 과정'!$E$38*'계산 과정'!$E$32)/J348,"")</x:f>
        <x:v>-0.34412650859734</x:v>
      </x:c>
      <x:c r="L348" s="4" t="n">
        <x:f>IF(AND('계산 과정'!$L$6,J348&gt;0),'계산 과정'!$D$10*('계산 과정'!$C$39*(D348-'계산 과정'!$C$32)+'계산 과정'!$D$39*(E348-'계산 과정'!$D$32)-'계산 과정'!$E$39*'계산 과정'!$E$32)/J348,"")</x:f>
        <x:v>-0.5340041285414026</x:v>
      </x:c>
      <x:c r="M348" s="17" t="n">
        <x:f>IF('계산 과정'!$L$6,IF(J348&lt;=0,0,IF(AND(ABS(K348)&lt;='계산 과정'!$D$11/2,ABS(L348)&lt;='계산 과정'!$D$12/2),1,0)),"")</x:f>
        <x:v>1</x:v>
      </x:c>
      <x:c r="N348" s="17" t="n">
        <x:f>IF('계산 과정'!$C$78,IF(AND(ISNUMBER(H348),ISNUMBER(I348),ABS(H348-'계산 과정'!$C$88)&lt;='계산 과정'!$D$23/2,ABS(I348-'계산 과정'!$C$89)&lt;='계산 과정'!$D$24/2),1,0),"")</x:f>
        <x:v>1</x:v>
      </x:c>
      <x:c r="O348" s="4" t="n">
        <x:f>IF('계산 과정'!$L$7,'계산 과정'!$C$49*('계산 과정'!$C$32-D348)+'계산 과정'!$D$49*('계산 과정'!$D$32-E348)+'계산 과정'!$E$49*'계산 과정'!$E$32,"")</x:f>
        <x:v>-29.217075078298933</x:v>
      </x:c>
      <x:c r="P348" s="4" t="n">
        <x:f>IF(AND('계산 과정'!$L$7,O348&lt;&gt;0),('계산 과정'!$L$23-'계산 과정'!$C$49*D348-'계산 과정'!$D$49*E348)/O348,"")</x:f>
        <x:v>-12.69062436701958</x:v>
      </x:c>
      <x:c r="Q348" s="4" t="str">
        <x:f>IF(AND(ISNUMBER(P348),P348&gt;1E-9,P348&lt;1-1E-9),'계산 과정'!$C$47*(D348-'계산 과정'!$C$50+P348*('계산 과정'!$C$32-D348))+'계산 과정'!$D$47*(E348-'계산 과정'!$D$50+P348*('계산 과정'!$D$32-E348))+'계산 과정'!$E$47*(0-'계산 과정'!$E$50+P348*('계산 과정'!$E$32-0)),"")</x:f>
      </x:c>
      <x:c r="R348" s="4" t="str">
        <x:f>IF(AND(ISNUMBER(P348),P348&gt;1E-9,P348&lt;1-1E-9),'계산 과정'!$C$48*(D348-'계산 과정'!$C$50+P348*('계산 과정'!$C$32-D348))+'계산 과정'!$D$48*(E348-'계산 과정'!$D$50+P348*('계산 과정'!$D$32-E348))+'계산 과정'!$E$48*(0-'계산 과정'!$E$50+P348*('계산 과정'!$E$32-0)),"")</x:f>
      </x:c>
      <x:c r="S348" s="17" t="n">
        <x:f>IF('계산 과정'!$C$78,IF(AND(ISNUMBER(Q348),ISNUMBER(R348),ABS(Q348-'계산 과정'!$C$88)&lt;='계산 과정'!$D$23/2,ABS(R348-'계산 과정'!$C$89)&lt;='계산 과정'!$D$24/2),1,0),"")</x:f>
        <x:v>0</x:v>
      </x:c>
      <x:c r="T348" s="4"/>
      <x:c r="U348" s="4"/>
      <x:c r="V348" s="4"/>
      <x:c r="W348" s="4" t="n">
        <x:f>IF('계산 과정'!$C$78,'계산 과정'!$C$88+0.96*'계산 과정'!$D$23/2,"")</x:f>
        <x:v>278.323404255319</x:v>
      </x:c>
      <x:c r="X348" s="4" t="str">
        <x:f>""</x:f>
      </x:c>
      <x:c r="Y348" s="4" t="n">
        <x:f>IF('계산 과정'!$C$78,'계산 과정'!$C$89+1*'계산 과정'!$D$24/2,"")</x:f>
        <x:v>260</x:v>
      </x:c>
      <x:c r="Z348" s="4" t="str">
        <x:f>""</x:f>
      </x:c>
    </x:row>
    <x:row r="349" ht="23" customHeight="1">
      <x:c r="A349" s="17" t="n">
        <x:f>ROW()-6</x:f>
        <x:v>343</x:v>
      </x:c>
      <x:c r="B349" s="4" t="n">
        <x:f>IF('계산 과정'!$L$5,'계산 과정'!$L$11*SQRT((A349+0.5)/'계산 과정'!$L$30),"")</x:f>
        <x:v>61.43129260350542</x:v>
      </x:c>
      <x:c r="C349" s="4" t="n">
        <x:f>A349*PI()*(3-SQRT(5))</x:f>
        <x:v>823.187387796928</x:v>
      </x:c>
      <x:c r="D349" s="4" t="n">
        <x:f>IF('계산 과정'!$L$5,B349*COS(C349),"")</x:f>
        <x:v>61.1820419094573</x:v>
      </x:c>
      <x:c r="E349" s="4" t="n">
        <x:f>IF('계산 과정'!$L$5,B349*SIN(C349),"")</x:f>
        <x:v>5.528241920078202</x:v>
      </x:c>
      <x:c r="F349" s="4" t="n">
        <x:f>IF('계산 과정'!$L$7,'계산 과정'!$L$22+'계산 과정'!$C$49*D349+'계산 과정'!$D$49*E349,"")</x:f>
        <x:v>606.7377632789832</x:v>
      </x:c>
      <x:c r="G349" s="4" t="n">
        <x:f>IF('계산 과정'!$L$7,IF(ABS(F349)&gt;=1E-12*MAX(1,SQRT((D349-'계산 과정'!$C$33)^2+(E349-'계산 과정'!$D$33)^2+'계산 과정'!$E$33^2)),('계산 과정'!$L$23-'계산 과정'!$C$49*D349-'계산 과정'!$D$49*E349)/F349,""),"")</x:f>
        <x:v>0.7305664218516774</x:v>
      </x:c>
      <x:c r="H349" s="4" t="n">
        <x:f>IF(AND(ISNUMBER(G349),G349&gt;0),('계산 과정'!$D$56+'계산 과정'!$D$57*D349+'계산 과정'!$D$58*E349)/F349,"")</x:f>
        <x:v>74.8681742035902</x:v>
      </x:c>
      <x:c r="I349" s="4" t="n">
        <x:f>IF(AND(ISNUMBER(G349),G349&gt;0),('계산 과정'!$E$56+'계산 과정'!$E$57*D349+'계산 과정'!$E$58*E349)/F349,"")</x:f>
        <x:v>9.56698983876018</x:v>
      </x:c>
      <x:c r="J349" s="4" t="n">
        <x:f>IF('계산 과정'!$L$5,'계산 과정'!$D$6+'계산 과정'!$C$35*D349+'계산 과정'!$D$35*E349,"")</x:f>
        <x:v>606.7377632789832</x:v>
      </x:c>
      <x:c r="K349" s="4" t="n">
        <x:f>IF(AND('계산 과정'!$L$6,J349&gt;0),'계산 과정'!$D$10*('계산 과정'!$C$38*(D349-'계산 과정'!$C$32)+'계산 과정'!$D$38*(E349-'계산 과정'!$D$32)-'계산 과정'!$E$38*'계산 과정'!$E$32)/J349,"")</x:f>
        <x:v>0.5704241844083077</x:v>
      </x:c>
      <x:c r="L349" s="4" t="n">
        <x:f>IF(AND('계산 과정'!$L$6,J349&gt;0),'계산 과정'!$D$10*('계산 과정'!$C$39*(D349-'계산 과정'!$C$32)+'계산 과정'!$D$39*(E349-'계산 과정'!$D$32)-'계산 과정'!$E$39*'계산 과정'!$E$32)/J349,"")</x:f>
        <x:v>0.07289135115245853</x:v>
      </x:c>
      <x:c r="M349" s="17" t="n">
        <x:f>IF('계산 과정'!$L$6,IF(J349&lt;=0,0,IF(AND(ABS(K349)&lt;='계산 과정'!$D$11/2,ABS(L349)&lt;='계산 과정'!$D$12/2),1,0)),"")</x:f>
        <x:v>1</x:v>
      </x:c>
      <x:c r="N349" s="17" t="n">
        <x:f>IF('계산 과정'!$C$78,IF(AND(ISNUMBER(H349),ISNUMBER(I349),ABS(H349-'계산 과정'!$C$88)&lt;='계산 과정'!$D$23/2,ABS(I349-'계산 과정'!$C$89)&lt;='계산 과정'!$D$24/2),1,0),"")</x:f>
        <x:v>1</x:v>
      </x:c>
      <x:c r="O349" s="4" t="n">
        <x:f>IF('계산 과정'!$L$7,'계산 과정'!$C$49*('계산 과정'!$C$32-D349)+'계산 과정'!$D$49*('계산 과정'!$D$32-E349)+'계산 과정'!$E$49*'계산 과정'!$E$32,"")</x:f>
        <x:v>43.262236721016905</x:v>
      </x:c>
      <x:c r="P349" s="4" t="n">
        <x:f>IF(AND('계산 과정'!$L$7,O349&lt;&gt;0),('계산 과정'!$L$23-'계산 과정'!$C$49*D349-'계산 과정'!$D$49*E349)/O349,"")</x:f>
        <x:v>10.245938960101869</x:v>
      </x:c>
      <x:c r="Q349" s="4" t="str">
        <x:f>IF(AND(ISNUMBER(P349),P349&gt;1E-9,P349&lt;1-1E-9),'계산 과정'!$C$47*(D349-'계산 과정'!$C$50+P349*('계산 과정'!$C$32-D349))+'계산 과정'!$D$47*(E349-'계산 과정'!$D$50+P349*('계산 과정'!$D$32-E349))+'계산 과정'!$E$47*(0-'계산 과정'!$E$50+P349*('계산 과정'!$E$32-0)),"")</x:f>
      </x:c>
      <x:c r="R349" s="4" t="str">
        <x:f>IF(AND(ISNUMBER(P349),P349&gt;1E-9,P349&lt;1-1E-9),'계산 과정'!$C$48*(D349-'계산 과정'!$C$50+P349*('계산 과정'!$C$32-D349))+'계산 과정'!$D$48*(E349-'계산 과정'!$D$50+P349*('계산 과정'!$D$32-E349))+'계산 과정'!$E$48*(0-'계산 과정'!$E$50+P349*('계산 과정'!$E$32-0)),"")</x:f>
      </x:c>
      <x:c r="S349" s="17" t="n">
        <x:f>IF('계산 과정'!$C$78,IF(AND(ISNUMBER(Q349),ISNUMBER(R349),ABS(Q349-'계산 과정'!$C$88)&lt;='계산 과정'!$D$23/2,ABS(R349-'계산 과정'!$C$89)&lt;='계산 과정'!$D$24/2),1,0),"")</x:f>
        <x:v>0</x:v>
      </x:c>
      <x:c r="T349" s="4"/>
      <x:c r="U349" s="4"/>
      <x:c r="V349" s="4"/>
      <x:c r="W349" s="4" t="n">
        <x:f>IF('계산 과정'!$C$78,'계산 과정'!$C$88+0.92*'계산 과정'!$D$23/2,"")</x:f>
        <x:v>267.92340425531904</x:v>
      </x:c>
      <x:c r="X349" s="4" t="str">
        <x:f>""</x:f>
      </x:c>
      <x:c r="Y349" s="4" t="n">
        <x:f>IF('계산 과정'!$C$78,'계산 과정'!$C$89+1*'계산 과정'!$D$24/2,"")</x:f>
        <x:v>260</x:v>
      </x:c>
      <x:c r="Z349" s="4" t="str">
        <x:f>""</x:f>
      </x:c>
    </x:row>
    <x:row r="350" ht="23" customHeight="1">
      <x:c r="A350" s="17" t="n">
        <x:f>ROW()-6</x:f>
        <x:v>344</x:v>
      </x:c>
      <x:c r="B350" s="4" t="n">
        <x:f>IF('계산 과정'!$L$5,'계산 과정'!$L$11*SQRT((A350+0.5)/'계산 과정'!$L$30),"")</x:f>
        <x:v>61.52064725815635</x:v>
      </x:c>
      <x:c r="C350" s="4" t="n">
        <x:f>A350*PI()*(3-SQRT(5))</x:f>
        <x:v>825.5873510266566</x:v>
      </x:c>
      <x:c r="D350" s="4" t="n">
        <x:f>IF('계산 과정'!$L$5,B350*COS(C350),"")</x:f>
        <x:v>-48.9190590472866</x:v>
      </x:c>
      <x:c r="E350" s="4" t="n">
        <x:f>IF('계산 과정'!$L$5,B350*SIN(C350),"")</x:f>
        <x:v>37.30570601115315</x:v>
      </x:c>
      <x:c r="F350" s="4" t="n">
        <x:f>IF('계산 과정'!$L$7,'계산 과정'!$L$22+'계산 과정'!$C$49*D350+'계산 과정'!$D$49*E350,"")</x:f>
        <x:v>684.5909983816015</x:v>
      </x:c>
      <x:c r="G350" s="4" t="n">
        <x:f>IF('계산 과정'!$L$7,IF(ABS(F350)&gt;=1E-12*MAX(1,SQRT((D350-'계산 과정'!$C$33)^2+(E350-'계산 과정'!$D$33)^2+'계산 과정'!$E$33^2)),('계산 과정'!$L$23-'계산 과정'!$C$49*D350-'계산 과정'!$D$49*E350)/F350,""),"")</x:f>
        <x:v>0.5337624983124799</x:v>
      </x:c>
      <x:c r="H350" s="4" t="n">
        <x:f>IF(AND(ISNUMBER(G350),G350&gt;0),('계산 과정'!$D$56+'계산 과정'!$D$57*D350+'계산 과정'!$D$58*E350)/F350,"")</x:f>
        <x:v>-53.05437609688817</x:v>
      </x:c>
      <x:c r="I350" s="4" t="n">
        <x:f>IF(AND(ISNUMBER(G350),G350&gt;0),('계산 과정'!$E$56+'계산 과정'!$E$57*D350+'계산 과정'!$E$58*E350)/F350,"")</x:f>
        <x:v>57.21809285297716</x:v>
      </x:c>
      <x:c r="J350" s="4" t="n">
        <x:f>IF('계산 과정'!$L$5,'계산 과정'!$D$6+'계산 과정'!$C$35*D350+'계산 과정'!$D$35*E350,"")</x:f>
        <x:v>684.5909983816015</x:v>
      </x:c>
      <x:c r="K350" s="4" t="n">
        <x:f>IF(AND('계산 과정'!$L$6,J350&gt;0),'계산 과정'!$D$10*('계산 과정'!$C$38*(D350-'계산 과정'!$C$32)+'계산 과정'!$D$38*(E350-'계산 과정'!$D$32)-'계산 과정'!$E$38*'계산 과정'!$E$32)/J350,"")</x:f>
        <x:v>-0.4042238178810517</x:v>
      </x:c>
      <x:c r="L350" s="4" t="n">
        <x:f>IF(AND('계산 과정'!$L$6,J350&gt;0),'계산 과정'!$D$10*('계산 과정'!$C$39*(D350-'계산 과정'!$C$32)+'계산 과정'!$D$39*(E350-'계산 과정'!$D$32)-'계산 과정'!$E$39*'계산 과정'!$E$32)/J350,"")</x:f>
        <x:v>0.43594737411792117</x:v>
      </x:c>
      <x:c r="M350" s="17" t="n">
        <x:f>IF('계산 과정'!$L$6,IF(J350&lt;=0,0,IF(AND(ABS(K350)&lt;='계산 과정'!$D$11/2,ABS(L350)&lt;='계산 과정'!$D$12/2),1,0)),"")</x:f>
        <x:v>1</x:v>
      </x:c>
      <x:c r="N350" s="17" t="n">
        <x:f>IF('계산 과정'!$C$78,IF(AND(ISNUMBER(H350),ISNUMBER(I350),ABS(H350-'계산 과정'!$C$88)&lt;='계산 과정'!$D$23/2,ABS(I350-'계산 과정'!$C$89)&lt;='계산 과정'!$D$24/2),1,0),"")</x:f>
        <x:v>1</x:v>
      </x:c>
      <x:c r="O350" s="4" t="n">
        <x:f>IF('계산 과정'!$L$7,'계산 과정'!$C$49*('계산 과정'!$C$32-D350)+'계산 과정'!$D$49*('계산 과정'!$D$32-E350)+'계산 과정'!$E$49*'계산 과정'!$E$32,"")</x:f>
        <x:v>-34.590998381601366</x:v>
      </x:c>
      <x:c r="P350" s="4" t="n">
        <x:f>IF(AND('계산 과정'!$L$7,O350&lt;&gt;0),('계산 과정'!$L$23-'계산 과정'!$C$49*D350-'계산 과정'!$D$49*E350)/O350,"")</x:f>
        <x:v>-10.563702081890652</x:v>
      </x:c>
      <x:c r="Q350" s="4" t="str">
        <x:f>IF(AND(ISNUMBER(P350),P350&gt;1E-9,P350&lt;1-1E-9),'계산 과정'!$C$47*(D350-'계산 과정'!$C$50+P350*('계산 과정'!$C$32-D350))+'계산 과정'!$D$47*(E350-'계산 과정'!$D$50+P350*('계산 과정'!$D$32-E350))+'계산 과정'!$E$47*(0-'계산 과정'!$E$50+P350*('계산 과정'!$E$32-0)),"")</x:f>
      </x:c>
      <x:c r="R350" s="4" t="str">
        <x:f>IF(AND(ISNUMBER(P350),P350&gt;1E-9,P350&lt;1-1E-9),'계산 과정'!$C$48*(D350-'계산 과정'!$C$50+P350*('계산 과정'!$C$32-D350))+'계산 과정'!$D$48*(E350-'계산 과정'!$D$50+P350*('계산 과정'!$D$32-E350))+'계산 과정'!$E$48*(0-'계산 과정'!$E$50+P350*('계산 과정'!$E$32-0)),"")</x:f>
      </x:c>
      <x:c r="S350" s="17" t="n">
        <x:f>IF('계산 과정'!$C$78,IF(AND(ISNUMBER(Q350),ISNUMBER(R350),ABS(Q350-'계산 과정'!$C$88)&lt;='계산 과정'!$D$23/2,ABS(R350-'계산 과정'!$C$89)&lt;='계산 과정'!$D$24/2),1,0),"")</x:f>
        <x:v>0</x:v>
      </x:c>
      <x:c r="T350" s="4"/>
      <x:c r="U350" s="4"/>
      <x:c r="V350" s="4"/>
      <x:c r="W350" s="4" t="n">
        <x:f>IF('계산 과정'!$C$78,'계산 과정'!$C$88+0.88*'계산 과정'!$D$23/2,"")</x:f>
        <x:v>257.52340425531906</x:v>
      </x:c>
      <x:c r="X350" s="4" t="str">
        <x:f>""</x:f>
      </x:c>
      <x:c r="Y350" s="4" t="n">
        <x:f>IF('계산 과정'!$C$78,'계산 과정'!$C$89+1*'계산 과정'!$D$24/2,"")</x:f>
        <x:v>260</x:v>
      </x:c>
      <x:c r="Z350" s="4" t="str">
        <x:f>""</x:f>
      </x:c>
    </x:row>
    <x:row r="351" ht="23" customHeight="1">
      <x:c r="A351" s="17" t="n">
        <x:f>ROW()-6</x:f>
        <x:v>345</x:v>
      </x:c>
      <x:c r="B351" s="4" t="n">
        <x:f>IF('계산 과정'!$L$5,'계산 과정'!$L$11*SQRT((A351+0.5)/'계산 과정'!$L$30),"")</x:f>
        <x:v>61.60987231919491</x:v>
      </x:c>
      <x:c r="C351" s="4" t="n">
        <x:f>A351*PI()*(3-SQRT(5))</x:f>
        <x:v>827.9873142563853</x:v>
      </x:c>
      <x:c r="D351" s="4" t="n">
        <x:f>IF('계산 과정'!$L$5,B351*COS(C351),"")</x:f>
        <x:v>10.887516947794316</x:v>
      </x:c>
      <x:c r="E351" s="4" t="n">
        <x:f>IF('계산 과정'!$L$5,B351*SIN(C351),"")</x:f>
        <x:v>-60.64023698749033</x:v>
      </x:c>
      <x:c r="F351" s="4" t="n">
        <x:f>IF('계산 과정'!$L$7,'계산 과정'!$L$22+'계산 과정'!$C$49*D351+'계산 과정'!$D$49*E351,"")</x:f>
        <x:v>642.3013629359311</x:v>
      </x:c>
      <x:c r="G351" s="4" t="n">
        <x:f>IF('계산 과정'!$L$7,IF(ABS(F351)&gt;=1E-12*MAX(1,SQRT((D351-'계산 과정'!$C$33)^2+(E351-'계산 과정'!$D$33)^2+'계산 과정'!$E$33^2)),('계산 과정'!$L$23-'계산 과정'!$C$49*D351-'계산 과정'!$D$49*E351)/F351,""),"")</x:f>
        <x:v>0.6347466478982644</x:v>
      </x:c>
      <x:c r="H351" s="4" t="n">
        <x:f>IF(AND(ISNUMBER(G351),G351&gt;0),('계산 과정'!$D$56+'계산 과정'!$D$57*D351+'계산 과정'!$D$58*E351)/F351,"")</x:f>
        <x:v>12.585321133871734</x:v>
      </x:c>
      <x:c r="I351" s="4" t="n">
        <x:f>IF(AND(ISNUMBER(G351),G351&gt;0),('계산 과정'!$E$56+'계산 과정'!$E$57*D351+'계산 과정'!$E$58*E351)/F351,"")</x:f>
        <x:v>-99.13142414305617</x:v>
      </x:c>
      <x:c r="J351" s="4" t="n">
        <x:f>IF('계산 과정'!$L$5,'계산 과정'!$D$6+'계산 과정'!$C$35*D351+'계산 과정'!$D$35*E351,"")</x:f>
        <x:v>642.3013629359311</x:v>
      </x:c>
      <x:c r="K351" s="4" t="n">
        <x:f>IF(AND('계산 과정'!$L$6,J351&gt;0),'계산 과정'!$D$10*('계산 과정'!$C$38*(D351-'계산 과정'!$C$32)+'계산 과정'!$D$38*(E351-'계산 과정'!$D$32)-'계산 과정'!$E$38*'계산 과정'!$E$32)/J351,"")</x:f>
        <x:v>0.09588816101997645</x:v>
      </x:c>
      <x:c r="L351" s="4" t="n">
        <x:f>IF(AND('계산 과정'!$L$6,J351&gt;0),'계산 과정'!$D$10*('계산 과정'!$C$39*(D351-'계산 과정'!$C$32)+'계산 과정'!$D$39*(E351-'계산 과정'!$D$32)-'계산 과정'!$E$39*'계산 과정'!$E$32)/J351,"")</x:f>
        <x:v>-0.7552870410899518</x:v>
      </x:c>
      <x:c r="M351" s="17" t="n">
        <x:f>IF('계산 과정'!$L$6,IF(J351&lt;=0,0,IF(AND(ABS(K351)&lt;='계산 과정'!$D$11/2,ABS(L351)&lt;='계산 과정'!$D$12/2),1,0)),"")</x:f>
        <x:v>1</x:v>
      </x:c>
      <x:c r="N351" s="17" t="n">
        <x:f>IF('계산 과정'!$C$78,IF(AND(ISNUMBER(H351),ISNUMBER(I351),ABS(H351-'계산 과정'!$C$88)&lt;='계산 과정'!$D$23/2,ABS(I351-'계산 과정'!$C$89)&lt;='계산 과정'!$D$24/2),1,0),"")</x:f>
        <x:v>1</x:v>
      </x:c>
      <x:c r="O351" s="4" t="n">
        <x:f>IF('계산 과정'!$L$7,'계산 과정'!$C$49*('계산 과정'!$C$32-D351)+'계산 과정'!$D$49*('계산 과정'!$D$32-E351)+'계산 과정'!$E$49*'계산 과정'!$E$32,"")</x:f>
        <x:v>7.698637064068919</x:v>
      </x:c>
      <x:c r="P351" s="4" t="n">
        <x:f>IF(AND('계산 과정'!$L$7,O351&lt;&gt;0),('계산 과정'!$L$23-'계산 과정'!$C$49*D351-'계산 과정'!$D$49*E351)/O351,"")</x:f>
        <x:v>52.95724862351026</x:v>
      </x:c>
      <x:c r="Q351" s="4" t="str">
        <x:f>IF(AND(ISNUMBER(P351),P351&gt;1E-9,P351&lt;1-1E-9),'계산 과정'!$C$47*(D351-'계산 과정'!$C$50+P351*('계산 과정'!$C$32-D351))+'계산 과정'!$D$47*(E351-'계산 과정'!$D$50+P351*('계산 과정'!$D$32-E351))+'계산 과정'!$E$47*(0-'계산 과정'!$E$50+P351*('계산 과정'!$E$32-0)),"")</x:f>
      </x:c>
      <x:c r="R351" s="4" t="str">
        <x:f>IF(AND(ISNUMBER(P351),P351&gt;1E-9,P351&lt;1-1E-9),'계산 과정'!$C$48*(D351-'계산 과정'!$C$50+P351*('계산 과정'!$C$32-D351))+'계산 과정'!$D$48*(E351-'계산 과정'!$D$50+P351*('계산 과정'!$D$32-E351))+'계산 과정'!$E$48*(0-'계산 과정'!$E$50+P351*('계산 과정'!$E$32-0)),"")</x:f>
      </x:c>
      <x:c r="S351" s="17" t="n">
        <x:f>IF('계산 과정'!$C$78,IF(AND(ISNUMBER(Q351),ISNUMBER(R351),ABS(Q351-'계산 과정'!$C$88)&lt;='계산 과정'!$D$23/2,ABS(R351-'계산 과정'!$C$89)&lt;='계산 과정'!$D$24/2),1,0),"")</x:f>
        <x:v>0</x:v>
      </x:c>
      <x:c r="T351" s="4"/>
      <x:c r="U351" s="4"/>
      <x:c r="V351" s="4"/>
      <x:c r="W351" s="4" t="n">
        <x:f>IF('계산 과정'!$C$78,'계산 과정'!$C$88+0.84*'계산 과정'!$D$23/2,"")</x:f>
        <x:v>247.12340425531903</x:v>
      </x:c>
      <x:c r="X351" s="4" t="str">
        <x:f>""</x:f>
      </x:c>
      <x:c r="Y351" s="4" t="n">
        <x:f>IF('계산 과정'!$C$78,'계산 과정'!$C$89+1*'계산 과정'!$D$24/2,"")</x:f>
        <x:v>260</x:v>
      </x:c>
      <x:c r="Z351" s="4" t="str">
        <x:f>""</x:f>
      </x:c>
    </x:row>
    <x:row r="352" ht="23" customHeight="1">
      <x:c r="A352" s="17" t="n">
        <x:f>ROW()-6</x:f>
        <x:v>346</x:v>
      </x:c>
      <x:c r="B352" s="4" t="n">
        <x:f>IF('계산 과정'!$L$5,'계산 과정'!$L$11*SQRT((A352+0.5)/'계산 과정'!$L$30),"")</x:f>
        <x:v>61.698968348850855</x:v>
      </x:c>
      <x:c r="C352" s="4" t="n">
        <x:f>A352*PI()*(3-SQRT(5))</x:f>
        <x:v>830.3872774861138</x:v>
      </x:c>
      <x:c r="D352" s="4" t="n">
        <x:f>IF('계산 과정'!$L$5,B352*COS(C352),"")</x:f>
        <x:v>32.98140196800583</x:v>
      </x:c>
      <x:c r="E352" s="4" t="n">
        <x:f>IF('계산 과정'!$L$5,B352*SIN(C352),"")</x:f>
        <x:v>52.14393367916656</x:v>
      </x:c>
      <x:c r="F352" s="4" t="n">
        <x:f>IF('계산 과정'!$L$7,'계산 과정'!$L$22+'계산 과정'!$C$49*D352+'계산 과정'!$D$49*E352,"")</x:f>
        <x:v>626.6786270153838</x:v>
      </x:c>
      <x:c r="G352" s="4" t="n">
        <x:f>IF('계산 과정'!$L$7,IF(ABS(F352)&gt;=1E-12*MAX(1,SQRT((D352-'계산 과정'!$C$33)^2+(E352-'계산 과정'!$D$33)^2+'계산 과정'!$E$33^2)),('계산 과정'!$L$23-'계산 과정'!$C$49*D352-'계산 과정'!$D$49*E352)/F352,""),"")</x:f>
        <x:v>0.6754999368667227</x:v>
      </x:c>
      <x:c r="H352" s="4" t="n">
        <x:f>IF(AND(ISNUMBER(G352),G352&gt;0),('계산 과정'!$D$56+'계산 과정'!$D$57*D352+'계산 과정'!$D$58*E352)/F352,"")</x:f>
        <x:v>39.07495896336974</x:v>
      </x:c>
      <x:c r="I352" s="4" t="n">
        <x:f>IF(AND(ISNUMBER(G352),G352&gt;0),('계산 과정'!$E$56+'계산 과정'!$E$57*D352+'계산 과정'!$E$58*E352)/F352,"")</x:f>
        <x:v>87.36715758742615</x:v>
      </x:c>
      <x:c r="J352" s="4" t="n">
        <x:f>IF('계산 과정'!$L$5,'계산 과정'!$D$6+'계산 과정'!$C$35*D352+'계산 과정'!$D$35*E352,"")</x:f>
        <x:v>626.6786270153838</x:v>
      </x:c>
      <x:c r="K352" s="4" t="n">
        <x:f>IF(AND('계산 과정'!$L$6,J352&gt;0),'계산 과정'!$D$10*('계산 과정'!$C$38*(D352-'계산 과정'!$C$32)+'계산 과정'!$D$38*(E352-'계산 과정'!$D$32)-'계산 과정'!$E$38*'계산 과정'!$E$32)/J352,"")</x:f>
        <x:v>0.297713973054246</x:v>
      </x:c>
      <x:c r="L352" s="4" t="n">
        <x:f>IF(AND('계산 과정'!$L$6,J352&gt;0),'계산 과정'!$D$10*('계산 과정'!$C$39*(D352-'계산 과정'!$C$32)+'계산 과정'!$D$39*(E352-'계산 과정'!$D$32)-'계산 과정'!$E$39*'계산 과정'!$E$32)/J352,"")</x:f>
        <x:v>0.6656545339994373</x:v>
      </x:c>
      <x:c r="M352" s="17" t="n">
        <x:f>IF('계산 과정'!$L$6,IF(J352&lt;=0,0,IF(AND(ABS(K352)&lt;='계산 과정'!$D$11/2,ABS(L352)&lt;='계산 과정'!$D$12/2),1,0)),"")</x:f>
        <x:v>1</x:v>
      </x:c>
      <x:c r="N352" s="17" t="n">
        <x:f>IF('계산 과정'!$C$78,IF(AND(ISNUMBER(H352),ISNUMBER(I352),ABS(H352-'계산 과정'!$C$88)&lt;='계산 과정'!$D$23/2,ABS(I352-'계산 과정'!$C$89)&lt;='계산 과정'!$D$24/2),1,0),"")</x:f>
        <x:v>1</x:v>
      </x:c>
      <x:c r="O352" s="4" t="n">
        <x:f>IF('계산 과정'!$L$7,'계산 과정'!$C$49*('계산 과정'!$C$32-D352)+'계산 과정'!$D$49*('계산 과정'!$D$32-E352)+'계산 과정'!$E$49*'계산 과정'!$E$32,"")</x:f>
        <x:v>23.321372984616346</x:v>
      </x:c>
      <x:c r="P352" s="4" t="n">
        <x:f>IF(AND('계산 과정'!$L$7,O352&lt;&gt;0),('계산 과정'!$L$23-'계산 과정'!$C$49*D352-'계산 과정'!$D$49*E352)/O352,"")</x:f>
        <x:v>18.151648844339263</x:v>
      </x:c>
      <x:c r="Q352" s="4" t="str">
        <x:f>IF(AND(ISNUMBER(P352),P352&gt;1E-9,P352&lt;1-1E-9),'계산 과정'!$C$47*(D352-'계산 과정'!$C$50+P352*('계산 과정'!$C$32-D352))+'계산 과정'!$D$47*(E352-'계산 과정'!$D$50+P352*('계산 과정'!$D$32-E352))+'계산 과정'!$E$47*(0-'계산 과정'!$E$50+P352*('계산 과정'!$E$32-0)),"")</x:f>
      </x:c>
      <x:c r="R352" s="4" t="str">
        <x:f>IF(AND(ISNUMBER(P352),P352&gt;1E-9,P352&lt;1-1E-9),'계산 과정'!$C$48*(D352-'계산 과정'!$C$50+P352*('계산 과정'!$C$32-D352))+'계산 과정'!$D$48*(E352-'계산 과정'!$D$50+P352*('계산 과정'!$D$32-E352))+'계산 과정'!$E$48*(0-'계산 과정'!$E$50+P352*('계산 과정'!$E$32-0)),"")</x:f>
      </x:c>
      <x:c r="S352" s="17" t="n">
        <x:f>IF('계산 과정'!$C$78,IF(AND(ISNUMBER(Q352),ISNUMBER(R352),ABS(Q352-'계산 과정'!$C$88)&lt;='계산 과정'!$D$23/2,ABS(R352-'계산 과정'!$C$89)&lt;='계산 과정'!$D$24/2),1,0),"")</x:f>
        <x:v>0</x:v>
      </x:c>
      <x:c r="T352" s="4"/>
      <x:c r="U352" s="4"/>
      <x:c r="V352" s="4"/>
      <x:c r="W352" s="4" t="n">
        <x:f>IF('계산 과정'!$C$78,'계산 과정'!$C$88+0.8*'계산 과정'!$D$23/2,"")</x:f>
        <x:v>236.72340425531902</x:v>
      </x:c>
      <x:c r="X352" s="4" t="str">
        <x:f>""</x:f>
      </x:c>
      <x:c r="Y352" s="4" t="n">
        <x:f>IF('계산 과정'!$C$78,'계산 과정'!$C$89+1*'계산 과정'!$D$24/2,"")</x:f>
        <x:v>260</x:v>
      </x:c>
      <x:c r="Z352" s="4" t="str">
        <x:f>""</x:f>
      </x:c>
    </x:row>
    <x:row r="353" ht="23" customHeight="1">
      <x:c r="A353" s="17" t="n">
        <x:f>ROW()-6</x:f>
        <x:v>347</x:v>
      </x:c>
      <x:c r="B353" s="4" t="n">
        <x:f>IF('계산 과정'!$L$5,'계산 과정'!$L$11*SQRT((A353+0.5)/'계산 과정'!$L$30),"")</x:f>
        <x:v>61.78793590530032</x:v>
      </x:c>
      <x:c r="C353" s="4" t="n">
        <x:f>A353*PI()*(3-SQRT(5))</x:f>
        <x:v>832.7872407158426</x:v>
      </x:c>
      <x:c r="D353" s="4" t="n">
        <x:f>IF('계산 과정'!$L$5,B353*COS(C353),"")</x:f>
        <x:v>-59.62803802217525</x:v>
      </x:c>
      <x:c r="E353" s="4" t="n">
        <x:f>IF('계산 과정'!$L$5,B353*SIN(C353),"")</x:f>
        <x:v>-16.194014482626734</x:v>
      </x:c>
      <x:c r="F353" s="4" t="n">
        <x:f>IF('계산 과정'!$L$7,'계산 과정'!$L$22+'계산 과정'!$C$49*D353+'계산 과정'!$D$49*E353,"")</x:f>
        <x:v>692.1633900343294</x:v>
      </x:c>
      <x:c r="G353" s="4" t="n">
        <x:f>IF('계산 과정'!$L$7,IF(ABS(F353)&gt;=1E-12*MAX(1,SQRT((D353-'계산 과정'!$C$33)^2+(E353-'계산 과정'!$D$33)^2+'계산 과정'!$E$33^2)),('계산 과정'!$L$23-'계산 과정'!$C$49*D353-'계산 과정'!$D$49*E353)/F353,""),"")</x:f>
        <x:v>0.5169828614424737</x:v>
      </x:c>
      <x:c r="H353" s="4" t="n">
        <x:f>IF(AND(ISNUMBER(G353),G353&gt;0),('계산 과정'!$D$56+'계산 과정'!$D$57*D353+'계산 과정'!$D$58*E353)/F353,"")</x:f>
        <x:v>-63.96114006239223</x:v>
      </x:c>
      <x:c r="I353" s="4" t="n">
        <x:f>IF(AND(ISNUMBER(G353),G353&gt;0),('계산 과정'!$E$56+'계산 과정'!$E$57*D353+'계산 과정'!$E$58*E353)/F353,"")</x:f>
        <x:v>-24.566042428095965</x:v>
      </x:c>
      <x:c r="J353" s="4" t="n">
        <x:f>IF('계산 과정'!$L$5,'계산 과정'!$D$6+'계산 과정'!$C$35*D353+'계산 과정'!$D$35*E353,"")</x:f>
        <x:v>692.1633900343294</x:v>
      </x:c>
      <x:c r="K353" s="4" t="n">
        <x:f>IF(AND('계산 과정'!$L$6,J353&gt;0),'계산 과정'!$D$10*('계산 과정'!$C$38*(D353-'계산 과정'!$C$32)+'계산 과정'!$D$38*(E353-'계산 과정'!$D$32)-'계산 과정'!$E$38*'계산 과정'!$E$32)/J353,"")</x:f>
        <x:v>-0.4873229719039396</x:v>
      </x:c>
      <x:c r="L353" s="4" t="n">
        <x:f>IF(AND('계산 과정'!$L$6,J353&gt;0),'계산 과정'!$D$10*('계산 과정'!$C$39*(D353-'계산 과정'!$C$32)+'계산 과정'!$D$39*(E353-'계산 과정'!$D$32)-'계산 과정'!$E$39*'계산 과정'!$E$32)/J353,"")</x:f>
        <x:v>-0.18716984707120735</x:v>
      </x:c>
      <x:c r="M353" s="17" t="n">
        <x:f>IF('계산 과정'!$L$6,IF(J353&lt;=0,0,IF(AND(ABS(K353)&lt;='계산 과정'!$D$11/2,ABS(L353)&lt;='계산 과정'!$D$12/2),1,0)),"")</x:f>
        <x:v>1</x:v>
      </x:c>
      <x:c r="N353" s="17" t="n">
        <x:f>IF('계산 과정'!$C$78,IF(AND(ISNUMBER(H353),ISNUMBER(I353),ABS(H353-'계산 과정'!$C$88)&lt;='계산 과정'!$D$23/2,ABS(I353-'계산 과정'!$C$89)&lt;='계산 과정'!$D$24/2),1,0),"")</x:f>
        <x:v>1</x:v>
      </x:c>
      <x:c r="O353" s="4" t="n">
        <x:f>IF('계산 과정'!$L$7,'계산 과정'!$C$49*('계산 과정'!$C$32-D353)+'계산 과정'!$D$49*('계산 과정'!$D$32-E353)+'계산 과정'!$E$49*'계산 과정'!$E$32,"")</x:f>
        <x:v>-42.16339003432927</x:v>
      </x:c>
      <x:c r="P353" s="4" t="n">
        <x:f>IF(AND('계산 과정'!$L$7,O353&lt;&gt;0),('계산 과정'!$L$23-'계산 과정'!$C$49*D353-'계산 과정'!$D$49*E353)/O353,"")</x:f>
        <x:v>-8.48690320380599</x:v>
      </x:c>
      <x:c r="Q353" s="4" t="str">
        <x:f>IF(AND(ISNUMBER(P353),P353&gt;1E-9,P353&lt;1-1E-9),'계산 과정'!$C$47*(D353-'계산 과정'!$C$50+P353*('계산 과정'!$C$32-D353))+'계산 과정'!$D$47*(E353-'계산 과정'!$D$50+P353*('계산 과정'!$D$32-E353))+'계산 과정'!$E$47*(0-'계산 과정'!$E$50+P353*('계산 과정'!$E$32-0)),"")</x:f>
      </x:c>
      <x:c r="R353" s="4" t="str">
        <x:f>IF(AND(ISNUMBER(P353),P353&gt;1E-9,P353&lt;1-1E-9),'계산 과정'!$C$48*(D353-'계산 과정'!$C$50+P353*('계산 과정'!$C$32-D353))+'계산 과정'!$D$48*(E353-'계산 과정'!$D$50+P353*('계산 과정'!$D$32-E353))+'계산 과정'!$E$48*(0-'계산 과정'!$E$50+P353*('계산 과정'!$E$32-0)),"")</x:f>
      </x:c>
      <x:c r="S353" s="17" t="n">
        <x:f>IF('계산 과정'!$C$78,IF(AND(ISNUMBER(Q353),ISNUMBER(R353),ABS(Q353-'계산 과정'!$C$88)&lt;='계산 과정'!$D$23/2,ABS(R353-'계산 과정'!$C$89)&lt;='계산 과정'!$D$24/2),1,0),"")</x:f>
        <x:v>0</x:v>
      </x:c>
      <x:c r="T353" s="4"/>
      <x:c r="U353" s="4"/>
      <x:c r="V353" s="4"/>
      <x:c r="W353" s="4" t="n">
        <x:f>IF('계산 과정'!$C$78,'계산 과정'!$C$88+0.76*'계산 과정'!$D$23/2,"")</x:f>
        <x:v>226.32340425531902</x:v>
      </x:c>
      <x:c r="X353" s="4" t="str">
        <x:f>""</x:f>
      </x:c>
      <x:c r="Y353" s="4" t="n">
        <x:f>IF('계산 과정'!$C$78,'계산 과정'!$C$89+1*'계산 과정'!$D$24/2,"")</x:f>
        <x:v>260</x:v>
      </x:c>
      <x:c r="Z353" s="4" t="str">
        <x:f>""</x:f>
      </x:c>
    </x:row>
    <x:row r="354" ht="23" customHeight="1">
      <x:c r="A354" s="17" t="n">
        <x:f>ROW()-6</x:f>
        <x:v>348</x:v>
      </x:c>
      <x:c r="B354" s="4" t="n">
        <x:f>IF('계산 과정'!$L$5,'계산 과정'!$L$11*SQRT((A354+0.5)/'계산 과정'!$L$30),"")</x:f>
        <x:v>61.876775542706646</x:v>
      </x:c>
      <x:c r="C354" s="4" t="n">
        <x:f>A354*PI()*(3-SQRT(5))</x:f>
        <x:v>835.1872039455711</x:v>
      </x:c>
      <x:c r="D354" s="4" t="n">
        <x:f>IF('계산 과정'!$L$5,B354*COS(C354),"")</x:f>
        <x:v>54.985704882931906</x:v>
      </x:c>
      <x:c r="E354" s="4" t="n">
        <x:f>IF('계산 과정'!$L$5,B354*SIN(C354),"")</x:f>
        <x:v>-28.377942315989323</x:v>
      </x:c>
      <x:c r="F354" s="4" t="n">
        <x:f>IF('계산 과정'!$L$7,'계산 과정'!$L$22+'계산 과정'!$C$49*D354+'계산 과정'!$D$49*E354,"")</x:f>
        <x:v>611.1192352089566</x:v>
      </x:c>
      <x:c r="G354" s="4" t="n">
        <x:f>IF('계산 과정'!$L$7,IF(ABS(F354)&gt;=1E-12*MAX(1,SQRT((D354-'계산 과정'!$C$33)^2+(E354-'계산 과정'!$D$33)^2+'계산 과정'!$E$33^2)),('계산 과정'!$L$23-'계산 과정'!$C$49*D354-'계산 과정'!$D$49*E354)/F354,""),"")</x:f>
        <x:v>0.7181589770136745</x:v>
      </x:c>
      <x:c r="H354" s="4" t="n">
        <x:f>IF(AND(ISNUMBER(G354),G354&gt;0),('계산 과정'!$D$56+'계산 과정'!$D$57*D354+'계산 과정'!$D$58*E354)/F354,"")</x:f>
        <x:v>66.80333505888834</x:v>
      </x:c>
      <x:c r="I354" s="4" t="n">
        <x:f>IF(AND(ISNUMBER(G354),G354&gt;0),('계산 과정'!$E$56+'계산 과정'!$E$57*D354+'계산 과정'!$E$58*E354)/F354,"")</x:f>
        <x:v>-48.75781633939328</x:v>
      </x:c>
      <x:c r="J354" s="4" t="n">
        <x:f>IF('계산 과정'!$L$5,'계산 과정'!$D$6+'계산 과정'!$C$35*D354+'계산 과정'!$D$35*E354,"")</x:f>
        <x:v>611.1192352089566</x:v>
      </x:c>
      <x:c r="K354" s="4" t="n">
        <x:f>IF(AND('계산 과정'!$L$6,J354&gt;0),'계산 과정'!$D$10*('계산 과정'!$C$38*(D354-'계산 과정'!$C$32)+'계산 과정'!$D$38*(E354-'계산 과정'!$D$32)-'계산 과정'!$E$38*'계산 과정'!$E$32)/J354,"")</x:f>
        <x:v>0.5089777909248644</x:v>
      </x:c>
      <x:c r="L354" s="4" t="n">
        <x:f>IF(AND('계산 과정'!$L$6,J354&gt;0),'계산 과정'!$D$10*('계산 과정'!$C$39*(D354-'계산 과정'!$C$32)+'계산 과정'!$D$39*(E354-'계산 과정'!$D$32)-'계산 과정'!$E$39*'계산 과정'!$E$32)/J354,"")</x:f>
        <x:v>-0.3714881244906154</x:v>
      </x:c>
      <x:c r="M354" s="17" t="n">
        <x:f>IF('계산 과정'!$L$6,IF(J354&lt;=0,0,IF(AND(ABS(K354)&lt;='계산 과정'!$D$11/2,ABS(L354)&lt;='계산 과정'!$D$12/2),1,0)),"")</x:f>
        <x:v>1</x:v>
      </x:c>
      <x:c r="N354" s="17" t="n">
        <x:f>IF('계산 과정'!$C$78,IF(AND(ISNUMBER(H354),ISNUMBER(I354),ABS(H354-'계산 과정'!$C$88)&lt;='계산 과정'!$D$23/2,ABS(I354-'계산 과정'!$C$89)&lt;='계산 과정'!$D$24/2),1,0),"")</x:f>
        <x:v>1</x:v>
      </x:c>
      <x:c r="O354" s="4" t="n">
        <x:f>IF('계산 과정'!$L$7,'계산 과정'!$C$49*('계산 과정'!$C$32-D354)+'계산 과정'!$D$49*('계산 과정'!$D$32-E354)+'계산 과정'!$E$49*'계산 과정'!$E$32,"")</x:f>
        <x:v>38.88076479104353</x:v>
      </x:c>
      <x:c r="P354" s="4" t="n">
        <x:f>IF(AND('계산 과정'!$L$7,O354&lt;&gt;0),('계산 과정'!$L$23-'계산 과정'!$C$49*D354-'계산 과정'!$D$49*E354)/O354,"")</x:f>
        <x:v>11.287863475672753</x:v>
      </x:c>
      <x:c r="Q354" s="4" t="str">
        <x:f>IF(AND(ISNUMBER(P354),P354&gt;1E-9,P354&lt;1-1E-9),'계산 과정'!$C$47*(D354-'계산 과정'!$C$50+P354*('계산 과정'!$C$32-D354))+'계산 과정'!$D$47*(E354-'계산 과정'!$D$50+P354*('계산 과정'!$D$32-E354))+'계산 과정'!$E$47*(0-'계산 과정'!$E$50+P354*('계산 과정'!$E$32-0)),"")</x:f>
      </x:c>
      <x:c r="R354" s="4" t="str">
        <x:f>IF(AND(ISNUMBER(P354),P354&gt;1E-9,P354&lt;1-1E-9),'계산 과정'!$C$48*(D354-'계산 과정'!$C$50+P354*('계산 과정'!$C$32-D354))+'계산 과정'!$D$48*(E354-'계산 과정'!$D$50+P354*('계산 과정'!$D$32-E354))+'계산 과정'!$E$48*(0-'계산 과정'!$E$50+P354*('계산 과정'!$E$32-0)),"")</x:f>
      </x:c>
      <x:c r="S354" s="17" t="n">
        <x:f>IF('계산 과정'!$C$78,IF(AND(ISNUMBER(Q354),ISNUMBER(R354),ABS(Q354-'계산 과정'!$C$88)&lt;='계산 과정'!$D$23/2,ABS(R354-'계산 과정'!$C$89)&lt;='계산 과정'!$D$24/2),1,0),"")</x:f>
        <x:v>0</x:v>
      </x:c>
      <x:c r="T354" s="4"/>
      <x:c r="U354" s="4"/>
      <x:c r="V354" s="4"/>
      <x:c r="W354" s="4" t="n">
        <x:f>IF('계산 과정'!$C$78,'계산 과정'!$C$88+0.72*'계산 과정'!$D$23/2,"")</x:f>
        <x:v>215.923404255319</x:v>
      </x:c>
      <x:c r="X354" s="4" t="str">
        <x:f>""</x:f>
      </x:c>
      <x:c r="Y354" s="4" t="n">
        <x:f>IF('계산 과정'!$C$78,'계산 과정'!$C$89+1*'계산 과정'!$D$24/2,"")</x:f>
        <x:v>260</x:v>
      </x:c>
      <x:c r="Z354" s="4" t="str">
        <x:f>""</x:f>
      </x:c>
    </x:row>
    <x:row r="355" ht="23" customHeight="1">
      <x:c r="A355" s="17" t="n">
        <x:f>ROW()-6</x:f>
        <x:v>349</x:v>
      </x:c>
      <x:c r="B355" s="4" t="n">
        <x:f>IF('계산 과정'!$L$5,'계산 과정'!$L$11*SQRT((A355+0.5)/'계산 과정'!$L$30),"")</x:f>
        <x:v>61.965487811260715</x:v>
      </x:c>
      <x:c r="C355" s="4" t="n">
        <x:f>A355*PI()*(3-SQRT(5))</x:f>
        <x:v>837.5871671752999</x:v>
      </x:c>
      <x:c r="D355" s="4" t="n">
        <x:f>IF('계산 과정'!$L$5,B355*COS(C355),"")</x:f>
        <x:v>-21.406369127779097</x:v>
      </x:c>
      <x:c r="E355" s="4" t="n">
        <x:f>IF('계산 과정'!$L$5,B355*SIN(C355),"")</x:f>
        <x:v>58.15057214209303</x:v>
      </x:c>
      <x:c r="F355" s="4" t="n">
        <x:f>IF('계산 과정'!$L$7,'계산 과정'!$L$22+'계산 과정'!$C$49*D355+'계산 과정'!$D$49*E355,"")</x:f>
        <x:v>665.1365887708349</x:v>
      </x:c>
      <x:c r="G355" s="4" t="n">
        <x:f>IF('계산 과정'!$L$7,IF(ABS(F355)&gt;=1E-12*MAX(1,SQRT((D355-'계산 과정'!$C$33)^2+(E355-'계산 과정'!$D$33)^2+'계산 과정'!$E$33^2)),('계산 과정'!$L$23-'계산 과정'!$C$49*D355-'계산 과정'!$D$49*E355)/F355,""),"")</x:f>
        <x:v>0.5786231245230222</x:v>
      </x:c>
      <x:c r="H355" s="4" t="n">
        <x:f>IF(AND(ISNUMBER(G355),G355&gt;0),('계산 과정'!$D$56+'계산 과정'!$D$57*D355+'계산 과정'!$D$58*E355)/F355,"")</x:f>
        <x:v>-23.894969060035695</x:v>
      </x:c>
      <x:c r="I355" s="4" t="n">
        <x:f>IF(AND(ISNUMBER(G355),G355&gt;0),('계산 과정'!$E$56+'계산 과정'!$E$57*D355+'계산 과정'!$E$58*E355)/F355,"")</x:f>
        <x:v>91.79783788775232</x:v>
      </x:c>
      <x:c r="J355" s="4" t="n">
        <x:f>IF('계산 과정'!$L$5,'계산 과정'!$D$6+'계산 과정'!$C$35*D355+'계산 과정'!$D$35*E355,"")</x:f>
        <x:v>665.1365887708349</x:v>
      </x:c>
      <x:c r="K355" s="4" t="n">
        <x:f>IF(AND('계산 과정'!$L$6,J355&gt;0),'계산 과정'!$D$10*('계산 과정'!$C$38*(D355-'계산 과정'!$C$32)+'계산 과정'!$D$38*(E355-'계산 과정'!$D$32)-'계산 과정'!$E$38*'계산 과정'!$E$32)/J355,"")</x:f>
        <x:v>-0.1820569071240808</x:v>
      </x:c>
      <x:c r="L355" s="4" t="n">
        <x:f>IF(AND('계산 과정'!$L$6,J355&gt;0),'계산 과정'!$D$10*('계산 과정'!$C$39*(D355-'계산 과정'!$C$32)+'계산 과정'!$D$39*(E355-'계산 과정'!$D$32)-'계산 과정'!$E$39*'계산 과정'!$E$32)/J355,"")</x:f>
        <x:v>0.6994120981923986</x:v>
      </x:c>
      <x:c r="M355" s="17" t="n">
        <x:f>IF('계산 과정'!$L$6,IF(J355&lt;=0,0,IF(AND(ABS(K355)&lt;='계산 과정'!$D$11/2,ABS(L355)&lt;='계산 과정'!$D$12/2),1,0)),"")</x:f>
        <x:v>1</x:v>
      </x:c>
      <x:c r="N355" s="17" t="n">
        <x:f>IF('계산 과정'!$C$78,IF(AND(ISNUMBER(H355),ISNUMBER(I355),ABS(H355-'계산 과정'!$C$88)&lt;='계산 과정'!$D$23/2,ABS(I355-'계산 과정'!$C$89)&lt;='계산 과정'!$D$24/2),1,0),"")</x:f>
        <x:v>1</x:v>
      </x:c>
      <x:c r="O355" s="4" t="n">
        <x:f>IF('계산 과정'!$L$7,'계산 과정'!$C$49*('계산 과정'!$C$32-D355)+'계산 과정'!$D$49*('계산 과정'!$D$32-E355)+'계산 과정'!$E$49*'계산 과정'!$E$32,"")</x:f>
        <x:v>-15.136588770834862</x:v>
      </x:c>
      <x:c r="P355" s="4" t="n">
        <x:f>IF(AND('계산 과정'!$L$7,O355&lt;&gt;0),('계산 과정'!$L$23-'계산 과정'!$C$49*D355-'계산 과정'!$D$49*E355)/O355,"")</x:f>
        <x:v>-25.426033372242944</x:v>
      </x:c>
      <x:c r="Q355" s="4" t="str">
        <x:f>IF(AND(ISNUMBER(P355),P355&gt;1E-9,P355&lt;1-1E-9),'계산 과정'!$C$47*(D355-'계산 과정'!$C$50+P355*('계산 과정'!$C$32-D355))+'계산 과정'!$D$47*(E355-'계산 과정'!$D$50+P355*('계산 과정'!$D$32-E355))+'계산 과정'!$E$47*(0-'계산 과정'!$E$50+P355*('계산 과정'!$E$32-0)),"")</x:f>
      </x:c>
      <x:c r="R355" s="4" t="str">
        <x:f>IF(AND(ISNUMBER(P355),P355&gt;1E-9,P355&lt;1-1E-9),'계산 과정'!$C$48*(D355-'계산 과정'!$C$50+P355*('계산 과정'!$C$32-D355))+'계산 과정'!$D$48*(E355-'계산 과정'!$D$50+P355*('계산 과정'!$D$32-E355))+'계산 과정'!$E$48*(0-'계산 과정'!$E$50+P355*('계산 과정'!$E$32-0)),"")</x:f>
      </x:c>
      <x:c r="S355" s="17" t="n">
        <x:f>IF('계산 과정'!$C$78,IF(AND(ISNUMBER(Q355),ISNUMBER(R355),ABS(Q355-'계산 과정'!$C$88)&lt;='계산 과정'!$D$23/2,ABS(R355-'계산 과정'!$C$89)&lt;='계산 과정'!$D$24/2),1,0),"")</x:f>
        <x:v>0</x:v>
      </x:c>
      <x:c r="T355" s="4"/>
      <x:c r="U355" s="4"/>
      <x:c r="V355" s="4"/>
      <x:c r="W355" s="4" t="n">
        <x:f>IF('계산 과정'!$C$78,'계산 과정'!$C$88+0.6799999999999999*'계산 과정'!$D$23/2,"")</x:f>
        <x:v>205.523404255319</x:v>
      </x:c>
      <x:c r="X355" s="4" t="str">
        <x:f>""</x:f>
      </x:c>
      <x:c r="Y355" s="4" t="n">
        <x:f>IF('계산 과정'!$C$78,'계산 과정'!$C$89+1*'계산 과정'!$D$24/2,"")</x:f>
        <x:v>260</x:v>
      </x:c>
      <x:c r="Z355" s="4" t="str">
        <x:f>""</x:f>
      </x:c>
    </x:row>
    <x:row r="356" ht="23" customHeight="1">
      <x:c r="A356" s="17" t="n">
        <x:f>ROW()-6</x:f>
        <x:v>350</x:v>
      </x:c>
      <x:c r="B356" s="4" t="n">
        <x:f>IF('계산 과정'!$L$5,'계산 과정'!$L$11*SQRT((A356+0.5)/'계산 과정'!$L$30),"")</x:f>
        <x:v>62.054073257220594</x:v>
      </x:c>
      <x:c r="C356" s="4" t="n">
        <x:f>A356*PI()*(3-SQRT(5))</x:f>
        <x:v>839.9871304050284</x:v>
      </x:c>
      <x:c r="D356" s="4" t="n">
        <x:f>IF('계산 과정'!$L$5,B356*COS(C356),"")</x:f>
        <x:v>-23.529346076527656</x:v>
      </x:c>
      <x:c r="E356" s="4" t="n">
        <x:f>IF('계산 과정'!$L$5,B356*SIN(C356),"")</x:f>
        <x:v>-57.420187051449886</x:v>
      </x:c>
      <x:c r="F356" s="4" t="n">
        <x:f>IF('계산 과정'!$L$7,'계산 과정'!$L$22+'계산 과정'!$C$49*D356+'계산 과정'!$D$49*E356,"")</x:f>
        <x:v>666.6377601675978</x:v>
      </x:c>
      <x:c r="G356" s="4" t="n">
        <x:f>IF('계산 과정'!$L$7,IF(ABS(F356)&gt;=1E-12*MAX(1,SQRT((D356-'계산 과정'!$C$33)^2+(E356-'계산 과정'!$D$33)^2+'계산 과정'!$E$33^2)),('계산 과정'!$L$23-'계산 과정'!$C$49*D356-'계산 과정'!$D$49*E356)/F356,""),"")</x:f>
        <x:v>0.5750682945652854</x:v>
      </x:c>
      <x:c r="H356" s="4" t="n">
        <x:f>IF(AND(ISNUMBER(G356),G356&gt;0),('계산 과정'!$D$56+'계산 과정'!$D$57*D356+'계산 과정'!$D$58*E356)/F356,"")</x:f>
        <x:v>-26.20560853256461</x:v>
      </x:c>
      <x:c r="I356" s="4" t="n">
        <x:f>IF(AND(ISNUMBER(G356),G356&gt;0),('계산 과정'!$E$56+'계산 과정'!$E$57*D356+'계산 과정'!$E$58*E356)/F356,"")</x:f>
        <x:v>-90.44071609274687</x:v>
      </x:c>
      <x:c r="J356" s="4" t="n">
        <x:f>IF('계산 과정'!$L$5,'계산 과정'!$D$6+'계산 과정'!$C$35*D356+'계산 과정'!$D$35*E356,"")</x:f>
        <x:v>666.6377601675978</x:v>
      </x:c>
      <x:c r="K356" s="4" t="n">
        <x:f>IF(AND('계산 과정'!$L$6,J356&gt;0),'계산 과정'!$D$10*('계산 과정'!$C$38*(D356-'계산 과정'!$C$32)+'계산 과정'!$D$38*(E356-'계산 과정'!$D$32)-'계산 과정'!$E$38*'계산 과정'!$E$32)/J356,"")</x:f>
        <x:v>-0.19966177929572926</x:v>
      </x:c>
      <x:c r="L356" s="4" t="n">
        <x:f>IF(AND('계산 과정'!$L$6,J356&gt;0),'계산 과정'!$D$10*('계산 과정'!$C$39*(D356-'계산 과정'!$C$32)+'계산 과정'!$D$39*(E356-'계산 과정'!$D$32)-'계산 과정'!$E$39*'계산 과정'!$E$32)/J356,"")</x:f>
        <x:v>-0.6890721226114046</x:v>
      </x:c>
      <x:c r="M356" s="17" t="n">
        <x:f>IF('계산 과정'!$L$6,IF(J356&lt;=0,0,IF(AND(ABS(K356)&lt;='계산 과정'!$D$11/2,ABS(L356)&lt;='계산 과정'!$D$12/2),1,0)),"")</x:f>
        <x:v>1</x:v>
      </x:c>
      <x:c r="N356" s="17" t="n">
        <x:f>IF('계산 과정'!$C$78,IF(AND(ISNUMBER(H356),ISNUMBER(I356),ABS(H356-'계산 과정'!$C$88)&lt;='계산 과정'!$D$23/2,ABS(I356-'계산 과정'!$C$89)&lt;='계산 과정'!$D$24/2),1,0),"")</x:f>
        <x:v>1</x:v>
      </x:c>
      <x:c r="O356" s="4" t="n">
        <x:f>IF('계산 과정'!$L$7,'계산 과정'!$C$49*('계산 과정'!$C$32-D356)+'계산 과정'!$D$49*('계산 과정'!$D$32-E356)+'계산 과정'!$E$49*'계산 과정'!$E$32,"")</x:f>
        <x:v>-16.637760167597662</x:v>
      </x:c>
      <x:c r="P356" s="4" t="n">
        <x:f>IF(AND('계산 과정'!$L$7,O356&lt;&gt;0),('계산 과정'!$L$23-'계산 과정'!$C$49*D356-'계산 과정'!$D$49*E356)/O356,"")</x:f>
        <x:v>-23.041697678693982</x:v>
      </x:c>
      <x:c r="Q356" s="4" t="str">
        <x:f>IF(AND(ISNUMBER(P356),P356&gt;1E-9,P356&lt;1-1E-9),'계산 과정'!$C$47*(D356-'계산 과정'!$C$50+P356*('계산 과정'!$C$32-D356))+'계산 과정'!$D$47*(E356-'계산 과정'!$D$50+P356*('계산 과정'!$D$32-E356))+'계산 과정'!$E$47*(0-'계산 과정'!$E$50+P356*('계산 과정'!$E$32-0)),"")</x:f>
      </x:c>
      <x:c r="R356" s="4" t="str">
        <x:f>IF(AND(ISNUMBER(P356),P356&gt;1E-9,P356&lt;1-1E-9),'계산 과정'!$C$48*(D356-'계산 과정'!$C$50+P356*('계산 과정'!$C$32-D356))+'계산 과정'!$D$48*(E356-'계산 과정'!$D$50+P356*('계산 과정'!$D$32-E356))+'계산 과정'!$E$48*(0-'계산 과정'!$E$50+P356*('계산 과정'!$E$32-0)),"")</x:f>
      </x:c>
      <x:c r="S356" s="17" t="n">
        <x:f>IF('계산 과정'!$C$78,IF(AND(ISNUMBER(Q356),ISNUMBER(R356),ABS(Q356-'계산 과정'!$C$88)&lt;='계산 과정'!$D$23/2,ABS(R356-'계산 과정'!$C$89)&lt;='계산 과정'!$D$24/2),1,0),"")</x:f>
        <x:v>0</x:v>
      </x:c>
      <x:c r="T356" s="4"/>
      <x:c r="U356" s="4"/>
      <x:c r="V356" s="4"/>
      <x:c r="W356" s="4" t="n">
        <x:f>IF('계산 과정'!$C$78,'계산 과정'!$C$88+0.64*'계산 과정'!$D$23/2,"")</x:f>
        <x:v>195.12340425531903</x:v>
      </x:c>
      <x:c r="X356" s="4" t="str">
        <x:f>""</x:f>
      </x:c>
      <x:c r="Y356" s="4" t="n">
        <x:f>IF('계산 과정'!$C$78,'계산 과정'!$C$89+1*'계산 과정'!$D$24/2,"")</x:f>
        <x:v>260</x:v>
      </x:c>
      <x:c r="Z356" s="4" t="str">
        <x:f>""</x:f>
      </x:c>
    </x:row>
    <x:row r="357" ht="23" customHeight="1">
      <x:c r="A357" s="17" t="n">
        <x:f>ROW()-6</x:f>
        <x:v>351</x:v>
      </x:c>
      <x:c r="B357" s="4" t="n">
        <x:f>IF('계산 과정'!$L$5,'계산 과정'!$L$11*SQRT((A357+0.5)/'계산 과정'!$L$30),"")</x:f>
        <x:v>62.142532422950865</x:v>
      </x:c>
      <x:c r="C357" s="4" t="n">
        <x:f>A357*PI()*(3-SQRT(5))</x:f>
        <x:v>842.3870936347572</x:v>
      </x:c>
      <x:c r="D357" s="4" t="n">
        <x:f>IF('계산 과정'!$L$5,B357*COS(C357),"")</x:f>
        <x:v>56.216610251351405</x:v>
      </x:c>
      <x:c r="E357" s="4" t="n">
        <x:f>IF('계산 과정'!$L$5,B357*SIN(C357),"")</x:f>
        <x:v>26.483713255228242</x:v>
      </x:c>
      <x:c r="F357" s="4" t="n">
        <x:f>IF('계산 과정'!$L$7,'계산 과정'!$L$22+'계산 과정'!$C$49*D357+'계산 과정'!$D$49*E357,"")</x:f>
        <x:v>610.2488536759482</x:v>
      </x:c>
      <x:c r="G357" s="4" t="n">
        <x:f>IF('계산 과정'!$L$7,IF(ABS(F357)&gt;=1E-12*MAX(1,SQRT((D357-'계산 과정'!$C$33)^2+(E357-'계산 과정'!$D$33)^2+'계산 과정'!$E$33^2)),('계산 과정'!$L$23-'계산 과정'!$C$49*D357-'계산 과정'!$D$49*E357)/F357,""),"")</x:f>
        <x:v>0.7206095409686203</x:v>
      </x:c>
      <x:c r="H357" s="4" t="n">
        <x:f>IF(AND(ISNUMBER(G357),G357&gt;0),('계산 과정'!$D$56+'계산 과정'!$D$57*D357+'계산 과정'!$D$58*E357)/F357,"")</x:f>
        <x:v>68.39620162960306</x:v>
      </x:c>
      <x:c r="I357" s="4" t="n">
        <x:f>IF(AND(ISNUMBER(G357),G357&gt;0),('계산 과정'!$E$56+'계산 과정'!$E$57*D357+'계산 과정'!$E$58*E357)/F357,"")</x:f>
        <x:v>45.56812970722283</x:v>
      </x:c>
      <x:c r="J357" s="4" t="n">
        <x:f>IF('계산 과정'!$L$5,'계산 과정'!$D$6+'계산 과정'!$C$35*D357+'계산 과정'!$D$35*E357,"")</x:f>
        <x:v>610.2488536759482</x:v>
      </x:c>
      <x:c r="K357" s="4" t="n">
        <x:f>IF(AND('계산 과정'!$L$6,J357&gt;0),'계산 과정'!$D$10*('계산 과정'!$C$38*(D357-'계산 과정'!$C$32)+'계산 과정'!$D$38*(E357-'계산 과정'!$D$32)-'계산 과정'!$E$38*'계산 과정'!$E$32)/J357,"")</x:f>
        <x:v>0.521113917177929</x:v>
      </x:c>
      <x:c r="L357" s="4" t="n">
        <x:f>IF(AND('계산 과정'!$L$6,J357&gt;0),'계산 과정'!$D$10*('계산 과정'!$C$39*(D357-'계산 과정'!$C$32)+'계산 과정'!$D$39*(E357-'계산 과정'!$D$32)-'계산 과정'!$E$39*'계산 과정'!$E$32)/J357,"")</x:f>
        <x:v>0.3471857501502692</x:v>
      </x:c>
      <x:c r="M357" s="17" t="n">
        <x:f>IF('계산 과정'!$L$6,IF(J357&lt;=0,0,IF(AND(ABS(K357)&lt;='계산 과정'!$D$11/2,ABS(L357)&lt;='계산 과정'!$D$12/2),1,0)),"")</x:f>
        <x:v>1</x:v>
      </x:c>
      <x:c r="N357" s="17" t="n">
        <x:f>IF('계산 과정'!$C$78,IF(AND(ISNUMBER(H357),ISNUMBER(I357),ABS(H357-'계산 과정'!$C$88)&lt;='계산 과정'!$D$23/2,ABS(I357-'계산 과정'!$C$89)&lt;='계산 과정'!$D$24/2),1,0),"")</x:f>
        <x:v>1</x:v>
      </x:c>
      <x:c r="O357" s="4" t="n">
        <x:f>IF('계산 과정'!$L$7,'계산 과정'!$C$49*('계산 과정'!$C$32-D357)+'계산 과정'!$D$49*('계산 과정'!$D$32-E357)+'계산 과정'!$E$49*'계산 과정'!$E$32,"")</x:f>
        <x:v>39.75114632405189</x:v>
      </x:c>
      <x:c r="P357" s="4" t="n">
        <x:f>IF(AND('계산 과정'!$L$7,O357&lt;&gt;0),('계산 과정'!$L$23-'계산 과정'!$C$49*D357-'계산 과정'!$D$49*E357)/O357,"")</x:f>
        <x:v>11.062602892988153</x:v>
      </x:c>
      <x:c r="Q357" s="4" t="str">
        <x:f>IF(AND(ISNUMBER(P357),P357&gt;1E-9,P357&lt;1-1E-9),'계산 과정'!$C$47*(D357-'계산 과정'!$C$50+P357*('계산 과정'!$C$32-D357))+'계산 과정'!$D$47*(E357-'계산 과정'!$D$50+P357*('계산 과정'!$D$32-E357))+'계산 과정'!$E$47*(0-'계산 과정'!$E$50+P357*('계산 과정'!$E$32-0)),"")</x:f>
      </x:c>
      <x:c r="R357" s="4" t="str">
        <x:f>IF(AND(ISNUMBER(P357),P357&gt;1E-9,P357&lt;1-1E-9),'계산 과정'!$C$48*(D357-'계산 과정'!$C$50+P357*('계산 과정'!$C$32-D357))+'계산 과정'!$D$48*(E357-'계산 과정'!$D$50+P357*('계산 과정'!$D$32-E357))+'계산 과정'!$E$48*(0-'계산 과정'!$E$50+P357*('계산 과정'!$E$32-0)),"")</x:f>
      </x:c>
      <x:c r="S357" s="17" t="n">
        <x:f>IF('계산 과정'!$C$78,IF(AND(ISNUMBER(Q357),ISNUMBER(R357),ABS(Q357-'계산 과정'!$C$88)&lt;='계산 과정'!$D$23/2,ABS(R357-'계산 과정'!$C$89)&lt;='계산 과정'!$D$24/2),1,0),"")</x:f>
        <x:v>0</x:v>
      </x:c>
      <x:c r="T357" s="4"/>
      <x:c r="U357" s="4"/>
      <x:c r="V357" s="4"/>
      <x:c r="W357" s="4" t="n">
        <x:f>IF('계산 과정'!$C$78,'계산 과정'!$C$88+0.6*'계산 과정'!$D$23/2,"")</x:f>
        <x:v>184.72340425531902</x:v>
      </x:c>
      <x:c r="X357" s="4" t="str">
        <x:f>""</x:f>
      </x:c>
      <x:c r="Y357" s="4" t="n">
        <x:f>IF('계산 과정'!$C$78,'계산 과정'!$C$89+1*'계산 과정'!$D$24/2,"")</x:f>
        <x:v>260</x:v>
      </x:c>
      <x:c r="Z357" s="4" t="str">
        <x:f>""</x:f>
      </x:c>
    </x:row>
    <x:row r="358" ht="23" customHeight="1">
      <x:c r="A358" s="17" t="n">
        <x:f>ROW()-6</x:f>
        <x:v>352</x:v>
      </x:c>
      <x:c r="B358" s="4" t="n">
        <x:f>IF('계산 과정'!$L$5,'계산 과정'!$L$11*SQRT((A358+0.5)/'계산 과정'!$L$30),"")</x:f>
        <x:v>62.23086584696134</x:v>
      </x:c>
      <x:c r="C358" s="4" t="n">
        <x:f>A358*PI()*(3-SQRT(5))</x:f>
        <x:v>844.7870568644857</x:v>
      </x:c>
      <x:c r="D358" s="4" t="n">
        <x:f>IF('계산 과정'!$L$5,B358*COS(C358),"")</x:f>
        <x:v>-59.4262224713314</x:v>
      </x:c>
      <x:c r="E358" s="4" t="n">
        <x:f>IF('계산 과정'!$L$5,B358*SIN(C358),"")</x:f>
        <x:v>18.4717283124868</x:v>
      </x:c>
      <x:c r="F358" s="4" t="n">
        <x:f>IF('계산 과정'!$L$7,'계산 과정'!$L$22+'계산 과정'!$C$49*D358+'계산 과정'!$D$49*E358,"")</x:f>
        <x:v>692.0206848897789</x:v>
      </x:c>
      <x:c r="G358" s="4" t="n">
        <x:f>IF('계산 과정'!$L$7,IF(ABS(F358)&gt;=1E-12*MAX(1,SQRT((D358-'계산 과정'!$C$33)^2+(E358-'계산 과정'!$D$33)^2+'계산 과정'!$E$33^2)),('계산 과정'!$L$23-'계산 과정'!$C$49*D358-'계산 과정'!$D$49*E358)/F358,""),"")</x:f>
        <x:v>0.5172956862802998</x:v>
      </x:c>
      <x:c r="H358" s="4" t="n">
        <x:f>IF(AND(ISNUMBER(G358),G358&gt;0),('계산 과정'!$D$56+'계산 과정'!$D$57*D358+'계산 과정'!$D$58*E358)/F358,"")</x:f>
        <x:v>-63.7578039178053</x:v>
      </x:c>
      <x:c r="I358" s="4" t="n">
        <x:f>IF(AND(ISNUMBER(G358),G358&gt;0),('계산 과정'!$E$56+'계산 과정'!$E$57*D358+'계산 과정'!$E$58*E358)/F358,"")</x:f>
        <x:v>28.0270736866779</x:v>
      </x:c>
      <x:c r="J358" s="4" t="n">
        <x:f>IF('계산 과정'!$L$5,'계산 과정'!$D$6+'계산 과정'!$C$35*D358+'계산 과정'!$D$35*E358,"")</x:f>
        <x:v>692.0206848897789</x:v>
      </x:c>
      <x:c r="K358" s="4" t="n">
        <x:f>IF(AND('계산 과정'!$L$6,J358&gt;0),'계산 과정'!$D$10*('계산 과정'!$C$38*(D358-'계산 과정'!$C$32)+'계산 과정'!$D$38*(E358-'계산 과정'!$D$32)-'계산 과정'!$E$38*'계산 과정'!$E$32)/J358,"")</x:f>
        <x:v>-0.48577374413565827</x:v>
      </x:c>
      <x:c r="L358" s="4" t="n">
        <x:f>IF(AND('계산 과정'!$L$6,J358&gt;0),'계산 과정'!$D$10*('계산 과정'!$C$39*(D358-'계산 과정'!$C$32)+'계산 과정'!$D$39*(E358-'계산 과정'!$D$32)-'계산 과정'!$E$39*'계산 과정'!$E$32)/J358,"")</x:f>
        <x:v>0.21353960904135544</x:v>
      </x:c>
      <x:c r="M358" s="17" t="n">
        <x:f>IF('계산 과정'!$L$6,IF(J358&lt;=0,0,IF(AND(ABS(K358)&lt;='계산 과정'!$D$11/2,ABS(L358)&lt;='계산 과정'!$D$12/2),1,0)),"")</x:f>
        <x:v>1</x:v>
      </x:c>
      <x:c r="N358" s="17" t="n">
        <x:f>IF('계산 과정'!$C$78,IF(AND(ISNUMBER(H358),ISNUMBER(I358),ABS(H358-'계산 과정'!$C$88)&lt;='계산 과정'!$D$23/2,ABS(I358-'계산 과정'!$C$89)&lt;='계산 과정'!$D$24/2),1,0),"")</x:f>
        <x:v>1</x:v>
      </x:c>
      <x:c r="O358" s="4" t="n">
        <x:f>IF('계산 과정'!$L$7,'계산 과정'!$C$49*('계산 과정'!$C$32-D358)+'계산 과정'!$D$49*('계산 과정'!$D$32-E358)+'계산 과정'!$E$49*'계산 과정'!$E$32,"")</x:f>
        <x:v>-42.02068488977869</x:v>
      </x:c>
      <x:c r="P358" s="4" t="n">
        <x:f>IF(AND('계산 과정'!$L$7,O358&lt;&gt;0),('계산 과정'!$L$23-'계산 과정'!$C$49*D358-'계산 과정'!$D$49*E358)/O358,"")</x:f>
        <x:v>-8.519121381510319</x:v>
      </x:c>
      <x:c r="Q358" s="4" t="str">
        <x:f>IF(AND(ISNUMBER(P358),P358&gt;1E-9,P358&lt;1-1E-9),'계산 과정'!$C$47*(D358-'계산 과정'!$C$50+P358*('계산 과정'!$C$32-D358))+'계산 과정'!$D$47*(E358-'계산 과정'!$D$50+P358*('계산 과정'!$D$32-E358))+'계산 과정'!$E$47*(0-'계산 과정'!$E$50+P358*('계산 과정'!$E$32-0)),"")</x:f>
      </x:c>
      <x:c r="R358" s="4" t="str">
        <x:f>IF(AND(ISNUMBER(P358),P358&gt;1E-9,P358&lt;1-1E-9),'계산 과정'!$C$48*(D358-'계산 과정'!$C$50+P358*('계산 과정'!$C$32-D358))+'계산 과정'!$D$48*(E358-'계산 과정'!$D$50+P358*('계산 과정'!$D$32-E358))+'계산 과정'!$E$48*(0-'계산 과정'!$E$50+P358*('계산 과정'!$E$32-0)),"")</x:f>
      </x:c>
      <x:c r="S358" s="17" t="n">
        <x:f>IF('계산 과정'!$C$78,IF(AND(ISNUMBER(Q358),ISNUMBER(R358),ABS(Q358-'계산 과정'!$C$88)&lt;='계산 과정'!$D$23/2,ABS(R358-'계산 과정'!$C$89)&lt;='계산 과정'!$D$24/2),1,0),"")</x:f>
        <x:v>0</x:v>
      </x:c>
      <x:c r="T358" s="4"/>
      <x:c r="U358" s="4"/>
      <x:c r="V358" s="4"/>
      <x:c r="W358" s="4" t="n">
        <x:f>IF('계산 과정'!$C$78,'계산 과정'!$C$88+0.56*'계산 과정'!$D$23/2,"")</x:f>
        <x:v>174.32340425531905</x:v>
      </x:c>
      <x:c r="X358" s="4" t="str">
        <x:f>""</x:f>
      </x:c>
      <x:c r="Y358" s="4" t="n">
        <x:f>IF('계산 과정'!$C$78,'계산 과정'!$C$89+1*'계산 과정'!$D$24/2,"")</x:f>
        <x:v>260</x:v>
      </x:c>
      <x:c r="Z358" s="4" t="str">
        <x:f>""</x:f>
      </x:c>
    </x:row>
    <x:row r="359" ht="23" customHeight="1">
      <x:c r="A359" s="17" t="n">
        <x:f>ROW()-6</x:f>
        <x:v>353</x:v>
      </x:c>
      <x:c r="B359" s="4" t="n">
        <x:f>IF('계산 과정'!$L$5,'계산 과정'!$L$11*SQRT((A359+0.5)/'계산 과정'!$L$30),"")</x:f>
        <x:v>62.3190740639453</x:v>
      </x:c>
      <x:c r="C359" s="4" t="n">
        <x:f>A359*PI()*(3-SQRT(5))</x:f>
        <x:v>847.1870200942145</x:v>
      </x:c>
      <x:c r="D359" s="4" t="n">
        <x:f>IF('계산 과정'!$L$5,B359*COS(C359),"")</x:f>
        <x:v>31.38599844732254</x:v>
      </x:c>
      <x:c r="E359" s="4" t="n">
        <x:f>IF('계산 과정'!$L$5,B359*SIN(C359),"")</x:f>
        <x:v>-53.838518679957815</x:v>
      </x:c>
      <x:c r="F359" s="4" t="n">
        <x:f>IF('계산 과정'!$L$7,'계산 과정'!$L$22+'계산 과정'!$C$49*D359+'계산 과정'!$D$49*E359,"")</x:f>
        <x:v>627.8067476635878</x:v>
      </x:c>
      <x:c r="G359" s="4" t="n">
        <x:f>IF('계산 과정'!$L$7,IF(ABS(F359)&gt;=1E-12*MAX(1,SQRT((D359-'계산 과정'!$C$33)^2+(E359-'계산 과정'!$D$33)^2+'계산 과정'!$E$33^2)),('계산 과정'!$L$23-'계산 과정'!$C$49*D359-'계산 과정'!$D$49*E359)/F359,""),"")</x:f>
        <x:v>0.6724891917897095</x:v>
      </x:c>
      <x:c r="H359" s="4" t="n">
        <x:f>IF(AND(ISNUMBER(G359),G359&gt;0),('계산 과정'!$D$56+'계산 과정'!$D$57*D359+'계산 과정'!$D$58*E359)/F359,"")</x:f>
        <x:v>37.11797466331105</x:v>
      </x:c>
      <x:c r="I359" s="4" t="n">
        <x:f>IF(AND(ISNUMBER(G359),G359&gt;0),('계산 과정'!$E$56+'계산 과정'!$E$57*D359+'계산 과정'!$E$58*E359)/F359,"")</x:f>
        <x:v>-90.04434059419782</x:v>
      </x:c>
      <x:c r="J359" s="4" t="n">
        <x:f>IF('계산 과정'!$L$5,'계산 과정'!$D$6+'계산 과정'!$C$35*D359+'계산 과정'!$D$35*E359,"")</x:f>
        <x:v>627.8067476635878</x:v>
      </x:c>
      <x:c r="K359" s="4" t="n">
        <x:f>IF(AND('계산 과정'!$L$6,J359&gt;0),'계산 과정'!$D$10*('계산 과정'!$C$38*(D359-'계산 과정'!$C$32)+'계산 과정'!$D$38*(E359-'계산 과정'!$D$32)-'계산 과정'!$E$38*'계산 과정'!$E$32)/J359,"")</x:f>
        <x:v>0.28280361648237085</x:v>
      </x:c>
      <x:c r="L359" s="4" t="n">
        <x:f>IF(AND('계산 과정'!$L$6,J359&gt;0),'계산 과정'!$D$10*('계산 과정'!$C$39*(D359-'계산 과정'!$C$32)+'계산 과정'!$D$39*(E359-'계산 과정'!$D$32)-'계산 과정'!$E$39*'계산 과정'!$E$32)/J359,"")</x:f>
        <x:v>-0.6860521188129358</x:v>
      </x:c>
      <x:c r="M359" s="17" t="n">
        <x:f>IF('계산 과정'!$L$6,IF(J359&lt;=0,0,IF(AND(ABS(K359)&lt;='계산 과정'!$D$11/2,ABS(L359)&lt;='계산 과정'!$D$12/2),1,0)),"")</x:f>
        <x:v>1</x:v>
      </x:c>
      <x:c r="N359" s="17" t="n">
        <x:f>IF('계산 과정'!$C$78,IF(AND(ISNUMBER(H359),ISNUMBER(I359),ABS(H359-'계산 과정'!$C$88)&lt;='계산 과정'!$D$23/2,ABS(I359-'계산 과정'!$C$89)&lt;='계산 과정'!$D$24/2),1,0),"")</x:f>
        <x:v>1</x:v>
      </x:c>
      <x:c r="O359" s="4" t="n">
        <x:f>IF('계산 과정'!$L$7,'계산 과정'!$C$49*('계산 과정'!$C$32-D359)+'계산 과정'!$D$49*('계산 과정'!$D$32-E359)+'계산 과정'!$E$49*'계산 과정'!$E$32,"")</x:f>
        <x:v>22.193252336412343</x:v>
      </x:c>
      <x:c r="P359" s="4" t="n">
        <x:f>IF(AND('계산 과정'!$L$7,O359&lt;&gt;0),('계산 과정'!$L$23-'계산 과정'!$C$49*D359-'계산 과정'!$D$49*E359)/O359,"")</x:f>
        <x:v>19.023496238256264</x:v>
      </x:c>
      <x:c r="Q359" s="4" t="str">
        <x:f>IF(AND(ISNUMBER(P359),P359&gt;1E-9,P359&lt;1-1E-9),'계산 과정'!$C$47*(D359-'계산 과정'!$C$50+P359*('계산 과정'!$C$32-D359))+'계산 과정'!$D$47*(E359-'계산 과정'!$D$50+P359*('계산 과정'!$D$32-E359))+'계산 과정'!$E$47*(0-'계산 과정'!$E$50+P359*('계산 과정'!$E$32-0)),"")</x:f>
      </x:c>
      <x:c r="R359" s="4" t="str">
        <x:f>IF(AND(ISNUMBER(P359),P359&gt;1E-9,P359&lt;1-1E-9),'계산 과정'!$C$48*(D359-'계산 과정'!$C$50+P359*('계산 과정'!$C$32-D359))+'계산 과정'!$D$48*(E359-'계산 과정'!$D$50+P359*('계산 과정'!$D$32-E359))+'계산 과정'!$E$48*(0-'계산 과정'!$E$50+P359*('계산 과정'!$E$32-0)),"")</x:f>
      </x:c>
      <x:c r="S359" s="17" t="n">
        <x:f>IF('계산 과정'!$C$78,IF(AND(ISNUMBER(Q359),ISNUMBER(R359),ABS(Q359-'계산 과정'!$C$88)&lt;='계산 과정'!$D$23/2,ABS(R359-'계산 과정'!$C$89)&lt;='계산 과정'!$D$24/2),1,0),"")</x:f>
        <x:v>0</x:v>
      </x:c>
      <x:c r="T359" s="4"/>
      <x:c r="U359" s="4"/>
      <x:c r="V359" s="4"/>
      <x:c r="W359" s="4" t="n">
        <x:f>IF('계산 과정'!$C$78,'계산 과정'!$C$88+0.52*'계산 과정'!$D$23/2,"")</x:f>
        <x:v>163.92340425531904</x:v>
      </x:c>
      <x:c r="X359" s="4" t="str">
        <x:f>""</x:f>
      </x:c>
      <x:c r="Y359" s="4" t="n">
        <x:f>IF('계산 과정'!$C$78,'계산 과정'!$C$89+1*'계산 과정'!$D$24/2,"")</x:f>
        <x:v>260</x:v>
      </x:c>
      <x:c r="Z359" s="4" t="str">
        <x:f>""</x:f>
      </x:c>
    </x:row>
    <x:row r="360" ht="23" customHeight="1">
      <x:c r="A360" s="17" t="n">
        <x:f>ROW()-6</x:f>
        <x:v>354</x:v>
      </x:c>
      <x:c r="B360" s="4" t="n">
        <x:f>IF('계산 과정'!$L$5,'계산 과정'!$L$11*SQRT((A360+0.5)/'계산 과정'!$L$30),"")</x:f>
        <x:v>62.40715760481726</x:v>
      </x:c>
      <x:c r="C360" s="4" t="n">
        <x:f>A360*PI()*(3-SQRT(5))</x:f>
        <x:v>849.5869833239432</x:v>
      </x:c>
      <x:c r="D360" s="4" t="n">
        <x:f>IF('계산 과정'!$L$5,B360*COS(C360),"")</x:f>
        <x:v>13.243030016917565</x:v>
      </x:c>
      <x:c r="E360" s="4" t="n">
        <x:f>IF('계산 과정'!$L$5,B360*SIN(C360),"")</x:f>
        <x:v>60.985862921528955</x:v>
      </x:c>
      <x:c r="F360" s="4" t="n">
        <x:f>IF('계산 과정'!$L$7,'계산 과정'!$L$22+'계산 과정'!$C$49*D360+'계산 과정'!$D$49*E360,"")</x:f>
        <x:v>640.6357636715805</x:v>
      </x:c>
      <x:c r="G360" s="4" t="n">
        <x:f>IF('계산 과정'!$L$7,IF(ABS(F360)&gt;=1E-12*MAX(1,SQRT((D360-'계산 과정'!$C$33)^2+(E360-'계산 과정'!$D$33)^2+'계산 과정'!$E$33^2)),('계산 과정'!$L$23-'계산 과정'!$C$49*D360-'계산 과정'!$D$49*E360)/F360,""),"")</x:f>
        <x:v>0.6389968520993754</x:v>
      </x:c>
      <x:c r="H360" s="4" t="n">
        <x:f>IF(AND(ISNUMBER(G360),G360&gt;0),('계산 과정'!$D$56+'계산 과정'!$D$57*D360+'계산 과정'!$D$58*E360)/F360,"")</x:f>
        <x:v>15.347953864593913</x:v>
      </x:c>
      <x:c r="I360" s="4" t="n">
        <x:f>IF(AND(ISNUMBER(G360),G360&gt;0),('계산 과정'!$E$56+'계산 과정'!$E$57*D360+'계산 과정'!$E$58*E360)/F360,"")</x:f>
        <x:v>99.95563735094998</x:v>
      </x:c>
      <x:c r="J360" s="4" t="n">
        <x:f>IF('계산 과정'!$L$5,'계산 과정'!$D$6+'계산 과정'!$C$35*D360+'계산 과정'!$D$35*E360,"")</x:f>
        <x:v>640.6357636715805</x:v>
      </x:c>
      <x:c r="K360" s="4" t="n">
        <x:f>IF(AND('계산 과정'!$L$6,J360&gt;0),'계산 과정'!$D$10*('계산 과정'!$C$38*(D360-'계산 과정'!$C$32)+'계산 과정'!$D$38*(E360-'계산 과정'!$D$32)-'계산 과정'!$E$38*'계산 과정'!$E$32)/J360,"")</x:f>
        <x:v>0.11693679134928764</x:v>
      </x:c>
      <x:c r="L360" s="4" t="n">
        <x:f>IF(AND('계산 과정'!$L$6,J360&gt;0),'계산 과정'!$D$10*('계산 과정'!$C$39*(D360-'계산 과정'!$C$32)+'계산 과정'!$D$39*(E360-'계산 과정'!$D$32)-'계산 과정'!$E$39*'계산 과정'!$E$32)/J360,"")</x:f>
        <x:v>0.7615667607691428</x:v>
      </x:c>
      <x:c r="M360" s="17" t="n">
        <x:f>IF('계산 과정'!$L$6,IF(J360&lt;=0,0,IF(AND(ABS(K360)&lt;='계산 과정'!$D$11/2,ABS(L360)&lt;='계산 과정'!$D$12/2),1,0)),"")</x:f>
        <x:v>1</x:v>
      </x:c>
      <x:c r="N360" s="17" t="n">
        <x:f>IF('계산 과정'!$C$78,IF(AND(ISNUMBER(H360),ISNUMBER(I360),ABS(H360-'계산 과정'!$C$88)&lt;='계산 과정'!$D$23/2,ABS(I360-'계산 과정'!$C$89)&lt;='계산 과정'!$D$24/2),1,0),"")</x:f>
        <x:v>1</x:v>
      </x:c>
      <x:c r="O360" s="4" t="n">
        <x:f>IF('계산 과정'!$L$7,'계산 과정'!$C$49*('계산 과정'!$C$32-D360)+'계산 과정'!$D$49*('계산 과정'!$D$32-E360)+'계산 과정'!$E$49*'계산 과정'!$E$32,"")</x:f>
        <x:v>9.364236328419508</x:v>
      </x:c>
      <x:c r="P360" s="4" t="n">
        <x:f>IF(AND('계산 과정'!$L$7,O360&lt;&gt;0),('계산 과정'!$L$23-'계산 과정'!$C$49*D360-'계산 과정'!$D$49*E360)/O360,"")</x:f>
        <x:v>43.71570963945457</x:v>
      </x:c>
      <x:c r="Q360" s="4" t="str">
        <x:f>IF(AND(ISNUMBER(P360),P360&gt;1E-9,P360&lt;1-1E-9),'계산 과정'!$C$47*(D360-'계산 과정'!$C$50+P360*('계산 과정'!$C$32-D360))+'계산 과정'!$D$47*(E360-'계산 과정'!$D$50+P360*('계산 과정'!$D$32-E360))+'계산 과정'!$E$47*(0-'계산 과정'!$E$50+P360*('계산 과정'!$E$32-0)),"")</x:f>
      </x:c>
      <x:c r="R360" s="4" t="str">
        <x:f>IF(AND(ISNUMBER(P360),P360&gt;1E-9,P360&lt;1-1E-9),'계산 과정'!$C$48*(D360-'계산 과정'!$C$50+P360*('계산 과정'!$C$32-D360))+'계산 과정'!$D$48*(E360-'계산 과정'!$D$50+P360*('계산 과정'!$D$32-E360))+'계산 과정'!$E$48*(0-'계산 과정'!$E$50+P360*('계산 과정'!$E$32-0)),"")</x:f>
      </x:c>
      <x:c r="S360" s="17" t="n">
        <x:f>IF('계산 과정'!$C$78,IF(AND(ISNUMBER(Q360),ISNUMBER(R360),ABS(Q360-'계산 과정'!$C$88)&lt;='계산 과정'!$D$23/2,ABS(R360-'계산 과정'!$C$89)&lt;='계산 과정'!$D$24/2),1,0),"")</x:f>
        <x:v>0</x:v>
      </x:c>
      <x:c r="T360" s="4"/>
      <x:c r="U360" s="4"/>
      <x:c r="V360" s="4"/>
      <x:c r="W360" s="4" t="n">
        <x:f>IF('계산 과정'!$C$78,'계산 과정'!$C$88+0.48*'계산 과정'!$D$23/2,"")</x:f>
        <x:v>153.523404255319</x:v>
      </x:c>
      <x:c r="X360" s="4" t="str">
        <x:f>""</x:f>
      </x:c>
      <x:c r="Y360" s="4" t="n">
        <x:f>IF('계산 과정'!$C$78,'계산 과정'!$C$89+1*'계산 과정'!$D$24/2,"")</x:f>
        <x:v>260</x:v>
      </x:c>
      <x:c r="Z360" s="4" t="str">
        <x:f>""</x:f>
      </x:c>
    </x:row>
    <x:row r="361" ht="23" customHeight="1">
      <x:c r="A361" s="17" t="n">
        <x:f>ROW()-6</x:f>
        <x:v>355</x:v>
      </x:c>
      <x:c r="B361" s="4" t="n">
        <x:f>IF('계산 과정'!$L$5,'계산 과정'!$L$11*SQRT((A361+0.5)/'계산 과정'!$L$30),"")</x:f>
        <x:v>62.495116996750234</x:v>
      </x:c>
      <x:c r="C361" s="4" t="n">
        <x:f>A361*PI()*(3-SQRT(5))</x:f>
        <x:v>851.9869465536717</x:v>
      </x:c>
      <x:c r="D361" s="4" t="n">
        <x:f>IF('계산 과정'!$L$5,B361*COS(C361),"")</x:f>
        <x:v>-51.03218244398845</x:v>
      </x:c>
      <x:c r="E361" s="4" t="n">
        <x:f>IF('계산 과정'!$L$5,B361*SIN(C361),"")</x:f>
        <x:v>-36.07431223794817</x:v>
      </x:c>
      <x:c r="F361" s="4" t="n">
        <x:f>IF('계산 과정'!$L$7,'계산 과정'!$L$22+'계산 과정'!$C$49*D361+'계산 과정'!$D$49*E361,"")</x:f>
        <x:v>686.0852022648933</x:v>
      </x:c>
      <x:c r="G361" s="4" t="n">
        <x:f>IF('계산 과정'!$L$7,IF(ABS(F361)&gt;=1E-12*MAX(1,SQRT((D361-'계산 과정'!$C$33)^2+(E361-'계산 과정'!$D$33)^2+'계산 과정'!$E$33^2)),('계산 과정'!$L$23-'계산 과정'!$C$49*D361-'계산 과정'!$D$49*E361)/F361,""),"")</x:f>
        <x:v>0.5304221640894704</x:v>
      </x:c>
      <x:c r="H361" s="4" t="n">
        <x:f>IF(AND(ISNUMBER(G361),G361&gt;0),('계산 과정'!$D$56+'계산 과정'!$D$57*D361+'계산 과정'!$D$58*E361)/F361,"")</x:f>
        <x:v>-55.2255933418444</x:v>
      </x:c>
      <x:c r="I361" s="4" t="n">
        <x:f>IF(AND(ISNUMBER(G361),G361&gt;0),('계산 과정'!$E$56+'계산 과정'!$E$57*D361+'계산 과정'!$E$58*E361)/F361,"")</x:f>
        <x:v>-55.20892700323991</x:v>
      </x:c>
      <x:c r="J361" s="4" t="n">
        <x:f>IF('계산 과정'!$L$5,'계산 과정'!$D$6+'계산 과정'!$C$35*D361+'계산 과정'!$D$35*E361,"")</x:f>
        <x:v>686.0852022648933</x:v>
      </x:c>
      <x:c r="K361" s="4" t="n">
        <x:f>IF(AND('계산 과정'!$L$6,J361&gt;0),'계산 과정'!$D$10*('계산 과정'!$C$38*(D361-'계산 과정'!$C$32)+'계산 과정'!$D$38*(E361-'계산 과정'!$D$32)-'계산 과정'!$E$38*'계산 과정'!$E$32)/J361,"")</x:f>
        <x:v>-0.42076642546167087</x:v>
      </x:c>
      <x:c r="L361" s="4" t="n">
        <x:f>IF(AND('계산 과정'!$L$6,J361&gt;0),'계산 과정'!$D$10*('계산 과정'!$C$39*(D361-'계산 과정'!$C$32)+'계산 과정'!$D$39*(E361-'계산 과정'!$D$32)-'계산 과정'!$E$39*'계산 과정'!$E$32)/J361,"")</x:f>
        <x:v>-0.4206394438342088</x:v>
      </x:c>
      <x:c r="M361" s="17" t="n">
        <x:f>IF('계산 과정'!$L$6,IF(J361&lt;=0,0,IF(AND(ABS(K361)&lt;='계산 과정'!$D$11/2,ABS(L361)&lt;='계산 과정'!$D$12/2),1,0)),"")</x:f>
        <x:v>1</x:v>
      </x:c>
      <x:c r="N361" s="17" t="n">
        <x:f>IF('계산 과정'!$C$78,IF(AND(ISNUMBER(H361),ISNUMBER(I361),ABS(H361-'계산 과정'!$C$88)&lt;='계산 과정'!$D$23/2,ABS(I361-'계산 과정'!$C$89)&lt;='계산 과정'!$D$24/2),1,0),"")</x:f>
        <x:v>1</x:v>
      </x:c>
      <x:c r="O361" s="4" t="n">
        <x:f>IF('계산 과정'!$L$7,'계산 과정'!$C$49*('계산 과정'!$C$32-D361)+'계산 과정'!$D$49*('계산 과정'!$D$32-E361)+'계산 과정'!$E$49*'계산 과정'!$E$32,"")</x:f>
        <x:v>-36.08520226489321</x:v>
      </x:c>
      <x:c r="P361" s="4" t="n">
        <x:f>IF(AND('계산 과정'!$L$7,O361&lt;&gt;0),('계산 과정'!$L$23-'계산 과정'!$C$49*D361-'계산 과정'!$D$49*E361)/O361,"")</x:f>
        <x:v>-10.08487620669801</x:v>
      </x:c>
      <x:c r="Q361" s="4" t="str">
        <x:f>IF(AND(ISNUMBER(P361),P361&gt;1E-9,P361&lt;1-1E-9),'계산 과정'!$C$47*(D361-'계산 과정'!$C$50+P361*('계산 과정'!$C$32-D361))+'계산 과정'!$D$47*(E361-'계산 과정'!$D$50+P361*('계산 과정'!$D$32-E361))+'계산 과정'!$E$47*(0-'계산 과정'!$E$50+P361*('계산 과정'!$E$32-0)),"")</x:f>
      </x:c>
      <x:c r="R361" s="4" t="str">
        <x:f>IF(AND(ISNUMBER(P361),P361&gt;1E-9,P361&lt;1-1E-9),'계산 과정'!$C$48*(D361-'계산 과정'!$C$50+P361*('계산 과정'!$C$32-D361))+'계산 과정'!$D$48*(E361-'계산 과정'!$D$50+P361*('계산 과정'!$D$32-E361))+'계산 과정'!$E$48*(0-'계산 과정'!$E$50+P361*('계산 과정'!$E$32-0)),"")</x:f>
      </x:c>
      <x:c r="S361" s="17" t="n">
        <x:f>IF('계산 과정'!$C$78,IF(AND(ISNUMBER(Q361),ISNUMBER(R361),ABS(Q361-'계산 과정'!$C$88)&lt;='계산 과정'!$D$23/2,ABS(R361-'계산 과정'!$C$89)&lt;='계산 과정'!$D$24/2),1,0),"")</x:f>
        <x:v>0</x:v>
      </x:c>
      <x:c r="T361" s="4"/>
      <x:c r="U361" s="4"/>
      <x:c r="V361" s="4"/>
      <x:c r="W361" s="4" t="n">
        <x:f>IF('계산 과정'!$C$78,'계산 과정'!$C$88+0.43999999999999995*'계산 과정'!$D$23/2,"")</x:f>
        <x:v>143.12340425531903</x:v>
      </x:c>
      <x:c r="X361" s="4" t="str">
        <x:f>""</x:f>
      </x:c>
      <x:c r="Y361" s="4" t="n">
        <x:f>IF('계산 과정'!$C$78,'계산 과정'!$C$89+1*'계산 과정'!$D$24/2,"")</x:f>
        <x:v>260</x:v>
      </x:c>
      <x:c r="Z361" s="4" t="str">
        <x:f>""</x:f>
      </x:c>
    </x:row>
    <x:row r="362" ht="23" customHeight="1">
      <x:c r="A362" s="17" t="n">
        <x:f>ROW()-6</x:f>
        <x:v>356</x:v>
      </x:c>
      <x:c r="B362" s="4" t="n">
        <x:f>IF('계산 과정'!$L$5,'계산 과정'!$L$11*SQRT((A362+0.5)/'계산 과정'!$L$30),"")</x:f>
        <x:v>62.58295276321261</x:v>
      </x:c>
      <x:c r="C362" s="4" t="n">
        <x:f>A362*PI()*(3-SQRT(5))</x:f>
        <x:v>854.3869097834005</x:v>
      </x:c>
      <x:c r="D362" s="4" t="n">
        <x:f>IF('계산 과정'!$L$5,B362*COS(C362),"")</x:f>
        <x:v>62.084527124868565</x:v>
      </x:c>
      <x:c r="E362" s="4" t="n">
        <x:f>IF('계산 과정'!$L$5,B362*SIN(C362),"")</x:f>
        <x:v>-7.88273228290548</x:v>
      </x:c>
      <x:c r="F362" s="4" t="n">
        <x:f>IF('계산 과정'!$L$7,'계산 과정'!$L$22+'계산 과정'!$C$49*D362+'계산 과정'!$D$49*E362,"")</x:f>
        <x:v>606.0996098632453</x:v>
      </x:c>
      <x:c r="G362" s="4" t="n">
        <x:f>IF('계산 과정'!$L$7,IF(ABS(F362)&gt;=1E-12*MAX(1,SQRT((D362-'계산 과정'!$C$33)^2+(E362-'계산 과정'!$D$33)^2+'계산 과정'!$E$33^2)),('계산 과정'!$L$23-'계산 과정'!$C$49*D362-'계산 과정'!$D$49*E362)/F362,""),"")</x:f>
        <x:v>0.732388509929766</x:v>
      </x:c>
      <x:c r="H362" s="4" t="n">
        <x:f>IF(AND(ISNUMBER(G362),G362&gt;0),('계산 과정'!$D$56+'계산 과정'!$D$57*D362+'계산 과정'!$D$58*E362)/F362,"")</x:f>
        <x:v>76.05253145434779</x:v>
      </x:c>
      <x:c r="I362" s="4" t="n">
        <x:f>IF(AND(ISNUMBER(G362),G362&gt;0),('계산 과정'!$E$56+'계산 과정'!$E$57*D362+'계산 과정'!$E$58*E362)/F362,"")</x:f>
        <x:v>-13.655954833757887</x:v>
      </x:c>
      <x:c r="J362" s="4" t="n">
        <x:f>IF('계산 과정'!$L$5,'계산 과정'!$D$6+'계산 과정'!$C$35*D362+'계산 과정'!$D$35*E362,"")</x:f>
        <x:v>606.0996098632453</x:v>
      </x:c>
      <x:c r="K362" s="4" t="n">
        <x:f>IF(AND('계산 과정'!$L$6,J362&gt;0),'계산 과정'!$D$10*('계산 과정'!$C$38*(D362-'계산 과정'!$C$32)+'계산 과정'!$D$38*(E362-'계산 과정'!$D$32)-'계산 과정'!$E$38*'계산 과정'!$E$32)/J362,"")</x:f>
        <x:v>0.5794478586997934</x:v>
      </x:c>
      <x:c r="L362" s="4" t="n">
        <x:f>IF(AND('계산 과정'!$L$6,J362&gt;0),'계산 과정'!$D$10*('계산 과정'!$C$39*(D362-'계산 과정'!$C$32)+'계산 과정'!$D$39*(E362-'계산 과정'!$D$32)-'계산 과정'!$E$39*'계산 과정'!$E$32)/J362,"")</x:f>
        <x:v>-0.10404537016196486</x:v>
      </x:c>
      <x:c r="M362" s="17" t="n">
        <x:f>IF('계산 과정'!$L$6,IF(J362&lt;=0,0,IF(AND(ABS(K362)&lt;='계산 과정'!$D$11/2,ABS(L362)&lt;='계산 과정'!$D$12/2),1,0)),"")</x:f>
        <x:v>1</x:v>
      </x:c>
      <x:c r="N362" s="17" t="n">
        <x:f>IF('계산 과정'!$C$78,IF(AND(ISNUMBER(H362),ISNUMBER(I362),ABS(H362-'계산 과정'!$C$88)&lt;='계산 과정'!$D$23/2,ABS(I362-'계산 과정'!$C$89)&lt;='계산 과정'!$D$24/2),1,0),"")</x:f>
        <x:v>1</x:v>
      </x:c>
      <x:c r="O362" s="4" t="n">
        <x:f>IF('계산 과정'!$L$7,'계산 과정'!$C$49*('계산 과정'!$C$32-D362)+'계산 과정'!$D$49*('계산 과정'!$D$32-E362)+'계산 과정'!$E$49*'계산 과정'!$E$32,"")</x:f>
        <x:v>43.90039013675482</x:v>
      </x:c>
      <x:c r="P362" s="4" t="n">
        <x:f>IF(AND('계산 과정'!$L$7,O362&lt;&gt;0),('계산 과정'!$L$23-'계산 과정'!$C$49*D362-'계산 과정'!$D$49*E362)/O362,"")</x:f>
        <x:v>10.111536338377707</x:v>
      </x:c>
      <x:c r="Q362" s="4" t="str">
        <x:f>IF(AND(ISNUMBER(P362),P362&gt;1E-9,P362&lt;1-1E-9),'계산 과정'!$C$47*(D362-'계산 과정'!$C$50+P362*('계산 과정'!$C$32-D362))+'계산 과정'!$D$47*(E362-'계산 과정'!$D$50+P362*('계산 과정'!$D$32-E362))+'계산 과정'!$E$47*(0-'계산 과정'!$E$50+P362*('계산 과정'!$E$32-0)),"")</x:f>
      </x:c>
      <x:c r="R362" s="4" t="str">
        <x:f>IF(AND(ISNUMBER(P362),P362&gt;1E-9,P362&lt;1-1E-9),'계산 과정'!$C$48*(D362-'계산 과정'!$C$50+P362*('계산 과정'!$C$32-D362))+'계산 과정'!$D$48*(E362-'계산 과정'!$D$50+P362*('계산 과정'!$D$32-E362))+'계산 과정'!$E$48*(0-'계산 과정'!$E$50+P362*('계산 과정'!$E$32-0)),"")</x:f>
      </x:c>
      <x:c r="S362" s="17" t="n">
        <x:f>IF('계산 과정'!$C$78,IF(AND(ISNUMBER(Q362),ISNUMBER(R362),ABS(Q362-'계산 과정'!$C$88)&lt;='계산 과정'!$D$23/2,ABS(R362-'계산 과정'!$C$89)&lt;='계산 과정'!$D$24/2),1,0),"")</x:f>
        <x:v>0</x:v>
      </x:c>
      <x:c r="T362" s="4"/>
      <x:c r="U362" s="4"/>
      <x:c r="V362" s="4"/>
      <x:c r="W362" s="4" t="n">
        <x:f>IF('계산 과정'!$C$78,'계산 과정'!$C$88+0.4*'계산 과정'!$D$23/2,"")</x:f>
        <x:v>132.72340425531902</x:v>
      </x:c>
      <x:c r="X362" s="4" t="str">
        <x:f>""</x:f>
      </x:c>
      <x:c r="Y362" s="4" t="n">
        <x:f>IF('계산 과정'!$C$78,'계산 과정'!$C$89+1*'계산 과정'!$D$24/2,"")</x:f>
        <x:v>260</x:v>
      </x:c>
      <x:c r="Z362" s="4" t="str">
        <x:f>""</x:f>
      </x:c>
    </x:row>
    <x:row r="363" ht="23" customHeight="1">
      <x:c r="A363" s="17" t="n">
        <x:f>ROW()-6</x:f>
        <x:v>357</x:v>
      </x:c>
      <x:c r="B363" s="4" t="n">
        <x:f>IF('계산 과정'!$L$5,'계산 과정'!$L$11*SQRT((A363+0.5)/'계산 과정'!$L$30),"")</x:f>
        <x:v>62.6706654240044</x:v>
      </x:c>
      <x:c r="C363" s="4" t="n">
        <x:f>A363*PI()*(3-SQRT(5))</x:f>
        <x:v>856.786873013129</x:v>
      </x:c>
      <x:c r="D363" s="4" t="n">
        <x:f>IF('계산 과정'!$L$5,B363*COS(C363),"")</x:f>
        <x:v>-40.51118764360765</x:v>
      </x:c>
      <x:c r="E363" s="4" t="n">
        <x:f>IF('계산 과정'!$L$5,B363*SIN(C363),"")</x:f>
        <x:v>47.816900572830015</x:v>
      </x:c>
      <x:c r="F363" s="4" t="n">
        <x:f>IF('계산 과정'!$L$7,'계산 과정'!$L$22+'계산 과정'!$C$49*D363+'계산 과정'!$D$49*E363,"")</x:f>
        <x:v>678.6457354967156</x:v>
      </x:c>
      <x:c r="G363" s="4" t="n">
        <x:f>IF('계산 과정'!$L$7,IF(ABS(F363)&gt;=1E-12*MAX(1,SQRT((D363-'계산 과정'!$C$33)^2+(E363-'계산 과정'!$D$33)^2+'계산 과정'!$E$33^2)),('계산 과정'!$L$23-'계산 과정'!$C$49*D363-'계산 과정'!$D$49*E363)/F363,""),"")</x:f>
        <x:v>0.5471989951155917</x:v>
      </x:c>
      <x:c r="H363" s="4" t="n">
        <x:f>IF(AND(ISNUMBER(G363),G363&gt;0),('계산 과정'!$D$56+'계산 과정'!$D$57*D363+'계산 과정'!$D$58*E363)/F363,"")</x:f>
        <x:v>-44.3206531748656</x:v>
      </x:c>
      <x:c r="I363" s="4" t="n">
        <x:f>IF(AND(ISNUMBER(G363),G363&gt;0),('계산 과정'!$E$56+'계산 과정'!$E$57*D363+'계산 과정'!$E$58*E363)/F363,"")</x:f>
        <x:v>73.98226051582476</x:v>
      </x:c>
      <x:c r="J363" s="4" t="n">
        <x:f>IF('계산 과정'!$L$5,'계산 과정'!$D$6+'계산 과정'!$C$35*D363+'계산 과정'!$D$35*E363,"")</x:f>
        <x:v>678.6457354967156</x:v>
      </x:c>
      <x:c r="K363" s="4" t="n">
        <x:f>IF(AND('계산 과정'!$L$6,J363&gt;0),'계산 과정'!$D$10*('계산 과정'!$C$38*(D363-'계산 과정'!$C$32)+'계산 과정'!$D$38*(E363-'계산 과정'!$D$32)-'계산 과정'!$E$38*'계산 과정'!$E$32)/J363,"")</x:f>
        <x:v>-0.3376811670465941</x:v>
      </x:c>
      <x:c r="L363" s="4" t="n">
        <x:f>IF(AND('계산 과정'!$L$6,J363&gt;0),'계산 과정'!$D$10*('계산 과정'!$C$39*(D363-'계산 과정'!$C$32)+'계산 과정'!$D$39*(E363-'계산 과정'!$D$32)-'계산 과정'!$E$39*'계산 과정'!$E$32)/J363,"")</x:f>
        <x:v>0.5636743658348553</x:v>
      </x:c>
      <x:c r="M363" s="17" t="n">
        <x:f>IF('계산 과정'!$L$6,IF(J363&lt;=0,0,IF(AND(ABS(K363)&lt;='계산 과정'!$D$11/2,ABS(L363)&lt;='계산 과정'!$D$12/2),1,0)),"")</x:f>
        <x:v>1</x:v>
      </x:c>
      <x:c r="N363" s="17" t="n">
        <x:f>IF('계산 과정'!$C$78,IF(AND(ISNUMBER(H363),ISNUMBER(I363),ABS(H363-'계산 과정'!$C$88)&lt;='계산 과정'!$D$23/2,ABS(I363-'계산 과정'!$C$89)&lt;='계산 과정'!$D$24/2),1,0),"")</x:f>
        <x:v>1</x:v>
      </x:c>
      <x:c r="O363" s="4" t="n">
        <x:f>IF('계산 과정'!$L$7,'계산 과정'!$C$49*('계산 과정'!$C$32-D363)+'계산 과정'!$D$49*('계산 과정'!$D$32-E363)+'계산 과정'!$E$49*'계산 과정'!$E$32,"")</x:f>
        <x:v>-28.64573549671553</x:v>
      </x:c>
      <x:c r="P363" s="4" t="n">
        <x:f>IF(AND('계산 과정'!$L$7,O363&lt;&gt;0),('계산 과정'!$L$23-'계산 과정'!$C$49*D363-'계산 과정'!$D$49*E363)/O363,"")</x:f>
        <x:v>-12.96368405502673</x:v>
      </x:c>
      <x:c r="Q363" s="4" t="str">
        <x:f>IF(AND(ISNUMBER(P363),P363&gt;1E-9,P363&lt;1-1E-9),'계산 과정'!$C$47*(D363-'계산 과정'!$C$50+P363*('계산 과정'!$C$32-D363))+'계산 과정'!$D$47*(E363-'계산 과정'!$D$50+P363*('계산 과정'!$D$32-E363))+'계산 과정'!$E$47*(0-'계산 과정'!$E$50+P363*('계산 과정'!$E$32-0)),"")</x:f>
      </x:c>
      <x:c r="R363" s="4" t="str">
        <x:f>IF(AND(ISNUMBER(P363),P363&gt;1E-9,P363&lt;1-1E-9),'계산 과정'!$C$48*(D363-'계산 과정'!$C$50+P363*('계산 과정'!$C$32-D363))+'계산 과정'!$D$48*(E363-'계산 과정'!$D$50+P363*('계산 과정'!$D$32-E363))+'계산 과정'!$E$48*(0-'계산 과정'!$E$50+P363*('계산 과정'!$E$32-0)),"")</x:f>
      </x:c>
      <x:c r="S363" s="17" t="n">
        <x:f>IF('계산 과정'!$C$78,IF(AND(ISNUMBER(Q363),ISNUMBER(R363),ABS(Q363-'계산 과정'!$C$88)&lt;='계산 과정'!$D$23/2,ABS(R363-'계산 과정'!$C$89)&lt;='계산 과정'!$D$24/2),1,0),"")</x:f>
        <x:v>0</x:v>
      </x:c>
      <x:c r="T363" s="4"/>
      <x:c r="U363" s="4"/>
      <x:c r="V363" s="4"/>
      <x:c r="W363" s="4" t="n">
        <x:f>IF('계산 과정'!$C$78,'계산 과정'!$C$88+0.36*'계산 과정'!$D$23/2,"")</x:f>
        <x:v>122.32340425531902</x:v>
      </x:c>
      <x:c r="X363" s="4" t="str">
        <x:f>""</x:f>
      </x:c>
      <x:c r="Y363" s="4" t="n">
        <x:f>IF('계산 과정'!$C$78,'계산 과정'!$C$89+1*'계산 과정'!$D$24/2,"")</x:f>
        <x:v>260</x:v>
      </x:c>
      <x:c r="Z363" s="4" t="str">
        <x:f>""</x:f>
      </x:c>
    </x:row>
    <x:row r="364" ht="23" customHeight="1">
      <x:c r="A364" s="17" t="n">
        <x:f>ROW()-6</x:f>
        <x:v>358</x:v>
      </x:c>
      <x:c r="B364" s="4" t="n">
        <x:f>IF('계산 과정'!$L$5,'계산 과정'!$L$11*SQRT((A364+0.5)/'계산 과정'!$L$30),"")</x:f>
        <x:v>62.758255495293206</x:v>
      </x:c>
      <x:c r="C364" s="4" t="n">
        <x:f>A364*PI()*(3-SQRT(5))</x:f>
        <x:v>859.1868362428578</x:v>
      </x:c>
      <x:c r="D364" s="4" t="n">
        <x:f>IF('계산 과정'!$L$5,B364*COS(C364),"")</x:f>
        <x:v>-2.431556917214386</x:v>
      </x:c>
      <x:c r="E364" s="4" t="n">
        <x:f>IF('계산 과정'!$L$5,B364*SIN(C364),"")</x:f>
        <x:v>-62.7111326940508</x:v>
      </x:c>
      <x:c r="F364" s="4" t="n">
        <x:f>IF('계산 과정'!$L$7,'계산 과정'!$L$22+'계산 과정'!$C$49*D364+'계산 과정'!$D$49*E364,"")</x:f>
        <x:v>651.7193703850033</x:v>
      </x:c>
      <x:c r="G364" s="4" t="n">
        <x:f>IF('계산 과정'!$L$7,IF(ABS(F364)&gt;=1E-12*MAX(1,SQRT((D364-'계산 과정'!$C$33)^2+(E364-'계산 과정'!$D$33)^2+'계산 과정'!$E$33^2)),('계산 과정'!$L$23-'계산 과정'!$C$49*D364-'계산 과정'!$D$49*E364)/F364,""),"")</x:f>
        <x:v>0.6111228969298738</x:v>
      </x:c>
      <x:c r="H364" s="4" t="n">
        <x:f>IF(AND(ISNUMBER(G364),G364&gt;0),('계산 과정'!$D$56+'계산 과정'!$D$57*D364+'계산 과정'!$D$58*E364)/F364,"")</x:f>
        <x:v>-2.770116995582142</x:v>
      </x:c>
      <x:c r="I364" s="4" t="n">
        <x:f>IF(AND(ISNUMBER(G364),G364&gt;0),('계산 과정'!$E$56+'계산 과정'!$E$57*D364+'계산 과정'!$E$58*E364)/F364,"")</x:f>
        <x:v>-101.03534177579283</x:v>
      </x:c>
      <x:c r="J364" s="4" t="n">
        <x:f>IF('계산 과정'!$L$5,'계산 과정'!$D$6+'계산 과정'!$C$35*D364+'계산 과정'!$D$35*E364,"")</x:f>
        <x:v>651.7193703850033</x:v>
      </x:c>
      <x:c r="K364" s="4" t="n">
        <x:f>IF(AND('계산 과정'!$L$6,J364&gt;0),'계산 과정'!$D$10*('계산 과정'!$C$38*(D364-'계산 과정'!$C$32)+'계산 과정'!$D$38*(E364-'계산 과정'!$D$32)-'계산 과정'!$E$38*'계산 과정'!$E$32)/J364,"")</x:f>
        <x:v>-0.02110565329967254</x:v>
      </x:c>
      <x:c r="L364" s="4" t="n">
        <x:f>IF(AND('계산 과정'!$L$6,J364&gt;0),'계산 과정'!$D$10*('계산 과정'!$C$39*(D364-'계산 과정'!$C$32)+'계산 과정'!$D$39*(E364-'계산 과정'!$D$32)-'계산 과정'!$E$39*'계산 과정'!$E$32)/J364,"")</x:f>
        <x:v>-0.7697930801965169</x:v>
      </x:c>
      <x:c r="M364" s="17" t="n">
        <x:f>IF('계산 과정'!$L$6,IF(J364&lt;=0,0,IF(AND(ABS(K364)&lt;='계산 과정'!$D$11/2,ABS(L364)&lt;='계산 과정'!$D$12/2),1,0)),"")</x:f>
        <x:v>1</x:v>
      </x:c>
      <x:c r="N364" s="17" t="n">
        <x:f>IF('계산 과정'!$C$78,IF(AND(ISNUMBER(H364),ISNUMBER(I364),ABS(H364-'계산 과정'!$C$88)&lt;='계산 과정'!$D$23/2,ABS(I364-'계산 과정'!$C$89)&lt;='계산 과정'!$D$24/2),1,0),"")</x:f>
        <x:v>1</x:v>
      </x:c>
      <x:c r="O364" s="4" t="n">
        <x:f>IF('계산 과정'!$L$7,'계산 과정'!$C$49*('계산 과정'!$C$32-D364)+'계산 과정'!$D$49*('계산 과정'!$D$32-E364)+'계산 과정'!$E$49*'계산 과정'!$E$32,"")</x:f>
        <x:v>-1.7193703850032307</x:v>
      </x:c>
      <x:c r="P364" s="4" t="n">
        <x:f>IF(AND('계산 과정'!$L$7,O364&lt;&gt;0),('계산 과정'!$L$23-'계산 과정'!$C$49*D364-'계산 과정'!$D$49*E364)/O364,"")</x:f>
        <x:v>-231.64329983166965</x:v>
      </x:c>
      <x:c r="Q364" s="4" t="str">
        <x:f>IF(AND(ISNUMBER(P364),P364&gt;1E-9,P364&lt;1-1E-9),'계산 과정'!$C$47*(D364-'계산 과정'!$C$50+P364*('계산 과정'!$C$32-D364))+'계산 과정'!$D$47*(E364-'계산 과정'!$D$50+P364*('계산 과정'!$D$32-E364))+'계산 과정'!$E$47*(0-'계산 과정'!$E$50+P364*('계산 과정'!$E$32-0)),"")</x:f>
      </x:c>
      <x:c r="R364" s="4" t="str">
        <x:f>IF(AND(ISNUMBER(P364),P364&gt;1E-9,P364&lt;1-1E-9),'계산 과정'!$C$48*(D364-'계산 과정'!$C$50+P364*('계산 과정'!$C$32-D364))+'계산 과정'!$D$48*(E364-'계산 과정'!$D$50+P364*('계산 과정'!$D$32-E364))+'계산 과정'!$E$48*(0-'계산 과정'!$E$50+P364*('계산 과정'!$E$32-0)),"")</x:f>
      </x:c>
      <x:c r="S364" s="17" t="n">
        <x:f>IF('계산 과정'!$C$78,IF(AND(ISNUMBER(Q364),ISNUMBER(R364),ABS(Q364-'계산 과정'!$C$88)&lt;='계산 과정'!$D$23/2,ABS(R364-'계산 과정'!$C$89)&lt;='계산 과정'!$D$24/2),1,0),"")</x:f>
        <x:v>0</x:v>
      </x:c>
      <x:c r="T364" s="4"/>
      <x:c r="U364" s="4"/>
      <x:c r="V364" s="4"/>
      <x:c r="W364" s="4" t="n">
        <x:f>IF('계산 과정'!$C$78,'계산 과정'!$C$88+0.31999999999999995*'계산 과정'!$D$23/2,"")</x:f>
        <x:v>111.92340425531901</x:v>
      </x:c>
      <x:c r="X364" s="4" t="str">
        <x:f>""</x:f>
      </x:c>
      <x:c r="Y364" s="4" t="n">
        <x:f>IF('계산 과정'!$C$78,'계산 과정'!$C$89+1*'계산 과정'!$D$24/2,"")</x:f>
        <x:v>260</x:v>
      </x:c>
      <x:c r="Z364" s="4" t="str">
        <x:f>""</x:f>
      </x:c>
    </x:row>
    <x:row r="365" ht="23" customHeight="1">
      <x:c r="A365" s="17" t="n">
        <x:f>ROW()-6</x:f>
        <x:v>359</x:v>
      </x:c>
      <x:c r="B365" s="4" t="n">
        <x:f>IF('계산 과정'!$L$5,'계산 과정'!$L$11*SQRT((A365+0.5)/'계산 과정'!$L$30),"")</x:f>
        <x:v>62.845723489649636</x:v>
      </x:c>
      <x:c r="C365" s="4" t="n">
        <x:f>A365*PI()*(3-SQRT(5))</x:f>
        <x:v>861.5867994725863</x:v>
      </x:c>
      <x:c r="D365" s="4" t="n">
        <x:f>IF('계산 과정'!$L$5,B365*COS(C365),"")</x:f>
        <x:v>44.215254182838564</x:v>
      </x:c>
      <x:c r="E365" s="4" t="n">
        <x:f>IF('계산 과정'!$L$5,B365*SIN(C365),"")</x:f>
        <x:v>44.660903019133826</x:v>
      </x:c>
      <x:c r="F365" s="4" t="n">
        <x:f>IF('계산 과정'!$L$7,'계산 과정'!$L$22+'계산 과정'!$C$49*D365+'계산 과정'!$D$49*E365,"")</x:f>
        <x:v>618.735093935428</x:v>
      </x:c>
      <x:c r="G365" s="4" t="n">
        <x:f>IF('계산 과정'!$L$7,IF(ABS(F365)&gt;=1E-12*MAX(1,SQRT((D365-'계산 과정'!$C$33)^2+(E365-'계산 과정'!$D$33)^2+'계산 과정'!$E$33^2)),('계산 과정'!$L$23-'계산 과정'!$C$49*D365-'계산 과정'!$D$49*E365)/F365,""),"")</x:f>
        <x:v>0.6970105789887188</x:v>
      </x:c>
      <x:c r="H365" s="4" t="n">
        <x:f>IF(AND(ISNUMBER(G365),G365&gt;0),('계산 과정'!$D$56+'계산 과정'!$D$57*D365+'계산 과정'!$D$58*E365)/F365,"")</x:f>
        <x:v>53.05687634266714</x:v>
      </x:c>
      <x:c r="I365" s="4" t="n">
        <x:f>IF(AND(ISNUMBER(G365),G365&gt;0),('계산 과정'!$E$56+'계산 과정'!$E$57*D365+'계산 과정'!$E$58*E365)/F365,"")</x:f>
        <x:v>75.79002489065931</x:v>
      </x:c>
      <x:c r="J365" s="4" t="n">
        <x:f>IF('계산 과정'!$L$5,'계산 과정'!$D$6+'계산 과정'!$C$35*D365+'계산 과정'!$D$35*E365,"")</x:f>
        <x:v>618.735093935428</x:v>
      </x:c>
      <x:c r="K365" s="4" t="n">
        <x:f>IF(AND('계산 과정'!$L$6,J365&gt;0),'계산 과정'!$D$10*('계산 과정'!$C$38*(D365-'계산 과정'!$C$32)+'계산 과정'!$D$38*(E365-'계산 과정'!$D$32)-'계산 과정'!$E$38*'계산 과정'!$E$32)/J365,"")</x:f>
        <x:v>0.40424286737270293</x:v>
      </x:c>
      <x:c r="L365" s="4" t="n">
        <x:f>IF(AND('계산 과정'!$L$6,J365&gt;0),'계산 과정'!$D$10*('계산 과정'!$C$39*(D365-'계산 과정'!$C$32)+'계산 과정'!$D$39*(E365-'계산 과정'!$D$32)-'계산 과정'!$E$39*'계산 과정'!$E$32)/J365,"")</x:f>
        <x:v>0.5774478086907376</x:v>
      </x:c>
      <x:c r="M365" s="17" t="n">
        <x:f>IF('계산 과정'!$L$6,IF(J365&lt;=0,0,IF(AND(ABS(K365)&lt;='계산 과정'!$D$11/2,ABS(L365)&lt;='계산 과정'!$D$12/2),1,0)),"")</x:f>
        <x:v>1</x:v>
      </x:c>
      <x:c r="N365" s="17" t="n">
        <x:f>IF('계산 과정'!$C$78,IF(AND(ISNUMBER(H365),ISNUMBER(I365),ABS(H365-'계산 과정'!$C$88)&lt;='계산 과정'!$D$23/2,ABS(I365-'계산 과정'!$C$89)&lt;='계산 과정'!$D$24/2),1,0),"")</x:f>
        <x:v>1</x:v>
      </x:c>
      <x:c r="O365" s="4" t="n">
        <x:f>IF('계산 과정'!$L$7,'계산 과정'!$C$49*('계산 과정'!$C$32-D365)+'계산 과정'!$D$49*('계산 과정'!$D$32-E365)+'계산 과정'!$E$49*'계산 과정'!$E$32,"")</x:f>
        <x:v>31.26490606457213</x:v>
      </x:c>
      <x:c r="P365" s="4" t="n">
        <x:f>IF(AND('계산 과정'!$L$7,O365&lt;&gt;0),('계산 과정'!$L$23-'계산 과정'!$C$49*D365-'계산 과정'!$D$49*E365)/O365,"")</x:f>
        <x:v>13.793897386861508</x:v>
      </x:c>
      <x:c r="Q365" s="4" t="str">
        <x:f>IF(AND(ISNUMBER(P365),P365&gt;1E-9,P365&lt;1-1E-9),'계산 과정'!$C$47*(D365-'계산 과정'!$C$50+P365*('계산 과정'!$C$32-D365))+'계산 과정'!$D$47*(E365-'계산 과정'!$D$50+P365*('계산 과정'!$D$32-E365))+'계산 과정'!$E$47*(0-'계산 과정'!$E$50+P365*('계산 과정'!$E$32-0)),"")</x:f>
      </x:c>
      <x:c r="R365" s="4" t="str">
        <x:f>IF(AND(ISNUMBER(P365),P365&gt;1E-9,P365&lt;1-1E-9),'계산 과정'!$C$48*(D365-'계산 과정'!$C$50+P365*('계산 과정'!$C$32-D365))+'계산 과정'!$D$48*(E365-'계산 과정'!$D$50+P365*('계산 과정'!$D$32-E365))+'계산 과정'!$E$48*(0-'계산 과정'!$E$50+P365*('계산 과정'!$E$32-0)),"")</x:f>
      </x:c>
      <x:c r="S365" s="17" t="n">
        <x:f>IF('계산 과정'!$C$78,IF(AND(ISNUMBER(Q365),ISNUMBER(R365),ABS(Q365-'계산 과정'!$C$88)&lt;='계산 과정'!$D$23/2,ABS(R365-'계산 과정'!$C$89)&lt;='계산 과정'!$D$24/2),1,0),"")</x:f>
        <x:v>0</x:v>
      </x:c>
      <x:c r="T365" s="4"/>
      <x:c r="U365" s="4"/>
      <x:c r="V365" s="4"/>
      <x:c r="W365" s="4" t="n">
        <x:f>IF('계산 과정'!$C$78,'계산 과정'!$C$88+0.28*'계산 과정'!$D$23/2,"")</x:f>
        <x:v>101.52340425531904</x:v>
      </x:c>
      <x:c r="X365" s="4" t="str">
        <x:f>""</x:f>
      </x:c>
      <x:c r="Y365" s="4" t="n">
        <x:f>IF('계산 과정'!$C$78,'계산 과정'!$C$89+1*'계산 과정'!$D$24/2,"")</x:f>
        <x:v>260</x:v>
      </x:c>
      <x:c r="Z365" s="4" t="str">
        <x:f>""</x:f>
      </x:c>
    </x:row>
    <x:row r="366" ht="23" customHeight="1">
      <x:c r="A366" s="17" t="n">
        <x:f>ROW()-6</x:f>
        <x:v>360</x:v>
      </x:c>
      <x:c r="B366" s="4" t="n">
        <x:f>IF('계산 과정'!$L$5,'계산 과정'!$L$11*SQRT((A366+0.5)/'계산 과정'!$L$30),"")</x:f>
        <x:v>62.933069916082275</x:v>
      </x:c>
      <x:c r="C366" s="4" t="n">
        <x:f>A366*PI()*(3-SQRT(5))</x:f>
        <x:v>863.9867627023151</x:v>
      </x:c>
      <x:c r="D366" s="4" t="n">
        <x:f>IF('계산 과정'!$L$5,B366*COS(C366),"")</x:f>
        <x:v>-62.85820140763121</x:v>
      </x:c>
      <x:c r="E366" s="4" t="n">
        <x:f>IF('계산 과정'!$L$5,B366*SIN(C366),"")</x:f>
        <x:v>-3.0688442222064154</x:v>
      </x:c>
      <x:c r="F366" s="4" t="n">
        <x:f>IF('계산 과정'!$L$7,'계산 과정'!$L$22+'계산 과정'!$C$49*D366+'계산 과정'!$D$49*E366,"")</x:f>
        <x:v>694.4474604685258</x:v>
      </x:c>
      <x:c r="G366" s="4" t="n">
        <x:f>IF('계산 과정'!$L$7,IF(ABS(F366)&gt;=1E-12*MAX(1,SQRT((D366-'계산 과정'!$C$33)^2+(E366-'계산 과정'!$D$33)^2+'계산 과정'!$E$33^2)),('계산 과정'!$L$23-'계산 과정'!$C$49*D366-'계산 과정'!$D$49*E366)/F366,""),"")</x:f>
        <x:v>0.5119934332996078</x:v>
      </x:c>
      <x:c r="H366" s="4" t="n">
        <x:f>IF(AND(ISNUMBER(G366),G366&gt;0),('계산 과정'!$D$56+'계산 과정'!$D$57*D366+'계산 과정'!$D$58*E366)/F366,"")</x:f>
        <x:v>-67.20426835525507</x:v>
      </x:c>
      <x:c r="I366" s="4" t="n">
        <x:f>IF(AND(ISNUMBER(G366),G366&gt;0),('계산 과정'!$E$56+'계산 과정'!$E$57*D366+'계산 과정'!$E$58*E366)/F366,"")</x:f>
        <x:v>-4.640072311795542</x:v>
      </x:c>
      <x:c r="J366" s="4" t="n">
        <x:f>IF('계산 과정'!$L$5,'계산 과정'!$D$6+'계산 과정'!$C$35*D366+'계산 과정'!$D$35*E366,"")</x:f>
        <x:v>694.4474604685258</x:v>
      </x:c>
      <x:c r="K366" s="4" t="n">
        <x:f>IF(AND('계산 과정'!$L$6,J366&gt;0),'계산 과정'!$D$10*('계산 과정'!$C$38*(D366-'계산 과정'!$C$32)+'계산 과정'!$D$38*(E366-'계산 과정'!$D$32)-'계산 과정'!$E$38*'계산 과정'!$E$32)/J366,"")</x:f>
        <x:v>-0.5120325208019426</x:v>
      </x:c>
      <x:c r="L366" s="4" t="n">
        <x:f>IF(AND('계산 과정'!$L$6,J366&gt;0),'계산 과정'!$D$10*('계산 과정'!$C$39*(D366-'계산 과정'!$C$32)+'계산 과정'!$D$39*(E366-'계산 과정'!$D$32)-'계산 과정'!$E$39*'계산 과정'!$E$32)/J366,"")</x:f>
        <x:v>-0.03535293189939461</x:v>
      </x:c>
      <x:c r="M366" s="17" t="n">
        <x:f>IF('계산 과정'!$L$6,IF(J366&lt;=0,0,IF(AND(ABS(K366)&lt;='계산 과정'!$D$11/2,ABS(L366)&lt;='계산 과정'!$D$12/2),1,0)),"")</x:f>
        <x:v>1</x:v>
      </x:c>
      <x:c r="N366" s="17" t="n">
        <x:f>IF('계산 과정'!$C$78,IF(AND(ISNUMBER(H366),ISNUMBER(I366),ABS(H366-'계산 과정'!$C$88)&lt;='계산 과정'!$D$23/2,ABS(I366-'계산 과정'!$C$89)&lt;='계산 과정'!$D$24/2),1,0),"")</x:f>
        <x:v>1</x:v>
      </x:c>
      <x:c r="O366" s="4" t="n">
        <x:f>IF('계산 과정'!$L$7,'계산 과정'!$C$49*('계산 과정'!$C$32-D366)+'계산 과정'!$D$49*('계산 과정'!$D$32-E366)+'계산 과정'!$E$49*'계산 과정'!$E$32,"")</x:f>
        <x:v>-44.44746046852572</x:v>
      </x:c>
      <x:c r="P366" s="4" t="n">
        <x:f>IF(AND('계산 과정'!$L$7,O366&lt;&gt;0),('계산 과정'!$L$23-'계산 과정'!$C$49*D366-'계산 과정'!$D$49*E366)/O366,"")</x:f>
        <x:v>-7.999389296566205</x:v>
      </x:c>
      <x:c r="Q366" s="4" t="str">
        <x:f>IF(AND(ISNUMBER(P366),P366&gt;1E-9,P366&lt;1-1E-9),'계산 과정'!$C$47*(D366-'계산 과정'!$C$50+P366*('계산 과정'!$C$32-D366))+'계산 과정'!$D$47*(E366-'계산 과정'!$D$50+P366*('계산 과정'!$D$32-E366))+'계산 과정'!$E$47*(0-'계산 과정'!$E$50+P366*('계산 과정'!$E$32-0)),"")</x:f>
      </x:c>
      <x:c r="R366" s="4" t="str">
        <x:f>IF(AND(ISNUMBER(P366),P366&gt;1E-9,P366&lt;1-1E-9),'계산 과정'!$C$48*(D366-'계산 과정'!$C$50+P366*('계산 과정'!$C$32-D366))+'계산 과정'!$D$48*(E366-'계산 과정'!$D$50+P366*('계산 과정'!$D$32-E366))+'계산 과정'!$E$48*(0-'계산 과정'!$E$50+P366*('계산 과정'!$E$32-0)),"")</x:f>
      </x:c>
      <x:c r="S366" s="17" t="n">
        <x:f>IF('계산 과정'!$C$78,IF(AND(ISNUMBER(Q366),ISNUMBER(R366),ABS(Q366-'계산 과정'!$C$88)&lt;='계산 과정'!$D$23/2,ABS(R366-'계산 과정'!$C$89)&lt;='계산 과정'!$D$24/2),1,0),"")</x:f>
        <x:v>0</x:v>
      </x:c>
      <x:c r="T366" s="4"/>
      <x:c r="U366" s="4"/>
      <x:c r="V366" s="4"/>
      <x:c r="W366" s="4" t="n">
        <x:f>IF('계산 과정'!$C$78,'계산 과정'!$C$88+0.24*'계산 과정'!$D$23/2,"")</x:f>
        <x:v>91.12340425531903</x:v>
      </x:c>
      <x:c r="X366" s="4" t="str">
        <x:f>""</x:f>
      </x:c>
      <x:c r="Y366" s="4" t="n">
        <x:f>IF('계산 과정'!$C$78,'계산 과정'!$C$89+1*'계산 과정'!$D$24/2,"")</x:f>
        <x:v>260</x:v>
      </x:c>
      <x:c r="Z366" s="4" t="str">
        <x:f>""</x:f>
      </x:c>
    </x:row>
    <x:row r="367" ht="23" customHeight="1">
      <x:c r="A367" s="17" t="n">
        <x:f>ROW()-6</x:f>
        <x:v>361</x:v>
      </x:c>
      <x:c r="B367" s="4" t="n">
        <x:f>IF('계산 과정'!$L$5,'계산 과정'!$L$11*SQRT((A367+0.5)/'계산 과정'!$L$30),"")</x:f>
        <x:v>63.020295280072276</x:v>
      </x:c>
      <x:c r="C367" s="4" t="n">
        <x:f>A367*PI()*(3-SQRT(5))</x:f>
        <x:v>866.3867259320436</x:v>
      </x:c>
      <x:c r="D367" s="4" t="n">
        <x:f>IF('계산 과정'!$L$5,B367*COS(C367),"")</x:f>
        <x:v>48.48976983711382</x:v>
      </x:c>
      <x:c r="E367" s="4" t="n">
        <x:f>IF('계산 과정'!$L$5,B367*SIN(C367),"")</x:f>
        <x:v>-40.25294819427798</x:v>
      </x:c>
      <x:c r="F367" s="4" t="n">
        <x:f>IF('계산 과정'!$L$7,'계산 과정'!$L$22+'계산 과정'!$C$49*D367+'계산 과정'!$D$49*E367,"")</x:f>
        <x:v>615.7125549300019</x:v>
      </x:c>
      <x:c r="G367" s="4" t="n">
        <x:f>IF('계산 과정'!$L$7,IF(ABS(F367)&gt;=1E-12*MAX(1,SQRT((D367-'계산 과정'!$C$33)^2+(E367-'계산 과정'!$D$33)^2+'계산 과정'!$E$33^2)),('계산 과정'!$L$23-'계산 과정'!$C$49*D367-'계산 과정'!$D$49*E367)/F367,""),"")</x:f>
        <x:v>0.7053412206599727</x:v>
      </x:c>
      <x:c r="H367" s="4" t="n">
        <x:f>IF(AND(ISNUMBER(G367),G367&gt;0),('계산 과정'!$D$56+'계산 과정'!$D$57*D367+'계산 과정'!$D$58*E367)/F367,"")</x:f>
        <x:v>58.4717934289822</x:v>
      </x:c>
      <x:c r="I367" s="4" t="n">
        <x:f>IF(AND(ISNUMBER(G367),G367&gt;0),('계산 과정'!$E$56+'계산 과정'!$E$57*D367+'계산 과정'!$E$58*E367)/F367,"")</x:f>
        <x:v>-68.64501180879265</x:v>
      </x:c>
      <x:c r="J367" s="4" t="n">
        <x:f>IF('계산 과정'!$L$5,'계산 과정'!$D$6+'계산 과정'!$C$35*D367+'계산 과정'!$D$35*E367,"")</x:f>
        <x:v>615.7125549300019</x:v>
      </x:c>
      <x:c r="K367" s="4" t="n">
        <x:f>IF(AND('계산 과정'!$L$6,J367&gt;0),'계산 과정'!$D$10*('계산 과정'!$C$38*(D367-'계산 과정'!$C$32)+'계산 과정'!$D$38*(E367-'계산 과정'!$D$32)-'계산 과정'!$E$38*'계산 과정'!$E$32)/J367,"")</x:f>
        <x:v>0.44549937850653215</x:v>
      </x:c>
      <x:c r="L367" s="4" t="n">
        <x:f>IF(AND('계산 과정'!$L$6,J367&gt;0),'계산 과정'!$D$10*('계산 과정'!$C$39*(D367-'계산 과정'!$C$32)+'계산 과정'!$D$39*(E367-'계산 과정'!$D$32)-'계산 과정'!$E$39*'계산 과정'!$E$32)/J367,"")</x:f>
        <x:v>-0.5230096137812773</x:v>
      </x:c>
      <x:c r="M367" s="17" t="n">
        <x:f>IF('계산 과정'!$L$6,IF(J367&lt;=0,0,IF(AND(ABS(K367)&lt;='계산 과정'!$D$11/2,ABS(L367)&lt;='계산 과정'!$D$12/2),1,0)),"")</x:f>
        <x:v>1</x:v>
      </x:c>
      <x:c r="N367" s="17" t="n">
        <x:f>IF('계산 과정'!$C$78,IF(AND(ISNUMBER(H367),ISNUMBER(I367),ABS(H367-'계산 과정'!$C$88)&lt;='계산 과정'!$D$23/2,ABS(I367-'계산 과정'!$C$89)&lt;='계산 과정'!$D$24/2),1,0),"")</x:f>
        <x:v>1</x:v>
      </x:c>
      <x:c r="O367" s="4" t="n">
        <x:f>IF('계산 과정'!$L$7,'계산 과정'!$C$49*('계산 과정'!$C$32-D367)+'계산 과정'!$D$49*('계산 과정'!$D$32-E367)+'계산 과정'!$E$49*'계산 과정'!$E$32,"")</x:f>
        <x:v>34.28744506999823</x:v>
      </x:c>
      <x:c r="P367" s="4" t="n">
        <x:f>IF(AND('계산 과정'!$L$7,O367&lt;&gt;0),('계산 과정'!$L$23-'계산 과정'!$C$49*D367-'계산 과정'!$D$49*E367)/O367,"")</x:f>
        <x:v>12.666077748965987</x:v>
      </x:c>
      <x:c r="Q367" s="4" t="str">
        <x:f>IF(AND(ISNUMBER(P367),P367&gt;1E-9,P367&lt;1-1E-9),'계산 과정'!$C$47*(D367-'계산 과정'!$C$50+P367*('계산 과정'!$C$32-D367))+'계산 과정'!$D$47*(E367-'계산 과정'!$D$50+P367*('계산 과정'!$D$32-E367))+'계산 과정'!$E$47*(0-'계산 과정'!$E$50+P367*('계산 과정'!$E$32-0)),"")</x:f>
      </x:c>
      <x:c r="R367" s="4" t="str">
        <x:f>IF(AND(ISNUMBER(P367),P367&gt;1E-9,P367&lt;1-1E-9),'계산 과정'!$C$48*(D367-'계산 과정'!$C$50+P367*('계산 과정'!$C$32-D367))+'계산 과정'!$D$48*(E367-'계산 과정'!$D$50+P367*('계산 과정'!$D$32-E367))+'계산 과정'!$E$48*(0-'계산 과정'!$E$50+P367*('계산 과정'!$E$32-0)),"")</x:f>
      </x:c>
      <x:c r="S367" s="17" t="n">
        <x:f>IF('계산 과정'!$C$78,IF(AND(ISNUMBER(Q367),ISNUMBER(R367),ABS(Q367-'계산 과정'!$C$88)&lt;='계산 과정'!$D$23/2,ABS(R367-'계산 과정'!$C$89)&lt;='계산 과정'!$D$24/2),1,0),"")</x:f>
        <x:v>0</x:v>
      </x:c>
      <x:c r="T367" s="4"/>
      <x:c r="U367" s="4"/>
      <x:c r="V367" s="4"/>
      <x:c r="W367" s="4" t="n">
        <x:f>IF('계산 과정'!$C$78,'계산 과정'!$C$88+0.19999999999999996*'계산 과정'!$D$23/2,"")</x:f>
        <x:v>80.72340425531901</x:v>
      </x:c>
      <x:c r="X367" s="4" t="str">
        <x:f>""</x:f>
      </x:c>
      <x:c r="Y367" s="4" t="n">
        <x:f>IF('계산 과정'!$C$78,'계산 과정'!$C$89+1*'계산 과정'!$D$24/2,"")</x:f>
        <x:v>260</x:v>
      </x:c>
      <x:c r="Z367" s="4" t="str">
        <x:f>""</x:f>
      </x:c>
    </x:row>
    <x:row r="368" ht="23" customHeight="1">
      <x:c r="A368" s="17" t="n">
        <x:f>ROW()-6</x:f>
        <x:v>362</x:v>
      </x:c>
      <x:c r="B368" s="4" t="n">
        <x:f>IF('계산 과정'!$L$5,'계산 과정'!$L$11*SQRT((A368+0.5)/'계산 과정'!$L$30),"")</x:f>
        <x:v>63.107400083607466</x:v>
      </x:c>
      <x:c r="C368" s="4" t="n">
        <x:f>A368*PI()*(3-SQRT(5))</x:f>
        <x:v>868.7866891617723</x:v>
      </x:c>
      <x:c r="D368" s="4" t="n">
        <x:f>IF('계산 과정'!$L$5,B368*COS(C368),"")</x:f>
        <x:v>-8.576208785296812</x:v>
      </x:c>
      <x:c r="E368" s="4" t="n">
        <x:f>IF('계산 과정'!$L$5,B368*SIN(C368),"")</x:f>
        <x:v>62.52193685566289</x:v>
      </x:c>
      <x:c r="F368" s="4" t="n">
        <x:f>IF('계산 과정'!$L$7,'계산 과정'!$L$22+'계산 과정'!$C$49*D368+'계산 과정'!$D$49*E368,"")</x:f>
        <x:v>656.064295388955</x:v>
      </x:c>
      <x:c r="G368" s="4" t="n">
        <x:f>IF('계산 과정'!$L$7,IF(ABS(F368)&gt;=1E-12*MAX(1,SQRT((D368-'계산 과정'!$C$33)^2+(E368-'계산 과정'!$D$33)^2+'계산 과정'!$E$33^2)),('계산 과정'!$L$23-'계산 과정'!$C$49*D368-'계산 과정'!$D$49*E368)/F368,""),"")</x:f>
        <x:v>0.6004528936870369</x:v>
      </x:c>
      <x:c r="H368" s="4" t="n">
        <x:f>IF(AND(ISNUMBER(G368),G368&gt;0),('계산 과정'!$D$56+'계산 과정'!$D$57*D368+'계산 과정'!$D$58*E368)/F368,"")</x:f>
        <x:v>-9.70561910342613</x:v>
      </x:c>
      <x:c r="I368" s="4" t="n">
        <x:f>IF(AND(ISNUMBER(G368),G368&gt;0),('계산 과정'!$E$56+'계산 과정'!$E$57*D368+'계산 과정'!$E$58*E368)/F368,"")</x:f>
        <x:v>100.06341475956387</x:v>
      </x:c>
      <x:c r="J368" s="4" t="n">
        <x:f>IF('계산 과정'!$L$5,'계산 과정'!$D$6+'계산 과정'!$C$35*D368+'계산 과정'!$D$35*E368,"")</x:f>
        <x:v>656.064295388955</x:v>
      </x:c>
      <x:c r="K368" s="4" t="n">
        <x:f>IF(AND('계산 과정'!$L$6,J368&gt;0),'계산 과정'!$D$10*('계산 과정'!$C$38*(D368-'계산 과정'!$C$32)+'계산 과정'!$D$38*(E368-'계산 과정'!$D$32)-'계산 과정'!$E$38*'계산 과정'!$E$32)/J368,"")</x:f>
        <x:v>-0.07394757412134052</x:v>
      </x:c>
      <x:c r="L368" s="4" t="n">
        <x:f>IF(AND('계산 과정'!$L$6,J368&gt;0),'계산 과정'!$D$10*('계산 과정'!$C$39*(D368-'계산 과정'!$C$32)+'계산 과정'!$D$39*(E368-'계산 과정'!$D$32)-'계산 과정'!$E$39*'계산 과정'!$E$32)/J368,"")</x:f>
        <x:v>0.7623879219776295</x:v>
      </x:c>
      <x:c r="M368" s="17" t="n">
        <x:f>IF('계산 과정'!$L$6,IF(J368&lt;=0,0,IF(AND(ABS(K368)&lt;='계산 과정'!$D$11/2,ABS(L368)&lt;='계산 과정'!$D$12/2),1,0)),"")</x:f>
        <x:v>1</x:v>
      </x:c>
      <x:c r="N368" s="17" t="n">
        <x:f>IF('계산 과정'!$C$78,IF(AND(ISNUMBER(H368),ISNUMBER(I368),ABS(H368-'계산 과정'!$C$88)&lt;='계산 과정'!$D$23/2,ABS(I368-'계산 과정'!$C$89)&lt;='계산 과정'!$D$24/2),1,0),"")</x:f>
        <x:v>1</x:v>
      </x:c>
      <x:c r="O368" s="4" t="n">
        <x:f>IF('계산 과정'!$L$7,'계산 과정'!$C$49*('계산 과정'!$C$32-D368)+'계산 과정'!$D$49*('계산 과정'!$D$32-E368)+'계산 과정'!$E$49*'계산 과정'!$E$32,"")</x:f>
        <x:v>-6.064295388954861</x:v>
      </x:c>
      <x:c r="P368" s="4" t="n">
        <x:f>IF(AND('계산 과정'!$L$7,O368&lt;&gt;0),('계산 과정'!$L$23-'계산 과정'!$C$49*D368-'계산 과정'!$D$49*E368)/O368,"")</x:f>
        <x:v>-64.95984765658605</x:v>
      </x:c>
      <x:c r="Q368" s="4" t="str">
        <x:f>IF(AND(ISNUMBER(P368),P368&gt;1E-9,P368&lt;1-1E-9),'계산 과정'!$C$47*(D368-'계산 과정'!$C$50+P368*('계산 과정'!$C$32-D368))+'계산 과정'!$D$47*(E368-'계산 과정'!$D$50+P368*('계산 과정'!$D$32-E368))+'계산 과정'!$E$47*(0-'계산 과정'!$E$50+P368*('계산 과정'!$E$32-0)),"")</x:f>
      </x:c>
      <x:c r="R368" s="4" t="str">
        <x:f>IF(AND(ISNUMBER(P368),P368&gt;1E-9,P368&lt;1-1E-9),'계산 과정'!$C$48*(D368-'계산 과정'!$C$50+P368*('계산 과정'!$C$32-D368))+'계산 과정'!$D$48*(E368-'계산 과정'!$D$50+P368*('계산 과정'!$D$32-E368))+'계산 과정'!$E$48*(0-'계산 과정'!$E$50+P368*('계산 과정'!$E$32-0)),"")</x:f>
      </x:c>
      <x:c r="S368" s="17" t="n">
        <x:f>IF('계산 과정'!$C$78,IF(AND(ISNUMBER(Q368),ISNUMBER(R368),ABS(Q368-'계산 과정'!$C$88)&lt;='계산 과정'!$D$23/2,ABS(R368-'계산 과정'!$C$89)&lt;='계산 과정'!$D$24/2),1,0),"")</x:f>
        <x:v>0</x:v>
      </x:c>
      <x:c r="T368" s="4"/>
      <x:c r="U368" s="4"/>
      <x:c r="V368" s="4"/>
      <x:c r="W368" s="4" t="n">
        <x:f>IF('계산 과정'!$C$78,'계산 과정'!$C$88+0.16000000000000003*'계산 과정'!$D$23/2,"")</x:f>
        <x:v>70.32340425531903</x:v>
      </x:c>
      <x:c r="X368" s="4" t="str">
        <x:f>""</x:f>
      </x:c>
      <x:c r="Y368" s="4" t="n">
        <x:f>IF('계산 과정'!$C$78,'계산 과정'!$C$89+1*'계산 과정'!$D$24/2,"")</x:f>
        <x:v>260</x:v>
      </x:c>
      <x:c r="Z368" s="4" t="str">
        <x:f>""</x:f>
      </x:c>
    </x:row>
    <x:row r="369" ht="23" customHeight="1">
      <x:c r="A369" s="17" t="n">
        <x:f>ROW()-6</x:f>
        <x:v>363</x:v>
      </x:c>
      <x:c r="B369" s="4" t="n">
        <x:f>IF('계산 과정'!$L$5,'계산 과정'!$L$11*SQRT((A369+0.5)/'계산 과정'!$L$30),"")</x:f>
        <x:v>63.194384825216076</x:v>
      </x:c>
      <x:c r="C369" s="4" t="n">
        <x:f>A369*PI()*(3-SQRT(5))</x:f>
        <x:v>871.1866523915011</x:v>
      </x:c>
      <x:c r="D369" s="4" t="n">
        <x:f>IF('계산 과정'!$L$5,B369*COS(C369),"")</x:f>
        <x:v>-35.95862780011577</x:v>
      </x:c>
      <x:c r="E369" s="4" t="n">
        <x:f>IF('계산 과정'!$L$5,B369*SIN(C369),"")</x:f>
        <x:v>-51.96640607325315</x:v>
      </x:c>
      <x:c r="F369" s="4" t="n">
        <x:f>IF('계산 과정'!$L$7,'계산 과정'!$L$22+'계산 과정'!$C$49*D369+'계산 과정'!$D$49*E369,"")</x:f>
        <x:v>675.426589559625</x:v>
      </x:c>
      <x:c r="G369" s="4" t="n">
        <x:f>IF('계산 과정'!$L$7,IF(ABS(F369)&gt;=1E-12*MAX(1,SQRT((D369-'계산 과정'!$C$33)^2+(E369-'계산 과정'!$D$33)^2+'계산 과정'!$E$33^2)),('계산 과정'!$L$23-'계산 과정'!$C$49*D369-'계산 과정'!$D$49*E369)/F369,""),"")</x:f>
        <x:v>0.5545730894079772</x:v>
      </x:c>
      <x:c r="H369" s="4" t="n">
        <x:f>IF(AND(ISNUMBER(G369),G369&gt;0),('계산 과정'!$D$56+'계산 과정'!$D$57*D369+'계산 과정'!$D$58*E369)/F369,"")</x:f>
        <x:v>-39.52749188481492</x:v>
      </x:c>
      <x:c r="I369" s="4" t="n">
        <x:f>IF(AND(ISNUMBER(G369),G369&gt;0),('계산 과정'!$E$56+'계산 과정'!$E$57*D369+'계산 과정'!$E$58*E369)/F369,"")</x:f>
        <x:v>-80.78557643472661</x:v>
      </x:c>
      <x:c r="J369" s="4" t="n">
        <x:f>IF('계산 과정'!$L$5,'계산 과정'!$D$6+'계산 과정'!$C$35*D369+'계산 과정'!$D$35*E369,"")</x:f>
        <x:v>675.426589559625</x:v>
      </x:c>
      <x:c r="K369" s="4" t="n">
        <x:f>IF(AND('계산 과정'!$L$6,J369&gt;0),'계산 과정'!$D$10*('계산 과정'!$C$38*(D369-'계산 과정'!$C$32)+'계산 과정'!$D$38*(E369-'계산 과정'!$D$32)-'계산 과정'!$E$38*'계산 과정'!$E$32)/J369,"")</x:f>
        <x:v>-0.3011618429319224</x:v>
      </x:c>
      <x:c r="L369" s="4" t="n">
        <x:f>IF(AND('계산 과정'!$L$6,J369&gt;0),'계산 과정'!$D$10*('계산 과정'!$C$39*(D369-'계산 과정'!$C$32)+'계산 과정'!$D$39*(E369-'계산 과정'!$D$32)-'계산 과정'!$E$39*'계산 과정'!$E$32)/J369,"")</x:f>
        <x:v>-0.6155091537883932</x:v>
      </x:c>
      <x:c r="M369" s="17" t="n">
        <x:f>IF('계산 과정'!$L$6,IF(J369&lt;=0,0,IF(AND(ABS(K369)&lt;='계산 과정'!$D$11/2,ABS(L369)&lt;='계산 과정'!$D$12/2),1,0)),"")</x:f>
        <x:v>1</x:v>
      </x:c>
      <x:c r="N369" s="17" t="n">
        <x:f>IF('계산 과정'!$C$78,IF(AND(ISNUMBER(H369),ISNUMBER(I369),ABS(H369-'계산 과정'!$C$88)&lt;='계산 과정'!$D$23/2,ABS(I369-'계산 과정'!$C$89)&lt;='계산 과정'!$D$24/2),1,0),"")</x:f>
        <x:v>1</x:v>
      </x:c>
      <x:c r="O369" s="4" t="n">
        <x:f>IF('계산 과정'!$L$7,'계산 과정'!$C$49*('계산 과정'!$C$32-D369)+'계산 과정'!$D$49*('계산 과정'!$D$32-E369)+'계산 과정'!$E$49*'계산 과정'!$E$32,"")</x:f>
        <x:v>-25.42658955962486</x:v>
      </x:c>
      <x:c r="P369" s="4" t="n">
        <x:f>IF(AND('계산 과정'!$L$7,O369&lt;&gt;0),('계산 과정'!$L$23-'계산 과정'!$C$49*D369-'계산 과정'!$D$49*E369)/O369,"")</x:f>
        <x:v>-14.731563175706583</x:v>
      </x:c>
      <x:c r="Q369" s="4" t="str">
        <x:f>IF(AND(ISNUMBER(P369),P369&gt;1E-9,P369&lt;1-1E-9),'계산 과정'!$C$47*(D369-'계산 과정'!$C$50+P369*('계산 과정'!$C$32-D369))+'계산 과정'!$D$47*(E369-'계산 과정'!$D$50+P369*('계산 과정'!$D$32-E369))+'계산 과정'!$E$47*(0-'계산 과정'!$E$50+P369*('계산 과정'!$E$32-0)),"")</x:f>
      </x:c>
      <x:c r="R369" s="4" t="str">
        <x:f>IF(AND(ISNUMBER(P369),P369&gt;1E-9,P369&lt;1-1E-9),'계산 과정'!$C$48*(D369-'계산 과정'!$C$50+P369*('계산 과정'!$C$32-D369))+'계산 과정'!$D$48*(E369-'계산 과정'!$D$50+P369*('계산 과정'!$D$32-E369))+'계산 과정'!$E$48*(0-'계산 과정'!$E$50+P369*('계산 과정'!$E$32-0)),"")</x:f>
      </x:c>
      <x:c r="S369" s="17" t="n">
        <x:f>IF('계산 과정'!$C$78,IF(AND(ISNUMBER(Q369),ISNUMBER(R369),ABS(Q369-'계산 과정'!$C$88)&lt;='계산 과정'!$D$23/2,ABS(R369-'계산 과정'!$C$89)&lt;='계산 과정'!$D$24/2),1,0),"")</x:f>
        <x:v>0</x:v>
      </x:c>
      <x:c r="T369" s="4"/>
      <x:c r="U369" s="4"/>
      <x:c r="V369" s="4"/>
      <x:c r="W369" s="4" t="n">
        <x:f>IF('계산 과정'!$C$78,'계산 과정'!$C$88+0.12*'계산 과정'!$D$23/2,"")</x:f>
        <x:v>59.92340425531903</x:v>
      </x:c>
      <x:c r="X369" s="4" t="str">
        <x:f>""</x:f>
      </x:c>
      <x:c r="Y369" s="4" t="n">
        <x:f>IF('계산 과정'!$C$78,'계산 과정'!$C$89+1*'계산 과정'!$D$24/2,"")</x:f>
        <x:v>260</x:v>
      </x:c>
      <x:c r="Z369" s="4" t="str">
        <x:f>""</x:f>
      </x:c>
    </x:row>
    <x:row r="370" ht="23" customHeight="1">
      <x:c r="A370" s="17" t="n">
        <x:f>ROW()-6</x:f>
        <x:v>364</x:v>
      </x:c>
      <x:c r="B370" s="4" t="n">
        <x:f>IF('계산 과정'!$L$5,'계산 과정'!$L$11*SQRT((A370+0.5)/'계산 과정'!$L$30),"")</x:f>
        <x:v>63.28125</x:v>
      </x:c>
      <x:c r="C370" s="4" t="n">
        <x:f>A370*PI()*(3-SQRT(5))</x:f>
        <x:v>873.5866156212296</x:v>
      </x:c>
      <x:c r="D370" s="4" t="n">
        <x:f>IF('계산 과정'!$L$5,B370*COS(C370),"")</x:f>
        <x:v>61.70227370725042</x:v>
      </x:c>
      <x:c r="E370" s="4" t="n">
        <x:f>IF('계산 과정'!$L$5,B370*SIN(C370),"")</x:f>
        <x:v>14.047989924471528</x:v>
      </x:c>
      <x:c r="F370" s="4" t="n">
        <x:f>IF('계산 과정'!$L$7,'계산 과정'!$L$22+'계산 과정'!$C$49*D370+'계산 과정'!$D$49*E370,"")</x:f>
        <x:v>606.3699038469748</x:v>
      </x:c>
      <x:c r="G370" s="4" t="n">
        <x:f>IF('계산 과정'!$L$7,IF(ABS(F370)&gt;=1E-12*MAX(1,SQRT((D370-'계산 과정'!$C$33)^2+(E370-'계산 과정'!$D$33)^2+'계산 과정'!$E$33^2)),('계산 과정'!$L$23-'계산 과정'!$C$49*D370-'계산 과정'!$D$49*E370)/F370,""),"")</x:f>
        <x:v>0.7316162846119436</x:v>
      </x:c>
      <x:c r="H370" s="4" t="n">
        <x:f>IF(AND(ISNUMBER(G370),G370&gt;0),('계산 과정'!$D$56+'계산 과정'!$D$57*D370+'계산 과정'!$D$58*E370)/F370,"")</x:f>
        <x:v>75.55058499776322</x:v>
      </x:c>
      <x:c r="I370" s="4" t="n">
        <x:f>IF(AND(ISNUMBER(G370),G370&gt;0),('계산 과정'!$E$56+'계산 과정'!$E$57*D370+'계산 과정'!$E$58*E370)/F370,"")</x:f>
        <x:v>24.325728119279404</x:v>
      </x:c>
      <x:c r="J370" s="4" t="n">
        <x:f>IF('계산 과정'!$L$5,'계산 과정'!$D$6+'계산 과정'!$C$35*D370+'계산 과정'!$D$35*E370,"")</x:f>
        <x:v>606.3699038469748</x:v>
      </x:c>
      <x:c r="K370" s="4" t="n">
        <x:f>IF(AND('계산 과정'!$L$6,J370&gt;0),'계산 과정'!$D$10*('계산 과정'!$C$38*(D370-'계산 과정'!$C$32)+'계산 과정'!$D$38*(E370-'계산 과정'!$D$32)-'계산 과정'!$E$38*'계산 과정'!$E$32)/J370,"")</x:f>
        <x:v>0.5756235047448636</x:v>
      </x:c>
      <x:c r="L370" s="4" t="n">
        <x:f>IF(AND('계산 과정'!$L$6,J370&gt;0),'계산 과정'!$D$10*('계산 과정'!$C$39*(D370-'계산 과정'!$C$32)+'계산 과정'!$D$39*(E370-'계산 과정'!$D$32)-'계산 과정'!$E$39*'계산 과정'!$E$32)/J370,"")</x:f>
        <x:v>0.18533888090879547</x:v>
      </x:c>
      <x:c r="M370" s="17" t="n">
        <x:f>IF('계산 과정'!$L$6,IF(J370&lt;=0,0,IF(AND(ABS(K370)&lt;='계산 과정'!$D$11/2,ABS(L370)&lt;='계산 과정'!$D$12/2),1,0)),"")</x:f>
        <x:v>1</x:v>
      </x:c>
      <x:c r="N370" s="17" t="n">
        <x:f>IF('계산 과정'!$C$78,IF(AND(ISNUMBER(H370),ISNUMBER(I370),ABS(H370-'계산 과정'!$C$88)&lt;='계산 과정'!$D$23/2,ABS(I370-'계산 과정'!$C$89)&lt;='계산 과정'!$D$24/2),1,0),"")</x:f>
        <x:v>1</x:v>
      </x:c>
      <x:c r="O370" s="4" t="n">
        <x:f>IF('계산 과정'!$L$7,'계산 과정'!$C$49*('계산 과정'!$C$32-D370)+'계산 과정'!$D$49*('계산 과정'!$D$32-E370)+'계산 과정'!$E$49*'계산 과정'!$E$32,"")</x:f>
        <x:v>43.630096153025306</x:v>
      </x:c>
      <x:c r="P370" s="4" t="n">
        <x:f>IF(AND('계산 과정'!$L$7,O370&lt;&gt;0),('계산 과정'!$L$23-'계산 과정'!$C$49*D370-'계산 과정'!$D$49*E370)/O370,"")</x:f>
        <x:v>10.167983462540775</x:v>
      </x:c>
      <x:c r="Q370" s="4" t="str">
        <x:f>IF(AND(ISNUMBER(P370),P370&gt;1E-9,P370&lt;1-1E-9),'계산 과정'!$C$47*(D370-'계산 과정'!$C$50+P370*('계산 과정'!$C$32-D370))+'계산 과정'!$D$47*(E370-'계산 과정'!$D$50+P370*('계산 과정'!$D$32-E370))+'계산 과정'!$E$47*(0-'계산 과정'!$E$50+P370*('계산 과정'!$E$32-0)),"")</x:f>
      </x:c>
      <x:c r="R370" s="4" t="str">
        <x:f>IF(AND(ISNUMBER(P370),P370&gt;1E-9,P370&lt;1-1E-9),'계산 과정'!$C$48*(D370-'계산 과정'!$C$50+P370*('계산 과정'!$C$32-D370))+'계산 과정'!$D$48*(E370-'계산 과정'!$D$50+P370*('계산 과정'!$D$32-E370))+'계산 과정'!$E$48*(0-'계산 과정'!$E$50+P370*('계산 과정'!$E$32-0)),"")</x:f>
      </x:c>
      <x:c r="S370" s="17" t="n">
        <x:f>IF('계산 과정'!$C$78,IF(AND(ISNUMBER(Q370),ISNUMBER(R370),ABS(Q370-'계산 과정'!$C$88)&lt;='계산 과정'!$D$23/2,ABS(R370-'계산 과정'!$C$89)&lt;='계산 과정'!$D$24/2),1,0),"")</x:f>
        <x:v>0</x:v>
      </x:c>
      <x:c r="T370" s="4"/>
      <x:c r="U370" s="4"/>
      <x:c r="V370" s="4"/>
      <x:c r="W370" s="4" t="n">
        <x:f>IF('계산 과정'!$C$78,'계산 과정'!$C$88+0.07999999999999996*'계산 과정'!$D$23/2,"")</x:f>
        <x:v>49.523404255319015</x:v>
      </x:c>
      <x:c r="X370" s="4" t="str">
        <x:f>""</x:f>
      </x:c>
      <x:c r="Y370" s="4" t="n">
        <x:f>IF('계산 과정'!$C$78,'계산 과정'!$C$89+1*'계산 과정'!$D$24/2,"")</x:f>
        <x:v>260</x:v>
      </x:c>
      <x:c r="Z370" s="4" t="str">
        <x:f>""</x:f>
      </x:c>
    </x:row>
    <x:row r="371" ht="23" customHeight="1">
      <x:c r="A371" s="17" t="n">
        <x:f>ROW()-6</x:f>
        <x:v>365</x:v>
      </x:c>
      <x:c r="B371" s="4" t="n">
        <x:f>IF('계산 과정'!$L$5,'계산 과정'!$L$11*SQRT((A371+0.5)/'계산 과정'!$L$30),"")</x:f>
        <x:v>63.36799609966769</x:v>
      </x:c>
      <x:c r="C371" s="4" t="n">
        <x:f>A371*PI()*(3-SQRT(5))</x:f>
        <x:v>875.9865788509584</x:v>
      </x:c>
      <x:c r="D371" s="4" t="n">
        <x:f>IF('계산 과정'!$L$5,B371*COS(C371),"")</x:f>
        <x:v>-55.06199298201486</x:v>
      </x:c>
      <x:c r="E371" s="4" t="n">
        <x:f>IF('계산 과정'!$L$5,B371*SIN(C371),"")</x:f>
        <x:v>31.36367099904038</x:v>
      </x:c>
      <x:c r="F371" s="4" t="n">
        <x:f>IF('계산 과정'!$L$7,'계산 과정'!$L$22+'계산 과정'!$C$49*D371+'계산 과정'!$D$49*E371,"")</x:f>
        <x:v>688.9347086232287</x:v>
      </x:c>
      <x:c r="G371" s="4" t="n">
        <x:f>IF('계산 과정'!$L$7,IF(ABS(F371)&gt;=1E-12*MAX(1,SQRT((D371-'계산 과정'!$C$33)^2+(E371-'계산 과정'!$D$33)^2+'계산 과정'!$E$33^2)),('계산 과정'!$L$23-'계산 과정'!$C$49*D371-'계산 과정'!$D$49*E371)/F371,""),"")</x:f>
        <x:v>0.5240921771793531</x:v>
      </x:c>
      <x:c r="H371" s="4" t="n">
        <x:f>IF(AND(ISNUMBER(G371),G371&gt;0),('계산 과정'!$D$56+'계산 과정'!$D$57*D371+'계산 과정'!$D$58*E371)/F371,"")</x:f>
        <x:v>-59.34008483342063</x:v>
      </x:c>
      <x:c r="I371" s="4" t="n">
        <x:f>IF(AND(ISNUMBER(G371),G371&gt;0),('계산 과정'!$E$56+'계산 과정'!$E$57*D371+'계산 과정'!$E$58*E371)/F371,"")</x:f>
        <x:v>47.80112561726439</x:v>
      </x:c>
      <x:c r="J371" s="4" t="n">
        <x:f>IF('계산 과정'!$L$5,'계산 과정'!$D$6+'계산 과정'!$C$35*D371+'계산 과정'!$D$35*E371,"")</x:f>
        <x:v>688.9347086232287</x:v>
      </x:c>
      <x:c r="K371" s="4" t="n">
        <x:f>IF(AND('계산 과정'!$L$6,J371&gt;0),'계산 과정'!$D$10*('계산 과정'!$C$38*(D371-'계산 과정'!$C$32)+'계산 과정'!$D$38*(E371-'계산 과정'!$D$32)-'계산 과정'!$E$38*'계산 과정'!$E$32)/J371,"")</x:f>
        <x:v>-0.4521149320641563</x:v>
      </x:c>
      <x:c r="L371" s="4" t="n">
        <x:f>IF(AND('계산 과정'!$L$6,J371&gt;0),'계산 과정'!$D$10*('계산 과정'!$C$39*(D371-'계산 과정'!$C$32)+'계산 과정'!$D$39*(E371-'계산 과정'!$D$32)-'계산 과정'!$E$39*'계산 과정'!$E$32)/J371,"")</x:f>
        <x:v>0.36419905232201444</x:v>
      </x:c>
      <x:c r="M371" s="17" t="n">
        <x:f>IF('계산 과정'!$L$6,IF(J371&lt;=0,0,IF(AND(ABS(K371)&lt;='계산 과정'!$D$11/2,ABS(L371)&lt;='계산 과정'!$D$12/2),1,0)),"")</x:f>
        <x:v>1</x:v>
      </x:c>
      <x:c r="N371" s="17" t="n">
        <x:f>IF('계산 과정'!$C$78,IF(AND(ISNUMBER(H371),ISNUMBER(I371),ABS(H371-'계산 과정'!$C$88)&lt;='계산 과정'!$D$23/2,ABS(I371-'계산 과정'!$C$89)&lt;='계산 과정'!$D$24/2),1,0),"")</x:f>
        <x:v>1</x:v>
      </x:c>
      <x:c r="O371" s="4" t="n">
        <x:f>IF('계산 과정'!$L$7,'계산 과정'!$C$49*('계산 과정'!$C$32-D371)+'계산 과정'!$D$49*('계산 과정'!$D$32-E371)+'계산 과정'!$E$49*'계산 과정'!$E$32,"")</x:f>
        <x:v>-38.93470862322869</x:v>
      </x:c>
      <x:c r="P371" s="4" t="n">
        <x:f>IF(AND('계산 과정'!$L$7,O371&lt;&gt;0),('계산 과정'!$L$23-'계산 과정'!$C$49*D371-'계산 과정'!$D$49*E371)/O371,"")</x:f>
        <x:v>-9.273609695421156</x:v>
      </x:c>
      <x:c r="Q371" s="4" t="str">
        <x:f>IF(AND(ISNUMBER(P371),P371&gt;1E-9,P371&lt;1-1E-9),'계산 과정'!$C$47*(D371-'계산 과정'!$C$50+P371*('계산 과정'!$C$32-D371))+'계산 과정'!$D$47*(E371-'계산 과정'!$D$50+P371*('계산 과정'!$D$32-E371))+'계산 과정'!$E$47*(0-'계산 과정'!$E$50+P371*('계산 과정'!$E$32-0)),"")</x:f>
      </x:c>
      <x:c r="R371" s="4" t="str">
        <x:f>IF(AND(ISNUMBER(P371),P371&gt;1E-9,P371&lt;1-1E-9),'계산 과정'!$C$48*(D371-'계산 과정'!$C$50+P371*('계산 과정'!$C$32-D371))+'계산 과정'!$D$48*(E371-'계산 과정'!$D$50+P371*('계산 과정'!$D$32-E371))+'계산 과정'!$E$48*(0-'계산 과정'!$E$50+P371*('계산 과정'!$E$32-0)),"")</x:f>
      </x:c>
      <x:c r="S371" s="17" t="n">
        <x:f>IF('계산 과정'!$C$78,IF(AND(ISNUMBER(Q371),ISNUMBER(R371),ABS(Q371-'계산 과정'!$C$88)&lt;='계산 과정'!$D$23/2,ABS(R371-'계산 과정'!$C$89)&lt;='계산 과정'!$D$24/2),1,0),"")</x:f>
        <x:v>0</x:v>
      </x:c>
      <x:c r="T371" s="4"/>
      <x:c r="U371" s="4"/>
      <x:c r="V371" s="4"/>
      <x:c r="W371" s="4" t="n">
        <x:f>IF('계산 과정'!$C$78,'계산 과정'!$C$88+0.040000000000000036*'계산 과정'!$D$23/2,"")</x:f>
        <x:v>39.12340425531903</x:v>
      </x:c>
      <x:c r="X371" s="4" t="str">
        <x:f>""</x:f>
      </x:c>
      <x:c r="Y371" s="4" t="n">
        <x:f>IF('계산 과정'!$C$78,'계산 과정'!$C$89+1*'계산 과정'!$D$24/2,"")</x:f>
        <x:v>260</x:v>
      </x:c>
      <x:c r="Z371" s="4" t="str">
        <x:f>""</x:f>
      </x:c>
    </x:row>
    <x:row r="372" ht="23" customHeight="1">
      <x:c r="A372" s="17" t="n">
        <x:f>ROW()-6</x:f>
        <x:v>366</x:v>
      </x:c>
      <x:c r="B372" s="4" t="n">
        <x:f>IF('계산 과정'!$L$5,'계산 과정'!$L$11*SQRT((A372+0.5)/'계산 과정'!$L$30),"")</x:f>
        <x:v>63.45462361256664</x:v>
      </x:c>
      <x:c r="C372" s="4" t="n">
        <x:f>A372*PI()*(3-SQRT(5))</x:f>
        <x:v>878.3865420806869</x:v>
      </x:c>
      <x:c r="D372" s="4" t="n">
        <x:f>IF('계산 과정'!$L$5,B372*COS(C372),"")</x:f>
        <x:v>19.44168620113739</x:v>
      </x:c>
      <x:c r="E372" s="4" t="n">
        <x:f>IF('계산 과정'!$L$5,B372*SIN(C372),"")</x:f>
        <x:v>-60.402898071773045</x:v>
      </x:c>
      <x:c r="F372" s="4" t="n">
        <x:f>IF('계산 과정'!$L$7,'계산 과정'!$L$22+'계산 과정'!$C$49*D372+'계산 과정'!$D$49*E372,"")</x:f>
        <x:v>636.2526518494748</x:v>
      </x:c>
      <x:c r="G372" s="4" t="n">
        <x:f>IF('계산 과정'!$L$7,IF(ABS(F372)&gt;=1E-12*MAX(1,SQRT((D372-'계산 과정'!$C$33)^2+(E372-'계산 과정'!$D$33)^2+'계산 과정'!$E$33^2)),('계산 과정'!$L$23-'계산 과정'!$C$49*D372-'계산 과정'!$D$49*E372)/F372,""),"")</x:f>
        <x:v>0.650287817186827</x:v>
      </x:c>
      <x:c r="H372" s="4" t="n">
        <x:f>IF(AND(ISNUMBER(G372),G372&gt;0),('계산 과정'!$D$56+'계산 과정'!$D$57*D372+'계산 과정'!$D$58*E372)/F372,"")</x:f>
        <x:v>22.68708117143745</x:v>
      </x:c>
      <x:c r="I372" s="4" t="n">
        <x:f>IF(AND(ISNUMBER(G372),G372&gt;0),('계산 과정'!$E$56+'계산 과정'!$E$57*D372+'계산 과정'!$E$58*E372)/F372,"")</x:f>
        <x:v>-99.68216681062475</x:v>
      </x:c>
      <x:c r="J372" s="4" t="n">
        <x:f>IF('계산 과정'!$L$5,'계산 과정'!$D$6+'계산 과정'!$C$35*D372+'계산 과정'!$D$35*E372,"")</x:f>
        <x:v>636.2526518494748</x:v>
      </x:c>
      <x:c r="K372" s="4" t="n">
        <x:f>IF(AND('계산 과정'!$L$6,J372&gt;0),'계산 과정'!$D$10*('계산 과정'!$C$38*(D372-'계산 과정'!$C$32)+'계산 과정'!$D$38*(E372-'계산 과정'!$D$32)-'계산 과정'!$E$38*'계산 과정'!$E$32)/J372,"")</x:f>
        <x:v>0.1728539517823813</x:v>
      </x:c>
      <x:c r="L372" s="4" t="n">
        <x:f>IF(AND('계산 과정'!$L$6,J372&gt;0),'계산 과정'!$D$10*('계산 과정'!$C$39*(D372-'계산 과정'!$C$32)+'계산 과정'!$D$39*(E372-'계산 과정'!$D$32)-'계산 과정'!$E$39*'계산 과정'!$E$32)/J372,"")</x:f>
        <x:v>-0.7594831756999981</x:v>
      </x:c>
      <x:c r="M372" s="17" t="n">
        <x:f>IF('계산 과정'!$L$6,IF(J372&lt;=0,0,IF(AND(ABS(K372)&lt;='계산 과정'!$D$11/2,ABS(L372)&lt;='계산 과정'!$D$12/2),1,0)),"")</x:f>
        <x:v>1</x:v>
      </x:c>
      <x:c r="N372" s="17" t="n">
        <x:f>IF('계산 과정'!$C$78,IF(AND(ISNUMBER(H372),ISNUMBER(I372),ABS(H372-'계산 과정'!$C$88)&lt;='계산 과정'!$D$23/2,ABS(I372-'계산 과정'!$C$89)&lt;='계산 과정'!$D$24/2),1,0),"")</x:f>
        <x:v>1</x:v>
      </x:c>
      <x:c r="O372" s="4" t="n">
        <x:f>IF('계산 과정'!$L$7,'계산 과정'!$C$49*('계산 과정'!$C$32-D372)+'계산 과정'!$D$49*('계산 과정'!$D$32-E372)+'계산 과정'!$E$49*'계산 과정'!$E$32,"")</x:f>
        <x:v>13.747348150525283</x:v>
      </x:c>
      <x:c r="P372" s="4" t="n">
        <x:f>IF(AND('계산 과정'!$L$7,O372&lt;&gt;0),('계산 과정'!$L$23-'계산 과정'!$C$49*D372-'계산 과정'!$D$49*E372)/O372,"")</x:f>
        <x:v>30.096520697682045</x:v>
      </x:c>
      <x:c r="Q372" s="4" t="str">
        <x:f>IF(AND(ISNUMBER(P372),P372&gt;1E-9,P372&lt;1-1E-9),'계산 과정'!$C$47*(D372-'계산 과정'!$C$50+P372*('계산 과정'!$C$32-D372))+'계산 과정'!$D$47*(E372-'계산 과정'!$D$50+P372*('계산 과정'!$D$32-E372))+'계산 과정'!$E$47*(0-'계산 과정'!$E$50+P372*('계산 과정'!$E$32-0)),"")</x:f>
      </x:c>
      <x:c r="R372" s="4" t="str">
        <x:f>IF(AND(ISNUMBER(P372),P372&gt;1E-9,P372&lt;1-1E-9),'계산 과정'!$C$48*(D372-'계산 과정'!$C$50+P372*('계산 과정'!$C$32-D372))+'계산 과정'!$D$48*(E372-'계산 과정'!$D$50+P372*('계산 과정'!$D$32-E372))+'계산 과정'!$E$48*(0-'계산 과정'!$E$50+P372*('계산 과정'!$E$32-0)),"")</x:f>
      </x:c>
      <x:c r="S372" s="17" t="n">
        <x:f>IF('계산 과정'!$C$78,IF(AND(ISNUMBER(Q372),ISNUMBER(R372),ABS(Q372-'계산 과정'!$C$88)&lt;='계산 과정'!$D$23/2,ABS(R372-'계산 과정'!$C$89)&lt;='계산 과정'!$D$24/2),1,0),"")</x:f>
        <x:v>0</x:v>
      </x:c>
      <x:c r="T372" s="4"/>
      <x:c r="U372" s="4"/>
      <x:c r="V372" s="4"/>
      <x:c r="W372" s="4" t="n">
        <x:f>IF('계산 과정'!$C$78,'계산 과정'!$C$88+0*'계산 과정'!$D$23/2,"")</x:f>
        <x:v>28.723404255319025</x:v>
      </x:c>
      <x:c r="X372" s="4" t="str">
        <x:f>""</x:f>
      </x:c>
      <x:c r="Y372" s="4" t="n">
        <x:f>IF('계산 과정'!$C$78,'계산 과정'!$C$89+1*'계산 과정'!$D$24/2,"")</x:f>
        <x:v>260</x:v>
      </x:c>
      <x:c r="Z372" s="4" t="str">
        <x:f>""</x:f>
      </x:c>
    </x:row>
    <x:row r="373" ht="23" customHeight="1">
      <x:c r="A373" s="17" t="n">
        <x:f>ROW()-6</x:f>
        <x:v>367</x:v>
      </x:c>
      <x:c r="B373" s="4" t="n">
        <x:f>IF('계산 과정'!$L$5,'계산 과정'!$L$11*SQRT((A373+0.5)/'계산 과정'!$L$30),"")</x:f>
        <x:v>63.54113302371543</x:v>
      </x:c>
      <x:c r="C373" s="4" t="n">
        <x:f>A373*PI()*(3-SQRT(5))</x:f>
        <x:v>880.7865053104157</x:v>
      </x:c>
      <x:c r="D373" s="4" t="n">
        <x:f>IF('계산 과정'!$L$5,B373*COS(C373),"")</x:f>
        <x:v>26.50195869938606</x:v>
      </x:c>
      <x:c r="E373" s="4" t="n">
        <x:f>IF('계산 과정'!$L$5,B373*SIN(C373),"")</x:f>
        <x:v>57.75051316684152</x:v>
      </x:c>
      <x:c r="F373" s="4" t="n">
        <x:f>IF('계산 과정'!$L$7,'계산 과정'!$L$22+'계산 과정'!$C$49*D373+'계산 과정'!$D$49*E373,"")</x:f>
        <x:v>631.2602852889383</x:v>
      </x:c>
      <x:c r="G373" s="4" t="n">
        <x:f>IF('계산 과정'!$L$7,IF(ABS(F373)&gt;=1E-12*MAX(1,SQRT((D373-'계산 과정'!$C$33)^2+(E373-'계산 과정'!$D$33)^2+'계산 과정'!$E$33^2)),('계산 과정'!$L$23-'계산 과정'!$C$49*D373-'계산 과정'!$D$49*E373)/F373,""),"")</x:f>
        <x:v>0.6633392349708767</x:v>
      </x:c>
      <x:c r="H373" s="4" t="n">
        <x:f>IF(AND(ISNUMBER(G373),G373&gt;0),('계산 과정'!$D$56+'계산 과정'!$D$57*D373+'계산 과정'!$D$58*E373)/F373,"")</x:f>
        <x:v>31.17050273106974</x:v>
      </x:c>
      <x:c r="I373" s="4" t="n">
        <x:f>IF(AND(ISNUMBER(G373),G373&gt;0),('계산 과정'!$E$56+'계산 과정'!$E$57*D373+'계산 과정'!$E$58*E373)/F373,"")</x:f>
        <x:v>96.05869439010971</x:v>
      </x:c>
      <x:c r="J373" s="4" t="n">
        <x:f>IF('계산 과정'!$L$5,'계산 과정'!$D$6+'계산 과정'!$C$35*D373+'계산 과정'!$D$35*E373,"")</x:f>
        <x:v>631.2602852889383</x:v>
      </x:c>
      <x:c r="K373" s="4" t="n">
        <x:f>IF(AND('계산 과정'!$L$6,J373&gt;0),'계산 과정'!$D$10*('계산 과정'!$C$38*(D373-'계산 과정'!$C$32)+'계산 과정'!$D$38*(E373-'계산 과정'!$D$32)-'계산 과정'!$E$38*'계산 과정'!$E$32)/J373,"")</x:f>
        <x:v>0.23748954461767516</x:v>
      </x:c>
      <x:c r="L373" s="4" t="n">
        <x:f>IF(AND('계산 과정'!$L$6,J373&gt;0),'계산 과정'!$D$10*('계산 과정'!$C$39*(D373-'계산 과정'!$C$32)+'계산 과정'!$D$39*(E373-'계산 과정'!$D$32)-'계산 과정'!$E$39*'계산 과정'!$E$32)/J373,"")</x:f>
        <x:v>0.7318757667817882</x:v>
      </x:c>
      <x:c r="M373" s="17" t="n">
        <x:f>IF('계산 과정'!$L$6,IF(J373&lt;=0,0,IF(AND(ABS(K373)&lt;='계산 과정'!$D$11/2,ABS(L373)&lt;='계산 과정'!$D$12/2),1,0)),"")</x:f>
        <x:v>1</x:v>
      </x:c>
      <x:c r="N373" s="17" t="n">
        <x:f>IF('계산 과정'!$C$78,IF(AND(ISNUMBER(H373),ISNUMBER(I373),ABS(H373-'계산 과정'!$C$88)&lt;='계산 과정'!$D$23/2,ABS(I373-'계산 과정'!$C$89)&lt;='계산 과정'!$D$24/2),1,0),"")</x:f>
        <x:v>1</x:v>
      </x:c>
      <x:c r="O373" s="4" t="n">
        <x:f>IF('계산 과정'!$L$7,'계산 과정'!$C$49*('계산 과정'!$C$32-D373)+'계산 과정'!$D$49*('계산 과정'!$D$32-E373)+'계산 과정'!$E$49*'계산 과정'!$E$32,"")</x:f>
        <x:v>18.739714711061822</x:v>
      </x:c>
      <x:c r="P373" s="4" t="n">
        <x:f>IF(AND('계산 과정'!$L$7,O373&lt;&gt;0),('계산 과정'!$L$23-'계산 과정'!$C$49*D373-'계산 과정'!$D$49*E373)/O373,"")</x:f>
        <x:v>22.34504212937056</x:v>
      </x:c>
      <x:c r="Q373" s="4" t="str">
        <x:f>IF(AND(ISNUMBER(P373),P373&gt;1E-9,P373&lt;1-1E-9),'계산 과정'!$C$47*(D373-'계산 과정'!$C$50+P373*('계산 과정'!$C$32-D373))+'계산 과정'!$D$47*(E373-'계산 과정'!$D$50+P373*('계산 과정'!$D$32-E373))+'계산 과정'!$E$47*(0-'계산 과정'!$E$50+P373*('계산 과정'!$E$32-0)),"")</x:f>
      </x:c>
      <x:c r="R373" s="4" t="str">
        <x:f>IF(AND(ISNUMBER(P373),P373&gt;1E-9,P373&lt;1-1E-9),'계산 과정'!$C$48*(D373-'계산 과정'!$C$50+P373*('계산 과정'!$C$32-D373))+'계산 과정'!$D$48*(E373-'계산 과정'!$D$50+P373*('계산 과정'!$D$32-E373))+'계산 과정'!$E$48*(0-'계산 과정'!$E$50+P373*('계산 과정'!$E$32-0)),"")</x:f>
      </x:c>
      <x:c r="S373" s="17" t="n">
        <x:f>IF('계산 과정'!$C$78,IF(AND(ISNUMBER(Q373),ISNUMBER(R373),ABS(Q373-'계산 과정'!$C$88)&lt;='계산 과정'!$D$23/2,ABS(R373-'계산 과정'!$C$89)&lt;='계산 과정'!$D$24/2),1,0),"")</x:f>
        <x:v>0</x:v>
      </x:c>
      <x:c r="T373" s="4"/>
      <x:c r="U373" s="4"/>
      <x:c r="V373" s="4"/>
      <x:c r="W373" s="4" t="n">
        <x:f>IF('계산 과정'!$C$78,'계산 과정'!$C$88+-0.040000000000000036*'계산 과정'!$D$23/2,"")</x:f>
        <x:v>18.323404255319016</x:v>
      </x:c>
      <x:c r="X373" s="4" t="str">
        <x:f>""</x:f>
      </x:c>
      <x:c r="Y373" s="4" t="n">
        <x:f>IF('계산 과정'!$C$78,'계산 과정'!$C$89+1*'계산 과정'!$D$24/2,"")</x:f>
        <x:v>260</x:v>
      </x:c>
      <x:c r="Z373" s="4" t="str">
        <x:f>""</x:f>
      </x:c>
    </x:row>
    <x:row r="374" ht="23" customHeight="1">
      <x:c r="A374" s="17" t="n">
        <x:f>ROW()-6</x:f>
        <x:v>368</x:v>
      </x:c>
      <x:c r="B374" s="4" t="n">
        <x:f>IF('계산 과정'!$L$5,'계산 과정'!$L$11*SQRT((A374+0.5)/'계산 과정'!$L$30),"")</x:f>
        <x:v>63.62752481483544</x:v>
      </x:c>
      <x:c r="C374" s="4" t="n">
        <x:f>A374*PI()*(3-SQRT(5))</x:f>
        <x:v>883.1864685401442</x:v>
      </x:c>
      <x:c r="D374" s="4" t="n">
        <x:f>IF('계산 과정'!$L$5,B374*COS(C374),"")</x:f>
        <x:v>-58.631238650149015</x:v>
      </x:c>
      <x:c r="E374" s="4" t="n">
        <x:f>IF('계산 과정'!$L$5,B374*SIN(C374),"")</x:f>
        <x:v>-24.71517283799107</x:v>
      </x:c>
      <x:c r="F374" s="4" t="n">
        <x:f>IF('계산 과정'!$L$7,'계산 과정'!$L$22+'계산 과정'!$C$49*D374+'계산 과정'!$D$49*E374,"")</x:f>
        <x:v>691.4585464388872</x:v>
      </x:c>
      <x:c r="G374" s="4" t="n">
        <x:f>IF('계산 과정'!$L$7,IF(ABS(F374)&gt;=1E-12*MAX(1,SQRT((D374-'계산 과정'!$C$33)^2+(E374-'계산 과정'!$D$33)^2+'계산 과정'!$E$33^2)),('계산 과정'!$L$23-'계산 과정'!$C$49*D374-'계산 과정'!$D$49*E374)/F374,""),"")</x:f>
        <x:v>0.5185292096072193</x:v>
      </x:c>
      <x:c r="H374" s="4" t="n">
        <x:f>IF(AND(ISNUMBER(G374),G374&gt;0),('계산 과정'!$D$56+'계산 과정'!$D$57*D374+'계산 과정'!$D$58*E374)/F374,"")</x:f>
        <x:v>-62.956013755307644</x:v>
      </x:c>
      <x:c r="I374" s="4" t="n">
        <x:f>IF(AND(ISNUMBER(G374),G374&gt;0),('계산 과정'!$E$56+'계산 과정'!$E$57*D374+'계산 과정'!$E$58*E374)/F374,"")</x:f>
        <x:v>-37.53071187498039</x:v>
      </x:c>
      <x:c r="J374" s="4" t="n">
        <x:f>IF('계산 과정'!$L$5,'계산 과정'!$D$6+'계산 과정'!$C$35*D374+'계산 과정'!$D$35*E374,"")</x:f>
        <x:v>691.4585464388872</x:v>
      </x:c>
      <x:c r="K374" s="4" t="n">
        <x:f>IF(AND('계산 과정'!$L$6,J374&gt;0),'계산 과정'!$D$10*('계산 과정'!$C$38*(D374-'계산 과정'!$C$32)+'계산 과정'!$D$38*(E374-'계산 과정'!$D$32)-'계산 과정'!$E$38*'계산 과정'!$E$32)/J374,"")</x:f>
        <x:v>-0.47966486670710523</x:v>
      </x:c>
      <x:c r="L374" s="4" t="n">
        <x:f>IF(AND('계산 과정'!$L$6,J374&gt;0),'계산 과정'!$D$10*('계산 과정'!$C$39*(D374-'계산 과정'!$C$32)+'계산 과정'!$D$39*(E374-'계산 과정'!$D$32)-'계산 과정'!$E$39*'계산 과정'!$E$32)/J374,"")</x:f>
        <x:v>-0.2859482809522315</x:v>
      </x:c>
      <x:c r="M374" s="17" t="n">
        <x:f>IF('계산 과정'!$L$6,IF(J374&lt;=0,0,IF(AND(ABS(K374)&lt;='계산 과정'!$D$11/2,ABS(L374)&lt;='계산 과정'!$D$12/2),1,0)),"")</x:f>
        <x:v>1</x:v>
      </x:c>
      <x:c r="N374" s="17" t="n">
        <x:f>IF('계산 과정'!$C$78,IF(AND(ISNUMBER(H374),ISNUMBER(I374),ABS(H374-'계산 과정'!$C$88)&lt;='계산 과정'!$D$23/2,ABS(I374-'계산 과정'!$C$89)&lt;='계산 과정'!$D$24/2),1,0),"")</x:f>
        <x:v>1</x:v>
      </x:c>
      <x:c r="O374" s="4" t="n">
        <x:f>IF('계산 과정'!$L$7,'계산 과정'!$C$49*('계산 과정'!$C$32-D374)+'계산 과정'!$D$49*('계산 과정'!$D$32-E374)+'계산 과정'!$E$49*'계산 과정'!$E$32,"")</x:f>
        <x:v>-41.45854643888708</x:v>
      </x:c>
      <x:c r="P374" s="4" t="n">
        <x:f>IF(AND('계산 과정'!$L$7,O374&lt;&gt;0),('계산 과정'!$L$23-'계산 과정'!$C$49*D374-'계산 과정'!$D$49*E374)/O374,"")</x:f>
        <x:v>-8.648191612063126</x:v>
      </x:c>
      <x:c r="Q374" s="4" t="str">
        <x:f>IF(AND(ISNUMBER(P374),P374&gt;1E-9,P374&lt;1-1E-9),'계산 과정'!$C$47*(D374-'계산 과정'!$C$50+P374*('계산 과정'!$C$32-D374))+'계산 과정'!$D$47*(E374-'계산 과정'!$D$50+P374*('계산 과정'!$D$32-E374))+'계산 과정'!$E$47*(0-'계산 과정'!$E$50+P374*('계산 과정'!$E$32-0)),"")</x:f>
      </x:c>
      <x:c r="R374" s="4" t="str">
        <x:f>IF(AND(ISNUMBER(P374),P374&gt;1E-9,P374&lt;1-1E-9),'계산 과정'!$C$48*(D374-'계산 과정'!$C$50+P374*('계산 과정'!$C$32-D374))+'계산 과정'!$D$48*(E374-'계산 과정'!$D$50+P374*('계산 과정'!$D$32-E374))+'계산 과정'!$E$48*(0-'계산 과정'!$E$50+P374*('계산 과정'!$E$32-0)),"")</x:f>
      </x:c>
      <x:c r="S374" s="17" t="n">
        <x:f>IF('계산 과정'!$C$78,IF(AND(ISNUMBER(Q374),ISNUMBER(R374),ABS(Q374-'계산 과정'!$C$88)&lt;='계산 과정'!$D$23/2,ABS(R374-'계산 과정'!$C$89)&lt;='계산 과정'!$D$24/2),1,0),"")</x:f>
        <x:v>0</x:v>
      </x:c>
      <x:c r="T374" s="4"/>
      <x:c r="U374" s="4"/>
      <x:c r="V374" s="4"/>
      <x:c r="W374" s="4" t="n">
        <x:f>IF('계산 과정'!$C$78,'계산 과정'!$C$88+-0.08000000000000007*'계산 과정'!$D$23/2,"")</x:f>
        <x:v>7.9234042553190065</x:v>
      </x:c>
      <x:c r="X374" s="4" t="str">
        <x:f>""</x:f>
      </x:c>
      <x:c r="Y374" s="4" t="n">
        <x:f>IF('계산 과정'!$C$78,'계산 과정'!$C$89+1*'계산 과정'!$D$24/2,"")</x:f>
        <x:v>260</x:v>
      </x:c>
      <x:c r="Z374" s="4" t="str">
        <x:f>""</x:f>
      </x:c>
    </x:row>
    <x:row r="375" ht="23" customHeight="1">
      <x:c r="A375" s="17" t="n">
        <x:f>ROW()-6</x:f>
        <x:v>369</x:v>
      </x:c>
      <x:c r="B375" s="4" t="n">
        <x:f>IF('계산 과정'!$L$5,'계산 과정'!$L$11*SQRT((A375+0.5)/'계산 과정'!$L$30),"")</x:f>
        <x:v>63.71379946438213</x:v>
      </x:c>
      <x:c r="C375" s="4" t="n">
        <x:f>A375*PI()*(3-SQRT(5))</x:f>
        <x:v>885.586431769873</x:v>
      </x:c>
      <x:c r="D375" s="4" t="n">
        <x:f>IF('계산 과정'!$L$5,B375*COS(C375),"")</x:f>
        <x:v>60.00896798610244</x:v>
      </x:c>
      <x:c r="E375" s="4" t="n">
        <x:f>IF('계산 과정'!$L$5,B375*SIN(C375),"")</x:f>
        <x:v>-21.409624084285852</x:v>
      </x:c>
      <x:c r="F375" s="4" t="n">
        <x:f>IF('계산 과정'!$L$7,'계산 과정'!$L$22+'계산 과정'!$C$49*D375+'계산 과정'!$D$49*E375,"")</x:f>
        <x:v>607.5672518050205</x:v>
      </x:c>
      <x:c r="G375" s="4" t="n">
        <x:f>IF('계산 과정'!$L$7,IF(ABS(F375)&gt;=1E-12*MAX(1,SQRT((D375-'계산 과정'!$C$33)^2+(E375-'계산 과정'!$D$33)^2+'계산 과정'!$E$33^2)),('계산 과정'!$L$23-'계산 과정'!$C$49*D375-'계산 과정'!$D$49*E375)/F375,""),"")</x:f>
        <x:v>0.7282037451501159</x:v>
      </x:c>
      <x:c r="H375" s="4" t="n">
        <x:f>IF(AND(ISNUMBER(G375),G375&gt;0),('계산 과정'!$D$56+'계산 과정'!$D$57*D375+'계산 과정'!$D$58*E375)/F375,"")</x:f>
        <x:v>73.33243434757524</x:v>
      </x:c>
      <x:c r="I375" s="4" t="n">
        <x:f>IF(AND(ISNUMBER(G375),G375&gt;0),('계산 과정'!$E$56+'계산 과정'!$E$57*D375+'계산 과정'!$E$58*E375)/F375,"")</x:f>
        <x:v>-37.00019252471893</x:v>
      </x:c>
      <x:c r="J375" s="4" t="n">
        <x:f>IF('계산 과정'!$L$5,'계산 과정'!$D$6+'계산 과정'!$C$35*D375+'계산 과정'!$D$35*E375,"")</x:f>
        <x:v>607.5672518050205</x:v>
      </x:c>
      <x:c r="K375" s="4" t="n">
        <x:f>IF(AND('계산 과정'!$L$6,J375&gt;0),'계산 과정'!$D$10*('계산 과정'!$C$38*(D375-'계산 과정'!$C$32)+'계산 과정'!$D$38*(E375-'계산 과정'!$D$32)-'계산 과정'!$E$38*'계산 과정'!$E$32)/J375,"")</x:f>
        <x:v>0.5587233093148597</x:v>
      </x:c>
      <x:c r="L375" s="4" t="n">
        <x:f>IF(AND('계산 과정'!$L$6,J375&gt;0),'계산 과정'!$D$10*('계산 과정'!$C$39*(D375-'계산 과정'!$C$32)+'계산 과정'!$D$39*(E375-'계산 과정'!$D$32)-'계산 과정'!$E$39*'계산 과정'!$E$32)/J375,"")</x:f>
        <x:v>-0.2819062287597633</x:v>
      </x:c>
      <x:c r="M375" s="17" t="n">
        <x:f>IF('계산 과정'!$L$6,IF(J375&lt;=0,0,IF(AND(ABS(K375)&lt;='계산 과정'!$D$11/2,ABS(L375)&lt;='계산 과정'!$D$12/2),1,0)),"")</x:f>
        <x:v>1</x:v>
      </x:c>
      <x:c r="N375" s="17" t="n">
        <x:f>IF('계산 과정'!$C$78,IF(AND(ISNUMBER(H375),ISNUMBER(I375),ABS(H375-'계산 과정'!$C$88)&lt;='계산 과정'!$D$23/2,ABS(I375-'계산 과정'!$C$89)&lt;='계산 과정'!$D$24/2),1,0),"")</x:f>
        <x:v>1</x:v>
      </x:c>
      <x:c r="O375" s="4" t="n">
        <x:f>IF('계산 과정'!$L$7,'계산 과정'!$C$49*('계산 과정'!$C$32-D375)+'계산 과정'!$D$49*('계산 과정'!$D$32-E375)+'계산 과정'!$E$49*'계산 과정'!$E$32,"")</x:f>
        <x:v>42.43274819497958</x:v>
      </x:c>
      <x:c r="P375" s="4" t="n">
        <x:f>IF(AND('계산 과정'!$L$7,O375&lt;&gt;0),('계산 과정'!$L$23-'계산 과정'!$C$49*D375-'계산 과정'!$D$49*E375)/O375,"")</x:f>
        <x:v>10.426681443351006</x:v>
      </x:c>
      <x:c r="Q375" s="4" t="str">
        <x:f>IF(AND(ISNUMBER(P375),P375&gt;1E-9,P375&lt;1-1E-9),'계산 과정'!$C$47*(D375-'계산 과정'!$C$50+P375*('계산 과정'!$C$32-D375))+'계산 과정'!$D$47*(E375-'계산 과정'!$D$50+P375*('계산 과정'!$D$32-E375))+'계산 과정'!$E$47*(0-'계산 과정'!$E$50+P375*('계산 과정'!$E$32-0)),"")</x:f>
      </x:c>
      <x:c r="R375" s="4" t="str">
        <x:f>IF(AND(ISNUMBER(P375),P375&gt;1E-9,P375&lt;1-1E-9),'계산 과정'!$C$48*(D375-'계산 과정'!$C$50+P375*('계산 과정'!$C$32-D375))+'계산 과정'!$D$48*(E375-'계산 과정'!$D$50+P375*('계산 과정'!$D$32-E375))+'계산 과정'!$E$48*(0-'계산 과정'!$E$50+P375*('계산 과정'!$E$32-0)),"")</x:f>
      </x:c>
      <x:c r="S375" s="17" t="n">
        <x:f>IF('계산 과정'!$C$78,IF(AND(ISNUMBER(Q375),ISNUMBER(R375),ABS(Q375-'계산 과정'!$C$88)&lt;='계산 과정'!$D$23/2,ABS(R375-'계산 과정'!$C$89)&lt;='계산 과정'!$D$24/2),1,0),"")</x:f>
        <x:v>0</x:v>
      </x:c>
      <x:c r="T375" s="4"/>
      <x:c r="U375" s="4"/>
      <x:c r="V375" s="4"/>
      <x:c r="W375" s="4" t="n">
        <x:f>IF('계산 과정'!$C$78,'계산 과정'!$C$88+-0.1200000000000001*'계산 과정'!$D$23/2,"")</x:f>
        <x:v>-2.4765957446810027</x:v>
      </x:c>
      <x:c r="X375" s="4" t="str">
        <x:f>""</x:f>
      </x:c>
      <x:c r="Y375" s="4" t="n">
        <x:f>IF('계산 과정'!$C$78,'계산 과정'!$C$89+1*'계산 과정'!$D$24/2,"")</x:f>
        <x:v>260</x:v>
      </x:c>
      <x:c r="Z375" s="4" t="str">
        <x:f>""</x:f>
      </x:c>
    </x:row>
    <x:row r="376" ht="23" customHeight="1">
      <x:c r="A376" s="17" t="n">
        <x:f>ROW()-6</x:f>
        <x:v>370</x:v>
      </x:c>
      <x:c r="B376" s="4" t="n">
        <x:f>IF('계산 과정'!$L$5,'계산 과정'!$L$11*SQRT((A376+0.5)/'계산 과정'!$L$30),"")</x:f>
        <x:v>63.799957447575935</x:v>
      </x:c>
      <x:c r="C376" s="4" t="n">
        <x:f>A376*PI()*(3-SQRT(5))</x:f>
        <x:v>887.9863949996015</x:v>
      </x:c>
      <x:c r="D376" s="4" t="n">
        <x:f>IF('계산 과정'!$L$5,B376*COS(C376),"")</x:f>
        <x:v>-29.827031727895125</x:v>
      </x:c>
      <x:c r="E376" s="4" t="n">
        <x:f>IF('계산 과정'!$L$5,B376*SIN(C376),"")</x:f>
        <x:v>56.39842860058813</x:v>
      </x:c>
      <x:c r="F376" s="4" t="n">
        <x:f>IF('계산 과정'!$L$7,'계산 과정'!$L$22+'계산 과정'!$C$49*D376+'계산 과정'!$D$49*E376,"")</x:f>
        <x:v>671.0908963974609</x:v>
      </x:c>
      <x:c r="G376" s="4" t="n">
        <x:f>IF('계산 과정'!$L$7,IF(ABS(F376)&gt;=1E-12*MAX(1,SQRT((D376-'계산 과정'!$C$33)^2+(E376-'계산 과정'!$D$33)^2+'계산 과정'!$E$33^2)),('계산 과정'!$L$23-'계산 과정'!$C$49*D376-'계산 과정'!$D$49*E376)/F376,""),"")</x:f>
        <x:v>0.5646166646524229</x:v>
      </x:c>
      <x:c r="H376" s="4" t="n">
        <x:f>IF(AND(ISNUMBER(G376),G376&gt;0),('계산 과정'!$D$56+'계산 과정'!$D$57*D376+'계산 과정'!$D$58*E376)/F376,"")</x:f>
        <x:v>-32.99916797592527</x:v>
      </x:c>
      <x:c r="I376" s="4" t="n">
        <x:f>IF(AND(ISNUMBER(G376),G376&gt;0),('계산 과정'!$E$56+'계산 과정'!$E$57*D376+'계산 과정'!$E$58*E376)/F376,"")</x:f>
        <x:v>88.24192124869002</x:v>
      </x:c>
      <x:c r="J376" s="4" t="n">
        <x:f>IF('계산 과정'!$L$5,'계산 과정'!$D$6+'계산 과정'!$C$35*D376+'계산 과정'!$D$35*E376,"")</x:f>
        <x:v>671.0908963974609</x:v>
      </x:c>
      <x:c r="K376" s="4" t="n">
        <x:f>IF(AND('계산 과정'!$L$6,J376&gt;0),'계산 과정'!$D$10*('계산 과정'!$C$38*(D376-'계산 과정'!$C$32)+'계산 과정'!$D$38*(E376-'계산 과정'!$D$32)-'계산 과정'!$E$38*'계산 과정'!$E$32)/J376,"")</x:f>
        <x:v>-0.25142223219752485</x:v>
      </x:c>
      <x:c r="L376" s="4" t="n">
        <x:f>IF(AND('계산 과정'!$L$6,J376&gt;0),'계산 과정'!$D$10*('계산 과정'!$C$39*(D376-'계산 과정'!$C$32)+'계산 과정'!$D$39*(E376-'계산 과정'!$D$32)-'계산 과정'!$E$39*'계산 과정'!$E$32)/J376,"")</x:f>
        <x:v>0.6723193999900192</x:v>
      </x:c>
      <x:c r="M376" s="17" t="n">
        <x:f>IF('계산 과정'!$L$6,IF(J376&lt;=0,0,IF(AND(ABS(K376)&lt;='계산 과정'!$D$11/2,ABS(L376)&lt;='계산 과정'!$D$12/2),1,0)),"")</x:f>
        <x:v>1</x:v>
      </x:c>
      <x:c r="N376" s="17" t="n">
        <x:f>IF('계산 과정'!$C$78,IF(AND(ISNUMBER(H376),ISNUMBER(I376),ABS(H376-'계산 과정'!$C$88)&lt;='계산 과정'!$D$23/2,ABS(I376-'계산 과정'!$C$89)&lt;='계산 과정'!$D$24/2),1,0),"")</x:f>
        <x:v>1</x:v>
      </x:c>
      <x:c r="O376" s="4" t="n">
        <x:f>IF('계산 과정'!$L$7,'계산 과정'!$C$49*('계산 과정'!$C$32-D376)+'계산 과정'!$D$49*('계산 과정'!$D$32-E376)+'계산 과정'!$E$49*'계산 과정'!$E$32,"")</x:f>
        <x:v>-21.090896397460824</x:v>
      </x:c>
      <x:c r="P376" s="4" t="n">
        <x:f>IF(AND('계산 과정'!$L$7,O376&lt;&gt;0),('계산 과정'!$L$23-'계산 과정'!$C$49*D376-'계산 과정'!$D$49*E376)/O376,"")</x:f>
        <x:v>-17.965528655678984</x:v>
      </x:c>
      <x:c r="Q376" s="4" t="str">
        <x:f>IF(AND(ISNUMBER(P376),P376&gt;1E-9,P376&lt;1-1E-9),'계산 과정'!$C$47*(D376-'계산 과정'!$C$50+P376*('계산 과정'!$C$32-D376))+'계산 과정'!$D$47*(E376-'계산 과정'!$D$50+P376*('계산 과정'!$D$32-E376))+'계산 과정'!$E$47*(0-'계산 과정'!$E$50+P376*('계산 과정'!$E$32-0)),"")</x:f>
      </x:c>
      <x:c r="R376" s="4" t="str">
        <x:f>IF(AND(ISNUMBER(P376),P376&gt;1E-9,P376&lt;1-1E-9),'계산 과정'!$C$48*(D376-'계산 과정'!$C$50+P376*('계산 과정'!$C$32-D376))+'계산 과정'!$D$48*(E376-'계산 과정'!$D$50+P376*('계산 과정'!$D$32-E376))+'계산 과정'!$E$48*(0-'계산 과정'!$E$50+P376*('계산 과정'!$E$32-0)),"")</x:f>
      </x:c>
      <x:c r="S376" s="17" t="n">
        <x:f>IF('계산 과정'!$C$78,IF(AND(ISNUMBER(Q376),ISNUMBER(R376),ABS(Q376-'계산 과정'!$C$88)&lt;='계산 과정'!$D$23/2,ABS(R376-'계산 과정'!$C$89)&lt;='계산 과정'!$D$24/2),1,0),"")</x:f>
        <x:v>0</x:v>
      </x:c>
      <x:c r="T376" s="4"/>
      <x:c r="U376" s="4"/>
      <x:c r="V376" s="4"/>
      <x:c r="W376" s="4" t="n">
        <x:f>IF('계산 과정'!$C$78,'계산 과정'!$C$88+-0.15999999999999992*'계산 과정'!$D$23/2,"")</x:f>
        <x:v>-12.876595744680955</x:v>
      </x:c>
      <x:c r="X376" s="4" t="str">
        <x:f>""</x:f>
      </x:c>
      <x:c r="Y376" s="4" t="n">
        <x:f>IF('계산 과정'!$C$78,'계산 과정'!$C$89+1*'계산 과정'!$D$24/2,"")</x:f>
        <x:v>260</x:v>
      </x:c>
      <x:c r="Z376" s="4" t="str">
        <x:f>""</x:f>
      </x:c>
    </x:row>
    <x:row r="377" ht="23" customHeight="1">
      <x:c r="A377" s="17" t="n">
        <x:f>ROW()-6</x:f>
        <x:v>371</x:v>
      </x:c>
      <x:c r="B377" s="4" t="n">
        <x:f>IF('계산 과정'!$L$5,'계산 과정'!$L$11*SQRT((A377+0.5)/'계산 과정'!$L$30),"")</x:f>
        <x:v>63.885999236432866</x:v>
      </x:c>
      <x:c r="C377" s="4" t="n">
        <x:f>A377*PI()*(3-SQRT(5))</x:f>
        <x:v>890.3863582293302</x:v>
      </x:c>
      <x:c r="D377" s="4" t="n">
        <x:f>IF('계산 과정'!$L$5,B377*COS(C377),"")</x:f>
        <x:v>-16.12478309914358</x:v>
      </x:c>
      <x:c r="E377" s="4" t="n">
        <x:f>IF('계산 과정'!$L$5,B377*SIN(C377),"")</x:f>
        <x:v>-61.817572489083354</x:v>
      </x:c>
      <x:c r="F377" s="4" t="n">
        <x:f>IF('계산 과정'!$L$7,'계산 과정'!$L$22+'계산 과정'!$C$49*D377+'계산 과정'!$D$49*E377,"")</x:f>
        <x:v>661.4019434745667</x:v>
      </x:c>
      <x:c r="G377" s="4" t="n">
        <x:f>IF('계산 과정'!$L$7,IF(ABS(F377)&gt;=1E-12*MAX(1,SQRT((D377-'계산 과정'!$C$33)^2+(E377-'계산 과정'!$D$33)^2+'계산 과정'!$E$33^2)),('계산 과정'!$L$23-'계산 과정'!$C$49*D377-'계산 과정'!$D$49*E377)/F377,""),"")</x:f>
        <x:v>0.5875369136111048</x:v>
      </x:c>
      <x:c r="H377" s="4" t="n">
        <x:f>IF(AND(ISNUMBER(G377),G377&gt;0),('계산 과정'!$D$56+'계산 과정'!$D$57*D377+'계산 과정'!$D$58*E377)/F377,"")</x:f>
        <x:v>-18.10100615278195</x:v>
      </x:c>
      <x:c r="I377" s="4" t="n">
        <x:f>IF(AND(ISNUMBER(G377),G377&gt;0),('계산 과정'!$E$56+'계산 과정'!$E$57*D377+'계산 과정'!$E$58*E377)/F377,"")</x:f>
        <x:v>-98.13767823625012</x:v>
      </x:c>
      <x:c r="J377" s="4" t="n">
        <x:f>IF('계산 과정'!$L$5,'계산 과정'!$D$6+'계산 과정'!$C$35*D377+'계산 과정'!$D$35*E377,"")</x:f>
        <x:v>661.4019434745667</x:v>
      </x:c>
      <x:c r="K377" s="4" t="n">
        <x:f>IF(AND('계산 과정'!$L$6,J377&gt;0),'계산 과정'!$D$10*('계산 과정'!$C$38*(D377-'계산 과정'!$C$32)+'계산 과정'!$D$38*(E377-'계산 과정'!$D$32)-'계산 과정'!$E$38*'계산 과정'!$E$32)/J377,"")</x:f>
        <x:v>-0.13791242783071894</x:v>
      </x:c>
      <x:c r="L377" s="4" t="n">
        <x:f>IF(AND('계산 과정'!$L$6,J377&gt;0),'계산 과정'!$D$10*('계산 과정'!$C$39*(D377-'계산 과정'!$C$32)+'계산 과정'!$D$39*(E377-'계산 과정'!$D$32)-'계산 과정'!$E$39*'계산 과정'!$E$32)/J377,"")</x:f>
        <x:v>-0.7477156437047628</x:v>
      </x:c>
      <x:c r="M377" s="17" t="n">
        <x:f>IF('계산 과정'!$L$6,IF(J377&lt;=0,0,IF(AND(ABS(K377)&lt;='계산 과정'!$D$11/2,ABS(L377)&lt;='계산 과정'!$D$12/2),1,0)),"")</x:f>
        <x:v>1</x:v>
      </x:c>
      <x:c r="N377" s="17" t="n">
        <x:f>IF('계산 과정'!$C$78,IF(AND(ISNUMBER(H377),ISNUMBER(I377),ABS(H377-'계산 과정'!$C$88)&lt;='계산 과정'!$D$23/2,ABS(I377-'계산 과정'!$C$89)&lt;='계산 과정'!$D$24/2),1,0),"")</x:f>
        <x:v>1</x:v>
      </x:c>
      <x:c r="O377" s="4" t="n">
        <x:f>IF('계산 과정'!$L$7,'계산 과정'!$C$49*('계산 과정'!$C$32-D377)+'계산 과정'!$D$49*('계산 과정'!$D$32-E377)+'계산 과정'!$E$49*'계산 과정'!$E$32,"")</x:f>
        <x:v>-11.401943474566565</x:v>
      </x:c>
      <x:c r="P377" s="4" t="n">
        <x:f>IF(AND('계산 과정'!$L$7,O377&lt;&gt;0),('계산 과정'!$L$23-'계산 과정'!$C$49*D377-'계산 과정'!$D$49*E377)/O377,"")</x:f>
        <x:v>-34.081738555558445</x:v>
      </x:c>
      <x:c r="Q377" s="4" t="str">
        <x:f>IF(AND(ISNUMBER(P377),P377&gt;1E-9,P377&lt;1-1E-9),'계산 과정'!$C$47*(D377-'계산 과정'!$C$50+P377*('계산 과정'!$C$32-D377))+'계산 과정'!$D$47*(E377-'계산 과정'!$D$50+P377*('계산 과정'!$D$32-E377))+'계산 과정'!$E$47*(0-'계산 과정'!$E$50+P377*('계산 과정'!$E$32-0)),"")</x:f>
      </x:c>
      <x:c r="R377" s="4" t="str">
        <x:f>IF(AND(ISNUMBER(P377),P377&gt;1E-9,P377&lt;1-1E-9),'계산 과정'!$C$48*(D377-'계산 과정'!$C$50+P377*('계산 과정'!$C$32-D377))+'계산 과정'!$D$48*(E377-'계산 과정'!$D$50+P377*('계산 과정'!$D$32-E377))+'계산 과정'!$E$48*(0-'계산 과정'!$E$50+P377*('계산 과정'!$E$32-0)),"")</x:f>
      </x:c>
      <x:c r="S377" s="17" t="n">
        <x:f>IF('계산 과정'!$C$78,IF(AND(ISNUMBER(Q377),ISNUMBER(R377),ABS(Q377-'계산 과정'!$C$88)&lt;='계산 과정'!$D$23/2,ABS(R377-'계산 과정'!$C$89)&lt;='계산 과정'!$D$24/2),1,0),"")</x:f>
        <x:v>0</x:v>
      </x:c>
      <x:c r="T377" s="4"/>
      <x:c r="U377" s="4"/>
      <x:c r="V377" s="4"/>
      <x:c r="W377" s="4" t="n">
        <x:f>IF('계산 과정'!$C$78,'계산 과정'!$C$88+-0.19999999999999996*'계산 과정'!$D$23/2,"")</x:f>
        <x:v>-23.27659574468096</x:v>
      </x:c>
      <x:c r="X377" s="4" t="str">
        <x:f>""</x:f>
      </x:c>
      <x:c r="Y377" s="4" t="n">
        <x:f>IF('계산 과정'!$C$78,'계산 과정'!$C$89+1*'계산 과정'!$D$24/2,"")</x:f>
        <x:v>260</x:v>
      </x:c>
      <x:c r="Z377" s="4" t="str">
        <x:f>""</x:f>
      </x:c>
    </x:row>
    <x:row r="378" ht="23" customHeight="1">
      <x:c r="A378" s="17" t="n">
        <x:f>ROW()-6</x:f>
        <x:v>372</x:v>
      </x:c>
      <x:c r="B378" s="4" t="n">
        <x:f>IF('계산 과정'!$L$5,'계산 과정'!$L$11*SQRT((A378+0.5)/'계산 과정'!$L$30),"")</x:f>
        <x:v>63.9719252997946</x:v>
      </x:c>
      <x:c r="C378" s="4" t="n">
        <x:f>A378*PI()*(3-SQRT(5))</x:f>
        <x:v>892.7863214590589</x:v>
      </x:c>
      <x:c r="D378" s="4" t="n">
        <x:f>IF('계산 과정'!$L$5,B378*COS(C378),"")</x:f>
        <x:v>53.719238272950804</x:v>
      </x:c>
      <x:c r="E378" s="4" t="n">
        <x:f>IF('계산 과정'!$L$5,B378*SIN(C378),"")</x:f>
        <x:v>34.73687760775913</x:v>
      </x:c>
      <x:c r="F378" s="4" t="n">
        <x:f>IF('계산 과정'!$L$7,'계산 과정'!$L$22+'계산 과정'!$C$49*D378+'계산 과정'!$D$49*E378,"")</x:f>
        <x:v>612.0147623370206</x:v>
      </x:c>
      <x:c r="G378" s="4" t="n">
        <x:f>IF('계산 과정'!$L$7,IF(ABS(F378)&gt;=1E-12*MAX(1,SQRT((D378-'계산 과정'!$C$33)^2+(E378-'계산 과정'!$D$33)^2+'계산 과정'!$E$33^2)),('계산 과정'!$L$23-'계산 과정'!$C$49*D378-'계산 과정'!$D$49*E378)/F378,""),"")</x:f>
        <x:v>0.7156448906403868</x:v>
      </x:c>
      <x:c r="H378" s="4" t="n">
        <x:f>IF(AND(ISNUMBER(G378),G378&gt;0),('계산 과정'!$D$56+'계산 과정'!$D$57*D378+'계산 과정'!$D$58*E378)/F378,"")</x:f>
        <x:v>65.16917891625135</x:v>
      </x:c>
      <x:c r="I378" s="4" t="n">
        <x:f>IF(AND(ISNUMBER(G378),G378&gt;0),('계산 과정'!$E$56+'계산 과정'!$E$57*D378+'계산 과정'!$E$58*E378)/F378,"")</x:f>
        <x:v>59.59614658455243</x:v>
      </x:c>
      <x:c r="J378" s="4" t="n">
        <x:f>IF('계산 과정'!$L$5,'계산 과정'!$D$6+'계산 과정'!$C$35*D378+'계산 과정'!$D$35*E378,"")</x:f>
        <x:v>612.0147623370206</x:v>
      </x:c>
      <x:c r="K378" s="4" t="n">
        <x:f>IF(AND('계산 과정'!$L$6,J378&gt;0),'계산 과정'!$D$10*('계산 과정'!$C$38*(D378-'계산 과정'!$C$32)+'계산 과정'!$D$38*(E378-'계산 과정'!$D$32)-'계산 과정'!$E$38*'계산 과정'!$E$32)/J378,"")</x:f>
        <x:v>0.4965270774571541</x:v>
      </x:c>
      <x:c r="L378" s="4" t="n">
        <x:f>IF(AND('계산 과정'!$L$6,J378&gt;0),'계산 과정'!$D$10*('계산 과정'!$C$39*(D378-'계산 과정'!$C$32)+'계산 과정'!$D$39*(E378-'계산 과정'!$D$32)-'계산 과정'!$E$39*'계산 과정'!$E$32)/J378,"")</x:f>
        <x:v>0.45406587873944704</x:v>
      </x:c>
      <x:c r="M378" s="17" t="n">
        <x:f>IF('계산 과정'!$L$6,IF(J378&lt;=0,0,IF(AND(ABS(K378)&lt;='계산 과정'!$D$11/2,ABS(L378)&lt;='계산 과정'!$D$12/2),1,0)),"")</x:f>
        <x:v>1</x:v>
      </x:c>
      <x:c r="N378" s="17" t="n">
        <x:f>IF('계산 과정'!$C$78,IF(AND(ISNUMBER(H378),ISNUMBER(I378),ABS(H378-'계산 과정'!$C$88)&lt;='계산 과정'!$D$23/2,ABS(I378-'계산 과정'!$C$89)&lt;='계산 과정'!$D$24/2),1,0),"")</x:f>
        <x:v>1</x:v>
      </x:c>
      <x:c r="O378" s="4" t="n">
        <x:f>IF('계산 과정'!$L$7,'계산 과정'!$C$49*('계산 과정'!$C$32-D378)+'계산 과정'!$D$49*('계산 과정'!$D$32-E378)+'계산 과정'!$E$49*'계산 과정'!$E$32,"")</x:f>
        <x:v>37.98523766297956</x:v>
      </x:c>
      <x:c r="P378" s="4" t="n">
        <x:f>IF(AND('계산 과정'!$L$7,O378&lt;&gt;0),('계산 과정'!$L$23-'계산 과정'!$C$49*D378-'계산 과정'!$D$49*E378)/O378,"")</x:f>
        <x:v>11.530406668742268</x:v>
      </x:c>
      <x:c r="Q378" s="4" t="str">
        <x:f>IF(AND(ISNUMBER(P378),P378&gt;1E-9,P378&lt;1-1E-9),'계산 과정'!$C$47*(D378-'계산 과정'!$C$50+P378*('계산 과정'!$C$32-D378))+'계산 과정'!$D$47*(E378-'계산 과정'!$D$50+P378*('계산 과정'!$D$32-E378))+'계산 과정'!$E$47*(0-'계산 과정'!$E$50+P378*('계산 과정'!$E$32-0)),"")</x:f>
      </x:c>
      <x:c r="R378" s="4" t="str">
        <x:f>IF(AND(ISNUMBER(P378),P378&gt;1E-9,P378&lt;1-1E-9),'계산 과정'!$C$48*(D378-'계산 과정'!$C$50+P378*('계산 과정'!$C$32-D378))+'계산 과정'!$D$48*(E378-'계산 과정'!$D$50+P378*('계산 과정'!$D$32-E378))+'계산 과정'!$E$48*(0-'계산 과정'!$E$50+P378*('계산 과정'!$E$32-0)),"")</x:f>
      </x:c>
      <x:c r="S378" s="17" t="n">
        <x:f>IF('계산 과정'!$C$78,IF(AND(ISNUMBER(Q378),ISNUMBER(R378),ABS(Q378-'계산 과정'!$C$88)&lt;='계산 과정'!$D$23/2,ABS(R378-'계산 과정'!$C$89)&lt;='계산 과정'!$D$24/2),1,0),"")</x:f>
        <x:v>0</x:v>
      </x:c>
      <x:c r="T378" s="4"/>
      <x:c r="U378" s="4"/>
      <x:c r="V378" s="4"/>
      <x:c r="W378" s="4" t="n">
        <x:f>IF('계산 과정'!$C$78,'계산 과정'!$C$88+-0.24*'계산 과정'!$D$23/2,"")</x:f>
        <x:v>-33.676595744680974</x:v>
      </x:c>
      <x:c r="X378" s="4" t="str">
        <x:f>""</x:f>
      </x:c>
      <x:c r="Y378" s="4" t="n">
        <x:f>IF('계산 과정'!$C$78,'계산 과정'!$C$89+1*'계산 과정'!$D$24/2,"")</x:f>
        <x:v>260</x:v>
      </x:c>
      <x:c r="Z378" s="4" t="str">
        <x:f>""</x:f>
      </x:c>
    </x:row>
    <x:row r="379" ht="23" customHeight="1">
      <x:c r="A379" s="17" t="n">
        <x:f>ROW()-6</x:f>
        <x:v>373</x:v>
      </x:c>
      <x:c r="B379" s="4" t="n">
        <x:f>IF('계산 과정'!$L$5,'계산 과정'!$L$11*SQRT((A379+0.5)/'계산 과정'!$L$30),"")</x:f>
        <x:v>64.05773610335835</x:v>
      </x:c>
      <x:c r="C379" s="4" t="n">
        <x:f>A379*PI()*(3-SQRT(5))</x:f>
        <x:v>895.1862846887875</x:v>
      </x:c>
      <x:c r="D379" s="4" t="n">
        <x:f>IF('계산 과정'!$L$5,B379*COS(C379),"")</x:f>
        <x:v>-63.15992624418663</x:v>
      </x:c>
      <x:c r="E379" s="4" t="n">
        <x:f>IF('계산 과정'!$L$5,B379*SIN(C379),"")</x:f>
        <x:v>10.687248079669766</x:v>
      </x:c>
      <x:c r="F379" s="4" t="n">
        <x:f>IF('계산 과정'!$L$7,'계산 과정'!$L$22+'계산 과정'!$C$49*D379+'계산 과정'!$D$49*E379,"")</x:f>
        <x:v>694.6608121465066</x:v>
      </x:c>
      <x:c r="G379" s="4" t="n">
        <x:f>IF('계산 과정'!$L$7,IF(ABS(F379)&gt;=1E-12*MAX(1,SQRT((D379-'계산 과정'!$C$33)^2+(E379-'계산 과정'!$D$33)^2+'계산 과정'!$E$33^2)),('계산 과정'!$L$23-'계산 과정'!$C$49*D379-'계산 과정'!$D$49*E379)/F379,""),"")</x:f>
        <x:v>0.511529053662165</x:v>
      </x:c>
      <x:c r="H379" s="4" t="n">
        <x:f>IF(AND(ISNUMBER(G379),G379&gt;0),('계산 과정'!$D$56+'계산 과정'!$D$57*D379+'계산 과정'!$D$58*E379)/F379,"")</x:f>
        <x:v>-67.50611511959289</x:v>
      </x:c>
      <x:c r="I379" s="4" t="n">
        <x:f>IF(AND(ISNUMBER(G379),G379&gt;0),('계산 과정'!$E$56+'계산 과정'!$E$57*D379+'계산 과정'!$E$58*E379)/F379,"")</x:f>
        <x:v>16.15408597611603</x:v>
      </x:c>
      <x:c r="J379" s="4" t="n">
        <x:f>IF('계산 과정'!$L$5,'계산 과정'!$D$6+'계산 과정'!$C$35*D379+'계산 과정'!$D$35*E379,"")</x:f>
        <x:v>694.6608121465066</x:v>
      </x:c>
      <x:c r="K379" s="4" t="n">
        <x:f>IF(AND('계산 과정'!$L$6,J379&gt;0),'계산 과정'!$D$10*('계산 과정'!$C$38*(D379-'계산 과정'!$C$32)+'계산 과정'!$D$38*(E379-'계산 과정'!$D$32)-'계산 과정'!$E$38*'계산 과정'!$E$32)/J379,"")</x:f>
        <x:v>-0.5143323056730876</x:v>
      </x:c>
      <x:c r="L379" s="4" t="n">
        <x:f>IF(AND('계산 과정'!$L$6,J379&gt;0),'계산 과정'!$D$10*('계산 과정'!$C$39*(D379-'계산 과정'!$C$32)+'계산 과정'!$D$39*(E379-'계산 과정'!$D$32)-'계산 과정'!$E$39*'계산 과정'!$E$32)/J379,"")</x:f>
        <x:v>0.12307875029421737</x:v>
      </x:c>
      <x:c r="M379" s="17" t="n">
        <x:f>IF('계산 과정'!$L$6,IF(J379&lt;=0,0,IF(AND(ABS(K379)&lt;='계산 과정'!$D$11/2,ABS(L379)&lt;='계산 과정'!$D$12/2),1,0)),"")</x:f>
        <x:v>1</x:v>
      </x:c>
      <x:c r="N379" s="17" t="n">
        <x:f>IF('계산 과정'!$C$78,IF(AND(ISNUMBER(H379),ISNUMBER(I379),ABS(H379-'계산 과정'!$C$88)&lt;='계산 과정'!$D$23/2,ABS(I379-'계산 과정'!$C$89)&lt;='계산 과정'!$D$24/2),1,0),"")</x:f>
        <x:v>1</x:v>
      </x:c>
      <x:c r="O379" s="4" t="n">
        <x:f>IF('계산 과정'!$L$7,'계산 과정'!$C$49*('계산 과정'!$C$32-D379)+'계산 과정'!$D$49*('계산 과정'!$D$32-E379)+'계산 과정'!$E$49*'계산 과정'!$E$32,"")</x:f>
        <x:v>-44.66081214650643</x:v>
      </x:c>
      <x:c r="P379" s="4" t="n">
        <x:f>IF(AND('계산 과정'!$L$7,O379&lt;&gt;0),('계산 과정'!$L$23-'계산 과정'!$C$49*D379-'계산 과정'!$D$49*E379)/O379,"")</x:f>
        <x:v>-7.956397807720783</x:v>
      </x:c>
      <x:c r="Q379" s="4" t="str">
        <x:f>IF(AND(ISNUMBER(P379),P379&gt;1E-9,P379&lt;1-1E-9),'계산 과정'!$C$47*(D379-'계산 과정'!$C$50+P379*('계산 과정'!$C$32-D379))+'계산 과정'!$D$47*(E379-'계산 과정'!$D$50+P379*('계산 과정'!$D$32-E379))+'계산 과정'!$E$47*(0-'계산 과정'!$E$50+P379*('계산 과정'!$E$32-0)),"")</x:f>
      </x:c>
      <x:c r="R379" s="4" t="str">
        <x:f>IF(AND(ISNUMBER(P379),P379&gt;1E-9,P379&lt;1-1E-9),'계산 과정'!$C$48*(D379-'계산 과정'!$C$50+P379*('계산 과정'!$C$32-D379))+'계산 과정'!$D$48*(E379-'계산 과정'!$D$50+P379*('계산 과정'!$D$32-E379))+'계산 과정'!$E$48*(0-'계산 과정'!$E$50+P379*('계산 과정'!$E$32-0)),"")</x:f>
      </x:c>
      <x:c r="S379" s="17" t="n">
        <x:f>IF('계산 과정'!$C$78,IF(AND(ISNUMBER(Q379),ISNUMBER(R379),ABS(Q379-'계산 과정'!$C$88)&lt;='계산 과정'!$D$23/2,ABS(R379-'계산 과정'!$C$89)&lt;='계산 과정'!$D$24/2),1,0),"")</x:f>
        <x:v>0</x:v>
      </x:c>
      <x:c r="T379" s="4"/>
      <x:c r="U379" s="4"/>
      <x:c r="V379" s="4"/>
      <x:c r="W379" s="4" t="n">
        <x:f>IF('계산 과정'!$C$78,'계산 과정'!$C$88+-0.28*'계산 과정'!$D$23/2,"")</x:f>
        <x:v>-44.076595744680986</x:v>
      </x:c>
      <x:c r="X379" s="4" t="str">
        <x:f>""</x:f>
      </x:c>
      <x:c r="Y379" s="4" t="n">
        <x:f>IF('계산 과정'!$C$78,'계산 과정'!$C$89+1*'계산 과정'!$D$24/2,"")</x:f>
        <x:v>260</x:v>
      </x:c>
      <x:c r="Z379" s="4" t="str">
        <x:f>""</x:f>
      </x:c>
    </x:row>
    <x:row r="380" ht="23" customHeight="1">
      <x:c r="A380" s="17" t="n">
        <x:f>ROW()-6</x:f>
        <x:v>374</x:v>
      </x:c>
      <x:c r="B380" s="4" t="n">
        <x:f>IF('계산 과정'!$L$5,'계산 과정'!$L$11*SQRT((A380+0.5)/'계산 과정'!$L$30),"")</x:f>
        <x:v>64.1434321097063</x:v>
      </x:c>
      <x:c r="C380" s="4" t="n">
        <x:f>A380*PI()*(3-SQRT(5))</x:f>
        <x:v>897.5862479185163</x:v>
      </x:c>
      <x:c r="D380" s="4" t="n">
        <x:f>IF('계산 과정'!$L$5,B380*COS(C380),"")</x:f>
        <x:v>39.40567782367426</x:v>
      </x:c>
      <x:c r="E380" s="4" t="n">
        <x:f>IF('계산 과정'!$L$5,B380*SIN(C380),"")</x:f>
        <x:v>-50.611979195337604</x:v>
      </x:c>
      <x:c r="F380" s="4" t="n">
        <x:f>IF('계산 과정'!$L$7,'계산 과정'!$L$22+'계산 과정'!$C$49*D380+'계산 과정'!$D$49*E380,"")</x:f>
        <x:v>622.1359779936275</x:v>
      </x:c>
      <x:c r="G380" s="4" t="n">
        <x:f>IF('계산 과정'!$L$7,IF(ABS(F380)&gt;=1E-12*MAX(1,SQRT((D380-'계산 과정'!$C$33)^2+(E380-'계산 과정'!$D$33)^2+'계산 과정'!$E$33^2)),('계산 과정'!$L$23-'계산 과정'!$C$49*D380-'계산 과정'!$D$49*E380)/F380,""),"")</x:f>
        <x:v>0.687733931392656</x:v>
      </x:c>
      <x:c r="H380" s="4" t="n">
        <x:f>IF(AND(ISNUMBER(G380),G380&gt;0),('계산 과정'!$D$56+'계산 과정'!$D$57*D380+'계산 과정'!$D$58*E380)/F380,"")</x:f>
        <x:v>47.027055405226314</x:v>
      </x:c>
      <x:c r="I380" s="4" t="n">
        <x:f>IF(AND(ISNUMBER(G380),G380&gt;0),('계산 과정'!$E$56+'계산 과정'!$E$57*D380+'계산 과정'!$E$58*E380)/F380,"")</x:f>
        <x:v>-85.41955462291045</x:v>
      </x:c>
      <x:c r="J380" s="4" t="n">
        <x:f>IF('계산 과정'!$L$5,'계산 과정'!$D$6+'계산 과정'!$C$35*D380+'계산 과정'!$D$35*E380,"")</x:f>
        <x:v>622.1359779936275</x:v>
      </x:c>
      <x:c r="K380" s="4" t="n">
        <x:f>IF(AND('계산 과정'!$L$6,J380&gt;0),'계산 과정'!$D$10*('계산 과정'!$C$38*(D380-'계산 과정'!$C$32)+'계산 과정'!$D$38*(E380-'계산 과정'!$D$32)-'계산 과정'!$E$38*'계산 과정'!$E$32)/J380,"")</x:f>
        <x:v>0.35830137451601063</x:v>
      </x:c>
      <x:c r="L380" s="4" t="n">
        <x:f>IF(AND('계산 과정'!$L$6,J380&gt;0),'계산 과정'!$D$10*('계산 과정'!$C$39*(D380-'계산 과정'!$C$32)+'계산 과정'!$D$39*(E380-'계산 과정'!$D$32)-'계산 과정'!$E$39*'계산 과정'!$E$32)/J380,"")</x:f>
        <x:v>-0.6508156542697939</x:v>
      </x:c>
      <x:c r="M380" s="17" t="n">
        <x:f>IF('계산 과정'!$L$6,IF(J380&lt;=0,0,IF(AND(ABS(K380)&lt;='계산 과정'!$D$11/2,ABS(L380)&lt;='계산 과정'!$D$12/2),1,0)),"")</x:f>
        <x:v>1</x:v>
      </x:c>
      <x:c r="N380" s="17" t="n">
        <x:f>IF('계산 과정'!$C$78,IF(AND(ISNUMBER(H380),ISNUMBER(I380),ABS(H380-'계산 과정'!$C$88)&lt;='계산 과정'!$D$23/2,ABS(I380-'계산 과정'!$C$89)&lt;='계산 과정'!$D$24/2),1,0),"")</x:f>
        <x:v>1</x:v>
      </x:c>
      <x:c r="O380" s="4" t="n">
        <x:f>IF('계산 과정'!$L$7,'계산 과정'!$C$49*('계산 과정'!$C$32-D380)+'계산 과정'!$D$49*('계산 과정'!$D$32-E380)+'계산 과정'!$E$49*'계산 과정'!$E$32,"")</x:f>
        <x:v>27.864022006372522</x:v>
      </x:c>
      <x:c r="P380" s="4" t="n">
        <x:f>IF(AND('계산 과정'!$L$7,O380&lt;&gt;0),('계산 과정'!$L$23-'계산 과정'!$C$49*D380-'계산 과정'!$D$49*E380)/O380,"")</x:f>
        <x:v>15.355429374428414</x:v>
      </x:c>
      <x:c r="Q380" s="4" t="str">
        <x:f>IF(AND(ISNUMBER(P380),P380&gt;1E-9,P380&lt;1-1E-9),'계산 과정'!$C$47*(D380-'계산 과정'!$C$50+P380*('계산 과정'!$C$32-D380))+'계산 과정'!$D$47*(E380-'계산 과정'!$D$50+P380*('계산 과정'!$D$32-E380))+'계산 과정'!$E$47*(0-'계산 과정'!$E$50+P380*('계산 과정'!$E$32-0)),"")</x:f>
      </x:c>
      <x:c r="R380" s="4" t="str">
        <x:f>IF(AND(ISNUMBER(P380),P380&gt;1E-9,P380&lt;1-1E-9),'계산 과정'!$C$48*(D380-'계산 과정'!$C$50+P380*('계산 과정'!$C$32-D380))+'계산 과정'!$D$48*(E380-'계산 과정'!$D$50+P380*('계산 과정'!$D$32-E380))+'계산 과정'!$E$48*(0-'계산 과정'!$E$50+P380*('계산 과정'!$E$32-0)),"")</x:f>
      </x:c>
      <x:c r="S380" s="17" t="n">
        <x:f>IF('계산 과정'!$C$78,IF(AND(ISNUMBER(Q380),ISNUMBER(R380),ABS(Q380-'계산 과정'!$C$88)&lt;='계산 과정'!$D$23/2,ABS(R380-'계산 과정'!$C$89)&lt;='계산 과정'!$D$24/2),1,0),"")</x:f>
        <x:v>0</x:v>
      </x:c>
      <x:c r="T380" s="4"/>
      <x:c r="U380" s="4"/>
      <x:c r="V380" s="4"/>
      <x:c r="W380" s="4" t="n">
        <x:f>IF('계산 과정'!$C$78,'계산 과정'!$C$88+-0.32000000000000006*'계산 과정'!$D$23/2,"")</x:f>
        <x:v>-54.47659574468099</x:v>
      </x:c>
      <x:c r="X380" s="4" t="str">
        <x:f>""</x:f>
      </x:c>
      <x:c r="Y380" s="4" t="n">
        <x:f>IF('계산 과정'!$C$78,'계산 과정'!$C$89+1*'계산 과정'!$D$24/2,"")</x:f>
        <x:v>260</x:v>
      </x:c>
      <x:c r="Z380" s="4" t="str">
        <x:f>""</x:f>
      </x:c>
    </x:row>
    <x:row r="381" ht="23" customHeight="1">
      <x:c r="A381" s="17" t="n">
        <x:f>ROW()-6</x:f>
        <x:v>375</x:v>
      </x:c>
      <x:c r="B381" s="4" t="n">
        <x:f>IF('계산 과정'!$L$5,'계산 과정'!$L$11*SQRT((A381+0.5)/'계산 과정'!$L$30),"")</x:f>
        <x:v>64.22901377833463</x:v>
      </x:c>
      <x:c r="C381" s="4" t="n">
        <x:f>A381*PI()*(3-SQRT(5))</x:f>
        <x:v>899.9862111482448</x:v>
      </x:c>
      <x:c r="D381" s="4" t="n">
        <x:f>IF('계산 과정'!$L$5,B381*COS(C381),"")</x:f>
        <x:v>5.138226680744156</x:v>
      </x:c>
      <x:c r="E381" s="4" t="n">
        <x:f>IF('계산 과정'!$L$5,B381*SIN(C381),"")</x:f>
        <x:v>64.02315860307729</x:v>
      </x:c>
      <x:c r="F381" s="4" t="n">
        <x:f>IF('계산 과정'!$L$7,'계산 과정'!$L$22+'계산 과정'!$C$49*D381+'계산 과정'!$D$49*E381,"")</x:f>
        <x:v>646.3667250707722</x:v>
      </x:c>
      <x:c r="G381" s="4" t="n">
        <x:f>IF('계산 과정'!$L$7,IF(ABS(F381)&gt;=1E-12*MAX(1,SQRT((D381-'계산 과정'!$C$33)^2+(E381-'계산 과정'!$D$33)^2+'계산 과정'!$E$33^2)),('계산 과정'!$L$23-'계산 과정'!$C$49*D381-'계산 과정'!$D$49*E381)/F381,""),"")</x:f>
        <x:v>0.6244648111875392</x:v>
      </x:c>
      <x:c r="H381" s="4" t="n">
        <x:f>IF(AND(ISNUMBER(G381),G381&gt;0),('계산 과정'!$D$56+'계산 과정'!$D$57*D381+'계산 과정'!$D$58*E381)/F381,"")</x:f>
        <x:v>5.902127271900407</x:v>
      </x:c>
      <x:c r="I381" s="4" t="n">
        <x:f>IF(AND(ISNUMBER(G381),G381&gt;0),('계산 과정'!$E$56+'계산 과정'!$E$57*D381+'계산 과정'!$E$58*E381)/F381,"")</x:f>
        <x:v>104.00336825177784</x:v>
      </x:c>
      <x:c r="J381" s="4" t="n">
        <x:f>IF('계산 과정'!$L$5,'계산 과정'!$D$6+'계산 과정'!$C$35*D381+'계산 과정'!$D$35*E381,"")</x:f>
        <x:v>646.3667250707722</x:v>
      </x:c>
      <x:c r="K381" s="4" t="n">
        <x:f>IF(AND('계산 과정'!$L$6,J381&gt;0),'계산 과정'!$D$10*('계산 과정'!$C$38*(D381-'계산 과정'!$C$32)+'계산 과정'!$D$38*(E381-'계산 과정'!$D$32)-'계산 과정'!$E$38*'계산 과정'!$E$32)/J381,"")</x:f>
        <x:v>0.04496858873828932</x:v>
      </x:c>
      <x:c r="L381" s="4" t="n">
        <x:f>IF(AND('계산 과정'!$L$6,J381&gt;0),'계산 과정'!$D$10*('계산 과정'!$C$39*(D381-'계산 과정'!$C$32)+'계산 과정'!$D$39*(E381-'계산 과정'!$D$32)-'계산 과정'!$E$39*'계산 과정'!$E$32)/J381,"")</x:f>
        <x:v>0.7924066152516406</x:v>
      </x:c>
      <x:c r="M381" s="17" t="n">
        <x:f>IF('계산 과정'!$L$6,IF(J381&lt;=0,0,IF(AND(ABS(K381)&lt;='계산 과정'!$D$11/2,ABS(L381)&lt;='계산 과정'!$D$12/2),1,0)),"")</x:f>
        <x:v>1</x:v>
      </x:c>
      <x:c r="N381" s="17" t="n">
        <x:f>IF('계산 과정'!$C$78,IF(AND(ISNUMBER(H381),ISNUMBER(I381),ABS(H381-'계산 과정'!$C$88)&lt;='계산 과정'!$D$23/2,ABS(I381-'계산 과정'!$C$89)&lt;='계산 과정'!$D$24/2),1,0),"")</x:f>
        <x:v>1</x:v>
      </x:c>
      <x:c r="O381" s="4" t="n">
        <x:f>IF('계산 과정'!$L$7,'계산 과정'!$C$49*('계산 과정'!$C$32-D381)+'계산 과정'!$D$49*('계산 과정'!$D$32-E381)+'계산 과정'!$E$49*'계산 과정'!$E$32,"")</x:f>
        <x:v>3.633274929227923</x:v>
      </x:c>
      <x:c r="P381" s="4" t="n">
        <x:f>IF(AND('계산 과정'!$L$7,O381&lt;&gt;0),('계산 과정'!$L$23-'계산 과정'!$C$49*D381-'계산 과정'!$D$49*E381)/O381,"")</x:f>
        <x:v>111.09351282012686</x:v>
      </x:c>
      <x:c r="Q381" s="4" t="str">
        <x:f>IF(AND(ISNUMBER(P381),P381&gt;1E-9,P381&lt;1-1E-9),'계산 과정'!$C$47*(D381-'계산 과정'!$C$50+P381*('계산 과정'!$C$32-D381))+'계산 과정'!$D$47*(E381-'계산 과정'!$D$50+P381*('계산 과정'!$D$32-E381))+'계산 과정'!$E$47*(0-'계산 과정'!$E$50+P381*('계산 과정'!$E$32-0)),"")</x:f>
      </x:c>
      <x:c r="R381" s="4" t="str">
        <x:f>IF(AND(ISNUMBER(P381),P381&gt;1E-9,P381&lt;1-1E-9),'계산 과정'!$C$48*(D381-'계산 과정'!$C$50+P381*('계산 과정'!$C$32-D381))+'계산 과정'!$D$48*(E381-'계산 과정'!$D$50+P381*('계산 과정'!$D$32-E381))+'계산 과정'!$E$48*(0-'계산 과정'!$E$50+P381*('계산 과정'!$E$32-0)),"")</x:f>
      </x:c>
      <x:c r="S381" s="17" t="n">
        <x:f>IF('계산 과정'!$C$78,IF(AND(ISNUMBER(Q381),ISNUMBER(R381),ABS(Q381-'계산 과정'!$C$88)&lt;='계산 과정'!$D$23/2,ABS(R381-'계산 과정'!$C$89)&lt;='계산 과정'!$D$24/2),1,0),"")</x:f>
        <x:v>0</x:v>
      </x:c>
      <x:c r="T381" s="4"/>
      <x:c r="U381" s="4"/>
      <x:c r="V381" s="4"/>
      <x:c r="W381" s="4" t="n">
        <x:f>IF('계산 과정'!$C$78,'계산 과정'!$C$88+-0.3600000000000001*'계산 과정'!$D$23/2,"")</x:f>
        <x:v>-64.876595744681</x:v>
      </x:c>
      <x:c r="X381" s="4" t="str">
        <x:f>""</x:f>
      </x:c>
      <x:c r="Y381" s="4" t="n">
        <x:f>IF('계산 과정'!$C$78,'계산 과정'!$C$89+1*'계산 과정'!$D$24/2,"")</x:f>
        <x:v>260</x:v>
      </x:c>
      <x:c r="Z381" s="4" t="str">
        <x:f>""</x:f>
      </x:c>
    </x:row>
    <x:row r="382" ht="23" customHeight="1">
      <x:c r="A382" s="17" t="n">
        <x:f>ROW()-6</x:f>
        <x:v>376</x:v>
      </x:c>
      <x:c r="B382" s="4" t="n">
        <x:f>IF('계산 과정'!$L$5,'계산 과정'!$L$11*SQRT((A382+0.5)/'계산 과정'!$L$30),"")</x:f>
        <x:v>64.3144815656824</x:v>
      </x:c>
      <x:c r="C382" s="4" t="n">
        <x:f>A382*PI()*(3-SQRT(5))</x:f>
        <x:v>902.3861743779736</x:v>
      </x:c>
      <x:c r="D382" s="4" t="n">
        <x:f>IF('계산 과정'!$L$5,B382*COS(C382),"")</x:f>
        <x:v>-47.098379924084966</x:v>
      </x:c>
      <x:c r="E382" s="4" t="n">
        <x:f>IF('계산 과정'!$L$5,B382*SIN(C382),"")</x:f>
        <x:v>-43.79606315171549</x:v>
      </x:c>
      <x:c r="F382" s="4" t="n">
        <x:f>IF('계산 과정'!$L$7,'계산 과정'!$L$22+'계산 과정'!$C$49*D382+'계산 과정'!$D$49*E382,"")</x:f>
        <x:v>683.3035838272208</x:v>
      </x:c>
      <x:c r="G382" s="4" t="n">
        <x:f>IF('계산 과정'!$L$7,IF(ABS(F382)&gt;=1E-12*MAX(1,SQRT((D382-'계산 과정'!$C$33)^2+(E382-'계산 과정'!$D$33)^2+'계산 과정'!$E$33^2)),('계산 과정'!$L$23-'계산 과정'!$C$49*D382-'계산 과정'!$D$49*E382)/F382,""),"")</x:f>
        <x:v>0.5366522653355518</x:v>
      </x:c>
      <x:c r="H382" s="4" t="n">
        <x:f>IF(AND(ISNUMBER(G382),G382&gt;0),('계산 과정'!$D$56+'계산 과정'!$D$57*D382+'계산 과정'!$D$58*E382)/F382,"")</x:f>
        <x:v>-51.176027531891464</x:v>
      </x:c>
      <x:c r="I382" s="4" t="n">
        <x:f>IF(AND(ISNUMBER(G382),G382&gt;0),('계산 과정'!$E$56+'계산 과정'!$E$57*D382+'계산 과정'!$E$58*E382)/F382,"")</x:f>
        <x:v>-67.29931965486249</x:v>
      </x:c>
      <x:c r="J382" s="4" t="n">
        <x:f>IF('계산 과정'!$L$5,'계산 과정'!$D$6+'계산 과정'!$C$35*D382+'계산 과정'!$D$35*E382,"")</x:f>
        <x:v>683.3035838272208</x:v>
      </x:c>
      <x:c r="K382" s="4" t="n">
        <x:f>IF(AND('계산 과정'!$L$6,J382&gt;0),'계산 과정'!$D$10*('계산 과정'!$C$38*(D382-'계산 과정'!$C$32)+'계산 과정'!$D$38*(E382-'계산 과정'!$D$32)-'계산 과정'!$E$38*'계산 과정'!$E$32)/J382,"")</x:f>
        <x:v>-0.3899125907191716</x:v>
      </x:c>
      <x:c r="L382" s="4" t="n">
        <x:f>IF(AND('계산 과정'!$L$6,J382&gt;0),'계산 과정'!$D$10*('계산 과정'!$C$39*(D382-'계산 과정'!$C$32)+'계산 과정'!$D$39*(E382-'계산 과정'!$D$32)-'계산 과정'!$E$39*'계산 과정'!$E$32)/J382,"")</x:f>
        <x:v>-0.5127567211799047</x:v>
      </x:c>
      <x:c r="M382" s="17" t="n">
        <x:f>IF('계산 과정'!$L$6,IF(J382&lt;=0,0,IF(AND(ABS(K382)&lt;='계산 과정'!$D$11/2,ABS(L382)&lt;='계산 과정'!$D$12/2),1,0)),"")</x:f>
        <x:v>1</x:v>
      </x:c>
      <x:c r="N382" s="17" t="n">
        <x:f>IF('계산 과정'!$C$78,IF(AND(ISNUMBER(H382),ISNUMBER(I382),ABS(H382-'계산 과정'!$C$88)&lt;='계산 과정'!$D$23/2,ABS(I382-'계산 과정'!$C$89)&lt;='계산 과정'!$D$24/2),1,0),"")</x:f>
        <x:v>1</x:v>
      </x:c>
      <x:c r="O382" s="4" t="n">
        <x:f>IF('계산 과정'!$L$7,'계산 과정'!$C$49*('계산 과정'!$C$32-D382)+'계산 과정'!$D$49*('계산 과정'!$D$32-E382)+'계산 과정'!$E$49*'계산 과정'!$E$32,"")</x:f>
        <x:v>-33.30358382722068</x:v>
      </x:c>
      <x:c r="P382" s="4" t="n">
        <x:f>IF(AND('계산 과정'!$L$7,O382&lt;&gt;0),('계산 과정'!$L$23-'계산 과정'!$C$49*D382-'계산 과정'!$D$49*E382)/O382,"")</x:f>
        <x:v>-11.010719389096495</x:v>
      </x:c>
      <x:c r="Q382" s="4" t="str">
        <x:f>IF(AND(ISNUMBER(P382),P382&gt;1E-9,P382&lt;1-1E-9),'계산 과정'!$C$47*(D382-'계산 과정'!$C$50+P382*('계산 과정'!$C$32-D382))+'계산 과정'!$D$47*(E382-'계산 과정'!$D$50+P382*('계산 과정'!$D$32-E382))+'계산 과정'!$E$47*(0-'계산 과정'!$E$50+P382*('계산 과정'!$E$32-0)),"")</x:f>
      </x:c>
      <x:c r="R382" s="4" t="str">
        <x:f>IF(AND(ISNUMBER(P382),P382&gt;1E-9,P382&lt;1-1E-9),'계산 과정'!$C$48*(D382-'계산 과정'!$C$50+P382*('계산 과정'!$C$32-D382))+'계산 과정'!$D$48*(E382-'계산 과정'!$D$50+P382*('계산 과정'!$D$32-E382))+'계산 과정'!$E$48*(0-'계산 과정'!$E$50+P382*('계산 과정'!$E$32-0)),"")</x:f>
      </x:c>
      <x:c r="S382" s="17" t="n">
        <x:f>IF('계산 과정'!$C$78,IF(AND(ISNUMBER(Q382),ISNUMBER(R382),ABS(Q382-'계산 과정'!$C$88)&lt;='계산 과정'!$D$23/2,ABS(R382-'계산 과정'!$C$89)&lt;='계산 과정'!$D$24/2),1,0),"")</x:f>
        <x:v>0</x:v>
      </x:c>
      <x:c r="T382" s="4"/>
      <x:c r="U382" s="4"/>
      <x:c r="V382" s="4"/>
      <x:c r="W382" s="4" t="n">
        <x:f>IF('계산 과정'!$C$78,'계산 과정'!$C$88+-0.3999999999999999*'계산 과정'!$D$23/2,"")</x:f>
        <x:v>-75.27659574468095</x:v>
      </x:c>
      <x:c r="X382" s="4" t="str">
        <x:f>""</x:f>
      </x:c>
      <x:c r="Y382" s="4" t="n">
        <x:f>IF('계산 과정'!$C$78,'계산 과정'!$C$89+1*'계산 과정'!$D$24/2,"")</x:f>
        <x:v>260</x:v>
      </x:c>
      <x:c r="Z382" s="4" t="str">
        <x:f>""</x:f>
      </x:c>
    </x:row>
    <x:row r="383" ht="23" customHeight="1">
      <x:c r="A383" s="17" t="n">
        <x:f>ROW()-6</x:f>
        <x:v>377</x:v>
      </x:c>
      <x:c r="B383" s="4" t="n">
        <x:f>IF('계산 과정'!$L$5,'계산 과정'!$L$11*SQRT((A383+0.5)/'계산 과정'!$L$30),"")</x:f>
        <x:v>64.39983592515978</x:v>
      </x:c>
      <x:c r="C383" s="4" t="n">
        <x:f>A383*PI()*(3-SQRT(5))</x:f>
        <x:v>904.7861376077021</x:v>
      </x:c>
      <x:c r="D383" s="4" t="n">
        <x:f>IF('계산 과정'!$L$5,B383*COS(C383),"")</x:f>
        <x:v>64.39804713842993</x:v>
      </x:c>
      <x:c r="E383" s="4" t="n">
        <x:f>IF('계산 과정'!$L$5,B383*SIN(C383),"")</x:f>
        <x:v>0.479991608319292</x:v>
      </x:c>
      <x:c r="F383" s="4" t="n">
        <x:f>IF('계산 과정'!$L$7,'계산 과정'!$L$22+'계산 과정'!$C$49*D383+'계산 과정'!$D$49*E383,"")</x:f>
        <x:v>604.4637041732452</x:v>
      </x:c>
      <x:c r="G383" s="4" t="n">
        <x:f>IF('계산 과정'!$L$7,IF(ABS(F383)&gt;=1E-12*MAX(1,SQRT((D383-'계산 과정'!$C$33)^2+(E383-'계산 과정'!$D$33)^2+'계산 과정'!$E$33^2)),('계산 과정'!$L$23-'계산 과정'!$C$49*D383-'계산 과정'!$D$49*E383)/F383,""),"")</x:f>
        <x:v>0.7370770035500092</x:v>
      </x:c>
      <x:c r="H383" s="4" t="n">
        <x:f>IF(AND(ISNUMBER(G383),G383&gt;0),('계산 과정'!$D$56+'계산 과정'!$D$57*D383+'계산 과정'!$D$58*E383)/F383,"")</x:f>
        <x:v>79.10005230750583</x:v>
      </x:c>
      <x:c r="I383" s="4" t="n">
        <x:f>IF(AND(ISNUMBER(G383),G383&gt;0),('계산 과정'!$E$56+'계산 과정'!$E$57*D383+'계산 과정'!$E$58*E383)/F383,"")</x:f>
        <x:v>0.8337823847084254</x:v>
      </x:c>
      <x:c r="J383" s="4" t="n">
        <x:f>IF('계산 과정'!$L$5,'계산 과정'!$D$6+'계산 과정'!$C$35*D383+'계산 과정'!$D$35*E383,"")</x:f>
        <x:v>604.4637041732452</x:v>
      </x:c>
      <x:c r="K383" s="4" t="n">
        <x:f>IF(AND('계산 과정'!$L$6,J383&gt;0),'계산 과정'!$D$10*('계산 과정'!$C$38*(D383-'계산 과정'!$C$32)+'계산 과정'!$D$38*(E383-'계산 과정'!$D$32)-'계산 과정'!$E$38*'계산 과정'!$E$32)/J383,"")</x:f>
        <x:v>0.6026670652000456</x:v>
      </x:c>
      <x:c r="L383" s="4" t="n">
        <x:f>IF(AND('계산 과정'!$L$6,J383&gt;0),'계산 과정'!$D$10*('계산 과정'!$C$39*(D383-'계산 과정'!$C$32)+'계산 과정'!$D$39*(E383-'계산 과정'!$D$32)-'계산 과정'!$E$39*'계산 과정'!$E$32)/J383,"")</x:f>
        <x:v>0.006352627693016574</x:v>
      </x:c>
      <x:c r="M383" s="17" t="n">
        <x:f>IF('계산 과정'!$L$6,IF(J383&lt;=0,0,IF(AND(ABS(K383)&lt;='계산 과정'!$D$11/2,ABS(L383)&lt;='계산 과정'!$D$12/2),1,0)),"")</x:f>
        <x:v>1</x:v>
      </x:c>
      <x:c r="N383" s="17" t="n">
        <x:f>IF('계산 과정'!$C$78,IF(AND(ISNUMBER(H383),ISNUMBER(I383),ABS(H383-'계산 과정'!$C$88)&lt;='계산 과정'!$D$23/2,ABS(I383-'계산 과정'!$C$89)&lt;='계산 과정'!$D$24/2),1,0),"")</x:f>
        <x:v>1</x:v>
      </x:c>
      <x:c r="O383" s="4" t="n">
        <x:f>IF('계산 과정'!$L$7,'계산 과정'!$C$49*('계산 과정'!$C$32-D383)+'계산 과정'!$D$49*('계산 과정'!$D$32-E383)+'계산 과정'!$E$49*'계산 과정'!$E$32,"")</x:f>
        <x:v>45.53629582675484</x:v>
      </x:c>
      <x:c r="P383" s="4" t="n">
        <x:f>IF(AND('계산 과정'!$L$7,O383&lt;&gt;0),('계산 과정'!$L$23-'계산 과정'!$C$49*D383-'계산 과정'!$D$49*E383)/O383,"")</x:f>
        <x:v>9.784201541597065</x:v>
      </x:c>
      <x:c r="Q383" s="4" t="str">
        <x:f>IF(AND(ISNUMBER(P383),P383&gt;1E-9,P383&lt;1-1E-9),'계산 과정'!$C$47*(D383-'계산 과정'!$C$50+P383*('계산 과정'!$C$32-D383))+'계산 과정'!$D$47*(E383-'계산 과정'!$D$50+P383*('계산 과정'!$D$32-E383))+'계산 과정'!$E$47*(0-'계산 과정'!$E$50+P383*('계산 과정'!$E$32-0)),"")</x:f>
      </x:c>
      <x:c r="R383" s="4" t="str">
        <x:f>IF(AND(ISNUMBER(P383),P383&gt;1E-9,P383&lt;1-1E-9),'계산 과정'!$C$48*(D383-'계산 과정'!$C$50+P383*('계산 과정'!$C$32-D383))+'계산 과정'!$D$48*(E383-'계산 과정'!$D$50+P383*('계산 과정'!$D$32-E383))+'계산 과정'!$E$48*(0-'계산 과정'!$E$50+P383*('계산 과정'!$E$32-0)),"")</x:f>
      </x:c>
      <x:c r="S383" s="17" t="n">
        <x:f>IF('계산 과정'!$C$78,IF(AND(ISNUMBER(Q383),ISNUMBER(R383),ABS(Q383-'계산 과정'!$C$88)&lt;='계산 과정'!$D$23/2,ABS(R383-'계산 과정'!$C$89)&lt;='계산 과정'!$D$24/2),1,0),"")</x:f>
        <x:v>0</x:v>
      </x:c>
      <x:c r="T383" s="4"/>
      <x:c r="U383" s="4"/>
      <x:c r="V383" s="4"/>
      <x:c r="W383" s="4" t="n">
        <x:f>IF('계산 과정'!$C$78,'계산 과정'!$C$88+-0.43999999999999995*'계산 과정'!$D$23/2,"")</x:f>
        <x:v>-85.67659574468097</x:v>
      </x:c>
      <x:c r="X383" s="4" t="str">
        <x:f>""</x:f>
      </x:c>
      <x:c r="Y383" s="4" t="n">
        <x:f>IF('계산 과정'!$C$78,'계산 과정'!$C$89+1*'계산 과정'!$D$24/2,"")</x:f>
        <x:v>260</x:v>
      </x:c>
      <x:c r="Z383" s="4" t="str">
        <x:f>""</x:f>
      </x:c>
    </x:row>
    <x:row r="384" ht="23" customHeight="1">
      <x:c r="A384" s="17" t="n">
        <x:f>ROW()-6</x:f>
        <x:v>378</x:v>
      </x:c>
      <x:c r="B384" s="4" t="n">
        <x:f>IF('계산 과정'!$L$5,'계산 과정'!$L$11*SQRT((A384+0.5)/'계산 과정'!$L$30),"")</x:f>
        <x:v>64.48507730717627</x:v>
      </x:c>
      <x:c r="C384" s="4" t="n">
        <x:f>A384*PI()*(3-SQRT(5))</x:f>
        <x:v>907.1861008374308</x:v>
      </x:c>
      <x:c r="D384" s="4" t="n">
        <x:f>IF('계산 과정'!$L$5,B384*COS(C384),"")</x:f>
        <x:v>-47.87262719726194</x:v>
      </x:c>
      <x:c r="E384" s="4" t="n">
        <x:f>IF('계산 과정'!$L$5,B384*SIN(C384),"")</x:f>
        <x:v>43.20343459199137</x:v>
      </x:c>
      <x:c r="F384" s="4" t="n">
        <x:f>IF('계산 과정'!$L$7,'계산 과정'!$L$22+'계산 과정'!$C$49*D384+'계산 과정'!$D$49*E384,"")</x:f>
        <x:v>683.8510593243994</x:v>
      </x:c>
      <x:c r="G384" s="4" t="n">
        <x:f>IF('계산 과정'!$L$7,IF(ABS(F384)&gt;=1E-12*MAX(1,SQRT((D384-'계산 과정'!$C$33)^2+(E384-'계산 과정'!$D$33)^2+'계산 과정'!$E$33^2)),('계산 과정'!$L$23-'계산 과정'!$C$49*D384-'계산 과정'!$D$49*E384)/F384,""),"")</x:f>
        <x:v>0.5354220567228952</x:v>
      </x:c>
      <x:c r="H384" s="4" t="n">
        <x:f>IF(AND(ISNUMBER(G384),G384&gt;0),('계산 과정'!$D$56+'계산 과정'!$D$57*D384+'계산 과정'!$D$58*E384)/F384,"")</x:f>
        <x:v>-51.97566313011828</x:v>
      </x:c>
      <x:c r="I384" s="4" t="n">
        <x:f>IF(AND(ISNUMBER(G384),G384&gt;0),('계산 과정'!$E$56+'계산 과정'!$E$57*D384+'계산 과정'!$E$58*E384)/F384,"")</x:f>
        <x:v>66.33550639872847</x:v>
      </x:c>
      <x:c r="J384" s="4" t="n">
        <x:f>IF('계산 과정'!$L$5,'계산 과정'!$D$6+'계산 과정'!$C$35*D384+'계산 과정'!$D$35*E384,"")</x:f>
        <x:v>683.8510593243994</x:v>
      </x:c>
      <x:c r="K384" s="4" t="n">
        <x:f>IF(AND('계산 과정'!$L$6,J384&gt;0),'계산 과정'!$D$10*('계산 과정'!$C$38*(D384-'계산 과정'!$C$32)+'계산 과정'!$D$38*(E384-'계산 과정'!$D$32)-'계산 과정'!$E$38*'계산 과정'!$E$32)/J384,"")</x:f>
        <x:v>-0.39600505241994766</x:v>
      </x:c>
      <x:c r="L384" s="4" t="n">
        <x:f>IF(AND('계산 과정'!$L$6,J384&gt;0),'계산 과정'!$D$10*('계산 과정'!$C$39*(D384-'계산 과정'!$C$32)+'계산 과정'!$D$39*(E384-'계산 과정'!$D$32)-'계산 과정'!$E$39*'계산 과정'!$E$32)/J384,"")</x:f>
        <x:v>0.5054133820855502</x:v>
      </x:c>
      <x:c r="M384" s="17" t="n">
        <x:f>IF('계산 과정'!$L$6,IF(J384&lt;=0,0,IF(AND(ABS(K384)&lt;='계산 과정'!$D$11/2,ABS(L384)&lt;='계산 과정'!$D$12/2),1,0)),"")</x:f>
        <x:v>1</x:v>
      </x:c>
      <x:c r="N384" s="17" t="n">
        <x:f>IF('계산 과정'!$C$78,IF(AND(ISNUMBER(H384),ISNUMBER(I384),ABS(H384-'계산 과정'!$C$88)&lt;='계산 과정'!$D$23/2,ABS(I384-'계산 과정'!$C$89)&lt;='계산 과정'!$D$24/2),1,0),"")</x:f>
        <x:v>1</x:v>
      </x:c>
      <x:c r="O384" s="4" t="n">
        <x:f>IF('계산 과정'!$L$7,'계산 과정'!$C$49*('계산 과정'!$C$32-D384)+'계산 과정'!$D$49*('계산 과정'!$D$32-E384)+'계산 과정'!$E$49*'계산 과정'!$E$32,"")</x:f>
        <x:v>-33.85105932439933</x:v>
      </x:c>
      <x:c r="P384" s="4" t="n">
        <x:f>IF(AND('계산 과정'!$L$7,O384&lt;&gt;0),('계산 과정'!$L$23-'계산 과정'!$C$49*D384-'계산 과정'!$D$49*E384)/O384,"")</x:f>
        <x:v>-10.8164692031273</x:v>
      </x:c>
      <x:c r="Q384" s="4" t="str">
        <x:f>IF(AND(ISNUMBER(P384),P384&gt;1E-9,P384&lt;1-1E-9),'계산 과정'!$C$47*(D384-'계산 과정'!$C$50+P384*('계산 과정'!$C$32-D384))+'계산 과정'!$D$47*(E384-'계산 과정'!$D$50+P384*('계산 과정'!$D$32-E384))+'계산 과정'!$E$47*(0-'계산 과정'!$E$50+P384*('계산 과정'!$E$32-0)),"")</x:f>
      </x:c>
      <x:c r="R384" s="4" t="str">
        <x:f>IF(AND(ISNUMBER(P384),P384&gt;1E-9,P384&lt;1-1E-9),'계산 과정'!$C$48*(D384-'계산 과정'!$C$50+P384*('계산 과정'!$C$32-D384))+'계산 과정'!$D$48*(E384-'계산 과정'!$D$50+P384*('계산 과정'!$D$32-E384))+'계산 과정'!$E$48*(0-'계산 과정'!$E$50+P384*('계산 과정'!$E$32-0)),"")</x:f>
      </x:c>
      <x:c r="S384" s="17" t="n">
        <x:f>IF('계산 과정'!$C$78,IF(AND(ISNUMBER(Q384),ISNUMBER(R384),ABS(Q384-'계산 과정'!$C$88)&lt;='계산 과정'!$D$23/2,ABS(R384-'계산 과정'!$C$89)&lt;='계산 과정'!$D$24/2),1,0),"")</x:f>
        <x:v>0</x:v>
      </x:c>
      <x:c r="T384" s="4"/>
      <x:c r="U384" s="4"/>
      <x:c r="V384" s="4"/>
      <x:c r="W384" s="4" t="n">
        <x:f>IF('계산 과정'!$C$78,'계산 과정'!$C$88+-0.48*'계산 과정'!$D$23/2,"")</x:f>
        <x:v>-96.07659574468097</x:v>
      </x:c>
      <x:c r="X384" s="4" t="str">
        <x:f>""</x:f>
      </x:c>
      <x:c r="Y384" s="4" t="n">
        <x:f>IF('계산 과정'!$C$78,'계산 과정'!$C$89+1*'계산 과정'!$D$24/2,"")</x:f>
        <x:v>260</x:v>
      </x:c>
      <x:c r="Z384" s="4" t="str">
        <x:f>""</x:f>
      </x:c>
    </x:row>
    <x:row r="385" ht="23" customHeight="1">
      <x:c r="A385" s="17" t="n">
        <x:f>ROW()-6</x:f>
        <x:v>379</x:v>
      </x:c>
      <x:c r="B385" s="4" t="n">
        <x:f>IF('계산 과정'!$L$5,'계산 과정'!$L$11*SQRT((A385+0.5)/'계산 과정'!$L$30),"")</x:f>
        <x:v>64.57020615916832</x:v>
      </x:c>
      <x:c r="C385" s="4" t="n">
        <x:f>A385*PI()*(3-SQRT(5))</x:f>
        <x:v>909.5860640671594</x:v>
      </x:c>
      <x:c r="D385" s="4" t="n">
        <x:f>IF('계산 과정'!$L$5,B385*COS(C385),"")</x:f>
        <x:v>6.12435896815308</x:v>
      </x:c>
      <x:c r="E385" s="4" t="n">
        <x:f>IF('계산 과정'!$L$5,B385*SIN(C385),"")</x:f>
        <x:v>-64.27910819750615</x:v>
      </x:c>
      <x:c r="F385" s="4" t="n">
        <x:f>IF('계산 과정'!$L$7,'계산 과정'!$L$22+'계산 과정'!$C$49*D385+'계산 과정'!$D$49*E385,"")</x:f>
        <x:v>645.6694242431984</x:v>
      </x:c>
      <x:c r="G385" s="4" t="n">
        <x:f>IF('계산 과정'!$L$7,IF(ABS(F385)&gt;=1E-12*MAX(1,SQRT((D385-'계산 과정'!$C$33)^2+(E385-'계산 과정'!$D$33)^2+'계산 과정'!$E$33^2)),('계산 과정'!$L$23-'계산 과정'!$C$49*D385-'계산 과정'!$D$49*E385)/F385,""),"")</x:f>
        <x:v>0.6262191774540438</x:v>
      </x:c>
      <x:c r="H385" s="4" t="n">
        <x:f>IF(AND(ISNUMBER(G385),G385&gt;0),('계산 과정'!$D$56+'계산 과정'!$D$57*D385+'계산 과정'!$D$58*E385)/F385,"")</x:f>
        <x:v>7.042465345128354</x:v>
      </x:c>
      <x:c r="I385" s="4" t="n">
        <x:f>IF(AND(ISNUMBER(G385),G385&gt;0),('계산 과정'!$E$56+'계산 과정'!$E$57*D385+'계산 과정'!$E$58*E385)/F385,"")</x:f>
        <x:v>-104.53191846042792</x:v>
      </x:c>
      <x:c r="J385" s="4" t="n">
        <x:f>IF('계산 과정'!$L$5,'계산 과정'!$D$6+'계산 과정'!$C$35*D385+'계산 과정'!$D$35*E385,"")</x:f>
        <x:v>645.6694242431984</x:v>
      </x:c>
      <x:c r="K385" s="4" t="n">
        <x:f>IF(AND('계산 과정'!$L$6,J385&gt;0),'계산 과정'!$D$10*('계산 과정'!$C$38*(D385-'계산 과정'!$C$32)+'계산 과정'!$D$38*(E385-'계산 과정'!$D$32)-'계산 과정'!$E$38*'계산 과정'!$E$32)/J385,"")</x:f>
        <x:v>0.05365687882002645</x:v>
      </x:c>
      <x:c r="L385" s="4" t="n">
        <x:f>IF(AND('계산 과정'!$L$6,J385&gt;0),'계산 과정'!$D$10*('계산 과정'!$C$39*(D385-'계산 과정'!$C$32)+'계산 과정'!$D$39*(E385-'계산 과정'!$D$32)-'계산 과정'!$E$39*'계산 과정'!$E$32)/J385,"")</x:f>
        <x:v>-0.7964336644604032</x:v>
      </x:c>
      <x:c r="M385" s="17" t="n">
        <x:f>IF('계산 과정'!$L$6,IF(J385&lt;=0,0,IF(AND(ABS(K385)&lt;='계산 과정'!$D$11/2,ABS(L385)&lt;='계산 과정'!$D$12/2),1,0)),"")</x:f>
        <x:v>1</x:v>
      </x:c>
      <x:c r="N385" s="17" t="n">
        <x:f>IF('계산 과정'!$C$78,IF(AND(ISNUMBER(H385),ISNUMBER(I385),ABS(H385-'계산 과정'!$C$88)&lt;='계산 과정'!$D$23/2,ABS(I385-'계산 과정'!$C$89)&lt;='계산 과정'!$D$24/2),1,0),"")</x:f>
        <x:v>1</x:v>
      </x:c>
      <x:c r="O385" s="4" t="n">
        <x:f>IF('계산 과정'!$L$7,'계산 과정'!$C$49*('계산 과정'!$C$32-D385)+'계산 과정'!$D$49*('계산 과정'!$D$32-E385)+'계산 과정'!$E$49*'계산 과정'!$E$32,"")</x:f>
        <x:v>4.330575756801807</x:v>
      </x:c>
      <x:c r="P385" s="4" t="n">
        <x:f>IF(AND('계산 과정'!$L$7,O385&lt;&gt;0),('계산 과정'!$L$23-'계산 과정'!$C$49*D385-'계산 과정'!$D$49*E385)/O385,"")</x:f>
        <x:v>93.36647098754501</x:v>
      </x:c>
      <x:c r="Q385" s="4" t="str">
        <x:f>IF(AND(ISNUMBER(P385),P385&gt;1E-9,P385&lt;1-1E-9),'계산 과정'!$C$47*(D385-'계산 과정'!$C$50+P385*('계산 과정'!$C$32-D385))+'계산 과정'!$D$47*(E385-'계산 과정'!$D$50+P385*('계산 과정'!$D$32-E385))+'계산 과정'!$E$47*(0-'계산 과정'!$E$50+P385*('계산 과정'!$E$32-0)),"")</x:f>
      </x:c>
      <x:c r="R385" s="4" t="str">
        <x:f>IF(AND(ISNUMBER(P385),P385&gt;1E-9,P385&lt;1-1E-9),'계산 과정'!$C$48*(D385-'계산 과정'!$C$50+P385*('계산 과정'!$C$32-D385))+'계산 과정'!$D$48*(E385-'계산 과정'!$D$50+P385*('계산 과정'!$D$32-E385))+'계산 과정'!$E$48*(0-'계산 과정'!$E$50+P385*('계산 과정'!$E$32-0)),"")</x:f>
      </x:c>
      <x:c r="S385" s="17" t="n">
        <x:f>IF('계산 과정'!$C$78,IF(AND(ISNUMBER(Q385),ISNUMBER(R385),ABS(Q385-'계산 과정'!$C$88)&lt;='계산 과정'!$D$23/2,ABS(R385-'계산 과정'!$C$89)&lt;='계산 과정'!$D$24/2),1,0),"")</x:f>
        <x:v>0</x:v>
      </x:c>
      <x:c r="T385" s="4"/>
      <x:c r="U385" s="4"/>
      <x:c r="V385" s="4"/>
      <x:c r="W385" s="4" t="n">
        <x:f>IF('계산 과정'!$C$78,'계산 과정'!$C$88+-0.52*'계산 과정'!$D$23/2,"")</x:f>
        <x:v>-106.47659574468099</x:v>
      </x:c>
      <x:c r="X385" s="4" t="str">
        <x:f>""</x:f>
      </x:c>
      <x:c r="Y385" s="4" t="n">
        <x:f>IF('계산 과정'!$C$78,'계산 과정'!$C$89+1*'계산 과정'!$D$24/2,"")</x:f>
        <x:v>260</x:v>
      </x:c>
      <x:c r="Z385" s="4" t="str">
        <x:f>""</x:f>
      </x:c>
    </x:row>
    <x:row r="386" ht="23" customHeight="1">
      <x:c r="A386" s="17" t="n">
        <x:f>ROW()-6</x:f>
        <x:v>380</x:v>
      </x:c>
      <x:c r="B386" s="4" t="n">
        <x:f>IF('계산 과정'!$L$5,'계산 과정'!$L$11*SQRT((A386+0.5)/'계산 과정'!$L$30),"")</x:f>
        <x:v>64.65522292562683</x:v>
      </x:c>
      <x:c r="C386" s="4" t="n">
        <x:f>A386*PI()*(3-SQRT(5))</x:f>
        <x:v>911.9860272968881</x:v>
      </x:c>
      <x:c r="D386" s="4" t="n">
        <x:f>IF('계산 과정'!$L$5,B386*COS(C386),"")</x:f>
        <x:v>38.95522520787761</x:v>
      </x:c>
      <x:c r="E386" s="4" t="n">
        <x:f>IF('계산 과정'!$L$5,B386*SIN(C386),"")</x:f>
        <x:v>51.602211973577624</x:v>
      </x:c>
      <x:c r="F386" s="4" t="n">
        <x:f>IF('계산 과정'!$L$7,'계산 과정'!$L$22+'계산 과정'!$C$49*D386+'계산 과정'!$D$49*E386,"")</x:f>
        <x:v>622.4544960928606</x:v>
      </x:c>
      <x:c r="G386" s="4" t="n">
        <x:f>IF('계산 과정'!$L$7,IF(ABS(F386)&gt;=1E-12*MAX(1,SQRT((D386-'계산 과정'!$C$33)^2+(E386-'계산 과정'!$D$33)^2+'계산 과정'!$E$33^2)),('계산 과정'!$L$23-'계산 과정'!$C$49*D386-'계산 과정'!$D$49*E386)/F386,""),"")</x:f>
        <x:v>0.686870295886426</x:v>
      </x:c>
      <x:c r="H386" s="4" t="n">
        <x:f>IF(AND(ISNUMBER(G386),G386&gt;0),('계산 과정'!$D$56+'계산 과정'!$D$57*D386+'계산 과정'!$D$58*E386)/F386,"")</x:f>
        <x:v>46.46569232617683</x:v>
      </x:c>
      <x:c r="I386" s="4" t="n">
        <x:f>IF(AND(ISNUMBER(G386),G386&gt;0),('계산 과정'!$E$56+'계산 과정'!$E$57*D386+'계산 과정'!$E$58*E386)/F386,"")</x:f>
        <x:v>87.04623858026297</x:v>
      </x:c>
      <x:c r="J386" s="4" t="n">
        <x:f>IF('계산 과정'!$L$5,'계산 과정'!$D$6+'계산 과정'!$C$35*D386+'계산 과정'!$D$35*E386,"")</x:f>
        <x:v>622.4544960928606</x:v>
      </x:c>
      <x:c r="K386" s="4" t="n">
        <x:f>IF(AND('계산 과정'!$L$6,J386&gt;0),'계산 과정'!$D$10*('계산 과정'!$C$38*(D386-'계산 과정'!$C$32)+'계산 과정'!$D$38*(E386-'계산 과정'!$D$32)-'계산 과정'!$E$38*'계산 과정'!$E$32)/J386,"")</x:f>
        <x:v>0.3540243224851576</x:v>
      </x:c>
      <x:c r="L386" s="4" t="n">
        <x:f>IF(AND('계산 과정'!$L$6,J386&gt;0),'계산 과정'!$D$10*('계산 과정'!$C$39*(D386-'계산 과정'!$C$32)+'계산 과정'!$D$39*(E386-'계산 과정'!$D$32)-'계산 과정'!$E$39*'계산 과정'!$E$32)/J386,"")</x:f>
        <x:v>0.6632094368020035</x:v>
      </x:c>
      <x:c r="M386" s="17" t="n">
        <x:f>IF('계산 과정'!$L$6,IF(J386&lt;=0,0,IF(AND(ABS(K386)&lt;='계산 과정'!$D$11/2,ABS(L386)&lt;='계산 과정'!$D$12/2),1,0)),"")</x:f>
        <x:v>1</x:v>
      </x:c>
      <x:c r="N386" s="17" t="n">
        <x:f>IF('계산 과정'!$C$78,IF(AND(ISNUMBER(H386),ISNUMBER(I386),ABS(H386-'계산 과정'!$C$88)&lt;='계산 과정'!$D$23/2,ABS(I386-'계산 과정'!$C$89)&lt;='계산 과정'!$D$24/2),1,0),"")</x:f>
        <x:v>1</x:v>
      </x:c>
      <x:c r="O386" s="4" t="n">
        <x:f>IF('계산 과정'!$L$7,'계산 과정'!$C$49*('계산 과정'!$C$32-D386)+'계산 과정'!$D$49*('계산 과정'!$D$32-E386)+'계산 과정'!$E$49*'계산 과정'!$E$32,"")</x:f>
        <x:v>27.545503907139505</x:v>
      </x:c>
      <x:c r="P386" s="4" t="n">
        <x:f>IF(AND('계산 과정'!$L$7,O386&lt;&gt;0),('계산 과정'!$L$23-'계산 과정'!$C$49*D386-'계산 과정'!$D$49*E386)/O386,"")</x:f>
        <x:v>15.521426122697436</x:v>
      </x:c>
      <x:c r="Q386" s="4" t="str">
        <x:f>IF(AND(ISNUMBER(P386),P386&gt;1E-9,P386&lt;1-1E-9),'계산 과정'!$C$47*(D386-'계산 과정'!$C$50+P386*('계산 과정'!$C$32-D386))+'계산 과정'!$D$47*(E386-'계산 과정'!$D$50+P386*('계산 과정'!$D$32-E386))+'계산 과정'!$E$47*(0-'계산 과정'!$E$50+P386*('계산 과정'!$E$32-0)),"")</x:f>
      </x:c>
      <x:c r="R386" s="4" t="str">
        <x:f>IF(AND(ISNUMBER(P386),P386&gt;1E-9,P386&lt;1-1E-9),'계산 과정'!$C$48*(D386-'계산 과정'!$C$50+P386*('계산 과정'!$C$32-D386))+'계산 과정'!$D$48*(E386-'계산 과정'!$D$50+P386*('계산 과정'!$D$32-E386))+'계산 과정'!$E$48*(0-'계산 과정'!$E$50+P386*('계산 과정'!$E$32-0)),"")</x:f>
      </x:c>
      <x:c r="S386" s="17" t="n">
        <x:f>IF('계산 과정'!$C$78,IF(AND(ISNUMBER(Q386),ISNUMBER(R386),ABS(Q386-'계산 과정'!$C$88)&lt;='계산 과정'!$D$23/2,ABS(R386-'계산 과정'!$C$89)&lt;='계산 과정'!$D$24/2),1,0),"")</x:f>
        <x:v>0</x:v>
      </x:c>
      <x:c r="T386" s="4"/>
      <x:c r="U386" s="4"/>
      <x:c r="V386" s="4"/>
      <x:c r="W386" s="4" t="n">
        <x:f>IF('계산 과정'!$C$78,'계산 과정'!$C$88+-0.56*'계산 과정'!$D$23/2,"")</x:f>
        <x:v>-116.876595744681</x:v>
      </x:c>
      <x:c r="X386" s="4" t="str">
        <x:f>""</x:f>
      </x:c>
      <x:c r="Y386" s="4" t="n">
        <x:f>IF('계산 과정'!$C$78,'계산 과정'!$C$89+1*'계산 과정'!$D$24/2,"")</x:f>
        <x:v>260</x:v>
      </x:c>
      <x:c r="Z386" s="4" t="str">
        <x:f>""</x:f>
      </x:c>
    </x:row>
    <x:row r="387" ht="23" customHeight="1">
      <x:c r="A387" s="17" t="n">
        <x:f>ROW()-6</x:f>
        <x:v>381</x:v>
      </x:c>
      <x:c r="B387" s="4" t="n">
        <x:f>IF('계산 과정'!$L$5,'계산 과정'!$L$11*SQRT((A387+0.5)/'계산 과정'!$L$30),"")</x:f>
        <x:v>64.74012804812406</x:v>
      </x:c>
      <x:c r="C387" s="4" t="n">
        <x:f>A387*PI()*(3-SQRT(5))</x:f>
        <x:v>914.3859905266166</x:v>
      </x:c>
      <x:c r="D387" s="4" t="n">
        <x:f>IF('계산 과정'!$L$5,B387*COS(C387),"")</x:f>
        <x:v>-63.66465872772239</x:v>
      </x:c>
      <x:c r="E387" s="4" t="n">
        <x:f>IF('계산 과정'!$L$5,B387*SIN(C387),"")</x:f>
        <x:v>-11.751400289758713</x:v>
      </x:c>
      <x:c r="F387" s="4" t="n">
        <x:f>IF('계산 과정'!$L$7,'계산 과정'!$L$22+'계산 과정'!$C$49*D387+'계산 과정'!$D$49*E387,"")</x:f>
        <x:v>695.0177119082998</x:v>
      </x:c>
      <x:c r="G387" s="4" t="n">
        <x:f>IF('계산 과정'!$L$7,IF(ABS(F387)&gt;=1E-12*MAX(1,SQRT((D387-'계산 과정'!$C$33)^2+(E387-'계산 과정'!$D$33)^2+'계산 과정'!$E$33^2)),('계산 과정'!$L$23-'계산 과정'!$C$49*D387-'계산 과정'!$D$49*E387)/F387,""),"")</x:f>
        <x:v>0.5107528657320554</x:v>
      </x:c>
      <x:c r="H387" s="4" t="n">
        <x:f>IF(AND(ISNUMBER(G387),G387&gt;0),('계산 과정'!$D$56+'계산 과정'!$D$57*D387+'계산 과정'!$D$58*E387)/F387,"")</x:f>
        <x:v>-68.01063727416415</x:v>
      </x:c>
      <x:c r="I387" s="4" t="n">
        <x:f>IF(AND(ISNUMBER(G387),G387&gt;0),('계산 과정'!$E$56+'계산 과정'!$E$57*D387+'계산 과정'!$E$58*E387)/F387,"")</x:f>
        <x:v>-17.75346166411748</x:v>
      </x:c>
      <x:c r="J387" s="4" t="n">
        <x:f>IF('계산 과정'!$L$5,'계산 과정'!$D$6+'계산 과정'!$C$35*D387+'계산 과정'!$D$35*E387,"")</x:f>
        <x:v>695.0177119082998</x:v>
      </x:c>
      <x:c r="K387" s="4" t="n">
        <x:f>IF(AND('계산 과정'!$L$6,J387&gt;0),'계산 과정'!$D$10*('계산 과정'!$C$38*(D387-'계산 과정'!$C$32)+'계산 과정'!$D$38*(E387-'계산 과정'!$D$32)-'계산 과정'!$E$38*'계산 과정'!$E$32)/J387,"")</x:f>
        <x:v>-0.5181762839936312</x:v>
      </x:c>
      <x:c r="L387" s="4" t="n">
        <x:f>IF(AND('계산 과정'!$L$6,J387&gt;0),'계산 과정'!$D$10*('계산 과정'!$C$39*(D387-'계산 과정'!$C$32)+'계산 과정'!$D$39*(E387-'계산 과정'!$D$32)-'계산 과정'!$E$39*'계산 과정'!$E$32)/J387,"")</x:f>
        <x:v>-0.13526446982184748</x:v>
      </x:c>
      <x:c r="M387" s="17" t="n">
        <x:f>IF('계산 과정'!$L$6,IF(J387&lt;=0,0,IF(AND(ABS(K387)&lt;='계산 과정'!$D$11/2,ABS(L387)&lt;='계산 과정'!$D$12/2),1,0)),"")</x:f>
        <x:v>1</x:v>
      </x:c>
      <x:c r="N387" s="17" t="n">
        <x:f>IF('계산 과정'!$C$78,IF(AND(ISNUMBER(H387),ISNUMBER(I387),ABS(H387-'계산 과정'!$C$88)&lt;='계산 과정'!$D$23/2,ABS(I387-'계산 과정'!$C$89)&lt;='계산 과정'!$D$24/2),1,0),"")</x:f>
        <x:v>1</x:v>
      </x:c>
      <x:c r="O387" s="4" t="n">
        <x:f>IF('계산 과정'!$L$7,'계산 과정'!$C$49*('계산 과정'!$C$32-D387)+'계산 과정'!$D$49*('계산 과정'!$D$32-E387)+'계산 과정'!$E$49*'계산 과정'!$E$32,"")</x:f>
        <x:v>-45.01771190829976</x:v>
      </x:c>
      <x:c r="P387" s="4" t="n">
        <x:f>IF(AND('계산 과정'!$L$7,O387&lt;&gt;0),('계산 과정'!$L$23-'계산 과정'!$C$49*D387-'계산 과정'!$D$49*E387)/O387,"")</x:f>
        <x:v>-7.885391616854995</x:v>
      </x:c>
      <x:c r="Q387" s="4" t="str">
        <x:f>IF(AND(ISNUMBER(P387),P387&gt;1E-9,P387&lt;1-1E-9),'계산 과정'!$C$47*(D387-'계산 과정'!$C$50+P387*('계산 과정'!$C$32-D387))+'계산 과정'!$D$47*(E387-'계산 과정'!$D$50+P387*('계산 과정'!$D$32-E387))+'계산 과정'!$E$47*(0-'계산 과정'!$E$50+P387*('계산 과정'!$E$32-0)),"")</x:f>
      </x:c>
      <x:c r="R387" s="4" t="str">
        <x:f>IF(AND(ISNUMBER(P387),P387&gt;1E-9,P387&lt;1-1E-9),'계산 과정'!$C$48*(D387-'계산 과정'!$C$50+P387*('계산 과정'!$C$32-D387))+'계산 과정'!$D$48*(E387-'계산 과정'!$D$50+P387*('계산 과정'!$D$32-E387))+'계산 과정'!$E$48*(0-'계산 과정'!$E$50+P387*('계산 과정'!$E$32-0)),"")</x:f>
      </x:c>
      <x:c r="S387" s="17" t="n">
        <x:f>IF('계산 과정'!$C$78,IF(AND(ISNUMBER(Q387),ISNUMBER(R387),ABS(Q387-'계산 과정'!$C$88)&lt;='계산 과정'!$D$23/2,ABS(R387-'계산 과정'!$C$89)&lt;='계산 과정'!$D$24/2),1,0),"")</x:f>
        <x:v>0</x:v>
      </x:c>
      <x:c r="T387" s="4"/>
      <x:c r="U387" s="4"/>
      <x:c r="V387" s="4"/>
      <x:c r="W387" s="4" t="n">
        <x:f>IF('계산 과정'!$C$78,'계산 과정'!$C$88+-0.6000000000000001*'계산 과정'!$D$23/2,"")</x:f>
        <x:v>-127.276595744681</x:v>
      </x:c>
      <x:c r="X387" s="4" t="str">
        <x:f>""</x:f>
      </x:c>
      <x:c r="Y387" s="4" t="n">
        <x:f>IF('계산 과정'!$C$78,'계산 과정'!$C$89+1*'계산 과정'!$D$24/2,"")</x:f>
        <x:v>260</x:v>
      </x:c>
      <x:c r="Z387" s="4" t="str">
        <x:f>""</x:f>
      </x:c>
    </x:row>
    <x:row r="388" ht="23" customHeight="1">
      <x:c r="A388" s="17" t="n">
        <x:f>ROW()-6</x:f>
        <x:v>382</x:v>
      </x:c>
      <x:c r="B388" s="4" t="n">
        <x:f>IF('계산 과정'!$L$5,'계산 과정'!$L$11*SQRT((A388+0.5)/'계산 과정'!$L$30),"")</x:f>
        <x:v>64.82492196534061</x:v>
      </x:c>
      <x:c r="C388" s="4" t="n">
        <x:f>A388*PI()*(3-SQRT(5))</x:f>
        <x:v>916.7859537563454</x:v>
      </x:c>
      <x:c r="D388" s="4" t="n">
        <x:f>IF('계산 과정'!$L$5,B388*COS(C388),"")</x:f>
        <x:v>54.95417735777459</x:v>
      </x:c>
      <x:c r="E388" s="4" t="n">
        <x:f>IF('계산 과정'!$L$5,B388*SIN(C388),"")</x:f>
        <x:v>-34.38471897140871</x:v>
      </x:c>
      <x:c r="F388" s="4" t="n">
        <x:f>IF('계산 과정'!$L$7,'계산 과정'!$L$22+'계산 과정'!$C$49*D388+'계산 과정'!$D$49*E388,"")</x:f>
        <x:v>611.1415285357893</x:v>
      </x:c>
      <x:c r="G388" s="4" t="n">
        <x:f>IF('계산 과정'!$L$7,IF(ABS(F388)&gt;=1E-12*MAX(1,SQRT((D388-'계산 과정'!$C$33)^2+(E388-'계산 과정'!$D$33)^2+'계산 과정'!$E$33^2)),('계산 과정'!$L$23-'계산 과정'!$C$49*D388-'계산 과정'!$D$49*E388)/F388,""),"")</x:f>
        <x:v>0.7180963017120681</x:v>
      </x:c>
      <x:c r="H388" s="4" t="n">
        <x:f>IF(AND(ISNUMBER(G388),G388&gt;0),('계산 과정'!$D$56+'계산 과정'!$D$57*D388+'계산 과정'!$D$58*E388)/F388,"")</x:f>
        <x:v>66.76259611284414</x:v>
      </x:c>
      <x:c r="I388" s="4" t="n">
        <x:f>IF(AND(ISNUMBER(G388),G388&gt;0),('계산 과정'!$E$56+'계산 과정'!$E$57*D388+'계산 과정'!$E$58*E388)/F388,"")</x:f>
        <x:v>-59.076258500186086</x:v>
      </x:c>
      <x:c r="J388" s="4" t="n">
        <x:f>IF('계산 과정'!$L$5,'계산 과정'!$D$6+'계산 과정'!$C$35*D388+'계산 과정'!$D$35*E388,"")</x:f>
        <x:v>611.1415285357893</x:v>
      </x:c>
      <x:c r="K388" s="4" t="n">
        <x:f>IF(AND('계산 과정'!$L$6,J388&gt;0),'계산 과정'!$D$10*('계산 과정'!$C$38*(D388-'계산 과정'!$C$32)+'계산 과정'!$D$38*(E388-'계산 과정'!$D$32)-'계산 과정'!$E$38*'계산 과정'!$E$32)/J388,"")</x:f>
        <x:v>0.5086673989550038</x:v>
      </x:c>
      <x:c r="L388" s="4" t="n">
        <x:f>IF(AND('계산 과정'!$L$6,J388&gt;0),'계산 과정'!$D$10*('계산 과정'!$C$39*(D388-'계산 과정'!$C$32)+'계산 과정'!$D$39*(E388-'계산 과정'!$D$32)-'계산 과정'!$E$39*'계산 과정'!$E$32)/J388,"")</x:f>
        <x:v>-0.4501048266680845</x:v>
      </x:c>
      <x:c r="M388" s="17" t="n">
        <x:f>IF('계산 과정'!$L$6,IF(J388&lt;=0,0,IF(AND(ABS(K388)&lt;='계산 과정'!$D$11/2,ABS(L388)&lt;='계산 과정'!$D$12/2),1,0)),"")</x:f>
        <x:v>1</x:v>
      </x:c>
      <x:c r="N388" s="17" t="n">
        <x:f>IF('계산 과정'!$C$78,IF(AND(ISNUMBER(H388),ISNUMBER(I388),ABS(H388-'계산 과정'!$C$88)&lt;='계산 과정'!$D$23/2,ABS(I388-'계산 과정'!$C$89)&lt;='계산 과정'!$D$24/2),1,0),"")</x:f>
        <x:v>1</x:v>
      </x:c>
      <x:c r="O388" s="4" t="n">
        <x:f>IF('계산 과정'!$L$7,'계산 과정'!$C$49*('계산 과정'!$C$32-D388)+'계산 과정'!$D$49*('계산 과정'!$D$32-E388)+'계산 과정'!$E$49*'계산 과정'!$E$32,"")</x:f>
        <x:v>38.858471464210766</x:v>
      </x:c>
      <x:c r="P388" s="4" t="n">
        <x:f>IF(AND('계산 과정'!$L$7,O388&lt;&gt;0),('계산 과정'!$L$23-'계산 과정'!$C$49*D388-'계산 과정'!$D$49*E388)/O388,"")</x:f>
        <x:v>11.293765681658526</x:v>
      </x:c>
      <x:c r="Q388" s="4" t="str">
        <x:f>IF(AND(ISNUMBER(P388),P388&gt;1E-9,P388&lt;1-1E-9),'계산 과정'!$C$47*(D388-'계산 과정'!$C$50+P388*('계산 과정'!$C$32-D388))+'계산 과정'!$D$47*(E388-'계산 과정'!$D$50+P388*('계산 과정'!$D$32-E388))+'계산 과정'!$E$47*(0-'계산 과정'!$E$50+P388*('계산 과정'!$E$32-0)),"")</x:f>
      </x:c>
      <x:c r="R388" s="4" t="str">
        <x:f>IF(AND(ISNUMBER(P388),P388&gt;1E-9,P388&lt;1-1E-9),'계산 과정'!$C$48*(D388-'계산 과정'!$C$50+P388*('계산 과정'!$C$32-D388))+'계산 과정'!$D$48*(E388-'계산 과정'!$D$50+P388*('계산 과정'!$D$32-E388))+'계산 과정'!$E$48*(0-'계산 과정'!$E$50+P388*('계산 과정'!$E$32-0)),"")</x:f>
      </x:c>
      <x:c r="S388" s="17" t="n">
        <x:f>IF('계산 과정'!$C$78,IF(AND(ISNUMBER(Q388),ISNUMBER(R388),ABS(Q388-'계산 과정'!$C$88)&lt;='계산 과정'!$D$23/2,ABS(R388-'계산 과정'!$C$89)&lt;='계산 과정'!$D$24/2),1,0),"")</x:f>
        <x:v>0</x:v>
      </x:c>
      <x:c r="T388" s="4"/>
      <x:c r="U388" s="4"/>
      <x:c r="V388" s="4"/>
      <x:c r="W388" s="4" t="n">
        <x:f>IF('계산 과정'!$C$78,'계산 과정'!$C$88+-0.6399999999999999*'계산 과정'!$D$23/2,"")</x:f>
        <x:v>-137.67659574468095</x:v>
      </x:c>
      <x:c r="X388" s="4" t="str">
        <x:f>""</x:f>
      </x:c>
      <x:c r="Y388" s="4" t="n">
        <x:f>IF('계산 과정'!$C$78,'계산 과정'!$C$89+1*'계산 과정'!$D$24/2,"")</x:f>
        <x:v>260</x:v>
      </x:c>
      <x:c r="Z388" s="4" t="str">
        <x:f>""</x:f>
      </x:c>
    </x:row>
    <x:row r="389" ht="23" customHeight="1">
      <x:c r="A389" s="17" t="n">
        <x:f>ROW()-6</x:f>
        <x:v>383</x:v>
      </x:c>
      <x:c r="B389" s="4" t="n">
        <x:f>IF('계산 과정'!$L$5,'계산 과정'!$L$11*SQRT((A389+0.5)/'계산 과정'!$L$30),"")</x:f>
        <x:v>64.9096051130917</x:v>
      </x:c>
      <x:c r="C389" s="4" t="n">
        <x:f>A389*PI()*(3-SQRT(5))</x:f>
        <x:v>919.185916986074</x:v>
      </x:c>
      <x:c r="D389" s="4" t="n">
        <x:f>IF('계산 과정'!$L$5,B389*COS(C389),"")</x:f>
        <x:v>-17.31754919670938</x:v>
      </x:c>
      <x:c r="E389" s="4" t="n">
        <x:f>IF('계산 과정'!$L$5,B389*SIN(C389),"")</x:f>
        <x:v>62.55684875181174</x:v>
      </x:c>
      <x:c r="F389" s="4" t="n">
        <x:f>IF('계산 과정'!$L$7,'계산 과정'!$L$22+'계산 과정'!$C$49*D389+'계산 과정'!$D$49*E389,"")</x:f>
        <x:v>662.2453564705248</x:v>
      </x:c>
      <x:c r="G389" s="4" t="n">
        <x:f>IF('계산 과정'!$L$7,IF(ABS(F389)&gt;=1E-12*MAX(1,SQRT((D389-'계산 과정'!$C$33)^2+(E389-'계산 과정'!$D$33)^2+'계산 과정'!$E$33^2)),('계산 과정'!$L$23-'계산 과정'!$C$49*D389-'계산 과정'!$D$49*E389)/F389,""),"")</x:f>
        <x:v>0.5855150809905805</x:v>
      </x:c>
      <x:c r="H389" s="4" t="n">
        <x:f>IF(AND(ISNUMBER(G389),G389&gt;0),('계산 과정'!$D$56+'계산 과정'!$D$57*D389+'계산 과정'!$D$58*E389)/F389,"")</x:f>
        <x:v>-19.415197356122853</x:v>
      </x:c>
      <x:c r="I389" s="4" t="n">
        <x:f>IF(AND(ISNUMBER(G389),G389&gt;0),('계산 과정'!$E$56+'계산 과정'!$E$57*D389+'계산 과정'!$E$58*E389)/F389,"")</x:f>
        <x:v>99.1848271152443</x:v>
      </x:c>
      <x:c r="J389" s="4" t="n">
        <x:f>IF('계산 과정'!$L$5,'계산 과정'!$D$6+'계산 과정'!$C$35*D389+'계산 과정'!$D$35*E389,"")</x:f>
        <x:v>662.2453564705248</x:v>
      </x:c>
      <x:c r="K389" s="4" t="n">
        <x:f>IF(AND('계산 과정'!$L$6,J389&gt;0),'계산 과정'!$D$10*('계산 과정'!$C$38*(D389-'계산 과정'!$C$32)+'계산 과정'!$D$38*(E389-'계산 과정'!$D$32)-'계산 과정'!$E$38*'계산 과정'!$E$32)/J389,"")</x:f>
        <x:v>-0.14792531318950627</x:v>
      </x:c>
      <x:c r="L389" s="4" t="n">
        <x:f>IF(AND('계산 과정'!$L$6,J389&gt;0),'계산 과정'!$D$10*('계산 과정'!$C$39*(D389-'계산 과정'!$C$32)+'계산 과정'!$D$39*(E389-'계산 과정'!$D$32)-'계산 과정'!$E$39*'계산 과정'!$E$32)/J389,"")</x:f>
        <x:v>0.7556939208780518</x:v>
      </x:c>
      <x:c r="M389" s="17" t="n">
        <x:f>IF('계산 과정'!$L$6,IF(J389&lt;=0,0,IF(AND(ABS(K389)&lt;='계산 과정'!$D$11/2,ABS(L389)&lt;='계산 과정'!$D$12/2),1,0)),"")</x:f>
        <x:v>1</x:v>
      </x:c>
      <x:c r="N389" s="17" t="n">
        <x:f>IF('계산 과정'!$C$78,IF(AND(ISNUMBER(H389),ISNUMBER(I389),ABS(H389-'계산 과정'!$C$88)&lt;='계산 과정'!$D$23/2,ABS(I389-'계산 과정'!$C$89)&lt;='계산 과정'!$D$24/2),1,0),"")</x:f>
        <x:v>1</x:v>
      </x:c>
      <x:c r="O389" s="4" t="n">
        <x:f>IF('계산 과정'!$L$7,'계산 과정'!$C$49*('계산 과정'!$C$32-D389)+'계산 과정'!$D$49*('계산 과정'!$D$32-E389)+'계산 과정'!$E$49*'계산 과정'!$E$32,"")</x:f>
        <x:v>-12.245356470524712</x:v>
      </x:c>
      <x:c r="P389" s="4" t="n">
        <x:f>IF(AND('계산 과정'!$L$7,O389&lt;&gt;0),('계산 과정'!$L$23-'계산 과정'!$C$49*D389-'계산 과정'!$D$49*E389)/O389,"")</x:f>
        <x:v>-31.665443506101536</x:v>
      </x:c>
      <x:c r="Q389" s="4" t="str">
        <x:f>IF(AND(ISNUMBER(P389),P389&gt;1E-9,P389&lt;1-1E-9),'계산 과정'!$C$47*(D389-'계산 과정'!$C$50+P389*('계산 과정'!$C$32-D389))+'계산 과정'!$D$47*(E389-'계산 과정'!$D$50+P389*('계산 과정'!$D$32-E389))+'계산 과정'!$E$47*(0-'계산 과정'!$E$50+P389*('계산 과정'!$E$32-0)),"")</x:f>
      </x:c>
      <x:c r="R389" s="4" t="str">
        <x:f>IF(AND(ISNUMBER(P389),P389&gt;1E-9,P389&lt;1-1E-9),'계산 과정'!$C$48*(D389-'계산 과정'!$C$50+P389*('계산 과정'!$C$32-D389))+'계산 과정'!$D$48*(E389-'계산 과정'!$D$50+P389*('계산 과정'!$D$32-E389))+'계산 과정'!$E$48*(0-'계산 과정'!$E$50+P389*('계산 과정'!$E$32-0)),"")</x:f>
      </x:c>
      <x:c r="S389" s="17" t="n">
        <x:f>IF('계산 과정'!$C$78,IF(AND(ISNUMBER(Q389),ISNUMBER(R389),ABS(Q389-'계산 과정'!$C$88)&lt;='계산 과정'!$D$23/2,ABS(R389-'계산 과정'!$C$89)&lt;='계산 과정'!$D$24/2),1,0),"")</x:f>
        <x:v>0</x:v>
      </x:c>
      <x:c r="T389" s="4"/>
      <x:c r="U389" s="4"/>
      <x:c r="V389" s="4"/>
      <x:c r="W389" s="4" t="n">
        <x:f>IF('계산 과정'!$C$78,'계산 과정'!$C$88+-0.6799999999999999*'계산 과정'!$D$23/2,"")</x:f>
        <x:v>-148.07659574468096</x:v>
      </x:c>
      <x:c r="X389" s="4" t="str">
        <x:f>""</x:f>
      </x:c>
      <x:c r="Y389" s="4" t="n">
        <x:f>IF('계산 과정'!$C$78,'계산 과정'!$C$89+1*'계산 과정'!$D$24/2,"")</x:f>
        <x:v>260</x:v>
      </x:c>
      <x:c r="Z389" s="4" t="str">
        <x:f>""</x:f>
      </x:c>
    </x:row>
    <x:row r="390" ht="23" customHeight="1">
      <x:c r="A390" s="17" t="n">
        <x:f>ROW()-6</x:f>
        <x:v>384</x:v>
      </x:c>
      <x:c r="B390" s="4" t="n">
        <x:f>IF('계산 과정'!$L$5,'계산 과정'!$L$11*SQRT((A390+0.5)/'계산 과정'!$L$30),"")</x:f>
        <x:v>64.99417792435335</x:v>
      </x:c>
      <x:c r="C390" s="4" t="n">
        <x:f>A390*PI()*(3-SQRT(5))</x:f>
        <x:v>921.5858802158027</x:v>
      </x:c>
      <x:c r="D390" s="4" t="n">
        <x:f>IF('계산 과정'!$L$5,B390*COS(C390),"")</x:f>
        <x:v>-29.52554206886613</x:v>
      </x:c>
      <x:c r="E390" s="4" t="n">
        <x:f>IF('계산 과정'!$L$5,B390*SIN(C390),"")</x:f>
        <x:v>-57.90065223814078</x:v>
      </x:c>
      <x:c r="F390" s="4" t="n">
        <x:f>IF('계산 과정'!$L$7,'계산 과정'!$L$22+'계산 과정'!$C$49*D390+'계산 과정'!$D$49*E390,"")</x:f>
        <x:v>670.877711015104</x:v>
      </x:c>
      <x:c r="G390" s="4" t="n">
        <x:f>IF('계산 과정'!$L$7,IF(ABS(F390)&gt;=1E-12*MAX(1,SQRT((D390-'계산 과정'!$C$33)^2+(E390-'계산 과정'!$D$33)^2+'계산 과정'!$E$33^2)),('계산 과정'!$L$23-'계산 과정'!$C$49*D390-'계산 과정'!$D$49*E390)/F390,""),"")</x:f>
        <x:v>0.5651138542242621</x:v>
      </x:c>
      <x:c r="H390" s="4" t="n">
        <x:f>IF(AND(ISNUMBER(G390),G390&gt;0),('계산 과정'!$D$56+'계산 과정'!$D$57*D390+'계산 과정'!$D$58*E390)/F390,"")</x:f>
        <x:v>-32.675994754229755</x:v>
      </x:c>
      <x:c r="I390" s="4" t="n">
        <x:f>IF(AND(ISNUMBER(G390),G390&gt;0),('계산 과정'!$E$56+'계산 과정'!$E$57*D390+'계산 과정'!$E$58*E390)/F390,"")</x:f>
        <x:v>-90.62111298653515</x:v>
      </x:c>
      <x:c r="J390" s="4" t="n">
        <x:f>IF('계산 과정'!$L$5,'계산 과정'!$D$6+'계산 과정'!$C$35*D390+'계산 과정'!$D$35*E390,"")</x:f>
        <x:v>670.877711015104</x:v>
      </x:c>
      <x:c r="K390" s="4" t="n">
        <x:f>IF(AND('계산 과정'!$L$6,J390&gt;0),'계산 과정'!$D$10*('계산 과정'!$C$38*(D390-'계산 과정'!$C$32)+'계산 과정'!$D$38*(E390-'계산 과정'!$D$32)-'계산 과정'!$E$38*'계산 과정'!$E$32)/J390,"")</x:f>
        <x:v>-0.24895996003222545</x:v>
      </x:c>
      <x:c r="L390" s="4" t="n">
        <x:f>IF(AND('계산 과정'!$L$6,J390&gt;0),'계산 과정'!$D$10*('계산 과정'!$C$39*(D390-'계산 과정'!$C$32)+'계산 과정'!$D$39*(E390-'계산 과정'!$D$32)-'계산 과정'!$E$39*'계산 과정'!$E$32)/J390,"")</x:f>
        <x:v>-0.690446575135506</x:v>
      </x:c>
      <x:c r="M390" s="17" t="n">
        <x:f>IF('계산 과정'!$L$6,IF(J390&lt;=0,0,IF(AND(ABS(K390)&lt;='계산 과정'!$D$11/2,ABS(L390)&lt;='계산 과정'!$D$12/2),1,0)),"")</x:f>
        <x:v>1</x:v>
      </x:c>
      <x:c r="N390" s="17" t="n">
        <x:f>IF('계산 과정'!$C$78,IF(AND(ISNUMBER(H390),ISNUMBER(I390),ABS(H390-'계산 과정'!$C$88)&lt;='계산 과정'!$D$23/2,ABS(I390-'계산 과정'!$C$89)&lt;='계산 과정'!$D$24/2),1,0),"")</x:f>
        <x:v>1</x:v>
      </x:c>
      <x:c r="O390" s="4" t="n">
        <x:f>IF('계산 과정'!$L$7,'계산 과정'!$C$49*('계산 과정'!$C$32-D390)+'계산 과정'!$D$49*('계산 과정'!$D$32-E390)+'계산 과정'!$E$49*'계산 과정'!$E$32,"")</x:f>
        <x:v>-20.877711015103785</x:v>
      </x:c>
      <x:c r="P390" s="4" t="n">
        <x:f>IF(AND('계산 과정'!$L$7,O390&lt;&gt;0),('계산 과정'!$L$23-'계산 과정'!$C$49*D390-'계산 과정'!$D$49*E390)/O390,"")</x:f>
        <x:v>-18.159188462309093</x:v>
      </x:c>
      <x:c r="Q390" s="4" t="str">
        <x:f>IF(AND(ISNUMBER(P390),P390&gt;1E-9,P390&lt;1-1E-9),'계산 과정'!$C$47*(D390-'계산 과정'!$C$50+P390*('계산 과정'!$C$32-D390))+'계산 과정'!$D$47*(E390-'계산 과정'!$D$50+P390*('계산 과정'!$D$32-E390))+'계산 과정'!$E$47*(0-'계산 과정'!$E$50+P390*('계산 과정'!$E$32-0)),"")</x:f>
      </x:c>
      <x:c r="R390" s="4" t="str">
        <x:f>IF(AND(ISNUMBER(P390),P390&gt;1E-9,P390&lt;1-1E-9),'계산 과정'!$C$48*(D390-'계산 과정'!$C$50+P390*('계산 과정'!$C$32-D390))+'계산 과정'!$D$48*(E390-'계산 과정'!$D$50+P390*('계산 과정'!$D$32-E390))+'계산 과정'!$E$48*(0-'계산 과정'!$E$50+P390*('계산 과정'!$E$32-0)),"")</x:f>
      </x:c>
      <x:c r="S390" s="17" t="n">
        <x:f>IF('계산 과정'!$C$78,IF(AND(ISNUMBER(Q390),ISNUMBER(R390),ABS(Q390-'계산 과정'!$C$88)&lt;='계산 과정'!$D$23/2,ABS(R390-'계산 과정'!$C$89)&lt;='계산 과정'!$D$24/2),1,0),"")</x:f>
        <x:v>0</x:v>
      </x:c>
      <x:c r="T390" s="4"/>
      <x:c r="U390" s="4"/>
      <x:c r="V390" s="4"/>
      <x:c r="W390" s="4" t="n">
        <x:f>IF('계산 과정'!$C$78,'계산 과정'!$C$88+-0.72*'계산 과정'!$D$23/2,"")</x:f>
        <x:v>-158.47659574468096</x:v>
      </x:c>
      <x:c r="X390" s="4" t="str">
        <x:f>""</x:f>
      </x:c>
      <x:c r="Y390" s="4" t="n">
        <x:f>IF('계산 과정'!$C$78,'계산 과정'!$C$89+1*'계산 과정'!$D$24/2,"")</x:f>
        <x:v>260</x:v>
      </x:c>
      <x:c r="Z390" s="4" t="str">
        <x:f>""</x:f>
      </x:c>
    </x:row>
    <x:row r="391" ht="23" customHeight="1">
      <x:c r="A391" s="17" t="n">
        <x:f>ROW()-6</x:f>
        <x:v>385</x:v>
      </x:c>
      <x:c r="B391" s="4" t="n">
        <x:f>IF('계산 과정'!$L$5,'계산 과정'!$L$11*SQRT((A391+0.5)/'계산 과정'!$L$30),"")</x:f>
        <x:v>65.07864082928822</x:v>
      </x:c>
      <x:c r="C391" s="4" t="n">
        <x:f>A391*PI()*(3-SQRT(5))</x:f>
        <x:v>923.9858434455315</x:v>
      </x:c>
      <x:c r="D391" s="4" t="n">
        <x:f>IF('계산 과정'!$L$5,B391*COS(C391),"")</x:f>
        <x:v>60.96166409754741</x:v>
      </x:c>
      <x:c r="E391" s="4" t="n">
        <x:f>IF('계산 과정'!$L$5,B391*SIN(C391),"")</x:f>
        <x:v>22.779486443844558</x:v>
      </x:c>
      <x:c r="F391" s="4" t="n">
        <x:f>IF('계산 과정'!$L$7,'계산 과정'!$L$22+'계산 과정'!$C$49*D391+'계산 과정'!$D$49*E391,"")</x:f>
        <x:v>606.8935939242077</x:v>
      </x:c>
      <x:c r="G391" s="4" t="n">
        <x:f>IF('계산 과정'!$L$7,IF(ABS(F391)&gt;=1E-12*MAX(1,SQRT((D391-'계산 과정'!$C$33)^2+(E391-'계산 과정'!$D$33)^2+'계산 과정'!$E$33^2)),('계산 과정'!$L$23-'계산 과정'!$C$49*D391-'계산 과정'!$D$49*E391)/F391,""),"")</x:f>
        <x:v>0.7301220683689238</x:v>
      </x:c>
      <x:c r="H391" s="4" t="n">
        <x:f>IF(AND(ISNUMBER(G391),G391&gt;0),('계산 과정'!$D$56+'계산 과정'!$D$57*D391+'계산 과정'!$D$58*E391)/F391,"")</x:f>
        <x:v>74.57934443980037</x:v>
      </x:c>
      <x:c r="I391" s="4" t="n">
        <x:f>IF(AND(ISNUMBER(G391),G391&gt;0),('계산 과정'!$E$56+'계산 과정'!$E$57*D391+'계산 과정'!$E$58*E391)/F391,"")</x:f>
        <x:v>39.41129220260621</x:v>
      </x:c>
      <x:c r="J391" s="4" t="n">
        <x:f>IF('계산 과정'!$L$5,'계산 과정'!$D$6+'계산 과정'!$C$35*D391+'계산 과정'!$D$35*E391,"")</x:f>
        <x:v>606.8935939242077</x:v>
      </x:c>
      <x:c r="K391" s="4" t="n">
        <x:f>IF(AND('계산 과정'!$L$6,J391&gt;0),'계산 과정'!$D$10*('계산 과정'!$C$38*(D391-'계산 과정'!$C$32)+'계산 과정'!$D$38*(E391-'계산 과정'!$D$32)-'계산 과정'!$E$38*'계산 과정'!$E$32)/J391,"")</x:f>
        <x:v>0.5682235766841941</x:v>
      </x:c>
      <x:c r="L391" s="4" t="n">
        <x:f>IF(AND('계산 과정'!$L$6,J391&gt;0),'계산 과정'!$D$10*('계산 과정'!$C$39*(D391-'계산 과정'!$C$32)+'계산 과정'!$D$39*(E391-'계산 과정'!$D$32)-'계산 과정'!$E$39*'계산 과정'!$E$32)/J391,"")</x:f>
        <x:v>0.30027651201985683</x:v>
      </x:c>
      <x:c r="M391" s="17" t="n">
        <x:f>IF('계산 과정'!$L$6,IF(J391&lt;=0,0,IF(AND(ABS(K391)&lt;='계산 과정'!$D$11/2,ABS(L391)&lt;='계산 과정'!$D$12/2),1,0)),"")</x:f>
        <x:v>1</x:v>
      </x:c>
      <x:c r="N391" s="17" t="n">
        <x:f>IF('계산 과정'!$C$78,IF(AND(ISNUMBER(H391),ISNUMBER(I391),ABS(H391-'계산 과정'!$C$88)&lt;='계산 과정'!$D$23/2,ABS(I391-'계산 과정'!$C$89)&lt;='계산 과정'!$D$24/2),1,0),"")</x:f>
        <x:v>1</x:v>
      </x:c>
      <x:c r="O391" s="4" t="n">
        <x:f>IF('계산 과정'!$L$7,'계산 과정'!$C$49*('계산 과정'!$C$32-D391)+'계산 과정'!$D$49*('계산 과정'!$D$32-E391)+'계산 과정'!$E$49*'계산 과정'!$E$32,"")</x:f>
        <x:v>43.10640607579239</x:v>
      </x:c>
      <x:c r="P391" s="4" t="n">
        <x:f>IF(AND('계산 과정'!$L$7,O391&lt;&gt;0),('계산 과정'!$L$23-'계산 과정'!$C$49*D391-'계산 과정'!$D$49*E391)/O391,"")</x:f>
        <x:v>10.279363241201198</x:v>
      </x:c>
      <x:c r="Q391" s="4" t="str">
        <x:f>IF(AND(ISNUMBER(P391),P391&gt;1E-9,P391&lt;1-1E-9),'계산 과정'!$C$47*(D391-'계산 과정'!$C$50+P391*('계산 과정'!$C$32-D391))+'계산 과정'!$D$47*(E391-'계산 과정'!$D$50+P391*('계산 과정'!$D$32-E391))+'계산 과정'!$E$47*(0-'계산 과정'!$E$50+P391*('계산 과정'!$E$32-0)),"")</x:f>
      </x:c>
      <x:c r="R391" s="4" t="str">
        <x:f>IF(AND(ISNUMBER(P391),P391&gt;1E-9,P391&lt;1-1E-9),'계산 과정'!$C$48*(D391-'계산 과정'!$C$50+P391*('계산 과정'!$C$32-D391))+'계산 과정'!$D$48*(E391-'계산 과정'!$D$50+P391*('계산 과정'!$D$32-E391))+'계산 과정'!$E$48*(0-'계산 과정'!$E$50+P391*('계산 과정'!$E$32-0)),"")</x:f>
      </x:c>
      <x:c r="S391" s="17" t="n">
        <x:f>IF('계산 과정'!$C$78,IF(AND(ISNUMBER(Q391),ISNUMBER(R391),ABS(Q391-'계산 과정'!$C$88)&lt;='계산 과정'!$D$23/2,ABS(R391-'계산 과정'!$C$89)&lt;='계산 과정'!$D$24/2),1,0),"")</x:f>
        <x:v>0</x:v>
      </x:c>
      <x:c r="T391" s="4"/>
      <x:c r="U391" s="4"/>
      <x:c r="V391" s="4"/>
      <x:c r="W391" s="4" t="n">
        <x:f>IF('계산 과정'!$C$78,'계산 과정'!$C$88+-0.76*'계산 과정'!$D$23/2,"")</x:f>
        <x:v>-168.87659574468097</x:v>
      </x:c>
      <x:c r="X391" s="4" t="str">
        <x:f>""</x:f>
      </x:c>
      <x:c r="Y391" s="4" t="n">
        <x:f>IF('계산 과정'!$C$78,'계산 과정'!$C$89+1*'계산 과정'!$D$24/2,"")</x:f>
        <x:v>260</x:v>
      </x:c>
      <x:c r="Z391" s="4" t="str">
        <x:f>""</x:f>
      </x:c>
    </x:row>
    <x:row r="392" ht="23" customHeight="1">
      <x:c r="A392" s="17" t="n">
        <x:f>ROW()-6</x:f>
        <x:v>386</x:v>
      </x:c>
      <x:c r="B392" s="4" t="n">
        <x:f>IF('계산 과정'!$L$5,'계산 과정'!$L$11*SQRT((A392+0.5)/'계산 과정'!$L$30),"")</x:f>
        <x:v>65.16299425527114</x:v>
      </x:c>
      <x:c r="C392" s="4" t="n">
        <x:f>A392*PI()*(3-SQRT(5))</x:f>
        <x:v>926.38580667526</x:v>
      </x:c>
      <x:c r="D392" s="4" t="n">
        <x:f>IF('계산 과정'!$L$5,B392*COS(C392),"")</x:f>
        <x:v>-60.41676530017712</x:v>
      </x:c>
      <x:c r="E392" s="4" t="n">
        <x:f>IF('계산 과정'!$L$5,B392*SIN(C392),"")</x:f>
        <x:v>24.41373160694232</x:v>
      </x:c>
      <x:c r="F392" s="4" t="n">
        <x:f>IF('계산 과정'!$L$7,'계산 과정'!$L$22+'계산 과정'!$C$49*D392+'계산 과정'!$D$49*E392,"")</x:f>
        <x:v>692.7211044411114</x:v>
      </x:c>
      <x:c r="G392" s="4" t="n">
        <x:f>IF('계산 과정'!$L$7,IF(ABS(F392)&gt;=1E-12*MAX(1,SQRT((D392-'계산 과정'!$C$33)^2+(E392-'계산 과정'!$D$33)^2+'계산 과정'!$E$33^2)),('계산 과정'!$L$23-'계산 과정'!$C$49*D392-'계산 과정'!$D$49*E392)/F392,""),"")</x:f>
        <x:v>0.5157615283673823</x:v>
      </x:c>
      <x:c r="H392" s="4" t="n">
        <x:f>IF(AND(ISNUMBER(G392),G392&gt;0),('계산 과정'!$D$56+'계산 과정'!$D$57*D392+'계산 과정'!$D$58*E392)/F392,"")</x:f>
        <x:v>-64.75500656120161</x:v>
      </x:c>
      <x:c r="I392" s="4" t="n">
        <x:f>IF(AND(ISNUMBER(G392),G392&gt;0),('계산 과정'!$E$56+'계산 과정'!$E$57*D392+'계산 과정'!$E$58*E392)/F392,"")</x:f>
        <x:v>37.00539513368996</x:v>
      </x:c>
      <x:c r="J392" s="4" t="n">
        <x:f>IF('계산 과정'!$L$5,'계산 과정'!$D$6+'계산 과정'!$C$35*D392+'계산 과정'!$D$35*E392,"")</x:f>
        <x:v>692.7211044411114</x:v>
      </x:c>
      <x:c r="K392" s="4" t="n">
        <x:f>IF(AND('계산 과정'!$L$6,J392&gt;0),'계산 과정'!$D$10*('계산 과정'!$C$38*(D392-'계산 과정'!$C$32)+'계산 과정'!$D$38*(E392-'계산 과정'!$D$32)-'계산 과정'!$E$38*'계산 과정'!$E$32)/J392,"")</x:f>
        <x:v>-0.4933714785615349</x:v>
      </x:c>
      <x:c r="L392" s="4" t="n">
        <x:f>IF(AND('계산 과정'!$L$6,J392&gt;0),'계산 과정'!$D$10*('계산 과정'!$C$39*(D392-'계산 과정'!$C$32)+'계산 과정'!$D$39*(E392-'계산 과정'!$D$32)-'계산 과정'!$E$39*'계산 과정'!$E$32)/J392,"")</x:f>
        <x:v>0.2819458676852568</x:v>
      </x:c>
      <x:c r="M392" s="17" t="n">
        <x:f>IF('계산 과정'!$L$6,IF(J392&lt;=0,0,IF(AND(ABS(K392)&lt;='계산 과정'!$D$11/2,ABS(L392)&lt;='계산 과정'!$D$12/2),1,0)),"")</x:f>
        <x:v>1</x:v>
      </x:c>
      <x:c r="N392" s="17" t="n">
        <x:f>IF('계산 과정'!$C$78,IF(AND(ISNUMBER(H392),ISNUMBER(I392),ABS(H392-'계산 과정'!$C$88)&lt;='계산 과정'!$D$23/2,ABS(I392-'계산 과정'!$C$89)&lt;='계산 과정'!$D$24/2),1,0),"")</x:f>
        <x:v>1</x:v>
      </x:c>
      <x:c r="O392" s="4" t="n">
        <x:f>IF('계산 과정'!$L$7,'계산 과정'!$C$49*('계산 과정'!$C$32-D392)+'계산 과정'!$D$49*('계산 과정'!$D$32-E392)+'계산 과정'!$E$49*'계산 과정'!$E$32,"")</x:f>
        <x:v>-42.72110444111121</x:v>
      </x:c>
      <x:c r="P392" s="4" t="n">
        <x:f>IF(AND('계산 과정'!$L$7,O392&lt;&gt;0),('계산 과정'!$L$23-'계산 과정'!$C$49*D392-'계산 과정'!$D$49*E392)/O392,"")</x:f>
        <x:v>-8.363053816911002</x:v>
      </x:c>
      <x:c r="Q392" s="4" t="str">
        <x:f>IF(AND(ISNUMBER(P392),P392&gt;1E-9,P392&lt;1-1E-9),'계산 과정'!$C$47*(D392-'계산 과정'!$C$50+P392*('계산 과정'!$C$32-D392))+'계산 과정'!$D$47*(E392-'계산 과정'!$D$50+P392*('계산 과정'!$D$32-E392))+'계산 과정'!$E$47*(0-'계산 과정'!$E$50+P392*('계산 과정'!$E$32-0)),"")</x:f>
      </x:c>
      <x:c r="R392" s="4" t="str">
        <x:f>IF(AND(ISNUMBER(P392),P392&gt;1E-9,P392&lt;1-1E-9),'계산 과정'!$C$48*(D392-'계산 과정'!$C$50+P392*('계산 과정'!$C$32-D392))+'계산 과정'!$D$48*(E392-'계산 과정'!$D$50+P392*('계산 과정'!$D$32-E392))+'계산 과정'!$E$48*(0-'계산 과정'!$E$50+P392*('계산 과정'!$E$32-0)),"")</x:f>
      </x:c>
      <x:c r="S392" s="17" t="n">
        <x:f>IF('계산 과정'!$C$78,IF(AND(ISNUMBER(Q392),ISNUMBER(R392),ABS(Q392-'계산 과정'!$C$88)&lt;='계산 과정'!$D$23/2,ABS(R392-'계산 과정'!$C$89)&lt;='계산 과정'!$D$24/2),1,0),"")</x:f>
        <x:v>0</x:v>
      </x:c>
      <x:c r="T392" s="4"/>
      <x:c r="U392" s="4"/>
      <x:c r="V392" s="4"/>
      <x:c r="W392" s="4" t="n">
        <x:f>IF('계산 과정'!$C$78,'계산 과정'!$C$88+-0.8*'계산 과정'!$D$23/2,"")</x:f>
        <x:v>-179.27659574468098</x:v>
      </x:c>
      <x:c r="X392" s="4" t="str">
        <x:f>""</x:f>
      </x:c>
      <x:c r="Y392" s="4" t="n">
        <x:f>IF('계산 과정'!$C$78,'계산 과정'!$C$89+1*'계산 과정'!$D$24/2,"")</x:f>
        <x:v>260</x:v>
      </x:c>
      <x:c r="Z392" s="4" t="str">
        <x:f>""</x:f>
      </x:c>
    </x:row>
    <x:row r="393" ht="23" customHeight="1">
      <x:c r="A393" s="17" t="n">
        <x:f>ROW()-6</x:f>
        <x:v>387</x:v>
      </x:c>
      <x:c r="B393" s="4" t="n">
        <x:f>IF('계산 과정'!$L$5,'계산 과정'!$L$11*SQRT((A393+0.5)/'계산 과정'!$L$30),"")</x:f>
        <x:v>65.24723862691431</x:v>
      </x:c>
      <x:c r="C393" s="4" t="n">
        <x:f>A393*PI()*(3-SQRT(5))</x:f>
        <x:v>928.7857699049887</x:v>
      </x:c>
      <x:c r="D393" s="4" t="n">
        <x:f>IF('계산 과정'!$L$5,B393*COS(C393),"")</x:f>
        <x:v>28.094478056674816</x:v>
      </x:c>
      <x:c r="E393" s="4" t="n">
        <x:f>IF('계산 과정'!$L$5,B393*SIN(C393),"")</x:f>
        <x:v>-58.88889921844792</x:v>
      </x:c>
      <x:c r="F393" s="4" t="n">
        <x:f>IF('계산 과정'!$L$7,'계산 과정'!$L$22+'계산 과정'!$C$49*D393+'계산 과정'!$D$49*E393,"")</x:f>
        <x:v>630.1342040522286</x:v>
      </x:c>
      <x:c r="G393" s="4" t="n">
        <x:f>IF('계산 과정'!$L$7,IF(ABS(F393)&gt;=1E-12*MAX(1,SQRT((D393-'계산 과정'!$C$33)^2+(E393-'계산 과정'!$D$33)^2+'계산 과정'!$E$33^2)),('계산 과정'!$L$23-'계산 과정'!$C$49*D393-'계산 과정'!$D$49*E393)/F393,""),"")</x:f>
        <x:v>0.6663117051061885</x:v>
      </x:c>
      <x:c r="H393" s="4" t="n">
        <x:f>IF(AND(ISNUMBER(G393),G393&gt;0),('계산 과정'!$D$56+'계산 과정'!$D$57*D393+'계산 과정'!$D$58*E393)/F393,"")</x:f>
        <x:v>33.1026083190225</x:v>
      </x:c>
      <x:c r="I393" s="4" t="n">
        <x:f>IF(AND(ISNUMBER(G393),G393&gt;0),('계산 과정'!$E$56+'계산 과정'!$E$57*D393+'계산 과정'!$E$58*E393)/F393,"")</x:f>
        <x:v>-98.12726206851845</x:v>
      </x:c>
      <x:c r="J393" s="4" t="n">
        <x:f>IF('계산 과정'!$L$5,'계산 과정'!$D$6+'계산 과정'!$C$35*D393+'계산 과정'!$D$35*E393,"")</x:f>
        <x:v>630.1342040522286</x:v>
      </x:c>
      <x:c r="K393" s="4" t="n">
        <x:f>IF(AND('계산 과정'!$L$6,J393&gt;0),'계산 과정'!$D$10*('계산 과정'!$C$38*(D393-'계산 과정'!$C$32)+'계산 과정'!$D$38*(E393-'계산 과정'!$D$32)-'계산 과정'!$E$38*'계산 과정'!$E$32)/J393,"")</x:f>
        <x:v>0.2522103490973149</x:v>
      </x:c>
      <x:c r="L393" s="4" t="n">
        <x:f>IF(AND('계산 과정'!$L$6,J393&gt;0),'계산 과정'!$D$10*('계산 과정'!$C$39*(D393-'계산 과정'!$C$32)+'계산 과정'!$D$39*(E393-'계산 과정'!$D$32)-'계산 과정'!$E$39*'계산 과정'!$E$32)/J393,"")</x:f>
        <x:v>-0.7476362824268072</x:v>
      </x:c>
      <x:c r="M393" s="17" t="n">
        <x:f>IF('계산 과정'!$L$6,IF(J393&lt;=0,0,IF(AND(ABS(K393)&lt;='계산 과정'!$D$11/2,ABS(L393)&lt;='계산 과정'!$D$12/2),1,0)),"")</x:f>
        <x:v>1</x:v>
      </x:c>
      <x:c r="N393" s="17" t="n">
        <x:f>IF('계산 과정'!$C$78,IF(AND(ISNUMBER(H393),ISNUMBER(I393),ABS(H393-'계산 과정'!$C$88)&lt;='계산 과정'!$D$23/2,ABS(I393-'계산 과정'!$C$89)&lt;='계산 과정'!$D$24/2),1,0),"")</x:f>
        <x:v>1</x:v>
      </x:c>
      <x:c r="O393" s="4" t="n">
        <x:f>IF('계산 과정'!$L$7,'계산 과정'!$C$49*('계산 과정'!$C$32-D393)+'계산 과정'!$D$49*('계산 과정'!$D$32-E393)+'계산 과정'!$E$49*'계산 과정'!$E$32,"")</x:f>
        <x:v>19.865795947771517</x:v>
      </x:c>
      <x:c r="P393" s="4" t="n">
        <x:f>IF(AND('계산 과정'!$L$7,O393&lt;&gt;0),('계산 과정'!$L$23-'계산 과정'!$C$49*D393-'계산 과정'!$D$49*E393)/O393,"")</x:f>
        <x:v>21.135110672214</x:v>
      </x:c>
      <x:c r="Q393" s="4" t="str">
        <x:f>IF(AND(ISNUMBER(P393),P393&gt;1E-9,P393&lt;1-1E-9),'계산 과정'!$C$47*(D393-'계산 과정'!$C$50+P393*('계산 과정'!$C$32-D393))+'계산 과정'!$D$47*(E393-'계산 과정'!$D$50+P393*('계산 과정'!$D$32-E393))+'계산 과정'!$E$47*(0-'계산 과정'!$E$50+P393*('계산 과정'!$E$32-0)),"")</x:f>
      </x:c>
      <x:c r="R393" s="4" t="str">
        <x:f>IF(AND(ISNUMBER(P393),P393&gt;1E-9,P393&lt;1-1E-9),'계산 과정'!$C$48*(D393-'계산 과정'!$C$50+P393*('계산 과정'!$C$32-D393))+'계산 과정'!$D$48*(E393-'계산 과정'!$D$50+P393*('계산 과정'!$D$32-E393))+'계산 과정'!$E$48*(0-'계산 과정'!$E$50+P393*('계산 과정'!$E$32-0)),"")</x:f>
      </x:c>
      <x:c r="S393" s="17" t="n">
        <x:f>IF('계산 과정'!$C$78,IF(AND(ISNUMBER(Q393),ISNUMBER(R393),ABS(Q393-'계산 과정'!$C$88)&lt;='계산 과정'!$D$23/2,ABS(R393-'계산 과정'!$C$89)&lt;='계산 과정'!$D$24/2),1,0),"")</x:f>
        <x:v>0</x:v>
      </x:c>
      <x:c r="T393" s="4"/>
      <x:c r="U393" s="4"/>
      <x:c r="V393" s="4"/>
      <x:c r="W393" s="4" t="n">
        <x:f>IF('계산 과정'!$C$78,'계산 과정'!$C$88+-0.8400000000000001*'계산 과정'!$D$23/2,"")</x:f>
        <x:v>-189.676595744681</x:v>
      </x:c>
      <x:c r="X393" s="4" t="str">
        <x:f>""</x:f>
      </x:c>
      <x:c r="Y393" s="4" t="n">
        <x:f>IF('계산 과정'!$C$78,'계산 과정'!$C$89+1*'계산 과정'!$D$24/2,"")</x:f>
        <x:v>260</x:v>
      </x:c>
      <x:c r="Z393" s="4" t="str">
        <x:f>""</x:f>
      </x:c>
    </x:row>
    <x:row r="394" ht="23" customHeight="1">
      <x:c r="A394" s="17" t="n">
        <x:f>ROW()-6</x:f>
        <x:v>388</x:v>
      </x:c>
      <x:c r="B394" s="4" t="n">
        <x:f>IF('계산 과정'!$L$5,'계산 과정'!$L$11*SQRT((A394+0.5)/'계산 과정'!$L$30),"")</x:f>
        <x:v>65.33137436609228</x:v>
      </x:c>
      <x:c r="C394" s="4" t="n">
        <x:f>A394*PI()*(3-SQRT(5))</x:f>
        <x:v>931.1857331347173</x:v>
      </x:c>
      <x:c r="D394" s="4" t="n">
        <x:f>IF('계산 과정'!$L$5,B394*COS(C394),"")</x:f>
        <x:v>19.0874675205788</x:v>
      </x:c>
      <x:c r="E394" s="4" t="n">
        <x:f>IF('계산 과정'!$L$5,B394*SIN(C394),"")</x:f>
        <x:v>62.48085354901411</x:v>
      </x:c>
      <x:c r="F394" s="4" t="n">
        <x:f>IF('계산 과정'!$L$7,'계산 과정'!$L$22+'계산 과정'!$C$49*D394+'계산 과정'!$D$49*E394,"")</x:f>
        <x:v>636.5031222805208</x:v>
      </x:c>
      <x:c r="G394" s="4" t="n">
        <x:f>IF('계산 과정'!$L$7,IF(ABS(F394)&gt;=1E-12*MAX(1,SQRT((D394-'계산 과정'!$C$33)^2+(E394-'계산 과정'!$D$33)^2+'계산 과정'!$E$33^2)),('계산 과정'!$L$23-'계산 과정'!$C$49*D394-'계산 과정'!$D$49*E394)/F394,""),"")</x:f>
        <x:v>0.6496384122012872</x:v>
      </x:c>
      <x:c r="H394" s="4" t="n">
        <x:f>IF(AND(ISNUMBER(G394),G394&gt;0),('계산 과정'!$D$56+'계산 과정'!$D$57*D394+'계산 과정'!$D$58*E394)/F394,"")</x:f>
        <x:v>22.264967930836562</x:v>
      </x:c>
      <x:c r="I394" s="4" t="n">
        <x:f>IF(AND(ISNUMBER(G394),G394&gt;0),('계산 과정'!$E$56+'계산 과정'!$E$57*D394+'계산 과정'!$E$58*E394)/F394,"")</x:f>
        <x:v>103.07081604157679</x:v>
      </x:c>
      <x:c r="J394" s="4" t="n">
        <x:f>IF('계산 과정'!$L$5,'계산 과정'!$D$6+'계산 과정'!$C$35*D394+'계산 과정'!$D$35*E394,"")</x:f>
        <x:v>636.5031222805208</x:v>
      </x:c>
      <x:c r="K394" s="4" t="n">
        <x:f>IF(AND('계산 과정'!$L$6,J394&gt;0),'계산 과정'!$D$10*('계산 과정'!$C$38*(D394-'계산 과정'!$C$32)+'계산 과정'!$D$38*(E394-'계산 과정'!$D$32)-'계산 과정'!$E$38*'계산 과정'!$E$32)/J394,"")</x:f>
        <x:v>0.1696378509016127</x:v>
      </x:c>
      <x:c r="L394" s="4" t="n">
        <x:f>IF(AND('계산 과정'!$L$6,J394&gt;0),'계산 과정'!$D$10*('계산 과정'!$C$39*(D394-'계산 과정'!$C$32)+'계산 과정'!$D$39*(E394-'계산 과정'!$D$32)-'계산 과정'!$E$39*'계산 과정'!$E$32)/J394,"")</x:f>
        <x:v>0.7853014555548707</x:v>
      </x:c>
      <x:c r="M394" s="17" t="n">
        <x:f>IF('계산 과정'!$L$6,IF(J394&lt;=0,0,IF(AND(ABS(K394)&lt;='계산 과정'!$D$11/2,ABS(L394)&lt;='계산 과정'!$D$12/2),1,0)),"")</x:f>
        <x:v>1</x:v>
      </x:c>
      <x:c r="N394" s="17" t="n">
        <x:f>IF('계산 과정'!$C$78,IF(AND(ISNUMBER(H394),ISNUMBER(I394),ABS(H394-'계산 과정'!$C$88)&lt;='계산 과정'!$D$23/2,ABS(I394-'계산 과정'!$C$89)&lt;='계산 과정'!$D$24/2),1,0),"")</x:f>
        <x:v>1</x:v>
      </x:c>
      <x:c r="O394" s="4" t="n">
        <x:f>IF('계산 과정'!$L$7,'계산 과정'!$C$49*('계산 과정'!$C$32-D394)+'계산 과정'!$D$49*('계산 과정'!$D$32-E394)+'계산 과정'!$E$49*'계산 과정'!$E$32,"")</x:f>
        <x:v>13.496877719479357</x:v>
      </x:c>
      <x:c r="P394" s="4" t="n">
        <x:f>IF(AND('계산 과정'!$L$7,O394&lt;&gt;0),('계산 과정'!$L$23-'계산 과정'!$C$49*D394-'계산 과정'!$D$49*E394)/O394,"")</x:f>
        <x:v>30.63648395678211</x:v>
      </x:c>
      <x:c r="Q394" s="4" t="str">
        <x:f>IF(AND(ISNUMBER(P394),P394&gt;1E-9,P394&lt;1-1E-9),'계산 과정'!$C$47*(D394-'계산 과정'!$C$50+P394*('계산 과정'!$C$32-D394))+'계산 과정'!$D$47*(E394-'계산 과정'!$D$50+P394*('계산 과정'!$D$32-E394))+'계산 과정'!$E$47*(0-'계산 과정'!$E$50+P394*('계산 과정'!$E$32-0)),"")</x:f>
      </x:c>
      <x:c r="R394" s="4" t="str">
        <x:f>IF(AND(ISNUMBER(P394),P394&gt;1E-9,P394&lt;1-1E-9),'계산 과정'!$C$48*(D394-'계산 과정'!$C$50+P394*('계산 과정'!$C$32-D394))+'계산 과정'!$D$48*(E394-'계산 과정'!$D$50+P394*('계산 과정'!$D$32-E394))+'계산 과정'!$E$48*(0-'계산 과정'!$E$50+P394*('계산 과정'!$E$32-0)),"")</x:f>
      </x:c>
      <x:c r="S394" s="17" t="n">
        <x:f>IF('계산 과정'!$C$78,IF(AND(ISNUMBER(Q394),ISNUMBER(R394),ABS(Q394-'계산 과정'!$C$88)&lt;='계산 과정'!$D$23/2,ABS(R394-'계산 과정'!$C$89)&lt;='계산 과정'!$D$24/2),1,0),"")</x:f>
        <x:v>0</x:v>
      </x:c>
      <x:c r="T394" s="4"/>
      <x:c r="U394" s="4"/>
      <x:c r="V394" s="4"/>
      <x:c r="W394" s="4" t="n">
        <x:f>IF('계산 과정'!$C$78,'계산 과정'!$C$88+-0.8799999999999999*'계산 과정'!$D$23/2,"")</x:f>
        <x:v>-200.07659574468096</x:v>
      </x:c>
      <x:c r="X394" s="4" t="str">
        <x:f>""</x:f>
      </x:c>
      <x:c r="Y394" s="4" t="n">
        <x:f>IF('계산 과정'!$C$78,'계산 과정'!$C$89+1*'계산 과정'!$D$24/2,"")</x:f>
        <x:v>260</x:v>
      </x:c>
      <x:c r="Z394" s="4" t="str">
        <x:f>""</x:f>
      </x:c>
    </x:row>
    <x:row r="395" ht="23" customHeight="1">
      <x:c r="A395" s="17" t="n">
        <x:f>ROW()-6</x:f>
        <x:v>389</x:v>
      </x:c>
      <x:c r="B395" s="4" t="n">
        <x:f>IF('계산 과정'!$L$5,'계산 과정'!$L$11*SQRT((A395+0.5)/'계산 과정'!$L$30),"")</x:f>
        <x:v>65.41540189196654</x:v>
      </x:c>
      <x:c r="C395" s="4" t="n">
        <x:f>A395*PI()*(3-SQRT(5))</x:f>
        <x:v>933.585696364446</x:v>
      </x:c>
      <x:c r="D395" s="4" t="n">
        <x:f>IF('계산 과정'!$L$5,B395*COS(C395),"")</x:f>
        <x:v>-56.35210017555072</x:v>
      </x:c>
      <x:c r="E395" s="4" t="n">
        <x:f>IF('계산 과정'!$L$5,B395*SIN(C395),"")</x:f>
        <x:v>-33.22071056573288</x:v>
      </x:c>
      <x:c r="F395" s="4" t="n">
        <x:f>IF('계산 과정'!$L$7,'계산 과정'!$L$22+'계산 과정'!$C$49*D395+'계산 과정'!$D$49*E395,"")</x:f>
        <x:v>689.8469521682356</x:v>
      </x:c>
      <x:c r="G395" s="4" t="n">
        <x:f>IF('계산 과정'!$L$7,IF(ABS(F395)&gt;=1E-12*MAX(1,SQRT((D395-'계산 과정'!$C$33)^2+(E395-'계산 과정'!$D$33)^2+'계산 과정'!$E$33^2)),('계산 과정'!$L$23-'계산 과정'!$C$49*D395-'계산 과정'!$D$49*E395)/F395,""),"")</x:f>
        <x:v>0.5220767399200346</x:v>
      </x:c>
      <x:c r="H395" s="4" t="n">
        <x:f>IF(AND(ISNUMBER(G395),G395&gt;0),('계산 과정'!$D$56+'계산 과정'!$D$57*D395+'계산 과정'!$D$58*E395)/F395,"")</x:f>
        <x:v>-60.65011905197763</x:v>
      </x:c>
      <x:c r="I395" s="4" t="n">
        <x:f>IF(AND(ISNUMBER(G395),G395&gt;0),('계산 과정'!$E$56+'계산 과정'!$E$57*D395+'계산 과정'!$E$58*E395)/F395,"")</x:f>
        <x:v>-50.56447083571775</x:v>
      </x:c>
      <x:c r="J395" s="4" t="n">
        <x:f>IF('계산 과정'!$L$5,'계산 과정'!$D$6+'계산 과정'!$C$35*D395+'계산 과정'!$D$35*E395,"")</x:f>
        <x:v>689.8469521682356</x:v>
      </x:c>
      <x:c r="K395" s="4" t="n">
        <x:f>IF(AND('계산 과정'!$L$6,J395&gt;0),'계산 과정'!$D$10*('계산 과정'!$C$38*(D395-'계산 과정'!$C$32)+'계산 과정'!$D$38*(E395-'계산 과정'!$D$32)-'계산 과정'!$E$38*'계산 과정'!$E$32)/J395,"")</x:f>
        <x:v>-0.46209614515792374</x:v>
      </x:c>
      <x:c r="L395" s="4" t="n">
        <x:f>IF(AND('계산 과정'!$L$6,J395&gt;0),'계산 과정'!$D$10*('계산 과정'!$C$39*(D395-'계산 과정'!$C$32)+'계산 과정'!$D$39*(E395-'계산 과정'!$D$32)-'계산 과정'!$E$39*'계산 과정'!$E$32)/J395,"")</x:f>
        <x:v>-0.38525311112927807</x:v>
      </x:c>
      <x:c r="M395" s="17" t="n">
        <x:f>IF('계산 과정'!$L$6,IF(J395&lt;=0,0,IF(AND(ABS(K395)&lt;='계산 과정'!$D$11/2,ABS(L395)&lt;='계산 과정'!$D$12/2),1,0)),"")</x:f>
        <x:v>1</x:v>
      </x:c>
      <x:c r="N395" s="17" t="n">
        <x:f>IF('계산 과정'!$C$78,IF(AND(ISNUMBER(H395),ISNUMBER(I395),ABS(H395-'계산 과정'!$C$88)&lt;='계산 과정'!$D$23/2,ABS(I395-'계산 과정'!$C$89)&lt;='계산 과정'!$D$24/2),1,0),"")</x:f>
        <x:v>1</x:v>
      </x:c>
      <x:c r="O395" s="4" t="n">
        <x:f>IF('계산 과정'!$L$7,'계산 과정'!$C$49*('계산 과정'!$C$32-D395)+'계산 과정'!$D$49*('계산 과정'!$D$32-E395)+'계산 과정'!$E$49*'계산 과정'!$E$32,"")</x:f>
        <x:v>-39.84695216823542</x:v>
      </x:c>
      <x:c r="P395" s="4" t="n">
        <x:f>IF(AND('계산 과정'!$L$7,O395&lt;&gt;0),('계산 과정'!$L$23-'계산 과정'!$C$49*D395-'계산 과정'!$D$49*E395)/O395,"")</x:f>
        <x:v>-9.038408917981581</x:v>
      </x:c>
      <x:c r="Q395" s="4" t="str">
        <x:f>IF(AND(ISNUMBER(P395),P395&gt;1E-9,P395&lt;1-1E-9),'계산 과정'!$C$47*(D395-'계산 과정'!$C$50+P395*('계산 과정'!$C$32-D395))+'계산 과정'!$D$47*(E395-'계산 과정'!$D$50+P395*('계산 과정'!$D$32-E395))+'계산 과정'!$E$47*(0-'계산 과정'!$E$50+P395*('계산 과정'!$E$32-0)),"")</x:f>
      </x:c>
      <x:c r="R395" s="4" t="str">
        <x:f>IF(AND(ISNUMBER(P395),P395&gt;1E-9,P395&lt;1-1E-9),'계산 과정'!$C$48*(D395-'계산 과정'!$C$50+P395*('계산 과정'!$C$32-D395))+'계산 과정'!$D$48*(E395-'계산 과정'!$D$50+P395*('계산 과정'!$D$32-E395))+'계산 과정'!$E$48*(0-'계산 과정'!$E$50+P395*('계산 과정'!$E$32-0)),"")</x:f>
      </x:c>
      <x:c r="S395" s="17" t="n">
        <x:f>IF('계산 과정'!$C$78,IF(AND(ISNUMBER(Q395),ISNUMBER(R395),ABS(Q395-'계산 과정'!$C$88)&lt;='계산 과정'!$D$23/2,ABS(R395-'계산 과정'!$C$89)&lt;='계산 과정'!$D$24/2),1,0),"")</x:f>
        <x:v>0</x:v>
      </x:c>
      <x:c r="T395" s="4"/>
      <x:c r="U395" s="4"/>
      <x:c r="V395" s="4"/>
      <x:c r="W395" s="4" t="n">
        <x:f>IF('계산 과정'!$C$78,'계산 과정'!$C$88+-0.9199999999999999*'계산 과정'!$D$23/2,"")</x:f>
        <x:v>-210.47659574468096</x:v>
      </x:c>
      <x:c r="X395" s="4" t="str">
        <x:f>""</x:f>
      </x:c>
      <x:c r="Y395" s="4" t="n">
        <x:f>IF('계산 과정'!$C$78,'계산 과정'!$C$89+1*'계산 과정'!$D$24/2,"")</x:f>
        <x:v>260</x:v>
      </x:c>
      <x:c r="Z395" s="4" t="str">
        <x:f>""</x:f>
      </x:c>
    </x:row>
    <x:row r="396" ht="23" customHeight="1">
      <x:c r="A396" s="17" t="n">
        <x:f>ROW()-6</x:f>
        <x:v>390</x:v>
      </x:c>
      <x:c r="B396" s="4" t="n">
        <x:f>IF('계산 과정'!$L$5,'계산 과정'!$L$11*SQRT((A396+0.5)/'계산 과정'!$L$30),"")</x:f>
        <x:v>65.49932162100994</x:v>
      </x:c>
      <x:c r="C396" s="4" t="n">
        <x:f>A396*PI()*(3-SQRT(5))</x:f>
        <x:v>935.9856595941745</x:v>
      </x:c>
      <x:c r="D396" s="4" t="n">
        <x:f>IF('계산 과정'!$L$5,B396*COS(C396),"")</x:f>
        <x:v>64.07464683166607</x:v>
      </x:c>
      <x:c r="E396" s="4" t="n">
        <x:f>IF('계산 과정'!$L$5,B396*SIN(C396),"")</x:f>
        <x:v>-13.58678645632457</x:v>
      </x:c>
      <x:c r="F396" s="4" t="n">
        <x:f>IF('계산 과정'!$L$7,'계산 과정'!$L$22+'계산 과정'!$C$49*D396+'계산 과정'!$D$49*E396,"")</x:f>
        <x:v>604.6923827231958</x:v>
      </x:c>
      <x:c r="G396" s="4" t="n">
        <x:f>IF('계산 과정'!$L$7,IF(ABS(F396)&gt;=1E-12*MAX(1,SQRT((D396-'계산 과정'!$C$33)^2+(E396-'계산 과정'!$D$33)^2+'계산 과정'!$E$33^2)),('계산 과정'!$L$23-'계산 과정'!$C$49*D396-'계산 과정'!$D$49*E396)/F396,""),"")</x:f>
        <x:v>0.7364200873035445</x:v>
      </x:c>
      <x:c r="H396" s="4" t="n">
        <x:f>IF(AND(ISNUMBER(G396),G396&gt;0),('계산 과정'!$D$56+'계산 과정'!$D$57*D396+'계산 과정'!$D$58*E396)/F396,"")</x:f>
        <x:v>78.67305674730385</x:v>
      </x:c>
      <x:c r="I396" s="4" t="n">
        <x:f>IF(AND(ISNUMBER(G396),G396&gt;0),('계산 과정'!$E$56+'계산 과정'!$E$57*D396+'계산 과정'!$E$58*E396)/F396,"")</x:f>
        <x:v>-23.592368924665724</x:v>
      </x:c>
      <x:c r="J396" s="4" t="n">
        <x:f>IF('계산 과정'!$L$5,'계산 과정'!$D$6+'계산 과정'!$C$35*D396+'계산 과정'!$D$35*E396,"")</x:f>
        <x:v>604.6923827231958</x:v>
      </x:c>
      <x:c r="K396" s="4" t="n">
        <x:f>IF(AND('계산 과정'!$L$6,J396&gt;0),'계산 과정'!$D$10*('계산 과정'!$C$38*(D396-'계산 과정'!$C$32)+'계산 과정'!$D$38*(E396-'계산 과정'!$D$32)-'계산 과정'!$E$38*'계산 과정'!$E$32)/J396,"")</x:f>
        <x:v>0.5994137656937449</x:v>
      </x:c>
      <x:c r="L396" s="4" t="n">
        <x:f>IF(AND('계산 과정'!$L$6,J396&gt;0),'계산 과정'!$D$10*('계산 과정'!$C$39*(D396-'계산 과정'!$C$32)+'계산 과정'!$D$39*(E396-'계산 과정'!$D$32)-'계산 과정'!$E$39*'계산 과정'!$E$32)/J396,"")</x:f>
        <x:v>-0.17975138228316742</x:v>
      </x:c>
      <x:c r="M396" s="17" t="n">
        <x:f>IF('계산 과정'!$L$6,IF(J396&lt;=0,0,IF(AND(ABS(K396)&lt;='계산 과정'!$D$11/2,ABS(L396)&lt;='계산 과정'!$D$12/2),1,0)),"")</x:f>
        <x:v>1</x:v>
      </x:c>
      <x:c r="N396" s="17" t="n">
        <x:f>IF('계산 과정'!$C$78,IF(AND(ISNUMBER(H396),ISNUMBER(I396),ABS(H396-'계산 과정'!$C$88)&lt;='계산 과정'!$D$23/2,ABS(I396-'계산 과정'!$C$89)&lt;='계산 과정'!$D$24/2),1,0),"")</x:f>
        <x:v>1</x:v>
      </x:c>
      <x:c r="O396" s="4" t="n">
        <x:f>IF('계산 과정'!$L$7,'계산 과정'!$C$49*('계산 과정'!$C$32-D396)+'계산 과정'!$D$49*('계산 과정'!$D$32-E396)+'계산 과정'!$E$49*'계산 과정'!$E$32,"")</x:f>
        <x:v>45.30761727680431</x:v>
      </x:c>
      <x:c r="P396" s="4" t="n">
        <x:f>IF(AND('계산 과정'!$L$7,O396&lt;&gt;0),('계산 과정'!$L$23-'계산 과정'!$C$49*D396-'계산 과정'!$D$49*E396)/O396,"")</x:f>
        <x:v>9.828537540524867</x:v>
      </x:c>
      <x:c r="Q396" s="4" t="str">
        <x:f>IF(AND(ISNUMBER(P396),P396&gt;1E-9,P396&lt;1-1E-9),'계산 과정'!$C$47*(D396-'계산 과정'!$C$50+P396*('계산 과정'!$C$32-D396))+'계산 과정'!$D$47*(E396-'계산 과정'!$D$50+P396*('계산 과정'!$D$32-E396))+'계산 과정'!$E$47*(0-'계산 과정'!$E$50+P396*('계산 과정'!$E$32-0)),"")</x:f>
      </x:c>
      <x:c r="R396" s="4" t="str">
        <x:f>IF(AND(ISNUMBER(P396),P396&gt;1E-9,P396&lt;1-1E-9),'계산 과정'!$C$48*(D396-'계산 과정'!$C$50+P396*('계산 과정'!$C$32-D396))+'계산 과정'!$D$48*(E396-'계산 과정'!$D$50+P396*('계산 과정'!$D$32-E396))+'계산 과정'!$E$48*(0-'계산 과정'!$E$50+P396*('계산 과정'!$E$32-0)),"")</x:f>
      </x:c>
      <x:c r="S396" s="17" t="n">
        <x:f>IF('계산 과정'!$C$78,IF(AND(ISNUMBER(Q396),ISNUMBER(R396),ABS(Q396-'계산 과정'!$C$88)&lt;='계산 과정'!$D$23/2,ABS(R396-'계산 과정'!$C$89)&lt;='계산 과정'!$D$24/2),1,0),"")</x:f>
        <x:v>0</x:v>
      </x:c>
      <x:c r="T396" s="4"/>
      <x:c r="U396" s="4"/>
      <x:c r="V396" s="4"/>
      <x:c r="W396" s="4" t="n">
        <x:f>IF('계산 과정'!$C$78,'계산 과정'!$C$88+-0.96*'계산 과정'!$D$23/2,"")</x:f>
        <x:v>-220.87659574468097</x:v>
      </x:c>
      <x:c r="X396" s="4" t="str">
        <x:f>""</x:f>
      </x:c>
      <x:c r="Y396" s="4" t="n">
        <x:f>IF('계산 과정'!$C$78,'계산 과정'!$C$89+1*'계산 과정'!$D$24/2,"")</x:f>
        <x:v>260</x:v>
      </x:c>
      <x:c r="Z396" s="4" t="str">
        <x:f>""</x:f>
      </x:c>
    </x:row>
    <x:row r="397" ht="23" customHeight="1">
      <x:c r="A397" s="17" t="n">
        <x:f>ROW()-6</x:f>
        <x:v>391</x:v>
      </x:c>
      <x:c r="B397" s="4" t="n">
        <x:f>IF('계산 과정'!$L$5,'계산 과정'!$L$11*SQRT((A397+0.5)/'계산 과정'!$L$30),"")</x:f>
        <x:v>65.58313396703073</x:v>
      </x:c>
      <x:c r="C397" s="4" t="n">
        <x:f>A397*PI()*(3-SQRT(5))</x:f>
        <x:v>938.3856228239033</x:v>
      </x:c>
      <x:c r="D397" s="4" t="n">
        <x:f>IF('계산 과정'!$L$5,B397*COS(C397),"")</x:f>
        <x:v>-38.11762070030039</x:v>
      </x:c>
      <x:c r="E397" s="4" t="n">
        <x:f>IF('계산 과정'!$L$5,B397*SIN(C397),"")</x:f>
        <x:v>53.36847808477896</x:v>
      </x:c>
      <x:c r="F397" s="4" t="n">
        <x:f>IF('계산 과정'!$L$7,'계산 과정'!$L$22+'계산 과정'!$C$49*D397+'계산 과정'!$D$49*E397,"")</x:f>
        <x:v>676.9532280798791</x:v>
      </x:c>
      <x:c r="G397" s="4" t="n">
        <x:f>IF('계산 과정'!$L$7,IF(ABS(F397)&gt;=1E-12*MAX(1,SQRT((D397-'계산 과정'!$C$33)^2+(E397-'계산 과정'!$D$33)^2+'계산 과정'!$E$33^2)),('계산 과정'!$L$23-'계산 과정'!$C$49*D397-'계산 과정'!$D$49*E397)/F397,""),"")</x:f>
        <x:v>0.5510672768017322</x:v>
      </x:c>
      <x:c r="H397" s="4" t="n">
        <x:f>IF(AND(ISNUMBER(G397),G397&gt;0),('계산 과정'!$D$56+'계산 과정'!$D$57*D397+'계산 과정'!$D$58*E397)/F397,"")</x:f>
        <x:v>-41.80627007887421</x:v>
      </x:c>
      <x:c r="I397" s="4" t="n">
        <x:f>IF(AND(ISNUMBER(G397),G397&gt;0),('계산 과정'!$E$56+'계산 과정'!$E$57*D397+'계산 과정'!$E$58*E397)/F397,"")</x:f>
        <x:v>82.77809997001103</x:v>
      </x:c>
      <x:c r="J397" s="4" t="n">
        <x:f>IF('계산 과정'!$L$5,'계산 과정'!$D$6+'계산 과정'!$C$35*D397+'계산 과정'!$D$35*E397,"")</x:f>
        <x:v>676.9532280798791</x:v>
      </x:c>
      <x:c r="K397" s="4" t="n">
        <x:f>IF(AND('계산 과정'!$L$6,J397&gt;0),'계산 과정'!$D$10*('계산 과정'!$C$38*(D397-'계산 과정'!$C$32)+'계산 과정'!$D$38*(E397-'계산 과정'!$D$32)-'계산 과정'!$E$38*'계산 과정'!$E$32)/J397,"")</x:f>
        <x:v>-0.3185239625057074</x:v>
      </x:c>
      <x:c r="L397" s="4" t="n">
        <x:f>IF(AND('계산 과정'!$L$6,J397&gt;0),'계산 과정'!$D$10*('계산 과정'!$C$39*(D397-'계산 과정'!$C$32)+'계산 과정'!$D$39*(E397-'계산 과정'!$D$32)-'계산 과정'!$E$39*'계산 과정'!$E$32)/J397,"")</x:f>
        <x:v>0.6306902854857983</x:v>
      </x:c>
      <x:c r="M397" s="17" t="n">
        <x:f>IF('계산 과정'!$L$6,IF(J397&lt;=0,0,IF(AND(ABS(K397)&lt;='계산 과정'!$D$11/2,ABS(L397)&lt;='계산 과정'!$D$12/2),1,0)),"")</x:f>
        <x:v>1</x:v>
      </x:c>
      <x:c r="N397" s="17" t="n">
        <x:f>IF('계산 과정'!$C$78,IF(AND(ISNUMBER(H397),ISNUMBER(I397),ABS(H397-'계산 과정'!$C$88)&lt;='계산 과정'!$D$23/2,ABS(I397-'계산 과정'!$C$89)&lt;='계산 과정'!$D$24/2),1,0),"")</x:f>
        <x:v>1</x:v>
      </x:c>
      <x:c r="O397" s="4" t="n">
        <x:f>IF('계산 과정'!$L$7,'계산 과정'!$C$49*('계산 과정'!$C$32-D397)+'계산 과정'!$D$49*('계산 과정'!$D$32-E397)+'계산 과정'!$E$49*'계산 과정'!$E$32,"")</x:f>
        <x:v>-26.95322807987901</x:v>
      </x:c>
      <x:c r="P397" s="4" t="n">
        <x:f>IF(AND('계산 과정'!$L$7,O397&lt;&gt;0),('계산 과정'!$L$23-'계산 과정'!$C$49*D397-'계산 과정'!$D$49*E397)/O397,"")</x:f>
        <x:v>-13.840522953857459</x:v>
      </x:c>
      <x:c r="Q397" s="4" t="str">
        <x:f>IF(AND(ISNUMBER(P397),P397&gt;1E-9,P397&lt;1-1E-9),'계산 과정'!$C$47*(D397-'계산 과정'!$C$50+P397*('계산 과정'!$C$32-D397))+'계산 과정'!$D$47*(E397-'계산 과정'!$D$50+P397*('계산 과정'!$D$32-E397))+'계산 과정'!$E$47*(0-'계산 과정'!$E$50+P397*('계산 과정'!$E$32-0)),"")</x:f>
      </x:c>
      <x:c r="R397" s="4" t="str">
        <x:f>IF(AND(ISNUMBER(P397),P397&gt;1E-9,P397&lt;1-1E-9),'계산 과정'!$C$48*(D397-'계산 과정'!$C$50+P397*('계산 과정'!$C$32-D397))+'계산 과정'!$D$48*(E397-'계산 과정'!$D$50+P397*('계산 과정'!$D$32-E397))+'계산 과정'!$E$48*(0-'계산 과정'!$E$50+P397*('계산 과정'!$E$32-0)),"")</x:f>
      </x:c>
      <x:c r="S397" s="17" t="n">
        <x:f>IF('계산 과정'!$C$78,IF(AND(ISNUMBER(Q397),ISNUMBER(R397),ABS(Q397-'계산 과정'!$C$88)&lt;='계산 과정'!$D$23/2,ABS(R397-'계산 과정'!$C$89)&lt;='계산 과정'!$D$24/2),1,0),"")</x:f>
        <x:v>0</x:v>
      </x:c>
      <x:c r="T397" s="4"/>
      <x:c r="U397" s="4"/>
      <x:c r="V397" s="4"/>
      <x:c r="W397" s="4" t="n">
        <x:f>IF('계산 과정'!$C$78,'계산 과정'!$C$88+-1*'계산 과정'!$D$23/2,"")</x:f>
        <x:v>-231.27659574468098</x:v>
      </x:c>
      <x:c r="X397" s="4" t="str">
        <x:f>""</x:f>
      </x:c>
      <x:c r="Y397" s="4" t="n">
        <x:f>IF('계산 과정'!$C$78,'계산 과정'!$C$89+1*'계산 과정'!$D$24/2,"")</x:f>
        <x:v>260</x:v>
      </x:c>
      <x:c r="Z397" s="4" t="str">
        <x:f>""</x:f>
      </x:c>
    </x:row>
    <x:row r="398" ht="23" customHeight="1">
      <x:c r="A398" s="17" t="n">
        <x:f>ROW()-6</x:f>
        <x:v>392</x:v>
      </x:c>
      <x:c r="B398" s="4" t="n">
        <x:f>IF('계산 과정'!$L$5,'계산 과정'!$L$11*SQRT((A398+0.5)/'계산 과정'!$L$30),"")</x:f>
        <x:v>65.66683934119641</x:v>
      </x:c>
      <x:c r="C398" s="4" t="n">
        <x:f>A398*PI()*(3-SQRT(5))</x:f>
        <x:v>940.7855860536318</x:v>
      </x:c>
      <x:c r="D398" s="4" t="n">
        <x:f>IF('계산 과정'!$L$5,B398*COS(C398),"")</x:f>
        <x:v>-7.953279783052376</x:v>
      </x:c>
      <x:c r="E398" s="4" t="n">
        <x:f>IF('계산 과정'!$L$5,B398*SIN(C398),"")</x:f>
        <x:v>-65.18342680279237</x:v>
      </x:c>
      <x:c r="F398" s="4" t="n">
        <x:f>IF('계산 과정'!$L$7,'계산 과정'!$L$22+'계산 과정'!$C$49*D398+'계산 과정'!$D$49*E398,"")</x:f>
        <x:v>655.6238180672702</x:v>
      </x:c>
      <x:c r="G398" s="4" t="n">
        <x:f>IF('계산 과정'!$L$7,IF(ABS(F398)&gt;=1E-12*MAX(1,SQRT((D398-'계산 과정'!$C$33)^2+(E398-'계산 과정'!$D$33)^2+'계산 과정'!$E$33^2)),('계산 과정'!$L$23-'계산 과정'!$C$49*D398-'계산 과정'!$D$49*E398)/F398,""),"")</x:f>
        <x:v>0.6015281493209339</x:v>
      </x:c>
      <x:c r="H398" s="4" t="n">
        <x:f>IF(AND(ISNUMBER(G398),G398&gt;0),('계산 과정'!$D$56+'계산 과정'!$D$57*D398+'계산 과정'!$D$58*E398)/F398,"")</x:f>
        <x:v>-9.006702941393003</x:v>
      </x:c>
      <x:c r="I398" s="4" t="n">
        <x:f>IF(AND(ISNUMBER(G398),G398&gt;0),('계산 과정'!$E$56+'계산 과정'!$E$57*D398+'계산 과정'!$E$58*E398)/F398,"")</x:f>
        <x:v>-104.39309289387262</x:v>
      </x:c>
      <x:c r="J398" s="4" t="n">
        <x:f>IF('계산 과정'!$L$5,'계산 과정'!$D$6+'계산 과정'!$C$35*D398+'계산 과정'!$D$35*E398,"")</x:f>
        <x:v>655.6238180672702</x:v>
      </x:c>
      <x:c r="K398" s="4" t="n">
        <x:f>IF(AND('계산 과정'!$L$6,J398&gt;0),'계산 과정'!$D$10*('계산 과정'!$C$38*(D398-'계산 과정'!$C$32)+'계산 과정'!$D$38*(E398-'계산 과정'!$D$32)-'계산 과정'!$E$38*'계산 과정'!$E$32)/J398,"")</x:f>
        <x:v>-0.06862249860108831</x:v>
      </x:c>
      <x:c r="L398" s="4" t="n">
        <x:f>IF(AND('계산 과정'!$L$6,J398&gt;0),'계산 과정'!$D$10*('계산 과정'!$C$39*(D398-'계산 과정'!$C$32)+'계산 과정'!$D$39*(E398-'계산 과정'!$D$32)-'계산 과정'!$E$39*'계산 과정'!$E$32)/J398,"")</x:f>
        <x:v>-0.7953759458580771</x:v>
      </x:c>
      <x:c r="M398" s="17" t="n">
        <x:f>IF('계산 과정'!$L$6,IF(J398&lt;=0,0,IF(AND(ABS(K398)&lt;='계산 과정'!$D$11/2,ABS(L398)&lt;='계산 과정'!$D$12/2),1,0)),"")</x:f>
        <x:v>1</x:v>
      </x:c>
      <x:c r="N398" s="17" t="n">
        <x:f>IF('계산 과정'!$C$78,IF(AND(ISNUMBER(H398),ISNUMBER(I398),ABS(H398-'계산 과정'!$C$88)&lt;='계산 과정'!$D$23/2,ABS(I398-'계산 과정'!$C$89)&lt;='계산 과정'!$D$24/2),1,0),"")</x:f>
        <x:v>1</x:v>
      </x:c>
      <x:c r="O398" s="4" t="n">
        <x:f>IF('계산 과정'!$L$7,'계산 과정'!$C$49*('계산 과정'!$C$32-D398)+'계산 과정'!$D$49*('계산 과정'!$D$32-E398)+'계산 과정'!$E$49*'계산 과정'!$E$32,"")</x:f>
        <x:v>-5.623818067270122</x:v>
      </x:c>
      <x:c r="P398" s="4" t="n">
        <x:f>IF(AND('계산 과정'!$L$7,O398&lt;&gt;0),('계산 과정'!$L$23-'계산 과정'!$C$49*D398-'계산 과정'!$D$49*E398)/O398,"")</x:f>
        <x:v>-70.12605621578462</x:v>
      </x:c>
      <x:c r="Q398" s="4" t="str">
        <x:f>IF(AND(ISNUMBER(P398),P398&gt;1E-9,P398&lt;1-1E-9),'계산 과정'!$C$47*(D398-'계산 과정'!$C$50+P398*('계산 과정'!$C$32-D398))+'계산 과정'!$D$47*(E398-'계산 과정'!$D$50+P398*('계산 과정'!$D$32-E398))+'계산 과정'!$E$47*(0-'계산 과정'!$E$50+P398*('계산 과정'!$E$32-0)),"")</x:f>
      </x:c>
      <x:c r="R398" s="4" t="str">
        <x:f>IF(AND(ISNUMBER(P398),P398&gt;1E-9,P398&lt;1-1E-9),'계산 과정'!$C$48*(D398-'계산 과정'!$C$50+P398*('계산 과정'!$C$32-D398))+'계산 과정'!$D$48*(E398-'계산 과정'!$D$50+P398*('계산 과정'!$D$32-E398))+'계산 과정'!$E$48*(0-'계산 과정'!$E$50+P398*('계산 과정'!$E$32-0)),"")</x:f>
      </x:c>
      <x:c r="S398" s="17" t="n">
        <x:f>IF('계산 과정'!$C$78,IF(AND(ISNUMBER(Q398),ISNUMBER(R398),ABS(Q398-'계산 과정'!$C$88)&lt;='계산 과정'!$D$23/2,ABS(R398-'계산 과정'!$C$89)&lt;='계산 과정'!$D$24/2),1,0),"")</x:f>
        <x:v>0</x:v>
      </x:c>
      <x:c r="T398" s="4"/>
      <x:c r="U398" s="4"/>
      <x:c r="V398" s="4"/>
      <x:c r="W398" s="4" t="n">
        <x:f>IF('계산 과정'!$C$78,'계산 과정'!$C$88+-1*'계산 과정'!$D$23/2,"")</x:f>
        <x:v>-231.27659574468098</x:v>
      </x:c>
      <x:c r="X398" s="4" t="str">
        <x:f>""</x:f>
      </x:c>
      <x:c r="Y398" s="4" t="n">
        <x:f>IF('계산 과정'!$C$78,'계산 과정'!$C$89+0.96*'계산 과정'!$D$24/2,"")</x:f>
        <x:v>249.6</x:v>
      </x:c>
      <x:c r="Z398" s="4" t="str">
        <x:f>""</x:f>
      </x:c>
    </x:row>
    <x:row r="399" ht="23" customHeight="1">
      <x:c r="A399" s="17" t="n">
        <x:f>ROW()-6</x:f>
        <x:v>393</x:v>
      </x:c>
      <x:c r="B399" s="4" t="n">
        <x:f>IF('계산 과정'!$L$5,'계산 과정'!$L$11*SQRT((A399+0.5)/'계산 과정'!$L$30),"")</x:f>
        <x:v>65.7504381520572</x:v>
      </x:c>
      <x:c r="C399" s="4" t="n">
        <x:f>A399*PI()*(3-SQRT(5))</x:f>
        <x:v>943.1855492833606</x:v>
      </x:c>
      <x:c r="D399" s="4" t="n">
        <x:f>IF('계산 과정'!$L$5,B399*COS(C399),"")</x:f>
        <x:v>49.958793567034824</x:v>
      </x:c>
      <x:c r="E399" s="4" t="n">
        <x:f>IF('계산 과정'!$L$5,B399*SIN(C399),"")</x:f>
        <x:v>42.746216938039076</x:v>
      </x:c>
      <x:c r="F399" s="4" t="n">
        <x:f>IF('계산 과정'!$L$7,'계산 과정'!$L$22+'계산 과정'!$C$49*D399+'계산 과정'!$D$49*E399,"")</x:f>
        <x:v>614.6737982888508</x:v>
      </x:c>
      <x:c r="G399" s="4" t="n">
        <x:f>IF('계산 과정'!$L$7,IF(ABS(F399)&gt;=1E-12*MAX(1,SQRT((D399-'계산 과정'!$C$33)^2+(E399-'계산 과정'!$D$33)^2+'계산 과정'!$E$33^2)),('계산 과정'!$L$23-'계산 과정'!$C$49*D399-'계산 과정'!$D$49*E399)/F399,""),"")</x:f>
        <x:v>0.7082231305824725</x:v>
      </x:c>
      <x:c r="H399" s="4" t="n">
        <x:f>IF(AND(ISNUMBER(G399),G399&gt;0),('계산 과정'!$D$56+'계산 과정'!$D$57*D399+'계산 과정'!$D$58*E399)/F399,"")</x:f>
        <x:v>60.34503487860707</x:v>
      </x:c>
      <x:c r="I399" s="4" t="n">
        <x:f>IF(AND(ISNUMBER(G399),G399&gt;0),('계산 과정'!$E$56+'계산 과정'!$E$57*D399+'계산 과정'!$E$58*E399)/F399,"")</x:f>
        <x:v>73.02007651845463</x:v>
      </x:c>
      <x:c r="J399" s="4" t="n">
        <x:f>IF('계산 과정'!$L$5,'계산 과정'!$D$6+'계산 과정'!$C$35*D399+'계산 과정'!$D$35*E399,"")</x:f>
        <x:v>614.6737982888508</x:v>
      </x:c>
      <x:c r="K399" s="4" t="n">
        <x:f>IF(AND('계산 과정'!$L$6,J399&gt;0),'계산 과정'!$D$10*('계산 과정'!$C$38*(D399-'계산 과정'!$C$32)+'계산 과정'!$D$38*(E399-'계산 과정'!$D$32)-'계산 과정'!$E$38*'계산 과정'!$E$32)/J399,"")</x:f>
        <x:v>0.4597716943131979</x:v>
      </x:c>
      <x:c r="L399" s="4" t="n">
        <x:f>IF(AND('계산 과정'!$L$6,J399&gt;0),'계산 과정'!$D$10*('계산 과정'!$C$39*(D399-'계산 과정'!$C$32)+'계산 과정'!$D$39*(E399-'계산 과정'!$D$32)-'계산 과정'!$E$39*'계산 과정'!$E$32)/J399,"")</x:f>
        <x:v>0.5563434401406067</x:v>
      </x:c>
      <x:c r="M399" s="17" t="n">
        <x:f>IF('계산 과정'!$L$6,IF(J399&lt;=0,0,IF(AND(ABS(K399)&lt;='계산 과정'!$D$11/2,ABS(L399)&lt;='계산 과정'!$D$12/2),1,0)),"")</x:f>
        <x:v>1</x:v>
      </x:c>
      <x:c r="N399" s="17" t="n">
        <x:f>IF('계산 과정'!$C$78,IF(AND(ISNUMBER(H399),ISNUMBER(I399),ABS(H399-'계산 과정'!$C$88)&lt;='계산 과정'!$D$23/2,ABS(I399-'계산 과정'!$C$89)&lt;='계산 과정'!$D$24/2),1,0),"")</x:f>
        <x:v>1</x:v>
      </x:c>
      <x:c r="O399" s="4" t="n">
        <x:f>IF('계산 과정'!$L$7,'계산 과정'!$C$49*('계산 과정'!$C$32-D399)+'계산 과정'!$D$49*('계산 과정'!$D$32-E399)+'계산 과정'!$E$49*'계산 과정'!$E$32,"")</x:f>
        <x:v>35.32620171114928</x:v>
      </x:c>
      <x:c r="P399" s="4" t="n">
        <x:f>IF(AND('계산 과정'!$L$7,O399&lt;&gt;0),('계산 과정'!$L$23-'계산 과정'!$C$49*D399-'계산 과정'!$D$49*E399)/O399,"")</x:f>
        <x:v>12.323040140875268</x:v>
      </x:c>
      <x:c r="Q399" s="4" t="str">
        <x:f>IF(AND(ISNUMBER(P399),P399&gt;1E-9,P399&lt;1-1E-9),'계산 과정'!$C$47*(D399-'계산 과정'!$C$50+P399*('계산 과정'!$C$32-D399))+'계산 과정'!$D$47*(E399-'계산 과정'!$D$50+P399*('계산 과정'!$D$32-E399))+'계산 과정'!$E$47*(0-'계산 과정'!$E$50+P399*('계산 과정'!$E$32-0)),"")</x:f>
      </x:c>
      <x:c r="R399" s="4" t="str">
        <x:f>IF(AND(ISNUMBER(P399),P399&gt;1E-9,P399&lt;1-1E-9),'계산 과정'!$C$48*(D399-'계산 과정'!$C$50+P399*('계산 과정'!$C$32-D399))+'계산 과정'!$D$48*(E399-'계산 과정'!$D$50+P399*('계산 과정'!$D$32-E399))+'계산 과정'!$E$48*(0-'계산 과정'!$E$50+P399*('계산 과정'!$E$32-0)),"")</x:f>
      </x:c>
      <x:c r="S399" s="17" t="n">
        <x:f>IF('계산 과정'!$C$78,IF(AND(ISNUMBER(Q399),ISNUMBER(R399),ABS(Q399-'계산 과정'!$C$88)&lt;='계산 과정'!$D$23/2,ABS(R399-'계산 과정'!$C$89)&lt;='계산 과정'!$D$24/2),1,0),"")</x:f>
        <x:v>0</x:v>
      </x:c>
      <x:c r="T399" s="4"/>
      <x:c r="U399" s="4"/>
      <x:c r="V399" s="4"/>
      <x:c r="W399" s="4" t="n">
        <x:f>IF('계산 과정'!$C$78,'계산 과정'!$C$88+-1*'계산 과정'!$D$23/2,"")</x:f>
        <x:v>-231.27659574468098</x:v>
      </x:c>
      <x:c r="X399" s="4" t="str">
        <x:f>""</x:f>
      </x:c>
      <x:c r="Y399" s="4" t="n">
        <x:f>IF('계산 과정'!$C$78,'계산 과정'!$C$89+0.92*'계산 과정'!$D$24/2,"")</x:f>
        <x:v>239.20000000000002</x:v>
      </x:c>
      <x:c r="Z399" s="4" t="str">
        <x:f>""</x:f>
      </x:c>
    </x:row>
    <x:row r="400" ht="23" customHeight="1">
      <x:c r="A400" s="17" t="n">
        <x:f>ROW()-6</x:f>
        <x:v>394</x:v>
      </x:c>
      <x:c r="B400" s="4" t="n">
        <x:f>IF('계산 과정'!$L$5,'계산 과정'!$L$11*SQRT((A400+0.5)/'계산 과정'!$L$30),"")</x:f>
        <x:v>65.8339308055694</x:v>
      </x:c>
      <x:c r="C400" s="4" t="n">
        <x:f>A400*PI()*(3-SQRT(5))</x:f>
        <x:v>945.5855125130892</x:v>
      </x:c>
      <x:c r="D400" s="4" t="n">
        <x:f>IF('계산 과정'!$L$5,B400*COS(C400),"")</x:f>
        <x:v>-65.79615897080156</x:v>
      </x:c>
      <x:c r="E400" s="4" t="n">
        <x:f>IF('계산 과정'!$L$5,B400*SIN(C400),"")</x:f>
        <x:v>2.229778016195334</x:v>
      </x:c>
      <x:c r="F400" s="4" t="n">
        <x:f>IF('계산 과정'!$L$7,'계산 과정'!$L$22+'계산 과정'!$C$49*D400+'계산 과정'!$D$49*E400,"")</x:f>
        <x:v>696.5249101842819</x:v>
      </x:c>
      <x:c r="G400" s="4" t="n">
        <x:f>IF('계산 과정'!$L$7,IF(ABS(F400)&gt;=1E-12*MAX(1,SQRT((D400-'계산 과정'!$C$33)^2+(E400-'계산 과정'!$D$33)^2+'계산 과정'!$E$33^2)),('계산 과정'!$L$23-'계산 과정'!$C$49*D400-'계산 과정'!$D$49*E400)/F400,""),"")</x:f>
        <x:v>0.507483773584204</x:v>
      </x:c>
      <x:c r="H400" s="4" t="n">
        <x:f>IF(AND(ISNUMBER(G400),G400&gt;0),('계산 과정'!$D$56+'계산 과정'!$D$57*D400+'계산 과정'!$D$58*E400)/F400,"")</x:f>
        <x:v>-70.13554717026753</x:v>
      </x:c>
      <x:c r="I400" s="4" t="n">
        <x:f>IF(AND(ISNUMBER(G400),G400&gt;0),('계산 과정'!$E$56+'계산 과정'!$E$57*D400+'계산 과정'!$E$58*E400)/F400,"")</x:f>
        <x:v>3.3613541781092424</x:v>
      </x:c>
      <x:c r="J400" s="4" t="n">
        <x:f>IF('계산 과정'!$L$5,'계산 과정'!$D$6+'계산 과정'!$C$35*D400+'계산 과정'!$D$35*E400,"")</x:f>
        <x:v>696.5249101842819</x:v>
      </x:c>
      <x:c r="K400" s="4" t="n">
        <x:f>IF(AND('계산 과정'!$L$6,J400&gt;0),'계산 과정'!$D$10*('계산 과정'!$C$38*(D400-'계산 과정'!$C$32)+'계산 과정'!$D$38*(E400-'계산 과정'!$D$32)-'계산 과정'!$E$38*'계산 과정'!$E$32)/J400,"")</x:f>
        <x:v>-0.5343660736782282</x:v>
      </x:c>
      <x:c r="L400" s="4" t="n">
        <x:f>IF(AND('계산 과정'!$L$6,J400&gt;0),'계산 과정'!$D$10*('계산 과정'!$C$39*(D400-'계산 과정'!$C$32)+'계산 과정'!$D$39*(E400-'계산 과정'!$D$32)-'계산 과정'!$E$39*'계산 과정'!$E$32)/J400,"")</x:f>
        <x:v>0.025610317547498988</x:v>
      </x:c>
      <x:c r="M400" s="17" t="n">
        <x:f>IF('계산 과정'!$L$6,IF(J400&lt;=0,0,IF(AND(ABS(K400)&lt;='계산 과정'!$D$11/2,ABS(L400)&lt;='계산 과정'!$D$12/2),1,0)),"")</x:f>
        <x:v>1</x:v>
      </x:c>
      <x:c r="N400" s="17" t="n">
        <x:f>IF('계산 과정'!$C$78,IF(AND(ISNUMBER(H400),ISNUMBER(I400),ABS(H400-'계산 과정'!$C$88)&lt;='계산 과정'!$D$23/2,ABS(I400-'계산 과정'!$C$89)&lt;='계산 과정'!$D$24/2),1,0),"")</x:f>
        <x:v>1</x:v>
      </x:c>
      <x:c r="O400" s="4" t="n">
        <x:f>IF('계산 과정'!$L$7,'계산 과정'!$C$49*('계산 과정'!$C$32-D400)+'계산 과정'!$D$49*('계산 과정'!$D$32-E400)+'계산 과정'!$E$49*'계산 과정'!$E$32,"")</x:f>
        <x:v>-46.52491018428174</x:v>
      </x:c>
      <x:c r="P400" s="4" t="n">
        <x:f>IF(AND('계산 과정'!$L$7,O400&lt;&gt;0),('계산 과정'!$L$23-'계산 과정'!$C$49*D400-'계산 과정'!$D$49*E400)/O400,"")</x:f>
        <x:v>-7.597544808052921</x:v>
      </x:c>
      <x:c r="Q400" s="4" t="str">
        <x:f>IF(AND(ISNUMBER(P400),P400&gt;1E-9,P400&lt;1-1E-9),'계산 과정'!$C$47*(D400-'계산 과정'!$C$50+P400*('계산 과정'!$C$32-D400))+'계산 과정'!$D$47*(E400-'계산 과정'!$D$50+P400*('계산 과정'!$D$32-E400))+'계산 과정'!$E$47*(0-'계산 과정'!$E$50+P400*('계산 과정'!$E$32-0)),"")</x:f>
      </x:c>
      <x:c r="R400" s="4" t="str">
        <x:f>IF(AND(ISNUMBER(P400),P400&gt;1E-9,P400&lt;1-1E-9),'계산 과정'!$C$48*(D400-'계산 과정'!$C$50+P400*('계산 과정'!$C$32-D400))+'계산 과정'!$D$48*(E400-'계산 과정'!$D$50+P400*('계산 과정'!$D$32-E400))+'계산 과정'!$E$48*(0-'계산 과정'!$E$50+P400*('계산 과정'!$E$32-0)),"")</x:f>
      </x:c>
      <x:c r="S400" s="17" t="n">
        <x:f>IF('계산 과정'!$C$78,IF(AND(ISNUMBER(Q400),ISNUMBER(R400),ABS(Q400-'계산 과정'!$C$88)&lt;='계산 과정'!$D$23/2,ABS(R400-'계산 과정'!$C$89)&lt;='계산 과정'!$D$24/2),1,0),"")</x:f>
        <x:v>0</x:v>
      </x:c>
      <x:c r="T400" s="4"/>
      <x:c r="U400" s="4"/>
      <x:c r="V400" s="4"/>
      <x:c r="W400" s="4" t="n">
        <x:f>IF('계산 과정'!$C$78,'계산 과정'!$C$88+-1*'계산 과정'!$D$23/2,"")</x:f>
        <x:v>-231.27659574468098</x:v>
      </x:c>
      <x:c r="X400" s="4" t="str">
        <x:f>""</x:f>
      </x:c>
      <x:c r="Y400" s="4" t="n">
        <x:f>IF('계산 과정'!$C$78,'계산 과정'!$C$89+0.88*'계산 과정'!$D$24/2,"")</x:f>
        <x:v>228.8</x:v>
      </x:c>
      <x:c r="Z400" s="4" t="str">
        <x:f>""</x:f>
      </x:c>
    </x:row>
    <x:row r="401" ht="23" customHeight="1">
      <x:c r="A401" s="17" t="n">
        <x:f>ROW()-6</x:f>
        <x:v>395</x:v>
      </x:c>
      <x:c r="B401" s="4" t="n">
        <x:f>IF('계산 과정'!$L$5,'계산 과정'!$L$11*SQRT((A401+0.5)/'계산 과정'!$L$30),"")</x:f>
        <x:v>65.91731770511828</x:v>
      </x:c>
      <x:c r="C401" s="4" t="n">
        <x:f>A401*PI()*(3-SQRT(5))</x:f>
        <x:v>947.9854757428179</x:v>
      </x:c>
      <x:c r="D401" s="4" t="n">
        <x:f>IF('계산 과정'!$L$5,B401*COS(C401),"")</x:f>
        <x:v>47.06939035852761</x:v>
      </x:c>
      <x:c r="E401" s="4" t="n">
        <x:f>IF('계산 과정'!$L$5,B401*SIN(C401),"")</x:f>
        <x:v>-46.147212968001085</x:v>
      </x:c>
      <x:c r="F401" s="4" t="n">
        <x:f>IF('계산 과정'!$L$7,'계산 과정'!$L$22+'계산 과정'!$C$49*D401+'계산 과정'!$D$49*E401,"")</x:f>
        <x:v>616.7169148911685</x:v>
      </x:c>
      <x:c r="G401" s="4" t="n">
        <x:f>IF('계산 과정'!$L$7,IF(ABS(F401)&gt;=1E-12*MAX(1,SQRT((D401-'계산 과정'!$C$33)^2+(E401-'계산 과정'!$D$33)^2+'계산 과정'!$E$33^2)),('계산 과정'!$L$23-'계산 과정'!$C$49*D401-'계산 과정'!$D$49*E401)/F401,""),"")</x:f>
        <x:v>0.7025639716486335</x:v>
      </x:c>
      <x:c r="H401" s="4" t="n">
        <x:f>IF(AND(ISNUMBER(G401),G401&gt;0),('계산 과정'!$D$56+'계산 과정'!$D$57*D401+'계산 과정'!$D$58*E401)/F401,"")</x:f>
        <x:v>56.66658157161167</x:v>
      </x:c>
      <x:c r="I401" s="4" t="n">
        <x:f>IF(AND(ISNUMBER(G401),G401&gt;0),('계산 과정'!$E$56+'계산 과정'!$E$57*D401+'계산 과정'!$E$58*E401)/F401,"")</x:f>
        <x:v>-78.56858219131524</x:v>
      </x:c>
      <x:c r="J401" s="4" t="n">
        <x:f>IF('계산 과정'!$L$5,'계산 과정'!$D$6+'계산 과정'!$C$35*D401+'계산 과정'!$D$35*E401,"")</x:f>
        <x:v>616.7169148911685</x:v>
      </x:c>
      <x:c r="K401" s="4" t="n">
        <x:f>IF(AND('계산 과정'!$L$6,J401&gt;0),'계산 과정'!$D$10*('계산 과정'!$C$38*(D401-'계산 과정'!$C$32)+'계산 과정'!$D$38*(E401-'계산 과정'!$D$32)-'계산 과정'!$E$38*'계산 과정'!$E$32)/J401,"")</x:f>
        <x:v>0.4317453834027565</x:v>
      </x:c>
      <x:c r="L401" s="4" t="n">
        <x:f>IF(AND('계산 과정'!$L$6,J401&gt;0),'계산 과정'!$D$10*('계산 과정'!$C$39*(D401-'계산 과정'!$C$32)+'계산 과정'!$D$39*(E401-'계산 과정'!$D$32)-'계산 과정'!$E$39*'계산 과정'!$E$32)/J401,"")</x:f>
        <x:v>-0.5986177690766876</x:v>
      </x:c>
      <x:c r="M401" s="17" t="n">
        <x:f>IF('계산 과정'!$L$6,IF(J401&lt;=0,0,IF(AND(ABS(K401)&lt;='계산 과정'!$D$11/2,ABS(L401)&lt;='계산 과정'!$D$12/2),1,0)),"")</x:f>
        <x:v>1</x:v>
      </x:c>
      <x:c r="N401" s="17" t="n">
        <x:f>IF('계산 과정'!$C$78,IF(AND(ISNUMBER(H401),ISNUMBER(I401),ABS(H401-'계산 과정'!$C$88)&lt;='계산 과정'!$D$23/2,ABS(I401-'계산 과정'!$C$89)&lt;='계산 과정'!$D$24/2),1,0),"")</x:f>
        <x:v>1</x:v>
      </x:c>
      <x:c r="O401" s="4" t="n">
        <x:f>IF('계산 과정'!$L$7,'계산 과정'!$C$49*('계산 과정'!$C$32-D401)+'계산 과정'!$D$49*('계산 과정'!$D$32-E401)+'계산 과정'!$E$49*'계산 과정'!$E$32,"")</x:f>
        <x:v>33.28308510883164</x:v>
      </x:c>
      <x:c r="P401" s="4" t="n">
        <x:f>IF(AND('계산 과정'!$L$7,O401&lt;&gt;0),('계산 과정'!$L$23-'계산 과정'!$C$49*D401-'계산 과정'!$D$49*E401)/O401,"")</x:f>
        <x:v>13.01811667073676</x:v>
      </x:c>
      <x:c r="Q401" s="4" t="str">
        <x:f>IF(AND(ISNUMBER(P401),P401&gt;1E-9,P401&lt;1-1E-9),'계산 과정'!$C$47*(D401-'계산 과정'!$C$50+P401*('계산 과정'!$C$32-D401))+'계산 과정'!$D$47*(E401-'계산 과정'!$D$50+P401*('계산 과정'!$D$32-E401))+'계산 과정'!$E$47*(0-'계산 과정'!$E$50+P401*('계산 과정'!$E$32-0)),"")</x:f>
      </x:c>
      <x:c r="R401" s="4" t="str">
        <x:f>IF(AND(ISNUMBER(P401),P401&gt;1E-9,P401&lt;1-1E-9),'계산 과정'!$C$48*(D401-'계산 과정'!$C$50+P401*('계산 과정'!$C$32-D401))+'계산 과정'!$D$48*(E401-'계산 과정'!$D$50+P401*('계산 과정'!$D$32-E401))+'계산 과정'!$E$48*(0-'계산 과정'!$E$50+P401*('계산 과정'!$E$32-0)),"")</x:f>
      </x:c>
      <x:c r="S401" s="17" t="n">
        <x:f>IF('계산 과정'!$C$78,IF(AND(ISNUMBER(Q401),ISNUMBER(R401),ABS(Q401-'계산 과정'!$C$88)&lt;='계산 과정'!$D$23/2,ABS(R401-'계산 과정'!$C$89)&lt;='계산 과정'!$D$24/2),1,0),"")</x:f>
        <x:v>0</x:v>
      </x:c>
      <x:c r="T401" s="4"/>
      <x:c r="U401" s="4"/>
      <x:c r="V401" s="4"/>
      <x:c r="W401" s="4" t="n">
        <x:f>IF('계산 과정'!$C$78,'계산 과정'!$C$88+-1*'계산 과정'!$D$23/2,"")</x:f>
        <x:v>-231.27659574468098</x:v>
      </x:c>
      <x:c r="X401" s="4" t="str">
        <x:f>""</x:f>
      </x:c>
      <x:c r="Y401" s="4" t="n">
        <x:f>IF('계산 과정'!$C$78,'계산 과정'!$C$89+0.84*'계산 과정'!$D$24/2,"")</x:f>
        <x:v>218.4</x:v>
      </x:c>
      <x:c r="Z401" s="4" t="str">
        <x:f>""</x:f>
      </x:c>
    </x:row>
    <x:row r="402" ht="23" customHeight="1">
      <x:c r="A402" s="17" t="n">
        <x:f>ROW()-6</x:f>
        <x:v>396</x:v>
      </x:c>
      <x:c r="B402" s="4" t="n">
        <x:f>IF('계산 과정'!$L$5,'계산 과정'!$L$11*SQRT((A402+0.5)/'계산 과정'!$L$30),"")</x:f>
        <x:v>66.00059925154089</x:v>
      </x:c>
      <x:c r="C402" s="4" t="n">
        <x:f>A402*PI()*(3-SQRT(5))</x:f>
        <x:v>950.3854389725466</x:v>
      </x:c>
      <x:c r="D402" s="4" t="n">
        <x:f>IF('계산 과정'!$L$5,B402*COS(C402),"")</x:f>
        <x:v>-3.53997594178728</x:v>
      </x:c>
      <x:c r="E402" s="4" t="n">
        <x:f>IF('계산 과정'!$L$5,B402*SIN(C402),"")</x:f>
        <x:v>65.90559666594383</x:v>
      </x:c>
      <x:c r="F402" s="4" t="n">
        <x:f>IF('계산 과정'!$L$7,'계산 과정'!$L$22+'계산 과정'!$C$49*D402+'계산 과정'!$D$49*E402,"")</x:f>
        <x:v>652.5031409936751</x:v>
      </x:c>
      <x:c r="G402" s="4" t="n">
        <x:f>IF('계산 과정'!$L$7,IF(ABS(F402)&gt;=1E-12*MAX(1,SQRT((D402-'계산 과정'!$C$33)^2+(E402-'계산 과정'!$D$33)^2+'계산 과정'!$E$33^2)),('계산 과정'!$L$23-'계산 과정'!$C$49*D402-'계산 과정'!$D$49*E402)/F402,""),"")</x:f>
        <x:v>0.6091876560180085</x:v>
      </x:c>
      <x:c r="H402" s="4" t="n">
        <x:f>IF(AND(ISNUMBER(G402),G402&gt;0),('계산 과정'!$D$56+'계산 과정'!$D$57*D402+'계산 과정'!$D$58*E402)/F402,"")</x:f>
        <x:v>-4.02802358829461</x:v>
      </x:c>
      <x:c r="I402" s="4" t="n">
        <x:f>IF(AND(ISNUMBER(G402),G402&gt;0),('계산 과정'!$E$56+'계산 과정'!$E$57*D402+'계산 과정'!$E$58*E402)/F402,"")</x:f>
        <x:v>106.05447261733843</x:v>
      </x:c>
      <x:c r="J402" s="4" t="n">
        <x:f>IF('계산 과정'!$L$5,'계산 과정'!$D$6+'계산 과정'!$C$35*D402+'계산 과정'!$D$35*E402,"")</x:f>
        <x:v>652.5031409936751</x:v>
      </x:c>
      <x:c r="K402" s="4" t="n">
        <x:f>IF(AND('계산 과정'!$L$6,J402&gt;0),'계산 과정'!$D$10*('계산 과정'!$C$38*(D402-'계산 과정'!$C$32)+'계산 과정'!$D$38*(E402-'계산 과정'!$D$32)-'계산 과정'!$E$38*'계산 과정'!$E$32)/J402,"")</x:f>
        <x:v>-0.03068970352986261</x:v>
      </x:c>
      <x:c r="L402" s="4" t="n">
        <x:f>IF(AND('계산 과정'!$L$6,J402&gt;0),'계산 과정'!$D$10*('계산 과정'!$C$39*(D402-'계산 과정'!$C$32)+'계산 과정'!$D$39*(E402-'계산 과정'!$D$32)-'계산 과정'!$E$39*'계산 과정'!$E$32)/J402,"")</x:f>
        <x:v>0.8080340770844833</x:v>
      </x:c>
      <x:c r="M402" s="17" t="n">
        <x:f>IF('계산 과정'!$L$6,IF(J402&lt;=0,0,IF(AND(ABS(K402)&lt;='계산 과정'!$D$11/2,ABS(L402)&lt;='계산 과정'!$D$12/2),1,0)),"")</x:f>
        <x:v>1</x:v>
      </x:c>
      <x:c r="N402" s="17" t="n">
        <x:f>IF('계산 과정'!$C$78,IF(AND(ISNUMBER(H402),ISNUMBER(I402),ABS(H402-'계산 과정'!$C$88)&lt;='계산 과정'!$D$23/2,ABS(I402-'계산 과정'!$C$89)&lt;='계산 과정'!$D$24/2),1,0),"")</x:f>
        <x:v>1</x:v>
      </x:c>
      <x:c r="O402" s="4" t="n">
        <x:f>IF('계산 과정'!$L$7,'계산 과정'!$C$49*('계산 과정'!$C$32-D402)+'계산 과정'!$D$49*('계산 과정'!$D$32-E402)+'계산 과정'!$E$49*'계산 과정'!$E$32,"")</x:f>
        <x:v>-2.503140993674947</x:v>
      </x:c>
      <x:c r="P402" s="4" t="n">
        <x:f>IF(AND('계산 과정'!$L$7,O402&lt;&gt;0),('계산 과정'!$L$23-'계산 과정'!$C$49*D402-'계산 과정'!$D$49*E402)/O402,"")</x:f>
        <x:v>-158.79922865341527</x:v>
      </x:c>
      <x:c r="Q402" s="4" t="str">
        <x:f>IF(AND(ISNUMBER(P402),P402&gt;1E-9,P402&lt;1-1E-9),'계산 과정'!$C$47*(D402-'계산 과정'!$C$50+P402*('계산 과정'!$C$32-D402))+'계산 과정'!$D$47*(E402-'계산 과정'!$D$50+P402*('계산 과정'!$D$32-E402))+'계산 과정'!$E$47*(0-'계산 과정'!$E$50+P402*('계산 과정'!$E$32-0)),"")</x:f>
      </x:c>
      <x:c r="R402" s="4" t="str">
        <x:f>IF(AND(ISNUMBER(P402),P402&gt;1E-9,P402&lt;1-1E-9),'계산 과정'!$C$48*(D402-'계산 과정'!$C$50+P402*('계산 과정'!$C$32-D402))+'계산 과정'!$D$48*(E402-'계산 과정'!$D$50+P402*('계산 과정'!$D$32-E402))+'계산 과정'!$E$48*(0-'계산 과정'!$E$50+P402*('계산 과정'!$E$32-0)),"")</x:f>
      </x:c>
      <x:c r="S402" s="17" t="n">
        <x:f>IF('계산 과정'!$C$78,IF(AND(ISNUMBER(Q402),ISNUMBER(R402),ABS(Q402-'계산 과정'!$C$88)&lt;='계산 과정'!$D$23/2,ABS(R402-'계산 과정'!$C$89)&lt;='계산 과정'!$D$24/2),1,0),"")</x:f>
        <x:v>0</x:v>
      </x:c>
      <x:c r="T402" s="4"/>
      <x:c r="U402" s="4"/>
      <x:c r="V402" s="4"/>
      <x:c r="W402" s="4" t="n">
        <x:f>IF('계산 과정'!$C$78,'계산 과정'!$C$88+-1*'계산 과정'!$D$23/2,"")</x:f>
        <x:v>-231.27659574468098</x:v>
      </x:c>
      <x:c r="X402" s="4" t="str">
        <x:f>""</x:f>
      </x:c>
      <x:c r="Y402" s="4" t="n">
        <x:f>IF('계산 과정'!$C$78,'계산 과정'!$C$89+0.8*'계산 과정'!$D$24/2,"")</x:f>
        <x:v>208</x:v>
      </x:c>
      <x:c r="Z402" s="4" t="str">
        <x:f>""</x:f>
      </x:c>
    </x:row>
    <x:row r="403" ht="23" customHeight="1">
      <x:c r="A403" s="17" t="n">
        <x:f>ROW()-6</x:f>
        <x:v>397</x:v>
      </x:c>
      <x:c r="B403" s="4" t="n">
        <x:f>IF('계산 과정'!$L$5,'계산 과정'!$L$11*SQRT((A403+0.5)/'계산 과정'!$L$30),"")</x:f>
        <x:v>66.08377584314852</x:v>
      </x:c>
      <x:c r="C403" s="4" t="n">
        <x:f>A403*PI()*(3-SQRT(5))</x:f>
        <x:v>952.7854022022751</x:v>
      </x:c>
      <x:c r="D403" s="4" t="n">
        <x:f>IF('계산 과정'!$L$5,B403*COS(C403),"")</x:f>
        <x:v>-41.9611373391853</x:v>
      </x:c>
      <x:c r="E403" s="4" t="n">
        <x:f>IF('계산 과정'!$L$5,B403*SIN(C403),"")</x:f>
        <x:v>-51.0522123212063</x:v>
      </x:c>
      <x:c r="F403" s="4" t="n">
        <x:f>IF('계산 과정'!$L$7,'계산 과정'!$L$22+'계산 과정'!$C$49*D403+'계산 과정'!$D$49*E403,"")</x:f>
        <x:v>679.671004758838</x:v>
      </x:c>
      <x:c r="G403" s="4" t="n">
        <x:f>IF('계산 과정'!$L$7,IF(ABS(F403)&gt;=1E-12*MAX(1,SQRT((D403-'계산 과정'!$C$33)^2+(E403-'계산 과정'!$D$33)^2+'계산 과정'!$E$33^2)),('계산 과정'!$L$23-'계산 과정'!$C$49*D403-'계산 과정'!$D$49*E403)/F403,""),"")</x:f>
        <x:v>0.5448650783220668</x:v>
      </x:c>
      <x:c r="H403" s="4" t="n">
        <x:f>IF(AND(ISNUMBER(G403),G403&gt;0),('계산 과정'!$D$56+'계산 과정'!$D$57*D403+'계산 과정'!$D$58*E403)/F403,"")</x:f>
        <x:v>-45.837699090656756</x:v>
      </x:c>
      <x:c r="I403" s="4" t="n">
        <x:f>IF(AND(ISNUMBER(G403),G403&gt;0),('계산 과정'!$E$56+'계산 과정'!$E$57*D403+'계산 과정'!$E$58*E403)/F403,"")</x:f>
        <x:v>-78.86877998611514</x:v>
      </x:c>
      <x:c r="J403" s="4" t="n">
        <x:f>IF('계산 과정'!$L$5,'계산 과정'!$D$6+'계산 과정'!$C$35*D403+'계산 과정'!$D$35*E403,"")</x:f>
        <x:v>679.671004758838</x:v>
      </x:c>
      <x:c r="K403" s="4" t="n">
        <x:f>IF(AND('계산 과정'!$L$6,J403&gt;0),'계산 과정'!$D$10*('계산 과정'!$C$38*(D403-'계산 과정'!$C$32)+'계산 과정'!$D$38*(E403-'계산 과정'!$D$32)-'계산 과정'!$E$38*'계산 과정'!$E$32)/J403,"")</x:f>
        <x:v>-0.3492396121192886</x:v>
      </x:c>
      <x:c r="L403" s="4" t="n">
        <x:f>IF(AND('계산 과정'!$L$6,J403&gt;0),'계산 과정'!$D$10*('계산 과정'!$C$39*(D403-'계산 과정'!$C$32)+'계산 과정'!$D$39*(E403-'계산 과정'!$D$32)-'계산 과정'!$E$39*'계산 과정'!$E$32)/J403,"")</x:f>
        <x:v>-0.6009049903704011</x:v>
      </x:c>
      <x:c r="M403" s="17" t="n">
        <x:f>IF('계산 과정'!$L$6,IF(J403&lt;=0,0,IF(AND(ABS(K403)&lt;='계산 과정'!$D$11/2,ABS(L403)&lt;='계산 과정'!$D$12/2),1,0)),"")</x:f>
        <x:v>1</x:v>
      </x:c>
      <x:c r="N403" s="17" t="n">
        <x:f>IF('계산 과정'!$C$78,IF(AND(ISNUMBER(H403),ISNUMBER(I403),ABS(H403-'계산 과정'!$C$88)&lt;='계산 과정'!$D$23/2,ABS(I403-'계산 과정'!$C$89)&lt;='계산 과정'!$D$24/2),1,0),"")</x:f>
        <x:v>1</x:v>
      </x:c>
      <x:c r="O403" s="4" t="n">
        <x:f>IF('계산 과정'!$L$7,'계산 과정'!$C$49*('계산 과정'!$C$32-D403)+'계산 과정'!$D$49*('계산 과정'!$D$32-E403)+'계산 과정'!$E$49*'계산 과정'!$E$32,"")</x:f>
        <x:v>-29.671004758837853</x:v>
      </x:c>
      <x:c r="P403" s="4" t="n">
        <x:f>IF(AND('계산 과정'!$L$7,O403&lt;&gt;0),('계산 과정'!$L$23-'계산 과정'!$C$49*D403-'계산 과정'!$D$49*E403)/O403,"")</x:f>
        <x:v>-12.481174744540972</x:v>
      </x:c>
      <x:c r="Q403" s="4" t="str">
        <x:f>IF(AND(ISNUMBER(P403),P403&gt;1E-9,P403&lt;1-1E-9),'계산 과정'!$C$47*(D403-'계산 과정'!$C$50+P403*('계산 과정'!$C$32-D403))+'계산 과정'!$D$47*(E403-'계산 과정'!$D$50+P403*('계산 과정'!$D$32-E403))+'계산 과정'!$E$47*(0-'계산 과정'!$E$50+P403*('계산 과정'!$E$32-0)),"")</x:f>
      </x:c>
      <x:c r="R403" s="4" t="str">
        <x:f>IF(AND(ISNUMBER(P403),P403&gt;1E-9,P403&lt;1-1E-9),'계산 과정'!$C$48*(D403-'계산 과정'!$C$50+P403*('계산 과정'!$C$32-D403))+'계산 과정'!$D$48*(E403-'계산 과정'!$D$50+P403*('계산 과정'!$D$32-E403))+'계산 과정'!$E$48*(0-'계산 과정'!$E$50+P403*('계산 과정'!$E$32-0)),"")</x:f>
      </x:c>
      <x:c r="S403" s="17" t="n">
        <x:f>IF('계산 과정'!$C$78,IF(AND(ISNUMBER(Q403),ISNUMBER(R403),ABS(Q403-'계산 과정'!$C$88)&lt;='계산 과정'!$D$23/2,ABS(R403-'계산 과정'!$C$89)&lt;='계산 과정'!$D$24/2),1,0),"")</x:f>
        <x:v>0</x:v>
      </x:c>
      <x:c r="T403" s="4"/>
      <x:c r="U403" s="4"/>
      <x:c r="V403" s="4"/>
      <x:c r="W403" s="4" t="n">
        <x:f>IF('계산 과정'!$C$78,'계산 과정'!$C$88+-1*'계산 과정'!$D$23/2,"")</x:f>
        <x:v>-231.27659574468098</x:v>
      </x:c>
      <x:c r="X403" s="4" t="str">
        <x:f>""</x:f>
      </x:c>
      <x:c r="Y403" s="4" t="n">
        <x:f>IF('계산 과정'!$C$78,'계산 과정'!$C$89+0.76*'계산 과정'!$D$24/2,"")</x:f>
        <x:v>197.6</x:v>
      </x:c>
      <x:c r="Z403" s="4" t="str">
        <x:f>""</x:f>
      </x:c>
    </x:row>
    <x:row r="404" ht="23" customHeight="1">
      <x:c r="A404" s="17" t="n">
        <x:f>ROW()-6</x:f>
        <x:v>398</x:v>
      </x:c>
      <x:c r="B404" s="4" t="n">
        <x:f>IF('계산 과정'!$L$5,'계산 과정'!$L$11*SQRT((A404+0.5)/'계산 과정'!$L$30),"")</x:f>
        <x:v>66.16684787574893</x:v>
      </x:c>
      <x:c r="C404" s="4" t="n">
        <x:f>A404*PI()*(3-SQRT(5))</x:f>
        <x:v>955.1853654320039</x:v>
      </x:c>
      <x:c r="D404" s="4" t="n">
        <x:f>IF('계산 과정'!$L$5,B404*COS(C404),"")</x:f>
        <x:v>65.50835598669914</x:v>
      </x:c>
      <x:c r="E404" s="4" t="n">
        <x:f>IF('계산 과정'!$L$5,B404*SIN(C404),"")</x:f>
        <x:v>9.311662243251696</x:v>
      </x:c>
      <x:c r="F404" s="4" t="n">
        <x:f>IF('계산 과정'!$L$7,'계산 과정'!$L$22+'계산 과정'!$C$49*D404+'계산 과정'!$D$49*E404,"")</x:f>
        <x:v>603.6785972574227</x:v>
      </x:c>
      <x:c r="G404" s="4" t="n">
        <x:f>IF('계산 과정'!$L$7,IF(ABS(F404)&gt;=1E-12*MAX(1,SQRT((D404-'계산 과정'!$C$33)^2+(E404-'계산 과정'!$D$33)^2+'계산 과정'!$E$33^2)),('계산 과정'!$L$23-'계산 과정'!$C$49*D404-'계산 과정'!$D$49*E404)/F404,""),"")</x:f>
        <x:v>0.7393361380878233</x:v>
      </x:c>
      <x:c r="H404" s="4" t="n">
        <x:f>IF(AND(ISNUMBER(G404),G404&gt;0),('계산 과정'!$D$56+'계산 과정'!$D$57*D404+'계산 과정'!$D$58*E404)/F404,"")</x:f>
        <x:v>80.56848975708506</x:v>
      </x:c>
      <x:c r="I404" s="4" t="n">
        <x:f>IF(AND(ISNUMBER(G404),G404&gt;0),('계산 과정'!$E$56+'계산 과정'!$E$57*D404+'계산 과정'!$E$58*E404)/F404,"")</x:f>
        <x:v>16.196110645355603</x:v>
      </x:c>
      <x:c r="J404" s="4" t="n">
        <x:f>IF('계산 과정'!$L$5,'계산 과정'!$D$6+'계산 과정'!$C$35*D404+'계산 과정'!$D$35*E404,"")</x:f>
        <x:v>603.6785972574227</x:v>
      </x:c>
      <x:c r="K404" s="4" t="n">
        <x:f>IF(AND('계산 과정'!$L$6,J404&gt;0),'계산 과정'!$D$10*('계산 과정'!$C$38*(D404-'계산 과정'!$C$32)+'계산 과정'!$D$38*(E404-'계산 과정'!$D$32)-'계산 과정'!$E$38*'계산 과정'!$E$32)/J404,"")</x:f>
        <x:v>0.6138551600539822</x:v>
      </x:c>
      <x:c r="L404" s="4" t="n">
        <x:f>IF(AND('계산 과정'!$L$6,J404&gt;0),'계산 과정'!$D$10*('계산 과정'!$C$39*(D404-'계산 과정'!$C$32)+'계산 과정'!$D$39*(E404-'계산 과정'!$D$32)-'계산 과정'!$E$39*'계산 과정'!$E$32)/J404,"")</x:f>
        <x:v>0.12339893825032841</x:v>
      </x:c>
      <x:c r="M404" s="17" t="n">
        <x:f>IF('계산 과정'!$L$6,IF(J404&lt;=0,0,IF(AND(ABS(K404)&lt;='계산 과정'!$D$11/2,ABS(L404)&lt;='계산 과정'!$D$12/2),1,0)),"")</x:f>
        <x:v>1</x:v>
      </x:c>
      <x:c r="N404" s="17" t="n">
        <x:f>IF('계산 과정'!$C$78,IF(AND(ISNUMBER(H404),ISNUMBER(I404),ABS(H404-'계산 과정'!$C$88)&lt;='계산 과정'!$D$23/2,ABS(I404-'계산 과정'!$C$89)&lt;='계산 과정'!$D$24/2),1,0),"")</x:f>
        <x:v>1</x:v>
      </x:c>
      <x:c r="O404" s="4" t="n">
        <x:f>IF('계산 과정'!$L$7,'계산 과정'!$C$49*('계산 과정'!$C$32-D404)+'계산 과정'!$D$49*('계산 과정'!$D$32-E404)+'계산 과정'!$E$49*'계산 과정'!$E$32,"")</x:f>
        <x:v>46.32140274257745</x:v>
      </x:c>
      <x:c r="P404" s="4" t="n">
        <x:f>IF(AND('계산 과정'!$L$7,O404&lt;&gt;0),('계산 과정'!$L$23-'계산 과정'!$C$49*D404-'계산 과정'!$D$49*E404)/O404,"")</x:f>
        <x:v>9.63531707411637</x:v>
      </x:c>
      <x:c r="Q404" s="4" t="str">
        <x:f>IF(AND(ISNUMBER(P404),P404&gt;1E-9,P404&lt;1-1E-9),'계산 과정'!$C$47*(D404-'계산 과정'!$C$50+P404*('계산 과정'!$C$32-D404))+'계산 과정'!$D$47*(E404-'계산 과정'!$D$50+P404*('계산 과정'!$D$32-E404))+'계산 과정'!$E$47*(0-'계산 과정'!$E$50+P404*('계산 과정'!$E$32-0)),"")</x:f>
      </x:c>
      <x:c r="R404" s="4" t="str">
        <x:f>IF(AND(ISNUMBER(P404),P404&gt;1E-9,P404&lt;1-1E-9),'계산 과정'!$C$48*(D404-'계산 과정'!$C$50+P404*('계산 과정'!$C$32-D404))+'계산 과정'!$D$48*(E404-'계산 과정'!$D$50+P404*('계산 과정'!$D$32-E404))+'계산 과정'!$E$48*(0-'계산 과정'!$E$50+P404*('계산 과정'!$E$32-0)),"")</x:f>
      </x:c>
      <x:c r="S404" s="17" t="n">
        <x:f>IF('계산 과정'!$C$78,IF(AND(ISNUMBER(Q404),ISNUMBER(R404),ABS(Q404-'계산 과정'!$C$88)&lt;='계산 과정'!$D$23/2,ABS(R404-'계산 과정'!$C$89)&lt;='계산 과정'!$D$24/2),1,0),"")</x:f>
        <x:v>0</x:v>
      </x:c>
      <x:c r="T404" s="4"/>
      <x:c r="U404" s="4"/>
      <x:c r="V404" s="4"/>
      <x:c r="W404" s="4" t="n">
        <x:f>IF('계산 과정'!$C$78,'계산 과정'!$C$88+-1*'계산 과정'!$D$23/2,"")</x:f>
        <x:v>-231.27659574468098</x:v>
      </x:c>
      <x:c r="X404" s="4" t="str">
        <x:f>""</x:f>
      </x:c>
      <x:c r="Y404" s="4" t="n">
        <x:f>IF('계산 과정'!$C$78,'계산 과정'!$C$89+0.72*'계산 과정'!$D$24/2,"")</x:f>
        <x:v>187.2</x:v>
      </x:c>
      <x:c r="Z404" s="4" t="str">
        <x:f>""</x:f>
      </x:c>
    </x:row>
    <x:row r="405" ht="23" customHeight="1">
      <x:c r="A405" s="17" t="n">
        <x:f>ROW()-6</x:f>
        <x:v>399</x:v>
      </x:c>
      <x:c r="B405" s="4" t="n">
        <x:f>IF('계산 과정'!$L$5,'계산 과정'!$L$11*SQRT((A405+0.5)/'계산 과정'!$L$30),"")</x:f>
        <x:v>66.2498157426683</x:v>
      </x:c>
      <x:c r="C405" s="4" t="n">
        <x:f>A405*PI()*(3-SQRT(5))</x:f>
        <x:v>957.5853286617324</x:v>
      </x:c>
      <x:c r="D405" s="4" t="n">
        <x:f>IF('계산 과정'!$L$5,B405*COS(C405),"")</x:f>
        <x:v>-54.66221658024092</x:v>
      </x:c>
      <x:c r="E405" s="4" t="n">
        <x:f>IF('계산 과정'!$L$5,B405*SIN(C405),"")</x:f>
        <x:v>37.431005389547515</x:v>
      </x:c>
      <x:c r="F405" s="4" t="n">
        <x:f>IF('계산 과정'!$L$7,'계산 과정'!$L$22+'계산 과정'!$C$49*D405+'계산 과정'!$D$49*E405,"")</x:f>
        <x:v>688.6520240185761</x:v>
      </x:c>
      <x:c r="G405" s="4" t="n">
        <x:f>IF('계산 과정'!$L$7,IF(ABS(F405)&gt;=1E-12*MAX(1,SQRT((D405-'계산 과정'!$C$33)^2+(E405-'계산 과정'!$D$33)^2+'계산 과정'!$E$33^2)),('계산 과정'!$L$23-'계산 과정'!$C$49*D405-'계산 과정'!$D$49*E405)/F405,""),"")</x:f>
        <x:v>0.5247178014126866</x:v>
      </x:c>
      <x:c r="H405" s="4" t="n">
        <x:f>IF(AND(ISNUMBER(G405),G405&gt;0),('계산 과정'!$D$56+'계산 과정'!$D$57*D405+'계산 과정'!$D$58*E405)/F405,"")</x:f>
        <x:v>-58.93342908175381</x:v>
      </x:c>
      <x:c r="I405" s="4" t="n">
        <x:f>IF(AND(ISNUMBER(G405),G405&gt;0),('계산 과정'!$E$56+'계산 과정'!$E$57*D405+'계산 과정'!$E$58*E405)/F405,"")</x:f>
        <x:v>57.07172024221731</x:v>
      </x:c>
      <x:c r="J405" s="4" t="n">
        <x:f>IF('계산 과정'!$L$5,'계산 과정'!$D$6+'계산 과정'!$C$35*D405+'계산 과정'!$D$35*E405,"")</x:f>
        <x:v>688.6520240185761</x:v>
      </x:c>
      <x:c r="K405" s="4" t="n">
        <x:f>IF(AND('계산 과정'!$L$6,J405&gt;0),'계산 과정'!$D$10*('계산 과정'!$C$38*(D405-'계산 과정'!$C$32)+'계산 과정'!$D$38*(E405-'계산 과정'!$D$32)-'계산 과정'!$E$38*'계산 과정'!$E$32)/J405,"")</x:f>
        <x:v>-0.44901660252764763</x:v>
      </x:c>
      <x:c r="L405" s="4" t="n">
        <x:f>IF(AND('계산 과정'!$L$6,J405&gt;0),'계산 과정'!$D$10*('계산 과정'!$C$39*(D405-'계산 과정'!$C$32)+'계산 과정'!$D$39*(E405-'계산 과정'!$D$32)-'계산 과정'!$E$39*'계산 과정'!$E$32)/J405,"")</x:f>
        <x:v>0.43483215422641763</x:v>
      </x:c>
      <x:c r="M405" s="17" t="n">
        <x:f>IF('계산 과정'!$L$6,IF(J405&lt;=0,0,IF(AND(ABS(K405)&lt;='계산 과정'!$D$11/2,ABS(L405)&lt;='계산 과정'!$D$12/2),1,0)),"")</x:f>
        <x:v>1</x:v>
      </x:c>
      <x:c r="N405" s="17" t="n">
        <x:f>IF('계산 과정'!$C$78,IF(AND(ISNUMBER(H405),ISNUMBER(I405),ABS(H405-'계산 과정'!$C$88)&lt;='계산 과정'!$D$23/2,ABS(I405-'계산 과정'!$C$89)&lt;='계산 과정'!$D$24/2),1,0),"")</x:f>
        <x:v>1</x:v>
      </x:c>
      <x:c r="O405" s="4" t="n">
        <x:f>IF('계산 과정'!$L$7,'계산 과정'!$C$49*('계산 과정'!$C$32-D405)+'계산 과정'!$D$49*('계산 과정'!$D$32-E405)+'계산 과정'!$E$49*'계산 과정'!$E$32,"")</x:f>
        <x:v>-38.652024018576014</x:v>
      </x:c>
      <x:c r="P405" s="4" t="n">
        <x:f>IF(AND('계산 과정'!$L$7,O405&lt;&gt;0),('계산 과정'!$L$23-'계산 과정'!$C$49*D405-'계산 과정'!$D$49*E405)/O405,"")</x:f>
        <x:v>-9.348746544495613</x:v>
      </x:c>
      <x:c r="Q405" s="4" t="str">
        <x:f>IF(AND(ISNUMBER(P405),P405&gt;1E-9,P405&lt;1-1E-9),'계산 과정'!$C$47*(D405-'계산 과정'!$C$50+P405*('계산 과정'!$C$32-D405))+'계산 과정'!$D$47*(E405-'계산 과정'!$D$50+P405*('계산 과정'!$D$32-E405))+'계산 과정'!$E$47*(0-'계산 과정'!$E$50+P405*('계산 과정'!$E$32-0)),"")</x:f>
      </x:c>
      <x:c r="R405" s="4" t="str">
        <x:f>IF(AND(ISNUMBER(P405),P405&gt;1E-9,P405&lt;1-1E-9),'계산 과정'!$C$48*(D405-'계산 과정'!$C$50+P405*('계산 과정'!$C$32-D405))+'계산 과정'!$D$48*(E405-'계산 과정'!$D$50+P405*('계산 과정'!$D$32-E405))+'계산 과정'!$E$48*(0-'계산 과정'!$E$50+P405*('계산 과정'!$E$32-0)),"")</x:f>
      </x:c>
      <x:c r="S405" s="17" t="n">
        <x:f>IF('계산 과정'!$C$78,IF(AND(ISNUMBER(Q405),ISNUMBER(R405),ABS(Q405-'계산 과정'!$C$88)&lt;='계산 과정'!$D$23/2,ABS(R405-'계산 과정'!$C$89)&lt;='계산 과정'!$D$24/2),1,0),"")</x:f>
        <x:v>0</x:v>
      </x:c>
      <x:c r="T405" s="4"/>
      <x:c r="U405" s="4"/>
      <x:c r="V405" s="4"/>
      <x:c r="W405" s="4" t="n">
        <x:f>IF('계산 과정'!$C$78,'계산 과정'!$C$88+-1*'계산 과정'!$D$23/2,"")</x:f>
        <x:v>-231.27659574468098</x:v>
      </x:c>
      <x:c r="X405" s="4" t="str">
        <x:f>""</x:f>
      </x:c>
      <x:c r="Y405" s="4" t="n">
        <x:f>IF('계산 과정'!$C$78,'계산 과정'!$C$89+0.6799999999999999*'계산 과정'!$D$24/2,"")</x:f>
        <x:v>176.79999999999998</x:v>
      </x:c>
      <x:c r="Z405" s="4" t="str">
        <x:f>""</x:f>
      </x:c>
    </x:row>
    <x:row r="406" ht="23" customHeight="1">
      <x:c r="A406" s="17" t="n">
        <x:f>ROW()-6</x:f>
        <x:v>400</x:v>
      </x:c>
      <x:c r="B406" s="4" t="n">
        <x:f>IF('계산 과정'!$L$5,'계산 과정'!$L$11*SQRT((A406+0.5)/'계산 과정'!$L$30),"")</x:f>
        <x:v>66.33267983477299</x:v>
      </x:c>
      <x:c r="C406" s="4" t="n">
        <x:f>A406*PI()*(3-SQRT(5))</x:f>
        <x:v>959.9852918914612</x:v>
      </x:c>
      <x:c r="D406" s="4" t="n">
        <x:f>IF('계산 과정'!$L$5,B406*COS(C406),"")</x:f>
        <x:v>15.040725639120165</x:v>
      </x:c>
      <x:c r="E406" s="4" t="n">
        <x:f>IF('계산 과정'!$L$5,B406*SIN(C406),"")</x:f>
        <x:v>-64.60496100386729</x:v>
      </x:c>
      <x:c r="F406" s="4" t="n">
        <x:f>IF('계산 과정'!$L$7,'계산 과정'!$L$22+'계산 과정'!$C$49*D406+'계산 과정'!$D$49*E406,"")</x:f>
        <x:v>639.3646009066117</x:v>
      </x:c>
      <x:c r="G406" s="4" t="n">
        <x:f>IF('계산 과정'!$L$7,IF(ABS(F406)&gt;=1E-12*MAX(1,SQRT((D406-'계산 과정'!$C$33)^2+(E406-'계산 과정'!$D$33)^2+'계산 과정'!$E$33^2)),('계산 과정'!$L$23-'계산 과정'!$C$49*D406-'계산 과정'!$D$49*E406)/F406,""),"")</x:f>
        <x:v>0.6422554494119816</x:v>
      </x:c>
      <x:c r="H406" s="4" t="n">
        <x:f>IF(AND(ISNUMBER(G406),G406&gt;0),('계산 과정'!$D$56+'계산 과정'!$D$57*D406+'계산 과정'!$D$58*E406)/F406,"")</x:f>
        <x:v>17.46604211778797</x:v>
      </x:c>
      <x:c r="I406" s="4" t="n">
        <x:f>IF(AND(ISNUMBER(G406),G406&gt;0),('계산 과정'!$E$56+'계산 과정'!$E$57*D406+'계산 과정'!$E$58*E406)/F406,"")</x:f>
        <x:v>-106.09784926764964</x:v>
      </x:c>
      <x:c r="J406" s="4" t="n">
        <x:f>IF('계산 과정'!$L$5,'계산 과정'!$D$6+'계산 과정'!$C$35*D406+'계산 과정'!$D$35*E406,"")</x:f>
        <x:v>639.3646009066117</x:v>
      </x:c>
      <x:c r="K406" s="4" t="n">
        <x:f>IF(AND('계산 과정'!$L$6,J406&gt;0),'계산 과정'!$D$10*('계산 과정'!$C$38*(D406-'계산 과정'!$C$32)+'계산 과정'!$D$38*(E406-'계산 과정'!$D$32)-'계산 과정'!$E$38*'계산 과정'!$E$32)/J406,"")</x:f>
        <x:v>0.13307460661171863</x:v>
      </x:c>
      <x:c r="L406" s="4" t="n">
        <x:f>IF(AND('계산 과정'!$L$6,J406&gt;0),'계산 과정'!$D$10*('계산 과정'!$C$39*(D406-'계산 과정'!$C$32)+'계산 과정'!$D$39*(E406-'계산 과정'!$D$32)-'계산 과정'!$E$39*'계산 과정'!$E$32)/J406,"")</x:f>
        <x:v>-0.8083645658487592</x:v>
      </x:c>
      <x:c r="M406" s="17" t="n">
        <x:f>IF('계산 과정'!$L$6,IF(J406&lt;=0,0,IF(AND(ABS(K406)&lt;='계산 과정'!$D$11/2,ABS(L406)&lt;='계산 과정'!$D$12/2),1,0)),"")</x:f>
        <x:v>1</x:v>
      </x:c>
      <x:c r="N406" s="17" t="n">
        <x:f>IF('계산 과정'!$C$78,IF(AND(ISNUMBER(H406),ISNUMBER(I406),ABS(H406-'계산 과정'!$C$88)&lt;='계산 과정'!$D$23/2,ABS(I406-'계산 과정'!$C$89)&lt;='계산 과정'!$D$24/2),1,0),"")</x:f>
        <x:v>1</x:v>
      </x:c>
      <x:c r="O406" s="4" t="n">
        <x:f>IF('계산 과정'!$L$7,'계산 과정'!$C$49*('계산 과정'!$C$32-D406)+'계산 과정'!$D$49*('계산 과정'!$D$32-E406)+'계산 과정'!$E$49*'계산 과정'!$E$32,"")</x:f>
        <x:v>10.635399093388344</x:v>
      </x:c>
      <x:c r="P406" s="4" t="n">
        <x:f>IF(AND('계산 과정'!$L$7,O406&lt;&gt;0),('계산 과정'!$L$23-'계산 과정'!$C$49*D406-'계산 과정'!$D$49*E406)/O406,"")</x:f>
        <x:v>38.610248236821306</x:v>
      </x:c>
      <x:c r="Q406" s="4" t="str">
        <x:f>IF(AND(ISNUMBER(P406),P406&gt;1E-9,P406&lt;1-1E-9),'계산 과정'!$C$47*(D406-'계산 과정'!$C$50+P406*('계산 과정'!$C$32-D406))+'계산 과정'!$D$47*(E406-'계산 과정'!$D$50+P406*('계산 과정'!$D$32-E406))+'계산 과정'!$E$47*(0-'계산 과정'!$E$50+P406*('계산 과정'!$E$32-0)),"")</x:f>
      </x:c>
      <x:c r="R406" s="4" t="str">
        <x:f>IF(AND(ISNUMBER(P406),P406&gt;1E-9,P406&lt;1-1E-9),'계산 과정'!$C$48*(D406-'계산 과정'!$C$50+P406*('계산 과정'!$C$32-D406))+'계산 과정'!$D$48*(E406-'계산 과정'!$D$50+P406*('계산 과정'!$D$32-E406))+'계산 과정'!$E$48*(0-'계산 과정'!$E$50+P406*('계산 과정'!$E$32-0)),"")</x:f>
      </x:c>
      <x:c r="S406" s="17" t="n">
        <x:f>IF('계산 과정'!$C$78,IF(AND(ISNUMBER(Q406),ISNUMBER(R406),ABS(Q406-'계산 과정'!$C$88)&lt;='계산 과정'!$D$23/2,ABS(R406-'계산 과정'!$C$89)&lt;='계산 과정'!$D$24/2),1,0),"")</x:f>
        <x:v>0</x:v>
      </x:c>
      <x:c r="T406" s="4"/>
      <x:c r="U406" s="4"/>
      <x:c r="V406" s="4"/>
      <x:c r="W406" s="4" t="n">
        <x:f>IF('계산 과정'!$C$78,'계산 과정'!$C$88+-1*'계산 과정'!$D$23/2,"")</x:f>
        <x:v>-231.27659574468098</x:v>
      </x:c>
      <x:c r="X406" s="4" t="str">
        <x:f>""</x:f>
      </x:c>
      <x:c r="Y406" s="4" t="n">
        <x:f>IF('계산 과정'!$C$78,'계산 과정'!$C$89+0.64*'계산 과정'!$D$24/2,"")</x:f>
        <x:v>166.4</x:v>
      </x:c>
      <x:c r="Z406" s="4" t="str">
        <x:f>""</x:f>
      </x:c>
    </x:row>
    <x:row r="407" ht="23" customHeight="1">
      <x:c r="A407" s="17" t="n">
        <x:f>ROW()-6</x:f>
        <x:v>401</x:v>
      </x:c>
      <x:c r="B407" s="4" t="n">
        <x:f>IF('계산 과정'!$L$5,'계산 과정'!$L$11*SQRT((A407+0.5)/'계산 과정'!$L$30),"")</x:f>
        <x:v>66.41544054049103</x:v>
      </x:c>
      <x:c r="C407" s="4" t="n">
        <x:f>A407*PI()*(3-SQRT(5))</x:f>
        <x:v>962.3852551211897</x:v>
      </x:c>
      <x:c r="D407" s="4" t="n">
        <x:f>IF('계산 과정'!$L$5,B407*COS(C407),"")</x:f>
        <x:v>32.59007182643954</x:v>
      </x:c>
      <x:c r="E407" s="4" t="n">
        <x:f>IF('계산 과정'!$L$5,B407*SIN(C407),"")</x:f>
        <x:v>57.86966355989131</x:v>
      </x:c>
      <x:c r="F407" s="4" t="n">
        <x:f>IF('계산 과정'!$L$7,'계산 과정'!$L$22+'계산 과정'!$C$49*D407+'계산 과정'!$D$49*E407,"")</x:f>
        <x:v>626.9553392121679</x:v>
      </x:c>
      <x:c r="G407" s="4" t="n">
        <x:f>IF('계산 과정'!$L$7,IF(ABS(F407)&gt;=1E-12*MAX(1,SQRT((D407-'계산 과정'!$C$33)^2+(E407-'계산 과정'!$D$33)^2+'계산 과정'!$E$33^2)),('계산 과정'!$L$23-'계산 과정'!$C$49*D407-'계산 과정'!$D$49*E407)/F407,""),"")</x:f>
        <x:v>0.6747604403838876</x:v>
      </x:c>
      <x:c r="H407" s="4" t="n">
        <x:f>IF(AND(ISNUMBER(G407),G407&gt;0),('계산 과정'!$D$56+'계산 과정'!$D$57*D407+'계산 과정'!$D$58*E407)/F407,"")</x:f>
        <x:v>38.5942862495268</x:v>
      </x:c>
      <x:c r="I407" s="4" t="n">
        <x:f>IF(AND(ISNUMBER(G407),G407&gt;0),('계산 과정'!$E$56+'계산 과정'!$E$57*D407+'계산 과정'!$E$58*E407)/F407,"")</x:f>
        <x:v>96.91782322843098</x:v>
      </x:c>
      <x:c r="J407" s="4" t="n">
        <x:f>IF('계산 과정'!$L$5,'계산 과정'!$D$6+'계산 과정'!$C$35*D407+'계산 과정'!$D$35*E407,"")</x:f>
        <x:v>626.9553392121679</x:v>
      </x:c>
      <x:c r="K407" s="4" t="n">
        <x:f>IF(AND('계산 과정'!$L$6,J407&gt;0),'계산 과정'!$D$10*('계산 과정'!$C$38*(D407-'계산 과정'!$C$32)+'계산 과정'!$D$38*(E407-'계산 과정'!$D$32)-'계산 과정'!$E$38*'계산 과정'!$E$32)/J407,"")</x:f>
        <x:v>0.29405170475830056</x:v>
      </x:c>
      <x:c r="L407" s="4" t="n">
        <x:f>IF(AND('계산 과정'!$L$6,J407&gt;0),'계산 과정'!$D$10*('계산 과정'!$C$39*(D407-'계산 과정'!$C$32)+'계산 과정'!$D$39*(E407-'계산 과정'!$D$32)-'계산 과정'!$E$39*'계산 과정'!$E$32)/J407,"")</x:f>
        <x:v>0.7384215103118551</x:v>
      </x:c>
      <x:c r="M407" s="17" t="n">
        <x:f>IF('계산 과정'!$L$6,IF(J407&lt;=0,0,IF(AND(ABS(K407)&lt;='계산 과정'!$D$11/2,ABS(L407)&lt;='계산 과정'!$D$12/2),1,0)),"")</x:f>
        <x:v>1</x:v>
      </x:c>
      <x:c r="N407" s="17" t="n">
        <x:f>IF('계산 과정'!$C$78,IF(AND(ISNUMBER(H407),ISNUMBER(I407),ABS(H407-'계산 과정'!$C$88)&lt;='계산 과정'!$D$23/2,ABS(I407-'계산 과정'!$C$89)&lt;='계산 과정'!$D$24/2),1,0),"")</x:f>
        <x:v>1</x:v>
      </x:c>
      <x:c r="O407" s="4" t="n">
        <x:f>IF('계산 과정'!$L$7,'계산 과정'!$C$49*('계산 과정'!$C$32-D407)+'계산 과정'!$D$49*('계산 과정'!$D$32-E407)+'계산 과정'!$E$49*'계산 과정'!$E$32,"")</x:f>
        <x:v>23.044660787832186</x:v>
      </x:c>
      <x:c r="P407" s="4" t="n">
        <x:f>IF(AND('계산 과정'!$L$7,O407&lt;&gt;0),('계산 과정'!$L$23-'계산 과정'!$C$49*D407-'계산 과정'!$D$49*E407)/O407,"")</x:f>
        <x:v>18.357599822480527</x:v>
      </x:c>
      <x:c r="Q407" s="4" t="str">
        <x:f>IF(AND(ISNUMBER(P407),P407&gt;1E-9,P407&lt;1-1E-9),'계산 과정'!$C$47*(D407-'계산 과정'!$C$50+P407*('계산 과정'!$C$32-D407))+'계산 과정'!$D$47*(E407-'계산 과정'!$D$50+P407*('계산 과정'!$D$32-E407))+'계산 과정'!$E$47*(0-'계산 과정'!$E$50+P407*('계산 과정'!$E$32-0)),"")</x:f>
      </x:c>
      <x:c r="R407" s="4" t="str">
        <x:f>IF(AND(ISNUMBER(P407),P407&gt;1E-9,P407&lt;1-1E-9),'계산 과정'!$C$48*(D407-'계산 과정'!$C$50+P407*('계산 과정'!$C$32-D407))+'계산 과정'!$D$48*(E407-'계산 과정'!$D$50+P407*('계산 과정'!$D$32-E407))+'계산 과정'!$E$48*(0-'계산 과정'!$E$50+P407*('계산 과정'!$E$32-0)),"")</x:f>
      </x:c>
      <x:c r="S407" s="17" t="n">
        <x:f>IF('계산 과정'!$C$78,IF(AND(ISNUMBER(Q407),ISNUMBER(R407),ABS(Q407-'계산 과정'!$C$88)&lt;='계산 과정'!$D$23/2,ABS(R407-'계산 과정'!$C$89)&lt;='계산 과정'!$D$24/2),1,0),"")</x:f>
        <x:v>0</x:v>
      </x:c>
      <x:c r="T407" s="4"/>
      <x:c r="U407" s="4"/>
      <x:c r="V407" s="4"/>
      <x:c r="W407" s="4" t="n">
        <x:f>IF('계산 과정'!$C$78,'계산 과정'!$C$88+-1*'계산 과정'!$D$23/2,"")</x:f>
        <x:v>-231.27659574468098</x:v>
      </x:c>
      <x:c r="X407" s="4" t="str">
        <x:f>""</x:f>
      </x:c>
      <x:c r="Y407" s="4" t="n">
        <x:f>IF('계산 과정'!$C$78,'계산 과정'!$C$89+0.6*'계산 과정'!$D$24/2,"")</x:f>
        <x:v>156</x:v>
      </x:c>
      <x:c r="Z407" s="4" t="str">
        <x:f>""</x:f>
      </x:c>
    </x:row>
    <x:row r="408" ht="23" customHeight="1">
      <x:c r="A408" s="17" t="n">
        <x:f>ROW()-6</x:f>
        <x:v>402</x:v>
      </x:c>
      <x:c r="B408" s="4" t="n">
        <x:f>IF('계산 과정'!$L$5,'계산 과정'!$L$11*SQRT((A408+0.5)/'계산 과정'!$L$30),"")</x:f>
        <x:v>66.49809824583332</x:v>
      </x:c>
      <x:c r="C408" s="4" t="n">
        <x:f>A408*PI()*(3-SQRT(5))</x:f>
        <x:v>964.7852183509185</x:v>
      </x:c>
      <x:c r="D408" s="4" t="n">
        <x:f>IF('계산 과정'!$L$5,B408*COS(C408),"")</x:f>
        <x:v>-63.199858731430545</x:v>
      </x:c>
      <x:c r="E408" s="4" t="n">
        <x:f>IF('계산 과정'!$L$5,B408*SIN(C408),"")</x:f>
        <x:v>-20.682720484494347</x:v>
      </x:c>
      <x:c r="F408" s="4" t="n">
        <x:f>IF('계산 과정'!$L$7,'계산 과정'!$L$22+'계산 과정'!$C$49*D408+'계산 과정'!$D$49*E408,"")</x:f>
        <x:v>694.6890486790264</x:v>
      </x:c>
      <x:c r="G408" s="4" t="n">
        <x:f>IF('계산 과정'!$L$7,IF(ABS(F408)&gt;=1E-12*MAX(1,SQRT((D408-'계산 과정'!$C$33)^2+(E408-'계산 과정'!$D$33)^2+'계산 과정'!$E$33^2)),('계산 과정'!$L$23-'계산 과정'!$C$49*D408-'계산 과정'!$D$49*E408)/F408,""),"")</x:f>
        <x:v>0.5114676156139338</x:v>
      </x:c>
      <x:c r="H408" s="4" t="n">
        <x:f>IF(AND(ISNUMBER(G408),G408&gt;0),('계산 과정'!$D$56+'계산 과정'!$D$57*D408+'계산 과정'!$D$58*E408)/F408,"")</x:f>
        <x:v>-67.54604985094313</x:v>
      </x:c>
      <x:c r="I408" s="4" t="n">
        <x:f>IF(AND(ISNUMBER(G408),G408&gt;0),('계산 과정'!$E$56+'계산 과정'!$E$57*D408+'계산 과정'!$E$58*E408)/F408,"")</x:f>
        <x:v>-31.261262215108136</x:v>
      </x:c>
      <x:c r="J408" s="4" t="n">
        <x:f>IF('계산 과정'!$L$5,'계산 과정'!$D$6+'계산 과정'!$C$35*D408+'계산 과정'!$D$35*E408,"")</x:f>
        <x:v>694.6890486790264</x:v>
      </x:c>
      <x:c r="K408" s="4" t="n">
        <x:f>IF(AND('계산 과정'!$L$6,J408&gt;0),'계산 과정'!$D$10*('계산 과정'!$C$38*(D408-'계산 과정'!$C$32)+'계산 과정'!$D$38*(E408-'계산 과정'!$D$32)-'계산 과정'!$E$38*'계산 과정'!$E$32)/J408,"")</x:f>
        <x:v>-0.5146365702928998</x:v>
      </x:c>
      <x:c r="L408" s="4" t="n">
        <x:f>IF(AND('계산 과정'!$L$6,J408&gt;0),'계산 과정'!$D$10*('계산 과정'!$C$39*(D408-'계산 과정'!$C$32)+'계산 과정'!$D$39*(E408-'계산 과정'!$D$32)-'계산 과정'!$E$39*'계산 과정'!$E$32)/J408,"")</x:f>
        <x:v>-0.23818104544844293</x:v>
      </x:c>
      <x:c r="M408" s="17" t="n">
        <x:f>IF('계산 과정'!$L$6,IF(J408&lt;=0,0,IF(AND(ABS(K408)&lt;='계산 과정'!$D$11/2,ABS(L408)&lt;='계산 과정'!$D$12/2),1,0)),"")</x:f>
        <x:v>1</x:v>
      </x:c>
      <x:c r="N408" s="17" t="n">
        <x:f>IF('계산 과정'!$C$78,IF(AND(ISNUMBER(H408),ISNUMBER(I408),ABS(H408-'계산 과정'!$C$88)&lt;='계산 과정'!$D$23/2,ABS(I408-'계산 과정'!$C$89)&lt;='계산 과정'!$D$24/2),1,0),"")</x:f>
        <x:v>1</x:v>
      </x:c>
      <x:c r="O408" s="4" t="n">
        <x:f>IF('계산 과정'!$L$7,'계산 과정'!$C$49*('계산 과정'!$C$32-D408)+'계산 과정'!$D$49*('계산 과정'!$D$32-E408)+'계산 과정'!$E$49*'계산 과정'!$E$32,"")</x:f>
        <x:v>-44.689048679026314</x:v>
      </x:c>
      <x:c r="P408" s="4" t="n">
        <x:f>IF(AND('계산 과정'!$L$7,O408&lt;&gt;0),('계산 과정'!$L$23-'계산 과정'!$C$49*D408-'계산 과정'!$D$49*E408)/O408,"")</x:f>
        <x:v>-7.950738756444594</x:v>
      </x:c>
      <x:c r="Q408" s="4" t="str">
        <x:f>IF(AND(ISNUMBER(P408),P408&gt;1E-9,P408&lt;1-1E-9),'계산 과정'!$C$47*(D408-'계산 과정'!$C$50+P408*('계산 과정'!$C$32-D408))+'계산 과정'!$D$47*(E408-'계산 과정'!$D$50+P408*('계산 과정'!$D$32-E408))+'계산 과정'!$E$47*(0-'계산 과정'!$E$50+P408*('계산 과정'!$E$32-0)),"")</x:f>
      </x:c>
      <x:c r="R408" s="4" t="str">
        <x:f>IF(AND(ISNUMBER(P408),P408&gt;1E-9,P408&lt;1-1E-9),'계산 과정'!$C$48*(D408-'계산 과정'!$C$50+P408*('계산 과정'!$C$32-D408))+'계산 과정'!$D$48*(E408-'계산 과정'!$D$50+P408*('계산 과정'!$D$32-E408))+'계산 과정'!$E$48*(0-'계산 과정'!$E$50+P408*('계산 과정'!$E$32-0)),"")</x:f>
      </x:c>
      <x:c r="S408" s="17" t="n">
        <x:f>IF('계산 과정'!$C$78,IF(AND(ISNUMBER(Q408),ISNUMBER(R408),ABS(Q408-'계산 과정'!$C$88)&lt;='계산 과정'!$D$23/2,ABS(R408-'계산 과정'!$C$89)&lt;='계산 과정'!$D$24/2),1,0),"")</x:f>
        <x:v>0</x:v>
      </x:c>
      <x:c r="T408" s="4"/>
      <x:c r="U408" s="4"/>
      <x:c r="V408" s="4"/>
      <x:c r="W408" s="4" t="n">
        <x:f>IF('계산 과정'!$C$78,'계산 과정'!$C$88+-1*'계산 과정'!$D$23/2,"")</x:f>
        <x:v>-231.27659574468098</x:v>
      </x:c>
      <x:c r="X408" s="4" t="str">
        <x:f>""</x:f>
      </x:c>
      <x:c r="Y408" s="4" t="n">
        <x:f>IF('계산 과정'!$C$78,'계산 과정'!$C$89+0.56*'계산 과정'!$D$24/2,"")</x:f>
        <x:v>145.60000000000002</x:v>
      </x:c>
      <x:c r="Z408" s="4" t="str">
        <x:f>""</x:f>
      </x:c>
    </x:row>
    <x:row r="409" ht="23" customHeight="1">
      <x:c r="A409" s="17" t="n">
        <x:f>ROW()-6</x:f>
        <x:v>403</x:v>
      </x:c>
      <x:c r="B409" s="4" t="n">
        <x:f>IF('계산 과정'!$L$5,'계산 과정'!$L$11*SQRT((A409+0.5)/'계산 과정'!$L$30),"")</x:f>
        <x:v>66.58065333441465</x:v>
      </x:c>
      <x:c r="C409" s="4" t="n">
        <x:f>A409*PI()*(3-SQRT(5))</x:f>
        <x:v>967.185181580647</x:v>
      </x:c>
      <x:c r="D409" s="4" t="n">
        <x:f>IF('계산 과정'!$L$5,B409*COS(C409),"")</x:f>
        <x:v>60.64778464365467</x:v>
      </x:c>
      <x:c r="E409" s="4" t="n">
        <x:f>IF('계산 과정'!$L$5,B409*SIN(C409),"")</x:f>
        <x:v>-27.474162703427115</x:v>
      </x:c>
      <x:c r="F409" s="4" t="n">
        <x:f>IF('계산 과정'!$L$7,'계산 과정'!$L$22+'계산 과정'!$C$49*D409+'계산 과정'!$D$49*E409,"")</x:f>
        <x:v>607.1155402145305</x:v>
      </x:c>
      <x:c r="G409" s="4" t="n">
        <x:f>IF('계산 과정'!$L$7,IF(ABS(F409)&gt;=1E-12*MAX(1,SQRT((D409-'계산 과정'!$C$33)^2+(E409-'계산 과정'!$D$33)^2+'계산 과정'!$E$33^2)),('계산 과정'!$L$23-'계산 과정'!$C$49*D409-'계산 과정'!$D$49*E409)/F409,""),"")</x:f>
        <x:v>0.7294895789176666</x:v>
      </x:c>
      <x:c r="H409" s="4" t="n">
        <x:f>IF(AND(ISNUMBER(G409),G409&gt;0),('계산 과정'!$D$56+'계산 과정'!$D$57*D409+'계산 과정'!$D$58*E409)/F409,"")</x:f>
        <x:v>74.16822629648328</x:v>
      </x:c>
      <x:c r="I409" s="4" t="n">
        <x:f>IF(AND(ISNUMBER(G409),G409&gt;0),('계산 과정'!$E$56+'계산 과정'!$E$57*D409+'계산 과정'!$E$58*E409)/F409,"")</x:f>
        <x:v>-47.51627808506562</x:v>
      </x:c>
      <x:c r="J409" s="4" t="n">
        <x:f>IF('계산 과정'!$L$5,'계산 과정'!$D$6+'계산 과정'!$C$35*D409+'계산 과정'!$D$35*E409,"")</x:f>
        <x:v>607.1155402145305</x:v>
      </x:c>
      <x:c r="K409" s="4" t="n">
        <x:f>IF(AND('계산 과정'!$L$6,J409&gt;0),'계산 과정'!$D$10*('계산 과정'!$C$38*(D409-'계산 과정'!$C$32)+'계산 과정'!$D$38*(E409-'계산 과정'!$D$32)-'계산 과정'!$E$38*'계산 과정'!$E$32)/J409,"")</x:f>
        <x:v>0.5650912479732066</x:v>
      </x:c>
      <x:c r="L409" s="4" t="n">
        <x:f>IF(AND('계산 과정'!$L$6,J409&gt;0),'계산 과정'!$D$10*('계산 과정'!$C$39*(D409-'계산 과정'!$C$32)+'계산 과정'!$D$39*(E409-'계산 과정'!$D$32)-'계산 과정'!$E$39*'계산 과정'!$E$32)/J409,"")</x:f>
        <x:v>-0.3620287854100238</x:v>
      </x:c>
      <x:c r="M409" s="17" t="n">
        <x:f>IF('계산 과정'!$L$6,IF(J409&lt;=0,0,IF(AND(ABS(K409)&lt;='계산 과정'!$D$11/2,ABS(L409)&lt;='계산 과정'!$D$12/2),1,0)),"")</x:f>
        <x:v>1</x:v>
      </x:c>
      <x:c r="N409" s="17" t="n">
        <x:f>IF('계산 과정'!$C$78,IF(AND(ISNUMBER(H409),ISNUMBER(I409),ABS(H409-'계산 과정'!$C$88)&lt;='계산 과정'!$D$23/2,ABS(I409-'계산 과정'!$C$89)&lt;='계산 과정'!$D$24/2),1,0),"")</x:f>
        <x:v>1</x:v>
      </x:c>
      <x:c r="O409" s="4" t="n">
        <x:f>IF('계산 과정'!$L$7,'계산 과정'!$C$49*('계산 과정'!$C$32-D409)+'계산 과정'!$D$49*('계산 과정'!$D$32-E409)+'계산 과정'!$E$49*'계산 과정'!$E$32,"")</x:f>
        <x:v>42.88445978546969</x:v>
      </x:c>
      <x:c r="P409" s="4" t="n">
        <x:f>IF(AND('계산 과정'!$L$7,O409&lt;&gt;0),('계산 과정'!$L$23-'계산 과정'!$C$49*D409-'계산 과정'!$D$49*E409)/O409,"")</x:f>
        <x:v>10.32738810284675</x:v>
      </x:c>
      <x:c r="Q409" s="4" t="str">
        <x:f>IF(AND(ISNUMBER(P409),P409&gt;1E-9,P409&lt;1-1E-9),'계산 과정'!$C$47*(D409-'계산 과정'!$C$50+P409*('계산 과정'!$C$32-D409))+'계산 과정'!$D$47*(E409-'계산 과정'!$D$50+P409*('계산 과정'!$D$32-E409))+'계산 과정'!$E$47*(0-'계산 과정'!$E$50+P409*('계산 과정'!$E$32-0)),"")</x:f>
      </x:c>
      <x:c r="R409" s="4" t="str">
        <x:f>IF(AND(ISNUMBER(P409),P409&gt;1E-9,P409&lt;1-1E-9),'계산 과정'!$C$48*(D409-'계산 과정'!$C$50+P409*('계산 과정'!$C$32-D409))+'계산 과정'!$D$48*(E409-'계산 과정'!$D$50+P409*('계산 과정'!$D$32-E409))+'계산 과정'!$E$48*(0-'계산 과정'!$E$50+P409*('계산 과정'!$E$32-0)),"")</x:f>
      </x:c>
      <x:c r="S409" s="17" t="n">
        <x:f>IF('계산 과정'!$C$78,IF(AND(ISNUMBER(Q409),ISNUMBER(R409),ABS(Q409-'계산 과정'!$C$88)&lt;='계산 과정'!$D$23/2,ABS(R409-'계산 과정'!$C$89)&lt;='계산 과정'!$D$24/2),1,0),"")</x:f>
        <x:v>0</x:v>
      </x:c>
      <x:c r="T409" s="4"/>
      <x:c r="U409" s="4"/>
      <x:c r="V409" s="4"/>
      <x:c r="W409" s="4" t="n">
        <x:f>IF('계산 과정'!$C$78,'계산 과정'!$C$88+-1*'계산 과정'!$D$23/2,"")</x:f>
        <x:v>-231.27659574468098</x:v>
      </x:c>
      <x:c r="X409" s="4" t="str">
        <x:f>""</x:f>
      </x:c>
      <x:c r="Y409" s="4" t="n">
        <x:f>IF('계산 과정'!$C$78,'계산 과정'!$C$89+0.52*'계산 과정'!$D$24/2,"")</x:f>
        <x:v>135.20000000000002</x:v>
      </x:c>
      <x:c r="Z409" s="4" t="str">
        <x:f>""</x:f>
      </x:c>
    </x:row>
    <x:row r="410" ht="23" customHeight="1">
      <x:c r="A410" s="17" t="n">
        <x:f>ROW()-6</x:f>
        <x:v>404</x:v>
      </x:c>
      <x:c r="B410" s="4" t="n">
        <x:f>IF('계산 과정'!$L$5,'계산 과정'!$L$11*SQRT((A410+0.5)/'계산 과정'!$L$30),"")</x:f>
        <x:v>66.6631061874745</x:v>
      </x:c>
      <x:c r="C410" s="4" t="n">
        <x:f>A410*PI()*(3-SQRT(5))</x:f>
        <x:v>969.5851448103758</x:v>
      </x:c>
      <x:c r="D410" s="4" t="n">
        <x:f>IF('계산 과정'!$L$5,B410*COS(C410),"")</x:f>
        <x:v>-26.193656527477106</x:v>
      </x:c>
      <x:c r="E410" s="4" t="n">
        <x:f>IF('계산 과정'!$L$5,B410*SIN(C410),"")</x:f>
        <x:v>61.30140360777278</x:v>
      </x:c>
      <x:c r="F410" s="4" t="n">
        <x:f>IF('계산 과정'!$L$7,'계산 과정'!$L$22+'계산 과정'!$C$49*D410+'계산 과정'!$D$49*E410,"")</x:f>
        <x:v>668.5217121546503</x:v>
      </x:c>
      <x:c r="G410" s="4" t="n">
        <x:f>IF('계산 과정'!$L$7,IF(ABS(F410)&gt;=1E-12*MAX(1,SQRT((D410-'계산 과정'!$C$33)^2+(E410-'계산 과정'!$D$33)^2+'계산 과정'!$E$33^2)),('계산 과정'!$L$23-'계산 과정'!$C$49*D410-'계산 과정'!$D$49*E410)/F410,""),"")</x:f>
        <x:v>0.570629615926523</x:v>
      </x:c>
      <x:c r="H410" s="4" t="n">
        <x:f>IF(AND(ISNUMBER(G410),G410&gt;0),('계산 과정'!$D$56+'계산 과정'!$D$57*D410+'계산 과정'!$D$58*E410)/F410,"")</x:f>
        <x:v>-29.090749647760187</x:v>
      </x:c>
      <x:c r="I410" s="4" t="n">
        <x:f>IF(AND(ISNUMBER(G410),G410&gt;0),('계산 과정'!$E$56+'계산 과정'!$E$57*D410+'계산 과정'!$E$58*E410)/F410,"")</x:f>
        <x:v>96.28180000423292</x:v>
      </x:c>
      <x:c r="J410" s="4" t="n">
        <x:f>IF('계산 과정'!$L$5,'계산 과정'!$D$6+'계산 과정'!$C$35*D410+'계산 과정'!$D$35*E410,"")</x:f>
        <x:v>668.5217121546503</x:v>
      </x:c>
      <x:c r="K410" s="4" t="n">
        <x:f>IF(AND('계산 과정'!$L$6,J410&gt;0),'계산 과정'!$D$10*('계산 과정'!$C$38*(D410-'계산 과정'!$C$32)+'계산 과정'!$D$38*(E410-'계산 과정'!$D$32)-'계산 과정'!$E$38*'계산 과정'!$E$32)/J410,"")</x:f>
        <x:v>-0.2216438068400768</x:v>
      </x:c>
      <x:c r="L410" s="4" t="n">
        <x:f>IF(AND('계산 과정'!$L$6,J410&gt;0),'계산 과정'!$D$10*('계산 과정'!$C$39*(D410-'계산 과정'!$C$32)+'계산 과정'!$D$39*(E410-'계산 과정'!$D$32)-'계산 과정'!$E$39*'계산 과정'!$E$32)/J410,"")</x:f>
        <x:v>0.7335756190798699</x:v>
      </x:c>
      <x:c r="M410" s="17" t="n">
        <x:f>IF('계산 과정'!$L$6,IF(J410&lt;=0,0,IF(AND(ABS(K410)&lt;='계산 과정'!$D$11/2,ABS(L410)&lt;='계산 과정'!$D$12/2),1,0)),"")</x:f>
        <x:v>1</x:v>
      </x:c>
      <x:c r="N410" s="17" t="n">
        <x:f>IF('계산 과정'!$C$78,IF(AND(ISNUMBER(H410),ISNUMBER(I410),ABS(H410-'계산 과정'!$C$88)&lt;='계산 과정'!$D$23/2,ABS(I410-'계산 과정'!$C$89)&lt;='계산 과정'!$D$24/2),1,0),"")</x:f>
        <x:v>1</x:v>
      </x:c>
      <x:c r="O410" s="4" t="n">
        <x:f>IF('계산 과정'!$L$7,'계산 과정'!$C$49*('계산 과정'!$C$32-D410)+'계산 과정'!$D$49*('계산 과정'!$D$32-E410)+'계산 과정'!$E$49*'계산 과정'!$E$32,"")</x:f>
        <x:v>-18.52171215465023</x:v>
      </x:c>
      <x:c r="P410" s="4" t="n">
        <x:f>IF(AND('계산 과정'!$L$7,O410&lt;&gt;0),('계산 과정'!$L$23-'계산 과정'!$C$49*D410-'계산 과정'!$D$49*E410)/O410,"")</x:f>
        <x:v>-20.596275585114967</x:v>
      </x:c>
      <x:c r="Q410" s="4" t="str">
        <x:f>IF(AND(ISNUMBER(P410),P410&gt;1E-9,P410&lt;1-1E-9),'계산 과정'!$C$47*(D410-'계산 과정'!$C$50+P410*('계산 과정'!$C$32-D410))+'계산 과정'!$D$47*(E410-'계산 과정'!$D$50+P410*('계산 과정'!$D$32-E410))+'계산 과정'!$E$47*(0-'계산 과정'!$E$50+P410*('계산 과정'!$E$32-0)),"")</x:f>
      </x:c>
      <x:c r="R410" s="4" t="str">
        <x:f>IF(AND(ISNUMBER(P410),P410&gt;1E-9,P410&lt;1-1E-9),'계산 과정'!$C$48*(D410-'계산 과정'!$C$50+P410*('계산 과정'!$C$32-D410))+'계산 과정'!$D$48*(E410-'계산 과정'!$D$50+P410*('계산 과정'!$D$32-E410))+'계산 과정'!$E$48*(0-'계산 과정'!$E$50+P410*('계산 과정'!$E$32-0)),"")</x:f>
      </x:c>
      <x:c r="S410" s="17" t="n">
        <x:f>IF('계산 과정'!$C$78,IF(AND(ISNUMBER(Q410),ISNUMBER(R410),ABS(Q410-'계산 과정'!$C$88)&lt;='계산 과정'!$D$23/2,ABS(R410-'계산 과정'!$C$89)&lt;='계산 과정'!$D$24/2),1,0),"")</x:f>
        <x:v>0</x:v>
      </x:c>
      <x:c r="T410" s="4"/>
      <x:c r="U410" s="4"/>
      <x:c r="V410" s="4"/>
      <x:c r="W410" s="4" t="n">
        <x:f>IF('계산 과정'!$C$78,'계산 과정'!$C$88+-1*'계산 과정'!$D$23/2,"")</x:f>
        <x:v>-231.27659574468098</x:v>
      </x:c>
      <x:c r="X410" s="4" t="str">
        <x:f>""</x:f>
      </x:c>
      <x:c r="Y410" s="4" t="n">
        <x:f>IF('계산 과정'!$C$78,'계산 과정'!$C$89+0.48*'계산 과정'!$D$24/2,"")</x:f>
        <x:v>124.8</x:v>
      </x:c>
      <x:c r="Z410" s="4" t="str">
        <x:f>""</x:f>
      </x:c>
    </x:row>
    <x:row r="411" ht="23" customHeight="1">
      <x:c r="A411" s="17" t="n">
        <x:f>ROW()-6</x:f>
        <x:v>405</x:v>
      </x:c>
      <x:c r="B411" s="4" t="n">
        <x:f>IF('계산 과정'!$L$5,'계산 과정'!$L$11*SQRT((A411+0.5)/'계산 과정'!$L$30),"")</x:f>
        <x:v>66.74545718389754</x:v>
      </x:c>
      <x:c r="C411" s="4" t="n">
        <x:f>A411*PI()*(3-SQRT(5))</x:f>
        <x:v>971.9851080401044</x:v>
      </x:c>
      <x:c r="D411" s="4" t="n">
        <x:f>IF('계산 과정'!$L$5,B411*COS(C411),"")</x:f>
        <x:v>-22.12140957996152</x:v>
      </x:c>
      <x:c r="E411" s="4" t="n">
        <x:f>IF('계산 과정'!$L$5,B411*SIN(C411),"")</x:f>
        <x:v>-62.97300447718123</x:v>
      </x:c>
      <x:c r="F411" s="4" t="n">
        <x:f>IF('계산 과정'!$L$7,'계산 과정'!$L$22+'계산 과정'!$C$49*D411+'계산 과정'!$D$49*E411,"")</x:f>
        <x:v>665.6421987233958</x:v>
      </x:c>
      <x:c r="G411" s="4" t="n">
        <x:f>IF('계산 과정'!$L$7,IF(ABS(F411)&gt;=1E-12*MAX(1,SQRT((D411-'계산 과정'!$C$33)^2+(E411-'계산 과정'!$D$33)^2+'계산 과정'!$E$33^2)),('계산 과정'!$L$23-'계산 과정'!$C$49*D411-'계산 과정'!$D$49*E411)/F411,""),"")</x:f>
        <x:v>0.577424030528332</x:v>
      </x:c>
      <x:c r="H411" s="4" t="n">
        <x:f>IF(AND(ISNUMBER(G411),G411&gt;0),('계산 과정'!$D$56+'계산 과정'!$D$57*D411+'계산 과정'!$D$58*E411)/F411,"")</x:f>
        <x:v>-24.67438015658432</x:v>
      </x:c>
      <x:c r="I411" s="4" t="n">
        <x:f>IF(AND(ISNUMBER(G411),G411&gt;0),('계산 과정'!$E$56+'계산 과정'!$E$57*D411+'계산 과정'!$E$58*E411)/F411,"")</x:f>
        <x:v>-99.3351305368739</x:v>
      </x:c>
      <x:c r="J411" s="4" t="n">
        <x:f>IF('계산 과정'!$L$5,'계산 과정'!$D$6+'계산 과정'!$C$35*D411+'계산 과정'!$D$35*E411,"")</x:f>
        <x:v>665.6421987233958</x:v>
      </x:c>
      <x:c r="K411" s="4" t="n">
        <x:f>IF(AND('계산 과정'!$L$6,J411&gt;0),'계산 과정'!$D$10*('계산 과정'!$C$38*(D411-'계산 과정'!$C$32)+'계산 과정'!$D$38*(E411-'계산 과정'!$D$32)-'계산 과정'!$E$38*'계산 과정'!$E$32)/J411,"")</x:f>
        <x:v>-0.18799527738349858</x:v>
      </x:c>
      <x:c r="L411" s="4" t="n">
        <x:f>IF(AND('계산 과정'!$L$6,J411&gt;0),'계산 과정'!$D$10*('계산 과정'!$C$39*(D411-'계산 과정'!$C$32)+'계산 과정'!$D$39*(E411-'계산 과정'!$D$32)-'계산 과정'!$E$39*'계산 과정'!$E$32)/J411,"")</x:f>
        <x:v>-0.7568390898047536</x:v>
      </x:c>
      <x:c r="M411" s="17" t="n">
        <x:f>IF('계산 과정'!$L$6,IF(J411&lt;=0,0,IF(AND(ABS(K411)&lt;='계산 과정'!$D$11/2,ABS(L411)&lt;='계산 과정'!$D$12/2),1,0)),"")</x:f>
        <x:v>1</x:v>
      </x:c>
      <x:c r="N411" s="17" t="n">
        <x:f>IF('계산 과정'!$C$78,IF(AND(ISNUMBER(H411),ISNUMBER(I411),ABS(H411-'계산 과정'!$C$88)&lt;='계산 과정'!$D$23/2,ABS(I411-'계산 과정'!$C$89)&lt;='계산 과정'!$D$24/2),1,0),"")</x:f>
        <x:v>1</x:v>
      </x:c>
      <x:c r="O411" s="4" t="n">
        <x:f>IF('계산 과정'!$L$7,'계산 과정'!$C$49*('계산 과정'!$C$32-D411)+'계산 과정'!$D$49*('계산 과정'!$D$32-E411)+'계산 과정'!$E$49*'계산 과정'!$E$32,"")</x:f>
        <x:v>-15.642198723395722</x:v>
      </x:c>
      <x:c r="P411" s="4" t="n">
        <x:f>IF(AND('계산 과정'!$L$7,O411&lt;&gt;0),('계산 과정'!$L$23-'계산 과정'!$C$49*D411-'계산 과정'!$D$49*E411)/O411,"")</x:f>
        <x:v>-24.5718525939533</x:v>
      </x:c>
      <x:c r="Q411" s="4" t="str">
        <x:f>IF(AND(ISNUMBER(P411),P411&gt;1E-9,P411&lt;1-1E-9),'계산 과정'!$C$47*(D411-'계산 과정'!$C$50+P411*('계산 과정'!$C$32-D411))+'계산 과정'!$D$47*(E411-'계산 과정'!$D$50+P411*('계산 과정'!$D$32-E411))+'계산 과정'!$E$47*(0-'계산 과정'!$E$50+P411*('계산 과정'!$E$32-0)),"")</x:f>
      </x:c>
      <x:c r="R411" s="4" t="str">
        <x:f>IF(AND(ISNUMBER(P411),P411&gt;1E-9,P411&lt;1-1E-9),'계산 과정'!$C$48*(D411-'계산 과정'!$C$50+P411*('계산 과정'!$C$32-D411))+'계산 과정'!$D$48*(E411-'계산 과정'!$D$50+P411*('계산 과정'!$D$32-E411))+'계산 과정'!$E$48*(0-'계산 과정'!$E$50+P411*('계산 과정'!$E$32-0)),"")</x:f>
      </x:c>
      <x:c r="S411" s="17" t="n">
        <x:f>IF('계산 과정'!$C$78,IF(AND(ISNUMBER(Q411),ISNUMBER(R411),ABS(Q411-'계산 과정'!$C$88)&lt;='계산 과정'!$D$23/2,ABS(R411-'계산 과정'!$C$89)&lt;='계산 과정'!$D$24/2),1,0),"")</x:f>
        <x:v>0</x:v>
      </x:c>
      <x:c r="T411" s="4"/>
      <x:c r="U411" s="4"/>
      <x:c r="V411" s="4"/>
      <x:c r="W411" s="4" t="n">
        <x:f>IF('계산 과정'!$C$78,'계산 과정'!$C$88+-1*'계산 과정'!$D$23/2,"")</x:f>
        <x:v>-231.27659574468098</x:v>
      </x:c>
      <x:c r="X411" s="4" t="str">
        <x:f>""</x:f>
      </x:c>
      <x:c r="Y411" s="4" t="n">
        <x:f>IF('계산 과정'!$C$78,'계산 과정'!$C$89+0.43999999999999995*'계산 과정'!$D$24/2,"")</x:f>
        <x:v>114.39999999999999</x:v>
      </x:c>
      <x:c r="Z411" s="4" t="str">
        <x:f>""</x:f>
      </x:c>
    </x:row>
    <x:row r="412" ht="23" customHeight="1">
      <x:c r="A412" s="17" t="n">
        <x:f>ROW()-6</x:f>
        <x:v>406</x:v>
      </x:c>
      <x:c r="B412" s="4" t="n">
        <x:f>IF('계산 과정'!$L$5,'계산 과정'!$L$11*SQRT((A412+0.5)/'계산 과정'!$L$30),"")</x:f>
        <x:v>66.827706700234</x:v>
      </x:c>
      <x:c r="C412" s="4" t="n">
        <x:f>A412*PI()*(3-SQRT(5))</x:f>
        <x:v>974.385071269833</x:v>
      </x:c>
      <x:c r="D412" s="4" t="n">
        <x:f>IF('계산 과정'!$L$5,B412*COS(C412),"")</x:f>
        <x:v>58.92181146836681</x:v>
      </x:c>
      <x:c r="E412" s="4" t="n">
        <x:f>IF('계산 과정'!$L$5,B412*SIN(C412),"")</x:f>
        <x:v>31.53034278435199</x:v>
      </x:c>
      <x:c r="F412" s="4" t="n">
        <x:f>IF('계산 과정'!$L$7,'계산 과정'!$L$22+'계산 과정'!$C$49*D412+'계산 과정'!$D$49*E412,"")</x:f>
        <x:v>608.3359875509226</x:v>
      </x:c>
      <x:c r="G412" s="4" t="n">
        <x:f>IF('계산 과정'!$L$7,IF(ABS(F412)&gt;=1E-12*MAX(1,SQRT((D412-'계산 과정'!$C$33)^2+(E412-'계산 과정'!$D$33)^2+'계산 과정'!$E$33^2)),('계산 과정'!$L$23-'계산 과정'!$C$49*D412-'계산 과정'!$D$49*E412)/F412,""),"")</x:f>
        <x:v>0.7260198664674702</x:v>
      </x:c>
      <x:c r="H412" s="4" t="n">
        <x:f>IF(AND(ISNUMBER(G412),G412&gt;0),('계산 과정'!$D$56+'계산 과정'!$D$57*D412+'계산 과정'!$D$58*E412)/F412,"")</x:f>
        <x:v>71.91291320385558</x:v>
      </x:c>
      <x:c r="I412" s="4" t="n">
        <x:f>IF(AND(ISNUMBER(G412),G412&gt;0),('계산 과정'!$E$56+'계산 과정'!$E$57*D412+'계산 과정'!$E$58*E412)/F412,"")</x:f>
        <x:v>54.42199804232078</x:v>
      </x:c>
      <x:c r="J412" s="4" t="n">
        <x:f>IF('계산 과정'!$L$5,'계산 과정'!$D$6+'계산 과정'!$C$35*D412+'계산 과정'!$D$35*E412,"")</x:f>
        <x:v>608.3359875509226</x:v>
      </x:c>
      <x:c r="K412" s="4" t="n">
        <x:f>IF(AND('계산 과정'!$L$6,J412&gt;0),'계산 과정'!$D$10*('계산 과정'!$C$38*(D412-'계산 과정'!$C$32)+'계산 과정'!$D$38*(E412-'계산 과정'!$D$32)-'계산 과정'!$E$38*'계산 과정'!$E$32)/J412,"")</x:f>
        <x:v>0.5479079101246148</x:v>
      </x:c>
      <x:c r="L412" s="4" t="n">
        <x:f>IF(AND('계산 과정'!$L$6,J412&gt;0),'계산 과정'!$D$10*('계산 과정'!$C$39*(D412-'계산 과정'!$C$32)+'계산 과정'!$D$39*(E412-'계산 과정'!$D$32)-'계산 과정'!$E$39*'계산 과정'!$E$32)/J412,"")</x:f>
        <x:v>0.41464379460815837</x:v>
      </x:c>
      <x:c r="M412" s="17" t="n">
        <x:f>IF('계산 과정'!$L$6,IF(J412&lt;=0,0,IF(AND(ABS(K412)&lt;='계산 과정'!$D$11/2,ABS(L412)&lt;='계산 과정'!$D$12/2),1,0)),"")</x:f>
        <x:v>1</x:v>
      </x:c>
      <x:c r="N412" s="17" t="n">
        <x:f>IF('계산 과정'!$C$78,IF(AND(ISNUMBER(H412),ISNUMBER(I412),ABS(H412-'계산 과정'!$C$88)&lt;='계산 과정'!$D$23/2,ABS(I412-'계산 과정'!$C$89)&lt;='계산 과정'!$D$24/2),1,0),"")</x:f>
        <x:v>1</x:v>
      </x:c>
      <x:c r="O412" s="4" t="n">
        <x:f>IF('계산 과정'!$L$7,'계산 과정'!$C$49*('계산 과정'!$C$32-D412)+'계산 과정'!$D$49*('계산 과정'!$D$32-E412)+'계산 과정'!$E$49*'계산 과정'!$E$32,"")</x:f>
        <x:v>41.664012449077575</x:v>
      </x:c>
      <x:c r="P412" s="4" t="n">
        <x:f>IF(AND('계산 과정'!$L$7,O412&lt;&gt;0),('계산 과정'!$L$23-'계산 과정'!$C$49*D412-'계산 과정'!$D$49*E412)/O412,"")</x:f>
        <x:v>10.600611570690324</x:v>
      </x:c>
      <x:c r="Q412" s="4" t="str">
        <x:f>IF(AND(ISNUMBER(P412),P412&gt;1E-9,P412&lt;1-1E-9),'계산 과정'!$C$47*(D412-'계산 과정'!$C$50+P412*('계산 과정'!$C$32-D412))+'계산 과정'!$D$47*(E412-'계산 과정'!$D$50+P412*('계산 과정'!$D$32-E412))+'계산 과정'!$E$47*(0-'계산 과정'!$E$50+P412*('계산 과정'!$E$32-0)),"")</x:f>
      </x:c>
      <x:c r="R412" s="4" t="str">
        <x:f>IF(AND(ISNUMBER(P412),P412&gt;1E-9,P412&lt;1-1E-9),'계산 과정'!$C$48*(D412-'계산 과정'!$C$50+P412*('계산 과정'!$C$32-D412))+'계산 과정'!$D$48*(E412-'계산 과정'!$D$50+P412*('계산 과정'!$D$32-E412))+'계산 과정'!$E$48*(0-'계산 과정'!$E$50+P412*('계산 과정'!$E$32-0)),"")</x:f>
      </x:c>
      <x:c r="S412" s="17" t="n">
        <x:f>IF('계산 과정'!$C$78,IF(AND(ISNUMBER(Q412),ISNUMBER(R412),ABS(Q412-'계산 과정'!$C$88)&lt;='계산 과정'!$D$23/2,ABS(R412-'계산 과정'!$C$89)&lt;='계산 과정'!$D$24/2),1,0),"")</x:f>
        <x:v>0</x:v>
      </x:c>
      <x:c r="T412" s="4"/>
      <x:c r="U412" s="4"/>
      <x:c r="V412" s="4"/>
      <x:c r="W412" s="4" t="n">
        <x:f>IF('계산 과정'!$C$78,'계산 과정'!$C$88+-1*'계산 과정'!$D$23/2,"")</x:f>
        <x:v>-231.27659574468098</x:v>
      </x:c>
      <x:c r="X412" s="4" t="str">
        <x:f>""</x:f>
      </x:c>
      <x:c r="Y412" s="4" t="n">
        <x:f>IF('계산 과정'!$C$78,'계산 과정'!$C$89+0.4*'계산 과정'!$D$24/2,"")</x:f>
        <x:v>104</x:v>
      </x:c>
      <x:c r="Z412" s="4" t="str">
        <x:f>""</x:f>
      </x:c>
    </x:row>
    <x:row r="413" ht="23" customHeight="1">
      <x:c r="A413" s="17" t="n">
        <x:f>ROW()-6</x:f>
        <x:v>407</x:v>
      </x:c>
      <x:c r="B413" s="4" t="n">
        <x:f>IF('계산 과정'!$L$5,'계산 과정'!$L$11*SQRT((A413+0.5)/'계산 과정'!$L$30),"")</x:f>
        <x:v>66.90985511071968</x:v>
      </x:c>
      <x:c r="C413" s="4" t="n">
        <x:f>A413*PI()*(3-SQRT(5))</x:f>
        <x:v>976.7850344995618</x:v>
      </x:c>
      <x:c r="D413" s="4" t="n">
        <x:f>IF('계산 과정'!$L$5,B413*COS(C413),"")</x:f>
        <x:v>-64.82513944828729</x:v>
      </x:c>
      <x:c r="E413" s="4" t="n">
        <x:f>IF('계산 과정'!$L$5,B413*SIN(C413),"")</x:f>
        <x:v>16.57196447158895</x:v>
      </x:c>
      <x:c r="F413" s="4" t="n">
        <x:f>IF('계산 과정'!$L$7,'계산 과정'!$L$22+'계산 과정'!$C$49*D413+'계산 과정'!$D$49*E413,"")</x:f>
        <x:v>695.8382956952476</x:v>
      </x:c>
      <x:c r="G413" s="4" t="n">
        <x:f>IF('계산 과정'!$L$7,IF(ABS(F413)&gt;=1E-12*MAX(1,SQRT((D413-'계산 과정'!$C$33)^2+(E413-'계산 과정'!$D$33)^2+'계산 과정'!$E$33^2)),('계산 과정'!$L$23-'계산 과정'!$C$49*D413-'계산 과정'!$D$49*E413)/F413,""),"")</x:f>
        <x:v>0.5089712746420366</x:v>
      </x:c>
      <x:c r="H413" s="4" t="n">
        <x:f>IF(AND(ISNUMBER(G413),G413&gt;0),('계산 과정'!$D$56+'계산 과정'!$D$57*D413+'계산 과정'!$D$58*E413)/F413,"")</x:f>
        <x:v>-69.16867148267633</x:v>
      </x:c>
      <x:c r="I413" s="4" t="n">
        <x:f>IF(AND(ISNUMBER(G413),G413&gt;0),('계산 과정'!$E$56+'계산 과정'!$E$57*D413+'계산 과정'!$E$58*E413)/F413,"")</x:f>
        <x:v>25.00661835201612</x:v>
      </x:c>
      <x:c r="J413" s="4" t="n">
        <x:f>IF('계산 과정'!$L$5,'계산 과정'!$D$6+'계산 과정'!$C$35*D413+'계산 과정'!$D$35*E413,"")</x:f>
        <x:v>695.8382956952476</x:v>
      </x:c>
      <x:c r="K413" s="4" t="n">
        <x:f>IF(AND('계산 과정'!$L$6,J413&gt;0),'계산 과정'!$D$10*('계산 과정'!$C$38*(D413-'계산 과정'!$C$32)+'계산 과정'!$D$38*(E413-'계산 과정'!$D$32)-'계산 과정'!$E$38*'계산 과정'!$E$32)/J413,"")</x:f>
        <x:v>-0.5269994017727709</x:v>
      </x:c>
      <x:c r="L413" s="4" t="n">
        <x:f>IF(AND('계산 과정'!$L$6,J413&gt;0),'계산 과정'!$D$10*('계산 과정'!$C$39*(D413-'계산 과정'!$C$32)+'계산 과정'!$D$39*(E413-'계산 과정'!$D$32)-'계산 과정'!$E$39*'계산 과정'!$E$32)/J413,"")</x:f>
        <x:v>0.19052661601536092</x:v>
      </x:c>
      <x:c r="M413" s="17" t="n">
        <x:f>IF('계산 과정'!$L$6,IF(J413&lt;=0,0,IF(AND(ABS(K413)&lt;='계산 과정'!$D$11/2,ABS(L413)&lt;='계산 과정'!$D$12/2),1,0)),"")</x:f>
        <x:v>1</x:v>
      </x:c>
      <x:c r="N413" s="17" t="n">
        <x:f>IF('계산 과정'!$C$78,IF(AND(ISNUMBER(H413),ISNUMBER(I413),ABS(H413-'계산 과정'!$C$88)&lt;='계산 과정'!$D$23/2,ABS(I413-'계산 과정'!$C$89)&lt;='계산 과정'!$D$24/2),1,0),"")</x:f>
        <x:v>1</x:v>
      </x:c>
      <x:c r="O413" s="4" t="n">
        <x:f>IF('계산 과정'!$L$7,'계산 과정'!$C$49*('계산 과정'!$C$32-D413)+'계산 과정'!$D$49*('계산 과정'!$D$32-E413)+'계산 과정'!$E$49*'계산 과정'!$E$32,"")</x:f>
        <x:v>-45.83829569524738</x:v>
      </x:c>
      <x:c r="P413" s="4" t="n">
        <x:f>IF(AND('계산 과정'!$L$7,O413&lt;&gt;0),('계산 과정'!$L$23-'계산 과정'!$C$49*D413-'계산 과정'!$D$49*E413)/O413,"")</x:f>
        <x:v>-7.7263279302391865</x:v>
      </x:c>
      <x:c r="Q413" s="4" t="str">
        <x:f>IF(AND(ISNUMBER(P413),P413&gt;1E-9,P413&lt;1-1E-9),'계산 과정'!$C$47*(D413-'계산 과정'!$C$50+P413*('계산 과정'!$C$32-D413))+'계산 과정'!$D$47*(E413-'계산 과정'!$D$50+P413*('계산 과정'!$D$32-E413))+'계산 과정'!$E$47*(0-'계산 과정'!$E$50+P413*('계산 과정'!$E$32-0)),"")</x:f>
      </x:c>
      <x:c r="R413" s="4" t="str">
        <x:f>IF(AND(ISNUMBER(P413),P413&gt;1E-9,P413&lt;1-1E-9),'계산 과정'!$C$48*(D413-'계산 과정'!$C$50+P413*('계산 과정'!$C$32-D413))+'계산 과정'!$D$48*(E413-'계산 과정'!$D$50+P413*('계산 과정'!$D$32-E413))+'계산 과정'!$E$48*(0-'계산 과정'!$E$50+P413*('계산 과정'!$E$32-0)),"")</x:f>
      </x:c>
      <x:c r="S413" s="17" t="n">
        <x:f>IF('계산 과정'!$C$78,IF(AND(ISNUMBER(Q413),ISNUMBER(R413),ABS(Q413-'계산 과정'!$C$88)&lt;='계산 과정'!$D$23/2,ABS(R413-'계산 과정'!$C$89)&lt;='계산 과정'!$D$24/2),1,0),"")</x:f>
        <x:v>0</x:v>
      </x:c>
      <x:c r="T413" s="4"/>
      <x:c r="U413" s="4"/>
      <x:c r="V413" s="4"/>
      <x:c r="W413" s="4" t="n">
        <x:f>IF('계산 과정'!$C$78,'계산 과정'!$C$88+-1*'계산 과정'!$D$23/2,"")</x:f>
        <x:v>-231.27659574468098</x:v>
      </x:c>
      <x:c r="X413" s="4" t="str">
        <x:f>""</x:f>
      </x:c>
      <x:c r="Y413" s="4" t="n">
        <x:f>IF('계산 과정'!$C$78,'계산 과정'!$C$89+0.36*'계산 과정'!$D$24/2,"")</x:f>
        <x:v>93.6</x:v>
      </x:c>
      <x:c r="Z413" s="4" t="str">
        <x:f>""</x:f>
      </x:c>
    </x:row>
    <x:row r="414" ht="23" customHeight="1">
      <x:c r="A414" s="17" t="n">
        <x:f>ROW()-6</x:f>
        <x:v>408</x:v>
      </x:c>
      <x:c r="B414" s="4" t="n">
        <x:f>IF('계산 과정'!$L$5,'계산 과정'!$L$11*SQRT((A414+0.5)/'계산 과정'!$L$30),"")</x:f>
        <x:v>66.99190278729587</x:v>
      </x:c>
      <x:c r="C414" s="4" t="n">
        <x:f>A414*PI()*(3-SQRT(5))</x:f>
        <x:v>979.1849977292903</x:v>
      </x:c>
      <x:c r="D414" s="4" t="n">
        <x:f>IF('계산 과정'!$L$5,B414*COS(C414),"")</x:f>
        <x:v>36.6507268074096</x:v>
      </x:c>
      <x:c r="E414" s="4" t="n">
        <x:f>IF('계산 과정'!$L$5,B414*SIN(C414),"")</x:f>
        <x:v>-56.07708322970381</x:v>
      </x:c>
      <x:c r="F414" s="4" t="n">
        <x:f>IF('계산 과정'!$L$7,'계산 과정'!$L$22+'계산 과정'!$C$49*D414+'계산 과정'!$D$49*E414,"")</x:f>
        <x:v>624.0840225390651</x:v>
      </x:c>
      <x:c r="G414" s="4" t="n">
        <x:f>IF('계산 과정'!$L$7,IF(ABS(F414)&gt;=1E-12*MAX(1,SQRT((D414-'계산 과정'!$C$33)^2+(E414-'계산 과정'!$D$33)^2+'계산 과정'!$E$33^2)),('계산 과정'!$L$23-'계산 과정'!$C$49*D414-'계산 과정'!$D$49*E414)/F414,""),"")</x:f>
        <x:v>0.6824657611456065</x:v>
      </x:c>
      <x:c r="H414" s="4" t="n">
        <x:f>IF(AND(ISNUMBER(G414),G414&gt;0),('계산 과정'!$D$56+'계산 과정'!$D$57*D414+'계산 과정'!$D$58*E414)/F414,"")</x:f>
        <x:v>43.60274474464413</x:v>
      </x:c>
      <x:c r="I414" s="4" t="n">
        <x:f>IF(AND(ISNUMBER(G414),G414&gt;0),('계산 과정'!$E$56+'계산 과정'!$E$57*D414+'계산 과정'!$E$58*E414)/F414,"")</x:f>
        <x:v>-94.34777251888914</x:v>
      </x:c>
      <x:c r="J414" s="4" t="n">
        <x:f>IF('계산 과정'!$L$5,'계산 과정'!$D$6+'계산 과정'!$C$35*D414+'계산 과정'!$D$35*E414,"")</x:f>
        <x:v>624.0840225390651</x:v>
      </x:c>
      <x:c r="K414" s="4" t="n">
        <x:f>IF(AND('계산 과정'!$L$6,J414&gt;0),'계산 과정'!$D$10*('계산 과정'!$C$38*(D414-'계산 과정'!$C$32)+'계산 과정'!$D$38*(E414-'계산 과정'!$D$32)-'계산 과정'!$E$38*'계산 과정'!$E$32)/J414,"")</x:f>
        <x:v>0.33221138853062293</x:v>
      </x:c>
      <x:c r="L414" s="4" t="n">
        <x:f>IF(AND('계산 과정'!$L$6,J414&gt;0),'계산 과정'!$D$10*('계산 과정'!$C$39*(D414-'계산 과정'!$C$32)+'계산 과정'!$D$39*(E414-'계산 과정'!$D$32)-'계산 과정'!$E$39*'계산 과정'!$E$32)/J414,"")</x:f>
        <x:v>-0.7188401715724887</x:v>
      </x:c>
      <x:c r="M414" s="17" t="n">
        <x:f>IF('계산 과정'!$L$6,IF(J414&lt;=0,0,IF(AND(ABS(K414)&lt;='계산 과정'!$D$11/2,ABS(L414)&lt;='계산 과정'!$D$12/2),1,0)),"")</x:f>
        <x:v>1</x:v>
      </x:c>
      <x:c r="N414" s="17" t="n">
        <x:f>IF('계산 과정'!$C$78,IF(AND(ISNUMBER(H414),ISNUMBER(I414),ABS(H414-'계산 과정'!$C$88)&lt;='계산 과정'!$D$23/2,ABS(I414-'계산 과정'!$C$89)&lt;='계산 과정'!$D$24/2),1,0),"")</x:f>
        <x:v>1</x:v>
      </x:c>
      <x:c r="O414" s="4" t="n">
        <x:f>IF('계산 과정'!$L$7,'계산 과정'!$C$49*('계산 과정'!$C$32-D414)+'계산 과정'!$D$49*('계산 과정'!$D$32-E414)+'계산 과정'!$E$49*'계산 과정'!$E$32,"")</x:f>
        <x:v>25.915977460934982</x:v>
      </x:c>
      <x:c r="P414" s="4" t="n">
        <x:f>IF(AND('계산 과정'!$L$7,O414&lt;&gt;0),('계산 과정'!$L$23-'계산 과정'!$C$49*D414-'계산 과정'!$D$49*E414)/O414,"")</x:f>
        <x:v>16.434494053058533</x:v>
      </x:c>
      <x:c r="Q414" s="4" t="str">
        <x:f>IF(AND(ISNUMBER(P414),P414&gt;1E-9,P414&lt;1-1E-9),'계산 과정'!$C$47*(D414-'계산 과정'!$C$50+P414*('계산 과정'!$C$32-D414))+'계산 과정'!$D$47*(E414-'계산 과정'!$D$50+P414*('계산 과정'!$D$32-E414))+'계산 과정'!$E$47*(0-'계산 과정'!$E$50+P414*('계산 과정'!$E$32-0)),"")</x:f>
      </x:c>
      <x:c r="R414" s="4" t="str">
        <x:f>IF(AND(ISNUMBER(P414),P414&gt;1E-9,P414&lt;1-1E-9),'계산 과정'!$C$48*(D414-'계산 과정'!$C$50+P414*('계산 과정'!$C$32-D414))+'계산 과정'!$D$48*(E414-'계산 과정'!$D$50+P414*('계산 과정'!$D$32-E414))+'계산 과정'!$E$48*(0-'계산 과정'!$E$50+P414*('계산 과정'!$E$32-0)),"")</x:f>
      </x:c>
      <x:c r="S414" s="17" t="n">
        <x:f>IF('계산 과정'!$C$78,IF(AND(ISNUMBER(Q414),ISNUMBER(R414),ABS(Q414-'계산 과정'!$C$88)&lt;='계산 과정'!$D$23/2,ABS(R414-'계산 과정'!$C$89)&lt;='계산 과정'!$D$24/2),1,0),"")</x:f>
        <x:v>0</x:v>
      </x:c>
      <x:c r="T414" s="4"/>
      <x:c r="U414" s="4"/>
      <x:c r="V414" s="4"/>
      <x:c r="W414" s="4" t="n">
        <x:f>IF('계산 과정'!$C$78,'계산 과정'!$C$88+-1*'계산 과정'!$D$23/2,"")</x:f>
        <x:v>-231.27659574468098</x:v>
      </x:c>
      <x:c r="X414" s="4" t="str">
        <x:f>""</x:f>
      </x:c>
      <x:c r="Y414" s="4" t="n">
        <x:f>IF('계산 과정'!$C$78,'계산 과정'!$C$89+0.31999999999999995*'계산 과정'!$D$24/2,"")</x:f>
        <x:v>83.19999999999999</x:v>
      </x:c>
      <x:c r="Z414" s="4" t="str">
        <x:f>""</x:f>
      </x:c>
    </x:row>
    <x:row r="415" ht="23" customHeight="1">
      <x:c r="A415" s="17" t="n">
        <x:f>ROW()-6</x:f>
        <x:v>409</x:v>
      </x:c>
      <x:c r="B415" s="4" t="n">
        <x:f>IF('계산 과정'!$L$5,'계산 과정'!$L$11*SQRT((A415+0.5)/'계산 과정'!$L$30),"")</x:f>
        <x:v>67.073850099629</x:v>
      </x:c>
      <x:c r="C415" s="4" t="n">
        <x:f>A415*PI()*(3-SQRT(5))</x:f>
        <x:v>981.5849609590191</x:v>
      </x:c>
      <x:c r="D415" s="4" t="n">
        <x:f>IF('계산 과정'!$L$5,B415*COS(C415),"")</x:f>
        <x:v>10.867697728541694</x:v>
      </x:c>
      <x:c r="E415" s="4" t="n">
        <x:f>IF('계산 과정'!$L$5,B415*SIN(C415),"")</x:f>
        <x:v>66.1875706856548</x:v>
      </x:c>
      <x:c r="F415" s="4" t="n">
        <x:f>IF('계산 과정'!$L$7,'계산 과정'!$L$22+'계산 과정'!$C$49*D415+'계산 과정'!$D$49*E415,"")</x:f>
        <x:v>642.3153772402625</x:v>
      </x:c>
      <x:c r="G415" s="4" t="n">
        <x:f>IF('계산 과정'!$L$7,IF(ABS(F415)&gt;=1E-12*MAX(1,SQRT((D415-'계산 과정'!$C$33)^2+(E415-'계산 과정'!$D$33)^2+'계산 과정'!$E$33^2)),('계산 과정'!$L$23-'계산 과정'!$C$49*D415-'계산 과정'!$D$49*E415)/F415,""),"")</x:f>
        <x:v>0.6347109803152668</x:v>
      </x:c>
      <x:c r="H415" s="4" t="n">
        <x:f>IF(AND(ISNUMBER(G415),G415&gt;0),('계산 과정'!$D$56+'계산 과정'!$D$57*D415+'계산 과정'!$D$58*E415)/F415,"")</x:f>
        <x:v>12.562137204923342</x:v>
      </x:c>
      <x:c r="I415" s="4" t="n">
        <x:f>IF(AND(ISNUMBER(G415),G415&gt;0),('계산 과정'!$E$56+'계산 과정'!$E$57*D415+'계산 과정'!$E$58*E415)/F415,"")</x:f>
        <x:v>108.19754856023279</x:v>
      </x:c>
      <x:c r="J415" s="4" t="n">
        <x:f>IF('계산 과정'!$L$5,'계산 과정'!$D$6+'계산 과정'!$C$35*D415+'계산 과정'!$D$35*E415,"")</x:f>
        <x:v>642.3153772402625</x:v>
      </x:c>
      <x:c r="K415" s="4" t="n">
        <x:f>IF(AND('계산 과정'!$L$6,J415&gt;0),'계산 과정'!$D$10*('계산 과정'!$C$38*(D415-'계산 과정'!$C$32)+'계산 과정'!$D$38*(E415-'계산 과정'!$D$32)-'계산 과정'!$E$38*'계산 과정'!$E$32)/J415,"")</x:f>
        <x:v>0.09571152156132148</x:v>
      </x:c>
      <x:c r="L415" s="4" t="n">
        <x:f>IF(AND('계산 과정'!$L$6,J415&gt;0),'계산 과정'!$D$10*('계산 과정'!$C$39*(D415-'계산 과정'!$C$32)+'계산 과정'!$D$39*(E415-'계산 과정'!$D$32)-'계산 과정'!$E$39*'계산 과정'!$E$32)/J415,"")</x:f>
        <x:v>0.8243622747446309</x:v>
      </x:c>
      <x:c r="M415" s="17" t="n">
        <x:f>IF('계산 과정'!$L$6,IF(J415&lt;=0,0,IF(AND(ABS(K415)&lt;='계산 과정'!$D$11/2,ABS(L415)&lt;='계산 과정'!$D$12/2),1,0)),"")</x:f>
        <x:v>1</x:v>
      </x:c>
      <x:c r="N415" s="17" t="n">
        <x:f>IF('계산 과정'!$C$78,IF(AND(ISNUMBER(H415),ISNUMBER(I415),ABS(H415-'계산 과정'!$C$88)&lt;='계산 과정'!$D$23/2,ABS(I415-'계산 과정'!$C$89)&lt;='계산 과정'!$D$24/2),1,0),"")</x:f>
        <x:v>1</x:v>
      </x:c>
      <x:c r="O415" s="4" t="n">
        <x:f>IF('계산 과정'!$L$7,'계산 과정'!$C$49*('계산 과정'!$C$32-D415)+'계산 과정'!$D$49*('계산 과정'!$D$32-E415)+'계산 과정'!$E$49*'계산 과정'!$E$32,"")</x:f>
        <x:v>7.684622759737579</x:v>
      </x:c>
      <x:c r="P415" s="4" t="n">
        <x:f>IF(AND('계산 과정'!$L$7,O415&lt;&gt;0),('계산 과정'!$L$23-'계산 과정'!$C$49*D415-'계산 과정'!$D$49*E415)/O415,"")</x:f>
        <x:v>53.05200209641253</x:v>
      </x:c>
      <x:c r="Q415" s="4" t="str">
        <x:f>IF(AND(ISNUMBER(P415),P415&gt;1E-9,P415&lt;1-1E-9),'계산 과정'!$C$47*(D415-'계산 과정'!$C$50+P415*('계산 과정'!$C$32-D415))+'계산 과정'!$D$47*(E415-'계산 과정'!$D$50+P415*('계산 과정'!$D$32-E415))+'계산 과정'!$E$47*(0-'계산 과정'!$E$50+P415*('계산 과정'!$E$32-0)),"")</x:f>
      </x:c>
      <x:c r="R415" s="4" t="str">
        <x:f>IF(AND(ISNUMBER(P415),P415&gt;1E-9,P415&lt;1-1E-9),'계산 과정'!$C$48*(D415-'계산 과정'!$C$50+P415*('계산 과정'!$C$32-D415))+'계산 과정'!$D$48*(E415-'계산 과정'!$D$50+P415*('계산 과정'!$D$32-E415))+'계산 과정'!$E$48*(0-'계산 과정'!$E$50+P415*('계산 과정'!$E$32-0)),"")</x:f>
      </x:c>
      <x:c r="S415" s="17" t="n">
        <x:f>IF('계산 과정'!$C$78,IF(AND(ISNUMBER(Q415),ISNUMBER(R415),ABS(Q415-'계산 과정'!$C$88)&lt;='계산 과정'!$D$23/2,ABS(R415-'계산 과정'!$C$89)&lt;='계산 과정'!$D$24/2),1,0),"")</x:f>
        <x:v>0</x:v>
      </x:c>
      <x:c r="T415" s="4"/>
      <x:c r="U415" s="4"/>
      <x:c r="V415" s="4"/>
      <x:c r="W415" s="4" t="n">
        <x:f>IF('계산 과정'!$C$78,'계산 과정'!$C$88+-1*'계산 과정'!$D$23/2,"")</x:f>
        <x:v>-231.27659574468098</x:v>
      </x:c>
      <x:c r="X415" s="4" t="str">
        <x:f>""</x:f>
      </x:c>
      <x:c r="Y415" s="4" t="n">
        <x:f>IF('계산 과정'!$C$78,'계산 과정'!$C$89+0.28*'계산 과정'!$D$24/2,"")</x:f>
        <x:v>72.80000000000001</x:v>
      </x:c>
      <x:c r="Z415" s="4" t="str">
        <x:f>""</x:f>
      </x:c>
    </x:row>
    <x:row r="416" ht="23" customHeight="1">
      <x:c r="A416" s="17" t="n">
        <x:f>ROW()-6</x:f>
        <x:v>410</x:v>
      </x:c>
      <x:c r="B416" s="4" t="n">
        <x:f>IF('계산 과정'!$L$5,'계산 과정'!$L$11*SQRT((A416+0.5)/'계산 과정'!$L$30),"")</x:f>
        <x:v>67.15569741513</x:v>
      </x:c>
      <x:c r="C416" s="4" t="n">
        <x:f>A416*PI()*(3-SQRT(5))</x:f>
        <x:v>983.9849241887476</x:v>
      </x:c>
      <x:c r="D416" s="4" t="n">
        <x:f>IF('계산 과정'!$L$5,B416*COS(C416),"")</x:f>
        <x:v>-52.78689874228457</x:v>
      </x:c>
      <x:c r="E416" s="4" t="n">
        <x:f>IF('계산 과정'!$L$5,B416*SIN(C416),"")</x:f>
        <x:v>-41.51422667573484</x:v>
      </x:c>
      <x:c r="F416" s="4" t="n">
        <x:f>IF('계산 과정'!$L$7,'계산 과정'!$L$22+'계산 과정'!$C$49*D416+'계산 과정'!$D$49*E416,"")</x:f>
        <x:v>687.3259740584771</x:v>
      </x:c>
      <x:c r="G416" s="4" t="n">
        <x:f>IF('계산 과정'!$L$7,IF(ABS(F416)&gt;=1E-12*MAX(1,SQRT((D416-'계산 과정'!$C$33)^2+(E416-'계산 과정'!$D$33)^2+'계산 과정'!$E$33^2)),('계산 과정'!$L$23-'계산 과정'!$C$49*D416-'계산 과정'!$D$49*E416)/F416,""),"")</x:f>
        <x:v>0.5276594216278911</x:v>
      </x:c>
      <x:c r="H416" s="4" t="n">
        <x:f>IF(AND(ISNUMBER(G416),G416&gt;0),('계산 과정'!$D$56+'계산 과정'!$D$57*D416+'계산 과정'!$D$58*E416)/F416,"")</x:f>
        <x:v>-57.02137594187085</x:v>
      </x:c>
      <x:c r="I416" s="4" t="n">
        <x:f>IF(AND(ISNUMBER(G416),G416&gt;0),('계산 과정'!$E$56+'계산 과정'!$E$57*D416+'계산 과정'!$E$58*E416)/F416,"")</x:f>
        <x:v>-63.419599512782256</x:v>
      </x:c>
      <x:c r="J416" s="4" t="n">
        <x:f>IF('계산 과정'!$L$5,'계산 과정'!$D$6+'계산 과정'!$C$35*D416+'계산 과정'!$D$35*E416,"")</x:f>
        <x:v>687.3259740584771</x:v>
      </x:c>
      <x:c r="K416" s="4" t="n">
        <x:f>IF(AND('계산 과정'!$L$6,J416&gt;0),'계산 과정'!$D$10*('계산 과정'!$C$38*(D416-'계산 과정'!$C$32)+'계산 과정'!$D$38*(E416-'계산 과정'!$D$32)-'계산 과정'!$E$38*'계산 과정'!$E$32)/J416,"")</x:f>
        <x:v>-0.4344485786047296</x:v>
      </x:c>
      <x:c r="L416" s="4" t="n">
        <x:f>IF(AND('계산 과정'!$L$6,J416&gt;0),'계산 과정'!$D$10*('계산 과정'!$C$39*(D416-'계산 과정'!$C$32)+'계산 과정'!$D$39*(E416-'계산 과정'!$D$32)-'계산 과정'!$E$39*'계산 과정'!$E$32)/J416,"")</x:f>
        <x:v>-0.4831969486688172</x:v>
      </x:c>
      <x:c r="M416" s="17" t="n">
        <x:f>IF('계산 과정'!$L$6,IF(J416&lt;=0,0,IF(AND(ABS(K416)&lt;='계산 과정'!$D$11/2,ABS(L416)&lt;='계산 과정'!$D$12/2),1,0)),"")</x:f>
        <x:v>1</x:v>
      </x:c>
      <x:c r="N416" s="17" t="n">
        <x:f>IF('계산 과정'!$C$78,IF(AND(ISNUMBER(H416),ISNUMBER(I416),ABS(H416-'계산 과정'!$C$88)&lt;='계산 과정'!$D$23/2,ABS(I416-'계산 과정'!$C$89)&lt;='계산 과정'!$D$24/2),1,0),"")</x:f>
        <x:v>1</x:v>
      </x:c>
      <x:c r="O416" s="4" t="n">
        <x:f>IF('계산 과정'!$L$7,'계산 과정'!$C$49*('계산 과정'!$C$32-D416)+'계산 과정'!$D$49*('계산 과정'!$D$32-E416)+'계산 과정'!$E$49*'계산 과정'!$E$32,"")</x:f>
        <x:v>-37.32597405847696</x:v>
      </x:c>
      <x:c r="P416" s="4" t="n">
        <x:f>IF(AND('계산 과정'!$L$7,O416&lt;&gt;0),('계산 과정'!$L$23-'계산 과정'!$C$49*D416-'계산 과정'!$D$49*E416)/O416,"")</x:f>
        <x:v>-9.716398167488878</x:v>
      </x:c>
      <x:c r="Q416" s="4" t="str">
        <x:f>IF(AND(ISNUMBER(P416),P416&gt;1E-9,P416&lt;1-1E-9),'계산 과정'!$C$47*(D416-'계산 과정'!$C$50+P416*('계산 과정'!$C$32-D416))+'계산 과정'!$D$47*(E416-'계산 과정'!$D$50+P416*('계산 과정'!$D$32-E416))+'계산 과정'!$E$47*(0-'계산 과정'!$E$50+P416*('계산 과정'!$E$32-0)),"")</x:f>
      </x:c>
      <x:c r="R416" s="4" t="str">
        <x:f>IF(AND(ISNUMBER(P416),P416&gt;1E-9,P416&lt;1-1E-9),'계산 과정'!$C$48*(D416-'계산 과정'!$C$50+P416*('계산 과정'!$C$32-D416))+'계산 과정'!$D$48*(E416-'계산 과정'!$D$50+P416*('계산 과정'!$D$32-E416))+'계산 과정'!$E$48*(0-'계산 과정'!$E$50+P416*('계산 과정'!$E$32-0)),"")</x:f>
      </x:c>
      <x:c r="S416" s="17" t="n">
        <x:f>IF('계산 과정'!$C$78,IF(AND(ISNUMBER(Q416),ISNUMBER(R416),ABS(Q416-'계산 과정'!$C$88)&lt;='계산 과정'!$D$23/2,ABS(R416-'계산 과정'!$C$89)&lt;='계산 과정'!$D$24/2),1,0),"")</x:f>
        <x:v>0</x:v>
      </x:c>
      <x:c r="T416" s="4"/>
      <x:c r="U416" s="4"/>
      <x:c r="V416" s="4"/>
      <x:c r="W416" s="4" t="n">
        <x:f>IF('계산 과정'!$C$78,'계산 과정'!$C$88+-1*'계산 과정'!$D$23/2,"")</x:f>
        <x:v>-231.27659574468098</x:v>
      </x:c>
      <x:c r="X416" s="4" t="str">
        <x:f>""</x:f>
      </x:c>
      <x:c r="Y416" s="4" t="n">
        <x:f>IF('계산 과정'!$C$78,'계산 과정'!$C$89+0.24*'계산 과정'!$D$24/2,"")</x:f>
        <x:v>62.4</x:v>
      </x:c>
      <x:c r="Z416" s="4" t="str">
        <x:f>""</x:f>
      </x:c>
    </x:row>
    <x:row r="417" ht="23" customHeight="1">
      <x:c r="A417" s="17" t="n">
        <x:f>ROW()-6</x:f>
        <x:v>411</x:v>
      </x:c>
      <x:c r="B417" s="4" t="n">
        <x:f>IF('계산 과정'!$L$5,'계산 과정'!$L$11*SQRT((A417+0.5)/'계산 과정'!$L$30),"")</x:f>
        <x:v>67.23744509897368</x:v>
      </x:c>
      <x:c r="C417" s="4" t="n">
        <x:f>A417*PI()*(3-SQRT(5))</x:f>
        <x:v>986.3848874184764</x:v>
      </x:c>
      <x:c r="D417" s="4" t="n">
        <x:f>IF('계산 과정'!$L$5,B417*COS(C417),"")</x:f>
        <x:v>67.04739010992729</x:v>
      </x:c>
      <x:c r="E417" s="4" t="n">
        <x:f>IF('계산 과정'!$L$5,B417*SIN(C417),"")</x:f>
        <x:v>-5.051881123376095</x:v>
      </x:c>
      <x:c r="F417" s="4" t="n">
        <x:f>IF('계산 과정'!$L$7,'계산 과정'!$L$22+'계산 과정'!$C$49*D417+'계산 과정'!$D$49*E417,"")</x:f>
        <x:v>602.5903357924105</x:v>
      </x:c>
      <x:c r="G417" s="4" t="n">
        <x:f>IF('계산 과정'!$L$7,IF(ABS(F417)&gt;=1E-12*MAX(1,SQRT((D417-'계산 과정'!$C$33)^2+(E417-'계산 과정'!$D$33)^2+'계산 과정'!$E$33^2)),('계산 과정'!$L$23-'계산 과정'!$C$49*D417-'계산 과정'!$D$49*E417)/F417,""),"")</x:f>
        <x:v>0.7424773310033965</x:v>
      </x:c>
      <x:c r="H417" s="4" t="n">
        <x:f>IF(AND(ISNUMBER(G417),G417&gt;0),('계산 과정'!$D$56+'계산 과정'!$D$57*D417+'계산 과정'!$D$58*E417)/F417,"")</x:f>
        <x:v>82.61026515220762</x:v>
      </x:c>
      <x:c r="I417" s="4" t="n">
        <x:f>IF(AND(ISNUMBER(G417),G417&gt;0),('계산 과정'!$E$56+'계산 과정'!$E$57*D417+'계산 과정'!$E$58*E417)/F417,"")</x:f>
        <x:v>-8.802788336406818</x:v>
      </x:c>
      <x:c r="J417" s="4" t="n">
        <x:f>IF('계산 과정'!$L$5,'계산 과정'!$D$6+'계산 과정'!$C$35*D417+'계산 과정'!$D$35*E417,"")</x:f>
        <x:v>602.5903357924105</x:v>
      </x:c>
      <x:c r="K417" s="4" t="n">
        <x:f>IF(AND('계산 과정'!$L$6,J417&gt;0),'계산 과정'!$D$10*('계산 과정'!$C$38*(D417-'계산 과정'!$C$32)+'계산 과정'!$D$38*(E417-'계산 과정'!$D$32)-'계산 과정'!$E$38*'계산 과정'!$E$32)/J417,"")</x:f>
        <x:v>0.6294115440168209</x:v>
      </x:c>
      <x:c r="L417" s="4" t="n">
        <x:f>IF(AND('계산 과정'!$L$6,J417&gt;0),'계산 과정'!$D$10*('계산 과정'!$C$39*(D417-'계산 과정'!$C$32)+'계산 과정'!$D$39*(E417-'계산 과정'!$D$32)-'계산 과정'!$E$39*'계산 과정'!$E$32)/J417,"")</x:f>
        <x:v>-0.06706886351548053</x:v>
      </x:c>
      <x:c r="M417" s="17" t="n">
        <x:f>IF('계산 과정'!$L$6,IF(J417&lt;=0,0,IF(AND(ABS(K417)&lt;='계산 과정'!$D$11/2,ABS(L417)&lt;='계산 과정'!$D$12/2),1,0)),"")</x:f>
        <x:v>1</x:v>
      </x:c>
      <x:c r="N417" s="17" t="n">
        <x:f>IF('계산 과정'!$C$78,IF(AND(ISNUMBER(H417),ISNUMBER(I417),ABS(H417-'계산 과정'!$C$88)&lt;='계산 과정'!$D$23/2,ABS(I417-'계산 과정'!$C$89)&lt;='계산 과정'!$D$24/2),1,0),"")</x:f>
        <x:v>1</x:v>
      </x:c>
      <x:c r="O417" s="4" t="n">
        <x:f>IF('계산 과정'!$L$7,'계산 과정'!$C$49*('계산 과정'!$C$32-D417)+'계산 과정'!$D$49*('계산 과정'!$D$32-E417)+'계산 과정'!$E$49*'계산 과정'!$E$32,"")</x:f>
        <x:v>47.40966420758957</x:v>
      </x:c>
      <x:c r="P417" s="4" t="n">
        <x:f>IF(AND('계산 과정'!$L$7,O417&lt;&gt;0),('계산 과정'!$L$23-'계산 과정'!$C$49*D417-'계산 과정'!$D$49*E417)/O417,"")</x:f>
        <x:v>9.437098357173472</x:v>
      </x:c>
      <x:c r="Q417" s="4" t="str">
        <x:f>IF(AND(ISNUMBER(P417),P417&gt;1E-9,P417&lt;1-1E-9),'계산 과정'!$C$47*(D417-'계산 과정'!$C$50+P417*('계산 과정'!$C$32-D417))+'계산 과정'!$D$47*(E417-'계산 과정'!$D$50+P417*('계산 과정'!$D$32-E417))+'계산 과정'!$E$47*(0-'계산 과정'!$E$50+P417*('계산 과정'!$E$32-0)),"")</x:f>
      </x:c>
      <x:c r="R417" s="4" t="str">
        <x:f>IF(AND(ISNUMBER(P417),P417&gt;1E-9,P417&lt;1-1E-9),'계산 과정'!$C$48*(D417-'계산 과정'!$C$50+P417*('계산 과정'!$C$32-D417))+'계산 과정'!$D$48*(E417-'계산 과정'!$D$50+P417*('계산 과정'!$D$32-E417))+'계산 과정'!$E$48*(0-'계산 과정'!$E$50+P417*('계산 과정'!$E$32-0)),"")</x:f>
      </x:c>
      <x:c r="S417" s="17" t="n">
        <x:f>IF('계산 과정'!$C$78,IF(AND(ISNUMBER(Q417),ISNUMBER(R417),ABS(Q417-'계산 과정'!$C$88)&lt;='계산 과정'!$D$23/2,ABS(R417-'계산 과정'!$C$89)&lt;='계산 과정'!$D$24/2),1,0),"")</x:f>
        <x:v>0</x:v>
      </x:c>
      <x:c r="T417" s="4"/>
      <x:c r="U417" s="4"/>
      <x:c r="V417" s="4"/>
      <x:c r="W417" s="4" t="n">
        <x:f>IF('계산 과정'!$C$78,'계산 과정'!$C$88+-1*'계산 과정'!$D$23/2,"")</x:f>
        <x:v>-231.27659574468098</x:v>
      </x:c>
      <x:c r="X417" s="4" t="str">
        <x:f>""</x:f>
      </x:c>
      <x:c r="Y417" s="4" t="n">
        <x:f>IF('계산 과정'!$C$78,'계산 과정'!$C$89+0.19999999999999996*'계산 과정'!$D$24/2,"")</x:f>
        <x:v>51.999999999999986</x:v>
      </x:c>
      <x:c r="Z417" s="4" t="str">
        <x:f>""</x:f>
      </x:c>
    </x:row>
    <x:row r="418" ht="23" customHeight="1">
      <x:c r="A418" s="17" t="n">
        <x:f>ROW()-6</x:f>
        <x:v>412</x:v>
      </x:c>
      <x:c r="B418" s="4" t="n">
        <x:f>IF('계산 과정'!$L$5,'계산 과정'!$L$11*SQRT((A418+0.5)/'계산 과정'!$L$30),"")</x:f>
        <x:v>67.31909351411753</x:v>
      </x:c>
      <x:c r="C418" s="4" t="n">
        <x:f>A418*PI()*(3-SQRT(5))</x:f>
        <x:v>988.784850648205</x:v>
      </x:c>
      <x:c r="D418" s="4" t="n">
        <x:f>IF('계산 과정'!$L$5,B418*COS(C418),"")</x:f>
        <x:v>-46.082053084713394</x:v>
      </x:c>
      <x:c r="E418" s="4" t="n">
        <x:f>IF('계산 과정'!$L$5,B418*SIN(C418),"")</x:f>
        <x:v>49.07448150576995</x:v>
      </x:c>
      <x:c r="F418" s="4" t="n">
        <x:f>IF('계산 과정'!$L$7,'계산 과정'!$L$22+'계산 과정'!$C$49*D418+'계산 과정'!$D$49*E418,"")</x:f>
        <x:v>682.5849322271993</x:v>
      </x:c>
      <x:c r="G418" s="4" t="n">
        <x:f>IF('계산 과정'!$L$7,IF(ABS(F418)&gt;=1E-12*MAX(1,SQRT((D418-'계산 과정'!$C$33)^2+(E418-'계산 과정'!$D$33)^2+'계산 과정'!$E$33^2)),('계산 과정'!$L$23-'계산 과정'!$C$49*D418-'계산 과정'!$D$49*E418)/F418,""),"")</x:f>
        <x:v>0.5382701117851604</x:v>
      </x:c>
      <x:c r="H418" s="4" t="n">
        <x:f>IF(AND(ISNUMBER(G418),G418&gt;0),('계산 과정'!$D$56+'계산 과정'!$D$57*D418+'계산 과정'!$D$58*E418)/F418,"")</x:f>
        <x:v>-50.12442733964586</x:v>
      </x:c>
      <x:c r="I418" s="4" t="n">
        <x:f>IF(AND(ISNUMBER(G418),G418&gt;0),('계산 과정'!$E$56+'계산 과정'!$E$57*D418+'계산 과정'!$E$58*E418)/F418,"")</x:f>
        <x:v>75.48980815167954</x:v>
      </x:c>
      <x:c r="J418" s="4" t="n">
        <x:f>IF('계산 과정'!$L$5,'계산 과정'!$D$6+'계산 과정'!$C$35*D418+'계산 과정'!$D$35*E418,"")</x:f>
        <x:v>682.5849322271993</x:v>
      </x:c>
      <x:c r="K418" s="4" t="n">
        <x:f>IF(AND('계산 과정'!$L$6,J418&gt;0),'계산 과정'!$D$10*('계산 과정'!$C$38*(D418-'계산 과정'!$C$32)+'계산 과정'!$D$38*(E418-'계산 과정'!$D$32)-'계산 과정'!$E$38*'계산 과정'!$E$32)/J418,"")</x:f>
        <x:v>-0.3819003987782528</x:v>
      </x:c>
      <x:c r="L418" s="4" t="n">
        <x:f>IF(AND('계산 과정'!$L$6,J418&gt;0),'계산 과정'!$D$10*('계산 과정'!$C$39*(D418-'계산 과정'!$C$32)+'계산 과정'!$D$39*(E418-'계산 과정'!$D$32)-'계산 과정'!$E$39*'계산 과정'!$E$32)/J418,"")</x:f>
        <x:v>0.5751604430604155</x:v>
      </x:c>
      <x:c r="M418" s="17" t="n">
        <x:f>IF('계산 과정'!$L$6,IF(J418&lt;=0,0,IF(AND(ABS(K418)&lt;='계산 과정'!$D$11/2,ABS(L418)&lt;='계산 과정'!$D$12/2),1,0)),"")</x:f>
        <x:v>1</x:v>
      </x:c>
      <x:c r="N418" s="17" t="n">
        <x:f>IF('계산 과정'!$C$78,IF(AND(ISNUMBER(H418),ISNUMBER(I418),ABS(H418-'계산 과정'!$C$88)&lt;='계산 과정'!$D$23/2,ABS(I418-'계산 과정'!$C$89)&lt;='계산 과정'!$D$24/2),1,0),"")</x:f>
        <x:v>1</x:v>
      </x:c>
      <x:c r="O418" s="4" t="n">
        <x:f>IF('계산 과정'!$L$7,'계산 과정'!$C$49*('계산 과정'!$C$32-D418)+'계산 과정'!$D$49*('계산 과정'!$D$32-E418)+'계산 과정'!$E$49*'계산 과정'!$E$32,"")</x:f>
        <x:v>-32.58493222719915</x:v>
      </x:c>
      <x:c r="P418" s="4" t="n">
        <x:f>IF(AND('계산 과정'!$L$7,O418&lt;&gt;0),('계산 과정'!$L$23-'계산 과정'!$C$49*D418-'계산 과정'!$D$49*E418)/O418,"")</x:f>
        <x:v>-11.275612458267249</x:v>
      </x:c>
      <x:c r="Q418" s="4" t="str">
        <x:f>IF(AND(ISNUMBER(P418),P418&gt;1E-9,P418&lt;1-1E-9),'계산 과정'!$C$47*(D418-'계산 과정'!$C$50+P418*('계산 과정'!$C$32-D418))+'계산 과정'!$D$47*(E418-'계산 과정'!$D$50+P418*('계산 과정'!$D$32-E418))+'계산 과정'!$E$47*(0-'계산 과정'!$E$50+P418*('계산 과정'!$E$32-0)),"")</x:f>
      </x:c>
      <x:c r="R418" s="4" t="str">
        <x:f>IF(AND(ISNUMBER(P418),P418&gt;1E-9,P418&lt;1-1E-9),'계산 과정'!$C$48*(D418-'계산 과정'!$C$50+P418*('계산 과정'!$C$32-D418))+'계산 과정'!$D$48*(E418-'계산 과정'!$D$50+P418*('계산 과정'!$D$32-E418))+'계산 과정'!$E$48*(0-'계산 과정'!$E$50+P418*('계산 과정'!$E$32-0)),"")</x:f>
      </x:c>
      <x:c r="S418" s="17" t="n">
        <x:f>IF('계산 과정'!$C$78,IF(AND(ISNUMBER(Q418),ISNUMBER(R418),ABS(Q418-'계산 과정'!$C$88)&lt;='계산 과정'!$D$23/2,ABS(R418-'계산 과정'!$C$89)&lt;='계산 과정'!$D$24/2),1,0),"")</x:f>
        <x:v>0</x:v>
      </x:c>
      <x:c r="T418" s="4"/>
      <x:c r="U418" s="4"/>
      <x:c r="V418" s="4"/>
      <x:c r="W418" s="4" t="n">
        <x:f>IF('계산 과정'!$C$78,'계산 과정'!$C$88+-1*'계산 과정'!$D$23/2,"")</x:f>
        <x:v>-231.27659574468098</x:v>
      </x:c>
      <x:c r="X418" s="4" t="str">
        <x:f>""</x:f>
      </x:c>
      <x:c r="Y418" s="4" t="n">
        <x:f>IF('계산 과정'!$C$78,'계산 과정'!$C$89+0.16000000000000003*'계산 과정'!$D$24/2,"")</x:f>
        <x:v>41.60000000000001</x:v>
      </x:c>
      <x:c r="Z418" s="4" t="str">
        <x:f>""</x:f>
      </x:c>
    </x:row>
    <x:row r="419" ht="23" customHeight="1">
      <x:c r="A419" s="17" t="n">
        <x:f>ROW()-6</x:f>
        <x:v>413</x:v>
      </x:c>
      <x:c r="B419" s="4" t="n">
        <x:f>IF('계산 과정'!$L$5,'계산 과정'!$L$11*SQRT((A419+0.5)/'계산 과정'!$L$30),"")</x:f>
        <x:v>67.40064302132065</x:v>
      </x:c>
      <x:c r="C419" s="4" t="n">
        <x:f>A419*PI()*(3-SQRT(5))</x:f>
        <x:v>991.1848138779337</x:v>
      </x:c>
      <x:c r="D419" s="4" t="n">
        <x:f>IF('계산 과정'!$L$5,B419*COS(C419),"")</x:f>
        <x:v>0.8311414457167808</x:v>
      </x:c>
      <x:c r="E419" s="4" t="n">
        <x:f>IF('계산 과정'!$L$5,B419*SIN(C419),"")</x:f>
        <x:v>-67.39551827521406</x:v>
      </x:c>
      <x:c r="F419" s="4" t="n">
        <x:f>IF('계산 과정'!$L$7,'계산 과정'!$L$22+'계산 과정'!$C$49*D419+'계산 과정'!$D$49*E419,"")</x:f>
        <x:v>649.4122942476084</x:v>
      </x:c>
      <x:c r="G419" s="4" t="n">
        <x:f>IF('계산 과정'!$L$7,IF(ABS(F419)&gt;=1E-12*MAX(1,SQRT((D419-'계산 과정'!$C$33)^2+(E419-'계산 과정'!$D$33)^2+'계산 과정'!$E$33^2)),('계산 과정'!$L$23-'계산 과정'!$C$49*D419-'계산 과정'!$D$49*E419)/F419,""),"")</x:f>
        <x:v>0.6168465076819982</x:v>
      </x:c>
      <x:c r="H419" s="4" t="n">
        <x:f>IF(AND(ISNUMBER(G419),G419&gt;0),('계산 과정'!$D$56+'계산 과정'!$D$57*D419+'계산 과정'!$D$58*E419)/F419,"")</x:f>
        <x:v>0.9502299932987474</x:v>
      </x:c>
      <x:c r="I419" s="4" t="n">
        <x:f>IF(AND(ISNUMBER(G419),G419&gt;0),('계산 과정'!$E$56+'계산 과정'!$E$57*D419+'계산 과정'!$E$58*E419)/F419,"")</x:f>
        <x:v>-108.96820835669814</x:v>
      </x:c>
      <x:c r="J419" s="4" t="n">
        <x:f>IF('계산 과정'!$L$5,'계산 과정'!$D$6+'계산 과정'!$C$35*D419+'계산 과정'!$D$35*E419,"")</x:f>
        <x:v>649.4122942476084</x:v>
      </x:c>
      <x:c r="K419" s="4" t="n">
        <x:f>IF(AND('계산 과정'!$L$6,J419&gt;0),'계산 과정'!$D$10*('계산 과정'!$C$38*(D419-'계산 과정'!$C$32)+'계산 과정'!$D$38*(E419-'계산 과정'!$D$32)-'계산 과정'!$E$38*'계산 과정'!$E$32)/J419,"")</x:f>
        <x:v>0.007239847567991169</x:v>
      </x:c>
      <x:c r="L419" s="4" t="n">
        <x:f>IF(AND('계산 과정'!$L$6,J419&gt;0),'계산 과정'!$D$10*('계산 과정'!$C$39*(D419-'계산 과정'!$C$32)+'계산 과정'!$D$39*(E419-'계산 과정'!$D$32)-'계산 과정'!$E$39*'계산 과정'!$E$32)/J419,"")</x:f>
        <x:v>-0.8302339684319859</x:v>
      </x:c>
      <x:c r="M419" s="17" t="n">
        <x:f>IF('계산 과정'!$L$6,IF(J419&lt;=0,0,IF(AND(ABS(K419)&lt;='계산 과정'!$D$11/2,ABS(L419)&lt;='계산 과정'!$D$12/2),1,0)),"")</x:f>
        <x:v>1</x:v>
      </x:c>
      <x:c r="N419" s="17" t="n">
        <x:f>IF('계산 과정'!$C$78,IF(AND(ISNUMBER(H419),ISNUMBER(I419),ABS(H419-'계산 과정'!$C$88)&lt;='계산 과정'!$D$23/2,ABS(I419-'계산 과정'!$C$89)&lt;='계산 과정'!$D$24/2),1,0),"")</x:f>
        <x:v>1</x:v>
      </x:c>
      <x:c r="O419" s="4" t="n">
        <x:f>IF('계산 과정'!$L$7,'계산 과정'!$C$49*('계산 과정'!$C$32-D419)+'계산 과정'!$D$49*('계산 과정'!$D$32-E419)+'계산 과정'!$E$49*'계산 과정'!$E$32,"")</x:f>
        <x:v>0.5877057523916278</x:v>
      </x:c>
      <x:c r="P419" s="4" t="n">
        <x:f>IF(AND('계산 과정'!$L$7,O419&lt;&gt;0),('계산 과정'!$L$23-'계산 과정'!$C$49*D419-'계산 과정'!$D$49*E419)/O419,"")</x:f>
        <x:v>681.6127018022669</x:v>
      </x:c>
      <x:c r="Q419" s="4" t="str">
        <x:f>IF(AND(ISNUMBER(P419),P419&gt;1E-9,P419&lt;1-1E-9),'계산 과정'!$C$47*(D419-'계산 과정'!$C$50+P419*('계산 과정'!$C$32-D419))+'계산 과정'!$D$47*(E419-'계산 과정'!$D$50+P419*('계산 과정'!$D$32-E419))+'계산 과정'!$E$47*(0-'계산 과정'!$E$50+P419*('계산 과정'!$E$32-0)),"")</x:f>
      </x:c>
      <x:c r="R419" s="4" t="str">
        <x:f>IF(AND(ISNUMBER(P419),P419&gt;1E-9,P419&lt;1-1E-9),'계산 과정'!$C$48*(D419-'계산 과정'!$C$50+P419*('계산 과정'!$C$32-D419))+'계산 과정'!$D$48*(E419-'계산 과정'!$D$50+P419*('계산 과정'!$D$32-E419))+'계산 과정'!$E$48*(0-'계산 과정'!$E$50+P419*('계산 과정'!$E$32-0)),"")</x:f>
      </x:c>
      <x:c r="S419" s="17" t="n">
        <x:f>IF('계산 과정'!$C$78,IF(AND(ISNUMBER(Q419),ISNUMBER(R419),ABS(Q419-'계산 과정'!$C$88)&lt;='계산 과정'!$D$23/2,ABS(R419-'계산 과정'!$C$89)&lt;='계산 과정'!$D$24/2),1,0),"")</x:f>
        <x:v>0</x:v>
      </x:c>
      <x:c r="T419" s="4"/>
      <x:c r="U419" s="4"/>
      <x:c r="V419" s="4"/>
      <x:c r="W419" s="4" t="n">
        <x:f>IF('계산 과정'!$C$78,'계산 과정'!$C$88+-1*'계산 과정'!$D$23/2,"")</x:f>
        <x:v>-231.27659574468098</x:v>
      </x:c>
      <x:c r="X419" s="4" t="str">
        <x:f>""</x:f>
      </x:c>
      <x:c r="Y419" s="4" t="n">
        <x:f>IF('계산 과정'!$C$78,'계산 과정'!$C$89+0.12*'계산 과정'!$D$24/2,"")</x:f>
        <x:v>31.2</x:v>
      </x:c>
      <x:c r="Z419" s="4" t="str">
        <x:f>""</x:f>
      </x:c>
    </x:row>
    <x:row r="420" ht="23" customHeight="1">
      <x:c r="A420" s="17" t="n">
        <x:f>ROW()-6</x:f>
        <x:v>414</x:v>
      </x:c>
      <x:c r="B420" s="4" t="n">
        <x:f>IF('계산 과정'!$L$5,'계산 과정'!$L$11*SQRT((A420+0.5)/'계산 과정'!$L$30),"")</x:f>
        <x:v>67.48209397916236</x:v>
      </x:c>
      <x:c r="C420" s="4" t="n">
        <x:f>A420*PI()*(3-SQRT(5))</x:f>
        <x:v>993.5847771076623</x:v>
      </x:c>
      <x:c r="D420" s="4" t="n">
        <x:f>IF('계산 과정'!$L$5,B420*COS(C420),"")</x:f>
        <x:v>44.96643517045269</x:v>
      </x:c>
      <x:c r="E420" s="4" t="n">
        <x:f>IF('계산 과정'!$L$5,B420*SIN(C420),"")</x:f>
        <x:v>50.31751897574021</x:v>
      </x:c>
      <x:c r="F420" s="4" t="n">
        <x:f>IF('계산 과정'!$L$7,'계산 과정'!$L$22+'계산 과정'!$C$49*D420+'계산 과정'!$D$49*E420,"")</x:f>
        <x:v>618.2039287651876</x:v>
      </x:c>
      <x:c r="G420" s="4" t="n">
        <x:f>IF('계산 과정'!$L$7,IF(ABS(F420)&gt;=1E-12*MAX(1,SQRT((D420-'계산 과정'!$C$33)^2+(E420-'계산 과정'!$D$33)^2+'계산 과정'!$E$33^2)),('계산 과정'!$L$23-'계산 과정'!$C$49*D420-'계산 과정'!$D$49*E420)/F420,""),"")</x:f>
        <x:v>0.6984686624319747</x:v>
      </x:c>
      <x:c r="H420" s="4" t="n">
        <x:f>IF(AND(ISNUMBER(G420),G420&gt;0),('계산 과정'!$D$56+'계산 과정'!$D$57*D420+'계산 과정'!$D$58*E420)/F420,"")</x:f>
        <x:v>54.00463058078344</x:v>
      </x:c>
      <x:c r="I420" s="4" t="n">
        <x:f>IF(AND(ISNUMBER(G420),G420&gt;0),('계산 과정'!$E$56+'계산 과정'!$E$57*D420+'계산 과정'!$E$58*E420)/F420,"")</x:f>
        <x:v>85.46272915162098</x:v>
      </x:c>
      <x:c r="J420" s="4" t="n">
        <x:f>IF('계산 과정'!$L$5,'계산 과정'!$D$6+'계산 과정'!$C$35*D420+'계산 과정'!$D$35*E420,"")</x:f>
        <x:v>618.2039287651876</x:v>
      </x:c>
      <x:c r="K420" s="4" t="n">
        <x:f>IF(AND('계산 과정'!$L$6,J420&gt;0),'계산 과정'!$D$10*('계산 과정'!$C$38*(D420-'계산 과정'!$C$32)+'계산 과정'!$D$38*(E420-'계산 과정'!$D$32)-'계산 과정'!$E$38*'계산 과정'!$E$32)/J420,"")</x:f>
        <x:v>0.41146385204406577</x:v>
      </x:c>
      <x:c r="L420" s="4" t="n">
        <x:f>IF(AND('계산 과정'!$L$6,J420&gt;0),'계산 과정'!$D$10*('계산 과정'!$C$39*(D420-'계산 과정'!$C$32)+'계산 과정'!$D$39*(E420-'계산 과정'!$D$32)-'계산 과정'!$E$39*'계산 과정'!$E$32)/J420,"")</x:f>
        <x:v>0.6511446030599694</x:v>
      </x:c>
      <x:c r="M420" s="17" t="n">
        <x:f>IF('계산 과정'!$L$6,IF(J420&lt;=0,0,IF(AND(ABS(K420)&lt;='계산 과정'!$D$11/2,ABS(L420)&lt;='계산 과정'!$D$12/2),1,0)),"")</x:f>
        <x:v>1</x:v>
      </x:c>
      <x:c r="N420" s="17" t="n">
        <x:f>IF('계산 과정'!$C$78,IF(AND(ISNUMBER(H420),ISNUMBER(I420),ABS(H420-'계산 과정'!$C$88)&lt;='계산 과정'!$D$23/2,ABS(I420-'계산 과정'!$C$89)&lt;='계산 과정'!$D$24/2),1,0),"")</x:f>
        <x:v>1</x:v>
      </x:c>
      <x:c r="O420" s="4" t="n">
        <x:f>IF('계산 과정'!$L$7,'계산 과정'!$C$49*('계산 과정'!$C$32-D420)+'계산 과정'!$D$49*('계산 과정'!$D$32-E420)+'계산 과정'!$E$49*'계산 과정'!$E$32,"")</x:f>
        <x:v>31.796071234812473</x:v>
      </x:c>
      <x:c r="P420" s="4" t="n">
        <x:f>IF(AND('계산 과정'!$L$7,O420&lt;&gt;0),('계산 과정'!$L$23-'계산 과정'!$C$49*D420-'계산 과정'!$D$49*E420)/O420,"")</x:f>
        <x:v>13.580170582900601</x:v>
      </x:c>
      <x:c r="Q420" s="4" t="str">
        <x:f>IF(AND(ISNUMBER(P420),P420&gt;1E-9,P420&lt;1-1E-9),'계산 과정'!$C$47*(D420-'계산 과정'!$C$50+P420*('계산 과정'!$C$32-D420))+'계산 과정'!$D$47*(E420-'계산 과정'!$D$50+P420*('계산 과정'!$D$32-E420))+'계산 과정'!$E$47*(0-'계산 과정'!$E$50+P420*('계산 과정'!$E$32-0)),"")</x:f>
      </x:c>
      <x:c r="R420" s="4" t="str">
        <x:f>IF(AND(ISNUMBER(P420),P420&gt;1E-9,P420&lt;1-1E-9),'계산 과정'!$C$48*(D420-'계산 과정'!$C$50+P420*('계산 과정'!$C$32-D420))+'계산 과정'!$D$48*(E420-'계산 과정'!$D$50+P420*('계산 과정'!$D$32-E420))+'계산 과정'!$E$48*(0-'계산 과정'!$E$50+P420*('계산 과정'!$E$32-0)),"")</x:f>
      </x:c>
      <x:c r="S420" s="17" t="n">
        <x:f>IF('계산 과정'!$C$78,IF(AND(ISNUMBER(Q420),ISNUMBER(R420),ABS(Q420-'계산 과정'!$C$88)&lt;='계산 과정'!$D$23/2,ABS(R420-'계산 과정'!$C$89)&lt;='계산 과정'!$D$24/2),1,0),"")</x:f>
        <x:v>0</x:v>
      </x:c>
      <x:c r="T420" s="4"/>
      <x:c r="U420" s="4"/>
      <x:c r="V420" s="4"/>
      <x:c r="W420" s="4" t="n">
        <x:f>IF('계산 과정'!$C$78,'계산 과정'!$C$88+-1*'계산 과정'!$D$23/2,"")</x:f>
        <x:v>-231.27659574468098</x:v>
      </x:c>
      <x:c r="X420" s="4" t="str">
        <x:f>""</x:f>
      </x:c>
      <x:c r="Y420" s="4" t="n">
        <x:f>IF('계산 과정'!$C$78,'계산 과정'!$C$89+0.07999999999999996*'계산 과정'!$D$24/2,"")</x:f>
        <x:v>20.79999999999999</x:v>
      </x:c>
      <x:c r="Z420" s="4" t="str">
        <x:f>""</x:f>
      </x:c>
    </x:row>
    <x:row r="421" ht="23" customHeight="1">
      <x:c r="A421" s="17" t="n">
        <x:f>ROW()-6</x:f>
        <x:v>415</x:v>
      </x:c>
      <x:c r="B421" s="4" t="n">
        <x:f>IF('계산 과정'!$L$5,'계산 과정'!$L$11*SQRT((A421+0.5)/'계산 과정'!$L$30),"")</x:f>
        <x:v>67.5634467440605</x:v>
      </x:c>
      <x:c r="C421" s="4" t="n">
        <x:f>A421*PI()*(3-SQRT(5))</x:f>
        <x:v>995.9847403373909</x:v>
      </x:c>
      <x:c r="D421" s="4" t="n">
        <x:f>IF('계산 과정'!$L$5,B421*COS(C421),"")</x:f>
        <x:v>-67.22679295422061</x:v>
      </x:c>
      <x:c r="E421" s="4" t="n">
        <x:f>IF('계산 과정'!$L$5,B421*SIN(C421),"")</x:f>
        <x:v>-6.736293122174394</x:v>
      </x:c>
      <x:c r="F421" s="4" t="n">
        <x:f>IF('계산 과정'!$L$7,'계산 과정'!$L$22+'계산 과정'!$C$49*D421+'계산 과정'!$D$49*E421,"")</x:f>
        <x:v>697.5365211753534</x:v>
      </x:c>
      <x:c r="G421" s="4" t="n">
        <x:f>IF('계산 과정'!$L$7,IF(ABS(F421)&gt;=1E-12*MAX(1,SQRT((D421-'계산 과정'!$C$33)^2+(E421-'계산 과정'!$D$33)^2+'계산 과정'!$E$33^2)),('계산 과정'!$L$23-'계산 과정'!$C$49*D421-'계산 과정'!$D$49*E421)/F421,""),"")</x:f>
        <x:v>0.505297526544909</x:v>
      </x:c>
      <x:c r="H421" s="4" t="n">
        <x:f>IF(AND(ISNUMBER(G421),G421&gt;0),('계산 과정'!$D$56+'계산 과정'!$D$57*D421+'계산 과정'!$D$58*E421)/F421,"")</x:f>
        <x:v>-71.5566077458093</x:v>
      </x:c>
      <x:c r="I421" s="4" t="n">
        <x:f>IF(AND(ISNUMBER(G421),G421&gt;0),('계산 과정'!$E$56+'계산 과정'!$E$57*D421+'계산 과정'!$E$58*E421)/F421,"")</x:f>
        <x:v>-10.140125374890598</x:v>
      </x:c>
      <x:c r="J421" s="4" t="n">
        <x:f>IF('계산 과정'!$L$5,'계산 과정'!$D$6+'계산 과정'!$C$35*D421+'계산 과정'!$D$35*E421,"")</x:f>
        <x:v>697.5365211753534</x:v>
      </x:c>
      <x:c r="K421" s="4" t="n">
        <x:f>IF(AND('계산 과정'!$L$6,J421&gt;0),'계산 과정'!$D$10*('계산 과정'!$C$38*(D421-'계산 과정'!$C$32)+'계산 과정'!$D$38*(E421-'계산 과정'!$D$32)-'계산 과정'!$E$38*'계산 과정'!$E$32)/J421,"")</x:f>
        <x:v>-0.5451932018728318</x:v>
      </x:c>
      <x:c r="L421" s="4" t="n">
        <x:f>IF(AND('계산 과정'!$L$6,J421&gt;0),'계산 과정'!$D$10*('계산 과정'!$C$39*(D421-'계산 과정'!$C$32)+'계산 과정'!$D$39*(E421-'계산 과정'!$D$32)-'계산 과정'!$E$39*'계산 과정'!$E$32)/J421,"")</x:f>
        <x:v>-0.07725809809440455</x:v>
      </x:c>
      <x:c r="M421" s="17" t="n">
        <x:f>IF('계산 과정'!$L$6,IF(J421&lt;=0,0,IF(AND(ABS(K421)&lt;='계산 과정'!$D$11/2,ABS(L421)&lt;='계산 과정'!$D$12/2),1,0)),"")</x:f>
        <x:v>1</x:v>
      </x:c>
      <x:c r="N421" s="17" t="n">
        <x:f>IF('계산 과정'!$C$78,IF(AND(ISNUMBER(H421),ISNUMBER(I421),ABS(H421-'계산 과정'!$C$88)&lt;='계산 과정'!$D$23/2,ABS(I421-'계산 과정'!$C$89)&lt;='계산 과정'!$D$24/2),1,0),"")</x:f>
        <x:v>1</x:v>
      </x:c>
      <x:c r="O421" s="4" t="n">
        <x:f>IF('계산 과정'!$L$7,'계산 과정'!$C$49*('계산 과정'!$C$32-D421)+'계산 과정'!$D$49*('계산 과정'!$D$32-E421)+'계산 과정'!$E$49*'계산 과정'!$E$32,"")</x:f>
        <x:v>-47.5365211753533</x:v>
      </x:c>
      <x:c r="P421" s="4" t="n">
        <x:f>IF(AND('계산 과정'!$L$7,O421&lt;&gt;0),('계산 과정'!$L$23-'계산 과정'!$C$49*D421-'계산 과정'!$D$49*E421)/O421,"")</x:f>
        <x:v>-7.414582937705411</x:v>
      </x:c>
      <x:c r="Q421" s="4" t="str">
        <x:f>IF(AND(ISNUMBER(P421),P421&gt;1E-9,P421&lt;1-1E-9),'계산 과정'!$C$47*(D421-'계산 과정'!$C$50+P421*('계산 과정'!$C$32-D421))+'계산 과정'!$D$47*(E421-'계산 과정'!$D$50+P421*('계산 과정'!$D$32-E421))+'계산 과정'!$E$47*(0-'계산 과정'!$E$50+P421*('계산 과정'!$E$32-0)),"")</x:f>
      </x:c>
      <x:c r="R421" s="4" t="str">
        <x:f>IF(AND(ISNUMBER(P421),P421&gt;1E-9,P421&lt;1-1E-9),'계산 과정'!$C$48*(D421-'계산 과정'!$C$50+P421*('계산 과정'!$C$32-D421))+'계산 과정'!$D$48*(E421-'계산 과정'!$D$50+P421*('계산 과정'!$D$32-E421))+'계산 과정'!$E$48*(0-'계산 과정'!$E$50+P421*('계산 과정'!$E$32-0)),"")</x:f>
      </x:c>
      <x:c r="S421" s="17" t="n">
        <x:f>IF('계산 과정'!$C$78,IF(AND(ISNUMBER(Q421),ISNUMBER(R421),ABS(Q421-'계산 과정'!$C$88)&lt;='계산 과정'!$D$23/2,ABS(R421-'계산 과정'!$C$89)&lt;='계산 과정'!$D$24/2),1,0),"")</x:f>
        <x:v>0</x:v>
      </x:c>
      <x:c r="T421" s="4"/>
      <x:c r="U421" s="4"/>
      <x:c r="V421" s="4"/>
      <x:c r="W421" s="4" t="n">
        <x:f>IF('계산 과정'!$C$78,'계산 과정'!$C$88+-1*'계산 과정'!$D$23/2,"")</x:f>
        <x:v>-231.27659574468098</x:v>
      </x:c>
      <x:c r="X421" s="4" t="str">
        <x:f>""</x:f>
      </x:c>
      <x:c r="Y421" s="4" t="n">
        <x:f>IF('계산 과정'!$C$78,'계산 과정'!$C$89+0.040000000000000036*'계산 과정'!$D$24/2,"")</x:f>
        <x:v>10.40000000000001</x:v>
      </x:c>
      <x:c r="Z421" s="4" t="str">
        <x:f>""</x:f>
      </x:c>
    </x:row>
    <x:row r="422" ht="23" customHeight="1">
      <x:c r="A422" s="17" t="n">
        <x:f>ROW()-6</x:f>
        <x:v>416</x:v>
      </x:c>
      <x:c r="B422" s="4" t="n">
        <x:f>IF('계산 과정'!$L$5,'계산 과정'!$L$11*SQRT((A422+0.5)/'계산 과정'!$L$30),"")</x:f>
        <x:v>67.64470167028975</x:v>
      </x:c>
      <x:c r="C422" s="4" t="n">
        <x:f>A422*PI()*(3-SQRT(5))</x:f>
        <x:v>998.3847035671197</x:v>
      </x:c>
      <x:c r="D422" s="4" t="n">
        <x:f>IF('계산 과정'!$L$5,B422*COS(C422),"")</x:f>
        <x:v>54.18633423405492</x:v>
      </x:c>
      <x:c r="E422" s="4" t="n">
        <x:f>IF('계산 과정'!$L$5,B422*SIN(C422),"")</x:f>
        <x:v>-40.49255297382209</x:v>
      </x:c>
      <x:c r="F422" s="4" t="n">
        <x:f>IF('계산 과정'!$L$7,'계산 과정'!$L$22+'계산 과정'!$C$49*D422+'계산 과정'!$D$49*E422,"")</x:f>
        <x:v>611.684475615459</x:v>
      </x:c>
      <x:c r="G422" s="4" t="n">
        <x:f>IF('계산 과정'!$L$7,IF(ABS(F422)&gt;=1E-12*MAX(1,SQRT((D422-'계산 과정'!$C$33)^2+(E422-'계산 과정'!$D$33)^2+'계산 과정'!$E$33^2)),('계산 과정'!$L$23-'계산 과정'!$C$49*D422-'계산 과정'!$D$49*E422)/F422,""),"")</x:f>
        <x:v>0.7165712746649664</x:v>
      </x:c>
      <x:c r="H422" s="4" t="n">
        <x:f>IF(AND(ISNUMBER(G422),G422&gt;0),('계산 과정'!$D$56+'계산 과정'!$D$57*D422+'계산 과정'!$D$58*E422)/F422,"")</x:f>
        <x:v>65.77132853222805</x:v>
      </x:c>
      <x:c r="I422" s="4" t="n">
        <x:f>IF(AND(ISNUMBER(G422),G422&gt;0),('계산 과정'!$E$56+'계산 과정'!$E$57*D422+'계산 과정'!$E$58*E422)/F422,"")</x:f>
        <x:v>-69.50835327271247</x:v>
      </x:c>
      <x:c r="J422" s="4" t="n">
        <x:f>IF('계산 과정'!$L$5,'계산 과정'!$D$6+'계산 과정'!$C$35*D422+'계산 과정'!$D$35*E422,"")</x:f>
        <x:v>611.684475615459</x:v>
      </x:c>
      <x:c r="K422" s="4" t="n">
        <x:f>IF(AND('계산 과정'!$L$6,J422&gt;0),'계산 과정'!$D$10*('계산 과정'!$C$38*(D422-'계산 과정'!$C$32)+'계산 과정'!$D$38*(E422-'계산 과정'!$D$32)-'계산 과정'!$E$38*'계산 과정'!$E$32)/J422,"")</x:f>
        <x:v>0.5011148840550715</x:v>
      </x:c>
      <x:c r="L422" s="4" t="n">
        <x:f>IF(AND('계산 과정'!$L$6,J422&gt;0),'계산 과정'!$D$10*('계산 과정'!$C$39*(D422-'계산 과정'!$C$32)+'계산 과정'!$D$39*(E422-'계산 과정'!$D$32)-'계산 과정'!$E$39*'계산 과정'!$E$32)/J422,"")</x:f>
        <x:v>-0.5295874535063807</x:v>
      </x:c>
      <x:c r="M422" s="17" t="n">
        <x:f>IF('계산 과정'!$L$6,IF(J422&lt;=0,0,IF(AND(ABS(K422)&lt;='계산 과정'!$D$11/2,ABS(L422)&lt;='계산 과정'!$D$12/2),1,0)),"")</x:f>
        <x:v>1</x:v>
      </x:c>
      <x:c r="N422" s="17" t="n">
        <x:f>IF('계산 과정'!$C$78,IF(AND(ISNUMBER(H422),ISNUMBER(I422),ABS(H422-'계산 과정'!$C$88)&lt;='계산 과정'!$D$23/2,ABS(I422-'계산 과정'!$C$89)&lt;='계산 과정'!$D$24/2),1,0),"")</x:f>
        <x:v>1</x:v>
      </x:c>
      <x:c r="O422" s="4" t="n">
        <x:f>IF('계산 과정'!$L$7,'계산 과정'!$C$49*('계산 과정'!$C$32-D422)+'계산 과정'!$D$49*('계산 과정'!$D$32-E422)+'계산 과정'!$E$49*'계산 과정'!$E$32,"")</x:f>
        <x:v>38.315524384541106</x:v>
      </x:c>
      <x:c r="P422" s="4" t="n">
        <x:f>IF(AND('계산 과정'!$L$7,O422&lt;&gt;0),('계산 과정'!$L$23-'계산 과정'!$C$49*D422-'계산 과정'!$D$49*E422)/O422,"")</x:f>
        <x:v>11.439632666527855</x:v>
      </x:c>
      <x:c r="Q422" s="4" t="str">
        <x:f>IF(AND(ISNUMBER(P422),P422&gt;1E-9,P422&lt;1-1E-9),'계산 과정'!$C$47*(D422-'계산 과정'!$C$50+P422*('계산 과정'!$C$32-D422))+'계산 과정'!$D$47*(E422-'계산 과정'!$D$50+P422*('계산 과정'!$D$32-E422))+'계산 과정'!$E$47*(0-'계산 과정'!$E$50+P422*('계산 과정'!$E$32-0)),"")</x:f>
      </x:c>
      <x:c r="R422" s="4" t="str">
        <x:f>IF(AND(ISNUMBER(P422),P422&gt;1E-9,P422&lt;1-1E-9),'계산 과정'!$C$48*(D422-'계산 과정'!$C$50+P422*('계산 과정'!$C$32-D422))+'계산 과정'!$D$48*(E422-'계산 과정'!$D$50+P422*('계산 과정'!$D$32-E422))+'계산 과정'!$E$48*(0-'계산 과정'!$E$50+P422*('계산 과정'!$E$32-0)),"")</x:f>
      </x:c>
      <x:c r="S422" s="17" t="n">
        <x:f>IF('계산 과정'!$C$78,IF(AND(ISNUMBER(Q422),ISNUMBER(R422),ABS(Q422-'계산 과정'!$C$88)&lt;='계산 과정'!$D$23/2,ABS(R422-'계산 과정'!$C$89)&lt;='계산 과정'!$D$24/2),1,0),"")</x:f>
        <x:v>0</x:v>
      </x:c>
      <x:c r="T422" s="4"/>
      <x:c r="U422" s="4"/>
      <x:c r="V422" s="4"/>
      <x:c r="W422" s="4" t="n">
        <x:f>IF('계산 과정'!$C$78,'계산 과정'!$C$88+-1*'계산 과정'!$D$23/2,"")</x:f>
        <x:v>-231.27659574468098</x:v>
      </x:c>
      <x:c r="X422" s="4" t="str">
        <x:f>""</x:f>
      </x:c>
      <x:c r="Y422" s="4" t="n">
        <x:f>IF('계산 과정'!$C$78,'계산 과정'!$C$89+0*'계산 과정'!$D$24/2,"")</x:f>
        <x:v>0</x:v>
      </x:c>
      <x:c r="Z422" s="4" t="str">
        <x:f>""</x:f>
      </x:c>
    </x:row>
    <x:row r="423" ht="23" customHeight="1">
      <x:c r="A423" s="17" t="n">
        <x:f>ROW()-6</x:f>
        <x:v>417</x:v>
      </x:c>
      <x:c r="B423" s="4" t="n">
        <x:f>IF('계산 과정'!$L$5,'계산 과정'!$L$11*SQRT((A423+0.5)/'계산 과정'!$L$30),"")</x:f>
        <x:v>67.72585910999949</x:v>
      </x:c>
      <x:c r="C423" s="4" t="n">
        <x:f>A423*PI()*(3-SQRT(5))</x:f>
        <x:v>1000.7846667968482</x:v>
      </x:c>
      <x:c r="D423" s="4" t="n">
        <x:f>IF('계산 과정'!$L$5,B423*COS(C423),"")</x:f>
        <x:v>-12.618110526921464</x:v>
      </x:c>
      <x:c r="E423" s="4" t="n">
        <x:f>IF('계산 과정'!$L$5,B423*SIN(C423),"")</x:f>
        <x:v>66.54002764440284</x:v>
      </x:c>
      <x:c r="F423" s="4" t="n">
        <x:f>IF('계산 과정'!$L$7,'계산 과정'!$L$22+'계산 과정'!$C$49*D423+'계산 과정'!$D$49*E423,"")</x:f>
        <x:v>658.9223515193476</x:v>
      </x:c>
      <x:c r="G423" s="4" t="n">
        <x:f>IF('계산 과정'!$L$7,IF(ABS(F423)&gt;=1E-12*MAX(1,SQRT((D423-'계산 과정'!$C$33)^2+(E423-'계산 과정'!$D$33)^2+'계산 과정'!$E$33^2)),('계산 과정'!$L$23-'계산 과정'!$C$49*D423-'계산 과정'!$D$49*E423)/F423,""),"")</x:f>
        <x:v>0.5935109767924901</x:v>
      </x:c>
      <x:c r="H423" s="4" t="n">
        <x:f>IF(AND(ISNUMBER(G423),G423&gt;0),('계산 과정'!$D$56+'계산 과정'!$D$57*D423+'계산 과정'!$D$58*E423)/F423,"")</x:f>
        <x:v>-14.217865084881554</x:v>
      </x:c>
      <x:c r="I423" s="4" t="n">
        <x:f>IF(AND(ISNUMBER(G423),G423&gt;0),('계산 과정'!$E$56+'계산 과정'!$E$57*D423+'계산 과정'!$E$58*E423)/F423,"")</x:f>
        <x:v>106.03226444743166</x:v>
      </x:c>
      <x:c r="J423" s="4" t="n">
        <x:f>IF('계산 과정'!$L$5,'계산 과정'!$D$6+'계산 과정'!$C$35*D423+'계산 과정'!$D$35*E423,"")</x:f>
        <x:v>658.9223515193476</x:v>
      </x:c>
      <x:c r="K423" s="4" t="n">
        <x:f>IF(AND('계산 과정'!$L$6,J423&gt;0),'계산 과정'!$D$10*('계산 과정'!$C$38*(D423-'계산 과정'!$C$32)+'계산 과정'!$D$38*(E423-'계산 과정'!$D$32)-'계산 과정'!$E$38*'계산 과정'!$E$32)/J423,"")</x:f>
        <x:v>-0.10832659112290585</x:v>
      </x:c>
      <x:c r="L423" s="4" t="n">
        <x:f>IF(AND('계산 과정'!$L$6,J423&gt;0),'계산 과정'!$D$10*('계산 과정'!$C$39*(D423-'계산 과정'!$C$32)+'계산 과정'!$D$39*(E423-'계산 과정'!$D$32)-'계산 과정'!$E$39*'계산 과정'!$E$32)/J423,"")</x:f>
        <x:v>0.8078648719804317</x:v>
      </x:c>
      <x:c r="M423" s="17" t="n">
        <x:f>IF('계산 과정'!$L$6,IF(J423&lt;=0,0,IF(AND(ABS(K423)&lt;='계산 과정'!$D$11/2,ABS(L423)&lt;='계산 과정'!$D$12/2),1,0)),"")</x:f>
        <x:v>1</x:v>
      </x:c>
      <x:c r="N423" s="17" t="n">
        <x:f>IF('계산 과정'!$C$78,IF(AND(ISNUMBER(H423),ISNUMBER(I423),ABS(H423-'계산 과정'!$C$88)&lt;='계산 과정'!$D$23/2,ABS(I423-'계산 과정'!$C$89)&lt;='계산 과정'!$D$24/2),1,0),"")</x:f>
        <x:v>1</x:v>
      </x:c>
      <x:c r="O423" s="4" t="n">
        <x:f>IF('계산 과정'!$L$7,'계산 과정'!$C$49*('계산 과정'!$C$32-D423)+'계산 과정'!$D$49*('계산 과정'!$D$32-E423)+'계산 과정'!$E$49*'계산 과정'!$E$32,"")</x:f>
        <x:v>-8.922351519347387</x:v>
      </x:c>
      <x:c r="P423" s="4" t="n">
        <x:f>IF(AND('계산 과정'!$L$7,O423&lt;&gt;0),('계산 과정'!$L$23-'계산 과정'!$C$49*D423-'계산 과정'!$D$49*E423)/O423,"")</x:f>
        <x:v>-43.831230772810585</x:v>
      </x:c>
      <x:c r="Q423" s="4" t="str">
        <x:f>IF(AND(ISNUMBER(P423),P423&gt;1E-9,P423&lt;1-1E-9),'계산 과정'!$C$47*(D423-'계산 과정'!$C$50+P423*('계산 과정'!$C$32-D423))+'계산 과정'!$D$47*(E423-'계산 과정'!$D$50+P423*('계산 과정'!$D$32-E423))+'계산 과정'!$E$47*(0-'계산 과정'!$E$50+P423*('계산 과정'!$E$32-0)),"")</x:f>
      </x:c>
      <x:c r="R423" s="4" t="str">
        <x:f>IF(AND(ISNUMBER(P423),P423&gt;1E-9,P423&lt;1-1E-9),'계산 과정'!$C$48*(D423-'계산 과정'!$C$50+P423*('계산 과정'!$C$32-D423))+'계산 과정'!$D$48*(E423-'계산 과정'!$D$50+P423*('계산 과정'!$D$32-E423))+'계산 과정'!$E$48*(0-'계산 과정'!$E$50+P423*('계산 과정'!$E$32-0)),"")</x:f>
      </x:c>
      <x:c r="S423" s="17" t="n">
        <x:f>IF('계산 과정'!$C$78,IF(AND(ISNUMBER(Q423),ISNUMBER(R423),ABS(Q423-'계산 과정'!$C$88)&lt;='계산 과정'!$D$23/2,ABS(R423-'계산 과정'!$C$89)&lt;='계산 과정'!$D$24/2),1,0),"")</x:f>
        <x:v>0</x:v>
      </x:c>
      <x:c r="T423" s="4"/>
      <x:c r="U423" s="4"/>
      <x:c r="V423" s="4"/>
      <x:c r="W423" s="4" t="n">
        <x:f>IF('계산 과정'!$C$78,'계산 과정'!$C$88+-1*'계산 과정'!$D$23/2,"")</x:f>
        <x:v>-231.27659574468098</x:v>
      </x:c>
      <x:c r="X423" s="4" t="str">
        <x:f>""</x:f>
      </x:c>
      <x:c r="Y423" s="4" t="n">
        <x:f>IF('계산 과정'!$C$78,'계산 과정'!$C$89+-0.040000000000000036*'계산 과정'!$D$24/2,"")</x:f>
        <x:v>-10.40000000000001</x:v>
      </x:c>
      <x:c r="Z423" s="4" t="str">
        <x:f>""</x:f>
      </x:c>
    </x:row>
    <x:row r="424" ht="23" customHeight="1">
      <x:c r="A424" s="17" t="n">
        <x:f>ROW()-6</x:f>
        <x:v>418</x:v>
      </x:c>
      <x:c r="B424" s="4" t="n">
        <x:f>IF('계산 과정'!$L$5,'계산 과정'!$L$11*SQRT((A424+0.5)/'계산 과정'!$L$30),"")</x:f>
        <x:v>67.80691941323171</x:v>
      </x:c>
      <x:c r="C424" s="4" t="n">
        <x:f>A424*PI()*(3-SQRT(5))</x:f>
        <x:v>1003.184630026577</x:v>
      </x:c>
      <x:c r="D424" s="4" t="n">
        <x:f>IF('계산 과정'!$L$5,B424*COS(C424),"")</x:f>
        <x:v>-35.68560147767721</x:v>
      </x:c>
      <x:c r="E424" s="4" t="n">
        <x:f>IF('계산 과정'!$L$5,B424*SIN(C424),"")</x:f>
        <x:v>-57.6568830885689</x:v>
      </x:c>
      <x:c r="F424" s="4" t="n">
        <x:f>IF('계산 과정'!$L$7,'계산 과정'!$L$22+'계산 과정'!$C$49*D424+'계산 과정'!$D$49*E424,"")</x:f>
        <x:v>675.2335307955863</x:v>
      </x:c>
      <x:c r="G424" s="4" t="n">
        <x:f>IF('계산 과정'!$L$7,IF(ABS(F424)&gt;=1E-12*MAX(1,SQRT((D424-'계산 과정'!$C$33)^2+(E424-'계산 과정'!$D$33)^2+'계산 과정'!$E$33^2)),('계산 과정'!$L$23-'계산 과정'!$C$49*D424-'계산 과정'!$D$49*E424)/F424,""),"")</x:f>
        <x:v>0.5550175637202871</x:v>
      </x:c>
      <x:c r="H424" s="4" t="n">
        <x:f>IF(AND(ISNUMBER(G424),G424&gt;0),('계산 과정'!$D$56+'계산 과정'!$D$57*D424+'계산 과정'!$D$58*E424)/F424,"")</x:f>
        <x:v>-39.238583581813465</x:v>
      </x:c>
      <x:c r="I424" s="4" t="n">
        <x:f>IF(AND(ISNUMBER(G424),G424&gt;0),('계산 과정'!$E$56+'계산 과정'!$E$57*D424+'계산 과정'!$E$58*E424)/F424,"")</x:f>
        <x:v>-89.65746587209182</x:v>
      </x:c>
      <x:c r="J424" s="4" t="n">
        <x:f>IF('계산 과정'!$L$5,'계산 과정'!$D$6+'계산 과정'!$C$35*D424+'계산 과정'!$D$35*E424,"")</x:f>
        <x:v>675.2335307955863</x:v>
      </x:c>
      <x:c r="K424" s="4" t="n">
        <x:f>IF(AND('계산 과정'!$L$6,J424&gt;0),'계산 과정'!$D$10*('계산 과정'!$C$38*(D424-'계산 과정'!$C$32)+'계산 과정'!$D$38*(E424-'계산 과정'!$D$32)-'계산 과정'!$E$38*'계산 과정'!$E$32)/J424,"")</x:f>
        <x:v>-0.29896063681381563</x:v>
      </x:c>
      <x:c r="L424" s="4" t="n">
        <x:f>IF(AND('계산 과정'!$L$6,J424&gt;0),'계산 과정'!$D$10*('계산 과정'!$C$39*(D424-'계산 과정'!$C$32)+'계산 과정'!$D$39*(E424-'계산 과정'!$D$32)-'계산 과정'!$E$39*'계산 과정'!$E$32)/J424,"")</x:f>
        <x:v>-0.6831045018826044</x:v>
      </x:c>
      <x:c r="M424" s="17" t="n">
        <x:f>IF('계산 과정'!$L$6,IF(J424&lt;=0,0,IF(AND(ABS(K424)&lt;='계산 과정'!$D$11/2,ABS(L424)&lt;='계산 과정'!$D$12/2),1,0)),"")</x:f>
        <x:v>1</x:v>
      </x:c>
      <x:c r="N424" s="17" t="n">
        <x:f>IF('계산 과정'!$C$78,IF(AND(ISNUMBER(H424),ISNUMBER(I424),ABS(H424-'계산 과정'!$C$88)&lt;='계산 과정'!$D$23/2,ABS(I424-'계산 과정'!$C$89)&lt;='계산 과정'!$D$24/2),1,0),"")</x:f>
        <x:v>1</x:v>
      </x:c>
      <x:c r="O424" s="4" t="n">
        <x:f>IF('계산 과정'!$L$7,'계산 과정'!$C$49*('계산 과정'!$C$32-D424)+'계산 과정'!$D$49*('계산 과정'!$D$32-E424)+'계산 과정'!$E$49*'계산 과정'!$E$32,"")</x:f>
        <x:v>-25.233530795586148</x:v>
      </x:c>
      <x:c r="P424" s="4" t="n">
        <x:f>IF(AND('계산 과정'!$L$7,O424&lt;&gt;0),('계산 과정'!$L$23-'계산 과정'!$C$49*D424-'계산 과정'!$D$49*E424)/O424,"")</x:f>
        <x:v>-14.851923507667342</x:v>
      </x:c>
      <x:c r="Q424" s="4" t="str">
        <x:f>IF(AND(ISNUMBER(P424),P424&gt;1E-9,P424&lt;1-1E-9),'계산 과정'!$C$47*(D424-'계산 과정'!$C$50+P424*('계산 과정'!$C$32-D424))+'계산 과정'!$D$47*(E424-'계산 과정'!$D$50+P424*('계산 과정'!$D$32-E424))+'계산 과정'!$E$47*(0-'계산 과정'!$E$50+P424*('계산 과정'!$E$32-0)),"")</x:f>
      </x:c>
      <x:c r="R424" s="4" t="str">
        <x:f>IF(AND(ISNUMBER(P424),P424&gt;1E-9,P424&lt;1-1E-9),'계산 과정'!$C$48*(D424-'계산 과정'!$C$50+P424*('계산 과정'!$C$32-D424))+'계산 과정'!$D$48*(E424-'계산 과정'!$D$50+P424*('계산 과정'!$D$32-E424))+'계산 과정'!$E$48*(0-'계산 과정'!$E$50+P424*('계산 과정'!$E$32-0)),"")</x:f>
      </x:c>
      <x:c r="S424" s="17" t="n">
        <x:f>IF('계산 과정'!$C$78,IF(AND(ISNUMBER(Q424),ISNUMBER(R424),ABS(Q424-'계산 과정'!$C$88)&lt;='계산 과정'!$D$23/2,ABS(R424-'계산 과정'!$C$89)&lt;='계산 과정'!$D$24/2),1,0),"")</x:f>
        <x:v>0</x:v>
      </x:c>
      <x:c r="T424" s="4"/>
      <x:c r="U424" s="4"/>
      <x:c r="V424" s="4"/>
      <x:c r="W424" s="4" t="n">
        <x:f>IF('계산 과정'!$C$78,'계산 과정'!$C$88+-1*'계산 과정'!$D$23/2,"")</x:f>
        <x:v>-231.27659574468098</x:v>
      </x:c>
      <x:c r="X424" s="4" t="str">
        <x:f>""</x:f>
      </x:c>
      <x:c r="Y424" s="4" t="n">
        <x:f>IF('계산 과정'!$C$78,'계산 과정'!$C$89+-0.08000000000000007*'계산 과정'!$D$24/2,"")</x:f>
        <x:v>-20.80000000000002</x:v>
      </x:c>
      <x:c r="Z424" s="4" t="str">
        <x:f>""</x:f>
      </x:c>
    </x:row>
    <x:row r="425" ht="23" customHeight="1">
      <x:c r="A425" s="17" t="n">
        <x:f>ROW()-6</x:f>
        <x:v>419</x:v>
      </x:c>
      <x:c r="B425" s="4" t="n">
        <x:f>IF('계산 과정'!$L$5,'계산 과정'!$L$11*SQRT((A425+0.5)/'계산 과정'!$L$30),"")</x:f>
        <x:v>67.88788292793862</x:v>
      </x:c>
      <x:c r="C425" s="4" t="n">
        <x:f>A425*PI()*(3-SQRT(5))</x:f>
        <x:v>1005.5845932563055</x:v>
      </x:c>
      <x:c r="D425" s="4" t="n">
        <x:f>IF('계산 과정'!$L$5,B425*COS(C425),"")</x:f>
        <x:v>65.33803940418444</x:v>
      </x:c>
      <x:c r="E425" s="4" t="n">
        <x:f>IF('계산 과정'!$L$5,B425*SIN(C425),"")</x:f>
        <x:v>18.431094792625334</x:v>
      </x:c>
      <x:c r="F425" s="4" t="n">
        <x:f>IF('계산 과정'!$L$7,'계산 과정'!$L$22+'계산 과정'!$C$49*D425+'계산 과정'!$D$49*E425,"")</x:f>
        <x:v>603.7990292678674</x:v>
      </x:c>
      <x:c r="G425" s="4" t="n">
        <x:f>IF('계산 과정'!$L$7,IF(ABS(F425)&gt;=1E-12*MAX(1,SQRT((D425-'계산 과정'!$C$33)^2+(E425-'계산 과정'!$D$33)^2+'계산 과정'!$E$33^2)),('계산 과정'!$L$23-'계산 과정'!$C$49*D425-'계산 과정'!$D$49*E425)/F425,""),"")</x:f>
        <x:v>0.7389892151253883</x:v>
      </x:c>
      <x:c r="H425" s="4" t="n">
        <x:f>IF(AND(ISNUMBER(G425),G425&gt;0),('계산 과정'!$D$56+'계산 과정'!$D$57*D425+'계산 과정'!$D$58*E425)/F425,"")</x:f>
        <x:v>80.34298983150232</x:v>
      </x:c>
      <x:c r="I425" s="4" t="n">
        <x:f>IF(AND(ISNUMBER(G425),G425&gt;0),('계산 과정'!$E$56+'계산 과정'!$E$57*D425+'계산 과정'!$E$58*E425)/F425,"")</x:f>
        <x:v>32.05147506732916</x:v>
      </x:c>
      <x:c r="J425" s="4" t="n">
        <x:f>IF('계산 과정'!$L$5,'계산 과정'!$D$6+'계산 과정'!$C$35*D425+'계산 과정'!$D$35*E425,"")</x:f>
        <x:v>603.7990292678674</x:v>
      </x:c>
      <x:c r="K425" s="4" t="n">
        <x:f>IF(AND('계산 과정'!$L$6,J425&gt;0),'계산 과정'!$D$10*('계산 과정'!$C$38*(D425-'계산 과정'!$C$32)+'계산 과정'!$D$38*(E425-'계산 과정'!$D$32)-'계산 과정'!$E$38*'계산 과정'!$E$32)/J425,"")</x:f>
        <x:v>0.6121370653828753</x:v>
      </x:c>
      <x:c r="L425" s="4" t="n">
        <x:f>IF(AND('계산 과정'!$L$6,J425&gt;0),'계산 과정'!$D$10*('계산 과정'!$C$39*(D425-'계산 과정'!$C$32)+'계산 과정'!$D$39*(E425-'계산 과정'!$D$32)-'계산 과정'!$E$39*'계산 과정'!$E$32)/J425,"")</x:f>
        <x:v>0.24420171479869837</x:v>
      </x:c>
      <x:c r="M425" s="17" t="n">
        <x:f>IF('계산 과정'!$L$6,IF(J425&lt;=0,0,IF(AND(ABS(K425)&lt;='계산 과정'!$D$11/2,ABS(L425)&lt;='계산 과정'!$D$12/2),1,0)),"")</x:f>
        <x:v>1</x:v>
      </x:c>
      <x:c r="N425" s="17" t="n">
        <x:f>IF('계산 과정'!$C$78,IF(AND(ISNUMBER(H425),ISNUMBER(I425),ABS(H425-'계산 과정'!$C$88)&lt;='계산 과정'!$D$23/2,ABS(I425-'계산 과정'!$C$89)&lt;='계산 과정'!$D$24/2),1,0),"")</x:f>
        <x:v>1</x:v>
      </x:c>
      <x:c r="O425" s="4" t="n">
        <x:f>IF('계산 과정'!$L$7,'계산 과정'!$C$49*('계산 과정'!$C$32-D425)+'계산 과정'!$D$49*('계산 과정'!$D$32-E425)+'계산 과정'!$E$49*'계산 과정'!$E$32,"")</x:f>
        <x:v>46.20097073213276</x:v>
      </x:c>
      <x:c r="P425" s="4" t="n">
        <x:f>IF(AND('계산 과정'!$L$7,O425&lt;&gt;0),('계산 과정'!$L$23-'계산 과정'!$C$49*D425-'계산 과정'!$D$49*E425)/O425,"")</x:f>
        <x:v>9.657826743925968</x:v>
      </x:c>
      <x:c r="Q425" s="4" t="str">
        <x:f>IF(AND(ISNUMBER(P425),P425&gt;1E-9,P425&lt;1-1E-9),'계산 과정'!$C$47*(D425-'계산 과정'!$C$50+P425*('계산 과정'!$C$32-D425))+'계산 과정'!$D$47*(E425-'계산 과정'!$D$50+P425*('계산 과정'!$D$32-E425))+'계산 과정'!$E$47*(0-'계산 과정'!$E$50+P425*('계산 과정'!$E$32-0)),"")</x:f>
      </x:c>
      <x:c r="R425" s="4" t="str">
        <x:f>IF(AND(ISNUMBER(P425),P425&gt;1E-9,P425&lt;1-1E-9),'계산 과정'!$C$48*(D425-'계산 과정'!$C$50+P425*('계산 과정'!$C$32-D425))+'계산 과정'!$D$48*(E425-'계산 과정'!$D$50+P425*('계산 과정'!$D$32-E425))+'계산 과정'!$E$48*(0-'계산 과정'!$E$50+P425*('계산 과정'!$E$32-0)),"")</x:f>
      </x:c>
      <x:c r="S425" s="17" t="n">
        <x:f>IF('계산 과정'!$C$78,IF(AND(ISNUMBER(Q425),ISNUMBER(R425),ABS(Q425-'계산 과정'!$C$88)&lt;='계산 과정'!$D$23/2,ABS(R425-'계산 과정'!$C$89)&lt;='계산 과정'!$D$24/2),1,0),"")</x:f>
        <x:v>0</x:v>
      </x:c>
      <x:c r="T425" s="4"/>
      <x:c r="U425" s="4"/>
      <x:c r="V425" s="4"/>
      <x:c r="W425" s="4" t="n">
        <x:f>IF('계산 과정'!$C$78,'계산 과정'!$C$88+-1*'계산 과정'!$D$23/2,"")</x:f>
        <x:v>-231.27659574468098</x:v>
      </x:c>
      <x:c r="X425" s="4" t="str">
        <x:f>""</x:f>
      </x:c>
      <x:c r="Y425" s="4" t="n">
        <x:f>IF('계산 과정'!$C$78,'계산 과정'!$C$89+-0.1200000000000001*'계산 과정'!$D$24/2,"")</x:f>
        <x:v>-31.200000000000028</x:v>
      </x:c>
      <x:c r="Z425" s="4" t="str">
        <x:f>""</x:f>
      </x:c>
    </x:row>
    <x:row r="426" ht="23" customHeight="1">
      <x:c r="A426" s="17" t="n">
        <x:f>ROW()-6</x:f>
        <x:v>420</x:v>
      </x:c>
      <x:c r="B426" s="4" t="n">
        <x:f>IF('계산 과정'!$L$5,'계산 과정'!$L$11*SQRT((A426+0.5)/'계산 과정'!$L$30),"")</x:f>
        <x:v>67.96875</x:v>
      </x:c>
      <x:c r="C426" s="4" t="n">
        <x:f>A426*PI()*(3-SQRT(5))</x:f>
        <x:v>1007.9845564860343</x:v>
      </x:c>
      <x:c r="D426" s="4" t="n">
        <x:f>IF('계산 과정'!$L$5,B426*COS(C426),"")</x:f>
        <x:v>-60.70048197265613</x:v>
      </x:c>
      <x:c r="E426" s="4" t="n">
        <x:f>IF('계산 과정'!$L$5,B426*SIN(C426),"")</x:f>
        <x:v>30.581080177942507</x:v>
      </x:c>
      <x:c r="F426" s="4" t="n">
        <x:f>IF('계산 과정'!$L$7,'계산 과정'!$L$22+'계산 과정'!$C$49*D426+'계산 과정'!$D$49*E426,"")</x:f>
        <x:v>692.9217224241569</x:v>
      </x:c>
      <x:c r="G426" s="4" t="n">
        <x:f>IF('계산 과정'!$L$7,IF(ABS(F426)&gt;=1E-12*MAX(1,SQRT((D426-'계산 과정'!$C$33)^2+(E426-'계산 과정'!$D$33)^2+'계산 과정'!$E$33^2)),('계산 과정'!$L$23-'계산 과정'!$C$49*D426-'계산 과정'!$D$49*E426)/F426,""),"")</x:f>
        <x:v>0.515322677901654</x:v>
      </x:c>
      <x:c r="H426" s="4" t="n">
        <x:f>IF(AND(ISNUMBER(G426),G426&gt;0),('계산 과정'!$D$56+'계산 과정'!$D$57*D426+'계산 과정'!$D$58*E426)/F426,"")</x:f>
        <x:v>-65.04025936392507</x:v>
      </x:c>
      <x:c r="I426" s="4" t="n">
        <x:f>IF(AND(ISNUMBER(G426),G426&gt;0),('계산 과정'!$E$56+'계산 과정'!$E$57*D426+'계산 과정'!$E$58*E426)/F426,"")</x:f>
        <x:v>46.34020430836503</x:v>
      </x:c>
      <x:c r="J426" s="4" t="n">
        <x:f>IF('계산 과정'!$L$5,'계산 과정'!$D$6+'계산 과정'!$C$35*D426+'계산 과정'!$D$35*E426,"")</x:f>
        <x:v>692.9217224241569</x:v>
      </x:c>
      <x:c r="K426" s="4" t="n">
        <x:f>IF(AND('계산 과정'!$L$6,J426&gt;0),'계산 과정'!$D$10*('계산 과정'!$C$38*(D426-'계산 과정'!$C$32)+'계산 과정'!$D$38*(E426-'계산 과정'!$D$32)-'계산 과정'!$E$38*'계산 과정'!$E$32)/J426,"")</x:f>
        <x:v>-0.49554483324895215</x:v>
      </x:c>
      <x:c r="L426" s="4" t="n">
        <x:f>IF(AND('계산 과정'!$L$6,J426&gt;0),'계산 과정'!$D$10*('계산 과정'!$C$39*(D426-'계산 과정'!$C$32)+'계산 과정'!$D$39*(E426-'계산 과정'!$D$32)-'계산 과정'!$E$39*'계산 과정'!$E$32)/J426,"")</x:f>
        <x:v>0.3530682233018288</x:v>
      </x:c>
      <x:c r="M426" s="17" t="n">
        <x:f>IF('계산 과정'!$L$6,IF(J426&lt;=0,0,IF(AND(ABS(K426)&lt;='계산 과정'!$D$11/2,ABS(L426)&lt;='계산 과정'!$D$12/2),1,0)),"")</x:f>
        <x:v>1</x:v>
      </x:c>
      <x:c r="N426" s="17" t="n">
        <x:f>IF('계산 과정'!$C$78,IF(AND(ISNUMBER(H426),ISNUMBER(I426),ABS(H426-'계산 과정'!$C$88)&lt;='계산 과정'!$D$23/2,ABS(I426-'계산 과정'!$C$89)&lt;='계산 과정'!$D$24/2),1,0),"")</x:f>
        <x:v>1</x:v>
      </x:c>
      <x:c r="O426" s="4" t="n">
        <x:f>IF('계산 과정'!$L$7,'계산 과정'!$C$49*('계산 과정'!$C$32-D426)+'계산 과정'!$D$49*('계산 과정'!$D$32-E426)+'계산 과정'!$E$49*'계산 과정'!$E$32,"")</x:f>
        <x:v>-42.921722424156826</x:v>
      </x:c>
      <x:c r="P426" s="4" t="n">
        <x:f>IF(AND('계산 과정'!$L$7,O426&lt;&gt;0),('계산 과정'!$L$23-'계산 과정'!$C$49*D426-'계산 과정'!$D$49*E426)/O426,"")</x:f>
        <x:v>-8.31929049927585</x:v>
      </x:c>
      <x:c r="Q426" s="4" t="str">
        <x:f>IF(AND(ISNUMBER(P426),P426&gt;1E-9,P426&lt;1-1E-9),'계산 과정'!$C$47*(D426-'계산 과정'!$C$50+P426*('계산 과정'!$C$32-D426))+'계산 과정'!$D$47*(E426-'계산 과정'!$D$50+P426*('계산 과정'!$D$32-E426))+'계산 과정'!$E$47*(0-'계산 과정'!$E$50+P426*('계산 과정'!$E$32-0)),"")</x:f>
      </x:c>
      <x:c r="R426" s="4" t="str">
        <x:f>IF(AND(ISNUMBER(P426),P426&gt;1E-9,P426&lt;1-1E-9),'계산 과정'!$C$48*(D426-'계산 과정'!$C$50+P426*('계산 과정'!$C$32-D426))+'계산 과정'!$D$48*(E426-'계산 과정'!$D$50+P426*('계산 과정'!$D$32-E426))+'계산 과정'!$E$48*(0-'계산 과정'!$E$50+P426*('계산 과정'!$E$32-0)),"")</x:f>
      </x:c>
      <x:c r="S426" s="17" t="n">
        <x:f>IF('계산 과정'!$C$78,IF(AND(ISNUMBER(Q426),ISNUMBER(R426),ABS(Q426-'계산 과정'!$C$88)&lt;='계산 과정'!$D$23/2,ABS(R426-'계산 과정'!$C$89)&lt;='계산 과정'!$D$24/2),1,0),"")</x:f>
        <x:v>0</x:v>
      </x:c>
      <x:c r="T426" s="4"/>
      <x:c r="U426" s="4"/>
      <x:c r="V426" s="4"/>
      <x:c r="W426" s="4" t="n">
        <x:f>IF('계산 과정'!$C$78,'계산 과정'!$C$88+-1*'계산 과정'!$D$23/2,"")</x:f>
        <x:v>-231.27659574468098</x:v>
      </x:c>
      <x:c r="X426" s="4" t="str">
        <x:f>""</x:f>
      </x:c>
      <x:c r="Y426" s="4" t="n">
        <x:f>IF('계산 과정'!$C$78,'계산 과정'!$C$89+-0.15999999999999992*'계산 과정'!$D$24/2,"")</x:f>
        <x:v>-41.59999999999998</x:v>
      </x:c>
      <x:c r="Z426" s="4" t="str">
        <x:f>""</x:f>
      </x:c>
    </x:row>
    <x:row r="427" ht="23" customHeight="1">
      <x:c r="A427" s="17" t="n">
        <x:f>ROW()-6</x:f>
        <x:v>421</x:v>
      </x:c>
      <x:c r="B427" s="4" t="n">
        <x:f>IF('계산 과정'!$L$5,'계산 과정'!$L$11*SQRT((A427+0.5)/'계산 과정'!$L$30),"")</x:f>
        <x:v>68.0495209732405</x:v>
      </x:c>
      <x:c r="C427" s="4" t="n">
        <x:f>A427*PI()*(3-SQRT(5))</x:f>
        <x:v>1010.3845197157628</x:v>
      </x:c>
      <x:c r="D427" s="4" t="n">
        <x:f>IF('계산 과정'!$L$5,B427*COS(C427),"")</x:f>
        <x:v>24.13006447893137</x:v>
      </x:c>
      <x:c r="E427" s="4" t="n">
        <x:f>IF('계산 과정'!$L$5,B427*SIN(C427),"")</x:f>
        <x:v>-63.627645665466154</x:v>
      </x:c>
      <x:c r="F427" s="4" t="n">
        <x:f>IF('계산 과정'!$L$7,'계산 과정'!$L$22+'계산 과정'!$C$49*D427+'계산 과정'!$D$49*E427,"")</x:f>
        <x:v>632.937467776479</x:v>
      </x:c>
      <x:c r="G427" s="4" t="n">
        <x:f>IF('계산 과정'!$L$7,IF(ABS(F427)&gt;=1E-12*MAX(1,SQRT((D427-'계산 과정'!$C$33)^2+(E427-'계산 과정'!$D$33)^2+'계산 과정'!$E$33^2)),('계산 과정'!$L$23-'계산 과정'!$C$49*D427-'계산 과정'!$D$49*E427)/F427,""),"")</x:f>
        <x:v>0.6589316535307499</x:v>
      </x:c>
      <x:c r="H427" s="4" t="n">
        <x:f>IF(AND(ISNUMBER(G427),G427&gt;0),('계산 과정'!$D$56+'계산 과정'!$D$57*D427+'계산 과정'!$D$58*E427)/F427,"")</x:f>
        <x:v>28.3055747949873</x:v>
      </x:c>
      <x:c r="I427" s="4" t="n">
        <x:f>IF(AND(ISNUMBER(G427),G427&gt;0),('계산 과정'!$E$56+'계산 과정'!$E$57*D427+'계산 과정'!$E$58*E427)/F427,"")</x:f>
        <x:v>-105.55391543408041</x:v>
      </x:c>
      <x:c r="J427" s="4" t="n">
        <x:f>IF('계산 과정'!$L$5,'계산 과정'!$D$6+'계산 과정'!$C$35*D427+'계산 과정'!$D$35*E427,"")</x:f>
        <x:v>632.937467776479</x:v>
      </x:c>
      <x:c r="K427" s="4" t="n">
        <x:f>IF(AND('계산 과정'!$L$6,J427&gt;0),'계산 과정'!$D$10*('계산 과정'!$C$38*(D427-'계산 과정'!$C$32)+'계산 과정'!$D$38*(E427-'계산 과정'!$D$32)-'계산 과정'!$E$38*'계산 과정'!$E$32)/J427,"")</x:f>
        <x:v>0.21566152224752339</x:v>
      </x:c>
      <x:c r="L427" s="4" t="n">
        <x:f>IF(AND('계산 과정'!$L$6,J427&gt;0),'계산 과정'!$D$10*('계산 과정'!$C$39*(D427-'계산 과정'!$C$32)+'계산 과정'!$D$39*(E427-'계산 과정'!$D$32)-'계산 과정'!$E$39*'계산 과정'!$E$32)/J427,"")</x:f>
        <x:v>-0.8042203080691841</x:v>
      </x:c>
      <x:c r="M427" s="17" t="n">
        <x:f>IF('계산 과정'!$L$6,IF(J427&lt;=0,0,IF(AND(ABS(K427)&lt;='계산 과정'!$D$11/2,ABS(L427)&lt;='계산 과정'!$D$12/2),1,0)),"")</x:f>
        <x:v>1</x:v>
      </x:c>
      <x:c r="N427" s="17" t="n">
        <x:f>IF('계산 과정'!$C$78,IF(AND(ISNUMBER(H427),ISNUMBER(I427),ABS(H427-'계산 과정'!$C$88)&lt;='계산 과정'!$D$23/2,ABS(I427-'계산 과정'!$C$89)&lt;='계산 과정'!$D$24/2),1,0),"")</x:f>
        <x:v>1</x:v>
      </x:c>
      <x:c r="O427" s="4" t="n">
        <x:f>IF('계산 과정'!$L$7,'계산 과정'!$C$49*('계산 과정'!$C$32-D427)+'계산 과정'!$D$49*('계산 과정'!$D$32-E427)+'계산 과정'!$E$49*'계산 과정'!$E$32,"")</x:f>
        <x:v>17.062532223521146</x:v>
      </x:c>
      <x:c r="P427" s="4" t="n">
        <x:f>IF(AND('계산 과정'!$L$7,O427&lt;&gt;0),('계산 과정'!$L$23-'계산 과정'!$C$49*D427-'계산 과정'!$D$49*E427)/O427,"")</x:f>
        <x:v>24.443179169419498</x:v>
      </x:c>
      <x:c r="Q427" s="4" t="str">
        <x:f>IF(AND(ISNUMBER(P427),P427&gt;1E-9,P427&lt;1-1E-9),'계산 과정'!$C$47*(D427-'계산 과정'!$C$50+P427*('계산 과정'!$C$32-D427))+'계산 과정'!$D$47*(E427-'계산 과정'!$D$50+P427*('계산 과정'!$D$32-E427))+'계산 과정'!$E$47*(0-'계산 과정'!$E$50+P427*('계산 과정'!$E$32-0)),"")</x:f>
      </x:c>
      <x:c r="R427" s="4" t="str">
        <x:f>IF(AND(ISNUMBER(P427),P427&gt;1E-9,P427&lt;1-1E-9),'계산 과정'!$C$48*(D427-'계산 과정'!$C$50+P427*('계산 과정'!$C$32-D427))+'계산 과정'!$D$48*(E427-'계산 과정'!$D$50+P427*('계산 과정'!$D$32-E427))+'계산 과정'!$E$48*(0-'계산 과정'!$E$50+P427*('계산 과정'!$E$32-0)),"")</x:f>
      </x:c>
      <x:c r="S427" s="17" t="n">
        <x:f>IF('계산 과정'!$C$78,IF(AND(ISNUMBER(Q427),ISNUMBER(R427),ABS(Q427-'계산 과정'!$C$88)&lt;='계산 과정'!$D$23/2,ABS(R427-'계산 과정'!$C$89)&lt;='계산 과정'!$D$24/2),1,0),"")</x:f>
        <x:v>0</x:v>
      </x:c>
      <x:c r="T427" s="4"/>
      <x:c r="U427" s="4"/>
      <x:c r="V427" s="4"/>
      <x:c r="W427" s="4" t="n">
        <x:f>IF('계산 과정'!$C$78,'계산 과정'!$C$88+-1*'계산 과정'!$D$23/2,"")</x:f>
        <x:v>-231.27659574468098</x:v>
      </x:c>
      <x:c r="X427" s="4" t="str">
        <x:f>""</x:f>
      </x:c>
      <x:c r="Y427" s="4" t="n">
        <x:f>IF('계산 과정'!$C$78,'계산 과정'!$C$89+-0.19999999999999996*'계산 과정'!$D$24/2,"")</x:f>
        <x:v>-51.999999999999986</x:v>
      </x:c>
      <x:c r="Z427" s="4" t="str">
        <x:f>""</x:f>
      </x:c>
    </x:row>
    <x:row r="428" ht="23" customHeight="1">
      <x:c r="A428" s="17" t="n">
        <x:f>ROW()-6</x:f>
        <x:v>422</x:v>
      </x:c>
      <x:c r="B428" s="4" t="n">
        <x:f>IF('계산 과정'!$L$5,'계산 과정'!$L$11*SQRT((A428+0.5)/'계산 과정'!$L$30),"")</x:f>
        <x:v>68.13019618944672</x:v>
      </x:c>
      <x:c r="C428" s="4" t="n">
        <x:f>A428*PI()*(3-SQRT(5))</x:f>
        <x:v>1012.7844829454915</x:v>
      </x:c>
      <x:c r="D428" s="4" t="n">
        <x:f>IF('계산 과정'!$L$5,B428*COS(C428),"")</x:f>
        <x:v>25.216958754930783</x:v>
      </x:c>
      <x:c r="E428" s="4" t="n">
        <x:f>IF('계산 과정'!$L$5,B428*SIN(C428),"")</x:f>
        <x:v>63.29161574777989</x:v>
      </x:c>
      <x:c r="F428" s="4" t="n">
        <x:f>IF('계산 과정'!$L$7,'계산 과정'!$L$22+'계산 과정'!$C$49*D428+'계산 과정'!$D$49*E428,"")</x:f>
        <x:v>632.168917463487</x:v>
      </x:c>
      <x:c r="G428" s="4" t="n">
        <x:f>IF('계산 과정'!$L$7,IF(ABS(F428)&gt;=1E-12*MAX(1,SQRT((D428-'계산 과정'!$C$33)^2+(E428-'계산 과정'!$D$33)^2+'계산 과정'!$E$33^2)),('계산 과정'!$L$23-'계산 과정'!$C$49*D428-'계산 과정'!$D$49*E428)/F428,""),"")</x:f>
        <x:v>0.6609484759437674</x:v>
      </x:c>
      <x:c r="H428" s="4" t="n">
        <x:f>IF(AND(ISNUMBER(G428),G428&gt;0),('계산 과정'!$D$56+'계산 과정'!$D$57*D428+'계산 과정'!$D$58*E428)/F428,"")</x:f>
        <x:v>29.616509363448746</x:v>
      </x:c>
      <x:c r="I428" s="4" t="n">
        <x:f>IF(AND(ISNUMBER(G428),G428&gt;0),('계산 과정'!$E$56+'계산 과정'!$E$57*D428+'계산 과정'!$E$58*E428)/F428,"")</x:f>
        <x:v>105.12411271629355</x:v>
      </x:c>
      <x:c r="J428" s="4" t="n">
        <x:f>IF('계산 과정'!$L$5,'계산 과정'!$D$6+'계산 과정'!$C$35*D428+'계산 과정'!$D$35*E428,"")</x:f>
        <x:v>632.168917463487</x:v>
      </x:c>
      <x:c r="K428" s="4" t="n">
        <x:f>IF(AND('계산 과정'!$L$6,J428&gt;0),'계산 과정'!$D$10*('계산 과정'!$C$38*(D428-'계산 과정'!$C$32)+'계산 과정'!$D$38*(E428-'계산 과정'!$D$32)-'계산 과정'!$E$38*'계산 과정'!$E$32)/J428,"")</x:f>
        <x:v>0.22564959515008615</x:v>
      </x:c>
      <x:c r="L428" s="4" t="n">
        <x:f>IF(AND('계산 과정'!$L$6,J428&gt;0),'계산 과정'!$D$10*('계산 과정'!$C$39*(D428-'계산 과정'!$C$32)+'계산 과정'!$D$39*(E428-'계산 과정'!$D$32)-'계산 과정'!$E$39*'계산 과정'!$E$32)/J428,"")</x:f>
        <x:v>0.80094562069557</x:v>
      </x:c>
      <x:c r="M428" s="17" t="n">
        <x:f>IF('계산 과정'!$L$6,IF(J428&lt;=0,0,IF(AND(ABS(K428)&lt;='계산 과정'!$D$11/2,ABS(L428)&lt;='계산 과정'!$D$12/2),1,0)),"")</x:f>
        <x:v>1</x:v>
      </x:c>
      <x:c r="N428" s="17" t="n">
        <x:f>IF('계산 과정'!$C$78,IF(AND(ISNUMBER(H428),ISNUMBER(I428),ABS(H428-'계산 과정'!$C$88)&lt;='계산 과정'!$D$23/2,ABS(I428-'계산 과정'!$C$89)&lt;='계산 과정'!$D$24/2),1,0),"")</x:f>
        <x:v>1</x:v>
      </x:c>
      <x:c r="O428" s="4" t="n">
        <x:f>IF('계산 과정'!$L$7,'계산 과정'!$C$49*('계산 과정'!$C$32-D428)+'계산 과정'!$D$49*('계산 과정'!$D$32-E428)+'계산 과정'!$E$49*'계산 과정'!$E$32,"")</x:f>
        <x:v>17.831082536513122</x:v>
      </x:c>
      <x:c r="P428" s="4" t="n">
        <x:f>IF(AND('계산 과정'!$L$7,O428&lt;&gt;0),('계산 과정'!$L$23-'계산 과정'!$C$49*D428-'계산 과정'!$D$49*E428)/O428,"")</x:f>
        <x:v>23.432737843084432</x:v>
      </x:c>
      <x:c r="Q428" s="4" t="str">
        <x:f>IF(AND(ISNUMBER(P428),P428&gt;1E-9,P428&lt;1-1E-9),'계산 과정'!$C$47*(D428-'계산 과정'!$C$50+P428*('계산 과정'!$C$32-D428))+'계산 과정'!$D$47*(E428-'계산 과정'!$D$50+P428*('계산 과정'!$D$32-E428))+'계산 과정'!$E$47*(0-'계산 과정'!$E$50+P428*('계산 과정'!$E$32-0)),"")</x:f>
      </x:c>
      <x:c r="R428" s="4" t="str">
        <x:f>IF(AND(ISNUMBER(P428),P428&gt;1E-9,P428&lt;1-1E-9),'계산 과정'!$C$48*(D428-'계산 과정'!$C$50+P428*('계산 과정'!$C$32-D428))+'계산 과정'!$D$48*(E428-'계산 과정'!$D$50+P428*('계산 과정'!$D$32-E428))+'계산 과정'!$E$48*(0-'계산 과정'!$E$50+P428*('계산 과정'!$E$32-0)),"")</x:f>
      </x:c>
      <x:c r="S428" s="17" t="n">
        <x:f>IF('계산 과정'!$C$78,IF(AND(ISNUMBER(Q428),ISNUMBER(R428),ABS(Q428-'계산 과정'!$C$88)&lt;='계산 과정'!$D$23/2,ABS(R428-'계산 과정'!$C$89)&lt;='계산 과정'!$D$24/2),1,0),"")</x:f>
        <x:v>0</x:v>
      </x:c>
      <x:c r="T428" s="4"/>
      <x:c r="U428" s="4"/>
      <x:c r="V428" s="4"/>
      <x:c r="W428" s="4" t="n">
        <x:f>IF('계산 과정'!$C$78,'계산 과정'!$C$88+-1*'계산 과정'!$D$23/2,"")</x:f>
        <x:v>-231.27659574468098</x:v>
      </x:c>
      <x:c r="X428" s="4" t="str">
        <x:f>""</x:f>
      </x:c>
      <x:c r="Y428" s="4" t="n">
        <x:f>IF('계산 과정'!$C$78,'계산 과정'!$C$89+-0.24*'계산 과정'!$D$24/2,"")</x:f>
        <x:v>-62.4</x:v>
      </x:c>
      <x:c r="Z428" s="4" t="str">
        <x:f>""</x:f>
      </x:c>
    </x:row>
    <x:row r="429" ht="23" customHeight="1">
      <x:c r="A429" s="17" t="n">
        <x:f>ROW()-6</x:f>
        <x:v>423</x:v>
      </x:c>
      <x:c r="B429" s="4" t="n">
        <x:f>IF('계산 과정'!$L$5,'계산 과정'!$L$11*SQRT((A429+0.5)/'계산 과정'!$L$30),"")</x:f>
        <x:v>68.21077598838397</x:v>
      </x:c>
      <x:c r="C429" s="4" t="n">
        <x:f>A429*PI()*(3-SQRT(5))</x:f>
        <x:v>1015.1844461752202</x:v>
      </x:c>
      <x:c r="D429" s="4" t="n">
        <x:f>IF('계산 과정'!$L$5,B429*COS(C429),"")</x:f>
        <x:v>-61.419629909631055</x:v>
      </x:c>
      <x:c r="E429" s="4" t="n">
        <x:f>IF('계산 과정'!$L$5,B429*SIN(C429),"")</x:f>
        <x:v>-29.670507624600113</x:v>
      </x:c>
      <x:c r="F429" s="4" t="n">
        <x:f>IF('계산 과정'!$L$7,'계산 과정'!$L$22+'계산 과정'!$C$49*D429+'계산 과정'!$D$49*E429,"")</x:f>
        <x:v>693.4302368070682</x:v>
      </x:c>
      <x:c r="G429" s="4" t="n">
        <x:f>IF('계산 과정'!$L$7,IF(ABS(F429)&gt;=1E-12*MAX(1,SQRT((D429-'계산 과정'!$C$33)^2+(E429-'계산 과정'!$D$33)^2+'계산 과정'!$E$33^2)),('계산 과정'!$L$23-'계산 과정'!$C$49*D429-'계산 과정'!$D$49*E429)/F429,""),"")</x:f>
        <x:v>0.5142114437275966</x:v>
      </x:c>
      <x:c r="H429" s="4" t="n">
        <x:f>IF(AND(ISNUMBER(G429),G429&gt;0),('계산 과정'!$D$56+'계산 과정'!$D$57*D429+'계산 과정'!$D$58*E429)/F429,"")</x:f>
        <x:v>-65.7625615770623</x:v>
      </x:c>
      <x:c r="I429" s="4" t="n">
        <x:f>IF(AND(ISNUMBER(G429),G429&gt;0),('계산 과정'!$E$56+'계산 과정'!$E$57*D429+'계산 과정'!$E$58*E429)/F429,"")</x:f>
        <x:v>-44.9274221863764</x:v>
      </x:c>
      <x:c r="J429" s="4" t="n">
        <x:f>IF('계산 과정'!$L$5,'계산 과정'!$D$6+'계산 과정'!$C$35*D429+'계산 과정'!$D$35*E429,"")</x:f>
        <x:v>693.4302368070682</x:v>
      </x:c>
      <x:c r="K429" s="4" t="n">
        <x:f>IF(AND('계산 과정'!$L$6,J429&gt;0),'계산 과정'!$D$10*('계산 과정'!$C$38*(D429-'계산 과정'!$C$32)+'계산 과정'!$D$38*(E429-'계산 과정'!$D$32)-'계산 과정'!$E$38*'계산 과정'!$E$32)/J429,"")</x:f>
        <x:v>-0.5010480882061876</x:v>
      </x:c>
      <x:c r="L429" s="4" t="n">
        <x:f>IF(AND('계산 과정'!$L$6,J429&gt;0),'계산 과정'!$D$10*('계산 과정'!$C$39*(D429-'계산 과정'!$C$32)+'계산 과정'!$D$39*(E429-'계산 과정'!$D$32)-'계산 과정'!$E$39*'계산 과정'!$E$32)/J429,"")</x:f>
        <x:v>-0.3423041690390583</x:v>
      </x:c>
      <x:c r="M429" s="17" t="n">
        <x:f>IF('계산 과정'!$L$6,IF(J429&lt;=0,0,IF(AND(ABS(K429)&lt;='계산 과정'!$D$11/2,ABS(L429)&lt;='계산 과정'!$D$12/2),1,0)),"")</x:f>
        <x:v>1</x:v>
      </x:c>
      <x:c r="N429" s="17" t="n">
        <x:f>IF('계산 과정'!$C$78,IF(AND(ISNUMBER(H429),ISNUMBER(I429),ABS(H429-'계산 과정'!$C$88)&lt;='계산 과정'!$D$23/2,ABS(I429-'계산 과정'!$C$89)&lt;='계산 과정'!$D$24/2),1,0),"")</x:f>
        <x:v>1</x:v>
      </x:c>
      <x:c r="O429" s="4" t="n">
        <x:f>IF('계산 과정'!$L$7,'계산 과정'!$C$49*('계산 과정'!$C$32-D429)+'계산 과정'!$D$49*('계산 과정'!$D$32-E429)+'계산 과정'!$E$49*'계산 과정'!$E$32,"")</x:f>
        <x:v>-43.43023680706807</x:v>
      </x:c>
      <x:c r="P429" s="4" t="n">
        <x:f>IF(AND('계산 과정'!$L$7,O429&lt;&gt;0),('계산 과정'!$L$23-'계산 과정'!$C$49*D429-'계산 과정'!$D$49*E429)/O429,"")</x:f>
        <x:v>-8.210173128388323</x:v>
      </x:c>
      <x:c r="Q429" s="4" t="str">
        <x:f>IF(AND(ISNUMBER(P429),P429&gt;1E-9,P429&lt;1-1E-9),'계산 과정'!$C$47*(D429-'계산 과정'!$C$50+P429*('계산 과정'!$C$32-D429))+'계산 과정'!$D$47*(E429-'계산 과정'!$D$50+P429*('계산 과정'!$D$32-E429))+'계산 과정'!$E$47*(0-'계산 과정'!$E$50+P429*('계산 과정'!$E$32-0)),"")</x:f>
      </x:c>
      <x:c r="R429" s="4" t="str">
        <x:f>IF(AND(ISNUMBER(P429),P429&gt;1E-9,P429&lt;1-1E-9),'계산 과정'!$C$48*(D429-'계산 과정'!$C$50+P429*('계산 과정'!$C$32-D429))+'계산 과정'!$D$48*(E429-'계산 과정'!$D$50+P429*('계산 과정'!$D$32-E429))+'계산 과정'!$E$48*(0-'계산 과정'!$E$50+P429*('계산 과정'!$E$32-0)),"")</x:f>
      </x:c>
      <x:c r="S429" s="17" t="n">
        <x:f>IF('계산 과정'!$C$78,IF(AND(ISNUMBER(Q429),ISNUMBER(R429),ABS(Q429-'계산 과정'!$C$88)&lt;='계산 과정'!$D$23/2,ABS(R429-'계산 과정'!$C$89)&lt;='계산 과정'!$D$24/2),1,0),"")</x:f>
        <x:v>0</x:v>
      </x:c>
      <x:c r="T429" s="4"/>
      <x:c r="U429" s="4"/>
      <x:c r="V429" s="4"/>
      <x:c r="W429" s="4" t="n">
        <x:f>IF('계산 과정'!$C$78,'계산 과정'!$C$88+-1*'계산 과정'!$D$23/2,"")</x:f>
        <x:v>-231.27659574468098</x:v>
      </x:c>
      <x:c r="X429" s="4" t="str">
        <x:f>""</x:f>
      </x:c>
      <x:c r="Y429" s="4" t="n">
        <x:f>IF('계산 과정'!$C$78,'계산 과정'!$C$89+-0.28*'계산 과정'!$D$24/2,"")</x:f>
        <x:v>-72.80000000000001</x:v>
      </x:c>
      <x:c r="Z429" s="4" t="str">
        <x:f>""</x:f>
      </x:c>
    </x:row>
    <x:row r="430" ht="23" customHeight="1">
      <x:c r="A430" s="17" t="n">
        <x:f>ROW()-6</x:f>
        <x:v>424</x:v>
      </x:c>
      <x:c r="B430" s="4" t="n">
        <x:f>IF('계산 과정'!$L$5,'계산 과정'!$L$11*SQRT((A430+0.5)/'계산 과정'!$L$30),"")</x:f>
        <x:v>68.29126070781312</x:v>
      </x:c>
      <x:c r="C430" s="4" t="n">
        <x:f>A430*PI()*(3-SQRT(5))</x:f>
        <x:v>1017.5844094049488</x:v>
      </x:c>
      <x:c r="D430" s="4" t="n">
        <x:f>IF('계산 과정'!$L$5,B430*COS(C430),"")</x:f>
        <x:v>65.40815035211475</x:v>
      </x:c>
      <x:c r="E430" s="4" t="n">
        <x:f>IF('계산 과정'!$L$5,B430*SIN(C430),"")</x:f>
        <x:v>-19.633393913881807</x:v>
      </x:c>
      <x:c r="F430" s="4" t="n">
        <x:f>IF('계산 과정'!$L$7,'계산 과정'!$L$22+'계산 과정'!$C$49*D430+'계산 과정'!$D$49*E430,"")</x:f>
        <x:v>603.7494533411505</x:v>
      </x:c>
      <x:c r="G430" s="4" t="n">
        <x:f>IF('계산 과정'!$L$7,IF(ABS(F430)&gt;=1E-12*MAX(1,SQRT((D430-'계산 과정'!$C$33)^2+(E430-'계산 과정'!$D$33)^2+'계산 과정'!$E$33^2)),('계산 과정'!$L$23-'계산 과정'!$C$49*D430-'계산 과정'!$D$49*E430)/F430,""),"")</x:f>
        <x:v>0.7391320094607098</x:v>
      </x:c>
      <x:c r="H430" s="4" t="n">
        <x:f>IF(AND(ISNUMBER(G430),G430&gt;0),('계산 과정'!$D$56+'계산 과정'!$D$57*D430+'계산 과정'!$D$58*E430)/F430,"")</x:f>
        <x:v>80.43580614946133</x:v>
      </x:c>
      <x:c r="I430" s="4" t="n">
        <x:f>IF(AND(ISNUMBER(G430),G430&gt;0),('계산 과정'!$E$56+'계산 과정'!$E$57*D430+'계산 과정'!$E$58*E430)/F430,"")</x:f>
        <x:v>-34.145063809982936</x:v>
      </x:c>
      <x:c r="J430" s="4" t="n">
        <x:f>IF('계산 과정'!$L$5,'계산 과정'!$D$6+'계산 과정'!$C$35*D430+'계산 과정'!$D$35*E430,"")</x:f>
        <x:v>603.7494533411505</x:v>
      </x:c>
      <x:c r="K430" s="4" t="n">
        <x:f>IF(AND('계산 과정'!$L$6,J430&gt;0),'계산 과정'!$D$10*('계산 과정'!$C$38*(D430-'계산 과정'!$C$32)+'계산 과정'!$D$38*(E430-'계산 과정'!$D$32)-'계산 과정'!$E$38*'계산 과정'!$E$32)/J430,"")</x:f>
        <x:v>0.6128442373292299</x:v>
      </x:c>
      <x:c r="L430" s="4" t="n">
        <x:f>IF(AND('계산 과정'!$L$6,J430&gt;0),'계산 과정'!$D$10*('계산 과정'!$C$39*(D430-'계산 과정'!$C$32)+'계산 과정'!$D$39*(E430-'계산 과정'!$D$32)-'계산 과정'!$E$39*'계산 과정'!$E$32)/J430,"")</x:f>
        <x:v>-0.2601528671236795</x:v>
      </x:c>
      <x:c r="M430" s="17" t="n">
        <x:f>IF('계산 과정'!$L$6,IF(J430&lt;=0,0,IF(AND(ABS(K430)&lt;='계산 과정'!$D$11/2,ABS(L430)&lt;='계산 과정'!$D$12/2),1,0)),"")</x:f>
        <x:v>1</x:v>
      </x:c>
      <x:c r="N430" s="17" t="n">
        <x:f>IF('계산 과정'!$C$78,IF(AND(ISNUMBER(H430),ISNUMBER(I430),ABS(H430-'계산 과정'!$C$88)&lt;='계산 과정'!$D$23/2,ABS(I430-'계산 과정'!$C$89)&lt;='계산 과정'!$D$24/2),1,0),"")</x:f>
        <x:v>1</x:v>
      </x:c>
      <x:c r="O430" s="4" t="n">
        <x:f>IF('계산 과정'!$L$7,'계산 과정'!$C$49*('계산 과정'!$C$32-D430)+'계산 과정'!$D$49*('계산 과정'!$D$32-E430)+'계산 과정'!$E$49*'계산 과정'!$E$32,"")</x:f>
        <x:v>46.250546658849714</x:v>
      </x:c>
      <x:c r="P430" s="4" t="n">
        <x:f>IF(AND('계산 과정'!$L$7,O430&lt;&gt;0),('계산 과정'!$L$23-'계산 과정'!$C$49*D430-'계산 과정'!$D$49*E430)/O430,"")</x:f>
        <x:v>9.648546425849926</x:v>
      </x:c>
      <x:c r="Q430" s="4" t="str">
        <x:f>IF(AND(ISNUMBER(P430),P430&gt;1E-9,P430&lt;1-1E-9),'계산 과정'!$C$47*(D430-'계산 과정'!$C$50+P430*('계산 과정'!$C$32-D430))+'계산 과정'!$D$47*(E430-'계산 과정'!$D$50+P430*('계산 과정'!$D$32-E430))+'계산 과정'!$E$47*(0-'계산 과정'!$E$50+P430*('계산 과정'!$E$32-0)),"")</x:f>
      </x:c>
      <x:c r="R430" s="4" t="str">
        <x:f>IF(AND(ISNUMBER(P430),P430&gt;1E-9,P430&lt;1-1E-9),'계산 과정'!$C$48*(D430-'계산 과정'!$C$50+P430*('계산 과정'!$C$32-D430))+'계산 과정'!$D$48*(E430-'계산 과정'!$D$50+P430*('계산 과정'!$D$32-E430))+'계산 과정'!$E$48*(0-'계산 과정'!$E$50+P430*('계산 과정'!$E$32-0)),"")</x:f>
      </x:c>
      <x:c r="S430" s="17" t="n">
        <x:f>IF('계산 과정'!$C$78,IF(AND(ISNUMBER(Q430),ISNUMBER(R430),ABS(Q430-'계산 과정'!$C$88)&lt;='계산 과정'!$D$23/2,ABS(R430-'계산 과정'!$C$89)&lt;='계산 과정'!$D$24/2),1,0),"")</x:f>
        <x:v>0</x:v>
      </x:c>
      <x:c r="T430" s="4"/>
      <x:c r="U430" s="4"/>
      <x:c r="V430" s="4"/>
      <x:c r="W430" s="4" t="n">
        <x:f>IF('계산 과정'!$C$78,'계산 과정'!$C$88+-1*'계산 과정'!$D$23/2,"")</x:f>
        <x:v>-231.27659574468098</x:v>
      </x:c>
      <x:c r="X430" s="4" t="str">
        <x:f>""</x:f>
      </x:c>
      <x:c r="Y430" s="4" t="n">
        <x:f>IF('계산 과정'!$C$78,'계산 과정'!$C$89+-0.32000000000000006*'계산 과정'!$D$24/2,"")</x:f>
        <x:v>-83.20000000000002</x:v>
      </x:c>
      <x:c r="Z430" s="4" t="str">
        <x:f>""</x:f>
      </x:c>
    </x:row>
    <x:row r="431" ht="23" customHeight="1">
      <x:c r="A431" s="17" t="n">
        <x:f>ROW()-6</x:f>
        <x:v>425</x:v>
      </x:c>
      <x:c r="B431" s="4" t="n">
        <x:f>IF('계산 과정'!$L$5,'계산 과정'!$L$11*SQRT((A431+0.5)/'계산 과정'!$L$30),"")</x:f>
        <x:v>68.37165068350699</x:v>
      </x:c>
      <x:c r="C431" s="4" t="n">
        <x:f>A431*PI()*(3-SQRT(5))</x:f>
        <x:v>1019.9843726346774</x:v>
      </x:c>
      <x:c r="D431" s="4" t="n">
        <x:f>IF('계산 과정'!$L$5,B431*COS(C431),"")</x:f>
        <x:v>-35.00893018760588</x:v>
      </x:c>
      <x:c r="E431" s="4" t="n">
        <x:f>IF('계산 과정'!$L$5,B431*SIN(C431),"")</x:f>
        <x:v>58.72867633709141</x:v>
      </x:c>
      <x:c r="F431" s="4" t="n">
        <x:f>IF('계산 과정'!$L$7,'계산 과정'!$L$22+'계산 과정'!$C$49*D431+'계산 과정'!$D$49*E431,"")</x:f>
        <x:v>674.7550519377426</x:v>
      </x:c>
      <x:c r="G431" s="4" t="n">
        <x:f>IF('계산 과정'!$L$7,IF(ABS(F431)&gt;=1E-12*MAX(1,SQRT((D431-'계산 과정'!$C$33)^2+(E431-'계산 과정'!$D$33)^2+'계산 과정'!$E$33^2)),('계산 과정'!$L$23-'계산 과정'!$C$49*D431-'계산 과정'!$D$49*E431)/F431,""),"")</x:f>
        <x:v>0.5561202498367956</x:v>
      </x:c>
      <x:c r="H431" s="4" t="n">
        <x:f>IF(AND(ISNUMBER(G431),G431&gt;0),('계산 과정'!$D$56+'계산 과정'!$D$57*D431+'계산 과정'!$D$58*E431)/F431,"")</x:f>
        <x:v>-38.521837606082904</x:v>
      </x:c>
      <x:c r="I431" s="4" t="n">
        <x:f>IF(AND(ISNUMBER(G431),G431&gt;0),('계산 과정'!$E$56+'계산 과정'!$E$57*D431+'계산 과정'!$E$58*E431)/F431,"")</x:f>
        <x:v>91.388882494259</x:v>
      </x:c>
      <x:c r="J431" s="4" t="n">
        <x:f>IF('계산 과정'!$L$5,'계산 과정'!$D$6+'계산 과정'!$C$35*D431+'계산 과정'!$D$35*E431,"")</x:f>
        <x:v>674.7550519377426</x:v>
      </x:c>
      <x:c r="K431" s="4" t="n">
        <x:f>IF(AND('계산 과정'!$L$6,J431&gt;0),'계산 과정'!$D$10*('계산 과정'!$C$38*(D431-'계산 과정'!$C$32)+'계산 과정'!$D$38*(E431-'계산 과정'!$D$32)-'계산 과정'!$E$38*'계산 과정'!$E$32)/J431,"")</x:f>
        <x:v>-0.2934997150939643</x:v>
      </x:c>
      <x:c r="L431" s="4" t="n">
        <x:f>IF(AND('계산 과정'!$L$6,J431&gt;0),'계산 과정'!$D$10*('계산 과정'!$C$39*(D431-'계산 과정'!$C$32)+'계산 과정'!$D$39*(E431-'계산 과정'!$D$32)-'계산 과정'!$E$39*'계산 과정'!$E$32)/J431,"")</x:f>
        <x:v>0.6962962475753066</x:v>
      </x:c>
      <x:c r="M431" s="17" t="n">
        <x:f>IF('계산 과정'!$L$6,IF(J431&lt;=0,0,IF(AND(ABS(K431)&lt;='계산 과정'!$D$11/2,ABS(L431)&lt;='계산 과정'!$D$12/2),1,0)),"")</x:f>
        <x:v>1</x:v>
      </x:c>
      <x:c r="N431" s="17" t="n">
        <x:f>IF('계산 과정'!$C$78,IF(AND(ISNUMBER(H431),ISNUMBER(I431),ABS(H431-'계산 과정'!$C$88)&lt;='계산 과정'!$D$23/2,ABS(I431-'계산 과정'!$C$89)&lt;='계산 과정'!$D$24/2),1,0),"")</x:f>
        <x:v>1</x:v>
      </x:c>
      <x:c r="O431" s="4" t="n">
        <x:f>IF('계산 과정'!$L$7,'계산 과정'!$C$49*('계산 과정'!$C$32-D431)+'계산 과정'!$D$49*('계산 과정'!$D$32-E431)+'계산 과정'!$E$49*'계산 과정'!$E$32,"")</x:f>
        <x:v>-24.75505193774245</x:v>
      </x:c>
      <x:c r="P431" s="4" t="n">
        <x:f>IF(AND('계산 과정'!$L$7,O431&lt;&gt;0),('계산 과정'!$L$23-'계산 과정'!$C$49*D431-'계산 과정'!$D$49*E431)/O431,"")</x:f>
        <x:v>-15.15831794681656</x:v>
      </x:c>
      <x:c r="Q431" s="4" t="str">
        <x:f>IF(AND(ISNUMBER(P431),P431&gt;1E-9,P431&lt;1-1E-9),'계산 과정'!$C$47*(D431-'계산 과정'!$C$50+P431*('계산 과정'!$C$32-D431))+'계산 과정'!$D$47*(E431-'계산 과정'!$D$50+P431*('계산 과정'!$D$32-E431))+'계산 과정'!$E$47*(0-'계산 과정'!$E$50+P431*('계산 과정'!$E$32-0)),"")</x:f>
      </x:c>
      <x:c r="R431" s="4" t="str">
        <x:f>IF(AND(ISNUMBER(P431),P431&gt;1E-9,P431&lt;1-1E-9),'계산 과정'!$C$48*(D431-'계산 과정'!$C$50+P431*('계산 과정'!$C$32-D431))+'계산 과정'!$D$48*(E431-'계산 과정'!$D$50+P431*('계산 과정'!$D$32-E431))+'계산 과정'!$E$48*(0-'계산 과정'!$E$50+P431*('계산 과정'!$E$32-0)),"")</x:f>
      </x:c>
      <x:c r="S431" s="17" t="n">
        <x:f>IF('계산 과정'!$C$78,IF(AND(ISNUMBER(Q431),ISNUMBER(R431),ABS(Q431-'계산 과정'!$C$88)&lt;='계산 과정'!$D$23/2,ABS(R431-'계산 과정'!$C$89)&lt;='계산 과정'!$D$24/2),1,0),"")</x:f>
        <x:v>0</x:v>
      </x:c>
      <x:c r="T431" s="4"/>
      <x:c r="U431" s="4"/>
      <x:c r="V431" s="4"/>
      <x:c r="W431" s="4" t="n">
        <x:f>IF('계산 과정'!$C$78,'계산 과정'!$C$88+-1*'계산 과정'!$D$23/2,"")</x:f>
        <x:v>-231.27659574468098</x:v>
      </x:c>
      <x:c r="X431" s="4" t="str">
        <x:f>""</x:f>
      </x:c>
      <x:c r="Y431" s="4" t="n">
        <x:f>IF('계산 과정'!$C$78,'계산 과정'!$C$89+-0.3600000000000001*'계산 과정'!$D$24/2,"")</x:f>
        <x:v>-93.60000000000002</x:v>
      </x:c>
      <x:c r="Z431" s="4" t="str">
        <x:f>""</x:f>
      </x:c>
    </x:row>
    <x:row r="432" ht="23" customHeight="1">
      <x:c r="A432" s="17" t="n">
        <x:f>ROW()-6</x:f>
        <x:v>426</x:v>
      </x:c>
      <x:c r="B432" s="4" t="n">
        <x:f>IF('계산 과정'!$L$5,'계산 과정'!$L$11*SQRT((A432+0.5)/'계산 과정'!$L$30),"")</x:f>
        <x:v>68.45194624926673</x:v>
      </x:c>
      <x:c r="C432" s="4" t="n">
        <x:f>A432*PI()*(3-SQRT(5))</x:f>
        <x:v>1022.3843358644061</x:v>
      </x:c>
      <x:c r="D432" s="4" t="n">
        <x:f>IF('계산 과정'!$L$5,B432*COS(C432),"")</x:f>
        <x:v>-13.872427933705211</x:v>
      </x:c>
      <x:c r="E432" s="4" t="n">
        <x:f>IF('계산 과정'!$L$5,B432*SIN(C432),"")</x:f>
        <x:v>-67.03152011208351</x:v>
      </x:c>
      <x:c r="F432" s="4" t="n">
        <x:f>IF('계산 과정'!$L$7,'계산 과정'!$L$22+'계산 과정'!$C$49*D432+'계산 과정'!$D$49*E432,"")</x:f>
        <x:v>659.8092878634446</x:v>
      </x:c>
      <x:c r="G432" s="4" t="n">
        <x:f>IF('계산 과정'!$L$7,IF(ABS(F432)&gt;=1E-12*MAX(1,SQRT((D432-'계산 과정'!$C$33)^2+(E432-'계산 과정'!$D$33)^2+'계산 과정'!$E$33^2)),('계산 과정'!$L$23-'계산 과정'!$C$49*D432-'계산 과정'!$D$49*E432)/F432,""),"")</x:f>
        <x:v>0.5913689293463082</x:v>
      </x:c>
      <x:c r="H432" s="4" t="n">
        <x:f>IF(AND(ISNUMBER(G432),G432&gt;0),('계산 과정'!$D$56+'계산 과정'!$D$57*D432+'계산 과정'!$D$58*E432)/F432,"")</x:f>
        <x:v>-15.61019592489975</x:v>
      </x:c>
      <x:c r="I432" s="4" t="n">
        <x:f>IF(AND(ISNUMBER(G432),G432&gt;0),('계산 과정'!$E$56+'계산 과정'!$E$57*D432+'계산 과정'!$E$58*E432)/F432,"")</x:f>
        <x:v>-106.67187839322187</x:v>
      </x:c>
      <x:c r="J432" s="4" t="n">
        <x:f>IF('계산 과정'!$L$5,'계산 과정'!$D$6+'계산 과정'!$C$35*D432+'계산 과정'!$D$35*E432,"")</x:f>
        <x:v>659.8092878634446</x:v>
      </x:c>
      <x:c r="K432" s="4" t="n">
        <x:f>IF(AND('계산 과정'!$L$6,J432&gt;0),'계산 과정'!$D$10*('계산 과정'!$C$38*(D432-'계산 과정'!$C$32)+'계산 과정'!$D$38*(E432-'계산 과정'!$D$32)-'계산 과정'!$E$38*'계산 과정'!$E$32)/J432,"")</x:f>
        <x:v>-0.11893482609447337</x:v>
      </x:c>
      <x:c r="L432" s="4" t="n">
        <x:f>IF(AND('계산 과정'!$L$6,J432&gt;0),'계산 과정'!$D$10*('계산 과정'!$C$39*(D432-'계산 과정'!$C$32)+'계산 과정'!$D$39*(E432-'계산 과정'!$D$32)-'계산 과정'!$E$39*'계산 과정'!$E$32)/J432,"")</x:f>
        <x:v>-0.8127381210912142</x:v>
      </x:c>
      <x:c r="M432" s="17" t="n">
        <x:f>IF('계산 과정'!$L$6,IF(J432&lt;=0,0,IF(AND(ABS(K432)&lt;='계산 과정'!$D$11/2,ABS(L432)&lt;='계산 과정'!$D$12/2),1,0)),"")</x:f>
        <x:v>1</x:v>
      </x:c>
      <x:c r="N432" s="17" t="n">
        <x:f>IF('계산 과정'!$C$78,IF(AND(ISNUMBER(H432),ISNUMBER(I432),ABS(H432-'계산 과정'!$C$88)&lt;='계산 과정'!$D$23/2,ABS(I432-'계산 과정'!$C$89)&lt;='계산 과정'!$D$24/2),1,0),"")</x:f>
        <x:v>1</x:v>
      </x:c>
      <x:c r="O432" s="4" t="n">
        <x:f>IF('계산 과정'!$L$7,'계산 과정'!$C$49*('계산 과정'!$C$32-D432)+'계산 과정'!$D$49*('계산 과정'!$D$32-E432)+'계산 과정'!$E$49*'계산 과정'!$E$32,"")</x:f>
        <x:v>-9.809287863444524</x:v>
      </x:c>
      <x:c r="P432" s="4" t="n">
        <x:f>IF(AND('계산 과정'!$L$7,O432&lt;&gt;0),('계산 과정'!$L$23-'계산 과정'!$C$49*D432-'계산 과정'!$D$49*E432)/O432,"")</x:f>
        <x:v>-39.7776798446957</x:v>
      </x:c>
      <x:c r="Q432" s="4" t="str">
        <x:f>IF(AND(ISNUMBER(P432),P432&gt;1E-9,P432&lt;1-1E-9),'계산 과정'!$C$47*(D432-'계산 과정'!$C$50+P432*('계산 과정'!$C$32-D432))+'계산 과정'!$D$47*(E432-'계산 과정'!$D$50+P432*('계산 과정'!$D$32-E432))+'계산 과정'!$E$47*(0-'계산 과정'!$E$50+P432*('계산 과정'!$E$32-0)),"")</x:f>
      </x:c>
      <x:c r="R432" s="4" t="str">
        <x:f>IF(AND(ISNUMBER(P432),P432&gt;1E-9,P432&lt;1-1E-9),'계산 과정'!$C$48*(D432-'계산 과정'!$C$50+P432*('계산 과정'!$C$32-D432))+'계산 과정'!$D$48*(E432-'계산 과정'!$D$50+P432*('계산 과정'!$D$32-E432))+'계산 과정'!$E$48*(0-'계산 과정'!$E$50+P432*('계산 과정'!$E$32-0)),"")</x:f>
      </x:c>
      <x:c r="S432" s="17" t="n">
        <x:f>IF('계산 과정'!$C$78,IF(AND(ISNUMBER(Q432),ISNUMBER(R432),ABS(Q432-'계산 과정'!$C$88)&lt;='계산 과정'!$D$23/2,ABS(R432-'계산 과정'!$C$89)&lt;='계산 과정'!$D$24/2),1,0),"")</x:f>
        <x:v>0</x:v>
      </x:c>
      <x:c r="T432" s="4"/>
      <x:c r="U432" s="4"/>
      <x:c r="V432" s="4"/>
      <x:c r="W432" s="4" t="n">
        <x:f>IF('계산 과정'!$C$78,'계산 과정'!$C$88+-1*'계산 과정'!$D$23/2,"")</x:f>
        <x:v>-231.27659574468098</x:v>
      </x:c>
      <x:c r="X432" s="4" t="str">
        <x:f>""</x:f>
      </x:c>
      <x:c r="Y432" s="4" t="n">
        <x:f>IF('계산 과정'!$C$78,'계산 과정'!$C$89+-0.3999999999999999*'계산 과정'!$D$24/2,"")</x:f>
        <x:v>-103.99999999999997</x:v>
      </x:c>
      <x:c r="Z432" s="4" t="str">
        <x:f>""</x:f>
      </x:c>
    </x:row>
    <x:row r="433" ht="23" customHeight="1">
      <x:c r="A433" s="17" t="n">
        <x:f>ROW()-6</x:f>
        <x:v>427</x:v>
      </x:c>
      <x:c r="B433" s="4" t="n">
        <x:f>IF('계산 과정'!$L$5,'계산 과정'!$L$11*SQRT((A433+0.5)/'계산 과정'!$L$30),"")</x:f>
        <x:v>68.53214773693803</x:v>
      </x:c>
      <x:c r="C433" s="4" t="n">
        <x:f>A433*PI()*(3-SQRT(5))</x:f>
        <x:v>1024.784299094135</x:v>
      </x:c>
      <x:c r="D433" s="4" t="n">
        <x:f>IF('계산 과정'!$L$5,B433*COS(C433),"")</x:f>
        <x:v>55.57327390321295</x:v>
      </x:c>
      <x:c r="E433" s="4" t="n">
        <x:f>IF('계산 과정'!$L$5,B433*SIN(C433),"")</x:f>
        <x:v>40.103198140746464</x:v>
      </x:c>
      <x:c r="F433" s="4" t="n">
        <x:f>IF('계산 과정'!$L$7,'계산 과정'!$L$22+'계산 과정'!$C$49*D433+'계산 과정'!$D$49*E433,"")</x:f>
        <x:v>610.7037611703007</x:v>
      </x:c>
      <x:c r="G433" s="4" t="n">
        <x:f>IF('계산 과정'!$L$7,IF(ABS(F433)&gt;=1E-12*MAX(1,SQRT((D433-'계산 과정'!$C$33)^2+(E433-'계산 과정'!$D$33)^2+'계산 과정'!$E$33^2)),('계산 과정'!$L$23-'계산 과정'!$C$49*D433-'계산 과정'!$D$49*E433)/F433,""),"")</x:f>
        <x:v>0.7193278750860637</x:v>
      </x:c>
      <x:c r="H433" s="4" t="n">
        <x:f>IF(AND(ISNUMBER(G433),G433&gt;0),('계산 과정'!$D$56+'계산 과정'!$D$57*D433+'계산 과정'!$D$58*E433)/F433,"")</x:f>
        <x:v>67.5631188059412</x:v>
      </x:c>
      <x:c r="I433" s="4" t="n">
        <x:f>IF(AND(ISNUMBER(G433),G433&gt;0),('계산 과정'!$E$56+'계산 과정'!$E$57*D433+'계산 과정'!$E$58*E433)/F433,"")</x:f>
        <x:v>68.950546443485</x:v>
      </x:c>
      <x:c r="J433" s="4" t="n">
        <x:f>IF('계산 과정'!$L$5,'계산 과정'!$D$6+'계산 과정'!$C$35*D433+'계산 과정'!$D$35*E433,"")</x:f>
        <x:v>610.7037611703007</x:v>
      </x:c>
      <x:c r="K433" s="4" t="n">
        <x:f>IF(AND('계산 과정'!$L$6,J433&gt;0),'계산 과정'!$D$10*('계산 과정'!$C$38*(D433-'계산 과정'!$C$32)+'계산 과정'!$D$38*(E433-'계산 과정'!$D$32)-'계산 과정'!$E$38*'계산 과정'!$E$32)/J433,"")</x:f>
        <x:v>0.5147666194738388</x:v>
      </x:c>
      <x:c r="L433" s="4" t="n">
        <x:f>IF(AND('계산 과정'!$L$6,J433&gt;0),'계산 과정'!$D$10*('계산 과정'!$C$39*(D433-'계산 과정'!$C$32)+'계산 과정'!$D$39*(E433-'계산 과정'!$D$32)-'계산 과정'!$E$39*'계산 과정'!$E$32)/J433,"")</x:f>
        <x:v>0.5253374967122666</x:v>
      </x:c>
      <x:c r="M433" s="17" t="n">
        <x:f>IF('계산 과정'!$L$6,IF(J433&lt;=0,0,IF(AND(ABS(K433)&lt;='계산 과정'!$D$11/2,ABS(L433)&lt;='계산 과정'!$D$12/2),1,0)),"")</x:f>
        <x:v>1</x:v>
      </x:c>
      <x:c r="N433" s="17" t="n">
        <x:f>IF('계산 과정'!$C$78,IF(AND(ISNUMBER(H433),ISNUMBER(I433),ABS(H433-'계산 과정'!$C$88)&lt;='계산 과정'!$D$23/2,ABS(I433-'계산 과정'!$C$89)&lt;='계산 과정'!$D$24/2),1,0),"")</x:f>
        <x:v>1</x:v>
      </x:c>
      <x:c r="O433" s="4" t="n">
        <x:f>IF('계산 과정'!$L$7,'계산 과정'!$C$49*('계산 과정'!$C$32-D433)+'계산 과정'!$D$49*('계산 과정'!$D$32-E433)+'계산 과정'!$E$49*'계산 과정'!$E$32,"")</x:f>
        <x:v>39.296238829699405</x:v>
      </x:c>
      <x:c r="P433" s="4" t="n">
        <x:f>IF(AND('계산 과정'!$L$7,O433&lt;&gt;0),('계산 과정'!$L$23-'계산 과정'!$C$49*D433-'계산 과정'!$D$49*E433)/O433,"")</x:f>
        <x:v>11.179091228896109</x:v>
      </x:c>
      <x:c r="Q433" s="4" t="str">
        <x:f>IF(AND(ISNUMBER(P433),P433&gt;1E-9,P433&lt;1-1E-9),'계산 과정'!$C$47*(D433-'계산 과정'!$C$50+P433*('계산 과정'!$C$32-D433))+'계산 과정'!$D$47*(E433-'계산 과정'!$D$50+P433*('계산 과정'!$D$32-E433))+'계산 과정'!$E$47*(0-'계산 과정'!$E$50+P433*('계산 과정'!$E$32-0)),"")</x:f>
      </x:c>
      <x:c r="R433" s="4" t="str">
        <x:f>IF(AND(ISNUMBER(P433),P433&gt;1E-9,P433&lt;1-1E-9),'계산 과정'!$C$48*(D433-'계산 과정'!$C$50+P433*('계산 과정'!$C$32-D433))+'계산 과정'!$D$48*(E433-'계산 과정'!$D$50+P433*('계산 과정'!$D$32-E433))+'계산 과정'!$E$48*(0-'계산 과정'!$E$50+P433*('계산 과정'!$E$32-0)),"")</x:f>
      </x:c>
      <x:c r="S433" s="17" t="n">
        <x:f>IF('계산 과정'!$C$78,IF(AND(ISNUMBER(Q433),ISNUMBER(R433),ABS(Q433-'계산 과정'!$C$88)&lt;='계산 과정'!$D$23/2,ABS(R433-'계산 과정'!$C$89)&lt;='계산 과정'!$D$24/2),1,0),"")</x:f>
        <x:v>0</x:v>
      </x:c>
      <x:c r="T433" s="4"/>
      <x:c r="U433" s="4"/>
      <x:c r="V433" s="4"/>
      <x:c r="W433" s="4" t="n">
        <x:f>IF('계산 과정'!$C$78,'계산 과정'!$C$88+-1*'계산 과정'!$D$23/2,"")</x:f>
        <x:v>-231.27659574468098</x:v>
      </x:c>
      <x:c r="X433" s="4" t="str">
        <x:f>""</x:f>
      </x:c>
      <x:c r="Y433" s="4" t="n">
        <x:f>IF('계산 과정'!$C$78,'계산 과정'!$C$89+-0.43999999999999995*'계산 과정'!$D$24/2,"")</x:f>
        <x:v>-114.39999999999999</x:v>
      </x:c>
      <x:c r="Z433" s="4" t="str">
        <x:f>""</x:f>
      </x:c>
    </x:row>
    <x:row r="434" ht="23" customHeight="1">
      <x:c r="A434" s="17" t="n">
        <x:f>ROW()-6</x:f>
        <x:v>428</x:v>
      </x:c>
      <x:c r="B434" s="4" t="n">
        <x:f>IF('계산 과정'!$L$5,'계산 과정'!$L$11*SQRT((A434+0.5)/'계산 과정'!$L$30),"")</x:f>
        <x:v>68.6122554764271</x:v>
      </x:c>
      <x:c r="C434" s="4" t="n">
        <x:f>A434*PI()*(3-SQRT(5))</x:f>
        <x:v>1027.1842623238633</x:v>
      </x:c>
      <x:c r="D434" s="4" t="n">
        <x:f>IF('계산 과정'!$L$5,B434*COS(C434),"")</x:f>
        <x:v>-68.14688814531932</x:v>
      </x:c>
      <x:c r="E434" s="4" t="n">
        <x:f>IF('계산 과정'!$L$5,B434*SIN(C434),"")</x:f>
        <x:v>7.977671193514854</x:v>
      </x:c>
      <x:c r="F434" s="4" t="n">
        <x:f>IF('계산 과정'!$L$7,'계산 과정'!$L$22+'계산 과정'!$C$49*D434+'계산 과정'!$D$49*E434,"")</x:f>
        <x:v>698.1871267243164</x:v>
      </x:c>
      <x:c r="G434" s="4" t="n">
        <x:f>IF('계산 과정'!$L$7,IF(ABS(F434)&gt;=1E-12*MAX(1,SQRT((D434-'계산 과정'!$C$33)^2+(E434-'계산 과정'!$D$33)^2+'계산 과정'!$E$33^2)),('계산 과정'!$L$23-'계산 과정'!$C$49*D434-'계산 과정'!$D$49*E434)/F434,""),"")</x:f>
        <x:v>0.503894815314461</x:v>
      </x:c>
      <x:c r="H434" s="4" t="n">
        <x:f>IF(AND(ISNUMBER(G434),G434&gt;0),('계산 과정'!$D$56+'계산 과정'!$D$57*D434+'계산 과정'!$D$58*E434)/F434,"")</x:f>
        <x:v>-72.46837004560054</x:v>
      </x:c>
      <x:c r="I434" s="4" t="n">
        <x:f>IF(AND(ISNUMBER(G434),G434&gt;0),('계산 과정'!$E$56+'계산 과정'!$E$57*D434+'계산 과정'!$E$58*E434)/F434,"")</x:f>
        <x:v>11.997578346210517</x:v>
      </x:c>
      <x:c r="J434" s="4" t="n">
        <x:f>IF('계산 과정'!$L$5,'계산 과정'!$D$6+'계산 과정'!$C$35*D434+'계산 과정'!$D$35*E434,"")</x:f>
        <x:v>698.1871267243164</x:v>
      </x:c>
      <x:c r="K434" s="4" t="n">
        <x:f>IF(AND('계산 과정'!$L$6,J434&gt;0),'계산 과정'!$D$10*('계산 과정'!$C$38*(D434-'계산 과정'!$C$32)+'계산 과정'!$D$38*(E434-'계산 과정'!$D$32)-'계산 과정'!$E$38*'계산 과정'!$E$32)/J434,"")</x:f>
        <x:v>-0.552139962252193</x:v>
      </x:c>
      <x:c r="L434" s="4" t="n">
        <x:f>IF(AND('계산 과정'!$L$6,J434&gt;0),'계산 과정'!$D$10*('계산 과정'!$C$39*(D434-'계산 과정'!$C$32)+'계산 과정'!$D$39*(E434-'계산 과정'!$D$32)-'계산 과정'!$E$39*'계산 과정'!$E$32)/J434,"")</x:f>
        <x:v>0.09141012073303251</x:v>
      </x:c>
      <x:c r="M434" s="17" t="n">
        <x:f>IF('계산 과정'!$L$6,IF(J434&lt;=0,0,IF(AND(ABS(K434)&lt;='계산 과정'!$D$11/2,ABS(L434)&lt;='계산 과정'!$D$12/2),1,0)),"")</x:f>
        <x:v>1</x:v>
      </x:c>
      <x:c r="N434" s="17" t="n">
        <x:f>IF('계산 과정'!$C$78,IF(AND(ISNUMBER(H434),ISNUMBER(I434),ABS(H434-'계산 과정'!$C$88)&lt;='계산 과정'!$D$23/2,ABS(I434-'계산 과정'!$C$89)&lt;='계산 과정'!$D$24/2),1,0),"")</x:f>
        <x:v>1</x:v>
      </x:c>
      <x:c r="O434" s="4" t="n">
        <x:f>IF('계산 과정'!$L$7,'계산 과정'!$C$49*('계산 과정'!$C$32-D434)+'계산 과정'!$D$49*('계산 과정'!$D$32-E434)+'계산 과정'!$E$49*'계산 과정'!$E$32,"")</x:f>
        <x:v>-48.18712672431627</x:v>
      </x:c>
      <x:c r="P434" s="4" t="n">
        <x:f>IF(AND('계산 과정'!$L$7,O434&lt;&gt;0),('계산 과정'!$L$23-'계산 과정'!$C$49*D434-'계산 과정'!$D$49*E434)/O434,"")</x:f>
        <x:v>-7.300972213770761</x:v>
      </x:c>
      <x:c r="Q434" s="4" t="str">
        <x:f>IF(AND(ISNUMBER(P434),P434&gt;1E-9,P434&lt;1-1E-9),'계산 과정'!$C$47*(D434-'계산 과정'!$C$50+P434*('계산 과정'!$C$32-D434))+'계산 과정'!$D$47*(E434-'계산 과정'!$D$50+P434*('계산 과정'!$D$32-E434))+'계산 과정'!$E$47*(0-'계산 과정'!$E$50+P434*('계산 과정'!$E$32-0)),"")</x:f>
      </x:c>
      <x:c r="R434" s="4" t="str">
        <x:f>IF(AND(ISNUMBER(P434),P434&gt;1E-9,P434&lt;1-1E-9),'계산 과정'!$C$48*(D434-'계산 과정'!$C$50+P434*('계산 과정'!$C$32-D434))+'계산 과정'!$D$48*(E434-'계산 과정'!$D$50+P434*('계산 과정'!$D$32-E434))+'계산 과정'!$E$48*(0-'계산 과정'!$E$50+P434*('계산 과정'!$E$32-0)),"")</x:f>
      </x:c>
      <x:c r="S434" s="17" t="n">
        <x:f>IF('계산 과정'!$C$78,IF(AND(ISNUMBER(Q434),ISNUMBER(R434),ABS(Q434-'계산 과정'!$C$88)&lt;='계산 과정'!$D$23/2,ABS(R434-'계산 과정'!$C$89)&lt;='계산 과정'!$D$24/2),1,0),"")</x:f>
        <x:v>0</x:v>
      </x:c>
      <x:c r="T434" s="4"/>
      <x:c r="U434" s="4"/>
      <x:c r="V434" s="4"/>
      <x:c r="W434" s="4" t="n">
        <x:f>IF('계산 과정'!$C$78,'계산 과정'!$C$88+-1*'계산 과정'!$D$23/2,"")</x:f>
        <x:v>-231.27659574468098</x:v>
      </x:c>
      <x:c r="X434" s="4" t="str">
        <x:f>""</x:f>
      </x:c>
      <x:c r="Y434" s="4" t="n">
        <x:f>IF('계산 과정'!$C$78,'계산 과정'!$C$89+-0.48*'계산 과정'!$D$24/2,"")</x:f>
        <x:v>-124.8</x:v>
      </x:c>
      <x:c r="Z434" s="4" t="str">
        <x:f>""</x:f>
      </x:c>
    </x:row>
    <x:row r="435" ht="23" customHeight="1">
      <x:c r="A435" s="17" t="n">
        <x:f>ROW()-6</x:f>
        <x:v>429</x:v>
      </x:c>
      <x:c r="B435" s="4" t="n">
        <x:f>IF('계산 과정'!$L$5,'계산 과정'!$L$11*SQRT((A435+0.5)/'계산 과정'!$L$30),"")</x:f>
        <x:v>68.69226979571646</x:v>
      </x:c>
      <x:c r="C435" s="4" t="n">
        <x:f>A435*PI()*(3-SQRT(5))</x:f>
        <x:v>1029.5842255535922</x:v>
      </x:c>
      <x:c r="D435" s="4" t="n">
        <x:f>IF('계산 과정'!$L$5,B435*COS(C435),"")</x:f>
        <x:v>44.91287052803062</x:v>
      </x:c>
      <x:c r="E435" s="4" t="n">
        <x:f>IF('계산 과정'!$L$5,B435*SIN(C435),"")</x:f>
        <x:v>-51.97559033450084</x:v>
      </x:c>
      <x:c r="F435" s="4" t="n">
        <x:f>IF('계산 과정'!$L$7,'계산 과정'!$L$22+'계산 과정'!$C$49*D435+'계산 과정'!$D$49*E435,"")</x:f>
        <x:v>618.2418046870761</x:v>
      </x:c>
      <x:c r="G435" s="4" t="n">
        <x:f>IF('계산 과정'!$L$7,IF(ABS(F435)&gt;=1E-12*MAX(1,SQRT((D435-'계산 과정'!$C$33)^2+(E435-'계산 과정'!$D$33)^2+'계산 과정'!$E$33^2)),('계산 과정'!$L$23-'계산 과정'!$C$49*D435-'계산 과정'!$D$49*E435)/F435,""),"")</x:f>
        <x:v>0.6983646075688118</x:v>
      </x:c>
      <x:c r="H435" s="4" t="n">
        <x:f>IF(AND(ISNUMBER(G435),G435&gt;0),('계산 과정'!$D$56+'계산 과정'!$D$57*D435+'계산 과정'!$D$58*E435)/F435,"")</x:f>
        <x:v>53.93699491972756</x:v>
      </x:c>
      <x:c r="I435" s="4" t="n">
        <x:f>IF(AND(ISNUMBER(G435),G435&gt;0),('계산 과정'!$E$56+'계산 과정'!$E$57*D435+'계산 과정'!$E$58*E435)/F435,"")</x:f>
        <x:v>-88.27350308161186</x:v>
      </x:c>
      <x:c r="J435" s="4" t="n">
        <x:f>IF('계산 과정'!$L$5,'계산 과정'!$D$6+'계산 과정'!$C$35*D435+'계산 과정'!$D$35*E435,"")</x:f>
        <x:v>618.2418046870761</x:v>
      </x:c>
      <x:c r="K435" s="4" t="n">
        <x:f>IF(AND('계산 과정'!$L$6,J435&gt;0),'계산 과정'!$D$10*('계산 과정'!$C$38*(D435-'계산 과정'!$C$32)+'계산 과정'!$D$38*(E435-'계산 과정'!$D$32)-'계산 과정'!$E$38*'계산 과정'!$E$32)/J435,"")</x:f>
        <x:v>0.41094853272173437</x:v>
      </x:c>
      <x:c r="L435" s="4" t="n">
        <x:f>IF(AND('계산 과정'!$L$6,J435&gt;0),'계산 과정'!$D$10*('계산 과정'!$C$39*(D435-'계산 과정'!$C$32)+'계산 과정'!$D$39*(E435-'계산 과정'!$D$32)-'계산 과정'!$E$39*'계산 과정'!$E$32)/J435,"")</x:f>
        <x:v>-0.6725600234789475</x:v>
      </x:c>
      <x:c r="M435" s="17" t="n">
        <x:f>IF('계산 과정'!$L$6,IF(J435&lt;=0,0,IF(AND(ABS(K435)&lt;='계산 과정'!$D$11/2,ABS(L435)&lt;='계산 과정'!$D$12/2),1,0)),"")</x:f>
        <x:v>1</x:v>
      </x:c>
      <x:c r="N435" s="17" t="n">
        <x:f>IF('계산 과정'!$C$78,IF(AND(ISNUMBER(H435),ISNUMBER(I435),ABS(H435-'계산 과정'!$C$88)&lt;='계산 과정'!$D$23/2,ABS(I435-'계산 과정'!$C$89)&lt;='계산 과정'!$D$24/2),1,0),"")</x:f>
        <x:v>1</x:v>
      </x:c>
      <x:c r="O435" s="4" t="n">
        <x:f>IF('계산 과정'!$L$7,'계산 과정'!$C$49*('계산 과정'!$C$32-D435)+'계산 과정'!$D$49*('계산 과정'!$D$32-E435)+'계산 과정'!$E$49*'계산 과정'!$E$32,"")</x:f>
        <x:v>31.758195312923988</x:v>
      </x:c>
      <x:c r="P435" s="4" t="n">
        <x:f>IF(AND('계산 과정'!$L$7,O435&lt;&gt;0),('계산 과정'!$L$23-'계산 과정'!$C$49*D435-'계산 과정'!$D$49*E435)/O435,"")</x:f>
        <x:v>13.595174129344182</x:v>
      </x:c>
      <x:c r="Q435" s="4" t="str">
        <x:f>IF(AND(ISNUMBER(P435),P435&gt;1E-9,P435&lt;1-1E-9),'계산 과정'!$C$47*(D435-'계산 과정'!$C$50+P435*('계산 과정'!$C$32-D435))+'계산 과정'!$D$47*(E435-'계산 과정'!$D$50+P435*('계산 과정'!$D$32-E435))+'계산 과정'!$E$47*(0-'계산 과정'!$E$50+P435*('계산 과정'!$E$32-0)),"")</x:f>
      </x:c>
      <x:c r="R435" s="4" t="str">
        <x:f>IF(AND(ISNUMBER(P435),P435&gt;1E-9,P435&lt;1-1E-9),'계산 과정'!$C$48*(D435-'계산 과정'!$C$50+P435*('계산 과정'!$C$32-D435))+'계산 과정'!$D$48*(E435-'계산 과정'!$D$50+P435*('계산 과정'!$D$32-E435))+'계산 과정'!$E$48*(0-'계산 과정'!$E$50+P435*('계산 과정'!$E$32-0)),"")</x:f>
      </x:c>
      <x:c r="S435" s="17" t="n">
        <x:f>IF('계산 과정'!$C$78,IF(AND(ISNUMBER(Q435),ISNUMBER(R435),ABS(Q435-'계산 과정'!$C$88)&lt;='계산 과정'!$D$23/2,ABS(R435-'계산 과정'!$C$89)&lt;='계산 과정'!$D$24/2),1,0),"")</x:f>
        <x:v>0</x:v>
      </x:c>
      <x:c r="T435" s="4"/>
      <x:c r="U435" s="4"/>
      <x:c r="V435" s="4"/>
      <x:c r="W435" s="4" t="n">
        <x:f>IF('계산 과정'!$C$78,'계산 과정'!$C$88+-1*'계산 과정'!$D$23/2,"")</x:f>
        <x:v>-231.27659574468098</x:v>
      </x:c>
      <x:c r="X435" s="4" t="str">
        <x:f>""</x:f>
      </x:c>
      <x:c r="Y435" s="4" t="n">
        <x:f>IF('계산 과정'!$C$78,'계산 과정'!$C$89+-0.52*'계산 과정'!$D$24/2,"")</x:f>
        <x:v>-135.20000000000002</x:v>
      </x:c>
      <x:c r="Z435" s="4" t="str">
        <x:f>""</x:f>
      </x:c>
    </x:row>
    <x:row r="436" ht="23" customHeight="1">
      <x:c r="A436" s="17" t="n">
        <x:f>ROW()-6</x:f>
        <x:v>430</x:v>
      </x:c>
      <x:c r="B436" s="4" t="n">
        <x:f>IF('계산 과정'!$L$5,'계산 과정'!$L$11*SQRT((A436+0.5)/'계산 과정'!$L$30),"")</x:f>
        <x:v>68.77219102088067</x:v>
      </x:c>
      <x:c r="C436" s="4" t="n">
        <x:f>A436*PI()*(3-SQRT(5))</x:f>
        <x:v>1031.9841887833206</x:v>
      </x:c>
      <x:c r="D436" s="4" t="n">
        <x:f>IF('계산 과정'!$L$5,B436*COS(C436),"")</x:f>
        <x:v>1.993971081537798</x:v>
      </x:c>
      <x:c r="E436" s="4" t="n">
        <x:f>IF('계산 과정'!$L$5,B436*SIN(C436),"")</x:f>
        <x:v>68.74327848698003</x:v>
      </x:c>
      <x:c r="F436" s="4" t="n">
        <x:f>IF('계산 과정'!$L$7,'계산 과정'!$L$22+'계산 과정'!$C$49*D436+'계산 과정'!$D$49*E436,"")</x:f>
        <x:v>648.5900495267548</x:v>
      </x:c>
      <x:c r="G436" s="4" t="n">
        <x:f>IF('계산 과정'!$L$7,IF(ABS(F436)&gt;=1E-12*MAX(1,SQRT((D436-'계산 과정'!$C$33)^2+(E436-'계산 과정'!$D$33)^2+'계산 과정'!$E$33^2)),('계산 과정'!$L$23-'계산 과정'!$C$49*D436-'계산 과정'!$D$49*E436)/F436,""),"")</x:f>
        <x:v>0.6188962515939536</x:v>
      </x:c>
      <x:c r="H436" s="4" t="n">
        <x:f>IF(AND(ISNUMBER(G436),G436&gt;0),('계산 과정'!$D$56+'계산 과정'!$D$57*D436+'계산 과정'!$D$58*E436)/F436,"")</x:f>
        <x:v>2.2825635360697447</x:v>
      </x:c>
      <x:c r="I436" s="4" t="n">
        <x:f>IF(AND(ISNUMBER(G436),G436&gt;0),('계산 과정'!$E$56+'계산 과정'!$E$57*D436+'계산 과정'!$E$58*E436)/F436,"")</x:f>
        <x:v>111.28823586485123</x:v>
      </x:c>
      <x:c r="J436" s="4" t="n">
        <x:f>IF('계산 과정'!$L$5,'계산 과정'!$D$6+'계산 과정'!$C$35*D436+'계산 과정'!$D$35*E436,"")</x:f>
        <x:v>648.5900495267548</x:v>
      </x:c>
      <x:c r="K436" s="4" t="n">
        <x:f>IF(AND('계산 과정'!$L$6,J436&gt;0),'계산 과정'!$D$10*('계산 과정'!$C$38*(D436-'계산 과정'!$C$32)+'계산 과정'!$D$38*(E436-'계산 과정'!$D$32)-'계산 과정'!$E$38*'계산 과정'!$E$32)/J436,"")</x:f>
        <x:v>0.017390960274818075</x:v>
      </x:c>
      <x:c r="L436" s="4" t="n">
        <x:f>IF(AND('계산 과정'!$L$6,J436&gt;0),'계산 과정'!$D$10*('계산 과정'!$C$39*(D436-'계산 과정'!$C$32)+'계산 과정'!$D$39*(E436-'계산 과정'!$D$32)-'계산 과정'!$E$39*'계산 과정'!$E$32)/J436,"")</x:f>
        <x:v>0.8479103684941046</x:v>
      </x:c>
      <x:c r="M436" s="17" t="n">
        <x:f>IF('계산 과정'!$L$6,IF(J436&lt;=0,0,IF(AND(ABS(K436)&lt;='계산 과정'!$D$11/2,ABS(L436)&lt;='계산 과정'!$D$12/2),1,0)),"")</x:f>
        <x:v>1</x:v>
      </x:c>
      <x:c r="N436" s="17" t="n">
        <x:f>IF('계산 과정'!$C$78,IF(AND(ISNUMBER(H436),ISNUMBER(I436),ABS(H436-'계산 과정'!$C$88)&lt;='계산 과정'!$D$23/2,ABS(I436-'계산 과정'!$C$89)&lt;='계산 과정'!$D$24/2),1,0),"")</x:f>
        <x:v>1</x:v>
      </x:c>
      <x:c r="O436" s="4" t="n">
        <x:f>IF('계산 과정'!$L$7,'계산 과정'!$C$49*('계산 과정'!$C$32-D436)+'계산 과정'!$D$49*('계산 과정'!$D$32-E436)+'계산 과정'!$E$49*'계산 과정'!$E$32,"")</x:f>
        <x:v>1.4099504732453738</x:v>
      </x:c>
      <x:c r="P436" s="4" t="n">
        <x:f>IF(AND('계산 과정'!$L$7,O436&lt;&gt;0),('계산 과정'!$L$23-'계산 과정'!$C$49*D436-'계산 과정'!$D$49*E436)/O436,"")</x:f>
        <x:v>284.69790825297156</x:v>
      </x:c>
      <x:c r="Q436" s="4" t="str">
        <x:f>IF(AND(ISNUMBER(P436),P436&gt;1E-9,P436&lt;1-1E-9),'계산 과정'!$C$47*(D436-'계산 과정'!$C$50+P436*('계산 과정'!$C$32-D436))+'계산 과정'!$D$47*(E436-'계산 과정'!$D$50+P436*('계산 과정'!$D$32-E436))+'계산 과정'!$E$47*(0-'계산 과정'!$E$50+P436*('계산 과정'!$E$32-0)),"")</x:f>
      </x:c>
      <x:c r="R436" s="4" t="str">
        <x:f>IF(AND(ISNUMBER(P436),P436&gt;1E-9,P436&lt;1-1E-9),'계산 과정'!$C$48*(D436-'계산 과정'!$C$50+P436*('계산 과정'!$C$32-D436))+'계산 과정'!$D$48*(E436-'계산 과정'!$D$50+P436*('계산 과정'!$D$32-E436))+'계산 과정'!$E$48*(0-'계산 과정'!$E$50+P436*('계산 과정'!$E$32-0)),"")</x:f>
      </x:c>
      <x:c r="S436" s="17" t="n">
        <x:f>IF('계산 과정'!$C$78,IF(AND(ISNUMBER(Q436),ISNUMBER(R436),ABS(Q436-'계산 과정'!$C$88)&lt;='계산 과정'!$D$23/2,ABS(R436-'계산 과정'!$C$89)&lt;='계산 과정'!$D$24/2),1,0),"")</x:f>
        <x:v>0</x:v>
      </x:c>
      <x:c r="T436" s="4"/>
      <x:c r="U436" s="4"/>
      <x:c r="V436" s="4"/>
      <x:c r="W436" s="4" t="n">
        <x:f>IF('계산 과정'!$C$78,'계산 과정'!$C$88+-1*'계산 과정'!$D$23/2,"")</x:f>
        <x:v>-231.27659574468098</x:v>
      </x:c>
      <x:c r="X436" s="4" t="str">
        <x:f>""</x:f>
      </x:c>
      <x:c r="Y436" s="4" t="n">
        <x:f>IF('계산 과정'!$C$78,'계산 과정'!$C$89+-0.56*'계산 과정'!$D$24/2,"")</x:f>
        <x:v>-145.60000000000002</x:v>
      </x:c>
      <x:c r="Z436" s="4" t="str">
        <x:f>""</x:f>
      </x:c>
    </x:row>
    <x:row r="437" ht="23" customHeight="1">
      <x:c r="A437" s="17" t="n">
        <x:f>ROW()-6</x:f>
        <x:v>431</x:v>
      </x:c>
      <x:c r="B437" s="4" t="n">
        <x:f>IF('계산 과정'!$L$5,'계산 과정'!$L$11*SQRT((A437+0.5)/'계산 과정'!$L$30),"")</x:f>
        <x:v>68.85201947610179</x:v>
      </x:c>
      <x:c r="C437" s="4" t="n">
        <x:f>A437*PI()*(3-SQRT(5))</x:f>
        <x:v>1034.3841520130495</x:v>
      </x:c>
      <x:c r="D437" s="4" t="n">
        <x:f>IF('계산 과정'!$L$5,B437*COS(C437),"")</x:f>
        <x:v>-47.96131697570309</x:v>
      </x:c>
      <x:c r="E437" s="4" t="n">
        <x:f>IF('계산 과정'!$L$5,B437*SIN(C437),"")</x:f>
        <x:v>-49.39952084680208</x:v>
      </x:c>
      <x:c r="F437" s="4" t="n">
        <x:f>IF('계산 과정'!$L$7,'계산 과정'!$L$22+'계산 과정'!$C$49*D437+'계산 과정'!$D$49*E437,"")</x:f>
        <x:v>683.9137724681572</x:v>
      </x:c>
      <x:c r="G437" s="4" t="n">
        <x:f>IF('계산 과정'!$L$7,IF(ABS(F437)&gt;=1E-12*MAX(1,SQRT((D437-'계산 과정'!$C$33)^2+(E437-'계산 과정'!$D$33)^2+'계산 과정'!$E$33^2)),('계산 과정'!$L$23-'계산 과정'!$C$49*D437-'계산 과정'!$D$49*E437)/F437,""),"")</x:f>
        <x:v>0.5352812624472887</x:v>
      </x:c>
      <x:c r="H437" s="4" t="n">
        <x:f>IF(AND(ISNUMBER(G437),G437&gt;0),('계산 과정'!$D$56+'계산 과정'!$D$57*D437+'계산 과정'!$D$58*E437)/F437,"")</x:f>
        <x:v>-52.0671794092625</x:v>
      </x:c>
      <x:c r="I437" s="4" t="n">
        <x:f>IF(AND(ISNUMBER(G437),G437&gt;0),('계산 과정'!$E$56+'계산 과정'!$E$57*D437+'계산 과정'!$E$58*E437)/F437,"")</x:f>
        <x:v>-75.84215872996946</x:v>
      </x:c>
      <x:c r="J437" s="4" t="n">
        <x:f>IF('계산 과정'!$L$5,'계산 과정'!$D$6+'계산 과정'!$C$35*D437+'계산 과정'!$D$35*E437,"")</x:f>
        <x:v>683.9137724681572</x:v>
      </x:c>
      <x:c r="K437" s="4" t="n">
        <x:f>IF(AND('계산 과정'!$L$6,J437&gt;0),'계산 과정'!$D$10*('계산 과정'!$C$38*(D437-'계산 과정'!$C$32)+'계산 과정'!$D$38*(E437-'계산 과정'!$D$32)-'계산 과정'!$E$38*'계산 과정'!$E$32)/J437,"")</x:f>
        <x:v>-0.39670231930866545</x:v>
      </x:c>
      <x:c r="L437" s="4" t="n">
        <x:f>IF(AND('계산 과정'!$L$6,J437&gt;0),'계산 과정'!$D$10*('계산 과정'!$C$39*(D437-'계산 과정'!$C$32)+'계산 과정'!$D$39*(E437-'계산 과정'!$D$32)-'계산 과정'!$E$39*'계산 과정'!$E$32)/J437,"")</x:f>
        <x:v>-0.5778450188950054</x:v>
      </x:c>
      <x:c r="M437" s="17" t="n">
        <x:f>IF('계산 과정'!$L$6,IF(J437&lt;=0,0,IF(AND(ABS(K437)&lt;='계산 과정'!$D$11/2,ABS(L437)&lt;='계산 과정'!$D$12/2),1,0)),"")</x:f>
        <x:v>1</x:v>
      </x:c>
      <x:c r="N437" s="17" t="n">
        <x:f>IF('계산 과정'!$C$78,IF(AND(ISNUMBER(H437),ISNUMBER(I437),ABS(H437-'계산 과정'!$C$88)&lt;='계산 과정'!$D$23/2,ABS(I437-'계산 과정'!$C$89)&lt;='계산 과정'!$D$24/2),1,0),"")</x:f>
        <x:v>1</x:v>
      </x:c>
      <x:c r="O437" s="4" t="n">
        <x:f>IF('계산 과정'!$L$7,'계산 과정'!$C$49*('계산 과정'!$C$32-D437)+'계산 과정'!$D$49*('계산 과정'!$D$32-E437)+'계산 과정'!$E$49*'계산 과정'!$E$32,"")</x:f>
        <x:v>-33.91377246815699</x:v>
      </x:c>
      <x:c r="P437" s="4" t="n">
        <x:f>IF(AND('계산 과정'!$L$7,O437&lt;&gt;0),('계산 과정'!$L$23-'계산 과정'!$C$49*D437-'계산 과정'!$D$49*E437)/O437,"")</x:f>
        <x:v>-10.794618259457158</x:v>
      </x:c>
      <x:c r="Q437" s="4" t="str">
        <x:f>IF(AND(ISNUMBER(P437),P437&gt;1E-9,P437&lt;1-1E-9),'계산 과정'!$C$47*(D437-'계산 과정'!$C$50+P437*('계산 과정'!$C$32-D437))+'계산 과정'!$D$47*(E437-'계산 과정'!$D$50+P437*('계산 과정'!$D$32-E437))+'계산 과정'!$E$47*(0-'계산 과정'!$E$50+P437*('계산 과정'!$E$32-0)),"")</x:f>
      </x:c>
      <x:c r="R437" s="4" t="str">
        <x:f>IF(AND(ISNUMBER(P437),P437&gt;1E-9,P437&lt;1-1E-9),'계산 과정'!$C$48*(D437-'계산 과정'!$C$50+P437*('계산 과정'!$C$32-D437))+'계산 과정'!$D$48*(E437-'계산 과정'!$D$50+P437*('계산 과정'!$D$32-E437))+'계산 과정'!$E$48*(0-'계산 과정'!$E$50+P437*('계산 과정'!$E$32-0)),"")</x:f>
      </x:c>
      <x:c r="S437" s="17" t="n">
        <x:f>IF('계산 과정'!$C$78,IF(AND(ISNUMBER(Q437),ISNUMBER(R437),ABS(Q437-'계산 과정'!$C$88)&lt;='계산 과정'!$D$23/2,ABS(R437-'계산 과정'!$C$89)&lt;='계산 과정'!$D$24/2),1,0),"")</x:f>
        <x:v>0</x:v>
      </x:c>
      <x:c r="T437" s="4"/>
      <x:c r="U437" s="4"/>
      <x:c r="V437" s="4"/>
      <x:c r="W437" s="4" t="n">
        <x:f>IF('계산 과정'!$C$78,'계산 과정'!$C$88+-1*'계산 과정'!$D$23/2,"")</x:f>
        <x:v>-231.27659574468098</x:v>
      </x:c>
      <x:c r="X437" s="4" t="str">
        <x:f>""</x:f>
      </x:c>
      <x:c r="Y437" s="4" t="n">
        <x:f>IF('계산 과정'!$C$78,'계산 과정'!$C$89+-0.6000000000000001*'계산 과정'!$D$24/2,"")</x:f>
        <x:v>-156.00000000000003</x:v>
      </x:c>
      <x:c r="Z437" s="4" t="str">
        <x:f>""</x:f>
      </x:c>
    </x:row>
    <x:row r="438" ht="23" customHeight="1">
      <x:c r="A438" s="17" t="n">
        <x:f>ROW()-6</x:f>
        <x:v>432</x:v>
      </x:c>
      <x:c r="B438" s="4" t="n">
        <x:f>IF('계산 과정'!$L$5,'계산 과정'!$L$11*SQRT((A438+0.5)/'계산 과정'!$L$30),"")</x:f>
        <x:v>68.93175548368473</x:v>
      </x:c>
      <x:c r="C438" s="4" t="n">
        <x:f>A438*PI()*(3-SQRT(5))</x:f>
        <x:v>1036.784115242778</x:v>
      </x:c>
      <x:c r="D438" s="4" t="n">
        <x:f>IF('계산 과정'!$L$5,B438*COS(C438),"")</x:f>
        <x:v>68.81367878645314</x:v>
      </x:c>
      <x:c r="E438" s="4" t="n">
        <x:f>IF('계산 과정'!$L$5,B438*SIN(C438),"")</x:f>
        <x:v>4.032930192471369</x:v>
      </x:c>
      <x:c r="F438" s="4" t="n">
        <x:f>IF('계산 과정'!$L$7,'계산 과정'!$L$22+'계산 과정'!$C$49*D438+'계산 과정'!$D$49*E438,"")</x:f>
        <x:v>601.3413810917061</x:v>
      </x:c>
      <x:c r="G438" s="4" t="n">
        <x:f>IF('계산 과정'!$L$7,IF(ABS(F438)&gt;=1E-12*MAX(1,SQRT((D438-'계산 과정'!$C$33)^2+(E438-'계산 과정'!$D$33)^2+'계산 과정'!$E$33^2)),('계산 과정'!$L$23-'계산 과정'!$C$49*D438-'계산 과정'!$D$49*E438)/F438,""),"")</x:f>
        <x:v>0.7460963655848462</x:v>
      </x:c>
      <x:c r="H438" s="4" t="n">
        <x:f>IF(AND(ISNUMBER(G438),G438&gt;0),('계산 과정'!$D$56+'계산 과정'!$D$57*D438+'계산 과정'!$D$58*E438)/F438,"")</x:f>
        <x:v>84.96263763014993</x:v>
      </x:c>
      <x:c r="I438" s="4" t="n">
        <x:f>IF(AND(ISNUMBER(G438),G438&gt;0),('계산 과정'!$E$56+'계산 과정'!$E$57*D438+'계산 과정'!$E$58*E438)/F438,"")</x:f>
        <x:v>7.041884751731651</x:v>
      </x:c>
      <x:c r="J438" s="4" t="n">
        <x:f>IF('계산 과정'!$L$5,'계산 과정'!$D$6+'계산 과정'!$C$35*D438+'계산 과정'!$D$35*E438,"")</x:f>
        <x:v>601.3413810917061</x:v>
      </x:c>
      <x:c r="K438" s="4" t="n">
        <x:f>IF(AND('계산 과정'!$L$6,J438&gt;0),'계산 과정'!$D$10*('계산 과정'!$C$38*(D438-'계산 과정'!$C$32)+'계산 과정'!$D$38*(E438-'계산 과정'!$D$32)-'계산 과정'!$E$38*'계산 과정'!$E$32)/J438,"")</x:f>
        <x:v>0.6473343819440001</x:v>
      </x:c>
      <x:c r="L438" s="4" t="n">
        <x:f>IF(AND('계산 과정'!$L$6,J438&gt;0),'계산 과정'!$D$10*('계산 과정'!$C$39*(D438-'계산 과정'!$C$32)+'계산 과정'!$D$39*(E438-'계산 과정'!$D$32)-'계산 과정'!$E$39*'계산 과정'!$E$32)/J438,"")</x:f>
        <x:v>0.053652455251288776</x:v>
      </x:c>
      <x:c r="M438" s="17" t="n">
        <x:f>IF('계산 과정'!$L$6,IF(J438&lt;=0,0,IF(AND(ABS(K438)&lt;='계산 과정'!$D$11/2,ABS(L438)&lt;='계산 과정'!$D$12/2),1,0)),"")</x:f>
        <x:v>1</x:v>
      </x:c>
      <x:c r="N438" s="17" t="n">
        <x:f>IF('계산 과정'!$C$78,IF(AND(ISNUMBER(H438),ISNUMBER(I438),ABS(H438-'계산 과정'!$C$88)&lt;='계산 과정'!$D$23/2,ABS(I438-'계산 과정'!$C$89)&lt;='계산 과정'!$D$24/2),1,0),"")</x:f>
        <x:v>1</x:v>
      </x:c>
      <x:c r="O438" s="4" t="n">
        <x:f>IF('계산 과정'!$L$7,'계산 과정'!$C$49*('계산 과정'!$C$32-D438)+'계산 과정'!$D$49*('계산 과정'!$D$32-E438)+'계산 과정'!$E$49*'계산 과정'!$E$32,"")</x:f>
        <x:v>48.65861890829399</x:v>
      </x:c>
      <x:c r="P438" s="4" t="n">
        <x:f>IF(AND('계산 과정'!$L$7,O438&lt;&gt;0),('계산 과정'!$L$23-'계산 과정'!$C$49*D438-'계산 과정'!$D$49*E438)/O438,"")</x:f>
        <x:v>9.220537470532664</x:v>
      </x:c>
      <x:c r="Q438" s="4" t="str">
        <x:f>IF(AND(ISNUMBER(P438),P438&gt;1E-9,P438&lt;1-1E-9),'계산 과정'!$C$47*(D438-'계산 과정'!$C$50+P438*('계산 과정'!$C$32-D438))+'계산 과정'!$D$47*(E438-'계산 과정'!$D$50+P438*('계산 과정'!$D$32-E438))+'계산 과정'!$E$47*(0-'계산 과정'!$E$50+P438*('계산 과정'!$E$32-0)),"")</x:f>
      </x:c>
      <x:c r="R438" s="4" t="str">
        <x:f>IF(AND(ISNUMBER(P438),P438&gt;1E-9,P438&lt;1-1E-9),'계산 과정'!$C$48*(D438-'계산 과정'!$C$50+P438*('계산 과정'!$C$32-D438))+'계산 과정'!$D$48*(E438-'계산 과정'!$D$50+P438*('계산 과정'!$D$32-E438))+'계산 과정'!$E$48*(0-'계산 과정'!$E$50+P438*('계산 과정'!$E$32-0)),"")</x:f>
      </x:c>
      <x:c r="S438" s="17" t="n">
        <x:f>IF('계산 과정'!$C$78,IF(AND(ISNUMBER(Q438),ISNUMBER(R438),ABS(Q438-'계산 과정'!$C$88)&lt;='계산 과정'!$D$23/2,ABS(R438-'계산 과정'!$C$89)&lt;='계산 과정'!$D$24/2),1,0),"")</x:f>
        <x:v>0</x:v>
      </x:c>
      <x:c r="T438" s="4"/>
      <x:c r="U438" s="4"/>
      <x:c r="V438" s="4"/>
      <x:c r="W438" s="4" t="n">
        <x:f>IF('계산 과정'!$C$78,'계산 과정'!$C$88+-1*'계산 과정'!$D$23/2,"")</x:f>
        <x:v>-231.27659574468098</x:v>
      </x:c>
      <x:c r="X438" s="4" t="str">
        <x:f>""</x:f>
      </x:c>
      <x:c r="Y438" s="4" t="n">
        <x:f>IF('계산 과정'!$C$78,'계산 과정'!$C$89+-0.6399999999999999*'계산 과정'!$D$24/2,"")</x:f>
        <x:v>-166.39999999999998</x:v>
      </x:c>
      <x:c r="Z438" s="4" t="str">
        <x:f>""</x:f>
      </x:c>
    </x:row>
    <x:row r="439" ht="23" customHeight="1">
      <x:c r="A439" s="17" t="n">
        <x:f>ROW()-6</x:f>
        <x:v>433</x:v>
      </x:c>
      <x:c r="B439" s="4" t="n">
        <x:f>IF('계산 과정'!$L$5,'계산 과정'!$L$11*SQRT((A439+0.5)/'계산 과정'!$L$30),"")</x:f>
        <x:v>69.01139936407246</x:v>
      </x:c>
      <x:c r="C439" s="4" t="n">
        <x:f>A439*PI()*(3-SQRT(5))</x:f>
        <x:v>1039.1840784725068</x:v>
      </x:c>
      <x:c r="D439" s="4" t="n">
        <x:f>IF('계산 과정'!$L$5,B439*COS(C439),"")</x:f>
        <x:v>-53.52704419991218</x:v>
      </x:c>
      <x:c r="E439" s="4" t="n">
        <x:f>IF('계산 과정'!$L$5,B439*SIN(C439),"")</x:f>
        <x:v>43.559485550315536</x:v>
      </x:c>
      <x:c r="F439" s="4" t="n">
        <x:f>IF('계산 과정'!$L$7,'계산 과정'!$L$22+'계산 과정'!$C$49*D439+'계산 과정'!$D$49*E439,"")</x:f>
        <x:v>687.84933593063</x:v>
      </x:c>
      <x:c r="G439" s="4" t="n">
        <x:f>IF('계산 과정'!$L$7,IF(ABS(F439)&gt;=1E-12*MAX(1,SQRT((D439-'계산 과정'!$C$33)^2+(E439-'계산 과정'!$D$33)^2+'계산 과정'!$E$33^2)),('계산 과정'!$L$23-'계산 과정'!$C$49*D439-'계산 과정'!$D$49*E439)/F439,""),"")</x:f>
        <x:v>0.5264970759612584</x:v>
      </x:c>
      <x:c r="H439" s="4" t="n">
        <x:f>IF(AND(ISNUMBER(G439),G439&gt;0),('계산 과정'!$D$56+'계산 과정'!$D$57*D439+'계산 과정'!$D$58*E439)/F439,"")</x:f>
        <x:v>-57.77690062518215</x:v>
      </x:c>
      <x:c r="I439" s="4" t="n">
        <x:f>IF(AND(ISNUMBER(G439),G439&gt;0),('계산 과정'!$E$56+'계산 과정'!$E$57*D439+'계산 과정'!$E$58*E439)/F439,"")</x:f>
        <x:v>66.49342732293336</x:v>
      </x:c>
      <x:c r="J439" s="4" t="n">
        <x:f>IF('계산 과정'!$L$5,'계산 과정'!$D$6+'계산 과정'!$C$35*D439+'계산 과정'!$D$35*E439,"")</x:f>
        <x:v>687.84933593063</x:v>
      </x:c>
      <x:c r="K439" s="4" t="n">
        <x:f>IF(AND('계산 과정'!$L$6,J439&gt;0),'계산 과정'!$D$10*('계산 과정'!$C$38*(D439-'계산 과정'!$C$32)+'계산 과정'!$D$38*(E439-'계산 과정'!$D$32)-'계산 과정'!$E$38*'계산 과정'!$E$32)/J439,"")</x:f>
        <x:v>-0.44020495714424435</x:v>
      </x:c>
      <x:c r="L439" s="4" t="n">
        <x:f>IF(AND('계산 과정'!$L$6,J439&gt;0),'계산 과정'!$D$10*('계산 과정'!$C$39*(D439-'계산 과정'!$C$32)+'계산 과정'!$D$39*(E439-'계산 과정'!$D$32)-'계산 과정'!$E$39*'계산 과정'!$E$32)/J439,"")</x:f>
        <x:v>0.5066165891271113</x:v>
      </x:c>
      <x:c r="M439" s="17" t="n">
        <x:f>IF('계산 과정'!$L$6,IF(J439&lt;=0,0,IF(AND(ABS(K439)&lt;='계산 과정'!$D$11/2,ABS(L439)&lt;='계산 과정'!$D$12/2),1,0)),"")</x:f>
        <x:v>1</x:v>
      </x:c>
      <x:c r="N439" s="17" t="n">
        <x:f>IF('계산 과정'!$C$78,IF(AND(ISNUMBER(H439),ISNUMBER(I439),ABS(H439-'계산 과정'!$C$88)&lt;='계산 과정'!$D$23/2,ABS(I439-'계산 과정'!$C$89)&lt;='계산 과정'!$D$24/2),1,0),"")</x:f>
        <x:v>1</x:v>
      </x:c>
      <x:c r="O439" s="4" t="n">
        <x:f>IF('계산 과정'!$L$7,'계산 과정'!$C$49*('계산 과정'!$C$32-D439)+'계산 과정'!$D$49*('계산 과정'!$D$32-E439)+'계산 과정'!$E$49*'계산 과정'!$E$32,"")</x:f>
        <x:v>-37.84933593062988</x:v>
      </x:c>
      <x:c r="P439" s="4" t="n">
        <x:f>IF(AND('계산 과정'!$L$7,O439&lt;&gt;0),('계산 과정'!$L$23-'계산 과정'!$C$49*D439-'계산 과정'!$D$49*E439)/O439,"")</x:f>
        <x:v>-9.56821712098512</x:v>
      </x:c>
      <x:c r="Q439" s="4" t="str">
        <x:f>IF(AND(ISNUMBER(P439),P439&gt;1E-9,P439&lt;1-1E-9),'계산 과정'!$C$47*(D439-'계산 과정'!$C$50+P439*('계산 과정'!$C$32-D439))+'계산 과정'!$D$47*(E439-'계산 과정'!$D$50+P439*('계산 과정'!$D$32-E439))+'계산 과정'!$E$47*(0-'계산 과정'!$E$50+P439*('계산 과정'!$E$32-0)),"")</x:f>
      </x:c>
      <x:c r="R439" s="4" t="str">
        <x:f>IF(AND(ISNUMBER(P439),P439&gt;1E-9,P439&lt;1-1E-9),'계산 과정'!$C$48*(D439-'계산 과정'!$C$50+P439*('계산 과정'!$C$32-D439))+'계산 과정'!$D$48*(E439-'계산 과정'!$D$50+P439*('계산 과정'!$D$32-E439))+'계산 과정'!$E$48*(0-'계산 과정'!$E$50+P439*('계산 과정'!$E$32-0)),"")</x:f>
      </x:c>
      <x:c r="S439" s="17" t="n">
        <x:f>IF('계산 과정'!$C$78,IF(AND(ISNUMBER(Q439),ISNUMBER(R439),ABS(Q439-'계산 과정'!$C$88)&lt;='계산 과정'!$D$23/2,ABS(R439-'계산 과정'!$C$89)&lt;='계산 과정'!$D$24/2),1,0),"")</x:f>
        <x:v>0</x:v>
      </x:c>
      <x:c r="T439" s="4"/>
      <x:c r="U439" s="4"/>
      <x:c r="V439" s="4"/>
      <x:c r="W439" s="4" t="n">
        <x:f>IF('계산 과정'!$C$78,'계산 과정'!$C$88+-1*'계산 과정'!$D$23/2,"")</x:f>
        <x:v>-231.27659574468098</x:v>
      </x:c>
      <x:c r="X439" s="4" t="str">
        <x:f>""</x:f>
      </x:c>
      <x:c r="Y439" s="4" t="n">
        <x:f>IF('계산 과정'!$C$78,'계산 과정'!$C$89+-0.6799999999999999*'계산 과정'!$D$24/2,"")</x:f>
        <x:v>-176.79999999999998</x:v>
      </x:c>
      <x:c r="Z439" s="4" t="str">
        <x:f>""</x:f>
      </x:c>
    </x:row>
    <x:row r="440" ht="23" customHeight="1">
      <x:c r="A440" s="17" t="n">
        <x:f>ROW()-6</x:f>
        <x:v>434</x:v>
      </x:c>
      <x:c r="B440" s="4" t="n">
        <x:f>IF('계산 과정'!$L$5,'계산 과정'!$L$11*SQRT((A440+0.5)/'계산 과정'!$L$30),"")</x:f>
        <x:v>69.09095143586099</x:v>
      </x:c>
      <x:c r="C440" s="4" t="n">
        <x:f>A440*PI()*(3-SQRT(5))</x:f>
        <x:v>1041.5840417022353</x:v>
      </x:c>
      <x:c r="D440" s="4" t="n">
        <x:f>IF('계산 과정'!$L$5,B440*COS(C440),"")</x:f>
        <x:v>10.056746263119617</x:v>
      </x:c>
      <x:c r="E440" s="4" t="n">
        <x:f>IF('계산 과정'!$L$5,B440*SIN(C440),"")</x:f>
        <x:v>-68.35511264647094</x:v>
      </x:c>
      <x:c r="F440" s="4" t="n">
        <x:f>IF('계산 과정'!$L$7,'계산 과정'!$L$22+'계산 과정'!$C$49*D440+'계산 과정'!$D$49*E440,"")</x:f>
        <x:v>642.8888065206756</x:v>
      </x:c>
      <x:c r="G440" s="4" t="n">
        <x:f>IF('계산 과정'!$L$7,IF(ABS(F440)&gt;=1E-12*MAX(1,SQRT((D440-'계산 과정'!$C$33)^2+(E440-'계산 과정'!$D$33)^2+'계산 과정'!$E$33^2)),('계산 과정'!$L$23-'계산 과정'!$C$49*D440-'계산 과정'!$D$49*E440)/F440,""),"")</x:f>
        <x:v>0.6332528881356895</x:v>
      </x:c>
      <x:c r="H440" s="4" t="n">
        <x:f>IF(AND(ISNUMBER(G440),G440&gt;0),('계산 과정'!$D$56+'계산 과정'!$D$57*D440+'계산 과정'!$D$58*E440)/F440,"")</x:f>
        <x:v>11.614377288198071</x:v>
      </x:c>
      <x:c r="I440" s="4" t="n">
        <x:f>IF(AND(ISNUMBER(G440),G440&gt;0),('계산 과정'!$E$56+'계산 과정'!$E$57*D440+'계산 과정'!$E$58*E440)/F440,"")</x:f>
        <x:v>-111.64118514868906</x:v>
      </x:c>
      <x:c r="J440" s="4" t="n">
        <x:f>IF('계산 과정'!$L$5,'계산 과정'!$D$6+'계산 과정'!$C$35*D440+'계산 과정'!$D$35*E440,"")</x:f>
        <x:v>642.8888065206756</x:v>
      </x:c>
      <x:c r="K440" s="4" t="n">
        <x:f>IF(AND('계산 과정'!$L$6,J440&gt;0),'계산 과정'!$D$10*('계산 과정'!$C$38*(D440-'계산 과정'!$C$32)+'계산 과정'!$D$38*(E440-'계산 과정'!$D$32)-'계산 과정'!$E$38*'계산 과정'!$E$32)/J440,"")</x:f>
        <x:v>0.08849049362436714</x:v>
      </x:c>
      <x:c r="L440" s="4" t="n">
        <x:f>IF(AND('계산 과정'!$L$6,J440&gt;0),'계산 과정'!$D$10*('계산 과정'!$C$39*(D440-'계산 과정'!$C$32)+'계산 과정'!$D$39*(E440-'계산 과정'!$D$32)-'계산 과정'!$E$39*'계산 과정'!$E$32)/J440,"")</x:f>
        <x:v>-0.8505995058947738</x:v>
      </x:c>
      <x:c r="M440" s="17" t="n">
        <x:f>IF('계산 과정'!$L$6,IF(J440&lt;=0,0,IF(AND(ABS(K440)&lt;='계산 과정'!$D$11/2,ABS(L440)&lt;='계산 과정'!$D$12/2),1,0)),"")</x:f>
        <x:v>1</x:v>
      </x:c>
      <x:c r="N440" s="17" t="n">
        <x:f>IF('계산 과정'!$C$78,IF(AND(ISNUMBER(H440),ISNUMBER(I440),ABS(H440-'계산 과정'!$C$88)&lt;='계산 과정'!$D$23/2,ABS(I440-'계산 과정'!$C$89)&lt;='계산 과정'!$D$24/2),1,0),"")</x:f>
        <x:v>1</x:v>
      </x:c>
      <x:c r="O440" s="4" t="n">
        <x:f>IF('계산 과정'!$L$7,'계산 과정'!$C$49*('계산 과정'!$C$32-D440)+'계산 과정'!$D$49*('계산 과정'!$D$32-E440)+'계산 과정'!$E$49*'계산 과정'!$E$32,"")</x:f>
        <x:v>7.11119347932447</x:v>
      </x:c>
      <x:c r="P440" s="4" t="n">
        <x:f>IF(AND('계산 과정'!$L$7,O440&lt;&gt;0),('계산 과정'!$L$23-'계산 과정'!$C$49*D440-'계산 과정'!$D$49*E440)/O440,"")</x:f>
        <x:v>57.24934846210906</x:v>
      </x:c>
      <x:c r="Q440" s="4" t="str">
        <x:f>IF(AND(ISNUMBER(P440),P440&gt;1E-9,P440&lt;1-1E-9),'계산 과정'!$C$47*(D440-'계산 과정'!$C$50+P440*('계산 과정'!$C$32-D440))+'계산 과정'!$D$47*(E440-'계산 과정'!$D$50+P440*('계산 과정'!$D$32-E440))+'계산 과정'!$E$47*(0-'계산 과정'!$E$50+P440*('계산 과정'!$E$32-0)),"")</x:f>
      </x:c>
      <x:c r="R440" s="4" t="str">
        <x:f>IF(AND(ISNUMBER(P440),P440&gt;1E-9,P440&lt;1-1E-9),'계산 과정'!$C$48*(D440-'계산 과정'!$C$50+P440*('계산 과정'!$C$32-D440))+'계산 과정'!$D$48*(E440-'계산 과정'!$D$50+P440*('계산 과정'!$D$32-E440))+'계산 과정'!$E$48*(0-'계산 과정'!$E$50+P440*('계산 과정'!$E$32-0)),"")</x:f>
      </x:c>
      <x:c r="S440" s="17" t="n">
        <x:f>IF('계산 과정'!$C$78,IF(AND(ISNUMBER(Q440),ISNUMBER(R440),ABS(Q440-'계산 과정'!$C$88)&lt;='계산 과정'!$D$23/2,ABS(R440-'계산 과정'!$C$89)&lt;='계산 과정'!$D$24/2),1,0),"")</x:f>
        <x:v>0</x:v>
      </x:c>
      <x:c r="T440" s="4"/>
      <x:c r="U440" s="4"/>
      <x:c r="V440" s="4"/>
      <x:c r="W440" s="4" t="n">
        <x:f>IF('계산 과정'!$C$78,'계산 과정'!$C$88+-1*'계산 과정'!$D$23/2,"")</x:f>
        <x:v>-231.27659574468098</x:v>
      </x:c>
      <x:c r="X440" s="4" t="str">
        <x:f>""</x:f>
      </x:c>
      <x:c r="Y440" s="4" t="n">
        <x:f>IF('계산 과정'!$C$78,'계산 과정'!$C$89+-0.72*'계산 과정'!$D$24/2,"")</x:f>
        <x:v>-187.2</x:v>
      </x:c>
      <x:c r="Z440" s="4" t="str">
        <x:f>""</x:f>
      </x:c>
    </x:row>
    <x:row r="441" ht="23" customHeight="1">
      <x:c r="A441" s="17" t="n">
        <x:f>ROW()-6</x:f>
        <x:v>435</x:v>
      </x:c>
      <x:c r="B441" s="4" t="n">
        <x:f>IF('계산 과정'!$L$5,'계산 과정'!$L$11*SQRT((A441+0.5)/'계산 과정'!$L$30),"")</x:f>
        <x:v>69.17041201581425</x:v>
      </x:c>
      <x:c r="C441" s="4" t="n">
        <x:f>A441*PI()*(3-SQRT(5))</x:f>
        <x:v>1043.9840049319641</x:v>
      </x:c>
      <x:c r="D441" s="4" t="n">
        <x:f>IF('계산 과정'!$L$5,B441*COS(C441),"")</x:f>
        <x:v>38.802258140472134</x:v>
      </x:c>
      <x:c r="E441" s="4" t="n">
        <x:f>IF('계산 과정'!$L$5,B441*SIN(C441),"")</x:f>
        <x:v>57.26194776321937</x:v>
      </x:c>
      <x:c r="F441" s="4" t="n">
        <x:f>IF('계산 과정'!$L$7,'계산 과정'!$L$22+'계산 과정'!$C$49*D441+'계산 과정'!$D$49*E441,"")</x:f>
        <x:v>622.5626601435213</x:v>
      </x:c>
      <x:c r="G441" s="4" t="n">
        <x:f>IF('계산 과정'!$L$7,IF(ABS(F441)&gt;=1E-12*MAX(1,SQRT((D441-'계산 과정'!$C$33)^2+(E441-'계산 과정'!$D$33)^2+'계산 과정'!$E$33^2)),('계산 과정'!$L$23-'계산 과정'!$C$49*D441-'계산 과정'!$D$49*E441)/F441,""),"")</x:f>
        <x:v>0.6865772190030482</x:v>
      </x:c>
      <x:c r="H441" s="4" t="n">
        <x:f>IF(AND(ISNUMBER(G441),G441&gt;0),('계산 과정'!$D$56+'계산 과정'!$D$57*D441+'계산 과정'!$D$58*E441)/F441,"")</x:f>
        <x:v>46.27519235198134</x:v>
      </x:c>
      <x:c r="I441" s="4" t="n">
        <x:f>IF(AND(ISNUMBER(G441),G441&gt;0),('계산 과정'!$E$56+'계산 과정'!$E$57*D441+'계산 과정'!$E$58*E441)/F441,"")</x:f>
        <x:v>96.57669661318835</x:v>
      </x:c>
      <x:c r="J441" s="4" t="n">
        <x:f>IF('계산 과정'!$L$5,'계산 과정'!$D$6+'계산 과정'!$C$35*D441+'계산 과정'!$D$35*E441,"")</x:f>
        <x:v>622.5626601435213</x:v>
      </x:c>
      <x:c r="K441" s="4" t="n">
        <x:f>IF(AND('계산 과정'!$L$6,J441&gt;0),'계산 과정'!$D$10*('계산 과정'!$C$38*(D441-'계산 과정'!$C$32)+'계산 과정'!$D$38*(E441-'계산 과정'!$D$32)-'계산 과정'!$E$38*'계산 과정'!$E$32)/J441,"")</x:f>
        <x:v>0.35257289411033516</x:v>
      </x:c>
      <x:c r="L441" s="4" t="n">
        <x:f>IF(AND('계산 과정'!$L$6,J441&gt;0),'계산 과정'!$D$10*('계산 과정'!$C$39*(D441-'계산 과정'!$C$32)+'계산 과정'!$D$39*(E441-'계산 과정'!$D$32)-'계산 과정'!$E$39*'계산 과정'!$E$32)/J441,"")</x:f>
        <x:v>0.7358224503861969</x:v>
      </x:c>
      <x:c r="M441" s="17" t="n">
        <x:f>IF('계산 과정'!$L$6,IF(J441&lt;=0,0,IF(AND(ABS(K441)&lt;='계산 과정'!$D$11/2,ABS(L441)&lt;='계산 과정'!$D$12/2),1,0)),"")</x:f>
        <x:v>1</x:v>
      </x:c>
      <x:c r="N441" s="17" t="n">
        <x:f>IF('계산 과정'!$C$78,IF(AND(ISNUMBER(H441),ISNUMBER(I441),ABS(H441-'계산 과정'!$C$88)&lt;='계산 과정'!$D$23/2,ABS(I441-'계산 과정'!$C$89)&lt;='계산 과정'!$D$24/2),1,0),"")</x:f>
        <x:v>1</x:v>
      </x:c>
      <x:c r="O441" s="4" t="n">
        <x:f>IF('계산 과정'!$L$7,'계산 과정'!$C$49*('계산 과정'!$C$32-D441)+'계산 과정'!$D$49*('계산 과정'!$D$32-E441)+'계산 과정'!$E$49*'계산 과정'!$E$32,"")</x:f>
        <x:v>27.4373398564789</x:v>
      </x:c>
      <x:c r="P441" s="4" t="n">
        <x:f>IF(AND('계산 과정'!$L$7,O441&lt;&gt;0),('계산 과정'!$L$23-'계산 과정'!$C$49*D441-'계산 과정'!$D$49*E441)/O441,"")</x:f>
        <x:v>15.578672790159214</x:v>
      </x:c>
      <x:c r="Q441" s="4" t="str">
        <x:f>IF(AND(ISNUMBER(P441),P441&gt;1E-9,P441&lt;1-1E-9),'계산 과정'!$C$47*(D441-'계산 과정'!$C$50+P441*('계산 과정'!$C$32-D441))+'계산 과정'!$D$47*(E441-'계산 과정'!$D$50+P441*('계산 과정'!$D$32-E441))+'계산 과정'!$E$47*(0-'계산 과정'!$E$50+P441*('계산 과정'!$E$32-0)),"")</x:f>
      </x:c>
      <x:c r="R441" s="4" t="str">
        <x:f>IF(AND(ISNUMBER(P441),P441&gt;1E-9,P441&lt;1-1E-9),'계산 과정'!$C$48*(D441-'계산 과정'!$C$50+P441*('계산 과정'!$C$32-D441))+'계산 과정'!$D$48*(E441-'계산 과정'!$D$50+P441*('계산 과정'!$D$32-E441))+'계산 과정'!$E$48*(0-'계산 과정'!$E$50+P441*('계산 과정'!$E$32-0)),"")</x:f>
      </x:c>
      <x:c r="S441" s="17" t="n">
        <x:f>IF('계산 과정'!$C$78,IF(AND(ISNUMBER(Q441),ISNUMBER(R441),ABS(Q441-'계산 과정'!$C$88)&lt;='계산 과정'!$D$23/2,ABS(R441-'계산 과정'!$C$89)&lt;='계산 과정'!$D$24/2),1,0),"")</x:f>
        <x:v>0</x:v>
      </x:c>
      <x:c r="T441" s="4"/>
      <x:c r="U441" s="4"/>
      <x:c r="V441" s="4"/>
      <x:c r="W441" s="4" t="n">
        <x:f>IF('계산 과정'!$C$78,'계산 과정'!$C$88+-1*'계산 과정'!$D$23/2,"")</x:f>
        <x:v>-231.27659574468098</x:v>
      </x:c>
      <x:c r="X441" s="4" t="str">
        <x:f>""</x:f>
      </x:c>
      <x:c r="Y441" s="4" t="n">
        <x:f>IF('계산 과정'!$C$78,'계산 과정'!$C$89+-0.76*'계산 과정'!$D$24/2,"")</x:f>
        <x:v>-197.6</x:v>
      </x:c>
      <x:c r="Z441" s="4" t="str">
        <x:f>""</x:f>
      </x:c>
    </x:row>
    <x:row r="442" ht="23" customHeight="1">
      <x:c r="A442" s="17" t="n">
        <x:f>ROW()-6</x:f>
        <x:v>436</x:v>
      </x:c>
      <x:c r="B442" s="4" t="n">
        <x:f>IF('계산 과정'!$L$5,'계산 과정'!$L$11*SQRT((A442+0.5)/'계산 과정'!$L$30),"")</x:f>
        <x:v>69.24978141887887</x:v>
      </x:c>
      <x:c r="C442" s="4" t="n">
        <x:f>A442*PI()*(3-SQRT(5))</x:f>
        <x:v>1046.3839681616926</x:v>
      </x:c>
      <x:c r="D442" s="4" t="n">
        <x:f>IF('계산 과정'!$L$5,B442*COS(C442),"")</x:f>
        <x:v>-67.36868090974791</x:v>
      </x:c>
      <x:c r="E442" s="4" t="n">
        <x:f>IF('계산 과정'!$L$5,B442*SIN(C442),"")</x:f>
        <x:v>-16.031003057920845</x:v>
      </x:c>
      <x:c r="F442" s="4" t="n">
        <x:f>IF('계산 과정'!$L$7,'계산 과정'!$L$22+'계산 과정'!$C$49*D442+'계산 과정'!$D$49*E442,"")</x:f>
        <x:v>697.6368511108755</x:v>
      </x:c>
      <x:c r="G442" s="4" t="n">
        <x:f>IF('계산 과정'!$L$7,IF(ABS(F442)&gt;=1E-12*MAX(1,SQRT((D442-'계산 과정'!$C$33)^2+(E442-'계산 과정'!$D$33)^2+'계산 과정'!$E$33^2)),('계산 과정'!$L$23-'계산 과정'!$C$49*D442-'계산 과정'!$D$49*E442)/F442,""),"")</x:f>
        <x:v>0.5050810437092628</x:v>
      </x:c>
      <x:c r="H442" s="4" t="n">
        <x:f>IF(AND(ISNUMBER(G442),G442&gt;0),('계산 과정'!$D$56+'계산 과정'!$D$57*D442+'계산 과정'!$D$58*E442)/F442,"")</x:f>
        <x:v>-71.6973215889793</x:v>
      </x:c>
      <x:c r="I442" s="4" t="n">
        <x:f>IF(AND(ISNUMBER(G442),G442&gt;0),('계산 과정'!$E$56+'계산 과정'!$E$57*D442+'계산 과정'!$E$58*E442)/F442,"")</x:f>
        <x:v>-24.12795881412189</x:v>
      </x:c>
      <x:c r="J442" s="4" t="n">
        <x:f>IF('계산 과정'!$L$5,'계산 과정'!$D$6+'계산 과정'!$C$35*D442+'계산 과정'!$D$35*E442,"")</x:f>
        <x:v>697.6368511108755</x:v>
      </x:c>
      <x:c r="K442" s="4" t="n">
        <x:f>IF(AND('계산 과정'!$L$6,J442&gt;0),'계산 과정'!$D$10*('계산 과정'!$C$38*(D442-'계산 과정'!$C$32)+'계산 과정'!$D$38*(E442-'계산 과정'!$D$32)-'계산 과정'!$E$38*'계산 과정'!$E$32)/J442,"")</x:f>
        <x:v>-0.5462653073446033</x:v>
      </x:c>
      <x:c r="L442" s="4" t="n">
        <x:f>IF(AND('계산 과정'!$L$6,J442&gt;0),'계산 과정'!$D$10*('계산 과정'!$C$39*(D442-'계산 과정'!$C$32)+'계산 과정'!$D$39*(E442-'계산 과정'!$D$32)-'계산 과정'!$E$39*'계산 과정'!$E$32)/J442,"")</x:f>
        <x:v>-0.18383206715521438</x:v>
      </x:c>
      <x:c r="M442" s="17" t="n">
        <x:f>IF('계산 과정'!$L$6,IF(J442&lt;=0,0,IF(AND(ABS(K442)&lt;='계산 과정'!$D$11/2,ABS(L442)&lt;='계산 과정'!$D$12/2),1,0)),"")</x:f>
        <x:v>1</x:v>
      </x:c>
      <x:c r="N442" s="17" t="n">
        <x:f>IF('계산 과정'!$C$78,IF(AND(ISNUMBER(H442),ISNUMBER(I442),ABS(H442-'계산 과정'!$C$88)&lt;='계산 과정'!$D$23/2,ABS(I442-'계산 과정'!$C$89)&lt;='계산 과정'!$D$24/2),1,0),"")</x:f>
        <x:v>1</x:v>
      </x:c>
      <x:c r="O442" s="4" t="n">
        <x:f>IF('계산 과정'!$L$7,'계산 과정'!$C$49*('계산 과정'!$C$32-D442)+'계산 과정'!$D$49*('계산 과정'!$D$32-E442)+'계산 과정'!$E$49*'계산 과정'!$E$32,"")</x:f>
        <x:v>-47.63685111087534</x:v>
      </x:c>
      <x:c r="P442" s="4" t="n">
        <x:f>IF(AND('계산 과정'!$L$7,O442&lt;&gt;0),('계산 과정'!$L$23-'계산 과정'!$C$49*D442-'계산 과정'!$D$49*E442)/O442,"")</x:f>
        <x:v>-7.396860637765395</x:v>
      </x:c>
      <x:c r="Q442" s="4" t="str">
        <x:f>IF(AND(ISNUMBER(P442),P442&gt;1E-9,P442&lt;1-1E-9),'계산 과정'!$C$47*(D442-'계산 과정'!$C$50+P442*('계산 과정'!$C$32-D442))+'계산 과정'!$D$47*(E442-'계산 과정'!$D$50+P442*('계산 과정'!$D$32-E442))+'계산 과정'!$E$47*(0-'계산 과정'!$E$50+P442*('계산 과정'!$E$32-0)),"")</x:f>
      </x:c>
      <x:c r="R442" s="4" t="str">
        <x:f>IF(AND(ISNUMBER(P442),P442&gt;1E-9,P442&lt;1-1E-9),'계산 과정'!$C$48*(D442-'계산 과정'!$C$50+P442*('계산 과정'!$C$32-D442))+'계산 과정'!$D$48*(E442-'계산 과정'!$D$50+P442*('계산 과정'!$D$32-E442))+'계산 과정'!$E$48*(0-'계산 과정'!$E$50+P442*('계산 과정'!$E$32-0)),"")</x:f>
      </x:c>
      <x:c r="S442" s="17" t="n">
        <x:f>IF('계산 과정'!$C$78,IF(AND(ISNUMBER(Q442),ISNUMBER(R442),ABS(Q442-'계산 과정'!$C$88)&lt;='계산 과정'!$D$23/2,ABS(R442-'계산 과정'!$C$89)&lt;='계산 과정'!$D$24/2),1,0),"")</x:f>
        <x:v>0</x:v>
      </x:c>
      <x:c r="T442" s="4"/>
      <x:c r="U442" s="4"/>
      <x:c r="V442" s="4"/>
      <x:c r="W442" s="4" t="n">
        <x:f>IF('계산 과정'!$C$78,'계산 과정'!$C$88+-1*'계산 과정'!$D$23/2,"")</x:f>
        <x:v>-231.27659574468098</x:v>
      </x:c>
      <x:c r="X442" s="4" t="str">
        <x:f>""</x:f>
      </x:c>
      <x:c r="Y442" s="4" t="n">
        <x:f>IF('계산 과정'!$C$78,'계산 과정'!$C$89+-0.8*'계산 과정'!$D$24/2,"")</x:f>
        <x:v>-208</x:v>
      </x:c>
      <x:c r="Z442" s="4" t="str">
        <x:f>""</x:f>
      </x:c>
    </x:row>
    <x:row r="443" ht="23" customHeight="1">
      <x:c r="A443" s="17" t="n">
        <x:f>ROW()-6</x:f>
        <x:v>437</x:v>
      </x:c>
      <x:c r="B443" s="4" t="n">
        <x:f>IF('계산 과정'!$L$5,'계산 과정'!$L$11*SQRT((A443+0.5)/'계산 과정'!$L$30),"")</x:f>
        <x:v>69.32905995819863</x:v>
      </x:c>
      <x:c r="C443" s="4" t="n">
        <x:f>A443*PI()*(3-SQRT(5))</x:f>
        <x:v>1048.7839313914212</x:v>
      </x:c>
      <x:c r="D443" s="4" t="n">
        <x:f>IF('계산 과정'!$L$5,B443*COS(C443),"")</x:f>
        <x:v>60.57362223333571</x:v>
      </x:c>
      <x:c r="E443" s="4" t="n">
        <x:f>IF('계산 과정'!$L$5,B443*SIN(C443),"")</x:f>
        <x:v>-33.72469190697875</x:v>
      </x:c>
      <x:c r="F443" s="4" t="n">
        <x:f>IF('계산 과정'!$L$7,'계산 과정'!$L$22+'계산 과정'!$C$49*D443+'계산 과정'!$D$49*E443,"")</x:f>
        <x:v>607.1679809577761</x:v>
      </x:c>
      <x:c r="G443" s="4" t="n">
        <x:f>IF('계산 과정'!$L$7,IF(ABS(F443)&gt;=1E-12*MAX(1,SQRT((D443-'계산 과정'!$C$33)^2+(E443-'계산 과정'!$D$33)^2+'계산 과정'!$E$33^2)),('계산 과정'!$L$23-'계산 과정'!$C$49*D443-'계산 과정'!$D$49*E443)/F443,""),"")</x:f>
        <x:v>0.7293402039147047</x:v>
      </x:c>
      <x:c r="H443" s="4" t="n">
        <x:f>IF(AND(ISNUMBER(G443),G443&gt;0),('계산 과정'!$D$56+'계산 과정'!$D$57*D443+'계산 과정'!$D$58*E443)/F443,"")</x:f>
        <x:v>74.0711325445579</x:v>
      </x:c>
      <x:c r="I443" s="4" t="n">
        <x:f>IF(AND(ISNUMBER(G443),G443&gt;0),('계산 과정'!$E$56+'계산 과정'!$E$57*D443+'계산 과정'!$E$58*E443)/F443,"")</x:f>
        <x:v>-58.321465579375214</x:v>
      </x:c>
      <x:c r="J443" s="4" t="n">
        <x:f>IF('계산 과정'!$L$5,'계산 과정'!$D$6+'계산 과정'!$C$35*D443+'계산 과정'!$D$35*E443,"")</x:f>
        <x:v>607.1679809577761</x:v>
      </x:c>
      <x:c r="K443" s="4" t="n">
        <x:f>IF(AND('계산 과정'!$L$6,J443&gt;0),'계산 과정'!$D$10*('계산 과정'!$C$38*(D443-'계산 과정'!$C$32)+'계산 과정'!$D$38*(E443-'계산 과정'!$D$32)-'계산 과정'!$E$38*'계산 과정'!$E$32)/J443,"")</x:f>
        <x:v>0.5643514860537754</x:v>
      </x:c>
      <x:c r="L443" s="4" t="n">
        <x:f>IF(AND('계산 과정'!$L$6,J443&gt;0),'계산 과정'!$D$10*('계산 과정'!$C$39*(D443-'계산 과정'!$C$32)+'계산 과정'!$D$39*(E443-'계산 과정'!$D$32)-'계산 과정'!$E$39*'계산 과정'!$E$32)/J443,"")</x:f>
        <x:v>-0.44435402346190644</x:v>
      </x:c>
      <x:c r="M443" s="17" t="n">
        <x:f>IF('계산 과정'!$L$6,IF(J443&lt;=0,0,IF(AND(ABS(K443)&lt;='계산 과정'!$D$11/2,ABS(L443)&lt;='계산 과정'!$D$12/2),1,0)),"")</x:f>
        <x:v>1</x:v>
      </x:c>
      <x:c r="N443" s="17" t="n">
        <x:f>IF('계산 과정'!$C$78,IF(AND(ISNUMBER(H443),ISNUMBER(I443),ABS(H443-'계산 과정'!$C$88)&lt;='계산 과정'!$D$23/2,ABS(I443-'계산 과정'!$C$89)&lt;='계산 과정'!$D$24/2),1,0),"")</x:f>
        <x:v>1</x:v>
      </x:c>
      <x:c r="O443" s="4" t="n">
        <x:f>IF('계산 과정'!$L$7,'계산 과정'!$C$49*('계산 과정'!$C$32-D443)+'계산 과정'!$D$49*('계산 과정'!$D$32-E443)+'계산 과정'!$E$49*'계산 과정'!$E$32,"")</x:f>
        <x:v>42.83201904222403</x:v>
      </x:c>
      <x:c r="P443" s="4" t="n">
        <x:f>IF(AND('계산 과정'!$L$7,O443&lt;&gt;0),('계산 과정'!$L$23-'계산 과정'!$C$49*D443-'계산 과정'!$D$49*E443)/O443,"")</x:f>
        <x:v>10.338807951259028</x:v>
      </x:c>
      <x:c r="Q443" s="4" t="str">
        <x:f>IF(AND(ISNUMBER(P443),P443&gt;1E-9,P443&lt;1-1E-9),'계산 과정'!$C$47*(D443-'계산 과정'!$C$50+P443*('계산 과정'!$C$32-D443))+'계산 과정'!$D$47*(E443-'계산 과정'!$D$50+P443*('계산 과정'!$D$32-E443))+'계산 과정'!$E$47*(0-'계산 과정'!$E$50+P443*('계산 과정'!$E$32-0)),"")</x:f>
      </x:c>
      <x:c r="R443" s="4" t="str">
        <x:f>IF(AND(ISNUMBER(P443),P443&gt;1E-9,P443&lt;1-1E-9),'계산 과정'!$C$48*(D443-'계산 과정'!$C$50+P443*('계산 과정'!$C$32-D443))+'계산 과정'!$D$48*(E443-'계산 과정'!$D$50+P443*('계산 과정'!$D$32-E443))+'계산 과정'!$E$48*(0-'계산 과정'!$E$50+P443*('계산 과정'!$E$32-0)),"")</x:f>
      </x:c>
      <x:c r="S443" s="17" t="n">
        <x:f>IF('계산 과정'!$C$78,IF(AND(ISNUMBER(Q443),ISNUMBER(R443),ABS(Q443-'계산 과정'!$C$88)&lt;='계산 과정'!$D$23/2,ABS(R443-'계산 과정'!$C$89)&lt;='계산 과정'!$D$24/2),1,0),"")</x:f>
        <x:v>0</x:v>
      </x:c>
      <x:c r="T443" s="4"/>
      <x:c r="U443" s="4"/>
      <x:c r="V443" s="4"/>
      <x:c r="W443" s="4" t="n">
        <x:f>IF('계산 과정'!$C$78,'계산 과정'!$C$88+-1*'계산 과정'!$D$23/2,"")</x:f>
        <x:v>-231.27659574468098</x:v>
      </x:c>
      <x:c r="X443" s="4" t="str">
        <x:f>""</x:f>
      </x:c>
      <x:c r="Y443" s="4" t="n">
        <x:f>IF('계산 과정'!$C$78,'계산 과정'!$C$89+-0.8400000000000001*'계산 과정'!$D$24/2,"")</x:f>
        <x:v>-218.40000000000003</x:v>
      </x:c>
      <x:c r="Z443" s="4" t="str">
        <x:f>""</x:f>
      </x:c>
    </x:row>
    <x:row r="444" ht="23" customHeight="1">
      <x:c r="A444" s="17" t="n">
        <x:f>ROW()-6</x:f>
        <x:v>438</x:v>
      </x:c>
      <x:c r="B444" s="4" t="n">
        <x:f>IF('계산 과정'!$L$5,'계산 과정'!$L$11*SQRT((A444+0.5)/'계산 과정'!$L$30),"")</x:f>
        <x:v>69.40824794512898</x:v>
      </x:c>
      <x:c r="C444" s="4" t="n">
        <x:f>A444*PI()*(3-SQRT(5))</x:f>
        <x:v>1051.18389462115</x:v>
      </x:c>
      <x:c r="D444" s="4" t="n">
        <x:f>IF('계산 과정'!$L$5,B444*COS(C444),"")</x:f>
        <x:v>-21.909398276604065</x:v>
      </x:c>
      <x:c r="E444" s="4" t="n">
        <x:f>IF('계산 과정'!$L$5,B444*SIN(C444),"")</x:f>
        <x:v>65.85957143779208</x:v>
      </x:c>
      <x:c r="F444" s="4" t="n">
        <x:f>IF('계산 과정'!$L$7,'계산 과정'!$L$22+'계산 과정'!$C$49*D444+'계산 과정'!$D$49*E444,"")</x:f>
        <x:v>665.4922840931035</x:v>
      </x:c>
      <x:c r="G444" s="4" t="n">
        <x:f>IF('계산 과정'!$L$7,IF(ABS(F444)&gt;=1E-12*MAX(1,SQRT((D444-'계산 과정'!$C$33)^2+(E444-'계산 과정'!$D$33)^2+'계산 과정'!$E$33^2)),('계산 과정'!$L$23-'계산 과정'!$C$49*D444-'계산 과정'!$D$49*E444)/F444,""),"")</x:f>
        <x:v>0.5777793749042222</x:v>
      </x:c>
      <x:c r="H444" s="4" t="n">
        <x:f>IF(AND(ISNUMBER(G444),G444&gt;0),('계산 과정'!$D$56+'계산 과정'!$D$57*D444+'계산 과정'!$D$58*E444)/F444,"")</x:f>
        <x:v>-24.443406312255732</x:v>
      </x:c>
      <x:c r="I444" s="4" t="n">
        <x:f>IF(AND(ISNUMBER(G444),G444&gt;0),('계산 과정'!$E$56+'계산 과정'!$E$57*D444+'계산 과정'!$E$58*E444)/F444,"")</x:f>
        <x:v>103.91187345457956</x:v>
      </x:c>
      <x:c r="J444" s="4" t="n">
        <x:f>IF('계산 과정'!$L$5,'계산 과정'!$D$6+'계산 과정'!$C$35*D444+'계산 과정'!$D$35*E444,"")</x:f>
        <x:v>665.4922840931035</x:v>
      </x:c>
      <x:c r="K444" s="4" t="n">
        <x:f>IF(AND('계산 과정'!$L$6,J444&gt;0),'계산 과정'!$D$10*('계산 과정'!$C$38*(D444-'계산 과정'!$C$32)+'계산 과정'!$D$38*(E444-'계산 과정'!$D$32)-'계산 과정'!$E$38*'계산 과정'!$E$32)/J444,"")</x:f>
        <x:v>-0.18623547666480467</x:v>
      </x:c>
      <x:c r="L444" s="4" t="n">
        <x:f>IF(AND('계산 과정'!$L$6,J444&gt;0),'계산 과정'!$D$10*('계산 과정'!$C$39*(D444-'계산 과정'!$C$32)+'계산 과정'!$D$39*(E444-'계산 과정'!$D$32)-'계산 과정'!$E$39*'계산 과정'!$E$32)/J444,"")</x:f>
        <x:v>0.7917095120348919</x:v>
      </x:c>
      <x:c r="M444" s="17" t="n">
        <x:f>IF('계산 과정'!$L$6,IF(J444&lt;=0,0,IF(AND(ABS(K444)&lt;='계산 과정'!$D$11/2,ABS(L444)&lt;='계산 과정'!$D$12/2),1,0)),"")</x:f>
        <x:v>1</x:v>
      </x:c>
      <x:c r="N444" s="17" t="n">
        <x:f>IF('계산 과정'!$C$78,IF(AND(ISNUMBER(H444),ISNUMBER(I444),ABS(H444-'계산 과정'!$C$88)&lt;='계산 과정'!$D$23/2,ABS(I444-'계산 과정'!$C$89)&lt;='계산 과정'!$D$24/2),1,0),"")</x:f>
        <x:v>1</x:v>
      </x:c>
      <x:c r="O444" s="4" t="n">
        <x:f>IF('계산 과정'!$L$7,'계산 과정'!$C$49*('계산 과정'!$C$32-D444)+'계산 과정'!$D$49*('계산 과정'!$D$32-E444)+'계산 과정'!$E$49*'계산 과정'!$E$32,"")</x:f>
        <x:v>-15.492284093103478</x:v>
      </x:c>
      <x:c r="P444" s="4" t="n">
        <x:f>IF(AND('계산 과정'!$L$7,O444&lt;&gt;0),('계산 과정'!$L$23-'계산 과정'!$C$49*D444-'계산 과정'!$D$49*E444)/O444,"")</x:f>
        <x:v>-24.819304474158415</x:v>
      </x:c>
      <x:c r="Q444" s="4" t="str">
        <x:f>IF(AND(ISNUMBER(P444),P444&gt;1E-9,P444&lt;1-1E-9),'계산 과정'!$C$47*(D444-'계산 과정'!$C$50+P444*('계산 과정'!$C$32-D444))+'계산 과정'!$D$47*(E444-'계산 과정'!$D$50+P444*('계산 과정'!$D$32-E444))+'계산 과정'!$E$47*(0-'계산 과정'!$E$50+P444*('계산 과정'!$E$32-0)),"")</x:f>
      </x:c>
      <x:c r="R444" s="4" t="str">
        <x:f>IF(AND(ISNUMBER(P444),P444&gt;1E-9,P444&lt;1-1E-9),'계산 과정'!$C$48*(D444-'계산 과정'!$C$50+P444*('계산 과정'!$C$32-D444))+'계산 과정'!$D$48*(E444-'계산 과정'!$D$50+P444*('계산 과정'!$D$32-E444))+'계산 과정'!$E$48*(0-'계산 과정'!$E$50+P444*('계산 과정'!$E$32-0)),"")</x:f>
      </x:c>
      <x:c r="S444" s="17" t="n">
        <x:f>IF('계산 과정'!$C$78,IF(AND(ISNUMBER(Q444),ISNUMBER(R444),ABS(Q444-'계산 과정'!$C$88)&lt;='계산 과정'!$D$23/2,ABS(R444-'계산 과정'!$C$89)&lt;='계산 과정'!$D$24/2),1,0),"")</x:f>
        <x:v>0</x:v>
      </x:c>
      <x:c r="T444" s="4"/>
      <x:c r="U444" s="4"/>
      <x:c r="V444" s="4"/>
      <x:c r="W444" s="4" t="n">
        <x:f>IF('계산 과정'!$C$78,'계산 과정'!$C$88+-1*'계산 과정'!$D$23/2,"")</x:f>
        <x:v>-231.27659574468098</x:v>
      </x:c>
      <x:c r="X444" s="4" t="str">
        <x:f>""</x:f>
      </x:c>
      <x:c r="Y444" s="4" t="n">
        <x:f>IF('계산 과정'!$C$78,'계산 과정'!$C$89+-0.8799999999999999*'계산 과정'!$D$24/2,"")</x:f>
        <x:v>-228.79999999999998</x:v>
      </x:c>
      <x:c r="Z444" s="4" t="str">
        <x:f>""</x:f>
      </x:c>
    </x:row>
    <x:row r="445" ht="23" customHeight="1">
      <x:c r="A445" s="17" t="n">
        <x:f>ROW()-6</x:f>
        <x:v>439</x:v>
      </x:c>
      <x:c r="B445" s="4" t="n">
        <x:f>IF('계산 과정'!$L$5,'계산 과정'!$L$11*SQRT((A445+0.5)/'계산 과정'!$L$30),"")</x:f>
        <x:v>69.48734568925121</x:v>
      </x:c>
      <x:c r="C445" s="4" t="n">
        <x:f>A445*PI()*(3-SQRT(5))</x:f>
        <x:v>1053.5838578508785</x:v>
      </x:c>
      <x:c r="D445" s="4" t="n">
        <x:f>IF('계산 과정'!$L$5,B445*COS(C445),"")</x:f>
        <x:v>-28.364480273627624</x:v>
      </x:c>
      <x:c r="E445" s="4" t="n">
        <x:f>IF('계산 과정'!$L$5,B445*SIN(C445),"")</x:f>
        <x:v>-63.43459205941572</x:v>
      </x:c>
      <x:c r="F445" s="4" t="n">
        <x:f>IF('계산 과정'!$L$7,'계산 과정'!$L$22+'계산 과정'!$C$49*D445+'계산 과정'!$D$49*E445,"")</x:f>
        <x:v>670.0567163463141</x:v>
      </x:c>
      <x:c r="G445" s="4" t="n">
        <x:f>IF('계산 과정'!$L$7,IF(ABS(F445)&gt;=1E-12*MAX(1,SQRT((D445-'계산 과정'!$C$33)^2+(E445-'계산 과정'!$D$33)^2+'계산 과정'!$E$33^2)),('계산 과정'!$L$23-'계산 과정'!$C$49*D445-'계산 과정'!$D$49*E445)/F445,""),"")</x:f>
        <x:v>0.5670315279062359</x:v>
      </x:c>
      <x:c r="H445" s="4" t="n">
        <x:f>IF(AND(ISNUMBER(G445),G445&gt;0),('계산 과정'!$D$56+'계산 과정'!$D$57*D445+'계산 과정'!$D$58*E445)/F445,"")</x:f>
        <x:v>-31.429506860946763</x:v>
      </x:c>
      <x:c r="I445" s="4" t="n">
        <x:f>IF(AND(ISNUMBER(G445),G445&gt;0),('계산 과정'!$E$56+'계산 과정'!$E$57*D445+'계산 과정'!$E$58*E445)/F445,"")</x:f>
        <x:v>-99.40400571697499</x:v>
      </x:c>
      <x:c r="J445" s="4" t="n">
        <x:f>IF('계산 과정'!$L$5,'계산 과정'!$D$6+'계산 과정'!$C$35*D445+'계산 과정'!$D$35*E445,"")</x:f>
        <x:v>670.0567163463141</x:v>
      </x:c>
      <x:c r="K445" s="4" t="n">
        <x:f>IF(AND('계산 과정'!$L$6,J445&gt;0),'계산 과정'!$D$10*('계산 과정'!$C$38*(D445-'계산 과정'!$C$32)+'계산 과정'!$D$38*(E445-'계산 과정'!$D$32)-'계산 과정'!$E$38*'계산 과정'!$E$32)/J445,"")</x:f>
        <x:v>-0.23946290941673629</x:v>
      </x:c>
      <x:c r="L445" s="4" t="n">
        <x:f>IF(AND('계산 과정'!$L$6,J445&gt;0),'계산 과정'!$D$10*('계산 과정'!$C$39*(D445-'계산 과정'!$C$32)+'계산 과정'!$D$39*(E445-'계산 과정'!$D$32)-'계산 과정'!$E$39*'계산 과정'!$E$32)/J445,"")</x:f>
        <x:v>-0.7573638530817143</x:v>
      </x:c>
      <x:c r="M445" s="17" t="n">
        <x:f>IF('계산 과정'!$L$6,IF(J445&lt;=0,0,IF(AND(ABS(K445)&lt;='계산 과정'!$D$11/2,ABS(L445)&lt;='계산 과정'!$D$12/2),1,0)),"")</x:f>
        <x:v>1</x:v>
      </x:c>
      <x:c r="N445" s="17" t="n">
        <x:f>IF('계산 과정'!$C$78,IF(AND(ISNUMBER(H445),ISNUMBER(I445),ABS(H445-'계산 과정'!$C$88)&lt;='계산 과정'!$D$23/2,ABS(I445-'계산 과정'!$C$89)&lt;='계산 과정'!$D$24/2),1,0),"")</x:f>
        <x:v>1</x:v>
      </x:c>
      <x:c r="O445" s="4" t="n">
        <x:f>IF('계산 과정'!$L$7,'계산 과정'!$C$49*('계산 과정'!$C$32-D445)+'계산 과정'!$D$49*('계산 과정'!$D$32-E445)+'계산 과정'!$E$49*'계산 과정'!$E$32,"")</x:f>
        <x:v>-20.056716346314033</x:v>
      </x:c>
      <x:c r="P445" s="4" t="n">
        <x:f>IF(AND('계산 과정'!$L$7,O445&lt;&gt;0),('계산 과정'!$L$23-'계산 과정'!$C$49*D445-'계산 과정'!$D$49*E445)/O445,"")</x:f>
        <x:v>-18.943444036067785</x:v>
      </x:c>
      <x:c r="Q445" s="4" t="str">
        <x:f>IF(AND(ISNUMBER(P445),P445&gt;1E-9,P445&lt;1-1E-9),'계산 과정'!$C$47*(D445-'계산 과정'!$C$50+P445*('계산 과정'!$C$32-D445))+'계산 과정'!$D$47*(E445-'계산 과정'!$D$50+P445*('계산 과정'!$D$32-E445))+'계산 과정'!$E$47*(0-'계산 과정'!$E$50+P445*('계산 과정'!$E$32-0)),"")</x:f>
      </x:c>
      <x:c r="R445" s="4" t="str">
        <x:f>IF(AND(ISNUMBER(P445),P445&gt;1E-9,P445&lt;1-1E-9),'계산 과정'!$C$48*(D445-'계산 과정'!$C$50+P445*('계산 과정'!$C$32-D445))+'계산 과정'!$D$48*(E445-'계산 과정'!$D$50+P445*('계산 과정'!$D$32-E445))+'계산 과정'!$E$48*(0-'계산 과정'!$E$50+P445*('계산 과정'!$E$32-0)),"")</x:f>
      </x:c>
      <x:c r="S445" s="17" t="n">
        <x:f>IF('계산 과정'!$C$78,IF(AND(ISNUMBER(Q445),ISNUMBER(R445),ABS(Q445-'계산 과정'!$C$88)&lt;='계산 과정'!$D$23/2,ABS(R445-'계산 과정'!$C$89)&lt;='계산 과정'!$D$24/2),1,0),"")</x:f>
        <x:v>0</x:v>
      </x:c>
      <x:c r="T445" s="4"/>
      <x:c r="U445" s="4"/>
      <x:c r="V445" s="4"/>
      <x:c r="W445" s="4" t="n">
        <x:f>IF('계산 과정'!$C$78,'계산 과정'!$C$88+-1*'계산 과정'!$D$23/2,"")</x:f>
        <x:v>-231.27659574468098</x:v>
      </x:c>
      <x:c r="X445" s="4" t="str">
        <x:f>""</x:f>
      </x:c>
      <x:c r="Y445" s="4" t="n">
        <x:f>IF('계산 과정'!$C$78,'계산 과정'!$C$89+-0.9199999999999999*'계산 과정'!$D$24/2,"")</x:f>
        <x:v>-239.2</x:v>
      </x:c>
      <x:c r="Z445" s="4" t="str">
        <x:f>""</x:f>
      </x:c>
    </x:row>
    <x:row r="446" ht="23" customHeight="1">
      <x:c r="A446" s="17" t="n">
        <x:f>ROW()-6</x:f>
        <x:v>440</x:v>
      </x:c>
      <x:c r="B446" s="4" t="n">
        <x:f>IF('계산 과정'!$L$5,'계산 과정'!$L$11*SQRT((A446+0.5)/'계산 과정'!$L$30),"")</x:f>
        <x:v>69.5663534983867</x:v>
      </x:c>
      <x:c r="C446" s="4" t="n">
        <x:f>A446*PI()*(3-SQRT(5))</x:f>
        <x:v>1055.9838210806074</x:v>
      </x:c>
      <x:c r="D446" s="4" t="n">
        <x:f>IF('계산 과정'!$L$5,B446*COS(C446),"")</x:f>
        <x:v>63.83703717060387</x:v>
      </x:c>
      <x:c r="E446" s="4" t="n">
        <x:f>IF('계산 과정'!$L$5,B446*SIN(C446),"")</x:f>
        <x:v>27.646161114003508</x:v>
      </x:c>
      <x:c r="F446" s="4" t="n">
        <x:f>IF('계산 과정'!$L$7,'계산 과정'!$L$22+'계산 과정'!$C$49*D446+'계산 과정'!$D$49*E446,"")</x:f>
        <x:v>604.8603981258083</x:v>
      </x:c>
      <x:c r="G446" s="4" t="n">
        <x:f>IF('계산 과정'!$L$7,IF(ABS(F446)&gt;=1E-12*MAX(1,SQRT((D446-'계산 과정'!$C$33)^2+(E446-'계산 과정'!$D$33)^2+'계산 과정'!$E$33^2)),('계산 과정'!$L$23-'계산 과정'!$C$49*D446-'계산 과정'!$D$49*E446)/F446,""),"")</x:f>
        <x:v>0.7359377523367047</x:v>
      </x:c>
      <x:c r="H446" s="4" t="n">
        <x:f>IF(AND(ISNUMBER(G446),G446&gt;0),('계산 과정'!$D$56+'계산 과정'!$D$57*D446+'계산 과정'!$D$58*E446)/F446,"")</x:f>
        <x:v>78.35953901885794</x:v>
      </x:c>
      <x:c r="I446" s="4" t="n">
        <x:f>IF(AND(ISNUMBER(G446),G446&gt;0),('계산 과정'!$E$56+'계산 과정'!$E$57*D446+'계산 과정'!$E$58*E446)/F446,"")</x:f>
        <x:v>47.992014784981656</x:v>
      </x:c>
      <x:c r="J446" s="4" t="n">
        <x:f>IF('계산 과정'!$L$5,'계산 과정'!$D$6+'계산 과정'!$C$35*D446+'계산 과정'!$D$35*E446,"")</x:f>
        <x:v>604.8603981258083</x:v>
      </x:c>
      <x:c r="K446" s="4" t="n">
        <x:f>IF(AND('계산 과정'!$L$6,J446&gt;0),'계산 과정'!$D$10*('계산 과정'!$C$38*(D446-'계산 과정'!$C$32)+'계산 과정'!$D$38*(E446-'계산 과정'!$D$32)-'계산 과정'!$E$38*'계산 과정'!$E$32)/J446,"")</x:f>
        <x:v>0.5970250591912998</x:v>
      </x:c>
      <x:c r="L446" s="4" t="n">
        <x:f>IF(AND('계산 과정'!$L$6,J446&gt;0),'계산 과정'!$D$10*('계산 과정'!$C$39*(D446-'계산 과정'!$C$32)+'계산 과정'!$D$39*(E446-'계산 과정'!$D$32)-'계산 과정'!$E$39*'계산 과정'!$E$32)/J446,"")</x:f>
        <x:v>0.3656534459808126</x:v>
      </x:c>
      <x:c r="M446" s="17" t="n">
        <x:f>IF('계산 과정'!$L$6,IF(J446&lt;=0,0,IF(AND(ABS(K446)&lt;='계산 과정'!$D$11/2,ABS(L446)&lt;='계산 과정'!$D$12/2),1,0)),"")</x:f>
        <x:v>1</x:v>
      </x:c>
      <x:c r="N446" s="17" t="n">
        <x:f>IF('계산 과정'!$C$78,IF(AND(ISNUMBER(H446),ISNUMBER(I446),ABS(H446-'계산 과정'!$C$88)&lt;='계산 과정'!$D$23/2,ABS(I446-'계산 과정'!$C$89)&lt;='계산 과정'!$D$24/2),1,0),"")</x:f>
        <x:v>1</x:v>
      </x:c>
      <x:c r="O446" s="4" t="n">
        <x:f>IF('계산 과정'!$L$7,'계산 과정'!$C$49*('계산 과정'!$C$32-D446)+'계산 과정'!$D$49*('계산 과정'!$D$32-E446)+'계산 과정'!$E$49*'계산 과정'!$E$32,"")</x:f>
        <x:v>45.13960187419178</x:v>
      </x:c>
      <x:c r="P446" s="4" t="n">
        <x:f>IF(AND('계산 과정'!$L$7,O446&lt;&gt;0),('계산 과정'!$L$23-'계산 과정'!$C$49*D446-'계산 과정'!$D$49*E446)/O446,"")</x:f>
        <x:v>9.861398492499704</x:v>
      </x:c>
      <x:c r="Q446" s="4" t="str">
        <x:f>IF(AND(ISNUMBER(P446),P446&gt;1E-9,P446&lt;1-1E-9),'계산 과정'!$C$47*(D446-'계산 과정'!$C$50+P446*('계산 과정'!$C$32-D446))+'계산 과정'!$D$47*(E446-'계산 과정'!$D$50+P446*('계산 과정'!$D$32-E446))+'계산 과정'!$E$47*(0-'계산 과정'!$E$50+P446*('계산 과정'!$E$32-0)),"")</x:f>
      </x:c>
      <x:c r="R446" s="4" t="str">
        <x:f>IF(AND(ISNUMBER(P446),P446&gt;1E-9,P446&lt;1-1E-9),'계산 과정'!$C$48*(D446-'계산 과정'!$C$50+P446*('계산 과정'!$C$32-D446))+'계산 과정'!$D$48*(E446-'계산 과정'!$D$50+P446*('계산 과정'!$D$32-E446))+'계산 과정'!$E$48*(0-'계산 과정'!$E$50+P446*('계산 과정'!$E$32-0)),"")</x:f>
      </x:c>
      <x:c r="S446" s="17" t="n">
        <x:f>IF('계산 과정'!$C$78,IF(AND(ISNUMBER(Q446),ISNUMBER(R446),ABS(Q446-'계산 과정'!$C$88)&lt;='계산 과정'!$D$23/2,ABS(R446-'계산 과정'!$C$89)&lt;='계산 과정'!$D$24/2),1,0),"")</x:f>
        <x:v>0</x:v>
      </x:c>
      <x:c r="T446" s="4"/>
      <x:c r="U446" s="4"/>
      <x:c r="V446" s="4"/>
      <x:c r="W446" s="4" t="n">
        <x:f>IF('계산 과정'!$C$78,'계산 과정'!$C$88+-1*'계산 과정'!$D$23/2,"")</x:f>
        <x:v>-231.27659574468098</x:v>
      </x:c>
      <x:c r="X446" s="4" t="str">
        <x:f>""</x:f>
      </x:c>
      <x:c r="Y446" s="4" t="n">
        <x:f>IF('계산 과정'!$C$78,'계산 과정'!$C$89+-0.96*'계산 과정'!$D$24/2,"")</x:f>
        <x:v>-249.6</x:v>
      </x:c>
      <x:c r="Z446" s="4" t="str">
        <x:f>""</x:f>
      </x:c>
    </x:row>
    <x:row r="447" ht="23" customHeight="1">
      <x:c r="A447" s="17" t="n">
        <x:f>ROW()-6</x:f>
        <x:v>441</x:v>
      </x:c>
      <x:c r="B447" s="4" t="n">
        <x:f>IF('계산 과정'!$L$5,'계산 과정'!$L$11*SQRT((A447+0.5)/'계산 과정'!$L$30),"")</x:f>
        <x:v>69.64527167861075</x:v>
      </x:c>
      <x:c r="C447" s="4" t="n">
        <x:f>A447*PI()*(3-SQRT(5))</x:f>
        <x:v>1058.3837843103358</x:v>
      </x:c>
      <x:c r="D447" s="4" t="n">
        <x:f>IF('계산 과정'!$L$5,B447*COS(C447),"")</x:f>
        <x:v>-65.82074241905542</x:v>
      </x:c>
      <x:c r="E447" s="4" t="n">
        <x:f>IF('계산 과정'!$L$5,B447*SIN(C447),"")</x:f>
        <x:v>22.761672491094735</x:v>
      </x:c>
      <x:c r="F447" s="4" t="n">
        <x:f>IF('계산 과정'!$L$7,'계산 과정'!$L$22+'계산 과정'!$C$49*D447+'계산 과정'!$D$49*E447,"")</x:f>
        <x:v>696.5422933072471</x:v>
      </x:c>
      <x:c r="G447" s="4" t="n">
        <x:f>IF('계산 과정'!$L$7,IF(ABS(F447)&gt;=1E-12*MAX(1,SQRT((D447-'계산 과정'!$C$33)^2+(E447-'계산 과정'!$D$33)^2+'계산 과정'!$E$33^2)),('계산 과정'!$L$23-'계산 과정'!$C$49*D447-'계산 과정'!$D$49*E447)/F447,""),"")</x:f>
        <x:v>0.5074461523570997</x:v>
      </x:c>
      <x:c r="H447" s="4" t="n">
        <x:f>IF(AND(ISNUMBER(G447),G447&gt;0),('계산 과정'!$D$56+'계산 과정'!$D$57*D447+'계산 과정'!$D$58*E447)/F447,"")</x:f>
        <x:v>-70.16000096788541</x:v>
      </x:c>
      <x:c r="I447" s="4" t="n">
        <x:f>IF(AND(ISNUMBER(G447),G447&gt;0),('계산 과정'!$E$56+'계산 과정'!$E$57*D447+'계산 과정'!$E$58*E447)/F447,"")</x:f>
        <x:v>34.311995617913205</x:v>
      </x:c>
      <x:c r="J447" s="4" t="n">
        <x:f>IF('계산 과정'!$L$5,'계산 과정'!$D$6+'계산 과정'!$C$35*D447+'계산 과정'!$D$35*E447,"")</x:f>
        <x:v>696.5422933072471</x:v>
      </x:c>
      <x:c r="K447" s="4" t="n">
        <x:f>IF(AND('계산 과정'!$L$6,J447&gt;0),'계산 과정'!$D$10*('계산 과정'!$C$38*(D447-'계산 과정'!$C$32)+'계산 과정'!$D$38*(E447-'계산 과정'!$D$32)-'계산 과정'!$E$38*'계산 과정'!$E$32)/J447,"")</x:f>
        <x:v>-0.5345523883267442</x:v>
      </x:c>
      <x:c r="L447" s="4" t="n">
        <x:f>IF(AND('계산 과정'!$L$6,J447&gt;0),'계산 과정'!$D$10*('계산 과정'!$C$39*(D447-'계산 과정'!$C$32)+'계산 과정'!$D$39*(E447-'계산 과정'!$D$32)-'계산 과정'!$E$39*'계산 과정'!$E$32)/J447,"")</x:f>
        <x:v>0.2614247285174339</x:v>
      </x:c>
      <x:c r="M447" s="17" t="n">
        <x:f>IF('계산 과정'!$L$6,IF(J447&lt;=0,0,IF(AND(ABS(K447)&lt;='계산 과정'!$D$11/2,ABS(L447)&lt;='계산 과정'!$D$12/2),1,0)),"")</x:f>
        <x:v>1</x:v>
      </x:c>
      <x:c r="N447" s="17" t="n">
        <x:f>IF('계산 과정'!$C$78,IF(AND(ISNUMBER(H447),ISNUMBER(I447),ABS(H447-'계산 과정'!$C$88)&lt;='계산 과정'!$D$23/2,ABS(I447-'계산 과정'!$C$89)&lt;='계산 과정'!$D$24/2),1,0),"")</x:f>
        <x:v>1</x:v>
      </x:c>
      <x:c r="O447" s="4" t="n">
        <x:f>IF('계산 과정'!$L$7,'계산 과정'!$C$49*('계산 과정'!$C$32-D447)+'계산 과정'!$D$49*('계산 과정'!$D$32-E447)+'계산 과정'!$E$49*'계산 과정'!$E$32,"")</x:f>
        <x:v>-46.54229330724695</x:v>
      </x:c>
      <x:c r="P447" s="4" t="n">
        <x:f>IF(AND('계산 과정'!$L$7,O447&lt;&gt;0),('계산 과정'!$L$23-'계산 과정'!$C$49*D447-'계산 과정'!$D$49*E447)/O447,"")</x:f>
        <x:v>-7.594333703314038</x:v>
      </x:c>
      <x:c r="Q447" s="4" t="str">
        <x:f>IF(AND(ISNUMBER(P447),P447&gt;1E-9,P447&lt;1-1E-9),'계산 과정'!$C$47*(D447-'계산 과정'!$C$50+P447*('계산 과정'!$C$32-D447))+'계산 과정'!$D$47*(E447-'계산 과정'!$D$50+P447*('계산 과정'!$D$32-E447))+'계산 과정'!$E$47*(0-'계산 과정'!$E$50+P447*('계산 과정'!$E$32-0)),"")</x:f>
      </x:c>
      <x:c r="R447" s="4" t="str">
        <x:f>IF(AND(ISNUMBER(P447),P447&gt;1E-9,P447&lt;1-1E-9),'계산 과정'!$C$48*(D447-'계산 과정'!$C$50+P447*('계산 과정'!$C$32-D447))+'계산 과정'!$D$48*(E447-'계산 과정'!$D$50+P447*('계산 과정'!$D$32-E447))+'계산 과정'!$E$48*(0-'계산 과정'!$E$50+P447*('계산 과정'!$E$32-0)),"")</x:f>
      </x:c>
      <x:c r="S447" s="17" t="n">
        <x:f>IF('계산 과정'!$C$78,IF(AND(ISNUMBER(Q447),ISNUMBER(R447),ABS(Q447-'계산 과정'!$C$88)&lt;='계산 과정'!$D$23/2,ABS(R447-'계산 과정'!$C$89)&lt;='계산 과정'!$D$24/2),1,0),"")</x:f>
        <x:v>0</x:v>
      </x:c>
      <x:c r="T447" s="4"/>
      <x:c r="U447" s="4"/>
      <x:c r="V447" s="4"/>
      <x:c r="W447" s="4" t="n">
        <x:f>IF('계산 과정'!$C$78,'계산 과정'!$C$88+-1*'계산 과정'!$D$23/2,"")</x:f>
        <x:v>-231.27659574468098</x:v>
      </x:c>
      <x:c r="X447" s="4" t="str">
        <x:f>""</x:f>
      </x:c>
      <x:c r="Y447" s="4" t="n">
        <x:f>IF('계산 과정'!$C$78,'계산 과정'!$C$89+-1*'계산 과정'!$D$24/2,"")</x:f>
        <x:v>-260</x:v>
      </x:c>
      <x:c r="Z447" s="4" t="str">
        <x:f>""</x:f>
      </x:c>
    </x:row>
    <x:row r="448" ht="23" customHeight="1">
      <x:c r="A448" s="17" t="n">
        <x:f>ROW()-6</x:f>
        <x:v>442</x:v>
      </x:c>
      <x:c r="B448" s="4" t="n">
        <x:f>IF('계산 과정'!$L$5,'계산 과정'!$L$11*SQRT((A448+0.5)/'계산 과정'!$L$30),"")</x:f>
        <x:v>69.72410053426648</x:v>
      </x:c>
      <x:c r="C448" s="4" t="n">
        <x:f>A448*PI()*(3-SQRT(5))</x:f>
        <x:v>1060.7837475400647</x:v>
      </x:c>
      <x:c r="D448" s="4" t="n">
        <x:f>IF('계산 과정'!$L$5,B448*COS(C448),"")</x:f>
        <x:v>33.19640942619737</x:v>
      </x:c>
      <x:c r="E448" s="4" t="n">
        <x:f>IF('계산 과정'!$L$5,B448*SIN(C448),"")</x:f>
        <x:v>-61.31434250255623</x:v>
      </x:c>
      <x:c r="F448" s="4" t="n">
        <x:f>IF('계산 과정'!$L$7,'계산 과정'!$L$22+'계산 과정'!$C$49*D448+'계산 과정'!$D$49*E448,"")</x:f>
        <x:v>626.5265937836908</x:v>
      </x:c>
      <x:c r="G448" s="4" t="n">
        <x:f>IF('계산 과정'!$L$7,IF(ABS(F448)&gt;=1E-12*MAX(1,SQRT((D448-'계산 과정'!$C$33)^2+(E448-'계산 과정'!$D$33)^2+'계산 과정'!$E$33^2)),('계산 과정'!$L$23-'계산 과정'!$C$49*D448-'계산 과정'!$D$49*E448)/F448,""),"")</x:f>
        <x:v>0.675906514452783</x:v>
      </x:c>
      <x:c r="H448" s="4" t="n">
        <x:f>IF(AND(ISNUMBER(G448),G448&gt;0),('계산 과정'!$D$56+'계산 과정'!$D$57*D448+'계산 과정'!$D$58*E448)/F448,"")</x:f>
        <x:v>39.33923439430892</x:v>
      </x:c>
      <x:c r="I448" s="4" t="n">
        <x:f>IF(AND(ISNUMBER(G448),G448&gt;0),('계산 과정'!$E$56+'계산 과정'!$E$57*D448+'계산 과정'!$E$58*E448)/F448,"")</x:f>
        <x:v>-102.75710602942314</x:v>
      </x:c>
      <x:c r="J448" s="4" t="n">
        <x:f>IF('계산 과정'!$L$5,'계산 과정'!$D$6+'계산 과정'!$C$35*D448+'계산 과정'!$D$35*E448,"")</x:f>
        <x:v>626.5265937836908</x:v>
      </x:c>
      <x:c r="K448" s="4" t="n">
        <x:f>IF(AND('계산 과정'!$L$6,J448&gt;0),'계산 과정'!$D$10*('계산 과정'!$C$38*(D448-'계산 과정'!$C$32)+'계산 과정'!$D$38*(E448-'계산 과정'!$D$32)-'계산 과정'!$E$38*'계산 과정'!$E$32)/J448,"")</x:f>
        <x:v>0.29972750014711613</x:v>
      </x:c>
      <x:c r="L448" s="4" t="n">
        <x:f>IF(AND('계산 과정'!$L$6,J448&gt;0),'계산 과정'!$D$10*('계산 과정'!$C$39*(D448-'계산 과정'!$C$32)+'계산 과정'!$D$39*(E448-'계산 과정'!$D$32)-'계산 과정'!$E$39*'계산 과정'!$E$32)/J448,"")</x:f>
        <x:v>-0.7829112840337001</x:v>
      </x:c>
      <x:c r="M448" s="17" t="n">
        <x:f>IF('계산 과정'!$L$6,IF(J448&lt;=0,0,IF(AND(ABS(K448)&lt;='계산 과정'!$D$11/2,ABS(L448)&lt;='계산 과정'!$D$12/2),1,0)),"")</x:f>
        <x:v>1</x:v>
      </x:c>
      <x:c r="N448" s="17" t="n">
        <x:f>IF('계산 과정'!$C$78,IF(AND(ISNUMBER(H448),ISNUMBER(I448),ABS(H448-'계산 과정'!$C$88)&lt;='계산 과정'!$D$23/2,ABS(I448-'계산 과정'!$C$89)&lt;='계산 과정'!$D$24/2),1,0),"")</x:f>
        <x:v>1</x:v>
      </x:c>
      <x:c r="O448" s="4" t="n">
        <x:f>IF('계산 과정'!$L$7,'계산 과정'!$C$49*('계산 과정'!$C$32-D448)+'계산 과정'!$D$49*('계산 과정'!$D$32-E448)+'계산 과정'!$E$49*'계산 과정'!$E$32,"")</x:f>
        <x:v>23.473406216309286</x:v>
      </x:c>
      <x:c r="P448" s="4" t="n">
        <x:f>IF(AND('계산 과정'!$L$7,O448&lt;&gt;0),('계산 과정'!$L$23-'계산 과정'!$C$49*D448-'계산 과정'!$D$49*E448)/O448,"")</x:f>
        <x:v>18.040560552395693</x:v>
      </x:c>
      <x:c r="Q448" s="4" t="str">
        <x:f>IF(AND(ISNUMBER(P448),P448&gt;1E-9,P448&lt;1-1E-9),'계산 과정'!$C$47*(D448-'계산 과정'!$C$50+P448*('계산 과정'!$C$32-D448))+'계산 과정'!$D$47*(E448-'계산 과정'!$D$50+P448*('계산 과정'!$D$32-E448))+'계산 과정'!$E$47*(0-'계산 과정'!$E$50+P448*('계산 과정'!$E$32-0)),"")</x:f>
      </x:c>
      <x:c r="R448" s="4" t="str">
        <x:f>IF(AND(ISNUMBER(P448),P448&gt;1E-9,P448&lt;1-1E-9),'계산 과정'!$C$48*(D448-'계산 과정'!$C$50+P448*('계산 과정'!$C$32-D448))+'계산 과정'!$D$48*(E448-'계산 과정'!$D$50+P448*('계산 과정'!$D$32-E448))+'계산 과정'!$E$48*(0-'계산 과정'!$E$50+P448*('계산 과정'!$E$32-0)),"")</x:f>
      </x:c>
      <x:c r="S448" s="17" t="n">
        <x:f>IF('계산 과정'!$C$78,IF(AND(ISNUMBER(Q448),ISNUMBER(R448),ABS(Q448-'계산 과정'!$C$88)&lt;='계산 과정'!$D$23/2,ABS(R448-'계산 과정'!$C$89)&lt;='계산 과정'!$D$24/2),1,0),"")</x:f>
        <x:v>0</x:v>
      </x:c>
      <x:c r="T448" s="4"/>
      <x:c r="U448" s="4"/>
      <x:c r="V448" s="4"/>
      <x:c r="W448" s="4" t="n">
        <x:f>IF('계산 과정'!$C$78,'계산 과정'!$C$88+-1*'계산 과정'!$C$90/2,"")</x:f>
        <x:v>-152.30104978473645</x:v>
      </x:c>
      <x:c r="X448" s="4" t="str">
        <x:f>""</x:f>
      </x:c>
      <x:c r="Y448" s="4" t="str">
        <x:f>""</x:f>
      </x:c>
      <x:c r="Z448" s="4" t="n">
        <x:f>IF('계산 과정'!$C$78,'계산 과정'!$C$89+-1*'계산 과정'!$C$91/2,"")</x:f>
        <x:v>-250.5995703094169</x:v>
      </x:c>
    </x:row>
    <x:row r="449" ht="23" customHeight="1">
      <x:c r="A449" s="17" t="n">
        <x:f>ROW()-6</x:f>
        <x:v>443</x:v>
      </x:c>
      <x:c r="B449" s="4" t="n">
        <x:f>IF('계산 과정'!$L$5,'계산 과정'!$L$11*SQRT((A449+0.5)/'계산 과정'!$L$30),"")</x:f>
        <x:v>69.80284036797859</x:v>
      </x:c>
      <x:c r="C449" s="4" t="n">
        <x:f>A449*PI()*(3-SQRT(5))</x:f>
        <x:v>1063.1837107697932</x:v>
      </x:c>
      <x:c r="D449" s="4" t="n">
        <x:f>IF('계산 과정'!$L$5,B449*COS(C449),"")</x:f>
        <x:v>16.958373671914103</x:v>
      </x:c>
      <x:c r="E449" s="4" t="n">
        <x:f>IF('계산 과정'!$L$5,B449*SIN(C449),"")</x:f>
        <x:v>67.71152107168493</x:v>
      </x:c>
      <x:c r="F449" s="4" t="n">
        <x:f>IF('계산 과정'!$L$7,'계산 과정'!$L$22+'계산 과정'!$C$49*D449+'계산 과정'!$D$49*E449,"")</x:f>
        <x:v>638.0086189786941</x:v>
      </x:c>
      <x:c r="G449" s="4" t="n">
        <x:f>IF('계산 과정'!$L$7,IF(ABS(F449)&gt;=1E-12*MAX(1,SQRT((D449-'계산 과정'!$C$33)^2+(E449-'계산 과정'!$D$33)^2+'계산 과정'!$E$33^2)),('계산 과정'!$L$23-'계산 과정'!$C$49*D449-'계산 과정'!$D$49*E449)/F449,""),"")</x:f>
        <x:v>0.6457457920879028</x:v>
      </x:c>
      <x:c r="H449" s="4" t="n">
        <x:f>IF(AND(ISNUMBER(G449),G449&gt;0),('계산 과정'!$D$56+'계산 과정'!$D$57*D449+'계산 과정'!$D$58*E449)/F449,"")</x:f>
        <x:v>19.73476485713677</x:v>
      </x:c>
      <x:c r="I449" s="4" t="n">
        <x:f>IF(AND(ISNUMBER(G449),G449&gt;0),('계산 과정'!$E$56+'계산 과정'!$E$57*D449+'계산 과정'!$E$58*E449)/F449,"")</x:f>
        <x:v>111.43595087959683</x:v>
      </x:c>
      <x:c r="J449" s="4" t="n">
        <x:f>IF('계산 과정'!$L$5,'계산 과정'!$D$6+'계산 과정'!$C$35*D449+'계산 과정'!$D$35*E449,"")</x:f>
        <x:v>638.0086189786941</x:v>
      </x:c>
      <x:c r="K449" s="4" t="n">
        <x:f>IF(AND('계산 과정'!$L$6,J449&gt;0),'계산 과정'!$D$10*('계산 과정'!$C$38*(D449-'계산 과정'!$C$32)+'계산 과정'!$D$38*(E449-'계산 과정'!$D$32)-'계산 과정'!$E$38*'계산 과정'!$E$32)/J449,"")</x:f>
        <x:v>0.15036011319723333</x:v>
      </x:c>
      <x:c r="L449" s="4" t="n">
        <x:f>IF(AND('계산 과정'!$L$6,J449&gt;0),'계산 과정'!$D$10*('계산 과정'!$C$39*(D449-'계산 과정'!$C$32)+'계산 과정'!$D$39*(E449-'계산 과정'!$D$32)-'계산 과정'!$E$39*'계산 과정'!$E$32)/J449,"")</x:f>
        <x:v>0.8490358162254997</x:v>
      </x:c>
      <x:c r="M449" s="17" t="n">
        <x:f>IF('계산 과정'!$L$6,IF(J449&lt;=0,0,IF(AND(ABS(K449)&lt;='계산 과정'!$D$11/2,ABS(L449)&lt;='계산 과정'!$D$12/2),1,0)),"")</x:f>
        <x:v>1</x:v>
      </x:c>
      <x:c r="N449" s="17" t="n">
        <x:f>IF('계산 과정'!$C$78,IF(AND(ISNUMBER(H449),ISNUMBER(I449),ABS(H449-'계산 과정'!$C$88)&lt;='계산 과정'!$D$23/2,ABS(I449-'계산 과정'!$C$89)&lt;='계산 과정'!$D$24/2),1,0),"")</x:f>
        <x:v>1</x:v>
      </x:c>
      <x:c r="O449" s="4" t="n">
        <x:f>IF('계산 과정'!$L$7,'계산 과정'!$C$49*('계산 과정'!$C$32-D449)+'계산 과정'!$D$49*('계산 과정'!$D$32-E449)+'계산 과정'!$E$49*'계산 과정'!$E$32,"")</x:f>
        <x:v>11.991381021305983</x:v>
      </x:c>
      <x:c r="P449" s="4" t="n">
        <x:f>IF(AND('계산 과정'!$L$7,O449&lt;&gt;0),('계산 과정'!$L$23-'계산 과정'!$C$49*D449-'계산 과정'!$D$49*E449)/O449,"")</x:f>
        <x:v>34.357292149193654</x:v>
      </x:c>
      <x:c r="Q449" s="4" t="str">
        <x:f>IF(AND(ISNUMBER(P449),P449&gt;1E-9,P449&lt;1-1E-9),'계산 과정'!$C$47*(D449-'계산 과정'!$C$50+P449*('계산 과정'!$C$32-D449))+'계산 과정'!$D$47*(E449-'계산 과정'!$D$50+P449*('계산 과정'!$D$32-E449))+'계산 과정'!$E$47*(0-'계산 과정'!$E$50+P449*('계산 과정'!$E$32-0)),"")</x:f>
      </x:c>
      <x:c r="R449" s="4" t="str">
        <x:f>IF(AND(ISNUMBER(P449),P449&gt;1E-9,P449&lt;1-1E-9),'계산 과정'!$C$48*(D449-'계산 과정'!$C$50+P449*('계산 과정'!$C$32-D449))+'계산 과정'!$D$48*(E449-'계산 과정'!$D$50+P449*('계산 과정'!$D$32-E449))+'계산 과정'!$E$48*(0-'계산 과정'!$E$50+P449*('계산 과정'!$E$32-0)),"")</x:f>
      </x:c>
      <x:c r="S449" s="17" t="n">
        <x:f>IF('계산 과정'!$C$78,IF(AND(ISNUMBER(Q449),ISNUMBER(R449),ABS(Q449-'계산 과정'!$C$88)&lt;='계산 과정'!$D$23/2,ABS(R449-'계산 과정'!$C$89)&lt;='계산 과정'!$D$24/2),1,0),"")</x:f>
        <x:v>0</x:v>
      </x:c>
      <x:c r="T449" s="4"/>
      <x:c r="U449" s="4"/>
      <x:c r="V449" s="4"/>
      <x:c r="W449" s="4" t="n">
        <x:f>IF('계산 과정'!$C$78,'계산 과정'!$C$88+-0.96*'계산 과정'!$C$90/2,"")</x:f>
        <x:v>-145.06007162313423</x:v>
      </x:c>
      <x:c r="X449" s="4" t="str">
        <x:f>""</x:f>
      </x:c>
      <x:c r="Y449" s="4" t="str">
        <x:f>""</x:f>
      </x:c>
      <x:c r="Z449" s="4" t="n">
        <x:f>IF('계산 과정'!$C$78,'계산 과정'!$C$89+-1*'계산 과정'!$C$91/2,"")</x:f>
        <x:v>-250.5995703094169</x:v>
      </x:c>
    </x:row>
    <x:row r="450" ht="23" customHeight="1">
      <x:c r="A450" s="17" t="n">
        <x:f>ROW()-6</x:f>
        <x:v>444</x:v>
      </x:c>
      <x:c r="B450" s="4" t="n">
        <x:f>IF('계산 과정'!$L$5,'계산 과정'!$L$11*SQRT((A450+0.5)/'계산 과정'!$L$30),"")</x:f>
        <x:v>69.88149148066675</x:v>
      </x:c>
      <x:c r="C450" s="4" t="n">
        <x:f>A450*PI()*(3-SQRT(5))</x:f>
        <x:v>1065.5836739995218</x:v>
      </x:c>
      <x:c r="D450" s="4" t="n">
        <x:f>IF('계산 과정'!$L$5,B450*COS(C450),"")</x:f>
        <x:v>-58.30867825729757</x:v>
      </x:c>
      <x:c r="E450" s="4" t="n">
        <x:f>IF('계산 과정'!$L$5,B450*SIN(C450),"")</x:f>
        <x:v>-38.51650154738165</x:v>
      </x:c>
      <x:c r="F450" s="4" t="n">
        <x:f>IF('계산 과정'!$L$7,'계산 과정'!$L$22+'계산 과정'!$C$49*D450+'계산 과정'!$D$49*E450,"")</x:f>
        <x:v>691.2304617977597</x:v>
      </x:c>
      <x:c r="G450" s="4" t="n">
        <x:f>IF('계산 과정'!$L$7,IF(ABS(F450)&gt;=1E-12*MAX(1,SQRT((D450-'계산 과정'!$C$33)^2+(E450-'계산 과정'!$D$33)^2+'계산 과정'!$E$33^2)),('계산 과정'!$L$23-'계산 과정'!$C$49*D450-'계산 과정'!$D$49*E450)/F450,""),"")</x:f>
        <x:v>0.5190302772090636</x:v>
      </x:c>
      <x:c r="H450" s="4" t="n">
        <x:f>IF(AND(ISNUMBER(G450),G450&gt;0),('계산 과정'!$D$56+'계산 과정'!$D$57*D450+'계산 과정'!$D$58*E450)/F450,"")</x:f>
        <x:v>-62.630319814108766</x:v>
      </x:c>
      <x:c r="I450" s="4" t="n">
        <x:f>IF(AND(ISNUMBER(G450),G450&gt;0),('계산 과정'!$E$56+'계산 과정'!$E$57*D450+'계산 과정'!$E$58*E450)/F450,"")</x:f>
        <x:v>-58.50773202264248</x:v>
      </x:c>
      <x:c r="J450" s="4" t="n">
        <x:f>IF('계산 과정'!$L$5,'계산 과정'!$D$6+'계산 과정'!$C$35*D450+'계산 과정'!$D$35*E450,"")</x:f>
        <x:v>691.2304617977597</x:v>
      </x:c>
      <x:c r="K450" s="4" t="n">
        <x:f>IF(AND('계산 과정'!$L$6,J450&gt;0),'계산 과정'!$D$10*('계산 과정'!$C$38*(D450-'계산 과정'!$C$32)+'계산 과정'!$D$38*(E450-'계산 과정'!$D$32)-'계산 과정'!$E$38*'계산 과정'!$E$32)/J450,"")</x:f>
        <x:v>-0.47718338905987573</x:v>
      </x:c>
      <x:c r="L450" s="4" t="n">
        <x:f>IF(AND('계산 과정'!$L$6,J450&gt;0),'계산 과정'!$D$10*('계산 과정'!$C$39*(D450-'계산 과정'!$C$32)+'계산 과정'!$D$39*(E450-'계산 과정'!$D$32)-'계산 과정'!$E$39*'계산 과정'!$E$32)/J450,"")</x:f>
        <x:v>-0.4457731963629903</x:v>
      </x:c>
      <x:c r="M450" s="17" t="n">
        <x:f>IF('계산 과정'!$L$6,IF(J450&lt;=0,0,IF(AND(ABS(K450)&lt;='계산 과정'!$D$11/2,ABS(L450)&lt;='계산 과정'!$D$12/2),1,0)),"")</x:f>
        <x:v>1</x:v>
      </x:c>
      <x:c r="N450" s="17" t="n">
        <x:f>IF('계산 과정'!$C$78,IF(AND(ISNUMBER(H450),ISNUMBER(I450),ABS(H450-'계산 과정'!$C$88)&lt;='계산 과정'!$D$23/2,ABS(I450-'계산 과정'!$C$89)&lt;='계산 과정'!$D$24/2),1,0),"")</x:f>
        <x:v>1</x:v>
      </x:c>
      <x:c r="O450" s="4" t="n">
        <x:f>IF('계산 과정'!$L$7,'계산 과정'!$C$49*('계산 과정'!$C$32-D450)+'계산 과정'!$D$49*('계산 과정'!$D$32-E450)+'계산 과정'!$E$49*'계산 과정'!$E$32,"")</x:f>
        <x:v>-41.23046179775963</x:v>
      </x:c>
      <x:c r="P450" s="4" t="n">
        <x:f>IF(AND('계산 과정'!$L$7,O450&lt;&gt;0),('계산 과정'!$L$23-'계산 과정'!$C$49*D450-'계산 과정'!$D$49*E450)/O450,"")</x:f>
        <x:v>-8.701564876038692</x:v>
      </x:c>
      <x:c r="Q450" s="4" t="str">
        <x:f>IF(AND(ISNUMBER(P450),P450&gt;1E-9,P450&lt;1-1E-9),'계산 과정'!$C$47*(D450-'계산 과정'!$C$50+P450*('계산 과정'!$C$32-D450))+'계산 과정'!$D$47*(E450-'계산 과정'!$D$50+P450*('계산 과정'!$D$32-E450))+'계산 과정'!$E$47*(0-'계산 과정'!$E$50+P450*('계산 과정'!$E$32-0)),"")</x:f>
      </x:c>
      <x:c r="R450" s="4" t="str">
        <x:f>IF(AND(ISNUMBER(P450),P450&gt;1E-9,P450&lt;1-1E-9),'계산 과정'!$C$48*(D450-'계산 과정'!$C$50+P450*('계산 과정'!$C$32-D450))+'계산 과정'!$D$48*(E450-'계산 과정'!$D$50+P450*('계산 과정'!$D$32-E450))+'계산 과정'!$E$48*(0-'계산 과정'!$E$50+P450*('계산 과정'!$E$32-0)),"")</x:f>
      </x:c>
      <x:c r="S450" s="17" t="n">
        <x:f>IF('계산 과정'!$C$78,IF(AND(ISNUMBER(Q450),ISNUMBER(R450),ABS(Q450-'계산 과정'!$C$88)&lt;='계산 과정'!$D$23/2,ABS(R450-'계산 과정'!$C$89)&lt;='계산 과정'!$D$24/2),1,0),"")</x:f>
        <x:v>0</x:v>
      </x:c>
      <x:c r="T450" s="4"/>
      <x:c r="U450" s="4"/>
      <x:c r="V450" s="4"/>
      <x:c r="W450" s="4" t="n">
        <x:f>IF('계산 과정'!$C$78,'계산 과정'!$C$88+-0.92*'계산 과정'!$C$90/2,"")</x:f>
        <x:v>-137.81909346153202</x:v>
      </x:c>
      <x:c r="X450" s="4" t="str">
        <x:f>""</x:f>
      </x:c>
      <x:c r="Y450" s="4" t="str">
        <x:f>""</x:f>
      </x:c>
      <x:c r="Z450" s="4" t="n">
        <x:f>IF('계산 과정'!$C$78,'계산 과정'!$C$89+-1*'계산 과정'!$C$91/2,"")</x:f>
        <x:v>-250.5995703094169</x:v>
      </x:c>
    </x:row>
    <x:row r="451" ht="23" customHeight="1">
      <x:c r="A451" s="17" t="n">
        <x:f>ROW()-6</x:f>
        <x:v>445</x:v>
      </x:c>
      <x:c r="B451" s="4" t="n">
        <x:f>IF('계산 과정'!$L$5,'계산 과정'!$L$11*SQRT((A451+0.5)/'계산 과정'!$L$30),"")</x:f>
        <x:v>69.96005417155922</x:v>
      </x:c>
      <x:c r="C451" s="4" t="n">
        <x:f>A451*PI()*(3-SQRT(5))</x:f>
        <x:v>1067.9836372292505</x:v>
      </x:c>
      <x:c r="D451" s="4" t="n">
        <x:f>IF('계산 과정'!$L$5,B451*COS(C451),"")</x:f>
        <x:v>69.09011341086132</x:v>
      </x:c>
      <x:c r="E451" s="4" t="n">
        <x:f>IF('계산 과정'!$L$5,B451*SIN(C451),"")</x:f>
        <x:v>-10.998427549510053</x:v>
      </x:c>
      <x:c r="F451" s="4" t="n">
        <x:f>IF('계산 과정'!$L$7,'계산 과정'!$L$22+'계산 과정'!$C$49*D451+'계산 과정'!$D$49*E451,"")</x:f>
        <x:v>601.1459122942323</x:v>
      </x:c>
      <x:c r="G451" s="4" t="n">
        <x:f>IF('계산 과정'!$L$7,IF(ABS(F451)&gt;=1E-12*MAX(1,SQRT((D451-'계산 과정'!$C$33)^2+(E451-'계산 과정'!$D$33)^2+'계산 과정'!$E$33^2)),('계산 과정'!$L$23-'계산 과정'!$C$49*D451-'계산 과정'!$D$49*E451)/F451,""),"")</x:f>
        <x:v>0.7466641268386018</x:v>
      </x:c>
      <x:c r="H451" s="4" t="n">
        <x:f>IF(AND(ISNUMBER(G451),G451&gt;0),('계산 과정'!$D$56+'계산 과정'!$D$57*D451+'계산 과정'!$D$58*E451)/F451,"")</x:f>
        <x:v>85.33168244509106</x:v>
      </x:c>
      <x:c r="I451" s="4" t="n">
        <x:f>IF(AND(ISNUMBER(G451),G451&gt;0),('계산 과정'!$E$56+'계산 과정'!$E$57*D451+'계산 과정'!$E$58*E451)/F451,"")</x:f>
        <x:v>-19.210558852362603</x:v>
      </x:c>
      <x:c r="J451" s="4" t="n">
        <x:f>IF('계산 과정'!$L$5,'계산 과정'!$D$6+'계산 과정'!$C$35*D451+'계산 과정'!$D$35*E451,"")</x:f>
        <x:v>601.1459122942323</x:v>
      </x:c>
      <x:c r="K451" s="4" t="n">
        <x:f>IF(AND('계산 과정'!$L$6,J451&gt;0),'계산 과정'!$D$10*('계산 과정'!$C$38*(D451-'계산 과정'!$C$32)+'계산 과정'!$D$38*(E451-'계산 과정'!$D$32)-'계산 과정'!$E$38*'계산 과정'!$E$32)/J451,"")</x:f>
        <x:v>0.6501461519625992</x:v>
      </x:c>
      <x:c r="L451" s="4" t="n">
        <x:f>IF(AND('계산 과정'!$L$6,J451&gt;0),'계산 과정'!$D$10*('계산 과정'!$C$39*(D451-'계산 과정'!$C$32)+'계산 과정'!$D$39*(E451-'계산 과정'!$D$32)-'계산 과정'!$E$39*'계산 과정'!$E$32)/J451,"")</x:f>
        <x:v>-0.14636616268466743</x:v>
      </x:c>
      <x:c r="M451" s="17" t="n">
        <x:f>IF('계산 과정'!$L$6,IF(J451&lt;=0,0,IF(AND(ABS(K451)&lt;='계산 과정'!$D$11/2,ABS(L451)&lt;='계산 과정'!$D$12/2),1,0)),"")</x:f>
        <x:v>1</x:v>
      </x:c>
      <x:c r="N451" s="17" t="n">
        <x:f>IF('계산 과정'!$C$78,IF(AND(ISNUMBER(H451),ISNUMBER(I451),ABS(H451-'계산 과정'!$C$88)&lt;='계산 과정'!$D$23/2,ABS(I451-'계산 과정'!$C$89)&lt;='계산 과정'!$D$24/2),1,0),"")</x:f>
        <x:v>1</x:v>
      </x:c>
      <x:c r="O451" s="4" t="n">
        <x:f>IF('계산 과정'!$L$7,'계산 과정'!$C$49*('계산 과정'!$C$32-D451)+'계산 과정'!$D$49*('계산 과정'!$D$32-E451)+'계산 과정'!$E$49*'계산 과정'!$E$32,"")</x:f>
        <x:v>48.85408770576777</x:v>
      </x:c>
      <x:c r="P451" s="4" t="n">
        <x:f>IF(AND('계산 과정'!$L$7,O451&lt;&gt;0),('계산 과정'!$L$23-'계산 과정'!$C$49*D451-'계산 과정'!$D$49*E451)/O451,"")</x:f>
        <x:v>9.18764649560277</x:v>
      </x:c>
      <x:c r="Q451" s="4" t="str">
        <x:f>IF(AND(ISNUMBER(P451),P451&gt;1E-9,P451&lt;1-1E-9),'계산 과정'!$C$47*(D451-'계산 과정'!$C$50+P451*('계산 과정'!$C$32-D451))+'계산 과정'!$D$47*(E451-'계산 과정'!$D$50+P451*('계산 과정'!$D$32-E451))+'계산 과정'!$E$47*(0-'계산 과정'!$E$50+P451*('계산 과정'!$E$32-0)),"")</x:f>
      </x:c>
      <x:c r="R451" s="4" t="str">
        <x:f>IF(AND(ISNUMBER(P451),P451&gt;1E-9,P451&lt;1-1E-9),'계산 과정'!$C$48*(D451-'계산 과정'!$C$50+P451*('계산 과정'!$C$32-D451))+'계산 과정'!$D$48*(E451-'계산 과정'!$D$50+P451*('계산 과정'!$D$32-E451))+'계산 과정'!$E$48*(0-'계산 과정'!$E$50+P451*('계산 과정'!$E$32-0)),"")</x:f>
      </x:c>
      <x:c r="S451" s="17" t="n">
        <x:f>IF('계산 과정'!$C$78,IF(AND(ISNUMBER(Q451),ISNUMBER(R451),ABS(Q451-'계산 과정'!$C$88)&lt;='계산 과정'!$D$23/2,ABS(R451-'계산 과정'!$C$89)&lt;='계산 과정'!$D$24/2),1,0),"")</x:f>
        <x:v>0</x:v>
      </x:c>
      <x:c r="T451" s="4"/>
      <x:c r="U451" s="4"/>
      <x:c r="V451" s="4"/>
      <x:c r="W451" s="4" t="n">
        <x:f>IF('계산 과정'!$C$78,'계산 과정'!$C$88+-0.88*'계산 과정'!$C$90/2,"")</x:f>
        <x:v>-130.5781152999298</x:v>
      </x:c>
      <x:c r="X451" s="4" t="str">
        <x:f>""</x:f>
      </x:c>
      <x:c r="Y451" s="4" t="str">
        <x:f>""</x:f>
      </x:c>
      <x:c r="Z451" s="4" t="n">
        <x:f>IF('계산 과정'!$C$78,'계산 과정'!$C$89+-1*'계산 과정'!$C$91/2,"")</x:f>
        <x:v>-250.5995703094169</x:v>
      </x:c>
    </x:row>
    <x:row r="452" ht="23" customHeight="1">
      <x:c r="A452" s="17" t="n">
        <x:f>ROW()-6</x:f>
        <x:v>446</x:v>
      </x:c>
      <x:c r="B452" s="4" t="n">
        <x:f>IF('계산 과정'!$L$5,'계산 과정'!$L$11*SQRT((A452+0.5)/'계산 과정'!$L$30),"")</x:f>
        <x:v>70.03852873820594</x:v>
      </x:c>
      <x:c r="C452" s="4" t="n">
        <x:f>A452*PI()*(3-SQRT(5))</x:f>
        <x:v>1070.3836004589791</x:v>
      </x:c>
      <x:c r="D452" s="4" t="n">
        <x:f>IF('계산 과정'!$L$5,B452*COS(C452),"")</x:f>
        <x:v>-43.56437999581379</x:v>
      </x:c>
      <x:c r="E452" s="4" t="n">
        <x:f>IF('계산 과정'!$L$5,B452*SIN(C452),"")</x:f>
        <x:v>54.84104579047375</x:v>
      </x:c>
      <x:c r="F452" s="4" t="n">
        <x:f>IF('계산 과정'!$L$7,'계산 과정'!$L$22+'계산 과정'!$C$49*D452+'계산 과정'!$D$49*E452,"")</x:f>
        <x:v>680.8046685132275</x:v>
      </x:c>
      <x:c r="G452" s="4" t="n">
        <x:f>IF('계산 과정'!$L$7,IF(ABS(F452)&gt;=1E-12*MAX(1,SQRT((D452-'계산 과정'!$C$33)^2+(E452-'계산 과정'!$D$33)^2+'계산 과정'!$E$33^2)),('계산 과정'!$L$23-'계산 과정'!$C$49*D452-'계산 과정'!$D$49*E452)/F452,""),"")</x:f>
        <x:v>0.5422925966313337</x:v>
      </x:c>
      <x:c r="H452" s="4" t="n">
        <x:f>IF(AND(ISNUMBER(G452),G452&gt;0),('계산 과정'!$D$56+'계산 과정'!$D$57*D452+'계산 과정'!$D$58*E452)/F452,"")</x:f>
        <x:v>-47.50981218963326</x:v>
      </x:c>
      <x:c r="I452" s="4" t="n">
        <x:f>IF(AND(ISNUMBER(G452),G452&gt;0),('계산 과정'!$E$56+'계산 과정'!$E$57*D452+'계산 과정'!$E$58*E452)/F452,"")</x:f>
        <x:v>84.58093891416762</x:v>
      </x:c>
      <x:c r="J452" s="4" t="n">
        <x:f>IF('계산 과정'!$L$5,'계산 과정'!$D$6+'계산 과정'!$C$35*D452+'계산 과정'!$D$35*E452,"")</x:f>
        <x:v>680.8046685132275</x:v>
      </x:c>
      <x:c r="K452" s="4" t="n">
        <x:f>IF(AND('계산 과정'!$L$6,J452&gt;0),'계산 과정'!$D$10*('계산 과정'!$C$38*(D452-'계산 과정'!$C$32)+'계산 과정'!$D$38*(E452-'계산 과정'!$D$32)-'계산 과정'!$E$38*'계산 과정'!$E$32)/J452,"")</x:f>
        <x:v>-0.3619795214448239</x:v>
      </x:c>
      <x:c r="L452" s="4" t="n">
        <x:f>IF(AND('계산 과정'!$L$6,J452&gt;0),'계산 과정'!$D$10*('계산 과정'!$C$39*(D452-'계산 과정'!$C$32)+'계산 과정'!$D$39*(E452-'계산 과정'!$D$32)-'계산 과정'!$E$39*'계산 과정'!$E$32)/J452,"")</x:f>
        <x:v>0.644426201250801</x:v>
      </x:c>
      <x:c r="M452" s="17" t="n">
        <x:f>IF('계산 과정'!$L$6,IF(J452&lt;=0,0,IF(AND(ABS(K452)&lt;='계산 과정'!$D$11/2,ABS(L452)&lt;='계산 과정'!$D$12/2),1,0)),"")</x:f>
        <x:v>1</x:v>
      </x:c>
      <x:c r="N452" s="17" t="n">
        <x:f>IF('계산 과정'!$C$78,IF(AND(ISNUMBER(H452),ISNUMBER(I452),ABS(H452-'계산 과정'!$C$88)&lt;='계산 과정'!$D$23/2,ABS(I452-'계산 과정'!$C$89)&lt;='계산 과정'!$D$24/2),1,0),"")</x:f>
        <x:v>1</x:v>
      </x:c>
      <x:c r="O452" s="4" t="n">
        <x:f>IF('계산 과정'!$L$7,'계산 과정'!$C$49*('계산 과정'!$C$32-D452)+'계산 과정'!$D$49*('계산 과정'!$D$32-E452)+'계산 과정'!$E$49*'계산 과정'!$E$32,"")</x:f>
        <x:v>-30.804668513227398</x:v>
      </x:c>
      <x:c r="P452" s="4" t="n">
        <x:f>IF(AND('계산 과정'!$L$7,O452&lt;&gt;0),('계산 과정'!$L$23-'계산 과정'!$C$49*D452-'계산 과정'!$D$49*E452)/O452,"")</x:f>
        <x:v>-11.98504477749019</x:v>
      </x:c>
      <x:c r="Q452" s="4" t="str">
        <x:f>IF(AND(ISNUMBER(P452),P452&gt;1E-9,P452&lt;1-1E-9),'계산 과정'!$C$47*(D452-'계산 과정'!$C$50+P452*('계산 과정'!$C$32-D452))+'계산 과정'!$D$47*(E452-'계산 과정'!$D$50+P452*('계산 과정'!$D$32-E452))+'계산 과정'!$E$47*(0-'계산 과정'!$E$50+P452*('계산 과정'!$E$32-0)),"")</x:f>
      </x:c>
      <x:c r="R452" s="4" t="str">
        <x:f>IF(AND(ISNUMBER(P452),P452&gt;1E-9,P452&lt;1-1E-9),'계산 과정'!$C$48*(D452-'계산 과정'!$C$50+P452*('계산 과정'!$C$32-D452))+'계산 과정'!$D$48*(E452-'계산 과정'!$D$50+P452*('계산 과정'!$D$32-E452))+'계산 과정'!$E$48*(0-'계산 과정'!$E$50+P452*('계산 과정'!$E$32-0)),"")</x:f>
      </x:c>
      <x:c r="S452" s="17" t="n">
        <x:f>IF('계산 과정'!$C$78,IF(AND(ISNUMBER(Q452),ISNUMBER(R452),ABS(Q452-'계산 과정'!$C$88)&lt;='계산 과정'!$D$23/2,ABS(R452-'계산 과정'!$C$89)&lt;='계산 과정'!$D$24/2),1,0),"")</x:f>
        <x:v>0</x:v>
      </x:c>
      <x:c r="T452" s="4"/>
      <x:c r="U452" s="4"/>
      <x:c r="V452" s="4"/>
      <x:c r="W452" s="4" t="n">
        <x:f>IF('계산 과정'!$C$78,'계산 과정'!$C$88+-0.84*'계산 과정'!$C$90/2,"")</x:f>
        <x:v>-123.33713713832756</x:v>
      </x:c>
      <x:c r="X452" s="4" t="str">
        <x:f>""</x:f>
      </x:c>
      <x:c r="Y452" s="4" t="str">
        <x:f>""</x:f>
      </x:c>
      <x:c r="Z452" s="4" t="n">
        <x:f>IF('계산 과정'!$C$78,'계산 과정'!$C$89+-1*'계산 과정'!$C$91/2,"")</x:f>
        <x:v>-250.5995703094169</x:v>
      </x:c>
    </x:row>
    <x:row r="453" ht="23" customHeight="1">
      <x:c r="A453" s="17" t="n">
        <x:f>ROW()-6</x:f>
        <x:v>447</x:v>
      </x:c>
      <x:c r="B453" s="4" t="n">
        <x:f>IF('계산 과정'!$L$5,'계산 과정'!$L$11*SQRT((A453+0.5)/'계산 과정'!$L$30),"")</x:f>
        <x:v>70.11691547649184</x:v>
      </x:c>
      <x:c r="C453" s="4" t="n">
        <x:f>A453*PI()*(3-SQRT(5))</x:f>
        <x:v>1072.7835636887078</x:v>
      </x:c>
      <x:c r="D453" s="4" t="n">
        <x:f>IF('계산 과정'!$L$5,B453*COS(C453),"")</x:f>
        <x:v>-4.927084358041971</x:v>
      </x:c>
      <x:c r="E453" s="4" t="n">
        <x:f>IF('계산 과정'!$L$5,B453*SIN(C453),"")</x:f>
        <x:v>-69.94358923923077</x:v>
      </x:c>
      <x:c r="F453" s="4" t="n">
        <x:f>IF('계산 과정'!$L$7,'계산 과정'!$L$22+'계산 과정'!$C$49*D453+'계산 과정'!$D$49*E453,"")</x:f>
        <x:v>653.4839747610497</x:v>
      </x:c>
      <x:c r="G453" s="4" t="n">
        <x:f>IF('계산 과정'!$L$7,IF(ABS(F453)&gt;=1E-12*MAX(1,SQRT((D453-'계산 과정'!$C$33)^2+(E453-'계산 과정'!$D$33)^2+'계산 과정'!$E$33^2)),('계산 과정'!$L$23-'계산 과정'!$C$49*D453-'계산 과정'!$D$49*E453)/F453,""),"")</x:f>
        <x:v>0.6067723778290643</x:v>
      </x:c>
      <x:c r="H453" s="4" t="n">
        <x:f>IF(AND(ISNUMBER(G453),G453&gt;0),('계산 과정'!$D$56+'계산 과정'!$D$57*D453+'계산 과정'!$D$58*E453)/F453,"")</x:f>
        <x:v>-5.597954411108298</x:v>
      </x:c>
      <x:c r="I453" s="4" t="n">
        <x:f>IF(AND(ISNUMBER(G453),G453&gt;0),('계산 과정'!$E$56+'계산 과정'!$E$57*D453+'계산 과정'!$E$58*E453)/F453,"")</x:f>
        <x:v>-112.38342719581817</x:v>
      </x:c>
      <x:c r="J453" s="4" t="n">
        <x:f>IF('계산 과정'!$L$5,'계산 과정'!$D$6+'계산 과정'!$C$35*D453+'계산 과정'!$D$35*E453,"")</x:f>
        <x:v>653.4839747610497</x:v>
      </x:c>
      <x:c r="K453" s="4" t="n">
        <x:f>IF(AND('계산 과정'!$L$6,J453&gt;0),'계산 과정'!$D$10*('계산 과정'!$C$38*(D453-'계산 과정'!$C$32)+'계산 과정'!$D$38*(E453-'계산 과정'!$D$32)-'계산 과정'!$E$38*'계산 과정'!$E$32)/J453,"")</x:f>
        <x:v>-0.04265108122749083</x:v>
      </x:c>
      <x:c r="L453" s="4" t="n">
        <x:f>IF(AND('계산 과정'!$L$6,J453&gt;0),'계산 과정'!$D$10*('계산 과정'!$C$39*(D453-'계산 과정'!$C$32)+'계산 과정'!$D$39*(E453-'계산 과정'!$D$32)-'계산 과정'!$E$39*'계산 과정'!$E$32)/J453,"")</x:f>
        <x:v>-0.85625468339671</x:v>
      </x:c>
      <x:c r="M453" s="17" t="n">
        <x:f>IF('계산 과정'!$L$6,IF(J453&lt;=0,0,IF(AND(ABS(K453)&lt;='계산 과정'!$D$11/2,ABS(L453)&lt;='계산 과정'!$D$12/2),1,0)),"")</x:f>
        <x:v>1</x:v>
      </x:c>
      <x:c r="N453" s="17" t="n">
        <x:f>IF('계산 과정'!$C$78,IF(AND(ISNUMBER(H453),ISNUMBER(I453),ABS(H453-'계산 과정'!$C$88)&lt;='계산 과정'!$D$23/2,ABS(I453-'계산 과정'!$C$89)&lt;='계산 과정'!$D$24/2),1,0),"")</x:f>
        <x:v>1</x:v>
      </x:c>
      <x:c r="O453" s="4" t="n">
        <x:f>IF('계산 과정'!$L$7,'계산 과정'!$C$49*('계산 과정'!$C$32-D453)+'계산 과정'!$D$49*('계산 과정'!$D$32-E453)+'계산 과정'!$E$49*'계산 과정'!$E$32,"")</x:f>
        <x:v>-3.4839747610495237</x:v>
      </x:c>
      <x:c r="P453" s="4" t="n">
        <x:f>IF(AND('계산 과정'!$L$7,O453&lt;&gt;0),('계산 과정'!$L$23-'계산 과정'!$C$49*D453-'계산 과정'!$D$49*E453)/O453,"")</x:f>
        <x:v>-113.81139429365516</x:v>
      </x:c>
      <x:c r="Q453" s="4" t="str">
        <x:f>IF(AND(ISNUMBER(P453),P453&gt;1E-9,P453&lt;1-1E-9),'계산 과정'!$C$47*(D453-'계산 과정'!$C$50+P453*('계산 과정'!$C$32-D453))+'계산 과정'!$D$47*(E453-'계산 과정'!$D$50+P453*('계산 과정'!$D$32-E453))+'계산 과정'!$E$47*(0-'계산 과정'!$E$50+P453*('계산 과정'!$E$32-0)),"")</x:f>
      </x:c>
      <x:c r="R453" s="4" t="str">
        <x:f>IF(AND(ISNUMBER(P453),P453&gt;1E-9,P453&lt;1-1E-9),'계산 과정'!$C$48*(D453-'계산 과정'!$C$50+P453*('계산 과정'!$C$32-D453))+'계산 과정'!$D$48*(E453-'계산 과정'!$D$50+P453*('계산 과정'!$D$32-E453))+'계산 과정'!$E$48*(0-'계산 과정'!$E$50+P453*('계산 과정'!$E$32-0)),"")</x:f>
      </x:c>
      <x:c r="S453" s="17" t="n">
        <x:f>IF('계산 과정'!$C$78,IF(AND(ISNUMBER(Q453),ISNUMBER(R453),ABS(Q453-'계산 과정'!$C$88)&lt;='계산 과정'!$D$23/2,ABS(R453-'계산 과정'!$C$89)&lt;='계산 과정'!$D$24/2),1,0),"")</x:f>
        <x:v>0</x:v>
      </x:c>
      <x:c r="T453" s="4"/>
      <x:c r="U453" s="4"/>
      <x:c r="V453" s="4"/>
      <x:c r="W453" s="4" t="n">
        <x:f>IF('계산 과정'!$C$78,'계산 과정'!$C$88+-0.8*'계산 과정'!$C$90/2,"")</x:f>
        <x:v>-116.09615897672535</x:v>
      </x:c>
      <x:c r="X453" s="4" t="str">
        <x:f>""</x:f>
      </x:c>
      <x:c r="Y453" s="4" t="str">
        <x:f>""</x:f>
      </x:c>
      <x:c r="Z453" s="4" t="n">
        <x:f>IF('계산 과정'!$C$78,'계산 과정'!$C$89+-1*'계산 과정'!$C$91/2,"")</x:f>
        <x:v>-250.5995703094169</x:v>
      </x:c>
    </x:row>
    <x:row r="454" ht="23" customHeight="1">
      <x:c r="A454" s="17" t="n">
        <x:f>ROW()-6</x:f>
        <x:v>448</x:v>
      </x:c>
      <x:c r="B454" s="4" t="n">
        <x:f>IF('계산 과정'!$L$5,'계산 과정'!$L$11*SQRT((A454+0.5)/'계산 과정'!$L$30),"")</x:f>
        <x:v>70.1952146806497</x:v>
      </x:c>
      <x:c r="C454" s="4" t="n">
        <x:f>A454*PI()*(3-SQRT(5))</x:f>
        <x:v>1075.1835269184364</x:v>
      </x:c>
      <x:c r="D454" s="4" t="n">
        <x:f>IF('계산 과정'!$L$5,B454*COS(C454),"")</x:f>
        <x:v>50.93611099233575</x:v>
      </x:c>
      <x:c r="E454" s="4" t="n">
        <x:f>IF('계산 과정'!$L$5,B454*SIN(C454),"")</x:f>
        <x:v>48.29990435848659</x:v>
      </x:c>
      <x:c r="F454" s="4" t="n">
        <x:f>IF('계산 과정'!$L$7,'계산 과정'!$L$22+'계산 과정'!$C$49*D454+'계산 과정'!$D$49*E454,"")</x:f>
        <x:v>613.9827305100488</x:v>
      </x:c>
      <x:c r="G454" s="4" t="n">
        <x:f>IF('계산 과정'!$L$7,IF(ABS(F454)&gt;=1E-12*MAX(1,SQRT((D454-'계산 과정'!$C$33)^2+(E454-'계산 과정'!$D$33)^2+'계산 과정'!$E$33^2)),('계산 과정'!$L$23-'계산 과정'!$C$49*D454-'계산 과정'!$D$49*E454)/F454,""),"")</x:f>
        <x:v>0.7101458197818401</x:v>
      </x:c>
      <x:c r="H454" s="4" t="n">
        <x:f>IF(AND(ISNUMBER(G454),G454&gt;0),('계산 과정'!$D$56+'계산 과정'!$D$57*D454+'계산 과정'!$D$58*E454)/F454,"")</x:f>
        <x:v>61.59478285819605</x:v>
      </x:c>
      <x:c r="I454" s="4" t="n">
        <x:f>IF(AND(ISNUMBER(G454),G454&gt;0),('계산 과정'!$E$56+'계산 과정'!$E$57*D454+'계산 과정'!$E$58*E454)/F454,"")</x:f>
        <x:v>82.59987953452853</x:v>
      </x:c>
      <x:c r="J454" s="4" t="n">
        <x:f>IF('계산 과정'!$L$5,'계산 과정'!$D$6+'계산 과정'!$C$35*D454+'계산 과정'!$D$35*E454,"")</x:f>
        <x:v>613.9827305100488</x:v>
      </x:c>
      <x:c r="K454" s="4" t="n">
        <x:f>IF(AND('계산 과정'!$L$6,J454&gt;0),'계산 과정'!$D$10*('계산 과정'!$C$38*(D454-'계산 과정'!$C$32)+'계산 과정'!$D$38*(E454-'계산 과정'!$D$32)-'계산 과정'!$E$38*'계산 과정'!$E$32)/J454,"")</x:f>
        <x:v>0.469293583681494</x:v>
      </x:c>
      <x:c r="L454" s="4" t="n">
        <x:f>IF(AND('계산 과정'!$L$6,J454&gt;0),'계산 과정'!$D$10*('계산 과정'!$C$39*(D454-'계산 과정'!$C$32)+'계산 과정'!$D$39*(E454-'계산 과정'!$D$32)-'계산 과정'!$E$39*'계산 과정'!$E$32)/J454,"")</x:f>
        <x:v>0.6293324155011697</x:v>
      </x:c>
      <x:c r="M454" s="17" t="n">
        <x:f>IF('계산 과정'!$L$6,IF(J454&lt;=0,0,IF(AND(ABS(K454)&lt;='계산 과정'!$D$11/2,ABS(L454)&lt;='계산 과정'!$D$12/2),1,0)),"")</x:f>
        <x:v>1</x:v>
      </x:c>
      <x:c r="N454" s="17" t="n">
        <x:f>IF('계산 과정'!$C$78,IF(AND(ISNUMBER(H454),ISNUMBER(I454),ABS(H454-'계산 과정'!$C$88)&lt;='계산 과정'!$D$23/2,ABS(I454-'계산 과정'!$C$89)&lt;='계산 과정'!$D$24/2),1,0),"")</x:f>
        <x:v>1</x:v>
      </x:c>
      <x:c r="O454" s="4" t="n">
        <x:f>IF('계산 과정'!$L$7,'계산 과정'!$C$49*('계산 과정'!$C$32-D454)+'계산 과정'!$D$49*('계산 과정'!$D$32-E454)+'계산 과정'!$E$49*'계산 과정'!$E$32,"")</x:f>
        <x:v>36.01726948995133</x:v>
      </x:c>
      <x:c r="P454" s="4" t="n">
        <x:f>IF(AND('계산 과정'!$L$7,O454&lt;&gt;0),('계산 과정'!$L$23-'계산 과정'!$C$49*D454-'계산 과정'!$D$49*E454)/O454,"")</x:f>
        <x:v>12.105783577280844</x:v>
      </x:c>
      <x:c r="Q454" s="4" t="str">
        <x:f>IF(AND(ISNUMBER(P454),P454&gt;1E-9,P454&lt;1-1E-9),'계산 과정'!$C$47*(D454-'계산 과정'!$C$50+P454*('계산 과정'!$C$32-D454))+'계산 과정'!$D$47*(E454-'계산 과정'!$D$50+P454*('계산 과정'!$D$32-E454))+'계산 과정'!$E$47*(0-'계산 과정'!$E$50+P454*('계산 과정'!$E$32-0)),"")</x:f>
      </x:c>
      <x:c r="R454" s="4" t="str">
        <x:f>IF(AND(ISNUMBER(P454),P454&gt;1E-9,P454&lt;1-1E-9),'계산 과정'!$C$48*(D454-'계산 과정'!$C$50+P454*('계산 과정'!$C$32-D454))+'계산 과정'!$D$48*(E454-'계산 과정'!$D$50+P454*('계산 과정'!$D$32-E454))+'계산 과정'!$E$48*(0-'계산 과정'!$E$50+P454*('계산 과정'!$E$32-0)),"")</x:f>
      </x:c>
      <x:c r="S454" s="17" t="n">
        <x:f>IF('계산 과정'!$C$78,IF(AND(ISNUMBER(Q454),ISNUMBER(R454),ABS(Q454-'계산 과정'!$C$88)&lt;='계산 과정'!$D$23/2,ABS(R454-'계산 과정'!$C$89)&lt;='계산 과정'!$D$24/2),1,0),"")</x:f>
        <x:v>0</x:v>
      </x:c>
      <x:c r="T454" s="4"/>
      <x:c r="U454" s="4"/>
      <x:c r="V454" s="4"/>
      <x:c r="W454" s="4" t="n">
        <x:f>IF('계산 과정'!$C$78,'계산 과정'!$C$88+-0.76*'계산 과정'!$C$90/2,"")</x:f>
        <x:v>-108.85518081512313</x:v>
      </x:c>
      <x:c r="X454" s="4" t="str">
        <x:f>""</x:f>
      </x:c>
      <x:c r="Y454" s="4" t="str">
        <x:f>""</x:f>
      </x:c>
      <x:c r="Z454" s="4" t="n">
        <x:f>IF('계산 과정'!$C$78,'계산 과정'!$C$89+-1*'계산 과정'!$C$91/2,"")</x:f>
        <x:v>-250.5995703094169</x:v>
      </x:c>
    </x:row>
    <x:row r="455" ht="23" customHeight="1">
      <x:c r="A455" s="17" t="n">
        <x:f>ROW()-6</x:f>
        <x:v>449</x:v>
      </x:c>
      <x:c r="B455" s="4" t="n">
        <x:f>IF('계산 과정'!$L$5,'계산 과정'!$L$11*SQRT((A455+0.5)/'계산 과정'!$L$30),"")</x:f>
        <x:v>70.2734266432732</x:v>
      </x:c>
      <x:c r="C455" s="4" t="n">
        <x:f>A455*PI()*(3-SQRT(5))</x:f>
        <x:v>1077.5834901481653</x:v>
      </x:c>
      <x:c r="D455" s="4" t="n">
        <x:f>IF('계산 과정'!$L$5,B455*COS(C455),"")</x:f>
        <x:v>-70.26302000439276</x:v>
      </x:c>
      <x:c r="E455" s="4" t="n">
        <x:f>IF('계산 과정'!$L$5,B455*SIN(C455),"")</x:f>
        <x:v>-1.2093436442143137</x:v>
      </x:c>
      <x:c r="F455" s="4" t="n">
        <x:f>IF('계산 과정'!$L$7,'계산 과정'!$L$22+'계산 과정'!$C$49*D455+'계산 과정'!$D$49*E455,"")</x:f>
        <x:v>699.6834579117522</x:v>
      </x:c>
      <x:c r="G455" s="4" t="n">
        <x:f>IF('계산 과정'!$L$7,IF(ABS(F455)&gt;=1E-12*MAX(1,SQRT((D455-'계산 과정'!$C$33)^2+(E455-'계산 과정'!$D$33)^2+'계산 과정'!$E$33^2)),('계산 과정'!$L$23-'계산 과정'!$C$49*D455-'계산 과정'!$D$49*E455)/F455,""),"")</x:f>
        <x:v>0.5006786113448914</x:v>
      </x:c>
      <x:c r="H455" s="4" t="n">
        <x:f>IF(AND(ISNUMBER(G455),G455&gt;0),('계산 과정'!$D$56+'계산 과정'!$D$57*D455+'계산 과정'!$D$58*E455)/F455,"")</x:f>
        <x:v>-74.5589026258207</x:v>
      </x:c>
      <x:c r="I455" s="4" t="n">
        <x:f>IF(AND(ISNUMBER(G455),G455&gt;0),('계산 과정'!$E$56+'계산 과정'!$E$57*D455+'계산 과정'!$E$58*E455)/F455,"")</x:f>
        <x:v>-1.814836140638307</x:v>
      </x:c>
      <x:c r="J455" s="4" t="n">
        <x:f>IF('계산 과정'!$L$5,'계산 과정'!$D$6+'계산 과정'!$C$35*D455+'계산 과정'!$D$35*E455,"")</x:f>
        <x:v>699.6834579117522</x:v>
      </x:c>
      <x:c r="K455" s="4" t="n">
        <x:f>IF(AND('계산 과정'!$L$6,J455&gt;0),'계산 과정'!$D$10*('계산 과정'!$C$38*(D455-'계산 과정'!$C$32)+'계산 과정'!$D$38*(E455-'계산 과정'!$D$32)-'계산 과정'!$E$38*'계산 과정'!$E$32)/J455,"")</x:f>
        <x:v>-0.5680678295300616</x:v>
      </x:c>
      <x:c r="L455" s="4" t="n">
        <x:f>IF(AND('계산 과정'!$L$6,J455&gt;0),'계산 과정'!$D$10*('계산 과정'!$C$39*(D455-'계산 과정'!$C$32)+'계산 과정'!$D$39*(E455-'계산 과정'!$D$32)-'계산 과정'!$E$39*'계산 과정'!$E$32)/J455,"")</x:f>
        <x:v>-0.013827322976291861</x:v>
      </x:c>
      <x:c r="M455" s="17" t="n">
        <x:f>IF('계산 과정'!$L$6,IF(J455&lt;=0,0,IF(AND(ABS(K455)&lt;='계산 과정'!$D$11/2,ABS(L455)&lt;='계산 과정'!$D$12/2),1,0)),"")</x:f>
        <x:v>1</x:v>
      </x:c>
      <x:c r="N455" s="17" t="n">
        <x:f>IF('계산 과정'!$C$78,IF(AND(ISNUMBER(H455),ISNUMBER(I455),ABS(H455-'계산 과정'!$C$88)&lt;='계산 과정'!$D$23/2,ABS(I455-'계산 과정'!$C$89)&lt;='계산 과정'!$D$24/2),1,0),"")</x:f>
        <x:v>1</x:v>
      </x:c>
      <x:c r="O455" s="4" t="n">
        <x:f>IF('계산 과정'!$L$7,'계산 과정'!$C$49*('계산 과정'!$C$32-D455)+'계산 과정'!$D$49*('계산 과정'!$D$32-E455)+'계산 과정'!$E$49*'계산 과정'!$E$32,"")</x:f>
        <x:v>-49.68345791175204</x:v>
      </x:c>
      <x:c r="P455" s="4" t="n">
        <x:f>IF(AND('계산 과정'!$L$7,O455&lt;&gt;0),('계산 과정'!$L$23-'계산 과정'!$C$49*D455-'계산 과정'!$D$49*E455)/O455,"")</x:f>
        <x:v>-7.050969413410828</x:v>
      </x:c>
      <x:c r="Q455" s="4" t="str">
        <x:f>IF(AND(ISNUMBER(P455),P455&gt;1E-9,P455&lt;1-1E-9),'계산 과정'!$C$47*(D455-'계산 과정'!$C$50+P455*('계산 과정'!$C$32-D455))+'계산 과정'!$D$47*(E455-'계산 과정'!$D$50+P455*('계산 과정'!$D$32-E455))+'계산 과정'!$E$47*(0-'계산 과정'!$E$50+P455*('계산 과정'!$E$32-0)),"")</x:f>
      </x:c>
      <x:c r="R455" s="4" t="str">
        <x:f>IF(AND(ISNUMBER(P455),P455&gt;1E-9,P455&lt;1-1E-9),'계산 과정'!$C$48*(D455-'계산 과정'!$C$50+P455*('계산 과정'!$C$32-D455))+'계산 과정'!$D$48*(E455-'계산 과정'!$D$50+P455*('계산 과정'!$D$32-E455))+'계산 과정'!$E$48*(0-'계산 과정'!$E$50+P455*('계산 과정'!$E$32-0)),"")</x:f>
      </x:c>
      <x:c r="S455" s="17" t="n">
        <x:f>IF('계산 과정'!$C$78,IF(AND(ISNUMBER(Q455),ISNUMBER(R455),ABS(Q455-'계산 과정'!$C$88)&lt;='계산 과정'!$D$23/2,ABS(R455-'계산 과정'!$C$89)&lt;='계산 과정'!$D$24/2),1,0),"")</x:f>
        <x:v>0</x:v>
      </x:c>
      <x:c r="T455" s="4"/>
      <x:c r="U455" s="4"/>
      <x:c r="V455" s="4"/>
      <x:c r="W455" s="4" t="n">
        <x:f>IF('계산 과정'!$C$78,'계산 과정'!$C$88+-0.72*'계산 과정'!$C$90/2,"")</x:f>
        <x:v>-101.61420265352092</x:v>
      </x:c>
      <x:c r="X455" s="4" t="str">
        <x:f>""</x:f>
      </x:c>
      <x:c r="Y455" s="4" t="str">
        <x:f>""</x:f>
      </x:c>
      <x:c r="Z455" s="4" t="n">
        <x:f>IF('계산 과정'!$C$78,'계산 과정'!$C$89+-1*'계산 과정'!$C$91/2,"")</x:f>
        <x:v>-250.5995703094169</x:v>
      </x:c>
    </x:row>
    <x:row r="456" ht="23" customHeight="1">
      <x:c r="A456" s="17" t="n">
        <x:f>ROW()-6</x:f>
        <x:v>450</x:v>
      </x:c>
      <x:c r="B456" s="4" t="n">
        <x:f>IF('계산 과정'!$L$5,'계산 과정'!$L$11*SQRT((A456+0.5)/'계산 과정'!$L$30),"")</x:f>
        <x:v>70.35155165532953</x:v>
      </x:c>
      <x:c r="C456" s="4" t="n">
        <x:f>A456*PI()*(3-SQRT(5))</x:f>
        <x:v>1079.9834533778937</x:v>
      </x:c>
      <x:c r="D456" s="4" t="n">
        <x:f>IF('계산 과정'!$L$5,B456*COS(C456),"")</x:f>
        <x:v>52.68517071808726</x:v>
      </x:c>
      <x:c r="E456" s="4" t="n">
        <x:f>IF('계산 과정'!$L$5,B456*SIN(C456),"")</x:f>
        <x:v>-46.62202919992329</x:v>
      </x:c>
      <x:c r="F456" s="4" t="n">
        <x:f>IF('계산 과정'!$L$7,'계산 과정'!$L$22+'계산 과정'!$C$49*D456+'계산 과정'!$D$49*E456,"")</x:f>
        <x:v>612.7459585172696</x:v>
      </x:c>
      <x:c r="G456" s="4" t="n">
        <x:f>IF('계산 과정'!$L$7,IF(ABS(F456)&gt;=1E-12*MAX(1,SQRT((D456-'계산 과정'!$C$33)^2+(E456-'계산 과정'!$D$33)^2+'계산 과정'!$E$33^2)),('계산 과정'!$L$23-'계산 과정'!$C$49*D456-'계산 과정'!$D$49*E456)/F456,""),"")</x:f>
        <x:v>0.7135975935945841</x:v>
      </x:c>
      <x:c r="H456" s="4" t="n">
        <x:f>IF(AND(ISNUMBER(G456),G456&gt;0),('계산 과정'!$D$56+'계산 과정'!$D$57*D456+'계산 과정'!$D$58*E456)/F456,"")</x:f>
        <x:v>63.83843583647957</x:v>
      </x:c>
      <x:c r="I456" s="4" t="n">
        <x:f>IF(AND(ISNUMBER(G456),G456&gt;0),('계산 과정'!$E$56+'계산 과정'!$E$57*D456+'계산 과정'!$E$58*E456)/F456,"")</x:f>
        <x:v>-79.89139704548498</x:v>
      </x:c>
      <x:c r="J456" s="4" t="n">
        <x:f>IF('계산 과정'!$L$5,'계산 과정'!$D$6+'계산 과정'!$C$35*D456+'계산 과정'!$D$35*E456,"")</x:f>
        <x:v>612.7459585172696</x:v>
      </x:c>
      <x:c r="K456" s="4" t="n">
        <x:f>IF(AND('계산 과정'!$L$6,J456&gt;0),'계산 과정'!$D$10*('계산 과정'!$C$38*(D456-'계산 과정'!$C$32)+'계산 과정'!$D$38*(E456-'계산 과정'!$D$32)-'계산 과정'!$E$38*'계산 과정'!$E$32)/J456,"")</x:f>
        <x:v>0.4863880825636546</x:v>
      </x:c>
      <x:c r="L456" s="4" t="n">
        <x:f>IF(AND('계산 과정'!$L$6,J456&gt;0),'계산 과정'!$D$10*('계산 과정'!$C$39*(D456-'계산 과정'!$C$32)+'계산 과정'!$D$39*(E456-'계산 과정'!$D$32)-'계산 과정'!$E$39*'계산 과정'!$E$32)/J456,"")</x:f>
        <x:v>-0.6086963584417903</x:v>
      </x:c>
      <x:c r="M456" s="17" t="n">
        <x:f>IF('계산 과정'!$L$6,IF(J456&lt;=0,0,IF(AND(ABS(K456)&lt;='계산 과정'!$D$11/2,ABS(L456)&lt;='계산 과정'!$D$12/2),1,0)),"")</x:f>
        <x:v>1</x:v>
      </x:c>
      <x:c r="N456" s="17" t="n">
        <x:f>IF('계산 과정'!$C$78,IF(AND(ISNUMBER(H456),ISNUMBER(I456),ABS(H456-'계산 과정'!$C$88)&lt;='계산 과정'!$D$23/2,ABS(I456-'계산 과정'!$C$89)&lt;='계산 과정'!$D$24/2),1,0),"")</x:f>
        <x:v>1</x:v>
      </x:c>
      <x:c r="O456" s="4" t="n">
        <x:f>IF('계산 과정'!$L$7,'계산 과정'!$C$49*('계산 과정'!$C$32-D456)+'계산 과정'!$D$49*('계산 과정'!$D$32-E456)+'계산 과정'!$E$49*'계산 과정'!$E$32,"")</x:f>
        <x:v>37.25404148273054</x:v>
      </x:c>
      <x:c r="P456" s="4" t="n">
        <x:f>IF(AND('계산 과정'!$L$7,O456&lt;&gt;0),('계산 과정'!$L$23-'계산 과정'!$C$49*D456-'계산 과정'!$D$49*E456)/O456,"")</x:f>
        <x:v>11.737090100289484</x:v>
      </x:c>
      <x:c r="Q456" s="4" t="str">
        <x:f>IF(AND(ISNUMBER(P456),P456&gt;1E-9,P456&lt;1-1E-9),'계산 과정'!$C$47*(D456-'계산 과정'!$C$50+P456*('계산 과정'!$C$32-D456))+'계산 과정'!$D$47*(E456-'계산 과정'!$D$50+P456*('계산 과정'!$D$32-E456))+'계산 과정'!$E$47*(0-'계산 과정'!$E$50+P456*('계산 과정'!$E$32-0)),"")</x:f>
      </x:c>
      <x:c r="R456" s="4" t="str">
        <x:f>IF(AND(ISNUMBER(P456),P456&gt;1E-9,P456&lt;1-1E-9),'계산 과정'!$C$48*(D456-'계산 과정'!$C$50+P456*('계산 과정'!$C$32-D456))+'계산 과정'!$D$48*(E456-'계산 과정'!$D$50+P456*('계산 과정'!$D$32-E456))+'계산 과정'!$E$48*(0-'계산 과정'!$E$50+P456*('계산 과정'!$E$32-0)),"")</x:f>
      </x:c>
      <x:c r="S456" s="17" t="n">
        <x:f>IF('계산 과정'!$C$78,IF(AND(ISNUMBER(Q456),ISNUMBER(R456),ABS(Q456-'계산 과정'!$C$88)&lt;='계산 과정'!$D$23/2,ABS(R456-'계산 과정'!$C$89)&lt;='계산 과정'!$D$24/2),1,0),"")</x:f>
        <x:v>0</x:v>
      </x:c>
      <x:c r="T456" s="4"/>
      <x:c r="U456" s="4"/>
      <x:c r="V456" s="4"/>
      <x:c r="W456" s="4" t="n">
        <x:f>IF('계산 과정'!$C$78,'계산 과정'!$C$88+-0.6799999999999999*'계산 과정'!$C$90/2,"")</x:f>
        <x:v>-94.37322449191869</x:v>
      </x:c>
      <x:c r="X456" s="4" t="str">
        <x:f>""</x:f>
      </x:c>
      <x:c r="Y456" s="4" t="str">
        <x:f>""</x:f>
      </x:c>
      <x:c r="Z456" s="4" t="n">
        <x:f>IF('계산 과정'!$C$78,'계산 과정'!$C$89+-1*'계산 과정'!$C$91/2,"")</x:f>
        <x:v>-250.5995703094169</x:v>
      </x:c>
    </x:row>
    <x:row r="457" ht="23" customHeight="1">
      <x:c r="A457" s="17" t="n">
        <x:f>ROW()-6</x:f>
        <x:v>451</x:v>
      </x:c>
      <x:c r="B457" s="4" t="n">
        <x:f>IF('계산 과정'!$L$5,'계산 과정'!$L$11*SQRT((A457+0.5)/'계산 과정'!$L$30),"")</x:f>
        <x:v>70.42959000617212</x:v>
      </x:c>
      <x:c r="C457" s="4" t="n">
        <x:f>A457*PI()*(3-SQRT(5))</x:f>
        <x:v>1082.3834166076226</x:v>
      </x:c>
      <x:c r="D457" s="4" t="n">
        <x:f>IF('계산 과정'!$L$5,B457*COS(C457),"")</x:f>
        <x:v>-7.363836378445634</x:v>
      </x:c>
      <x:c r="E457" s="4" t="n">
        <x:f>IF('계산 과정'!$L$5,B457*SIN(C457),"")</x:f>
        <x:v>70.04356545914108</x:v>
      </x:c>
      <x:c r="F457" s="4" t="n">
        <x:f>IF('계산 과정'!$L$7,'계산 과정'!$L$22+'계산 과정'!$C$49*D457+'계산 과정'!$D$49*E457,"")</x:f>
        <x:v>655.2070186387471</x:v>
      </x:c>
      <x:c r="G457" s="4" t="n">
        <x:f>IF('계산 과정'!$L$7,IF(ABS(F457)&gt;=1E-12*MAX(1,SQRT((D457-'계산 과정'!$C$33)^2+(E457-'계산 과정'!$D$33)^2+'계산 과정'!$E$33^2)),('계산 과정'!$L$23-'계산 과정'!$C$49*D457-'계산 과정'!$D$49*E457)/F457,""),"")</x:f>
        <x:v>0.6025469357478369</x:v>
      </x:c>
      <x:c r="H457" s="4" t="n">
        <x:f>IF(AND(ISNUMBER(G457),G457&gt;0),('계산 과정'!$D$56+'계산 과정'!$D$57*D457+'계산 과정'!$D$58*E457)/F457,"")</x:f>
        <x:v>-8.344491763906147</x:v>
      </x:c>
      <x:c r="I457" s="4" t="n">
        <x:f>IF(AND(ISNUMBER(G457),G457&gt;0),('계산 과정'!$E$56+'계산 과정'!$E$57*D457+'계산 과정'!$E$58*E457)/F457,"")</x:f>
        <x:v>112.24810119539956</x:v>
      </x:c>
      <x:c r="J457" s="4" t="n">
        <x:f>IF('계산 과정'!$L$5,'계산 과정'!$D$6+'계산 과정'!$C$35*D457+'계산 과정'!$D$35*E457,"")</x:f>
        <x:v>655.2070186387471</x:v>
      </x:c>
      <x:c r="K457" s="4" t="n">
        <x:f>IF(AND('계산 과정'!$L$6,J457&gt;0),'계산 과정'!$D$10*('계산 과정'!$C$38*(D457-'계산 과정'!$C$32)+'계산 과정'!$D$38*(E457-'계산 과정'!$D$32)-'계산 과정'!$E$38*'계산 과정'!$E$32)/J457,"")</x:f>
        <x:v>-0.06357708010595026</x:v>
      </x:c>
      <x:c r="L457" s="4" t="n">
        <x:f>IF(AND('계산 과정'!$L$6,J457&gt;0),'계산 과정'!$D$10*('계산 과정'!$C$39*(D457-'계산 과정'!$C$32)+'계산 과정'!$D$39*(E457-'계산 과정'!$D$32)-'계산 과정'!$E$39*'계산 과정'!$E$32)/J457,"")</x:f>
        <x:v>0.8552236281554253</x:v>
      </x:c>
      <x:c r="M457" s="17" t="n">
        <x:f>IF('계산 과정'!$L$6,IF(J457&lt;=0,0,IF(AND(ABS(K457)&lt;='계산 과정'!$D$11/2,ABS(L457)&lt;='계산 과정'!$D$12/2),1,0)),"")</x:f>
        <x:v>1</x:v>
      </x:c>
      <x:c r="N457" s="17" t="n">
        <x:f>IF('계산 과정'!$C$78,IF(AND(ISNUMBER(H457),ISNUMBER(I457),ABS(H457-'계산 과정'!$C$88)&lt;='계산 과정'!$D$23/2,ABS(I457-'계산 과정'!$C$89)&lt;='계산 과정'!$D$24/2),1,0),"")</x:f>
        <x:v>1</x:v>
      </x:c>
      <x:c r="O457" s="4" t="n">
        <x:f>IF('계산 과정'!$L$7,'계산 과정'!$C$49*('계산 과정'!$C$32-D457)+'계산 과정'!$D$49*('계산 과정'!$D$32-E457)+'계산 과정'!$E$49*'계산 과정'!$E$32,"")</x:f>
        <x:v>-5.207018638747002</x:v>
      </x:c>
      <x:c r="P457" s="4" t="n">
        <x:f>IF(AND('계산 과정'!$L$7,O457&lt;&gt;0),('계산 과정'!$L$23-'계산 과정'!$C$49*D457-'계산 과정'!$D$49*E457)/O457,"")</x:f>
        <x:v>-75.81939085515823</x:v>
      </x:c>
      <x:c r="Q457" s="4" t="str">
        <x:f>IF(AND(ISNUMBER(P457),P457&gt;1E-9,P457&lt;1-1E-9),'계산 과정'!$C$47*(D457-'계산 과정'!$C$50+P457*('계산 과정'!$C$32-D457))+'계산 과정'!$D$47*(E457-'계산 과정'!$D$50+P457*('계산 과정'!$D$32-E457))+'계산 과정'!$E$47*(0-'계산 과정'!$E$50+P457*('계산 과정'!$E$32-0)),"")</x:f>
      </x:c>
      <x:c r="R457" s="4" t="str">
        <x:f>IF(AND(ISNUMBER(P457),P457&gt;1E-9,P457&lt;1-1E-9),'계산 과정'!$C$48*(D457-'계산 과정'!$C$50+P457*('계산 과정'!$C$32-D457))+'계산 과정'!$D$48*(E457-'계산 과정'!$D$50+P457*('계산 과정'!$D$32-E457))+'계산 과정'!$E$48*(0-'계산 과정'!$E$50+P457*('계산 과정'!$E$32-0)),"")</x:f>
      </x:c>
      <x:c r="S457" s="17" t="n">
        <x:f>IF('계산 과정'!$C$78,IF(AND(ISNUMBER(Q457),ISNUMBER(R457),ABS(Q457-'계산 과정'!$C$88)&lt;='계산 과정'!$D$23/2,ABS(R457-'계산 과정'!$C$89)&lt;='계산 과정'!$D$24/2),1,0),"")</x:f>
        <x:v>0</x:v>
      </x:c>
      <x:c r="T457" s="4"/>
      <x:c r="U457" s="4"/>
      <x:c r="V457" s="4"/>
      <x:c r="W457" s="4" t="n">
        <x:f>IF('계산 과정'!$C$78,'계산 과정'!$C$88+-0.64*'계산 과정'!$C$90/2,"")</x:f>
        <x:v>-87.13224633031648</x:v>
      </x:c>
      <x:c r="X457" s="4" t="str">
        <x:f>""</x:f>
      </x:c>
      <x:c r="Y457" s="4" t="str">
        <x:f>""</x:f>
      </x:c>
      <x:c r="Z457" s="4" t="n">
        <x:f>IF('계산 과정'!$C$78,'계산 과정'!$C$89+-1*'계산 과정'!$C$91/2,"")</x:f>
        <x:v>-250.5995703094169</x:v>
      </x:c>
    </x:row>
    <x:row r="458" ht="23" customHeight="1">
      <x:c r="A458" s="17" t="n">
        <x:f>ROW()-6</x:f>
        <x:v>452</x:v>
      </x:c>
      <x:c r="B458" s="4" t="n">
        <x:f>IF('계산 과정'!$L$5,'계산 과정'!$L$11*SQRT((A458+0.5)/'계산 과정'!$L$30),"")</x:f>
        <x:v>70.50754198355308</x:v>
      </x:c>
      <x:c r="C458" s="4" t="n">
        <x:f>A458*PI()*(3-SQRT(5))</x:f>
        <x:v>1084.783379837351</x:v>
      </x:c>
      <x:c r="D458" s="4" t="n">
        <x:f>IF('계산 과정'!$L$5,B458*COS(C458),"")</x:f>
        <x:v>-41.930242259791534</x:v>
      </x:c>
      <x:c r="E458" s="4" t="n">
        <x:f>IF('계산 과정'!$L$5,B458*SIN(C458),"")</x:f>
        <x:v>-56.684815079505135</x:v>
      </x:c>
      <x:c r="F458" s="4" t="n">
        <x:f>IF('계산 과정'!$L$7,'계산 과정'!$L$22+'계산 과정'!$C$49*D458+'계산 과정'!$D$49*E458,"")</x:f>
        <x:v>679.6491586386933</x:v>
      </x:c>
      <x:c r="G458" s="4" t="n">
        <x:f>IF('계산 과정'!$L$7,IF(ABS(F458)&gt;=1E-12*MAX(1,SQRT((D458-'계산 과정'!$C$33)^2+(E458-'계산 과정'!$D$33)^2+'계산 과정'!$E$33^2)),('계산 과정'!$L$23-'계산 과정'!$C$49*D458-'계산 과정'!$D$49*E458)/F458,""),"")</x:f>
        <x:v>0.5449147352776876</x:v>
      </x:c>
      <x:c r="H458" s="4" t="n">
        <x:f>IF(AND(ISNUMBER(G458),G458&gt;0),('계산 과정'!$D$56+'계산 과정'!$D$57*D458+'계산 과정'!$D$58*E458)/F458,"")</x:f>
        <x:v>-45.80542206950321</x:v>
      </x:c>
      <x:c r="I458" s="4" t="n">
        <x:f>IF(AND(ISNUMBER(G458),G458&gt;0),('계산 과정'!$E$56+'계산 과정'!$E$57*D458+'계산 과정'!$E$58*E458)/F458,"")</x:f>
        <x:v>-87.57320608281836</x:v>
      </x:c>
      <x:c r="J458" s="4" t="n">
        <x:f>IF('계산 과정'!$L$5,'계산 과정'!$D$6+'계산 과정'!$C$35*D458+'계산 과정'!$D$35*E458,"")</x:f>
        <x:v>679.6491586386933</x:v>
      </x:c>
      <x:c r="K458" s="4" t="n">
        <x:f>IF(AND('계산 과정'!$L$6,J458&gt;0),'계산 과정'!$D$10*('계산 과정'!$C$38*(D458-'계산 과정'!$C$32)+'계산 과정'!$D$38*(E458-'계산 과정'!$D$32)-'계산 과정'!$E$38*'계산 과정'!$E$32)/J458,"")</x:f>
        <x:v>-0.34899369195811875</x:v>
      </x:c>
      <x:c r="L458" s="4" t="n">
        <x:f>IF(AND('계산 과정'!$L$6,J458&gt;0),'계산 과정'!$D$10*('계산 과정'!$C$39*(D458-'계산 과정'!$C$32)+'계산 과정'!$D$39*(E458-'계산 과정'!$D$32)-'계산 과정'!$E$39*'계산 과정'!$E$32)/J458,"")</x:f>
        <x:v>-0.6672244272976636</x:v>
      </x:c>
      <x:c r="M458" s="17" t="n">
        <x:f>IF('계산 과정'!$L$6,IF(J458&lt;=0,0,IF(AND(ABS(K458)&lt;='계산 과정'!$D$11/2,ABS(L458)&lt;='계산 과정'!$D$12/2),1,0)),"")</x:f>
        <x:v>1</x:v>
      </x:c>
      <x:c r="N458" s="17" t="n">
        <x:f>IF('계산 과정'!$C$78,IF(AND(ISNUMBER(H458),ISNUMBER(I458),ABS(H458-'계산 과정'!$C$88)&lt;='계산 과정'!$D$23/2,ABS(I458-'계산 과정'!$C$89)&lt;='계산 과정'!$D$24/2),1,0),"")</x:f>
        <x:v>1</x:v>
      </x:c>
      <x:c r="O458" s="4" t="n">
        <x:f>IF('계산 과정'!$L$7,'계산 과정'!$C$49*('계산 과정'!$C$32-D458)+'계산 과정'!$D$49*('계산 과정'!$D$32-E458)+'계산 과정'!$E$49*'계산 과정'!$E$32,"")</x:f>
        <x:v>-29.649158638693223</x:v>
      </x:c>
      <x:c r="P458" s="4" t="n">
        <x:f>IF(AND('계산 과정'!$L$7,O458&lt;&gt;0),('계산 과정'!$L$23-'계산 과정'!$C$49*D458-'계산 과정'!$D$49*E458)/O458,"")</x:f>
        <x:v>-12.491107956027644</x:v>
      </x:c>
      <x:c r="Q458" s="4" t="str">
        <x:f>IF(AND(ISNUMBER(P458),P458&gt;1E-9,P458&lt;1-1E-9),'계산 과정'!$C$47*(D458-'계산 과정'!$C$50+P458*('계산 과정'!$C$32-D458))+'계산 과정'!$D$47*(E458-'계산 과정'!$D$50+P458*('계산 과정'!$D$32-E458))+'계산 과정'!$E$47*(0-'계산 과정'!$E$50+P458*('계산 과정'!$E$32-0)),"")</x:f>
      </x:c>
      <x:c r="R458" s="4" t="str">
        <x:f>IF(AND(ISNUMBER(P458),P458&gt;1E-9,P458&lt;1-1E-9),'계산 과정'!$C$48*(D458-'계산 과정'!$C$50+P458*('계산 과정'!$C$32-D458))+'계산 과정'!$D$48*(E458-'계산 과정'!$D$50+P458*('계산 과정'!$D$32-E458))+'계산 과정'!$E$48*(0-'계산 과정'!$E$50+P458*('계산 과정'!$E$32-0)),"")</x:f>
      </x:c>
      <x:c r="S458" s="17" t="n">
        <x:f>IF('계산 과정'!$C$78,IF(AND(ISNUMBER(Q458),ISNUMBER(R458),ABS(Q458-'계산 과정'!$C$88)&lt;='계산 과정'!$D$23/2,ABS(R458-'계산 과정'!$C$89)&lt;='계산 과정'!$D$24/2),1,0),"")</x:f>
        <x:v>0</x:v>
      </x:c>
      <x:c r="T458" s="4"/>
      <x:c r="U458" s="4"/>
      <x:c r="V458" s="4"/>
      <x:c r="W458" s="4" t="n">
        <x:f>IF('계산 과정'!$C$78,'계산 과정'!$C$88+-0.6*'계산 과정'!$C$90/2,"")</x:f>
        <x:v>-79.89126816871426</x:v>
      </x:c>
      <x:c r="X458" s="4" t="str">
        <x:f>""</x:f>
      </x:c>
      <x:c r="Y458" s="4" t="str">
        <x:f>""</x:f>
      </x:c>
      <x:c r="Z458" s="4" t="n">
        <x:f>IF('계산 과정'!$C$78,'계산 과정'!$C$89+-1*'계산 과정'!$C$91/2,"")</x:f>
        <x:v>-250.5995703094169</x:v>
      </x:c>
    </x:row>
    <x:row r="459" ht="23" customHeight="1">
      <x:c r="A459" s="17" t="n">
        <x:f>ROW()-6</x:f>
        <x:v>453</x:v>
      </x:c>
      <x:c r="B459" s="4" t="n">
        <x:f>IF('계산 과정'!$L$5,'계산 과정'!$L$11*SQRT((A459+0.5)/'계산 과정'!$L$30),"")</x:f>
        <x:v>70.58540787363562</x:v>
      </x:c>
      <x:c r="C459" s="4" t="n">
        <x:f>A459*PI()*(3-SQRT(5))</x:f>
        <x:v>1087.1833430670797</x:v>
      </x:c>
      <x:c r="D459" s="4" t="n">
        <x:f>IF('계산 과정'!$L$5,B459*COS(C459),"")</x:f>
        <x:v>69.28452894378076</x:v>
      </x:c>
      <x:c r="E459" s="4" t="n">
        <x:f>IF('계산 과정'!$L$5,B459*SIN(C459),"")</x:f>
        <x:v>13.48902716009969</x:v>
      </x:c>
      <x:c r="F459" s="4" t="n">
        <x:f>IF('계산 과정'!$L$7,'계산 과정'!$L$22+'계산 과정'!$C$49*D459+'계산 과정'!$D$49*E459,"")</x:f>
        <x:v>601.008439752537</x:v>
      </x:c>
      <x:c r="G459" s="4" t="n">
        <x:f>IF('계산 과정'!$L$7,IF(ABS(F459)&gt;=1E-12*MAX(1,SQRT((D459-'계산 과정'!$C$33)^2+(E459-'계산 과정'!$D$33)^2+'계산 과정'!$E$33^2)),('계산 과정'!$L$23-'계산 과정'!$C$49*D459-'계산 과정'!$D$49*E459)/F459,""),"")</x:f>
        <x:v>0.7470636526041691</x:v>
      </x:c>
      <x:c r="H459" s="4" t="n">
        <x:f>IF(AND(ISNUMBER(G459),G459&gt;0),('계산 과정'!$D$56+'계산 과정'!$D$57*D459+'계산 과정'!$D$58*E459)/F459,"")</x:f>
        <x:v>85.59137419270981</x:v>
      </x:c>
      <x:c r="I459" s="4" t="n">
        <x:f>IF(AND(ISNUMBER(G459),G459&gt;0),('계산 과정'!$E$56+'계산 과정'!$E$57*D459+'계산 과정'!$E$58*E459)/F459,"")</x:f>
        <x:v>23.566189060400607</x:v>
      </x:c>
      <x:c r="J459" s="4" t="n">
        <x:f>IF('계산 과정'!$L$5,'계산 과정'!$D$6+'계산 과정'!$C$35*D459+'계산 과정'!$D$35*E459,"")</x:f>
        <x:v>601.008439752537</x:v>
      </x:c>
      <x:c r="K459" s="4" t="n">
        <x:f>IF(AND('계산 과정'!$L$6,J459&gt;0),'계산 과정'!$D$10*('계산 과정'!$C$38*(D459-'계산 과정'!$C$32)+'계산 과정'!$D$38*(E459-'계산 과정'!$D$32)-'계산 과정'!$E$38*'계산 과정'!$E$32)/J459,"")</x:f>
        <x:v>0.6521247557539801</x:v>
      </x:c>
      <x:c r="L459" s="4" t="n">
        <x:f>IF(AND('계산 과정'!$L$6,J459&gt;0),'계산 과정'!$D$10*('계산 과정'!$C$39*(D459-'계산 과정'!$C$32)+'계산 과정'!$D$39*(E459-'계산 과정'!$D$32)-'계산 과정'!$E$39*'계산 과정'!$E$32)/J459,"")</x:f>
        <x:v>0.17955191665067127</x:v>
      </x:c>
      <x:c r="M459" s="17" t="n">
        <x:f>IF('계산 과정'!$L$6,IF(J459&lt;=0,0,IF(AND(ABS(K459)&lt;='계산 과정'!$D$11/2,ABS(L459)&lt;='계산 과정'!$D$12/2),1,0)),"")</x:f>
        <x:v>1</x:v>
      </x:c>
      <x:c r="N459" s="17" t="n">
        <x:f>IF('계산 과정'!$C$78,IF(AND(ISNUMBER(H459),ISNUMBER(I459),ABS(H459-'계산 과정'!$C$88)&lt;='계산 과정'!$D$23/2,ABS(I459-'계산 과정'!$C$89)&lt;='계산 과정'!$D$24/2),1,0),"")</x:f>
        <x:v>1</x:v>
      </x:c>
      <x:c r="O459" s="4" t="n">
        <x:f>IF('계산 과정'!$L$7,'계산 과정'!$C$49*('계산 과정'!$C$32-D459)+'계산 과정'!$D$49*('계산 과정'!$D$32-E459)+'계산 과정'!$E$49*'계산 과정'!$E$32,"")</x:f>
        <x:v>48.9915602474631</x:v>
      </x:c>
      <x:c r="P459" s="4" t="n">
        <x:f>IF(AND('계산 과정'!$L$7,O459&lt;&gt;0),('계산 과정'!$L$23-'계산 과정'!$C$49*D459-'계산 과정'!$D$49*E459)/O459,"")</x:f>
        <x:v>9.164671587913203</x:v>
      </x:c>
      <x:c r="Q459" s="4" t="str">
        <x:f>IF(AND(ISNUMBER(P459),P459&gt;1E-9,P459&lt;1-1E-9),'계산 과정'!$C$47*(D459-'계산 과정'!$C$50+P459*('계산 과정'!$C$32-D459))+'계산 과정'!$D$47*(E459-'계산 과정'!$D$50+P459*('계산 과정'!$D$32-E459))+'계산 과정'!$E$47*(0-'계산 과정'!$E$50+P459*('계산 과정'!$E$32-0)),"")</x:f>
      </x:c>
      <x:c r="R459" s="4" t="str">
        <x:f>IF(AND(ISNUMBER(P459),P459&gt;1E-9,P459&lt;1-1E-9),'계산 과정'!$C$48*(D459-'계산 과정'!$C$50+P459*('계산 과정'!$C$32-D459))+'계산 과정'!$D$48*(E459-'계산 과정'!$D$50+P459*('계산 과정'!$D$32-E459))+'계산 과정'!$E$48*(0-'계산 과정'!$E$50+P459*('계산 과정'!$E$32-0)),"")</x:f>
      </x:c>
      <x:c r="S459" s="17" t="n">
        <x:f>IF('계산 과정'!$C$78,IF(AND(ISNUMBER(Q459),ISNUMBER(R459),ABS(Q459-'계산 과정'!$C$88)&lt;='계산 과정'!$D$23/2,ABS(R459-'계산 과정'!$C$89)&lt;='계산 과정'!$D$24/2),1,0),"")</x:f>
        <x:v>0</x:v>
      </x:c>
      <x:c r="T459" s="4"/>
      <x:c r="U459" s="4"/>
      <x:c r="V459" s="4"/>
      <x:c r="W459" s="4" t="n">
        <x:f>IF('계산 과정'!$C$78,'계산 과정'!$C$88+-0.56*'계산 과정'!$C$90/2,"")</x:f>
        <x:v>-72.65029000711205</x:v>
      </x:c>
      <x:c r="X459" s="4" t="str">
        <x:f>""</x:f>
      </x:c>
      <x:c r="Y459" s="4" t="str">
        <x:f>""</x:f>
      </x:c>
      <x:c r="Z459" s="4" t="n">
        <x:f>IF('계산 과정'!$C$78,'계산 과정'!$C$89+-1*'계산 과정'!$C$91/2,"")</x:f>
        <x:v>-250.5995703094169</x:v>
      </x:c>
    </x:row>
    <x:row r="460" ht="23" customHeight="1">
      <x:c r="A460" s="17" t="n">
        <x:f>ROW()-6</x:f>
        <x:v>454</x:v>
      </x:c>
      <x:c r="B460" s="4" t="n">
        <x:f>IF('계산 과정'!$L$5,'계산 과정'!$L$11*SQRT((A460+0.5)/'계산 과정'!$L$30),"")</x:f>
        <x:v>70.66318796100626</x:v>
      </x:c>
      <x:c r="C460" s="4" t="n">
        <x:f>A460*PI()*(3-SQRT(5))</x:f>
        <x:v>1089.5833062968084</x:v>
      </x:c>
      <x:c r="D460" s="4" t="n">
        <x:f>IF('계산 과정'!$L$5,B460*COS(C460),"")</x:f>
        <x:v>-60.266298367876814</x:v>
      </x:c>
      <x:c r="E460" s="4" t="n">
        <x:f>IF('계산 과정'!$L$5,B460*SIN(C460),"")</x:f>
        <x:v>36.89524920428847</x:v>
      </x:c>
      <x:c r="F460" s="4" t="n">
        <x:f>IF('계산 과정'!$L$7,'계산 과정'!$L$22+'계산 과정'!$C$49*D460+'계산 과정'!$D$49*E460,"")</x:f>
        <x:v>692.6147082529375</x:v>
      </x:c>
      <x:c r="G460" s="4" t="n">
        <x:f>IF('계산 과정'!$L$7,IF(ABS(F460)&gt;=1E-12*MAX(1,SQRT((D460-'계산 과정'!$C$33)^2+(E460-'계산 과정'!$D$33)^2+'계산 과정'!$E$33^2)),('계산 과정'!$L$23-'계산 과정'!$C$49*D460-'계산 과정'!$D$49*E460)/F460,""),"")</x:f>
        <x:v>0.5159943724679728</x:v>
      </x:c>
      <x:c r="H460" s="4" t="n">
        <x:f>IF(AND(ISNUMBER(G460),G460&gt;0),('계산 과정'!$D$56+'계산 과정'!$D$57*D460+'계산 과정'!$D$58*E460)/F460,"")</x:f>
        <x:v>-64.60365789581778</x:v>
      </x:c>
      <x:c r="I460" s="4" t="n">
        <x:f>IF(AND(ISNUMBER(G460),G460&gt;0),('계산 과정'!$E$56+'계산 과정'!$E$57*D460+'계산 과정'!$E$58*E460)/F460,"")</x:f>
        <x:v>55.932990164504766</x:v>
      </x:c>
      <x:c r="J460" s="4" t="n">
        <x:f>IF('계산 과정'!$L$5,'계산 과정'!$D$6+'계산 과정'!$C$35*D460+'계산 과정'!$D$35*E460,"")</x:f>
        <x:v>692.6147082529375</x:v>
      </x:c>
      <x:c r="K460" s="4" t="n">
        <x:f>IF(AND('계산 과정'!$L$6,J460&gt;0),'계산 과정'!$D$10*('계산 과정'!$C$38*(D460-'계산 과정'!$C$32)+'계산 과정'!$D$38*(E460-'계산 과정'!$D$32)-'계산 과정'!$E$38*'계산 과정'!$E$32)/J460,"")</x:f>
        <x:v>-0.4922183458728967</x:v>
      </x:c>
      <x:c r="L460" s="4" t="n">
        <x:f>IF(AND('계산 과정'!$L$6,J460&gt;0),'계산 과정'!$D$10*('계산 과정'!$C$39*(D460-'계산 과정'!$C$32)+'계산 과정'!$D$39*(E460-'계산 과정'!$D$32)-'계산 과정'!$E$39*'계산 과정'!$E$32)/J460,"")</x:f>
        <x:v>0.42615611553908395</x:v>
      </x:c>
      <x:c r="M460" s="17" t="n">
        <x:f>IF('계산 과정'!$L$6,IF(J460&lt;=0,0,IF(AND(ABS(K460)&lt;='계산 과정'!$D$11/2,ABS(L460)&lt;='계산 과정'!$D$12/2),1,0)),"")</x:f>
        <x:v>1</x:v>
      </x:c>
      <x:c r="N460" s="17" t="n">
        <x:f>IF('계산 과정'!$C$78,IF(AND(ISNUMBER(H460),ISNUMBER(I460),ABS(H460-'계산 과정'!$C$88)&lt;='계산 과정'!$D$23/2,ABS(I460-'계산 과정'!$C$89)&lt;='계산 과정'!$D$24/2),1,0),"")</x:f>
        <x:v>1</x:v>
      </x:c>
      <x:c r="O460" s="4" t="n">
        <x:f>IF('계산 과정'!$L$7,'계산 과정'!$C$49*('계산 과정'!$C$32-D460)+'계산 과정'!$D$49*('계산 과정'!$D$32-E460)+'계산 과정'!$E$49*'계산 과정'!$E$32,"")</x:f>
        <x:v>-42.61470825293736</x:v>
      </x:c>
      <x:c r="P460" s="4" t="n">
        <x:f>IF(AND('계산 과정'!$L$7,O460&lt;&gt;0),('계산 과정'!$L$23-'계산 과정'!$C$49*D460-'계산 과정'!$D$49*E460)/O460,"")</x:f>
        <x:v>-8.386430563499834</x:v>
      </x:c>
      <x:c r="Q460" s="4" t="str">
        <x:f>IF(AND(ISNUMBER(P460),P460&gt;1E-9,P460&lt;1-1E-9),'계산 과정'!$C$47*(D460-'계산 과정'!$C$50+P460*('계산 과정'!$C$32-D460))+'계산 과정'!$D$47*(E460-'계산 과정'!$D$50+P460*('계산 과정'!$D$32-E460))+'계산 과정'!$E$47*(0-'계산 과정'!$E$50+P460*('계산 과정'!$E$32-0)),"")</x:f>
      </x:c>
      <x:c r="R460" s="4" t="str">
        <x:f>IF(AND(ISNUMBER(P460),P460&gt;1E-9,P460&lt;1-1E-9),'계산 과정'!$C$48*(D460-'계산 과정'!$C$50+P460*('계산 과정'!$C$32-D460))+'계산 과정'!$D$48*(E460-'계산 과정'!$D$50+P460*('계산 과정'!$D$32-E460))+'계산 과정'!$E$48*(0-'계산 과정'!$E$50+P460*('계산 과정'!$E$32-0)),"")</x:f>
      </x:c>
      <x:c r="S460" s="17" t="n">
        <x:f>IF('계산 과정'!$C$78,IF(AND(ISNUMBER(Q460),ISNUMBER(R460),ABS(Q460-'계산 과정'!$C$88)&lt;='계산 과정'!$D$23/2,ABS(R460-'계산 과정'!$C$89)&lt;='계산 과정'!$D$24/2),1,0),"")</x:f>
        <x:v>0</x:v>
      </x:c>
      <x:c r="T460" s="4"/>
      <x:c r="U460" s="4"/>
      <x:c r="V460" s="4"/>
      <x:c r="W460" s="4" t="n">
        <x:f>IF('계산 과정'!$C$78,'계산 과정'!$C$88+-0.52*'계산 과정'!$C$90/2,"")</x:f>
        <x:v>-65.40931184550982</x:v>
      </x:c>
      <x:c r="X460" s="4" t="str">
        <x:f>""</x:f>
      </x:c>
      <x:c r="Y460" s="4" t="str">
        <x:f>""</x:f>
      </x:c>
      <x:c r="Z460" s="4" t="n">
        <x:f>IF('계산 과정'!$C$78,'계산 과정'!$C$89+-1*'계산 과정'!$C$91/2,"")</x:f>
        <x:v>-250.5995703094169</x:v>
      </x:c>
    </x:row>
    <x:row r="461" ht="23" customHeight="1">
      <x:c r="A461" s="17" t="n">
        <x:f>ROW()-6</x:f>
        <x:v>455</x:v>
      </x:c>
      <x:c r="B461" s="4" t="n">
        <x:f>IF('계산 과정'!$L$5,'계산 과정'!$L$11*SQRT((A461+0.5)/'계산 과정'!$L$30),"")</x:f>
        <x:v>70.74088252868705</x:v>
      </x:c>
      <x:c r="C461" s="4" t="n">
        <x:f>A461*PI()*(3-SQRT(5))</x:f>
        <x:v>1091.983269526537</x:v>
      </x:c>
      <x:c r="D461" s="4" t="n">
        <x:f>IF('계산 과정'!$L$5,B461*COS(C461),"")</x:f>
        <x:v>19.537568143028874</x:v>
      </x:c>
      <x:c r="E461" s="4" t="n">
        <x:f>IF('계산 과정'!$L$5,B461*SIN(C461),"")</x:f>
        <x:v>-67.98938072959632</x:v>
      </x:c>
      <x:c r="F461" s="4" t="n">
        <x:f>IF('계산 과정'!$L$7,'계산 과정'!$L$22+'계산 과정'!$C$49*D461+'계산 과정'!$D$49*E461,"")</x:f>
        <x:v>636.18485307817</x:v>
      </x:c>
      <x:c r="G461" s="4" t="n">
        <x:f>IF('계산 과정'!$L$7,IF(ABS(F461)&gt;=1E-12*MAX(1,SQRT((D461-'계산 과정'!$C$33)^2+(E461-'계산 과정'!$D$33)^2+'계산 과정'!$E$33^2)),('계산 과정'!$L$23-'계산 과정'!$C$49*D461-'계산 과정'!$D$49*E461)/F461,""),"")</x:f>
        <x:v>0.6504636897901485</x:v>
      </x:c>
      <x:c r="H461" s="4" t="n">
        <x:f>IF(AND(ISNUMBER(G461),G461&gt;0),('계산 과정'!$D$56+'계산 과정'!$D$57*D461+'계산 과정'!$D$58*E461)/F461,"")</x:f>
        <x:v>22.801398363596412</x:v>
      </x:c>
      <x:c r="I461" s="4" t="n">
        <x:f>IF(AND(ISNUMBER(G461),G461&gt;0),('계산 과정'!$E$56+'계산 과정'!$E$57*D461+'계산 과정'!$E$58*E461)/F461,"")</x:f>
        <x:v>-112.21400418551676</x:v>
      </x:c>
      <x:c r="J461" s="4" t="n">
        <x:f>IF('계산 과정'!$L$5,'계산 과정'!$D$6+'계산 과정'!$C$35*D461+'계산 과정'!$D$35*E461,"")</x:f>
        <x:v>636.18485307817</x:v>
      </x:c>
      <x:c r="K461" s="4" t="n">
        <x:f>IF(AND('계산 과정'!$L$6,J461&gt;0),'계산 과정'!$D$10*('계산 과정'!$C$38*(D461-'계산 과정'!$C$32)+'계산 과정'!$D$38*(E461-'계산 과정'!$D$32)-'계산 과정'!$E$38*'계산 과정'!$E$32)/J461,"")</x:f>
        <x:v>0.17372493991311633</x:v>
      </x:c>
      <x:c r="L461" s="4" t="n">
        <x:f>IF(AND('계산 과정'!$L$6,J461&gt;0),'계산 과정'!$D$10*('계산 과정'!$C$39*(D461-'계산 과정'!$C$32)+'계산 과정'!$D$39*(E461-'계산 과정'!$D$32)-'계산 과정'!$E$39*'계산 과정'!$E$32)/J461,"")</x:f>
        <x:v>-0.854963841413461</x:v>
      </x:c>
      <x:c r="M461" s="17" t="n">
        <x:f>IF('계산 과정'!$L$6,IF(J461&lt;=0,0,IF(AND(ABS(K461)&lt;='계산 과정'!$D$11/2,ABS(L461)&lt;='계산 과정'!$D$12/2),1,0)),"")</x:f>
        <x:v>1</x:v>
      </x:c>
      <x:c r="N461" s="17" t="n">
        <x:f>IF('계산 과정'!$C$78,IF(AND(ISNUMBER(H461),ISNUMBER(I461),ABS(H461-'계산 과정'!$C$88)&lt;='계산 과정'!$D$23/2,ABS(I461-'계산 과정'!$C$89)&lt;='계산 과정'!$D$24/2),1,0),"")</x:f>
        <x:v>1</x:v>
      </x:c>
      <x:c r="O461" s="4" t="n">
        <x:f>IF('계산 과정'!$L$7,'계산 과정'!$C$49*('계산 과정'!$C$32-D461)+'계산 과정'!$D$49*('계산 과정'!$D$32-E461)+'계산 과정'!$E$49*'계산 과정'!$E$32,"")</x:f>
        <x:v>13.815146921830092</x:v>
      </x:c>
      <x:c r="P461" s="4" t="n">
        <x:f>IF(AND('계산 과정'!$L$7,O461&lt;&gt;0),('계산 과정'!$L$23-'계산 과정'!$C$49*D461-'계산 과정'!$D$49*E461)/O461,"")</x:f>
        <x:v>29.953727547257376</x:v>
      </x:c>
      <x:c r="Q461" s="4" t="str">
        <x:f>IF(AND(ISNUMBER(P461),P461&gt;1E-9,P461&lt;1-1E-9),'계산 과정'!$C$47*(D461-'계산 과정'!$C$50+P461*('계산 과정'!$C$32-D461))+'계산 과정'!$D$47*(E461-'계산 과정'!$D$50+P461*('계산 과정'!$D$32-E461))+'계산 과정'!$E$47*(0-'계산 과정'!$E$50+P461*('계산 과정'!$E$32-0)),"")</x:f>
      </x:c>
      <x:c r="R461" s="4" t="str">
        <x:f>IF(AND(ISNUMBER(P461),P461&gt;1E-9,P461&lt;1-1E-9),'계산 과정'!$C$48*(D461-'계산 과정'!$C$50+P461*('계산 과정'!$C$32-D461))+'계산 과정'!$D$48*(E461-'계산 과정'!$D$50+P461*('계산 과정'!$D$32-E461))+'계산 과정'!$E$48*(0-'계산 과정'!$E$50+P461*('계산 과정'!$E$32-0)),"")</x:f>
      </x:c>
      <x:c r="S461" s="17" t="n">
        <x:f>IF('계산 과정'!$C$78,IF(AND(ISNUMBER(Q461),ISNUMBER(R461),ABS(Q461-'계산 과정'!$C$88)&lt;='계산 과정'!$D$23/2,ABS(R461-'계산 과정'!$C$89)&lt;='계산 과정'!$D$24/2),1,0),"")</x:f>
        <x:v>0</x:v>
      </x:c>
      <x:c r="T461" s="4"/>
      <x:c r="U461" s="4"/>
      <x:c r="V461" s="4"/>
      <x:c r="W461" s="4" t="n">
        <x:f>IF('계산 과정'!$C$78,'계산 과정'!$C$88+-0.48*'계산 과정'!$C$90/2,"")</x:f>
        <x:v>-58.168333683907605</x:v>
      </x:c>
      <x:c r="X461" s="4" t="str">
        <x:f>""</x:f>
      </x:c>
      <x:c r="Y461" s="4" t="str">
        <x:f>""</x:f>
      </x:c>
      <x:c r="Z461" s="4" t="n">
        <x:f>IF('계산 과정'!$C$78,'계산 과정'!$C$89+-1*'계산 과정'!$C$91/2,"")</x:f>
        <x:v>-250.5995703094169</x:v>
      </x:c>
    </x:row>
    <x:row r="462" ht="23" customHeight="1">
      <x:c r="A462" s="17" t="n">
        <x:f>ROW()-6</x:f>
        <x:v>456</x:v>
      </x:c>
      <x:c r="B462" s="4" t="n">
        <x:f>IF('계산 과정'!$L$5,'계산 과정'!$L$11*SQRT((A462+0.5)/'계산 과정'!$L$30),"")</x:f>
        <x:v>70.81849185814748</x:v>
      </x:c>
      <x:c r="C462" s="4" t="n">
        <x:f>A462*PI()*(3-SQRT(5))</x:f>
        <x:v>1094.3832327562657</x:v>
      </x:c>
      <x:c r="D462" s="4" t="n">
        <x:f>IF('계산 과정'!$L$5,B462*COS(C462),"")</x:f>
        <x:v>31.554352216095545</x:v>
      </x:c>
      <x:c r="E462" s="4" t="n">
        <x:f>IF('계산 과정'!$L$5,B462*SIN(C462),"")</x:f>
        <x:v>63.40017070391126</x:v>
      </x:c>
      <x:c r="F462" s="4" t="n">
        <x:f>IF('계산 과정'!$L$7,'계산 과정'!$L$22+'계산 과정'!$C$49*D462+'계산 과정'!$D$49*E462,"")</x:f>
        <x:v>627.68770357205</x:v>
      </x:c>
      <x:c r="G462" s="4" t="n">
        <x:f>IF('계산 과정'!$L$7,IF(ABS(F462)&gt;=1E-12*MAX(1,SQRT((D462-'계산 과정'!$C$33)^2+(E462-'계산 과정'!$D$33)^2+'계산 과정'!$E$33^2)),('계산 과정'!$L$23-'계산 과정'!$C$49*D462-'계산 과정'!$D$49*E462)/F462,""),"")</x:f>
        <x:v>0.672806387674399</x:v>
      </x:c>
      <x:c r="H462" s="4" t="n">
        <x:f>IF(AND(ISNUMBER(G462),G462&gt;0),('계산 과정'!$D$56+'계산 과정'!$D$57*D462+'계산 과정'!$D$58*E462)/F462,"")</x:f>
        <x:v>37.3241519883592</x:v>
      </x:c>
      <x:c r="I462" s="4" t="n">
        <x:f>IF(AND(ISNUMBER(G462),G462&gt;0),('계산 과정'!$E$56+'계산 과정'!$E$57*D462+'계산 과정'!$E$58*E462)/F462,"")</x:f>
        <x:v>106.05621053315004</x:v>
      </x:c>
      <x:c r="J462" s="4" t="n">
        <x:f>IF('계산 과정'!$L$5,'계산 과정'!$D$6+'계산 과정'!$C$35*D462+'계산 과정'!$D$35*E462,"")</x:f>
        <x:v>627.68770357205</x:v>
      </x:c>
      <x:c r="K462" s="4" t="n">
        <x:f>IF(AND('계산 과정'!$L$6,J462&gt;0),'계산 과정'!$D$10*('계산 과정'!$C$38*(D462-'계산 과정'!$C$32)+'계산 과정'!$D$38*(E462-'계산 과정'!$D$32)-'계산 과정'!$E$38*'계산 과정'!$E$32)/J462,"")</x:f>
        <x:v>0.28437449133988074</x:v>
      </x:c>
      <x:c r="L462" s="4" t="n">
        <x:f>IF(AND('계산 과정'!$L$6,J462&gt;0),'계산 과정'!$D$10*('계산 과정'!$C$39*(D462-'계산 과정'!$C$32)+'계산 과정'!$D$39*(E462-'계산 과정'!$D$32)-'계산 과정'!$E$39*'계산 과정'!$E$32)/J462,"")</x:f>
        <x:v>0.8080473183478099</x:v>
      </x:c>
      <x:c r="M462" s="17" t="n">
        <x:f>IF('계산 과정'!$L$6,IF(J462&lt;=0,0,IF(AND(ABS(K462)&lt;='계산 과정'!$D$11/2,ABS(L462)&lt;='계산 과정'!$D$12/2),1,0)),"")</x:f>
        <x:v>1</x:v>
      </x:c>
      <x:c r="N462" s="17" t="n">
        <x:f>IF('계산 과정'!$C$78,IF(AND(ISNUMBER(H462),ISNUMBER(I462),ABS(H462-'계산 과정'!$C$88)&lt;='계산 과정'!$D$23/2,ABS(I462-'계산 과정'!$C$89)&lt;='계산 과정'!$D$24/2),1,0),"")</x:f>
        <x:v>1</x:v>
      </x:c>
      <x:c r="O462" s="4" t="n">
        <x:f>IF('계산 과정'!$L$7,'계산 과정'!$C$49*('계산 과정'!$C$32-D462)+'계산 과정'!$D$49*('계산 과정'!$D$32-E462)+'계산 과정'!$E$49*'계산 과정'!$E$32,"")</x:f>
        <x:v>22.312296427950002</x:v>
      </x:c>
      <x:c r="P462" s="4" t="n">
        <x:f>IF(AND('계산 과정'!$L$7,O462&lt;&gt;0),('계산 과정'!$L$23-'계산 과정'!$C$49*D462-'계산 과정'!$D$49*E462)/O462,"")</x:f>
        <x:v>18.927334431561732</x:v>
      </x:c>
      <x:c r="Q462" s="4" t="str">
        <x:f>IF(AND(ISNUMBER(P462),P462&gt;1E-9,P462&lt;1-1E-9),'계산 과정'!$C$47*(D462-'계산 과정'!$C$50+P462*('계산 과정'!$C$32-D462))+'계산 과정'!$D$47*(E462-'계산 과정'!$D$50+P462*('계산 과정'!$D$32-E462))+'계산 과정'!$E$47*(0-'계산 과정'!$E$50+P462*('계산 과정'!$E$32-0)),"")</x:f>
      </x:c>
      <x:c r="R462" s="4" t="str">
        <x:f>IF(AND(ISNUMBER(P462),P462&gt;1E-9,P462&lt;1-1E-9),'계산 과정'!$C$48*(D462-'계산 과정'!$C$50+P462*('계산 과정'!$C$32-D462))+'계산 과정'!$D$48*(E462-'계산 과정'!$D$50+P462*('계산 과정'!$D$32-E462))+'계산 과정'!$E$48*(0-'계산 과정'!$E$50+P462*('계산 과정'!$E$32-0)),"")</x:f>
      </x:c>
      <x:c r="S462" s="17" t="n">
        <x:f>IF('계산 과정'!$C$78,IF(AND(ISNUMBER(Q462),ISNUMBER(R462),ABS(Q462-'계산 과정'!$C$88)&lt;='계산 과정'!$D$23/2,ABS(R462-'계산 과정'!$C$89)&lt;='계산 과정'!$D$24/2),1,0),"")</x:f>
        <x:v>0</x:v>
      </x:c>
      <x:c r="T462" s="4"/>
      <x:c r="U462" s="4"/>
      <x:c r="V462" s="4"/>
      <x:c r="W462" s="4" t="n">
        <x:f>IF('계산 과정'!$C$78,'계산 과정'!$C$88+-0.43999999999999995*'계산 과정'!$C$90/2,"")</x:f>
        <x:v>-50.927355522305376</x:v>
      </x:c>
      <x:c r="X462" s="4" t="str">
        <x:f>""</x:f>
      </x:c>
      <x:c r="Y462" s="4" t="str">
        <x:f>""</x:f>
      </x:c>
      <x:c r="Z462" s="4" t="n">
        <x:f>IF('계산 과정'!$C$78,'계산 과정'!$C$89+-1*'계산 과정'!$C$91/2,"")</x:f>
        <x:v>-250.5995703094169</x:v>
      </x:c>
    </x:row>
    <x:row r="463" ht="23" customHeight="1">
      <x:c r="A463" s="17" t="n">
        <x:f>ROW()-6</x:f>
        <x:v>457</x:v>
      </x:c>
      <x:c r="B463" s="4" t="n">
        <x:f>IF('계산 과정'!$L$5,'계산 과정'!$L$11*SQRT((A463+0.5)/'계산 과정'!$L$30),"")</x:f>
        <x:v>70.89601622931644</x:v>
      </x:c>
      <x:c r="C463" s="4" t="n">
        <x:f>A463*PI()*(3-SQRT(5))</x:f>
        <x:v>1096.7831959859943</x:v>
      </x:c>
      <x:c r="D463" s="4" t="n">
        <x:f>IF('계산 과정'!$L$5,B463*COS(C463),"")</x:f>
        <x:v>-66.1657491093545</x:v>
      </x:c>
      <x:c r="E463" s="4" t="n">
        <x:f>IF('계산 과정'!$L$5,B463*SIN(C463),"")</x:f>
        <x:v>-25.462497167117277</x:v>
      </x:c>
      <x:c r="F463" s="4" t="n">
        <x:f>IF('계산 과정'!$L$7,'계산 과정'!$L$22+'계산 과정'!$C$49*D463+'계산 과정'!$D$49*E463,"")</x:f>
        <x:v>696.7862498775123</x:v>
      </x:c>
      <x:c r="G463" s="4" t="n">
        <x:f>IF('계산 과정'!$L$7,IF(ABS(F463)&gt;=1E-12*MAX(1,SQRT((D463-'계산 과정'!$C$33)^2+(E463-'계산 과정'!$D$33)^2+'계산 과정'!$E$33^2)),('계산 과정'!$L$23-'계산 과정'!$C$49*D463-'계산 과정'!$D$49*E463)/F463,""),"")</x:f>
        <x:v>0.5069183701380142</x:v>
      </x:c>
      <x:c r="H463" s="4" t="n">
        <x:f>IF(AND(ISNUMBER(G463),G463&gt;0),('계산 과정'!$D$56+'계산 과정'!$D$57*D463+'계산 과정'!$D$58*E463)/F463,"")</x:f>
        <x:v>-70.50305941029087</x:v>
      </x:c>
      <x:c r="I463" s="4" t="n">
        <x:f>IF(AND(ISNUMBER(G463),G463&gt;0),('계산 과정'!$E$56+'계산 과정'!$E$57*D463+'계산 과정'!$E$58*E463)/F463,"")</x:f>
        <x:v>-38.36990473071617</x:v>
      </x:c>
      <x:c r="J463" s="4" t="n">
        <x:f>IF('계산 과정'!$L$5,'계산 과정'!$D$6+'계산 과정'!$C$35*D463+'계산 과정'!$D$35*E463,"")</x:f>
        <x:v>696.7862498775123</x:v>
      </x:c>
      <x:c r="K463" s="4" t="n">
        <x:f>IF(AND('계산 과정'!$L$6,J463&gt;0),'계산 과정'!$D$10*('계산 과정'!$C$38*(D463-'계산 과정'!$C$32)+'계산 과정'!$D$38*(E463-'계산 과정'!$D$32)-'계산 과정'!$E$38*'계산 과정'!$E$32)/J463,"")</x:f>
        <x:v>-0.5371661669355484</x:v>
      </x:c>
      <x:c r="L463" s="4" t="n">
        <x:f>IF(AND('계산 과정'!$L$6,J463&gt;0),'계산 과정'!$D$10*('계산 과정'!$C$39*(D463-'계산 과정'!$C$32)+'계산 과정'!$D$39*(E463-'계산 과정'!$D$32)-'계산 과정'!$E$39*'계산 과정'!$E$32)/J463,"")</x:f>
        <x:v>-0.29234213128164704</x:v>
      </x:c>
      <x:c r="M463" s="17" t="n">
        <x:f>IF('계산 과정'!$L$6,IF(J463&lt;=0,0,IF(AND(ABS(K463)&lt;='계산 과정'!$D$11/2,ABS(L463)&lt;='계산 과정'!$D$12/2),1,0)),"")</x:f>
        <x:v>1</x:v>
      </x:c>
      <x:c r="N463" s="17" t="n">
        <x:f>IF('계산 과정'!$C$78,IF(AND(ISNUMBER(H463),ISNUMBER(I463),ABS(H463-'계산 과정'!$C$88)&lt;='계산 과정'!$D$23/2,ABS(I463-'계산 과정'!$C$89)&lt;='계산 과정'!$D$24/2),1,0),"")</x:f>
        <x:v>1</x:v>
      </x:c>
      <x:c r="O463" s="4" t="n">
        <x:f>IF('계산 과정'!$L$7,'계산 과정'!$C$49*('계산 과정'!$C$32-D463)+'계산 과정'!$D$49*('계산 과정'!$D$32-E463)+'계산 과정'!$E$49*'계산 과정'!$E$32,"")</x:f>
        <x:v>-46.786249877512205</x:v>
      </x:c>
      <x:c r="P463" s="4" t="n">
        <x:f>IF(AND('계산 과정'!$L$7,O463&lt;&gt;0),('계산 과정'!$L$23-'계산 과정'!$C$49*D463-'계산 과정'!$D$49*E463)/O463,"")</x:f>
        <x:v>-7.549520447721537</x:v>
      </x:c>
      <x:c r="Q463" s="4" t="str">
        <x:f>IF(AND(ISNUMBER(P463),P463&gt;1E-9,P463&lt;1-1E-9),'계산 과정'!$C$47*(D463-'계산 과정'!$C$50+P463*('계산 과정'!$C$32-D463))+'계산 과정'!$D$47*(E463-'계산 과정'!$D$50+P463*('계산 과정'!$D$32-E463))+'계산 과정'!$E$47*(0-'계산 과정'!$E$50+P463*('계산 과정'!$E$32-0)),"")</x:f>
      </x:c>
      <x:c r="R463" s="4" t="str">
        <x:f>IF(AND(ISNUMBER(P463),P463&gt;1E-9,P463&lt;1-1E-9),'계산 과정'!$C$48*(D463-'계산 과정'!$C$50+P463*('계산 과정'!$C$32-D463))+'계산 과정'!$D$48*(E463-'계산 과정'!$D$50+P463*('계산 과정'!$D$32-E463))+'계산 과정'!$E$48*(0-'계산 과정'!$E$50+P463*('계산 과정'!$E$32-0)),"")</x:f>
      </x:c>
      <x:c r="S463" s="17" t="n">
        <x:f>IF('계산 과정'!$C$78,IF(AND(ISNUMBER(Q463),ISNUMBER(R463),ABS(Q463-'계산 과정'!$C$88)&lt;='계산 과정'!$D$23/2,ABS(R463-'계산 과정'!$C$89)&lt;='계산 과정'!$D$24/2),1,0),"")</x:f>
        <x:v>0</x:v>
      </x:c>
      <x:c r="T463" s="4"/>
      <x:c r="U463" s="4"/>
      <x:c r="V463" s="4"/>
      <x:c r="W463" s="4" t="n">
        <x:f>IF('계산 과정'!$C$78,'계산 과정'!$C$88+-0.4*'계산 과정'!$C$90/2,"")</x:f>
        <x:v>-43.68637736070316</x:v>
      </x:c>
      <x:c r="X463" s="4" t="str">
        <x:f>""</x:f>
      </x:c>
      <x:c r="Y463" s="4" t="str">
        <x:f>""</x:f>
      </x:c>
      <x:c r="Z463" s="4" t="n">
        <x:f>IF('계산 과정'!$C$78,'계산 과정'!$C$89+-1*'계산 과정'!$C$91/2,"")</x:f>
        <x:v>-250.5995703094169</x:v>
      </x:c>
    </x:row>
    <x:row r="464" ht="23" customHeight="1">
      <x:c r="A464" s="17" t="n">
        <x:f>ROW()-6</x:f>
        <x:v>458</x:v>
      </x:c>
      <x:c r="B464" s="4" t="n">
        <x:f>IF('계산 과정'!$L$5,'계산 과정'!$L$11*SQRT((A464+0.5)/'계산 과정'!$L$30),"")</x:f>
        <x:v>70.973455920594</x:v>
      </x:c>
      <x:c r="C464" s="4" t="n">
        <x:f>A464*PI()*(3-SQRT(5))</x:f>
        <x:v>1099.183159215723</x:v>
      </x:c>
      <x:c r="D464" s="4" t="n">
        <x:f>IF('계산 과정'!$L$5,B464*COS(C464),"")</x:f>
        <x:v>66.06031281454253</x:v>
      </x:c>
      <x:c r="E464" s="4" t="n">
        <x:f>IF('계산 과정'!$L$5,B464*SIN(C464),"")</x:f>
        <x:v>-25.947379755136893</x:v>
      </x:c>
      <x:c r="F464" s="4" t="n">
        <x:f>IF('계산 과정'!$L$7,'계산 과정'!$L$22+'계산 과정'!$C$49*D464+'계산 과정'!$D$49*E464,"")</x:f>
        <x:v>603.2883048415324</x:v>
      </x:c>
      <x:c r="G464" s="4" t="n">
        <x:f>IF('계산 과정'!$L$7,IF(ABS(F464)&gt;=1E-12*MAX(1,SQRT((D464-'계산 과정'!$C$33)^2+(E464-'계산 과정'!$D$33)^2+'계산 과정'!$E$33^2)),('계산 과정'!$L$23-'계산 과정'!$C$49*D464-'계산 과정'!$D$49*E464)/F464,""),"")</x:f>
        <x:v>0.7404613873226114</x:v>
      </x:c>
      <x:c r="H464" s="4" t="n">
        <x:f>IF(AND(ISNUMBER(G464),G464&gt;0),('계산 과정'!$D$56+'계산 과정'!$D$57*D464+'계산 과정'!$D$58*E464)/F464,"")</x:f>
        <x:v>81.29990175969733</x:v>
      </x:c>
      <x:c r="I464" s="4" t="n">
        <x:f>IF(AND(ISNUMBER(G464),G464&gt;0),('계산 과정'!$E$56+'계산 과정'!$E$57*D464+'계산 과정'!$E$58*E464)/F464,"")</x:f>
        <x:v>-45.1604125660122</x:v>
      </x:c>
      <x:c r="J464" s="4" t="n">
        <x:f>IF('계산 과정'!$L$5,'계산 과정'!$D$6+'계산 과정'!$C$35*D464+'계산 과정'!$D$35*E464,"")</x:f>
        <x:v>603.2883048415324</x:v>
      </x:c>
      <x:c r="K464" s="4" t="n">
        <x:f>IF(AND('계산 과정'!$L$6,J464&gt;0),'계산 과정'!$D$10*('계산 과정'!$C$38*(D464-'계산 과정'!$C$32)+'계산 과정'!$D$38*(E464-'계산 과정'!$D$32)-'계산 과정'!$E$38*'계산 과정'!$E$32)/J464,"")</x:f>
        <x:v>0.6194278229310279</x:v>
      </x:c>
      <x:c r="L464" s="4" t="n">
        <x:f>IF(AND('계산 과정'!$L$6,J464&gt;0),'계산 과정'!$D$10*('계산 과정'!$C$39*(D464-'계산 과정'!$C$32)+'계산 과정'!$D$39*(E464-'계산 과정'!$D$32)-'계산 과정'!$E$39*'계산 과정'!$E$32)/J464,"")</x:f>
        <x:v>-0.3440793338362834</x:v>
      </x:c>
      <x:c r="M464" s="17" t="n">
        <x:f>IF('계산 과정'!$L$6,IF(J464&lt;=0,0,IF(AND(ABS(K464)&lt;='계산 과정'!$D$11/2,ABS(L464)&lt;='계산 과정'!$D$12/2),1,0)),"")</x:f>
        <x:v>1</x:v>
      </x:c>
      <x:c r="N464" s="17" t="n">
        <x:f>IF('계산 과정'!$C$78,IF(AND(ISNUMBER(H464),ISNUMBER(I464),ABS(H464-'계산 과정'!$C$88)&lt;='계산 과정'!$D$23/2,ABS(I464-'계산 과정'!$C$89)&lt;='계산 과정'!$D$24/2),1,0),"")</x:f>
        <x:v>1</x:v>
      </x:c>
      <x:c r="O464" s="4" t="n">
        <x:f>IF('계산 과정'!$L$7,'계산 과정'!$C$49*('계산 과정'!$C$32-D464)+'계산 과정'!$D$49*('계산 과정'!$D$32-E464)+'계산 과정'!$E$49*'계산 과정'!$E$32,"")</x:f>
        <x:v>46.711695158467705</x:v>
      </x:c>
      <x:c r="P464" s="4" t="n">
        <x:f>IF(AND('계산 과정'!$L$7,O464&lt;&gt;0),('계산 과정'!$L$23-'계산 과정'!$C$49*D464-'계산 과정'!$D$49*E464)/O464,"")</x:f>
        <x:v>9.56316600463791</x:v>
      </x:c>
      <x:c r="Q464" s="4" t="str">
        <x:f>IF(AND(ISNUMBER(P464),P464&gt;1E-9,P464&lt;1-1E-9),'계산 과정'!$C$47*(D464-'계산 과정'!$C$50+P464*('계산 과정'!$C$32-D464))+'계산 과정'!$D$47*(E464-'계산 과정'!$D$50+P464*('계산 과정'!$D$32-E464))+'계산 과정'!$E$47*(0-'계산 과정'!$E$50+P464*('계산 과정'!$E$32-0)),"")</x:f>
      </x:c>
      <x:c r="R464" s="4" t="str">
        <x:f>IF(AND(ISNUMBER(P464),P464&gt;1E-9,P464&lt;1-1E-9),'계산 과정'!$C$48*(D464-'계산 과정'!$C$50+P464*('계산 과정'!$C$32-D464))+'계산 과정'!$D$48*(E464-'계산 과정'!$D$50+P464*('계산 과정'!$D$32-E464))+'계산 과정'!$E$48*(0-'계산 과정'!$E$50+P464*('계산 과정'!$E$32-0)),"")</x:f>
      </x:c>
      <x:c r="S464" s="17" t="n">
        <x:f>IF('계산 과정'!$C$78,IF(AND(ISNUMBER(Q464),ISNUMBER(R464),ABS(Q464-'계산 과정'!$C$88)&lt;='계산 과정'!$D$23/2,ABS(R464-'계산 과정'!$C$89)&lt;='계산 과정'!$D$24/2),1,0),"")</x:f>
        <x:v>0</x:v>
      </x:c>
      <x:c r="T464" s="4"/>
      <x:c r="U464" s="4"/>
      <x:c r="V464" s="4"/>
      <x:c r="W464" s="4" t="n">
        <x:f>IF('계산 과정'!$C$78,'계산 과정'!$C$88+-0.36*'계산 과정'!$C$90/2,"")</x:f>
        <x:v>-36.44539919910095</x:v>
      </x:c>
      <x:c r="X464" s="4" t="str">
        <x:f>""</x:f>
      </x:c>
      <x:c r="Y464" s="4" t="str">
        <x:f>""</x:f>
      </x:c>
      <x:c r="Z464" s="4" t="n">
        <x:f>IF('계산 과정'!$C$78,'계산 과정'!$C$89+-1*'계산 과정'!$C$91/2,"")</x:f>
        <x:v>-250.5995703094169</x:v>
      </x:c>
    </x:row>
    <x:row r="465" ht="23" customHeight="1">
      <x:c r="A465" s="17" t="n">
        <x:f>ROW()-6</x:f>
        <x:v>459</x:v>
      </x:c>
      <x:c r="B465" s="4" t="n">
        <x:f>IF('계산 과정'!$L$5,'계산 과정'!$L$11*SQRT((A465+0.5)/'계산 과정'!$L$30),"")</x:f>
        <x:v>71.05081120886305</x:v>
      </x:c>
      <x:c r="C465" s="4" t="n">
        <x:f>A465*PI()*(3-SQRT(5))</x:f>
        <x:v>1101.5831224454516</x:v>
      </x:c>
      <x:c r="D465" s="4" t="n">
        <x:f>IF('계산 과정'!$L$5,B465*COS(C465),"")</x:f>
        <x:v>-31.217603161427856</x:v>
      </x:c>
      <x:c r="E465" s="4" t="n">
        <x:f>IF('계산 과정'!$L$5,B465*SIN(C465),"")</x:f>
        <x:v>63.82537917077429</x:v>
      </x:c>
      <x:c r="F465" s="4" t="n">
        <x:f>IF('계산 과정'!$L$7,'계산 과정'!$L$22+'계산 과정'!$C$49*D465+'계산 과정'!$D$49*E465,"")</x:f>
        <x:v>672.0741788878363</x:v>
      </x:c>
      <x:c r="G465" s="4" t="n">
        <x:f>IF('계산 과정'!$L$7,IF(ABS(F465)&gt;=1E-12*MAX(1,SQRT((D465-'계산 과정'!$C$33)^2+(E465-'계산 과정'!$D$33)^2+'계산 과정'!$E$33^2)),('계산 과정'!$L$23-'계산 과정'!$C$49*D465-'계산 과정'!$D$49*E465)/F465,""),"")</x:f>
        <x:v>0.5623275420840659</x:v>
      </x:c>
      <x:c r="H465" s="4" t="n">
        <x:f>IF(AND(ISNUMBER(G465),G465&gt;0),('계산 과정'!$D$56+'계산 과정'!$D$57*D465+'계산 과정'!$D$58*E465)/F465,"")</x:f>
        <x:v>-34.48709764535729</x:v>
      </x:c>
      <x:c r="I465" s="4" t="n">
        <x:f>IF(AND(ISNUMBER(G465),G465&gt;0),('계산 과정'!$E$56+'계산 과정'!$E$57*D465+'계산 과정'!$E$58*E465)/F465,"")</x:f>
        <x:v>99.71614776245933</x:v>
      </x:c>
      <x:c r="J465" s="4" t="n">
        <x:f>IF('계산 과정'!$L$5,'계산 과정'!$D$6+'계산 과정'!$C$35*D465+'계산 과정'!$D$35*E465,"")</x:f>
        <x:v>672.0741788878363</x:v>
      </x:c>
      <x:c r="K465" s="4" t="n">
        <x:f>IF(AND('계산 과정'!$L$6,J465&gt;0),'계산 과정'!$D$10*('계산 과정'!$C$38*(D465-'계산 과정'!$C$32)+'계산 과정'!$D$38*(E465-'계산 과정'!$D$32)-'계산 과정'!$E$38*'계산 과정'!$E$32)/J465,"")</x:f>
        <x:v>-0.2627588392027213</x:v>
      </x:c>
      <x:c r="L465" s="4" t="n">
        <x:f>IF(AND('계산 과정'!$L$6,J465&gt;0),'계산 과정'!$D$10*('계산 과정'!$C$39*(D465-'계산 과정'!$C$32)+'계산 과정'!$D$39*(E465-'계산 과정'!$D$32)-'계산 과정'!$E$39*'계산 과정'!$E$32)/J465,"")</x:f>
        <x:v>0.7597420781901663</x:v>
      </x:c>
      <x:c r="M465" s="17" t="n">
        <x:f>IF('계산 과정'!$L$6,IF(J465&lt;=0,0,IF(AND(ABS(K465)&lt;='계산 과정'!$D$11/2,ABS(L465)&lt;='계산 과정'!$D$12/2),1,0)),"")</x:f>
        <x:v>1</x:v>
      </x:c>
      <x:c r="N465" s="17" t="n">
        <x:f>IF('계산 과정'!$C$78,IF(AND(ISNUMBER(H465),ISNUMBER(I465),ABS(H465-'계산 과정'!$C$88)&lt;='계산 과정'!$D$23/2,ABS(I465-'계산 과정'!$C$89)&lt;='계산 과정'!$D$24/2),1,0),"")</x:f>
        <x:v>1</x:v>
      </x:c>
      <x:c r="O465" s="4" t="n">
        <x:f>IF('계산 과정'!$L$7,'계산 과정'!$C$49*('계산 과정'!$C$32-D465)+'계산 과정'!$D$49*('계산 과정'!$D$32-E465)+'계산 과정'!$E$49*'계산 과정'!$E$32,"")</x:f>
        <x:v>-22.074178887836126</x:v>
      </x:c>
      <x:c r="P465" s="4" t="n">
        <x:f>IF(AND('계산 과정'!$L$7,O465&lt;&gt;0),('계산 과정'!$L$23-'계산 과정'!$C$49*D465-'계산 과정'!$D$49*E465)/O465,"")</x:f>
        <x:v>-17.12071932697882</x:v>
      </x:c>
      <x:c r="Q465" s="4" t="str">
        <x:f>IF(AND(ISNUMBER(P465),P465&gt;1E-9,P465&lt;1-1E-9),'계산 과정'!$C$47*(D465-'계산 과정'!$C$50+P465*('계산 과정'!$C$32-D465))+'계산 과정'!$D$47*(E465-'계산 과정'!$D$50+P465*('계산 과정'!$D$32-E465))+'계산 과정'!$E$47*(0-'계산 과정'!$E$50+P465*('계산 과정'!$E$32-0)),"")</x:f>
      </x:c>
      <x:c r="R465" s="4" t="str">
        <x:f>IF(AND(ISNUMBER(P465),P465&gt;1E-9,P465&lt;1-1E-9),'계산 과정'!$C$48*(D465-'계산 과정'!$C$50+P465*('계산 과정'!$C$32-D465))+'계산 과정'!$D$48*(E465-'계산 과정'!$D$50+P465*('계산 과정'!$D$32-E465))+'계산 과정'!$E$48*(0-'계산 과정'!$E$50+P465*('계산 과정'!$E$32-0)),"")</x:f>
      </x:c>
      <x:c r="S465" s="17" t="n">
        <x:f>IF('계산 과정'!$C$78,IF(AND(ISNUMBER(Q465),ISNUMBER(R465),ABS(Q465-'계산 과정'!$C$88)&lt;='계산 과정'!$D$23/2,ABS(R465-'계산 과정'!$C$89)&lt;='계산 과정'!$D$24/2),1,0),"")</x:f>
        <x:v>0</x:v>
      </x:c>
      <x:c r="T465" s="4"/>
      <x:c r="U465" s="4"/>
      <x:c r="V465" s="4"/>
      <x:c r="W465" s="4" t="n">
        <x:f>IF('계산 과정'!$C$78,'계산 과정'!$C$88+-0.31999999999999995*'계산 과정'!$C$90/2,"")</x:f>
        <x:v>-29.20442103749872</x:v>
      </x:c>
      <x:c r="X465" s="4" t="str">
        <x:f>""</x:f>
      </x:c>
      <x:c r="Y465" s="4" t="str">
        <x:f>""</x:f>
      </x:c>
      <x:c r="Z465" s="4" t="n">
        <x:f>IF('계산 과정'!$C$78,'계산 과정'!$C$89+-1*'계산 과정'!$C$91/2,"")</x:f>
        <x:v>-250.5995703094169</x:v>
      </x:c>
    </x:row>
    <x:row r="466" ht="23" customHeight="1">
      <x:c r="A466" s="17" t="n">
        <x:f>ROW()-6</x:f>
        <x:v>460</x:v>
      </x:c>
      <x:c r="B466" s="4" t="n">
        <x:f>IF('계산 과정'!$L$5,'계산 과정'!$L$11*SQRT((A466+0.5)/'계산 과정'!$L$30),"")</x:f>
        <x:v>71.12808236950087</x:v>
      </x:c>
      <x:c r="C466" s="4" t="n">
        <x:f>A466*PI()*(3-SQRT(5))</x:f>
        <x:v>1103.9830856751803</x:v>
      </x:c>
      <x:c r="D466" s="4" t="n">
        <x:f>IF('계산 과정'!$L$5,B466*COS(C466),"")</x:f>
        <x:v>-20.116388907506366</x:v>
      </x:c>
      <x:c r="E466" s="4" t="n">
        <x:f>IF('계산 과정'!$L$5,B466*SIN(C466),"")</x:f>
        <x:v>-68.22415260656929</x:v>
      </x:c>
      <x:c r="F466" s="4" t="n">
        <x:f>IF('계산 과정'!$L$7,'계산 과정'!$L$22+'계산 과정'!$C$49*D466+'계산 과정'!$D$49*E466,"")</x:f>
        <x:v>664.2244350094836</x:v>
      </x:c>
      <x:c r="G466" s="4" t="n">
        <x:f>IF('계산 과정'!$L$7,IF(ABS(F466)&gt;=1E-12*MAX(1,SQRT((D466-'계산 과정'!$C$33)^2+(E466-'계산 과정'!$D$33)^2+'계산 과정'!$E$33^2)),('계산 과정'!$L$23-'계산 과정'!$C$49*D466-'계산 과정'!$D$49*E466)/F466,""),"")</x:f>
        <x:v>0.5807909866866136</x:v>
      </x:c>
      <x:c r="H466" s="4" t="n">
        <x:f>IF(AND(ISNUMBER(G466),G466&gt;0),('계산 과정'!$D$56+'계산 과정'!$D$57*D466+'계산 과정'!$D$58*E466)/F466,"")</x:f>
        <x:v>-22.4858586537013</x:v>
      </x:c>
      <x:c r="I466" s="4" t="n">
        <x:f>IF(AND(ISNUMBER(G466),G466&gt;0),('계산 과정'!$E$56+'계산 과정'!$E$57*D466+'계산 과정'!$E$58*E466)/F466,"")</x:f>
        <x:v>-107.84812551479678</x:v>
      </x:c>
      <x:c r="J466" s="4" t="n">
        <x:f>IF('계산 과정'!$L$5,'계산 과정'!$D$6+'계산 과정'!$C$35*D466+'계산 과정'!$D$35*E466,"")</x:f>
        <x:v>664.2244350094836</x:v>
      </x:c>
      <x:c r="K466" s="4" t="n">
        <x:f>IF(AND('계산 과정'!$L$6,J466&gt;0),'계산 과정'!$D$10*('계산 과정'!$C$38*(D466-'계산 과정'!$C$32)+'계산 과정'!$D$38*(E466-'계산 과정'!$D$32)-'계산 과정'!$E$38*'계산 과정'!$E$32)/J466,"")</x:f>
        <x:v>-0.17132082783772282</x:v>
      </x:c>
      <x:c r="L466" s="4" t="n">
        <x:f>IF(AND('계산 과정'!$L$6,J466&gt;0),'계산 과정'!$D$10*('계산 과정'!$C$39*(D466-'계산 과정'!$C$32)+'계산 과정'!$D$39*(E466-'계산 과정'!$D$32)-'계산 과정'!$E$39*'계산 과정'!$E$32)/J466,"")</x:f>
        <x:v>-0.8217000039222611</x:v>
      </x:c>
      <x:c r="M466" s="17" t="n">
        <x:f>IF('계산 과정'!$L$6,IF(J466&lt;=0,0,IF(AND(ABS(K466)&lt;='계산 과정'!$D$11/2,ABS(L466)&lt;='계산 과정'!$D$12/2),1,0)),"")</x:f>
        <x:v>1</x:v>
      </x:c>
      <x:c r="N466" s="17" t="n">
        <x:f>IF('계산 과정'!$C$78,IF(AND(ISNUMBER(H466),ISNUMBER(I466),ABS(H466-'계산 과정'!$C$88)&lt;='계산 과정'!$D$23/2,ABS(I466-'계산 과정'!$C$89)&lt;='계산 과정'!$D$24/2),1,0),"")</x:f>
        <x:v>1</x:v>
      </x:c>
      <x:c r="O466" s="4" t="n">
        <x:f>IF('계산 과정'!$L$7,'계산 과정'!$C$49*('계산 과정'!$C$32-D466)+'계산 과정'!$D$49*('계산 과정'!$D$32-E466)+'계산 과정'!$E$49*'계산 과정'!$E$32,"")</x:f>
        <x:v>-14.224435009483443</x:v>
      </x:c>
      <x:c r="P466" s="4" t="n">
        <x:f>IF(AND('계산 과정'!$L$7,O466&lt;&gt;0),('계산 과정'!$L$23-'계산 과정'!$C$49*D466-'계산 과정'!$D$49*E466)/O466,"")</x:f>
        <x:v>-27.12062480747527</x:v>
      </x:c>
      <x:c r="Q466" s="4" t="str">
        <x:f>IF(AND(ISNUMBER(P466),P466&gt;1E-9,P466&lt;1-1E-9),'계산 과정'!$C$47*(D466-'계산 과정'!$C$50+P466*('계산 과정'!$C$32-D466))+'계산 과정'!$D$47*(E466-'계산 과정'!$D$50+P466*('계산 과정'!$D$32-E466))+'계산 과정'!$E$47*(0-'계산 과정'!$E$50+P466*('계산 과정'!$E$32-0)),"")</x:f>
      </x:c>
      <x:c r="R466" s="4" t="str">
        <x:f>IF(AND(ISNUMBER(P466),P466&gt;1E-9,P466&lt;1-1E-9),'계산 과정'!$C$48*(D466-'계산 과정'!$C$50+P466*('계산 과정'!$C$32-D466))+'계산 과정'!$D$48*(E466-'계산 과정'!$D$50+P466*('계산 과정'!$D$32-E466))+'계산 과정'!$E$48*(0-'계산 과정'!$E$50+P466*('계산 과정'!$E$32-0)),"")</x:f>
      </x:c>
      <x:c r="S466" s="17" t="n">
        <x:f>IF('계산 과정'!$C$78,IF(AND(ISNUMBER(Q466),ISNUMBER(R466),ABS(Q466-'계산 과정'!$C$88)&lt;='계산 과정'!$D$23/2,ABS(R466-'계산 과정'!$C$89)&lt;='계산 과정'!$D$24/2),1,0),"")</x:f>
        <x:v>0</x:v>
      </x:c>
      <x:c r="T466" s="4"/>
      <x:c r="U466" s="4"/>
      <x:c r="V466" s="4"/>
      <x:c r="W466" s="4" t="n">
        <x:f>IF('계산 과정'!$C$78,'계산 과정'!$C$88+-0.28*'계산 과정'!$C$90/2,"")</x:f>
        <x:v>-21.96344287589651</x:v>
      </x:c>
      <x:c r="X466" s="4" t="str">
        <x:f>""</x:f>
      </x:c>
      <x:c r="Y466" s="4" t="str">
        <x:f>""</x:f>
      </x:c>
      <x:c r="Z466" s="4" t="n">
        <x:f>IF('계산 과정'!$C$78,'계산 과정'!$C$89+-1*'계산 과정'!$C$91/2,"")</x:f>
        <x:v>-250.5995703094169</x:v>
      </x:c>
    </x:row>
    <x:row r="467" ht="23" customHeight="1">
      <x:c r="A467" s="17" t="n">
        <x:f>ROW()-6</x:f>
        <x:v>461</x:v>
      </x:c>
      <x:c r="B467" s="4" t="n">
        <x:f>IF('계산 과정'!$L$5,'계산 과정'!$L$11*SQRT((A467+0.5)/'계산 과정'!$L$30),"")</x:f>
        <x:v>71.20526967639053</x:v>
      </x:c>
      <x:c r="C467" s="4" t="n">
        <x:f>A467*PI()*(3-SQRT(5))</x:f>
        <x:v>1106.383048904909</x:v>
      </x:c>
      <x:c r="D467" s="4" t="n">
        <x:f>IF('계산 과정'!$L$5,B467*COS(C467),"")</x:f>
        <x:v>60.98405944060797</x:v>
      </x:c>
      <x:c r="E467" s="4" t="n">
        <x:f>IF('계산 과정'!$L$5,B467*SIN(C467),"")</x:f>
        <x:v>36.75778725429339</x:v>
      </x:c>
      <x:c r="F467" s="4" t="n">
        <x:f>IF('계산 과정'!$L$7,'계산 과정'!$L$22+'계산 과정'!$C$49*D467+'계산 과정'!$D$49*E467,"")</x:f>
        <x:v>606.8777580252627</x:v>
      </x:c>
      <x:c r="G467" s="4" t="n">
        <x:f>IF('계산 과정'!$L$7,IF(ABS(F467)&gt;=1E-12*MAX(1,SQRT((D467-'계산 과정'!$C$33)^2+(E467-'계산 과정'!$D$33)^2+'계산 과정'!$E$33^2)),('계산 과정'!$L$23-'계산 과정'!$C$49*D467-'계산 과정'!$D$49*E467)/F467,""),"")</x:f>
        <x:v>0.7301672142617747</x:v>
      </x:c>
      <x:c r="H467" s="4" t="n">
        <x:f>IF(AND(ISNUMBER(G467),G467&gt;0),('계산 과정'!$D$56+'계산 과정'!$D$57*D467+'계산 과정'!$D$58*E467)/F467,"")</x:f>
        <x:v>74.60868927015345</x:v>
      </x:c>
      <x:c r="I467" s="4" t="n">
        <x:f>IF(AND(ISNUMBER(G467),G467&gt;0),('계산 과정'!$E$56+'계산 과정'!$E$57*D467+'계산 과정'!$E$58*E467)/F467,"")</x:f>
        <x:v>63.59711837618776</x:v>
      </x:c>
      <x:c r="J467" s="4" t="n">
        <x:f>IF('계산 과정'!$L$5,'계산 과정'!$D$6+'계산 과정'!$C$35*D467+'계산 과정'!$D$35*E467,"")</x:f>
        <x:v>606.8777580252627</x:v>
      </x:c>
      <x:c r="K467" s="4" t="n">
        <x:f>IF(AND('계산 과정'!$L$6,J467&gt;0),'계산 과정'!$D$10*('계산 과정'!$C$38*(D467-'계산 과정'!$C$32)+'계산 과정'!$D$38*(E467-'계산 과정'!$D$32)-'계산 과정'!$E$38*'계산 과정'!$E$32)/J467,"")</x:f>
        <x:v>0.5684471563440271</x:v>
      </x:c>
      <x:c r="L467" s="4" t="n">
        <x:f>IF(AND('계산 과정'!$L$6,J467&gt;0),'계산 과정'!$D$10*('계산 과정'!$C$39*(D467-'계산 과정'!$C$32)+'계산 과정'!$D$39*(E467-'계산 과정'!$D$32)-'계산 과정'!$E$39*'계산 과정'!$E$32)/J467,"")</x:f>
        <x:v>0.4845494733423829</x:v>
      </x:c>
      <x:c r="M467" s="17" t="n">
        <x:f>IF('계산 과정'!$L$6,IF(J467&lt;=0,0,IF(AND(ABS(K467)&lt;='계산 과정'!$D$11/2,ABS(L467)&lt;='계산 과정'!$D$12/2),1,0)),"")</x:f>
        <x:v>1</x:v>
      </x:c>
      <x:c r="N467" s="17" t="n">
        <x:f>IF('계산 과정'!$C$78,IF(AND(ISNUMBER(H467),ISNUMBER(I467),ABS(H467-'계산 과정'!$C$88)&lt;='계산 과정'!$D$23/2,ABS(I467-'계산 과정'!$C$89)&lt;='계산 과정'!$D$24/2),1,0),"")</x:f>
        <x:v>1</x:v>
      </x:c>
      <x:c r="O467" s="4" t="n">
        <x:f>IF('계산 과정'!$L$7,'계산 과정'!$C$49*('계산 과정'!$C$32-D467)+'계산 과정'!$D$49*('계산 과정'!$D$32-E467)+'계산 과정'!$E$49*'계산 과정'!$E$32,"")</x:f>
        <x:v>43.122241974737506</x:v>
      </x:c>
      <x:c r="P467" s="4" t="n">
        <x:f>IF(AND('계산 과정'!$L$7,O467&lt;&gt;0),('계산 과정'!$L$23-'계산 과정'!$C$49*D467-'계산 과정'!$D$49*E467)/O467,"")</x:f>
        <x:v>10.275955555240696</x:v>
      </x:c>
      <x:c r="Q467" s="4" t="str">
        <x:f>IF(AND(ISNUMBER(P467),P467&gt;1E-9,P467&lt;1-1E-9),'계산 과정'!$C$47*(D467-'계산 과정'!$C$50+P467*('계산 과정'!$C$32-D467))+'계산 과정'!$D$47*(E467-'계산 과정'!$D$50+P467*('계산 과정'!$D$32-E467))+'계산 과정'!$E$47*(0-'계산 과정'!$E$50+P467*('계산 과정'!$E$32-0)),"")</x:f>
      </x:c>
      <x:c r="R467" s="4" t="str">
        <x:f>IF(AND(ISNUMBER(P467),P467&gt;1E-9,P467&lt;1-1E-9),'계산 과정'!$C$48*(D467-'계산 과정'!$C$50+P467*('계산 과정'!$C$32-D467))+'계산 과정'!$D$48*(E467-'계산 과정'!$D$50+P467*('계산 과정'!$D$32-E467))+'계산 과정'!$E$48*(0-'계산 과정'!$E$50+P467*('계산 과정'!$E$32-0)),"")</x:f>
      </x:c>
      <x:c r="S467" s="17" t="n">
        <x:f>IF('계산 과정'!$C$78,IF(AND(ISNUMBER(Q467),ISNUMBER(R467),ABS(Q467-'계산 과정'!$C$88)&lt;='계산 과정'!$D$23/2,ABS(R467-'계산 과정'!$C$89)&lt;='계산 과정'!$D$24/2),1,0),"")</x:f>
        <x:v>0</x:v>
      </x:c>
      <x:c r="T467" s="4"/>
      <x:c r="U467" s="4"/>
      <x:c r="V467" s="4"/>
      <x:c r="W467" s="4" t="n">
        <x:f>IF('계산 과정'!$C$78,'계산 과정'!$C$88+-0.24*'계산 과정'!$C$90/2,"")</x:f>
        <x:v>-14.72246471429429</x:v>
      </x:c>
      <x:c r="X467" s="4" t="str">
        <x:f>""</x:f>
      </x:c>
      <x:c r="Y467" s="4" t="str">
        <x:f>""</x:f>
      </x:c>
      <x:c r="Z467" s="4" t="n">
        <x:f>IF('계산 과정'!$C$78,'계산 과정'!$C$89+-1*'계산 과정'!$C$91/2,"")</x:f>
        <x:v>-250.5995703094169</x:v>
      </x:c>
    </x:row>
    <x:row r="468" ht="23" customHeight="1">
      <x:c r="A468" s="17" t="n">
        <x:f>ROW()-6</x:f>
        <x:v>462</x:v>
      </x:c>
      <x:c r="B468" s="4" t="n">
        <x:f>IF('계산 과정'!$L$5,'계산 과정'!$L$11*SQRT((A468+0.5)/'계산 과정'!$L$30),"")</x:f>
        <x:v>71.28237340193226</x:v>
      </x:c>
      <x:c r="C468" s="4" t="n">
        <x:f>A468*PI()*(3-SQRT(5))</x:f>
        <x:v>1108.7830121346376</x:v>
      </x:c>
      <x:c r="D468" s="4" t="n">
        <x:f>IF('계산 과정'!$L$5,B468*COS(C468),"")</x:f>
        <x:v>-69.8728551166086</x:v>
      </x:c>
      <x:c r="E468" s="4" t="n">
        <x:f>IF('계산 과정'!$L$5,B468*SIN(C468),"")</x:f>
        <x:v>14.105349186245745</x:v>
      </x:c>
      <x:c r="F468" s="4" t="n">
        <x:f>IF('계산 과정'!$L$7,'계산 과정'!$L$22+'계산 과정'!$C$49*D468+'계산 과정'!$D$49*E468,"")</x:f>
        <x:v>699.4075696738191</x:v>
      </x:c>
      <x:c r="G468" s="4" t="n">
        <x:f>IF('계산 과정'!$L$7,IF(ABS(F468)&gt;=1E-12*MAX(1,SQRT((D468-'계산 과정'!$C$33)^2+(E468-'계산 과정'!$D$33)^2+'계산 과정'!$E$33^2)),('계산 과정'!$L$23-'계산 과정'!$C$49*D468-'계산 과정'!$D$49*E468)/F468,""),"")</x:f>
        <x:v>0.5012705688754352</x:v>
      </x:c>
      <x:c r="H468" s="4" t="n">
        <x:f>IF(AND(ISNUMBER(G468),G468&gt;0),('계산 과정'!$D$56+'계산 과정'!$D$57*D468+'계산 과정'!$D$58*E468)/F468,"")</x:f>
        <x:v>-74.17413023096722</x:v>
      </x:c>
      <x:c r="I468" s="4" t="n">
        <x:f>IF(AND(ISNUMBER(G468),G468&gt;0),('계산 과정'!$E$56+'계산 과정'!$E$57*D468+'계산 과정'!$E$58*E468)/F468,"")</x:f>
        <x:v>21.175945597021805</x:v>
      </x:c>
      <x:c r="J468" s="4" t="n">
        <x:f>IF('계산 과정'!$L$5,'계산 과정'!$D$6+'계산 과정'!$C$35*D468+'계산 과정'!$D$35*E468,"")</x:f>
        <x:v>699.4075696738191</x:v>
      </x:c>
      <x:c r="K468" s="4" t="n">
        <x:f>IF(AND('계산 과정'!$L$6,J468&gt;0),'계산 과정'!$D$10*('계산 과정'!$C$38*(D468-'계산 과정'!$C$32)+'계산 과정'!$D$38*(E468-'계산 과정'!$D$32)-'계산 과정'!$E$38*'계산 과정'!$E$32)/J468,"")</x:f>
        <x:v>-0.5651362303311775</x:v>
      </x:c>
      <x:c r="L468" s="4" t="n">
        <x:f>IF(AND('계산 과정'!$L$6,J468&gt;0),'계산 과정'!$D$10*('계산 과정'!$C$39*(D468-'계산 과정'!$C$32)+'계산 과정'!$D$39*(E468-'계산 과정'!$D$32)-'계산 과정'!$E$39*'계산 과정'!$E$32)/J468,"")</x:f>
        <x:v>0.1613405378820709</x:v>
      </x:c>
      <x:c r="M468" s="17" t="n">
        <x:f>IF('계산 과정'!$L$6,IF(J468&lt;=0,0,IF(AND(ABS(K468)&lt;='계산 과정'!$D$11/2,ABS(L468)&lt;='계산 과정'!$D$12/2),1,0)),"")</x:f>
        <x:v>1</x:v>
      </x:c>
      <x:c r="N468" s="17" t="n">
        <x:f>IF('계산 과정'!$C$78,IF(AND(ISNUMBER(H468),ISNUMBER(I468),ABS(H468-'계산 과정'!$C$88)&lt;='계산 과정'!$D$23/2,ABS(I468-'계산 과정'!$C$89)&lt;='계산 과정'!$D$24/2),1,0),"")</x:f>
        <x:v>1</x:v>
      </x:c>
      <x:c r="O468" s="4" t="n">
        <x:f>IF('계산 과정'!$L$7,'계산 과정'!$C$49*('계산 과정'!$C$32-D468)+'계산 과정'!$D$49*('계산 과정'!$D$32-E468)+'계산 과정'!$E$49*'계산 과정'!$E$32,"")</x:f>
        <x:v>-49.407569673818955</x:v>
      </x:c>
      <x:c r="P468" s="4" t="n">
        <x:f>IF(AND('계산 과정'!$L$7,O468&lt;&gt;0),('계산 과정'!$L$23-'계산 과정'!$C$49*D468-'계산 과정'!$D$49*E468)/O468,"")</x:f>
        <x:v>-7.0959254349229735</x:v>
      </x:c>
      <x:c r="Q468" s="4" t="str">
        <x:f>IF(AND(ISNUMBER(P468),P468&gt;1E-9,P468&lt;1-1E-9),'계산 과정'!$C$47*(D468-'계산 과정'!$C$50+P468*('계산 과정'!$C$32-D468))+'계산 과정'!$D$47*(E468-'계산 과정'!$D$50+P468*('계산 과정'!$D$32-E468))+'계산 과정'!$E$47*(0-'계산 과정'!$E$50+P468*('계산 과정'!$E$32-0)),"")</x:f>
      </x:c>
      <x:c r="R468" s="4" t="str">
        <x:f>IF(AND(ISNUMBER(P468),P468&gt;1E-9,P468&lt;1-1E-9),'계산 과정'!$C$48*(D468-'계산 과정'!$C$50+P468*('계산 과정'!$C$32-D468))+'계산 과정'!$D$48*(E468-'계산 과정'!$D$50+P468*('계산 과정'!$D$32-E468))+'계산 과정'!$E$48*(0-'계산 과정'!$E$50+P468*('계산 과정'!$E$32-0)),"")</x:f>
      </x:c>
      <x:c r="S468" s="17" t="n">
        <x:f>IF('계산 과정'!$C$78,IF(AND(ISNUMBER(Q468),ISNUMBER(R468),ABS(Q468-'계산 과정'!$C$88)&lt;='계산 과정'!$D$23/2,ABS(R468-'계산 과정'!$C$89)&lt;='계산 과정'!$D$24/2),1,0),"")</x:f>
        <x:v>0</x:v>
      </x:c>
      <x:c r="T468" s="4"/>
      <x:c r="U468" s="4"/>
      <x:c r="V468" s="4"/>
      <x:c r="W468" s="4" t="n">
        <x:f>IF('계산 과정'!$C$78,'계산 과정'!$C$88+-0.19999999999999996*'계산 과정'!$C$90/2,"")</x:f>
        <x:v>-7.481486552692061</x:v>
      </x:c>
      <x:c r="X468" s="4" t="str">
        <x:f>""</x:f>
      </x:c>
      <x:c r="Y468" s="4" t="str">
        <x:f>""</x:f>
      </x:c>
      <x:c r="Z468" s="4" t="n">
        <x:f>IF('계산 과정'!$C$78,'계산 과정'!$C$89+-1*'계산 과정'!$C$91/2,"")</x:f>
        <x:v>-250.5995703094169</x:v>
      </x:c>
    </x:row>
    <x:row r="469" ht="23" customHeight="1">
      <x:c r="A469" s="17" t="n">
        <x:f>ROW()-6</x:f>
        <x:v>463</x:v>
      </x:c>
      <x:c r="B469" s="4" t="n">
        <x:f>IF('계산 과정'!$L$5,'계산 과정'!$L$11*SQRT((A469+0.5)/'계산 과정'!$L$30),"")</x:f>
        <x:v>71.35939381705467</x:v>
      </x:c>
      <x:c r="C469" s="4" t="n">
        <x:f>A469*PI()*(3-SQRT(5))</x:f>
        <x:v>1111.1829753643663</x:v>
      </x:c>
      <x:c r="D469" s="4" t="n">
        <x:f>IF('계산 과정'!$L$5,B469*COS(C469),"")</x:f>
        <x:v>42.03941676415981</x:v>
      </x:c>
      <x:c r="E469" s="4" t="n">
        <x:f>IF('계산 과정'!$L$5,B469*SIN(C469),"")</x:f>
        <x:v>-57.661516838067826</x:v>
      </x:c>
      <x:c r="F469" s="4" t="n">
        <x:f>IF('계산 과정'!$L$7,'계산 과정'!$L$22+'계산 과정'!$C$49*D469+'계산 과정'!$D$49*E469,"")</x:f>
        <x:v>620.2736433289351</x:v>
      </x:c>
      <x:c r="G469" s="4" t="n">
        <x:f>IF('계산 과정'!$L$7,IF(ABS(F469)&gt;=1E-12*MAX(1,SQRT((D469-'계산 과정'!$C$33)^2+(E469-'계산 과정'!$D$33)^2+'계산 과정'!$E$33^2)),('계산 과정'!$L$23-'계산 과정'!$C$49*D469-'계산 과정'!$D$49*E469)/F469,""),"")</x:f>
        <x:v>0.6928012519841636</x:v>
      </x:c>
      <x:c r="H469" s="4" t="n">
        <x:f>IF(AND(ISNUMBER(G469),G469&gt;0),('계산 과정'!$D$56+'계산 과정'!$D$57*D469+'계산 과정'!$D$58*E469)/F469,"")</x:f>
        <x:v>50.320813789706236</x:v>
      </x:c>
      <x:c r="I469" s="4" t="n">
        <x:f>IF(AND(ISNUMBER(G469),G469&gt;0),('계산 과정'!$E$56+'계산 과정'!$E$57*D469+'계산 과정'!$E$58*E469)/F469,"")</x:f>
        <x:v>-97.60948789478715</x:v>
      </x:c>
      <x:c r="J469" s="4" t="n">
        <x:f>IF('계산 과정'!$L$5,'계산 과정'!$D$6+'계산 과정'!$C$35*D469+'계산 과정'!$D$35*E469,"")</x:f>
        <x:v>620.2736433289351</x:v>
      </x:c>
      <x:c r="K469" s="4" t="n">
        <x:f>IF(AND('계산 과정'!$L$6,J469&gt;0),'계산 과정'!$D$10*('계산 과정'!$C$38*(D469-'계산 과정'!$C$32)+'계산 과정'!$D$38*(E469-'계산 과정'!$D$32)-'계산 과정'!$E$38*'계산 과정'!$E$32)/J469,"")</x:f>
        <x:v>0.3833966764930006</x:v>
      </x:c>
      <x:c r="L469" s="4" t="n">
        <x:f>IF(AND('계산 과정'!$L$6,J469&gt;0),'계산 과정'!$D$10*('계산 과정'!$C$39*(D469-'계산 과정'!$C$32)+'계산 과정'!$D$39*(E469-'계산 과정'!$D$32)-'계산 과정'!$E$39*'계산 과정'!$E$32)/J469,"")</x:f>
        <x:v>-0.7436913363412354</x:v>
      </x:c>
      <x:c r="M469" s="17" t="n">
        <x:f>IF('계산 과정'!$L$6,IF(J469&lt;=0,0,IF(AND(ABS(K469)&lt;='계산 과정'!$D$11/2,ABS(L469)&lt;='계산 과정'!$D$12/2),1,0)),"")</x:f>
        <x:v>1</x:v>
      </x:c>
      <x:c r="N469" s="17" t="n">
        <x:f>IF('계산 과정'!$C$78,IF(AND(ISNUMBER(H469),ISNUMBER(I469),ABS(H469-'계산 과정'!$C$88)&lt;='계산 과정'!$D$23/2,ABS(I469-'계산 과정'!$C$89)&lt;='계산 과정'!$D$24/2),1,0),"")</x:f>
        <x:v>1</x:v>
      </x:c>
      <x:c r="O469" s="4" t="n">
        <x:f>IF('계산 과정'!$L$7,'계산 과정'!$C$49*('계산 과정'!$C$32-D469)+'계산 과정'!$D$49*('계산 과정'!$D$32-E469)+'계산 과정'!$E$49*'계산 과정'!$E$32,"")</x:f>
        <x:v>29.726356671064934</x:v>
      </x:c>
      <x:c r="P469" s="4" t="n">
        <x:f>IF(AND('계산 과정'!$L$7,O469&lt;&gt;0),('계산 과정'!$L$23-'계산 과정'!$C$49*D469-'계산 과정'!$D$49*E469)/O469,"")</x:f>
        <x:v>14.456072145879627</x:v>
      </x:c>
      <x:c r="Q469" s="4" t="str">
        <x:f>IF(AND(ISNUMBER(P469),P469&gt;1E-9,P469&lt;1-1E-9),'계산 과정'!$C$47*(D469-'계산 과정'!$C$50+P469*('계산 과정'!$C$32-D469))+'계산 과정'!$D$47*(E469-'계산 과정'!$D$50+P469*('계산 과정'!$D$32-E469))+'계산 과정'!$E$47*(0-'계산 과정'!$E$50+P469*('계산 과정'!$E$32-0)),"")</x:f>
      </x:c>
      <x:c r="R469" s="4" t="str">
        <x:f>IF(AND(ISNUMBER(P469),P469&gt;1E-9,P469&lt;1-1E-9),'계산 과정'!$C$48*(D469-'계산 과정'!$C$50+P469*('계산 과정'!$C$32-D469))+'계산 과정'!$D$48*(E469-'계산 과정'!$D$50+P469*('계산 과정'!$D$32-E469))+'계산 과정'!$E$48*(0-'계산 과정'!$E$50+P469*('계산 과정'!$E$32-0)),"")</x:f>
      </x:c>
      <x:c r="S469" s="17" t="n">
        <x:f>IF('계산 과정'!$C$78,IF(AND(ISNUMBER(Q469),ISNUMBER(R469),ABS(Q469-'계산 과정'!$C$88)&lt;='계산 과정'!$D$23/2,ABS(R469-'계산 과정'!$C$89)&lt;='계산 과정'!$D$24/2),1,0),"")</x:f>
        <x:v>0</x:v>
      </x:c>
      <x:c r="T469" s="4"/>
      <x:c r="U469" s="4"/>
      <x:c r="V469" s="4"/>
      <x:c r="W469" s="4" t="n">
        <x:f>IF('계산 과정'!$C$78,'계산 과정'!$C$88+-0.16000000000000003*'계산 과정'!$C$90/2,"")</x:f>
        <x:v>-0.24050839108985755</x:v>
      </x:c>
      <x:c r="X469" s="4" t="str">
        <x:f>""</x:f>
      </x:c>
      <x:c r="Y469" s="4" t="str">
        <x:f>""</x:f>
      </x:c>
      <x:c r="Z469" s="4" t="n">
        <x:f>IF('계산 과정'!$C$78,'계산 과정'!$C$89+-1*'계산 과정'!$C$91/2,"")</x:f>
        <x:v>-250.5995703094169</x:v>
      </x:c>
    </x:row>
    <x:row r="470" ht="23" customHeight="1">
      <x:c r="A470" s="17" t="n">
        <x:f>ROW()-6</x:f>
        <x:v>464</x:v>
      </x:c>
      <x:c r="B470" s="4" t="n">
        <x:f>IF('계산 과정'!$L$5,'계산 과정'!$L$11*SQRT((A470+0.5)/'계산 과정'!$L$30),"")</x:f>
        <x:v>71.4363311912258</x:v>
      </x:c>
      <x:c r="C470" s="4" t="n">
        <x:f>A470*PI()*(3-SQRT(5))</x:f>
        <x:v>1113.582938594095</x:v>
      </x:c>
      <x:c r="D470" s="4" t="n">
        <x:f>IF('계산 과정'!$L$5,B470*COS(C470),"")</x:f>
        <x:v>7.9598101672443</x:v>
      </x:c>
      <x:c r="E470" s="4" t="n">
        <x:f>IF('계산 과정'!$L$5,B470*SIN(C470),"")</x:f>
        <x:v>70.99148425102784</x:v>
      </x:c>
      <x:c r="F470" s="4" t="n">
        <x:f>IF('계산 과정'!$L$7,'계산 과정'!$L$22+'계산 과정'!$C$49*D470+'계산 과정'!$D$49*E470,"")</x:f>
        <x:v>644.371564253784</x:v>
      </x:c>
      <x:c r="G470" s="4" t="n">
        <x:f>IF('계산 과정'!$L$7,IF(ABS(F470)&gt;=1E-12*MAX(1,SQRT((D470-'계산 과정'!$C$33)^2+(E470-'계산 과정'!$D$33)^2+'계산 과정'!$E$33^2)),('계산 과정'!$L$23-'계산 과정'!$C$49*D470-'계산 과정'!$D$49*E470)/F470,""),"")</x:f>
        <x:v>0.6294946242948432</x:v>
      </x:c>
      <x:c r="H470" s="4" t="n">
        <x:f>IF(AND(ISNUMBER(G470),G470&gt;0),('계산 과정'!$D$56+'계산 과정'!$D$57*D470+'계산 과정'!$D$58*E470)/F470,"")</x:f>
        <x:v>9.17150579164791</x:v>
      </x:c>
      <x:c r="I470" s="4" t="n">
        <x:f>IF(AND(ISNUMBER(G470),G470&gt;0),('계산 과정'!$E$56+'계산 과정'!$E$57*D470+'계산 과정'!$E$58*E470)/F470,"")</x:f>
        <x:v>115.68024195776188</x:v>
      </x:c>
      <x:c r="J470" s="4" t="n">
        <x:f>IF('계산 과정'!$L$5,'계산 과정'!$D$6+'계산 과정'!$C$35*D470+'계산 과정'!$D$35*E470,"")</x:f>
        <x:v>644.371564253784</x:v>
      </x:c>
      <x:c r="K470" s="4" t="n">
        <x:f>IF(AND('계산 과정'!$L$6,J470&gt;0),'계산 과정'!$D$10*('계산 과정'!$C$38*(D470-'계산 과정'!$C$32)+'계산 과정'!$D$38*(E470-'계산 과정'!$D$32)-'계산 과정'!$E$38*'계산 과정'!$E$32)/J470,"")</x:f>
        <x:v>0.06987813936493764</x:v>
      </x:c>
      <x:c r="L470" s="4" t="n">
        <x:f>IF(AND('계산 과정'!$L$6,J470&gt;0),'계산 과정'!$D$10*('계산 과정'!$C$39*(D470-'계산 과정'!$C$32)+'계산 과정'!$D$39*(E470-'계산 과정'!$D$32)-'계산 과정'!$E$39*'계산 과정'!$E$32)/J470,"")</x:f>
        <x:v>0.8813732720591382</x:v>
      </x:c>
      <x:c r="M470" s="17" t="n">
        <x:f>IF('계산 과정'!$L$6,IF(J470&lt;=0,0,IF(AND(ABS(K470)&lt;='계산 과정'!$D$11/2,ABS(L470)&lt;='계산 과정'!$D$12/2),1,0)),"")</x:f>
        <x:v>1</x:v>
      </x:c>
      <x:c r="N470" s="17" t="n">
        <x:f>IF('계산 과정'!$C$78,IF(AND(ISNUMBER(H470),ISNUMBER(I470),ABS(H470-'계산 과정'!$C$88)&lt;='계산 과정'!$D$23/2,ABS(I470-'계산 과정'!$C$89)&lt;='계산 과정'!$D$24/2),1,0),"")</x:f>
        <x:v>1</x:v>
      </x:c>
      <x:c r="O470" s="4" t="n">
        <x:f>IF('계산 과정'!$L$7,'계산 과정'!$C$49*('계산 과정'!$C$32-D470)+'계산 과정'!$D$49*('계산 과정'!$D$32-E470)+'계산 과정'!$E$49*'계산 과정'!$E$32,"")</x:f>
        <x:v>5.628435746216212</x:v>
      </x:c>
      <x:c r="P470" s="4" t="n">
        <x:f>IF(AND('계산 과정'!$L$7,O470&lt;&gt;0),('계산 과정'!$L$23-'계산 과정'!$C$49*D470-'계산 과정'!$D$49*E470)/O470,"")</x:f>
        <x:v>72.06770300592044</x:v>
      </x:c>
      <x:c r="Q470" s="4" t="str">
        <x:f>IF(AND(ISNUMBER(P470),P470&gt;1E-9,P470&lt;1-1E-9),'계산 과정'!$C$47*(D470-'계산 과정'!$C$50+P470*('계산 과정'!$C$32-D470))+'계산 과정'!$D$47*(E470-'계산 과정'!$D$50+P470*('계산 과정'!$D$32-E470))+'계산 과정'!$E$47*(0-'계산 과정'!$E$50+P470*('계산 과정'!$E$32-0)),"")</x:f>
      </x:c>
      <x:c r="R470" s="4" t="str">
        <x:f>IF(AND(ISNUMBER(P470),P470&gt;1E-9,P470&lt;1-1E-9),'계산 과정'!$C$48*(D470-'계산 과정'!$C$50+P470*('계산 과정'!$C$32-D470))+'계산 과정'!$D$48*(E470-'계산 과정'!$D$50+P470*('계산 과정'!$D$32-E470))+'계산 과정'!$E$48*(0-'계산 과정'!$E$50+P470*('계산 과정'!$E$32-0)),"")</x:f>
      </x:c>
      <x:c r="S470" s="17" t="n">
        <x:f>IF('계산 과정'!$C$78,IF(AND(ISNUMBER(Q470),ISNUMBER(R470),ABS(Q470-'계산 과정'!$C$88)&lt;='계산 과정'!$D$23/2,ABS(R470-'계산 과정'!$C$89)&lt;='계산 과정'!$D$24/2),1,0),"")</x:f>
        <x:v>0</x:v>
      </x:c>
      <x:c r="T470" s="4"/>
      <x:c r="U470" s="4"/>
      <x:c r="V470" s="4"/>
      <x:c r="W470" s="4" t="n">
        <x:f>IF('계산 과정'!$C$78,'계산 과정'!$C$88+-0.12*'계산 과정'!$C$90/2,"")</x:f>
        <x:v>7.0004697705123675</x:v>
      </x:c>
      <x:c r="X470" s="4" t="str">
        <x:f>""</x:f>
      </x:c>
      <x:c r="Y470" s="4" t="str">
        <x:f>""</x:f>
      </x:c>
      <x:c r="Z470" s="4" t="n">
        <x:f>IF('계산 과정'!$C$78,'계산 과정'!$C$89+-1*'계산 과정'!$C$91/2,"")</x:f>
        <x:v>-250.5995703094169</x:v>
      </x:c>
    </x:row>
    <x:row r="471" ht="23" customHeight="1">
      <x:c r="A471" s="17" t="n">
        <x:f>ROW()-6</x:f>
        <x:v>465</x:v>
      </x:c>
      <x:c r="B471" s="4" t="n">
        <x:f>IF('계산 과정'!$L$5,'계산 과정'!$L$11*SQRT((A471+0.5)/'계산 과정'!$L$30),"")</x:f>
        <x:v>71.51318579246417</x:v>
      </x:c>
      <x:c r="C471" s="4" t="n">
        <x:f>A471*PI()*(3-SQRT(5))</x:f>
        <x:v>1115.9829018238236</x:v>
      </x:c>
      <x:c r="D471" s="4" t="n">
        <x:f>IF('계산 과정'!$L$5,B471*COS(C471),"")</x:f>
        <x:v>-53.88128062502995</x:v>
      </x:c>
      <x:c r="E471" s="4" t="n">
        <x:f>IF('계산 과정'!$L$5,B471*SIN(C471),"")</x:f>
        <x:v>-47.02066928909319</x:v>
      </x:c>
      <x:c r="F471" s="4" t="n">
        <x:f>IF('계산 과정'!$L$7,'계산 과정'!$L$22+'계산 과정'!$C$49*D471+'계산 과정'!$D$49*E471,"")</x:f>
        <x:v>688.099818908974</x:v>
      </x:c>
      <x:c r="G471" s="4" t="n">
        <x:f>IF('계산 과정'!$L$7,IF(ABS(F471)&gt;=1E-12*MAX(1,SQRT((D471-'계산 과정'!$C$33)^2+(E471-'계산 과정'!$D$33)^2+'계산 과정'!$E$33^2)),('계산 과정'!$L$23-'계산 과정'!$C$49*D471-'계산 과정'!$D$49*E471)/F471,""),"")</x:f>
        <x:v>0.5259413985384296</x:v>
      </x:c>
      <x:c r="H471" s="4" t="n">
        <x:f>IF(AND(ISNUMBER(G471),G471&gt;0),('계산 과정'!$D$56+'계산 과정'!$D$57*D471+'계산 과정'!$D$58*E471)/F471,"")</x:f>
        <x:v>-58.13809095002083</x:v>
      </x:c>
      <x:c r="I471" s="4" t="n">
        <x:f>IF(AND(ISNUMBER(G471),G471&gt;0),('계산 과정'!$E$56+'계산 과정'!$E$57*D471+'계산 과정'!$E$58*E471)/F471,"")</x:f>
        <x:v>-71.75078585521184</x:v>
      </x:c>
      <x:c r="J471" s="4" t="n">
        <x:f>IF('계산 과정'!$L$5,'계산 과정'!$D$6+'계산 과정'!$C$35*D471+'계산 과정'!$D$35*E471,"")</x:f>
        <x:v>688.099818908974</x:v>
      </x:c>
      <x:c r="K471" s="4" t="n">
        <x:f>IF(AND('계산 과정'!$L$6,J471&gt;0),'계산 과정'!$D$10*('계산 과정'!$C$38*(D471-'계산 과정'!$C$32)+'계산 과정'!$D$38*(E471-'계산 과정'!$D$32)-'계산 과정'!$E$38*'계산 과정'!$E$32)/J471,"")</x:f>
        <x:v>-0.4429568834287289</x:v>
      </x:c>
      <x:c r="L471" s="4" t="n">
        <x:f>IF(AND('계산 과정'!$L$6,J471&gt;0),'계산 과정'!$D$10*('계산 과정'!$C$39*(D471-'계산 과정'!$C$32)+'계산 과정'!$D$39*(E471-'계산 과정'!$D$32)-'계산 과정'!$E$39*'계산 과정'!$E$32)/J471,"")</x:f>
        <x:v>-0.5466726541349475</x:v>
      </x:c>
      <x:c r="M471" s="17" t="n">
        <x:f>IF('계산 과정'!$L$6,IF(J471&lt;=0,0,IF(AND(ABS(K471)&lt;='계산 과정'!$D$11/2,ABS(L471)&lt;='계산 과정'!$D$12/2),1,0)),"")</x:f>
        <x:v>1</x:v>
      </x:c>
      <x:c r="N471" s="17" t="n">
        <x:f>IF('계산 과정'!$C$78,IF(AND(ISNUMBER(H471),ISNUMBER(I471),ABS(H471-'계산 과정'!$C$88)&lt;='계산 과정'!$D$23/2,ABS(I471-'계산 과정'!$C$89)&lt;='계산 과정'!$D$24/2),1,0),"")</x:f>
        <x:v>1</x:v>
      </x:c>
      <x:c r="O471" s="4" t="n">
        <x:f>IF('계산 과정'!$L$7,'계산 과정'!$C$49*('계산 과정'!$C$32-D471)+'계산 과정'!$D$49*('계산 과정'!$D$32-E471)+'계산 과정'!$E$49*'계산 과정'!$E$32,"")</x:f>
        <x:v>-38.09981890897387</x:v>
      </x:c>
      <x:c r="P471" s="4" t="n">
        <x:f>IF(AND('계산 과정'!$L$7,O471&lt;&gt;0),('계산 과정'!$L$23-'계산 과정'!$C$49*D471-'계산 과정'!$D$49*E471)/O471,"")</x:f>
        <x:v>-9.498737565017285</x:v>
      </x:c>
      <x:c r="Q471" s="4" t="str">
        <x:f>IF(AND(ISNUMBER(P471),P471&gt;1E-9,P471&lt;1-1E-9),'계산 과정'!$C$47*(D471-'계산 과정'!$C$50+P471*('계산 과정'!$C$32-D471))+'계산 과정'!$D$47*(E471-'계산 과정'!$D$50+P471*('계산 과정'!$D$32-E471))+'계산 과정'!$E$47*(0-'계산 과정'!$E$50+P471*('계산 과정'!$E$32-0)),"")</x:f>
      </x:c>
      <x:c r="R471" s="4" t="str">
        <x:f>IF(AND(ISNUMBER(P471),P471&gt;1E-9,P471&lt;1-1E-9),'계산 과정'!$C$48*(D471-'계산 과정'!$C$50+P471*('계산 과정'!$C$32-D471))+'계산 과정'!$D$48*(E471-'계산 과정'!$D$50+P471*('계산 과정'!$D$32-E471))+'계산 과정'!$E$48*(0-'계산 과정'!$E$50+P471*('계산 과정'!$E$32-0)),"")</x:f>
      </x:c>
      <x:c r="S471" s="17" t="n">
        <x:f>IF('계산 과정'!$C$78,IF(AND(ISNUMBER(Q471),ISNUMBER(R471),ABS(Q471-'계산 과정'!$C$88)&lt;='계산 과정'!$D$23/2,ABS(R471-'계산 과정'!$C$89)&lt;='계산 과정'!$D$24/2),1,0),"")</x:f>
        <x:v>0</x:v>
      </x:c>
      <x:c r="T471" s="4"/>
      <x:c r="U471" s="4"/>
      <x:c r="V471" s="4"/>
      <x:c r="W471" s="4" t="n">
        <x:f>IF('계산 과정'!$C$78,'계산 과정'!$C$88+-0.07999999999999996*'계산 과정'!$C$90/2,"")</x:f>
        <x:v>14.241447932114594</x:v>
      </x:c>
      <x:c r="X471" s="4" t="str">
        <x:f>""</x:f>
      </x:c>
      <x:c r="Y471" s="4" t="str">
        <x:f>""</x:f>
      </x:c>
      <x:c r="Z471" s="4" t="n">
        <x:f>IF('계산 과정'!$C$78,'계산 과정'!$C$89+-1*'계산 과정'!$C$91/2,"")</x:f>
        <x:v>-250.5995703094169</x:v>
      </x:c>
    </x:row>
    <x:row r="472" ht="23" customHeight="1">
      <x:c r="A472" s="17" t="n">
        <x:f>ROW()-6</x:f>
        <x:v>466</x:v>
      </x:c>
      <x:c r="B472" s="4" t="n">
        <x:f>IF('계산 과정'!$L$5,'계산 과정'!$L$11*SQRT((A472+0.5)/'계산 과정'!$L$30),"")</x:f>
        <x:v>71.58995788734967</x:v>
      </x:c>
      <x:c r="C472" s="4" t="n">
        <x:f>A472*PI()*(3-SQRT(5))</x:f>
        <x:v>1118.3828650535522</x:v>
      </x:c>
      <x:c r="D472" s="4" t="n">
        <x:f>IF('계산 과정'!$L$5,B472*COS(C472),"")</x:f>
        <x:v>71.56913494300866</x:v>
      </x:c>
      <x:c r="E472" s="4" t="n">
        <x:f>IF('계산 과정'!$L$5,B472*SIN(C472),"")</x:f>
        <x:v>-1.7265554789570177</x:v>
      </x:c>
      <x:c r="F472" s="4" t="n">
        <x:f>IF('계산 과정'!$L$7,'계산 과정'!$L$22+'계산 과정'!$C$49*D472+'계산 과정'!$D$49*E472,"")</x:f>
        <x:v>599.3929793581435</x:v>
      </x:c>
      <x:c r="G472" s="4" t="n">
        <x:f>IF('계산 과정'!$L$7,IF(ABS(F472)&gt;=1E-12*MAX(1,SQRT((D472-'계산 과정'!$C$33)^2+(E472-'계산 과정'!$D$33)^2+'계산 과정'!$E$33^2)),('계산 과정'!$L$23-'계산 과정'!$C$49*D472-'계산 과정'!$D$49*E472)/F472,""),"")</x:f>
        <x:v>0.7517722698794144</x:v>
      </x:c>
      <x:c r="H472" s="4" t="n">
        <x:f>IF(AND(ISNUMBER(G472),G472&gt;0),('계산 과정'!$D$56+'계산 과정'!$D$57*D472+'계산 과정'!$D$58*E472)/F472,"")</x:f>
        <x:v>88.65197542161927</x:v>
      </x:c>
      <x:c r="I472" s="4" t="n">
        <x:f>IF(AND(ISNUMBER(G472),G472&gt;0),('계산 과정'!$E$56+'계산 과정'!$E$57*D472+'계산 과정'!$E$58*E472)/F472,"")</x:f>
        <x:v>-3.024532010445274</x:v>
      </x:c>
      <x:c r="J472" s="4" t="n">
        <x:f>IF('계산 과정'!$L$5,'계산 과정'!$D$6+'계산 과정'!$C$35*D472+'계산 과정'!$D$35*E472,"")</x:f>
        <x:v>599.3929793581435</x:v>
      </x:c>
      <x:c r="K472" s="4" t="n">
        <x:f>IF(AND('계산 과정'!$L$6,J472&gt;0),'계산 과정'!$D$10*('계산 과정'!$C$38*(D472-'계산 과정'!$C$32)+'계산 과정'!$D$38*(E472-'계산 과정'!$D$32)-'계산 과정'!$E$38*'계산 과정'!$E$32)/J472,"")</x:f>
        <x:v>0.6754436222599574</x:v>
      </x:c>
      <x:c r="L472" s="4" t="n">
        <x:f>IF(AND('계산 과정'!$L$6,J472&gt;0),'계산 과정'!$D$10*('계산 과정'!$C$39*(D472-'계산 과정'!$C$32)+'계산 과정'!$D$39*(E472-'계산 과정'!$D$32)-'계산 과정'!$E$39*'계산 과정'!$E$32)/J472,"")</x:f>
        <x:v>-0.023044053412916373</x:v>
      </x:c>
      <x:c r="M472" s="17" t="n">
        <x:f>IF('계산 과정'!$L$6,IF(J472&lt;=0,0,IF(AND(ABS(K472)&lt;='계산 과정'!$D$11/2,ABS(L472)&lt;='계산 과정'!$D$12/2),1,0)),"")</x:f>
        <x:v>1</x:v>
      </x:c>
      <x:c r="N472" s="17" t="n">
        <x:f>IF('계산 과정'!$C$78,IF(AND(ISNUMBER(H472),ISNUMBER(I472),ABS(H472-'계산 과정'!$C$88)&lt;='계산 과정'!$D$23/2,ABS(I472-'계산 과정'!$C$89)&lt;='계산 과정'!$D$24/2),1,0),"")</x:f>
        <x:v>1</x:v>
      </x:c>
      <x:c r="O472" s="4" t="n">
        <x:f>IF('계산 과정'!$L$7,'계산 과정'!$C$49*('계산 과정'!$C$32-D472)+'계산 과정'!$D$49*('계산 과정'!$D$32-E472)+'계산 과정'!$E$49*'계산 과정'!$E$32,"")</x:f>
        <x:v>50.60702064185659</x:v>
      </x:c>
      <x:c r="P472" s="4" t="n">
        <x:f>IF(AND('계산 과정'!$L$7,O472&lt;&gt;0),('계산 과정'!$L$23-'계산 과정'!$C$49*D472-'계산 과정'!$D$49*E472)/O472,"")</x:f>
        <x:v>8.904041671031779</x:v>
      </x:c>
      <x:c r="Q472" s="4" t="str">
        <x:f>IF(AND(ISNUMBER(P472),P472&gt;1E-9,P472&lt;1-1E-9),'계산 과정'!$C$47*(D472-'계산 과정'!$C$50+P472*('계산 과정'!$C$32-D472))+'계산 과정'!$D$47*(E472-'계산 과정'!$D$50+P472*('계산 과정'!$D$32-E472))+'계산 과정'!$E$47*(0-'계산 과정'!$E$50+P472*('계산 과정'!$E$32-0)),"")</x:f>
      </x:c>
      <x:c r="R472" s="4" t="str">
        <x:f>IF(AND(ISNUMBER(P472),P472&gt;1E-9,P472&lt;1-1E-9),'계산 과정'!$C$48*(D472-'계산 과정'!$C$50+P472*('계산 과정'!$C$32-D472))+'계산 과정'!$D$48*(E472-'계산 과정'!$D$50+P472*('계산 과정'!$D$32-E472))+'계산 과정'!$E$48*(0-'계산 과정'!$E$50+P472*('계산 과정'!$E$32-0)),"")</x:f>
      </x:c>
      <x:c r="S472" s="17" t="n">
        <x:f>IF('계산 과정'!$C$78,IF(AND(ISNUMBER(Q472),ISNUMBER(R472),ABS(Q472-'계산 과정'!$C$88)&lt;='계산 과정'!$D$23/2,ABS(R472-'계산 과정'!$C$89)&lt;='계산 과정'!$D$24/2),1,0),"")</x:f>
        <x:v>0</x:v>
      </x:c>
      <x:c r="T472" s="4"/>
      <x:c r="U472" s="4"/>
      <x:c r="V472" s="4"/>
      <x:c r="W472" s="4" t="n">
        <x:f>IF('계산 과정'!$C$78,'계산 과정'!$C$88+-0.040000000000000036*'계산 과정'!$C$90/2,"")</x:f>
        <x:v>21.4824260937168</x:v>
      </x:c>
      <x:c r="X472" s="4" t="str">
        <x:f>""</x:f>
      </x:c>
      <x:c r="Y472" s="4" t="str">
        <x:f>""</x:f>
      </x:c>
      <x:c r="Z472" s="4" t="n">
        <x:f>IF('계산 과정'!$C$78,'계산 과정'!$C$89+-1*'계산 과정'!$C$91/2,"")</x:f>
        <x:v>-250.5995703094169</x:v>
      </x:c>
    </x:row>
    <x:row r="473" ht="23" customHeight="1">
      <x:c r="A473" s="17" t="n">
        <x:f>ROW()-6</x:f>
        <x:v>467</x:v>
      </x:c>
      <x:c r="B473" s="4" t="n">
        <x:f>IF('계산 과정'!$L$5,'계산 과정'!$L$11*SQRT((A473+0.5)/'계산 과정'!$L$30),"")</x:f>
        <x:v>71.66664774103432</x:v>
      </x:c>
      <x:c r="C473" s="4" t="n">
        <x:f>A473*PI()*(3-SQRT(5))</x:f>
        <x:v>1120.7828282832809</x:v>
      </x:c>
      <x:c r="D473" s="4" t="n">
        <x:f>IF('계산 과정'!$L$5,B473*COS(C473),"")</x:f>
        <x:v>-51.66186417897474</x:v>
      </x:c>
      <x:c r="E473" s="4" t="n">
        <x:f>IF('계산 과정'!$L$5,B473*SIN(C473),"")</x:f>
        <x:v>49.67051628472032</x:v>
      </x:c>
      <x:c r="F473" s="4" t="n">
        <x:f>IF('계산 과정'!$L$7,'계산 과정'!$L$22+'계산 과정'!$C$49*D473+'계산 과정'!$D$49*E473,"")</x:f>
        <x:v>686.5304544896915</x:v>
      </x:c>
      <x:c r="G473" s="4" t="n">
        <x:f>IF('계산 과정'!$L$7,IF(ABS(F473)&gt;=1E-12*MAX(1,SQRT((D473-'계산 과정'!$C$33)^2+(E473-'계산 과정'!$D$33)^2+'계산 과정'!$E$33^2)),('계산 과정'!$L$23-'계산 과정'!$C$49*D473-'계산 과정'!$D$49*E473)/F473,""),"")</x:f>
        <x:v>0.5294296023334916</x:v>
      </x:c>
      <x:c r="H473" s="4" t="n">
        <x:f>IF(AND(ISNUMBER(G473),G473&gt;0),('계산 과정'!$D$56+'계산 과정'!$D$57*D473+'계산 과정'!$D$58*E473)/F473,"")</x:f>
        <x:v>-55.870758483230595</x:v>
      </x:c>
      <x:c r="I473" s="4" t="n">
        <x:f>IF(AND(ISNUMBER(G473),G473&gt;0),('계산 과정'!$E$56+'계산 과정'!$E$57*D473+'계산 과정'!$E$58*E473)/F473,"")</x:f>
        <x:v>75.967557969039</x:v>
      </x:c>
      <x:c r="J473" s="4" t="n">
        <x:f>IF('계산 과정'!$L$5,'계산 과정'!$D$6+'계산 과정'!$C$35*D473+'계산 과정'!$D$35*E473,"")</x:f>
        <x:v>686.5304544896915</x:v>
      </x:c>
      <x:c r="K473" s="4" t="n">
        <x:f>IF(AND('계산 과정'!$L$6,J473&gt;0),'계산 과정'!$D$10*('계산 과정'!$C$38*(D473-'계산 과정'!$C$32)+'계산 과정'!$D$38*(E473-'계산 과정'!$D$32)-'계산 과정'!$E$38*'계산 과정'!$E$32)/J473,"")</x:f>
        <x:v>-0.4256819693960414</x:v>
      </x:c>
      <x:c r="L473" s="4" t="n">
        <x:f>IF(AND('계산 과정'!$L$6,J473&gt;0),'계산 과정'!$D$10*('계산 과정'!$C$39*(D473-'계산 과정'!$C$32)+'계산 과정'!$D$39*(E473-'계산 과정'!$D$32)-'계산 과정'!$E$39*'계산 과정'!$E$32)/J473,"")</x:f>
        <x:v>0.5788004416688687</x:v>
      </x:c>
      <x:c r="M473" s="17" t="n">
        <x:f>IF('계산 과정'!$L$6,IF(J473&lt;=0,0,IF(AND(ABS(K473)&lt;='계산 과정'!$D$11/2,ABS(L473)&lt;='계산 과정'!$D$12/2),1,0)),"")</x:f>
        <x:v>1</x:v>
      </x:c>
      <x:c r="N473" s="17" t="n">
        <x:f>IF('계산 과정'!$C$78,IF(AND(ISNUMBER(H473),ISNUMBER(I473),ABS(H473-'계산 과정'!$C$88)&lt;='계산 과정'!$D$23/2,ABS(I473-'계산 과정'!$C$89)&lt;='계산 과정'!$D$24/2),1,0),"")</x:f>
        <x:v>1</x:v>
      </x:c>
      <x:c r="O473" s="4" t="n">
        <x:f>IF('계산 과정'!$L$7,'계산 과정'!$C$49*('계산 과정'!$C$32-D473)+'계산 과정'!$D$49*('계산 과정'!$D$32-E473)+'계산 과정'!$E$49*'계산 과정'!$E$32,"")</x:f>
        <x:v>-36.530454489691294</x:v>
      </x:c>
      <x:c r="P473" s="4" t="n">
        <x:f>IF(AND('계산 과정'!$L$7,O473&lt;&gt;0),('계산 과정'!$L$23-'계산 과정'!$C$49*D473-'계산 과정'!$D$49*E473)/O473,"")</x:f>
        <x:v>-9.949767956291861</x:v>
      </x:c>
      <x:c r="Q473" s="4" t="str">
        <x:f>IF(AND(ISNUMBER(P473),P473&gt;1E-9,P473&lt;1-1E-9),'계산 과정'!$C$47*(D473-'계산 과정'!$C$50+P473*('계산 과정'!$C$32-D473))+'계산 과정'!$D$47*(E473-'계산 과정'!$D$50+P473*('계산 과정'!$D$32-E473))+'계산 과정'!$E$47*(0-'계산 과정'!$E$50+P473*('계산 과정'!$E$32-0)),"")</x:f>
      </x:c>
      <x:c r="R473" s="4" t="str">
        <x:f>IF(AND(ISNUMBER(P473),P473&gt;1E-9,P473&lt;1-1E-9),'계산 과정'!$C$48*(D473-'계산 과정'!$C$50+P473*('계산 과정'!$C$32-D473))+'계산 과정'!$D$48*(E473-'계산 과정'!$D$50+P473*('계산 과정'!$D$32-E473))+'계산 과정'!$E$48*(0-'계산 과정'!$E$50+P473*('계산 과정'!$E$32-0)),"")</x:f>
      </x:c>
      <x:c r="S473" s="17" t="n">
        <x:f>IF('계산 과정'!$C$78,IF(AND(ISNUMBER(Q473),ISNUMBER(R473),ABS(Q473-'계산 과정'!$C$88)&lt;='계산 과정'!$D$23/2,ABS(R473-'계산 과정'!$C$89)&lt;='계산 과정'!$D$24/2),1,0),"")</x:f>
        <x:v>0</x:v>
      </x:c>
      <x:c r="T473" s="4"/>
      <x:c r="U473" s="4"/>
      <x:c r="V473" s="4"/>
      <x:c r="W473" s="4" t="n">
        <x:f>IF('계산 과정'!$C$78,'계산 과정'!$C$88+0*'계산 과정'!$C$90/2,"")</x:f>
        <x:v>28.723404255319025</x:v>
      </x:c>
      <x:c r="X473" s="4" t="str">
        <x:f>""</x:f>
      </x:c>
      <x:c r="Y473" s="4" t="str">
        <x:f>""</x:f>
      </x:c>
      <x:c r="Z473" s="4" t="n">
        <x:f>IF('계산 과정'!$C$78,'계산 과정'!$C$89+-1*'계산 과정'!$C$91/2,"")</x:f>
        <x:v>-250.5995703094169</x:v>
      </x:c>
    </x:row>
    <x:row r="474" ht="23" customHeight="1">
      <x:c r="A474" s="17" t="n">
        <x:f>ROW()-6</x:f>
        <x:v>468</x:v>
      </x:c>
      <x:c r="B474" s="4" t="n">
        <x:f>IF('계산 과정'!$L$5,'계산 과정'!$L$11*SQRT((A474+0.5)/'계산 과정'!$L$30),"")</x:f>
        <x:v>71.74325561725297</x:v>
      </x:c>
      <x:c r="C474" s="4" t="n">
        <x:f>A474*PI()*(3-SQRT(5))</x:f>
        <x:v>1123.1827915130095</x:v>
      </x:c>
      <x:c r="D474" s="4" t="n">
        <x:f>IF('계산 과정'!$L$5,B474*COS(C474),"")</x:f>
        <x:v>4.546754219069326</x:v>
      </x:c>
      <x:c r="E474" s="4" t="n">
        <x:f>IF('계산 과정'!$L$5,B474*SIN(C474),"")</x:f>
        <x:v>-71.59903457892344</x:v>
      </x:c>
      <x:c r="F474" s="4" t="n">
        <x:f>IF('계산 과정'!$L$7,'계산 과정'!$L$22+'계산 과정'!$C$49*D474+'계산 과정'!$D$49*E474,"")</x:f>
        <x:v>646.7849592593076</x:v>
      </x:c>
      <x:c r="G474" s="4" t="n">
        <x:f>IF('계산 과정'!$L$7,IF(ABS(F474)&gt;=1E-12*MAX(1,SQRT((D474-'계산 과정'!$C$33)^2+(E474-'계산 과정'!$D$33)^2+'계산 과정'!$E$33^2)),('계산 과정'!$L$23-'계산 과정'!$C$49*D474-'계산 과정'!$D$49*E474)/F474,""),"")</x:f>
        <x:v>0.623414374388747</x:v>
      </x:c>
      <x:c r="H474" s="4" t="n">
        <x:f>IF(AND(ISNUMBER(G474),G474&gt;0),('계산 과정'!$D$56+'계산 과정'!$D$57*D474+'계산 과정'!$D$58*E474)/F474,"")</x:f>
        <x:v>5.21934335268548</x:v>
      </x:c>
      <x:c r="I474" s="4" t="n">
        <x:f>IF(AND(ISNUMBER(G474),G474&gt;0),('계산 과정'!$E$56+'계산 과정'!$E$57*D474+'계산 과정'!$E$58*E474)/F474,"")</x:f>
        <x:v>-116.23490192778125</x:v>
      </x:c>
      <x:c r="J474" s="4" t="n">
        <x:f>IF('계산 과정'!$L$5,'계산 과정'!$D$6+'계산 과정'!$C$35*D474+'계산 과정'!$D$35*E474,"")</x:f>
        <x:v>646.7849592593076</x:v>
      </x:c>
      <x:c r="K474" s="4" t="n">
        <x:f>IF(AND('계산 과정'!$L$6,J474&gt;0),'계산 과정'!$D$10*('계산 과정'!$C$38*(D474-'계산 과정'!$C$32)+'계산 과정'!$D$38*(E474-'계산 과정'!$D$32)-'계산 과정'!$E$38*'계산 과정'!$E$32)/J474,"")</x:f>
        <x:v>0.03976642554427127</x:v>
      </x:c>
      <x:c r="L474" s="4" t="n">
        <x:f>IF(AND('계산 과정'!$L$6,J474&gt;0),'계산 과정'!$D$10*('계산 과정'!$C$39*(D474-'계산 과정'!$C$32)+'계산 과정'!$D$39*(E474-'계산 과정'!$D$32)-'계산 과정'!$E$39*'계산 과정'!$E$32)/J474,"")</x:f>
        <x:v>-0.8855992527830953</x:v>
      </x:c>
      <x:c r="M474" s="17" t="n">
        <x:f>IF('계산 과정'!$L$6,IF(J474&lt;=0,0,IF(AND(ABS(K474)&lt;='계산 과정'!$D$11/2,ABS(L474)&lt;='계산 과정'!$D$12/2),1,0)),"")</x:f>
        <x:v>1</x:v>
      </x:c>
      <x:c r="N474" s="17" t="n">
        <x:f>IF('계산 과정'!$C$78,IF(AND(ISNUMBER(H474),ISNUMBER(I474),ABS(H474-'계산 과정'!$C$88)&lt;='계산 과정'!$D$23/2,ABS(I474-'계산 과정'!$C$89)&lt;='계산 과정'!$D$24/2),1,0),"")</x:f>
        <x:v>1</x:v>
      </x:c>
      <x:c r="O474" s="4" t="n">
        <x:f>IF('계산 과정'!$L$7,'계산 과정'!$C$49*('계산 과정'!$C$32-D474)+'계산 과정'!$D$49*('계산 과정'!$D$32-E474)+'계산 과정'!$E$49*'계산 과정'!$E$32,"")</x:f>
        <x:v>3.2150407406925865</x:v>
      </x:c>
      <x:c r="P474" s="4" t="n">
        <x:f>IF(AND('계산 과정'!$L$7,O474&lt;&gt;0),('계산 과정'!$L$23-'계산 과정'!$C$49*D474-'계산 과정'!$D$49*E474)/O474,"")</x:f>
        <x:v>125.41521966960568</x:v>
      </x:c>
      <x:c r="Q474" s="4" t="str">
        <x:f>IF(AND(ISNUMBER(P474),P474&gt;1E-9,P474&lt;1-1E-9),'계산 과정'!$C$47*(D474-'계산 과정'!$C$50+P474*('계산 과정'!$C$32-D474))+'계산 과정'!$D$47*(E474-'계산 과정'!$D$50+P474*('계산 과정'!$D$32-E474))+'계산 과정'!$E$47*(0-'계산 과정'!$E$50+P474*('계산 과정'!$E$32-0)),"")</x:f>
      </x:c>
      <x:c r="R474" s="4" t="str">
        <x:f>IF(AND(ISNUMBER(P474),P474&gt;1E-9,P474&lt;1-1E-9),'계산 과정'!$C$48*(D474-'계산 과정'!$C$50+P474*('계산 과정'!$C$32-D474))+'계산 과정'!$D$48*(E474-'계산 과정'!$D$50+P474*('계산 과정'!$D$32-E474))+'계산 과정'!$E$48*(0-'계산 과정'!$E$50+P474*('계산 과정'!$E$32-0)),"")</x:f>
      </x:c>
      <x:c r="S474" s="17" t="n">
        <x:f>IF('계산 과정'!$C$78,IF(AND(ISNUMBER(Q474),ISNUMBER(R474),ABS(Q474-'계산 과정'!$C$88)&lt;='계산 과정'!$D$23/2,ABS(R474-'계산 과정'!$C$89)&lt;='계산 과정'!$D$24/2),1,0),"")</x:f>
        <x:v>0</x:v>
      </x:c>
      <x:c r="T474" s="4"/>
      <x:c r="U474" s="4"/>
      <x:c r="V474" s="4"/>
      <x:c r="W474" s="4" t="n">
        <x:f>IF('계산 과정'!$C$78,'계산 과정'!$C$88+0.040000000000000036*'계산 과정'!$C$90/2,"")</x:f>
        <x:v>35.964382416921254</x:v>
      </x:c>
      <x:c r="X474" s="4" t="str">
        <x:f>""</x:f>
      </x:c>
      <x:c r="Y474" s="4" t="str">
        <x:f>""</x:f>
      </x:c>
      <x:c r="Z474" s="4" t="n">
        <x:f>IF('계산 과정'!$C$78,'계산 과정'!$C$89+-1*'계산 과정'!$C$91/2,"")</x:f>
        <x:v>-250.5995703094169</x:v>
      </x:c>
    </x:row>
    <x:row r="475" ht="23" customHeight="1">
      <x:c r="A475" s="17" t="n">
        <x:f>ROW()-6</x:f>
        <x:v>469</x:v>
      </x:c>
      <x:c r="B475" s="4" t="n">
        <x:f>IF('계산 과정'!$L$5,'계산 과정'!$L$11*SQRT((A475+0.5)/'계산 과정'!$L$30),"")</x:f>
        <x:v>71.81978177833389</x:v>
      </x:c>
      <x:c r="C475" s="4" t="n">
        <x:f>A475*PI()*(3-SQRT(5))</x:f>
        <x:v>1125.5827547427382</x:v>
      </x:c>
      <x:c r="D475" s="4" t="n">
        <x:f>IF('계산 과정'!$L$5,B475*COS(C475),"")</x:f>
        <x:v>45.05983049853228</x:v>
      </x:c>
      <x:c r="E475" s="4" t="n">
        <x:f>IF('계산 과정'!$L$5,B475*SIN(C475),"")</x:f>
        <x:v>55.92577876195414</x:v>
      </x:c>
      <x:c r="F475" s="4" t="n">
        <x:f>IF('계산 과정'!$L$7,'계산 과정'!$L$22+'계산 과정'!$C$49*D475+'계산 과정'!$D$49*E475,"")</x:f>
        <x:v>618.1378882953715</x:v>
      </x:c>
      <x:c r="G475" s="4" t="n">
        <x:f>IF('계산 과정'!$L$7,IF(ABS(F475)&gt;=1E-12*MAX(1,SQRT((D475-'계산 과정'!$C$33)^2+(E475-'계산 과정'!$D$33)^2+'계산 과정'!$E$33^2)),('계산 과정'!$L$23-'계산 과정'!$C$49*D475-'계산 과정'!$D$49*E475)/F475,""),"")</x:f>
        <x:v>0.6986501230260574</x:v>
      </x:c>
      <x:c r="H475" s="4" t="n">
        <x:f>IF(AND(ISNUMBER(G475),G475&gt;0),('계산 과정'!$D$56+'계산 과정'!$D$57*D475+'계산 과정'!$D$58*E475)/F475,"")</x:f>
        <x:v>54.12257996693723</x:v>
      </x:c>
      <x:c r="I475" s="4" t="n">
        <x:f>IF(AND(ISNUMBER(G475),G475&gt;0),('계산 과정'!$E$56+'계산 과정'!$E$57*D475+'계산 과정'!$E$58*E475)/F475,"")</x:f>
        <x:v>94.99833097432146</x:v>
      </x:c>
      <x:c r="J475" s="4" t="n">
        <x:f>IF('계산 과정'!$L$5,'계산 과정'!$D$6+'계산 과정'!$C$35*D475+'계산 과정'!$D$35*E475,"")</x:f>
        <x:v>618.1378882953715</x:v>
      </x:c>
      <x:c r="K475" s="4" t="n">
        <x:f>IF(AND('계산 과정'!$L$6,J475&gt;0),'계산 과정'!$D$10*('계산 과정'!$C$38*(D475-'계산 과정'!$C$32)+'계산 과정'!$D$38*(E475-'계산 과정'!$D$32)-'계산 과정'!$E$38*'계산 과정'!$E$32)/J475,"")</x:f>
        <x:v>0.4123625140338084</x:v>
      </x:c>
      <x:c r="L475" s="4" t="n">
        <x:f>IF(AND('계산 과정'!$L$6,J475&gt;0),'계산 과정'!$D$10*('계산 과정'!$C$39*(D475-'계산 과정'!$C$32)+'계산 과정'!$D$39*(E475-'계산 과정'!$D$32)-'계산 과정'!$E$39*'계산 과정'!$E$32)/J475,"")</x:f>
        <x:v>0.7237968074234017</x:v>
      </x:c>
      <x:c r="M475" s="17" t="n">
        <x:f>IF('계산 과정'!$L$6,IF(J475&lt;=0,0,IF(AND(ABS(K475)&lt;='계산 과정'!$D$11/2,ABS(L475)&lt;='계산 과정'!$D$12/2),1,0)),"")</x:f>
        <x:v>1</x:v>
      </x:c>
      <x:c r="N475" s="17" t="n">
        <x:f>IF('계산 과정'!$C$78,IF(AND(ISNUMBER(H475),ISNUMBER(I475),ABS(H475-'계산 과정'!$C$88)&lt;='계산 과정'!$D$23/2,ABS(I475-'계산 과정'!$C$89)&lt;='계산 과정'!$D$24/2),1,0),"")</x:f>
        <x:v>1</x:v>
      </x:c>
      <x:c r="O475" s="4" t="n">
        <x:f>IF('계산 과정'!$L$7,'계산 과정'!$C$49*('계산 과정'!$C$32-D475)+'계산 과정'!$D$49*('계산 과정'!$D$32-E475)+'계산 과정'!$E$49*'계산 과정'!$E$32,"")</x:f>
        <x:v>31.862111704628717</x:v>
      </x:c>
      <x:c r="P475" s="4" t="n">
        <x:f>IF(AND('계산 과정'!$L$7,O475&lt;&gt;0),('계산 과정'!$L$23-'계산 과정'!$C$49*D475-'계산 과정'!$D$49*E475)/O475,"")</x:f>
        <x:v>13.554095714311696</x:v>
      </x:c>
      <x:c r="Q475" s="4" t="str">
        <x:f>IF(AND(ISNUMBER(P475),P475&gt;1E-9,P475&lt;1-1E-9),'계산 과정'!$C$47*(D475-'계산 과정'!$C$50+P475*('계산 과정'!$C$32-D475))+'계산 과정'!$D$47*(E475-'계산 과정'!$D$50+P475*('계산 과정'!$D$32-E475))+'계산 과정'!$E$47*(0-'계산 과정'!$E$50+P475*('계산 과정'!$E$32-0)),"")</x:f>
      </x:c>
      <x:c r="R475" s="4" t="str">
        <x:f>IF(AND(ISNUMBER(P475),P475&gt;1E-9,P475&lt;1-1E-9),'계산 과정'!$C$48*(D475-'계산 과정'!$C$50+P475*('계산 과정'!$C$32-D475))+'계산 과정'!$D$48*(E475-'계산 과정'!$D$50+P475*('계산 과정'!$D$32-E475))+'계산 과정'!$E$48*(0-'계산 과정'!$E$50+P475*('계산 과정'!$E$32-0)),"")</x:f>
      </x:c>
      <x:c r="S475" s="17" t="n">
        <x:f>IF('계산 과정'!$C$78,IF(AND(ISNUMBER(Q475),ISNUMBER(R475),ABS(Q475-'계산 과정'!$C$88)&lt;='계산 과정'!$D$23/2,ABS(R475-'계산 과정'!$C$89)&lt;='계산 과정'!$D$24/2),1,0),"")</x:f>
        <x:v>0</x:v>
      </x:c>
      <x:c r="T475" s="4"/>
      <x:c r="U475" s="4"/>
      <x:c r="V475" s="4"/>
      <x:c r="W475" s="4" t="n">
        <x:f>IF('계산 과정'!$C$78,'계산 과정'!$C$88+0.08000000000000007*'계산 과정'!$C$90/2,"")</x:f>
        <x:v>43.205360578523475</x:v>
      </x:c>
      <x:c r="X475" s="4" t="str">
        <x:f>""</x:f>
      </x:c>
      <x:c r="Y475" s="4" t="str">
        <x:f>""</x:f>
      </x:c>
      <x:c r="Z475" s="4" t="n">
        <x:f>IF('계산 과정'!$C$78,'계산 과정'!$C$89+-1*'계산 과정'!$C$91/2,"")</x:f>
        <x:v>-250.5995703094169</x:v>
      </x:c>
    </x:row>
    <x:row r="476" ht="23" customHeight="1">
      <x:c r="A476" s="17" t="n">
        <x:f>ROW()-6</x:f>
        <x:v>470</x:v>
      </x:c>
      <x:c r="B476" s="4" t="n">
        <x:f>IF('계산 과정'!$L$5,'계산 과정'!$L$11*SQRT((A476+0.5)/'계산 과정'!$L$30),"")</x:f>
        <x:v>71.89622648520923</x:v>
      </x:c>
      <x:c r="C476" s="4" t="n">
        <x:f>A476*PI()*(3-SQRT(5))</x:f>
        <x:v>1127.9827179724668</x:v>
      </x:c>
      <x:c r="D476" s="4" t="n">
        <x:f>IF('계산 과정'!$L$5,B476*COS(C476),"")</x:f>
        <x:v>-71.0786127810504</x:v>
      </x:c>
      <x:c r="E476" s="4" t="n">
        <x:f>IF('계산 과정'!$L$5,B476*SIN(C476),"")</x:f>
        <x:v>-10.811946537696121</x:v>
      </x:c>
      <x:c r="F476" s="4" t="n">
        <x:f>IF('계산 과정'!$L$7,'계산 과정'!$L$22+'계산 과정'!$C$49*D476+'계산 과정'!$D$49*E476,"")</x:f>
        <x:v>700.2601690948136</x:v>
      </x:c>
      <x:c r="G476" s="4" t="n">
        <x:f>IF('계산 과정'!$L$7,IF(ABS(F476)&gt;=1E-12*MAX(1,SQRT((D476-'계산 과정'!$C$33)^2+(E476-'계산 과정'!$D$33)^2+'계산 과정'!$E$33^2)),('계산 과정'!$L$23-'계산 과정'!$C$49*D476-'계산 과정'!$D$49*E476)/F476,""),"")</x:f>
        <x:v>0.49944270192787804</x:v>
      </x:c>
      <x:c r="H476" s="4" t="n">
        <x:f>IF(AND(ISNUMBER(G476),G476&gt;0),('계산 과정'!$D$56+'계산 과정'!$D$57*D476+'계산 과정'!$D$58*E476)/F476,"")</x:f>
        <x:v>-75.36224374687937</x:v>
      </x:c>
      <x:c r="I476" s="4" t="n">
        <x:f>IF(AND(ISNUMBER(G476),G476&gt;0),('계산 과정'!$E$56+'계산 과정'!$E$57*D476+'계산 과정'!$E$58*E476)/F476,"")</x:f>
        <x:v>-16.21189432958284</x:v>
      </x:c>
      <x:c r="J476" s="4" t="n">
        <x:f>IF('계산 과정'!$L$5,'계산 과정'!$D$6+'계산 과정'!$C$35*D476+'계산 과정'!$D$35*E476,"")</x:f>
        <x:v>700.2601690948136</x:v>
      </x:c>
      <x:c r="K476" s="4" t="n">
        <x:f>IF(AND('계산 과정'!$L$6,J476&gt;0),'계산 과정'!$D$10*('계산 과정'!$C$38*(D476-'계산 과정'!$C$32)+'계산 과정'!$D$38*(E476-'계산 과정'!$D$32)-'계산 과정'!$E$38*'계산 과정'!$E$32)/J476,"")</x:f>
        <x:v>-0.5741885237857466</x:v>
      </x:c>
      <x:c r="L476" s="4" t="n">
        <x:f>IF(AND('계산 과정'!$L$6,J476&gt;0),'계산 과정'!$D$10*('계산 과정'!$C$39*(D476-'계산 과정'!$C$32)+'계산 과정'!$D$39*(E476-'계산 과정'!$D$32)-'계산 과정'!$E$39*'계산 과정'!$E$32)/J476,"")</x:f>
        <x:v>-0.12351919489205972</x:v>
      </x:c>
      <x:c r="M476" s="17" t="n">
        <x:f>IF('계산 과정'!$L$6,IF(J476&lt;=0,0,IF(AND(ABS(K476)&lt;='계산 과정'!$D$11/2,ABS(L476)&lt;='계산 과정'!$D$12/2),1,0)),"")</x:f>
        <x:v>1</x:v>
      </x:c>
      <x:c r="N476" s="17" t="n">
        <x:f>IF('계산 과정'!$C$78,IF(AND(ISNUMBER(H476),ISNUMBER(I476),ABS(H476-'계산 과정'!$C$88)&lt;='계산 과정'!$D$23/2,ABS(I476-'계산 과정'!$C$89)&lt;='계산 과정'!$D$24/2),1,0),"")</x:f>
        <x:v>1</x:v>
      </x:c>
      <x:c r="O476" s="4" t="n">
        <x:f>IF('계산 과정'!$L$7,'계산 과정'!$C$49*('계산 과정'!$C$32-D476)+'계산 과정'!$D$49*('계산 과정'!$D$32-E476)+'계산 과정'!$E$49*'계산 과정'!$E$32,"")</x:f>
        <x:v>-50.26016909481342</x:v>
      </x:c>
      <x:c r="P476" s="4" t="n">
        <x:f>IF(AND('계산 과정'!$L$7,O476&lt;&gt;0),('계산 과정'!$L$23-'계산 과정'!$C$49*D476-'계산 과정'!$D$49*E476)/O476,"")</x:f>
        <x:v>-6.958588425069141</x:v>
      </x:c>
      <x:c r="Q476" s="4" t="str">
        <x:f>IF(AND(ISNUMBER(P476),P476&gt;1E-9,P476&lt;1-1E-9),'계산 과정'!$C$47*(D476-'계산 과정'!$C$50+P476*('계산 과정'!$C$32-D476))+'계산 과정'!$D$47*(E476-'계산 과정'!$D$50+P476*('계산 과정'!$D$32-E476))+'계산 과정'!$E$47*(0-'계산 과정'!$E$50+P476*('계산 과정'!$E$32-0)),"")</x:f>
      </x:c>
      <x:c r="R476" s="4" t="str">
        <x:f>IF(AND(ISNUMBER(P476),P476&gt;1E-9,P476&lt;1-1E-9),'계산 과정'!$C$48*(D476-'계산 과정'!$C$50+P476*('계산 과정'!$C$32-D476))+'계산 과정'!$D$48*(E476-'계산 과정'!$D$50+P476*('계산 과정'!$D$32-E476))+'계산 과정'!$E$48*(0-'계산 과정'!$E$50+P476*('계산 과정'!$E$32-0)),"")</x:f>
      </x:c>
      <x:c r="S476" s="17" t="n">
        <x:f>IF('계산 과정'!$C$78,IF(AND(ISNUMBER(Q476),ISNUMBER(R476),ABS(Q476-'계산 과정'!$C$88)&lt;='계산 과정'!$D$23/2,ABS(R476-'계산 과정'!$C$89)&lt;='계산 과정'!$D$24/2),1,0),"")</x:f>
        <x:v>0</x:v>
      </x:c>
      <x:c r="T476" s="4"/>
      <x:c r="U476" s="4"/>
      <x:c r="V476" s="4"/>
      <x:c r="W476" s="4" t="n">
        <x:f>IF('계산 과정'!$C$78,'계산 과정'!$C$88+0.1200000000000001*'계산 과정'!$C$90/2,"")</x:f>
        <x:v>50.4463387401257</x:v>
      </x:c>
      <x:c r="X476" s="4" t="str">
        <x:f>""</x:f>
      </x:c>
      <x:c r="Y476" s="4" t="str">
        <x:f>""</x:f>
      </x:c>
      <x:c r="Z476" s="4" t="n">
        <x:f>IF('계산 과정'!$C$78,'계산 과정'!$C$89+-1*'계산 과정'!$C$91/2,"")</x:f>
        <x:v>-250.5995703094169</x:v>
      </x:c>
    </x:row>
    <x:row r="477" ht="23" customHeight="1">
      <x:c r="A477" s="17" t="n">
        <x:f>ROW()-6</x:f>
        <x:v>471</x:v>
      </x:c>
      <x:c r="B477" s="4" t="n">
        <x:f>IF('계산 과정'!$L$5,'계산 과정'!$L$11*SQRT((A477+0.5)/'계산 과정'!$L$30),"")</x:f>
        <x:v>71.97258999742542</x:v>
      </x:c>
      <x:c r="C477" s="4" t="n">
        <x:f>A477*PI()*(3-SQRT(5))</x:f>
        <x:v>1130.3826812021955</x:v>
      </x:c>
      <x:c r="D477" s="4" t="n">
        <x:f>IF('계산 과정'!$L$5,B477*COS(C477),"")</x:f>
        <x:v>59.777946805121005</x:v>
      </x:c>
      <x:c r="E477" s="4" t="n">
        <x:f>IF('계산 과정'!$L$5,B477*SIN(C477),"")</x:f>
        <x:v>-40.08304862035352</x:v>
      </x:c>
      <x:c r="F477" s="4" t="n">
        <x:f>IF('계산 과정'!$L$7,'계산 과정'!$L$22+'계산 과정'!$C$49*D477+'계산 과정'!$D$49*E477,"")</x:f>
        <x:v>607.7306084486902</x:v>
      </x:c>
      <x:c r="G477" s="4" t="n">
        <x:f>IF('계산 과정'!$L$7,IF(ABS(F477)&gt;=1E-12*MAX(1,SQRT((D477-'계산 과정'!$C$33)^2+(E477-'계산 과정'!$D$33)^2+'계산 과정'!$E$33^2)),('계산 과정'!$L$23-'계산 과정'!$C$49*D477-'계산 과정'!$D$49*E477)/F477,""),"")</x:f>
        <x:v>0.7277392078050153</x:v>
      </x:c>
      <x:c r="H477" s="4" t="n">
        <x:f>IF(AND(ISNUMBER(G477),G477&gt;0),('계산 과정'!$D$56+'계산 과정'!$D$57*D477+'계산 과정'!$D$58*E477)/F477,"")</x:f>
        <x:v>73.03048507325987</x:v>
      </x:c>
      <x:c r="I477" s="4" t="n">
        <x:f>IF(AND(ISNUMBER(G477),G477&gt;0),('계산 과정'!$E$56+'계산 과정'!$E$57*D477+'계산 과정'!$E$58*E477)/F477,"")</x:f>
        <x:v>-69.25305466973951</x:v>
      </x:c>
      <x:c r="J477" s="4" t="n">
        <x:f>IF('계산 과정'!$L$5,'계산 과정'!$D$6+'계산 과정'!$C$35*D477+'계산 과정'!$D$35*E477,"")</x:f>
        <x:v>607.7306084486902</x:v>
      </x:c>
      <x:c r="K477" s="4" t="n">
        <x:f>IF(AND('계산 과정'!$L$6,J477&gt;0),'계산 과정'!$D$10*('계산 과정'!$C$38*(D477-'계산 과정'!$C$32)+'계산 과정'!$D$38*(E477-'계산 과정'!$D$32)-'계산 과정'!$E$38*'계산 과정'!$E$32)/J477,"")</x:f>
        <x:v>0.5564227434153145</x:v>
      </x:c>
      <x:c r="L477" s="4" t="n">
        <x:f>IF(AND('계산 과정'!$L$6,J477&gt;0),'계산 과정'!$D$10*('계산 과정'!$C$39*(D477-'계산 과정'!$C$32)+'계산 과정'!$D$39*(E477-'계산 과정'!$D$32)-'계산 과정'!$E$39*'계산 과정'!$E$32)/J477,"")</x:f>
        <x:v>-0.5276423212932534</x:v>
      </x:c>
      <x:c r="M477" s="17" t="n">
        <x:f>IF('계산 과정'!$L$6,IF(J477&lt;=0,0,IF(AND(ABS(K477)&lt;='계산 과정'!$D$11/2,ABS(L477)&lt;='계산 과정'!$D$12/2),1,0)),"")</x:f>
        <x:v>1</x:v>
      </x:c>
      <x:c r="N477" s="17" t="n">
        <x:f>IF('계산 과정'!$C$78,IF(AND(ISNUMBER(H477),ISNUMBER(I477),ABS(H477-'계산 과정'!$C$88)&lt;='계산 과정'!$D$23/2,ABS(I477-'계산 과정'!$C$89)&lt;='계산 과정'!$D$24/2),1,0),"")</x:f>
        <x:v>1</x:v>
      </x:c>
      <x:c r="O477" s="4" t="n">
        <x:f>IF('계산 과정'!$L$7,'계산 과정'!$C$49*('계산 과정'!$C$32-D477)+'계산 과정'!$D$49*('계산 과정'!$D$32-E477)+'계산 과정'!$E$49*'계산 과정'!$E$32,"")</x:f>
        <x:v>42.26939155130992</x:v>
      </x:c>
      <x:c r="P477" s="4" t="n">
        <x:f>IF(AND('계산 과정'!$L$7,O477&lt;&gt;0),('계산 과정'!$L$23-'계산 과정'!$C$49*D477-'계산 과정'!$D$49*E477)/O477,"")</x:f>
        <x:v>10.46311232122772</x:v>
      </x:c>
      <x:c r="Q477" s="4" t="str">
        <x:f>IF(AND(ISNUMBER(P477),P477&gt;1E-9,P477&lt;1-1E-9),'계산 과정'!$C$47*(D477-'계산 과정'!$C$50+P477*('계산 과정'!$C$32-D477))+'계산 과정'!$D$47*(E477-'계산 과정'!$D$50+P477*('계산 과정'!$D$32-E477))+'계산 과정'!$E$47*(0-'계산 과정'!$E$50+P477*('계산 과정'!$E$32-0)),"")</x:f>
      </x:c>
      <x:c r="R477" s="4" t="str">
        <x:f>IF(AND(ISNUMBER(P477),P477&gt;1E-9,P477&lt;1-1E-9),'계산 과정'!$C$48*(D477-'계산 과정'!$C$50+P477*('계산 과정'!$C$32-D477))+'계산 과정'!$D$48*(E477-'계산 과정'!$D$50+P477*('계산 과정'!$D$32-E477))+'계산 과정'!$E$48*(0-'계산 과정'!$E$50+P477*('계산 과정'!$E$32-0)),"")</x:f>
      </x:c>
      <x:c r="S477" s="17" t="n">
        <x:f>IF('계산 과정'!$C$78,IF(AND(ISNUMBER(Q477),ISNUMBER(R477),ABS(Q477-'계산 과정'!$C$88)&lt;='계산 과정'!$D$23/2,ABS(R477-'계산 과정'!$C$89)&lt;='계산 과정'!$D$24/2),1,0),"")</x:f>
        <x:v>0</x:v>
      </x:c>
      <x:c r="T477" s="4"/>
      <x:c r="U477" s="4"/>
      <x:c r="V477" s="4"/>
      <x:c r="W477" s="4" t="n">
        <x:f>IF('계산 과정'!$C$78,'계산 과정'!$C$88+0.15999999999999992*'계산 과정'!$C$90/2,"")</x:f>
        <x:v>57.68731690172788</x:v>
      </x:c>
      <x:c r="X477" s="4" t="str">
        <x:f>""</x:f>
      </x:c>
      <x:c r="Y477" s="4" t="str">
        <x:f>""</x:f>
      </x:c>
      <x:c r="Z477" s="4" t="n">
        <x:f>IF('계산 과정'!$C$78,'계산 과정'!$C$89+-1*'계산 과정'!$C$91/2,"")</x:f>
        <x:v>-250.5995703094169</x:v>
      </x:c>
    </x:row>
    <x:row r="478" ht="23" customHeight="1">
      <x:c r="A478" s="17" t="n">
        <x:f>ROW()-6</x:f>
        <x:v>472</x:v>
      </x:c>
      <x:c r="B478" s="4" t="n">
        <x:f>IF('계산 과정'!$L$5,'계산 과정'!$L$11*SQRT((A478+0.5)/'계산 과정'!$L$30),"")</x:f>
        <x:v>72.04887257315343</x:v>
      </x:c>
      <x:c r="C478" s="4" t="n">
        <x:f>A478*PI()*(3-SQRT(5))</x:f>
        <x:v>1132.7826444319242</x:v>
      </x:c>
      <x:c r="D478" s="4" t="n">
        <x:f>IF('계산 과정'!$L$5,B478*COS(C478),"")</x:f>
        <x:v>-17.020708133316905</x:v>
      </x:c>
      <x:c r="E478" s="4" t="n">
        <x:f>IF('계산 과정'!$L$5,B478*SIN(C478),"")</x:f>
        <x:v>70.00953887651983</x:v>
      </x:c>
      <x:c r="F478" s="4" t="n">
        <x:f>IF('계산 과정'!$L$7,'계산 과정'!$L$22+'계산 과정'!$C$49*D478+'계산 과정'!$D$49*E478,"")</x:f>
        <x:v>662.0354581416655</x:v>
      </x:c>
      <x:c r="G478" s="4" t="n">
        <x:f>IF('계산 과정'!$L$7,IF(ABS(F478)&gt;=1E-12*MAX(1,SQRT((D478-'계산 과정'!$C$33)^2+(E478-'계산 과정'!$D$33)^2+'계산 과정'!$E$33^2)),('계산 과정'!$L$23-'계산 과정'!$C$49*D478-'계산 과정'!$D$49*E478)/F478,""),"")</x:f>
        <x:v>0.5860177685155289</x:v>
      </x:c>
      <x:c r="H478" s="4" t="n">
        <x:f>IF(AND(ISNUMBER(G478),G478&gt;0),('계산 과정'!$D$56+'계산 과정'!$D$57*D478+'계산 과정'!$D$58*E478)/F478,"")</x:f>
        <x:v>-19.08845046490634</x:v>
      </x:c>
      <x:c r="I478" s="4" t="n">
        <x:f>IF(AND(ISNUMBER(G478),G478&gt;0),('계산 과정'!$E$56+'계산 과정'!$E$57*D478+'계산 과정'!$E$58*E478)/F478,"")</x:f>
        <x:v>111.03637262373913</x:v>
      </x:c>
      <x:c r="J478" s="4" t="n">
        <x:f>IF('계산 과정'!$L$5,'계산 과정'!$D$6+'계산 과정'!$C$35*D478+'계산 과정'!$D$35*E478,"")</x:f>
        <x:v>662.0354581416655</x:v>
      </x:c>
      <x:c r="K478" s="4" t="n">
        <x:f>IF(AND('계산 과정'!$L$6,J478&gt;0),'계산 과정'!$D$10*('계산 과정'!$C$38*(D478-'계산 과정'!$C$32)+'계산 과정'!$D$38*(E478-'계산 과정'!$D$32)-'계산 과정'!$E$38*'계산 과정'!$E$32)/J478,"")</x:f>
        <x:v>-0.1454358130659521</x:v>
      </x:c>
      <x:c r="L478" s="4" t="n">
        <x:f>IF(AND('계산 과정'!$L$6,J478&gt;0),'계산 과정'!$D$10*('계산 과정'!$C$39*(D478-'계산 과정'!$C$32)+'계산 과정'!$D$39*(E478-'계산 과정'!$D$32)-'계산 과정'!$E$39*'계산 과정'!$E$32)/J478,"")</x:f>
        <x:v>0.8459914104665839</x:v>
      </x:c>
      <x:c r="M478" s="17" t="n">
        <x:f>IF('계산 과정'!$L$6,IF(J478&lt;=0,0,IF(AND(ABS(K478)&lt;='계산 과정'!$D$11/2,ABS(L478)&lt;='계산 과정'!$D$12/2),1,0)),"")</x:f>
        <x:v>1</x:v>
      </x:c>
      <x:c r="N478" s="17" t="n">
        <x:f>IF('계산 과정'!$C$78,IF(AND(ISNUMBER(H478),ISNUMBER(I478),ABS(H478-'계산 과정'!$C$88)&lt;='계산 과정'!$D$23/2,ABS(I478-'계산 과정'!$C$89)&lt;='계산 과정'!$D$24/2),1,0),"")</x:f>
        <x:v>1</x:v>
      </x:c>
      <x:c r="O478" s="4" t="n">
        <x:f>IF('계산 과정'!$L$7,'계산 과정'!$C$49*('계산 과정'!$C$32-D478)+'계산 과정'!$D$49*('계산 과정'!$D$32-E478)+'계산 과정'!$E$49*'계산 과정'!$E$32,"")</x:f>
        <x:v>-12.035458141665288</x:v>
      </x:c>
      <x:c r="P478" s="4" t="n">
        <x:f>IF(AND('계산 과정'!$L$7,O478&lt;&gt;0),('계산 과정'!$L$23-'계산 과정'!$C$49*D478-'계산 과정'!$D$49*E478)/O478,"")</x:f>
        <x:v>-32.23512867493167</x:v>
      </x:c>
      <x:c r="Q478" s="4" t="str">
        <x:f>IF(AND(ISNUMBER(P478),P478&gt;1E-9,P478&lt;1-1E-9),'계산 과정'!$C$47*(D478-'계산 과정'!$C$50+P478*('계산 과정'!$C$32-D478))+'계산 과정'!$D$47*(E478-'계산 과정'!$D$50+P478*('계산 과정'!$D$32-E478))+'계산 과정'!$E$47*(0-'계산 과정'!$E$50+P478*('계산 과정'!$E$32-0)),"")</x:f>
      </x:c>
      <x:c r="R478" s="4" t="str">
        <x:f>IF(AND(ISNUMBER(P478),P478&gt;1E-9,P478&lt;1-1E-9),'계산 과정'!$C$48*(D478-'계산 과정'!$C$50+P478*('계산 과정'!$C$32-D478))+'계산 과정'!$D$48*(E478-'계산 과정'!$D$50+P478*('계산 과정'!$D$32-E478))+'계산 과정'!$E$48*(0-'계산 과정'!$E$50+P478*('계산 과정'!$E$32-0)),"")</x:f>
      </x:c>
      <x:c r="S478" s="17" t="n">
        <x:f>IF('계산 과정'!$C$78,IF(AND(ISNUMBER(Q478),ISNUMBER(R478),ABS(Q478-'계산 과정'!$C$88)&lt;='계산 과정'!$D$23/2,ABS(R478-'계산 과정'!$C$89)&lt;='계산 과정'!$D$24/2),1,0),"")</x:f>
        <x:v>0</x:v>
      </x:c>
      <x:c r="T478" s="4"/>
      <x:c r="U478" s="4"/>
      <x:c r="V478" s="4"/>
      <x:c r="W478" s="4" t="n">
        <x:f>IF('계산 과정'!$C$78,'계산 과정'!$C$88+0.19999999999999996*'계산 과정'!$C$90/2,"")</x:f>
        <x:v>64.92829506333011</x:v>
      </x:c>
      <x:c r="X478" s="4" t="str">
        <x:f>""</x:f>
      </x:c>
      <x:c r="Y478" s="4" t="str">
        <x:f>""</x:f>
      </x:c>
      <x:c r="Z478" s="4" t="n">
        <x:f>IF('계산 과정'!$C$78,'계산 과정'!$C$89+-1*'계산 과정'!$C$91/2,"")</x:f>
        <x:v>-250.5995703094169</x:v>
      </x:c>
    </x:row>
    <x:row r="479" ht="23" customHeight="1">
      <x:c r="A479" s="17" t="n">
        <x:f>ROW()-6</x:f>
        <x:v>473</x:v>
      </x:c>
      <x:c r="B479" s="4" t="n">
        <x:f>IF('계산 과정'!$L$5,'계산 과정'!$L$11*SQRT((A479+0.5)/'계산 과정'!$L$30),"")</x:f>
        <x:v>72.12507446919899</x:v>
      </x:c>
      <x:c r="C479" s="4" t="n">
        <x:f>A479*PI()*(3-SQRT(5))</x:f>
        <x:v>1135.1826076616528</x:v>
      </x:c>
      <x:c r="D479" s="4" t="n">
        <x:f>IF('계산 과정'!$L$5,B479*COS(C479),"")</x:f>
        <x:v>-34.7769662674683</x:v>
      </x:c>
      <x:c r="E479" s="4" t="n">
        <x:f>IF('계산 과정'!$L$5,B479*SIN(C479),"")</x:f>
        <x:v>-63.18693681781759</x:v>
      </x:c>
      <x:c r="F479" s="4" t="n">
        <x:f>IF('계산 과정'!$L$7,'계산 과정'!$L$22+'계산 과정'!$C$49*D479+'계산 과정'!$D$49*E479,"")</x:f>
        <x:v>674.5910286768227</x:v>
      </x:c>
      <x:c r="G479" s="4" t="n">
        <x:f>IF('계산 과정'!$L$7,IF(ABS(F479)&gt;=1E-12*MAX(1,SQRT((D479-'계산 과정'!$C$33)^2+(E479-'계산 과정'!$D$33)^2+'계산 과정'!$E$33^2)),('계산 과정'!$L$23-'계산 과정'!$C$49*D479-'계산 과정'!$D$49*E479)/F479,""),"")</x:f>
        <x:v>0.556498612291841</x:v>
      </x:c>
      <x:c r="H479" s="4" t="n">
        <x:f>IF(AND(ISNUMBER(G479),G479&gt;0),('계산 과정'!$D$56+'계산 과정'!$D$57*D479+'계산 과정'!$D$58*E479)/F479,"")</x:f>
        <x:v>-38.27590201030344</x:v>
      </x:c>
      <x:c r="I479" s="4" t="n">
        <x:f>IF(AND(ISNUMBER(G479),G479&gt;0),('계산 과정'!$E$56+'계산 과정'!$E$57*D479+'계산 과정'!$E$58*E479)/F479,"")</x:f>
        <x:v>-98.35037947190531</x:v>
      </x:c>
      <x:c r="J479" s="4" t="n">
        <x:f>IF('계산 과정'!$L$5,'계산 과정'!$D$6+'계산 과정'!$C$35*D479+'계산 과정'!$D$35*E479,"")</x:f>
        <x:v>674.5910286768227</x:v>
      </x:c>
      <x:c r="K479" s="4" t="n">
        <x:f>IF(AND('계산 과정'!$L$6,J479&gt;0),'계산 과정'!$D$10*('계산 과정'!$C$38*(D479-'계산 과정'!$C$32)+'계산 과정'!$D$38*(E479-'계산 과정'!$D$32)-'계산 과정'!$E$38*'계산 과정'!$E$32)/J479,"")</x:f>
        <x:v>-0.2916259200785014</x:v>
      </x:c>
      <x:c r="L479" s="4" t="n">
        <x:f>IF(AND('계산 과정'!$L$6,J479&gt;0),'계산 과정'!$D$10*('계산 과정'!$C$39*(D479-'계산 과정'!$C$32)+'계산 과정'!$D$39*(E479-'계산 과정'!$D$32)-'계산 과정'!$E$39*'계산 과정'!$E$32)/J479,"")</x:f>
        <x:v>-0.74933622454785</x:v>
      </x:c>
      <x:c r="M479" s="17" t="n">
        <x:f>IF('계산 과정'!$L$6,IF(J479&lt;=0,0,IF(AND(ABS(K479)&lt;='계산 과정'!$D$11/2,ABS(L479)&lt;='계산 과정'!$D$12/2),1,0)),"")</x:f>
        <x:v>1</x:v>
      </x:c>
      <x:c r="N479" s="17" t="n">
        <x:f>IF('계산 과정'!$C$78,IF(AND(ISNUMBER(H479),ISNUMBER(I479),ABS(H479-'계산 과정'!$C$88)&lt;='계산 과정'!$D$23/2,ABS(I479-'계산 과정'!$C$89)&lt;='계산 과정'!$D$24/2),1,0),"")</x:f>
        <x:v>1</x:v>
      </x:c>
      <x:c r="O479" s="4" t="n">
        <x:f>IF('계산 과정'!$L$7,'계산 과정'!$C$49*('계산 과정'!$C$32-D479)+'계산 과정'!$D$49*('계산 과정'!$D$32-E479)+'계산 과정'!$E$49*'계산 과정'!$E$32,"")</x:f>
        <x:v>-24.591028676822532</x:v>
      </x:c>
      <x:c r="P479" s="4" t="n">
        <x:f>IF(AND('계산 과정'!$L$7,O479&lt;&gt;0),('계산 과정'!$L$23-'계산 과정'!$C$49*D479-'계산 과정'!$D$49*E479)/O479,"")</x:f>
        <x:v>-15.266094650078903</x:v>
      </x:c>
      <x:c r="Q479" s="4" t="str">
        <x:f>IF(AND(ISNUMBER(P479),P479&gt;1E-9,P479&lt;1-1E-9),'계산 과정'!$C$47*(D479-'계산 과정'!$C$50+P479*('계산 과정'!$C$32-D479))+'계산 과정'!$D$47*(E479-'계산 과정'!$D$50+P479*('계산 과정'!$D$32-E479))+'계산 과정'!$E$47*(0-'계산 과정'!$E$50+P479*('계산 과정'!$E$32-0)),"")</x:f>
      </x:c>
      <x:c r="R479" s="4" t="str">
        <x:f>IF(AND(ISNUMBER(P479),P479&gt;1E-9,P479&lt;1-1E-9),'계산 과정'!$C$48*(D479-'계산 과정'!$C$50+P479*('계산 과정'!$C$32-D479))+'계산 과정'!$D$48*(E479-'계산 과정'!$D$50+P479*('계산 과정'!$D$32-E479))+'계산 과정'!$E$48*(0-'계산 과정'!$E$50+P479*('계산 과정'!$E$32-0)),"")</x:f>
      </x:c>
      <x:c r="S479" s="17" t="n">
        <x:f>IF('계산 과정'!$C$78,IF(AND(ISNUMBER(Q479),ISNUMBER(R479),ABS(Q479-'계산 과정'!$C$88)&lt;='계산 과정'!$D$23/2,ABS(R479-'계산 과정'!$C$89)&lt;='계산 과정'!$D$24/2),1,0),"")</x:f>
        <x:v>0</x:v>
      </x:c>
      <x:c r="T479" s="4"/>
      <x:c r="U479" s="4"/>
      <x:c r="V479" s="4"/>
      <x:c r="W479" s="4" t="n">
        <x:f>IF('계산 과정'!$C$78,'계산 과정'!$C$88+0.24*'계산 과정'!$C$90/2,"")</x:f>
        <x:v>72.16927322493234</x:v>
      </x:c>
      <x:c r="X479" s="4" t="str">
        <x:f>""</x:f>
      </x:c>
      <x:c r="Y479" s="4" t="str">
        <x:f>""</x:f>
      </x:c>
      <x:c r="Z479" s="4" t="n">
        <x:f>IF('계산 과정'!$C$78,'계산 과정'!$C$89+-1*'계산 과정'!$C$91/2,"")</x:f>
        <x:v>-250.5995703094169</x:v>
      </x:c>
    </x:row>
    <x:row r="480" ht="23" customHeight="1">
      <x:c r="A480" s="17" t="n">
        <x:f>ROW()-6</x:f>
        <x:v>474</x:v>
      </x:c>
      <x:c r="B480" s="4" t="n">
        <x:f>IF('계산 과정'!$L$5,'계산 과정'!$L$11*SQRT((A480+0.5)/'계산 과정'!$L$30),"")</x:f>
        <x:v>72.20119594101264</x:v>
      </x:c>
      <x:c r="C480" s="4" t="n">
        <x:f>A480*PI()*(3-SQRT(5))</x:f>
        <x:v>1137.5825708913815</x:v>
      </x:c>
      <x:c r="D480" s="4" t="n">
        <x:f>IF('계산 과정'!$L$5,B480*COS(C480),"")</x:f>
        <x:v>68.3977266314036</x:v>
      </x:c>
      <x:c r="E480" s="4" t="n">
        <x:f>IF('계산 과정'!$L$5,B480*SIN(C480),"")</x:f>
        <x:v>23.124958096573543</x:v>
      </x:c>
      <x:c r="F480" s="4" t="n">
        <x:f>IF('계산 과정'!$L$7,'계산 과정'!$L$22+'계산 과정'!$C$49*D480+'계산 과정'!$D$49*E480,"")</x:f>
        <x:v>601.6355036811908</x:v>
      </x:c>
      <x:c r="G480" s="4" t="n">
        <x:f>IF('계산 과정'!$L$7,IF(ABS(F480)&gt;=1E-12*MAX(1,SQRT((D480-'계산 과정'!$C$33)^2+(E480-'계산 과정'!$D$33)^2+'계산 과정'!$E$33^2)),('계산 과정'!$L$23-'계산 과정'!$C$49*D480-'계산 과정'!$D$49*E480)/F480,""),"")</x:f>
        <x:v>0.7452427484339412</x:v>
      </x:c>
      <x:c r="H480" s="4" t="n">
        <x:f>IF(AND(ISNUMBER(G480),G480&gt;0),('계산 과정'!$D$56+'계산 과정'!$D$57*D480+'계산 과정'!$D$58*E480)/F480,"")</x:f>
        <x:v>84.4077864820617</x:v>
      </x:c>
      <x:c r="I480" s="4" t="n">
        <x:f>IF(AND(ISNUMBER(G480),G480&gt;0),('계산 과정'!$E$56+'계산 과정'!$E$57*D480+'계산 과정'!$E$58*E480)/F480,"")</x:f>
        <x:v>40.358665425883736</x:v>
      </x:c>
      <x:c r="J480" s="4" t="n">
        <x:f>IF('계산 과정'!$L$5,'계산 과정'!$D$6+'계산 과정'!$C$35*D480+'계산 과정'!$D$35*E480,"")</x:f>
        <x:v>601.6355036811908</x:v>
      </x:c>
      <x:c r="K480" s="4" t="n">
        <x:f>IF(AND('계산 과정'!$L$6,J480&gt;0),'계산 과정'!$D$10*('계산 과정'!$C$38*(D480-'계산 과정'!$C$32)+'계산 과정'!$D$38*(E480-'계산 과정'!$D$32)-'계산 과정'!$E$38*'계산 과정'!$E$32)/J480,"")</x:f>
        <x:v>0.6431069446252325</x:v>
      </x:c>
      <x:c r="L480" s="4" t="n">
        <x:f>IF(AND('계산 과정'!$L$6,J480&gt;0),'계산 과정'!$D$10*('계산 과정'!$C$39*(D480-'계산 과정'!$C$32)+'계산 과정'!$D$39*(E480-'계산 과정'!$D$32)-'계산 과정'!$E$39*'계산 과정'!$E$32)/J480,"")</x:f>
        <x:v>0.3074945937210189</x:v>
      </x:c>
      <x:c r="M480" s="17" t="n">
        <x:f>IF('계산 과정'!$L$6,IF(J480&lt;=0,0,IF(AND(ABS(K480)&lt;='계산 과정'!$D$11/2,ABS(L480)&lt;='계산 과정'!$D$12/2),1,0)),"")</x:f>
        <x:v>1</x:v>
      </x:c>
      <x:c r="N480" s="17" t="n">
        <x:f>IF('계산 과정'!$C$78,IF(AND(ISNUMBER(H480),ISNUMBER(I480),ABS(H480-'계산 과정'!$C$88)&lt;='계산 과정'!$D$23/2,ABS(I480-'계산 과정'!$C$89)&lt;='계산 과정'!$D$24/2),1,0),"")</x:f>
        <x:v>1</x:v>
      </x:c>
      <x:c r="O480" s="4" t="n">
        <x:f>IF('계산 과정'!$L$7,'계산 과정'!$C$49*('계산 과정'!$C$32-D480)+'계산 과정'!$D$49*('계산 과정'!$D$32-E480)+'계산 과정'!$E$49*'계산 과정'!$E$32,"")</x:f>
        <x:v>48.3644963188093</x:v>
      </x:c>
      <x:c r="P480" s="4" t="n">
        <x:f>IF(AND('계산 과정'!$L$7,O480&lt;&gt;0),('계산 과정'!$L$23-'계산 과정'!$C$49*D480-'계산 과정'!$D$49*E480)/O480,"")</x:f>
        <x:v>9.27052963321024</x:v>
      </x:c>
      <x:c r="Q480" s="4" t="str">
        <x:f>IF(AND(ISNUMBER(P480),P480&gt;1E-9,P480&lt;1-1E-9),'계산 과정'!$C$47*(D480-'계산 과정'!$C$50+P480*('계산 과정'!$C$32-D480))+'계산 과정'!$D$47*(E480-'계산 과정'!$D$50+P480*('계산 과정'!$D$32-E480))+'계산 과정'!$E$47*(0-'계산 과정'!$E$50+P480*('계산 과정'!$E$32-0)),"")</x:f>
      </x:c>
      <x:c r="R480" s="4" t="str">
        <x:f>IF(AND(ISNUMBER(P480),P480&gt;1E-9,P480&lt;1-1E-9),'계산 과정'!$C$48*(D480-'계산 과정'!$C$50+P480*('계산 과정'!$C$32-D480))+'계산 과정'!$D$48*(E480-'계산 과정'!$D$50+P480*('계산 과정'!$D$32-E480))+'계산 과정'!$E$48*(0-'계산 과정'!$E$50+P480*('계산 과정'!$E$32-0)),"")</x:f>
      </x:c>
      <x:c r="S480" s="17" t="n">
        <x:f>IF('계산 과정'!$C$78,IF(AND(ISNUMBER(Q480),ISNUMBER(R480),ABS(Q480-'계산 과정'!$C$88)&lt;='계산 과정'!$D$23/2,ABS(R480-'계산 과정'!$C$89)&lt;='계산 과정'!$D$24/2),1,0),"")</x:f>
        <x:v>0</x:v>
      </x:c>
      <x:c r="T480" s="4"/>
      <x:c r="U480" s="4"/>
      <x:c r="V480" s="4"/>
      <x:c r="W480" s="4" t="n">
        <x:f>IF('계산 과정'!$C$78,'계산 과정'!$C$88+0.28*'계산 과정'!$C$90/2,"")</x:f>
        <x:v>79.41025138653455</x:v>
      </x:c>
      <x:c r="X480" s="4" t="str">
        <x:f>""</x:f>
      </x:c>
      <x:c r="Y480" s="4" t="str">
        <x:f>""</x:f>
      </x:c>
      <x:c r="Z480" s="4" t="n">
        <x:f>IF('계산 과정'!$C$78,'계산 과정'!$C$89+-1*'계산 과정'!$C$91/2,"")</x:f>
        <x:v>-250.5995703094169</x:v>
      </x:c>
    </x:row>
    <x:row r="481" ht="23" customHeight="1">
      <x:c r="A481" s="17" t="n">
        <x:f>ROW()-6</x:f>
        <x:v>475</x:v>
      </x:c>
      <x:c r="B481" s="4" t="n">
        <x:f>IF('계산 과정'!$L$5,'계산 과정'!$L$11*SQRT((A481+0.5)/'계산 과정'!$L$30),"")</x:f>
        <x:v>72.27723724269973</x:v>
      </x:c>
      <x:c r="C481" s="4" t="n">
        <x:f>A481*PI()*(3-SQRT(5))</x:f>
        <x:v>1139.9825341211101</x:v>
      </x:c>
      <x:c r="D481" s="4" t="n">
        <x:f>IF('계산 과정'!$L$5,B481*COS(C481),"")</x:f>
        <x:v>-66.12460795362313</x:v>
      </x:c>
      <x:c r="E481" s="4" t="n">
        <x:f>IF('계산 과정'!$L$5,B481*SIN(C481),"")</x:f>
        <x:v>29.181076854995293</x:v>
      </x:c>
      <x:c r="F481" s="4" t="n">
        <x:f>IF('계산 과정'!$L$7,'계산 과정'!$L$22+'계산 과정'!$C$49*D481+'계산 과정'!$D$49*E481,"")</x:f>
        <x:v>696.7571586873088</x:v>
      </x:c>
      <x:c r="G481" s="4" t="n">
        <x:f>IF('계산 과정'!$L$7,IF(ABS(F481)&gt;=1E-12*MAX(1,SQRT((D481-'계산 과정'!$C$33)^2+(E481-'계산 과정'!$D$33)^2+'계산 과정'!$E$33^2)),('계산 과정'!$L$23-'계산 과정'!$C$49*D481-'계산 과정'!$D$49*E481)/F481,""),"")</x:f>
        <x:v>0.5069812873945939</x:v>
      </x:c>
      <x:c r="H481" s="4" t="n">
        <x:f>IF(AND(ISNUMBER(G481),G481&gt;0),('계산 과정'!$D$56+'계산 과정'!$D$57*D481+'계산 과정'!$D$58*E481)/F481,"")</x:f>
        <x:v>-70.4621631935141</x:v>
      </x:c>
      <x:c r="I481" s="4" t="n">
        <x:f>IF(AND(ISNUMBER(G481),G481&gt;0),('계산 과정'!$E$56+'계산 과정'!$E$57*D481+'계산 과정'!$E$58*E481)/F481,"")</x:f>
        <x:v>43.9753367665014</x:v>
      </x:c>
      <x:c r="J481" s="4" t="n">
        <x:f>IF('계산 과정'!$L$5,'계산 과정'!$D$6+'계산 과정'!$C$35*D481+'계산 과정'!$D$35*E481,"")</x:f>
        <x:v>696.7571586873088</x:v>
      </x:c>
      <x:c r="K481" s="4" t="n">
        <x:f>IF(AND('계산 과정'!$L$6,J481&gt;0),'계산 과정'!$D$10*('계산 과정'!$C$38*(D481-'계산 과정'!$C$32)+'계산 과정'!$D$38*(E481-'계산 과정'!$D$32)-'계산 과정'!$E$38*'계산 과정'!$E$32)/J481,"")</x:f>
        <x:v>-0.5368545767124877</x:v>
      </x:c>
      <x:c r="L481" s="4" t="n">
        <x:f>IF(AND('계산 과정'!$L$6,J481&gt;0),'계산 과정'!$D$10*('계산 과정'!$C$39*(D481-'계산 과정'!$C$32)+'계산 과정'!$D$39*(E481-'계산 과정'!$D$32)-'계산 과정'!$E$39*'계산 과정'!$E$32)/J481,"")</x:f>
        <x:v>0.33505018488762967</x:v>
      </x:c>
      <x:c r="M481" s="17" t="n">
        <x:f>IF('계산 과정'!$L$6,IF(J481&lt;=0,0,IF(AND(ABS(K481)&lt;='계산 과정'!$D$11/2,ABS(L481)&lt;='계산 과정'!$D$12/2),1,0)),"")</x:f>
        <x:v>1</x:v>
      </x:c>
      <x:c r="N481" s="17" t="n">
        <x:f>IF('계산 과정'!$C$78,IF(AND(ISNUMBER(H481),ISNUMBER(I481),ABS(H481-'계산 과정'!$C$88)&lt;='계산 과정'!$D$23/2,ABS(I481-'계산 과정'!$C$89)&lt;='계산 과정'!$D$24/2),1,0),"")</x:f>
        <x:v>1</x:v>
      </x:c>
      <x:c r="O481" s="4" t="n">
        <x:f>IF('계산 과정'!$L$7,'계산 과정'!$C$49*('계산 과정'!$C$32-D481)+'계산 과정'!$D$49*('계산 과정'!$D$32-E481)+'계산 과정'!$E$49*'계산 과정'!$E$32,"")</x:f>
        <x:v>-46.75715868730873</x:v>
      </x:c>
      <x:c r="P481" s="4" t="n">
        <x:f>IF(AND('계산 과정'!$L$7,O481&lt;&gt;0),('계산 과정'!$L$23-'계산 과정'!$C$49*D481-'계산 과정'!$D$49*E481)/O481,"")</x:f>
        <x:v>-7.5548397556623055</x:v>
      </x:c>
      <x:c r="Q481" s="4" t="str">
        <x:f>IF(AND(ISNUMBER(P481),P481&gt;1E-9,P481&lt;1-1E-9),'계산 과정'!$C$47*(D481-'계산 과정'!$C$50+P481*('계산 과정'!$C$32-D481))+'계산 과정'!$D$47*(E481-'계산 과정'!$D$50+P481*('계산 과정'!$D$32-E481))+'계산 과정'!$E$47*(0-'계산 과정'!$E$50+P481*('계산 과정'!$E$32-0)),"")</x:f>
      </x:c>
      <x:c r="R481" s="4" t="str">
        <x:f>IF(AND(ISNUMBER(P481),P481&gt;1E-9,P481&lt;1-1E-9),'계산 과정'!$C$48*(D481-'계산 과정'!$C$50+P481*('계산 과정'!$C$32-D481))+'계산 과정'!$D$48*(E481-'계산 과정'!$D$50+P481*('계산 과정'!$D$32-E481))+'계산 과정'!$E$48*(0-'계산 과정'!$E$50+P481*('계산 과정'!$E$32-0)),"")</x:f>
      </x:c>
      <x:c r="S481" s="17" t="n">
        <x:f>IF('계산 과정'!$C$78,IF(AND(ISNUMBER(Q481),ISNUMBER(R481),ABS(Q481-'계산 과정'!$C$88)&lt;='계산 과정'!$D$23/2,ABS(R481-'계산 과정'!$C$89)&lt;='계산 과정'!$D$24/2),1,0),"")</x:f>
        <x:v>0</x:v>
      </x:c>
      <x:c r="T481" s="4"/>
      <x:c r="U481" s="4"/>
      <x:c r="V481" s="4"/>
      <x:c r="W481" s="4" t="n">
        <x:f>IF('계산 과정'!$C$78,'계산 과정'!$C$88+0.32000000000000006*'계산 과정'!$C$90/2,"")</x:f>
        <x:v>86.6512295481368</x:v>
      </x:c>
      <x:c r="X481" s="4" t="str">
        <x:f>""</x:f>
      </x:c>
      <x:c r="Y481" s="4" t="str">
        <x:f>""</x:f>
      </x:c>
      <x:c r="Z481" s="4" t="n">
        <x:f>IF('계산 과정'!$C$78,'계산 과정'!$C$89+-1*'계산 과정'!$C$91/2,"")</x:f>
        <x:v>-250.5995703094169</x:v>
      </x:c>
    </x:row>
    <x:row r="482" ht="23" customHeight="1">
      <x:c r="A482" s="17" t="n">
        <x:f>ROW()-6</x:f>
        <x:v>476</x:v>
      </x:c>
      <x:c r="B482" s="4" t="n">
        <x:f>IF('계산 과정'!$L$5,'계산 과정'!$L$11*SQRT((A482+0.5)/'계산 과정'!$L$30),"")</x:f>
        <x:v>72.3531986270303</x:v>
      </x:c>
      <x:c r="C482" s="4" t="n">
        <x:f>A482*PI()*(3-SQRT(5))</x:f>
        <x:v>1142.3824973508388</x:v>
      </x:c>
      <x:c r="D482" s="4" t="n">
        <x:f>IF('계산 과정'!$L$5,B482*COS(C482),"")</x:f>
        <x:v>29.077221063107434</x:v>
      </x:c>
      <x:c r="E482" s="4" t="n">
        <x:f>IF('계산 과정'!$L$5,B482*SIN(C482),"")</x:f>
        <x:v>-66.25330608210945</x:v>
      </x:c>
      <x:c r="F482" s="4" t="n">
        <x:f>IF('계산 과정'!$L$7,'계산 과정'!$L$22+'계산 과정'!$C$49*D482+'계산 과정'!$D$49*E482,"")</x:f>
        <x:v>629.4392998082164</x:v>
      </x:c>
      <x:c r="G482" s="4" t="n">
        <x:f>IF('계산 과정'!$L$7,IF(ABS(F482)&gt;=1E-12*MAX(1,SQRT((D482-'계산 과정'!$C$33)^2+(E482-'계산 과정'!$D$33)^2+'계산 과정'!$E$33^2)),('계산 과정'!$L$23-'계산 과정'!$C$49*D482-'계산 과정'!$D$49*E482)/F482,""),"")</x:f>
        <x:v>0.6681513218509298</x:v>
      </x:c>
      <x:c r="H482" s="4" t="n">
        <x:f>IF(AND(ISNUMBER(G482),G482&gt;0),('계산 과정'!$D$56+'계산 과정'!$D$57*D482+'계산 과정'!$D$58*E482)/F482,"")</x:f>
        <x:v>34.29835920310434</x:v>
      </x:c>
      <x:c r="I482" s="4" t="n">
        <x:f>IF(AND(ISNUMBER(G482),G482&gt;0),('계산 과정'!$E$56+'계산 과정'!$E$57*D482+'계산 과정'!$E$58*E482)/F482,"")</x:f>
        <x:v>-110.52054011786512</x:v>
      </x:c>
      <x:c r="J482" s="4" t="n">
        <x:f>IF('계산 과정'!$L$5,'계산 과정'!$D$6+'계산 과정'!$C$35*D482+'계산 과정'!$D$35*E482,"")</x:f>
        <x:v>629.4392998082164</x:v>
      </x:c>
      <x:c r="K482" s="4" t="n">
        <x:f>IF(AND('계산 과정'!$L$6,J482&gt;0),'계산 과정'!$D$10*('계산 과정'!$C$38*(D482-'계산 과정'!$C$32)+'계산 과정'!$D$38*(E482-'계산 과정'!$D$32)-'계산 과정'!$E$38*'계산 과정'!$E$32)/J482,"")</x:f>
        <x:v>0.2613208320236533</x:v>
      </x:c>
      <x:c r="L482" s="4" t="n">
        <x:f>IF(AND('계산 과정'!$L$6,J482&gt;0),'계산 과정'!$D$10*('계산 과정'!$C$39*(D482-'계산 과정'!$C$32)+'계산 과정'!$D$39*(E482-'계산 과정'!$D$32)-'계산 과정'!$E$39*'계산 과정'!$E$32)/J482,"")</x:f>
        <x:v>-0.8420612580408772</x:v>
      </x:c>
      <x:c r="M482" s="17" t="n">
        <x:f>IF('계산 과정'!$L$6,IF(J482&lt;=0,0,IF(AND(ABS(K482)&lt;='계산 과정'!$D$11/2,ABS(L482)&lt;='계산 과정'!$D$12/2),1,0)),"")</x:f>
        <x:v>1</x:v>
      </x:c>
      <x:c r="N482" s="17" t="n">
        <x:f>IF('계산 과정'!$C$78,IF(AND(ISNUMBER(H482),ISNUMBER(I482),ABS(H482-'계산 과정'!$C$88)&lt;='계산 과정'!$D$23/2,ABS(I482-'계산 과정'!$C$89)&lt;='계산 과정'!$D$24/2),1,0),"")</x:f>
        <x:v>1</x:v>
      </x:c>
      <x:c r="O482" s="4" t="n">
        <x:f>IF('계산 과정'!$L$7,'계산 과정'!$C$49*('계산 과정'!$C$32-D482)+'계산 과정'!$D$49*('계산 과정'!$D$32-E482)+'계산 과정'!$E$49*'계산 과정'!$E$32,"")</x:f>
        <x:v>20.560700191783724</x:v>
      </x:c>
      <x:c r="P482" s="4" t="n">
        <x:f>IF(AND('계산 과정'!$L$7,O482&lt;&gt;0),('계산 과정'!$L$23-'계산 과정'!$C$49*D482-'계산 과정'!$D$49*E482)/O482,"")</x:f>
        <x:v>20.454590372357266</x:v>
      </x:c>
      <x:c r="Q482" s="4" t="str">
        <x:f>IF(AND(ISNUMBER(P482),P482&gt;1E-9,P482&lt;1-1E-9),'계산 과정'!$C$47*(D482-'계산 과정'!$C$50+P482*('계산 과정'!$C$32-D482))+'계산 과정'!$D$47*(E482-'계산 과정'!$D$50+P482*('계산 과정'!$D$32-E482))+'계산 과정'!$E$47*(0-'계산 과정'!$E$50+P482*('계산 과정'!$E$32-0)),"")</x:f>
      </x:c>
      <x:c r="R482" s="4" t="str">
        <x:f>IF(AND(ISNUMBER(P482),P482&gt;1E-9,P482&lt;1-1E-9),'계산 과정'!$C$48*(D482-'계산 과정'!$C$50+P482*('계산 과정'!$C$32-D482))+'계산 과정'!$D$48*(E482-'계산 과정'!$D$50+P482*('계산 과정'!$D$32-E482))+'계산 과정'!$E$48*(0-'계산 과정'!$E$50+P482*('계산 과정'!$E$32-0)),"")</x:f>
      </x:c>
      <x:c r="S482" s="17" t="n">
        <x:f>IF('계산 과정'!$C$78,IF(AND(ISNUMBER(Q482),ISNUMBER(R482),ABS(Q482-'계산 과정'!$C$88)&lt;='계산 과정'!$D$23/2,ABS(R482-'계산 과정'!$C$89)&lt;='계산 과정'!$D$24/2),1,0),"")</x:f>
        <x:v>0</x:v>
      </x:c>
      <x:c r="T482" s="4"/>
      <x:c r="U482" s="4"/>
      <x:c r="V482" s="4"/>
      <x:c r="W482" s="4" t="n">
        <x:f>IF('계산 과정'!$C$78,'계산 과정'!$C$88+0.3600000000000001*'계산 과정'!$C$90/2,"")</x:f>
        <x:v>93.89220770973901</x:v>
      </x:c>
      <x:c r="X482" s="4" t="str">
        <x:f>""</x:f>
      </x:c>
      <x:c r="Y482" s="4" t="str">
        <x:f>""</x:f>
      </x:c>
      <x:c r="Z482" s="4" t="n">
        <x:f>IF('계산 과정'!$C$78,'계산 과정'!$C$89+-1*'계산 과정'!$C$91/2,"")</x:f>
        <x:v>-250.5995703094169</x:v>
      </x:c>
    </x:row>
    <x:row r="483" ht="23" customHeight="1">
      <x:c r="A483" s="17" t="n">
        <x:f>ROW()-6</x:f>
        <x:v>477</x:v>
      </x:c>
      <x:c r="B483" s="4" t="n">
        <x:f>IF('계산 과정'!$L$5,'계산 과정'!$L$11*SQRT((A483+0.5)/'계산 과정'!$L$30),"")</x:f>
        <x:v>72.42908034544895</x:v>
      </x:c>
      <x:c r="C483" s="4" t="n">
        <x:f>A483*PI()*(3-SQRT(5))</x:f>
        <x:v>1144.7824605805674</x:v>
      </x:c>
      <x:c r="D483" s="4" t="n">
        <x:f>IF('계산 과정'!$L$5,B483*COS(C483),"")</x:f>
        <x:v>23.337277095254443</x:v>
      </x:c>
      <x:c r="E483" s="4" t="n">
        <x:f>IF('계산 과정'!$L$5,B483*SIN(C483),"")</x:f>
        <x:v>68.5663414327089</x:v>
      </x:c>
      <x:c r="F483" s="4" t="n">
        <x:f>IF('계산 과정'!$L$7,'계산 과정'!$L$22+'계산 과정'!$C$49*D483+'계산 과정'!$D$49*E483,"")</x:f>
        <x:v>633.4980531115161</x:v>
      </x:c>
      <x:c r="G483" s="4" t="n">
        <x:f>IF('계산 과정'!$L$7,IF(ABS(F483)&gt;=1E-12*MAX(1,SQRT((D483-'계산 과정'!$C$33)^2+(E483-'계산 과정'!$D$33)^2+'계산 과정'!$E$33^2)),('계산 과정'!$L$23-'계산 과정'!$C$49*D483-'계산 과정'!$D$49*E483)/F483,""),"")</x:f>
        <x:v>0.6574636572958278</x:v>
      </x:c>
      <x:c r="H483" s="4" t="n">
        <x:f>IF(AND(ISNUMBER(G483),G483&gt;0),('계산 과정'!$D$56+'계산 과정'!$D$57*D483+'계산 과정'!$D$58*E483)/F483,"")</x:f>
        <x:v>27.351377242287942</x:v>
      </x:c>
      <x:c r="I483" s="4" t="n">
        <x:f>IF(AND(ISNUMBER(G483),G483&gt;0),('계산 과정'!$E$56+'계산 과정'!$E$57*D483+'계산 과정'!$E$58*E483)/F483,"")</x:f>
        <x:v>113.64621903845212</x:v>
      </x:c>
      <x:c r="J483" s="4" t="n">
        <x:f>IF('계산 과정'!$L$5,'계산 과정'!$D$6+'계산 과정'!$C$35*D483+'계산 과정'!$D$35*E483,"")</x:f>
        <x:v>633.4980531115161</x:v>
      </x:c>
      <x:c r="K483" s="4" t="n">
        <x:f>IF(AND('계산 과정'!$L$6,J483&gt;0),'계산 과정'!$D$10*('계산 과정'!$C$38*(D483-'계산 과정'!$C$32)+'계산 과정'!$D$38*(E483-'계산 과정'!$D$32)-'계산 과정'!$E$38*'계산 과정'!$E$32)/J483,"")</x:f>
        <x:v>0.2083914456555282</x:v>
      </x:c>
      <x:c r="L483" s="4" t="n">
        <x:f>IF(AND('계산 과정'!$L$6,J483&gt;0),'계산 과정'!$D$10*('계산 과정'!$C$39*(D483-'계산 과정'!$C$32)+'계산 과정'!$D$39*(E483-'계산 과정'!$D$32)-'계산 과정'!$E$39*'계산 과정'!$E$32)/J483,"")</x:f>
        <x:v>0.8658759545786828</x:v>
      </x:c>
      <x:c r="M483" s="17" t="n">
        <x:f>IF('계산 과정'!$L$6,IF(J483&lt;=0,0,IF(AND(ABS(K483)&lt;='계산 과정'!$D$11/2,ABS(L483)&lt;='계산 과정'!$D$12/2),1,0)),"")</x:f>
        <x:v>1</x:v>
      </x:c>
      <x:c r="N483" s="17" t="n">
        <x:f>IF('계산 과정'!$C$78,IF(AND(ISNUMBER(H483),ISNUMBER(I483),ABS(H483-'계산 과정'!$C$88)&lt;='계산 과정'!$D$23/2,ABS(I483-'계산 과정'!$C$89)&lt;='계산 과정'!$D$24/2),1,0),"")</x:f>
        <x:v>1</x:v>
      </x:c>
      <x:c r="O483" s="4" t="n">
        <x:f>IF('계산 과정'!$L$7,'계산 과정'!$C$49*('계산 과정'!$C$32-D483)+'계산 과정'!$D$49*('계산 과정'!$D$32-E483)+'계산 과정'!$E$49*'계산 과정'!$E$32,"")</x:f>
        <x:v>16.501946888483985</x:v>
      </x:c>
      <x:c r="P483" s="4" t="n">
        <x:f>IF(AND('계산 과정'!$L$7,O483&lt;&gt;0),('계산 과정'!$L$23-'계산 과정'!$C$49*D483-'계산 과정'!$D$49*E483)/O483,"")</x:f>
        <x:v>25.239564137680212</x:v>
      </x:c>
      <x:c r="Q483" s="4" t="str">
        <x:f>IF(AND(ISNUMBER(P483),P483&gt;1E-9,P483&lt;1-1E-9),'계산 과정'!$C$47*(D483-'계산 과정'!$C$50+P483*('계산 과정'!$C$32-D483))+'계산 과정'!$D$47*(E483-'계산 과정'!$D$50+P483*('계산 과정'!$D$32-E483))+'계산 과정'!$E$47*(0-'계산 과정'!$E$50+P483*('계산 과정'!$E$32-0)),"")</x:f>
      </x:c>
      <x:c r="R483" s="4" t="str">
        <x:f>IF(AND(ISNUMBER(P483),P483&gt;1E-9,P483&lt;1-1E-9),'계산 과정'!$C$48*(D483-'계산 과정'!$C$50+P483*('계산 과정'!$C$32-D483))+'계산 과정'!$D$48*(E483-'계산 과정'!$D$50+P483*('계산 과정'!$D$32-E483))+'계산 과정'!$E$48*(0-'계산 과정'!$E$50+P483*('계산 과정'!$E$32-0)),"")</x:f>
      </x:c>
      <x:c r="S483" s="17" t="n">
        <x:f>IF('계산 과정'!$C$78,IF(AND(ISNUMBER(Q483),ISNUMBER(R483),ABS(Q483-'계산 과정'!$C$88)&lt;='계산 과정'!$D$23/2,ABS(R483-'계산 과정'!$C$89)&lt;='계산 과정'!$D$24/2),1,0),"")</x:f>
        <x:v>0</x:v>
      </x:c>
      <x:c r="T483" s="4"/>
      <x:c r="U483" s="4"/>
      <x:c r="V483" s="4"/>
      <x:c r="W483" s="4" t="n">
        <x:f>IF('계산 과정'!$C$78,'계산 과정'!$C$88+0.3999999999999999*'계산 과정'!$C$90/2,"")</x:f>
        <x:v>101.1331858713412</x:v>
      </x:c>
      <x:c r="X483" s="4" t="str">
        <x:f>""</x:f>
      </x:c>
      <x:c r="Y483" s="4" t="str">
        <x:f>""</x:f>
      </x:c>
      <x:c r="Z483" s="4" t="n">
        <x:f>IF('계산 과정'!$C$78,'계산 과정'!$C$89+-1*'계산 과정'!$C$91/2,"")</x:f>
        <x:v>-250.5995703094169</x:v>
      </x:c>
    </x:row>
    <x:row r="484" ht="23" customHeight="1">
      <x:c r="A484" s="17" t="n">
        <x:f>ROW()-6</x:f>
        <x:v>478</x:v>
      </x:c>
      <x:c r="B484" s="4" t="n">
        <x:f>IF('계산 과정'!$L$5,'계산 과정'!$L$11*SQRT((A484+0.5)/'계산 과정'!$L$30),"")</x:f>
        <x:v>72.50488264808446</x:v>
      </x:c>
      <x:c r="C484" s="4" t="n">
        <x:f>A484*PI()*(3-SQRT(5))</x:f>
        <x:v>1147.182423810296</x:v>
      </x:c>
      <x:c r="D484" s="4" t="n">
        <x:f>IF('계산 과정'!$L$5,B484*COS(C484),"")</x:f>
        <x:v>-63.59056255175836</x:v>
      </x:c>
      <x:c r="E484" s="4" t="n">
        <x:f>IF('계산 과정'!$L$5,B484*SIN(C484),"")</x:f>
        <x:v>-34.83099714569491</x:v>
      </x:c>
      <x:c r="F484" s="4" t="n">
        <x:f>IF('계산 과정'!$L$7,'계산 과정'!$L$22+'계산 과정'!$C$49*D484+'계산 과정'!$D$49*E484,"")</x:f>
        <x:v>694.9653179998156</x:v>
      </x:c>
      <x:c r="G484" s="4" t="n">
        <x:f>IF('계산 과정'!$L$7,IF(ABS(F484)&gt;=1E-12*MAX(1,SQRT((D484-'계산 과정'!$C$33)^2+(E484-'계산 과정'!$D$33)^2+'계산 과정'!$E$33^2)),('계산 과정'!$L$23-'계산 과정'!$C$49*D484-'계산 과정'!$D$49*E484)/F484,""),"")</x:f>
        <x:v>0.5108667624191838</x:v>
      </x:c>
      <x:c r="H484" s="4" t="n">
        <x:f>IF(AND(ISNUMBER(G484),G484&gt;0),('계산 과정'!$D$56+'계산 과정'!$D$57*D484+'계산 과정'!$D$58*E484)/F484,"")</x:f>
        <x:v>-67.93660442753067</x:v>
      </x:c>
      <x:c r="I484" s="4" t="n">
        <x:f>IF(AND(ISNUMBER(G484),G484&gt;0),('계산 과정'!$E$56+'계산 과정'!$E$57*D484+'계산 과정'!$E$58*E484)/F484,"")</x:f>
        <x:v>-52.6249958893479</x:v>
      </x:c>
      <x:c r="J484" s="4" t="n">
        <x:f>IF('계산 과정'!$L$5,'계산 과정'!$D$6+'계산 과정'!$C$35*D484+'계산 과정'!$D$35*E484,"")</x:f>
        <x:v>694.9653179998156</x:v>
      </x:c>
      <x:c r="K484" s="4" t="n">
        <x:f>IF(AND('계산 과정'!$L$6,J484&gt;0),'계산 과정'!$D$10*('계산 과정'!$C$38*(D484-'계산 과정'!$C$32)+'계산 과정'!$D$38*(E484-'계산 과정'!$D$32)-'계산 과정'!$E$38*'계산 과정'!$E$32)/J484,"")</x:f>
        <x:v>-0.5176122242097567</x:v>
      </x:c>
      <x:c r="L484" s="4" t="n">
        <x:f>IF(AND('계산 과정'!$L$6,J484&gt;0),'계산 과정'!$D$10*('계산 과정'!$C$39*(D484-'계산 과정'!$C$32)+'계산 과정'!$D$39*(E484-'계산 과정'!$D$32)-'계산 과정'!$E$39*'계산 과정'!$E$32)/J484,"")</x:f>
        <x:v>-0.40095234963312687</x:v>
      </x:c>
      <x:c r="M484" s="17" t="n">
        <x:f>IF('계산 과정'!$L$6,IF(J484&lt;=0,0,IF(AND(ABS(K484)&lt;='계산 과정'!$D$11/2,ABS(L484)&lt;='계산 과정'!$D$12/2),1,0)),"")</x:f>
        <x:v>1</x:v>
      </x:c>
      <x:c r="N484" s="17" t="n">
        <x:f>IF('계산 과정'!$C$78,IF(AND(ISNUMBER(H484),ISNUMBER(I484),ABS(H484-'계산 과정'!$C$88)&lt;='계산 과정'!$D$23/2,ABS(I484-'계산 과정'!$C$89)&lt;='계산 과정'!$D$24/2),1,0),"")</x:f>
        <x:v>1</x:v>
      </x:c>
      <x:c r="O484" s="4" t="n">
        <x:f>IF('계산 과정'!$L$7,'계산 과정'!$C$49*('계산 과정'!$C$32-D484)+'계산 과정'!$D$49*('계산 과정'!$D$32-E484)+'계산 과정'!$E$49*'계산 과정'!$E$32,"")</x:f>
        <x:v>-44.96531799981551</x:v>
      </x:c>
      <x:c r="P484" s="4" t="n">
        <x:f>IF(AND('계산 과정'!$L$7,O484&lt;&gt;0),('계산 과정'!$L$23-'계산 과정'!$C$49*D484-'계산 과정'!$D$49*E484)/O484,"")</x:f>
        <x:v>-7.895744938390984</x:v>
      </x:c>
      <x:c r="Q484" s="4" t="str">
        <x:f>IF(AND(ISNUMBER(P484),P484&gt;1E-9,P484&lt;1-1E-9),'계산 과정'!$C$47*(D484-'계산 과정'!$C$50+P484*('계산 과정'!$C$32-D484))+'계산 과정'!$D$47*(E484-'계산 과정'!$D$50+P484*('계산 과정'!$D$32-E484))+'계산 과정'!$E$47*(0-'계산 과정'!$E$50+P484*('계산 과정'!$E$32-0)),"")</x:f>
      </x:c>
      <x:c r="R484" s="4" t="str">
        <x:f>IF(AND(ISNUMBER(P484),P484&gt;1E-9,P484&lt;1-1E-9),'계산 과정'!$C$48*(D484-'계산 과정'!$C$50+P484*('계산 과정'!$C$32-D484))+'계산 과정'!$D$48*(E484-'계산 과정'!$D$50+P484*('계산 과정'!$D$32-E484))+'계산 과정'!$E$48*(0-'계산 과정'!$E$50+P484*('계산 과정'!$E$32-0)),"")</x:f>
      </x:c>
      <x:c r="S484" s="17" t="n">
        <x:f>IF('계산 과정'!$C$78,IF(AND(ISNUMBER(Q484),ISNUMBER(R484),ABS(Q484-'계산 과정'!$C$88)&lt;='계산 과정'!$D$23/2,ABS(R484-'계산 과정'!$C$89)&lt;='계산 과정'!$D$24/2),1,0),"")</x:f>
        <x:v>0</x:v>
      </x:c>
      <x:c r="T484" s="4"/>
      <x:c r="U484" s="4"/>
      <x:c r="V484" s="4"/>
      <x:c r="W484" s="4" t="n">
        <x:f>IF('계산 과정'!$C$78,'계산 과정'!$C$88+0.43999999999999995*'계산 과정'!$C$90/2,"")</x:f>
        <x:v>108.37416403294343</x:v>
      </x:c>
      <x:c r="X484" s="4" t="str">
        <x:f>""</x:f>
      </x:c>
      <x:c r="Y484" s="4" t="str">
        <x:f>""</x:f>
      </x:c>
      <x:c r="Z484" s="4" t="n">
        <x:f>IF('계산 과정'!$C$78,'계산 과정'!$C$89+-1*'계산 과정'!$C$91/2,"")</x:f>
        <x:v>-250.5995703094169</x:v>
      </x:c>
    </x:row>
    <x:row r="485" ht="23" customHeight="1">
      <x:c r="A485" s="17" t="n">
        <x:f>ROW()-6</x:f>
        <x:v>479</x:v>
      </x:c>
      <x:c r="B485" s="4" t="n">
        <x:f>IF('계산 과정'!$L$5,'계산 과정'!$L$11*SQRT((A485+0.5)/'계산 과정'!$L$30),"")</x:f>
        <x:v>72.58060578375948</x:v>
      </x:c>
      <x:c r="C485" s="4" t="n">
        <x:f>A485*PI()*(3-SQRT(5))</x:f>
        <x:v>1149.5823870400247</x:v>
      </x:c>
      <x:c r="D485" s="4" t="n">
        <x:f>IF('계산 과정'!$L$5,B485*COS(C485),"")</x:f>
        <x:v>70.49124558876562</x:v>
      </x:c>
      <x:c r="E485" s="4" t="n">
        <x:f>IF('계산 과정'!$L$5,B485*SIN(C485),"")</x:f>
        <x:v>-17.289552662860626</x:v>
      </x:c>
      <x:c r="F485" s="4" t="n">
        <x:f>IF('계산 과정'!$L$7,'계산 과정'!$L$22+'계산 과정'!$C$49*D485+'계산 과정'!$D$49*E485,"")</x:f>
        <x:v>600.1551622298975</x:v>
      </x:c>
      <x:c r="G485" s="4" t="n">
        <x:f>IF('계산 과정'!$L$7,IF(ABS(F485)&gt;=1E-12*MAX(1,SQRT((D485-'계산 과정'!$C$33)^2+(E485-'계산 과정'!$D$33)^2+'계산 과정'!$E$33^2)),('계산 과정'!$L$23-'계산 과정'!$C$49*D485-'계산 과정'!$D$49*E485)/F485,""),"")</x:f>
        <x:v>0.7495475604986687</x:v>
      </x:c>
      <x:c r="H485" s="4" t="n">
        <x:f>IF(AND(ISNUMBER(G485),G485&gt;0),('계산 과정'!$D$56+'계산 과정'!$D$57*D485+'계산 과정'!$D$58*E485)/F485,"")</x:f>
        <x:v>87.2059143241346</x:v>
      </x:c>
      <x:c r="I485" s="4" t="n">
        <x:f>IF(AND(ISNUMBER(G485),G485&gt;0),('계산 과정'!$E$56+'계산 과정'!$E$57*D485+'계산 과정'!$E$58*E485)/F485,"")</x:f>
        <x:v>-30.24889468342107</x:v>
      </x:c>
      <x:c r="J485" s="4" t="n">
        <x:f>IF('계산 과정'!$L$5,'계산 과정'!$D$6+'계산 과정'!$C$35*D485+'계산 과정'!$D$35*E485,"")</x:f>
        <x:v>600.1551622298975</x:v>
      </x:c>
      <x:c r="K485" s="4" t="n">
        <x:f>IF(AND('계산 과정'!$L$6,J485&gt;0),'계산 과정'!$D$10*('계산 과정'!$C$38*(D485-'계산 과정'!$C$32)+'계산 과정'!$D$38*(E485-'계산 과정'!$D$32)-'계산 과정'!$E$38*'계산 과정'!$E$32)/J485,"")</x:f>
        <x:v>0.6644260138981696</x:v>
      </x:c>
      <x:c r="L485" s="4" t="n">
        <x:f>IF(AND('계산 과정'!$L$6,J485&gt;0),'계산 과정'!$D$10*('계산 과정'!$C$39*(D485-'계산 과정'!$C$32)+'계산 과정'!$D$39*(E485-'계산 과정'!$D$32)-'계산 과정'!$E$39*'계산 과정'!$E$32)/J485,"")</x:f>
        <x:v>-0.23046776901654148</x:v>
      </x:c>
      <x:c r="M485" s="17" t="n">
        <x:f>IF('계산 과정'!$L$6,IF(J485&lt;=0,0,IF(AND(ABS(K485)&lt;='계산 과정'!$D$11/2,ABS(L485)&lt;='계산 과정'!$D$12/2),1,0)),"")</x:f>
        <x:v>1</x:v>
      </x:c>
      <x:c r="N485" s="17" t="n">
        <x:f>IF('계산 과정'!$C$78,IF(AND(ISNUMBER(H485),ISNUMBER(I485),ABS(H485-'계산 과정'!$C$88)&lt;='계산 과정'!$D$23/2,ABS(I485-'계산 과정'!$C$89)&lt;='계산 과정'!$D$24/2),1,0),"")</x:f>
        <x:v>1</x:v>
      </x:c>
      <x:c r="O485" s="4" t="n">
        <x:f>IF('계산 과정'!$L$7,'계산 과정'!$C$49*('계산 과정'!$C$32-D485)+'계산 과정'!$D$49*('계산 과정'!$D$32-E485)+'계산 과정'!$E$49*'계산 과정'!$E$32,"")</x:f>
        <x:v>49.84483777010263</x:v>
      </x:c>
      <x:c r="P485" s="4" t="n">
        <x:f>IF(AND('계산 과정'!$L$7,O485&lt;&gt;0),('계산 과정'!$L$23-'계산 과정'!$C$49*D485-'계산 과정'!$D$49*E485)/O485,"")</x:f>
        <x:v>9.024903237621196</x:v>
      </x:c>
      <x:c r="Q485" s="4" t="str">
        <x:f>IF(AND(ISNUMBER(P485),P485&gt;1E-9,P485&lt;1-1E-9),'계산 과정'!$C$47*(D485-'계산 과정'!$C$50+P485*('계산 과정'!$C$32-D485))+'계산 과정'!$D$47*(E485-'계산 과정'!$D$50+P485*('계산 과정'!$D$32-E485))+'계산 과정'!$E$47*(0-'계산 과정'!$E$50+P485*('계산 과정'!$E$32-0)),"")</x:f>
      </x:c>
      <x:c r="R485" s="4" t="str">
        <x:f>IF(AND(ISNUMBER(P485),P485&gt;1E-9,P485&lt;1-1E-9),'계산 과정'!$C$48*(D485-'계산 과정'!$C$50+P485*('계산 과정'!$C$32-D485))+'계산 과정'!$D$48*(E485-'계산 과정'!$D$50+P485*('계산 과정'!$D$32-E485))+'계산 과정'!$E$48*(0-'계산 과정'!$E$50+P485*('계산 과정'!$E$32-0)),"")</x:f>
      </x:c>
      <x:c r="S485" s="17" t="n">
        <x:f>IF('계산 과정'!$C$78,IF(AND(ISNUMBER(Q485),ISNUMBER(R485),ABS(Q485-'계산 과정'!$C$88)&lt;='계산 과정'!$D$23/2,ABS(R485-'계산 과정'!$C$89)&lt;='계산 과정'!$D$24/2),1,0),"")</x:f>
        <x:v>0</x:v>
      </x:c>
      <x:c r="T485" s="4"/>
      <x:c r="U485" s="4"/>
      <x:c r="V485" s="4"/>
      <x:c r="W485" s="4" t="n">
        <x:f>IF('계산 과정'!$C$78,'계산 과정'!$C$88+0.48*'계산 과정'!$C$90/2,"")</x:f>
        <x:v>115.61514219454565</x:v>
      </x:c>
      <x:c r="X485" s="4" t="str">
        <x:f>""</x:f>
      </x:c>
      <x:c r="Y485" s="4" t="str">
        <x:f>""</x:f>
      </x:c>
      <x:c r="Z485" s="4" t="n">
        <x:f>IF('계산 과정'!$C$78,'계산 과정'!$C$89+-1*'계산 과정'!$C$91/2,"")</x:f>
        <x:v>-250.5995703094169</x:v>
      </x:c>
    </x:row>
    <x:row r="486" ht="23" customHeight="1">
      <x:c r="A486" s="17" t="n">
        <x:f>ROW()-6</x:f>
        <x:v>480</x:v>
      </x:c>
      <x:c r="B486" s="4" t="n">
        <x:f>IF('계산 과정'!$L$5,'계산 과정'!$L$11*SQRT((A486+0.5)/'계산 과정'!$L$30),"")</x:f>
        <x:v>72.65625</x:v>
      </x:c>
      <x:c r="C486" s="4" t="n">
        <x:f>A486*PI()*(3-SQRT(5))</x:f>
        <x:v>1151.9823502697534</x:v>
      </x:c>
      <x:c r="D486" s="4" t="n">
        <x:f>IF('계산 과정'!$L$5,B486*COS(C486),"")</x:f>
        <x:v>-40.34112580060713</x:v>
      </x:c>
      <x:c r="E486" s="4" t="n">
        <x:f>IF('계산 과정'!$L$5,B486*SIN(C486),"")</x:f>
        <x:v>60.42784319502136</x:v>
      </x:c>
      <x:c r="F486" s="4" t="n">
        <x:f>IF('계산 과정'!$L$7,'계산 과정'!$L$22+'계산 과정'!$C$49*D486+'계산 과정'!$D$49*E486,"")</x:f>
        <x:v>678.5254836143089</x:v>
      </x:c>
      <x:c r="G486" s="4" t="n">
        <x:f>IF('계산 과정'!$L$7,IF(ABS(F486)&gt;=1E-12*MAX(1,SQRT((D486-'계산 과정'!$C$33)^2+(E486-'계산 과정'!$D$33)^2+'계산 과정'!$E$33^2)),('계산 과정'!$L$23-'계산 과정'!$C$49*D486-'계산 과정'!$D$49*E486)/F486,""),"")</x:f>
        <x:v>0.5474731979216961</x:v>
      </x:c>
      <x:c r="H486" s="4" t="n">
        <x:f>IF(AND(ISNUMBER(G486),G486&gt;0),('계산 과정'!$D$56+'계산 과정'!$D$57*D486+'계산 과정'!$D$58*E486)/F486,"")</x:f>
        <x:v>-44.14242135089765</x:v>
      </x:c>
      <x:c r="I486" s="4" t="n">
        <x:f>IF(AND(ISNUMBER(G486),G486&gt;0),('계산 과정'!$E$56+'계산 과정'!$E$57*D486+'계산 과정'!$E$58*E486)/F486,"")</x:f>
        <x:v>93.51046775251051</x:v>
      </x:c>
      <x:c r="J486" s="4" t="n">
        <x:f>IF('계산 과정'!$L$5,'계산 과정'!$D$6+'계산 과정'!$C$35*D486+'계산 과정'!$D$35*E486,"")</x:f>
        <x:v>678.5254836143089</x:v>
      </x:c>
      <x:c r="K486" s="4" t="n">
        <x:f>IF(AND('계산 과정'!$L$6,J486&gt;0),'계산 과정'!$D$10*('계산 과정'!$C$38*(D486-'계산 과정'!$C$32)+'계산 과정'!$D$38*(E486-'계산 과정'!$D$32)-'계산 과정'!$E$38*'계산 과정'!$E$32)/J486,"")</x:f>
        <x:v>-0.33632321029255247</x:v>
      </x:c>
      <x:c r="L486" s="4" t="n">
        <x:f>IF(AND('계산 과정'!$L$6,J486&gt;0),'계산 과정'!$D$10*('계산 과정'!$C$39*(D486-'계산 과정'!$C$32)+'계산 과정'!$D$39*(E486-'계산 과정'!$D$32)-'계산 과정'!$E$39*'계산 과정'!$E$32)/J486,"")</x:f>
        <x:v>0.7124607066857943</x:v>
      </x:c>
      <x:c r="M486" s="17" t="n">
        <x:f>IF('계산 과정'!$L$6,IF(J486&lt;=0,0,IF(AND(ABS(K486)&lt;='계산 과정'!$D$11/2,ABS(L486)&lt;='계산 과정'!$D$12/2),1,0)),"")</x:f>
        <x:v>1</x:v>
      </x:c>
      <x:c r="N486" s="17" t="n">
        <x:f>IF('계산 과정'!$C$78,IF(AND(ISNUMBER(H486),ISNUMBER(I486),ABS(H486-'계산 과정'!$C$88)&lt;='계산 과정'!$D$23/2,ABS(I486-'계산 과정'!$C$89)&lt;='계산 과정'!$D$24/2),1,0),"")</x:f>
        <x:v>1</x:v>
      </x:c>
      <x:c r="O486" s="4" t="n">
        <x:f>IF('계산 과정'!$L$7,'계산 과정'!$C$49*('계산 과정'!$C$32-D486)+'계산 과정'!$D$49*('계산 과정'!$D$32-E486)+'계산 과정'!$E$49*'계산 과정'!$E$32,"")</x:f>
        <x:v>-28.52548361430877</x:v>
      </x:c>
      <x:c r="P486" s="4" t="n">
        <x:f>IF(AND('계산 과정'!$L$7,O486&lt;&gt;0),('계산 과정'!$L$23-'계산 과정'!$C$49*D486-'계산 과정'!$D$49*E486)/O486,"")</x:f>
        <x:v>-13.02254928990422</x:v>
      </x:c>
      <x:c r="Q486" s="4" t="str">
        <x:f>IF(AND(ISNUMBER(P486),P486&gt;1E-9,P486&lt;1-1E-9),'계산 과정'!$C$47*(D486-'계산 과정'!$C$50+P486*('계산 과정'!$C$32-D486))+'계산 과정'!$D$47*(E486-'계산 과정'!$D$50+P486*('계산 과정'!$D$32-E486))+'계산 과정'!$E$47*(0-'계산 과정'!$E$50+P486*('계산 과정'!$E$32-0)),"")</x:f>
      </x:c>
      <x:c r="R486" s="4" t="str">
        <x:f>IF(AND(ISNUMBER(P486),P486&gt;1E-9,P486&lt;1-1E-9),'계산 과정'!$C$48*(D486-'계산 과정'!$C$50+P486*('계산 과정'!$C$32-D486))+'계산 과정'!$D$48*(E486-'계산 과정'!$D$50+P486*('계산 과정'!$D$32-E486))+'계산 과정'!$E$48*(0-'계산 과정'!$E$50+P486*('계산 과정'!$E$32-0)),"")</x:f>
      </x:c>
      <x:c r="S486" s="17" t="n">
        <x:f>IF('계산 과정'!$C$78,IF(AND(ISNUMBER(Q486),ISNUMBER(R486),ABS(Q486-'계산 과정'!$C$88)&lt;='계산 과정'!$D$23/2,ABS(R486-'계산 과정'!$C$89)&lt;='계산 과정'!$D$24/2),1,0),"")</x:f>
        <x:v>0</x:v>
      </x:c>
      <x:c r="T486" s="4"/>
      <x:c r="U486" s="4"/>
      <x:c r="V486" s="4"/>
      <x:c r="W486" s="4" t="n">
        <x:f>IF('계산 과정'!$C$78,'계산 과정'!$C$88+0.52*'계산 과정'!$C$90/2,"")</x:f>
        <x:v>122.85612035614787</x:v>
      </x:c>
      <x:c r="X486" s="4" t="str">
        <x:f>""</x:f>
      </x:c>
      <x:c r="Y486" s="4" t="str">
        <x:f>""</x:f>
      </x:c>
      <x:c r="Z486" s="4" t="n">
        <x:f>IF('계산 과정'!$C$78,'계산 과정'!$C$89+-1*'계산 과정'!$C$91/2,"")</x:f>
        <x:v>-250.5995703094169</x:v>
      </x:c>
    </x:row>
    <x:row r="487" ht="23" customHeight="1">
      <x:c r="A487" s="17" t="n">
        <x:f>ROW()-6</x:f>
        <x:v>481</x:v>
      </x:c>
      <x:c r="B487" s="4" t="n">
        <x:f>IF('계산 과정'!$L$5,'계산 과정'!$L$11*SQRT((A487+0.5)/'계산 과정'!$L$30),"")</x:f>
        <x:v>72.73181554304485</x:v>
      </x:c>
      <x:c r="C487" s="4" t="n">
        <x:f>A487*PI()*(3-SQRT(5))</x:f>
        <x:v>1154.382313499482</x:v>
      </x:c>
      <x:c r="D487" s="4" t="n">
        <x:f>IF('계산 과정'!$L$5,B487*COS(C487),"")</x:f>
        <x:v>-11.083646389261245</x:v>
      </x:c>
      <x:c r="E487" s="4" t="n">
        <x:f>IF('계산 과정'!$L$5,B487*SIN(C487),"")</x:f>
        <x:v>-71.88233284267642</x:v>
      </x:c>
      <x:c r="F487" s="4" t="n">
        <x:f>IF('계산 과정'!$L$7,'계산 과정'!$L$22+'계산 과정'!$C$49*D487+'계산 과정'!$D$49*E487,"")</x:f>
        <x:v>657.8373215221204</x:v>
      </x:c>
      <x:c r="G487" s="4" t="n">
        <x:f>IF('계산 과정'!$L$7,IF(ABS(F487)&gt;=1E-12*MAX(1,SQRT((D487-'계산 과정'!$C$33)^2+(E487-'계산 과정'!$D$33)^2+'계산 과정'!$E$33^2)),('계산 과정'!$L$23-'계산 과정'!$C$49*D487-'계산 과정'!$D$49*E487)/F487,""),"")</x:f>
        <x:v>0.5961392971296974</x:v>
      </x:c>
      <x:c r="H487" s="4" t="n">
        <x:f>IF(AND(ISNUMBER(G487),G487&gt;0),('계산 과정'!$D$56+'계산 과정'!$D$57*D487+'계산 과정'!$D$58*E487)/F487,"")</x:f>
        <x:v>-12.509456865696853</x:v>
      </x:c>
      <x:c r="I487" s="4" t="n">
        <x:f>IF(AND(ISNUMBER(G487),G487&gt;0),('계산 과정'!$E$56+'계산 과정'!$E$57*D487+'계산 과정'!$E$58*E487)/F487,"")</x:f>
        <x:v>-114.7342162195525</x:v>
      </x:c>
      <x:c r="J487" s="4" t="n">
        <x:f>IF('계산 과정'!$L$5,'계산 과정'!$D$6+'계산 과정'!$C$35*D487+'계산 과정'!$D$35*E487,"")</x:f>
        <x:v>657.8373215221204</x:v>
      </x:c>
      <x:c r="K487" s="4" t="n">
        <x:f>IF(AND('계산 과정'!$L$6,J487&gt;0),'계산 과정'!$D$10*('계산 과정'!$C$38*(D487-'계산 과정'!$C$32)+'계산 과정'!$D$38*(E487-'계산 과정'!$D$32)-'계산 과정'!$E$38*'계산 과정'!$E$32)/J487,"")</x:f>
        <x:v>-0.09531014754816561</x:v>
      </x:c>
      <x:c r="L487" s="4" t="n">
        <x:f>IF(AND('계산 과정'!$L$6,J487&gt;0),'계산 과정'!$D$10*('계산 과정'!$C$39*(D487-'계산 과정'!$C$32)+'계산 과정'!$D$39*(E487-'계산 과정'!$D$32)-'계산 과정'!$E$39*'계산 과정'!$E$32)/J487,"")</x:f>
        <x:v>-0.8741654569108762</x:v>
      </x:c>
      <x:c r="M487" s="17" t="n">
        <x:f>IF('계산 과정'!$L$6,IF(J487&lt;=0,0,IF(AND(ABS(K487)&lt;='계산 과정'!$D$11/2,ABS(L487)&lt;='계산 과정'!$D$12/2),1,0)),"")</x:f>
        <x:v>1</x:v>
      </x:c>
      <x:c r="N487" s="17" t="n">
        <x:f>IF('계산 과정'!$C$78,IF(AND(ISNUMBER(H487),ISNUMBER(I487),ABS(H487-'계산 과정'!$C$88)&lt;='계산 과정'!$D$23/2,ABS(I487-'계산 과정'!$C$89)&lt;='계산 과정'!$D$24/2),1,0),"")</x:f>
        <x:v>1</x:v>
      </x:c>
      <x:c r="O487" s="4" t="n">
        <x:f>IF('계산 과정'!$L$7,'계산 과정'!$C$49*('계산 과정'!$C$32-D487)+'계산 과정'!$D$49*('계산 과정'!$D$32-E487)+'계산 과정'!$E$49*'계산 과정'!$E$32,"")</x:f>
        <x:v>-7.837321522120305</x:v>
      </x:c>
      <x:c r="P487" s="4" t="n">
        <x:f>IF(AND('계산 과정'!$L$7,O487&lt;&gt;0),('계산 과정'!$L$23-'계산 과정'!$C$49*D487-'계산 과정'!$D$49*E487)/O487,"")</x:f>
        <x:v>-50.03784486460421</x:v>
      </x:c>
      <x:c r="Q487" s="4" t="str">
        <x:f>IF(AND(ISNUMBER(P487),P487&gt;1E-9,P487&lt;1-1E-9),'계산 과정'!$C$47*(D487-'계산 과정'!$C$50+P487*('계산 과정'!$C$32-D487))+'계산 과정'!$D$47*(E487-'계산 과정'!$D$50+P487*('계산 과정'!$D$32-E487))+'계산 과정'!$E$47*(0-'계산 과정'!$E$50+P487*('계산 과정'!$E$32-0)),"")</x:f>
      </x:c>
      <x:c r="R487" s="4" t="str">
        <x:f>IF(AND(ISNUMBER(P487),P487&gt;1E-9,P487&lt;1-1E-9),'계산 과정'!$C$48*(D487-'계산 과정'!$C$50+P487*('계산 과정'!$C$32-D487))+'계산 과정'!$D$48*(E487-'계산 과정'!$D$50+P487*('계산 과정'!$D$32-E487))+'계산 과정'!$E$48*(0-'계산 과정'!$E$50+P487*('계산 과정'!$E$32-0)),"")</x:f>
      </x:c>
      <x:c r="S487" s="17" t="n">
        <x:f>IF('계산 과정'!$C$78,IF(AND(ISNUMBER(Q487),ISNUMBER(R487),ABS(Q487-'계산 과정'!$C$88)&lt;='계산 과정'!$D$23/2,ABS(R487-'계산 과정'!$C$89)&lt;='계산 과정'!$D$24/2),1,0),"")</x:f>
        <x:v>0</x:v>
      </x:c>
      <x:c r="T487" s="4"/>
      <x:c r="U487" s="4"/>
      <x:c r="V487" s="4"/>
      <x:c r="W487" s="4" t="n">
        <x:f>IF('계산 과정'!$C$78,'계산 과정'!$C$88+0.56*'계산 과정'!$C$90/2,"")</x:f>
        <x:v>130.0970985177501</x:v>
      </x:c>
      <x:c r="X487" s="4" t="str">
        <x:f>""</x:f>
      </x:c>
      <x:c r="Y487" s="4" t="str">
        <x:f>""</x:f>
      </x:c>
      <x:c r="Z487" s="4" t="n">
        <x:f>IF('계산 과정'!$C$78,'계산 과정'!$C$89+-1*'계산 과정'!$C$91/2,"")</x:f>
        <x:v>-250.5995703094169</x:v>
      </x:c>
    </x:row>
    <x:row r="488" ht="23" customHeight="1">
      <x:c r="A488" s="17" t="n">
        <x:f>ROW()-6</x:f>
        <x:v>482</x:v>
      </x:c>
      <x:c r="B488" s="4" t="n">
        <x:f>IF('계산 과정'!$L$5,'계산 과정'!$L$11*SQRT((A488+0.5)/'계산 과정'!$L$30),"")</x:f>
        <x:v>72.807302657855</x:v>
      </x:c>
      <x:c r="C488" s="4" t="n">
        <x:f>A488*PI()*(3-SQRT(5))</x:f>
        <x:v>1156.7822767292107</x:v>
      </x:c>
      <x:c r="D488" s="4" t="n">
        <x:f>IF('계산 과정'!$L$5,B488*COS(C488),"")</x:f>
        <x:v>56.78743166897261</x:v>
      </x:c>
      <x:c r="E488" s="4" t="n">
        <x:f>IF('계산 과정'!$L$5,B488*SIN(C488),"")</x:f>
        <x:v>45.56414077708771</x:v>
      </x:c>
      <x:c r="F488" s="4" t="n">
        <x:f>IF('계산 과정'!$L$7,'계산 과정'!$L$22+'계산 과정'!$C$49*D488+'계산 과정'!$D$49*E488,"")</x:f>
        <x:v>609.8452219807018</x:v>
      </x:c>
      <x:c r="G488" s="4" t="n">
        <x:f>IF('계산 과정'!$L$7,IF(ABS(F488)&gt;=1E-12*MAX(1,SQRT((D488-'계산 과정'!$C$33)^2+(E488-'계산 과정'!$D$33)^2+'계산 과정'!$E$33^2)),('계산 과정'!$L$23-'계산 과정'!$C$49*D488-'계산 과정'!$D$49*E488)/F488,""),"")</x:f>
        <x:v>0.7217483422920491</x:v>
      </x:c>
      <x:c r="H488" s="4" t="n">
        <x:f>IF(AND(ISNUMBER(G488),G488&gt;0),('계산 과정'!$D$56+'계산 과정'!$D$57*D488+'계산 과정'!$D$58*E488)/F488,"")</x:f>
        <x:v>69.13642248983184</x:v>
      </x:c>
      <x:c r="I488" s="4" t="n">
        <x:f>IF(AND(ISNUMBER(G488),G488&gt;0),('계산 과정'!$E$56+'계산 과정'!$E$57*D488+'계산 과정'!$E$58*E488)/F488,"")</x:f>
        <x:v>78.44998385091232</x:v>
      </x:c>
      <x:c r="J488" s="4" t="n">
        <x:f>IF('계산 과정'!$L$5,'계산 과정'!$D$6+'계산 과정'!$C$35*D488+'계산 과정'!$D$35*E488,"")</x:f>
        <x:v>609.8452219807018</x:v>
      </x:c>
      <x:c r="K488" s="4" t="n">
        <x:f>IF(AND('계산 과정'!$L$6,J488&gt;0),'계산 과정'!$D$10*('계산 과정'!$C$38*(D488-'계산 과정'!$C$32)+'계산 과정'!$D$38*(E488-'계산 과정'!$D$32)-'계산 과정'!$E$38*'계산 과정'!$E$32)/J488,"")</x:f>
        <x:v>0.5267536951606245</x:v>
      </x:c>
      <x:c r="L488" s="4" t="n">
        <x:f>IF(AND('계산 과정'!$L$6,J488&gt;0),'계산 과정'!$D$10*('계산 과정'!$C$39*(D488-'계산 과정'!$C$32)+'계산 과정'!$D$39*(E488-'계산 과정'!$D$32)-'계산 과정'!$E$39*'계산 과정'!$E$32)/J488,"")</x:f>
        <x:v>0.5977141626736177</x:v>
      </x:c>
      <x:c r="M488" s="17" t="n">
        <x:f>IF('계산 과정'!$L$6,IF(J488&lt;=0,0,IF(AND(ABS(K488)&lt;='계산 과정'!$D$11/2,ABS(L488)&lt;='계산 과정'!$D$12/2),1,0)),"")</x:f>
        <x:v>1</x:v>
      </x:c>
      <x:c r="N488" s="17" t="n">
        <x:f>IF('계산 과정'!$C$78,IF(AND(ISNUMBER(H488),ISNUMBER(I488),ABS(H488-'계산 과정'!$C$88)&lt;='계산 과정'!$D$23/2,ABS(I488-'계산 과정'!$C$89)&lt;='계산 과정'!$D$24/2),1,0),"")</x:f>
        <x:v>1</x:v>
      </x:c>
      <x:c r="O488" s="4" t="n">
        <x:f>IF('계산 과정'!$L$7,'계산 과정'!$C$49*('계산 과정'!$C$32-D488)+'계산 과정'!$D$49*('계산 과정'!$D$32-E488)+'계산 과정'!$E$49*'계산 과정'!$E$32,"")</x:f>
        <x:v>40.15477801929836</x:v>
      </x:c>
      <x:c r="P488" s="4" t="n">
        <x:f>IF(AND('계산 과정'!$L$7,O488&lt;&gt;0),('계산 과정'!$L$23-'계산 과정'!$C$49*D488-'계산 과정'!$D$49*E488)/O488,"")</x:f>
        <x:v>10.961454644519765</x:v>
      </x:c>
      <x:c r="Q488" s="4" t="str">
        <x:f>IF(AND(ISNUMBER(P488),P488&gt;1E-9,P488&lt;1-1E-9),'계산 과정'!$C$47*(D488-'계산 과정'!$C$50+P488*('계산 과정'!$C$32-D488))+'계산 과정'!$D$47*(E488-'계산 과정'!$D$50+P488*('계산 과정'!$D$32-E488))+'계산 과정'!$E$47*(0-'계산 과정'!$E$50+P488*('계산 과정'!$E$32-0)),"")</x:f>
      </x:c>
      <x:c r="R488" s="4" t="str">
        <x:f>IF(AND(ISNUMBER(P488),P488&gt;1E-9,P488&lt;1-1E-9),'계산 과정'!$C$48*(D488-'계산 과정'!$C$50+P488*('계산 과정'!$C$32-D488))+'계산 과정'!$D$48*(E488-'계산 과정'!$D$50+P488*('계산 과정'!$D$32-E488))+'계산 과정'!$E$48*(0-'계산 과정'!$E$50+P488*('계산 과정'!$E$32-0)),"")</x:f>
      </x:c>
      <x:c r="S488" s="17" t="n">
        <x:f>IF('계산 과정'!$C$78,IF(AND(ISNUMBER(Q488),ISNUMBER(R488),ABS(Q488-'계산 과정'!$C$88)&lt;='계산 과정'!$D$23/2,ABS(R488-'계산 과정'!$C$89)&lt;='계산 과정'!$D$24/2),1,0),"")</x:f>
        <x:v>0</x:v>
      </x:c>
      <x:c r="T488" s="4"/>
      <x:c r="U488" s="4"/>
      <x:c r="V488" s="4"/>
      <x:c r="W488" s="4" t="n">
        <x:f>IF('계산 과정'!$C$78,'계산 과정'!$C$88+0.6000000000000001*'계산 과정'!$C$90/2,"")</x:f>
        <x:v>137.33807667935233</x:v>
      </x:c>
      <x:c r="X488" s="4" t="str">
        <x:f>""</x:f>
      </x:c>
      <x:c r="Y488" s="4" t="str">
        <x:f>""</x:f>
      </x:c>
      <x:c r="Z488" s="4" t="n">
        <x:f>IF('계산 과정'!$C$78,'계산 과정'!$C$89+-1*'계산 과정'!$C$91/2,"")</x:f>
        <x:v>-250.5995703094169</x:v>
      </x:c>
    </x:row>
    <x:row r="489" ht="23" customHeight="1">
      <x:c r="A489" s="17" t="n">
        <x:f>ROW()-6</x:f>
        <x:v>483</x:v>
      </x:c>
      <x:c r="B489" s="4" t="n">
        <x:f>IF('계산 과정'!$L$5,'계산 과정'!$L$11*SQRT((A489+0.5)/'계산 과정'!$L$30),"")</x:f>
        <x:v>72.88271158812287</x:v>
      </x:c>
      <x:c r="C489" s="4" t="n">
        <x:f>A489*PI()*(3-SQRT(5))</x:f>
        <x:v>1159.1822399589394</x:v>
      </x:c>
      <x:c r="D489" s="4" t="n">
        <x:f>IF('계산 과정'!$L$5,B489*COS(C489),"")</x:f>
        <x:v>-72.72666711706106</x:v>
      </x:c>
      <x:c r="E489" s="4" t="n">
        <x:f>IF('계산 과정'!$L$5,B489*SIN(C489),"")</x:f>
        <x:v>4.7667114955375816</x:v>
      </x:c>
      <x:c r="F489" s="4" t="n">
        <x:f>IF('계산 과정'!$L$7,'계산 과정'!$L$22+'계산 과정'!$C$49*D489+'계산 과정'!$D$49*E489,"")</x:f>
        <x:v>701.4255194915705</x:v>
      </x:c>
      <x:c r="G489" s="4" t="n">
        <x:f>IF('계산 과정'!$L$7,IF(ABS(F489)&gt;=1E-12*MAX(1,SQRT((D489-'계산 과정'!$C$33)^2+(E489-'계산 과정'!$D$33)^2+'계산 과정'!$E$33^2)),('계산 과정'!$L$23-'계산 과정'!$C$49*D489-'계산 과정'!$D$49*E489)/F489,""),"")</x:f>
        <x:v>0.49695152346480664</x:v>
      </x:c>
      <x:c r="H489" s="4" t="n">
        <x:f>IF(AND(ISNUMBER(G489),G489&gt;0),('계산 과정'!$D$56+'계산 과정'!$D$57*D489+'계산 과정'!$D$58*E489)/F489,"")</x:f>
        <x:v>-76.9815097478758</x:v>
      </x:c>
      <x:c r="I489" s="4" t="n">
        <x:f>IF(AND(ISNUMBER(G489),G489&gt;0),('계산 과정'!$E$56+'계산 과정'!$E$57*D489+'계산 과정'!$E$58*E489)/F489,"")</x:f>
        <x:v>7.135536035162191</x:v>
      </x:c>
      <x:c r="J489" s="4" t="n">
        <x:f>IF('계산 과정'!$L$5,'계산 과정'!$D$6+'계산 과정'!$C$35*D489+'계산 과정'!$D$35*E489,"")</x:f>
        <x:v>701.4255194915705</x:v>
      </x:c>
      <x:c r="K489" s="4" t="n">
        <x:f>IF(AND('계산 과정'!$L$6,J489&gt;0),'계산 과정'!$D$10*('계산 과정'!$C$38*(D489-'계산 과정'!$C$32)+'계산 과정'!$D$38*(E489-'계산 과정'!$D$32)-'계산 과정'!$E$38*'계산 과정'!$E$32)/J489,"")</x:f>
        <x:v>-0.5865257885552434</x:v>
      </x:c>
      <x:c r="L489" s="4" t="n">
        <x:f>IF(AND('계산 과정'!$L$6,J489&gt;0),'계산 과정'!$D$10*('계산 과정'!$C$39*(D489-'계산 과정'!$C$32)+'계산 과정'!$D$39*(E489-'계산 과정'!$D$32)-'계산 과정'!$E$39*'계산 과정'!$E$32)/J489,"")</x:f>
        <x:v>0.05436598883933097</x:v>
      </x:c>
      <x:c r="M489" s="17" t="n">
        <x:f>IF('계산 과정'!$L$6,IF(J489&lt;=0,0,IF(AND(ABS(K489)&lt;='계산 과정'!$D$11/2,ABS(L489)&lt;='계산 과정'!$D$12/2),1,0)),"")</x:f>
        <x:v>1</x:v>
      </x:c>
      <x:c r="N489" s="17" t="n">
        <x:f>IF('계산 과정'!$C$78,IF(AND(ISNUMBER(H489),ISNUMBER(I489),ABS(H489-'계산 과정'!$C$88)&lt;='계산 과정'!$D$23/2,ABS(I489-'계산 과정'!$C$89)&lt;='계산 과정'!$D$24/2),1,0),"")</x:f>
        <x:v>1</x:v>
      </x:c>
      <x:c r="O489" s="4" t="n">
        <x:f>IF('계산 과정'!$L$7,'계산 과정'!$C$49*('계산 과정'!$C$32-D489)+'계산 과정'!$D$49*('계산 과정'!$D$32-E489)+'계산 과정'!$E$49*'계산 과정'!$E$32,"")</x:f>
        <x:v>-51.42551949157047</x:v>
      </x:c>
      <x:c r="P489" s="4" t="n">
        <x:f>IF(AND('계산 과정'!$L$7,O489&lt;&gt;0),('계산 과정'!$L$23-'계산 과정'!$C$49*D489-'계산 과정'!$D$49*E489)/O489,"")</x:f>
        <x:v>-6.778239363543363</x:v>
      </x:c>
      <x:c r="Q489" s="4" t="str">
        <x:f>IF(AND(ISNUMBER(P489),P489&gt;1E-9,P489&lt;1-1E-9),'계산 과정'!$C$47*(D489-'계산 과정'!$C$50+P489*('계산 과정'!$C$32-D489))+'계산 과정'!$D$47*(E489-'계산 과정'!$D$50+P489*('계산 과정'!$D$32-E489))+'계산 과정'!$E$47*(0-'계산 과정'!$E$50+P489*('계산 과정'!$E$32-0)),"")</x:f>
      </x:c>
      <x:c r="R489" s="4" t="str">
        <x:f>IF(AND(ISNUMBER(P489),P489&gt;1E-9,P489&lt;1-1E-9),'계산 과정'!$C$48*(D489-'계산 과정'!$C$50+P489*('계산 과정'!$C$32-D489))+'계산 과정'!$D$48*(E489-'계산 과정'!$D$50+P489*('계산 과정'!$D$32-E489))+'계산 과정'!$E$48*(0-'계산 과정'!$E$50+P489*('계산 과정'!$E$32-0)),"")</x:f>
      </x:c>
      <x:c r="S489" s="17" t="n">
        <x:f>IF('계산 과정'!$C$78,IF(AND(ISNUMBER(Q489),ISNUMBER(R489),ABS(Q489-'계산 과정'!$C$88)&lt;='계산 과정'!$D$23/2,ABS(R489-'계산 과정'!$C$89)&lt;='계산 과정'!$D$24/2),1,0),"")</x:f>
        <x:v>0</x:v>
      </x:c>
      <x:c r="T489" s="4"/>
      <x:c r="U489" s="4"/>
      <x:c r="V489" s="4"/>
      <x:c r="W489" s="4" t="n">
        <x:f>IF('계산 과정'!$C$78,'계산 과정'!$C$88+0.6399999999999999*'계산 과정'!$C$90/2,"")</x:f>
        <x:v>144.5790548409545</x:v>
      </x:c>
      <x:c r="X489" s="4" t="str">
        <x:f>""</x:f>
      </x:c>
      <x:c r="Y489" s="4" t="str">
        <x:f>""</x:f>
      </x:c>
      <x:c r="Z489" s="4" t="n">
        <x:f>IF('계산 과정'!$C$78,'계산 과정'!$C$89+-1*'계산 과정'!$C$91/2,"")</x:f>
        <x:v>-250.5995703094169</x:v>
      </x:c>
    </x:row>
    <x:row r="490" ht="23" customHeight="1">
      <x:c r="A490" s="17" t="n">
        <x:f>ROW()-6</x:f>
        <x:v>484</x:v>
      </x:c>
      <x:c r="B490" s="4" t="n">
        <x:f>IF('계산 과정'!$L$5,'계산 과정'!$L$11*SQRT((A490+0.5)/'계산 과정'!$L$30),"")</x:f>
        <x:v>72.95804257628147</x:v>
      </x:c>
      <x:c r="C490" s="4" t="n">
        <x:f>A490*PI()*(3-SQRT(5))</x:f>
        <x:v>1161.582203188668</x:v>
      </x:c>
      <x:c r="D490" s="4" t="n">
        <x:f>IF('계산 과정'!$L$5,B490*COS(C490),"")</x:f>
        <x:v>50.458613357256105</x:v>
      </x:c>
      <x:c r="E490" s="4" t="n">
        <x:f>IF('계산 과정'!$L$5,B490*SIN(C490),"")</x:f>
        <x:v>-52.695391777891125</x:v>
      </x:c>
      <x:c r="F490" s="4" t="n">
        <x:f>IF('계산 과정'!$L$7,'계산 과정'!$L$22+'계산 과정'!$C$49*D490+'계산 과정'!$D$49*E490,"")</x:f>
        <x:v>614.3203723258141</x:v>
      </x:c>
      <x:c r="G490" s="4" t="n">
        <x:f>IF('계산 과정'!$L$7,IF(ABS(F490)&gt;=1E-12*MAX(1,SQRT((D490-'계산 과정'!$C$33)^2+(E490-'계산 과정'!$D$33)^2+'계산 과정'!$E$33^2)),('계산 과정'!$L$23-'계산 과정'!$C$49*D490-'계산 과정'!$D$49*E490)/F490,""),"")</x:f>
        <x:v>0.7092058920733897</x:v>
      </x:c>
      <x:c r="H490" s="4" t="n">
        <x:f>IF(AND(ISNUMBER(G490),G490&gt;0),('계산 과정'!$D$56+'계산 과정'!$D$57*D490+'계산 과정'!$D$58*E490)/F490,"")</x:f>
        <x:v>60.9838298477032</x:v>
      </x:c>
      <x:c r="I490" s="4" t="n">
        <x:f>IF(AND(ISNUMBER(G490),G490&gt;0),('계산 과정'!$E$56+'계산 과정'!$E$57*D490+'계산 과정'!$E$58*E490)/F490,"")</x:f>
        <x:v>-90.06727411188716</x:v>
      </x:c>
      <x:c r="J490" s="4" t="n">
        <x:f>IF('계산 과정'!$L$5,'계산 과정'!$D$6+'계산 과정'!$C$35*D490+'계산 과정'!$D$35*E490,"")</x:f>
        <x:v>614.3203723258141</x:v>
      </x:c>
      <x:c r="K490" s="4" t="n">
        <x:f>IF(AND('계산 과정'!$L$6,J490&gt;0),'계산 과정'!$D$10*('계산 과정'!$C$38*(D490-'계산 과정'!$C$32)+'계산 과정'!$D$38*(E490-'계산 과정'!$D$32)-'계산 과정'!$E$38*'계산 과정'!$E$32)/J490,"")</x:f>
        <x:v>0.46463870360154896</x:v>
      </x:c>
      <x:c r="L490" s="4" t="n">
        <x:f>IF(AND('계산 과정'!$L$6,J490&gt;0),'계산 과정'!$D$10*('계산 과정'!$C$39*(D490-'계산 과정'!$C$32)+'계산 과정'!$D$39*(E490-'계산 과정'!$D$32)-'계산 과정'!$E$39*'계산 과정'!$E$32)/J490,"")</x:f>
        <x:v>-0.6862268503762832</x:v>
      </x:c>
      <x:c r="M490" s="17" t="n">
        <x:f>IF('계산 과정'!$L$6,IF(J490&lt;=0,0,IF(AND(ABS(K490)&lt;='계산 과정'!$D$11/2,ABS(L490)&lt;='계산 과정'!$D$12/2),1,0)),"")</x:f>
        <x:v>1</x:v>
      </x:c>
      <x:c r="N490" s="17" t="n">
        <x:f>IF('계산 과정'!$C$78,IF(AND(ISNUMBER(H490),ISNUMBER(I490),ABS(H490-'계산 과정'!$C$88)&lt;='계산 과정'!$D$23/2,ABS(I490-'계산 과정'!$C$89)&lt;='계산 과정'!$D$24/2),1,0),"")</x:f>
        <x:v>1</x:v>
      </x:c>
      <x:c r="O490" s="4" t="n">
        <x:f>IF('계산 과정'!$L$7,'계산 과정'!$C$49*('계산 과정'!$C$32-D490)+'계산 과정'!$D$49*('계산 과정'!$D$32-E490)+'계산 과정'!$E$49*'계산 과정'!$E$32,"")</x:f>
        <x:v>35.67962767418601</x:v>
      </x:c>
      <x:c r="P490" s="4" t="n">
        <x:f>IF(AND('계산 과정'!$L$7,O490&lt;&gt;0),('계산 과정'!$L$23-'계산 과정'!$C$49*D490-'계산 과정'!$D$49*E490)/O490,"")</x:f>
        <x:v>12.210879318939682</x:v>
      </x:c>
      <x:c r="Q490" s="4" t="str">
        <x:f>IF(AND(ISNUMBER(P490),P490&gt;1E-9,P490&lt;1-1E-9),'계산 과정'!$C$47*(D490-'계산 과정'!$C$50+P490*('계산 과정'!$C$32-D490))+'계산 과정'!$D$47*(E490-'계산 과정'!$D$50+P490*('계산 과정'!$D$32-E490))+'계산 과정'!$E$47*(0-'계산 과정'!$E$50+P490*('계산 과정'!$E$32-0)),"")</x:f>
      </x:c>
      <x:c r="R490" s="4" t="str">
        <x:f>IF(AND(ISNUMBER(P490),P490&gt;1E-9,P490&lt;1-1E-9),'계산 과정'!$C$48*(D490-'계산 과정'!$C$50+P490*('계산 과정'!$C$32-D490))+'계산 과정'!$D$48*(E490-'계산 과정'!$D$50+P490*('계산 과정'!$D$32-E490))+'계산 과정'!$E$48*(0-'계산 과정'!$E$50+P490*('계산 과정'!$E$32-0)),"")</x:f>
      </x:c>
      <x:c r="S490" s="17" t="n">
        <x:f>IF('계산 과정'!$C$78,IF(AND(ISNUMBER(Q490),ISNUMBER(R490),ABS(Q490-'계산 과정'!$C$88)&lt;='계산 과정'!$D$23/2,ABS(R490-'계산 과정'!$C$89)&lt;='계산 과정'!$D$24/2),1,0),"")</x:f>
        <x:v>0</x:v>
      </x:c>
      <x:c r="T490" s="4"/>
      <x:c r="U490" s="4"/>
      <x:c r="V490" s="4"/>
      <x:c r="W490" s="4" t="n">
        <x:f>IF('계산 과정'!$C$78,'계산 과정'!$C$88+0.6799999999999999*'계산 과정'!$C$90/2,"")</x:f>
        <x:v>151.82003300255673</x:v>
      </x:c>
      <x:c r="X490" s="4" t="str">
        <x:f>""</x:f>
      </x:c>
      <x:c r="Y490" s="4" t="str">
        <x:f>""</x:f>
      </x:c>
      <x:c r="Z490" s="4" t="n">
        <x:f>IF('계산 과정'!$C$78,'계산 과정'!$C$89+-1*'계산 과정'!$C$91/2,"")</x:f>
        <x:v>-250.5995703094169</x:v>
      </x:c>
    </x:row>
    <x:row r="491" ht="23" customHeight="1">
      <x:c r="A491" s="17" t="n">
        <x:f>ROW()-6</x:f>
        <x:v>485</x:v>
      </x:c>
      <x:c r="B491" s="4" t="n">
        <x:f>IF('계산 과정'!$L$5,'계산 과정'!$L$11*SQRT((A491+0.5)/'계산 과정'!$L$30),"")</x:f>
        <x:v>73.03329586351352</x:v>
      </x:c>
      <x:c r="C491" s="4" t="n">
        <x:f>A491*PI()*(3-SQRT(5))</x:f>
        <x:v>1163.9821664183967</x:v>
      </x:c>
      <x:c r="D491" s="4" t="n">
        <x:f>IF('계산 과정'!$L$5,B491*COS(C491),"")</x:f>
        <x:v>-1.6130475016222656</x:v>
      </x:c>
      <x:c r="E491" s="4" t="n">
        <x:f>IF('계산 과정'!$L$5,B491*SIN(C491),"")</x:f>
        <x:v>73.01548043014584</x:v>
      </x:c>
      <x:c r="F491" s="4" t="n">
        <x:f>IF('계산 과정'!$L$7,'계산 과정'!$L$22+'계산 과정'!$C$49*D491+'계산 과정'!$D$49*E491,"")</x:f>
        <x:v>651.1405968267732</x:v>
      </x:c>
      <x:c r="G491" s="4" t="n">
        <x:f>IF('계산 과정'!$L$7,IF(ABS(F491)&gt;=1E-12*MAX(1,SQRT((D491-'계산 과정'!$C$33)^2+(E491-'계산 과정'!$D$33)^2+'계산 과정'!$E$33^2)),('계산 과정'!$L$23-'계산 과정'!$C$49*D491-'계산 과정'!$D$49*E491)/F491,""),"")</x:f>
        <x:v>0.6125549614276897</x:v>
      </x:c>
      <x:c r="H491" s="4" t="n">
        <x:f>IF(AND(ISNUMBER(G491),G491&gt;0),('계산 과정'!$D$56+'계산 과정'!$D$57*D491+'계산 과정'!$D$58*E491)/F491,"")</x:f>
        <x:v>-1.8392750720017919</x:v>
      </x:c>
      <x:c r="I491" s="4" t="n">
        <x:f>IF(AND(ISNUMBER(G491),G491&gt;0),('계산 과정'!$E$56+'계산 과정'!$E$57*D491+'계산 과정'!$E$58*E491)/F491,"")</x:f>
        <x:v>117.74147522865806</x:v>
      </x:c>
      <x:c r="J491" s="4" t="n">
        <x:f>IF('계산 과정'!$L$5,'계산 과정'!$D$6+'계산 과정'!$C$35*D491+'계산 과정'!$D$35*E491,"")</x:f>
        <x:v>651.1405968267732</x:v>
      </x:c>
      <x:c r="K491" s="4" t="n">
        <x:f>IF(AND('계산 과정'!$L$6,J491&gt;0),'계산 과정'!$D$10*('계산 과정'!$C$38*(D491-'계산 과정'!$C$32)+'계산 과정'!$D$38*(E491-'계산 과정'!$D$32)-'계산 과정'!$E$38*'계산 과정'!$E$32)/J491,"")</x:f>
        <x:v>-0.014013524358107812</x:v>
      </x:c>
      <x:c r="L491" s="4" t="n">
        <x:f>IF(AND('계산 과정'!$L$6,J491&gt;0),'계산 과정'!$D$10*('계산 과정'!$C$39*(D491-'계산 과정'!$C$32)+'계산 과정'!$D$39*(E491-'계산 과정'!$D$32)-'계산 과정'!$E$39*'계산 과정'!$E$32)/J491,"")</x:f>
        <x:v>0.8970779065040614</x:v>
      </x:c>
      <x:c r="M491" s="17" t="n">
        <x:f>IF('계산 과정'!$L$6,IF(J491&lt;=0,0,IF(AND(ABS(K491)&lt;='계산 과정'!$D$11/2,ABS(L491)&lt;='계산 과정'!$D$12/2),1,0)),"")</x:f>
        <x:v>1</x:v>
      </x:c>
      <x:c r="N491" s="17" t="n">
        <x:f>IF('계산 과정'!$C$78,IF(AND(ISNUMBER(H491),ISNUMBER(I491),ABS(H491-'계산 과정'!$C$88)&lt;='계산 과정'!$D$23/2,ABS(I491-'계산 과정'!$C$89)&lt;='계산 과정'!$D$24/2),1,0),"")</x:f>
        <x:v>1</x:v>
      </x:c>
      <x:c r="O491" s="4" t="n">
        <x:f>IF('계산 과정'!$L$7,'계산 과정'!$C$49*('계산 과정'!$C$32-D491)+'계산 과정'!$D$49*('계산 과정'!$D$32-E491)+'계산 과정'!$E$49*'계산 과정'!$E$32,"")</x:f>
        <x:v>-1.1405968267729918</x:v>
      </x:c>
      <x:c r="P491" s="4" t="n">
        <x:f>IF(AND('계산 과정'!$L$7,O491&lt;&gt;0),('계산 과정'!$L$23-'계산 과정'!$C$49*D491-'계산 과정'!$D$49*E491)/O491,"")</x:f>
        <x:v>-349.6935935738932</x:v>
      </x:c>
      <x:c r="Q491" s="4" t="str">
        <x:f>IF(AND(ISNUMBER(P491),P491&gt;1E-9,P491&lt;1-1E-9),'계산 과정'!$C$47*(D491-'계산 과정'!$C$50+P491*('계산 과정'!$C$32-D491))+'계산 과정'!$D$47*(E491-'계산 과정'!$D$50+P491*('계산 과정'!$D$32-E491))+'계산 과정'!$E$47*(0-'계산 과정'!$E$50+P491*('계산 과정'!$E$32-0)),"")</x:f>
      </x:c>
      <x:c r="R491" s="4" t="str">
        <x:f>IF(AND(ISNUMBER(P491),P491&gt;1E-9,P491&lt;1-1E-9),'계산 과정'!$C$48*(D491-'계산 과정'!$C$50+P491*('계산 과정'!$C$32-D491))+'계산 과정'!$D$48*(E491-'계산 과정'!$D$50+P491*('계산 과정'!$D$32-E491))+'계산 과정'!$E$48*(0-'계산 과정'!$E$50+P491*('계산 과정'!$E$32-0)),"")</x:f>
      </x:c>
      <x:c r="S491" s="17" t="n">
        <x:f>IF('계산 과정'!$C$78,IF(AND(ISNUMBER(Q491),ISNUMBER(R491),ABS(Q491-'계산 과정'!$C$88)&lt;='계산 과정'!$D$23/2,ABS(R491-'계산 과정'!$C$89)&lt;='계산 과정'!$D$24/2),1,0),"")</x:f>
        <x:v>0</x:v>
      </x:c>
      <x:c r="T491" s="4"/>
      <x:c r="U491" s="4"/>
      <x:c r="V491" s="4"/>
      <x:c r="W491" s="4" t="n">
        <x:f>IF('계산 과정'!$C$78,'계산 과정'!$C$88+0.72*'계산 과정'!$C$90/2,"")</x:f>
        <x:v>159.06101116415897</x:v>
      </x:c>
      <x:c r="X491" s="4" t="str">
        <x:f>""</x:f>
      </x:c>
      <x:c r="Y491" s="4" t="str">
        <x:f>""</x:f>
      </x:c>
      <x:c r="Z491" s="4" t="n">
        <x:f>IF('계산 과정'!$C$78,'계산 과정'!$C$89+-1*'계산 과정'!$C$91/2,"")</x:f>
        <x:v>-250.5995703094169</x:v>
      </x:c>
    </x:row>
    <x:row r="492" ht="23" customHeight="1">
      <x:c r="A492" s="17" t="n">
        <x:f>ROW()-6</x:f>
        <x:v>486</x:v>
      </x:c>
      <x:c r="B492" s="4" t="n">
        <x:f>IF('계산 과정'!$L$5,'계산 과정'!$L$11*SQRT((A492+0.5)/'계산 과정'!$L$30),"")</x:f>
        <x:v>73.1084716897604</x:v>
      </x:c>
      <x:c r="C492" s="4" t="n">
        <x:f>A492*PI()*(3-SQRT(5))</x:f>
        <x:v>1166.3821296481253</x:v>
      </x:c>
      <x:c r="D492" s="4" t="n">
        <x:f>IF('계산 과정'!$L$5,B492*COS(C492),"")</x:f>
        <x:v>-48.181381184644195</x:v>
      </x:c>
      <x:c r="E492" s="4" t="n">
        <x:f>IF('계산 과정'!$L$5,B492*SIN(C492),"")</x:f>
        <x:v>-54.98548117414736</x:v>
      </x:c>
      <x:c r="F492" s="4" t="n">
        <x:f>IF('계산 과정'!$L$7,'계산 과정'!$L$22+'계산 과정'!$C$49*D492+'계산 과정'!$D$49*E492,"")</x:f>
        <x:v>684.0693813625959</x:v>
      </x:c>
      <x:c r="G492" s="4" t="n">
        <x:f>IF('계산 과정'!$L$7,IF(ABS(F492)&gt;=1E-12*MAX(1,SQRT((D492-'계산 과정'!$C$33)^2+(E492-'계산 과정'!$D$33)^2+'계산 과정'!$E$33^2)),('계산 과정'!$L$23-'계산 과정'!$C$49*D492-'계산 과정'!$D$49*E492)/F492,""),"")</x:f>
        <x:v>0.534932023866509</x:v>
      </x:c>
      <x:c r="H492" s="4" t="n">
        <x:f>IF(AND(ISNUMBER(G492),G492&gt;0),('계산 과정'!$D$56+'계산 과정'!$D$57*D492+'계산 과정'!$D$58*E492)/F492,"")</x:f>
        <x:v>-52.294184486769275</x:v>
      </x:c>
      <x:c r="I492" s="4" t="n">
        <x:f>IF(AND(ISNUMBER(G492),G492&gt;0),('계산 과정'!$E$56+'계산 과정'!$E$57*D492+'계산 과정'!$E$58*E492)/F492,"")</x:f>
        <x:v>-84.39897590190783</x:v>
      </x:c>
      <x:c r="J492" s="4" t="n">
        <x:f>IF('계산 과정'!$L$5,'계산 과정'!$D$6+'계산 과정'!$C$35*D492+'계산 과정'!$D$35*E492,"")</x:f>
        <x:v>684.0693813625959</x:v>
      </x:c>
      <x:c r="K492" s="4" t="n">
        <x:f>IF(AND('계산 과정'!$L$6,J492&gt;0),'계산 과정'!$D$10*('계산 과정'!$C$38*(D492-'계산 과정'!$C$32)+'계산 과정'!$D$38*(E492-'계산 과정'!$D$32)-'계산 과정'!$E$38*'계산 과정'!$E$32)/J492,"")</x:f>
        <x:v>-0.3984318818039554</x:v>
      </x:c>
      <x:c r="L492" s="4" t="n">
        <x:f>IF(AND('계산 과정'!$L$6,J492&gt;0),'계산 과정'!$D$10*('계산 과정'!$C$39*(D492-'계산 과정'!$C$32)+'계산 과정'!$D$39*(E492-'계산 과정'!$D$32)-'계산 과정'!$E$39*'계산 과정'!$E$32)/J492,"")</x:f>
        <x:v>-0.6430398163954882</x:v>
      </x:c>
      <x:c r="M492" s="17" t="n">
        <x:f>IF('계산 과정'!$L$6,IF(J492&lt;=0,0,IF(AND(ABS(K492)&lt;='계산 과정'!$D$11/2,ABS(L492)&lt;='계산 과정'!$D$12/2),1,0)),"")</x:f>
        <x:v>1</x:v>
      </x:c>
      <x:c r="N492" s="17" t="n">
        <x:f>IF('계산 과정'!$C$78,IF(AND(ISNUMBER(H492),ISNUMBER(I492),ABS(H492-'계산 과정'!$C$88)&lt;='계산 과정'!$D$23/2,ABS(I492-'계산 과정'!$C$89)&lt;='계산 과정'!$D$24/2),1,0),"")</x:f>
        <x:v>1</x:v>
      </x:c>
      <x:c r="O492" s="4" t="n">
        <x:f>IF('계산 과정'!$L$7,'계산 과정'!$C$49*('계산 과정'!$C$32-D492)+'계산 과정'!$D$49*('계산 과정'!$D$32-E492)+'계산 과정'!$E$49*'계산 과정'!$E$32,"")</x:f>
        <x:v>-34.06938136259572</x:v>
      </x:c>
      <x:c r="P492" s="4" t="n">
        <x:f>IF(AND('계산 과정'!$L$7,O492&lt;&gt;0),('계산 과정'!$L$23-'계산 과정'!$C$49*D492-'계산 과정'!$D$49*E492)/O492,"")</x:f>
        <x:v>-10.74074738084778</x:v>
      </x:c>
      <x:c r="Q492" s="4" t="str">
        <x:f>IF(AND(ISNUMBER(P492),P492&gt;1E-9,P492&lt;1-1E-9),'계산 과정'!$C$47*(D492-'계산 과정'!$C$50+P492*('계산 과정'!$C$32-D492))+'계산 과정'!$D$47*(E492-'계산 과정'!$D$50+P492*('계산 과정'!$D$32-E492))+'계산 과정'!$E$47*(0-'계산 과정'!$E$50+P492*('계산 과정'!$E$32-0)),"")</x:f>
      </x:c>
      <x:c r="R492" s="4" t="str">
        <x:f>IF(AND(ISNUMBER(P492),P492&gt;1E-9,P492&lt;1-1E-9),'계산 과정'!$C$48*(D492-'계산 과정'!$C$50+P492*('계산 과정'!$C$32-D492))+'계산 과정'!$D$48*(E492-'계산 과정'!$D$50+P492*('계산 과정'!$D$32-E492))+'계산 과정'!$E$48*(0-'계산 과정'!$E$50+P492*('계산 과정'!$E$32-0)),"")</x:f>
      </x:c>
      <x:c r="S492" s="17" t="n">
        <x:f>IF('계산 과정'!$C$78,IF(AND(ISNUMBER(Q492),ISNUMBER(R492),ABS(Q492-'계산 과정'!$C$88)&lt;='계산 과정'!$D$23/2,ABS(R492-'계산 과정'!$C$89)&lt;='계산 과정'!$D$24/2),1,0),"")</x:f>
        <x:v>0</x:v>
      </x:c>
      <x:c r="T492" s="4"/>
      <x:c r="U492" s="4"/>
      <x:c r="V492" s="4"/>
      <x:c r="W492" s="4" t="n">
        <x:f>IF('계산 과정'!$C$78,'계산 과정'!$C$88+0.76*'계산 과정'!$C$90/2,"")</x:f>
        <x:v>166.30198932576118</x:v>
      </x:c>
      <x:c r="X492" s="4" t="str">
        <x:f>""</x:f>
      </x:c>
      <x:c r="Y492" s="4" t="str">
        <x:f>""</x:f>
      </x:c>
      <x:c r="Z492" s="4" t="n">
        <x:f>IF('계산 과정'!$C$78,'계산 과정'!$C$89+-1*'계산 과정'!$C$91/2,"")</x:f>
        <x:v>-250.5995703094169</x:v>
      </x:c>
    </x:row>
    <x:row r="493" ht="23" customHeight="1">
      <x:c r="A493" s="17" t="n">
        <x:f>ROW()-6</x:f>
        <x:v>487</x:v>
      </x:c>
      <x:c r="B493" s="4" t="n">
        <x:f>IF('계산 과정'!$L$5,'계산 과정'!$L$11*SQRT((A493+0.5)/'계산 과정'!$L$30),"")</x:f>
        <x:v>73.18357029373122</x:v>
      </x:c>
      <x:c r="C493" s="4" t="n">
        <x:f>A493*PI()*(3-SQRT(5))</x:f>
        <x:v>1168.782092877854</x:v>
      </x:c>
      <x:c r="D493" s="4" t="n">
        <x:f>IF('계산 과정'!$L$5,B493*COS(C493),"")</x:f>
        <x:v>72.74425764241128</x:v>
      </x:c>
      <x:c r="E493" s="4" t="n">
        <x:f>IF('계산 과정'!$L$5,B493*SIN(C493),"")</x:f>
        <x:v>8.00674346985002</x:v>
      </x:c>
      <x:c r="F493" s="4" t="n">
        <x:f>IF('계산 과정'!$L$7,'계산 과정'!$L$22+'계산 과정'!$C$49*D493+'계산 과정'!$D$49*E493,"")</x:f>
        <x:v>598.5620421286696</x:v>
      </x:c>
      <x:c r="G493" s="4" t="n">
        <x:f>IF('계산 과정'!$L$7,IF(ABS(F493)&gt;=1E-12*MAX(1,SQRT((D493-'계산 과정'!$C$33)^2+(E493-'계산 과정'!$D$33)^2+'계산 과정'!$E$33^2)),('계산 과정'!$L$23-'계산 과정'!$C$49*D493-'계산 과정'!$D$49*E493)/F493,""),"")</x:f>
        <x:v>0.7542041193689445</x:v>
      </x:c>
      <x:c r="H493" s="4" t="n">
        <x:f>IF(AND(ISNUMBER(G493),G493&gt;0),('계산 과정'!$D$56+'계산 과정'!$D$57*D493+'계산 과정'!$D$58*E493)/F493,"")</x:f>
        <x:v>90.23267758981383</x:v>
      </x:c>
      <x:c r="I493" s="4" t="n">
        <x:f>IF(AND(ISNUMBER(G493),G493&gt;0),('계산 과정'!$E$56+'계산 과정'!$E$57*D493+'계산 과정'!$E$58*E493)/F493,"")</x:f>
        <x:v>14.045462377541304</x:v>
      </x:c>
      <x:c r="J493" s="4" t="n">
        <x:f>IF('계산 과정'!$L$5,'계산 과정'!$D$6+'계산 과정'!$C$35*D493+'계산 과정'!$D$35*E493,"")</x:f>
        <x:v>598.5620421286696</x:v>
      </x:c>
      <x:c r="K493" s="4" t="n">
        <x:f>IF(AND('계산 과정'!$L$6,J493&gt;0),'계산 과정'!$D$10*('계산 과정'!$C$38*(D493-'계산 과정'!$C$32)+'계산 과정'!$D$38*(E493-'계산 과정'!$D$32)-'계산 과정'!$E$38*'계산 과정'!$E$32)/J493,"")</x:f>
        <x:v>0.6874870673509633</x:v>
      </x:c>
      <x:c r="L493" s="4" t="n">
        <x:f>IF(AND('계산 과정'!$L$6,J493&gt;0),'계산 과정'!$D$10*('계산 과정'!$C$39*(D493-'계산 과정'!$C$32)+'계산 과정'!$D$39*(E493-'계산 과정'!$D$32)-'계산 과정'!$E$39*'계산 과정'!$E$32)/J493,"")</x:f>
        <x:v>0.10701304668602897</x:v>
      </x:c>
      <x:c r="M493" s="17" t="n">
        <x:f>IF('계산 과정'!$L$6,IF(J493&lt;=0,0,IF(AND(ABS(K493)&lt;='계산 과정'!$D$11/2,ABS(L493)&lt;='계산 과정'!$D$12/2),1,0)),"")</x:f>
        <x:v>1</x:v>
      </x:c>
      <x:c r="N493" s="17" t="n">
        <x:f>IF('계산 과정'!$C$78,IF(AND(ISNUMBER(H493),ISNUMBER(I493),ABS(H493-'계산 과정'!$C$88)&lt;='계산 과정'!$D$23/2,ABS(I493-'계산 과정'!$C$89)&lt;='계산 과정'!$D$24/2),1,0),"")</x:f>
        <x:v>1</x:v>
      </x:c>
      <x:c r="O493" s="4" t="n">
        <x:f>IF('계산 과정'!$L$7,'계산 과정'!$C$49*('계산 과정'!$C$32-D493)+'계산 과정'!$D$49*('계산 과정'!$D$32-E493)+'계산 과정'!$E$49*'계산 과정'!$E$32,"")</x:f>
        <x:v>51.43795787133047</x:v>
      </x:c>
      <x:c r="P493" s="4" t="n">
        <x:f>IF(AND('계산 과정'!$L$7,O493&lt;&gt;0),('계산 과정'!$L$23-'계산 과정'!$C$49*D493-'계산 과정'!$D$49*E493)/O493,"")</x:f>
        <x:v>8.776358482204529</x:v>
      </x:c>
      <x:c r="Q493" s="4" t="str">
        <x:f>IF(AND(ISNUMBER(P493),P493&gt;1E-9,P493&lt;1-1E-9),'계산 과정'!$C$47*(D493-'계산 과정'!$C$50+P493*('계산 과정'!$C$32-D493))+'계산 과정'!$D$47*(E493-'계산 과정'!$D$50+P493*('계산 과정'!$D$32-E493))+'계산 과정'!$E$47*(0-'계산 과정'!$E$50+P493*('계산 과정'!$E$32-0)),"")</x:f>
      </x:c>
      <x:c r="R493" s="4" t="str">
        <x:f>IF(AND(ISNUMBER(P493),P493&gt;1E-9,P493&lt;1-1E-9),'계산 과정'!$C$48*(D493-'계산 과정'!$C$50+P493*('계산 과정'!$C$32-D493))+'계산 과정'!$D$48*(E493-'계산 과정'!$D$50+P493*('계산 과정'!$D$32-E493))+'계산 과정'!$E$48*(0-'계산 과정'!$E$50+P493*('계산 과정'!$E$32-0)),"")</x:f>
      </x:c>
      <x:c r="S493" s="17" t="n">
        <x:f>IF('계산 과정'!$C$78,IF(AND(ISNUMBER(Q493),ISNUMBER(R493),ABS(Q493-'계산 과정'!$C$88)&lt;='계산 과정'!$D$23/2,ABS(R493-'계산 과정'!$C$89)&lt;='계산 과정'!$D$24/2),1,0),"")</x:f>
        <x:v>0</x:v>
      </x:c>
      <x:c r="T493" s="4"/>
      <x:c r="U493" s="4"/>
      <x:c r="V493" s="4"/>
      <x:c r="W493" s="4" t="n">
        <x:f>IF('계산 과정'!$C$78,'계산 과정'!$C$88+0.8*'계산 과정'!$C$90/2,"")</x:f>
        <x:v>173.5429674873634</x:v>
      </x:c>
      <x:c r="X493" s="4" t="str">
        <x:f>""</x:f>
      </x:c>
      <x:c r="Y493" s="4" t="str">
        <x:f>""</x:f>
      </x:c>
      <x:c r="Z493" s="4" t="n">
        <x:f>IF('계산 과정'!$C$78,'계산 과정'!$C$89+-1*'계산 과정'!$C$91/2,"")</x:f>
        <x:v>-250.5995703094169</x:v>
      </x:c>
    </x:row>
    <x:row r="494" ht="23" customHeight="1">
      <x:c r="A494" s="17" t="n">
        <x:f>ROW()-6</x:f>
        <x:v>488</x:v>
      </x:c>
      <x:c r="B494" s="4" t="n">
        <x:f>IF('계산 과정'!$L$5,'계산 과정'!$L$11*SQRT((A494+0.5)/'계산 과정'!$L$30),"")</x:f>
        <x:v>73.25859191291148</x:v>
      </x:c>
      <x:c r="C494" s="4" t="n">
        <x:f>A494*PI()*(3-SQRT(5))</x:f>
        <x:v>1171.1820561075826</x:v>
      </x:c>
      <x:c r="D494" s="4" t="n">
        <x:f>IF('계산 과정'!$L$5,B494*COS(C494),"")</x:f>
        <x:v>-59.10835999743943</x:v>
      </x:c>
      <x:c r="E494" s="4" t="n">
        <x:f>IF('계산 과정'!$L$5,B494*SIN(C494),"")</x:f>
        <x:v>43.27843651838179</x:v>
      </x:c>
      <x:c r="F494" s="4" t="n">
        <x:f>IF('계산 과정'!$L$7,'계산 과정'!$L$22+'계산 과정'!$C$49*D494+'계산 과정'!$D$49*E494,"")</x:f>
        <x:v>691.7959221790051</x:v>
      </x:c>
      <x:c r="G494" s="4" t="n">
        <x:f>IF('계산 과정'!$L$7,IF(ABS(F494)&gt;=1E-12*MAX(1,SQRT((D494-'계산 과정'!$C$33)^2+(E494-'계산 과정'!$D$33)^2+'계산 과정'!$E$33^2)),('계산 과정'!$L$23-'계산 과정'!$C$49*D494-'계산 과정'!$D$49*E494)/F494,""),"")</x:f>
        <x:v>0.5177886517352268</x:v>
      </x:c>
      <x:c r="H494" s="4" t="n">
        <x:f>IF(AND(ISNUMBER(G494),G494&gt;0),('계산 과정'!$D$56+'계산 과정'!$D$57*D494+'계산 과정'!$D$58*E494)/F494,"")</x:f>
        <x:v>-63.437376372102705</x:v>
      </x:c>
      <x:c r="I494" s="4" t="n">
        <x:f>IF(AND(ISNUMBER(G494),G494&gt;0),('계산 과정'!$E$56+'계산 과정'!$E$57*D494+'계산 과정'!$E$58*E494)/F494,"")</x:f>
        <x:v>65.6875198124433</x:v>
      </x:c>
      <x:c r="J494" s="4" t="n">
        <x:f>IF('계산 과정'!$L$5,'계산 과정'!$D$6+'계산 과정'!$C$35*D494+'계산 과정'!$D$35*E494,"")</x:f>
        <x:v>691.7959221790051</x:v>
      </x:c>
      <x:c r="K494" s="4" t="n">
        <x:f>IF(AND('계산 과정'!$L$6,J494&gt;0),'계산 과정'!$D$10*('계산 과정'!$C$38*(D494-'계산 과정'!$C$32)+'계산 과정'!$D$38*(E494-'계산 과정'!$D$32)-'계산 과정'!$E$38*'계산 과정'!$E$32)/J494,"")</x:f>
        <x:v>-0.48333239140649564</x:v>
      </x:c>
      <x:c r="L494" s="4" t="n">
        <x:f>IF(AND('계산 과정'!$L$6,J494&gt;0),'계산 과정'!$D$10*('계산 과정'!$C$39*(D494-'계산 과정'!$C$32)+'계산 과정'!$D$39*(E494-'계산 과정'!$D$32)-'계산 과정'!$E$39*'계산 과정'!$E$32)/J494,"")</x:f>
        <x:v>0.5004763414281395</x:v>
      </x:c>
      <x:c r="M494" s="17" t="n">
        <x:f>IF('계산 과정'!$L$6,IF(J494&lt;=0,0,IF(AND(ABS(K494)&lt;='계산 과정'!$D$11/2,ABS(L494)&lt;='계산 과정'!$D$12/2),1,0)),"")</x:f>
        <x:v>1</x:v>
      </x:c>
      <x:c r="N494" s="17" t="n">
        <x:f>IF('계산 과정'!$C$78,IF(AND(ISNUMBER(H494),ISNUMBER(I494),ABS(H494-'계산 과정'!$C$88)&lt;='계산 과정'!$D$23/2,ABS(I494-'계산 과정'!$C$89)&lt;='계산 과정'!$D$24/2),1,0),"")</x:f>
        <x:v>1</x:v>
      </x:c>
      <x:c r="O494" s="4" t="n">
        <x:f>IF('계산 과정'!$L$7,'계산 과정'!$C$49*('계산 과정'!$C$32-D494)+'계산 과정'!$D$49*('계산 과정'!$D$32-E494)+'계산 과정'!$E$49*'계산 과정'!$E$32,"")</x:f>
        <x:v>-41.79592217900495</x:v>
      </x:c>
      <x:c r="P494" s="4" t="n">
        <x:f>IF(AND('계산 과정'!$L$7,O494&lt;&gt;0),('계산 과정'!$L$23-'계산 과정'!$C$49*D494-'계산 과정'!$D$49*E494)/O494,"")</x:f>
        <x:v>-8.570311627217286</x:v>
      </x:c>
      <x:c r="Q494" s="4" t="str">
        <x:f>IF(AND(ISNUMBER(P494),P494&gt;1E-9,P494&lt;1-1E-9),'계산 과정'!$C$47*(D494-'계산 과정'!$C$50+P494*('계산 과정'!$C$32-D494))+'계산 과정'!$D$47*(E494-'계산 과정'!$D$50+P494*('계산 과정'!$D$32-E494))+'계산 과정'!$E$47*(0-'계산 과정'!$E$50+P494*('계산 과정'!$E$32-0)),"")</x:f>
      </x:c>
      <x:c r="R494" s="4" t="str">
        <x:f>IF(AND(ISNUMBER(P494),P494&gt;1E-9,P494&lt;1-1E-9),'계산 과정'!$C$48*(D494-'계산 과정'!$C$50+P494*('계산 과정'!$C$32-D494))+'계산 과정'!$D$48*(E494-'계산 과정'!$D$50+P494*('계산 과정'!$D$32-E494))+'계산 과정'!$E$48*(0-'계산 과정'!$E$50+P494*('계산 과정'!$E$32-0)),"")</x:f>
      </x:c>
      <x:c r="S494" s="17" t="n">
        <x:f>IF('계산 과정'!$C$78,IF(AND(ISNUMBER(Q494),ISNUMBER(R494),ABS(Q494-'계산 과정'!$C$88)&lt;='계산 과정'!$D$23/2,ABS(R494-'계산 과정'!$C$89)&lt;='계산 과정'!$D$24/2),1,0),"")</x:f>
        <x:v>0</x:v>
      </x:c>
      <x:c r="T494" s="4"/>
      <x:c r="U494" s="4"/>
      <x:c r="V494" s="4"/>
      <x:c r="W494" s="4" t="n">
        <x:f>IF('계산 과정'!$C$78,'계산 과정'!$C$88+0.8400000000000001*'계산 과정'!$C$90/2,"")</x:f>
        <x:v>180.78394564896564</x:v>
      </x:c>
      <x:c r="X494" s="4" t="str">
        <x:f>""</x:f>
      </x:c>
      <x:c r="Y494" s="4" t="str">
        <x:f>""</x:f>
      </x:c>
      <x:c r="Z494" s="4" t="n">
        <x:f>IF('계산 과정'!$C$78,'계산 과정'!$C$89+-1*'계산 과정'!$C$91/2,"")</x:f>
        <x:v>-250.5995703094169</x:v>
      </x:c>
    </x:row>
    <x:row r="495" ht="23" customHeight="1">
      <x:c r="A495" s="17" t="n">
        <x:f>ROW()-6</x:f>
        <x:v>489</x:v>
      </x:c>
      <x:c r="B495" s="4" t="n">
        <x:f>IF('계산 과정'!$L$5,'계산 과정'!$L$11*SQRT((A495+0.5)/'계산 과정'!$L$30),"")</x:f>
        <x:v>73.33353678357194</x:v>
      </x:c>
      <x:c r="C495" s="4" t="n">
        <x:f>A495*PI()*(3-SQRT(5))</x:f>
        <x:v>1173.5820193373113</x:v>
      </x:c>
      <x:c r="D495" s="4" t="n">
        <x:f>IF('계산 과정'!$L$5,B495*COS(C495),"")</x:f>
        <x:v>14.36518210094137</x:v>
      </x:c>
      <x:c r="E495" s="4" t="n">
        <x:f>IF('계산 과정'!$L$5,B495*SIN(C495),"")</x:f>
        <x:v>-71.91278857334274</x:v>
      </x:c>
      <x:c r="F495" s="4" t="n">
        <x:f>IF('계산 과정'!$L$7,'계산 과정'!$L$22+'계산 과정'!$C$49*D495+'계산 과정'!$D$49*E495,"")</x:f>
        <x:v>639.8422823234447</x:v>
      </x:c>
      <x:c r="G495" s="4" t="n">
        <x:f>IF('계산 과정'!$L$7,IF(ABS(F495)&gt;=1E-12*MAX(1,SQRT((D495-'계산 과정'!$C$33)^2+(E495-'계산 과정'!$D$33)^2+'계산 과정'!$E$33^2)),('계산 과정'!$L$23-'계산 과정'!$C$49*D495-'계산 과정'!$D$49*E495)/F495,""),"")</x:f>
        <x:v>0.6410294052264862</x:v>
      </x:c>
      <x:c r="H495" s="4" t="n">
        <x:f>IF(AND(ISNUMBER(G495),G495&gt;0),('계산 과정'!$D$56+'계산 과정'!$D$57*D495+'계산 과정'!$D$58*E495)/F495,"")</x:f>
        <x:v>16.66911339721593</x:v>
      </x:c>
      <x:c r="I495" s="4" t="n">
        <x:f>IF(AND(ISNUMBER(G495),G495&gt;0),('계산 과정'!$E$56+'계산 과정'!$E$57*D495+'계산 과정'!$E$58*E495)/F495,"")</x:f>
        <x:v>-118.01100066069071</x:v>
      </x:c>
      <x:c r="J495" s="4" t="n">
        <x:f>IF('계산 과정'!$L$5,'계산 과정'!$D$6+'계산 과정'!$C$35*D495+'계산 과정'!$D$35*E495,"")</x:f>
        <x:v>639.8422823234447</x:v>
      </x:c>
      <x:c r="K495" s="4" t="n">
        <x:f>IF(AND('계산 과정'!$L$6,J495&gt;0),'계산 과정'!$D$10*('계산 과정'!$C$38*(D495-'계산 과정'!$C$32)+'계산 과정'!$D$38*(E495-'계산 과정'!$D$32)-'계산 과정'!$E$38*'계산 과정'!$E$32)/J495,"")</x:f>
        <x:v>0.12700276874069355</x:v>
      </x:c>
      <x:c r="L495" s="4" t="n">
        <x:f>IF(AND('계산 과정'!$L$6,J495&gt;0),'계산 과정'!$D$10*('계산 과정'!$C$39*(D495-'계산 과정'!$C$32)+'계산 과정'!$D$39*(E495-'계산 과정'!$D$32)-'계산 과정'!$E$39*'계산 과정'!$E$32)/J495,"")</x:f>
        <x:v>-0.8991314336052625</x:v>
      </x:c>
      <x:c r="M495" s="17" t="n">
        <x:f>IF('계산 과정'!$L$6,IF(J495&lt;=0,0,IF(AND(ABS(K495)&lt;='계산 과정'!$D$11/2,ABS(L495)&lt;='계산 과정'!$D$12/2),1,0)),"")</x:f>
        <x:v>1</x:v>
      </x:c>
      <x:c r="N495" s="17" t="n">
        <x:f>IF('계산 과정'!$C$78,IF(AND(ISNUMBER(H495),ISNUMBER(I495),ABS(H495-'계산 과정'!$C$88)&lt;='계산 과정'!$D$23/2,ABS(I495-'계산 과정'!$C$89)&lt;='계산 과정'!$D$24/2),1,0),"")</x:f>
        <x:v>1</x:v>
      </x:c>
      <x:c r="O495" s="4" t="n">
        <x:f>IF('계산 과정'!$L$7,'계산 과정'!$C$49*('계산 과정'!$C$32-D495)+'계산 과정'!$D$49*('계산 과정'!$D$32-E495)+'계산 과정'!$E$49*'계산 과정'!$E$32,"")</x:f>
        <x:v>10.157717676555365</x:v>
      </x:c>
      <x:c r="P495" s="4" t="n">
        <x:f>IF(AND('계산 과정'!$L$7,O495&lt;&gt;0),('계산 과정'!$L$23-'계산 과정'!$C$49*D495-'계산 과정'!$D$49*E495)/O495,"")</x:f>
        <x:v>40.37892474834425</x:v>
      </x:c>
      <x:c r="Q495" s="4" t="str">
        <x:f>IF(AND(ISNUMBER(P495),P495&gt;1E-9,P495&lt;1-1E-9),'계산 과정'!$C$47*(D495-'계산 과정'!$C$50+P495*('계산 과정'!$C$32-D495))+'계산 과정'!$D$47*(E495-'계산 과정'!$D$50+P495*('계산 과정'!$D$32-E495))+'계산 과정'!$E$47*(0-'계산 과정'!$E$50+P495*('계산 과정'!$E$32-0)),"")</x:f>
      </x:c>
      <x:c r="R495" s="4" t="str">
        <x:f>IF(AND(ISNUMBER(P495),P495&gt;1E-9,P495&lt;1-1E-9),'계산 과정'!$C$48*(D495-'계산 과정'!$C$50+P495*('계산 과정'!$C$32-D495))+'계산 과정'!$D$48*(E495-'계산 과정'!$D$50+P495*('계산 과정'!$D$32-E495))+'계산 과정'!$E$48*(0-'계산 과정'!$E$50+P495*('계산 과정'!$E$32-0)),"")</x:f>
      </x:c>
      <x:c r="S495" s="17" t="n">
        <x:f>IF('계산 과정'!$C$78,IF(AND(ISNUMBER(Q495),ISNUMBER(R495),ABS(Q495-'계산 과정'!$C$88)&lt;='계산 과정'!$D$23/2,ABS(R495-'계산 과정'!$C$89)&lt;='계산 과정'!$D$24/2),1,0),"")</x:f>
        <x:v>0</x:v>
      </x:c>
      <x:c r="T495" s="4"/>
      <x:c r="U495" s="4"/>
      <x:c r="V495" s="4"/>
      <x:c r="W495" s="4" t="n">
        <x:f>IF('계산 과정'!$C$78,'계산 과정'!$C$88+0.8799999999999999*'계산 과정'!$C$90/2,"")</x:f>
        <x:v>188.02492381056783</x:v>
      </x:c>
      <x:c r="X495" s="4" t="str">
        <x:f>""</x:f>
      </x:c>
      <x:c r="Y495" s="4" t="str">
        <x:f>""</x:f>
      </x:c>
      <x:c r="Z495" s="4" t="n">
        <x:f>IF('계산 과정'!$C$78,'계산 과정'!$C$89+-1*'계산 과정'!$C$91/2,"")</x:f>
        <x:v>-250.5995703094169</x:v>
      </x:c>
    </x:row>
    <x:row r="496" ht="23" customHeight="1">
      <x:c r="A496" s="17" t="n">
        <x:f>ROW()-6</x:f>
        <x:v>490</x:v>
      </x:c>
      <x:c r="B496" s="4" t="n">
        <x:f>IF('계산 과정'!$L$5,'계산 과정'!$L$11*SQRT((A496+0.5)/'계산 과정'!$L$30),"")</x:f>
        <x:v>73.4084051407773</x:v>
      </x:c>
      <x:c r="C496" s="4" t="n">
        <x:f>A496*PI()*(3-SQRT(5))</x:f>
        <x:v>1175.98198256704</x:v>
      </x:c>
      <x:c r="D496" s="4" t="n">
        <x:f>IF('계산 과정'!$L$5,B496*COS(C496),"")</x:f>
        <x:v>38.02273143588469</x:v>
      </x:c>
      <x:c r="E496" s="4" t="n">
        <x:f>IF('계산 과정'!$L$5,B496*SIN(C496),"")</x:f>
        <x:v>62.7938359989823</x:v>
      </x:c>
      <x:c r="F496" s="4" t="n">
        <x:f>IF('계산 과정'!$L$7,'계산 과정'!$L$22+'계산 과정'!$C$49*D496+'계산 과정'!$D$49*E496,"")</x:f>
        <x:v>623.113868762451</x:v>
      </x:c>
      <x:c r="G496" s="4" t="n">
        <x:f>IF('계산 과정'!$L$7,IF(ABS(F496)&gt;=1E-12*MAX(1,SQRT((D496-'계산 과정'!$C$33)^2+(E496-'계산 과정'!$D$33)^2+'계산 과정'!$E$33^2)),('계산 과정'!$L$23-'계산 과정'!$C$49*D496-'계산 과정'!$D$49*E496)/F496,""),"")</x:f>
        <x:v>0.6850852671364474</x:v>
      </x:c>
      <x:c r="H496" s="4" t="n">
        <x:f>IF(AND(ISNUMBER(G496),G496&gt;0),('계산 과정'!$D$56+'계산 과정'!$D$57*D496+'계산 과정'!$D$58*E496)/F496,"")</x:f>
        <x:v>45.30542363869069</x:v>
      </x:c>
      <x:c r="I496" s="4" t="n">
        <x:f>IF(AND(ISNUMBER(G496),G496&gt;0),('계산 과정'!$E$56+'계산 과정'!$E$57*D496+'계산 과정'!$E$58*E496)/F496,"")</x:f>
        <x:v>105.81296790886736</x:v>
      </x:c>
      <x:c r="J496" s="4" t="n">
        <x:f>IF('계산 과정'!$L$5,'계산 과정'!$D$6+'계산 과정'!$C$35*D496+'계산 과정'!$D$35*E496,"")</x:f>
        <x:v>623.113868762451</x:v>
      </x:c>
      <x:c r="K496" s="4" t="n">
        <x:f>IF(AND('계산 과정'!$L$6,J496&gt;0),'계산 과정'!$D$10*('계산 과정'!$C$38*(D496-'계산 과정'!$C$32)+'계산 과정'!$D$38*(E496-'계산 과정'!$D$32)-'계산 과정'!$E$38*'계산 과정'!$E$32)/J496,"")</x:f>
        <x:v>0.34518418010431073</x:v>
      </x:c>
      <x:c r="L496" s="4" t="n">
        <x:f>IF(AND('계산 과정'!$L$6,J496&gt;0),'계산 과정'!$D$10*('계산 과정'!$C$39*(D496-'계산 과정'!$C$32)+'계산 과정'!$D$39*(E496-'계산 과정'!$D$32)-'계산 과정'!$E$39*'계산 과정'!$E$32)/J496,"")</x:f>
        <x:v>0.8061940412104179</x:v>
      </x:c>
      <x:c r="M496" s="17" t="n">
        <x:f>IF('계산 과정'!$L$6,IF(J496&lt;=0,0,IF(AND(ABS(K496)&lt;='계산 과정'!$D$11/2,ABS(L496)&lt;='계산 과정'!$D$12/2),1,0)),"")</x:f>
        <x:v>1</x:v>
      </x:c>
      <x:c r="N496" s="17" t="n">
        <x:f>IF('계산 과정'!$C$78,IF(AND(ISNUMBER(H496),ISNUMBER(I496),ABS(H496-'계산 과정'!$C$88)&lt;='계산 과정'!$D$23/2,ABS(I496-'계산 과정'!$C$89)&lt;='계산 과정'!$D$24/2),1,0),"")</x:f>
        <x:v>1</x:v>
      </x:c>
      <x:c r="O496" s="4" t="n">
        <x:f>IF('계산 과정'!$L$7,'계산 과정'!$C$49*('계산 과정'!$C$32-D496)+'계산 과정'!$D$49*('계산 과정'!$D$32-E496)+'계산 과정'!$E$49*'계산 과정'!$E$32,"")</x:f>
        <x:v>26.88613123754908</x:v>
      </x:c>
      <x:c r="P496" s="4" t="n">
        <x:f>IF(AND('계산 과정'!$L$7,O496&lt;&gt;0),('계산 과정'!$L$23-'계산 과정'!$C$49*D496-'계산 과정'!$D$49*E496)/O496,"")</x:f>
        <x:v>15.877558859839278</x:v>
      </x:c>
      <x:c r="Q496" s="4" t="str">
        <x:f>IF(AND(ISNUMBER(P496),P496&gt;1E-9,P496&lt;1-1E-9),'계산 과정'!$C$47*(D496-'계산 과정'!$C$50+P496*('계산 과정'!$C$32-D496))+'계산 과정'!$D$47*(E496-'계산 과정'!$D$50+P496*('계산 과정'!$D$32-E496))+'계산 과정'!$E$47*(0-'계산 과정'!$E$50+P496*('계산 과정'!$E$32-0)),"")</x:f>
      </x:c>
      <x:c r="R496" s="4" t="str">
        <x:f>IF(AND(ISNUMBER(P496),P496&gt;1E-9,P496&lt;1-1E-9),'계산 과정'!$C$48*(D496-'계산 과정'!$C$50+P496*('계산 과정'!$C$32-D496))+'계산 과정'!$D$48*(E496-'계산 과정'!$D$50+P496*('계산 과정'!$D$32-E496))+'계산 과정'!$E$48*(0-'계산 과정'!$E$50+P496*('계산 과정'!$E$32-0)),"")</x:f>
      </x:c>
      <x:c r="S496" s="17" t="n">
        <x:f>IF('계산 과정'!$C$78,IF(AND(ISNUMBER(Q496),ISNUMBER(R496),ABS(Q496-'계산 과정'!$C$88)&lt;='계산 과정'!$D$23/2,ABS(R496-'계산 과정'!$C$89)&lt;='계산 과정'!$D$24/2),1,0),"")</x:f>
        <x:v>0</x:v>
      </x:c>
      <x:c r="T496" s="4"/>
      <x:c r="U496" s="4"/>
      <x:c r="V496" s="4"/>
      <x:c r="W496" s="4" t="n">
        <x:f>IF('계산 과정'!$C$78,'계산 과정'!$C$88+0.9199999999999999*'계산 과정'!$C$90/2,"")</x:f>
        <x:v>195.26590197217004</x:v>
      </x:c>
      <x:c r="X496" s="4" t="str">
        <x:f>""</x:f>
      </x:c>
      <x:c r="Y496" s="4" t="str">
        <x:f>""</x:f>
      </x:c>
      <x:c r="Z496" s="4" t="n">
        <x:f>IF('계산 과정'!$C$78,'계산 과정'!$C$89+-1*'계산 과정'!$C$91/2,"")</x:f>
        <x:v>-250.5995703094169</x:v>
      </x:c>
    </x:row>
    <x:row r="497" ht="23" customHeight="1">
      <x:c r="A497" s="17" t="n">
        <x:f>ROW()-6</x:f>
        <x:v>491</x:v>
      </x:c>
      <x:c r="B497" s="4" t="n">
        <x:f>IF('계산 과정'!$L$5,'계산 과정'!$L$11*SQRT((A497+0.5)/'계산 과정'!$L$30),"")</x:f>
        <x:v>73.48319721839476</x:v>
      </x:c>
      <x:c r="C497" s="4" t="n">
        <x:f>A497*PI()*(3-SQRT(5))</x:f>
        <x:v>1178.3819457967686</x:v>
      </x:c>
      <x:c r="D497" s="4" t="n">
        <x:f>IF('계산 과정'!$L$5,B497*COS(C497),"")</x:f>
        <x:v>-70.52518695648368</x:v>
      </x:c>
      <x:c r="E497" s="4" t="n">
        <x:f>IF('계산 과정'!$L$5,B497*SIN(C497),"")</x:f>
        <x:v>-20.63924122128828</x:v>
      </x:c>
      <x:c r="F497" s="4" t="n">
        <x:f>IF('계산 과정'!$L$7,'계산 과정'!$L$22+'계산 과정'!$C$49*D497+'계산 과정'!$D$49*E497,"")</x:f>
        <x:v>699.8688379413786</x:v>
      </x:c>
      <x:c r="G497" s="4" t="n">
        <x:f>IF('계산 과정'!$L$7,IF(ABS(F497)&gt;=1E-12*MAX(1,SQRT((D497-'계산 과정'!$C$33)^2+(E497-'계산 과정'!$D$33)^2+'계산 과정'!$E$33^2)),('계산 과정'!$L$23-'계산 과정'!$C$49*D497-'계산 과정'!$D$49*E497)/F497,""),"")</x:f>
        <x:v>0.5002811142277898</x:v>
      </x:c>
      <x:c r="H497" s="4" t="n">
        <x:f>IF(AND(ISNUMBER(G497),G497&gt;0),('계산 과정'!$D$56+'계산 과정'!$D$57*D497+'계산 과정'!$D$58*E497)/F497,"")</x:f>
        <x:v>-74.81727575193678</x:v>
      </x:c>
      <x:c r="I497" s="4" t="n">
        <x:f>IF(AND(ISNUMBER(G497),G497&gt;0),('계산 과정'!$E$56+'계산 과정'!$E$57*D497+'계산 과정'!$E$58*E497)/F497,"")</x:f>
        <x:v>-30.96466381629051</x:v>
      </x:c>
      <x:c r="J497" s="4" t="n">
        <x:f>IF('계산 과정'!$L$5,'계산 과정'!$D$6+'계산 과정'!$C$35*D497+'계산 과정'!$D$35*E497,"")</x:f>
        <x:v>699.8688379413786</x:v>
      </x:c>
      <x:c r="K497" s="4" t="n">
        <x:f>IF(AND('계산 과정'!$L$6,J497&gt;0),'계산 과정'!$D$10*('계산 과정'!$C$38*(D497-'계산 과정'!$C$32)+'계산 과정'!$D$38*(E497-'계산 과정'!$D$32)-'계산 과정'!$E$38*'계산 과정'!$E$32)/J497,"")</x:f>
        <x:v>-0.5700363866814223</x:v>
      </x:c>
      <x:c r="L497" s="4" t="n">
        <x:f>IF(AND('계산 과정'!$L$6,J497&gt;0),'계산 과정'!$D$10*('계산 과정'!$C$39*(D497-'계산 과정'!$C$32)+'계산 과정'!$D$39*(E497-'계산 과정'!$D$32)-'계산 과정'!$E$39*'계산 과정'!$E$32)/J497,"")</x:f>
        <x:v>-0.2359212481241182</x:v>
      </x:c>
      <x:c r="M497" s="17" t="n">
        <x:f>IF('계산 과정'!$L$6,IF(J497&lt;=0,0,IF(AND(ABS(K497)&lt;='계산 과정'!$D$11/2,ABS(L497)&lt;='계산 과정'!$D$12/2),1,0)),"")</x:f>
        <x:v>1</x:v>
      </x:c>
      <x:c r="N497" s="17" t="n">
        <x:f>IF('계산 과정'!$C$78,IF(AND(ISNUMBER(H497),ISNUMBER(I497),ABS(H497-'계산 과정'!$C$88)&lt;='계산 과정'!$D$23/2,ABS(I497-'계산 과정'!$C$89)&lt;='계산 과정'!$D$24/2),1,0),"")</x:f>
        <x:v>1</x:v>
      </x:c>
      <x:c r="O497" s="4" t="n">
        <x:f>IF('계산 과정'!$L$7,'계산 과정'!$C$49*('계산 과정'!$C$32-D497)+'계산 과정'!$D$49*('계산 과정'!$D$32-E497)+'계산 과정'!$E$49*'계산 과정'!$E$32,"")</x:f>
        <x:v>-49.86883794137856</x:v>
      </x:c>
      <x:c r="P497" s="4" t="n">
        <x:f>IF(AND('계산 과정'!$L$7,O497&lt;&gt;0),('계산 과정'!$L$23-'계산 과정'!$C$49*D497-'계산 과정'!$D$49*E497)/O497,"")</x:f>
        <x:v>-7.021041125325697</x:v>
      </x:c>
      <x:c r="Q497" s="4" t="str">
        <x:f>IF(AND(ISNUMBER(P497),P497&gt;1E-9,P497&lt;1-1E-9),'계산 과정'!$C$47*(D497-'계산 과정'!$C$50+P497*('계산 과정'!$C$32-D497))+'계산 과정'!$D$47*(E497-'계산 과정'!$D$50+P497*('계산 과정'!$D$32-E497))+'계산 과정'!$E$47*(0-'계산 과정'!$E$50+P497*('계산 과정'!$E$32-0)),"")</x:f>
      </x:c>
      <x:c r="R497" s="4" t="str">
        <x:f>IF(AND(ISNUMBER(P497),P497&gt;1E-9,P497&lt;1-1E-9),'계산 과정'!$C$48*(D497-'계산 과정'!$C$50+P497*('계산 과정'!$C$32-D497))+'계산 과정'!$D$48*(E497-'계산 과정'!$D$50+P497*('계산 과정'!$D$32-E497))+'계산 과정'!$E$48*(0-'계산 과정'!$E$50+P497*('계산 과정'!$E$32-0)),"")</x:f>
      </x:c>
      <x:c r="S497" s="17" t="n">
        <x:f>IF('계산 과정'!$C$78,IF(AND(ISNUMBER(Q497),ISNUMBER(R497),ABS(Q497-'계산 과정'!$C$88)&lt;='계산 과정'!$D$23/2,ABS(R497-'계산 과정'!$C$89)&lt;='계산 과정'!$D$24/2),1,0),"")</x:f>
        <x:v>0</x:v>
      </x:c>
      <x:c r="T497" s="4"/>
      <x:c r="U497" s="4"/>
      <x:c r="V497" s="4"/>
      <x:c r="W497" s="4" t="n">
        <x:f>IF('계산 과정'!$C$78,'계산 과정'!$C$88+0.96*'계산 과정'!$C$90/2,"")</x:f>
        <x:v>202.50688013377228</x:v>
      </x:c>
      <x:c r="X497" s="4" t="str">
        <x:f>""</x:f>
      </x:c>
      <x:c r="Y497" s="4" t="str">
        <x:f>""</x:f>
      </x:c>
      <x:c r="Z497" s="4" t="n">
        <x:f>IF('계산 과정'!$C$78,'계산 과정'!$C$89+-1*'계산 과정'!$C$91/2,"")</x:f>
        <x:v>-250.5995703094169</x:v>
      </x:c>
    </x:row>
    <x:row r="498" ht="23" customHeight="1">
      <x:c r="A498" s="17" t="n">
        <x:f>ROW()-6</x:f>
        <x:v>492</x:v>
      </x:c>
      <x:c r="B498" s="4" t="n">
        <x:f>IF('계산 과정'!$L$5,'계산 과정'!$L$11*SQRT((A498+0.5)/'계산 과정'!$L$30),"")</x:f>
        <x:v>73.55791324910257</x:v>
      </x:c>
      <x:c r="C498" s="4" t="n">
        <x:f>A498*PI()*(3-SQRT(5))</x:f>
        <x:v>1180.7819090264973</x:v>
      </x:c>
      <x:c r="D498" s="4" t="n">
        <x:f>IF('계산 과정'!$L$5,B498*COS(C498),"")</x:f>
        <x:v>66.01173615264457</x:v>
      </x:c>
      <x:c r="E498" s="4" t="n">
        <x:f>IF('계산 과정'!$L$5,B498*SIN(C498),"")</x:f>
        <x:v>-32.45330941023021</x:v>
      </x:c>
      <x:c r="F498" s="4" t="n">
        <x:f>IF('계산 과정'!$L$7,'계산 과정'!$L$22+'계산 과정'!$C$49*D498+'계산 과정'!$D$49*E498,"")</x:f>
        <x:v>603.3226537285678</x:v>
      </x:c>
      <x:c r="G498" s="4" t="n">
        <x:f>IF('계산 과정'!$L$7,IF(ABS(F498)&gt;=1E-12*MAX(1,SQRT((D498-'계산 과정'!$C$33)^2+(E498-'계산 과정'!$D$33)^2+'계산 과정'!$E$33^2)),('계산 과정'!$L$23-'계산 과정'!$C$49*D498-'계산 과정'!$D$49*E498)/F498,""),"")</x:f>
        <x:v>0.740362297869873</x:v>
      </x:c>
      <x:c r="H498" s="4" t="n">
        <x:f>IF(AND(ISNUMBER(G498),G498&gt;0),('계산 과정'!$D$56+'계산 과정'!$D$57*D498+'계산 과정'!$D$58*E498)/F498,"")</x:f>
        <x:v>81.23549361541731</x:v>
      </x:c>
      <x:c r="I498" s="4" t="n">
        <x:f>IF(AND(ISNUMBER(G498),G498&gt;0),('계산 과정'!$E$56+'계산 과정'!$E$57*D498+'계산 과정'!$E$58*E498)/F498,"")</x:f>
        <x:v>-56.48051613867022</x:v>
      </x:c>
      <x:c r="J498" s="4" t="n">
        <x:f>IF('계산 과정'!$L$5,'계산 과정'!$D$6+'계산 과정'!$C$35*D498+'계산 과정'!$D$35*E498,"")</x:f>
        <x:v>603.3226537285678</x:v>
      </x:c>
      <x:c r="K498" s="4" t="n">
        <x:f>IF(AND('계산 과정'!$L$6,J498&gt;0),'계산 과정'!$D$10*('계산 과정'!$C$38*(D498-'계산 과정'!$C$32)+'계산 과정'!$D$38*(E498-'계산 과정'!$D$32)-'계산 과정'!$E$38*'계산 과정'!$E$32)/J498,"")</x:f>
        <x:v>0.6189370942127042</x:v>
      </x:c>
      <x:c r="L498" s="4" t="n">
        <x:f>IF(AND('계산 과정'!$L$6,J498&gt;0),'계산 과정'!$D$10*('계산 과정'!$C$39*(D498-'계산 과정'!$C$32)+'계산 과정'!$D$39*(E498-'계산 과정'!$D$32)-'계산 과정'!$E$39*'계산 과정'!$E$32)/J498,"")</x:f>
        <x:v>-0.430327742008916</x:v>
      </x:c>
      <x:c r="M498" s="17" t="n">
        <x:f>IF('계산 과정'!$L$6,IF(J498&lt;=0,0,IF(AND(ABS(K498)&lt;='계산 과정'!$D$11/2,ABS(L498)&lt;='계산 과정'!$D$12/2),1,0)),"")</x:f>
        <x:v>1</x:v>
      </x:c>
      <x:c r="N498" s="17" t="n">
        <x:f>IF('계산 과정'!$C$78,IF(AND(ISNUMBER(H498),ISNUMBER(I498),ABS(H498-'계산 과정'!$C$88)&lt;='계산 과정'!$D$23/2,ABS(I498-'계산 과정'!$C$89)&lt;='계산 과정'!$D$24/2),1,0),"")</x:f>
        <x:v>1</x:v>
      </x:c>
      <x:c r="O498" s="4" t="n">
        <x:f>IF('계산 과정'!$L$7,'계산 과정'!$C$49*('계산 과정'!$C$32-D498)+'계산 과정'!$D$49*('계산 과정'!$D$32-E498)+'계산 과정'!$E$49*'계산 과정'!$E$32,"")</x:f>
        <x:v>46.67734627143227</x:v>
      </x:c>
      <x:c r="P498" s="4" t="n">
        <x:f>IF(AND('계산 과정'!$L$7,O498&lt;&gt;0),('계산 과정'!$L$23-'계산 과정'!$C$49*D498-'계산 과정'!$D$49*E498)/O498,"")</x:f>
        <x:v>9.569467460167292</x:v>
      </x:c>
      <x:c r="Q498" s="4" t="str">
        <x:f>IF(AND(ISNUMBER(P498),P498&gt;1E-9,P498&lt;1-1E-9),'계산 과정'!$C$47*(D498-'계산 과정'!$C$50+P498*('계산 과정'!$C$32-D498))+'계산 과정'!$D$47*(E498-'계산 과정'!$D$50+P498*('계산 과정'!$D$32-E498))+'계산 과정'!$E$47*(0-'계산 과정'!$E$50+P498*('계산 과정'!$E$32-0)),"")</x:f>
      </x:c>
      <x:c r="R498" s="4" t="str">
        <x:f>IF(AND(ISNUMBER(P498),P498&gt;1E-9,P498&lt;1-1E-9),'계산 과정'!$C$48*(D498-'계산 과정'!$C$50+P498*('계산 과정'!$C$32-D498))+'계산 과정'!$D$48*(E498-'계산 과정'!$D$50+P498*('계산 과정'!$D$32-E498))+'계산 과정'!$E$48*(0-'계산 과정'!$E$50+P498*('계산 과정'!$E$32-0)),"")</x:f>
      </x:c>
      <x:c r="S498" s="17" t="n">
        <x:f>IF('계산 과정'!$C$78,IF(AND(ISNUMBER(Q498),ISNUMBER(R498),ABS(Q498-'계산 과정'!$C$88)&lt;='계산 과정'!$D$23/2,ABS(R498-'계산 과정'!$C$89)&lt;='계산 과정'!$D$24/2),1,0),"")</x:f>
        <x:v>0</x:v>
      </x:c>
      <x:c r="T498" s="4"/>
      <x:c r="U498" s="4"/>
      <x:c r="V498" s="4"/>
      <x:c r="W498" s="4" t="n">
        <x:f>IF('계산 과정'!$C$78,'계산 과정'!$C$88+1*'계산 과정'!$C$90/2,"")</x:f>
        <x:v>209.7478582953745</x:v>
      </x:c>
      <x:c r="X498" s="4" t="str">
        <x:f>""</x:f>
      </x:c>
      <x:c r="Y498" s="4" t="str">
        <x:f>""</x:f>
      </x:c>
      <x:c r="Z498" s="4" t="n">
        <x:f>IF('계산 과정'!$C$78,'계산 과정'!$C$89+-1*'계산 과정'!$C$91/2,"")</x:f>
        <x:v>-250.5995703094169</x:v>
      </x:c>
    </x:row>
    <x:row r="499" ht="23" customHeight="1">
      <x:c r="A499" s="17" t="n">
        <x:f>ROW()-6</x:f>
        <x:v>493</x:v>
      </x:c>
      <x:c r="B499" s="4" t="n">
        <x:f>IF('계산 과정'!$L$5,'계산 과정'!$L$11*SQRT((A499+0.5)/'계산 과정'!$L$30),"")</x:f>
        <x:v>73.63255346439847</x:v>
      </x:c>
      <x:c r="C499" s="4" t="n">
        <x:f>A499*PI()*(3-SQRT(5))</x:f>
        <x:v>1183.181872256226</x:v>
      </x:c>
      <x:c r="D499" s="4" t="n">
        <x:f>IF('계산 과정'!$L$5,B499*COS(C499),"")</x:f>
        <x:v>-26.78025104250176</x:v>
      </x:c>
      <x:c r="E499" s="4" t="n">
        <x:f>IF('계산 과정'!$L$5,B499*SIN(C499),"")</x:f>
        <x:v>68.58987595693758</x:v>
      </x:c>
      <x:c r="F499" s="4" t="n">
        <x:f>IF('계산 과정'!$L$7,'계산 과정'!$L$22+'계산 과정'!$C$49*D499+'계산 과정'!$D$49*E499,"")</x:f>
        <x:v>668.9364971140311</x:v>
      </x:c>
      <x:c r="G499" s="4" t="n">
        <x:f>IF('계산 과정'!$L$7,IF(ABS(F499)&gt;=1E-12*MAX(1,SQRT((D499-'계산 과정'!$C$33)^2+(E499-'계산 과정'!$D$33)^2+'계산 과정'!$E$33^2)),('계산 과정'!$L$23-'계산 과정'!$C$49*D499-'계산 과정'!$D$49*E499)/F499,""),"")</x:f>
        <x:v>0.5696557214772666</x:v>
      </x:c>
      <x:c r="H499" s="4" t="n">
        <x:f>IF(AND(ISNUMBER(G499),G499&gt;0),('계산 과정'!$D$56+'계산 과정'!$D$57*D499+'계산 과정'!$D$58*E499)/F499,"")</x:f>
        <x:v>-29.723781039776785</x:v>
      </x:c>
      <x:c r="I499" s="4" t="n">
        <x:f>IF(AND(ISNUMBER(G499),G499&gt;0),('계산 과정'!$E$56+'계산 과정'!$E$57*D499+'계산 과정'!$E$58*E499)/F499,"")</x:f>
        <x:v>107.66249123122307</x:v>
      </x:c>
      <x:c r="J499" s="4" t="n">
        <x:f>IF('계산 과정'!$L$5,'계산 과정'!$D$6+'계산 과정'!$C$35*D499+'계산 과정'!$D$35*E499,"")</x:f>
        <x:v>668.9364971140311</x:v>
      </x:c>
      <x:c r="K499" s="4" t="n">
        <x:f>IF(AND('계산 과정'!$L$6,J499&gt;0),'계산 과정'!$D$10*('계산 과정'!$C$38*(D499-'계산 과정'!$C$32)+'계산 과정'!$D$38*(E499-'계산 과정'!$D$32)-'계산 과정'!$E$38*'계산 과정'!$E$32)/J499,"")</x:f>
        <x:v>-0.22646690316020263</x:v>
      </x:c>
      <x:c r="L499" s="4" t="n">
        <x:f>IF(AND('계산 과정'!$L$6,J499&gt;0),'계산 과정'!$D$10*('계산 과정'!$C$39*(D499-'계산 과정'!$C$32)+'계산 과정'!$D$39*(E499-'계산 과정'!$D$32)-'계산 과정'!$E$39*'계산 과정'!$E$32)/J499,"")</x:f>
        <x:v>0.8202856474759853</x:v>
      </x:c>
      <x:c r="M499" s="17" t="n">
        <x:f>IF('계산 과정'!$L$6,IF(J499&lt;=0,0,IF(AND(ABS(K499)&lt;='계산 과정'!$D$11/2,ABS(L499)&lt;='계산 과정'!$D$12/2),1,0)),"")</x:f>
        <x:v>1</x:v>
      </x:c>
      <x:c r="N499" s="17" t="n">
        <x:f>IF('계산 과정'!$C$78,IF(AND(ISNUMBER(H499),ISNUMBER(I499),ABS(H499-'계산 과정'!$C$88)&lt;='계산 과정'!$D$23/2,ABS(I499-'계산 과정'!$C$89)&lt;='계산 과정'!$D$24/2),1,0),"")</x:f>
        <x:v>1</x:v>
      </x:c>
      <x:c r="O499" s="4" t="n">
        <x:f>IF('계산 과정'!$L$7,'계산 과정'!$C$49*('계산 과정'!$C$32-D499)+'계산 과정'!$D$49*('계산 과정'!$D$32-E499)+'계산 과정'!$E$49*'계산 과정'!$E$32,"")</x:f>
        <x:v>-18.936497114030942</x:v>
      </x:c>
      <x:c r="P499" s="4" t="n">
        <x:f>IF(AND('계산 과정'!$L$7,O499&lt;&gt;0),('계산 과정'!$L$23-'계산 과정'!$C$49*D499-'계산 과정'!$D$49*E499)/O499,"")</x:f>
        <x:v>-20.123230848413932</x:v>
      </x:c>
      <x:c r="Q499" s="4" t="str">
        <x:f>IF(AND(ISNUMBER(P499),P499&gt;1E-9,P499&lt;1-1E-9),'계산 과정'!$C$47*(D499-'계산 과정'!$C$50+P499*('계산 과정'!$C$32-D499))+'계산 과정'!$D$47*(E499-'계산 과정'!$D$50+P499*('계산 과정'!$D$32-E499))+'계산 과정'!$E$47*(0-'계산 과정'!$E$50+P499*('계산 과정'!$E$32-0)),"")</x:f>
      </x:c>
      <x:c r="R499" s="4" t="str">
        <x:f>IF(AND(ISNUMBER(P499),P499&gt;1E-9,P499&lt;1-1E-9),'계산 과정'!$C$48*(D499-'계산 과정'!$C$50+P499*('계산 과정'!$C$32-D499))+'계산 과정'!$D$48*(E499-'계산 과정'!$D$50+P499*('계산 과정'!$D$32-E499))+'계산 과정'!$E$48*(0-'계산 과정'!$E$50+P499*('계산 과정'!$E$32-0)),"")</x:f>
      </x:c>
      <x:c r="S499" s="17" t="n">
        <x:f>IF('계산 과정'!$C$78,IF(AND(ISNUMBER(Q499),ISNUMBER(R499),ABS(Q499-'계산 과정'!$C$88)&lt;='계산 과정'!$D$23/2,ABS(R499-'계산 과정'!$C$89)&lt;='계산 과정'!$D$24/2),1,0),"")</x:f>
        <x:v>0</x:v>
      </x:c>
      <x:c r="T499" s="4"/>
      <x:c r="U499" s="4"/>
      <x:c r="V499" s="4"/>
      <x:c r="W499" s="4" t="n">
        <x:f>IF('계산 과정'!$C$78,'계산 과정'!$C$88+1*'계산 과정'!$C$90/2,"")</x:f>
        <x:v>209.7478582953745</x:v>
      </x:c>
      <x:c r="X499" s="4" t="str">
        <x:f>""</x:f>
      </x:c>
      <x:c r="Y499" s="4" t="str">
        <x:f>""</x:f>
      </x:c>
      <x:c r="Z499" s="4" t="n">
        <x:f>IF('계산 과정'!$C$78,'계산 과정'!$C$89+-0.96*'계산 과정'!$C$91/2,"")</x:f>
        <x:v>-240.5755874970402</x:v>
      </x:c>
    </x:row>
    <x:row r="500" ht="23" customHeight="1">
      <x:c r="A500" s="17" t="n">
        <x:f>ROW()-6</x:f>
        <x:v>494</x:v>
      </x:c>
      <x:c r="B500" s="4" t="n">
        <x:f>IF('계산 과정'!$L$5,'계산 과정'!$L$11*SQRT((A500+0.5)/'계산 과정'!$L$30),"")</x:f>
        <x:v>73.70711809460806</x:v>
      </x:c>
      <x:c r="C500" s="4" t="n">
        <x:f>A500*PI()*(3-SQRT(5))</x:f>
        <x:v>1185.5818354859546</x:v>
      </x:c>
      <x:c r="D500" s="4" t="n">
        <x:f>IF('계산 과정'!$L$5,B500*COS(C500),"")</x:f>
        <x:v>-26.61179322373863</x:v>
      </x:c>
      <x:c r="E500" s="4" t="n">
        <x:f>IF('계산 과정'!$L$5,B500*SIN(C500),"")</x:f>
        <x:v>-68.73537458419412</x:v>
      </x:c>
      <x:c r="F500" s="4" t="n">
        <x:f>IF('계산 과정'!$L$7,'계산 과정'!$L$22+'계산 과정'!$C$49*D500+'계산 과정'!$D$49*E500,"")</x:f>
        <x:v>668.8173794480398</x:v>
      </x:c>
      <x:c r="G500" s="4" t="n">
        <x:f>IF('계산 과정'!$L$7,IF(ABS(F500)&gt;=1E-12*MAX(1,SQRT((D500-'계산 과정'!$C$33)^2+(E500-'계산 과정'!$D$33)^2+'계산 과정'!$E$33^2)),('계산 과정'!$L$23-'계산 과정'!$C$49*D500-'계산 과정'!$D$49*E500)/F500,""),"")</x:f>
        <x:v>0.5699352801904487</x:v>
      </x:c>
      <x:c r="H500" s="4" t="n">
        <x:f>IF(AND(ISNUMBER(G500),G500&gt;0),('계산 과정'!$D$56+'계산 과정'!$D$57*D500+'계산 과정'!$D$58*E500)/F500,"")</x:f>
        <x:v>-29.542067876208474</x:v>
      </x:c>
      <x:c r="I500" s="4" t="n">
        <x:f>IF(AND(ISNUMBER(G500),G500&gt;0),('계산 과정'!$E$56+'계산 과정'!$E$57*D500+'계산 과정'!$E$58*E500)/F500,"")</x:f>
        <x:v>-107.91008955683223</x:v>
      </x:c>
      <x:c r="J500" s="4" t="n">
        <x:f>IF('계산 과정'!$L$5,'계산 과정'!$D$6+'계산 과정'!$C$35*D500+'계산 과정'!$D$35*E500,"")</x:f>
        <x:v>668.8173794480398</x:v>
      </x:c>
      <x:c r="K500" s="4" t="n">
        <x:f>IF(AND('계산 과정'!$L$6,J500&gt;0),'계산 과정'!$D$10*('계산 과정'!$C$38*(D500-'계산 과정'!$C$32)+'계산 과정'!$D$38*(E500-'계산 과정'!$D$32)-'계산 과정'!$E$38*'계산 과정'!$E$32)/J500,"")</x:f>
        <x:v>-0.22508242191396827</x:v>
      </x:c>
      <x:c r="L500" s="4" t="n">
        <x:f>IF(AND('계산 과정'!$L$6,J500&gt;0),'계산 과정'!$D$10*('계산 과정'!$C$39*(D500-'계산 과정'!$C$32)+'계산 과정'!$D$39*(E500-'계산 과정'!$D$32)-'계산 과정'!$E$39*'계산 과정'!$E$32)/J500,"")</x:f>
        <x:v>-0.8221721109091981</x:v>
      </x:c>
      <x:c r="M500" s="17" t="n">
        <x:f>IF('계산 과정'!$L$6,IF(J500&lt;=0,0,IF(AND(ABS(K500)&lt;='계산 과정'!$D$11/2,ABS(L500)&lt;='계산 과정'!$D$12/2),1,0)),"")</x:f>
        <x:v>1</x:v>
      </x:c>
      <x:c r="N500" s="17" t="n">
        <x:f>IF('계산 과정'!$C$78,IF(AND(ISNUMBER(H500),ISNUMBER(I500),ABS(H500-'계산 과정'!$C$88)&lt;='계산 과정'!$D$23/2,ABS(I500-'계산 과정'!$C$89)&lt;='계산 과정'!$D$24/2),1,0),"")</x:f>
        <x:v>1</x:v>
      </x:c>
      <x:c r="O500" s="4" t="n">
        <x:f>IF('계산 과정'!$L$7,'계산 과정'!$C$49*('계산 과정'!$C$32-D500)+'계산 과정'!$D$49*('계산 과정'!$D$32-E500)+'계산 과정'!$E$49*'계산 과정'!$E$32,"")</x:f>
        <x:v>-18.817379448039674</x:v>
      </x:c>
      <x:c r="P500" s="4" t="n">
        <x:f>IF(AND('계산 과정'!$L$7,O500&lt;&gt;0),('계산 과정'!$L$23-'계산 과정'!$C$49*D500-'계산 과정'!$D$49*E500)/O500,"")</x:f>
        <x:v>-20.256945001535293</x:v>
      </x:c>
      <x:c r="Q500" s="4" t="str">
        <x:f>IF(AND(ISNUMBER(P500),P500&gt;1E-9,P500&lt;1-1E-9),'계산 과정'!$C$47*(D500-'계산 과정'!$C$50+P500*('계산 과정'!$C$32-D500))+'계산 과정'!$D$47*(E500-'계산 과정'!$D$50+P500*('계산 과정'!$D$32-E500))+'계산 과정'!$E$47*(0-'계산 과정'!$E$50+P500*('계산 과정'!$E$32-0)),"")</x:f>
      </x:c>
      <x:c r="R500" s="4" t="str">
        <x:f>IF(AND(ISNUMBER(P500),P500&gt;1E-9,P500&lt;1-1E-9),'계산 과정'!$C$48*(D500-'계산 과정'!$C$50+P500*('계산 과정'!$C$32-D500))+'계산 과정'!$D$48*(E500-'계산 과정'!$D$50+P500*('계산 과정'!$D$32-E500))+'계산 과정'!$E$48*(0-'계산 과정'!$E$50+P500*('계산 과정'!$E$32-0)),"")</x:f>
      </x:c>
      <x:c r="S500" s="17" t="n">
        <x:f>IF('계산 과정'!$C$78,IF(AND(ISNUMBER(Q500),ISNUMBER(R500),ABS(Q500-'계산 과정'!$C$88)&lt;='계산 과정'!$D$23/2,ABS(R500-'계산 과정'!$C$89)&lt;='계산 과정'!$D$24/2),1,0),"")</x:f>
        <x:v>0</x:v>
      </x:c>
      <x:c r="T500" s="4"/>
      <x:c r="U500" s="4"/>
      <x:c r="V500" s="4"/>
      <x:c r="W500" s="4" t="n">
        <x:f>IF('계산 과정'!$C$78,'계산 과정'!$C$88+1*'계산 과정'!$C$90/2,"")</x:f>
        <x:v>209.7478582953745</x:v>
      </x:c>
      <x:c r="X500" s="4" t="str">
        <x:f>""</x:f>
      </x:c>
      <x:c r="Y500" s="4" t="str">
        <x:f>""</x:f>
      </x:c>
      <x:c r="Z500" s="4" t="n">
        <x:f>IF('계산 과정'!$C$78,'계산 과정'!$C$89+-0.92*'계산 과정'!$C$91/2,"")</x:f>
        <x:v>-230.55160468466354</x:v>
      </x:c>
    </x:row>
    <x:row r="501" ht="23" customHeight="1">
      <x:c r="A501" s="17" t="n">
        <x:f>ROW()-6</x:f>
        <x:v>495</x:v>
      </x:c>
      <x:c r="B501" s="4" t="n">
        <x:f>IF('계산 과정'!$L$5,'계산 과정'!$L$11*SQRT((A501+0.5)/'계산 과정'!$L$30),"")</x:f>
        <x:v>73.78160736889309</x:v>
      </x:c>
      <x:c r="C501" s="4" t="n">
        <x:f>A501*PI()*(3-SQRT(5))</x:f>
        <x:v>1187.9817987156832</x:v>
      </x:c>
      <x:c r="D501" s="4" t="n">
        <x:f>IF('계산 과정'!$L$5,B501*COS(C501),"")</x:f>
        <x:v>66.11954023450053</x:v>
      </x:c>
      <x:c r="E501" s="4" t="n">
        <x:f>IF('계산 과정'!$L$5,B501*SIN(C501),"")</x:f>
        <x:v>32.7403724034374</x:v>
      </x:c>
      <x:c r="F501" s="4" t="n">
        <x:f>IF('계산 과정'!$L$7,'계산 과정'!$L$22+'계산 과정'!$C$49*D501+'계산 과정'!$D$49*E501,"")</x:f>
        <x:v>603.2464247312479</x:v>
      </x:c>
      <x:c r="G501" s="4" t="n">
        <x:f>IF('계산 과정'!$L$7,IF(ABS(F501)&gt;=1E-12*MAX(1,SQRT((D501-'계산 과정'!$C$33)^2+(E501-'계산 과정'!$D$33)^2+'계산 과정'!$E$33^2)),('계산 과정'!$L$23-'계산 과정'!$C$49*D501-'계산 과정'!$D$49*E501)/F501,""),"")</x:f>
        <x:v>0.7405822180674924</x:v>
      </x:c>
      <x:c r="H501" s="4" t="n">
        <x:f>IF(AND(ISNUMBER(G501),G501&gt;0),('계산 과정'!$D$56+'계산 과정'!$D$57*D501+'계산 과정'!$D$58*E501)/F501,"")</x:f>
        <x:v>81.37844174386987</x:v>
      </x:c>
      <x:c r="I501" s="4" t="n">
        <x:f>IF(AND(ISNUMBER(G501),G501&gt;0),('계산 과정'!$E$56+'계산 과정'!$E$57*D501+'계산 과정'!$E$58*E501)/F501,"")</x:f>
        <x:v>56.98731001833079</x:v>
      </x:c>
      <x:c r="J501" s="4" t="n">
        <x:f>IF('계산 과정'!$L$5,'계산 과정'!$D$6+'계산 과정'!$C$35*D501+'계산 과정'!$D$35*E501,"")</x:f>
        <x:v>603.2464247312479</x:v>
      </x:c>
      <x:c r="K501" s="4" t="n">
        <x:f>IF(AND('계산 과정'!$L$6,J501&gt;0),'계산 과정'!$D$10*('계산 과정'!$C$38*(D501-'계산 과정'!$C$32)+'계산 과정'!$D$38*(E501-'계산 과정'!$D$32)-'계산 과정'!$E$38*'계산 과정'!$E$32)/J501,"")</x:f>
        <x:v>0.6200262228104374</x:v>
      </x:c>
      <x:c r="L501" s="4" t="n">
        <x:f>IF(AND('계산 과정'!$L$6,J501&gt;0),'계산 과정'!$D$10*('계산 과정'!$C$39*(D501-'계산 과정'!$C$32)+'계산 과정'!$D$39*(E501-'계산 과정'!$D$32)-'계산 과정'!$E$39*'계산 과정'!$E$32)/J501,"")</x:f>
        <x:v>0.43418902871109166</x:v>
      </x:c>
      <x:c r="M501" s="17" t="n">
        <x:f>IF('계산 과정'!$L$6,IF(J501&lt;=0,0,IF(AND(ABS(K501)&lt;='계산 과정'!$D$11/2,ABS(L501)&lt;='계산 과정'!$D$12/2),1,0)),"")</x:f>
        <x:v>1</x:v>
      </x:c>
      <x:c r="N501" s="17" t="n">
        <x:f>IF('계산 과정'!$C$78,IF(AND(ISNUMBER(H501),ISNUMBER(I501),ABS(H501-'계산 과정'!$C$88)&lt;='계산 과정'!$D$23/2,ABS(I501-'계산 과정'!$C$89)&lt;='계산 과정'!$D$24/2),1,0),"")</x:f>
        <x:v>1</x:v>
      </x:c>
      <x:c r="O501" s="4" t="n">
        <x:f>IF('계산 과정'!$L$7,'계산 과정'!$C$49*('계산 과정'!$C$32-D501)+'계산 과정'!$D$49*('계산 과정'!$D$32-E501)+'계산 과정'!$E$49*'계산 과정'!$E$32,"")</x:f>
        <x:v>46.75357526875217</x:v>
      </x:c>
      <x:c r="P501" s="4" t="n">
        <x:f>IF(AND('계산 과정'!$L$7,O501&lt;&gt;0),('계산 과정'!$L$23-'계산 과정'!$C$49*D501-'계산 과정'!$D$49*E501)/O501,"")</x:f>
        <x:v>9.555495439668345</x:v>
      </x:c>
      <x:c r="Q501" s="4" t="str">
        <x:f>IF(AND(ISNUMBER(P501),P501&gt;1E-9,P501&lt;1-1E-9),'계산 과정'!$C$47*(D501-'계산 과정'!$C$50+P501*('계산 과정'!$C$32-D501))+'계산 과정'!$D$47*(E501-'계산 과정'!$D$50+P501*('계산 과정'!$D$32-E501))+'계산 과정'!$E$47*(0-'계산 과정'!$E$50+P501*('계산 과정'!$E$32-0)),"")</x:f>
      </x:c>
      <x:c r="R501" s="4" t="str">
        <x:f>IF(AND(ISNUMBER(P501),P501&gt;1E-9,P501&lt;1-1E-9),'계산 과정'!$C$48*(D501-'계산 과정'!$C$50+P501*('계산 과정'!$C$32-D501))+'계산 과정'!$D$48*(E501-'계산 과정'!$D$50+P501*('계산 과정'!$D$32-E501))+'계산 과정'!$E$48*(0-'계산 과정'!$E$50+P501*('계산 과정'!$E$32-0)),"")</x:f>
      </x:c>
      <x:c r="S501" s="17" t="n">
        <x:f>IF('계산 과정'!$C$78,IF(AND(ISNUMBER(Q501),ISNUMBER(R501),ABS(Q501-'계산 과정'!$C$88)&lt;='계산 과정'!$D$23/2,ABS(R501-'계산 과정'!$C$89)&lt;='계산 과정'!$D$24/2),1,0),"")</x:f>
        <x:v>0</x:v>
      </x:c>
      <x:c r="T501" s="4"/>
      <x:c r="U501" s="4"/>
      <x:c r="V501" s="4"/>
      <x:c r="W501" s="4" t="n">
        <x:f>IF('계산 과정'!$C$78,'계산 과정'!$C$88+1*'계산 과정'!$C$90/2,"")</x:f>
        <x:v>209.7478582953745</x:v>
      </x:c>
      <x:c r="X501" s="4" t="str">
        <x:f>""</x:f>
      </x:c>
      <x:c r="Y501" s="4" t="str">
        <x:f>""</x:f>
      </x:c>
      <x:c r="Z501" s="4" t="n">
        <x:f>IF('계산 과정'!$C$78,'계산 과정'!$C$89+-0.88*'계산 과정'!$C$91/2,"")</x:f>
        <x:v>-220.52762187228686</x:v>
      </x:c>
    </x:row>
    <x:row r="502" ht="23" customHeight="1">
      <x:c r="A502" s="17" t="n">
        <x:f>ROW()-6</x:f>
        <x:v>496</x:v>
      </x:c>
      <x:c r="B502" s="4" t="n">
        <x:f>IF('계산 과정'!$L$5,'계산 과정'!$L$11*SQRT((A502+0.5)/'계산 과정'!$L$30),"")</x:f>
        <x:v>73.85602151525967</x:v>
      </x:c>
      <x:c r="C502" s="4" t="n">
        <x:f>A502*PI()*(3-SQRT(5))</x:f>
        <x:v>1190.3817619454119</x:v>
      </x:c>
      <x:c r="D502" s="4" t="n">
        <x:f>IF('계산 과정'!$L$5,B502*COS(C502),"")</x:f>
        <x:v>-70.9417728657392</x:v>
      </x:c>
      <x:c r="E502" s="4" t="n">
        <x:f>IF('계산 과정'!$L$5,B502*SIN(C502),"")</x:f>
        <x:v>20.54207333080982</x:v>
      </x:c>
      <x:c r="F502" s="4" t="n">
        <x:f>IF('계산 과정'!$L$7,'계산 과정'!$L$22+'계산 과정'!$C$49*D502+'계산 과정'!$D$49*E502,"")</x:f>
        <x:v>700.16340866276</x:v>
      </x:c>
      <x:c r="G502" s="4" t="n">
        <x:f>IF('계산 과정'!$L$7,IF(ABS(F502)&gt;=1E-12*MAX(1,SQRT((D502-'계산 과정'!$C$33)^2+(E502-'계산 과정'!$D$33)^2+'계산 과정'!$E$33^2)),('계산 과정'!$L$23-'계산 과정'!$C$49*D502-'계산 과정'!$D$49*E502)/F502,""),"")</x:f>
        <x:v>0.499649920302736</x:v>
      </x:c>
      <x:c r="H502" s="4" t="n">
        <x:f>IF(AND(ISNUMBER(G502),G502&gt;0),('계산 과정'!$D$56+'계산 과정'!$D$57*D502+'계산 과정'!$D$58*E502)/F502,"")</x:f>
        <x:v>-75.22755180322173</x:v>
      </x:c>
      <x:c r="I502" s="4" t="n">
        <x:f>IF(AND(ISNUMBER(G502),G502&gt;0),('계산 과정'!$E$56+'계산 과정'!$E$57*D502+'계산 과정'!$E$58*E502)/F502,"")</x:f>
        <x:v>30.8059186334019</x:v>
      </x:c>
      <x:c r="J502" s="4" t="n">
        <x:f>IF('계산 과정'!$L$5,'계산 과정'!$D$6+'계산 과정'!$C$35*D502+'계산 과정'!$D$35*E502,"")</x:f>
        <x:v>700.16340866276</x:v>
      </x:c>
      <x:c r="K502" s="4" t="n">
        <x:f>IF(AND('계산 과정'!$L$6,J502&gt;0),'계산 과정'!$D$10*('계산 과정'!$C$38*(D502-'계산 과정'!$C$32)+'계산 과정'!$D$38*(E502-'계산 과정'!$D$32)-'계산 과정'!$E$38*'계산 과정'!$E$32)/J502,"")</x:f>
        <x:v>-0.5731622994531169</x:v>
      </x:c>
      <x:c r="L502" s="4" t="n">
        <x:f>IF(AND('계산 과정'!$L$6,J502&gt;0),'계산 과정'!$D$10*('계산 과정'!$C$39*(D502-'계산 과정'!$C$32)+'계산 과정'!$D$39*(E502-'계산 과정'!$D$32)-'계산 과정'!$E$39*'계산 과정'!$E$32)/J502,"")</x:f>
        <x:v>0.23471176101639546</x:v>
      </x:c>
      <x:c r="M502" s="17" t="n">
        <x:f>IF('계산 과정'!$L$6,IF(J502&lt;=0,0,IF(AND(ABS(K502)&lt;='계산 과정'!$D$11/2,ABS(L502)&lt;='계산 과정'!$D$12/2),1,0)),"")</x:f>
        <x:v>1</x:v>
      </x:c>
      <x:c r="N502" s="17" t="n">
        <x:f>IF('계산 과정'!$C$78,IF(AND(ISNUMBER(H502),ISNUMBER(I502),ABS(H502-'계산 과정'!$C$88)&lt;='계산 과정'!$D$23/2,ABS(I502-'계산 과정'!$C$89)&lt;='계산 과정'!$D$24/2),1,0),"")</x:f>
        <x:v>1</x:v>
      </x:c>
      <x:c r="O502" s="4" t="n">
        <x:f>IF('계산 과정'!$L$7,'계산 과정'!$C$49*('계산 과정'!$C$32-D502)+'계산 과정'!$D$49*('계산 과정'!$D$32-E502)+'계산 과정'!$E$49*'계산 과정'!$E$32,"")</x:f>
        <x:v>-50.16340866275988</x:v>
      </x:c>
      <x:c r="P502" s="4" t="n">
        <x:f>IF(AND('계산 과정'!$L$7,O502&lt;&gt;0),('계산 과정'!$L$23-'계산 과정'!$C$49*D502-'계산 과정'!$D$49*E502)/O502,"")</x:f>
        <x:v>-6.973939783261786</x:v>
      </x:c>
      <x:c r="Q502" s="4" t="str">
        <x:f>IF(AND(ISNUMBER(P502),P502&gt;1E-9,P502&lt;1-1E-9),'계산 과정'!$C$47*(D502-'계산 과정'!$C$50+P502*('계산 과정'!$C$32-D502))+'계산 과정'!$D$47*(E502-'계산 과정'!$D$50+P502*('계산 과정'!$D$32-E502))+'계산 과정'!$E$47*(0-'계산 과정'!$E$50+P502*('계산 과정'!$E$32-0)),"")</x:f>
      </x:c>
      <x:c r="R502" s="4" t="str">
        <x:f>IF(AND(ISNUMBER(P502),P502&gt;1E-9,P502&lt;1-1E-9),'계산 과정'!$C$48*(D502-'계산 과정'!$C$50+P502*('계산 과정'!$C$32-D502))+'계산 과정'!$D$48*(E502-'계산 과정'!$D$50+P502*('계산 과정'!$D$32-E502))+'계산 과정'!$E$48*(0-'계산 과정'!$E$50+P502*('계산 과정'!$E$32-0)),"")</x:f>
      </x:c>
      <x:c r="S502" s="17" t="n">
        <x:f>IF('계산 과정'!$C$78,IF(AND(ISNUMBER(Q502),ISNUMBER(R502),ABS(Q502-'계산 과정'!$C$88)&lt;='계산 과정'!$D$23/2,ABS(R502-'계산 과정'!$C$89)&lt;='계산 과정'!$D$24/2),1,0),"")</x:f>
        <x:v>0</x:v>
      </x:c>
      <x:c r="T502" s="4"/>
      <x:c r="U502" s="4"/>
      <x:c r="V502" s="4"/>
      <x:c r="W502" s="4" t="n">
        <x:f>IF('계산 과정'!$C$78,'계산 과정'!$C$88+1*'계산 과정'!$C$90/2,"")</x:f>
        <x:v>209.7478582953745</x:v>
      </x:c>
      <x:c r="X502" s="4" t="str">
        <x:f>""</x:f>
      </x:c>
      <x:c r="Y502" s="4" t="str">
        <x:f>""</x:f>
      </x:c>
      <x:c r="Z502" s="4" t="n">
        <x:f>IF('계산 과정'!$C$78,'계산 과정'!$C$89+-0.84*'계산 과정'!$C$91/2,"")</x:f>
        <x:v>-210.50363905991017</x:v>
      </x:c>
    </x:row>
    <x:row r="503" ht="23" customHeight="1">
      <x:c r="A503" s="17" t="n">
        <x:f>ROW()-6</x:f>
        <x:v>497</x:v>
      </x:c>
      <x:c r="B503" s="4" t="n">
        <x:f>IF('계산 과정'!$L$5,'계산 과정'!$L$11*SQRT((A503+0.5)/'계산 과정'!$L$30),"")</x:f>
        <x:v>73.93036076056643</x:v>
      </x:c>
      <x:c r="C503" s="4" t="n">
        <x:f>A503*PI()*(3-SQRT(5))</x:f>
        <x:v>1192.7817251751405</x:v>
      </x:c>
      <x:c r="D503" s="4" t="n">
        <x:f>IF('계산 과정'!$L$5,B503*COS(C503),"")</x:f>
        <x:v>38.47297005934871</x:v>
      </x:c>
      <x:c r="E503" s="4" t="n">
        <x:f>IF('계산 과정'!$L$5,B503*SIN(C503),"")</x:f>
        <x:v>-63.13104479572596</x:v>
      </x:c>
      <x:c r="F503" s="4" t="n">
        <x:f>IF('계산 과정'!$L$7,'계산 과정'!$L$22+'계산 과정'!$C$49*D503+'계산 과정'!$D$49*E503,"")</x:f>
        <x:v>622.7955019786475</x:v>
      </x:c>
      <x:c r="G503" s="4" t="n">
        <x:f>IF('계산 과정'!$L$7,IF(ABS(F503)&gt;=1E-12*MAX(1,SQRT((D503-'계산 과정'!$C$33)^2+(E503-'계산 과정'!$D$33)^2+'계산 과정'!$E$33^2)),('계산 과정'!$L$23-'계산 과정'!$C$49*D503-'계산 과정'!$D$49*E503)/F503,""),"")</x:f>
        <x:v>0.6859466657419744</x:v>
      </x:c>
      <x:c r="H503" s="4" t="n">
        <x:f>IF(AND(ISNUMBER(G503),G503&gt;0),('계산 과정'!$D$56+'계산 과정'!$D$57*D503+'계산 과정'!$D$58*E503)/F503,"")</x:f>
        <x:v>45.86533273228326</x:v>
      </x:c>
      <x:c r="I503" s="4" t="n">
        <x:f>IF(AND(ISNUMBER(G503),G503&gt;0),('계산 과정'!$E$56+'계산 과정'!$E$57*D503+'계산 과정'!$E$58*E503)/F503,"")</x:f>
        <x:v>-106.4355744781614</x:v>
      </x:c>
      <x:c r="J503" s="4" t="n">
        <x:f>IF('계산 과정'!$L$5,'계산 과정'!$D$6+'계산 과정'!$C$35*D503+'계산 과정'!$D$35*E503,"")</x:f>
        <x:v>622.7955019786475</x:v>
      </x:c>
      <x:c r="K503" s="4" t="n">
        <x:f>IF(AND('계산 과정'!$L$6,J503&gt;0),'계산 과정'!$D$10*('계산 과정'!$C$38*(D503-'계산 과정'!$C$32)+'계산 과정'!$D$38*(E503-'계산 과정'!$D$32)-'계산 과정'!$E$38*'계산 과정'!$E$32)/J503,"")</x:f>
        <x:v>0.3494501541507305</x:v>
      </x:c>
      <x:c r="L503" s="4" t="n">
        <x:f>IF(AND('계산 과정'!$L$6,J503&gt;0),'계산 과정'!$D$10*('계산 과정'!$C$39*(D503-'계산 과정'!$C$32)+'계산 과정'!$D$39*(E503-'계산 과정'!$D$32)-'계산 과정'!$E$39*'계산 과정'!$E$32)/J503,"")</x:f>
        <x:v>-0.8109377103098012</x:v>
      </x:c>
      <x:c r="M503" s="17" t="n">
        <x:f>IF('계산 과정'!$L$6,IF(J503&lt;=0,0,IF(AND(ABS(K503)&lt;='계산 과정'!$D$11/2,ABS(L503)&lt;='계산 과정'!$D$12/2),1,0)),"")</x:f>
        <x:v>1</x:v>
      </x:c>
      <x:c r="N503" s="17" t="n">
        <x:f>IF('계산 과정'!$C$78,IF(AND(ISNUMBER(H503),ISNUMBER(I503),ABS(H503-'계산 과정'!$C$88)&lt;='계산 과정'!$D$23/2,ABS(I503-'계산 과정'!$C$89)&lt;='계산 과정'!$D$24/2),1,0),"")</x:f>
        <x:v>1</x:v>
      </x:c>
      <x:c r="O503" s="4" t="n">
        <x:f>IF('계산 과정'!$L$7,'계산 과정'!$C$49*('계산 과정'!$C$32-D503)+'계산 과정'!$D$49*('계산 과정'!$D$32-E503)+'계산 과정'!$E$49*'계산 과정'!$E$32,"")</x:f>
        <x:v>27.204498021352606</x:v>
      </x:c>
      <x:c r="P503" s="4" t="n">
        <x:f>IF(AND('계산 과정'!$L$7,O503&lt;&gt;0),('계산 과정'!$L$23-'계산 과정'!$C$49*D503-'계산 과정'!$D$49*E503)/O503,"")</x:f>
        <x:v>15.703450866325227</x:v>
      </x:c>
      <x:c r="Q503" s="4" t="str">
        <x:f>IF(AND(ISNUMBER(P503),P503&gt;1E-9,P503&lt;1-1E-9),'계산 과정'!$C$47*(D503-'계산 과정'!$C$50+P503*('계산 과정'!$C$32-D503))+'계산 과정'!$D$47*(E503-'계산 과정'!$D$50+P503*('계산 과정'!$D$32-E503))+'계산 과정'!$E$47*(0-'계산 과정'!$E$50+P503*('계산 과정'!$E$32-0)),"")</x:f>
      </x:c>
      <x:c r="R503" s="4" t="str">
        <x:f>IF(AND(ISNUMBER(P503),P503&gt;1E-9,P503&lt;1-1E-9),'계산 과정'!$C$48*(D503-'계산 과정'!$C$50+P503*('계산 과정'!$C$32-D503))+'계산 과정'!$D$48*(E503-'계산 과정'!$D$50+P503*('계산 과정'!$D$32-E503))+'계산 과정'!$E$48*(0-'계산 과정'!$E$50+P503*('계산 과정'!$E$32-0)),"")</x:f>
      </x:c>
      <x:c r="S503" s="17" t="n">
        <x:f>IF('계산 과정'!$C$78,IF(AND(ISNUMBER(Q503),ISNUMBER(R503),ABS(Q503-'계산 과정'!$C$88)&lt;='계산 과정'!$D$23/2,ABS(R503-'계산 과정'!$C$89)&lt;='계산 과정'!$D$24/2),1,0),"")</x:f>
        <x:v>0</x:v>
      </x:c>
      <x:c r="T503" s="4"/>
      <x:c r="U503" s="4"/>
      <x:c r="V503" s="4"/>
      <x:c r="W503" s="4" t="n">
        <x:f>IF('계산 과정'!$C$78,'계산 과정'!$C$88+1*'계산 과정'!$C$90/2,"")</x:f>
        <x:v>209.7478582953745</x:v>
      </x:c>
      <x:c r="X503" s="4" t="str">
        <x:f>""</x:f>
      </x:c>
      <x:c r="Y503" s="4" t="str">
        <x:f>""</x:f>
      </x:c>
      <x:c r="Z503" s="4" t="n">
        <x:f>IF('계산 과정'!$C$78,'계산 과정'!$C$89+-0.8*'계산 과정'!$C$91/2,"")</x:f>
        <x:v>-200.4796562475335</x:v>
      </x:c>
    </x:row>
    <x:row r="504" ht="23" customHeight="1">
      <x:c r="A504" s="17" t="n">
        <x:f>ROW()-6</x:f>
        <x:v>498</x:v>
      </x:c>
      <x:c r="B504" s="4" t="n">
        <x:f>IF('계산 과정'!$L$5,'계산 과정'!$L$11*SQRT((A504+0.5)/'계산 과정'!$L$30),"")</x:f>
        <x:v>74.00462533053255</x:v>
      </x:c>
      <x:c r="C504" s="4" t="n">
        <x:f>A504*PI()*(3-SQRT(5))</x:f>
        <x:v>1195.1816884048692</x:v>
      </x:c>
      <x:c r="D504" s="4" t="n">
        <x:f>IF('계산 과정'!$L$5,B504*COS(C504),"")</x:f>
        <x:v>14.28997742872834</x:v>
      </x:c>
      <x:c r="E504" s="4" t="n">
        <x:f>IF('계산 과정'!$L$5,B504*SIN(C504),"")</x:f>
        <x:v>72.61185244434226</x:v>
      </x:c>
      <x:c r="F504" s="4" t="n">
        <x:f>IF('계산 과정'!$L$7,'계산 과정'!$L$22+'계산 과정'!$C$49*D504+'계산 과정'!$D$49*E504,"")</x:f>
        <x:v>639.8954600571435</x:v>
      </x:c>
      <x:c r="G504" s="4" t="n">
        <x:f>IF('계산 과정'!$L$7,IF(ABS(F504)&gt;=1E-12*MAX(1,SQRT((D504-'계산 과정'!$C$33)^2+(E504-'계산 과정'!$D$33)^2+'계산 과정'!$E$33^2)),('계산 과정'!$L$23-'계산 과정'!$C$49*D504-'계산 과정'!$D$49*E504)/F504,""),"")</x:f>
        <x:v>0.6408930294742732</x:v>
      </x:c>
      <x:c r="H504" s="4" t="n">
        <x:f>IF(AND(ISNUMBER(G504),G504&gt;0),('계산 과정'!$D$56+'계산 과정'!$D$57*D504+'계산 과정'!$D$58*E504)/F504,"")</x:f>
        <x:v>16.580469158277513</x:v>
      </x:c>
      <x:c r="I504" s="4" t="n">
        <x:f>IF(AND(ISNUMBER(G504),G504&gt;0),('계산 과정'!$E$56+'계산 과정'!$E$57*D504+'계산 과정'!$E$58*E504)/F504,"")</x:f>
        <x:v>119.14828253313568</x:v>
      </x:c>
      <x:c r="J504" s="4" t="n">
        <x:f>IF('계산 과정'!$L$5,'계산 과정'!$D$6+'계산 과정'!$C$35*D504+'계산 과정'!$D$35*E504,"")</x:f>
        <x:v>639.8954600571435</x:v>
      </x:c>
      <x:c r="K504" s="4" t="n">
        <x:f>IF(AND('계산 과정'!$L$6,J504&gt;0),'계산 과정'!$D$10*('계산 과정'!$C$38*(D504-'계산 과정'!$C$32)+'계산 과정'!$D$38*(E504-'계산 과정'!$D$32)-'계산 과정'!$E$38*'계산 과정'!$E$32)/J504,"")</x:f>
        <x:v>0.12632738406306732</x:v>
      </x:c>
      <x:c r="L504" s="4" t="n">
        <x:f>IF(AND('계산 과정'!$L$6,J504&gt;0),'계산 과정'!$D$10*('계산 과정'!$C$39*(D504-'계산 과정'!$C$32)+'계산 과정'!$D$39*(E504-'계산 과정'!$D$32)-'계산 과정'!$E$39*'계산 과정'!$E$32)/J504,"")</x:f>
        <x:v>0.9077964383477004</x:v>
      </x:c>
      <x:c r="M504" s="17" t="n">
        <x:f>IF('계산 과정'!$L$6,IF(J504&lt;=0,0,IF(AND(ABS(K504)&lt;='계산 과정'!$D$11/2,ABS(L504)&lt;='계산 과정'!$D$12/2),1,0)),"")</x:f>
        <x:v>1</x:v>
      </x:c>
      <x:c r="N504" s="17" t="n">
        <x:f>IF('계산 과정'!$C$78,IF(AND(ISNUMBER(H504),ISNUMBER(I504),ABS(H504-'계산 과정'!$C$88)&lt;='계산 과정'!$D$23/2,ABS(I504-'계산 과정'!$C$89)&lt;='계산 과정'!$D$24/2),1,0),"")</x:f>
        <x:v>1</x:v>
      </x:c>
      <x:c r="O504" s="4" t="n">
        <x:f>IF('계산 과정'!$L$7,'계산 과정'!$C$49*('계산 과정'!$C$32-D504)+'계산 과정'!$D$49*('계산 과정'!$D$32-E504)+'계산 과정'!$E$49*'계산 과정'!$E$32,"")</x:f>
        <x:v>10.104539942856604</x:v>
      </x:c>
      <x:c r="P504" s="4" t="n">
        <x:f>IF(AND('계산 과정'!$L$7,O504&lt;&gt;0),('계산 과정'!$L$23-'계산 과정'!$C$49*D504-'계산 과정'!$D$49*E504)/O504,"")</x:f>
        <x:v>40.5861664422218</x:v>
      </x:c>
      <x:c r="Q504" s="4" t="str">
        <x:f>IF(AND(ISNUMBER(P504),P504&gt;1E-9,P504&lt;1-1E-9),'계산 과정'!$C$47*(D504-'계산 과정'!$C$50+P504*('계산 과정'!$C$32-D504))+'계산 과정'!$D$47*(E504-'계산 과정'!$D$50+P504*('계산 과정'!$D$32-E504))+'계산 과정'!$E$47*(0-'계산 과정'!$E$50+P504*('계산 과정'!$E$32-0)),"")</x:f>
      </x:c>
      <x:c r="R504" s="4" t="str">
        <x:f>IF(AND(ISNUMBER(P504),P504&gt;1E-9,P504&lt;1-1E-9),'계산 과정'!$C$48*(D504-'계산 과정'!$C$50+P504*('계산 과정'!$C$32-D504))+'계산 과정'!$D$48*(E504-'계산 과정'!$D$50+P504*('계산 과정'!$D$32-E504))+'계산 과정'!$E$48*(0-'계산 과정'!$E$50+P504*('계산 과정'!$E$32-0)),"")</x:f>
      </x:c>
      <x:c r="S504" s="17" t="n">
        <x:f>IF('계산 과정'!$C$78,IF(AND(ISNUMBER(Q504),ISNUMBER(R504),ABS(Q504-'계산 과정'!$C$88)&lt;='계산 과정'!$D$23/2,ABS(R504-'계산 과정'!$C$89)&lt;='계산 과정'!$D$24/2),1,0),"")</x:f>
        <x:v>0</x:v>
      </x:c>
      <x:c r="T504" s="4"/>
      <x:c r="U504" s="4"/>
      <x:c r="V504" s="4"/>
      <x:c r="W504" s="4" t="n">
        <x:f>IF('계산 과정'!$C$78,'계산 과정'!$C$88+1*'계산 과정'!$C$90/2,"")</x:f>
        <x:v>209.7478582953745</x:v>
      </x:c>
      <x:c r="X504" s="4" t="str">
        <x:f>""</x:f>
      </x:c>
      <x:c r="Y504" s="4" t="str">
        <x:f>""</x:f>
      </x:c>
      <x:c r="Z504" s="4" t="n">
        <x:f>IF('계산 과정'!$C$78,'계산 과정'!$C$89+-0.76*'계산 과정'!$C$91/2,"")</x:f>
        <x:v>-190.45567343515683</x:v>
      </x:c>
    </x:row>
    <x:row r="505" ht="23" customHeight="1">
      <x:c r="A505" s="17" t="n">
        <x:f>ROW()-6</x:f>
        <x:v>499</x:v>
      </x:c>
      <x:c r="B505" s="4" t="n">
        <x:f>IF('계산 과정'!$L$5,'계산 과정'!$L$11*SQRT((A505+0.5)/'계산 과정'!$L$30),"")</x:f>
        <x:v>74.07881544974582</x:v>
      </x:c>
      <x:c r="C505" s="4" t="n">
        <x:f>A505*PI()*(3-SQRT(5))</x:f>
        <x:v>1197.5816516345978</x:v>
      </x:c>
      <x:c r="D505" s="4" t="n">
        <x:f>IF('계산 과정'!$L$5,B505*COS(C505),"")</x:f>
        <x:v>-59.645321137397765</x:v>
      </x:c>
      <x:c r="E505" s="4" t="n">
        <x:f>IF('계산 과정'!$L$5,B505*SIN(C505),"")</x:f>
        <x:v>-43.93297810135561</x:v>
      </x:c>
      <x:c r="F505" s="4" t="n">
        <x:f>IF('계산 과정'!$L$7,'계산 과정'!$L$22+'계산 과정'!$C$49*D505+'계산 과정'!$D$49*E505,"")</x:f>
        <x:v>692.1756110423032</x:v>
      </x:c>
      <x:c r="G505" s="4" t="n">
        <x:f>IF('계산 과정'!$L$7,IF(ABS(F505)&gt;=1E-12*MAX(1,SQRT((D505-'계산 과정'!$C$33)^2+(E505-'계산 과정'!$D$33)^2+'계산 과정'!$E$33^2)),('계산 과정'!$L$23-'계산 과정'!$C$49*D505-'계산 과정'!$D$49*E505)/F505,""),"")</x:f>
        <x:v>0.5169560776908504</x:v>
      </x:c>
      <x:c r="H505" s="4" t="n">
        <x:f>IF(AND(ISNUMBER(G505),G505&gt;0),('계산 과정'!$D$56+'계산 과정'!$D$57*D505+'계산 과정'!$D$58*E505)/F505,"")</x:f>
        <x:v>-63.97854950094742</x:v>
      </x:c>
      <x:c r="I505" s="4" t="n">
        <x:f>IF(AND(ISNUMBER(G505),G505&gt;0),('계산 과정'!$E$56+'계산 과정'!$E$57*D505+'계산 과정'!$E$58*E505)/F505,"")</x:f>
        <x:v>-66.64439814191043</x:v>
      </x:c>
      <x:c r="J505" s="4" t="n">
        <x:f>IF('계산 과정'!$L$5,'계산 과정'!$D$6+'계산 과정'!$C$35*D505+'계산 과정'!$D$35*E505,"")</x:f>
        <x:v>692.1756110423032</x:v>
      </x:c>
      <x:c r="K505" s="4" t="n">
        <x:f>IF(AND('계산 과정'!$L$6,J505&gt;0),'계산 과정'!$D$10*('계산 과정'!$C$38*(D505-'계산 과정'!$C$32)+'계산 과정'!$D$38*(E505-'계산 과정'!$D$32)-'계산 과정'!$E$38*'계산 과정'!$E$32)/J505,"")</x:f>
        <x:v>-0.4874556152453127</x:v>
      </x:c>
      <x:c r="L505" s="4" t="n">
        <x:f>IF(AND('계산 과정'!$L$6,J505&gt;0),'계산 과정'!$D$10*('계산 과정'!$C$39*(D505-'계산 과정'!$C$32)+'계산 과정'!$D$39*(E505-'계산 과정'!$D$32)-'계산 과정'!$E$39*'계산 과정'!$E$32)/J505,"")</x:f>
        <x:v>-0.5077668429859842</x:v>
      </x:c>
      <x:c r="M505" s="17" t="n">
        <x:f>IF('계산 과정'!$L$6,IF(J505&lt;=0,0,IF(AND(ABS(K505)&lt;='계산 과정'!$D$11/2,ABS(L505)&lt;='계산 과정'!$D$12/2),1,0)),"")</x:f>
        <x:v>1</x:v>
      </x:c>
      <x:c r="N505" s="17" t="n">
        <x:f>IF('계산 과정'!$C$78,IF(AND(ISNUMBER(H505),ISNUMBER(I505),ABS(H505-'계산 과정'!$C$88)&lt;='계산 과정'!$D$23/2,ABS(I505-'계산 과정'!$C$89)&lt;='계산 과정'!$D$24/2),1,0),"")</x:f>
        <x:v>1</x:v>
      </x:c>
      <x:c r="O505" s="4" t="n">
        <x:f>IF('계산 과정'!$L$7,'계산 과정'!$C$49*('계산 과정'!$C$32-D505)+'계산 과정'!$D$49*('계산 과정'!$D$32-E505)+'계산 과정'!$E$49*'계산 과정'!$E$32,"")</x:f>
        <x:v>-42.17561104230316</x:v>
      </x:c>
      <x:c r="P505" s="4" t="n">
        <x:f>IF(AND('계산 과정'!$L$7,O505&lt;&gt;0),('계산 과정'!$L$23-'계산 과정'!$C$49*D505-'계산 과정'!$D$49*E505)/O505,"")</x:f>
        <x:v>-8.484154233089598</x:v>
      </x:c>
      <x:c r="Q505" s="4" t="str">
        <x:f>IF(AND(ISNUMBER(P505),P505&gt;1E-9,P505&lt;1-1E-9),'계산 과정'!$C$47*(D505-'계산 과정'!$C$50+P505*('계산 과정'!$C$32-D505))+'계산 과정'!$D$47*(E505-'계산 과정'!$D$50+P505*('계산 과정'!$D$32-E505))+'계산 과정'!$E$47*(0-'계산 과정'!$E$50+P505*('계산 과정'!$E$32-0)),"")</x:f>
      </x:c>
      <x:c r="R505" s="4" t="str">
        <x:f>IF(AND(ISNUMBER(P505),P505&gt;1E-9,P505&lt;1-1E-9),'계산 과정'!$C$48*(D505-'계산 과정'!$C$50+P505*('계산 과정'!$C$32-D505))+'계산 과정'!$D$48*(E505-'계산 과정'!$D$50+P505*('계산 과정'!$D$32-E505))+'계산 과정'!$E$48*(0-'계산 과정'!$E$50+P505*('계산 과정'!$E$32-0)),"")</x:f>
      </x:c>
      <x:c r="S505" s="17" t="n">
        <x:f>IF('계산 과정'!$C$78,IF(AND(ISNUMBER(Q505),ISNUMBER(R505),ABS(Q505-'계산 과정'!$C$88)&lt;='계산 과정'!$D$23/2,ABS(R505-'계산 과정'!$C$89)&lt;='계산 과정'!$D$24/2),1,0),"")</x:f>
        <x:v>0</x:v>
      </x:c>
      <x:c r="T505" s="4"/>
      <x:c r="U505" s="4"/>
      <x:c r="V505" s="4"/>
      <x:c r="W505" s="4" t="n">
        <x:f>IF('계산 과정'!$C$78,'계산 과정'!$C$88+1*'계산 과정'!$C$90/2,"")</x:f>
        <x:v>209.7478582953745</x:v>
      </x:c>
      <x:c r="X505" s="4" t="str">
        <x:f>""</x:f>
      </x:c>
      <x:c r="Y505" s="4" t="str">
        <x:f>""</x:f>
      </x:c>
      <x:c r="Z505" s="4" t="n">
        <x:f>IF('계산 과정'!$C$78,'계산 과정'!$C$89+-0.72*'계산 과정'!$C$91/2,"")</x:f>
        <x:v>-180.43169062278017</x:v>
      </x:c>
    </x:row>
    <x:row r="506" ht="23" customHeight="1">
      <x:c r="A506" s="17" t="n">
        <x:f>ROW()-6</x:f>
        <x:v>500</x:v>
      </x:c>
      <x:c r="B506" s="4" t="n">
        <x:f>IF('계산 과정'!$L$5,'계산 과정'!$L$11*SQRT((A506+0.5)/'계산 과정'!$L$30),"")</x:f>
        <x:v>74.15293134167051</x:v>
      </x:c>
      <x:c r="C506" s="4" t="n">
        <x:f>A506*PI()*(3-SQRT(5))</x:f>
        <x:v>1199.9816148643263</x:v>
      </x:c>
      <x:c r="D506" s="4" t="n">
        <x:f>IF('계산 과정'!$L$5,B506*COS(C506),"")</x:f>
        <x:v>73.73059760431528</x:v>
      </x:c>
      <x:c r="E506" s="4" t="n">
        <x:f>IF('계산 과정'!$L$5,B506*SIN(C506),"")</x:f>
        <x:v>-7.902923729420576</x:v>
      </x:c>
      <x:c r="F506" s="4" t="n">
        <x:f>IF('계산 과정'!$L$7,'계산 과정'!$L$22+'계산 과정'!$C$49*D506+'계산 과정'!$D$49*E506,"")</x:f>
        <x:v>597.8645944530521</x:v>
      </x:c>
      <x:c r="G506" s="4" t="n">
        <x:f>IF('계산 과정'!$L$7,IF(ABS(F506)&gt;=1E-12*MAX(1,SQRT((D506-'계산 과정'!$C$33)^2+(E506-'계산 과정'!$D$33)^2+'계산 과정'!$E$33^2)),('계산 과정'!$L$23-'계산 과정'!$C$49*D506-'계산 과정'!$D$49*E506)/F506,""),"")</x:f>
        <x:v>0.7562505118079079</x:v>
      </x:c>
      <x:c r="H506" s="4" t="n">
        <x:f>IF(AND(ISNUMBER(G506),G506&gt;0),('계산 과정'!$D$56+'계산 과정'!$D$57*D506+'계산 과정'!$D$58*E506)/F506,"")</x:f>
        <x:v>91.56283267514007</x:v>
      </x:c>
      <x:c r="I506" s="4" t="n">
        <x:f>IF(AND(ISNUMBER(G506),G506&gt;0),('계산 과정'!$E$56+'계산 과정'!$E$57*D506+'계산 과정'!$E$58*E506)/F506,"")</x:f>
        <x:v>-13.879513844573747</x:v>
      </x:c>
      <x:c r="J506" s="4" t="n">
        <x:f>IF('계산 과정'!$L$5,'계산 과정'!$D$6+'계산 과정'!$C$35*D506+'계산 과정'!$D$35*E506,"")</x:f>
        <x:v>597.8645944530521</x:v>
      </x:c>
      <x:c r="K506" s="4" t="n">
        <x:f>IF(AND('계산 과정'!$L$6,J506&gt;0),'계산 과정'!$D$10*('계산 과정'!$C$38*(D506-'계산 과정'!$C$32)+'계산 과정'!$D$38*(E506-'계산 과정'!$D$32)-'계산 과정'!$E$38*'계산 과정'!$E$32)/J506,"")</x:f>
        <x:v>0.6976215822867822</x:v>
      </x:c>
      <x:c r="L506" s="4" t="n">
        <x:f>IF(AND('계산 과정'!$L$6,J506&gt;0),'계산 과정'!$D$10*('계산 과정'!$C$39*(D506-'계산 과정'!$C$32)+'계산 과정'!$D$39*(E506-'계산 과정'!$D$32)-'계산 과정'!$E$39*'계산 과정'!$E$32)/J506,"")</x:f>
        <x:v>-0.10574867691103808</x:v>
      </x:c>
      <x:c r="M506" s="17" t="n">
        <x:f>IF('계산 과정'!$L$6,IF(J506&lt;=0,0,IF(AND(ABS(K506)&lt;='계산 과정'!$D$11/2,ABS(L506)&lt;='계산 과정'!$D$12/2),1,0)),"")</x:f>
        <x:v>1</x:v>
      </x:c>
      <x:c r="N506" s="17" t="n">
        <x:f>IF('계산 과정'!$C$78,IF(AND(ISNUMBER(H506),ISNUMBER(I506),ABS(H506-'계산 과정'!$C$88)&lt;='계산 과정'!$D$23/2,ABS(I506-'계산 과정'!$C$89)&lt;='계산 과정'!$D$24/2),1,0),"")</x:f>
        <x:v>1</x:v>
      </x:c>
      <x:c r="O506" s="4" t="n">
        <x:f>IF('계산 과정'!$L$7,'계산 과정'!$C$49*('계산 과정'!$C$32-D506)+'계산 과정'!$D$49*('계산 과정'!$D$32-E506)+'계산 과정'!$E$49*'계산 과정'!$E$32,"")</x:f>
        <x:v>52.13540554694805</x:v>
      </x:c>
      <x:c r="P506" s="4" t="n">
        <x:f>IF(AND('계산 과정'!$L$7,O506&lt;&gt;0),('계산 과정'!$L$23-'계산 과정'!$C$49*D506-'계산 과정'!$D$49*E506)/O506,"")</x:f>
        <x:v>8.672329308722821</x:v>
      </x:c>
      <x:c r="Q506" s="4" t="str">
        <x:f>IF(AND(ISNUMBER(P506),P506&gt;1E-9,P506&lt;1-1E-9),'계산 과정'!$C$47*(D506-'계산 과정'!$C$50+P506*('계산 과정'!$C$32-D506))+'계산 과정'!$D$47*(E506-'계산 과정'!$D$50+P506*('계산 과정'!$D$32-E506))+'계산 과정'!$E$47*(0-'계산 과정'!$E$50+P506*('계산 과정'!$E$32-0)),"")</x:f>
      </x:c>
      <x:c r="R506" s="4" t="str">
        <x:f>IF(AND(ISNUMBER(P506),P506&gt;1E-9,P506&lt;1-1E-9),'계산 과정'!$C$48*(D506-'계산 과정'!$C$50+P506*('계산 과정'!$C$32-D506))+'계산 과정'!$D$48*(E506-'계산 과정'!$D$50+P506*('계산 과정'!$D$32-E506))+'계산 과정'!$E$48*(0-'계산 과정'!$E$50+P506*('계산 과정'!$E$32-0)),"")</x:f>
      </x:c>
      <x:c r="S506" s="17" t="n">
        <x:f>IF('계산 과정'!$C$78,IF(AND(ISNUMBER(Q506),ISNUMBER(R506),ABS(Q506-'계산 과정'!$C$88)&lt;='계산 과정'!$D$23/2,ABS(R506-'계산 과정'!$C$89)&lt;='계산 과정'!$D$24/2),1,0),"")</x:f>
        <x:v>0</x:v>
      </x:c>
      <x:c r="T506" s="4"/>
      <x:c r="U506" s="4"/>
      <x:c r="V506" s="4"/>
      <x:c r="W506" s="4" t="n">
        <x:f>IF('계산 과정'!$C$78,'계산 과정'!$C$88+1*'계산 과정'!$C$90/2,"")</x:f>
        <x:v>209.7478582953745</x:v>
      </x:c>
      <x:c r="X506" s="4" t="str">
        <x:f>""</x:f>
      </x:c>
      <x:c r="Y506" s="4" t="str">
        <x:f>""</x:f>
      </x:c>
      <x:c r="Z506" s="4" t="n">
        <x:f>IF('계산 과정'!$C$78,'계산 과정'!$C$89+-0.6799999999999999*'계산 과정'!$C$91/2,"")</x:f>
        <x:v>-170.40770781040348</x:v>
      </x:c>
    </x:row>
    <x:row r="507" ht="23" customHeight="1">
      <x:c r="A507" s="17" t="n">
        <x:f>ROW()-6</x:f>
        <x:v>501</x:v>
      </x:c>
      <x:c r="B507" s="4" t="n">
        <x:f>IF('계산 과정'!$L$5,'계산 과정'!$L$11*SQRT((A507+0.5)/'계산 과정'!$L$30),"")</x:f>
        <x:v>74.22697322865523</x:v>
      </x:c>
      <x:c r="C507" s="4" t="n">
        <x:f>A507*PI()*(3-SQRT(5))</x:f>
        <x:v>1202.3815780940552</x:v>
      </x:c>
      <x:c r="D507" s="4" t="n">
        <x:f>IF('계산 과정'!$L$5,B507*COS(C507),"")</x:f>
        <x:v>-49.07725463969294</x:v>
      </x:c>
      <x:c r="E507" s="4" t="n">
        <x:f>IF('계산 과정'!$L$5,B507*SIN(C507),"")</x:f>
        <x:v>55.68722144009555</x:v>
      </x:c>
      <x:c r="F507" s="4" t="n">
        <x:f>IF('계산 과정'!$L$7,'계산 과정'!$L$22+'계산 과정'!$C$49*D507+'계산 과정'!$D$49*E507,"")</x:f>
        <x:v>684.7028595577458</x:v>
      </x:c>
      <x:c r="G507" s="4" t="n">
        <x:f>IF('계산 과정'!$L$7,IF(ABS(F507)&gt;=1E-12*MAX(1,SQRT((D507-'계산 과정'!$C$33)^2+(E507-'계산 과정'!$D$33)^2+'계산 과정'!$E$33^2)),('계산 과정'!$L$23-'계산 과정'!$C$49*D507-'계산 과정'!$D$49*E507)/F507,""),"")</x:f>
        <x:v>0.533511924688327</x:v>
      </x:c>
      <x:c r="H507" s="4" t="n">
        <x:f>IF(AND(ISNUMBER(G507),G507&gt;0),('계산 과정'!$D$56+'계산 과정'!$D$57*D507+'계산 과정'!$D$58*E507)/F507,"")</x:f>
        <x:v>-53.21724895258763</x:v>
      </x:c>
      <x:c r="I507" s="4" t="n">
        <x:f>IF(AND(ISNUMBER(G507),G507&gt;0),('계산 과정'!$E$56+'계산 과정'!$E$57*D507+'계산 과정'!$E$58*E507)/F507,"")</x:f>
        <x:v>85.397018131146</x:v>
      </x:c>
      <x:c r="J507" s="4" t="n">
        <x:f>IF('계산 과정'!$L$5,'계산 과정'!$D$6+'계산 과정'!$C$35*D507+'계산 과정'!$D$35*E507,"")</x:f>
        <x:v>684.7028595577458</x:v>
      </x:c>
      <x:c r="K507" s="4" t="n">
        <x:f>IF(AND('계산 과정'!$L$6,J507&gt;0),'계산 과정'!$D$10*('계산 과정'!$C$38*(D507-'계산 과정'!$C$32)+'계산 과정'!$D$38*(E507-'계산 과정'!$D$32)-'계산 과정'!$E$38*'계산 과정'!$E$32)/J507,"")</x:f>
        <x:v>-0.4054647539244759</x:v>
      </x:c>
      <x:c r="L507" s="4" t="n">
        <x:f>IF(AND('계산 과정'!$L$6,J507&gt;0),'계산 과정'!$D$10*('계산 과정'!$C$39*(D507-'계산 과정'!$C$32)+'계산 과정'!$D$39*(E507-'계산 과정'!$D$32)-'계산 과정'!$E$39*'계산 과정'!$E$32)/J507,"")</x:f>
        <x:v>0.6506439476658742</x:v>
      </x:c>
      <x:c r="M507" s="17" t="n">
        <x:f>IF('계산 과정'!$L$6,IF(J507&lt;=0,0,IF(AND(ABS(K507)&lt;='계산 과정'!$D$11/2,ABS(L507)&lt;='계산 과정'!$D$12/2),1,0)),"")</x:f>
        <x:v>1</x:v>
      </x:c>
      <x:c r="N507" s="17" t="n">
        <x:f>IF('계산 과정'!$C$78,IF(AND(ISNUMBER(H507),ISNUMBER(I507),ABS(H507-'계산 과정'!$C$88)&lt;='계산 과정'!$D$23/2,ABS(I507-'계산 과정'!$C$89)&lt;='계산 과정'!$D$24/2),1,0),"")</x:f>
        <x:v>1</x:v>
      </x:c>
      <x:c r="O507" s="4" t="n">
        <x:f>IF('계산 과정'!$L$7,'계산 과정'!$C$49*('계산 과정'!$C$32-D507)+'계산 과정'!$D$49*('계산 과정'!$D$32-E507)+'계산 과정'!$E$49*'계산 과정'!$E$32,"")</x:f>
        <x:v>-34.70285955774568</x:v>
      </x:c>
      <x:c r="P507" s="4" t="n">
        <x:f>IF(AND('계산 과정'!$L$7,O507&lt;&gt;0),('계산 과정'!$L$23-'계산 과정'!$C$49*D507-'계산 과정'!$D$49*E507)/O507,"")</x:f>
        <x:v>-10.526427651715515</x:v>
      </x:c>
      <x:c r="Q507" s="4" t="str">
        <x:f>IF(AND(ISNUMBER(P507),P507&gt;1E-9,P507&lt;1-1E-9),'계산 과정'!$C$47*(D507-'계산 과정'!$C$50+P507*('계산 과정'!$C$32-D507))+'계산 과정'!$D$47*(E507-'계산 과정'!$D$50+P507*('계산 과정'!$D$32-E507))+'계산 과정'!$E$47*(0-'계산 과정'!$E$50+P507*('계산 과정'!$E$32-0)),"")</x:f>
      </x:c>
      <x:c r="R507" s="4" t="str">
        <x:f>IF(AND(ISNUMBER(P507),P507&gt;1E-9,P507&lt;1-1E-9),'계산 과정'!$C$48*(D507-'계산 과정'!$C$50+P507*('계산 과정'!$C$32-D507))+'계산 과정'!$D$48*(E507-'계산 과정'!$D$50+P507*('계산 과정'!$D$32-E507))+'계산 과정'!$E$48*(0-'계산 과정'!$E$50+P507*('계산 과정'!$E$32-0)),"")</x:f>
      </x:c>
      <x:c r="S507" s="17" t="n">
        <x:f>IF('계산 과정'!$C$78,IF(AND(ISNUMBER(Q507),ISNUMBER(R507),ABS(Q507-'계산 과정'!$C$88)&lt;='계산 과정'!$D$23/2,ABS(R507-'계산 과정'!$C$89)&lt;='계산 과정'!$D$24/2),1,0),"")</x:f>
        <x:v>0</x:v>
      </x:c>
      <x:c r="T507" s="4"/>
      <x:c r="U507" s="4"/>
      <x:c r="V507" s="4"/>
      <x:c r="W507" s="4" t="n">
        <x:f>IF('계산 과정'!$C$78,'계산 과정'!$C$88+1*'계산 과정'!$C$90/2,"")</x:f>
        <x:v>209.7478582953745</x:v>
      </x:c>
      <x:c r="X507" s="4" t="str">
        <x:f>""</x:f>
      </x:c>
      <x:c r="Y507" s="4" t="str">
        <x:f>""</x:f>
      </x:c>
      <x:c r="Z507" s="4" t="n">
        <x:f>IF('계산 과정'!$C$78,'계산 과정'!$C$89+-0.64*'계산 과정'!$C$91/2,"")</x:f>
        <x:v>-160.38372499802682</x:v>
      </x:c>
    </x:row>
    <x:row r="508" ht="23" customHeight="1">
      <x:c r="A508" s="17" t="n">
        <x:f>ROW()-6</x:f>
        <x:v>502</x:v>
      </x:c>
      <x:c r="B508" s="4" t="n">
        <x:f>IF('계산 과정'!$L$5,'계산 과정'!$L$11*SQRT((A508+0.5)/'계산 과정'!$L$30),"")</x:f>
        <x:v>74.30094133194073</x:v>
      </x:c>
      <x:c r="C508" s="4" t="n">
        <x:f>A508*PI()*(3-SQRT(5))</x:f>
        <x:v>1204.7815413237838</x:v>
      </x:c>
      <x:c r="D508" s="4" t="n">
        <x:f>IF('계산 과정'!$L$5,B508*COS(C508),"")</x:f>
        <x:v>-1.4295605610524524</x:v>
      </x:c>
      <x:c r="E508" s="4" t="n">
        <x:f>IF('계산 과정'!$L$5,B508*SIN(C508),"")</x:f>
        <x:v>-74.28718758584675</x:v>
      </x:c>
      <x:c r="F508" s="4" t="n">
        <x:f>IF('계산 과정'!$L$7,'계산 과정'!$L$22+'계산 과정'!$C$49*D508+'계산 과정'!$D$49*E508,"")</x:f>
        <x:v>651.010851966837</x:v>
      </x:c>
      <x:c r="G508" s="4" t="n">
        <x:f>IF('계산 과정'!$L$7,IF(ABS(F508)&gt;=1E-12*MAX(1,SQRT((D508-'계산 과정'!$C$33)^2+(E508-'계산 과정'!$D$33)^2+'계산 과정'!$E$33^2)),('계산 과정'!$L$23-'계산 과정'!$C$49*D508-'계산 과정'!$D$49*E508)/F508,""),"")</x:f>
        <x:v>0.6128763396612132</x:v>
      </x:c>
      <x:c r="H508" s="4" t="n">
        <x:f>IF(AND(ISNUMBER(G508),G508&gt;0),('계산 과정'!$D$56+'계산 과정'!$D$57*D508+'계산 과정'!$D$58*E508)/F508,"")</x:f>
        <x:v>-1.6303792202115683</x:v>
      </x:c>
      <x:c r="I508" s="4" t="n">
        <x:f>IF(AND(ISNUMBER(G508),G508&gt;0),('계산 과정'!$E$56+'계산 과정'!$E$57*D508+'계산 과정'!$E$58*E508)/F508,"")</x:f>
        <x:v>-119.81604719718644</x:v>
      </x:c>
      <x:c r="J508" s="4" t="n">
        <x:f>IF('계산 과정'!$L$5,'계산 과정'!$D$6+'계산 과정'!$C$35*D508+'계산 과정'!$D$35*E508,"")</x:f>
        <x:v>651.010851966837</x:v>
      </x:c>
      <x:c r="K508" s="4" t="n">
        <x:f>IF(AND('계산 과정'!$L$6,J508&gt;0),'계산 과정'!$D$10*('계산 과정'!$C$38*(D508-'계산 과정'!$C$32)+'계산 과정'!$D$38*(E508-'계산 과정'!$D$32)-'계산 과정'!$E$38*'계산 과정'!$E$32)/J508,"")</x:f>
        <x:v>-0.012421936915896834</x:v>
      </x:c>
      <x:c r="L508" s="4" t="n">
        <x:f>IF(AND('계산 과정'!$L$6,J508&gt;0),'계산 과정'!$D$10*('계산 과정'!$C$39*(D508-'계산 과정'!$C$32)+'계산 과정'!$D$39*(E508-'계산 과정'!$D$32)-'계산 과정'!$E$39*'계산 과정'!$E$32)/J508,"")</x:f>
        <x:v>-0.9128841691214205</x:v>
      </x:c>
      <x:c r="M508" s="17" t="n">
        <x:f>IF('계산 과정'!$L$6,IF(J508&lt;=0,0,IF(AND(ABS(K508)&lt;='계산 과정'!$D$11/2,ABS(L508)&lt;='계산 과정'!$D$12/2),1,0)),"")</x:f>
        <x:v>1</x:v>
      </x:c>
      <x:c r="N508" s="17" t="n">
        <x:f>IF('계산 과정'!$C$78,IF(AND(ISNUMBER(H508),ISNUMBER(I508),ABS(H508-'계산 과정'!$C$88)&lt;='계산 과정'!$D$23/2,ABS(I508-'계산 과정'!$C$89)&lt;='계산 과정'!$D$24/2),1,0),"")</x:f>
        <x:v>1</x:v>
      </x:c>
      <x:c r="O508" s="4" t="n">
        <x:f>IF('계산 과정'!$L$7,'계산 과정'!$C$49*('계산 과정'!$C$32-D508)+'계산 과정'!$D$49*('계산 과정'!$D$32-E508)+'계산 과정'!$E$49*'계산 과정'!$E$32,"")</x:f>
        <x:v>-1.010851966836924</x:v>
      </x:c>
      <x:c r="P508" s="4" t="n">
        <x:f>IF(AND('계산 과정'!$L$7,O508&lt;&gt;0),('계산 과정'!$L$23-'계산 과정'!$C$49*D508-'계산 과정'!$D$49*E508)/O508,"")</x:f>
        <x:v>-394.7058136332736</x:v>
      </x:c>
      <x:c r="Q508" s="4" t="str">
        <x:f>IF(AND(ISNUMBER(P508),P508&gt;1E-9,P508&lt;1-1E-9),'계산 과정'!$C$47*(D508-'계산 과정'!$C$50+P508*('계산 과정'!$C$32-D508))+'계산 과정'!$D$47*(E508-'계산 과정'!$D$50+P508*('계산 과정'!$D$32-E508))+'계산 과정'!$E$47*(0-'계산 과정'!$E$50+P508*('계산 과정'!$E$32-0)),"")</x:f>
      </x:c>
      <x:c r="R508" s="4" t="str">
        <x:f>IF(AND(ISNUMBER(P508),P508&gt;1E-9,P508&lt;1-1E-9),'계산 과정'!$C$48*(D508-'계산 과정'!$C$50+P508*('계산 과정'!$C$32-D508))+'계산 과정'!$D$48*(E508-'계산 과정'!$D$50+P508*('계산 과정'!$D$32-E508))+'계산 과정'!$E$48*(0-'계산 과정'!$E$50+P508*('계산 과정'!$E$32-0)),"")</x:f>
      </x:c>
      <x:c r="S508" s="17" t="n">
        <x:f>IF('계산 과정'!$C$78,IF(AND(ISNUMBER(Q508),ISNUMBER(R508),ABS(Q508-'계산 과정'!$C$88)&lt;='계산 과정'!$D$23/2,ABS(R508-'계산 과정'!$C$89)&lt;='계산 과정'!$D$24/2),1,0),"")</x:f>
        <x:v>0</x:v>
      </x:c>
      <x:c r="T508" s="4"/>
      <x:c r="U508" s="4"/>
      <x:c r="V508" s="4"/>
      <x:c r="W508" s="4" t="n">
        <x:f>IF('계산 과정'!$C$78,'계산 과정'!$C$88+1*'계산 과정'!$C$90/2,"")</x:f>
        <x:v>209.7478582953745</x:v>
      </x:c>
      <x:c r="X508" s="4" t="str">
        <x:f>""</x:f>
      </x:c>
      <x:c r="Y508" s="4" t="str">
        <x:f>""</x:f>
      </x:c>
      <x:c r="Z508" s="4" t="n">
        <x:f>IF('계산 과정'!$C$78,'계산 과정'!$C$89+-0.6*'계산 과정'!$C$91/2,"")</x:f>
        <x:v>-150.35974218565013</x:v>
      </x:c>
    </x:row>
    <x:row r="509" ht="23" customHeight="1">
      <x:c r="A509" s="17" t="n">
        <x:f>ROW()-6</x:f>
        <x:v>503</x:v>
      </x:c>
      <x:c r="B509" s="4" t="n">
        <x:f>IF('계산 과정'!$L$5,'계산 과정'!$L$11*SQRT((A509+0.5)/'계산 과정'!$L$30),"")</x:f>
        <x:v>74.37483587166764</x:v>
      </x:c>
      <x:c r="C509" s="4" t="n">
        <x:f>A509*PI()*(3-SQRT(5))</x:f>
        <x:v>1207.1815045535125</x:v>
      </x:c>
      <x:c r="D509" s="4" t="n">
        <x:f>IF('계산 과정'!$L$5,B509*COS(C509),"")</x:f>
        <x:v>51.285341821765904</x:v>
      </x:c>
      <x:c r="E509" s="4" t="n">
        <x:f>IF('계산 과정'!$L$5,B509*SIN(C509),"")</x:f>
        <x:v>53.864922956986845</x:v>
      </x:c>
      <x:c r="F509" s="4" t="n">
        <x:f>IF('계산 과정'!$L$7,'계산 과정'!$L$22+'계산 과정'!$C$49*D509+'계산 과정'!$D$49*E509,"")</x:f>
        <x:v>613.7357870223593</x:v>
      </x:c>
      <x:c r="G509" s="4" t="n">
        <x:f>IF('계산 과정'!$L$7,IF(ABS(F509)&gt;=1E-12*MAX(1,SQRT((D509-'계산 과정'!$C$33)^2+(E509-'계산 과정'!$D$33)^2+'계산 과정'!$E$33^2)),('계산 과정'!$L$23-'계산 과정'!$C$49*D509-'계산 과정'!$D$49*E509)/F509,""),"")</x:f>
        <x:v>0.7108339161616251</x:v>
      </x:c>
      <x:c r="H509" s="4" t="n">
        <x:f>IF(AND(ISNUMBER(G509),G509&gt;0),('계산 과정'!$D$56+'계산 과정'!$D$57*D509+'계산 과정'!$D$58*E509)/F509,"")</x:f>
        <x:v>62.042045505056194</x:v>
      </x:c>
      <x:c r="I509" s="4" t="n">
        <x:f>IF(AND(ISNUMBER(G509),G509&gt;0),('계산 과정'!$E$56+'계산 과정'!$E$57*D509+'계산 과정'!$E$58*E509)/F509,"")</x:f>
        <x:v>92.15393708624603</x:v>
      </x:c>
      <x:c r="J509" s="4" t="n">
        <x:f>IF('계산 과정'!$L$5,'계산 과정'!$D$6+'계산 과정'!$C$35*D509+'계산 과정'!$D$35*E509,"")</x:f>
        <x:v>613.7357870223593</x:v>
      </x:c>
      <x:c r="K509" s="4" t="n">
        <x:f>IF(AND('계산 과정'!$L$6,J509&gt;0),'계산 과정'!$D$10*('계산 과정'!$C$38*(D509-'계산 과정'!$C$32)+'계산 과정'!$D$38*(E509-'계산 과정'!$D$32)-'계산 과정'!$E$38*'계산 과정'!$E$32)/J509,"")</x:f>
        <x:v>0.47270129908614344</x:v>
      </x:c>
      <x:c r="L509" s="4" t="n">
        <x:f>IF(AND('계산 과정'!$L$6,J509&gt;0),'계산 과정'!$D$10*('계산 과정'!$C$39*(D509-'계산 과정'!$C$32)+'계산 과정'!$D$39*(E509-'계산 과정'!$D$32)-'계산 과정'!$E$39*'계산 과정'!$E$32)/J509,"")</x:f>
        <x:v>0.7021252349428269</x:v>
      </x:c>
      <x:c r="M509" s="17" t="n">
        <x:f>IF('계산 과정'!$L$6,IF(J509&lt;=0,0,IF(AND(ABS(K509)&lt;='계산 과정'!$D$11/2,ABS(L509)&lt;='계산 과정'!$D$12/2),1,0)),"")</x:f>
        <x:v>1</x:v>
      </x:c>
      <x:c r="N509" s="17" t="n">
        <x:f>IF('계산 과정'!$C$78,IF(AND(ISNUMBER(H509),ISNUMBER(I509),ABS(H509-'계산 과정'!$C$88)&lt;='계산 과정'!$D$23/2,ABS(I509-'계산 과정'!$C$89)&lt;='계산 과정'!$D$24/2),1,0),"")</x:f>
        <x:v>1</x:v>
      </x:c>
      <x:c r="O509" s="4" t="n">
        <x:f>IF('계산 과정'!$L$7,'계산 과정'!$C$49*('계산 과정'!$C$32-D509)+'계산 과정'!$D$49*('계산 과정'!$D$32-E509)+'계산 과정'!$E$49*'계산 과정'!$E$32,"")</x:f>
        <x:v>36.264212977640796</x:v>
      </x:c>
      <x:c r="P509" s="4" t="n">
        <x:f>IF(AND('계산 과정'!$L$7,O509&lt;&gt;0),('계산 과정'!$L$23-'계산 과정'!$C$49*D509-'계산 과정'!$D$49*E509)/O509,"")</x:f>
        <x:v>12.030158030635478</x:v>
      </x:c>
      <x:c r="Q509" s="4" t="str">
        <x:f>IF(AND(ISNUMBER(P509),P509&gt;1E-9,P509&lt;1-1E-9),'계산 과정'!$C$47*(D509-'계산 과정'!$C$50+P509*('계산 과정'!$C$32-D509))+'계산 과정'!$D$47*(E509-'계산 과정'!$D$50+P509*('계산 과정'!$D$32-E509))+'계산 과정'!$E$47*(0-'계산 과정'!$E$50+P509*('계산 과정'!$E$32-0)),"")</x:f>
      </x:c>
      <x:c r="R509" s="4" t="str">
        <x:f>IF(AND(ISNUMBER(P509),P509&gt;1E-9,P509&lt;1-1E-9),'계산 과정'!$C$48*(D509-'계산 과정'!$C$50+P509*('계산 과정'!$C$32-D509))+'계산 과정'!$D$48*(E509-'계산 과정'!$D$50+P509*('계산 과정'!$D$32-E509))+'계산 과정'!$E$48*(0-'계산 과정'!$E$50+P509*('계산 과정'!$E$32-0)),"")</x:f>
      </x:c>
      <x:c r="S509" s="17" t="n">
        <x:f>IF('계산 과정'!$C$78,IF(AND(ISNUMBER(Q509),ISNUMBER(R509),ABS(Q509-'계산 과정'!$C$88)&lt;='계산 과정'!$D$23/2,ABS(R509-'계산 과정'!$C$89)&lt;='계산 과정'!$D$24/2),1,0),"")</x:f>
        <x:v>0</x:v>
      </x:c>
      <x:c r="T509" s="4"/>
      <x:c r="U509" s="4"/>
      <x:c r="V509" s="4"/>
      <x:c r="W509" s="4" t="n">
        <x:f>IF('계산 과정'!$C$78,'계산 과정'!$C$88+1*'계산 과정'!$C$90/2,"")</x:f>
        <x:v>209.7478582953745</x:v>
      </x:c>
      <x:c r="X509" s="4" t="str">
        <x:f>""</x:f>
      </x:c>
      <x:c r="Y509" s="4" t="str">
        <x:f>""</x:f>
      </x:c>
      <x:c r="Z509" s="4" t="n">
        <x:f>IF('계산 과정'!$C$78,'계산 과정'!$C$89+-0.56*'계산 과정'!$C$91/2,"")</x:f>
        <x:v>-140.33575937327348</x:v>
      </x:c>
    </x:row>
    <x:row r="510" ht="23" customHeight="1">
      <x:c r="A510" s="17" t="n">
        <x:f>ROW()-6</x:f>
        <x:v>504</x:v>
      </x:c>
      <x:c r="B510" s="4" t="n">
        <x:f>IF('계산 과정'!$L$5,'계산 과정'!$L$11*SQRT((A510+0.5)/'계산 과정'!$L$30),"")</x:f>
        <x:v>74.44865706688401</x:v>
      </x:c>
      <x:c r="C510" s="4" t="n">
        <x:f>A510*PI()*(3-SQRT(5))</x:f>
        <x:v>1209.5814677832411</x:v>
      </x:c>
      <x:c r="D510" s="4" t="n">
        <x:f>IF('계산 과정'!$L$5,B510*COS(C510),"")</x:f>
        <x:v>-74.27509671722132</x:v>
      </x:c>
      <x:c r="E510" s="4" t="n">
        <x:f>IF('계산 과정'!$L$5,B510*SIN(C510),"")</x:f>
        <x:v>-5.080604955112989</x:v>
      </x:c>
      <x:c r="F510" s="4" t="n">
        <x:f>IF('계산 과정'!$L$7,'계산 과정'!$L$22+'계산 과정'!$C$49*D510+'계산 과정'!$D$49*E510,"")</x:f>
        <x:v>702.5204245620339</x:v>
      </x:c>
      <x:c r="G510" s="4" t="n">
        <x:f>IF('계산 과정'!$L$7,IF(ABS(F510)&gt;=1E-12*MAX(1,SQRT((D510-'계산 과정'!$C$33)^2+(E510-'계산 과정'!$D$33)^2+'계산 과정'!$E$33^2)),('계산 과정'!$L$23-'계산 과정'!$C$49*D510-'계산 과정'!$D$49*E510)/F510,""),"")</x:f>
        <x:v>0.4946184670069803</x:v>
      </x:c>
      <x:c r="H510" s="4" t="n">
        <x:f>IF(AND(ISNUMBER(G510),G510&gt;0),('계산 과정'!$D$56+'계산 과정'!$D$57*D510+'계산 과정'!$D$58*E510)/F510,"")</x:f>
        <x:v>-78.49799644546293</x:v>
      </x:c>
      <x:c r="I510" s="4" t="n">
        <x:f>IF(AND(ISNUMBER(G510),G510&gt;0),('계산 과정'!$E$56+'계산 과정'!$E$57*D510+'계산 과정'!$E$58*E510)/F510,"")</x:f>
        <x:v>-7.593565989479043</x:v>
      </x:c>
      <x:c r="J510" s="4" t="n">
        <x:f>IF('계산 과정'!$L$5,'계산 과정'!$D$6+'계산 과정'!$C$35*D510+'계산 과정'!$D$35*E510,"")</x:f>
        <x:v>702.5204245620339</x:v>
      </x:c>
      <x:c r="K510" s="4" t="n">
        <x:f>IF(AND('계산 과정'!$L$6,J510&gt;0),'계산 과정'!$D$10*('계산 과정'!$C$38*(D510-'계산 과정'!$C$32)+'계산 과정'!$D$38*(E510-'계산 과정'!$D$32)-'계산 과정'!$E$38*'계산 과정'!$E$32)/J510,"")</x:f>
        <x:v>-0.5980799729178122</x:v>
      </x:c>
      <x:c r="L510" s="4" t="n">
        <x:f>IF(AND('계산 과정'!$L$6,J510&gt;0),'계산 과정'!$D$10*('계산 과정'!$C$39*(D510-'계산 과정'!$C$32)+'계산 과정'!$D$39*(E510-'계산 과정'!$D$32)-'계산 과정'!$E$39*'계산 과정'!$E$32)/J510,"")</x:f>
        <x:v>-0.05785574087222128</x:v>
      </x:c>
      <x:c r="M510" s="17" t="n">
        <x:f>IF('계산 과정'!$L$6,IF(J510&lt;=0,0,IF(AND(ABS(K510)&lt;='계산 과정'!$D$11/2,ABS(L510)&lt;='계산 과정'!$D$12/2),1,0)),"")</x:f>
        <x:v>1</x:v>
      </x:c>
      <x:c r="N510" s="17" t="n">
        <x:f>IF('계산 과정'!$C$78,IF(AND(ISNUMBER(H510),ISNUMBER(I510),ABS(H510-'계산 과정'!$C$88)&lt;='계산 과정'!$D$23/2,ABS(I510-'계산 과정'!$C$89)&lt;='계산 과정'!$D$24/2),1,0),"")</x:f>
        <x:v>1</x:v>
      </x:c>
      <x:c r="O510" s="4" t="n">
        <x:f>IF('계산 과정'!$L$7,'계산 과정'!$C$49*('계산 과정'!$C$32-D510)+'계산 과정'!$D$49*('계산 과정'!$D$32-E510)+'계산 과정'!$E$49*'계산 과정'!$E$32,"")</x:f>
        <x:v>-52.52042456203378</x:v>
      </x:c>
      <x:c r="P510" s="4" t="n">
        <x:f>IF(AND('계산 과정'!$L$7,O510&lt;&gt;0),('계산 과정'!$L$23-'계산 과정'!$C$49*D510-'계산 과정'!$D$49*E510)/O510,"")</x:f>
        <x:v>-6.616084662978027</x:v>
      </x:c>
      <x:c r="Q510" s="4" t="str">
        <x:f>IF(AND(ISNUMBER(P510),P510&gt;1E-9,P510&lt;1-1E-9),'계산 과정'!$C$47*(D510-'계산 과정'!$C$50+P510*('계산 과정'!$C$32-D510))+'계산 과정'!$D$47*(E510-'계산 과정'!$D$50+P510*('계산 과정'!$D$32-E510))+'계산 과정'!$E$47*(0-'계산 과정'!$E$50+P510*('계산 과정'!$E$32-0)),"")</x:f>
      </x:c>
      <x:c r="R510" s="4" t="str">
        <x:f>IF(AND(ISNUMBER(P510),P510&gt;1E-9,P510&lt;1-1E-9),'계산 과정'!$C$48*(D510-'계산 과정'!$C$50+P510*('계산 과정'!$C$32-D510))+'계산 과정'!$D$48*(E510-'계산 과정'!$D$50+P510*('계산 과정'!$D$32-E510))+'계산 과정'!$E$48*(0-'계산 과정'!$E$50+P510*('계산 과정'!$E$32-0)),"")</x:f>
      </x:c>
      <x:c r="S510" s="17" t="n">
        <x:f>IF('계산 과정'!$C$78,IF(AND(ISNUMBER(Q510),ISNUMBER(R510),ABS(Q510-'계산 과정'!$C$88)&lt;='계산 과정'!$D$23/2,ABS(R510-'계산 과정'!$C$89)&lt;='계산 과정'!$D$24/2),1,0),"")</x:f>
        <x:v>0</x:v>
      </x:c>
      <x:c r="T510" s="4"/>
      <x:c r="U510" s="4"/>
      <x:c r="V510" s="4"/>
      <x:c r="W510" s="4" t="n">
        <x:f>IF('계산 과정'!$C$78,'계산 과정'!$C$88+1*'계산 과정'!$C$90/2,"")</x:f>
        <x:v>209.7478582953745</x:v>
      </x:c>
      <x:c r="X510" s="4" t="str">
        <x:f>""</x:f>
      </x:c>
      <x:c r="Y510" s="4" t="str">
        <x:f>""</x:f>
      </x:c>
      <x:c r="Z510" s="4" t="n">
        <x:f>IF('계산 과정'!$C$78,'계산 과정'!$C$89+-0.52*'계산 과정'!$C$91/2,"")</x:f>
        <x:v>-130.3117765608968</x:v>
      </x:c>
    </x:row>
    <x:row r="511" ht="23" customHeight="1">
      <x:c r="A511" s="17" t="n">
        <x:f>ROW()-6</x:f>
        <x:v>505</x:v>
      </x:c>
      <x:c r="B511" s="4" t="n">
        <x:f>IF('계산 과정'!$L$5,'계산 과정'!$L$11*SQRT((A511+0.5)/'계산 과정'!$L$30),"")</x:f>
        <x:v>74.52240513555303</x:v>
      </x:c>
      <x:c r="C511" s="4" t="n">
        <x:f>A511*PI()*(3-SQRT(5))</x:f>
        <x:v>1211.9814310129698</x:v>
      </x:c>
      <x:c r="D511" s="4" t="n">
        <x:f>IF('계산 과정'!$L$5,B511*COS(C511),"")</x:f>
        <x:v>58.25769643260551</x:v>
      </x:c>
      <x:c r="E511" s="4" t="n">
        <x:f>IF('계산 과정'!$L$5,B511*SIN(C511),"")</x:f>
        <x:v>-46.4718159054914</x:v>
      </x:c>
      <x:c r="F511" s="4" t="n">
        <x:f>IF('계산 과정'!$L$7,'계산 과정'!$L$22+'계산 과정'!$C$49*D511+'계산 과정'!$D$49*E511,"")</x:f>
        <x:v>608.8055877961973</x:v>
      </x:c>
      <x:c r="G511" s="4" t="n">
        <x:f>IF('계산 과정'!$L$7,IF(ABS(F511)&gt;=1E-12*MAX(1,SQRT((D511-'계산 과정'!$C$33)^2+(E511-'계산 과정'!$D$33)^2+'계산 과정'!$E$33^2)),('계산 과정'!$L$23-'계산 과정'!$C$49*D511-'계산 과정'!$D$49*E511)/F511,""),"")</x:f>
        <x:v>0.7246885065573613</x:v>
      </x:c>
      <x:c r="H511" s="4" t="n">
        <x:f>IF(AND(ISNUMBER(G511),G511&gt;0),('계산 과정'!$D$56+'계산 과정'!$D$57*D511+'계산 과정'!$D$58*E511)/F511,"")</x:f>
        <x:v>71.04752926228471</x:v>
      </x:c>
      <x:c r="I511" s="4" t="n">
        <x:f>IF(AND(ISNUMBER(G511),G511&gt;0),('계산 과정'!$E$56+'계산 과정'!$E$57*D511+'계산 과정'!$E$58*E511)/F511,"")</x:f>
        <x:v>-80.1494067710506</x:v>
      </x:c>
      <x:c r="J511" s="4" t="n">
        <x:f>IF('계산 과정'!$L$5,'계산 과정'!$D$6+'계산 과정'!$C$35*D511+'계산 과정'!$D$35*E511,"")</x:f>
        <x:v>608.8055877961973</x:v>
      </x:c>
      <x:c r="K511" s="4" t="n">
        <x:f>IF(AND('계산 과정'!$L$6,J511&gt;0),'계산 과정'!$D$10*('계산 과정'!$C$38*(D511-'계산 과정'!$C$32)+'계산 과정'!$D$38*(E511-'계산 과정'!$D$32)-'계산 과정'!$E$38*'계산 과정'!$E$32)/J511,"")</x:f>
        <x:v>0.5413145086650272</x:v>
      </x:c>
      <x:c r="L511" s="4" t="n">
        <x:f>IF(AND('계산 과정'!$L$6,J511&gt;0),'계산 과정'!$D$10*('계산 과정'!$C$39*(D511-'계산 과정'!$C$32)+'계산 과정'!$D$39*(E511-'계산 과정'!$D$32)-'계산 과정'!$E$39*'계산 과정'!$E$32)/J511,"")</x:f>
        <x:v>-0.6106621468270521</x:v>
      </x:c>
      <x:c r="M511" s="17" t="n">
        <x:f>IF('계산 과정'!$L$6,IF(J511&lt;=0,0,IF(AND(ABS(K511)&lt;='계산 과정'!$D$11/2,ABS(L511)&lt;='계산 과정'!$D$12/2),1,0)),"")</x:f>
        <x:v>1</x:v>
      </x:c>
      <x:c r="N511" s="17" t="n">
        <x:f>IF('계산 과정'!$C$78,IF(AND(ISNUMBER(H511),ISNUMBER(I511),ABS(H511-'계산 과정'!$C$88)&lt;='계산 과정'!$D$23/2,ABS(I511-'계산 과정'!$C$89)&lt;='계산 과정'!$D$24/2),1,0),"")</x:f>
        <x:v>1</x:v>
      </x:c>
      <x:c r="O511" s="4" t="n">
        <x:f>IF('계산 과정'!$L$7,'계산 과정'!$C$49*('계산 과정'!$C$32-D511)+'계산 과정'!$D$49*('계산 과정'!$D$32-E511)+'계산 과정'!$E$49*'계산 과정'!$E$32,"")</x:f>
        <x:v>41.19441220380281</x:v>
      </x:c>
      <x:c r="P511" s="4" t="n">
        <x:f>IF(AND('계산 과정'!$L$7,O511&lt;&gt;0),('계산 과정'!$L$23-'계산 과정'!$C$49*D511-'계산 과정'!$D$49*E511)/O511,"")</x:f>
        <x:v>10.71005480114787</x:v>
      </x:c>
      <x:c r="Q511" s="4" t="str">
        <x:f>IF(AND(ISNUMBER(P511),P511&gt;1E-9,P511&lt;1-1E-9),'계산 과정'!$C$47*(D511-'계산 과정'!$C$50+P511*('계산 과정'!$C$32-D511))+'계산 과정'!$D$47*(E511-'계산 과정'!$D$50+P511*('계산 과정'!$D$32-E511))+'계산 과정'!$E$47*(0-'계산 과정'!$E$50+P511*('계산 과정'!$E$32-0)),"")</x:f>
      </x:c>
      <x:c r="R511" s="4" t="str">
        <x:f>IF(AND(ISNUMBER(P511),P511&gt;1E-9,P511&lt;1-1E-9),'계산 과정'!$C$48*(D511-'계산 과정'!$C$50+P511*('계산 과정'!$C$32-D511))+'계산 과정'!$D$48*(E511-'계산 과정'!$D$50+P511*('계산 과정'!$D$32-E511))+'계산 과정'!$E$48*(0-'계산 과정'!$E$50+P511*('계산 과정'!$E$32-0)),"")</x:f>
      </x:c>
      <x:c r="S511" s="17" t="n">
        <x:f>IF('계산 과정'!$C$78,IF(AND(ISNUMBER(Q511),ISNUMBER(R511),ABS(Q511-'계산 과정'!$C$88)&lt;='계산 과정'!$D$23/2,ABS(R511-'계산 과정'!$C$89)&lt;='계산 과정'!$D$24/2),1,0),"")</x:f>
        <x:v>0</x:v>
      </x:c>
      <x:c r="T511" s="4"/>
      <x:c r="U511" s="4"/>
      <x:c r="V511" s="4"/>
      <x:c r="W511" s="4" t="n">
        <x:f>IF('계산 과정'!$C$78,'계산 과정'!$C$88+1*'계산 과정'!$C$90/2,"")</x:f>
        <x:v>209.7478582953745</x:v>
      </x:c>
      <x:c r="X511" s="4" t="str">
        <x:f>""</x:f>
      </x:c>
      <x:c r="Y511" s="4" t="str">
        <x:f>""</x:f>
      </x:c>
      <x:c r="Z511" s="4" t="n">
        <x:f>IF('계산 과정'!$C$78,'계산 과정'!$C$89+-0.48*'계산 과정'!$C$91/2,"")</x:f>
        <x:v>-120.2877937485201</x:v>
      </x:c>
    </x:row>
    <x:row r="512" ht="23" customHeight="1">
      <x:c r="A512" s="17" t="n">
        <x:f>ROW()-6</x:f>
        <x:v>506</x:v>
      </x:c>
      <x:c r="B512" s="4" t="n">
        <x:f>IF('계산 과정'!$L$5,'계산 과정'!$L$11*SQRT((A512+0.5)/'계산 과정'!$L$30),"")</x:f>
        <x:v>74.59608029456038</x:v>
      </x:c>
      <x:c r="C512" s="4" t="n">
        <x:f>A512*PI()*(3-SQRT(5))</x:f>
        <x:v>1214.3813942426984</x:v>
      </x:c>
      <x:c r="D512" s="4" t="n">
        <x:f>IF('계산 과정'!$L$5,B512*COS(C512),"")</x:f>
        <x:v>-11.577586313008613</x:v>
      </x:c>
      <x:c r="E512" s="4" t="n">
        <x:f>IF('계산 과정'!$L$5,B512*SIN(C512),"")</x:f>
        <x:v>73.69216166240027</x:v>
      </x:c>
      <x:c r="F512" s="4" t="n">
        <x:f>IF('계산 과정'!$L$7,'계산 과정'!$L$22+'계산 과정'!$C$49*D512+'계산 과정'!$D$49*E512,"")</x:f>
        <x:v>658.186589791701</x:v>
      </x:c>
      <x:c r="G512" s="4" t="n">
        <x:f>IF('계산 과정'!$L$7,IF(ABS(F512)&gt;=1E-12*MAX(1,SQRT((D512-'계산 과정'!$C$33)^2+(E512-'계산 과정'!$D$33)^2+'계산 과정'!$E$33^2)),('계산 과정'!$L$23-'계산 과정'!$C$49*D512-'계산 과정'!$D$49*E512)/F512,""),"")</x:f>
        <x:v>0.5952923020389976</x:v>
      </x:c>
      <x:c r="H512" s="4" t="n">
        <x:f>IF(AND(ISNUMBER(G512),G512&gt;0),('계산 과정'!$D$56+'계산 과정'!$D$57*D512+'계산 과정'!$D$58*E512)/F512,"")</x:f>
        <x:v>-13.06000367465168</x:v>
      </x:c>
      <x:c r="I512" s="4" t="n">
        <x:f>IF(AND(ISNUMBER(G512),G512&gt;0),('계산 과정'!$E$56+'계산 과정'!$E$57*D512+'계산 과정'!$E$58*E512)/F512,"")</x:f>
        <x:v>117.5605382206405</x:v>
      </x:c>
      <x:c r="J512" s="4" t="n">
        <x:f>IF('계산 과정'!$L$5,'계산 과정'!$D$6+'계산 과정'!$C$35*D512+'계산 과정'!$D$35*E512,"")</x:f>
        <x:v>658.186589791701</x:v>
      </x:c>
      <x:c r="K512" s="4" t="n">
        <x:f>IF(AND('계산 과정'!$L$6,J512&gt;0),'계산 과정'!$D$10*('계산 과정'!$C$38*(D512-'계산 과정'!$C$32)+'계산 과정'!$D$38*(E512-'계산 과정'!$D$32)-'계산 과정'!$E$38*'계산 과정'!$E$32)/J512,"")</x:f>
        <x:v>-0.09950478990210722</x:v>
      </x:c>
      <x:c r="L512" s="4" t="n">
        <x:f>IF(AND('계산 과정'!$L$6,J512&gt;0),'계산 과정'!$D$10*('계산 과정'!$C$39*(D512-'계산 과정'!$C$32)+'계산 과정'!$D$39*(E512-'계산 과정'!$D$32)-'계산 과정'!$E$39*'계산 과정'!$E$32)/J512,"")</x:f>
        <x:v>0.8956993388239275</x:v>
      </x:c>
      <x:c r="M512" s="17" t="n">
        <x:f>IF('계산 과정'!$L$6,IF(J512&lt;=0,0,IF(AND(ABS(K512)&lt;='계산 과정'!$D$11/2,ABS(L512)&lt;='계산 과정'!$D$12/2),1,0)),"")</x:f>
        <x:v>1</x:v>
      </x:c>
      <x:c r="N512" s="17" t="n">
        <x:f>IF('계산 과정'!$C$78,IF(AND(ISNUMBER(H512),ISNUMBER(I512),ABS(H512-'계산 과정'!$C$88)&lt;='계산 과정'!$D$23/2,ABS(I512-'계산 과정'!$C$89)&lt;='계산 과정'!$D$24/2),1,0),"")</x:f>
        <x:v>1</x:v>
      </x:c>
      <x:c r="O512" s="4" t="n">
        <x:f>IF('계산 과정'!$L$7,'계산 과정'!$C$49*('계산 과정'!$C$32-D512)+'계산 과정'!$D$49*('계산 과정'!$D$32-E512)+'계산 과정'!$E$49*'계산 과정'!$E$32,"")</x:f>
        <x:v>-8.18658979170084</x:v>
      </x:c>
      <x:c r="P512" s="4" t="n">
        <x:f>IF(AND('계산 과정'!$L$7,O512&lt;&gt;0),('계산 과정'!$L$23-'계산 과정'!$C$49*D512-'계산 과정'!$D$49*E512)/O512,"")</x:f>
        <x:v>-47.860393665442984</x:v>
      </x:c>
      <x:c r="Q512" s="4" t="str">
        <x:f>IF(AND(ISNUMBER(P512),P512&gt;1E-9,P512&lt;1-1E-9),'계산 과정'!$C$47*(D512-'계산 과정'!$C$50+P512*('계산 과정'!$C$32-D512))+'계산 과정'!$D$47*(E512-'계산 과정'!$D$50+P512*('계산 과정'!$D$32-E512))+'계산 과정'!$E$47*(0-'계산 과정'!$E$50+P512*('계산 과정'!$E$32-0)),"")</x:f>
      </x:c>
      <x:c r="R512" s="4" t="str">
        <x:f>IF(AND(ISNUMBER(P512),P512&gt;1E-9,P512&lt;1-1E-9),'계산 과정'!$C$48*(D512-'계산 과정'!$C$50+P512*('계산 과정'!$C$32-D512))+'계산 과정'!$D$48*(E512-'계산 과정'!$D$50+P512*('계산 과정'!$D$32-E512))+'계산 과정'!$E$48*(0-'계산 과정'!$E$50+P512*('계산 과정'!$E$32-0)),"")</x:f>
      </x:c>
      <x:c r="S512" s="17" t="n">
        <x:f>IF('계산 과정'!$C$78,IF(AND(ISNUMBER(Q512),ISNUMBER(R512),ABS(Q512-'계산 과정'!$C$88)&lt;='계산 과정'!$D$23/2,ABS(R512-'계산 과정'!$C$89)&lt;='계산 과정'!$D$24/2),1,0),"")</x:f>
        <x:v>0</x:v>
      </x:c>
      <x:c r="T512" s="4"/>
      <x:c r="U512" s="4"/>
      <x:c r="V512" s="4"/>
      <x:c r="W512" s="4" t="n">
        <x:f>IF('계산 과정'!$C$78,'계산 과정'!$C$88+1*'계산 과정'!$C$90/2,"")</x:f>
        <x:v>209.7478582953745</x:v>
      </x:c>
      <x:c r="X512" s="4" t="str">
        <x:f>""</x:f>
      </x:c>
      <x:c r="Y512" s="4" t="str">
        <x:f>""</x:f>
      </x:c>
      <x:c r="Z512" s="4" t="n">
        <x:f>IF('계산 과정'!$C$78,'계산 과정'!$C$89+-0.43999999999999995*'계산 과정'!$C$91/2,"")</x:f>
        <x:v>-110.26381093614341</x:v>
      </x:c>
    </x:row>
    <x:row r="513" ht="23" customHeight="1">
      <x:c r="A513" s="17" t="n">
        <x:f>ROW()-6</x:f>
        <x:v>507</x:v>
      </x:c>
      <x:c r="B513" s="4" t="n">
        <x:f>IF('계산 과정'!$L$5,'계산 과정'!$L$11*SQRT((A513+0.5)/'계산 과정'!$L$30),"")</x:f>
        <x:v>74.66968275972184</x:v>
      </x:c>
      <x:c r="C513" s="4" t="n">
        <x:f>A513*PI()*(3-SQRT(5))</x:f>
        <x:v>1216.7813574724269</x:v>
      </x:c>
      <x:c r="D513" s="4" t="n">
        <x:f>IF('계산 과정'!$L$5,B513*COS(C513),"")</x:f>
        <x:v>-41.2820801910585</x:v>
      </x:c>
      <x:c r="E513" s="4" t="n">
        <x:f>IF('계산 과정'!$L$5,B513*SIN(C513),"")</x:f>
        <x:v>-62.220184655274984</x:v>
      </x:c>
      <x:c r="F513" s="4" t="n">
        <x:f>IF('계산 과정'!$L$7,'계산 과정'!$L$22+'계산 과정'!$C$49*D513+'계산 과정'!$D$49*E513,"")</x:f>
        <x:v>679.1908388445843</x:v>
      </x:c>
      <x:c r="G513" s="4" t="n">
        <x:f>IF('계산 과정'!$L$7,IF(ABS(F513)&gt;=1E-12*MAX(1,SQRT((D513-'계산 과정'!$C$33)^2+(E513-'계산 과정'!$D$33)^2+'계산 과정'!$E$33^2)),('계산 과정'!$L$23-'계산 과정'!$C$49*D513-'계산 과정'!$D$49*E513)/F513,""),"")</x:f>
        <x:v>0.5459572478719285</x:v>
      </x:c>
      <x:c r="H513" s="4" t="n">
        <x:f>IF(AND(ISNUMBER(G513),G513&gt;0),('계산 과정'!$D$56+'계산 과정'!$D$57*D513+'계산 과정'!$D$58*E513)/F513,"")</x:f>
        <x:v>-45.127788883246666</x:v>
      </x:c>
      <x:c r="I513" s="4" t="n">
        <x:f>IF(AND(ISNUMBER(G513),G513&gt;0),('계산 과정'!$E$56+'계산 과정'!$E$57*D513+'계산 과정'!$E$58*E513)/F513,"")</x:f>
        <x:v>-96.1897454317521</x:v>
      </x:c>
      <x:c r="J513" s="4" t="n">
        <x:f>IF('계산 과정'!$L$5,'계산 과정'!$D$6+'계산 과정'!$C$35*D513+'계산 과정'!$D$35*E513,"")</x:f>
        <x:v>679.1908388445843</x:v>
      </x:c>
      <x:c r="K513" s="4" t="n">
        <x:f>IF(AND('계산 과정'!$L$6,J513&gt;0),'계산 과정'!$D$10*('계산 과정'!$C$38*(D513-'계산 과정'!$C$32)+'계산 과정'!$D$38*(E513-'계산 과정'!$D$32)-'계산 과정'!$E$38*'계산 과정'!$E$32)/J513,"")</x:f>
        <x:v>-0.34383077244378346</x:v>
      </x:c>
      <x:c r="L513" s="4" t="n">
        <x:f>IF(AND('계산 과정'!$L$6,J513&gt;0),'계산 과정'!$D$10*('계산 과정'!$C$39*(D513-'계산 과정'!$C$32)+'계산 과정'!$D$39*(E513-'계산 과정'!$D$32)-'계산 과정'!$E$39*'계산 과정'!$E$32)/J513,"")</x:f>
        <x:v>-0.7328742509085875</x:v>
      </x:c>
      <x:c r="M513" s="17" t="n">
        <x:f>IF('계산 과정'!$L$6,IF(J513&lt;=0,0,IF(AND(ABS(K513)&lt;='계산 과정'!$D$11/2,ABS(L513)&lt;='계산 과정'!$D$12/2),1,0)),"")</x:f>
        <x:v>1</x:v>
      </x:c>
      <x:c r="N513" s="17" t="n">
        <x:f>IF('계산 과정'!$C$78,IF(AND(ISNUMBER(H513),ISNUMBER(I513),ABS(H513-'계산 과정'!$C$88)&lt;='계산 과정'!$D$23/2,ABS(I513-'계산 과정'!$C$89)&lt;='계산 과정'!$D$24/2),1,0),"")</x:f>
        <x:v>1</x:v>
      </x:c>
      <x:c r="O513" s="4" t="n">
        <x:f>IF('계산 과정'!$L$7,'계산 과정'!$C$49*('계산 과정'!$C$32-D513)+'계산 과정'!$D$49*('계산 과정'!$D$32-E513)+'계산 과정'!$E$49*'계산 과정'!$E$32,"")</x:f>
        <x:v>-29.19083884458422</x:v>
      </x:c>
      <x:c r="P513" s="4" t="n">
        <x:f>IF(AND('계산 과정'!$L$7,O513&lt;&gt;0),('계산 과정'!$L$23-'계산 과정'!$C$49*D513-'계산 과정'!$D$49*E513)/O513,"")</x:f>
        <x:v>-12.702929269338624</x:v>
      </x:c>
      <x:c r="Q513" s="4" t="str">
        <x:f>IF(AND(ISNUMBER(P513),P513&gt;1E-9,P513&lt;1-1E-9),'계산 과정'!$C$47*(D513-'계산 과정'!$C$50+P513*('계산 과정'!$C$32-D513))+'계산 과정'!$D$47*(E513-'계산 과정'!$D$50+P513*('계산 과정'!$D$32-E513))+'계산 과정'!$E$47*(0-'계산 과정'!$E$50+P513*('계산 과정'!$E$32-0)),"")</x:f>
      </x:c>
      <x:c r="R513" s="4" t="str">
        <x:f>IF(AND(ISNUMBER(P513),P513&gt;1E-9,P513&lt;1-1E-9),'계산 과정'!$C$48*(D513-'계산 과정'!$C$50+P513*('계산 과정'!$C$32-D513))+'계산 과정'!$D$48*(E513-'계산 과정'!$D$50+P513*('계산 과정'!$D$32-E513))+'계산 과정'!$E$48*(0-'계산 과정'!$E$50+P513*('계산 과정'!$E$32-0)),"")</x:f>
      </x:c>
      <x:c r="S513" s="17" t="n">
        <x:f>IF('계산 과정'!$C$78,IF(AND(ISNUMBER(Q513),ISNUMBER(R513),ABS(Q513-'계산 과정'!$C$88)&lt;='계산 과정'!$D$23/2,ABS(R513-'계산 과정'!$C$89)&lt;='계산 과정'!$D$24/2),1,0),"")</x:f>
        <x:v>0</x:v>
      </x:c>
      <x:c r="T513" s="4"/>
      <x:c r="U513" s="4"/>
      <x:c r="V513" s="4"/>
      <x:c r="W513" s="4" t="n">
        <x:f>IF('계산 과정'!$C$78,'계산 과정'!$C$88+1*'계산 과정'!$C$90/2,"")</x:f>
        <x:v>209.7478582953745</x:v>
      </x:c>
      <x:c r="X513" s="4" t="str">
        <x:f>""</x:f>
      </x:c>
      <x:c r="Y513" s="4" t="str">
        <x:f>""</x:f>
      </x:c>
      <x:c r="Z513" s="4" t="n">
        <x:f>IF('계산 과정'!$C$78,'계산 과정'!$C$89+-0.4*'계산 과정'!$C$91/2,"")</x:f>
        <x:v>-100.23982812376676</x:v>
      </x:c>
    </x:row>
    <x:row r="514" ht="23" customHeight="1">
      <x:c r="A514" s="17" t="n">
        <x:f>ROW()-6</x:f>
        <x:v>508</x:v>
      </x:c>
      <x:c r="B514" s="4" t="n">
        <x:f>IF('계산 과정'!$L$5,'계산 과정'!$L$11*SQRT((A514+0.5)/'계산 과정'!$L$30),"")</x:f>
        <x:v>74.7432127457905</x:v>
      </x:c>
      <x:c r="C514" s="4" t="n">
        <x:f>A514*PI()*(3-SQRT(5))</x:f>
        <x:v>1219.1813207021557</x:v>
      </x:c>
      <x:c r="D514" s="4" t="n">
        <x:f>IF('계산 과정'!$L$5,B514*COS(C514),"")</x:f>
        <x:v>72.54061513788726</x:v>
      </x:c>
      <x:c r="E514" s="4" t="n">
        <x:f>IF('계산 과정'!$L$5,B514*SIN(C514),"")</x:f>
        <x:v>18.01130220110203</x:v>
      </x:c>
      <x:c r="F514" s="4" t="n">
        <x:f>IF('계산 과정'!$L$7,'계산 과정'!$L$22+'계산 과정'!$C$49*D514+'계산 과정'!$D$49*E514,"")</x:f>
        <x:v>598.7060391245564</x:v>
      </x:c>
      <x:c r="G514" s="4" t="n">
        <x:f>IF('계산 과정'!$L$7,IF(ABS(F514)&gt;=1E-12*MAX(1,SQRT((D514-'계산 과정'!$C$33)^2+(E514-'계산 과정'!$D$33)^2+'계산 과정'!$E$33^2)),('계산 과정'!$L$23-'계산 과정'!$C$49*D514-'계산 과정'!$D$49*E514)/F514,""),"")</x:f>
        <x:v>0.7537822092714105</x:v>
      </x:c>
      <x:c r="H514" s="4" t="n">
        <x:f>IF(AND(ISNUMBER(G514),G514&gt;0),('계산 과정'!$D$56+'계산 과정'!$D$57*D514+'계산 과정'!$D$58*E514)/F514,"")</x:f>
        <x:v>89.95843602641668</x:v>
      </x:c>
      <x:c r="I514" s="4" t="n">
        <x:f>IF(AND(ISNUMBER(G514),G514&gt;0),('계산 과정'!$E$56+'계산 과정'!$E$57*D514+'계산 과정'!$E$58*E514)/F514,"")</x:f>
        <x:v>31.587901366103736</x:v>
      </x:c>
      <x:c r="J514" s="4" t="n">
        <x:f>IF('계산 과정'!$L$5,'계산 과정'!$D$6+'계산 과정'!$C$35*D514+'계산 과정'!$D$35*E514,"")</x:f>
        <x:v>598.7060391245564</x:v>
      </x:c>
      <x:c r="K514" s="4" t="n">
        <x:f>IF(AND('계산 과정'!$L$6,J514&gt;0),'계산 과정'!$D$10*('계산 과정'!$C$38*(D514-'계산 과정'!$C$32)+'계산 과정'!$D$38*(E514-'계산 과정'!$D$32)-'계산 과정'!$E$38*'계산 과정'!$E$32)/J514,"")</x:f>
        <x:v>0.6853976078203181</x:v>
      </x:c>
      <x:c r="L514" s="4" t="n">
        <x:f>IF(AND('계산 과정'!$L$6,J514&gt;0),'계산 과정'!$D$10*('계산 과정'!$C$39*(D514-'계산 과정'!$C$32)+'계산 과정'!$D$39*(E514-'계산 과정'!$D$32)-'계산 과정'!$E$39*'계산 과정'!$E$32)/J514,"")</x:f>
        <x:v>0.2406697246941237</x:v>
      </x:c>
      <x:c r="M514" s="17" t="n">
        <x:f>IF('계산 과정'!$L$6,IF(J514&lt;=0,0,IF(AND(ABS(K514)&lt;='계산 과정'!$D$11/2,ABS(L514)&lt;='계산 과정'!$D$12/2),1,0)),"")</x:f>
        <x:v>1</x:v>
      </x:c>
      <x:c r="N514" s="17" t="n">
        <x:f>IF('계산 과정'!$C$78,IF(AND(ISNUMBER(H514),ISNUMBER(I514),ABS(H514-'계산 과정'!$C$88)&lt;='계산 과정'!$D$23/2,ABS(I514-'계산 과정'!$C$89)&lt;='계산 과정'!$D$24/2),1,0),"")</x:f>
        <x:v>1</x:v>
      </x:c>
      <x:c r="O514" s="4" t="n">
        <x:f>IF('계산 과정'!$L$7,'계산 과정'!$C$49*('계산 과정'!$C$32-D514)+'계산 과정'!$D$49*('계산 과정'!$D$32-E514)+'계산 과정'!$E$49*'계산 과정'!$E$32,"")</x:f>
        <x:v>51.2939608754437</x:v>
      </x:c>
      <x:c r="P514" s="4" t="n">
        <x:f>IF(AND('계산 과정'!$L$7,O514&lt;&gt;0),('계산 과정'!$L$23-'계산 과정'!$C$49*D514-'계산 과정'!$D$49*E514)/O514,"")</x:f>
        <x:v>8.798188971432982</x:v>
      </x:c>
      <x:c r="Q514" s="4" t="str">
        <x:f>IF(AND(ISNUMBER(P514),P514&gt;1E-9,P514&lt;1-1E-9),'계산 과정'!$C$47*(D514-'계산 과정'!$C$50+P514*('계산 과정'!$C$32-D514))+'계산 과정'!$D$47*(E514-'계산 과정'!$D$50+P514*('계산 과정'!$D$32-E514))+'계산 과정'!$E$47*(0-'계산 과정'!$E$50+P514*('계산 과정'!$E$32-0)),"")</x:f>
      </x:c>
      <x:c r="R514" s="4" t="str">
        <x:f>IF(AND(ISNUMBER(P514),P514&gt;1E-9,P514&lt;1-1E-9),'계산 과정'!$C$48*(D514-'계산 과정'!$C$50+P514*('계산 과정'!$C$32-D514))+'계산 과정'!$D$48*(E514-'계산 과정'!$D$50+P514*('계산 과정'!$D$32-E514))+'계산 과정'!$E$48*(0-'계산 과정'!$E$50+P514*('계산 과정'!$E$32-0)),"")</x:f>
      </x:c>
      <x:c r="S514" s="17" t="n">
        <x:f>IF('계산 과정'!$C$78,IF(AND(ISNUMBER(Q514),ISNUMBER(R514),ABS(Q514-'계산 과정'!$C$88)&lt;='계산 과정'!$D$23/2,ABS(R514-'계산 과정'!$C$89)&lt;='계산 과정'!$D$24/2),1,0),"")</x:f>
        <x:v>0</x:v>
      </x:c>
      <x:c r="T514" s="4"/>
      <x:c r="U514" s="4"/>
      <x:c r="V514" s="4"/>
      <x:c r="W514" s="4" t="n">
        <x:f>IF('계산 과정'!$C$78,'계산 과정'!$C$88+1*'계산 과정'!$C$90/2,"")</x:f>
        <x:v>209.7478582953745</x:v>
      </x:c>
      <x:c r="X514" s="4" t="str">
        <x:f>""</x:f>
      </x:c>
      <x:c r="Y514" s="4" t="str">
        <x:f>""</x:f>
      </x:c>
      <x:c r="Z514" s="4" t="n">
        <x:f>IF('계산 과정'!$C$78,'계산 과정'!$C$89+-0.36*'계산 과정'!$C$91/2,"")</x:f>
        <x:v>-90.21584531139008</x:v>
      </x:c>
    </x:row>
    <x:row r="515" ht="23" customHeight="1">
      <x:c r="A515" s="17" t="n">
        <x:f>ROW()-6</x:f>
        <x:v>509</x:v>
      </x:c>
      <x:c r="B515" s="4" t="n">
        <x:f>IF('계산 과정'!$L$5,'계산 과정'!$L$11*SQRT((A515+0.5)/'계산 과정'!$L$30),"")</x:f>
        <x:v>74.81667046646423</x:v>
      </x:c>
      <x:c r="C515" s="4" t="n">
        <x:f>A515*PI()*(3-SQRT(5))</x:f>
        <x:v>1221.5812839318842</x:v>
      </x:c>
      <x:c r="D515" s="4" t="n">
        <x:f>IF('계산 과정'!$L$5,B515*COS(C515),"")</x:f>
        <x:v>-65.72017827789482</x:v>
      </x:c>
      <x:c r="E515" s="4" t="n">
        <x:f>IF('계산 과정'!$L$5,B515*SIN(C515),"")</x:f>
        <x:v>35.75461294447507</x:v>
      </x:c>
      <x:c r="F515" s="4" t="n">
        <x:f>IF('계산 과정'!$L$7,'계산 과정'!$L$22+'계산 과정'!$C$49*D515+'계산 과정'!$D$49*E515,"")</x:f>
        <x:v>696.4711837210882</x:v>
      </x:c>
      <x:c r="G515" s="4" t="n">
        <x:f>IF('계산 과정'!$L$7,IF(ABS(F515)&gt;=1E-12*MAX(1,SQRT((D515-'계산 과정'!$C$33)^2+(E515-'계산 과정'!$D$33)^2+'계산 과정'!$E$33^2)),('계산 과정'!$L$23-'계산 과정'!$C$49*D515-'계산 과정'!$D$49*E515)/F515,""),"")</x:f>
        <x:v>0.5076000623458492</x:v>
      </x:c>
      <x:c r="H515" s="4" t="n">
        <x:f>IF(AND(ISNUMBER(G515),G515&gt;0),('계산 과정'!$D$56+'계산 과정'!$D$57*D515+'계산 과정'!$D$58*E515)/F515,"")</x:f>
        <x:v>-70.0599594751982</x:v>
      </x:c>
      <x:c r="I515" s="4" t="n">
        <x:f>IF(AND(ISNUMBER(G515),G515&gt;0),('계산 과정'!$E$56+'계산 과정'!$E$57*D515+'계산 과정'!$E$58*E515)/F515,"")</x:f>
        <x:v>53.90365670424232</x:v>
      </x:c>
      <x:c r="J515" s="4" t="n">
        <x:f>IF('계산 과정'!$L$5,'계산 과정'!$D$6+'계산 과정'!$C$35*D515+'계산 과정'!$D$35*E515,"")</x:f>
        <x:v>696.4711837210882</x:v>
      </x:c>
      <x:c r="K515" s="4" t="n">
        <x:f>IF(AND('계산 과정'!$L$6,J515&gt;0),'계산 과정'!$D$10*('계산 과정'!$C$38*(D515-'계산 과정'!$C$32)+'계산 과정'!$D$38*(E515-'계산 과정'!$D$32)-'계산 과정'!$E$38*'계산 과정'!$E$32)/J515,"")</x:f>
        <x:v>-0.53379016743008</x:v>
      </x:c>
      <x:c r="L515" s="4" t="n">
        <x:f>IF(AND('계산 과정'!$L$6,J515&gt;0),'계산 과정'!$D$10*('계산 과정'!$C$39*(D515-'계산 과정'!$C$32)+'계산 과정'!$D$39*(E515-'계산 과정'!$D$32)-'계산 과정'!$E$39*'계산 과정'!$E$32)/J515,"")</x:f>
        <x:v>0.4106945272704177</x:v>
      </x:c>
      <x:c r="M515" s="17" t="n">
        <x:f>IF('계산 과정'!$L$6,IF(J515&lt;=0,0,IF(AND(ABS(K515)&lt;='계산 과정'!$D$11/2,ABS(L515)&lt;='계산 과정'!$D$12/2),1,0)),"")</x:f>
        <x:v>1</x:v>
      </x:c>
      <x:c r="N515" s="17" t="n">
        <x:f>IF('계산 과정'!$C$78,IF(AND(ISNUMBER(H515),ISNUMBER(I515),ABS(H515-'계산 과정'!$C$88)&lt;='계산 과정'!$D$23/2,ABS(I515-'계산 과정'!$C$89)&lt;='계산 과정'!$D$24/2),1,0),"")</x:f>
        <x:v>1</x:v>
      </x:c>
      <x:c r="O515" s="4" t="n">
        <x:f>IF('계산 과정'!$L$7,'계산 과정'!$C$49*('계산 과정'!$C$32-D515)+'계산 과정'!$D$49*('계산 과정'!$D$32-E515)+'계산 과정'!$E$49*'계산 과정'!$E$32,"")</x:f>
        <x:v>-46.471183721088096</x:v>
      </x:c>
      <x:c r="P515" s="4" t="n">
        <x:f>IF(AND('계산 과정'!$L$7,O515&lt;&gt;0),('계산 과정'!$L$23-'계산 과정'!$C$49*D515-'계산 과정'!$D$49*E515)/O515,"")</x:f>
        <x:v>-7.6074846382379615</x:v>
      </x:c>
      <x:c r="Q515" s="4" t="str">
        <x:f>IF(AND(ISNUMBER(P515),P515&gt;1E-9,P515&lt;1-1E-9),'계산 과정'!$C$47*(D515-'계산 과정'!$C$50+P515*('계산 과정'!$C$32-D515))+'계산 과정'!$D$47*(E515-'계산 과정'!$D$50+P515*('계산 과정'!$D$32-E515))+'계산 과정'!$E$47*(0-'계산 과정'!$E$50+P515*('계산 과정'!$E$32-0)),"")</x:f>
      </x:c>
      <x:c r="R515" s="4" t="str">
        <x:f>IF(AND(ISNUMBER(P515),P515&gt;1E-9,P515&lt;1-1E-9),'계산 과정'!$C$48*(D515-'계산 과정'!$C$50+P515*('계산 과정'!$C$32-D515))+'계산 과정'!$D$48*(E515-'계산 과정'!$D$50+P515*('계산 과정'!$D$32-E515))+'계산 과정'!$E$48*(0-'계산 과정'!$E$50+P515*('계산 과정'!$E$32-0)),"")</x:f>
      </x:c>
      <x:c r="S515" s="17" t="n">
        <x:f>IF('계산 과정'!$C$78,IF(AND(ISNUMBER(Q515),ISNUMBER(R515),ABS(Q515-'계산 과정'!$C$88)&lt;='계산 과정'!$D$23/2,ABS(R515-'계산 과정'!$C$89)&lt;='계산 과정'!$D$24/2),1,0),"")</x:f>
        <x:v>0</x:v>
      </x:c>
      <x:c r="T515" s="4"/>
      <x:c r="U515" s="4"/>
      <x:c r="V515" s="4"/>
      <x:c r="W515" s="4" t="n">
        <x:f>IF('계산 과정'!$C$78,'계산 과정'!$C$88+1*'계산 과정'!$C$90/2,"")</x:f>
        <x:v>209.7478582953745</x:v>
      </x:c>
      <x:c r="X515" s="4" t="str">
        <x:f>""</x:f>
      </x:c>
      <x:c r="Y515" s="4" t="str">
        <x:f>""</x:f>
      </x:c>
      <x:c r="Z515" s="4" t="n">
        <x:f>IF('계산 과정'!$C$78,'계산 과정'!$C$89+-0.31999999999999995*'계산 과정'!$C$91/2,"")</x:f>
        <x:v>-80.1918624990134</x:v>
      </x:c>
    </x:row>
    <x:row r="516" ht="23" customHeight="1">
      <x:c r="A516" s="17" t="n">
        <x:f>ROW()-6</x:f>
        <x:v>510</x:v>
      </x:c>
      <x:c r="B516" s="4" t="n">
        <x:f>IF('계산 과정'!$L$5,'계산 과정'!$L$11*SQRT((A516+0.5)/'계산 과정'!$L$30),"")</x:f>
        <x:v>74.89005613439276</x:v>
      </x:c>
      <x:c r="C516" s="4" t="n">
        <x:f>A516*PI()*(3-SQRT(5))</x:f>
        <x:v>1223.981247161613</x:v>
      </x:c>
      <x:c r="D516" s="4" t="n">
        <x:f>IF('계산 과정'!$L$5,B516*COS(C516),"")</x:f>
        <x:v>24.33196328868775</x:v>
      </x:c>
      <x:c r="E516" s="4" t="n">
        <x:f>IF('계산 과정'!$L$5,B516*SIN(C516),"")</x:f>
        <x:v>-70.82708571112079</x:v>
      </x:c>
      <x:c r="F516" s="4" t="n">
        <x:f>IF('계산 과정'!$L$7,'계산 과정'!$L$22+'계산 과정'!$C$49*D516+'계산 과정'!$D$49*E516,"")</x:f>
        <x:v>632.7947037589868</x:v>
      </x:c>
      <x:c r="G516" s="4" t="n">
        <x:f>IF('계산 과정'!$L$7,IF(ABS(F516)&gt;=1E-12*MAX(1,SQRT((D516-'계산 과정'!$C$33)^2+(E516-'계산 과정'!$D$33)^2+'계산 과정'!$E$33^2)),('계산 과정'!$L$23-'계산 과정'!$C$49*D516-'계산 과정'!$D$49*E516)/F516,""),"")</x:f>
        <x:v>0.6593059230153018</x:v>
      </x:c>
      <x:c r="H516" s="4" t="n">
        <x:f>IF(AND(ISNUMBER(G516),G516&gt;0),('계산 과정'!$D$56+'계산 과정'!$D$57*D516+'계산 과정'!$D$58*E516)/F516,"")</x:f>
        <x:v>28.54884995994606</x:v>
      </x:c>
      <x:c r="I516" s="4" t="n">
        <x:f>IF(AND(ISNUMBER(G516),G516&gt;0),('계산 과정'!$E$56+'계산 과정'!$E$57*D516+'계산 과정'!$E$58*E516)/F516,"")</x:f>
        <x:v>-117.52380283037516</x:v>
      </x:c>
      <x:c r="J516" s="4" t="n">
        <x:f>IF('계산 과정'!$L$5,'계산 과정'!$D$6+'계산 과정'!$C$35*D516+'계산 과정'!$D$35*E516,"")</x:f>
        <x:v>632.7947037589868</x:v>
      </x:c>
      <x:c r="K516" s="4" t="n">
        <x:f>IF(AND('계산 과정'!$L$6,J516&gt;0),'계산 과정'!$D$10*('계산 과정'!$C$38*(D516-'계산 과정'!$C$32)+'계산 과정'!$D$38*(E516-'계산 과정'!$D$32)-'계산 과정'!$E$38*'계산 과정'!$E$32)/J516,"")</x:f>
        <x:v>0.2175150473138755</x:v>
      </x:c>
      <x:c r="L516" s="4" t="n">
        <x:f>IF(AND('계산 과정'!$L$6,J516&gt;0),'계산 과정'!$D$10*('계산 과정'!$C$39*(D516-'계산 과정'!$C$32)+'계산 과정'!$D$39*(E516-'계산 과정'!$D$32)-'계산 과정'!$E$39*'계산 과정'!$E$32)/J516,"")</x:f>
        <x:v>-0.8954194501361917</x:v>
      </x:c>
      <x:c r="M516" s="17" t="n">
        <x:f>IF('계산 과정'!$L$6,IF(J516&lt;=0,0,IF(AND(ABS(K516)&lt;='계산 과정'!$D$11/2,ABS(L516)&lt;='계산 과정'!$D$12/2),1,0)),"")</x:f>
        <x:v>1</x:v>
      </x:c>
      <x:c r="N516" s="17" t="n">
        <x:f>IF('계산 과정'!$C$78,IF(AND(ISNUMBER(H516),ISNUMBER(I516),ABS(H516-'계산 과정'!$C$88)&lt;='계산 과정'!$D$23/2,ABS(I516-'계산 과정'!$C$89)&lt;='계산 과정'!$D$24/2),1,0),"")</x:f>
        <x:v>1</x:v>
      </x:c>
      <x:c r="O516" s="4" t="n">
        <x:f>IF('계산 과정'!$L$7,'계산 과정'!$C$49*('계산 과정'!$C$32-D516)+'계산 과정'!$D$49*('계산 과정'!$D$32-E516)+'계산 과정'!$E$49*'계산 과정'!$E$32,"")</x:f>
        <x:v>17.205296241013343</x:v>
      </x:c>
      <x:c r="P516" s="4" t="n">
        <x:f>IF(AND('계산 과정'!$L$7,O516&lt;&gt;0),('계산 과정'!$L$23-'계산 과정'!$C$49*D516-'계산 과정'!$D$49*E516)/O516,"")</x:f>
        <x:v>24.248655204581414</x:v>
      </x:c>
      <x:c r="Q516" s="4" t="str">
        <x:f>IF(AND(ISNUMBER(P516),P516&gt;1E-9,P516&lt;1-1E-9),'계산 과정'!$C$47*(D516-'계산 과정'!$C$50+P516*('계산 과정'!$C$32-D516))+'계산 과정'!$D$47*(E516-'계산 과정'!$D$50+P516*('계산 과정'!$D$32-E516))+'계산 과정'!$E$47*(0-'계산 과정'!$E$50+P516*('계산 과정'!$E$32-0)),"")</x:f>
      </x:c>
      <x:c r="R516" s="4" t="str">
        <x:f>IF(AND(ISNUMBER(P516),P516&gt;1E-9,P516&lt;1-1E-9),'계산 과정'!$C$48*(D516-'계산 과정'!$C$50+P516*('계산 과정'!$C$32-D516))+'계산 과정'!$D$48*(E516-'계산 과정'!$D$50+P516*('계산 과정'!$D$32-E516))+'계산 과정'!$E$48*(0-'계산 과정'!$E$50+P516*('계산 과정'!$E$32-0)),"")</x:f>
      </x:c>
      <x:c r="S516" s="17" t="n">
        <x:f>IF('계산 과정'!$C$78,IF(AND(ISNUMBER(Q516),ISNUMBER(R516),ABS(Q516-'계산 과정'!$C$88)&lt;='계산 과정'!$D$23/2,ABS(R516-'계산 과정'!$C$89)&lt;='계산 과정'!$D$24/2),1,0),"")</x:f>
        <x:v>0</x:v>
      </x:c>
      <x:c r="T516" s="4"/>
      <x:c r="U516" s="4"/>
      <x:c r="V516" s="4"/>
      <x:c r="W516" s="4" t="n">
        <x:f>IF('계산 과정'!$C$78,'계산 과정'!$C$88+1*'계산 과정'!$C$90/2,"")</x:f>
        <x:v>209.7478582953745</x:v>
      </x:c>
      <x:c r="X516" s="4" t="str">
        <x:f>""</x:f>
      </x:c>
      <x:c r="Y516" s="4" t="str">
        <x:f>""</x:f>
      </x:c>
      <x:c r="Z516" s="4" t="n">
        <x:f>IF('계산 과정'!$C$78,'계산 과정'!$C$89+-0.28*'계산 과정'!$C$91/2,"")</x:f>
        <x:v>-70.16787968663674</x:v>
      </x:c>
    </x:row>
    <x:row r="517" ht="23" customHeight="1">
      <x:c r="A517" s="17" t="n">
        <x:f>ROW()-6</x:f>
        <x:v>511</x:v>
      </x:c>
      <x:c r="B517" s="4" t="n">
        <x:f>IF('계산 과정'!$L$5,'계산 과정'!$L$11*SQRT((A517+0.5)/'계산 과정'!$L$30),"")</x:f>
        <x:v>74.96336996118504</x:v>
      </x:c>
      <x:c r="C517" s="4" t="n">
        <x:f>A517*PI()*(3-SQRT(5))</x:f>
        <x:v>1226.3812103913415</x:v>
      </x:c>
      <x:c r="D517" s="4" t="n">
        <x:f>IF('계산 과정'!$L$5,B517*COS(C517),"")</x:f>
        <x:v>29.930648531991128</x:v>
      </x:c>
      <x:c r="E517" s="4" t="n">
        <x:f>IF('계산 과정'!$L$5,B517*SIN(C517),"")</x:f>
        <x:v>68.72891032449093</x:v>
      </x:c>
      <x:c r="F517" s="4" t="n">
        <x:f>IF('계산 과정'!$L$7,'계산 과정'!$L$22+'계산 과정'!$C$49*D517+'계산 과정'!$D$49*E517,"")</x:f>
        <x:v>628.8358354577178</x:v>
      </x:c>
      <x:c r="G517" s="4" t="n">
        <x:f>IF('계산 과정'!$L$7,IF(ABS(F517)&gt;=1E-12*MAX(1,SQRT((D517-'계산 과정'!$C$33)^2+(E517-'계산 과정'!$D$33)^2+'계산 과정'!$E$33^2)),('계산 과정'!$L$23-'계산 과정'!$C$49*D517-'계산 과정'!$D$49*E517)/F517,""),"")</x:f>
        <x:v>0.6697521686812339</x:v>
      </x:c>
      <x:c r="H517" s="4" t="n">
        <x:f>IF(AND(ISNUMBER(G517),G517&gt;0),('계산 과정'!$D$56+'계산 과정'!$D$57*D517+'계산 과정'!$D$58*E517)/F517,"")</x:f>
        <x:v>35.33890964280192</x:v>
      </x:c>
      <x:c r="I517" s="4" t="n">
        <x:f>IF(AND(ISNUMBER(G517),G517&gt;0),('계산 과정'!$E$56+'계산 과정'!$E$57*D517+'계산 과정'!$E$58*E517)/F517,"")</x:f>
        <x:v>114.76024706541679</x:v>
      </x:c>
      <x:c r="J517" s="4" t="n">
        <x:f>IF('계산 과정'!$L$5,'계산 과정'!$D$6+'계산 과정'!$C$35*D517+'계산 과정'!$D$35*E517,"")</x:f>
        <x:v>628.8358354577178</x:v>
      </x:c>
      <x:c r="K517" s="4" t="n">
        <x:f>IF(AND('계산 과정'!$L$6,J517&gt;0),'계산 과정'!$D$10*('계산 과정'!$C$38*(D517-'계산 과정'!$C$32)+'계산 과정'!$D$38*(E517-'계산 과정'!$D$32)-'계산 과정'!$E$38*'계산 과정'!$E$32)/J517,"")</x:f>
        <x:v>0.2692488353737303</x:v>
      </x:c>
      <x:c r="L517" s="4" t="n">
        <x:f>IF(AND('계산 과정'!$L$6,J517&gt;0),'계산 과정'!$D$10*('계산 과정'!$C$39*(D517-'계산 과정'!$C$32)+'계산 과정'!$D$39*(E517-'계산 과정'!$D$32)-'계산 과정'!$E$39*'계산 과정'!$E$32)/J517,"")</x:f>
        <x:v>0.8743637871650802</x:v>
      </x:c>
      <x:c r="M517" s="17" t="n">
        <x:f>IF('계산 과정'!$L$6,IF(J517&lt;=0,0,IF(AND(ABS(K517)&lt;='계산 과정'!$D$11/2,ABS(L517)&lt;='계산 과정'!$D$12/2),1,0)),"")</x:f>
        <x:v>1</x:v>
      </x:c>
      <x:c r="N517" s="17" t="n">
        <x:f>IF('계산 과정'!$C$78,IF(AND(ISNUMBER(H517),ISNUMBER(I517),ABS(H517-'계산 과정'!$C$88)&lt;='계산 과정'!$D$23/2,ABS(I517-'계산 과정'!$C$89)&lt;='계산 과정'!$D$24/2),1,0),"")</x:f>
        <x:v>1</x:v>
      </x:c>
      <x:c r="O517" s="4" t="n">
        <x:f>IF('계산 과정'!$L$7,'계산 과정'!$C$49*('계산 과정'!$C$32-D517)+'계산 과정'!$D$49*('계산 과정'!$D$32-E517)+'계산 과정'!$E$49*'계산 과정'!$E$32,"")</x:f>
        <x:v>21.164164542282265</x:v>
      </x:c>
      <x:c r="P517" s="4" t="n">
        <x:f>IF(AND('계산 과정'!$L$7,O517&lt;&gt;0),('계산 과정'!$L$23-'계산 과정'!$C$49*D517-'계산 과정'!$D$49*E517)/O517,"")</x:f>
        <x:v>19.89987196049579</x:v>
      </x:c>
      <x:c r="Q517" s="4" t="str">
        <x:f>IF(AND(ISNUMBER(P517),P517&gt;1E-9,P517&lt;1-1E-9),'계산 과정'!$C$47*(D517-'계산 과정'!$C$50+P517*('계산 과정'!$C$32-D517))+'계산 과정'!$D$47*(E517-'계산 과정'!$D$50+P517*('계산 과정'!$D$32-E517))+'계산 과정'!$E$47*(0-'계산 과정'!$E$50+P517*('계산 과정'!$E$32-0)),"")</x:f>
      </x:c>
      <x:c r="R517" s="4" t="str">
        <x:f>IF(AND(ISNUMBER(P517),P517&gt;1E-9,P517&lt;1-1E-9),'계산 과정'!$C$48*(D517-'계산 과정'!$C$50+P517*('계산 과정'!$C$32-D517))+'계산 과정'!$D$48*(E517-'계산 과정'!$D$50+P517*('계산 과정'!$D$32-E517))+'계산 과정'!$E$48*(0-'계산 과정'!$E$50+P517*('계산 과정'!$E$32-0)),"")</x:f>
      </x:c>
      <x:c r="S517" s="17" t="n">
        <x:f>IF('계산 과정'!$C$78,IF(AND(ISNUMBER(Q517),ISNUMBER(R517),ABS(Q517-'계산 과정'!$C$88)&lt;='계산 과정'!$D$23/2,ABS(R517-'계산 과정'!$C$89)&lt;='계산 과정'!$D$24/2),1,0),"")</x:f>
        <x:v>0</x:v>
      </x:c>
      <x:c r="T517" s="4"/>
      <x:c r="U517" s="4"/>
      <x:c r="V517" s="4"/>
      <x:c r="W517" s="4" t="n">
        <x:f>IF('계산 과정'!$C$78,'계산 과정'!$C$88+1*'계산 과정'!$C$90/2,"")</x:f>
        <x:v>209.7478582953745</x:v>
      </x:c>
      <x:c r="X517" s="4" t="str">
        <x:f>""</x:f>
      </x:c>
      <x:c r="Y517" s="4" t="str">
        <x:f>""</x:f>
      </x:c>
      <x:c r="Z517" s="4" t="n">
        <x:f>IF('계산 과정'!$C$78,'계산 과정'!$C$89+-0.24*'계산 과정'!$C$91/2,"")</x:f>
        <x:v>-60.14389687426005</x:v>
      </x:c>
    </x:row>
    <x:row r="518" ht="23" customHeight="1">
      <x:c r="A518" s="17" t="n">
        <x:f>ROW()-6</x:f>
        <x:v>512</x:v>
      </x:c>
      <x:c r="B518" s="4" t="n">
        <x:f>IF('계산 과정'!$L$5,'계산 과정'!$L$11*SQRT((A518+0.5)/'계산 과정'!$L$30),"")</x:f>
        <x:v>75.03661215741619</x:v>
      </x:c>
      <x:c r="C518" s="4" t="n">
        <x:f>A518*PI()*(3-SQRT(5))</x:f>
        <x:v>1228.7811736210704</x:v>
      </x:c>
      <x:c r="D518" s="4" t="n">
        <x:f>IF('계산 과정'!$L$5,B518*COS(C518),"")</x:f>
        <x:v>-68.56256355474511</x:v>
      </x:c>
      <x:c r="E518" s="4" t="n">
        <x:f>IF('계산 과정'!$L$5,B518*SIN(C518),"")</x:f>
        <x:v>-30.490458226534347</x:v>
      </x:c>
      <x:c r="F518" s="4" t="n">
        <x:f>IF('계산 과정'!$L$7,'계산 과정'!$L$22+'계산 과정'!$C$49*D518+'계산 과정'!$D$49*E518,"")</x:f>
        <x:v>698.4810536250939</x:v>
      </x:c>
      <x:c r="G518" s="4" t="n">
        <x:f>IF('계산 과정'!$L$7,IF(ABS(F518)&gt;=1E-12*MAX(1,SQRT((D518-'계산 과정'!$C$33)^2+(E518-'계산 과정'!$D$33)^2+'계산 과정'!$E$33^2)),('계산 과정'!$L$23-'계산 과정'!$C$49*D518-'계산 과정'!$D$49*E518)/F518,""),"")</x:f>
        <x:v>0.5032619632995544</x:v>
      </x:c>
      <x:c r="H518" s="4" t="n">
        <x:f>IF(AND(ISNUMBER(G518),G518&gt;0),('계산 과정'!$D$56+'계산 과정'!$D$57*D518+'계산 과정'!$D$58*E518)/F518,"")</x:f>
        <x:v>-72.87972385528978</x:v>
      </x:c>
      <x:c r="I518" s="4" t="n">
        <x:f>IF(AND(ISNUMBER(G518),G518&gt;0),('계산 과정'!$E$56+'계산 과정'!$E$57*D518+'계산 과정'!$E$58*E518)/F518,"")</x:f>
        <x:v>-45.83514609552307</x:v>
      </x:c>
      <x:c r="J518" s="4" t="n">
        <x:f>IF('계산 과정'!$L$5,'계산 과정'!$D$6+'계산 과정'!$C$35*D518+'계산 과정'!$D$35*E518,"")</x:f>
        <x:v>698.4810536250939</x:v>
      </x:c>
      <x:c r="K518" s="4" t="n">
        <x:f>IF(AND('계산 과정'!$L$6,J518&gt;0),'계산 과정'!$D$10*('계산 과정'!$C$38*(D518-'계산 과정'!$C$32)+'계산 과정'!$D$38*(E518-'계산 과정'!$D$32)-'계산 과정'!$E$38*'계산 과정'!$E$32)/J518,"")</x:f>
        <x:v>-0.5552740865164927</x:v>
      </x:c>
      <x:c r="L518" s="4" t="n">
        <x:f>IF(AND('계산 과정'!$L$6,J518&gt;0),'계산 과정'!$D$10*('계산 과정'!$C$39*(D518-'계산 과정'!$C$32)+'계산 과정'!$D$39*(E518-'계산 과정'!$D$32)-'계산 과정'!$E$39*'계산 과정'!$E$32)/J518,"")</x:f>
        <x:v>-0.3492201607277949</x:v>
      </x:c>
      <x:c r="M518" s="17" t="n">
        <x:f>IF('계산 과정'!$L$6,IF(J518&lt;=0,0,IF(AND(ABS(K518)&lt;='계산 과정'!$D$11/2,ABS(L518)&lt;='계산 과정'!$D$12/2),1,0)),"")</x:f>
        <x:v>1</x:v>
      </x:c>
      <x:c r="N518" s="17" t="n">
        <x:f>IF('계산 과정'!$C$78,IF(AND(ISNUMBER(H518),ISNUMBER(I518),ABS(H518-'계산 과정'!$C$88)&lt;='계산 과정'!$D$23/2,ABS(I518-'계산 과정'!$C$89)&lt;='계산 과정'!$D$24/2),1,0),"")</x:f>
        <x:v>1</x:v>
      </x:c>
      <x:c r="O518" s="4" t="n">
        <x:f>IF('계산 과정'!$L$7,'계산 과정'!$C$49*('계산 과정'!$C$32-D518)+'계산 과정'!$D$49*('계산 과정'!$D$32-E518)+'계산 과정'!$E$49*'계산 과정'!$E$32,"")</x:f>
        <x:v>-48.48105362509381</x:v>
      </x:c>
      <x:c r="P518" s="4" t="n">
        <x:f>IF(AND('계산 과정'!$L$7,O518&lt;&gt;0),('계산 과정'!$L$23-'계산 과정'!$C$49*D518-'계산 과정'!$D$49*E518)/O518,"")</x:f>
        <x:v>-7.250645769648862</x:v>
      </x:c>
      <x:c r="Q518" s="4" t="str">
        <x:f>IF(AND(ISNUMBER(P518),P518&gt;1E-9,P518&lt;1-1E-9),'계산 과정'!$C$47*(D518-'계산 과정'!$C$50+P518*('계산 과정'!$C$32-D518))+'계산 과정'!$D$47*(E518-'계산 과정'!$D$50+P518*('계산 과정'!$D$32-E518))+'계산 과정'!$E$47*(0-'계산 과정'!$E$50+P518*('계산 과정'!$E$32-0)),"")</x:f>
      </x:c>
      <x:c r="R518" s="4" t="str">
        <x:f>IF(AND(ISNUMBER(P518),P518&gt;1E-9,P518&lt;1-1E-9),'계산 과정'!$C$48*(D518-'계산 과정'!$C$50+P518*('계산 과정'!$C$32-D518))+'계산 과정'!$D$48*(E518-'계산 과정'!$D$50+P518*('계산 과정'!$D$32-E518))+'계산 과정'!$E$48*(0-'계산 과정'!$E$50+P518*('계산 과정'!$E$32-0)),"")</x:f>
      </x:c>
      <x:c r="S518" s="17" t="n">
        <x:f>IF('계산 과정'!$C$78,IF(AND(ISNUMBER(Q518),ISNUMBER(R518),ABS(Q518-'계산 과정'!$C$88)&lt;='계산 과정'!$D$23/2,ABS(R518-'계산 과정'!$C$89)&lt;='계산 과정'!$D$24/2),1,0),"")</x:f>
        <x:v>0</x:v>
      </x:c>
      <x:c r="T518" s="4"/>
      <x:c r="U518" s="4"/>
      <x:c r="V518" s="4"/>
      <x:c r="W518" s="4" t="n">
        <x:f>IF('계산 과정'!$C$78,'계산 과정'!$C$88+1*'계산 과정'!$C$90/2,"")</x:f>
        <x:v>209.7478582953745</x:v>
      </x:c>
      <x:c r="X518" s="4" t="str">
        <x:f>""</x:f>
      </x:c>
      <x:c r="Y518" s="4" t="str">
        <x:f>""</x:f>
      </x:c>
      <x:c r="Z518" s="4" t="n">
        <x:f>IF('계산 과정'!$C$78,'계산 과정'!$C$89+-0.19999999999999996*'계산 과정'!$C$91/2,"")</x:f>
        <x:v>-50.119914061883364</x:v>
      </x:c>
    </x:row>
    <x:row r="519" ht="23" customHeight="1">
      <x:c r="A519" s="17" t="n">
        <x:f>ROW()-6</x:f>
        <x:v>513</x:v>
      </x:c>
      <x:c r="B519" s="4" t="n">
        <x:f>IF('계산 과정'!$L$5,'계산 과정'!$L$11*SQRT((A519+0.5)/'계산 과정'!$L$30),"")</x:f>
        <x:v>75.10978293263469</x:v>
      </x:c>
      <x:c r="C519" s="4" t="n">
        <x:f>A519*PI()*(3-SQRT(5))</x:f>
        <x:v>1231.181136850799</x:v>
      </x:c>
      <x:c r="D519" s="4" t="n">
        <x:f>IF('계산 과정'!$L$5,B519*COS(C519),"")</x:f>
        <x:v>71.22129183418366</x:v>
      </x:c>
      <x:c r="E519" s="4" t="n">
        <x:f>IF('계산 과정'!$L$5,B519*SIN(C519),"")</x:f>
        <x:v>-23.85386932255531</x:v>
      </x:c>
      <x:c r="F519" s="4" t="n">
        <x:f>IF('계산 과정'!$L$7,'계산 과정'!$L$22+'계산 과정'!$C$49*D519+'계산 과정'!$D$49*E519,"")</x:f>
        <x:v>599.6389415791826</x:v>
      </x:c>
      <x:c r="G519" s="4" t="n">
        <x:f>IF('계산 과정'!$L$7,IF(ABS(F519)&gt;=1E-12*MAX(1,SQRT((D519-'계산 과정'!$C$33)^2+(E519-'계산 과정'!$D$33)^2+'계산 과정'!$E$33^2)),('계산 과정'!$L$23-'계산 과정'!$C$49*D519-'계산 과정'!$D$49*E519)/F519,""),"")</x:f>
        <x:v>0.7510537211522093</x:v>
      </x:c>
      <x:c r="H519" s="4" t="n">
        <x:f>IF(AND(ISNUMBER(G519),G519&gt;0),('계산 과정'!$D$56+'계산 과정'!$D$57*D519+'계산 과정'!$D$58*E519)/F519,"")</x:f>
        <x:v>88.18491874893593</x:v>
      </x:c>
      <x:c r="I519" s="4" t="n">
        <x:f>IF(AND(ISNUMBER(G519),G519&gt;0),('계산 과정'!$E$56+'계산 과정'!$E$57*D519+'계산 과정'!$E$58*E519)/F519,"")</x:f>
        <x:v>-41.769406641139</x:v>
      </x:c>
      <x:c r="J519" s="4" t="n">
        <x:f>IF('계산 과정'!$L$5,'계산 과정'!$D$6+'계산 과정'!$C$35*D519+'계산 과정'!$D$35*E519,"")</x:f>
        <x:v>599.6389415791826</x:v>
      </x:c>
      <x:c r="K519" s="4" t="n">
        <x:f>IF(AND('계산 과정'!$L$6,J519&gt;0),'계산 과정'!$D$10*('계산 과정'!$C$38*(D519-'계산 과정'!$C$32)+'계산 과정'!$D$38*(E519-'계산 과정'!$D$32)-'계산 과정'!$E$38*'계산 과정'!$E$32)/J519,"")</x:f>
        <x:v>0.6718850952299888</x:v>
      </x:c>
      <x:c r="L519" s="4" t="n">
        <x:f>IF(AND('계산 과정'!$L$6,J519&gt;0),'계산 과정'!$D$10*('계산 과정'!$C$39*(D519-'계산 과정'!$C$32)+'계산 과정'!$D$39*(E519-'계산 과정'!$D$32)-'계산 과정'!$E$39*'계산 과정'!$E$32)/J519,"")</x:f>
        <x:v>-0.3182430982182019</x:v>
      </x:c>
      <x:c r="M519" s="17" t="n">
        <x:f>IF('계산 과정'!$L$6,IF(J519&lt;=0,0,IF(AND(ABS(K519)&lt;='계산 과정'!$D$11/2,ABS(L519)&lt;='계산 과정'!$D$12/2),1,0)),"")</x:f>
        <x:v>1</x:v>
      </x:c>
      <x:c r="N519" s="17" t="n">
        <x:f>IF('계산 과정'!$C$78,IF(AND(ISNUMBER(H519),ISNUMBER(I519),ABS(H519-'계산 과정'!$C$88)&lt;='계산 과정'!$D$23/2,ABS(I519-'계산 과정'!$C$89)&lt;='계산 과정'!$D$24/2),1,0),"")</x:f>
        <x:v>1</x:v>
      </x:c>
      <x:c r="O519" s="4" t="n">
        <x:f>IF('계산 과정'!$L$7,'계산 과정'!$C$49*('계산 과정'!$C$32-D519)+'계산 과정'!$D$49*('계산 과정'!$D$32-E519)+'계산 과정'!$E$49*'계산 과정'!$E$32,"")</x:f>
        <x:v>50.36105842081747</x:v>
      </x:c>
      <x:c r="P519" s="4" t="n">
        <x:f>IF(AND('계산 과정'!$L$7,O519&lt;&gt;0),('계산 과정'!$L$23-'계산 과정'!$C$49*D519-'계산 과정'!$D$49*E519)/O519,"")</x:f>
        <x:v>8.942644824054256</x:v>
      </x:c>
      <x:c r="Q519" s="4" t="str">
        <x:f>IF(AND(ISNUMBER(P519),P519&gt;1E-9,P519&lt;1-1E-9),'계산 과정'!$C$47*(D519-'계산 과정'!$C$50+P519*('계산 과정'!$C$32-D519))+'계산 과정'!$D$47*(E519-'계산 과정'!$D$50+P519*('계산 과정'!$D$32-E519))+'계산 과정'!$E$47*(0-'계산 과정'!$E$50+P519*('계산 과정'!$E$32-0)),"")</x:f>
      </x:c>
      <x:c r="R519" s="4" t="str">
        <x:f>IF(AND(ISNUMBER(P519),P519&gt;1E-9,P519&lt;1-1E-9),'계산 과정'!$C$48*(D519-'계산 과정'!$C$50+P519*('계산 과정'!$C$32-D519))+'계산 과정'!$D$48*(E519-'계산 과정'!$D$50+P519*('계산 과정'!$D$32-E519))+'계산 과정'!$E$48*(0-'계산 과정'!$E$50+P519*('계산 과정'!$E$32-0)),"")</x:f>
      </x:c>
      <x:c r="S519" s="17" t="n">
        <x:f>IF('계산 과정'!$C$78,IF(AND(ISNUMBER(Q519),ISNUMBER(R519),ABS(Q519-'계산 과정'!$C$88)&lt;='계산 과정'!$D$23/2,ABS(R519-'계산 과정'!$C$89)&lt;='계산 과정'!$D$24/2),1,0),"")</x:f>
        <x:v>0</x:v>
      </x:c>
      <x:c r="T519" s="4"/>
      <x:c r="U519" s="4"/>
      <x:c r="V519" s="4"/>
      <x:c r="W519" s="4" t="n">
        <x:f>IF('계산 과정'!$C$78,'계산 과정'!$C$88+1*'계산 과정'!$C$90/2,"")</x:f>
        <x:v>209.7478582953745</x:v>
      </x:c>
      <x:c r="X519" s="4" t="str">
        <x:f>""</x:f>
      </x:c>
      <x:c r="Y519" s="4" t="str">
        <x:f>""</x:f>
      </x:c>
      <x:c r="Z519" s="4" t="n">
        <x:f>IF('계산 과정'!$C$78,'계산 과정'!$C$89+-0.16000000000000003*'계산 과정'!$C$91/2,"")</x:f>
        <x:v>-40.09593124950671</x:v>
      </x:c>
    </x:row>
    <x:row r="520" ht="23" customHeight="1">
      <x:c r="A520" s="17" t="n">
        <x:f>ROW()-6</x:f>
        <x:v>514</x:v>
      </x:c>
      <x:c r="B520" s="4" t="n">
        <x:f>IF('계산 과정'!$L$5,'계산 과정'!$L$11*SQRT((A520+0.5)/'계산 과정'!$L$30),"")</x:f>
        <x:v>75.18288249536926</x:v>
      </x:c>
      <x:c r="C520" s="4" t="n">
        <x:f>A520*PI()*(3-SQRT(5))</x:f>
        <x:v>1233.5811000805277</x:v>
      </x:c>
      <x:c r="D520" s="4" t="n">
        <x:f>IF('계산 과정'!$L$5,B520*COS(C520),"")</x:f>
        <x:v>-36.438735864574255</x:v>
      </x:c>
      <x:c r="E520" s="4" t="n">
        <x:f>IF('계산 과정'!$L$5,B520*SIN(C520),"")</x:f>
        <x:v>65.7623322951999</x:v>
      </x:c>
      <x:c r="F520" s="4" t="n">
        <x:f>IF('계산 과정'!$L$7,'계산 과정'!$L$22+'계산 과정'!$C$49*D520+'계산 과정'!$D$49*E520,"")</x:f>
        <x:v>675.7660772277059</x:v>
      </x:c>
      <x:c r="G520" s="4" t="n">
        <x:f>IF('계산 과정'!$L$7,IF(ABS(F520)&gt;=1E-12*MAX(1,SQRT((D520-'계산 과정'!$C$33)^2+(E520-'계산 과정'!$D$33)^2+'계산 과정'!$E$33^2)),('계산 과정'!$L$23-'계산 과정'!$C$49*D520-'계산 과정'!$D$49*E520)/F520,""),"")</x:f>
        <x:v>0.5537921114767534</x:v>
      </x:c>
      <x:c r="H520" s="4" t="n">
        <x:f>IF(AND(ISNUMBER(G520),G520&gt;0),('계산 과정'!$D$56+'계산 과정'!$D$57*D520+'계산 과정'!$D$58*E520)/F520,"")</x:f>
        <x:v>-40.03512754011038</x:v>
      </x:c>
      <x:c r="I520" s="4" t="n">
        <x:f>IF(AND(ISNUMBER(G520),G520&gt;0),('계산 과정'!$E$56+'계산 과정'!$E$57*D520+'계산 과정'!$E$58*E520)/F520,"")</x:f>
        <x:v>102.18099315259454</x:v>
      </x:c>
      <x:c r="J520" s="4" t="n">
        <x:f>IF('계산 과정'!$L$5,'계산 과정'!$D$6+'계산 과정'!$C$35*D520+'계산 과정'!$D$35*E520,"")</x:f>
        <x:v>675.7660772277059</x:v>
      </x:c>
      <x:c r="K520" s="4" t="n">
        <x:f>IF(AND('계산 과정'!$L$6,J520&gt;0),'계산 과정'!$D$10*('계산 과정'!$C$38*(D520-'계산 과정'!$C$32)+'계산 과정'!$D$38*(E520-'계산 과정'!$D$32)-'계산 과정'!$E$38*'계산 과정'!$E$32)/J520,"")</x:f>
        <x:v>-0.305029543162745</x:v>
      </x:c>
      <x:c r="L520" s="4" t="n">
        <x:f>IF(AND('계산 과정'!$L$6,J520&gt;0),'계산 과정'!$D$10*('계산 과정'!$C$39*(D520-'계산 과정'!$C$32)+'계산 과정'!$D$39*(E520-'계산 과정'!$D$32)-'계산 과정'!$E$39*'계산 과정'!$E$32)/J520,"")</x:f>
        <x:v>0.7785218525911966</x:v>
      </x:c>
      <x:c r="M520" s="17" t="n">
        <x:f>IF('계산 과정'!$L$6,IF(J520&lt;=0,0,IF(AND(ABS(K520)&lt;='계산 과정'!$D$11/2,ABS(L520)&lt;='계산 과정'!$D$12/2),1,0)),"")</x:f>
        <x:v>1</x:v>
      </x:c>
      <x:c r="N520" s="17" t="n">
        <x:f>IF('계산 과정'!$C$78,IF(AND(ISNUMBER(H520),ISNUMBER(I520),ABS(H520-'계산 과정'!$C$88)&lt;='계산 과정'!$D$23/2,ABS(I520-'계산 과정'!$C$89)&lt;='계산 과정'!$D$24/2),1,0),"")</x:f>
        <x:v>1</x:v>
      </x:c>
      <x:c r="O520" s="4" t="n">
        <x:f>IF('계산 과정'!$L$7,'계산 과정'!$C$49*('계산 과정'!$C$32-D520)+'계산 과정'!$D$49*('계산 과정'!$D$32-E520)+'계산 과정'!$E$49*'계산 과정'!$E$32,"")</x:f>
        <x:v>-25.766077227705807</x:v>
      </x:c>
      <x:c r="P520" s="4" t="n">
        <x:f>IF(AND('계산 과정'!$L$7,O520&lt;&gt;0),('계산 과정'!$L$23-'계산 과정'!$C$49*D520-'계산 과정'!$D$49*E520)/O520,"")</x:f>
        <x:v>-14.524287863652251</x:v>
      </x:c>
      <x:c r="Q520" s="4" t="str">
        <x:f>IF(AND(ISNUMBER(P520),P520&gt;1E-9,P520&lt;1-1E-9),'계산 과정'!$C$47*(D520-'계산 과정'!$C$50+P520*('계산 과정'!$C$32-D520))+'계산 과정'!$D$47*(E520-'계산 과정'!$D$50+P520*('계산 과정'!$D$32-E520))+'계산 과정'!$E$47*(0-'계산 과정'!$E$50+P520*('계산 과정'!$E$32-0)),"")</x:f>
      </x:c>
      <x:c r="R520" s="4" t="str">
        <x:f>IF(AND(ISNUMBER(P520),P520&gt;1E-9,P520&lt;1-1E-9),'계산 과정'!$C$48*(D520-'계산 과정'!$C$50+P520*('계산 과정'!$C$32-D520))+'계산 과정'!$D$48*(E520-'계산 과정'!$D$50+P520*('계산 과정'!$D$32-E520))+'계산 과정'!$E$48*(0-'계산 과정'!$E$50+P520*('계산 과정'!$E$32-0)),"")</x:f>
      </x:c>
      <x:c r="S520" s="17" t="n">
        <x:f>IF('계산 과정'!$C$78,IF(AND(ISNUMBER(Q520),ISNUMBER(R520),ABS(Q520-'계산 과정'!$C$88)&lt;='계산 과정'!$D$23/2,ABS(R520-'계산 과정'!$C$89)&lt;='계산 과정'!$D$24/2),1,0),"")</x:f>
        <x:v>0</x:v>
      </x:c>
      <x:c r="T520" s="4"/>
      <x:c r="U520" s="4"/>
      <x:c r="V520" s="4"/>
      <x:c r="W520" s="4" t="n">
        <x:f>IF('계산 과정'!$C$78,'계산 과정'!$C$88+1*'계산 과정'!$C$90/2,"")</x:f>
        <x:v>209.7478582953745</x:v>
      </x:c>
      <x:c r="X520" s="4" t="str">
        <x:f>""</x:f>
      </x:c>
      <x:c r="Y520" s="4" t="str">
        <x:f>""</x:f>
      </x:c>
      <x:c r="Z520" s="4" t="n">
        <x:f>IF('계산 과정'!$C$78,'계산 과정'!$C$89+-0.12*'계산 과정'!$C$91/2,"")</x:f>
        <x:v>-30.071948437130025</x:v>
      </x:c>
    </x:row>
    <x:row r="521" ht="23" customHeight="1">
      <x:c r="A521" s="17" t="n">
        <x:f>ROW()-6</x:f>
        <x:v>515</x:v>
      </x:c>
      <x:c r="B521" s="4" t="n">
        <x:f>IF('계산 과정'!$L$5,'계산 과정'!$L$11*SQRT((A521+0.5)/'계산 과정'!$L$30),"")</x:f>
        <x:v>75.25591105313589</x:v>
      </x:c>
      <x:c r="C521" s="4" t="n">
        <x:f>A521*PI()*(3-SQRT(5))</x:f>
        <x:v>1235.9810633102563</x:v>
      </x:c>
      <x:c r="D521" s="4" t="n">
        <x:f>IF('계산 과정'!$L$5,B521*COS(C521),"")</x:f>
        <x:v>-17.570077465283507</x:v>
      </x:c>
      <x:c r="E521" s="4" t="n">
        <x:f>IF('계산 과정'!$L$5,B521*SIN(C521),"")</x:f>
        <x:v>-73.17611991832744</x:v>
      </x:c>
      <x:c r="F521" s="4" t="n">
        <x:f>IF('계산 과정'!$L$7,'계산 과정'!$L$22+'계산 과정'!$C$49*D521+'계산 과정'!$D$49*E521,"")</x:f>
        <x:v>662.423920921675</x:v>
      </x:c>
      <x:c r="G521" s="4" t="n">
        <x:f>IF('계산 과정'!$L$7,IF(ABS(F521)&gt;=1E-12*MAX(1,SQRT((D521-'계산 과정'!$C$33)^2+(E521-'계산 과정'!$D$33)^2+'계산 과정'!$E$33^2)),('계산 과정'!$L$23-'계산 과정'!$C$49*D521-'계산 과정'!$D$49*E521)/F521,""),"")</x:f>
        <x:v>0.5850876860531613</x:v>
      </x:c>
      <x:c r="H521" s="4" t="n">
        <x:f>IF(AND(ISNUMBER(G521),G521&gt;0),('계산 과정'!$D$56+'계산 과정'!$D$57*D521+'계산 과정'!$D$58*E521)/F521,"")</x:f>
        <x:v>-19.693004065445265</x:v>
      </x:c>
      <x:c r="I521" s="4" t="n">
        <x:f>IF(AND(ISNUMBER(G521),G521&gt;0),('계산 과정'!$E$56+'계산 과정'!$E$57*D521+'계산 과정'!$E$58*E521)/F521,"")</x:f>
        <x:v>-115.99056659569028</x:v>
      </x:c>
      <x:c r="J521" s="4" t="n">
        <x:f>IF('계산 과정'!$L$5,'계산 과정'!$D$6+'계산 과정'!$C$35*D521+'계산 과정'!$D$35*E521,"")</x:f>
        <x:v>662.423920921675</x:v>
      </x:c>
      <x:c r="K521" s="4" t="n">
        <x:f>IF(AND('계산 과정'!$L$6,J521&gt;0),'계산 과정'!$D$10*('계산 과정'!$C$38*(D521-'계산 과정'!$C$32)+'계산 과정'!$D$38*(E521-'계산 과정'!$D$32)-'계산 과정'!$E$38*'계산 과정'!$E$32)/J521,"")</x:f>
        <x:v>-0.15004193573672536</x:v>
      </x:c>
      <x:c r="L521" s="4" t="n">
        <x:f>IF(AND('계산 과정'!$L$6,J521&gt;0),'계산 과정'!$D$10*('계산 과정'!$C$39*(D521-'계산 과정'!$C$32)+'계산 과정'!$D$39*(E521-'계산 과정'!$D$32)-'계산 과정'!$E$39*'계산 과정'!$E$32)/J521,"")</x:f>
        <x:v>-0.8837376502528784</x:v>
      </x:c>
      <x:c r="M521" s="17" t="n">
        <x:f>IF('계산 과정'!$L$6,IF(J521&lt;=0,0,IF(AND(ABS(K521)&lt;='계산 과정'!$D$11/2,ABS(L521)&lt;='계산 과정'!$D$12/2),1,0)),"")</x:f>
        <x:v>1</x:v>
      </x:c>
      <x:c r="N521" s="17" t="n">
        <x:f>IF('계산 과정'!$C$78,IF(AND(ISNUMBER(H521),ISNUMBER(I521),ABS(H521-'계산 과정'!$C$88)&lt;='계산 과정'!$D$23/2,ABS(I521-'계산 과정'!$C$89)&lt;='계산 과정'!$D$24/2),1,0),"")</x:f>
        <x:v>1</x:v>
      </x:c>
      <x:c r="O521" s="4" t="n">
        <x:f>IF('계산 과정'!$L$7,'계산 과정'!$C$49*('계산 과정'!$C$32-D521)+'계산 과정'!$D$49*('계산 과정'!$D$32-E521)+'계산 과정'!$E$49*'계산 과정'!$E$32,"")</x:f>
        <x:v>-12.423920921674835</x:v>
      </x:c>
      <x:c r="P521" s="4" t="n">
        <x:f>IF(AND('계산 과정'!$L$7,O521&lt;&gt;0),('계산 과정'!$L$23-'계산 과정'!$C$49*D521-'계산 과정'!$D$49*E521)/O521,"")</x:f>
        <x:v>-31.19595508710603</x:v>
      </x:c>
      <x:c r="Q521" s="4" t="str">
        <x:f>IF(AND(ISNUMBER(P521),P521&gt;1E-9,P521&lt;1-1E-9),'계산 과정'!$C$47*(D521-'계산 과정'!$C$50+P521*('계산 과정'!$C$32-D521))+'계산 과정'!$D$47*(E521-'계산 과정'!$D$50+P521*('계산 과정'!$D$32-E521))+'계산 과정'!$E$47*(0-'계산 과정'!$E$50+P521*('계산 과정'!$E$32-0)),"")</x:f>
      </x:c>
      <x:c r="R521" s="4" t="str">
        <x:f>IF(AND(ISNUMBER(P521),P521&gt;1E-9,P521&lt;1-1E-9),'계산 과정'!$C$48*(D521-'계산 과정'!$C$50+P521*('계산 과정'!$C$32-D521))+'계산 과정'!$D$48*(E521-'계산 과정'!$D$50+P521*('계산 과정'!$D$32-E521))+'계산 과정'!$E$48*(0-'계산 과정'!$E$50+P521*('계산 과정'!$E$32-0)),"")</x:f>
      </x:c>
      <x:c r="S521" s="17" t="n">
        <x:f>IF('계산 과정'!$C$78,IF(AND(ISNUMBER(Q521),ISNUMBER(R521),ABS(Q521-'계산 과정'!$C$88)&lt;='계산 과정'!$D$23/2,ABS(R521-'계산 과정'!$C$89)&lt;='계산 과정'!$D$24/2),1,0),"")</x:f>
        <x:v>0</x:v>
      </x:c>
      <x:c r="T521" s="4"/>
      <x:c r="U521" s="4"/>
      <x:c r="V521" s="4"/>
      <x:c r="W521" s="4" t="n">
        <x:f>IF('계산 과정'!$C$78,'계산 과정'!$C$88+1*'계산 과정'!$C$90/2,"")</x:f>
        <x:v>209.7478582953745</x:v>
      </x:c>
      <x:c r="X521" s="4" t="str">
        <x:f>""</x:f>
      </x:c>
      <x:c r="Y521" s="4" t="str">
        <x:f>""</x:f>
      </x:c>
      <x:c r="Z521" s="4" t="n">
        <x:f>IF('계산 과정'!$C$78,'계산 과정'!$C$89+-0.07999999999999996*'계산 과정'!$C$91/2,"")</x:f>
        <x:v>-20.047965624753342</x:v>
      </x:c>
    </x:row>
    <x:row r="522" ht="23" customHeight="1">
      <x:c r="A522" s="17" t="n">
        <x:f>ROW()-6</x:f>
        <x:v>516</x:v>
      </x:c>
      <x:c r="B522" s="4" t="n">
        <x:f>IF('계산 과정'!$L$5,'계산 과정'!$L$11*SQRT((A522+0.5)/'계산 과정'!$L$30),"")</x:f>
        <x:v>75.32886881244467</x:v>
      </x:c>
      <x:c r="C522" s="4" t="n">
        <x:f>A522*PI()*(3-SQRT(5))</x:f>
        <x:v>1238.3810265399848</x:v>
      </x:c>
      <x:c r="D522" s="4" t="n">
        <x:f>IF('계산 과정'!$L$5,B522*COS(C522),"")</x:f>
        <x:v>62.44586735801474</x:v>
      </x:c>
      <x:c r="E522" s="4" t="n">
        <x:f>IF('계산 과정'!$L$5,B522*SIN(C522),"")</x:f>
        <x:v>42.1301807077507</x:v>
      </x:c>
      <x:c r="F522" s="4" t="n">
        <x:f>IF('계산 과정'!$L$7,'계산 과정'!$L$22+'계산 과정'!$C$49*D522+'계산 과정'!$D$49*E522,"")</x:f>
        <x:v>605.8441037340721</x:v>
      </x:c>
      <x:c r="G522" s="4" t="n">
        <x:f>IF('계산 과정'!$L$7,IF(ABS(F522)&gt;=1E-12*MAX(1,SQRT((D522-'계산 과정'!$C$33)^2+(E522-'계산 과정'!$D$33)^2+'계산 과정'!$E$33^2)),('계산 과정'!$L$23-'계산 과정'!$C$49*D522-'계산 과정'!$D$49*E522)/F522,""),"")</x:f>
        <x:v>0.7331191201307535</x:v>
      </x:c>
      <x:c r="H522" s="4" t="n">
        <x:f>IF(AND(ISNUMBER(G522),G522&gt;0),('계산 과정'!$D$56+'계산 과정'!$D$57*D522+'계산 과정'!$D$58*E522)/F522,"")</x:f>
        <x:v>76.5274280849897</x:v>
      </x:c>
      <x:c r="I522" s="4" t="n">
        <x:f>IF(AND(ISNUMBER(G522),G522&gt;0),('계산 과정'!$E$56+'계산 과정'!$E$57*D522+'계산 과정'!$E$58*E522)/F522,"")</x:f>
        <x:v>73.01662171916654</x:v>
      </x:c>
      <x:c r="J522" s="4" t="n">
        <x:f>IF('계산 과정'!$L$5,'계산 과정'!$D$6+'계산 과정'!$C$35*D522+'계산 과정'!$D$35*E522,"")</x:f>
        <x:v>605.8441037340721</x:v>
      </x:c>
      <x:c r="K522" s="4" t="n">
        <x:f>IF(AND('계산 과정'!$L$6,J522&gt;0),'계산 과정'!$D$10*('계산 과정'!$C$38*(D522-'계산 과정'!$C$32)+'계산 과정'!$D$38*(E522-'계산 과정'!$D$32)-'계산 과정'!$E$38*'계산 과정'!$E$32)/J522,"")</x:f>
        <x:v>0.5830661187427798</x:v>
      </x:c>
      <x:c r="L522" s="4" t="n">
        <x:f>IF(AND('계산 과정'!$L$6,J522&gt;0),'계산 과정'!$D$10*('계산 과정'!$C$39*(D522-'계산 과정'!$C$32)+'계산 과정'!$D$39*(E522-'계산 과정'!$D$32)-'계산 과정'!$E$39*'계산 과정'!$E$32)/J522,"")</x:f>
        <x:v>0.5563171178603165</x:v>
      </x:c>
      <x:c r="M522" s="17" t="n">
        <x:f>IF('계산 과정'!$L$6,IF(J522&lt;=0,0,IF(AND(ABS(K522)&lt;='계산 과정'!$D$11/2,ABS(L522)&lt;='계산 과정'!$D$12/2),1,0)),"")</x:f>
        <x:v>1</x:v>
      </x:c>
      <x:c r="N522" s="17" t="n">
        <x:f>IF('계산 과정'!$C$78,IF(AND(ISNUMBER(H522),ISNUMBER(I522),ABS(H522-'계산 과정'!$C$88)&lt;='계산 과정'!$D$23/2,ABS(I522-'계산 과정'!$C$89)&lt;='계산 과정'!$D$24/2),1,0),"")</x:f>
        <x:v>1</x:v>
      </x:c>
      <x:c r="O522" s="4" t="n">
        <x:f>IF('계산 과정'!$L$7,'계산 과정'!$C$49*('계산 과정'!$C$32-D522)+'계산 과정'!$D$49*('계산 과정'!$D$32-E522)+'계산 과정'!$E$49*'계산 과정'!$E$32,"")</x:f>
        <x:v>44.15589626592805</x:v>
      </x:c>
      <x:c r="P522" s="4" t="n">
        <x:f>IF(AND('계산 과정'!$L$7,O522&lt;&gt;0),('계산 과정'!$L$23-'계산 과정'!$C$49*D522-'계산 과정'!$D$49*E522)/O522,"")</x:f>
        <x:v>10.058812838743153</x:v>
      </x:c>
      <x:c r="Q522" s="4" t="str">
        <x:f>IF(AND(ISNUMBER(P522),P522&gt;1E-9,P522&lt;1-1E-9),'계산 과정'!$C$47*(D522-'계산 과정'!$C$50+P522*('계산 과정'!$C$32-D522))+'계산 과정'!$D$47*(E522-'계산 과정'!$D$50+P522*('계산 과정'!$D$32-E522))+'계산 과정'!$E$47*(0-'계산 과정'!$E$50+P522*('계산 과정'!$E$32-0)),"")</x:f>
      </x:c>
      <x:c r="R522" s="4" t="str">
        <x:f>IF(AND(ISNUMBER(P522),P522&gt;1E-9,P522&lt;1-1E-9),'계산 과정'!$C$48*(D522-'계산 과정'!$C$50+P522*('계산 과정'!$C$32-D522))+'계산 과정'!$D$48*(E522-'계산 과정'!$D$50+P522*('계산 과정'!$D$32-E522))+'계산 과정'!$E$48*(0-'계산 과정'!$E$50+P522*('계산 과정'!$E$32-0)),"")</x:f>
      </x:c>
      <x:c r="S522" s="17" t="n">
        <x:f>IF('계산 과정'!$C$78,IF(AND(ISNUMBER(Q522),ISNUMBER(R522),ABS(Q522-'계산 과정'!$C$88)&lt;='계산 과정'!$D$23/2,ABS(R522-'계산 과정'!$C$89)&lt;='계산 과정'!$D$24/2),1,0),"")</x:f>
        <x:v>0</x:v>
      </x:c>
      <x:c r="T522" s="4"/>
      <x:c r="U522" s="4"/>
      <x:c r="V522" s="4"/>
      <x:c r="W522" s="4" t="n">
        <x:f>IF('계산 과정'!$C$78,'계산 과정'!$C$88+1*'계산 과정'!$C$90/2,"")</x:f>
        <x:v>209.7478582953745</x:v>
      </x:c>
      <x:c r="X522" s="4" t="str">
        <x:f>""</x:f>
      </x:c>
      <x:c r="Y522" s="4" t="str">
        <x:f>""</x:f>
      </x:c>
      <x:c r="Z522" s="4" t="n">
        <x:f>IF('계산 과정'!$C$78,'계산 과정'!$C$89+-0.040000000000000036*'계산 과정'!$C$91/2,"")</x:f>
        <x:v>-10.023982812376685</x:v>
      </x:c>
    </x:row>
    <x:row r="523" ht="23" customHeight="1">
      <x:c r="A523" s="17" t="n">
        <x:f>ROW()-6</x:f>
        <x:v>517</x:v>
      </x:c>
      <x:c r="B523" s="4" t="n">
        <x:f>IF('계산 과정'!$L$5,'계산 과정'!$L$11*SQRT((A523+0.5)/'계산 과정'!$L$30),"")</x:f>
        <x:v>75.40175597880662</x:v>
      </x:c>
      <x:c r="C523" s="4" t="n">
        <x:f>A523*PI()*(3-SQRT(5))</x:f>
        <x:v>1240.7809897697136</x:v>
      </x:c>
      <x:c r="D523" s="4" t="n">
        <x:f>IF('계산 과정'!$L$5,B523*COS(C523),"")</x:f>
        <x:v>-74.57625651463871</x:v>
      </x:c>
      <x:c r="E523" s="4" t="n">
        <x:f>IF('계산 과정'!$L$5,B523*SIN(C523),"")</x:f>
        <x:v>11.1268490126498</x:v>
      </x:c>
      <x:c r="F523" s="4" t="n">
        <x:f>IF('계산 과정'!$L$7,'계산 과정'!$L$22+'계산 과정'!$C$49*D523+'계산 과정'!$D$49*E523,"")</x:f>
        <x:v>702.7333766970085</x:v>
      </x:c>
      <x:c r="G523" s="4" t="n">
        <x:f>IF('계산 과정'!$L$7,IF(ABS(F523)&gt;=1E-12*MAX(1,SQRT((D523-'계산 과정'!$C$33)^2+(E523-'계산 과정'!$D$33)^2+'계산 과정'!$E$33^2)),('계산 과정'!$L$23-'계산 과정'!$C$49*D523-'계산 과정'!$D$49*E523)/F523,""),"")</x:f>
        <x:v>0.4941655467329817</x:v>
      </x:c>
      <x:c r="H523" s="4" t="n">
        <x:f>IF(AND(ISNUMBER(G523),G523&gt;0),('계산 과정'!$D$56+'계산 과정'!$D$57*D523+'계산 과정'!$D$58*E523)/F523,"")</x:f>
        <x:v>-78.79239462356207</x:v>
      </x:c>
      <x:c r="I523" s="4" t="n">
        <x:f>IF(AND(ISNUMBER(G523),G523&gt;0),('계산 과정'!$E$56+'계산 과정'!$E$57*D523+'계산 과정'!$E$58*E523)/F523,"")</x:f>
        <x:v>16.625354438401224</x:v>
      </x:c>
      <x:c r="J523" s="4" t="n">
        <x:f>IF('계산 과정'!$L$5,'계산 과정'!$D$6+'계산 과정'!$C$35*D523+'계산 과정'!$D$35*E523,"")</x:f>
        <x:v>702.7333766970085</x:v>
      </x:c>
      <x:c r="K523" s="4" t="n">
        <x:f>IF(AND('계산 과정'!$L$6,J523&gt;0),'계산 과정'!$D$10*('계산 과정'!$C$38*(D523-'계산 과정'!$C$32)+'계산 과정'!$D$38*(E523-'계산 과정'!$D$32)-'계산 과정'!$E$38*'계산 과정'!$E$32)/J523,"")</x:f>
        <x:v>-0.6003230066557098</x:v>
      </x:c>
      <x:c r="L523" s="4" t="n">
        <x:f>IF(AND('계산 과정'!$L$6,J523&gt;0),'계산 과정'!$D$10*('계산 과정'!$C$39*(D523-'계산 과정'!$C$32)+'계산 과정'!$D$39*(E523-'계산 과정'!$D$32)-'계산 과정'!$E$39*'계산 과정'!$E$32)/J523,"")</x:f>
        <x:v>0.12666936714972363</x:v>
      </x:c>
      <x:c r="M523" s="17" t="n">
        <x:f>IF('계산 과정'!$L$6,IF(J523&lt;=0,0,IF(AND(ABS(K523)&lt;='계산 과정'!$D$11/2,ABS(L523)&lt;='계산 과정'!$D$12/2),1,0)),"")</x:f>
        <x:v>1</x:v>
      </x:c>
      <x:c r="N523" s="17" t="n">
        <x:f>IF('계산 과정'!$C$78,IF(AND(ISNUMBER(H523),ISNUMBER(I523),ABS(H523-'계산 과정'!$C$88)&lt;='계산 과정'!$D$23/2,ABS(I523-'계산 과정'!$C$89)&lt;='계산 과정'!$D$24/2),1,0),"")</x:f>
        <x:v>1</x:v>
      </x:c>
      <x:c r="O523" s="4" t="n">
        <x:f>IF('계산 과정'!$L$7,'계산 과정'!$C$49*('계산 과정'!$C$32-D523)+'계산 과정'!$D$49*('계산 과정'!$D$32-E523)+'계산 과정'!$E$49*'계산 과정'!$E$32,"")</x:f>
        <x:v>-52.73337669700834</x:v>
      </x:c>
      <x:c r="P523" s="4" t="n">
        <x:f>IF(AND('계산 과정'!$L$7,O523&lt;&gt;0),('계산 과정'!$L$23-'계산 과정'!$C$49*D523-'계산 과정'!$D$49*E523)/O523,"")</x:f>
        <x:v>-6.585328781395723</x:v>
      </x:c>
      <x:c r="Q523" s="4" t="str">
        <x:f>IF(AND(ISNUMBER(P523),P523&gt;1E-9,P523&lt;1-1E-9),'계산 과정'!$C$47*(D523-'계산 과정'!$C$50+P523*('계산 과정'!$C$32-D523))+'계산 과정'!$D$47*(E523-'계산 과정'!$D$50+P523*('계산 과정'!$D$32-E523))+'계산 과정'!$E$47*(0-'계산 과정'!$E$50+P523*('계산 과정'!$E$32-0)),"")</x:f>
      </x:c>
      <x:c r="R523" s="4" t="str">
        <x:f>IF(AND(ISNUMBER(P523),P523&gt;1E-9,P523&lt;1-1E-9),'계산 과정'!$C$48*(D523-'계산 과정'!$C$50+P523*('계산 과정'!$C$32-D523))+'계산 과정'!$D$48*(E523-'계산 과정'!$D$50+P523*('계산 과정'!$D$32-E523))+'계산 과정'!$E$48*(0-'계산 과정'!$E$50+P523*('계산 과정'!$E$32-0)),"")</x:f>
      </x:c>
      <x:c r="S523" s="17" t="n">
        <x:f>IF('계산 과정'!$C$78,IF(AND(ISNUMBER(Q523),ISNUMBER(R523),ABS(Q523-'계산 과정'!$C$88)&lt;='계산 과정'!$D$23/2,ABS(R523-'계산 과정'!$C$89)&lt;='계산 과정'!$D$24/2),1,0),"")</x:f>
        <x:v>0</x:v>
      </x:c>
      <x:c r="T523" s="4"/>
      <x:c r="U523" s="4"/>
      <x:c r="V523" s="4"/>
      <x:c r="W523" s="4" t="n">
        <x:f>IF('계산 과정'!$C$78,'계산 과정'!$C$88+1*'계산 과정'!$C$90/2,"")</x:f>
        <x:v>209.7478582953745</x:v>
      </x:c>
      <x:c r="X523" s="4" t="str">
        <x:f>""</x:f>
      </x:c>
      <x:c r="Y523" s="4" t="str">
        <x:f>""</x:f>
      </x:c>
      <x:c r="Z523" s="4" t="n">
        <x:f>IF('계산 과정'!$C$78,'계산 과정'!$C$89+0*'계산 과정'!$C$91/2,"")</x:f>
        <x:v>0</x:v>
      </x:c>
    </x:row>
    <x:row r="524" ht="23" customHeight="1">
      <x:c r="A524" s="17" t="n">
        <x:f>ROW()-6</x:f>
        <x:v>518</x:v>
      </x:c>
      <x:c r="B524" s="4" t="n">
        <x:f>IF('계산 과정'!$L$5,'계산 과정'!$L$11*SQRT((A524+0.5)/'계산 과정'!$L$30),"")</x:f>
        <x:v>75.4745727567404</x:v>
      </x:c>
      <x:c r="C524" s="4" t="n">
        <x:f>A524*PI()*(3-SQRT(5))</x:f>
        <x:v>1243.180952999442</x:v>
      </x:c>
      <x:c r="D524" s="4" t="n">
        <x:f>IF('계산 과정'!$L$5,B524*COS(C524),"")</x:f>
        <x:v>47.51997867293802</x:v>
      </x:c>
      <x:c r="E524" s="4" t="n">
        <x:f>IF('계산 과정'!$L$5,B524*SIN(C524),"")</x:f>
        <x:v>-58.636701473872286</x:v>
      </x:c>
      <x:c r="F524" s="4" t="n">
        <x:f>IF('계산 과정'!$L$7,'계산 과정'!$L$22+'계산 과정'!$C$49*D524+'계산 과정'!$D$49*E524,"")</x:f>
        <x:v>616.3983008385254</x:v>
      </x:c>
      <x:c r="G524" s="4" t="n">
        <x:f>IF('계산 과정'!$L$7,IF(ABS(F524)&gt;=1E-12*MAX(1,SQRT((D524-'계산 과정'!$C$33)^2+(E524-'계산 과정'!$D$33)^2+'계산 과정'!$E$33^2)),('계산 과정'!$L$23-'계산 과정'!$C$49*D524-'계산 과정'!$D$49*E524)/F524,""),"")</x:f>
        <x:v>0.7034440208086539</x:v>
      </x:c>
      <x:c r="H524" s="4" t="n">
        <x:f>IF(AND(ISNUMBER(G524),G524&gt;0),('계산 과정'!$D$56+'계산 과정'!$D$57*D524+'계산 과정'!$D$58*E524)/F524,"")</x:f>
        <x:v>57.23861352562494</x:v>
      </x:c>
      <x:c r="I524" s="4" t="n">
        <x:f>IF(AND(ISNUMBER(G524),G524&gt;0),('계산 과정'!$E$56+'계산 과정'!$E$57*D524+'계산 과정'!$E$58*E524)/F524,"")</x:f>
        <x:v>-99.88433852560972</x:v>
      </x:c>
      <x:c r="J524" s="4" t="n">
        <x:f>IF('계산 과정'!$L$5,'계산 과정'!$D$6+'계산 과정'!$C$35*D524+'계산 과정'!$D$35*E524,"")</x:f>
        <x:v>616.3983008385254</x:v>
      </x:c>
      <x:c r="K524" s="4" t="n">
        <x:f>IF(AND('계산 과정'!$L$6,J524&gt;0),'계산 과정'!$D$10*('계산 과정'!$C$38*(D524-'계산 과정'!$C$32)+'계산 과정'!$D$38*(E524-'계산 과정'!$D$32)-'계산 과정'!$E$38*'계산 과정'!$E$32)/J524,"")</x:f>
        <x:v>0.4361037221000003</x:v>
      </x:c>
      <x:c r="L524" s="4" t="n">
        <x:f>IF(AND('계산 과정'!$L$6,J524&gt;0),'계산 과정'!$D$10*('계산 과정'!$C$39*(D524-'계산 과정'!$C$32)+'계산 과정'!$D$39*(E524-'계산 과정'!$D$32)-'계산 과정'!$E$39*'계산 과정'!$E$32)/J524,"")</x:f>
        <x:v>-0.7610235316236932</x:v>
      </x:c>
      <x:c r="M524" s="17" t="n">
        <x:f>IF('계산 과정'!$L$6,IF(J524&lt;=0,0,IF(AND(ABS(K524)&lt;='계산 과정'!$D$11/2,ABS(L524)&lt;='계산 과정'!$D$12/2),1,0)),"")</x:f>
        <x:v>1</x:v>
      </x:c>
      <x:c r="N524" s="17" t="n">
        <x:f>IF('계산 과정'!$C$78,IF(AND(ISNUMBER(H524),ISNUMBER(I524),ABS(H524-'계산 과정'!$C$88)&lt;='계산 과정'!$D$23/2,ABS(I524-'계산 과정'!$C$89)&lt;='계산 과정'!$D$24/2),1,0),"")</x:f>
        <x:v>1</x:v>
      </x:c>
      <x:c r="O524" s="4" t="n">
        <x:f>IF('계산 과정'!$L$7,'계산 과정'!$C$49*('계산 과정'!$C$32-D524)+'계산 과정'!$D$49*('계산 과정'!$D$32-E524)+'계산 과정'!$E$49*'계산 과정'!$E$32,"")</x:f>
        <x:v>33.6016991614747</x:v>
      </x:c>
      <x:c r="P524" s="4" t="n">
        <x:f>IF(AND('계산 과정'!$L$7,O524&lt;&gt;0),('계산 과정'!$L$23-'계산 과정'!$C$49*D524-'계산 과정'!$D$49*E524)/O524,"")</x:f>
        <x:v>12.904159908038556</x:v>
      </x:c>
      <x:c r="Q524" s="4" t="str">
        <x:f>IF(AND(ISNUMBER(P524),P524&gt;1E-9,P524&lt;1-1E-9),'계산 과정'!$C$47*(D524-'계산 과정'!$C$50+P524*('계산 과정'!$C$32-D524))+'계산 과정'!$D$47*(E524-'계산 과정'!$D$50+P524*('계산 과정'!$D$32-E524))+'계산 과정'!$E$47*(0-'계산 과정'!$E$50+P524*('계산 과정'!$E$32-0)),"")</x:f>
      </x:c>
      <x:c r="R524" s="4" t="str">
        <x:f>IF(AND(ISNUMBER(P524),P524&gt;1E-9,P524&lt;1-1E-9),'계산 과정'!$C$48*(D524-'계산 과정'!$C$50+P524*('계산 과정'!$C$32-D524))+'계산 과정'!$D$48*(E524-'계산 과정'!$D$50+P524*('계산 과정'!$D$32-E524))+'계산 과정'!$E$48*(0-'계산 과정'!$E$50+P524*('계산 과정'!$E$32-0)),"")</x:f>
      </x:c>
      <x:c r="S524" s="17" t="n">
        <x:f>IF('계산 과정'!$C$78,IF(AND(ISNUMBER(Q524),ISNUMBER(R524),ABS(Q524-'계산 과정'!$C$88)&lt;='계산 과정'!$D$23/2,ABS(R524-'계산 과정'!$C$89)&lt;='계산 과정'!$D$24/2),1,0),"")</x:f>
        <x:v>0</x:v>
      </x:c>
      <x:c r="T524" s="4"/>
      <x:c r="U524" s="4"/>
      <x:c r="V524" s="4"/>
      <x:c r="W524" s="4" t="n">
        <x:f>IF('계산 과정'!$C$78,'계산 과정'!$C$88+1*'계산 과정'!$C$90/2,"")</x:f>
        <x:v>209.7478582953745</x:v>
      </x:c>
      <x:c r="X524" s="4" t="str">
        <x:f>""</x:f>
      </x:c>
      <x:c r="Y524" s="4" t="str">
        <x:f>""</x:f>
      </x:c>
      <x:c r="Z524" s="4" t="n">
        <x:f>IF('계산 과정'!$C$78,'계산 과정'!$C$89+0.040000000000000036*'계산 과정'!$C$91/2,"")</x:f>
        <x:v>10.023982812376685</x:v>
      </x:c>
    </x:row>
    <x:row r="525" ht="23" customHeight="1">
      <x:c r="A525" s="17" t="n">
        <x:f>ROW()-6</x:f>
        <x:v>519</x:v>
      </x:c>
      <x:c r="B525" s="4" t="n">
        <x:f>IF('계산 과정'!$L$5,'계산 과정'!$L$11*SQRT((A525+0.5)/'계산 과정'!$L$30),"")</x:f>
        <x:v>75.54731934977906</x:v>
      </x:c>
      <x:c r="C525" s="4" t="n">
        <x:f>A525*PI()*(3-SQRT(5))</x:f>
        <x:v>1245.580916229171</x:v>
      </x:c>
      <x:c r="D525" s="4" t="n">
        <x:f>IF('계산 과정'!$L$5,B525*COS(C525),"")</x:f>
        <x:v>4.573173006876439</x:v>
      </x:c>
      <x:c r="E525" s="4" t="n">
        <x:f>IF('계산 과정'!$L$5,B525*SIN(C525),"")</x:f>
        <x:v>75.4087763432525</x:v>
      </x:c>
      <x:c r="F525" s="4" t="n">
        <x:f>IF('계산 과정'!$L$7,'계산 과정'!$L$22+'계산 과정'!$C$49*D525+'계산 과정'!$D$49*E525,"")</x:f>
        <x:v>646.7662783552984</x:v>
      </x:c>
      <x:c r="G525" s="4" t="n">
        <x:f>IF('계산 과정'!$L$7,IF(ABS(F525)&gt;=1E-12*MAX(1,SQRT((D525-'계산 과정'!$C$33)^2+(E525-'계산 과정'!$D$33)^2+'계산 과정'!$E$33^2)),('계산 과정'!$L$23-'계산 과정'!$C$49*D525-'계산 과정'!$D$49*E525)/F525,""),"")</x:f>
        <x:v>0.623461264353654</x:v>
      </x:c>
      <x:c r="H525" s="4" t="n">
        <x:f>IF(AND(ISNUMBER(G525),G525&gt;0),('계산 과정'!$D$56+'계산 과정'!$D$57*D525+'계산 과정'!$D$58*E525)/F525,"")</x:f>
        <x:v>5.2498218298749295</x:v>
      </x:c>
      <x:c r="I525" s="4" t="n">
        <x:f>IF(AND(ISNUMBER(G525),G525&gt;0),('계산 과정'!$E$56+'계산 과정'!$E$57*D525+'계산 과정'!$E$58*E525)/F525,"")</x:f>
        <x:v>122.42322738557863</x:v>
      </x:c>
      <x:c r="J525" s="4" t="n">
        <x:f>IF('계산 과정'!$L$5,'계산 과정'!$D$6+'계산 과정'!$C$35*D525+'계산 과정'!$D$35*E525,"")</x:f>
        <x:v>646.7662783552984</x:v>
      </x:c>
      <x:c r="K525" s="4" t="n">
        <x:f>IF(AND('계산 과정'!$L$6,J525&gt;0),'계산 과정'!$D$10*('계산 과정'!$C$38*(D525-'계산 과정'!$C$32)+'계산 과정'!$D$38*(E525-'계산 과정'!$D$32)-'계산 과정'!$E$38*'계산 과정'!$E$32)/J525,"")</x:f>
        <x:v>0.03999864251333401</x:v>
      </x:c>
      <x:c r="L525" s="4" t="n">
        <x:f>IF(AND('계산 과정'!$L$6,J525&gt;0),'계산 과정'!$D$10*('계산 과정'!$C$39*(D525-'계산 과정'!$C$32)+'계산 과정'!$D$39*(E525-'계산 과정'!$D$32)-'계산 과정'!$E$39*'계산 과정'!$E$32)/J525,"")</x:f>
        <x:v>0.932748399128218</x:v>
      </x:c>
      <x:c r="M525" s="17" t="n">
        <x:f>IF('계산 과정'!$L$6,IF(J525&lt;=0,0,IF(AND(ABS(K525)&lt;='계산 과정'!$D$11/2,ABS(L525)&lt;='계산 과정'!$D$12/2),1,0)),"")</x:f>
        <x:v>1</x:v>
      </x:c>
      <x:c r="N525" s="17" t="n">
        <x:f>IF('계산 과정'!$C$78,IF(AND(ISNUMBER(H525),ISNUMBER(I525),ABS(H525-'계산 과정'!$C$88)&lt;='계산 과정'!$D$23/2,ABS(I525-'계산 과정'!$C$89)&lt;='계산 과정'!$D$24/2),1,0),"")</x:f>
        <x:v>1</x:v>
      </x:c>
      <x:c r="O525" s="4" t="n">
        <x:f>IF('계산 과정'!$L$7,'계산 과정'!$C$49*('계산 과정'!$C$32-D525)+'계산 과정'!$D$49*('계산 과정'!$D$32-E525)+'계산 과정'!$E$49*'계산 과정'!$E$32,"")</x:f>
        <x:v>3.2337216447017454</x:v>
      </x:c>
      <x:c r="P525" s="4" t="n">
        <x:f>IF(AND('계산 과정'!$L$7,O525&lt;&gt;0),('계산 과정'!$L$23-'계산 과정'!$C$49*D525-'계산 과정'!$D$49*E525)/O525,"")</x:f>
        <x:v>124.69648471610887</x:v>
      </x:c>
      <x:c r="Q525" s="4" t="str">
        <x:f>IF(AND(ISNUMBER(P525),P525&gt;1E-9,P525&lt;1-1E-9),'계산 과정'!$C$47*(D525-'계산 과정'!$C$50+P525*('계산 과정'!$C$32-D525))+'계산 과정'!$D$47*(E525-'계산 과정'!$D$50+P525*('계산 과정'!$D$32-E525))+'계산 과정'!$E$47*(0-'계산 과정'!$E$50+P525*('계산 과정'!$E$32-0)),"")</x:f>
      </x:c>
      <x:c r="R525" s="4" t="str">
        <x:f>IF(AND(ISNUMBER(P525),P525&gt;1E-9,P525&lt;1-1E-9),'계산 과정'!$C$48*(D525-'계산 과정'!$C$50+P525*('계산 과정'!$C$32-D525))+'계산 과정'!$D$48*(E525-'계산 과정'!$D$50+P525*('계산 과정'!$D$32-E525))+'계산 과정'!$E$48*(0-'계산 과정'!$E$50+P525*('계산 과정'!$E$32-0)),"")</x:f>
      </x:c>
      <x:c r="S525" s="17" t="n">
        <x:f>IF('계산 과정'!$C$78,IF(AND(ISNUMBER(Q525),ISNUMBER(R525),ABS(Q525-'계산 과정'!$C$88)&lt;='계산 과정'!$D$23/2,ABS(R525-'계산 과정'!$C$89)&lt;='계산 과정'!$D$24/2),1,0),"")</x:f>
        <x:v>0</x:v>
      </x:c>
      <x:c r="T525" s="4"/>
      <x:c r="U525" s="4"/>
      <x:c r="V525" s="4"/>
      <x:c r="W525" s="4" t="n">
        <x:f>IF('계산 과정'!$C$78,'계산 과정'!$C$88+1*'계산 과정'!$C$90/2,"")</x:f>
        <x:v>209.7478582953745</x:v>
      </x:c>
      <x:c r="X525" s="4" t="str">
        <x:f>""</x:f>
      </x:c>
      <x:c r="Y525" s="4" t="str">
        <x:f>""</x:f>
      </x:c>
      <x:c r="Z525" s="4" t="n">
        <x:f>IF('계산 과정'!$C$78,'계산 과정'!$C$89+0.08000000000000007*'계산 과정'!$C$91/2,"")</x:f>
        <x:v>20.04796562475337</x:v>
      </x:c>
    </x:row>
    <x:row r="526" ht="23" customHeight="1">
      <x:c r="A526" s="17" t="n">
        <x:f>ROW()-6</x:f>
        <x:v>520</x:v>
      </x:c>
      <x:c r="B526" s="4" t="n">
        <x:f>IF('계산 과정'!$L$5,'계산 과정'!$L$11*SQRT((A526+0.5)/'계산 과정'!$L$30),"")</x:f>
        <x:v>75.61999596047661</x:v>
      </x:c>
      <x:c r="C526" s="4" t="n">
        <x:f>A526*PI()*(3-SQRT(5))</x:f>
        <x:v>1247.9808794588994</x:v>
      </x:c>
      <x:c r="D526" s="4" t="n">
        <x:f>IF('계산 과정'!$L$5,B526*COS(C526),"")</x:f>
        <x:v>-54.36225826720012</x:v>
      </x:c>
      <x:c r="E526" s="4" t="n">
        <x:f>IF('계산 과정'!$L$5,B526*SIN(C526),"")</x:f>
        <x:v>-52.56547027424688</x:v>
      </x:c>
      <x:c r="F526" s="4" t="n">
        <x:f>IF('계산 과정'!$L$7,'계산 과정'!$L$22+'계산 과정'!$C$49*D526+'계산 과정'!$D$49*E526,"")</x:f>
        <x:v>688.4399214613517</x:v>
      </x:c>
      <x:c r="G526" s="4" t="n">
        <x:f>IF('계산 과정'!$L$7,IF(ABS(F526)&gt;=1E-12*MAX(1,SQRT((D526-'계산 과정'!$C$33)^2+(E526-'계산 과정'!$D$33)^2+'계산 과정'!$E$33^2)),('계산 과정'!$L$23-'계산 과정'!$C$49*D526-'계산 과정'!$D$49*E526)/F526,""),"")</x:f>
        <x:v>0.5251875541603755</x:v>
      </x:c>
      <x:c r="H526" s="4" t="n">
        <x:f>IF(AND(ISNUMBER(G526),G526&gt;0),('계산 과정'!$D$56+'계산 과정'!$D$57*D526+'계산 과정'!$D$58*E526)/F526,"")</x:f>
        <x:v>-58.62808979575599</x:v>
      </x:c>
      <x:c r="I526" s="4" t="n">
        <x:f>IF(AND(ISNUMBER(G526),G526&gt;0),('계산 과정'!$E$56+'계산 과정'!$E$57*D526+'계산 과정'!$E$58*E526)/F526,"")</x:f>
        <x:v>-80.17220104086852</x:v>
      </x:c>
      <x:c r="J526" s="4" t="n">
        <x:f>IF('계산 과정'!$L$5,'계산 과정'!$D$6+'계산 과정'!$C$35*D526+'계산 과정'!$D$35*E526,"")</x:f>
        <x:v>688.4399214613517</x:v>
      </x:c>
      <x:c r="K526" s="4" t="n">
        <x:f>IF(AND('계산 과정'!$L$6,J526&gt;0),'계산 과정'!$D$10*('계산 과정'!$C$38*(D526-'계산 과정'!$C$32)+'계산 과정'!$D$38*(E526-'계산 과정'!$D$32)-'계산 과정'!$E$38*'계산 과정'!$E$32)/J526,"")</x:f>
        <x:v>-0.4466902079676639</x:v>
      </x:c>
      <x:c r="L526" s="4" t="n">
        <x:f>IF(AND('계산 과정'!$L$6,J526&gt;0),'계산 과정'!$D$10*('계산 과정'!$C$39*(D526-'계산 과정'!$C$32)+'계산 과정'!$D$39*(E526-'계산 과정'!$D$32)-'계산 과정'!$E$39*'계산 과정'!$E$32)/J526,"")</x:f>
        <x:v>-0.6108358174542363</x:v>
      </x:c>
      <x:c r="M526" s="17" t="n">
        <x:f>IF('계산 과정'!$L$6,IF(J526&lt;=0,0,IF(AND(ABS(K526)&lt;='계산 과정'!$D$11/2,ABS(L526)&lt;='계산 과정'!$D$12/2),1,0)),"")</x:f>
        <x:v>1</x:v>
      </x:c>
      <x:c r="N526" s="17" t="n">
        <x:f>IF('계산 과정'!$C$78,IF(AND(ISNUMBER(H526),ISNUMBER(I526),ABS(H526-'계산 과정'!$C$88)&lt;='계산 과정'!$D$23/2,ABS(I526-'계산 과정'!$C$89)&lt;='계산 과정'!$D$24/2),1,0),"")</x:f>
        <x:v>1</x:v>
      </x:c>
      <x:c r="O526" s="4" t="n">
        <x:f>IF('계산 과정'!$L$7,'계산 과정'!$C$49*('계산 과정'!$C$32-D526)+'계산 과정'!$D$49*('계산 과정'!$D$32-E526)+'계산 과정'!$E$49*'계산 과정'!$E$32,"")</x:f>
        <x:v>-38.4399214613515</x:v>
      </x:c>
      <x:c r="P526" s="4" t="n">
        <x:f>IF(AND('계산 과정'!$L$7,O526&lt;&gt;0),('계산 과정'!$L$23-'계산 과정'!$C$49*D526-'계산 과정'!$D$49*E526)/O526,"")</x:f>
        <x:v>-9.405848523966686</x:v>
      </x:c>
      <x:c r="Q526" s="4" t="str">
        <x:f>IF(AND(ISNUMBER(P526),P526&gt;1E-9,P526&lt;1-1E-9),'계산 과정'!$C$47*(D526-'계산 과정'!$C$50+P526*('계산 과정'!$C$32-D526))+'계산 과정'!$D$47*(E526-'계산 과정'!$D$50+P526*('계산 과정'!$D$32-E526))+'계산 과정'!$E$47*(0-'계산 과정'!$E$50+P526*('계산 과정'!$E$32-0)),"")</x:f>
      </x:c>
      <x:c r="R526" s="4" t="str">
        <x:f>IF(AND(ISNUMBER(P526),P526&gt;1E-9,P526&lt;1-1E-9),'계산 과정'!$C$48*(D526-'계산 과정'!$C$50+P526*('계산 과정'!$C$32-D526))+'계산 과정'!$D$48*(E526-'계산 과정'!$D$50+P526*('계산 과정'!$D$32-E526))+'계산 과정'!$E$48*(0-'계산 과정'!$E$50+P526*('계산 과정'!$E$32-0)),"")</x:f>
      </x:c>
      <x:c r="S526" s="17" t="n">
        <x:f>IF('계산 과정'!$C$78,IF(AND(ISNUMBER(Q526),ISNUMBER(R526),ABS(Q526-'계산 과정'!$C$88)&lt;='계산 과정'!$D$23/2,ABS(R526-'계산 과정'!$C$89)&lt;='계산 과정'!$D$24/2),1,0),"")</x:f>
        <x:v>0</x:v>
      </x:c>
      <x:c r="T526" s="4"/>
      <x:c r="U526" s="4"/>
      <x:c r="V526" s="4"/>
      <x:c r="W526" s="4" t="n">
        <x:f>IF('계산 과정'!$C$78,'계산 과정'!$C$88+1*'계산 과정'!$C$90/2,"")</x:f>
        <x:v>209.7478582953745</x:v>
      </x:c>
      <x:c r="X526" s="4" t="str">
        <x:f>""</x:f>
      </x:c>
      <x:c r="Y526" s="4" t="str">
        <x:f>""</x:f>
      </x:c>
      <x:c r="Z526" s="4" t="n">
        <x:f>IF('계산 과정'!$C$78,'계산 과정'!$C$89+0.1200000000000001*'계산 과정'!$C$91/2,"")</x:f>
        <x:v>30.071948437130054</x:v>
      </x:c>
    </x:row>
    <x:row r="527" ht="23" customHeight="1">
      <x:c r="A527" s="17" t="n">
        <x:f>ROW()-6</x:f>
        <x:v>521</x:v>
      </x:c>
      <x:c r="B527" s="4" t="n">
        <x:f>IF('계산 과정'!$L$5,'계산 과정'!$L$11*SQRT((A527+0.5)/'계산 과정'!$L$30),"")</x:f>
        <x:v>75.69260279041474</x:v>
      </x:c>
      <x:c r="C527" s="4" t="n">
        <x:f>A527*PI()*(3-SQRT(5))</x:f>
        <x:v>1250.3808426886283</x:v>
      </x:c>
      <x:c r="D527" s="4" t="n">
        <x:f>IF('계산 과정'!$L$5,B527*COS(C527),"")</x:f>
        <x:v>75.66508280369841</x:v>
      </x:c>
      <x:c r="E527" s="4" t="n">
        <x:f>IF('계산 과정'!$L$5,B527*SIN(C527),"")</x:f>
        <x:v>2.04092172729989</x:v>
      </x:c>
      <x:c r="F527" s="4" t="n">
        <x:f>IF('계산 과정'!$L$7,'계산 과정'!$L$22+'계산 과정'!$C$49*D527+'계산 과정'!$D$49*E527,"")</x:f>
        <x:v>596.4967068504633</x:v>
      </x:c>
      <x:c r="G527" s="4" t="n">
        <x:f>IF('계산 과정'!$L$7,IF(ABS(F527)&gt;=1E-12*MAX(1,SQRT((D527-'계산 과정'!$C$33)^2+(E527-'계산 과정'!$D$33)^2+'계산 과정'!$E$33^2)),('계산 과정'!$L$23-'계산 과정'!$C$49*D527-'계산 과정'!$D$49*E527)/F527,""),"")</x:f>
        <x:v>0.7602779494694281</x:v>
      </x:c>
      <x:c r="H527" s="4" t="n">
        <x:f>IF(AND(ISNUMBER(G527),G527&gt;0),('계산 과정'!$D$56+'계산 과정'!$D$57*D527+'계산 과정'!$D$58*E527)/F527,"")</x:f>
        <x:v>94.18066715512819</x:v>
      </x:c>
      <x:c r="I527" s="4" t="n">
        <x:f>IF(AND(ISNUMBER(G527),G527&gt;0),('계산 과정'!$E$56+'계산 과정'!$E$57*D527+'계산 과정'!$E$58*E527)/F527,"")</x:f>
        <x:v>3.5925895131590533</x:v>
      </x:c>
      <x:c r="J527" s="4" t="n">
        <x:f>IF('계산 과정'!$L$5,'계산 과정'!$D$6+'계산 과정'!$C$35*D527+'계산 과정'!$D$35*E527,"")</x:f>
        <x:v>596.4967068504633</x:v>
      </x:c>
      <x:c r="K527" s="4" t="n">
        <x:f>IF(AND('계산 과정'!$L$6,J527&gt;0),'계산 과정'!$D$10*('계산 과정'!$C$38*(D527-'계산 과정'!$C$32)+'계산 과정'!$D$38*(E527-'계산 과정'!$D$32)-'계산 과정'!$E$38*'계산 과정'!$E$32)/J527,"")</x:f>
        <x:v>0.7175669878485964</x:v>
      </x:c>
      <x:c r="L527" s="4" t="n">
        <x:f>IF(AND('계산 과정'!$L$6,J527&gt;0),'계산 과정'!$D$10*('계산 과정'!$C$39*(D527-'계산 과정'!$C$32)+'계산 과정'!$D$39*(E527-'계산 과정'!$D$32)-'계산 과정'!$E$39*'계산 과정'!$E$32)/J527,"")</x:f>
        <x:v>0.02737211057644993</x:v>
      </x:c>
      <x:c r="M527" s="17" t="n">
        <x:f>IF('계산 과정'!$L$6,IF(J527&lt;=0,0,IF(AND(ABS(K527)&lt;='계산 과정'!$D$11/2,ABS(L527)&lt;='계산 과정'!$D$12/2),1,0)),"")</x:f>
        <x:v>1</x:v>
      </x:c>
      <x:c r="N527" s="17" t="n">
        <x:f>IF('계산 과정'!$C$78,IF(AND(ISNUMBER(H527),ISNUMBER(I527),ABS(H527-'계산 과정'!$C$88)&lt;='계산 과정'!$D$23/2,ABS(I527-'계산 과정'!$C$89)&lt;='계산 과정'!$D$24/2),1,0),"")</x:f>
        <x:v>1</x:v>
      </x:c>
      <x:c r="O527" s="4" t="n">
        <x:f>IF('계산 과정'!$L$7,'계산 과정'!$C$49*('계산 과정'!$C$32-D527)+'계산 과정'!$D$49*('계산 과정'!$D$32-E527)+'계산 과정'!$E$49*'계산 과정'!$E$32,"")</x:f>
        <x:v>53.50329314953689</x:v>
      </x:c>
      <x:c r="P527" s="4" t="n">
        <x:f>IF(AND('계산 과정'!$L$7,O527&lt;&gt;0),('계산 과정'!$L$23-'계산 과정'!$C$49*D527-'계산 과정'!$D$49*E527)/O527,"")</x:f>
        <x:v>8.476175324050352</x:v>
      </x:c>
      <x:c r="Q527" s="4" t="str">
        <x:f>IF(AND(ISNUMBER(P527),P527&gt;1E-9,P527&lt;1-1E-9),'계산 과정'!$C$47*(D527-'계산 과정'!$C$50+P527*('계산 과정'!$C$32-D527))+'계산 과정'!$D$47*(E527-'계산 과정'!$D$50+P527*('계산 과정'!$D$32-E527))+'계산 과정'!$E$47*(0-'계산 과정'!$E$50+P527*('계산 과정'!$E$32-0)),"")</x:f>
      </x:c>
      <x:c r="R527" s="4" t="str">
        <x:f>IF(AND(ISNUMBER(P527),P527&gt;1E-9,P527&lt;1-1E-9),'계산 과정'!$C$48*(D527-'계산 과정'!$C$50+P527*('계산 과정'!$C$32-D527))+'계산 과정'!$D$48*(E527-'계산 과정'!$D$50+P527*('계산 과정'!$D$32-E527))+'계산 과정'!$E$48*(0-'계산 과정'!$E$50+P527*('계산 과정'!$E$32-0)),"")</x:f>
      </x:c>
      <x:c r="S527" s="17" t="n">
        <x:f>IF('계산 과정'!$C$78,IF(AND(ISNUMBER(Q527),ISNUMBER(R527),ABS(Q527-'계산 과정'!$C$88)&lt;='계산 과정'!$D$23/2,ABS(R527-'계산 과정'!$C$89)&lt;='계산 과정'!$D$24/2),1,0),"")</x:f>
        <x:v>0</x:v>
      </x:c>
      <x:c r="T527" s="4"/>
      <x:c r="U527" s="4"/>
      <x:c r="V527" s="4"/>
      <x:c r="W527" s="4" t="n">
        <x:f>IF('계산 과정'!$C$78,'계산 과정'!$C$88+1*'계산 과정'!$C$90/2,"")</x:f>
        <x:v>209.7478582953745</x:v>
      </x:c>
      <x:c r="X527" s="4" t="str">
        <x:f>""</x:f>
      </x:c>
      <x:c r="Y527" s="4" t="str">
        <x:f>""</x:f>
      </x:c>
      <x:c r="Z527" s="4" t="n">
        <x:f>IF('계산 과정'!$C$78,'계산 과정'!$C$89+0.15999999999999992*'계산 과정'!$C$91/2,"")</x:f>
        <x:v>40.095931249506684</x:v>
      </x:c>
    </x:row>
    <x:row r="528" ht="23" customHeight="1">
      <x:c r="A528" s="17" t="n">
        <x:f>ROW()-6</x:f>
        <x:v>522</x:v>
      </x:c>
      <x:c r="B528" s="4" t="n">
        <x:f>IF('계산 과정'!$L$5,'계산 과정'!$L$11*SQRT((A528+0.5)/'계산 과정'!$L$30),"")</x:f>
        <x:v>75.76514004020913</x:v>
      </x:c>
      <x:c r="C528" s="4" t="n">
        <x:f>A528*PI()*(3-SQRT(5))</x:f>
        <x:v>1252.7808059183567</x:v>
      </x:c>
      <x:c r="D528" s="4" t="n">
        <x:f>IF('계산 과정'!$L$5,B528*COS(C528),"")</x:f>
        <x:v>-57.22648845180812</x:v>
      </x:c>
      <x:c r="E528" s="4" t="n">
        <x:f>IF('계산 과정'!$L$5,B528*SIN(C528),"")</x:f>
        <x:v>49.65365509997802</x:v>
      </x:c>
      <x:c r="F528" s="4" t="n">
        <x:f>IF('계산 과정'!$L$7,'계산 과정'!$L$22+'계산 과정'!$C$49*D528+'계산 과정'!$D$49*E528,"")</x:f>
        <x:v>690.4652380477671</x:v>
      </x:c>
      <x:c r="G528" s="4" t="n">
        <x:f>IF('계산 과정'!$L$7,IF(ABS(F528)&gt;=1E-12*MAX(1,SQRT((D528-'계산 과정'!$C$33)^2+(E528-'계산 과정'!$D$33)^2+'계산 과정'!$E$33^2)),('계산 과정'!$L$23-'계산 과정'!$C$49*D528-'계산 과정'!$D$49*E528)/F528,""),"")</x:f>
        <x:v>0.5207137769437711</x:v>
      </x:c>
      <x:c r="H528" s="4" t="n">
        <x:f>IF(AND(ISNUMBER(G528),G528&gt;0),('계산 과정'!$D$56+'계산 과정'!$D$57*D528+'계산 과정'!$D$58*E528)/F528,"")</x:f>
        <x:v>-61.53604498654894</x:v>
      </x:c>
      <x:c r="I528" s="4" t="n">
        <x:f>IF(AND(ISNUMBER(G528),G528&gt;0),('계산 과정'!$E$56+'계산 과정'!$E$57*D528+'계산 과정'!$E$58*E528)/F528,"")</x:f>
        <x:v>75.50899738615092</x:v>
      </x:c>
      <x:c r="J528" s="4" t="n">
        <x:f>IF('계산 과정'!$L$5,'계산 과정'!$D$6+'계산 과정'!$C$35*D528+'계산 과정'!$D$35*E528,"")</x:f>
        <x:v>690.4652380477671</x:v>
      </x:c>
      <x:c r="K528" s="4" t="n">
        <x:f>IF(AND('계산 과정'!$L$6,J528&gt;0),'계산 과정'!$D$10*('계산 과정'!$C$38*(D528-'계산 과정'!$C$32)+'계산 과정'!$D$38*(E528-'계산 과정'!$D$32)-'계산 과정'!$E$38*'계산 과정'!$E$32)/J528,"")</x:f>
        <x:v>-0.4688460570403719</x:v>
      </x:c>
      <x:c r="L528" s="4" t="n">
        <x:f>IF(AND('계산 과정'!$L$6,J528&gt;0),'계산 과정'!$D$10*('계산 과정'!$C$39*(D528-'계산 과정'!$C$32)+'계산 과정'!$D$39*(E528-'계산 과정'!$D$32)-'계산 과정'!$E$39*'계산 과정'!$E$32)/J528,"")</x:f>
        <x:v>0.575306646751626</x:v>
      </x:c>
      <x:c r="M528" s="17" t="n">
        <x:f>IF('계산 과정'!$L$6,IF(J528&lt;=0,0,IF(AND(ABS(K528)&lt;='계산 과정'!$D$11/2,ABS(L528)&lt;='계산 과정'!$D$12/2),1,0)),"")</x:f>
        <x:v>1</x:v>
      </x:c>
      <x:c r="N528" s="17" t="n">
        <x:f>IF('계산 과정'!$C$78,IF(AND(ISNUMBER(H528),ISNUMBER(I528),ABS(H528-'계산 과정'!$C$88)&lt;='계산 과정'!$D$23/2,ABS(I528-'계산 과정'!$C$89)&lt;='계산 과정'!$D$24/2),1,0),"")</x:f>
        <x:v>1</x:v>
      </x:c>
      <x:c r="O528" s="4" t="n">
        <x:f>IF('계산 과정'!$L$7,'계산 과정'!$C$49*('계산 과정'!$C$32-D528)+'계산 과정'!$D$49*('계산 과정'!$D$32-E528)+'계산 과정'!$E$49*'계산 과정'!$E$32,"")</x:f>
        <x:v>-40.46523804776706</x:v>
      </x:c>
      <x:c r="P528" s="4" t="n">
        <x:f>IF(AND('계산 과정'!$L$7,O528&lt;&gt;0),('계산 과정'!$L$23-'계산 과정'!$C$49*D528-'계산 과정'!$D$49*E528)/O528,"")</x:f>
        <x:v>-8.8850277249777</x:v>
      </x:c>
      <x:c r="Q528" s="4" t="str">
        <x:f>IF(AND(ISNUMBER(P528),P528&gt;1E-9,P528&lt;1-1E-9),'계산 과정'!$C$47*(D528-'계산 과정'!$C$50+P528*('계산 과정'!$C$32-D528))+'계산 과정'!$D$47*(E528-'계산 과정'!$D$50+P528*('계산 과정'!$D$32-E528))+'계산 과정'!$E$47*(0-'계산 과정'!$E$50+P528*('계산 과정'!$E$32-0)),"")</x:f>
      </x:c>
      <x:c r="R528" s="4" t="str">
        <x:f>IF(AND(ISNUMBER(P528),P528&gt;1E-9,P528&lt;1-1E-9),'계산 과정'!$C$48*(D528-'계산 과정'!$C$50+P528*('계산 과정'!$C$32-D528))+'계산 과정'!$D$48*(E528-'계산 과정'!$D$50+P528*('계산 과정'!$D$32-E528))+'계산 과정'!$E$48*(0-'계산 과정'!$E$50+P528*('계산 과정'!$E$32-0)),"")</x:f>
      </x:c>
      <x:c r="S528" s="17" t="n">
        <x:f>IF('계산 과정'!$C$78,IF(AND(ISNUMBER(Q528),ISNUMBER(R528),ABS(Q528-'계산 과정'!$C$88)&lt;='계산 과정'!$D$23/2,ABS(R528-'계산 과정'!$C$89)&lt;='계산 과정'!$D$24/2),1,0),"")</x:f>
        <x:v>0</x:v>
      </x:c>
      <x:c r="T528" s="4"/>
      <x:c r="U528" s="4"/>
      <x:c r="V528" s="4"/>
      <x:c r="W528" s="4" t="n">
        <x:f>IF('계산 과정'!$C$78,'계산 과정'!$C$88+1*'계산 과정'!$C$90/2,"")</x:f>
        <x:v>209.7478582953745</x:v>
      </x:c>
      <x:c r="X528" s="4" t="str">
        <x:f>""</x:f>
      </x:c>
      <x:c r="Y528" s="4" t="str">
        <x:f>""</x:f>
      </x:c>
      <x:c r="Z528" s="4" t="n">
        <x:f>IF('계산 과정'!$C$78,'계산 과정'!$C$89+0.19999999999999996*'계산 과정'!$C$91/2,"")</x:f>
        <x:v>50.119914061883364</x:v>
      </x:c>
    </x:row>
    <x:row r="529" ht="23" customHeight="1">
      <x:c r="A529" s="17" t="n">
        <x:f>ROW()-6</x:f>
        <x:v>523</x:v>
      </x:c>
      <x:c r="B529" s="4" t="n">
        <x:f>IF('계산 과정'!$L$5,'계산 과정'!$L$11*SQRT((A529+0.5)/'계산 과정'!$L$30),"")</x:f>
        <x:v>75.83760790951611</x:v>
      </x:c>
      <x:c r="C529" s="4" t="n">
        <x:f>A529*PI()*(3-SQRT(5))</x:f>
        <x:v>1255.1807691480853</x:v>
      </x:c>
      <x:c r="D529" s="4" t="n">
        <x:f>IF('계산 과정'!$L$5,B529*COS(C529),"")</x:f>
        <x:v>8.664749234584187</x:v>
      </x:c>
      <x:c r="E529" s="4" t="n">
        <x:f>IF('계산 과정'!$L$5,B529*SIN(C529),"")</x:f>
        <x:v>-75.34099079610827</x:v>
      </x:c>
      <x:c r="F529" s="4" t="n">
        <x:f>IF('계산 과정'!$L$7,'계산 과정'!$L$22+'계산 과정'!$C$49*D529+'계산 과정'!$D$49*E529,"")</x:f>
        <x:v>643.8730970589446</x:v>
      </x:c>
      <x:c r="G529" s="4" t="n">
        <x:f>IF('계산 과정'!$L$7,IF(ABS(F529)&gt;=1E-12*MAX(1,SQRT((D529-'계산 과정'!$C$33)^2+(E529-'계산 과정'!$D$33)^2+'계산 과정'!$E$33^2)),('계산 과정'!$L$23-'계산 과정'!$C$49*D529-'계산 과정'!$D$49*E529)/F529,""),"")</x:f>
        <x:v>0.6307561300451039</x:v>
      </x:c>
      <x:c r="H529" s="4" t="n">
        <x:f>IF(AND(ISNUMBER(G529),G529&gt;0),('계산 과정'!$D$56+'계산 과정'!$D$57*D529+'계산 과정'!$D$58*E529)/F529,"")</x:f>
        <x:v>9.9914845293174</x:v>
      </x:c>
      <x:c r="I529" s="4" t="n">
        <x:f>IF(AND(ISNUMBER(G529),G529&gt;0),('계산 과정'!$E$56+'계산 과정'!$E$57*D529+'계산 과정'!$E$58*E529)/F529,"")</x:f>
        <x:v>-122.8627825844253</x:v>
      </x:c>
      <x:c r="J529" s="4" t="n">
        <x:f>IF('계산 과정'!$L$5,'계산 과정'!$D$6+'계산 과정'!$C$35*D529+'계산 과정'!$D$35*E529,"")</x:f>
        <x:v>643.8730970589446</x:v>
      </x:c>
      <x:c r="K529" s="4" t="n">
        <x:f>IF(AND('계산 과정'!$L$6,J529&gt;0),'계산 과정'!$D$10*('계산 과정'!$C$38*(D529-'계산 과정'!$C$32)+'계산 과정'!$D$38*(E529-'계산 과정'!$D$32)-'계산 과정'!$E$38*'계산 과정'!$E$32)/J529,"")</x:f>
        <x:v>0.07612559641384797</x:v>
      </x:c>
      <x:c r="L529" s="4" t="n">
        <x:f>IF(AND('계산 과정'!$L$6,J529&gt;0),'계산 과정'!$D$10*('계산 과정'!$C$39*(D529-'계산 과정'!$C$32)+'계산 과정'!$D$39*(E529-'계산 과정'!$D$32)-'계산 과정'!$E$39*'계산 과정'!$E$32)/J529,"")</x:f>
        <x:v>-0.9360973911194309</x:v>
      </x:c>
      <x:c r="M529" s="17" t="n">
        <x:f>IF('계산 과정'!$L$6,IF(J529&lt;=0,0,IF(AND(ABS(K529)&lt;='계산 과정'!$D$11/2,ABS(L529)&lt;='계산 과정'!$D$12/2),1,0)),"")</x:f>
        <x:v>1</x:v>
      </x:c>
      <x:c r="N529" s="17" t="n">
        <x:f>IF('계산 과정'!$C$78,IF(AND(ISNUMBER(H529),ISNUMBER(I529),ABS(H529-'계산 과정'!$C$88)&lt;='계산 과정'!$D$23/2,ABS(I529-'계산 과정'!$C$89)&lt;='계산 과정'!$D$24/2),1,0),"")</x:f>
        <x:v>1</x:v>
      </x:c>
      <x:c r="O529" s="4" t="n">
        <x:f>IF('계산 과정'!$L$7,'계산 과정'!$C$49*('계산 과정'!$C$32-D529)+'계산 과정'!$D$49*('계산 과정'!$D$32-E529)+'계산 과정'!$E$49*'계산 과정'!$E$32,"")</x:f>
        <x:v>6.126902941055505</x:v>
      </x:c>
      <x:c r="P529" s="4" t="n">
        <x:f>IF(AND('계산 과정'!$L$7,O529&lt;&gt;0),('계산 과정'!$L$23-'계산 과정'!$C$49*D529-'계산 과정'!$D$49*E529)/O529,"")</x:f>
        <x:v>66.28583916674391</x:v>
      </x:c>
      <x:c r="Q529" s="4" t="str">
        <x:f>IF(AND(ISNUMBER(P529),P529&gt;1E-9,P529&lt;1-1E-9),'계산 과정'!$C$47*(D529-'계산 과정'!$C$50+P529*('계산 과정'!$C$32-D529))+'계산 과정'!$D$47*(E529-'계산 과정'!$D$50+P529*('계산 과정'!$D$32-E529))+'계산 과정'!$E$47*(0-'계산 과정'!$E$50+P529*('계산 과정'!$E$32-0)),"")</x:f>
      </x:c>
      <x:c r="R529" s="4" t="str">
        <x:f>IF(AND(ISNUMBER(P529),P529&gt;1E-9,P529&lt;1-1E-9),'계산 과정'!$C$48*(D529-'계산 과정'!$C$50+P529*('계산 과정'!$C$32-D529))+'계산 과정'!$D$48*(E529-'계산 과정'!$D$50+P529*('계산 과정'!$D$32-E529))+'계산 과정'!$E$48*(0-'계산 과정'!$E$50+P529*('계산 과정'!$E$32-0)),"")</x:f>
      </x:c>
      <x:c r="S529" s="17" t="n">
        <x:f>IF('계산 과정'!$C$78,IF(AND(ISNUMBER(Q529),ISNUMBER(R529),ABS(Q529-'계산 과정'!$C$88)&lt;='계산 과정'!$D$23/2,ABS(R529-'계산 과정'!$C$89)&lt;='계산 과정'!$D$24/2),1,0),"")</x:f>
        <x:v>0</x:v>
      </x:c>
      <x:c r="T529" s="4"/>
      <x:c r="U529" s="4"/>
      <x:c r="V529" s="4"/>
      <x:c r="W529" s="4" t="n">
        <x:f>IF('계산 과정'!$C$78,'계산 과정'!$C$88+1*'계산 과정'!$C$90/2,"")</x:f>
        <x:v>209.7478582953745</x:v>
      </x:c>
      <x:c r="X529" s="4" t="str">
        <x:f>""</x:f>
      </x:c>
      <x:c r="Y529" s="4" t="str">
        <x:f>""</x:f>
      </x:c>
      <x:c r="Z529" s="4" t="n">
        <x:f>IF('계산 과정'!$C$78,'계산 과정'!$C$89+0.24*'계산 과정'!$C$91/2,"")</x:f>
        <x:v>60.14389687426005</x:v>
      </x:c>
    </x:row>
    <x:row r="530" ht="23" customHeight="1">
      <x:c r="A530" s="17" t="n">
        <x:f>ROW()-6</x:f>
        <x:v>524</x:v>
      </x:c>
      <x:c r="B530" s="4" t="n">
        <x:f>IF('계산 과정'!$L$5,'계산 과정'!$L$11*SQRT((A530+0.5)/'계산 과정'!$L$30),"")</x:f>
        <x:v>75.91000659703896</x:v>
      </x:c>
      <x:c r="C530" s="4" t="n">
        <x:f>A530*PI()*(3-SQRT(5))</x:f>
        <x:v>1257.5807323778142</x:v>
      </x:c>
      <x:c r="D530" s="4" t="n">
        <x:f>IF('계산 과정'!$L$5,B530*COS(C530),"")</x:f>
        <x:v>44.545476586745025</x:v>
      </x:c>
      <x:c r="E530" s="4" t="n">
        <x:f>IF('계산 과정'!$L$5,B530*SIN(C530),"")</x:f>
        <x:v>61.46567836786843</x:v>
      </x:c>
      <x:c r="F530" s="4" t="n">
        <x:f>IF('계산 과정'!$L$7,'계산 과정'!$L$22+'계산 과정'!$C$49*D530+'계산 과정'!$D$49*E530,"")</x:f>
        <x:v>618.501591434326</x:v>
      </x:c>
      <x:c r="G530" s="4" t="n">
        <x:f>IF('계산 과정'!$L$7,IF(ABS(F530)&gt;=1E-12*MAX(1,SQRT((D530-'계산 과정'!$C$33)^2+(E530-'계산 과정'!$D$33)^2+'계산 과정'!$E$33^2)),('계산 과정'!$L$23-'계산 과정'!$C$49*D530-'계산 과정'!$D$49*E530)/F530,""),"")</x:f>
        <x:v>0.6976512502821773</x:v>
      </x:c>
      <x:c r="H530" s="4" t="n">
        <x:f>IF(AND(ISNUMBER(G530),G530&gt;0),('계산 과정'!$D$56+'계산 과정'!$D$57*D530+'계산 과정'!$D$58*E530)/F530,"")</x:f>
        <x:v>53.473312683415195</x:v>
      </x:c>
      <x:c r="I530" s="4" t="n">
        <x:f>IF(AND(ISNUMBER(G530),G530&gt;0),('계산 과정'!$E$56+'계산 과정'!$E$57*D530+'계산 과정'!$E$58*E530)/F530,"")</x:f>
        <x:v>104.34728573065402</x:v>
      </x:c>
      <x:c r="J530" s="4" t="n">
        <x:f>IF('계산 과정'!$L$5,'계산 과정'!$D$6+'계산 과정'!$C$35*D530+'계산 과정'!$D$35*E530,"")</x:f>
        <x:v>618.501591434326</x:v>
      </x:c>
      <x:c r="K530" s="4" t="n">
        <x:f>IF(AND('계산 과정'!$L$6,J530&gt;0),'계산 과정'!$D$10*('계산 과정'!$C$38*(D530-'계산 과정'!$C$32)+'계산 과정'!$D$38*(E530-'계산 과정'!$D$32)-'계산 과정'!$E$38*'계산 과정'!$E$32)/J530,"")</x:f>
        <x:v>0.40741571568316465</x:v>
      </x:c>
      <x:c r="L530" s="4" t="n">
        <x:f>IF(AND('계산 과정'!$L$6,J530&gt;0),'계산 과정'!$D$10*('계산 과정'!$C$39*(D530-'계산 과정'!$C$32)+'계산 과정'!$D$39*(E530-'계산 과정'!$D$32)-'계산 과정'!$E$39*'계산 과정'!$E$32)/J530,"")</x:f>
        <x:v>0.7950269389002211</x:v>
      </x:c>
      <x:c r="M530" s="17" t="n">
        <x:f>IF('계산 과정'!$L$6,IF(J530&lt;=0,0,IF(AND(ABS(K530)&lt;='계산 과정'!$D$11/2,ABS(L530)&lt;='계산 과정'!$D$12/2),1,0)),"")</x:f>
        <x:v>1</x:v>
      </x:c>
      <x:c r="N530" s="17" t="n">
        <x:f>IF('계산 과정'!$C$78,IF(AND(ISNUMBER(H530),ISNUMBER(I530),ABS(H530-'계산 과정'!$C$88)&lt;='계산 과정'!$D$23/2,ABS(I530-'계산 과정'!$C$89)&lt;='계산 과정'!$D$24/2),1,0),"")</x:f>
        <x:v>1</x:v>
      </x:c>
      <x:c r="O530" s="4" t="n">
        <x:f>IF('계산 과정'!$L$7,'계산 과정'!$C$49*('계산 과정'!$C$32-D530)+'계산 과정'!$D$49*('계산 과정'!$D$32-E530)+'계산 과정'!$E$49*'계산 과정'!$E$32,"")</x:f>
        <x:v>31.49840856567414</x:v>
      </x:c>
      <x:c r="P530" s="4" t="n">
        <x:f>IF(AND('계산 과정'!$L$7,O530&lt;&gt;0),('계산 과정'!$L$23-'계산 과정'!$C$49*D530-'계산 과정'!$D$49*E530)/O530,"")</x:f>
        <x:v>13.69905427653592</x:v>
      </x:c>
      <x:c r="Q530" s="4" t="str">
        <x:f>IF(AND(ISNUMBER(P530),P530&gt;1E-9,P530&lt;1-1E-9),'계산 과정'!$C$47*(D530-'계산 과정'!$C$50+P530*('계산 과정'!$C$32-D530))+'계산 과정'!$D$47*(E530-'계산 과정'!$D$50+P530*('계산 과정'!$D$32-E530))+'계산 과정'!$E$47*(0-'계산 과정'!$E$50+P530*('계산 과정'!$E$32-0)),"")</x:f>
      </x:c>
      <x:c r="R530" s="4" t="str">
        <x:f>IF(AND(ISNUMBER(P530),P530&gt;1E-9,P530&lt;1-1E-9),'계산 과정'!$C$48*(D530-'계산 과정'!$C$50+P530*('계산 과정'!$C$32-D530))+'계산 과정'!$D$48*(E530-'계산 과정'!$D$50+P530*('계산 과정'!$D$32-E530))+'계산 과정'!$E$48*(0-'계산 과정'!$E$50+P530*('계산 과정'!$E$32-0)),"")</x:f>
      </x:c>
      <x:c r="S530" s="17" t="n">
        <x:f>IF('계산 과정'!$C$78,IF(AND(ISNUMBER(Q530),ISNUMBER(R530),ABS(Q530-'계산 과정'!$C$88)&lt;='계산 과정'!$D$23/2,ABS(R530-'계산 과정'!$C$89)&lt;='계산 과정'!$D$24/2),1,0),"")</x:f>
        <x:v>0</x:v>
      </x:c>
      <x:c r="T530" s="4"/>
      <x:c r="U530" s="4"/>
      <x:c r="V530" s="4"/>
      <x:c r="W530" s="4" t="n">
        <x:f>IF('계산 과정'!$C$78,'계산 과정'!$C$88+1*'계산 과정'!$C$90/2,"")</x:f>
        <x:v>209.7478582953745</x:v>
      </x:c>
      <x:c r="X530" s="4" t="str">
        <x:f>""</x:f>
      </x:c>
      <x:c r="Y530" s="4" t="str">
        <x:f>""</x:f>
      </x:c>
      <x:c r="Z530" s="4" t="n">
        <x:f>IF('계산 과정'!$C$78,'계산 과정'!$C$89+0.28*'계산 과정'!$C$91/2,"")</x:f>
        <x:v>70.16787968663674</x:v>
      </x:c>
    </x:row>
    <x:row r="531" ht="23" customHeight="1">
      <x:c r="A531" s="17" t="n">
        <x:f>ROW()-6</x:f>
        <x:v>525</x:v>
      </x:c>
      <x:c r="B531" s="4" t="n">
        <x:f>IF('계산 과정'!$L$5,'계산 과정'!$L$11*SQRT((A531+0.5)/'계산 과정'!$L$30),"")</x:f>
        <x:v>75.98233630053434</x:v>
      </x:c>
      <x:c r="C531" s="4" t="n">
        <x:f>A531*PI()*(3-SQRT(5))</x:f>
        <x:v>1259.9806956075427</x:v>
      </x:c>
      <x:c r="D531" s="4" t="n">
        <x:f>IF('계산 과정'!$L$5,B531*COS(C531),"")</x:f>
        <x:v>-74.43677570322048</x:v>
      </x:c>
      <x:c r="E531" s="4" t="n">
        <x:f>IF('계산 과정'!$L$5,B531*SIN(C531),"")</x:f>
        <x:v>-15.247355593542926</x:v>
      </x:c>
      <x:c r="F531" s="4" t="n">
        <x:f>IF('계산 과정'!$L$7,'계산 과정'!$L$22+'계산 과정'!$C$49*D531+'계산 과정'!$D$49*E531,"")</x:f>
        <x:v>702.6347488694092</x:v>
      </x:c>
      <x:c r="G531" s="4" t="n">
        <x:f>IF('계산 과정'!$L$7,IF(ABS(F531)&gt;=1E-12*MAX(1,SQRT((D531-'계산 과정'!$C$33)^2+(E531-'계산 과정'!$D$33)^2+'계산 과정'!$E$33^2)),('계산 과정'!$L$23-'계산 과정'!$C$49*D531-'계산 과정'!$D$49*E531)/F531,""),"")</x:f>
        <x:v>0.4943752805985285</x:v>
      </x:c>
      <x:c r="H531" s="4" t="n">
        <x:f>IF(AND(ISNUMBER(G531),G531&gt;0),('계산 과정'!$D$56+'계산 과정'!$D$57*D531+'계산 과정'!$D$58*E531)/F531,"")</x:f>
        <x:v>-78.65606761095664</x:v>
      </x:c>
      <x:c r="I531" s="4" t="n">
        <x:f>IF(AND(ISNUMBER(G531),G531&gt;0),('계산 과정'!$E$56+'계산 과정'!$E$57*D531+'계산 과정'!$E$58*E531)/F531,"")</x:f>
        <x:v>-22.78527129348625</x:v>
      </x:c>
      <x:c r="J531" s="4" t="n">
        <x:f>IF('계산 과정'!$L$5,'계산 과정'!$D$6+'계산 과정'!$C$35*D531+'계산 과정'!$D$35*E531,"")</x:f>
        <x:v>702.6347488694092</x:v>
      </x:c>
      <x:c r="K531" s="4" t="n">
        <x:f>IF(AND('계산 과정'!$L$6,J531&gt;0),'계산 과정'!$D$10*('계산 과정'!$C$38*(D531-'계산 과정'!$C$32)+'계산 과정'!$D$38*(E531-'계산 과정'!$D$32)-'계산 과정'!$E$38*'계산 과정'!$E$32)/J531,"")</x:f>
        <x:v>-0.5992843246549073</x:v>
      </x:c>
      <x:c r="L531" s="4" t="n">
        <x:f>IF(AND('계산 과정'!$L$6,J531&gt;0),'계산 과정'!$D$10*('계산 과정'!$C$39*(D531-'계산 과정'!$C$32)+'계산 과정'!$D$39*(E531-'계산 과정'!$D$32)-'계산 과정'!$E$39*'계산 과정'!$E$32)/J531,"")</x:f>
        <x:v>-0.1736020669979905</x:v>
      </x:c>
      <x:c r="M531" s="17" t="n">
        <x:f>IF('계산 과정'!$L$6,IF(J531&lt;=0,0,IF(AND(ABS(K531)&lt;='계산 과정'!$D$11/2,ABS(L531)&lt;='계산 과정'!$D$12/2),1,0)),"")</x:f>
        <x:v>1</x:v>
      </x:c>
      <x:c r="N531" s="17" t="n">
        <x:f>IF('계산 과정'!$C$78,IF(AND(ISNUMBER(H531),ISNUMBER(I531),ABS(H531-'계산 과정'!$C$88)&lt;='계산 과정'!$D$23/2,ABS(I531-'계산 과정'!$C$89)&lt;='계산 과정'!$D$24/2),1,0),"")</x:f>
        <x:v>1</x:v>
      </x:c>
      <x:c r="O531" s="4" t="n">
        <x:f>IF('계산 과정'!$L$7,'계산 과정'!$C$49*('계산 과정'!$C$32-D531)+'계산 과정'!$D$49*('계산 과정'!$D$32-E531)+'계산 과정'!$E$49*'계산 과정'!$E$32,"")</x:f>
        <x:v>-52.63474886940912</x:v>
      </x:c>
      <x:c r="P531" s="4" t="n">
        <x:f>IF(AND('계산 과정'!$L$7,O531&lt;&gt;0),('계산 과정'!$L$23-'계산 과정'!$C$49*D531-'계산 과정'!$D$49*E531)/O531,"")</x:f>
        <x:v>-6.599542290824466</x:v>
      </x:c>
      <x:c r="Q531" s="4" t="str">
        <x:f>IF(AND(ISNUMBER(P531),P531&gt;1E-9,P531&lt;1-1E-9),'계산 과정'!$C$47*(D531-'계산 과정'!$C$50+P531*('계산 과정'!$C$32-D531))+'계산 과정'!$D$47*(E531-'계산 과정'!$D$50+P531*('계산 과정'!$D$32-E531))+'계산 과정'!$E$47*(0-'계산 과정'!$E$50+P531*('계산 과정'!$E$32-0)),"")</x:f>
      </x:c>
      <x:c r="R531" s="4" t="str">
        <x:f>IF(AND(ISNUMBER(P531),P531&gt;1E-9,P531&lt;1-1E-9),'계산 과정'!$C$48*(D531-'계산 과정'!$C$50+P531*('계산 과정'!$C$32-D531))+'계산 과정'!$D$48*(E531-'계산 과정'!$D$50+P531*('계산 과정'!$D$32-E531))+'계산 과정'!$E$48*(0-'계산 과정'!$E$50+P531*('계산 과정'!$E$32-0)),"")</x:f>
      </x:c>
      <x:c r="S531" s="17" t="n">
        <x:f>IF('계산 과정'!$C$78,IF(AND(ISNUMBER(Q531),ISNUMBER(R531),ABS(Q531-'계산 과정'!$C$88)&lt;='계산 과정'!$D$23/2,ABS(R531-'계산 과정'!$C$89)&lt;='계산 과정'!$D$24/2),1,0),"")</x:f>
        <x:v>0</x:v>
      </x:c>
      <x:c r="T531" s="4"/>
      <x:c r="U531" s="4"/>
      <x:c r="V531" s="4"/>
      <x:c r="W531" s="4" t="n">
        <x:f>IF('계산 과정'!$C$78,'계산 과정'!$C$88+1*'계산 과정'!$C$90/2,"")</x:f>
        <x:v>209.7478582953745</x:v>
      </x:c>
      <x:c r="X531" s="4" t="str">
        <x:f>""</x:f>
      </x:c>
      <x:c r="Y531" s="4" t="str">
        <x:f>""</x:f>
      </x:c>
      <x:c r="Z531" s="4" t="n">
        <x:f>IF('계산 과정'!$C$78,'계산 과정'!$C$89+0.32000000000000006*'계산 과정'!$C$91/2,"")</x:f>
        <x:v>80.19186249901342</x:v>
      </x:c>
    </x:row>
    <x:row r="532" ht="23" customHeight="1">
      <x:c r="A532" s="17" t="n">
        <x:f>ROW()-6</x:f>
        <x:v>526</x:v>
      </x:c>
      <x:c r="B532" s="4" t="n">
        <x:f>IF('계산 과정'!$L$5,'계산 과정'!$L$11*SQRT((A532+0.5)/'계산 과정'!$L$30),"")</x:f>
        <x:v>76.05459721681852</x:v>
      </x:c>
      <x:c r="C532" s="4" t="n">
        <x:f>A532*PI()*(3-SQRT(5))</x:f>
        <x:v>1262.3806588372715</x:v>
      </x:c>
      <x:c r="D532" s="4" t="n">
        <x:f>IF('계산 과정'!$L$5,B532*COS(C532),"")</x:f>
        <x:v>65.24879662470688</x:v>
      </x:c>
      <x:c r="E532" s="4" t="n">
        <x:f>IF('계산 과정'!$L$5,B532*SIN(C532),"")</x:f>
        <x:v>-39.07552042954949</x:v>
      </x:c>
      <x:c r="F532" s="4" t="n">
        <x:f>IF('계산 과정'!$L$7,'계산 과정'!$L$22+'계산 과정'!$C$49*D532+'계산 과정'!$D$49*E532,"")</x:f>
        <x:v>603.8621334424079</x:v>
      </x:c>
      <x:c r="G532" s="4" t="n">
        <x:f>IF('계산 과정'!$L$7,IF(ABS(F532)&gt;=1E-12*MAX(1,SQRT((D532-'계산 과정'!$C$33)^2+(E532-'계산 과정'!$D$33)^2+'계산 과정'!$E$33^2)),('계산 과정'!$L$23-'계산 과정'!$C$49*D532-'계산 과정'!$D$49*E532)/F532,""),"")</x:f>
        <x:v>0.7388074890775407</x:v>
      </x:c>
      <x:c r="H532" s="4" t="n">
        <x:f>IF(AND(ISNUMBER(G532),G532&gt;0),('계산 과정'!$D$56+'계산 과정'!$D$57*D532+'계산 과정'!$D$58*E532)/F532,"")</x:f>
        <x:v>80.22486790040135</x:v>
      </x:c>
      <x:c r="I532" s="4" t="n">
        <x:f>IF(AND(ISNUMBER(G532),G532&gt;0),('계산 과정'!$E$56+'계산 과정'!$E$57*D532+'계산 과정'!$E$58*E532)/F532,"")</x:f>
        <x:v>-67.9448075625031</x:v>
      </x:c>
      <x:c r="J532" s="4" t="n">
        <x:f>IF('계산 과정'!$L$5,'계산 과정'!$D$6+'계산 과정'!$C$35*D532+'계산 과정'!$D$35*E532,"")</x:f>
        <x:v>603.8621334424079</x:v>
      </x:c>
      <x:c r="K532" s="4" t="n">
        <x:f>IF(AND('계산 과정'!$L$6,J532&gt;0),'계산 과정'!$D$10*('계산 과정'!$C$38*(D532-'계산 과정'!$C$32)+'계산 과정'!$D$38*(E532-'계산 과정'!$D$32)-'계산 과정'!$E$38*'계산 과정'!$E$32)/J532,"")</x:f>
        <x:v>0.6112370887649631</x:v>
      </x:c>
      <x:c r="L532" s="4" t="n">
        <x:f>IF(AND('계산 과정'!$L$6,J532&gt;0),'계산 과정'!$D$10*('계산 과정'!$C$39*(D532-'계산 과정'!$C$32)+'계산 과정'!$D$39*(E532-'계산 과정'!$D$32)-'계산 과정'!$E$39*'계산 과정'!$E$32)/J532,"")</x:f>
        <x:v>-0.5176747242857379</x:v>
      </x:c>
      <x:c r="M532" s="17" t="n">
        <x:f>IF('계산 과정'!$L$6,IF(J532&lt;=0,0,IF(AND(ABS(K532)&lt;='계산 과정'!$D$11/2,ABS(L532)&lt;='계산 과정'!$D$12/2),1,0)),"")</x:f>
        <x:v>1</x:v>
      </x:c>
      <x:c r="N532" s="17" t="n">
        <x:f>IF('계산 과정'!$C$78,IF(AND(ISNUMBER(H532),ISNUMBER(I532),ABS(H532-'계산 과정'!$C$88)&lt;='계산 과정'!$D$23/2,ABS(I532-'계산 과정'!$C$89)&lt;='계산 과정'!$D$24/2),1,0),"")</x:f>
        <x:v>1</x:v>
      </x:c>
      <x:c r="O532" s="4" t="n">
        <x:f>IF('계산 과정'!$L$7,'계산 과정'!$C$49*('계산 과정'!$C$32-D532)+'계산 과정'!$D$49*('계산 과정'!$D$32-E532)+'계산 과정'!$E$49*'계산 과정'!$E$32,"")</x:f>
        <x:v>46.13786655759225</x:v>
      </x:c>
      <x:c r="P532" s="4" t="n">
        <x:f>IF(AND('계산 과정'!$L$7,O532&lt;&gt;0),('계산 과정'!$L$23-'계산 과정'!$C$49*D532-'계산 과정'!$D$49*E532)/O532,"")</x:f>
        <x:v>9.66966831898684</x:v>
      </x:c>
      <x:c r="Q532" s="4" t="str">
        <x:f>IF(AND(ISNUMBER(P532),P532&gt;1E-9,P532&lt;1-1E-9),'계산 과정'!$C$47*(D532-'계산 과정'!$C$50+P532*('계산 과정'!$C$32-D532))+'계산 과정'!$D$47*(E532-'계산 과정'!$D$50+P532*('계산 과정'!$D$32-E532))+'계산 과정'!$E$47*(0-'계산 과정'!$E$50+P532*('계산 과정'!$E$32-0)),"")</x:f>
      </x:c>
      <x:c r="R532" s="4" t="str">
        <x:f>IF(AND(ISNUMBER(P532),P532&gt;1E-9,P532&lt;1-1E-9),'계산 과정'!$C$48*(D532-'계산 과정'!$C$50+P532*('계산 과정'!$C$32-D532))+'계산 과정'!$D$48*(E532-'계산 과정'!$D$50+P532*('계산 과정'!$D$32-E532))+'계산 과정'!$E$48*(0-'계산 과정'!$E$50+P532*('계산 과정'!$E$32-0)),"")</x:f>
      </x:c>
      <x:c r="S532" s="17" t="n">
        <x:f>IF('계산 과정'!$C$78,IF(AND(ISNUMBER(Q532),ISNUMBER(R532),ABS(Q532-'계산 과정'!$C$88)&lt;='계산 과정'!$D$23/2,ABS(R532-'계산 과정'!$C$89)&lt;='계산 과정'!$D$24/2),1,0),"")</x:f>
        <x:v>0</x:v>
      </x:c>
      <x:c r="T532" s="4"/>
      <x:c r="U532" s="4"/>
      <x:c r="V532" s="4"/>
      <x:c r="W532" s="4" t="n">
        <x:f>IF('계산 과정'!$C$78,'계산 과정'!$C$88+1*'계산 과정'!$C$90/2,"")</x:f>
        <x:v>209.7478582953745</x:v>
      </x:c>
      <x:c r="X532" s="4" t="str">
        <x:f>""</x:f>
      </x:c>
      <x:c r="Y532" s="4" t="str">
        <x:f>""</x:f>
      </x:c>
      <x:c r="Z532" s="4" t="n">
        <x:f>IF('계산 과정'!$C$78,'계산 과정'!$C$89+0.3600000000000001*'계산 과정'!$C$91/2,"")</x:f>
        <x:v>90.21584531139011</x:v>
      </x:c>
    </x:row>
    <x:row r="533" ht="23" customHeight="1">
      <x:c r="A533" s="17" t="n">
        <x:f>ROW()-6</x:f>
        <x:v>527</x:v>
      </x:c>
      <x:c r="B533" s="4" t="n">
        <x:f>IF('계산 과정'!$L$5,'계산 과정'!$L$11*SQRT((A533+0.5)/'계산 과정'!$L$30),"")</x:f>
        <x:v>76.12678954177366</x:v>
      </x:c>
      <x:c r="C533" s="4" t="n">
        <x:f>A533*PI()*(3-SQRT(5))</x:f>
        <x:v>1264.780622067</x:v>
      </x:c>
      <x:c r="D533" s="4" t="n">
        <x:f>IF('계산 과정'!$L$5,B533*COS(C533),"")</x:f>
        <x:v>-21.737911599777128</x:v>
      </x:c>
      <x:c r="E533" s="4" t="n">
        <x:f>IF('계산 과정'!$L$5,B533*SIN(C533),"")</x:f>
        <x:v>72.95718802981496</x:v>
      </x:c>
      <x:c r="F533" s="4" t="n">
        <x:f>IF('계산 과정'!$L$7,'계산 과정'!$L$22+'계산 과정'!$C$49*D533+'계산 과정'!$D$49*E533,"")</x:f>
        <x:v>665.3710247010362</x:v>
      </x:c>
      <x:c r="G533" s="4" t="n">
        <x:f>IF('계산 과정'!$L$7,IF(ABS(F533)&gt;=1E-12*MAX(1,SQRT((D533-'계산 과정'!$C$33)^2+(E533-'계산 과정'!$D$33)^2+'계산 과정'!$E$33^2)),('계산 과정'!$L$23-'계산 과정'!$C$49*D533-'계산 과정'!$D$49*E533)/F533,""),"")</x:f>
        <x:v>0.5780669145786518</x:v>
      </x:c>
      <x:c r="H533" s="4" t="n">
        <x:f>IF(AND(ISNUMBER(G533),G533&gt;0),('계산 과정'!$D$56+'계산 과정'!$D$57*D533+'계산 과정'!$D$58*E533)/F533,"")</x:f>
        <x:v>-24.25650552387643</x:v>
      </x:c>
      <x:c r="I533" s="4" t="n">
        <x:f>IF(AND(ISNUMBER(G533),G533&gt;0),('계산 과정'!$E$56+'계산 과정'!$E$57*D533+'계산 과정'!$E$58*E533)/F533,"")</x:f>
        <x:v>115.13132461054464</x:v>
      </x:c>
      <x:c r="J533" s="4" t="n">
        <x:f>IF('계산 과정'!$L$5,'계산 과정'!$D$6+'계산 과정'!$C$35*D533+'계산 과정'!$D$35*E533,"")</x:f>
        <x:v>665.3710247010362</x:v>
      </x:c>
      <x:c r="K533" s="4" t="n">
        <x:f>IF(AND('계산 과정'!$L$6,J533&gt;0),'계산 과정'!$D$10*('계산 과정'!$C$38*(D533-'계산 과정'!$C$32)+'계산 과정'!$D$38*(E533-'계산 과정'!$D$32)-'계산 과정'!$E$38*'계산 과정'!$E$32)/J533,"")</x:f>
        <x:v>-0.18481147065810508</x:v>
      </x:c>
      <x:c r="L533" s="4" t="n">
        <x:f>IF(AND('계산 과정'!$L$6,J533&gt;0),'계산 과정'!$D$10*('계산 과정'!$C$39*(D533-'계산 과정'!$C$32)+'계산 과정'!$D$39*(E533-'계산 과정'!$D$32)-'계산 과정'!$E$39*'계산 과정'!$E$32)/J533,"")</x:f>
        <x:v>0.8771910446517687</x:v>
      </x:c>
      <x:c r="M533" s="17" t="n">
        <x:f>IF('계산 과정'!$L$6,IF(J533&lt;=0,0,IF(AND(ABS(K533)&lt;='계산 과정'!$D$11/2,ABS(L533)&lt;='계산 과정'!$D$12/2),1,0)),"")</x:f>
        <x:v>1</x:v>
      </x:c>
      <x:c r="N533" s="17" t="n">
        <x:f>IF('계산 과정'!$C$78,IF(AND(ISNUMBER(H533),ISNUMBER(I533),ABS(H533-'계산 과정'!$C$88)&lt;='계산 과정'!$D$23/2,ABS(I533-'계산 과정'!$C$89)&lt;='계산 과정'!$D$24/2),1,0),"")</x:f>
        <x:v>1</x:v>
      </x:c>
      <x:c r="O533" s="4" t="n">
        <x:f>IF('계산 과정'!$L$7,'계산 과정'!$C$49*('계산 과정'!$C$32-D533)+'계산 과정'!$D$49*('계산 과정'!$D$32-E533)+'계산 과정'!$E$49*'계산 과정'!$E$32,"")</x:f>
        <x:v>-15.371024701035992</x:v>
      </x:c>
      <x:c r="P533" s="4" t="n">
        <x:f>IF(AND('계산 과정'!$L$7,O533&lt;&gt;0),('계산 과정'!$L$23-'계산 과정'!$C$49*D533-'계산 과정'!$D$49*E533)/O533,"")</x:f>
        <x:v>-25.02298856321793</x:v>
      </x:c>
      <x:c r="Q533" s="4" t="str">
        <x:f>IF(AND(ISNUMBER(P533),P533&gt;1E-9,P533&lt;1-1E-9),'계산 과정'!$C$47*(D533-'계산 과정'!$C$50+P533*('계산 과정'!$C$32-D533))+'계산 과정'!$D$47*(E533-'계산 과정'!$D$50+P533*('계산 과정'!$D$32-E533))+'계산 과정'!$E$47*(0-'계산 과정'!$E$50+P533*('계산 과정'!$E$32-0)),"")</x:f>
      </x:c>
      <x:c r="R533" s="4" t="str">
        <x:f>IF(AND(ISNUMBER(P533),P533&gt;1E-9,P533&lt;1-1E-9),'계산 과정'!$C$48*(D533-'계산 과정'!$C$50+P533*('계산 과정'!$C$32-D533))+'계산 과정'!$D$48*(E533-'계산 과정'!$D$50+P533*('계산 과정'!$D$32-E533))+'계산 과정'!$E$48*(0-'계산 과정'!$E$50+P533*('계산 과정'!$E$32-0)),"")</x:f>
      </x:c>
      <x:c r="S533" s="17" t="n">
        <x:f>IF('계산 과정'!$C$78,IF(AND(ISNUMBER(Q533),ISNUMBER(R533),ABS(Q533-'계산 과정'!$C$88)&lt;='계산 과정'!$D$23/2,ABS(R533-'계산 과정'!$C$89)&lt;='계산 과정'!$D$24/2),1,0),"")</x:f>
        <x:v>0</x:v>
      </x:c>
      <x:c r="T533" s="4"/>
      <x:c r="U533" s="4"/>
      <x:c r="V533" s="4"/>
      <x:c r="W533" s="4" t="n">
        <x:f>IF('계산 과정'!$C$78,'계산 과정'!$C$88+1*'계산 과정'!$C$90/2,"")</x:f>
        <x:v>209.7478582953745</x:v>
      </x:c>
      <x:c r="X533" s="4" t="str">
        <x:f>""</x:f>
      </x:c>
      <x:c r="Y533" s="4" t="str">
        <x:f>""</x:f>
      </x:c>
      <x:c r="Z533" s="4" t="n">
        <x:f>IF('계산 과정'!$C$78,'계산 과정'!$C$89+0.3999999999999999*'계산 과정'!$C$91/2,"")</x:f>
        <x:v>100.23982812376673</x:v>
      </x:c>
    </x:row>
    <x:row r="534" ht="23" customHeight="1">
      <x:c r="A534" s="17" t="n">
        <x:f>ROW()-6</x:f>
        <x:v>528</x:v>
      </x:c>
      <x:c r="B534" s="4" t="n">
        <x:f>IF('계산 과정'!$L$5,'계산 과정'!$L$11*SQRT((A534+0.5)/'계산 과정'!$L$30),"")</x:f>
        <x:v>76.19891347035403</x:v>
      </x:c>
      <x:c r="C534" s="4" t="n">
        <x:f>A534*PI()*(3-SQRT(5))</x:f>
        <x:v>1267.1805852967289</x:v>
      </x:c>
      <x:c r="D534" s="4" t="n">
        <x:f>IF('계산 과정'!$L$5,B534*COS(C534),"")</x:f>
        <x:v>-33.284517442190236</x:v>
      </x:c>
      <x:c r="E534" s="4" t="n">
        <x:f>IF('계산 과정'!$L$5,B534*SIN(C534),"")</x:f>
        <x:v>-68.54498750968618</x:v>
      </x:c>
      <x:c r="F534" s="4" t="n">
        <x:f>IF('계산 과정'!$L$7,'계산 과정'!$L$22+'계산 과정'!$C$49*D534+'계산 과정'!$D$49*E534,"")</x:f>
        <x:v>673.5357079918946</x:v>
      </x:c>
      <x:c r="G534" s="4" t="n">
        <x:f>IF('계산 과정'!$L$7,IF(ABS(F534)&gt;=1E-12*MAX(1,SQRT((D534-'계산 과정'!$C$33)^2+(E534-'계산 과정'!$D$33)^2+'계산 과정'!$E$33^2)),('계산 과정'!$L$23-'계산 과정'!$C$49*D534-'계산 과정'!$D$49*E534)/F534,""),"")</x:f>
        <x:v>0.5589373919469104</x:v>
      </x:c>
      <x:c r="H534" s="4" t="n">
        <x:f>IF(AND(ISNUMBER(G534),G534&gt;0),('계산 과정'!$D$56+'계산 과정'!$D$57*D534+'계산 과정'!$D$58*E534)/F534,"")</x:f>
        <x:v>-36.6906952345084</x:v>
      </x:c>
      <x:c r="I534" s="4" t="n">
        <x:f>IF(AND(ISNUMBER(G534),G534&gt;0),('계산 과정'!$E$56+'계산 과정'!$E$57*D534+'계산 과정'!$E$58*E534)/F534,"")</x:f>
        <x:v>-106.85734405938373</x:v>
      </x:c>
      <x:c r="J534" s="4" t="n">
        <x:f>IF('계산 과정'!$L$5,'계산 과정'!$D$6+'계산 과정'!$C$35*D534+'계산 과정'!$D$35*E534,"")</x:f>
        <x:v>673.5357079918946</x:v>
      </x:c>
      <x:c r="K534" s="4" t="n">
        <x:f>IF(AND('계산 과정'!$L$6,J534&gt;0),'계산 과정'!$D$10*('계산 과정'!$C$38*(D534-'계산 과정'!$C$32)+'계산 과정'!$D$38*(E534-'계산 과정'!$D$32)-'계산 과정'!$E$38*'계산 과정'!$E$32)/J534,"")</x:f>
        <x:v>-0.2795481541676822</x:v>
      </x:c>
      <x:c r="L534" s="4" t="n">
        <x:f>IF(AND('계산 과정'!$L$6,J534&gt;0),'계산 과정'!$D$10*('계산 과정'!$C$39*(D534-'계산 과정'!$C$32)+'계산 과정'!$D$39*(E534-'계산 과정'!$D$32)-'계산 과정'!$E$39*'계산 과정'!$E$32)/J534,"")</x:f>
        <x:v>-0.8141511928333999</x:v>
      </x:c>
      <x:c r="M534" s="17" t="n">
        <x:f>IF('계산 과정'!$L$6,IF(J534&lt;=0,0,IF(AND(ABS(K534)&lt;='계산 과정'!$D$11/2,ABS(L534)&lt;='계산 과정'!$D$12/2),1,0)),"")</x:f>
        <x:v>1</x:v>
      </x:c>
      <x:c r="N534" s="17" t="n">
        <x:f>IF('계산 과정'!$C$78,IF(AND(ISNUMBER(H534),ISNUMBER(I534),ABS(H534-'계산 과정'!$C$88)&lt;='계산 과정'!$D$23/2,ABS(I534-'계산 과정'!$C$89)&lt;='계산 과정'!$D$24/2),1,0),"")</x:f>
        <x:v>1</x:v>
      </x:c>
      <x:c r="O534" s="4" t="n">
        <x:f>IF('계산 과정'!$L$7,'계산 과정'!$C$49*('계산 과정'!$C$32-D534)+'계산 과정'!$D$49*('계산 과정'!$D$32-E534)+'계산 과정'!$E$49*'계산 과정'!$E$32,"")</x:f>
        <x:v>-23.535707991894526</x:v>
      </x:c>
      <x:c r="P534" s="4" t="n">
        <x:f>IF(AND('계산 과정'!$L$7,O534&lt;&gt;0),('계산 과정'!$L$23-'계산 과정'!$C$49*D534-'계산 과정'!$D$49*E534)/O534,"")</x:f>
        <x:v>-15.995452192802361</x:v>
      </x:c>
      <x:c r="Q534" s="4" t="str">
        <x:f>IF(AND(ISNUMBER(P534),P534&gt;1E-9,P534&lt;1-1E-9),'계산 과정'!$C$47*(D534-'계산 과정'!$C$50+P534*('계산 과정'!$C$32-D534))+'계산 과정'!$D$47*(E534-'계산 과정'!$D$50+P534*('계산 과정'!$D$32-E534))+'계산 과정'!$E$47*(0-'계산 과정'!$E$50+P534*('계산 과정'!$E$32-0)),"")</x:f>
      </x:c>
      <x:c r="R534" s="4" t="str">
        <x:f>IF(AND(ISNUMBER(P534),P534&gt;1E-9,P534&lt;1-1E-9),'계산 과정'!$C$48*(D534-'계산 과정'!$C$50+P534*('계산 과정'!$C$32-D534))+'계산 과정'!$D$48*(E534-'계산 과정'!$D$50+P534*('계산 과정'!$D$32-E534))+'계산 과정'!$E$48*(0-'계산 과정'!$E$50+P534*('계산 과정'!$E$32-0)),"")</x:f>
      </x:c>
      <x:c r="S534" s="17" t="n">
        <x:f>IF('계산 과정'!$C$78,IF(AND(ISNUMBER(Q534),ISNUMBER(R534),ABS(Q534-'계산 과정'!$C$88)&lt;='계산 과정'!$D$23/2,ABS(R534-'계산 과정'!$C$89)&lt;='계산 과정'!$D$24/2),1,0),"")</x:f>
        <x:v>0</x:v>
      </x:c>
      <x:c r="T534" s="4"/>
      <x:c r="U534" s="4"/>
      <x:c r="V534" s="4"/>
      <x:c r="W534" s="4" t="n">
        <x:f>IF('계산 과정'!$C$78,'계산 과정'!$C$88+1*'계산 과정'!$C$90/2,"")</x:f>
        <x:v>209.7478582953745</x:v>
      </x:c>
      <x:c r="X534" s="4" t="str">
        <x:f>""</x:f>
      </x:c>
      <x:c r="Y534" s="4" t="str">
        <x:f>""</x:f>
      </x:c>
      <x:c r="Z534" s="4" t="n">
        <x:f>IF('계산 과정'!$C$78,'계산 과정'!$C$89+0.43999999999999995*'계산 과정'!$C$91/2,"")</x:f>
        <x:v>110.26381093614341</x:v>
      </x:c>
    </x:row>
    <x:row r="535" ht="23" customHeight="1">
      <x:c r="A535" s="17" t="n">
        <x:f>ROW()-6</x:f>
        <x:v>529</x:v>
      </x:c>
      <x:c r="B535" s="4" t="n">
        <x:f>IF('계산 과정'!$L$5,'계산 과정'!$L$11*SQRT((A535+0.5)/'계산 과정'!$L$30),"")</x:f>
        <x:v>76.27096919659209</x:v>
      </x:c>
      <x:c r="C535" s="4" t="n">
        <x:f>A535*PI()*(3-SQRT(5))</x:f>
        <x:v>1269.5805485264573</x:v>
      </x:c>
      <x:c r="D535" s="4" t="n">
        <x:f>IF('계산 과정'!$L$5,B535*COS(C535),"")</x:f>
        <x:v>70.91143346103141</x:v>
      </x:c>
      <x:c r="E535" s="4" t="n">
        <x:f>IF('계산 과정'!$L$5,B535*SIN(C535),"")</x:f>
        <x:v>28.086105936729908</x:v>
      </x:c>
      <x:c r="F535" s="4" t="n">
        <x:f>IF('계산 과정'!$L$7,'계산 과정'!$L$22+'계산 과정'!$C$49*D535+'계산 과정'!$D$49*E535,"")</x:f>
        <x:v>599.858044536046</x:v>
      </x:c>
      <x:c r="G535" s="4" t="n">
        <x:f>IF('계산 과정'!$L$7,IF(ABS(F535)&gt;=1E-12*MAX(1,SQRT((D535-'계산 과정'!$C$33)^2+(E535-'계산 과정'!$D$33)^2+'계산 과정'!$E$33^2)),('계산 과정'!$L$23-'계산 과정'!$C$49*D535-'계산 과정'!$D$49*E535)/F535,""),"")</x:f>
        <x:v>0.7504141347510169</x:v>
      </x:c>
      <x:c r="H535" s="4" t="n">
        <x:f>IF(AND(ISNUMBER(G535),G535&gt;0),('계산 과정'!$D$56+'계산 과정'!$D$57*D535+'계산 과정'!$D$58*E535)/F535,"")</x:f>
        <x:v>87.7691875881609</x:v>
      </x:c>
      <x:c r="I535" s="4" t="n">
        <x:f>IF(AND(ISNUMBER(G535),G535&gt;0),('계산 과정'!$E$56+'계산 과정'!$E$57*D535+'계산 과정'!$E$58*E535)/F535,"")</x:f>
        <x:v>49.16231682176648</x:v>
      </x:c>
      <x:c r="J535" s="4" t="n">
        <x:f>IF('계산 과정'!$L$5,'계산 과정'!$D$6+'계산 과정'!$C$35*D535+'계산 과정'!$D$35*E535,"")</x:f>
        <x:v>599.858044536046</x:v>
      </x:c>
      <x:c r="K535" s="4" t="n">
        <x:f>IF(AND('계산 과정'!$L$6,J535&gt;0),'계산 과정'!$D$10*('계산 과정'!$C$38*(D535-'계산 과정'!$C$32)+'계산 과정'!$D$38*(E535-'계산 과정'!$D$32)-'계산 과정'!$E$38*'계산 과정'!$E$32)/J535,"")</x:f>
        <x:v>0.6687176197193215</x:v>
      </x:c>
      <x:c r="L535" s="4" t="n">
        <x:f>IF(AND('계산 과정'!$L$6,J535&gt;0),'계산 과정'!$D$10*('계산 과정'!$C$39*(D535-'계산 과정'!$C$32)+'계산 과정'!$D$39*(E535-'계산 과정'!$D$32)-'계산 과정'!$E$39*'계산 과정'!$E$32)/J535,"")</x:f>
        <x:v>0.37457003292774466</x:v>
      </x:c>
      <x:c r="M535" s="17" t="n">
        <x:f>IF('계산 과정'!$L$6,IF(J535&lt;=0,0,IF(AND(ABS(K535)&lt;='계산 과정'!$D$11/2,ABS(L535)&lt;='계산 과정'!$D$12/2),1,0)),"")</x:f>
        <x:v>1</x:v>
      </x:c>
      <x:c r="N535" s="17" t="n">
        <x:f>IF('계산 과정'!$C$78,IF(AND(ISNUMBER(H535),ISNUMBER(I535),ABS(H535-'계산 과정'!$C$88)&lt;='계산 과정'!$D$23/2,ABS(I535-'계산 과정'!$C$89)&lt;='계산 과정'!$D$24/2),1,0),"")</x:f>
        <x:v>1</x:v>
      </x:c>
      <x:c r="O535" s="4" t="n">
        <x:f>IF('계산 과정'!$L$7,'계산 과정'!$C$49*('계산 과정'!$C$32-D535)+'계산 과정'!$D$49*('계산 과정'!$D$32-E535)+'계산 과정'!$E$49*'계산 과정'!$E$32,"")</x:f>
        <x:v>50.14195546395405</x:v>
      </x:c>
      <x:c r="P535" s="4" t="n">
        <x:f>IF(AND('계산 과정'!$L$7,O535&lt;&gt;0),('계산 과정'!$L$23-'계산 과정'!$C$49*D535-'계산 과정'!$D$49*E535)/O535,"")</x:f>
        <x:v>8.977351427539581</x:v>
      </x:c>
      <x:c r="Q535" s="4" t="str">
        <x:f>IF(AND(ISNUMBER(P535),P535&gt;1E-9,P535&lt;1-1E-9),'계산 과정'!$C$47*(D535-'계산 과정'!$C$50+P535*('계산 과정'!$C$32-D535))+'계산 과정'!$D$47*(E535-'계산 과정'!$D$50+P535*('계산 과정'!$D$32-E535))+'계산 과정'!$E$47*(0-'계산 과정'!$E$50+P535*('계산 과정'!$E$32-0)),"")</x:f>
      </x:c>
      <x:c r="R535" s="4" t="str">
        <x:f>IF(AND(ISNUMBER(P535),P535&gt;1E-9,P535&lt;1-1E-9),'계산 과정'!$C$48*(D535-'계산 과정'!$C$50+P535*('계산 과정'!$C$32-D535))+'계산 과정'!$D$48*(E535-'계산 과정'!$D$50+P535*('계산 과정'!$D$32-E535))+'계산 과정'!$E$48*(0-'계산 과정'!$E$50+P535*('계산 과정'!$E$32-0)),"")</x:f>
      </x:c>
      <x:c r="S535" s="17" t="n">
        <x:f>IF('계산 과정'!$C$78,IF(AND(ISNUMBER(Q535),ISNUMBER(R535),ABS(Q535-'계산 과정'!$C$88)&lt;='계산 과정'!$D$23/2,ABS(R535-'계산 과정'!$C$89)&lt;='계산 과정'!$D$24/2),1,0),"")</x:f>
        <x:v>0</x:v>
      </x:c>
      <x:c r="T535" s="4"/>
      <x:c r="U535" s="4"/>
      <x:c r="V535" s="4"/>
      <x:c r="W535" s="4" t="n">
        <x:f>IF('계산 과정'!$C$78,'계산 과정'!$C$88+1*'계산 과정'!$C$90/2,"")</x:f>
        <x:v>209.7478582953745</x:v>
      </x:c>
      <x:c r="X535" s="4" t="str">
        <x:f>""</x:f>
      </x:c>
      <x:c r="Y535" s="4" t="str">
        <x:f>""</x:f>
      </x:c>
      <x:c r="Z535" s="4" t="n">
        <x:f>IF('계산 과정'!$C$78,'계산 과정'!$C$89+0.48*'계산 과정'!$C$91/2,"")</x:f>
        <x:v>120.2877937485201</x:v>
      </x:c>
    </x:row>
    <x:row r="536" ht="23" customHeight="1">
      <x:c r="A536" s="17" t="n">
        <x:f>ROW()-6</x:f>
        <x:v>530</x:v>
      </x:c>
      <x:c r="B536" s="4" t="n">
        <x:f>IF('계산 과정'!$L$5,'계산 과정'!$L$11*SQRT((A536+0.5)/'계산 과정'!$L$30),"")</x:f>
        <x:v>76.34295691360467</x:v>
      </x:c>
      <x:c r="C536" s="4" t="n">
        <x:f>A536*PI()*(3-SQRT(5))</x:f>
        <x:v>1271.9805117561862</x:v>
      </x:c>
      <x:c r="D536" s="4" t="n">
        <x:f>IF('계산 과정'!$L$5,B536*COS(C536),"")</x:f>
        <x:v>-71.32703404223065</x:v>
      </x:c>
      <x:c r="E536" s="4" t="n">
        <x:f>IF('계산 과정'!$L$5,B536*SIN(C536),"")</x:f>
        <x:v>27.215827840632905</x:v>
      </x:c>
      <x:c r="F536" s="4" t="n">
        <x:f>IF('계산 과정'!$L$7,'계산 과정'!$L$22+'계산 과정'!$C$49*D536+'계산 과정'!$D$49*E536,"")</x:f>
        <x:v>700.435829453185</x:v>
      </x:c>
      <x:c r="G536" s="4" t="n">
        <x:f>IF('계산 과정'!$L$7,IF(ABS(F536)&gt;=1E-12*MAX(1,SQRT((D536-'계산 과정'!$C$33)^2+(E536-'계산 과정'!$D$33)^2+'계산 과정'!$E$33^2)),('계산 과정'!$L$23-'계산 과정'!$C$49*D536-'계산 과정'!$D$49*E536)/F536,""),"")</x:f>
        <x:v>0.4990666608527324</x:v>
      </x:c>
      <x:c r="H536" s="4" t="n">
        <x:f>IF(AND(ISNUMBER(G536),G536&gt;0),('계산 과정'!$D$56+'계산 과정'!$D$57*D536+'계산 과정'!$D$58*E536)/F536,"")</x:f>
        <x:v>-75.60667044572409</x:v>
      </x:c>
      <x:c r="I536" s="4" t="n">
        <x:f>IF(AND(ISNUMBER(G536),G536&gt;0),('계산 과정'!$E$56+'계산 과정'!$E$57*D536+'계산 과정'!$E$58*E536)/F536,"")</x:f>
        <x:v>40.798340163400404</x:v>
      </x:c>
      <x:c r="J536" s="4" t="n">
        <x:f>IF('계산 과정'!$L$5,'계산 과정'!$D$6+'계산 과정'!$C$35*D536+'계산 과정'!$D$35*E536,"")</x:f>
        <x:v>700.435829453185</x:v>
      </x:c>
      <x:c r="K536" s="4" t="n">
        <x:f>IF(AND('계산 과정'!$L$6,J536&gt;0),'계산 과정'!$D$10*('계산 과정'!$C$38*(D536-'계산 과정'!$C$32)+'계산 과정'!$D$38*(E536-'계산 과정'!$D$32)-'계산 과정'!$E$38*'계산 과정'!$E$32)/J536,"")</x:f>
        <x:v>-0.5760508224436105</x:v>
      </x:c>
      <x:c r="L536" s="4" t="n">
        <x:f>IF(AND('계산 과정'!$L$6,J536&gt;0),'계산 과정'!$D$10*('계산 과정'!$C$39*(D536-'계산 과정'!$C$32)+'계산 과정'!$D$39*(E536-'계산 과정'!$D$32)-'계산 과정'!$E$39*'계산 과정'!$E$32)/J536,"")</x:f>
        <x:v>0.3108444964830507</x:v>
      </x:c>
      <x:c r="M536" s="17" t="n">
        <x:f>IF('계산 과정'!$L$6,IF(J536&lt;=0,0,IF(AND(ABS(K536)&lt;='계산 과정'!$D$11/2,ABS(L536)&lt;='계산 과정'!$D$12/2),1,0)),"")</x:f>
        <x:v>1</x:v>
      </x:c>
      <x:c r="N536" s="17" t="n">
        <x:f>IF('계산 과정'!$C$78,IF(AND(ISNUMBER(H536),ISNUMBER(I536),ABS(H536-'계산 과정'!$C$88)&lt;='계산 과정'!$D$23/2,ABS(I536-'계산 과정'!$C$89)&lt;='계산 과정'!$D$24/2),1,0),"")</x:f>
        <x:v>1</x:v>
      </x:c>
      <x:c r="O536" s="4" t="n">
        <x:f>IF('계산 과정'!$L$7,'계산 과정'!$C$49*('계산 과정'!$C$32-D536)+'계산 과정'!$D$49*('계산 과정'!$D$32-E536)+'계산 과정'!$E$49*'계산 과정'!$E$32,"")</x:f>
        <x:v>-50.43582945318485</x:v>
      </x:c>
      <x:c r="P536" s="4" t="n">
        <x:f>IF(AND('계산 과정'!$L$7,O536&lt;&gt;0),('계산 과정'!$L$23-'계산 과정'!$C$49*D536-'계산 과정'!$D$49*E536)/O536,"")</x:f>
        <x:v>-6.930869866456438</x:v>
      </x:c>
      <x:c r="Q536" s="4" t="str">
        <x:f>IF(AND(ISNUMBER(P536),P536&gt;1E-9,P536&lt;1-1E-9),'계산 과정'!$C$47*(D536-'계산 과정'!$C$50+P536*('계산 과정'!$C$32-D536))+'계산 과정'!$D$47*(E536-'계산 과정'!$D$50+P536*('계산 과정'!$D$32-E536))+'계산 과정'!$E$47*(0-'계산 과정'!$E$50+P536*('계산 과정'!$E$32-0)),"")</x:f>
      </x:c>
      <x:c r="R536" s="4" t="str">
        <x:f>IF(AND(ISNUMBER(P536),P536&gt;1E-9,P536&lt;1-1E-9),'계산 과정'!$C$48*(D536-'계산 과정'!$C$50+P536*('계산 과정'!$C$32-D536))+'계산 과정'!$D$48*(E536-'계산 과정'!$D$50+P536*('계산 과정'!$D$32-E536))+'계산 과정'!$E$48*(0-'계산 과정'!$E$50+P536*('계산 과정'!$E$32-0)),"")</x:f>
      </x:c>
      <x:c r="S536" s="17" t="n">
        <x:f>IF('계산 과정'!$C$78,IF(AND(ISNUMBER(Q536),ISNUMBER(R536),ABS(Q536-'계산 과정'!$C$88)&lt;='계산 과정'!$D$23/2,ABS(R536-'계산 과정'!$C$89)&lt;='계산 과정'!$D$24/2),1,0),"")</x:f>
        <x:v>0</x:v>
      </x:c>
      <x:c r="T536" s="4"/>
      <x:c r="U536" s="4"/>
      <x:c r="V536" s="4"/>
      <x:c r="W536" s="4" t="n">
        <x:f>IF('계산 과정'!$C$78,'계산 과정'!$C$88+1*'계산 과정'!$C$90/2,"")</x:f>
        <x:v>209.7478582953745</x:v>
      </x:c>
      <x:c r="X536" s="4" t="str">
        <x:f>""</x:f>
      </x:c>
      <x:c r="Y536" s="4" t="str">
        <x:f>""</x:f>
      </x:c>
      <x:c r="Z536" s="4" t="n">
        <x:f>IF('계산 과정'!$C$78,'계산 과정'!$C$89+0.52*'계산 과정'!$C$91/2,"")</x:f>
        <x:v>130.3117765608968</x:v>
      </x:c>
    </x:row>
    <x:row r="537" ht="23" customHeight="1">
      <x:c r="A537" s="17" t="n">
        <x:f>ROW()-6</x:f>
        <x:v>531</x:v>
      </x:c>
      <x:c r="B537" s="4" t="n">
        <x:f>IF('계산 과정'!$L$5,'계산 과정'!$L$11*SQRT((A537+0.5)/'계산 과정'!$L$30),"")</x:f>
        <x:v>76.41487681359894</x:v>
      </x:c>
      <x:c r="C537" s="4" t="n">
        <x:f>A537*PI()*(3-SQRT(5))</x:f>
        <x:v>1274.3804749859146</x:v>
      </x:c>
      <x:c r="D537" s="4" t="n">
        <x:f>IF('계산 과정'!$L$5,B537*COS(C537),"")</x:f>
        <x:v>34.24253578783548</x:v>
      </x:c>
      <x:c r="E537" s="4" t="n">
        <x:f>IF('계산 과정'!$L$5,B537*SIN(C537),"")</x:f>
        <x:v>-68.31311836870212</x:v>
      </x:c>
      <x:c r="F537" s="4" t="n">
        <x:f>IF('계산 과정'!$L$7,'계산 과정'!$L$22+'계산 과정'!$C$49*D537+'계산 과정'!$D$49*E537,"")</x:f>
        <x:v>625.7868707393985</x:v>
      </x:c>
      <x:c r="G537" s="4" t="n">
        <x:f>IF('계산 과정'!$L$7,IF(ABS(F537)&gt;=1E-12*MAX(1,SQRT((D537-'계산 과정'!$C$33)^2+(E537-'계산 과정'!$D$33)^2+'계산 과정'!$E$33^2)),('계산 과정'!$L$23-'계산 과정'!$C$49*D537-'계산 과정'!$D$49*E537)/F537,""),"")</x:f>
        <x:v>0.677887551011373</x:v>
      </x:c>
      <x:c r="H537" s="4" t="n">
        <x:f>IF(AND(ISNUMBER(G537),G537&gt;0),('계산 과정'!$D$56+'계산 과정'!$D$57*D537+'계산 과정'!$D$58*E537)/F537,"")</x:f>
        <x:v>40.62690815739237</x:v>
      </x:c>
      <x:c r="I537" s="4" t="n">
        <x:f>IF(AND(ISNUMBER(G537),G537&gt;0),('계산 과정'!$E$56+'계산 과정'!$E$57*D537+'계산 과정'!$E$58*E537)/F537,"")</x:f>
        <x:v>-114.62173088161165</x:v>
      </x:c>
      <x:c r="J537" s="4" t="n">
        <x:f>IF('계산 과정'!$L$5,'계산 과정'!$D$6+'계산 과정'!$C$35*D537+'계산 과정'!$D$35*E537,"")</x:f>
        <x:v>625.7868707393985</x:v>
      </x:c>
      <x:c r="K537" s="4" t="n">
        <x:f>IF(AND('계산 과정'!$L$6,J537&gt;0),'계산 과정'!$D$10*('계산 과정'!$C$38*(D537-'계산 과정'!$C$32)+'계산 과정'!$D$38*(E537-'계산 과정'!$D$32)-'계산 과정'!$E$38*'계산 과정'!$E$32)/J537,"")</x:f>
        <x:v>0.3095383478658478</x:v>
      </x:c>
      <x:c r="L537" s="4" t="n">
        <x:f>IF(AND('계산 과정'!$L$6,J537&gt;0),'계산 과정'!$D$10*('계산 과정'!$C$39*(D537-'계산 과정'!$C$32)+'계산 과정'!$D$39*(E537-'계산 과정'!$D$32)-'계산 과정'!$E$39*'계산 과정'!$E$32)/J537,"")</x:f>
        <x:v>-0.8733084257646601</x:v>
      </x:c>
      <x:c r="M537" s="17" t="n">
        <x:f>IF('계산 과정'!$L$6,IF(J537&lt;=0,0,IF(AND(ABS(K537)&lt;='계산 과정'!$D$11/2,ABS(L537)&lt;='계산 과정'!$D$12/2),1,0)),"")</x:f>
        <x:v>1</x:v>
      </x:c>
      <x:c r="N537" s="17" t="n">
        <x:f>IF('계산 과정'!$C$78,IF(AND(ISNUMBER(H537),ISNUMBER(I537),ABS(H537-'계산 과정'!$C$88)&lt;='계산 과정'!$D$23/2,ABS(I537-'계산 과정'!$C$89)&lt;='계산 과정'!$D$24/2),1,0),"")</x:f>
        <x:v>1</x:v>
      </x:c>
      <x:c r="O537" s="4" t="n">
        <x:f>IF('계산 과정'!$L$7,'계산 과정'!$C$49*('계산 과정'!$C$32-D537)+'계산 과정'!$D$49*('계산 과정'!$D$32-E537)+'계산 과정'!$E$49*'계산 과정'!$E$32,"")</x:f>
        <x:v>24.213129260601647</x:v>
      </x:c>
      <x:c r="P537" s="4" t="n">
        <x:f>IF(AND('계산 과정'!$L$7,O537&lt;&gt;0),('계산 과정'!$L$23-'계산 과정'!$C$49*D537-'계산 과정'!$D$49*E537)/O537,"")</x:f>
        <x:v>17.51996302067652</x:v>
      </x:c>
      <x:c r="Q537" s="4" t="str">
        <x:f>IF(AND(ISNUMBER(P537),P537&gt;1E-9,P537&lt;1-1E-9),'계산 과정'!$C$47*(D537-'계산 과정'!$C$50+P537*('계산 과정'!$C$32-D537))+'계산 과정'!$D$47*(E537-'계산 과정'!$D$50+P537*('계산 과정'!$D$32-E537))+'계산 과정'!$E$47*(0-'계산 과정'!$E$50+P537*('계산 과정'!$E$32-0)),"")</x:f>
      </x:c>
      <x:c r="R537" s="4" t="str">
        <x:f>IF(AND(ISNUMBER(P537),P537&gt;1E-9,P537&lt;1-1E-9),'계산 과정'!$C$48*(D537-'계산 과정'!$C$50+P537*('계산 과정'!$C$32-D537))+'계산 과정'!$D$48*(E537-'계산 과정'!$D$50+P537*('계산 과정'!$D$32-E537))+'계산 과정'!$E$48*(0-'계산 과정'!$E$50+P537*('계산 과정'!$E$32-0)),"")</x:f>
      </x:c>
      <x:c r="S537" s="17" t="n">
        <x:f>IF('계산 과정'!$C$78,IF(AND(ISNUMBER(Q537),ISNUMBER(R537),ABS(Q537-'계산 과정'!$C$88)&lt;='계산 과정'!$D$23/2,ABS(R537-'계산 과정'!$C$89)&lt;='계산 과정'!$D$24/2),1,0),"")</x:f>
        <x:v>0</x:v>
      </x:c>
      <x:c r="T537" s="4"/>
      <x:c r="U537" s="4"/>
      <x:c r="V537" s="4"/>
      <x:c r="W537" s="4" t="n">
        <x:f>IF('계산 과정'!$C$78,'계산 과정'!$C$88+1*'계산 과정'!$C$90/2,"")</x:f>
        <x:v>209.7478582953745</x:v>
      </x:c>
      <x:c r="X537" s="4" t="str">
        <x:f>""</x:f>
      </x:c>
      <x:c r="Y537" s="4" t="str">
        <x:f>""</x:f>
      </x:c>
      <x:c r="Z537" s="4" t="n">
        <x:f>IF('계산 과정'!$C$78,'계산 과정'!$C$89+0.56*'계산 과정'!$C$91/2,"")</x:f>
        <x:v>140.33575937327348</x:v>
      </x:c>
    </x:row>
    <x:row r="538" ht="23" customHeight="1">
      <x:c r="A538" s="17" t="n">
        <x:f>ROW()-6</x:f>
        <x:v>532</x:v>
      </x:c>
      <x:c r="B538" s="4" t="n">
        <x:f>IF('계산 과정'!$L$5,'계산 과정'!$L$11*SQRT((A538+0.5)/'계산 과정'!$L$30),"")</x:f>
        <x:v>76.48672908787837</x:v>
      </x:c>
      <x:c r="C538" s="4" t="n">
        <x:f>A538*PI()*(3-SQRT(5))</x:f>
        <x:v>1276.7804382156432</x:v>
      </x:c>
      <x:c r="D538" s="4" t="n">
        <x:f>IF('계산 과정'!$L$5,B538*COS(C538),"")</x:f>
        <x:v>20.91511606767066</x:v>
      </x:c>
      <x:c r="E538" s="4" t="n">
        <x:f>IF('계산 과정'!$L$5,B538*SIN(C538),"")</x:f>
        <x:v>73.5715817856213</x:v>
      </x:c>
      <x:c r="F538" s="4" t="n">
        <x:f>IF('계산 과정'!$L$7,'계산 과정'!$L$22+'계산 과정'!$C$49*D538+'계산 과정'!$D$49*E538,"")</x:f>
        <x:v>635.2107795992464</x:v>
      </x:c>
      <x:c r="G538" s="4" t="n">
        <x:f>IF('계산 과정'!$L$7,IF(ABS(F538)&gt;=1E-12*MAX(1,SQRT((D538-'계산 과정'!$C$33)^2+(E538-'계산 과정'!$D$33)^2+'계산 과정'!$E$33^2)),('계산 과정'!$L$23-'계산 과정'!$C$49*D538-'계산 과정'!$D$49*E538)/F538,""),"")</x:f>
        <x:v>0.6529946180422876</x:v>
      </x:c>
      <x:c r="H538" s="4" t="n">
        <x:f>IF(AND(ISNUMBER(G538),G538&gt;0),('계산 과정'!$D$56+'계산 과정'!$D$57*D538+'계산 과정'!$D$58*E538)/F538,"")</x:f>
        <x:v>24.44650172748686</x:v>
      </x:c>
      <x:c r="I538" s="4" t="n">
        <x:f>IF(AND(ISNUMBER(G538),G538&gt;0),('계산 과정'!$E$56+'계산 과정'!$E$57*D538+'계산 과정'!$E$58*E538)/F538,"")</x:f>
        <x:v>121.61342873249001</x:v>
      </x:c>
      <x:c r="J538" s="4" t="n">
        <x:f>IF('계산 과정'!$L$5,'계산 과정'!$D$6+'계산 과정'!$C$35*D538+'계산 과정'!$D$35*E538,"")</x:f>
        <x:v>635.2107795992464</x:v>
      </x:c>
      <x:c r="K538" s="4" t="n">
        <x:f>IF(AND('계산 과정'!$L$6,J538&gt;0),'계산 과정'!$D$10*('계산 과정'!$C$38*(D538-'계산 과정'!$C$32)+'계산 과정'!$D$38*(E538-'계산 과정'!$D$32)-'계산 과정'!$E$38*'계산 과정'!$E$32)/J538,"")</x:f>
        <x:v>0.1862590607808534</x:v>
      </x:c>
      <x:c r="L538" s="4" t="n">
        <x:f>IF(AND('계산 과정'!$L$6,J538&gt;0),'계산 과정'!$D$10*('계산 과정'!$C$39*(D538-'계산 과정'!$C$32)+'계산 과정'!$D$39*(E538-'계산 과정'!$D$32)-'계산 과정'!$E$39*'계산 과정'!$E$32)/J538,"")</x:f>
        <x:v>0.9265785046284953</x:v>
      </x:c>
      <x:c r="M538" s="17" t="n">
        <x:f>IF('계산 과정'!$L$6,IF(J538&lt;=0,0,IF(AND(ABS(K538)&lt;='계산 과정'!$D$11/2,ABS(L538)&lt;='계산 과정'!$D$12/2),1,0)),"")</x:f>
        <x:v>1</x:v>
      </x:c>
      <x:c r="N538" s="17" t="n">
        <x:f>IF('계산 과정'!$C$78,IF(AND(ISNUMBER(H538),ISNUMBER(I538),ABS(H538-'계산 과정'!$C$88)&lt;='계산 과정'!$D$23/2,ABS(I538-'계산 과정'!$C$89)&lt;='계산 과정'!$D$24/2),1,0),"")</x:f>
        <x:v>1</x:v>
      </x:c>
      <x:c r="O538" s="4" t="n">
        <x:f>IF('계산 과정'!$L$7,'계산 과정'!$C$49*('계산 과정'!$C$32-D538)+'계산 과정'!$D$49*('계산 과정'!$D$32-E538)+'계산 과정'!$E$49*'계산 과정'!$E$32,"")</x:f>
        <x:v>14.789220400753777</x:v>
      </x:c>
      <x:c r="P538" s="4" t="n">
        <x:f>IF(AND('계산 과정'!$L$7,O538&lt;&gt;0),('계산 과정'!$L$23-'계산 과정'!$C$49*D538-'계산 과정'!$D$49*E538)/O538,"")</x:f>
        <x:v>28.046726545478535</x:v>
      </x:c>
      <x:c r="Q538" s="4" t="str">
        <x:f>IF(AND(ISNUMBER(P538),P538&gt;1E-9,P538&lt;1-1E-9),'계산 과정'!$C$47*(D538-'계산 과정'!$C$50+P538*('계산 과정'!$C$32-D538))+'계산 과정'!$D$47*(E538-'계산 과정'!$D$50+P538*('계산 과정'!$D$32-E538))+'계산 과정'!$E$47*(0-'계산 과정'!$E$50+P538*('계산 과정'!$E$32-0)),"")</x:f>
      </x:c>
      <x:c r="R538" s="4" t="str">
        <x:f>IF(AND(ISNUMBER(P538),P538&gt;1E-9,P538&lt;1-1E-9),'계산 과정'!$C$48*(D538-'계산 과정'!$C$50+P538*('계산 과정'!$C$32-D538))+'계산 과정'!$D$48*(E538-'계산 과정'!$D$50+P538*('계산 과정'!$D$32-E538))+'계산 과정'!$E$48*(0-'계산 과정'!$E$50+P538*('계산 과정'!$E$32-0)),"")</x:f>
      </x:c>
      <x:c r="S538" s="17" t="n">
        <x:f>IF('계산 과정'!$C$78,IF(AND(ISNUMBER(Q538),ISNUMBER(R538),ABS(Q538-'계산 과정'!$C$88)&lt;='계산 과정'!$D$23/2,ABS(R538-'계산 과정'!$C$89)&lt;='계산 과정'!$D$24/2),1,0),"")</x:f>
        <x:v>0</x:v>
      </x:c>
      <x:c r="T538" s="4"/>
      <x:c r="U538" s="4"/>
      <x:c r="V538" s="4"/>
      <x:c r="W538" s="4" t="n">
        <x:f>IF('계산 과정'!$C$78,'계산 과정'!$C$88+1*'계산 과정'!$C$90/2,"")</x:f>
        <x:v>209.7478582953745</x:v>
      </x:c>
      <x:c r="X538" s="4" t="str">
        <x:f>""</x:f>
      </x:c>
      <x:c r="Y538" s="4" t="str">
        <x:f>""</x:f>
      </x:c>
      <x:c r="Z538" s="4" t="n">
        <x:f>IF('계산 과정'!$C$78,'계산 과정'!$C$89+0.6000000000000001*'계산 과정'!$C$91/2,"")</x:f>
        <x:v>150.35974218565016</x:v>
      </x:c>
    </x:row>
    <x:row r="539" ht="23" customHeight="1">
      <x:c r="A539" s="17" t="n">
        <x:f>ROW()-6</x:f>
        <x:v>533</x:v>
      </x:c>
      <x:c r="B539" s="4" t="n">
        <x:f>IF('계산 과정'!$L$5,'계산 과정'!$L$11*SQRT((A539+0.5)/'계산 과정'!$L$30),"")</x:f>
        <x:v>76.55851392684879</x:v>
      </x:c>
      <x:c r="C539" s="4" t="n">
        <x:f>A539*PI()*(3-SQRT(5))</x:f>
        <x:v>1279.180401445372</x:v>
      </x:c>
      <x:c r="D539" s="4" t="n">
        <x:f>IF('계산 과정'!$L$5,B539*COS(C539),"")</x:f>
        <x:v>-65.18016106315442</x:v>
      </x:c>
      <x:c r="E539" s="4" t="n">
        <x:f>IF('계산 과정'!$L$5,B539*SIN(C539),"")</x:f>
        <x:v>-40.159091853137674</x:v>
      </x:c>
      <x:c r="F539" s="4" t="n">
        <x:f>IF('계산 과정'!$L$7,'계산 과정'!$L$22+'계산 과정'!$C$49*D539+'계산 과정'!$D$49*E539,"")</x:f>
        <x:v>696.0893338865878</x:v>
      </x:c>
      <x:c r="G539" s="4" t="n">
        <x:f>IF('계산 과정'!$L$7,IF(ABS(F539)&gt;=1E-12*MAX(1,SQRT((D539-'계산 과정'!$C$33)^2+(E539-'계산 과정'!$D$33)^2+'계산 과정'!$E$33^2)),('계산 과정'!$L$23-'계산 과정'!$C$49*D539-'계산 과정'!$D$49*E539)/F539,""),"")</x:f>
        <x:v>0.5084270780840235</x:v>
      </x:c>
      <x:c r="H539" s="4" t="n">
        <x:f>IF(AND(ISNUMBER(G539),G539&gt;0),('계산 과정'!$D$56+'계산 과정'!$D$57*D539+'계산 과정'!$D$58*E539)/F539,"")</x:f>
        <x:v>-69.52239924538482</x:v>
      </x:c>
      <x:c r="I539" s="4" t="n">
        <x:f>IF(AND(ISNUMBER(G539),G539&gt;0),('계산 과정'!$E$56+'계산 과정'!$E$57*D539+'계산 과정'!$E$58*E539)/F539,"")</x:f>
        <x:v>-60.57706158253637</x:v>
      </x:c>
      <x:c r="J539" s="4" t="n">
        <x:f>IF('계산 과정'!$L$5,'계산 과정'!$D$6+'계산 과정'!$C$35*D539+'계산 과정'!$D$35*E539,"")</x:f>
        <x:v>696.0893338865878</x:v>
      </x:c>
      <x:c r="K539" s="4" t="n">
        <x:f>IF(AND('계산 과정'!$L$6,J539&gt;0),'계산 과정'!$D$10*('계산 과정'!$C$38*(D539-'계산 과정'!$C$32)+'계산 과정'!$D$38*(E539-'계산 과정'!$D$32)-'계산 과정'!$E$38*'계산 과정'!$E$32)/J539,"")</x:f>
        <x:v>-0.529694470441026</x:v>
      </x:c>
      <x:c r="L539" s="4" t="n">
        <x:f>IF(AND('계산 과정'!$L$6,J539&gt;0),'계산 과정'!$D$10*('계산 과정'!$C$39*(D539-'계산 과정'!$C$32)+'계산 과정'!$D$39*(E539-'계산 과정'!$D$32)-'계산 과정'!$E$39*'계산 과정'!$E$32)/J539,"")</x:f>
        <x:v>-0.4615395168193248</x:v>
      </x:c>
      <x:c r="M539" s="17" t="n">
        <x:f>IF('계산 과정'!$L$6,IF(J539&lt;=0,0,IF(AND(ABS(K539)&lt;='계산 과정'!$D$11/2,ABS(L539)&lt;='계산 과정'!$D$12/2),1,0)),"")</x:f>
        <x:v>1</x:v>
      </x:c>
      <x:c r="N539" s="17" t="n">
        <x:f>IF('계산 과정'!$C$78,IF(AND(ISNUMBER(H539),ISNUMBER(I539),ABS(H539-'계산 과정'!$C$88)&lt;='계산 과정'!$D$23/2,ABS(I539-'계산 과정'!$C$89)&lt;='계산 과정'!$D$24/2),1,0),"")</x:f>
        <x:v>1</x:v>
      </x:c>
      <x:c r="O539" s="4" t="n">
        <x:f>IF('계산 과정'!$L$7,'계산 과정'!$C$49*('계산 과정'!$C$32-D539)+'계산 과정'!$D$49*('계산 과정'!$D$32-E539)+'계산 과정'!$E$49*'계산 과정'!$E$32,"")</x:f>
        <x:v>-46.089333886587724</x:v>
      </x:c>
      <x:c r="P539" s="4" t="n">
        <x:f>IF(AND('계산 과정'!$L$7,O539&lt;&gt;0),('계산 과정'!$L$23-'계산 과정'!$C$49*D539-'계산 과정'!$D$49*E539)/O539,"")</x:f>
        <x:v>-7.6787975930457595</x:v>
      </x:c>
      <x:c r="Q539" s="4" t="str">
        <x:f>IF(AND(ISNUMBER(P539),P539&gt;1E-9,P539&lt;1-1E-9),'계산 과정'!$C$47*(D539-'계산 과정'!$C$50+P539*('계산 과정'!$C$32-D539))+'계산 과정'!$D$47*(E539-'계산 과정'!$D$50+P539*('계산 과정'!$D$32-E539))+'계산 과정'!$E$47*(0-'계산 과정'!$E$50+P539*('계산 과정'!$E$32-0)),"")</x:f>
      </x:c>
      <x:c r="R539" s="4" t="str">
        <x:f>IF(AND(ISNUMBER(P539),P539&gt;1E-9,P539&lt;1-1E-9),'계산 과정'!$C$48*(D539-'계산 과정'!$C$50+P539*('계산 과정'!$C$32-D539))+'계산 과정'!$D$48*(E539-'계산 과정'!$D$50+P539*('계산 과정'!$D$32-E539))+'계산 과정'!$E$48*(0-'계산 과정'!$E$50+P539*('계산 과정'!$E$32-0)),"")</x:f>
      </x:c>
      <x:c r="S539" s="17" t="n">
        <x:f>IF('계산 과정'!$C$78,IF(AND(ISNUMBER(Q539),ISNUMBER(R539),ABS(Q539-'계산 과정'!$C$88)&lt;='계산 과정'!$D$23/2,ABS(R539-'계산 과정'!$C$89)&lt;='계산 과정'!$D$24/2),1,0),"")</x:f>
        <x:v>0</x:v>
      </x:c>
      <x:c r="T539" s="4"/>
      <x:c r="U539" s="4"/>
      <x:c r="V539" s="4"/>
      <x:c r="W539" s="4" t="n">
        <x:f>IF('계산 과정'!$C$78,'계산 과정'!$C$88+1*'계산 과정'!$C$90/2,"")</x:f>
        <x:v>209.7478582953745</x:v>
      </x:c>
      <x:c r="X539" s="4" t="str">
        <x:f>""</x:f>
      </x:c>
      <x:c r="Y539" s="4" t="str">
        <x:f>""</x:f>
      </x:c>
      <x:c r="Z539" s="4" t="n">
        <x:f>IF('계산 과정'!$C$78,'계산 과정'!$C$89+0.6399999999999999*'계산 과정'!$C$91/2,"")</x:f>
        <x:v>160.3837249980268</x:v>
      </x:c>
    </x:row>
    <x:row r="540" ht="23" customHeight="1">
      <x:c r="A540" s="17" t="n">
        <x:f>ROW()-6</x:f>
        <x:v>534</x:v>
      </x:c>
      <x:c r="B540" s="4" t="n">
        <x:f>IF('계산 과정'!$L$5,'계산 과정'!$L$11*SQRT((A540+0.5)/'계산 과정'!$L$30),"")</x:f>
        <x:v>76.63023152002414</x:v>
      </x:c>
      <x:c r="C540" s="4" t="n">
        <x:f>A540*PI()*(3-SQRT(5))</x:f>
        <x:v>1281.5803646751006</x:v>
      </x:c>
      <x:c r="D540" s="4" t="n">
        <x:f>IF('계산 과정'!$L$5,B540*COS(C540),"")</x:f>
        <x:v>75.25933359051551</x:v>
      </x:c>
      <x:c r="E540" s="4" t="n">
        <x:f>IF('계산 과정'!$L$5,B540*SIN(C540),"")</x:f>
        <x:v>-14.430006594731815</x:v>
      </x:c>
      <x:c r="F540" s="4" t="n">
        <x:f>IF('계산 과정'!$L$7,'계산 과정'!$L$22+'계산 과정'!$C$49*D540+'계산 과정'!$D$49*E540,"")</x:f>
        <x:v>596.783614870566</x:v>
      </x:c>
      <x:c r="G540" s="4" t="n">
        <x:f>IF('계산 과정'!$L$7,IF(ABS(F540)&gt;=1E-12*MAX(1,SQRT((D540-'계산 과정'!$C$33)^2+(E540-'계산 과정'!$D$33)^2+'계산 과정'!$E$33^2)),('계산 과정'!$L$23-'계산 과정'!$C$49*D540-'계산 과정'!$D$49*E540)/F540,""),"")</x:f>
        <x:v>0.7594316831700051</x:v>
      </x:c>
      <x:c r="H540" s="4" t="n">
        <x:f>IF(AND(ISNUMBER(G540),G540&gt;0),('계산 과정'!$D$56+'계산 과정'!$D$57*D540+'계산 과정'!$D$58*E540)/F540,"")</x:f>
        <x:v>93.63059406050326</x:v>
      </x:c>
      <x:c r="I540" s="4" t="n">
        <x:f>IF(AND(ISNUMBER(G540),G540&gt;0),('계산 과정'!$E$56+'계산 과정'!$E$57*D540+'계산 과정'!$E$58*E540)/F540,"")</x:f>
        <x:v>-25.38861079112327</x:v>
      </x:c>
      <x:c r="J540" s="4" t="n">
        <x:f>IF('계산 과정'!$L$5,'계산 과정'!$D$6+'계산 과정'!$C$35*D540+'계산 과정'!$D$35*E540,"")</x:f>
        <x:v>596.783614870566</x:v>
      </x:c>
      <x:c r="K540" s="4" t="n">
        <x:f>IF(AND('계산 과정'!$L$6,J540&gt;0),'계산 과정'!$D$10*('계산 과정'!$C$38*(D540-'계산 과정'!$C$32)+'계산 과정'!$D$38*(E540-'계산 과정'!$D$32)-'계산 과정'!$E$38*'계산 과정'!$E$32)/J540,"")</x:f>
        <x:v>0.7133759547466926</x:v>
      </x:c>
      <x:c r="L540" s="4" t="n">
        <x:f>IF(AND('계산 과정'!$L$6,J540&gt;0),'계산 과정'!$D$10*('계산 과정'!$C$39*(D540-'계산 과정'!$C$32)+'계산 과정'!$D$39*(E540-'계산 과정'!$D$32)-'계산 과정'!$E$39*'계산 과정'!$E$32)/J540,"")</x:f>
        <x:v>-0.19343703459903444</x:v>
      </x:c>
      <x:c r="M540" s="17" t="n">
        <x:f>IF('계산 과정'!$L$6,IF(J540&lt;=0,0,IF(AND(ABS(K540)&lt;='계산 과정'!$D$11/2,ABS(L540)&lt;='계산 과정'!$D$12/2),1,0)),"")</x:f>
        <x:v>1</x:v>
      </x:c>
      <x:c r="N540" s="17" t="n">
        <x:f>IF('계산 과정'!$C$78,IF(AND(ISNUMBER(H540),ISNUMBER(I540),ABS(H540-'계산 과정'!$C$88)&lt;='계산 과정'!$D$23/2,ABS(I540-'계산 과정'!$C$89)&lt;='계산 과정'!$D$24/2),1,0),"")</x:f>
        <x:v>1</x:v>
      </x:c>
      <x:c r="O540" s="4" t="n">
        <x:f>IF('계산 과정'!$L$7,'계산 과정'!$C$49*('계산 과정'!$C$32-D540)+'계산 과정'!$D$49*('계산 과정'!$D$32-E540)+'계산 과정'!$E$49*'계산 과정'!$E$32,"")</x:f>
        <x:v>53.216385129434116</x:v>
      </x:c>
      <x:c r="P540" s="4" t="n">
        <x:f>IF(AND('계산 과정'!$L$7,O540&lt;&gt;0),('계산 과정'!$L$23-'계산 과정'!$C$49*D540-'계산 과정'!$D$49*E540)/O540,"")</x:f>
        <x:v>8.516481982515549</x:v>
      </x:c>
      <x:c r="Q540" s="4" t="str">
        <x:f>IF(AND(ISNUMBER(P540),P540&gt;1E-9,P540&lt;1-1E-9),'계산 과정'!$C$47*(D540-'계산 과정'!$C$50+P540*('계산 과정'!$C$32-D540))+'계산 과정'!$D$47*(E540-'계산 과정'!$D$50+P540*('계산 과정'!$D$32-E540))+'계산 과정'!$E$47*(0-'계산 과정'!$E$50+P540*('계산 과정'!$E$32-0)),"")</x:f>
      </x:c>
      <x:c r="R540" s="4" t="str">
        <x:f>IF(AND(ISNUMBER(P540),P540&gt;1E-9,P540&lt;1-1E-9),'계산 과정'!$C$48*(D540-'계산 과정'!$C$50+P540*('계산 과정'!$C$32-D540))+'계산 과정'!$D$48*(E540-'계산 과정'!$D$50+P540*('계산 과정'!$D$32-E540))+'계산 과정'!$E$48*(0-'계산 과정'!$E$50+P540*('계산 과정'!$E$32-0)),"")</x:f>
      </x:c>
      <x:c r="S540" s="17" t="n">
        <x:f>IF('계산 과정'!$C$78,IF(AND(ISNUMBER(Q540),ISNUMBER(R540),ABS(Q540-'계산 과정'!$C$88)&lt;='계산 과정'!$D$23/2,ABS(R540-'계산 과정'!$C$89)&lt;='계산 과정'!$D$24/2),1,0),"")</x:f>
        <x:v>0</x:v>
      </x:c>
      <x:c r="T540" s="4"/>
      <x:c r="U540" s="4"/>
      <x:c r="V540" s="4"/>
      <x:c r="W540" s="4" t="n">
        <x:f>IF('계산 과정'!$C$78,'계산 과정'!$C$88+1*'계산 과정'!$C$90/2,"")</x:f>
        <x:v>209.7478582953745</x:v>
      </x:c>
      <x:c r="X540" s="4" t="str">
        <x:f>""</x:f>
      </x:c>
      <x:c r="Y540" s="4" t="str">
        <x:f>""</x:f>
      </x:c>
      <x:c r="Z540" s="4" t="n">
        <x:f>IF('계산 과정'!$C$78,'계산 과정'!$C$89+0.6799999999999999*'계산 과정'!$C$91/2,"")</x:f>
        <x:v>170.40770781040348</x:v>
      </x:c>
    </x:row>
    <x:row r="541" ht="23" customHeight="1">
      <x:c r="A541" s="17" t="n">
        <x:f>ROW()-6</x:f>
        <x:v>535</x:v>
      </x:c>
      <x:c r="B541" s="4" t="n">
        <x:f>IF('계산 과정'!$L$5,'계산 과정'!$L$11*SQRT((A541+0.5)/'계산 과정'!$L$30),"")</x:f>
        <x:v>76.70188205603236</x:v>
      </x:c>
      <x:c r="C541" s="4" t="n">
        <x:f>A541*PI()*(3-SQRT(5))</x:f>
        <x:v>1283.9803279048294</x:v>
      </x:c>
      <x:c r="D541" s="4" t="n">
        <x:f>IF('계산 과정'!$L$5,B541*COS(C541),"")</x:f>
        <x:v>-45.789334766099465</x:v>
      </x:c>
      <x:c r="E541" s="4" t="n">
        <x:f>IF('계산 과정'!$L$5,B541*SIN(C541),"")</x:f>
        <x:v>61.53466935488947</x:v>
      </x:c>
      <x:c r="F541" s="4" t="n">
        <x:f>IF('계산 과정'!$L$7,'계산 과정'!$L$22+'계산 과정'!$C$49*D541+'계산 과정'!$D$49*E541,"")</x:f>
        <x:v>682.3779491191299</x:v>
      </x:c>
      <x:c r="G541" s="4" t="n">
        <x:f>IF('계산 과정'!$L$7,IF(ABS(F541)&gt;=1E-12*MAX(1,SQRT((D541-'계산 과정'!$C$33)^2+(E541-'계산 과정'!$D$33)^2+'계산 과정'!$E$33^2)),('계산 과정'!$L$23-'계산 과정'!$C$49*D541-'계산 과정'!$D$49*E541)/F541,""),"")</x:f>
        <x:v>0.5387367094077808</x:v>
      </x:c>
      <x:c r="H541" s="4" t="n">
        <x:f>IF(AND(ISNUMBER(G541),G541&gt;0),('계산 과정'!$D$56+'계산 과정'!$D$57*D541+'계산 과정'!$D$58*E541)/F541,"")</x:f>
        <x:v>-49.82113888494256</x:v>
      </x:c>
      <x:c r="I541" s="4" t="n">
        <x:f>IF(AND(ISNUMBER(G541),G541&gt;0),('계산 과정'!$E$56+'계산 과정'!$E$57*D541+'계산 과정'!$E$58*E541)/F541,"")</x:f>
        <x:v>94.68565463763845</x:v>
      </x:c>
      <x:c r="J541" s="4" t="n">
        <x:f>IF('계산 과정'!$L$5,'계산 과정'!$D$6+'계산 과정'!$C$35*D541+'계산 과정'!$D$35*E541,"")</x:f>
        <x:v>682.3779491191299</x:v>
      </x:c>
      <x:c r="K541" s="4" t="n">
        <x:f>IF(AND('계산 과정'!$L$6,J541&gt;0),'계산 과정'!$D$10*('계산 과정'!$C$38*(D541-'계산 과정'!$C$32)+'계산 과정'!$D$38*(E541-'계산 과정'!$D$32)-'계산 과정'!$E$38*'계산 과정'!$E$32)/J541,"")</x:f>
        <x:v>-0.379589629599561</x:v>
      </x:c>
      <x:c r="L541" s="4" t="n">
        <x:f>IF(AND('계산 과정'!$L$6,J541&gt;0),'계산 과정'!$D$10*('계산 과정'!$C$39*(D541-'계산 과정'!$C$32)+'계산 과정'!$D$39*(E541-'계산 과정'!$D$32)-'계산 과정'!$E$39*'계산 과정'!$E$32)/J541,"")</x:f>
        <x:v>0.7214145115248644</x:v>
      </x:c>
      <x:c r="M541" s="17" t="n">
        <x:f>IF('계산 과정'!$L$6,IF(J541&lt;=0,0,IF(AND(ABS(K541)&lt;='계산 과정'!$D$11/2,ABS(L541)&lt;='계산 과정'!$D$12/2),1,0)),"")</x:f>
        <x:v>1</x:v>
      </x:c>
      <x:c r="N541" s="17" t="n">
        <x:f>IF('계산 과정'!$C$78,IF(AND(ISNUMBER(H541),ISNUMBER(I541),ABS(H541-'계산 과정'!$C$88)&lt;='계산 과정'!$D$23/2,ABS(I541-'계산 과정'!$C$89)&lt;='계산 과정'!$D$24/2),1,0),"")</x:f>
        <x:v>1</x:v>
      </x:c>
      <x:c r="O541" s="4" t="n">
        <x:f>IF('계산 과정'!$L$7,'계산 과정'!$C$49*('계산 과정'!$C$32-D541)+'계산 과정'!$D$49*('계산 과정'!$D$32-E541)+'계산 과정'!$E$49*'계산 과정'!$E$32,"")</x:f>
        <x:v>-32.37794911912971</x:v>
      </x:c>
      <x:c r="P541" s="4" t="n">
        <x:f>IF(AND('계산 과정'!$L$7,O541&lt;&gt;0),('계산 과정'!$L$23-'계산 과정'!$C$49*D541-'계산 과정'!$D$49*E541)/O541,"")</x:f>
        <x:v>-11.354086990755993</x:v>
      </x:c>
      <x:c r="Q541" s="4" t="str">
        <x:f>IF(AND(ISNUMBER(P541),P541&gt;1E-9,P541&lt;1-1E-9),'계산 과정'!$C$47*(D541-'계산 과정'!$C$50+P541*('계산 과정'!$C$32-D541))+'계산 과정'!$D$47*(E541-'계산 과정'!$D$50+P541*('계산 과정'!$D$32-E541))+'계산 과정'!$E$47*(0-'계산 과정'!$E$50+P541*('계산 과정'!$E$32-0)),"")</x:f>
      </x:c>
      <x:c r="R541" s="4" t="str">
        <x:f>IF(AND(ISNUMBER(P541),P541&gt;1E-9,P541&lt;1-1E-9),'계산 과정'!$C$48*(D541-'계산 과정'!$C$50+P541*('계산 과정'!$C$32-D541))+'계산 과정'!$D$48*(E541-'계산 과정'!$D$50+P541*('계산 과정'!$D$32-E541))+'계산 과정'!$E$48*(0-'계산 과정'!$E$50+P541*('계산 과정'!$E$32-0)),"")</x:f>
      </x:c>
      <x:c r="S541" s="17" t="n">
        <x:f>IF('계산 과정'!$C$78,IF(AND(ISNUMBER(Q541),ISNUMBER(R541),ABS(Q541-'계산 과정'!$C$88)&lt;='계산 과정'!$D$23/2,ABS(R541-'계산 과정'!$C$89)&lt;='계산 과정'!$D$24/2),1,0),"")</x:f>
        <x:v>0</x:v>
      </x:c>
      <x:c r="T541" s="4"/>
      <x:c r="U541" s="4"/>
      <x:c r="V541" s="4"/>
      <x:c r="W541" s="4" t="n">
        <x:f>IF('계산 과정'!$C$78,'계산 과정'!$C$88+1*'계산 과정'!$C$90/2,"")</x:f>
        <x:v>209.7478582953745</x:v>
      </x:c>
      <x:c r="X541" s="4" t="str">
        <x:f>""</x:f>
      </x:c>
      <x:c r="Y541" s="4" t="str">
        <x:f>""</x:f>
      </x:c>
      <x:c r="Z541" s="4" t="n">
        <x:f>IF('계산 과정'!$C$78,'계산 과정'!$C$89+0.72*'계산 과정'!$C$91/2,"")</x:f>
        <x:v>180.43169062278017</x:v>
      </x:c>
    </x:row>
    <x:row r="542" ht="23" customHeight="1">
      <x:c r="A542" s="17" t="n">
        <x:f>ROW()-6</x:f>
        <x:v>536</x:v>
      </x:c>
      <x:c r="B542" s="4" t="n">
        <x:f>IF('계산 과정'!$L$5,'계산 과정'!$L$11*SQRT((A542+0.5)/'계산 과정'!$L$30),"")</x:f>
        <x:v>76.77346572262124</x:v>
      </x:c>
      <x:c r="C542" s="4" t="n">
        <x:f>A542*PI()*(3-SQRT(5))</x:f>
        <x:v>1286.3802911345579</x:v>
      </x:c>
      <x:c r="D542" s="4" t="n">
        <x:f>IF('계산 과정'!$L$5,B542*COS(C542),"")</x:f>
        <x:v>-7.809723300276029</x:v>
      </x:c>
      <x:c r="E542" s="4" t="n">
        <x:f>IF('계산 과정'!$L$5,B542*SIN(C542),"")</x:f>
        <x:v>-76.37521365623552</x:v>
      </x:c>
      <x:c r="F542" s="4" t="n">
        <x:f>IF('계산 과정'!$L$7,'계산 과정'!$L$22+'계산 과정'!$C$49*D542+'계산 과정'!$D$49*E542,"")</x:f>
        <x:v>655.5223083048157</x:v>
      </x:c>
      <x:c r="G542" s="4" t="n">
        <x:f>IF('계산 과정'!$L$7,IF(ABS(F542)&gt;=1E-12*MAX(1,SQRT((D542-'계산 과정'!$C$33)^2+(E542-'계산 과정'!$D$33)^2+'계산 과정'!$E$33^2)),('계산 과정'!$L$23-'계산 과정'!$C$49*D542-'계산 과정'!$D$49*E542)/F542,""),"")</x:f>
        <x:v>0.6017761511660918</x:v>
      </x:c>
      <x:c r="H542" s="4" t="n">
        <x:f>IF(AND(ISNUMBER(G542),G542&gt;0),('계산 과정'!$D$56+'계산 과정'!$D$57*D542+'계산 과정'!$D$58*E542)/F542,"")</x:f>
        <x:v>-8.845501742040453</x:v>
      </x:c>
      <x:c r="I542" s="4" t="n">
        <x:f>IF(AND(ISNUMBER(G542),G542&gt;0),('계산 과정'!$E$56+'계산 과정'!$E$57*D542+'계산 과정'!$E$58*E542)/F542,"")</x:f>
        <x:v>-122.33599577477285</x:v>
      </x:c>
      <x:c r="J542" s="4" t="n">
        <x:f>IF('계산 과정'!$L$5,'계산 과정'!$D$6+'계산 과정'!$C$35*D542+'계산 과정'!$D$35*E542,"")</x:f>
        <x:v>655.5223083048157</x:v>
      </x:c>
      <x:c r="K542" s="4" t="n">
        <x:f>IF(AND('계산 과정'!$L$6,J542&gt;0),'계산 과정'!$D$10*('계산 과정'!$C$38*(D542-'계산 과정'!$C$32)+'계산 과정'!$D$38*(E542-'계산 과정'!$D$32)-'계산 과정'!$E$38*'계산 과정'!$E$32)/J542,"")</x:f>
        <x:v>-0.0673942989869737</x:v>
      </x:c>
      <x:c r="L542" s="4" t="n">
        <x:f>IF(AND('계산 과정'!$L$6,J542&gt;0),'계산 과정'!$D$10*('계산 과정'!$C$39*(D542-'계산 과정'!$C$32)+'계산 과정'!$D$39*(E542-'계산 과정'!$D$32)-'계산 과정'!$E$39*'계산 과정'!$E$32)/J542,"")</x:f>
        <x:v>-0.9320837773316027</x:v>
      </x:c>
      <x:c r="M542" s="17" t="n">
        <x:f>IF('계산 과정'!$L$6,IF(J542&lt;=0,0,IF(AND(ABS(K542)&lt;='계산 과정'!$D$11/2,ABS(L542)&lt;='계산 과정'!$D$12/2),1,0)),"")</x:f>
        <x:v>1</x:v>
      </x:c>
      <x:c r="N542" s="17" t="n">
        <x:f>IF('계산 과정'!$C$78,IF(AND(ISNUMBER(H542),ISNUMBER(I542),ABS(H542-'계산 과정'!$C$88)&lt;='계산 과정'!$D$23/2,ABS(I542-'계산 과정'!$C$89)&lt;='계산 과정'!$D$24/2),1,0),"")</x:f>
        <x:v>1</x:v>
      </x:c>
      <x:c r="O542" s="4" t="n">
        <x:f>IF('계산 과정'!$L$7,'계산 과정'!$C$49*('계산 과정'!$C$32-D542)+'계산 과정'!$D$49*('계산 과정'!$D$32-E542)+'계산 과정'!$E$49*'계산 과정'!$E$32,"")</x:f>
        <x:v>-5.522308304815624</x:v>
      </x:c>
      <x:c r="P542" s="4" t="n">
        <x:f>IF(AND('계산 과정'!$L$7,O542&lt;&gt;0),('계산 과정'!$L$23-'계산 과정'!$C$49*D542-'계산 과정'!$D$49*E542)/O542,"")</x:f>
        <x:v>-71.43347852404175</x:v>
      </x:c>
      <x:c r="Q542" s="4" t="str">
        <x:f>IF(AND(ISNUMBER(P542),P542&gt;1E-9,P542&lt;1-1E-9),'계산 과정'!$C$47*(D542-'계산 과정'!$C$50+P542*('계산 과정'!$C$32-D542))+'계산 과정'!$D$47*(E542-'계산 과정'!$D$50+P542*('계산 과정'!$D$32-E542))+'계산 과정'!$E$47*(0-'계산 과정'!$E$50+P542*('계산 과정'!$E$32-0)),"")</x:f>
      </x:c>
      <x:c r="R542" s="4" t="str">
        <x:f>IF(AND(ISNUMBER(P542),P542&gt;1E-9,P542&lt;1-1E-9),'계산 과정'!$C$48*(D542-'계산 과정'!$C$50+P542*('계산 과정'!$C$32-D542))+'계산 과정'!$D$48*(E542-'계산 과정'!$D$50+P542*('계산 과정'!$D$32-E542))+'계산 과정'!$E$48*(0-'계산 과정'!$E$50+P542*('계산 과정'!$E$32-0)),"")</x:f>
      </x:c>
      <x:c r="S542" s="17" t="n">
        <x:f>IF('계산 과정'!$C$78,IF(AND(ISNUMBER(Q542),ISNUMBER(R542),ABS(Q542-'계산 과정'!$C$88)&lt;='계산 과정'!$D$23/2,ABS(R542-'계산 과정'!$C$89)&lt;='계산 과정'!$D$24/2),1,0),"")</x:f>
        <x:v>0</x:v>
      </x:c>
      <x:c r="T542" s="4"/>
      <x:c r="U542" s="4"/>
      <x:c r="V542" s="4"/>
      <x:c r="W542" s="4" t="n">
        <x:f>IF('계산 과정'!$C$78,'계산 과정'!$C$88+1*'계산 과정'!$C$90/2,"")</x:f>
        <x:v>209.7478582953745</x:v>
      </x:c>
      <x:c r="X542" s="4" t="str">
        <x:f>""</x:f>
      </x:c>
      <x:c r="Y542" s="4" t="str">
        <x:f>""</x:f>
      </x:c>
      <x:c r="Z542" s="4" t="n">
        <x:f>IF('계산 과정'!$C$78,'계산 과정'!$C$89+0.76*'계산 과정'!$C$91/2,"")</x:f>
        <x:v>190.45567343515683</x:v>
      </x:c>
    </x:row>
    <x:row r="543" ht="23" customHeight="1">
      <x:c r="A543" s="17" t="n">
        <x:f>ROW()-6</x:f>
        <x:v>537</x:v>
      </x:c>
      <x:c r="B543" s="4" t="n">
        <x:f>IF('계산 과정'!$L$5,'계산 과정'!$L$11*SQRT((A543+0.5)/'계산 과정'!$L$30),"")</x:f>
        <x:v>76.84498270666407</x:v>
      </x:c>
      <x:c r="C543" s="4" t="n">
        <x:f>A543*PI()*(3-SQRT(5))</x:f>
        <x:v>1288.7802543642867</x:v>
      </x:c>
      <x:c r="D543" s="4" t="n">
        <x:f>IF('계산 과정'!$L$5,B543*COS(C543),"")</x:f>
        <x:v>57.40278525410493</x:v>
      </x:c>
      <x:c r="E543" s="4" t="n">
        <x:f>IF('계산 과정'!$L$5,B543*SIN(C543),"")</x:f>
        <x:v>51.08885996240877</x:v>
      </x:c>
      <x:c r="F543" s="4" t="n">
        <x:f>IF('계산 과정'!$L$7,'계산 과정'!$L$22+'계산 과정'!$C$49*D543+'계산 과정'!$D$49*E543,"")</x:f>
        <x:v>609.4101012878273</x:v>
      </x:c>
      <x:c r="G543" s="4" t="n">
        <x:f>IF('계산 과정'!$L$7,IF(ABS(F543)&gt;=1E-12*MAX(1,SQRT((D543-'계산 과정'!$C$33)^2+(E543-'계산 과정'!$D$33)^2+'계산 과정'!$E$33^2)),('계산 과정'!$L$23-'계산 과정'!$C$49*D543-'계산 과정'!$D$49*E543)/F543,""),"")</x:f>
        <x:v>0.7229776759215221</x:v>
      </x:c>
      <x:c r="H543" s="4" t="n">
        <x:f>IF(AND(ISNUMBER(G543),G543&gt;0),('계산 과정'!$D$56+'계산 과정'!$D$57*D543+'계산 과정'!$D$58*E543)/F543,"")</x:f>
        <x:v>69.93548934898928</x:v>
      </x:c>
      <x:c r="I543" s="4" t="n">
        <x:f>IF(AND(ISNUMBER(G543),G543&gt;0),('계산 과정'!$E$56+'계산 과정'!$E$57*D543+'계산 과정'!$E$58*E543)/F543,"")</x:f>
        <x:v>88.02496520351116</x:v>
      </x:c>
      <x:c r="J543" s="4" t="n">
        <x:f>IF('계산 과정'!$L$5,'계산 과정'!$D$6+'계산 과정'!$C$35*D543+'계산 과정'!$D$35*E543,"")</x:f>
        <x:v>609.4101012878273</x:v>
      </x:c>
      <x:c r="K543" s="4" t="n">
        <x:f>IF(AND('계산 과정'!$L$6,J543&gt;0),'계산 과정'!$D$10*('계산 과정'!$C$38*(D543-'계산 과정'!$C$32)+'계산 과정'!$D$38*(E543-'계산 과정'!$D$32)-'계산 과정'!$E$38*'계산 과정'!$E$32)/J543,"")</x:f>
        <x:v>0.5328418236113474</x:v>
      </x:c>
      <x:c r="L543" s="4" t="n">
        <x:f>IF(AND('계산 과정'!$L$6,J543&gt;0),'계산 과정'!$D$10*('계산 과정'!$C$39*(D543-'계산 과정'!$C$32)+'계산 과정'!$D$39*(E543-'계산 과정'!$D$32)-'계산 과정'!$E$39*'계산 과정'!$E$32)/J543,"")</x:f>
        <x:v>0.6706664015505612</x:v>
      </x:c>
      <x:c r="M543" s="17" t="n">
        <x:f>IF('계산 과정'!$L$6,IF(J543&lt;=0,0,IF(AND(ABS(K543)&lt;='계산 과정'!$D$11/2,ABS(L543)&lt;='계산 과정'!$D$12/2),1,0)),"")</x:f>
        <x:v>1</x:v>
      </x:c>
      <x:c r="N543" s="17" t="n">
        <x:f>IF('계산 과정'!$C$78,IF(AND(ISNUMBER(H543),ISNUMBER(I543),ABS(H543-'계산 과정'!$C$88)&lt;='계산 과정'!$D$23/2,ABS(I543-'계산 과정'!$C$89)&lt;='계산 과정'!$D$24/2),1,0),"")</x:f>
        <x:v>1</x:v>
      </x:c>
      <x:c r="O543" s="4" t="n">
        <x:f>IF('계산 과정'!$L$7,'계산 과정'!$C$49*('계산 과정'!$C$32-D543)+'계산 과정'!$D$49*('계산 과정'!$D$32-E543)+'계산 과정'!$E$49*'계산 과정'!$E$32,"")</x:f>
        <x:v>40.58989871217284</x:v>
      </x:c>
      <x:c r="P543" s="4" t="n">
        <x:f>IF(AND('계산 과정'!$L$7,O543&lt;&gt;0),('계산 과정'!$L$23-'계산 과정'!$C$49*D543-'계산 과정'!$D$49*E543)/O543,"")</x:f>
        <x:v>10.854668592214066</x:v>
      </x:c>
      <x:c r="Q543" s="4" t="str">
        <x:f>IF(AND(ISNUMBER(P543),P543&gt;1E-9,P543&lt;1-1E-9),'계산 과정'!$C$47*(D543-'계산 과정'!$C$50+P543*('계산 과정'!$C$32-D543))+'계산 과정'!$D$47*(E543-'계산 과정'!$D$50+P543*('계산 과정'!$D$32-E543))+'계산 과정'!$E$47*(0-'계산 과정'!$E$50+P543*('계산 과정'!$E$32-0)),"")</x:f>
      </x:c>
      <x:c r="R543" s="4" t="str">
        <x:f>IF(AND(ISNUMBER(P543),P543&gt;1E-9,P543&lt;1-1E-9),'계산 과정'!$C$48*(D543-'계산 과정'!$C$50+P543*('계산 과정'!$C$32-D543))+'계산 과정'!$D$48*(E543-'계산 과정'!$D$50+P543*('계산 과정'!$D$32-E543))+'계산 과정'!$E$48*(0-'계산 과정'!$E$50+P543*('계산 과정'!$E$32-0)),"")</x:f>
      </x:c>
      <x:c r="S543" s="17" t="n">
        <x:f>IF('계산 과정'!$C$78,IF(AND(ISNUMBER(Q543),ISNUMBER(R543),ABS(Q543-'계산 과정'!$C$88)&lt;='계산 과정'!$D$23/2,ABS(R543-'계산 과정'!$C$89)&lt;='계산 과정'!$D$24/2),1,0),"")</x:f>
        <x:v>0</x:v>
      </x:c>
      <x:c r="T543" s="4"/>
      <x:c r="U543" s="4"/>
      <x:c r="V543" s="4"/>
      <x:c r="W543" s="4" t="n">
        <x:f>IF('계산 과정'!$C$78,'계산 과정'!$C$88+1*'계산 과정'!$C$90/2,"")</x:f>
        <x:v>209.7478582953745</x:v>
      </x:c>
      <x:c r="X543" s="4" t="str">
        <x:f>""</x:f>
      </x:c>
      <x:c r="Y543" s="4" t="str">
        <x:f>""</x:f>
      </x:c>
      <x:c r="Z543" s="4" t="n">
        <x:f>IF('계산 과정'!$C$78,'계산 과정'!$C$89+0.8*'계산 과정'!$C$91/2,"")</x:f>
        <x:v>200.4796562475335</x:v>
      </x:c>
    </x:row>
    <x:row r="544" ht="23" customHeight="1">
      <x:c r="A544" s="17" t="n">
        <x:f>ROW()-6</x:f>
        <x:v>538</x:v>
      </x:c>
      <x:c r="B544" s="4" t="n">
        <x:f>IF('계산 과정'!$L$5,'계산 과정'!$L$11*SQRT((A544+0.5)/'계산 과정'!$L$30),"")</x:f>
        <x:v>76.91643319416534</x:v>
      </x:c>
      <x:c r="C544" s="4" t="n">
        <x:f>A544*PI()*(3-SQRT(5))</x:f>
        <x:v>1291.1802175940152</x:v>
      </x:c>
      <x:c r="D544" s="4" t="n">
        <x:f>IF('계산 과정'!$L$5,B544*COS(C544),"")</x:f>
        <x:v>-76.90849952851222</x:v>
      </x:c>
      <x:c r="E544" s="4" t="n">
        <x:f>IF('계산 과정'!$L$5,B544*SIN(C544),"")</x:f>
        <x:v>1.1047151602719427</x:v>
      </x:c>
      <x:c r="F544" s="4" t="n">
        <x:f>IF('계산 과정'!$L$7,'계산 과정'!$L$22+'계산 과정'!$C$49*D544+'계산 과정'!$D$49*E544,"")</x:f>
        <x:v>704.3825215474934</x:v>
      </x:c>
      <x:c r="G544" s="4" t="n">
        <x:f>IF('계산 과정'!$L$7,IF(ABS(F544)&gt;=1E-12*MAX(1,SQRT((D544-'계산 과정'!$C$33)^2+(E544-'계산 과정'!$D$33)^2+'계산 과정'!$E$33^2)),('계산 과정'!$L$23-'계산 과정'!$C$49*D544-'계산 과정'!$D$49*E544)/F544,""),"")</x:f>
        <x:v>0.49066731197872737</x:v>
      </x:c>
      <x:c r="H544" s="4" t="n">
        <x:f>IF(AND(ISNUMBER(G544),G544&gt;0),('계산 과정'!$D$56+'계산 과정'!$D$57*D544+'계산 과정'!$D$58*E544)/F544,"")</x:f>
        <x:v>-81.06624721382731</x:v>
      </x:c>
      <x:c r="I544" s="4" t="n">
        <x:f>IF(AND(ISNUMBER(G544),G544&gt;0),('계산 과정'!$E$56+'계산 과정'!$E$57*D544+'계산 과정'!$E$58*E544)/F544,"")</x:f>
        <x:v>1.646762778464726</x:v>
      </x:c>
      <x:c r="J544" s="4" t="n">
        <x:f>IF('계산 과정'!$L$5,'계산 과정'!$D$6+'계산 과정'!$C$35*D544+'계산 과정'!$D$35*E544,"")</x:f>
        <x:v>704.3825215474934</x:v>
      </x:c>
      <x:c r="K544" s="4" t="n">
        <x:f>IF(AND('계산 과정'!$L$6,J544&gt;0),'계산 과정'!$D$10*('계산 과정'!$C$38*(D544-'계산 과정'!$C$32)+'계산 과정'!$D$38*(E544-'계산 과정'!$D$32)-'계산 과정'!$E$38*'계산 과정'!$E$32)/J544,"")</x:f>
        <x:v>-0.617647597819636</x:v>
      </x:c>
      <x:c r="L544" s="4" t="n">
        <x:f>IF(AND('계산 과정'!$L$6,J544&gt;0),'계산 과정'!$D$10*('계산 과정'!$C$39*(D544-'계산 과정'!$C$32)+'계산 과정'!$D$39*(E544-'계산 과정'!$D$32)-'계산 과정'!$E$39*'계산 과정'!$E$32)/J544,"")</x:f>
        <x:v>0.012546764026397912</x:v>
      </x:c>
      <x:c r="M544" s="17" t="n">
        <x:f>IF('계산 과정'!$L$6,IF(J544&lt;=0,0,IF(AND(ABS(K544)&lt;='계산 과정'!$D$11/2,ABS(L544)&lt;='계산 과정'!$D$12/2),1,0)),"")</x:f>
        <x:v>1</x:v>
      </x:c>
      <x:c r="N544" s="17" t="n">
        <x:f>IF('계산 과정'!$C$78,IF(AND(ISNUMBER(H544),ISNUMBER(I544),ABS(H544-'계산 과정'!$C$88)&lt;='계산 과정'!$D$23/2,ABS(I544-'계산 과정'!$C$89)&lt;='계산 과정'!$D$24/2),1,0),"")</x:f>
        <x:v>1</x:v>
      </x:c>
      <x:c r="O544" s="4" t="n">
        <x:f>IF('계산 과정'!$L$7,'계산 과정'!$C$49*('계산 과정'!$C$32-D544)+'계산 과정'!$D$49*('계산 과정'!$D$32-E544)+'계산 과정'!$E$49*'계산 과정'!$E$32,"")</x:f>
        <x:v>-54.3825215474933</x:v>
      </x:c>
      <x:c r="P544" s="4" t="n">
        <x:f>IF(AND('계산 과정'!$L$7,O544&lt;&gt;0),('계산 과정'!$L$23-'계산 과정'!$C$49*D544-'계산 과정'!$D$49*E544)/O544,"")</x:f>
        <x:v>-6.355304399606999</x:v>
      </x:c>
      <x:c r="Q544" s="4" t="str">
        <x:f>IF(AND(ISNUMBER(P544),P544&gt;1E-9,P544&lt;1-1E-9),'계산 과정'!$C$47*(D544-'계산 과정'!$C$50+P544*('계산 과정'!$C$32-D544))+'계산 과정'!$D$47*(E544-'계산 과정'!$D$50+P544*('계산 과정'!$D$32-E544))+'계산 과정'!$E$47*(0-'계산 과정'!$E$50+P544*('계산 과정'!$E$32-0)),"")</x:f>
      </x:c>
      <x:c r="R544" s="4" t="str">
        <x:f>IF(AND(ISNUMBER(P544),P544&gt;1E-9,P544&lt;1-1E-9),'계산 과정'!$C$48*(D544-'계산 과정'!$C$50+P544*('계산 과정'!$C$32-D544))+'계산 과정'!$D$48*(E544-'계산 과정'!$D$50+P544*('계산 과정'!$D$32-E544))+'계산 과정'!$E$48*(0-'계산 과정'!$E$50+P544*('계산 과정'!$E$32-0)),"")</x:f>
      </x:c>
      <x:c r="S544" s="17" t="n">
        <x:f>IF('계산 과정'!$C$78,IF(AND(ISNUMBER(Q544),ISNUMBER(R544),ABS(Q544-'계산 과정'!$C$88)&lt;='계산 과정'!$D$23/2,ABS(R544-'계산 과정'!$C$89)&lt;='계산 과정'!$D$24/2),1,0),"")</x:f>
        <x:v>0</x:v>
      </x:c>
      <x:c r="T544" s="4"/>
      <x:c r="U544" s="4"/>
      <x:c r="V544" s="4"/>
      <x:c r="W544" s="4" t="n">
        <x:f>IF('계산 과정'!$C$78,'계산 과정'!$C$88+1*'계산 과정'!$C$90/2,"")</x:f>
        <x:v>209.7478582953745</x:v>
      </x:c>
      <x:c r="X544" s="4" t="str">
        <x:f>""</x:f>
      </x:c>
      <x:c r="Y544" s="4" t="str">
        <x:f>""</x:f>
      </x:c>
      <x:c r="Z544" s="4" t="n">
        <x:f>IF('계산 과정'!$C$78,'계산 과정'!$C$89+0.8400000000000001*'계산 과정'!$C$91/2,"")</x:f>
        <x:v>210.5036390599102</x:v>
      </x:c>
    </x:row>
    <x:row r="545" ht="23" customHeight="1">
      <x:c r="A545" s="17" t="n">
        <x:f>ROW()-6</x:f>
        <x:v>539</x:v>
      </x:c>
      <x:c r="B545" s="4" t="n">
        <x:f>IF('계산 과정'!$L$5,'계산 과정'!$L$11*SQRT((A545+0.5)/'계산 과정'!$L$30),"")</x:f>
        <x:v>76.98781737026644</x:v>
      </x:c>
      <x:c r="C545" s="4" t="n">
        <x:f>A545*PI()*(3-SQRT(5))</x:f>
        <x:v>1293.580180823744</x:v>
      </x:c>
      <x:c r="D545" s="4" t="n">
        <x:f>IF('계산 과정'!$L$5,B545*COS(C545),"")</x:f>
        <x:v>56.01564813215688</x:v>
      </x:c>
      <x:c r="E545" s="4" t="n">
        <x:f>IF('계산 과정'!$L$5,B545*SIN(C545),"")</x:f>
        <x:v>-52.814497893778075</x:v>
      </x:c>
      <x:c r="F545" s="4" t="n">
        <x:f>IF('계산 과정'!$L$7,'계산 과정'!$L$22+'계산 과정'!$C$49*D545+'계산 과정'!$D$49*E545,"")</x:f>
        <x:v>610.3909553531923</x:v>
      </x:c>
      <x:c r="G545" s="4" t="n">
        <x:f>IF('계산 과정'!$L$7,IF(ABS(F545)&gt;=1E-12*MAX(1,SQRT((D545-'계산 과정'!$C$33)^2+(E545-'계산 과정'!$D$33)^2+'계산 과정'!$E$33^2)),('계산 과정'!$L$23-'계산 과정'!$C$49*D545-'계산 과정'!$D$49*E545)/F545,""),"")</x:f>
        <x:v>0.720208975561303</x:v>
      </x:c>
      <x:c r="H545" s="4" t="n">
        <x:f>IF(AND(ISNUMBER(G545),G545&gt;0),('계산 과정'!$D$56+'계산 과정'!$D$57*D545+'계산 과정'!$D$58*E545)/F545,"")</x:f>
        <x:v>68.13583411484687</x:v>
      </x:c>
      <x:c r="I545" s="4" t="n">
        <x:f>IF(AND(ISNUMBER(G545),G545&gt;0),('계산 과정'!$E$56+'계산 과정'!$E$57*D545+'계산 과정'!$E$58*E545)/F545,"")</x:f>
        <x:v>-90.85197331664057</x:v>
      </x:c>
      <x:c r="J545" s="4" t="n">
        <x:f>IF('계산 과정'!$L$5,'계산 과정'!$D$6+'계산 과정'!$C$35*D545+'계산 과정'!$D$35*E545,"")</x:f>
        <x:v>610.3909553531923</x:v>
      </x:c>
      <x:c r="K545" s="4" t="n">
        <x:f>IF(AND('계산 과정'!$L$6,J545&gt;0),'계산 과정'!$D$10*('계산 과정'!$C$38*(D545-'계산 과정'!$C$32)+'계산 과정'!$D$38*(E545-'계산 과정'!$D$32)-'계산 과정'!$E$38*'계산 과정'!$E$32)/J545,"")</x:f>
        <x:v>0.5191301646845486</x:v>
      </x:c>
      <x:c r="L545" s="4" t="n">
        <x:f>IF(AND('계산 과정'!$L$6,J545&gt;0),'계산 과정'!$D$10*('계산 과정'!$C$39*(D545-'계산 과정'!$C$32)+'계산 과정'!$D$39*(E545-'계산 과정'!$D$32)-'계산 과정'!$E$39*'계산 과정'!$E$32)/J545,"")</x:f>
        <x:v>-0.6922055109839282</x:v>
      </x:c>
      <x:c r="M545" s="17" t="n">
        <x:f>IF('계산 과정'!$L$6,IF(J545&lt;=0,0,IF(AND(ABS(K545)&lt;='계산 과정'!$D$11/2,ABS(L545)&lt;='계산 과정'!$D$12/2),1,0)),"")</x:f>
        <x:v>1</x:v>
      </x:c>
      <x:c r="N545" s="17" t="n">
        <x:f>IF('계산 과정'!$C$78,IF(AND(ISNUMBER(H545),ISNUMBER(I545),ABS(H545-'계산 과정'!$C$88)&lt;='계산 과정'!$D$23/2,ABS(I545-'계산 과정'!$C$89)&lt;='계산 과정'!$D$24/2),1,0),"")</x:f>
        <x:v>1</x:v>
      </x:c>
      <x:c r="O545" s="4" t="n">
        <x:f>IF('계산 과정'!$L$7,'계산 과정'!$C$49*('계산 과정'!$C$32-D545)+'계산 과정'!$D$49*('계산 과정'!$D$32-E545)+'계산 과정'!$E$49*'계산 과정'!$E$32,"")</x:f>
        <x:v>39.60904464680783</x:v>
      </x:c>
      <x:c r="P545" s="4" t="n">
        <x:f>IF(AND('계산 과정'!$L$7,O545&lt;&gt;0),('계산 과정'!$L$23-'계산 과정'!$C$49*D545-'계산 과정'!$D$49*E545)/O545,"")</x:f>
        <x:v>11.098703555381931</x:v>
      </x:c>
      <x:c r="Q545" s="4" t="str">
        <x:f>IF(AND(ISNUMBER(P545),P545&gt;1E-9,P545&lt;1-1E-9),'계산 과정'!$C$47*(D545-'계산 과정'!$C$50+P545*('계산 과정'!$C$32-D545))+'계산 과정'!$D$47*(E545-'계산 과정'!$D$50+P545*('계산 과정'!$D$32-E545))+'계산 과정'!$E$47*(0-'계산 과정'!$E$50+P545*('계산 과정'!$E$32-0)),"")</x:f>
      </x:c>
      <x:c r="R545" s="4" t="str">
        <x:f>IF(AND(ISNUMBER(P545),P545&gt;1E-9,P545&lt;1-1E-9),'계산 과정'!$C$48*(D545-'계산 과정'!$C$50+P545*('계산 과정'!$C$32-D545))+'계산 과정'!$D$48*(E545-'계산 과정'!$D$50+P545*('계산 과정'!$D$32-E545))+'계산 과정'!$E$48*(0-'계산 과정'!$E$50+P545*('계산 과정'!$E$32-0)),"")</x:f>
      </x:c>
      <x:c r="S545" s="17" t="n">
        <x:f>IF('계산 과정'!$C$78,IF(AND(ISNUMBER(Q545),ISNUMBER(R545),ABS(Q545-'계산 과정'!$C$88)&lt;='계산 과정'!$D$23/2,ABS(R545-'계산 과정'!$C$89)&lt;='계산 과정'!$D$24/2),1,0),"")</x:f>
        <x:v>0</x:v>
      </x:c>
      <x:c r="T545" s="4"/>
      <x:c r="U545" s="4"/>
      <x:c r="V545" s="4"/>
      <x:c r="W545" s="4" t="n">
        <x:f>IF('계산 과정'!$C$78,'계산 과정'!$C$88+1*'계산 과정'!$C$90/2,"")</x:f>
        <x:v>209.7478582953745</x:v>
      </x:c>
      <x:c r="X545" s="4" t="str">
        <x:f>""</x:f>
      </x:c>
      <x:c r="Y545" s="4" t="str">
        <x:f>""</x:f>
      </x:c>
      <x:c r="Z545" s="4" t="n">
        <x:f>IF('계산 과정'!$C$78,'계산 과정'!$C$89+0.8799999999999999*'계산 과정'!$C$91/2,"")</x:f>
        <x:v>220.52762187228683</x:v>
      </x:c>
    </x:row>
    <x:row r="546" ht="23" customHeight="1">
      <x:c r="A546" s="17" t="n">
        <x:f>ROW()-6</x:f>
        <x:v>540</x:v>
      </x:c>
      <x:c r="B546" s="4" t="n">
        <x:f>IF('계산 과정'!$L$5,'계산 과정'!$L$11*SQRT((A546+0.5)/'계산 과정'!$L$30),"")</x:f>
        <x:v>77.05913541925123</x:v>
      </x:c>
      <x:c r="C546" s="4" t="n">
        <x:f>A546*PI()*(3-SQRT(5))</x:f>
        <x:v>1295.9801440534725</x:v>
      </x:c>
      <x:c r="D546" s="4" t="n">
        <x:f>IF('계산 과정'!$L$5,B546*COS(C546),"")</x:f>
        <x:v>-5.6337288973514</x:v>
      </x:c>
      <x:c r="E546" s="4" t="n">
        <x:f>IF('계산 과정'!$L$5,B546*SIN(C546),"")</x:f>
        <x:v>76.85292089617445</x:v>
      </x:c>
      <x:c r="F546" s="4" t="n">
        <x:f>IF('계산 과정'!$L$7,'계산 과정'!$L$22+'계산 과정'!$C$49*D546+'계산 과정'!$D$49*E546,"")</x:f>
        <x:v>653.9836479066838</x:v>
      </x:c>
      <x:c r="G546" s="4" t="n">
        <x:f>IF('계산 과정'!$L$7,IF(ABS(F546)&gt;=1E-12*MAX(1,SQRT((D546-'계산 과정'!$C$33)^2+(E546-'계산 과정'!$D$33)^2+'계산 과정'!$E$33^2)),('계산 과정'!$L$23-'계산 과정'!$C$49*D546-'계산 과정'!$D$49*E546)/F546,""),"")</x:f>
        <x:v>0.6055447309132465</x:v>
      </x:c>
      <x:c r="H546" s="4" t="n">
        <x:f>IF(AND(ISNUMBER(G546),G546&gt;0),('계산 과정'!$D$56+'계산 과정'!$D$57*D546+'계산 과정'!$D$58*E546)/F546,"")</x:f>
        <x:v>-6.395924906389851</x:v>
      </x:c>
      <x:c r="I546" s="4" t="n">
        <x:f>IF(AND(ISNUMBER(G546),G546&gt;0),('계산 과정'!$E$56+'계산 과정'!$E$57*D546+'계산 과정'!$E$58*E546)/F546,"")</x:f>
        <x:v>123.39080220014543</x:v>
      </x:c>
      <x:c r="J546" s="4" t="n">
        <x:f>IF('계산 과정'!$L$5,'계산 과정'!$D$6+'계산 과정'!$C$35*D546+'계산 과정'!$D$35*E546,"")</x:f>
        <x:v>653.9836479066838</x:v>
      </x:c>
      <x:c r="K546" s="4" t="n">
        <x:f>IF(AND('계산 과정'!$L$6,J546&gt;0),'계산 과정'!$D$10*('계산 과정'!$C$38*(D546-'계산 과정'!$C$32)+'계산 과정'!$D$38*(E546-'계산 과정'!$D$32)-'계산 과정'!$E$38*'계산 과정'!$E$32)/J546,"")</x:f>
        <x:v>-0.04873085642963573</x:v>
      </x:c>
      <x:c r="L546" s="4" t="n">
        <x:f>IF(AND('계산 과정'!$L$6,J546&gt;0),'계산 과정'!$D$10*('계산 과정'!$C$39*(D546-'계산 과정'!$C$32)+'계산 과정'!$D$39*(E546-'계산 과정'!$D$32)-'계산 과정'!$E$39*'계산 과정'!$E$32)/J546,"")</x:f>
        <x:v>0.9401203977153938</x:v>
      </x:c>
      <x:c r="M546" s="17" t="n">
        <x:f>IF('계산 과정'!$L$6,IF(J546&lt;=0,0,IF(AND(ABS(K546)&lt;='계산 과정'!$D$11/2,ABS(L546)&lt;='계산 과정'!$D$12/2),1,0)),"")</x:f>
        <x:v>1</x:v>
      </x:c>
      <x:c r="N546" s="17" t="n">
        <x:f>IF('계산 과정'!$C$78,IF(AND(ISNUMBER(H546),ISNUMBER(I546),ABS(H546-'계산 과정'!$C$88)&lt;='계산 과정'!$D$23/2,ABS(I546-'계산 과정'!$C$89)&lt;='계산 과정'!$D$24/2),1,0),"")</x:f>
        <x:v>1</x:v>
      </x:c>
      <x:c r="O546" s="4" t="n">
        <x:f>IF('계산 과정'!$L$7,'계산 과정'!$C$49*('계산 과정'!$C$32-D546)+'계산 과정'!$D$49*('계산 과정'!$D$32-E546)+'계산 과정'!$E$49*'계산 과정'!$E$32,"")</x:f>
        <x:v>-3.983647906683643</x:v>
      </x:c>
      <x:c r="P546" s="4" t="n">
        <x:f>IF(AND('계산 과정'!$L$7,O546&lt;&gt;0),('계산 과정'!$L$23-'계산 과정'!$C$49*D546-'계산 과정'!$D$49*E546)/O546,"")</x:f>
        <x:v>-99.41048038630423</x:v>
      </x:c>
      <x:c r="Q546" s="4" t="str">
        <x:f>IF(AND(ISNUMBER(P546),P546&gt;1E-9,P546&lt;1-1E-9),'계산 과정'!$C$47*(D546-'계산 과정'!$C$50+P546*('계산 과정'!$C$32-D546))+'계산 과정'!$D$47*(E546-'계산 과정'!$D$50+P546*('계산 과정'!$D$32-E546))+'계산 과정'!$E$47*(0-'계산 과정'!$E$50+P546*('계산 과정'!$E$32-0)),"")</x:f>
      </x:c>
      <x:c r="R546" s="4" t="str">
        <x:f>IF(AND(ISNUMBER(P546),P546&gt;1E-9,P546&lt;1-1E-9),'계산 과정'!$C$48*(D546-'계산 과정'!$C$50+P546*('계산 과정'!$C$32-D546))+'계산 과정'!$D$48*(E546-'계산 과정'!$D$50+P546*('계산 과정'!$D$32-E546))+'계산 과정'!$E$48*(0-'계산 과정'!$E$50+P546*('계산 과정'!$E$32-0)),"")</x:f>
      </x:c>
      <x:c r="S546" s="17" t="n">
        <x:f>IF('계산 과정'!$C$78,IF(AND(ISNUMBER(Q546),ISNUMBER(R546),ABS(Q546-'계산 과정'!$C$88)&lt;='계산 과정'!$D$23/2,ABS(R546-'계산 과정'!$C$89)&lt;='계산 과정'!$D$24/2),1,0),"")</x:f>
        <x:v>0</x:v>
      </x:c>
      <x:c r="T546" s="4"/>
      <x:c r="U546" s="4"/>
      <x:c r="V546" s="4"/>
      <x:c r="W546" s="4" t="n">
        <x:f>IF('계산 과정'!$C$78,'계산 과정'!$C$88+1*'계산 과정'!$C$90/2,"")</x:f>
        <x:v>209.7478582953745</x:v>
      </x:c>
      <x:c r="X546" s="4" t="str">
        <x:f>""</x:f>
      </x:c>
      <x:c r="Y546" s="4" t="str">
        <x:f>""</x:f>
      </x:c>
      <x:c r="Z546" s="4" t="n">
        <x:f>IF('계산 과정'!$C$78,'계산 과정'!$C$89+0.9199999999999999*'계산 과정'!$C$91/2,"")</x:f>
        <x:v>230.55160468466352</x:v>
      </x:c>
    </x:row>
    <x:row r="547" ht="23" customHeight="1">
      <x:c r="A547" s="17" t="n">
        <x:f>ROW()-6</x:f>
        <x:v>541</x:v>
      </x:c>
      <x:c r="B547" s="4" t="n">
        <x:f>IF('계산 과정'!$L$5,'계산 과정'!$L$11*SQRT((A547+0.5)/'계산 과정'!$L$30),"")</x:f>
        <x:v>77.13038752455157</x:v>
      </x:c>
      <x:c r="C547" s="4" t="n">
        <x:f>A547*PI()*(3-SQRT(5))</x:f>
        <x:v>1298.3801072832011</x:v>
      </x:c>
      <x:c r="D547" s="4" t="n">
        <x:f>IF('계산 과정'!$L$5,B547*COS(C547),"")</x:f>
        <x:v>-47.8034260127905</x:v>
      </x:c>
      <x:c r="E547" s="4" t="n">
        <x:f>IF('계산 과정'!$L$5,B547*SIN(C547),"")</x:f>
        <x:v>-60.53039848809162</x:v>
      </x:c>
      <x:c r="F547" s="4" t="n">
        <x:f>IF('계산 과정'!$L$7,'계산 과정'!$L$22+'계산 과정'!$C$49*D547+'계산 과정'!$D$49*E547,"")</x:f>
        <x:v>683.8021266975936</x:v>
      </x:c>
      <x:c r="G547" s="4" t="n">
        <x:f>IF('계산 과정'!$L$7,IF(ABS(F547)&gt;=1E-12*MAX(1,SQRT((D547-'계산 과정'!$C$33)^2+(E547-'계산 과정'!$D$33)^2+'계산 과정'!$E$33^2)),('계산 과정'!$L$23-'계산 과정'!$C$49*D547-'계산 과정'!$D$49*E547)/F547,""),"")</x:f>
        <x:v>0.5355319309563287</x:v>
      </x:c>
      <x:c r="H547" s="4" t="n">
        <x:f>IF(AND(ISNUMBER(G547),G547&gt;0),('계산 과정'!$D$56+'계산 과정'!$D$57*D547+'계산 과정'!$D$58*E547)/F547,"")</x:f>
        <x:v>-51.904244878386436</x:v>
      </x:c>
      <x:c r="I547" s="4" t="n">
        <x:f>IF(AND(ISNUMBER(G547),G547&gt;0),('계산 과정'!$E$56+'계산 과정'!$E$57*D547+'계산 과정'!$E$58*E547)/F547,"")</x:f>
        <x:v>-92.94635967197536</x:v>
      </x:c>
      <x:c r="J547" s="4" t="n">
        <x:f>IF('계산 과정'!$L$5,'계산 과정'!$D$6+'계산 과정'!$C$35*D547+'계산 과정'!$D$35*E547,"")</x:f>
        <x:v>683.8021266975936</x:v>
      </x:c>
      <x:c r="K547" s="4" t="n">
        <x:f>IF(AND('계산 과정'!$L$6,J547&gt;0),'계산 과정'!$D$10*('계산 과정'!$C$38*(D547-'계산 과정'!$C$32)+'계산 과정'!$D$38*(E547-'계산 과정'!$D$32)-'계산 과정'!$E$38*'계산 과정'!$E$32)/J547,"")</x:f>
        <x:v>-0.3954609133591338</x:v>
      </x:c>
      <x:c r="L547" s="4" t="n">
        <x:f>IF(AND('계산 과정'!$L$6,J547&gt;0),'계산 과정'!$D$10*('계산 과정'!$C$39*(D547-'계산 과정'!$C$32)+'계산 과정'!$D$39*(E547-'계산 과정'!$D$32)-'계산 과정'!$E$39*'계산 과정'!$E$32)/J547,"")</x:f>
        <x:v>-0.7081627403579075</x:v>
      </x:c>
      <x:c r="M547" s="17" t="n">
        <x:f>IF('계산 과정'!$L$6,IF(J547&lt;=0,0,IF(AND(ABS(K547)&lt;='계산 과정'!$D$11/2,ABS(L547)&lt;='계산 과정'!$D$12/2),1,0)),"")</x:f>
        <x:v>1</x:v>
      </x:c>
      <x:c r="N547" s="17" t="n">
        <x:f>IF('계산 과정'!$C$78,IF(AND(ISNUMBER(H547),ISNUMBER(I547),ABS(H547-'계산 과정'!$C$88)&lt;='계산 과정'!$D$23/2,ABS(I547-'계산 과정'!$C$89)&lt;='계산 과정'!$D$24/2),1,0),"")</x:f>
        <x:v>1</x:v>
      </x:c>
      <x:c r="O547" s="4" t="n">
        <x:f>IF('계산 과정'!$L$7,'계산 과정'!$C$49*('계산 과정'!$C$32-D547)+'계산 과정'!$D$49*('계산 과정'!$D$32-E547)+'계산 과정'!$E$49*'계산 과정'!$E$32,"")</x:f>
        <x:v>-33.80212669759345</x:v>
      </x:c>
      <x:c r="P547" s="4" t="n">
        <x:f>IF(AND('계산 과정'!$L$7,O547&lt;&gt;0),('계산 과정'!$L$23-'계산 과정'!$C$49*D547-'계산 과정'!$D$49*E547)/O547,"")</x:f>
        <x:v>-10.833574957533012</x:v>
      </x:c>
      <x:c r="Q547" s="4" t="str">
        <x:f>IF(AND(ISNUMBER(P547),P547&gt;1E-9,P547&lt;1-1E-9),'계산 과정'!$C$47*(D547-'계산 과정'!$C$50+P547*('계산 과정'!$C$32-D547))+'계산 과정'!$D$47*(E547-'계산 과정'!$D$50+P547*('계산 과정'!$D$32-E547))+'계산 과정'!$E$47*(0-'계산 과정'!$E$50+P547*('계산 과정'!$E$32-0)),"")</x:f>
      </x:c>
      <x:c r="R547" s="4" t="str">
        <x:f>IF(AND(ISNUMBER(P547),P547&gt;1E-9,P547&lt;1-1E-9),'계산 과정'!$C$48*(D547-'계산 과정'!$C$50+P547*('계산 과정'!$C$32-D547))+'계산 과정'!$D$48*(E547-'계산 과정'!$D$50+P547*('계산 과정'!$D$32-E547))+'계산 과정'!$E$48*(0-'계산 과정'!$E$50+P547*('계산 과정'!$E$32-0)),"")</x:f>
      </x:c>
      <x:c r="S547" s="17" t="n">
        <x:f>IF('계산 과정'!$C$78,IF(AND(ISNUMBER(Q547),ISNUMBER(R547),ABS(Q547-'계산 과정'!$C$88)&lt;='계산 과정'!$D$23/2,ABS(R547-'계산 과정'!$C$89)&lt;='계산 과정'!$D$24/2),1,0),"")</x:f>
        <x:v>0</x:v>
      </x:c>
      <x:c r="T547" s="4"/>
      <x:c r="U547" s="4"/>
      <x:c r="V547" s="4"/>
      <x:c r="W547" s="4" t="n">
        <x:f>IF('계산 과정'!$C$78,'계산 과정'!$C$88+1*'계산 과정'!$C$90/2,"")</x:f>
        <x:v>209.7478582953745</x:v>
      </x:c>
      <x:c r="X547" s="4" t="str">
        <x:f>""</x:f>
      </x:c>
      <x:c r="Y547" s="4" t="str">
        <x:f>""</x:f>
      </x:c>
      <x:c r="Z547" s="4" t="n">
        <x:f>IF('계산 과정'!$C$78,'계산 과정'!$C$89+0.96*'계산 과정'!$C$91/2,"")</x:f>
        <x:v>240.5755874970402</x:v>
      </x:c>
    </x:row>
    <x:row r="548" ht="23" customHeight="1">
      <x:c r="A548" s="17" t="n">
        <x:f>ROW()-6</x:f>
        <x:v>542</x:v>
      </x:c>
      <x:c r="B548" s="4" t="n">
        <x:f>IF('계산 과정'!$L$5,'계산 과정'!$L$11*SQRT((A548+0.5)/'계산 과정'!$L$30),"")</x:f>
        <x:v>77.20157386875283</x:v>
      </x:c>
      <x:c r="C548" s="4" t="n">
        <x:f>A548*PI()*(3-SQRT(5))</x:f>
        <x:v>1300.7800705129298</x:v>
      </x:c>
      <x:c r="D548" s="4" t="n">
        <x:f>IF('계산 과정'!$L$5,B548*COS(C548),"")</x:f>
        <x:v>76.20672430306874</x:v>
      </x:c>
      <x:c r="E548" s="4" t="n">
        <x:f>IF('계산 과정'!$L$5,B548*SIN(C548),"")</x:f>
        <x:v>12.353873028672943</x:v>
      </x:c>
      <x:c r="F548" s="4" t="n">
        <x:f>IF('계산 과정'!$L$7,'계산 과정'!$L$22+'계산 과정'!$C$49*D548+'계산 과정'!$D$49*E548,"")</x:f>
        <x:v>596.1137084732865</x:v>
      </x:c>
      <x:c r="G548" s="4" t="n">
        <x:f>IF('계산 과정'!$L$7,IF(ABS(F548)&gt;=1E-12*MAX(1,SQRT((D548-'계산 과정'!$C$33)^2+(E548-'계산 과정'!$D$33)^2+'계산 과정'!$E$33^2)),('계산 과정'!$L$23-'계산 과정'!$C$49*D548-'계산 과정'!$D$49*E548)/F548,""),"")</x:f>
        <x:v>0.7614089142307545</x:v>
      </x:c>
      <x:c r="H548" s="4" t="n">
        <x:f>IF(AND(ISNUMBER(G548),G548&gt;0),('계산 과정'!$D$56+'계산 과정'!$D$57*D548+'계산 과정'!$D$58*E548)/F548,"")</x:f>
        <x:v>94.91579424999037</x:v>
      </x:c>
      <x:c r="I548" s="4" t="n">
        <x:f>IF(AND(ISNUMBER(G548),G548&gt;0),('계산 과정'!$E$56+'계산 과정'!$E$57*D548+'계산 과정'!$E$58*E548)/F548,"")</x:f>
        <x:v>21.76022207797941</x:v>
      </x:c>
      <x:c r="J548" s="4" t="n">
        <x:f>IF('계산 과정'!$L$5,'계산 과정'!$D$6+'계산 과정'!$C$35*D548+'계산 과정'!$D$35*E548,"")</x:f>
        <x:v>596.1137084732865</x:v>
      </x:c>
      <x:c r="K548" s="4" t="n">
        <x:f>IF(AND('계산 과정'!$L$6,J548&gt;0),'계산 과정'!$D$10*('계산 과정'!$C$38*(D548-'계산 과정'!$C$32)+'계산 과정'!$D$38*(E548-'계산 과정'!$D$32)-'계산 과정'!$E$38*'계산 과정'!$E$32)/J548,"")</x:f>
        <x:v>0.7231679561904037</x:v>
      </x:c>
      <x:c r="L548" s="4" t="n">
        <x:f>IF(AND('계산 과정'!$L$6,J548&gt;0),'계산 과정'!$D$10*('계산 과정'!$C$39*(D548-'계산 과정'!$C$32)+'계산 과정'!$D$39*(E548-'계산 과정'!$D$32)-'계산 과정'!$E$39*'계산 과정'!$E$32)/J548,"")</x:f>
        <x:v>0.16579216821317647</x:v>
      </x:c>
      <x:c r="M548" s="17" t="n">
        <x:f>IF('계산 과정'!$L$6,IF(J548&lt;=0,0,IF(AND(ABS(K548)&lt;='계산 과정'!$D$11/2,ABS(L548)&lt;='계산 과정'!$D$12/2),1,0)),"")</x:f>
        <x:v>1</x:v>
      </x:c>
      <x:c r="N548" s="17" t="n">
        <x:f>IF('계산 과정'!$C$78,IF(AND(ISNUMBER(H548),ISNUMBER(I548),ABS(H548-'계산 과정'!$C$88)&lt;='계산 과정'!$D$23/2,ABS(I548-'계산 과정'!$C$89)&lt;='계산 과정'!$D$24/2),1,0),"")</x:f>
        <x:v>1</x:v>
      </x:c>
      <x:c r="O548" s="4" t="n">
        <x:f>IF('계산 과정'!$L$7,'계산 과정'!$C$49*('계산 과정'!$C$32-D548)+'계산 과정'!$D$49*('계산 과정'!$D$32-E548)+'계산 과정'!$E$49*'계산 과정'!$E$32,"")</x:f>
        <x:v>53.886291526713705</x:v>
      </x:c>
      <x:c r="P548" s="4" t="n">
        <x:f>IF(AND('계산 과정'!$L$7,O548&lt;&gt;0),('계산 과정'!$L$23-'계산 과정'!$C$49*D548-'계산 과정'!$D$49*E548)/O548,"")</x:f>
        <x:v>8.423038191479609</x:v>
      </x:c>
      <x:c r="Q548" s="4" t="str">
        <x:f>IF(AND(ISNUMBER(P548),P548&gt;1E-9,P548&lt;1-1E-9),'계산 과정'!$C$47*(D548-'계산 과정'!$C$50+P548*('계산 과정'!$C$32-D548))+'계산 과정'!$D$47*(E548-'계산 과정'!$D$50+P548*('계산 과정'!$D$32-E548))+'계산 과정'!$E$47*(0-'계산 과정'!$E$50+P548*('계산 과정'!$E$32-0)),"")</x:f>
      </x:c>
      <x:c r="R548" s="4" t="str">
        <x:f>IF(AND(ISNUMBER(P548),P548&gt;1E-9,P548&lt;1-1E-9),'계산 과정'!$C$48*(D548-'계산 과정'!$C$50+P548*('계산 과정'!$C$32-D548))+'계산 과정'!$D$48*(E548-'계산 과정'!$D$50+P548*('계산 과정'!$D$32-E548))+'계산 과정'!$E$48*(0-'계산 과정'!$E$50+P548*('계산 과정'!$E$32-0)),"")</x:f>
      </x:c>
      <x:c r="S548" s="17" t="n">
        <x:f>IF('계산 과정'!$C$78,IF(AND(ISNUMBER(Q548),ISNUMBER(R548),ABS(Q548-'계산 과정'!$C$88)&lt;='계산 과정'!$D$23/2,ABS(R548-'계산 과정'!$C$89)&lt;='계산 과정'!$D$24/2),1,0),"")</x:f>
        <x:v>0</x:v>
      </x:c>
      <x:c r="T548" s="4"/>
      <x:c r="U548" s="4"/>
      <x:c r="V548" s="4"/>
      <x:c r="W548" s="4" t="n">
        <x:f>IF('계산 과정'!$C$78,'계산 과정'!$C$88+1*'계산 과정'!$C$90/2,"")</x:f>
        <x:v>209.7478582953745</x:v>
      </x:c>
      <x:c r="X548" s="4" t="str">
        <x:f>""</x:f>
      </x:c>
      <x:c r="Y548" s="4" t="str">
        <x:f>""</x:f>
      </x:c>
      <x:c r="Z548" s="4" t="n">
        <x:f>IF('계산 과정'!$C$78,'계산 과정'!$C$89+1*'계산 과정'!$C$91/2,"")</x:f>
        <x:v>250.5995703094169</x:v>
      </x:c>
    </x:row>
    <x:row r="549" ht="23" customHeight="1">
      <x:c r="A549" s="17" t="n">
        <x:f>ROW()-6</x:f>
        <x:v>543</x:v>
      </x:c>
      <x:c r="B549" s="4" t="n">
        <x:f>IF('계산 과정'!$L$5,'계산 과정'!$L$11*SQRT((A549+0.5)/'계산 과정'!$L$30),"")</x:f>
        <x:v>77.27269463359939</x:v>
      </x:c>
      <x:c r="C549" s="4" t="n">
        <x:f>A549*PI()*(3-SQRT(5))</x:f>
        <x:v>1303.1800337426585</x:v>
      </x:c>
      <x:c r="D549" s="4" t="n">
        <x:f>IF('계산 과정'!$L$5,B549*COS(C549),"")</x:f>
        <x:v>-64.59684220692024</x:v>
      </x:c>
      <x:c r="E549" s="4" t="n">
        <x:f>IF('계산 과정'!$L$5,B549*SIN(C549),"")</x:f>
        <x:v>42.40657157601575</x:v>
      </x:c>
      <x:c r="F549" s="4" t="n">
        <x:f>IF('계산 과정'!$L$7,'계산 과정'!$L$22+'계산 과정'!$C$49*D549+'계산 과정'!$D$49*E549,"")</x:f>
        <x:v>695.6768651677506</x:v>
      </x:c>
      <x:c r="G549" s="4" t="n">
        <x:f>IF('계산 과정'!$L$7,IF(ABS(F549)&gt;=1E-12*MAX(1,SQRT((D549-'계산 과정'!$C$33)^2+(E549-'계산 과정'!$D$33)^2+'계산 과정'!$E$33^2)),('계산 과정'!$L$23-'계산 과정'!$C$49*D549-'계산 과정'!$D$49*E549)/F549,""),"")</x:f>
        <x:v>0.5093214286302453</x:v>
      </x:c>
      <x:c r="H549" s="4" t="n">
        <x:f>IF(AND(ISNUMBER(G549),G549&gt;0),('계산 과정'!$D$56+'계산 과정'!$D$57*D549+'계산 과정'!$D$58*E549)/F549,"")</x:f>
        <x:v>-68.9410713903407</x:v>
      </x:c>
      <x:c r="I549" s="4" t="n">
        <x:f>IF(AND(ISNUMBER(G549),G549&gt;0),('계산 과정'!$E$56+'계산 과정'!$E$57*D549+'계산 과정'!$E$58*E549)/F549,"")</x:f>
        <x:v>64.00514719442285</x:v>
      </x:c>
      <x:c r="J549" s="4" t="n">
        <x:f>IF('계산 과정'!$L$5,'계산 과정'!$D$6+'계산 과정'!$C$35*D549+'계산 과정'!$D$35*E549,"")</x:f>
        <x:v>695.6768651677506</x:v>
      </x:c>
      <x:c r="K549" s="4" t="n">
        <x:f>IF(AND('계산 과정'!$L$6,J549&gt;0),'계산 과정'!$D$10*('계산 과정'!$C$38*(D549-'계산 과정'!$C$32)+'계산 과정'!$D$38*(E549-'계산 과정'!$D$32)-'계산 과정'!$E$38*'계산 과정'!$E$32)/J549,"")</x:f>
        <x:v>-0.5252653058311656</x:v>
      </x:c>
      <x:c r="L549" s="4" t="n">
        <x:f>IF(AND('계산 과정'!$L$6,J549&gt;0),'계산 과정'!$D$10*('계산 과정'!$C$39*(D549-'계산 과정'!$C$32)+'계산 과정'!$D$39*(E549-'계산 과정'!$D$32)-'계산 과정'!$E$39*'계산 과정'!$E$32)/J549,"")</x:f>
        <x:v>0.4876582643384598</x:v>
      </x:c>
      <x:c r="M549" s="17" t="n">
        <x:f>IF('계산 과정'!$L$6,IF(J549&lt;=0,0,IF(AND(ABS(K549)&lt;='계산 과정'!$D$11/2,ABS(L549)&lt;='계산 과정'!$D$12/2),1,0)),"")</x:f>
        <x:v>1</x:v>
      </x:c>
      <x:c r="N549" s="17" t="n">
        <x:f>IF('계산 과정'!$C$78,IF(AND(ISNUMBER(H549),ISNUMBER(I549),ABS(H549-'계산 과정'!$C$88)&lt;='계산 과정'!$D$23/2,ABS(I549-'계산 과정'!$C$89)&lt;='계산 과정'!$D$24/2),1,0),"")</x:f>
        <x:v>1</x:v>
      </x:c>
      <x:c r="O549" s="4" t="n">
        <x:f>IF('계산 과정'!$L$7,'계산 과정'!$C$49*('계산 과정'!$C$32-D549)+'계산 과정'!$D$49*('계산 과정'!$D$32-E549)+'계산 과정'!$E$49*'계산 과정'!$E$32,"")</x:f>
        <x:v>-45.67686516775052</x:v>
      </x:c>
      <x:c r="P549" s="4" t="n">
        <x:f>IF(AND('계산 과정'!$L$7,O549&lt;&gt;0),('계산 과정'!$L$23-'계산 과정'!$C$49*D549-'계산 과정'!$D$49*E549)/O549,"")</x:f>
        <x:v>-7.757168394349749</x:v>
      </x:c>
      <x:c r="Q549" s="4" t="str">
        <x:f>IF(AND(ISNUMBER(P549),P549&gt;1E-9,P549&lt;1-1E-9),'계산 과정'!$C$47*(D549-'계산 과정'!$C$50+P549*('계산 과정'!$C$32-D549))+'계산 과정'!$D$47*(E549-'계산 과정'!$D$50+P549*('계산 과정'!$D$32-E549))+'계산 과정'!$E$47*(0-'계산 과정'!$E$50+P549*('계산 과정'!$E$32-0)),"")</x:f>
      </x:c>
      <x:c r="R549" s="4" t="str">
        <x:f>IF(AND(ISNUMBER(P549),P549&gt;1E-9,P549&lt;1-1E-9),'계산 과정'!$C$48*(D549-'계산 과정'!$C$50+P549*('계산 과정'!$C$32-D549))+'계산 과정'!$D$48*(E549-'계산 과정'!$D$50+P549*('계산 과정'!$D$32-E549))+'계산 과정'!$E$48*(0-'계산 과정'!$E$50+P549*('계산 과정'!$E$32-0)),"")</x:f>
      </x:c>
      <x:c r="S549" s="17" t="n">
        <x:f>IF('계산 과정'!$C$78,IF(AND(ISNUMBER(Q549),ISNUMBER(R549),ABS(Q549-'계산 과정'!$C$88)&lt;='계산 과정'!$D$23/2,ABS(R549-'계산 과정'!$C$89)&lt;='계산 과정'!$D$24/2),1,0),"")</x:f>
        <x:v>0</x:v>
      </x:c>
      <x:c r="T549" s="4"/>
      <x:c r="U549" s="4"/>
      <x:c r="V549" s="4"/>
      <x:c r="W549" s="4" t="n">
        <x:f>IF('계산 과정'!$C$78,'계산 과정'!$C$88+0.96*'계산 과정'!$C$90/2,"")</x:f>
        <x:v>202.50688013377228</x:v>
      </x:c>
      <x:c r="X549" s="4" t="str">
        <x:f>""</x:f>
      </x:c>
      <x:c r="Y549" s="4" t="str">
        <x:f>""</x:f>
      </x:c>
      <x:c r="Z549" s="4" t="n">
        <x:f>IF('계산 과정'!$C$78,'계산 과정'!$C$89+1*'계산 과정'!$C$91/2,"")</x:f>
        <x:v>250.5995703094169</x:v>
      </x:c>
    </x:row>
    <x:row r="550" ht="23" customHeight="1">
      <x:c r="A550" s="17" t="n">
        <x:f>ROW()-6</x:f>
        <x:v>544</x:v>
      </x:c>
      <x:c r="B550" s="4" t="n">
        <x:f>IF('계산 과정'!$L$5,'계산 과정'!$L$11*SQRT((A550+0.5)/'계산 과정'!$L$30),"")</x:f>
        <x:v>77.34375</x:v>
      </x:c>
      <x:c r="C550" s="4" t="n">
        <x:f>A550*PI()*(3-SQRT(5))</x:f>
        <x:v>1305.5799969723873</x:v>
      </x:c>
      <x:c r="D550" s="4" t="n">
        <x:f>IF('계산 과정'!$L$5,B550*COS(C550),"")</x:f>
        <x:v>19.00393238297554</x:v>
      </x:c>
      <x:c r="E550" s="4" t="n">
        <x:f>IF('계산 과정'!$L$5,B550*SIN(C550),"")</x:f>
        <x:v>-74.97270315285286</x:v>
      </x:c>
      <x:c r="F550" s="4" t="n">
        <x:f>IF('계산 과정'!$L$7,'계산 과정'!$L$22+'계산 과정'!$C$49*D550+'계산 과정'!$D$49*E550,"")</x:f>
        <x:v>636.5621905427873</x:v>
      </x:c>
      <x:c r="G550" s="4" t="n">
        <x:f>IF('계산 과정'!$L$7,IF(ABS(F550)&gt;=1E-12*MAX(1,SQRT((D550-'계산 과정'!$C$33)^2+(E550-'계산 과정'!$D$33)^2+'계산 과정'!$E$33^2)),('계산 과정'!$L$23-'계산 과정'!$C$49*D550-'계산 과정'!$D$49*E550)/F550,""),"")</x:f>
        <x:v>0.6494853379599568</x:v>
      </x:c>
      <x:c r="H550" s="4" t="n">
        <x:f>IF(AND(ISNUMBER(G550),G550&gt;0),('계산 과정'!$D$56+'계산 과정'!$D$57*D550+'계산 과정'!$D$58*E550)/F550,"")</x:f>
        <x:v>22.165469673971767</x:v>
      </x:c>
      <x:c r="I550" s="4" t="n">
        <x:f>IF(AND(ISNUMBER(G550),G550&gt;0),('계산 과정'!$E$56+'계산 과정'!$E$57*D550+'계산 과정'!$E$58*E550)/F550,"")</x:f>
        <x:v>-123.66637459785501</x:v>
      </x:c>
      <x:c r="J550" s="4" t="n">
        <x:f>IF('계산 과정'!$L$5,'계산 과정'!$D$6+'계산 과정'!$C$35*D550+'계산 과정'!$D$35*E550,"")</x:f>
        <x:v>636.5621905427873</x:v>
      </x:c>
      <x:c r="K550" s="4" t="n">
        <x:f>IF(AND('계산 과정'!$L$6,J550&gt;0),'계산 과정'!$D$10*('계산 과정'!$C$38*(D550-'계산 과정'!$C$32)+'계산 과정'!$D$38*(E550-'계산 과정'!$D$32)-'계산 과정'!$E$38*'계산 과정'!$E$32)/J550,"")</x:f>
        <x:v>0.1688797689445481</x:v>
      </x:c>
      <x:c r="L550" s="4" t="n">
        <x:f>IF(AND('계산 과정'!$L$6,J550&gt;0),'계산 과정'!$D$10*('계산 과정'!$C$39*(D550-'계산 과정'!$C$32)+'계산 과정'!$D$39*(E550-'계산 과정'!$D$32)-'계산 과정'!$E$39*'계산 과정'!$E$32)/J550,"")</x:f>
        <x:v>-0.9422199969360382</x:v>
      </x:c>
      <x:c r="M550" s="17" t="n">
        <x:f>IF('계산 과정'!$L$6,IF(J550&lt;=0,0,IF(AND(ABS(K550)&lt;='계산 과정'!$D$11/2,ABS(L550)&lt;='계산 과정'!$D$12/2),1,0)),"")</x:f>
        <x:v>1</x:v>
      </x:c>
      <x:c r="N550" s="17" t="n">
        <x:f>IF('계산 과정'!$C$78,IF(AND(ISNUMBER(H550),ISNUMBER(I550),ABS(H550-'계산 과정'!$C$88)&lt;='계산 과정'!$D$23/2,ABS(I550-'계산 과정'!$C$89)&lt;='계산 과정'!$D$24/2),1,0),"")</x:f>
        <x:v>1</x:v>
      </x:c>
      <x:c r="O550" s="4" t="n">
        <x:f>IF('계산 과정'!$L$7,'계산 과정'!$C$49*('계산 과정'!$C$32-D550)+'계산 과정'!$D$49*('계산 과정'!$D$32-E550)+'계산 과정'!$E$49*'계산 과정'!$E$32,"")</x:f>
        <x:v>13.43780945721278</x:v>
      </x:c>
      <x:c r="P550" s="4" t="n">
        <x:f>IF(AND('계산 과정'!$L$7,O550&lt;&gt;0),('계산 과정'!$L$23-'계산 과정'!$C$49*D550-'계산 과정'!$D$49*E550)/O550,"")</x:f>
        <x:v>30.7667563507011</x:v>
      </x:c>
      <x:c r="Q550" s="4" t="str">
        <x:f>IF(AND(ISNUMBER(P550),P550&gt;1E-9,P550&lt;1-1E-9),'계산 과정'!$C$47*(D550-'계산 과정'!$C$50+P550*('계산 과정'!$C$32-D550))+'계산 과정'!$D$47*(E550-'계산 과정'!$D$50+P550*('계산 과정'!$D$32-E550))+'계산 과정'!$E$47*(0-'계산 과정'!$E$50+P550*('계산 과정'!$E$32-0)),"")</x:f>
      </x:c>
      <x:c r="R550" s="4" t="str">
        <x:f>IF(AND(ISNUMBER(P550),P550&gt;1E-9,P550&lt;1-1E-9),'계산 과정'!$C$48*(D550-'계산 과정'!$C$50+P550*('계산 과정'!$C$32-D550))+'계산 과정'!$D$48*(E550-'계산 과정'!$D$50+P550*('계산 과정'!$D$32-E550))+'계산 과정'!$E$48*(0-'계산 과정'!$E$50+P550*('계산 과정'!$E$32-0)),"")</x:f>
      </x:c>
      <x:c r="S550" s="17" t="n">
        <x:f>IF('계산 과정'!$C$78,IF(AND(ISNUMBER(Q550),ISNUMBER(R550),ABS(Q550-'계산 과정'!$C$88)&lt;='계산 과정'!$D$23/2,ABS(R550-'계산 과정'!$C$89)&lt;='계산 과정'!$D$24/2),1,0),"")</x:f>
        <x:v>0</x:v>
      </x:c>
      <x:c r="T550" s="4"/>
      <x:c r="U550" s="4"/>
      <x:c r="V550" s="4"/>
      <x:c r="W550" s="4" t="n">
        <x:f>IF('계산 과정'!$C$78,'계산 과정'!$C$88+0.92*'계산 과정'!$C$90/2,"")</x:f>
        <x:v>195.26590197217007</x:v>
      </x:c>
      <x:c r="X550" s="4" t="str">
        <x:f>""</x:f>
      </x:c>
      <x:c r="Y550" s="4" t="str">
        <x:f>""</x:f>
      </x:c>
      <x:c r="Z550" s="4" t="n">
        <x:f>IF('계산 과정'!$C$78,'계산 과정'!$C$89+1*'계산 과정'!$C$91/2,"")</x:f>
        <x:v>250.5995703094169</x:v>
      </x:c>
    </x:row>
    <x:row r="551" ht="23" customHeight="1">
      <x:c r="A551" s="17" t="n">
        <x:f>ROW()-6</x:f>
        <x:v>545</x:v>
      </x:c>
      <x:c r="B551" s="4" t="n">
        <x:f>IF('계산 과정'!$L$5,'계산 과정'!$L$11*SQRT((A551+0.5)/'계산 과정'!$L$30),"")</x:f>
        <x:v>77.41474014803318</x:v>
      </x:c>
      <x:c r="C551" s="4" t="n">
        <x:f>A551*PI()*(3-SQRT(5))</x:f>
        <x:v>1307.9799602021158</x:v>
      </x:c>
      <x:c r="D551" s="4" t="n">
        <x:f>IF('계산 과정'!$L$5,B551*COS(C551),"")</x:f>
        <x:v>36.66404633821551</x:v>
      </x:c>
      <x:c r="E551" s="4" t="n">
        <x:f>IF('계산 과정'!$L$5,B551*SIN(C551),"")</x:f>
        <x:v>68.18203354474466</x:v>
      </x:c>
      <x:c r="F551" s="4" t="n">
        <x:f>IF('계산 과정'!$L$7,'계산 과정'!$L$22+'계산 과정'!$C$49*D551+'계산 과정'!$D$49*E551,"")</x:f>
        <x:v>624.07460420851</x:v>
      </x:c>
      <x:c r="G551" s="4" t="n">
        <x:f>IF('계산 과정'!$L$7,IF(ABS(F551)&gt;=1E-12*MAX(1,SQRT((D551-'계산 과정'!$C$33)^2+(E551-'계산 과정'!$D$33)^2+'계산 과정'!$E$33^2)),('계산 과정'!$L$23-'계산 과정'!$C$49*D551-'계산 과정'!$D$49*E551)/F551,""),"")</x:f>
        <x:v>0.6824911523705967</x:v>
      </x:c>
      <x:c r="H551" s="4" t="n">
        <x:f>IF(AND(ISNUMBER(G551),G551&gt;0),('계산 과정'!$D$56+'계산 과정'!$D$57*D551+'계산 과정'!$D$58*E551)/F551,"")</x:f>
        <x:v>43.619249040887716</x:v>
      </x:c>
      <x:c r="I551" s="4" t="n">
        <x:f>IF(AND(ISNUMBER(G551),G551&gt;0),('계산 과정'!$E$56+'계산 과정'!$E$57*D551+'계산 과정'!$E$58*E551)/F551,"")</x:f>
        <x:v>114.71566818966812</x:v>
      </x:c>
      <x:c r="J551" s="4" t="n">
        <x:f>IF('계산 과정'!$L$5,'계산 과정'!$D$6+'계산 과정'!$C$35*D551+'계산 과정'!$D$35*E551,"")</x:f>
        <x:v>624.07460420851</x:v>
      </x:c>
      <x:c r="K551" s="4" t="n">
        <x:f>IF(AND('계산 과정'!$L$6,J551&gt;0),'계산 과정'!$D$10*('계산 과정'!$C$38*(D551-'계산 과정'!$C$32)+'계산 과정'!$D$38*(E551-'계산 과정'!$D$32)-'계산 과정'!$E$38*'계산 과정'!$E$32)/J551,"")</x:f>
        <x:v>0.3323371355496211</x:v>
      </x:c>
      <x:c r="L551" s="4" t="n">
        <x:f>IF(AND('계산 과정'!$L$6,J551&gt;0),'계산 과정'!$D$10*('계산 과정'!$C$39*(D551-'계산 과정'!$C$32)+'계산 과정'!$D$39*(E551-'계산 과정'!$D$32)-'계산 과정'!$E$39*'계산 과정'!$E$32)/J551,"")</x:f>
        <x:v>0.8740241385879476</x:v>
      </x:c>
      <x:c r="M551" s="17" t="n">
        <x:f>IF('계산 과정'!$L$6,IF(J551&lt;=0,0,IF(AND(ABS(K551)&lt;='계산 과정'!$D$11/2,ABS(L551)&lt;='계산 과정'!$D$12/2),1,0)),"")</x:f>
        <x:v>1</x:v>
      </x:c>
      <x:c r="N551" s="17" t="n">
        <x:f>IF('계산 과정'!$C$78,IF(AND(ISNUMBER(H551),ISNUMBER(I551),ABS(H551-'계산 과정'!$C$88)&lt;='계산 과정'!$D$23/2,ABS(I551-'계산 과정'!$C$89)&lt;='계산 과정'!$D$24/2),1,0),"")</x:f>
        <x:v>1</x:v>
      </x:c>
      <x:c r="O551" s="4" t="n">
        <x:f>IF('계산 과정'!$L$7,'계산 과정'!$C$49*('계산 과정'!$C$32-D551)+'계산 과정'!$D$49*('계산 과정'!$D$32-E551)+'계산 과정'!$E$49*'계산 과정'!$E$32,"")</x:f>
        <x:v>25.925395791490075</x:v>
      </x:c>
      <x:c r="P551" s="4" t="n">
        <x:f>IF(AND('계산 과정'!$L$7,O551&lt;&gt;0),('계산 과정'!$L$23-'계산 과정'!$C$49*D551-'계산 과정'!$D$49*E551)/O551,"")</x:f>
        <x:v>16.42888691910727</x:v>
      </x:c>
      <x:c r="Q551" s="4" t="str">
        <x:f>IF(AND(ISNUMBER(P551),P551&gt;1E-9,P551&lt;1-1E-9),'계산 과정'!$C$47*(D551-'계산 과정'!$C$50+P551*('계산 과정'!$C$32-D551))+'계산 과정'!$D$47*(E551-'계산 과정'!$D$50+P551*('계산 과정'!$D$32-E551))+'계산 과정'!$E$47*(0-'계산 과정'!$E$50+P551*('계산 과정'!$E$32-0)),"")</x:f>
      </x:c>
      <x:c r="R551" s="4" t="str">
        <x:f>IF(AND(ISNUMBER(P551),P551&gt;1E-9,P551&lt;1-1E-9),'계산 과정'!$C$48*(D551-'계산 과정'!$C$50+P551*('계산 과정'!$C$32-D551))+'계산 과정'!$D$48*(E551-'계산 과정'!$D$50+P551*('계산 과정'!$D$32-E551))+'계산 과정'!$E$48*(0-'계산 과정'!$E$50+P551*('계산 과정'!$E$32-0)),"")</x:f>
      </x:c>
      <x:c r="S551" s="17" t="n">
        <x:f>IF('계산 과정'!$C$78,IF(AND(ISNUMBER(Q551),ISNUMBER(R551),ABS(Q551-'계산 과정'!$C$88)&lt;='계산 과정'!$D$23/2,ABS(R551-'계산 과정'!$C$89)&lt;='계산 과정'!$D$24/2),1,0),"")</x:f>
        <x:v>0</x:v>
      </x:c>
      <x:c r="T551" s="4"/>
      <x:c r="U551" s="4"/>
      <x:c r="V551" s="4"/>
      <x:c r="W551" s="4" t="n">
        <x:f>IF('계산 과정'!$C$78,'계산 과정'!$C$88+0.88*'계산 과정'!$C$90/2,"")</x:f>
        <x:v>188.02492381056786</x:v>
      </x:c>
      <x:c r="X551" s="4" t="str">
        <x:f>""</x:f>
      </x:c>
      <x:c r="Y551" s="4" t="str">
        <x:f>""</x:f>
      </x:c>
      <x:c r="Z551" s="4" t="n">
        <x:f>IF('계산 과정'!$C$78,'계산 과정'!$C$89+1*'계산 과정'!$C$91/2,"")</x:f>
        <x:v>250.5995703094169</x:v>
      </x:c>
    </x:row>
    <x:row r="552" ht="23" customHeight="1">
      <x:c r="A552" s="17" t="n">
        <x:f>ROW()-6</x:f>
        <x:v>546</x:v>
      </x:c>
      <x:c r="B552" s="4" t="n">
        <x:f>IF('계산 과정'!$L$5,'계산 과정'!$L$11*SQRT((A552+0.5)/'계산 과정'!$L$30),"")</x:f>
        <x:v>77.48566525695253</x:v>
      </x:c>
      <x:c r="C552" s="4" t="n">
        <x:f>A552*PI()*(3-SQRT(5))</x:f>
        <x:v>1310.3799234318446</x:v>
      </x:c>
      <x:c r="D552" s="4" t="n">
        <x:f>IF('계산 과정'!$L$5,B552*COS(C552),"")</x:f>
        <x:v>-73.1581926514705</x:v>
      </x:c>
      <x:c r="E552" s="4" t="n">
        <x:f>IF('계산 과정'!$L$5,B552*SIN(C552),"")</x:f>
        <x:v>-25.53247281958464</x:v>
      </x:c>
      <x:c r="F552" s="4" t="n">
        <x:f>IF('계산 과정'!$L$7,'계산 과정'!$L$22+'계산 과정'!$C$49*D552+'계산 과정'!$D$49*E552,"")</x:f>
        <x:v>701.7306541232066</x:v>
      </x:c>
      <x:c r="G552" s="4" t="n">
        <x:f>IF('계산 과정'!$L$7,IF(ABS(F552)&gt;=1E-12*MAX(1,SQRT((D552-'계산 과정'!$C$33)^2+(E552-'계산 과정'!$D$33)^2+'계산 과정'!$E$33^2)),('계산 과정'!$L$23-'계산 과정'!$C$49*D552-'계산 과정'!$D$49*E552)/F552,""),"")</x:f>
        <x:v>0.4963006017058588</x:v>
      </x:c>
      <x:c r="H552" s="4" t="n">
        <x:f>IF(AND(ISNUMBER(G552),G552&gt;0),('계산 과정'!$D$56+'계산 과정'!$D$57*D552+'계산 과정'!$D$58*E552)/F552,"")</x:f>
        <x:v>-77.40460889119188</x:v>
      </x:c>
      <x:c r="I552" s="4" t="n">
        <x:f>IF(AND(ISNUMBER(G552),G552&gt;0),('계산 과정'!$E$56+'계산 과정'!$E$57*D552+'계산 과정'!$E$58*E552)/F552,"")</x:f>
        <x:v>-38.204254442982986</x:v>
      </x:c>
      <x:c r="J552" s="4" t="n">
        <x:f>IF('계산 과정'!$L$5,'계산 과정'!$D$6+'계산 과정'!$C$35*D552+'계산 과정'!$D$35*E552,"")</x:f>
        <x:v>701.7306541232066</x:v>
      </x:c>
      <x:c r="K552" s="4" t="n">
        <x:f>IF(AND('계산 과정'!$L$6,J552&gt;0),'계산 과정'!$D$10*('계산 과정'!$C$38*(D552-'계산 과정'!$C$32)+'계산 과정'!$D$38*(E552-'계산 과정'!$D$32)-'계산 과정'!$E$38*'계산 과정'!$E$32)/J552,"")</x:f>
        <x:v>-0.5897494010757462</x:v>
      </x:c>
      <x:c r="L552" s="4" t="n">
        <x:f>IF(AND('계산 과정'!$L$6,J552&gt;0),'계산 과정'!$D$10*('계산 과정'!$C$39*(D552-'계산 과정'!$C$32)+'계산 과정'!$D$39*(E552-'계산 과정'!$D$32)-'계산 과정'!$E$39*'계산 과정'!$E$32)/J552,"")</x:f>
        <x:v>-0.29108003385129894</x:v>
      </x:c>
      <x:c r="M552" s="17" t="n">
        <x:f>IF('계산 과정'!$L$6,IF(J552&lt;=0,0,IF(AND(ABS(K552)&lt;='계산 과정'!$D$11/2,ABS(L552)&lt;='계산 과정'!$D$12/2),1,0)),"")</x:f>
        <x:v>1</x:v>
      </x:c>
      <x:c r="N552" s="17" t="n">
        <x:f>IF('계산 과정'!$C$78,IF(AND(ISNUMBER(H552),ISNUMBER(I552),ABS(H552-'계산 과정'!$C$88)&lt;='계산 과정'!$D$23/2,ABS(I552-'계산 과정'!$C$89)&lt;='계산 과정'!$D$24/2),1,0),"")</x:f>
        <x:v>1</x:v>
      </x:c>
      <x:c r="O552" s="4" t="n">
        <x:f>IF('계산 과정'!$L$7,'계산 과정'!$C$49*('계산 과정'!$C$32-D552)+'계산 과정'!$D$49*('계산 과정'!$D$32-E552)+'계산 과정'!$E$49*'계산 과정'!$E$32,"")</x:f>
        <x:v>-51.73065412320648</x:v>
      </x:c>
      <x:c r="P552" s="4" t="n">
        <x:f>IF(AND('계산 과정'!$L$7,O552&lt;&gt;0),('계산 과정'!$L$23-'계산 과정'!$C$49*D552-'계산 과정'!$D$49*E552)/O552,"")</x:f>
        <x:v>-6.732359212920894</x:v>
      </x:c>
      <x:c r="Q552" s="4" t="str">
        <x:f>IF(AND(ISNUMBER(P552),P552&gt;1E-9,P552&lt;1-1E-9),'계산 과정'!$C$47*(D552-'계산 과정'!$C$50+P552*('계산 과정'!$C$32-D552))+'계산 과정'!$D$47*(E552-'계산 과정'!$D$50+P552*('계산 과정'!$D$32-E552))+'계산 과정'!$E$47*(0-'계산 과정'!$E$50+P552*('계산 과정'!$E$32-0)),"")</x:f>
      </x:c>
      <x:c r="R552" s="4" t="str">
        <x:f>IF(AND(ISNUMBER(P552),P552&gt;1E-9,P552&lt;1-1E-9),'계산 과정'!$C$48*(D552-'계산 과정'!$C$50+P552*('계산 과정'!$C$32-D552))+'계산 과정'!$D$48*(E552-'계산 과정'!$D$50+P552*('계산 과정'!$D$32-E552))+'계산 과정'!$E$48*(0-'계산 과정'!$E$50+P552*('계산 과정'!$E$32-0)),"")</x:f>
      </x:c>
      <x:c r="S552" s="17" t="n">
        <x:f>IF('계산 과정'!$C$78,IF(AND(ISNUMBER(Q552),ISNUMBER(R552),ABS(Q552-'계산 과정'!$C$88)&lt;='계산 과정'!$D$23/2,ABS(R552-'계산 과정'!$C$89)&lt;='계산 과정'!$D$24/2),1,0),"")</x:f>
        <x:v>0</x:v>
      </x:c>
      <x:c r="T552" s="4"/>
      <x:c r="U552" s="4"/>
      <x:c r="V552" s="4"/>
      <x:c r="W552" s="4" t="n">
        <x:f>IF('계산 과정'!$C$78,'계산 과정'!$C$88+0.84*'계산 과정'!$C$90/2,"")</x:f>
        <x:v>180.7839456489656</x:v>
      </x:c>
      <x:c r="X552" s="4" t="str">
        <x:f>""</x:f>
      </x:c>
      <x:c r="Y552" s="4" t="str">
        <x:f>""</x:f>
      </x:c>
      <x:c r="Z552" s="4" t="n">
        <x:f>IF('계산 과정'!$C$78,'계산 과정'!$C$89+1*'계산 과정'!$C$91/2,"")</x:f>
        <x:v>250.5995703094169</x:v>
      </x:c>
    </x:row>
    <x:row r="553" ht="23" customHeight="1">
      <x:c r="A553" s="17" t="n">
        <x:f>ROW()-6</x:f>
        <x:v>547</x:v>
      </x:c>
      <x:c r="B553" s="4" t="n">
        <x:f>IF('계산 과정'!$L$5,'계산 과정'!$L$11*SQRT((A553+0.5)/'계산 과정'!$L$30),"")</x:f>
        <x:v>77.55652550519201</x:v>
      </x:c>
      <x:c r="C553" s="4" t="n">
        <x:f>A553*PI()*(3-SQRT(5))</x:f>
        <x:v>1312.779886661573</x:v>
      </x:c>
      <x:c r="D553" s="4" t="n">
        <x:f>IF('계산 과정'!$L$5,B553*COS(C553),"")</x:f>
        <x:v>71.25661629276544</x:v>
      </x:c>
      <x:c r="E553" s="4" t="n">
        <x:f>IF('계산 과정'!$L$5,B553*SIN(C553),"")</x:f>
        <x:v>-30.618773374240405</x:v>
      </x:c>
      <x:c r="F553" s="4" t="n">
        <x:f>IF('계산 과정'!$L$7,'계산 과정'!$L$22+'계산 과정'!$C$49*D553+'계산 과정'!$D$49*E553,"")</x:f>
        <x:v>599.6139634149778</x:v>
      </x:c>
      <x:c r="G553" s="4" t="n">
        <x:f>IF('계산 과정'!$L$7,IF(ABS(F553)&gt;=1E-12*MAX(1,SQRT((D553-'계산 과정'!$C$33)^2+(E553-'계산 과정'!$D$33)^2+'계산 과정'!$E$33^2)),('계산 과정'!$L$23-'계산 과정'!$C$49*D553-'계산 과정'!$D$49*E553)/F553,""),"")</x:f>
        <x:v>0.7511266649294513</x:v>
      </x:c>
      <x:c r="H553" s="4" t="n">
        <x:f>IF(AND(ISNUMBER(G553),G553&gt;0),('계산 과정'!$D$56+'계산 과정'!$D$57*D553+'계산 과정'!$D$58*E553)/F553,"")</x:f>
        <x:v>88.23233220414326</x:v>
      </x:c>
      <x:c r="I553" s="4" t="n">
        <x:f>IF(AND(ISNUMBER(G553),G553&gt;0),('계산 과정'!$E$56+'계산 과정'!$E$57*D553+'계산 과정'!$E$58*E553)/F553,"")</x:f>
        <x:v>-53.61735050306428</x:v>
      </x:c>
      <x:c r="J553" s="4" t="n">
        <x:f>IF('계산 과정'!$L$5,'계산 과정'!$D$6+'계산 과정'!$C$35*D553+'계산 과정'!$D$35*E553,"")</x:f>
        <x:v>599.6139634149778</x:v>
      </x:c>
      <x:c r="K553" s="4" t="n">
        <x:f>IF(AND('계산 과정'!$L$6,J553&gt;0),'계산 과정'!$D$10*('계산 과정'!$C$38*(D553-'계산 과정'!$C$32)+'계산 과정'!$D$38*(E553-'계산 과정'!$D$32)-'계산 과정'!$E$38*'계산 과정'!$E$32)/J553,"")</x:f>
        <x:v>0.6722463406029973</x:v>
      </x:c>
      <x:c r="L553" s="4" t="n">
        <x:f>IF(AND('계산 과정'!$L$6,J553&gt;0),'계산 과정'!$D$10*('계산 과정'!$C$39*(D553-'계산 과정'!$C$32)+'계산 과정'!$D$39*(E553-'계산 과정'!$D$32)-'계산 과정'!$E$39*'계산 과정'!$E$32)/J553,"")</x:f>
        <x:v>-0.40851314669001354</x:v>
      </x:c>
      <x:c r="M553" s="17" t="n">
        <x:f>IF('계산 과정'!$L$6,IF(J553&lt;=0,0,IF(AND(ABS(K553)&lt;='계산 과정'!$D$11/2,ABS(L553)&lt;='계산 과정'!$D$12/2),1,0)),"")</x:f>
        <x:v>1</x:v>
      </x:c>
      <x:c r="N553" s="17" t="n">
        <x:f>IF('계산 과정'!$C$78,IF(AND(ISNUMBER(H553),ISNUMBER(I553),ABS(H553-'계산 과정'!$C$88)&lt;='계산 과정'!$D$23/2,ABS(I553-'계산 과정'!$C$89)&lt;='계산 과정'!$D$24/2),1,0),"")</x:f>
        <x:v>1</x:v>
      </x:c>
      <x:c r="O553" s="4" t="n">
        <x:f>IF('계산 과정'!$L$7,'계산 과정'!$C$49*('계산 과정'!$C$32-D553)+'계산 과정'!$D$49*('계산 과정'!$D$32-E553)+'계산 과정'!$E$49*'계산 과정'!$E$32,"")</x:f>
        <x:v>50.386036585022396</x:v>
      </x:c>
      <x:c r="P553" s="4" t="n">
        <x:f>IF(AND('계산 과정'!$L$7,O553&lt;&gt;0),('계산 과정'!$L$23-'계산 과정'!$C$49*D553-'계산 과정'!$D$49*E553)/O553,"")</x:f>
        <x:v>8.938707370345194</x:v>
      </x:c>
      <x:c r="Q553" s="4" t="str">
        <x:f>IF(AND(ISNUMBER(P553),P553&gt;1E-9,P553&lt;1-1E-9),'계산 과정'!$C$47*(D553-'계산 과정'!$C$50+P553*('계산 과정'!$C$32-D553))+'계산 과정'!$D$47*(E553-'계산 과정'!$D$50+P553*('계산 과정'!$D$32-E553))+'계산 과정'!$E$47*(0-'계산 과정'!$E$50+P553*('계산 과정'!$E$32-0)),"")</x:f>
      </x:c>
      <x:c r="R553" s="4" t="str">
        <x:f>IF(AND(ISNUMBER(P553),P553&gt;1E-9,P553&lt;1-1E-9),'계산 과정'!$C$48*(D553-'계산 과정'!$C$50+P553*('계산 과정'!$C$32-D553))+'계산 과정'!$D$48*(E553-'계산 과정'!$D$50+P553*('계산 과정'!$D$32-E553))+'계산 과정'!$E$48*(0-'계산 과정'!$E$50+P553*('계산 과정'!$E$32-0)),"")</x:f>
      </x:c>
      <x:c r="S553" s="17" t="n">
        <x:f>IF('계산 과정'!$C$78,IF(AND(ISNUMBER(Q553),ISNUMBER(R553),ABS(Q553-'계산 과정'!$C$88)&lt;='계산 과정'!$D$23/2,ABS(R553-'계산 과정'!$C$89)&lt;='계산 과정'!$D$24/2),1,0),"")</x:f>
        <x:v>0</x:v>
      </x:c>
      <x:c r="T553" s="4"/>
      <x:c r="U553" s="4"/>
      <x:c r="V553" s="4"/>
      <x:c r="W553" s="4" t="n">
        <x:f>IF('계산 과정'!$C$78,'계산 과정'!$C$88+0.8*'계산 과정'!$C$90/2,"")</x:f>
        <x:v>173.5429674873634</x:v>
      </x:c>
      <x:c r="X553" s="4" t="str">
        <x:f>""</x:f>
      </x:c>
      <x:c r="Y553" s="4" t="str">
        <x:f>""</x:f>
      </x:c>
      <x:c r="Z553" s="4" t="n">
        <x:f>IF('계산 과정'!$C$78,'계산 과정'!$C$89+1*'계산 과정'!$C$91/2,"")</x:f>
        <x:v>250.5995703094169</x:v>
      </x:c>
    </x:row>
    <x:row r="554" ht="23" customHeight="1">
      <x:c r="A554" s="17" t="n">
        <x:f>ROW()-6</x:f>
        <x:v>548</x:v>
      </x:c>
      <x:c r="B554" s="4" t="n">
        <x:f>IF('계산 과정'!$L$5,'계산 과정'!$L$11*SQRT((A554+0.5)/'계산 과정'!$L$30),"")</x:f>
        <x:v>77.62732107037122</x:v>
      </x:c>
      <x:c r="C554" s="4" t="n">
        <x:f>A554*PI()*(3-SQRT(5))</x:f>
        <x:v>1315.1798498913017</x:v>
      </x:c>
      <x:c r="D554" s="4" t="n">
        <x:f>IF('계산 과정'!$L$5,B554*COS(C554),"")</x:f>
        <x:v>-31.88880934247275</x:v>
      </x:c>
      <x:c r="E554" s="4" t="n">
        <x:f>IF('계산 과정'!$L$5,B554*SIN(C554),"")</x:f>
        <x:v>70.77502960283324</x:v>
      </x:c>
      <x:c r="F554" s="4" t="n">
        <x:f>IF('계산 과정'!$L$7,'계산 과정'!$L$22+'계산 과정'!$C$49*D554+'계산 과정'!$D$49*E554,"")</x:f>
        <x:v>672.5487933300274</x:v>
      </x:c>
      <x:c r="G554" s="4" t="n">
        <x:f>IF('계산 과정'!$L$7,IF(ABS(F554)&gt;=1E-12*MAX(1,SQRT((D554-'계산 과정'!$C$33)^2+(E554-'계산 과정'!$D$33)^2+'계산 과정'!$E$33^2)),('계산 과정'!$L$23-'계산 과정'!$C$49*D554-'계산 과정'!$D$49*E554)/F554,""),"")</x:f>
        <x:v>0.5612250150670525</x:v>
      </x:c>
      <x:c r="H554" s="4" t="n">
        <x:f>IF(AND(ISNUMBER(G554),G554&gt;0),('계산 과정'!$D$56+'계산 과정'!$D$57*D554+'계산 과정'!$D$58*E554)/F554,"")</x:f>
        <x:v>-35.20374020641602</x:v>
      </x:c>
      <x:c r="I554" s="4" t="n">
        <x:f>IF(AND(ISNUMBER(G554),G554&gt;0),('계산 과정'!$E$56+'계산 과정'!$E$57*D554+'계산 과정'!$E$58*E554)/F554,"")</x:f>
        <x:v>110.49574665805443</x:v>
      </x:c>
      <x:c r="J554" s="4" t="n">
        <x:f>IF('계산 과정'!$L$5,'계산 과정'!$D$6+'계산 과정'!$C$35*D554+'계산 과정'!$D$35*E554,"")</x:f>
        <x:v>672.5487933300274</x:v>
      </x:c>
      <x:c r="K554" s="4" t="n">
        <x:f>IF(AND('계산 과정'!$L$6,J554&gt;0),'계산 과정'!$D$10*('계산 과정'!$C$38*(D554-'계산 과정'!$C$32)+'계산 과정'!$D$38*(E554-'계산 과정'!$D$32)-'계산 과정'!$E$38*'계산 과정'!$E$32)/J554,"")</x:f>
        <x:v>-0.2682189730012641</x:v>
      </x:c>
      <x:c r="L554" s="4" t="n">
        <x:f>IF(AND('계산 과정'!$L$6,J554&gt;0),'계산 과정'!$D$10*('계산 과정'!$C$39*(D554-'계산 과정'!$C$32)+'계산 과정'!$D$39*(E554-'계산 과정'!$D$32)-'계산 과정'!$E$39*'계산 과정'!$E$32)/J554,"")</x:f>
        <x:v>0.8418723554899384</x:v>
      </x:c>
      <x:c r="M554" s="17" t="n">
        <x:f>IF('계산 과정'!$L$6,IF(J554&lt;=0,0,IF(AND(ABS(K554)&lt;='계산 과정'!$D$11/2,ABS(L554)&lt;='계산 과정'!$D$12/2),1,0)),"")</x:f>
        <x:v>1</x:v>
      </x:c>
      <x:c r="N554" s="17" t="n">
        <x:f>IF('계산 과정'!$C$78,IF(AND(ISNUMBER(H554),ISNUMBER(I554),ABS(H554-'계산 과정'!$C$88)&lt;='계산 과정'!$D$23/2,ABS(I554-'계산 과정'!$C$89)&lt;='계산 과정'!$D$24/2),1,0),"")</x:f>
        <x:v>1</x:v>
      </x:c>
      <x:c r="O554" s="4" t="n">
        <x:f>IF('계산 과정'!$L$7,'계산 과정'!$C$49*('계산 과정'!$C$32-D554)+'계산 과정'!$D$49*('계산 과정'!$D$32-E554)+'계산 과정'!$E$49*'계산 과정'!$E$32,"")</x:f>
        <x:v>-22.54879333002731</x:v>
      </x:c>
      <x:c r="P554" s="4" t="n">
        <x:f>IF(AND('계산 과정'!$L$7,O554&lt;&gt;0),('계산 과정'!$L$23-'계산 과정'!$C$49*D554-'계산 과정'!$D$49*E554)/O554,"")</x:f>
        <x:v>-16.739308447487353</x:v>
      </x:c>
      <x:c r="Q554" s="4" t="str">
        <x:f>IF(AND(ISNUMBER(P554),P554&gt;1E-9,P554&lt;1-1E-9),'계산 과정'!$C$47*(D554-'계산 과정'!$C$50+P554*('계산 과정'!$C$32-D554))+'계산 과정'!$D$47*(E554-'계산 과정'!$D$50+P554*('계산 과정'!$D$32-E554))+'계산 과정'!$E$47*(0-'계산 과정'!$E$50+P554*('계산 과정'!$E$32-0)),"")</x:f>
      </x:c>
      <x:c r="R554" s="4" t="str">
        <x:f>IF(AND(ISNUMBER(P554),P554&gt;1E-9,P554&lt;1-1E-9),'계산 과정'!$C$48*(D554-'계산 과정'!$C$50+P554*('계산 과정'!$C$32-D554))+'계산 과정'!$D$48*(E554-'계산 과정'!$D$50+P554*('계산 과정'!$D$32-E554))+'계산 과정'!$E$48*(0-'계산 과정'!$E$50+P554*('계산 과정'!$E$32-0)),"")</x:f>
      </x:c>
      <x:c r="S554" s="17" t="n">
        <x:f>IF('계산 과정'!$C$78,IF(AND(ISNUMBER(Q554),ISNUMBER(R554),ABS(Q554-'계산 과정'!$C$88)&lt;='계산 과정'!$D$23/2,ABS(R554-'계산 과정'!$C$89)&lt;='계산 과정'!$D$24/2),1,0),"")</x:f>
        <x:v>0</x:v>
      </x:c>
      <x:c r="T554" s="4"/>
      <x:c r="U554" s="4"/>
      <x:c r="V554" s="4"/>
      <x:c r="W554" s="4" t="n">
        <x:f>IF('계산 과정'!$C$78,'계산 과정'!$C$88+0.76*'계산 과정'!$C$90/2,"")</x:f>
        <x:v>166.30198932576118</x:v>
      </x:c>
      <x:c r="X554" s="4" t="str">
        <x:f>""</x:f>
      </x:c>
      <x:c r="Y554" s="4" t="str">
        <x:f>""</x:f>
      </x:c>
      <x:c r="Z554" s="4" t="n">
        <x:f>IF('계산 과정'!$C$78,'계산 과정'!$C$89+1*'계산 과정'!$C$91/2,"")</x:f>
        <x:v>250.5995703094169</x:v>
      </x:c>
    </x:row>
    <x:row r="555" ht="23" customHeight="1">
      <x:c r="A555" s="17" t="n">
        <x:f>ROW()-6</x:f>
        <x:v>549</x:v>
      </x:c>
      <x:c r="B555" s="4" t="n">
        <x:f>IF('계산 과정'!$L$5,'계산 과정'!$L$11*SQRT((A555+0.5)/'계산 과정'!$L$30),"")</x:f>
        <x:v>77.69805212930052</x:v>
      </x:c>
      <x:c r="C555" s="4" t="n">
        <x:f>A555*PI()*(3-SQRT(5))</x:f>
        <x:v>1317.5798131210304</x:v>
      </x:c>
      <x:c r="D555" s="4" t="n">
        <x:f>IF('계산 과정'!$L$5,B555*COS(C555),"")</x:f>
        <x:v>-24.3161657997025</x:v>
      </x:c>
      <x:c r="E555" s="4" t="n">
        <x:f>IF('계산 과정'!$L$5,B555*SIN(C555),"")</x:f>
        <x:v>-73.79506342221599</x:v>
      </x:c>
      <x:c r="F555" s="4" t="n">
        <x:f>IF('계산 과정'!$L$7,'계산 과정'!$L$22+'계산 과정'!$C$49*D555+'계산 과정'!$D$49*E555,"")</x:f>
        <x:v>667.194125729426</x:v>
      </x:c>
      <x:c r="G555" s="4" t="n">
        <x:f>IF('계산 과정'!$L$7,IF(ABS(F555)&gt;=1E-12*MAX(1,SQRT((D555-'계산 과정'!$C$33)^2+(E555-'계산 과정'!$D$33)^2+'계산 과정'!$E$33^2)),('계산 과정'!$L$23-'계산 과정'!$C$49*D555-'계산 과정'!$D$49*E555)/F555,""),"")</x:f>
        <x:v>0.5737548631023426</x:v>
      </x:c>
      <x:c r="H555" s="4" t="n">
        <x:f>IF(AND(ISNUMBER(G555),G555&gt;0),('계산 과정'!$D$56+'계산 과정'!$D$57*D555+'계산 과정'!$D$58*E555)/F555,"")</x:f>
        <x:v>-27.059338983477467</x:v>
      </x:c>
      <x:c r="I555" s="4" t="n">
        <x:f>IF(AND(ISNUMBER(G555),G555&gt;0),('계산 과정'!$E$56+'계산 과정'!$E$57*D555+'계산 과정'!$E$58*E555)/F555,"")</x:f>
        <x:v>-116.13533993365822</x:v>
      </x:c>
      <x:c r="J555" s="4" t="n">
        <x:f>IF('계산 과정'!$L$5,'계산 과정'!$D$6+'계산 과정'!$C$35*D555+'계산 과정'!$D$35*E555,"")</x:f>
        <x:v>667.194125729426</x:v>
      </x:c>
      <x:c r="K555" s="4" t="n">
        <x:f>IF(AND('계산 과정'!$L$6,J555&gt;0),'계산 과정'!$D$10*('계산 과정'!$C$38*(D555-'계산 과정'!$C$32)+'계산 과정'!$D$38*(E555-'계산 과정'!$D$32)-'계산 과정'!$E$38*'계산 과정'!$E$32)/J555,"")</x:f>
        <x:v>-0.20616639225506558</x:v>
      </x:c>
      <x:c r="L555" s="4" t="n">
        <x:f>IF(AND('계산 과정'!$L$6,J555&gt;0),'계산 과정'!$D$10*('계산 과정'!$C$39*(D555-'계산 과정'!$C$32)+'계산 과정'!$D$39*(E555-'계산 과정'!$D$32)-'계산 과정'!$E$39*'계산 과정'!$E$32)/J555,"")</x:f>
        <x:v>-0.8848406852088245</x:v>
      </x:c>
      <x:c r="M555" s="17" t="n">
        <x:f>IF('계산 과정'!$L$6,IF(J555&lt;=0,0,IF(AND(ABS(K555)&lt;='계산 과정'!$D$11/2,ABS(L555)&lt;='계산 과정'!$D$12/2),1,0)),"")</x:f>
        <x:v>1</x:v>
      </x:c>
      <x:c r="N555" s="17" t="n">
        <x:f>IF('계산 과정'!$C$78,IF(AND(ISNUMBER(H555),ISNUMBER(I555),ABS(H555-'계산 과정'!$C$88)&lt;='계산 과정'!$D$23/2,ABS(I555-'계산 과정'!$C$89)&lt;='계산 과정'!$D$24/2),1,0),"")</x:f>
        <x:v>1</x:v>
      </x:c>
      <x:c r="O555" s="4" t="n">
        <x:f>IF('계산 과정'!$L$7,'계산 과정'!$C$49*('계산 과정'!$C$32-D555)+'계산 과정'!$D$49*('계산 과정'!$D$32-E555)+'계산 과정'!$E$49*'계산 과정'!$E$32,"")</x:f>
        <x:v>-17.194125729425934</x:v>
      </x:c>
      <x:c r="P555" s="4" t="n">
        <x:f>IF(AND('계산 과정'!$L$7,O555&lt;&gt;0),('계산 과정'!$L$23-'계산 과정'!$C$49*D555-'계산 과정'!$D$49*E555)/O555,"")</x:f>
        <x:v>-22.26375916371497</x:v>
      </x:c>
      <x:c r="Q555" s="4" t="str">
        <x:f>IF(AND(ISNUMBER(P555),P555&gt;1E-9,P555&lt;1-1E-9),'계산 과정'!$C$47*(D555-'계산 과정'!$C$50+P555*('계산 과정'!$C$32-D555))+'계산 과정'!$D$47*(E555-'계산 과정'!$D$50+P555*('계산 과정'!$D$32-E555))+'계산 과정'!$E$47*(0-'계산 과정'!$E$50+P555*('계산 과정'!$E$32-0)),"")</x:f>
      </x:c>
      <x:c r="R555" s="4" t="str">
        <x:f>IF(AND(ISNUMBER(P555),P555&gt;1E-9,P555&lt;1-1E-9),'계산 과정'!$C$48*(D555-'계산 과정'!$C$50+P555*('계산 과정'!$C$32-D555))+'계산 과정'!$D$48*(E555-'계산 과정'!$D$50+P555*('계산 과정'!$D$32-E555))+'계산 과정'!$E$48*(0-'계산 과정'!$E$50+P555*('계산 과정'!$E$32-0)),"")</x:f>
      </x:c>
      <x:c r="S555" s="17" t="n">
        <x:f>IF('계산 과정'!$C$78,IF(AND(ISNUMBER(Q555),ISNUMBER(R555),ABS(Q555-'계산 과정'!$C$88)&lt;='계산 과정'!$D$23/2,ABS(R555-'계산 과정'!$C$89)&lt;='계산 과정'!$D$24/2),1,0),"")</x:f>
        <x:v>0</x:v>
      </x:c>
      <x:c r="T555" s="4"/>
      <x:c r="U555" s="4"/>
      <x:c r="V555" s="4"/>
      <x:c r="W555" s="4" t="n">
        <x:f>IF('계산 과정'!$C$78,'계산 과정'!$C$88+0.72*'계산 과정'!$C$90/2,"")</x:f>
        <x:v>159.06101116415897</x:v>
      </x:c>
      <x:c r="X555" s="4" t="str">
        <x:f>""</x:f>
      </x:c>
      <x:c r="Y555" s="4" t="str">
        <x:f>""</x:f>
      </x:c>
      <x:c r="Z555" s="4" t="n">
        <x:f>IF('계산 과정'!$C$78,'계산 과정'!$C$89+1*'계산 과정'!$C$91/2,"")</x:f>
        <x:v>250.5995703094169</x:v>
      </x:c>
    </x:row>
    <x:row r="556" ht="23" customHeight="1">
      <x:c r="A556" s="17" t="n">
        <x:f>ROW()-6</x:f>
        <x:v>550</x:v>
      </x:c>
      <x:c r="B556" s="4" t="n">
        <x:f>IF('계산 과정'!$L$5,'계산 과정'!$L$11*SQRT((A556+0.5)/'계산 과정'!$L$30),"")</x:f>
        <x:v>77.7687188579862</x:v>
      </x:c>
      <x:c r="C556" s="4" t="n">
        <x:f>A556*PI()*(3-SQRT(5))</x:f>
        <x:v>1319.979776350759</x:v>
      </x:c>
      <x:c r="D556" s="4" t="n">
        <x:f>IF('계산 과정'!$L$5,B556*COS(C556),"")</x:f>
        <x:v>67.83947724568016</x:v>
      </x:c>
      <x:c r="E556" s="4" t="n">
        <x:f>IF('계산 과정'!$L$5,B556*SIN(C556),"")</x:f>
        <x:v>38.02340016154975</x:v>
      </x:c>
      <x:c r="F556" s="4" t="n">
        <x:f>IF('계산 과정'!$L$7,'계산 과정'!$L$22+'계산 과정'!$C$49*D556+'계산 과정'!$D$49*E556,"")</x:f>
        <x:v>602.030245607429</x:v>
      </x:c>
      <x:c r="G556" s="4" t="n">
        <x:f>IF('계산 과정'!$L$7,IF(ABS(F556)&gt;=1E-12*MAX(1,SQRT((D556-'계산 과정'!$C$33)^2+(E556-'계산 과정'!$D$33)^2+'계산 과정'!$E$33^2)),('계산 과정'!$L$23-'계산 과정'!$C$49*D556-'계산 과정'!$D$49*E556)/F556,""),"")</x:f>
        <x:v>0.7440984197406626</x:v>
      </x:c>
      <x:c r="H556" s="4" t="n">
        <x:f>IF(AND(ISNUMBER(G556),G556&gt;0),('계산 과정'!$D$56+'계산 과정'!$D$57*D556+'계산 과정'!$D$58*E556)/F556,"")</x:f>
        <x:v>83.66397283143057</x:v>
      </x:c>
      <x:c r="I556" s="4" t="n">
        <x:f>IF(AND(ISNUMBER(G556),G556&gt;0),('계산 과정'!$E$56+'계산 과정'!$E$57*D556+'계산 과정'!$E$58*E556)/F556,"")</x:f>
        <x:v>66.31655213492577</x:v>
      </x:c>
      <x:c r="J556" s="4" t="n">
        <x:f>IF('계산 과정'!$L$5,'계산 과정'!$D$6+'계산 과정'!$C$35*D556+'계산 과정'!$D$35*E556,"")</x:f>
        <x:v>602.030245607429</x:v>
      </x:c>
      <x:c r="K556" s="4" t="n">
        <x:f>IF(AND('계산 과정'!$L$6,J556&gt;0),'계산 과정'!$D$10*('계산 과정'!$C$38*(D556-'계산 과정'!$C$32)+'계산 과정'!$D$38*(E556-'계산 과정'!$D$32)-'계산 과정'!$E$38*'계산 과정'!$E$32)/J556,"")</x:f>
        <x:v>0.6374397930013762</x:v>
      </x:c>
      <x:c r="L556" s="4" t="n">
        <x:f>IF(AND('계산 과정'!$L$6,J556&gt;0),'계산 과정'!$D$10*('계산 과정'!$C$39*(D556-'계산 과정'!$C$32)+'계산 과정'!$D$39*(E556-'계산 과정'!$D$32)-'계산 과정'!$E$39*'계산 과정'!$E$32)/J556,"")</x:f>
        <x:v>0.5052689686470535</x:v>
      </x:c>
      <x:c r="M556" s="17" t="n">
        <x:f>IF('계산 과정'!$L$6,IF(J556&lt;=0,0,IF(AND(ABS(K556)&lt;='계산 과정'!$D$11/2,ABS(L556)&lt;='계산 과정'!$D$12/2),1,0)),"")</x:f>
        <x:v>1</x:v>
      </x:c>
      <x:c r="N556" s="17" t="n">
        <x:f>IF('계산 과정'!$C$78,IF(AND(ISNUMBER(H556),ISNUMBER(I556),ABS(H556-'계산 과정'!$C$88)&lt;='계산 과정'!$D$23/2,ABS(I556-'계산 과정'!$C$89)&lt;='계산 과정'!$D$24/2),1,0),"")</x:f>
        <x:v>1</x:v>
      </x:c>
      <x:c r="O556" s="4" t="n">
        <x:f>IF('계산 과정'!$L$7,'계산 과정'!$C$49*('계산 과정'!$C$32-D556)+'계산 과정'!$D$49*('계산 과정'!$D$32-E556)+'계산 과정'!$E$49*'계산 과정'!$E$32,"")</x:f>
        <x:v>47.96975439257102</x:v>
      </x:c>
      <x:c r="P556" s="4" t="n">
        <x:f>IF(AND('계산 과정'!$L$7,O556&lt;&gt;0),('계산 과정'!$L$23-'계산 과정'!$C$49*D556-'계산 과정'!$D$49*E556)/O556,"")</x:f>
        <x:v>9.338587617658245</x:v>
      </x:c>
      <x:c r="Q556" s="4" t="str">
        <x:f>IF(AND(ISNUMBER(P556),P556&gt;1E-9,P556&lt;1-1E-9),'계산 과정'!$C$47*(D556-'계산 과정'!$C$50+P556*('계산 과정'!$C$32-D556))+'계산 과정'!$D$47*(E556-'계산 과정'!$D$50+P556*('계산 과정'!$D$32-E556))+'계산 과정'!$E$47*(0-'계산 과정'!$E$50+P556*('계산 과정'!$E$32-0)),"")</x:f>
      </x:c>
      <x:c r="R556" s="4" t="str">
        <x:f>IF(AND(ISNUMBER(P556),P556&gt;1E-9,P556&lt;1-1E-9),'계산 과정'!$C$48*(D556-'계산 과정'!$C$50+P556*('계산 과정'!$C$32-D556))+'계산 과정'!$D$48*(E556-'계산 과정'!$D$50+P556*('계산 과정'!$D$32-E556))+'계산 과정'!$E$48*(0-'계산 과정'!$E$50+P556*('계산 과정'!$E$32-0)),"")</x:f>
      </x:c>
      <x:c r="S556" s="17" t="n">
        <x:f>IF('계산 과정'!$C$78,IF(AND(ISNUMBER(Q556),ISNUMBER(R556),ABS(Q556-'계산 과정'!$C$88)&lt;='계산 과정'!$D$23/2,ABS(R556-'계산 과정'!$C$89)&lt;='계산 과정'!$D$24/2),1,0),"")</x:f>
        <x:v>0</x:v>
      </x:c>
      <x:c r="T556" s="4"/>
      <x:c r="U556" s="4"/>
      <x:c r="V556" s="4"/>
      <x:c r="W556" s="4" t="n">
        <x:f>IF('계산 과정'!$C$78,'계산 과정'!$C$88+0.6799999999999999*'계산 과정'!$C$90/2,"")</x:f>
        <x:v>151.82003300255673</x:v>
      </x:c>
      <x:c r="X556" s="4" t="str">
        <x:f>""</x:f>
      </x:c>
      <x:c r="Y556" s="4" t="str">
        <x:f>""</x:f>
      </x:c>
      <x:c r="Z556" s="4" t="n">
        <x:f>IF('계산 과정'!$C$78,'계산 과정'!$C$89+1*'계산 과정'!$C$91/2,"")</x:f>
        <x:v>250.5995703094169</x:v>
      </x:c>
    </x:row>
    <x:row r="557" ht="23" customHeight="1">
      <x:c r="A557" s="17" t="n">
        <x:f>ROW()-6</x:f>
        <x:v>551</x:v>
      </x:c>
      <x:c r="B557" s="4" t="n">
        <x:f>IF('계산 과정'!$L$5,'계산 과정'!$L$11*SQRT((A557+0.5)/'계산 과정'!$L$30),"")</x:f>
        <x:v>77.83932143163568</x:v>
      </x:c>
      <x:c r="C557" s="4" t="n">
        <x:f>A557*PI()*(3-SQRT(5))</x:f>
        <x:v>1322.3797395804877</x:v>
      </x:c>
      <x:c r="D557" s="4" t="n">
        <x:f>IF('계산 과정'!$L$5,B557*COS(C557),"")</x:f>
        <x:v>-75.77588796830213</x:v>
      </x:c>
      <x:c r="E557" s="4" t="n">
        <x:f>IF('계산 과정'!$L$5,B557*SIN(C557),"")</x:f>
        <x:v>17.803785090615527</x:v>
      </x:c>
      <x:c r="F557" s="4" t="n">
        <x:f>IF('계산 과정'!$L$7,'계산 과정'!$L$22+'계산 과정'!$C$49*D557+'계산 과정'!$D$49*E557,"")</x:f>
        <x:v>703.5816442328186</x:v>
      </x:c>
      <x:c r="G557" s="4" t="n">
        <x:f>IF('계산 과정'!$L$7,IF(ABS(F557)&gt;=1E-12*MAX(1,SQRT((D557-'계산 과정'!$C$33)^2+(E557-'계산 과정'!$D$33)^2+'계산 과정'!$E$33^2)),('계산 과정'!$L$23-'계산 과정'!$C$49*D557-'계산 과정'!$D$49*E557)/F557,""),"")</x:f>
        <x:v>0.4923641180902524</x:v>
      </x:c>
      <x:c r="H557" s="4" t="n">
        <x:f>IF(AND(ISNUMBER(G557),G557&gt;0),('계산 과정'!$D$56+'계산 과정'!$D$57*D557+'계산 과정'!$D$58*E557)/F557,"")</x:f>
        <x:v>-79.96332324133604</x:v>
      </x:c>
      <x:c r="I557" s="4" t="n">
        <x:f>IF(AND(ISNUMBER(G557),G557&gt;0),('계산 과정'!$E$56+'계산 과정'!$E$57*D557+'계산 과정'!$E$58*E557)/F557,"")</x:f>
        <x:v>26.569730035424826</x:v>
      </x:c>
      <x:c r="J557" s="4" t="n">
        <x:f>IF('계산 과정'!$L$5,'계산 과정'!$D$6+'계산 과정'!$C$35*D557+'계산 과정'!$D$35*E557,"")</x:f>
        <x:v>703.5816442328186</x:v>
      </x:c>
      <x:c r="K557" s="4" t="n">
        <x:f>IF(AND('계산 과정'!$L$6,J557&gt;0),'계산 과정'!$D$10*('계산 과정'!$C$38*(D557-'계산 과정'!$C$32)+'계산 과정'!$D$38*(E557-'계산 과정'!$D$32)-'계산 과정'!$E$38*'계산 과정'!$E$32)/J557,"")</x:f>
        <x:v>-0.6092443675530351</x:v>
      </x:c>
      <x:c r="L557" s="4" t="n">
        <x:f>IF(AND('계산 과정'!$L$6,J557&gt;0),'계산 과정'!$D$10*('계산 과정'!$C$39*(D557-'계산 과정'!$C$32)+'계산 과정'!$D$39*(E557-'계산 과정'!$D$32)-'계산 과정'!$E$39*'계산 과정'!$E$32)/J557,"")</x:f>
        <x:v>0.2024360383651415</x:v>
      </x:c>
      <x:c r="M557" s="17" t="n">
        <x:f>IF('계산 과정'!$L$6,IF(J557&lt;=0,0,IF(AND(ABS(K557)&lt;='계산 과정'!$D$11/2,ABS(L557)&lt;='계산 과정'!$D$12/2),1,0)),"")</x:f>
        <x:v>1</x:v>
      </x:c>
      <x:c r="N557" s="17" t="n">
        <x:f>IF('계산 과정'!$C$78,IF(AND(ISNUMBER(H557),ISNUMBER(I557),ABS(H557-'계산 과정'!$C$88)&lt;='계산 과정'!$D$23/2,ABS(I557-'계산 과정'!$C$89)&lt;='계산 과정'!$D$24/2),1,0),"")</x:f>
        <x:v>1</x:v>
      </x:c>
      <x:c r="O557" s="4" t="n">
        <x:f>IF('계산 과정'!$L$7,'계산 과정'!$C$49*('계산 과정'!$C$32-D557)+'계산 과정'!$D$49*('계산 과정'!$D$32-E557)+'계산 과정'!$E$49*'계산 과정'!$E$32,"")</x:f>
        <x:v>-53.581644232818405</x:v>
      </x:c>
      <x:c r="P557" s="4" t="n">
        <x:f>IF(AND('계산 과정'!$L$7,O557&lt;&gt;0),('계산 과정'!$L$23-'계산 과정'!$C$49*D557-'계산 과정'!$D$49*E557)/O557,"")</x:f>
        <x:v>-6.465243101946514</x:v>
      </x:c>
      <x:c r="Q557" s="4" t="str">
        <x:f>IF(AND(ISNUMBER(P557),P557&gt;1E-9,P557&lt;1-1E-9),'계산 과정'!$C$47*(D557-'계산 과정'!$C$50+P557*('계산 과정'!$C$32-D557))+'계산 과정'!$D$47*(E557-'계산 과정'!$D$50+P557*('계산 과정'!$D$32-E557))+'계산 과정'!$E$47*(0-'계산 과정'!$E$50+P557*('계산 과정'!$E$32-0)),"")</x:f>
      </x:c>
      <x:c r="R557" s="4" t="str">
        <x:f>IF(AND(ISNUMBER(P557),P557&gt;1E-9,P557&lt;1-1E-9),'계산 과정'!$C$48*(D557-'계산 과정'!$C$50+P557*('계산 과정'!$C$32-D557))+'계산 과정'!$D$48*(E557-'계산 과정'!$D$50+P557*('계산 과정'!$D$32-E557))+'계산 과정'!$E$48*(0-'계산 과정'!$E$50+P557*('계산 과정'!$E$32-0)),"")</x:f>
      </x:c>
      <x:c r="S557" s="17" t="n">
        <x:f>IF('계산 과정'!$C$78,IF(AND(ISNUMBER(Q557),ISNUMBER(R557),ABS(Q557-'계산 과정'!$C$88)&lt;='계산 과정'!$D$23/2,ABS(R557-'계산 과정'!$C$89)&lt;='계산 과정'!$D$24/2),1,0),"")</x:f>
        <x:v>0</x:v>
      </x:c>
      <x:c r="T557" s="4"/>
      <x:c r="U557" s="4"/>
      <x:c r="V557" s="4"/>
      <x:c r="W557" s="4" t="n">
        <x:f>IF('계산 과정'!$C$78,'계산 과정'!$C$88+0.64*'계산 과정'!$C$90/2,"")</x:f>
        <x:v>144.57905484095454</x:v>
      </x:c>
      <x:c r="X557" s="4" t="str">
        <x:f>""</x:f>
      </x:c>
      <x:c r="Y557" s="4" t="str">
        <x:f>""</x:f>
      </x:c>
      <x:c r="Z557" s="4" t="n">
        <x:f>IF('계산 과정'!$C$78,'계산 과정'!$C$89+1*'계산 과정'!$C$91/2,"")</x:f>
        <x:v>250.5995703094169</x:v>
      </x:c>
    </x:row>
    <x:row r="558" ht="23" customHeight="1">
      <x:c r="A558" s="17" t="n">
        <x:f>ROW()-6</x:f>
        <x:v>552</x:v>
      </x:c>
      <x:c r="B558" s="4" t="n">
        <x:f>IF('계산 과정'!$L$5,'계산 과정'!$L$11*SQRT((A558+0.5)/'계산 과정'!$L$30),"")</x:f>
        <x:v>77.90986002466248</x:v>
      </x:c>
      <x:c r="C558" s="4" t="n">
        <x:f>A558*PI()*(3-SQRT(5))</x:f>
        <x:v>1324.7797028102163</x:v>
      </x:c>
      <x:c r="D558" s="4" t="n">
        <x:f>IF('계산 과정'!$L$5,B558*COS(C558),"")</x:f>
        <x:v>43.888233313112735</x:v>
      </x:c>
      <x:c r="E558" s="4" t="n">
        <x:f>IF('계산 과정'!$L$5,B558*SIN(C558),"")</x:f>
        <x:v>-64.37211559142888</x:v>
      </x:c>
      <x:c r="F558" s="4" t="n">
        <x:f>IF('계산 과정'!$L$7,'계산 과정'!$L$22+'계산 과정'!$C$49*D558+'계산 과정'!$D$49*E558,"")</x:f>
        <x:v>618.9663326100007</x:v>
      </x:c>
      <x:c r="G558" s="4" t="n">
        <x:f>IF('계산 과정'!$L$7,IF(ABS(F558)&gt;=1E-12*MAX(1,SQRT((D558-'계산 과정'!$C$33)^2+(E558-'계산 과정'!$D$33)^2+'계산 과정'!$E$33^2)),('계산 과정'!$L$23-'계산 과정'!$C$49*D558-'계산 과정'!$D$49*E558)/F558,""),"")</x:f>
        <x:v>0.696376595432026</x:v>
      </x:c>
      <x:c r="H558" s="4" t="n">
        <x:f>IF(AND(ISNUMBER(G558),G558&gt;0),('계산 과정'!$D$56+'계산 과정'!$D$57*D558+'계산 과정'!$D$58*E558)/F558,"")</x:f>
        <x:v>52.644787030816886</x:v>
      </x:c>
      <x:c r="I558" s="4" t="n">
        <x:f>IF(AND(ISNUMBER(G558),G558&gt;0),('계산 과정'!$E$56+'계산 과정'!$E$57*D558+'계산 과정'!$E$58*E558)/F558,"")</x:f>
        <x:v>-109.19935028774498</x:v>
      </x:c>
      <x:c r="J558" s="4" t="n">
        <x:f>IF('계산 과정'!$L$5,'계산 과정'!$D$6+'계산 과정'!$C$35*D558+'계산 과정'!$D$35*E558,"")</x:f>
        <x:v>618.9663326100007</x:v>
      </x:c>
      <x:c r="K558" s="4" t="n">
        <x:f>IF(AND('계산 과정'!$L$6,J558&gt;0),'계산 과정'!$D$10*('계산 과정'!$C$38*(D558-'계산 과정'!$C$32)+'계산 과정'!$D$38*(E558-'계산 과정'!$D$32)-'계산 과정'!$E$38*'계산 과정'!$E$32)/J558,"")</x:f>
        <x:v>0.4011031392824148</x:v>
      </x:c>
      <x:c r="L558" s="4" t="n">
        <x:f>IF(AND('계산 과정'!$L$6,J558&gt;0),'계산 과정'!$D$10*('계산 과정'!$C$39*(D558-'계산 과정'!$C$32)+'계산 과정'!$D$39*(E558-'계산 과정'!$D$32)-'계산 과정'!$E$39*'계산 과정'!$E$32)/J558,"")</x:f>
        <x:v>-0.8319950498113903</x:v>
      </x:c>
      <x:c r="M558" s="17" t="n">
        <x:f>IF('계산 과정'!$L$6,IF(J558&lt;=0,0,IF(AND(ABS(K558)&lt;='계산 과정'!$D$11/2,ABS(L558)&lt;='계산 과정'!$D$12/2),1,0)),"")</x:f>
        <x:v>1</x:v>
      </x:c>
      <x:c r="N558" s="17" t="n">
        <x:f>IF('계산 과정'!$C$78,IF(AND(ISNUMBER(H558),ISNUMBER(I558),ABS(H558-'계산 과정'!$C$88)&lt;='계산 과정'!$D$23/2,ABS(I558-'계산 과정'!$C$89)&lt;='계산 과정'!$D$24/2),1,0),"")</x:f>
        <x:v>1</x:v>
      </x:c>
      <x:c r="O558" s="4" t="n">
        <x:f>IF('계산 과정'!$L$7,'계산 과정'!$C$49*('계산 과정'!$C$32-D558)+'계산 과정'!$D$49*('계산 과정'!$D$32-E558)+'계산 과정'!$E$49*'계산 과정'!$E$32,"")</x:f>
        <x:v>31.033667389999437</x:v>
      </x:c>
      <x:c r="P558" s="4" t="n">
        <x:f>IF(AND('계산 과정'!$L$7,O558&lt;&gt;0),('계산 과정'!$L$23-'계산 과정'!$C$49*D558-'계산 과정'!$D$49*E558)/O558,"")</x:f>
        <x:v>13.889227527420733</x:v>
      </x:c>
      <x:c r="Q558" s="4" t="str">
        <x:f>IF(AND(ISNUMBER(P558),P558&gt;1E-9,P558&lt;1-1E-9),'계산 과정'!$C$47*(D558-'계산 과정'!$C$50+P558*('계산 과정'!$C$32-D558))+'계산 과정'!$D$47*(E558-'계산 과정'!$D$50+P558*('계산 과정'!$D$32-E558))+'계산 과정'!$E$47*(0-'계산 과정'!$E$50+P558*('계산 과정'!$E$32-0)),"")</x:f>
      </x:c>
      <x:c r="R558" s="4" t="str">
        <x:f>IF(AND(ISNUMBER(P558),P558&gt;1E-9,P558&lt;1-1E-9),'계산 과정'!$C$48*(D558-'계산 과정'!$C$50+P558*('계산 과정'!$C$32-D558))+'계산 과정'!$D$48*(E558-'계산 과정'!$D$50+P558*('계산 과정'!$D$32-E558))+'계산 과정'!$E$48*(0-'계산 과정'!$E$50+P558*('계산 과정'!$E$32-0)),"")</x:f>
      </x:c>
      <x:c r="S558" s="17" t="n">
        <x:f>IF('계산 과정'!$C$78,IF(AND(ISNUMBER(Q558),ISNUMBER(R558),ABS(Q558-'계산 과정'!$C$88)&lt;='계산 과정'!$D$23/2,ABS(R558-'계산 과정'!$C$89)&lt;='계산 과정'!$D$24/2),1,0),"")</x:f>
        <x:v>0</x:v>
      </x:c>
      <x:c r="T558" s="4"/>
      <x:c r="U558" s="4"/>
      <x:c r="V558" s="4"/>
      <x:c r="W558" s="4" t="n">
        <x:f>IF('계산 과정'!$C$78,'계산 과정'!$C$88+0.6*'계산 과정'!$C$90/2,"")</x:f>
        <x:v>137.3380766793523</x:v>
      </x:c>
      <x:c r="X558" s="4" t="str">
        <x:f>""</x:f>
      </x:c>
      <x:c r="Y558" s="4" t="str">
        <x:f>""</x:f>
      </x:c>
      <x:c r="Z558" s="4" t="n">
        <x:f>IF('계산 과정'!$C$78,'계산 과정'!$C$89+1*'계산 과정'!$C$91/2,"")</x:f>
        <x:v>250.5995703094169</x:v>
      </x:c>
    </x:row>
    <x:row r="559" ht="23" customHeight="1">
      <x:c r="A559" s="17" t="n">
        <x:f>ROW()-6</x:f>
        <x:v>553</x:v>
      </x:c>
      <x:c r="B559" s="4" t="n">
        <x:f>IF('계산 과정'!$L$5,'계산 과정'!$L$11*SQRT((A559+0.5)/'계산 과정'!$L$30),"")</x:f>
        <x:v>77.9803348106912</x:v>
      </x:c>
      <x:c r="C559" s="4" t="n">
        <x:f>A559*PI()*(3-SQRT(5))</x:f>
        <x:v>1327.179666039945</x:v>
      </x:c>
      <x:c r="D559" s="4" t="n">
        <x:f>IF('계산 과정'!$L$5,B559*COS(C559),"")</x:f>
        <x:v>11.130981577104068</x:v>
      </x:c>
      <x:c r="E559" s="4" t="n">
        <x:f>IF('계산 과정'!$L$5,B559*SIN(C559),"")</x:f>
        <x:v>77.18182341923303</x:v>
      </x:c>
      <x:c r="F559" s="4" t="n">
        <x:f>IF('계산 과정'!$L$7,'계산 과정'!$L$22+'계산 과정'!$C$49*D559+'계산 과정'!$D$49*E559,"")</x:f>
        <x:v>642.1292074455672</x:v>
      </x:c>
      <x:c r="G559" s="4" t="n">
        <x:f>IF('계산 과정'!$L$7,IF(ABS(F559)&gt;=1E-12*MAX(1,SQRT((D559-'계산 과정'!$C$33)^2+(E559-'계산 과정'!$D$33)^2+'계산 과정'!$E$33^2)),('계산 과정'!$L$23-'계산 과정'!$C$49*D559-'계산 과정'!$D$49*E559)/F559,""),"")</x:f>
        <x:v>0.6351849251289627</x:v>
      </x:c>
      <x:c r="H559" s="4" t="n">
        <x:f>IF(AND(ISNUMBER(G559),G559&gt;0),('계산 과정'!$D$56+'계산 과정'!$D$57*D559+'계산 과정'!$D$58*E559)/F559,"")</x:f>
        <x:v>12.870201333825714</x:v>
      </x:c>
      <x:c r="I559" s="4" t="n">
        <x:f>IF(AND(ISNUMBER(G559),G559&gt;0),('계산 과정'!$E$56+'계산 과정'!$E$57*D559+'계산 과정'!$E$58*E559)/F559,"")</x:f>
        <x:v>126.20655414909538</x:v>
      </x:c>
      <x:c r="J559" s="4" t="n">
        <x:f>IF('계산 과정'!$L$5,'계산 과정'!$D$6+'계산 과정'!$C$35*D559+'계산 과정'!$D$35*E559,"")</x:f>
        <x:v>642.1292074455672</x:v>
      </x:c>
      <x:c r="K559" s="4" t="n">
        <x:f>IF(AND('계산 과정'!$L$6,J559&gt;0),'계산 과정'!$D$10*('계산 과정'!$C$38*(D559-'계산 과정'!$C$32)+'계산 과정'!$D$38*(E559-'계산 과정'!$D$32)-'계산 과정'!$E$38*'계산 과정'!$E$32)/J559,"")</x:f>
        <x:v>0.09805867682914958</x:v>
      </x:c>
      <x:c r="L559" s="4" t="n">
        <x:f>IF(AND('계산 과정'!$L$6,J559&gt;0),'계산 과정'!$D$10*('계산 과정'!$C$39*(D559-'계산 과정'!$C$32)+'계산 과정'!$D$39*(E559-'계산 과정'!$D$32)-'계산 과정'!$E$39*'계산 과정'!$E$32)/J559,"")</x:f>
        <x:v>0.9615737458978696</x:v>
      </x:c>
      <x:c r="M559" s="17" t="n">
        <x:f>IF('계산 과정'!$L$6,IF(J559&lt;=0,0,IF(AND(ABS(K559)&lt;='계산 과정'!$D$11/2,ABS(L559)&lt;='계산 과정'!$D$12/2),1,0)),"")</x:f>
        <x:v>1</x:v>
      </x:c>
      <x:c r="N559" s="17" t="n">
        <x:f>IF('계산 과정'!$C$78,IF(AND(ISNUMBER(H559),ISNUMBER(I559),ABS(H559-'계산 과정'!$C$88)&lt;='계산 과정'!$D$23/2,ABS(I559-'계산 과정'!$C$89)&lt;='계산 과정'!$D$24/2),1,0),"")</x:f>
        <x:v>1</x:v>
      </x:c>
      <x:c r="O559" s="4" t="n">
        <x:f>IF('계산 과정'!$L$7,'계산 과정'!$C$49*('계산 과정'!$C$32-D559)+'계산 과정'!$D$49*('계산 과정'!$D$32-E559)+'계산 과정'!$E$49*'계산 과정'!$E$32,"")</x:f>
        <x:v>7.870792554432967</x:v>
      </x:c>
      <x:c r="P559" s="4" t="n">
        <x:f>IF(AND('계산 과정'!$L$7,O559&lt;&gt;0),('계산 과정'!$L$23-'계산 과정'!$C$49*D559-'계산 과정'!$D$49*E559)/O559,"")</x:f>
        <x:v>51.82080327154765</x:v>
      </x:c>
      <x:c r="Q559" s="4" t="str">
        <x:f>IF(AND(ISNUMBER(P559),P559&gt;1E-9,P559&lt;1-1E-9),'계산 과정'!$C$47*(D559-'계산 과정'!$C$50+P559*('계산 과정'!$C$32-D559))+'계산 과정'!$D$47*(E559-'계산 과정'!$D$50+P559*('계산 과정'!$D$32-E559))+'계산 과정'!$E$47*(0-'계산 과정'!$E$50+P559*('계산 과정'!$E$32-0)),"")</x:f>
      </x:c>
      <x:c r="R559" s="4" t="str">
        <x:f>IF(AND(ISNUMBER(P559),P559&gt;1E-9,P559&lt;1-1E-9),'계산 과정'!$C$48*(D559-'계산 과정'!$C$50+P559*('계산 과정'!$C$32-D559))+'계산 과정'!$D$48*(E559-'계산 과정'!$D$50+P559*('계산 과정'!$D$32-E559))+'계산 과정'!$E$48*(0-'계산 과정'!$E$50+P559*('계산 과정'!$E$32-0)),"")</x:f>
      </x:c>
      <x:c r="S559" s="17" t="n">
        <x:f>IF('계산 과정'!$C$78,IF(AND(ISNUMBER(Q559),ISNUMBER(R559),ABS(Q559-'계산 과정'!$C$88)&lt;='계산 과정'!$D$23/2,ABS(R559-'계산 과정'!$C$89)&lt;='계산 과정'!$D$24/2),1,0),"")</x:f>
        <x:v>0</x:v>
      </x:c>
      <x:c r="T559" s="4"/>
      <x:c r="U559" s="4"/>
      <x:c r="V559" s="4"/>
      <x:c r="W559" s="4" t="n">
        <x:f>IF('계산 과정'!$C$78,'계산 과정'!$C$88+0.56*'계산 과정'!$C$90/2,"")</x:f>
        <x:v>130.0970985177501</x:v>
      </x:c>
      <x:c r="X559" s="4" t="str">
        <x:f>""</x:f>
      </x:c>
      <x:c r="Y559" s="4" t="str">
        <x:f>""</x:f>
      </x:c>
      <x:c r="Z559" s="4" t="n">
        <x:f>IF('계산 과정'!$C$78,'계산 과정'!$C$89+1*'계산 과정'!$C$91/2,"")</x:f>
        <x:v>250.5995703094169</x:v>
      </x:c>
    </x:row>
    <x:row r="560" ht="23" customHeight="1">
      <x:c r="A560" s="17" t="n">
        <x:f>ROW()-6</x:f>
        <x:v>554</x:v>
      </x:c>
      <x:c r="B560" s="4" t="n">
        <x:f>IF('계산 과정'!$L$5,'계산 과정'!$L$11*SQRT((A560+0.5)/'계산 과정'!$L$30),"")</x:f>
        <x:v>78.05074596256271</x:v>
      </x:c>
      <x:c r="C560" s="4" t="n">
        <x:f>A560*PI()*(3-SQRT(5))</x:f>
        <x:v>1329.5796292696737</x:v>
      </x:c>
      <x:c r="D560" s="4" t="n">
        <x:f>IF('계산 과정'!$L$5,B560*COS(C560),"")</x:f>
        <x:v>-60.39769799183139</x:v>
      </x:c>
      <x:c r="E560" s="4" t="n">
        <x:f>IF('계산 과정'!$L$5,B560*SIN(C560),"")</x:f>
        <x:v>-49.437202819334615</x:v>
      </x:c>
      <x:c r="F560" s="4" t="n">
        <x:f>IF('계산 과정'!$L$7,'계산 과정'!$L$22+'계산 과정'!$C$49*D560+'계산 과정'!$D$49*E560,"")</x:f>
        <x:v>692.7076218180811</x:v>
      </x:c>
      <x:c r="G560" s="4" t="n">
        <x:f>IF('계산 과정'!$L$7,IF(ABS(F560)&gt;=1E-12*MAX(1,SQRT((D560-'계산 과정'!$C$33)^2+(E560-'계산 과정'!$D$33)^2+'계산 과정'!$E$33^2)),('계산 과정'!$L$23-'계산 과정'!$C$49*D560-'계산 과정'!$D$49*E560)/F560,""),"")</x:f>
        <x:v>0.5157910306287218</x:v>
      </x:c>
      <x:c r="H560" s="4" t="n">
        <x:f>IF(AND(ISNUMBER(G560),G560&gt;0),('계산 과정'!$D$56+'계산 과정'!$D$57*D560+'계산 과정'!$D$58*E560)/F560,"")</x:f>
        <x:v>-64.73583009133097</x:v>
      </x:c>
      <x:c r="I560" s="4" t="n">
        <x:f>IF(AND(ISNUMBER(G560),G560&gt;0),('계산 과정'!$E$56+'계산 과정'!$E$57*D560+'계산 과정'!$E$58*E560)/F560,"")</x:f>
        <x:v>-74.93646861292036</x:v>
      </x:c>
      <x:c r="J560" s="4" t="n">
        <x:f>IF('계산 과정'!$L$5,'계산 과정'!$D$6+'계산 과정'!$C$35*D560+'계산 과정'!$D$35*E560,"")</x:f>
        <x:v>692.7076218180811</x:v>
      </x:c>
      <x:c r="K560" s="4" t="n">
        <x:f>IF(AND('계산 과정'!$L$6,J560&gt;0),'계산 과정'!$D$10*('계산 과정'!$C$38*(D560-'계산 과정'!$C$32)+'계산 과정'!$D$38*(E560-'계산 과정'!$D$32)-'계산 과정'!$E$38*'계산 과정'!$E$32)/J560,"")</x:f>
        <x:v>-0.493225372124425</x:v>
      </x:c>
      <x:c r="L560" s="4" t="n">
        <x:f>IF(AND('계산 과정'!$L$6,J560&gt;0),'계산 과정'!$D$10*('계산 과정'!$C$39*(D560-'계산 과정'!$C$32)+'계산 과정'!$D$39*(E560-'계산 과정'!$D$32)-'계산 과정'!$E$39*'계산 과정'!$E$32)/J560,"")</x:f>
        <x:v>-0.5709445227651075</x:v>
      </x:c>
      <x:c r="M560" s="17" t="n">
        <x:f>IF('계산 과정'!$L$6,IF(J560&lt;=0,0,IF(AND(ABS(K560)&lt;='계산 과정'!$D$11/2,ABS(L560)&lt;='계산 과정'!$D$12/2),1,0)),"")</x:f>
        <x:v>1</x:v>
      </x:c>
      <x:c r="N560" s="17" t="n">
        <x:f>IF('계산 과정'!$C$78,IF(AND(ISNUMBER(H560),ISNUMBER(I560),ABS(H560-'계산 과정'!$C$88)&lt;='계산 과정'!$D$23/2,ABS(I560-'계산 과정'!$C$89)&lt;='계산 과정'!$D$24/2),1,0),"")</x:f>
        <x:v>1</x:v>
      </x:c>
      <x:c r="O560" s="4" t="n">
        <x:f>IF('계산 과정'!$L$7,'계산 과정'!$C$49*('계산 과정'!$C$32-D560)+'계산 과정'!$D$49*('계산 과정'!$D$32-E560)+'계산 과정'!$E$49*'계산 과정'!$E$32,"")</x:f>
        <x:v>-42.70762181808095</x:v>
      </x:c>
      <x:c r="P560" s="4" t="n">
        <x:f>IF(AND('계산 과정'!$L$7,O560&lt;&gt;0),('계산 과정'!$L$23-'계산 과정'!$C$49*D560-'계산 과정'!$D$49*E560)/O560,"")</x:f>
        <x:v>-8.366009695034188</x:v>
      </x:c>
      <x:c r="Q560" s="4" t="str">
        <x:f>IF(AND(ISNUMBER(P560),P560&gt;1E-9,P560&lt;1-1E-9),'계산 과정'!$C$47*(D560-'계산 과정'!$C$50+P560*('계산 과정'!$C$32-D560))+'계산 과정'!$D$47*(E560-'계산 과정'!$D$50+P560*('계산 과정'!$D$32-E560))+'계산 과정'!$E$47*(0-'계산 과정'!$E$50+P560*('계산 과정'!$E$32-0)),"")</x:f>
      </x:c>
      <x:c r="R560" s="4" t="str">
        <x:f>IF(AND(ISNUMBER(P560),P560&gt;1E-9,P560&lt;1-1E-9),'계산 과정'!$C$48*(D560-'계산 과정'!$C$50+P560*('계산 과정'!$C$32-D560))+'계산 과정'!$D$48*(E560-'계산 과정'!$D$50+P560*('계산 과정'!$D$32-E560))+'계산 과정'!$E$48*(0-'계산 과정'!$E$50+P560*('계산 과정'!$E$32-0)),"")</x:f>
      </x:c>
      <x:c r="S560" s="17" t="n">
        <x:f>IF('계산 과정'!$C$78,IF(AND(ISNUMBER(Q560),ISNUMBER(R560),ABS(Q560-'계산 과정'!$C$88)&lt;='계산 과정'!$D$23/2,ABS(R560-'계산 과정'!$C$89)&lt;='계산 과정'!$D$24/2),1,0),"")</x:f>
        <x:v>0</x:v>
      </x:c>
      <x:c r="T560" s="4"/>
      <x:c r="U560" s="4"/>
      <x:c r="V560" s="4"/>
      <x:c r="W560" s="4" t="n">
        <x:f>IF('계산 과정'!$C$78,'계산 과정'!$C$88+0.52*'계산 과정'!$C$90/2,"")</x:f>
        <x:v>122.85612035614787</x:v>
      </x:c>
      <x:c r="X560" s="4" t="str">
        <x:f>""</x:f>
      </x:c>
      <x:c r="Y560" s="4" t="str">
        <x:f>""</x:f>
      </x:c>
      <x:c r="Z560" s="4" t="n">
        <x:f>IF('계산 과정'!$C$78,'계산 과정'!$C$89+1*'계산 과정'!$C$91/2,"")</x:f>
        <x:v>250.5995703094169</x:v>
      </x:c>
    </x:row>
    <x:row r="561" ht="23" customHeight="1">
      <x:c r="A561" s="17" t="n">
        <x:f>ROW()-6</x:f>
        <x:v>555</x:v>
      </x:c>
      <x:c r="B561" s="4" t="n">
        <x:f>IF('계산 과정'!$L$5,'계산 과정'!$L$11*SQRT((A561+0.5)/'계산 과정'!$L$30),"")</x:f>
        <x:v>78.12109365233886</x:v>
      </x:c>
      <x:c r="C561" s="4" t="n">
        <x:f>A561*PI()*(3-SQRT(5))</x:f>
        <x:v>1331.9795924994025</x:v>
      </x:c>
      <x:c r="D561" s="4" t="n">
        <x:f>IF('계산 과정'!$L$5,B561*COS(C561),"")</x:f>
        <x:v>77.99997210702494</x:v>
      </x:c>
      <x:c r="E561" s="4" t="n">
        <x:f>IF('계산 과정'!$L$5,B561*SIN(C561),"")</x:f>
        <x:v>-4.34851983332586</x:v>
      </x:c>
      <x:c r="F561" s="4" t="n">
        <x:f>IF('계산 과정'!$L$7,'계산 과정'!$L$22+'계산 과정'!$C$49*D561+'계산 과정'!$D$49*E561,"")</x:f>
        <x:v>594.8456907907611</x:v>
      </x:c>
      <x:c r="G561" s="4" t="n">
        <x:f>IF('계산 과정'!$L$7,IF(ABS(F561)&gt;=1E-12*MAX(1,SQRT((D561-'계산 과정'!$C$33)^2+(E561-'계산 과정'!$D$33)^2+'계산 과정'!$E$33^2)),('계산 과정'!$L$23-'계산 과정'!$C$49*D561-'계산 과정'!$D$49*E561)/F561,""),"")</x:f>
        <x:v>0.7651636655620339</x:v>
      </x:c>
      <x:c r="H561" s="4" t="n">
        <x:f>IF(AND(ISNUMBER(G561),G561&gt;0),('계산 과정'!$D$56+'계산 과정'!$D$57*D561+'계산 과정'!$D$58*E561)/F561,"")</x:f>
        <x:v>97.35638261532188</x:v>
      </x:c>
      <x:c r="I561" s="4" t="n">
        <x:f>IF(AND(ISNUMBER(G561),G561&gt;0),('계산 과정'!$E$56+'계산 과정'!$E$57*D561+'계산 과정'!$E$58*E561)/F561,"")</x:f>
        <x:v>-7.67584920876268</x:v>
      </x:c>
      <x:c r="J561" s="4" t="n">
        <x:f>IF('계산 과정'!$L$5,'계산 과정'!$D$6+'계산 과정'!$C$35*D561+'계산 과정'!$D$35*E561,"")</x:f>
        <x:v>594.8456907907611</x:v>
      </x:c>
      <x:c r="K561" s="4" t="n">
        <x:f>IF(AND('계산 과정'!$L$6,J561&gt;0),'계산 과정'!$D$10*('계산 과정'!$C$38*(D561-'계산 과정'!$C$32)+'계산 과정'!$D$38*(E561-'계산 과정'!$D$32)-'계산 과정'!$E$38*'계산 과정'!$E$32)/J561,"")</x:f>
        <x:v>0.7417629151643583</x:v>
      </x:c>
      <x:c r="L561" s="4" t="n">
        <x:f>IF(AND('계산 과정'!$L$6,J561&gt;0),'계산 과정'!$D$10*('계산 과정'!$C$39*(D561-'계산 과정'!$C$32)+'계산 과정'!$D$39*(E561-'계산 과정'!$D$32)-'계산 과정'!$E$39*'계산 과정'!$E$32)/J561,"")</x:f>
        <x:v>-0.05848266063819185</x:v>
      </x:c>
      <x:c r="M561" s="17" t="n">
        <x:f>IF('계산 과정'!$L$6,IF(J561&lt;=0,0,IF(AND(ABS(K561)&lt;='계산 과정'!$D$11/2,ABS(L561)&lt;='계산 과정'!$D$12/2),1,0)),"")</x:f>
        <x:v>1</x:v>
      </x:c>
      <x:c r="N561" s="17" t="n">
        <x:f>IF('계산 과정'!$C$78,IF(AND(ISNUMBER(H561),ISNUMBER(I561),ABS(H561-'계산 과정'!$C$88)&lt;='계산 과정'!$D$23/2,ABS(I561-'계산 과정'!$C$89)&lt;='계산 과정'!$D$24/2),1,0),"")</x:f>
        <x:v>1</x:v>
      </x:c>
      <x:c r="O561" s="4" t="n">
        <x:f>IF('계산 과정'!$L$7,'계산 과정'!$C$49*('계산 과정'!$C$32-D561)+'계산 과정'!$D$49*('계산 과정'!$D$32-E561)+'계산 과정'!$E$49*'계산 과정'!$E$32,"")</x:f>
        <x:v>55.154309209239045</x:v>
      </x:c>
      <x:c r="P561" s="4" t="n">
        <x:f>IF(AND('계산 과정'!$L$7,O561&lt;&gt;0),('계산 과정'!$L$23-'계산 과정'!$C$49*D561-'계산 과정'!$D$49*E561)/O561,"")</x:f>
        <x:v>8.252379836406233</x:v>
      </x:c>
      <x:c r="Q561" s="4" t="str">
        <x:f>IF(AND(ISNUMBER(P561),P561&gt;1E-9,P561&lt;1-1E-9),'계산 과정'!$C$47*(D561-'계산 과정'!$C$50+P561*('계산 과정'!$C$32-D561))+'계산 과정'!$D$47*(E561-'계산 과정'!$D$50+P561*('계산 과정'!$D$32-E561))+'계산 과정'!$E$47*(0-'계산 과정'!$E$50+P561*('계산 과정'!$E$32-0)),"")</x:f>
      </x:c>
      <x:c r="R561" s="4" t="str">
        <x:f>IF(AND(ISNUMBER(P561),P561&gt;1E-9,P561&lt;1-1E-9),'계산 과정'!$C$48*(D561-'계산 과정'!$C$50+P561*('계산 과정'!$C$32-D561))+'계산 과정'!$D$48*(E561-'계산 과정'!$D$50+P561*('계산 과정'!$D$32-E561))+'계산 과정'!$E$48*(0-'계산 과정'!$E$50+P561*('계산 과정'!$E$32-0)),"")</x:f>
      </x:c>
      <x:c r="S561" s="17" t="n">
        <x:f>IF('계산 과정'!$C$78,IF(AND(ISNUMBER(Q561),ISNUMBER(R561),ABS(Q561-'계산 과정'!$C$88)&lt;='계산 과정'!$D$23/2,ABS(R561-'계산 과정'!$C$89)&lt;='계산 과정'!$D$24/2),1,0),"")</x:f>
        <x:v>0</x:v>
      </x:c>
      <x:c r="T561" s="4"/>
      <x:c r="U561" s="4"/>
      <x:c r="V561" s="4"/>
      <x:c r="W561" s="4" t="n">
        <x:f>IF('계산 과정'!$C$78,'계산 과정'!$C$88+0.48*'계산 과정'!$C$90/2,"")</x:f>
        <x:v>115.61514219454565</x:v>
      </x:c>
      <x:c r="X561" s="4" t="str">
        <x:f>""</x:f>
      </x:c>
      <x:c r="Y561" s="4" t="str">
        <x:f>""</x:f>
      </x:c>
      <x:c r="Z561" s="4" t="n">
        <x:f>IF('계산 과정'!$C$78,'계산 과정'!$C$89+1*'계산 과정'!$C$91/2,"")</x:f>
        <x:v>250.5995703094169</x:v>
      </x:c>
    </x:row>
    <x:row r="562" ht="23" customHeight="1">
      <x:c r="A562" s="17" t="n">
        <x:f>ROW()-6</x:f>
        <x:v>556</x:v>
      </x:c>
      <x:c r="B562" s="4" t="n">
        <x:f>IF('계산 과정'!$L$5,'계산 과정'!$L$11*SQRT((A562+0.5)/'계산 과정'!$L$30),"")</x:f>
        <x:v>78.19137805130755</x:v>
      </x:c>
      <x:c r="C562" s="4" t="n">
        <x:f>A562*PI()*(3-SQRT(5))</x:f>
        <x:v>1334.379555729131</x:v>
      </x:c>
      <x:c r="D562" s="4" t="n">
        <x:f>IF('계산 과정'!$L$5,B562*COS(C562),"")</x:f>
        <x:v>-54.62647143702772</x:v>
      </x:c>
      <x:c r="E562" s="4" t="n">
        <x:f>IF('계산 과정'!$L$5,B562*SIN(C562),"")</x:f>
        <x:v>55.94497492985492</x:v>
      </x:c>
      <x:c r="F562" s="4" t="n">
        <x:f>IF('계산 과정'!$L$7,'계산 과정'!$L$22+'계산 과정'!$C$49*D562+'계산 과정'!$D$49*E562,"")</x:f>
        <x:v>688.6267483854156</x:v>
      </x:c>
      <x:c r="G562" s="4" t="n">
        <x:f>IF('계산 과정'!$L$7,IF(ABS(F562)&gt;=1E-12*MAX(1,SQRT((D562-'계산 과정'!$C$33)^2+(E562-'계산 과정'!$D$33)^2+'계산 과정'!$E$33^2)),('계산 과정'!$L$23-'계산 과정'!$C$49*D562-'계산 과정'!$D$49*E562)/F562,""),"")</x:f>
        <x:v>0.5247737652681601</x:v>
      </x:c>
      <x:c r="H562" s="4" t="n">
        <x:f>IF(AND(ISNUMBER(G562),G562&gt;0),('계산 과정'!$D$56+'계산 과정'!$D$57*D562+'계산 과정'!$D$58*E562)/F562,"")</x:f>
        <x:v>-58.89705257569601</x:v>
      </x:c>
      <x:c r="I562" s="4" t="n">
        <x:f>IF(AND(ISNUMBER(G562),G562&gt;0),('계산 과정'!$E$56+'계산 과정'!$E$57*D562+'계산 과정'!$E$58*E562)/F562,"")</x:f>
        <x:v>85.30343007162772</x:v>
      </x:c>
      <x:c r="J562" s="4" t="n">
        <x:f>IF('계산 과정'!$L$5,'계산 과정'!$D$6+'계산 과정'!$C$35*D562+'계산 과정'!$D$35*E562,"")</x:f>
        <x:v>688.6267483854156</x:v>
      </x:c>
      <x:c r="K562" s="4" t="n">
        <x:f>IF(AND('계산 과정'!$L$6,J562&gt;0),'계산 과정'!$D$10*('계산 과정'!$C$38*(D562-'계산 과정'!$C$32)+'계산 과정'!$D$38*(E562-'계산 과정'!$D$32)-'계산 과정'!$E$38*'계산 과정'!$E$32)/J562,"")</x:f>
        <x:v>-0.44873944819577777</x:v>
      </x:c>
      <x:c r="L562" s="4" t="n">
        <x:f>IF(AND('계산 과정'!$L$6,J562&gt;0),'계산 과정'!$D$10*('계산 과정'!$C$39*(D562-'계산 과정'!$C$32)+'계산 과정'!$D$39*(E562-'계산 과정'!$D$32)-'계산 과정'!$E$39*'계산 과정'!$E$32)/J562,"")</x:f>
        <x:v>0.6499308957838302</x:v>
      </x:c>
      <x:c r="M562" s="17" t="n">
        <x:f>IF('계산 과정'!$L$6,IF(J562&lt;=0,0,IF(AND(ABS(K562)&lt;='계산 과정'!$D$11/2,ABS(L562)&lt;='계산 과정'!$D$12/2),1,0)),"")</x:f>
        <x:v>1</x:v>
      </x:c>
      <x:c r="N562" s="17" t="n">
        <x:f>IF('계산 과정'!$C$78,IF(AND(ISNUMBER(H562),ISNUMBER(I562),ABS(H562-'계산 과정'!$C$88)&lt;='계산 과정'!$D$23/2,ABS(I562-'계산 과정'!$C$89)&lt;='계산 과정'!$D$24/2),1,0),"")</x:f>
        <x:v>1</x:v>
      </x:c>
      <x:c r="O562" s="4" t="n">
        <x:f>IF('계산 과정'!$L$7,'계산 과정'!$C$49*('계산 과정'!$C$32-D562)+'계산 과정'!$D$49*('계산 과정'!$D$32-E562)+'계산 과정'!$E$49*'계산 과정'!$E$32,"")</x:f>
        <x:v>-38.6267483854154</x:v>
      </x:c>
      <x:c r="P562" s="4" t="n">
        <x:f>IF(AND('계산 과정'!$L$7,O562&lt;&gt;0),('계산 과정'!$L$23-'계산 과정'!$C$49*D562-'계산 과정'!$D$49*E562)/O562,"")</x:f>
        <x:v>-9.355518305833657</x:v>
      </x:c>
      <x:c r="Q562" s="4" t="str">
        <x:f>IF(AND(ISNUMBER(P562),P562&gt;1E-9,P562&lt;1-1E-9),'계산 과정'!$C$47*(D562-'계산 과정'!$C$50+P562*('계산 과정'!$C$32-D562))+'계산 과정'!$D$47*(E562-'계산 과정'!$D$50+P562*('계산 과정'!$D$32-E562))+'계산 과정'!$E$47*(0-'계산 과정'!$E$50+P562*('계산 과정'!$E$32-0)),"")</x:f>
      </x:c>
      <x:c r="R562" s="4" t="str">
        <x:f>IF(AND(ISNUMBER(P562),P562&gt;1E-9,P562&lt;1-1E-9),'계산 과정'!$C$48*(D562-'계산 과정'!$C$50+P562*('계산 과정'!$C$32-D562))+'계산 과정'!$D$48*(E562-'계산 과정'!$D$50+P562*('계산 과정'!$D$32-E562))+'계산 과정'!$E$48*(0-'계산 과정'!$E$50+P562*('계산 과정'!$E$32-0)),"")</x:f>
      </x:c>
      <x:c r="S562" s="17" t="n">
        <x:f>IF('계산 과정'!$C$78,IF(AND(ISNUMBER(Q562),ISNUMBER(R562),ABS(Q562-'계산 과정'!$C$88)&lt;='계산 과정'!$D$23/2,ABS(R562-'계산 과정'!$C$89)&lt;='계산 과정'!$D$24/2),1,0),"")</x:f>
        <x:v>0</x:v>
      </x:c>
      <x:c r="T562" s="4"/>
      <x:c r="U562" s="4"/>
      <x:c r="V562" s="4"/>
      <x:c r="W562" s="4" t="n">
        <x:f>IF('계산 과정'!$C$78,'계산 과정'!$C$88+0.43999999999999995*'계산 과정'!$C$90/2,"")</x:f>
        <x:v>108.37416403294343</x:v>
      </x:c>
      <x:c r="X562" s="4" t="str">
        <x:f>""</x:f>
      </x:c>
      <x:c r="Y562" s="4" t="str">
        <x:f>""</x:f>
      </x:c>
      <x:c r="Z562" s="4" t="n">
        <x:f>IF('계산 과정'!$C$78,'계산 과정'!$C$89+1*'계산 과정'!$C$91/2,"")</x:f>
        <x:v>250.5995703094169</x:v>
      </x:c>
    </x:row>
    <x:row r="563" ht="23" customHeight="1">
      <x:c r="A563" s="17" t="n">
        <x:f>ROW()-6</x:f>
        <x:v>557</x:v>
      </x:c>
      <x:c r="B563" s="4" t="n">
        <x:f>IF('계산 과정'!$L$5,'계산 과정'!$L$11*SQRT((A563+0.5)/'계산 과정'!$L$30),"")</x:f>
        <x:v>78.2615993299875</x:v>
      </x:c>
      <x:c r="C563" s="4" t="n">
        <x:f>A563*PI()*(3-SQRT(5))</x:f>
        <x:v>1336.7795189588596</x:v>
      </x:c>
      <x:c r="D563" s="4" t="n">
        <x:f>IF('계산 과정'!$L$5,B563*COS(C563),"")</x:f>
        <x:v>2.4918081876816474</x:v>
      </x:c>
      <x:c r="E563" s="4" t="n">
        <x:f>IF('계산 과정'!$L$5,B563*SIN(C563),"")</x:f>
        <x:v>-78.22192033978266</x:v>
      </x:c>
      <x:c r="F563" s="4" t="n">
        <x:f>IF('계산 과정'!$L$7,'계산 과정'!$L$22+'계산 과정'!$C$49*D563+'계산 과정'!$D$49*E563,"")</x:f>
        <x:v>648.2380255330742</x:v>
      </x:c>
      <x:c r="G563" s="4" t="n">
        <x:f>IF('계산 과정'!$L$7,IF(ABS(F563)&gt;=1E-12*MAX(1,SQRT((D563-'계산 과정'!$C$33)^2+(E563-'계산 과정'!$D$33)^2+'계산 과정'!$E$33^2)),('계산 과정'!$L$23-'계산 과정'!$C$49*D563-'계산 과정'!$D$49*E563)/F563,""),"")</x:f>
        <x:v>0.619775389042535</x:v>
      </x:c>
      <x:c r="H563" s="4" t="n">
        <x:f>IF(AND(ISNUMBER(G563),G563&gt;0),('계산 과정'!$D$56+'계산 과정'!$D$57*D563+'계산 과정'!$D$58*E563)/F563,"")</x:f>
        <x:v>2.8540028776477255</x:v>
      </x:c>
      <x:c r="I563" s="4" t="n">
        <x:f>IF(AND(ISNUMBER(G563),G563&gt;0),('계산 과정'!$E$56+'계산 과정'!$E$57*D563+'계산 과정'!$E$58*E563)/F563,"")</x:f>
        <x:v>-126.70194145002563</x:v>
      </x:c>
      <x:c r="J563" s="4" t="n">
        <x:f>IF('계산 과정'!$L$5,'계산 과정'!$D$6+'계산 과정'!$C$35*D563+'계산 과정'!$D$35*E563,"")</x:f>
        <x:v>648.2380255330742</x:v>
      </x:c>
      <x:c r="K563" s="4" t="n">
        <x:f>IF(AND('계산 과정'!$L$6,J563&gt;0),'계산 과정'!$D$10*('계산 과정'!$C$38*(D563-'계산 과정'!$C$32)+'계산 과정'!$D$38*(E563-'계산 과정'!$D$32)-'계산 과정'!$E$38*'계산 과정'!$E$32)/J563,"")</x:f>
        <x:v>0.021744783829698286</x:v>
      </x:c>
      <x:c r="L563" s="4" t="n">
        <x:f>IF(AND('계산 과정'!$L$6,J563&gt;0),'계산 과정'!$D$10*('계산 과정'!$C$39*(D563-'계산 과정'!$C$32)+'계산 과정'!$D$39*(E563-'계산 과정'!$D$32)-'계산 과정'!$E$39*'계산 과정'!$E$32)/J563,"")</x:f>
        <x:v>-0.9653481253335287</x:v>
      </x:c>
      <x:c r="M563" s="17" t="n">
        <x:f>IF('계산 과정'!$L$6,IF(J563&lt;=0,0,IF(AND(ABS(K563)&lt;='계산 과정'!$D$11/2,ABS(L563)&lt;='계산 과정'!$D$12/2),1,0)),"")</x:f>
        <x:v>1</x:v>
      </x:c>
      <x:c r="N563" s="17" t="n">
        <x:f>IF('계산 과정'!$C$78,IF(AND(ISNUMBER(H563),ISNUMBER(I563),ABS(H563-'계산 과정'!$C$88)&lt;='계산 과정'!$D$23/2,ABS(I563-'계산 과정'!$C$89)&lt;='계산 과정'!$D$24/2),1,0),"")</x:f>
        <x:v>1</x:v>
      </x:c>
      <x:c r="O563" s="4" t="n">
        <x:f>IF('계산 과정'!$L$7,'계산 과정'!$C$49*('계산 과정'!$C$32-D563)+'계산 과정'!$D$49*('계산 과정'!$D$32-E563)+'계산 과정'!$E$49*'계산 과정'!$E$32,"")</x:f>
        <x:v>1.7619744669260058</x:v>
      </x:c>
      <x:c r="P563" s="4" t="n">
        <x:f>IF(AND('계산 과정'!$L$7,O563&lt;&gt;0),('계산 과정'!$L$23-'계산 과정'!$C$49*D563-'계산 과정'!$D$49*E563)/O563,"")</x:f>
        <x:v>228.0180456688751</x:v>
      </x:c>
      <x:c r="Q563" s="4" t="str">
        <x:f>IF(AND(ISNUMBER(P563),P563&gt;1E-9,P563&lt;1-1E-9),'계산 과정'!$C$47*(D563-'계산 과정'!$C$50+P563*('계산 과정'!$C$32-D563))+'계산 과정'!$D$47*(E563-'계산 과정'!$D$50+P563*('계산 과정'!$D$32-E563))+'계산 과정'!$E$47*(0-'계산 과정'!$E$50+P563*('계산 과정'!$E$32-0)),"")</x:f>
      </x:c>
      <x:c r="R563" s="4" t="str">
        <x:f>IF(AND(ISNUMBER(P563),P563&gt;1E-9,P563&lt;1-1E-9),'계산 과정'!$C$48*(D563-'계산 과정'!$C$50+P563*('계산 과정'!$C$32-D563))+'계산 과정'!$D$48*(E563-'계산 과정'!$D$50+P563*('계산 과정'!$D$32-E563))+'계산 과정'!$E$48*(0-'계산 과정'!$E$50+P563*('계산 과정'!$E$32-0)),"")</x:f>
      </x:c>
      <x:c r="S563" s="17" t="n">
        <x:f>IF('계산 과정'!$C$78,IF(AND(ISNUMBER(Q563),ISNUMBER(R563),ABS(Q563-'계산 과정'!$C$88)&lt;='계산 과정'!$D$23/2,ABS(R563-'계산 과정'!$C$89)&lt;='계산 과정'!$D$24/2),1,0),"")</x:f>
        <x:v>0</x:v>
      </x:c>
      <x:c r="T563" s="4"/>
      <x:c r="U563" s="4"/>
      <x:c r="V563" s="4"/>
      <x:c r="W563" s="4" t="n">
        <x:f>IF('계산 과정'!$C$78,'계산 과정'!$C$88+0.4*'계산 과정'!$C$90/2,"")</x:f>
        <x:v>101.13318587134121</x:v>
      </x:c>
      <x:c r="X563" s="4" t="str">
        <x:f>""</x:f>
      </x:c>
      <x:c r="Y563" s="4" t="str">
        <x:f>""</x:f>
      </x:c>
      <x:c r="Z563" s="4" t="n">
        <x:f>IF('계산 과정'!$C$78,'계산 과정'!$C$89+1*'계산 과정'!$C$91/2,"")</x:f>
        <x:v>250.5995703094169</x:v>
      </x:c>
    </x:row>
    <x:row r="564" ht="23" customHeight="1">
      <x:c r="A564" s="17" t="n">
        <x:f>ROW()-6</x:f>
        <x:v>558</x:v>
      </x:c>
      <x:c r="B564" s="4" t="n">
        <x:f>IF('계산 과정'!$L$5,'계산 과정'!$L$11*SQRT((A564+0.5)/'계산 과정'!$L$30),"")</x:f>
        <x:v>78.33175765813314</x:v>
      </x:c>
      <x:c r="C564" s="4" t="n">
        <x:f>A564*PI()*(3-SQRT(5))</x:f>
        <x:v>1339.1794821885883</x:v>
      </x:c>
      <x:c r="D564" s="4" t="n">
        <x:f>IF('계산 과정'!$L$5,B564*COS(C564),"")</x:f>
        <x:v>51.04648628465171</x:v>
      </x:c>
      <x:c r="E564" s="4" t="n">
        <x:f>IF('계산 과정'!$L$5,B564*SIN(C564),"")</x:f>
        <x:v>59.41481714019967</x:v>
      </x:c>
      <x:c r="F564" s="4" t="n">
        <x:f>IF('계산 과정'!$L$7,'계산 과정'!$L$22+'계산 과정'!$C$49*D564+'계산 과정'!$D$49*E564,"")</x:f>
        <x:v>613.9046833923767</x:v>
      </x:c>
      <x:c r="G564" s="4" t="n">
        <x:f>IF('계산 과정'!$L$7,IF(ABS(F564)&gt;=1E-12*MAX(1,SQRT((D564-'계산 과정'!$C$33)^2+(E564-'계산 과정'!$D$33)^2+'계산 과정'!$E$33^2)),('계산 과정'!$L$23-'계산 과정'!$C$49*D564-'계산 과정'!$D$49*E564)/F564,""),"")</x:f>
        <x:v>0.7103632345624139</x:v>
      </x:c>
      <x:c r="H564" s="4" t="n">
        <x:f>IF(AND(ISNUMBER(G564),G564&gt;0),('계산 과정'!$D$56+'계산 과정'!$D$57*D564+'계산 과정'!$D$58*E564)/F564,"")</x:f>
        <x:v>61.73610246556892</x:v>
      </x:c>
      <x:c r="I564" s="4" t="n">
        <x:f>IF(AND(ISNUMBER(G564),G564&gt;0),('계산 과정'!$E$56+'계산 과정'!$E$57*D564+'계산 과정'!$E$58*E564)/F564,"")</x:f>
        <x:v>101.62091882484627</x:v>
      </x:c>
      <x:c r="J564" s="4" t="n">
        <x:f>IF('계산 과정'!$L$5,'계산 과정'!$D$6+'계산 과정'!$C$35*D564+'계산 과정'!$D$35*E564,"")</x:f>
        <x:v>613.9046833923767</x:v>
      </x:c>
      <x:c r="K564" s="4" t="n">
        <x:f>IF(AND('계산 과정'!$L$6,J564&gt;0),'계산 과정'!$D$10*('계산 과정'!$C$38*(D564-'계산 과정'!$C$32)+'계산 과정'!$D$38*(E564-'계산 과정'!$D$32)-'계산 과정'!$E$38*'계산 과정'!$E$32)/J564,"")</x:f>
        <x:v>0.47037030449957357</x:v>
      </x:c>
      <x:c r="L564" s="4" t="n">
        <x:f>IF(AND('계산 과정'!$L$6,J564&gt;0),'계산 과정'!$D$10*('계산 과정'!$C$39*(D564-'계산 과정'!$C$32)+'계산 과정'!$D$39*(E564-'계산 과정'!$D$32)-'계산 과정'!$E$39*'계산 과정'!$E$32)/J564,"")</x:f>
        <x:v>0.7742546196178763</x:v>
      </x:c>
      <x:c r="M564" s="17" t="n">
        <x:f>IF('계산 과정'!$L$6,IF(J564&lt;=0,0,IF(AND(ABS(K564)&lt;='계산 과정'!$D$11/2,ABS(L564)&lt;='계산 과정'!$D$12/2),1,0)),"")</x:f>
        <x:v>1</x:v>
      </x:c>
      <x:c r="N564" s="17" t="n">
        <x:f>IF('계산 과정'!$C$78,IF(AND(ISNUMBER(H564),ISNUMBER(I564),ABS(H564-'계산 과정'!$C$88)&lt;='계산 과정'!$D$23/2,ABS(I564-'계산 과정'!$C$89)&lt;='계산 과정'!$D$24/2),1,0),"")</x:f>
        <x:v>1</x:v>
      </x:c>
      <x:c r="O564" s="4" t="n">
        <x:f>IF('계산 과정'!$L$7,'계산 과정'!$C$49*('계산 과정'!$C$32-D564)+'계산 과정'!$D$49*('계산 과정'!$D$32-E564)+'계산 과정'!$E$49*'계산 과정'!$E$32,"")</x:f>
        <x:v>36.09531660762343</x:v>
      </x:c>
      <x:c r="P564" s="4" t="n">
        <x:f>IF(AND('계산 과정'!$L$7,O564&lt;&gt;0),('계산 과정'!$L$23-'계산 과정'!$C$49*D564-'계산 과정'!$D$49*E564)/O564,"")</x:f>
        <x:v>12.08177009079119</x:v>
      </x:c>
      <x:c r="Q564" s="4" t="str">
        <x:f>IF(AND(ISNUMBER(P564),P564&gt;1E-9,P564&lt;1-1E-9),'계산 과정'!$C$47*(D564-'계산 과정'!$C$50+P564*('계산 과정'!$C$32-D564))+'계산 과정'!$D$47*(E564-'계산 과정'!$D$50+P564*('계산 과정'!$D$32-E564))+'계산 과정'!$E$47*(0-'계산 과정'!$E$50+P564*('계산 과정'!$E$32-0)),"")</x:f>
      </x:c>
      <x:c r="R564" s="4" t="str">
        <x:f>IF(AND(ISNUMBER(P564),P564&gt;1E-9,P564&lt;1-1E-9),'계산 과정'!$C$48*(D564-'계산 과정'!$C$50+P564*('계산 과정'!$C$32-D564))+'계산 과정'!$D$48*(E564-'계산 과정'!$D$50+P564*('계산 과정'!$D$32-E564))+'계산 과정'!$E$48*(0-'계산 과정'!$E$50+P564*('계산 과정'!$E$32-0)),"")</x:f>
      </x:c>
      <x:c r="S564" s="17" t="n">
        <x:f>IF('계산 과정'!$C$78,IF(AND(ISNUMBER(Q564),ISNUMBER(R564),ABS(Q564-'계산 과정'!$C$88)&lt;='계산 과정'!$D$23/2,ABS(R564-'계산 과정'!$C$89)&lt;='계산 과정'!$D$24/2),1,0),"")</x:f>
        <x:v>0</x:v>
      </x:c>
      <x:c r="T564" s="4"/>
      <x:c r="U564" s="4"/>
      <x:c r="V564" s="4"/>
      <x:c r="W564" s="4" t="n">
        <x:f>IF('계산 과정'!$C$78,'계산 과정'!$C$88+0.36*'계산 과정'!$C$90/2,"")</x:f>
        <x:v>93.892207709739</x:v>
      </x:c>
      <x:c r="X564" s="4" t="str">
        <x:f>""</x:f>
      </x:c>
      <x:c r="Y564" s="4" t="str">
        <x:f>""</x:f>
      </x:c>
      <x:c r="Z564" s="4" t="n">
        <x:f>IF('계산 과정'!$C$78,'계산 과정'!$C$89+1*'계산 과정'!$C$91/2,"")</x:f>
        <x:v>250.5995703094169</x:v>
      </x:c>
    </x:row>
    <x:row r="565" ht="23" customHeight="1">
      <x:c r="A565" s="17" t="n">
        <x:f>ROW()-6</x:f>
        <x:v>559</x:v>
      </x:c>
      <x:c r="B565" s="4" t="n">
        <x:f>IF('계산 과정'!$L$5,'계산 과정'!$L$11*SQRT((A565+0.5)/'계산 과정'!$L$30),"")</x:f>
        <x:v>78.40185320473935</x:v>
      </x:c>
      <x:c r="C565" s="4" t="n">
        <x:f>A565*PI()*(3-SQRT(5))</x:f>
        <x:v>1341.579445418317</x:v>
      </x:c>
      <x:c r="D565" s="4" t="n">
        <x:f>IF('계산 과정'!$L$5,B565*COS(C565),"")</x:f>
        <x:v>-77.84381926881613</x:v>
      </x:c>
      <x:c r="E565" s="4" t="n">
        <x:f>IF('계산 과정'!$L$5,B565*SIN(C565),"")</x:f>
        <x:v>-9.33757932129037</x:v>
      </x:c>
      <x:c r="F565" s="4" t="n">
        <x:f>IF('계산 과정'!$L$7,'계산 과정'!$L$22+'계산 과정'!$C$49*D565+'계산 과정'!$D$49*E565,"")</x:f>
        <x:v>705.04389247844</x:v>
      </x:c>
      <x:c r="G565" s="4" t="n">
        <x:f>IF('계산 과정'!$L$7,IF(ABS(F565)&gt;=1E-12*MAX(1,SQRT((D565-'계산 과정'!$C$33)^2+(E565-'계산 과정'!$D$33)^2+'계산 과정'!$E$33^2)),('계산 과정'!$L$23-'계산 과정'!$C$49*D565-'계산 과정'!$D$49*E565)/F565,""),"")</x:f>
        <x:v>0.4892689819763366</x:v>
      </x:c>
      <x:c r="H565" s="4" t="n">
        <x:f>IF(AND(ISNUMBER(G565),G565&gt;0),('계산 과정'!$D$56+'계산 과정'!$D$57*D565+'계산 과정'!$D$58*E565)/F565,"")</x:f>
        <x:v>-81.97516171538128</x:v>
      </x:c>
      <x:c r="I565" s="4" t="n">
        <x:f>IF(AND(ISNUMBER(G565),G565&gt;0),('계산 과정'!$E$56+'계산 과정'!$E$57*D565+'계산 과정'!$E$58*E565)/F565,"")</x:f>
        <x:v>-13.9061672499414</x:v>
      </x:c>
      <x:c r="J565" s="4" t="n">
        <x:f>IF('계산 과정'!$L$5,'계산 과정'!$D$6+'계산 과정'!$C$35*D565+'계산 과정'!$D$35*E565,"")</x:f>
        <x:v>705.04389247844</x:v>
      </x:c>
      <x:c r="K565" s="4" t="n">
        <x:f>IF(AND('계산 과정'!$L$6,J565&gt;0),'계산 과정'!$D$10*('계산 과정'!$C$38*(D565-'계산 과정'!$C$32)+'계산 과정'!$D$38*(E565-'계산 과정'!$D$32)-'계산 과정'!$E$38*'계산 과정'!$E$32)/J565,"")</x:f>
        <x:v>-0.6245726606886179</x:v>
      </x:c>
      <x:c r="L565" s="4" t="n">
        <x:f>IF(AND('계산 과정'!$L$6,J565&gt;0),'계산 과정'!$D$10*('계산 과정'!$C$39*(D565-'계산 과정'!$C$32)+'계산 과정'!$D$39*(E565-'계산 과정'!$D$32)-'계산 과정'!$E$39*'계산 과정'!$E$32)/J565,"")</x:f>
        <x:v>-0.10595175047574401</x:v>
      </x:c>
      <x:c r="M565" s="17" t="n">
        <x:f>IF('계산 과정'!$L$6,IF(J565&lt;=0,0,IF(AND(ABS(K565)&lt;='계산 과정'!$D$11/2,ABS(L565)&lt;='계산 과정'!$D$12/2),1,0)),"")</x:f>
        <x:v>1</x:v>
      </x:c>
      <x:c r="N565" s="17" t="n">
        <x:f>IF('계산 과정'!$C$78,IF(AND(ISNUMBER(H565),ISNUMBER(I565),ABS(H565-'계산 과정'!$C$88)&lt;='계산 과정'!$D$23/2,ABS(I565-'계산 과정'!$C$89)&lt;='계산 과정'!$D$24/2),1,0),"")</x:f>
        <x:v>1</x:v>
      </x:c>
      <x:c r="O565" s="4" t="n">
        <x:f>IF('계산 과정'!$L$7,'계산 과정'!$C$49*('계산 과정'!$C$32-D565)+'계산 과정'!$D$49*('계산 과정'!$D$32-E565)+'계산 과정'!$E$49*'계산 과정'!$E$32,"")</x:f>
        <x:v>-55.04389247843977</x:v>
      </x:c>
      <x:c r="P565" s="4" t="n">
        <x:f>IF(AND('계산 과정'!$L$7,O565&lt;&gt;0),('계산 과정'!$L$23-'계산 과정'!$C$49*D565-'계산 과정'!$D$49*E565)/O565,"")</x:f>
        <x:v>-6.266927936767488</x:v>
      </x:c>
      <x:c r="Q565" s="4" t="str">
        <x:f>IF(AND(ISNUMBER(P565),P565&gt;1E-9,P565&lt;1-1E-9),'계산 과정'!$C$47*(D565-'계산 과정'!$C$50+P565*('계산 과정'!$C$32-D565))+'계산 과정'!$D$47*(E565-'계산 과정'!$D$50+P565*('계산 과정'!$D$32-E565))+'계산 과정'!$E$47*(0-'계산 과정'!$E$50+P565*('계산 과정'!$E$32-0)),"")</x:f>
      </x:c>
      <x:c r="R565" s="4" t="str">
        <x:f>IF(AND(ISNUMBER(P565),P565&gt;1E-9,P565&lt;1-1E-9),'계산 과정'!$C$48*(D565-'계산 과정'!$C$50+P565*('계산 과정'!$C$32-D565))+'계산 과정'!$D$48*(E565-'계산 과정'!$D$50+P565*('계산 과정'!$D$32-E565))+'계산 과정'!$E$48*(0-'계산 과정'!$E$50+P565*('계산 과정'!$E$32-0)),"")</x:f>
      </x:c>
      <x:c r="S565" s="17" t="n">
        <x:f>IF('계산 과정'!$C$78,IF(AND(ISNUMBER(Q565),ISNUMBER(R565),ABS(Q565-'계산 과정'!$C$88)&lt;='계산 과정'!$D$23/2,ABS(R565-'계산 과정'!$C$89)&lt;='계산 과정'!$D$24/2),1,0),"")</x:f>
        <x:v>0</x:v>
      </x:c>
      <x:c r="T565" s="4"/>
      <x:c r="U565" s="4"/>
      <x:c r="V565" s="4"/>
      <x:c r="W565" s="4" t="n">
        <x:f>IF('계산 과정'!$C$78,'계산 과정'!$C$88+0.31999999999999995*'계산 과정'!$C$90/2,"")</x:f>
        <x:v>86.65122954813677</x:v>
      </x:c>
      <x:c r="X565" s="4" t="str">
        <x:f>""</x:f>
      </x:c>
      <x:c r="Y565" s="4" t="str">
        <x:f>""</x:f>
      </x:c>
      <x:c r="Z565" s="4" t="n">
        <x:f>IF('계산 과정'!$C$78,'계산 과정'!$C$89+1*'계산 과정'!$C$91/2,"")</x:f>
        <x:v>250.5995703094169</x:v>
      </x:c>
    </x:row>
    <x:row r="566" ht="23" customHeight="1">
      <x:c r="A566" s="17" t="n">
        <x:f>ROW()-6</x:f>
        <x:v>560</x:v>
      </x:c>
      <x:c r="B566" s="4" t="n">
        <x:f>IF('계산 과정'!$L$5,'계산 과정'!$L$11*SQRT((A566+0.5)/'계산 과정'!$L$30),"")</x:f>
        <x:v>78.47188613804629</x:v>
      </x:c>
      <x:c r="C566" s="4" t="n">
        <x:f>A566*PI()*(3-SQRT(5))</x:f>
        <x:v>1343.9794086480456</x:v>
      </x:c>
      <x:c r="D566" s="4" t="n">
        <x:f>IF('계산 과정'!$L$5,B566*COS(C566),"")</x:f>
        <x:v>63.76396059724169</x:v>
      </x:c>
      <x:c r="E566" s="4" t="n">
        <x:f>IF('계산 과정'!$L$5,B566*SIN(C566),"")</x:f>
        <x:v>-45.738323570239324</x:v>
      </x:c>
      <x:c r="F566" s="4" t="n">
        <x:f>IF('계산 과정'!$L$7,'계산 과정'!$L$22+'계산 과정'!$C$49*D566+'계산 과정'!$D$49*E566,"")</x:f>
        <x:v>604.9120710663785</x:v>
      </x:c>
      <x:c r="G566" s="4" t="n">
        <x:f>IF('계산 과정'!$L$7,IF(ABS(F566)&gt;=1E-12*MAX(1,SQRT((D566-'계산 과정'!$C$33)^2+(E566-'계산 과정'!$D$33)^2+'계산 과정'!$E$33^2)),('계산 과정'!$L$23-'계산 과정'!$C$49*D566-'계산 과정'!$D$49*E566)/F566,""),"")</x:f>
        <x:v>0.7357894646555677</x:v>
      </x:c>
      <x:c r="H566" s="4" t="n">
        <x:f>IF(AND(ISNUMBER(G566),G566&gt;0),('계산 과정'!$D$56+'계산 과정'!$D$57*D566+'계산 과정'!$D$58*E566)/F566,"")</x:f>
        <x:v>78.2631520261189</x:v>
      </x:c>
      <x:c r="I566" s="4" t="n">
        <x:f>IF(AND(ISNUMBER(G566),G566&gt;0),('계산 과정'!$E$56+'계산 과정'!$E$57*D566+'계산 과정'!$E$58*E566)/F566,"")</x:f>
        <x:v>-79.39210018422885</x:v>
      </x:c>
      <x:c r="J566" s="4" t="n">
        <x:f>IF('계산 과정'!$L$5,'계산 과정'!$D$6+'계산 과정'!$C$35*D566+'계산 과정'!$D$35*E566,"")</x:f>
        <x:v>604.9120710663785</x:v>
      </x:c>
      <x:c r="K566" s="4" t="n">
        <x:f>IF(AND('계산 과정'!$L$6,J566&gt;0),'계산 과정'!$D$10*('계산 과정'!$C$38*(D566-'계산 과정'!$C$32)+'계산 과정'!$D$38*(E566-'계산 과정'!$D$32)-'계산 과정'!$E$38*'계산 과정'!$E$32)/J566,"")</x:f>
        <x:v>0.5962906821037638</x:v>
      </x:c>
      <x:c r="L566" s="4" t="n">
        <x:f>IF(AND('계산 과정'!$L$6,J566&gt;0),'계산 과정'!$D$10*('계산 과정'!$C$39*(D566-'계산 과정'!$C$32)+'계산 과정'!$D$39*(E566-'계산 과정'!$D$32)-'계산 과정'!$E$39*'계산 과정'!$E$32)/J566,"")</x:f>
        <x:v>-0.6048921918798389</x:v>
      </x:c>
      <x:c r="M566" s="17" t="n">
        <x:f>IF('계산 과정'!$L$6,IF(J566&lt;=0,0,IF(AND(ABS(K566)&lt;='계산 과정'!$D$11/2,ABS(L566)&lt;='계산 과정'!$D$12/2),1,0)),"")</x:f>
        <x:v>1</x:v>
      </x:c>
      <x:c r="N566" s="17" t="n">
        <x:f>IF('계산 과정'!$C$78,IF(AND(ISNUMBER(H566),ISNUMBER(I566),ABS(H566-'계산 과정'!$C$88)&lt;='계산 과정'!$D$23/2,ABS(I566-'계산 과정'!$C$89)&lt;='계산 과정'!$D$24/2),1,0),"")</x:f>
        <x:v>1</x:v>
      </x:c>
      <x:c r="O566" s="4" t="n">
        <x:f>IF('계산 과정'!$L$7,'계산 과정'!$C$49*('계산 과정'!$C$32-D566)+'계산 과정'!$D$49*('계산 과정'!$D$32-E566)+'계산 과정'!$E$49*'계산 과정'!$E$32,"")</x:f>
        <x:v>45.08792893362153</x:v>
      </x:c>
      <x:c r="P566" s="4" t="n">
        <x:f>IF(AND('계산 과정'!$L$7,O566&lt;&gt;0),('계산 과정'!$L$23-'계산 과정'!$C$49*D566-'계산 과정'!$D$49*E566)/O566,"")</x:f>
        <x:v>9.871554082443664</x:v>
      </x:c>
      <x:c r="Q566" s="4" t="str">
        <x:f>IF(AND(ISNUMBER(P566),P566&gt;1E-9,P566&lt;1-1E-9),'계산 과정'!$C$47*(D566-'계산 과정'!$C$50+P566*('계산 과정'!$C$32-D566))+'계산 과정'!$D$47*(E566-'계산 과정'!$D$50+P566*('계산 과정'!$D$32-E566))+'계산 과정'!$E$47*(0-'계산 과정'!$E$50+P566*('계산 과정'!$E$32-0)),"")</x:f>
      </x:c>
      <x:c r="R566" s="4" t="str">
        <x:f>IF(AND(ISNUMBER(P566),P566&gt;1E-9,P566&lt;1-1E-9),'계산 과정'!$C$48*(D566-'계산 과정'!$C$50+P566*('계산 과정'!$C$32-D566))+'계산 과정'!$D$48*(E566-'계산 과정'!$D$50+P566*('계산 과정'!$D$32-E566))+'계산 과정'!$E$48*(0-'계산 과정'!$E$50+P566*('계산 과정'!$E$32-0)),"")</x:f>
      </x:c>
      <x:c r="S566" s="17" t="n">
        <x:f>IF('계산 과정'!$C$78,IF(AND(ISNUMBER(Q566),ISNUMBER(R566),ABS(Q566-'계산 과정'!$C$88)&lt;='계산 과정'!$D$23/2,ABS(R566-'계산 과정'!$C$89)&lt;='계산 과정'!$D$24/2),1,0),"")</x:f>
        <x:v>0</x:v>
      </x:c>
      <x:c r="T566" s="4"/>
      <x:c r="U566" s="4"/>
      <x:c r="V566" s="4"/>
      <x:c r="W566" s="4" t="n">
        <x:f>IF('계산 과정'!$C$78,'계산 과정'!$C$88+0.28*'계산 과정'!$C$90/2,"")</x:f>
        <x:v>79.41025138653455</x:v>
      </x:c>
      <x:c r="X566" s="4" t="str">
        <x:f>""</x:f>
      </x:c>
      <x:c r="Y566" s="4" t="str">
        <x:f>""</x:f>
      </x:c>
      <x:c r="Z566" s="4" t="n">
        <x:f>IF('계산 과정'!$C$78,'계산 과정'!$C$89+1*'계산 과정'!$C$91/2,"")</x:f>
        <x:v>250.5995703094169</x:v>
      </x:c>
    </x:row>
    <x:row r="567" ht="23" customHeight="1">
      <x:c r="A567" s="17" t="n">
        <x:f>ROW()-6</x:f>
        <x:v>561</x:v>
      </x:c>
      <x:c r="B567" s="4" t="n">
        <x:f>IF('계산 과정'!$L$5,'계산 과정'!$L$11*SQRT((A567+0.5)/'계산 과정'!$L$30),"")</x:f>
        <x:v>78.54185662554393</x:v>
      </x:c>
      <x:c r="C567" s="4" t="n">
        <x:f>A567*PI()*(3-SQRT(5))</x:f>
        <x:v>1346.3793718777742</x:v>
      </x:c>
      <x:c r="D567" s="4" t="n">
        <x:f>IF('계산 과정'!$L$5,B567*COS(C567),"")</x:f>
        <x:v>-16.136141624630408</x:v>
      </x:c>
      <x:c r="E567" s="4" t="n">
        <x:f>IF('계산 과정'!$L$5,B567*SIN(C567),"")</x:f>
        <x:v>76.86643074618054</x:v>
      </x:c>
      <x:c r="F567" s="4" t="n">
        <x:f>IF('계산 과정'!$L$7,'계산 과정'!$L$22+'계산 과정'!$C$49*D567+'계산 과정'!$D$49*E567,"")</x:f>
        <x:v>661.4099751649627</x:v>
      </x:c>
      <x:c r="G567" s="4" t="n">
        <x:f>IF('계산 과정'!$L$7,IF(ABS(F567)&gt;=1E-12*MAX(1,SQRT((D567-'계산 과정'!$C$33)^2+(E567-'계산 과정'!$D$33)^2+'계산 과정'!$E$33^2)),('계산 과정'!$L$23-'계산 과정'!$C$49*D567-'계산 과정'!$D$49*E567)/F567,""),"")</x:f>
        <x:v>0.5875176356965569</x:v>
      </x:c>
      <x:c r="H567" s="4" t="n">
        <x:f>IF(AND(ISNUMBER(G567),G567&gt;0),('계산 과정'!$D$56+'계산 과정'!$D$57*D567+'계산 과정'!$D$58*E567)/F567,"")</x:f>
        <x:v>-18.113536797238098</x:v>
      </x:c>
      <x:c r="I567" s="4" t="n">
        <x:f>IF(AND(ISNUMBER(G567),G567&gt;0),('계산 과정'!$E$56+'계산 과정'!$E$57*D567+'계산 과정'!$E$58*E567)/F567,"")</x:f>
        <x:v>122.02681440260966</x:v>
      </x:c>
      <x:c r="J567" s="4" t="n">
        <x:f>IF('계산 과정'!$L$5,'계산 과정'!$D$6+'계산 과정'!$C$35*D567+'계산 과정'!$D$35*E567,"")</x:f>
        <x:v>661.4099751649627</x:v>
      </x:c>
      <x:c r="K567" s="4" t="n">
        <x:f>IF(AND('계산 과정'!$L$6,J567&gt;0),'계산 과정'!$D$10*('계산 과정'!$C$38*(D567-'계산 과정'!$C$32)+'계산 과정'!$D$38*(E567-'계산 과정'!$D$32)-'계산 과정'!$E$38*'계산 과정'!$E$32)/J567,"")</x:f>
        <x:v>-0.13800789940752708</x:v>
      </x:c>
      <x:c r="L567" s="4" t="n">
        <x:f>IF(AND('계산 과정'!$L$6,J567&gt;0),'계산 과정'!$D$10*('계산 과정'!$C$39*(D567-'계산 과정'!$C$32)+'계산 과정'!$D$39*(E567-'계산 과정'!$D$32)-'계산 과정'!$E$39*'계산 과정'!$E$32)/J567,"")</x:f>
        <x:v>0.9297281097341689</x:v>
      </x:c>
      <x:c r="M567" s="17" t="n">
        <x:f>IF('계산 과정'!$L$6,IF(J567&lt;=0,0,IF(AND(ABS(K567)&lt;='계산 과정'!$D$11/2,ABS(L567)&lt;='계산 과정'!$D$12/2),1,0)),"")</x:f>
        <x:v>1</x:v>
      </x:c>
      <x:c r="N567" s="17" t="n">
        <x:f>IF('계산 과정'!$C$78,IF(AND(ISNUMBER(H567),ISNUMBER(I567),ABS(H567-'계산 과정'!$C$88)&lt;='계산 과정'!$D$23/2,ABS(I567-'계산 과정'!$C$89)&lt;='계산 과정'!$D$24/2),1,0),"")</x:f>
        <x:v>1</x:v>
      </x:c>
      <x:c r="O567" s="4" t="n">
        <x:f>IF('계산 과정'!$L$7,'계산 과정'!$C$49*('계산 과정'!$C$32-D567)+'계산 과정'!$D$49*('계산 과정'!$D$32-E567)+'계산 과정'!$E$49*'계산 과정'!$E$32,"")</x:f>
        <x:v>-11.409975164962532</x:v>
      </x:c>
      <x:c r="P567" s="4" t="n">
        <x:f>IF(AND('계산 과정'!$L$7,O567&lt;&gt;0),('계산 과정'!$L$23-'계산 과정'!$C$49*D567-'계산 과정'!$D$49*E567)/O567,"")</x:f>
        <x:v>-34.05704387756337</x:v>
      </x:c>
      <x:c r="Q567" s="4" t="str">
        <x:f>IF(AND(ISNUMBER(P567),P567&gt;1E-9,P567&lt;1-1E-9),'계산 과정'!$C$47*(D567-'계산 과정'!$C$50+P567*('계산 과정'!$C$32-D567))+'계산 과정'!$D$47*(E567-'계산 과정'!$D$50+P567*('계산 과정'!$D$32-E567))+'계산 과정'!$E$47*(0-'계산 과정'!$E$50+P567*('계산 과정'!$E$32-0)),"")</x:f>
      </x:c>
      <x:c r="R567" s="4" t="str">
        <x:f>IF(AND(ISNUMBER(P567),P567&gt;1E-9,P567&lt;1-1E-9),'계산 과정'!$C$48*(D567-'계산 과정'!$C$50+P567*('계산 과정'!$C$32-D567))+'계산 과정'!$D$48*(E567-'계산 과정'!$D$50+P567*('계산 과정'!$D$32-E567))+'계산 과정'!$E$48*(0-'계산 과정'!$E$50+P567*('계산 과정'!$E$32-0)),"")</x:f>
      </x:c>
      <x:c r="S567" s="17" t="n">
        <x:f>IF('계산 과정'!$C$78,IF(AND(ISNUMBER(Q567),ISNUMBER(R567),ABS(Q567-'계산 과정'!$C$88)&lt;='계산 과정'!$D$23/2,ABS(R567-'계산 과정'!$C$89)&lt;='계산 과정'!$D$24/2),1,0),"")</x:f>
        <x:v>0</x:v>
      </x:c>
      <x:c r="T567" s="4"/>
      <x:c r="U567" s="4"/>
      <x:c r="V567" s="4"/>
      <x:c r="W567" s="4" t="n">
        <x:f>IF('계산 과정'!$C$78,'계산 과정'!$C$88+0.24*'계산 과정'!$C$90/2,"")</x:f>
        <x:v>72.16927322493234</x:v>
      </x:c>
      <x:c r="X567" s="4" t="str">
        <x:f>""</x:f>
      </x:c>
      <x:c r="Y567" s="4" t="str">
        <x:f>""</x:f>
      </x:c>
      <x:c r="Z567" s="4" t="n">
        <x:f>IF('계산 과정'!$C$78,'계산 과정'!$C$89+1*'계산 과정'!$C$91/2,"")</x:f>
        <x:v>250.5995703094169</x:v>
      </x:c>
    </x:row>
    <x:row r="568" ht="23" customHeight="1">
      <x:c r="A568" s="17" t="n">
        <x:f>ROW()-6</x:f>
        <x:v>562</x:v>
      </x:c>
      <x:c r="B568" s="4" t="n">
        <x:f>IF('계산 과정'!$L$5,'계산 과정'!$L$11*SQRT((A568+0.5)/'계산 과정'!$L$30),"")</x:f>
        <x:v>78.61176483397698</x:v>
      </x:c>
      <x:c r="C568" s="4" t="n">
        <x:f>A568*PI()*(3-SQRT(5))</x:f>
        <x:v>1348.779335107503</x:v>
      </x:c>
      <x:c r="D568" s="4" t="n">
        <x:f>IF('계산 과정'!$L$5,B568*COS(C568),"")</x:f>
        <x:v>-40.0598638854043</x:v>
      </x:c>
      <x:c r="E568" s="4" t="n">
        <x:f>IF('계산 과정'!$L$5,B568*SIN(C568),"")</x:f>
        <x:v>-67.63887104169746</x:v>
      </x:c>
      <x:c r="F568" s="4" t="n">
        <x:f>IF('계산 과정'!$L$7,'계산 과정'!$L$22+'계산 과정'!$C$49*D568+'계산 과정'!$D$49*E568,"")</x:f>
        <x:v>678.3266014067794</x:v>
      </x:c>
      <x:c r="G568" s="4" t="n">
        <x:f>IF('계산 과정'!$L$7,IF(ABS(F568)&gt;=1E-12*MAX(1,SQRT((D568-'계산 과정'!$C$33)^2+(E568-'계산 과정'!$D$33)^2+'계산 과정'!$E$33^2)),('계산 과정'!$L$23-'계산 과정'!$C$49*D568-'계산 과정'!$D$49*E568)/F568,""),"")</x:f>
        <x:v>0.547926909872631</x:v>
      </x:c>
      <x:c r="H568" s="4" t="n">
        <x:f>IF(AND(ISNUMBER(G568),G568&gt;0),('계산 과정'!$D$56+'계산 과정'!$D$57*D568+'계산 과정'!$D$58*E568)/F568,"")</x:f>
        <x:v>-43.84750858278996</x:v>
      </x:c>
      <x:c r="I568" s="4" t="n">
        <x:f>IF(AND(ISNUMBER(G568),G568&gt;0),('계산 과정'!$E$56+'계산 과정'!$E$57*D568+'계산 과정'!$E$58*E568)/F568,"")</x:f>
        <x:v>-104.70002863884812</x:v>
      </x:c>
      <x:c r="J568" s="4" t="n">
        <x:f>IF('계산 과정'!$L$5,'계산 과정'!$D$6+'계산 과정'!$C$35*D568+'계산 과정'!$D$35*E568,"")</x:f>
        <x:v>678.3266014067794</x:v>
      </x:c>
      <x:c r="K568" s="4" t="n">
        <x:f>IF(AND('계산 과정'!$L$6,J568&gt;0),'계산 과정'!$D$10*('계산 과정'!$C$38*(D568-'계산 과정'!$C$32)+'계산 과정'!$D$38*(E568-'계산 과정'!$D$32)-'계산 과정'!$E$38*'계산 과정'!$E$32)/J568,"")</x:f>
        <x:v>-0.3340762558688749</x:v>
      </x:c>
      <x:c r="L568" s="4" t="n">
        <x:f>IF(AND('계산 과정'!$L$6,J568&gt;0),'계산 과정'!$D$10*('계산 과정'!$C$39*(D568-'계산 과정'!$C$32)+'계산 과정'!$D$39*(E568-'계산 과정'!$D$32)-'계산 과정'!$E$39*'계산 과정'!$E$32)/J568,"")</x:f>
        <x:v>-0.7977145039150334</x:v>
      </x:c>
      <x:c r="M568" s="17" t="n">
        <x:f>IF('계산 과정'!$L$6,IF(J568&lt;=0,0,IF(AND(ABS(K568)&lt;='계산 과정'!$D$11/2,ABS(L568)&lt;='계산 과정'!$D$12/2),1,0)),"")</x:f>
        <x:v>1</x:v>
      </x:c>
      <x:c r="N568" s="17" t="n">
        <x:f>IF('계산 과정'!$C$78,IF(AND(ISNUMBER(H568),ISNUMBER(I568),ABS(H568-'계산 과정'!$C$88)&lt;='계산 과정'!$D$23/2,ABS(I568-'계산 과정'!$C$89)&lt;='계산 과정'!$D$24/2),1,0),"")</x:f>
        <x:v>1</x:v>
      </x:c>
      <x:c r="O568" s="4" t="n">
        <x:f>IF('계산 과정'!$L$7,'계산 과정'!$C$49*('계산 과정'!$C$32-D568)+'계산 과정'!$D$49*('계산 과정'!$D$32-E568)+'계산 과정'!$E$49*'계산 과정'!$E$32,"")</x:f>
        <x:v>-28.326601406779332</x:v>
      </x:c>
      <x:c r="P568" s="4" t="n">
        <x:f>IF(AND('계산 과정'!$L$7,O568&lt;&gt;0),('계산 과정'!$L$23-'계산 과정'!$C$49*D568-'계산 과정'!$D$49*E568)/O568,"")</x:f>
        <x:v>-13.121002172335045</x:v>
      </x:c>
      <x:c r="Q568" s="4" t="str">
        <x:f>IF(AND(ISNUMBER(P568),P568&gt;1E-9,P568&lt;1-1E-9),'계산 과정'!$C$47*(D568-'계산 과정'!$C$50+P568*('계산 과정'!$C$32-D568))+'계산 과정'!$D$47*(E568-'계산 과정'!$D$50+P568*('계산 과정'!$D$32-E568))+'계산 과정'!$E$47*(0-'계산 과정'!$E$50+P568*('계산 과정'!$E$32-0)),"")</x:f>
      </x:c>
      <x:c r="R568" s="4" t="str">
        <x:f>IF(AND(ISNUMBER(P568),P568&gt;1E-9,P568&lt;1-1E-9),'계산 과정'!$C$48*(D568-'계산 과정'!$C$50+P568*('계산 과정'!$C$32-D568))+'계산 과정'!$D$48*(E568-'계산 과정'!$D$50+P568*('계산 과정'!$D$32-E568))+'계산 과정'!$E$48*(0-'계산 과정'!$E$50+P568*('계산 과정'!$E$32-0)),"")</x:f>
      </x:c>
      <x:c r="S568" s="17" t="n">
        <x:f>IF('계산 과정'!$C$78,IF(AND(ISNUMBER(Q568),ISNUMBER(R568),ABS(Q568-'계산 과정'!$C$88)&lt;='계산 과정'!$D$23/2,ABS(R568-'계산 과정'!$C$89)&lt;='계산 과정'!$D$24/2),1,0),"")</x:f>
        <x:v>0</x:v>
      </x:c>
      <x:c r="T568" s="4"/>
      <x:c r="U568" s="4"/>
      <x:c r="V568" s="4"/>
      <x:c r="W568" s="4" t="n">
        <x:f>IF('계산 과정'!$C$78,'계산 과정'!$C$88+0.19999999999999996*'계산 과정'!$C$90/2,"")</x:f>
        <x:v>64.92829506333011</x:v>
      </x:c>
      <x:c r="X568" s="4" t="str">
        <x:f>""</x:f>
      </x:c>
      <x:c r="Y568" s="4" t="str">
        <x:f>""</x:f>
      </x:c>
      <x:c r="Z568" s="4" t="n">
        <x:f>IF('계산 과정'!$C$78,'계산 과정'!$C$89+1*'계산 과정'!$C$91/2,"")</x:f>
        <x:v>250.5995703094169</x:v>
      </x:c>
    </x:row>
    <x:row r="569" ht="23" customHeight="1">
      <x:c r="A569" s="17" t="n">
        <x:f>ROW()-6</x:f>
        <x:v>563</x:v>
      </x:c>
      <x:c r="B569" s="4" t="n">
        <x:f>IF('계산 과정'!$L$5,'계산 과정'!$L$11*SQRT((A569+0.5)/'계산 과정'!$L$30),"")</x:f>
        <x:v>78.6816109293493</x:v>
      </x:c>
      <x:c r="C569" s="4" t="n">
        <x:f>A569*PI()*(3-SQRT(5))</x:f>
        <x:v>1351.1792983372316</x:v>
      </x:c>
      <x:c r="D569" s="4" t="n">
        <x:f>IF('계산 과정'!$L$5,B569*COS(C569),"")</x:f>
        <x:v>75.29513769722904</x:v>
      </x:c>
      <x:c r="E569" s="4" t="n">
        <x:f>IF('계산 과정'!$L$5,B569*SIN(C569),"")</x:f>
        <x:v>22.835019982317025</x:v>
      </x:c>
      <x:c r="F569" s="4" t="n">
        <x:f>IF('계산 과정'!$L$7,'계산 과정'!$L$22+'계산 과정'!$C$49*D569+'계산 과정'!$D$49*E569,"")</x:f>
        <x:v>596.7582975439145</x:v>
      </x:c>
      <x:c r="G569" s="4" t="n">
        <x:f>IF('계산 과정'!$L$7,IF(ABS(F569)&gt;=1E-12*MAX(1,SQRT((D569-'계산 과정'!$C$33)^2+(E569-'계산 과정'!$D$33)^2+'계산 과정'!$E$33^2)),('계산 과정'!$L$23-'계산 과정'!$C$49*D569-'계산 과정'!$D$49*E569)/F569,""),"")</x:f>
        <x:v>0.759506326634247</x:v>
      </x:c>
      <x:c r="H569" s="4" t="n">
        <x:f>IF(AND(ISNUMBER(G569),G569&gt;0),('계산 과정'!$D$56+'계산 과정'!$D$57*D569+'계산 과정'!$D$58*E569)/F569,"")</x:f>
        <x:v>93.67911231226046</x:v>
      </x:c>
      <x:c r="I569" s="4" t="n">
        <x:f>IF(AND(ISNUMBER(G569),G569&gt;0),('계산 과정'!$E$56+'계산 과정'!$E$57*D569+'계산 과정'!$E$58*E569)/F569,"")</x:f>
        <x:v>40.17836212770626</x:v>
      </x:c>
      <x:c r="J569" s="4" t="n">
        <x:f>IF('계산 과정'!$L$5,'계산 과정'!$D$6+'계산 과정'!$C$35*D569+'계산 과정'!$D$35*E569,"")</x:f>
        <x:v>596.7582975439145</x:v>
      </x:c>
      <x:c r="K569" s="4" t="n">
        <x:f>IF(AND('계산 과정'!$L$6,J569&gt;0),'계산 과정'!$D$10*('계산 과정'!$C$38*(D569-'계산 과정'!$C$32)+'계산 과정'!$D$38*(E569-'계산 과정'!$D$32)-'계산 과정'!$E$38*'계산 과정'!$E$32)/J569,"")</x:f>
        <x:v>0.7137456176172238</x:v>
      </x:c>
      <x:c r="L569" s="4" t="n">
        <x:f>IF(AND('계산 과정'!$L$6,J569&gt;0),'계산 과정'!$D$10*('계산 과정'!$C$39*(D569-'계산 과정'!$C$32)+'계산 과정'!$D$39*(E569-'계산 과정'!$D$32)-'계산 과정'!$E$39*'계산 과정'!$E$32)/J569,"")</x:f>
        <x:v>0.3061208543063334</x:v>
      </x:c>
      <x:c r="M569" s="17" t="n">
        <x:f>IF('계산 과정'!$L$6,IF(J569&lt;=0,0,IF(AND(ABS(K569)&lt;='계산 과정'!$D$11/2,ABS(L569)&lt;='계산 과정'!$D$12/2),1,0)),"")</x:f>
        <x:v>1</x:v>
      </x:c>
      <x:c r="N569" s="17" t="n">
        <x:f>IF('계산 과정'!$C$78,IF(AND(ISNUMBER(H569),ISNUMBER(I569),ABS(H569-'계산 과정'!$C$88)&lt;='계산 과정'!$D$23/2,ABS(I569-'계산 과정'!$C$89)&lt;='계산 과정'!$D$24/2),1,0),"")</x:f>
        <x:v>1</x:v>
      </x:c>
      <x:c r="O569" s="4" t="n">
        <x:f>IF('계산 과정'!$L$7,'계산 과정'!$C$49*('계산 과정'!$C$32-D569)+'계산 과정'!$D$49*('계산 과정'!$D$32-E569)+'계산 과정'!$E$49*'계산 과정'!$E$32,"")</x:f>
        <x:v>53.24170245608559</x:v>
      </x:c>
      <x:c r="P569" s="4" t="n">
        <x:f>IF(AND('계산 과정'!$L$7,O569&lt;&gt;0),('계산 과정'!$L$23-'계산 과정'!$C$49*D569-'계산 과정'!$D$49*E569)/O569,"")</x:f>
        <x:v>8.512907768678598</x:v>
      </x:c>
      <x:c r="Q569" s="4" t="str">
        <x:f>IF(AND(ISNUMBER(P569),P569&gt;1E-9,P569&lt;1-1E-9),'계산 과정'!$C$47*(D569-'계산 과정'!$C$50+P569*('계산 과정'!$C$32-D569))+'계산 과정'!$D$47*(E569-'계산 과정'!$D$50+P569*('계산 과정'!$D$32-E569))+'계산 과정'!$E$47*(0-'계산 과정'!$E$50+P569*('계산 과정'!$E$32-0)),"")</x:f>
      </x:c>
      <x:c r="R569" s="4" t="str">
        <x:f>IF(AND(ISNUMBER(P569),P569&gt;1E-9,P569&lt;1-1E-9),'계산 과정'!$C$48*(D569-'계산 과정'!$C$50+P569*('계산 과정'!$C$32-D569))+'계산 과정'!$D$48*(E569-'계산 과정'!$D$50+P569*('계산 과정'!$D$32-E569))+'계산 과정'!$E$48*(0-'계산 과정'!$E$50+P569*('계산 과정'!$E$32-0)),"")</x:f>
      </x:c>
      <x:c r="S569" s="17" t="n">
        <x:f>IF('계산 과정'!$C$78,IF(AND(ISNUMBER(Q569),ISNUMBER(R569),ABS(Q569-'계산 과정'!$C$88)&lt;='계산 과정'!$D$23/2,ABS(R569-'계산 과정'!$C$89)&lt;='계산 과정'!$D$24/2),1,0),"")</x:f>
        <x:v>0</x:v>
      </x:c>
      <x:c r="T569" s="4"/>
      <x:c r="U569" s="4"/>
      <x:c r="V569" s="4"/>
      <x:c r="W569" s="4" t="n">
        <x:f>IF('계산 과정'!$C$78,'계산 과정'!$C$88+0.16000000000000003*'계산 과정'!$C$90/2,"")</x:f>
        <x:v>57.68731690172791</x:v>
      </x:c>
      <x:c r="X569" s="4" t="str">
        <x:f>""</x:f>
      </x:c>
      <x:c r="Y569" s="4" t="str">
        <x:f>""</x:f>
      </x:c>
      <x:c r="Z569" s="4" t="n">
        <x:f>IF('계산 과정'!$C$78,'계산 과정'!$C$89+1*'계산 과정'!$C$91/2,"")</x:f>
        <x:v>250.5995703094169</x:v>
      </x:c>
    </x:row>
    <x:row r="570" ht="23" customHeight="1">
      <x:c r="A570" s="17" t="n">
        <x:f>ROW()-6</x:f>
        <x:v>564</x:v>
      </x:c>
      <x:c r="B570" s="4" t="n">
        <x:f>IF('계산 과정'!$L$5,'계산 과정'!$L$11*SQRT((A570+0.5)/'계산 과정'!$L$30),"")</x:f>
        <x:v>78.75139507692863</x:v>
      </x:c>
      <x:c r="C570" s="4" t="n">
        <x:f>A570*PI()*(3-SQRT(5))</x:f>
        <x:v>1353.5792615669602</x:v>
      </x:c>
      <x:c r="D570" s="4" t="n">
        <x:f>IF('계산 과정'!$L$5,B570*COS(C570),"")</x:f>
        <x:v>-71.00804809430414</x:v>
      </x:c>
      <x:c r="E570" s="4" t="n">
        <x:f>IF('계산 과정'!$L$5,B570*SIN(C570),"")</x:f>
        <x:v>34.05347753753628</x:v>
      </x:c>
      <x:c r="F570" s="4" t="n">
        <x:f>IF('계산 과정'!$L$7,'계산 과정'!$L$22+'계산 과정'!$C$49*D570+'계산 과정'!$D$49*E570,"")</x:f>
        <x:v>700.210272326303</x:v>
      </x:c>
      <x:c r="G570" s="4" t="n">
        <x:f>IF('계산 과정'!$L$7,IF(ABS(F570)&gt;=1E-12*MAX(1,SQRT((D570-'계산 과정'!$C$33)^2+(E570-'계산 과정'!$D$33)^2+'계산 과정'!$E$33^2)),('계산 과정'!$L$23-'계산 과정'!$C$49*D570-'계산 과정'!$D$49*E570)/F570,""),"")</x:f>
        <x:v>0.4995495517533518</x:v>
      </x:c>
      <x:c r="H570" s="4" t="n">
        <x:f>IF(AND(ISNUMBER(G570),G570&gt;0),('계산 과정'!$D$56+'계산 과정'!$D$57*D570+'계산 과정'!$D$58*E570)/F570,"")</x:f>
        <x:v>-75.29279136032146</x:v>
      </x:c>
      <x:c r="I570" s="4" t="n">
        <x:f>IF(AND(ISNUMBER(G570),G570&gt;0),('계산 과정'!$E$56+'계산 과정'!$E$57*D570+'계산 과정'!$E$58*E570)/F570,"")</x:f>
        <x:v>51.06487697705536</x:v>
      </x:c>
      <x:c r="J570" s="4" t="n">
        <x:f>IF('계산 과정'!$L$5,'계산 과정'!$D$6+'계산 과정'!$C$35*D570+'계산 과정'!$D$35*E570,"")</x:f>
        <x:v>700.210272326303</x:v>
      </x:c>
      <x:c r="K570" s="4" t="n">
        <x:f>IF(AND('계산 과정'!$L$6,J570&gt;0),'계산 과정'!$D$10*('계산 과정'!$C$38*(D570-'계산 과정'!$C$32)+'계산 과정'!$D$38*(E570-'계산 과정'!$D$32)-'계산 과정'!$E$38*'계산 과정'!$E$32)/J570,"")</x:f>
        <x:v>-0.5736593627453055</x:v>
      </x:c>
      <x:c r="L570" s="4" t="n">
        <x:f>IF(AND('계산 과정'!$L$6,J570&gt;0),'계산 과정'!$D$10*('계산 과정'!$C$39*(D570-'계산 과정'!$C$32)+'계산 과정'!$D$39*(E570-'계산 과정'!$D$32)-'계산 과정'!$E$39*'계산 과정'!$E$32)/J570,"")</x:f>
        <x:v>0.38906572934899325</x:v>
      </x:c>
      <x:c r="M570" s="17" t="n">
        <x:f>IF('계산 과정'!$L$6,IF(J570&lt;=0,0,IF(AND(ABS(K570)&lt;='계산 과정'!$D$11/2,ABS(L570)&lt;='계산 과정'!$D$12/2),1,0)),"")</x:f>
        <x:v>1</x:v>
      </x:c>
      <x:c r="N570" s="17" t="n">
        <x:f>IF('계산 과정'!$C$78,IF(AND(ISNUMBER(H570),ISNUMBER(I570),ABS(H570-'계산 과정'!$C$88)&lt;='계산 과정'!$D$23/2,ABS(I570-'계산 과정'!$C$89)&lt;='계산 과정'!$D$24/2),1,0),"")</x:f>
        <x:v>1</x:v>
      </x:c>
      <x:c r="O570" s="4" t="n">
        <x:f>IF('계산 과정'!$L$7,'계산 과정'!$C$49*('계산 과정'!$C$32-D570)+'계산 과정'!$D$49*('계산 과정'!$D$32-E570)+'계산 과정'!$E$49*'계산 과정'!$E$32,"")</x:f>
        <x:v>-50.21027232630286</x:v>
      </x:c>
      <x:c r="P570" s="4" t="n">
        <x:f>IF(AND('계산 과정'!$L$7,O570&lt;&gt;0),('계산 과정'!$L$23-'계산 과정'!$C$49*D570-'계산 과정'!$D$49*E570)/O570,"")</x:f>
        <x:v>-6.9664973215143915</x:v>
      </x:c>
      <x:c r="Q570" s="4" t="str">
        <x:f>IF(AND(ISNUMBER(P570),P570&gt;1E-9,P570&lt;1-1E-9),'계산 과정'!$C$47*(D570-'계산 과정'!$C$50+P570*('계산 과정'!$C$32-D570))+'계산 과정'!$D$47*(E570-'계산 과정'!$D$50+P570*('계산 과정'!$D$32-E570))+'계산 과정'!$E$47*(0-'계산 과정'!$E$50+P570*('계산 과정'!$E$32-0)),"")</x:f>
      </x:c>
      <x:c r="R570" s="4" t="str">
        <x:f>IF(AND(ISNUMBER(P570),P570&gt;1E-9,P570&lt;1-1E-9),'계산 과정'!$C$48*(D570-'계산 과정'!$C$50+P570*('계산 과정'!$C$32-D570))+'계산 과정'!$D$48*(E570-'계산 과정'!$D$50+P570*('계산 과정'!$D$32-E570))+'계산 과정'!$E$48*(0-'계산 과정'!$E$50+P570*('계산 과정'!$E$32-0)),"")</x:f>
      </x:c>
      <x:c r="S570" s="17" t="n">
        <x:f>IF('계산 과정'!$C$78,IF(AND(ISNUMBER(Q570),ISNUMBER(R570),ABS(Q570-'계산 과정'!$C$88)&lt;='계산 과정'!$D$23/2,ABS(R570-'계산 과정'!$C$89)&lt;='계산 과정'!$D$24/2),1,0),"")</x:f>
        <x:v>0</x:v>
      </x:c>
      <x:c r="T570" s="4"/>
      <x:c r="U570" s="4"/>
      <x:c r="V570" s="4"/>
      <x:c r="W570" s="4" t="n">
        <x:f>IF('계산 과정'!$C$78,'계산 과정'!$C$88+0.12*'계산 과정'!$C$90/2,"")</x:f>
        <x:v>50.44633874012568</x:v>
      </x:c>
      <x:c r="X570" s="4" t="str">
        <x:f>""</x:f>
      </x:c>
      <x:c r="Y570" s="4" t="str">
        <x:f>""</x:f>
      </x:c>
      <x:c r="Z570" s="4" t="n">
        <x:f>IF('계산 과정'!$C$78,'계산 과정'!$C$89+1*'계산 과정'!$C$91/2,"")</x:f>
        <x:v>250.5995703094169</x:v>
      </x:c>
    </x:row>
    <x:row r="571" ht="23" customHeight="1">
      <x:c r="A571" s="17" t="n">
        <x:f>ROW()-6</x:f>
        <x:v>565</x:v>
      </x:c>
      <x:c r="B571" s="4" t="n">
        <x:f>IF('계산 과정'!$L$5,'계산 과정'!$L$11*SQRT((A571+0.5)/'계산 과정'!$L$30),"")</x:f>
        <x:v>78.8211174412511</x:v>
      </x:c>
      <x:c r="C571" s="4" t="n">
        <x:f>A571*PI()*(3-SQRT(5))</x:f>
        <x:v>1355.9792247966889</x:v>
      </x:c>
      <x:c r="D571" s="4" t="n">
        <x:f>IF('계산 과정'!$L$5,B571*COS(C571),"")</x:f>
        <x:v>29.38232175486137</x:v>
      </x:c>
      <x:c r="E571" s="4" t="n">
        <x:f>IF('계산 과정'!$L$5,B571*SIN(C571),"")</x:f>
        <x:v>-73.13991880622578</x:v>
      </x:c>
      <x:c r="F571" s="4" t="n">
        <x:f>IF('계산 과정'!$L$7,'계산 과정'!$L$22+'계산 과정'!$C$49*D571+'계산 과정'!$D$49*E571,"")</x:f>
        <x:v>629.2235610401325</x:v>
      </x:c>
      <x:c r="G571" s="4" t="n">
        <x:f>IF('계산 과정'!$L$7,IF(ABS(F571)&gt;=1E-12*MAX(1,SQRT((D571-'계산 과정'!$C$33)^2+(E571-'계산 과정'!$D$33)^2+'계산 과정'!$E$33^2)),('계산 과정'!$L$23-'계산 과정'!$C$49*D571-'계산 과정'!$D$49*E571)/F571,""),"")</x:f>
        <x:v>0.6687232726382761</x:v>
      </x:c>
      <x:c r="H571" s="4" t="n">
        <x:f>IF(AND(ISNUMBER(G571),G571&gt;0),('계산 과정'!$D$56+'계산 과정'!$D$57*D571+'계산 과정'!$D$58*E571)/F571,"")</x:f>
        <x:v>34.67012721487936</x:v>
      </x:c>
      <x:c r="I571" s="4" t="n">
        <x:f>IF(AND(ISNUMBER(G571),G571&gt;0),('계산 과정'!$E$56+'계산 과정'!$E$57*D571+'계산 과정'!$E$58*E571)/F571,"")</x:f>
        <x:v>-122.05028467082288</x:v>
      </x:c>
      <x:c r="J571" s="4" t="n">
        <x:f>IF('계산 과정'!$L$5,'계산 과정'!$D$6+'계산 과정'!$C$35*D571+'계산 과정'!$D$35*E571,"")</x:f>
        <x:v>629.2235610401325</x:v>
      </x:c>
      <x:c r="K571" s="4" t="n">
        <x:f>IF(AND('계산 과정'!$L$6,J571&gt;0),'계산 과정'!$D$10*('계산 과정'!$C$38*(D571-'계산 과정'!$C$32)+'계산 과정'!$D$38*(E571-'계산 과정'!$D$32)-'계산 과정'!$E$38*'계산 과정'!$E$32)/J571,"")</x:f>
        <x:v>0.2641533502086056</x:v>
      </x:c>
      <x:c r="L571" s="4" t="n">
        <x:f>IF(AND('계산 과정'!$L$6,J571&gt;0),'계산 과정'!$D$10*('계산 과정'!$C$39*(D571-'계산 과정'!$C$32)+'계산 과정'!$D$39*(E571-'계산 과정'!$D$32)-'계산 과정'!$E$39*'계산 과정'!$E$32)/J571,"")</x:f>
        <x:v>-0.9299069308253172</x:v>
      </x:c>
      <x:c r="M571" s="17" t="n">
        <x:f>IF('계산 과정'!$L$6,IF(J571&lt;=0,0,IF(AND(ABS(K571)&lt;='계산 과정'!$D$11/2,ABS(L571)&lt;='계산 과정'!$D$12/2),1,0)),"")</x:f>
        <x:v>1</x:v>
      </x:c>
      <x:c r="N571" s="17" t="n">
        <x:f>IF('계산 과정'!$C$78,IF(AND(ISNUMBER(H571),ISNUMBER(I571),ABS(H571-'계산 과정'!$C$88)&lt;='계산 과정'!$D$23/2,ABS(I571-'계산 과정'!$C$89)&lt;='계산 과정'!$D$24/2),1,0),"")</x:f>
        <x:v>1</x:v>
      </x:c>
      <x:c r="O571" s="4" t="n">
        <x:f>IF('계산 과정'!$L$7,'계산 과정'!$C$49*('계산 과정'!$C$32-D571)+'계산 과정'!$D$49*('계산 과정'!$D$32-E571)+'계산 과정'!$E$49*'계산 과정'!$E$32,"")</x:f>
        <x:v>20.77643895986762</x:v>
      </x:c>
      <x:c r="P571" s="4" t="n">
        <x:f>IF(AND('계산 과정'!$L$7,O571&lt;&gt;0),('계산 과정'!$L$23-'계산 과정'!$C$49*D571-'계산 과정'!$D$49*E571)/O571,"")</x:f>
        <x:v>20.252577439890043</x:v>
      </x:c>
      <x:c r="Q571" s="4" t="str">
        <x:f>IF(AND(ISNUMBER(P571),P571&gt;1E-9,P571&lt;1-1E-9),'계산 과정'!$C$47*(D571-'계산 과정'!$C$50+P571*('계산 과정'!$C$32-D571))+'계산 과정'!$D$47*(E571-'계산 과정'!$D$50+P571*('계산 과정'!$D$32-E571))+'계산 과정'!$E$47*(0-'계산 과정'!$E$50+P571*('계산 과정'!$E$32-0)),"")</x:f>
      </x:c>
      <x:c r="R571" s="4" t="str">
        <x:f>IF(AND(ISNUMBER(P571),P571&gt;1E-9,P571&lt;1-1E-9),'계산 과정'!$C$48*(D571-'계산 과정'!$C$50+P571*('계산 과정'!$C$32-D571))+'계산 과정'!$D$48*(E571-'계산 과정'!$D$50+P571*('계산 과정'!$D$32-E571))+'계산 과정'!$E$48*(0-'계산 과정'!$E$50+P571*('계산 과정'!$E$32-0)),"")</x:f>
      </x:c>
      <x:c r="S571" s="17" t="n">
        <x:f>IF('계산 과정'!$C$78,IF(AND(ISNUMBER(Q571),ISNUMBER(R571),ABS(Q571-'계산 과정'!$C$88)&lt;='계산 과정'!$D$23/2,ABS(R571-'계산 과정'!$C$89)&lt;='계산 과정'!$D$24/2),1,0),"")</x:f>
        <x:v>0</x:v>
      </x:c>
      <x:c r="T571" s="4"/>
      <x:c r="U571" s="4"/>
      <x:c r="V571" s="4"/>
      <x:c r="W571" s="4" t="n">
        <x:f>IF('계산 과정'!$C$78,'계산 과정'!$C$88+0.07999999999999996*'계산 과정'!$C$90/2,"")</x:f>
        <x:v>43.205360578523454</x:v>
      </x:c>
      <x:c r="X571" s="4" t="str">
        <x:f>""</x:f>
      </x:c>
      <x:c r="Y571" s="4" t="str">
        <x:f>""</x:f>
      </x:c>
      <x:c r="Z571" s="4" t="n">
        <x:f>IF('계산 과정'!$C$78,'계산 과정'!$C$89+1*'계산 과정'!$C$91/2,"")</x:f>
        <x:v>250.5995703094169</x:v>
      </x:c>
    </x:row>
    <x:row r="572" ht="23" customHeight="1">
      <x:c r="A572" s="17" t="n">
        <x:f>ROW()-6</x:f>
        <x:v>566</x:v>
      </x:c>
      <x:c r="B572" s="4" t="n">
        <x:f>IF('계산 과정'!$L$5,'계산 과정'!$L$11*SQRT((A572+0.5)/'계산 과정'!$L$30),"")</x:f>
        <x:v>78.89077818612579</x:v>
      </x:c>
      <x:c r="C572" s="4" t="n">
        <x:f>A572*PI()*(3-SQRT(5))</x:f>
        <x:v>1358.3791880264175</x:v>
      </x:c>
      <x:c r="D572" s="4" t="n">
        <x:f>IF('계산 과정'!$L$5,B572*COS(C572),"")</x:f>
        <x:v>27.764211513800074</x:v>
      </x:c>
      <x:c r="E572" s="4" t="n">
        <x:f>IF('계산 과정'!$L$5,B572*SIN(C572),"")</x:f>
        <x:v>73.8437772722216</x:v>
      </x:c>
      <x:c r="F572" s="4" t="n">
        <x:f>IF('계산 과정'!$L$7,'계산 과정'!$L$22+'계산 과정'!$C$49*D572+'계산 과정'!$D$49*E572,"")</x:f>
        <x:v>630.3677377642944</x:v>
      </x:c>
      <x:c r="G572" s="4" t="n">
        <x:f>IF('계산 과정'!$L$7,IF(ABS(F572)&gt;=1E-12*MAX(1,SQRT((D572-'계산 과정'!$C$33)^2+(E572-'계산 과정'!$D$33)^2+'계산 과정'!$E$33^2)),('계산 과정'!$L$23-'계산 과정'!$C$49*D572-'계산 과정'!$D$49*E572)/F572,""),"")</x:f>
        <x:v>0.6656943829708074</x:v>
      </x:c>
      <x:c r="H572" s="4" t="n">
        <x:f>IF(AND(ISNUMBER(G572),G572&gt;0),('계산 과정'!$D$56+'계산 과정'!$D$57*D572+'계산 과정'!$D$58*E572)/F572,"")</x:f>
        <x:v>32.701348931024704</x:v>
      </x:c>
      <x:c r="I572" s="4" t="n">
        <x:f>IF(AND(ISNUMBER(G572),G572&gt;0),('계산 과정'!$E$56+'계산 과정'!$E$57*D572+'계산 과정'!$E$58*E572)/F572,"")</x:f>
        <x:v>123.0011650196869</x:v>
      </x:c>
      <x:c r="J572" s="4" t="n">
        <x:f>IF('계산 과정'!$L$5,'계산 과정'!$D$6+'계산 과정'!$C$35*D572+'계산 과정'!$D$35*E572,"")</x:f>
        <x:v>630.3677377642944</x:v>
      </x:c>
      <x:c r="K572" s="4" t="n">
        <x:f>IF(AND('계산 과정'!$L$6,J572&gt;0),'계산 과정'!$D$10*('계산 과정'!$C$38*(D572-'계산 과정'!$C$32)+'계산 과정'!$D$38*(E572-'계산 과정'!$D$32)-'계산 과정'!$E$38*'계산 과정'!$E$32)/J572,"")</x:f>
        <x:v>0.24915313471257053</x:v>
      </x:c>
      <x:c r="L572" s="4" t="n">
        <x:f>IF(AND('계산 과정'!$L$6,J572&gt;0),'계산 과정'!$D$10*('계산 과정'!$C$39*(D572-'계산 과정'!$C$32)+'계산 과정'!$D$39*(E572-'계산 과정'!$D$32)-'계산 과정'!$E$39*'계산 과정'!$E$32)/J572,"")</x:f>
        <x:v>0.9371517334833287</x:v>
      </x:c>
      <x:c r="M572" s="17" t="n">
        <x:f>IF('계산 과정'!$L$6,IF(J572&lt;=0,0,IF(AND(ABS(K572)&lt;='계산 과정'!$D$11/2,ABS(L572)&lt;='계산 과정'!$D$12/2),1,0)),"")</x:f>
        <x:v>1</x:v>
      </x:c>
      <x:c r="N572" s="17" t="n">
        <x:f>IF('계산 과정'!$C$78,IF(AND(ISNUMBER(H572),ISNUMBER(I572),ABS(H572-'계산 과정'!$C$88)&lt;='계산 과정'!$D$23/2,ABS(I572-'계산 과정'!$C$89)&lt;='계산 과정'!$D$24/2),1,0),"")</x:f>
        <x:v>1</x:v>
      </x:c>
      <x:c r="O572" s="4" t="n">
        <x:f>IF('계산 과정'!$L$7,'계산 과정'!$C$49*('계산 과정'!$C$32-D572)+'계산 과정'!$D$49*('계산 과정'!$D$32-E572)+'계산 과정'!$E$49*'계산 과정'!$E$32,"")</x:f>
        <x:v>19.632262235705753</x:v>
      </x:c>
      <x:c r="P572" s="4" t="n">
        <x:f>IF(AND('계산 과정'!$L$7,O572&lt;&gt;0),('계산 과정'!$L$23-'계산 과정'!$C$49*D572-'계산 과정'!$D$49*E572)/O572,"")</x:f>
        <x:v>21.374625970129337</x:v>
      </x:c>
      <x:c r="Q572" s="4" t="str">
        <x:f>IF(AND(ISNUMBER(P572),P572&gt;1E-9,P572&lt;1-1E-9),'계산 과정'!$C$47*(D572-'계산 과정'!$C$50+P572*('계산 과정'!$C$32-D572))+'계산 과정'!$D$47*(E572-'계산 과정'!$D$50+P572*('계산 과정'!$D$32-E572))+'계산 과정'!$E$47*(0-'계산 과정'!$E$50+P572*('계산 과정'!$E$32-0)),"")</x:f>
      </x:c>
      <x:c r="R572" s="4" t="str">
        <x:f>IF(AND(ISNUMBER(P572),P572&gt;1E-9,P572&lt;1-1E-9),'계산 과정'!$C$48*(D572-'계산 과정'!$C$50+P572*('계산 과정'!$C$32-D572))+'계산 과정'!$D$48*(E572-'계산 과정'!$D$50+P572*('계산 과정'!$D$32-E572))+'계산 과정'!$E$48*(0-'계산 과정'!$E$50+P572*('계산 과정'!$E$32-0)),"")</x:f>
      </x:c>
      <x:c r="S572" s="17" t="n">
        <x:f>IF('계산 과정'!$C$78,IF(AND(ISNUMBER(Q572),ISNUMBER(R572),ABS(Q572-'계산 과정'!$C$88)&lt;='계산 과정'!$D$23/2,ABS(R572-'계산 과정'!$C$89)&lt;='계산 과정'!$D$24/2),1,0),"")</x:f>
        <x:v>0</x:v>
      </x:c>
      <x:c r="T572" s="4"/>
      <x:c r="U572" s="4"/>
      <x:c r="V572" s="4"/>
      <x:c r="W572" s="4" t="n">
        <x:f>IF('계산 과정'!$C$78,'계산 과정'!$C$88+0.040000000000000036*'계산 과정'!$C$90/2,"")</x:f>
        <x:v>35.964382416921254</x:v>
      </x:c>
      <x:c r="X572" s="4" t="str">
        <x:f>""</x:f>
      </x:c>
      <x:c r="Y572" s="4" t="str">
        <x:f>""</x:f>
      </x:c>
      <x:c r="Z572" s="4" t="n">
        <x:f>IF('계산 과정'!$C$78,'계산 과정'!$C$89+1*'계산 과정'!$C$91/2,"")</x:f>
        <x:v>250.5995703094169</x:v>
      </x:c>
    </x:row>
    <x:row r="573" ht="23" customHeight="1">
      <x:c r="A573" s="17" t="n">
        <x:f>ROW()-6</x:f>
        <x:v>567</x:v>
      </x:c>
      <x:c r="B573" s="4" t="n">
        <x:f>IF('계산 과정'!$L$5,'계산 과정'!$L$11*SQRT((A573+0.5)/'계산 과정'!$L$30),"")</x:f>
        <x:v>78.96037747463915</x:v>
      </x:c>
      <x:c r="C573" s="4" t="n">
        <x:f>A573*PI()*(3-SQRT(5))</x:f>
        <x:v>1360.7791512561462</x:v>
      </x:c>
      <x:c r="D573" s="4" t="n">
        <x:f>IF('계산 과정'!$L$5,B573*COS(C573),"")</x:f>
        <x:v>-70.4152875890738</x:v>
      </x:c>
      <x:c r="E573" s="4" t="n">
        <x:f>IF('계산 과정'!$L$5,B573*SIN(C573),"")</x:f>
        <x:v>-35.72713932972428</x:v>
      </x:c>
      <x:c r="F573" s="4" t="n">
        <x:f>IF('계산 과정'!$L$7,'계산 과정'!$L$22+'계산 과정'!$C$49*D573+'계산 과정'!$D$49*E573,"")</x:f>
        <x:v>699.7911273534351</x:v>
      </x:c>
      <x:c r="G573" s="4" t="n">
        <x:f>IF('계산 과정'!$L$7,IF(ABS(F573)&gt;=1E-12*MAX(1,SQRT((D573-'계산 과정'!$C$33)^2+(E573-'계산 과정'!$D$33)^2+'계산 과정'!$E$33^2)),('계산 과정'!$L$23-'계산 과정'!$C$49*D573-'계산 과정'!$D$49*E573)/F573,""),"")</x:f>
        <x:v>0.5004477178369385</x:v>
      </x:c>
      <x:c r="H573" s="4" t="n">
        <x:f>IF(AND(ISNUMBER(G573),G573&gt;0),('계산 과정'!$D$56+'계산 과정'!$D$57*D573+'계산 과정'!$D$58*E573)/F573,"")</x:f>
        <x:v>-74.70898340599007</x:v>
      </x:c>
      <x:c r="I573" s="4" t="n">
        <x:f>IF(AND(ISNUMBER(G573),G573&gt;0),('계산 과정'!$E$56+'계산 과정'!$E$57*D573+'계산 과정'!$E$58*E573)/F573,"")</x:f>
        <x:v>-53.60670467212713</x:v>
      </x:c>
      <x:c r="J573" s="4" t="n">
        <x:f>IF('계산 과정'!$L$5,'계산 과정'!$D$6+'계산 과정'!$C$35*D573+'계산 과정'!$D$35*E573,"")</x:f>
        <x:v>699.7911273534351</x:v>
      </x:c>
      <x:c r="K573" s="4" t="n">
        <x:f>IF(AND('계산 과정'!$L$6,J573&gt;0),'계산 과정'!$D$10*('계산 과정'!$C$38*(D573-'계산 과정'!$C$32)+'계산 과정'!$D$38*(E573-'계산 과정'!$D$32)-'계산 과정'!$E$38*'계산 과정'!$E$32)/J573,"")</x:f>
        <x:v>-0.5692113021408761</x:v>
      </x:c>
      <x:c r="L573" s="4" t="n">
        <x:f>IF(AND('계산 과정'!$L$6,J573&gt;0),'계산 과정'!$D$10*('계산 과정'!$C$39*(D573-'계산 과정'!$C$32)+'계산 과정'!$D$39*(E573-'계산 과정'!$D$32)-'계산 과정'!$E$39*'계산 과정'!$E$32)/J573,"")</x:f>
        <x:v>-0.40843203559715907</x:v>
      </x:c>
      <x:c r="M573" s="17" t="n">
        <x:f>IF('계산 과정'!$L$6,IF(J573&lt;=0,0,IF(AND(ABS(K573)&lt;='계산 과정'!$D$11/2,ABS(L573)&lt;='계산 과정'!$D$12/2),1,0)),"")</x:f>
        <x:v>1</x:v>
      </x:c>
      <x:c r="N573" s="17" t="n">
        <x:f>IF('계산 과정'!$C$78,IF(AND(ISNUMBER(H573),ISNUMBER(I573),ABS(H573-'계산 과정'!$C$88)&lt;='계산 과정'!$D$23/2,ABS(I573-'계산 과정'!$C$89)&lt;='계산 과정'!$D$24/2),1,0),"")</x:f>
        <x:v>1</x:v>
      </x:c>
      <x:c r="O573" s="4" t="n">
        <x:f>IF('계산 과정'!$L$7,'계산 과정'!$C$49*('계산 과정'!$C$32-D573)+'계산 과정'!$D$49*('계산 과정'!$D$32-E573)+'계산 과정'!$E$49*'계산 과정'!$E$32,"")</x:f>
        <x:v>-49.791127353434945</x:v>
      </x:c>
      <x:c r="P573" s="4" t="n">
        <x:f>IF(AND('계산 과정'!$L$7,O573&lt;&gt;0),('계산 과정'!$L$23-'계산 과정'!$C$49*D573-'계산 과정'!$D$49*E573)/O573,"")</x:f>
        <x:v>-7.03355981801053</x:v>
      </x:c>
      <x:c r="Q573" s="4" t="str">
        <x:f>IF(AND(ISNUMBER(P573),P573&gt;1E-9,P573&lt;1-1E-9),'계산 과정'!$C$47*(D573-'계산 과정'!$C$50+P573*('계산 과정'!$C$32-D573))+'계산 과정'!$D$47*(E573-'계산 과정'!$D$50+P573*('계산 과정'!$D$32-E573))+'계산 과정'!$E$47*(0-'계산 과정'!$E$50+P573*('계산 과정'!$E$32-0)),"")</x:f>
      </x:c>
      <x:c r="R573" s="4" t="str">
        <x:f>IF(AND(ISNUMBER(P573),P573&gt;1E-9,P573&lt;1-1E-9),'계산 과정'!$C$48*(D573-'계산 과정'!$C$50+P573*('계산 과정'!$C$32-D573))+'계산 과정'!$D$48*(E573-'계산 과정'!$D$50+P573*('계산 과정'!$D$32-E573))+'계산 과정'!$E$48*(0-'계산 과정'!$E$50+P573*('계산 과정'!$E$32-0)),"")</x:f>
      </x:c>
      <x:c r="S573" s="17" t="n">
        <x:f>IF('계산 과정'!$C$78,IF(AND(ISNUMBER(Q573),ISNUMBER(R573),ABS(Q573-'계산 과정'!$C$88)&lt;='계산 과정'!$D$23/2,ABS(R573-'계산 과정'!$C$89)&lt;='계산 과정'!$D$24/2),1,0),"")</x:f>
        <x:v>0</x:v>
      </x:c>
      <x:c r="T573" s="4"/>
      <x:c r="U573" s="4"/>
      <x:c r="V573" s="4"/>
      <x:c r="W573" s="4" t="n">
        <x:f>IF('계산 과정'!$C$78,'계산 과정'!$C$88+0*'계산 과정'!$C$90/2,"")</x:f>
        <x:v>28.723404255319025</x:v>
      </x:c>
      <x:c r="X573" s="4" t="str">
        <x:f>""</x:f>
      </x:c>
      <x:c r="Y573" s="4" t="str">
        <x:f>""</x:f>
      </x:c>
      <x:c r="Z573" s="4" t="n">
        <x:f>IF('계산 과정'!$C$78,'계산 과정'!$C$89+1*'계산 과정'!$C$91/2,"")</x:f>
        <x:v>250.5995703094169</x:v>
      </x:c>
    </x:row>
    <x:row r="574" ht="23" customHeight="1">
      <x:c r="A574" s="17" t="n">
        <x:f>ROW()-6</x:f>
        <x:v>568</x:v>
      </x:c>
      <x:c r="B574" s="4" t="n">
        <x:f>IF('계산 과정'!$L$5,'계산 과정'!$L$11*SQRT((A574+0.5)/'계산 과정'!$L$30),"")</x:f>
        <x:v>79.02991546915953</x:v>
      </x:c>
      <x:c r="C574" s="4" t="n">
        <x:f>A574*PI()*(3-SQRT(5))</x:f>
        <x:v>1363.1791144858748</x:v>
      </x:c>
      <x:c r="D574" s="4" t="n">
        <x:f>IF('계산 과정'!$L$5,B574*COS(C574),"")</x:f>
        <x:v>76.12235711775261</x:v>
      </x:c>
      <x:c r="E574" s="4" t="n">
        <x:f>IF('계산 과정'!$L$5,B574*SIN(C574),"")</x:f>
        <x:v>-21.239451167575858</x:v>
      </x:c>
      <x:c r="F574" s="4" t="n">
        <x:f>IF('계산 과정'!$L$7,'계산 과정'!$L$22+'계산 과정'!$C$49*D574+'계산 과정'!$D$49*E574,"")</x:f>
        <x:v>596.173365082133</x:v>
      </x:c>
      <x:c r="G574" s="4" t="n">
        <x:f>IF('계산 과정'!$L$7,IF(ABS(F574)&gt;=1E-12*MAX(1,SQRT((D574-'계산 과정'!$C$33)^2+(E574-'계산 과정'!$D$33)^2+'계산 과정'!$E$33^2)),('계산 과정'!$L$23-'계산 과정'!$C$49*D574-'계산 과정'!$D$49*E574)/F574,""),"")</x:f>
        <x:v>0.7612326573082387</x:v>
      </x:c>
      <x:c r="H574" s="4" t="n">
        <x:f>IF(AND(ISNUMBER(G574),G574&gt;0),('계산 과정'!$D$56+'계산 과정'!$D$57*D574+'계산 과정'!$D$58*E574)/F574,"")</x:f>
        <x:v>94.8012272503551</x:v>
      </x:c>
      <x:c r="I574" s="4" t="n">
        <x:f>IF(AND(ISNUMBER(G574),G574&gt;0),('계산 과정'!$E$56+'계산 과정'!$E$57*D574+'계산 과정'!$E$58*E574)/F574,"")</x:f>
        <x:v>-37.4076150196382</x:v>
      </x:c>
      <x:c r="J574" s="4" t="n">
        <x:f>IF('계산 과정'!$L$5,'계산 과정'!$D$6+'계산 과정'!$C$35*D574+'계산 과정'!$D$35*E574,"")</x:f>
        <x:v>596.173365082133</x:v>
      </x:c>
      <x:c r="K574" s="4" t="n">
        <x:f>IF(AND('계산 과정'!$L$6,J574&gt;0),'계산 과정'!$D$10*('계산 과정'!$C$38*(D574-'계산 과정'!$C$32)+'계산 과정'!$D$38*(E574-'계산 과정'!$D$32)-'계산 과정'!$E$38*'계산 과정'!$E$32)/J574,"")</x:f>
        <x:v>0.7222950647646107</x:v>
      </x:c>
      <x:c r="L574" s="4" t="n">
        <x:f>IF(AND('계산 과정'!$L$6,J574&gt;0),'계산 과정'!$D$10*('계산 과정'!$C$39*(D574-'계산 과정'!$C$32)+'계산 과정'!$D$39*(E574-'계산 과정'!$D$32)-'계산 과정'!$E$39*'계산 과정'!$E$32)/J574,"")</x:f>
        <x:v>-0.2850104001496244</x:v>
      </x:c>
      <x:c r="M574" s="17" t="n">
        <x:f>IF('계산 과정'!$L$6,IF(J574&lt;=0,0,IF(AND(ABS(K574)&lt;='계산 과정'!$D$11/2,ABS(L574)&lt;='계산 과정'!$D$12/2),1,0)),"")</x:f>
        <x:v>1</x:v>
      </x:c>
      <x:c r="N574" s="17" t="n">
        <x:f>IF('계산 과정'!$C$78,IF(AND(ISNUMBER(H574),ISNUMBER(I574),ABS(H574-'계산 과정'!$C$88)&lt;='계산 과정'!$D$23/2,ABS(I574-'계산 과정'!$C$89)&lt;='계산 과정'!$D$24/2),1,0),"")</x:f>
        <x:v>1</x:v>
      </x:c>
      <x:c r="O574" s="4" t="n">
        <x:f>IF('계산 과정'!$L$7,'계산 과정'!$C$49*('계산 과정'!$C$32-D574)+'계산 과정'!$D$49*('계산 과정'!$D$32-E574)+'계산 과정'!$E$49*'계산 과정'!$E$32,"")</x:f>
        <x:v>53.82663491786701</x:v>
      </x:c>
      <x:c r="P574" s="4" t="n">
        <x:f>IF(AND('계산 과정'!$L$7,O574&lt;&gt;0),('계산 과정'!$L$23-'계산 과정'!$C$49*D574-'계산 과정'!$D$49*E574)/O574,"")</x:f>
        <x:v>8.43126522046849</x:v>
      </x:c>
      <x:c r="Q574" s="4" t="str">
        <x:f>IF(AND(ISNUMBER(P574),P574&gt;1E-9,P574&lt;1-1E-9),'계산 과정'!$C$47*(D574-'계산 과정'!$C$50+P574*('계산 과정'!$C$32-D574))+'계산 과정'!$D$47*(E574-'계산 과정'!$D$50+P574*('계산 과정'!$D$32-E574))+'계산 과정'!$E$47*(0-'계산 과정'!$E$50+P574*('계산 과정'!$E$32-0)),"")</x:f>
      </x:c>
      <x:c r="R574" s="4" t="str">
        <x:f>IF(AND(ISNUMBER(P574),P574&gt;1E-9,P574&lt;1-1E-9),'계산 과정'!$C$48*(D574-'계산 과정'!$C$50+P574*('계산 과정'!$C$32-D574))+'계산 과정'!$D$48*(E574-'계산 과정'!$D$50+P574*('계산 과정'!$D$32-E574))+'계산 과정'!$E$48*(0-'계산 과정'!$E$50+P574*('계산 과정'!$E$32-0)),"")</x:f>
      </x:c>
      <x:c r="S574" s="17" t="n">
        <x:f>IF('계산 과정'!$C$78,IF(AND(ISNUMBER(Q574),ISNUMBER(R574),ABS(Q574-'계산 과정'!$C$88)&lt;='계산 과정'!$D$23/2,ABS(R574-'계산 과정'!$C$89)&lt;='계산 과정'!$D$24/2),1,0),"")</x:f>
        <x:v>0</x:v>
      </x:c>
      <x:c r="T574" s="4"/>
      <x:c r="U574" s="4"/>
      <x:c r="V574" s="4"/>
      <x:c r="W574" s="4" t="n">
        <x:f>IF('계산 과정'!$C$78,'계산 과정'!$C$88+-0.040000000000000036*'계산 과정'!$C$90/2,"")</x:f>
        <x:v>21.4824260937168</x:v>
      </x:c>
      <x:c r="X574" s="4" t="str">
        <x:f>""</x:f>
      </x:c>
      <x:c r="Y574" s="4" t="str">
        <x:f>""</x:f>
      </x:c>
      <x:c r="Z574" s="4" t="n">
        <x:f>IF('계산 과정'!$C$78,'계산 과정'!$C$89+1*'계산 과정'!$C$91/2,"")</x:f>
        <x:v>250.5995703094169</x:v>
      </x:c>
    </x:row>
    <x:row r="575" ht="23" customHeight="1">
      <x:c r="A575" s="17" t="n">
        <x:f>ROW()-6</x:f>
        <x:v>569</x:v>
      </x:c>
      <x:c r="B575" s="4" t="n">
        <x:f>IF('계산 과정'!$L$5,'계산 과정'!$L$11*SQRT((A575+0.5)/'계산 과정'!$L$30),"")</x:f>
        <x:v>79.09939233134159</x:v>
      </x:c>
      <x:c r="C575" s="4" t="n">
        <x:f>A575*PI()*(3-SQRT(5))</x:f>
        <x:v>1365.5790777156035</x:v>
      </x:c>
      <x:c r="D575" s="4" t="n">
        <x:f>IF('계산 과정'!$L$5,B575*COS(C575),"")</x:f>
        <x:v>-41.81994644832582</x:v>
      </x:c>
      <x:c r="E575" s="4" t="n">
        <x:f>IF('계산 과정'!$L$5,B575*SIN(C575),"")</x:f>
        <x:v>67.14019620351627</x:v>
      </x:c>
      <x:c r="F575" s="4" t="n">
        <x:f>IF('계산 과정'!$L$7,'계산 과정'!$L$22+'계산 과정'!$C$49*D575+'계산 과정'!$D$49*E575,"")</x:f>
        <x:v>679.5711677224695</x:v>
      </x:c>
      <x:c r="G575" s="4" t="n">
        <x:f>IF('계산 과정'!$L$7,IF(ABS(F575)&gt;=1E-12*MAX(1,SQRT((D575-'계산 과정'!$C$33)^2+(E575-'계산 과정'!$D$33)^2+'계산 과정'!$E$33^2)),('계산 과정'!$L$23-'계산 과정'!$C$49*D575-'계산 과정'!$D$49*E575)/F575,""),"")</x:f>
        <x:v>0.5450920372607836</x:v>
      </x:c>
      <x:c r="H575" s="4" t="n">
        <x:f>IF(AND(ISNUMBER(G575),G575&gt;0),('계산 과정'!$D$56+'계산 과정'!$D$57*D575+'계산 과정'!$D$58*E575)/F575,"")</x:f>
        <x:v>-45.69017578049079</x:v>
      </x:c>
      <x:c r="I575" s="4" t="n">
        <x:f>IF(AND(ISNUMBER(G575),G575&gt;0),('계산 과정'!$E$56+'계산 과정'!$E$57*D575+'계산 과정'!$E$58*E575)/F575,"")</x:f>
        <x:v>103.73778253417967</x:v>
      </x:c>
      <x:c r="J575" s="4" t="n">
        <x:f>IF('계산 과정'!$L$5,'계산 과정'!$D$6+'계산 과정'!$C$35*D575+'계산 과정'!$D$35*E575,"")</x:f>
        <x:v>679.5711677224695</x:v>
      </x:c>
      <x:c r="K575" s="4" t="n">
        <x:f>IF(AND('계산 과정'!$L$6,J575&gt;0),'계산 과정'!$D$10*('계산 과정'!$C$38*(D575-'계산 과정'!$C$32)+'계산 과정'!$D$38*(E575-'계산 과정'!$D$32)-'계산 과정'!$E$38*'계산 과정'!$E$32)/J575,"")</x:f>
        <x:v>-0.3481156249942145</x:v>
      </x:c>
      <x:c r="L575" s="4" t="n">
        <x:f>IF(AND('계산 과정'!$L$6,J575&gt;0),'계산 과정'!$D$10*('계산 과정'!$C$39*(D575-'계산 과정'!$C$32)+'계산 과정'!$D$39*(E575-'계산 과정'!$D$32)-'계산 과정'!$E$39*'계산 과정'!$E$32)/J575,"")</x:f>
        <x:v>0.7903831050223213</x:v>
      </x:c>
      <x:c r="M575" s="17" t="n">
        <x:f>IF('계산 과정'!$L$6,IF(J575&lt;=0,0,IF(AND(ABS(K575)&lt;='계산 과정'!$D$11/2,ABS(L575)&lt;='계산 과정'!$D$12/2),1,0)),"")</x:f>
        <x:v>1</x:v>
      </x:c>
      <x:c r="N575" s="17" t="n">
        <x:f>IF('계산 과정'!$C$78,IF(AND(ISNUMBER(H575),ISNUMBER(I575),ABS(H575-'계산 과정'!$C$88)&lt;='계산 과정'!$D$23/2,ABS(I575-'계산 과정'!$C$89)&lt;='계산 과정'!$D$24/2),1,0),"")</x:f>
        <x:v>1</x:v>
      </x:c>
      <x:c r="O575" s="4" t="n">
        <x:f>IF('계산 과정'!$L$7,'계산 과정'!$C$49*('계산 과정'!$C$32-D575)+'계산 과정'!$D$49*('계산 과정'!$D$32-E575)+'계산 과정'!$E$49*'계산 과정'!$E$32,"")</x:f>
        <x:v>-29.57116772246934</x:v>
      </x:c>
      <x:c r="P575" s="4" t="n">
        <x:f>IF(AND('계산 과정'!$L$7,O575&lt;&gt;0),('계산 과정'!$L$23-'계산 과정'!$C$49*D575-'계산 과정'!$D$49*E575)/O575,"")</x:f>
        <x:v>-12.526689366956047</x:v>
      </x:c>
      <x:c r="Q575" s="4" t="str">
        <x:f>IF(AND(ISNUMBER(P575),P575&gt;1E-9,P575&lt;1-1E-9),'계산 과정'!$C$47*(D575-'계산 과정'!$C$50+P575*('계산 과정'!$C$32-D575))+'계산 과정'!$D$47*(E575-'계산 과정'!$D$50+P575*('계산 과정'!$D$32-E575))+'계산 과정'!$E$47*(0-'계산 과정'!$E$50+P575*('계산 과정'!$E$32-0)),"")</x:f>
      </x:c>
      <x:c r="R575" s="4" t="str">
        <x:f>IF(AND(ISNUMBER(P575),P575&gt;1E-9,P575&lt;1-1E-9),'계산 과정'!$C$48*(D575-'계산 과정'!$C$50+P575*('계산 과정'!$C$32-D575))+'계산 과정'!$D$48*(E575-'계산 과정'!$D$50+P575*('계산 과정'!$D$32-E575))+'계산 과정'!$E$48*(0-'계산 과정'!$E$50+P575*('계산 과정'!$E$32-0)),"")</x:f>
      </x:c>
      <x:c r="S575" s="17" t="n">
        <x:f>IF('계산 과정'!$C$78,IF(AND(ISNUMBER(Q575),ISNUMBER(R575),ABS(Q575-'계산 과정'!$C$88)&lt;='계산 과정'!$D$23/2,ABS(R575-'계산 과정'!$C$89)&lt;='계산 과정'!$D$24/2),1,0),"")</x:f>
        <x:v>0</x:v>
      </x:c>
      <x:c r="T575" s="4"/>
      <x:c r="U575" s="4"/>
      <x:c r="V575" s="4"/>
      <x:c r="W575" s="4" t="n">
        <x:f>IF('계산 과정'!$C$78,'계산 과정'!$C$88+-0.08000000000000007*'계산 과정'!$C$90/2,"")</x:f>
        <x:v>14.241447932114575</x:v>
      </x:c>
      <x:c r="X575" s="4" t="str">
        <x:f>""</x:f>
      </x:c>
      <x:c r="Y575" s="4" t="str">
        <x:f>""</x:f>
      </x:c>
      <x:c r="Z575" s="4" t="n">
        <x:f>IF('계산 과정'!$C$78,'계산 과정'!$C$89+1*'계산 과정'!$C$91/2,"")</x:f>
        <x:v>250.5995703094169</x:v>
      </x:c>
    </x:row>
    <x:row r="576" ht="23" customHeight="1">
      <x:c r="A576" s="17" t="n">
        <x:f>ROW()-6</x:f>
        <x:v>570</x:v>
      </x:c>
      <x:c r="B576" s="4" t="n">
        <x:f>IF('계산 과정'!$L$5,'계산 과정'!$L$11*SQRT((A576+0.5)/'계산 과정'!$L$30),"")</x:f>
        <x:v>79.16880822213064</x:v>
      </x:c>
      <x:c r="C576" s="4" t="n">
        <x:f>A576*PI()*(3-SQRT(5))</x:f>
        <x:v>1367.9790409453321</x:v>
      </x:c>
      <x:c r="D576" s="4" t="n">
        <x:f>IF('계산 과정'!$L$5,B576*COS(C576),"")</x:f>
        <x:v>-14.528562664878217</x:v>
      </x:c>
      <x:c r="E576" s="4" t="n">
        <x:f>IF('계산 과정'!$L$5,B576*SIN(C576),"")</x:f>
        <x:v>-77.82429609193524</x:v>
      </x:c>
      <x:c r="F576" s="4" t="n">
        <x:f>IF('계산 과정'!$L$7,'계산 과정'!$L$22+'계산 과정'!$C$49*D576+'계산 과정'!$D$49*E576,"")</x:f>
        <x:v>660.2732451812291</x:v>
      </x:c>
      <x:c r="G576" s="4" t="n">
        <x:f>IF('계산 과정'!$L$7,IF(ABS(F576)&gt;=1E-12*MAX(1,SQRT((D576-'계산 과정'!$C$33)^2+(E576-'계산 과정'!$D$33)^2+'계산 과정'!$E$33^2)),('계산 과정'!$L$23-'계산 과정'!$C$49*D576-'계산 과정'!$D$49*E576)/F576,""),"")</x:f>
        <x:v>0.5902507146292144</x:v>
      </x:c>
      <x:c r="H576" s="4" t="n">
        <x:f>IF(AND(ISNUMBER(G576),G576&gt;0),('계산 과정'!$D$56+'계산 과정'!$D$57*D576+'계산 과정'!$D$58*E576)/F576,"")</x:f>
        <x:v>-16.337035491010802</x:v>
      </x:c>
      <x:c r="I576" s="4" t="n">
        <x:f>IF(AND(ISNUMBER(G576),G576&gt;0),('계산 과정'!$E$56+'계산 과정'!$E$57*D576+'계산 과정'!$E$58*E576)/F576,"")</x:f>
        <x:v>-123.76014247571558</x:v>
      </x:c>
      <x:c r="J576" s="4" t="n">
        <x:f>IF('계산 과정'!$L$5,'계산 과정'!$D$6+'계산 과정'!$C$35*D576+'계산 과정'!$D$35*E576,"")</x:f>
        <x:v>660.2732451812291</x:v>
      </x:c>
      <x:c r="K576" s="4" t="n">
        <x:f>IF(AND('계산 과정'!$L$6,J576&gt;0),'계산 과정'!$D$10*('계산 과정'!$C$38*(D576-'계산 과정'!$C$32)+'계산 과정'!$D$38*(E576-'계산 과정'!$D$32)-'계산 과정'!$E$38*'계산 과정'!$E$32)/J576,"")</x:f>
        <x:v>-0.12447265136008125</x:v>
      </x:c>
      <x:c r="L576" s="4" t="n">
        <x:f>IF(AND('계산 과정'!$L$6,J576&gt;0),'계산 과정'!$D$10*('계산 과정'!$C$39*(D576-'계산 과정'!$C$32)+'계산 과정'!$D$39*(E576-'계산 과정'!$D$32)-'계산 과정'!$E$39*'계산 과정'!$E$32)/J576,"")</x:f>
        <x:v>-0.942934418862595</x:v>
      </x:c>
      <x:c r="M576" s="17" t="n">
        <x:f>IF('계산 과정'!$L$6,IF(J576&lt;=0,0,IF(AND(ABS(K576)&lt;='계산 과정'!$D$11/2,ABS(L576)&lt;='계산 과정'!$D$12/2),1,0)),"")</x:f>
        <x:v>1</x:v>
      </x:c>
      <x:c r="N576" s="17" t="n">
        <x:f>IF('계산 과정'!$C$78,IF(AND(ISNUMBER(H576),ISNUMBER(I576),ABS(H576-'계산 과정'!$C$88)&lt;='계산 과정'!$D$23/2,ABS(I576-'계산 과정'!$C$89)&lt;='계산 과정'!$D$24/2),1,0),"")</x:f>
        <x:v>1</x:v>
      </x:c>
      <x:c r="O576" s="4" t="n">
        <x:f>IF('계산 과정'!$L$7,'계산 과정'!$C$49*('계산 과정'!$C$32-D576)+'계산 과정'!$D$49*('계산 과정'!$D$32-E576)+'계산 과정'!$E$49*'계산 과정'!$E$32,"")</x:f>
        <x:v>-10.273245181228958</x:v>
      </x:c>
      <x:c r="P576" s="4" t="n">
        <x:f>IF(AND('계산 과정'!$L$7,O576&lt;&gt;0),('계산 과정'!$L$23-'계산 과정'!$C$49*D576-'계산 과정'!$D$49*E576)/O576,"")</x:f>
        <x:v>-37.93609010041646</x:v>
      </x:c>
      <x:c r="Q576" s="4" t="str">
        <x:f>IF(AND(ISNUMBER(P576),P576&gt;1E-9,P576&lt;1-1E-9),'계산 과정'!$C$47*(D576-'계산 과정'!$C$50+P576*('계산 과정'!$C$32-D576))+'계산 과정'!$D$47*(E576-'계산 과정'!$D$50+P576*('계산 과정'!$D$32-E576))+'계산 과정'!$E$47*(0-'계산 과정'!$E$50+P576*('계산 과정'!$E$32-0)),"")</x:f>
      </x:c>
      <x:c r="R576" s="4" t="str">
        <x:f>IF(AND(ISNUMBER(P576),P576&gt;1E-9,P576&lt;1-1E-9),'계산 과정'!$C$48*(D576-'계산 과정'!$C$50+P576*('계산 과정'!$C$32-D576))+'계산 과정'!$D$48*(E576-'계산 과정'!$D$50+P576*('계산 과정'!$D$32-E576))+'계산 과정'!$E$48*(0-'계산 과정'!$E$50+P576*('계산 과정'!$E$32-0)),"")</x:f>
      </x:c>
      <x:c r="S576" s="17" t="n">
        <x:f>IF('계산 과정'!$C$78,IF(AND(ISNUMBER(Q576),ISNUMBER(R576),ABS(Q576-'계산 과정'!$C$88)&lt;='계산 과정'!$D$23/2,ABS(R576-'계산 과정'!$C$89)&lt;='계산 과정'!$D$24/2),1,0),"")</x:f>
        <x:v>0</x:v>
      </x:c>
      <x:c r="T576" s="4"/>
      <x:c r="U576" s="4"/>
      <x:c r="V576" s="4"/>
      <x:c r="W576" s="4" t="n">
        <x:f>IF('계산 과정'!$C$78,'계산 과정'!$C$88+-0.1200000000000001*'계산 과정'!$C$90/2,"")</x:f>
        <x:v>7.00046977051235</x:v>
      </x:c>
      <x:c r="X576" s="4" t="str">
        <x:f>""</x:f>
      </x:c>
      <x:c r="Y576" s="4" t="str">
        <x:f>""</x:f>
      </x:c>
      <x:c r="Z576" s="4" t="n">
        <x:f>IF('계산 과정'!$C$78,'계산 과정'!$C$89+1*'계산 과정'!$C$91/2,"")</x:f>
        <x:v>250.5995703094169</x:v>
      </x:c>
    </x:row>
    <x:row r="577" ht="23" customHeight="1">
      <x:c r="A577" s="17" t="n">
        <x:f>ROW()-6</x:f>
        <x:v>571</x:v>
      </x:c>
      <x:c r="B577" s="4" t="n">
        <x:f>IF('계산 과정'!$L$5,'계산 과정'!$L$11*SQRT((A577+0.5)/'계산 과정'!$L$30),"")</x:f>
        <x:v>79.23816330176703</x:v>
      </x:c>
      <x:c r="C577" s="4" t="n">
        <x:f>A577*PI()*(3-SQRT(5))</x:f>
        <x:v>1370.3790041750608</x:v>
      </x:c>
      <x:c r="D577" s="4" t="n">
        <x:f>IF('계산 과정'!$L$5,B577*COS(C577),"")</x:f>
        <x:v>63.33790462166759</x:v>
      </x:c>
      <x:c r="E577" s="4" t="n">
        <x:f>IF('계산 과정'!$L$5,B577*SIN(C577),"")</x:f>
        <x:v>47.612985220148076</x:v>
      </x:c>
      <x:c r="F577" s="4" t="n">
        <x:f>IF('계산 과정'!$L$7,'계산 과정'!$L$22+'계산 과정'!$C$49*D577+'계산 과정'!$D$49*E577,"")</x:f>
        <x:v>605.213338135872</x:v>
      </x:c>
      <x:c r="G577" s="4" t="n">
        <x:f>IF('계산 과정'!$L$7,IF(ABS(F577)&gt;=1E-12*MAX(1,SQRT((D577-'계산 과정'!$C$33)^2+(E577-'계산 과정'!$D$33)^2+'계산 과정'!$E$33^2)),('계산 과정'!$L$23-'계산 과정'!$C$49*D577-'계산 과정'!$D$49*E577)/F577,""),"")</x:f>
        <x:v>0.7349254119780686</x:v>
      </x:c>
      <x:c r="H577" s="4" t="n">
        <x:f>IF(AND(ISNUMBER(G577),G577&gt;0),('계산 과정'!$D$56+'계산 과정'!$D$57*D577+'계산 과정'!$D$58*E577)/F577,"")</x:f>
        <x:v>77.7015177857445</x:v>
      </x:c>
      <x:c r="I577" s="4" t="n">
        <x:f>IF(AND(ISNUMBER(G577),G577&gt;0),('계산 과정'!$E$56+'계산 과정'!$E$57*D577+'계산 과정'!$E$58*E577)/F577,"")</x:f>
        <x:v>82.6049779985711</x:v>
      </x:c>
      <x:c r="J577" s="4" t="n">
        <x:f>IF('계산 과정'!$L$5,'계산 과정'!$D$6+'계산 과정'!$C$35*D577+'계산 과정'!$D$35*E577,"")</x:f>
        <x:v>605.213338135872</x:v>
      </x:c>
      <x:c r="K577" s="4" t="n">
        <x:f>IF(AND('계산 과정'!$L$6,J577&gt;0),'계산 과정'!$D$10*('계산 과정'!$C$38*(D577-'계산 과정'!$C$32)+'계산 과정'!$D$38*(E577-'계산 과정'!$D$32)-'계산 과정'!$E$38*'계산 과정'!$E$32)/J577,"")</x:f>
        <x:v>0.5920115640818632</x:v>
      </x:c>
      <x:c r="L577" s="4" t="n">
        <x:f>IF(AND('계산 과정'!$L$6,J577&gt;0),'계산 과정'!$D$10*('계산 과정'!$C$39*(D577-'계산 과정'!$C$32)+'계산 과정'!$D$39*(E577-'계산 과정'!$D$32)-'계산 과정'!$E$39*'계산 과정'!$E$32)/J577,"")</x:f>
        <x:v>0.6293712609414941</x:v>
      </x:c>
      <x:c r="M577" s="17" t="n">
        <x:f>IF('계산 과정'!$L$6,IF(J577&lt;=0,0,IF(AND(ABS(K577)&lt;='계산 과정'!$D$11/2,ABS(L577)&lt;='계산 과정'!$D$12/2),1,0)),"")</x:f>
        <x:v>1</x:v>
      </x:c>
      <x:c r="N577" s="17" t="n">
        <x:f>IF('계산 과정'!$C$78,IF(AND(ISNUMBER(H577),ISNUMBER(I577),ABS(H577-'계산 과정'!$C$88)&lt;='계산 과정'!$D$23/2,ABS(I577-'계산 과정'!$C$89)&lt;='계산 과정'!$D$24/2),1,0),"")</x:f>
        <x:v>1</x:v>
      </x:c>
      <x:c r="O577" s="4" t="n">
        <x:f>IF('계산 과정'!$L$7,'계산 과정'!$C$49*('계산 과정'!$C$32-D577)+'계산 과정'!$D$49*('계산 과정'!$D$32-E577)+'계산 과정'!$E$49*'계산 과정'!$E$32,"")</x:f>
        <x:v>44.78666186412801</x:v>
      </x:c>
      <x:c r="P577" s="4" t="n">
        <x:f>IF(AND('계산 과정'!$L$7,O577&lt;&gt;0),('계산 과정'!$L$23-'계산 과정'!$C$49*D577-'계산 과정'!$D$49*E577)/O577,"")</x:f>
        <x:v>9.931230490307671</x:v>
      </x:c>
      <x:c r="Q577" s="4" t="str">
        <x:f>IF(AND(ISNUMBER(P577),P577&gt;1E-9,P577&lt;1-1E-9),'계산 과정'!$C$47*(D577-'계산 과정'!$C$50+P577*('계산 과정'!$C$32-D577))+'계산 과정'!$D$47*(E577-'계산 과정'!$D$50+P577*('계산 과정'!$D$32-E577))+'계산 과정'!$E$47*(0-'계산 과정'!$E$50+P577*('계산 과정'!$E$32-0)),"")</x:f>
      </x:c>
      <x:c r="R577" s="4" t="str">
        <x:f>IF(AND(ISNUMBER(P577),P577&gt;1E-9,P577&lt;1-1E-9),'계산 과정'!$C$48*(D577-'계산 과정'!$C$50+P577*('계산 과정'!$C$32-D577))+'계산 과정'!$D$48*(E577-'계산 과정'!$D$50+P577*('계산 과정'!$D$32-E577))+'계산 과정'!$E$48*(0-'계산 과정'!$E$50+P577*('계산 과정'!$E$32-0)),"")</x:f>
      </x:c>
      <x:c r="S577" s="17" t="n">
        <x:f>IF('계산 과정'!$C$78,IF(AND(ISNUMBER(Q577),ISNUMBER(R577),ABS(Q577-'계산 과정'!$C$88)&lt;='계산 과정'!$D$23/2,ABS(R577-'계산 과정'!$C$89)&lt;='계산 과정'!$D$24/2),1,0),"")</x:f>
        <x:v>0</x:v>
      </x:c>
      <x:c r="T577" s="4"/>
      <x:c r="U577" s="4"/>
      <x:c r="V577" s="4"/>
      <x:c r="W577" s="4" t="n">
        <x:f>IF('계산 과정'!$C$78,'계산 과정'!$C$88+-0.15999999999999992*'계산 과정'!$C$90/2,"")</x:f>
        <x:v>-0.24050839108983624</x:v>
      </x:c>
      <x:c r="X577" s="4" t="str">
        <x:f>""</x:f>
      </x:c>
      <x:c r="Y577" s="4" t="str">
        <x:f>""</x:f>
      </x:c>
      <x:c r="Z577" s="4" t="n">
        <x:f>IF('계산 과정'!$C$78,'계산 과정'!$C$89+1*'계산 과정'!$C$91/2,"")</x:f>
        <x:v>250.5995703094169</x:v>
      </x:c>
    </x:row>
    <x:row r="578" ht="23" customHeight="1">
      <x:c r="A578" s="17" t="n">
        <x:f>ROW()-6</x:f>
        <x:v>572</x:v>
      </x:c>
      <x:c r="B578" s="4" t="n">
        <x:f>IF('계산 과정'!$L$5,'계산 과정'!$L$11*SQRT((A578+0.5)/'계산 과정'!$L$30),"")</x:f>
        <x:v>79.30745772979046</x:v>
      </x:c>
      <x:c r="C578" s="4" t="n">
        <x:f>A578*PI()*(3-SQRT(5))</x:f>
        <x:v>1372.7789674047895</x:v>
      </x:c>
      <x:c r="D578" s="4" t="n">
        <x:f>IF('계산 과정'!$L$5,B578*COS(C578),"")</x:f>
        <x:v>-78.9344776065571</x:v>
      </x:c>
      <x:c r="E578" s="4" t="n">
        <x:f>IF('계산 과정'!$L$5,B578*SIN(C578),"")</x:f>
        <x:v>7.682518893073898</x:v>
      </x:c>
      <x:c r="F578" s="4" t="n">
        <x:f>IF('계산 과정'!$L$7,'계산 과정'!$L$22+'계산 과정'!$C$49*D578+'계산 과정'!$D$49*E578,"")</x:f>
        <x:v>705.8151043850143</x:v>
      </x:c>
      <x:c r="G578" s="4" t="n">
        <x:f>IF('계산 과정'!$L$7,IF(ABS(F578)&gt;=1E-12*MAX(1,SQRT((D578-'계산 과정'!$C$33)^2+(E578-'계산 과정'!$D$33)^2+'계산 과정'!$E$33^2)),('계산 과정'!$L$23-'계산 과정'!$C$49*D578-'계산 과정'!$D$49*E578)/F578,""),"")</x:f>
        <x:v>0.4876417258240436</x:v>
      </x:c>
      <x:c r="H578" s="4" t="n">
        <x:f>IF(AND(ISNUMBER(G578),G578&gt;0),('계산 과정'!$D$56+'계산 과정'!$D$57*D578+'계산 과정'!$D$58*E578)/F578,"")</x:f>
        <x:v>-83.03287821437179</x:v>
      </x:c>
      <x:c r="I578" s="4" t="n">
        <x:f>IF(AND(ISNUMBER(G578),G578&gt;0),('계산 과정'!$E$56+'계산 과정'!$E$57*D578+'계산 과정'!$E$58*E578)/F578,"")</x:f>
        <x:v>11.428835664768274</x:v>
      </x:c>
      <x:c r="J578" s="4" t="n">
        <x:f>IF('계산 과정'!$L$5,'계산 과정'!$D$6+'계산 과정'!$C$35*D578+'계산 과정'!$D$35*E578,"")</x:f>
        <x:v>705.8151043850143</x:v>
      </x:c>
      <x:c r="K578" s="4" t="n">
        <x:f>IF(AND('계산 과정'!$L$6,J578&gt;0),'계산 과정'!$D$10*('계산 과정'!$C$38*(D578-'계산 과정'!$C$32)+'계산 과정'!$D$38*(E578-'계산 과정'!$D$32)-'계산 과정'!$E$38*'계산 과정'!$E$32)/J578,"")</x:f>
        <x:v>-0.63263145306188</x:v>
      </x:c>
      <x:c r="L578" s="4" t="n">
        <x:f>IF(AND('계산 과정'!$L$6,J578&gt;0),'계산 과정'!$D$10*('계산 과정'!$C$39*(D578-'계산 과정'!$C$32)+'계산 과정'!$D$39*(E578-'계산 과정'!$D$32)-'계산 과정'!$E$39*'계산 과정'!$E$32)/J578,"")</x:f>
        <x:v>0.08707684316013924</x:v>
      </x:c>
      <x:c r="M578" s="17" t="n">
        <x:f>IF('계산 과정'!$L$6,IF(J578&lt;=0,0,IF(AND(ABS(K578)&lt;='계산 과정'!$D$11/2,ABS(L578)&lt;='계산 과정'!$D$12/2),1,0)),"")</x:f>
        <x:v>1</x:v>
      </x:c>
      <x:c r="N578" s="17" t="n">
        <x:f>IF('계산 과정'!$C$78,IF(AND(ISNUMBER(H578),ISNUMBER(I578),ABS(H578-'계산 과정'!$C$88)&lt;='계산 과정'!$D$23/2,ABS(I578-'계산 과정'!$C$89)&lt;='계산 과정'!$D$24/2),1,0),"")</x:f>
        <x:v>1</x:v>
      </x:c>
      <x:c r="O578" s="4" t="n">
        <x:f>IF('계산 과정'!$L$7,'계산 과정'!$C$49*('계산 과정'!$C$32-D578)+'계산 과정'!$D$49*('계산 과정'!$D$32-E578)+'계산 과정'!$E$49*'계산 과정'!$E$32,"")</x:f>
        <x:v>-55.81510438501414</x:v>
      </x:c>
      <x:c r="P578" s="4" t="n">
        <x:f>IF(AND('계산 과정'!$L$7,O578&lt;&gt;0),('계산 과정'!$L$23-'계산 과정'!$C$49*D578-'계산 과정'!$D$49*E578)/O578,"")</x:f>
        <x:v>-6.166518891388052</x:v>
      </x:c>
      <x:c r="Q578" s="4" t="str">
        <x:f>IF(AND(ISNUMBER(P578),P578&gt;1E-9,P578&lt;1-1E-9),'계산 과정'!$C$47*(D578-'계산 과정'!$C$50+P578*('계산 과정'!$C$32-D578))+'계산 과정'!$D$47*(E578-'계산 과정'!$D$50+P578*('계산 과정'!$D$32-E578))+'계산 과정'!$E$47*(0-'계산 과정'!$E$50+P578*('계산 과정'!$E$32-0)),"")</x:f>
      </x:c>
      <x:c r="R578" s="4" t="str">
        <x:f>IF(AND(ISNUMBER(P578),P578&gt;1E-9,P578&lt;1-1E-9),'계산 과정'!$C$48*(D578-'계산 과정'!$C$50+P578*('계산 과정'!$C$32-D578))+'계산 과정'!$D$48*(E578-'계산 과정'!$D$50+P578*('계산 과정'!$D$32-E578))+'계산 과정'!$E$48*(0-'계산 과정'!$E$50+P578*('계산 과정'!$E$32-0)),"")</x:f>
      </x:c>
      <x:c r="S578" s="17" t="n">
        <x:f>IF('계산 과정'!$C$78,IF(AND(ISNUMBER(Q578),ISNUMBER(R578),ABS(Q578-'계산 과정'!$C$88)&lt;='계산 과정'!$D$23/2,ABS(R578-'계산 과정'!$C$89)&lt;='계산 과정'!$D$24/2),1,0),"")</x:f>
        <x:v>0</x:v>
      </x:c>
      <x:c r="T578" s="4"/>
      <x:c r="U578" s="4"/>
      <x:c r="V578" s="4"/>
      <x:c r="W578" s="4" t="n">
        <x:f>IF('계산 과정'!$C$78,'계산 과정'!$C$88+-0.19999999999999996*'계산 과정'!$C$90/2,"")</x:f>
        <x:v>-7.481486552692061</x:v>
      </x:c>
      <x:c r="X578" s="4" t="str">
        <x:f>""</x:f>
      </x:c>
      <x:c r="Y578" s="4" t="str">
        <x:f>""</x:f>
      </x:c>
      <x:c r="Z578" s="4" t="n">
        <x:f>IF('계산 과정'!$C$78,'계산 과정'!$C$89+1*'계산 과정'!$C$91/2,"")</x:f>
        <x:v>250.5995703094169</x:v>
      </x:c>
    </x:row>
    <x:row r="579" ht="23" customHeight="1">
      <x:c r="A579" s="17" t="n">
        <x:f>ROW()-6</x:f>
        <x:v>573</x:v>
      </x:c>
      <x:c r="B579" s="4" t="n">
        <x:f>IF('계산 과정'!$L$5,'계산 과정'!$L$11*SQRT((A579+0.5)/'계산 과정'!$L$30),"")</x:f>
        <x:v>79.37669166504422</x:v>
      </x:c>
      <x:c r="C579" s="4" t="n">
        <x:f>A579*PI()*(3-SQRT(5))</x:f>
        <x:v>1375.178930634518</x:v>
      </x:c>
      <x:c r="D579" s="4" t="n">
        <x:f>IF('계산 과정'!$L$5,B579*COS(C579),"")</x:f>
        <x:v>53.06064079697062</x:v>
      </x:c>
      <x:c r="E579" s="4" t="n">
        <x:f>IF('계산 과정'!$L$5,B579*SIN(C579),"")</x:f>
        <x:v>-59.03581606027275</x:v>
      </x:c>
      <x:c r="F579" s="4" t="n">
        <x:f>IF('계산 과정'!$L$7,'계산 과정'!$L$22+'계산 과정'!$C$49*D579+'계산 과정'!$D$49*E579,"")</x:f>
        <x:v>612.4804610783585</x:v>
      </x:c>
      <x:c r="G579" s="4" t="n">
        <x:f>IF('계산 과정'!$L$7,IF(ABS(F579)&gt;=1E-12*MAX(1,SQRT((D579-'계산 과정'!$C$33)^2+(E579-'계산 과정'!$D$33)^2+'계산 과정'!$E$33^2)),('계산 과정'!$L$23-'계산 과정'!$C$49*D579-'계산 과정'!$D$49*E579)/F579,""),"")</x:f>
        <x:v>0.7143404022249565</x:v>
      </x:c>
      <x:c r="H579" s="4" t="n">
        <x:f>IF(AND(ISNUMBER(G579),G579&gt;0),('계산 과정'!$D$56+'계산 과정'!$D$57*D579+'계산 과정'!$D$58*E579)/F579,"")</x:f>
        <x:v>64.3212614462217</x:v>
      </x:c>
      <x:c r="I579" s="4" t="n">
        <x:f>IF(AND(ISNUMBER(G579),G579&gt;0),('계산 과정'!$E$56+'계산 과정'!$E$57*D579+'계산 과정'!$E$58*E579)/F579,"")</x:f>
        <x:v>-101.20748465044655</x:v>
      </x:c>
      <x:c r="J579" s="4" t="n">
        <x:f>IF('계산 과정'!$L$5,'계산 과정'!$D$6+'계산 과정'!$C$35*D579+'계산 과정'!$D$35*E579,"")</x:f>
        <x:v>612.4804610783585</x:v>
      </x:c>
      <x:c r="K579" s="4" t="n">
        <x:f>IF(AND('계산 과정'!$L$6,J579&gt;0),'계산 과정'!$D$10*('계산 과정'!$C$38*(D579-'계산 과정'!$C$32)+'계산 과정'!$D$38*(E579-'계산 과정'!$D$32)-'계산 과정'!$E$38*'계산 과정'!$E$32)/J579,"")</x:f>
        <x:v>0.490066753875976</x:v>
      </x:c>
      <x:c r="L579" s="4" t="n">
        <x:f>IF(AND('계산 과정'!$L$6,J579&gt;0),'계산 과정'!$D$10*('계산 과정'!$C$39*(D579-'계산 과정'!$C$32)+'계산 과정'!$D$39*(E579-'계산 과정'!$D$32)-'계산 과정'!$E$39*'계산 과정'!$E$32)/J579,"")</x:f>
        <x:v>-0.7711046449557831</x:v>
      </x:c>
      <x:c r="M579" s="17" t="n">
        <x:f>IF('계산 과정'!$L$6,IF(J579&lt;=0,0,IF(AND(ABS(K579)&lt;='계산 과정'!$D$11/2,ABS(L579)&lt;='계산 과정'!$D$12/2),1,0)),"")</x:f>
        <x:v>1</x:v>
      </x:c>
      <x:c r="N579" s="17" t="n">
        <x:f>IF('계산 과정'!$C$78,IF(AND(ISNUMBER(H579),ISNUMBER(I579),ABS(H579-'계산 과정'!$C$88)&lt;='계산 과정'!$D$23/2,ABS(I579-'계산 과정'!$C$89)&lt;='계산 과정'!$D$24/2),1,0),"")</x:f>
        <x:v>1</x:v>
      </x:c>
      <x:c r="O579" s="4" t="n">
        <x:f>IF('계산 과정'!$L$7,'계산 과정'!$C$49*('계산 과정'!$C$32-D579)+'계산 과정'!$D$49*('계산 과정'!$D$32-E579)+'계산 과정'!$E$49*'계산 과정'!$E$32,"")</x:f>
        <x:v>37.51953892164164</x:v>
      </x:c>
      <x:c r="P579" s="4" t="n">
        <x:f>IF(AND('계산 과정'!$L$7,O579&lt;&gt;0),('계산 과정'!$L$23-'계산 과정'!$C$49*D579-'계산 과정'!$D$49*E579)/O579,"")</x:f>
        <x:v>11.661111823239274</x:v>
      </x:c>
      <x:c r="Q579" s="4" t="str">
        <x:f>IF(AND(ISNUMBER(P579),P579&gt;1E-9,P579&lt;1-1E-9),'계산 과정'!$C$47*(D579-'계산 과정'!$C$50+P579*('계산 과정'!$C$32-D579))+'계산 과정'!$D$47*(E579-'계산 과정'!$D$50+P579*('계산 과정'!$D$32-E579))+'계산 과정'!$E$47*(0-'계산 과정'!$E$50+P579*('계산 과정'!$E$32-0)),"")</x:f>
      </x:c>
      <x:c r="R579" s="4" t="str">
        <x:f>IF(AND(ISNUMBER(P579),P579&gt;1E-9,P579&lt;1-1E-9),'계산 과정'!$C$48*(D579-'계산 과정'!$C$50+P579*('계산 과정'!$C$32-D579))+'계산 과정'!$D$48*(E579-'계산 과정'!$D$50+P579*('계산 과정'!$D$32-E579))+'계산 과정'!$E$48*(0-'계산 과정'!$E$50+P579*('계산 과정'!$E$32-0)),"")</x:f>
      </x:c>
      <x:c r="S579" s="17" t="n">
        <x:f>IF('계산 과정'!$C$78,IF(AND(ISNUMBER(Q579),ISNUMBER(R579),ABS(Q579-'계산 과정'!$C$88)&lt;='계산 과정'!$D$23/2,ABS(R579-'계산 과정'!$C$89)&lt;='계산 과정'!$D$24/2),1,0),"")</x:f>
        <x:v>0</x:v>
      </x:c>
      <x:c r="T579" s="4"/>
      <x:c r="U579" s="4"/>
      <x:c r="V579" s="4"/>
      <x:c r="W579" s="4" t="n">
        <x:f>IF('계산 과정'!$C$78,'계산 과정'!$C$88+-0.24*'계산 과정'!$C$90/2,"")</x:f>
        <x:v>-14.72246471429429</x:v>
      </x:c>
      <x:c r="X579" s="4" t="str">
        <x:f>""</x:f>
      </x:c>
      <x:c r="Y579" s="4" t="str">
        <x:f>""</x:f>
      </x:c>
      <x:c r="Z579" s="4" t="n">
        <x:f>IF('계산 과정'!$C$78,'계산 과정'!$C$89+1*'계산 과정'!$C$91/2,"")</x:f>
        <x:v>250.5995703094169</x:v>
      </x:c>
    </x:row>
    <x:row r="580" ht="23" customHeight="1">
      <x:c r="A580" s="17" t="n">
        <x:f>ROW()-6</x:f>
        <x:v>574</x:v>
      </x:c>
      <x:c r="B580" s="4" t="n">
        <x:f>IF('계산 과정'!$L$5,'계산 과정'!$L$11*SQRT((A580+0.5)/'계산 과정'!$L$30),"")</x:f>
        <x:v>79.4458652656795</x:v>
      </x:c>
      <x:c r="C580" s="4" t="n">
        <x:f>A580*PI()*(3-SQRT(5))</x:f>
        <x:v>1377.5788938642468</x:v>
      </x:c>
      <x:c r="D580" s="4" t="n">
        <x:f>IF('계산 과정'!$L$5,B580*COS(C580),"")</x:f>
        <x:v>0.7535116713692654</x:v>
      </x:c>
      <x:c r="E580" s="4" t="n">
        <x:f>IF('계산 과정'!$L$5,B580*SIN(C580),"")</x:f>
        <x:v>79.44229180967535</x:v>
      </x:c>
      <x:c r="F580" s="4" t="n">
        <x:f>IF('계산 과정'!$L$7,'계산 과정'!$L$22+'계산 과정'!$C$49*D580+'계산 과정'!$D$49*E580,"")</x:f>
        <x:v>649.4671867874716</x:v>
      </x:c>
      <x:c r="G580" s="4" t="n">
        <x:f>IF('계산 과정'!$L$7,IF(ABS(F580)&gt;=1E-12*MAX(1,SQRT((D580-'계산 과정'!$C$33)^2+(E580-'계산 과정'!$D$33)^2+'계산 과정'!$E$33^2)),('계산 과정'!$L$23-'계산 과정'!$C$49*D580-'계산 과정'!$D$49*E580)/F580,""),"")</x:f>
        <x:v>0.6167098528775969</x:v>
      </x:c>
      <x:c r="H580" s="4" t="n">
        <x:f>IF(AND(ISNUMBER(G580),G580&gt;0),('계산 과정'!$D$56+'계산 과정'!$D$57*D580+'계산 과정'!$D$58*E580)/F580,"")</x:f>
        <x:v>0.861404370437943</x:v>
      </x:c>
      <x:c r="I580" s="4" t="n">
        <x:f>IF(AND(ISNUMBER(G580),G580&gt;0),('계산 과정'!$E$56+'계산 과정'!$E$57*D580+'계산 과정'!$E$58*E580)/F580,"")</x:f>
        <x:v>128.43513590387934</x:v>
      </x:c>
      <x:c r="J580" s="4" t="n">
        <x:f>IF('계산 과정'!$L$5,'계산 과정'!$D$6+'계산 과정'!$C$35*D580+'계산 과정'!$D$35*E580,"")</x:f>
        <x:v>649.4671867874716</x:v>
      </x:c>
      <x:c r="K580" s="4" t="n">
        <x:f>IF(AND('계산 과정'!$L$6,J580&gt;0),'계산 과정'!$D$10*('계산 과정'!$C$38*(D580-'계산 과정'!$C$32)+'계산 과정'!$D$38*(E580-'계산 과정'!$D$32)-'계산 과정'!$E$38*'계산 과정'!$E$32)/J580,"")</x:f>
        <x:v>0.006563080917623378</x:v>
      </x:c>
      <x:c r="L580" s="4" t="n">
        <x:f>IF(AND('계산 과정'!$L$6,J580&gt;0),'계산 과정'!$D$10*('계산 과정'!$C$39*(D580-'계산 과정'!$C$32)+'계산 과정'!$D$39*(E580-'계산 과정'!$D$32)-'계산 과정'!$E$39*'계산 과정'!$E$32)/J580,"")</x:f>
        <x:v>0.9785534164105094</x:v>
      </x:c>
      <x:c r="M580" s="17" t="n">
        <x:f>IF('계산 과정'!$L$6,IF(J580&lt;=0,0,IF(AND(ABS(K580)&lt;='계산 과정'!$D$11/2,ABS(L580)&lt;='계산 과정'!$D$12/2),1,0)),"")</x:f>
        <x:v>1</x:v>
      </x:c>
      <x:c r="N580" s="17" t="n">
        <x:f>IF('계산 과정'!$C$78,IF(AND(ISNUMBER(H580),ISNUMBER(I580),ABS(H580-'계산 과정'!$C$88)&lt;='계산 과정'!$D$23/2,ABS(I580-'계산 과정'!$C$89)&lt;='계산 과정'!$D$24/2),1,0),"")</x:f>
        <x:v>1</x:v>
      </x:c>
      <x:c r="O580" s="4" t="n">
        <x:f>IF('계산 과정'!$L$7,'계산 과정'!$C$49*('계산 과정'!$C$32-D580)+'계산 과정'!$D$49*('계산 과정'!$D$32-E580)+'계산 과정'!$E$49*'계산 과정'!$E$32,"")</x:f>
        <x:v>0.5328132125285379</x:v>
      </x:c>
      <x:c r="P580" s="4" t="n">
        <x:f>IF(AND('계산 과정'!$L$7,O580&lt;&gt;0),('계산 과정'!$L$23-'계산 과정'!$C$49*D580-'계산 과정'!$D$49*E580)/O580,"")</x:f>
        <x:v>751.7321338781095</x:v>
      </x:c>
      <x:c r="Q580" s="4" t="str">
        <x:f>IF(AND(ISNUMBER(P580),P580&gt;1E-9,P580&lt;1-1E-9),'계산 과정'!$C$47*(D580-'계산 과정'!$C$50+P580*('계산 과정'!$C$32-D580))+'계산 과정'!$D$47*(E580-'계산 과정'!$D$50+P580*('계산 과정'!$D$32-E580))+'계산 과정'!$E$47*(0-'계산 과정'!$E$50+P580*('계산 과정'!$E$32-0)),"")</x:f>
      </x:c>
      <x:c r="R580" s="4" t="str">
        <x:f>IF(AND(ISNUMBER(P580),P580&gt;1E-9,P580&lt;1-1E-9),'계산 과정'!$C$48*(D580-'계산 과정'!$C$50+P580*('계산 과정'!$C$32-D580))+'계산 과정'!$D$48*(E580-'계산 과정'!$D$50+P580*('계산 과정'!$D$32-E580))+'계산 과정'!$E$48*(0-'계산 과정'!$E$50+P580*('계산 과정'!$E$32-0)),"")</x:f>
      </x:c>
      <x:c r="S580" s="17" t="n">
        <x:f>IF('계산 과정'!$C$78,IF(AND(ISNUMBER(Q580),ISNUMBER(R580),ABS(Q580-'계산 과정'!$C$88)&lt;='계산 과정'!$D$23/2,ABS(R580-'계산 과정'!$C$89)&lt;='계산 과정'!$D$24/2),1,0),"")</x:f>
        <x:v>0</x:v>
      </x:c>
      <x:c r="T580" s="4"/>
      <x:c r="U580" s="4"/>
      <x:c r="V580" s="4"/>
      <x:c r="W580" s="4" t="n">
        <x:f>IF('계산 과정'!$C$78,'계산 과정'!$C$88+-0.28*'계산 과정'!$C$90/2,"")</x:f>
        <x:v>-21.96344287589651</x:v>
      </x:c>
      <x:c r="X580" s="4" t="str">
        <x:f>""</x:f>
      </x:c>
      <x:c r="Y580" s="4" t="str">
        <x:f>""</x:f>
      </x:c>
      <x:c r="Z580" s="4" t="n">
        <x:f>IF('계산 과정'!$C$78,'계산 과정'!$C$89+1*'계산 과정'!$C$91/2,"")</x:f>
        <x:v>250.5995703094169</x:v>
      </x:c>
    </x:row>
    <x:row r="581" ht="23" customHeight="1">
      <x:c r="A581" s="17" t="n">
        <x:f>ROW()-6</x:f>
        <x:v>575</x:v>
      </x:c>
      <x:c r="B581" s="4" t="n">
        <x:f>IF('계산 과정'!$L$5,'계산 과정'!$L$11*SQRT((A581+0.5)/'계산 과정'!$L$30),"")</x:f>
        <x:v>79.51497868915956</x:v>
      </x:c>
      <x:c r="C581" s="4" t="n">
        <x:f>A581*PI()*(3-SQRT(5))</x:f>
        <x:v>1379.9788570939754</x:v>
      </x:c>
      <x:c r="D581" s="4" t="n">
        <x:f>IF('계산 과정'!$L$5,B581*COS(C581),"")</x:f>
        <x:v>-54.2652798285694</x:v>
      </x:c>
      <x:c r="E581" s="4" t="n">
        <x:f>IF('계산 과정'!$L$5,B581*SIN(C581),"")</x:f>
        <x:v>-58.11980076587117</x:v>
      </x:c>
      <x:c r="F581" s="4" t="n">
        <x:f>IF('계산 과정'!$L$7,'계산 과정'!$L$22+'계산 과정'!$C$49*D581+'계산 과정'!$D$49*E581,"")</x:f>
        <x:v>688.371347349767</x:v>
      </x:c>
      <x:c r="G581" s="4" t="n">
        <x:f>IF('계산 과정'!$L$7,IF(ABS(F581)&gt;=1E-12*MAX(1,SQRT((D581-'계산 과정'!$C$33)^2+(E581-'계산 과정'!$D$33)^2+'계산 과정'!$E$33^2)),('계산 과정'!$L$23-'계산 과정'!$C$49*D581-'계산 과정'!$D$49*E581)/F581,""),"")</x:f>
        <x:v>0.5253394901494739</x:v>
      </x:c>
      <x:c r="H581" s="4" t="n">
        <x:f>IF(AND(ISNUMBER(G581),G581&gt;0),('계산 과정'!$D$56+'계산 과정'!$D$57*D581+'계산 과정'!$D$58*E581)/F581,"")</x:f>
        <x:v>-58.52933140284207</x:v>
      </x:c>
      <x:c r="I581" s="4" t="n">
        <x:f>IF(AND(ISNUMBER(G581),G581&gt;0),('계산 과정'!$E$56+'계산 과정'!$E$57*D581+'계산 과정'!$E$58*E581)/F581,"")</x:f>
        <x:v>-88.65242726780292</x:v>
      </x:c>
      <x:c r="J581" s="4" t="n">
        <x:f>IF('계산 과정'!$L$5,'계산 과정'!$D$6+'계산 과정'!$C$35*D581+'계산 과정'!$D$35*E581,"")</x:f>
        <x:v>688.371347349767</x:v>
      </x:c>
      <x:c r="K581" s="4" t="n">
        <x:f>IF(AND('계산 과정'!$L$6,J581&gt;0),'계산 과정'!$D$10*('계산 과정'!$C$38*(D581-'계산 과정'!$C$32)+'계산 과정'!$D$38*(E581-'계산 과정'!$D$32)-'계산 과정'!$E$38*'계산 과정'!$E$32)/J581,"")</x:f>
        <x:v>-0.4459377630692722</x:v>
      </x:c>
      <x:c r="L581" s="4" t="n">
        <x:f>IF(AND('계산 과정'!$L$6,J581&gt;0),'계산 과정'!$D$10*('계산 과정'!$C$39*(D581-'계산 과정'!$C$32)+'계산 과정'!$D$39*(E581-'계산 과정'!$D$32)-'계산 과정'!$E$39*'계산 과정'!$E$32)/J581,"")</x:f>
        <x:v>-0.6754470648975461</x:v>
      </x:c>
      <x:c r="M581" s="17" t="n">
        <x:f>IF('계산 과정'!$L$6,IF(J581&lt;=0,0,IF(AND(ABS(K581)&lt;='계산 과정'!$D$11/2,ABS(L581)&lt;='계산 과정'!$D$12/2),1,0)),"")</x:f>
        <x:v>1</x:v>
      </x:c>
      <x:c r="N581" s="17" t="n">
        <x:f>IF('계산 과정'!$C$78,IF(AND(ISNUMBER(H581),ISNUMBER(I581),ABS(H581-'계산 과정'!$C$88)&lt;='계산 과정'!$D$23/2,ABS(I581-'계산 과정'!$C$89)&lt;='계산 과정'!$D$24/2),1,0),"")</x:f>
        <x:v>1</x:v>
      </x:c>
      <x:c r="O581" s="4" t="n">
        <x:f>IF('계산 과정'!$L$7,'계산 과정'!$C$49*('계산 과정'!$C$32-D581)+'계산 과정'!$D$49*('계산 과정'!$D$32-E581)+'계산 과정'!$E$49*'계산 과정'!$E$32,"")</x:f>
        <x:v>-38.37134734976689</x:v>
      </x:c>
      <x:c r="P581" s="4" t="n">
        <x:f>IF(AND('계산 과정'!$L$7,O581&lt;&gt;0),('계산 과정'!$L$23-'계산 과정'!$C$49*D581-'계산 과정'!$D$49*E581)/O581,"")</x:f>
        <x:v>-9.4244449993865</x:v>
      </x:c>
      <x:c r="Q581" s="4" t="str">
        <x:f>IF(AND(ISNUMBER(P581),P581&gt;1E-9,P581&lt;1-1E-9),'계산 과정'!$C$47*(D581-'계산 과정'!$C$50+P581*('계산 과정'!$C$32-D581))+'계산 과정'!$D$47*(E581-'계산 과정'!$D$50+P581*('계산 과정'!$D$32-E581))+'계산 과정'!$E$47*(0-'계산 과정'!$E$50+P581*('계산 과정'!$E$32-0)),"")</x:f>
      </x:c>
      <x:c r="R581" s="4" t="str">
        <x:f>IF(AND(ISNUMBER(P581),P581&gt;1E-9,P581&lt;1-1E-9),'계산 과정'!$C$48*(D581-'계산 과정'!$C$50+P581*('계산 과정'!$C$32-D581))+'계산 과정'!$D$48*(E581-'계산 과정'!$D$50+P581*('계산 과정'!$D$32-E581))+'계산 과정'!$E$48*(0-'계산 과정'!$E$50+P581*('계산 과정'!$E$32-0)),"")</x:f>
      </x:c>
      <x:c r="S581" s="17" t="n">
        <x:f>IF('계산 과정'!$C$78,IF(AND(ISNUMBER(Q581),ISNUMBER(R581),ABS(Q581-'계산 과정'!$C$88)&lt;='계산 과정'!$D$23/2,ABS(R581-'계산 과정'!$C$89)&lt;='계산 과정'!$D$24/2),1,0),"")</x:f>
        <x:v>0</x:v>
      </x:c>
      <x:c r="T581" s="4"/>
      <x:c r="U581" s="4"/>
      <x:c r="V581" s="4"/>
      <x:c r="W581" s="4" t="n">
        <x:f>IF('계산 과정'!$C$78,'계산 과정'!$C$88+-0.32000000000000006*'계산 과정'!$C$90/2,"")</x:f>
        <x:v>-29.20442103749874</x:v>
      </x:c>
      <x:c r="X581" s="4" t="str">
        <x:f>""</x:f>
      </x:c>
      <x:c r="Y581" s="4" t="str">
        <x:f>""</x:f>
      </x:c>
      <x:c r="Z581" s="4" t="n">
        <x:f>IF('계산 과정'!$C$78,'계산 과정'!$C$89+1*'계산 과정'!$C$91/2,"")</x:f>
        <x:v>250.5995703094169</x:v>
      </x:c>
    </x:row>
    <x:row r="582" ht="23" customHeight="1">
      <x:c r="A582" s="17" t="n">
        <x:f>ROW()-6</x:f>
        <x:v>576</x:v>
      </x:c>
      <x:c r="B582" s="4" t="n">
        <x:f>IF('계산 과정'!$L$5,'계산 과정'!$L$11*SQRT((A582+0.5)/'계산 과정'!$L$30),"")</x:f>
        <x:v>79.58403209226397</x:v>
      </x:c>
      <x:c r="C582" s="4" t="n">
        <x:f>A582*PI()*(3-SQRT(5))</x:f>
        <x:v>1382.378820323704</x:v>
      </x:c>
      <x:c r="D582" s="4" t="n">
        <x:f>IF('계산 과정'!$L$5,B582*COS(C582),"")</x:f>
        <x:v>79.3417329927922</x:v>
      </x:c>
      <x:c r="E582" s="4" t="n">
        <x:f>IF('계산 과정'!$L$5,B582*SIN(C582),"")</x:f>
        <x:v>6.2054467818981704</x:v>
      </x:c>
      <x:c r="F582" s="4" t="n">
        <x:f>IF('계산 과정'!$L$7,'계산 과정'!$L$22+'계산 과정'!$C$49*D582+'계산 과정'!$D$49*E582,"")</x:f>
        <x:v>593.8969225697042</x:v>
      </x:c>
      <x:c r="G582" s="4" t="n">
        <x:f>IF('계산 과정'!$L$7,IF(ABS(F582)&gt;=1E-12*MAX(1,SQRT((D582-'계산 과정'!$C$33)^2+(E582-'계산 과정'!$D$33)^2+'계산 과정'!$E$33^2)),('계산 과정'!$L$23-'계산 과정'!$C$49*D582-'계산 과정'!$D$49*E582)/F582,""),"")</x:f>
        <x:v>0.7679835676817539</x:v>
      </x:c>
      <x:c r="H582" s="4" t="n">
        <x:f>IF(AND(ISNUMBER(G582),G582&gt;0),('계산 과정'!$D$56+'계산 과정'!$D$57*D582+'계산 과정'!$D$58*E582)/F582,"")</x:f>
        <x:v>99.18931899313995</x:v>
      </x:c>
      <x:c r="I582" s="4" t="n">
        <x:f>IF(AND(ISNUMBER(G582),G582&gt;0),('계산 과정'!$E$56+'계산 과정'!$E$57*D582+'계산 과정'!$E$58*E582)/F582,"")</x:f>
        <x:v>10.971127940519587</x:v>
      </x:c>
      <x:c r="J582" s="4" t="n">
        <x:f>IF('계산 과정'!$L$5,'계산 과정'!$D$6+'계산 과정'!$C$35*D582+'계산 과정'!$D$35*E582,"")</x:f>
        <x:v>593.8969225697042</x:v>
      </x:c>
      <x:c r="K582" s="4" t="n">
        <x:f>IF(AND('계산 과정'!$L$6,J582&gt;0),'계산 과정'!$D$10*('계산 과정'!$C$38*(D582-'계산 과정'!$C$32)+'계산 과정'!$D$38*(E582-'계산 과정'!$D$32)-'계산 과정'!$E$38*'계산 과정'!$E$32)/J582,"")</x:f>
        <x:v>0.7557281447096384</x:v>
      </x:c>
      <x:c r="L582" s="4" t="n">
        <x:f>IF(AND('계산 과정'!$L$6,J582&gt;0),'계산 과정'!$D$10*('계산 과정'!$C$39*(D582-'계산 과정'!$C$32)+'계산 과정'!$D$39*(E582-'계산 과정'!$D$32)-'계산 과정'!$E$39*'계산 과정'!$E$32)/J582,"")</x:f>
        <x:v>0.08358954621348257</x:v>
      </x:c>
      <x:c r="M582" s="17" t="n">
        <x:f>IF('계산 과정'!$L$6,IF(J582&lt;=0,0,IF(AND(ABS(K582)&lt;='계산 과정'!$D$11/2,ABS(L582)&lt;='계산 과정'!$D$12/2),1,0)),"")</x:f>
        <x:v>1</x:v>
      </x:c>
      <x:c r="N582" s="17" t="n">
        <x:f>IF('계산 과정'!$C$78,IF(AND(ISNUMBER(H582),ISNUMBER(I582),ABS(H582-'계산 과정'!$C$88)&lt;='계산 과정'!$D$23/2,ABS(I582-'계산 과정'!$C$89)&lt;='계산 과정'!$D$24/2),1,0),"")</x:f>
        <x:v>1</x:v>
      </x:c>
      <x:c r="O582" s="4" t="n">
        <x:f>IF('계산 과정'!$L$7,'계산 과정'!$C$49*('계산 과정'!$C$32-D582)+'계산 과정'!$D$49*('계산 과정'!$D$32-E582)+'계산 과정'!$E$49*'계산 과정'!$E$32,"")</x:f>
        <x:v>56.10307743029591</x:v>
      </x:c>
      <x:c r="P582" s="4" t="n">
        <x:f>IF(AND('계산 과정'!$L$7,O582&lt;&gt;0),('계산 과정'!$L$23-'계산 과정'!$C$49*D582-'계산 과정'!$D$49*E582)/O582,"")</x:f>
        <x:v>8.129733667408379</x:v>
      </x:c>
      <x:c r="Q582" s="4" t="str">
        <x:f>IF(AND(ISNUMBER(P582),P582&gt;1E-9,P582&lt;1-1E-9),'계산 과정'!$C$47*(D582-'계산 과정'!$C$50+P582*('계산 과정'!$C$32-D582))+'계산 과정'!$D$47*(E582-'계산 과정'!$D$50+P582*('계산 과정'!$D$32-E582))+'계산 과정'!$E$47*(0-'계산 과정'!$E$50+P582*('계산 과정'!$E$32-0)),"")</x:f>
      </x:c>
      <x:c r="R582" s="4" t="str">
        <x:f>IF(AND(ISNUMBER(P582),P582&gt;1E-9,P582&lt;1-1E-9),'계산 과정'!$C$48*(D582-'계산 과정'!$C$50+P582*('계산 과정'!$C$32-D582))+'계산 과정'!$D$48*(E582-'계산 과정'!$D$50+P582*('계산 과정'!$D$32-E582))+'계산 과정'!$E$48*(0-'계산 과정'!$E$50+P582*('계산 과정'!$E$32-0)),"")</x:f>
      </x:c>
      <x:c r="S582" s="17" t="n">
        <x:f>IF('계산 과정'!$C$78,IF(AND(ISNUMBER(Q582),ISNUMBER(R582),ABS(Q582-'계산 과정'!$C$88)&lt;='계산 과정'!$D$23/2,ABS(R582-'계산 과정'!$C$89)&lt;='계산 과정'!$D$24/2),1,0),"")</x:f>
        <x:v>0</x:v>
      </x:c>
      <x:c r="T582" s="4"/>
      <x:c r="U582" s="4"/>
      <x:c r="V582" s="4"/>
      <x:c r="W582" s="4" t="n">
        <x:f>IF('계산 과정'!$C$78,'계산 과정'!$C$88+-0.3600000000000001*'계산 과정'!$C$90/2,"")</x:f>
        <x:v>-36.44539919910096</x:v>
      </x:c>
      <x:c r="X582" s="4" t="str">
        <x:f>""</x:f>
      </x:c>
      <x:c r="Y582" s="4" t="str">
        <x:f>""</x:f>
      </x:c>
      <x:c r="Z582" s="4" t="n">
        <x:f>IF('계산 과정'!$C$78,'계산 과정'!$C$89+1*'계산 과정'!$C$91/2,"")</x:f>
        <x:v>250.5995703094169</x:v>
      </x:c>
    </x:row>
    <x:row r="583" ht="23" customHeight="1">
      <x:c r="A583" s="17" t="n">
        <x:f>ROW()-6</x:f>
        <x:v>577</x:v>
      </x:c>
      <x:c r="B583" s="4" t="n">
        <x:f>IF('계산 과정'!$L$5,'계산 과정'!$L$11*SQRT((A583+0.5)/'계산 과정'!$L$30),"")</x:f>
        <x:v>79.65302563109263</x:v>
      </x:c>
      <x:c r="C583" s="4" t="n">
        <x:f>A583*PI()*(3-SQRT(5))</x:f>
        <x:v>1384.7787835534327</x:v>
      </x:c>
      <x:c r="D583" s="4" t="n">
        <x:f>IF('계산 과정'!$L$5,B583*COS(C583),"")</x:f>
        <x:v>-62.75019642831838</x:v>
      </x:c>
      <x:c r="E583" s="4" t="n">
        <x:f>IF('계산 과정'!$L$5,B583*SIN(C583),"")</x:f>
        <x:v>49.06136300995885</x:v>
      </x:c>
      <x:c r="F583" s="4" t="n">
        <x:f>IF('계산 과정'!$L$7,'계산 과정'!$L$22+'계산 과정'!$C$49*D583+'계산 과정'!$D$49*E583,"")</x:f>
        <x:v>694.3710894152518</x:v>
      </x:c>
      <x:c r="G583" s="4" t="n">
        <x:f>IF('계산 과정'!$L$7,IF(ABS(F583)&gt;=1E-12*MAX(1,SQRT((D583-'계산 과정'!$C$33)^2+(E583-'계산 과정'!$D$33)^2+'계산 과정'!$E$33^2)),('계산 과정'!$L$23-'계산 과정'!$C$49*D583-'계산 과정'!$D$49*E583)/F583,""),"")</x:f>
        <x:v>0.5121597313105772</x:v>
      </x:c>
      <x:c r="H583" s="4" t="n">
        <x:f>IF(AND(ISNUMBER(G583),G583&gt;0),('계산 과정'!$D$56+'계산 과정'!$D$57*D583+'계산 과정'!$D$58*E583)/F583,"")</x:f>
        <x:v>-67.09617464812489</x:v>
      </x:c>
      <x:c r="I583" s="4" t="n">
        <x:f>IF(AND(ISNUMBER(G583),G583&gt;0),('계산 과정'!$E$56+'계산 과정'!$E$57*D583+'계산 과정'!$E$58*E583)/F583,"")</x:f>
        <x:v>74.18861750687007</x:v>
      </x:c>
      <x:c r="J583" s="4" t="n">
        <x:f>IF('계산 과정'!$L$5,'계산 과정'!$D$6+'계산 과정'!$C$35*D583+'계산 과정'!$D$35*E583,"")</x:f>
        <x:v>694.3710894152518</x:v>
      </x:c>
      <x:c r="K583" s="4" t="n">
        <x:f>IF(AND('계산 과정'!$L$6,J583&gt;0),'계산 과정'!$D$10*('계산 과정'!$C$38*(D583-'계산 과정'!$C$32)+'계산 과정'!$D$38*(E583-'계산 과정'!$D$32)-'계산 과정'!$E$38*'계산 과정'!$E$32)/J583,"")</x:f>
        <x:v>-0.5112089496999986</x:v>
      </x:c>
      <x:c r="L583" s="4" t="n">
        <x:f>IF(AND('계산 과정'!$L$6,J583&gt;0),'계산 과정'!$D$10*('계산 과정'!$C$39*(D583-'계산 과정'!$C$32)+'계산 과정'!$D$39*(E583-'계산 과정'!$D$32)-'계산 과정'!$E$39*'계산 과정'!$E$32)/J583,"")</x:f>
        <x:v>0.5652466095761529</x:v>
      </x:c>
      <x:c r="M583" s="17" t="n">
        <x:f>IF('계산 과정'!$L$6,IF(J583&lt;=0,0,IF(AND(ABS(K583)&lt;='계산 과정'!$D$11/2,ABS(L583)&lt;='계산 과정'!$D$12/2),1,0)),"")</x:f>
        <x:v>1</x:v>
      </x:c>
      <x:c r="N583" s="17" t="n">
        <x:f>IF('계산 과정'!$C$78,IF(AND(ISNUMBER(H583),ISNUMBER(I583),ABS(H583-'계산 과정'!$C$88)&lt;='계산 과정'!$D$23/2,ABS(I583-'계산 과정'!$C$89)&lt;='계산 과정'!$D$24/2),1,0),"")</x:f>
        <x:v>1</x:v>
      </x:c>
      <x:c r="O583" s="4" t="n">
        <x:f>IF('계산 과정'!$L$7,'계산 과정'!$C$49*('계산 과정'!$C$32-D583)+'계산 과정'!$D$49*('계산 과정'!$D$32-E583)+'계산 과정'!$E$49*'계산 과정'!$E$32,"")</x:f>
        <x:v>-44.37108941525173</x:v>
      </x:c>
      <x:c r="P583" s="4" t="n">
        <x:f>IF(AND('계산 과정'!$L$7,O583&lt;&gt;0),('계산 과정'!$L$23-'계산 과정'!$C$49*D583-'계산 과정'!$D$49*E583)/O583,"")</x:f>
        <x:v>-8.014878950943842</x:v>
      </x:c>
      <x:c r="Q583" s="4" t="str">
        <x:f>IF(AND(ISNUMBER(P583),P583&gt;1E-9,P583&lt;1-1E-9),'계산 과정'!$C$47*(D583-'계산 과정'!$C$50+P583*('계산 과정'!$C$32-D583))+'계산 과정'!$D$47*(E583-'계산 과정'!$D$50+P583*('계산 과정'!$D$32-E583))+'계산 과정'!$E$47*(0-'계산 과정'!$E$50+P583*('계산 과정'!$E$32-0)),"")</x:f>
      </x:c>
      <x:c r="R583" s="4" t="str">
        <x:f>IF(AND(ISNUMBER(P583),P583&gt;1E-9,P583&lt;1-1E-9),'계산 과정'!$C$48*(D583-'계산 과정'!$C$50+P583*('계산 과정'!$C$32-D583))+'계산 과정'!$D$48*(E583-'계산 과정'!$D$50+P583*('계산 과정'!$D$32-E583))+'계산 과정'!$E$48*(0-'계산 과정'!$E$50+P583*('계산 과정'!$E$32-0)),"")</x:f>
      </x:c>
      <x:c r="S583" s="17" t="n">
        <x:f>IF('계산 과정'!$C$78,IF(AND(ISNUMBER(Q583),ISNUMBER(R583),ABS(Q583-'계산 과정'!$C$88)&lt;='계산 과정'!$D$23/2,ABS(R583-'계산 과정'!$C$89)&lt;='계산 과정'!$D$24/2),1,0),"")</x:f>
        <x:v>0</x:v>
      </x:c>
      <x:c r="T583" s="4"/>
      <x:c r="U583" s="4"/>
      <x:c r="V583" s="4"/>
      <x:c r="W583" s="4" t="n">
        <x:f>IF('계산 과정'!$C$78,'계산 과정'!$C$88+-0.3999999999999999*'계산 과정'!$C$90/2,"")</x:f>
        <x:v>-43.68637736070315</x:v>
      </x:c>
      <x:c r="X583" s="4" t="str">
        <x:f>""</x:f>
      </x:c>
      <x:c r="Y583" s="4" t="str">
        <x:f>""</x:f>
      </x:c>
      <x:c r="Z583" s="4" t="n">
        <x:f>IF('계산 과정'!$C$78,'계산 과정'!$C$89+1*'계산 과정'!$C$91/2,"")</x:f>
        <x:v>250.5995703094169</x:v>
      </x:c>
    </x:row>
    <x:row r="584" ht="23" customHeight="1">
      <x:c r="A584" s="17" t="n">
        <x:f>ROW()-6</x:f>
        <x:v>578</x:v>
      </x:c>
      <x:c r="B584" s="4" t="n">
        <x:f>IF('계산 과정'!$L$5,'계산 과정'!$L$11*SQRT((A584+0.5)/'계산 과정'!$L$30),"")</x:f>
        <x:v>79.72195946107009</x:v>
      </x:c>
      <x:c r="C584" s="4" t="n">
        <x:f>A584*PI()*(3-SQRT(5))</x:f>
        <x:v>1387.1787467831614</x:v>
      </x:c>
      <x:c r="D584" s="4" t="n">
        <x:f>IF('계산 과정'!$L$5,B584*COS(C584),"")</x:f>
        <x:v>13.14093007712116</x:v>
      </x:c>
      <x:c r="E584" s="4" t="n">
        <x:f>IF('계산 과정'!$L$5,B584*SIN(C584),"")</x:f>
        <x:v>-78.63146175050235</x:v>
      </x:c>
      <x:c r="F584" s="4" t="n">
        <x:f>IF('계산 과정'!$L$7,'계산 과정'!$L$22+'계산 과정'!$C$49*D584+'계산 과정'!$D$49*E584,"")</x:f>
        <x:v>640.7079592313694</x:v>
      </x:c>
      <x:c r="G584" s="4" t="n">
        <x:f>IF('계산 과정'!$L$7,IF(ABS(F584)&gt;=1E-12*MAX(1,SQRT((D584-'계산 과정'!$C$33)^2+(E584-'계산 과정'!$D$33)^2+'계산 과정'!$E$33^2)),('계산 과정'!$L$23-'계산 과정'!$C$49*D584-'계산 과정'!$D$49*E584)/F584,""),"")</x:f>
        <x:v>0.6388121684326213</x:v>
      </x:c>
      <x:c r="H584" s="4" t="n">
        <x:f>IF(AND(ISNUMBER(G584),G584&gt;0),('계산 과정'!$D$56+'계산 과정'!$D$57*D584+'계산 과정'!$D$58*E584)/F584,"")</x:f>
        <x:v>15.227909481203778</x:v>
      </x:c>
      <x:c r="I584" s="4" t="n">
        <x:f>IF(AND(ISNUMBER(G584),G584&gt;0),('계산 과정'!$E$56+'계산 과정'!$E$57*D584+'계산 과정'!$E$58*E584)/F584,"")</x:f>
        <x:v>-128.86219633836748</x:v>
      </x:c>
      <x:c r="J584" s="4" t="n">
        <x:f>IF('계산 과정'!$L$5,'계산 과정'!$D$6+'계산 과정'!$C$35*D584+'계산 과정'!$D$35*E584,"")</x:f>
        <x:v>640.7079592313694</x:v>
      </x:c>
      <x:c r="K584" s="4" t="n">
        <x:f>IF(AND('계산 과정'!$L$6,J584&gt;0),'계산 과정'!$D$10*('계산 과정'!$C$38*(D584-'계산 과정'!$C$32)+'계산 과정'!$D$38*(E584-'계산 과정'!$D$32)-'계산 과정'!$E$38*'계산 과정'!$E$32)/J584,"")</x:f>
        <x:v>0.1160221674758389</x:v>
      </x:c>
      <x:c r="L584" s="4" t="n">
        <x:f>IF(AND('계산 과정'!$L$6,J584&gt;0),'계산 과정'!$D$10*('계산 과정'!$C$39*(D584-'계산 과정'!$C$32)+'계산 과정'!$D$39*(E584-'계산 과정'!$D$32)-'계산 과정'!$E$39*'계산 과정'!$E$32)/J584,"")</x:f>
        <x:v>-0.9818072101970856</x:v>
      </x:c>
      <x:c r="M584" s="17" t="n">
        <x:f>IF('계산 과정'!$L$6,IF(J584&lt;=0,0,IF(AND(ABS(K584)&lt;='계산 과정'!$D$11/2,ABS(L584)&lt;='계산 과정'!$D$12/2),1,0)),"")</x:f>
        <x:v>1</x:v>
      </x:c>
      <x:c r="N584" s="17" t="n">
        <x:f>IF('계산 과정'!$C$78,IF(AND(ISNUMBER(H584),ISNUMBER(I584),ABS(H584-'계산 과정'!$C$88)&lt;='계산 과정'!$D$23/2,ABS(I584-'계산 과정'!$C$89)&lt;='계산 과정'!$D$24/2),1,0),"")</x:f>
        <x:v>1</x:v>
      </x:c>
      <x:c r="O584" s="4" t="n">
        <x:f>IF('계산 과정'!$L$7,'계산 과정'!$C$49*('계산 과정'!$C$32-D584)+'계산 과정'!$D$49*('계산 과정'!$D$32-E584)+'계산 과정'!$E$49*'계산 과정'!$E$32,"")</x:f>
        <x:v>9.292040768630727</x:v>
      </x:c>
      <x:c r="P584" s="4" t="n">
        <x:f>IF(AND('계산 과정'!$L$7,O584&lt;&gt;0),('계산 과정'!$L$23-'계산 과정'!$C$49*D584-'계산 과정'!$D$49*E584)/O584,"")</x:f>
        <x:v>44.047594167943345</x:v>
      </x:c>
      <x:c r="Q584" s="4" t="str">
        <x:f>IF(AND(ISNUMBER(P584),P584&gt;1E-9,P584&lt;1-1E-9),'계산 과정'!$C$47*(D584-'계산 과정'!$C$50+P584*('계산 과정'!$C$32-D584))+'계산 과정'!$D$47*(E584-'계산 과정'!$D$50+P584*('계산 과정'!$D$32-E584))+'계산 과정'!$E$47*(0-'계산 과정'!$E$50+P584*('계산 과정'!$E$32-0)),"")</x:f>
      </x:c>
      <x:c r="R584" s="4" t="str">
        <x:f>IF(AND(ISNUMBER(P584),P584&gt;1E-9,P584&lt;1-1E-9),'계산 과정'!$C$48*(D584-'계산 과정'!$C$50+P584*('계산 과정'!$C$32-D584))+'계산 과정'!$D$48*(E584-'계산 과정'!$D$50+P584*('계산 과정'!$D$32-E584))+'계산 과정'!$E$48*(0-'계산 과정'!$E$50+P584*('계산 과정'!$E$32-0)),"")</x:f>
      </x:c>
      <x:c r="S584" s="17" t="n">
        <x:f>IF('계산 과정'!$C$78,IF(AND(ISNUMBER(Q584),ISNUMBER(R584),ABS(Q584-'계산 과정'!$C$88)&lt;='계산 과정'!$D$23/2,ABS(R584-'계산 과정'!$C$89)&lt;='계산 과정'!$D$24/2),1,0),"")</x:f>
        <x:v>0</x:v>
      </x:c>
      <x:c r="T584" s="4"/>
      <x:c r="U584" s="4"/>
      <x:c r="V584" s="4"/>
      <x:c r="W584" s="4" t="n">
        <x:f>IF('계산 과정'!$C$78,'계산 과정'!$C$88+-0.43999999999999995*'계산 과정'!$C$90/2,"")</x:f>
        <x:v>-50.927355522305376</x:v>
      </x:c>
      <x:c r="X584" s="4" t="str">
        <x:f>""</x:f>
      </x:c>
      <x:c r="Y584" s="4" t="str">
        <x:f>""</x:f>
      </x:c>
      <x:c r="Z584" s="4" t="n">
        <x:f>IF('계산 과정'!$C$78,'계산 과정'!$C$89+1*'계산 과정'!$C$91/2,"")</x:f>
        <x:v>250.5995703094169</x:v>
      </x:c>
    </x:row>
    <x:row r="585" ht="23" customHeight="1">
      <x:c r="A585" s="17" t="n">
        <x:f>ROW()-6</x:f>
        <x:v>579</x:v>
      </x:c>
      <x:c r="B585" s="4" t="n">
        <x:f>IF('계산 과정'!$L$5,'계산 과정'!$L$11*SQRT((A585+0.5)/'계산 과정'!$L$30),"")</x:f>
        <x:v>79.79083373694938</x:v>
      </x:c>
      <x:c r="C585" s="4" t="n">
        <x:f>A585*PI()*(3-SQRT(5))</x:f>
        <x:v>1389.57871001289</x:v>
      </x:c>
      <x:c r="D585" s="4" t="n">
        <x:f>IF('계산 과정'!$L$5,B585*COS(C585),"")</x:f>
        <x:v>43.46259263986619</x:v>
      </x:c>
      <x:c r="E585" s="4" t="n">
        <x:f>IF('계산 과정'!$L$5,B585*SIN(C585),"")</x:f>
        <x:v>66.91472326370743</x:v>
      </x:c>
      <x:c r="F585" s="4" t="n">
        <x:f>IF('계산 과정'!$L$7,'계산 과정'!$L$22+'계산 과정'!$C$49*D585+'계산 과정'!$D$49*E585,"")</x:f>
        <x:v>619.2673060164021</x:v>
      </x:c>
      <x:c r="G585" s="4" t="n">
        <x:f>IF('계산 과정'!$L$7,IF(ABS(F585)&gt;=1E-12*MAX(1,SQRT((D585-'계산 과정'!$C$33)^2+(E585-'계산 과정'!$D$33)^2+'계산 과정'!$E$33^2)),('계산 과정'!$L$23-'계산 과정'!$C$49*D585-'계산 과정'!$D$49*E585)/F585,""),"")</x:f>
        <x:v>0.695552130394866</x:v>
      </x:c>
      <x:c r="H585" s="4" t="n">
        <x:f>IF(AND(ISNUMBER(G585),G585&gt;0),('계산 과정'!$D$56+'계산 과정'!$D$57*D585+'계산 과정'!$D$58*E585)/F585,"")</x:f>
        <x:v>52.10888475666281</x:v>
      </x:c>
      <x:c r="I585" s="4" t="n">
        <x:f>IF(AND(ISNUMBER(G585),G585&gt;0),('계산 과정'!$E$56+'계산 과정'!$E$57*D585+'계산 과정'!$E$58*E585)/F585,"")</x:f>
        <x:v>113.45740158456204</x:v>
      </x:c>
      <x:c r="J585" s="4" t="n">
        <x:f>IF('계산 과정'!$L$5,'계산 과정'!$D$6+'계산 과정'!$C$35*D585+'계산 과정'!$D$35*E585,"")</x:f>
        <x:v>619.2673060164021</x:v>
      </x:c>
      <x:c r="K585" s="4" t="n">
        <x:f>IF(AND('계산 과정'!$L$6,J585&gt;0),'계산 과정'!$D$10*('계산 과정'!$C$38*(D585-'계산 과정'!$C$32)+'계산 과정'!$D$38*(E585-'계산 과정'!$D$32)-'계산 과정'!$E$38*'계산 과정'!$E$32)/J585,"")</x:f>
        <x:v>0.39702007433647957</x:v>
      </x:c>
      <x:c r="L585" s="4" t="n">
        <x:f>IF(AND('계산 과정'!$L$6,J585&gt;0),'계산 과정'!$D$10*('계산 과정'!$C$39*(D585-'계산 과정'!$C$32)+'계산 과정'!$D$39*(E585-'계산 과정'!$D$32)-'계산 과정'!$E$39*'계산 과정'!$E$32)/J585,"")</x:f>
        <x:v>0.8644373454061869</x:v>
      </x:c>
      <x:c r="M585" s="17" t="n">
        <x:f>IF('계산 과정'!$L$6,IF(J585&lt;=0,0,IF(AND(ABS(K585)&lt;='계산 과정'!$D$11/2,ABS(L585)&lt;='계산 과정'!$D$12/2),1,0)),"")</x:f>
        <x:v>1</x:v>
      </x:c>
      <x:c r="N585" s="17" t="n">
        <x:f>IF('계산 과정'!$C$78,IF(AND(ISNUMBER(H585),ISNUMBER(I585),ABS(H585-'계산 과정'!$C$88)&lt;='계산 과정'!$D$23/2,ABS(I585-'계산 과정'!$C$89)&lt;='계산 과정'!$D$24/2),1,0),"")</x:f>
        <x:v>1</x:v>
      </x:c>
      <x:c r="O585" s="4" t="n">
        <x:f>IF('계산 과정'!$L$7,'계산 과정'!$C$49*('계산 과정'!$C$32-D585)+'계산 과정'!$D$49*('계산 과정'!$D$32-E585)+'계산 과정'!$E$49*'계산 과정'!$E$32,"")</x:f>
        <x:v>30.73269398359804</x:v>
      </x:c>
      <x:c r="P585" s="4" t="n">
        <x:f>IF(AND('계산 과정'!$L$7,O585&lt;&gt;0),('계산 과정'!$L$23-'계산 과정'!$C$49*D585-'계산 과정'!$D$49*E585)/O585,"")</x:f>
        <x:v>14.015455144071614</x:v>
      </x:c>
      <x:c r="Q585" s="4" t="str">
        <x:f>IF(AND(ISNUMBER(P585),P585&gt;1E-9,P585&lt;1-1E-9),'계산 과정'!$C$47*(D585-'계산 과정'!$C$50+P585*('계산 과정'!$C$32-D585))+'계산 과정'!$D$47*(E585-'계산 과정'!$D$50+P585*('계산 과정'!$D$32-E585))+'계산 과정'!$E$47*(0-'계산 과정'!$E$50+P585*('계산 과정'!$E$32-0)),"")</x:f>
      </x:c>
      <x:c r="R585" s="4" t="str">
        <x:f>IF(AND(ISNUMBER(P585),P585&gt;1E-9,P585&lt;1-1E-9),'계산 과정'!$C$48*(D585-'계산 과정'!$C$50+P585*('계산 과정'!$C$32-D585))+'계산 과정'!$D$48*(E585-'계산 과정'!$D$50+P585*('계산 과정'!$D$32-E585))+'계산 과정'!$E$48*(0-'계산 과정'!$E$50+P585*('계산 과정'!$E$32-0)),"")</x:f>
      </x:c>
      <x:c r="S585" s="17" t="n">
        <x:f>IF('계산 과정'!$C$78,IF(AND(ISNUMBER(Q585),ISNUMBER(R585),ABS(Q585-'계산 과정'!$C$88)&lt;='계산 과정'!$D$23/2,ABS(R585-'계산 과정'!$C$89)&lt;='계산 과정'!$D$24/2),1,0),"")</x:f>
        <x:v>0</x:v>
      </x:c>
      <x:c r="T585" s="4"/>
      <x:c r="U585" s="4"/>
      <x:c r="V585" s="4"/>
      <x:c r="W585" s="4" t="n">
        <x:f>IF('계산 과정'!$C$78,'계산 과정'!$C$88+-0.48*'계산 과정'!$C$90/2,"")</x:f>
        <x:v>-58.168333683907605</x:v>
      </x:c>
      <x:c r="X585" s="4" t="str">
        <x:f>""</x:f>
      </x:c>
      <x:c r="Y585" s="4" t="str">
        <x:f>""</x:f>
      </x:c>
      <x:c r="Z585" s="4" t="n">
        <x:f>IF('계산 과정'!$C$78,'계산 과정'!$C$89+1*'계산 과정'!$C$91/2,"")</x:f>
        <x:v>250.5995703094169</x:v>
      </x:c>
    </x:row>
    <x:row r="586" ht="23" customHeight="1">
      <x:c r="A586" s="17" t="n">
        <x:f>ROW()-6</x:f>
        <x:v>580</x:v>
      </x:c>
      <x:c r="B586" s="4" t="n">
        <x:f>IF('계산 과정'!$L$5,'계산 과정'!$L$11*SQRT((A586+0.5)/'계산 과정'!$L$30),"")</x:f>
        <x:v>79.85964861281634</x:v>
      </x:c>
      <x:c r="C586" s="4" t="n">
        <x:f>A586*PI()*(3-SQRT(5))</x:f>
        <x:v>1391.9786732426187</x:v>
      </x:c>
      <x:c r="D586" s="4" t="n">
        <x:f>IF('계산 과정'!$L$5,B586*COS(C586),"")</x:f>
        <x:v>-77.31483129368878</x:v>
      </x:c>
      <x:c r="E586" s="4" t="n">
        <x:f>IF('계산 과정'!$L$5,B586*SIN(C586),"")</x:f>
        <x:v>-19.9995084587332</x:v>
      </x:c>
      <x:c r="F586" s="4" t="n">
        <x:f>IF('계산 과정'!$L$7,'계산 과정'!$L$22+'계산 과정'!$C$49*D586+'계산 과정'!$D$49*E586,"")</x:f>
        <x:v>704.6698414940612</x:v>
      </x:c>
      <x:c r="G586" s="4" t="n">
        <x:f>IF('계산 과정'!$L$7,IF(ABS(F586)&gt;=1E-12*MAX(1,SQRT((D586-'계산 과정'!$C$33)^2+(E586-'계산 과정'!$D$33)^2+'계산 과정'!$E$33^2)),('계산 과정'!$L$23-'계산 과정'!$C$49*D586-'계산 과정'!$D$49*E586)/F586,""),"")</x:f>
        <x:v>0.49005951180450674</x:v>
      </x:c>
      <x:c r="H586" s="4" t="n">
        <x:f>IF(AND(ISNUMBER(G586),G586&gt;0),('계산 과정'!$D$56+'계산 과정'!$D$57*D586+'계산 과정'!$D$58*E586)/F586,"")</x:f>
        <x:v>-81.46131732707077</x:v>
      </x:c>
      <x:c r="I586" s="4" t="n">
        <x:f>IF(AND(ISNUMBER(G586),G586&gt;0),('계산 과정'!$E$56+'계산 과정'!$E$57*D586+'계산 과정'!$E$58*E586)/F586,"")</x:f>
        <x:v>-29.800457810350096</x:v>
      </x:c>
      <x:c r="J586" s="4" t="n">
        <x:f>IF('계산 과정'!$L$5,'계산 과정'!$D$6+'계산 과정'!$C$35*D586+'계산 과정'!$D$35*E586,"")</x:f>
        <x:v>704.6698414940612</x:v>
      </x:c>
      <x:c r="K586" s="4" t="n">
        <x:f>IF(AND('계산 과정'!$L$6,J586&gt;0),'계산 과정'!$D$10*('계산 과정'!$C$38*(D586-'계산 과정'!$C$32)+'계산 과정'!$D$38*(E586-'계산 과정'!$D$32)-'계산 과정'!$E$38*'계산 과정'!$E$32)/J586,"")</x:f>
        <x:v>-0.6206576558253003</x:v>
      </x:c>
      <x:c r="L586" s="4" t="n">
        <x:f>IF(AND('계산 과정'!$L$6,J586&gt;0),'계산 과정'!$D$10*('계산 과정'!$C$39*(D586-'계산 과정'!$C$32)+'계산 과정'!$D$39*(E586-'계산 과정'!$D$32)-'계산 과정'!$E$39*'계산 과정'!$E$32)/J586,"")</x:f>
        <x:v>-0.22705110712647691</x:v>
      </x:c>
      <x:c r="M586" s="17" t="n">
        <x:f>IF('계산 과정'!$L$6,IF(J586&lt;=0,0,IF(AND(ABS(K586)&lt;='계산 과정'!$D$11/2,ABS(L586)&lt;='계산 과정'!$D$12/2),1,0)),"")</x:f>
        <x:v>1</x:v>
      </x:c>
      <x:c r="N586" s="17" t="n">
        <x:f>IF('계산 과정'!$C$78,IF(AND(ISNUMBER(H586),ISNUMBER(I586),ABS(H586-'계산 과정'!$C$88)&lt;='계산 과정'!$D$23/2,ABS(I586-'계산 과정'!$C$89)&lt;='계산 과정'!$D$24/2),1,0),"")</x:f>
        <x:v>1</x:v>
      </x:c>
      <x:c r="O586" s="4" t="n">
        <x:f>IF('계산 과정'!$L$7,'계산 과정'!$C$49*('계산 과정'!$C$32-D586)+'계산 과정'!$D$49*('계산 과정'!$D$32-E586)+'계산 과정'!$E$49*'계산 과정'!$E$32,"")</x:f>
        <x:v>-54.66984149406113</x:v>
      </x:c>
      <x:c r="P586" s="4" t="n">
        <x:f>IF(AND('계산 과정'!$L$7,O586&lt;&gt;0),('계산 과정'!$L$23-'계산 과정'!$C$49*D586-'계산 과정'!$D$49*E586)/O586,"")</x:f>
        <x:v>-6.3166482482568105</x:v>
      </x:c>
      <x:c r="Q586" s="4" t="str">
        <x:f>IF(AND(ISNUMBER(P586),P586&gt;1E-9,P586&lt;1-1E-9),'계산 과정'!$C$47*(D586-'계산 과정'!$C$50+P586*('계산 과정'!$C$32-D586))+'계산 과정'!$D$47*(E586-'계산 과정'!$D$50+P586*('계산 과정'!$D$32-E586))+'계산 과정'!$E$47*(0-'계산 과정'!$E$50+P586*('계산 과정'!$E$32-0)),"")</x:f>
      </x:c>
      <x:c r="R586" s="4" t="str">
        <x:f>IF(AND(ISNUMBER(P586),P586&gt;1E-9,P586&lt;1-1E-9),'계산 과정'!$C$48*(D586-'계산 과정'!$C$50+P586*('계산 과정'!$C$32-D586))+'계산 과정'!$D$48*(E586-'계산 과정'!$D$50+P586*('계산 과정'!$D$32-E586))+'계산 과정'!$E$48*(0-'계산 과정'!$E$50+P586*('계산 과정'!$E$32-0)),"")</x:f>
      </x:c>
      <x:c r="S586" s="17" t="n">
        <x:f>IF('계산 과정'!$C$78,IF(AND(ISNUMBER(Q586),ISNUMBER(R586),ABS(Q586-'계산 과정'!$C$88)&lt;='계산 과정'!$D$23/2,ABS(R586-'계산 과정'!$C$89)&lt;='계산 과정'!$D$24/2),1,0),"")</x:f>
        <x:v>0</x:v>
      </x:c>
      <x:c r="T586" s="4"/>
      <x:c r="U586" s="4"/>
      <x:c r="V586" s="4"/>
      <x:c r="W586" s="4" t="n">
        <x:f>IF('계산 과정'!$C$78,'계산 과정'!$C$88+-0.52*'계산 과정'!$C$90/2,"")</x:f>
        <x:v>-65.40931184550982</x:v>
      </x:c>
      <x:c r="X586" s="4" t="str">
        <x:f>""</x:f>
      </x:c>
      <x:c r="Y586" s="4" t="str">
        <x:f>""</x:f>
      </x:c>
      <x:c r="Z586" s="4" t="n">
        <x:f>IF('계산 과정'!$C$78,'계산 과정'!$C$89+1*'계산 과정'!$C$91/2,"")</x:f>
        <x:v>250.5995703094169</x:v>
      </x:c>
    </x:row>
    <x:row r="587" ht="23" customHeight="1">
      <x:c r="A587" s="17" t="n">
        <x:f>ROW()-6</x:f>
        <x:v>581</x:v>
      </x:c>
      <x:c r="B587" s="4" t="n">
        <x:f>IF('계산 과정'!$L$5,'계산 과정'!$L$11*SQRT((A587+0.5)/'계산 과정'!$L$30),"")</x:f>
        <x:v>79.92840424209345</x:v>
      </x:c>
      <x:c r="C587" s="4" t="n">
        <x:f>A587*PI()*(3-SQRT(5))</x:f>
        <x:v>1394.3786364723474</x:v>
      </x:c>
      <x:c r="D587" s="4" t="n">
        <x:f>IF('계산 과정'!$L$5,B587*COS(C587),"")</x:f>
        <x:v>70.57973802809636</x:v>
      </x:c>
      <x:c r="E587" s="4" t="n">
        <x:f>IF('계산 과정'!$L$5,B587*SIN(C587),"")</x:f>
        <x:v>-37.51067027623994</x:v>
      </x:c>
      <x:c r="F587" s="4" t="n">
        <x:f>IF('계산 과정'!$L$7,'계산 과정'!$L$22+'계산 과정'!$C$49*D587+'계산 과정'!$D$49*E587,"")</x:f>
        <x:v>600.092588625963</x:v>
      </x:c>
      <x:c r="G587" s="4" t="n">
        <x:f>IF('계산 과정'!$L$7,IF(ABS(F587)&gt;=1E-12*MAX(1,SQRT((D587-'계산 과정'!$C$33)^2+(E587-'계산 과정'!$D$33)^2+'계산 과정'!$E$33^2)),('계산 과정'!$L$23-'계산 과정'!$C$49*D587-'계산 과정'!$D$49*E587)/F587,""),"")</x:f>
        <x:v>0.7497299915071335</x:v>
      </x:c>
      <x:c r="H587" s="4" t="n">
        <x:f>IF(AND(ISNUMBER(G587),G587&gt;0),('계산 과정'!$D$56+'계산 과정'!$D$57*D587+'계산 과정'!$D$58*E587)/F587,"")</x:f>
        <x:v>87.32449447963664</x:v>
      </x:c>
      <x:c r="I587" s="4" t="n">
        <x:f>IF(AND(ISNUMBER(G587),G587&gt;0),('계산 과정'!$E$56+'계산 과정'!$E$57*D587+'계산 과정'!$E$58*E587)/F587,"")</x:f>
        <x:v>-65.63354478387221</x:v>
      </x:c>
      <x:c r="J587" s="4" t="n">
        <x:f>IF('계산 과정'!$L$5,'계산 과정'!$D$6+'계산 과정'!$C$35*D587+'계산 과정'!$D$35*E587,"")</x:f>
        <x:v>600.092588625963</x:v>
      </x:c>
      <x:c r="K587" s="4" t="n">
        <x:f>IF(AND('계산 과정'!$L$6,J587&gt;0),'계산 과정'!$D$10*('계산 과정'!$C$38*(D587-'계산 과정'!$C$32)+'계산 과정'!$D$38*(E587-'계산 과정'!$D$32)-'계산 과정'!$E$38*'계산 과정'!$E$32)/J587,"")</x:f>
        <x:v>0.6653294817496135</x:v>
      </x:c>
      <x:c r="L587" s="4" t="n">
        <x:f>IF(AND('계산 과정'!$L$6,J587&gt;0),'계산 과정'!$D$10*('계산 과정'!$C$39*(D587-'계산 과정'!$C$32)+'계산 과정'!$D$39*(E587-'계산 과정'!$D$32)-'계산 과정'!$E$39*'계산 과정'!$E$32)/J587,"")</x:f>
        <x:v>-0.5000651031152168</x:v>
      </x:c>
      <x:c r="M587" s="17" t="n">
        <x:f>IF('계산 과정'!$L$6,IF(J587&lt;=0,0,IF(AND(ABS(K587)&lt;='계산 과정'!$D$11/2,ABS(L587)&lt;='계산 과정'!$D$12/2),1,0)),"")</x:f>
        <x:v>1</x:v>
      </x:c>
      <x:c r="N587" s="17" t="n">
        <x:f>IF('계산 과정'!$C$78,IF(AND(ISNUMBER(H587),ISNUMBER(I587),ABS(H587-'계산 과정'!$C$88)&lt;='계산 과정'!$D$23/2,ABS(I587-'계산 과정'!$C$89)&lt;='계산 과정'!$D$24/2),1,0),"")</x:f>
        <x:v>1</x:v>
      </x:c>
      <x:c r="O587" s="4" t="n">
        <x:f>IF('계산 과정'!$L$7,'계산 과정'!$C$49*('계산 과정'!$C$32-D587)+'계산 과정'!$D$49*('계산 과정'!$D$32-E587)+'계산 과정'!$E$49*'계산 과정'!$E$32,"")</x:f>
        <x:v>49.90741137403711</x:v>
      </x:c>
      <x:c r="P587" s="4" t="n">
        <x:f>IF(AND('계산 과정'!$L$7,O587&lt;&gt;0),('계산 과정'!$L$23-'계산 과정'!$C$49*D587-'계산 과정'!$D$49*E587)/O587,"")</x:f>
        <x:v>9.014841663538741</x:v>
      </x:c>
      <x:c r="Q587" s="4" t="str">
        <x:f>IF(AND(ISNUMBER(P587),P587&gt;1E-9,P587&lt;1-1E-9),'계산 과정'!$C$47*(D587-'계산 과정'!$C$50+P587*('계산 과정'!$C$32-D587))+'계산 과정'!$D$47*(E587-'계산 과정'!$D$50+P587*('계산 과정'!$D$32-E587))+'계산 과정'!$E$47*(0-'계산 과정'!$E$50+P587*('계산 과정'!$E$32-0)),"")</x:f>
      </x:c>
      <x:c r="R587" s="4" t="str">
        <x:f>IF(AND(ISNUMBER(P587),P587&gt;1E-9,P587&lt;1-1E-9),'계산 과정'!$C$48*(D587-'계산 과정'!$C$50+P587*('계산 과정'!$C$32-D587))+'계산 과정'!$D$48*(E587-'계산 과정'!$D$50+P587*('계산 과정'!$D$32-E587))+'계산 과정'!$E$48*(0-'계산 과정'!$E$50+P587*('계산 과정'!$E$32-0)),"")</x:f>
      </x:c>
      <x:c r="S587" s="17" t="n">
        <x:f>IF('계산 과정'!$C$78,IF(AND(ISNUMBER(Q587),ISNUMBER(R587),ABS(Q587-'계산 과정'!$C$88)&lt;='계산 과정'!$D$23/2,ABS(R587-'계산 과정'!$C$89)&lt;='계산 과정'!$D$24/2),1,0),"")</x:f>
        <x:v>0</x:v>
      </x:c>
      <x:c r="T587" s="4"/>
      <x:c r="U587" s="4"/>
      <x:c r="V587" s="4"/>
      <x:c r="W587" s="4" t="n">
        <x:f>IF('계산 과정'!$C$78,'계산 과정'!$C$88+-0.56*'계산 과정'!$C$90/2,"")</x:f>
        <x:v>-72.65029000711205</x:v>
      </x:c>
      <x:c r="X587" s="4" t="str">
        <x:f>""</x:f>
      </x:c>
      <x:c r="Y587" s="4" t="str">
        <x:f>""</x:f>
      </x:c>
      <x:c r="Z587" s="4" t="n">
        <x:f>IF('계산 과정'!$C$78,'계산 과정'!$C$89+1*'계산 과정'!$C$91/2,"")</x:f>
        <x:v>250.5995703094169</x:v>
      </x:c>
    </x:row>
    <x:row r="588" ht="23" customHeight="1">
      <x:c r="A588" s="17" t="n">
        <x:f>ROW()-6</x:f>
        <x:v>582</x:v>
      </x:c>
      <x:c r="B588" s="4" t="n">
        <x:f>IF('계산 과정'!$L$5,'계산 과정'!$L$11*SQRT((A588+0.5)/'계산 과정'!$L$30),"")</x:f>
        <x:v>79.9971007775438</x:v>
      </x:c>
      <x:c r="C588" s="4" t="n">
        <x:f>A588*PI()*(3-SQRT(5))</x:f>
        <x:v>1396.778599702076</x:v>
      </x:c>
      <x:c r="D588" s="4" t="n">
        <x:f>IF('계산 과정'!$L$5,B588*COS(C588),"")</x:f>
        <x:v>-26.728161024566226</x:v>
      </x:c>
      <x:c r="E588" s="4" t="n">
        <x:f>IF('계산 과정'!$L$5,B588*SIN(C588),"")</x:f>
        <x:v>75.3998775931192</x:v>
      </x:c>
      <x:c r="F588" s="4" t="n">
        <x:f>IF('계산 과정'!$L$7,'계산 과정'!$L$22+'계산 과정'!$C$49*D588+'계산 과정'!$D$49*E588,"")</x:f>
        <x:v>668.8996639091167</x:v>
      </x:c>
      <x:c r="G588" s="4" t="n">
        <x:f>IF('계산 과정'!$L$7,IF(ABS(F588)&gt;=1E-12*MAX(1,SQRT((D588-'계산 과정'!$C$33)^2+(E588-'계산 과정'!$D$33)^2+'계산 과정'!$E$33^2)),('계산 과정'!$L$23-'계산 과정'!$C$49*D588-'계산 과정'!$D$49*E588)/F588,""),"")</x:f>
        <x:v>0.5697421551443076</x:v>
      </x:c>
      <x:c r="H588" s="4" t="n">
        <x:f>IF(AND(ISNUMBER(G588),G588&gt;0),('계산 과정'!$D$56+'계산 과정'!$D$57*D588+'계산 과정'!$D$58*E588)/F588,"")</x:f>
        <x:v>-29.66759915620015</x:v>
      </x:c>
      <x:c r="I588" s="4" t="n">
        <x:f>IF(AND(ISNUMBER(G588),G588&gt;0),('계산 과정'!$E$56+'계산 과정'!$E$57*D588+'계산 과정'!$E$58*E588)/F588,"")</x:f>
        <x:v>118.35836635063994</x:v>
      </x:c>
      <x:c r="J588" s="4" t="n">
        <x:f>IF('계산 과정'!$L$5,'계산 과정'!$D$6+'계산 과정'!$C$35*D588+'계산 과정'!$D$35*E588,"")</x:f>
        <x:v>668.8996639091167</x:v>
      </x:c>
      <x:c r="K588" s="4" t="n">
        <x:f>IF(AND('계산 과정'!$L$6,J588&gt;0),'계산 과정'!$D$10*('계산 과정'!$C$38*(D588-'계산 과정'!$C$32)+'계산 과정'!$D$38*(E588-'계산 과정'!$D$32)-'계산 과정'!$E$38*'계산 과정'!$E$32)/J588,"")</x:f>
        <x:v>-0.22603885071390528</x:v>
      </x:c>
      <x:c r="L588" s="4" t="n">
        <x:f>IF(AND('계산 과정'!$L$6,J588&gt;0),'계산 과정'!$D$10*('계산 과정'!$C$39*(D588-'계산 과정'!$C$32)+'계산 과정'!$D$39*(E588-'계산 과정'!$D$32)-'계산 과정'!$E$39*'계산 과정'!$E$32)/J588,"")</x:f>
        <x:v>0.9017780293382089</x:v>
      </x:c>
      <x:c r="M588" s="17" t="n">
        <x:f>IF('계산 과정'!$L$6,IF(J588&lt;=0,0,IF(AND(ABS(K588)&lt;='계산 과정'!$D$11/2,ABS(L588)&lt;='계산 과정'!$D$12/2),1,0)),"")</x:f>
        <x:v>1</x:v>
      </x:c>
      <x:c r="N588" s="17" t="n">
        <x:f>IF('계산 과정'!$C$78,IF(AND(ISNUMBER(H588),ISNUMBER(I588),ABS(H588-'계산 과정'!$C$88)&lt;='계산 과정'!$D$23/2,ABS(I588-'계산 과정'!$C$89)&lt;='계산 과정'!$D$24/2),1,0),"")</x:f>
        <x:v>1</x:v>
      </x:c>
      <x:c r="O588" s="4" t="n">
        <x:f>IF('계산 과정'!$L$7,'계산 과정'!$C$49*('계산 과정'!$C$32-D588)+'계산 과정'!$D$49*('계산 과정'!$D$32-E588)+'계산 과정'!$E$49*'계산 과정'!$E$32,"")</x:f>
        <x:v>-18.89966390911667</x:v>
      </x:c>
      <x:c r="P588" s="4" t="n">
        <x:f>IF(AND('계산 과정'!$L$7,O588&lt;&gt;0),('계산 과정'!$L$23-'계산 과정'!$C$49*D588-'계산 과정'!$D$49*E588)/O588,"")</x:f>
        <x:v>-20.16439752174911</x:v>
      </x:c>
      <x:c r="Q588" s="4" t="str">
        <x:f>IF(AND(ISNUMBER(P588),P588&gt;1E-9,P588&lt;1-1E-9),'계산 과정'!$C$47*(D588-'계산 과정'!$C$50+P588*('계산 과정'!$C$32-D588))+'계산 과정'!$D$47*(E588-'계산 과정'!$D$50+P588*('계산 과정'!$D$32-E588))+'계산 과정'!$E$47*(0-'계산 과정'!$E$50+P588*('계산 과정'!$E$32-0)),"")</x:f>
      </x:c>
      <x:c r="R588" s="4" t="str">
        <x:f>IF(AND(ISNUMBER(P588),P588&gt;1E-9,P588&lt;1-1E-9),'계산 과정'!$C$48*(D588-'계산 과정'!$C$50+P588*('계산 과정'!$C$32-D588))+'계산 과정'!$D$48*(E588-'계산 과정'!$D$50+P588*('계산 과정'!$D$32-E588))+'계산 과정'!$E$48*(0-'계산 과정'!$E$50+P588*('계산 과정'!$E$32-0)),"")</x:f>
      </x:c>
      <x:c r="S588" s="17" t="n">
        <x:f>IF('계산 과정'!$C$78,IF(AND(ISNUMBER(Q588),ISNUMBER(R588),ABS(Q588-'계산 과정'!$C$88)&lt;='계산 과정'!$D$23/2,ABS(R588-'계산 과정'!$C$89)&lt;='계산 과정'!$D$24/2),1,0),"")</x:f>
        <x:v>0</x:v>
      </x:c>
      <x:c r="T588" s="4"/>
      <x:c r="U588" s="4"/>
      <x:c r="V588" s="4"/>
      <x:c r="W588" s="4" t="n">
        <x:f>IF('계산 과정'!$C$78,'계산 과정'!$C$88+-0.6000000000000001*'계산 과정'!$C$90/2,"")</x:f>
        <x:v>-79.89126816871428</x:v>
      </x:c>
      <x:c r="X588" s="4" t="str">
        <x:f>""</x:f>
      </x:c>
      <x:c r="Y588" s="4" t="str">
        <x:f>""</x:f>
      </x:c>
      <x:c r="Z588" s="4" t="n">
        <x:f>IF('계산 과정'!$C$78,'계산 과정'!$C$89+1*'계산 과정'!$C$91/2,"")</x:f>
        <x:v>250.5995703094169</x:v>
      </x:c>
    </x:row>
    <x:row r="589" ht="23" customHeight="1">
      <x:c r="A589" s="17" t="n">
        <x:f>ROW()-6</x:f>
        <x:v>583</x:v>
      </x:c>
      <x:c r="B589" s="4" t="n">
        <x:f>IF('계산 과정'!$L$5,'계산 과정'!$L$11*SQRT((A589+0.5)/'계산 과정'!$L$30),"")</x:f>
        <x:v>80.06573837127526</x:v>
      </x:c>
      <x:c r="C589" s="4" t="n">
        <x:f>A589*PI()*(3-SQRT(5))</x:f>
        <x:v>1399.1785629318047</x:v>
      </x:c>
      <x:c r="D589" s="4" t="n">
        <x:f>IF('계산 과정'!$L$5,B589*COS(C589),"")</x:f>
        <x:v>-31.250161079252507</x:v>
      </x:c>
      <x:c r="E589" s="4" t="n">
        <x:f>IF('계산 과정'!$L$5,B589*SIN(C589),"")</x:f>
        <x:v>-73.7153301115736</x:v>
      </x:c>
      <x:c r="F589" s="4" t="n">
        <x:f>IF('계산 과정'!$L$7,'계산 과정'!$L$22+'계산 과정'!$C$49*D589+'계산 과정'!$D$49*E589,"")</x:f>
        <x:v>672.0972008123114</x:v>
      </x:c>
      <x:c r="G589" s="4" t="n">
        <x:f>IF('계산 과정'!$L$7,IF(ABS(F589)&gt;=1E-12*MAX(1,SQRT((D589-'계산 과정'!$C$33)^2+(E589-'계산 과정'!$D$33)^2+'계산 과정'!$E$33^2)),('계산 과정'!$L$23-'계산 과정'!$C$49*D589-'계산 과정'!$D$49*E589)/F589,""),"")</x:f>
        <x:v>0.5622740263327195</x:v>
      </x:c>
      <x:c r="H589" s="4" t="n">
        <x:f>IF(AND(ISNUMBER(G589),G589&gt;0),('계산 과정'!$D$56+'계산 과정'!$D$57*D589+'계산 과정'!$D$58*E589)/F589,"")</x:f>
        <x:v>-34.52188288373244</x:v>
      </x:c>
      <x:c r="I589" s="4" t="n">
        <x:f>IF(AND(ISNUMBER(G589),G589&gt;0),('계산 과정'!$E$56+'계산 과정'!$E$57*D589+'계산 과정'!$E$58*E589)/F589,"")</x:f>
        <x:v>-115.16354557585366</x:v>
      </x:c>
      <x:c r="J589" s="4" t="n">
        <x:f>IF('계산 과정'!$L$5,'계산 과정'!$D$6+'계산 과정'!$C$35*D589+'계산 과정'!$D$35*E589,"")</x:f>
        <x:v>672.0972008123114</x:v>
      </x:c>
      <x:c r="K589" s="4" t="n">
        <x:f>IF(AND('계산 과정'!$L$6,J589&gt;0),'계산 과정'!$D$10*('계산 과정'!$C$38*(D589-'계산 과정'!$C$32)+'계산 과정'!$D$38*(E589-'계산 과정'!$D$32)-'계산 과정'!$E$38*'계산 과정'!$E$32)/J589,"")</x:f>
        <x:v>-0.2630238695903415</x:v>
      </x:c>
      <x:c r="L589" s="4" t="n">
        <x:f>IF(AND('계산 과정'!$L$6,J589&gt;0),'계산 과정'!$D$10*('계산 과정'!$C$39*(D589-'계산 과정'!$C$32)+'계산 과정'!$D$39*(E589-'계산 과정'!$D$32)-'계산 과정'!$E$39*'계산 과정'!$E$32)/J589,"")</x:f>
        <x:v>-0.8774365377207898</x:v>
      </x:c>
      <x:c r="M589" s="17" t="n">
        <x:f>IF('계산 과정'!$L$6,IF(J589&lt;=0,0,IF(AND(ABS(K589)&lt;='계산 과정'!$D$11/2,ABS(L589)&lt;='계산 과정'!$D$12/2),1,0)),"")</x:f>
        <x:v>1</x:v>
      </x:c>
      <x:c r="N589" s="17" t="n">
        <x:f>IF('계산 과정'!$C$78,IF(AND(ISNUMBER(H589),ISNUMBER(I589),ABS(H589-'계산 과정'!$C$88)&lt;='계산 과정'!$D$23/2,ABS(I589-'계산 과정'!$C$89)&lt;='계산 과정'!$D$24/2),1,0),"")</x:f>
        <x:v>1</x:v>
      </x:c>
      <x:c r="O589" s="4" t="n">
        <x:f>IF('계산 과정'!$L$7,'계산 과정'!$C$49*('계산 과정'!$C$32-D589)+'계산 과정'!$D$49*('계산 과정'!$D$32-E589)+'계산 과정'!$E$49*'계산 과정'!$E$32,"")</x:f>
        <x:v>-22.097200812311257</x:v>
      </x:c>
      <x:c r="P589" s="4" t="n">
        <x:f>IF(AND('계산 과정'!$L$7,O589&lt;&gt;0),('계산 과정'!$L$23-'계산 과정'!$C$49*D589-'계산 과정'!$D$49*E589)/O589,"")</x:f>
        <x:v>-17.101840291786797</x:v>
      </x:c>
      <x:c r="Q589" s="4" t="str">
        <x:f>IF(AND(ISNUMBER(P589),P589&gt;1E-9,P589&lt;1-1E-9),'계산 과정'!$C$47*(D589-'계산 과정'!$C$50+P589*('계산 과정'!$C$32-D589))+'계산 과정'!$D$47*(E589-'계산 과정'!$D$50+P589*('계산 과정'!$D$32-E589))+'계산 과정'!$E$47*(0-'계산 과정'!$E$50+P589*('계산 과정'!$E$32-0)),"")</x:f>
      </x:c>
      <x:c r="R589" s="4" t="str">
        <x:f>IF(AND(ISNUMBER(P589),P589&gt;1E-9,P589&lt;1-1E-9),'계산 과정'!$C$48*(D589-'계산 과정'!$C$50+P589*('계산 과정'!$C$32-D589))+'계산 과정'!$D$48*(E589-'계산 과정'!$D$50+P589*('계산 과정'!$D$32-E589))+'계산 과정'!$E$48*(0-'계산 과정'!$E$50+P589*('계산 과정'!$E$32-0)),"")</x:f>
      </x:c>
      <x:c r="S589" s="17" t="n">
        <x:f>IF('계산 과정'!$C$78,IF(AND(ISNUMBER(Q589),ISNUMBER(R589),ABS(Q589-'계산 과정'!$C$88)&lt;='계산 과정'!$D$23/2,ABS(R589-'계산 과정'!$C$89)&lt;='계산 과정'!$D$24/2),1,0),"")</x:f>
        <x:v>0</x:v>
      </x:c>
      <x:c r="T589" s="4"/>
      <x:c r="U589" s="4"/>
      <x:c r="V589" s="4"/>
      <x:c r="W589" s="4" t="n">
        <x:f>IF('계산 과정'!$C$78,'계산 과정'!$C$88+-0.6399999999999999*'계산 과정'!$C$90/2,"")</x:f>
        <x:v>-87.13224633031646</x:v>
      </x:c>
      <x:c r="X589" s="4" t="str">
        <x:f>""</x:f>
      </x:c>
      <x:c r="Y589" s="4" t="str">
        <x:f>""</x:f>
      </x:c>
      <x:c r="Z589" s="4" t="n">
        <x:f>IF('계산 과정'!$C$78,'계산 과정'!$C$89+1*'계산 과정'!$C$91/2,"")</x:f>
        <x:v>250.5995703094169</x:v>
      </x:c>
    </x:row>
    <x:row r="590" ht="23" customHeight="1">
      <x:c r="A590" s="17" t="n">
        <x:f>ROW()-6</x:f>
        <x:v>584</x:v>
      </x:c>
      <x:c r="B590" s="4" t="n">
        <x:f>IF('계산 과정'!$L$5,'계산 과정'!$L$11*SQRT((A590+0.5)/'계산 과정'!$L$30),"")</x:f>
        <x:v>80.13431717474418</x:v>
      </x:c>
      <x:c r="C590" s="4" t="n">
        <x:f>A590*PI()*(3-SQRT(5))</x:f>
        <x:v>1401.5785261615333</x:v>
      </x:c>
      <x:c r="D590" s="4" t="n">
        <x:f>IF('계산 과정'!$L$5,B590*COS(C590),"")</x:f>
        <x:v>72.89927330946318</x:v>
      </x:c>
      <x:c r="E590" s="4" t="n">
        <x:f>IF('계산 과정'!$L$5,B590*SIN(C590),"")</x:f>
        <x:v>33.274686174548506</x:v>
      </x:c>
      <x:c r="F590" s="4" t="n">
        <x:f>IF('계산 과정'!$L$7,'계산 과정'!$L$22+'계산 과정'!$C$49*D590+'계산 과정'!$D$49*E590,"")</x:f>
        <x:v>598.4524294993071</x:v>
      </x:c>
      <x:c r="G590" s="4" t="n">
        <x:f>IF('계산 과정'!$L$7,IF(ABS(F590)&gt;=1E-12*MAX(1,SQRT((D590-'계산 과정'!$C$33)^2+(E590-'계산 과정'!$D$33)^2+'계산 과정'!$E$33^2)),('계산 과정'!$L$23-'계산 과정'!$C$49*D590-'계산 과정'!$D$49*E590)/F590,""),"")</x:f>
        <x:v>0.7545254196369099</x:v>
      </x:c>
      <x:c r="H590" s="4" t="n">
        <x:f>IF(AND(ISNUMBER(G590),G590&gt;0),('계산 과정'!$D$56+'계산 과정'!$D$57*D590+'계산 과정'!$D$58*E590)/F590,"")</x:f>
        <x:v>90.44152276399133</x:v>
      </x:c>
      <x:c r="I590" s="4" t="n">
        <x:f>IF(AND(ISNUMBER(G590),G590&gt;0),('계산 과정'!$E$56+'계산 과정'!$E$57*D590+'계산 과정'!$E$58*E590)/F590,"")</x:f>
        <x:v>58.38128272368621</x:v>
      </x:c>
      <x:c r="J590" s="4" t="n">
        <x:f>IF('계산 과정'!$L$5,'계산 과정'!$D$6+'계산 과정'!$C$35*D590+'계산 과정'!$D$35*E590,"")</x:f>
        <x:v>598.4524294993071</x:v>
      </x:c>
      <x:c r="K590" s="4" t="n">
        <x:f>IF(AND('계산 과정'!$L$6,J590&gt;0),'계산 과정'!$D$10*('계산 과정'!$C$38*(D590-'계산 과정'!$C$32)+'계산 과정'!$D$38*(E590-'계산 과정'!$D$32)-'계산 과정'!$E$38*'계산 과정'!$E$32)/J590,"")</x:f>
        <x:v>0.6890782686780301</x:v>
      </x:c>
      <x:c r="L590" s="4" t="n">
        <x:f>IF(AND('계산 과정'!$L$6,J590&gt;0),'계산 과정'!$D$10*('계산 과정'!$C$39*(D590-'계산 과정'!$C$32)+'계산 과정'!$D$39*(E590-'계산 과정'!$D$32)-'계산 과정'!$E$39*'계산 과정'!$E$32)/J590,"")</x:f>
        <x:v>0.44480977313284725</x:v>
      </x:c>
      <x:c r="M590" s="17" t="n">
        <x:f>IF('계산 과정'!$L$6,IF(J590&lt;=0,0,IF(AND(ABS(K590)&lt;='계산 과정'!$D$11/2,ABS(L590)&lt;='계산 과정'!$D$12/2),1,0)),"")</x:f>
        <x:v>1</x:v>
      </x:c>
      <x:c r="N590" s="17" t="n">
        <x:f>IF('계산 과정'!$C$78,IF(AND(ISNUMBER(H590),ISNUMBER(I590),ABS(H590-'계산 과정'!$C$88)&lt;='계산 과정'!$D$23/2,ABS(I590-'계산 과정'!$C$89)&lt;='계산 과정'!$D$24/2),1,0),"")</x:f>
        <x:v>1</x:v>
      </x:c>
      <x:c r="O590" s="4" t="n">
        <x:f>IF('계산 과정'!$L$7,'계산 과정'!$C$49*('계산 과정'!$C$32-D590)+'계산 과정'!$D$49*('계산 과정'!$D$32-E590)+'계산 과정'!$E$49*'계산 과정'!$E$32,"")</x:f>
        <x:v>51.54757050069304</x:v>
      </x:c>
      <x:c r="P590" s="4" t="n">
        <x:f>IF(AND('계산 과정'!$L$7,O590&lt;&gt;0),('계산 과정'!$L$23-'계산 과정'!$C$49*D590-'계산 과정'!$D$49*E590)/O590,"")</x:f>
        <x:v>8.759822550601527</x:v>
      </x:c>
      <x:c r="Q590" s="4" t="str">
        <x:f>IF(AND(ISNUMBER(P590),P590&gt;1E-9,P590&lt;1-1E-9),'계산 과정'!$C$47*(D590-'계산 과정'!$C$50+P590*('계산 과정'!$C$32-D590))+'계산 과정'!$D$47*(E590-'계산 과정'!$D$50+P590*('계산 과정'!$D$32-E590))+'계산 과정'!$E$47*(0-'계산 과정'!$E$50+P590*('계산 과정'!$E$32-0)),"")</x:f>
      </x:c>
      <x:c r="R590" s="4" t="str">
        <x:f>IF(AND(ISNUMBER(P590),P590&gt;1E-9,P590&lt;1-1E-9),'계산 과정'!$C$48*(D590-'계산 과정'!$C$50+P590*('계산 과정'!$C$32-D590))+'계산 과정'!$D$48*(E590-'계산 과정'!$D$50+P590*('계산 과정'!$D$32-E590))+'계산 과정'!$E$48*(0-'계산 과정'!$E$50+P590*('계산 과정'!$E$32-0)),"")</x:f>
      </x:c>
      <x:c r="S590" s="17" t="n">
        <x:f>IF('계산 과정'!$C$78,IF(AND(ISNUMBER(Q590),ISNUMBER(R590),ABS(Q590-'계산 과정'!$C$88)&lt;='계산 과정'!$D$23/2,ABS(R590-'계산 과정'!$C$89)&lt;='계산 과정'!$D$24/2),1,0),"")</x:f>
        <x:v>0</x:v>
      </x:c>
      <x:c r="T590" s="4"/>
      <x:c r="U590" s="4"/>
      <x:c r="V590" s="4"/>
      <x:c r="W590" s="4" t="n">
        <x:f>IF('계산 과정'!$C$78,'계산 과정'!$C$88+-0.6799999999999999*'계산 과정'!$C$90/2,"")</x:f>
        <x:v>-94.37322449191869</x:v>
      </x:c>
      <x:c r="X590" s="4" t="str">
        <x:f>""</x:f>
      </x:c>
      <x:c r="Y590" s="4" t="str">
        <x:f>""</x:f>
      </x:c>
      <x:c r="Z590" s="4" t="n">
        <x:f>IF('계산 과정'!$C$78,'계산 과정'!$C$89+1*'계산 과정'!$C$91/2,"")</x:f>
        <x:v>250.5995703094169</x:v>
      </x:c>
    </x:row>
    <x:row r="591" ht="23" customHeight="1">
      <x:c r="A591" s="17" t="n">
        <x:f>ROW()-6</x:f>
        <x:v>585</x:v>
      </x:c>
      <x:c r="B591" s="4" t="n">
        <x:f>IF('계산 과정'!$L$5,'계산 과정'!$L$11*SQRT((A591+0.5)/'계산 과정'!$L$30),"")</x:f>
        <x:v>80.20283733875941</x:v>
      </x:c>
      <x:c r="C591" s="4" t="n">
        <x:f>A591*PI()*(3-SQRT(5))</x:f>
        <x:v>1403.978489391262</x:v>
      </x:c>
      <x:c r="D591" s="4" t="n">
        <x:f>IF('계산 과정'!$L$5,B591*COS(C591),"")</x:f>
        <x:v>-76.29556496934958</x:v>
      </x:c>
      <x:c r="E591" s="4" t="n">
        <x:f>IF('계산 과정'!$L$5,B591*SIN(C591),"")</x:f>
        <x:v>24.72815972116115</x:v>
      </x:c>
      <x:c r="F591" s="4" t="n">
        <x:f>IF('계산 과정'!$L$7,'계산 과정'!$L$22+'계산 과정'!$C$49*D591+'계산 과정'!$D$49*E591,"")</x:f>
        <x:v>703.9491113642858</x:v>
      </x:c>
      <x:c r="G591" s="4" t="n">
        <x:f>IF('계산 과정'!$L$7,IF(ABS(F591)&gt;=1E-12*MAX(1,SQRT((D591-'계산 과정'!$C$33)^2+(E591-'계산 과정'!$D$33)^2+'계산 과정'!$E$33^2)),('계산 과정'!$L$23-'계산 과정'!$C$49*D591-'계산 과정'!$D$49*E591)/F591,""),"")</x:f>
        <x:v>0.49158509194656347</x:v>
      </x:c>
      <x:c r="H591" s="4" t="n">
        <x:f>IF(AND(ISNUMBER(G591),G591&gt;0),('계산 과정'!$D$56+'계산 과정'!$D$57*D591+'계산 과정'!$D$58*E591)/F591,"")</x:f>
        <x:v>-80.4696902347339</x:v>
      </x:c>
      <x:c r="I591" s="4" t="n">
        <x:f>IF(AND(ISNUMBER(G591),G591&gt;0),('계산 과정'!$E$56+'계산 과정'!$E$57*D591+'계산 과정'!$E$58*E591)/F591,"")</x:f>
        <x:v>36.88415439135746</x:v>
      </x:c>
      <x:c r="J591" s="4" t="n">
        <x:f>IF('계산 과정'!$L$5,'계산 과정'!$D$6+'계산 과정'!$C$35*D591+'계산 과정'!$D$35*E591,"")</x:f>
        <x:v>703.9491113642858</x:v>
      </x:c>
      <x:c r="K591" s="4" t="n">
        <x:f>IF(AND('계산 과정'!$L$6,J591&gt;0),'계산 과정'!$D$10*('계산 과정'!$C$38*(D591-'계산 과정'!$C$32)+'계산 과정'!$D$38*(E591-'계산 과정'!$D$32)-'계산 과정'!$E$38*'계산 과정'!$E$32)/J591,"")</x:f>
        <x:v>-0.6131024017884479</x:v>
      </x:c>
      <x:c r="L591" s="4" t="n">
        <x:f>IF(AND('계산 과정'!$L$6,J591&gt;0),'계산 과정'!$D$10*('계산 과정'!$C$39*(D591-'계산 과정'!$C$32)+'계산 과정'!$D$39*(E591-'계산 과정'!$D$32)-'계산 과정'!$E$39*'계산 과정'!$E$32)/J591,"")</x:f>
        <x:v>0.28102212869605686</x:v>
      </x:c>
      <x:c r="M591" s="17" t="n">
        <x:f>IF('계산 과정'!$L$6,IF(J591&lt;=0,0,IF(AND(ABS(K591)&lt;='계산 과정'!$D$11/2,ABS(L591)&lt;='계산 과정'!$D$12/2),1,0)),"")</x:f>
        <x:v>1</x:v>
      </x:c>
      <x:c r="N591" s="17" t="n">
        <x:f>IF('계산 과정'!$C$78,IF(AND(ISNUMBER(H591),ISNUMBER(I591),ABS(H591-'계산 과정'!$C$88)&lt;='계산 과정'!$D$23/2,ABS(I591-'계산 과정'!$C$89)&lt;='계산 과정'!$D$24/2),1,0),"")</x:f>
        <x:v>1</x:v>
      </x:c>
      <x:c r="O591" s="4" t="n">
        <x:f>IF('계산 과정'!$L$7,'계산 과정'!$C$49*('계산 과정'!$C$32-D591)+'계산 과정'!$D$49*('계산 과정'!$D$32-E591)+'계산 과정'!$E$49*'계산 과정'!$E$32,"")</x:f>
        <x:v>-53.949111364285784</x:v>
      </x:c>
      <x:c r="P591" s="4" t="n">
        <x:f>IF(AND('계산 과정'!$L$7,O591&lt;&gt;0),('계산 과정'!$L$23-'계산 과정'!$C$49*D591-'계산 과정'!$D$49*E591)/O591,"")</x:f>
        <x:v>-6.414394600478984</x:v>
      </x:c>
      <x:c r="Q591" s="4" t="str">
        <x:f>IF(AND(ISNUMBER(P591),P591&gt;1E-9,P591&lt;1-1E-9),'계산 과정'!$C$47*(D591-'계산 과정'!$C$50+P591*('계산 과정'!$C$32-D591))+'계산 과정'!$D$47*(E591-'계산 과정'!$D$50+P591*('계산 과정'!$D$32-E591))+'계산 과정'!$E$47*(0-'계산 과정'!$E$50+P591*('계산 과정'!$E$32-0)),"")</x:f>
      </x:c>
      <x:c r="R591" s="4" t="str">
        <x:f>IF(AND(ISNUMBER(P591),P591&gt;1E-9,P591&lt;1-1E-9),'계산 과정'!$C$48*(D591-'계산 과정'!$C$50+P591*('계산 과정'!$C$32-D591))+'계산 과정'!$D$48*(E591-'계산 과정'!$D$50+P591*('계산 과정'!$D$32-E591))+'계산 과정'!$E$48*(0-'계산 과정'!$E$50+P591*('계산 과정'!$E$32-0)),"")</x:f>
      </x:c>
      <x:c r="S591" s="17" t="n">
        <x:f>IF('계산 과정'!$C$78,IF(AND(ISNUMBER(Q591),ISNUMBER(R591),ABS(Q591-'계산 과정'!$C$88)&lt;='계산 과정'!$D$23/2,ABS(R591-'계산 과정'!$C$89)&lt;='계산 과정'!$D$24/2),1,0),"")</x:f>
        <x:v>0</x:v>
      </x:c>
      <x:c r="T591" s="4"/>
      <x:c r="U591" s="4"/>
      <x:c r="V591" s="4"/>
      <x:c r="W591" s="4" t="n">
        <x:f>IF('계산 과정'!$C$78,'계산 과정'!$C$88+-0.72*'계산 과정'!$C$90/2,"")</x:f>
        <x:v>-101.61420265352092</x:v>
      </x:c>
      <x:c r="X591" s="4" t="str">
        <x:f>""</x:f>
      </x:c>
      <x:c r="Y591" s="4" t="str">
        <x:f>""</x:f>
      </x:c>
      <x:c r="Z591" s="4" t="n">
        <x:f>IF('계산 과정'!$C$78,'계산 과정'!$C$89+1*'계산 과정'!$C$91/2,"")</x:f>
        <x:v>250.5995703094169</x:v>
      </x:c>
    </x:row>
    <x:row r="592" ht="23" customHeight="1">
      <x:c r="A592" s="17" t="n">
        <x:f>ROW()-6</x:f>
        <x:v>586</x:v>
      </x:c>
      <x:c r="B592" s="4" t="n">
        <x:f>IF('계산 과정'!$L$5,'계산 과정'!$L$11*SQRT((A592+0.5)/'계산 과정'!$L$30),"")</x:f>
        <x:v>80.27129901348613</x:v>
      </x:c>
      <x:c r="C592" s="4" t="n">
        <x:f>A592*PI()*(3-SQRT(5))</x:f>
        <x:v>1406.3784526209904</x:v>
      </x:c>
      <x:c r="D592" s="4" t="n">
        <x:f>IF('계산 과정'!$L$5,B592*COS(C592),"")</x:f>
        <x:v>39.58810710734943</x:v>
      </x:c>
      <x:c r="E592" s="4" t="n">
        <x:f>IF('계산 과정'!$L$5,B592*SIN(C592),"")</x:f>
        <x:v>-69.83024574616309</x:v>
      </x:c>
      <x:c r="F592" s="4" t="n">
        <x:f>IF('계산 과정'!$L$7,'계산 과정'!$L$22+'계산 과정'!$C$49*D592+'계산 과정'!$D$49*E592,"")</x:f>
        <x:v>622.0069810100539</x:v>
      </x:c>
      <x:c r="G592" s="4" t="n">
        <x:f>IF('계산 과정'!$L$7,IF(ABS(F592)&gt;=1E-12*MAX(1,SQRT((D592-'계산 과정'!$C$33)^2+(E592-'계산 과정'!$D$33)^2+'계산 과정'!$E$33^2)),('계산 과정'!$L$23-'계산 과정'!$C$49*D592-'계산 과정'!$D$49*E592)/F592,""),"")</x:f>
        <x:v>0.6880839476993397</x:v>
      </x:c>
      <x:c r="H592" s="4" t="n">
        <x:f>IF(AND(ISNUMBER(G592),G592&gt;0),('계산 과정'!$D$56+'계산 과정'!$D$57*D592+'계산 과정'!$D$58*E592)/F592,"")</x:f>
        <x:v>47.254566004570755</x:v>
      </x:c>
      <x:c r="I592" s="4" t="n">
        <x:f>IF(AND(ISNUMBER(G592),G592&gt;0),('계산 과정'!$E$56+'계산 과정'!$E$57*D592+'계산 과정'!$E$58*E592)/F592,"")</x:f>
        <x:v>-117.879316907998</x:v>
      </x:c>
      <x:c r="J592" s="4" t="n">
        <x:f>IF('계산 과정'!$L$5,'계산 과정'!$D$6+'계산 과정'!$C$35*D592+'계산 과정'!$D$35*E592,"")</x:f>
        <x:v>622.0069810100539</x:v>
      </x:c>
      <x:c r="K592" s="4" t="n">
        <x:f>IF(AND('계산 과정'!$L$6,J592&gt;0),'계산 과정'!$D$10*('계산 과정'!$C$38*(D592-'계산 과정'!$C$32)+'계산 과정'!$D$38*(E592-'계산 과정'!$D$32)-'계산 과정'!$E$38*'계산 과정'!$E$32)/J592,"")</x:f>
        <x:v>0.36003478860625376</x:v>
      </x:c>
      <x:c r="L592" s="4" t="n">
        <x:f>IF(AND('계산 과정'!$L$6,J592&gt;0),'계산 과정'!$D$10*('계산 과정'!$C$39*(D592-'계산 과정'!$C$32)+'계산 과정'!$D$39*(E592-'계산 과정'!$D$32)-'계산 과정'!$E$39*'계산 과정'!$E$32)/J592,"")</x:f>
        <x:v>-0.898128128822842</x:v>
      </x:c>
      <x:c r="M592" s="17" t="n">
        <x:f>IF('계산 과정'!$L$6,IF(J592&lt;=0,0,IF(AND(ABS(K592)&lt;='계산 과정'!$D$11/2,ABS(L592)&lt;='계산 과정'!$D$12/2),1,0)),"")</x:f>
        <x:v>1</x:v>
      </x:c>
      <x:c r="N592" s="17" t="n">
        <x:f>IF('계산 과정'!$C$78,IF(AND(ISNUMBER(H592),ISNUMBER(I592),ABS(H592-'계산 과정'!$C$88)&lt;='계산 과정'!$D$23/2,ABS(I592-'계산 과정'!$C$89)&lt;='계산 과정'!$D$24/2),1,0),"")</x:f>
        <x:v>1</x:v>
      </x:c>
      <x:c r="O592" s="4" t="n">
        <x:f>IF('계산 과정'!$L$7,'계산 과정'!$C$49*('계산 과정'!$C$32-D592)+'계산 과정'!$D$49*('계산 과정'!$D$32-E592)+'계산 과정'!$E$49*'계산 과정'!$E$32,"")</x:f>
        <x:v>27.993018989946222</x:v>
      </x:c>
      <x:c r="P592" s="4" t="n">
        <x:f>IF(AND('계산 과정'!$L$7,O592&lt;&gt;0),('계산 과정'!$L$23-'계산 과정'!$C$49*D592-'계산 과정'!$D$49*E592)/O592,"")</x:f>
        <x:v>15.289276913778435</x:v>
      </x:c>
      <x:c r="Q592" s="4" t="str">
        <x:f>IF(AND(ISNUMBER(P592),P592&gt;1E-9,P592&lt;1-1E-9),'계산 과정'!$C$47*(D592-'계산 과정'!$C$50+P592*('계산 과정'!$C$32-D592))+'계산 과정'!$D$47*(E592-'계산 과정'!$D$50+P592*('계산 과정'!$D$32-E592))+'계산 과정'!$E$47*(0-'계산 과정'!$E$50+P592*('계산 과정'!$E$32-0)),"")</x:f>
      </x:c>
      <x:c r="R592" s="4" t="str">
        <x:f>IF(AND(ISNUMBER(P592),P592&gt;1E-9,P592&lt;1-1E-9),'계산 과정'!$C$48*(D592-'계산 과정'!$C$50+P592*('계산 과정'!$C$32-D592))+'계산 과정'!$D$48*(E592-'계산 과정'!$D$50+P592*('계산 과정'!$D$32-E592))+'계산 과정'!$E$48*(0-'계산 과정'!$E$50+P592*('계산 과정'!$E$32-0)),"")</x:f>
      </x:c>
      <x:c r="S592" s="17" t="n">
        <x:f>IF('계산 과정'!$C$78,IF(AND(ISNUMBER(Q592),ISNUMBER(R592),ABS(Q592-'계산 과정'!$C$88)&lt;='계산 과정'!$D$23/2,ABS(R592-'계산 과정'!$C$89)&lt;='계산 과정'!$D$24/2),1,0),"")</x:f>
        <x:v>0</x:v>
      </x:c>
      <x:c r="T592" s="4"/>
      <x:c r="U592" s="4"/>
      <x:c r="V592" s="4"/>
      <x:c r="W592" s="4" t="n">
        <x:f>IF('계산 과정'!$C$78,'계산 과정'!$C$88+-0.76*'계산 과정'!$C$90/2,"")</x:f>
        <x:v>-108.85518081512313</x:v>
      </x:c>
      <x:c r="X592" s="4" t="str">
        <x:f>""</x:f>
      </x:c>
      <x:c r="Y592" s="4" t="str">
        <x:f>""</x:f>
      </x:c>
      <x:c r="Z592" s="4" t="n">
        <x:f>IF('계산 과정'!$C$78,'계산 과정'!$C$89+1*'계산 과정'!$C$91/2,"")</x:f>
        <x:v>250.5995703094169</x:v>
      </x:c>
    </x:row>
    <x:row r="593" ht="23" customHeight="1">
      <x:c r="A593" s="17" t="n">
        <x:f>ROW()-6</x:f>
        <x:v>587</x:v>
      </x:c>
      <x:c r="B593" s="4" t="n">
        <x:f>IF('계산 과정'!$L$5,'계산 과정'!$L$11*SQRT((A593+0.5)/'계산 과정'!$L$30),"")</x:f>
        <x:v>80.33970234844973</x:v>
      </x:c>
      <x:c r="C593" s="4" t="n">
        <x:f>A593*PI()*(3-SQRT(5))</x:f>
        <x:v>1408.7784158507193</x:v>
      </x:c>
      <x:c r="D593" s="4" t="n">
        <x:f>IF('계산 과정'!$L$5,B593*COS(C593),"")</x:f>
        <x:v>17.993935634338058</x:v>
      </x:c>
      <x:c r="E593" s="4" t="n">
        <x:f>IF('계산 과정'!$L$5,B593*SIN(C593),"")</x:f>
        <x:v>78.2986976508856</x:v>
      </x:c>
      <x:c r="F593" s="4" t="n">
        <x:f>IF('계산 과정'!$L$7,'계산 과정'!$L$22+'계산 과정'!$C$49*D593+'계산 과정'!$D$49*E593,"")</x:f>
        <x:v>637.2763660927253</x:v>
      </x:c>
      <x:c r="G593" s="4" t="n">
        <x:f>IF('계산 과정'!$L$7,IF(ABS(F593)&gt;=1E-12*MAX(1,SQRT((D593-'계산 과정'!$C$33)^2+(E593-'계산 과정'!$D$33)^2+'계산 과정'!$E$33^2)),('계산 과정'!$L$23-'계산 과정'!$C$49*D593-'계산 과정'!$D$49*E593)/F593,""),"")</x:f>
        <x:v>0.6476368116987762</x:v>
      </x:c>
      <x:c r="H593" s="4" t="n">
        <x:f>IF(AND(ISNUMBER(G593),G593&gt;0),('계산 과정'!$D$56+'계산 과정'!$D$57*D593+'계산 과정'!$D$58*E593)/F593,"")</x:f>
        <x:v>20.96392760420442</x:v>
      </x:c>
      <x:c r="I593" s="4" t="n">
        <x:f>IF(AND(ISNUMBER(G593),G593&gt;0),('계산 과정'!$E$56+'계산 과정'!$E$57*D593+'계산 과정'!$E$58*E593)/F593,"")</x:f>
        <x:v>129.0078165576716</x:v>
      </x:c>
      <x:c r="J593" s="4" t="n">
        <x:f>IF('계산 과정'!$L$5,'계산 과정'!$D$6+'계산 과정'!$C$35*D593+'계산 과정'!$D$35*E593,"")</x:f>
        <x:v>637.2763660927253</x:v>
      </x:c>
      <x:c r="K593" s="4" t="n">
        <x:f>IF(AND('계산 과정'!$L$6,J593&gt;0),'계산 과정'!$D$10*('계산 과정'!$C$38*(D593-'계산 과정'!$C$32)+'계산 과정'!$D$38*(E593-'계산 과정'!$D$32)-'계산 과정'!$E$38*'계산 과정'!$E$32)/J593,"")</x:f>
        <x:v>0.15972516269870174</x:v>
      </x:c>
      <x:c r="L593" s="4" t="n">
        <x:f>IF(AND('계산 과정'!$L$6,J593&gt;0),'계산 과정'!$D$10*('계산 과정'!$C$39*(D593-'계산 과정'!$C$32)+'계산 과정'!$D$39*(E593-'계산 과정'!$D$32)-'계산 과정'!$E$39*'계산 과정'!$E$32)/J593,"")</x:f>
        <x:v>0.9829166975822599</x:v>
      </x:c>
      <x:c r="M593" s="17" t="n">
        <x:f>IF('계산 과정'!$L$6,IF(J593&lt;=0,0,IF(AND(ABS(K593)&lt;='계산 과정'!$D$11/2,ABS(L593)&lt;='계산 과정'!$D$12/2),1,0)),"")</x:f>
        <x:v>1</x:v>
      </x:c>
      <x:c r="N593" s="17" t="n">
        <x:f>IF('계산 과정'!$C$78,IF(AND(ISNUMBER(H593),ISNUMBER(I593),ABS(H593-'계산 과정'!$C$88)&lt;='계산 과정'!$D$23/2,ABS(I593-'계산 과정'!$C$89)&lt;='계산 과정'!$D$24/2),1,0),"")</x:f>
        <x:v>1</x:v>
      </x:c>
      <x:c r="O593" s="4" t="n">
        <x:f>IF('계산 과정'!$L$7,'계산 과정'!$C$49*('계산 과정'!$C$32-D593)+'계산 과정'!$D$49*('계산 과정'!$D$32-E593)+'계산 과정'!$E$49*'계산 과정'!$E$32,"")</x:f>
        <x:v>12.723633907274802</x:v>
      </x:c>
      <x:c r="P593" s="4" t="n">
        <x:f>IF(AND('계산 과정'!$L$7,O593&lt;&gt;0),('계산 과정'!$L$23-'계산 과정'!$C$49*D593-'계산 과정'!$D$49*E593)/O593,"")</x:f>
        <x:v>32.437559655917</x:v>
      </x:c>
      <x:c r="Q593" s="4" t="str">
        <x:f>IF(AND(ISNUMBER(P593),P593&gt;1E-9,P593&lt;1-1E-9),'계산 과정'!$C$47*(D593-'계산 과정'!$C$50+P593*('계산 과정'!$C$32-D593))+'계산 과정'!$D$47*(E593-'계산 과정'!$D$50+P593*('계산 과정'!$D$32-E593))+'계산 과정'!$E$47*(0-'계산 과정'!$E$50+P593*('계산 과정'!$E$32-0)),"")</x:f>
      </x:c>
      <x:c r="R593" s="4" t="str">
        <x:f>IF(AND(ISNUMBER(P593),P593&gt;1E-9,P593&lt;1-1E-9),'계산 과정'!$C$48*(D593-'계산 과정'!$C$50+P593*('계산 과정'!$C$32-D593))+'계산 과정'!$D$48*(E593-'계산 과정'!$D$50+P593*('계산 과정'!$D$32-E593))+'계산 과정'!$E$48*(0-'계산 과정'!$E$50+P593*('계산 과정'!$E$32-0)),"")</x:f>
      </x:c>
      <x:c r="S593" s="17" t="n">
        <x:f>IF('계산 과정'!$C$78,IF(AND(ISNUMBER(Q593),ISNUMBER(R593),ABS(Q593-'계산 과정'!$C$88)&lt;='계산 과정'!$D$23/2,ABS(R593-'계산 과정'!$C$89)&lt;='계산 과정'!$D$24/2),1,0),"")</x:f>
        <x:v>0</x:v>
      </x:c>
      <x:c r="T593" s="4"/>
      <x:c r="U593" s="4"/>
      <x:c r="V593" s="4"/>
      <x:c r="W593" s="4" t="n">
        <x:f>IF('계산 과정'!$C$78,'계산 과정'!$C$88+-0.8*'계산 과정'!$C$90/2,"")</x:f>
        <x:v>-116.09615897672535</x:v>
      </x:c>
      <x:c r="X593" s="4" t="str">
        <x:f>""</x:f>
      </x:c>
      <x:c r="Y593" s="4" t="str">
        <x:f>""</x:f>
      </x:c>
      <x:c r="Z593" s="4" t="n">
        <x:f>IF('계산 과정'!$C$78,'계산 과정'!$C$89+1*'계산 과정'!$C$91/2,"")</x:f>
        <x:v>250.5995703094169</x:v>
      </x:c>
    </x:row>
    <x:row r="594" ht="23" customHeight="1">
      <x:c r="A594" s="17" t="n">
        <x:f>ROW()-6</x:f>
        <x:v>588</x:v>
      </x:c>
      <x:c r="B594" s="4" t="n">
        <x:f>IF('계산 과정'!$L$5,'계산 과정'!$L$11*SQRT((A594+0.5)/'계산 과정'!$L$30),"")</x:f>
        <x:v>80.40804749253958</x:v>
      </x:c>
      <x:c r="C594" s="4" t="n">
        <x:f>A594*PI()*(3-SQRT(5))</x:f>
        <x:v>1411.178379080448</x:v>
      </x:c>
      <x:c r="D594" s="4" t="n">
        <x:f>IF('계산 과정'!$L$5,B594*COS(C594),"")</x:f>
        <x:v>-66.21445934098337</x:v>
      </x:c>
      <x:c r="E594" s="4" t="n">
        <x:f>IF('계산 과정'!$L$5,B594*SIN(C594),"")</x:f>
        <x:v>-45.619069211720685</x:v>
      </x:c>
      <x:c r="F594" s="4" t="n">
        <x:f>IF('계산 과정'!$L$7,'계산 과정'!$L$22+'계산 과정'!$C$49*D594+'계산 과정'!$D$49*E594,"")</x:f>
        <x:v>696.8206932126103</x:v>
      </x:c>
      <x:c r="G594" s="4" t="n">
        <x:f>IF('계산 과정'!$L$7,IF(ABS(F594)&gt;=1E-12*MAX(1,SQRT((D594-'계산 과정'!$C$33)^2+(E594-'계산 과정'!$D$33)^2+'계산 과정'!$E$33^2)),('계산 과정'!$L$23-'계산 과정'!$C$49*D594-'계산 과정'!$D$49*E594)/F594,""),"")</x:f>
        <x:v>0.5068438842697077</x:v>
      </x:c>
      <x:c r="H594" s="4" t="n">
        <x:f>IF(AND(ISNUMBER(G594),G594&gt;0),('계산 과정'!$D$56+'계산 과정'!$D$57*D594+'계산 과정'!$D$58*E594)/F594,"")</x:f>
        <x:v>-70.55147522469012</x:v>
      </x:c>
      <x:c r="I594" s="4" t="n">
        <x:f>IF(AND(ISNUMBER(G594),G594&gt;0),('계산 과정'!$E$56+'계산 과정'!$E$57*D594+'계산 과정'!$E$58*E594)/F594,"")</x:f>
        <x:v>-68.74081544775783</x:v>
      </x:c>
      <x:c r="J594" s="4" t="n">
        <x:f>IF('계산 과정'!$L$5,'계산 과정'!$D$6+'계산 과정'!$C$35*D594+'계산 과정'!$D$35*E594,"")</x:f>
        <x:v>696.8206932126103</x:v>
      </x:c>
      <x:c r="K594" s="4" t="n">
        <x:f>IF(AND('계산 과정'!$L$6,J594&gt;0),'계산 과정'!$D$10*('계산 과정'!$C$38*(D594-'계산 과정'!$C$32)+'계산 과정'!$D$38*(E594-'계산 과정'!$D$32)-'계산 과정'!$E$38*'계산 과정'!$E$32)/J594,"")</x:f>
        <x:v>-0.5375350493309712</x:v>
      </x:c>
      <x:c r="L594" s="4" t="n">
        <x:f>IF(AND('계산 과정'!$L$6,J594&gt;0),'계산 과정'!$D$10*('계산 과정'!$C$39*(D594-'계산 과정'!$C$32)+'계산 과정'!$D$39*(E594-'계산 과정'!$D$32)-'계산 과정'!$E$39*'계산 과정'!$E$32)/J594,"")</x:f>
        <x:v>-0.5237395462686311</x:v>
      </x:c>
      <x:c r="M594" s="17" t="n">
        <x:f>IF('계산 과정'!$L$6,IF(J594&lt;=0,0,IF(AND(ABS(K594)&lt;='계산 과정'!$D$11/2,ABS(L594)&lt;='계산 과정'!$D$12/2),1,0)),"")</x:f>
        <x:v>1</x:v>
      </x:c>
      <x:c r="N594" s="17" t="n">
        <x:f>IF('계산 과정'!$C$78,IF(AND(ISNUMBER(H594),ISNUMBER(I594),ABS(H594-'계산 과정'!$C$88)&lt;='계산 과정'!$D$23/2,ABS(I594-'계산 과정'!$C$89)&lt;='계산 과정'!$D$24/2),1,0),"")</x:f>
        <x:v>1</x:v>
      </x:c>
      <x:c r="O594" s="4" t="n">
        <x:f>IF('계산 과정'!$L$7,'계산 과정'!$C$49*('계산 과정'!$C$32-D594)+'계산 과정'!$D$49*('계산 과정'!$D$32-E594)+'계산 과정'!$E$49*'계산 과정'!$E$32,"")</x:f>
        <x:v>-46.82069321261014</x:v>
      </x:c>
      <x:c r="P594" s="4" t="n">
        <x:f>IF(AND('계산 과정'!$L$7,O594&lt;&gt;0),('계산 과정'!$L$23-'계산 과정'!$C$49*D594-'계산 과정'!$D$49*E594)/O594,"")</x:f>
        <x:v>-7.54323104922053</x:v>
      </x:c>
      <x:c r="Q594" s="4" t="str">
        <x:f>IF(AND(ISNUMBER(P594),P594&gt;1E-9,P594&lt;1-1E-9),'계산 과정'!$C$47*(D594-'계산 과정'!$C$50+P594*('계산 과정'!$C$32-D594))+'계산 과정'!$D$47*(E594-'계산 과정'!$D$50+P594*('계산 과정'!$D$32-E594))+'계산 과정'!$E$47*(0-'계산 과정'!$E$50+P594*('계산 과정'!$E$32-0)),"")</x:f>
      </x:c>
      <x:c r="R594" s="4" t="str">
        <x:f>IF(AND(ISNUMBER(P594),P594&gt;1E-9,P594&lt;1-1E-9),'계산 과정'!$C$48*(D594-'계산 과정'!$C$50+P594*('계산 과정'!$C$32-D594))+'계산 과정'!$D$48*(E594-'계산 과정'!$D$50+P594*('계산 과정'!$D$32-E594))+'계산 과정'!$E$48*(0-'계산 과정'!$E$50+P594*('계산 과정'!$E$32-0)),"")</x:f>
      </x:c>
      <x:c r="S594" s="17" t="n">
        <x:f>IF('계산 과정'!$C$78,IF(AND(ISNUMBER(Q594),ISNUMBER(R594),ABS(Q594-'계산 과정'!$C$88)&lt;='계산 과정'!$D$23/2,ABS(R594-'계산 과정'!$C$89)&lt;='계산 과정'!$D$24/2),1,0),"")</x:f>
        <x:v>0</x:v>
      </x:c>
      <x:c r="T594" s="4"/>
      <x:c r="U594" s="4"/>
      <x:c r="V594" s="4"/>
      <x:c r="W594" s="4" t="n">
        <x:f>IF('계산 과정'!$C$78,'계산 과정'!$C$88+-0.8400000000000001*'계산 과정'!$C$90/2,"")</x:f>
        <x:v>-123.33713713832759</x:v>
      </x:c>
      <x:c r="X594" s="4" t="str">
        <x:f>""</x:f>
      </x:c>
      <x:c r="Y594" s="4" t="str">
        <x:f>""</x:f>
      </x:c>
      <x:c r="Z594" s="4" t="n">
        <x:f>IF('계산 과정'!$C$78,'계산 과정'!$C$89+1*'계산 과정'!$C$91/2,"")</x:f>
        <x:v>250.5995703094169</x:v>
      </x:c>
    </x:row>
    <x:row r="595" ht="23" customHeight="1">
      <x:c r="A595" s="17" t="n">
        <x:f>ROW()-6</x:f>
        <x:v>589</x:v>
      </x:c>
      <x:c r="B595" s="4" t="n">
        <x:f>IF('계산 과정'!$L$5,'계산 과정'!$L$11*SQRT((A595+0.5)/'계산 과정'!$L$30),"")</x:f>
        <x:v>80.4763345940128</x:v>
      </x:c>
      <x:c r="C595" s="4" t="n">
        <x:f>A595*PI()*(3-SQRT(5))</x:f>
        <x:v>1413.5783423101766</x:v>
      </x:c>
      <x:c r="D595" s="4" t="n">
        <x:f>IF('계산 과정'!$L$5,B595*COS(C595),"")</x:f>
        <x:v>79.70735467658656</x:v>
      </x:c>
      <x:c r="E595" s="4" t="n">
        <x:f>IF('계산 과정'!$L$5,B595*SIN(C595),"")</x:f>
        <x:v>-11.098560273672248</x:v>
      </x:c>
      <x:c r="F595" s="4" t="n">
        <x:f>IF('계산 과정'!$L$7,'계산 과정'!$L$22+'계산 과정'!$C$49*D595+'계산 과정'!$D$49*E595,"")</x:f>
        <x:v>593.6383889977444</x:v>
      </x:c>
      <x:c r="G595" s="4" t="n">
        <x:f>IF('계산 과정'!$L$7,IF(ABS(F595)&gt;=1E-12*MAX(1,SQRT((D595-'계산 과정'!$C$33)^2+(E595-'계산 과정'!$D$33)^2+'계산 과정'!$E$33^2)),('계산 과정'!$L$23-'계산 과정'!$C$49*D595-'계산 과정'!$D$49*E595)/F595,""),"")</x:f>
        <x:v>0.7687535365978322</x:v>
      </x:c>
      <x:c r="H595" s="4" t="n">
        <x:f>IF(AND(ISNUMBER(G595),G595&gt;0),('계산 과정'!$D$56+'계산 과정'!$D$57*D595+'계산 과정'!$D$58*E595)/F595,"")</x:f>
        <x:v>99.68979878859083</x:v>
      </x:c>
      <x:c r="I595" s="4" t="n">
        <x:f>IF(AND(ISNUMBER(G595),G595&gt;0),('계산 과정'!$E$56+'계산 과정'!$E$57*D595+'계산 과정'!$E$58*E595)/F595,"")</x:f>
        <x:v>-19.63061773520199</x:v>
      </x:c>
      <x:c r="J595" s="4" t="n">
        <x:f>IF('계산 과정'!$L$5,'계산 과정'!$D$6+'계산 과정'!$C$35*D595+'계산 과정'!$D$35*E595,"")</x:f>
        <x:v>593.6383889977444</x:v>
      </x:c>
      <x:c r="K595" s="4" t="n">
        <x:f>IF(AND('계산 과정'!$L$6,J595&gt;0),'계산 과정'!$D$10*('계산 과정'!$C$38*(D595-'계산 과정'!$C$32)+'계산 과정'!$D$38*(E595-'계산 과정'!$D$32)-'계산 과정'!$E$38*'계산 과정'!$E$32)/J595,"")</x:f>
        <x:v>0.7595413241035501</x:v>
      </x:c>
      <x:c r="L595" s="4" t="n">
        <x:f>IF(AND('계산 과정'!$L$6,J595&gt;0),'계산 과정'!$D$10*('계산 과정'!$C$39*(D595-'계산 과정'!$C$32)+'계산 과정'!$D$39*(E595-'계산 과정'!$D$32)-'계산 과정'!$E$39*'계산 과정'!$E$32)/J595,"")</x:f>
        <x:v>-0.14956661131582472</x:v>
      </x:c>
      <x:c r="M595" s="17" t="n">
        <x:f>IF('계산 과정'!$L$6,IF(J595&lt;=0,0,IF(AND(ABS(K595)&lt;='계산 과정'!$D$11/2,ABS(L595)&lt;='계산 과정'!$D$12/2),1,0)),"")</x:f>
        <x:v>1</x:v>
      </x:c>
      <x:c r="N595" s="17" t="n">
        <x:f>IF('계산 과정'!$C$78,IF(AND(ISNUMBER(H595),ISNUMBER(I595),ABS(H595-'계산 과정'!$C$88)&lt;='계산 과정'!$D$23/2,ABS(I595-'계산 과정'!$C$89)&lt;='계산 과정'!$D$24/2),1,0),"")</x:f>
        <x:v>1</x:v>
      </x:c>
      <x:c r="O595" s="4" t="n">
        <x:f>IF('계산 과정'!$L$7,'계산 과정'!$C$49*('계산 과정'!$C$32-D595)+'계산 과정'!$D$49*('계산 과정'!$D$32-E595)+'계산 과정'!$E$49*'계산 과정'!$E$32,"")</x:f>
        <x:v>56.3616110022557</x:v>
      </x:c>
      <x:c r="P595" s="4" t="n">
        <x:f>IF(AND('계산 과정'!$L$7,O595&lt;&gt;0),('계산 과정'!$L$23-'계산 과정'!$C$49*D595-'계산 과정'!$D$49*E595)/O595,"")</x:f>
        <x:v>8.097029216996498</x:v>
      </x:c>
      <x:c r="Q595" s="4" t="str">
        <x:f>IF(AND(ISNUMBER(P595),P595&gt;1E-9,P595&lt;1-1E-9),'계산 과정'!$C$47*(D595-'계산 과정'!$C$50+P595*('계산 과정'!$C$32-D595))+'계산 과정'!$D$47*(E595-'계산 과정'!$D$50+P595*('계산 과정'!$D$32-E595))+'계산 과정'!$E$47*(0-'계산 과정'!$E$50+P595*('계산 과정'!$E$32-0)),"")</x:f>
      </x:c>
      <x:c r="R595" s="4" t="str">
        <x:f>IF(AND(ISNUMBER(P595),P595&gt;1E-9,P595&lt;1-1E-9),'계산 과정'!$C$48*(D595-'계산 과정'!$C$50+P595*('계산 과정'!$C$32-D595))+'계산 과정'!$D$48*(E595-'계산 과정'!$D$50+P595*('계산 과정'!$D$32-E595))+'계산 과정'!$E$48*(0-'계산 과정'!$E$50+P595*('계산 과정'!$E$32-0)),"")</x:f>
      </x:c>
      <x:c r="S595" s="17" t="n">
        <x:f>IF('계산 과정'!$C$78,IF(AND(ISNUMBER(Q595),ISNUMBER(R595),ABS(Q595-'계산 과정'!$C$88)&lt;='계산 과정'!$D$23/2,ABS(R595-'계산 과정'!$C$89)&lt;='계산 과정'!$D$24/2),1,0),"")</x:f>
        <x:v>0</x:v>
      </x:c>
      <x:c r="T595" s="4"/>
      <x:c r="U595" s="4"/>
      <x:c r="V595" s="4"/>
      <x:c r="W595" s="4" t="n">
        <x:f>IF('계산 과정'!$C$78,'계산 과정'!$C$88+-0.8799999999999999*'계산 과정'!$C$90/2,"")</x:f>
        <x:v>-130.57811529992978</x:v>
      </x:c>
      <x:c r="X595" s="4" t="str">
        <x:f>""</x:f>
      </x:c>
      <x:c r="Y595" s="4" t="str">
        <x:f>""</x:f>
      </x:c>
      <x:c r="Z595" s="4" t="n">
        <x:f>IF('계산 과정'!$C$78,'계산 과정'!$C$89+1*'계산 과정'!$C$91/2,"")</x:f>
        <x:v>250.5995703094169</x:v>
      </x:c>
    </x:row>
    <x:row r="596" ht="23" customHeight="1">
      <x:c r="A596" s="17" t="n">
        <x:f>ROW()-6</x:f>
        <x:v>590</x:v>
      </x:c>
      <x:c r="B596" s="4" t="n">
        <x:f>IF('계산 과정'!$L$5,'계산 과정'!$L$11*SQRT((A596+0.5)/'계산 과정'!$L$30),"")</x:f>
        <x:v>80.54456380049804</x:v>
      </x:c>
      <x:c r="C596" s="4" t="n">
        <x:f>A596*PI()*(3-SQRT(5))</x:f>
        <x:v>1415.9783055399053</x:v>
      </x:c>
      <x:c r="D596" s="4" t="n">
        <x:f>IF('계산 과정'!$L$5,B596*COS(C596),"")</x:f>
        <x:v>-51.320226251399454</x:v>
      </x:c>
      <x:c r="E596" s="4" t="n">
        <x:f>IF('계산 과정'!$L$5,B596*SIN(C596),"")</x:f>
        <x:v>62.07786348866776</x:v>
      </x:c>
      <x:c r="F596" s="4" t="n">
        <x:f>IF('계산 과정'!$L$7,'계산 과정'!$L$22+'계산 과정'!$C$49*D596+'계산 과정'!$D$49*E596,"")</x:f>
        <x:v>686.2888799943925</x:v>
      </x:c>
      <x:c r="G596" s="4" t="n">
        <x:f>IF('계산 과정'!$L$7,IF(ABS(F596)&gt;=1E-12*MAX(1,SQRT((D596-'계산 과정'!$C$33)^2+(E596-'계산 과정'!$D$33)^2+'계산 과정'!$E$33^2)),('계산 과정'!$L$23-'계산 과정'!$C$49*D596-'계산 과정'!$D$49*E596)/F596,""),"")</x:f>
        <x:v>0.5299679633576161</x:v>
      </x:c>
      <x:c r="H596" s="4" t="n">
        <x:f>IF(AND(ISNUMBER(G596),G596&gt;0),('계산 과정'!$D$56+'계산 과정'!$D$57*D596+'계산 과정'!$D$58*E596)/F596,"")</x:f>
        <x:v>-55.52082381754963</x:v>
      </x:c>
      <x:c r="I596" s="4" t="n">
        <x:f>IF(AND(ISNUMBER(G596),G596&gt;0),('계산 과정'!$E$56+'계산 과정'!$E$57*D596+'계산 과정'!$E$58*E596)/F596,"")</x:f>
        <x:v>94.97714237134913</x:v>
      </x:c>
      <x:c r="J596" s="4" t="n">
        <x:f>IF('계산 과정'!$L$5,'계산 과정'!$D$6+'계산 과정'!$C$35*D596+'계산 과정'!$D$35*E596,"")</x:f>
        <x:v>686.2888799943925</x:v>
      </x:c>
      <x:c r="K596" s="4" t="n">
        <x:f>IF(AND('계산 과정'!$L$6,J596&gt;0),'계산 과정'!$D$10*('계산 과정'!$C$38*(D596-'계산 과정'!$C$32)+'계산 과정'!$D$38*(E596-'계산 과정'!$D$32)-'계산 과정'!$E$38*'계산 과정'!$E$32)/J596,"")</x:f>
        <x:v>-0.4230158005146627</x:v>
      </x:c>
      <x:c r="L596" s="4" t="n">
        <x:f>IF(AND('계산 과정'!$L$6,J596&gt;0),'계산 과정'!$D$10*('계산 과정'!$C$39*(D596-'계산 과정'!$C$32)+'계산 과정'!$D$39*(E596-'계산 과정'!$D$32)-'계산 과정'!$E$39*'계산 과정'!$E$32)/J596,"")</x:f>
        <x:v>0.7236353704483743</x:v>
      </x:c>
      <x:c r="M596" s="17" t="n">
        <x:f>IF('계산 과정'!$L$6,IF(J596&lt;=0,0,IF(AND(ABS(K596)&lt;='계산 과정'!$D$11/2,ABS(L596)&lt;='계산 과정'!$D$12/2),1,0)),"")</x:f>
        <x:v>1</x:v>
      </x:c>
      <x:c r="N596" s="17" t="n">
        <x:f>IF('계산 과정'!$C$78,IF(AND(ISNUMBER(H596),ISNUMBER(I596),ABS(H596-'계산 과정'!$C$88)&lt;='계산 과정'!$D$23/2,ABS(I596-'계산 과정'!$C$89)&lt;='계산 과정'!$D$24/2),1,0),"")</x:f>
        <x:v>1</x:v>
      </x:c>
      <x:c r="O596" s="4" t="n">
        <x:f>IF('계산 과정'!$L$7,'계산 과정'!$C$49*('계산 과정'!$C$32-D596)+'계산 과정'!$D$49*('계산 과정'!$D$32-E596)+'계산 과정'!$E$49*'계산 과정'!$E$32,"")</x:f>
        <x:v>-36.28887999439229</x:v>
      </x:c>
      <x:c r="P596" s="4" t="n">
        <x:f>IF(AND('계산 과정'!$L$7,O596&lt;&gt;0),('계산 과정'!$L$23-'계산 과정'!$C$49*D596-'계산 과정'!$D$49*E596)/O596,"")</x:f>
        <x:v>-10.022660386923262</x:v>
      </x:c>
      <x:c r="Q596" s="4" t="str">
        <x:f>IF(AND(ISNUMBER(P596),P596&gt;1E-9,P596&lt;1-1E-9),'계산 과정'!$C$47*(D596-'계산 과정'!$C$50+P596*('계산 과정'!$C$32-D596))+'계산 과정'!$D$47*(E596-'계산 과정'!$D$50+P596*('계산 과정'!$D$32-E596))+'계산 과정'!$E$47*(0-'계산 과정'!$E$50+P596*('계산 과정'!$E$32-0)),"")</x:f>
      </x:c>
      <x:c r="R596" s="4" t="str">
        <x:f>IF(AND(ISNUMBER(P596),P596&gt;1E-9,P596&lt;1-1E-9),'계산 과정'!$C$48*(D596-'계산 과정'!$C$50+P596*('계산 과정'!$C$32-D596))+'계산 과정'!$D$48*(E596-'계산 과정'!$D$50+P596*('계산 과정'!$D$32-E596))+'계산 과정'!$E$48*(0-'계산 과정'!$E$50+P596*('계산 과정'!$E$32-0)),"")</x:f>
      </x:c>
      <x:c r="S596" s="17" t="n">
        <x:f>IF('계산 과정'!$C$78,IF(AND(ISNUMBER(Q596),ISNUMBER(R596),ABS(Q596-'계산 과정'!$C$88)&lt;='계산 과정'!$D$23/2,ABS(R596-'계산 과정'!$C$89)&lt;='계산 과정'!$D$24/2),1,0),"")</x:f>
        <x:v>0</x:v>
      </x:c>
      <x:c r="T596" s="4"/>
      <x:c r="U596" s="4"/>
      <x:c r="V596" s="4"/>
      <x:c r="W596" s="4" t="n">
        <x:f>IF('계산 과정'!$C$78,'계산 과정'!$C$88+-0.9199999999999999*'계산 과정'!$C$90/2,"")</x:f>
        <x:v>-137.819093461532</x:v>
      </x:c>
      <x:c r="X596" s="4" t="str">
        <x:f>""</x:f>
      </x:c>
      <x:c r="Y596" s="4" t="str">
        <x:f>""</x:f>
      </x:c>
      <x:c r="Z596" s="4" t="n">
        <x:f>IF('계산 과정'!$C$78,'계산 과정'!$C$89+1*'계산 과정'!$C$91/2,"")</x:f>
        <x:v>250.5995703094169</x:v>
      </x:c>
    </x:row>
    <x:row r="597" ht="23" customHeight="1">
      <x:c r="A597" s="17" t="n">
        <x:f>ROW()-6</x:f>
        <x:v>591</x:v>
      </x:c>
      <x:c r="B597" s="4" t="n">
        <x:f>IF('계산 과정'!$L$5,'계산 과정'!$L$11*SQRT((A597+0.5)/'계산 과정'!$L$30),"")</x:f>
        <x:v>80.61273525899925</x:v>
      </x:c>
      <x:c r="C597" s="4" t="n">
        <x:f>A597*PI()*(3-SQRT(5))</x:f>
        <x:v>1418.378268769634</x:v>
      </x:c>
      <x:c r="D597" s="4" t="n">
        <x:f>IF('계산 과정'!$L$5,B597*COS(C597),"")</x:f>
        <x:v>-4.09451921751888</x:v>
      </x:c>
      <x:c r="E597" s="4" t="n">
        <x:f>IF('계산 과정'!$L$5,B597*SIN(C597),"")</x:f>
        <x:v>-80.50868275108512</x:v>
      </x:c>
      <x:c r="F597" s="4" t="n">
        <x:f>IF('계산 과정'!$L$7,'계산 과정'!$L$22+'계산 과정'!$C$49*D597+'계산 과정'!$D$49*E597,"")</x:f>
        <x:v>652.8952623044063</x:v>
      </x:c>
      <x:c r="G597" s="4" t="n">
        <x:f>IF('계산 과정'!$L$7,IF(ABS(F597)&gt;=1E-12*MAX(1,SQRT((D597-'계산 과정'!$C$33)^2+(E597-'계산 과정'!$D$33)^2+'계산 과정'!$E$33^2)),('계산 과정'!$L$23-'계산 과정'!$C$49*D597-'계산 과정'!$D$49*E597)/F597,""),"")</x:f>
        <x:v>0.6082211966035793</x:v>
      </x:c>
      <x:c r="H597" s="4" t="n">
        <x:f>IF(AND(ISNUMBER(G597),G597&gt;0),('계산 과정'!$D$56+'계산 과정'!$D$57*D597+'계산 과정'!$D$58*E597)/F597,"")</x:f>
        <x:v>-4.656222207673548</x:v>
      </x:c>
      <x:c r="I597" s="4" t="n">
        <x:f>IF(AND(ISNUMBER(G597),G597&gt;0),('계산 과정'!$E$56+'계산 과정'!$E$57*D597+'계산 과정'!$E$58*E597)/F597,"")</x:f>
        <x:v>-129.47577011092804</x:v>
      </x:c>
      <x:c r="J597" s="4" t="n">
        <x:f>IF('계산 과정'!$L$5,'계산 과정'!$D$6+'계산 과정'!$C$35*D597+'계산 과정'!$D$35*E597,"")</x:f>
        <x:v>652.8952623044063</x:v>
      </x:c>
      <x:c r="K597" s="4" t="n">
        <x:f>IF(AND('계산 과정'!$L$6,J597&gt;0),'계산 과정'!$D$10*('계산 과정'!$C$38*(D597-'계산 과정'!$C$32)+'계산 과정'!$D$38*(E597-'계산 과정'!$D$32)-'계산 과정'!$E$38*'계산 과정'!$E$32)/J597,"")</x:f>
        <x:v>-0.035475978725130856</x:v>
      </x:c>
      <x:c r="L597" s="4" t="n">
        <x:f>IF(AND('계산 과정'!$L$6,J597&gt;0),'계산 과정'!$D$10*('계산 과정'!$C$39*(D597-'계산 과정'!$C$32)+'계산 과정'!$D$39*(E597-'계산 과정'!$D$32)-'계산 과정'!$E$39*'계산 과정'!$E$32)/J597,"")</x:f>
        <x:v>-0.9864820579880232</x:v>
      </x:c>
      <x:c r="M597" s="17" t="n">
        <x:f>IF('계산 과정'!$L$6,IF(J597&lt;=0,0,IF(AND(ABS(K597)&lt;='계산 과정'!$D$11/2,ABS(L597)&lt;='계산 과정'!$D$12/2),1,0)),"")</x:f>
        <x:v>1</x:v>
      </x:c>
      <x:c r="N597" s="17" t="n">
        <x:f>IF('계산 과정'!$C$78,IF(AND(ISNUMBER(H597),ISNUMBER(I597),ABS(H597-'계산 과정'!$C$88)&lt;='계산 과정'!$D$23/2,ABS(I597-'계산 과정'!$C$89)&lt;='계산 과정'!$D$24/2),1,0),"")</x:f>
        <x:v>1</x:v>
      </x:c>
      <x:c r="O597" s="4" t="n">
        <x:f>IF('계산 과정'!$L$7,'계산 과정'!$C$49*('계산 과정'!$C$32-D597)+'계산 과정'!$D$49*('계산 과정'!$D$32-E597)+'계산 과정'!$E$49*'계산 과정'!$E$32,"")</x:f>
        <x:v>-2.895262304406117</x:v>
      </x:c>
      <x:c r="P597" s="4" t="n">
        <x:f>IF(AND('계산 과정'!$L$7,O597&lt;&gt;0),('계산 과정'!$L$23-'계산 과정'!$C$49*D597-'계산 과정'!$D$49*E597)/O597,"")</x:f>
        <x:v>-137.1567395089782</x:v>
      </x:c>
      <x:c r="Q597" s="4" t="str">
        <x:f>IF(AND(ISNUMBER(P597),P597&gt;1E-9,P597&lt;1-1E-9),'계산 과정'!$C$47*(D597-'계산 과정'!$C$50+P597*('계산 과정'!$C$32-D597))+'계산 과정'!$D$47*(E597-'계산 과정'!$D$50+P597*('계산 과정'!$D$32-E597))+'계산 과정'!$E$47*(0-'계산 과정'!$E$50+P597*('계산 과정'!$E$32-0)),"")</x:f>
      </x:c>
      <x:c r="R597" s="4" t="str">
        <x:f>IF(AND(ISNUMBER(P597),P597&gt;1E-9,P597&lt;1-1E-9),'계산 과정'!$C$48*(D597-'계산 과정'!$C$50+P597*('계산 과정'!$C$32-D597))+'계산 과정'!$D$48*(E597-'계산 과정'!$D$50+P597*('계산 과정'!$D$32-E597))+'계산 과정'!$E$48*(0-'계산 과정'!$E$50+P597*('계산 과정'!$E$32-0)),"")</x:f>
      </x:c>
      <x:c r="S597" s="17" t="n">
        <x:f>IF('계산 과정'!$C$78,IF(AND(ISNUMBER(Q597),ISNUMBER(R597),ABS(Q597-'계산 과정'!$C$88)&lt;='계산 과정'!$D$23/2,ABS(R597-'계산 과정'!$C$89)&lt;='계산 과정'!$D$24/2),1,0),"")</x:f>
        <x:v>0</x:v>
      </x:c>
      <x:c r="T597" s="4"/>
      <x:c r="U597" s="4"/>
      <x:c r="V597" s="4"/>
      <x:c r="W597" s="4" t="n">
        <x:f>IF('계산 과정'!$C$78,'계산 과정'!$C$88+-0.96*'계산 과정'!$C$90/2,"")</x:f>
        <x:v>-145.06007162313423</x:v>
      </x:c>
      <x:c r="X597" s="4" t="str">
        <x:f>""</x:f>
      </x:c>
      <x:c r="Y597" s="4" t="str">
        <x:f>""</x:f>
      </x:c>
      <x:c r="Z597" s="4" t="n">
        <x:f>IF('계산 과정'!$C$78,'계산 과정'!$C$89+1*'계산 과정'!$C$91/2,"")</x:f>
        <x:v>250.5995703094169</x:v>
      </x:c>
    </x:row>
    <x:row r="598" ht="23" customHeight="1">
      <x:c r="A598" s="17" t="n">
        <x:f>ROW()-6</x:f>
        <x:v>592</x:v>
      </x:c>
      <x:c r="B598" s="4" t="n">
        <x:f>IF('계산 과정'!$L$5,'계산 과정'!$L$11*SQRT((A598+0.5)/'계산 과정'!$L$30),"")</x:f>
        <x:v>80.68084911589925</x:v>
      </x:c>
      <x:c r="C598" s="4" t="n">
        <x:f>A598*PI()*(3-SQRT(5))</x:f>
        <x:v>1420.7782319993626</x:v>
      </x:c>
      <x:c r="D598" s="4" t="n">
        <x:f>IF('계산 과정'!$L$5,B598*COS(C598),"")</x:f>
        <x:v>57.45050675771677</x:v>
      </x:c>
      <x:c r="E598" s="4" t="n">
        <x:f>IF('계산 과정'!$L$5,B598*SIN(C598),"")</x:f>
        <x:v>56.64661232010296</x:v>
      </x:c>
      <x:c r="F598" s="4" t="n">
        <x:f>IF('계산 과정'!$L$7,'계산 과정'!$L$22+'계산 과정'!$C$49*D598+'계산 과정'!$D$49*E598,"")</x:f>
        <x:v>609.3763570890148</x:v>
      </x:c>
      <x:c r="G598" s="4" t="n">
        <x:f>IF('계산 과정'!$L$7,IF(ABS(F598)&gt;=1E-12*MAX(1,SQRT((D598-'계산 과정'!$C$33)^2+(E598-'계산 과정'!$D$33)^2+'계산 과정'!$E$33^2)),('계산 과정'!$L$23-'계산 과정'!$C$49*D598-'계산 과정'!$D$49*E598)/F598,""),"")</x:f>
        <x:v>0.7230730857623688</x:v>
      </x:c>
      <x:c r="H598" s="4" t="n">
        <x:f>IF(AND(ISNUMBER(G598),G598&gt;0),('계산 과정'!$D$56+'계산 과정'!$D$57*D598+'계산 과정'!$D$58*E598)/F598,"")</x:f>
        <x:v>69.99750574553957</x:v>
      </x:c>
      <x:c r="I598" s="4" t="n">
        <x:f>IF(AND(ISNUMBER(G598),G598&gt;0),('계산 과정'!$E$56+'계산 과정'!$E$57*D598+'계산 과정'!$E$58*E598)/F598,"")</x:f>
        <x:v>97.60625308838442</x:v>
      </x:c>
      <x:c r="J598" s="4" t="n">
        <x:f>IF('계산 과정'!$L$5,'계산 과정'!$D$6+'계산 과정'!$C$35*D598+'계산 과정'!$D$35*E598,"")</x:f>
        <x:v>609.3763570890148</x:v>
      </x:c>
      <x:c r="K598" s="4" t="n">
        <x:f>IF(AND('계산 과정'!$L$6,J598&gt;0),'계산 과정'!$D$10*('계산 과정'!$C$38*(D598-'계산 과정'!$C$32)+'계산 과정'!$D$38*(E598-'계산 과정'!$D$32)-'계산 과정'!$E$38*'계산 과정'!$E$32)/J598,"")</x:f>
        <x:v>0.533314329489826</x:v>
      </x:c>
      <x:c r="L598" s="4" t="n">
        <x:f>IF(AND('계산 과정'!$L$6,J598&gt;0),'계산 과정'!$D$10*('계산 과정'!$C$39*(D598-'계산 과정'!$C$32)+'계산 과정'!$D$39*(E598-'계산 과정'!$D$32)-'계산 과정'!$E$39*'계산 과정'!$E$32)/J598,"")</x:f>
        <x:v>0.7436666901972147</x:v>
      </x:c>
      <x:c r="M598" s="17" t="n">
        <x:f>IF('계산 과정'!$L$6,IF(J598&lt;=0,0,IF(AND(ABS(K598)&lt;='계산 과정'!$D$11/2,ABS(L598)&lt;='계산 과정'!$D$12/2),1,0)),"")</x:f>
        <x:v>1</x:v>
      </x:c>
      <x:c r="N598" s="17" t="n">
        <x:f>IF('계산 과정'!$C$78,IF(AND(ISNUMBER(H598),ISNUMBER(I598),ABS(H598-'계산 과정'!$C$88)&lt;='계산 과정'!$D$23/2,ABS(I598-'계산 과정'!$C$89)&lt;='계산 과정'!$D$24/2),1,0),"")</x:f>
        <x:v>1</x:v>
      </x:c>
      <x:c r="O598" s="4" t="n">
        <x:f>IF('계산 과정'!$L$7,'계산 과정'!$C$49*('계산 과정'!$C$32-D598)+'계산 과정'!$D$49*('계산 과정'!$D$32-E598)+'계산 과정'!$E$49*'계산 과정'!$E$32,"")</x:f>
        <x:v>40.62364291098521</x:v>
      </x:c>
      <x:c r="P598" s="4" t="n">
        <x:f>IF(AND('계산 과정'!$L$7,O598&lt;&gt;0),('계산 과정'!$L$23-'계산 과정'!$C$49*D598-'계산 과정'!$D$49*E598)/O598,"")</x:f>
        <x:v>10.846482770550205</x:v>
      </x:c>
      <x:c r="Q598" s="4" t="str">
        <x:f>IF(AND(ISNUMBER(P598),P598&gt;1E-9,P598&lt;1-1E-9),'계산 과정'!$C$47*(D598-'계산 과정'!$C$50+P598*('계산 과정'!$C$32-D598))+'계산 과정'!$D$47*(E598-'계산 과정'!$D$50+P598*('계산 과정'!$D$32-E598))+'계산 과정'!$E$47*(0-'계산 과정'!$E$50+P598*('계산 과정'!$E$32-0)),"")</x:f>
      </x:c>
      <x:c r="R598" s="4" t="str">
        <x:f>IF(AND(ISNUMBER(P598),P598&gt;1E-9,P598&lt;1-1E-9),'계산 과정'!$C$48*(D598-'계산 과정'!$C$50+P598*('계산 과정'!$C$32-D598))+'계산 과정'!$D$48*(E598-'계산 과정'!$D$50+P598*('계산 과정'!$D$32-E598))+'계산 과정'!$E$48*(0-'계산 과정'!$E$50+P598*('계산 과정'!$E$32-0)),"")</x:f>
      </x:c>
      <x:c r="S598" s="17" t="n">
        <x:f>IF('계산 과정'!$C$78,IF(AND(ISNUMBER(Q598),ISNUMBER(R598),ABS(Q598-'계산 과정'!$C$88)&lt;='계산 과정'!$D$23/2,ABS(R598-'계산 과정'!$C$89)&lt;='계산 과정'!$D$24/2),1,0),"")</x:f>
        <x:v>0</x:v>
      </x:c>
      <x:c r="T598" s="4"/>
      <x:c r="U598" s="4"/>
      <x:c r="V598" s="4"/>
      <x:c r="W598" s="4" t="n">
        <x:f>IF('계산 과정'!$C$78,'계산 과정'!$C$88+-1*'계산 과정'!$C$90/2,"")</x:f>
        <x:v>-152.30104978473645</x:v>
      </x:c>
      <x:c r="X598" s="4" t="str">
        <x:f>""</x:f>
      </x:c>
      <x:c r="Y598" s="4" t="str">
        <x:f>""</x:f>
      </x:c>
      <x:c r="Z598" s="4" t="n">
        <x:f>IF('계산 과정'!$C$78,'계산 과정'!$C$89+1*'계산 과정'!$C$91/2,"")</x:f>
        <x:v>250.5995703094169</x:v>
      </x:c>
    </x:row>
    <x:row r="599" ht="23" customHeight="1">
      <x:c r="A599" s="17" t="n">
        <x:f>ROW()-6</x:f>
        <x:v>593</x:v>
      </x:c>
      <x:c r="B599" s="4" t="n">
        <x:f>IF('계산 과정'!$L$5,'계산 과정'!$L$11*SQRT((A599+0.5)/'계산 과정'!$L$30),"")</x:f>
        <x:v>80.74890551696352</x:v>
      </x:c>
      <x:c r="C599" s="4" t="n">
        <x:f>A599*PI()*(3-SQRT(5))</x:f>
        <x:v>1423.1781952290912</x:v>
      </x:c>
      <x:c r="D599" s="4" t="n">
        <x:f>IF('계산 과정'!$L$5,B599*COS(C599),"")</x:f>
        <x:v>-80.69446305412502</x:v>
      </x:c>
      <x:c r="E599" s="4" t="n">
        <x:f>IF('계산 과정'!$L$5,B599*SIN(C599),"")</x:f>
        <x:v>-2.9646879420863264</x:v>
      </x:c>
      <x:c r="F599" s="4" t="n">
        <x:f>IF('계산 과정'!$L$7,'계산 과정'!$L$22+'계산 과정'!$C$49*D599+'계산 과정'!$D$49*E599,"")</x:f>
        <x:v>707.0596020297792</x:v>
      </x:c>
      <x:c r="G599" s="4" t="n">
        <x:f>IF('계산 과정'!$L$7,IF(ABS(F599)&gt;=1E-12*MAX(1,SQRT((D599-'계산 과정'!$C$33)^2+(E599-'계산 과정'!$D$33)^2+'계산 과정'!$E$33^2)),('계산 과정'!$L$23-'계산 과정'!$C$49*D599-'계산 과정'!$D$49*E599)/F599,""),"")</x:f>
        <x:v>0.48502332333190956</x:v>
      </x:c>
      <x:c r="H599" s="4" t="n">
        <x:f>IF(AND(ISNUMBER(G599),G599&gt;0),('계산 과정'!$D$56+'계산 과정'!$D$57*D599+'계산 과정'!$D$58*E599)/F599,"")</x:f>
        <x:v>-84.73483983425889</x:v>
      </x:c>
      <x:c r="I599" s="4" t="n">
        <x:f>IF(AND(ISNUMBER(G599),G599&gt;0),('계산 과정'!$E$56+'계산 과정'!$E$57*D599+'계산 과정'!$E$58*E599)/F599,"")</x:f>
        <x:v>-4.402630740399076</x:v>
      </x:c>
      <x:c r="J599" s="4" t="n">
        <x:f>IF('계산 과정'!$L$5,'계산 과정'!$D$6+'계산 과정'!$C$35*D599+'계산 과정'!$D$35*E599,"")</x:f>
        <x:v>707.0596020297792</x:v>
      </x:c>
      <x:c r="K599" s="4" t="n">
        <x:f>IF(AND('계산 과정'!$L$6,J599&gt;0),'계산 과정'!$D$10*('계산 과정'!$C$38*(D599-'계산 과정'!$C$32)+'계산 과정'!$D$38*(E599-'계산 과정'!$D$32)-'계산 과정'!$E$38*'계산 과정'!$E$32)/J599,"")</x:f>
        <x:v>-0.6455987796895905</x:v>
      </x:c>
      <x:c r="L599" s="4" t="n">
        <x:f>IF(AND('계산 과정'!$L$6,J599&gt;0),'계산 과정'!$D$10*('계산 과정'!$C$39*(D599-'계산 과정'!$C$32)+'계산 과정'!$D$39*(E599-'계산 과정'!$D$32)-'계산 과정'!$E$39*'계산 과정'!$E$32)/J599,"")</x:f>
        <x:v>-0.033543853260183436</x:v>
      </x:c>
      <x:c r="M599" s="17" t="n">
        <x:f>IF('계산 과정'!$L$6,IF(J599&lt;=0,0,IF(AND(ABS(K599)&lt;='계산 과정'!$D$11/2,ABS(L599)&lt;='계산 과정'!$D$12/2),1,0)),"")</x:f>
        <x:v>1</x:v>
      </x:c>
      <x:c r="N599" s="17" t="n">
        <x:f>IF('계산 과정'!$C$78,IF(AND(ISNUMBER(H599),ISNUMBER(I599),ABS(H599-'계산 과정'!$C$88)&lt;='계산 과정'!$D$23/2,ABS(I599-'계산 과정'!$C$89)&lt;='계산 과정'!$D$24/2),1,0),"")</x:f>
        <x:v>1</x:v>
      </x:c>
      <x:c r="O599" s="4" t="n">
        <x:f>IF('계산 과정'!$L$7,'계산 과정'!$C$49*('계산 과정'!$C$32-D599)+'계산 과정'!$D$49*('계산 과정'!$D$32-E599)+'계산 과정'!$E$49*'계산 과정'!$E$32,"")</x:f>
        <x:v>-57.059602029779</x:v>
      </x:c>
      <x:c r="P599" s="4" t="n">
        <x:f>IF(AND('계산 과정'!$L$7,O599&lt;&gt;0),('계산 과정'!$L$23-'계산 과정'!$C$49*D599-'계산 과정'!$D$49*E599)/O599,"")</x:f>
        <x:v>-6.010213632251461</x:v>
      </x:c>
      <x:c r="Q599" s="4" t="str">
        <x:f>IF(AND(ISNUMBER(P599),P599&gt;1E-9,P599&lt;1-1E-9),'계산 과정'!$C$47*(D599-'계산 과정'!$C$50+P599*('계산 과정'!$C$32-D599))+'계산 과정'!$D$47*(E599-'계산 과정'!$D$50+P599*('계산 과정'!$D$32-E599))+'계산 과정'!$E$47*(0-'계산 과정'!$E$50+P599*('계산 과정'!$E$32-0)),"")</x:f>
      </x:c>
      <x:c r="R599" s="4" t="str">
        <x:f>IF(AND(ISNUMBER(P599),P599&gt;1E-9,P599&lt;1-1E-9),'계산 과정'!$C$48*(D599-'계산 과정'!$C$50+P599*('계산 과정'!$C$32-D599))+'계산 과정'!$D$48*(E599-'계산 과정'!$D$50+P599*('계산 과정'!$D$32-E599))+'계산 과정'!$E$48*(0-'계산 과정'!$E$50+P599*('계산 과정'!$E$32-0)),"")</x:f>
      </x:c>
      <x:c r="S599" s="17" t="n">
        <x:f>IF('계산 과정'!$C$78,IF(AND(ISNUMBER(Q599),ISNUMBER(R599),ABS(Q599-'계산 과정'!$C$88)&lt;='계산 과정'!$D$23/2,ABS(R599-'계산 과정'!$C$89)&lt;='계산 과정'!$D$24/2),1,0),"")</x:f>
        <x:v>0</x:v>
      </x:c>
      <x:c r="T599" s="4"/>
      <x:c r="U599" s="4"/>
      <x:c r="V599" s="4"/>
      <x:c r="W599" s="4" t="n">
        <x:f>IF('계산 과정'!$C$78,'계산 과정'!$C$88+-1*'계산 과정'!$C$90/2,"")</x:f>
        <x:v>-152.30104978473645</x:v>
      </x:c>
      <x:c r="X599" s="4" t="str">
        <x:f>""</x:f>
      </x:c>
      <x:c r="Y599" s="4" t="str">
        <x:f>""</x:f>
      </x:c>
      <x:c r="Z599" s="4" t="n">
        <x:f>IF('계산 과정'!$C$78,'계산 과정'!$C$89+0.96*'계산 과정'!$C$91/2,"")</x:f>
        <x:v>240.5755874970402</x:v>
      </x:c>
    </x:row>
    <x:row r="600" ht="23" customHeight="1">
      <x:c r="A600" s="17" t="n">
        <x:f>ROW()-6</x:f>
        <x:v>594</x:v>
      </x:c>
      <x:c r="B600" s="4" t="n">
        <x:f>IF('계산 과정'!$L$5,'계산 과정'!$L$11*SQRT((A600+0.5)/'계산 과정'!$L$30),"")</x:f>
        <x:v>80.81690460734374</x:v>
      </x:c>
      <x:c r="C600" s="4" t="n">
        <x:f>A600*PI()*(3-SQRT(5))</x:f>
        <x:v>1425.5781584588199</x:v>
      </x:c>
      <x:c r="D600" s="4" t="n">
        <x:f>IF('계산 과정'!$L$5,B600*COS(C600),"")</x:f>
        <x:v>61.55599664249898</x:v>
      </x:c>
      <x:c r="E600" s="4" t="n">
        <x:f>IF('계산 과정'!$L$5,B600*SIN(C600),"")</x:f>
        <x:v>-52.36631882862449</x:v>
      </x:c>
      <x:c r="F600" s="4" t="n">
        <x:f>IF('계산 과정'!$L$7,'계산 과정'!$L$22+'계산 과정'!$C$49*D600+'계산 과정'!$D$49*E600,"")</x:f>
        <x:v>606.4733373513926</x:v>
      </x:c>
      <x:c r="G600" s="4" t="n">
        <x:f>IF('계산 과정'!$L$7,IF(ABS(F600)&gt;=1E-12*MAX(1,SQRT((D600-'계산 과정'!$C$33)^2+(E600-'계산 과정'!$D$33)^2+'계산 과정'!$E$33^2)),('계산 과정'!$L$23-'계산 과정'!$C$49*D600-'계산 과정'!$D$49*E600)/F600,""),"")</x:f>
        <x:v>0.731320958948648</x:v>
      </x:c>
      <x:c r="H600" s="4" t="n">
        <x:f>IF(AND(ISNUMBER(G600),G600&gt;0),('계산 과정'!$D$56+'계산 과정'!$D$57*D600+'계산 과정'!$D$58*E600)/F600,"")</x:f>
        <x:v>75.35862331662113</x:v>
      </x:c>
      <x:c r="I600" s="4" t="n">
        <x:f>IF(AND(ISNUMBER(G600),G600&gt;0),('계산 과정'!$E$56+'계산 과정'!$E$57*D600+'계산 과정'!$E$58*E600)/F600,"")</x:f>
        <x:v>-90.6629053309848</x:v>
      </x:c>
      <x:c r="J600" s="4" t="n">
        <x:f>IF('계산 과정'!$L$5,'계산 과정'!$D$6+'계산 과정'!$C$35*D600+'계산 과정'!$D$35*E600,"")</x:f>
        <x:v>606.4733373513926</x:v>
      </x:c>
      <x:c r="K600" s="4" t="n">
        <x:f>IF(AND('계산 과정'!$L$6,J600&gt;0),'계산 과정'!$D$10*('계산 과정'!$C$38*(D600-'계산 과정'!$C$32)+'계산 과정'!$D$38*(E600-'계산 과정'!$D$32)-'계산 과정'!$E$38*'계산 과정'!$E$32)/J600,"")</x:f>
        <x:v>0.5741609395552094</x:v>
      </x:c>
      <x:c r="L600" s="4" t="n">
        <x:f>IF(AND('계산 과정'!$L$6,J600&gt;0),'계산 과정'!$D$10*('계산 과정'!$C$39*(D600-'계산 과정'!$C$32)+'계산 과정'!$D$39*(E600-'계산 과정'!$D$32)-'계산 과정'!$E$39*'계산 과정'!$E$32)/J600,"")</x:f>
        <x:v>-0.6907649929979794</x:v>
      </x:c>
      <x:c r="M600" s="17" t="n">
        <x:f>IF('계산 과정'!$L$6,IF(J600&lt;=0,0,IF(AND(ABS(K600)&lt;='계산 과정'!$D$11/2,ABS(L600)&lt;='계산 과정'!$D$12/2),1,0)),"")</x:f>
        <x:v>1</x:v>
      </x:c>
      <x:c r="N600" s="17" t="n">
        <x:f>IF('계산 과정'!$C$78,IF(AND(ISNUMBER(H600),ISNUMBER(I600),ABS(H600-'계산 과정'!$C$88)&lt;='계산 과정'!$D$23/2,ABS(I600-'계산 과정'!$C$89)&lt;='계산 과정'!$D$24/2),1,0),"")</x:f>
        <x:v>1</x:v>
      </x:c>
      <x:c r="O600" s="4" t="n">
        <x:f>IF('계산 과정'!$L$7,'계산 과정'!$C$49*('계산 과정'!$C$32-D600)+'계산 과정'!$D$49*('계산 과정'!$D$32-E600)+'계산 과정'!$E$49*'계산 과정'!$E$32,"")</x:f>
        <x:v>43.5266626486075</x:v>
      </x:c>
      <x:c r="P600" s="4" t="n">
        <x:f>IF(AND('계산 과정'!$L$7,O600&lt;&gt;0),('계산 과정'!$L$23-'계산 과정'!$C$49*D600-'계산 과정'!$D$49*E600)/O600,"")</x:f>
        <x:v>10.189769572485169</x:v>
      </x:c>
      <x:c r="Q600" s="4" t="str">
        <x:f>IF(AND(ISNUMBER(P600),P600&gt;1E-9,P600&lt;1-1E-9),'계산 과정'!$C$47*(D600-'계산 과정'!$C$50+P600*('계산 과정'!$C$32-D600))+'계산 과정'!$D$47*(E600-'계산 과정'!$D$50+P600*('계산 과정'!$D$32-E600))+'계산 과정'!$E$47*(0-'계산 과정'!$E$50+P600*('계산 과정'!$E$32-0)),"")</x:f>
      </x:c>
      <x:c r="R600" s="4" t="str">
        <x:f>IF(AND(ISNUMBER(P600),P600&gt;1E-9,P600&lt;1-1E-9),'계산 과정'!$C$48*(D600-'계산 과정'!$C$50+P600*('계산 과정'!$C$32-D600))+'계산 과정'!$D$48*(E600-'계산 과정'!$D$50+P600*('계산 과정'!$D$32-E600))+'계산 과정'!$E$48*(0-'계산 과정'!$E$50+P600*('계산 과정'!$E$32-0)),"")</x:f>
      </x:c>
      <x:c r="S600" s="17" t="n">
        <x:f>IF('계산 과정'!$C$78,IF(AND(ISNUMBER(Q600),ISNUMBER(R600),ABS(Q600-'계산 과정'!$C$88)&lt;='계산 과정'!$D$23/2,ABS(R600-'계산 과정'!$C$89)&lt;='계산 과정'!$D$24/2),1,0),"")</x:f>
        <x:v>0</x:v>
      </x:c>
      <x:c r="T600" s="4"/>
      <x:c r="U600" s="4"/>
      <x:c r="V600" s="4"/>
      <x:c r="W600" s="4" t="n">
        <x:f>IF('계산 과정'!$C$78,'계산 과정'!$C$88+-1*'계산 과정'!$C$90/2,"")</x:f>
        <x:v>-152.30104978473645</x:v>
      </x:c>
      <x:c r="X600" s="4" t="str">
        <x:f>""</x:f>
      </x:c>
      <x:c r="Y600" s="4" t="str">
        <x:f>""</x:f>
      </x:c>
      <x:c r="Z600" s="4" t="n">
        <x:f>IF('계산 과정'!$C$78,'계산 과정'!$C$89+0.92*'계산 과정'!$C$91/2,"")</x:f>
        <x:v>230.55160468466354</x:v>
      </x:c>
    </x:row>
    <x:row r="601" ht="23" customHeight="1">
      <x:c r="A601" s="17" t="n">
        <x:f>ROW()-6</x:f>
        <x:v>595</x:v>
      </x:c>
      <x:c r="B601" s="4" t="n">
        <x:f>IF('계산 과정'!$L$5,'계산 과정'!$L$11*SQRT((A601+0.5)/'계산 과정'!$L$30),"")</x:f>
        <x:v>80.88484653158154</x:v>
      </x:c>
      <x:c r="C601" s="4" t="n">
        <x:f>A601*PI()*(3-SQRT(5))</x:f>
        <x:v>1427.9781216885483</x:v>
      </x:c>
      <x:c r="D601" s="4" t="n">
        <x:f>IF('계산 과정'!$L$5,B601*COS(C601),"")</x:f>
        <x:v>-10.024956865150711</x:v>
      </x:c>
      <x:c r="E601" s="4" t="n">
        <x:f>IF('계산 과정'!$L$5,B601*SIN(C601),"")</x:f>
        <x:v>80.26119011259033</x:v>
      </x:c>
      <x:c r="F601" s="4" t="n">
        <x:f>IF('계산 과정'!$L$7,'계산 과정'!$L$22+'계산 과정'!$C$49*D601+'계산 과정'!$D$49*E601,"")</x:f>
        <x:v>657.0887149804507</x:v>
      </x:c>
      <x:c r="G601" s="4" t="n">
        <x:f>IF('계산 과정'!$L$7,IF(ABS(F601)&gt;=1E-12*MAX(1,SQRT((D601-'계산 과정'!$C$33)^2+(E601-'계산 과정'!$D$33)^2+'계산 과정'!$E$33^2)),('계산 과정'!$L$23-'계산 과정'!$C$49*D601-'계산 과정'!$D$49*E601)/F601,""),"")</x:f>
        <x:v>0.5979577430898946</x:v>
      </x:c>
      <x:c r="H601" s="4" t="n">
        <x:f>IF(AND(ISNUMBER(G601),G601&gt;0),('계산 과정'!$D$56+'계산 과정'!$D$57*D601+'계산 과정'!$D$58*E601)/F601,"")</x:f>
        <x:v>-11.327466991568643</x:v>
      </x:c>
      <x:c r="I601" s="4" t="n">
        <x:f>IF(AND(ISNUMBER(G601),G601&gt;0),('계산 과정'!$E$56+'계산 과정'!$E$57*D601+'계산 과정'!$E$58*E601)/F601,"")</x:f>
        <x:v>128.25399021002377</x:v>
      </x:c>
      <x:c r="J601" s="4" t="n">
        <x:f>IF('계산 과정'!$L$5,'계산 과정'!$D$6+'계산 과정'!$C$35*D601+'계산 과정'!$D$35*E601,"")</x:f>
        <x:v>657.0887149804507</x:v>
      </x:c>
      <x:c r="K601" s="4" t="n">
        <x:f>IF(AND('계산 과정'!$L$6,J601&gt;0),'계산 과정'!$D$10*('계산 과정'!$C$38*(D601-'계산 과정'!$C$32)+'계산 과정'!$D$38*(E601-'계산 과정'!$D$32)-'계산 과정'!$E$38*'계산 과정'!$E$32)/J601,"")</x:f>
        <x:v>-0.08630451041195106</x:v>
      </x:c>
      <x:c r="L601" s="4" t="n">
        <x:f>IF(AND('계산 과정'!$L$6,J601&gt;0),'계산 과정'!$D$10*('계산 과정'!$C$39*(D601-'계산 과정'!$C$32)+'계산 과정'!$D$39*(E601-'계산 과정'!$D$32)-'계산 과정'!$E$39*'계산 과정'!$E$32)/J601,"")</x:f>
        <x:v>0.9771732587430384</x:v>
      </x:c>
      <x:c r="M601" s="17" t="n">
        <x:f>IF('계산 과정'!$L$6,IF(J601&lt;=0,0,IF(AND(ABS(K601)&lt;='계산 과정'!$D$11/2,ABS(L601)&lt;='계산 과정'!$D$12/2),1,0)),"")</x:f>
        <x:v>1</x:v>
      </x:c>
      <x:c r="N601" s="17" t="n">
        <x:f>IF('계산 과정'!$C$78,IF(AND(ISNUMBER(H601),ISNUMBER(I601),ABS(H601-'계산 과정'!$C$88)&lt;='계산 과정'!$D$23/2,ABS(I601-'계산 과정'!$C$89)&lt;='계산 과정'!$D$24/2),1,0),"")</x:f>
        <x:v>1</x:v>
      </x:c>
      <x:c r="O601" s="4" t="n">
        <x:f>IF('계산 과정'!$L$7,'계산 과정'!$C$49*('계산 과정'!$C$32-D601)+'계산 과정'!$D$49*('계산 과정'!$D$32-E601)+'계산 과정'!$E$49*'계산 과정'!$E$32,"")</x:f>
        <x:v>-7.088714980450618</x:v>
      </x:c>
      <x:c r="P601" s="4" t="n">
        <x:f>IF(AND('계산 과정'!$L$7,O601&lt;&gt;0),('계산 과정'!$L$23-'계산 과정'!$C$49*D601-'계산 과정'!$D$49*E601)/O601,"")</x:f>
        <x:v>-55.4277166035208</x:v>
      </x:c>
      <x:c r="Q601" s="4" t="str">
        <x:f>IF(AND(ISNUMBER(P601),P601&gt;1E-9,P601&lt;1-1E-9),'계산 과정'!$C$47*(D601-'계산 과정'!$C$50+P601*('계산 과정'!$C$32-D601))+'계산 과정'!$D$47*(E601-'계산 과정'!$D$50+P601*('계산 과정'!$D$32-E601))+'계산 과정'!$E$47*(0-'계산 과정'!$E$50+P601*('계산 과정'!$E$32-0)),"")</x:f>
      </x:c>
      <x:c r="R601" s="4" t="str">
        <x:f>IF(AND(ISNUMBER(P601),P601&gt;1E-9,P601&lt;1-1E-9),'계산 과정'!$C$48*(D601-'계산 과정'!$C$50+P601*('계산 과정'!$C$32-D601))+'계산 과정'!$D$48*(E601-'계산 과정'!$D$50+P601*('계산 과정'!$D$32-E601))+'계산 과정'!$E$48*(0-'계산 과정'!$E$50+P601*('계산 과정'!$E$32-0)),"")</x:f>
      </x:c>
      <x:c r="S601" s="17" t="n">
        <x:f>IF('계산 과정'!$C$78,IF(AND(ISNUMBER(Q601),ISNUMBER(R601),ABS(Q601-'계산 과정'!$C$88)&lt;='계산 과정'!$D$23/2,ABS(R601-'계산 과정'!$C$89)&lt;='계산 과정'!$D$24/2),1,0),"")</x:f>
        <x:v>0</x:v>
      </x:c>
      <x:c r="T601" s="4"/>
      <x:c r="U601" s="4"/>
      <x:c r="V601" s="4"/>
      <x:c r="W601" s="4" t="n">
        <x:f>IF('계산 과정'!$C$78,'계산 과정'!$C$88+-1*'계산 과정'!$C$90/2,"")</x:f>
        <x:v>-152.30104978473645</x:v>
      </x:c>
      <x:c r="X601" s="4" t="str">
        <x:f>""</x:f>
      </x:c>
      <x:c r="Y601" s="4" t="str">
        <x:f>""</x:f>
      </x:c>
      <x:c r="Z601" s="4" t="n">
        <x:f>IF('계산 과정'!$C$78,'계산 과정'!$C$89+0.88*'계산 과정'!$C$91/2,"")</x:f>
        <x:v>220.52762187228686</x:v>
      </x:c>
    </x:row>
    <x:row r="602" ht="23" customHeight="1">
      <x:c r="A602" s="17" t="n">
        <x:f>ROW()-6</x:f>
        <x:v>596</x:v>
      </x:c>
      <x:c r="B602" s="4" t="n">
        <x:f>IF('계산 과정'!$L$5,'계산 과정'!$L$11*SQRT((A602+0.5)/'계산 과정'!$L$30),"")</x:f>
        <x:v>80.95273143361192</x:v>
      </x:c>
      <x:c r="C602" s="4" t="n">
        <x:f>A602*PI()*(3-SQRT(5))</x:f>
        <x:v>1430.3780849182772</x:v>
      </x:c>
      <x:c r="D602" s="4" t="n">
        <x:f>IF('계산 과정'!$L$5,B602*COS(C602),"")</x:f>
        <x:v>-46.86286173465219</x:v>
      </x:c>
      <x:c r="E602" s="4" t="n">
        <x:f>IF('계산 과정'!$L$5,B602*SIN(C602),"")</x:f>
        <x:v>-66.00921842137937</x:v>
      </x:c>
      <x:c r="F602" s="4" t="n">
        <x:f>IF('계산 과정'!$L$7,'계산 과정'!$L$22+'계산 과정'!$C$49*D602+'계산 과정'!$D$49*E602,"")</x:f>
        <x:v>683.1370473183802</x:v>
      </x:c>
      <x:c r="G602" s="4" t="n">
        <x:f>IF('계산 과정'!$L$7,IF(ABS(F602)&gt;=1E-12*MAX(1,SQRT((D602-'계산 과정'!$C$33)^2+(E602-'계산 과정'!$D$33)^2+'계산 과정'!$E$33^2)),('계산 과정'!$L$23-'계산 과정'!$C$49*D602-'계산 과정'!$D$49*E602)/F602,""),"")</x:f>
        <x:v>0.5370268734827394</x:v>
      </x:c>
      <x:c r="H602" s="4" t="n">
        <x:f>IF(AND(ISNUMBER(G602),G602&gt;0),('계산 과정'!$D$56+'계산 과정'!$D$57*D602+'계산 과정'!$D$58*E602)/F602,"")</x:f>
        <x:v>-50.93253223621954</x:v>
      </x:c>
      <x:c r="I602" s="4" t="n">
        <x:f>IF(AND(ISNUMBER(G602),G602&gt;0),('계산 과정'!$E$56+'계산 과정'!$E$57*D602+'계산 과정'!$E$58*E602)/F602,"")</x:f>
        <x:v>-101.457942611252</x:v>
      </x:c>
      <x:c r="J602" s="4" t="n">
        <x:f>IF('계산 과정'!$L$5,'계산 과정'!$D$6+'계산 과정'!$C$35*D602+'계산 과정'!$D$35*E602,"")</x:f>
        <x:v>683.1370473183802</x:v>
      </x:c>
      <x:c r="K602" s="4" t="n">
        <x:f>IF(AND('계산 과정'!$L$6,J602&gt;0),'계산 과정'!$D$10*('계산 과정'!$C$38*(D602-'계산 과정'!$C$32)+'계산 과정'!$D$38*(E602-'계산 과정'!$D$32)-'계산 과정'!$E$38*'계산 과정'!$E$32)/J602,"")</x:f>
        <x:v>-0.38805738846643384</x:v>
      </x:c>
      <x:c r="L602" s="4" t="n">
        <x:f>IF(AND('계산 과정'!$L$6,J602&gt;0),'계산 과정'!$D$10*('계산 과정'!$C$39*(D602-'계산 과정'!$C$32)+'계산 과정'!$D$39*(E602-'계산 과정'!$D$32)-'계산 과정'!$E$39*'계산 과정'!$E$32)/J602,"")</x:f>
        <x:v>-0.7730128960857293</x:v>
      </x:c>
      <x:c r="M602" s="17" t="n">
        <x:f>IF('계산 과정'!$L$6,IF(J602&lt;=0,0,IF(AND(ABS(K602)&lt;='계산 과정'!$D$11/2,ABS(L602)&lt;='계산 과정'!$D$12/2),1,0)),"")</x:f>
        <x:v>1</x:v>
      </x:c>
      <x:c r="N602" s="17" t="n">
        <x:f>IF('계산 과정'!$C$78,IF(AND(ISNUMBER(H602),ISNUMBER(I602),ABS(H602-'계산 과정'!$C$88)&lt;='계산 과정'!$D$23/2,ABS(I602-'계산 과정'!$C$89)&lt;='계산 과정'!$D$24/2),1,0),"")</x:f>
        <x:v>1</x:v>
      </x:c>
      <x:c r="O602" s="4" t="n">
        <x:f>IF('계산 과정'!$L$7,'계산 과정'!$C$49*('계산 과정'!$C$32-D602)+'계산 과정'!$D$49*('계산 과정'!$D$32-E602)+'계산 과정'!$E$49*'계산 과정'!$E$32,"")</x:f>
        <x:v>-33.13704731838004</x:v>
      </x:c>
      <x:c r="P602" s="4" t="n">
        <x:f>IF(AND('계산 과정'!$L$7,O602&lt;&gt;0),('계산 과정'!$L$23-'계산 과정'!$C$49*D602-'계산 과정'!$D$49*E602)/O602,"")</x:f>
        <x:v>-11.071081534718783</x:v>
      </x:c>
      <x:c r="Q602" s="4" t="str">
        <x:f>IF(AND(ISNUMBER(P602),P602&gt;1E-9,P602&lt;1-1E-9),'계산 과정'!$C$47*(D602-'계산 과정'!$C$50+P602*('계산 과정'!$C$32-D602))+'계산 과정'!$D$47*(E602-'계산 과정'!$D$50+P602*('계산 과정'!$D$32-E602))+'계산 과정'!$E$47*(0-'계산 과정'!$E$50+P602*('계산 과정'!$E$32-0)),"")</x:f>
      </x:c>
      <x:c r="R602" s="4" t="str">
        <x:f>IF(AND(ISNUMBER(P602),P602&gt;1E-9,P602&lt;1-1E-9),'계산 과정'!$C$48*(D602-'계산 과정'!$C$50+P602*('계산 과정'!$C$32-D602))+'계산 과정'!$D$48*(E602-'계산 과정'!$D$50+P602*('계산 과정'!$D$32-E602))+'계산 과정'!$E$48*(0-'계산 과정'!$E$50+P602*('계산 과정'!$E$32-0)),"")</x:f>
      </x:c>
      <x:c r="S602" s="17" t="n">
        <x:f>IF('계산 과정'!$C$78,IF(AND(ISNUMBER(Q602),ISNUMBER(R602),ABS(Q602-'계산 과정'!$C$88)&lt;='계산 과정'!$D$23/2,ABS(R602-'계산 과정'!$C$89)&lt;='계산 과정'!$D$24/2),1,0),"")</x:f>
        <x:v>0</x:v>
      </x:c>
      <x:c r="T602" s="4"/>
      <x:c r="U602" s="4"/>
      <x:c r="V602" s="4"/>
      <x:c r="W602" s="4" t="n">
        <x:f>IF('계산 과정'!$C$78,'계산 과정'!$C$88+-1*'계산 과정'!$C$90/2,"")</x:f>
        <x:v>-152.30104978473645</x:v>
      </x:c>
      <x:c r="X602" s="4" t="str">
        <x:f>""</x:f>
      </x:c>
      <x:c r="Y602" s="4" t="str">
        <x:f>""</x:f>
      </x:c>
      <x:c r="Z602" s="4" t="n">
        <x:f>IF('계산 과정'!$C$78,'계산 과정'!$C$89+0.84*'계산 과정'!$C$91/2,"")</x:f>
        <x:v>210.50363905991017</x:v>
      </x:c>
    </x:row>
    <x:row r="603" ht="23" customHeight="1">
      <x:c r="A603" s="17" t="n">
        <x:f>ROW()-6</x:f>
        <x:v>597</x:v>
      </x:c>
      <x:c r="B603" s="4" t="n">
        <x:f>IF('계산 과정'!$L$5,'계산 과정'!$L$11*SQRT((A603+0.5)/'계산 과정'!$L$30),"")</x:f>
        <x:v>81.0205594567669</x:v>
      </x:c>
      <x:c r="C603" s="4" t="n">
        <x:f>A603*PI()*(3-SQRT(5))</x:f>
        <x:v>1432.7780481480056</x:v>
      </x:c>
      <x:c r="D603" s="4" t="n">
        <x:f>IF('계산 과정'!$L$5,B603*COS(C603),"")</x:f>
        <x:v>79.21011452830373</x:v>
      </x:c>
      <x:c r="E603" s="4" t="n">
        <x:f>IF('계산 과정'!$L$5,B603*SIN(C603),"")</x:f>
        <x:v>17.03199375001372</x:v>
      </x:c>
      <x:c r="F603" s="4" t="n">
        <x:f>IF('계산 과정'!$L$7,'계산 과정'!$L$22+'계산 과정'!$C$49*D603+'계산 과정'!$D$49*E603,"")</x:f>
        <x:v>593.9899908784733</x:v>
      </x:c>
      <x:c r="G603" s="4" t="n">
        <x:f>IF('계산 과정'!$L$7,IF(ABS(F603)&gt;=1E-12*MAX(1,SQRT((D603-'계산 과정'!$C$33)^2+(E603-'계산 과정'!$D$33)^2+'계산 과정'!$E$33^2)),('계산 과정'!$L$23-'계산 과정'!$C$49*D603-'계산 과정'!$D$49*E603)/F603,""),"")</x:f>
        <x:v>0.7677065541914552</x:v>
      </x:c>
      <x:c r="H603" s="4" t="n">
        <x:f>IF(AND(ISNUMBER(G603),G603&gt;0),('계산 과정'!$D$56+'계산 과정'!$D$57*D603+'계산 과정'!$D$58*E603)/F603,"")</x:f>
        <x:v>99.00926022444573</x:v>
      </x:c>
      <x:c r="I603" s="4" t="n">
        <x:f>IF(AND(ISNUMBER(G603),G603&gt;0),('계산 과정'!$E$56+'계산 과정'!$E$57*D603+'계산 과정'!$E$58*E603)/F603,"")</x:f>
        <x:v>30.107566982847153</x:v>
      </x:c>
      <x:c r="J603" s="4" t="n">
        <x:f>IF('계산 과정'!$L$5,'계산 과정'!$D$6+'계산 과정'!$C$35*D603+'계산 과정'!$D$35*E603,"")</x:f>
        <x:v>593.9899908784733</x:v>
      </x:c>
      <x:c r="K603" s="4" t="n">
        <x:f>IF(AND('계산 과정'!$L$6,J603&gt;0),'계산 과정'!$D$10*('계산 과정'!$C$38*(D603-'계산 과정'!$C$32)+'계산 과정'!$D$38*(E603-'계산 과정'!$D$32)-'계산 과정'!$E$38*'계산 과정'!$E$32)/J603,"")</x:f>
        <x:v>0.7543562683767303</x:v>
      </x:c>
      <x:c r="L603" s="4" t="n">
        <x:f>IF(AND('계산 과정'!$L$6,J603&gt;0),'계산 과정'!$D$10*('계산 과정'!$C$39*(D603-'계산 과정'!$C$32)+'계산 과정'!$D$39*(E603-'계산 과정'!$D$32)-'계산 과정'!$E$39*'계산 과정'!$E$32)/J603,"")</x:f>
        <x:v>0.22939098653597828</x:v>
      </x:c>
      <x:c r="M603" s="17" t="n">
        <x:f>IF('계산 과정'!$L$6,IF(J603&lt;=0,0,IF(AND(ABS(K603)&lt;='계산 과정'!$D$11/2,ABS(L603)&lt;='계산 과정'!$D$12/2),1,0)),"")</x:f>
        <x:v>1</x:v>
      </x:c>
      <x:c r="N603" s="17" t="n">
        <x:f>IF('계산 과정'!$C$78,IF(AND(ISNUMBER(H603),ISNUMBER(I603),ABS(H603-'계산 과정'!$C$88)&lt;='계산 과정'!$D$23/2,ABS(I603-'계산 과정'!$C$89)&lt;='계산 과정'!$D$24/2),1,0),"")</x:f>
        <x:v>1</x:v>
      </x:c>
      <x:c r="O603" s="4" t="n">
        <x:f>IF('계산 과정'!$L$7,'계산 과정'!$C$49*('계산 과정'!$C$32-D603)+'계산 과정'!$D$49*('계산 과정'!$D$32-E603)+'계산 과정'!$E$49*'계산 과정'!$E$32,"")</x:f>
        <x:v>56.010009121526764</x:v>
      </x:c>
      <x:c r="P603" s="4" t="n">
        <x:f>IF(AND('계산 과정'!$L$7,O603&lt;&gt;0),('계산 과정'!$L$23-'계산 과정'!$C$49*D603-'계산 과정'!$D$49*E603)/O603,"")</x:f>
        <x:v>8.141580697337625</x:v>
      </x:c>
      <x:c r="Q603" s="4" t="str">
        <x:f>IF(AND(ISNUMBER(P603),P603&gt;1E-9,P603&lt;1-1E-9),'계산 과정'!$C$47*(D603-'계산 과정'!$C$50+P603*('계산 과정'!$C$32-D603))+'계산 과정'!$D$47*(E603-'계산 과정'!$D$50+P603*('계산 과정'!$D$32-E603))+'계산 과정'!$E$47*(0-'계산 과정'!$E$50+P603*('계산 과정'!$E$32-0)),"")</x:f>
      </x:c>
      <x:c r="R603" s="4" t="str">
        <x:f>IF(AND(ISNUMBER(P603),P603&gt;1E-9,P603&lt;1-1E-9),'계산 과정'!$C$48*(D603-'계산 과정'!$C$50+P603*('계산 과정'!$C$32-D603))+'계산 과정'!$D$48*(E603-'계산 과정'!$D$50+P603*('계산 과정'!$D$32-E603))+'계산 과정'!$E$48*(0-'계산 과정'!$E$50+P603*('계산 과정'!$E$32-0)),"")</x:f>
      </x:c>
      <x:c r="S603" s="17" t="n">
        <x:f>IF('계산 과정'!$C$78,IF(AND(ISNUMBER(Q603),ISNUMBER(R603),ABS(Q603-'계산 과정'!$C$88)&lt;='계산 과정'!$D$23/2,ABS(R603-'계산 과정'!$C$89)&lt;='계산 과정'!$D$24/2),1,0),"")</x:f>
        <x:v>0</x:v>
      </x:c>
      <x:c r="T603" s="4"/>
      <x:c r="U603" s="4"/>
      <x:c r="V603" s="4"/>
      <x:c r="W603" s="4" t="n">
        <x:f>IF('계산 과정'!$C$78,'계산 과정'!$C$88+-1*'계산 과정'!$C$90/2,"")</x:f>
        <x:v>-152.30104978473645</x:v>
      </x:c>
      <x:c r="X603" s="4" t="str">
        <x:f>""</x:f>
      </x:c>
      <x:c r="Y603" s="4" t="str">
        <x:f>""</x:f>
      </x:c>
      <x:c r="Z603" s="4" t="n">
        <x:f>IF('계산 과정'!$C$78,'계산 과정'!$C$89+0.8*'계산 과정'!$C$91/2,"")</x:f>
        <x:v>200.4796562475335</x:v>
      </x:c>
    </x:row>
    <x:row r="604" ht="23" customHeight="1">
      <x:c r="A604" s="17" t="n">
        <x:f>ROW()-6</x:f>
        <x:v>598</x:v>
      </x:c>
      <x:c r="B604" s="4" t="n">
        <x:f>IF('계산 과정'!$L$5,'계산 과정'!$L$11*SQRT((A604+0.5)/'계산 과정'!$L$30),"")</x:f>
        <x:v>81.08833074377903</x:v>
      </x:c>
      <x:c r="C604" s="4" t="n">
        <x:f>A604*PI()*(3-SQRT(5))</x:f>
        <x:v>1435.1780113777345</x:v>
      </x:c>
      <x:c r="D604" s="4" t="n">
        <x:f>IF('계산 과정'!$L$5,B604*COS(C604),"")</x:f>
        <x:v>-69.97049907636938</x:v>
      </x:c>
      <x:c r="E604" s="4" t="n">
        <x:f>IF('계산 과정'!$L$5,B604*SIN(C604),"")</x:f>
        <x:v>40.98105222924723</x:v>
      </x:c>
      <x:c r="F604" s="4" t="n">
        <x:f>IF('계산 과정'!$L$7,'계산 과정'!$L$22+'계산 과정'!$C$49*D604+'계산 과정'!$D$49*E604,"")</x:f>
        <x:v>699.4766143799078</x:v>
      </x:c>
      <x:c r="G604" s="4" t="n">
        <x:f>IF('계산 과정'!$L$7,IF(ABS(F604)&gt;=1E-12*MAX(1,SQRT((D604-'계산 과정'!$C$33)^2+(E604-'계산 과정'!$D$33)^2+'계산 과정'!$E$33^2)),('계산 과정'!$L$23-'계산 과정'!$C$49*D604-'계산 과정'!$D$49*E604)/F604,""),"")</x:f>
        <x:v>0.5011223798108451</x:v>
      </x:c>
      <x:c r="H604" s="4" t="n">
        <x:f>IF(AND(ISNUMBER(G604),G604&gt;0),('계산 과정'!$D$56+'계산 과정'!$D$57*D604+'계산 과정'!$D$58*E604)/F604,"")</x:f>
        <x:v>-74.27045312295087</x:v>
      </x:c>
      <x:c r="I604" s="4" t="n">
        <x:f>IF(AND(ISNUMBER(G604),G604&gt;0),('계산 과정'!$E$56+'계산 과정'!$E$57*D604+'계산 과정'!$E$58*E604)/F604,"")</x:f>
        <x:v>61.51757464952015</x:v>
      </x:c>
      <x:c r="J604" s="4" t="n">
        <x:f>IF('계산 과정'!$L$5,'계산 과정'!$D$6+'계산 과정'!$C$35*D604+'계산 과정'!$D$35*E604,"")</x:f>
        <x:v>699.4766143799078</x:v>
      </x:c>
      <x:c r="K604" s="4" t="n">
        <x:f>IF(AND('계산 과정'!$L$6,J604&gt;0),'계산 과정'!$D$10*('계산 과정'!$C$38*(D604-'계산 과정'!$C$32)+'계산 과정'!$D$38*(E604-'계산 과정'!$D$32)-'계산 과정'!$E$38*'계산 과정'!$E$32)/J604,"")</x:f>
        <x:v>-0.5658701190320058</x:v>
      </x:c>
      <x:c r="L604" s="4" t="n">
        <x:f>IF(AND('계산 과정'!$L$6,J604&gt;0),'계산 과정'!$D$10*('계산 과정'!$C$39*(D604-'계산 과정'!$C$32)+'계산 과정'!$D$39*(E604-'계산 과정'!$D$32)-'계산 과정'!$E$39*'계산 과정'!$E$32)/J604,"")</x:f>
        <x:v>0.4687053306630106</x:v>
      </x:c>
      <x:c r="M604" s="17" t="n">
        <x:f>IF('계산 과정'!$L$6,IF(J604&lt;=0,0,IF(AND(ABS(K604)&lt;='계산 과정'!$D$11/2,ABS(L604)&lt;='계산 과정'!$D$12/2),1,0)),"")</x:f>
        <x:v>1</x:v>
      </x:c>
      <x:c r="N604" s="17" t="n">
        <x:f>IF('계산 과정'!$C$78,IF(AND(ISNUMBER(H604),ISNUMBER(I604),ABS(H604-'계산 과정'!$C$88)&lt;='계산 과정'!$D$23/2,ABS(I604-'계산 과정'!$C$89)&lt;='계산 과정'!$D$24/2),1,0),"")</x:f>
        <x:v>1</x:v>
      </x:c>
      <x:c r="O604" s="4" t="n">
        <x:f>IF('계산 과정'!$L$7,'계산 과정'!$C$49*('계산 과정'!$C$32-D604)+'계산 과정'!$D$49*('계산 과정'!$D$32-E604)+'계산 과정'!$E$49*'계산 과정'!$E$32,"")</x:f>
        <x:v>-49.476614379907744</x:v>
      </x:c>
      <x:c r="P604" s="4" t="n">
        <x:f>IF(AND('계산 과정'!$L$7,O604&lt;&gt;0),('계산 과정'!$L$23-'계산 과정'!$C$49*D604-'계산 과정'!$D$49*E604)/O604,"")</x:f>
        <x:v>-7.084627556133636</x:v>
      </x:c>
      <x:c r="Q604" s="4" t="str">
        <x:f>IF(AND(ISNUMBER(P604),P604&gt;1E-9,P604&lt;1-1E-9),'계산 과정'!$C$47*(D604-'계산 과정'!$C$50+P604*('계산 과정'!$C$32-D604))+'계산 과정'!$D$47*(E604-'계산 과정'!$D$50+P604*('계산 과정'!$D$32-E604))+'계산 과정'!$E$47*(0-'계산 과정'!$E$50+P604*('계산 과정'!$E$32-0)),"")</x:f>
      </x:c>
      <x:c r="R604" s="4" t="str">
        <x:f>IF(AND(ISNUMBER(P604),P604&gt;1E-9,P604&lt;1-1E-9),'계산 과정'!$C$48*(D604-'계산 과정'!$C$50+P604*('계산 과정'!$C$32-D604))+'계산 과정'!$D$48*(E604-'계산 과정'!$D$50+P604*('계산 과정'!$D$32-E604))+'계산 과정'!$E$48*(0-'계산 과정'!$E$50+P604*('계산 과정'!$E$32-0)),"")</x:f>
      </x:c>
      <x:c r="S604" s="17" t="n">
        <x:f>IF('계산 과정'!$C$78,IF(AND(ISNUMBER(Q604),ISNUMBER(R604),ABS(Q604-'계산 과정'!$C$88)&lt;='계산 과정'!$D$23/2,ABS(R604-'계산 과정'!$C$89)&lt;='계산 과정'!$D$24/2),1,0),"")</x:f>
        <x:v>0</x:v>
      </x:c>
      <x:c r="T604" s="4"/>
      <x:c r="U604" s="4"/>
      <x:c r="V604" s="4"/>
      <x:c r="W604" s="4" t="n">
        <x:f>IF('계산 과정'!$C$78,'계산 과정'!$C$88+-1*'계산 과정'!$C$90/2,"")</x:f>
        <x:v>-152.30104978473645</x:v>
      </x:c>
      <x:c r="X604" s="4" t="str">
        <x:f>""</x:f>
      </x:c>
      <x:c r="Y604" s="4" t="str">
        <x:f>""</x:f>
      </x:c>
      <x:c r="Z604" s="4" t="n">
        <x:f>IF('계산 과정'!$C$78,'계산 과정'!$C$89+0.76*'계산 과정'!$C$91/2,"")</x:f>
        <x:v>190.45567343515683</x:v>
      </x:c>
    </x:row>
    <x:row r="605" ht="23" customHeight="1">
      <x:c r="A605" s="17" t="n">
        <x:f>ROW()-6</x:f>
        <x:v>599</x:v>
      </x:c>
      <x:c r="B605" s="4" t="n">
        <x:f>IF('계산 과정'!$L$5,'계산 과정'!$L$11*SQRT((A605+0.5)/'계산 과정'!$L$30),"")</x:f>
        <x:v>81.15604543678494</x:v>
      </x:c>
      <x:c r="C605" s="4" t="n">
        <x:f>A605*PI()*(3-SQRT(5))</x:f>
        <x:v>1437.5779746074631</x:v>
      </x:c>
      <x:c r="D605" s="4" t="n">
        <x:f>IF('계산 과정'!$L$5,B605*COS(C605),"")</x:f>
        <x:v>23.93173344781413</x:v>
      </x:c>
      <x:c r="E605" s="4" t="n">
        <x:f>IF('계산 과정'!$L$5,B605*SIN(C605),"")</x:f>
        <x:v>-77.54724911381625</x:v>
      </x:c>
      <x:c r="F605" s="4" t="n">
        <x:f>IF('계산 과정'!$L$7,'계산 과정'!$L$22+'계산 과정'!$C$49*D605+'계산 과정'!$D$49*E605,"")</x:f>
        <x:v>633.0777089935017</x:v>
      </x:c>
      <x:c r="G605" s="4" t="n">
        <x:f>IF('계산 과정'!$L$7,IF(ABS(F605)&gt;=1E-12*MAX(1,SQRT((D605-'계산 과정'!$C$33)^2+(E605-'계산 과정'!$D$33)^2+'계산 과정'!$E$33^2)),('계산 과정'!$L$23-'계산 과정'!$C$49*D605-'계산 과정'!$D$49*E605)/F605,""),"")</x:f>
        <x:v>0.6585641621616121</x:v>
      </x:c>
      <x:c r="H605" s="4" t="n">
        <x:f>IF(AND(ISNUMBER(G605),G605&gt;0),('계산 과정'!$D$56+'계산 과정'!$D$57*D605+'계산 과정'!$D$58*E605)/F605,"")</x:f>
        <x:v>28.066705405047703</x:v>
      </x:c>
      <x:c r="I605" s="4" t="n">
        <x:f>IF(AND(ISNUMBER(G605),G605&gt;0),('계산 과정'!$E$56+'계산 과정'!$E$57*D605+'계산 과정'!$E$58*E605)/F605,"")</x:f>
        <x:v>-128.61708825439447</x:v>
      </x:c>
      <x:c r="J605" s="4" t="n">
        <x:f>IF('계산 과정'!$L$5,'계산 과정'!$D$6+'계산 과정'!$C$35*D605+'계산 과정'!$D$35*E605,"")</x:f>
        <x:v>633.0777089935017</x:v>
      </x:c>
      <x:c r="K605" s="4" t="n">
        <x:f>IF(AND('계산 과정'!$L$6,J605&gt;0),'계산 과정'!$D$10*('계산 과정'!$C$38*(D605-'계산 과정'!$C$32)+'계산 과정'!$D$38*(E605-'계산 과정'!$D$32)-'계산 과정'!$E$38*'계산 과정'!$E$32)/J605,"")</x:f>
        <x:v>0.2138415649908401</x:v>
      </x:c>
      <x:c r="L605" s="4" t="n">
        <x:f>IF(AND('계산 과정'!$L$6,J605&gt;0),'계산 과정'!$D$10*('계산 과정'!$C$39*(D605-'계산 과정'!$C$32)+'계산 과정'!$D$39*(E605-'계산 과정'!$D$32)-'계산 과정'!$E$39*'계산 과정'!$E$32)/J605,"")</x:f>
        <x:v>-0.9799397200334816</x:v>
      </x:c>
      <x:c r="M605" s="17" t="n">
        <x:f>IF('계산 과정'!$L$6,IF(J605&lt;=0,0,IF(AND(ABS(K605)&lt;='계산 과정'!$D$11/2,ABS(L605)&lt;='계산 과정'!$D$12/2),1,0)),"")</x:f>
        <x:v>1</x:v>
      </x:c>
      <x:c r="N605" s="17" t="n">
        <x:f>IF('계산 과정'!$C$78,IF(AND(ISNUMBER(H605),ISNUMBER(I605),ABS(H605-'계산 과정'!$C$88)&lt;='계산 과정'!$D$23/2,ABS(I605-'계산 과정'!$C$89)&lt;='계산 과정'!$D$24/2),1,0),"")</x:f>
        <x:v>1</x:v>
      </x:c>
      <x:c r="O605" s="4" t="n">
        <x:f>IF('계산 과정'!$L$7,'계산 과정'!$C$49*('계산 과정'!$C$32-D605)+'계산 과정'!$D$49*('계산 과정'!$D$32-E605)+'계산 과정'!$E$49*'계산 과정'!$E$32,"")</x:f>
        <x:v>16.92229100649837</x:v>
      </x:c>
      <x:c r="P605" s="4" t="n">
        <x:f>IF(AND('계산 과정'!$L$7,O605&lt;&gt;0),('계산 과정'!$L$23-'계산 과정'!$C$49*D605-'계산 과정'!$D$49*E605)/O605,"")</x:f>
        <x:v>24.637461372481717</x:v>
      </x:c>
      <x:c r="Q605" s="4" t="str">
        <x:f>IF(AND(ISNUMBER(P605),P605&gt;1E-9,P605&lt;1-1E-9),'계산 과정'!$C$47*(D605-'계산 과정'!$C$50+P605*('계산 과정'!$C$32-D605))+'계산 과정'!$D$47*(E605-'계산 과정'!$D$50+P605*('계산 과정'!$D$32-E605))+'계산 과정'!$E$47*(0-'계산 과정'!$E$50+P605*('계산 과정'!$E$32-0)),"")</x:f>
      </x:c>
      <x:c r="R605" s="4" t="str">
        <x:f>IF(AND(ISNUMBER(P605),P605&gt;1E-9,P605&lt;1-1E-9),'계산 과정'!$C$48*(D605-'계산 과정'!$C$50+P605*('계산 과정'!$C$32-D605))+'계산 과정'!$D$48*(E605-'계산 과정'!$D$50+P605*('계산 과정'!$D$32-E605))+'계산 과정'!$E$48*(0-'계산 과정'!$E$50+P605*('계산 과정'!$E$32-0)),"")</x:f>
      </x:c>
      <x:c r="S605" s="17" t="n">
        <x:f>IF('계산 과정'!$C$78,IF(AND(ISNUMBER(Q605),ISNUMBER(R605),ABS(Q605-'계산 과정'!$C$88)&lt;='계산 과정'!$D$23/2,ABS(R605-'계산 과정'!$C$89)&lt;='계산 과정'!$D$24/2),1,0),"")</x:f>
        <x:v>0</x:v>
      </x:c>
      <x:c r="T605" s="4"/>
      <x:c r="U605" s="4"/>
      <x:c r="V605" s="4"/>
      <x:c r="W605" s="4" t="n">
        <x:f>IF('계산 과정'!$C$78,'계산 과정'!$C$88+-1*'계산 과정'!$C$90/2,"")</x:f>
        <x:v>-152.30104978473645</x:v>
      </x:c>
      <x:c r="X605" s="4" t="str">
        <x:f>""</x:f>
      </x:c>
      <x:c r="Y605" s="4" t="str">
        <x:f>""</x:f>
      </x:c>
      <x:c r="Z605" s="4" t="n">
        <x:f>IF('계산 과정'!$C$78,'계산 과정'!$C$89+0.72*'계산 과정'!$C$91/2,"")</x:f>
        <x:v>180.43169062278017</x:v>
      </x:c>
    </x:row>
    <x:row r="606" ht="23" customHeight="1">
      <x:c r="A606" s="17" t="n">
        <x:f>ROW()-6</x:f>
        <x:v>600</x:v>
      </x:c>
      <x:c r="B606" s="4" t="n">
        <x:f>IF('계산 과정'!$L$5,'계산 과정'!$L$11*SQRT((A606+0.5)/'계산 과정'!$L$30),"")</x:f>
        <x:v>81.2237036773287</x:v>
      </x:c>
      <x:c r="C606" s="4" t="n">
        <x:f>A606*PI()*(3-SQRT(5))</x:f>
        <x:v>1439.9779378371918</x:v>
      </x:c>
      <x:c r="D606" s="4" t="n">
        <x:f>IF('계산 과정'!$L$5,B606*COS(C606),"")</x:f>
        <x:v>34.76485733354576</x:v>
      </x:c>
      <x:c r="E606" s="4" t="n">
        <x:f>IF('계산 과정'!$L$5,B606*SIN(C606),"")</x:f>
        <x:v>73.40772938622138</x:v>
      </x:c>
      <x:c r="F606" s="4" t="n">
        <x:f>IF('계산 과정'!$L$7,'계산 과정'!$L$22+'계산 과정'!$C$49*D606+'계산 과정'!$D$49*E606,"")</x:f>
        <x:v>625.4175336324669</x:v>
      </x:c>
      <x:c r="G606" s="4" t="n">
        <x:f>IF('계산 과정'!$L$7,IF(ABS(F606)&gt;=1E-12*MAX(1,SQRT((D606-'계산 과정'!$C$33)^2+(E606-'계산 과정'!$D$33)^2+'계산 과정'!$E$33^2)),('계산 과정'!$L$23-'계산 과정'!$C$49*D606-'계산 과정'!$D$49*E606)/F606,""),"")</x:f>
        <x:v>0.6788784188724766</x:v>
      </x:c>
      <x:c r="H606" s="4" t="n">
        <x:f>IF(AND(ISNUMBER(G606),G606&gt;0),('계산 과정'!$D$56+'계산 과정'!$D$57*D606+'계산 과정'!$D$58*E606)/F606,"")</x:f>
        <x:v>41.27097226710968</x:v>
      </x:c>
      <x:c r="I606" s="4" t="n">
        <x:f>IF(AND(ISNUMBER(G606),G606&gt;0),('계산 과정'!$E$56+'계산 과정'!$E$57*D606+'계산 과정'!$E$58*E606)/F606,"")</x:f>
        <x:v>123.242652644958</x:v>
      </x:c>
      <x:c r="J606" s="4" t="n">
        <x:f>IF('계산 과정'!$L$5,'계산 과정'!$D$6+'계산 과정'!$C$35*D606+'계산 과정'!$D$35*E606,"")</x:f>
        <x:v>625.4175336324669</x:v>
      </x:c>
      <x:c r="K606" s="4" t="n">
        <x:f>IF(AND('계산 과정'!$L$6,J606&gt;0),'계산 과정'!$D$10*('계산 과정'!$C$38*(D606-'계산 과정'!$C$32)+'계산 과정'!$D$38*(E606-'계산 과정'!$D$32)-'계산 과정'!$E$38*'계산 과정'!$E$32)/J606,"")</x:f>
        <x:v>0.31444550298750296</x:v>
      </x:c>
      <x:c r="L606" s="4" t="n">
        <x:f>IF(AND('계산 과정'!$L$6,J606&gt;0),'계산 과정'!$D$10*('계산 과정'!$C$39*(D606-'계산 과정'!$C$32)+'계산 과정'!$D$39*(E606-'계산 과정'!$D$32)-'계산 과정'!$E$39*'계산 과정'!$E$32)/J606,"")</x:f>
        <x:v>0.9389916391996799</x:v>
      </x:c>
      <x:c r="M606" s="17" t="n">
        <x:f>IF('계산 과정'!$L$6,IF(J606&lt;=0,0,IF(AND(ABS(K606)&lt;='계산 과정'!$D$11/2,ABS(L606)&lt;='계산 과정'!$D$12/2),1,0)),"")</x:f>
        <x:v>1</x:v>
      </x:c>
      <x:c r="N606" s="17" t="n">
        <x:f>IF('계산 과정'!$C$78,IF(AND(ISNUMBER(H606),ISNUMBER(I606),ABS(H606-'계산 과정'!$C$88)&lt;='계산 과정'!$D$23/2,ABS(I606-'계산 과정'!$C$89)&lt;='계산 과정'!$D$24/2),1,0),"")</x:f>
        <x:v>1</x:v>
      </x:c>
      <x:c r="O606" s="4" t="n">
        <x:f>IF('계산 과정'!$L$7,'계산 과정'!$C$49*('계산 과정'!$C$32-D606)+'계산 과정'!$D$49*('계산 과정'!$D$32-E606)+'계산 과정'!$E$49*'계산 과정'!$E$32,"")</x:f>
        <x:v>24.582466367533186</x:v>
      </x:c>
      <x:c r="P606" s="4" t="n">
        <x:f>IF(AND('계산 과정'!$L$7,O606&lt;&gt;0),('계산 과정'!$L$23-'계산 과정'!$C$49*D606-'계산 과정'!$D$49*E606)/O606,"")</x:f>
        <x:v>17.271760287173304</x:v>
      </x:c>
      <x:c r="Q606" s="4" t="str">
        <x:f>IF(AND(ISNUMBER(P606),P606&gt;1E-9,P606&lt;1-1E-9),'계산 과정'!$C$47*(D606-'계산 과정'!$C$50+P606*('계산 과정'!$C$32-D606))+'계산 과정'!$D$47*(E606-'계산 과정'!$D$50+P606*('계산 과정'!$D$32-E606))+'계산 과정'!$E$47*(0-'계산 과정'!$E$50+P606*('계산 과정'!$E$32-0)),"")</x:f>
      </x:c>
      <x:c r="R606" s="4" t="str">
        <x:f>IF(AND(ISNUMBER(P606),P606&gt;1E-9,P606&lt;1-1E-9),'계산 과정'!$C$48*(D606-'계산 과정'!$C$50+P606*('계산 과정'!$C$32-D606))+'계산 과정'!$D$48*(E606-'계산 과정'!$D$50+P606*('계산 과정'!$D$32-E606))+'계산 과정'!$E$48*(0-'계산 과정'!$E$50+P606*('계산 과정'!$E$32-0)),"")</x:f>
      </x:c>
      <x:c r="S606" s="17" t="n">
        <x:f>IF('계산 과정'!$C$78,IF(AND(ISNUMBER(Q606),ISNUMBER(R606),ABS(Q606-'계산 과정'!$C$88)&lt;='계산 과정'!$D$23/2,ABS(R606-'계산 과정'!$C$89)&lt;='계산 과정'!$D$24/2),1,0),"")</x:f>
        <x:v>0</x:v>
      </x:c>
      <x:c r="T606" s="4"/>
      <x:c r="U606" s="4"/>
      <x:c r="V606" s="4"/>
      <x:c r="W606" s="4" t="n">
        <x:f>IF('계산 과정'!$C$78,'계산 과정'!$C$88+-1*'계산 과정'!$C$90/2,"")</x:f>
        <x:v>-152.30104978473645</x:v>
      </x:c>
      <x:c r="X606" s="4" t="str">
        <x:f>""</x:f>
      </x:c>
      <x:c r="Y606" s="4" t="str">
        <x:f>""</x:f>
      </x:c>
      <x:c r="Z606" s="4" t="n">
        <x:f>IF('계산 과정'!$C$78,'계산 과정'!$C$89+0.6799999999999999*'계산 과정'!$C$91/2,"")</x:f>
        <x:v>170.40770781040348</x:v>
      </x:c>
    </x:row>
    <x:row r="607" ht="23" customHeight="1">
      <x:c r="A607" s="17" t="n">
        <x:f>ROW()-6</x:f>
        <x:v>601</x:v>
      </x:c>
      <x:c r="B607" s="4" t="n">
        <x:f>IF('계산 과정'!$L$5,'계산 과정'!$L$11*SQRT((A607+0.5)/'계산 과정'!$L$30),"")</x:f>
        <x:v>81.29130560636543</x:v>
      </x:c>
      <x:c r="C607" s="4" t="n">
        <x:f>A607*PI()*(3-SQRT(5))</x:f>
        <x:v>1442.3779010669205</x:v>
      </x:c>
      <x:c r="D607" s="4" t="n">
        <x:f>IF('계산 과정'!$L$5,B607*COS(C607),"")</x:f>
        <x:v>-75.28333827029806</x:v>
      </x:c>
      <x:c r="E607" s="4" t="n">
        <x:f>IF('계산 과정'!$L$5,B607*SIN(C607),"")</x:f>
        <x:v>-30.67075718118764</x:v>
      </x:c>
      <x:c r="F607" s="4" t="n">
        <x:f>IF('계산 과정'!$L$7,'계산 과정'!$L$22+'계산 과정'!$C$49*D607+'계산 과정'!$D$49*E607,"")</x:f>
        <x:v>703.2333590012885</x:v>
      </x:c>
      <x:c r="G607" s="4" t="n">
        <x:f>IF('계산 과정'!$L$7,IF(ABS(F607)&gt;=1E-12*MAX(1,SQRT((D607-'계산 과정'!$C$33)^2+(E607-'계산 과정'!$D$33)^2+'계산 과정'!$E$33^2)),('계산 과정'!$L$23-'계산 과정'!$C$49*D607-'계산 과정'!$D$49*E607)/F607,""),"")</x:f>
        <x:v>0.4931032303290893</x:v>
      </x:c>
      <x:c r="H607" s="4" t="n">
        <x:f>IF(AND(ISNUMBER(G607),G607&gt;0),('계산 과정'!$D$56+'계산 과정'!$D$57*D607+'계산 과정'!$D$58*E607)/F607,"")</x:f>
        <x:v>-79.48290028609208</x:v>
      </x:c>
      <x:c r="I607" s="4" t="n">
        <x:f>IF(AND(ISNUMBER(G607),G607&gt;0),('계산 과정'!$E$56+'계산 과정'!$E$57*D607+'계산 과정'!$E$58*E607)/F607,"")</x:f>
        <x:v>-45.79460662387038</x:v>
      </x:c>
      <x:c r="J607" s="4" t="n">
        <x:f>IF('계산 과정'!$L$5,'계산 과정'!$D$6+'계산 과정'!$C$35*D607+'계산 과정'!$D$35*E607,"")</x:f>
        <x:v>703.2333590012885</x:v>
      </x:c>
      <x:c r="K607" s="4" t="n">
        <x:f>IF(AND('계산 과정'!$L$6,J607&gt;0),'계산 과정'!$D$10*('계산 과정'!$C$38*(D607-'계산 과정'!$C$32)+'계산 과정'!$D$38*(E607-'계산 과정'!$D$32)-'계산 과정'!$E$38*'계산 과정'!$E$32)/J607,"")</x:f>
        <x:v>-0.6055840021797481</x:v>
      </x:c>
      <x:c r="L607" s="4" t="n">
        <x:f>IF(AND('계산 과정'!$L$6,J607&gt;0),'계산 과정'!$D$10*('계산 과정'!$C$39*(D607-'계산 과정'!$C$32)+'계산 과정'!$D$39*(E607-'계산 과정'!$D$32)-'계산 과정'!$E$39*'계산 과정'!$E$32)/J607,"")</x:f>
        <x:v>-0.34891128856282194</x:v>
      </x:c>
      <x:c r="M607" s="17" t="n">
        <x:f>IF('계산 과정'!$L$6,IF(J607&lt;=0,0,IF(AND(ABS(K607)&lt;='계산 과정'!$D$11/2,ABS(L607)&lt;='계산 과정'!$D$12/2),1,0)),"")</x:f>
        <x:v>1</x:v>
      </x:c>
      <x:c r="N607" s="17" t="n">
        <x:f>IF('계산 과정'!$C$78,IF(AND(ISNUMBER(H607),ISNUMBER(I607),ABS(H607-'계산 과정'!$C$88)&lt;='계산 과정'!$D$23/2,ABS(I607-'계산 과정'!$C$89)&lt;='계산 과정'!$D$24/2),1,0),"")</x:f>
        <x:v>1</x:v>
      </x:c>
      <x:c r="O607" s="4" t="n">
        <x:f>IF('계산 과정'!$L$7,'계산 과정'!$C$49*('계산 과정'!$C$32-D607)+'계산 과정'!$D$49*('계산 과정'!$D$32-E607)+'계산 과정'!$E$49*'계산 과정'!$E$32,"")</x:f>
        <x:v>-53.23335900128836</x:v>
      </x:c>
      <x:c r="P607" s="4" t="n">
        <x:f>IF(AND('계산 과정'!$L$7,O607&lt;&gt;0),('계산 과정'!$L$23-'계산 과정'!$C$49*D607-'계산 과정'!$D$49*E607)/O607,"")</x:f>
        <x:v>-6.514085293590416</x:v>
      </x:c>
      <x:c r="Q607" s="4" t="str">
        <x:f>IF(AND(ISNUMBER(P607),P607&gt;1E-9,P607&lt;1-1E-9),'계산 과정'!$C$47*(D607-'계산 과정'!$C$50+P607*('계산 과정'!$C$32-D607))+'계산 과정'!$D$47*(E607-'계산 과정'!$D$50+P607*('계산 과정'!$D$32-E607))+'계산 과정'!$E$47*(0-'계산 과정'!$E$50+P607*('계산 과정'!$E$32-0)),"")</x:f>
      </x:c>
      <x:c r="R607" s="4" t="str">
        <x:f>IF(AND(ISNUMBER(P607),P607&gt;1E-9,P607&lt;1-1E-9),'계산 과정'!$C$48*(D607-'계산 과정'!$C$50+P607*('계산 과정'!$C$32-D607))+'계산 과정'!$D$48*(E607-'계산 과정'!$D$50+P607*('계산 과정'!$D$32-E607))+'계산 과정'!$E$48*(0-'계산 과정'!$E$50+P607*('계산 과정'!$E$32-0)),"")</x:f>
      </x:c>
      <x:c r="S607" s="17" t="n">
        <x:f>IF('계산 과정'!$C$78,IF(AND(ISNUMBER(Q607),ISNUMBER(R607),ABS(Q607-'계산 과정'!$C$88)&lt;='계산 과정'!$D$23/2,ABS(R607-'계산 과정'!$C$89)&lt;='계산 과정'!$D$24/2),1,0),"")</x:f>
        <x:v>0</x:v>
      </x:c>
      <x:c r="T607" s="4"/>
      <x:c r="U607" s="4"/>
      <x:c r="V607" s="4"/>
      <x:c r="W607" s="4" t="n">
        <x:f>IF('계산 과정'!$C$78,'계산 과정'!$C$88+-1*'계산 과정'!$C$90/2,"")</x:f>
        <x:v>-152.30104978473645</x:v>
      </x:c>
      <x:c r="X607" s="4" t="str">
        <x:f>""</x:f>
      </x:c>
      <x:c r="Y607" s="4" t="str">
        <x:f>""</x:f>
      </x:c>
      <x:c r="Z607" s="4" t="n">
        <x:f>IF('계산 과정'!$C$78,'계산 과정'!$C$89+0.64*'계산 과정'!$C$91/2,"")</x:f>
        <x:v>160.38372499802682</x:v>
      </x:c>
    </x:row>
    <x:row r="608" ht="23" customHeight="1">
      <x:c r="A608" s="17" t="n">
        <x:f>ROW()-6</x:f>
        <x:v>602</x:v>
      </x:c>
      <x:c r="B608" s="4" t="n">
        <x:f>IF('계산 과정'!$L$5,'계산 과정'!$L$11*SQRT((A608+0.5)/'계산 과정'!$L$30),"")</x:f>
        <x:v>81.35885136426461</x:v>
      </x:c>
      <x:c r="C608" s="4" t="n">
        <x:f>A608*PI()*(3-SQRT(5))</x:f>
        <x:v>1444.777864296649</x:v>
      </x:c>
      <x:c r="D608" s="4" t="n">
        <x:f>IF('계산 과정'!$L$5,B608*COS(C608),"")</x:f>
        <x:v>76.29272923312091</x:v>
      </x:c>
      <x:c r="E608" s="4" t="n">
        <x:f>IF('계산 과정'!$L$5,B608*SIN(C608),"")</x:f>
        <x:v>-28.260965331605362</x:v>
      </x:c>
      <x:c r="F608" s="4" t="n">
        <x:f>IF('계산 과정'!$L$7,'계산 과정'!$L$22+'계산 과정'!$C$49*D608+'계산 과정'!$D$49*E608,"")</x:f>
        <x:v>596.0528938040311</x:v>
      </x:c>
      <x:c r="G608" s="4" t="n">
        <x:f>IF('계산 과정'!$L$7,IF(ABS(F608)&gt;=1E-12*MAX(1,SQRT((D608-'계산 과정'!$C$33)^2+(E608-'계산 과정'!$D$33)^2+'계산 과정'!$E$33^2)),('계산 과정'!$L$23-'계산 과정'!$C$49*D608-'계산 과정'!$D$49*E608)/F608,""),"")</x:f>
        <x:v>0.7615886289870386</x:v>
      </x:c>
      <x:c r="H608" s="4" t="n">
        <x:f>IF(AND(ISNUMBER(G608),G608&gt;0),('계산 과정'!$D$56+'계산 과정'!$D$57*D608+'계산 과정'!$D$58*E608)/F608,"")</x:f>
        <x:v>95.03260884157501</x:v>
      </x:c>
      <x:c r="I608" s="4" t="n">
        <x:f>IF(AND(ISNUMBER(G608),G608&gt;0),('계산 과정'!$E$56+'계산 과정'!$E$57*D608+'계산 과정'!$E$58*E608)/F608,"")</x:f>
        <x:v>-49.784195172352916</x:v>
      </x:c>
      <x:c r="J608" s="4" t="n">
        <x:f>IF('계산 과정'!$L$5,'계산 과정'!$D$6+'계산 과정'!$C$35*D608+'계산 과정'!$D$35*E608,"")</x:f>
        <x:v>596.0528938040311</x:v>
      </x:c>
      <x:c r="K608" s="4" t="n">
        <x:f>IF(AND('계산 과정'!$L$6,J608&gt;0),'계산 과정'!$D$10*('계산 과정'!$C$38*(D608-'계산 과정'!$C$32)+'계산 과정'!$D$38*(E608-'계산 과정'!$D$32)-'계산 과정'!$E$38*'계산 과정'!$E$32)/J608,"")</x:f>
        <x:v>0.7240579721262866</x:v>
      </x:c>
      <x:c r="L608" s="4" t="n">
        <x:f>IF(AND('계산 과정'!$L$6,J608&gt;0),'계산 과정'!$D$10*('계산 과정'!$C$39*(D608-'계산 과정'!$C$32)+'계산 과정'!$D$39*(E608-'계산 과정'!$D$32)-'계산 과정'!$E$39*'계산 과정'!$E$32)/J608,"")</x:f>
        <x:v>-0.37930815369411747</x:v>
      </x:c>
      <x:c r="M608" s="17" t="n">
        <x:f>IF('계산 과정'!$L$6,IF(J608&lt;=0,0,IF(AND(ABS(K608)&lt;='계산 과정'!$D$11/2,ABS(L608)&lt;='계산 과정'!$D$12/2),1,0)),"")</x:f>
        <x:v>1</x:v>
      </x:c>
      <x:c r="N608" s="17" t="n">
        <x:f>IF('계산 과정'!$C$78,IF(AND(ISNUMBER(H608),ISNUMBER(I608),ABS(H608-'계산 과정'!$C$88)&lt;='계산 과정'!$D$23/2,ABS(I608-'계산 과정'!$C$89)&lt;='계산 과정'!$D$24/2),1,0),"")</x:f>
        <x:v>1</x:v>
      </x:c>
      <x:c r="O608" s="4" t="n">
        <x:f>IF('계산 과정'!$L$7,'계산 과정'!$C$49*('계산 과정'!$C$32-D608)+'계산 과정'!$D$49*('계산 과정'!$D$32-E608)+'계산 과정'!$E$49*'계산 과정'!$E$32,"")</x:f>
        <x:v>53.94710619596907</x:v>
      </x:c>
      <x:c r="P608" s="4" t="n">
        <x:f>IF(AND('계산 과정'!$L$7,O608&lt;&gt;0),('계산 과정'!$L$23-'계산 과정'!$C$49*D608-'계산 과정'!$D$49*E608)/O608,"")</x:f>
        <x:v>8.41467018725627</x:v>
      </x:c>
      <x:c r="Q608" s="4" t="str">
        <x:f>IF(AND(ISNUMBER(P608),P608&gt;1E-9,P608&lt;1-1E-9),'계산 과정'!$C$47*(D608-'계산 과정'!$C$50+P608*('계산 과정'!$C$32-D608))+'계산 과정'!$D$47*(E608-'계산 과정'!$D$50+P608*('계산 과정'!$D$32-E608))+'계산 과정'!$E$47*(0-'계산 과정'!$E$50+P608*('계산 과정'!$E$32-0)),"")</x:f>
      </x:c>
      <x:c r="R608" s="4" t="str">
        <x:f>IF(AND(ISNUMBER(P608),P608&gt;1E-9,P608&lt;1-1E-9),'계산 과정'!$C$48*(D608-'계산 과정'!$C$50+P608*('계산 과정'!$C$32-D608))+'계산 과정'!$D$48*(E608-'계산 과정'!$D$50+P608*('계산 과정'!$D$32-E608))+'계산 과정'!$E$48*(0-'계산 과정'!$E$50+P608*('계산 과정'!$E$32-0)),"")</x:f>
      </x:c>
      <x:c r="S608" s="17" t="n">
        <x:f>IF('계산 과정'!$C$78,IF(AND(ISNUMBER(Q608),ISNUMBER(R608),ABS(Q608-'계산 과정'!$C$88)&lt;='계산 과정'!$D$23/2,ABS(R608-'계산 과정'!$C$89)&lt;='계산 과정'!$D$24/2),1,0),"")</x:f>
        <x:v>0</x:v>
      </x:c>
      <x:c r="T608" s="4"/>
      <x:c r="U608" s="4"/>
      <x:c r="V608" s="4"/>
      <x:c r="W608" s="4" t="n">
        <x:f>IF('계산 과정'!$C$78,'계산 과정'!$C$88+-1*'계산 과정'!$C$90/2,"")</x:f>
        <x:v>-152.30104978473645</x:v>
      </x:c>
      <x:c r="X608" s="4" t="str">
        <x:f>""</x:f>
      </x:c>
      <x:c r="Y608" s="4" t="str">
        <x:f>""</x:f>
      </x:c>
      <x:c r="Z608" s="4" t="n">
        <x:f>IF('계산 과정'!$C$78,'계산 과정'!$C$89+0.6*'계산 과정'!$C$91/2,"")</x:f>
        <x:v>150.35974218565013</x:v>
      </x:c>
    </x:row>
    <x:row r="609" ht="23" customHeight="1">
      <x:c r="A609" s="17" t="n">
        <x:f>ROW()-6</x:f>
        <x:v>603</x:v>
      </x:c>
      <x:c r="B609" s="4" t="n">
        <x:f>IF('계산 과정'!$L$5,'계산 과정'!$L$11*SQRT((A609+0.5)/'계산 과정'!$L$30),"")</x:f>
        <x:v>81.42634109081348</x:v>
      </x:c>
      <x:c r="C609" s="4" t="n">
        <x:f>A609*PI()*(3-SQRT(5))</x:f>
        <x:v>1447.1778275263778</x:v>
      </x:c>
      <x:c r="D609" s="4" t="n">
        <x:f>IF('계산 과정'!$L$5,B609*COS(C609),"")</x:f>
        <x:v>-37.19670663579325</x:v>
      </x:c>
      <x:c r="E609" s="4" t="n">
        <x:f>IF('계산 과정'!$L$5,B609*SIN(C609),"")</x:f>
        <x:v>72.43379072565672</x:v>
      </x:c>
      <x:c r="F609" s="4" t="n">
        <x:f>IF('계산 과정'!$L$7,'계산 과정'!$L$22+'계산 과정'!$C$49*D609+'계산 과정'!$D$49*E609,"")</x:f>
        <x:v>676.3020434999761</x:v>
      </x:c>
      <x:c r="G609" s="4" t="n">
        <x:f>IF('계산 과정'!$L$7,IF(ABS(F609)&gt;=1E-12*MAX(1,SQRT((D609-'계산 과정'!$C$33)^2+(E609-'계산 과정'!$D$33)^2+'계산 과정'!$E$33^2)),('계산 과정'!$L$23-'계산 과정'!$C$49*D609-'계산 과정'!$D$49*E609)/F609,""),"")</x:f>
        <x:v>0.5525607383441792</x:v>
      </x:c>
      <x:c r="H609" s="4" t="n">
        <x:f>IF(AND(ISNUMBER(G609),G609&gt;0),('계산 과정'!$D$56+'계산 과정'!$D$57*D609+'계산 과정'!$D$58*E609)/F609,"")</x:f>
        <x:v>-40.83552007628366</x:v>
      </x:c>
      <x:c r="I609" s="4" t="n">
        <x:f>IF(AND(ISNUMBER(G609),G609&gt;0),('계산 과정'!$E$56+'계산 과정'!$E$57*D609+'계산 과정'!$E$58*E609)/F609,"")</x:f>
        <x:v>112.45785961009337</x:v>
      </x:c>
      <x:c r="J609" s="4" t="n">
        <x:f>IF('계산 과정'!$L$5,'계산 과정'!$D$6+'계산 과정'!$C$35*D609+'계산 과정'!$D$35*E609,"")</x:f>
        <x:v>676.3020434999761</x:v>
      </x:c>
      <x:c r="K609" s="4" t="n">
        <x:f>IF(AND('계산 과정'!$L$6,J609&gt;0),'계산 과정'!$D$10*('계산 과정'!$C$38*(D609-'계산 과정'!$C$32)+'계산 과정'!$D$38*(E609-'계산 과정'!$D$32)-'계산 과정'!$E$38*'계산 과정'!$E$32)/J609,"")</x:f>
        <x:v>-0.31112777200977915</x:v>
      </x:c>
      <x:c r="L609" s="4" t="n">
        <x:f>IF(AND('계산 과정'!$L$6,J609&gt;0),'계산 과정'!$D$10*('계산 과정'!$C$39*(D609-'계산 과정'!$C$32)+'계산 과정'!$D$39*(E609-'계산 과정'!$D$32)-'계산 과정'!$E$39*'계산 과정'!$E$32)/J609,"")</x:f>
        <x:v>0.8568217875054731</x:v>
      </x:c>
      <x:c r="M609" s="17" t="n">
        <x:f>IF('계산 과정'!$L$6,IF(J609&lt;=0,0,IF(AND(ABS(K609)&lt;='계산 과정'!$D$11/2,ABS(L609)&lt;='계산 과정'!$D$12/2),1,0)),"")</x:f>
        <x:v>1</x:v>
      </x:c>
      <x:c r="N609" s="17" t="n">
        <x:f>IF('계산 과정'!$C$78,IF(AND(ISNUMBER(H609),ISNUMBER(I609),ABS(H609-'계산 과정'!$C$88)&lt;='계산 과정'!$D$23/2,ABS(I609-'계산 과정'!$C$89)&lt;='계산 과정'!$D$24/2),1,0),"")</x:f>
        <x:v>1</x:v>
      </x:c>
      <x:c r="O609" s="4" t="n">
        <x:f>IF('계산 과정'!$L$7,'계산 과정'!$C$49*('계산 과정'!$C$32-D609)+'계산 과정'!$D$49*('계산 과정'!$D$32-E609)+'계산 과정'!$E$49*'계산 과정'!$E$32,"")</x:f>
        <x:v>-26.302043499975923</x:v>
      </x:c>
      <x:c r="P609" s="4" t="n">
        <x:f>IF(AND('계산 과정'!$L$7,O609&lt;&gt;0),('계산 과정'!$L$23-'계산 과정'!$C$49*D609-'계산 과정'!$D$49*E609)/O609,"")</x:f>
        <x:v>-14.207943823846465</x:v>
      </x:c>
      <x:c r="Q609" s="4" t="str">
        <x:f>IF(AND(ISNUMBER(P609),P609&gt;1E-9,P609&lt;1-1E-9),'계산 과정'!$C$47*(D609-'계산 과정'!$C$50+P609*('계산 과정'!$C$32-D609))+'계산 과정'!$D$47*(E609-'계산 과정'!$D$50+P609*('계산 과정'!$D$32-E609))+'계산 과정'!$E$47*(0-'계산 과정'!$E$50+P609*('계산 과정'!$E$32-0)),"")</x:f>
      </x:c>
      <x:c r="R609" s="4" t="str">
        <x:f>IF(AND(ISNUMBER(P609),P609&gt;1E-9,P609&lt;1-1E-9),'계산 과정'!$C$48*(D609-'계산 과정'!$C$50+P609*('계산 과정'!$C$32-D609))+'계산 과정'!$D$48*(E609-'계산 과정'!$D$50+P609*('계산 과정'!$D$32-E609))+'계산 과정'!$E$48*(0-'계산 과정'!$E$50+P609*('계산 과정'!$E$32-0)),"")</x:f>
      </x:c>
      <x:c r="S609" s="17" t="n">
        <x:f>IF('계산 과정'!$C$78,IF(AND(ISNUMBER(Q609),ISNUMBER(R609),ABS(Q609-'계산 과정'!$C$88)&lt;='계산 과정'!$D$23/2,ABS(R609-'계산 과정'!$C$89)&lt;='계산 과정'!$D$24/2),1,0),"")</x:f>
        <x:v>0</x:v>
      </x:c>
      <x:c r="T609" s="4"/>
      <x:c r="U609" s="4"/>
      <x:c r="V609" s="4"/>
      <x:c r="W609" s="4" t="n">
        <x:f>IF('계산 과정'!$C$78,'계산 과정'!$C$88+-1*'계산 과정'!$C$90/2,"")</x:f>
        <x:v>-152.30104978473645</x:v>
      </x:c>
      <x:c r="X609" s="4" t="str">
        <x:f>""</x:f>
      </x:c>
      <x:c r="Y609" s="4" t="str">
        <x:f>""</x:f>
      </x:c>
      <x:c r="Z609" s="4" t="n">
        <x:f>IF('계산 과정'!$C$78,'계산 과정'!$C$89+0.56*'계산 과정'!$C$91/2,"")</x:f>
        <x:v>140.33575937327348</x:v>
      </x:c>
    </x:row>
    <x:row r="610" ht="23" customHeight="1">
      <x:c r="A610" s="17" t="n">
        <x:f>ROW()-6</x:f>
        <x:v>604</x:v>
      </x:c>
      <x:c r="B610" s="4" t="n">
        <x:f>IF('계산 과정'!$L$5,'계산 과정'!$L$11*SQRT((A610+0.5)/'계산 과정'!$L$30),"")</x:f>
        <x:v>81.4937749252205</x:v>
      </x:c>
      <x:c r="C610" s="4" t="n">
        <x:f>A610*PI()*(3-SQRT(5))</x:f>
        <x:v>1449.5777907561062</x:v>
      </x:c>
      <x:c r="D610" s="4" t="n">
        <x:f>IF('계산 과정'!$L$5,B610*COS(C610),"")</x:f>
        <x:v>-21.51843467832221</x:v>
      </x:c>
      <x:c r="E610" s="4" t="n">
        <x:f>IF('계산 과정'!$L$5,B610*SIN(C610),"")</x:f>
        <x:v>-78.60147785224702</x:v>
      </x:c>
      <x:c r="F610" s="4" t="n">
        <x:f>IF('계산 과정'!$L$7,'계산 과정'!$L$22+'계산 과정'!$C$49*D610+'계산 과정'!$D$49*E610,"")</x:f>
        <x:v>665.2158310815614</x:v>
      </x:c>
      <x:c r="G610" s="4" t="n">
        <x:f>IF('계산 과정'!$L$7,IF(ABS(F610)&gt;=1E-12*MAX(1,SQRT((D610-'계산 과정'!$C$33)^2+(E610-'계산 과정'!$D$33)^2+'계산 과정'!$E$33^2)),('계산 과정'!$L$23-'계산 과정'!$C$49*D610-'계산 과정'!$D$49*E610)/F610,""),"")</x:f>
        <x:v>0.5784350746626482</x:v>
      </x:c>
      <x:c r="H610" s="4" t="n">
        <x:f>IF(AND(ISNUMBER(G610),G610&gt;0),('계산 과정'!$D$56+'계산 과정'!$D$57*D610+'계산 과정'!$D$58*E610)/F610,"")</x:f>
        <x:v>-24.017201469278728</x:v>
      </x:c>
      <x:c r="I610" s="4" t="n">
        <x:f>IF(AND(ISNUMBER(G610),G610&gt;0),('계산 과정'!$E$56+'계산 과정'!$E$57*D610+'계산 과정'!$E$58*E610)/F610,"")</x:f>
        <x:v>-124.067329562306</x:v>
      </x:c>
      <x:c r="J610" s="4" t="n">
        <x:f>IF('계산 과정'!$L$5,'계산 과정'!$D$6+'계산 과정'!$C$35*D610+'계산 과정'!$D$35*E610,"")</x:f>
        <x:v>665.2158310815614</x:v>
      </x:c>
      <x:c r="K610" s="4" t="n">
        <x:f>IF(AND('계산 과정'!$L$6,J610&gt;0),'계산 과정'!$D$10*('계산 과정'!$C$38*(D610-'계산 과정'!$C$32)+'계산 과정'!$D$38*(E610-'계산 과정'!$D$32)-'계산 과정'!$E$38*'계산 과정'!$E$32)/J610,"")</x:f>
        <x:v>-0.18298820167069374</x:v>
      </x:c>
      <x:c r="L610" s="4" t="n">
        <x:f>IF(AND('계산 과정'!$L$6,J610&gt;0),'계산 과정'!$D$10*('계산 과정'!$C$39*(D610-'계산 과정'!$C$32)+'계산 과정'!$D$39*(E610-'계산 과정'!$D$32)-'계산 과정'!$E$39*'계산 과정'!$E$32)/J610,"")</x:f>
        <x:v>-0.9452748919032838</x:v>
      </x:c>
      <x:c r="M610" s="17" t="n">
        <x:f>IF('계산 과정'!$L$6,IF(J610&lt;=0,0,IF(AND(ABS(K610)&lt;='계산 과정'!$D$11/2,ABS(L610)&lt;='계산 과정'!$D$12/2),1,0)),"")</x:f>
        <x:v>1</x:v>
      </x:c>
      <x:c r="N610" s="17" t="n">
        <x:f>IF('계산 과정'!$C$78,IF(AND(ISNUMBER(H610),ISNUMBER(I610),ABS(H610-'계산 과정'!$C$88)&lt;='계산 과정'!$D$23/2,ABS(I610-'계산 과정'!$C$89)&lt;='계산 과정'!$D$24/2),1,0),"")</x:f>
        <x:v>1</x:v>
      </x:c>
      <x:c r="O610" s="4" t="n">
        <x:f>IF('계산 과정'!$L$7,'계산 과정'!$C$49*('계산 과정'!$C$32-D610)+'계산 과정'!$D$49*('계산 과정'!$D$32-E610)+'계산 과정'!$E$49*'계산 과정'!$E$32,"")</x:f>
        <x:v>-15.215831081561248</x:v>
      </x:c>
      <x:c r="P610" s="4" t="n">
        <x:f>IF(AND('계산 과정'!$L$7,O610&lt;&gt;0),('계산 과정'!$L$23-'계산 과정'!$C$49*D610-'계산 과정'!$D$49*E610)/O610,"")</x:f>
        <x:v>-25.28840960811699</x:v>
      </x:c>
      <x:c r="Q610" s="4" t="str">
        <x:f>IF(AND(ISNUMBER(P610),P610&gt;1E-9,P610&lt;1-1E-9),'계산 과정'!$C$47*(D610-'계산 과정'!$C$50+P610*('계산 과정'!$C$32-D610))+'계산 과정'!$D$47*(E610-'계산 과정'!$D$50+P610*('계산 과정'!$D$32-E610))+'계산 과정'!$E$47*(0-'계산 과정'!$E$50+P610*('계산 과정'!$E$32-0)),"")</x:f>
      </x:c>
      <x:c r="R610" s="4" t="str">
        <x:f>IF(AND(ISNUMBER(P610),P610&gt;1E-9,P610&lt;1-1E-9),'계산 과정'!$C$48*(D610-'계산 과정'!$C$50+P610*('계산 과정'!$C$32-D610))+'계산 과정'!$D$48*(E610-'계산 과정'!$D$50+P610*('계산 과정'!$D$32-E610))+'계산 과정'!$E$48*(0-'계산 과정'!$E$50+P610*('계산 과정'!$E$32-0)),"")</x:f>
      </x:c>
      <x:c r="S610" s="17" t="n">
        <x:f>IF('계산 과정'!$C$78,IF(AND(ISNUMBER(Q610),ISNUMBER(R610),ABS(Q610-'계산 과정'!$C$88)&lt;='계산 과정'!$D$23/2,ABS(R610-'계산 과정'!$C$89)&lt;='계산 과정'!$D$24/2),1,0),"")</x:f>
        <x:v>0</x:v>
      </x:c>
      <x:c r="T610" s="4"/>
      <x:c r="U610" s="4"/>
      <x:c r="V610" s="4"/>
      <x:c r="W610" s="4" t="n">
        <x:f>IF('계산 과정'!$C$78,'계산 과정'!$C$88+-1*'계산 과정'!$C$90/2,"")</x:f>
        <x:v>-152.30104978473645</x:v>
      </x:c>
      <x:c r="X610" s="4" t="str">
        <x:f>""</x:f>
      </x:c>
      <x:c r="Y610" s="4" t="str">
        <x:f>""</x:f>
      </x:c>
      <x:c r="Z610" s="4" t="n">
        <x:f>IF('계산 과정'!$C$78,'계산 과정'!$C$89+0.52*'계산 과정'!$C$91/2,"")</x:f>
        <x:v>130.3117765608968</x:v>
      </x:c>
    </x:row>
    <x:row r="611" ht="23" customHeight="1">
      <x:c r="A611" s="17" t="n">
        <x:f>ROW()-6</x:f>
        <x:v>605</x:v>
      </x:c>
      <x:c r="B611" s="4" t="n">
        <x:f>IF('계산 과정'!$L$5,'계산 과정'!$L$11*SQRT((A611+0.5)/'계산 과정'!$L$30),"")</x:f>
        <x:v>81.56115300611866</x:v>
      </x:c>
      <x:c r="C611" s="4" t="n">
        <x:f>A611*PI()*(3-SQRT(5))</x:f>
        <x:v>1451.977753985835</x:v>
      </x:c>
      <x:c r="D611" s="4" t="n">
        <x:f>IF('계산 과정'!$L$5,B611*COS(C611),"")</x:f>
        <x:v>69.01857603519419</x:v>
      </x:c>
      <x:c r="E611" s="4" t="n">
        <x:f>IF('계산 과정'!$L$5,B611*SIN(C611),"")</x:f>
        <x:v>43.45869121086849</x:v>
      </x:c>
      <x:c r="F611" s="4" t="n">
        <x:f>IF('계산 과정'!$L$7,'계산 과정'!$L$22+'계산 과정'!$C$49*D611+'계산 과정'!$D$49*E611,"")</x:f>
        <x:v>601.1964968576749</x:v>
      </x:c>
      <x:c r="G611" s="4" t="n">
        <x:f>IF('계산 과정'!$L$7,IF(ABS(F611)&gt;=1E-12*MAX(1,SQRT((D611-'계산 과정'!$C$33)^2+(E611-'계산 과정'!$D$33)^2+'계산 과정'!$E$33^2)),('계산 과정'!$L$23-'계산 과정'!$C$49*D611-'계산 과정'!$D$49*E611)/F611,""),"")</x:f>
        <x:v>0.7465171628379819</x:v>
      </x:c>
      <x:c r="H611" s="4" t="n">
        <x:f>IF(AND(ISNUMBER(G611),G611&gt;0),('계산 과정'!$D$56+'계산 과정'!$D$57*D611+'계산 과정'!$D$58*E611)/F611,"")</x:f>
        <x:v>85.23615584468814</x:v>
      </x:c>
      <x:c r="I611" s="4" t="n">
        <x:f>IF(AND(ISNUMBER(G611),G611&gt;0),('계산 과정'!$E$56+'계산 과정'!$E$57*D611+'계산 과정'!$E$58*E611)/F611,"")</x:f>
        <x:v>75.90135007425796</x:v>
      </x:c>
      <x:c r="J611" s="4" t="n">
        <x:f>IF('계산 과정'!$L$5,'계산 과정'!$D$6+'계산 과정'!$C$35*D611+'계산 과정'!$D$35*E611,"")</x:f>
        <x:v>601.1964968576749</x:v>
      </x:c>
      <x:c r="K611" s="4" t="n">
        <x:f>IF(AND('계산 과정'!$L$6,J611&gt;0),'계산 과정'!$D$10*('계산 과정'!$C$38*(D611-'계산 과정'!$C$32)+'계산 과정'!$D$38*(E611-'계산 과정'!$D$32)-'계산 과정'!$E$38*'계산 과정'!$E$32)/J611,"")</x:f>
        <x:v>0.6494183302452439</x:v>
      </x:c>
      <x:c r="L611" s="4" t="n">
        <x:f>IF(AND('계산 과정'!$L$6,J611&gt;0),'계산 과정'!$D$10*('계산 과정'!$C$39*(D611-'계산 과정'!$C$32)+'계산 과정'!$D$39*(E611-'계산 과정'!$D$32)-'계산 과정'!$E$39*'계산 과정'!$E$32)/J611,"")</x:f>
        <x:v>0.578296000565775</x:v>
      </x:c>
      <x:c r="M611" s="17" t="n">
        <x:f>IF('계산 과정'!$L$6,IF(J611&lt;=0,0,IF(AND(ABS(K611)&lt;='계산 과정'!$D$11/2,ABS(L611)&lt;='계산 과정'!$D$12/2),1,0)),"")</x:f>
        <x:v>1</x:v>
      </x:c>
      <x:c r="N611" s="17" t="n">
        <x:f>IF('계산 과정'!$C$78,IF(AND(ISNUMBER(H611),ISNUMBER(I611),ABS(H611-'계산 과정'!$C$88)&lt;='계산 과정'!$D$23/2,ABS(I611-'계산 과정'!$C$89)&lt;='계산 과정'!$D$24/2),1,0),"")</x:f>
        <x:v>1</x:v>
      </x:c>
      <x:c r="O611" s="4" t="n">
        <x:f>IF('계산 과정'!$L$7,'계산 과정'!$C$49*('계산 과정'!$C$32-D611)+'계산 과정'!$D$49*('계산 과정'!$D$32-E611)+'계산 과정'!$E$49*'계산 과정'!$E$32,"")</x:f>
        <x:v>48.80350314232527</x:v>
      </x:c>
      <x:c r="P611" s="4" t="n">
        <x:f>IF(AND('계산 과정'!$L$7,O611&lt;&gt;0),('계산 과정'!$L$23-'계산 과정'!$C$49*D611-'계산 과정'!$D$49*E611)/O611,"")</x:f>
        <x:v>9.196132946306806</x:v>
      </x:c>
      <x:c r="Q611" s="4" t="str">
        <x:f>IF(AND(ISNUMBER(P611),P611&gt;1E-9,P611&lt;1-1E-9),'계산 과정'!$C$47*(D611-'계산 과정'!$C$50+P611*('계산 과정'!$C$32-D611))+'계산 과정'!$D$47*(E611-'계산 과정'!$D$50+P611*('계산 과정'!$D$32-E611))+'계산 과정'!$E$47*(0-'계산 과정'!$E$50+P611*('계산 과정'!$E$32-0)),"")</x:f>
      </x:c>
      <x:c r="R611" s="4" t="str">
        <x:f>IF(AND(ISNUMBER(P611),P611&gt;1E-9,P611&lt;1-1E-9),'계산 과정'!$C$48*(D611-'계산 과정'!$C$50+P611*('계산 과정'!$C$32-D611))+'계산 과정'!$D$48*(E611-'계산 과정'!$D$50+P611*('계산 과정'!$D$32-E611))+'계산 과정'!$E$48*(0-'계산 과정'!$E$50+P611*('계산 과정'!$E$32-0)),"")</x:f>
      </x:c>
      <x:c r="S611" s="17" t="n">
        <x:f>IF('계산 과정'!$C$78,IF(AND(ISNUMBER(Q611),ISNUMBER(R611),ABS(Q611-'계산 과정'!$C$88)&lt;='계산 과정'!$D$23/2,ABS(R611-'계산 과정'!$C$89)&lt;='계산 과정'!$D$24/2),1,0),"")</x:f>
        <x:v>0</x:v>
      </x:c>
      <x:c r="T611" s="4"/>
      <x:c r="U611" s="4"/>
      <x:c r="V611" s="4"/>
      <x:c r="W611" s="4" t="n">
        <x:f>IF('계산 과정'!$C$78,'계산 과정'!$C$88+-1*'계산 과정'!$C$90/2,"")</x:f>
        <x:v>-152.30104978473645</x:v>
      </x:c>
      <x:c r="X611" s="4" t="str">
        <x:f>""</x:f>
      </x:c>
      <x:c r="Y611" s="4" t="str">
        <x:f>""</x:f>
      </x:c>
      <x:c r="Z611" s="4" t="n">
        <x:f>IF('계산 과정'!$C$78,'계산 과정'!$C$89+0.48*'계산 과정'!$C$91/2,"")</x:f>
        <x:v>120.2877937485201</x:v>
      </x:c>
    </x:row>
    <x:row r="612" ht="23" customHeight="1">
      <x:c r="A612" s="17" t="n">
        <x:f>ROW()-6</x:f>
        <x:v>606</x:v>
      </x:c>
      <x:c r="B612" s="4" t="n">
        <x:f>IF('계산 과정'!$L$5,'계산 과정'!$L$11*SQRT((A612+0.5)/'계산 과정'!$L$30),"")</x:f>
        <x:v>81.62847547156873</x:v>
      </x:c>
      <x:c r="C612" s="4" t="n">
        <x:f>A612*PI()*(3-SQRT(5))</x:f>
        <x:v>1454.3777172155635</x:v>
      </x:c>
      <x:c r="D612" s="4" t="n">
        <x:f>IF('계산 과정'!$L$5,B612*COS(C612),"")</x:f>
        <x:v>-80.31431271157174</x:v>
      </x:c>
      <x:c r="E612" s="4" t="n">
        <x:f>IF('계산 과정'!$L$5,B612*SIN(C612),"")</x:f>
        <x:v>14.588323463659673</x:v>
      </x:c>
      <x:c r="F612" s="4" t="n">
        <x:f>IF('계산 과정'!$L$7,'계산 과정'!$L$22+'계산 과정'!$C$49*D612+'계산 과정'!$D$49*E612,"")</x:f>
        <x:v>706.7907951446894</x:v>
      </x:c>
      <x:c r="G612" s="4" t="n">
        <x:f>IF('계산 과정'!$L$7,IF(ABS(F612)&gt;=1E-12*MAX(1,SQRT((D612-'계산 과정'!$C$33)^2+(E612-'계산 과정'!$D$33)^2+'계산 과정'!$E$33^2)),('계산 과정'!$L$23-'계산 과정'!$C$49*D612-'계산 과정'!$D$49*E612)/F612,""),"")</x:f>
        <x:v>0.48558810784321443</x:v>
      </x:c>
      <x:c r="H612" s="4" t="n">
        <x:f>IF(AND(ISNUMBER(G612),G612&gt;0),('계산 과정'!$D$56+'계산 과정'!$D$57*D612+'계산 과정'!$D$58*E612)/F612,"")</x:f>
        <x:v>-84.36772990191072</x:v>
      </x:c>
      <x:c r="I612" s="4" t="n">
        <x:f>IF(AND(ISNUMBER(G612),G612&gt;0),('계산 과정'!$E$56+'계산 과정'!$E$57*D612+'계산 과정'!$E$58*E612)/F612,"")</x:f>
        <x:v>21.67223985098294</x:v>
      </x:c>
      <x:c r="J612" s="4" t="n">
        <x:f>IF('계산 과정'!$L$5,'계산 과정'!$D$6+'계산 과정'!$C$35*D612+'계산 과정'!$D$35*E612,"")</x:f>
        <x:v>706.7907951446894</x:v>
      </x:c>
      <x:c r="K612" s="4" t="n">
        <x:f>IF(AND('계산 과정'!$L$6,J612&gt;0),'계산 과정'!$D$10*('계산 과정'!$C$38*(D612-'계산 과정'!$C$32)+'계산 과정'!$D$38*(E612-'계산 과정'!$D$32)-'계산 과정'!$E$38*'계산 과정'!$E$32)/J612,"")</x:f>
        <x:v>-0.6428017516336044</x:v>
      </x:c>
      <x:c r="L612" s="4" t="n">
        <x:f>IF(AND('계산 과정'!$L$6,J612&gt;0),'계산 과정'!$D$10*('계산 과정'!$C$39*(D612-'계산 과정'!$C$32)+'계산 과정'!$D$39*(E612-'계산 과정'!$D$32)-'계산 과정'!$E$39*'계산 과정'!$E$32)/J612,"")</x:f>
        <x:v>0.1651218274360605</x:v>
      </x:c>
      <x:c r="M612" s="17" t="n">
        <x:f>IF('계산 과정'!$L$6,IF(J612&lt;=0,0,IF(AND(ABS(K612)&lt;='계산 과정'!$D$11/2,ABS(L612)&lt;='계산 과정'!$D$12/2),1,0)),"")</x:f>
        <x:v>1</x:v>
      </x:c>
      <x:c r="N612" s="17" t="n">
        <x:f>IF('계산 과정'!$C$78,IF(AND(ISNUMBER(H612),ISNUMBER(I612),ABS(H612-'계산 과정'!$C$88)&lt;='계산 과정'!$D$23/2,ABS(I612-'계산 과정'!$C$89)&lt;='계산 과정'!$D$24/2),1,0),"")</x:f>
        <x:v>1</x:v>
      </x:c>
      <x:c r="O612" s="4" t="n">
        <x:f>IF('계산 과정'!$L$7,'계산 과정'!$C$49*('계산 과정'!$C$32-D612)+'계산 과정'!$D$49*('계산 과정'!$D$32-E612)+'계산 과정'!$E$49*'계산 과정'!$E$32,"")</x:f>
        <x:v>-56.79079514468913</x:v>
      </x:c>
      <x:c r="P612" s="4" t="n">
        <x:f>IF(AND('계산 과정'!$L$7,O612&lt;&gt;0),('계산 과정'!$L$23-'계산 과정'!$C$49*D612-'계산 과정'!$D$49*E612)/O612,"")</x:f>
        <x:v>-6.043394954779153</x:v>
      </x:c>
      <x:c r="Q612" s="4" t="str">
        <x:f>IF(AND(ISNUMBER(P612),P612&gt;1E-9,P612&lt;1-1E-9),'계산 과정'!$C$47*(D612-'계산 과정'!$C$50+P612*('계산 과정'!$C$32-D612))+'계산 과정'!$D$47*(E612-'계산 과정'!$D$50+P612*('계산 과정'!$D$32-E612))+'계산 과정'!$E$47*(0-'계산 과정'!$E$50+P612*('계산 과정'!$E$32-0)),"")</x:f>
      </x:c>
      <x:c r="R612" s="4" t="str">
        <x:f>IF(AND(ISNUMBER(P612),P612&gt;1E-9,P612&lt;1-1E-9),'계산 과정'!$C$48*(D612-'계산 과정'!$C$50+P612*('계산 과정'!$C$32-D612))+'계산 과정'!$D$48*(E612-'계산 과정'!$D$50+P612*('계산 과정'!$D$32-E612))+'계산 과정'!$E$48*(0-'계산 과정'!$E$50+P612*('계산 과정'!$E$32-0)),"")</x:f>
      </x:c>
      <x:c r="S612" s="17" t="n">
        <x:f>IF('계산 과정'!$C$78,IF(AND(ISNUMBER(Q612),ISNUMBER(R612),ABS(Q612-'계산 과정'!$C$88)&lt;='계산 과정'!$D$23/2,ABS(R612-'계산 과정'!$C$89)&lt;='계산 과정'!$D$24/2),1,0),"")</x:f>
        <x:v>0</x:v>
      </x:c>
      <x:c r="T612" s="4"/>
      <x:c r="U612" s="4"/>
      <x:c r="V612" s="4"/>
      <x:c r="W612" s="4" t="n">
        <x:f>IF('계산 과정'!$C$78,'계산 과정'!$C$88+-1*'계산 과정'!$C$90/2,"")</x:f>
        <x:v>-152.30104978473645</x:v>
      </x:c>
      <x:c r="X612" s="4" t="str">
        <x:f>""</x:f>
      </x:c>
      <x:c r="Y612" s="4" t="str">
        <x:f>""</x:f>
      </x:c>
      <x:c r="Z612" s="4" t="n">
        <x:f>IF('계산 과정'!$C$78,'계산 과정'!$C$89+0.43999999999999995*'계산 과정'!$C$91/2,"")</x:f>
        <x:v>110.26381093614341</x:v>
      </x:c>
    </x:row>
    <x:row r="613" ht="23" customHeight="1">
      <x:c r="A613" s="17" t="n">
        <x:f>ROW()-6</x:f>
        <x:v>607</x:v>
      </x:c>
      <x:c r="B613" s="4" t="n">
        <x:f>IF('계산 과정'!$L$5,'계산 과정'!$L$11*SQRT((A613+0.5)/'계산 과정'!$L$30),"")</x:f>
        <x:v>81.69574245906269</x:v>
      </x:c>
      <x:c r="C613" s="4" t="n">
        <x:f>A613*PI()*(3-SQRT(5))</x:f>
        <x:v>1456.7776804452924</x:v>
      </x:c>
      <x:c r="D613" s="4" t="n">
        <x:f>IF('계산 과정'!$L$5,B613*COS(C613),"")</x:f>
        <x:v>49.4076852583148</x:v>
      </x:c>
      <x:c r="E613" s="4" t="n">
        <x:f>IF('계산 과정'!$L$5,B613*SIN(C613),"")</x:f>
        <x:v>-65.06208552876859</x:v>
      </x:c>
      <x:c r="F613" s="4" t="n">
        <x:f>IF('계산 과정'!$L$7,'계산 과정'!$L$22+'계산 과정'!$C$49*D613+'계산 과정'!$D$49*E613,"")</x:f>
        <x:v>615.063490711115</x:v>
      </x:c>
      <x:c r="G613" s="4" t="n">
        <x:f>IF('계산 과정'!$L$7,IF(ABS(F613)&gt;=1E-12*MAX(1,SQRT((D613-'계산 과정'!$C$33)^2+(E613-'계산 과정'!$D$33)^2+'계산 과정'!$E$33^2)),('계산 과정'!$L$23-'계산 과정'!$C$49*D613-'계산 과정'!$D$49*E613)/F613,""),"")</x:f>
        <x:v>0.707140833194353</x:v>
      </x:c>
      <x:c r="H613" s="4" t="n">
        <x:f>IF(AND(ISNUMBER(G613),G613&gt;0),('계산 과정'!$D$56+'계산 과정'!$D$57*D613+'계산 과정'!$D$58*E613)/F613,"")</x:f>
        <x:v>59.64154157632931</x:v>
      </x:c>
      <x:c r="I613" s="4" t="n">
        <x:f>IF(AND(ISNUMBER(G613),G613&gt;0),('계산 과정'!$E$56+'계산 과정'!$E$57*D613+'계산 과정'!$E$58*E613)/F613,"")</x:f>
        <x:v>-111.07014289894425</x:v>
      </x:c>
      <x:c r="J613" s="4" t="n">
        <x:f>IF('계산 과정'!$L$5,'계산 과정'!$D$6+'계산 과정'!$C$35*D613+'계산 과정'!$D$35*E613,"")</x:f>
        <x:v>615.063490711115</x:v>
      </x:c>
      <x:c r="K613" s="4" t="n">
        <x:f>IF(AND('계산 과정'!$L$6,J613&gt;0),'계산 과정'!$D$10*('계산 과정'!$C$38*(D613-'계산 과정'!$C$32)+'계산 과정'!$D$38*(E613-'계산 과정'!$D$32)-'계산 과정'!$E$38*'계산 과정'!$E$32)/J613,"")</x:f>
        <x:v>0.45441174534346224</x:v>
      </x:c>
      <x:c r="L613" s="4" t="n">
        <x:f>IF(AND('계산 과정'!$L$6,J613&gt;0),'계산 과정'!$D$10*('계산 과정'!$C$39*(D613-'계산 과정'!$C$32)+'계산 과정'!$D$39*(E613-'계산 과정'!$D$32)-'계산 과정'!$E$39*'계산 과정'!$E$32)/J613,"")</x:f>
        <x:v>-0.8462487078014801</x:v>
      </x:c>
      <x:c r="M613" s="17" t="n">
        <x:f>IF('계산 과정'!$L$6,IF(J613&lt;=0,0,IF(AND(ABS(K613)&lt;='계산 과정'!$D$11/2,ABS(L613)&lt;='계산 과정'!$D$12/2),1,0)),"")</x:f>
        <x:v>1</x:v>
      </x:c>
      <x:c r="N613" s="17" t="n">
        <x:f>IF('계산 과정'!$C$78,IF(AND(ISNUMBER(H613),ISNUMBER(I613),ABS(H613-'계산 과정'!$C$88)&lt;='계산 과정'!$D$23/2,ABS(I613-'계산 과정'!$C$89)&lt;='계산 과정'!$D$24/2),1,0),"")</x:f>
        <x:v>1</x:v>
      </x:c>
      <x:c r="O613" s="4" t="n">
        <x:f>IF('계산 과정'!$L$7,'계산 과정'!$C$49*('계산 과정'!$C$32-D613)+'계산 과정'!$D$49*('계산 과정'!$D$32-E613)+'계산 과정'!$E$49*'계산 과정'!$E$32,"")</x:f>
        <x:v>34.936509288885134</x:v>
      </x:c>
      <x:c r="P613" s="4" t="n">
        <x:f>IF(AND('계산 과정'!$L$7,O613&lt;&gt;0),('계산 과정'!$L$23-'계산 과정'!$C$49*D613-'계산 과정'!$D$49*E613)/O613,"")</x:f>
        <x:v>12.449340765342512</x:v>
      </x:c>
      <x:c r="Q613" s="4" t="str">
        <x:f>IF(AND(ISNUMBER(P613),P613&gt;1E-9,P613&lt;1-1E-9),'계산 과정'!$C$47*(D613-'계산 과정'!$C$50+P613*('계산 과정'!$C$32-D613))+'계산 과정'!$D$47*(E613-'계산 과정'!$D$50+P613*('계산 과정'!$D$32-E613))+'계산 과정'!$E$47*(0-'계산 과정'!$E$50+P613*('계산 과정'!$E$32-0)),"")</x:f>
      </x:c>
      <x:c r="R613" s="4" t="str">
        <x:f>IF(AND(ISNUMBER(P613),P613&gt;1E-9,P613&lt;1-1E-9),'계산 과정'!$C$48*(D613-'계산 과정'!$C$50+P613*('계산 과정'!$C$32-D613))+'계산 과정'!$D$48*(E613-'계산 과정'!$D$50+P613*('계산 과정'!$D$32-E613))+'계산 과정'!$E$48*(0-'계산 과정'!$E$50+P613*('계산 과정'!$E$32-0)),"")</x:f>
      </x:c>
      <x:c r="S613" s="17" t="n">
        <x:f>IF('계산 과정'!$C$78,IF(AND(ISNUMBER(Q613),ISNUMBER(R613),ABS(Q613-'계산 과정'!$C$88)&lt;='계산 과정'!$D$23/2,ABS(R613-'계산 과정'!$C$89)&lt;='계산 과정'!$D$24/2),1,0),"")</x:f>
        <x:v>0</x:v>
      </x:c>
      <x:c r="T613" s="4"/>
      <x:c r="U613" s="4"/>
      <x:c r="V613" s="4"/>
      <x:c r="W613" s="4" t="n">
        <x:f>IF('계산 과정'!$C$78,'계산 과정'!$C$88+-1*'계산 과정'!$C$90/2,"")</x:f>
        <x:v>-152.30104978473645</x:v>
      </x:c>
      <x:c r="X613" s="4" t="str">
        <x:f>""</x:f>
      </x:c>
      <x:c r="Y613" s="4" t="str">
        <x:f>""</x:f>
      </x:c>
      <x:c r="Z613" s="4" t="n">
        <x:f>IF('계산 과정'!$C$78,'계산 과정'!$C$89+0.4*'계산 과정'!$C$91/2,"")</x:f>
        <x:v>100.23982812376676</x:v>
      </x:c>
    </x:row>
    <x:row r="614" ht="23" customHeight="1">
      <x:c r="A614" s="17" t="n">
        <x:f>ROW()-6</x:f>
        <x:v>608</x:v>
      </x:c>
      <x:c r="B614" s="4" t="n">
        <x:f>IF('계산 과정'!$L$5,'계산 과정'!$L$11*SQRT((A614+0.5)/'계산 과정'!$L$30),"")</x:f>
        <x:v>81.76295410552692</x:v>
      </x:c>
      <x:c r="C614" s="4" t="n">
        <x:f>A614*PI()*(3-SQRT(5))</x:f>
        <x:v>1459.1776436750208</x:v>
      </x:c>
      <x:c r="D614" s="4" t="n">
        <x:f>IF('계산 과정'!$L$5,B614*COS(C614),"")</x:f>
        <x:v>7.523302236049717</x:v>
      </x:c>
      <x:c r="E614" s="4" t="n">
        <x:f>IF('계산 과정'!$L$5,B614*SIN(C614),"")</x:f>
        <x:v>81.41609538369886</x:v>
      </x:c>
      <x:c r="F614" s="4" t="n">
        <x:f>IF('계산 과정'!$L$7,'계산 과정'!$L$22+'계산 과정'!$C$49*D614+'계산 과정'!$D$49*E614,"")</x:f>
        <x:v>644.6802219719733</x:v>
      </x:c>
      <x:c r="G614" s="4" t="n">
        <x:f>IF('계산 과정'!$L$7,IF(ABS(F614)&gt;=1E-12*MAX(1,SQRT((D614-'계산 과정'!$C$33)^2+(E614-'계산 과정'!$D$33)^2+'계산 과정'!$E$33^2)),('계산 과정'!$L$23-'계산 과정'!$C$49*D614-'계산 과정'!$D$49*E614)/F614,""),"")</x:f>
        <x:v>0.6287144606177285</x:v>
      </x:c>
      <x:c r="H614" s="4" t="n">
        <x:f>IF(AND(ISNUMBER(G614),G614&gt;0),('계산 과정'!$D$56+'계산 과정'!$D$57*D614+'계산 과정'!$D$58*E614)/F614,"")</x:f>
        <x:v>8.66439940152339</x:v>
      </x:c>
      <x:c r="I614" s="4" t="n">
        <x:f>IF(AND(ISNUMBER(G614),G614&gt;0),('계산 과정'!$E$56+'계산 과정'!$E$57*D614+'계산 과정'!$E$58*E614)/F614,"")</x:f>
        <x:v>132.60357187846262</x:v>
      </x:c>
      <x:c r="J614" s="4" t="n">
        <x:f>IF('계산 과정'!$L$5,'계산 과정'!$D$6+'계산 과정'!$C$35*D614+'계산 과정'!$D$35*E614,"")</x:f>
        <x:v>644.6802219719733</x:v>
      </x:c>
      <x:c r="K614" s="4" t="n">
        <x:f>IF(AND('계산 과정'!$L$6,J614&gt;0),'계산 과정'!$D$10*('계산 과정'!$C$38*(D614-'계산 과정'!$C$32)+'계산 과정'!$D$38*(E614-'계산 과정'!$D$32)-'계산 과정'!$E$38*'계산 과정'!$E$32)/J614,"")</x:f>
        <x:v>0.06601447163065549</x:v>
      </x:c>
      <x:c r="L614" s="4" t="n">
        <x:f>IF(AND('계산 과정'!$L$6,J614&gt;0),'계산 과정'!$D$10*('계산 과정'!$C$39*(D614-'계산 과정'!$C$32)+'계산 과정'!$D$39*(E614-'계산 과정'!$D$32)-'계산 과정'!$E$39*'계산 과정'!$E$32)/J614,"")</x:f>
        <x:v>1.0103129285978105</x:v>
      </x:c>
      <x:c r="M614" s="17" t="n">
        <x:f>IF('계산 과정'!$L$6,IF(J614&lt;=0,0,IF(AND(ABS(K614)&lt;='계산 과정'!$D$11/2,ABS(L614)&lt;='계산 과정'!$D$12/2),1,0)),"")</x:f>
        <x:v>1</x:v>
      </x:c>
      <x:c r="N614" s="17" t="n">
        <x:f>IF('계산 과정'!$C$78,IF(AND(ISNUMBER(H614),ISNUMBER(I614),ABS(H614-'계산 과정'!$C$88)&lt;='계산 과정'!$D$23/2,ABS(I614-'계산 과정'!$C$89)&lt;='계산 과정'!$D$24/2),1,0),"")</x:f>
        <x:v>1</x:v>
      </x:c>
      <x:c r="O614" s="4" t="n">
        <x:f>IF('계산 과정'!$L$7,'계산 과정'!$C$49*('계산 과정'!$C$32-D614)+'계산 과정'!$D$49*('계산 과정'!$D$32-E614)+'계산 과정'!$E$49*'계산 과정'!$E$32,"")</x:f>
        <x:v>5.319778028026803</x:v>
      </x:c>
      <x:c r="P614" s="4" t="n">
        <x:f>IF(AND('계산 과정'!$L$7,O614&lt;&gt;0),('계산 과정'!$L$23-'계산 과정'!$C$49*D614-'계산 과정'!$D$49*E614)/O614,"")</x:f>
        <x:v>76.19110720271287</x:v>
      </x:c>
      <x:c r="Q614" s="4" t="str">
        <x:f>IF(AND(ISNUMBER(P614),P614&gt;1E-9,P614&lt;1-1E-9),'계산 과정'!$C$47*(D614-'계산 과정'!$C$50+P614*('계산 과정'!$C$32-D614))+'계산 과정'!$D$47*(E614-'계산 과정'!$D$50+P614*('계산 과정'!$D$32-E614))+'계산 과정'!$E$47*(0-'계산 과정'!$E$50+P614*('계산 과정'!$E$32-0)),"")</x:f>
      </x:c>
      <x:c r="R614" s="4" t="str">
        <x:f>IF(AND(ISNUMBER(P614),P614&gt;1E-9,P614&lt;1-1E-9),'계산 과정'!$C$48*(D614-'계산 과정'!$C$50+P614*('계산 과정'!$C$32-D614))+'계산 과정'!$D$48*(E614-'계산 과정'!$D$50+P614*('계산 과정'!$D$32-E614))+'계산 과정'!$E$48*(0-'계산 과정'!$E$50+P614*('계산 과정'!$E$32-0)),"")</x:f>
      </x:c>
      <x:c r="S614" s="17" t="n">
        <x:f>IF('계산 과정'!$C$78,IF(AND(ISNUMBER(Q614),ISNUMBER(R614),ABS(Q614-'계산 과정'!$C$88)&lt;='계산 과정'!$D$23/2,ABS(R614-'계산 과정'!$C$89)&lt;='계산 과정'!$D$24/2),1,0),"")</x:f>
        <x:v>0</x:v>
      </x:c>
      <x:c r="T614" s="4"/>
      <x:c r="U614" s="4"/>
      <x:c r="V614" s="4"/>
      <x:c r="W614" s="4" t="n">
        <x:f>IF('계산 과정'!$C$78,'계산 과정'!$C$88+-1*'계산 과정'!$C$90/2,"")</x:f>
        <x:v>-152.30104978473645</x:v>
      </x:c>
      <x:c r="X614" s="4" t="str">
        <x:f>""</x:f>
      </x:c>
      <x:c r="Y614" s="4" t="str">
        <x:f>""</x:f>
      </x:c>
      <x:c r="Z614" s="4" t="n">
        <x:f>IF('계산 과정'!$C$78,'계산 과정'!$C$89+0.36*'계산 과정'!$C$91/2,"")</x:f>
        <x:v>90.21584531139008</x:v>
      </x:c>
    </x:row>
    <x:row r="615" ht="23" customHeight="1">
      <x:c r="A615" s="17" t="n">
        <x:f>ROW()-6</x:f>
        <x:v>609</x:v>
      </x:c>
      <x:c r="B615" s="4" t="n">
        <x:f>IF('계산 과정'!$L$5,'계산 과정'!$L$11*SQRT((A615+0.5)/'계산 과정'!$L$30),"")</x:f>
        <x:v>81.83011054732542</x:v>
      </x:c>
      <x:c r="C615" s="4" t="n">
        <x:f>A615*PI()*(3-SQRT(5))</x:f>
        <x:v>1461.5776069047497</x:v>
      </x:c>
      <x:c r="D615" s="4" t="n">
        <x:f>IF('계산 과정'!$L$5,B615*COS(C615),"")</x:f>
        <x:v>-60.592958665894</x:v>
      </x:c>
      <x:c r="E615" s="4" t="n">
        <x:f>IF('계산 과정'!$L$5,B615*SIN(C615),"")</x:f>
        <x:v>-54.99691220696631</x:v>
      </x:c>
      <x:c r="F615" s="4" t="n">
        <x:f>IF('계산 과정'!$L$7,'계산 과정'!$L$22+'계산 과정'!$C$49*D615+'계산 과정'!$D$49*E615,"")</x:f>
        <x:v>692.8456919648098</x:v>
      </x:c>
      <x:c r="G615" s="4" t="n">
        <x:f>IF('계산 과정'!$L$7,IF(ABS(F615)&gt;=1E-12*MAX(1,SQRT((D615-'계산 과정'!$C$33)^2+(E615-'계산 과정'!$D$33)^2+'계산 과정'!$E$33^2)),('계산 과정'!$L$23-'계산 과정'!$C$49*D615-'계산 과정'!$D$49*E615)/F615,""),"")</x:f>
        <x:v>0.5154889641044782</x:v>
      </x:c>
      <x:c r="H615" s="4" t="n">
        <x:f>IF(AND(ISNUMBER(G615),G615&gt;0),('계산 과정'!$D$56+'계산 과정'!$D$57*D615+'계산 과정'!$D$58*E615)/F615,"")</x:f>
        <x:v>-64.93217333208933</x:v>
      </x:c>
      <x:c r="I615" s="4" t="n">
        <x:f>IF(AND(ISNUMBER(G615),G615&gt;0),('계산 과정'!$E$56+'계산 과정'!$E$57*D615+'계산 과정'!$E$58*E615)/F615,"")</x:f>
        <x:v>-83.3472135094803</x:v>
      </x:c>
      <x:c r="J615" s="4" t="n">
        <x:f>IF('계산 과정'!$L$5,'계산 과정'!$D$6+'계산 과정'!$C$35*D615+'계산 과정'!$D$35*E615,"")</x:f>
        <x:v>692.8456919648098</x:v>
      </x:c>
      <x:c r="K615" s="4" t="n">
        <x:f>IF(AND('계산 과정'!$L$6,J615&gt;0),'계산 과정'!$D$10*('계산 과정'!$C$38*(D615-'계산 과정'!$C$32)+'계산 과정'!$D$38*(E615-'계산 과정'!$D$32)-'계산 과정'!$E$38*'계산 과정'!$E$32)/J615,"")</x:f>
        <x:v>-0.49472132062544144</x:v>
      </x:c>
      <x:c r="L615" s="4" t="n">
        <x:f>IF(AND('계산 과정'!$L$6,J615&gt;0),'계산 과정'!$D$10*('계산 과정'!$C$39*(D615-'계산 과정'!$C$32)+'계산 과정'!$D$39*(E615-'계산 과정'!$D$32)-'계산 과정'!$E$39*'계산 과정'!$E$32)/J615,"")</x:f>
        <x:v>-0.6350263886436595</x:v>
      </x:c>
      <x:c r="M615" s="17" t="n">
        <x:f>IF('계산 과정'!$L$6,IF(J615&lt;=0,0,IF(AND(ABS(K615)&lt;='계산 과정'!$D$11/2,ABS(L615)&lt;='계산 과정'!$D$12/2),1,0)),"")</x:f>
        <x:v>1</x:v>
      </x:c>
      <x:c r="N615" s="17" t="n">
        <x:f>IF('계산 과정'!$C$78,IF(AND(ISNUMBER(H615),ISNUMBER(I615),ABS(H615-'계산 과정'!$C$88)&lt;='계산 과정'!$D$23/2,ABS(I615-'계산 과정'!$C$89)&lt;='계산 과정'!$D$24/2),1,0),"")</x:f>
        <x:v>1</x:v>
      </x:c>
      <x:c r="O615" s="4" t="n">
        <x:f>IF('계산 과정'!$L$7,'계산 과정'!$C$49*('계산 과정'!$C$32-D615)+'계산 과정'!$D$49*('계산 과정'!$D$32-E615)+'계산 과정'!$E$49*'계산 과정'!$E$32,"")</x:f>
        <x:v>-42.8456919648097</x:v>
      </x:c>
      <x:c r="P615" s="4" t="n">
        <x:f>IF(AND('계산 과정'!$L$7,O615&lt;&gt;0),('계산 과정'!$L$23-'계산 과정'!$C$49*D615-'계산 과정'!$D$49*E615)/O615,"")</x:f>
        <x:v>-8.335827749696058</x:v>
      </x:c>
      <x:c r="Q615" s="4" t="str">
        <x:f>IF(AND(ISNUMBER(P615),P615&gt;1E-9,P615&lt;1-1E-9),'계산 과정'!$C$47*(D615-'계산 과정'!$C$50+P615*('계산 과정'!$C$32-D615))+'계산 과정'!$D$47*(E615-'계산 과정'!$D$50+P615*('계산 과정'!$D$32-E615))+'계산 과정'!$E$47*(0-'계산 과정'!$E$50+P615*('계산 과정'!$E$32-0)),"")</x:f>
      </x:c>
      <x:c r="R615" s="4" t="str">
        <x:f>IF(AND(ISNUMBER(P615),P615&gt;1E-9,P615&lt;1-1E-9),'계산 과정'!$C$48*(D615-'계산 과정'!$C$50+P615*('계산 과정'!$C$32-D615))+'계산 과정'!$D$48*(E615-'계산 과정'!$D$50+P615*('계산 과정'!$D$32-E615))+'계산 과정'!$E$48*(0-'계산 과정'!$E$50+P615*('계산 과정'!$E$32-0)),"")</x:f>
      </x:c>
      <x:c r="S615" s="17" t="n">
        <x:f>IF('계산 과정'!$C$78,IF(AND(ISNUMBER(Q615),ISNUMBER(R615),ABS(Q615-'계산 과정'!$C$88)&lt;='계산 과정'!$D$23/2,ABS(R615-'계산 과정'!$C$89)&lt;='계산 과정'!$D$24/2),1,0),"")</x:f>
        <x:v>0</x:v>
      </x:c>
      <x:c r="T615" s="4"/>
      <x:c r="U615" s="4"/>
      <x:c r="V615" s="4"/>
      <x:c r="W615" s="4" t="n">
        <x:f>IF('계산 과정'!$C$78,'계산 과정'!$C$88+-1*'계산 과정'!$C$90/2,"")</x:f>
        <x:v>-152.30104978473645</x:v>
      </x:c>
      <x:c r="X615" s="4" t="str">
        <x:f>""</x:f>
      </x:c>
      <x:c r="Y615" s="4" t="str">
        <x:f>""</x:f>
      </x:c>
      <x:c r="Z615" s="4" t="n">
        <x:f>IF('계산 과정'!$C$78,'계산 과정'!$C$89+0.31999999999999995*'계산 과정'!$C$91/2,"")</x:f>
        <x:v>80.1918624990134</x:v>
      </x:c>
    </x:row>
    <x:row r="616" ht="23" customHeight="1">
      <x:c r="A616" s="17" t="n">
        <x:f>ROW()-6</x:f>
        <x:v>610</x:v>
      </x:c>
      <x:c r="B616" s="4" t="n">
        <x:f>IF('계산 과정'!$L$5,'계산 과정'!$L$11*SQRT((A616+0.5)/'계산 과정'!$L$30),"")</x:f>
        <x:v>81.89721192026319</x:v>
      </x:c>
      <x:c r="C616" s="4" t="n">
        <x:f>A616*PI()*(3-SQRT(5))</x:f>
        <x:v>1463.9775701344784</x:v>
      </x:c>
      <x:c r="D616" s="4" t="n">
        <x:f>IF('계산 과정'!$L$5,B616*COS(C616),"")</x:f>
        <x:v>81.89634302209294</x:v>
      </x:c>
      <x:c r="E616" s="4" t="n">
        <x:f>IF('계산 과정'!$L$5,B616*SIN(C616),"")</x:f>
        <x:v>-0.3772531248238407</x:v>
      </x:c>
      <x:c r="F616" s="4" t="n">
        <x:f>IF('계산 과정'!$L$7,'계산 과정'!$L$22+'계산 과정'!$C$49*D616+'계산 과정'!$D$49*E616,"")</x:f>
        <x:v>592.0905404946985</x:v>
      </x:c>
      <x:c r="G616" s="4" t="n">
        <x:f>IF('계산 과정'!$L$7,IF(ABS(F616)&gt;=1E-12*MAX(1,SQRT((D616-'계산 과정'!$C$33)^2+(E616-'계산 과정'!$D$33)^2+'계산 과정'!$E$33^2)),('계산 과정'!$L$23-'계산 과정'!$C$49*D616-'계산 과정'!$D$49*E616)/F616,""),"")</x:f>
        <x:v>0.7733774282607401</x:v>
      </x:c>
      <x:c r="H616" s="4" t="n">
        <x:f>IF(AND(ISNUMBER(G616),G616&gt;0),('계산 과정'!$D$56+'계산 과정'!$D$57*D616+'계산 과정'!$D$58*E616)/F616,"")</x:f>
        <x:v>102.69532836948095</x:v>
      </x:c>
      <x:c r="I616" s="4" t="n">
        <x:f>IF(AND(ISNUMBER(G616),G616&gt;0),('계산 과정'!$E$56+'계산 과정'!$E$57*D616+'계산 과정'!$E$58*E616)/F616,"")</x:f>
        <x:v>-0.6690121763034306</x:v>
      </x:c>
      <x:c r="J616" s="4" t="n">
        <x:f>IF('계산 과정'!$L$5,'계산 과정'!$D$6+'계산 과정'!$C$35*D616+'계산 과정'!$D$35*E616,"")</x:f>
        <x:v>592.0905404946985</x:v>
      </x:c>
      <x:c r="K616" s="4" t="n">
        <x:f>IF(AND('계산 과정'!$L$6,J616&gt;0),'계산 과정'!$D$10*('계산 과정'!$C$38*(D616-'계산 과정'!$C$32)+'계산 과정'!$D$38*(E616-'계산 과정'!$D$32)-'계산 과정'!$E$38*'계산 과정'!$E$32)/J616,"")</x:f>
        <x:v>0.7824405971008083</x:v>
      </x:c>
      <x:c r="L616" s="4" t="n">
        <x:f>IF(AND('계산 과정'!$L$6,J616&gt;0),'계산 과정'!$D$10*('계산 과정'!$C$39*(D616-'계산 과정'!$C$32)+'계산 과정'!$D$39*(E616-'계산 과정'!$D$32)-'계산 과정'!$E$39*'계산 과정'!$E$32)/J616,"")</x:f>
        <x:v>-0.005097235628978519</x:v>
      </x:c>
      <x:c r="M616" s="17" t="n">
        <x:f>IF('계산 과정'!$L$6,IF(J616&lt;=0,0,IF(AND(ABS(K616)&lt;='계산 과정'!$D$11/2,ABS(L616)&lt;='계산 과정'!$D$12/2),1,0)),"")</x:f>
        <x:v>1</x:v>
      </x:c>
      <x:c r="N616" s="17" t="n">
        <x:f>IF('계산 과정'!$C$78,IF(AND(ISNUMBER(H616),ISNUMBER(I616),ABS(H616-'계산 과정'!$C$88)&lt;='계산 과정'!$D$23/2,ABS(I616-'계산 과정'!$C$89)&lt;='계산 과정'!$D$24/2),1,0),"")</x:f>
        <x:v>1</x:v>
      </x:c>
      <x:c r="O616" s="4" t="n">
        <x:f>IF('계산 과정'!$L$7,'계산 과정'!$C$49*('계산 과정'!$C$32-D616)+'계산 과정'!$D$49*('계산 과정'!$D$32-E616)+'계산 과정'!$E$49*'계산 과정'!$E$32,"")</x:f>
        <x:v>57.90945950530164</x:v>
      </x:c>
      <x:c r="P616" s="4" t="n">
        <x:f>IF(AND('계산 과정'!$L$7,O616&lt;&gt;0),('계산 과정'!$L$23-'계산 과정'!$C$49*D616-'계산 과정'!$D$49*E616)/O616,"")</x:f>
        <x:v>7.90733437018834</x:v>
      </x:c>
      <x:c r="Q616" s="4" t="str">
        <x:f>IF(AND(ISNUMBER(P616),P616&gt;1E-9,P616&lt;1-1E-9),'계산 과정'!$C$47*(D616-'계산 과정'!$C$50+P616*('계산 과정'!$C$32-D616))+'계산 과정'!$D$47*(E616-'계산 과정'!$D$50+P616*('계산 과정'!$D$32-E616))+'계산 과정'!$E$47*(0-'계산 과정'!$E$50+P616*('계산 과정'!$E$32-0)),"")</x:f>
      </x:c>
      <x:c r="R616" s="4" t="str">
        <x:f>IF(AND(ISNUMBER(P616),P616&gt;1E-9,P616&lt;1-1E-9),'계산 과정'!$C$48*(D616-'계산 과정'!$C$50+P616*('계산 과정'!$C$32-D616))+'계산 과정'!$D$48*(E616-'계산 과정'!$D$50+P616*('계산 과정'!$D$32-E616))+'계산 과정'!$E$48*(0-'계산 과정'!$E$50+P616*('계산 과정'!$E$32-0)),"")</x:f>
      </x:c>
      <x:c r="S616" s="17" t="n">
        <x:f>IF('계산 과정'!$C$78,IF(AND(ISNUMBER(Q616),ISNUMBER(R616),ABS(Q616-'계산 과정'!$C$88)&lt;='계산 과정'!$D$23/2,ABS(R616-'계산 과정'!$C$89)&lt;='계산 과정'!$D$24/2),1,0),"")</x:f>
        <x:v>0</x:v>
      </x:c>
      <x:c r="T616" s="4"/>
      <x:c r="U616" s="4"/>
      <x:c r="V616" s="4"/>
      <x:c r="W616" s="4" t="n">
        <x:f>IF('계산 과정'!$C$78,'계산 과정'!$C$88+-1*'계산 과정'!$C$90/2,"")</x:f>
        <x:v>-152.30104978473645</x:v>
      </x:c>
      <x:c r="X616" s="4" t="str">
        <x:f>""</x:f>
      </x:c>
      <x:c r="Y616" s="4" t="str">
        <x:f>""</x:f>
      </x:c>
      <x:c r="Z616" s="4" t="n">
        <x:f>IF('계산 과정'!$C$78,'계산 과정'!$C$89+0.28*'계산 과정'!$C$91/2,"")</x:f>
        <x:v>70.16787968663674</x:v>
      </x:c>
    </x:row>
    <x:row r="617" ht="23" customHeight="1">
      <x:c r="A617" s="17" t="n">
        <x:f>ROW()-6</x:f>
        <x:v>611</x:v>
      </x:c>
      <x:c r="B617" s="4" t="n">
        <x:f>IF('계산 과정'!$L$5,'계산 과정'!$L$11*SQRT((A617+0.5)/'계산 과정'!$L$30),"")</x:f>
        <x:v>81.96425835958927</x:v>
      </x:c>
      <x:c r="C617" s="4" t="n">
        <x:f>A617*PI()*(3-SQRT(5))</x:f>
        <x:v>1466.3775333642068</x:v>
      </x:c>
      <x:c r="D617" s="4" t="n">
        <x:f>IF('계산 과정'!$L$5,B617*COS(C617),"")</x:f>
        <x:v>-60.182212560575906</x:v>
      </x:c>
      <x:c r="E617" s="4" t="n">
        <x:f>IF('계산 과정'!$L$5,B617*SIN(C617),"")</x:f>
        <x:v>55.64387603098079</x:v>
      </x:c>
      <x:c r="F617" s="4" t="n">
        <x:f>IF('계산 과정'!$L$7,'계산 과정'!$L$22+'계산 과정'!$C$49*D617+'계산 과정'!$D$49*E617,"")</x:f>
        <x:v>692.5552506083934</x:v>
      </x:c>
      <x:c r="G617" s="4" t="n">
        <x:f>IF('계산 과정'!$L$7,IF(ABS(F617)&gt;=1E-12*MAX(1,SQRT((D617-'계산 과정'!$C$33)^2+(E617-'계산 과정'!$D$33)^2+'계산 과정'!$E$33^2)),('계산 과정'!$L$23-'계산 과정'!$C$49*D617-'계산 과정'!$D$49*E617)/F617,""),"")</x:f>
        <x:v>0.5161245244731014</x:v>
      </x:c>
      <x:c r="H617" s="4" t="n">
        <x:f>IF(AND(ISNUMBER(G617),G617&gt;0),('계산 과정'!$D$56+'계산 과정'!$D$57*D617+'계산 과정'!$D$58*E617)/F617,"")</x:f>
        <x:v>-64.51905909248428</x:v>
      </x:c>
      <x:c r="I617" s="4" t="n">
        <x:f>IF(AND(ISNUMBER(G617),G617&gt;0),('계산 과정'!$E$56+'계산 과정'!$E$57*D617+'계산 과정'!$E$58*E617)/F617,"")</x:f>
        <x:v>84.36304508731095</x:v>
      </x:c>
      <x:c r="J617" s="4" t="n">
        <x:f>IF('계산 과정'!$L$5,'계산 과정'!$D$6+'계산 과정'!$C$35*D617+'계산 과정'!$D$35*E617,"")</x:f>
        <x:v>692.5552506083934</x:v>
      </x:c>
      <x:c r="K617" s="4" t="n">
        <x:f>IF(AND('계산 과정'!$L$6,J617&gt;0),'계산 과정'!$D$10*('계산 과정'!$C$38*(D617-'계산 과정'!$C$32)+'계산 과정'!$D$38*(E617-'계산 과정'!$D$32)-'계산 과정'!$E$38*'계산 과정'!$E$32)/J617,"")</x:f>
        <x:v>-0.4915737835617837</x:v>
      </x:c>
      <x:c r="L617" s="4" t="n">
        <x:f>IF(AND('계산 과정'!$L$6,J617&gt;0),'계산 과정'!$D$10*('계산 과정'!$C$39*(D617-'계산 과정'!$C$32)+'계산 과정'!$D$39*(E617-'계산 과정'!$D$32)-'계산 과정'!$E$39*'계산 과정'!$E$32)/J617,"")</x:f>
        <x:v>0.6427660578080835</x:v>
      </x:c>
      <x:c r="M617" s="17" t="n">
        <x:f>IF('계산 과정'!$L$6,IF(J617&lt;=0,0,IF(AND(ABS(K617)&lt;='계산 과정'!$D$11/2,ABS(L617)&lt;='계산 과정'!$D$12/2),1,0)),"")</x:f>
        <x:v>1</x:v>
      </x:c>
      <x:c r="N617" s="17" t="n">
        <x:f>IF('계산 과정'!$C$78,IF(AND(ISNUMBER(H617),ISNUMBER(I617),ABS(H617-'계산 과정'!$C$88)&lt;='계산 과정'!$D$23/2,ABS(I617-'계산 과정'!$C$89)&lt;='계산 과정'!$D$24/2),1,0),"")</x:f>
        <x:v>1</x:v>
      </x:c>
      <x:c r="O617" s="4" t="n">
        <x:f>IF('계산 과정'!$L$7,'계산 과정'!$C$49*('계산 과정'!$C$32-D617)+'계산 과정'!$D$49*('계산 과정'!$D$32-E617)+'계산 과정'!$E$49*'계산 과정'!$E$32,"")</x:f>
        <x:v>-42.555250608393294</x:v>
      </x:c>
      <x:c r="P617" s="4" t="n">
        <x:f>IF(AND('계산 과정'!$L$7,O617&lt;&gt;0),('계산 과정'!$L$23-'계산 과정'!$C$49*D617-'계산 과정'!$D$49*E617)/O617,"")</x:f>
        <x:v>-8.39954516261518</x:v>
      </x:c>
      <x:c r="Q617" s="4" t="str">
        <x:f>IF(AND(ISNUMBER(P617),P617&gt;1E-9,P617&lt;1-1E-9),'계산 과정'!$C$47*(D617-'계산 과정'!$C$50+P617*('계산 과정'!$C$32-D617))+'계산 과정'!$D$47*(E617-'계산 과정'!$D$50+P617*('계산 과정'!$D$32-E617))+'계산 과정'!$E$47*(0-'계산 과정'!$E$50+P617*('계산 과정'!$E$32-0)),"")</x:f>
      </x:c>
      <x:c r="R617" s="4" t="str">
        <x:f>IF(AND(ISNUMBER(P617),P617&gt;1E-9,P617&lt;1-1E-9),'계산 과정'!$C$48*(D617-'계산 과정'!$C$50+P617*('계산 과정'!$C$32-D617))+'계산 과정'!$D$48*(E617-'계산 과정'!$D$50+P617*('계산 과정'!$D$32-E617))+'계산 과정'!$E$48*(0-'계산 과정'!$E$50+P617*('계산 과정'!$E$32-0)),"")</x:f>
      </x:c>
      <x:c r="S617" s="17" t="n">
        <x:f>IF('계산 과정'!$C$78,IF(AND(ISNUMBER(Q617),ISNUMBER(R617),ABS(Q617-'계산 과정'!$C$88)&lt;='계산 과정'!$D$23/2,ABS(R617-'계산 과정'!$C$89)&lt;='계산 과정'!$D$24/2),1,0),"")</x:f>
        <x:v>0</x:v>
      </x:c>
      <x:c r="T617" s="4"/>
      <x:c r="U617" s="4"/>
      <x:c r="V617" s="4"/>
      <x:c r="W617" s="4" t="n">
        <x:f>IF('계산 과정'!$C$78,'계산 과정'!$C$88+-1*'계산 과정'!$C$90/2,"")</x:f>
        <x:v>-152.30104978473645</x:v>
      </x:c>
      <x:c r="X617" s="4" t="str">
        <x:f>""</x:f>
      </x:c>
      <x:c r="Y617" s="4" t="str">
        <x:f>""</x:f>
      </x:c>
      <x:c r="Z617" s="4" t="n">
        <x:f>IF('계산 과정'!$C$78,'계산 과정'!$C$89+0.24*'계산 과정'!$C$91/2,"")</x:f>
        <x:v>60.14389687426005</x:v>
      </x:c>
    </x:row>
    <x:row r="618" ht="23" customHeight="1">
      <x:c r="A618" s="17" t="n">
        <x:f>ROW()-6</x:f>
        <x:v>612</x:v>
      </x:c>
      <x:c r="B618" s="4" t="n">
        <x:f>IF('계산 과정'!$L$5,'계산 과정'!$L$11*SQRT((A618+0.5)/'계산 과정'!$L$30),"")</x:f>
        <x:v>82.03125</x:v>
      </x:c>
      <x:c r="C618" s="4" t="n">
        <x:f>A618*PI()*(3-SQRT(5))</x:f>
        <x:v>1468.7774965939357</x:v>
      </x:c>
      <x:c r="D618" s="4" t="n">
        <x:f>IF('계산 과정'!$L$5,B618*COS(C618),"")</x:f>
        <x:v>6.795141682451244</x:v>
      </x:c>
      <x:c r="E618" s="4" t="n">
        <x:f>IF('계산 과정'!$L$5,B618*SIN(C618),"")</x:f>
        <x:v>-81.749324315727</x:v>
      </x:c>
      <x:c r="F618" s="4" t="n">
        <x:f>IF('계산 과정'!$L$7,'계산 과정'!$L$22+'계산 과정'!$C$49*D618+'계산 과정'!$D$49*E618,"")</x:f>
        <x:v>645.1951092372153</x:v>
      </x:c>
      <x:c r="G618" s="4" t="n">
        <x:f>IF('계산 과정'!$L$7,IF(ABS(F618)&gt;=1E-12*MAX(1,SQRT((D618-'계산 과정'!$C$33)^2+(E618-'계산 과정'!$D$33)^2+'계산 과정'!$E$33^2)),('계산 과정'!$L$23-'계산 과정'!$C$49*D618-'계산 과정'!$D$49*E618)/F618,""),"")</x:f>
        <x:v>0.6274146920322551</x:v>
      </x:c>
      <x:c r="H618" s="4" t="n">
        <x:f>IF(AND(ISNUMBER(G618),G618&gt;0),('계산 과정'!$D$56+'계산 과정'!$D$57*D618+'계산 과정'!$D$58*E618)/F618,"")</x:f>
        <x:v>7.819549820965681</x:v>
      </x:c>
      <x:c r="I618" s="4" t="n">
        <x:f>IF(AND(ISNUMBER(G618),G618&gt;0),('계산 과정'!$E$56+'계산 과정'!$E$57*D618+'계산 과정'!$E$58*E618)/F618,"")</x:f>
        <x:v>-133.0400514551238</x:v>
      </x:c>
      <x:c r="J618" s="4" t="n">
        <x:f>IF('계산 과정'!$L$5,'계산 과정'!$D$6+'계산 과정'!$C$35*D618+'계산 과정'!$D$35*E618,"")</x:f>
        <x:v>645.1951092372153</x:v>
      </x:c>
      <x:c r="K618" s="4" t="n">
        <x:f>IF(AND('계산 과정'!$L$6,J618&gt;0),'계산 과정'!$D$10*('계산 과정'!$C$38*(D618-'계산 과정'!$C$32)+'계산 과정'!$D$38*(E618-'계산 과정'!$D$32)-'계산 과정'!$E$38*'계산 과정'!$E$32)/J618,"")</x:f>
        <x:v>0.05957752244545345</x:v>
      </x:c>
      <x:c r="L618" s="4" t="n">
        <x:f>IF(AND('계산 과정'!$L$6,J618&gt;0),'계산 과정'!$D$10*('계산 과정'!$C$39*(D618-'계산 과정'!$C$32)+'계산 과정'!$D$39*(E618-'계산 과정'!$D$32)-'계산 과정'!$E$39*'계산 과정'!$E$32)/J618,"")</x:f>
        <x:v>-1.0136384872771336</x:v>
      </x:c>
      <x:c r="M618" s="17" t="n">
        <x:f>IF('계산 과정'!$L$6,IF(J618&lt;=0,0,IF(AND(ABS(K618)&lt;='계산 과정'!$D$11/2,ABS(L618)&lt;='계산 과정'!$D$12/2),1,0)),"")</x:f>
        <x:v>1</x:v>
      </x:c>
      <x:c r="N618" s="17" t="n">
        <x:f>IF('계산 과정'!$C$78,IF(AND(ISNUMBER(H618),ISNUMBER(I618),ABS(H618-'계산 과정'!$C$88)&lt;='계산 과정'!$D$23/2,ABS(I618-'계산 과정'!$C$89)&lt;='계산 과정'!$D$24/2),1,0),"")</x:f>
        <x:v>1</x:v>
      </x:c>
      <x:c r="O618" s="4" t="n">
        <x:f>IF('계산 과정'!$L$7,'계산 과정'!$C$49*('계산 과정'!$C$32-D618)+'계산 과정'!$D$49*('계산 과정'!$D$32-E618)+'계산 과정'!$E$49*'계산 과정'!$E$32,"")</x:f>
        <x:v>4.804890762784737</x:v>
      </x:c>
      <x:c r="P618" s="4" t="n">
        <x:f>IF(AND('계산 과정'!$L$7,O618&lt;&gt;0),('계산 과정'!$L$23-'계산 과정'!$C$49*D618-'계산 과정'!$D$49*E618)/O618,"")</x:f>
        <x:v>84.24851068376312</x:v>
      </x:c>
      <x:c r="Q618" s="4" t="str">
        <x:f>IF(AND(ISNUMBER(P618),P618&gt;1E-9,P618&lt;1-1E-9),'계산 과정'!$C$47*(D618-'계산 과정'!$C$50+P618*('계산 과정'!$C$32-D618))+'계산 과정'!$D$47*(E618-'계산 과정'!$D$50+P618*('계산 과정'!$D$32-E618))+'계산 과정'!$E$47*(0-'계산 과정'!$E$50+P618*('계산 과정'!$E$32-0)),"")</x:f>
      </x:c>
      <x:c r="R618" s="4" t="str">
        <x:f>IF(AND(ISNUMBER(P618),P618&gt;1E-9,P618&lt;1-1E-9),'계산 과정'!$C$48*(D618-'계산 과정'!$C$50+P618*('계산 과정'!$C$32-D618))+'계산 과정'!$D$48*(E618-'계산 과정'!$D$50+P618*('계산 과정'!$D$32-E618))+'계산 과정'!$E$48*(0-'계산 과정'!$E$50+P618*('계산 과정'!$E$32-0)),"")</x:f>
      </x:c>
      <x:c r="S618" s="17" t="n">
        <x:f>IF('계산 과정'!$C$78,IF(AND(ISNUMBER(Q618),ISNUMBER(R618),ABS(Q618-'계산 과정'!$C$88)&lt;='계산 과정'!$D$23/2,ABS(R618-'계산 과정'!$C$89)&lt;='계산 과정'!$D$24/2),1,0),"")</x:f>
        <x:v>0</x:v>
      </x:c>
      <x:c r="T618" s="4"/>
      <x:c r="U618" s="4"/>
      <x:c r="V618" s="4"/>
      <x:c r="W618" s="4" t="n">
        <x:f>IF('계산 과정'!$C$78,'계산 과정'!$C$88+-1*'계산 과정'!$C$90/2,"")</x:f>
        <x:v>-152.30104978473645</x:v>
      </x:c>
      <x:c r="X618" s="4" t="str">
        <x:f>""</x:f>
      </x:c>
      <x:c r="Y618" s="4" t="str">
        <x:f>""</x:f>
      </x:c>
      <x:c r="Z618" s="4" t="n">
        <x:f>IF('계산 과정'!$C$78,'계산 과정'!$C$89+0.19999999999999996*'계산 과정'!$C$91/2,"")</x:f>
        <x:v>50.119914061883364</x:v>
      </x:c>
    </x:row>
    <x:row r="619" ht="23" customHeight="1">
      <x:c r="A619" s="17" t="n">
        <x:f>ROW()-6</x:f>
        <x:v>613</x:v>
      </x:c>
      <x:c r="B619" s="4" t="n">
        <x:f>IF('계산 과정'!$L$5,'계산 과정'!$L$11*SQRT((A619+0.5)/'계산 과정'!$L$30),"")</x:f>
        <x:v>82.09818697564215</x:v>
      </x:c>
      <x:c r="C619" s="4" t="n">
        <x:f>A619*PI()*(3-SQRT(5))</x:f>
        <x:v>1471.177459823664</x:v>
      </x:c>
      <x:c r="D619" s="4" t="n">
        <x:f>IF('계산 과정'!$L$5,B619*COS(C619),"")</x:f>
        <x:v>50.25132046289769</x:v>
      </x:c>
      <x:c r="E619" s="4" t="n">
        <x:f>IF('계산 과정'!$L$5,B619*SIN(C619),"")</x:f>
        <x:v>64.92239287351214</x:v>
      </x:c>
      <x:c r="F619" s="4" t="n">
        <x:f>IF('계산 과정'!$L$7,'계산 과정'!$L$22+'계산 과정'!$C$49*D619+'계산 과정'!$D$49*E619,"")</x:f>
        <x:v>614.4669505371068</x:v>
      </x:c>
      <x:c r="G619" s="4" t="n">
        <x:f>IF('계산 과정'!$L$7,IF(ABS(F619)&gt;=1E-12*MAX(1,SQRT((D619-'계산 과정'!$C$33)^2+(E619-'계산 과정'!$D$33)^2+'계산 과정'!$E$33^2)),('계산 과정'!$L$23-'계산 과정'!$C$49*D619-'계산 과정'!$D$49*E619)/F619,""),"")</x:f>
        <x:v>0.708798169018192</x:v>
      </x:c>
      <x:c r="H619" s="4" t="n">
        <x:f>IF(AND(ISNUMBER(G619),G619&gt;0),('계산 과정'!$D$56+'계산 과정'!$D$57*D619+'계산 과정'!$D$58*E619)/F619,"")</x:f>
        <x:v>60.71880986182478</x:v>
      </x:c>
      <x:c r="I619" s="4" t="n">
        <x:f>IF(AND(ISNUMBER(G619),G619&gt;0),('계산 과정'!$E$56+'계산 과정'!$E$57*D619+'계산 과정'!$E$58*E619)/F619,"")</x:f>
        <x:v>110.93926607053726</x:v>
      </x:c>
      <x:c r="J619" s="4" t="n">
        <x:f>IF('계산 과정'!$L$5,'계산 과정'!$D$6+'계산 과정'!$C$35*D619+'계산 과정'!$D$35*E619,"")</x:f>
        <x:v>614.4669505371068</x:v>
      </x:c>
      <x:c r="K619" s="4" t="n">
        <x:f>IF(AND('계산 과정'!$L$6,J619&gt;0),'계산 과정'!$D$10*('계산 과정'!$C$38*(D619-'계산 과정'!$C$32)+'계산 과정'!$D$38*(E619-'계산 과정'!$D$32)-'계산 과정'!$E$38*'계산 과정'!$E$32)/J619,"")</x:f>
        <x:v>0.4626195037091423</x:v>
      </x:c>
      <x:c r="L619" s="4" t="n">
        <x:f>IF(AND('계산 과정'!$L$6,J619&gt;0),'계산 과정'!$D$10*('계산 과정'!$C$39*(D619-'계산 과정'!$C$32)+'계산 과정'!$D$39*(E619-'계산 과정'!$D$32)-'계산 과정'!$E$39*'계산 과정'!$E$32)/J619,"")</x:f>
        <x:v>0.8452515510136173</x:v>
      </x:c>
      <x:c r="M619" s="17" t="n">
        <x:f>IF('계산 과정'!$L$6,IF(J619&lt;=0,0,IF(AND(ABS(K619)&lt;='계산 과정'!$D$11/2,ABS(L619)&lt;='계산 과정'!$D$12/2),1,0)),"")</x:f>
        <x:v>1</x:v>
      </x:c>
      <x:c r="N619" s="17" t="n">
        <x:f>IF('계산 과정'!$C$78,IF(AND(ISNUMBER(H619),ISNUMBER(I619),ABS(H619-'계산 과정'!$C$88)&lt;='계산 과정'!$D$23/2,ABS(I619-'계산 과정'!$C$89)&lt;='계산 과정'!$D$24/2),1,0),"")</x:f>
        <x:v>1</x:v>
      </x:c>
      <x:c r="O619" s="4" t="n">
        <x:f>IF('계산 과정'!$L$7,'계산 과정'!$C$49*('계산 과정'!$C$32-D619)+'계산 과정'!$D$49*('계산 과정'!$D$32-E619)+'계산 과정'!$E$49*'계산 과정'!$E$32,"")</x:f>
        <x:v>35.533049462893416</x:v>
      </x:c>
      <x:c r="P619" s="4" t="n">
        <x:f>IF(AND('계산 과정'!$L$7,O619&lt;&gt;0),('계산 과정'!$L$23-'계산 과정'!$C$49*D619-'계산 과정'!$D$49*E619)/O619,"")</x:f>
        <x:v>12.257125578757694</x:v>
      </x:c>
      <x:c r="Q619" s="4" t="str">
        <x:f>IF(AND(ISNUMBER(P619),P619&gt;1E-9,P619&lt;1-1E-9),'계산 과정'!$C$47*(D619-'계산 과정'!$C$50+P619*('계산 과정'!$C$32-D619))+'계산 과정'!$D$47*(E619-'계산 과정'!$D$50+P619*('계산 과정'!$D$32-E619))+'계산 과정'!$E$47*(0-'계산 과정'!$E$50+P619*('계산 과정'!$E$32-0)),"")</x:f>
      </x:c>
      <x:c r="R619" s="4" t="str">
        <x:f>IF(AND(ISNUMBER(P619),P619&gt;1E-9,P619&lt;1-1E-9),'계산 과정'!$C$48*(D619-'계산 과정'!$C$50+P619*('계산 과정'!$C$32-D619))+'계산 과정'!$D$48*(E619-'계산 과정'!$D$50+P619*('계산 과정'!$D$32-E619))+'계산 과정'!$E$48*(0-'계산 과정'!$E$50+P619*('계산 과정'!$E$32-0)),"")</x:f>
      </x:c>
      <x:c r="S619" s="17" t="n">
        <x:f>IF('계산 과정'!$C$78,IF(AND(ISNUMBER(Q619),ISNUMBER(R619),ABS(Q619-'계산 과정'!$C$88)&lt;='계산 과정'!$D$23/2,ABS(R619-'계산 과정'!$C$89)&lt;='계산 과정'!$D$24/2),1,0),"")</x:f>
        <x:v>0</x:v>
      </x:c>
      <x:c r="T619" s="4"/>
      <x:c r="U619" s="4"/>
      <x:c r="V619" s="4"/>
      <x:c r="W619" s="4" t="n">
        <x:f>IF('계산 과정'!$C$78,'계산 과정'!$C$88+-1*'계산 과정'!$C$90/2,"")</x:f>
        <x:v>-152.30104978473645</x:v>
      </x:c>
      <x:c r="X619" s="4" t="str">
        <x:f>""</x:f>
      </x:c>
      <x:c r="Y619" s="4" t="str">
        <x:f>""</x:f>
      </x:c>
      <x:c r="Z619" s="4" t="n">
        <x:f>IF('계산 과정'!$C$78,'계산 과정'!$C$89+0.16000000000000003*'계산 과정'!$C$91/2,"")</x:f>
        <x:v>40.09593124950671</x:v>
      </x:c>
    </x:row>
    <x:row r="620" ht="23" customHeight="1">
      <x:c r="A620" s="17" t="n">
        <x:f>ROW()-6</x:f>
        <x:v>614</x:v>
      </x:c>
      <x:c r="B620" s="4" t="n">
        <x:f>IF('계산 과정'!$L$5,'계산 과정'!$L$11*SQRT((A620+0.5)/'계산 과정'!$L$30),"")</x:f>
        <x:v>82.16506942011611</x:v>
      </x:c>
      <x:c r="C620" s="4" t="n">
        <x:f>A620*PI()*(3-SQRT(5))</x:f>
        <x:v>1473.577423053393</x:v>
      </x:c>
      <x:c r="D620" s="4" t="n">
        <x:f>IF('계산 과정'!$L$5,B620*COS(C620),"")</x:f>
        <x:v>-80.97411906772578</x:v>
      </x:c>
      <x:c r="E620" s="4" t="n">
        <x:f>IF('계산 과정'!$L$5,B620*SIN(C620),"")</x:f>
        <x:v>-13.938818960667675</x:v>
      </x:c>
      <x:c r="F620" s="4" t="n">
        <x:f>IF('계산 과정'!$L$7,'계산 과정'!$L$22+'계산 과정'!$C$49*D620+'계산 과정'!$D$49*E620,"")</x:f>
        <x:v>707.2573486933958</x:v>
      </x:c>
      <x:c r="G620" s="4" t="n">
        <x:f>IF('계산 과정'!$L$7,IF(ABS(F620)&gt;=1E-12*MAX(1,SQRT((D620-'계산 과정'!$C$33)^2+(E620-'계산 과정'!$D$33)^2+'계산 과정'!$E$33^2)),('계산 과정'!$L$23-'계산 과정'!$C$49*D620-'계산 과정'!$D$49*E620)/F620,""),"")</x:f>
        <x:v>0.48460811604120513</x:v>
      </x:c>
      <x:c r="H620" s="4" t="n">
        <x:f>IF(AND(ISNUMBER(G620),G620&gt;0),('계산 과정'!$D$56+'계산 과정'!$D$57*D620+'계산 과정'!$D$58*E620)/F620,"")</x:f>
        <x:v>-85.00472457321685</x:v>
      </x:c>
      <x:c r="I620" s="4" t="n">
        <x:f>IF(AND(ISNUMBER(G620),G620&gt;0),('계산 과정'!$E$56+'계산 과정'!$E$57*D620+'계산 과정'!$E$58*E620)/F620,"")</x:f>
        <x:v>-20.693683757036265</x:v>
      </x:c>
      <x:c r="J620" s="4" t="n">
        <x:f>IF('계산 과정'!$L$5,'계산 과정'!$D$6+'계산 과정'!$C$35*D620+'계산 과정'!$D$35*E620,"")</x:f>
        <x:v>707.2573486933958</x:v>
      </x:c>
      <x:c r="K620" s="4" t="n">
        <x:f>IF(AND('계산 과정'!$L$6,J620&gt;0),'계산 과정'!$D$10*('계산 과정'!$C$38*(D620-'계산 과정'!$C$32)+'계산 과정'!$D$38*(E620-'계산 과정'!$D$32)-'계산 과정'!$E$38*'계산 과정'!$E$32)/J620,"")</x:f>
        <x:v>-0.6476550443673658</x:v>
      </x:c>
      <x:c r="L620" s="4" t="n">
        <x:f>IF(AND('계산 과정'!$L$6,J620&gt;0),'계산 과정'!$D$10*('계산 과정'!$C$39*(D620-'계산 과정'!$C$32)+'계산 과정'!$D$39*(E620-'계산 과정'!$D$32)-'계산 과정'!$E$39*'계산 과정'!$E$32)/J620,"")</x:f>
        <x:v>-0.15766616195837155</x:v>
      </x:c>
      <x:c r="M620" s="17" t="n">
        <x:f>IF('계산 과정'!$L$6,IF(J620&lt;=0,0,IF(AND(ABS(K620)&lt;='계산 과정'!$D$11/2,ABS(L620)&lt;='계산 과정'!$D$12/2),1,0)),"")</x:f>
        <x:v>1</x:v>
      </x:c>
      <x:c r="N620" s="17" t="n">
        <x:f>IF('계산 과정'!$C$78,IF(AND(ISNUMBER(H620),ISNUMBER(I620),ABS(H620-'계산 과정'!$C$88)&lt;='계산 과정'!$D$23/2,ABS(I620-'계산 과정'!$C$89)&lt;='계산 과정'!$D$24/2),1,0),"")</x:f>
        <x:v>1</x:v>
      </x:c>
      <x:c r="O620" s="4" t="n">
        <x:f>IF('계산 과정'!$L$7,'계산 과정'!$C$49*('계산 과정'!$C$32-D620)+'계산 과정'!$D$49*('계산 과정'!$D$32-E620)+'계산 과정'!$E$49*'계산 과정'!$E$32,"")</x:f>
        <x:v>-57.25734869339573</x:v>
      </x:c>
      <x:c r="P620" s="4" t="n">
        <x:f>IF(AND('계산 과정'!$L$7,O620&lt;&gt;0),('계산 과정'!$L$23-'계산 과정'!$C$49*D620-'계산 과정'!$D$49*E620)/O620,"")</x:f>
        <x:v>-5.986002829819073</x:v>
      </x:c>
      <x:c r="Q620" s="4" t="str">
        <x:f>IF(AND(ISNUMBER(P620),P620&gt;1E-9,P620&lt;1-1E-9),'계산 과정'!$C$47*(D620-'계산 과정'!$C$50+P620*('계산 과정'!$C$32-D620))+'계산 과정'!$D$47*(E620-'계산 과정'!$D$50+P620*('계산 과정'!$D$32-E620))+'계산 과정'!$E$47*(0-'계산 과정'!$E$50+P620*('계산 과정'!$E$32-0)),"")</x:f>
      </x:c>
      <x:c r="R620" s="4" t="str">
        <x:f>IF(AND(ISNUMBER(P620),P620&gt;1E-9,P620&lt;1-1E-9),'계산 과정'!$C$48*(D620-'계산 과정'!$C$50+P620*('계산 과정'!$C$32-D620))+'계산 과정'!$D$48*(E620-'계산 과정'!$D$50+P620*('계산 과정'!$D$32-E620))+'계산 과정'!$E$48*(0-'계산 과정'!$E$50+P620*('계산 과정'!$E$32-0)),"")</x:f>
      </x:c>
      <x:c r="S620" s="17" t="n">
        <x:f>IF('계산 과정'!$C$78,IF(AND(ISNUMBER(Q620),ISNUMBER(R620),ABS(Q620-'계산 과정'!$C$88)&lt;='계산 과정'!$D$23/2,ABS(R620-'계산 과정'!$C$89)&lt;='계산 과정'!$D$24/2),1,0),"")</x:f>
        <x:v>0</x:v>
      </x:c>
      <x:c r="T620" s="4"/>
      <x:c r="U620" s="4"/>
      <x:c r="V620" s="4"/>
      <x:c r="W620" s="4" t="n">
        <x:f>IF('계산 과정'!$C$78,'계산 과정'!$C$88+-1*'계산 과정'!$C$90/2,"")</x:f>
        <x:v>-152.30104978473645</x:v>
      </x:c>
      <x:c r="X620" s="4" t="str">
        <x:f>""</x:f>
      </x:c>
      <x:c r="Y620" s="4" t="str">
        <x:f>""</x:f>
      </x:c>
      <x:c r="Z620" s="4" t="n">
        <x:f>IF('계산 과정'!$C$78,'계산 과정'!$C$89+0.12*'계산 과정'!$C$91/2,"")</x:f>
        <x:v>30.071948437130025</x:v>
      </x:c>
    </x:row>
    <x:row r="621" ht="23" customHeight="1">
      <x:c r="A621" s="17" t="n">
        <x:f>ROW()-6</x:f>
        <x:v>615</x:v>
      </x:c>
      <x:c r="B621" s="4" t="n">
        <x:f>IF('계산 과정'!$L$5,'계산 과정'!$L$11*SQRT((A621+0.5)/'계산 과정'!$L$30),"")</x:f>
        <x:v>82.23189746647891</x:v>
      </x:c>
      <x:c r="C621" s="4" t="n">
        <x:f>A621*PI()*(3-SQRT(5))</x:f>
        <x:v>1475.9773862831214</x:v>
      </x:c>
      <x:c r="D621" s="4" t="n">
        <x:f>IF('계산 과정'!$L$5,B621*COS(C621),"")</x:f>
        <x:v>69.17955294606874</x:v>
      </x:c>
      <x:c r="E621" s="4" t="n">
        <x:f>IF('계산 과정'!$L$5,B621*SIN(C621),"")</x:f>
        <x:v>-44.4553080646122</x:v>
      </x:c>
      <x:c r="F621" s="4" t="n">
        <x:f>IF('계산 과정'!$L$7,'계산 과정'!$L$22+'계산 과정'!$C$49*D621+'계산 과정'!$D$49*E621,"")</x:f>
        <x:v>601.082668992381</x:v>
      </x:c>
      <x:c r="G621" s="4" t="n">
        <x:f>IF('계산 과정'!$L$7,IF(ABS(F621)&gt;=1E-12*MAX(1,SQRT((D621-'계산 과정'!$C$33)^2+(E621-'계산 과정'!$D$33)^2+'계산 과정'!$E$33^2)),('계산 과정'!$L$23-'계산 과정'!$C$49*D621-'계산 과정'!$D$49*E621)/F621,""),"")</x:f>
        <x:v>0.7468479032346036</x:v>
      </x:c>
      <x:c r="H621" s="4" t="n">
        <x:f>IF(AND(ISNUMBER(G621),G621&gt;0),('계산 과정'!$D$56+'계산 과정'!$D$57*D621+'계산 과정'!$D$58*E621)/F621,"")</x:f>
        <x:v>85.45113710249223</x:v>
      </x:c>
      <x:c r="I621" s="4" t="n">
        <x:f>IF(AND(ISNUMBER(G621),G621&gt;0),('계산 과정'!$E$56+'계산 과정'!$E$57*D621+'계산 과정'!$E$58*E621)/F621,"")</x:f>
        <x:v>-77.65666168031618</x:v>
      </x:c>
      <x:c r="J621" s="4" t="n">
        <x:f>IF('계산 과정'!$L$5,'계산 과정'!$D$6+'계산 과정'!$C$35*D621+'계산 과정'!$D$35*E621,"")</x:f>
        <x:v>601.082668992381</x:v>
      </x:c>
      <x:c r="K621" s="4" t="n">
        <x:f>IF(AND('계산 과정'!$L$6,J621&gt;0),'계산 과정'!$D$10*('계산 과정'!$C$38*(D621-'계산 과정'!$C$32)+'계산 과정'!$D$38*(E621-'계산 과정'!$D$32)-'계산 과정'!$E$38*'계산 과정'!$E$32)/J621,"")</x:f>
        <x:v>0.6510562826856557</x:v>
      </x:c>
      <x:c r="L621" s="4" t="n">
        <x:f>IF(AND('계산 과정'!$L$6,J621&gt;0),'계산 과정'!$D$10*('계산 과정'!$C$39*(D621-'계산 과정'!$C$32)+'계산 과정'!$D$39*(E621-'계산 과정'!$D$32)-'계산 과정'!$E$39*'계산 과정'!$E$32)/J621,"")</x:f>
        <x:v>-0.5916698032785995</x:v>
      </x:c>
      <x:c r="M621" s="17" t="n">
        <x:f>IF('계산 과정'!$L$6,IF(J621&lt;=0,0,IF(AND(ABS(K621)&lt;='계산 과정'!$D$11/2,ABS(L621)&lt;='계산 과정'!$D$12/2),1,0)),"")</x:f>
        <x:v>1</x:v>
      </x:c>
      <x:c r="N621" s="17" t="n">
        <x:f>IF('계산 과정'!$C$78,IF(AND(ISNUMBER(H621),ISNUMBER(I621),ABS(H621-'계산 과정'!$C$88)&lt;='계산 과정'!$D$23/2,ABS(I621-'계산 과정'!$C$89)&lt;='계산 과정'!$D$24/2),1,0),"")</x:f>
        <x:v>1</x:v>
      </x:c>
      <x:c r="O621" s="4" t="n">
        <x:f>IF('계산 과정'!$L$7,'계산 과정'!$C$49*('계산 과정'!$C$32-D621)+'계산 과정'!$D$49*('계산 과정'!$D$32-E621)+'계산 과정'!$E$49*'계산 과정'!$E$32,"")</x:f>
        <x:v>48.91733100761911</x:v>
      </x:c>
      <x:c r="P621" s="4" t="n">
        <x:f>IF(AND('계산 과정'!$L$7,O621&lt;&gt;0),('계산 과정'!$L$23-'계산 과정'!$C$49*D621-'계산 과정'!$D$49*E621)/O621,"")</x:f>
        <x:v>9.177061008044326</x:v>
      </x:c>
      <x:c r="Q621" s="4" t="str">
        <x:f>IF(AND(ISNUMBER(P621),P621&gt;1E-9,P621&lt;1-1E-9),'계산 과정'!$C$47*(D621-'계산 과정'!$C$50+P621*('계산 과정'!$C$32-D621))+'계산 과정'!$D$47*(E621-'계산 과정'!$D$50+P621*('계산 과정'!$D$32-E621))+'계산 과정'!$E$47*(0-'계산 과정'!$E$50+P621*('계산 과정'!$E$32-0)),"")</x:f>
      </x:c>
      <x:c r="R621" s="4" t="str">
        <x:f>IF(AND(ISNUMBER(P621),P621&gt;1E-9,P621&lt;1-1E-9),'계산 과정'!$C$48*(D621-'계산 과정'!$C$50+P621*('계산 과정'!$C$32-D621))+'계산 과정'!$D$48*(E621-'계산 과정'!$D$50+P621*('계산 과정'!$D$32-E621))+'계산 과정'!$E$48*(0-'계산 과정'!$E$50+P621*('계산 과정'!$E$32-0)),"")</x:f>
      </x:c>
      <x:c r="S621" s="17" t="n">
        <x:f>IF('계산 과정'!$C$78,IF(AND(ISNUMBER(Q621),ISNUMBER(R621),ABS(Q621-'계산 과정'!$C$88)&lt;='계산 과정'!$D$23/2,ABS(R621-'계산 과정'!$C$89)&lt;='계산 과정'!$D$24/2),1,0),"")</x:f>
        <x:v>0</x:v>
      </x:c>
      <x:c r="T621" s="4"/>
      <x:c r="U621" s="4"/>
      <x:c r="V621" s="4"/>
      <x:c r="W621" s="4" t="n">
        <x:f>IF('계산 과정'!$C$78,'계산 과정'!$C$88+-1*'계산 과정'!$C$90/2,"")</x:f>
        <x:v>-152.30104978473645</x:v>
      </x:c>
      <x:c r="X621" s="4" t="str">
        <x:f>""</x:f>
      </x:c>
      <x:c r="Y621" s="4" t="str">
        <x:f>""</x:f>
      </x:c>
      <x:c r="Z621" s="4" t="n">
        <x:f>IF('계산 과정'!$C$78,'계산 과정'!$C$89+0.07999999999999996*'계산 과정'!$C$91/2,"")</x:f>
        <x:v>20.047965624753342</x:v>
      </x:c>
    </x:row>
    <x:row r="622" ht="23" customHeight="1">
      <x:c r="A622" s="17" t="n">
        <x:f>ROW()-6</x:f>
        <x:v>616</x:v>
      </x:c>
      <x:c r="B622" s="4" t="n">
        <x:f>IF('계산 과정'!$L$5,'계산 과정'!$L$11*SQRT((A622+0.5)/'계산 과정'!$L$30),"")</x:f>
        <x:v>82.29867124724737</x:v>
      </x:c>
      <x:c r="C622" s="4" t="n">
        <x:f>A622*PI()*(3-SQRT(5))</x:f>
        <x:v>1478.3773495128503</x:v>
      </x:c>
      <x:c r="D622" s="4" t="n">
        <x:f>IF('계산 과정'!$L$5,B622*COS(C622),"")</x:f>
        <x:v>-20.998757750217376</x:v>
      </x:c>
      <x:c r="E622" s="4" t="n">
        <x:f>IF('계산 과정'!$L$5,B622*SIN(C622),"")</x:f>
        <x:v>79.57464082237624</x:v>
      </x:c>
      <x:c r="F622" s="4" t="n">
        <x:f>IF('계산 과정'!$L$7,'계산 과정'!$L$22+'계산 과정'!$C$49*D622+'계산 과정'!$D$49*E622,"")</x:f>
        <x:v>664.8483640016723</x:v>
      </x:c>
      <x:c r="G622" s="4" t="n">
        <x:f>IF('계산 과정'!$L$7,IF(ABS(F622)&gt;=1E-12*MAX(1,SQRT((D622-'계산 과정'!$C$33)^2+(E622-'계산 과정'!$D$33)^2+'계산 과정'!$E$33^2)),('계산 과정'!$L$23-'계산 과정'!$C$49*D622-'계산 과정'!$D$49*E622)/F622,""),"")</x:f>
        <x:v>0.57930748852284</x:v>
      </x:c>
      <x:c r="H622" s="4" t="n">
        <x:f>IF(AND(ISNUMBER(G622),G622&gt;0),('계산 과정'!$D$56+'계산 과정'!$D$57*D622+'계산 과정'!$D$58*E622)/F622,"")</x:f>
        <x:v>-23.45013246015411</x:v>
      </x:c>
      <x:c r="I622" s="4" t="n">
        <x:f>IF(AND(ISNUMBER(G622),G622&gt;0),('계산 과정'!$E$56+'계산 과정'!$E$57*D622+'계산 과정'!$E$58*E622)/F622,"")</x:f>
        <x:v>125.67282614729407</x:v>
      </x:c>
      <x:c r="J622" s="4" t="n">
        <x:f>IF('계산 과정'!$L$5,'계산 과정'!$D$6+'계산 과정'!$C$35*D622+'계산 과정'!$D$35*E622,"")</x:f>
        <x:v>664.8483640016723</x:v>
      </x:c>
      <x:c r="K622" s="4" t="n">
        <x:f>IF(AND('계산 과정'!$L$6,J622&gt;0),'계산 과정'!$D$10*('계산 과정'!$C$38*(D622-'계산 과정'!$C$32)+'계산 과정'!$D$38*(E622-'계산 과정'!$D$32)-'계산 과정'!$E$38*'계산 과정'!$E$32)/J622,"")</x:f>
        <x:v>-0.1786676758868876</x:v>
      </x:c>
      <x:c r="L622" s="4" t="n">
        <x:f>IF(AND('계산 과정'!$L$6,J622&gt;0),'계산 과정'!$D$10*('계산 과정'!$C$39*(D622-'계산 과정'!$C$32)+'계산 과정'!$D$39*(E622-'계산 과정'!$D$32)-'계산 과정'!$E$39*'계산 과정'!$E$32)/J622,"")</x:f>
        <x:v>0.9575072468365263</x:v>
      </x:c>
      <x:c r="M622" s="17" t="n">
        <x:f>IF('계산 과정'!$L$6,IF(J622&lt;=0,0,IF(AND(ABS(K622)&lt;='계산 과정'!$D$11/2,ABS(L622)&lt;='계산 과정'!$D$12/2),1,0)),"")</x:f>
        <x:v>1</x:v>
      </x:c>
      <x:c r="N622" s="17" t="n">
        <x:f>IF('계산 과정'!$C$78,IF(AND(ISNUMBER(H622),ISNUMBER(I622),ABS(H622-'계산 과정'!$C$88)&lt;='계산 과정'!$D$23/2,ABS(I622-'계산 과정'!$C$89)&lt;='계산 과정'!$D$24/2),1,0),"")</x:f>
        <x:v>1</x:v>
      </x:c>
      <x:c r="O622" s="4" t="n">
        <x:f>IF('계산 과정'!$L$7,'계산 과정'!$C$49*('계산 과정'!$C$32-D622)+'계산 과정'!$D$49*('계산 과정'!$D$32-E622)+'계산 과정'!$E$49*'계산 과정'!$E$32,"")</x:f>
        <x:v>-14.848364001672167</x:v>
      </x:c>
      <x:c r="P622" s="4" t="n">
        <x:f>IF(AND('계산 과정'!$L$7,O622&lt;&gt;0),('계산 과정'!$L$23-'계산 과정'!$C$49*D622-'계산 과정'!$D$49*E622)/O622,"")</x:f>
        <x:v>-25.938994757601133</x:v>
      </x:c>
      <x:c r="Q622" s="4" t="str">
        <x:f>IF(AND(ISNUMBER(P622),P622&gt;1E-9,P622&lt;1-1E-9),'계산 과정'!$C$47*(D622-'계산 과정'!$C$50+P622*('계산 과정'!$C$32-D622))+'계산 과정'!$D$47*(E622-'계산 과정'!$D$50+P622*('계산 과정'!$D$32-E622))+'계산 과정'!$E$47*(0-'계산 과정'!$E$50+P622*('계산 과정'!$E$32-0)),"")</x:f>
      </x:c>
      <x:c r="R622" s="4" t="str">
        <x:f>IF(AND(ISNUMBER(P622),P622&gt;1E-9,P622&lt;1-1E-9),'계산 과정'!$C$48*(D622-'계산 과정'!$C$50+P622*('계산 과정'!$C$32-D622))+'계산 과정'!$D$48*(E622-'계산 과정'!$D$50+P622*('계산 과정'!$D$32-E622))+'계산 과정'!$E$48*(0-'계산 과정'!$E$50+P622*('계산 과정'!$E$32-0)),"")</x:f>
      </x:c>
      <x:c r="S622" s="17" t="n">
        <x:f>IF('계산 과정'!$C$78,IF(AND(ISNUMBER(Q622),ISNUMBER(R622),ABS(Q622-'계산 과정'!$C$88)&lt;='계산 과정'!$D$23/2,ABS(R622-'계산 과정'!$C$89)&lt;='계산 과정'!$D$24/2),1,0),"")</x:f>
        <x:v>0</x:v>
      </x:c>
      <x:c r="T622" s="4"/>
      <x:c r="U622" s="4"/>
      <x:c r="V622" s="4"/>
      <x:c r="W622" s="4" t="n">
        <x:f>IF('계산 과정'!$C$78,'계산 과정'!$C$88+-1*'계산 과정'!$C$90/2,"")</x:f>
        <x:v>-152.30104978473645</x:v>
      </x:c>
      <x:c r="X622" s="4" t="str">
        <x:f>""</x:f>
      </x:c>
      <x:c r="Y622" s="4" t="str">
        <x:f>""</x:f>
      </x:c>
      <x:c r="Z622" s="4" t="n">
        <x:f>IF('계산 과정'!$C$78,'계산 과정'!$C$89+0.040000000000000036*'계산 과정'!$C$91/2,"")</x:f>
        <x:v>10.023982812376685</x:v>
      </x:c>
    </x:row>
    <x:row r="623" ht="23" customHeight="1">
      <x:c r="A623" s="17" t="n">
        <x:f>ROW()-6</x:f>
        <x:v>617</x:v>
      </x:c>
      <x:c r="B623" s="4" t="n">
        <x:f>IF('계산 과정'!$L$5,'계산 과정'!$L$11*SQRT((A623+0.5)/'계산 과정'!$L$30),"")</x:f>
        <x:v>82.36539089440116</x:v>
      </x:c>
      <x:c r="C623" s="4" t="n">
        <x:f>A623*PI()*(3-SQRT(5))</x:f>
        <x:v>1480.7773127425787</x:v>
      </x:c>
      <x:c r="D623" s="4" t="n">
        <x:f>IF('계산 과정'!$L$5,B623*COS(C623),"")</x:f>
        <x:v>-38.29909107674404</x:v>
      </x:c>
      <x:c r="E623" s="4" t="n">
        <x:f>IF('계산 과정'!$L$5,B623*SIN(C623),"")</x:f>
        <x:v>-72.91938864172386</x:v>
      </x:c>
      <x:c r="F623" s="4" t="n">
        <x:f>IF('계산 과정'!$L$7,'계산 과정'!$L$22+'계산 과정'!$C$49*D623+'계산 과정'!$D$49*E623,"")</x:f>
        <x:v>677.0815470136469</x:v>
      </x:c>
      <x:c r="G623" s="4" t="n">
        <x:f>IF('계산 과정'!$L$7,IF(ABS(F623)&gt;=1E-12*MAX(1,SQRT((D623-'계산 과정'!$C$33)^2+(E623-'계산 과정'!$D$33)^2+'계산 과정'!$E$33^2)),('계산 과정'!$L$23-'계산 과정'!$C$49*D623-'계산 과정'!$D$49*E623)/F623,""),"")</x:f>
        <x:v>0.5507733221074429</x:v>
      </x:c>
      <x:c r="H623" s="4" t="n">
        <x:f>IF(AND(ISNUMBER(G623),G623&gt;0),('계산 과정'!$D$56+'계산 과정'!$D$57*D623+'계산 과정'!$D$58*E623)/F623,"")</x:f>
        <x:v>-41.99734063016223</x:v>
      </x:c>
      <x:c r="I623" s="4" t="n">
        <x:f>IF(AND(ISNUMBER(G623),G623&gt;0),('계산 과정'!$E$56+'계산 과정'!$E$57*D623+'계산 과정'!$E$58*E623)/F623,"")</x:f>
        <x:v>-113.08144256996984</x:v>
      </x:c>
      <x:c r="J623" s="4" t="n">
        <x:f>IF('계산 과정'!$L$5,'계산 과정'!$D$6+'계산 과정'!$C$35*D623+'계산 과정'!$D$35*E623,"")</x:f>
        <x:v>677.0815470136469</x:v>
      </x:c>
      <x:c r="K623" s="4" t="n">
        <x:f>IF(AND('계산 과정'!$L$6,J623&gt;0),'계산 과정'!$D$10*('계산 과정'!$C$38*(D623-'계산 과정'!$C$32)+'계산 과정'!$D$38*(E623-'계산 과정'!$D$32)-'계산 과정'!$E$38*'계산 과정'!$E$32)/J623,"")</x:f>
        <x:v>-0.31997973813456854</x:v>
      </x:c>
      <x:c r="L623" s="4" t="n">
        <x:f>IF(AND('계산 과정'!$L$6,J623&gt;0),'계산 과정'!$D$10*('계산 과정'!$C$39*(D623-'계산 과정'!$C$32)+'계산 과정'!$D$39*(E623-'계산 과정'!$D$32)-'계산 과정'!$E$39*'계산 과정'!$E$32)/J623,"")</x:f>
        <x:v>-0.8615728957711989</x:v>
      </x:c>
      <x:c r="M623" s="17" t="n">
        <x:f>IF('계산 과정'!$L$6,IF(J623&lt;=0,0,IF(AND(ABS(K623)&lt;='계산 과정'!$D$11/2,ABS(L623)&lt;='계산 과정'!$D$12/2),1,0)),"")</x:f>
        <x:v>1</x:v>
      </x:c>
      <x:c r="N623" s="17" t="n">
        <x:f>IF('계산 과정'!$C$78,IF(AND(ISNUMBER(H623),ISNUMBER(I623),ABS(H623-'계산 과정'!$C$88)&lt;='계산 과정'!$D$23/2,ABS(I623-'계산 과정'!$C$89)&lt;='계산 과정'!$D$24/2),1,0),"")</x:f>
        <x:v>1</x:v>
      </x:c>
      <x:c r="O623" s="4" t="n">
        <x:f>IF('계산 과정'!$L$7,'계산 과정'!$C$49*('계산 과정'!$C$32-D623)+'계산 과정'!$D$49*('계산 과정'!$D$32-E623)+'계산 과정'!$E$49*'계산 과정'!$E$32,"")</x:f>
        <x:v>-27.081547013646798</x:v>
      </x:c>
      <x:c r="P623" s="4" t="n">
        <x:f>IF(AND('계산 과정'!$L$7,O623&lt;&gt;0),('계산 과정'!$L$23-'계산 과정'!$C$49*D623-'계산 과정'!$D$49*E623)/O623,"")</x:f>
        <x:v>-13.770204959060644</x:v>
      </x:c>
      <x:c r="Q623" s="4" t="str">
        <x:f>IF(AND(ISNUMBER(P623),P623&gt;1E-9,P623&lt;1-1E-9),'계산 과정'!$C$47*(D623-'계산 과정'!$C$50+P623*('계산 과정'!$C$32-D623))+'계산 과정'!$D$47*(E623-'계산 과정'!$D$50+P623*('계산 과정'!$D$32-E623))+'계산 과정'!$E$47*(0-'계산 과정'!$E$50+P623*('계산 과정'!$E$32-0)),"")</x:f>
      </x:c>
      <x:c r="R623" s="4" t="str">
        <x:f>IF(AND(ISNUMBER(P623),P623&gt;1E-9,P623&lt;1-1E-9),'계산 과정'!$C$48*(D623-'계산 과정'!$C$50+P623*('계산 과정'!$C$32-D623))+'계산 과정'!$D$48*(E623-'계산 과정'!$D$50+P623*('계산 과정'!$D$32-E623))+'계산 과정'!$E$48*(0-'계산 과정'!$E$50+P623*('계산 과정'!$E$32-0)),"")</x:f>
      </x:c>
      <x:c r="S623" s="17" t="n">
        <x:f>IF('계산 과정'!$C$78,IF(AND(ISNUMBER(Q623),ISNUMBER(R623),ABS(Q623-'계산 과정'!$C$88)&lt;='계산 과정'!$D$23/2,ABS(R623-'계산 과정'!$C$89)&lt;='계산 과정'!$D$24/2),1,0),"")</x:f>
        <x:v>0</x:v>
      </x:c>
      <x:c r="T623" s="4"/>
      <x:c r="U623" s="4"/>
      <x:c r="V623" s="4"/>
      <x:c r="W623" s="4" t="n">
        <x:f>IF('계산 과정'!$C$78,'계산 과정'!$C$88+-1*'계산 과정'!$C$90/2,"")</x:f>
        <x:v>-152.30104978473645</x:v>
      </x:c>
      <x:c r="X623" s="4" t="str">
        <x:f>""</x:f>
      </x:c>
      <x:c r="Y623" s="4" t="str">
        <x:f>""</x:f>
      </x:c>
      <x:c r="Z623" s="4" t="n">
        <x:f>IF('계산 과정'!$C$78,'계산 과정'!$C$89+0*'계산 과정'!$C$91/2,"")</x:f>
        <x:v>0</x:v>
      </x:c>
    </x:row>
    <x:row r="624" ht="23" customHeight="1">
      <x:c r="A624" s="17" t="n">
        <x:f>ROW()-6</x:f>
        <x:v>618</x:v>
      </x:c>
      <x:c r="B624" s="4" t="n">
        <x:f>IF('계산 과정'!$L$5,'계산 과정'!$L$11*SQRT((A624+0.5)/'계산 과정'!$L$30),"")</x:f>
        <x:v>82.43205653938581</x:v>
      </x:c>
      <x:c r="C624" s="4" t="n">
        <x:f>A624*PI()*(3-SQRT(5))</x:f>
        <x:v>1483.1772759723076</x:v>
      </x:c>
      <x:c r="D624" s="4" t="n">
        <x:f>IF('계산 과정'!$L$5,B624*COS(C624),"")</x:f>
        <x:v>77.55962224909528</x:v>
      </x:c>
      <x:c r="E624" s="4" t="n">
        <x:f>IF('계산 과정'!$L$5,B624*SIN(C624),"")</x:f>
        <x:v>27.92040368422605</x:v>
      </x:c>
      <x:c r="F624" s="4" t="n">
        <x:f>IF('계산 과정'!$L$7,'계산 과정'!$L$22+'계산 과정'!$C$49*D624+'계산 과정'!$D$49*E624,"")</x:f>
        <x:v>595.1570651613977</x:v>
      </x:c>
      <x:c r="G624" s="4" t="n">
        <x:f>IF('계산 과정'!$L$7,IF(ABS(F624)&gt;=1E-12*MAX(1,SQRT((D624-'계산 과정'!$C$33)^2+(E624-'계산 과정'!$D$33)^2+'계산 과정'!$E$33^2)),('계산 과정'!$L$23-'계산 과정'!$C$49*D624-'계산 과정'!$D$49*E624)/F624,""),"")</x:f>
        <x:v>0.7642401669469482</x:v>
      </x:c>
      <x:c r="H624" s="4" t="n">
        <x:f>IF(AND(ISNUMBER(G624),G624&gt;0),('계산 과정'!$D$56+'계산 과정'!$D$57*D624+'계산 과정'!$D$58*E624)/F624,"")</x:f>
        <x:v>96.75610851551623</x:v>
      </x:c>
      <x:c r="I624" s="4" t="n">
        <x:f>IF(AND(ISNUMBER(G624),G624&gt;0),('계산 과정'!$E$56+'계산 과정'!$E$57*D624+'계산 과정'!$E$58*E624)/F624,"")</x:f>
        <x:v>49.25829765708516</x:v>
      </x:c>
      <x:c r="J624" s="4" t="n">
        <x:f>IF('계산 과정'!$L$5,'계산 과정'!$D$6+'계산 과정'!$C$35*D624+'계산 과정'!$D$35*E624,"")</x:f>
        <x:v>595.1570651613977</x:v>
      </x:c>
      <x:c r="K624" s="4" t="n">
        <x:f>IF(AND('계산 과정'!$L$6,J624&gt;0),'계산 과정'!$D$10*('계산 과정'!$C$38*(D624-'계산 과정'!$C$32)+'계산 과정'!$D$38*(E624-'계산 과정'!$D$32)-'계산 과정'!$E$38*'계산 과정'!$E$32)/J624,"")</x:f>
        <x:v>0.7371893982134582</x:v>
      </x:c>
      <x:c r="L624" s="4" t="n">
        <x:f>IF(AND('계산 과정'!$L$6,J624&gt;0),'계산 과정'!$D$10*('계산 과정'!$C$39*(D624-'계산 과정'!$C$32)+'계산 과정'!$D$39*(E624-'계산 과정'!$D$32)-'계산 과정'!$E$39*'계산 과정'!$E$32)/J624,"")</x:f>
        <x:v>0.3753013154825536</x:v>
      </x:c>
      <x:c r="M624" s="17" t="n">
        <x:f>IF('계산 과정'!$L$6,IF(J624&lt;=0,0,IF(AND(ABS(K624)&lt;='계산 과정'!$D$11/2,ABS(L624)&lt;='계산 과정'!$D$12/2),1,0)),"")</x:f>
        <x:v>1</x:v>
      </x:c>
      <x:c r="N624" s="17" t="n">
        <x:f>IF('계산 과정'!$C$78,IF(AND(ISNUMBER(H624),ISNUMBER(I624),ABS(H624-'계산 과정'!$C$88)&lt;='계산 과정'!$D$23/2,ABS(I624-'계산 과정'!$C$89)&lt;='계산 과정'!$D$24/2),1,0),"")</x:f>
        <x:v>1</x:v>
      </x:c>
      <x:c r="O624" s="4" t="n">
        <x:f>IF('계산 과정'!$L$7,'계산 과정'!$C$49*('계산 과정'!$C$32-D624)+'계산 과정'!$D$49*('계산 과정'!$D$32-E624)+'계산 과정'!$E$49*'계산 과정'!$E$32,"")</x:f>
        <x:v>54.842934838602446</x:v>
      </x:c>
      <x:c r="P624" s="4" t="n">
        <x:f>IF(AND('계산 과정'!$L$7,O624&lt;&gt;0),('계산 과정'!$L$23-'계산 과정'!$C$49*D624-'계산 과정'!$D$49*E624)/O624,"")</x:f>
        <x:v>8.293555700058027</x:v>
      </x:c>
      <x:c r="Q624" s="4" t="str">
        <x:f>IF(AND(ISNUMBER(P624),P624&gt;1E-9,P624&lt;1-1E-9),'계산 과정'!$C$47*(D624-'계산 과정'!$C$50+P624*('계산 과정'!$C$32-D624))+'계산 과정'!$D$47*(E624-'계산 과정'!$D$50+P624*('계산 과정'!$D$32-E624))+'계산 과정'!$E$47*(0-'계산 과정'!$E$50+P624*('계산 과정'!$E$32-0)),"")</x:f>
      </x:c>
      <x:c r="R624" s="4" t="str">
        <x:f>IF(AND(ISNUMBER(P624),P624&gt;1E-9,P624&lt;1-1E-9),'계산 과정'!$C$48*(D624-'계산 과정'!$C$50+P624*('계산 과정'!$C$32-D624))+'계산 과정'!$D$48*(E624-'계산 과정'!$D$50+P624*('계산 과정'!$D$32-E624))+'계산 과정'!$E$48*(0-'계산 과정'!$E$50+P624*('계산 과정'!$E$32-0)),"")</x:f>
      </x:c>
      <x:c r="S624" s="17" t="n">
        <x:f>IF('계산 과정'!$C$78,IF(AND(ISNUMBER(Q624),ISNUMBER(R624),ABS(Q624-'계산 과정'!$C$88)&lt;='계산 과정'!$D$23/2,ABS(R624-'계산 과정'!$C$89)&lt;='계산 과정'!$D$24/2),1,0),"")</x:f>
        <x:v>0</x:v>
      </x:c>
      <x:c r="T624" s="4"/>
      <x:c r="U624" s="4"/>
      <x:c r="V624" s="4"/>
      <x:c r="W624" s="4" t="n">
        <x:f>IF('계산 과정'!$C$78,'계산 과정'!$C$88+-1*'계산 과정'!$C$90/2,"")</x:f>
        <x:v>-152.30104978473645</x:v>
      </x:c>
      <x:c r="X624" s="4" t="str">
        <x:f>""</x:f>
      </x:c>
      <x:c r="Y624" s="4" t="str">
        <x:f>""</x:f>
      </x:c>
      <x:c r="Z624" s="4" t="n">
        <x:f>IF('계산 과정'!$C$78,'계산 과정'!$C$89+-0.040000000000000036*'계산 과정'!$C$91/2,"")</x:f>
        <x:v>-10.023982812376685</x:v>
      </x:c>
    </x:row>
    <x:row r="625" ht="23" customHeight="1">
      <x:c r="A625" s="17" t="n">
        <x:f>ROW()-6</x:f>
        <x:v>619</x:v>
      </x:c>
      <x:c r="B625" s="4" t="n">
        <x:f>IF('계산 과정'!$L$5,'계산 과정'!$L$11*SQRT((A625+0.5)/'계산 과정'!$L$30),"")</x:f>
        <x:v>82.49866831311583</x:v>
      </x:c>
      <x:c r="C625" s="4" t="n">
        <x:f>A625*PI()*(3-SQRT(5))</x:f>
        <x:v>1485.5772392020363</x:v>
      </x:c>
      <x:c r="D625" s="4" t="n">
        <x:f>IF('계산 과정'!$L$5,B625*COS(C625),"")</x:f>
        <x:v>-76.11146790881688</x:v>
      </x:c>
      <x:c r="E625" s="4" t="n">
        <x:f>IF('계산 과정'!$L$5,B625*SIN(C625),"")</x:f>
        <x:v>31.82883482320144</x:v>
      </x:c>
      <x:c r="F625" s="4" t="n">
        <x:f>IF('계산 과정'!$L$7,'계산 과정'!$L$22+'계산 과정'!$C$49*D625+'계산 과정'!$D$49*E625,"")</x:f>
        <x:v>703.8189350843867</x:v>
      </x:c>
      <x:c r="G625" s="4" t="n">
        <x:f>IF('계산 과정'!$L$7,IF(ABS(F625)&gt;=1E-12*MAX(1,SQRT((D625-'계산 과정'!$C$33)^2+(E625-'계산 과정'!$D$33)^2+'계산 과정'!$E$33^2)),('계산 과정'!$L$23-'계산 과정'!$C$49*D625-'계산 과정'!$D$49*E625)/F625,""),"")</x:f>
        <x:v>0.4918609711375651</x:v>
      </x:c>
      <x:c r="H625" s="4" t="n">
        <x:f>IF(AND(ISNUMBER(G625),G625&gt;0),('계산 과정'!$D$56+'계산 과정'!$D$57*D625+'계산 과정'!$D$58*E625)/F625,"")</x:f>
        <x:v>-80.29036876058285</x:v>
      </x:c>
      <x:c r="I625" s="4" t="n">
        <x:f>IF(AND(ISNUMBER(G625),G625&gt;0),('계산 과정'!$E$56+'계산 과정'!$E$57*D625+'계산 과정'!$E$58*E625)/F625,"")</x:f>
        <x:v>47.484196429518455</x:v>
      </x:c>
      <x:c r="J625" s="4" t="n">
        <x:f>IF('계산 과정'!$L$5,'계산 과정'!$D$6+'계산 과정'!$C$35*D625+'계산 과정'!$D$35*E625,"")</x:f>
        <x:v>703.8189350843867</x:v>
      </x:c>
      <x:c r="K625" s="4" t="n">
        <x:f>IF(AND('계산 과정'!$L$6,J625&gt;0),'계산 과정'!$D$10*('계산 과정'!$C$38*(D625-'계산 과정'!$C$32)+'계산 과정'!$D$38*(E625-'계산 과정'!$D$32)-'계산 과정'!$E$38*'계산 과정'!$E$32)/J625,"")</x:f>
        <x:v>-0.6117361429377729</x:v>
      </x:c>
      <x:c r="L625" s="4" t="n">
        <x:f>IF(AND('계산 과정'!$L$6,J625&gt;0),'계산 과정'!$D$10*('계산 과정'!$C$39*(D625-'계산 과정'!$C$32)+'계산 과정'!$D$39*(E625-'계산 과정'!$D$32)-'계산 과정'!$E$39*'계산 과정'!$E$32)/J625,"")</x:f>
        <x:v>0.361784353748712</x:v>
      </x:c>
      <x:c r="M625" s="17" t="n">
        <x:f>IF('계산 과정'!$L$6,IF(J625&lt;=0,0,IF(AND(ABS(K625)&lt;='계산 과정'!$D$11/2,ABS(L625)&lt;='계산 과정'!$D$12/2),1,0)),"")</x:f>
        <x:v>1</x:v>
      </x:c>
      <x:c r="N625" s="17" t="n">
        <x:f>IF('계산 과정'!$C$78,IF(AND(ISNUMBER(H625),ISNUMBER(I625),ABS(H625-'계산 과정'!$C$88)&lt;='계산 과정'!$D$23/2,ABS(I625-'계산 과정'!$C$89)&lt;='계산 과정'!$D$24/2),1,0),"")</x:f>
        <x:v>1</x:v>
      </x:c>
      <x:c r="O625" s="4" t="n">
        <x:f>IF('계산 과정'!$L$7,'계산 과정'!$C$49*('계산 과정'!$C$32-D625)+'계산 과정'!$D$49*('계산 과정'!$D$32-E625)+'계산 과정'!$E$49*'계산 과정'!$E$32,"")</x:f>
        <x:v>-53.81893508438657</x:v>
      </x:c>
      <x:c r="P625" s="4" t="n">
        <x:f>IF(AND('계산 과정'!$L$7,O625&lt;&gt;0),('계산 과정'!$L$23-'계산 과정'!$C$49*D625-'계산 과정'!$D$49*E625)/O625,"")</x:f>
        <x:v>-6.432328405844731</x:v>
      </x:c>
      <x:c r="Q625" s="4" t="str">
        <x:f>IF(AND(ISNUMBER(P625),P625&gt;1E-9,P625&lt;1-1E-9),'계산 과정'!$C$47*(D625-'계산 과정'!$C$50+P625*('계산 과정'!$C$32-D625))+'계산 과정'!$D$47*(E625-'계산 과정'!$D$50+P625*('계산 과정'!$D$32-E625))+'계산 과정'!$E$47*(0-'계산 과정'!$E$50+P625*('계산 과정'!$E$32-0)),"")</x:f>
      </x:c>
      <x:c r="R625" s="4" t="str">
        <x:f>IF(AND(ISNUMBER(P625),P625&gt;1E-9,P625&lt;1-1E-9),'계산 과정'!$C$48*(D625-'계산 과정'!$C$50+P625*('계산 과정'!$C$32-D625))+'계산 과정'!$D$48*(E625-'계산 과정'!$D$50+P625*('계산 과정'!$D$32-E625))+'계산 과정'!$E$48*(0-'계산 과정'!$E$50+P625*('계산 과정'!$E$32-0)),"")</x:f>
      </x:c>
      <x:c r="S625" s="17" t="n">
        <x:f>IF('계산 과정'!$C$78,IF(AND(ISNUMBER(Q625),ISNUMBER(R625),ABS(Q625-'계산 과정'!$C$88)&lt;='계산 과정'!$D$23/2,ABS(R625-'계산 과정'!$C$89)&lt;='계산 과정'!$D$24/2),1,0),"")</x:f>
        <x:v>0</x:v>
      </x:c>
      <x:c r="T625" s="4"/>
      <x:c r="U625" s="4"/>
      <x:c r="V625" s="4"/>
      <x:c r="W625" s="4" t="n">
        <x:f>IF('계산 과정'!$C$78,'계산 과정'!$C$88+-1*'계산 과정'!$C$90/2,"")</x:f>
        <x:v>-152.30104978473645</x:v>
      </x:c>
      <x:c r="X625" s="4" t="str">
        <x:f>""</x:f>
      </x:c>
      <x:c r="Y625" s="4" t="str">
        <x:f>""</x:f>
      </x:c>
      <x:c r="Z625" s="4" t="n">
        <x:f>IF('계산 과정'!$C$78,'계산 과정'!$C$89+-0.08000000000000007*'계산 과정'!$C$91/2,"")</x:f>
        <x:v>-20.04796562475337</x:v>
      </x:c>
    </x:row>
    <x:row r="626" ht="23" customHeight="1">
      <x:c r="A626" s="17" t="n">
        <x:f>ROW()-6</x:f>
        <x:v>620</x:v>
      </x:c>
      <x:c r="B626" s="4" t="n">
        <x:f>IF('계산 과정'!$L$5,'계산 과정'!$L$11*SQRT((A626+0.5)/'계산 과정'!$L$30),"")</x:f>
        <x:v>82.5652263459775</x:v>
      </x:c>
      <x:c r="C626" s="4" t="n">
        <x:f>A626*PI()*(3-SQRT(5))</x:f>
        <x:v>1487.9772024317647</x:v>
      </x:c>
      <x:c r="D626" s="4" t="n">
        <x:f>IF('계산 과정'!$L$5,B626*COS(C626),"")</x:f>
        <x:v>34.650091063392836</x:v>
      </x:c>
      <x:c r="E626" s="4" t="n">
        <x:f>IF('계산 과정'!$L$5,B626*SIN(C626),"")</x:f>
        <x:v>-74.94256327922793</x:v>
      </x:c>
      <x:c r="F626" s="4" t="n">
        <x:f>IF('계산 과정'!$L$7,'계산 과정'!$L$22+'계산 과정'!$C$49*D626+'계산 과정'!$D$49*E626,"")</x:f>
        <x:v>625.4986856403435</x:v>
      </x:c>
      <x:c r="G626" s="4" t="n">
        <x:f>IF('계산 과정'!$L$7,IF(ABS(F626)&gt;=1E-12*MAX(1,SQRT((D626-'계산 과정'!$C$33)^2+(E626-'계산 과정'!$D$33)^2+'계산 과정'!$E$33^2)),('계산 과정'!$L$23-'계산 과정'!$C$49*D626-'계산 과정'!$D$49*E626)/F626,""),"")</x:f>
        <x:v>0.6786606017006743</x:v>
      </x:c>
      <x:c r="H626" s="4" t="n">
        <x:f>IF(AND(ISNUMBER(G626),G626&gt;0),('계산 과정'!$D$56+'계산 과정'!$D$57*D626+'계산 과정'!$D$58*E626)/F626,"")</x:f>
        <x:v>41.12939110543819</x:v>
      </x:c>
      <x:c r="I626" s="4" t="n">
        <x:f>IF(AND(ISNUMBER(G626),G626&gt;0),('계산 과정'!$E$56+'계산 과정'!$E$57*D626+'계산 과정'!$E$58*E626)/F626,"")</x:f>
        <x:v>-125.8031283672996</x:v>
      </x:c>
      <x:c r="J626" s="4" t="n">
        <x:f>IF('계산 과정'!$L$5,'계산 과정'!$D$6+'계산 과정'!$C$35*D626+'계산 과정'!$D$35*E626,"")</x:f>
        <x:v>625.4986856403435</x:v>
      </x:c>
      <x:c r="K626" s="4" t="n">
        <x:f>IF(AND('계산 과정'!$L$6,J626&gt;0),'계산 과정'!$D$10*('계산 과정'!$C$38*(D626-'계산 과정'!$C$32)+'계산 과정'!$D$38*(E626-'계산 과정'!$D$32)-'계산 과정'!$E$38*'계산 과정'!$E$32)/J626,"")</x:f>
        <x:v>0.3133667893747681</x:v>
      </x:c>
      <x:c r="L626" s="4" t="n">
        <x:f>IF(AND('계산 과정'!$L$6,J626&gt;0),'계산 과정'!$D$10*('계산 과정'!$C$39*(D626-'계산 과정'!$C$32)+'계산 과정'!$D$39*(E626-'계산 과정'!$D$32)-'계산 과정'!$E$39*'계산 과정'!$E$32)/J626,"")</x:f>
        <x:v>-0.9585000256556161</x:v>
      </x:c>
      <x:c r="M626" s="17" t="n">
        <x:f>IF('계산 과정'!$L$6,IF(J626&lt;=0,0,IF(AND(ABS(K626)&lt;='계산 과정'!$D$11/2,ABS(L626)&lt;='계산 과정'!$D$12/2),1,0)),"")</x:f>
        <x:v>1</x:v>
      </x:c>
      <x:c r="N626" s="17" t="n">
        <x:f>IF('계산 과정'!$C$78,IF(AND(ISNUMBER(H626),ISNUMBER(I626),ABS(H626-'계산 과정'!$C$88)&lt;='계산 과정'!$D$23/2,ABS(I626-'계산 과정'!$C$89)&lt;='계산 과정'!$D$24/2),1,0),"")</x:f>
        <x:v>1</x:v>
      </x:c>
      <x:c r="O626" s="4" t="n">
        <x:f>IF('계산 과정'!$L$7,'계산 과정'!$C$49*('계산 과정'!$C$32-D626)+'계산 과정'!$D$49*('계산 과정'!$D$32-E626)+'계산 과정'!$E$49*'계산 과정'!$E$32,"")</x:f>
        <x:v>24.50131435965659</x:v>
      </x:c>
      <x:c r="P626" s="4" t="n">
        <x:f>IF(AND('계산 과정'!$L$7,O626&lt;&gt;0),('계산 과정'!$L$23-'계산 과정'!$C$49*D626-'계산 과정'!$D$49*E626)/O626,"")</x:f>
        <x:v>17.325654784407504</x:v>
      </x:c>
      <x:c r="Q626" s="4" t="str">
        <x:f>IF(AND(ISNUMBER(P626),P626&gt;1E-9,P626&lt;1-1E-9),'계산 과정'!$C$47*(D626-'계산 과정'!$C$50+P626*('계산 과정'!$C$32-D626))+'계산 과정'!$D$47*(E626-'계산 과정'!$D$50+P626*('계산 과정'!$D$32-E626))+'계산 과정'!$E$47*(0-'계산 과정'!$E$50+P626*('계산 과정'!$E$32-0)),"")</x:f>
      </x:c>
      <x:c r="R626" s="4" t="str">
        <x:f>IF(AND(ISNUMBER(P626),P626&gt;1E-9,P626&lt;1-1E-9),'계산 과정'!$C$48*(D626-'계산 과정'!$C$50+P626*('계산 과정'!$C$32-D626))+'계산 과정'!$D$48*(E626-'계산 과정'!$D$50+P626*('계산 과정'!$D$32-E626))+'계산 과정'!$E$48*(0-'계산 과정'!$E$50+P626*('계산 과정'!$E$32-0)),"")</x:f>
      </x:c>
      <x:c r="S626" s="17" t="n">
        <x:f>IF('계산 과정'!$C$78,IF(AND(ISNUMBER(Q626),ISNUMBER(R626),ABS(Q626-'계산 과정'!$C$88)&lt;='계산 과정'!$D$23/2,ABS(R626-'계산 과정'!$C$89)&lt;='계산 과정'!$D$24/2),1,0),"")</x:f>
        <x:v>0</x:v>
      </x:c>
      <x:c r="T626" s="4"/>
      <x:c r="U626" s="4"/>
      <x:c r="V626" s="4"/>
      <x:c r="W626" s="4" t="n">
        <x:f>IF('계산 과정'!$C$78,'계산 과정'!$C$88+-1*'계산 과정'!$C$90/2,"")</x:f>
        <x:v>-152.30104978473645</x:v>
      </x:c>
      <x:c r="X626" s="4" t="str">
        <x:f>""</x:f>
      </x:c>
      <x:c r="Y626" s="4" t="str">
        <x:f>""</x:f>
      </x:c>
      <x:c r="Z626" s="4" t="n">
        <x:f>IF('계산 과정'!$C$78,'계산 과정'!$C$89+-0.1200000000000001*'계산 과정'!$C$91/2,"")</x:f>
        <x:v>-30.071948437130054</x:v>
      </x:c>
    </x:row>
    <x:row r="627" ht="23" customHeight="1">
      <x:c r="A627" s="17" t="n">
        <x:f>ROW()-6</x:f>
        <x:v>621</x:v>
      </x:c>
      <x:c r="B627" s="4" t="n">
        <x:f>IF('계산 과정'!$L$5,'계산 과정'!$L$11*SQRT((A627+0.5)/'계산 과정'!$L$30),"")</x:f>
        <x:v>82.63173076783217</x:v>
      </x:c>
      <x:c r="C627" s="4" t="n">
        <x:f>A627*PI()*(3-SQRT(5))</x:f>
        <x:v>1490.3771656614936</x:v>
      </x:c>
      <x:c r="D627" s="4" t="n">
        <x:f>IF('계산 과정'!$L$5,B627*COS(C627),"")</x:f>
        <x:v>25.093271144392183</x:v>
      </x:c>
      <x:c r="E627" s="4" t="n">
        <x:f>IF('계산 과정'!$L$5,B627*SIN(C627),"")</x:f>
        <x:v>78.72947778920877</x:v>
      </x:c>
      <x:c r="F627" s="4" t="n">
        <x:f>IF('계산 과정'!$L$7,'계산 과정'!$L$22+'계산 과정'!$C$49*D627+'계산 과정'!$D$49*E627,"")</x:f>
        <x:v>632.2563778116476</x:v>
      </x:c>
      <x:c r="G627" s="4" t="n">
        <x:f>IF('계산 과정'!$L$7,IF(ABS(F627)&gt;=1E-12*MAX(1,SQRT((D627-'계산 과정'!$C$33)^2+(E627-'계산 과정'!$D$33)^2+'계산 과정'!$E$33^2)),('계산 과정'!$L$23-'계산 과정'!$C$49*D627-'계산 과정'!$D$49*E627)/F627,""),"")</x:f>
        <x:v>0.6607187160914657</x:v>
      </x:c>
      <x:c r="H627" s="4" t="n">
        <x:f>IF(AND(ISNUMBER(G627),G627&gt;0),('계산 과정'!$D$56+'계산 과정'!$D$57*D627+'계산 과정'!$D$58*E627)/F627,"")</x:f>
        <x:v>29.467165459452584</x:v>
      </x:c>
      <x:c r="I627" s="4" t="n">
        <x:f>IF(AND(ISNUMBER(G627),G627&gt;0),('계산 과정'!$E$56+'계산 과정'!$E$57*D627+'계산 과정'!$E$58*E627)/F627,"")</x:f>
        <x:v>130.74751727264635</x:v>
      </x:c>
      <x:c r="J627" s="4" t="n">
        <x:f>IF('계산 과정'!$L$5,'계산 과정'!$D$6+'계산 과정'!$C$35*D627+'계산 과정'!$D$35*E627,"")</x:f>
        <x:v>632.2563778116476</x:v>
      </x:c>
      <x:c r="K627" s="4" t="n">
        <x:f>IF(AND('계산 과정'!$L$6,J627&gt;0),'계산 과정'!$D$10*('계산 과정'!$C$38*(D627-'계산 과정'!$C$32)+'계산 과정'!$D$38*(E627-'계산 과정'!$D$32)-'계산 과정'!$E$38*'계산 과정'!$E$32)/J627,"")</x:f>
        <x:v>0.22451173683392547</x:v>
      </x:c>
      <x:c r="L627" s="4" t="n">
        <x:f>IF(AND('계산 과정'!$L$6,J627&gt;0),'계산 과정'!$D$10*('계산 과정'!$C$39*(D627-'계산 과정'!$C$32)+'계산 과정'!$D$39*(E627-'계산 과정'!$D$32)-'계산 과정'!$E$39*'계산 과정'!$E$32)/J627,"")</x:f>
        <x:v>0.9961715601725437</x:v>
      </x:c>
      <x:c r="M627" s="17" t="n">
        <x:f>IF('계산 과정'!$L$6,IF(J627&lt;=0,0,IF(AND(ABS(K627)&lt;='계산 과정'!$D$11/2,ABS(L627)&lt;='계산 과정'!$D$12/2),1,0)),"")</x:f>
        <x:v>1</x:v>
      </x:c>
      <x:c r="N627" s="17" t="n">
        <x:f>IF('계산 과정'!$C$78,IF(AND(ISNUMBER(H627),ISNUMBER(I627),ABS(H627-'계산 과정'!$C$88)&lt;='계산 과정'!$D$23/2,ABS(I627-'계산 과정'!$C$89)&lt;='계산 과정'!$D$24/2),1,0),"")</x:f>
        <x:v>1</x:v>
      </x:c>
      <x:c r="O627" s="4" t="n">
        <x:f>IF('계산 과정'!$L$7,'계산 과정'!$C$49*('계산 과정'!$C$32-D627)+'계산 과정'!$D$49*('계산 과정'!$D$32-E627)+'계산 과정'!$E$49*'계산 과정'!$E$32,"")</x:f>
        <x:v>17.74362218835256</x:v>
      </x:c>
      <x:c r="P627" s="4" t="n">
        <x:f>IF(AND('계산 과정'!$L$7,O627&lt;&gt;0),('계산 과정'!$L$23-'계산 과정'!$C$49*D627-'계산 과정'!$D$49*E627)/O627,"")</x:f>
        <x:v>23.543311379937506</x:v>
      </x:c>
      <x:c r="Q627" s="4" t="str">
        <x:f>IF(AND(ISNUMBER(P627),P627&gt;1E-9,P627&lt;1-1E-9),'계산 과정'!$C$47*(D627-'계산 과정'!$C$50+P627*('계산 과정'!$C$32-D627))+'계산 과정'!$D$47*(E627-'계산 과정'!$D$50+P627*('계산 과정'!$D$32-E627))+'계산 과정'!$E$47*(0-'계산 과정'!$E$50+P627*('계산 과정'!$E$32-0)),"")</x:f>
      </x:c>
      <x:c r="R627" s="4" t="str">
        <x:f>IF(AND(ISNUMBER(P627),P627&gt;1E-9,P627&lt;1-1E-9),'계산 과정'!$C$48*(D627-'계산 과정'!$C$50+P627*('계산 과정'!$C$32-D627))+'계산 과정'!$D$48*(E627-'계산 과정'!$D$50+P627*('계산 과정'!$D$32-E627))+'계산 과정'!$E$48*(0-'계산 과정'!$E$50+P627*('계산 과정'!$E$32-0)),"")</x:f>
      </x:c>
      <x:c r="S627" s="17" t="n">
        <x:f>IF('계산 과정'!$C$78,IF(AND(ISNUMBER(Q627),ISNUMBER(R627),ABS(Q627-'계산 과정'!$C$88)&lt;='계산 과정'!$D$23/2,ABS(R627-'계산 과정'!$C$89)&lt;='계산 과정'!$D$24/2),1,0),"")</x:f>
        <x:v>0</x:v>
      </x:c>
      <x:c r="T627" s="4"/>
      <x:c r="U627" s="4"/>
      <x:c r="V627" s="4"/>
      <x:c r="W627" s="4" t="n">
        <x:f>IF('계산 과정'!$C$78,'계산 과정'!$C$88+-1*'계산 과정'!$C$90/2,"")</x:f>
        <x:v>-152.30104978473645</x:v>
      </x:c>
      <x:c r="X627" s="4" t="str">
        <x:f>""</x:f>
      </x:c>
      <x:c r="Y627" s="4" t="str">
        <x:f>""</x:f>
      </x:c>
      <x:c r="Z627" s="4" t="n">
        <x:f>IF('계산 과정'!$C$78,'계산 과정'!$C$89+-0.15999999999999992*'계산 과정'!$C$91/2,"")</x:f>
        <x:v>-40.095931249506684</x:v>
      </x:c>
    </x:row>
    <x:row r="628" ht="23" customHeight="1">
      <x:c r="A628" s="17" t="n">
        <x:f>ROW()-6</x:f>
        <x:v>622</x:v>
      </x:c>
      <x:c r="B628" s="4" t="n">
        <x:f>IF('계산 과정'!$L$5,'계산 과정'!$L$11*SQRT((A628+0.5)/'계산 과정'!$L$30),"")</x:f>
        <x:v>82.69818170801884</x:v>
      </x:c>
      <x:c r="C628" s="4" t="n">
        <x:f>A628*PI()*(3-SQRT(5))</x:f>
        <x:v>1492.777128891222</x:v>
      </x:c>
      <x:c r="D628" s="4" t="n">
        <x:f>IF('계산 과정'!$L$5,B628*COS(C628),"")</x:f>
        <x:v>-71.74164227971224</x:v>
      </x:c>
      <x:c r="E628" s="4" t="n">
        <x:f>IF('계산 과정'!$L$5,B628*SIN(C628),"")</x:f>
        <x:v>-41.13545940939893</x:v>
      </x:c>
      <x:c r="F628" s="4" t="n">
        <x:f>IF('계산 과정'!$L$7,'계산 과정'!$L$22+'계산 과정'!$C$49*D628+'계산 과정'!$D$49*E628,"")</x:f>
        <x:v>700.729001749444</x:v>
      </x:c>
      <x:c r="G628" s="4" t="n">
        <x:f>IF('계산 과정'!$L$7,IF(ABS(F628)&gt;=1E-12*MAX(1,SQRT((D628-'계산 과정'!$C$33)^2+(E628-'계산 과정'!$D$33)^2+'계산 과정'!$E$33^2)),('계산 과정'!$L$23-'계산 과정'!$C$49*D628-'계산 과정'!$D$49*E628)/F628,""),"")</x:f>
        <x:v>0.49843947856955256</x:v>
      </x:c>
      <x:c r="H628" s="4" t="n">
        <x:f>IF(AND(ISNUMBER(G628),G628&gt;0),('계산 과정'!$D$56+'계산 과정'!$D$57*D628+'계산 과정'!$D$58*E628)/F628,"")</x:f>
        <x:v>-76.01433892979098</x:v>
      </x:c>
      <x:c r="I628" s="4" t="n">
        <x:f>IF(AND(ISNUMBER(G628),G628&gt;0),('계산 과정'!$E$56+'계산 과정'!$E$57*D628+'계산 과정'!$E$58*E628)/F628,"")</x:f>
        <x:v>-61.63899634813873</x:v>
      </x:c>
      <x:c r="J628" s="4" t="n">
        <x:f>IF('계산 과정'!$L$5,'계산 과정'!$D$6+'계산 과정'!$C$35*D628+'계산 과정'!$D$35*E628,"")</x:f>
        <x:v>700.729001749444</x:v>
      </x:c>
      <x:c r="K628" s="4" t="n">
        <x:f>IF(AND('계산 과정'!$L$6,J628&gt;0),'계산 과정'!$D$10*('계산 과정'!$C$38*(D628-'계산 과정'!$C$32)+'계산 과정'!$D$38*(E628-'계산 과정'!$D$32)-'계산 과정'!$E$38*'계산 과정'!$E$32)/J628,"")</x:f>
        <x:v>-0.5791568680365015</x:v>
      </x:c>
      <x:c r="L628" s="4" t="n">
        <x:f>IF(AND('계산 과정'!$L$6,J628&gt;0),'계산 과정'!$D$10*('계산 과정'!$C$39*(D628-'계산 과정'!$C$32)+'계산 과정'!$D$39*(E628-'계산 과정'!$D$32)-'계산 과정'!$E$39*'계산 과정'!$E$32)/J628,"")</x:f>
        <x:v>-0.4696304483667713</x:v>
      </x:c>
      <x:c r="M628" s="17" t="n">
        <x:f>IF('계산 과정'!$L$6,IF(J628&lt;=0,0,IF(AND(ABS(K628)&lt;='계산 과정'!$D$11/2,ABS(L628)&lt;='계산 과정'!$D$12/2),1,0)),"")</x:f>
        <x:v>1</x:v>
      </x:c>
      <x:c r="N628" s="17" t="n">
        <x:f>IF('계산 과정'!$C$78,IF(AND(ISNUMBER(H628),ISNUMBER(I628),ABS(H628-'계산 과정'!$C$88)&lt;='계산 과정'!$D$23/2,ABS(I628-'계산 과정'!$C$89)&lt;='계산 과정'!$D$24/2),1,0),"")</x:f>
        <x:v>1</x:v>
      </x:c>
      <x:c r="O628" s="4" t="n">
        <x:f>IF('계산 과정'!$L$7,'계산 과정'!$C$49*('계산 과정'!$C$32-D628)+'계산 과정'!$D$49*('계산 과정'!$D$32-E628)+'계산 과정'!$E$49*'계산 과정'!$E$32,"")</x:f>
        <x:v>-50.72900174944391</x:v>
      </x:c>
      <x:c r="P628" s="4" t="n">
        <x:f>IF(AND('계산 과정'!$L$7,O628&lt;&gt;0),('계산 과정'!$L$23-'계산 과정'!$C$49*D628-'계산 과정'!$D$49*E628)/O628,"")</x:f>
        <x:v>-6.885035900679529</x:v>
      </x:c>
      <x:c r="Q628" s="4" t="str">
        <x:f>IF(AND(ISNUMBER(P628),P628&gt;1E-9,P628&lt;1-1E-9),'계산 과정'!$C$47*(D628-'계산 과정'!$C$50+P628*('계산 과정'!$C$32-D628))+'계산 과정'!$D$47*(E628-'계산 과정'!$D$50+P628*('계산 과정'!$D$32-E628))+'계산 과정'!$E$47*(0-'계산 과정'!$E$50+P628*('계산 과정'!$E$32-0)),"")</x:f>
      </x:c>
      <x:c r="R628" s="4" t="str">
        <x:f>IF(AND(ISNUMBER(P628),P628&gt;1E-9,P628&lt;1-1E-9),'계산 과정'!$C$48*(D628-'계산 과정'!$C$50+P628*('계산 과정'!$C$32-D628))+'계산 과정'!$D$48*(E628-'계산 과정'!$D$50+P628*('계산 과정'!$D$32-E628))+'계산 과정'!$E$48*(0-'계산 과정'!$E$50+P628*('계산 과정'!$E$32-0)),"")</x:f>
      </x:c>
      <x:c r="S628" s="17" t="n">
        <x:f>IF('계산 과정'!$C$78,IF(AND(ISNUMBER(Q628),ISNUMBER(R628),ABS(Q628-'계산 과정'!$C$88)&lt;='계산 과정'!$D$23/2,ABS(R628-'계산 과정'!$C$89)&lt;='계산 과정'!$D$24/2),1,0),"")</x:f>
        <x:v>0</x:v>
      </x:c>
      <x:c r="T628" s="4"/>
      <x:c r="U628" s="4"/>
      <x:c r="V628" s="4"/>
      <x:c r="W628" s="4" t="n">
        <x:f>IF('계산 과정'!$C$78,'계산 과정'!$C$88+-1*'계산 과정'!$C$90/2,"")</x:f>
        <x:v>-152.30104978473645</x:v>
      </x:c>
      <x:c r="X628" s="4" t="str">
        <x:f>""</x:f>
      </x:c>
      <x:c r="Y628" s="4" t="str">
        <x:f>""</x:f>
      </x:c>
      <x:c r="Z628" s="4" t="n">
        <x:f>IF('계산 과정'!$C$78,'계산 과정'!$C$89+-0.19999999999999996*'계산 과정'!$C$91/2,"")</x:f>
        <x:v>-50.119914061883364</x:v>
      </x:c>
    </x:row>
    <x:row r="629" ht="23" customHeight="1">
      <x:c r="A629" s="17" t="n">
        <x:f>ROW()-6</x:f>
        <x:v>623</x:v>
      </x:c>
      <x:c r="B629" s="4" t="n">
        <x:f>IF('계산 과정'!$L$5,'계산 과정'!$L$11*SQRT((A629+0.5)/'계산 과정'!$L$30),"")</x:f>
        <x:v>82.7645792953574</x:v>
      </x:c>
      <x:c r="C629" s="4" t="n">
        <x:f>A629*PI()*(3-SQRT(5))</x:f>
        <x:v>1495.1770921209509</x:v>
      </x:c>
      <x:c r="D629" s="4" t="n">
        <x:f>IF('계산 과정'!$L$5,B629*COS(C629),"")</x:f>
        <x:v>80.7514404142103</x:v>
      </x:c>
      <x:c r="E629" s="4" t="n">
        <x:f>IF('계산 과정'!$L$5,B629*SIN(C629),"")</x:f>
        <x:v>-18.14333092262128</x:v>
      </x:c>
      <x:c r="F629" s="4" t="n">
        <x:f>IF('계산 과정'!$L$7,'계산 과정'!$L$22+'계산 과정'!$C$49*D629+'계산 과정'!$D$49*E629,"")</x:f>
        <x:v>592.9001088925305</x:v>
      </x:c>
      <x:c r="G629" s="4" t="n">
        <x:f>IF('계산 과정'!$L$7,IF(ABS(F629)&gt;=1E-12*MAX(1,SQRT((D629-'계산 과정'!$C$33)^2+(E629-'계산 과정'!$D$33)^2+'계산 과정'!$E$33^2)),('계산 과정'!$L$23-'계산 과정'!$C$49*D629-'계산 과정'!$D$49*E629)/F629,""),"")</x:f>
        <x:v>0.7709559911555418</x:v>
      </x:c>
      <x:c r="H629" s="4" t="n">
        <x:f>IF(AND(ISNUMBER(G629),G629&gt;0),('계산 과정'!$D$56+'계산 과정'!$D$57*D629+'계산 과정'!$D$58*E629)/F629,"")</x:f>
        <x:v>101.1213942511021</x:v>
      </x:c>
      <x:c r="I629" s="4" t="n">
        <x:f>IF(AND(ISNUMBER(G629),G629&gt;0),('계산 과정'!$E$56+'계산 과정'!$E$57*D629+'계산 과정'!$E$58*E629)/F629,"")</x:f>
        <x:v>-32.131040596933765</x:v>
      </x:c>
      <x:c r="J629" s="4" t="n">
        <x:f>IF('계산 과정'!$L$5,'계산 과정'!$D$6+'계산 과정'!$C$35*D629+'계산 과정'!$D$35*E629,"")</x:f>
        <x:v>592.9001088925305</x:v>
      </x:c>
      <x:c r="K629" s="4" t="n">
        <x:f>IF(AND('계산 과정'!$L$6,J629&gt;0),'계산 과정'!$D$10*('계산 과정'!$C$38*(D629-'계산 과정'!$C$32)+'계산 과정'!$D$38*(E629-'계산 과정'!$D$32)-'계산 과정'!$E$38*'계산 과정'!$E$32)/J629,"")</x:f>
        <x:v>0.770448718103636</x:v>
      </x:c>
      <x:c r="L629" s="4" t="n">
        <x:f>IF(AND('계산 과정'!$L$6,J629&gt;0),'계산 과정'!$D$10*('계산 과정'!$C$39*(D629-'계산 과정'!$C$32)+'계산 과정'!$D$39*(E629-'계산 과정'!$D$32)-'계산 과정'!$E$39*'계산 과정'!$E$32)/J629,"")</x:f>
        <x:v>-0.24480792835759055</x:v>
      </x:c>
      <x:c r="M629" s="17" t="n">
        <x:f>IF('계산 과정'!$L$6,IF(J629&lt;=0,0,IF(AND(ABS(K629)&lt;='계산 과정'!$D$11/2,ABS(L629)&lt;='계산 과정'!$D$12/2),1,0)),"")</x:f>
        <x:v>1</x:v>
      </x:c>
      <x:c r="N629" s="17" t="n">
        <x:f>IF('계산 과정'!$C$78,IF(AND(ISNUMBER(H629),ISNUMBER(I629),ABS(H629-'계산 과정'!$C$88)&lt;='계산 과정'!$D$23/2,ABS(I629-'계산 과정'!$C$89)&lt;='계산 과정'!$D$24/2),1,0),"")</x:f>
        <x:v>1</x:v>
      </x:c>
      <x:c r="O629" s="4" t="n">
        <x:f>IF('계산 과정'!$L$7,'계산 과정'!$C$49*('계산 과정'!$C$32-D629)+'계산 과정'!$D$49*('계산 과정'!$D$32-E629)+'계산 과정'!$E$49*'계산 과정'!$E$32,"")</x:f>
        <x:v>57.0998911074696</x:v>
      </x:c>
      <x:c r="P629" s="4" t="n">
        <x:f>IF(AND('계산 과정'!$L$7,O629&lt;&gt;0),('계산 과정'!$L$23-'계산 과정'!$C$49*D629-'계산 과정'!$D$49*E629)/O629,"")</x:f>
        <x:v>8.005267299847326</x:v>
      </x:c>
      <x:c r="Q629" s="4" t="str">
        <x:f>IF(AND(ISNUMBER(P629),P629&gt;1E-9,P629&lt;1-1E-9),'계산 과정'!$C$47*(D629-'계산 과정'!$C$50+P629*('계산 과정'!$C$32-D629))+'계산 과정'!$D$47*(E629-'계산 과정'!$D$50+P629*('계산 과정'!$D$32-E629))+'계산 과정'!$E$47*(0-'계산 과정'!$E$50+P629*('계산 과정'!$E$32-0)),"")</x:f>
      </x:c>
      <x:c r="R629" s="4" t="str">
        <x:f>IF(AND(ISNUMBER(P629),P629&gt;1E-9,P629&lt;1-1E-9),'계산 과정'!$C$48*(D629-'계산 과정'!$C$50+P629*('계산 과정'!$C$32-D629))+'계산 과정'!$D$48*(E629-'계산 과정'!$D$50+P629*('계산 과정'!$D$32-E629))+'계산 과정'!$E$48*(0-'계산 과정'!$E$50+P629*('계산 과정'!$E$32-0)),"")</x:f>
      </x:c>
      <x:c r="S629" s="17" t="n">
        <x:f>IF('계산 과정'!$C$78,IF(AND(ISNUMBER(Q629),ISNUMBER(R629),ABS(Q629-'계산 과정'!$C$88)&lt;='계산 과정'!$D$23/2,ABS(R629-'계산 과정'!$C$89)&lt;='계산 과정'!$D$24/2),1,0),"")</x:f>
        <x:v>0</x:v>
      </x:c>
      <x:c r="T629" s="4"/>
      <x:c r="U629" s="4"/>
      <x:c r="V629" s="4"/>
      <x:c r="W629" s="4" t="n">
        <x:f>IF('계산 과정'!$C$78,'계산 과정'!$C$88+-1*'계산 과정'!$C$90/2,"")</x:f>
        <x:v>-152.30104978473645</x:v>
      </x:c>
      <x:c r="X629" s="4" t="str">
        <x:f>""</x:f>
      </x:c>
      <x:c r="Y629" s="4" t="str">
        <x:f>""</x:f>
      </x:c>
      <x:c r="Z629" s="4" t="n">
        <x:f>IF('계산 과정'!$C$78,'계산 과정'!$C$89+-0.24*'계산 과정'!$C$91/2,"")</x:f>
        <x:v>-60.14389687426005</x:v>
      </x:c>
    </x:row>
    <x:row r="630" ht="23" customHeight="1">
      <x:c r="A630" s="17" t="n">
        <x:f>ROW()-6</x:f>
        <x:v>624</x:v>
      </x:c>
      <x:c r="B630" s="4" t="n">
        <x:f>IF('계산 과정'!$L$5,'계산 과정'!$L$11*SQRT((A630+0.5)/'계산 과정'!$L$30),"")</x:f>
        <x:v>82.83092365815136</x:v>
      </x:c>
      <x:c r="C630" s="4" t="n">
        <x:f>A630*PI()*(3-SQRT(5))</x:f>
        <x:v>1497.5770553506793</x:v>
      </x:c>
      <x:c r="D630" s="4" t="n">
        <x:f>IF('계산 과정'!$L$5,B630*COS(C630),"")</x:f>
        <x:v>-47.32586126011538</x:v>
      </x:c>
      <x:c r="E630" s="4" t="n">
        <x:f>IF('계산 과정'!$L$5,B630*SIN(C630),"")</x:f>
        <x:v>67.97959083468221</x:v>
      </x:c>
      <x:c r="F630" s="4" t="n">
        <x:f>IF('계산 과정'!$L$7,'계산 과정'!$L$22+'계산 과정'!$C$49*D630+'계산 과정'!$D$49*E630,"")</x:f>
        <x:v>683.4644374225213</x:v>
      </x:c>
      <x:c r="G630" s="4" t="n">
        <x:f>IF('계산 과정'!$L$7,IF(ABS(F630)&gt;=1E-12*MAX(1,SQRT((D630-'계산 과정'!$C$33)^2+(E630-'계산 과정'!$D$33)^2+'계산 과정'!$E$33^2)),('계산 과정'!$L$23-'계산 과정'!$C$49*D630-'계산 과정'!$D$49*E630)/F630,""),"")</x:f>
        <x:v>0.5362906136854118</x:v>
      </x:c>
      <x:c r="H630" s="4" t="n">
        <x:f>IF(AND(ISNUMBER(G630),G630&gt;0),('계산 과정'!$D$56+'계산 과정'!$D$57*D630+'계산 과정'!$D$58*E630)/F630,"")</x:f>
        <x:v>-51.41110110448245</x:v>
      </x:c>
      <x:c r="I630" s="4" t="n">
        <x:f>IF(AND(ISNUMBER(G630),G630&gt;0),('계산 과정'!$E$56+'계산 과정'!$E$57*D630+'계산 과정'!$E$58*E630)/F630,"")</x:f>
        <x:v>104.43640732149713</x:v>
      </x:c>
      <x:c r="J630" s="4" t="n">
        <x:f>IF('계산 과정'!$L$5,'계산 과정'!$D$6+'계산 과정'!$C$35*D630+'계산 과정'!$D$35*E630,"")</x:f>
        <x:v>683.4644374225213</x:v>
      </x:c>
      <x:c r="K630" s="4" t="n">
        <x:f>IF(AND('계산 과정'!$L$6,J630&gt;0),'계산 과정'!$D$10*('계산 과정'!$C$38*(D630-'계산 과정'!$C$32)+'계산 과정'!$D$38*(E630-'계산 과정'!$D$32)-'계산 과정'!$E$38*'계산 과정'!$E$32)/J630,"")</x:f>
        <x:v>-0.3917036274627225</x:v>
      </x:c>
      <x:c r="L630" s="4" t="n">
        <x:f>IF(AND('계산 과정'!$L$6,J630&gt;0),'계산 과정'!$D$10*('계산 과정'!$C$39*(D630-'계산 과정'!$C$32)+'계산 과정'!$D$39*(E630-'계산 과정'!$D$32)-'계산 과정'!$E$39*'계산 과정'!$E$32)/J630,"")</x:f>
        <x:v>0.7957059605447401</x:v>
      </x:c>
      <x:c r="M630" s="17" t="n">
        <x:f>IF('계산 과정'!$L$6,IF(J630&lt;=0,0,IF(AND(ABS(K630)&lt;='계산 과정'!$D$11/2,ABS(L630)&lt;='계산 과정'!$D$12/2),1,0)),"")</x:f>
        <x:v>1</x:v>
      </x:c>
      <x:c r="N630" s="17" t="n">
        <x:f>IF('계산 과정'!$C$78,IF(AND(ISNUMBER(H630),ISNUMBER(I630),ABS(H630-'계산 과정'!$C$88)&lt;='계산 과정'!$D$23/2,ABS(I630-'계산 과정'!$C$89)&lt;='계산 과정'!$D$24/2),1,0),"")</x:f>
        <x:v>1</x:v>
      </x:c>
      <x:c r="O630" s="4" t="n">
        <x:f>IF('계산 과정'!$L$7,'계산 과정'!$C$49*('계산 과정'!$C$32-D630)+'계산 과정'!$D$49*('계산 과정'!$D$32-E630)+'계산 과정'!$E$49*'계산 과정'!$E$32,"")</x:f>
        <x:v>-33.4644374225212</x:v>
      </x:c>
      <x:c r="P630" s="4" t="n">
        <x:f>IF(AND('계산 과정'!$L$7,O630&lt;&gt;0),('계산 과정'!$L$23-'계산 과정'!$C$49*D630-'계산 과정'!$D$49*E630)/O630,"")</x:f>
        <x:v>-10.952987434081418</x:v>
      </x:c>
      <x:c r="Q630" s="4" t="str">
        <x:f>IF(AND(ISNUMBER(P630),P630&gt;1E-9,P630&lt;1-1E-9),'계산 과정'!$C$47*(D630-'계산 과정'!$C$50+P630*('계산 과정'!$C$32-D630))+'계산 과정'!$D$47*(E630-'계산 과정'!$D$50+P630*('계산 과정'!$D$32-E630))+'계산 과정'!$E$47*(0-'계산 과정'!$E$50+P630*('계산 과정'!$E$32-0)),"")</x:f>
      </x:c>
      <x:c r="R630" s="4" t="str">
        <x:f>IF(AND(ISNUMBER(P630),P630&gt;1E-9,P630&lt;1-1E-9),'계산 과정'!$C$48*(D630-'계산 과정'!$C$50+P630*('계산 과정'!$C$32-D630))+'계산 과정'!$D$48*(E630-'계산 과정'!$D$50+P630*('계산 과정'!$D$32-E630))+'계산 과정'!$E$48*(0-'계산 과정'!$E$50+P630*('계산 과정'!$E$32-0)),"")</x:f>
      </x:c>
      <x:c r="S630" s="17" t="n">
        <x:f>IF('계산 과정'!$C$78,IF(AND(ISNUMBER(Q630),ISNUMBER(R630),ABS(Q630-'계산 과정'!$C$88)&lt;='계산 과정'!$D$23/2,ABS(R630-'계산 과정'!$C$89)&lt;='계산 과정'!$D$24/2),1,0),"")</x:f>
        <x:v>0</x:v>
      </x:c>
      <x:c r="T630" s="4"/>
      <x:c r="U630" s="4"/>
      <x:c r="V630" s="4"/>
      <x:c r="W630" s="4" t="n">
        <x:f>IF('계산 과정'!$C$78,'계산 과정'!$C$88+-1*'계산 과정'!$C$90/2,"")</x:f>
        <x:v>-152.30104978473645</x:v>
      </x:c>
      <x:c r="X630" s="4" t="str">
        <x:f>""</x:f>
      </x:c>
      <x:c r="Y630" s="4" t="str">
        <x:f>""</x:f>
      </x:c>
      <x:c r="Z630" s="4" t="n">
        <x:f>IF('계산 과정'!$C$78,'계산 과정'!$C$89+-0.28*'계산 과정'!$C$91/2,"")</x:f>
        <x:v>-70.16787968663674</x:v>
      </x:c>
    </x:row>
    <x:row r="631" ht="23" customHeight="1">
      <x:c r="A631" s="17" t="n">
        <x:f>ROW()-6</x:f>
        <x:v>625</x:v>
      </x:c>
      <x:c r="B631" s="4" t="n">
        <x:f>IF('계산 과정'!$L$5,'계산 과정'!$L$11*SQRT((A631+0.5)/'계산 과정'!$L$30),"")</x:f>
        <x:v>82.8972149241909</x:v>
      </x:c>
      <x:c r="C631" s="4" t="n">
        <x:f>A631*PI()*(3-SQRT(5))</x:f>
        <x:v>1499.9770185804082</x:v>
      </x:c>
      <x:c r="D631" s="4" t="n">
        <x:f>IF('계산 과정'!$L$5,B631*COS(C631),"")</x:f>
        <x:v>-11.031758474656586</x:v>
      </x:c>
      <x:c r="E631" s="4" t="n">
        <x:f>IF('계산 과정'!$L$5,B631*SIN(C631),"")</x:f>
        <x:v>-82.15989622160157</x:v>
      </x:c>
      <x:c r="F631" s="4" t="n">
        <x:f>IF('계산 과정'!$L$7,'계산 과정'!$L$22+'계산 과정'!$C$49*D631+'계산 과정'!$D$49*E631,"")</x:f>
        <x:v>657.8006312258418</x:v>
      </x:c>
      <x:c r="G631" s="4" t="n">
        <x:f>IF('계산 과정'!$L$7,IF(ABS(F631)&gt;=1E-12*MAX(1,SQRT((D631-'계산 과정'!$C$33)^2+(E631-'계산 과정'!$D$33)^2+'계산 과정'!$E$33^2)),('계산 과정'!$L$23-'계산 과정'!$C$49*D631-'계산 과정'!$D$49*E631)/F631,""),"")</x:f>
        <x:v>0.5962283253563874</x:v>
      </x:c>
      <x:c r="H631" s="4" t="n">
        <x:f>IF(AND(ISNUMBER(G631),G631&gt;0),('계산 과정'!$D$56+'계산 과정'!$D$57*D631+'계산 과정'!$D$58*E631)/F631,"")</x:f>
        <x:v>-12.451588518348371</x:v>
      </x:c>
      <x:c r="I631" s="4" t="n">
        <x:f>IF(AND(ISNUMBER(G631),G631&gt;0),('계산 과정'!$E$56+'계산 과정'!$E$57*D631+'계산 과정'!$E$58*E631)/F631,"")</x:f>
        <x:v>-131.14595355726166</x:v>
      </x:c>
      <x:c r="J631" s="4" t="n">
        <x:f>IF('계산 과정'!$L$5,'계산 과정'!$D$6+'계산 과정'!$C$35*D631+'계산 과정'!$D$35*E631,"")</x:f>
        <x:v>657.8006312258418</x:v>
      </x:c>
      <x:c r="K631" s="4" t="n">
        <x:f>IF(AND('계산 과정'!$L$6,J631&gt;0),'계산 과정'!$D$10*('계산 과정'!$C$38*(D631-'계산 과정'!$C$32)+'계산 과정'!$D$38*(E631-'계산 과정'!$D$32)-'계산 과정'!$E$38*'계산 과정'!$E$32)/J631,"")</x:f>
        <x:v>-0.09486924585408235</x:v>
      </x:c>
      <x:c r="L631" s="4" t="n">
        <x:f>IF(AND('계산 과정'!$L$6,J631&gt;0),'계산 과정'!$D$10*('계산 과정'!$C$39*(D631-'계산 과정'!$C$32)+'계산 과정'!$D$39*(E631-'계산 과정'!$D$32)-'계산 과정'!$E$39*'계산 과정'!$E$32)/J631,"")</x:f>
        <x:v>-0.999207265198184</x:v>
      </x:c>
      <x:c r="M631" s="17" t="n">
        <x:f>IF('계산 과정'!$L$6,IF(J631&lt;=0,0,IF(AND(ABS(K631)&lt;='계산 과정'!$D$11/2,ABS(L631)&lt;='계산 과정'!$D$12/2),1,0)),"")</x:f>
        <x:v>1</x:v>
      </x:c>
      <x:c r="N631" s="17" t="n">
        <x:f>IF('계산 과정'!$C$78,IF(AND(ISNUMBER(H631),ISNUMBER(I631),ABS(H631-'계산 과정'!$C$88)&lt;='계산 과정'!$D$23/2,ABS(I631-'계산 과정'!$C$89)&lt;='계산 과정'!$D$24/2),1,0),"")</x:f>
        <x:v>1</x:v>
      </x:c>
      <x:c r="O631" s="4" t="n">
        <x:f>IF('계산 과정'!$L$7,'계산 과정'!$C$49*('계산 과정'!$C$32-D631)+'계산 과정'!$D$49*('계산 과정'!$D$32-E631)+'계산 과정'!$E$49*'계산 과정'!$E$32,"")</x:f>
        <x:v>-7.800631225841755</x:v>
      </x:c>
      <x:c r="P631" s="4" t="n">
        <x:f>IF(AND('계산 과정'!$L$7,O631&lt;&gt;0),('계산 과정'!$L$23-'계산 과정'!$C$49*D631-'계산 과정'!$D$49*E631)/O631,"")</x:f>
        <x:v>-50.277901546593945</x:v>
      </x:c>
      <x:c r="Q631" s="4" t="str">
        <x:f>IF(AND(ISNUMBER(P631),P631&gt;1E-9,P631&lt;1-1E-9),'계산 과정'!$C$47*(D631-'계산 과정'!$C$50+P631*('계산 과정'!$C$32-D631))+'계산 과정'!$D$47*(E631-'계산 과정'!$D$50+P631*('계산 과정'!$D$32-E631))+'계산 과정'!$E$47*(0-'계산 과정'!$E$50+P631*('계산 과정'!$E$32-0)),"")</x:f>
      </x:c>
      <x:c r="R631" s="4" t="str">
        <x:f>IF(AND(ISNUMBER(P631),P631&gt;1E-9,P631&lt;1-1E-9),'계산 과정'!$C$48*(D631-'계산 과정'!$C$50+P631*('계산 과정'!$C$32-D631))+'계산 과정'!$D$48*(E631-'계산 과정'!$D$50+P631*('계산 과정'!$D$32-E631))+'계산 과정'!$E$48*(0-'계산 과정'!$E$50+P631*('계산 과정'!$E$32-0)),"")</x:f>
      </x:c>
      <x:c r="S631" s="17" t="n">
        <x:f>IF('계산 과정'!$C$78,IF(AND(ISNUMBER(Q631),ISNUMBER(R631),ABS(Q631-'계산 과정'!$C$88)&lt;='계산 과정'!$D$23/2,ABS(R631-'계산 과정'!$C$89)&lt;='계산 과정'!$D$24/2),1,0),"")</x:f>
        <x:v>0</x:v>
      </x:c>
      <x:c r="T631" s="4"/>
      <x:c r="U631" s="4"/>
      <x:c r="V631" s="4"/>
      <x:c r="W631" s="4" t="n">
        <x:f>IF('계산 과정'!$C$78,'계산 과정'!$C$88+-1*'계산 과정'!$C$90/2,"")</x:f>
        <x:v>-152.30104978473645</x:v>
      </x:c>
      <x:c r="X631" s="4" t="str">
        <x:f>""</x:f>
      </x:c>
      <x:c r="Y631" s="4" t="str">
        <x:f>""</x:f>
      </x:c>
      <x:c r="Z631" s="4" t="n">
        <x:f>IF('계산 과정'!$C$78,'계산 과정'!$C$89+-0.32000000000000006*'계산 과정'!$C$91/2,"")</x:f>
        <x:v>-80.19186249901342</x:v>
      </x:c>
    </x:row>
    <x:row r="632" ht="23" customHeight="1">
      <x:c r="A632" s="17" t="n">
        <x:f>ROW()-6</x:f>
        <x:v>626</x:v>
      </x:c>
      <x:c r="B632" s="4" t="n">
        <x:f>IF('계산 과정'!$L$5,'계산 과정'!$L$11*SQRT((A632+0.5)/'계산 과정'!$L$30),"")</x:f>
        <x:v>82.96345322075558</x:v>
      </x:c>
      <x:c r="C632" s="4" t="n">
        <x:f>A632*PI()*(3-SQRT(5))</x:f>
        <x:v>1502.3769818101366</x:v>
      </x:c>
      <x:c r="D632" s="4" t="n">
        <x:f>IF('계산 과정'!$L$5,B632*COS(C632),"")</x:f>
        <x:v>63.6835329891515</x:v>
      </x:c>
      <x:c r="E632" s="4" t="n">
        <x:f>IF('계산 과정'!$L$5,B632*SIN(C632),"")</x:f>
        <x:v>53.17275802826248</x:v>
      </x:c>
      <x:c r="F632" s="4" t="n">
        <x:f>IF('계산 과정'!$L$7,'계산 과정'!$L$22+'계산 과정'!$C$49*D632+'계산 과정'!$D$49*E632,"")</x:f>
        <x:v>604.9689419734538</x:v>
      </x:c>
      <x:c r="G632" s="4" t="n">
        <x:f>IF('계산 과정'!$L$7,IF(ABS(F632)&gt;=1E-12*MAX(1,SQRT((D632-'계산 과정'!$C$33)^2+(E632-'계산 과정'!$D$33)^2+'계산 과정'!$E$33^2)),('계산 과정'!$L$23-'계산 과정'!$C$49*D632-'계산 과정'!$D$49*E632)/F632,""),"")</x:f>
        <x:v>0.7356262894667316</x:v>
      </x:c>
      <x:c r="H632" s="4" t="n">
        <x:f>IF(AND(ISNUMBER(G632),G632&gt;0),('계산 과정'!$D$56+'계산 과정'!$D$57*D632+'계산 과정'!$D$58*E632)/F632,"")</x:f>
        <x:v>78.15708815337541</x:v>
      </x:c>
      <x:c r="I632" s="4" t="n">
        <x:f>IF(AND(ISNUMBER(G632),G632&gt;0),('계산 과정'!$E$56+'계산 과정'!$E$57*D632+'계산 과정'!$E$58*E632)/F632,"")</x:f>
        <x:v>92.28803671730556</x:v>
      </x:c>
      <x:c r="J632" s="4" t="n">
        <x:f>IF('계산 과정'!$L$5,'계산 과정'!$D$6+'계산 과정'!$C$35*D632+'계산 과정'!$D$35*E632,"")</x:f>
        <x:v>604.9689419734538</x:v>
      </x:c>
      <x:c r="K632" s="4" t="n">
        <x:f>IF(AND('계산 과정'!$L$6,J632&gt;0),'계산 과정'!$D$10*('계산 과정'!$C$38*(D632-'계산 과정'!$C$32)+'계산 과정'!$D$38*(E632-'계산 과정'!$D$32)-'계산 과정'!$E$38*'계산 과정'!$E$32)/J632,"")</x:f>
        <x:v>0.5954825764066708</x:v>
      </x:c>
      <x:c r="L632" s="4" t="n">
        <x:f>IF(AND('계산 과정'!$L$6,J632&gt;0),'계산 과정'!$D$10*('계산 과정'!$C$39*(D632-'계산 과정'!$C$32)+'계산 과정'!$D$39*(E632-'계산 과정'!$D$32)-'계산 과정'!$E$39*'계산 과정'!$E$32)/J632,"")</x:f>
        <x:v>0.7031469464175663</x:v>
      </x:c>
      <x:c r="M632" s="17" t="n">
        <x:f>IF('계산 과정'!$L$6,IF(J632&lt;=0,0,IF(AND(ABS(K632)&lt;='계산 과정'!$D$11/2,ABS(L632)&lt;='계산 과정'!$D$12/2),1,0)),"")</x:f>
        <x:v>1</x:v>
      </x:c>
      <x:c r="N632" s="17" t="n">
        <x:f>IF('계산 과정'!$C$78,IF(AND(ISNUMBER(H632),ISNUMBER(I632),ABS(H632-'계산 과정'!$C$88)&lt;='계산 과정'!$D$23/2,ABS(I632-'계산 과정'!$C$89)&lt;='계산 과정'!$D$24/2),1,0),"")</x:f>
        <x:v>1</x:v>
      </x:c>
      <x:c r="O632" s="4" t="n">
        <x:f>IF('계산 과정'!$L$7,'계산 과정'!$C$49*('계산 과정'!$C$32-D632)+'계산 과정'!$D$49*('계산 과정'!$D$32-E632)+'계산 과정'!$E$49*'계산 과정'!$E$32,"")</x:f>
        <x:v>45.03105802654636</x:v>
      </x:c>
      <x:c r="P632" s="4" t="n">
        <x:f>IF(AND('계산 과정'!$L$7,O632&lt;&gt;0),('계산 과정'!$L$23-'계산 과정'!$C$49*D632-'계산 과정'!$D$49*E632)/O632,"")</x:f>
        <x:v>9.882758201332845</x:v>
      </x:c>
      <x:c r="Q632" s="4" t="str">
        <x:f>IF(AND(ISNUMBER(P632),P632&gt;1E-9,P632&lt;1-1E-9),'계산 과정'!$C$47*(D632-'계산 과정'!$C$50+P632*('계산 과정'!$C$32-D632))+'계산 과정'!$D$47*(E632-'계산 과정'!$D$50+P632*('계산 과정'!$D$32-E632))+'계산 과정'!$E$47*(0-'계산 과정'!$E$50+P632*('계산 과정'!$E$32-0)),"")</x:f>
      </x:c>
      <x:c r="R632" s="4" t="str">
        <x:f>IF(AND(ISNUMBER(P632),P632&gt;1E-9,P632&lt;1-1E-9),'계산 과정'!$C$48*(D632-'계산 과정'!$C$50+P632*('계산 과정'!$C$32-D632))+'계산 과정'!$D$48*(E632-'계산 과정'!$D$50+P632*('계산 과정'!$D$32-E632))+'계산 과정'!$E$48*(0-'계산 과정'!$E$50+P632*('계산 과정'!$E$32-0)),"")</x:f>
      </x:c>
      <x:c r="S632" s="17" t="n">
        <x:f>IF('계산 과정'!$C$78,IF(AND(ISNUMBER(Q632),ISNUMBER(R632),ABS(Q632-'계산 과정'!$C$88)&lt;='계산 과정'!$D$23/2,ABS(R632-'계산 과정'!$C$89)&lt;='계산 과정'!$D$24/2),1,0),"")</x:f>
        <x:v>0</x:v>
      </x:c>
      <x:c r="T632" s="4"/>
      <x:c r="U632" s="4"/>
      <x:c r="V632" s="4"/>
      <x:c r="W632" s="4" t="n">
        <x:f>IF('계산 과정'!$C$78,'계산 과정'!$C$88+-1*'계산 과정'!$C$90/2,"")</x:f>
        <x:v>-152.30104978473645</x:v>
      </x:c>
      <x:c r="X632" s="4" t="str">
        <x:f>""</x:f>
      </x:c>
      <x:c r="Y632" s="4" t="str">
        <x:f>""</x:f>
      </x:c>
      <x:c r="Z632" s="4" t="n">
        <x:f>IF('계산 과정'!$C$78,'계산 과정'!$C$89+-0.3600000000000001*'계산 과정'!$C$91/2,"")</x:f>
        <x:v>-90.21584531139011</x:v>
      </x:c>
    </x:row>
    <x:row r="633" ht="23" customHeight="1">
      <x:c r="A633" s="17" t="n">
        <x:f>ROW()-6</x:f>
        <x:v>627</x:v>
      </x:c>
      <x:c r="B633" s="4" t="n">
        <x:f>IF('계산 과정'!$L$5,'계산 과정'!$L$11*SQRT((A633+0.5)/'계산 과정'!$L$30),"")</x:f>
        <x:v>83.02963867461727</x:v>
      </x:c>
      <x:c r="C633" s="4" t="n">
        <x:f>A633*PI()*(3-SQRT(5))</x:f>
        <x:v>1504.7769450398653</x:v>
      </x:c>
      <x:c r="D633" s="4" t="n">
        <x:f>IF('계산 과정'!$L$5,B633*COS(C633),"")</x:f>
        <x:v>-82.94205287603614</x:v>
      </x:c>
      <x:c r="E633" s="4" t="n">
        <x:f>IF('계산 과정'!$L$5,B633*SIN(C633),"")</x:f>
        <x:v>3.8127107346775477</x:v>
      </x:c>
      <x:c r="F633" s="4" t="n">
        <x:f>IF('계산 과정'!$L$7,'계산 과정'!$L$22+'계산 과정'!$C$49*D633+'계산 과정'!$D$49*E633,"")</x:f>
        <x:v>708.6488880341783</x:v>
      </x:c>
      <x:c r="G633" s="4" t="n">
        <x:f>IF('계산 과정'!$L$7,IF(ABS(F633)&gt;=1E-12*MAX(1,SQRT((D633-'계산 과정'!$C$33)^2+(E633-'계산 과정'!$D$33)^2+'계산 과정'!$E$33^2)),('계산 과정'!$L$23-'계산 과정'!$C$49*D633-'계산 과정'!$D$49*E633)/F633,""),"")</x:f>
        <x:v>0.48169286332014705</x:v>
      </x:c>
      <x:c r="H633" s="4" t="n">
        <x:f>IF(AND(ISNUMBER(G633),G633&gt;0),('계산 과정'!$D$56+'계산 과정'!$D$57*D633+'계산 과정'!$D$58*E633)/F633,"")</x:f>
        <x:v>-86.89963884190455</x:v>
      </x:c>
      <x:c r="I633" s="4" t="n">
        <x:f>IF(AND(ISNUMBER(G633),G633&gt;0),('계산 과정'!$E$56+'계산 과정'!$E$57*D633+'계산 과정'!$E$58*E633)/F633,"")</x:f>
        <x:v>5.6492662854758375</x:v>
      </x:c>
      <x:c r="J633" s="4" t="n">
        <x:f>IF('계산 과정'!$L$5,'계산 과정'!$D$6+'계산 과정'!$C$35*D633+'계산 과정'!$D$35*E633,"")</x:f>
        <x:v>708.6488880341783</x:v>
      </x:c>
      <x:c r="K633" s="4" t="n">
        <x:f>IF(AND('계산 과정'!$L$6,J633&gt;0),'계산 과정'!$D$10*('계산 과정'!$C$38*(D633-'계산 과정'!$C$32)+'계산 과정'!$D$38*(E633-'계산 과정'!$D$32)-'계산 과정'!$E$38*'계산 과정'!$E$32)/J633,"")</x:f>
        <x:v>-0.66209248641451</x:v>
      </x:c>
      <x:c r="L633" s="4" t="n">
        <x:f>IF(AND('계산 과정'!$L$6,J633&gt;0),'계산 과정'!$D$10*('계산 과정'!$C$39*(D633-'계산 과정'!$C$32)+'계산 과정'!$D$39*(E633-'계산 과정'!$D$32)-'계산 과정'!$E$39*'계산 과정'!$E$32)/J633,"")</x:f>
        <x:v>0.04304202884172067</x:v>
      </x:c>
      <x:c r="M633" s="17" t="n">
        <x:f>IF('계산 과정'!$L$6,IF(J633&lt;=0,0,IF(AND(ABS(K633)&lt;='계산 과정'!$D$11/2,ABS(L633)&lt;='계산 과정'!$D$12/2),1,0)),"")</x:f>
        <x:v>1</x:v>
      </x:c>
      <x:c r="N633" s="17" t="n">
        <x:f>IF('계산 과정'!$C$78,IF(AND(ISNUMBER(H633),ISNUMBER(I633),ABS(H633-'계산 과정'!$C$88)&lt;='계산 과정'!$D$23/2,ABS(I633-'계산 과정'!$C$89)&lt;='계산 과정'!$D$24/2),1,0),"")</x:f>
        <x:v>1</x:v>
      </x:c>
      <x:c r="O633" s="4" t="n">
        <x:f>IF('계산 과정'!$L$7,'계산 과정'!$C$49*('계산 과정'!$C$32-D633)+'계산 과정'!$D$49*('계산 과정'!$D$32-E633)+'계산 과정'!$E$49*'계산 과정'!$E$32,"")</x:f>
        <x:v>-58.64888803417824</x:v>
      </x:c>
      <x:c r="P633" s="4" t="n">
        <x:f>IF(AND('계산 과정'!$L$7,O633&lt;&gt;0),('계산 과정'!$L$23-'계산 과정'!$C$49*D633-'계산 과정'!$D$49*E633)/O633,"")</x:f>
        <x:v>-5.820248659563601</x:v>
      </x:c>
      <x:c r="Q633" s="4" t="str">
        <x:f>IF(AND(ISNUMBER(P633),P633&gt;1E-9,P633&lt;1-1E-9),'계산 과정'!$C$47*(D633-'계산 과정'!$C$50+P633*('계산 과정'!$C$32-D633))+'계산 과정'!$D$47*(E633-'계산 과정'!$D$50+P633*('계산 과정'!$D$32-E633))+'계산 과정'!$E$47*(0-'계산 과정'!$E$50+P633*('계산 과정'!$E$32-0)),"")</x:f>
      </x:c>
      <x:c r="R633" s="4" t="str">
        <x:f>IF(AND(ISNUMBER(P633),P633&gt;1E-9,P633&lt;1-1E-9),'계산 과정'!$C$48*(D633-'계산 과정'!$C$50+P633*('계산 과정'!$C$32-D633))+'계산 과정'!$D$48*(E633-'계산 과정'!$D$50+P633*('계산 과정'!$D$32-E633))+'계산 과정'!$E$48*(0-'계산 과정'!$E$50+P633*('계산 과정'!$E$32-0)),"")</x:f>
      </x:c>
      <x:c r="S633" s="17" t="n">
        <x:f>IF('계산 과정'!$C$78,IF(AND(ISNUMBER(Q633),ISNUMBER(R633),ABS(Q633-'계산 과정'!$C$88)&lt;='계산 과정'!$D$23/2,ABS(R633-'계산 과정'!$C$89)&lt;='계산 과정'!$D$24/2),1,0),"")</x:f>
        <x:v>0</x:v>
      </x:c>
      <x:c r="T633" s="4"/>
      <x:c r="U633" s="4"/>
      <x:c r="V633" s="4"/>
      <x:c r="W633" s="4" t="n">
        <x:f>IF('계산 과정'!$C$78,'계산 과정'!$C$88+-1*'계산 과정'!$C$90/2,"")</x:f>
        <x:v>-152.30104978473645</x:v>
      </x:c>
      <x:c r="X633" s="4" t="str">
        <x:f>""</x:f>
      </x:c>
      <x:c r="Y633" s="4" t="str">
        <x:f>""</x:f>
      </x:c>
      <x:c r="Z633" s="4" t="n">
        <x:f>IF('계산 과정'!$C$78,'계산 과정'!$C$89+-0.3999999999999999*'계산 과정'!$C$91/2,"")</x:f>
        <x:v>-100.23982812376673</x:v>
      </x:c>
    </x:row>
    <x:row r="634" ht="23" customHeight="1">
      <x:c r="A634" s="17" t="n">
        <x:f>ROW()-6</x:f>
        <x:v>628</x:v>
      </x:c>
      <x:c r="B634" s="4" t="n">
        <x:f>IF('계산 과정'!$L$5,'계산 과정'!$L$11*SQRT((A634+0.5)/'계산 과정'!$L$30),"")</x:f>
        <x:v>83.09577141204298</x:v>
      </x:c>
      <x:c r="C634" s="4" t="n">
        <x:f>A634*PI()*(3-SQRT(5))</x:f>
        <x:v>1507.176908269594</x:v>
      </x:c>
      <x:c r="D634" s="4" t="n">
        <x:f>IF('계산 과정'!$L$5,B634*COS(C634),"")</x:f>
        <x:v>58.63010082717356</x:v>
      </x:c>
      <x:c r="E634" s="4" t="n">
        <x:f>IF('계산 과정'!$L$5,B634*SIN(C634),"")</x:f>
        <x:v>-58.884790086727506</x:v>
      </x:c>
      <x:c r="F634" s="4" t="n">
        <x:f>IF('계산 과정'!$L$7,'계산 과정'!$L$22+'계산 과정'!$C$49*D634+'계산 과정'!$D$49*E634,"")</x:f>
        <x:v>608.5422581234545</x:v>
      </x:c>
      <x:c r="G634" s="4" t="n">
        <x:f>IF('계산 과정'!$L$7,IF(ABS(F634)&gt;=1E-12*MAX(1,SQRT((D634-'계산 과정'!$C$33)^2+(E634-'계산 과정'!$D$33)^2+'계산 과정'!$E$33^2)),('계산 과정'!$L$23-'계산 과정'!$C$49*D634-'계산 과정'!$D$49*E634)/F634,""),"")</x:f>
        <x:v>0.7254348173582174</x:v>
      </x:c>
      <x:c r="H634" s="4" t="n">
        <x:f>IF(AND(ISNUMBER(G634),G634&gt;0),('계산 과정'!$D$56+'계산 과정'!$D$57*D634+'계산 과정'!$D$58*E634)/F634,"")</x:f>
        <x:v>71.5326312828412</x:v>
      </x:c>
      <x:c r="I634" s="4" t="n">
        <x:f>IF(AND(ISNUMBER(G634),G634&gt;0),('계산 과정'!$E$56+'계산 과정'!$E$57*D634+'계산 과정'!$E$58*E634)/F634,"")</x:f>
        <x:v>-101.60186702846966</x:v>
      </x:c>
      <x:c r="J634" s="4" t="n">
        <x:f>IF('계산 과정'!$L$5,'계산 과정'!$D$6+'계산 과정'!$C$35*D634+'계산 과정'!$D$35*E634,"")</x:f>
        <x:v>608.5422581234545</x:v>
      </x:c>
      <x:c r="K634" s="4" t="n">
        <x:f>IF(AND('계산 과정'!$L$6,J634&gt;0),'계산 과정'!$D$10*('계산 과정'!$C$38*(D634-'계산 과정'!$C$32)+'계산 과정'!$D$38*(E634-'계산 과정'!$D$32)-'계산 과정'!$E$38*'계산 과정'!$E$32)/J634,"")</x:f>
        <x:v>0.5450105240597437</x:v>
      </x:c>
      <x:c r="L634" s="4" t="n">
        <x:f>IF(AND('계산 과정'!$L$6,J634&gt;0),'계산 과정'!$D$10*('계산 과정'!$C$39*(D634-'계산 과정'!$C$32)+'계산 과정'!$D$39*(E634-'계산 과정'!$D$32)-'계산 과정'!$E$39*'계산 과정'!$E$32)/J634,"")</x:f>
        <x:v>-0.7741094630740545</x:v>
      </x:c>
      <x:c r="M634" s="17" t="n">
        <x:f>IF('계산 과정'!$L$6,IF(J634&lt;=0,0,IF(AND(ABS(K634)&lt;='계산 과정'!$D$11/2,ABS(L634)&lt;='계산 과정'!$D$12/2),1,0)),"")</x:f>
        <x:v>1</x:v>
      </x:c>
      <x:c r="N634" s="17" t="n">
        <x:f>IF('계산 과정'!$C$78,IF(AND(ISNUMBER(H634),ISNUMBER(I634),ABS(H634-'계산 과정'!$C$88)&lt;='계산 과정'!$D$23/2,ABS(I634-'계산 과정'!$C$89)&lt;='계산 과정'!$D$24/2),1,0),"")</x:f>
        <x:v>1</x:v>
      </x:c>
      <x:c r="O634" s="4" t="n">
        <x:f>IF('계산 과정'!$L$7,'계산 과정'!$C$49*('계산 과정'!$C$32-D634)+'계산 과정'!$D$49*('계산 과정'!$D$32-E634)+'계산 과정'!$E$49*'계산 과정'!$E$32,"")</x:f>
        <x:v>41.45774187654558</x:v>
      </x:c>
      <x:c r="P634" s="4" t="n">
        <x:f>IF(AND('계산 과정'!$L$7,O634&lt;&gt;0),('계산 과정'!$L$23-'계산 과정'!$C$49*D634-'계산 과정'!$D$49*E634)/O634,"")</x:f>
        <x:v>10.648378852643129</x:v>
      </x:c>
      <x:c r="Q634" s="4" t="str">
        <x:f>IF(AND(ISNUMBER(P634),P634&gt;1E-9,P634&lt;1-1E-9),'계산 과정'!$C$47*(D634-'계산 과정'!$C$50+P634*('계산 과정'!$C$32-D634))+'계산 과정'!$D$47*(E634-'계산 과정'!$D$50+P634*('계산 과정'!$D$32-E634))+'계산 과정'!$E$47*(0-'계산 과정'!$E$50+P634*('계산 과정'!$E$32-0)),"")</x:f>
      </x:c>
      <x:c r="R634" s="4" t="str">
        <x:f>IF(AND(ISNUMBER(P634),P634&gt;1E-9,P634&lt;1-1E-9),'계산 과정'!$C$48*(D634-'계산 과정'!$C$50+P634*('계산 과정'!$C$32-D634))+'계산 과정'!$D$48*(E634-'계산 과정'!$D$50+P634*('계산 과정'!$D$32-E634))+'계산 과정'!$E$48*(0-'계산 과정'!$E$50+P634*('계산 과정'!$E$32-0)),"")</x:f>
      </x:c>
      <x:c r="S634" s="17" t="n">
        <x:f>IF('계산 과정'!$C$78,IF(AND(ISNUMBER(Q634),ISNUMBER(R634),ABS(Q634-'계산 과정'!$C$88)&lt;='계산 과정'!$D$23/2,ABS(R634-'계산 과정'!$C$89)&lt;='계산 과정'!$D$24/2),1,0),"")</x:f>
        <x:v>0</x:v>
      </x:c>
      <x:c r="T634" s="4"/>
      <x:c r="U634" s="4"/>
      <x:c r="V634" s="4"/>
      <x:c r="W634" s="4" t="n">
        <x:f>IF('계산 과정'!$C$78,'계산 과정'!$C$88+-1*'계산 과정'!$C$90/2,"")</x:f>
        <x:v>-152.30104978473645</x:v>
      </x:c>
      <x:c r="X634" s="4" t="str">
        <x:f>""</x:f>
      </x:c>
      <x:c r="Y634" s="4" t="str">
        <x:f>""</x:f>
      </x:c>
      <x:c r="Z634" s="4" t="n">
        <x:f>IF('계산 과정'!$C$78,'계산 과정'!$C$89+-0.43999999999999995*'계산 과정'!$C$91/2,"")</x:f>
        <x:v>-110.26381093614341</x:v>
      </x:c>
    </x:row>
    <x:row r="635" ht="23" customHeight="1">
      <x:c r="A635" s="17" t="n">
        <x:f>ROW()-6</x:f>
        <x:v>629</x:v>
      </x:c>
      <x:c r="B635" s="4" t="n">
        <x:f>IF('계산 과정'!$L$5,'계산 과정'!$L$11*SQRT((A635+0.5)/'계산 과정'!$L$30),"")</x:f>
        <x:v>83.16185155879768</x:v>
      </x:c>
      <x:c r="C635" s="4" t="n">
        <x:f>A635*PI()*(3-SQRT(5))</x:f>
        <x:v>1509.5768714993226</x:v>
      </x:c>
      <x:c r="D635" s="4" t="n">
        <x:f>IF('계산 과정'!$L$5,B635*COS(C635),"")</x:f>
        <x:v>-3.458655722343466</x:v>
      </x:c>
      <x:c r="E635" s="4" t="n">
        <x:f>IF('계산 과정'!$L$5,B635*SIN(C635),"")</x:f>
        <x:v>83.08989863564524</x:v>
      </x:c>
      <x:c r="F635" s="4" t="n">
        <x:f>IF('계산 과정'!$L$7,'계산 과정'!$L$22+'계산 과정'!$C$49*D635+'계산 과정'!$D$49*E635,"")</x:f>
        <x:v>652.4456389150587</x:v>
      </x:c>
      <x:c r="G635" s="4" t="n">
        <x:f>IF('계산 과정'!$L$7,IF(ABS(F635)&gt;=1E-12*MAX(1,SQRT((D635-'계산 과정'!$C$33)^2+(E635-'계산 과정'!$D$33)^2+'계산 과정'!$E$33^2)),('계산 과정'!$L$23-'계산 과정'!$C$49*D635-'계산 과정'!$D$49*E635)/F635,""),"")</x:f>
        <x:v>0.6093294787685729</x:v>
      </x:c>
      <x:c r="H635" s="4" t="n">
        <x:f>IF(AND(ISNUMBER(G635),G635&gt;0),('계산 과정'!$D$56+'계산 과정'!$D$57*D635+'계산 과정'!$D$58*E635)/F635,"")</x:f>
        <x:v>-3.9358388004277054</x:v>
      </x:c>
      <x:c r="I635" s="4" t="n">
        <x:f>IF(AND(ISNUMBER(G635),G635&gt;0),('계산 과정'!$E$56+'계산 과정'!$E$57*D635+'계산 과정'!$E$58*E635)/F635,"")</x:f>
        <x:v>133.7190232622365</x:v>
      </x:c>
      <x:c r="J635" s="4" t="n">
        <x:f>IF('계산 과정'!$L$5,'계산 과정'!$D$6+'계산 과정'!$C$35*D635+'계산 과정'!$D$35*E635,"")</x:f>
        <x:v>652.4456389150587</x:v>
      </x:c>
      <x:c r="K635" s="4" t="n">
        <x:f>IF(AND('계산 과정'!$L$6,J635&gt;0),'계산 과정'!$D$10*('계산 과정'!$C$38*(D635-'계산 과정'!$C$32)+'계산 과정'!$D$38*(E635-'계산 과정'!$D$32)-'계산 과정'!$E$38*'계산 과정'!$E$32)/J635,"")</x:f>
        <x:v>-0.029987343241352566</x:v>
      </x:c>
      <x:c r="L635" s="4" t="n">
        <x:f>IF(AND('계산 과정'!$L$6,J635&gt;0),'계산 과정'!$D$10*('계산 과정'!$C$39*(D635-'계산 과정'!$C$32)+'계산 과정'!$D$39*(E635-'계산 과정'!$D$32)-'계산 과정'!$E$39*'계산 과정'!$E$32)/J635,"")</x:f>
        <x:v>1.0188116058075163</x:v>
      </x:c>
      <x:c r="M635" s="17" t="n">
        <x:f>IF('계산 과정'!$L$6,IF(J635&lt;=0,0,IF(AND(ABS(K635)&lt;='계산 과정'!$D$11/2,ABS(L635)&lt;='계산 과정'!$D$12/2),1,0)),"")</x:f>
        <x:v>1</x:v>
      </x:c>
      <x:c r="N635" s="17" t="n">
        <x:f>IF('계산 과정'!$C$78,IF(AND(ISNUMBER(H635),ISNUMBER(I635),ABS(H635-'계산 과정'!$C$88)&lt;='계산 과정'!$D$23/2,ABS(I635-'계산 과정'!$C$89)&lt;='계산 과정'!$D$24/2),1,0),"")</x:f>
        <x:v>1</x:v>
      </x:c>
      <x:c r="O635" s="4" t="n">
        <x:f>IF('계산 과정'!$L$7,'계산 과정'!$C$49*('계산 과정'!$C$32-D635)+'계산 과정'!$D$49*('계산 과정'!$D$32-E635)+'계산 과정'!$E$49*'계산 과정'!$E$32,"")</x:f>
        <x:v>-2.4456389150586233</x:v>
      </x:c>
      <x:c r="P635" s="4" t="n">
        <x:f>IF(AND('계산 과정'!$L$7,O635&lt;&gt;0),('계산 과정'!$L$23-'계산 과정'!$C$49*D635-'계산 과정'!$D$49*E635)/O635,"")</x:f>
        <x:v>-162.55644226016565</x:v>
      </x:c>
      <x:c r="Q635" s="4" t="str">
        <x:f>IF(AND(ISNUMBER(P635),P635&gt;1E-9,P635&lt;1-1E-9),'계산 과정'!$C$47*(D635-'계산 과정'!$C$50+P635*('계산 과정'!$C$32-D635))+'계산 과정'!$D$47*(E635-'계산 과정'!$D$50+P635*('계산 과정'!$D$32-E635))+'계산 과정'!$E$47*(0-'계산 과정'!$E$50+P635*('계산 과정'!$E$32-0)),"")</x:f>
      </x:c>
      <x:c r="R635" s="4" t="str">
        <x:f>IF(AND(ISNUMBER(P635),P635&gt;1E-9,P635&lt;1-1E-9),'계산 과정'!$C$48*(D635-'계산 과정'!$C$50+P635*('계산 과정'!$C$32-D635))+'계산 과정'!$D$48*(E635-'계산 과정'!$D$50+P635*('계산 과정'!$D$32-E635))+'계산 과정'!$E$48*(0-'계산 과정'!$E$50+P635*('계산 과정'!$E$32-0)),"")</x:f>
      </x:c>
      <x:c r="S635" s="17" t="n">
        <x:f>IF('계산 과정'!$C$78,IF(AND(ISNUMBER(Q635),ISNUMBER(R635),ABS(Q635-'계산 과정'!$C$88)&lt;='계산 과정'!$D$23/2,ABS(R635-'계산 과정'!$C$89)&lt;='계산 과정'!$D$24/2),1,0),"")</x:f>
        <x:v>0</x:v>
      </x:c>
      <x:c r="T635" s="4"/>
      <x:c r="U635" s="4"/>
      <x:c r="V635" s="4"/>
      <x:c r="W635" s="4" t="n">
        <x:f>IF('계산 과정'!$C$78,'계산 과정'!$C$88+-1*'계산 과정'!$C$90/2,"")</x:f>
        <x:v>-152.30104978473645</x:v>
      </x:c>
      <x:c r="X635" s="4" t="str">
        <x:f>""</x:f>
      </x:c>
      <x:c r="Y635" s="4" t="str">
        <x:f>""</x:f>
      </x:c>
      <x:c r="Z635" s="4" t="n">
        <x:f>IF('계산 과정'!$C$78,'계산 과정'!$C$89+-0.48*'계산 과정'!$C$91/2,"")</x:f>
        <x:v>-120.2877937485201</x:v>
      </x:c>
    </x:row>
    <x:row r="636" ht="23" customHeight="1">
      <x:c r="A636" s="17" t="n">
        <x:f>ROW()-6</x:f>
        <x:v>630</x:v>
      </x:c>
      <x:c r="B636" s="4" t="n">
        <x:f>IF('계산 과정'!$L$5,'계산 과정'!$L$11*SQRT((A636+0.5)/'계산 과정'!$L$30),"")</x:f>
        <x:v>83.22787924014705</x:v>
      </x:c>
      <x:c r="C636" s="4" t="n">
        <x:f>A636*PI()*(3-SQRT(5))</x:f>
        <x:v>1511.9768347290515</x:v>
      </x:c>
      <x:c r="D636" s="4" t="n">
        <x:f>IF('계산 과정'!$L$5,B636*COS(C636),"")</x:f>
        <x:v>-53.61865260278001</x:v>
      </x:c>
      <x:c r="E636" s="4" t="n">
        <x:f>IF('계산 과정'!$L$5,B636*SIN(C636),"")</x:f>
        <x:v>-63.65469327453312</x:v>
      </x:c>
      <x:c r="F636" s="4" t="n">
        <x:f>IF('계산 과정'!$L$7,'계산 과정'!$L$22+'계산 과정'!$C$49*D636+'계산 과정'!$D$49*E636,"")</x:f>
        <x:v>687.9141128535115</x:v>
      </x:c>
      <x:c r="G636" s="4" t="n">
        <x:f>IF('계산 과정'!$L$7,IF(ABS(F636)&gt;=1E-12*MAX(1,SQRT((D636-'계산 과정'!$C$33)^2+(E636-'계산 과정'!$D$33)^2+'계산 과정'!$E$33^2)),('계산 과정'!$L$23-'계산 과정'!$C$49*D636-'계산 과정'!$D$49*E636)/F636,""),"")</x:f>
        <x:v>0.5263533344948154</x:v>
      </x:c>
      <x:c r="H636" s="4" t="n">
        <x:f>IF(AND(ISNUMBER(G636),G636&gt;0),('계산 과정'!$D$56+'계산 과정'!$D$57*D636+'계산 과정'!$D$58*E636)/F636,"")</x:f>
        <x:v>-57.870332578370096</x:v>
      </x:c>
      <x:c r="I636" s="4" t="n">
        <x:f>IF(AND(ISNUMBER(G636),G636&gt;0),('계산 과정'!$E$56+'계산 과정'!$E$57*D636+'계산 과정'!$E$58*E636)/F636,"")</x:f>
        <x:v>-97.15955333582832</x:v>
      </x:c>
      <x:c r="J636" s="4" t="n">
        <x:f>IF('계산 과정'!$L$5,'계산 과정'!$D$6+'계산 과정'!$C$35*D636+'계산 과정'!$D$35*E636,"")</x:f>
        <x:v>687.9141128535115</x:v>
      </x:c>
      <x:c r="K636" s="4" t="n">
        <x:f>IF(AND('계산 과정'!$L$6,J636&gt;0),'계산 과정'!$D$10*('계산 과정'!$C$38*(D636-'계산 과정'!$C$32)+'계산 과정'!$D$38*(E636-'계산 과정'!$D$32)-'계산 과정'!$E$38*'계산 과정'!$E$32)/J636,"")</x:f>
        <x:v>-0.44091681964472373</x:v>
      </x:c>
      <x:c r="L636" s="4" t="n">
        <x:f>IF(AND('계산 과정'!$L$6,J636&gt;0),'계산 과정'!$D$10*('계산 과정'!$C$39*(D636-'계산 과정'!$C$32)+'계산 과정'!$D$39*(E636-'계산 과정'!$D$32)-'계산 과정'!$E$39*'계산 과정'!$E$32)/J636,"")</x:f>
        <x:v>-0.740263263511073</x:v>
      </x:c>
      <x:c r="M636" s="17" t="n">
        <x:f>IF('계산 과정'!$L$6,IF(J636&lt;=0,0,IF(AND(ABS(K636)&lt;='계산 과정'!$D$11/2,ABS(L636)&lt;='계산 과정'!$D$12/2),1,0)),"")</x:f>
        <x:v>1</x:v>
      </x:c>
      <x:c r="N636" s="17" t="n">
        <x:f>IF('계산 과정'!$C$78,IF(AND(ISNUMBER(H636),ISNUMBER(I636),ABS(H636-'계산 과정'!$C$88)&lt;='계산 과정'!$D$23/2,ABS(I636-'계산 과정'!$C$89)&lt;='계산 과정'!$D$24/2),1,0),"")</x:f>
        <x:v>1</x:v>
      </x:c>
      <x:c r="O636" s="4" t="n">
        <x:f>IF('계산 과정'!$L$7,'계산 과정'!$C$49*('계산 과정'!$C$32-D636)+'계산 과정'!$D$49*('계산 과정'!$D$32-E636)+'계산 과정'!$E$49*'계산 과정'!$E$32,"")</x:f>
        <x:v>-37.91411285351137</x:v>
      </x:c>
      <x:c r="P636" s="4" t="n">
        <x:f>IF(AND('계산 과정'!$L$7,O636&lt;&gt;0),('계산 과정'!$L$23-'계산 과정'!$C$49*D636-'계산 과정'!$D$49*E636)/O636,"")</x:f>
        <x:v>-9.55016113776626</x:v>
      </x:c>
      <x:c r="Q636" s="4" t="str">
        <x:f>IF(AND(ISNUMBER(P636),P636&gt;1E-9,P636&lt;1-1E-9),'계산 과정'!$C$47*(D636-'계산 과정'!$C$50+P636*('계산 과정'!$C$32-D636))+'계산 과정'!$D$47*(E636-'계산 과정'!$D$50+P636*('계산 과정'!$D$32-E636))+'계산 과정'!$E$47*(0-'계산 과정'!$E$50+P636*('계산 과정'!$E$32-0)),"")</x:f>
      </x:c>
      <x:c r="R636" s="4" t="str">
        <x:f>IF(AND(ISNUMBER(P636),P636&gt;1E-9,P636&lt;1-1E-9),'계산 과정'!$C$48*(D636-'계산 과정'!$C$50+P636*('계산 과정'!$C$32-D636))+'계산 과정'!$D$48*(E636-'계산 과정'!$D$50+P636*('계산 과정'!$D$32-E636))+'계산 과정'!$E$48*(0-'계산 과정'!$E$50+P636*('계산 과정'!$E$32-0)),"")</x:f>
      </x:c>
      <x:c r="S636" s="17" t="n">
        <x:f>IF('계산 과정'!$C$78,IF(AND(ISNUMBER(Q636),ISNUMBER(R636),ABS(Q636-'계산 과정'!$C$88)&lt;='계산 과정'!$D$23/2,ABS(R636-'계산 과정'!$C$89)&lt;='계산 과정'!$D$24/2),1,0),"")</x:f>
        <x:v>0</x:v>
      </x:c>
      <x:c r="T636" s="4"/>
      <x:c r="U636" s="4"/>
      <x:c r="V636" s="4"/>
      <x:c r="W636" s="4" t="n">
        <x:f>IF('계산 과정'!$C$78,'계산 과정'!$C$88+-1*'계산 과정'!$C$90/2,"")</x:f>
        <x:v>-152.30104978473645</x:v>
      </x:c>
      <x:c r="X636" s="4" t="str">
        <x:f>""</x:f>
      </x:c>
      <x:c r="Y636" s="4" t="str">
        <x:f>""</x:f>
      </x:c>
      <x:c r="Z636" s="4" t="n">
        <x:f>IF('계산 과정'!$C$78,'계산 과정'!$C$89+-0.52*'계산 과정'!$C$91/2,"")</x:f>
        <x:v>-130.3117765608968</x:v>
      </x:c>
    </x:row>
    <x:row r="637" ht="23" customHeight="1">
      <x:c r="A637" s="17" t="n">
        <x:f>ROW()-6</x:f>
        <x:v>631</x:v>
      </x:c>
      <x:c r="B637" s="4" t="n">
        <x:f>IF('계산 과정'!$L$5,'계산 과정'!$L$11*SQRT((A637+0.5)/'계산 과정'!$L$30),"")</x:f>
        <x:v>83.29385458086028</x:v>
      </x:c>
      <x:c r="C637" s="4" t="n">
        <x:f>A637*PI()*(3-SQRT(5))</x:f>
        <x:v>1514.37679795878</x:v>
      </x:c>
      <x:c r="D637" s="4" t="n">
        <x:f>IF('계산 과정'!$L$5,B637*COS(C637),"")</x:f>
        <x:v>82.60027917889893</x:v>
      </x:c>
      <x:c r="E637" s="4" t="n">
        <x:f>IF('계산 과정'!$L$5,B637*SIN(C637),"")</x:f>
        <x:v>10.72660666312774</x:v>
      </x:c>
      <x:c r="F637" s="4" t="n">
        <x:f>IF('계산 과정'!$L$7,'계산 과정'!$L$22+'계산 과정'!$C$49*D637+'계산 과정'!$D$49*E637,"")</x:f>
        <x:v>591.5927824646985</x:v>
      </x:c>
      <x:c r="G637" s="4" t="n">
        <x:f>IF('계산 과정'!$L$7,IF(ABS(F637)&gt;=1E-12*MAX(1,SQRT((D637-'계산 과정'!$C$33)^2+(E637-'계산 과정'!$D$33)^2+'계산 과정'!$E$33^2)),('계산 과정'!$L$23-'계산 과정'!$C$49*D637-'계산 과정'!$D$49*E637)/F637,""),"")</x:f>
        <x:v>0.7748695236366503</x:v>
      </x:c>
      <x:c r="H637" s="4" t="n">
        <x:f>IF(AND(ISNUMBER(G637),G637&gt;0),('계산 과정'!$D$56+'계산 과정'!$D$57*D637+'계산 과정'!$D$58*E637)/F637,"")</x:f>
        <x:v>103.66519036382256</x:v>
      </x:c>
      <x:c r="I637" s="4" t="n">
        <x:f>IF(AND(ISNUMBER(G637),G637&gt;0),('계산 과정'!$E$56+'계산 과정'!$E$57*D637+'계산 과정'!$E$58*E637)/F637,"")</x:f>
        <x:v>19.03832725842325</x:v>
      </x:c>
      <x:c r="J637" s="4" t="n">
        <x:f>IF('계산 과정'!$L$5,'계산 과정'!$D$6+'계산 과정'!$C$35*D637+'계산 과정'!$D$35*E637,"")</x:f>
        <x:v>591.5927824646985</x:v>
      </x:c>
      <x:c r="K637" s="4" t="n">
        <x:f>IF(AND('계산 과정'!$L$6,J637&gt;0),'계산 과정'!$D$10*('계산 과정'!$C$38*(D637-'계산 과정'!$C$32)+'계산 과정'!$D$38*(E637-'계산 과정'!$D$32)-'계산 과정'!$E$38*'계산 과정'!$E$32)/J637,"")</x:f>
        <x:v>0.789830021819601</x:v>
      </x:c>
      <x:c r="L637" s="4" t="n">
        <x:f>IF(AND('계산 과정'!$L$6,J637&gt;0),'계산 과정'!$D$10*('계산 과정'!$C$39*(D637-'계산 과정'!$C$32)+'계산 과정'!$D$39*(E637-'계산 과정'!$D$32)-'계산 과정'!$E$39*'계산 과정'!$E$32)/J637,"")</x:f>
        <x:v>0.14505392196893904</x:v>
      </x:c>
      <x:c r="M637" s="17" t="n">
        <x:f>IF('계산 과정'!$L$6,IF(J637&lt;=0,0,IF(AND(ABS(K637)&lt;='계산 과정'!$D$11/2,ABS(L637)&lt;='계산 과정'!$D$12/2),1,0)),"")</x:f>
        <x:v>1</x:v>
      </x:c>
      <x:c r="N637" s="17" t="n">
        <x:f>IF('계산 과정'!$C$78,IF(AND(ISNUMBER(H637),ISNUMBER(I637),ABS(H637-'계산 과정'!$C$88)&lt;='계산 과정'!$D$23/2,ABS(I637-'계산 과정'!$C$89)&lt;='계산 과정'!$D$24/2),1,0),"")</x:f>
        <x:v>1</x:v>
      </x:c>
      <x:c r="O637" s="4" t="n">
        <x:f>IF('계산 과정'!$L$7,'계산 과정'!$C$49*('계산 과정'!$C$32-D637)+'계산 과정'!$D$49*('계산 과정'!$D$32-E637)+'계산 과정'!$E$49*'계산 과정'!$E$32,"")</x:f>
        <x:v>58.40721753530153</x:v>
      </x:c>
      <x:c r="P637" s="4" t="n">
        <x:f>IF(AND('계산 과정'!$L$7,O637&lt;&gt;0),('계산 과정'!$L$23-'계산 과정'!$C$49*D637-'계산 과정'!$D$49*E637)/O637,"")</x:f>
        <x:v>7.848468680403043</x:v>
      </x:c>
      <x:c r="Q637" s="4" t="str">
        <x:f>IF(AND(ISNUMBER(P637),P637&gt;1E-9,P637&lt;1-1E-9),'계산 과정'!$C$47*(D637-'계산 과정'!$C$50+P637*('계산 과정'!$C$32-D637))+'계산 과정'!$D$47*(E637-'계산 과정'!$D$50+P637*('계산 과정'!$D$32-E637))+'계산 과정'!$E$47*(0-'계산 과정'!$E$50+P637*('계산 과정'!$E$32-0)),"")</x:f>
      </x:c>
      <x:c r="R637" s="4" t="str">
        <x:f>IF(AND(ISNUMBER(P637),P637&gt;1E-9,P637&lt;1-1E-9),'계산 과정'!$C$48*(D637-'계산 과정'!$C$50+P637*('계산 과정'!$C$32-D637))+'계산 과정'!$D$48*(E637-'계산 과정'!$D$50+P637*('계산 과정'!$D$32-E637))+'계산 과정'!$E$48*(0-'계산 과정'!$E$50+P637*('계산 과정'!$E$32-0)),"")</x:f>
      </x:c>
      <x:c r="S637" s="17" t="n">
        <x:f>IF('계산 과정'!$C$78,IF(AND(ISNUMBER(Q637),ISNUMBER(R637),ABS(Q637-'계산 과정'!$C$88)&lt;='계산 과정'!$D$23/2,ABS(R637-'계산 과정'!$C$89)&lt;='계산 과정'!$D$24/2),1,0),"")</x:f>
        <x:v>0</x:v>
      </x:c>
      <x:c r="T637" s="4"/>
      <x:c r="U637" s="4"/>
      <x:c r="V637" s="4"/>
      <x:c r="W637" s="4" t="n">
        <x:f>IF('계산 과정'!$C$78,'계산 과정'!$C$88+-1*'계산 과정'!$C$90/2,"")</x:f>
        <x:v>-152.30104978473645</x:v>
      </x:c>
      <x:c r="X637" s="4" t="str">
        <x:f>""</x:f>
      </x:c>
      <x:c r="Y637" s="4" t="str">
        <x:f>""</x:f>
      </x:c>
      <x:c r="Z637" s="4" t="n">
        <x:f>IF('계산 과정'!$C$78,'계산 과정'!$C$89+-0.56*'계산 과정'!$C$91/2,"")</x:f>
        <x:v>-140.33575937327348</x:v>
      </x:c>
    </x:row>
    <x:row r="638" ht="23" customHeight="1">
      <x:c r="A638" s="17" t="n">
        <x:f>ROW()-6</x:f>
        <x:v>632</x:v>
      </x:c>
      <x:c r="B638" s="4" t="n">
        <x:f>IF('계산 과정'!$L$5,'계산 과정'!$L$11*SQRT((A638+0.5)/'계산 과정'!$L$30),"")</x:f>
        <x:v>83.35977770521284</x:v>
      </x:c>
      <x:c r="C638" s="4" t="n">
        <x:f>A638*PI()*(3-SQRT(5))</x:f>
        <x:v>1516.7767611885088</x:v>
      </x:c>
      <x:c r="D638" s="4" t="n">
        <x:f>IF('계산 과정'!$L$5,B638*COS(C638),"")</x:f>
        <x:v>-68.20653341505721</x:v>
      </x:c>
      <x:c r="E638" s="4" t="n">
        <x:f>IF('계산 과정'!$L$5,B638*SIN(C638),"")</x:f>
        <x:v>47.92412063421909</x:v>
      </x:c>
      <x:c r="F638" s="4" t="n">
        <x:f>IF('계산 과정'!$L$7,'계산 과정'!$L$22+'계산 과정'!$C$49*D638+'계산 과정'!$D$49*E638,"")</x:f>
        <x:v>698.2293022990139</x:v>
      </x:c>
      <x:c r="G638" s="4" t="n">
        <x:f>IF('계산 과정'!$L$7,IF(ABS(F638)&gt;=1E-12*MAX(1,SQRT((D638-'계산 과정'!$C$33)^2+(E638-'계산 과정'!$D$33)^2+'계산 과정'!$E$33^2)),('계산 과정'!$L$23-'계산 과정'!$C$49*D638-'계산 과정'!$D$49*E638)/F638,""),"")</x:f>
        <x:v>0.5038039746294432</x:v>
      </x:c>
      <x:c r="H638" s="4" t="n">
        <x:f>IF(AND(ISNUMBER(G638),G638&gt;0),('계산 과정'!$D$56+'계산 과정'!$D$57*D638+'계산 과정'!$D$58*E638)/F638,"")</x:f>
        <x:v>-72.52741649086201</x:v>
      </x:c>
      <x:c r="I638" s="4" t="n">
        <x:f>IF(AND(ISNUMBER(G638),G638&gt;0),('계산 과정'!$E$56+'계산 과정'!$E$57*D638+'계산 과정'!$E$58*E638)/F638,"")</x:f>
        <x:v>72.06848309035958</x:v>
      </x:c>
      <x:c r="J638" s="4" t="n">
        <x:f>IF('계산 과정'!$L$5,'계산 과정'!$D$6+'계산 과정'!$C$35*D638+'계산 과정'!$D$35*E638,"")</x:f>
        <x:v>698.2293022990139</x:v>
      </x:c>
      <x:c r="K638" s="4" t="n">
        <x:f>IF(AND('계산 과정'!$L$6,J638&gt;0),'계산 과정'!$D$10*('계산 과정'!$C$38*(D638-'계산 과정'!$C$32)+'계산 과정'!$D$38*(E638-'계산 과정'!$D$32)-'계산 과정'!$E$38*'계산 과정'!$E$32)/J638,"")</x:f>
        <x:v>-0.5525898399303756</x:v>
      </x:c>
      <x:c r="L638" s="4" t="n">
        <x:f>IF(AND('계산 과정'!$L$6,J638&gt;0),'계산 과정'!$D$10*('계산 과정'!$C$39*(D638-'계산 과정'!$C$32)+'계산 과정'!$D$39*(E638-'계산 과정'!$D$32)-'계산 과정'!$E$39*'계산 과정'!$E$32)/J638,"")</x:f>
        <x:v>0.5490932044979777</x:v>
      </x:c>
      <x:c r="M638" s="17" t="n">
        <x:f>IF('계산 과정'!$L$6,IF(J638&lt;=0,0,IF(AND(ABS(K638)&lt;='계산 과정'!$D$11/2,ABS(L638)&lt;='계산 과정'!$D$12/2),1,0)),"")</x:f>
        <x:v>1</x:v>
      </x:c>
      <x:c r="N638" s="17" t="n">
        <x:f>IF('계산 과정'!$C$78,IF(AND(ISNUMBER(H638),ISNUMBER(I638),ABS(H638-'계산 과정'!$C$88)&lt;='계산 과정'!$D$23/2,ABS(I638-'계산 과정'!$C$89)&lt;='계산 과정'!$D$24/2),1,0),"")</x:f>
        <x:v>1</x:v>
      </x:c>
      <x:c r="O638" s="4" t="n">
        <x:f>IF('계산 과정'!$L$7,'계산 과정'!$C$49*('계산 과정'!$C$32-D638)+'계산 과정'!$D$49*('계산 과정'!$D$32-E638)+'계산 과정'!$E$49*'계산 과정'!$E$32,"")</x:f>
        <x:v>-48.229302299013625</x:v>
      </x:c>
      <x:c r="P638" s="4" t="n">
        <x:f>IF(AND('계산 과정'!$L$7,O638&lt;&gt;0),('계산 과정'!$L$23-'계산 과정'!$C$49*D638-'계산 과정'!$D$49*E638)/O638,"")</x:f>
        <x:v>-7.293713177106867</x:v>
      </x:c>
      <x:c r="Q638" s="4" t="str">
        <x:f>IF(AND(ISNUMBER(P638),P638&gt;1E-9,P638&lt;1-1E-9),'계산 과정'!$C$47*(D638-'계산 과정'!$C$50+P638*('계산 과정'!$C$32-D638))+'계산 과정'!$D$47*(E638-'계산 과정'!$D$50+P638*('계산 과정'!$D$32-E638))+'계산 과정'!$E$47*(0-'계산 과정'!$E$50+P638*('계산 과정'!$E$32-0)),"")</x:f>
      </x:c>
      <x:c r="R638" s="4" t="str">
        <x:f>IF(AND(ISNUMBER(P638),P638&gt;1E-9,P638&lt;1-1E-9),'계산 과정'!$C$48*(D638-'계산 과정'!$C$50+P638*('계산 과정'!$C$32-D638))+'계산 과정'!$D$48*(E638-'계산 과정'!$D$50+P638*('계산 과정'!$D$32-E638))+'계산 과정'!$E$48*(0-'계산 과정'!$E$50+P638*('계산 과정'!$E$32-0)),"")</x:f>
      </x:c>
      <x:c r="S638" s="17" t="n">
        <x:f>IF('계산 과정'!$C$78,IF(AND(ISNUMBER(Q638),ISNUMBER(R638),ABS(Q638-'계산 과정'!$C$88)&lt;='계산 과정'!$D$23/2,ABS(R638-'계산 과정'!$C$89)&lt;='계산 과정'!$D$24/2),1,0),"")</x:f>
        <x:v>0</x:v>
      </x:c>
      <x:c r="T638" s="4"/>
      <x:c r="U638" s="4"/>
      <x:c r="V638" s="4"/>
      <x:c r="W638" s="4" t="n">
        <x:f>IF('계산 과정'!$C$78,'계산 과정'!$C$88+-1*'계산 과정'!$C$90/2,"")</x:f>
        <x:v>-152.30104978473645</x:v>
      </x:c>
      <x:c r="X638" s="4" t="str">
        <x:f>""</x:f>
      </x:c>
      <x:c r="Y638" s="4" t="str">
        <x:f>""</x:f>
      </x:c>
      <x:c r="Z638" s="4" t="n">
        <x:f>IF('계산 과정'!$C$78,'계산 과정'!$C$89+-0.6000000000000001*'계산 과정'!$C$91/2,"")</x:f>
        <x:v>-150.35974218565016</x:v>
      </x:c>
    </x:row>
    <x:row r="639" ht="23" customHeight="1">
      <x:c r="A639" s="17" t="n">
        <x:f>ROW()-6</x:f>
        <x:v>633</x:v>
      </x:c>
      <x:c r="B639" s="4" t="n">
        <x:f>IF('계산 과정'!$L$5,'계산 과정'!$L$11*SQRT((A639+0.5)/'계산 과정'!$L$30),"")</x:f>
        <x:v>83.42564873698915</x:v>
      </x:c>
      <x:c r="C639" s="4" t="n">
        <x:f>A639*PI()*(3-SQRT(5))</x:f>
        <x:v>1519.1767244182372</x:v>
      </x:c>
      <x:c r="D639" s="4" t="n">
        <x:f>IF('계산 과정'!$L$5,B639*COS(C639),"")</x:f>
        <x:v>17.935257952127145</x:v>
      </x:c>
      <x:c r="E639" s="4" t="n">
        <x:f>IF('계산 과정'!$L$5,B639*SIN(C639),"")</x:f>
        <x:v>-81.47493718548151</x:v>
      </x:c>
      <x:c r="F639" s="4" t="n">
        <x:f>IF('계산 과정'!$L$7,'계산 과정'!$L$22+'계산 과정'!$C$49*D639+'계산 과정'!$D$49*E639,"")</x:f>
        <x:v>637.3178574797209</x:v>
      </x:c>
      <x:c r="G639" s="4" t="n">
        <x:f>IF('계산 과정'!$L$7,IF(ABS(F639)&gt;=1E-12*MAX(1,SQRT((D639-'계산 과정'!$C$33)^2+(E639-'계산 과정'!$D$33)^2+'계산 과정'!$E$33^2)),('계산 과정'!$L$23-'계산 과정'!$C$49*D639-'계산 과정'!$D$49*E639)/F639,""),"")</x:f>
        <x:v>0.6475295453860875</x:v>
      </x:c>
      <x:c r="H639" s="4" t="n">
        <x:f>IF(AND(ISNUMBER(G639),G639&gt;0),('계산 과정'!$D$56+'계산 과정'!$D$57*D639+'계산 과정'!$D$58*E639)/F639,"")</x:f>
        <x:v>20.894204500956814</x:v>
      </x:c>
      <x:c r="I639" s="4" t="n">
        <x:f>IF(AND(ISNUMBER(G639),G639&gt;0),('계산 과정'!$E$56+'계산 과정'!$E$57*D639+'계산 과정'!$E$58*E639)/F639,"")</x:f>
        <x:v>-134.2323662215564</x:v>
      </x:c>
      <x:c r="J639" s="4" t="n">
        <x:f>IF('계산 과정'!$L$5,'계산 과정'!$D$6+'계산 과정'!$C$35*D639+'계산 과정'!$D$35*E639,"")</x:f>
        <x:v>637.3178574797209</x:v>
      </x:c>
      <x:c r="K639" s="4" t="n">
        <x:f>IF(AND('계산 과정'!$L$6,J639&gt;0),'계산 과정'!$D$10*('계산 과정'!$C$38*(D639-'계산 과정'!$C$32)+'계산 과정'!$D$38*(E639-'계산 과정'!$D$32)-'계산 과정'!$E$38*'계산 과정'!$E$32)/J639,"")</x:f>
        <x:v>0.15919393905490992</x:v>
      </x:c>
      <x:c r="L639" s="4" t="n">
        <x:f>IF(AND('계산 과정'!$L$6,J639&gt;0),'계산 과정'!$D$10*('계산 과정'!$C$39*(D639-'계산 과정'!$C$32)+'계산 과정'!$D$39*(E639-'계산 과정'!$D$32)-'계산 과정'!$E$39*'계산 과정'!$E$32)/J639,"")</x:f>
        <x:v>-1.0227227902594773</x:v>
      </x:c>
      <x:c r="M639" s="17" t="n">
        <x:f>IF('계산 과정'!$L$6,IF(J639&lt;=0,0,IF(AND(ABS(K639)&lt;='계산 과정'!$D$11/2,ABS(L639)&lt;='계산 과정'!$D$12/2),1,0)),"")</x:f>
        <x:v>1</x:v>
      </x:c>
      <x:c r="N639" s="17" t="n">
        <x:f>IF('계산 과정'!$C$78,IF(AND(ISNUMBER(H639),ISNUMBER(I639),ABS(H639-'계산 과정'!$C$88)&lt;='계산 과정'!$D$23/2,ABS(I639-'계산 과정'!$C$89)&lt;='계산 과정'!$D$24/2),1,0),"")</x:f>
        <x:v>1</x:v>
      </x:c>
      <x:c r="O639" s="4" t="n">
        <x:f>IF('계산 과정'!$L$7,'계산 과정'!$C$49*('계산 과정'!$C$32-D639)+'계산 과정'!$D$49*('계산 과정'!$D$32-E639)+'계산 과정'!$E$49*'계산 과정'!$E$32,"")</x:f>
        <x:v>12.682142520279172</x:v>
      </x:c>
      <x:c r="P639" s="4" t="n">
        <x:f>IF(AND('계산 과정'!$L$7,O639&lt;&gt;0),('계산 과정'!$L$23-'계산 과정'!$C$49*D639-'계산 과정'!$D$49*E639)/O639,"")</x:f>
        <x:v>32.54041198956615</x:v>
      </x:c>
      <x:c r="Q639" s="4" t="str">
        <x:f>IF(AND(ISNUMBER(P639),P639&gt;1E-9,P639&lt;1-1E-9),'계산 과정'!$C$47*(D639-'계산 과정'!$C$50+P639*('계산 과정'!$C$32-D639))+'계산 과정'!$D$47*(E639-'계산 과정'!$D$50+P639*('계산 과정'!$D$32-E639))+'계산 과정'!$E$47*(0-'계산 과정'!$E$50+P639*('계산 과정'!$E$32-0)),"")</x:f>
      </x:c>
      <x:c r="R639" s="4" t="str">
        <x:f>IF(AND(ISNUMBER(P639),P639&gt;1E-9,P639&lt;1-1E-9),'계산 과정'!$C$48*(D639-'계산 과정'!$C$50+P639*('계산 과정'!$C$32-D639))+'계산 과정'!$D$48*(E639-'계산 과정'!$D$50+P639*('계산 과정'!$D$32-E639))+'계산 과정'!$E$48*(0-'계산 과정'!$E$50+P639*('계산 과정'!$E$32-0)),"")</x:f>
      </x:c>
      <x:c r="S639" s="17" t="n">
        <x:f>IF('계산 과정'!$C$78,IF(AND(ISNUMBER(Q639),ISNUMBER(R639),ABS(Q639-'계산 과정'!$C$88)&lt;='계산 과정'!$D$23/2,ABS(R639-'계산 과정'!$C$89)&lt;='계산 과정'!$D$24/2),1,0),"")</x:f>
        <x:v>0</x:v>
      </x:c>
      <x:c r="T639" s="4"/>
      <x:c r="U639" s="4"/>
      <x:c r="V639" s="4"/>
      <x:c r="W639" s="4" t="n">
        <x:f>IF('계산 과정'!$C$78,'계산 과정'!$C$88+-1*'계산 과정'!$C$90/2,"")</x:f>
        <x:v>-152.30104978473645</x:v>
      </x:c>
      <x:c r="X639" s="4" t="str">
        <x:f>""</x:f>
      </x:c>
      <x:c r="Y639" s="4" t="str">
        <x:f>""</x:f>
      </x:c>
      <x:c r="Z639" s="4" t="n">
        <x:f>IF('계산 과정'!$C$78,'계산 과정'!$C$89+-0.6399999999999999*'계산 과정'!$C$91/2,"")</x:f>
        <x:v>-160.3837249980268</x:v>
      </x:c>
    </x:row>
    <x:row r="640" ht="23" customHeight="1">
      <x:c r="A640" s="17" t="n">
        <x:f>ROW()-6</x:f>
        <x:v>634</x:v>
      </x:c>
      <x:c r="B640" s="4" t="n">
        <x:f>IF('계산 과정'!$L$5,'계산 과정'!$L$11*SQRT((A640+0.5)/'계산 과정'!$L$30),"")</x:f>
        <x:v>83.49146779948535</x:v>
      </x:c>
      <x:c r="C640" s="4" t="n">
        <x:f>A640*PI()*(3-SQRT(5))</x:f>
        <x:v>1521.576687647966</x:v>
      </x:c>
      <x:c r="D640" s="4" t="n">
        <x:f>IF('계산 과정'!$L$5,B640*COS(C640),"")</x:f>
        <x:v>41.843614954231995</x:v>
      </x:c>
      <x:c r="E640" s="4" t="n">
        <x:f>IF('계산 과정'!$L$5,B640*SIN(C640),"")</x:f>
        <x:v>72.24913205620169</x:v>
      </x:c>
      <x:c r="F640" s="4" t="n">
        <x:f>IF('계산 과정'!$L$7,'계산 과정'!$L$22+'계산 과정'!$C$49*D640+'계산 과정'!$D$49*E640,"")</x:f>
        <x:v>620.4120961165038</x:v>
      </x:c>
      <x:c r="G640" s="4" t="n">
        <x:f>IF('계산 과정'!$L$7,IF(ABS(F640)&gt;=1E-12*MAX(1,SQRT((D640-'계산 과정'!$C$33)^2+(E640-'계산 과정'!$D$33)^2+'계산 과정'!$E$33^2)),('계산 과정'!$L$23-'계산 과정'!$C$49*D640-'계산 과정'!$D$49*E640)/F640,""),"")</x:f>
        <x:v>0.6924234820251253</x:v>
      </x:c>
      <x:c r="H640" s="4" t="n">
        <x:f>IF(AND(ISNUMBER(G640),G640&gt;0),('계산 과정'!$D$56+'계산 과정'!$D$57*D640+'계산 과정'!$D$58*E640)/F640,"")</x:f>
        <x:v>50.07526331633138</x:v>
      </x:c>
      <x:c r="I640" s="4" t="n">
        <x:f>IF(AND(ISNUMBER(G640),G640&gt;0),('계산 과정'!$E$56+'계산 과정'!$E$57*D640+'계산 과정'!$E$58*E640)/F640,"")</x:f>
        <x:v>122.27612764784996</x:v>
      </x:c>
      <x:c r="J640" s="4" t="n">
        <x:f>IF('계산 과정'!$L$5,'계산 과정'!$D$6+'계산 과정'!$C$35*D640+'계산 과정'!$D$35*E640,"")</x:f>
        <x:v>620.4120961165038</x:v>
      </x:c>
      <x:c r="K640" s="4" t="n">
        <x:f>IF(AND('계산 과정'!$L$6,J640&gt;0),'계산 과정'!$D$10*('계산 과정'!$C$38*(D640-'계산 과정'!$C$32)+'계산 과정'!$D$38*(E640-'계산 과정'!$D$32)-'계산 과정'!$E$38*'계산 과정'!$E$32)/J640,"")</x:f>
        <x:v>0.38152581574347794</x:v>
      </x:c>
      <x:c r="L640" s="4" t="n">
        <x:f>IF(AND('계산 과정'!$L$6,J640&gt;0),'계산 과정'!$D$10*('계산 과정'!$C$39*(D640-'계산 과정'!$C$32)+'계산 과정'!$D$39*(E640-'계산 과정'!$D$32)-'계산 과정'!$E$39*'계산 과정'!$E$32)/J640,"")</x:f>
        <x:v>0.931627639221714</x:v>
      </x:c>
      <x:c r="M640" s="17" t="n">
        <x:f>IF('계산 과정'!$L$6,IF(J640&lt;=0,0,IF(AND(ABS(K640)&lt;='계산 과정'!$D$11/2,ABS(L640)&lt;='계산 과정'!$D$12/2),1,0)),"")</x:f>
        <x:v>1</x:v>
      </x:c>
      <x:c r="N640" s="17" t="n">
        <x:f>IF('계산 과정'!$C$78,IF(AND(ISNUMBER(H640),ISNUMBER(I640),ABS(H640-'계산 과정'!$C$88)&lt;='계산 과정'!$D$23/2,ABS(I640-'계산 과정'!$C$89)&lt;='계산 과정'!$D$24/2),1,0),"")</x:f>
        <x:v>1</x:v>
      </x:c>
      <x:c r="O640" s="4" t="n">
        <x:f>IF('계산 과정'!$L$7,'계산 과정'!$C$49*('계산 과정'!$C$32-D640)+'계산 과정'!$D$49*('계산 과정'!$D$32-E640)+'계산 과정'!$E$49*'계산 과정'!$E$32,"")</x:f>
        <x:v>29.58790388349638</x:v>
      </x:c>
      <x:c r="P640" s="4" t="n">
        <x:f>IF(AND('계산 과정'!$L$7,O640&lt;&gt;0),('계산 과정'!$L$23-'계산 과정'!$C$49*D640-'계산 과정'!$D$49*E640)/O640,"")</x:f>
        <x:v>14.519038103375513</x:v>
      </x:c>
      <x:c r="Q640" s="4" t="str">
        <x:f>IF(AND(ISNUMBER(P640),P640&gt;1E-9,P640&lt;1-1E-9),'계산 과정'!$C$47*(D640-'계산 과정'!$C$50+P640*('계산 과정'!$C$32-D640))+'계산 과정'!$D$47*(E640-'계산 과정'!$D$50+P640*('계산 과정'!$D$32-E640))+'계산 과정'!$E$47*(0-'계산 과정'!$E$50+P640*('계산 과정'!$E$32-0)),"")</x:f>
      </x:c>
      <x:c r="R640" s="4" t="str">
        <x:f>IF(AND(ISNUMBER(P640),P640&gt;1E-9,P640&lt;1-1E-9),'계산 과정'!$C$48*(D640-'계산 과정'!$C$50+P640*('계산 과정'!$C$32-D640))+'계산 과정'!$D$48*(E640-'계산 과정'!$D$50+P640*('계산 과정'!$D$32-E640))+'계산 과정'!$E$48*(0-'계산 과정'!$E$50+P640*('계산 과정'!$E$32-0)),"")</x:f>
      </x:c>
      <x:c r="S640" s="17" t="n">
        <x:f>IF('계산 과정'!$C$78,IF(AND(ISNUMBER(Q640),ISNUMBER(R640),ABS(Q640-'계산 과정'!$C$88)&lt;='계산 과정'!$D$23/2,ABS(R640-'계산 과정'!$C$89)&lt;='계산 과정'!$D$24/2),1,0),"")</x:f>
        <x:v>0</x:v>
      </x:c>
      <x:c r="T640" s="4"/>
      <x:c r="U640" s="4"/>
      <x:c r="V640" s="4"/>
      <x:c r="W640" s="4" t="n">
        <x:f>IF('계산 과정'!$C$78,'계산 과정'!$C$88+-1*'계산 과정'!$C$90/2,"")</x:f>
        <x:v>-152.30104978473645</x:v>
      </x:c>
      <x:c r="X640" s="4" t="str">
        <x:f>""</x:f>
      </x:c>
      <x:c r="Y640" s="4" t="str">
        <x:f>""</x:f>
      </x:c>
      <x:c r="Z640" s="4" t="n">
        <x:f>IF('계산 과정'!$C$78,'계산 과정'!$C$89+-0.6799999999999999*'계산 과정'!$C$91/2,"")</x:f>
        <x:v>-170.40770781040348</x:v>
      </x:c>
    </x:row>
    <x:row r="641" ht="23" customHeight="1">
      <x:c r="A641" s="17" t="n">
        <x:f>ROW()-6</x:f>
        <x:v>635</x:v>
      </x:c>
      <x:c r="B641" s="4" t="n">
        <x:f>IF('계산 과정'!$L$5,'계산 과정'!$L$11*SQRT((A641+0.5)/'계산 과정'!$L$30),"")</x:f>
        <x:v>83.55723501551198</x:v>
      </x:c>
      <x:c r="C641" s="4" t="n">
        <x:f>A641*PI()*(3-SQRT(5))</x:f>
        <x:v>1523.9766508776945</x:v>
      </x:c>
      <x:c r="D641" s="4" t="n">
        <x:f>IF('계산 과정'!$L$5,B641*COS(C641),"")</x:f>
        <x:v>-79.72051425083654</x:v>
      </x:c>
      <x:c r="E641" s="4" t="n">
        <x:f>IF('계산 과정'!$L$5,B641*SIN(C641),"")</x:f>
        <x:v>-25.029005793672034</x:v>
      </x:c>
      <x:c r="F641" s="4" t="n">
        <x:f>IF('계산 과정'!$L$7,'계산 과정'!$L$22+'계산 과정'!$C$49*D641+'계산 과정'!$D$49*E641,"")</x:f>
        <x:v>706.3709162264453</x:v>
      </x:c>
      <x:c r="G641" s="4" t="n">
        <x:f>IF('계산 과정'!$L$7,IF(ABS(F641)&gt;=1E-12*MAX(1,SQRT((D641-'계산 과정'!$C$33)^2+(E641-'계산 과정'!$D$33)^2+'계산 과정'!$E$33^2)),('계산 과정'!$L$23-'계산 과정'!$C$49*D641-'계산 과정'!$D$49*E641)/F641,""),"")</x:f>
        <x:v>0.48647116674803126</x:v>
      </x:c>
      <x:c r="H641" s="4" t="n">
        <x:f>IF(AND(ISNUMBER(G641),G641&gt;0),('계산 과정'!$D$56+'계산 과정'!$D$57*D641+'계산 과정'!$D$58*E641)/F641,"")</x:f>
        <x:v>-83.79374161377983</x:v>
      </x:c>
      <x:c r="I641" s="4" t="n">
        <x:f>IF(AND(ISNUMBER(G641),G641&gt;0),('계산 과정'!$E$56+'계산 과정'!$E$57*D641+'계산 과정'!$E$58*E641)/F641,"")</x:f>
        <x:v>-37.2048954446629</x:v>
      </x:c>
      <x:c r="J641" s="4" t="n">
        <x:f>IF('계산 과정'!$L$5,'계산 과정'!$D$6+'계산 과정'!$C$35*D641+'계산 과정'!$D$35*E641,"")</x:f>
        <x:v>706.3709162264453</x:v>
      </x:c>
      <x:c r="K641" s="4" t="n">
        <x:f>IF(AND('계산 과정'!$L$6,J641&gt;0),'계산 과정'!$D$10*('계산 과정'!$C$38*(D641-'계산 과정'!$C$32)+'계산 과정'!$D$38*(E641-'계산 과정'!$D$32)-'계산 과정'!$E$38*'계산 과정'!$E$32)/J641,"")</x:f>
        <x:v>-0.6384285075335598</x:v>
      </x:c>
      <x:c r="L641" s="4" t="n">
        <x:f>IF(AND('계산 과정'!$L$6,J641&gt;0),'계산 과정'!$D$10*('계산 과정'!$C$39*(D641-'계산 과정'!$C$32)+'계산 과정'!$D$39*(E641-'계산 과정'!$D$32)-'계산 과정'!$E$39*'계산 과정'!$E$32)/J641,"")</x:f>
        <x:v>-0.2834658700545745</x:v>
      </x:c>
      <x:c r="M641" s="17" t="n">
        <x:f>IF('계산 과정'!$L$6,IF(J641&lt;=0,0,IF(AND(ABS(K641)&lt;='계산 과정'!$D$11/2,ABS(L641)&lt;='계산 과정'!$D$12/2),1,0)),"")</x:f>
        <x:v>1</x:v>
      </x:c>
      <x:c r="N641" s="17" t="n">
        <x:f>IF('계산 과정'!$C$78,IF(AND(ISNUMBER(H641),ISNUMBER(I641),ABS(H641-'계산 과정'!$C$88)&lt;='계산 과정'!$D$23/2,ABS(I641-'계산 과정'!$C$89)&lt;='계산 과정'!$D$24/2),1,0),"")</x:f>
        <x:v>1</x:v>
      </x:c>
      <x:c r="O641" s="4" t="n">
        <x:f>IF('계산 과정'!$L$7,'계산 과정'!$C$49*('계산 과정'!$C$32-D641)+'계산 과정'!$D$49*('계산 과정'!$D$32-E641)+'계산 과정'!$E$49*'계산 과정'!$E$32,"")</x:f>
        <x:v>-56.37091622644522</x:v>
      </x:c>
      <x:c r="P641" s="4" t="n">
        <x:f>IF(AND('계산 과정'!$L$7,O641&lt;&gt;0),('계산 과정'!$L$23-'계산 과정'!$C$49*D641-'계산 과정'!$D$49*E641)/O641,"")</x:f>
        <x:v>-6.095857700683395</x:v>
      </x:c>
      <x:c r="Q641" s="4" t="str">
        <x:f>IF(AND(ISNUMBER(P641),P641&gt;1E-9,P641&lt;1-1E-9),'계산 과정'!$C$47*(D641-'계산 과정'!$C$50+P641*('계산 과정'!$C$32-D641))+'계산 과정'!$D$47*(E641-'계산 과정'!$D$50+P641*('계산 과정'!$D$32-E641))+'계산 과정'!$E$47*(0-'계산 과정'!$E$50+P641*('계산 과정'!$E$32-0)),"")</x:f>
      </x:c>
      <x:c r="R641" s="4" t="str">
        <x:f>IF(AND(ISNUMBER(P641),P641&gt;1E-9,P641&lt;1-1E-9),'계산 과정'!$C$48*(D641-'계산 과정'!$C$50+P641*('계산 과정'!$C$32-D641))+'계산 과정'!$D$48*(E641-'계산 과정'!$D$50+P641*('계산 과정'!$D$32-E641))+'계산 과정'!$E$48*(0-'계산 과정'!$E$50+P641*('계산 과정'!$E$32-0)),"")</x:f>
      </x:c>
      <x:c r="S641" s="17" t="n">
        <x:f>IF('계산 과정'!$C$78,IF(AND(ISNUMBER(Q641),ISNUMBER(R641),ABS(Q641-'계산 과정'!$C$88)&lt;='계산 과정'!$D$23/2,ABS(R641-'계산 과정'!$C$89)&lt;='계산 과정'!$D$24/2),1,0),"")</x:f>
        <x:v>0</x:v>
      </x:c>
      <x:c r="T641" s="4"/>
      <x:c r="U641" s="4"/>
      <x:c r="V641" s="4"/>
      <x:c r="W641" s="4" t="n">
        <x:f>IF('계산 과정'!$C$78,'계산 과정'!$C$88+-1*'계산 과정'!$C$90/2,"")</x:f>
        <x:v>-152.30104978473645</x:v>
      </x:c>
      <x:c r="X641" s="4" t="str">
        <x:f>""</x:f>
      </x:c>
      <x:c r="Y641" s="4" t="str">
        <x:f>""</x:f>
      </x:c>
      <x:c r="Z641" s="4" t="n">
        <x:f>IF('계산 과정'!$C$78,'계산 과정'!$C$89+-0.72*'계산 과정'!$C$91/2,"")</x:f>
        <x:v>-180.43169062278017</x:v>
      </x:c>
    </x:row>
    <x:row r="642" ht="23" customHeight="1">
      <x:c r="A642" s="17" t="n">
        <x:f>ROW()-6</x:f>
        <x:v>636</x:v>
      </x:c>
      <x:c r="B642" s="4" t="n">
        <x:f>IF('계산 과정'!$L$5,'계산 과정'!$L$11*SQRT((A642+0.5)/'계산 과정'!$L$30),"")</x:f>
        <x:v>83.62295050739658</x:v>
      </x:c>
      <x:c r="C642" s="4" t="n">
        <x:f>A642*PI()*(3-SQRT(5))</x:f>
        <x:v>1526.3766141074232</x:v>
      </x:c>
      <x:c r="D642" s="4" t="n">
        <x:f>IF('계산 과정'!$L$5,B642*COS(C642),"")</x:f>
        <x:v>75.74980498477757</x:v>
      </x:c>
      <x:c r="E642" s="4" t="n">
        <x:f>IF('계산 과정'!$L$5,B642*SIN(C642),"")</x:f>
        <x:v>-35.42266077429342</x:v>
      </x:c>
      <x:c r="F642" s="4" t="n">
        <x:f>IF('계산 과정'!$L$7,'계산 과정'!$L$22+'계산 과정'!$C$49*D642+'계산 과정'!$D$49*E642,"")</x:f>
        <x:v>596.4367992217052</x:v>
      </x:c>
      <x:c r="G642" s="4" t="n">
        <x:f>IF('계산 과정'!$L$7,IF(ABS(F642)&gt;=1E-12*MAX(1,SQRT((D642-'계산 과정'!$C$33)^2+(E642-'계산 과정'!$D$33)^2+'계산 과정'!$E$33^2)),('계산 과정'!$L$23-'계산 과정'!$C$49*D642-'계산 과정'!$D$49*E642)/F642,""),"")</x:f>
        <x:v>0.7604547562627805</x:v>
      </x:c>
      <x:c r="H642" s="4" t="n">
        <x:f>IF(AND(ISNUMBER(G642),G642&gt;0),('계산 과정'!$D$56+'계산 과정'!$D$57*D642+'계산 과정'!$D$58*E642)/F642,"")</x:f>
        <x:v>94.29559157080718</x:v>
      </x:c>
      <x:c r="I642" s="4" t="n">
        <x:f>IF(AND(ISNUMBER(G642),G642&gt;0),('계산 과정'!$E$56+'계산 과정'!$E$57*D642+'계산 과정'!$E$58*E642)/F642,"")</x:f>
        <x:v>-62.359991639587875</x:v>
      </x:c>
      <x:c r="J642" s="4" t="n">
        <x:f>IF('계산 과정'!$L$5,'계산 과정'!$D$6+'계산 과정'!$C$35*D642+'계산 과정'!$D$35*E642,"")</x:f>
        <x:v>596.4367992217052</x:v>
      </x:c>
      <x:c r="K642" s="4" t="n">
        <x:f>IF(AND('계산 과정'!$L$6,J642&gt;0),'계산 과정'!$D$10*('계산 과정'!$C$38*(D642-'계산 과정'!$C$32)+'계산 과정'!$D$38*(E642-'계산 과정'!$D$32)-'계산 과정'!$E$38*'계산 과정'!$E$32)/J642,"")</x:f>
        <x:v>0.7184426024442465</x:v>
      </x:c>
      <x:c r="L642" s="4" t="n">
        <x:f>IF(AND('계산 과정'!$L$6,J642&gt;0),'계산 과정'!$D$10*('계산 과정'!$C$39*(D642-'계산 과정'!$C$32)+'계산 과정'!$D$39*(E642-'계산 과정'!$D$32)-'계산 과정'!$E$39*'계산 과정'!$E$32)/J642,"")</x:f>
        <x:v>-0.47512374582543143</x:v>
      </x:c>
      <x:c r="M642" s="17" t="n">
        <x:f>IF('계산 과정'!$L$6,IF(J642&lt;=0,0,IF(AND(ABS(K642)&lt;='계산 과정'!$D$11/2,ABS(L642)&lt;='계산 과정'!$D$12/2),1,0)),"")</x:f>
        <x:v>1</x:v>
      </x:c>
      <x:c r="N642" s="17" t="n">
        <x:f>IF('계산 과정'!$C$78,IF(AND(ISNUMBER(H642),ISNUMBER(I642),ABS(H642-'계산 과정'!$C$88)&lt;='계산 과정'!$D$23/2,ABS(I642-'계산 과정'!$C$89)&lt;='계산 과정'!$D$24/2),1,0),"")</x:f>
        <x:v>1</x:v>
      </x:c>
      <x:c r="O642" s="4" t="n">
        <x:f>IF('계산 과정'!$L$7,'계산 과정'!$C$49*('계산 과정'!$C$32-D642)+'계산 과정'!$D$49*('계산 과정'!$D$32-E642)+'계산 과정'!$E$49*'계산 과정'!$E$32,"")</x:f>
        <x:v>53.56320077829491</x:v>
      </x:c>
      <x:c r="P642" s="4" t="n">
        <x:f>IF(AND('계산 과정'!$L$7,O642&lt;&gt;0),('계산 과정'!$L$23-'계산 과정'!$C$49*D642-'계산 과정'!$D$49*E642)/O642,"")</x:f>
        <x:v>8.467813614344148</x:v>
      </x:c>
      <x:c r="Q642" s="4" t="str">
        <x:f>IF(AND(ISNUMBER(P642),P642&gt;1E-9,P642&lt;1-1E-9),'계산 과정'!$C$47*(D642-'계산 과정'!$C$50+P642*('계산 과정'!$C$32-D642))+'계산 과정'!$D$47*(E642-'계산 과정'!$D$50+P642*('계산 과정'!$D$32-E642))+'계산 과정'!$E$47*(0-'계산 과정'!$E$50+P642*('계산 과정'!$E$32-0)),"")</x:f>
      </x:c>
      <x:c r="R642" s="4" t="str">
        <x:f>IF(AND(ISNUMBER(P642),P642&gt;1E-9,P642&lt;1-1E-9),'계산 과정'!$C$48*(D642-'계산 과정'!$C$50+P642*('계산 과정'!$C$32-D642))+'계산 과정'!$D$48*(E642-'계산 과정'!$D$50+P642*('계산 과정'!$D$32-E642))+'계산 과정'!$E$48*(0-'계산 과정'!$E$50+P642*('계산 과정'!$E$32-0)),"")</x:f>
      </x:c>
      <x:c r="S642" s="17" t="n">
        <x:f>IF('계산 과정'!$C$78,IF(AND(ISNUMBER(Q642),ISNUMBER(R642),ABS(Q642-'계산 과정'!$C$88)&lt;='계산 과정'!$D$23/2,ABS(R642-'계산 과정'!$C$89)&lt;='계산 과정'!$D$24/2),1,0),"")</x:f>
        <x:v>0</x:v>
      </x:c>
      <x:c r="T642" s="4"/>
      <x:c r="U642" s="4"/>
      <x:c r="V642" s="4"/>
      <x:c r="W642" s="4" t="n">
        <x:f>IF('계산 과정'!$C$78,'계산 과정'!$C$88+-1*'계산 과정'!$C$90/2,"")</x:f>
        <x:v>-152.30104978473645</x:v>
      </x:c>
      <x:c r="X642" s="4" t="str">
        <x:f>""</x:f>
      </x:c>
      <x:c r="Y642" s="4" t="str">
        <x:f>""</x:f>
      </x:c>
      <x:c r="Z642" s="4" t="n">
        <x:f>IF('계산 과정'!$C$78,'계산 과정'!$C$89+-0.76*'계산 과정'!$C$91/2,"")</x:f>
        <x:v>-190.45567343515683</x:v>
      </x:c>
    </x:row>
    <x:row r="643" ht="23" customHeight="1">
      <x:c r="A643" s="17" t="n">
        <x:f>ROW()-6</x:f>
        <x:v>637</x:v>
      </x:c>
      <x:c r="B643" s="4" t="n">
        <x:f>IF('계산 과정'!$L$5,'계산 과정'!$L$11*SQRT((A643+0.5)/'계산 과정'!$L$30),"")</x:f>
        <x:v>83.68861439698651</x:v>
      </x:c>
      <x:c r="C643" s="4" t="n">
        <x:f>A643*PI()*(3-SQRT(5))</x:f>
        <x:v>1528.7765773371518</x:v>
      </x:c>
      <x:c r="D643" s="4" t="n">
        <x:f>IF('계산 과정'!$L$5,B643*COS(C643),"")</x:f>
        <x:v>-31.952956144011832</x:v>
      </x:c>
      <x:c r="E643" s="4" t="n">
        <x:f>IF('계산 과정'!$L$5,B643*SIN(C643),"")</x:f>
        <x:v>77.34851500414442</x:v>
      </x:c>
      <x:c r="F643" s="4" t="n">
        <x:f>IF('계산 과정'!$L$7,'계산 과정'!$L$22+'계산 과정'!$C$49*D643+'계산 과정'!$D$49*E643,"")</x:f>
        <x:v>672.5941519683871</x:v>
      </x:c>
      <x:c r="G643" s="4" t="n">
        <x:f>IF('계산 과정'!$L$7,IF(ABS(F643)&gt;=1E-12*MAX(1,SQRT((D643-'계산 과정'!$C$33)^2+(E643-'계산 과정'!$D$33)^2+'계산 과정'!$E$33^2)),('계산 과정'!$L$23-'계산 과정'!$C$49*D643-'계산 과정'!$D$49*E643)/F643,""),"")</x:f>
        <x:v>0.5611197286314668</x:v>
      </x:c>
      <x:c r="H643" s="4" t="n">
        <x:f>IF(AND(ISNUMBER(G643),G643&gt;0),('계산 과정'!$D$56+'계산 과정'!$D$57*D643+'계산 과정'!$D$58*E643)/F643,"")</x:f>
        <x:v>-35.27217638954675</x:v>
      </x:c>
      <x:c r="I643" s="4" t="n">
        <x:f>IF(AND(ISNUMBER(G643),G643&gt;0),('계산 과정'!$E$56+'계산 과정'!$E$57*D643+'계산 과정'!$E$58*E643)/F643,"")</x:f>
        <x:v>120.75029275331687</x:v>
      </x:c>
      <x:c r="J643" s="4" t="n">
        <x:f>IF('계산 과정'!$L$5,'계산 과정'!$D$6+'계산 과정'!$C$35*D643+'계산 과정'!$D$35*E643,"")</x:f>
        <x:v>672.5941519683871</x:v>
      </x:c>
      <x:c r="K643" s="4" t="n">
        <x:f>IF(AND('계산 과정'!$L$6,J643&gt;0),'계산 과정'!$D$10*('계산 과정'!$C$38*(D643-'계산 과정'!$C$32)+'계산 과정'!$D$38*(E643-'계산 과정'!$D$32)-'계산 과정'!$E$38*'계산 과정'!$E$32)/J643,"")</x:f>
        <x:v>-0.2687403915394027</x:v>
      </x:c>
      <x:c r="L643" s="4" t="n">
        <x:f>IF(AND('계산 과정'!$L$6,J643&gt;0),'계산 과정'!$D$10*('계산 과정'!$C$39*(D643-'계산 과정'!$C$32)+'계산 과정'!$D$39*(E643-'계산 과정'!$D$32)-'계산 과정'!$E$39*'계산 과정'!$E$32)/J643,"")</x:f>
        <x:v>0.9200022305014619</x:v>
      </x:c>
      <x:c r="M643" s="17" t="n">
        <x:f>IF('계산 과정'!$L$6,IF(J643&lt;=0,0,IF(AND(ABS(K643)&lt;='계산 과정'!$D$11/2,ABS(L643)&lt;='계산 과정'!$D$12/2),1,0)),"")</x:f>
        <x:v>1</x:v>
      </x:c>
      <x:c r="N643" s="17" t="n">
        <x:f>IF('계산 과정'!$C$78,IF(AND(ISNUMBER(H643),ISNUMBER(I643),ABS(H643-'계산 과정'!$C$88)&lt;='계산 과정'!$D$23/2,ABS(I643-'계산 과정'!$C$89)&lt;='계산 과정'!$D$24/2),1,0),"")</x:f>
        <x:v>1</x:v>
      </x:c>
      <x:c r="O643" s="4" t="n">
        <x:f>IF('계산 과정'!$L$7,'계산 과정'!$C$49*('계산 과정'!$C$32-D643)+'계산 과정'!$D$49*('계산 과정'!$D$32-E643)+'계산 과정'!$E$49*'계산 과정'!$E$32,"")</x:f>
        <x:v>-22.594151968386996</x:v>
      </x:c>
      <x:c r="P643" s="4" t="n">
        <x:f>IF(AND('계산 과정'!$L$7,O643&lt;&gt;0),('계산 과정'!$L$23-'계산 과정'!$C$49*D643-'계산 과정'!$D$49*E643)/O643,"")</x:f>
        <x:v>-16.703696096214053</x:v>
      </x:c>
      <x:c r="Q643" s="4" t="str">
        <x:f>IF(AND(ISNUMBER(P643),P643&gt;1E-9,P643&lt;1-1E-9),'계산 과정'!$C$47*(D643-'계산 과정'!$C$50+P643*('계산 과정'!$C$32-D643))+'계산 과정'!$D$47*(E643-'계산 과정'!$D$50+P643*('계산 과정'!$D$32-E643))+'계산 과정'!$E$47*(0-'계산 과정'!$E$50+P643*('계산 과정'!$E$32-0)),"")</x:f>
      </x:c>
      <x:c r="R643" s="4" t="str">
        <x:f>IF(AND(ISNUMBER(P643),P643&gt;1E-9,P643&lt;1-1E-9),'계산 과정'!$C$48*(D643-'계산 과정'!$C$50+P643*('계산 과정'!$C$32-D643))+'계산 과정'!$D$48*(E643-'계산 과정'!$D$50+P643*('계산 과정'!$D$32-E643))+'계산 과정'!$E$48*(0-'계산 과정'!$E$50+P643*('계산 과정'!$E$32-0)),"")</x:f>
      </x:c>
      <x:c r="S643" s="17" t="n">
        <x:f>IF('계산 과정'!$C$78,IF(AND(ISNUMBER(Q643),ISNUMBER(R643),ABS(Q643-'계산 과정'!$C$88)&lt;='계산 과정'!$D$23/2,ABS(R643-'계산 과정'!$C$89)&lt;='계산 과정'!$D$24/2),1,0),"")</x:f>
        <x:v>0</x:v>
      </x:c>
      <x:c r="T643" s="4"/>
      <x:c r="U643" s="4"/>
      <x:c r="V643" s="4"/>
      <x:c r="W643" s="4" t="n">
        <x:f>IF('계산 과정'!$C$78,'계산 과정'!$C$88+-1*'계산 과정'!$C$90/2,"")</x:f>
        <x:v>-152.30104978473645</x:v>
      </x:c>
      <x:c r="X643" s="4" t="str">
        <x:f>""</x:f>
      </x:c>
      <x:c r="Y643" s="4" t="str">
        <x:f>""</x:f>
      </x:c>
      <x:c r="Z643" s="4" t="n">
        <x:f>IF('계산 과정'!$C$78,'계산 과정'!$C$89+-0.8*'계산 과정'!$C$91/2,"")</x:f>
        <x:v>-200.4796562475335</x:v>
      </x:c>
    </x:row>
    <x:row r="644" ht="23" customHeight="1">
      <x:c r="A644" s="17" t="n">
        <x:f>ROW()-6</x:f>
        <x:v>638</x:v>
      </x:c>
      <x:c r="B644" s="4" t="n">
        <x:f>IF('계산 과정'!$L$5,'계산 과정'!$L$11*SQRT((A644+0.5)/'계산 과정'!$L$30),"")</x:f>
        <x:v>83.75422680565143</x:v>
      </x:c>
      <x:c r="C644" s="4" t="n">
        <x:f>A644*PI()*(3-SQRT(5))</x:f>
        <x:v>1531.1765405668805</x:v>
      </x:c>
      <x:c r="D644" s="4" t="n">
        <x:f>IF('계산 과정'!$L$5,B644*COS(C644),"")</x:f>
        <x:v>-28.70954657272518</x:v>
      </x:c>
      <x:c r="E644" s="4" t="n">
        <x:f>IF('계산 과정'!$L$5,B644*SIN(C644),"")</x:f>
        <x:v>-78.67993672723068</x:v>
      </x:c>
      <x:c r="F644" s="4" t="n">
        <x:f>IF('계산 과정'!$L$7,'계산 과정'!$L$22+'계산 과정'!$C$49*D644+'계산 과정'!$D$49*E644,"")</x:f>
        <x:v>670.300715066365</x:v>
      </x:c>
      <x:c r="G644" s="4" t="n">
        <x:f>IF('계산 과정'!$L$7,IF(ABS(F644)&gt;=1E-12*MAX(1,SQRT((D644-'계산 과정'!$C$33)^2+(E644-'계산 과정'!$D$33)^2+'계산 과정'!$E$33^2)),('계산 과정'!$L$23-'계산 과정'!$C$49*D644-'계산 과정'!$D$49*E644)/F644,""),"")</x:f>
        <x:v>0.5664611067825608</x:v>
      </x:c>
      <x:c r="H644" s="4" t="n">
        <x:f>IF(AND(ISNUMBER(G644),G644&gt;0),('계산 과정'!$D$56+'계산 과정'!$D$57*D644+'계산 과정'!$D$58*E644)/F644,"")</x:f>
        <x:v>-31.80028059133561</x:v>
      </x:c>
      <x:c r="I644" s="4" t="n">
        <x:f>IF(AND(ISNUMBER(G644),G644&gt;0),('계산 과정'!$E$56+'계산 과정'!$E$57*D644+'계산 과정'!$E$58*E644)/F644,"")</x:f>
        <x:v>-123.24906076731962</x:v>
      </x:c>
      <x:c r="J644" s="4" t="n">
        <x:f>IF('계산 과정'!$L$5,'계산 과정'!$D$6+'계산 과정'!$C$35*D644+'계산 과정'!$D$35*E644,"")</x:f>
        <x:v>670.300715066365</x:v>
      </x:c>
      <x:c r="K644" s="4" t="n">
        <x:f>IF(AND('계산 과정'!$L$6,J644&gt;0),'계산 과정'!$D$10*('계산 과정'!$C$38*(D644-'계산 과정'!$C$32)+'계산 과정'!$D$38*(E644-'계산 과정'!$D$32)-'계산 과정'!$E$38*'계산 과정'!$E$32)/J644,"")</x:f>
        <x:v>-0.24228785212446047</x:v>
      </x:c>
      <x:c r="L644" s="4" t="n">
        <x:f>IF(AND('계산 과정'!$L$6,J644&gt;0),'계산 과정'!$D$10*('계산 과정'!$C$39*(D644-'계산 과정'!$C$32)+'계산 과정'!$D$39*(E644-'계산 과정'!$D$32)-'계산 과정'!$E$39*'계산 과정'!$E$32)/J644,"")</x:f>
        <x:v>-0.9390404629891019</x:v>
      </x:c>
      <x:c r="M644" s="17" t="n">
        <x:f>IF('계산 과정'!$L$6,IF(J644&lt;=0,0,IF(AND(ABS(K644)&lt;='계산 과정'!$D$11/2,ABS(L644)&lt;='계산 과정'!$D$12/2),1,0)),"")</x:f>
        <x:v>1</x:v>
      </x:c>
      <x:c r="N644" s="17" t="n">
        <x:f>IF('계산 과정'!$C$78,IF(AND(ISNUMBER(H644),ISNUMBER(I644),ABS(H644-'계산 과정'!$C$88)&lt;='계산 과정'!$D$23/2,ABS(I644-'계산 과정'!$C$89)&lt;='계산 과정'!$D$24/2),1,0),"")</x:f>
        <x:v>1</x:v>
      </x:c>
      <x:c r="O644" s="4" t="n">
        <x:f>IF('계산 과정'!$L$7,'계산 과정'!$C$49*('계산 과정'!$C$32-D644)+'계산 과정'!$D$49*('계산 과정'!$D$32-E644)+'계산 과정'!$E$49*'계산 과정'!$E$32,"")</x:f>
        <x:v>-20.300715066364887</x:v>
      </x:c>
      <x:c r="P644" s="4" t="n">
        <x:f>IF(AND('계산 과정'!$L$7,O644&lt;&gt;0),('계산 과정'!$L$23-'계산 과정'!$C$49*D644-'계산 과정'!$D$49*E644)/O644,"")</x:f>
        <x:v>-18.703739434417134</x:v>
      </x:c>
      <x:c r="Q644" s="4" t="str">
        <x:f>IF(AND(ISNUMBER(P644),P644&gt;1E-9,P644&lt;1-1E-9),'계산 과정'!$C$47*(D644-'계산 과정'!$C$50+P644*('계산 과정'!$C$32-D644))+'계산 과정'!$D$47*(E644-'계산 과정'!$D$50+P644*('계산 과정'!$D$32-E644))+'계산 과정'!$E$47*(0-'계산 과정'!$E$50+P644*('계산 과정'!$E$32-0)),"")</x:f>
      </x:c>
      <x:c r="R644" s="4" t="str">
        <x:f>IF(AND(ISNUMBER(P644),P644&gt;1E-9,P644&lt;1-1E-9),'계산 과정'!$C$48*(D644-'계산 과정'!$C$50+P644*('계산 과정'!$C$32-D644))+'계산 과정'!$D$48*(E644-'계산 과정'!$D$50+P644*('계산 과정'!$D$32-E644))+'계산 과정'!$E$48*(0-'계산 과정'!$E$50+P644*('계산 과정'!$E$32-0)),"")</x:f>
      </x:c>
      <x:c r="S644" s="17" t="n">
        <x:f>IF('계산 과정'!$C$78,IF(AND(ISNUMBER(Q644),ISNUMBER(R644),ABS(Q644-'계산 과정'!$C$88)&lt;='계산 과정'!$D$23/2,ABS(R644-'계산 과정'!$C$89)&lt;='계산 과정'!$D$24/2),1,0),"")</x:f>
        <x:v>0</x:v>
      </x:c>
      <x:c r="T644" s="4"/>
      <x:c r="U644" s="4"/>
      <x:c r="V644" s="4"/>
      <x:c r="W644" s="4" t="n">
        <x:f>IF('계산 과정'!$C$78,'계산 과정'!$C$88+-1*'계산 과정'!$C$90/2,"")</x:f>
        <x:v>-152.30104978473645</x:v>
      </x:c>
      <x:c r="X644" s="4" t="str">
        <x:f>""</x:f>
      </x:c>
      <x:c r="Y644" s="4" t="str">
        <x:f>""</x:f>
      </x:c>
      <x:c r="Z644" s="4" t="n">
        <x:f>IF('계산 과정'!$C$78,'계산 과정'!$C$89+-0.8400000000000001*'계산 과정'!$C$91/2,"")</x:f>
        <x:v>-210.5036390599102</x:v>
      </x:c>
    </x:row>
    <x:row r="645" ht="23" customHeight="1">
      <x:c r="A645" s="17" t="n">
        <x:f>ROW()-6</x:f>
        <x:v>639</x:v>
      </x:c>
      <x:c r="B645" s="4" t="n">
        <x:f>IF('계산 과정'!$L$5,'계산 과정'!$L$11*SQRT((A645+0.5)/'계산 과정'!$L$30),"")</x:f>
        <x:v>83.81978785428593</x:v>
      </x:c>
      <x:c r="C645" s="4" t="n">
        <x:f>A645*PI()*(3-SQRT(5))</x:f>
        <x:v>1533.5765037966091</x:v>
      </x:c>
      <x:c r="D645" s="4" t="n">
        <x:f>IF('계산 과정'!$L$5,B645*COS(C645),"")</x:f>
        <x:v>74.37523359141656</x:v>
      </x:c>
      <x:c r="E645" s="4" t="n">
        <x:f>IF('계산 과정'!$L$5,B645*SIN(C645),"")</x:f>
        <x:v>38.65334997331695</x:v>
      </x:c>
      <x:c r="F645" s="4" t="n">
        <x:f>IF('계산 과정'!$L$7,'계산 과정'!$L$22+'계산 과정'!$C$49*D645+'계산 과정'!$D$49*E645,"")</x:f>
        <x:v>597.4087679751758</x:v>
      </x:c>
      <x:c r="G645" s="4" t="n">
        <x:f>IF('계산 과정'!$L$7,IF(ABS(F645)&gt;=1E-12*MAX(1,SQRT((D645-'계산 과정'!$C$33)^2+(E645-'계산 과정'!$D$33)^2+'계산 과정'!$E$33^2)),('계산 과정'!$L$23-'계산 과정'!$C$49*D645-'계산 과정'!$D$49*E645)/F645,""),"")</x:f>
        <x:v>0.7575905414960878</x:v>
      </x:c>
      <x:c r="H645" s="4" t="n">
        <x:f>IF(AND(ISNUMBER(G645),G645&gt;0),('계산 과정'!$D$56+'계산 과정'!$D$57*D645+'계산 과정'!$D$58*E645)/F645,"")</x:f>
        <x:v>92.43385197245698</x:v>
      </x:c>
      <x:c r="I645" s="4" t="n">
        <x:f>IF(AND(ISNUMBER(G645),G645&gt;0),('계산 과정'!$E$56+'계산 과정'!$E$57*D645+'계산 과정'!$E$58*E645)/F645,"")</x:f>
        <x:v>67.93676231023994</x:v>
      </x:c>
      <x:c r="J645" s="4" t="n">
        <x:f>IF('계산 과정'!$L$5,'계산 과정'!$D$6+'계산 과정'!$C$35*D645+'계산 과정'!$D$35*E645,"")</x:f>
        <x:v>597.4087679751758</x:v>
      </x:c>
      <x:c r="K645" s="4" t="n">
        <x:f>IF(AND('계산 과정'!$L$6,J645&gt;0),'계산 과정'!$D$10*('계산 과정'!$C$38*(D645-'계산 과정'!$C$32)+'계산 과정'!$D$38*(E645-'계산 과정'!$D$32)-'계산 과정'!$E$38*'계산 과정'!$E$32)/J645,"")</x:f>
        <x:v>0.704257919790149</x:v>
      </x:c>
      <x:c r="L645" s="4" t="n">
        <x:f>IF(AND('계산 과정'!$L$6,J645&gt;0),'계산 과정'!$D$10*('계산 과정'!$C$39*(D645-'계산 과정'!$C$32)+'계산 과정'!$D$39*(E645-'계산 과정'!$D$32)-'계산 과정'!$E$39*'계산 과정'!$E$32)/J645,"")</x:f>
        <x:v>0.5176134271256376</x:v>
      </x:c>
      <x:c r="M645" s="17" t="n">
        <x:f>IF('계산 과정'!$L$6,IF(J645&lt;=0,0,IF(AND(ABS(K645)&lt;='계산 과정'!$D$11/2,ABS(L645)&lt;='계산 과정'!$D$12/2),1,0)),"")</x:f>
        <x:v>1</x:v>
      </x:c>
      <x:c r="N645" s="17" t="n">
        <x:f>IF('계산 과정'!$C$78,IF(AND(ISNUMBER(H645),ISNUMBER(I645),ABS(H645-'계산 과정'!$C$88)&lt;='계산 과정'!$D$23/2,ABS(I645-'계산 과정'!$C$89)&lt;='계산 과정'!$D$24/2),1,0),"")</x:f>
        <x:v>1</x:v>
      </x:c>
      <x:c r="O645" s="4" t="n">
        <x:f>IF('계산 과정'!$L$7,'계산 과정'!$C$49*('계산 과정'!$C$32-D645)+'계산 과정'!$D$49*('계산 과정'!$D$32-E645)+'계산 과정'!$E$49*'계산 과정'!$E$32,"")</x:f>
        <x:v>52.59123202482425</x:v>
      </x:c>
      <x:c r="P645" s="4" t="n">
        <x:f>IF(AND('계산 과정'!$L$7,O645&lt;&gt;0),('계산 과정'!$L$23-'계산 과정'!$C$49*D645-'계산 과정'!$D$49*E645)/O645,"")</x:f>
        <x:v>8.605830565277323</x:v>
      </x:c>
      <x:c r="Q645" s="4" t="str">
        <x:f>IF(AND(ISNUMBER(P645),P645&gt;1E-9,P645&lt;1-1E-9),'계산 과정'!$C$47*(D645-'계산 과정'!$C$50+P645*('계산 과정'!$C$32-D645))+'계산 과정'!$D$47*(E645-'계산 과정'!$D$50+P645*('계산 과정'!$D$32-E645))+'계산 과정'!$E$47*(0-'계산 과정'!$E$50+P645*('계산 과정'!$E$32-0)),"")</x:f>
      </x:c>
      <x:c r="R645" s="4" t="str">
        <x:f>IF(AND(ISNUMBER(P645),P645&gt;1E-9,P645&lt;1-1E-9),'계산 과정'!$C$48*(D645-'계산 과정'!$C$50+P645*('계산 과정'!$C$32-D645))+'계산 과정'!$D$48*(E645-'계산 과정'!$D$50+P645*('계산 과정'!$D$32-E645))+'계산 과정'!$E$48*(0-'계산 과정'!$E$50+P645*('계산 과정'!$E$32-0)),"")</x:f>
      </x:c>
      <x:c r="S645" s="17" t="n">
        <x:f>IF('계산 과정'!$C$78,IF(AND(ISNUMBER(Q645),ISNUMBER(R645),ABS(Q645-'계산 과정'!$C$88)&lt;='계산 과정'!$D$23/2,ABS(R645-'계산 과정'!$C$89)&lt;='계산 과정'!$D$24/2),1,0),"")</x:f>
        <x:v>0</x:v>
      </x:c>
      <x:c r="T645" s="4"/>
      <x:c r="U645" s="4"/>
      <x:c r="V645" s="4"/>
      <x:c r="W645" s="4" t="n">
        <x:f>IF('계산 과정'!$C$78,'계산 과정'!$C$88+-1*'계산 과정'!$C$90/2,"")</x:f>
        <x:v>-152.30104978473645</x:v>
      </x:c>
      <x:c r="X645" s="4" t="str">
        <x:f>""</x:f>
      </x:c>
      <x:c r="Y645" s="4" t="str">
        <x:f>""</x:f>
      </x:c>
      <x:c r="Z645" s="4" t="n">
        <x:f>IF('계산 과정'!$C$78,'계산 과정'!$C$89+-0.8799999999999999*'계산 과정'!$C$91/2,"")</x:f>
        <x:v>-220.52762187228683</x:v>
      </x:c>
    </x:row>
    <x:row r="646" ht="23" customHeight="1">
      <x:c r="A646" s="17" t="n">
        <x:f>ROW()-6</x:f>
        <x:v>640</x:v>
      </x:c>
      <x:c r="B646" s="4" t="n">
        <x:f>IF('계산 과정'!$L$5,'계산 과정'!$L$11*SQRT((A646+0.5)/'계산 과정'!$L$30),"")</x:f>
        <x:v>83.88529766331226</x:v>
      </x:c>
      <x:c r="C646" s="4" t="n">
        <x:f>A646*PI()*(3-SQRT(5))</x:f>
        <x:v>1535.9764670263378</x:v>
      </x:c>
      <x:c r="D646" s="4" t="n">
        <x:f>IF('계산 과정'!$L$5,B646*COS(C646),"")</x:f>
        <x:v>-81.01521372893419</x:v>
      </x:c>
      <x:c r="E646" s="4" t="n">
        <x:f>IF('계산 과정'!$L$5,B646*SIN(C646),"")</x:f>
        <x:v>21.75496054966809</x:v>
      </x:c>
      <x:c r="F646" s="4" t="n">
        <x:f>IF('계산 과정'!$L$7,'계산 과정'!$L$22+'계산 과정'!$C$49*D646+'계산 과정'!$D$49*E646,"")</x:f>
        <x:v>707.2864070070068</x:v>
      </x:c>
      <x:c r="G646" s="4" t="n">
        <x:f>IF('계산 과정'!$L$7,IF(ABS(F646)&gt;=1E-12*MAX(1,SQRT((D646-'계산 과정'!$C$33)^2+(E646-'계산 과정'!$D$33)^2+'계산 과정'!$E$33^2)),('계산 과정'!$L$23-'계산 과정'!$C$49*D646-'계산 과정'!$D$49*E646)/F646,""),"")</x:f>
        <x:v>0.4845471220679037</x:v>
      </x:c>
      <x:c r="H646" s="4" t="n">
        <x:f>IF(AND(ISNUMBER(G646),G646&gt;0),('계산 과정'!$D$56+'계산 과정'!$D$57*D646+'계산 과정'!$D$58*E646)/F646,"")</x:f>
        <x:v>-85.04437065586274</x:v>
      </x:c>
      <x:c r="I646" s="4" t="n">
        <x:f>IF(AND(ISNUMBER(G646),G646&gt;0),('계산 과정'!$E$56+'계산 과정'!$E$57*D646+'계산 과정'!$E$58*E646)/F646,"")</x:f>
        <x:v>32.29626407471054</x:v>
      </x:c>
      <x:c r="J646" s="4" t="n">
        <x:f>IF('계산 과정'!$L$5,'계산 과정'!$D$6+'계산 과정'!$C$35*D646+'계산 과정'!$D$35*E646,"")</x:f>
        <x:v>707.2864070070068</x:v>
      </x:c>
      <x:c r="K646" s="4" t="n">
        <x:f>IF(AND('계산 과정'!$L$6,J646&gt;0),'계산 과정'!$D$10*('계산 과정'!$C$38*(D646-'계산 과정'!$C$32)+'계산 과정'!$D$38*(E646-'계산 과정'!$D$32)-'계산 과정'!$E$38*'계산 과정'!$E$32)/J646,"")</x:f>
        <x:v>-0.6479571097589534</x:v>
      </x:c>
      <x:c r="L646" s="4" t="n">
        <x:f>IF(AND('계산 과정'!$L$6,J646&gt;0),'계산 과정'!$D$10*('계산 과정'!$C$39*(D646-'계산 과정'!$C$32)+'계산 과정'!$D$39*(E646-'계산 과정'!$D$32)-'계산 과정'!$E$39*'계산 과정'!$E$32)/J646,"")</x:f>
        <x:v>0.24606677390255655</x:v>
      </x:c>
      <x:c r="M646" s="17" t="n">
        <x:f>IF('계산 과정'!$L$6,IF(J646&lt;=0,0,IF(AND(ABS(K646)&lt;='계산 과정'!$D$11/2,ABS(L646)&lt;='계산 과정'!$D$12/2),1,0)),"")</x:f>
        <x:v>1</x:v>
      </x:c>
      <x:c r="N646" s="17" t="n">
        <x:f>IF('계산 과정'!$C$78,IF(AND(ISNUMBER(H646),ISNUMBER(I646),ABS(H646-'계산 과정'!$C$88)&lt;='계산 과정'!$D$23/2,ABS(I646-'계산 과정'!$C$89)&lt;='계산 과정'!$D$24/2),1,0),"")</x:f>
        <x:v>1</x:v>
      </x:c>
      <x:c r="O646" s="4" t="n">
        <x:f>IF('계산 과정'!$L$7,'계산 과정'!$C$49*('계산 과정'!$C$32-D646)+'계산 과정'!$D$49*('계산 과정'!$D$32-E646)+'계산 과정'!$E$49*'계산 과정'!$E$32,"")</x:f>
        <x:v>-57.286407007006744</x:v>
      </x:c>
      <x:c r="P646" s="4" t="n">
        <x:f>IF(AND('계산 과정'!$L$7,O646&lt;&gt;0),('계산 과정'!$L$23-'계산 과정'!$C$49*D646-'계산 과정'!$D$49*E646)/O646,"")</x:f>
        <x:v>-5.982459206266428</x:v>
      </x:c>
      <x:c r="Q646" s="4" t="str">
        <x:f>IF(AND(ISNUMBER(P646),P646&gt;1E-9,P646&lt;1-1E-9),'계산 과정'!$C$47*(D646-'계산 과정'!$C$50+P646*('계산 과정'!$C$32-D646))+'계산 과정'!$D$47*(E646-'계산 과정'!$D$50+P646*('계산 과정'!$D$32-E646))+'계산 과정'!$E$47*(0-'계산 과정'!$E$50+P646*('계산 과정'!$E$32-0)),"")</x:f>
      </x:c>
      <x:c r="R646" s="4" t="str">
        <x:f>IF(AND(ISNUMBER(P646),P646&gt;1E-9,P646&lt;1-1E-9),'계산 과정'!$C$48*(D646-'계산 과정'!$C$50+P646*('계산 과정'!$C$32-D646))+'계산 과정'!$D$48*(E646-'계산 과정'!$D$50+P646*('계산 과정'!$D$32-E646))+'계산 과정'!$E$48*(0-'계산 과정'!$E$50+P646*('계산 과정'!$E$32-0)),"")</x:f>
      </x:c>
      <x:c r="S646" s="17" t="n">
        <x:f>IF('계산 과정'!$C$78,IF(AND(ISNUMBER(Q646),ISNUMBER(R646),ABS(Q646-'계산 과정'!$C$88)&lt;='계산 과정'!$D$23/2,ABS(R646-'계산 과정'!$C$89)&lt;='계산 과정'!$D$24/2),1,0),"")</x:f>
        <x:v>0</x:v>
      </x:c>
      <x:c r="T646" s="4"/>
      <x:c r="U646" s="4"/>
      <x:c r="V646" s="4"/>
      <x:c r="W646" s="4" t="n">
        <x:f>IF('계산 과정'!$C$78,'계산 과정'!$C$88+-1*'계산 과정'!$C$90/2,"")</x:f>
        <x:v>-152.30104978473645</x:v>
      </x:c>
      <x:c r="X646" s="4" t="str">
        <x:f>""</x:f>
      </x:c>
      <x:c r="Y646" s="4" t="str">
        <x:f>""</x:f>
      </x:c>
      <x:c r="Z646" s="4" t="n">
        <x:f>IF('계산 과정'!$C$78,'계산 과정'!$C$89+-0.9199999999999999*'계산 과정'!$C$91/2,"")</x:f>
        <x:v>-230.55160468466352</x:v>
      </x:c>
    </x:row>
    <x:row r="647" ht="23" customHeight="1">
      <x:c r="A647" s="17" t="n">
        <x:f>ROW()-6</x:f>
        <x:v>641</x:v>
      </x:c>
      <x:c r="B647" s="4" t="n">
        <x:f>IF('계산 과정'!$L$5,'계산 과정'!$L$11*SQRT((A647+0.5)/'계산 과정'!$L$30),"")</x:f>
        <x:v>83.95075635268273</x:v>
      </x:c>
      <x:c r="C647" s="4" t="n">
        <x:f>A647*PI()*(3-SQRT(5))</x:f>
        <x:v>1538.3764302560667</x:v>
      </x:c>
      <x:c r="D647" s="4" t="n">
        <x:f>IF('계산 과정'!$L$5,B647*COS(C647),"")</x:f>
        <x:v>45.077981079856166</x:v>
      </x:c>
      <x:c r="E647" s="4" t="n">
        <x:f>IF('계산 과정'!$L$5,B647*SIN(C647),"")</x:f>
        <x:v>-70.82164297692923</x:v>
      </x:c>
      <x:c r="F647" s="4" t="n">
        <x:f>IF('계산 과정'!$L$7,'계산 과정'!$L$22+'계산 과정'!$C$49*D647+'계산 과정'!$D$49*E647,"")</x:f>
        <x:v>618.1250538962348</x:v>
      </x:c>
      <x:c r="G647" s="4" t="n">
        <x:f>IF('계산 과정'!$L$7,IF(ABS(F647)&gt;=1E-12*MAX(1,SQRT((D647-'계산 과정'!$C$33)^2+(E647-'계산 과정'!$D$33)^2+'계산 과정'!$E$33^2)),('계산 과정'!$L$23-'계산 과정'!$C$49*D647-'계산 과정'!$D$49*E647)/F647,""),"")</x:f>
        <x:v>0.69868539283681</x:v>
      </x:c>
      <x:c r="H647" s="4" t="n">
        <x:f>IF(AND(ISNUMBER(G647),G647&gt;0),('계산 과정'!$D$56+'계산 과정'!$D$57*D647+'계산 과정'!$D$58*E647)/F647,"")</x:f>
        <x:v>54.145505343926395</x:v>
      </x:c>
      <x:c r="I647" s="4" t="n">
        <x:f>IF(AND(ISNUMBER(G647),G647&gt;0),('계산 과정'!$E$56+'계산 과정'!$E$57*D647+'계산 과정'!$E$58*E647)/F647,"")</x:f>
        <x:v>-120.30369042161333</x:v>
      </x:c>
      <x:c r="J647" s="4" t="n">
        <x:f>IF('계산 과정'!$L$5,'계산 과정'!$D$6+'계산 과정'!$C$35*D647+'계산 과정'!$D$35*E647,"")</x:f>
        <x:v>618.1250538962348</x:v>
      </x:c>
      <x:c r="K647" s="4" t="n">
        <x:f>IF(AND('계산 과정'!$L$6,J647&gt;0),'계산 과정'!$D$10*('계산 과정'!$C$38*(D647-'계산 과정'!$C$32)+'계산 과정'!$D$38*(E647-'계산 과정'!$D$32)-'계산 과정'!$E$38*'계산 과정'!$E$32)/J647,"")</x:f>
        <x:v>0.41253718357277336</x:v>
      </x:c>
      <x:c r="L647" s="4" t="n">
        <x:f>IF(AND('계산 과정'!$L$6,J647&gt;0),'계산 과정'!$D$10*('계산 과정'!$C$39*(D647-'계산 과정'!$C$32)+'계산 과정'!$D$39*(E647-'계산 과정'!$D$32)-'계산 과정'!$E$39*'계산 과정'!$E$32)/J647,"")</x:f>
        <x:v>-0.9165995460694348</x:v>
      </x:c>
      <x:c r="M647" s="17" t="n">
        <x:f>IF('계산 과정'!$L$6,IF(J647&lt;=0,0,IF(AND(ABS(K647)&lt;='계산 과정'!$D$11/2,ABS(L647)&lt;='계산 과정'!$D$12/2),1,0)),"")</x:f>
        <x:v>1</x:v>
      </x:c>
      <x:c r="N647" s="17" t="n">
        <x:f>IF('계산 과정'!$C$78,IF(AND(ISNUMBER(H647),ISNUMBER(I647),ABS(H647-'계산 과정'!$C$88)&lt;='계산 과정'!$D$23/2,ABS(I647-'계산 과정'!$C$89)&lt;='계산 과정'!$D$24/2),1,0),"")</x:f>
        <x:v>1</x:v>
      </x:c>
      <x:c r="O647" s="4" t="n">
        <x:f>IF('계산 과정'!$L$7,'계산 과정'!$C$49*('계산 과정'!$C$32-D647)+'계산 과정'!$D$49*('계산 과정'!$D$32-E647)+'계산 과정'!$E$49*'계산 과정'!$E$32,"")</x:f>
        <x:v>31.874946103765296</x:v>
      </x:c>
      <x:c r="P647" s="4" t="n">
        <x:f>IF(AND('계산 과정'!$L$7,O647&lt;&gt;0),('계산 과정'!$L$23-'계산 과정'!$C$49*D647-'계산 과정'!$D$49*E647)/O647,"")</x:f>
        <x:v>13.549040826542733</x:v>
      </x:c>
      <x:c r="Q647" s="4" t="str">
        <x:f>IF(AND(ISNUMBER(P647),P647&gt;1E-9,P647&lt;1-1E-9),'계산 과정'!$C$47*(D647-'계산 과정'!$C$50+P647*('계산 과정'!$C$32-D647))+'계산 과정'!$D$47*(E647-'계산 과정'!$D$50+P647*('계산 과정'!$D$32-E647))+'계산 과정'!$E$47*(0-'계산 과정'!$E$50+P647*('계산 과정'!$E$32-0)),"")</x:f>
      </x:c>
      <x:c r="R647" s="4" t="str">
        <x:f>IF(AND(ISNUMBER(P647),P647&gt;1E-9,P647&lt;1-1E-9),'계산 과정'!$C$48*(D647-'계산 과정'!$C$50+P647*('계산 과정'!$C$32-D647))+'계산 과정'!$D$48*(E647-'계산 과정'!$D$50+P647*('계산 과정'!$D$32-E647))+'계산 과정'!$E$48*(0-'계산 과정'!$E$50+P647*('계산 과정'!$E$32-0)),"")</x:f>
      </x:c>
      <x:c r="S647" s="17" t="n">
        <x:f>IF('계산 과정'!$C$78,IF(AND(ISNUMBER(Q647),ISNUMBER(R647),ABS(Q647-'계산 과정'!$C$88)&lt;='계산 과정'!$D$23/2,ABS(R647-'계산 과정'!$C$89)&lt;='계산 과정'!$D$24/2),1,0),"")</x:f>
        <x:v>0</x:v>
      </x:c>
      <x:c r="T647" s="4"/>
      <x:c r="U647" s="4"/>
      <x:c r="V647" s="4"/>
      <x:c r="W647" s="4" t="n">
        <x:f>IF('계산 과정'!$C$78,'계산 과정'!$C$88+-1*'계산 과정'!$C$90/2,"")</x:f>
        <x:v>-152.30104978473645</x:v>
      </x:c>
      <x:c r="X647" s="4" t="str">
        <x:f>""</x:f>
      </x:c>
      <x:c r="Y647" s="4" t="str">
        <x:f>""</x:f>
      </x:c>
      <x:c r="Z647" s="4" t="n">
        <x:f>IF('계산 과정'!$C$78,'계산 과정'!$C$89+-0.96*'계산 과정'!$C$91/2,"")</x:f>
        <x:v>-240.5755874970402</x:v>
      </x:c>
    </x:row>
    <x:row r="648" ht="23" customHeight="1">
      <x:c r="A648" s="17" t="n">
        <x:f>ROW()-6</x:f>
        <x:v>642</x:v>
      </x:c>
      <x:c r="B648" s="4" t="n">
        <x:f>IF('계산 과정'!$L$5,'계산 과정'!$L$11*SQRT((A648+0.5)/'계산 과정'!$L$30),"")</x:f>
        <x:v>84.01616404188245</x:v>
      </x:c>
      <x:c r="C648" s="4" t="n">
        <x:f>A648*PI()*(3-SQRT(5))</x:f>
        <x:v>1540.776393485795</x:v>
      </x:c>
      <x:c r="D648" s="4" t="n">
        <x:f>IF('계산 과정'!$L$5,B648*COS(C648),"")</x:f>
        <x:v>14.611607448359399</x:v>
      </x:c>
      <x:c r="E648" s="4" t="n">
        <x:f>IF('계산 과정'!$L$5,B648*SIN(C648),"")</x:f>
        <x:v>82.73582505835999</x:v>
      </x:c>
      <x:c r="F648" s="4" t="n">
        <x:f>IF('계산 과정'!$L$7,'계산 과정'!$L$22+'계산 과정'!$C$49*D648+'계산 과정'!$D$49*E648,"")</x:f>
        <x:v>639.6680332892292</x:v>
      </x:c>
      <x:c r="G648" s="4" t="n">
        <x:f>IF('계산 과정'!$L$7,IF(ABS(F648)&gt;=1E-12*MAX(1,SQRT((D648-'계산 과정'!$C$33)^2+(E648-'계산 과정'!$D$33)^2+'계산 과정'!$E$33^2)),('계산 과정'!$L$23-'계산 과정'!$C$49*D648-'계산 과정'!$D$49*E648)/F648,""),"")</x:f>
        <x:v>0.6414764305178856</x:v>
      </x:c>
      <x:c r="H648" s="4" t="n">
        <x:f>IF(AND(ISNUMBER(G648),G648&gt;0),('계산 과정'!$D$56+'계산 과정'!$D$57*D648+'계산 과정'!$D$58*E648)/F648,"")</x:f>
        <x:v>16.959679836625558</x:v>
      </x:c>
      <x:c r="I648" s="4" t="n">
        <x:f>IF(AND(ISNUMBER(G648),G648&gt;0),('계산 과정'!$E$56+'계산 과정'!$E$57*D648+'계산 과정'!$E$58*E648)/F648,"")</x:f>
        <x:v>135.80890679274899</x:v>
      </x:c>
      <x:c r="J648" s="4" t="n">
        <x:f>IF('계산 과정'!$L$5,'계산 과정'!$D$6+'계산 과정'!$C$35*D648+'계산 과정'!$D$35*E648,"")</x:f>
        <x:v>639.6680332892292</x:v>
      </x:c>
      <x:c r="K648" s="4" t="n">
        <x:f>IF(AND('계산 과정'!$L$6,J648&gt;0),'계산 과정'!$D$10*('계산 과정'!$C$38*(D648-'계산 과정'!$C$32)+'계산 과정'!$D$38*(E648-'계산 과정'!$D$32)-'계산 과정'!$E$38*'계산 과정'!$E$32)/J648,"")</x:f>
        <x:v>0.1292166082790529</x:v>
      </x:c>
      <x:c r="L648" s="4" t="n">
        <x:f>IF(AND('계산 과정'!$L$6,J648&gt;0),'계산 과정'!$D$10*('계산 과정'!$C$39*(D648-'계산 과정'!$C$32)+'계산 과정'!$D$39*(E648-'계산 과정'!$D$32)-'계산 과정'!$E$39*'계산 과정'!$E$32)/J648,"")</x:f>
        <x:v>1.0347345279447542</x:v>
      </x:c>
      <x:c r="M648" s="17" t="n">
        <x:f>IF('계산 과정'!$L$6,IF(J648&lt;=0,0,IF(AND(ABS(K648)&lt;='계산 과정'!$D$11/2,ABS(L648)&lt;='계산 과정'!$D$12/2),1,0)),"")</x:f>
        <x:v>1</x:v>
      </x:c>
      <x:c r="N648" s="17" t="n">
        <x:f>IF('계산 과정'!$C$78,IF(AND(ISNUMBER(H648),ISNUMBER(I648),ABS(H648-'계산 과정'!$C$88)&lt;='계산 과정'!$D$23/2,ABS(I648-'계산 과정'!$C$89)&lt;='계산 과정'!$D$24/2),1,0),"")</x:f>
        <x:v>1</x:v>
      </x:c>
      <x:c r="O648" s="4" t="n">
        <x:f>IF('계산 과정'!$L$7,'계산 과정'!$C$49*('계산 과정'!$C$32-D648)+'계산 과정'!$D$49*('계산 과정'!$D$32-E648)+'계산 과정'!$E$49*'계산 과정'!$E$32,"")</x:f>
        <x:v>10.331966710770928</x:v>
      </x:c>
      <x:c r="P648" s="4" t="n">
        <x:f>IF(AND('계산 과정'!$L$7,O648&lt;&gt;0),('계산 과정'!$L$23-'계산 과정'!$C$49*D648-'계산 과정'!$D$49*E648)/O648,"")</x:f>
        <x:v>39.714797598312586</x:v>
      </x:c>
      <x:c r="Q648" s="4" t="str">
        <x:f>IF(AND(ISNUMBER(P648),P648&gt;1E-9,P648&lt;1-1E-9),'계산 과정'!$C$47*(D648-'계산 과정'!$C$50+P648*('계산 과정'!$C$32-D648))+'계산 과정'!$D$47*(E648-'계산 과정'!$D$50+P648*('계산 과정'!$D$32-E648))+'계산 과정'!$E$47*(0-'계산 과정'!$E$50+P648*('계산 과정'!$E$32-0)),"")</x:f>
      </x:c>
      <x:c r="R648" s="4" t="str">
        <x:f>IF(AND(ISNUMBER(P648),P648&gt;1E-9,P648&lt;1-1E-9),'계산 과정'!$C$48*(D648-'계산 과정'!$C$50+P648*('계산 과정'!$C$32-D648))+'계산 과정'!$D$48*(E648-'계산 과정'!$D$50+P648*('계산 과정'!$D$32-E648))+'계산 과정'!$E$48*(0-'계산 과정'!$E$50+P648*('계산 과정'!$E$32-0)),"")</x:f>
      </x:c>
      <x:c r="S648" s="17" t="n">
        <x:f>IF('계산 과정'!$C$78,IF(AND(ISNUMBER(Q648),ISNUMBER(R648),ABS(Q648-'계산 과정'!$C$88)&lt;='계산 과정'!$D$23/2,ABS(R648-'계산 과정'!$C$89)&lt;='계산 과정'!$D$24/2),1,0),"")</x:f>
        <x:v>0</x:v>
      </x:c>
      <x:c r="T648" s="4"/>
      <x:c r="U648" s="4"/>
      <x:c r="V648" s="4"/>
      <x:c r="W648" s="4" t="n">
        <x:f>IF('계산 과정'!$C$78,'계산 과정'!$C$88+-1*'계산 과정'!$C$90/2,"")</x:f>
        <x:v>-152.30104978473645</x:v>
      </x:c>
      <x:c r="X648" s="4" t="str">
        <x:f>""</x:f>
      </x:c>
      <x:c r="Y648" s="4" t="str">
        <x:f>""</x:f>
      </x:c>
      <x:c r="Z648" s="4" t="n">
        <x:f>IF('계산 과정'!$C$78,'계산 과정'!$C$89+-1*'계산 과정'!$C$91/2,"")</x:f>
        <x:v>-250.5995703094169</x:v>
      </x:c>
    </x:row>
    <x:row r="649" ht="23" customHeight="1">
      <x:c r="A649" s="17" t="n">
        <x:f>ROW()-6</x:f>
        <x:v>643</x:v>
      </x:c>
      <x:c r="B649" s="4" t="n">
        <x:f>IF('계산 과정'!$L$5,'계산 과정'!$L$11*SQRT((A649+0.5)/'계산 과정'!$L$30),"")</x:f>
        <x:v>84.0815208499317</x:v>
      </x:c>
      <x:c r="C649" s="4" t="n">
        <x:f>A649*PI()*(3-SQRT(5))</x:f>
        <x:v>1543.176356715524</x:v>
      </x:c>
      <x:c r="D649" s="4" t="n">
        <x:f>IF('계산 과정'!$L$5,B649*COS(C649),"")</x:f>
        <x:v>-66.71324780519251</x:v>
      </x:c>
      <x:c r="E649" s="4" t="n">
        <x:f>IF('계산 과정'!$L$5,B649*SIN(C649),"")</x:f>
        <x:v>-51.17660320615737</x:v>
      </x:c>
      <x:c r="F649" s="4" t="n">
        <x:f>IF('계산 과정'!$L$7,'계산 과정'!$L$22+'계산 과정'!$C$49*D649+'계산 과정'!$D$49*E649,"")</x:f>
        <x:v>697.1733899180301</x:v>
      </x:c>
      <x:c r="G649" s="4" t="n">
        <x:f>IF('계산 과정'!$L$7,IF(ABS(F649)&gt;=1E-12*MAX(1,SQRT((D649-'계산 과정'!$C$33)^2+(E649-'계산 과정'!$D$33)^2+'계산 과정'!$E$33^2)),('계산 과정'!$L$23-'계산 과정'!$C$49*D649-'계산 과정'!$D$49*E649)/F649,""),"")</x:f>
        <x:v>0.506081579108252</x:v>
      </x:c>
      <x:c r="H649" s="4" t="n">
        <x:f>IF(AND(ISNUMBER(G649),G649&gt;0),('계산 과정'!$D$56+'계산 과정'!$D$57*D649+'계산 과정'!$D$58*E649)/F649,"")</x:f>
        <x:v>-71.04697357963632</x:v>
      </x:c>
      <x:c r="I649" s="4" t="n">
        <x:f>IF(AND(ISNUMBER(G649),G649&gt;0),('계산 과정'!$E$56+'계산 과정'!$E$57*D649+'계산 과정'!$E$58*E649)/F649,"")</x:f>
        <x:v>-77.07613937012593</x:v>
      </x:c>
      <x:c r="J649" s="4" t="n">
        <x:f>IF('계산 과정'!$L$5,'계산 과정'!$D$6+'계산 과정'!$C$35*D649+'계산 과정'!$D$35*E649,"")</x:f>
        <x:v>697.1733899180301</x:v>
      </x:c>
      <x:c r="K649" s="4" t="n">
        <x:f>IF(AND('계산 과정'!$L$6,J649&gt;0),'계산 과정'!$D$10*('계산 과정'!$C$38*(D649-'계산 과정'!$C$32)+'계산 과정'!$D$38*(E649-'계산 과정'!$D$32)-'계산 과정'!$E$38*'계산 과정'!$E$32)/J649,"")</x:f>
        <x:v>-0.5413102748924663</x:v>
      </x:c>
      <x:c r="L649" s="4" t="n">
        <x:f>IF(AND('계산 과정'!$L$6,J649&gt;0),'계산 과정'!$D$10*('계산 과정'!$C$39*(D649-'계산 과정'!$C$32)+'계산 과정'!$D$39*(E649-'계산 과정'!$D$32)-'계산 과정'!$E$39*'계산 과정'!$E$32)/J649,"")</x:f>
        <x:v>-0.5872467761533404</x:v>
      </x:c>
      <x:c r="M649" s="17" t="n">
        <x:f>IF('계산 과정'!$L$6,IF(J649&lt;=0,0,IF(AND(ABS(K649)&lt;='계산 과정'!$D$11/2,ABS(L649)&lt;='계산 과정'!$D$12/2),1,0)),"")</x:f>
        <x:v>1</x:v>
      </x:c>
      <x:c r="N649" s="17" t="n">
        <x:f>IF('계산 과정'!$C$78,IF(AND(ISNUMBER(H649),ISNUMBER(I649),ABS(H649-'계산 과정'!$C$88)&lt;='계산 과정'!$D$23/2,ABS(I649-'계산 과정'!$C$89)&lt;='계산 과정'!$D$24/2),1,0),"")</x:f>
        <x:v>1</x:v>
      </x:c>
      <x:c r="O649" s="4" t="n">
        <x:f>IF('계산 과정'!$L$7,'계산 과정'!$C$49*('계산 과정'!$C$32-D649)+'계산 과정'!$D$49*('계산 과정'!$D$32-E649)+'계산 과정'!$E$49*'계산 과정'!$E$32,"")</x:f>
        <x:v>-47.17338991803007</x:v>
      </x:c>
      <x:c r="P649" s="4" t="n">
        <x:f>IF(AND('계산 과정'!$L$7,O649&lt;&gt;0),('계산 과정'!$L$23-'계산 과정'!$C$49*D649-'계산 과정'!$D$49*E649)/O649,"")</x:f>
        <x:v>-7.479356702900771</x:v>
      </x:c>
      <x:c r="Q649" s="4" t="str">
        <x:f>IF(AND(ISNUMBER(P649),P649&gt;1E-9,P649&lt;1-1E-9),'계산 과정'!$C$47*(D649-'계산 과정'!$C$50+P649*('계산 과정'!$C$32-D649))+'계산 과정'!$D$47*(E649-'계산 과정'!$D$50+P649*('계산 과정'!$D$32-E649))+'계산 과정'!$E$47*(0-'계산 과정'!$E$50+P649*('계산 과정'!$E$32-0)),"")</x:f>
      </x:c>
      <x:c r="R649" s="4" t="str">
        <x:f>IF(AND(ISNUMBER(P649),P649&gt;1E-9,P649&lt;1-1E-9),'계산 과정'!$C$48*(D649-'계산 과정'!$C$50+P649*('계산 과정'!$C$32-D649))+'계산 과정'!$D$48*(E649-'계산 과정'!$D$50+P649*('계산 과정'!$D$32-E649))+'계산 과정'!$E$48*(0-'계산 과정'!$E$50+P649*('계산 과정'!$E$32-0)),"")</x:f>
      </x:c>
      <x:c r="S649" s="17" t="n">
        <x:f>IF('계산 과정'!$C$78,IF(AND(ISNUMBER(Q649),ISNUMBER(R649),ABS(Q649-'계산 과정'!$C$88)&lt;='계산 과정'!$D$23/2,ABS(R649-'계산 과정'!$C$89)&lt;='계산 과정'!$D$24/2),1,0),"")</x:f>
        <x:v>0</x:v>
      </x:c>
      <x:c r="T649" s="4"/>
      <x:c r="U649" s="4"/>
      <x:c r="V649" s="4"/>
      <x:c r="W649" s="4"/>
      <x:c r="X649" s="4"/>
      <x:c r="Y649" s="4"/>
      <x:c r="Z649" s="4"/>
    </x:row>
    <x:row r="650" ht="23" customHeight="1">
      <x:c r="A650" s="17" t="n">
        <x:f>ROW()-6</x:f>
        <x:v>644</x:v>
      </x:c>
      <x:c r="B650" s="4" t="n">
        <x:f>IF('계산 과정'!$L$5,'계산 과정'!$L$11*SQRT((A650+0.5)/'계산 과정'!$L$30),"")</x:f>
        <x:v>84.14682689538863</x:v>
      </x:c>
      <x:c r="C650" s="4" t="n">
        <x:f>A650*PI()*(3-SQRT(5))</x:f>
        <x:v>1545.5763199452524</x:v>
      </x:c>
      <x:c r="D650" s="4" t="n">
        <x:f>IF('계산 과정'!$L$5,B650*COS(C650),"")</x:f>
        <x:v>83.8266289871347</x:v>
      </x:c>
      <x:c r="E650" s="4" t="n">
        <x:f>IF('계산 과정'!$L$5,B650*SIN(C650),"")</x:f>
        <x:v>-7.333808643247188</x:v>
      </x:c>
      <x:c r="F650" s="4" t="n">
        <x:f>IF('계산 과정'!$L$7,'계산 과정'!$L$22+'계산 과정'!$C$49*D650+'계산 과정'!$D$49*E650,"")</x:f>
        <x:v>590.7256221991883</x:v>
      </x:c>
      <x:c r="G650" s="4" t="n">
        <x:f>IF('계산 과정'!$L$7,IF(ABS(F650)&gt;=1E-12*MAX(1,SQRT((D650-'계산 과정'!$C$33)^2+(E650-'계산 과정'!$D$33)^2+'계산 과정'!$E$33^2)),('계산 과정'!$L$23-'계산 과정'!$C$49*D650-'계산 과정'!$D$49*E650)/F650,""),"")</x:f>
        <x:v>0.7774749571399967</x:v>
      </x:c>
      <x:c r="H650" s="4" t="n">
        <x:f>IF(AND(ISNUMBER(G650),G650&gt;0),('계산 과정'!$D$56+'계산 과정'!$D$57*D650+'계산 과정'!$D$58*E650)/F650,"")</x:f>
        <x:v>105.35872214099776</x:v>
      </x:c>
      <x:c r="I650" s="4" t="n">
        <x:f>IF(AND(ISNUMBER(G650),G650&gt;0),('계산 과정'!$E$56+'계산 과정'!$E$57*D650+'계산 과정'!$E$58*E650)/F650,"")</x:f>
        <x:v>-13.035661203828733</x:v>
      </x:c>
      <x:c r="J650" s="4" t="n">
        <x:f>IF('계산 과정'!$L$5,'계산 과정'!$D$6+'계산 과정'!$C$35*D650+'계산 과정'!$D$35*E650,"")</x:f>
        <x:v>590.7256221991883</x:v>
      </x:c>
      <x:c r="K650" s="4" t="n">
        <x:f>IF(AND('계산 과정'!$L$6,J650&gt;0),'계산 과정'!$D$10*('계산 과정'!$C$38*(D650-'계산 과정'!$C$32)+'계산 과정'!$D$38*(E650-'계산 과정'!$D$32)-'계산 과정'!$E$38*'계산 과정'!$E$32)/J650,"")</x:f>
        <x:v>0.8027331210742692</x:v>
      </x:c>
      <x:c r="L650" s="4" t="n">
        <x:f>IF(AND('계산 과정'!$L$6,J650&gt;0),'계산 과정'!$D$10*('계산 과정'!$C$39*(D650-'계산 과정'!$C$32)+'계산 과정'!$D$39*(E650-'계산 과정'!$D$32)-'계산 과정'!$E$39*'계산 과정'!$E$32)/J650,"")</x:f>
        <x:v>-0.09931932345774273</x:v>
      </x:c>
      <x:c r="M650" s="17" t="n">
        <x:f>IF('계산 과정'!$L$6,IF(J650&lt;=0,0,IF(AND(ABS(K650)&lt;='계산 과정'!$D$11/2,ABS(L650)&lt;='계산 과정'!$D$12/2),1,0)),"")</x:f>
        <x:v>1</x:v>
      </x:c>
      <x:c r="N650" s="17" t="n">
        <x:f>IF('계산 과정'!$C$78,IF(AND(ISNUMBER(H650),ISNUMBER(I650),ABS(H650-'계산 과정'!$C$88)&lt;='계산 과정'!$D$23/2,ABS(I650-'계산 과정'!$C$89)&lt;='계산 과정'!$D$24/2),1,0),"")</x:f>
        <x:v>1</x:v>
      </x:c>
      <x:c r="O650" s="4" t="n">
        <x:f>IF('계산 과정'!$L$7,'계산 과정'!$C$49*('계산 과정'!$C$32-D650)+'계산 과정'!$D$49*('계산 과정'!$D$32-E650)+'계산 과정'!$E$49*'계산 과정'!$E$32,"")</x:f>
        <x:v>59.27437780081186</x:v>
      </x:c>
      <x:c r="P650" s="4" t="n">
        <x:f>IF(AND('계산 과정'!$L$7,O650&lt;&gt;0),('계산 과정'!$L$23-'계산 과정'!$C$49*D650-'계산 과정'!$D$49*E650)/O650,"")</x:f>
        <x:v>7.748278342864718</x:v>
      </x:c>
      <x:c r="Q650" s="4" t="str">
        <x:f>IF(AND(ISNUMBER(P650),P650&gt;1E-9,P650&lt;1-1E-9),'계산 과정'!$C$47*(D650-'계산 과정'!$C$50+P650*('계산 과정'!$C$32-D650))+'계산 과정'!$D$47*(E650-'계산 과정'!$D$50+P650*('계산 과정'!$D$32-E650))+'계산 과정'!$E$47*(0-'계산 과정'!$E$50+P650*('계산 과정'!$E$32-0)),"")</x:f>
      </x:c>
      <x:c r="R650" s="4" t="str">
        <x:f>IF(AND(ISNUMBER(P650),P650&gt;1E-9,P650&lt;1-1E-9),'계산 과정'!$C$48*(D650-'계산 과정'!$C$50+P650*('계산 과정'!$C$32-D650))+'계산 과정'!$D$48*(E650-'계산 과정'!$D$50+P650*('계산 과정'!$D$32-E650))+'계산 과정'!$E$48*(0-'계산 과정'!$E$50+P650*('계산 과정'!$E$32-0)),"")</x:f>
      </x:c>
      <x:c r="S650" s="17" t="n">
        <x:f>IF('계산 과정'!$C$78,IF(AND(ISNUMBER(Q650),ISNUMBER(R650),ABS(Q650-'계산 과정'!$C$88)&lt;='계산 과정'!$D$23/2,ABS(R650-'계산 과정'!$C$89)&lt;='계산 과정'!$D$24/2),1,0),"")</x:f>
        <x:v>0</x:v>
      </x:c>
      <x:c r="T650" s="4"/>
      <x:c r="U650" s="4"/>
      <x:c r="V650" s="4"/>
      <x:c r="W650" s="4"/>
      <x:c r="X650" s="4"/>
      <x:c r="Y650" s="4"/>
      <x:c r="Z650" s="4"/>
    </x:row>
    <x:row r="651" ht="23" customHeight="1">
      <x:c r="A651" s="17" t="n">
        <x:f>ROW()-6</x:f>
        <x:v>645</x:v>
      </x:c>
      <x:c r="B651" s="4" t="n">
        <x:f>IF('계산 과정'!$L$5,'계산 과정'!$L$11*SQRT((A651+0.5)/'계산 과정'!$L$30),"")</x:f>
        <x:v>84.21208229635162</x:v>
      </x:c>
      <x:c r="C651" s="4" t="n">
        <x:f>A651*PI()*(3-SQRT(5))</x:f>
        <x:v>1547.976283174981</x:v>
      </x:c>
      <x:c r="D651" s="4" t="n">
        <x:f>IF('계산 과정'!$L$5,B651*COS(C651),"")</x:f>
        <x:v>-56.90132328029656</x:v>
      </x:c>
      <x:c r="E651" s="4" t="n">
        <x:f>IF('계산 과정'!$L$5,B651*SIN(C651),"")</x:f>
        <x:v>62.07990184946075</x:v>
      </x:c>
      <x:c r="F651" s="4" t="n">
        <x:f>IF('계산 과정'!$L$7,'계산 과정'!$L$22+'계산 과정'!$C$49*D651+'계산 과정'!$D$49*E651,"")</x:f>
        <x:v>690.2353115499857</x:v>
      </x:c>
      <x:c r="G651" s="4" t="n">
        <x:f>IF('계산 과정'!$L$7,IF(ABS(F651)&gt;=1E-12*MAX(1,SQRT((D651-'계산 과정'!$C$33)^2+(E651-'계산 과정'!$D$33)^2+'계산 과정'!$E$33^2)),('계산 과정'!$L$23-'계산 과정'!$C$49*D651-'계산 과정'!$D$49*E651)/F651,""),"")</x:f>
        <x:v>0.5212203467859826</x:v>
      </x:c>
      <x:c r="H651" s="4" t="n">
        <x:f>IF(AND(ISNUMBER(G651),G651&gt;0),('계산 과정'!$D$56+'계산 과정'!$D$57*D651+'계산 과정'!$D$58*E651)/F651,"")</x:f>
        <x:v>-61.20677458911136</x:v>
      </x:c>
      <x:c r="I651" s="4" t="n">
        <x:f>IF(AND(ISNUMBER(G651),G651&gt;0),('계산 과정'!$E$56+'계산 과정'!$E$57*D651+'계산 과정'!$E$58*E651)/F651,"")</x:f>
        <x:v>94.43720981987644</x:v>
      </x:c>
      <x:c r="J651" s="4" t="n">
        <x:f>IF('계산 과정'!$L$5,'계산 과정'!$D$6+'계산 과정'!$C$35*D651+'계산 과정'!$D$35*E651,"")</x:f>
        <x:v>690.2353115499857</x:v>
      </x:c>
      <x:c r="K651" s="4" t="n">
        <x:f>IF(AND('계산 과정'!$L$6,J651&gt;0),'계산 과정'!$D$10*('계산 과정'!$C$38*(D651-'계산 과정'!$C$32)+'계산 과정'!$D$38*(E651-'계산 과정'!$D$32)-'계산 과정'!$E$38*'계산 과정'!$E$32)/J651,"")</x:f>
        <x:v>-0.46633733020275187</x:v>
      </x:c>
      <x:c r="L651" s="4" t="n">
        <x:f>IF(AND('계산 과정'!$L$6,J651&gt;0),'계산 과정'!$D$10*('계산 과정'!$C$39*(D651-'계산 과정'!$C$32)+'계산 과정'!$D$39*(E651-'계산 과정'!$D$32)-'계산 과정'!$E$39*'계산 과정'!$E$32)/J651,"")</x:f>
        <x:v>0.7195215986276301</x:v>
      </x:c>
      <x:c r="M651" s="17" t="n">
        <x:f>IF('계산 과정'!$L$6,IF(J651&lt;=0,0,IF(AND(ABS(K651)&lt;='계산 과정'!$D$11/2,ABS(L651)&lt;='계산 과정'!$D$12/2),1,0)),"")</x:f>
        <x:v>1</x:v>
      </x:c>
      <x:c r="N651" s="17" t="n">
        <x:f>IF('계산 과정'!$C$78,IF(AND(ISNUMBER(H651),ISNUMBER(I651),ABS(H651-'계산 과정'!$C$88)&lt;='계산 과정'!$D$23/2,ABS(I651-'계산 과정'!$C$89)&lt;='계산 과정'!$D$24/2),1,0),"")</x:f>
        <x:v>1</x:v>
      </x:c>
      <x:c r="O651" s="4" t="n">
        <x:f>IF('계산 과정'!$L$7,'계산 과정'!$C$49*('계산 과정'!$C$32-D651)+'계산 과정'!$D$49*('계산 과정'!$D$32-E651)+'계산 과정'!$E$49*'계산 과정'!$E$32,"")</x:f>
        <x:v>-40.23531154998551</x:v>
      </x:c>
      <x:c r="P651" s="4" t="n">
        <x:f>IF(AND('계산 과정'!$L$7,O651&lt;&gt;0),('계산 과정'!$L$23-'계산 과정'!$C$49*D651-'계산 과정'!$D$49*E651)/O651,"")</x:f>
        <x:v>-8.941516160576215</x:v>
      </x:c>
      <x:c r="Q651" s="4" t="str">
        <x:f>IF(AND(ISNUMBER(P651),P651&gt;1E-9,P651&lt;1-1E-9),'계산 과정'!$C$47*(D651-'계산 과정'!$C$50+P651*('계산 과정'!$C$32-D651))+'계산 과정'!$D$47*(E651-'계산 과정'!$D$50+P651*('계산 과정'!$D$32-E651))+'계산 과정'!$E$47*(0-'계산 과정'!$E$50+P651*('계산 과정'!$E$32-0)),"")</x:f>
      </x:c>
      <x:c r="R651" s="4" t="str">
        <x:f>IF(AND(ISNUMBER(P651),P651&gt;1E-9,P651&lt;1-1E-9),'계산 과정'!$C$48*(D651-'계산 과정'!$C$50+P651*('계산 과정'!$C$32-D651))+'계산 과정'!$D$48*(E651-'계산 과정'!$D$50+P651*('계산 과정'!$D$32-E651))+'계산 과정'!$E$48*(0-'계산 과정'!$E$50+P651*('계산 과정'!$E$32-0)),"")</x:f>
      </x:c>
      <x:c r="S651" s="17" t="n">
        <x:f>IF('계산 과정'!$C$78,IF(AND(ISNUMBER(Q651),ISNUMBER(R651),ABS(Q651-'계산 과정'!$C$88)&lt;='계산 과정'!$D$23/2,ABS(R651-'계산 과정'!$C$89)&lt;='계산 과정'!$D$24/2),1,0),"")</x:f>
        <x:v>0</x:v>
      </x:c>
      <x:c r="T651" s="4"/>
      <x:c r="U651" s="4"/>
      <x:c r="V651" s="4"/>
      <x:c r="W651" s="4"/>
      <x:c r="X651" s="4"/>
      <x:c r="Y651" s="4"/>
      <x:c r="Z651" s="4"/>
    </x:row>
    <x:row r="652" ht="23" customHeight="1">
      <x:c r="A652" s="17" t="n">
        <x:f>ROW()-6</x:f>
        <x:v>646</x:v>
      </x:c>
      <x:c r="B652" s="4" t="n">
        <x:f>IF('계산 과정'!$L$5,'계산 과정'!$L$11*SQRT((A652+0.5)/'계산 과정'!$L$30),"")</x:f>
        <x:v>84.27728717046189</x:v>
      </x:c>
      <x:c r="C652" s="4" t="n">
        <x:f>A652*PI()*(3-SQRT(5))</x:f>
        <x:v>1550.3762464047097</x:v>
      </x:c>
      <x:c r="D652" s="4" t="n">
        <x:f>IF('계산 과정'!$L$5,B652*COS(C652),"")</x:f>
        <x:v>0.022911466821488514</x:v>
      </x:c>
      <x:c r="E652" s="4" t="n">
        <x:f>IF('계산 과정'!$L$5,B652*SIN(C652),"")</x:f>
        <x:v>-84.27728405612741</x:v>
      </x:c>
      <x:c r="F652" s="4" t="n">
        <x:f>IF('계산 과정'!$L$7,'계산 과정'!$L$22+'계산 과정'!$C$49*D652+'계산 과정'!$D$49*E652,"")</x:f>
        <x:v>649.9837991464436</x:v>
      </x:c>
      <x:c r="G652" s="4" t="n">
        <x:f>IF('계산 과정'!$L$7,IF(ABS(F652)&gt;=1E-12*MAX(1,SQRT((D652-'계산 과정'!$C$33)^2+(E652-'계산 과정'!$D$33)^2+'계산 과정'!$E$33^2)),('계산 과정'!$L$23-'계산 과정'!$C$49*D652-'계산 과정'!$D$49*E652)/F652,""),"")</x:f>
        <x:v>0.6154248788644521</x:v>
      </x:c>
      <x:c r="H652" s="4" t="n">
        <x:f>IF(AND(ISNUMBER(G652),G652&gt;0),('계산 과정'!$D$56+'계산 과정'!$D$57*D652+'계산 과정'!$D$58*E652)/F652,"")</x:f>
        <x:v>0.02617126189374279</x:v>
      </x:c>
      <x:c r="I652" s="4" t="n">
        <x:f>IF(AND(ISNUMBER(G652),G652&gt;0),('계산 과정'!$E$56+'계산 과정'!$E$57*D652+'계산 과정'!$E$58*E652)/F652,"")</x:f>
        <x:v>-136.14362138739463</x:v>
      </x:c>
      <x:c r="J652" s="4" t="n">
        <x:f>IF('계산 과정'!$L$5,'계산 과정'!$D$6+'계산 과정'!$C$35*D652+'계산 과정'!$D$35*E652,"")</x:f>
        <x:v>649.9837991464436</x:v>
      </x:c>
      <x:c r="K652" s="4" t="n">
        <x:f>IF(AND('계산 과정'!$L$6,J652&gt;0),'계산 과정'!$D$10*('계산 과정'!$C$38*(D652-'계산 과정'!$C$32)+'계산 과정'!$D$38*(E652-'계산 과정'!$D$32)-'계산 과정'!$E$38*'계산 과정'!$E$32)/J652,"")</x:f>
        <x:v>0.00019940009062012642</x:v>
      </x:c>
      <x:c r="L652" s="4" t="n">
        <x:f>IF(AND('계산 과정'!$L$6,J652&gt;0),'계산 과정'!$D$10*('계산 과정'!$C$39*(D652-'계산 과정'!$C$32)+'계산 과정'!$D$39*(E652-'계산 과정'!$D$32)-'계산 과정'!$E$39*'계산 과정'!$E$32)/J652,"")</x:f>
        <x:v>-1.0372847343801497</x:v>
      </x:c>
      <x:c r="M652" s="17" t="n">
        <x:f>IF('계산 과정'!$L$6,IF(J652&lt;=0,0,IF(AND(ABS(K652)&lt;='계산 과정'!$D$11/2,ABS(L652)&lt;='계산 과정'!$D$12/2),1,0)),"")</x:f>
        <x:v>1</x:v>
      </x:c>
      <x:c r="N652" s="17" t="n">
        <x:f>IF('계산 과정'!$C$78,IF(AND(ISNUMBER(H652),ISNUMBER(I652),ABS(H652-'계산 과정'!$C$88)&lt;='계산 과정'!$D$23/2,ABS(I652-'계산 과정'!$C$89)&lt;='계산 과정'!$D$24/2),1,0),"")</x:f>
        <x:v>1</x:v>
      </x:c>
      <x:c r="O652" s="4" t="n">
        <x:f>IF('계산 과정'!$L$7,'계산 과정'!$C$49*('계산 과정'!$C$32-D652)+'계산 과정'!$D$49*('계산 과정'!$D$32-E652)+'계산 과정'!$E$49*'계산 과정'!$E$32,"")</x:f>
        <x:v>0.01620085355654055</x:v>
      </x:c>
      <x:c r="P652" s="4" t="n">
        <x:f>IF(AND('계산 과정'!$L$7,O652&lt;&gt;0),('계산 과정'!$L$23-'계산 과정'!$C$49*D652-'계산 과정'!$D$49*E652)/O652,"")</x:f>
        <x:v>24691.0571382866</x:v>
      </x:c>
      <x:c r="Q652" s="4" t="str">
        <x:f>IF(AND(ISNUMBER(P652),P652&gt;1E-9,P652&lt;1-1E-9),'계산 과정'!$C$47*(D652-'계산 과정'!$C$50+P652*('계산 과정'!$C$32-D652))+'계산 과정'!$D$47*(E652-'계산 과정'!$D$50+P652*('계산 과정'!$D$32-E652))+'계산 과정'!$E$47*(0-'계산 과정'!$E$50+P652*('계산 과정'!$E$32-0)),"")</x:f>
      </x:c>
      <x:c r="R652" s="4" t="str">
        <x:f>IF(AND(ISNUMBER(P652),P652&gt;1E-9,P652&lt;1-1E-9),'계산 과정'!$C$48*(D652-'계산 과정'!$C$50+P652*('계산 과정'!$C$32-D652))+'계산 과정'!$D$48*(E652-'계산 과정'!$D$50+P652*('계산 과정'!$D$32-E652))+'계산 과정'!$E$48*(0-'계산 과정'!$E$50+P652*('계산 과정'!$E$32-0)),"")</x:f>
      </x:c>
      <x:c r="S652" s="17" t="n">
        <x:f>IF('계산 과정'!$C$78,IF(AND(ISNUMBER(Q652),ISNUMBER(R652),ABS(Q652-'계산 과정'!$C$88)&lt;='계산 과정'!$D$23/2,ABS(R652-'계산 과정'!$C$89)&lt;='계산 과정'!$D$24/2),1,0),"")</x:f>
        <x:v>0</x:v>
      </x:c>
      <x:c r="T652" s="4"/>
      <x:c r="U652" s="4"/>
      <x:c r="V652" s="4"/>
      <x:c r="W652" s="4"/>
      <x:c r="X652" s="4"/>
      <x:c r="Y652" s="4"/>
      <x:c r="Z652" s="4"/>
    </x:row>
    <x:row r="653" ht="23" customHeight="1">
      <x:c r="A653" s="17" t="n">
        <x:f>ROW()-6</x:f>
        <x:v>647</x:v>
      </x:c>
      <x:c r="B653" s="4" t="n">
        <x:f>IF('계산 과정'!$L$5,'계산 과정'!$L$11*SQRT((A653+0.5)/'계산 과정'!$L$30),"")</x:f>
        <x:v>84.34244163490584</x:v>
      </x:c>
      <x:c r="C653" s="4" t="n">
        <x:f>A653*PI()*(3-SQRT(5))</x:f>
        <x:v>1552.7762096344384</x:v>
      </x:c>
      <x:c r="D653" s="4" t="n">
        <x:f>IF('계산 과정'!$L$5,B653*COS(C653),"")</x:f>
        <x:v>56.95559134993682</x:v>
      </x:c>
      <x:c r="E653" s="4" t="n">
        <x:f>IF('계산 과정'!$L$5,B653*SIN(C653),"")</x:f>
        <x:v>62.206977702798746</x:v>
      </x:c>
      <x:c r="F653" s="4" t="n">
        <x:f>IF('계산 과정'!$L$7,'계산 과정'!$L$22+'계산 과정'!$C$49*D653+'계산 과정'!$D$49*E653,"")</x:f>
        <x:v>609.7263151299699</x:v>
      </x:c>
      <x:c r="G653" s="4" t="n">
        <x:f>IF('계산 과정'!$L$7,IF(ABS(F653)&gt;=1E-12*MAX(1,SQRT((D653-'계산 과정'!$C$33)^2+(E653-'계산 과정'!$D$33)^2+'계산 과정'!$E$33^2)),('계산 과정'!$L$23-'계산 과정'!$C$49*D653-'계산 과정'!$D$49*E653)/F653,""),"")</x:f>
        <x:v>0.7220841120760566</x:v>
      </x:c>
      <x:c r="H653" s="4" t="n">
        <x:f>IF(AND(ISNUMBER(G653),G653&gt;0),('계산 과정'!$D$56+'계산 과정'!$D$57*D653+'계산 과정'!$D$58*E653)/F653,"")</x:f>
        <x:v>69.35467284943675</x:v>
      </x:c>
      <x:c r="I653" s="4" t="n">
        <x:f>IF(AND(ISNUMBER(G653),G653&gt;0),('계산 과정'!$E$56+'계산 과정'!$E$57*D653+'계산 과정'!$E$58*E653)/F653,"")</x:f>
        <x:v>107.12564796225922</x:v>
      </x:c>
      <x:c r="J653" s="4" t="n">
        <x:f>IF('계산 과정'!$L$5,'계산 과정'!$D$6+'계산 과정'!$C$35*D653+'계산 과정'!$D$35*E653,"")</x:f>
        <x:v>609.7263151299699</x:v>
      </x:c>
      <x:c r="K653" s="4" t="n">
        <x:f>IF(AND('계산 과정'!$L$6,J653&gt;0),'계산 과정'!$D$10*('계산 과정'!$C$38*(D653-'계산 과정'!$C$32)+'계산 과정'!$D$38*(E653-'계산 과정'!$D$32)-'계산 과정'!$E$38*'계산 과정'!$E$32)/J653,"")</x:f>
        <x:v>0.5284165550433285</x:v>
      </x:c>
      <x:c r="L653" s="4" t="n">
        <x:f>IF(AND('계산 과정'!$L$6,J653&gt;0),'계산 과정'!$D$10*('계산 과정'!$C$39*(D653-'계산 과정'!$C$32)+'계산 과정'!$D$39*(E653-'계산 과정'!$D$32)-'계산 과정'!$E$39*'계산 과정'!$E$32)/J653,"")</x:f>
        <x:v>0.8161954130457846</x:v>
      </x:c>
      <x:c r="M653" s="17" t="n">
        <x:f>IF('계산 과정'!$L$6,IF(J653&lt;=0,0,IF(AND(ABS(K653)&lt;='계산 과정'!$D$11/2,ABS(L653)&lt;='계산 과정'!$D$12/2),1,0)),"")</x:f>
        <x:v>1</x:v>
      </x:c>
      <x:c r="N653" s="17" t="n">
        <x:f>IF('계산 과정'!$C$78,IF(AND(ISNUMBER(H653),ISNUMBER(I653),ABS(H653-'계산 과정'!$C$88)&lt;='계산 과정'!$D$23/2,ABS(I653-'계산 과정'!$C$89)&lt;='계산 과정'!$D$24/2),1,0),"")</x:f>
        <x:v>1</x:v>
      </x:c>
      <x:c r="O653" s="4" t="n">
        <x:f>IF('계산 과정'!$L$7,'계산 과정'!$C$49*('계산 과정'!$C$32-D653)+'계산 과정'!$D$49*('계산 과정'!$D$32-E653)+'계산 과정'!$E$49*'계산 과정'!$E$32,"")</x:f>
        <x:v>40.27368487003031</x:v>
      </x:c>
      <x:c r="P653" s="4" t="n">
        <x:f>IF(AND('계산 과정'!$L$7,O653&lt;&gt;0),('계산 과정'!$L$23-'계산 과정'!$C$49*D653-'계산 과정'!$D$49*E653)/O653,"")</x:f>
        <x:v>10.93204374744612</x:v>
      </x:c>
      <x:c r="Q653" s="4" t="str">
        <x:f>IF(AND(ISNUMBER(P653),P653&gt;1E-9,P653&lt;1-1E-9),'계산 과정'!$C$47*(D653-'계산 과정'!$C$50+P653*('계산 과정'!$C$32-D653))+'계산 과정'!$D$47*(E653-'계산 과정'!$D$50+P653*('계산 과정'!$D$32-E653))+'계산 과정'!$E$47*(0-'계산 과정'!$E$50+P653*('계산 과정'!$E$32-0)),"")</x:f>
      </x:c>
      <x:c r="R653" s="4" t="str">
        <x:f>IF(AND(ISNUMBER(P653),P653&gt;1E-9,P653&lt;1-1E-9),'계산 과정'!$C$48*(D653-'계산 과정'!$C$50+P653*('계산 과정'!$C$32-D653))+'계산 과정'!$D$48*(E653-'계산 과정'!$D$50+P653*('계산 과정'!$D$32-E653))+'계산 과정'!$E$48*(0-'계산 과정'!$E$50+P653*('계산 과정'!$E$32-0)),"")</x:f>
      </x:c>
      <x:c r="S653" s="17" t="n">
        <x:f>IF('계산 과정'!$C$78,IF(AND(ISNUMBER(Q653),ISNUMBER(R653),ABS(Q653-'계산 과정'!$C$88)&lt;='계산 과정'!$D$23/2,ABS(R653-'계산 과정'!$C$89)&lt;='계산 과정'!$D$24/2),1,0),"")</x:f>
        <x:v>0</x:v>
      </x:c>
      <x:c r="T653" s="4"/>
      <x:c r="U653" s="4"/>
      <x:c r="V653" s="4"/>
      <x:c r="W653" s="4"/>
      <x:c r="X653" s="4"/>
      <x:c r="Y653" s="4"/>
      <x:c r="Z653" s="4"/>
    </x:row>
    <x:row r="654" ht="23" customHeight="1">
      <x:c r="A654" s="17" t="n">
        <x:f>ROW()-6</x:f>
        <x:v>648</x:v>
      </x:c>
      <x:c r="B654" s="4" t="n">
        <x:f>IF('계산 과정'!$L$5,'계산 과정'!$L$11*SQRT((A654+0.5)/'계산 과정'!$L$30),"")</x:f>
        <x:v>84.40754580641769</x:v>
      </x:c>
      <x:c r="C654" s="4" t="n">
        <x:f>A654*PI()*(3-SQRT(5))</x:f>
        <x:v>1555.176172864167</x:v>
      </x:c>
      <x:c r="D654" s="4" t="n">
        <x:f>IF('계산 과정'!$L$5,B654*COS(C654),"")</x:f>
        <x:v>-84.08234350812013</x:v>
      </x:c>
      <x:c r="E654" s="4" t="n">
        <x:f>IF('계산 과정'!$L$5,B654*SIN(C654),"")</x:f>
        <x:v>-7.402249607044283</x:v>
      </x:c>
      <x:c r="F654" s="4" t="n">
        <x:f>IF('계산 과정'!$L$7,'계산 과정'!$L$22+'계산 과정'!$C$49*D654+'계산 과정'!$D$49*E654,"")</x:f>
        <x:v>709.4551952726484</x:v>
      </x:c>
      <x:c r="G654" s="4" t="n">
        <x:f>IF('계산 과정'!$L$7,IF(ABS(F654)&gt;=1E-12*MAX(1,SQRT((D654-'계산 과정'!$C$33)^2+(E654-'계산 과정'!$D$33)^2+'계산 과정'!$E$33^2)),('계산 과정'!$L$23-'계산 과정'!$C$49*D654-'계산 과정'!$D$49*E654)/F654,""),"")</x:f>
        <x:v>0.4800088955532673</x:v>
      </x:c>
      <x:c r="H654" s="4" t="n">
        <x:f>IF(AND(ISNUMBER(G654),G654&gt;0),('계산 과정'!$D$56+'계산 과정'!$D$57*D654+'계산 과정'!$D$58*E654)/F654,"")</x:f>
        <x:v>-87.99421789037636</x:v>
      </x:c>
      <x:c r="I654" s="4" t="n">
        <x:f>IF(AND(ISNUMBER(G654),G654&gt;0),('계산 과정'!$E$56+'계산 과정'!$E$57*D654+'계산 과정'!$E$58*E654)/F654,"")</x:f>
        <x:v>-10.955395265531216</x:v>
      </x:c>
      <x:c r="J654" s="4" t="n">
        <x:f>IF('계산 과정'!$L$5,'계산 과정'!$D$6+'계산 과정'!$C$35*D654+'계산 과정'!$D$35*E654,"")</x:f>
        <x:v>709.4551952726484</x:v>
      </x:c>
      <x:c r="K654" s="4" t="n">
        <x:f>IF(AND('계산 과정'!$L$6,J654&gt;0),'계산 과정'!$D$10*('계산 과정'!$C$38*(D654-'계산 과정'!$C$32)+'계산 과정'!$D$38*(E654-'계산 과정'!$D$32)-'계산 과정'!$E$38*'계산 과정'!$E$32)/J654,"")</x:f>
        <x:v>-0.6704321363076287</x:v>
      </x:c>
      <x:c r="L654" s="4" t="n">
        <x:f>IF(AND('계산 과정'!$L$6,J654&gt;0),'계산 과정'!$D$10*('계산 과정'!$C$39*(D654-'계산 과정'!$C$32)+'계산 과정'!$D$39*(E654-'계산 과정'!$D$32)-'계산 과정'!$E$39*'계산 과정'!$E$32)/J654,"")</x:f>
        <x:v>-0.08346967821357117</x:v>
      </x:c>
      <x:c r="M654" s="17" t="n">
        <x:f>IF('계산 과정'!$L$6,IF(J654&lt;=0,0,IF(AND(ABS(K654)&lt;='계산 과정'!$D$11/2,ABS(L654)&lt;='계산 과정'!$D$12/2),1,0)),"")</x:f>
        <x:v>1</x:v>
      </x:c>
      <x:c r="N654" s="17" t="n">
        <x:f>IF('계산 과정'!$C$78,IF(AND(ISNUMBER(H654),ISNUMBER(I654),ABS(H654-'계산 과정'!$C$88)&lt;='계산 과정'!$D$23/2,ABS(I654-'계산 과정'!$C$89)&lt;='계산 과정'!$D$24/2),1,0),"")</x:f>
        <x:v>1</x:v>
      </x:c>
      <x:c r="O654" s="4" t="n">
        <x:f>IF('계산 과정'!$L$7,'계산 과정'!$C$49*('계산 과정'!$C$32-D654)+'계산 과정'!$D$49*('계산 과정'!$D$32-E654)+'계산 과정'!$E$49*'계산 과정'!$E$32,"")</x:f>
        <x:v>-59.455195272648325</x:v>
      </x:c>
      <x:c r="P654" s="4" t="n">
        <x:f>IF(AND('계산 과정'!$L$7,O654&lt;&gt;0),('계산 과정'!$L$23-'계산 과정'!$C$49*D654-'계산 과정'!$D$49*E654)/O654,"")</x:f>
        <x:v>-5.727755214084971</x:v>
      </x:c>
      <x:c r="Q654" s="4" t="str">
        <x:f>IF(AND(ISNUMBER(P654),P654&gt;1E-9,P654&lt;1-1E-9),'계산 과정'!$C$47*(D654-'계산 과정'!$C$50+P654*('계산 과정'!$C$32-D654))+'계산 과정'!$D$47*(E654-'계산 과정'!$D$50+P654*('계산 과정'!$D$32-E654))+'계산 과정'!$E$47*(0-'계산 과정'!$E$50+P654*('계산 과정'!$E$32-0)),"")</x:f>
      </x:c>
      <x:c r="R654" s="4" t="str">
        <x:f>IF(AND(ISNUMBER(P654),P654&gt;1E-9,P654&lt;1-1E-9),'계산 과정'!$C$48*(D654-'계산 과정'!$C$50+P654*('계산 과정'!$C$32-D654))+'계산 과정'!$D$48*(E654-'계산 과정'!$D$50+P654*('계산 과정'!$D$32-E654))+'계산 과정'!$E$48*(0-'계산 과정'!$E$50+P654*('계산 과정'!$E$32-0)),"")</x:f>
      </x:c>
      <x:c r="S654" s="17" t="n">
        <x:f>IF('계산 과정'!$C$78,IF(AND(ISNUMBER(Q654),ISNUMBER(R654),ABS(Q654-'계산 과정'!$C$88)&lt;='계산 과정'!$D$23/2,ABS(R654-'계산 과정'!$C$89)&lt;='계산 과정'!$D$24/2),1,0),"")</x:f>
        <x:v>0</x:v>
      </x:c>
      <x:c r="T654" s="4"/>
      <x:c r="U654" s="4"/>
      <x:c r="V654" s="4"/>
      <x:c r="W654" s="4"/>
      <x:c r="X654" s="4"/>
      <x:c r="Y654" s="4"/>
      <x:c r="Z654" s="4"/>
    </x:row>
    <x:row r="655" ht="23" customHeight="1">
      <x:c r="A655" s="17" t="n">
        <x:f>ROW()-6</x:f>
        <x:v>649</x:v>
      </x:c>
      <x:c r="B655" s="4" t="n">
        <x:f>IF('계산 과정'!$L$5,'계산 과정'!$L$11*SQRT((A655+0.5)/'계산 과정'!$L$30),"")</x:f>
        <x:v>84.47259980128172</x:v>
      </x:c>
      <x:c r="C655" s="4" t="n">
        <x:f>A655*PI()*(3-SQRT(5))</x:f>
        <x:v>1557.5761360938957</x:v>
      </x:c>
      <x:c r="D655" s="4" t="n">
        <x:f>IF('계산 과정'!$L$5,B655*COS(C655),"")</x:f>
        <x:v>67.05148872184905</x:v>
      </x:c>
      <x:c r="E655" s="4" t="n">
        <x:f>IF('계산 과정'!$L$5,B655*SIN(C655),"")</x:f>
        <x:v>-51.378185812378085</x:v>
      </x:c>
      <x:c r="F655" s="4" t="n">
        <x:f>IF('계산 과정'!$L$7,'계산 과정'!$L$22+'계산 과정'!$C$49*D655+'계산 과정'!$D$49*E655,"")</x:f>
        <x:v>602.5874376361272</x:v>
      </x:c>
      <x:c r="G655" s="4" t="n">
        <x:f>IF('계산 과정'!$L$7,IF(ABS(F655)&gt;=1E-12*MAX(1,SQRT((D655-'계산 과정'!$C$33)^2+(E655-'계산 과정'!$D$33)^2+'계산 과정'!$E$33^2)),('계산 과정'!$L$23-'계산 과정'!$C$49*D655-'계산 과정'!$D$49*E655)/F655,""),"")</x:f>
        <x:v>0.7424857114828257</x:v>
      </x:c>
      <x:c r="H655" s="4" t="n">
        <x:f>IF(AND(ISNUMBER(G655),G655&gt;0),('계산 과정'!$D$56+'계산 과정'!$D$57*D655+'계산 과정'!$D$58*E655)/F655,"")</x:f>
        <x:v>82.6157124638366</x:v>
      </x:c>
      <x:c r="I655" s="4" t="n">
        <x:f>IF(AND(ISNUMBER(G655),G655&gt;0),('계산 과정'!$E$56+'계산 과정'!$E$57*D655+'계산 과정'!$E$58*E655)/F655,"")</x:f>
        <x:v>-89.52575465997845</x:v>
      </x:c>
      <x:c r="J655" s="4" t="n">
        <x:f>IF('계산 과정'!$L$5,'계산 과정'!$D$6+'계산 과정'!$C$35*D655+'계산 과정'!$D$35*E655,"")</x:f>
        <x:v>602.5874376361272</x:v>
      </x:c>
      <x:c r="K655" s="4" t="n">
        <x:f>IF(AND('계산 과정'!$L$6,J655&gt;0),'계산 과정'!$D$10*('계산 과정'!$C$38*(D655-'계산 과정'!$C$32)+'계산 과정'!$D$38*(E655-'계산 과정'!$D$32)-'계산 과정'!$E$38*'계산 과정'!$E$32)/J655,"")</x:f>
        <x:v>0.6294530473435178</x:v>
      </x:c>
      <x:c r="L655" s="4" t="n">
        <x:f>IF(AND('계산 과정'!$L$6,J655&gt;0),'계산 과정'!$D$10*('계산 과정'!$C$39*(D655-'계산 과정'!$C$32)+'계산 과정'!$D$39*(E655-'계산 과정'!$D$32)-'계산 과정'!$E$39*'계산 과정'!$E$32)/J655,"")</x:f>
        <x:v>-0.6821009878855501</x:v>
      </x:c>
      <x:c r="M655" s="17" t="n">
        <x:f>IF('계산 과정'!$L$6,IF(J655&lt;=0,0,IF(AND(ABS(K655)&lt;='계산 과정'!$D$11/2,ABS(L655)&lt;='계산 과정'!$D$12/2),1,0)),"")</x:f>
        <x:v>1</x:v>
      </x:c>
      <x:c r="N655" s="17" t="n">
        <x:f>IF('계산 과정'!$C$78,IF(AND(ISNUMBER(H655),ISNUMBER(I655),ABS(H655-'계산 과정'!$C$88)&lt;='계산 과정'!$D$23/2,ABS(I655-'계산 과정'!$C$89)&lt;='계산 과정'!$D$24/2),1,0),"")</x:f>
        <x:v>1</x:v>
      </x:c>
      <x:c r="O655" s="4" t="n">
        <x:f>IF('계산 과정'!$L$7,'계산 과정'!$C$49*('계산 과정'!$C$32-D655)+'계산 과정'!$D$49*('계산 과정'!$D$32-E655)+'계산 과정'!$E$49*'계산 과정'!$E$32,"")</x:f>
        <x:v>47.412562363872894</x:v>
      </x:c>
      <x:c r="P655" s="4" t="n">
        <x:f>IF(AND('계산 과정'!$L$7,O655&lt;&gt;0),('계산 과정'!$L$23-'계산 과정'!$C$49*D655-'계산 과정'!$D$49*E655)/O655,"")</x:f>
        <x:v>9.436582628252744</x:v>
      </x:c>
      <x:c r="Q655" s="4" t="str">
        <x:f>IF(AND(ISNUMBER(P655),P655&gt;1E-9,P655&lt;1-1E-9),'계산 과정'!$C$47*(D655-'계산 과정'!$C$50+P655*('계산 과정'!$C$32-D655))+'계산 과정'!$D$47*(E655-'계산 과정'!$D$50+P655*('계산 과정'!$D$32-E655))+'계산 과정'!$E$47*(0-'계산 과정'!$E$50+P655*('계산 과정'!$E$32-0)),"")</x:f>
      </x:c>
      <x:c r="R655" s="4" t="str">
        <x:f>IF(AND(ISNUMBER(P655),P655&gt;1E-9,P655&lt;1-1E-9),'계산 과정'!$C$48*(D655-'계산 과정'!$C$50+P655*('계산 과정'!$C$32-D655))+'계산 과정'!$D$48*(E655-'계산 과정'!$D$50+P655*('계산 과정'!$D$32-E655))+'계산 과정'!$E$48*(0-'계산 과정'!$E$50+P655*('계산 과정'!$E$32-0)),"")</x:f>
      </x:c>
      <x:c r="S655" s="17" t="n">
        <x:f>IF('계산 과정'!$C$78,IF(AND(ISNUMBER(Q655),ISNUMBER(R655),ABS(Q655-'계산 과정'!$C$88)&lt;='계산 과정'!$D$23/2,ABS(R655-'계산 과정'!$C$89)&lt;='계산 과정'!$D$24/2),1,0),"")</x:f>
        <x:v>0</x:v>
      </x:c>
      <x:c r="T655" s="4"/>
      <x:c r="U655" s="4"/>
      <x:c r="V655" s="4"/>
      <x:c r="W655" s="4"/>
      <x:c r="X655" s="4"/>
      <x:c r="Y655" s="4"/>
      <x:c r="Z655" s="4"/>
    </x:row>
    <x:row r="656" ht="23" customHeight="1">
      <x:c r="A656" s="17" t="n">
        <x:f>ROW()-6</x:f>
        <x:v>650</x:v>
      </x:c>
      <x:c r="B656" s="4" t="n">
        <x:f>IF('계산 과정'!$L$5,'계산 과정'!$L$11*SQRT((A656+0.5)/'계산 과정'!$L$30),"")</x:f>
        <x:v>84.53760373533484</x:v>
      </x:c>
      <x:c r="C656" s="4" t="n">
        <x:f>A656*PI()*(3-SQRT(5))</x:f>
        <x:v>1559.9760993236243</x:v>
      </x:c>
      <x:c r="D656" s="4" t="n">
        <x:f>IF('계산 과정'!$L$5,B656*COS(C656),"")</x:f>
        <x:v>-14.747555072589751</x:v>
      </x:c>
      <x:c r="E656" s="4" t="n">
        <x:f>IF('계산 과정'!$L$5,B656*SIN(C656),"")</x:f>
        <x:v>83.24131224754588</x:v>
      </x:c>
      <x:c r="F656" s="4" t="n">
        <x:f>IF('계산 과정'!$L$7,'계산 과정'!$L$22+'계산 과정'!$C$49*D656+'계산 과정'!$D$49*E656,"")</x:f>
        <x:v>660.4280961977503</x:v>
      </x:c>
      <x:c r="G656" s="4" t="n">
        <x:f>IF('계산 과정'!$L$7,IF(ABS(F656)&gt;=1E-12*MAX(1,SQRT((D656-'계산 과정'!$C$33)^2+(E656-'계산 과정'!$D$33)^2+'계산 과정'!$E$33^2)),('계산 과정'!$L$23-'계산 과정'!$C$49*D656-'계산 과정'!$D$49*E656)/F656,""),"")</x:f>
        <x:v>0.5898778474827352</x:v>
      </x:c>
      <x:c r="H656" s="4" t="n">
        <x:f>IF(AND(ISNUMBER(G656),G656&gt;0),('계산 과정'!$D$56+'계산 과정'!$D$57*D656+'계산 과정'!$D$58*E656)/F656,"")</x:f>
        <x:v>-16.57939913622223</x:v>
      </x:c>
      <x:c r="I656" s="4" t="n">
        <x:f>IF(AND(ISNUMBER(G656),G656&gt;0),('계산 과정'!$E$56+'계산 과정'!$E$57*D656+'계산 과정'!$E$58*E656)/F656,"")</x:f>
        <x:v>132.34351833776648</x:v>
      </x:c>
      <x:c r="J656" s="4" t="n">
        <x:f>IF('계산 과정'!$L$5,'계산 과정'!$D$6+'계산 과정'!$C$35*D656+'계산 과정'!$D$35*E656,"")</x:f>
        <x:v>660.4280961977503</x:v>
      </x:c>
      <x:c r="K656" s="4" t="n">
        <x:f>IF(AND('계산 과정'!$L$6,J656&gt;0),'계산 과정'!$D$10*('계산 과정'!$C$38*(D656-'계산 과정'!$C$32)+'계산 과정'!$D$38*(E656-'계산 과정'!$D$32)-'계산 과정'!$E$38*'계산 과정'!$E$32)/J656,"")</x:f>
        <x:v>-0.1263192315140732</x:v>
      </x:c>
      <x:c r="L656" s="4" t="n">
        <x:f>IF(AND('계산 과정'!$L$6,J656&gt;0),'계산 과정'!$D$10*('계산 과정'!$C$39*(D656-'계산 과정'!$C$32)+'계산 과정'!$D$39*(E656-'계산 과정'!$D$32)-'계산 과정'!$E$39*'계산 과정'!$E$32)/J656,"")</x:f>
        <x:v>1.0083315682877447</x:v>
      </x:c>
      <x:c r="M656" s="17" t="n">
        <x:f>IF('계산 과정'!$L$6,IF(J656&lt;=0,0,IF(AND(ABS(K656)&lt;='계산 과정'!$D$11/2,ABS(L656)&lt;='계산 과정'!$D$12/2),1,0)),"")</x:f>
        <x:v>1</x:v>
      </x:c>
      <x:c r="N656" s="17" t="n">
        <x:f>IF('계산 과정'!$C$78,IF(AND(ISNUMBER(H656),ISNUMBER(I656),ABS(H656-'계산 과정'!$C$88)&lt;='계산 과정'!$D$23/2,ABS(I656-'계산 과정'!$C$89)&lt;='계산 과정'!$D$24/2),1,0),"")</x:f>
        <x:v>1</x:v>
      </x:c>
      <x:c r="O656" s="4" t="n">
        <x:f>IF('계산 과정'!$L$7,'계산 과정'!$C$49*('계산 과정'!$C$32-D656)+'계산 과정'!$D$49*('계산 과정'!$D$32-E656)+'계산 과정'!$E$49*'계산 과정'!$E$32,"")</x:f>
        <x:v>-10.428096197750165</x:v>
      </x:c>
      <x:c r="P656" s="4" t="n">
        <x:f>IF(AND('계산 과정'!$L$7,O656&lt;&gt;0),('계산 과정'!$L$23-'계산 과정'!$C$49*D656-'계산 과정'!$D$49*E656)/O656,"")</x:f>
        <x:v>-37.35791235664846</x:v>
      </x:c>
      <x:c r="Q656" s="4" t="str">
        <x:f>IF(AND(ISNUMBER(P656),P656&gt;1E-9,P656&lt;1-1E-9),'계산 과정'!$C$47*(D656-'계산 과정'!$C$50+P656*('계산 과정'!$C$32-D656))+'계산 과정'!$D$47*(E656-'계산 과정'!$D$50+P656*('계산 과정'!$D$32-E656))+'계산 과정'!$E$47*(0-'계산 과정'!$E$50+P656*('계산 과정'!$E$32-0)),"")</x:f>
      </x:c>
      <x:c r="R656" s="4" t="str">
        <x:f>IF(AND(ISNUMBER(P656),P656&gt;1E-9,P656&lt;1-1E-9),'계산 과정'!$C$48*(D656-'계산 과정'!$C$50+P656*('계산 과정'!$C$32-D656))+'계산 과정'!$D$48*(E656-'계산 과정'!$D$50+P656*('계산 과정'!$D$32-E656))+'계산 과정'!$E$48*(0-'계산 과정'!$E$50+P656*('계산 과정'!$E$32-0)),"")</x:f>
      </x:c>
      <x:c r="S656" s="17" t="n">
        <x:f>IF('계산 과정'!$C$78,IF(AND(ISNUMBER(Q656),ISNUMBER(R656),ABS(Q656-'계산 과정'!$C$88)&lt;='계산 과정'!$D$23/2,ABS(R656-'계산 과정'!$C$89)&lt;='계산 과정'!$D$24/2),1,0),"")</x:f>
        <x:v>0</x:v>
      </x:c>
      <x:c r="T656" s="4"/>
      <x:c r="U656" s="4"/>
      <x:c r="V656" s="4"/>
      <x:c r="W656" s="4"/>
      <x:c r="X656" s="4"/>
      <x:c r="Y656" s="4"/>
      <x:c r="Z656" s="4"/>
    </x:row>
    <x:row r="657" ht="23" customHeight="1">
      <x:c r="A657" s="17" t="n">
        <x:f>ROW()-6</x:f>
        <x:v>651</x:v>
      </x:c>
      <x:c r="B657" s="4" t="n">
        <x:f>IF('계산 과정'!$L$5,'계산 과정'!$L$11*SQRT((A657+0.5)/'계산 과정'!$L$30),"")</x:f>
        <x:v>84.60255772396896</x:v>
      </x:c>
      <x:c r="C657" s="4" t="n">
        <x:f>A657*PI()*(3-SQRT(5))</x:f>
        <x:v>1562.376062553353</x:v>
      </x:c>
      <x:c r="D657" s="4" t="n">
        <x:f>IF('계산 과정'!$L$5,B657*COS(C657),"")</x:f>
        <x:v>-45.389158093818416</x:v>
      </x:c>
      <x:c r="E657" s="4" t="n">
        <x:f>IF('계산 과정'!$L$5,B657*SIN(C657),"")</x:f>
        <x:v>-71.39619808485503</x:v>
      </x:c>
      <x:c r="F657" s="4" t="n">
        <x:f>IF('계산 과정'!$L$7,'계산 과정'!$L$22+'계산 과정'!$C$49*D657+'계산 과정'!$D$49*E657,"")</x:f>
        <x:v>682.0949814804873</x:v>
      </x:c>
      <x:c r="G657" s="4" t="n">
        <x:f>IF('계산 과정'!$L$7,IF(ABS(F657)&gt;=1E-12*MAX(1,SQRT((D657-'계산 과정'!$C$33)^2+(E657-'계산 과정'!$D$33)^2+'계산 과정'!$E$33^2)),('계산 과정'!$L$23-'계산 과정'!$C$49*D657-'계산 과정'!$D$49*E657)/F657,""),"")</x:f>
        <x:v>0.5393750555398822</x:v>
      </x:c>
      <x:c r="H657" s="4" t="n">
        <x:f>IF(AND(ISNUMBER(G657),G657&gt;0),('계산 과정'!$D$56+'계산 과정'!$D$57*D657+'계산 과정'!$D$58*E657)/F657,"")</x:f>
        <x:v>-49.40621389907671</x:v>
      </x:c>
      <x:c r="I657" s="4" t="n">
        <x:f>IF(AND(ISNUMBER(G657),G657&gt;0),('계산 과정'!$E$56+'계산 과정'!$E$57*D657+'계산 과정'!$E$58*E657)/F657,"")</x:f>
        <x:v>-109.90552639221013</x:v>
      </x:c>
      <x:c r="J657" s="4" t="n">
        <x:f>IF('계산 과정'!$L$5,'계산 과정'!$D$6+'계산 과정'!$C$35*D657+'계산 과정'!$D$35*E657,"")</x:f>
        <x:v>682.0949814804873</x:v>
      </x:c>
      <x:c r="K657" s="4" t="n">
        <x:f>IF(AND('계산 과정'!$L$6,J657&gt;0),'계산 과정'!$D$10*('계산 과정'!$C$38*(D657-'계산 과정'!$C$32)+'계산 과정'!$D$38*(E657-'계산 과정'!$D$32)-'계산 과정'!$E$38*'계산 과정'!$E$32)/J657,"")</x:f>
        <x:v>-0.3764282963739167</x:v>
      </x:c>
      <x:c r="L657" s="4" t="n">
        <x:f>IF(AND('계산 과정'!$L$6,J657&gt;0),'계산 과정'!$D$10*('계산 과정'!$C$39*(D657-'계산 과정'!$C$32)+'계산 과정'!$D$39*(E657-'계산 과정'!$D$32)-'계산 과정'!$E$39*'계산 과정'!$E$32)/J657,"")</x:f>
        <x:v>-0.8373754391787439</x:v>
      </x:c>
      <x:c r="M657" s="17" t="n">
        <x:f>IF('계산 과정'!$L$6,IF(J657&lt;=0,0,IF(AND(ABS(K657)&lt;='계산 과정'!$D$11/2,ABS(L657)&lt;='계산 과정'!$D$12/2),1,0)),"")</x:f>
        <x:v>1</x:v>
      </x:c>
      <x:c r="N657" s="17" t="n">
        <x:f>IF('계산 과정'!$C$78,IF(AND(ISNUMBER(H657),ISNUMBER(I657),ABS(H657-'계산 과정'!$C$88)&lt;='계산 과정'!$D$23/2,ABS(I657-'계산 과정'!$C$89)&lt;='계산 과정'!$D$24/2),1,0),"")</x:f>
        <x:v>1</x:v>
      </x:c>
      <x:c r="O657" s="4" t="n">
        <x:f>IF('계산 과정'!$L$7,'계산 과정'!$C$49*('계산 과정'!$C$32-D657)+'계산 과정'!$D$49*('계산 과정'!$D$32-E657)+'계산 과정'!$E$49*'계산 과정'!$E$32,"")</x:f>
        <x:v>-32.09498148048715</x:v>
      </x:c>
      <x:c r="P657" s="4" t="n">
        <x:f>IF(AND('계산 과정'!$L$7,O657&lt;&gt;0),('계산 과정'!$L$23-'계산 과정'!$C$49*D657-'계산 과정'!$D$49*E657)/O657,"")</x:f>
        <x:v>-11.46300765878892</x:v>
      </x:c>
      <x:c r="Q657" s="4" t="str">
        <x:f>IF(AND(ISNUMBER(P657),P657&gt;1E-9,P657&lt;1-1E-9),'계산 과정'!$C$47*(D657-'계산 과정'!$C$50+P657*('계산 과정'!$C$32-D657))+'계산 과정'!$D$47*(E657-'계산 과정'!$D$50+P657*('계산 과정'!$D$32-E657))+'계산 과정'!$E$47*(0-'계산 과정'!$E$50+P657*('계산 과정'!$E$32-0)),"")</x:f>
      </x:c>
      <x:c r="R657" s="4" t="str">
        <x:f>IF(AND(ISNUMBER(P657),P657&gt;1E-9,P657&lt;1-1E-9),'계산 과정'!$C$48*(D657-'계산 과정'!$C$50+P657*('계산 과정'!$C$32-D657))+'계산 과정'!$D$48*(E657-'계산 과정'!$D$50+P657*('계산 과정'!$D$32-E657))+'계산 과정'!$E$48*(0-'계산 과정'!$E$50+P657*('계산 과정'!$E$32-0)),"")</x:f>
      </x:c>
      <x:c r="S657" s="17" t="n">
        <x:f>IF('계산 과정'!$C$78,IF(AND(ISNUMBER(Q657),ISNUMBER(R657),ABS(Q657-'계산 과정'!$C$88)&lt;='계산 과정'!$D$23/2,ABS(R657-'계산 과정'!$C$89)&lt;='계산 과정'!$D$24/2),1,0),"")</x:f>
        <x:v>0</x:v>
      </x:c>
      <x:c r="T657" s="4"/>
      <x:c r="U657" s="4"/>
      <x:c r="V657" s="4"/>
      <x:c r="W657" s="4"/>
      <x:c r="X657" s="4"/>
      <x:c r="Y657" s="4"/>
      <x:c r="Z657" s="4"/>
    </x:row>
    <x:row r="658" ht="23" customHeight="1">
      <x:c r="A658" s="17" t="n">
        <x:f>ROW()-6</x:f>
        <x:v>652</x:v>
      </x:c>
      <x:c r="B658" s="4" t="n">
        <x:f>IF('계산 과정'!$L$5,'계산 과정'!$L$11*SQRT((A658+0.5)/'계산 과정'!$L$30),"")</x:f>
        <x:v>84.66746188213332</x:v>
      </x:c>
      <x:c r="C658" s="4" t="n">
        <x:f>A658*PI()*(3-SQRT(5))</x:f>
        <x:v>1564.7760257830816</x:v>
      </x:c>
      <x:c r="D658" s="4" t="n">
        <x:f>IF('계산 과정'!$L$5,B658*COS(C658),"")</x:f>
        <x:v>81.7586657750176</x:v>
      </x:c>
      <x:c r="E658" s="4" t="n">
        <x:f>IF('계산 과정'!$L$5,B658*SIN(C658),"")</x:f>
        <x:v>22.002265161829712</x:v>
      </x:c>
      <x:c r="F658" s="4" t="n">
        <x:f>IF('계산 과정'!$L$7,'계산 과정'!$L$22+'계산 과정'!$C$49*D658+'계산 과정'!$D$49*E658,"")</x:f>
        <x:v>592.1878930097206</x:v>
      </x:c>
      <x:c r="G658" s="4" t="n">
        <x:f>IF('계산 과정'!$L$7,IF(ABS(F658)&gt;=1E-12*MAX(1,SQRT((D658-'계산 과정'!$C$33)^2+(E658-'계산 과정'!$D$33)^2+'계산 과정'!$E$33^2)),('계산 과정'!$L$23-'계산 과정'!$C$49*D658-'계산 과정'!$D$49*E658)/F658,""),"")</x:f>
        <x:v>0.7730858945182194</x:v>
      </x:c>
      <x:c r="H658" s="4" t="n">
        <x:f>IF(AND(ISNUMBER(G658),G658&gt;0),('계산 과정'!$D$56+'계산 과정'!$D$57*D658+'계산 과정'!$D$58*E658)/F658,"")</x:f>
        <x:v>102.50583143684254</x:v>
      </x:c>
      <x:c r="I658" s="4" t="n">
        <x:f>IF(AND(ISNUMBER(G658),G658&gt;0),('계산 과정'!$E$56+'계산 과정'!$E$57*D658+'계산 과정'!$E$58*E658)/F658,"")</x:f>
        <x:v>39.01190600588989</x:v>
      </x:c>
      <x:c r="J658" s="4" t="n">
        <x:f>IF('계산 과정'!$L$5,'계산 과정'!$D$6+'계산 과정'!$C$35*D658+'계산 과정'!$D$35*E658,"")</x:f>
        <x:v>592.1878930097206</x:v>
      </x:c>
      <x:c r="K658" s="4" t="n">
        <x:f>IF(AND('계산 과정'!$L$6,J658&gt;0),'계산 과정'!$D$10*('계산 과정'!$C$38*(D658-'계산 과정'!$C$32)+'계산 과정'!$D$38*(E658-'계산 과정'!$D$32)-'계산 과정'!$E$38*'계산 과정'!$E$32)/J658,"")</x:f>
        <x:v>0.7809968109473726</x:v>
      </x:c>
      <x:c r="L658" s="4" t="n">
        <x:f>IF(AND('계산 과정'!$L$6,J658&gt;0),'계산 과정'!$D$10*('계산 과정'!$C$39*(D658-'계산 과정'!$C$32)+'계산 과정'!$D$39*(E658-'계산 과정'!$D$32)-'계산 과정'!$E$39*'계산 과정'!$E$32)/J658,"")</x:f>
        <x:v>0.29723356956868485</x:v>
      </x:c>
      <x:c r="M658" s="17" t="n">
        <x:f>IF('계산 과정'!$L$6,IF(J658&lt;=0,0,IF(AND(ABS(K658)&lt;='계산 과정'!$D$11/2,ABS(L658)&lt;='계산 과정'!$D$12/2),1,0)),"")</x:f>
        <x:v>1</x:v>
      </x:c>
      <x:c r="N658" s="17" t="n">
        <x:f>IF('계산 과정'!$C$78,IF(AND(ISNUMBER(H658),ISNUMBER(I658),ABS(H658-'계산 과정'!$C$88)&lt;='계산 과정'!$D$23/2,ABS(I658-'계산 과정'!$C$89)&lt;='계산 과정'!$D$24/2),1,0),"")</x:f>
        <x:v>1</x:v>
      </x:c>
      <x:c r="O658" s="4" t="n">
        <x:f>IF('계산 과정'!$L$7,'계산 과정'!$C$49*('계산 과정'!$C$32-D658)+'계산 과정'!$D$49*('계산 과정'!$D$32-E658)+'계산 과정'!$E$49*'계산 과정'!$E$32,"")</x:f>
        <x:v>57.812106990279574</x:v>
      </x:c>
      <x:c r="P658" s="4" t="n">
        <x:f>IF(AND('계산 과정'!$L$7,O658&lt;&gt;0),('계산 과정'!$L$23-'계산 과정'!$C$49*D658-'계산 과정'!$D$49*E658)/O658,"")</x:f>
        <x:v>7.9189659540908135</x:v>
      </x:c>
      <x:c r="Q658" s="4" t="str">
        <x:f>IF(AND(ISNUMBER(P658),P658&gt;1E-9,P658&lt;1-1E-9),'계산 과정'!$C$47*(D658-'계산 과정'!$C$50+P658*('계산 과정'!$C$32-D658))+'계산 과정'!$D$47*(E658-'계산 과정'!$D$50+P658*('계산 과정'!$D$32-E658))+'계산 과정'!$E$47*(0-'계산 과정'!$E$50+P658*('계산 과정'!$E$32-0)),"")</x:f>
      </x:c>
      <x:c r="R658" s="4" t="str">
        <x:f>IF(AND(ISNUMBER(P658),P658&gt;1E-9,P658&lt;1-1E-9),'계산 과정'!$C$48*(D658-'계산 과정'!$C$50+P658*('계산 과정'!$C$32-D658))+'계산 과정'!$D$48*(E658-'계산 과정'!$D$50+P658*('계산 과정'!$D$32-E658))+'계산 과정'!$E$48*(0-'계산 과정'!$E$50+P658*('계산 과정'!$E$32-0)),"")</x:f>
      </x:c>
      <x:c r="S658" s="17" t="n">
        <x:f>IF('계산 과정'!$C$78,IF(AND(ISNUMBER(Q658),ISNUMBER(R658),ABS(Q658-'계산 과정'!$C$88)&lt;='계산 과정'!$D$23/2,ABS(R658-'계산 과정'!$C$89)&lt;='계산 과정'!$D$24/2),1,0),"")</x:f>
        <x:v>0</x:v>
      </x:c>
      <x:c r="T658" s="4"/>
      <x:c r="U658" s="4"/>
      <x:c r="V658" s="4"/>
      <x:c r="W658" s="4"/>
      <x:c r="X658" s="4"/>
      <x:c r="Y658" s="4"/>
      <x:c r="Z658" s="4"/>
    </x:row>
    <x:row r="659" ht="23" customHeight="1">
      <x:c r="A659" s="17" t="n">
        <x:f>ROW()-6</x:f>
        <x:v>653</x:v>
      </x:c>
      <x:c r="B659" s="4" t="n">
        <x:f>IF('계산 과정'!$L$5,'계산 과정'!$L$11*SQRT((A659+0.5)/'계산 과정'!$L$30),"")</x:f>
        <x:v>84.73231632433696</x:v>
      </x:c>
      <x:c r="C659" s="4" t="n">
        <x:f>A659*PI()*(3-SQRT(5))</x:f>
        <x:v>1567.1759890128105</x:v>
      </x:c>
      <x:c r="D659" s="4" t="n">
        <x:f>IF('계산 과정'!$L$5,B659*COS(C659),"")</x:f>
        <x:v>-75.2061753213825</x:v>
      </x:c>
      <x:c r="E659" s="4" t="n">
        <x:f>IF('계산 과정'!$L$5,B659*SIN(C659),"")</x:f>
        <x:v>39.033275845321725</x:v>
      </x:c>
      <x:c r="F659" s="4" t="n">
        <x:f>IF('계산 과정'!$L$7,'계산 과정'!$L$22+'계산 과정'!$C$49*D659+'계산 과정'!$D$49*E659,"")</x:f>
        <x:v>703.178796556854</x:v>
      </x:c>
      <x:c r="G659" s="4" t="n">
        <x:f>IF('계산 과정'!$L$7,IF(ABS(F659)&gt;=1E-12*MAX(1,SQRT((D659-'계산 과정'!$C$33)^2+(E659-'계산 과정'!$D$33)^2+'계산 과정'!$E$33^2)),('계산 과정'!$L$23-'계산 과정'!$C$49*D659-'계산 과정'!$D$49*E659)/F659,""),"")</x:f>
        <x:v>0.49321908615756244</x:v>
      </x:c>
      <x:c r="H659" s="4" t="n">
        <x:f>IF(AND(ISNUMBER(G659),G659&gt;0),('계산 과정'!$D$56+'계산 과정'!$D$57*D659+'계산 과정'!$D$58*E659)/F659,"")</x:f>
        <x:v>-79.40759399758451</x:v>
      </x:c>
      <x:c r="I659" s="4" t="n">
        <x:f>IF(AND(ISNUMBER(G659),G659&gt;0),('계산 과정'!$E$56+'계산 과정'!$E$57*D659+'계산 과정'!$E$58*E659)/F659,"")</x:f>
        <x:v>58.28523248748736</x:v>
      </x:c>
      <x:c r="J659" s="4" t="n">
        <x:f>IF('계산 과정'!$L$5,'계산 과정'!$D$6+'계산 과정'!$C$35*D659+'계산 과정'!$D$35*E659,"")</x:f>
        <x:v>703.178796556854</x:v>
      </x:c>
      <x:c r="K659" s="4" t="n">
        <x:f>IF(AND('계산 과정'!$L$6,J659&gt;0),'계산 과정'!$D$10*('계산 과정'!$C$38*(D659-'계산 과정'!$C$32)+'계산 과정'!$D$38*(E659-'계산 과정'!$D$32)-'계산 과정'!$E$38*'계산 과정'!$E$32)/J659,"")</x:f>
        <x:v>-0.6050102399815949</x:v>
      </x:c>
      <x:c r="L659" s="4" t="n">
        <x:f>IF(AND('계산 과정'!$L$6,J659&gt;0),'계산 과정'!$D$10*('계산 과정'!$C$39*(D659-'계산 과정'!$C$32)+'계산 과정'!$D$39*(E659-'계산 과정'!$D$32)-'계산 과정'!$E$39*'계산 과정'!$E$32)/J659,"")</x:f>
        <x:v>0.44407796180942755</x:v>
      </x:c>
      <x:c r="M659" s="17" t="n">
        <x:f>IF('계산 과정'!$L$6,IF(J659&lt;=0,0,IF(AND(ABS(K659)&lt;='계산 과정'!$D$11/2,ABS(L659)&lt;='계산 과정'!$D$12/2),1,0)),"")</x:f>
        <x:v>1</x:v>
      </x:c>
      <x:c r="N659" s="17" t="n">
        <x:f>IF('계산 과정'!$C$78,IF(AND(ISNUMBER(H659),ISNUMBER(I659),ABS(H659-'계산 과정'!$C$88)&lt;='계산 과정'!$D$23/2,ABS(I659-'계산 과정'!$C$89)&lt;='계산 과정'!$D$24/2),1,0),"")</x:f>
        <x:v>1</x:v>
      </x:c>
      <x:c r="O659" s="4" t="n">
        <x:f>IF('계산 과정'!$L$7,'계산 과정'!$C$49*('계산 과정'!$C$32-D659)+'계산 과정'!$D$49*('계산 과정'!$D$32-E659)+'계산 과정'!$E$49*'계산 과정'!$E$32,"")</x:f>
        <x:v>-53.1787965568538</x:v>
      </x:c>
      <x:c r="P659" s="4" t="n">
        <x:f>IF(AND('계산 과정'!$L$7,O659&lt;&gt;0),('계산 과정'!$L$23-'계산 과정'!$C$49*D659-'계산 과정'!$D$49*E659)/O659,"")</x:f>
        <x:v>-6.521794886282491</x:v>
      </x:c>
      <x:c r="Q659" s="4" t="str">
        <x:f>IF(AND(ISNUMBER(P659),P659&gt;1E-9,P659&lt;1-1E-9),'계산 과정'!$C$47*(D659-'계산 과정'!$C$50+P659*('계산 과정'!$C$32-D659))+'계산 과정'!$D$47*(E659-'계산 과정'!$D$50+P659*('계산 과정'!$D$32-E659))+'계산 과정'!$E$47*(0-'계산 과정'!$E$50+P659*('계산 과정'!$E$32-0)),"")</x:f>
      </x:c>
      <x:c r="R659" s="4" t="str">
        <x:f>IF(AND(ISNUMBER(P659),P659&gt;1E-9,P659&lt;1-1E-9),'계산 과정'!$C$48*(D659-'계산 과정'!$C$50+P659*('계산 과정'!$C$32-D659))+'계산 과정'!$D$48*(E659-'계산 과정'!$D$50+P659*('계산 과정'!$D$32-E659))+'계산 과정'!$E$48*(0-'계산 과정'!$E$50+P659*('계산 과정'!$E$32-0)),"")</x:f>
      </x:c>
      <x:c r="S659" s="17" t="n">
        <x:f>IF('계산 과정'!$C$78,IF(AND(ISNUMBER(Q659),ISNUMBER(R659),ABS(Q659-'계산 과정'!$C$88)&lt;='계산 과정'!$D$23/2,ABS(R659-'계산 과정'!$C$89)&lt;='계산 과정'!$D$24/2),1,0),"")</x:f>
        <x:v>0</x:v>
      </x:c>
      <x:c r="T659" s="4"/>
      <x:c r="U659" s="4"/>
      <x:c r="V659" s="4"/>
      <x:c r="W659" s="4"/>
      <x:c r="X659" s="4"/>
      <x:c r="Y659" s="4"/>
      <x:c r="Z659" s="4"/>
    </x:row>
    <x:row r="660" ht="23" customHeight="1">
      <x:c r="A660" s="17" t="n">
        <x:f>ROW()-6</x:f>
        <x:v>654</x:v>
      </x:c>
      <x:c r="B660" s="4" t="n">
        <x:f>IF('계산 과정'!$L$5,'계산 과정'!$L$11*SQRT((A660+0.5)/'계산 과정'!$L$30),"")</x:f>
        <x:v>84.79712116465097</x:v>
      </x:c>
      <x:c r="C660" s="4" t="n">
        <x:f>A660*PI()*(3-SQRT(5))</x:f>
        <x:v>1569.575952242539</x:v>
      </x:c>
      <x:c r="D660" s="4" t="n">
        <x:f>IF('계산 과정'!$L$5,B660*COS(C660),"")</x:f>
        <x:v>29.110341246100504</x:v>
      </x:c>
      <x:c r="E660" s="4" t="n">
        <x:f>IF('계산 과정'!$L$5,B660*SIN(C660),"")</x:f>
        <x:v>-79.64383083672004</x:v>
      </x:c>
      <x:c r="F660" s="4" t="n">
        <x:f>IF('계산 과정'!$L$7,'계산 과정'!$L$22+'계산 과정'!$C$49*D660+'계산 과정'!$D$49*E660,"")</x:f>
        <x:v>629.4158803022278</x:v>
      </x:c>
      <x:c r="G660" s="4" t="n">
        <x:f>IF('계산 과정'!$L$7,IF(ABS(F660)&gt;=1E-12*MAX(1,SQRT((D660-'계산 과정'!$C$33)^2+(E660-'계산 과정'!$D$33)^2+'계산 과정'!$E$33^2)),('계산 과정'!$L$23-'계산 과정'!$C$49*D660-'계산 과정'!$D$49*E660)/F660,""),"")</x:f>
        <x:v>0.6682133909551494</x:v>
      </x:c>
      <x:c r="H660" s="4" t="n">
        <x:f>IF(AND(ISNUMBER(G660),G660&gt;0),('계산 과정'!$D$56+'계산 과정'!$D$57*D660+'계산 과정'!$D$58*E660)/F660,"")</x:f>
        <x:v>34.338704120847005</x:v>
      </x:c>
      <x:c r="I660" s="4" t="n">
        <x:f>IF(AND(ISNUMBER(G660),G660&gt;0),('계산 과정'!$E$56+'계산 과정'!$E$57*D660+'계산 과정'!$E$58*E660)/F660,"")</x:f>
        <x:v>-132.86290510878302</x:v>
      </x:c>
      <x:c r="J660" s="4" t="n">
        <x:f>IF('계산 과정'!$L$5,'계산 과정'!$D$6+'계산 과정'!$C$35*D660+'계산 과정'!$D$35*E660,"")</x:f>
        <x:v>629.4158803022278</x:v>
      </x:c>
      <x:c r="K660" s="4" t="n">
        <x:f>IF(AND('계산 과정'!$L$6,J660&gt;0),'계산 과정'!$D$10*('계산 과정'!$C$38*(D660-'계산 과정'!$C$32)+'계산 과정'!$D$38*(E660-'계산 과정'!$D$32)-'계산 과정'!$E$38*'계산 과정'!$E$32)/J660,"")</x:f>
        <x:v>0.26162822187312074</x:v>
      </x:c>
      <x:c r="L660" s="4" t="n">
        <x:f>IF(AND('계산 과정'!$L$6,J660&gt;0),'계산 과정'!$D$10*('계산 과정'!$C$39*(D660-'계산 과정'!$C$32)+'계산 과정'!$D$39*(E660-'계산 과정'!$D$32)-'계산 과정'!$E$39*'계산 과정'!$E$32)/J660,"")</x:f>
        <x:v>-1.012288800828823</x:v>
      </x:c>
      <x:c r="M660" s="17" t="n">
        <x:f>IF('계산 과정'!$L$6,IF(J660&lt;=0,0,IF(AND(ABS(K660)&lt;='계산 과정'!$D$11/2,ABS(L660)&lt;='계산 과정'!$D$12/2),1,0)),"")</x:f>
        <x:v>1</x:v>
      </x:c>
      <x:c r="N660" s="17" t="n">
        <x:f>IF('계산 과정'!$C$78,IF(AND(ISNUMBER(H660),ISNUMBER(I660),ABS(H660-'계산 과정'!$C$88)&lt;='계산 과정'!$D$23/2,ABS(I660-'계산 과정'!$C$89)&lt;='계산 과정'!$D$24/2),1,0),"")</x:f>
        <x:v>1</x:v>
      </x:c>
      <x:c r="O660" s="4" t="n">
        <x:f>IF('계산 과정'!$L$7,'계산 과정'!$C$49*('계산 과정'!$C$32-D660)+'계산 과정'!$D$49*('계산 과정'!$D$32-E660)+'계산 과정'!$E$49*'계산 과정'!$E$32,"")</x:f>
        <x:v>20.584119697772223</x:v>
      </x:c>
      <x:c r="P660" s="4" t="n">
        <x:f>IF(AND('계산 과정'!$L$7,O660&lt;&gt;0),('계산 과정'!$L$23-'계산 과정'!$C$49*D660-'계산 과정'!$D$49*E660)/O660,"")</x:f>
        <x:v>20.432455984177505</x:v>
      </x:c>
      <x:c r="Q660" s="4" t="str">
        <x:f>IF(AND(ISNUMBER(P660),P660&gt;1E-9,P660&lt;1-1E-9),'계산 과정'!$C$47*(D660-'계산 과정'!$C$50+P660*('계산 과정'!$C$32-D660))+'계산 과정'!$D$47*(E660-'계산 과정'!$D$50+P660*('계산 과정'!$D$32-E660))+'계산 과정'!$E$47*(0-'계산 과정'!$E$50+P660*('계산 과정'!$E$32-0)),"")</x:f>
      </x:c>
      <x:c r="R660" s="4" t="str">
        <x:f>IF(AND(ISNUMBER(P660),P660&gt;1E-9,P660&lt;1-1E-9),'계산 과정'!$C$48*(D660-'계산 과정'!$C$50+P660*('계산 과정'!$C$32-D660))+'계산 과정'!$D$48*(E660-'계산 과정'!$D$50+P660*('계산 과정'!$D$32-E660))+'계산 과정'!$E$48*(0-'계산 과정'!$E$50+P660*('계산 과정'!$E$32-0)),"")</x:f>
      </x:c>
      <x:c r="S660" s="17" t="n">
        <x:f>IF('계산 과정'!$C$78,IF(AND(ISNUMBER(Q660),ISNUMBER(R660),ABS(Q660-'계산 과정'!$C$88)&lt;='계산 과정'!$D$23/2,ABS(R660-'계산 과정'!$C$89)&lt;='계산 과정'!$D$24/2),1,0),"")</x:f>
        <x:v>0</x:v>
      </x:c>
      <x:c r="T660" s="4"/>
      <x:c r="U660" s="4"/>
      <x:c r="V660" s="4"/>
      <x:c r="W660" s="4"/>
      <x:c r="X660" s="4"/>
      <x:c r="Y660" s="4"/>
      <x:c r="Z660" s="4"/>
    </x:row>
    <x:row r="661" ht="23" customHeight="1">
      <x:c r="A661" s="17" t="n">
        <x:f>ROW()-6</x:f>
        <x:v>655</x:v>
      </x:c>
      <x:c r="B661" s="4" t="n">
        <x:f>IF('계산 과정'!$L$5,'계산 과정'!$L$11*SQRT((A661+0.5)/'계산 과정'!$L$30),"")</x:f>
        <x:v>84.86187651671096</x:v>
      </x:c>
      <x:c r="C661" s="4" t="n">
        <x:f>A661*PI()*(3-SQRT(5))</x:f>
        <x:v>1571.9759154722676</x:v>
      </x:c>
      <x:c r="D661" s="4" t="n">
        <x:f>IF('계산 과정'!$L$5,B661*COS(C661),"")</x:f>
        <x:v>32.35826660911666</x:v>
      </x:c>
      <x:c r="E661" s="4" t="n">
        <x:f>IF('계산 과정'!$L$5,B661*SIN(C661),"")</x:f>
        <x:v>78.45049820103647</x:v>
      </x:c>
      <x:c r="F661" s="4" t="n">
        <x:f>IF('계산 과정'!$L$7,'계산 과정'!$L$22+'계산 과정'!$C$49*D661+'계산 과정'!$D$49*E661,"")</x:f>
        <x:v>627.1192502532514</x:v>
      </x:c>
      <x:c r="G661" s="4" t="n">
        <x:f>IF('계산 과정'!$L$7,IF(ABS(F661)&gt;=1E-12*MAX(1,SQRT((D661-'계산 과정'!$C$33)^2+(E661-'계산 과정'!$D$33)^2+'계산 과정'!$E$33^2)),('계산 과정'!$L$23-'계산 과정'!$C$49*D661-'계산 과정'!$D$49*E661)/F661,""),"")</x:f>
        <x:v>0.6743227058904275</x:v>
      </x:c>
      <x:c r="H661" s="4" t="n">
        <x:f>IF(AND(ISNUMBER(G661),G661&gt;0),('계산 과정'!$D$56+'계산 과정'!$D$57*D661+'계산 과정'!$D$58*E661)/F661,"")</x:f>
        <x:v>38.30975882877776</x:v>
      </x:c>
      <x:c r="I661" s="4" t="n">
        <x:f>IF(AND(ISNUMBER(G661),G661&gt;0),('계산 과정'!$E$56+'계산 과정'!$E$57*D661+'계산 과정'!$E$58*E661)/F661,"")</x:f>
        <x:v>131.35145042641147</x:v>
      </x:c>
      <x:c r="J661" s="4" t="n">
        <x:f>IF('계산 과정'!$L$5,'계산 과정'!$D$6+'계산 과정'!$C$35*D661+'계산 과정'!$D$35*E661,"")</x:f>
        <x:v>627.1192502532514</x:v>
      </x:c>
      <x:c r="K661" s="4" t="n">
        <x:f>IF(AND('계산 과정'!$L$6,J661&gt;0),'계산 과정'!$D$10*('계산 과정'!$C$38*(D661-'계산 과정'!$C$32)+'계산 과정'!$D$38*(E661-'계산 과정'!$D$32)-'계산 과정'!$E$38*'계산 과정'!$E$32)/J661,"")</x:f>
        <x:v>0.2918838767906885</x:v>
      </x:c>
      <x:c r="L661" s="4" t="n">
        <x:f>IF(AND('계산 과정'!$L$6,J661&gt;0),'계산 과정'!$D$10*('계산 과정'!$C$39*(D661-'계산 과정'!$C$32)+'계산 과정'!$D$39*(E661-'계산 과정'!$D$32)-'계산 과정'!$E$39*'계산 과정'!$E$32)/J661,"")</x:f>
        <x:v>1.0007729556298017</x:v>
      </x:c>
      <x:c r="M661" s="17" t="n">
        <x:f>IF('계산 과정'!$L$6,IF(J661&lt;=0,0,IF(AND(ABS(K661)&lt;='계산 과정'!$D$11/2,ABS(L661)&lt;='계산 과정'!$D$12/2),1,0)),"")</x:f>
        <x:v>1</x:v>
      </x:c>
      <x:c r="N661" s="17" t="n">
        <x:f>IF('계산 과정'!$C$78,IF(AND(ISNUMBER(H661),ISNUMBER(I661),ABS(H661-'계산 과정'!$C$88)&lt;='계산 과정'!$D$23/2,ABS(I661-'계산 과정'!$C$89)&lt;='계산 과정'!$D$24/2),1,0),"")</x:f>
        <x:v>1</x:v>
      </x:c>
      <x:c r="O661" s="4" t="n">
        <x:f>IF('계산 과정'!$L$7,'계산 과정'!$C$49*('계산 과정'!$C$32-D661)+'계산 과정'!$D$49*('계산 과정'!$D$32-E661)+'계산 과정'!$E$49*'계산 과정'!$E$32,"")</x:f>
        <x:v>22.880749746748734</x:v>
      </x:c>
      <x:c r="P661" s="4" t="n">
        <x:f>IF(AND('계산 과정'!$L$7,O661&lt;&gt;0),('계산 과정'!$L$23-'계산 과정'!$C$49*D661-'계산 과정'!$D$49*E661)/O661,"")</x:f>
        <x:v>18.481944622764747</x:v>
      </x:c>
      <x:c r="Q661" s="4" t="str">
        <x:f>IF(AND(ISNUMBER(P661),P661&gt;1E-9,P661&lt;1-1E-9),'계산 과정'!$C$47*(D661-'계산 과정'!$C$50+P661*('계산 과정'!$C$32-D661))+'계산 과정'!$D$47*(E661-'계산 과정'!$D$50+P661*('계산 과정'!$D$32-E661))+'계산 과정'!$E$47*(0-'계산 과정'!$E$50+P661*('계산 과정'!$E$32-0)),"")</x:f>
      </x:c>
      <x:c r="R661" s="4" t="str">
        <x:f>IF(AND(ISNUMBER(P661),P661&gt;1E-9,P661&lt;1-1E-9),'계산 과정'!$C$48*(D661-'계산 과정'!$C$50+P661*('계산 과정'!$C$32-D661))+'계산 과정'!$D$48*(E661-'계산 과정'!$D$50+P661*('계산 과정'!$D$32-E661))+'계산 과정'!$E$48*(0-'계산 과정'!$E$50+P661*('계산 과정'!$E$32-0)),"")</x:f>
      </x:c>
      <x:c r="S661" s="17" t="n">
        <x:f>IF('계산 과정'!$C$78,IF(AND(ISNUMBER(Q661),ISNUMBER(R661),ABS(Q661-'계산 과정'!$C$88)&lt;='계산 과정'!$D$23/2,ABS(R661-'계산 과정'!$C$89)&lt;='계산 과정'!$D$24/2),1,0),"")</x:f>
        <x:v>0</x:v>
      </x:c>
      <x:c r="T661" s="4"/>
      <x:c r="U661" s="4"/>
      <x:c r="V661" s="4"/>
      <x:c r="W661" s="4"/>
      <x:c r="X661" s="4"/>
      <x:c r="Y661" s="4"/>
      <x:c r="Z661" s="4"/>
    </x:row>
    <x:row r="662" ht="23" customHeight="1">
      <x:c r="A662" s="17" t="n">
        <x:f>ROW()-6</x:f>
        <x:v>656</x:v>
      </x:c>
      <x:c r="B662" s="4" t="n">
        <x:f>IF('계산 과정'!$L$5,'계산 과정'!$L$11*SQRT((A662+0.5)/'계산 과정'!$L$30),"")</x:f>
        <x:v>84.92658249371924</x:v>
      </x:c>
      <x:c r="C662" s="4" t="n">
        <x:f>A662*PI()*(3-SQRT(5))</x:f>
        <x:v>1574.3758787019963</x:v>
      </x:c>
      <x:c r="D662" s="4" t="n">
        <x:f>IF('계산 과정'!$L$5,B662*COS(C662),"")</x:f>
        <x:v>-76.91112782394462</x:v>
      </x:c>
      <x:c r="E662" s="4" t="n">
        <x:f>IF('계산 과정'!$L$5,B662*SIN(C662),"")</x:f>
        <x:v>-36.01670211042858</x:v>
      </x:c>
      <x:c r="F662" s="4" t="n">
        <x:f>IF('계산 과정'!$L$7,'계산 과정'!$L$22+'계산 과정'!$C$49*D662+'계산 과정'!$D$49*E662,"")</x:f>
        <x:v>704.3843800330166</x:v>
      </x:c>
      <x:c r="G662" s="4" t="n">
        <x:f>IF('계산 과정'!$L$7,IF(ABS(F662)&gt;=1E-12*MAX(1,SQRT((D662-'계산 과정'!$C$33)^2+(E662-'계산 과정'!$D$33)^2+'계산 과정'!$E$33^2)),('계산 과정'!$L$23-'계산 과정'!$C$49*D662-'계산 과정'!$D$49*E662)/F662,""),"")</x:f>
        <x:v>0.49066337892214956</x:v>
      </x:c>
      <x:c r="H662" s="4" t="n">
        <x:f>IF(AND(ISNUMBER(G662),G662&gt;0),('계산 과정'!$D$56+'계산 과정'!$D$57*D662+'계산 과정'!$D$58*E662)/F662,"")</x:f>
        <x:v>-81.06880370060294</x:v>
      </x:c>
      <x:c r="I662" s="4" t="n">
        <x:f>IF(AND(ISNUMBER(G662),G662&gt;0),('계산 과정'!$E$56+'계산 과정'!$E$57*D662+'계산 과정'!$E$58*E662)/F662,"")</x:f>
        <x:v>-53.68877886556399</x:v>
      </x:c>
      <x:c r="J662" s="4" t="n">
        <x:f>IF('계산 과정'!$L$5,'계산 과정'!$D$6+'계산 과정'!$C$35*D662+'계산 과정'!$D$35*E662,"")</x:f>
        <x:v>704.3843800330166</x:v>
      </x:c>
      <x:c r="K662" s="4" t="n">
        <x:f>IF(AND('계산 과정'!$L$6,J662&gt;0),'계산 과정'!$D$10*('계산 과정'!$C$38*(D662-'계산 과정'!$C$32)+'계산 과정'!$D$38*(E662-'계산 과정'!$D$32)-'계산 과정'!$E$38*'계산 과정'!$E$32)/J662,"")</x:f>
        <x:v>-0.6176670758141168</x:v>
      </x:c>
      <x:c r="L662" s="4" t="n">
        <x:f>IF(AND('계산 과정'!$L$6,J662&gt;0),'계산 과정'!$D$10*('계산 과정'!$C$39*(D662-'계산 과정'!$C$32)+'계산 과정'!$D$39*(E662-'계산 과정'!$D$32)-'계산 과정'!$E$39*'계산 과정'!$E$32)/J662,"")</x:f>
        <x:v>-0.40905736278524946</x:v>
      </x:c>
      <x:c r="M662" s="17" t="n">
        <x:f>IF('계산 과정'!$L$6,IF(J662&lt;=0,0,IF(AND(ABS(K662)&lt;='계산 과정'!$D$11/2,ABS(L662)&lt;='계산 과정'!$D$12/2),1,0)),"")</x:f>
        <x:v>1</x:v>
      </x:c>
      <x:c r="N662" s="17" t="n">
        <x:f>IF('계산 과정'!$C$78,IF(AND(ISNUMBER(H662),ISNUMBER(I662),ABS(H662-'계산 과정'!$C$88)&lt;='계산 과정'!$D$23/2,ABS(I662-'계산 과정'!$C$89)&lt;='계산 과정'!$D$24/2),1,0),"")</x:f>
        <x:v>1</x:v>
      </x:c>
      <x:c r="O662" s="4" t="n">
        <x:f>IF('계산 과정'!$L$7,'계산 과정'!$C$49*('계산 과정'!$C$32-D662)+'계산 과정'!$D$49*('계산 과정'!$D$32-E662)+'계산 과정'!$E$49*'계산 과정'!$E$32,"")</x:f>
        <x:v>-54.3843800330165</x:v>
      </x:c>
      <x:c r="P662" s="4" t="n">
        <x:f>IF(AND('계산 과정'!$L$7,O662&lt;&gt;0),('계산 과정'!$L$23-'계산 과정'!$C$49*D662-'계산 과정'!$D$49*E662)/O662,"")</x:f>
        <x:v>-6.355053045693667</x:v>
      </x:c>
      <x:c r="Q662" s="4" t="str">
        <x:f>IF(AND(ISNUMBER(P662),P662&gt;1E-9,P662&lt;1-1E-9),'계산 과정'!$C$47*(D662-'계산 과정'!$C$50+P662*('계산 과정'!$C$32-D662))+'계산 과정'!$D$47*(E662-'계산 과정'!$D$50+P662*('계산 과정'!$D$32-E662))+'계산 과정'!$E$47*(0-'계산 과정'!$E$50+P662*('계산 과정'!$E$32-0)),"")</x:f>
      </x:c>
      <x:c r="R662" s="4" t="str">
        <x:f>IF(AND(ISNUMBER(P662),P662&gt;1E-9,P662&lt;1-1E-9),'계산 과정'!$C$48*(D662-'계산 과정'!$C$50+P662*('계산 과정'!$C$32-D662))+'계산 과정'!$D$48*(E662-'계산 과정'!$D$50+P662*('계산 과정'!$D$32-E662))+'계산 과정'!$E$48*(0-'계산 과정'!$E$50+P662*('계산 과정'!$E$32-0)),"")</x:f>
      </x:c>
      <x:c r="S662" s="17" t="n">
        <x:f>IF('계산 과정'!$C$78,IF(AND(ISNUMBER(Q662),ISNUMBER(R662),ABS(Q662-'계산 과정'!$C$88)&lt;='계산 과정'!$D$23/2,ABS(R662-'계산 과정'!$C$89)&lt;='계산 과정'!$D$24/2),1,0),"")</x:f>
        <x:v>0</x:v>
      </x:c>
      <x:c r="T662" s="4"/>
      <x:c r="U662" s="4"/>
      <x:c r="V662" s="4"/>
      <x:c r="W662" s="4"/>
      <x:c r="X662" s="4"/>
      <x:c r="Y662" s="4"/>
      <x:c r="Z662" s="4"/>
    </x:row>
    <x:row r="663" ht="23" customHeight="1">
      <x:c r="A663" s="17" t="n">
        <x:f>ROW()-6</x:f>
        <x:v>657</x:v>
      </x:c>
      <x:c r="B663" s="4" t="n">
        <x:f>IF('계산 과정'!$L$5,'계산 과정'!$L$11*SQRT((A663+0.5)/'계산 과정'!$L$30),"")</x:f>
        <x:v>84.99123920844724</x:v>
      </x:c>
      <x:c r="C663" s="4" t="n">
        <x:f>A663*PI()*(3-SQRT(5))</x:f>
        <x:v>1576.7758419317252</x:v>
      </x:c>
      <x:c r="D663" s="4" t="n">
        <x:f>IF('계산 과정'!$L$5,B663*COS(C663),"")</x:f>
        <x:v>81.10250311788833</x:v>
      </x:c>
      <x:c r="E663" s="4" t="n">
        <x:f>IF('계산 과정'!$L$5,B663*SIN(C663),"")</x:f>
        <x:v>-25.414459077470326</x:v>
      </x:c>
      <x:c r="F663" s="4" t="n">
        <x:f>IF('계산 과정'!$L$7,'계산 과정'!$L$22+'계산 과정'!$C$49*D663+'계산 과정'!$D$49*E663,"")</x:f>
        <x:v>592.6518700741381</x:v>
      </x:c>
      <x:c r="G663" s="4" t="n">
        <x:f>IF('계산 과정'!$L$7,IF(ABS(F663)&gt;=1E-12*MAX(1,SQRT((D663-'계산 과정'!$C$33)^2+(E663-'계산 과정'!$D$33)^2+'계산 과정'!$E$33^2)),('계산 과정'!$L$23-'계산 과정'!$C$49*D663-'계산 과정'!$D$49*E663)/F663,""),"")</x:f>
        <x:v>0.7716977757425278</x:v>
      </x:c>
      <x:c r="H663" s="4" t="n">
        <x:f>IF(AND(ISNUMBER(G663),G663&gt;0),('계산 과정'!$D$56+'계산 과정'!$D$57*D663+'계산 과정'!$D$58*E663)/F663,"")</x:f>
        <x:v>101.60355423264303</x:v>
      </x:c>
      <x:c r="I663" s="4" t="n">
        <x:f>IF(AND(ISNUMBER(G663),G663&gt;0),('계산 과정'!$E$56+'계산 과정'!$E$57*D663+'계산 과정'!$E$58*E663)/F663,"")</x:f>
        <x:v>-45.02674061925367</x:v>
      </x:c>
      <x:c r="J663" s="4" t="n">
        <x:f>IF('계산 과정'!$L$5,'계산 과정'!$D$6+'계산 과정'!$C$35*D663+'계산 과정'!$D$35*E663,"")</x:f>
        <x:v>592.6518700741381</x:v>
      </x:c>
      <x:c r="K663" s="4" t="n">
        <x:f>IF(AND('계산 과정'!$L$6,J663&gt;0),'계산 과정'!$D$10*('계산 과정'!$C$38*(D663-'계산 과정'!$C$32)+'계산 과정'!$D$38*(E663-'계산 과정'!$D$32)-'계산 과정'!$E$38*'계산 과정'!$E$32)/J663,"")</x:f>
        <x:v>0.774122317962995</x:v>
      </x:c>
      <x:c r="L663" s="4" t="n">
        <x:f>IF(AND('계산 과정'!$L$6,J663&gt;0),'계산 과정'!$D$10*('계산 과정'!$C$39*(D663-'계산 과정'!$C$32)+'계산 과정'!$D$39*(E663-'계산 과정'!$D$32)-'계산 과정'!$E$39*'계산 과정'!$E$32)/J663,"")</x:f>
        <x:v>-0.34306088090859943</x:v>
      </x:c>
      <x:c r="M663" s="17" t="n">
        <x:f>IF('계산 과정'!$L$6,IF(J663&lt;=0,0,IF(AND(ABS(K663)&lt;='계산 과정'!$D$11/2,ABS(L663)&lt;='계산 과정'!$D$12/2),1,0)),"")</x:f>
        <x:v>1</x:v>
      </x:c>
      <x:c r="N663" s="17" t="n">
        <x:f>IF('계산 과정'!$C$78,IF(AND(ISNUMBER(H663),ISNUMBER(I663),ABS(H663-'계산 과정'!$C$88)&lt;='계산 과정'!$D$23/2,ABS(I663-'계산 과정'!$C$89)&lt;='계산 과정'!$D$24/2),1,0),"")</x:f>
        <x:v>1</x:v>
      </x:c>
      <x:c r="O663" s="4" t="n">
        <x:f>IF('계산 과정'!$L$7,'계산 과정'!$C$49*('계산 과정'!$C$32-D663)+'계산 과정'!$D$49*('계산 과정'!$D$32-E663)+'계산 과정'!$E$49*'계산 과정'!$E$32,"")</x:f>
        <x:v>57.348129925862054</x:v>
      </x:c>
      <x:c r="P663" s="4" t="n">
        <x:f>IF(AND('계산 과정'!$L$7,O663&lt;&gt;0),('계산 과정'!$L$23-'계산 과정'!$C$49*D663-'계산 과정'!$D$49*E663)/O663,"")</x:f>
        <x:v>7.974944091762153</x:v>
      </x:c>
      <x:c r="Q663" s="4" t="str">
        <x:f>IF(AND(ISNUMBER(P663),P663&gt;1E-9,P663&lt;1-1E-9),'계산 과정'!$C$47*(D663-'계산 과정'!$C$50+P663*('계산 과정'!$C$32-D663))+'계산 과정'!$D$47*(E663-'계산 과정'!$D$50+P663*('계산 과정'!$D$32-E663))+'계산 과정'!$E$47*(0-'계산 과정'!$E$50+P663*('계산 과정'!$E$32-0)),"")</x:f>
      </x:c>
      <x:c r="R663" s="4" t="str">
        <x:f>IF(AND(ISNUMBER(P663),P663&gt;1E-9,P663&lt;1-1E-9),'계산 과정'!$C$48*(D663-'계산 과정'!$C$50+P663*('계산 과정'!$C$32-D663))+'계산 과정'!$D$48*(E663-'계산 과정'!$D$50+P663*('계산 과정'!$D$32-E663))+'계산 과정'!$E$48*(0-'계산 과정'!$E$50+P663*('계산 과정'!$E$32-0)),"")</x:f>
      </x:c>
      <x:c r="S663" s="17" t="n">
        <x:f>IF('계산 과정'!$C$78,IF(AND(ISNUMBER(Q663),ISNUMBER(R663),ABS(Q663-'계산 과정'!$C$88)&lt;='계산 과정'!$D$23/2,ABS(R663-'계산 과정'!$C$89)&lt;='계산 과정'!$D$24/2),1,0),"")</x:f>
        <x:v>0</x:v>
      </x:c>
      <x:c r="T663" s="4"/>
      <x:c r="U663" s="4"/>
      <x:c r="V663" s="4"/>
      <x:c r="W663" s="4"/>
      <x:c r="X663" s="4"/>
      <x:c r="Y663" s="4"/>
      <x:c r="Z663" s="4"/>
    </x:row>
    <x:row r="664" ht="23" customHeight="1">
      <x:c r="A664" s="17" t="n">
        <x:f>ROW()-6</x:f>
        <x:v>658</x:v>
      </x:c>
      <x:c r="B664" s="4" t="n">
        <x:f>IF('계산 과정'!$L$5,'계산 과정'!$L$11*SQRT((A664+0.5)/'계산 과정'!$L$30),"")</x:f>
        <x:v>85.05584677323775</x:v>
      </x:c>
      <x:c r="C664" s="4" t="n">
        <x:f>A664*PI()*(3-SQRT(5))</x:f>
        <x:v>1579.1758051614536</x:v>
      </x:c>
      <x:c r="D664" s="4" t="n">
        <x:f>IF('계산 과정'!$L$5,B664*COS(C664),"")</x:f>
        <x:v>-42.66765121086995</x:v>
      </x:c>
      <x:c r="E664" s="4" t="n">
        <x:f>IF('계산 과정'!$L$5,B664*SIN(C664),"")</x:f>
        <x:v>73.57967525383654</x:v>
      </x:c>
      <x:c r="F664" s="4" t="n">
        <x:f>IF('계산 과정'!$L$7,'계산 과정'!$L$22+'계산 과정'!$C$49*D664+'계산 과정'!$D$49*E664,"")</x:f>
        <x:v>680.1705855085086</x:v>
      </x:c>
      <x:c r="G664" s="4" t="n">
        <x:f>IF('계산 과정'!$L$7,IF(ABS(F664)&gt;=1E-12*MAX(1,SQRT((D664-'계산 과정'!$C$33)^2+(E664-'계산 과정'!$D$33)^2+'계산 과정'!$E$33^2)),('계산 과정'!$L$23-'계산 과정'!$C$49*D664-'계산 과정'!$D$49*E664)/F664,""),"")</x:f>
        <x:v>0.5437303852459304</x:v>
      </x:c>
      <x:c r="H664" s="4" t="n">
        <x:f>IF(AND(ISNUMBER(G664),G664&gt;0),('계산 과정'!$D$56+'계산 과정'!$D$57*D664+'계산 과정'!$D$58*E664)/F664,"")</x:f>
        <x:v>-46.575249590145305</x:v>
      </x:c>
      <x:c r="I664" s="4" t="n">
        <x:f>IF(AND(ISNUMBER(G664),G664&gt;0),('계산 과정'!$E$56+'계산 과정'!$E$57*D664+'계산 과정'!$E$58*E664)/F664,"")</x:f>
        <x:v>113.58718042587554</x:v>
      </x:c>
      <x:c r="J664" s="4" t="n">
        <x:f>IF('계산 과정'!$L$5,'계산 과정'!$D$6+'계산 과정'!$C$35*D664+'계산 과정'!$D$35*E664,"")</x:f>
        <x:v>680.1705855085086</x:v>
      </x:c>
      <x:c r="K664" s="4" t="n">
        <x:f>IF(AND('계산 과정'!$L$6,J664&gt;0),'계산 과정'!$D$10*('계산 과정'!$C$38*(D664-'계산 과정'!$C$32)+'계산 과정'!$D$38*(E664-'계산 과정'!$D$32)-'계산 과정'!$E$38*'계산 과정'!$E$32)/J664,"")</x:f>
        <x:v>-0.3548590444963445</x:v>
      </x:c>
      <x:c r="L664" s="4" t="n">
        <x:f>IF(AND('계산 과정'!$L$6,J664&gt;0),'계산 과정'!$D$10*('계산 과정'!$C$39*(D664-'계산 과정'!$C$32)+'계산 과정'!$D$39*(E664-'계산 과정'!$D$32)-'계산 과정'!$E$39*'계산 과정'!$E$32)/J664,"")</x:f>
        <x:v>0.8654261365780993</x:v>
      </x:c>
      <x:c r="M664" s="17" t="n">
        <x:f>IF('계산 과정'!$L$6,IF(J664&lt;=0,0,IF(AND(ABS(K664)&lt;='계산 과정'!$D$11/2,ABS(L664)&lt;='계산 과정'!$D$12/2),1,0)),"")</x:f>
        <x:v>1</x:v>
      </x:c>
      <x:c r="N664" s="17" t="n">
        <x:f>IF('계산 과정'!$C$78,IF(AND(ISNUMBER(H664),ISNUMBER(I664),ABS(H664-'계산 과정'!$C$88)&lt;='계산 과정'!$D$23/2,ABS(I664-'계산 과정'!$C$89)&lt;='계산 과정'!$D$24/2),1,0),"")</x:f>
        <x:v>1</x:v>
      </x:c>
      <x:c r="O664" s="4" t="n">
        <x:f>IF('계산 과정'!$L$7,'계산 과정'!$C$49*('계산 과정'!$C$32-D664)+'계산 과정'!$D$49*('계산 과정'!$D$32-E664)+'계산 과정'!$E$49*'계산 과정'!$E$32,"")</x:f>
        <x:v>-30.170585508508452</x:v>
      </x:c>
      <x:c r="P664" s="4" t="n">
        <x:f>IF(AND('계산 과정'!$L$7,O664&lt;&gt;0),('계산 과정'!$L$23-'계산 과정'!$C$49*D664-'계산 과정'!$D$49*E664)/O664,"")</x:f>
        <x:v>-12.2579462167612</x:v>
      </x:c>
      <x:c r="Q664" s="4" t="str">
        <x:f>IF(AND(ISNUMBER(P664),P664&gt;1E-9,P664&lt;1-1E-9),'계산 과정'!$C$47*(D664-'계산 과정'!$C$50+P664*('계산 과정'!$C$32-D664))+'계산 과정'!$D$47*(E664-'계산 과정'!$D$50+P664*('계산 과정'!$D$32-E664))+'계산 과정'!$E$47*(0-'계산 과정'!$E$50+P664*('계산 과정'!$E$32-0)),"")</x:f>
      </x:c>
      <x:c r="R664" s="4" t="str">
        <x:f>IF(AND(ISNUMBER(P664),P664&gt;1E-9,P664&lt;1-1E-9),'계산 과정'!$C$48*(D664-'계산 과정'!$C$50+P664*('계산 과정'!$C$32-D664))+'계산 과정'!$D$48*(E664-'계산 과정'!$D$50+P664*('계산 과정'!$D$32-E664))+'계산 과정'!$E$48*(0-'계산 과정'!$E$50+P664*('계산 과정'!$E$32-0)),"")</x:f>
      </x:c>
      <x:c r="S664" s="17" t="n">
        <x:f>IF('계산 과정'!$C$78,IF(AND(ISNUMBER(Q664),ISNUMBER(R664),ABS(Q664-'계산 과정'!$C$88)&lt;='계산 과정'!$D$23/2,ABS(R664-'계산 과정'!$C$89)&lt;='계산 과정'!$D$24/2),1,0),"")</x:f>
        <x:v>0</x:v>
      </x:c>
      <x:c r="T664" s="4"/>
      <x:c r="U664" s="4"/>
      <x:c r="V664" s="4"/>
      <x:c r="W664" s="4"/>
      <x:c r="X664" s="4"/>
      <x:c r="Y664" s="4"/>
      <x:c r="Z664" s="4"/>
    </x:row>
    <x:row r="665" ht="23" customHeight="1">
      <x:c r="A665" s="17" t="n">
        <x:f>ROW()-6</x:f>
        <x:v>659</x:v>
      </x:c>
      <x:c r="B665" s="4" t="n">
        <x:f>IF('계산 과정'!$L$5,'계산 과정'!$L$11*SQRT((A665+0.5)/'계산 과정'!$L$30),"")</x:f>
        <x:v>85.12040530000723</x:v>
      </x:c>
      <x:c r="C665" s="4" t="n">
        <x:f>A665*PI()*(3-SQRT(5))</x:f>
        <x:v>1581.5757683911822</x:v>
      </x:c>
      <x:c r="D665" s="4" t="n">
        <x:f>IF('계산 과정'!$L$5,B665*COS(C665),"")</x:f>
        <x:v>-18.254403213377127</x:v>
      </x:c>
      <x:c r="E665" s="4" t="n">
        <x:f>IF('계산 과정'!$L$5,B665*SIN(C665),"")</x:f>
        <x:v>-83.1400033784035</x:v>
      </x:c>
      <x:c r="F665" s="4" t="n">
        <x:f>IF('계산 과정'!$L$7,'계산 과정'!$L$22+'계산 과정'!$C$49*D665+'계산 과정'!$D$49*E665,"")</x:f>
        <x:v>662.9078122986924</x:v>
      </x:c>
      <x:c r="G665" s="4" t="n">
        <x:f>IF('계산 과정'!$L$7,IF(ABS(F665)&gt;=1E-12*MAX(1,SQRT((D665-'계산 과정'!$C$33)^2+(E665-'계산 과정'!$D$33)^2+'계산 과정'!$E$33^2)),('계산 과정'!$L$23-'계산 과정'!$C$49*D665-'계산 과정'!$D$49*E665)/F665,""),"")</x:f>
        <x:v>0.5839306469462633</x:v>
      </x:c>
      <x:c r="H665" s="4" t="n">
        <x:f>IF(AND(ISNUMBER(G665),G665&gt;0),('계산 과정'!$D$56+'계산 과정'!$D$57*D665+'계산 과정'!$D$58*E665)/F665,"")</x:f>
        <x:v>-20.445079484929018</x:v>
      </x:c>
      <x:c r="I665" s="4" t="n">
        <x:f>IF(AND(ISNUMBER(G665),G665&gt;0),('계산 과정'!$E$56+'계산 과정'!$E$57*D665+'계산 과정'!$E$58*E665)/F665,"")</x:f>
        <x:v>-131.68799933826918</x:v>
      </x:c>
      <x:c r="J665" s="4" t="n">
        <x:f>IF('계산 과정'!$L$5,'계산 과정'!$D$6+'계산 과정'!$C$35*D665+'계산 과정'!$D$35*E665,"")</x:f>
        <x:v>662.9078122986924</x:v>
      </x:c>
      <x:c r="K665" s="4" t="n">
        <x:f>IF(AND('계산 과정'!$L$6,J665&gt;0),'계산 과정'!$D$10*('계산 과정'!$C$38*(D665-'계산 과정'!$C$32)+'계산 과정'!$D$38*(E665-'계산 과정'!$D$32)-'계산 과정'!$E$38*'계산 과정'!$E$32)/J665,"")</x:f>
        <x:v>-0.15577203417088692</x:v>
      </x:c>
      <x:c r="L665" s="4" t="n">
        <x:f>IF(AND('계산 과정'!$L$6,J665&gt;0),'계산 과정'!$D$10*('계산 과정'!$C$39*(D665-'계산 과정'!$C$32)+'계산 과정'!$D$39*(E665-'계산 과정'!$D$32)-'계산 과정'!$E$39*'계산 과정'!$E$32)/J665,"")</x:f>
        <x:v>-1.0033371378153844</x:v>
      </x:c>
      <x:c r="M665" s="17" t="n">
        <x:f>IF('계산 과정'!$L$6,IF(J665&lt;=0,0,IF(AND(ABS(K665)&lt;='계산 과정'!$D$11/2,ABS(L665)&lt;='계산 과정'!$D$12/2),1,0)),"")</x:f>
        <x:v>1</x:v>
      </x:c>
      <x:c r="N665" s="17" t="n">
        <x:f>IF('계산 과정'!$C$78,IF(AND(ISNUMBER(H665),ISNUMBER(I665),ABS(H665-'계산 과정'!$C$88)&lt;='계산 과정'!$D$23/2,ABS(I665-'계산 과정'!$C$89)&lt;='계산 과정'!$D$24/2),1,0),"")</x:f>
        <x:v>1</x:v>
      </x:c>
      <x:c r="O665" s="4" t="n">
        <x:f>IF('계산 과정'!$L$7,'계산 과정'!$C$49*('계산 과정'!$C$32-D665)+'계산 과정'!$D$49*('계산 과정'!$D$32-E665)+'계산 과정'!$E$49*'계산 과정'!$E$32,"")</x:f>
        <x:v>-12.907812298692363</x:v>
      </x:c>
      <x:c r="P665" s="4" t="n">
        <x:f>IF(AND('계산 과정'!$L$7,O665&lt;&gt;0),('계산 과정'!$L$23-'계산 과정'!$C$49*D665-'계산 과정'!$D$49*E665)/O665,"")</x:f>
        <x:v>-29.98898486775503</x:v>
      </x:c>
      <x:c r="Q665" s="4" t="str">
        <x:f>IF(AND(ISNUMBER(P665),P665&gt;1E-9,P665&lt;1-1E-9),'계산 과정'!$C$47*(D665-'계산 과정'!$C$50+P665*('계산 과정'!$C$32-D665))+'계산 과정'!$D$47*(E665-'계산 과정'!$D$50+P665*('계산 과정'!$D$32-E665))+'계산 과정'!$E$47*(0-'계산 과정'!$E$50+P665*('계산 과정'!$E$32-0)),"")</x:f>
      </x:c>
      <x:c r="R665" s="4" t="str">
        <x:f>IF(AND(ISNUMBER(P665),P665&gt;1E-9,P665&lt;1-1E-9),'계산 과정'!$C$48*(D665-'계산 과정'!$C$50+P665*('계산 과정'!$C$32-D665))+'계산 과정'!$D$48*(E665-'계산 과정'!$D$50+P665*('계산 과정'!$D$32-E665))+'계산 과정'!$E$48*(0-'계산 과정'!$E$50+P665*('계산 과정'!$E$32-0)),"")</x:f>
      </x:c>
      <x:c r="S665" s="17" t="n">
        <x:f>IF('계산 과정'!$C$78,IF(AND(ISNUMBER(Q665),ISNUMBER(R665),ABS(Q665-'계산 과정'!$C$88)&lt;='계산 과정'!$D$23/2,ABS(R665-'계산 과정'!$C$89)&lt;='계산 과정'!$D$24/2),1,0),"")</x:f>
        <x:v>0</x:v>
      </x:c>
      <x:c r="T665" s="4"/>
      <x:c r="U665" s="4"/>
      <x:c r="V665" s="4"/>
      <x:c r="W665" s="4"/>
      <x:c r="X665" s="4"/>
      <x:c r="Y665" s="4"/>
      <x:c r="Z665" s="4"/>
    </x:row>
    <x:row r="666" ht="23" customHeight="1">
      <x:c r="A666" s="17" t="n">
        <x:f>ROW()-6</x:f>
        <x:v>660</x:v>
      </x:c>
      <x:c r="B666" s="4" t="n">
        <x:f>IF('계산 과정'!$L$5,'계산 과정'!$L$11*SQRT((A666+0.5)/'계산 과정'!$L$30),"")</x:f>
        <x:v>85.18491490024803</x:v>
      </x:c>
      <x:c r="C666" s="4" t="n">
        <x:f>A666*PI()*(3-SQRT(5))</x:f>
        <x:v>1583.9757316209107</x:v>
      </x:c>
      <x:c r="D666" s="4" t="n">
        <x:f>IF('계산 과정'!$L$5,B666*COS(C666),"")</x:f>
        <x:v>69.67325695651598</x:v>
      </x:c>
      <x:c r="E666" s="4" t="n">
        <x:f>IF('계산 과정'!$L$5,B666*SIN(C666),"")</x:f>
        <x:v>49.011294531299576</x:v>
      </x:c>
      <x:c r="F666" s="4" t="n">
        <x:f>IF('계산 과정'!$L$7,'계산 과정'!$L$22+'계산 과정'!$C$49*D666+'계산 과정'!$D$49*E666,"")</x:f>
        <x:v>600.7335675386947</x:v>
      </x:c>
      <x:c r="G666" s="4" t="n">
        <x:f>IF('계산 과정'!$L$7,IF(ABS(F666)&gt;=1E-12*MAX(1,SQRT((D666-'계산 과정'!$C$33)^2+(E666-'계산 과정'!$D$33)^2+'계산 과정'!$E$33^2)),('계산 과정'!$L$23-'계산 과정'!$C$49*D666-'계산 과정'!$D$49*E666)/F666,""),"")</x:f>
        <x:v>0.7478630406854482</x:v>
      </x:c>
      <x:c r="H666" s="4" t="n">
        <x:f>IF(AND(ISNUMBER(G666),G666&gt;0),('계산 과정'!$D$56+'계산 과정'!$D$57*D666+'계산 과정'!$D$58*E666)/F666,"")</x:f>
        <x:v>86.11097644554117</x:v>
      </x:c>
      <x:c r="I666" s="4" t="n">
        <x:f>IF(AND(ISNUMBER(G666),G666&gt;0),('계산 과정'!$E$56+'계산 과정'!$E$57*D666+'계산 과정'!$E$58*E666)/F666,"")</x:f>
        <x:v>85.66503028740735</x:v>
      </x:c>
      <x:c r="J666" s="4" t="n">
        <x:f>IF('계산 과정'!$L$5,'계산 과정'!$D$6+'계산 과정'!$C$35*D666+'계산 과정'!$D$35*E666,"")</x:f>
        <x:v>600.7335675386947</x:v>
      </x:c>
      <x:c r="K666" s="4" t="n">
        <x:f>IF(AND('계산 과정'!$L$6,J666&gt;0),'계산 과정'!$D$10*('계산 과정'!$C$38*(D666-'계산 과정'!$C$32)+'계산 과정'!$D$38*(E666-'계산 과정'!$D$32)-'계산 과정'!$E$38*'계산 과정'!$E$32)/J666,"")</x:f>
        <x:v>0.6560836300612662</x:v>
      </x:c>
      <x:c r="L666" s="4" t="n">
        <x:f>IF(AND('계산 과정'!$L$6,J666&gt;0),'계산 과정'!$D$10*('계산 과정'!$C$39*(D666-'계산 과정'!$C$32)+'계산 과정'!$D$39*(E666-'계산 과정'!$D$32)-'계산 과정'!$E$39*'계산 과정'!$E$32)/J666,"")</x:f>
        <x:v>0.6526859450469131</x:v>
      </x:c>
      <x:c r="M666" s="17" t="n">
        <x:f>IF('계산 과정'!$L$6,IF(J666&lt;=0,0,IF(AND(ABS(K666)&lt;='계산 과정'!$D$11/2,ABS(L666)&lt;='계산 과정'!$D$12/2),1,0)),"")</x:f>
        <x:v>1</x:v>
      </x:c>
      <x:c r="N666" s="17" t="n">
        <x:f>IF('계산 과정'!$C$78,IF(AND(ISNUMBER(H666),ISNUMBER(I666),ABS(H666-'계산 과정'!$C$88)&lt;='계산 과정'!$D$23/2,ABS(I666-'계산 과정'!$C$89)&lt;='계산 과정'!$D$24/2),1,0),"")</x:f>
        <x:v>1</x:v>
      </x:c>
      <x:c r="O666" s="4" t="n">
        <x:f>IF('계산 과정'!$L$7,'계산 과정'!$C$49*('계산 과정'!$C$32-D666)+'계산 과정'!$D$49*('계산 과정'!$D$32-E666)+'계산 과정'!$E$49*'계산 과정'!$E$32,"")</x:f>
        <x:v>49.26643246130533</x:v>
      </x:c>
      <x:c r="P666" s="4" t="n">
        <x:f>IF(AND('계산 과정'!$L$7,O666&lt;&gt;0),('계산 과정'!$L$23-'계산 과정'!$C$49*D666-'계산 과정'!$D$49*E666)/O666,"")</x:f>
        <x:v>9.11911843452774</x:v>
      </x:c>
      <x:c r="Q666" s="4" t="str">
        <x:f>IF(AND(ISNUMBER(P666),P666&gt;1E-9,P666&lt;1-1E-9),'계산 과정'!$C$47*(D666-'계산 과정'!$C$50+P666*('계산 과정'!$C$32-D666))+'계산 과정'!$D$47*(E666-'계산 과정'!$D$50+P666*('계산 과정'!$D$32-E666))+'계산 과정'!$E$47*(0-'계산 과정'!$E$50+P666*('계산 과정'!$E$32-0)),"")</x:f>
      </x:c>
      <x:c r="R666" s="4" t="str">
        <x:f>IF(AND(ISNUMBER(P666),P666&gt;1E-9,P666&lt;1-1E-9),'계산 과정'!$C$48*(D666-'계산 과정'!$C$50+P666*('계산 과정'!$C$32-D666))+'계산 과정'!$D$48*(E666-'계산 과정'!$D$50+P666*('계산 과정'!$D$32-E666))+'계산 과정'!$E$48*(0-'계산 과정'!$E$50+P666*('계산 과정'!$E$32-0)),"")</x:f>
      </x:c>
      <x:c r="S666" s="17" t="n">
        <x:f>IF('계산 과정'!$C$78,IF(AND(ISNUMBER(Q666),ISNUMBER(R666),ABS(Q666-'계산 과정'!$C$88)&lt;='계산 과정'!$D$23/2,ABS(R666-'계산 과정'!$C$89)&lt;='계산 과정'!$D$24/2),1,0),"")</x:f>
        <x:v>0</x:v>
      </x:c>
      <x:c r="T666" s="4"/>
      <x:c r="U666" s="4"/>
      <x:c r="V666" s="4"/>
      <x:c r="W666" s="4"/>
      <x:c r="X666" s="4"/>
      <x:c r="Y666" s="4"/>
      <x:c r="Z666" s="4"/>
    </x:row>
    <x:row r="667" ht="23" customHeight="1">
      <x:c r="A667" s="17" t="n">
        <x:f>ROW()-6</x:f>
        <x:v>661</x:v>
      </x:c>
      <x:c r="B667" s="4" t="n">
        <x:f>IF('계산 과정'!$L$5,'계산 과정'!$L$11*SQRT((A667+0.5)/'계산 과정'!$L$30),"")</x:f>
        <x:v>85.24937568503069</x:v>
      </x:c>
      <x:c r="C667" s="4" t="n">
        <x:f>A667*PI()*(3-SQRT(5))</x:f>
        <x:v>1586.3756948506395</x:v>
      </x:c>
      <x:c r="D667" s="4" t="n">
        <x:f>IF('계산 과정'!$L$5,B667*COS(C667),"")</x:f>
        <x:v>-84.54547361278918</x:v>
      </x:c>
      <x:c r="E667" s="4" t="n">
        <x:f>IF('계산 과정'!$L$5,B667*SIN(C667),"")</x:f>
        <x:v>10.932472102716321</x:v>
      </x:c>
      <x:c r="F667" s="4" t="n">
        <x:f>IF('계산 과정'!$L$7,'계산 과정'!$L$22+'계산 과정'!$C$49*D667+'계산 과정'!$D$49*E667,"")</x:f>
        <x:v>709.7826777102315</x:v>
      </x:c>
      <x:c r="G667" s="4" t="n">
        <x:f>IF('계산 과정'!$L$7,IF(ABS(F667)&gt;=1E-12*MAX(1,SQRT((D667-'계산 과정'!$C$33)^2+(E667-'계산 과정'!$D$33)^2+'계산 과정'!$E$33^2)),('계산 과정'!$L$23-'계산 과정'!$C$49*D667-'계산 과정'!$D$49*E667)/F667,""),"")</x:f>
        <x:v>0.47932604299010806</x:v>
      </x:c>
      <x:c r="H667" s="4" t="n">
        <x:f>IF(AND(ISNUMBER(G667),G667&gt;0),('계산 과정'!$D$56+'계산 과정'!$D$57*D667+'계산 과정'!$D$58*E667)/F667,"")</x:f>
        <x:v>-88.4380720564299</x:v>
      </x:c>
      <x:c r="I667" s="4" t="n">
        <x:f>IF(AND(ISNUMBER(G667),G667&gt;0),('계산 과정'!$E$56+'계산 과정'!$E$57*D667+'계산 과정'!$E$58*E667)/F667,"")</x:f>
        <x:v>16.17269069581108</x:v>
      </x:c>
      <x:c r="J667" s="4" t="n">
        <x:f>IF('계산 과정'!$L$5,'계산 과정'!$D$6+'계산 과정'!$C$35*D667+'계산 과정'!$D$35*E667,"")</x:f>
        <x:v>709.7826777102315</x:v>
      </x:c>
      <x:c r="K667" s="4" t="n">
        <x:f>IF(AND('계산 과정'!$L$6,J667&gt;0),'계산 과정'!$D$10*('계산 과정'!$C$38*(D667-'계산 과정'!$C$32)+'계산 과정'!$D$38*(E667-'계산 과정'!$D$32)-'계산 과정'!$E$38*'계산 과정'!$E$32)/J667,"")</x:f>
        <x:v>-0.6738138823347025</x:v>
      </x:c>
      <x:c r="L667" s="4" t="n">
        <x:f>IF(AND('계산 과정'!$L$6,J667&gt;0),'계산 과정'!$D$10*('계산 과정'!$C$39*(D667-'계산 과정'!$C$32)+'계산 과정'!$D$39*(E667-'계산 과정'!$D$32)-'계산 과정'!$E$39*'계산 과정'!$E$32)/J667,"")</x:f>
        <x:v>0.12322050053951301</x:v>
      </x:c>
      <x:c r="M667" s="17" t="n">
        <x:f>IF('계산 과정'!$L$6,IF(J667&lt;=0,0,IF(AND(ABS(K667)&lt;='계산 과정'!$D$11/2,ABS(L667)&lt;='계산 과정'!$D$12/2),1,0)),"")</x:f>
        <x:v>1</x:v>
      </x:c>
      <x:c r="N667" s="17" t="n">
        <x:f>IF('계산 과정'!$C$78,IF(AND(ISNUMBER(H667),ISNUMBER(I667),ABS(H667-'계산 과정'!$C$88)&lt;='계산 과정'!$D$23/2,ABS(I667-'계산 과정'!$C$89)&lt;='계산 과정'!$D$24/2),1,0),"")</x:f>
        <x:v>1</x:v>
      </x:c>
      <x:c r="O667" s="4" t="n">
        <x:f>IF('계산 과정'!$L$7,'계산 과정'!$C$49*('계산 과정'!$C$32-D667)+'계산 과정'!$D$49*('계산 과정'!$D$32-E667)+'계산 과정'!$E$49*'계산 과정'!$E$32,"")</x:f>
        <x:v>-59.78267771023138</x:v>
      </x:c>
      <x:c r="P667" s="4" t="n">
        <x:f>IF(AND('계산 과정'!$L$7,O667&lt;&gt;0),('계산 과정'!$L$23-'계산 과정'!$C$49*D667-'계산 과정'!$D$49*E667)/O667,"")</x:f>
        <x:v>-5.690901366760671</x:v>
      </x:c>
      <x:c r="Q667" s="4" t="str">
        <x:f>IF(AND(ISNUMBER(P667),P667&gt;1E-9,P667&lt;1-1E-9),'계산 과정'!$C$47*(D667-'계산 과정'!$C$50+P667*('계산 과정'!$C$32-D667))+'계산 과정'!$D$47*(E667-'계산 과정'!$D$50+P667*('계산 과정'!$D$32-E667))+'계산 과정'!$E$47*(0-'계산 과정'!$E$50+P667*('계산 과정'!$E$32-0)),"")</x:f>
      </x:c>
      <x:c r="R667" s="4" t="str">
        <x:f>IF(AND(ISNUMBER(P667),P667&gt;1E-9,P667&lt;1-1E-9),'계산 과정'!$C$48*(D667-'계산 과정'!$C$50+P667*('계산 과정'!$C$32-D667))+'계산 과정'!$D$48*(E667-'계산 과정'!$D$50+P667*('계산 과정'!$D$32-E667))+'계산 과정'!$E$48*(0-'계산 과정'!$E$50+P667*('계산 과정'!$E$32-0)),"")</x:f>
      </x:c>
      <x:c r="S667" s="17" t="n">
        <x:f>IF('계산 과정'!$C$78,IF(AND(ISNUMBER(Q667),ISNUMBER(R667),ABS(Q667-'계산 과정'!$C$88)&lt;='계산 과정'!$D$23/2,ABS(R667-'계산 과정'!$C$89)&lt;='계산 과정'!$D$24/2),1,0),"")</x:f>
        <x:v>0</x:v>
      </x:c>
      <x:c r="T667" s="4"/>
      <x:c r="U667" s="4"/>
      <x:c r="V667" s="4"/>
      <x:c r="W667" s="4"/>
      <x:c r="X667" s="4"/>
      <x:c r="Y667" s="4"/>
      <x:c r="Z667" s="4"/>
    </x:row>
    <x:row r="668" ht="23" customHeight="1">
      <x:c r="A668" s="17" t="n">
        <x:f>ROW()-6</x:f>
        <x:v>662</x:v>
      </x:c>
      <x:c r="B668" s="4" t="n">
        <x:f>IF('계산 과정'!$L$5,'계산 과정'!$L$11*SQRT((A668+0.5)/'계산 과정'!$L$30),"")</x:f>
        <x:v>85.31378776500608</x:v>
      </x:c>
      <x:c r="C668" s="4" t="n">
        <x:f>A668*PI()*(3-SQRT(5))</x:f>
        <x:v>1588.7756580803682</x:v>
      </x:c>
      <x:c r="D668" s="4" t="n">
        <x:f>IF('계산 과정'!$L$5,B668*COS(C668),"")</x:f>
        <x:v>54.99794578558957</x:v>
      </x:c>
      <x:c r="E668" s="4" t="n">
        <x:f>IF('계산 과정'!$L$5,B668*SIN(C668),"")</x:f>
        <x:v>-65.22015288373565</x:v>
      </x:c>
      <x:c r="F668" s="4" t="n">
        <x:f>IF('계산 과정'!$L$7,'계산 과정'!$L$22+'계산 과정'!$C$49*D668+'계산 과정'!$D$49*E668,"")</x:f>
        <x:v>611.1105795836795</x:v>
      </x:c>
      <x:c r="G668" s="4" t="n">
        <x:f>IF('계산 과정'!$L$7,IF(ABS(F668)&gt;=1E-12*MAX(1,SQRT((D668-'계산 과정'!$C$33)^2+(E668-'계산 과정'!$D$33)^2+'계산 과정'!$E$33^2)),('계산 과정'!$L$23-'계산 과정'!$C$49*D668-'계산 과정'!$D$49*E668)/F668,""),"")</x:f>
        <x:v>0.7181833126098306</x:v>
      </x:c>
      <x:c r="H668" s="4" t="n">
        <x:f>IF(AND(ISNUMBER(G668),G668&gt;0),('계산 과정'!$D$56+'계산 과정'!$D$57*D668+'계산 과정'!$D$58*E668)/F668,"")</x:f>
        <x:v>66.81915319638982</x:v>
      </x:c>
      <x:c r="I668" s="4" t="n">
        <x:f>IF(AND(ISNUMBER(G668),G668&gt;0),('계산 과정'!$E$56+'계산 과정'!$E$57*D668+'계산 과정'!$E$58*E668)/F668,"")</x:f>
        <x:v>-112.06017833069652</x:v>
      </x:c>
      <x:c r="J668" s="4" t="n">
        <x:f>IF('계산 과정'!$L$5,'계산 과정'!$D$6+'계산 과정'!$C$35*D668+'계산 과정'!$D$35*E668,"")</x:f>
        <x:v>611.1105795836795</x:v>
      </x:c>
      <x:c r="K668" s="4" t="n">
        <x:f>IF(AND('계산 과정'!$L$6,J668&gt;0),'계산 과정'!$D$10*('계산 과정'!$C$38*(D668-'계산 과정'!$C$32)+'계산 과정'!$D$38*(E668-'계산 과정'!$D$32)-'계산 과정'!$E$38*'계산 과정'!$E$32)/J668,"")</x:f>
        <x:v>0.5090983100677328</x:v>
      </x:c>
      <x:c r="L668" s="4" t="n">
        <x:f>IF(AND('계산 과정'!$L$6,J668&gt;0),'계산 과정'!$D$10*('계산 과정'!$C$39*(D668-'계산 과정'!$C$32)+'계산 과정'!$D$39*(E668-'계산 과정'!$D$32)-'계산 과정'!$E$39*'계산 과정'!$E$32)/J668,"")</x:f>
        <x:v>-0.8537918349005449</x:v>
      </x:c>
      <x:c r="M668" s="17" t="n">
        <x:f>IF('계산 과정'!$L$6,IF(J668&lt;=0,0,IF(AND(ABS(K668)&lt;='계산 과정'!$D$11/2,ABS(L668)&lt;='계산 과정'!$D$12/2),1,0)),"")</x:f>
        <x:v>1</x:v>
      </x:c>
      <x:c r="N668" s="17" t="n">
        <x:f>IF('계산 과정'!$C$78,IF(AND(ISNUMBER(H668),ISNUMBER(I668),ABS(H668-'계산 과정'!$C$88)&lt;='계산 과정'!$D$23/2,ABS(I668-'계산 과정'!$C$89)&lt;='계산 과정'!$D$24/2),1,0),"")</x:f>
        <x:v>1</x:v>
      </x:c>
      <x:c r="O668" s="4" t="n">
        <x:f>IF('계산 과정'!$L$7,'계산 과정'!$C$49*('계산 과정'!$C$32-D668)+'계산 과정'!$D$49*('계산 과정'!$D$32-E668)+'계산 과정'!$E$49*'계산 과정'!$E$32,"")</x:f>
        <x:v>38.889420416320604</x:v>
      </x:c>
      <x:c r="P668" s="4" t="n">
        <x:f>IF(AND('계산 과정'!$L$7,O668&lt;&gt;0),('계산 과정'!$L$23-'계산 과정'!$C$49*D668-'계산 과정'!$D$49*E668)/O668,"")</x:f>
        <x:v>11.285573704053792</x:v>
      </x:c>
      <x:c r="Q668" s="4" t="str">
        <x:f>IF(AND(ISNUMBER(P668),P668&gt;1E-9,P668&lt;1-1E-9),'계산 과정'!$C$47*(D668-'계산 과정'!$C$50+P668*('계산 과정'!$C$32-D668))+'계산 과정'!$D$47*(E668-'계산 과정'!$D$50+P668*('계산 과정'!$D$32-E668))+'계산 과정'!$E$47*(0-'계산 과정'!$E$50+P668*('계산 과정'!$E$32-0)),"")</x:f>
      </x:c>
      <x:c r="R668" s="4" t="str">
        <x:f>IF(AND(ISNUMBER(P668),P668&gt;1E-9,P668&lt;1-1E-9),'계산 과정'!$C$48*(D668-'계산 과정'!$C$50+P668*('계산 과정'!$C$32-D668))+'계산 과정'!$D$48*(E668-'계산 과정'!$D$50+P668*('계산 과정'!$D$32-E668))+'계산 과정'!$E$48*(0-'계산 과정'!$E$50+P668*('계산 과정'!$E$32-0)),"")</x:f>
      </x:c>
      <x:c r="S668" s="17" t="n">
        <x:f>IF('계산 과정'!$C$78,IF(AND(ISNUMBER(Q668),ISNUMBER(R668),ABS(Q668-'계산 과정'!$C$88)&lt;='계산 과정'!$D$23/2,ABS(R668-'계산 과정'!$C$89)&lt;='계산 과정'!$D$24/2),1,0),"")</x:f>
        <x:v>0</x:v>
      </x:c>
      <x:c r="T668" s="4"/>
      <x:c r="U668" s="4"/>
      <x:c r="V668" s="4"/>
      <x:c r="W668" s="4"/>
      <x:c r="X668" s="4"/>
      <x:c r="Y668" s="4"/>
      <x:c r="Z668" s="4"/>
    </x:row>
    <x:row r="669" ht="23" customHeight="1">
      <x:c r="A669" s="17" t="n">
        <x:f>ROW()-6</x:f>
        <x:v>663</x:v>
      </x:c>
      <x:c r="B669" s="4" t="n">
        <x:f>IF('계산 과정'!$L$5,'계산 과정'!$L$11*SQRT((A669+0.5)/'계산 과정'!$L$30),"")</x:f>
        <x:v>85.37815125040774</x:v>
      </x:c>
      <x:c r="C669" s="4" t="n">
        <x:f>A669*PI()*(3-SQRT(5))</x:f>
        <x:v>1591.1756213100969</x:v>
      </x:c>
      <x:c r="D669" s="4" t="n">
        <x:f>IF('계산 과정'!$L$5,B669*COS(C669),"")</x:f>
        <x:v>3.504448559093033</x:v>
      </x:c>
      <x:c r="E669" s="4" t="n">
        <x:f>IF('계산 과정'!$L$5,B669*SIN(C669),"")</x:f>
        <x:v>85.30619878551717</x:v>
      </x:c>
      <x:c r="F669" s="4" t="n">
        <x:f>IF('계산 과정'!$L$7,'계산 과정'!$L$22+'계산 과정'!$C$49*D669+'계산 과정'!$D$49*E669,"")</x:f>
        <x:v>647.5219806595459</x:v>
      </x:c>
      <x:c r="G669" s="4" t="n">
        <x:f>IF('계산 과정'!$L$7,IF(ABS(F669)&gt;=1E-12*MAX(1,SQRT((D669-'계산 과정'!$C$33)^2+(E669-'계산 과정'!$D$33)^2+'계산 과정'!$E$33^2)),('계산 과정'!$L$23-'계산 과정'!$C$49*D669-'계산 과정'!$D$49*E669)/F669,""),"")</x:f>
        <x:v>0.6215665743586071</x:v>
      </x:c>
      <x:c r="H669" s="4" t="n">
        <x:f>IF(AND(ISNUMBER(G669),G669&gt;0),('계산 과정'!$D$56+'계산 과정'!$D$57*D669+'계산 과정'!$D$58*E669)/F669,"")</x:f>
        <x:v>4.018273333094431</x:v>
      </x:c>
      <x:c r="I669" s="4" t="n">
        <x:f>IF(AND(ISNUMBER(G669),G669&gt;0),('계산 과정'!$E$56+'계산 과정'!$E$57*D669+'계산 과정'!$E$58*E669)/F669,"")</x:f>
        <x:v>138.32968053618544</x:v>
      </x:c>
      <x:c r="J669" s="4" t="n">
        <x:f>IF('계산 과정'!$L$5,'계산 과정'!$D$6+'계산 과정'!$C$35*D669+'계산 과정'!$D$35*E669,"")</x:f>
        <x:v>647.5219806595459</x:v>
      </x:c>
      <x:c r="K669" s="4" t="n">
        <x:f>IF(AND('계산 과정'!$L$6,J669&gt;0),'계산 과정'!$D$10*('계산 과정'!$C$38*(D669-'계산 과정'!$C$32)+'계산 과정'!$D$38*(E669-'계산 과정'!$D$32)-'계산 과정'!$E$38*'계산 과정'!$E$32)/J669,"")</x:f>
        <x:v>0.030615415871196726</x:v>
      </x:c>
      <x:c r="L669" s="4" t="n">
        <x:f>IF(AND('계산 과정'!$L$6,J669&gt;0),'계산 과정'!$D$10*('계산 과정'!$C$39*(D669-'계산 과정'!$C$32)+'계산 과정'!$D$39*(E669-'계산 과정'!$D$32)-'계산 과정'!$E$39*'계산 과정'!$E$32)/J669,"")</x:f>
        <x:v>1.0539404231328415</x:v>
      </x:c>
      <x:c r="M669" s="17" t="n">
        <x:f>IF('계산 과정'!$L$6,IF(J669&lt;=0,0,IF(AND(ABS(K669)&lt;='계산 과정'!$D$11/2,ABS(L669)&lt;='계산 과정'!$D$12/2),1,0)),"")</x:f>
        <x:v>1</x:v>
      </x:c>
      <x:c r="N669" s="17" t="n">
        <x:f>IF('계산 과정'!$C$78,IF(AND(ISNUMBER(H669),ISNUMBER(I669),ABS(H669-'계산 과정'!$C$88)&lt;='계산 과정'!$D$23/2,ABS(I669-'계산 과정'!$C$89)&lt;='계산 과정'!$D$24/2),1,0),"")</x:f>
        <x:v>1</x:v>
      </x:c>
      <x:c r="O669" s="4" t="n">
        <x:f>IF('계산 과정'!$L$7,'계산 과정'!$C$49*('계산 과정'!$C$32-D669)+'계산 과정'!$D$49*('계산 과정'!$D$32-E669)+'계산 과정'!$E$49*'계산 과정'!$E$32,"")</x:f>
        <x:v>2.4780193404542388</x:v>
      </x:c>
      <x:c r="P669" s="4" t="n">
        <x:f>IF(AND('계산 과정'!$L$7,O669&lt;&gt;0),('계산 과정'!$L$23-'계산 과정'!$C$49*D669-'계산 과정'!$D$49*E669)/O669,"")</x:f>
        <x:v>162.4192405482505</x:v>
      </x:c>
      <x:c r="Q669" s="4" t="str">
        <x:f>IF(AND(ISNUMBER(P669),P669&gt;1E-9,P669&lt;1-1E-9),'계산 과정'!$C$47*(D669-'계산 과정'!$C$50+P669*('계산 과정'!$C$32-D669))+'계산 과정'!$D$47*(E669-'계산 과정'!$D$50+P669*('계산 과정'!$D$32-E669))+'계산 과정'!$E$47*(0-'계산 과정'!$E$50+P669*('계산 과정'!$E$32-0)),"")</x:f>
      </x:c>
      <x:c r="R669" s="4" t="str">
        <x:f>IF(AND(ISNUMBER(P669),P669&gt;1E-9,P669&lt;1-1E-9),'계산 과정'!$C$48*(D669-'계산 과정'!$C$50+P669*('계산 과정'!$C$32-D669))+'계산 과정'!$D$48*(E669-'계산 과정'!$D$50+P669*('계산 과정'!$D$32-E669))+'계산 과정'!$E$48*(0-'계산 과정'!$E$50+P669*('계산 과정'!$E$32-0)),"")</x:f>
      </x:c>
      <x:c r="S669" s="17" t="n">
        <x:f>IF('계산 과정'!$C$78,IF(AND(ISNUMBER(Q669),ISNUMBER(R669),ABS(Q669-'계산 과정'!$C$88)&lt;='계산 과정'!$D$23/2,ABS(R669-'계산 과정'!$C$89)&lt;='계산 과정'!$D$24/2),1,0),"")</x:f>
        <x:v>0</x:v>
      </x:c>
      <x:c r="T669" s="4"/>
      <x:c r="U669" s="4"/>
      <x:c r="V669" s="4"/>
      <x:c r="W669" s="4"/>
      <x:c r="X669" s="4"/>
      <x:c r="Y669" s="4"/>
      <x:c r="Z669" s="4"/>
    </x:row>
    <x:row r="670" ht="23" customHeight="1">
      <x:c r="A670" s="17" t="n">
        <x:f>ROW()-6</x:f>
        <x:v>664</x:v>
      </x:c>
      <x:c r="B670" s="4" t="n">
        <x:f>IF('계산 과정'!$L$5,'계산 과정'!$L$11*SQRT((A670+0.5)/'계산 과정'!$L$30),"")</x:f>
        <x:v>85.442466251054</x:v>
      </x:c>
      <x:c r="C670" s="4" t="n">
        <x:f>A670*PI()*(3-SQRT(5))</x:f>
        <x:v>1593.5755845398257</x:v>
      </x:c>
      <x:c r="D670" s="4" t="n">
        <x:f>IF('계산 과정'!$L$5,B670*COS(C670),"")</x:f>
        <x:v>-60.25293473837705</x:v>
      </x:c>
      <x:c r="E670" s="4" t="n">
        <x:f>IF('계산 과정'!$L$5,B670*SIN(C670),"")</x:f>
        <x:v>-60.580515799020546</x:v>
      </x:c>
      <x:c r="F670" s="4" t="n">
        <x:f>IF('계산 과정'!$L$7,'계산 과정'!$L$22+'계산 과정'!$C$49*D670+'계산 과정'!$D$49*E670,"")</x:f>
        <x:v>692.605258739897</x:v>
      </x:c>
      <x:c r="G670" s="4" t="n">
        <x:f>IF('계산 과정'!$L$7,IF(ABS(F670)&gt;=1E-12*MAX(1,SQRT((D670-'계산 과정'!$C$33)^2+(E670-'계산 과정'!$D$33)^2+'계산 과정'!$E$33^2)),('계산 과정'!$L$23-'계산 과정'!$C$49*D670-'계산 과정'!$D$49*E670)/F670,""),"")</x:f>
        <x:v>0.5160150558347409</x:v>
      </x:c>
      <x:c r="H670" s="4" t="n">
        <x:f>IF(AND(ISNUMBER(G670),G670&gt;0),('계산 과정'!$D$56+'계산 과정'!$D$57*D670+'계산 과정'!$D$58*E670)/F670,"")</x:f>
        <x:v>-64.59021370741851</x:v>
      </x:c>
      <x:c r="I670" s="4" t="n">
        <x:f>IF(AND(ISNUMBER(G670),G670&gt;0),('계산 과정'!$E$56+'계산 과정'!$E$57*D670+'계산 과정'!$E$58*E670)/F670,"")</x:f>
        <x:v>-91.84097404154953</x:v>
      </x:c>
      <x:c r="J670" s="4" t="n">
        <x:f>IF('계산 과정'!$L$5,'계산 과정'!$D$6+'계산 과정'!$C$35*D670+'계산 과정'!$D$35*E670,"")</x:f>
        <x:v>692.605258739897</x:v>
      </x:c>
      <x:c r="K670" s="4" t="n">
        <x:f>IF(AND('계산 과정'!$L$6,J670&gt;0),'계산 과정'!$D$10*('계산 과정'!$C$38*(D670-'계산 과정'!$C$32)+'계산 과정'!$D$38*(E670-'계산 과정'!$D$32)-'계산 과정'!$E$38*'계산 과정'!$E$32)/J670,"")</x:f>
        <x:v>-0.49211591396128285</x:v>
      </x:c>
      <x:c r="L670" s="4" t="n">
        <x:f>IF(AND('계산 과정'!$L$6,J670&gt;0),'계산 과정'!$D$10*('계산 과정'!$C$39*(D670-'계산 과정'!$C$32)+'계산 과정'!$D$39*(E670-'계산 과정'!$D$32)-'계산 과정'!$E$39*'계산 과정'!$E$32)/J670,"")</x:f>
        <x:v>-0.6997407546022821</x:v>
      </x:c>
      <x:c r="M670" s="17" t="n">
        <x:f>IF('계산 과정'!$L$6,IF(J670&lt;=0,0,IF(AND(ABS(K670)&lt;='계산 과정'!$D$11/2,ABS(L670)&lt;='계산 과정'!$D$12/2),1,0)),"")</x:f>
        <x:v>1</x:v>
      </x:c>
      <x:c r="N670" s="17" t="n">
        <x:f>IF('계산 과정'!$C$78,IF(AND(ISNUMBER(H670),ISNUMBER(I670),ABS(H670-'계산 과정'!$C$88)&lt;='계산 과정'!$D$23/2,ABS(I670-'계산 과정'!$C$89)&lt;='계산 과정'!$D$24/2),1,0),"")</x:f>
        <x:v>1</x:v>
      </x:c>
      <x:c r="O670" s="4" t="n">
        <x:f>IF('계산 과정'!$L$7,'계산 과정'!$C$49*('계산 과정'!$C$32-D670)+'계산 과정'!$D$49*('계산 과정'!$D$32-E670)+'계산 과정'!$E$49*'계산 과정'!$E$32,"")</x:f>
        <x:v>-42.60525873989678</x:v>
      </x:c>
      <x:c r="P670" s="4" t="n">
        <x:f>IF(AND('계산 과정'!$L$7,O670&lt;&gt;0),('계산 과정'!$L$23-'계산 과정'!$C$49*D670-'계산 과정'!$D$49*E670)/O670,"")</x:f>
        <x:v>-8.388512400358419</x:v>
      </x:c>
      <x:c r="Q670" s="4" t="str">
        <x:f>IF(AND(ISNUMBER(P670),P670&gt;1E-9,P670&lt;1-1E-9),'계산 과정'!$C$47*(D670-'계산 과정'!$C$50+P670*('계산 과정'!$C$32-D670))+'계산 과정'!$D$47*(E670-'계산 과정'!$D$50+P670*('계산 과정'!$D$32-E670))+'계산 과정'!$E$47*(0-'계산 과정'!$E$50+P670*('계산 과정'!$E$32-0)),"")</x:f>
      </x:c>
      <x:c r="R670" s="4" t="str">
        <x:f>IF(AND(ISNUMBER(P670),P670&gt;1E-9,P670&lt;1-1E-9),'계산 과정'!$C$48*(D670-'계산 과정'!$C$50+P670*('계산 과정'!$C$32-D670))+'계산 과정'!$D$48*(E670-'계산 과정'!$D$50+P670*('계산 과정'!$D$32-E670))+'계산 과정'!$E$48*(0-'계산 과정'!$E$50+P670*('계산 과정'!$E$32-0)),"")</x:f>
      </x:c>
      <x:c r="S670" s="17" t="n">
        <x:f>IF('계산 과정'!$C$78,IF(AND(ISNUMBER(Q670),ISNUMBER(R670),ABS(Q670-'계산 과정'!$C$88)&lt;='계산 과정'!$D$23/2,ABS(R670-'계산 과정'!$C$89)&lt;='계산 과정'!$D$24/2),1,0),"")</x:f>
        <x:v>0</x:v>
      </x:c>
      <x:c r="T670" s="4"/>
      <x:c r="U670" s="4"/>
      <x:c r="V670" s="4"/>
      <x:c r="W670" s="4"/>
      <x:c r="X670" s="4"/>
      <x:c r="Y670" s="4"/>
      <x:c r="Z670" s="4"/>
    </x:row>
    <x:row r="671" ht="23" customHeight="1">
      <x:c r="A671" s="17" t="n">
        <x:f>ROW()-6</x:f>
        <x:v>665</x:v>
      </x:c>
      <x:c r="B671" s="4" t="n">
        <x:f>IF('계산 과정'!$L$5,'계산 과정'!$L$11*SQRT((A671+0.5)/'계산 과정'!$L$30),"")</x:f>
        <x:v>85.50673287635016</x:v>
      </x:c>
      <x:c r="C671" s="4" t="n">
        <x:f>A671*PI()*(3-SQRT(5))</x:f>
        <x:v>1595.9755477695542</x:v>
      </x:c>
      <x:c r="D671" s="4" t="n">
        <x:f>IF('계산 과정'!$L$5,B671*COS(C671),"")</x:f>
        <x:v>85.41438655061114</x:v>
      </x:c>
      <x:c r="E671" s="4" t="n">
        <x:f>IF('계산 과정'!$L$5,B671*SIN(C671),"")</x:f>
        <x:v>3.9729003725587786</x:v>
      </x:c>
      <x:c r="F671" s="4" t="n">
        <x:f>IF('계산 과정'!$L$7,'계산 과정'!$L$22+'계산 과정'!$C$49*D671+'계산 과정'!$D$49*E671,"")</x:f>
        <x:v>589.6029080591738</x:v>
      </x:c>
      <x:c r="G671" s="4" t="n">
        <x:f>IF('계산 과정'!$L$7,IF(ABS(F671)&gt;=1E-12*MAX(1,SQRT((D671-'계산 과정'!$C$33)^2+(E671-'계산 과정'!$D$33)^2+'계산 과정'!$E$33^2)),('계산 과정'!$L$23-'계산 과정'!$C$49*D671-'계산 과정'!$D$49*E671)/F671,""),"")</x:f>
        <x:v>0.7808596016874118</x:v>
      </x:c>
      <x:c r="H671" s="4" t="n">
        <x:f>IF(AND(ISNUMBER(G671),G671&gt;0),('계산 과정'!$D$56+'계산 과정'!$D$57*D671+'계산 과정'!$D$58*E671)/F671,"")</x:f>
        <x:v>107.55874109681761</x:v>
      </x:c>
      <x:c r="I671" s="4" t="n">
        <x:f>IF(AND(ISNUMBER(G671),G671&gt;0),('계산 과정'!$E$56+'계산 과정'!$E$57*D671+'계산 과정'!$E$58*E671)/F671,"")</x:f>
        <x:v>7.075177775018796</x:v>
      </x:c>
      <x:c r="J671" s="4" t="n">
        <x:f>IF('계산 과정'!$L$5,'계산 과정'!$D$6+'계산 과정'!$C$35*D671+'계산 과정'!$D$35*E671,"")</x:f>
        <x:v>589.6029080591738</x:v>
      </x:c>
      <x:c r="K671" s="4" t="n">
        <x:f>IF(AND('계산 과정'!$L$6,J671&gt;0),'계산 과정'!$D$10*('계산 과정'!$C$38*(D671-'계산 과정'!$C$32)+'계산 과정'!$D$38*(E671-'계산 과정'!$D$32)-'계산 과정'!$E$38*'계산 과정'!$E$32)/J671,"")</x:f>
        <x:v>0.8194951702614687</x:v>
      </x:c>
      <x:c r="L671" s="4" t="n">
        <x:f>IF(AND('계산 과정'!$L$6,J671&gt;0),'계산 과정'!$D$10*('계산 과정'!$C$39*(D671-'계산 과정'!$C$32)+'계산 과정'!$D$39*(E671-'계산 과정'!$D$32)-'계산 과정'!$E$39*'계산 과정'!$E$32)/J671,"")</x:f>
        <x:v>0.05390611638109559</x:v>
      </x:c>
      <x:c r="M671" s="17" t="n">
        <x:f>IF('계산 과정'!$L$6,IF(J671&lt;=0,0,IF(AND(ABS(K671)&lt;='계산 과정'!$D$11/2,ABS(L671)&lt;='계산 과정'!$D$12/2),1,0)),"")</x:f>
        <x:v>1</x:v>
      </x:c>
      <x:c r="N671" s="17" t="n">
        <x:f>IF('계산 과정'!$C$78,IF(AND(ISNUMBER(H671),ISNUMBER(I671),ABS(H671-'계산 과정'!$C$88)&lt;='계산 과정'!$D$23/2,ABS(I671-'계산 과정'!$C$89)&lt;='계산 과정'!$D$24/2),1,0),"")</x:f>
        <x:v>1</x:v>
      </x:c>
      <x:c r="O671" s="4" t="n">
        <x:f>IF('계산 과정'!$L$7,'계산 과정'!$C$49*('계산 과정'!$C$32-D671)+'계산 과정'!$D$49*('계산 과정'!$D$32-E671)+'계산 과정'!$E$49*'계산 과정'!$E$32,"")</x:f>
        <x:v>60.39709194082627</x:v>
      </x:c>
      <x:c r="P671" s="4" t="n">
        <x:f>IF(AND('계산 과정'!$L$7,O671&lt;&gt;0),('계산 과정'!$L$23-'계산 과정'!$C$49*D671-'계산 과정'!$D$49*E671)/O671,"")</x:f>
        <x:v>7.622835423796526</x:v>
      </x:c>
      <x:c r="Q671" s="4" t="str">
        <x:f>IF(AND(ISNUMBER(P671),P671&gt;1E-9,P671&lt;1-1E-9),'계산 과정'!$C$47*(D671-'계산 과정'!$C$50+P671*('계산 과정'!$C$32-D671))+'계산 과정'!$D$47*(E671-'계산 과정'!$D$50+P671*('계산 과정'!$D$32-E671))+'계산 과정'!$E$47*(0-'계산 과정'!$E$50+P671*('계산 과정'!$E$32-0)),"")</x:f>
      </x:c>
      <x:c r="R671" s="4" t="str">
        <x:f>IF(AND(ISNUMBER(P671),P671&gt;1E-9,P671&lt;1-1E-9),'계산 과정'!$C$48*(D671-'계산 과정'!$C$50+P671*('계산 과정'!$C$32-D671))+'계산 과정'!$D$48*(E671-'계산 과정'!$D$50+P671*('계산 과정'!$D$32-E671))+'계산 과정'!$E$48*(0-'계산 과정'!$E$50+P671*('계산 과정'!$E$32-0)),"")</x:f>
      </x:c>
      <x:c r="S671" s="17" t="n">
        <x:f>IF('계산 과정'!$C$78,IF(AND(ISNUMBER(Q671),ISNUMBER(R671),ABS(Q671-'계산 과정'!$C$88)&lt;='계산 과정'!$D$23/2,ABS(R671-'계산 과정'!$C$89)&lt;='계산 과정'!$D$24/2),1,0),"")</x:f>
        <x:v>0</x:v>
      </x:c>
      <x:c r="T671" s="4"/>
      <x:c r="U671" s="4"/>
      <x:c r="V671" s="4"/>
      <x:c r="W671" s="4"/>
      <x:c r="X671" s="4"/>
      <x:c r="Y671" s="4"/>
      <x:c r="Z671" s="4"/>
    </x:row>
    <x:row r="672" ht="23" customHeight="1">
      <x:c r="A672" s="17" t="n">
        <x:f>ROW()-6</x:f>
        <x:v>666</x:v>
      </x:c>
      <x:c r="B672" s="4" t="n">
        <x:f>IF('계산 과정'!$L$5,'계산 과정'!$L$11*SQRT((A672+0.5)/'계산 과정'!$L$30),"")</x:f>
        <x:v>85.5709512352907</x:v>
      </x:c>
      <x:c r="C672" s="4" t="n">
        <x:f>A672*PI()*(3-SQRT(5))</x:f>
        <x:v>1598.3755109992828</x:v>
      </x:c>
      <x:c r="D672" s="4" t="n">
        <x:f>IF('계산 과정'!$L$5,B672*COS(C672),"")</x:f>
        <x:v>-65.71488301662845</x:v>
      </x:c>
      <x:c r="E672" s="4" t="n">
        <x:f>IF('계산 과정'!$L$5,B672*SIN(C672),"")</x:f>
        <x:v>54.80822789895088</x:v>
      </x:c>
      <x:c r="F672" s="4" t="n">
        <x:f>IF('계산 과정'!$L$7,'계산 과정'!$L$22+'계산 과정'!$C$49*D672+'계산 과정'!$D$49*E672,"")</x:f>
        <x:v>696.4674394059386</x:v>
      </x:c>
      <x:c r="G672" s="4" t="n">
        <x:f>IF('계산 과정'!$L$7,IF(ABS(F672)&gt;=1E-12*MAX(1,SQRT((D672-'계산 과정'!$C$33)^2+(E672-'계산 과정'!$D$33)^2+'계산 과정'!$E$33^2)),('계산 과정'!$L$23-'계산 과정'!$C$49*D672-'계산 과정'!$D$49*E672)/F672,""),"")</x:f>
        <x:v>0.5076081674336589</x:v>
      </x:c>
      <x:c r="H672" s="4" t="n">
        <x:f>IF(AND(ISNUMBER(G672),G672&gt;0),('계산 과정'!$D$56+'계산 과정'!$D$57*D672+'계산 과정'!$D$58*E672)/F672,"")</x:f>
        <x:v>-70.05469116812189</x:v>
      </x:c>
      <x:c r="I672" s="4" t="n">
        <x:f>IF(AND(ISNUMBER(G672),G672&gt;0),('계산 과정'!$E$56+'계산 과정'!$E$57*D672+'계산 과정'!$E$58*E672)/F672,"")</x:f>
        <x:v>82.62933202302368</x:v>
      </x:c>
      <x:c r="J672" s="4" t="n">
        <x:f>IF('계산 과정'!$L$5,'계산 과정'!$D$6+'계산 과정'!$C$35*D672+'계산 과정'!$D$35*E672,"")</x:f>
        <x:v>696.4674394059386</x:v>
      </x:c>
      <x:c r="K672" s="4" t="n">
        <x:f>IF(AND('계산 과정'!$L$6,J672&gt;0),'계산 과정'!$D$10*('계산 과정'!$C$38*(D672-'계산 과정'!$C$32)+'계산 과정'!$D$38*(E672-'계산 과정'!$D$32)-'계산 과정'!$E$38*'계산 과정'!$E$32)/J672,"")</x:f>
        <x:v>-0.533750027947595</x:v>
      </x:c>
      <x:c r="L672" s="4" t="n">
        <x:f>IF(AND('계산 과정'!$L$6,J672&gt;0),'계산 과정'!$D$10*('계산 과정'!$C$39*(D672-'계산 과정'!$C$32)+'계산 과정'!$D$39*(E672-'계산 과정'!$D$32)-'계산 과정'!$E$39*'계산 과정'!$E$32)/J672,"")</x:f>
        <x:v>0.6295568154135137</x:v>
      </x:c>
      <x:c r="M672" s="17" t="n">
        <x:f>IF('계산 과정'!$L$6,IF(J672&lt;=0,0,IF(AND(ABS(K672)&lt;='계산 과정'!$D$11/2,ABS(L672)&lt;='계산 과정'!$D$12/2),1,0)),"")</x:f>
        <x:v>1</x:v>
      </x:c>
      <x:c r="N672" s="17" t="n">
        <x:f>IF('계산 과정'!$C$78,IF(AND(ISNUMBER(H672),ISNUMBER(I672),ABS(H672-'계산 과정'!$C$88)&lt;='계산 과정'!$D$23/2,ABS(I672-'계산 과정'!$C$89)&lt;='계산 과정'!$D$24/2),1,0),"")</x:f>
        <x:v>1</x:v>
      </x:c>
      <x:c r="O672" s="4" t="n">
        <x:f>IF('계산 과정'!$L$7,'계산 과정'!$C$49*('계산 과정'!$C$32-D672)+'계산 과정'!$D$49*('계산 과정'!$D$32-E672)+'계산 과정'!$E$49*'계산 과정'!$E$32,"")</x:f>
        <x:v>-46.46743940593859</x:v>
      </x:c>
      <x:c r="P672" s="4" t="n">
        <x:f>IF(AND('계산 과정'!$L$7,O672&lt;&gt;0),('계산 과정'!$L$23-'계산 과정'!$C$49*D672-'계산 과정'!$D$49*E672)/O672,"")</x:f>
        <x:v>-7.608178223585943</x:v>
      </x:c>
      <x:c r="Q672" s="4" t="str">
        <x:f>IF(AND(ISNUMBER(P672),P672&gt;1E-9,P672&lt;1-1E-9),'계산 과정'!$C$47*(D672-'계산 과정'!$C$50+P672*('계산 과정'!$C$32-D672))+'계산 과정'!$D$47*(E672-'계산 과정'!$D$50+P672*('계산 과정'!$D$32-E672))+'계산 과정'!$E$47*(0-'계산 과정'!$E$50+P672*('계산 과정'!$E$32-0)),"")</x:f>
      </x:c>
      <x:c r="R672" s="4" t="str">
        <x:f>IF(AND(ISNUMBER(P672),P672&gt;1E-9,P672&lt;1-1E-9),'계산 과정'!$C$48*(D672-'계산 과정'!$C$50+P672*('계산 과정'!$C$32-D672))+'계산 과정'!$D$48*(E672-'계산 과정'!$D$50+P672*('계산 과정'!$D$32-E672))+'계산 과정'!$E$48*(0-'계산 과정'!$E$50+P672*('계산 과정'!$E$32-0)),"")</x:f>
      </x:c>
      <x:c r="S672" s="17" t="n">
        <x:f>IF('계산 과정'!$C$78,IF(AND(ISNUMBER(Q672),ISNUMBER(R672),ABS(Q672-'계산 과정'!$C$88)&lt;='계산 과정'!$D$23/2,ABS(R672-'계산 과정'!$C$89)&lt;='계산 과정'!$D$24/2),1,0),"")</x:f>
        <x:v>0</x:v>
      </x:c>
      <x:c r="T672" s="4"/>
      <x:c r="U672" s="4"/>
      <x:c r="V672" s="4"/>
      <x:c r="W672" s="4"/>
      <x:c r="X672" s="4"/>
      <x:c r="Y672" s="4"/>
      <x:c r="Z672" s="4"/>
    </x:row>
    <x:row r="673" ht="23" customHeight="1">
      <x:c r="A673" s="17" t="n">
        <x:f>ROW()-6</x:f>
        <x:v>667</x:v>
      </x:c>
      <x:c r="B673" s="4" t="n">
        <x:f>IF('계산 과정'!$L$5,'계산 과정'!$L$11*SQRT((A673+0.5)/'계산 과정'!$L$30),"")</x:f>
        <x:v>85.63512143646145</x:v>
      </x:c>
      <x:c r="C673" s="4" t="n">
        <x:f>A673*PI()*(3-SQRT(5))</x:f>
        <x:v>1600.7754742290113</x:v>
      </x:c>
      <x:c r="D673" s="4" t="n">
        <x:f>IF('계산 과정'!$L$5,B673*COS(C673),"")</x:f>
        <x:v>11.442257763695082</x:v>
      </x:c>
      <x:c r="E673" s="4" t="n">
        <x:f>IF('계산 과정'!$L$5,B673*SIN(C673),"")</x:f>
        <x:v>-84.86724197655217</x:v>
      </x:c>
      <x:c r="F673" s="4" t="n">
        <x:f>IF('계산 과정'!$L$7,'계산 과정'!$L$22+'계산 과정'!$C$49*D673+'계산 과정'!$D$49*E673,"")</x:f>
        <x:v>641.9091019432068</x:v>
      </x:c>
      <x:c r="G673" s="4" t="n">
        <x:f>IF('계산 과정'!$L$7,IF(ABS(F673)&gt;=1E-12*MAX(1,SQRT((D673-'계산 과정'!$C$33)^2+(E673-'계산 과정'!$D$33)^2+'계산 과정'!$E$33^2)),('계산 과정'!$L$23-'계산 과정'!$C$49*D673-'계산 과정'!$D$49*E673)/F673,""),"")</x:f>
        <x:v>0.6357456169750639</x:v>
      </x:c>
      <x:c r="H673" s="4" t="n">
        <x:f>IF(AND(ISNUMBER(G673),G673&gt;0),('계산 과정'!$D$56+'계산 과정'!$D$57*D673+'계산 과정'!$D$58*E673)/F673,"")</x:f>
        <x:v>13.234651033791447</x:v>
      </x:c>
      <x:c r="I673" s="4" t="n">
        <x:f>IF(AND(ISNUMBER(G673),G673&gt;0),('계산 과정'!$E$56+'계산 과정'!$E$57*D673+'계산 과정'!$E$58*E673)/F673,"")</x:f>
        <x:v>-138.82121908790737</x:v>
      </x:c>
      <x:c r="J673" s="4" t="n">
        <x:f>IF('계산 과정'!$L$5,'계산 과정'!$D$6+'계산 과정'!$C$35*D673+'계산 과정'!$D$35*E673,"")</x:f>
        <x:v>641.9091019432068</x:v>
      </x:c>
      <x:c r="K673" s="4" t="n">
        <x:f>IF(AND('계산 과정'!$L$6,J673&gt;0),'계산 과정'!$D$10*('계산 과정'!$C$38*(D673-'계산 과정'!$C$32)+'계산 과정'!$D$38*(E673-'계산 과정'!$D$32)-'계산 과정'!$E$38*'계산 과정'!$E$32)/J673,"")</x:f>
        <x:v>0.10083543644793563</x:v>
      </x:c>
      <x:c r="L673" s="4" t="n">
        <x:f>IF(AND('계산 과정'!$L$6,J673&gt;0),'계산 과정'!$D$10*('계산 과정'!$C$39*(D673-'계산 과정'!$C$32)+'계산 과정'!$D$39*(E673-'계산 과정'!$D$32)-'계산 과정'!$E$39*'계산 과정'!$E$32)/J673,"")</x:f>
        <x:v>-1.0576854787650085</x:v>
      </x:c>
      <x:c r="M673" s="17" t="n">
        <x:f>IF('계산 과정'!$L$6,IF(J673&lt;=0,0,IF(AND(ABS(K673)&lt;='계산 과정'!$D$11/2,ABS(L673)&lt;='계산 과정'!$D$12/2),1,0)),"")</x:f>
        <x:v>1</x:v>
      </x:c>
      <x:c r="N673" s="17" t="n">
        <x:f>IF('계산 과정'!$C$78,IF(AND(ISNUMBER(H673),ISNUMBER(I673),ABS(H673-'계산 과정'!$C$88)&lt;='계산 과정'!$D$23/2,ABS(I673-'계산 과정'!$C$89)&lt;='계산 과정'!$D$24/2),1,0),"")</x:f>
        <x:v>1</x:v>
      </x:c>
      <x:c r="O673" s="4" t="n">
        <x:f>IF('계산 과정'!$L$7,'계산 과정'!$C$49*('계산 과정'!$C$32-D673)+'계산 과정'!$D$49*('계산 과정'!$D$32-E673)+'계산 과정'!$E$49*'계산 과정'!$E$32,"")</x:f>
        <x:v>8.090898056793321</x:v>
      </x:c>
      <x:c r="P673" s="4" t="n">
        <x:f>IF(AND('계산 과정'!$L$7,O673&lt;&gt;0),('계산 과정'!$L$23-'계산 과정'!$C$49*D673-'계산 과정'!$D$49*E673)/O673,"")</x:f>
        <x:v>50.43826966947752</x:v>
      </x:c>
      <x:c r="Q673" s="4" t="str">
        <x:f>IF(AND(ISNUMBER(P673),P673&gt;1E-9,P673&lt;1-1E-9),'계산 과정'!$C$47*(D673-'계산 과정'!$C$50+P673*('계산 과정'!$C$32-D673))+'계산 과정'!$D$47*(E673-'계산 과정'!$D$50+P673*('계산 과정'!$D$32-E673))+'계산 과정'!$E$47*(0-'계산 과정'!$E$50+P673*('계산 과정'!$E$32-0)),"")</x:f>
      </x:c>
      <x:c r="R673" s="4" t="str">
        <x:f>IF(AND(ISNUMBER(P673),P673&gt;1E-9,P673&lt;1-1E-9),'계산 과정'!$C$48*(D673-'계산 과정'!$C$50+P673*('계산 과정'!$C$32-D673))+'계산 과정'!$D$48*(E673-'계산 과정'!$D$50+P673*('계산 과정'!$D$32-E673))+'계산 과정'!$E$48*(0-'계산 과정'!$E$50+P673*('계산 과정'!$E$32-0)),"")</x:f>
      </x:c>
      <x:c r="S673" s="17" t="n">
        <x:f>IF('계산 과정'!$C$78,IF(AND(ISNUMBER(Q673),ISNUMBER(R673),ABS(Q673-'계산 과정'!$C$88)&lt;='계산 과정'!$D$23/2,ABS(R673-'계산 과정'!$C$89)&lt;='계산 과정'!$D$24/2),1,0),"")</x:f>
        <x:v>0</x:v>
      </x:c>
      <x:c r="T673" s="4"/>
      <x:c r="U673" s="4"/>
      <x:c r="V673" s="4"/>
      <x:c r="W673" s="4"/>
      <x:c r="X673" s="4"/>
      <x:c r="Y673" s="4"/>
      <x:c r="Z673" s="4"/>
    </x:row>
    <x:row r="674" ht="23" customHeight="1">
      <x:c r="A674" s="17" t="n">
        <x:f>ROW()-6</x:f>
        <x:v>668</x:v>
      </x:c>
      <x:c r="B674" s="4" t="n">
        <x:f>IF('계산 과정'!$L$5,'계산 과정'!$L$11*SQRT((A674+0.5)/'계산 과정'!$L$30),"")</x:f>
        <x:v>85.69924358804167</x:v>
      </x:c>
      <x:c r="C674" s="4" t="n">
        <x:f>A674*PI()*(3-SQRT(5))</x:f>
        <x:v>1603.1754374587404</x:v>
      </x:c>
      <x:c r="D674" s="4" t="n">
        <x:f>IF('계산 과정'!$L$5,B674*COS(C674),"")</x:f>
        <x:v>48.926441378401265</x:v>
      </x:c>
      <x:c r="E674" s="4" t="n">
        <x:f>IF('계산 과정'!$L$5,B674*SIN(C674),"")</x:f>
        <x:v>70.36024222249641</x:v>
      </x:c>
      <x:c r="F674" s="4" t="n">
        <x:f>IF('계산 과정'!$L$7,'계산 과정'!$L$22+'계산 과정'!$C$49*D674+'계산 과정'!$D$49*E674,"")</x:f>
        <x:v>615.4037815220064</x:v>
      </x:c>
      <x:c r="G674" s="4" t="n">
        <x:f>IF('계산 과정'!$L$7,IF(ABS(F674)&gt;=1E-12*MAX(1,SQRT((D674-'계산 과정'!$C$33)^2+(E674-'계산 과정'!$D$33)^2+'계산 과정'!$E$33^2)),('계산 과정'!$L$23-'계산 과정'!$C$49*D674-'계산 과정'!$D$49*E674)/F674,""),"")</x:f>
        <x:v>0.7061968605444013</x:v>
      </x:c>
      <x:c r="H674" s="4" t="n">
        <x:f>IF(AND(ISNUMBER(G674),G674&gt;0),('계산 과정'!$D$56+'계산 과정'!$D$57*D674+'계산 과정'!$D$58*E674)/F674,"")</x:f>
        <x:v>59.02795935386084</x:v>
      </x:c>
      <x:c r="I674" s="4" t="n">
        <x:f>IF(AND(ISNUMBER(G674),G674&gt;0),('계산 과정'!$E$56+'계산 과정'!$E$57*D674+'계산 과정'!$E$58*E674)/F674,"")</x:f>
        <x:v>120.048424387167</x:v>
      </x:c>
      <x:c r="J674" s="4" t="n">
        <x:f>IF('계산 과정'!$L$5,'계산 과정'!$D$6+'계산 과정'!$C$35*D674+'계산 과정'!$D$35*E674,"")</x:f>
        <x:v>615.4037815220064</x:v>
      </x:c>
      <x:c r="K674" s="4" t="n">
        <x:f>IF(AND('계산 과정'!$L$6,J674&gt;0),'계산 과정'!$D$10*('계산 과정'!$C$38*(D674-'계산 과정'!$C$32)+'계산 과정'!$D$38*(E674-'계산 과정'!$D$32)-'계산 과정'!$E$38*'계산 과정'!$E$32)/J674,"")</x:f>
        <x:v>0.4497368331722735</x:v>
      </x:c>
      <x:c r="L674" s="4" t="n">
        <x:f>IF(AND('계산 과정'!$L$6,J674&gt;0),'계산 과정'!$D$10*('계산 과정'!$C$39*(D674-'계산 과정'!$C$32)+'계산 과정'!$D$39*(E674-'계산 과정'!$D$32)-'계산 과정'!$E$39*'계산 과정'!$E$32)/J674,"")</x:f>
        <x:v>0.9146546619974629</x:v>
      </x:c>
      <x:c r="M674" s="17" t="n">
        <x:f>IF('계산 과정'!$L$6,IF(J674&lt;=0,0,IF(AND(ABS(K674)&lt;='계산 과정'!$D$11/2,ABS(L674)&lt;='계산 과정'!$D$12/2),1,0)),"")</x:f>
        <x:v>1</x:v>
      </x:c>
      <x:c r="N674" s="17" t="n">
        <x:f>IF('계산 과정'!$C$78,IF(AND(ISNUMBER(H674),ISNUMBER(I674),ABS(H674-'계산 과정'!$C$88)&lt;='계산 과정'!$D$23/2,ABS(I674-'계산 과정'!$C$89)&lt;='계산 과정'!$D$24/2),1,0),"")</x:f>
        <x:v>1</x:v>
      </x:c>
      <x:c r="O674" s="4" t="n">
        <x:f>IF('계산 과정'!$L$7,'계산 과정'!$C$49*('계산 과정'!$C$32-D674)+'계산 과정'!$D$49*('계산 과정'!$D$32-E674)+'계산 과정'!$E$49*'계산 과정'!$E$32,"")</x:f>
        <x:v>34.596218477993716</x:v>
      </x:c>
      <x:c r="P674" s="4" t="n">
        <x:f>IF(AND('계산 과정'!$L$7,O674&lt;&gt;0),('계산 과정'!$L$23-'계산 과정'!$C$49*D674-'계산 과정'!$D$49*E674)/O674,"")</x:f>
        <x:v>12.561957277337568</x:v>
      </x:c>
      <x:c r="Q674" s="4" t="str">
        <x:f>IF(AND(ISNUMBER(P674),P674&gt;1E-9,P674&lt;1-1E-9),'계산 과정'!$C$47*(D674-'계산 과정'!$C$50+P674*('계산 과정'!$C$32-D674))+'계산 과정'!$D$47*(E674-'계산 과정'!$D$50+P674*('계산 과정'!$D$32-E674))+'계산 과정'!$E$47*(0-'계산 과정'!$E$50+P674*('계산 과정'!$E$32-0)),"")</x:f>
      </x:c>
      <x:c r="R674" s="4" t="str">
        <x:f>IF(AND(ISNUMBER(P674),P674&gt;1E-9,P674&lt;1-1E-9),'계산 과정'!$C$48*(D674-'계산 과정'!$C$50+P674*('계산 과정'!$C$32-D674))+'계산 과정'!$D$48*(E674-'계산 과정'!$D$50+P674*('계산 과정'!$D$32-E674))+'계산 과정'!$E$48*(0-'계산 과정'!$E$50+P674*('계산 과정'!$E$32-0)),"")</x:f>
      </x:c>
      <x:c r="S674" s="17" t="n">
        <x:f>IF('계산 과정'!$C$78,IF(AND(ISNUMBER(Q674),ISNUMBER(R674),ABS(Q674-'계산 과정'!$C$88)&lt;='계산 과정'!$D$23/2,ABS(R674-'계산 과정'!$C$89)&lt;='계산 과정'!$D$24/2),1,0),"")</x:f>
        <x:v>0</x:v>
      </x:c>
      <x:c r="T674" s="4"/>
      <x:c r="U674" s="4"/>
      <x:c r="V674" s="4"/>
      <x:c r="W674" s="4"/>
      <x:c r="X674" s="4"/>
      <x:c r="Y674" s="4"/>
      <x:c r="Z674" s="4"/>
    </x:row>
    <x:row r="675" ht="23" customHeight="1">
      <x:c r="A675" s="17" t="n">
        <x:f>ROW()-6</x:f>
        <x:v>669</x:v>
      </x:c>
      <x:c r="B675" s="4" t="n">
        <x:f>IF('계산 과정'!$L$5,'계산 과정'!$L$11*SQRT((A675+0.5)/'계산 과정'!$L$30),"")</x:f>
        <x:v>85.76331779780618</x:v>
      </x:c>
      <x:c r="C675" s="4" t="n">
        <x:f>A675*PI()*(3-SQRT(5))</x:f>
        <x:v>1605.5754006884688</x:v>
      </x:c>
      <x:c r="D675" s="4" t="n">
        <x:f>IF('계산 과정'!$L$5,B675*COS(C675),"")</x:f>
        <x:v>-83.66700395380488</x:v>
      </x:c>
      <x:c r="E675" s="4" t="n">
        <x:f>IF('계산 과정'!$L$5,B675*SIN(C675),"")</x:f>
        <x:v>-18.846196674170045</x:v>
      </x:c>
      <x:c r="F675" s="4" t="n">
        <x:f>IF('계산 과정'!$L$7,'계산 과정'!$L$22+'계산 과정'!$C$49*D675+'계산 과정'!$D$49*E675,"")</x:f>
        <x:v>709.1615058572971</x:v>
      </x:c>
      <x:c r="G675" s="4" t="n">
        <x:f>IF('계산 과정'!$L$7,IF(ABS(F675)&gt;=1E-12*MAX(1,SQRT((D675-'계산 과정'!$C$33)^2+(E675-'계산 과정'!$D$33)^2+'계산 과정'!$E$33^2)),('계산 과정'!$L$23-'계산 과정'!$C$49*D675-'계산 과정'!$D$49*E675)/F675,""),"")</x:f>
        <x:v>0.48062182073837634</x:v>
      </x:c>
      <x:c r="H675" s="4" t="n">
        <x:f>IF(AND(ISNUMBER(G675),G675&gt;0),('계산 과정'!$D$56+'계산 과정'!$D$57*D675+'계산 과정'!$D$58*E675)/F675,"")</x:f>
        <x:v>-87.5958165200555</x:v>
      </x:c>
      <x:c r="I675" s="4" t="n">
        <x:f>IF(AND(ISNUMBER(G675),G675&gt;0),('계산 과정'!$E$56+'계산 과정'!$E$57*D675+'계산 과정'!$E$58*E675)/F675,"")</x:f>
        <x:v>-27.904090033703184</x:v>
      </x:c>
      <x:c r="J675" s="4" t="n">
        <x:f>IF('계산 과정'!$L$5,'계산 과정'!$D$6+'계산 과정'!$C$35*D675+'계산 과정'!$D$35*E675,"")</x:f>
        <x:v>709.1615058572971</x:v>
      </x:c>
      <x:c r="K675" s="4" t="n">
        <x:f>IF(AND('계산 과정'!$L$6,J675&gt;0),'계산 과정'!$D$10*('계산 과정'!$C$38*(D675-'계산 과정'!$C$32)+'계산 과정'!$D$38*(E675-'계산 과정'!$D$32)-'계산 과정'!$E$38*'계산 과정'!$E$32)/J675,"")</x:f>
        <x:v>-0.6673966972956595</x:v>
      </x:c>
      <x:c r="L675" s="4" t="n">
        <x:f>IF(AND('계산 과정'!$L$6,J675&gt;0),'계산 과정'!$D$10*('계산 과정'!$C$39*(D675-'계산 과정'!$C$32)+'계산 과정'!$D$39*(E675-'계산 과정'!$D$32)-'계산 과정'!$E$39*'계산 과정'!$E$32)/J675,"")</x:f>
        <x:v>-0.21260259073297663</x:v>
      </x:c>
      <x:c r="M675" s="17" t="n">
        <x:f>IF('계산 과정'!$L$6,IF(J675&lt;=0,0,IF(AND(ABS(K675)&lt;='계산 과정'!$D$11/2,ABS(L675)&lt;='계산 과정'!$D$12/2),1,0)),"")</x:f>
        <x:v>1</x:v>
      </x:c>
      <x:c r="N675" s="17" t="n">
        <x:f>IF('계산 과정'!$C$78,IF(AND(ISNUMBER(H675),ISNUMBER(I675),ABS(H675-'계산 과정'!$C$88)&lt;='계산 과정'!$D$23/2,ABS(I675-'계산 과정'!$C$89)&lt;='계산 과정'!$D$24/2),1,0),"")</x:f>
        <x:v>1</x:v>
      </x:c>
      <x:c r="O675" s="4" t="n">
        <x:f>IF('계산 과정'!$L$7,'계산 과정'!$C$49*('계산 과정'!$C$32-D675)+'계산 과정'!$D$49*('계산 과정'!$D$32-E675)+'계산 과정'!$E$49*'계산 과정'!$E$32,"")</x:f>
        <x:v>-59.16150585729696</x:v>
      </x:c>
      <x:c r="P675" s="4" t="n">
        <x:f>IF(AND('계산 과정'!$L$7,O675&lt;&gt;0),('계산 과정'!$L$23-'계산 과정'!$C$49*D675-'계산 과정'!$D$49*E675)/O675,"")</x:f>
        <x:v>-5.761153121505003</x:v>
      </x:c>
      <x:c r="Q675" s="4" t="str">
        <x:f>IF(AND(ISNUMBER(P675),P675&gt;1E-9,P675&lt;1-1E-9),'계산 과정'!$C$47*(D675-'계산 과정'!$C$50+P675*('계산 과정'!$C$32-D675))+'계산 과정'!$D$47*(E675-'계산 과정'!$D$50+P675*('계산 과정'!$D$32-E675))+'계산 과정'!$E$47*(0-'계산 과정'!$E$50+P675*('계산 과정'!$E$32-0)),"")</x:f>
      </x:c>
      <x:c r="R675" s="4" t="str">
        <x:f>IF(AND(ISNUMBER(P675),P675&gt;1E-9,P675&lt;1-1E-9),'계산 과정'!$C$48*(D675-'계산 과정'!$C$50+P675*('계산 과정'!$C$32-D675))+'계산 과정'!$D$48*(E675-'계산 과정'!$D$50+P675*('계산 과정'!$D$32-E675))+'계산 과정'!$E$48*(0-'계산 과정'!$E$50+P675*('계산 과정'!$E$32-0)),"")</x:f>
      </x:c>
      <x:c r="S675" s="17" t="n">
        <x:f>IF('계산 과정'!$C$78,IF(AND(ISNUMBER(Q675),ISNUMBER(R675),ABS(Q675-'계산 과정'!$C$88)&lt;='계산 과정'!$D$23/2,ABS(R675-'계산 과정'!$C$89)&lt;='계산 과정'!$D$24/2),1,0),"")</x:f>
        <x:v>0</x:v>
      </x:c>
      <x:c r="T675" s="4"/>
      <x:c r="U675" s="4"/>
      <x:c r="V675" s="4"/>
      <x:c r="W675" s="4"/>
      <x:c r="X675" s="4"/>
      <x:c r="Y675" s="4"/>
      <x:c r="Z675" s="4"/>
    </x:row>
    <x:row r="676" ht="23" customHeight="1">
      <x:c r="A676" s="17" t="n">
        <x:f>ROW()-6</x:f>
        <x:v>670</x:v>
      </x:c>
      <x:c r="B676" s="4" t="n">
        <x:f>IF('계산 과정'!$L$5,'계산 과정'!$L$11*SQRT((A676+0.5)/'계산 과정'!$L$30),"")</x:f>
        <x:v>85.8273441731276</x:v>
      </x:c>
      <x:c r="C676" s="4" t="n">
        <x:f>A676*PI()*(3-SQRT(5))</x:f>
        <x:v>1607.9753639181974</x:v>
      </x:c>
      <x:c r="D676" s="4" t="n">
        <x:f>IF('계산 과정'!$L$5,B676*COS(C676),"")</x:f>
        <x:v>74.47942871399857</x:v>
      </x:c>
      <x:c r="E676" s="4" t="n">
        <x:f>IF('계산 과정'!$L$5,B676*SIN(C676),"")</x:f>
        <x:v>-42.65146780884457</x:v>
      </x:c>
      <x:c r="F676" s="4" t="n">
        <x:f>IF('계산 과정'!$L$7,'계산 과정'!$L$22+'계산 과정'!$C$49*D676+'계산 과정'!$D$49*E676,"")</x:f>
        <x:v>597.3350908974315</x:v>
      </x:c>
      <x:c r="G676" s="4" t="n">
        <x:f>IF('계산 과정'!$L$7,IF(ABS(F676)&gt;=1E-12*MAX(1,SQRT((D676-'계산 과정'!$C$33)^2+(E676-'계산 과정'!$D$33)^2+'계산 과정'!$E$33^2)),('계산 과정'!$L$23-'계산 과정'!$C$49*D676-'계산 과정'!$D$49*E676)/F676,""),"")</x:f>
        <x:v>0.757807327914535</x:v>
      </x:c>
      <x:c r="H676" s="4" t="n">
        <x:f>IF(AND(ISNUMBER(G676),G676&gt;0),('계산 과정'!$D$56+'계산 과정'!$D$57*D676+'계산 과정'!$D$58*E676)/F676,"")</x:f>
        <x:v>92.57476314444763</x:v>
      </x:c>
      <x:c r="I676" s="4" t="n">
        <x:f>IF(AND(ISNUMBER(G676),G676&gt;0),('계산 과정'!$E$56+'계산 과정'!$E$57*D676+'계산 과정'!$E$58*E676)/F676,"")</x:f>
        <x:v>-74.97306266069789</x:v>
      </x:c>
      <x:c r="J676" s="4" t="n">
        <x:f>IF('계산 과정'!$L$5,'계산 과정'!$D$6+'계산 과정'!$C$35*D676+'계산 과정'!$D$35*E676,"")</x:f>
        <x:v>597.3350908974315</x:v>
      </x:c>
      <x:c r="K676" s="4" t="n">
        <x:f>IF(AND('계산 과정'!$L$6,J676&gt;0),'계산 과정'!$D$10*('계산 과정'!$C$38*(D676-'계산 과정'!$C$32)+'계산 과정'!$D$38*(E676-'계산 과정'!$D$32)-'계산 과정'!$E$38*'계산 과정'!$E$32)/J676,"")</x:f>
        <x:v>0.7053315287196018</x:v>
      </x:c>
      <x:c r="L676" s="4" t="n">
        <x:f>IF(AND('계산 과정'!$L$6,J676&gt;0),'계산 과정'!$D$10*('계산 과정'!$C$39*(D676-'계산 과정'!$C$32)+'계산 과정'!$D$39*(E676-'계산 과정'!$D$32)-'계산 과정'!$E$39*'계산 과정'!$E$32)/J676,"")</x:f>
        <x:v>-0.5712233345576981</x:v>
      </x:c>
      <x:c r="M676" s="17" t="n">
        <x:f>IF('계산 과정'!$L$6,IF(J676&lt;=0,0,IF(AND(ABS(K676)&lt;='계산 과정'!$D$11/2,ABS(L676)&lt;='계산 과정'!$D$12/2),1,0)),"")</x:f>
        <x:v>1</x:v>
      </x:c>
      <x:c r="N676" s="17" t="n">
        <x:f>IF('계산 과정'!$C$78,IF(AND(ISNUMBER(H676),ISNUMBER(I676),ABS(H676-'계산 과정'!$C$88)&lt;='계산 과정'!$D$23/2,ABS(I676-'계산 과정'!$C$89)&lt;='계산 과정'!$D$24/2),1,0),"")</x:f>
        <x:v>1</x:v>
      </x:c>
      <x:c r="O676" s="4" t="n">
        <x:f>IF('계산 과정'!$L$7,'계산 과정'!$C$49*('계산 과정'!$C$32-D676)+'계산 과정'!$D$49*('계산 과정'!$D$32-E676)+'계산 과정'!$E$49*'계산 과정'!$E$32,"")</x:f>
        <x:v>52.66490910256857</x:v>
      </x:c>
      <x:c r="P676" s="4" t="n">
        <x:f>IF(AND('계산 과정'!$L$7,O676&lt;&gt;0),('계산 과정'!$L$23-'계산 과정'!$C$49*D676-'계산 과정'!$D$49*E676)/O676,"")</x:f>
        <x:v>8.595190171523358</x:v>
      </x:c>
      <x:c r="Q676" s="4" t="str">
        <x:f>IF(AND(ISNUMBER(P676),P676&gt;1E-9,P676&lt;1-1E-9),'계산 과정'!$C$47*(D676-'계산 과정'!$C$50+P676*('계산 과정'!$C$32-D676))+'계산 과정'!$D$47*(E676-'계산 과정'!$D$50+P676*('계산 과정'!$D$32-E676))+'계산 과정'!$E$47*(0-'계산 과정'!$E$50+P676*('계산 과정'!$E$32-0)),"")</x:f>
      </x:c>
      <x:c r="R676" s="4" t="str">
        <x:f>IF(AND(ISNUMBER(P676),P676&gt;1E-9,P676&lt;1-1E-9),'계산 과정'!$C$48*(D676-'계산 과정'!$C$50+P676*('계산 과정'!$C$32-D676))+'계산 과정'!$D$48*(E676-'계산 과정'!$D$50+P676*('계산 과정'!$D$32-E676))+'계산 과정'!$E$48*(0-'계산 과정'!$E$50+P676*('계산 과정'!$E$32-0)),"")</x:f>
      </x:c>
      <x:c r="S676" s="17" t="n">
        <x:f>IF('계산 과정'!$C$78,IF(AND(ISNUMBER(Q676),ISNUMBER(R676),ABS(Q676-'계산 과정'!$C$88)&lt;='계산 과정'!$D$23/2,ABS(R676-'계산 과정'!$C$89)&lt;='계산 과정'!$D$24/2),1,0),"")</x:f>
        <x:v>0</x:v>
      </x:c>
      <x:c r="T676" s="4"/>
      <x:c r="U676" s="4"/>
      <x:c r="V676" s="4"/>
      <x:c r="W676" s="4"/>
      <x:c r="X676" s="4"/>
      <x:c r="Y676" s="4"/>
      <x:c r="Z676" s="4"/>
    </x:row>
    <x:row r="677" ht="23" customHeight="1">
      <x:c r="A677" s="17" t="n">
        <x:f>ROW()-6</x:f>
        <x:v>671</x:v>
      </x:c>
      <x:c r="B677" s="4" t="n">
        <x:f>IF('계산 과정'!$L$5,'계산 과정'!$L$11*SQRT((A677+0.5)/'계산 과정'!$L$30),"")</x:f>
        <x:v>85.89132282097826</x:v>
      </x:c>
      <x:c r="C677" s="4" t="n">
        <x:f>A677*PI()*(3-SQRT(5))</x:f>
        <x:v>1610.3753271479259</x:v>
      </x:c>
      <x:c r="D677" s="4" t="n">
        <x:f>IF('계산 과정'!$L$5,B677*COS(C677),"")</x:f>
        <x:v>-26.12762216850937</x:v>
      </x:c>
      <x:c r="E677" s="4" t="n">
        <x:f>IF('계산 과정'!$L$5,B677*SIN(C677),"")</x:f>
        <x:v>81.82094289212951</x:v>
      </x:c>
      <x:c r="F677" s="4" t="n">
        <x:f>IF('계산 과정'!$L$7,'계산 과정'!$L$22+'계산 과정'!$C$49*D677+'계산 과정'!$D$49*E677,"")</x:f>
        <x:v>668.4750188116329</x:v>
      </x:c>
      <x:c r="G677" s="4" t="n">
        <x:f>IF('계산 과정'!$L$7,IF(ABS(F677)&gt;=1E-12*MAX(1,SQRT((D677-'계산 과정'!$C$33)^2+(E677-'계산 과정'!$D$33)^2+'계산 과정'!$E$33^2)),('계산 과정'!$L$23-'계산 과정'!$C$49*D677-'계산 과정'!$D$49*E677)/F677,""),"")</x:f>
        <x:v>0.5707393252579803</x:v>
      </x:c>
      <x:c r="H677" s="4" t="n">
        <x:f>IF(AND(ISNUMBER(G677),G677&gt;0),('계산 과정'!$D$56+'계산 과정'!$D$57*D677+'계산 과정'!$D$58*E677)/F677,"")</x:f>
        <x:v>-29.019438582312937</x:v>
      </x:c>
      <x:c r="I677" s="4" t="n">
        <x:f>IF(AND(ISNUMBER(G677),G677&gt;0),('계산 과정'!$E$56+'계산 과정'!$E$57*D677+'계산 과정'!$E$58*E677)/F677,"")</x:f>
        <x:v>128.51937263035524</x:v>
      </x:c>
      <x:c r="J677" s="4" t="n">
        <x:f>IF('계산 과정'!$L$5,'계산 과정'!$D$6+'계산 과정'!$C$35*D677+'계산 과정'!$D$35*E677,"")</x:f>
        <x:v>668.4750188116329</x:v>
      </x:c>
      <x:c r="K677" s="4" t="n">
        <x:f>IF(AND('계산 과정'!$L$6,J677&gt;0),'계산 과정'!$D$10*('계산 과정'!$C$38*(D677-'계산 과정'!$C$32)+'계산 과정'!$D$38*(E677-'계산 과정'!$D$32)-'계산 과정'!$E$38*'계산 과정'!$E$32)/J677,"")</x:f>
        <x:v>-0.22110048443666902</x:v>
      </x:c>
      <x:c r="L677" s="4" t="n">
        <x:f>IF(AND('계산 과정'!$L$6,J677&gt;0),'계산 과정'!$D$10*('계산 과정'!$C$39*(D677-'계산 과정'!$C$32)+'계산 과정'!$D$39*(E677-'계산 과정'!$D$32)-'계산 과정'!$E$39*'계산 과정'!$E$32)/J677,"")</x:f>
        <x:v>0.9791952200408018</x:v>
      </x:c>
      <x:c r="M677" s="17" t="n">
        <x:f>IF('계산 과정'!$L$6,IF(J677&lt;=0,0,IF(AND(ABS(K677)&lt;='계산 과정'!$D$11/2,ABS(L677)&lt;='계산 과정'!$D$12/2),1,0)),"")</x:f>
        <x:v>1</x:v>
      </x:c>
      <x:c r="N677" s="17" t="n">
        <x:f>IF('계산 과정'!$C$78,IF(AND(ISNUMBER(H677),ISNUMBER(I677),ABS(H677-'계산 과정'!$C$88)&lt;='계산 과정'!$D$23/2,ABS(I677-'계산 과정'!$C$89)&lt;='계산 과정'!$D$24/2),1,0),"")</x:f>
        <x:v>1</x:v>
      </x:c>
      <x:c r="O677" s="4" t="n">
        <x:f>IF('계산 과정'!$L$7,'계산 과정'!$C$49*('계산 과정'!$C$32-D677)+'계산 과정'!$D$49*('계산 과정'!$D$32-E677)+'계산 과정'!$E$49*'계산 과정'!$E$32,"")</x:f>
        <x:v>-18.475018811632822</x:v>
      </x:c>
      <x:c r="P677" s="4" t="n">
        <x:f>IF(AND('계산 과정'!$L$7,O677&lt;&gt;0),('계산 과정'!$L$23-'계산 과정'!$C$49*D677-'계산 과정'!$D$49*E677)/O677,"")</x:f>
        <x:v>-20.650857521624786</x:v>
      </x:c>
      <x:c r="Q677" s="4" t="str">
        <x:f>IF(AND(ISNUMBER(P677),P677&gt;1E-9,P677&lt;1-1E-9),'계산 과정'!$C$47*(D677-'계산 과정'!$C$50+P677*('계산 과정'!$C$32-D677))+'계산 과정'!$D$47*(E677-'계산 과정'!$D$50+P677*('계산 과정'!$D$32-E677))+'계산 과정'!$E$47*(0-'계산 과정'!$E$50+P677*('계산 과정'!$E$32-0)),"")</x:f>
      </x:c>
      <x:c r="R677" s="4" t="str">
        <x:f>IF(AND(ISNUMBER(P677),P677&gt;1E-9,P677&lt;1-1E-9),'계산 과정'!$C$48*(D677-'계산 과정'!$C$50+P677*('계산 과정'!$C$32-D677))+'계산 과정'!$D$48*(E677-'계산 과정'!$D$50+P677*('계산 과정'!$D$32-E677))+'계산 과정'!$E$48*(0-'계산 과정'!$E$50+P677*('계산 과정'!$E$32-0)),"")</x:f>
      </x:c>
      <x:c r="S677" s="17" t="n">
        <x:f>IF('계산 과정'!$C$78,IF(AND(ISNUMBER(Q677),ISNUMBER(R677),ABS(Q677-'계산 과정'!$C$88)&lt;='계산 과정'!$D$23/2,ABS(R677-'계산 과정'!$C$89)&lt;='계산 과정'!$D$24/2),1,0),"")</x:f>
        <x:v>0</x:v>
      </x:c>
      <x:c r="T677" s="4"/>
      <x:c r="U677" s="4"/>
      <x:c r="V677" s="4"/>
      <x:c r="W677" s="4"/>
      <x:c r="X677" s="4"/>
      <x:c r="Y677" s="4"/>
      <x:c r="Z677" s="4"/>
    </x:row>
    <x:row r="678" ht="23" customHeight="1">
      <x:c r="A678" s="17" t="n">
        <x:f>ROW()-6</x:f>
        <x:v>672</x:v>
      </x:c>
      <x:c r="B678" s="4" t="n">
        <x:f>IF('계산 과정'!$L$5,'계산 과정'!$L$11*SQRT((A678+0.5)/'계산 과정'!$L$30),"")</x:f>
        <x:v>85.95525384793241</x:v>
      </x:c>
      <x:c r="C678" s="4" t="n">
        <x:f>A678*PI()*(3-SQRT(5))</x:f>
        <x:v>1612.7752903776548</x:v>
      </x:c>
      <x:c r="D678" s="4" t="n">
        <x:f>IF('계산 과정'!$L$5,B678*COS(C678),"")</x:f>
        <x:v>-36.03035568014172</x:v>
      </x:c>
      <x:c r="E678" s="4" t="n">
        <x:f>IF('계산 과정'!$L$5,B678*SIN(C678),"")</x:f>
        <x:v>-78.03921535756865</x:v>
      </x:c>
      <x:c r="F678" s="4" t="n">
        <x:f>IF('계산 과정'!$L$7,'계산 과정'!$L$22+'계산 과정'!$C$49*D678+'계산 과정'!$D$49*E678,"")</x:f>
        <x:v>675.4773088299914</x:v>
      </x:c>
      <x:c r="G678" s="4" t="n">
        <x:f>IF('계산 과정'!$L$7,IF(ABS(F678)&gt;=1E-12*MAX(1,SQRT((D678-'계산 과정'!$C$33)^2+(E678-'계산 과정'!$D$33)^2+'계산 과정'!$E$33^2)),('계산 과정'!$L$23-'계산 과정'!$C$49*D678-'계산 과정'!$D$49*E678)/F678,""),"")</x:f>
        <x:v>0.5544563618557776</x:v>
      </x:c>
      <x:c r="H678" s="4" t="n">
        <x:f>IF(AND(ISNUMBER(G678),G678&gt;0),('계산 과정'!$D$56+'계산 과정'!$D$57*D678+'계산 과정'!$D$58*E678)/F678,"")</x:f>
        <x:v>-39.6033647937447</x:v>
      </x:c>
      <x:c r="I678" s="4" t="n">
        <x:f>IF(AND(ISNUMBER(G678),G678&gt;0),('계산 과정'!$E$56+'계산 과정'!$E$57*D678+'계산 과정'!$E$58*E678)/F678,"")</x:f>
        <x:v>-121.30855478680567</x:v>
      </x:c>
      <x:c r="J678" s="4" t="n">
        <x:f>IF('계산 과정'!$L$5,'계산 과정'!$D$6+'계산 과정'!$C$35*D678+'계산 과정'!$D$35*E678,"")</x:f>
        <x:v>675.4773088299914</x:v>
      </x:c>
      <x:c r="K678" s="4" t="n">
        <x:f>IF(AND('계산 과정'!$L$6,J678&gt;0),'계산 과정'!$D$10*('계산 과정'!$C$38*(D678-'계산 과정'!$C$32)+'계산 과정'!$D$38*(E678-'계산 과정'!$D$32)-'계산 과정'!$E$38*'계산 과정'!$E$32)/J678,"")</x:f>
        <x:v>-0.3017399222380539</x:v>
      </x:c>
      <x:c r="L678" s="4" t="n">
        <x:f>IF(AND('계산 과정'!$L$6,J678&gt;0),'계산 과정'!$D$10*('계산 과정'!$C$39*(D678-'계산 과정'!$C$32)+'계산 과정'!$D$39*(E678-'계산 과정'!$D$32)-'계산 과정'!$E$39*'계산 과정'!$E$32)/J678,"")</x:f>
        <x:v>-0.9242556555185195</x:v>
      </x:c>
      <x:c r="M678" s="17" t="n">
        <x:f>IF('계산 과정'!$L$6,IF(J678&lt;=0,0,IF(AND(ABS(K678)&lt;='계산 과정'!$D$11/2,ABS(L678)&lt;='계산 과정'!$D$12/2),1,0)),"")</x:f>
        <x:v>1</x:v>
      </x:c>
      <x:c r="N678" s="17" t="n">
        <x:f>IF('계산 과정'!$C$78,IF(AND(ISNUMBER(H678),ISNUMBER(I678),ABS(H678-'계산 과정'!$C$88)&lt;='계산 과정'!$D$23/2,ABS(I678-'계산 과정'!$C$89)&lt;='계산 과정'!$D$24/2),1,0),"")</x:f>
        <x:v>1</x:v>
      </x:c>
      <x:c r="O678" s="4" t="n">
        <x:f>IF('계산 과정'!$L$7,'계산 과정'!$C$49*('계산 과정'!$C$32-D678)+'계산 과정'!$D$49*('계산 과정'!$D$32-E678)+'계산 과정'!$E$49*'계산 과정'!$E$32,"")</x:f>
        <x:v>-25.47730882999133</x:v>
      </x:c>
      <x:c r="P678" s="4" t="n">
        <x:f>IF(AND('계산 과정'!$L$7,O678&lt;&gt;0),('계산 과정'!$L$23-'계산 과정'!$C$49*D678-'계산 과정'!$D$49*E678)/O678,"")</x:f>
        <x:v>-14.700245370073336</x:v>
      </x:c>
      <x:c r="Q678" s="4" t="str">
        <x:f>IF(AND(ISNUMBER(P678),P678&gt;1E-9,P678&lt;1-1E-9),'계산 과정'!$C$47*(D678-'계산 과정'!$C$50+P678*('계산 과정'!$C$32-D678))+'계산 과정'!$D$47*(E678-'계산 과정'!$D$50+P678*('계산 과정'!$D$32-E678))+'계산 과정'!$E$47*(0-'계산 과정'!$E$50+P678*('계산 과정'!$E$32-0)),"")</x:f>
      </x:c>
      <x:c r="R678" s="4" t="str">
        <x:f>IF(AND(ISNUMBER(P678),P678&gt;1E-9,P678&lt;1-1E-9),'계산 과정'!$C$48*(D678-'계산 과정'!$C$50+P678*('계산 과정'!$C$32-D678))+'계산 과정'!$D$48*(E678-'계산 과정'!$D$50+P678*('계산 과정'!$D$32-E678))+'계산 과정'!$E$48*(0-'계산 과정'!$E$50+P678*('계산 과정'!$E$32-0)),"")</x:f>
      </x:c>
      <x:c r="S678" s="17" t="n">
        <x:f>IF('계산 과정'!$C$78,IF(AND(ISNUMBER(Q678),ISNUMBER(R678),ABS(Q678-'계산 과정'!$C$88)&lt;='계산 과정'!$D$23/2,ABS(R678-'계산 과정'!$C$89)&lt;='계산 과정'!$D$24/2),1,0),"")</x:f>
        <x:v>0</x:v>
      </x:c>
      <x:c r="T678" s="4"/>
      <x:c r="U678" s="4"/>
      <x:c r="V678" s="4"/>
      <x:c r="W678" s="4"/>
      <x:c r="X678" s="4"/>
      <x:c r="Y678" s="4"/>
      <x:c r="Z678" s="4"/>
    </x:row>
    <x:row r="679" ht="23" customHeight="1">
      <x:c r="A679" s="17" t="n">
        <x:f>ROW()-6</x:f>
        <x:v>673</x:v>
      </x:c>
      <x:c r="B679" s="4" t="n">
        <x:f>IF('계산 과정'!$L$5,'계산 과정'!$L$11*SQRT((A679+0.5)/'계산 과정'!$L$30),"")</x:f>
        <x:v>86.01913736016829</x:v>
      </x:c>
      <x:c r="C679" s="4" t="n">
        <x:f>A679*PI()*(3-SQRT(5))</x:f>
        <x:v>1615.1752536073834</x:v>
      </x:c>
      <x:c r="D679" s="4" t="n">
        <x:f>IF('계산 과정'!$L$5,B679*COS(C679),"")</x:f>
        <x:v>79.3413196126622</x:v>
      </x:c>
      <x:c r="E679" s="4" t="n">
        <x:f>IF('계산 과정'!$L$5,B679*SIN(C679),"")</x:f>
        <x:v>33.2302120713799</x:v>
      </x:c>
      <x:c r="F679" s="4" t="n">
        <x:f>IF('계산 과정'!$L$7,'계산 과정'!$L$22+'계산 과정'!$C$49*D679+'계산 과정'!$D$49*E679,"")</x:f>
        <x:v>593.8972148735974</x:v>
      </x:c>
      <x:c r="G679" s="4" t="n">
        <x:f>IF('계산 과정'!$L$7,IF(ABS(F679)&gt;=1E-12*MAX(1,SQRT((D679-'계산 과정'!$C$33)^2+(E679-'계산 과정'!$D$33)^2+'계산 과정'!$E$33^2)),('계산 과정'!$L$23-'계산 과정'!$C$49*D679-'계산 과정'!$D$49*E679)/F679,""),"")</x:f>
        <x:v>0.7679826975169056</x:v>
      </x:c>
      <x:c r="H679" s="4" t="n">
        <x:f>IF(AND(ISNUMBER(G679),G679&gt;0),('계산 과정'!$D$56+'계산 과정'!$D$57*D679+'계산 과정'!$D$58*E679)/F679,"")</x:f>
        <x:v>99.18875338598862</x:v>
      </x:c>
      <x:c r="I679" s="4" t="n">
        <x:f>IF(AND(ISNUMBER(G679),G679&gt;0),('계산 과정'!$E$56+'계산 과정'!$E$57*D679+'계산 과정'!$E$58*E679)/F679,"")</x:f>
        <x:v>58.75043997701708</x:v>
      </x:c>
      <x:c r="J679" s="4" t="n">
        <x:f>IF('계산 과정'!$L$5,'계산 과정'!$D$6+'계산 과정'!$C$35*D679+'계산 과정'!$D$35*E679,"")</x:f>
        <x:v>593.8972148735974</x:v>
      </x:c>
      <x:c r="K679" s="4" t="n">
        <x:f>IF(AND('계산 과정'!$L$6,J679&gt;0),'계산 과정'!$D$10*('계산 과정'!$C$38*(D679-'계산 과정'!$C$32)+'계산 과정'!$D$38*(E679-'계산 과정'!$D$32)-'계산 과정'!$E$38*'계산 과정'!$E$32)/J679,"")</x:f>
        <x:v>0.7557238353218192</x:v>
      </x:c>
      <x:c r="L679" s="4" t="n">
        <x:f>IF(AND('계산 과정'!$L$6,J679&gt;0),'계산 과정'!$D$10*('계산 과정'!$C$39*(D679-'계산 과정'!$C$32)+'계산 과정'!$D$39*(E679-'계산 과정'!$D$32)-'계산 과정'!$E$39*'계산 과정'!$E$32)/J679,"")</x:f>
        <x:v>0.44762239982489205</x:v>
      </x:c>
      <x:c r="M679" s="17" t="n">
        <x:f>IF('계산 과정'!$L$6,IF(J679&lt;=0,0,IF(AND(ABS(K679)&lt;='계산 과정'!$D$11/2,ABS(L679)&lt;='계산 과정'!$D$12/2),1,0)),"")</x:f>
        <x:v>1</x:v>
      </x:c>
      <x:c r="N679" s="17" t="n">
        <x:f>IF('계산 과정'!$C$78,IF(AND(ISNUMBER(H679),ISNUMBER(I679),ABS(H679-'계산 과정'!$C$88)&lt;='계산 과정'!$D$23/2,ABS(I679-'계산 과정'!$C$89)&lt;='계산 과정'!$D$24/2),1,0),"")</x:f>
        <x:v>1</x:v>
      </x:c>
      <x:c r="O679" s="4" t="n">
        <x:f>IF('계산 과정'!$L$7,'계산 과정'!$C$49*('계산 과정'!$C$32-D679)+'계산 과정'!$D$49*('계산 과정'!$D$32-E679)+'계산 과정'!$E$49*'계산 과정'!$E$32,"")</x:f>
        <x:v>56.10278512640281</x:v>
      </x:c>
      <x:c r="P679" s="4" t="n">
        <x:f>IF(AND('계산 과정'!$L$7,O679&lt;&gt;0),('계산 과정'!$L$23-'계산 과정'!$C$49*D679-'계산 과정'!$D$49*E679)/O679,"")</x:f>
        <x:v>8.129770814386074</x:v>
      </x:c>
      <x:c r="Q679" s="4" t="str">
        <x:f>IF(AND(ISNUMBER(P679),P679&gt;1E-9,P679&lt;1-1E-9),'계산 과정'!$C$47*(D679-'계산 과정'!$C$50+P679*('계산 과정'!$C$32-D679))+'계산 과정'!$D$47*(E679-'계산 과정'!$D$50+P679*('계산 과정'!$D$32-E679))+'계산 과정'!$E$47*(0-'계산 과정'!$E$50+P679*('계산 과정'!$E$32-0)),"")</x:f>
      </x:c>
      <x:c r="R679" s="4" t="str">
        <x:f>IF(AND(ISNUMBER(P679),P679&gt;1E-9,P679&lt;1-1E-9),'계산 과정'!$C$48*(D679-'계산 과정'!$C$50+P679*('계산 과정'!$C$32-D679))+'계산 과정'!$D$48*(E679-'계산 과정'!$D$50+P679*('계산 과정'!$D$32-E679))+'계산 과정'!$E$48*(0-'계산 과정'!$E$50+P679*('계산 과정'!$E$32-0)),"")</x:f>
      </x:c>
      <x:c r="S679" s="17" t="n">
        <x:f>IF('계산 과정'!$C$78,IF(AND(ISNUMBER(Q679),ISNUMBER(R679),ABS(Q679-'계산 과정'!$C$88)&lt;='계산 과정'!$D$23/2,ABS(R679-'계산 과정'!$C$89)&lt;='계산 과정'!$D$24/2),1,0),"")</x:f>
        <x:v>0</x:v>
      </x:c>
      <x:c r="T679" s="4"/>
      <x:c r="U679" s="4"/>
      <x:c r="V679" s="4"/>
      <x:c r="W679" s="4"/>
      <x:c r="X679" s="4"/>
      <x:c r="Y679" s="4"/>
      <x:c r="Z679" s="4"/>
    </x:row>
    <x:row r="680" ht="23" customHeight="1">
      <x:c r="A680" s="17" t="n">
        <x:f>ROW()-6</x:f>
        <x:v>674</x:v>
      </x:c>
      <x:c r="B680" s="4" t="n">
        <x:f>IF('계산 과정'!$L$5,'계산 과정'!$L$11*SQRT((A680+0.5)/'계산 과정'!$L$30),"")</x:f>
        <x:v>86.08297346347011</x:v>
      </x:c>
      <x:c r="C680" s="4" t="n">
        <x:f>A680*PI()*(3-SQRT(5))</x:f>
        <x:v>1617.5752168371118</x:v>
      </x:c>
      <x:c r="D680" s="4" t="n">
        <x:f>IF('계산 과정'!$L$5,B680*COS(C680),"")</x:f>
        <x:v>-81.01058015345839</x:v>
      </x:c>
      <x:c r="E680" s="4" t="n">
        <x:f>IF('계산 과정'!$L$5,B680*SIN(C680),"")</x:f>
        <x:v>29.112956282600248</x:v>
      </x:c>
      <x:c r="F680" s="4" t="n">
        <x:f>IF('계산 과정'!$L$7,'계산 과정'!$L$22+'계산 과정'!$C$49*D680+'계산 과정'!$D$49*E680,"")</x:f>
        <x:v>707.2831305743667</x:v>
      </x:c>
      <x:c r="G680" s="4" t="n">
        <x:f>IF('계산 과정'!$L$7,IF(ABS(F680)&gt;=1E-12*MAX(1,SQRT((D680-'계산 과정'!$C$33)^2+(E680-'계산 과정'!$D$33)^2+'계산 과정'!$E$33^2)),('계산 과정'!$L$23-'계산 과정'!$C$49*D680-'계산 과정'!$D$49*E680)/F680,""),"")</x:f>
        <x:v>0.48455399911393554</x:v>
      </x:c>
      <x:c r="H680" s="4" t="n">
        <x:f>IF(AND(ISNUMBER(G680),G680&gt;0),('계산 과정'!$D$56+'계산 과정'!$D$57*D680+'계산 과정'!$D$58*E680)/F680,"")</x:f>
        <x:v>-85.03990057594207</x:v>
      </x:c>
      <x:c r="I680" s="4" t="n">
        <x:f>IF(AND(ISNUMBER(G680),G680&gt;0),('계산 과정'!$E$56+'계산 과정'!$E$57*D680+'계산 과정'!$E$58*E680)/F680,"")</x:f>
        <x:v>43.21975567536337</x:v>
      </x:c>
      <x:c r="J680" s="4" t="n">
        <x:f>IF('계산 과정'!$L$5,'계산 과정'!$D$6+'계산 과정'!$C$35*D680+'계산 과정'!$D$35*E680,"")</x:f>
        <x:v>707.2831305743667</x:v>
      </x:c>
      <x:c r="K680" s="4" t="n">
        <x:f>IF(AND('계산 과정'!$L$6,J680&gt;0),'계산 과정'!$D$10*('계산 과정'!$C$38*(D680-'계산 과정'!$C$32)+'계산 과정'!$D$38*(E680-'계산 과정'!$D$32)-'계산 과정'!$E$38*'계산 과정'!$E$32)/J680,"")</x:f>
        <x:v>-0.6479230520071764</x:v>
      </x:c>
      <x:c r="L680" s="4" t="n">
        <x:f>IF(AND('계산 과정'!$L$6,J680&gt;0),'계산 과정'!$D$10*('계산 과정'!$C$39*(D680-'계산 과정'!$C$32)+'계산 과정'!$D$39*(E680-'계산 과정'!$D$32)-'계산 과정'!$E$39*'계산 과정'!$E$32)/J680,"")</x:f>
        <x:v>0.3292933765741971</x:v>
      </x:c>
      <x:c r="M680" s="17" t="n">
        <x:f>IF('계산 과정'!$L$6,IF(J680&lt;=0,0,IF(AND(ABS(K680)&lt;='계산 과정'!$D$11/2,ABS(L680)&lt;='계산 과정'!$D$12/2),1,0)),"")</x:f>
        <x:v>1</x:v>
      </x:c>
      <x:c r="N680" s="17" t="n">
        <x:f>IF('계산 과정'!$C$78,IF(AND(ISNUMBER(H680),ISNUMBER(I680),ABS(H680-'계산 과정'!$C$88)&lt;='계산 과정'!$D$23/2,ABS(I680-'계산 과정'!$C$89)&lt;='계산 과정'!$D$24/2),1,0),"")</x:f>
        <x:v>1</x:v>
      </x:c>
      <x:c r="O680" s="4" t="n">
        <x:f>IF('계산 과정'!$L$7,'계산 과정'!$C$49*('계산 과정'!$C$32-D680)+'계산 과정'!$D$49*('계산 과정'!$D$32-E680)+'계산 과정'!$E$49*'계산 과정'!$E$32,"")</x:f>
        <x:v>-57.28313057436662</x:v>
      </x:c>
      <x:c r="P680" s="4" t="n">
        <x:f>IF(AND('계산 과정'!$L$7,O680&lt;&gt;0),('계산 과정'!$L$23-'계산 과정'!$C$49*D680-'계산 과정'!$D$49*E680)/O680,"")</x:f>
        <x:v>-5.98285858313397</x:v>
      </x:c>
      <x:c r="Q680" s="4" t="str">
        <x:f>IF(AND(ISNUMBER(P680),P680&gt;1E-9,P680&lt;1-1E-9),'계산 과정'!$C$47*(D680-'계산 과정'!$C$50+P680*('계산 과정'!$C$32-D680))+'계산 과정'!$D$47*(E680-'계산 과정'!$D$50+P680*('계산 과정'!$D$32-E680))+'계산 과정'!$E$47*(0-'계산 과정'!$E$50+P680*('계산 과정'!$E$32-0)),"")</x:f>
      </x:c>
      <x:c r="R680" s="4" t="str">
        <x:f>IF(AND(ISNUMBER(P680),P680&gt;1E-9,P680&lt;1-1E-9),'계산 과정'!$C$48*(D680-'계산 과정'!$C$50+P680*('계산 과정'!$C$32-D680))+'계산 과정'!$D$48*(E680-'계산 과정'!$D$50+P680*('계산 과정'!$D$32-E680))+'계산 과정'!$E$48*(0-'계산 과정'!$E$50+P680*('계산 과정'!$E$32-0)),"")</x:f>
      </x:c>
      <x:c r="S680" s="17" t="n">
        <x:f>IF('계산 과정'!$C$78,IF(AND(ISNUMBER(Q680),ISNUMBER(R680),ABS(Q680-'계산 과정'!$C$88)&lt;='계산 과정'!$D$23/2,ABS(R680-'계산 과정'!$C$89)&lt;='계산 과정'!$D$24/2),1,0),"")</x:f>
        <x:v>0</x:v>
      </x:c>
      <x:c r="T680" s="4"/>
      <x:c r="U680" s="4"/>
      <x:c r="V680" s="4"/>
      <x:c r="W680" s="4"/>
      <x:c r="X680" s="4"/>
      <x:c r="Y680" s="4"/>
      <x:c r="Z680" s="4"/>
    </x:row>
    <x:row r="681" ht="23" customHeight="1">
      <x:c r="A681" s="17" t="n">
        <x:f>ROW()-6</x:f>
        <x:v>675</x:v>
      </x:c>
      <x:c r="B681" s="4" t="n">
        <x:f>IF('계산 과정'!$L$5,'계산 과정'!$L$11*SQRT((A681+0.5)/'계산 과정'!$L$30),"")</x:f>
        <x:v>86.14676226323019</x:v>
      </x:c>
      <x:c r="C681" s="4" t="n">
        <x:f>A681*PI()*(3-SQRT(5))</x:f>
        <x:v>1619.975180066841</x:v>
      </x:c>
      <x:c r="D681" s="4" t="n">
        <x:f>IF('계산 과정'!$L$5,B681*COS(C681),"")</x:f>
        <x:v>40.09885305531008</x:v>
      </x:c>
      <x:c r="E681" s="4" t="n">
        <x:f>IF('계산 과정'!$L$5,B681*SIN(C681),"")</x:f>
        <x:v>-76.24530563966643</x:v>
      </x:c>
      <x:c r="F681" s="4" t="n">
        <x:f>IF('계산 과정'!$L$7,'계산 과정'!$L$22+'계산 과정'!$C$49*D681+'계산 과정'!$D$49*E681,"")</x:f>
        <x:v>621.6458290867873</x:v>
      </x:c>
      <x:c r="G681" s="4" t="n">
        <x:f>IF('계산 과정'!$L$7,IF(ABS(F681)&gt;=1E-12*MAX(1,SQRT((D681-'계산 과정'!$C$33)^2+(E681-'계산 과정'!$D$33)^2+'계산 과정'!$E$33^2)),('계산 과정'!$L$23-'계산 과정'!$C$49*D681-'계산 과정'!$D$49*E681)/F681,""),"")</x:f>
        <x:v>0.6890646584767974</x:v>
      </x:c>
      <x:c r="H681" s="4" t="n">
        <x:f>IF(AND(ISNUMBER(G681),G681&gt;0),('계산 과정'!$D$56+'계산 과정'!$D$57*D681+'계산 과정'!$D$58*E681)/F681,"")</x:f>
        <x:v>47.89202800991819</x:v>
      </x:c>
      <x:c r="I681" s="4" t="n">
        <x:f>IF(AND(ISNUMBER(G681),G681&gt;0),('계산 과정'!$E$56+'계산 과정'!$E$57*D681+'계산 과정'!$E$58*E681)/F681,"")</x:f>
        <x:v>-128.78325113072222</x:v>
      </x:c>
      <x:c r="J681" s="4" t="n">
        <x:f>IF('계산 과정'!$L$5,'계산 과정'!$D$6+'계산 과정'!$C$35*D681+'계산 과정'!$D$35*E681,"")</x:f>
        <x:v>621.6458290867873</x:v>
      </x:c>
      <x:c r="K681" s="4" t="n">
        <x:f>IF(AND('계산 과정'!$L$6,J681&gt;0),'계산 과정'!$D$10*('계산 과정'!$C$38*(D681-'계산 과정'!$C$32)+'계산 과정'!$D$38*(E681-'계산 과정'!$D$32)-'계산 과정'!$E$38*'계산 과정'!$E$32)/J681,"")</x:f>
        <x:v>0.3648916419803299</x:v>
      </x:c>
      <x:c r="L681" s="4" t="n">
        <x:f>IF(AND('계산 과정'!$L$6,J681&gt;0),'계산 과정'!$D$10*('계산 과정'!$C$39*(D681-'계산 과정'!$C$32)+'계산 과정'!$D$39*(E681-'계산 과정'!$D$32)-'계산 과정'!$E$39*'계산 과정'!$E$32)/J681,"")</x:f>
        <x:v>-0.9812057229007406</x:v>
      </x:c>
      <x:c r="M681" s="17" t="n">
        <x:f>IF('계산 과정'!$L$6,IF(J681&lt;=0,0,IF(AND(ABS(K681)&lt;='계산 과정'!$D$11/2,ABS(L681)&lt;='계산 과정'!$D$12/2),1,0)),"")</x:f>
        <x:v>1</x:v>
      </x:c>
      <x:c r="N681" s="17" t="n">
        <x:f>IF('계산 과정'!$C$78,IF(AND(ISNUMBER(H681),ISNUMBER(I681),ABS(H681-'계산 과정'!$C$88)&lt;='계산 과정'!$D$23/2,ABS(I681-'계산 과정'!$C$89)&lt;='계산 과정'!$D$24/2),1,0),"")</x:f>
        <x:v>1</x:v>
      </x:c>
      <x:c r="O681" s="4" t="n">
        <x:f>IF('계산 과정'!$L$7,'계산 과정'!$C$49*('계산 과정'!$C$32-D681)+'계산 과정'!$D$49*('계산 과정'!$D$32-E681)+'계산 과정'!$E$49*'계산 과정'!$E$32,"")</x:f>
        <x:v>28.354170913212783</x:v>
      </x:c>
      <x:c r="P681" s="4" t="n">
        <x:f>IF(AND('계산 과정'!$L$7,O681&lt;&gt;0),('계산 과정'!$L$23-'계산 과정'!$C$49*D681-'계산 과정'!$D$49*E681)/O681,"")</x:f>
        <x:v>15.10727195037128</x:v>
      </x:c>
      <x:c r="Q681" s="4" t="str">
        <x:f>IF(AND(ISNUMBER(P681),P681&gt;1E-9,P681&lt;1-1E-9),'계산 과정'!$C$47*(D681-'계산 과정'!$C$50+P681*('계산 과정'!$C$32-D681))+'계산 과정'!$D$47*(E681-'계산 과정'!$D$50+P681*('계산 과정'!$D$32-E681))+'계산 과정'!$E$47*(0-'계산 과정'!$E$50+P681*('계산 과정'!$E$32-0)),"")</x:f>
      </x:c>
      <x:c r="R681" s="4" t="str">
        <x:f>IF(AND(ISNUMBER(P681),P681&gt;1E-9,P681&lt;1-1E-9),'계산 과정'!$C$48*(D681-'계산 과정'!$C$50+P681*('계산 과정'!$C$32-D681))+'계산 과정'!$D$48*(E681-'계산 과정'!$D$50+P681*('계산 과정'!$D$32-E681))+'계산 과정'!$E$48*(0-'계산 과정'!$E$50+P681*('계산 과정'!$E$32-0)),"")</x:f>
      </x:c>
      <x:c r="S681" s="17" t="n">
        <x:f>IF('계산 과정'!$C$78,IF(AND(ISNUMBER(Q681),ISNUMBER(R681),ABS(Q681-'계산 과정'!$C$88)&lt;='계산 과정'!$D$23/2,ABS(R681-'계산 과정'!$C$89)&lt;='계산 과정'!$D$24/2),1,0),"")</x:f>
        <x:v>0</x:v>
      </x:c>
      <x:c r="T681" s="4"/>
      <x:c r="U681" s="4"/>
      <x:c r="V681" s="4"/>
      <x:c r="W681" s="4"/>
      <x:c r="X681" s="4"/>
      <x:c r="Y681" s="4"/>
      <x:c r="Z681" s="4"/>
    </x:row>
    <x:row r="682" ht="23" customHeight="1">
      <x:c r="A682" s="17" t="n">
        <x:f>ROW()-6</x:f>
        <x:v>676</x:v>
      </x:c>
      <x:c r="B682" s="4" t="n">
        <x:f>IF('계산 과정'!$L$5,'계산 과정'!$L$11*SQRT((A682+0.5)/'계산 과정'!$L$30),"")</x:f>
        <x:v>86.21050386445087</x:v>
      </x:c>
      <x:c r="C682" s="4" t="n">
        <x:f>A682*PI()*(3-SQRT(5))</x:f>
        <x:v>1622.3751432965694</x:v>
      </x:c>
      <x:c r="D682" s="4" t="n">
        <x:f>IF('계산 과정'!$L$5,B682*COS(C682),"")</x:f>
        <x:v>21.951548004940832</x:v>
      </x:c>
      <x:c r="E682" s="4" t="n">
        <x:f>IF('계산 과정'!$L$5,B682*SIN(C682),"")</x:f>
        <x:v>83.36894215923144</x:v>
      </x:c>
      <x:c r="F682" s="4" t="n">
        <x:f>IF('계산 과정'!$L$7,'계산 과정'!$L$22+'계산 과정'!$C$49*D682+'계산 과정'!$D$49*E682,"")</x:f>
        <x:v>634.4779115481643</x:v>
      </x:c>
      <x:c r="G682" s="4" t="n">
        <x:f>IF('계산 과정'!$L$7,IF(ABS(F682)&gt;=1E-12*MAX(1,SQRT((D682-'계산 과정'!$C$33)^2+(E682-'계산 과정'!$D$33)^2+'계산 과정'!$E$33^2)),('계산 과정'!$L$23-'계산 과정'!$C$49*D682-'계산 과정'!$D$49*E682)/F682,""),"")</x:f>
        <x:v>0.6549039468339202</x:v>
      </x:c>
      <x:c r="H682" s="4" t="n">
        <x:f>IF(AND(ISNUMBER(G682),G682&gt;0),('계산 과정'!$D$56+'계산 과정'!$D$57*D682+'계산 과정'!$D$58*E682)/F682,"")</x:f>
        <x:v>25.687565442047987</x:v>
      </x:c>
      <x:c r="I682" s="4" t="n">
        <x:f>IF(AND(ISNUMBER(G682),G682&gt;0),('계산 과정'!$E$56+'계산 과정'!$E$57*D682+'계산 과정'!$E$58*E682)/F682,"")</x:f>
        <x:v>137.9675914226809</x:v>
      </x:c>
      <x:c r="J682" s="4" t="n">
        <x:f>IF('계산 과정'!$L$5,'계산 과정'!$D$6+'계산 과정'!$C$35*D682+'계산 과정'!$D$35*E682,"")</x:f>
        <x:v>634.4779115481643</x:v>
      </x:c>
      <x:c r="K682" s="4" t="n">
        <x:f>IF(AND('계산 과정'!$L$6,J682&gt;0),'계산 과정'!$D$10*('계산 과정'!$C$38*(D682-'계산 과정'!$C$32)+'계산 과정'!$D$38*(E682-'계산 과정'!$D$32)-'계산 과정'!$E$38*'계산 과정'!$E$32)/J682,"")</x:f>
        <x:v>0.19571478432036674</x:v>
      </x:c>
      <x:c r="L682" s="4" t="n">
        <x:f>IF(AND('계산 과정'!$L$6,J682&gt;0),'계산 과정'!$D$10*('계산 과정'!$C$39*(D682-'계산 과정'!$C$32)+'계산 과정'!$D$39*(E682-'계산 과정'!$D$32)-'계산 과정'!$E$39*'계산 과정'!$E$32)/J682,"")</x:f>
        <x:v>1.0511816489347117</x:v>
      </x:c>
      <x:c r="M682" s="17" t="n">
        <x:f>IF('계산 과정'!$L$6,IF(J682&lt;=0,0,IF(AND(ABS(K682)&lt;='계산 과정'!$D$11/2,ABS(L682)&lt;='계산 과정'!$D$12/2),1,0)),"")</x:f>
        <x:v>1</x:v>
      </x:c>
      <x:c r="N682" s="17" t="n">
        <x:f>IF('계산 과정'!$C$78,IF(AND(ISNUMBER(H682),ISNUMBER(I682),ABS(H682-'계산 과정'!$C$88)&lt;='계산 과정'!$D$23/2,ABS(I682-'계산 과정'!$C$89)&lt;='계산 과정'!$D$24/2),1,0),"")</x:f>
        <x:v>1</x:v>
      </x:c>
      <x:c r="O682" s="4" t="n">
        <x:f>IF('계산 과정'!$L$7,'계산 과정'!$C$49*('계산 과정'!$C$32-D682)+'계산 과정'!$D$49*('계산 과정'!$D$32-E682)+'계산 과정'!$E$49*'계산 과정'!$E$32,"")</x:f>
        <x:v>15.522088451835828</x:v>
      </x:c>
      <x:c r="P682" s="4" t="n">
        <x:f>IF(AND('계산 과정'!$L$7,O682&lt;&gt;0),('계산 과정'!$L$23-'계산 과정'!$C$49*D682-'계산 과정'!$D$49*E682)/O682,"")</x:f>
        <x:v>26.769728167777004</x:v>
      </x:c>
      <x:c r="Q682" s="4" t="str">
        <x:f>IF(AND(ISNUMBER(P682),P682&gt;1E-9,P682&lt;1-1E-9),'계산 과정'!$C$47*(D682-'계산 과정'!$C$50+P682*('계산 과정'!$C$32-D682))+'계산 과정'!$D$47*(E682-'계산 과정'!$D$50+P682*('계산 과정'!$D$32-E682))+'계산 과정'!$E$47*(0-'계산 과정'!$E$50+P682*('계산 과정'!$E$32-0)),"")</x:f>
      </x:c>
      <x:c r="R682" s="4" t="str">
        <x:f>IF(AND(ISNUMBER(P682),P682&gt;1E-9,P682&lt;1-1E-9),'계산 과정'!$C$48*(D682-'계산 과정'!$C$50+P682*('계산 과정'!$C$32-D682))+'계산 과정'!$D$48*(E682-'계산 과정'!$D$50+P682*('계산 과정'!$D$32-E682))+'계산 과정'!$E$48*(0-'계산 과정'!$E$50+P682*('계산 과정'!$E$32-0)),"")</x:f>
      </x:c>
      <x:c r="S682" s="17" t="n">
        <x:f>IF('계산 과정'!$C$78,IF(AND(ISNUMBER(Q682),ISNUMBER(R682),ABS(Q682-'계산 과정'!$C$88)&lt;='계산 과정'!$D$23/2,ABS(R682-'계산 과정'!$C$89)&lt;='계산 과정'!$D$24/2),1,0),"")</x:f>
        <x:v>0</x:v>
      </x:c>
      <x:c r="T682" s="4"/>
      <x:c r="U682" s="4"/>
      <x:c r="V682" s="4"/>
      <x:c r="W682" s="4"/>
      <x:c r="X682" s="4"/>
      <x:c r="Y682" s="4"/>
      <x:c r="Z682" s="4"/>
    </x:row>
    <x:row r="683" ht="23" customHeight="1">
      <x:c r="A683" s="17" t="n">
        <x:f>ROW()-6</x:f>
        <x:v>677</x:v>
      </x:c>
      <x:c r="B683" s="4" t="n">
        <x:f>IF('계산 과정'!$L$5,'계산 과정'!$L$11*SQRT((A683+0.5)/'계산 과정'!$L$30),"")</x:f>
        <x:v>86.27419837174669</x:v>
      </x:c>
      <x:c r="C683" s="4" t="n">
        <x:f>A683*PI()*(3-SQRT(5))</x:f>
        <x:v>1624.775106526298</x:v>
      </x:c>
      <x:c r="D683" s="4" t="n">
        <x:f>IF('계산 과정'!$L$5,B683*COS(C683),"")</x:f>
        <x:v>-72.55486539529544</x:v>
      </x:c>
      <x:c r="E683" s="4" t="n">
        <x:f>IF('계산 과정'!$L$5,B683*SIN(C683),"")</x:f>
        <x:v>-46.680068682019524</x:v>
      </x:c>
      <x:c r="F683" s="4" t="n">
        <x:f>IF('계산 과정'!$L$7,'계산 과정'!$L$22+'계산 과정'!$C$49*D683+'계산 과정'!$D$49*E683,"")</x:f>
        <x:v>701.3040373290905</x:v>
      </x:c>
      <x:c r="G683" s="4" t="n">
        <x:f>IF('계산 과정'!$L$7,IF(ABS(F683)&gt;=1E-12*MAX(1,SQRT((D683-'계산 과정'!$C$33)^2+(E683-'계산 과정'!$D$33)^2+'계산 과정'!$E$33^2)),('계산 과정'!$L$23-'계산 과정'!$C$49*D683-'계산 과정'!$D$49*E683)/F683,""),"")</x:f>
        <x:v>0.49721083026830204</x:v>
      </x:c>
      <x:c r="H683" s="4" t="n">
        <x:f>IF(AND(ISNUMBER(G683),G683&gt;0),('계산 과정'!$D$56+'계산 과정'!$D$57*D683+'계산 과정'!$D$58*E683)/F683,"")</x:f>
        <x:v>-76.8129603256038</x:v>
      </x:c>
      <x:c r="I683" s="4" t="n">
        <x:f>IF(AND(ISNUMBER(G683),G683&gt;0),('계산 과정'!$E$56+'계산 과정'!$E$57*D683+'계산 과정'!$E$58*E683)/F683,"")</x:f>
        <x:v>-69.88990438838782</x:v>
      </x:c>
      <x:c r="J683" s="4" t="n">
        <x:f>IF('계산 과정'!$L$5,'계산 과정'!$D$6+'계산 과정'!$C$35*D683+'계산 과정'!$D$35*E683,"")</x:f>
        <x:v>701.3040373290905</x:v>
      </x:c>
      <x:c r="K683" s="4" t="n">
        <x:f>IF(AND('계산 과정'!$L$6,J683&gt;0),'계산 과정'!$D$10*('계산 과정'!$C$38*(D683-'계산 과정'!$C$32)+'계산 과정'!$D$38*(E683-'계산 과정'!$D$32)-'계산 과정'!$E$38*'계산 과정'!$E$32)/J683,"")</x:f>
        <x:v>-0.58524160248079</x:v>
      </x:c>
      <x:c r="L683" s="4" t="n">
        <x:f>IF(AND('계산 과정'!$L$6,J683&gt;0),'계산 과정'!$D$10*('계산 과정'!$C$39*(D683-'계산 과정'!$C$32)+'계산 과정'!$D$39*(E683-'계산 과정'!$D$32)-'계산 과정'!$E$39*'계산 과정'!$E$32)/J683,"")</x:f>
        <x:v>-0.5324945096258119</x:v>
      </x:c>
      <x:c r="M683" s="17" t="n">
        <x:f>IF('계산 과정'!$L$6,IF(J683&lt;=0,0,IF(AND(ABS(K683)&lt;='계산 과정'!$D$11/2,ABS(L683)&lt;='계산 과정'!$D$12/2),1,0)),"")</x:f>
        <x:v>1</x:v>
      </x:c>
      <x:c r="N683" s="17" t="n">
        <x:f>IF('계산 과정'!$C$78,IF(AND(ISNUMBER(H683),ISNUMBER(I683),ABS(H683-'계산 과정'!$C$88)&lt;='계산 과정'!$D$23/2,ABS(I683-'계산 과정'!$C$89)&lt;='계산 과정'!$D$24/2),1,0),"")</x:f>
        <x:v>1</x:v>
      </x:c>
      <x:c r="O683" s="4" t="n">
        <x:f>IF('계산 과정'!$L$7,'계산 과정'!$C$49*('계산 과정'!$C$32-D683)+'계산 과정'!$D$49*('계산 과정'!$D$32-E683)+'계산 과정'!$E$49*'계산 과정'!$E$32,"")</x:f>
        <x:v>-51.30403732909048</x:v>
      </x:c>
      <x:c r="P683" s="4" t="n">
        <x:f>IF(AND('계산 과정'!$L$7,O683&lt;&gt;0),('계산 과정'!$L$23-'계산 과정'!$C$49*D683-'계산 과정'!$D$49*E683)/O683,"")</x:f>
        <x:v>-6.7966573553304235</x:v>
      </x:c>
      <x:c r="Q683" s="4" t="str">
        <x:f>IF(AND(ISNUMBER(P683),P683&gt;1E-9,P683&lt;1-1E-9),'계산 과정'!$C$47*(D683-'계산 과정'!$C$50+P683*('계산 과정'!$C$32-D683))+'계산 과정'!$D$47*(E683-'계산 과정'!$D$50+P683*('계산 과정'!$D$32-E683))+'계산 과정'!$E$47*(0-'계산 과정'!$E$50+P683*('계산 과정'!$E$32-0)),"")</x:f>
      </x:c>
      <x:c r="R683" s="4" t="str">
        <x:f>IF(AND(ISNUMBER(P683),P683&gt;1E-9,P683&lt;1-1E-9),'계산 과정'!$C$48*(D683-'계산 과정'!$C$50+P683*('계산 과정'!$C$32-D683))+'계산 과정'!$D$48*(E683-'계산 과정'!$D$50+P683*('계산 과정'!$D$32-E683))+'계산 과정'!$E$48*(0-'계산 과정'!$E$50+P683*('계산 과정'!$E$32-0)),"")</x:f>
      </x:c>
      <x:c r="S683" s="17" t="n">
        <x:f>IF('계산 과정'!$C$78,IF(AND(ISNUMBER(Q683),ISNUMBER(R683),ABS(Q683-'계산 과정'!$C$88)&lt;='계산 과정'!$D$23/2,ABS(R683-'계산 과정'!$C$89)&lt;='계산 과정'!$D$24/2),1,0),"")</x:f>
        <x:v>0</x:v>
      </x:c>
      <x:c r="T683" s="4"/>
      <x:c r="U683" s="4"/>
      <x:c r="V683" s="4"/>
      <x:c r="W683" s="4"/>
      <x:c r="X683" s="4"/>
      <x:c r="Y683" s="4"/>
      <x:c r="Z683" s="4"/>
    </x:row>
    <x:row r="684" ht="23" customHeight="1">
      <x:c r="A684" s="17" t="n">
        <x:f>ROW()-6</x:f>
        <x:v>678</x:v>
      </x:c>
      <x:c r="B684" s="4" t="n">
        <x:f>IF('계산 과정'!$L$5,'계산 과정'!$L$11*SQRT((A684+0.5)/'계산 과정'!$L$30),"")</x:f>
        <x:v>86.33784588934623</x:v>
      </x:c>
      <x:c r="C684" s="4" t="n">
        <x:f>A684*PI()*(3-SQRT(5))</x:f>
        <x:v>1627.1750697560265</x:v>
      </x:c>
      <x:c r="D684" s="4" t="n">
        <x:f>IF('계산 과정'!$L$5,B684*COS(C684),"")</x:f>
        <x:v>85.09436385915389</x:v>
      </x:c>
      <x:c r="E684" s="4" t="n">
        <x:f>IF('계산 과정'!$L$5,B684*SIN(C684),"")</x:f>
        <x:v>-14.600440822743114</x:v>
      </x:c>
      <x:c r="F684" s="4" t="n">
        <x:f>IF('계산 과정'!$L$7,'계산 과정'!$L$22+'계산 과정'!$C$49*D684+'계산 과정'!$D$49*E684,"")</x:f>
        <x:v>589.8291982744369</x:v>
      </x:c>
      <x:c r="G684" s="4" t="n">
        <x:f>IF('계산 과정'!$L$7,IF(ABS(F684)&gt;=1E-12*MAX(1,SQRT((D684-'계산 과정'!$C$33)^2+(E684-'계산 과정'!$D$33)^2+'계산 과정'!$E$33^2)),('계산 과정'!$L$23-'계산 과정'!$C$49*D684-'계산 과정'!$D$49*E684)/F684,""),"")</x:f>
        <x:v>0.7801763681279373</x:v>
      </x:c>
      <x:c r="H684" s="4" t="n">
        <x:f>IF(AND(ISNUMBER(G684),G684&gt;0),('계산 과정'!$D$56+'계산 과정'!$D$57*D684+'계산 과정'!$D$58*E684)/F684,"")</x:f>
        <x:v>107.11463928315919</x:v>
      </x:c>
      <x:c r="I684" s="4" t="n">
        <x:f>IF(AND(ISNUMBER(G684),G684&gt;0),('계산 과정'!$E$56+'계산 과정'!$E$57*D684+'계산 과정'!$E$58*E684)/F684,"")</x:f>
        <x:v>-25.99135971689771</x:v>
      </x:c>
      <x:c r="J684" s="4" t="n">
        <x:f>IF('계산 과정'!$L$5,'계산 과정'!$D$6+'계산 과정'!$C$35*D684+'계산 과정'!$D$35*E684,"")</x:f>
        <x:v>589.8291982744369</x:v>
      </x:c>
      <x:c r="K684" s="4" t="n">
        <x:f>IF(AND('계산 과정'!$L$6,J684&gt;0),'계산 과정'!$D$10*('계산 과정'!$C$38*(D684-'계산 과정'!$C$32)+'계산 과정'!$D$38*(E684-'계산 과정'!$D$32)-'계산 과정'!$E$38*'계산 과정'!$E$32)/J684,"")</x:f>
        <x:v>0.8161115373954995</x:v>
      </x:c>
      <x:c r="L684" s="4" t="n">
        <x:f>IF(AND('계산 과정'!$L$6,J684&gt;0),'계산 과정'!$D$10*('계산 과정'!$C$39*(D684-'계산 과정'!$C$32)+'계산 과정'!$D$39*(E684-'계산 과정'!$D$32)-'계산 과정'!$E$39*'계산 과정'!$E$32)/J684,"")</x:f>
        <x:v>-0.1980294073668397</x:v>
      </x:c>
      <x:c r="M684" s="17" t="n">
        <x:f>IF('계산 과정'!$L$6,IF(J684&lt;=0,0,IF(AND(ABS(K684)&lt;='계산 과정'!$D$11/2,ABS(L684)&lt;='계산 과정'!$D$12/2),1,0)),"")</x:f>
        <x:v>1</x:v>
      </x:c>
      <x:c r="N684" s="17" t="n">
        <x:f>IF('계산 과정'!$C$78,IF(AND(ISNUMBER(H684),ISNUMBER(I684),ABS(H684-'계산 과정'!$C$88)&lt;='계산 과정'!$D$23/2,ABS(I684-'계산 과정'!$C$89)&lt;='계산 과정'!$D$24/2),1,0),"")</x:f>
        <x:v>1</x:v>
      </x:c>
      <x:c r="O684" s="4" t="n">
        <x:f>IF('계산 과정'!$L$7,'계산 과정'!$C$49*('계산 과정'!$C$32-D684)+'계산 과정'!$D$49*('계산 과정'!$D$32-E684)+'계산 과정'!$E$49*'계산 과정'!$E$32,"")</x:f>
        <x:v>60.17080172556331</x:v>
      </x:c>
      <x:c r="P684" s="4" t="n">
        <x:f>IF(AND('계산 과정'!$L$7,O684&lt;&gt;0),('계산 과정'!$L$23-'계산 과정'!$C$49*D684-'계산 과정'!$D$49*E684)/O684,"")</x:f>
        <x:v>7.647742568303882</x:v>
      </x:c>
      <x:c r="Q684" s="4" t="str">
        <x:f>IF(AND(ISNUMBER(P684),P684&gt;1E-9,P684&lt;1-1E-9),'계산 과정'!$C$47*(D684-'계산 과정'!$C$50+P684*('계산 과정'!$C$32-D684))+'계산 과정'!$D$47*(E684-'계산 과정'!$D$50+P684*('계산 과정'!$D$32-E684))+'계산 과정'!$E$47*(0-'계산 과정'!$E$50+P684*('계산 과정'!$E$32-0)),"")</x:f>
      </x:c>
      <x:c r="R684" s="4" t="str">
        <x:f>IF(AND(ISNUMBER(P684),P684&gt;1E-9,P684&lt;1-1E-9),'계산 과정'!$C$48*(D684-'계산 과정'!$C$50+P684*('계산 과정'!$C$32-D684))+'계산 과정'!$D$48*(E684-'계산 과정'!$D$50+P684*('계산 과정'!$D$32-E684))+'계산 과정'!$E$48*(0-'계산 과정'!$E$50+P684*('계산 과정'!$E$32-0)),"")</x:f>
      </x:c>
      <x:c r="S684" s="17" t="n">
        <x:f>IF('계산 과정'!$C$78,IF(AND(ISNUMBER(Q684),ISNUMBER(R684),ABS(Q684-'계산 과정'!$C$88)&lt;='계산 과정'!$D$23/2,ABS(R684-'계산 과정'!$C$89)&lt;='계산 과정'!$D$24/2),1,0),"")</x:f>
        <x:v>0</x:v>
      </x:c>
      <x:c r="T684" s="4"/>
      <x:c r="U684" s="4"/>
      <x:c r="V684" s="4"/>
      <x:c r="W684" s="4"/>
      <x:c r="X684" s="4"/>
      <x:c r="Y684" s="4"/>
      <x:c r="Z684" s="4"/>
    </x:row>
    <x:row r="685" ht="23" customHeight="1">
      <x:c r="A685" s="17" t="n">
        <x:f>ROW()-6</x:f>
        <x:v>679</x:v>
      </x:c>
      <x:c r="B685" s="4" t="n">
        <x:f>IF('계산 과정'!$L$5,'계산 과정'!$L$11*SQRT((A685+0.5)/'계산 과정'!$L$30),"")</x:f>
        <x:v>86.4014465210942</x:v>
      </x:c>
      <x:c r="C685" s="4" t="n">
        <x:f>A685*PI()*(3-SQRT(5))</x:f>
        <x:v>1629.5750329857553</x:v>
      </x:c>
      <x:c r="D685" s="4" t="n">
        <x:f>IF('계산 과정'!$L$5,B685*COS(C685),"")</x:f>
        <x:v>-52.922436069891404</x:v>
      </x:c>
      <x:c r="E685" s="4" t="n">
        <x:f>IF('계산 과정'!$L$5,B685*SIN(C685),"")</x:f>
        <x:v>68.29660109672925</x:v>
      </x:c>
      <x:c r="F685" s="4" t="n">
        <x:f>IF('계산 과정'!$L$7,'계산 과정'!$L$22+'계산 과정'!$C$49*D685+'계산 과정'!$D$49*E685,"")</x:f>
        <x:v>687.4218134219318</x:v>
      </x:c>
      <x:c r="G685" s="4" t="n">
        <x:f>IF('계산 과정'!$L$7,IF(ABS(F685)&gt;=1E-12*MAX(1,SQRT((D685-'계산 과정'!$C$33)^2+(E685-'계산 과정'!$D$33)^2+'계산 과정'!$E$33^2)),('계산 과정'!$L$23-'계산 과정'!$C$49*D685-'계산 과정'!$D$49*E685)/F685,""),"")</x:f>
        <x:v>0.527446437542013</x:v>
      </x:c>
      <x:c r="H685" s="4" t="n">
        <x:f>IF(AND(ISNUMBER(G685),G685&gt;0),('계산 과정'!$D$56+'계산 과정'!$D$57*D685+'계산 과정'!$D$58*E685)/F685,"")</x:f>
        <x:v>-57.15981559769166</x:v>
      </x:c>
      <x:c r="I685" s="4" t="n">
        <x:f>IF(AND(ISNUMBER(G685),G685&gt;0),('계산 과정'!$E$56+'계산 과정'!$E$57*D685+'계산 과정'!$E$58*E685)/F685,"")</x:f>
        <x:v>104.31940004142702</x:v>
      </x:c>
      <x:c r="J685" s="4" t="n">
        <x:f>IF('계산 과정'!$L$5,'계산 과정'!$D$6+'계산 과정'!$C$35*D685+'계산 과정'!$D$35*E685,"")</x:f>
        <x:v>687.4218134219318</x:v>
      </x:c>
      <x:c r="K685" s="4" t="n">
        <x:f>IF(AND('계산 과정'!$L$6,J685&gt;0),'계산 과정'!$D$10*('계산 과정'!$C$38*(D685-'계산 과정'!$C$32)+'계산 과정'!$D$38*(E685-'계산 과정'!$D$32)-'계산 과정'!$E$38*'계산 과정'!$E$32)/J685,"")</x:f>
        <x:v>-0.4355033569347926</x:v>
      </x:c>
      <x:c r="L685" s="4" t="n">
        <x:f>IF(AND('계산 과정'!$L$6,J685&gt;0),'계산 과정'!$D$10*('계산 과정'!$C$39*(D685-'계산 과정'!$C$32)+'계산 과정'!$D$39*(E685-'계산 과정'!$D$32)-'계산 과정'!$E$39*'계산 과정'!$E$32)/J685,"")</x:f>
        <x:v>0.7948144765061106</x:v>
      </x:c>
      <x:c r="M685" s="17" t="n">
        <x:f>IF('계산 과정'!$L$6,IF(J685&lt;=0,0,IF(AND(ABS(K685)&lt;='계산 과정'!$D$11/2,ABS(L685)&lt;='계산 과정'!$D$12/2),1,0)),"")</x:f>
        <x:v>1</x:v>
      </x:c>
      <x:c r="N685" s="17" t="n">
        <x:f>IF('계산 과정'!$C$78,IF(AND(ISNUMBER(H685),ISNUMBER(I685),ABS(H685-'계산 과정'!$C$88)&lt;='계산 과정'!$D$23/2,ABS(I685-'계산 과정'!$C$89)&lt;='계산 과정'!$D$24/2),1,0),"")</x:f>
        <x:v>1</x:v>
      </x:c>
      <x:c r="O685" s="4" t="n">
        <x:f>IF('계산 과정'!$L$7,'계산 과정'!$C$49*('계산 과정'!$C$32-D685)+'계산 과정'!$D$49*('계산 과정'!$D$32-E685)+'계산 과정'!$E$49*'계산 과정'!$E$32,"")</x:f>
        <x:v>-37.42181342193163</x:v>
      </x:c>
      <x:c r="P685" s="4" t="n">
        <x:f>IF(AND('계산 과정'!$L$7,O685&lt;&gt;0),('계산 과정'!$L$23-'계산 과정'!$C$49*D685-'계산 과정'!$D$49*E685)/O685,"")</x:f>
        <x:v>-9.688952870615664</x:v>
      </x:c>
      <x:c r="Q685" s="4" t="str">
        <x:f>IF(AND(ISNUMBER(P685),P685&gt;1E-9,P685&lt;1-1E-9),'계산 과정'!$C$47*(D685-'계산 과정'!$C$50+P685*('계산 과정'!$C$32-D685))+'계산 과정'!$D$47*(E685-'계산 과정'!$D$50+P685*('계산 과정'!$D$32-E685))+'계산 과정'!$E$47*(0-'계산 과정'!$E$50+P685*('계산 과정'!$E$32-0)),"")</x:f>
      </x:c>
      <x:c r="R685" s="4" t="str">
        <x:f>IF(AND(ISNUMBER(P685),P685&gt;1E-9,P685&lt;1-1E-9),'계산 과정'!$C$48*(D685-'계산 과정'!$C$50+P685*('계산 과정'!$C$32-D685))+'계산 과정'!$D$48*(E685-'계산 과정'!$D$50+P685*('계산 과정'!$D$32-E685))+'계산 과정'!$E$48*(0-'계산 과정'!$E$50+P685*('계산 과정'!$E$32-0)),"")</x:f>
      </x:c>
      <x:c r="S685" s="17" t="n">
        <x:f>IF('계산 과정'!$C$78,IF(AND(ISNUMBER(Q685),ISNUMBER(R685),ABS(Q685-'계산 과정'!$C$88)&lt;='계산 과정'!$D$23/2,ABS(R685-'계산 과정'!$C$89)&lt;='계산 과정'!$D$24/2),1,0),"")</x:f>
        <x:v>0</x:v>
      </x:c>
      <x:c r="T685" s="4"/>
      <x:c r="U685" s="4"/>
      <x:c r="V685" s="4"/>
      <x:c r="W685" s="4"/>
      <x:c r="X685" s="4"/>
      <x:c r="Y685" s="4"/>
      <x:c r="Z685" s="4"/>
    </x:row>
    <x:row r="686" ht="23" customHeight="1">
      <x:c r="A686" s="17" t="n">
        <x:f>ROW()-6</x:f>
        <x:v>680</x:v>
      </x:c>
      <x:c r="B686" s="4" t="n">
        <x:f>IF('계산 과정'!$L$5,'계산 과정'!$L$11*SQRT((A686+0.5)/'계산 과정'!$L$30),"")</x:f>
        <x:v>86.46500037045335</x:v>
      </x:c>
      <x:c r="C686" s="4" t="n">
        <x:f>A686*PI()*(3-SQRT(5))</x:f>
        <x:v>1631.974996215484</x:v>
      </x:c>
      <x:c r="D686" s="4" t="n">
        <x:f>IF('계산 과정'!$L$5,B686*COS(C686),"")</x:f>
        <x:v>-7.1155639720686255</x:v>
      </x:c>
      <x:c r="E686" s="4" t="n">
        <x:f>IF('계산 과정'!$L$5,B686*SIN(C686),"")</x:f>
        <x:v>-86.17171832116323</x:v>
      </x:c>
      <x:c r="F686" s="4" t="n">
        <x:f>IF('계산 과정'!$L$7,'계산 과정'!$L$22+'계산 과정'!$C$49*D686+'계산 과정'!$D$49*E686,"")</x:f>
        <x:v>655.0314635366165</x:v>
      </x:c>
      <x:c r="G686" s="4" t="n">
        <x:f>IF('계산 과정'!$L$7,IF(ABS(F686)&gt;=1E-12*MAX(1,SQRT((D686-'계산 과정'!$C$33)^2+(E686-'계산 과정'!$D$33)^2+'계산 과정'!$E$33^2)),('계산 과정'!$L$23-'계산 과정'!$C$49*D686-'계산 과정'!$D$49*E686)/F686,""),"")</x:f>
        <x:v>0.6029764346446616</x:v>
      </x:c>
      <x:c r="H686" s="4" t="n">
        <x:f>IF(AND(ISNUMBER(G686),G686&gt;0),('계산 과정'!$D$56+'계산 과정'!$D$57*D686+'계산 과정'!$D$58*E686)/F686,"")</x:f>
        <x:v>-8.065317480970107</x:v>
      </x:c>
      <x:c r="I686" s="4" t="n">
        <x:f>IF(AND(ISNUMBER(G686),G686&gt;0),('계산 과정'!$E$56+'계산 과정'!$E$57*D686+'계산 과정'!$E$58*E686)/F686,"")</x:f>
        <x:v>-138.13123380166226</x:v>
      </x:c>
      <x:c r="J686" s="4" t="n">
        <x:f>IF('계산 과정'!$L$5,'계산 과정'!$D$6+'계산 과정'!$C$35*D686+'계산 과정'!$D$35*E686,"")</x:f>
        <x:v>655.0314635366165</x:v>
      </x:c>
      <x:c r="K686" s="4" t="n">
        <x:f>IF(AND('계산 과정'!$L$6,J686&gt;0),'계산 과정'!$D$10*('계산 과정'!$C$38*(D686-'계산 과정'!$C$32)+'계산 과정'!$D$38*(E686-'계산 과정'!$D$32)-'계산 과정'!$E$38*'계산 과정'!$E$32)/J686,"")</x:f>
        <x:v>-0.061450037950247435</x:v>
      </x:c>
      <x:c r="L686" s="4" t="n">
        <x:f>IF(AND('계산 과정'!$L$6,J686&gt;0),'계산 과정'!$D$10*('계산 과정'!$C$39*(D686-'계산 과정'!$C$32)+'계산 과정'!$D$39*(E686-'계산 과정'!$D$32)-'계산 과정'!$E$39*'계산 과정'!$E$32)/J686,"")</x:f>
        <x:v>-1.0524284480126649</x:v>
      </x:c>
      <x:c r="M686" s="17" t="n">
        <x:f>IF('계산 과정'!$L$6,IF(J686&lt;=0,0,IF(AND(ABS(K686)&lt;='계산 과정'!$D$11/2,ABS(L686)&lt;='계산 과정'!$D$12/2),1,0)),"")</x:f>
        <x:v>1</x:v>
      </x:c>
      <x:c r="N686" s="17" t="n">
        <x:f>IF('계산 과정'!$C$78,IF(AND(ISNUMBER(H686),ISNUMBER(I686),ABS(H686-'계산 과정'!$C$88)&lt;='계산 과정'!$D$23/2,ABS(I686-'계산 과정'!$C$89)&lt;='계산 과정'!$D$24/2),1,0),"")</x:f>
        <x:v>1</x:v>
      </x:c>
      <x:c r="O686" s="4" t="n">
        <x:f>IF('계산 과정'!$L$7,'계산 과정'!$C$49*('계산 과정'!$C$32-D686)+'계산 과정'!$D$49*('계산 과정'!$D$32-E686)+'계산 과정'!$E$49*'계산 과정'!$E$32,"")</x:f>
        <x:v>-5.031463536616286</x:v>
      </x:c>
      <x:c r="P686" s="4" t="n">
        <x:f>IF(AND('계산 과정'!$L$7,O686&lt;&gt;0),('계산 과정'!$L$23-'계산 과정'!$C$49*D686-'계산 과정'!$D$49*E686)/O686,"")</x:f>
        <x:v>-78.49973145765938</x:v>
      </x:c>
      <x:c r="Q686" s="4" t="str">
        <x:f>IF(AND(ISNUMBER(P686),P686&gt;1E-9,P686&lt;1-1E-9),'계산 과정'!$C$47*(D686-'계산 과정'!$C$50+P686*('계산 과정'!$C$32-D686))+'계산 과정'!$D$47*(E686-'계산 과정'!$D$50+P686*('계산 과정'!$D$32-E686))+'계산 과정'!$E$47*(0-'계산 과정'!$E$50+P686*('계산 과정'!$E$32-0)),"")</x:f>
      </x:c>
      <x:c r="R686" s="4" t="str">
        <x:f>IF(AND(ISNUMBER(P686),P686&gt;1E-9,P686&lt;1-1E-9),'계산 과정'!$C$48*(D686-'계산 과정'!$C$50+P686*('계산 과정'!$C$32-D686))+'계산 과정'!$D$48*(E686-'계산 과정'!$D$50+P686*('계산 과정'!$D$32-E686))+'계산 과정'!$E$48*(0-'계산 과정'!$E$50+P686*('계산 과정'!$E$32-0)),"")</x:f>
      </x:c>
      <x:c r="S686" s="17" t="n">
        <x:f>IF('계산 과정'!$C$78,IF(AND(ISNUMBER(Q686),ISNUMBER(R686),ABS(Q686-'계산 과정'!$C$88)&lt;='계산 과정'!$D$23/2,ABS(R686-'계산 과정'!$C$89)&lt;='계산 과정'!$D$24/2),1,0),"")</x:f>
        <x:v>0</x:v>
      </x:c>
      <x:c r="T686" s="4"/>
      <x:c r="U686" s="4"/>
      <x:c r="V686" s="4"/>
      <x:c r="W686" s="4"/>
      <x:c r="X686" s="4"/>
      <x:c r="Y686" s="4"/>
      <x:c r="Z686" s="4"/>
    </x:row>
    <x:row r="687" ht="23" customHeight="1">
      <x:c r="A687" s="17" t="n">
        <x:f>ROW()-6</x:f>
        <x:v>681</x:v>
      </x:c>
      <x:c r="B687" s="4" t="n">
        <x:f>IF('계산 과정'!$L$5,'계산 과정'!$L$11*SQRT((A687+0.5)/'계산 과정'!$L$30),"")</x:f>
        <x:v>86.52850754050655</x:v>
      </x:c>
      <x:c r="C687" s="4" t="n">
        <x:f>A687*PI()*(3-SQRT(5))</x:f>
        <x:v>1634.3749594452127</x:v>
      </x:c>
      <x:c r="D687" s="4" t="n">
        <x:f>IF('계산 과정'!$L$5,B687*COS(C687),"")</x:f>
        <x:v>63.50156144564339</x:v>
      </x:c>
      <x:c r="E687" s="4" t="n">
        <x:f>IF('계산 과정'!$L$5,B687*SIN(C687),"")</x:f>
        <x:v>58.77698793875607</x:v>
      </x:c>
      <x:c r="F687" s="4" t="n">
        <x:f>IF('계산 과정'!$L$7,'계산 과정'!$L$22+'계산 과정'!$C$49*D687+'계산 과정'!$D$49*E687,"")</x:f>
        <x:v>605.0976152858514</x:v>
      </x:c>
      <x:c r="G687" s="4" t="n">
        <x:f>IF('계산 과정'!$L$7,IF(ABS(F687)&gt;=1E-12*MAX(1,SQRT((D687-'계산 과정'!$C$33)^2+(E687-'계산 과정'!$D$33)^2+'계산 과정'!$E$33^2)),('계산 과정'!$L$23-'계산 과정'!$C$49*D687-'계산 과정'!$D$49*E687)/F687,""),"")</x:f>
        <x:v>0.7352572105311874</x:v>
      </x:c>
      <x:c r="H687" s="4" t="n">
        <x:f>IF(AND(ISNUMBER(G687),G687&gt;0),('계산 과정'!$D$56+'계산 과정'!$D$57*D687+'계산 과정'!$D$58*E687)/F687,"")</x:f>
        <x:v>77.91718684527174</x:v>
      </x:c>
      <x:c r="I687" s="4" t="n">
        <x:f>IF(AND(ISNUMBER(G687),G687&gt;0),('계산 과정'!$E$56+'계산 과정'!$E$57*D687+'계산 과정'!$E$58*E687)/F687,"")</x:f>
        <x:v>101.9931921340311</x:v>
      </x:c>
      <x:c r="J687" s="4" t="n">
        <x:f>IF('계산 과정'!$L$5,'계산 과정'!$D$6+'계산 과정'!$C$35*D687+'계산 과정'!$D$35*E687,"")</x:f>
        <x:v>605.0976152858514</x:v>
      </x:c>
      <x:c r="K687" s="4" t="n">
        <x:f>IF(AND('계산 과정'!$L$6,J687&gt;0),'계산 과정'!$D$10*('계산 과정'!$C$38*(D687-'계산 과정'!$C$32)+'계산 과정'!$D$38*(E687-'계산 과정'!$D$32)-'계산 과정'!$E$38*'계산 과정'!$E$32)/J687,"")</x:f>
        <x:v>0.5936547569163573</x:v>
      </x:c>
      <x:c r="L687" s="4" t="n">
        <x:f>IF(AND('계산 과정'!$L$6,J687&gt;0),'계산 과정'!$D$10*('계산 과정'!$C$39*(D687-'계산 과정'!$C$32)+'계산 과정'!$D$39*(E687-'계산 과정'!$D$32)-'계산 과정'!$E$39*'계산 과정'!$E$32)/J687,"")</x:f>
        <x:v>0.777090987687856</x:v>
      </x:c>
      <x:c r="M687" s="17" t="n">
        <x:f>IF('계산 과정'!$L$6,IF(J687&lt;=0,0,IF(AND(ABS(K687)&lt;='계산 과정'!$D$11/2,ABS(L687)&lt;='계산 과정'!$D$12/2),1,0)),"")</x:f>
        <x:v>1</x:v>
      </x:c>
      <x:c r="N687" s="17" t="n">
        <x:f>IF('계산 과정'!$C$78,IF(AND(ISNUMBER(H687),ISNUMBER(I687),ABS(H687-'계산 과정'!$C$88)&lt;='계산 과정'!$D$23/2,ABS(I687-'계산 과정'!$C$89)&lt;='계산 과정'!$D$24/2),1,0),"")</x:f>
        <x:v>1</x:v>
      </x:c>
      <x:c r="O687" s="4" t="n">
        <x:f>IF('계산 과정'!$L$7,'계산 과정'!$C$49*('계산 과정'!$C$32-D687)+'계산 과정'!$D$49*('계산 과정'!$D$32-E687)+'계산 과정'!$E$49*'계산 과정'!$E$32,"")</x:f>
        <x:v>44.90238471414881</x:v>
      </x:c>
      <x:c r="P687" s="4" t="n">
        <x:f>IF(AND('계산 과정'!$L$7,O687&lt;&gt;0),('계산 과정'!$L$23-'계산 과정'!$C$49*D687-'계산 과정'!$D$49*E687)/O687,"")</x:f>
        <x:v>9.908212838726119</x:v>
      </x:c>
      <x:c r="Q687" s="4" t="str">
        <x:f>IF(AND(ISNUMBER(P687),P687&gt;1E-9,P687&lt;1-1E-9),'계산 과정'!$C$47*(D687-'계산 과정'!$C$50+P687*('계산 과정'!$C$32-D687))+'계산 과정'!$D$47*(E687-'계산 과정'!$D$50+P687*('계산 과정'!$D$32-E687))+'계산 과정'!$E$47*(0-'계산 과정'!$E$50+P687*('계산 과정'!$E$32-0)),"")</x:f>
      </x:c>
      <x:c r="R687" s="4" t="str">
        <x:f>IF(AND(ISNUMBER(P687),P687&gt;1E-9,P687&lt;1-1E-9),'계산 과정'!$C$48*(D687-'계산 과정'!$C$50+P687*('계산 과정'!$C$32-D687))+'계산 과정'!$D$48*(E687-'계산 과정'!$D$50+P687*('계산 과정'!$D$32-E687))+'계산 과정'!$E$48*(0-'계산 과정'!$E$50+P687*('계산 과정'!$E$32-0)),"")</x:f>
      </x:c>
      <x:c r="S687" s="17" t="n">
        <x:f>IF('계산 과정'!$C$78,IF(AND(ISNUMBER(Q687),ISNUMBER(R687),ABS(Q687-'계산 과정'!$C$88)&lt;='계산 과정'!$D$23/2,ABS(R687-'계산 과정'!$C$89)&lt;='계산 과정'!$D$24/2),1,0),"")</x:f>
        <x:v>0</x:v>
      </x:c>
      <x:c r="T687" s="4"/>
      <x:c r="U687" s="4"/>
      <x:c r="V687" s="4"/>
      <x:c r="W687" s="4"/>
      <x:c r="X687" s="4"/>
      <x:c r="Y687" s="4"/>
      <x:c r="Z687" s="4"/>
    </x:row>
    <x:row r="688" ht="23" customHeight="1">
      <x:c r="A688" s="17" t="n">
        <x:f>ROW()-6</x:f>
        <x:v>682</x:v>
      </x:c>
      <x:c r="B688" s="4" t="n">
        <x:f>IF('계산 과정'!$L$5,'계산 과정'!$L$11*SQRT((A688+0.5)/'계산 과정'!$L$30),"")</x:f>
        <x:v>86.5919681339586</x:v>
      </x:c>
      <x:c r="C688" s="4" t="n">
        <x:f>A688*PI()*(3-SQRT(5))</x:f>
        <x:v>1636.774922674941</x:v>
      </x:c>
      <x:c r="D688" s="4" t="n">
        <x:f>IF('계산 과정'!$L$5,B688*COS(C688),"")</x:f>
        <x:v>-86.5908197497886</x:v>
      </x:c>
      <x:c r="E688" s="4" t="n">
        <x:f>IF('계산 과정'!$L$5,B688*SIN(C688),"")</x:f>
        <x:v>-0.44596005664631544</x:v>
      </x:c>
      <x:c r="F688" s="4" t="n">
        <x:f>IF('계산 과정'!$L$7,'계산 과정'!$L$22+'계산 과정'!$C$49*D688+'계산 과정'!$D$49*E688,"")</x:f>
        <x:v>711.2289558335775</x:v>
      </x:c>
      <x:c r="G688" s="4" t="n">
        <x:f>IF('계산 과정'!$L$7,IF(ABS(F688)&gt;=1E-12*MAX(1,SQRT((D688-'계산 과정'!$C$33)^2+(E688-'계산 과정'!$D$33)^2+'계산 과정'!$E$33^2)),('계산 과정'!$L$23-'계산 과정'!$C$49*D688-'계산 과정'!$D$49*E688)/F688,""),"")</x:f>
        <x:v>0.4763178458747853</x:v>
      </x:c>
      <x:c r="H688" s="4" t="n">
        <x:f>IF(AND(ISNUMBER(G688),G688&gt;0),('계산 과정'!$D$56+'계산 과정'!$D$57*D688+'계산 과정'!$D$58*E688)/F688,"")</x:f>
        <x:v>-90.3934001813897</x:v>
      </x:c>
      <x:c r="I688" s="4" t="n">
        <x:f>IF(AND(ISNUMBER(G688),G688&gt;0),('계산 과정'!$E$56+'계산 과정'!$E$57*D688+'계산 과정'!$E$58*E688)/F688,"")</x:f>
        <x:v>-0.6583787901742857</x:v>
      </x:c>
      <x:c r="J688" s="4" t="n">
        <x:f>IF('계산 과정'!$L$5,'계산 과정'!$D$6+'계산 과정'!$C$35*D688+'계산 과정'!$D$35*E688,"")</x:f>
        <x:v>711.2289558335775</x:v>
      </x:c>
      <x:c r="K688" s="4" t="n">
        <x:f>IF(AND('계산 과정'!$L$6,J688&gt;0),'계산 과정'!$D$10*('계산 과정'!$C$38*(D688-'계산 과정'!$C$32)+'계산 과정'!$D$38*(E688-'계산 과정'!$D$32)-'계산 과정'!$E$38*'계산 과정'!$E$32)/J688,"")</x:f>
        <x:v>-0.6887116204296345</x:v>
      </x:c>
      <x:c r="L688" s="4" t="n">
        <x:f>IF(AND('계산 과정'!$L$6,J688&gt;0),'계산 과정'!$D$10*('계산 과정'!$C$39*(D688-'계산 과정'!$C$32)+'계산 과정'!$D$39*(E688-'계산 과정'!$D$32)-'계산 과정'!$E$39*'계산 과정'!$E$32)/J688,"")</x:f>
        <x:v>-0.005016219353708843</x:v>
      </x:c>
      <x:c r="M688" s="17" t="n">
        <x:f>IF('계산 과정'!$L$6,IF(J688&lt;=0,0,IF(AND(ABS(K688)&lt;='계산 과정'!$D$11/2,ABS(L688)&lt;='계산 과정'!$D$12/2),1,0)),"")</x:f>
        <x:v>1</x:v>
      </x:c>
      <x:c r="N688" s="17" t="n">
        <x:f>IF('계산 과정'!$C$78,IF(AND(ISNUMBER(H688),ISNUMBER(I688),ABS(H688-'계산 과정'!$C$88)&lt;='계산 과정'!$D$23/2,ABS(I688-'계산 과정'!$C$89)&lt;='계산 과정'!$D$24/2),1,0),"")</x:f>
        <x:v>1</x:v>
      </x:c>
      <x:c r="O688" s="4" t="n">
        <x:f>IF('계산 과정'!$L$7,'계산 과정'!$C$49*('계산 과정'!$C$32-D688)+'계산 과정'!$D$49*('계산 과정'!$D$32-E688)+'계산 과정'!$E$49*'계산 과정'!$E$32,"")</x:f>
        <x:v>-61.2289558335774</x:v>
      </x:c>
      <x:c r="P688" s="4" t="n">
        <x:f>IF(AND('계산 과정'!$L$7,O688&lt;&gt;0),('계산 과정'!$L$23-'계산 과정'!$C$49*D688-'계산 과정'!$D$49*E688)/O688,"")</x:f>
        <x:v>-5.532856792253895</x:v>
      </x:c>
      <x:c r="Q688" s="4" t="str">
        <x:f>IF(AND(ISNUMBER(P688),P688&gt;1E-9,P688&lt;1-1E-9),'계산 과정'!$C$47*(D688-'계산 과정'!$C$50+P688*('계산 과정'!$C$32-D688))+'계산 과정'!$D$47*(E688-'계산 과정'!$D$50+P688*('계산 과정'!$D$32-E688))+'계산 과정'!$E$47*(0-'계산 과정'!$E$50+P688*('계산 과정'!$E$32-0)),"")</x:f>
      </x:c>
      <x:c r="R688" s="4" t="str">
        <x:f>IF(AND(ISNUMBER(P688),P688&gt;1E-9,P688&lt;1-1E-9),'계산 과정'!$C$48*(D688-'계산 과정'!$C$50+P688*('계산 과정'!$C$32-D688))+'계산 과정'!$D$48*(E688-'계산 과정'!$D$50+P688*('계산 과정'!$D$32-E688))+'계산 과정'!$E$48*(0-'계산 과정'!$E$50+P688*('계산 과정'!$E$32-0)),"")</x:f>
      </x:c>
      <x:c r="S688" s="17" t="n">
        <x:f>IF('계산 과정'!$C$78,IF(AND(ISNUMBER(Q688),ISNUMBER(R688),ABS(Q688-'계산 과정'!$C$88)&lt;='계산 과정'!$D$23/2,ABS(R688-'계산 과정'!$C$89)&lt;='계산 과정'!$D$24/2),1,0),"")</x:f>
        <x:v>0</x:v>
      </x:c>
      <x:c r="T688" s="4"/>
      <x:c r="U688" s="4"/>
      <x:c r="V688" s="4"/>
      <x:c r="W688" s="4"/>
      <x:c r="X688" s="4"/>
      <x:c r="Y688" s="4"/>
      <x:c r="Z688" s="4"/>
    </x:row>
    <x:row r="689" ht="23" customHeight="1">
      <x:c r="A689" s="17" t="n">
        <x:f>ROW()-6</x:f>
        <x:v>683</x:v>
      </x:c>
      <x:c r="B689" s="4" t="n">
        <x:f>IF('계산 과정'!$L$5,'계산 과정'!$L$11*SQRT((A689+0.5)/'계산 과정'!$L$30),"")</x:f>
        <x:v>86.65538225313821</x:v>
      </x:c>
      <x:c r="C689" s="4" t="n">
        <x:f>A689*PI()*(3-SQRT(5))</x:f>
        <x:v>1639.17488590467</x:v>
      </x:c>
      <x:c r="D689" s="4" t="n">
        <x:f>IF('계산 과정'!$L$5,B689*COS(C689),"")</x:f>
        <x:v>64.19759688758019</x:v>
      </x:c>
      <x:c r="E689" s="4" t="n">
        <x:f>IF('계산 과정'!$L$5,B689*SIN(C689),"")</x:f>
        <x:v>-58.20501548232125</x:v>
      </x:c>
      <x:c r="F689" s="4" t="n">
        <x:f>IF('계산 과정'!$L$7,'계산 과정'!$L$22+'계산 과정'!$C$49*D689+'계산 과정'!$D$49*E689,"")</x:f>
        <x:v>604.6054439049117</x:v>
      </x:c>
      <x:c r="G689" s="4" t="n">
        <x:f>IF('계산 과정'!$L$7,IF(ABS(F689)&gt;=1E-12*MAX(1,SQRT((D689-'계산 과정'!$C$33)^2+(E689-'계산 과정'!$D$33)^2+'계산 과정'!$E$33^2)),('계산 과정'!$L$23-'계산 과정'!$C$49*D689-'계산 과정'!$D$49*E689)/F689,""),"")</x:f>
        <x:v>0.7366697746193913</x:v>
      </x:c>
      <x:c r="H689" s="4" t="n">
        <x:f>IF(AND(ISNUMBER(G689),G689&gt;0),('계산 과정'!$D$56+'계산 과정'!$D$57*D689+'계산 과정'!$D$58*E689)/F689,"")</x:f>
        <x:v>78.8353535026043</x:v>
      </x:c>
      <x:c r="I689" s="4" t="n">
        <x:f>IF(AND(ISNUMBER(G689),G689&gt;0),('계산 과정'!$E$56+'계산 과정'!$E$57*D689+'계산 과정'!$E$58*E689)/F689,"")</x:f>
        <x:v>-101.08289111940104</x:v>
      </x:c>
      <x:c r="J689" s="4" t="n">
        <x:f>IF('계산 과정'!$L$5,'계산 과정'!$D$6+'계산 과정'!$C$35*D689+'계산 과정'!$D$35*E689,"")</x:f>
        <x:v>604.6054439049117</x:v>
      </x:c>
      <x:c r="K689" s="4" t="n">
        <x:f>IF(AND('계산 과정'!$L$6,J689&gt;0),'계산 과정'!$D$10*('계산 과정'!$C$38*(D689-'계산 과정'!$C$32)+'계산 과정'!$D$38*(E689-'계산 과정'!$D$32)-'계산 과정'!$E$38*'계산 과정'!$E$32)/J689,"")</x:f>
        <x:v>0.6006503124007958</x:v>
      </x:c>
      <x:c r="L689" s="4" t="n">
        <x:f>IF(AND('계산 과정'!$L$6,J689&gt;0),'계산 과정'!$D$10*('계산 과정'!$C$39*(D689-'계산 과정'!$C$32)+'계산 과정'!$D$39*(E689-'계산 과정'!$D$32)-'계산 과정'!$E$39*'계산 과정'!$E$32)/J689,"")</x:f>
        <x:v>-0.7701553609097221</x:v>
      </x:c>
      <x:c r="M689" s="17" t="n">
        <x:f>IF('계산 과정'!$L$6,IF(J689&lt;=0,0,IF(AND(ABS(K689)&lt;='계산 과정'!$D$11/2,ABS(L689)&lt;='계산 과정'!$D$12/2),1,0)),"")</x:f>
        <x:v>1</x:v>
      </x:c>
      <x:c r="N689" s="17" t="n">
        <x:f>IF('계산 과정'!$C$78,IF(AND(ISNUMBER(H689),ISNUMBER(I689),ABS(H689-'계산 과정'!$C$88)&lt;='계산 과정'!$D$23/2,ABS(I689-'계산 과정'!$C$89)&lt;='계산 과정'!$D$24/2),1,0),"")</x:f>
        <x:v>1</x:v>
      </x:c>
      <x:c r="O689" s="4" t="n">
        <x:f>IF('계산 과정'!$L$7,'계산 과정'!$C$49*('계산 과정'!$C$32-D689)+'계산 과정'!$D$49*('계산 과정'!$D$32-E689)+'계산 과정'!$E$49*'계산 과정'!$E$32,"")</x:f>
        <x:v>45.39455609508843</x:v>
      </x:c>
      <x:c r="P689" s="4" t="n">
        <x:f>IF(AND('계산 과정'!$L$7,O689&lt;&gt;0),('계산 과정'!$L$23-'계산 과정'!$C$49*D689-'계산 과정'!$D$49*E689)/O689,"")</x:f>
        <x:v>9.81162928792862</x:v>
      </x:c>
      <x:c r="Q689" s="4" t="str">
        <x:f>IF(AND(ISNUMBER(P689),P689&gt;1E-9,P689&lt;1-1E-9),'계산 과정'!$C$47*(D689-'계산 과정'!$C$50+P689*('계산 과정'!$C$32-D689))+'계산 과정'!$D$47*(E689-'계산 과정'!$D$50+P689*('계산 과정'!$D$32-E689))+'계산 과정'!$E$47*(0-'계산 과정'!$E$50+P689*('계산 과정'!$E$32-0)),"")</x:f>
      </x:c>
      <x:c r="R689" s="4" t="str">
        <x:f>IF(AND(ISNUMBER(P689),P689&gt;1E-9,P689&lt;1-1E-9),'계산 과정'!$C$48*(D689-'계산 과정'!$C$50+P689*('계산 과정'!$C$32-D689))+'계산 과정'!$D$48*(E689-'계산 과정'!$D$50+P689*('계산 과정'!$D$32-E689))+'계산 과정'!$E$48*(0-'계산 과정'!$E$50+P689*('계산 과정'!$E$32-0)),"")</x:f>
      </x:c>
      <x:c r="S689" s="17" t="n">
        <x:f>IF('계산 과정'!$C$78,IF(AND(ISNUMBER(Q689),ISNUMBER(R689),ABS(Q689-'계산 과정'!$C$88)&lt;='계산 과정'!$D$23/2,ABS(R689-'계산 과정'!$C$89)&lt;='계산 과정'!$D$24/2),1,0),"")</x:f>
        <x:v>0</x:v>
      </x:c>
      <x:c r="T689" s="4"/>
      <x:c r="U689" s="4"/>
      <x:c r="V689" s="4"/>
      <x:c r="W689" s="4"/>
      <x:c r="X689" s="4"/>
      <x:c r="Y689" s="4"/>
      <x:c r="Z689" s="4"/>
    </x:row>
    <x:row r="690" ht="23" customHeight="1">
      <x:c r="A690" s="17" t="n">
        <x:f>ROW()-6</x:f>
        <x:v>684</x:v>
      </x:c>
      <x:c r="B690" s="4" t="n">
        <x:f>IF('계산 과정'!$L$5,'계산 과정'!$L$11*SQRT((A690+0.5)/'계산 과정'!$L$30),"")</x:f>
        <x:v>86.71875</x:v>
      </x:c>
      <x:c r="C690" s="4" t="n">
        <x:f>A690*PI()*(3-SQRT(5))</x:f>
        <x:v>1641.5748491343986</x:v>
      </x:c>
      <x:c r="D690" s="4" t="n">
        <x:f>IF('계산 과정'!$L$5,B690*COS(C690),"")</x:f>
        <x:v>-8.026251957056155</x:v>
      </x:c>
      <x:c r="E690" s="4" t="n">
        <x:f>IF('계산 과정'!$L$5,B690*SIN(C690),"")</x:f>
        <x:v>86.34651632280455</x:v>
      </x:c>
      <x:c r="F690" s="4" t="n">
        <x:f>IF('계산 과정'!$L$7,'계산 과정'!$L$22+'계산 과정'!$C$49*D690+'계산 과정'!$D$49*E690,"")</x:f>
        <x:v>655.6754171863462</x:v>
      </x:c>
      <x:c r="G690" s="4" t="n">
        <x:f>IF('계산 과정'!$L$7,IF(ABS(F690)&gt;=1E-12*MAX(1,SQRT((D690-'계산 과정'!$C$33)^2+(E690-'계산 과정'!$D$33)^2+'계산 과정'!$E$33^2)),('계산 과정'!$L$23-'계산 과정'!$C$49*D690-'계산 과정'!$D$49*E690)/F690,""),"")</x:f>
        <x:v>0.6014021152505475</x:v>
      </x:c>
      <x:c r="H690" s="4" t="n">
        <x:f>IF(AND(ISNUMBER(G690),G690&gt;0),('계산 과정'!$D$56+'계산 과정'!$D$57*D690+'계산 과정'!$D$58*E690)/F690,"")</x:f>
        <x:v>-9.088625087144239</x:v>
      </x:c>
      <x:c r="I690" s="4" t="n">
        <x:f>IF(AND(ISNUMBER(G690),G690&gt;0),('계산 과정'!$E$56+'계산 과정'!$E$57*D690+'계산 과정'!$E$58*E690)/F690,"")</x:f>
        <x:v>138.27549388385515</x:v>
      </x:c>
      <x:c r="J690" s="4" t="n">
        <x:f>IF('계산 과정'!$L$5,'계산 과정'!$D$6+'계산 과정'!$C$35*D690+'계산 과정'!$D$35*E690,"")</x:f>
        <x:v>655.6754171863462</x:v>
      </x:c>
      <x:c r="K690" s="4" t="n">
        <x:f>IF(AND('계산 과정'!$L$6,J690&gt;0),'계산 과정'!$D$10*('계산 과정'!$C$38*(D690-'계산 과정'!$C$32)+'계산 과정'!$D$38*(E690-'계산 과정'!$D$32)-'계산 과정'!$E$38*'계산 과정'!$E$32)/J690,"")</x:f>
        <x:v>-0.0692466673306216</x:v>
      </x:c>
      <x:c r="L690" s="4" t="n">
        <x:f>IF(AND('계산 과정'!$L$6,J690&gt;0),'계산 과정'!$D$10*('계산 과정'!$C$39*(D690-'계산 과정'!$C$32)+'계산 과정'!$D$39*(E690-'계산 과정'!$D$32)-'계산 과정'!$E$39*'계산 과정'!$E$32)/J690,"")</x:f>
        <x:v>1.05352757244842</x:v>
      </x:c>
      <x:c r="M690" s="17" t="n">
        <x:f>IF('계산 과정'!$L$6,IF(J690&lt;=0,0,IF(AND(ABS(K690)&lt;='계산 과정'!$D$11/2,ABS(L690)&lt;='계산 과정'!$D$12/2),1,0)),"")</x:f>
        <x:v>1</x:v>
      </x:c>
      <x:c r="N690" s="17" t="n">
        <x:f>IF('계산 과정'!$C$78,IF(AND(ISNUMBER(H690),ISNUMBER(I690),ABS(H690-'계산 과정'!$C$88)&lt;='계산 과정'!$D$23/2,ABS(I690-'계산 과정'!$C$89)&lt;='계산 과정'!$D$24/2),1,0),"")</x:f>
        <x:v>1</x:v>
      </x:c>
      <x:c r="O690" s="4" t="n">
        <x:f>IF('계산 과정'!$L$7,'계산 과정'!$C$49*('계산 과정'!$C$32-D690)+'계산 과정'!$D$49*('계산 과정'!$D$32-E690)+'계산 과정'!$E$49*'계산 과정'!$E$32,"")</x:f>
        <x:v>-5.675417186346067</x:v>
      </x:c>
      <x:c r="P690" s="4" t="n">
        <x:f>IF(AND('계산 과정'!$L$7,O690&lt;&gt;0),('계산 과정'!$L$23-'계산 과정'!$C$49*D690-'계산 과정'!$D$49*E690)/O690,"")</x:f>
        <x:v>-69.4794003447572</x:v>
      </x:c>
      <x:c r="Q690" s="4" t="str">
        <x:f>IF(AND(ISNUMBER(P690),P690&gt;1E-9,P690&lt;1-1E-9),'계산 과정'!$C$47*(D690-'계산 과정'!$C$50+P690*('계산 과정'!$C$32-D690))+'계산 과정'!$D$47*(E690-'계산 과정'!$D$50+P690*('계산 과정'!$D$32-E690))+'계산 과정'!$E$47*(0-'계산 과정'!$E$50+P690*('계산 과정'!$E$32-0)),"")</x:f>
      </x:c>
      <x:c r="R690" s="4" t="str">
        <x:f>IF(AND(ISNUMBER(P690),P690&gt;1E-9,P690&lt;1-1E-9),'계산 과정'!$C$48*(D690-'계산 과정'!$C$50+P690*('계산 과정'!$C$32-D690))+'계산 과정'!$D$48*(E690-'계산 과정'!$D$50+P690*('계산 과정'!$D$32-E690))+'계산 과정'!$E$48*(0-'계산 과정'!$E$50+P690*('계산 과정'!$E$32-0)),"")</x:f>
      </x:c>
      <x:c r="S690" s="17" t="n">
        <x:f>IF('계산 과정'!$C$78,IF(AND(ISNUMBER(Q690),ISNUMBER(R690),ABS(Q690-'계산 과정'!$C$88)&lt;='계산 과정'!$D$23/2,ABS(R690-'계산 과정'!$C$89)&lt;='계산 과정'!$D$24/2),1,0),"")</x:f>
        <x:v>0</x:v>
      </x:c>
      <x:c r="T690" s="4"/>
      <x:c r="U690" s="4"/>
      <x:c r="V690" s="4"/>
      <x:c r="W690" s="4"/>
      <x:c r="X690" s="4"/>
      <x:c r="Y690" s="4"/>
      <x:c r="Z690" s="4"/>
    </x:row>
    <x:row r="691" ht="23" customHeight="1">
      <x:c r="A691" s="17" t="n">
        <x:f>ROW()-6</x:f>
        <x:v>685</x:v>
      </x:c>
      <x:c r="B691" s="4" t="n">
        <x:f>IF('계산 과정'!$L$5,'계산 과정'!$L$11*SQRT((A691+0.5)/'계산 과정'!$L$30),"")</x:f>
        <x:v>86.78207147612633</x:v>
      </x:c>
      <x:c r="C691" s="4" t="n">
        <x:f>A691*PI()*(3-SQRT(5))</x:f>
        <x:v>1643.974812364127</x:v>
      </x:c>
      <x:c r="D691" s="4" t="n">
        <x:f>IF('계산 과정'!$L$5,B691*COS(C691),"")</x:f>
        <x:v>-52.44619325019805</x:v>
      </x:c>
      <x:c r="E691" s="4" t="n">
        <x:f>IF('계산 과정'!$L$5,B691*SIN(C691),"")</x:f>
        <x:v>-69.14133888818165</x:v>
      </x:c>
      <x:c r="F691" s="4" t="n">
        <x:f>IF('계산 과정'!$L$7,'계산 과정'!$L$22+'계산 과정'!$C$49*D691+'계산 과정'!$D$49*E691,"")</x:f>
        <x:v>687.0850588946352</x:v>
      </x:c>
      <x:c r="G691" s="4" t="n">
        <x:f>IF('계산 과정'!$L$7,IF(ABS(F691)&gt;=1E-12*MAX(1,SQRT((D691-'계산 과정'!$C$33)^2+(E691-'계산 과정'!$D$33)^2+'계산 과정'!$E$33^2)),('계산 과정'!$L$23-'계산 과정'!$C$49*D691-'계산 과정'!$D$49*E691)/F691,""),"")</x:f>
        <x:v>0.5281950704752816</x:v>
      </x:c>
      <x:c r="H691" s="4" t="n">
        <x:f>IF(AND(ISNUMBER(G691),G691&gt;0),('계산 과정'!$D$56+'계산 과정'!$D$57*D691+'계산 과정'!$D$58*E691)/F691,"")</x:f>
        <x:v>-56.6732041910671</x:v>
      </x:c>
      <x:c r="I691" s="4" t="n">
        <x:f>IF(AND(ISNUMBER(G691),G691&gt;0),('계산 과정'!$E$56+'계산 과정'!$E$57*D691+'계산 과정'!$E$58*E691)/F691,"")</x:f>
        <x:v>-105.6614532549801</x:v>
      </x:c>
      <x:c r="J691" s="4" t="n">
        <x:f>IF('계산 과정'!$L$5,'계산 과정'!$D$6+'계산 과정'!$C$35*D691+'계산 과정'!$D$35*E691,"")</x:f>
        <x:v>687.0850588946352</x:v>
      </x:c>
      <x:c r="K691" s="4" t="n">
        <x:f>IF(AND('계산 과정'!$L$6,J691&gt;0),'계산 과정'!$D$10*('계산 과정'!$C$38*(D691-'계산 과정'!$C$32)+'계산 과정'!$D$38*(E691-'계산 과정'!$D$32)-'계산 과정'!$E$38*'계산 과정'!$E$32)/J691,"")</x:f>
        <x:v>-0.4317958414557481</x:v>
      </x:c>
      <x:c r="L691" s="4" t="n">
        <x:f>IF(AND('계산 과정'!$L$6,J691&gt;0),'계산 과정'!$D$10*('계산 과정'!$C$39*(D691-'계산 과정'!$C$32)+'계산 과정'!$D$39*(E691-'계산 과정'!$D$32)-'계산 과정'!$E$39*'계산 과정'!$E$32)/J691,"")</x:f>
        <x:v>-0.8050396438474673</x:v>
      </x:c>
      <x:c r="M691" s="17" t="n">
        <x:f>IF('계산 과정'!$L$6,IF(J691&lt;=0,0,IF(AND(ABS(K691)&lt;='계산 과정'!$D$11/2,ABS(L691)&lt;='계산 과정'!$D$12/2),1,0)),"")</x:f>
        <x:v>1</x:v>
      </x:c>
      <x:c r="N691" s="17" t="n">
        <x:f>IF('계산 과정'!$C$78,IF(AND(ISNUMBER(H691),ISNUMBER(I691),ABS(H691-'계산 과정'!$C$88)&lt;='계산 과정'!$D$23/2,ABS(I691-'계산 과정'!$C$89)&lt;='계산 과정'!$D$24/2),1,0),"")</x:f>
        <x:v>1</x:v>
      </x:c>
      <x:c r="O691" s="4" t="n">
        <x:f>IF('계산 과정'!$L$7,'계산 과정'!$C$49*('계산 과정'!$C$32-D691)+'계산 과정'!$D$49*('계산 과정'!$D$32-E691)+'계산 과정'!$E$49*'계산 과정'!$E$32,"")</x:f>
        <x:v>-37.08505889463504</x:v>
      </x:c>
      <x:c r="P691" s="4" t="n">
        <x:f>IF(AND('계산 과정'!$L$7,O691&lt;&gt;0),('계산 과정'!$L$23-'계산 과정'!$C$49*D691-'계산 과정'!$D$49*E691)/O691,"")</x:f>
        <x:v>-9.786014959190652</x:v>
      </x:c>
      <x:c r="Q691" s="4" t="str">
        <x:f>IF(AND(ISNUMBER(P691),P691&gt;1E-9,P691&lt;1-1E-9),'계산 과정'!$C$47*(D691-'계산 과정'!$C$50+P691*('계산 과정'!$C$32-D691))+'계산 과정'!$D$47*(E691-'계산 과정'!$D$50+P691*('계산 과정'!$D$32-E691))+'계산 과정'!$E$47*(0-'계산 과정'!$E$50+P691*('계산 과정'!$E$32-0)),"")</x:f>
      </x:c>
      <x:c r="R691" s="4" t="str">
        <x:f>IF(AND(ISNUMBER(P691),P691&gt;1E-9,P691&lt;1-1E-9),'계산 과정'!$C$48*(D691-'계산 과정'!$C$50+P691*('계산 과정'!$C$32-D691))+'계산 과정'!$D$48*(E691-'계산 과정'!$D$50+P691*('계산 과정'!$D$32-E691))+'계산 과정'!$E$48*(0-'계산 과정'!$E$50+P691*('계산 과정'!$E$32-0)),"")</x:f>
      </x:c>
      <x:c r="S691" s="17" t="n">
        <x:f>IF('계산 과정'!$C$78,IF(AND(ISNUMBER(Q691),ISNUMBER(R691),ABS(Q691-'계산 과정'!$C$88)&lt;='계산 과정'!$D$23/2,ABS(R691-'계산 과정'!$C$89)&lt;='계산 과정'!$D$24/2),1,0),"")</x:f>
        <x:v>0</x:v>
      </x:c>
      <x:c r="T691" s="4"/>
      <x:c r="U691" s="4"/>
      <x:c r="V691" s="4"/>
      <x:c r="W691" s="4"/>
      <x:c r="X691" s="4"/>
      <x:c r="Y691" s="4"/>
      <x:c r="Z691" s="4"/>
    </x:row>
    <x:row r="692" ht="23" customHeight="1">
      <x:c r="A692" s="17" t="n">
        <x:f>ROW()-6</x:f>
        <x:v>686</x:v>
      </x:c>
      <x:c r="B692" s="4" t="n">
        <x:f>IF('계산 과정'!$L$5,'계산 과정'!$L$11*SQRT((A692+0.5)/'계산 과정'!$L$30),"")</x:f>
        <x:v>86.84534678272924</x:v>
      </x:c>
      <x:c r="C692" s="4" t="n">
        <x:f>A692*PI()*(3-SQRT(5))</x:f>
        <x:v>1646.374775593856</x:v>
      </x:c>
      <x:c r="D692" s="4" t="n">
        <x:f>IF('계산 과정'!$L$5,B692*COS(C692),"")</x:f>
        <x:v>85.43874448720857</x:v>
      </x:c>
      <x:c r="E692" s="4" t="n">
        <x:f>IF('계산 과정'!$L$5,B692*SIN(C692),"")</x:f>
        <x:v>15.567119138170286</x:v>
      </x:c>
      <x:c r="F692" s="4" t="n">
        <x:f>IF('계산 과정'!$L$7,'계산 과정'!$L$22+'계산 과정'!$C$49*D692+'계산 과정'!$D$49*E692,"")</x:f>
        <x:v>589.58568439703</x:v>
      </x:c>
      <x:c r="G692" s="4" t="n">
        <x:f>IF('계산 과정'!$L$7,IF(ABS(F692)&gt;=1E-12*MAX(1,SQRT((D692-'계산 과정'!$C$33)^2+(E692-'계산 과정'!$D$33)^2+'계산 과정'!$E$33^2)),('계산 과정'!$L$23-'계산 과정'!$C$49*D692-'계산 과정'!$D$49*E692)/F692,""),"")</x:f>
        <x:v>0.7809116262275536</x:v>
      </x:c>
      <x:c r="H692" s="4" t="n">
        <x:f>IF(AND(ISNUMBER(G692),G692&gt;0),('계산 과정'!$D$56+'계산 과정'!$D$57*D692+'계산 과정'!$D$58*E692)/F692,"")</x:f>
        <x:v>107.59255704790976</x:v>
      </x:c>
      <x:c r="I692" s="4" t="n">
        <x:f>IF(AND(ISNUMBER(G692),G692&gt;0),('계산 과정'!$E$56+'계산 과정'!$E$57*D692+'계산 과정'!$E$58*E692)/F692,"")</x:f>
        <x:v>27.723663460036917</x:v>
      </x:c>
      <x:c r="J692" s="4" t="n">
        <x:f>IF('계산 과정'!$L$5,'계산 과정'!$D$6+'계산 과정'!$C$35*D692+'계산 과정'!$D$35*E692,"")</x:f>
        <x:v>589.58568439703</x:v>
      </x:c>
      <x:c r="K692" s="4" t="n">
        <x:f>IF(AND('계산 과정'!$L$6,J692&gt;0),'계산 과정'!$D$10*('계산 과정'!$C$38*(D692-'계산 과정'!$C$32)+'계산 과정'!$D$38*(E692-'계산 과정'!$D$32)-'계산 과정'!$E$38*'계산 과정'!$E$32)/J692,"")</x:f>
        <x:v>0.8197528156031231</x:v>
      </x:c>
      <x:c r="L692" s="4" t="n">
        <x:f>IF(AND('계산 과정'!$L$6,J692&gt;0),'계산 과정'!$D$10*('계산 과정'!$C$39*(D692-'계산 과정'!$C$32)+'계산 과정'!$D$39*(E692-'계산 과정'!$D$32)-'계산 과정'!$E$39*'계산 과정'!$E$32)/J692,"")</x:f>
        <x:v>0.21122791207647176</x:v>
      </x:c>
      <x:c r="M692" s="17" t="n">
        <x:f>IF('계산 과정'!$L$6,IF(J692&lt;=0,0,IF(AND(ABS(K692)&lt;='계산 과정'!$D$11/2,ABS(L692)&lt;='계산 과정'!$D$12/2),1,0)),"")</x:f>
        <x:v>1</x:v>
      </x:c>
      <x:c r="N692" s="17" t="n">
        <x:f>IF('계산 과정'!$C$78,IF(AND(ISNUMBER(H692),ISNUMBER(I692),ABS(H692-'계산 과정'!$C$88)&lt;='계산 과정'!$D$23/2,ABS(I692-'계산 과정'!$C$89)&lt;='계산 과정'!$D$24/2),1,0),"")</x:f>
        <x:v>1</x:v>
      </x:c>
      <x:c r="O692" s="4" t="n">
        <x:f>IF('계산 과정'!$L$7,'계산 과정'!$C$49*('계산 과정'!$C$32-D692)+'계산 과정'!$D$49*('계산 과정'!$D$32-E692)+'계산 과정'!$E$49*'계산 과정'!$E$32,"")</x:f>
        <x:v>60.41431560297002</x:v>
      </x:c>
      <x:c r="P692" s="4" t="n">
        <x:f>IF(AND('계산 과정'!$L$7,O692&lt;&gt;0),('계산 과정'!$L$23-'계산 과정'!$C$49*D692-'계산 과정'!$D$49*E692)/O692,"")</x:f>
        <x:v>7.620947303760163</x:v>
      </x:c>
      <x:c r="Q692" s="4" t="str">
        <x:f>IF(AND(ISNUMBER(P692),P692&gt;1E-9,P692&lt;1-1E-9),'계산 과정'!$C$47*(D692-'계산 과정'!$C$50+P692*('계산 과정'!$C$32-D692))+'계산 과정'!$D$47*(E692-'계산 과정'!$D$50+P692*('계산 과정'!$D$32-E692))+'계산 과정'!$E$47*(0-'계산 과정'!$E$50+P692*('계산 과정'!$E$32-0)),"")</x:f>
      </x:c>
      <x:c r="R692" s="4" t="str">
        <x:f>IF(AND(ISNUMBER(P692),P692&gt;1E-9,P692&lt;1-1E-9),'계산 과정'!$C$48*(D692-'계산 과정'!$C$50+P692*('계산 과정'!$C$32-D692))+'계산 과정'!$D$48*(E692-'계산 과정'!$D$50+P692*('계산 과정'!$D$32-E692))+'계산 과정'!$E$48*(0-'계산 과정'!$E$50+P692*('계산 과정'!$E$32-0)),"")</x:f>
      </x:c>
      <x:c r="S692" s="17" t="n">
        <x:f>IF('계산 과정'!$C$78,IF(AND(ISNUMBER(Q692),ISNUMBER(R692),ABS(Q692-'계산 과정'!$C$88)&lt;='계산 과정'!$D$23/2,ABS(R692-'계산 과정'!$C$89)&lt;='계산 과정'!$D$24/2),1,0),"")</x:f>
        <x:v>0</x:v>
      </x:c>
      <x:c r="T692" s="4"/>
      <x:c r="U692" s="4"/>
      <x:c r="V692" s="4"/>
      <x:c r="W692" s="4"/>
      <x:c r="X692" s="4"/>
      <x:c r="Y692" s="4"/>
      <x:c r="Z692" s="4"/>
    </x:row>
    <x:row r="693" ht="23" customHeight="1">
      <x:c r="A693" s="17" t="n">
        <x:f>ROW()-6</x:f>
        <x:v>687</x:v>
      </x:c>
      <x:c r="B693" s="4" t="n">
        <x:f>IF('계산 과정'!$L$5,'계산 과정'!$L$11*SQRT((A693+0.5)/'계산 과정'!$L$30),"")</x:f>
        <x:v>86.9085760206523</x:v>
      </x:c>
      <x:c r="C693" s="4" t="n">
        <x:f>A693*PI()*(3-SQRT(5))</x:f>
        <x:v>1648.7747388235846</x:v>
      </x:c>
      <x:c r="D693" s="4" t="n">
        <x:f>IF('계산 과정'!$L$5,B693*COS(C693),"")</x:f>
        <x:v>-73.56883313069658</x:v>
      </x:c>
      <x:c r="E693" s="4" t="n">
        <x:f>IF('계산 과정'!$L$5,B693*SIN(C693),"")</x:f>
        <x:v>46.26799517728451</x:v>
      </x:c>
      <x:c r="F693" s="4" t="n">
        <x:f>IF('계산 과정'!$L$7,'계산 과정'!$L$22+'계산 과정'!$C$49*D693+'계산 과정'!$D$49*E693,"")</x:f>
        <x:v>702.0210207906971</x:v>
      </x:c>
      <x:c r="G693" s="4" t="n">
        <x:f>IF('계산 과정'!$L$7,IF(ABS(F693)&gt;=1E-12*MAX(1,SQRT((D693-'계산 과정'!$C$33)^2+(E693-'계산 과정'!$D$33)^2+'계산 과정'!$E$33^2)),('계산 과정'!$L$23-'계산 과정'!$C$49*D693-'계산 과정'!$D$49*E693)/F693,""),"")</x:f>
        <x:v>0.4956817088146005</x:v>
      </x:c>
      <x:c r="H693" s="4" t="n">
        <x:f>IF(AND(ISNUMBER(G693),G693&gt;0),('계산 과정'!$D$56+'계산 과정'!$D$57*D693+'계산 과정'!$D$58*E693)/F693,"")</x:f>
        <x:v>-77.8068892705098</x:v>
      </x:c>
      <x:c r="I693" s="4" t="n">
        <x:f>IF(AND(ISNUMBER(G693),G693&gt;0),('계산 과정'!$E$56+'계산 과정'!$E$57*D693+'계산 과정'!$E$58*E693)/F693,"")</x:f>
        <x:v>69.2021940901866</x:v>
      </x:c>
      <x:c r="J693" s="4" t="n">
        <x:f>IF('계산 과정'!$L$5,'계산 과정'!$D$6+'계산 과정'!$C$35*D693+'계산 과정'!$D$35*E693,"")</x:f>
        <x:v>702.0210207906971</x:v>
      </x:c>
      <x:c r="K693" s="4" t="n">
        <x:f>IF(AND('계산 과정'!$L$6,J693&gt;0),'계산 과정'!$D$10*('계산 과정'!$C$38*(D693-'계산 과정'!$C$32)+'계산 과정'!$D$38*(E693-'계산 과정'!$D$32)-'계산 과정'!$E$38*'계산 과정'!$E$32)/J693,"")</x:f>
        <x:v>-0.5928143944419786</x:v>
      </x:c>
      <x:c r="L693" s="4" t="n">
        <x:f>IF(AND('계산 과정'!$L$6,J693&gt;0),'계산 과정'!$D$10*('계산 과정'!$C$39*(D693-'계산 과정'!$C$32)+'계산 과정'!$D$39*(E693-'계산 과정'!$D$32)-'계산 과정'!$E$39*'계산 과정'!$E$32)/J693,"")</x:f>
        <x:v>0.5272548121157073</x:v>
      </x:c>
      <x:c r="M693" s="17" t="n">
        <x:f>IF('계산 과정'!$L$6,IF(J693&lt;=0,0,IF(AND(ABS(K693)&lt;='계산 과정'!$D$11/2,ABS(L693)&lt;='계산 과정'!$D$12/2),1,0)),"")</x:f>
        <x:v>1</x:v>
      </x:c>
      <x:c r="N693" s="17" t="n">
        <x:f>IF('계산 과정'!$C$78,IF(AND(ISNUMBER(H693),ISNUMBER(I693),ABS(H693-'계산 과정'!$C$88)&lt;='계산 과정'!$D$23/2,ABS(I693-'계산 과정'!$C$89)&lt;='계산 과정'!$D$24/2),1,0),"")</x:f>
        <x:v>1</x:v>
      </x:c>
      <x:c r="O693" s="4" t="n">
        <x:f>IF('계산 과정'!$L$7,'계산 과정'!$C$49*('계산 과정'!$C$32-D693)+'계산 과정'!$D$49*('계산 과정'!$D$32-E693)+'계산 과정'!$E$49*'계산 과정'!$E$32,"")</x:f>
        <x:v>-52.02102079069698</x:v>
      </x:c>
      <x:c r="P693" s="4" t="n">
        <x:f>IF(AND('계산 과정'!$L$7,O693&lt;&gt;0),('계산 과정'!$L$23-'계산 과정'!$C$49*D693-'계산 과정'!$D$49*E693)/O693,"")</x:f>
        <x:v>-6.6891993644141</x:v>
      </x:c>
      <x:c r="Q693" s="4" t="str">
        <x:f>IF(AND(ISNUMBER(P693),P693&gt;1E-9,P693&lt;1-1E-9),'계산 과정'!$C$47*(D693-'계산 과정'!$C$50+P693*('계산 과정'!$C$32-D693))+'계산 과정'!$D$47*(E693-'계산 과정'!$D$50+P693*('계산 과정'!$D$32-E693))+'계산 과정'!$E$47*(0-'계산 과정'!$E$50+P693*('계산 과정'!$E$32-0)),"")</x:f>
      </x:c>
      <x:c r="R693" s="4" t="str">
        <x:f>IF(AND(ISNUMBER(P693),P693&gt;1E-9,P693&lt;1-1E-9),'계산 과정'!$C$48*(D693-'계산 과정'!$C$50+P693*('계산 과정'!$C$32-D693))+'계산 과정'!$D$48*(E693-'계산 과정'!$D$50+P693*('계산 과정'!$D$32-E693))+'계산 과정'!$E$48*(0-'계산 과정'!$E$50+P693*('계산 과정'!$E$32-0)),"")</x:f>
      </x:c>
      <x:c r="S693" s="17" t="n">
        <x:f>IF('계산 과정'!$C$78,IF(AND(ISNUMBER(Q693),ISNUMBER(R693),ABS(Q693-'계산 과정'!$C$88)&lt;='계산 과정'!$D$23/2,ABS(R693-'계산 과정'!$C$89)&lt;='계산 과정'!$D$24/2),1,0),"")</x:f>
        <x:v>0</x:v>
      </x:c>
      <x:c r="T693" s="4"/>
      <x:c r="U693" s="4"/>
      <x:c r="V693" s="4"/>
      <x:c r="W693" s="4"/>
      <x:c r="X693" s="4"/>
      <x:c r="Y693" s="4"/>
      <x:c r="Z693" s="4"/>
    </x:row>
    <x:row r="694" ht="23" customHeight="1">
      <x:c r="A694" s="17" t="n">
        <x:f>ROW()-6</x:f>
        <x:v>688</x:v>
      </x:c>
      <x:c r="B694" s="4" t="n">
        <x:f>IF('계산 과정'!$L$5,'계산 과정'!$L$11*SQRT((A694+0.5)/'계산 과정'!$L$30),"")</x:f>
        <x:v>86.97175929037253</x:v>
      </x:c>
      <x:c r="C694" s="4" t="n">
        <x:f>A694*PI()*(3-SQRT(5))</x:f>
        <x:v>1651.1747020533132</x:v>
      </x:c>
      <x:c r="D694" s="4" t="n">
        <x:f>IF('계산 과정'!$L$5,B694*COS(C694),"")</x:f>
        <x:v>23.010502946986417</x:v>
      </x:c>
      <x:c r="E694" s="4" t="n">
        <x:f>IF('계산 과정'!$L$5,B694*SIN(C694),"")</x:f>
        <x:v>-83.87254418574192</x:v>
      </x:c>
      <x:c r="F694" s="4" t="n">
        <x:f>IF('계산 과정'!$L$7,'계산 과정'!$L$22+'계산 과정'!$C$49*D694+'계산 과정'!$D$49*E694,"")</x:f>
        <x:v>633.7291173276728</x:v>
      </x:c>
      <x:c r="G694" s="4" t="n">
        <x:f>IF('계산 과정'!$L$7,IF(ABS(F694)&gt;=1E-12*MAX(1,SQRT((D694-'계산 과정'!$C$33)^2+(E694-'계산 과정'!$D$33)^2+'계산 과정'!$E$33^2)),('계산 과정'!$L$23-'계산 과정'!$C$49*D694-'계산 과정'!$D$49*E694)/F694,""),"")</x:f>
        <x:v>0.6568593288370118</x:v>
      </x:c>
      <x:c r="H694" s="4" t="n">
        <x:f>IF(AND(ISNUMBER(G694),G694&gt;0),('계산 과정'!$D$56+'계산 과정'!$D$57*D694+'계산 과정'!$D$58*E694)/F694,"")</x:f>
        <x:v>26.95856374405759</x:v>
      </x:c>
      <x:c r="I694" s="4" t="n">
        <x:f>IF(AND(ISNUMBER(G694),G694&gt;0),('계산 과정'!$E$56+'계산 과정'!$E$57*D694+'계산 과정'!$E$58*E694)/F694,"")</x:f>
        <x:v>-138.96500726744097</x:v>
      </x:c>
      <x:c r="J694" s="4" t="n">
        <x:f>IF('계산 과정'!$L$5,'계산 과정'!$D$6+'계산 과정'!$C$35*D694+'계산 과정'!$D$35*E694,"")</x:f>
        <x:v>633.7291173276728</x:v>
      </x:c>
      <x:c r="K694" s="4" t="n">
        <x:f>IF(AND('계산 과정'!$L$6,J694&gt;0),'계산 과정'!$D$10*('계산 과정'!$C$38*(D694-'계산 과정'!$C$32)+'계산 과정'!$D$38*(E694-'계산 과정'!$D$32)-'계산 과정'!$E$38*'계산 과정'!$E$32)/J694,"")</x:f>
        <x:v>0.20539858090710664</x:v>
      </x:c>
      <x:c r="L694" s="4" t="n">
        <x:f>IF(AND('계산 과정'!$L$6,J694&gt;0),'계산 과정'!$D$10*('계산 과정'!$C$39*(D694-'계산 과정'!$C$32)+'계산 과정'!$D$39*(E694-'계산 과정'!$D$32)-'계산 과정'!$E$39*'계산 과정'!$E$32)/J694,"")</x:f>
        <x:v>-1.0587810077519313</x:v>
      </x:c>
      <x:c r="M694" s="17" t="n">
        <x:f>IF('계산 과정'!$L$6,IF(J694&lt;=0,0,IF(AND(ABS(K694)&lt;='계산 과정'!$D$11/2,ABS(L694)&lt;='계산 과정'!$D$12/2),1,0)),"")</x:f>
        <x:v>1</x:v>
      </x:c>
      <x:c r="N694" s="17" t="n">
        <x:f>IF('계산 과정'!$C$78,IF(AND(ISNUMBER(H694),ISNUMBER(I694),ABS(H694-'계산 과정'!$C$88)&lt;='계산 과정'!$D$23/2,ABS(I694-'계산 과정'!$C$89)&lt;='계산 과정'!$D$24/2),1,0),"")</x:f>
        <x:v>1</x:v>
      </x:c>
      <x:c r="O694" s="4" t="n">
        <x:f>IF('계산 과정'!$L$7,'계산 과정'!$C$49*('계산 과정'!$C$32-D694)+'계산 과정'!$D$49*('계산 과정'!$D$32-E694)+'계산 과정'!$E$49*'계산 과정'!$E$32,"")</x:f>
        <x:v>16.270882672327275</x:v>
      </x:c>
      <x:c r="P694" s="4" t="n">
        <x:f>IF(AND('계산 과정'!$L$7,O694&lt;&gt;0),('계산 과정'!$L$23-'계산 과정'!$C$49*D694-'계산 과정'!$D$49*E694)/O694,"")</x:f>
        <x:v>25.58379229052523</x:v>
      </x:c>
      <x:c r="Q694" s="4" t="str">
        <x:f>IF(AND(ISNUMBER(P694),P694&gt;1E-9,P694&lt;1-1E-9),'계산 과정'!$C$47*(D694-'계산 과정'!$C$50+P694*('계산 과정'!$C$32-D694))+'계산 과정'!$D$47*(E694-'계산 과정'!$D$50+P694*('계산 과정'!$D$32-E694))+'계산 과정'!$E$47*(0-'계산 과정'!$E$50+P694*('계산 과정'!$E$32-0)),"")</x:f>
      </x:c>
      <x:c r="R694" s="4" t="str">
        <x:f>IF(AND(ISNUMBER(P694),P694&gt;1E-9,P694&lt;1-1E-9),'계산 과정'!$C$48*(D694-'계산 과정'!$C$50+P694*('계산 과정'!$C$32-D694))+'계산 과정'!$D$48*(E694-'계산 과정'!$D$50+P694*('계산 과정'!$D$32-E694))+'계산 과정'!$E$48*(0-'계산 과정'!$E$50+P694*('계산 과정'!$E$32-0)),"")</x:f>
      </x:c>
      <x:c r="S694" s="17" t="n">
        <x:f>IF('계산 과정'!$C$78,IF(AND(ISNUMBER(Q694),ISNUMBER(R694),ABS(Q694-'계산 과정'!$C$88)&lt;='계산 과정'!$D$23/2,ABS(R694-'계산 과정'!$C$89)&lt;='계산 과정'!$D$24/2),1,0),"")</x:f>
        <x:v>0</x:v>
      </x:c>
      <x:c r="T694" s="4"/>
      <x:c r="U694" s="4"/>
      <x:c r="V694" s="4"/>
      <x:c r="W694" s="4"/>
      <x:c r="X694" s="4"/>
      <x:c r="Y694" s="4"/>
      <x:c r="Z694" s="4"/>
    </x:row>
    <x:row r="695" ht="23" customHeight="1">
      <x:c r="A695" s="17" t="n">
        <x:f>ROW()-6</x:f>
        <x:v>689</x:v>
      </x:c>
      <x:c r="B695" s="4" t="n">
        <x:f>IF('계산 과정'!$L$5,'계산 과정'!$L$11*SQRT((A695+0.5)/'계산 과정'!$L$30),"")</x:f>
        <x:v>87.03489669200223</x:v>
      </x:c>
      <x:c r="C695" s="4" t="n">
        <x:f>A695*PI()*(3-SQRT(5))</x:f>
        <x:v>1653.5746652830417</x:v>
      </x:c>
      <x:c r="D695" s="4" t="n">
        <x:f>IF('계산 과정'!$L$5,B695*COS(C695),"")</x:f>
        <x:v>39.71667232846422</x:v>
      </x:c>
      <x:c r="E695" s="4" t="n">
        <x:f>IF('계산 과정'!$L$5,B695*SIN(C695),"")</x:f>
        <x:v>77.44455553065629</x:v>
      </x:c>
      <x:c r="F695" s="4" t="n">
        <x:f>IF('계산 과정'!$L$7,'계산 과정'!$L$22+'계산 과정'!$C$49*D695+'계산 과정'!$D$49*E695,"")</x:f>
        <x:v>621.9160716703789</x:v>
      </x:c>
      <x:c r="G695" s="4" t="n">
        <x:f>IF('계산 과정'!$L$7,IF(ABS(F695)&gt;=1E-12*MAX(1,SQRT((D695-'계산 과정'!$C$33)^2+(E695-'계산 과정'!$D$33)^2+'계산 과정'!$E$33^2)),('계산 과정'!$L$23-'계산 과정'!$C$49*D695-'계산 과정'!$D$49*E695)/F695,""),"")</x:f>
        <x:v>0.6883307054275798</x:v>
      </x:c>
      <x:c r="H695" s="4" t="n">
        <x:f>IF(AND(ISNUMBER(G695),G695&gt;0),('계산 과정'!$D$56+'계산 과정'!$D$57*D695+'계산 과정'!$D$58*E695)/F695,"")</x:f>
        <x:v>47.41495852792677</x:v>
      </x:c>
      <x:c r="I695" s="4" t="n">
        <x:f>IF(AND(ISNUMBER(G695),G695&gt;0),('계산 과정'!$E$56+'계산 과정'!$E$57*D695+'계산 과정'!$E$58*E695)/F695,"")</x:f>
        <x:v>130.75202107059832</x:v>
      </x:c>
      <x:c r="J695" s="4" t="n">
        <x:f>IF('계산 과정'!$L$5,'계산 과정'!$D$6+'계산 과정'!$C$35*D695+'계산 과정'!$D$35*E695,"")</x:f>
        <x:v>621.9160716703789</x:v>
      </x:c>
      <x:c r="K695" s="4" t="n">
        <x:f>IF(AND('계산 과정'!$L$6,J695&gt;0),'계산 과정'!$D$10*('계산 과정'!$C$38*(D695-'계산 과정'!$C$32)+'계산 과정'!$D$38*(E695-'계산 과정'!$D$32)-'계산 과정'!$E$38*'계산 과정'!$E$32)/J695,"")</x:f>
        <x:v>0.36125682687944255</x:v>
      </x:c>
      <x:c r="L695" s="4" t="n">
        <x:f>IF(AND('계산 과정'!$L$6,J695&gt;0),'계산 과정'!$D$10*('계산 과정'!$C$39*(D695-'계산 과정'!$C$32)+'계산 과정'!$D$39*(E695-'계산 과정'!$D$32)-'계산 과정'!$E$39*'계산 과정'!$E$32)/J695,"")</x:f>
        <x:v>0.9962058748236061</x:v>
      </x:c>
      <x:c r="M695" s="17" t="n">
        <x:f>IF('계산 과정'!$L$6,IF(J695&lt;=0,0,IF(AND(ABS(K695)&lt;='계산 과정'!$D$11/2,ABS(L695)&lt;='계산 과정'!$D$12/2),1,0)),"")</x:f>
        <x:v>1</x:v>
      </x:c>
      <x:c r="N695" s="17" t="n">
        <x:f>IF('계산 과정'!$C$78,IF(AND(ISNUMBER(H695),ISNUMBER(I695),ABS(H695-'계산 과정'!$C$88)&lt;='계산 과정'!$D$23/2,ABS(I695-'계산 과정'!$C$89)&lt;='계산 과정'!$D$24/2),1,0),"")</x:f>
        <x:v>1</x:v>
      </x:c>
      <x:c r="O695" s="4" t="n">
        <x:f>IF('계산 과정'!$L$7,'계산 과정'!$C$49*('계산 과정'!$C$32-D695)+'계산 과정'!$D$49*('계산 과정'!$D$32-E695)+'계산 과정'!$E$49*'계산 과정'!$E$32,"")</x:f>
        <x:v>28.083928329621244</x:v>
      </x:c>
      <x:c r="P695" s="4" t="n">
        <x:f>IF(AND('계산 과정'!$L$7,O695&lt;&gt;0),('계산 과정'!$L$23-'계산 과정'!$C$49*D695-'계산 과정'!$D$49*E695)/O695,"")</x:f>
        <x:v>15.243021677921883</x:v>
      </x:c>
      <x:c r="Q695" s="4" t="str">
        <x:f>IF(AND(ISNUMBER(P695),P695&gt;1E-9,P695&lt;1-1E-9),'계산 과정'!$C$47*(D695-'계산 과정'!$C$50+P695*('계산 과정'!$C$32-D695))+'계산 과정'!$D$47*(E695-'계산 과정'!$D$50+P695*('계산 과정'!$D$32-E695))+'계산 과정'!$E$47*(0-'계산 과정'!$E$50+P695*('계산 과정'!$E$32-0)),"")</x:f>
      </x:c>
      <x:c r="R695" s="4" t="str">
        <x:f>IF(AND(ISNUMBER(P695),P695&gt;1E-9,P695&lt;1-1E-9),'계산 과정'!$C$48*(D695-'계산 과정'!$C$50+P695*('계산 과정'!$C$32-D695))+'계산 과정'!$D$48*(E695-'계산 과정'!$D$50+P695*('계산 과정'!$D$32-E695))+'계산 과정'!$E$48*(0-'계산 과정'!$E$50+P695*('계산 과정'!$E$32-0)),"")</x:f>
      </x:c>
      <x:c r="S695" s="17" t="n">
        <x:f>IF('계산 과정'!$C$78,IF(AND(ISNUMBER(Q695),ISNUMBER(R695),ABS(Q695-'계산 과정'!$C$88)&lt;='계산 과정'!$D$23/2,ABS(R695-'계산 과정'!$C$89)&lt;='계산 과정'!$D$24/2),1,0),"")</x:f>
        <x:v>0</x:v>
      </x:c>
      <x:c r="T695" s="4"/>
      <x:c r="U695" s="4"/>
      <x:c r="V695" s="4"/>
      <x:c r="W695" s="4"/>
      <x:c r="X695" s="4"/>
      <x:c r="Y695" s="4"/>
      <x:c r="Z695" s="4"/>
    </x:row>
    <x:row r="696" ht="23" customHeight="1">
      <x:c r="A696" s="17" t="n">
        <x:f>ROW()-6</x:f>
        <x:v>690</x:v>
      </x:c>
      <x:c r="B696" s="4" t="n">
        <x:f>IF('계산 과정'!$L$5,'계산 과정'!$L$11*SQRT((A696+0.5)/'계산 과정'!$L$30),"")</x:f>
        <x:v>87.09798832529084</x:v>
      </x:c>
      <x:c r="C696" s="4" t="n">
        <x:f>A696*PI()*(3-SQRT(5))</x:f>
        <x:v>1655.9746285127706</x:v>
      </x:c>
      <x:c r="D696" s="4" t="n">
        <x:f>IF('계산 과정'!$L$5,B696*COS(C696),"")</x:f>
        <x:v>-81.6580347853875</x:v>
      </x:c>
      <x:c r="E696" s="4" t="n">
        <x:f>IF('계산 과정'!$L$5,B696*SIN(C696),"")</x:f>
        <x:v>-30.298926141052334</x:v>
      </x:c>
      <x:c r="F696" s="4" t="n">
        <x:f>IF('계산 과정'!$L$7,'계산 과정'!$L$22+'계산 과정'!$C$49*D696+'계산 과정'!$D$49*E696,"")</x:f>
        <x:v>707.7409501351145</x:v>
      </x:c>
      <x:c r="G696" s="4" t="n">
        <x:f>IF('계산 과정'!$L$7,IF(ABS(F696)&gt;=1E-12*MAX(1,SQRT((D696-'계산 과정'!$C$33)^2+(E696-'계산 과정'!$D$33)^2+'계산 과정'!$E$33^2)),('계산 과정'!$L$23-'계산 과정'!$C$49*D696-'계산 과정'!$D$49*E696)/F696,""),"")</x:f>
        <x:v>0.48359367901425654</x:v>
      </x:c>
      <x:c r="H696" s="4" t="n">
        <x:f>IF(AND(ISNUMBER(G696),G696&gt;0),('계산 과정'!$D$56+'계산 과정'!$D$57*D696+'계산 과정'!$D$58*E696)/F696,"")</x:f>
        <x:v>-85.66410864073336</x:v>
      </x:c>
      <x:c r="I696" s="4" t="n">
        <x:f>IF(AND(ISNUMBER(G696),G696&gt;0),('계산 과정'!$E$56+'계산 과정'!$E$57*D696+'계산 과정'!$E$58*E696)/F696,"")</x:f>
        <x:v>-44.95129530378506</x:v>
      </x:c>
      <x:c r="J696" s="4" t="n">
        <x:f>IF('계산 과정'!$L$5,'계산 과정'!$D$6+'계산 과정'!$C$35*D696+'계산 과정'!$D$35*E696,"")</x:f>
        <x:v>707.7409501351145</x:v>
      </x:c>
      <x:c r="K696" s="4" t="n">
        <x:f>IF(AND('계산 과정'!$L$6,J696&gt;0),'계산 과정'!$D$10*('계산 과정'!$C$38*(D696-'계산 과정'!$C$32)+'계산 과정'!$D$38*(E696-'계산 과정'!$D$32)-'계산 과정'!$E$38*'계산 과정'!$E$32)/J696,"")</x:f>
        <x:v>-0.6526789229770149</x:v>
      </x:c>
      <x:c r="L696" s="4" t="n">
        <x:f>IF(AND('계산 과정'!$L$6,J696&gt;0),'계산 과정'!$D$10*('계산 과정'!$C$39*(D696-'계산 과정'!$C$32)+'계산 과정'!$D$39*(E696-'계산 과정'!$D$32)-'계산 과정'!$E$39*'계산 과정'!$E$32)/J696,"")</x:f>
        <x:v>-0.34248605945741</x:v>
      </x:c>
      <x:c r="M696" s="17" t="n">
        <x:f>IF('계산 과정'!$L$6,IF(J696&lt;=0,0,IF(AND(ABS(K696)&lt;='계산 과정'!$D$11/2,ABS(L696)&lt;='계산 과정'!$D$12/2),1,0)),"")</x:f>
        <x:v>1</x:v>
      </x:c>
      <x:c r="N696" s="17" t="n">
        <x:f>IF('계산 과정'!$C$78,IF(AND(ISNUMBER(H696),ISNUMBER(I696),ABS(H696-'계산 과정'!$C$88)&lt;='계산 과정'!$D$23/2,ABS(I696-'계산 과정'!$C$89)&lt;='계산 과정'!$D$24/2),1,0),"")</x:f>
        <x:v>1</x:v>
      </x:c>
      <x:c r="O696" s="4" t="n">
        <x:f>IF('계산 과정'!$L$7,'계산 과정'!$C$49*('계산 과정'!$C$32-D696)+'계산 과정'!$D$49*('계산 과정'!$D$32-E696)+'계산 과정'!$E$49*'계산 과정'!$E$32,"")</x:f>
        <x:v>-57.74095013511436</x:v>
      </x:c>
      <x:c r="P696" s="4" t="n">
        <x:f>IF(AND('계산 과정'!$L$7,O696&lt;&gt;0),('계산 과정'!$L$23-'계산 과정'!$C$49*D696-'계산 과정'!$D$49*E696)/O696,"")</x:f>
        <x:v>-5.9274925172515545</x:v>
      </x:c>
      <x:c r="Q696" s="4" t="str">
        <x:f>IF(AND(ISNUMBER(P696),P696&gt;1E-9,P696&lt;1-1E-9),'계산 과정'!$C$47*(D696-'계산 과정'!$C$50+P696*('계산 과정'!$C$32-D696))+'계산 과정'!$D$47*(E696-'계산 과정'!$D$50+P696*('계산 과정'!$D$32-E696))+'계산 과정'!$E$47*(0-'계산 과정'!$E$50+P696*('계산 과정'!$E$32-0)),"")</x:f>
      </x:c>
      <x:c r="R696" s="4" t="str">
        <x:f>IF(AND(ISNUMBER(P696),P696&gt;1E-9,P696&lt;1-1E-9),'계산 과정'!$C$48*(D696-'계산 과정'!$C$50+P696*('계산 과정'!$C$32-D696))+'계산 과정'!$D$48*(E696-'계산 과정'!$D$50+P696*('계산 과정'!$D$32-E696))+'계산 과정'!$E$48*(0-'계산 과정'!$E$50+P696*('계산 과정'!$E$32-0)),"")</x:f>
      </x:c>
      <x:c r="S696" s="17" t="n">
        <x:f>IF('계산 과정'!$C$78,IF(AND(ISNUMBER(Q696),ISNUMBER(R696),ABS(Q696-'계산 과정'!$C$88)&lt;='계산 과정'!$D$23/2,ABS(R696-'계산 과정'!$C$89)&lt;='계산 과정'!$D$24/2),1,0),"")</x:f>
        <x:v>0</x:v>
      </x:c>
      <x:c r="T696" s="4"/>
      <x:c r="U696" s="4"/>
      <x:c r="V696" s="4"/>
      <x:c r="W696" s="4"/>
      <x:c r="X696" s="4"/>
      <x:c r="Y696" s="4"/>
      <x:c r="Z696" s="4"/>
    </x:row>
    <x:row r="697" ht="23" customHeight="1">
      <x:c r="A697" s="17" t="n">
        <x:f>ROW()-6</x:f>
        <x:v>691</x:v>
      </x:c>
      <x:c r="B697" s="4" t="n">
        <x:f>IF('계산 과정'!$L$5,'계산 과정'!$L$11*SQRT((A697+0.5)/'계산 과정'!$L$30),"")</x:f>
        <x:v>87.1610342896268</x:v>
      </x:c>
      <x:c r="C697" s="4" t="n">
        <x:f>A697*PI()*(3-SQRT(5))</x:f>
        <x:v>1658.3745917424992</x:v>
      </x:c>
      <x:c r="D697" s="4" t="n">
        <x:f>IF('계산 과정'!$L$5,B697*COS(C697),"")</x:f>
        <x:v>80.73712340418503</x:v>
      </x:c>
      <x:c r="E697" s="4" t="n">
        <x:f>IF('계산 과정'!$L$5,B697*SIN(C697),"")</x:f>
        <x:v>-32.841479912679</x:v>
      </x:c>
      <x:c r="F697" s="4" t="n">
        <x:f>IF('계산 과정'!$L$7,'계산 과정'!$L$22+'계산 과정'!$C$49*D697+'계산 과정'!$D$49*E697,"")</x:f>
        <x:v>592.9102325474057</x:v>
      </x:c>
      <x:c r="G697" s="4" t="n">
        <x:f>IF('계산 과정'!$L$7,IF(ABS(F697)&gt;=1E-12*MAX(1,SQRT((D697-'계산 과정'!$C$33)^2+(E697-'계산 과정'!$D$33)^2+'계산 과정'!$E$33^2)),('계산 과정'!$L$23-'계산 과정'!$C$49*D697-'계산 과정'!$D$49*E697)/F697,""),"")</x:f>
        <x:v>0.7709257529402616</x:v>
      </x:c>
      <x:c r="H697" s="4" t="n">
        <x:f>IF(AND(ISNUMBER(G697),G697&gt;0),('계산 과정'!$D$56+'계산 과정'!$D$57*D697+'계산 과정'!$D$58*E697)/F697,"")</x:f>
        <x:v>101.10173941116997</x:v>
      </x:c>
      <x:c r="I697" s="4" t="n">
        <x:f>IF(AND(ISNUMBER(G697),G697&gt;0),('계산 과정'!$E$56+'계산 과정'!$E$57*D697+'계산 과정'!$E$58*E697)/F697,"")</x:f>
        <x:v>-58.15982254203353</x:v>
      </x:c>
      <x:c r="J697" s="4" t="n">
        <x:f>IF('계산 과정'!$L$5,'계산 과정'!$D$6+'계산 과정'!$C$35*D697+'계산 과정'!$D$35*E697,"")</x:f>
        <x:v>592.9102325474057</x:v>
      </x:c>
      <x:c r="K697" s="4" t="n">
        <x:f>IF(AND('계산 과정'!$L$6,J697&gt;0),'계산 과정'!$D$10*('계산 과정'!$C$38*(D697-'계산 과정'!$C$32)+'계산 과정'!$D$38*(E697-'계산 과정'!$D$32)-'계산 과정'!$E$38*'계산 과정'!$E$32)/J697,"")</x:f>
        <x:v>0.7702989669422482</x:v>
      </x:c>
      <x:c r="L697" s="4" t="n">
        <x:f>IF(AND('계산 과정'!$L$6,J697&gt;0),'계산 과정'!$D$10*('계산 과정'!$C$39*(D697-'계산 과정'!$C$32)+'계산 과정'!$D$39*(E697-'계산 과정'!$D$32)-'계산 과정'!$E$39*'계산 과정'!$E$32)/J697,"")</x:f>
        <x:v>-0.44312245746311263</x:v>
      </x:c>
      <x:c r="M697" s="17" t="n">
        <x:f>IF('계산 과정'!$L$6,IF(J697&lt;=0,0,IF(AND(ABS(K697)&lt;='계산 과정'!$D$11/2,ABS(L697)&lt;='계산 과정'!$D$12/2),1,0)),"")</x:f>
        <x:v>1</x:v>
      </x:c>
      <x:c r="N697" s="17" t="n">
        <x:f>IF('계산 과정'!$C$78,IF(AND(ISNUMBER(H697),ISNUMBER(I697),ABS(H697-'계산 과정'!$C$88)&lt;='계산 과정'!$D$23/2,ABS(I697-'계산 과정'!$C$89)&lt;='계산 과정'!$D$24/2),1,0),"")</x:f>
        <x:v>1</x:v>
      </x:c>
      <x:c r="O697" s="4" t="n">
        <x:f>IF('계산 과정'!$L$7,'계산 과정'!$C$49*('계산 과정'!$C$32-D697)+'계산 과정'!$D$49*('계산 과정'!$D$32-E697)+'계산 과정'!$E$49*'계산 과정'!$E$32,"")</x:f>
        <x:v>57.08976745259446</x:v>
      </x:c>
      <x:c r="P697" s="4" t="n">
        <x:f>IF(AND('계산 과정'!$L$7,O697&lt;&gt;0),('계산 과정'!$L$23-'계산 과정'!$C$49*D697-'계산 과정'!$D$49*E697)/O697,"")</x:f>
        <x:v>8.006509534868</x:v>
      </x:c>
      <x:c r="Q697" s="4" t="str">
        <x:f>IF(AND(ISNUMBER(P697),P697&gt;1E-9,P697&lt;1-1E-9),'계산 과정'!$C$47*(D697-'계산 과정'!$C$50+P697*('계산 과정'!$C$32-D697))+'계산 과정'!$D$47*(E697-'계산 과정'!$D$50+P697*('계산 과정'!$D$32-E697))+'계산 과정'!$E$47*(0-'계산 과정'!$E$50+P697*('계산 과정'!$E$32-0)),"")</x:f>
      </x:c>
      <x:c r="R697" s="4" t="str">
        <x:f>IF(AND(ISNUMBER(P697),P697&gt;1E-9,P697&lt;1-1E-9),'계산 과정'!$C$48*(D697-'계산 과정'!$C$50+P697*('계산 과정'!$C$32-D697))+'계산 과정'!$D$48*(E697-'계산 과정'!$D$50+P697*('계산 과정'!$D$32-E697))+'계산 과정'!$E$48*(0-'계산 과정'!$E$50+P697*('계산 과정'!$E$32-0)),"")</x:f>
      </x:c>
      <x:c r="S697" s="17" t="n">
        <x:f>IF('계산 과정'!$C$78,IF(AND(ISNUMBER(Q697),ISNUMBER(R697),ABS(Q697-'계산 과정'!$C$88)&lt;='계산 과정'!$D$23/2,ABS(R697-'계산 과정'!$C$89)&lt;='계산 과정'!$D$24/2),1,0),"")</x:f>
        <x:v>0</x:v>
      </x:c>
      <x:c r="T697" s="4"/>
      <x:c r="U697" s="4"/>
      <x:c r="V697" s="4"/>
      <x:c r="W697" s="4"/>
      <x:c r="X697" s="4"/>
      <x:c r="Y697" s="4"/>
      <x:c r="Z697" s="4"/>
    </x:row>
    <x:row r="698" ht="23" customHeight="1">
      <x:c r="A698" s="17" t="n">
        <x:f>ROW()-6</x:f>
        <x:v>692</x:v>
      </x:c>
      <x:c r="B698" s="4" t="n">
        <x:f>IF('계산 과정'!$L$5,'계산 과정'!$L$11*SQRT((A698+0.5)/'계산 과정'!$L$30),"")</x:f>
        <x:v>87.22403468403935</x:v>
      </x:c>
      <x:c r="C698" s="4" t="n">
        <x:f>A698*PI()*(3-SQRT(5))</x:f>
        <x:v>1660.7745549722276</x:v>
      </x:c>
      <x:c r="D698" s="4" t="n">
        <x:f>IF('계산 과정'!$L$5,B698*COS(C698),"")</x:f>
        <x:v>-37.37593715917765</x:v>
      </x:c>
      <x:c r="E698" s="4" t="n">
        <x:f>IF('계산 과정'!$L$5,B698*SIN(C698),"")</x:f>
        <x:v>78.81035178221008</x:v>
      </x:c>
      <x:c r="F698" s="4" t="n">
        <x:f>IF('계산 과정'!$L$7,'계산 과정'!$L$22+'계산 과정'!$C$49*D698+'계산 과정'!$D$49*E698,"")</x:f>
        <x:v>676.4287786184568</x:v>
      </x:c>
      <x:c r="G698" s="4" t="n">
        <x:f>IF('계산 과정'!$L$7,IF(ABS(F698)&gt;=1E-12*MAX(1,SQRT((D698-'계산 과정'!$C$33)^2+(E698-'계산 과정'!$D$33)^2+'계산 과정'!$E$33^2)),('계산 과정'!$L$23-'계산 과정'!$C$49*D698-'계산 과정'!$D$49*E698)/F698,""),"")</x:f>
        <x:v>0.5522698518896962</x:v>
      </x:c>
      <x:c r="H698" s="4" t="n">
        <x:f>IF(AND(ISNUMBER(G698),G698&gt;0),('계산 과정'!$D$56+'계산 과정'!$D$57*D698+'계산 과정'!$D$58*E698)/F698,"")</x:f>
        <x:v>-41.0245962716976</x:v>
      </x:c>
      <x:c r="I698" s="4" t="n">
        <x:f>IF(AND(ISNUMBER(G698),G698&gt;0),('계산 과정'!$E$56+'계산 과정'!$E$57*D698+'계산 과정'!$E$58*E698)/F698,"")</x:f>
        <x:v>122.33493308834609</x:v>
      </x:c>
      <x:c r="J698" s="4" t="n">
        <x:f>IF('계산 과정'!$L$5,'계산 과정'!$D$6+'계산 과정'!$C$35*D698+'계산 과정'!$D$35*E698,"")</x:f>
        <x:v>676.4287786184568</x:v>
      </x:c>
      <x:c r="K698" s="4" t="n">
        <x:f>IF(AND('계산 과정'!$L$6,J698&gt;0),'계산 과정'!$D$10*('계산 과정'!$C$38*(D698-'계산 과정'!$C$32)+'계산 과정'!$D$38*(E698-'계산 과정'!$D$32)-'계산 과정'!$E$38*'계산 과정'!$E$32)/J698,"")</x:f>
        <x:v>-0.31256835254626625</x:v>
      </x:c>
      <x:c r="L698" s="4" t="n">
        <x:f>IF(AND('계산 과정'!$L$6,J698&gt;0),'계산 과정'!$D$10*('계산 과정'!$C$39*(D698-'계산 과정'!$C$32)+'계산 과정'!$D$39*(E698-'계산 과정'!$D$32)-'계산 과정'!$E$39*'계산 과정'!$E$32)/J698,"")</x:f>
        <x:v>0.932075680673113</x:v>
      </x:c>
      <x:c r="M698" s="17" t="n">
        <x:f>IF('계산 과정'!$L$6,IF(J698&lt;=0,0,IF(AND(ABS(K698)&lt;='계산 과정'!$D$11/2,ABS(L698)&lt;='계산 과정'!$D$12/2),1,0)),"")</x:f>
        <x:v>1</x:v>
      </x:c>
      <x:c r="N698" s="17" t="n">
        <x:f>IF('계산 과정'!$C$78,IF(AND(ISNUMBER(H698),ISNUMBER(I698),ABS(H698-'계산 과정'!$C$88)&lt;='계산 과정'!$D$23/2,ABS(I698-'계산 과정'!$C$89)&lt;='계산 과정'!$D$24/2),1,0),"")</x:f>
        <x:v>1</x:v>
      </x:c>
      <x:c r="O698" s="4" t="n">
        <x:f>IF('계산 과정'!$L$7,'계산 과정'!$C$49*('계산 과정'!$C$32-D698)+'계산 과정'!$D$49*('계산 과정'!$D$32-E698)+'계산 과정'!$E$49*'계산 과정'!$E$32,"")</x:f>
        <x:v>-26.428778618456647</x:v>
      </x:c>
      <x:c r="P698" s="4" t="n">
        <x:f>IF(AND('계산 과정'!$L$7,O698&lt;&gt;0),('계산 과정'!$L$23-'계산 과정'!$C$49*D698-'계산 과정'!$D$49*E698)/O698,"")</x:f>
        <x:v>-14.135016482398404</x:v>
      </x:c>
      <x:c r="Q698" s="4" t="str">
        <x:f>IF(AND(ISNUMBER(P698),P698&gt;1E-9,P698&lt;1-1E-9),'계산 과정'!$C$47*(D698-'계산 과정'!$C$50+P698*('계산 과정'!$C$32-D698))+'계산 과정'!$D$47*(E698-'계산 과정'!$D$50+P698*('계산 과정'!$D$32-E698))+'계산 과정'!$E$47*(0-'계산 과정'!$E$50+P698*('계산 과정'!$E$32-0)),"")</x:f>
      </x:c>
      <x:c r="R698" s="4" t="str">
        <x:f>IF(AND(ISNUMBER(P698),P698&gt;1E-9,P698&lt;1-1E-9),'계산 과정'!$C$48*(D698-'계산 과정'!$C$50+P698*('계산 과정'!$C$32-D698))+'계산 과정'!$D$48*(E698-'계산 과정'!$D$50+P698*('계산 과정'!$D$32-E698))+'계산 과정'!$E$48*(0-'계산 과정'!$E$50+P698*('계산 과정'!$E$32-0)),"")</x:f>
      </x:c>
      <x:c r="S698" s="17" t="n">
        <x:f>IF('계산 과정'!$C$78,IF(AND(ISNUMBER(Q698),ISNUMBER(R698),ABS(Q698-'계산 과정'!$C$88)&lt;='계산 과정'!$D$23/2,ABS(R698-'계산 과정'!$C$89)&lt;='계산 과정'!$D$24/2),1,0),"")</x:f>
        <x:v>0</x:v>
      </x:c>
      <x:c r="T698" s="4"/>
      <x:c r="U698" s="4"/>
      <x:c r="V698" s="4"/>
      <x:c r="W698" s="4"/>
      <x:c r="X698" s="4"/>
      <x:c r="Y698" s="4"/>
      <x:c r="Z698" s="4"/>
    </x:row>
    <x:row r="699" ht="23" customHeight="1">
      <x:c r="A699" s="17" t="n">
        <x:f>ROW()-6</x:f>
        <x:v>693</x:v>
      </x:c>
      <x:c r="B699" s="4" t="n">
        <x:f>IF('계산 과정'!$L$5,'계산 과정'!$L$11*SQRT((A699+0.5)/'계산 과정'!$L$30),"")</x:f>
        <x:v>87.28698960720034</x:v>
      </x:c>
      <x:c r="C699" s="4" t="n">
        <x:f>A699*PI()*(3-SQRT(5))</x:f>
        <x:v>1663.1745182019563</x:v>
      </x:c>
      <x:c r="D699" s="4" t="n">
        <x:f>IF('계산 과정'!$L$5,B699*COS(C699),"")</x:f>
        <x:v>-25.69430664387872</x:v>
      </x:c>
      <x:c r="E699" s="4" t="n">
        <x:f>IF('계산 과정'!$L$5,B699*SIN(C699),"")</x:f>
        <x:v>-83.419549032453</x:v>
      </x:c>
      <x:c r="F699" s="4" t="n">
        <x:f>IF('계산 과정'!$L$7,'계산 과정'!$L$22+'계산 과정'!$C$49*D699+'계산 과정'!$D$49*E699,"")</x:f>
        <x:v>668.1686184657732</x:v>
      </x:c>
      <x:c r="G699" s="4" t="n">
        <x:f>IF('계산 과정'!$L$7,IF(ABS(F699)&gt;=1E-12*MAX(1,SQRT((D699-'계산 과정'!$C$33)^2+(E699-'계산 과정'!$D$33)^2+'계산 과정'!$E$33^2)),('계산 과정'!$L$23-'계산 과정'!$C$49*D699-'계산 과정'!$D$49*E699)/F699,""),"")</x:f>
        <x:v>0.5714596151058029</x:v>
      </x:c>
      <x:c r="H699" s="4" t="n">
        <x:f>IF(AND(ISNUMBER(G699),G699&gt;0),('계산 과정'!$D$56+'계산 과정'!$D$57*D699+'계산 과정'!$D$58*E699)/F699,"")</x:f>
        <x:v>-28.551250181228255</x:v>
      </x:c>
      <x:c r="I699" s="4" t="n">
        <x:f>IF(AND(ISNUMBER(G699),G699&gt;0),('계산 과정'!$E$56+'계산 과정'!$E$57*D699+'계산 과정'!$E$58*E699)/F699,"")</x:f>
        <x:v>-131.09045241483827</x:v>
      </x:c>
      <x:c r="J699" s="4" t="n">
        <x:f>IF('계산 과정'!$L$5,'계산 과정'!$D$6+'계산 과정'!$C$35*D699+'계산 과정'!$D$35*E699,"")</x:f>
        <x:v>668.1686184657732</x:v>
      </x:c>
      <x:c r="K699" s="4" t="n">
        <x:f>IF(AND('계산 과정'!$L$6,J699&gt;0),'계산 과정'!$D$10*('계산 과정'!$C$38*(D699-'계산 과정'!$C$32)+'계산 과정'!$D$38*(E699-'계산 과정'!$D$32)-'계산 과정'!$E$38*'계산 과정'!$E$32)/J699,"")</x:f>
        <x:v>-0.21753333471411904</x:v>
      </x:c>
      <x:c r="L699" s="4" t="n">
        <x:f>IF(AND('계산 과정'!$L$6,J699&gt;0),'계산 과정'!$D$10*('계산 과정'!$C$39*(D699-'계산 과정'!$C$32)+'계산 과정'!$D$39*(E699-'계산 과정'!$D$32)-'계산 과정'!$E$39*'계산 과정'!$E$32)/J699,"")</x:f>
        <x:v>-0.9987843993511486</x:v>
      </x:c>
      <x:c r="M699" s="17" t="n">
        <x:f>IF('계산 과정'!$L$6,IF(J699&lt;=0,0,IF(AND(ABS(K699)&lt;='계산 과정'!$D$11/2,ABS(L699)&lt;='계산 과정'!$D$12/2),1,0)),"")</x:f>
        <x:v>1</x:v>
      </x:c>
      <x:c r="N699" s="17" t="n">
        <x:f>IF('계산 과정'!$C$78,IF(AND(ISNUMBER(H699),ISNUMBER(I699),ABS(H699-'계산 과정'!$C$88)&lt;='계산 과정'!$D$23/2,ABS(I699-'계산 과정'!$C$89)&lt;='계산 과정'!$D$24/2),1,0),"")</x:f>
        <x:v>1</x:v>
      </x:c>
      <x:c r="O699" s="4" t="n">
        <x:f>IF('계산 과정'!$L$7,'계산 과정'!$C$49*('계산 과정'!$C$32-D699)+'계산 과정'!$D$49*('계산 과정'!$D$32-E699)+'계산 과정'!$E$49*'계산 과정'!$E$32,"")</x:f>
        <x:v>-18.16861846577308</x:v>
      </x:c>
      <x:c r="P699" s="4" t="n">
        <x:f>IF(AND('계산 과정'!$L$7,O699&lt;&gt;0),('계산 과정'!$L$23-'계산 과정'!$C$49*D699-'계산 과정'!$D$49*E699)/O699,"")</x:f>
        <x:v>-21.01598326001172</x:v>
      </x:c>
      <x:c r="Q699" s="4" t="str">
        <x:f>IF(AND(ISNUMBER(P699),P699&gt;1E-9,P699&lt;1-1E-9),'계산 과정'!$C$47*(D699-'계산 과정'!$C$50+P699*('계산 과정'!$C$32-D699))+'계산 과정'!$D$47*(E699-'계산 과정'!$D$50+P699*('계산 과정'!$D$32-E699))+'계산 과정'!$E$47*(0-'계산 과정'!$E$50+P699*('계산 과정'!$E$32-0)),"")</x:f>
      </x:c>
      <x:c r="R699" s="4" t="str">
        <x:f>IF(AND(ISNUMBER(P699),P699&gt;1E-9,P699&lt;1-1E-9),'계산 과정'!$C$48*(D699-'계산 과정'!$C$50+P699*('계산 과정'!$C$32-D699))+'계산 과정'!$D$48*(E699-'계산 과정'!$D$50+P699*('계산 과정'!$D$32-E699))+'계산 과정'!$E$48*(0-'계산 과정'!$E$50+P699*('계산 과정'!$E$32-0)),"")</x:f>
      </x:c>
      <x:c r="S699" s="17" t="n">
        <x:f>IF('계산 과정'!$C$78,IF(AND(ISNUMBER(Q699),ISNUMBER(R699),ABS(Q699-'계산 과정'!$C$88)&lt;='계산 과정'!$D$23/2,ABS(R699-'계산 과정'!$C$89)&lt;='계산 과정'!$D$24/2),1,0),"")</x:f>
        <x:v>0</x:v>
      </x:c>
      <x:c r="T699" s="4"/>
      <x:c r="U699" s="4"/>
      <x:c r="V699" s="4"/>
      <x:c r="W699" s="4"/>
      <x:c r="X699" s="4"/>
      <x:c r="Y699" s="4"/>
      <x:c r="Z699" s="4"/>
    </x:row>
    <x:row r="700" ht="23" customHeight="1">
      <x:c r="A700" s="17" t="n">
        <x:f>ROW()-6</x:f>
        <x:v>694</x:v>
      </x:c>
      <x:c r="B700" s="4" t="n">
        <x:f>IF('계산 과정'!$L$5,'계산 과정'!$L$11*SQRT((A700+0.5)/'계산 과정'!$L$30),"")</x:f>
        <x:v>87.34989915742605</x:v>
      </x:c>
      <x:c r="C700" s="4" t="n">
        <x:f>A700*PI()*(3-SQRT(5))</x:f>
        <x:v>1665.5744814316852</x:v>
      </x:c>
      <x:c r="D700" s="4" t="n">
        <x:f>IF('계산 과정'!$L$5,B700*COS(C700),"")</x:f>
        <x:v>75.34954465999971</x:v>
      </x:c>
      <x:c r="E700" s="4" t="n">
        <x:f>IF('계산 과정'!$L$5,B700*SIN(C700),"")</x:f>
        <x:v>44.186547753170416</x:v>
      </x:c>
      <x:c r="F700" s="4" t="n">
        <x:f>IF('계산 과정'!$L$7,'계산 과정'!$L$22+'계산 과정'!$C$49*D700+'계산 과정'!$D$49*E700,"")</x:f>
        <x:v>596.7198260115956</x:v>
      </x:c>
      <x:c r="G700" s="4" t="n">
        <x:f>IF('계산 과정'!$L$7,IF(ABS(F700)&gt;=1E-12*MAX(1,SQRT((D700-'계산 과정'!$C$33)^2+(E700-'계산 과정'!$D$33)^2+'계산 과정'!$E$33^2)),('계산 과정'!$L$23-'계산 과정'!$C$49*D700-'계산 과정'!$D$49*E700)/F700,""),"")</x:f>
        <x:v>0.7596197649708997</x:v>
      </x:c>
      <x:c r="H700" s="4" t="n">
        <x:f>IF(AND(ISNUMBER(G700),G700&gt;0),('계산 과정'!$D$56+'계산 과정'!$D$57*D700+'계산 과정'!$D$58*E700)/F700,"")</x:f>
        <x:v>93.7528472310847</x:v>
      </x:c>
      <x:c r="I700" s="4" t="n">
        <x:f>IF(AND(ISNUMBER(G700),G700&gt;0),('계산 과정'!$E$56+'계산 과정'!$E$57*D700+'계산 과정'!$E$58*E700)/F700,"")</x:f>
        <x:v>77.75152277230916</x:v>
      </x:c>
      <x:c r="J700" s="4" t="n">
        <x:f>IF('계산 과정'!$L$5,'계산 과정'!$D$6+'계산 과정'!$C$35*D700+'계산 과정'!$D$35*E700,"")</x:f>
        <x:v>596.7198260115956</x:v>
      </x:c>
      <x:c r="K700" s="4" t="n">
        <x:f>IF(AND('계산 과정'!$L$6,J700&gt;0),'계산 과정'!$D$10*('계산 과정'!$C$38*(D700-'계산 과정'!$C$32)+'계산 과정'!$D$38*(E700-'계산 과정'!$D$32)-'계산 과정'!$E$38*'계산 과정'!$E$32)/J700,"")</x:f>
        <x:v>0.7143074074749316</x:v>
      </x:c>
      <x:c r="L700" s="4" t="n">
        <x:f>IF(AND('계산 과정'!$L$6,J700&gt;0),'계산 과정'!$D$10*('계산 과정'!$C$39*(D700-'계산 과정'!$C$32)+'계산 과정'!$D$39*(E700-'계산 과정'!$D$32)-'계산 과정'!$E$39*'계산 과정'!$E$32)/J700,"")</x:f>
        <x:v>0.5923925544556888</x:v>
      </x:c>
      <x:c r="M700" s="17" t="n">
        <x:f>IF('계산 과정'!$L$6,IF(J700&lt;=0,0,IF(AND(ABS(K700)&lt;='계산 과정'!$D$11/2,ABS(L700)&lt;='계산 과정'!$D$12/2),1,0)),"")</x:f>
        <x:v>1</x:v>
      </x:c>
      <x:c r="N700" s="17" t="n">
        <x:f>IF('계산 과정'!$C$78,IF(AND(ISNUMBER(H700),ISNUMBER(I700),ABS(H700-'계산 과정'!$C$88)&lt;='계산 과정'!$D$23/2,ABS(I700-'계산 과정'!$C$89)&lt;='계산 과정'!$D$24/2),1,0),"")</x:f>
        <x:v>1</x:v>
      </x:c>
      <x:c r="O700" s="4" t="n">
        <x:f>IF('계산 과정'!$L$7,'계산 과정'!$C$49*('계산 과정'!$C$32-D700)+'계산 과정'!$D$49*('계산 과정'!$D$32-E700)+'계산 과정'!$E$49*'계산 과정'!$E$32,"")</x:f>
        <x:v>53.2801739884045</x:v>
      </x:c>
      <x:c r="P700" s="4" t="n">
        <x:f>IF(AND('계산 과정'!$L$7,O700&lt;&gt;0),('계산 과정'!$L$23-'계산 과정'!$C$49*D700-'계산 과정'!$D$49*E700)/O700,"")</x:f>
        <x:v>8.507482991460442</x:v>
      </x:c>
      <x:c r="Q700" s="4" t="str">
        <x:f>IF(AND(ISNUMBER(P700),P700&gt;1E-9,P700&lt;1-1E-9),'계산 과정'!$C$47*(D700-'계산 과정'!$C$50+P700*('계산 과정'!$C$32-D700))+'계산 과정'!$D$47*(E700-'계산 과정'!$D$50+P700*('계산 과정'!$D$32-E700))+'계산 과정'!$E$47*(0-'계산 과정'!$E$50+P700*('계산 과정'!$E$32-0)),"")</x:f>
      </x:c>
      <x:c r="R700" s="4" t="str">
        <x:f>IF(AND(ISNUMBER(P700),P700&gt;1E-9,P700&lt;1-1E-9),'계산 과정'!$C$48*(D700-'계산 과정'!$C$50+P700*('계산 과정'!$C$32-D700))+'계산 과정'!$D$48*(E700-'계산 과정'!$D$50+P700*('계산 과정'!$D$32-E700))+'계산 과정'!$E$48*(0-'계산 과정'!$E$50+P700*('계산 과정'!$E$32-0)),"")</x:f>
      </x:c>
      <x:c r="S700" s="17" t="n">
        <x:f>IF('계산 과정'!$C$78,IF(AND(ISNUMBER(Q700),ISNUMBER(R700),ABS(Q700-'계산 과정'!$C$88)&lt;='계산 과정'!$D$23/2,ABS(R700-'계산 과정'!$C$89)&lt;='계산 과정'!$D$24/2),1,0),"")</x:f>
        <x:v>0</x:v>
      </x:c>
      <x:c r="T700" s="4"/>
      <x:c r="U700" s="4"/>
      <x:c r="V700" s="4"/>
      <x:c r="W700" s="4"/>
      <x:c r="X700" s="4"/>
      <x:c r="Y700" s="4"/>
      <x:c r="Z700" s="4"/>
    </x:row>
    <x:row r="701" ht="23" customHeight="1">
      <x:c r="A701" s="17" t="n">
        <x:f>ROW()-6</x:f>
        <x:v>695</x:v>
      </x:c>
      <x:c r="B701" s="4" t="n">
        <x:f>IF('계산 과정'!$L$5,'계산 과정'!$L$11*SQRT((A701+0.5)/'계산 과정'!$L$30),"")</x:f>
        <x:v>87.41276343267899</x:v>
      </x:c>
      <x:c r="C701" s="4" t="n">
        <x:f>A701*PI()*(3-SQRT(5))</x:f>
        <x:v>1667.9744446614138</x:v>
      </x:c>
      <x:c r="D701" s="4" t="n">
        <x:f>IF('계산 과정'!$L$5,B701*COS(C701),"")</x:f>
        <x:v>-85.46946007166488</x:v>
      </x:c>
      <x:c r="E701" s="4" t="n">
        <x:f>IF('계산 과정'!$L$5,B701*SIN(C701),"")</x:f>
        <x:v>18.32928274634834</x:v>
      </x:c>
      <x:c r="F701" s="4" t="n">
        <x:f>IF('계산 과정'!$L$7,'계산 과정'!$L$22+'계산 과정'!$C$49*D701+'계산 과정'!$D$49*E701,"")</x:f>
        <x:v>710.4360348010271</x:v>
      </x:c>
      <x:c r="G701" s="4" t="n">
        <x:f>IF('계산 과정'!$L$7,IF(ABS(F701)&gt;=1E-12*MAX(1,SQRT((D701-'계산 과정'!$C$33)^2+(E701-'계산 과정'!$D$33)^2+'계산 과정'!$E$33^2)),('계산 과정'!$L$23-'계산 과정'!$C$49*D701-'계산 과정'!$D$49*E701)/F701,""),"")</x:f>
        <x:v>0.47796557123411554</x:v>
      </x:c>
      <x:c r="H701" s="4" t="n">
        <x:f>IF(AND(ISNUMBER(G701),G701&gt;0),('계산 과정'!$D$56+'계산 과정'!$D$57*D701+'계산 과정'!$D$58*E701)/F701,"")</x:f>
        <x:v>-89.32237869782504</x:v>
      </x:c>
      <x:c r="I701" s="4" t="n">
        <x:f>IF(AND(ISNUMBER(G701),G701&gt;0),('계산 과정'!$E$56+'계산 과정'!$E$57*D701+'계산 과정'!$E$58*E701)/F701,"")</x:f>
        <x:v>27.090048844518343</x:v>
      </x:c>
      <x:c r="J701" s="4" t="n">
        <x:f>IF('계산 과정'!$L$5,'계산 과정'!$D$6+'계산 과정'!$C$35*D701+'계산 과정'!$D$35*E701,"")</x:f>
        <x:v>710.4360348010271</x:v>
      </x:c>
      <x:c r="K701" s="4" t="n">
        <x:f>IF(AND('계산 과정'!$L$6,J701&gt;0),'계산 과정'!$D$10*('계산 과정'!$C$38*(D701-'계산 과정'!$C$32)+'계산 과정'!$D$38*(E701-'계산 과정'!$D$32)-'계산 과정'!$E$38*'계산 과정'!$E$32)/J701,"")</x:f>
        <x:v>-0.6805514567453329</x:v>
      </x:c>
      <x:c r="L701" s="4" t="n">
        <x:f>IF(AND('계산 과정'!$L$6,J701&gt;0),'계산 과정'!$D$10*('계산 과정'!$C$39*(D701-'계산 과정'!$C$32)+'계산 과정'!$D$39*(E701-'계산 과정'!$D$32)-'계산 과정'!$E$39*'계산 과정'!$E$32)/J701,"")</x:f>
        <x:v>0.2064003721487112</x:v>
      </x:c>
      <x:c r="M701" s="17" t="n">
        <x:f>IF('계산 과정'!$L$6,IF(J701&lt;=0,0,IF(AND(ABS(K701)&lt;='계산 과정'!$D$11/2,ABS(L701)&lt;='계산 과정'!$D$12/2),1,0)),"")</x:f>
        <x:v>1</x:v>
      </x:c>
      <x:c r="N701" s="17" t="n">
        <x:f>IF('계산 과정'!$C$78,IF(AND(ISNUMBER(H701),ISNUMBER(I701),ABS(H701-'계산 과정'!$C$88)&lt;='계산 과정'!$D$23/2,ABS(I701-'계산 과정'!$C$89)&lt;='계산 과정'!$D$24/2),1,0),"")</x:f>
        <x:v>1</x:v>
      </x:c>
      <x:c r="O701" s="4" t="n">
        <x:f>IF('계산 과정'!$L$7,'계산 과정'!$C$49*('계산 과정'!$C$32-D701)+'계산 과정'!$D$49*('계산 과정'!$D$32-E701)+'계산 과정'!$E$49*'계산 과정'!$E$32,"")</x:f>
        <x:v>-60.436034801027006</x:v>
      </x:c>
      <x:c r="P701" s="4" t="n">
        <x:f>IF(AND('계산 과정'!$L$7,O701&lt;&gt;0),('계산 과정'!$L$23-'계산 과정'!$C$49*D701-'계산 과정'!$D$49*E701)/O701,"")</x:f>
        <x:v>-5.618567901036462</x:v>
      </x:c>
      <x:c r="Q701" s="4" t="str">
        <x:f>IF(AND(ISNUMBER(P701),P701&gt;1E-9,P701&lt;1-1E-9),'계산 과정'!$C$47*(D701-'계산 과정'!$C$50+P701*('계산 과정'!$C$32-D701))+'계산 과정'!$D$47*(E701-'계산 과정'!$D$50+P701*('계산 과정'!$D$32-E701))+'계산 과정'!$E$47*(0-'계산 과정'!$E$50+P701*('계산 과정'!$E$32-0)),"")</x:f>
      </x:c>
      <x:c r="R701" s="4" t="str">
        <x:f>IF(AND(ISNUMBER(P701),P701&gt;1E-9,P701&lt;1-1E-9),'계산 과정'!$C$48*(D701-'계산 과정'!$C$50+P701*('계산 과정'!$C$32-D701))+'계산 과정'!$D$48*(E701-'계산 과정'!$D$50+P701*('계산 과정'!$D$32-E701))+'계산 과정'!$E$48*(0-'계산 과정'!$E$50+P701*('계산 과정'!$E$32-0)),"")</x:f>
      </x:c>
      <x:c r="S701" s="17" t="n">
        <x:f>IF('계산 과정'!$C$78,IF(AND(ISNUMBER(Q701),ISNUMBER(R701),ABS(Q701-'계산 과정'!$C$88)&lt;='계산 과정'!$D$23/2,ABS(R701-'계산 과정'!$C$89)&lt;='계산 과정'!$D$24/2),1,0),"")</x:f>
        <x:v>0</x:v>
      </x:c>
      <x:c r="T701" s="4"/>
      <x:c r="U701" s="4"/>
      <x:c r="V701" s="4"/>
      <x:c r="W701" s="4"/>
      <x:c r="X701" s="4"/>
      <x:c r="Y701" s="4"/>
      <x:c r="Z701" s="4"/>
    </x:row>
    <x:row r="702" ht="23" customHeight="1">
      <x:c r="A702" s="17" t="n">
        <x:f>ROW()-6</x:f>
        <x:v>696</x:v>
      </x:c>
      <x:c r="B702" s="4" t="n">
        <x:f>IF('계산 과정'!$L$5,'계산 과정'!$L$11*SQRT((A702+0.5)/'계산 과정'!$L$30),"")</x:f>
        <x:v>87.47558253056964</x:v>
      </x:c>
      <x:c r="C702" s="4" t="n">
        <x:f>A702*PI()*(3-SQRT(5))</x:f>
        <x:v>1670.3744078911423</x:v>
      </x:c>
      <x:c r="D702" s="4" t="n">
        <x:f>IF('계산 과정'!$L$5,B702*COS(C702),"")</x:f>
        <x:v>50.67766058480665</x:v>
      </x:c>
      <x:c r="E702" s="4" t="n">
        <x:f>IF('계산 과정'!$L$5,B702*SIN(C702),"")</x:f>
        <x:v>-71.30043658150794</x:v>
      </x:c>
      <x:c r="F702" s="4" t="n">
        <x:f>IF('계산 과정'!$L$7,'계산 과정'!$L$22+'계산 과정'!$C$49*D702+'계산 과정'!$D$49*E702,"")</x:f>
        <x:v>614.165482545813</x:v>
      </x:c>
      <x:c r="G702" s="4" t="n">
        <x:f>IF('계산 과정'!$L$7,IF(ABS(F702)&gt;=1E-12*MAX(1,SQRT((D702-'계산 과정'!$C$33)^2+(E702-'계산 과정'!$D$33)^2+'계산 과정'!$E$33^2)),('계산 과정'!$L$23-'계산 과정'!$C$49*D702-'계산 과정'!$D$49*E702)/F702,""),"")</x:f>
        <x:v>0.7096369461331237</x:v>
      </x:c>
      <x:c r="H702" s="4" t="n">
        <x:f>IF(AND(ISNUMBER(G702),G702&gt;0),('계산 과정'!$D$56+'계산 과정'!$D$57*D702+'계산 과정'!$D$58*E702)/F702,"")</x:f>
        <x:v>61.264014986530285</x:v>
      </x:c>
      <x:c r="I702" s="4" t="n">
        <x:f>IF(AND(ISNUMBER(G702),G702&gt;0),('계산 과정'!$E$56+'계산 과정'!$E$57*D702+'계산 과정'!$E$58*E702)/F702,"")</x:f>
        <x:v>-121.89786065516769</x:v>
      </x:c>
      <x:c r="J702" s="4" t="n">
        <x:f>IF('계산 과정'!$L$5,'계산 과정'!$D$6+'계산 과정'!$C$35*D702+'계산 과정'!$D$35*E702,"")</x:f>
        <x:v>614.165482545813</x:v>
      </x:c>
      <x:c r="K702" s="4" t="n">
        <x:f>IF(AND('계산 과정'!$L$6,J702&gt;0),'계산 과정'!$D$10*('계산 과정'!$C$38*(D702-'계산 과정'!$C$32)+'계산 과정'!$D$38*(E702-'계산 과정'!$D$32)-'계산 과정'!$E$38*'계산 과정'!$E$32)/J702,"")</x:f>
        <x:v>0.46677344751642186</x:v>
      </x:c>
      <x:c r="L702" s="4" t="n">
        <x:f>IF(AND('계산 과정'!$L$6,J702&gt;0),'계산 과정'!$D$10*('계산 과정'!$C$39*(D702-'계산 과정'!$C$32)+'계산 과정'!$D$39*(E702-'계산 과정'!$D$32)-'계산 과정'!$E$39*'계산 과정'!$E$32)/J702,"")</x:f>
        <x:v>-0.9287456049917538</x:v>
      </x:c>
      <x:c r="M702" s="17" t="n">
        <x:f>IF('계산 과정'!$L$6,IF(J702&lt;=0,0,IF(AND(ABS(K702)&lt;='계산 과정'!$D$11/2,ABS(L702)&lt;='계산 과정'!$D$12/2),1,0)),"")</x:f>
        <x:v>1</x:v>
      </x:c>
      <x:c r="N702" s="17" t="n">
        <x:f>IF('계산 과정'!$C$78,IF(AND(ISNUMBER(H702),ISNUMBER(I702),ABS(H702-'계산 과정'!$C$88)&lt;='계산 과정'!$D$23/2,ABS(I702-'계산 과정'!$C$89)&lt;='계산 과정'!$D$24/2),1,0),"")</x:f>
        <x:v>1</x:v>
      </x:c>
      <x:c r="O702" s="4" t="n">
        <x:f>IF('계산 과정'!$L$7,'계산 과정'!$C$49*('계산 과정'!$C$32-D702)+'계산 과정'!$D$49*('계산 과정'!$D$32-E702)+'계산 과정'!$E$49*'계산 과정'!$E$32,"")</x:f>
        <x:v>35.83451745418711</x:v>
      </x:c>
      <x:c r="P702" s="4" t="n">
        <x:f>IF(AND('계산 과정'!$L$7,O702&lt;&gt;0),('계산 과정'!$L$23-'계산 과정'!$C$49*D702-'계산 과정'!$D$49*E702)/O702,"")</x:f>
        <x:v>12.16242183284267</x:v>
      </x:c>
      <x:c r="Q702" s="4" t="str">
        <x:f>IF(AND(ISNUMBER(P702),P702&gt;1E-9,P702&lt;1-1E-9),'계산 과정'!$C$47*(D702-'계산 과정'!$C$50+P702*('계산 과정'!$C$32-D702))+'계산 과정'!$D$47*(E702-'계산 과정'!$D$50+P702*('계산 과정'!$D$32-E702))+'계산 과정'!$E$47*(0-'계산 과정'!$E$50+P702*('계산 과정'!$E$32-0)),"")</x:f>
      </x:c>
      <x:c r="R702" s="4" t="str">
        <x:f>IF(AND(ISNUMBER(P702),P702&gt;1E-9,P702&lt;1-1E-9),'계산 과정'!$C$48*(D702-'계산 과정'!$C$50+P702*('계산 과정'!$C$32-D702))+'계산 과정'!$D$48*(E702-'계산 과정'!$D$50+P702*('계산 과정'!$D$32-E702))+'계산 과정'!$E$48*(0-'계산 과정'!$E$50+P702*('계산 과정'!$E$32-0)),"")</x:f>
      </x:c>
      <x:c r="S702" s="17" t="n">
        <x:f>IF('계산 과정'!$C$78,IF(AND(ISNUMBER(Q702),ISNUMBER(R702),ABS(Q702-'계산 과정'!$C$88)&lt;='계산 과정'!$D$23/2,ABS(R702-'계산 과정'!$C$89)&lt;='계산 과정'!$D$24/2),1,0),"")</x:f>
        <x:v>0</x:v>
      </x:c>
      <x:c r="T702" s="4"/>
      <x:c r="U702" s="4"/>
      <x:c r="V702" s="4"/>
      <x:c r="W702" s="4"/>
      <x:c r="X702" s="4"/>
      <x:c r="Y702" s="4"/>
      <x:c r="Z702" s="4"/>
    </x:row>
    <x:row r="703" ht="23" customHeight="1">
      <x:c r="A703" s="17" t="n">
        <x:f>ROW()-6</x:f>
        <x:v>697</x:v>
      </x:c>
      <x:c r="B703" s="4" t="n">
        <x:f>IF('계산 과정'!$L$5,'계산 과정'!$L$11*SQRT((A703+0.5)/'계산 과정'!$L$30),"")</x:f>
        <x:v>87.53835654835828</x:v>
      </x:c>
      <x:c r="C703" s="4" t="n">
        <x:f>A703*PI()*(3-SQRT(5))</x:f>
        <x:v>1672.7743711208711</x:v>
      </x:c>
      <x:c r="D703" s="4" t="n">
        <x:f>IF('계산 과정'!$L$5,B703*COS(C703),"")</x:f>
        <x:v>10.802369569933004</x:v>
      </x:c>
      <x:c r="E703" s="4" t="n">
        <x:f>IF('계산 과정'!$L$5,B703*SIN(C703),"")</x:f>
        <x:v>86.86928501410661</x:v>
      </x:c>
      <x:c r="F703" s="4" t="n">
        <x:f>IF('계산 과정'!$L$7,'계산 과정'!$L$22+'계산 과정'!$C$49*D703+'계산 과정'!$D$49*E703,"")</x:f>
        <x:v>642.3615712242172</x:v>
      </x:c>
      <x:c r="G703" s="4" t="n">
        <x:f>IF('계산 과정'!$L$7,IF(ABS(F703)&gt;=1E-12*MAX(1,SQRT((D703-'계산 과정'!$C$33)^2+(E703-'계산 과정'!$D$33)^2+'계산 과정'!$E$33^2)),('계산 과정'!$L$23-'계산 과정'!$C$49*D703-'계산 과정'!$D$49*E703)/F703,""),"")</x:f>
        <x:v>0.6345934237611733</x:v>
      </x:c>
      <x:c r="H703" s="4" t="n">
        <x:f>IF(AND(ISNUMBER(G703),G703&gt;0),('계산 과정'!$D$56+'계산 과정'!$D$57*D703+'계산 과정'!$D$58*E703)/F703,"")</x:f>
        <x:v>12.485725444762624</x:v>
      </x:c>
      <x:c r="I703" s="4" t="n">
        <x:f>IF(AND(ISNUMBER(G703),G703&gt;0),('계산 과정'!$E$56+'계산 과정'!$E$57*D703+'계산 과정'!$E$58*E703)/F703,"")</x:f>
        <x:v>141.99596201089372</x:v>
      </x:c>
      <x:c r="J703" s="4" t="n">
        <x:f>IF('계산 과정'!$L$5,'계산 과정'!$D$6+'계산 과정'!$C$35*D703+'계산 과정'!$D$35*E703,"")</x:f>
        <x:v>642.3615712242172</x:v>
      </x:c>
      <x:c r="K703" s="4" t="n">
        <x:f>IF(AND('계산 과정'!$L$6,J703&gt;0),'계산 과정'!$D$10*('계산 과정'!$C$38*(D703-'계산 과정'!$C$32)+'계산 과정'!$D$38*(E703-'계산 과정'!$D$32)-'계산 과정'!$E$38*'계산 과정'!$E$32)/J703,"")</x:f>
        <x:v>0.0951293367220015</x:v>
      </x:c>
      <x:c r="L703" s="4" t="n">
        <x:f>IF(AND('계산 과정'!$L$6,J703&gt;0),'계산 과정'!$D$10*('계산 과정'!$C$39*(D703-'계산 과정'!$C$32)+'계산 과정'!$D$39*(E703-'계산 과정'!$D$32)-'계산 과정'!$E$39*'계산 과정'!$E$32)/J703,"")</x:f>
        <x:v>1.0818739962734758</x:v>
      </x:c>
      <x:c r="M703" s="17" t="n">
        <x:f>IF('계산 과정'!$L$6,IF(J703&lt;=0,0,IF(AND(ABS(K703)&lt;='계산 과정'!$D$11/2,ABS(L703)&lt;='계산 과정'!$D$12/2),1,0)),"")</x:f>
        <x:v>1</x:v>
      </x:c>
      <x:c r="N703" s="17" t="n">
        <x:f>IF('계산 과정'!$C$78,IF(AND(ISNUMBER(H703),ISNUMBER(I703),ABS(H703-'계산 과정'!$C$88)&lt;='계산 과정'!$D$23/2,ABS(I703-'계산 과정'!$C$89)&lt;='계산 과정'!$D$24/2),1,0),"")</x:f>
        <x:v>1</x:v>
      </x:c>
      <x:c r="O703" s="4" t="n">
        <x:f>IF('계산 과정'!$L$7,'계산 과정'!$C$49*('계산 과정'!$C$32-D703)+'계산 과정'!$D$49*('계산 과정'!$D$32-E703)+'계산 과정'!$E$49*'계산 과정'!$E$32,"")</x:f>
        <x:v>7.638428775782927</x:v>
      </x:c>
      <x:c r="P703" s="4" t="n">
        <x:f>IF(AND('계산 과정'!$L$7,O703&lt;&gt;0),('계산 과정'!$L$23-'계산 과정'!$C$49*D703-'계산 과정'!$D$49*E703)/O703,"")</x:f>
        <x:v>53.366790571926295</x:v>
      </x:c>
      <x:c r="Q703" s="4" t="str">
        <x:f>IF(AND(ISNUMBER(P703),P703&gt;1E-9,P703&lt;1-1E-9),'계산 과정'!$C$47*(D703-'계산 과정'!$C$50+P703*('계산 과정'!$C$32-D703))+'계산 과정'!$D$47*(E703-'계산 과정'!$D$50+P703*('계산 과정'!$D$32-E703))+'계산 과정'!$E$47*(0-'계산 과정'!$E$50+P703*('계산 과정'!$E$32-0)),"")</x:f>
      </x:c>
      <x:c r="R703" s="4" t="str">
        <x:f>IF(AND(ISNUMBER(P703),P703&gt;1E-9,P703&lt;1-1E-9),'계산 과정'!$C$48*(D703-'계산 과정'!$C$50+P703*('계산 과정'!$C$32-D703))+'계산 과정'!$D$48*(E703-'계산 과정'!$D$50+P703*('계산 과정'!$D$32-E703))+'계산 과정'!$E$48*(0-'계산 과정'!$E$50+P703*('계산 과정'!$E$32-0)),"")</x:f>
      </x:c>
      <x:c r="S703" s="17" t="n">
        <x:f>IF('계산 과정'!$C$78,IF(AND(ISNUMBER(Q703),ISNUMBER(R703),ABS(Q703-'계산 과정'!$C$88)&lt;='계산 과정'!$D$23/2,ABS(R703-'계산 과정'!$C$89)&lt;='계산 과정'!$D$24/2),1,0),"")</x:f>
        <x:v>0</x:v>
      </x:c>
      <x:c r="T703" s="4"/>
      <x:c r="U703" s="4"/>
      <x:c r="V703" s="4"/>
      <x:c r="W703" s="4"/>
      <x:c r="X703" s="4"/>
      <x:c r="Y703" s="4"/>
      <x:c r="Z703" s="4"/>
    </x:row>
    <x:row r="704" ht="23" customHeight="1">
      <x:c r="A704" s="17" t="n">
        <x:f>ROW()-6</x:f>
        <x:v>698</x:v>
      </x:c>
      <x:c r="B704" s="4" t="n">
        <x:f>IF('계산 과정'!$L$5,'계산 과정'!$L$11*SQRT((A704+0.5)/'계산 과정'!$L$30),"")</x:f>
        <x:v>87.60108558295667</x:v>
      </x:c>
      <x:c r="C704" s="4" t="n">
        <x:f>A704*PI()*(3-SQRT(5))</x:f>
        <x:v>1675.1743343505998</x:v>
      </x:c>
      <x:c r="D704" s="4" t="n">
        <x:f>IF('계산 과정'!$L$5,B704*COS(C704),"")</x:f>
        <x:v>-66.69244688715776</x:v>
      </x:c>
      <x:c r="E704" s="4" t="n">
        <x:f>IF('계산 과정'!$L$5,B704*SIN(C704),"")</x:f>
        <x:v>-56.79848346141067</x:v>
      </x:c>
      <x:c r="F704" s="4" t="n">
        <x:f>IF('계산 과정'!$L$7,'계산 과정'!$L$22+'계산 과정'!$C$49*D704+'계산 과정'!$D$49*E704,"")</x:f>
        <x:v>697.1586814478329</x:v>
      </x:c>
      <x:c r="G704" s="4" t="n">
        <x:f>IF('계산 과정'!$L$7,IF(ABS(F704)&gt;=1E-12*MAX(1,SQRT((D704-'계산 과정'!$C$33)^2+(E704-'계산 과정'!$D$33)^2+'계산 과정'!$E$33^2)),('계산 과정'!$L$23-'계산 과정'!$C$49*D704-'계산 과정'!$D$49*E704)/F704,""),"")</x:f>
        <x:v>0.5061133540206363</x:v>
      </x:c>
      <x:c r="H704" s="4" t="n">
        <x:f>IF(AND(ISNUMBER(G704),G704&gt;0),('계산 과정'!$D$56+'계산 과정'!$D$57*D704+'계산 과정'!$D$58*E704)/F704,"")</x:f>
        <x:v>-71.02631988658649</x:v>
      </x:c>
      <x:c r="I704" s="4" t="n">
        <x:f>IF(AND(ISNUMBER(G704),G704&gt;0),('계산 과정'!$E$56+'계산 과정'!$E$57*D704+'계산 과정'!$E$58*E704)/F704,"")</x:f>
        <x:v>-85.54495442935087</x:v>
      </x:c>
      <x:c r="J704" s="4" t="n">
        <x:f>IF('계산 과정'!$L$5,'계산 과정'!$D$6+'계산 과정'!$C$35*D704+'계산 과정'!$D$35*E704,"")</x:f>
        <x:v>697.1586814478329</x:v>
      </x:c>
      <x:c r="K704" s="4" t="n">
        <x:f>IF(AND('계산 과정'!$L$6,J704&gt;0),'계산 과정'!$D$10*('계산 과정'!$C$38*(D704-'계산 과정'!$C$32)+'계산 과정'!$D$38*(E704-'계산 과정'!$D$32)-'계산 과정'!$E$38*'계산 과정'!$E$32)/J704,"")</x:f>
        <x:v>-0.5411529134216106</x:v>
      </x:c>
      <x:c r="L704" s="4" t="n">
        <x:f>IF(AND('계산 과정'!$L$6,J704&gt;0),'계산 과정'!$D$10*('계산 과정'!$C$39*(D704-'계산 과정'!$C$32)+'계산 과정'!$D$39*(E704-'계산 과정'!$D$32)-'계산 과정'!$E$39*'계산 과정'!$E$32)/J704,"")</x:f>
        <x:v>-0.6517710813664828</x:v>
      </x:c>
      <x:c r="M704" s="17" t="n">
        <x:f>IF('계산 과정'!$L$6,IF(J704&lt;=0,0,IF(AND(ABS(K704)&lt;='계산 과정'!$D$11/2,ABS(L704)&lt;='계산 과정'!$D$12/2),1,0)),"")</x:f>
        <x:v>1</x:v>
      </x:c>
      <x:c r="N704" s="17" t="n">
        <x:f>IF('계산 과정'!$C$78,IF(AND(ISNUMBER(H704),ISNUMBER(I704),ABS(H704-'계산 과정'!$C$88)&lt;='계산 과정'!$D$23/2,ABS(I704-'계산 과정'!$C$89)&lt;='계산 과정'!$D$24/2),1,0),"")</x:f>
        <x:v>1</x:v>
      </x:c>
      <x:c r="O704" s="4" t="n">
        <x:f>IF('계산 과정'!$L$7,'계산 과정'!$C$49*('계산 과정'!$C$32-D704)+'계산 과정'!$D$49*('계산 과정'!$D$32-E704)+'계산 과정'!$E$49*'계산 과정'!$E$32,"")</x:f>
        <x:v>-47.158681447832805</x:v>
      </x:c>
      <x:c r="P704" s="4" t="n">
        <x:f>IF(AND('계산 과정'!$L$7,O704&lt;&gt;0),('계산 과정'!$L$23-'계산 과정'!$C$49*D704-'계산 과정'!$D$49*E704)/O704,"")</x:f>
        <x:v>-7.4820013562610335</x:v>
      </x:c>
      <x:c r="Q704" s="4" t="str">
        <x:f>IF(AND(ISNUMBER(P704),P704&gt;1E-9,P704&lt;1-1E-9),'계산 과정'!$C$47*(D704-'계산 과정'!$C$50+P704*('계산 과정'!$C$32-D704))+'계산 과정'!$D$47*(E704-'계산 과정'!$D$50+P704*('계산 과정'!$D$32-E704))+'계산 과정'!$E$47*(0-'계산 과정'!$E$50+P704*('계산 과정'!$E$32-0)),"")</x:f>
      </x:c>
      <x:c r="R704" s="4" t="str">
        <x:f>IF(AND(ISNUMBER(P704),P704&gt;1E-9,P704&lt;1-1E-9),'계산 과정'!$C$48*(D704-'계산 과정'!$C$50+P704*('계산 과정'!$C$32-D704))+'계산 과정'!$D$48*(E704-'계산 과정'!$D$50+P704*('계산 과정'!$D$32-E704))+'계산 과정'!$E$48*(0-'계산 과정'!$E$50+P704*('계산 과정'!$E$32-0)),"")</x:f>
      </x:c>
      <x:c r="S704" s="17" t="n">
        <x:f>IF('계산 과정'!$C$78,IF(AND(ISNUMBER(Q704),ISNUMBER(R704),ABS(Q704-'계산 과정'!$C$88)&lt;='계산 과정'!$D$23/2,ABS(R704-'계산 과정'!$C$89)&lt;='계산 과정'!$D$24/2),1,0),"")</x:f>
        <x:v>0</x:v>
      </x:c>
      <x:c r="T704" s="4"/>
      <x:c r="U704" s="4"/>
      <x:c r="V704" s="4"/>
      <x:c r="W704" s="4"/>
      <x:c r="X704" s="4"/>
      <x:c r="Y704" s="4"/>
      <x:c r="Z704" s="4"/>
    </x:row>
    <x:row r="705" ht="23" customHeight="1">
      <x:c r="A705" s="17" t="n">
        <x:f>ROW()-6</x:f>
        <x:v>699</x:v>
      </x:c>
      <x:c r="B705" s="4" t="n">
        <x:f>IF('계산 과정'!$L$5,'계산 과정'!$L$11*SQRT((A705+0.5)/'계산 과정'!$L$30),"")</x:f>
        <x:v>87.66376973092989</x:v>
      </x:c>
      <x:c r="C705" s="4" t="n">
        <x:f>A705*PI()*(3-SQRT(5))</x:f>
        <x:v>1677.5742975803282</x:v>
      </x:c>
      <x:c r="D705" s="4" t="n">
        <x:f>IF('계산 과정'!$L$5,B705*COS(C705),"")</x:f>
        <x:v>87.60640217162637</x:v>
      </x:c>
      <x:c r="E705" s="4" t="n">
        <x:f>IF('계산 과정'!$L$5,B705*SIN(C705),"")</x:f>
        <x:v>-3.1709339287907876</x:v>
      </x:c>
      <x:c r="F705" s="4" t="n">
        <x:f>IF('계산 과정'!$L$7,'계산 과정'!$L$22+'계산 과정'!$C$49*D705+'계산 과정'!$D$49*E705,"")</x:f>
        <x:v>588.0529189490871</x:v>
      </x:c>
      <x:c r="G705" s="4" t="n">
        <x:f>IF('계산 과정'!$L$7,IF(ABS(F705)&gt;=1E-12*MAX(1,SQRT((D705-'계산 과정'!$C$33)^2+(E705-'계산 과정'!$D$33)^2+'계산 과정'!$E$33^2)),('계산 과정'!$L$23-'계산 과정'!$C$49*D705-'계산 과정'!$D$49*E705)/F705,""),"")</x:f>
        <x:v>0.7855535890825289</x:v>
      </x:c>
      <x:c r="H705" s="4" t="n">
        <x:f>IF(AND(ISNUMBER(G705),G705&gt;0),('계산 과정'!$D$56+'계산 과정'!$D$57*D705+'계산 과정'!$D$58*E705)/F705,"")</x:f>
        <x:v>110.60983290364372</x:v>
      </x:c>
      <x:c r="I705" s="4" t="n">
        <x:f>IF(AND(ISNUMBER(G705),G705&gt;0),('계산 과정'!$E$56+'계산 과정'!$E$57*D705+'계산 과정'!$E$58*E705)/F705,"")</x:f>
        <x:v>-5.661872457295955</x:v>
      </x:c>
      <x:c r="J705" s="4" t="n">
        <x:f>IF('계산 과정'!$L$5,'계산 과정'!$D$6+'계산 과정'!$C$35*D705+'계산 과정'!$D$35*E705,"")</x:f>
        <x:v>588.0529189490871</x:v>
      </x:c>
      <x:c r="K705" s="4" t="n">
        <x:f>IF(AND('계산 과정'!$L$6,J705&gt;0),'계산 과정'!$D$10*('계산 과정'!$C$38*(D705-'계산 과정'!$C$32)+'계산 과정'!$D$38*(E705-'계산 과정'!$D$32)-'계산 과정'!$E$38*'계산 과정'!$E$32)/J705,"")</x:f>
        <x:v>0.8427415840277628</x:v>
      </x:c>
      <x:c r="L705" s="4" t="n">
        <x:f>IF(AND('계산 과정'!$L$6,J705&gt;0),'계산 과정'!$D$10*('계산 과정'!$C$39*(D705-'계산 과정'!$C$32)+'계산 과정'!$D$39*(E705-'계산 과정'!$D$32)-'계산 과정'!$E$39*'계산 과정'!$E$32)/J705,"")</x:f>
        <x:v>-0.043138075865112036</x:v>
      </x:c>
      <x:c r="M705" s="17" t="n">
        <x:f>IF('계산 과정'!$L$6,IF(J705&lt;=0,0,IF(AND(ABS(K705)&lt;='계산 과정'!$D$11/2,ABS(L705)&lt;='계산 과정'!$D$12/2),1,0)),"")</x:f>
        <x:v>1</x:v>
      </x:c>
      <x:c r="N705" s="17" t="n">
        <x:f>IF('계산 과정'!$C$78,IF(AND(ISNUMBER(H705),ISNUMBER(I705),ABS(H705-'계산 과정'!$C$88)&lt;='계산 과정'!$D$23/2,ABS(I705-'계산 과정'!$C$89)&lt;='계산 과정'!$D$24/2),1,0),"")</x:f>
        <x:v>1</x:v>
      </x:c>
      <x:c r="O705" s="4" t="n">
        <x:f>IF('계산 과정'!$L$7,'계산 과정'!$C$49*('계산 과정'!$C$32-D705)+'계산 과정'!$D$49*('계산 과정'!$D$32-E705)+'계산 과정'!$E$49*'계산 과정'!$E$32,"")</x:f>
        <x:v>61.94708105091297</x:v>
      </x:c>
      <x:c r="P705" s="4" t="n">
        <x:f>IF(AND('계산 과정'!$L$7,O705&lt;&gt;0),('계산 과정'!$L$23-'계산 과정'!$C$49*D705-'계산 과정'!$D$49*E705)/O705,"")</x:f>
        <x:v>7.457124261775119</x:v>
      </x:c>
      <x:c r="Q705" s="4" t="str">
        <x:f>IF(AND(ISNUMBER(P705),P705&gt;1E-9,P705&lt;1-1E-9),'계산 과정'!$C$47*(D705-'계산 과정'!$C$50+P705*('계산 과정'!$C$32-D705))+'계산 과정'!$D$47*(E705-'계산 과정'!$D$50+P705*('계산 과정'!$D$32-E705))+'계산 과정'!$E$47*(0-'계산 과정'!$E$50+P705*('계산 과정'!$E$32-0)),"")</x:f>
      </x:c>
      <x:c r="R705" s="4" t="str">
        <x:f>IF(AND(ISNUMBER(P705),P705&gt;1E-9,P705&lt;1-1E-9),'계산 과정'!$C$48*(D705-'계산 과정'!$C$50+P705*('계산 과정'!$C$32-D705))+'계산 과정'!$D$48*(E705-'계산 과정'!$D$50+P705*('계산 과정'!$D$32-E705))+'계산 과정'!$E$48*(0-'계산 과정'!$E$50+P705*('계산 과정'!$E$32-0)),"")</x:f>
      </x:c>
      <x:c r="S705" s="17" t="n">
        <x:f>IF('계산 과정'!$C$78,IF(AND(ISNUMBER(Q705),ISNUMBER(R705),ABS(Q705-'계산 과정'!$C$88)&lt;='계산 과정'!$D$23/2,ABS(R705-'계산 과정'!$C$89)&lt;='계산 과정'!$D$24/2),1,0),"")</x:f>
        <x:v>0</x:v>
      </x:c>
      <x:c r="T705" s="4"/>
      <x:c r="U705" s="4"/>
      <x:c r="V705" s="4"/>
      <x:c r="W705" s="4"/>
      <x:c r="X705" s="4"/>
      <x:c r="Y705" s="4"/>
      <x:c r="Z705" s="4"/>
    </x:row>
    <x:row r="706" ht="23" customHeight="1">
      <x:c r="A706" s="17" t="n">
        <x:f>ROW()-6</x:f>
        <x:v>700</x:v>
      </x:c>
      <x:c r="B706" s="4" t="n">
        <x:f>IF('계산 과정'!$L$5,'계산 과정'!$L$11*SQRT((A706+0.5)/'계산 과정'!$L$30),"")</x:f>
        <x:v>87.72640908849797</x:v>
      </x:c>
      <x:c r="C706" s="4" t="n">
        <x:f>A706*PI()*(3-SQRT(5))</x:f>
        <x:v>1679.9742608100569</x:v>
      </x:c>
      <x:c r="D706" s="4" t="n">
        <x:f>IF('계산 과정'!$L$5,B706*COS(C706),"")</x:f>
        <x:v>-62.500926975664484</x:v>
      </x:c>
      <x:c r="E706" s="4" t="n">
        <x:f>IF('계산 과정'!$L$5,B706*SIN(C706),"")</x:f>
        <x:v>61.55937766697416</x:v>
      </x:c>
      <x:c r="F706" s="4" t="n">
        <x:f>IF('계산 과정'!$L$7,'계산 과정'!$L$22+'계산 과정'!$C$49*D706+'계산 과정'!$D$49*E706,"")</x:f>
        <x:v>694.1948292949376</x:v>
      </x:c>
      <x:c r="G706" s="4" t="n">
        <x:f>IF('계산 과정'!$L$7,IF(ABS(F706)&gt;=1E-12*MAX(1,SQRT((D706-'계산 과정'!$C$33)^2+(E706-'계산 과정'!$D$33)^2+'계산 과정'!$E$33^2)),('계산 과정'!$L$23-'계산 과정'!$C$49*D706-'계산 과정'!$D$49*E706)/F706,""),"")</x:f>
        <x:v>0.5125436774953189</x:v>
      </x:c>
      <x:c r="H706" s="4" t="n">
        <x:f>IF(AND(ISNUMBER(G706),G706&gt;0),('계산 과정'!$D$56+'계산 과정'!$D$57*D706+'계산 과정'!$D$58*E706)/F706,"")</x:f>
        <x:v>-66.84660962804286</x:v>
      </x:c>
      <x:c r="I706" s="4" t="n">
        <x:f>IF(AND(ISNUMBER(G706),G706&gt;0),('계산 과정'!$E$56+'계산 과정'!$E$57*D706+'계산 과정'!$E$58*E706)/F706,"")</x:f>
        <x:v>93.1112474807283</x:v>
      </x:c>
      <x:c r="J706" s="4" t="n">
        <x:f>IF('계산 과정'!$L$5,'계산 과정'!$D$6+'계산 과정'!$C$35*D706+'계산 과정'!$D$35*E706,"")</x:f>
        <x:v>694.1948292949376</x:v>
      </x:c>
      <x:c r="K706" s="4" t="n">
        <x:f>IF(AND('계산 과정'!$L$6,J706&gt;0),'계산 과정'!$D$10*('계산 과정'!$C$38*(D706-'계산 과정'!$C$32)+'계산 과정'!$D$38*(E706-'계산 과정'!$D$32)-'계산 과정'!$E$38*'계산 과정'!$E$32)/J706,"")</x:f>
        <x:v>-0.5093075019279445</x:v>
      </x:c>
      <x:c r="L706" s="4" t="n">
        <x:f>IF(AND('계산 과정'!$L$6,J706&gt;0),'계산 과정'!$D$10*('계산 과정'!$C$39*(D706-'계산 과정'!$C$32)+'계산 과정'!$D$39*(E706-'계산 과정'!$D$32)-'계산 과정'!$E$39*'계산 과정'!$E$32)/J706,"")</x:f>
        <x:v>0.7094190284245966</x:v>
      </x:c>
      <x:c r="M706" s="17" t="n">
        <x:f>IF('계산 과정'!$L$6,IF(J706&lt;=0,0,IF(AND(ABS(K706)&lt;='계산 과정'!$D$11/2,ABS(L706)&lt;='계산 과정'!$D$12/2),1,0)),"")</x:f>
        <x:v>1</x:v>
      </x:c>
      <x:c r="N706" s="17" t="n">
        <x:f>IF('계산 과정'!$C$78,IF(AND(ISNUMBER(H706),ISNUMBER(I706),ABS(H706-'계산 과정'!$C$88)&lt;='계산 과정'!$D$23/2,ABS(I706-'계산 과정'!$C$89)&lt;='계산 과정'!$D$24/2),1,0),"")</x:f>
        <x:v>1</x:v>
      </x:c>
      <x:c r="O706" s="4" t="n">
        <x:f>IF('계산 과정'!$L$7,'계산 과정'!$C$49*('계산 과정'!$C$32-D706)+'계산 과정'!$D$49*('계산 과정'!$D$32-E706)+'계산 과정'!$E$49*'계산 과정'!$E$32,"")</x:f>
        <x:v>-44.19482929493745</x:v>
      </x:c>
      <x:c r="P706" s="4" t="n">
        <x:f>IF(AND('계산 과정'!$L$7,O706&lt;&gt;0),('계산 과정'!$L$23-'계산 과정'!$C$49*D706-'계산 과정'!$D$49*E706)/O706,"")</x:f>
        <x:v>-8.050832560763396</x:v>
      </x:c>
      <x:c r="Q706" s="4" t="str">
        <x:f>IF(AND(ISNUMBER(P706),P706&gt;1E-9,P706&lt;1-1E-9),'계산 과정'!$C$47*(D706-'계산 과정'!$C$50+P706*('계산 과정'!$C$32-D706))+'계산 과정'!$D$47*(E706-'계산 과정'!$D$50+P706*('계산 과정'!$D$32-E706))+'계산 과정'!$E$47*(0-'계산 과정'!$E$50+P706*('계산 과정'!$E$32-0)),"")</x:f>
      </x:c>
      <x:c r="R706" s="4" t="str">
        <x:f>IF(AND(ISNUMBER(P706),P706&gt;1E-9,P706&lt;1-1E-9),'계산 과정'!$C$48*(D706-'계산 과정'!$C$50+P706*('계산 과정'!$C$32-D706))+'계산 과정'!$D$48*(E706-'계산 과정'!$D$50+P706*('계산 과정'!$D$32-E706))+'계산 과정'!$E$48*(0-'계산 과정'!$E$50+P706*('계산 과정'!$E$32-0)),"")</x:f>
      </x:c>
      <x:c r="S706" s="17" t="n">
        <x:f>IF('계산 과정'!$C$78,IF(AND(ISNUMBER(Q706),ISNUMBER(R706),ABS(Q706-'계산 과정'!$C$88)&lt;='계산 과정'!$D$23/2,ABS(R706-'계산 과정'!$C$89)&lt;='계산 과정'!$D$24/2),1,0),"")</x:f>
        <x:v>0</x:v>
      </x:c>
      <x:c r="T706" s="4"/>
      <x:c r="U706" s="4"/>
      <x:c r="V706" s="4"/>
      <x:c r="W706" s="4"/>
      <x:c r="X706" s="4"/>
      <x:c r="Y706" s="4"/>
      <x:c r="Z706" s="4"/>
    </x:row>
    <x:row r="707" ht="23" customHeight="1">
      <x:c r="A707" s="17" t="n">
        <x:f>ROW()-6</x:f>
        <x:v>701</x:v>
      </x:c>
      <x:c r="B707" s="4" t="n">
        <x:f>IF('계산 과정'!$L$5,'계산 과정'!$L$11*SQRT((A707+0.5)/'계산 과정'!$L$30),"")</x:f>
        <x:v>87.78900375153769</x:v>
      </x:c>
      <x:c r="C707" s="4" t="n">
        <x:f>A707*PI()*(3-SQRT(5))</x:f>
        <x:v>1682.3742240397858</x:v>
      </x:c>
      <x:c r="D707" s="4" t="n">
        <x:f>IF('계산 과정'!$L$5,B707*COS(C707),"")</x:f>
        <x:v>4.506689594422744</x:v>
      </x:c>
      <x:c r="E707" s="4" t="n">
        <x:f>IF('계산 과정'!$L$5,B707*SIN(C707),"")</x:f>
        <x:v>-87.67325092972783</x:v>
      </x:c>
      <x:c r="F707" s="4" t="n">
        <x:f>IF('계산 과정'!$L$7,'계산 과정'!$L$22+'계산 과정'!$C$49*D707+'계산 과정'!$D$49*E707,"")</x:f>
        <x:v>646.8132892270809</x:v>
      </x:c>
      <x:c r="G707" s="4" t="n">
        <x:f>IF('계산 과정'!$L$7,IF(ABS(F707)&gt;=1E-12*MAX(1,SQRT((D707-'계산 과정'!$C$33)^2+(E707-'계산 과정'!$D$33)^2+'계산 과정'!$E$33^2)),('계산 과정'!$L$23-'계산 과정'!$C$49*D707-'계산 과정'!$D$49*E707)/F707,""),"")</x:f>
        <x:v>0.6233432699793678</x:v>
      </x:c>
      <x:c r="H707" s="4" t="n">
        <x:f>IF(AND(ISNUMBER(G707),G707&gt;0),('계산 과정'!$D$56+'계산 과정'!$D$57*D707+'계산 과정'!$D$58*E707)/F707,"")</x:f>
        <x:v>5.173125486588977</x:v>
      </x:c>
      <x:c r="I707" s="4" t="n">
        <x:f>IF(AND(ISNUMBER(G707),G707&gt;0),('계산 과정'!$E$56+'계산 과정'!$E$57*D707+'계산 과정'!$E$58*E707)/F707,"")</x:f>
        <x:v>-142.32378185398602</x:v>
      </x:c>
      <x:c r="J707" s="4" t="n">
        <x:f>IF('계산 과정'!$L$5,'계산 과정'!$D$6+'계산 과정'!$C$35*D707+'계산 과정'!$D$35*E707,"")</x:f>
        <x:v>646.8132892270809</x:v>
      </x:c>
      <x:c r="K707" s="4" t="n">
        <x:f>IF(AND('계산 과정'!$L$6,J707&gt;0),'계산 과정'!$D$10*('계산 과정'!$C$38*(D707-'계산 과정'!$C$32)+'계산 과정'!$D$38*(E707-'계산 과정'!$D$32)-'계산 과정'!$E$38*'계산 과정'!$E$32)/J707,"")</x:f>
        <x:v>0.03941428942163129</x:v>
      </x:c>
      <x:c r="L707" s="4" t="n">
        <x:f>IF(AND('계산 과정'!$L$6,J707&gt;0),'계산 과정'!$D$10*('계산 과정'!$C$39*(D707-'계산 과정'!$C$32)+'계산 과정'!$D$39*(E707-'계산 과정'!$D$32)-'계산 과정'!$E$39*'계산 과정'!$E$32)/J707,"")</x:f>
        <x:v>-1.0843716712684648</x:v>
      </x:c>
      <x:c r="M707" s="17" t="n">
        <x:f>IF('계산 과정'!$L$6,IF(J707&lt;=0,0,IF(AND(ABS(K707)&lt;='계산 과정'!$D$11/2,ABS(L707)&lt;='계산 과정'!$D$12/2),1,0)),"")</x:f>
        <x:v>1</x:v>
      </x:c>
      <x:c r="N707" s="17" t="n">
        <x:f>IF('계산 과정'!$C$78,IF(AND(ISNUMBER(H707),ISNUMBER(I707),ABS(H707-'계산 과정'!$C$88)&lt;='계산 과정'!$D$23/2,ABS(I707-'계산 과정'!$C$89)&lt;='계산 과정'!$D$24/2),1,0),"")</x:f>
        <x:v>1</x:v>
      </x:c>
      <x:c r="O707" s="4" t="n">
        <x:f>IF('계산 과정'!$L$7,'계산 과정'!$C$49*('계산 과정'!$C$32-D707)+'계산 과정'!$D$49*('계산 과정'!$D$32-E707)+'계산 과정'!$E$49*'계산 과정'!$E$32,"")</x:f>
        <x:v>3.186710772919298</x:v>
      </x:c>
      <x:c r="P707" s="4" t="n">
        <x:f>IF(AND('계산 과정'!$L$7,O707&lt;&gt;0),('계산 과정'!$L$23-'계산 과정'!$C$49*D707-'계산 과정'!$D$49*E707)/O707,"")</x:f>
        <x:v>126.52127522811425</x:v>
      </x:c>
      <x:c r="Q707" s="4" t="str">
        <x:f>IF(AND(ISNUMBER(P707),P707&gt;1E-9,P707&lt;1-1E-9),'계산 과정'!$C$47*(D707-'계산 과정'!$C$50+P707*('계산 과정'!$C$32-D707))+'계산 과정'!$D$47*(E707-'계산 과정'!$D$50+P707*('계산 과정'!$D$32-E707))+'계산 과정'!$E$47*(0-'계산 과정'!$E$50+P707*('계산 과정'!$E$32-0)),"")</x:f>
      </x:c>
      <x:c r="R707" s="4" t="str">
        <x:f>IF(AND(ISNUMBER(P707),P707&gt;1E-9,P707&lt;1-1E-9),'계산 과정'!$C$48*(D707-'계산 과정'!$C$50+P707*('계산 과정'!$C$32-D707))+'계산 과정'!$D$48*(E707-'계산 과정'!$D$50+P707*('계산 과정'!$D$32-E707))+'계산 과정'!$E$48*(0-'계산 과정'!$E$50+P707*('계산 과정'!$E$32-0)),"")</x:f>
      </x:c>
      <x:c r="S707" s="17" t="n">
        <x:f>IF('계산 과정'!$C$78,IF(AND(ISNUMBER(Q707),ISNUMBER(R707),ABS(Q707-'계산 과정'!$C$88)&lt;='계산 과정'!$D$23/2,ABS(R707-'계산 과정'!$C$89)&lt;='계산 과정'!$D$24/2),1,0),"")</x:f>
        <x:v>0</x:v>
      </x:c>
      <x:c r="T707" s="4"/>
      <x:c r="U707" s="4"/>
      <x:c r="V707" s="4"/>
      <x:c r="W707" s="4"/>
      <x:c r="X707" s="4"/>
      <x:c r="Y707" s="4"/>
      <x:c r="Z707" s="4"/>
    </x:row>
    <x:row r="708" ht="23" customHeight="1">
      <x:c r="A708" s="17" t="n">
        <x:f>ROW()-6</x:f>
        <x:v>702</x:v>
      </x:c>
      <x:c r="B708" s="4" t="n">
        <x:f>IF('계산 과정'!$L$5,'계산 과정'!$L$11*SQRT((A708+0.5)/'계산 과정'!$L$30),"")</x:f>
        <x:v>87.85155381558428</x:v>
      </x:c>
      <x:c r="C708" s="4" t="n">
        <x:f>A708*PI()*(3-SQRT(5))</x:f>
        <x:v>1684.7741872695144</x:v>
      </x:c>
      <x:c r="D708" s="4" t="n">
        <x:f>IF('계산 과정'!$L$5,B708*COS(C708),"")</x:f>
        <x:v>55.939165951191995</x:v>
      </x:c>
      <x:c r="E708" s="4" t="n">
        <x:f>IF('계산 과정'!$L$5,B708*SIN(C708),"")</x:f>
        <x:v>67.7399824365013</x:v>
      </x:c>
      <x:c r="F708" s="4" t="n">
        <x:f>IF('계산 과정'!$L$7,'계산 과정'!$L$22+'계산 과정'!$C$49*D708+'계산 과정'!$D$49*E708,"")</x:f>
        <x:v>610.4450364219925</x:v>
      </x:c>
      <x:c r="G708" s="4" t="n">
        <x:f>IF('계산 과정'!$L$7,IF(ABS(F708)&gt;=1E-12*MAX(1,SQRT((D708-'계산 과정'!$C$33)^2+(E708-'계산 과정'!$D$33)^2+'계산 과정'!$E$33^2)),('계산 과정'!$L$23-'계산 과정'!$C$49*D708-'계산 과정'!$D$49*E708)/F708,""),"")</x:f>
        <x:v>0.7200565773363893</x:v>
      </x:c>
      <x:c r="H708" s="4" t="n">
        <x:f>IF(AND(ISNUMBER(G708),G708&gt;0),('계산 과정'!$D$56+'계산 과정'!$D$57*D708+'계산 과정'!$D$58*E708)/F708,"")</x:f>
        <x:v>68.036775268653</x:v>
      </x:c>
      <x:c r="I708" s="4" t="n">
        <x:f>IF(AND(ISNUMBER(G708),G708&gt;0),('계산 과정'!$E$56+'계산 과정'!$E$57*D708+'계산 과정'!$E$58*E708)/F708,"")</x:f>
        <x:v>116.51660233855553</x:v>
      </x:c>
      <x:c r="J708" s="4" t="n">
        <x:f>IF('계산 과정'!$L$5,'계산 과정'!$D$6+'계산 과정'!$C$35*D708+'계산 과정'!$D$35*E708,"")</x:f>
        <x:v>610.4450364219925</x:v>
      </x:c>
      <x:c r="K708" s="4" t="n">
        <x:f>IF(AND('계산 과정'!$L$6,J708&gt;0),'계산 과정'!$D$10*('계산 과정'!$C$38*(D708-'계산 과정'!$C$32)+'계산 과정'!$D$38*(E708-'계산 과정'!$D$32)-'계산 과정'!$E$38*'계산 과정'!$E$32)/J708,"")</x:f>
        <x:v>0.5183754306183089</x:v>
      </x:c>
      <x:c r="L708" s="4" t="n">
        <x:f>IF(AND('계산 과정'!$L$6,J708&gt;0),'계산 과정'!$D$10*('계산 과정'!$C$39*(D708-'계산 과정'!$C$32)+'계산 과정'!$D$39*(E708-'계산 과정'!$D$32)-'계산 과정'!$E$39*'계산 과정'!$E$32)/J708,"")</x:f>
        <x:v>0.8877455416270899</x:v>
      </x:c>
      <x:c r="M708" s="17" t="n">
        <x:f>IF('계산 과정'!$L$6,IF(J708&lt;=0,0,IF(AND(ABS(K708)&lt;='계산 과정'!$D$11/2,ABS(L708)&lt;='계산 과정'!$D$12/2),1,0)),"")</x:f>
        <x:v>1</x:v>
      </x:c>
      <x:c r="N708" s="17" t="n">
        <x:f>IF('계산 과정'!$C$78,IF(AND(ISNUMBER(H708),ISNUMBER(I708),ABS(H708-'계산 과정'!$C$88)&lt;='계산 과정'!$D$23/2,ABS(I708-'계산 과정'!$C$89)&lt;='계산 과정'!$D$24/2),1,0),"")</x:f>
        <x:v>1</x:v>
      </x:c>
      <x:c r="O708" s="4" t="n">
        <x:f>IF('계산 과정'!$L$7,'계산 과정'!$C$49*('계산 과정'!$C$32-D708)+'계산 과정'!$D$49*('계산 과정'!$D$32-E708)+'계산 과정'!$E$49*'계산 과정'!$E$32,"")</x:f>
        <x:v>39.55496357800757</x:v>
      </x:c>
      <x:c r="P708" s="4" t="n">
        <x:f>IF(AND('계산 과정'!$L$7,O708&lt;&gt;0),('계산 과정'!$L$23-'계산 과정'!$C$49*D708-'계산 과정'!$D$49*E708)/O708,"")</x:f>
        <x:v>11.11251089161408</x:v>
      </x:c>
      <x:c r="Q708" s="4" t="str">
        <x:f>IF(AND(ISNUMBER(P708),P708&gt;1E-9,P708&lt;1-1E-9),'계산 과정'!$C$47*(D708-'계산 과정'!$C$50+P708*('계산 과정'!$C$32-D708))+'계산 과정'!$D$47*(E708-'계산 과정'!$D$50+P708*('계산 과정'!$D$32-E708))+'계산 과정'!$E$47*(0-'계산 과정'!$E$50+P708*('계산 과정'!$E$32-0)),"")</x:f>
      </x:c>
      <x:c r="R708" s="4" t="str">
        <x:f>IF(AND(ISNUMBER(P708),P708&gt;1E-9,P708&lt;1-1E-9),'계산 과정'!$C$48*(D708-'계산 과정'!$C$50+P708*('계산 과정'!$C$32-D708))+'계산 과정'!$D$48*(E708-'계산 과정'!$D$50+P708*('계산 과정'!$D$32-E708))+'계산 과정'!$E$48*(0-'계산 과정'!$E$50+P708*('계산 과정'!$E$32-0)),"")</x:f>
      </x:c>
      <x:c r="S708" s="17" t="n">
        <x:f>IF('계산 과정'!$C$78,IF(AND(ISNUMBER(Q708),ISNUMBER(R708),ABS(Q708-'계산 과정'!$C$88)&lt;='계산 과정'!$D$23/2,ABS(R708-'계산 과정'!$C$89)&lt;='계산 과정'!$D$24/2),1,0),"")</x:f>
        <x:v>0</x:v>
      </x:c>
      <x:c r="T708" s="4"/>
      <x:c r="U708" s="4"/>
      <x:c r="V708" s="4"/>
      <x:c r="W708" s="4"/>
      <x:c r="X708" s="4"/>
      <x:c r="Y708" s="4"/>
      <x:c r="Z708" s="4"/>
    </x:row>
    <x:row r="709" ht="23" customHeight="1">
      <x:c r="A709" s="17" t="n">
        <x:f>ROW()-6</x:f>
        <x:v>703</x:v>
      </x:c>
      <x:c r="B709" s="4" t="n">
        <x:f>IF('계산 과정'!$L$5,'계산 과정'!$L$11*SQRT((A709+0.5)/'계산 과정'!$L$30),"")</x:f>
        <x:v>87.91405937583305</x:v>
      </x:c>
      <x:c r="C709" s="4" t="n">
        <x:f>A709*PI()*(3-SQRT(5))</x:f>
        <x:v>1687.1741504992428</x:v>
      </x:c>
      <x:c r="D709" s="4" t="n">
        <x:f>IF('계산 과정'!$L$5,B709*COS(C709),"")</x:f>
        <x:v>-87.06740430873491</x:v>
      </x:c>
      <x:c r="E709" s="4" t="n">
        <x:f>IF('계산 과정'!$L$5,B709*SIN(C709),"")</x:f>
        <x:v>-12.171645035770151</x:v>
      </x:c>
      <x:c r="F709" s="4" t="n">
        <x:f>IF('계산 과정'!$L$7,'계산 과정'!$L$22+'계산 과정'!$C$49*D709+'계산 과정'!$D$49*E709,"")</x:f>
        <x:v>711.5659520070172</x:v>
      </x:c>
      <x:c r="G709" s="4" t="n">
        <x:f>IF('계산 과정'!$L$7,IF(ABS(F709)&gt;=1E-12*MAX(1,SQRT((D709-'계산 과정'!$C$33)^2+(E709-'계산 과정'!$D$33)^2+'계산 과정'!$E$33^2)),('계산 과정'!$L$23-'계산 과정'!$C$49*D709-'계산 과정'!$D$49*E709)/F709,""),"")</x:f>
        <x:v>0.47561866477507514</x:v>
      </x:c>
      <x:c r="H709" s="4" t="n">
        <x:f>IF(AND(ISNUMBER(G709),G709&gt;0),('계산 과정'!$D$56+'계산 과정'!$D$57*D709+'계산 과정'!$D$58*E709)/F709,"")</x:f>
        <x:v>-90.84786789620132</x:v>
      </x:c>
      <x:c r="I709" s="4" t="n">
        <x:f>IF(AND(ISNUMBER(G709),G709&gt;0),('계산 과정'!$E$56+'계산 과정'!$E$57*D709+'계산 과정'!$E$58*E709)/F709,"")</x:f>
        <x:v>-17.960706595799323</x:v>
      </x:c>
      <x:c r="J709" s="4" t="n">
        <x:f>IF('계산 과정'!$L$5,'계산 과정'!$D$6+'계산 과정'!$C$35*D709+'계산 과정'!$D$35*E709,"")</x:f>
        <x:v>711.5659520070172</x:v>
      </x:c>
      <x:c r="K709" s="4" t="n">
        <x:f>IF(AND('계산 과정'!$L$6,J709&gt;0),'계산 과정'!$D$10*('계산 과정'!$C$38*(D709-'계산 과정'!$C$32)+'계산 과정'!$D$38*(E709-'계산 과정'!$D$32)-'계산 과정'!$E$38*'계산 과정'!$E$32)/J709,"")</x:f>
        <x:v>-0.6921742315901046</x:v>
      </x:c>
      <x:c r="L709" s="4" t="n">
        <x:f>IF(AND('계산 과정'!$L$6,J709&gt;0),'계산 과정'!$D$10*('계산 과정'!$C$39*(D709-'계산 과정'!$C$32)+'계산 과정'!$D$39*(E709-'계산 과정'!$D$32)-'계산 과정'!$E$39*'계산 과정'!$E$32)/J709,"")</x:f>
        <x:v>-0.1368434788251377</x:v>
      </x:c>
      <x:c r="M709" s="17" t="n">
        <x:f>IF('계산 과정'!$L$6,IF(J709&lt;=0,0,IF(AND(ABS(K709)&lt;='계산 과정'!$D$11/2,ABS(L709)&lt;='계산 과정'!$D$12/2),1,0)),"")</x:f>
        <x:v>1</x:v>
      </x:c>
      <x:c r="N709" s="17" t="n">
        <x:f>IF('계산 과정'!$C$78,IF(AND(ISNUMBER(H709),ISNUMBER(I709),ABS(H709-'계산 과정'!$C$88)&lt;='계산 과정'!$D$23/2,ABS(I709-'계산 과정'!$C$89)&lt;='계산 과정'!$D$24/2),1,0),"")</x:f>
        <x:v>1</x:v>
      </x:c>
      <x:c r="O709" s="4" t="n">
        <x:f>IF('계산 과정'!$L$7,'계산 과정'!$C$49*('계산 과정'!$C$32-D709)+'계산 과정'!$D$49*('계산 과정'!$D$32-E709)+'계산 과정'!$E$49*'계산 과정'!$E$32,"")</x:f>
        <x:v>-61.56595200701719</x:v>
      </x:c>
      <x:c r="P709" s="4" t="n">
        <x:f>IF(AND('계산 과정'!$L$7,O709&lt;&gt;0),('계산 과정'!$L$23-'계산 과정'!$C$49*D709-'계산 과정'!$D$49*E709)/O709,"")</x:f>
        <x:v>-5.497097615812204</x:v>
      </x:c>
      <x:c r="Q709" s="4" t="str">
        <x:f>IF(AND(ISNUMBER(P709),P709&gt;1E-9,P709&lt;1-1E-9),'계산 과정'!$C$47*(D709-'계산 과정'!$C$50+P709*('계산 과정'!$C$32-D709))+'계산 과정'!$D$47*(E709-'계산 과정'!$D$50+P709*('계산 과정'!$D$32-E709))+'계산 과정'!$E$47*(0-'계산 과정'!$E$50+P709*('계산 과정'!$E$32-0)),"")</x:f>
      </x:c>
      <x:c r="R709" s="4" t="str">
        <x:f>IF(AND(ISNUMBER(P709),P709&gt;1E-9,P709&lt;1-1E-9),'계산 과정'!$C$48*(D709-'계산 과정'!$C$50+P709*('계산 과정'!$C$32-D709))+'계산 과정'!$D$48*(E709-'계산 과정'!$D$50+P709*('계산 과정'!$D$32-E709))+'계산 과정'!$E$48*(0-'계산 과정'!$E$50+P709*('계산 과정'!$E$32-0)),"")</x:f>
      </x:c>
      <x:c r="S709" s="17" t="n">
        <x:f>IF('계산 과정'!$C$78,IF(AND(ISNUMBER(Q709),ISNUMBER(R709),ABS(Q709-'계산 과정'!$C$88)&lt;='계산 과정'!$D$23/2,ABS(R709-'계산 과정'!$C$89)&lt;='계산 과정'!$D$24/2),1,0),"")</x:f>
        <x:v>0</x:v>
      </x:c>
      <x:c r="T709" s="4"/>
      <x:c r="U709" s="4"/>
      <x:c r="V709" s="4"/>
      <x:c r="W709" s="4"/>
      <x:c r="X709" s="4"/>
      <x:c r="Y709" s="4"/>
      <x:c r="Z709" s="4"/>
    </x:row>
    <x:row r="710" ht="23" customHeight="1">
      <x:c r="A710" s="17" t="n">
        <x:f>ROW()-6</x:f>
        <x:v>704</x:v>
      </x:c>
      <x:c r="B710" s="4" t="n">
        <x:f>IF('계산 과정'!$L$5,'계산 과정'!$L$11*SQRT((A710+0.5)/'계산 과정'!$L$30),"")</x:f>
        <x:v>87.97652052714122</x:v>
      </x:c>
      <x:c r="C710" s="4" t="n">
        <x:f>A710*PI()*(3-SQRT(5))</x:f>
        <x:v>1689.5741137289715</x:v>
      </x:c>
      <x:c r="D710" s="4" t="n">
        <x:f>IF('계산 과정'!$L$5,B710*COS(C710),"")</x:f>
        <x:v>72.47407711950613</x:v>
      </x:c>
      <x:c r="E710" s="4" t="n">
        <x:f>IF('계산 과정'!$L$5,B710*SIN(C710),"")</x:f>
        <x:v>-49.873603336217606</x:v>
      </x:c>
      <x:c r="F710" s="4" t="n">
        <x:f>IF('계산 과정'!$L$7,'계산 과정'!$L$22+'계산 과정'!$C$49*D710+'계산 과정'!$D$49*E710,"")</x:f>
        <x:v>598.7530886085605</x:v>
      </x:c>
      <x:c r="G710" s="4" t="n">
        <x:f>IF('계산 과정'!$L$7,IF(ABS(F710)&gt;=1E-12*MAX(1,SQRT((D710-'계산 과정'!$C$33)^2+(E710-'계산 과정'!$D$33)^2+'계산 과정'!$E$33^2)),('계산 과정'!$L$23-'계산 과정'!$C$49*D710-'계산 과정'!$D$49*E710)/F710,""),"")</x:f>
        <x:v>0.7536443986286404</x:v>
      </x:c>
      <x:c r="H710" s="4" t="n">
        <x:f>IF(AND(ISNUMBER(G710),G710&gt;0),('계산 과정'!$D$56+'계산 과정'!$D$57*D710+'계산 과정'!$D$58*E710)/F710,"")</x:f>
        <x:v>89.8688591086162</x:v>
      </x:c>
      <x:c r="I710" s="4" t="n">
        <x:f>IF(AND(ISNUMBER(G710),G710&gt;0),('계산 과정'!$E$56+'계산 과정'!$E$57*D710+'계산 과정'!$E$58*E710)/F710,"")</x:f>
        <x:v>-87.46056512998467</x:v>
      </x:c>
      <x:c r="J710" s="4" t="n">
        <x:f>IF('계산 과정'!$L$5,'계산 과정'!$D$6+'계산 과정'!$C$35*D710+'계산 과정'!$D$35*E710,"")</x:f>
        <x:v>598.7530886085605</x:v>
      </x:c>
      <x:c r="K710" s="4" t="n">
        <x:f>IF(AND('계산 과정'!$L$6,J710&gt;0),'계산 과정'!$D$10*('계산 과정'!$C$38*(D710-'계산 과정'!$C$32)+'계산 과정'!$D$38*(E710-'계산 과정'!$D$32)-'계산 과정'!$E$38*'계산 과정'!$E$32)/J710,"")</x:f>
        <x:v>0.684715117018029</x:v>
      </x:c>
      <x:c r="L710" s="4" t="n">
        <x:f>IF(AND('계산 과정'!$L$6,J710&gt;0),'계산 과정'!$D$10*('계산 과정'!$C$39*(D710-'계산 과정'!$C$32)+'계산 과정'!$D$39*(E710-'계산 과정'!$D$32)-'계산 과정'!$E$39*'계산 과정'!$E$32)/J710,"")</x:f>
        <x:v>-0.6663662105141689</x:v>
      </x:c>
      <x:c r="M710" s="17" t="n">
        <x:f>IF('계산 과정'!$L$6,IF(J710&lt;=0,0,IF(AND(ABS(K710)&lt;='계산 과정'!$D$11/2,ABS(L710)&lt;='계산 과정'!$D$12/2),1,0)),"")</x:f>
        <x:v>1</x:v>
      </x:c>
      <x:c r="N710" s="17" t="n">
        <x:f>IF('계산 과정'!$C$78,IF(AND(ISNUMBER(H710),ISNUMBER(I710),ABS(H710-'계산 과정'!$C$88)&lt;='계산 과정'!$D$23/2,ABS(I710-'계산 과정'!$C$89)&lt;='계산 과정'!$D$24/2),1,0),"")</x:f>
        <x:v>1</x:v>
      </x:c>
      <x:c r="O710" s="4" t="n">
        <x:f>IF('계산 과정'!$L$7,'계산 과정'!$C$49*('계산 과정'!$C$32-D710)+'계산 과정'!$D$49*('계산 과정'!$D$32-E710)+'계산 과정'!$E$49*'계산 과정'!$E$32,"")</x:f>
        <x:v>51.24691139143971</x:v>
      </x:c>
      <x:c r="P710" s="4" t="n">
        <x:f>IF(AND('계산 과정'!$L$7,O710&lt;&gt;0),('계산 과정'!$L$23-'계산 과정'!$C$49*D710-'계산 과정'!$D$49*E710)/O710,"")</x:f>
        <x:v>8.805348442263702</x:v>
      </x:c>
      <x:c r="Q710" s="4" t="str">
        <x:f>IF(AND(ISNUMBER(P710),P710&gt;1E-9,P710&lt;1-1E-9),'계산 과정'!$C$47*(D710-'계산 과정'!$C$50+P710*('계산 과정'!$C$32-D710))+'계산 과정'!$D$47*(E710-'계산 과정'!$D$50+P710*('계산 과정'!$D$32-E710))+'계산 과정'!$E$47*(0-'계산 과정'!$E$50+P710*('계산 과정'!$E$32-0)),"")</x:f>
      </x:c>
      <x:c r="R710" s="4" t="str">
        <x:f>IF(AND(ISNUMBER(P710),P710&gt;1E-9,P710&lt;1-1E-9),'계산 과정'!$C$48*(D710-'계산 과정'!$C$50+P710*('계산 과정'!$C$32-D710))+'계산 과정'!$D$48*(E710-'계산 과정'!$D$50+P710*('계산 과정'!$D$32-E710))+'계산 과정'!$E$48*(0-'계산 과정'!$E$50+P710*('계산 과정'!$E$32-0)),"")</x:f>
      </x:c>
      <x:c r="S710" s="17" t="n">
        <x:f>IF('계산 과정'!$C$78,IF(AND(ISNUMBER(Q710),ISNUMBER(R710),ABS(Q710-'계산 과정'!$C$88)&lt;='계산 과정'!$D$23/2,ABS(R710-'계산 과정'!$C$89)&lt;='계산 과정'!$D$24/2),1,0),"")</x:f>
        <x:v>0</x:v>
      </x:c>
      <x:c r="T710" s="4"/>
      <x:c r="U710" s="4"/>
      <x:c r="V710" s="4"/>
      <x:c r="W710" s="4"/>
      <x:c r="X710" s="4"/>
      <x:c r="Y710" s="4"/>
      <x:c r="Z710" s="4"/>
    </x:row>
    <x:row r="711" ht="23" customHeight="1">
      <x:c r="A711" s="17" t="n">
        <x:f>ROW()-6</x:f>
        <x:v>705</x:v>
      </x:c>
      <x:c r="B711" s="4" t="n">
        <x:f>IF('계산 과정'!$L$5,'계산 과정'!$L$11*SQRT((A711+0.5)/'계산 과정'!$L$30),"")</x:f>
        <x:v>88.03893736402945</x:v>
      </x:c>
      <x:c r="C711" s="4" t="n">
        <x:f>A711*PI()*(3-SQRT(5))</x:f>
        <x:v>1691.9740769587004</x:v>
      </x:c>
      <x:c r="D711" s="4" t="n">
        <x:f>IF('계산 과정'!$L$5,B711*COS(C711),"")</x:f>
        <x:v>-19.76500670987806</x:v>
      </x:c>
      <x:c r="E711" s="4" t="n">
        <x:f>IF('계산 과정'!$L$5,B711*SIN(C711),"")</x:f>
        <x:v>85.79160216446583</x:v>
      </x:c>
      <x:c r="F711" s="4" t="n">
        <x:f>IF('계산 과정'!$L$7,'계산 과정'!$L$22+'계산 과정'!$C$49*D711+'계산 과정'!$D$49*E711,"")</x:f>
        <x:v>663.9759702747524</x:v>
      </x:c>
      <x:c r="G711" s="4" t="n">
        <x:f>IF('계산 과정'!$L$7,IF(ABS(F711)&gt;=1E-12*MAX(1,SQRT((D711-'계산 과정'!$C$33)^2+(E711-'계산 과정'!$D$33)^2+'계산 과정'!$E$33^2)),('계산 과정'!$L$23-'계산 과정'!$C$49*D711-'계산 과정'!$D$49*E711)/F711,""),"")</x:f>
        <x:v>0.5813825304031882</x:v>
      </x:c>
      <x:c r="H711" s="4" t="n">
        <x:f>IF(AND(ISNUMBER(G711),G711&gt;0),('계산 과정'!$D$56+'계산 과정'!$D$57*D711+'계산 과정'!$D$58*E711)/F711,"")</x:f>
        <x:v>-22.101355237927795</x:v>
      </x:c>
      <x:c r="I711" s="4" t="n">
        <x:f>IF(AND(ISNUMBER(G711),G711&gt;0),('계산 과정'!$E$56+'계산 과정'!$E$57*D711+'계산 과정'!$E$58*E711)/F711,"")</x:f>
        <x:v>135.6693409181866</x:v>
      </x:c>
      <x:c r="J711" s="4" t="n">
        <x:f>IF('계산 과정'!$L$5,'계산 과정'!$D$6+'계산 과정'!$C$35*D711+'계산 과정'!$D$35*E711,"")</x:f>
        <x:v>663.9759702747524</x:v>
      </x:c>
      <x:c r="K711" s="4" t="n">
        <x:f>IF(AND('계산 과정'!$L$6,J711&gt;0),'계산 과정'!$D$10*('계산 과정'!$C$38*(D711-'계산 과정'!$C$32)+'계산 과정'!$D$38*(E711-'계산 과정'!$D$32)-'계산 과정'!$E$38*'계산 과정'!$E$32)/J711,"")</x:f>
        <x:v>-0.1683912780032579</x:v>
      </x:c>
      <x:c r="L711" s="4" t="n">
        <x:f>IF(AND('계산 과정'!$L$6,J711&gt;0),'계산 과정'!$D$10*('계산 과정'!$C$39*(D711-'계산 과정'!$C$32)+'계산 과정'!$D$39*(E711-'계산 과정'!$D$32)-'계산 과정'!$E$39*'계산 과정'!$E$32)/J711,"")</x:f>
        <x:v>1.0336711689004694</x:v>
      </x:c>
      <x:c r="M711" s="17" t="n">
        <x:f>IF('계산 과정'!$L$6,IF(J711&lt;=0,0,IF(AND(ABS(K711)&lt;='계산 과정'!$D$11/2,ABS(L711)&lt;='계산 과정'!$D$12/2),1,0)),"")</x:f>
        <x:v>1</x:v>
      </x:c>
      <x:c r="N711" s="17" t="n">
        <x:f>IF('계산 과정'!$C$78,IF(AND(ISNUMBER(H711),ISNUMBER(I711),ABS(H711-'계산 과정'!$C$88)&lt;='계산 과정'!$D$23/2,ABS(I711-'계산 과정'!$C$89)&lt;='계산 과정'!$D$24/2),1,0),"")</x:f>
        <x:v>1</x:v>
      </x:c>
      <x:c r="O711" s="4" t="n">
        <x:f>IF('계산 과정'!$L$7,'계산 과정'!$C$49*('계산 과정'!$C$32-D711)+'계산 과정'!$D$49*('계산 과정'!$D$32-E711)+'계산 과정'!$E$49*'계산 과정'!$E$32,"")</x:f>
        <x:v>-13.975970274752285</x:v>
      </x:c>
      <x:c r="P711" s="4" t="n">
        <x:f>IF(AND('계산 과정'!$L$7,O711&lt;&gt;0),('계산 과정'!$L$23-'계산 과정'!$C$49*D711-'계산 과정'!$D$49*E711)/O711,"")</x:f>
        <x:v>-27.62055314489352</x:v>
      </x:c>
      <x:c r="Q711" s="4" t="str">
        <x:f>IF(AND(ISNUMBER(P711),P711&gt;1E-9,P711&lt;1-1E-9),'계산 과정'!$C$47*(D711-'계산 과정'!$C$50+P711*('계산 과정'!$C$32-D711))+'계산 과정'!$D$47*(E711-'계산 과정'!$D$50+P711*('계산 과정'!$D$32-E711))+'계산 과정'!$E$47*(0-'계산 과정'!$E$50+P711*('계산 과정'!$E$32-0)),"")</x:f>
      </x:c>
      <x:c r="R711" s="4" t="str">
        <x:f>IF(AND(ISNUMBER(P711),P711&gt;1E-9,P711&lt;1-1E-9),'계산 과정'!$C$48*(D711-'계산 과정'!$C$50+P711*('계산 과정'!$C$32-D711))+'계산 과정'!$D$48*(E711-'계산 과정'!$D$50+P711*('계산 과정'!$D$32-E711))+'계산 과정'!$E$48*(0-'계산 과정'!$E$50+P711*('계산 과정'!$E$32-0)),"")</x:f>
      </x:c>
      <x:c r="S711" s="17" t="n">
        <x:f>IF('계산 과정'!$C$78,IF(AND(ISNUMBER(Q711),ISNUMBER(R711),ABS(Q711-'계산 과정'!$C$88)&lt;='계산 과정'!$D$23/2,ABS(R711-'계산 과정'!$C$89)&lt;='계산 과정'!$D$24/2),1,0),"")</x:f>
        <x:v>0</x:v>
      </x:c>
      <x:c r="T711" s="4"/>
      <x:c r="U711" s="4"/>
      <x:c r="V711" s="4"/>
      <x:c r="W711" s="4"/>
      <x:c r="X711" s="4"/>
      <x:c r="Y711" s="4"/>
      <x:c r="Z711" s="4"/>
    </x:row>
    <x:row r="712" ht="23" customHeight="1">
      <x:c r="A712" s="17" t="n">
        <x:f>ROW()-6</x:f>
        <x:v>706</x:v>
      </x:c>
      <x:c r="B712" s="4" t="n">
        <x:f>IF('계산 과정'!$L$5,'계산 과정'!$L$11*SQRT((A712+0.5)/'계산 과정'!$L$30),"")</x:f>
        <x:v>88.1013099806836</x:v>
      </x:c>
      <x:c r="C712" s="4" t="n">
        <x:f>A712*PI()*(3-SQRT(5))</x:f>
        <x:v>1694.374040188429</x:v>
      </x:c>
      <x:c r="D712" s="4" t="n">
        <x:f>IF('계산 과정'!$L$5,B712*COS(C712),"")</x:f>
        <x:v>-43.40802511743717</x:v>
      </x:c>
      <x:c r="E712" s="4" t="n">
        <x:f>IF('계산 과정'!$L$5,B712*SIN(C712),"")</x:f>
        <x:v>-76.66540403413029</x:v>
      </x:c>
      <x:c r="F712" s="4" t="n">
        <x:f>IF('계산 과정'!$L$7,'계산 과정'!$L$22+'계산 과정'!$C$49*D712+'계산 과정'!$D$49*E712,"")</x:f>
        <x:v>680.6941089184558</x:v>
      </x:c>
      <x:c r="G712" s="4" t="n">
        <x:f>IF('계산 과정'!$L$7,IF(ABS(F712)&gt;=1E-12*MAX(1,SQRT((D712-'계산 과정'!$C$33)^2+(E712-'계산 과정'!$D$33)^2+'계산 과정'!$E$33^2)),('계산 과정'!$L$23-'계산 과정'!$C$49*D712-'계산 과정'!$D$49*E712)/F712,""),"")</x:f>
        <x:v>0.5425430986443067</x:v>
      </x:c>
      <x:c r="H712" s="4" t="n">
        <x:f>IF(AND(ISNUMBER(G712),G712&gt;0),('계산 과정'!$D$56+'계산 과정'!$D$57*D712+'계산 과정'!$D$58*E712)/F712,"")</x:f>
        <x:v>-47.34698588120079</x:v>
      </x:c>
      <x:c r="I712" s="4" t="n">
        <x:f>IF(AND(ISNUMBER(G712),G712&gt;0),('계산 과정'!$E$56+'계산 과정'!$E$57*D712+'계산 과정'!$E$58*E712)/F712,"")</x:f>
        <x:v>-118.25968989762508</x:v>
      </x:c>
      <x:c r="J712" s="4" t="n">
        <x:f>IF('계산 과정'!$L$5,'계산 과정'!$D$6+'계산 과정'!$C$35*D712+'계산 과정'!$D$35*E712,"")</x:f>
        <x:v>680.6941089184558</x:v>
      </x:c>
      <x:c r="K712" s="4" t="n">
        <x:f>IF(AND('계산 과정'!$L$6,J712&gt;0),'계산 과정'!$D$10*('계산 과정'!$C$38*(D712-'계산 과정'!$C$32)+'계산 과정'!$D$38*(E712-'계산 과정'!$D$32)-'계산 과정'!$E$38*'계산 과정'!$E$32)/J712,"")</x:f>
        <x:v>-0.3607389400472433</x:v>
      </x:c>
      <x:c r="L712" s="4" t="n">
        <x:f>IF(AND('계산 과정'!$L$6,J712&gt;0),'계산 과정'!$D$10*('계산 과정'!$C$39*(D712-'계산 과정'!$C$32)+'계산 과정'!$D$39*(E712-'계산 과정'!$D$32)-'계산 과정'!$E$39*'계산 과정'!$E$32)/J712,"")</x:f>
        <x:v>-0.9010262087438101</x:v>
      </x:c>
      <x:c r="M712" s="17" t="n">
        <x:f>IF('계산 과정'!$L$6,IF(J712&lt;=0,0,IF(AND(ABS(K712)&lt;='계산 과정'!$D$11/2,ABS(L712)&lt;='계산 과정'!$D$12/2),1,0)),"")</x:f>
        <x:v>1</x:v>
      </x:c>
      <x:c r="N712" s="17" t="n">
        <x:f>IF('계산 과정'!$C$78,IF(AND(ISNUMBER(H712),ISNUMBER(I712),ABS(H712-'계산 과정'!$C$88)&lt;='계산 과정'!$D$23/2,ABS(I712-'계산 과정'!$C$89)&lt;='계산 과정'!$D$24/2),1,0),"")</x:f>
        <x:v>1</x:v>
      </x:c>
      <x:c r="O712" s="4" t="n">
        <x:f>IF('계산 과정'!$L$7,'계산 과정'!$C$49*('계산 과정'!$C$32-D712)+'계산 과정'!$D$49*('계산 과정'!$D$32-E712)+'계산 과정'!$E$49*'계산 과정'!$E$32,"")</x:f>
        <x:v>-30.694108918455697</x:v>
      </x:c>
      <x:c r="P712" s="4" t="n">
        <x:f>IF(AND('계산 과정'!$L$7,O712&lt;&gt;0),('계산 과정'!$L$23-'계산 과정'!$C$49*D712-'계산 과정'!$D$49*E712)/O712,"")</x:f>
        <x:v>-12.03181666106256</x:v>
      </x:c>
      <x:c r="Q712" s="4" t="str">
        <x:f>IF(AND(ISNUMBER(P712),P712&gt;1E-9,P712&lt;1-1E-9),'계산 과정'!$C$47*(D712-'계산 과정'!$C$50+P712*('계산 과정'!$C$32-D712))+'계산 과정'!$D$47*(E712-'계산 과정'!$D$50+P712*('계산 과정'!$D$32-E712))+'계산 과정'!$E$47*(0-'계산 과정'!$E$50+P712*('계산 과정'!$E$32-0)),"")</x:f>
      </x:c>
      <x:c r="R712" s="4" t="str">
        <x:f>IF(AND(ISNUMBER(P712),P712&gt;1E-9,P712&lt;1-1E-9),'계산 과정'!$C$48*(D712-'계산 과정'!$C$50+P712*('계산 과정'!$C$32-D712))+'계산 과정'!$D$48*(E712-'계산 과정'!$D$50+P712*('계산 과정'!$D$32-E712))+'계산 과정'!$E$48*(0-'계산 과정'!$E$50+P712*('계산 과정'!$E$32-0)),"")</x:f>
      </x:c>
      <x:c r="S712" s="17" t="n">
        <x:f>IF('계산 과정'!$C$78,IF(AND(ISNUMBER(Q712),ISNUMBER(R712),ABS(Q712-'계산 과정'!$C$88)&lt;='계산 과정'!$D$23/2,ABS(R712-'계산 과정'!$C$89)&lt;='계산 과정'!$D$24/2),1,0),"")</x:f>
        <x:v>0</x:v>
      </x:c>
      <x:c r="T712" s="4"/>
      <x:c r="U712" s="4"/>
      <x:c r="V712" s="4"/>
      <x:c r="W712" s="4"/>
      <x:c r="X712" s="4"/>
      <x:c r="Y712" s="4"/>
      <x:c r="Z712" s="4"/>
    </x:row>
    <x:row r="713" ht="23" customHeight="1">
      <x:c r="A713" s="17" t="n">
        <x:f>ROW()-6</x:f>
        <x:v>707</x:v>
      </x:c>
      <x:c r="B713" s="4" t="n">
        <x:f>IF('계산 과정'!$L$5,'계산 과정'!$L$11*SQRT((A713+0.5)/'계산 과정'!$L$30),"")</x:f>
        <x:v>88.16363847095637</x:v>
      </x:c>
      <x:c r="C713" s="4" t="n">
        <x:f>A713*PI()*(3-SQRT(5))</x:f>
        <x:v>1696.7740034181575</x:v>
      </x:c>
      <x:c r="D713" s="4" t="n">
        <x:f>IF('계산 과정'!$L$5,B713*COS(C713),"")</x:f>
        <x:v>83.85374466302662</x:v>
      </x:c>
      <x:c r="E713" s="4" t="n">
        <x:f>IF('계산 과정'!$L$5,B713*SIN(C713),"")</x:f>
        <x:v>27.22823267172207</x:v>
      </x:c>
      <x:c r="F713" s="4" t="n">
        <x:f>IF('계산 과정'!$L$7,'계산 과정'!$L$22+'계산 과정'!$C$49*D713+'계산 과정'!$D$49*E713,"")</x:f>
        <x:v>590.7064485208887</x:v>
      </x:c>
      <x:c r="G713" s="4" t="n">
        <x:f>IF('계산 과정'!$L$7,IF(ABS(F713)&gt;=1E-12*MAX(1,SQRT((D713-'계산 과정'!$C$33)^2+(E713-'계산 과정'!$D$33)^2+'계산 과정'!$E$33^2)),('계산 과정'!$L$23-'계산 과정'!$C$49*D713-'계산 과정'!$D$49*E713)/F713,""),"")</x:f>
        <x:v>0.7775326520121267</x:v>
      </x:c>
      <x:c r="H713" s="4" t="n">
        <x:f>IF(AND(ISNUMBER(G713),G713&gt;0),('계산 과정'!$D$56+'계산 과정'!$D$57*D713+'계산 과정'!$D$58*E713)/F713,"")</x:f>
        <x:v>105.39622380788234</x:v>
      </x:c>
      <x:c r="I713" s="4" t="n">
        <x:f>IF(AND(ISNUMBER(G713),G713&gt;0),('계산 과정'!$E$56+'계산 과정'!$E$57*D713+'계산 과정'!$E$58*E713)/F713,"")</x:f>
        <x:v>48.39907263056936</x:v>
      </x:c>
      <x:c r="J713" s="4" t="n">
        <x:f>IF('계산 과정'!$L$5,'계산 과정'!$D$6+'계산 과정'!$C$35*D713+'계산 과정'!$D$35*E713,"")</x:f>
        <x:v>590.7064485208887</x:v>
      </x:c>
      <x:c r="K713" s="4" t="n">
        <x:f>IF(AND('계산 과정'!$L$6,J713&gt;0),'계산 과정'!$D$10*('계산 과정'!$C$38*(D713-'계산 과정'!$C$32)+'계산 과정'!$D$38*(E713-'계산 과정'!$D$32)-'계산 과정'!$E$38*'계산 과정'!$E$32)/J713,"")</x:f>
        <x:v>0.8030188480600573</x:v>
      </x:c>
      <x:c r="L713" s="4" t="n">
        <x:f>IF(AND('계산 과정'!$L$6,J713&gt;0),'계산 과정'!$D$10*('계산 과정'!$C$39*(D713-'계산 과정'!$C$32)+'계산 과정'!$D$39*(E713-'계산 과정'!$D$32)-'계산 과정'!$E$39*'계산 과정'!$E$32)/J713,"")</x:f>
        <x:v>0.36875483909005224</x:v>
      </x:c>
      <x:c r="M713" s="17" t="n">
        <x:f>IF('계산 과정'!$L$6,IF(J713&lt;=0,0,IF(AND(ABS(K713)&lt;='계산 과정'!$D$11/2,ABS(L713)&lt;='계산 과정'!$D$12/2),1,0)),"")</x:f>
        <x:v>1</x:v>
      </x:c>
      <x:c r="N713" s="17" t="n">
        <x:f>IF('계산 과정'!$C$78,IF(AND(ISNUMBER(H713),ISNUMBER(I713),ABS(H713-'계산 과정'!$C$88)&lt;='계산 과정'!$D$23/2,ABS(I713-'계산 과정'!$C$89)&lt;='계산 과정'!$D$24/2),1,0),"")</x:f>
        <x:v>1</x:v>
      </x:c>
      <x:c r="O713" s="4" t="n">
        <x:f>IF('계산 과정'!$L$7,'계산 과정'!$C$49*('계산 과정'!$C$32-D713)+'계산 과정'!$D$49*('계산 과정'!$D$32-E713)+'계산 과정'!$E$49*'계산 과정'!$E$32,"")</x:f>
        <x:v>59.2935514791115</x:v>
      </x:c>
      <x:c r="P713" s="4" t="n">
        <x:f>IF(AND('계산 과정'!$L$7,O713&lt;&gt;0),('계산 과정'!$L$23-'계산 과정'!$C$49*D713-'계산 과정'!$D$49*E713)/O713,"")</x:f>
        <x:v>7.746096160910781</x:v>
      </x:c>
      <x:c r="Q713" s="4" t="str">
        <x:f>IF(AND(ISNUMBER(P713),P713&gt;1E-9,P713&lt;1-1E-9),'계산 과정'!$C$47*(D713-'계산 과정'!$C$50+P713*('계산 과정'!$C$32-D713))+'계산 과정'!$D$47*(E713-'계산 과정'!$D$50+P713*('계산 과정'!$D$32-E713))+'계산 과정'!$E$47*(0-'계산 과정'!$E$50+P713*('계산 과정'!$E$32-0)),"")</x:f>
      </x:c>
      <x:c r="R713" s="4" t="str">
        <x:f>IF(AND(ISNUMBER(P713),P713&gt;1E-9,P713&lt;1-1E-9),'계산 과정'!$C$48*(D713-'계산 과정'!$C$50+P713*('계산 과정'!$C$32-D713))+'계산 과정'!$D$48*(E713-'계산 과정'!$D$50+P713*('계산 과정'!$D$32-E713))+'계산 과정'!$E$48*(0-'계산 과정'!$E$50+P713*('계산 과정'!$E$32-0)),"")</x:f>
      </x:c>
      <x:c r="S713" s="17" t="n">
        <x:f>IF('계산 과정'!$C$78,IF(AND(ISNUMBER(Q713),ISNUMBER(R713),ABS(Q713-'계산 과정'!$C$88)&lt;='계산 과정'!$D$23/2,ABS(R713-'계산 과정'!$C$89)&lt;='계산 과정'!$D$24/2),1,0),"")</x:f>
        <x:v>0</x:v>
      </x:c>
      <x:c r="T713" s="4"/>
      <x:c r="U713" s="4"/>
      <x:c r="V713" s="4"/>
      <x:c r="W713" s="4"/>
      <x:c r="X713" s="4"/>
      <x:c r="Y713" s="4"/>
      <x:c r="Z713" s="4"/>
    </x:row>
    <x:row r="714" ht="23" customHeight="1">
      <x:c r="A714" s="17" t="n">
        <x:f>ROW()-6</x:f>
        <x:v>708</x:v>
      </x:c>
      <x:c r="B714" s="4" t="n">
        <x:f>IF('계산 과정'!$L$5,'계산 과정'!$L$11*SQRT((A714+0.5)/'계산 과정'!$L$30),"")</x:f>
        <x:v>88.22592292836896</x:v>
      </x:c>
      <x:c r="C714" s="4" t="n">
        <x:f>A714*PI()*(3-SQRT(5))</x:f>
        <x:v>1699.1739666478863</x:v>
      </x:c>
      <x:c r="D714" s="4" t="n">
        <x:f>IF('계산 과정'!$L$5,B714*COS(C714),"")</x:f>
        <x:v>-80.28022359233525</x:v>
      </x:c>
      <x:c r="E714" s="4" t="n">
        <x:f>IF('계산 과정'!$L$5,B714*SIN(C714),"")</x:f>
        <x:v>36.59097124328841</x:v>
      </x:c>
      <x:c r="F714" s="4" t="n">
        <x:f>IF('계산 과정'!$L$7,'계산 과정'!$L$22+'계산 과정'!$C$49*D714+'계산 과정'!$D$49*E714,"")</x:f>
        <x:v>706.7666904973125</x:v>
      </x:c>
      <x:c r="G714" s="4" t="n">
        <x:f>IF('계산 과정'!$L$7,IF(ABS(F714)&gt;=1E-12*MAX(1,SQRT((D714-'계산 과정'!$C$33)^2+(E714-'계산 과정'!$D$33)^2+'계산 과정'!$E$33^2)),('계산 과정'!$L$23-'계산 과정'!$C$49*D714-'계산 과정'!$D$49*E714)/F714,""),"")</x:f>
        <x:v>0.48563877460208726</x:v>
      </x:c>
      <x:c r="H714" s="4" t="n">
        <x:f>IF(AND(ISNUMBER(G714),G714&gt;0),('계산 과정'!$D$56+'계산 과정'!$D$57*D714+'계산 과정'!$D$58*E714)/F714,"")</x:f>
        <x:v>-84.33479650864344</x:v>
      </x:c>
      <x:c r="I714" s="4" t="n">
        <x:f>IF(AND(ISNUMBER(G714),G714&gt;0),('계산 과정'!$E$56+'계산 과정'!$E$57*D714+'계산 과정'!$E$58*E714)/F714,"")</x:f>
        <x:v>54.360965679379206</x:v>
      </x:c>
      <x:c r="J714" s="4" t="n">
        <x:f>IF('계산 과정'!$L$5,'계산 과정'!$D$6+'계산 과정'!$C$35*D714+'계산 과정'!$D$35*E714,"")</x:f>
        <x:v>706.7666904973125</x:v>
      </x:c>
      <x:c r="K714" s="4" t="n">
        <x:f>IF(AND('계산 과정'!$L$6,J714&gt;0),'계산 과정'!$D$10*('계산 과정'!$C$38*(D714-'계산 과정'!$C$32)+'계산 과정'!$D$38*(E714-'계산 과정'!$D$32)-'계산 과정'!$E$38*'계산 과정'!$E$32)/J714,"")</x:f>
        <x:v>-0.6425508305420439</x:v>
      </x:c>
      <x:c r="L714" s="4" t="n">
        <x:f>IF(AND('계산 과정'!$L$6,J714&gt;0),'계산 과정'!$D$10*('계산 과정'!$C$39*(D714-'계산 과정'!$C$32)+'계산 과정'!$D$39*(E714-'계산 과정'!$D$32)-'계산 과정'!$E$39*'계산 과정'!$E$32)/J714,"")</x:f>
        <x:v>0.4141787861286034</x:v>
      </x:c>
      <x:c r="M714" s="17" t="n">
        <x:f>IF('계산 과정'!$L$6,IF(J714&lt;=0,0,IF(AND(ABS(K714)&lt;='계산 과정'!$D$11/2,ABS(L714)&lt;='계산 과정'!$D$12/2),1,0)),"")</x:f>
        <x:v>1</x:v>
      </x:c>
      <x:c r="N714" s="17" t="n">
        <x:f>IF('계산 과정'!$C$78,IF(AND(ISNUMBER(H714),ISNUMBER(I714),ABS(H714-'계산 과정'!$C$88)&lt;='계산 과정'!$D$23/2,ABS(I714-'계산 과정'!$C$89)&lt;='계산 과정'!$D$24/2),1,0),"")</x:f>
        <x:v>1</x:v>
      </x:c>
      <x:c r="O714" s="4" t="n">
        <x:f>IF('계산 과정'!$L$7,'계산 과정'!$C$49*('계산 과정'!$C$32-D714)+'계산 과정'!$D$49*('계산 과정'!$D$32-E714)+'계산 과정'!$E$49*'계산 과정'!$E$32,"")</x:f>
        <x:v>-56.76669049731237</x:v>
      </x:c>
      <x:c r="P714" s="4" t="n">
        <x:f>IF(AND('계산 과정'!$L$7,O714&lt;&gt;0),('계산 과정'!$L$23-'계산 과정'!$C$49*D714-'계산 과정'!$D$49*E714)/O714,"")</x:f>
        <x:v>-6.046385767705411</x:v>
      </x:c>
      <x:c r="Q714" s="4" t="str">
        <x:f>IF(AND(ISNUMBER(P714),P714&gt;1E-9,P714&lt;1-1E-9),'계산 과정'!$C$47*(D714-'계산 과정'!$C$50+P714*('계산 과정'!$C$32-D714))+'계산 과정'!$D$47*(E714-'계산 과정'!$D$50+P714*('계산 과정'!$D$32-E714))+'계산 과정'!$E$47*(0-'계산 과정'!$E$50+P714*('계산 과정'!$E$32-0)),"")</x:f>
      </x:c>
      <x:c r="R714" s="4" t="str">
        <x:f>IF(AND(ISNUMBER(P714),P714&gt;1E-9,P714&lt;1-1E-9),'계산 과정'!$C$48*(D714-'계산 과정'!$C$50+P714*('계산 과정'!$C$32-D714))+'계산 과정'!$D$48*(E714-'계산 과정'!$D$50+P714*('계산 과정'!$D$32-E714))+'계산 과정'!$E$48*(0-'계산 과정'!$E$50+P714*('계산 과정'!$E$32-0)),"")</x:f>
      </x:c>
      <x:c r="S714" s="17" t="n">
        <x:f>IF('계산 과정'!$C$78,IF(AND(ISNUMBER(Q714),ISNUMBER(R714),ABS(Q714-'계산 과정'!$C$88)&lt;='계산 과정'!$D$23/2,ABS(R714-'계산 과정'!$C$89)&lt;='계산 과정'!$D$24/2),1,0),"")</x:f>
        <x:v>0</x:v>
      </x:c>
      <x:c r="T714" s="4"/>
      <x:c r="U714" s="4"/>
      <x:c r="V714" s="4"/>
      <x:c r="W714" s="4"/>
      <x:c r="X714" s="4"/>
      <x:c r="Y714" s="4"/>
      <x:c r="Z714" s="4"/>
    </x:row>
    <x:row r="715" ht="23" customHeight="1">
      <x:c r="A715" s="17" t="n">
        <x:f>ROW()-6</x:f>
        <x:v>709</x:v>
      </x:c>
      <x:c r="B715" s="4" t="n">
        <x:f>IF('계산 과정'!$L$5,'계산 과정'!$L$11*SQRT((A715+0.5)/'계산 과정'!$L$30),"")</x:f>
        <x:v>88.28816344611263</x:v>
      </x:c>
      <x:c r="C715" s="4" t="n">
        <x:f>A715*PI()*(3-SQRT(5))</x:f>
        <x:v>1701.573929877615</x:v>
      </x:c>
      <x:c r="D715" s="4" t="n">
        <x:f>IF('계산 과정'!$L$5,B715*COS(C715),"")</x:f>
        <x:v>34.50361648859023</x:v>
      </x:c>
      <x:c r="E715" s="4" t="n">
        <x:f>IF('계산 과정'!$L$5,B715*SIN(C715),"")</x:f>
        <x:v>-81.26684596990204</x:v>
      </x:c>
      <x:c r="F715" s="4" t="n">
        <x:f>IF('계산 과정'!$L$7,'계산 과정'!$L$22+'계산 과정'!$C$49*D715+'계산 과정'!$D$49*E715,"")</x:f>
        <x:v>625.6022588054578</x:v>
      </x:c>
      <x:c r="G715" s="4" t="n">
        <x:f>IF('계산 과정'!$L$7,IF(ABS(F715)&gt;=1E-12*MAX(1,SQRT((D715-'계산 과정'!$C$33)^2+(E715-'계산 과정'!$D$33)^2+'계산 과정'!$E$33^2)),('계산 과정'!$L$23-'계산 과정'!$C$49*D715-'계산 과정'!$D$49*E715)/F715,""),"")</x:f>
        <x:v>0.6783826867967179</x:v>
      </x:c>
      <x:c r="H715" s="4" t="n">
        <x:f>IF(AND(ISNUMBER(G715),G715&gt;0),('계산 과정'!$D$56+'계산 과정'!$D$57*D715+'계산 과정'!$D$58*E715)/F715,"")</x:f>
        <x:v>40.948746417866474</x:v>
      </x:c>
      <x:c r="I715" s="4" t="n">
        <x:f>IF(AND(ISNUMBER(G715),G715&gt;0),('계산 과정'!$E$56+'계산 과정'!$E$57*D715+'계산 과정'!$E$58*E715)/F715,"")</x:f>
        <x:v>-136.3968672864592</x:v>
      </x:c>
      <x:c r="J715" s="4" t="n">
        <x:f>IF('계산 과정'!$L$5,'계산 과정'!$D$6+'계산 과정'!$C$35*D715+'계산 과정'!$D$35*E715,"")</x:f>
        <x:v>625.6022588054578</x:v>
      </x:c>
      <x:c r="K715" s="4" t="n">
        <x:f>IF(AND('계산 과정'!$L$6,J715&gt;0),'계산 과정'!$D$10*('계산 과정'!$C$38*(D715-'계산 과정'!$C$32)+'계산 과정'!$D$38*(E715-'계산 과정'!$D$32)-'계산 과정'!$E$38*'계산 과정'!$E$32)/J715,"")</x:f>
        <x:v>0.31199044889803157</x:v>
      </x:c>
      <x:c r="L715" s="4" t="n">
        <x:f>IF(AND('계산 과정'!$L$6,J715&gt;0),'계산 과정'!$D$10*('계산 과정'!$C$39*(D715-'계산 과정'!$C$32)+'계산 과정'!$D$39*(E715-'계산 과정'!$D$32)-'계산 과정'!$E$39*'계산 과정'!$E$32)/J715,"")</x:f>
        <x:v>-1.039214226944451</x:v>
      </x:c>
      <x:c r="M715" s="17" t="n">
        <x:f>IF('계산 과정'!$L$6,IF(J715&lt;=0,0,IF(AND(ABS(K715)&lt;='계산 과정'!$D$11/2,ABS(L715)&lt;='계산 과정'!$D$12/2),1,0)),"")</x:f>
        <x:v>1</x:v>
      </x:c>
      <x:c r="N715" s="17" t="n">
        <x:f>IF('계산 과정'!$C$78,IF(AND(ISNUMBER(H715),ISNUMBER(I715),ABS(H715-'계산 과정'!$C$88)&lt;='계산 과정'!$D$23/2,ABS(I715-'계산 과정'!$C$89)&lt;='계산 과정'!$D$24/2),1,0),"")</x:f>
        <x:v>1</x:v>
      </x:c>
      <x:c r="O715" s="4" t="n">
        <x:f>IF('계산 과정'!$L$7,'계산 과정'!$C$49*('계산 과정'!$C$32-D715)+'계산 과정'!$D$49*('계산 과정'!$D$32-E715)+'계산 과정'!$E$49*'계산 과정'!$E$32,"")</x:f>
        <x:v>24.39774119454222</x:v>
      </x:c>
      <x:c r="P715" s="4" t="n">
        <x:f>IF(AND('계산 과정'!$L$7,O715&lt;&gt;0),('계산 과정'!$L$23-'계산 과정'!$C$49*D715-'계산 과정'!$D$49*E715)/O715,"")</x:f>
        <x:v>17.39496036991654</x:v>
      </x:c>
      <x:c r="Q715" s="4" t="str">
        <x:f>IF(AND(ISNUMBER(P715),P715&gt;1E-9,P715&lt;1-1E-9),'계산 과정'!$C$47*(D715-'계산 과정'!$C$50+P715*('계산 과정'!$C$32-D715))+'계산 과정'!$D$47*(E715-'계산 과정'!$D$50+P715*('계산 과정'!$D$32-E715))+'계산 과정'!$E$47*(0-'계산 과정'!$E$50+P715*('계산 과정'!$E$32-0)),"")</x:f>
      </x:c>
      <x:c r="R715" s="4" t="str">
        <x:f>IF(AND(ISNUMBER(P715),P715&gt;1E-9,P715&lt;1-1E-9),'계산 과정'!$C$48*(D715-'계산 과정'!$C$50+P715*('계산 과정'!$C$32-D715))+'계산 과정'!$D$48*(E715-'계산 과정'!$D$50+P715*('계산 과정'!$D$32-E715))+'계산 과정'!$E$48*(0-'계산 과정'!$E$50+P715*('계산 과정'!$E$32-0)),"")</x:f>
      </x:c>
      <x:c r="S715" s="17" t="n">
        <x:f>IF('계산 과정'!$C$78,IF(AND(ISNUMBER(Q715),ISNUMBER(R715),ABS(Q715-'계산 과정'!$C$88)&lt;='계산 과정'!$D$23/2,ABS(R715-'계산 과정'!$C$89)&lt;='계산 과정'!$D$24/2),1,0),"")</x:f>
        <x:v>0</x:v>
      </x:c>
      <x:c r="T715" s="4"/>
      <x:c r="U715" s="4"/>
      <x:c r="V715" s="4"/>
      <x:c r="W715" s="4"/>
      <x:c r="X715" s="4"/>
      <x:c r="Y715" s="4"/>
      <x:c r="Z715" s="4"/>
    </x:row>
    <x:row r="716" ht="23" customHeight="1">
      <x:c r="A716" s="17" t="n">
        <x:f>ROW()-6</x:f>
        <x:v>710</x:v>
      </x:c>
      <x:c r="B716" s="4" t="n">
        <x:f>IF('계산 과정'!$L$5,'계산 과정'!$L$11*SQRT((A716+0.5)/'계산 과정'!$L$30),"")</x:f>
        <x:v>88.35036011705046</x:v>
      </x:c>
      <x:c r="C716" s="4" t="n">
        <x:f>A716*PI()*(3-SQRT(5))</x:f>
        <x:v>1703.9738931073434</x:v>
      </x:c>
      <x:c r="D716" s="4" t="n">
        <x:f>IF('계산 과정'!$L$5,B716*COS(C716),"")</x:f>
        <x:v>29.473821627129517</x:v>
      </x:c>
      <x:c r="E716" s="4" t="n">
        <x:f>IF('계산 과정'!$L$5,B716*SIN(C716),"")</x:f>
        <x:v>83.28913477461903</x:v>
      </x:c>
      <x:c r="F716" s="4" t="n">
        <x:f>IF('계산 과정'!$L$7,'계산 과정'!$L$22+'계산 과정'!$C$49*D716+'계산 과정'!$D$49*E716,"")</x:f>
        <x:v>629.158860859974</x:v>
      </x:c>
      <x:c r="G716" s="4" t="n">
        <x:f>IF('계산 과정'!$L$7,IF(ABS(F716)&gt;=1E-12*MAX(1,SQRT((D716-'계산 과정'!$C$33)^2+(E716-'계산 과정'!$D$33)^2+'계산 과정'!$E$33^2)),('계산 과정'!$L$23-'계산 과정'!$C$49*D716-'계산 과정'!$D$49*E716)/F716,""),"")</x:f>
        <x:v>0.6688948774635294</x:v>
      </x:c>
      <x:c r="H716" s="4" t="n">
        <x:f>IF(AND(ISNUMBER(G716),G716&gt;0),('계산 과정'!$D$56+'계산 과정'!$D$57*D716+'계산 과정'!$D$58*E716)/F716,"")</x:f>
        <x:v>34.78167035129396</x:v>
      </x:c>
      <x:c r="I716" s="4" t="n">
        <x:f>IF(AND(ISNUMBER(G716),G716&gt;0),('계산 과정'!$E$56+'계산 과정'!$E$57*D716+'계산 과정'!$E$58*E716)/F716,"")</x:f>
        <x:v>139.0008103737312</x:v>
      </x:c>
      <x:c r="J716" s="4" t="n">
        <x:f>IF('계산 과정'!$L$5,'계산 과정'!$D$6+'계산 과정'!$C$35*D716+'계산 과정'!$D$35*E716,"")</x:f>
        <x:v>629.158860859974</x:v>
      </x:c>
      <x:c r="K716" s="4" t="n">
        <x:f>IF(AND('계산 과정'!$L$6,J716&gt;0),'계산 과정'!$D$10*('계산 과정'!$C$38*(D716-'계산 과정'!$C$32)+'계산 과정'!$D$38*(E716-'계산 과정'!$D$32)-'계산 과정'!$E$38*'계산 과정'!$E$32)/J716,"")</x:f>
        <x:v>0.26500320267652583</x:v>
      </x:c>
      <x:c r="L716" s="4" t="n">
        <x:f>IF(AND('계산 과정'!$L$6,J716&gt;0),'계산 과정'!$D$10*('계산 과정'!$C$39*(D716-'계산 과정'!$C$32)+'계산 과정'!$D$39*(E716-'계산 과정'!$D$32)-'계산 과정'!$E$39*'계산 과정'!$E$32)/J716,"")</x:f>
        <x:v>1.0590537933236663</x:v>
      </x:c>
      <x:c r="M716" s="17" t="n">
        <x:f>IF('계산 과정'!$L$6,IF(J716&lt;=0,0,IF(AND(ABS(K716)&lt;='계산 과정'!$D$11/2,ABS(L716)&lt;='계산 과정'!$D$12/2),1,0)),"")</x:f>
        <x:v>1</x:v>
      </x:c>
      <x:c r="N716" s="17" t="n">
        <x:f>IF('계산 과정'!$C$78,IF(AND(ISNUMBER(H716),ISNUMBER(I716),ABS(H716-'계산 과정'!$C$88)&lt;='계산 과정'!$D$23/2,ABS(I716-'계산 과정'!$C$89)&lt;='계산 과정'!$D$24/2),1,0),"")</x:f>
        <x:v>1</x:v>
      </x:c>
      <x:c r="O716" s="4" t="n">
        <x:f>IF('계산 과정'!$L$7,'계산 과정'!$C$49*('계산 과정'!$C$32-D716)+'계산 과정'!$D$49*('계산 과정'!$D$32-E716)+'계산 과정'!$E$49*'계산 과정'!$E$32,"")</x:f>
        <x:v>20.841139140026087</x:v>
      </x:c>
      <x:c r="P716" s="4" t="n">
        <x:f>IF(AND('계산 과정'!$L$7,O716&lt;&gt;0),('계산 과정'!$L$23-'계산 과정'!$C$49*D716-'계산 과정'!$D$49*E716)/O716,"")</x:f>
        <x:v>20.192808862918003</x:v>
      </x:c>
      <x:c r="Q716" s="4" t="str">
        <x:f>IF(AND(ISNUMBER(P716),P716&gt;1E-9,P716&lt;1-1E-9),'계산 과정'!$C$47*(D716-'계산 과정'!$C$50+P716*('계산 과정'!$C$32-D716))+'계산 과정'!$D$47*(E716-'계산 과정'!$D$50+P716*('계산 과정'!$D$32-E716))+'계산 과정'!$E$47*(0-'계산 과정'!$E$50+P716*('계산 과정'!$E$32-0)),"")</x:f>
      </x:c>
      <x:c r="R716" s="4" t="str">
        <x:f>IF(AND(ISNUMBER(P716),P716&gt;1E-9,P716&lt;1-1E-9),'계산 과정'!$C$48*(D716-'계산 과정'!$C$50+P716*('계산 과정'!$C$32-D716))+'계산 과정'!$D$48*(E716-'계산 과정'!$D$50+P716*('계산 과정'!$D$32-E716))+'계산 과정'!$E$48*(0-'계산 과정'!$E$50+P716*('계산 과정'!$E$32-0)),"")</x:f>
      </x:c>
      <x:c r="S716" s="17" t="n">
        <x:f>IF('계산 과정'!$C$78,IF(AND(ISNUMBER(Q716),ISNUMBER(R716),ABS(Q716-'계산 과정'!$C$88)&lt;='계산 과정'!$D$23/2,ABS(R716-'계산 과정'!$C$89)&lt;='계산 과정'!$D$24/2),1,0),"")</x:f>
        <x:v>0</x:v>
      </x:c>
      <x:c r="T716" s="4"/>
      <x:c r="U716" s="4"/>
      <x:c r="V716" s="4"/>
      <x:c r="W716" s="4"/>
      <x:c r="X716" s="4"/>
      <x:c r="Y716" s="4"/>
      <x:c r="Z716" s="4"/>
    </x:row>
    <x:row r="717" ht="23" customHeight="1">
      <x:c r="A717" s="17" t="n">
        <x:f>ROW()-6</x:f>
        <x:v>711</x:v>
      </x:c>
      <x:c r="B717" s="4" t="n">
        <x:f>IF('계산 과정'!$L$5,'계산 과정'!$L$11*SQRT((A717+0.5)/'계산 과정'!$L$30),"")</x:f>
        <x:v>88.41251303371882</x:v>
      </x:c>
      <x:c r="C717" s="4" t="n">
        <x:f>A717*PI()*(3-SQRT(5))</x:f>
        <x:v>1706.373856337072</x:v>
      </x:c>
      <x:c r="D717" s="4" t="n">
        <x:f>IF('계산 과정'!$L$5,B717*COS(C717),"")</x:f>
        <x:v>-78.04894840089864</x:v>
      </x:c>
      <x:c r="E717" s="4" t="n">
        <x:f>IF('계산 과정'!$L$5,B717*SIN(C717),"")</x:f>
        <x:v>-41.534733831473666</x:v>
      </x:c>
      <x:c r="F717" s="4" t="n">
        <x:f>IF('계산 과정'!$L$7,'계산 과정'!$L$22+'계산 과정'!$C$49*D717+'계산 과정'!$D$49*E717,"")</x:f>
        <x:v>705.1889406787543</x:v>
      </x:c>
      <x:c r="G717" s="4" t="n">
        <x:f>IF('계산 과정'!$L$7,IF(ABS(F717)&gt;=1E-12*MAX(1,SQRT((D717-'계산 과정'!$C$33)^2+(E717-'계산 과정'!$D$33)^2+'계산 과정'!$E$33^2)),('계산 과정'!$L$23-'계산 과정'!$C$49*D717-'계산 과정'!$D$49*E717)/F717,""),"")</x:f>
        <x:v>0.48896265870159583</x:v>
      </x:c>
      <x:c r="H717" s="4" t="n">
        <x:f>IF(AND(ISNUMBER(G717),G717&gt;0),('계산 과정'!$D$56+'계산 과정'!$D$57*D717+'계산 과정'!$D$58*E717)/F717,"")</x:f>
        <x:v>-82.1742718439629</x:v>
      </x:c>
      <x:c r="I717" s="4" t="n">
        <x:f>IF(AND(ISNUMBER(G717),G717&gt;0),('계산 과정'!$E$56+'계산 과정'!$E$57*D717+'계산 과정'!$E$58*E717)/F717,"")</x:f>
        <x:v>-61.84366771417415</x:v>
      </x:c>
      <x:c r="J717" s="4" t="n">
        <x:f>IF('계산 과정'!$L$5,'계산 과정'!$D$6+'계산 과정'!$C$35*D717+'계산 과정'!$D$35*E717,"")</x:f>
        <x:v>705.1889406787543</x:v>
      </x:c>
      <x:c r="K717" s="4" t="n">
        <x:f>IF(AND('계산 과정'!$L$6,J717&gt;0),'계산 과정'!$D$10*('계산 과정'!$C$38*(D717-'계산 과정'!$C$32)+'계산 과정'!$D$38*(E717-'계산 과정'!$D$32)-'계산 과정'!$E$38*'계산 과정'!$E$32)/J717,"")</x:f>
        <x:v>-0.6260896902397163</x:v>
      </x:c>
      <x:c r="L717" s="4" t="n">
        <x:f>IF(AND('계산 과정'!$L$6,J717&gt;0),'계산 과정'!$D$10*('계산 과정'!$C$39*(D717-'계산 과정'!$C$32)+'계산 과정'!$D$39*(E717-'계산 과정'!$D$32)-'계산 과정'!$E$39*'계산 과정'!$E$32)/J717,"")</x:f>
        <x:v>-0.47118984925085067</x:v>
      </x:c>
      <x:c r="M717" s="17" t="n">
        <x:f>IF('계산 과정'!$L$6,IF(J717&lt;=0,0,IF(AND(ABS(K717)&lt;='계산 과정'!$D$11/2,ABS(L717)&lt;='계산 과정'!$D$12/2),1,0)),"")</x:f>
        <x:v>1</x:v>
      </x:c>
      <x:c r="N717" s="17" t="n">
        <x:f>IF('계산 과정'!$C$78,IF(AND(ISNUMBER(H717),ISNUMBER(I717),ABS(H717-'계산 과정'!$C$88)&lt;='계산 과정'!$D$23/2,ABS(I717-'계산 과정'!$C$89)&lt;='계산 과정'!$D$24/2),1,0),"")</x:f>
        <x:v>1</x:v>
      </x:c>
      <x:c r="O717" s="4" t="n">
        <x:f>IF('계산 과정'!$L$7,'계산 과정'!$C$49*('계산 과정'!$C$32-D717)+'계산 과정'!$D$49*('계산 과정'!$D$32-E717)+'계산 과정'!$E$49*'계산 과정'!$E$32,"")</x:f>
        <x:v>-55.18894067875425</x:v>
      </x:c>
      <x:c r="P717" s="4" t="n">
        <x:f>IF(AND('계산 과정'!$L$7,O717&lt;&gt;0),('계산 과정'!$L$23-'계산 과정'!$C$49*D717-'계산 과정'!$D$49*E717)/O717,"")</x:f>
        <x:v>-6.2478289142807455</x:v>
      </x:c>
      <x:c r="Q717" s="4" t="str">
        <x:f>IF(AND(ISNUMBER(P717),P717&gt;1E-9,P717&lt;1-1E-9),'계산 과정'!$C$47*(D717-'계산 과정'!$C$50+P717*('계산 과정'!$C$32-D717))+'계산 과정'!$D$47*(E717-'계산 과정'!$D$50+P717*('계산 과정'!$D$32-E717))+'계산 과정'!$E$47*(0-'계산 과정'!$E$50+P717*('계산 과정'!$E$32-0)),"")</x:f>
      </x:c>
      <x:c r="R717" s="4" t="str">
        <x:f>IF(AND(ISNUMBER(P717),P717&gt;1E-9,P717&lt;1-1E-9),'계산 과정'!$C$48*(D717-'계산 과정'!$C$50+P717*('계산 과정'!$C$32-D717))+'계산 과정'!$D$48*(E717-'계산 과정'!$D$50+P717*('계산 과정'!$D$32-E717))+'계산 과정'!$E$48*(0-'계산 과정'!$E$50+P717*('계산 과정'!$E$32-0)),"")</x:f>
      </x:c>
      <x:c r="S717" s="17" t="n">
        <x:f>IF('계산 과정'!$C$78,IF(AND(ISNUMBER(Q717),ISNUMBER(R717),ABS(Q717-'계산 과정'!$C$88)&lt;='계산 과정'!$D$23/2,ABS(R717-'계산 과정'!$C$89)&lt;='계산 과정'!$D$24/2),1,0),"")</x:f>
        <x:v>0</x:v>
      </x:c>
      <x:c r="T717" s="4"/>
      <x:c r="U717" s="4"/>
      <x:c r="V717" s="4"/>
      <x:c r="W717" s="4"/>
      <x:c r="X717" s="4"/>
      <x:c r="Y717" s="4"/>
      <x:c r="Z717" s="4"/>
    </x:row>
    <x:row r="718" ht="23" customHeight="1">
      <x:c r="A718" s="17" t="n">
        <x:f>ROW()-6</x:f>
        <x:v>712</x:v>
      </x:c>
      <x:c r="B718" s="4" t="n">
        <x:f>IF('계산 과정'!$L$5,'계산 과정'!$L$11*SQRT((A718+0.5)/'계산 과정'!$L$30),"")</x:f>
        <x:v>88.47462228832909</x:v>
      </x:c>
      <x:c r="C718" s="4" t="n">
        <x:f>A718*PI()*(3-SQRT(5))</x:f>
        <x:v>1708.773819566801</x:v>
      </x:c>
      <x:c r="D718" s="4" t="n">
        <x:f>IF('계산 과정'!$L$5,B718*COS(C718),"")</x:f>
        <x:v>85.66731361717409</x:v>
      </x:c>
      <x:c r="E718" s="4" t="n">
        <x:f>IF('계산 과정'!$L$5,B718*SIN(C718),"")</x:f>
        <x:v>-22.110408559753896</x:v>
      </x:c>
      <x:c r="F718" s="4" t="n">
        <x:f>IF('계산 과정'!$L$7,'계산 과정'!$L$22+'계산 과정'!$C$49*D718+'계산 과정'!$D$49*E718,"")</x:f>
        <x:v>589.4240616152615</x:v>
      </x:c>
      <x:c r="G718" s="4" t="n">
        <x:f>IF('계산 과정'!$L$7,IF(ABS(F718)&gt;=1E-12*MAX(1,SQRT((D718-'계산 과정'!$C$33)^2+(E718-'계산 과정'!$D$33)^2+'계산 과정'!$E$33^2)),('계산 과정'!$L$23-'계산 과정'!$C$49*D718-'계산 과정'!$D$49*E718)/F718,""),"")</x:f>
        <x:v>0.7813999603656715</x:v>
      </x:c>
      <x:c r="H718" s="4" t="n">
        <x:f>IF(AND(ISNUMBER(G718),G718&gt;0),('계산 과정'!$D$56+'계산 과정'!$D$57*D718+'계산 과정'!$D$58*E718)/F718,"")</x:f>
        <x:v>107.90997423768637</x:v>
      </x:c>
      <x:c r="I718" s="4" t="n">
        <x:f>IF(AND(ISNUMBER(G718),G718&gt;0),('계산 과정'!$E$56+'계산 과정'!$E$57*D718+'계산 과정'!$E$58*E718)/F718,"")</x:f>
        <x:v>-39.3874809320144</x:v>
      </x:c>
      <x:c r="J718" s="4" t="n">
        <x:f>IF('계산 과정'!$L$5,'계산 과정'!$D$6+'계산 과정'!$C$35*D718+'계산 과정'!$D$35*E718,"")</x:f>
        <x:v>589.4240616152615</x:v>
      </x:c>
      <x:c r="K718" s="4" t="n">
        <x:f>IF(AND('계산 과정'!$L$6,J718&gt;0),'계산 과정'!$D$10*('계산 과정'!$C$38*(D718-'계산 과정'!$C$32)+'계산 과정'!$D$38*(E718-'계산 과정'!$D$32)-'계산 과정'!$E$38*'계산 과정'!$E$32)/J718,"")</x:f>
        <x:v>0.8221712322871353</x:v>
      </x:c>
      <x:c r="L718" s="4" t="n">
        <x:f>IF(AND('계산 과정'!$L$6,J718&gt;0),'계산 과정'!$D$10*('계산 과정'!$C$39*(D718-'계산 과정'!$C$32)+'계산 과정'!$D$39*(E718-'계산 과정'!$D$32)-'계산 과정'!$E$39*'계산 과정'!$E$32)/J718,"")</x:f>
        <x:v>-0.3000950928153478</x:v>
      </x:c>
      <x:c r="M718" s="17" t="n">
        <x:f>IF('계산 과정'!$L$6,IF(J718&lt;=0,0,IF(AND(ABS(K718)&lt;='계산 과정'!$D$11/2,ABS(L718)&lt;='계산 과정'!$D$12/2),1,0)),"")</x:f>
        <x:v>1</x:v>
      </x:c>
      <x:c r="N718" s="17" t="n">
        <x:f>IF('계산 과정'!$C$78,IF(AND(ISNUMBER(H718),ISNUMBER(I718),ABS(H718-'계산 과정'!$C$88)&lt;='계산 과정'!$D$23/2,ABS(I718-'계산 과정'!$C$89)&lt;='계산 과정'!$D$24/2),1,0),"")</x:f>
        <x:v>1</x:v>
      </x:c>
      <x:c r="O718" s="4" t="n">
        <x:f>IF('계산 과정'!$L$7,'계산 과정'!$C$49*('계산 과정'!$C$32-D718)+'계산 과정'!$D$49*('계산 과정'!$D$32-E718)+'계산 과정'!$E$49*'계산 과정'!$E$32,"")</x:f>
        <x:v>60.575938384738606</x:v>
      </x:c>
      <x:c r="P718" s="4" t="n">
        <x:f>IF(AND('계산 과정'!$L$7,O718&lt;&gt;0),('계산 과정'!$L$23-'계산 과정'!$C$49*D718-'계산 과정'!$D$49*E718)/O718,"")</x:f>
        <x:v>7.603281941081331</x:v>
      </x:c>
      <x:c r="Q718" s="4" t="str">
        <x:f>IF(AND(ISNUMBER(P718),P718&gt;1E-9,P718&lt;1-1E-9),'계산 과정'!$C$47*(D718-'계산 과정'!$C$50+P718*('계산 과정'!$C$32-D718))+'계산 과정'!$D$47*(E718-'계산 과정'!$D$50+P718*('계산 과정'!$D$32-E718))+'계산 과정'!$E$47*(0-'계산 과정'!$E$50+P718*('계산 과정'!$E$32-0)),"")</x:f>
      </x:c>
      <x:c r="R718" s="4" t="str">
        <x:f>IF(AND(ISNUMBER(P718),P718&gt;1E-9,P718&lt;1-1E-9),'계산 과정'!$C$48*(D718-'계산 과정'!$C$50+P718*('계산 과정'!$C$32-D718))+'계산 과정'!$D$48*(E718-'계산 과정'!$D$50+P718*('계산 과정'!$D$32-E718))+'계산 과정'!$E$48*(0-'계산 과정'!$E$50+P718*('계산 과정'!$E$32-0)),"")</x:f>
      </x:c>
      <x:c r="S718" s="17" t="n">
        <x:f>IF('계산 과정'!$C$78,IF(AND(ISNUMBER(Q718),ISNUMBER(R718),ABS(Q718-'계산 과정'!$C$88)&lt;='계산 과정'!$D$23/2,ABS(R718-'계산 과정'!$C$89)&lt;='계산 과정'!$D$24/2),1,0),"")</x:f>
        <x:v>0</x:v>
      </x:c>
      <x:c r="T718" s="4"/>
      <x:c r="U718" s="4"/>
      <x:c r="V718" s="4"/>
      <x:c r="W718" s="4"/>
      <x:c r="X718" s="4"/>
      <x:c r="Y718" s="4"/>
      <x:c r="Z718" s="4"/>
    </x:row>
    <x:row r="719" ht="23" customHeight="1">
      <x:c r="A719" s="17" t="n">
        <x:f>ROW()-6</x:f>
        <x:v>713</x:v>
      </x:c>
      <x:c r="B719" s="4" t="n">
        <x:f>IF('계산 과정'!$L$5,'계산 과정'!$L$11*SQRT((A719+0.5)/'계산 과정'!$L$30),"")</x:f>
        <x:v>88.53668797276923</x:v>
      </x:c>
      <x:c r="C719" s="4" t="n">
        <x:f>A719*PI()*(3-SQRT(5))</x:f>
        <x:v>1711.1737827965296</x:v>
      </x:c>
      <x:c r="D719" s="4" t="n">
        <x:f>IF('계산 과정'!$L$5,B719*COS(C719),"")</x:f>
        <x:v>-48.266880428090346</x:v>
      </x:c>
      <x:c r="E719" s="4" t="n">
        <x:f>IF('계산 과정'!$L$5,B719*SIN(C719),"")</x:f>
        <x:v>74.22299758786309</x:v>
      </x:c>
      <x:c r="F719" s="4" t="n">
        <x:f>IF('계산 과정'!$L$7,'계산 과정'!$L$22+'계산 과정'!$C$49*D719+'계산 과정'!$D$49*E719,"")</x:f>
        <x:v>684.1298384574229</x:v>
      </x:c>
      <x:c r="G719" s="4" t="n">
        <x:f>IF('계산 과정'!$L$7,IF(ABS(F719)&gt;=1E-12*MAX(1,SQRT((D719-'계산 과정'!$C$33)^2+(E719-'계산 과정'!$D$33)^2+'계산 과정'!$E$33^2)),('계산 과정'!$L$23-'계산 과정'!$C$49*D719-'계산 과정'!$D$49*E719)/F719,""),"")</x:f>
        <x:v>0.534796380709752</x:v>
      </x:c>
      <x:c r="H719" s="4" t="n">
        <x:f>IF(AND(ISNUMBER(G719),G719&gt;0),('계산 과정'!$D$56+'계산 과정'!$D$57*D719+'계산 과정'!$D$58*E719)/F719,"")</x:f>
        <x:v>-52.38235253866134</x:v>
      </x:c>
      <x:c r="I719" s="4" t="n">
        <x:f>IF(AND(ISNUMBER(G719),G719&gt;0),('계산 과정'!$E$56+'계산 과정'!$E$57*D719+'계산 과정'!$E$58*E719)/F719,"")</x:f>
        <x:v>113.91718806328093</x:v>
      </x:c>
      <x:c r="J719" s="4" t="n">
        <x:f>IF('계산 과정'!$L$5,'계산 과정'!$D$6+'계산 과정'!$C$35*D719+'계산 과정'!$D$35*E719,"")</x:f>
        <x:v>684.1298384574229</x:v>
      </x:c>
      <x:c r="K719" s="4" t="n">
        <x:f>IF(AND('계산 과정'!$L$6,J719&gt;0),'계산 과정'!$D$10*('계산 과정'!$C$38*(D719-'계산 과정'!$C$32)+'계산 과정'!$D$38*(E719-'계산 과정'!$D$32)-'계산 과정'!$E$38*'계산 과정'!$E$32)/J719,"")</x:f>
        <x:v>-0.3991036383897996</x:v>
      </x:c>
      <x:c r="L719" s="4" t="n">
        <x:f>IF(AND('계산 과정'!$L$6,J719&gt;0),'계산 과정'!$D$10*('계산 과정'!$C$39*(D719-'계산 과정'!$C$32)+'계산 과정'!$D$39*(E719-'계산 과정'!$D$32)-'계산 과정'!$E$39*'계산 과정'!$E$32)/J719,"")</x:f>
        <x:v>0.8679404804821403</x:v>
      </x:c>
      <x:c r="M719" s="17" t="n">
        <x:f>IF('계산 과정'!$L$6,IF(J719&lt;=0,0,IF(AND(ABS(K719)&lt;='계산 과정'!$D$11/2,ABS(L719)&lt;='계산 과정'!$D$12/2),1,0)),"")</x:f>
        <x:v>1</x:v>
      </x:c>
      <x:c r="N719" s="17" t="n">
        <x:f>IF('계산 과정'!$C$78,IF(AND(ISNUMBER(H719),ISNUMBER(I719),ABS(H719-'계산 과정'!$C$88)&lt;='계산 과정'!$D$23/2,ABS(I719-'계산 과정'!$C$89)&lt;='계산 과정'!$D$24/2),1,0),"")</x:f>
        <x:v>1</x:v>
      </x:c>
      <x:c r="O719" s="4" t="n">
        <x:f>IF('계산 과정'!$L$7,'계산 과정'!$C$49*('계산 과정'!$C$32-D719)+'계산 과정'!$D$49*('계산 과정'!$D$32-E719)+'계산 과정'!$E$49*'계산 과정'!$E$32,"")</x:f>
        <x:v>-34.12983845742281</x:v>
      </x:c>
      <x:c r="P719" s="4" t="n">
        <x:f>IF(AND('계산 과정'!$L$7,O719&lt;&gt;0),('계산 과정'!$L$23-'계산 과정'!$C$49*D719-'계산 과정'!$D$49*E719)/O719,"")</x:f>
        <x:v>-10.719949993288203</x:v>
      </x:c>
      <x:c r="Q719" s="4" t="str">
        <x:f>IF(AND(ISNUMBER(P719),P719&gt;1E-9,P719&lt;1-1E-9),'계산 과정'!$C$47*(D719-'계산 과정'!$C$50+P719*('계산 과정'!$C$32-D719))+'계산 과정'!$D$47*(E719-'계산 과정'!$D$50+P719*('계산 과정'!$D$32-E719))+'계산 과정'!$E$47*(0-'계산 과정'!$E$50+P719*('계산 과정'!$E$32-0)),"")</x:f>
      </x:c>
      <x:c r="R719" s="4" t="str">
        <x:f>IF(AND(ISNUMBER(P719),P719&gt;1E-9,P719&lt;1-1E-9),'계산 과정'!$C$48*(D719-'계산 과정'!$C$50+P719*('계산 과정'!$C$32-D719))+'계산 과정'!$D$48*(E719-'계산 과정'!$D$50+P719*('계산 과정'!$D$32-E719))+'계산 과정'!$E$48*(0-'계산 과정'!$E$50+P719*('계산 과정'!$E$32-0)),"")</x:f>
      </x:c>
      <x:c r="S719" s="17" t="n">
        <x:f>IF('계산 과정'!$C$78,IF(AND(ISNUMBER(Q719),ISNUMBER(R719),ABS(Q719-'계산 과정'!$C$88)&lt;='계산 과정'!$D$23/2,ABS(R719-'계산 과정'!$C$89)&lt;='계산 과정'!$D$24/2),1,0),"")</x:f>
        <x:v>0</x:v>
      </x:c>
      <x:c r="T719" s="4"/>
      <x:c r="U719" s="4"/>
      <x:c r="V719" s="4"/>
      <x:c r="W719" s="4"/>
      <x:c r="X719" s="4"/>
      <x:c r="Y719" s="4"/>
      <x:c r="Z719" s="4"/>
    </x:row>
    <x:row r="720" ht="23" customHeight="1">
      <x:c r="A720" s="17" t="n">
        <x:f>ROW()-6</x:f>
        <x:v>714</x:v>
      </x:c>
      <x:c r="B720" s="4" t="n">
        <x:f>IF('계산 과정'!$L$5,'계산 과정'!$L$11*SQRT((A720+0.5)/'계산 과정'!$L$30),"")</x:f>
        <x:v>88.59871017860532</x:v>
      </x:c>
      <x:c r="C720" s="4" t="n">
        <x:f>A720*PI()*(3-SQRT(5))</x:f>
        <x:v>1713.573746026258</x:v>
      </x:c>
      <x:c r="D720" s="4" t="n">
        <x:f>IF('계산 과정'!$L$5,B720*COS(C720),"")</x:f>
        <x:v>-14.556609149176364</x:v>
      </x:c>
      <x:c r="E720" s="4" t="n">
        <x:f>IF('계산 과정'!$L$5,B720*SIN(C720),"")</x:f>
        <x:v>-87.3947170908552</x:v>
      </x:c>
      <x:c r="F720" s="4" t="n">
        <x:f>IF('계산 과정'!$L$7,'계산 과정'!$L$22+'계산 과정'!$C$49*D720+'계산 과정'!$D$49*E720,"")</x:f>
        <x:v>660.2930770404647</x:v>
      </x:c>
      <x:c r="G720" s="4" t="n">
        <x:f>IF('계산 과정'!$L$7,IF(ABS(F720)&gt;=1E-12*MAX(1,SQRT((D720-'계산 과정'!$C$33)^2+(E720-'계산 과정'!$D$33)^2+'계산 과정'!$E$33^2)),('계산 과정'!$L$23-'계산 과정'!$C$49*D720-'계산 과정'!$D$49*E720)/F720,""),"")</x:f>
        <x:v>0.5902029515533643</x:v>
      </x:c>
      <x:c r="H720" s="4" t="n">
        <x:f>IF(AND(ISNUMBER(G720),G720&gt;0),('계산 과정'!$D$56+'계산 과정'!$D$57*D720+'계산 과정'!$D$58*E720)/F720,"")</x:f>
        <x:v>-16.368081490313326</x:v>
      </x:c>
      <x:c r="I720" s="4" t="n">
        <x:f>IF(AND(ISNUMBER(G720),G720&gt;0),('계산 과정'!$E$56+'계산 과정'!$E$57*D720+'계산 과정'!$E$58*E720)/F720,"")</x:f>
        <x:v>-138.97533706804919</x:v>
      </x:c>
      <x:c r="J720" s="4" t="n">
        <x:f>IF('계산 과정'!$L$5,'계산 과정'!$D$6+'계산 과정'!$C$35*D720+'계산 과정'!$D$35*E720,"")</x:f>
        <x:v>660.2930770404647</x:v>
      </x:c>
      <x:c r="K720" s="4" t="n">
        <x:f>IF(AND('계산 과정'!$L$6,J720&gt;0),'계산 과정'!$D$10*('계산 과정'!$C$38*(D720-'계산 과정'!$C$32)+'계산 과정'!$D$38*(E720-'계산 과정'!$D$32)-'계산 과정'!$E$38*'계산 과정'!$E$32)/J720,"")</x:f>
        <x:v>-0.1247091923071485</x:v>
      </x:c>
      <x:c r="L720" s="4" t="n">
        <x:f>IF(AND('계산 과정'!$L$6,J720&gt;0),'계산 과정'!$D$10*('계산 과정'!$C$39*(D720-'계산 과정'!$C$32)+'계산 과정'!$D$39*(E720-'계산 과정'!$D$32)-'계산 과정'!$E$39*'계산 과정'!$E$32)/J720,"")</x:f>
        <x:v>-1.0588597109946605</x:v>
      </x:c>
      <x:c r="M720" s="17" t="n">
        <x:f>IF('계산 과정'!$L$6,IF(J720&lt;=0,0,IF(AND(ABS(K720)&lt;='계산 과정'!$D$11/2,ABS(L720)&lt;='계산 과정'!$D$12/2),1,0)),"")</x:f>
        <x:v>1</x:v>
      </x:c>
      <x:c r="N720" s="17" t="n">
        <x:f>IF('계산 과정'!$C$78,IF(AND(ISNUMBER(H720),ISNUMBER(I720),ABS(H720-'계산 과정'!$C$88)&lt;='계산 과정'!$D$23/2,ABS(I720-'계산 과정'!$C$89)&lt;='계산 과정'!$D$24/2),1,0),"")</x:f>
        <x:v>1</x:v>
      </x:c>
      <x:c r="O720" s="4" t="n">
        <x:f>IF('계산 과정'!$L$7,'계산 과정'!$C$49*('계산 과정'!$C$32-D720)+'계산 과정'!$D$49*('계산 과정'!$D$32-E720)+'계산 과정'!$E$49*'계산 과정'!$E$32,"")</x:f>
        <x:v>-10.293077040464652</x:v>
      </x:c>
      <x:c r="P720" s="4" t="n">
        <x:f>IF(AND('계산 과정'!$L$7,O720&lt;&gt;0),('계산 과정'!$L$23-'계산 과정'!$C$49*D720-'계산 과정'!$D$49*E720)/O720,"")</x:f>
        <x:v>-37.86107122559174</x:v>
      </x:c>
      <x:c r="Q720" s="4" t="str">
        <x:f>IF(AND(ISNUMBER(P720),P720&gt;1E-9,P720&lt;1-1E-9),'계산 과정'!$C$47*(D720-'계산 과정'!$C$50+P720*('계산 과정'!$C$32-D720))+'계산 과정'!$D$47*(E720-'계산 과정'!$D$50+P720*('계산 과정'!$D$32-E720))+'계산 과정'!$E$47*(0-'계산 과정'!$E$50+P720*('계산 과정'!$E$32-0)),"")</x:f>
      </x:c>
      <x:c r="R720" s="4" t="str">
        <x:f>IF(AND(ISNUMBER(P720),P720&gt;1E-9,P720&lt;1-1E-9),'계산 과정'!$C$48*(D720-'계산 과정'!$C$50+P720*('계산 과정'!$C$32-D720))+'계산 과정'!$D$48*(E720-'계산 과정'!$D$50+P720*('계산 과정'!$D$32-E720))+'계산 과정'!$E$48*(0-'계산 과정'!$E$50+P720*('계산 과정'!$E$32-0)),"")</x:f>
      </x:c>
      <x:c r="S720" s="17" t="n">
        <x:f>IF('계산 과정'!$C$78,IF(AND(ISNUMBER(Q720),ISNUMBER(R720),ABS(Q720-'계산 과정'!$C$88)&lt;='계산 과정'!$D$23/2,ABS(R720-'계산 과정'!$C$89)&lt;='계산 과정'!$D$24/2),1,0),"")</x:f>
        <x:v>0</x:v>
      </x:c>
      <x:c r="T720" s="4"/>
      <x:c r="U720" s="4"/>
      <x:c r="V720" s="4"/>
      <x:c r="W720" s="4"/>
      <x:c r="X720" s="4"/>
      <x:c r="Y720" s="4"/>
      <x:c r="Z720" s="4"/>
    </x:row>
    <x:row r="721" ht="23" customHeight="1">
      <x:c r="A721" s="17" t="n">
        <x:f>ROW()-6</x:f>
        <x:v>715</x:v>
      </x:c>
      <x:c r="B721" s="4" t="n">
        <x:f>IF('계산 과정'!$L$5,'계산 과정'!$L$11*SQRT((A721+0.5)/'계산 과정'!$L$30),"")</x:f>
        <x:v>88.66068899708314</x:v>
      </x:c>
      <x:c r="C721" s="4" t="n">
        <x:f>A721*PI()*(3-SQRT(5))</x:f>
        <x:v>1715.973709255987</x:v>
      </x:c>
      <x:c r="D721" s="4" t="n">
        <x:f>IF('계산 과정'!$L$5,B721*COS(C721),"")</x:f>
        <x:v>69.81667951535647</x:v>
      </x:c>
      <x:c r="E721" s="4" t="n">
        <x:f>IF('계산 과정'!$L$5,B721*SIN(C721),"")</x:f>
        <x:v>54.64749797463286</x:v>
      </x:c>
      <x:c r="F721" s="4" t="n">
        <x:f>IF('계산 과정'!$L$7,'계산 과정'!$L$22+'계산 과정'!$C$49*D721+'계산 과정'!$D$49*E721,"")</x:f>
        <x:v>600.6321524747635</x:v>
      </x:c>
      <x:c r="G721" s="4" t="n">
        <x:f>IF('계산 과정'!$L$7,IF(ABS(F721)&gt;=1E-12*MAX(1,SQRT((D721-'계산 과정'!$C$33)^2+(E721-'계산 과정'!$D$33)^2+'계산 과정'!$E$33^2)),('계산 과정'!$L$23-'계산 과정'!$C$49*D721-'계산 과정'!$D$49*E721)/F721,""),"")</x:f>
        <x:v>0.7481581624855111</x:v>
      </x:c>
      <x:c r="H721" s="4" t="n">
        <x:f>IF(AND(ISNUMBER(G721),G721&gt;0),('계산 과정'!$D$56+'계산 과정'!$D$57*D721+'계산 과정'!$D$58*E721)/F721,"")</x:f>
        <x:v>86.3028056155822</x:v>
      </x:c>
      <x:c r="I721" s="4" t="n">
        <x:f>IF(AND(ISNUMBER(G721),G721&gt;0),('계산 과정'!$E$56+'계산 과정'!$E$57*D721+'계산 과정'!$E$58*E721)/F721,"")</x:f>
        <x:v>95.53246964376488</x:v>
      </x:c>
      <x:c r="J721" s="4" t="n">
        <x:f>IF('계산 과정'!$L$5,'계산 과정'!$D$6+'계산 과정'!$C$35*D721+'계산 과정'!$D$35*E721,"")</x:f>
        <x:v>600.6321524747635</x:v>
      </x:c>
      <x:c r="K721" s="4" t="n">
        <x:f>IF(AND('계산 과정'!$L$6,J721&gt;0),'계산 과정'!$D$10*('계산 과정'!$C$38*(D721-'계산 과정'!$C$32)+'계산 과정'!$D$38*(E721-'계산 과정'!$D$32)-'계산 과정'!$E$38*'계산 과정'!$E$32)/J721,"")</x:f>
        <x:v>0.6575451856425316</x:v>
      </x:c>
      <x:c r="L721" s="4" t="n">
        <x:f>IF(AND('계산 과정'!$L$6,J721&gt;0),'계산 과정'!$D$10*('계산 과정'!$C$39*(D721-'계산 과정'!$C$32)+'계산 과정'!$D$39*(E721-'계산 과정'!$D$32)-'계산 과정'!$E$39*'계산 과정'!$E$32)/J721,"")</x:f>
        <x:v>0.7278664353810658</x:v>
      </x:c>
      <x:c r="M721" s="17" t="n">
        <x:f>IF('계산 과정'!$L$6,IF(J721&lt;=0,0,IF(AND(ABS(K721)&lt;='계산 과정'!$D$11/2,ABS(L721)&lt;='계산 과정'!$D$12/2),1,0)),"")</x:f>
        <x:v>1</x:v>
      </x:c>
      <x:c r="N721" s="17" t="n">
        <x:f>IF('계산 과정'!$C$78,IF(AND(ISNUMBER(H721),ISNUMBER(I721),ABS(H721-'계산 과정'!$C$88)&lt;='계산 과정'!$D$23/2,ABS(I721-'계산 과정'!$C$89)&lt;='계산 과정'!$D$24/2),1,0),"")</x:f>
        <x:v>1</x:v>
      </x:c>
      <x:c r="O721" s="4" t="n">
        <x:f>IF('계산 과정'!$L$7,'계산 과정'!$C$49*('계산 과정'!$C$32-D721)+'계산 과정'!$D$49*('계산 과정'!$D$32-E721)+'계산 과정'!$E$49*'계산 과정'!$E$32,"")</x:f>
        <x:v>49.367847525236584</x:v>
      </x:c>
      <x:c r="P721" s="4" t="n">
        <x:f>IF(AND('계산 과정'!$L$7,O721&lt;&gt;0),('계산 과정'!$L$23-'계산 과정'!$C$49*D721-'계산 과정'!$D$49*E721)/O721,"")</x:f>
        <x:v>9.102439544189606</x:v>
      </x:c>
      <x:c r="Q721" s="4" t="str">
        <x:f>IF(AND(ISNUMBER(P721),P721&gt;1E-9,P721&lt;1-1E-9),'계산 과정'!$C$47*(D721-'계산 과정'!$C$50+P721*('계산 과정'!$C$32-D721))+'계산 과정'!$D$47*(E721-'계산 과정'!$D$50+P721*('계산 과정'!$D$32-E721))+'계산 과정'!$E$47*(0-'계산 과정'!$E$50+P721*('계산 과정'!$E$32-0)),"")</x:f>
      </x:c>
      <x:c r="R721" s="4" t="str">
        <x:f>IF(AND(ISNUMBER(P721),P721&gt;1E-9,P721&lt;1-1E-9),'계산 과정'!$C$48*(D721-'계산 과정'!$C$50+P721*('계산 과정'!$C$32-D721))+'계산 과정'!$D$48*(E721-'계산 과정'!$D$50+P721*('계산 과정'!$D$32-E721))+'계산 과정'!$E$48*(0-'계산 과정'!$E$50+P721*('계산 과정'!$E$32-0)),"")</x:f>
      </x:c>
      <x:c r="S721" s="17" t="n">
        <x:f>IF('계산 과정'!$C$78,IF(AND(ISNUMBER(Q721),ISNUMBER(R721),ABS(Q721-'계산 과정'!$C$88)&lt;='계산 과정'!$D$23/2,ABS(R721-'계산 과정'!$C$89)&lt;='계산 과정'!$D$24/2),1,0),"")</x:f>
        <x:v>0</x:v>
      </x:c>
      <x:c r="T721" s="4"/>
      <x:c r="U721" s="4"/>
      <x:c r="V721" s="4"/>
      <x:c r="W721" s="4"/>
      <x:c r="X721" s="4"/>
      <x:c r="Y721" s="4"/>
      <x:c r="Z721" s="4"/>
    </x:row>
    <x:row r="722" ht="23" customHeight="1">
      <x:c r="A722" s="17" t="n">
        <x:f>ROW()-6</x:f>
        <x:v>716</x:v>
      </x:c>
      <x:c r="B722" s="4" t="n">
        <x:f>IF('계산 과정'!$L$5,'계산 과정'!$L$11*SQRT((A722+0.5)/'계산 과정'!$L$30),"")</x:f>
        <x:v>88.72262451912985</x:v>
      </x:c>
      <x:c r="C722" s="4" t="n">
        <x:f>A722*PI()*(3-SQRT(5))</x:f>
        <x:v>1718.3736724857156</x:v>
      </x:c>
      <x:c r="D722" s="4" t="n">
        <x:f>IF('계산 과정'!$L$5,B722*COS(C722),"")</x:f>
        <x:v>-88.45625070465006</x:v>
      </x:c>
      <x:c r="E722" s="4" t="n">
        <x:f>IF('계산 과정'!$L$5,B722*SIN(C722),"")</x:f>
        <x:v>6.869920875715856</x:v>
      </x:c>
      <x:c r="F722" s="4" t="n">
        <x:f>IF('계산 과정'!$L$7,'계산 과정'!$L$22+'계산 과정'!$C$49*D722+'계산 과정'!$D$49*E722,"")</x:f>
        <x:v>712.5480147115953</x:v>
      </x:c>
      <x:c r="G722" s="4" t="n">
        <x:f>IF('계산 과정'!$L$7,IF(ABS(F722)&gt;=1E-12*MAX(1,SQRT((D722-'계산 과정'!$C$33)^2+(E722-'계산 과정'!$D$33)^2+'계산 과정'!$E$33^2)),('계산 과정'!$L$23-'계산 과정'!$C$49*D722-'계산 과정'!$D$49*E722)/F722,""),"")</x:f>
        <x:v>0.47358490701147865</x:v>
      </x:c>
      <x:c r="H722" s="4" t="n">
        <x:f>IF(AND(ISNUMBER(G722),G722&gt;0),('계산 과정'!$D$56+'계산 과정'!$D$57*D722+'계산 과정'!$D$58*E722)/F722,"")</x:f>
        <x:v>-92.16981044253902</x:v>
      </x:c>
      <x:c r="I722" s="4" t="n">
        <x:f>IF(AND(ISNUMBER(G722),G722&gt;0),('계산 과정'!$E$56+'계산 과정'!$E$57*D722+'계산 과정'!$E$58*E722)/F722,"")</x:f>
        <x:v>10.123411714817966</x:v>
      </x:c>
      <x:c r="J722" s="4" t="n">
        <x:f>IF('계산 과정'!$L$5,'계산 과정'!$D$6+'계산 과정'!$C$35*D722+'계산 과정'!$D$35*E722,"")</x:f>
        <x:v>712.5480147115953</x:v>
      </x:c>
      <x:c r="K722" s="4" t="n">
        <x:f>IF(AND('계산 과정'!$L$6,J722&gt;0),'계산 과정'!$D$10*('계산 과정'!$C$38*(D722-'계산 과정'!$C$32)+'계산 과정'!$D$38*(E722-'계산 과정'!$D$32)-'계산 과정'!$E$38*'계산 과정'!$E$32)/J722,"")</x:f>
        <x:v>-0.7022461748002963</x:v>
      </x:c>
      <x:c r="L722" s="4" t="n">
        <x:f>IF(AND('계산 과정'!$L$6,J722&gt;0),'계산 과정'!$D$10*('계산 과정'!$C$39*(D722-'계산 과정'!$C$32)+'계산 과정'!$D$39*(E722-'계산 과정'!$D$32)-'계산 과정'!$E$39*'계산 과정'!$E$32)/J722,"")</x:f>
        <x:v>0.0771307559224226</x:v>
      </x:c>
      <x:c r="M722" s="17" t="n">
        <x:f>IF('계산 과정'!$L$6,IF(J722&lt;=0,0,IF(AND(ABS(K722)&lt;='계산 과정'!$D$11/2,ABS(L722)&lt;='계산 과정'!$D$12/2),1,0)),"")</x:f>
        <x:v>1</x:v>
      </x:c>
      <x:c r="N722" s="17" t="n">
        <x:f>IF('계산 과정'!$C$78,IF(AND(ISNUMBER(H722),ISNUMBER(I722),ABS(H722-'계산 과정'!$C$88)&lt;='계산 과정'!$D$23/2,ABS(I722-'계산 과정'!$C$89)&lt;='계산 과정'!$D$24/2),1,0),"")</x:f>
        <x:v>1</x:v>
      </x:c>
      <x:c r="O722" s="4" t="n">
        <x:f>IF('계산 과정'!$L$7,'계산 과정'!$C$49*('계산 과정'!$C$32-D722)+'계산 과정'!$D$49*('계산 과정'!$D$32-E722)+'계산 과정'!$E$49*'계산 과정'!$E$32,"")</x:f>
        <x:v>-62.54801471159527</x:v>
      </x:c>
      <x:c r="P722" s="4" t="n">
        <x:f>IF(AND('계산 과정'!$L$7,O722&lt;&gt;0),('계산 과정'!$L$23-'계산 과정'!$C$49*D722-'계산 과정'!$D$49*E722)/O722,"")</x:f>
        <x:v>-5.395087067820989</x:v>
      </x:c>
      <x:c r="Q722" s="4" t="str">
        <x:f>IF(AND(ISNUMBER(P722),P722&gt;1E-9,P722&lt;1-1E-9),'계산 과정'!$C$47*(D722-'계산 과정'!$C$50+P722*('계산 과정'!$C$32-D722))+'계산 과정'!$D$47*(E722-'계산 과정'!$D$50+P722*('계산 과정'!$D$32-E722))+'계산 과정'!$E$47*(0-'계산 과정'!$E$50+P722*('계산 과정'!$E$32-0)),"")</x:f>
      </x:c>
      <x:c r="R722" s="4" t="str">
        <x:f>IF(AND(ISNUMBER(P722),P722&gt;1E-9,P722&lt;1-1E-9),'계산 과정'!$C$48*(D722-'계산 과정'!$C$50+P722*('계산 과정'!$C$32-D722))+'계산 과정'!$D$48*(E722-'계산 과정'!$D$50+P722*('계산 과정'!$D$32-E722))+'계산 과정'!$E$48*(0-'계산 과정'!$E$50+P722*('계산 과정'!$E$32-0)),"")</x:f>
      </x:c>
      <x:c r="S722" s="17" t="n">
        <x:f>IF('계산 과정'!$C$78,IF(AND(ISNUMBER(Q722),ISNUMBER(R722),ABS(Q722-'계산 과정'!$C$88)&lt;='계산 과정'!$D$23/2,ABS(R722-'계산 과정'!$C$89)&lt;='계산 과정'!$D$24/2),1,0),"")</x:f>
        <x:v>0</x:v>
      </x:c>
      <x:c r="T722" s="4"/>
      <x:c r="U722" s="4"/>
      <x:c r="V722" s="4"/>
      <x:c r="W722" s="4"/>
      <x:c r="X722" s="4"/>
      <x:c r="Y722" s="4"/>
      <x:c r="Z722" s="4"/>
    </x:row>
    <x:row r="723" ht="23" customHeight="1">
      <x:c r="A723" s="17" t="n">
        <x:f>ROW()-6</x:f>
        <x:v>717</x:v>
      </x:c>
      <x:c r="B723" s="4" t="n">
        <x:f>IF('계산 과정'!$L$5,'계산 과정'!$L$11*SQRT((A723+0.5)/'계산 과정'!$L$30),"")</x:f>
        <x:v>88.78451683535538</x:v>
      </x:c>
      <x:c r="C723" s="4" t="n">
        <x:f>A723*PI()*(3-SQRT(5))</x:f>
        <x:v>1720.773635715444</x:v>
      </x:c>
      <x:c r="D723" s="4" t="n">
        <x:f>IF('계산 과정'!$L$5,B723*COS(C723),"")</x:f>
        <x:v>60.62658468926566</x:v>
      </x:c>
      <x:c r="E723" s="4" t="n">
        <x:f>IF('계산 과정'!$L$5,B723*SIN(C723),"")</x:f>
        <x:v>-64.86222058026384</x:v>
      </x:c>
      <x:c r="F723" s="4" t="n">
        <x:f>IF('계산 과정'!$L$7,'계산 과정'!$L$22+'계산 과정'!$C$49*D723+'계산 과정'!$D$49*E723,"")</x:f>
        <x:v>607.1305308460397</x:v>
      </x:c>
      <x:c r="G723" s="4" t="n">
        <x:f>IF('계산 과정'!$L$7,IF(ABS(F723)&gt;=1E-12*MAX(1,SQRT((D723-'계산 과정'!$C$33)^2+(E723-'계산 과정'!$D$33)^2+'계산 과정'!$E$33^2)),('계산 과정'!$L$23-'계산 과정'!$C$49*D723-'계산 과정'!$D$49*E723)/F723,""),"")</x:f>
        <x:v>0.729446876171454</x:v>
      </x:c>
      <x:c r="H723" s="4" t="n">
        <x:f>IF(AND(ISNUMBER(G723),G723&gt;0),('계산 과정'!$D$56+'계산 과정'!$D$57*D723+'계산 과정'!$D$58*E723)/F723,"")</x:f>
        <x:v>74.14046951144499</x:v>
      </x:c>
      <x:c r="I723" s="4" t="n">
        <x:f>IF(AND(ISNUMBER(G723),G723&gt;0),('계산 과정'!$E$56+'계산 과정'!$E$57*D723+'계산 과정'!$E$58*E723)/F723,"")</x:f>
        <x:v>-112.17576476408108</x:v>
      </x:c>
      <x:c r="J723" s="4" t="n">
        <x:f>IF('계산 과정'!$L$5,'계산 과정'!$D$6+'계산 과정'!$C$35*D723+'계산 과정'!$D$35*E723,"")</x:f>
        <x:v>607.1305308460397</x:v>
      </x:c>
      <x:c r="K723" s="4" t="n">
        <x:f>IF(AND('계산 과정'!$L$6,J723&gt;0),'계산 과정'!$D$10*('계산 과정'!$C$38*(D723-'계산 과정'!$C$32)+'계산 과정'!$D$38*(E723-'계산 과정'!$D$32)-'계산 과정'!$E$38*'계산 과정'!$E$32)/J723,"")</x:f>
        <x:v>0.5648797677062483</x:v>
      </x:c>
      <x:c r="L723" s="4" t="n">
        <x:f>IF(AND('계산 과정'!$L$6,J723&gt;0),'계산 과정'!$D$10*('계산 과정'!$C$39*(D723-'계산 과정'!$C$32)+'계산 과정'!$D$39*(E723-'계산 과정'!$D$32)-'계산 과정'!$E$39*'계산 과정'!$E$32)/J723,"")</x:f>
        <x:v>-0.8546724934406178</x:v>
      </x:c>
      <x:c r="M723" s="17" t="n">
        <x:f>IF('계산 과정'!$L$6,IF(J723&lt;=0,0,IF(AND(ABS(K723)&lt;='계산 과정'!$D$11/2,ABS(L723)&lt;='계산 과정'!$D$12/2),1,0)),"")</x:f>
        <x:v>1</x:v>
      </x:c>
      <x:c r="N723" s="17" t="n">
        <x:f>IF('계산 과정'!$C$78,IF(AND(ISNUMBER(H723),ISNUMBER(I723),ABS(H723-'계산 과정'!$C$88)&lt;='계산 과정'!$D$23/2,ABS(I723-'계산 과정'!$C$89)&lt;='계산 과정'!$D$24/2),1,0),"")</x:f>
        <x:v>1</x:v>
      </x:c>
      <x:c r="O723" s="4" t="n">
        <x:f>IF('계산 과정'!$L$7,'계산 과정'!$C$49*('계산 과정'!$C$32-D723)+'계산 과정'!$D$49*('계산 과정'!$D$32-E723)+'계산 과정'!$E$49*'계산 과정'!$E$32,"")</x:f>
        <x:v>42.86946915396038</x:v>
      </x:c>
      <x:c r="P723" s="4" t="n">
        <x:f>IF(AND('계산 과정'!$L$7,O723&lt;&gt;0),('계산 과정'!$L$23-'계산 과정'!$C$49*D723-'계산 과정'!$D$49*E723)/O723,"")</x:f>
        <x:v>10.330649711650254</x:v>
      </x:c>
      <x:c r="Q723" s="4" t="str">
        <x:f>IF(AND(ISNUMBER(P723),P723&gt;1E-9,P723&lt;1-1E-9),'계산 과정'!$C$47*(D723-'계산 과정'!$C$50+P723*('계산 과정'!$C$32-D723))+'계산 과정'!$D$47*(E723-'계산 과정'!$D$50+P723*('계산 과정'!$D$32-E723))+'계산 과정'!$E$47*(0-'계산 과정'!$E$50+P723*('계산 과정'!$E$32-0)),"")</x:f>
      </x:c>
      <x:c r="R723" s="4" t="str">
        <x:f>IF(AND(ISNUMBER(P723),P723&gt;1E-9,P723&lt;1-1E-9),'계산 과정'!$C$48*(D723-'계산 과정'!$C$50+P723*('계산 과정'!$C$32-D723))+'계산 과정'!$D$48*(E723-'계산 과정'!$D$50+P723*('계산 과정'!$D$32-E723))+'계산 과정'!$E$48*(0-'계산 과정'!$E$50+P723*('계산 과정'!$E$32-0)),"")</x:f>
      </x:c>
      <x:c r="S723" s="17" t="n">
        <x:f>IF('계산 과정'!$C$78,IF(AND(ISNUMBER(Q723),ISNUMBER(R723),ABS(Q723-'계산 과정'!$C$88)&lt;='계산 과정'!$D$23/2,ABS(R723-'계산 과정'!$C$89)&lt;='계산 과정'!$D$24/2),1,0),"")</x:f>
        <x:v>0</x:v>
      </x:c>
      <x:c r="T723" s="4"/>
      <x:c r="U723" s="4"/>
      <x:c r="V723" s="4"/>
      <x:c r="W723" s="4"/>
      <x:c r="X723" s="4"/>
      <x:c r="Y723" s="4"/>
      <x:c r="Z723" s="4"/>
    </x:row>
    <x:row r="724" ht="23" customHeight="1">
      <x:c r="A724" s="17" t="n">
        <x:f>ROW()-6</x:f>
        <x:v>718</x:v>
      </x:c>
      <x:c r="B724" s="4" t="n">
        <x:f>IF('계산 과정'!$L$5,'계산 과정'!$L$11*SQRT((A724+0.5)/'계산 과정'!$L$30),"")</x:f>
        <x:v>88.84636603605406</x:v>
      </x:c>
      <x:c r="C724" s="4" t="n">
        <x:f>A724*PI()*(3-SQRT(5))</x:f>
        <x:v>1723.1735989451727</x:v>
      </x:c>
      <x:c r="D724" s="4" t="n">
        <x:f>IF('계산 과정'!$L$5,B724*COS(C724),"")</x:f>
        <x:v>-0.8909765091187708</x:v>
      </x:c>
      <x:c r="E724" s="4" t="n">
        <x:f>IF('계산 과정'!$L$5,B724*SIN(C724),"")</x:f>
        <x:v>88.84189844140376</x:v>
      </x:c>
      <x:c r="F724" s="4" t="n">
        <x:f>IF('계산 과정'!$L$7,'계산 과정'!$L$22+'계산 과정'!$C$49*D724+'계산 과정'!$D$49*E724,"")</x:f>
        <x:v>650.6300155314758</x:v>
      </x:c>
      <x:c r="G724" s="4" t="n">
        <x:f>IF('계산 과정'!$L$7,IF(ABS(F724)&gt;=1E-12*MAX(1,SQRT((D724-'계산 과정'!$C$33)^2+(E724-'계산 과정'!$D$33)^2+'계산 과정'!$E$33^2)),('계산 과정'!$L$23-'계산 과정'!$C$49*D724-'계산 과정'!$D$49*E724)/F724,""),"")</x:f>
        <x:v>0.613820412423324</x:v>
      </x:c>
      <x:c r="H724" s="4" t="n">
        <x:f>IF(AND(ISNUMBER(G724),G724&gt;0),('계산 과정'!$D$56+'계산 과정'!$D$57*D724+'계산 과정'!$D$58*E724)/F724,"")</x:f>
        <x:v>-1.0167319248394902</x:v>
      </x:c>
      <x:c r="I724" s="4" t="n">
        <x:f>IF(AND(ISNUMBER(G724),G724&gt;0),('계산 과정'!$E$56+'계산 과정'!$E$57*D724+'계산 과정'!$E$58*E724)/F724,"")</x:f>
        <x:v>143.37486918317728</x:v>
      </x:c>
      <x:c r="J724" s="4" t="n">
        <x:f>IF('계산 과정'!$L$5,'계산 과정'!$D$6+'계산 과정'!$C$35*D724+'계산 과정'!$D$35*E724,"")</x:f>
        <x:v>650.6300155314758</x:v>
      </x:c>
      <x:c r="K724" s="4" t="n">
        <x:f>IF(AND('계산 과정'!$L$6,J724&gt;0),'계산 과정'!$D$10*('계산 과정'!$C$38*(D724-'계산 과정'!$C$32)+'계산 과정'!$D$38*(E724-'계산 과정'!$D$32)-'계산 과정'!$E$38*'계산 과정'!$E$32)/J724,"")</x:f>
        <x:v>-0.007746528951157216</x:v>
      </x:c>
      <x:c r="L724" s="4" t="n">
        <x:f>IF(AND('계산 과정'!$L$6,J724&gt;0),'계산 과정'!$D$10*('계산 과정'!$C$39*(D724-'계산 과정'!$C$32)+'계산 과정'!$D$39*(E724-'계산 과정'!$D$32)-'계산 과정'!$E$39*'계산 과정'!$E$32)/J724,"")</x:f>
        <x:v>1.0923799556813507</x:v>
      </x:c>
      <x:c r="M724" s="17" t="n">
        <x:f>IF('계산 과정'!$L$6,IF(J724&lt;=0,0,IF(AND(ABS(K724)&lt;='계산 과정'!$D$11/2,ABS(L724)&lt;='계산 과정'!$D$12/2),1,0)),"")</x:f>
        <x:v>1</x:v>
      </x:c>
      <x:c r="N724" s="17" t="n">
        <x:f>IF('계산 과정'!$C$78,IF(AND(ISNUMBER(H724),ISNUMBER(I724),ABS(H724-'계산 과정'!$C$88)&lt;='계산 과정'!$D$23/2,ABS(I724-'계산 과정'!$C$89)&lt;='계산 과정'!$D$24/2),1,0),"")</x:f>
        <x:v>1</x:v>
      </x:c>
      <x:c r="O724" s="4" t="n">
        <x:f>IF('계산 과정'!$L$7,'계산 과정'!$C$49*('계산 과정'!$C$32-D724)+'계산 과정'!$D$49*('계산 과정'!$D$32-E724)+'계산 과정'!$E$49*'계산 과정'!$E$32,"")</x:f>
        <x:v>-0.6300155314756921</x:v>
      </x:c>
      <x:c r="P724" s="4" t="n">
        <x:f>IF(AND('계산 과정'!$L$7,O724&lt;&gt;0),('계산 과정'!$L$23-'계산 과정'!$C$49*D724-'계산 과정'!$D$49*E724)/O724,"")</x:f>
        <x:v>-633.9049825217413</x:v>
      </x:c>
      <x:c r="Q724" s="4" t="str">
        <x:f>IF(AND(ISNUMBER(P724),P724&gt;1E-9,P724&lt;1-1E-9),'계산 과정'!$C$47*(D724-'계산 과정'!$C$50+P724*('계산 과정'!$C$32-D724))+'계산 과정'!$D$47*(E724-'계산 과정'!$D$50+P724*('계산 과정'!$D$32-E724))+'계산 과정'!$E$47*(0-'계산 과정'!$E$50+P724*('계산 과정'!$E$32-0)),"")</x:f>
      </x:c>
      <x:c r="R724" s="4" t="str">
        <x:f>IF(AND(ISNUMBER(P724),P724&gt;1E-9,P724&lt;1-1E-9),'계산 과정'!$C$48*(D724-'계산 과정'!$C$50+P724*('계산 과정'!$C$32-D724))+'계산 과정'!$D$48*(E724-'계산 과정'!$D$50+P724*('계산 과정'!$D$32-E724))+'계산 과정'!$E$48*(0-'계산 과정'!$E$50+P724*('계산 과정'!$E$32-0)),"")</x:f>
      </x:c>
      <x:c r="S724" s="17" t="n">
        <x:f>IF('계산 과정'!$C$78,IF(AND(ISNUMBER(Q724),ISNUMBER(R724),ABS(Q724-'계산 과정'!$C$88)&lt;='계산 과정'!$D$23/2,ABS(R724-'계산 과정'!$C$89)&lt;='계산 과정'!$D$24/2),1,0),"")</x:f>
        <x:v>0</x:v>
      </x:c>
      <x:c r="T724" s="4"/>
      <x:c r="U724" s="4"/>
      <x:c r="V724" s="4"/>
      <x:c r="W724" s="4"/>
      <x:c r="X724" s="4"/>
      <x:c r="Y724" s="4"/>
      <x:c r="Z724" s="4"/>
    </x:row>
    <x:row r="725" ht="23" customHeight="1">
      <x:c r="A725" s="17" t="n">
        <x:f>ROW()-6</x:f>
        <x:v>719</x:v>
      </x:c>
      <x:c r="B725" s="4" t="n">
        <x:f>IF('계산 과정'!$L$5,'계산 과정'!$L$11*SQRT((A725+0.5)/'계산 과정'!$L$30),"")</x:f>
        <x:v>88.90817221120622</x:v>
      </x:c>
      <x:c r="C725" s="4" t="n">
        <x:f>A725*PI()*(3-SQRT(5))</x:f>
        <x:v>1725.5735621749016</x:v>
      </x:c>
      <x:c r="D725" s="4" t="n">
        <x:f>IF('계산 과정'!$L$5,B725*COS(C725),"")</x:f>
        <x:v>-59.39615211561571</x:v>
      </x:c>
      <x:c r="E725" s="4" t="n">
        <x:f>IF('계산 과정'!$L$5,B725*SIN(C725),"")</x:f>
        <x:v>-66.15708729830948</x:v>
      </x:c>
      <x:c r="F725" s="4" t="n">
        <x:f>IF('계산 과정'!$L$7,'계산 과정'!$L$22+'계산 과정'!$C$49*D725+'계산 과정'!$D$49*E725,"")</x:f>
        <x:v>691.9994219373395</x:v>
      </x:c>
      <x:c r="G725" s="4" t="n">
        <x:f>IF('계산 과정'!$L$7,IF(ABS(F725)&gt;=1E-12*MAX(1,SQRT((D725-'계산 과정'!$C$33)^2+(E725-'계산 과정'!$D$33)^2+'계산 과정'!$E$33^2)),('계산 과정'!$L$23-'계산 과정'!$C$49*D725-'계산 과정'!$D$49*E725)/F725,""),"")</x:f>
        <x:v>0.5173423079753343</x:v>
      </x:c>
      <x:c r="H725" s="4" t="n">
        <x:f>IF(AND(ISNUMBER(G725),G725&gt;0),('계산 과정'!$D$56+'계산 과정'!$D$57*D725+'계산 과정'!$D$58*E725)/F725,"")</x:f>
        <x:v>-63.72749981603284</x:v>
      </x:c>
      <x:c r="I725" s="4" t="n">
        <x:f>IF(AND(ISNUMBER(G725),G725&gt;0),('계산 과정'!$E$56+'계산 과정'!$E$57*D725+'계산 과정'!$E$58*E725)/F725,"")</x:f>
        <x:v>-100.38294753014257</x:v>
      </x:c>
      <x:c r="J725" s="4" t="n">
        <x:f>IF('계산 과정'!$L$5,'계산 과정'!$D$6+'계산 과정'!$C$35*D725+'계산 과정'!$D$35*E725,"")</x:f>
        <x:v>691.9994219373395</x:v>
      </x:c>
      <x:c r="K725" s="4" t="n">
        <x:f>IF(AND('계산 과정'!$L$6,J725&gt;0),'계산 과정'!$D$10*('계산 과정'!$C$38*(D725-'계산 과정'!$C$32)+'계산 과정'!$D$38*(E725-'계산 과정'!$D$32)-'계산 과정'!$E$38*'계산 과정'!$E$32)/J725,"")</x:f>
        <x:v>-0.4855428557412014</x:v>
      </x:c>
      <x:c r="L725" s="4" t="n">
        <x:f>IF(AND('계산 과정'!$L$6,J725&gt;0),'계산 과정'!$D$10*('계산 과정'!$C$39*(D725-'계산 과정'!$C$32)+'계산 과정'!$D$39*(E725-'계산 과정'!$D$32)-'계산 과정'!$E$39*'계산 과정'!$E$32)/J725,"")</x:f>
        <x:v>-0.7648224573725149</x:v>
      </x:c>
      <x:c r="M725" s="17" t="n">
        <x:f>IF('계산 과정'!$L$6,IF(J725&lt;=0,0,IF(AND(ABS(K725)&lt;='계산 과정'!$D$11/2,ABS(L725)&lt;='계산 과정'!$D$12/2),1,0)),"")</x:f>
        <x:v>1</x:v>
      </x:c>
      <x:c r="N725" s="17" t="n">
        <x:f>IF('계산 과정'!$C$78,IF(AND(ISNUMBER(H725),ISNUMBER(I725),ABS(H725-'계산 과정'!$C$88)&lt;='계산 과정'!$D$23/2,ABS(I725-'계산 과정'!$C$89)&lt;='계산 과정'!$D$24/2),1,0),"")</x:f>
        <x:v>1</x:v>
      </x:c>
      <x:c r="O725" s="4" t="n">
        <x:f>IF('계산 과정'!$L$7,'계산 과정'!$C$49*('계산 과정'!$C$32-D725)+'계산 과정'!$D$49*('계산 과정'!$D$32-E725)+'계산 과정'!$E$49*'계산 과정'!$E$32,"")</x:f>
        <x:v>-41.999421937339434</x:v>
      </x:c>
      <x:c r="P725" s="4" t="n">
        <x:f>IF(AND('계산 과정'!$L$7,O725&lt;&gt;0),('계산 과정'!$L$23-'계산 과정'!$C$49*D725-'계산 과정'!$D$49*E725)/O725,"")</x:f>
        <x:v>-8.523940605582034</x:v>
      </x:c>
      <x:c r="Q725" s="4" t="str">
        <x:f>IF(AND(ISNUMBER(P725),P725&gt;1E-9,P725&lt;1-1E-9),'계산 과정'!$C$47*(D725-'계산 과정'!$C$50+P725*('계산 과정'!$C$32-D725))+'계산 과정'!$D$47*(E725-'계산 과정'!$D$50+P725*('계산 과정'!$D$32-E725))+'계산 과정'!$E$47*(0-'계산 과정'!$E$50+P725*('계산 과정'!$E$32-0)),"")</x:f>
      </x:c>
      <x:c r="R725" s="4" t="str">
        <x:f>IF(AND(ISNUMBER(P725),P725&gt;1E-9,P725&lt;1-1E-9),'계산 과정'!$C$48*(D725-'계산 과정'!$C$50+P725*('계산 과정'!$C$32-D725))+'계산 과정'!$D$48*(E725-'계산 과정'!$D$50+P725*('계산 과정'!$D$32-E725))+'계산 과정'!$E$48*(0-'계산 과정'!$E$50+P725*('계산 과정'!$E$32-0)),"")</x:f>
      </x:c>
      <x:c r="S725" s="17" t="n">
        <x:f>IF('계산 과정'!$C$78,IF(AND(ISNUMBER(Q725),ISNUMBER(R725),ABS(Q725-'계산 과정'!$C$88)&lt;='계산 과정'!$D$23/2,ABS(R725-'계산 과정'!$C$89)&lt;='계산 과정'!$D$24/2),1,0),"")</x:f>
        <x:v>0</x:v>
      </x:c>
      <x:c r="T725" s="4"/>
      <x:c r="U725" s="4"/>
      <x:c r="V725" s="4"/>
      <x:c r="W725" s="4"/>
      <x:c r="X725" s="4"/>
      <x:c r="Y725" s="4"/>
      <x:c r="Z725" s="4"/>
    </x:row>
    <x:row r="726" ht="23" customHeight="1">
      <x:c r="A726" s="17" t="n">
        <x:f>ROW()-6</x:f>
        <x:v>720</x:v>
      </x:c>
      <x:c r="B726" s="4" t="n">
        <x:f>IF('계산 과정'!$L$5,'계산 과정'!$L$11*SQRT((A726+0.5)/'계산 과정'!$L$30),"")</x:f>
        <x:v>88.96993545047957</x:v>
      </x:c>
      <x:c r="C726" s="4" t="n">
        <x:f>A726*PI()*(3-SQRT(5))</x:f>
        <x:v>1727.9735254046302</x:v>
      </x:c>
      <x:c r="D726" s="4" t="n">
        <x:f>IF('계산 과정'!$L$5,B726*COS(C726),"")</x:f>
        <x:v>88.54681392111411</x:v>
      </x:c>
      <x:c r="E726" s="4" t="n">
        <x:f>IF('계산 과정'!$L$5,B726*SIN(C726),"")</x:f>
        <x:v>8.666669399607454</x:v>
      </x:c>
      <x:c r="F726" s="4" t="n">
        <x:f>IF('계산 과정'!$L$7,'계산 과정'!$L$22+'계산 과정'!$C$49*D726+'계산 과정'!$D$49*E726,"")</x:f>
        <x:v>587.3879474239168</x:v>
      </x:c>
      <x:c r="G726" s="4" t="n">
        <x:f>IF('계산 과정'!$L$7,IF(ABS(F726)&gt;=1E-12*MAX(1,SQRT((D726-'계산 과정'!$C$33)^2+(E726-'계산 과정'!$D$33)^2+'계산 과정'!$E$33^2)),('계산 과정'!$L$23-'계산 과정'!$C$49*D726-'계산 과정'!$D$49*E726)/F726,""),"")</x:f>
        <x:v>0.7875749827774674</x:v>
      </x:c>
      <x:c r="H726" s="4" t="n">
        <x:f>IF(AND(ISNUMBER(G726),G726&gt;0),('계산 과정'!$D$56+'계산 과정'!$D$57*D726+'계산 과정'!$D$58*E726)/F726,"")</x:f>
        <x:v>111.92373880535368</x:v>
      </x:c>
      <x:c r="I726" s="4" t="n">
        <x:f>IF(AND(ISNUMBER(G726),G726&gt;0),('계산 과정'!$E$56+'계산 과정'!$E$57*D726+'계산 과정'!$E$58*E726)/F726,"")</x:f>
        <x:v>15.492321402741299</x:v>
      </x:c>
      <x:c r="J726" s="4" t="n">
        <x:f>IF('계산 과정'!$L$5,'계산 과정'!$D$6+'계산 과정'!$C$35*D726+'계산 과정'!$D$35*E726,"")</x:f>
        <x:v>587.3879474239168</x:v>
      </x:c>
      <x:c r="K726" s="4" t="n">
        <x:f>IF(AND('계산 과정'!$L$6,J726&gt;0),'계산 과정'!$D$10*('계산 과정'!$C$38*(D726-'계산 과정'!$C$32)+'계산 과정'!$D$38*(E726-'계산 과정'!$D$32)-'계산 과정'!$E$38*'계산 과정'!$E$32)/J726,"")</x:f>
        <x:v>0.852752295659838</x:v>
      </x:c>
      <x:c r="L726" s="4" t="n">
        <x:f>IF(AND('계산 과정'!$L$6,J726&gt;0),'계산 과정'!$D$10*('계산 과정'!$C$39*(D726-'계산 과정'!$C$32)+'계산 과정'!$D$39*(E726-'계산 과정'!$D$32)-'계산 과정'!$E$39*'계산 과정'!$E$32)/J726,"")</x:f>
        <x:v>0.11803673449707655</x:v>
      </x:c>
      <x:c r="M726" s="17" t="n">
        <x:f>IF('계산 과정'!$L$6,IF(J726&lt;=0,0,IF(AND(ABS(K726)&lt;='계산 과정'!$D$11/2,ABS(L726)&lt;='계산 과정'!$D$12/2),1,0)),"")</x:f>
        <x:v>1</x:v>
      </x:c>
      <x:c r="N726" s="17" t="n">
        <x:f>IF('계산 과정'!$C$78,IF(AND(ISNUMBER(H726),ISNUMBER(I726),ABS(H726-'계산 과정'!$C$88)&lt;='계산 과정'!$D$23/2,ABS(I726-'계산 과정'!$C$89)&lt;='계산 과정'!$D$24/2),1,0),"")</x:f>
        <x:v>1</x:v>
      </x:c>
      <x:c r="O726" s="4" t="n">
        <x:f>IF('계산 과정'!$L$7,'계산 과정'!$C$49*('계산 과정'!$C$32-D726)+'계산 과정'!$D$49*('계산 과정'!$D$32-E726)+'계산 과정'!$E$49*'계산 과정'!$E$32,"")</x:f>
        <x:v>62.61205257608327</x:v>
      </x:c>
      <x:c r="P726" s="4" t="n">
        <x:f>IF(AND('계산 과정'!$L$7,O726&lt;&gt;0),('계산 과정'!$L$23-'계산 과정'!$C$49*D726-'계산 과정'!$D$49*E726)/O726,"")</x:f>
        <x:v>7.388546350783475</x:v>
      </x:c>
      <x:c r="Q726" s="4" t="str">
        <x:f>IF(AND(ISNUMBER(P726),P726&gt;1E-9,P726&lt;1-1E-9),'계산 과정'!$C$47*(D726-'계산 과정'!$C$50+P726*('계산 과정'!$C$32-D726))+'계산 과정'!$D$47*(E726-'계산 과정'!$D$50+P726*('계산 과정'!$D$32-E726))+'계산 과정'!$E$47*(0-'계산 과정'!$E$50+P726*('계산 과정'!$E$32-0)),"")</x:f>
      </x:c>
      <x:c r="R726" s="4" t="str">
        <x:f>IF(AND(ISNUMBER(P726),P726&gt;1E-9,P726&lt;1-1E-9),'계산 과정'!$C$48*(D726-'계산 과정'!$C$50+P726*('계산 과정'!$C$32-D726))+'계산 과정'!$D$48*(E726-'계산 과정'!$D$50+P726*('계산 과정'!$D$32-E726))+'계산 과정'!$E$48*(0-'계산 과정'!$E$50+P726*('계산 과정'!$E$32-0)),"")</x:f>
      </x:c>
      <x:c r="S726" s="17" t="n">
        <x:f>IF('계산 과정'!$C$78,IF(AND(ISNUMBER(Q726),ISNUMBER(R726),ABS(Q726-'계산 과정'!$C$88)&lt;='계산 과정'!$D$23/2,ABS(R726-'계산 과정'!$C$89)&lt;='계산 과정'!$D$24/2),1,0),"")</x:f>
        <x:v>0</x:v>
      </x:c>
      <x:c r="T726" s="4"/>
      <x:c r="U726" s="4"/>
      <x:c r="V726" s="4"/>
      <x:c r="W726" s="4"/>
      <x:c r="X726" s="4"/>
      <x:c r="Y726" s="4"/>
      <x:c r="Z726" s="4"/>
    </x:row>
    <x:row r="727" ht="23" customHeight="1">
      <x:c r="A727" s="17" t="n">
        <x:f>ROW()-6</x:f>
        <x:v>721</x:v>
      </x:c>
      <x:c r="B727" s="4" t="n">
        <x:f>IF('계산 과정'!$L$5,'계산 과정'!$L$11*SQRT((A727+0.5)/'계산 과정'!$L$30),"")</x:f>
        <x:v>89.03165584323084</x:v>
      </x:c>
      <x:c r="C727" s="4" t="n">
        <x:f>A727*PI()*(3-SQRT(5))</x:f>
        <x:v>1730.3734886343586</x:v>
      </x:c>
      <x:c r="D727" s="4" t="n">
        <x:f>IF('계산 과정'!$L$5,B727*COS(C727),"")</x:f>
        <x:v>-71.19527138144431</x:v>
      </x:c>
      <x:c r="E727" s="4" t="n">
        <x:f>IF('계산 과정'!$L$5,B727*SIN(C727),"")</x:f>
        <x:v>53.45904109792839</x:v>
      </x:c>
      <x:c r="F727" s="4" t="n">
        <x:f>IF('계산 과정'!$L$7,'계산 과정'!$L$22+'계산 과정'!$C$49*D727+'계산 과정'!$D$49*E727,"")</x:f>
        <x:v>700.3426591822358</x:v>
      </x:c>
      <x:c r="G727" s="4" t="n">
        <x:f>IF('계산 과정'!$L$7,IF(ABS(F727)&gt;=1E-12*MAX(1,SQRT((D727-'계산 과정'!$C$33)^2+(E727-'계산 과정'!$D$33)^2+'계산 과정'!$E$33^2)),('계산 과정'!$L$23-'계산 과정'!$C$49*D727-'계산 과정'!$D$49*E727)/F727,""),"")</x:f>
        <x:v>0.4992660895825568</x:v>
      </x:c>
      <x:c r="H727" s="4" t="n">
        <x:f>IF(AND(ISNUMBER(G727),G727&gt;0),('계산 과정'!$D$56+'계산 과정'!$D$57*D727+'계산 과정'!$D$58*E727)/F727,"")</x:f>
        <x:v>-75.47704177133821</x:v>
      </x:c>
      <x:c r="I727" s="4" t="n">
        <x:f>IF(AND(ISNUMBER(G727),G727&gt;0),('계산 과정'!$E$56+'계산 과정'!$E$57*D727+'계산 과정'!$E$58*E727)/F727,"")</x:f>
        <x:v>80.1493274997243</x:v>
      </x:c>
      <x:c r="J727" s="4" t="n">
        <x:f>IF('계산 과정'!$L$5,'계산 과정'!$D$6+'계산 과정'!$C$35*D727+'계산 과정'!$D$35*E727,"")</x:f>
        <x:v>700.3426591822358</x:v>
      </x:c>
      <x:c r="K727" s="4" t="n">
        <x:f>IF(AND('계산 과정'!$L$6,J727&gt;0),'계산 과정'!$D$10*('계산 과정'!$C$38*(D727-'계산 과정'!$C$32)+'계산 과정'!$D$38*(E727-'계산 과정'!$D$32)-'계산 과정'!$E$38*'계산 과정'!$E$32)/J727,"")</x:f>
        <x:v>-0.5750631754006705</x:v>
      </x:c>
      <x:c r="L727" s="4" t="n">
        <x:f>IF(AND('계산 과정'!$L$6,J727&gt;0),'계산 과정'!$D$10*('계산 과정'!$C$39*(D727-'계산 과정'!$C$32)+'계산 과정'!$D$39*(E727-'계산 과정'!$D$32)-'계산 과정'!$E$39*'계산 과정'!$E$32)/J727,"")</x:f>
        <x:v>0.6106615428550423</x:v>
      </x:c>
      <x:c r="M727" s="17" t="n">
        <x:f>IF('계산 과정'!$L$6,IF(J727&lt;=0,0,IF(AND(ABS(K727)&lt;='계산 과정'!$D$11/2,ABS(L727)&lt;='계산 과정'!$D$12/2),1,0)),"")</x:f>
        <x:v>1</x:v>
      </x:c>
      <x:c r="N727" s="17" t="n">
        <x:f>IF('계산 과정'!$C$78,IF(AND(ISNUMBER(H727),ISNUMBER(I727),ABS(H727-'계산 과정'!$C$88)&lt;='계산 과정'!$D$23/2,ABS(I727-'계산 과정'!$C$89)&lt;='계산 과정'!$D$24/2),1,0),"")</x:f>
        <x:v>1</x:v>
      </x:c>
      <x:c r="O727" s="4" t="n">
        <x:f>IF('계산 과정'!$L$7,'계산 과정'!$C$49*('계산 과정'!$C$32-D727)+'계산 과정'!$D$49*('계산 과정'!$D$32-E727)+'계산 과정'!$E$49*'계산 과정'!$E$32,"")</x:f>
        <x:v>-50.34265918223565</x:v>
      </x:c>
      <x:c r="P727" s="4" t="n">
        <x:f>IF(AND('계산 과정'!$L$7,O727&lt;&gt;0),('계산 과정'!$L$23-'계산 과정'!$C$49*D727-'계산 과정'!$D$49*E727)/O727,"")</x:f>
        <x:v>-6.9455477024373655</x:v>
      </x:c>
      <x:c r="Q727" s="4" t="str">
        <x:f>IF(AND(ISNUMBER(P727),P727&gt;1E-9,P727&lt;1-1E-9),'계산 과정'!$C$47*(D727-'계산 과정'!$C$50+P727*('계산 과정'!$C$32-D727))+'계산 과정'!$D$47*(E727-'계산 과정'!$D$50+P727*('계산 과정'!$D$32-E727))+'계산 과정'!$E$47*(0-'계산 과정'!$E$50+P727*('계산 과정'!$E$32-0)),"")</x:f>
      </x:c>
      <x:c r="R727" s="4" t="str">
        <x:f>IF(AND(ISNUMBER(P727),P727&gt;1E-9,P727&lt;1-1E-9),'계산 과정'!$C$48*(D727-'계산 과정'!$C$50+P727*('계산 과정'!$C$32-D727))+'계산 과정'!$D$48*(E727-'계산 과정'!$D$50+P727*('계산 과정'!$D$32-E727))+'계산 과정'!$E$48*(0-'계산 과정'!$E$50+P727*('계산 과정'!$E$32-0)),"")</x:f>
      </x:c>
      <x:c r="S727" s="17" t="n">
        <x:f>IF('계산 과정'!$C$78,IF(AND(ISNUMBER(Q727),ISNUMBER(R727),ABS(Q727-'계산 과정'!$C$88)&lt;='계산 과정'!$D$23/2,ABS(R727-'계산 과정'!$C$89)&lt;='계산 과정'!$D$24/2),1,0),"")</x:f>
        <x:v>0</x:v>
      </x:c>
      <x:c r="T727" s="4"/>
      <x:c r="U727" s="4"/>
      <x:c r="V727" s="4"/>
      <x:c r="W727" s="4"/>
      <x:c r="X727" s="4"/>
      <x:c r="Y727" s="4"/>
      <x:c r="Z727" s="4"/>
    </x:row>
    <x:row r="728" ht="23" customHeight="1">
      <x:c r="A728" s="17" t="n">
        <x:f>ROW()-6</x:f>
        <x:v>722</x:v>
      </x:c>
      <x:c r="B728" s="4" t="n">
        <x:f>IF('계산 과정'!$L$5,'계산 과정'!$L$11*SQRT((A728+0.5)/'계산 과정'!$L$30),"")</x:f>
        <x:v>89.09333347850725</x:v>
      </x:c>
      <x:c r="C728" s="4" t="n">
        <x:f>A728*PI()*(3-SQRT(5))</x:f>
        <x:v>1732.7734518640873</x:v>
      </x:c>
      <x:c r="D728" s="4" t="n">
        <x:f>IF('계산 과정'!$L$5,B728*COS(C728),"")</x:f>
        <x:v>16.397465637192152</x:v>
      </x:c>
      <x:c r="E728" s="4" t="n">
        <x:f>IF('계산 과정'!$L$5,B728*SIN(C728),"")</x:f>
        <x:v>-87.57137198302652</x:v>
      </x:c>
      <x:c r="F728" s="4" t="n">
        <x:f>IF('계산 과정'!$L$7,'계산 과정'!$L$22+'계산 과정'!$C$49*D728+'계산 과정'!$D$49*E728,"")</x:f>
        <x:v>638.405240853668</x:v>
      </x:c>
      <x:c r="G728" s="4" t="n">
        <x:f>IF('계산 과정'!$L$7,IF(ABS(F728)&gt;=1E-12*MAX(1,SQRT((D728-'계산 과정'!$C$33)^2+(E728-'계산 과정'!$D$33)^2+'계산 과정'!$E$33^2)),('계산 과정'!$L$23-'계산 과정'!$C$49*D728-'계산 과정'!$D$49*E728)/F728,""),"")</x:f>
        <x:v>0.6447233399837887</x:v>
      </x:c>
      <x:c r="H728" s="4" t="n">
        <x:f>IF(AND(ISNUMBER(G728),G728&gt;0),('계산 과정'!$D$56+'계산 과정'!$D$57*D728+'계산 과정'!$D$58*E728)/F728,"")</x:f>
        <x:v>19.07017098946258</x:v>
      </x:c>
      <x:c r="I728" s="4" t="n">
        <x:f>IF(AND(ISNUMBER(G728),G728&gt;0),('계산 과정'!$E$56+'계산 과정'!$E$57*D728+'계산 과정'!$E$58*E728)/F728,"")</x:f>
        <x:v>-144.03067941488618</x:v>
      </x:c>
      <x:c r="J728" s="4" t="n">
        <x:f>IF('계산 과정'!$L$5,'계산 과정'!$D$6+'계산 과정'!$C$35*D728+'계산 과정'!$D$35*E728,"")</x:f>
        <x:v>638.405240853668</x:v>
      </x:c>
      <x:c r="K728" s="4" t="n">
        <x:f>IF(AND('계산 과정'!$L$6,J728&gt;0),'계산 과정'!$D$10*('계산 과정'!$C$38*(D728-'계산 과정'!$C$32)+'계산 과정'!$D$38*(E728-'계산 과정'!$D$32)-'계산 과정'!$E$38*'계산 과정'!$E$32)/J728,"")</x:f>
        <x:v>0.14529654087209673</x:v>
      </x:c>
      <x:c r="L728" s="4" t="n">
        <x:f>IF(AND('계산 과정'!$L$6,J728&gt;0),'계산 과정'!$D$10*('계산 과정'!$C$39*(D728-'계산 과정'!$C$32)+'계산 과정'!$D$39*(E728-'계산 과정'!$D$32)-'계산 과정'!$E$39*'계산 과정'!$E$32)/J728,"")</x:f>
        <x:v>-1.0973766050657994</x:v>
      </x:c>
      <x:c r="M728" s="17" t="n">
        <x:f>IF('계산 과정'!$L$6,IF(J728&lt;=0,0,IF(AND(ABS(K728)&lt;='계산 과정'!$D$11/2,ABS(L728)&lt;='계산 과정'!$D$12/2),1,0)),"")</x:f>
        <x:v>1</x:v>
      </x:c>
      <x:c r="N728" s="17" t="n">
        <x:f>IF('계산 과정'!$C$78,IF(AND(ISNUMBER(H728),ISNUMBER(I728),ABS(H728-'계산 과정'!$C$88)&lt;='계산 과정'!$D$23/2,ABS(I728-'계산 과정'!$C$89)&lt;='계산 과정'!$D$24/2),1,0),"")</x:f>
        <x:v>1</x:v>
      </x:c>
      <x:c r="O728" s="4" t="n">
        <x:f>IF('계산 과정'!$L$7,'계산 과정'!$C$49*('계산 과정'!$C$32-D728)+'계산 과정'!$D$49*('계산 과정'!$D$32-E728)+'계산 과정'!$E$49*'계산 과정'!$E$32,"")</x:f>
        <x:v>11.59475914633208</x:v>
      </x:c>
      <x:c r="P728" s="4" t="n">
        <x:f>IF(AND('계산 과정'!$L$7,O728&lt;&gt;0),('계산 과정'!$L$23-'계산 과정'!$C$49*D728-'계산 과정'!$D$49*E728)/O728,"")</x:f>
        <x:v>35.498344894601544</x:v>
      </x:c>
      <x:c r="Q728" s="4" t="str">
        <x:f>IF(AND(ISNUMBER(P728),P728&gt;1E-9,P728&lt;1-1E-9),'계산 과정'!$C$47*(D728-'계산 과정'!$C$50+P728*('계산 과정'!$C$32-D728))+'계산 과정'!$D$47*(E728-'계산 과정'!$D$50+P728*('계산 과정'!$D$32-E728))+'계산 과정'!$E$47*(0-'계산 과정'!$E$50+P728*('계산 과정'!$E$32-0)),"")</x:f>
      </x:c>
      <x:c r="R728" s="4" t="str">
        <x:f>IF(AND(ISNUMBER(P728),P728&gt;1E-9,P728&lt;1-1E-9),'계산 과정'!$C$48*(D728-'계산 과정'!$C$50+P728*('계산 과정'!$C$32-D728))+'계산 과정'!$D$48*(E728-'계산 과정'!$D$50+P728*('계산 과정'!$D$32-E728))+'계산 과정'!$E$48*(0-'계산 과정'!$E$50+P728*('계산 과정'!$E$32-0)),"")</x:f>
      </x:c>
      <x:c r="S728" s="17" t="n">
        <x:f>IF('계산 과정'!$C$78,IF(AND(ISNUMBER(Q728),ISNUMBER(R728),ABS(Q728-'계산 과정'!$C$88)&lt;='계산 과정'!$D$23/2,ABS(R728-'계산 과정'!$C$89)&lt;='계산 과정'!$D$24/2),1,0),"")</x:f>
        <x:v>0</x:v>
      </x:c>
      <x:c r="T728" s="4"/>
      <x:c r="U728" s="4"/>
      <x:c r="V728" s="4"/>
      <x:c r="W728" s="4"/>
      <x:c r="X728" s="4"/>
      <x:c r="Y728" s="4"/>
      <x:c r="Z728" s="4"/>
    </x:row>
    <x:row r="729" ht="23" customHeight="1">
      <x:c r="A729" s="17" t="n">
        <x:f>ROW()-6</x:f>
        <x:v>723</x:v>
      </x:c>
      <x:c r="B729" s="4" t="n">
        <x:f>IF('계산 과정'!$L$5,'계산 과정'!$L$11*SQRT((A729+0.5)/'계산 과정'!$L$30),"")</x:f>
        <x:v>89.15496844504797</x:v>
      </x:c>
      <x:c r="C729" s="4" t="n">
        <x:f>A729*PI()*(3-SQRT(5))</x:f>
        <x:v>1735.1734150938162</x:v>
      </x:c>
      <x:c r="D729" s="4" t="n">
        <x:f>IF('계산 과정'!$L$5,B729*COS(C729),"")</x:f>
        <x:v>47.095189022400945</x:v>
      </x:c>
      <x:c r="E729" s="4" t="n">
        <x:f>IF('계산 과정'!$L$5,B729*SIN(C729),"")</x:f>
        <x:v>75.70106716144645</x:v>
      </x:c>
      <x:c r="F729" s="4" t="n">
        <x:f>IF('계산 과정'!$L$7,'계산 과정'!$L$22+'계산 과정'!$C$49*D729+'계산 과정'!$D$49*E729,"")</x:f>
        <x:v>616.6986724809981</x:v>
      </x:c>
      <x:c r="G729" s="4" t="n">
        <x:f>IF('계산 과정'!$L$7,IF(ABS(F729)&gt;=1E-12*MAX(1,SQRT((D729-'계산 과정'!$C$33)^2+(E729-'계산 과정'!$D$33)^2+'계산 과정'!$E$33^2)),('계산 과정'!$L$23-'계산 과정'!$C$49*D729-'계산 과정'!$D$49*E729)/F729,""),"")</x:f>
        <x:v>0.7026143347703623</x:v>
      </x:c>
      <x:c r="H729" s="4" t="n">
        <x:f>IF(AND(ISNUMBER(G729),G729&gt;0),('계산 과정'!$D$56+'계산 과정'!$D$57*D729+'계산 과정'!$D$58*E729)/F729,"")</x:f>
        <x:v>56.69931760073538</x:v>
      </x:c>
      <x:c r="I729" s="4" t="n">
        <x:f>IF(AND(ISNUMBER(G729),G729&gt;0),('계산 과정'!$E$56+'계산 과정'!$E$57*D729+'계산 과정'!$E$58*E729)/F729,"")</x:f>
        <x:v>128.88972210649266</x:v>
      </x:c>
      <x:c r="J729" s="4" t="n">
        <x:f>IF('계산 과정'!$L$5,'계산 과정'!$D$6+'계산 과정'!$C$35*D729+'계산 과정'!$D$35*E729,"")</x:f>
        <x:v>616.6986724809981</x:v>
      </x:c>
      <x:c r="K729" s="4" t="n">
        <x:f>IF(AND('계산 과정'!$L$6,J729&gt;0),'계산 과정'!$D$10*('계산 과정'!$C$38*(D729-'계산 과정'!$C$32)+'계산 과정'!$D$38*(E729-'계산 과정'!$D$32)-'계산 과정'!$E$38*'계산 과정'!$E$32)/J729,"")</x:f>
        <x:v>0.43199480076750857</x:v>
      </x:c>
      <x:c r="L729" s="4" t="n">
        <x:f>IF(AND('계산 과정'!$L$6,J729&gt;0),'계산 과정'!$D$10*('계산 과정'!$C$39*(D729-'계산 과정'!$C$32)+'계산 과정'!$D$39*(E729-'계산 과정'!$D$32)-'계산 과정'!$E$39*'계산 과정'!$E$32)/J729,"")</x:f>
        <x:v>0.9820169303351821</x:v>
      </x:c>
      <x:c r="M729" s="17" t="n">
        <x:f>IF('계산 과정'!$L$6,IF(J729&lt;=0,0,IF(AND(ABS(K729)&lt;='계산 과정'!$D$11/2,ABS(L729)&lt;='계산 과정'!$D$12/2),1,0)),"")</x:f>
        <x:v>1</x:v>
      </x:c>
      <x:c r="N729" s="17" t="n">
        <x:f>IF('계산 과정'!$C$78,IF(AND(ISNUMBER(H729),ISNUMBER(I729),ABS(H729-'계산 과정'!$C$88)&lt;='계산 과정'!$D$23/2,ABS(I729-'계산 과정'!$C$89)&lt;='계산 과정'!$D$24/2),1,0),"")</x:f>
        <x:v>1</x:v>
      </x:c>
      <x:c r="O729" s="4" t="n">
        <x:f>IF('계산 과정'!$L$7,'계산 과정'!$C$49*('계산 과정'!$C$32-D729)+'계산 과정'!$D$49*('계산 과정'!$D$32-E729)+'계산 과정'!$E$49*'계산 과정'!$E$32,"")</x:f>
        <x:v>33.301327519002086</x:v>
      </x:c>
      <x:c r="P729" s="4" t="n">
        <x:f>IF(AND('계산 과정'!$L$7,O729&lt;&gt;0),('계산 과정'!$L$23-'계산 과정'!$C$49*D729-'계산 과정'!$D$49*E729)/O729,"")</x:f>
        <x:v>13.011533167011306</x:v>
      </x:c>
      <x:c r="Q729" s="4" t="str">
        <x:f>IF(AND(ISNUMBER(P729),P729&gt;1E-9,P729&lt;1-1E-9),'계산 과정'!$C$47*(D729-'계산 과정'!$C$50+P729*('계산 과정'!$C$32-D729))+'계산 과정'!$D$47*(E729-'계산 과정'!$D$50+P729*('계산 과정'!$D$32-E729))+'계산 과정'!$E$47*(0-'계산 과정'!$E$50+P729*('계산 과정'!$E$32-0)),"")</x:f>
      </x:c>
      <x:c r="R729" s="4" t="str">
        <x:f>IF(AND(ISNUMBER(P729),P729&gt;1E-9,P729&lt;1-1E-9),'계산 과정'!$C$48*(D729-'계산 과정'!$C$50+P729*('계산 과정'!$C$32-D729))+'계산 과정'!$D$48*(E729-'계산 과정'!$D$50+P729*('계산 과정'!$D$32-E729))+'계산 과정'!$E$48*(0-'계산 과정'!$E$50+P729*('계산 과정'!$E$32-0)),"")</x:f>
      </x:c>
      <x:c r="S729" s="17" t="n">
        <x:f>IF('계산 과정'!$C$78,IF(AND(ISNUMBER(Q729),ISNUMBER(R729),ABS(Q729-'계산 과정'!$C$88)&lt;='계산 과정'!$D$23/2,ABS(R729-'계산 과정'!$C$89)&lt;='계산 과정'!$D$24/2),1,0),"")</x:f>
        <x:v>0</x:v>
      </x:c>
      <x:c r="T729" s="4"/>
      <x:c r="U729" s="4"/>
      <x:c r="V729" s="4"/>
      <x:c r="W729" s="4"/>
      <x:c r="X729" s="4"/>
      <x:c r="Y729" s="4"/>
      <x:c r="Z729" s="4"/>
    </x:row>
    <x:row r="730" ht="23" customHeight="1">
      <x:c r="A730" s="17" t="n">
        <x:f>ROW()-6</x:f>
        <x:v>724</x:v>
      </x:c>
      <x:c r="B730" s="4" t="n">
        <x:f>IF('계산 과정'!$L$5,'계산 과정'!$L$11*SQRT((A730+0.5)/'계산 과정'!$L$30),"")</x:f>
        <x:v>89.21656083128569</x:v>
      </x:c>
      <x:c r="C730" s="4" t="n">
        <x:f>A730*PI()*(3-SQRT(5))</x:f>
        <x:v>1737.5733783235446</x:v>
      </x:c>
      <x:c r="D730" s="4" t="n">
        <x:f>IF('계산 과정'!$L$5,B730*COS(C730),"")</x:f>
        <x:v>-85.92118018131356</x:v>
      </x:c>
      <x:c r="E730" s="4" t="n">
        <x:f>IF('계산 과정'!$L$5,B730*SIN(C730),"")</x:f>
        <x:v>-24.023853204945087</x:v>
      </x:c>
      <x:c r="F730" s="4" t="n">
        <x:f>IF('계산 과정'!$L$7,'계산 과정'!$L$22+'계산 과정'!$C$49*D730+'계산 과정'!$D$49*E730,"")</x:f>
        <x:v>710.755449153758</x:v>
      </x:c>
      <x:c r="G730" s="4" t="n">
        <x:f>IF('계산 과정'!$L$7,IF(ABS(F730)&gt;=1E-12*MAX(1,SQRT((D730-'계산 과정'!$C$33)^2+(E730-'계산 과정'!$D$33)^2+'계산 과정'!$E$33^2)),('계산 과정'!$L$23-'계산 과정'!$C$49*D730-'계산 과정'!$D$49*E730)/F730,""),"")</x:f>
        <x:v>0.47730137173081744</x:v>
      </x:c>
      <x:c r="H730" s="4" t="n">
        <x:f>IF(AND(ISNUMBER(G730),G730&gt;0),('계산 과정'!$D$56+'계산 과정'!$D$57*D730+'계산 과정'!$D$58*E730)/F730,"")</x:f>
        <x:v>-89.75410837496877</x:v>
      </x:c>
      <x:c r="I730" s="4" t="n">
        <x:f>IF(AND(ISNUMBER(G730),G730&gt;0),('계산 과정'!$E$56+'계산 과정'!$E$57*D730+'계산 과정'!$E$58*E730)/F730,"")</x:f>
        <x:v>-35.490471293925175</x:v>
      </x:c>
      <x:c r="J730" s="4" t="n">
        <x:f>IF('계산 과정'!$L$5,'계산 과정'!$D$6+'계산 과정'!$C$35*D730+'계산 과정'!$D$35*E730,"")</x:f>
        <x:v>710.755449153758</x:v>
      </x:c>
      <x:c r="K730" s="4" t="n">
        <x:f>IF(AND('계산 과정'!$L$6,J730&gt;0),'계산 과정'!$D$10*('계산 과정'!$C$38*(D730-'계산 과정'!$C$32)+'계산 과정'!$D$38*(E730-'계산 과정'!$D$32)-'계산 과정'!$E$38*'계산 과정'!$E$32)/J730,"")</x:f>
        <x:v>-0.683840825714047</x:v>
      </x:c>
      <x:c r="L730" s="4" t="n">
        <x:f>IF(AND('계산 과정'!$L$6,J730&gt;0),'계산 과정'!$D$10*('계산 과정'!$C$39*(D730-'계산 과정'!$C$32)+'계산 과정'!$D$39*(E730-'계산 과정'!$D$32)-'계산 과정'!$E$39*'계산 과정'!$E$32)/J730,"")</x:f>
        <x:v>-0.27040359081085846</x:v>
      </x:c>
      <x:c r="M730" s="17" t="n">
        <x:f>IF('계산 과정'!$L$6,IF(J730&lt;=0,0,IF(AND(ABS(K730)&lt;='계산 과정'!$D$11/2,ABS(L730)&lt;='계산 과정'!$D$12/2),1,0)),"")</x:f>
        <x:v>1</x:v>
      </x:c>
      <x:c r="N730" s="17" t="n">
        <x:f>IF('계산 과정'!$C$78,IF(AND(ISNUMBER(H730),ISNUMBER(I730),ABS(H730-'계산 과정'!$C$88)&lt;='계산 과정'!$D$23/2,ABS(I730-'계산 과정'!$C$89)&lt;='계산 과정'!$D$24/2),1,0),"")</x:f>
        <x:v>1</x:v>
      </x:c>
      <x:c r="O730" s="4" t="n">
        <x:f>IF('계산 과정'!$L$7,'계산 과정'!$C$49*('계산 과정'!$C$32-D730)+'계산 과정'!$D$49*('계산 과정'!$D$32-E730)+'계산 과정'!$E$49*'계산 과정'!$E$32,"")</x:f>
        <x:v>-60.75544915375792</x:v>
      </x:c>
      <x:c r="P730" s="4" t="n">
        <x:f>IF(AND('계산 과정'!$L$7,O730&lt;&gt;0),('계산 과정'!$L$23-'계산 과정'!$C$49*D730-'계산 과정'!$D$49*E730)/O730,"")</x:f>
        <x:v>-5.583771588745774</x:v>
      </x:c>
      <x:c r="Q730" s="4" t="str">
        <x:f>IF(AND(ISNUMBER(P730),P730&gt;1E-9,P730&lt;1-1E-9),'계산 과정'!$C$47*(D730-'계산 과정'!$C$50+P730*('계산 과정'!$C$32-D730))+'계산 과정'!$D$47*(E730-'계산 과정'!$D$50+P730*('계산 과정'!$D$32-E730))+'계산 과정'!$E$47*(0-'계산 과정'!$E$50+P730*('계산 과정'!$E$32-0)),"")</x:f>
      </x:c>
      <x:c r="R730" s="4" t="str">
        <x:f>IF(AND(ISNUMBER(P730),P730&gt;1E-9,P730&lt;1-1E-9),'계산 과정'!$C$48*(D730-'계산 과정'!$C$50+P730*('계산 과정'!$C$32-D730))+'계산 과정'!$D$48*(E730-'계산 과정'!$D$50+P730*('계산 과정'!$D$32-E730))+'계산 과정'!$E$48*(0-'계산 과정'!$E$50+P730*('계산 과정'!$E$32-0)),"")</x:f>
      </x:c>
      <x:c r="S730" s="17" t="n">
        <x:f>IF('계산 과정'!$C$78,IF(AND(ISNUMBER(Q730),ISNUMBER(R730),ABS(Q730-'계산 과정'!$C$88)&lt;='계산 과정'!$D$23/2,ABS(R730-'계산 과정'!$C$89)&lt;='계산 과정'!$D$24/2),1,0),"")</x:f>
        <x:v>0</x:v>
      </x:c>
      <x:c r="T730" s="4"/>
      <x:c r="U730" s="4"/>
      <x:c r="V730" s="4"/>
      <x:c r="W730" s="4"/>
      <x:c r="X730" s="4"/>
      <x:c r="Y730" s="4"/>
      <x:c r="Z730" s="4"/>
    </x:row>
    <x:row r="731" ht="23" customHeight="1">
      <x:c r="A731" s="17" t="n">
        <x:f>ROW()-6</x:f>
        <x:v>725</x:v>
      </x:c>
      <x:c r="B731" s="4" t="n">
        <x:f>IF('계산 과정'!$L$5,'계산 과정'!$L$11*SQRT((A731+0.5)/'계산 과정'!$L$30),"")</x:f>
        <x:v>89.27811072534801</x:v>
      </x:c>
      <x:c r="C731" s="4" t="n">
        <x:f>A731*PI()*(3-SQRT(5))</x:f>
        <x:v>1739.9733415532733</x:v>
      </x:c>
      <x:c r="D731" s="4" t="n">
        <x:f>IF('계산 과정'!$L$5,B731*COS(C731),"")</x:f>
        <x:v>79.63838800445446</x:v>
      </x:c>
      <x:c r="E731" s="4" t="n">
        <x:f>IF('계산 과정'!$L$5,B731*SIN(C731),"")</x:f>
        <x:v>-40.35230118270164</x:v>
      </x:c>
      <x:c r="F731" s="4" t="n">
        <x:f>IF('계산 과정'!$L$7,'계산 과정'!$L$22+'계산 과정'!$C$49*D731+'계산 과정'!$D$49*E731,"")</x:f>
        <x:v>593.6871557992848</x:v>
      </x:c>
      <x:c r="G731" s="4" t="n">
        <x:f>IF('계산 과정'!$L$7,IF(ABS(F731)&gt;=1E-12*MAX(1,SQRT((D731-'계산 과정'!$C$33)^2+(E731-'계산 과정'!$D$33)^2+'계산 과정'!$E$33^2)),('계산 과정'!$L$23-'계산 과정'!$C$49*D731-'계산 과정'!$D$49*E731)/F731,""),"")</x:f>
        <x:v>0.7686082471943969</x:v>
      </x:c>
      <x:c r="H731" s="4" t="n">
        <x:f>IF(AND(ISNUMBER(G731),G731&gt;0),('계산 과정'!$D$56+'계산 과정'!$D$57*D731+'계산 과정'!$D$58*E731)/F731,"")</x:f>
        <x:v>99.59536067635788</x:v>
      </x:c>
      <x:c r="I731" s="4" t="n">
        <x:f>IF(AND(ISNUMBER(G731),G731&gt;0),('계산 과정'!$E$56+'계산 과정'!$E$57*D731+'계산 과정'!$E$58*E731)/F731,"")</x:f>
        <x:v>-71.36741266499834</x:v>
      </x:c>
      <x:c r="J731" s="4" t="n">
        <x:f>IF('계산 과정'!$L$5,'계산 과정'!$D$6+'계산 과정'!$C$35*D731+'계산 과정'!$D$35*E731,"")</x:f>
        <x:v>593.6871557992848</x:v>
      </x:c>
      <x:c r="K731" s="4" t="n">
        <x:f>IF(AND('계산 과정'!$L$6,J731&gt;0),'계산 과정'!$D$10*('계산 과정'!$C$38*(D731-'계산 과정'!$C$32)+'계산 과정'!$D$38*(E731-'계산 과정'!$D$32)-'계산 과정'!$E$38*'계산 과정'!$E$32)/J731,"")</x:f>
        <x:v>0.7588217956293938</x:v>
      </x:c>
      <x:c r="L731" s="4" t="n">
        <x:f>IF(AND('계산 과정'!$L$6,J731&gt;0),'계산 과정'!$D$10*('계산 과정'!$C$39*(D731-'계산 과정'!$C$32)+'계산 과정'!$D$39*(E731-'계산 과정'!$D$32)-'계산 과정'!$E$39*'계산 과정'!$E$32)/J731,"")</x:f>
        <x:v>-0.5437517155428444</x:v>
      </x:c>
      <x:c r="M731" s="17" t="n">
        <x:f>IF('계산 과정'!$L$6,IF(J731&lt;=0,0,IF(AND(ABS(K731)&lt;='계산 과정'!$D$11/2,ABS(L731)&lt;='계산 과정'!$D$12/2),1,0)),"")</x:f>
        <x:v>1</x:v>
      </x:c>
      <x:c r="N731" s="17" t="n">
        <x:f>IF('계산 과정'!$C$78,IF(AND(ISNUMBER(H731),ISNUMBER(I731),ABS(H731-'계산 과정'!$C$88)&lt;='계산 과정'!$D$23/2,ABS(I731-'계산 과정'!$C$89)&lt;='계산 과정'!$D$24/2),1,0),"")</x:f>
        <x:v>1</x:v>
      </x:c>
      <x:c r="O731" s="4" t="n">
        <x:f>IF('계산 과정'!$L$7,'계산 과정'!$C$49*('계산 과정'!$C$32-D731)+'계산 과정'!$D$49*('계산 과정'!$D$32-E731)+'계산 과정'!$E$49*'계산 과정'!$E$32,"")</x:f>
        <x:v>56.31284420071523</x:v>
      </x:c>
      <x:c r="P731" s="4" t="n">
        <x:f>IF(AND('계산 과정'!$L$7,O731&lt;&gt;0),('계산 과정'!$L$23-'계산 과정'!$C$49*D731-'계산 과정'!$D$49*E731)/O731,"")</x:f>
        <x:v>8.103175228981232</x:v>
      </x:c>
      <x:c r="Q731" s="4" t="str">
        <x:f>IF(AND(ISNUMBER(P731),P731&gt;1E-9,P731&lt;1-1E-9),'계산 과정'!$C$47*(D731-'계산 과정'!$C$50+P731*('계산 과정'!$C$32-D731))+'계산 과정'!$D$47*(E731-'계산 과정'!$D$50+P731*('계산 과정'!$D$32-E731))+'계산 과정'!$E$47*(0-'계산 과정'!$E$50+P731*('계산 과정'!$E$32-0)),"")</x:f>
      </x:c>
      <x:c r="R731" s="4" t="str">
        <x:f>IF(AND(ISNUMBER(P731),P731&gt;1E-9,P731&lt;1-1E-9),'계산 과정'!$C$48*(D731-'계산 과정'!$C$50+P731*('계산 과정'!$C$32-D731))+'계산 과정'!$D$48*(E731-'계산 과정'!$D$50+P731*('계산 과정'!$D$32-E731))+'계산 과정'!$E$48*(0-'계산 과정'!$E$50+P731*('계산 과정'!$E$32-0)),"")</x:f>
      </x:c>
      <x:c r="S731" s="17" t="n">
        <x:f>IF('계산 과정'!$C$78,IF(AND(ISNUMBER(Q731),ISNUMBER(R731),ABS(Q731-'계산 과정'!$C$88)&lt;='계산 과정'!$D$23/2,ABS(R731-'계산 과정'!$C$89)&lt;='계산 과정'!$D$24/2),1,0),"")</x:f>
        <x:v>0</x:v>
      </x:c>
      <x:c r="T731" s="4"/>
      <x:c r="U731" s="4"/>
      <x:c r="V731" s="4"/>
      <x:c r="W731" s="4"/>
      <x:c r="X731" s="4"/>
      <x:c r="Y731" s="4"/>
      <x:c r="Z731" s="4"/>
    </x:row>
    <x:row r="732" ht="23" customHeight="1">
      <x:c r="A732" s="17" t="n">
        <x:f>ROW()-6</x:f>
        <x:v>726</x:v>
      </x:c>
      <x:c r="B732" s="4" t="n">
        <x:f>IF('계산 과정'!$L$5,'계산 과정'!$L$11*SQRT((A732+0.5)/'계산 과정'!$L$30),"")</x:f>
        <x:v>89.33961821505899</x:v>
      </x:c>
      <x:c r="C732" s="4" t="n">
        <x:f>A732*PI()*(3-SQRT(5))</x:f>
        <x:v>1742.3733047830021</x:v>
      </x:c>
      <x:c r="D732" s="4" t="n">
        <x:f>IF('계산 과정'!$L$5,B732*COS(C732),"")</x:f>
        <x:v>-31.486958785893854</x:v>
      </x:c>
      <x:c r="E732" s="4" t="n">
        <x:f>IF('계산 과정'!$L$5,B732*SIN(C732),"")</x:f>
        <x:v>83.60704999716185</x:v>
      </x:c>
      <x:c r="F732" s="4" t="n">
        <x:f>IF('계산 과정'!$L$7,'계산 과정'!$L$22+'계산 과정'!$C$49*D732+'계산 과정'!$D$49*E732,"")</x:f>
        <x:v>672.2646420764469</x:v>
      </x:c>
      <x:c r="G732" s="4" t="n">
        <x:f>IF('계산 과정'!$L$7,IF(ABS(F732)&gt;=1E-12*MAX(1,SQRT((D732-'계산 과정'!$C$33)^2+(E732-'계산 과정'!$D$33)^2+'계산 과정'!$E$33^2)),('계산 과정'!$L$23-'계산 과정'!$C$49*D732-'계산 과정'!$D$49*E732)/F732,""),"")</x:f>
        <x:v>0.5618849100211919</x:v>
      </x:c>
      <x:c r="H732" s="4" t="n">
        <x:f>IF(AND(ISNUMBER(G732),G732&gt;0),('계산 과정'!$D$56+'계산 과정'!$D$57*D732+'계산 과정'!$D$58*E732)/F732,"")</x:f>
        <x:v>-34.7748084862254</x:v>
      </x:c>
      <x:c r="I732" s="4" t="n">
        <x:f>IF(AND(ISNUMBER(G732),G732&gt;0),('계산 과정'!$E$56+'계산 과정'!$E$57*D732+'계산 과정'!$E$58*E732)/F732,"")</x:f>
        <x:v>130.58458976195442</x:v>
      </x:c>
      <x:c r="J732" s="4" t="n">
        <x:f>IF('계산 과정'!$L$5,'계산 과정'!$D$6+'계산 과정'!$C$35*D732+'계산 과정'!$D$35*E732,"")</x:f>
        <x:v>672.2646420764469</x:v>
      </x:c>
      <x:c r="K732" s="4" t="n">
        <x:f>IF(AND('계산 과정'!$L$6,J732&gt;0),'계산 과정'!$D$10*('계산 과정'!$C$38*(D732-'계산 과정'!$C$32)+'계산 과정'!$D$38*(E732-'계산 과정'!$D$32)-'계산 과정'!$E$38*'계산 과정'!$E$32)/J732,"")</x:f>
        <x:v>-0.2649509217998116</x:v>
      </x:c>
      <x:c r="L732" s="4" t="n">
        <x:f>IF(AND('계산 과정'!$L$6,J732&gt;0),'계산 과정'!$D$10*('계산 과정'!$C$39*(D732-'계산 과정'!$C$32)+'계산 과정'!$D$39*(E732-'계산 과정'!$D$32)-'계산 과정'!$E$39*'계산 과정'!$E$32)/J732,"")</x:f>
        <x:v>0.994930207710129</x:v>
      </x:c>
      <x:c r="M732" s="17" t="n">
        <x:f>IF('계산 과정'!$L$6,IF(J732&lt;=0,0,IF(AND(ABS(K732)&lt;='계산 과정'!$D$11/2,ABS(L732)&lt;='계산 과정'!$D$12/2),1,0)),"")</x:f>
        <x:v>1</x:v>
      </x:c>
      <x:c r="N732" s="17" t="n">
        <x:f>IF('계산 과정'!$C$78,IF(AND(ISNUMBER(H732),ISNUMBER(I732),ABS(H732-'계산 과정'!$C$88)&lt;='계산 과정'!$D$23/2,ABS(I732-'계산 과정'!$C$89)&lt;='계산 과정'!$D$24/2),1,0),"")</x:f>
        <x:v>1</x:v>
      </x:c>
      <x:c r="O732" s="4" t="n">
        <x:f>IF('계산 과정'!$L$7,'계산 과정'!$C$49*('계산 과정'!$C$32-D732)+'계산 과정'!$D$49*('계산 과정'!$D$32-E732)+'계산 과정'!$E$49*'계산 과정'!$E$32,"")</x:f>
        <x:v>-22.264642076446762</x:v>
      </x:c>
      <x:c r="P732" s="4" t="n">
        <x:f>IF(AND('계산 과정'!$L$7,O732&lt;&gt;0),('계산 과정'!$L$23-'계산 과정'!$C$49*D732-'계산 과정'!$D$49*E732)/O732,"")</x:f>
        <x:v>-16.96570538284783</x:v>
      </x:c>
      <x:c r="Q732" s="4" t="str">
        <x:f>IF(AND(ISNUMBER(P732),P732&gt;1E-9,P732&lt;1-1E-9),'계산 과정'!$C$47*(D732-'계산 과정'!$C$50+P732*('계산 과정'!$C$32-D732))+'계산 과정'!$D$47*(E732-'계산 과정'!$D$50+P732*('계산 과정'!$D$32-E732))+'계산 과정'!$E$47*(0-'계산 과정'!$E$50+P732*('계산 과정'!$E$32-0)),"")</x:f>
      </x:c>
      <x:c r="R732" s="4" t="str">
        <x:f>IF(AND(ISNUMBER(P732),P732&gt;1E-9,P732&lt;1-1E-9),'계산 과정'!$C$48*(D732-'계산 과정'!$C$50+P732*('계산 과정'!$C$32-D732))+'계산 과정'!$D$48*(E732-'계산 과정'!$D$50+P732*('계산 과정'!$D$32-E732))+'계산 과정'!$E$48*(0-'계산 과정'!$E$50+P732*('계산 과정'!$E$32-0)),"")</x:f>
      </x:c>
      <x:c r="S732" s="17" t="n">
        <x:f>IF('계산 과정'!$C$78,IF(AND(ISNUMBER(Q732),ISNUMBER(R732),ABS(Q732-'계산 과정'!$C$88)&lt;='계산 과정'!$D$23/2,ABS(R732-'계산 과정'!$C$89)&lt;='계산 과정'!$D$24/2),1,0),"")</x:f>
        <x:v>0</x:v>
      </x:c>
      <x:c r="T732" s="4"/>
      <x:c r="U732" s="4"/>
      <x:c r="V732" s="4"/>
      <x:c r="W732" s="4"/>
      <x:c r="X732" s="4"/>
      <x:c r="Y732" s="4"/>
      <x:c r="Z732" s="4"/>
    </x:row>
    <x:row r="733" ht="23" customHeight="1">
      <x:c r="A733" s="17" t="n">
        <x:f>ROW()-6</x:f>
        <x:v>727</x:v>
      </x:c>
      <x:c r="B733" s="4" t="n">
        <x:f>IF('계산 과정'!$L$5,'계산 과정'!$L$11*SQRT((A733+0.5)/'계산 과정'!$L$30),"")</x:f>
        <x:v>89.40108338794056</x:v>
      </x:c>
      <x:c r="C733" s="4" t="n">
        <x:f>A733*PI()*(3-SQRT(5))</x:f>
        <x:v>1744.7732680127308</x:v>
      </x:c>
      <x:c r="D733" s="4" t="n">
        <x:f>IF('계산 과정'!$L$5,B733*COS(C733),"")</x:f>
        <x:v>-33.28112882468621</x:v>
      </x:c>
      <x:c r="E733" s="4" t="n">
        <x:f>IF('계산 과정'!$L$5,B733*SIN(C733),"")</x:f>
        <x:v>-82.975419101636</x:v>
      </x:c>
      <x:c r="F733" s="4" t="n">
        <x:f>IF('계산 과정'!$L$7,'계산 과정'!$L$22+'계산 과정'!$C$49*D733+'계산 과정'!$D$49*E733,"")</x:f>
        <x:v>673.5333118774787</x:v>
      </x:c>
      <x:c r="G733" s="4" t="n">
        <x:f>IF('계산 과정'!$L$7,IF(ABS(F733)&gt;=1E-12*MAX(1,SQRT((D733-'계산 과정'!$C$33)^2+(E733-'계산 과정'!$D$33)^2+'계산 과정'!$E$33^2)),('계산 과정'!$L$23-'계산 과정'!$C$49*D733-'계산 과정'!$D$49*E733)/F733,""),"")</x:f>
        <x:v>0.5589429379121841</x:v>
      </x:c>
      <x:c r="H733" s="4" t="n">
        <x:f>IF(AND(ISNUMBER(G733),G733&gt;0),('계산 과정'!$D$56+'계산 과정'!$D$57*D733+'계산 과정'!$D$58*E733)/F733,"")</x:f>
        <x:v>-36.68709035708045</x:v>
      </x:c>
      <x:c r="I733" s="4" t="n">
        <x:f>IF(AND(ISNUMBER(G733),G733&gt;0),('계산 과정'!$E$56+'계산 과정'!$E$57*D733+'계산 과정'!$E$58*E733)/F733,"")</x:f>
        <x:v>-129.3539436287992</x:v>
      </x:c>
      <x:c r="J733" s="4" t="n">
        <x:f>IF('계산 과정'!$L$5,'계산 과정'!$D$6+'계산 과정'!$C$35*D733+'계산 과정'!$D$35*E733,"")</x:f>
        <x:v>673.5333118774787</x:v>
      </x:c>
      <x:c r="K733" s="4" t="n">
        <x:f>IF(AND('계산 과정'!$L$6,J733&gt;0),'계산 과정'!$D$10*('계산 과정'!$C$38*(D733-'계산 과정'!$C$32)+'계산 과정'!$D$38*(E733-'계산 과정'!$D$32)-'계산 과정'!$E$38*'계산 과정'!$E$32)/J733,"")</x:f>
        <x:v>-0.2795206884348978</x:v>
      </x:c>
      <x:c r="L733" s="4" t="n">
        <x:f>IF(AND('계산 과정'!$L$6,J733&gt;0),'계산 과정'!$D$10*('계산 과정'!$C$39*(D733-'계산 과정'!$C$32)+'계산 과정'!$D$39*(E733-'계산 과정'!$D$32)-'계산 과정'!$E$39*'계산 과정'!$E$32)/J733,"")</x:f>
        <x:v>-0.9855538562194225</x:v>
      </x:c>
      <x:c r="M733" s="17" t="n">
        <x:f>IF('계산 과정'!$L$6,IF(J733&lt;=0,0,IF(AND(ABS(K733)&lt;='계산 과정'!$D$11/2,ABS(L733)&lt;='계산 과정'!$D$12/2),1,0)),"")</x:f>
        <x:v>1</x:v>
      </x:c>
      <x:c r="N733" s="17" t="n">
        <x:f>IF('계산 과정'!$C$78,IF(AND(ISNUMBER(H733),ISNUMBER(I733),ABS(H733-'계산 과정'!$C$88)&lt;='계산 과정'!$D$23/2,ABS(I733-'계산 과정'!$C$89)&lt;='계산 과정'!$D$24/2),1,0),"")</x:f>
        <x:v>1</x:v>
      </x:c>
      <x:c r="O733" s="4" t="n">
        <x:f>IF('계산 과정'!$L$7,'계산 과정'!$C$49*('계산 과정'!$C$32-D733)+'계산 과정'!$D$49*('계산 과정'!$D$32-E733)+'계산 과정'!$E$49*'계산 과정'!$E$32,"")</x:f>
        <x:v>-23.53331187747858</x:v>
      </x:c>
      <x:c r="P733" s="4" t="n">
        <x:f>IF(AND('계산 과정'!$L$7,O733&lt;&gt;0),('계산 과정'!$L$23-'계산 과정'!$C$49*D733-'계산 과정'!$D$49*E733)/O733,"")</x:f>
        <x:v>-15.997182635513386</x:v>
      </x:c>
      <x:c r="Q733" s="4" t="str">
        <x:f>IF(AND(ISNUMBER(P733),P733&gt;1E-9,P733&lt;1-1E-9),'계산 과정'!$C$47*(D733-'계산 과정'!$C$50+P733*('계산 과정'!$C$32-D733))+'계산 과정'!$D$47*(E733-'계산 과정'!$D$50+P733*('계산 과정'!$D$32-E733))+'계산 과정'!$E$47*(0-'계산 과정'!$E$50+P733*('계산 과정'!$E$32-0)),"")</x:f>
      </x:c>
      <x:c r="R733" s="4" t="str">
        <x:f>IF(AND(ISNUMBER(P733),P733&gt;1E-9,P733&lt;1-1E-9),'계산 과정'!$C$48*(D733-'계산 과정'!$C$50+P733*('계산 과정'!$C$32-D733))+'계산 과정'!$D$48*(E733-'계산 과정'!$D$50+P733*('계산 과정'!$D$32-E733))+'계산 과정'!$E$48*(0-'계산 과정'!$E$50+P733*('계산 과정'!$E$32-0)),"")</x:f>
      </x:c>
      <x:c r="S733" s="17" t="n">
        <x:f>IF('계산 과정'!$C$78,IF(AND(ISNUMBER(Q733),ISNUMBER(R733),ABS(Q733-'계산 과정'!$C$88)&lt;='계산 과정'!$D$23/2,ABS(R733-'계산 과정'!$C$89)&lt;='계산 과정'!$D$24/2),1,0),"")</x:f>
        <x:v>0</x:v>
      </x:c>
      <x:c r="T733" s="4"/>
      <x:c r="U733" s="4"/>
      <x:c r="V733" s="4"/>
      <x:c r="W733" s="4"/>
      <x:c r="X733" s="4"/>
      <x:c r="Y733" s="4"/>
      <x:c r="Z733" s="4"/>
    </x:row>
    <x:row r="734" ht="23" customHeight="1">
      <x:c r="A734" s="17" t="n">
        <x:f>ROW()-6</x:f>
        <x:v>728</x:v>
      </x:c>
      <x:c r="B734" s="4" t="n">
        <x:f>IF('계산 과정'!$L$5,'계산 과정'!$L$11*SQRT((A734+0.5)/'계산 과정'!$L$30),"")</x:f>
        <x:v>89.46250633121397</x:v>
      </x:c>
      <x:c r="C734" s="4" t="n">
        <x:f>A734*PI()*(3-SQRT(5))</x:f>
        <x:v>1747.1732312424592</x:v>
      </x:c>
      <x:c r="D734" s="4" t="n">
        <x:f>IF('계산 과정'!$L$5,B734*COS(C734),"")</x:f>
        <x:v>80.64492788045538</x:v>
      </x:c>
      <x:c r="E734" s="4" t="n">
        <x:f>IF('계산 과정'!$L$5,B734*SIN(C734),"")</x:f>
        <x:v>38.7290026494183</x:v>
      </x:c>
      <x:c r="F734" s="4" t="n">
        <x:f>IF('계산 과정'!$L$7,'계산 과정'!$L$22+'계산 과정'!$C$49*D734+'계산 과정'!$D$49*E734,"")</x:f>
        <x:v>592.9754246274299</x:v>
      </x:c>
      <x:c r="G734" s="4" t="n">
        <x:f>IF('계산 과정'!$L$7,IF(ABS(F734)&gt;=1E-12*MAX(1,SQRT((D734-'계산 과정'!$C$33)^2+(E734-'계산 과정'!$D$33)^2+'계산 과정'!$E$33^2)),('계산 과정'!$L$23-'계산 과정'!$C$49*D734-'계산 과정'!$D$49*E734)/F734,""),"")</x:f>
        <x:v>0.7707310562823433</x:v>
      </x:c>
      <x:c r="H734" s="4" t="n">
        <x:f>IF(AND(ISNUMBER(G734),G734&gt;0),('계산 과정'!$D$56+'계산 과정'!$D$57*D734+'계산 과정'!$D$58*E734)/F734,"")</x:f>
        <x:v>100.97518658352301</x:v>
      </x:c>
      <x:c r="I734" s="4" t="n">
        <x:f>IF(AND(ISNUMBER(G734),G734&gt;0),('계산 과정'!$E$56+'계산 과정'!$E$57*D734+'계산 과정'!$E$58*E734)/F734,"")</x:f>
        <x:v>68.57864777016614</x:v>
      </x:c>
      <x:c r="J734" s="4" t="n">
        <x:f>IF('계산 과정'!$L$5,'계산 과정'!$D$6+'계산 과정'!$C$35*D734+'계산 과정'!$D$35*E734,"")</x:f>
        <x:v>592.9754246274299</x:v>
      </x:c>
      <x:c r="K734" s="4" t="n">
        <x:f>IF(AND('계산 과정'!$L$6,J734&gt;0),'계산 과정'!$D$10*('계산 과정'!$C$38*(D734-'계산 과정'!$C$32)+'계산 과정'!$D$38*(E734-'계산 과정'!$D$32)-'계산 과정'!$E$38*'계산 과정'!$E$32)/J734,"")</x:f>
        <x:v>0.7693347549220811</x:v>
      </x:c>
      <x:c r="L734" s="4" t="n">
        <x:f>IF(AND('계산 과정'!$L$6,J734&gt;0),'계산 과정'!$D$10*('계산 과정'!$C$39*(D734-'계산 과정'!$C$32)+'계산 과정'!$D$39*(E734-'계산 과정'!$D$32)-'계산 과정'!$E$39*'계산 과정'!$E$32)/J734,"")</x:f>
        <x:v>0.5225039830107896</x:v>
      </x:c>
      <x:c r="M734" s="17" t="n">
        <x:f>IF('계산 과정'!$L$6,IF(J734&lt;=0,0,IF(AND(ABS(K734)&lt;='계산 과정'!$D$11/2,ABS(L734)&lt;='계산 과정'!$D$12/2),1,0)),"")</x:f>
        <x:v>1</x:v>
      </x:c>
      <x:c r="N734" s="17" t="n">
        <x:f>IF('계산 과정'!$C$78,IF(AND(ISNUMBER(H734),ISNUMBER(I734),ABS(H734-'계산 과정'!$C$88)&lt;='계산 과정'!$D$23/2,ABS(I734-'계산 과정'!$C$89)&lt;='계산 과정'!$D$24/2),1,0),"")</x:f>
        <x:v>1</x:v>
      </x:c>
      <x:c r="O734" s="4" t="n">
        <x:f>IF('계산 과정'!$L$7,'계산 과정'!$C$49*('계산 과정'!$C$32-D734)+'계산 과정'!$D$49*('계산 과정'!$D$32-E734)+'계산 과정'!$E$49*'계산 과정'!$E$32,"")</x:f>
        <x:v>57.024575372570155</x:v>
      </x:c>
      <x:c r="P734" s="4" t="n">
        <x:f>IF(AND('계산 과정'!$L$7,O734&lt;&gt;0),('계산 과정'!$L$23-'계산 과정'!$C$49*D734-'계산 과정'!$D$49*E734)/O734,"")</x:f>
        <x:v>8.014519571370752</x:v>
      </x:c>
      <x:c r="Q734" s="4" t="str">
        <x:f>IF(AND(ISNUMBER(P734),P734&gt;1E-9,P734&lt;1-1E-9),'계산 과정'!$C$47*(D734-'계산 과정'!$C$50+P734*('계산 과정'!$C$32-D734))+'계산 과정'!$D$47*(E734-'계산 과정'!$D$50+P734*('계산 과정'!$D$32-E734))+'계산 과정'!$E$47*(0-'계산 과정'!$E$50+P734*('계산 과정'!$E$32-0)),"")</x:f>
      </x:c>
      <x:c r="R734" s="4" t="str">
        <x:f>IF(AND(ISNUMBER(P734),P734&gt;1E-9,P734&lt;1-1E-9),'계산 과정'!$C$48*(D734-'계산 과정'!$C$50+P734*('계산 과정'!$C$32-D734))+'계산 과정'!$D$48*(E734-'계산 과정'!$D$50+P734*('계산 과정'!$D$32-E734))+'계산 과정'!$E$48*(0-'계산 과정'!$E$50+P734*('계산 과정'!$E$32-0)),"")</x:f>
      </x:c>
      <x:c r="S734" s="17" t="n">
        <x:f>IF('계산 과정'!$C$78,IF(AND(ISNUMBER(Q734),ISNUMBER(R734),ABS(Q734-'계산 과정'!$C$88)&lt;='계산 과정'!$D$23/2,ABS(R734-'계산 과정'!$C$89)&lt;='계산 과정'!$D$24/2),1,0),"")</x:f>
        <x:v>0</x:v>
      </x:c>
      <x:c r="T734" s="4"/>
      <x:c r="U734" s="4"/>
      <x:c r="V734" s="4"/>
      <x:c r="W734" s="4"/>
      <x:c r="X734" s="4"/>
      <x:c r="Y734" s="4"/>
      <x:c r="Z734" s="4"/>
    </x:row>
    <x:row r="735" ht="23" customHeight="1">
      <x:c r="A735" s="17" t="n">
        <x:f>ROW()-6</x:f>
        <x:v>729</x:v>
      </x:c>
      <x:c r="B735" s="4" t="n">
        <x:f>IF('계산 과정'!$L$5,'계산 과정'!$L$11*SQRT((A735+0.5)/'계산 과정'!$L$30),"")</x:f>
        <x:v>89.5238871318013</x:v>
      </x:c>
      <x:c r="C735" s="4" t="n">
        <x:f>A735*PI()*(3-SQRT(5))</x:f>
        <x:v>1749.5731944721879</x:v>
      </x:c>
      <x:c r="D735" s="4" t="n">
        <x:f>IF('계산 과정'!$L$5,B735*COS(C735),"")</x:f>
        <x:v>-85.68487402499575</x:v>
      </x:c>
      <x:c r="E735" s="4" t="n">
        <x:f>IF('계산 과정'!$L$5,B735*SIN(C735),"")</x:f>
        <x:v>25.93508686139508</x:v>
      </x:c>
      <x:c r="F735" s="4" t="n">
        <x:f>IF('계산 과정'!$L$7,'계산 과정'!$L$22+'계산 과정'!$C$49*D735+'계산 과정'!$D$49*E735,"")</x:f>
        <x:v>710.5883554681895</x:v>
      </x:c>
      <x:c r="G735" s="4" t="n">
        <x:f>IF('계산 과정'!$L$7,IF(ABS(F735)&gt;=1E-12*MAX(1,SQRT((D735-'계산 과정'!$C$33)^2+(E735-'계산 과정'!$D$33)^2+'계산 과정'!$E$33^2)),('계산 과정'!$L$23-'계산 과정'!$C$49*D735-'계산 과정'!$D$49*E735)/F735,""),"")</x:f>
        <x:v>0.4776487567238282</x:v>
      </x:c>
      <x:c r="H735" s="4" t="n">
        <x:f>IF(AND(ISNUMBER(G735),G735&gt;0),('계산 과정'!$D$56+'계산 과정'!$D$57*D735+'계산 과정'!$D$58*E735)/F735,"")</x:f>
        <x:v>-89.52830812951179</x:v>
      </x:c>
      <x:c r="I735" s="4" t="n">
        <x:f>IF(AND(ISNUMBER(G735),G735&gt;0),('계산 과정'!$E$56+'계산 과정'!$E$57*D735+'계산 과정'!$E$58*E735)/F735,"")</x:f>
        <x:v>38.32294885626494</x:v>
      </x:c>
      <x:c r="J735" s="4" t="n">
        <x:f>IF('계산 과정'!$L$5,'계산 과정'!$D$6+'계산 과정'!$C$35*D735+'계산 과정'!$D$35*E735,"")</x:f>
        <x:v>710.5883554681895</x:v>
      </x:c>
      <x:c r="K735" s="4" t="n">
        <x:f>IF(AND('계산 과정'!$L$6,J735&gt;0),'계산 과정'!$D$10*('계산 과정'!$C$38*(D735-'계산 과정'!$C$32)+'계산 과정'!$D$38*(E735-'계산 과정'!$D$32)-'계산 과정'!$E$38*'계산 과정'!$E$32)/J735,"")</x:f>
        <x:v>-0.682120442891518</x:v>
      </x:c>
      <x:c r="L735" s="4" t="n">
        <x:f>IF(AND('계산 과정'!$L$6,J735&gt;0),'계산 과정'!$D$10*('계산 과정'!$C$39*(D735-'계산 과정'!$C$32)+'계산 과정'!$D$39*(E735-'계산 과정'!$D$32)-'계산 과정'!$E$39*'계산 과정'!$E$32)/J735,"")</x:f>
        <x:v>0.29198437223820906</x:v>
      </x:c>
      <x:c r="M735" s="17" t="n">
        <x:f>IF('계산 과정'!$L$6,IF(J735&lt;=0,0,IF(AND(ABS(K735)&lt;='계산 과정'!$D$11/2,ABS(L735)&lt;='계산 과정'!$D$12/2),1,0)),"")</x:f>
        <x:v>1</x:v>
      </x:c>
      <x:c r="N735" s="17" t="n">
        <x:f>IF('계산 과정'!$C$78,IF(AND(ISNUMBER(H735),ISNUMBER(I735),ABS(H735-'계산 과정'!$C$88)&lt;='계산 과정'!$D$23/2,ABS(I735-'계산 과정'!$C$89)&lt;='계산 과정'!$D$24/2),1,0),"")</x:f>
        <x:v>1</x:v>
      </x:c>
      <x:c r="O735" s="4" t="n">
        <x:f>IF('계산 과정'!$L$7,'계산 과정'!$C$49*('계산 과정'!$C$32-D735)+'계산 과정'!$D$49*('계산 과정'!$D$32-E735)+'계산 과정'!$E$49*'계산 과정'!$E$32,"")</x:f>
        <x:v>-60.58835546818949</x:v>
      </x:c>
      <x:c r="P735" s="4" t="n">
        <x:f>IF(AND('계산 과정'!$L$7,O735&lt;&gt;0),('계산 과정'!$L$23-'계산 과정'!$C$49*D735-'계산 과정'!$D$49*E735)/O735,"")</x:f>
        <x:v>-5.601928652940757</x:v>
      </x:c>
      <x:c r="Q735" s="4" t="str">
        <x:f>IF(AND(ISNUMBER(P735),P735&gt;1E-9,P735&lt;1-1E-9),'계산 과정'!$C$47*(D735-'계산 과정'!$C$50+P735*('계산 과정'!$C$32-D735))+'계산 과정'!$D$47*(E735-'계산 과정'!$D$50+P735*('계산 과정'!$D$32-E735))+'계산 과정'!$E$47*(0-'계산 과정'!$E$50+P735*('계산 과정'!$E$32-0)),"")</x:f>
      </x:c>
      <x:c r="R735" s="4" t="str">
        <x:f>IF(AND(ISNUMBER(P735),P735&gt;1E-9,P735&lt;1-1E-9),'계산 과정'!$C$48*(D735-'계산 과정'!$C$50+P735*('계산 과정'!$C$32-D735))+'계산 과정'!$D$48*(E735-'계산 과정'!$D$50+P735*('계산 과정'!$D$32-E735))+'계산 과정'!$E$48*(0-'계산 과정'!$E$50+P735*('계산 과정'!$E$32-0)),"")</x:f>
      </x:c>
      <x:c r="S735" s="17" t="n">
        <x:f>IF('계산 과정'!$C$78,IF(AND(ISNUMBER(Q735),ISNUMBER(R735),ABS(Q735-'계산 과정'!$C$88)&lt;='계산 과정'!$D$23/2,ABS(R735-'계산 과정'!$C$89)&lt;='계산 과정'!$D$24/2),1,0),"")</x:f>
        <x:v>0</x:v>
      </x:c>
      <x:c r="T735" s="4"/>
      <x:c r="U735" s="4"/>
      <x:c r="V735" s="4"/>
      <x:c r="W735" s="4"/>
      <x:c r="X735" s="4"/>
      <x:c r="Y735" s="4"/>
      <x:c r="Z735" s="4"/>
    </x:row>
    <x:row r="736" ht="23" customHeight="1">
      <x:c r="A736" s="17" t="n">
        <x:f>ROW()-6</x:f>
        <x:v>730</x:v>
      </x:c>
      <x:c r="B736" s="4" t="n">
        <x:f>IF('계산 과정'!$L$5,'계산 과정'!$L$11*SQRT((A736+0.5)/'계산 과정'!$L$30),"")</x:f>
        <x:v>89.58522587632683</x:v>
      </x:c>
      <x:c r="C736" s="4" t="n">
        <x:f>A736*PI()*(3-SQRT(5))</x:f>
        <x:v>1751.9731577019168</x:v>
      </x:c>
      <x:c r="D736" s="4" t="n">
        <x:f>IF('계산 과정'!$L$5,B736*COS(C736),"")</x:f>
        <x:v>45.69374634810593</x:v>
      </x:c>
      <x:c r="E736" s="4" t="n">
        <x:f>IF('계산 과정'!$L$5,B736*SIN(C736),"")</x:f>
        <x:v>-77.05578654447343</x:v>
      </x:c>
      <x:c r="F736" s="4" t="n">
        <x:f>IF('계산 과정'!$L$7,'계산 과정'!$L$22+'계산 과정'!$C$49*D736+'계산 과정'!$D$49*E736,"")</x:f>
        <x:v>617.6896420994362</x:v>
      </x:c>
      <x:c r="G736" s="4" t="n">
        <x:f>IF('계산 과정'!$L$7,IF(ABS(F736)&gt;=1E-12*MAX(1,SQRT((D736-'계산 과정'!$C$33)^2+(E736-'계산 과정'!$D$33)^2+'계산 과정'!$E$33^2)),('계산 과정'!$L$23-'계산 과정'!$C$49*D736-'계산 과정'!$D$49*E736)/F736,""),"")</x:f>
        <x:v>0.6998828026825971</x:v>
      </x:c>
      <x:c r="H736" s="4" t="n">
        <x:f>IF(AND(ISNUMBER(G736),G736&gt;0),('계산 과정'!$D$56+'계산 과정'!$D$57*D736+'계산 과정'!$D$58*E736)/F736,"")</x:f>
        <x:v>54.923821743687995</x:v>
      </x:c>
      <x:c r="I736" s="4" t="n">
        <x:f>IF(AND(ISNUMBER(G736),G736&gt;0),('계산 과정'!$E$56+'계산 과정'!$E$57*D736+'계산 과정'!$E$58*E736)/F736,"")</x:f>
        <x:v>-130.98580639413146</x:v>
      </x:c>
      <x:c r="J736" s="4" t="n">
        <x:f>IF('계산 과정'!$L$5,'계산 과정'!$D$6+'계산 과정'!$C$35*D736+'계산 과정'!$D$35*E736,"")</x:f>
        <x:v>617.6896420994362</x:v>
      </x:c>
      <x:c r="K736" s="4" t="n">
        <x:f>IF(AND('계산 과정'!$L$6,J736&gt;0),'계산 과정'!$D$10*('계산 과정'!$C$38*(D736-'계산 과정'!$C$32)+'계산 과정'!$D$38*(E736-'계산 과정'!$D$32)-'계산 과정'!$E$38*'계산 과정'!$E$32)/J736,"")</x:f>
        <x:v>0.4184672132852428</x:v>
      </x:c>
      <x:c r="L736" s="4" t="n">
        <x:f>IF(AND('계산 과정'!$L$6,J736&gt;0),'계산 과정'!$D$10*('계산 과정'!$C$39*(D736-'계산 과정'!$C$32)+'계산 과정'!$D$39*(E736-'계산 과정'!$D$32)-'계산 과정'!$E$39*'계산 과정'!$E$32)/J736,"")</x:f>
        <x:v>-0.9979870963362397</x:v>
      </x:c>
      <x:c r="M736" s="17" t="n">
        <x:f>IF('계산 과정'!$L$6,IF(J736&lt;=0,0,IF(AND(ABS(K736)&lt;='계산 과정'!$D$11/2,ABS(L736)&lt;='계산 과정'!$D$12/2),1,0)),"")</x:f>
        <x:v>1</x:v>
      </x:c>
      <x:c r="N736" s="17" t="n">
        <x:f>IF('계산 과정'!$C$78,IF(AND(ISNUMBER(H736),ISNUMBER(I736),ABS(H736-'계산 과정'!$C$88)&lt;='계산 과정'!$D$23/2,ABS(I736-'계산 과정'!$C$89)&lt;='계산 과정'!$D$24/2),1,0),"")</x:f>
        <x:v>1</x:v>
      </x:c>
      <x:c r="O736" s="4" t="n">
        <x:f>IF('계산 과정'!$L$7,'계산 과정'!$C$49*('계산 과정'!$C$32-D736)+'계산 과정'!$D$49*('계산 과정'!$D$32-E736)+'계산 과정'!$E$49*'계산 과정'!$E$32,"")</x:f>
        <x:v>32.31035790056387</x:v>
      </x:c>
      <x:c r="P736" s="4" t="n">
        <x:f>IF(AND('계산 과정'!$L$7,O736&lt;&gt;0),('계산 과정'!$L$23-'계산 과정'!$C$49*D736-'계산 과정'!$D$49*E736)/O736,"")</x:f>
        <x:v>13.379930956847097</x:v>
      </x:c>
      <x:c r="Q736" s="4" t="str">
        <x:f>IF(AND(ISNUMBER(P736),P736&gt;1E-9,P736&lt;1-1E-9),'계산 과정'!$C$47*(D736-'계산 과정'!$C$50+P736*('계산 과정'!$C$32-D736))+'계산 과정'!$D$47*(E736-'계산 과정'!$D$50+P736*('계산 과정'!$D$32-E736))+'계산 과정'!$E$47*(0-'계산 과정'!$E$50+P736*('계산 과정'!$E$32-0)),"")</x:f>
      </x:c>
      <x:c r="R736" s="4" t="str">
        <x:f>IF(AND(ISNUMBER(P736),P736&gt;1E-9,P736&lt;1-1E-9),'계산 과정'!$C$48*(D736-'계산 과정'!$C$50+P736*('계산 과정'!$C$32-D736))+'계산 과정'!$D$48*(E736-'계산 과정'!$D$50+P736*('계산 과정'!$D$32-E736))+'계산 과정'!$E$48*(0-'계산 과정'!$E$50+P736*('계산 과정'!$E$32-0)),"")</x:f>
      </x:c>
      <x:c r="S736" s="17" t="n">
        <x:f>IF('계산 과정'!$C$78,IF(AND(ISNUMBER(Q736),ISNUMBER(R736),ABS(Q736-'계산 과정'!$C$88)&lt;='계산 과정'!$D$23/2,ABS(R736-'계산 과정'!$C$89)&lt;='계산 과정'!$D$24/2),1,0),"")</x:f>
        <x:v>0</x:v>
      </x:c>
      <x:c r="T736" s="4"/>
      <x:c r="U736" s="4"/>
      <x:c r="V736" s="4"/>
      <x:c r="W736" s="4"/>
      <x:c r="X736" s="4"/>
      <x:c r="Y736" s="4"/>
      <x:c r="Z736" s="4"/>
    </x:row>
    <x:row r="737" ht="23" customHeight="1">
      <x:c r="A737" s="17" t="n">
        <x:f>ROW()-6</x:f>
        <x:v>731</x:v>
      </x:c>
      <x:c r="B737" s="4" t="n">
        <x:f>IF('계산 과정'!$L$5,'계산 과정'!$L$11*SQRT((A737+0.5)/'계산 과정'!$L$30),"")</x:f>
        <x:v>89.64652265111849</x:v>
      </x:c>
      <x:c r="C737" s="4" t="n">
        <x:f>A737*PI()*(3-SQRT(5))</x:f>
        <x:v>1754.3731209316452</x:v>
      </x:c>
      <x:c r="D737" s="4" t="n">
        <x:f>IF('계산 과정'!$L$5,B737*COS(C737),"")</x:f>
        <x:v>18.369850030286983</x:v>
      </x:c>
      <x:c r="E737" s="4" t="n">
        <x:f>IF('계산 과정'!$L$5,B737*SIN(C737),"")</x:f>
        <x:v>87.74421709322083</x:v>
      </x:c>
      <x:c r="F737" s="4" t="n">
        <x:f>IF('계산 과정'!$L$7,'계산 과정'!$L$22+'계산 과정'!$C$49*D737+'계산 과정'!$D$49*E737,"")</x:f>
        <x:v>637.0105544742041</x:v>
      </x:c>
      <x:c r="G737" s="4" t="n">
        <x:f>IF('계산 과정'!$L$7,IF(ABS(F737)&gt;=1E-12*MAX(1,SQRT((D737-'계산 과정'!$C$33)^2+(E737-'계산 과정'!$D$33)^2+'계산 과정'!$E$33^2)),('계산 과정'!$L$23-'계산 과정'!$C$49*D737-'계산 과정'!$D$49*E737)/F737,""),"")</x:f>
        <x:v>0.6483243372108365</x:v>
      </x:c>
      <x:c r="H737" s="4" t="n">
        <x:f>IF(AND(ISNUMBER(G737),G737&gt;0),('계산 과정'!$D$56+'계산 과정'!$D$57*D737+'계산 과정'!$D$58*E737)/F737,"")</x:f>
        <x:v>21.41081918704357</x:v>
      </x:c>
      <x:c r="I737" s="4" t="n">
        <x:f>IF(AND(ISNUMBER(G737),G737&gt;0),('계산 과정'!$E$56+'계산 과정'!$E$57*D737+'계산 과정'!$E$58*E737)/F737,"")</x:f>
        <x:v>144.63092848426697</x:v>
      </x:c>
      <x:c r="J737" s="4" t="n">
        <x:f>IF('계산 과정'!$L$5,'계산 과정'!$D$6+'계산 과정'!$C$35*D737+'계산 과정'!$D$35*E737,"")</x:f>
        <x:v>637.0105544742041</x:v>
      </x:c>
      <x:c r="K737" s="4" t="n">
        <x:f>IF(AND('계산 과정'!$L$6,J737&gt;0),'계산 과정'!$D$10*('계산 과정'!$C$38*(D737-'계산 과정'!$C$32)+'계산 과정'!$D$38*(E737-'계산 과정'!$D$32)-'계산 과정'!$E$38*'계산 과정'!$E$32)/J737,"")</x:f>
        <x:v>0.16313005094890473</x:v>
      </x:c>
      <x:c r="L737" s="4" t="n">
        <x:f>IF(AND('계산 과정'!$L$6,J737&gt;0),'계산 과정'!$D$10*('계산 과정'!$C$39*(D737-'계산 과정'!$C$32)+'계산 과정'!$D$39*(E737-'계산 과정'!$D$32)-'계산 과정'!$E$39*'계산 과정'!$E$32)/J737,"")</x:f>
        <x:v>1.1019499313087007</x:v>
      </x:c>
      <x:c r="M737" s="17" t="n">
        <x:f>IF('계산 과정'!$L$6,IF(J737&lt;=0,0,IF(AND(ABS(K737)&lt;='계산 과정'!$D$11/2,ABS(L737)&lt;='계산 과정'!$D$12/2),1,0)),"")</x:f>
        <x:v>1</x:v>
      </x:c>
      <x:c r="N737" s="17" t="n">
        <x:f>IF('계산 과정'!$C$78,IF(AND(ISNUMBER(H737),ISNUMBER(I737),ABS(H737-'계산 과정'!$C$88)&lt;='계산 과정'!$D$23/2,ABS(I737-'계산 과정'!$C$89)&lt;='계산 과정'!$D$24/2),1,0),"")</x:f>
        <x:v>1</x:v>
      </x:c>
      <x:c r="O737" s="4" t="n">
        <x:f>IF('계산 과정'!$L$7,'계산 과정'!$C$49*('계산 과정'!$C$32-D737)+'계산 과정'!$D$49*('계산 과정'!$D$32-E737)+'계산 과정'!$E$49*'계산 과정'!$E$32,"")</x:f>
        <x:v>12.989445525795986</x:v>
      </x:c>
      <x:c r="P737" s="4" t="n">
        <x:f>IF(AND('계산 과정'!$L$7,O737&lt;&gt;0),('계산 과정'!$L$23-'계산 과정'!$C$49*D737-'계산 과정'!$D$49*E737)/O737,"")</x:f>
        <x:v>31.7942320713869</x:v>
      </x:c>
      <x:c r="Q737" s="4" t="str">
        <x:f>IF(AND(ISNUMBER(P737),P737&gt;1E-9,P737&lt;1-1E-9),'계산 과정'!$C$47*(D737-'계산 과정'!$C$50+P737*('계산 과정'!$C$32-D737))+'계산 과정'!$D$47*(E737-'계산 과정'!$D$50+P737*('계산 과정'!$D$32-E737))+'계산 과정'!$E$47*(0-'계산 과정'!$E$50+P737*('계산 과정'!$E$32-0)),"")</x:f>
      </x:c>
      <x:c r="R737" s="4" t="str">
        <x:f>IF(AND(ISNUMBER(P737),P737&gt;1E-9,P737&lt;1-1E-9),'계산 과정'!$C$48*(D737-'계산 과정'!$C$50+P737*('계산 과정'!$C$32-D737))+'계산 과정'!$D$48*(E737-'계산 과정'!$D$50+P737*('계산 과정'!$D$32-E737))+'계산 과정'!$E$48*(0-'계산 과정'!$E$50+P737*('계산 과정'!$E$32-0)),"")</x:f>
      </x:c>
      <x:c r="S737" s="17" t="n">
        <x:f>IF('계산 과정'!$C$78,IF(AND(ISNUMBER(Q737),ISNUMBER(R737),ABS(Q737-'계산 과정'!$C$88)&lt;='계산 과정'!$D$23/2,ABS(R737-'계산 과정'!$C$89)&lt;='계산 과정'!$D$24/2),1,0),"")</x:f>
        <x:v>0</x:v>
      </x:c>
      <x:c r="T737" s="4"/>
      <x:c r="U737" s="4"/>
      <x:c r="V737" s="4"/>
      <x:c r="W737" s="4"/>
      <x:c r="X737" s="4"/>
      <x:c r="Y737" s="4"/>
      <x:c r="Z737" s="4"/>
    </x:row>
    <x:row r="738" ht="23" customHeight="1">
      <x:c r="A738" s="17" t="n">
        <x:f>ROW()-6</x:f>
        <x:v>732</x:v>
      </x:c>
      <x:c r="B738" s="4" t="n">
        <x:f>IF('계산 과정'!$L$5,'계산 과정'!$L$11*SQRT((A738+0.5)/'계산 과정'!$L$30),"")</x:f>
        <x:v>89.70777754220924</x:v>
      </x:c>
      <x:c r="C738" s="4" t="n">
        <x:f>A738*PI()*(3-SQRT(5))</x:f>
        <x:v>1756.7730841613738</x:v>
      </x:c>
      <x:c r="D738" s="4" t="n">
        <x:f>IF('계산 과정'!$L$5,B738*COS(C738),"")</x:f>
        <x:v>-72.86547724533862</x:v>
      </x:c>
      <x:c r="E738" s="4" t="n">
        <x:f>IF('계산 과정'!$L$5,B738*SIN(C738),"")</x:f>
        <x:v>-52.32692975296316</x:v>
      </x:c>
      <x:c r="F738" s="4" t="n">
        <x:f>IF('계산 과정'!$L$7,'계산 과정'!$L$22+'계산 과정'!$C$49*D738+'계산 과정'!$D$49*E738,"")</x:f>
        <x:v>701.523673074573</x:v>
      </x:c>
      <x:c r="G738" s="4" t="n">
        <x:f>IF('계산 과정'!$L$7,IF(ABS(F738)&gt;=1E-12*MAX(1,SQRT((D738-'계산 과정'!$C$33)^2+(E738-'계산 과정'!$D$33)^2+'계산 과정'!$E$33^2)),('계산 과정'!$L$23-'계산 과정'!$C$49*D738-'계산 과정'!$D$49*E738)/F738,""),"")</x:f>
        <x:v>0.49674207770944806</x:v>
      </x:c>
      <x:c r="H738" s="4" t="n">
        <x:f>IF(AND(ISNUMBER(G738),G738&gt;0),('계산 과정'!$D$56+'계산 과정'!$D$57*D738+'계산 과정'!$D$58*E738)/F738,"")</x:f>
        <x:v>-77.11764948885889</x:v>
      </x:c>
      <x:c r="I738" s="4" t="n">
        <x:f>IF(AND(ISNUMBER(G738),G738&gt;0),('계산 과정'!$E$56+'계산 과정'!$E$57*D738+'계산 과정'!$E$58*E738)/F738,"")</x:f>
        <x:v>-78.31991755860642</x:v>
      </x:c>
      <x:c r="J738" s="4" t="n">
        <x:f>IF('계산 과정'!$L$5,'계산 과정'!$D$6+'계산 과정'!$C$35*D738+'계산 과정'!$D$35*E738,"")</x:f>
        <x:v>701.523673074573</x:v>
      </x:c>
      <x:c r="K738" s="4" t="n">
        <x:f>IF(AND('계산 과정'!$L$6,J738&gt;0),'계산 과정'!$D$10*('계산 과정'!$C$38*(D738-'계산 과정'!$C$32)+'계산 과정'!$D$38*(E738-'계산 과정'!$D$32)-'계산 과정'!$E$38*'계산 과정'!$E$32)/J738,"")</x:f>
        <x:v>-0.5875630437246383</x:v>
      </x:c>
      <x:c r="L738" s="4" t="n">
        <x:f>IF(AND('계산 과정'!$L$6,J738&gt;0),'계산 과정'!$D$10*('계산 과정'!$C$39*(D738-'계산 과정'!$C$32)+'계산 과정'!$D$39*(E738-'계산 과정'!$D$32)-'계산 과정'!$E$39*'계산 과정'!$E$32)/J738,"")</x:f>
        <x:v>-0.596723181398906</x:v>
      </x:c>
      <x:c r="M738" s="17" t="n">
        <x:f>IF('계산 과정'!$L$6,IF(J738&lt;=0,0,IF(AND(ABS(K738)&lt;='계산 과정'!$D$11/2,ABS(L738)&lt;='계산 과정'!$D$12/2),1,0)),"")</x:f>
        <x:v>1</x:v>
      </x:c>
      <x:c r="N738" s="17" t="n">
        <x:f>IF('계산 과정'!$C$78,IF(AND(ISNUMBER(H738),ISNUMBER(I738),ABS(H738-'계산 과정'!$C$88)&lt;='계산 과정'!$D$23/2,ABS(I738-'계산 과정'!$C$89)&lt;='계산 과정'!$D$24/2),1,0),"")</x:f>
        <x:v>1</x:v>
      </x:c>
      <x:c r="O738" s="4" t="n">
        <x:f>IF('계산 과정'!$L$7,'계산 과정'!$C$49*('계산 과정'!$C$32-D738)+'계산 과정'!$D$49*('계산 과정'!$D$32-E738)+'계산 과정'!$E$49*'계산 과정'!$E$32,"")</x:f>
        <x:v>-51.52367307457291</x:v>
      </x:c>
      <x:c r="P738" s="4" t="n">
        <x:f>IF(AND('계산 과정'!$L$7,O738&lt;&gt;0),('계산 과정'!$L$23-'계산 과정'!$C$49*D738-'계산 과정'!$D$49*E738)/O738,"")</x:f>
        <x:v>-6.763421668735824</x:v>
      </x:c>
      <x:c r="Q738" s="4" t="str">
        <x:f>IF(AND(ISNUMBER(P738),P738&gt;1E-9,P738&lt;1-1E-9),'계산 과정'!$C$47*(D738-'계산 과정'!$C$50+P738*('계산 과정'!$C$32-D738))+'계산 과정'!$D$47*(E738-'계산 과정'!$D$50+P738*('계산 과정'!$D$32-E738))+'계산 과정'!$E$47*(0-'계산 과정'!$E$50+P738*('계산 과정'!$E$32-0)),"")</x:f>
      </x:c>
      <x:c r="R738" s="4" t="str">
        <x:f>IF(AND(ISNUMBER(P738),P738&gt;1E-9,P738&lt;1-1E-9),'계산 과정'!$C$48*(D738-'계산 과정'!$C$50+P738*('계산 과정'!$C$32-D738))+'계산 과정'!$D$48*(E738-'계산 과정'!$D$50+P738*('계산 과정'!$D$32-E738))+'계산 과정'!$E$48*(0-'계산 과정'!$E$50+P738*('계산 과정'!$E$32-0)),"")</x:f>
      </x:c>
      <x:c r="S738" s="17" t="n">
        <x:f>IF('계산 과정'!$C$78,IF(AND(ISNUMBER(Q738),ISNUMBER(R738),ABS(Q738-'계산 과정'!$C$88)&lt;='계산 과정'!$D$23/2,ABS(R738-'계산 과정'!$C$89)&lt;='계산 과정'!$D$24/2),1,0),"")</x:f>
        <x:v>0</x:v>
      </x:c>
      <x:c r="T738" s="4"/>
      <x:c r="U738" s="4"/>
      <x:c r="V738" s="4"/>
      <x:c r="W738" s="4"/>
      <x:c r="X738" s="4"/>
      <x:c r="Y738" s="4"/>
      <x:c r="Z738" s="4"/>
    </x:row>
    <x:row r="739" ht="23" customHeight="1">
      <x:c r="A739" s="17" t="n">
        <x:f>ROW()-6</x:f>
        <x:v>733</x:v>
      </x:c>
      <x:c r="B739" s="4" t="n">
        <x:f>IF('계산 과정'!$L$5,'계산 과정'!$L$11*SQRT((A739+0.5)/'계산 과정'!$L$30),"")</x:f>
        <x:v>89.76899063533855</x:v>
      </x:c>
      <x:c r="C739" s="4" t="n">
        <x:f>A739*PI()*(3-SQRT(5))</x:f>
        <x:v>1759.1730473911025</x:v>
      </x:c>
      <x:c r="D739" s="4" t="n">
        <x:f>IF('계산 과정'!$L$5,B739*COS(C739),"")</x:f>
        <x:v>89.13584974071244</x:v>
      </x:c>
      <x:c r="E739" s="4" t="n">
        <x:f>IF('계산 과정'!$L$5,B739*SIN(C739),"")</x:f>
        <x:v>-10.642930549836029</x:v>
      </x:c>
      <x:c r="F739" s="4" t="n">
        <x:f>IF('계산 과정'!$L$7,'계산 과정'!$L$22+'계산 과정'!$C$49*D739+'계산 과정'!$D$49*E739,"")</x:f>
        <x:v>586.9714362015171</x:v>
      </x:c>
      <x:c r="G739" s="4" t="n">
        <x:f>IF('계산 과정'!$L$7,IF(ABS(F739)&gt;=1E-12*MAX(1,SQRT((D739-'계산 과정'!$C$33)^2+(E739-'계산 과정'!$D$33)^2+'계산 과정'!$E$33^2)),('계산 과정'!$L$23-'계산 과정'!$C$49*D739-'계산 과정'!$D$49*E739)/F739,""),"")</x:f>
        <x:v>0.7888434346906065</x:v>
      </x:c>
      <x:c r="H739" s="4" t="n">
        <x:f>IF(AND(ISNUMBER(G739),G739&gt;0),('계산 과정'!$D$56+'계산 과정'!$D$57*D739+'계산 과정'!$D$58*E739)/F739,"")</x:f>
        <x:v>112.74823254889412</x:v>
      </x:c>
      <x:c r="I739" s="4" t="n">
        <x:f>IF(AND(ISNUMBER(G739),G739&gt;0),('계산 과정'!$E$56+'계산 과정'!$E$57*D739+'계산 과정'!$E$58*E739)/F739,"")</x:f>
        <x:v>-19.038536439942266</x:v>
      </x:c>
      <x:c r="J739" s="4" t="n">
        <x:f>IF('계산 과정'!$L$5,'계산 과정'!$D$6+'계산 과정'!$C$35*D739+'계산 과정'!$D$35*E739,"")</x:f>
        <x:v>586.9714362015171</x:v>
      </x:c>
      <x:c r="K739" s="4" t="n">
        <x:f>IF(AND('계산 과정'!$L$6,J739&gt;0),'계산 과정'!$D$10*('계산 과정'!$C$38*(D739-'계산 과정'!$C$32)+'계산 과정'!$D$38*(E739-'계산 과정'!$D$32)-'계산 과정'!$E$38*'계산 과정'!$E$32)/J739,"")</x:f>
        <x:v>0.8590341527534798</x:v>
      </x:c>
      <x:c r="L739" s="4" t="n">
        <x:f>IF(AND('계산 과정'!$L$6,J739&gt;0),'계산 과정'!$D$10*('계산 과정'!$C$39*(D739-'계산 과정'!$C$32)+'계산 과정'!$D$39*(E739-'계산 과정'!$D$32)-'계산 과정'!$E$39*'계산 과정'!$E$32)/J739,"")</x:f>
        <x:v>-0.14505551573289346</x:v>
      </x:c>
      <x:c r="M739" s="17" t="n">
        <x:f>IF('계산 과정'!$L$6,IF(J739&lt;=0,0,IF(AND(ABS(K739)&lt;='계산 과정'!$D$11/2,ABS(L739)&lt;='계산 과정'!$D$12/2),1,0)),"")</x:f>
        <x:v>1</x:v>
      </x:c>
      <x:c r="N739" s="17" t="n">
        <x:f>IF('계산 과정'!$C$78,IF(AND(ISNUMBER(H739),ISNUMBER(I739),ABS(H739-'계산 과정'!$C$88)&lt;='계산 과정'!$D$23/2,ABS(I739-'계산 과정'!$C$89)&lt;='계산 과정'!$D$24/2),1,0),"")</x:f>
        <x:v>1</x:v>
      </x:c>
      <x:c r="O739" s="4" t="n">
        <x:f>IF('계산 과정'!$L$7,'계산 과정'!$C$49*('계산 과정'!$C$32-D739)+'계산 과정'!$D$49*('계산 과정'!$D$32-E739)+'계산 과정'!$E$49*'계산 과정'!$E$32,"")</x:f>
        <x:v>63.02856379848305</x:v>
      </x:c>
      <x:c r="P739" s="4" t="n">
        <x:f>IF(AND('계산 과정'!$L$7,O739&lt;&gt;0),('계산 과정'!$L$23-'계산 과정'!$C$49*D739-'계산 과정'!$D$49*E739)/O739,"")</x:f>
        <x:v>7.346328964100987</x:v>
      </x:c>
      <x:c r="Q739" s="4" t="str">
        <x:f>IF(AND(ISNUMBER(P739),P739&gt;1E-9,P739&lt;1-1E-9),'계산 과정'!$C$47*(D739-'계산 과정'!$C$50+P739*('계산 과정'!$C$32-D739))+'계산 과정'!$D$47*(E739-'계산 과정'!$D$50+P739*('계산 과정'!$D$32-E739))+'계산 과정'!$E$47*(0-'계산 과정'!$E$50+P739*('계산 과정'!$E$32-0)),"")</x:f>
      </x:c>
      <x:c r="R739" s="4" t="str">
        <x:f>IF(AND(ISNUMBER(P739),P739&gt;1E-9,P739&lt;1-1E-9),'계산 과정'!$C$48*(D739-'계산 과정'!$C$50+P739*('계산 과정'!$C$32-D739))+'계산 과정'!$D$48*(E739-'계산 과정'!$D$50+P739*('계산 과정'!$D$32-E739))+'계산 과정'!$E$48*(0-'계산 과정'!$E$50+P739*('계산 과정'!$E$32-0)),"")</x:f>
      </x:c>
      <x:c r="S739" s="17" t="n">
        <x:f>IF('계산 과정'!$C$78,IF(AND(ISNUMBER(Q739),ISNUMBER(R739),ABS(Q739-'계산 과정'!$C$88)&lt;='계산 과정'!$D$23/2,ABS(R739-'계산 과정'!$C$89)&lt;='계산 과정'!$D$24/2),1,0),"")</x:f>
        <x:v>0</x:v>
      </x:c>
      <x:c r="T739" s="4"/>
      <x:c r="U739" s="4"/>
      <x:c r="V739" s="4"/>
      <x:c r="W739" s="4"/>
      <x:c r="X739" s="4"/>
      <x:c r="Y739" s="4"/>
      <x:c r="Z739" s="4"/>
    </x:row>
    <x:row r="740" ht="23" customHeight="1">
      <x:c r="A740" s="17" t="n">
        <x:f>ROW()-6</x:f>
        <x:v>734</x:v>
      </x:c>
      <x:c r="B740" s="4" t="n">
        <x:f>IF('계산 과정'!$L$5,'계산 과정'!$L$11*SQRT((A740+0.5)/'계산 과정'!$L$30),"")</x:f>
        <x:v>89.83016201595375</x:v>
      </x:c>
      <x:c r="C740" s="4" t="n">
        <x:f>A740*PI()*(3-SQRT(5))</x:f>
        <x:v>1761.5730106208314</x:v>
      </x:c>
      <x:c r="D740" s="4" t="n">
        <x:f>IF('계산 과정'!$L$5,B740*COS(C740),"")</x:f>
        <x:v>-58.57669402962225</x:v>
      </x:c>
      <x:c r="E740" s="4" t="n">
        <x:f>IF('계산 과정'!$L$5,B740*SIN(C740),"")</x:f>
        <x:v>68.10454408020449</x:v>
      </x:c>
      <x:c r="F740" s="4" t="n">
        <x:f>IF('계산 과정'!$L$7,'계산 과정'!$L$22+'계산 과정'!$C$49*D740+'계산 과정'!$D$49*E740,"")</x:f>
        <x:v>691.4199775678354</x:v>
      </x:c>
      <x:c r="G740" s="4" t="n">
        <x:f>IF('계산 과정'!$L$7,IF(ABS(F740)&gt;=1E-12*MAX(1,SQRT((D740-'계산 과정'!$C$33)^2+(E740-'계산 과정'!$D$33)^2+'계산 과정'!$E$33^2)),('계산 과정'!$L$23-'계산 과정'!$C$49*D740-'계산 과정'!$D$49*E740)/F740,""),"")</x:f>
        <x:v>0.5186139163833811</x:v>
      </x:c>
      <x:c r="H740" s="4" t="n">
        <x:f>IF(AND(ISNUMBER(G740),G740&gt;0),('계산 과정'!$D$56+'계산 과정'!$D$57*D740+'계산 과정'!$D$58*E740)/F740,"")</x:f>
        <x:v>-62.90095435080249</x:v>
      </x:c>
      <x:c r="I740" s="4" t="n">
        <x:f>IF(AND(ISNUMBER(G740),G740&gt;0),('계산 과정'!$E$56+'계산 과정'!$E$57*D740+'계산 과정'!$E$58*E740)/F740,"")</x:f>
        <x:v>103.42450840914395</x:v>
      </x:c>
      <x:c r="J740" s="4" t="n">
        <x:f>IF('계산 과정'!$L$5,'계산 과정'!$D$6+'계산 과정'!$C$35*D740+'계산 과정'!$D$35*E740,"")</x:f>
        <x:v>691.4199775678354</x:v>
      </x:c>
      <x:c r="K740" s="4" t="n">
        <x:f>IF(AND('계산 과정'!$L$6,J740&gt;0),'계산 과정'!$D$10*('계산 과정'!$C$38*(D740-'계산 과정'!$C$32)+'계산 과정'!$D$38*(E740-'계산 과정'!$D$32)-'계산 과정'!$E$38*'계산 과정'!$E$32)/J740,"")</x:f>
        <x:v>-0.4792453664823035</x:v>
      </x:c>
      <x:c r="L740" s="4" t="n">
        <x:f>IF(AND('계산 과정'!$L$6,J740&gt;0),'계산 과정'!$D$10*('계산 과정'!$C$39*(D740-'계산 과정'!$C$32)+'계산 과정'!$D$39*(E740-'계산 과정'!$D$32)-'계산 과정'!$E$39*'계산 과정'!$E$32)/J740,"")</x:f>
        <x:v>0.7879962545458586</x:v>
      </x:c>
      <x:c r="M740" s="17" t="n">
        <x:f>IF('계산 과정'!$L$6,IF(J740&lt;=0,0,IF(AND(ABS(K740)&lt;='계산 과정'!$D$11/2,ABS(L740)&lt;='계산 과정'!$D$12/2),1,0)),"")</x:f>
        <x:v>1</x:v>
      </x:c>
      <x:c r="N740" s="17" t="n">
        <x:f>IF('계산 과정'!$C$78,IF(AND(ISNUMBER(H740),ISNUMBER(I740),ABS(H740-'계산 과정'!$C$88)&lt;='계산 과정'!$D$23/2,ABS(I740-'계산 과정'!$C$89)&lt;='계산 과정'!$D$24/2),1,0),"")</x:f>
        <x:v>1</x:v>
      </x:c>
      <x:c r="O740" s="4" t="n">
        <x:f>IF('계산 과정'!$L$7,'계산 과정'!$C$49*('계산 과정'!$C$32-D740)+'계산 과정'!$D$49*('계산 과정'!$D$32-E740)+'계산 과정'!$E$49*'계산 과정'!$E$32,"")</x:f>
        <x:v>-41.4199775678353</x:v>
      </x:c>
      <x:c r="P740" s="4" t="n">
        <x:f>IF(AND('계산 과정'!$L$7,O740&lt;&gt;0),('계산 과정'!$L$23-'계산 과정'!$C$49*D740-'계산 과정'!$D$49*E740)/O740,"")</x:f>
        <x:v>-8.65717567917323</x:v>
      </x:c>
      <x:c r="Q740" s="4" t="str">
        <x:f>IF(AND(ISNUMBER(P740),P740&gt;1E-9,P740&lt;1-1E-9),'계산 과정'!$C$47*(D740-'계산 과정'!$C$50+P740*('계산 과정'!$C$32-D740))+'계산 과정'!$D$47*(E740-'계산 과정'!$D$50+P740*('계산 과정'!$D$32-E740))+'계산 과정'!$E$47*(0-'계산 과정'!$E$50+P740*('계산 과정'!$E$32-0)),"")</x:f>
      </x:c>
      <x:c r="R740" s="4" t="str">
        <x:f>IF(AND(ISNUMBER(P740),P740&gt;1E-9,P740&lt;1-1E-9),'계산 과정'!$C$48*(D740-'계산 과정'!$C$50+P740*('계산 과정'!$C$32-D740))+'계산 과정'!$D$48*(E740-'계산 과정'!$D$50+P740*('계산 과정'!$D$32-E740))+'계산 과정'!$E$48*(0-'계산 과정'!$E$50+P740*('계산 과정'!$E$32-0)),"")</x:f>
      </x:c>
      <x:c r="S740" s="17" t="n">
        <x:f>IF('계산 과정'!$C$78,IF(AND(ISNUMBER(Q740),ISNUMBER(R740),ABS(Q740-'계산 과정'!$C$88)&lt;='계산 과정'!$D$23/2,ABS(R740-'계산 과정'!$C$89)&lt;='계산 과정'!$D$24/2),1,0),"")</x:f>
        <x:v>0</x:v>
      </x:c>
      <x:c r="T740" s="4"/>
      <x:c r="U740" s="4"/>
      <x:c r="V740" s="4"/>
      <x:c r="W740" s="4"/>
      <x:c r="X740" s="4"/>
      <x:c r="Y740" s="4"/>
      <x:c r="Z740" s="4"/>
    </x:row>
    <x:row r="741" ht="23" customHeight="1">
      <x:c r="A741" s="17" t="n">
        <x:f>ROW()-6</x:f>
        <x:v>735</x:v>
      </x:c>
      <x:c r="B741" s="4" t="n">
        <x:f>IF('계산 과정'!$L$5,'계산 과정'!$L$11*SQRT((A741+0.5)/'계산 과정'!$L$30),"")</x:f>
        <x:v>89.89129176921143</x:v>
      </x:c>
      <x:c r="C741" s="4" t="n">
        <x:f>A741*PI()*(3-SQRT(5))</x:f>
        <x:v>1763.9729738505598</x:v>
      </x:c>
      <x:c r="D741" s="4" t="n">
        <x:f>IF('계산 과정'!$L$5,B741*COS(C741),"")</x:f>
        <x:v>-2.813240481680797</x:v>
      </x:c>
      <x:c r="E741" s="4" t="n">
        <x:f>IF('계산 과정'!$L$5,B741*SIN(C741),"")</x:f>
        <x:v>-89.84725935680916</x:v>
      </x:c>
      <x:c r="F741" s="4" t="n">
        <x:f>IF('계산 과정'!$L$7,'계산 과정'!$L$22+'계산 과정'!$C$49*D741+'계산 과정'!$D$49*E741,"")</x:f>
        <x:v>651.989261421705</x:v>
      </x:c>
      <x:c r="G741" s="4" t="n">
        <x:f>IF('계산 과정'!$L$7,IF(ABS(F741)&gt;=1E-12*MAX(1,SQRT((D741-'계산 과정'!$C$33)^2+(E741-'계산 과정'!$D$33)^2+'계산 과정'!$E$33^2)),('계산 과정'!$L$23-'계산 과정'!$C$49*D741-'계산 과정'!$D$49*E741)/F741,""),"")</x:f>
        <x:v>0.6104559724042182</x:v>
      </x:c>
      <x:c r="H741" s="4" t="n">
        <x:f>IF(AND(ISNUMBER(G741),G741&gt;0),('계산 과정'!$D$56+'계산 과정'!$D$57*D741+'계산 과정'!$D$58*E741)/F741,"")</x:f>
        <x:v>-3.2036179372582394</x:v>
      </x:c>
      <x:c r="I741" s="4" t="n">
        <x:f>IF(AND(ISNUMBER(G741),G741&gt;0),('계산 과정'!$E$56+'계산 과정'!$E$57*D741+'계산 과정'!$E$58*E741)/F741,"")</x:f>
        <x:v>-144.6950554353241</x:v>
      </x:c>
      <x:c r="J741" s="4" t="n">
        <x:f>IF('계산 과정'!$L$5,'계산 과정'!$D$6+'계산 과정'!$C$35*D741+'계산 과정'!$D$35*E741,"")</x:f>
        <x:v>651.989261421705</x:v>
      </x:c>
      <x:c r="K741" s="4" t="n">
        <x:f>IF(AND('계산 과정'!$L$6,J741&gt;0),'계산 과정'!$D$10*('계산 과정'!$C$38*(D741-'계산 과정'!$C$32)+'계산 과정'!$D$38*(E741-'계산 과정'!$D$32)-'계산 과정'!$E$38*'계산 과정'!$E$32)/J741,"")</x:f>
        <x:v>-0.024408517617204868</x:v>
      </x:c>
      <x:c r="L741" s="4" t="n">
        <x:f>IF(AND('계산 과정'!$L$6,J741&gt;0),'계산 과정'!$D$10*('계산 과정'!$C$39*(D741-'계산 과정'!$C$32)+'계산 과정'!$D$39*(E741-'계산 과정'!$D$32)-'계산 과정'!$E$39*'계산 과정'!$E$32)/J741,"")</x:f>
        <x:v>-1.1024385176024694</x:v>
      </x:c>
      <x:c r="M741" s="17" t="n">
        <x:f>IF('계산 과정'!$L$6,IF(J741&lt;=0,0,IF(AND(ABS(K741)&lt;='계산 과정'!$D$11/2,ABS(L741)&lt;='계산 과정'!$D$12/2),1,0)),"")</x:f>
        <x:v>1</x:v>
      </x:c>
      <x:c r="N741" s="17" t="n">
        <x:f>IF('계산 과정'!$C$78,IF(AND(ISNUMBER(H741),ISNUMBER(I741),ABS(H741-'계산 과정'!$C$88)&lt;='계산 과정'!$D$23/2,ABS(I741-'계산 과정'!$C$89)&lt;='계산 과정'!$D$24/2),1,0),"")</x:f>
        <x:v>1</x:v>
      </x:c>
      <x:c r="O741" s="4" t="n">
        <x:f>IF('계산 과정'!$L$7,'계산 과정'!$C$49*('계산 과정'!$C$32-D741)+'계산 과정'!$D$49*('계산 과정'!$D$32-E741)+'계산 과정'!$E$49*'계산 과정'!$E$32,"")</x:f>
        <x:v>-1.9892614217048958</x:v>
      </x:c>
      <x:c r="P741" s="4" t="n">
        <x:f>IF(AND('계산 과정'!$L$7,O741&lt;&gt;0),('계산 과정'!$L$23-'계산 과정'!$C$49*D741-'계산 과정'!$D$49*E741)/O741,"")</x:f>
        <x:v>-200.07965480835597</x:v>
      </x:c>
      <x:c r="Q741" s="4" t="str">
        <x:f>IF(AND(ISNUMBER(P741),P741&gt;1E-9,P741&lt;1-1E-9),'계산 과정'!$C$47*(D741-'계산 과정'!$C$50+P741*('계산 과정'!$C$32-D741))+'계산 과정'!$D$47*(E741-'계산 과정'!$D$50+P741*('계산 과정'!$D$32-E741))+'계산 과정'!$E$47*(0-'계산 과정'!$E$50+P741*('계산 과정'!$E$32-0)),"")</x:f>
      </x:c>
      <x:c r="R741" s="4" t="str">
        <x:f>IF(AND(ISNUMBER(P741),P741&gt;1E-9,P741&lt;1-1E-9),'계산 과정'!$C$48*(D741-'계산 과정'!$C$50+P741*('계산 과정'!$C$32-D741))+'계산 과정'!$D$48*(E741-'계산 과정'!$D$50+P741*('계산 과정'!$D$32-E741))+'계산 과정'!$E$48*(0-'계산 과정'!$E$50+P741*('계산 과정'!$E$32-0)),"")</x:f>
      </x:c>
      <x:c r="S741" s="17" t="n">
        <x:f>IF('계산 과정'!$C$78,IF(AND(ISNUMBER(Q741),ISNUMBER(R741),ABS(Q741-'계산 과정'!$C$88)&lt;='계산 과정'!$D$23/2,ABS(R741-'계산 과정'!$C$89)&lt;='계산 과정'!$D$24/2),1,0),"")</x:f>
        <x:v>0</x:v>
      </x:c>
      <x:c r="T741" s="4"/>
      <x:c r="U741" s="4"/>
      <x:c r="V741" s="4"/>
      <x:c r="W741" s="4"/>
      <x:c r="X741" s="4"/>
      <x:c r="Y741" s="4"/>
      <x:c r="Z741" s="4"/>
    </x:row>
    <x:row r="742" ht="23" customHeight="1">
      <x:c r="A742" s="17" t="n">
        <x:f>ROW()-6</x:f>
        <x:v>736</x:v>
      </x:c>
      <x:c r="B742" s="4" t="n">
        <x:f>IF('계산 과정'!$L$5,'계산 과정'!$L$11*SQRT((A742+0.5)/'계산 과정'!$L$30),"")</x:f>
        <x:v>89.95237997997884</x:v>
      </x:c>
      <x:c r="C742" s="4" t="n">
        <x:f>A742*PI()*(3-SQRT(5))</x:f>
        <x:v>1766.3729370802885</x:v>
      </x:c>
      <x:c r="D742" s="4" t="n">
        <x:f>IF('계산 과정'!$L$5,B742*COS(C742),"")</x:f>
        <x:v>62.80800163510715</x:v>
      </x:c>
      <x:c r="E742" s="4" t="n">
        <x:f>IF('계산 과정'!$L$5,B742*SIN(C742),"")</x:f>
        <x:v>64.39398725554176</x:v>
      </x:c>
      <x:c r="F742" s="4" t="n">
        <x:f>IF('계산 과정'!$L$7,'계산 과정'!$L$22+'계산 과정'!$C$49*D742+'계산 과정'!$D$49*E742,"")</x:f>
        <x:v>605.58803613104</x:v>
      </x:c>
      <x:c r="G742" s="4" t="n">
        <x:f>IF('계산 과정'!$L$7,IF(ABS(F742)&gt;=1E-12*MAX(1,SQRT((D742-'계산 과정'!$C$33)^2+(E742-'계산 과정'!$D$33)^2+'계산 과정'!$E$33^2)),('계산 과정'!$L$23-'계산 과정'!$C$49*D742-'계산 과정'!$D$49*E742)/F742,""),"")</x:f>
        <x:v>0.7338519543883395</x:v>
      </x:c>
      <x:c r="H742" s="4" t="n">
        <x:f>IF(AND(ISNUMBER(G742),G742&gt;0),('계산 과정'!$D$56+'계산 과정'!$D$57*D742+'계산 과정'!$D$58*E742)/F742,"")</x:f>
        <x:v>77.00377035242057</x:v>
      </x:c>
      <x:c r="I742" s="4" t="n">
        <x:f>IF(AND(ISNUMBER(G742),G742&gt;0),('계산 과정'!$E$56+'계산 과정'!$E$57*D742+'계산 과정'!$E$58*E742)/F742,"")</x:f>
        <x:v>111.64964065387892</x:v>
      </x:c>
      <x:c r="J742" s="4" t="n">
        <x:f>IF('계산 과정'!$L$5,'계산 과정'!$D$6+'계산 과정'!$C$35*D742+'계산 과정'!$D$35*E742,"")</x:f>
        <x:v>605.58803613104</x:v>
      </x:c>
      <x:c r="K742" s="4" t="n">
        <x:f>IF(AND('계산 과정'!$L$6,J742&gt;0),'계산 과정'!$D$10*('계산 과정'!$C$38*(D742-'계산 과정'!$C$32)+'계산 과정'!$D$38*(E742-'계산 과정'!$D$32)-'계산 과정'!$E$38*'계산 과정'!$E$32)/J742,"")</x:f>
        <x:v>0.5866953931613001</x:v>
      </x:c>
      <x:c r="L742" s="4" t="n">
        <x:f>IF(AND('계산 과정'!$L$6,J742&gt;0),'계산 과정'!$D$10*('계산 과정'!$C$39*(D742-'계산 과정'!$C$32)+'계산 과정'!$D$39*(E742-'계산 과정'!$D$32)-'계산 과정'!$E$39*'계산 과정'!$E$32)/J742,"")</x:f>
        <x:v>0.8506639287914584</x:v>
      </x:c>
      <x:c r="M742" s="17" t="n">
        <x:f>IF('계산 과정'!$L$6,IF(J742&lt;=0,0,IF(AND(ABS(K742)&lt;='계산 과정'!$D$11/2,ABS(L742)&lt;='계산 과정'!$D$12/2),1,0)),"")</x:f>
        <x:v>1</x:v>
      </x:c>
      <x:c r="N742" s="17" t="n">
        <x:f>IF('계산 과정'!$C$78,IF(AND(ISNUMBER(H742),ISNUMBER(I742),ABS(H742-'계산 과정'!$C$88)&lt;='계산 과정'!$D$23/2,ABS(I742-'계산 과정'!$C$89)&lt;='계산 과정'!$D$24/2),1,0),"")</x:f>
        <x:v>1</x:v>
      </x:c>
      <x:c r="O742" s="4" t="n">
        <x:f>IF('계산 과정'!$L$7,'계산 과정'!$C$49*('계산 과정'!$C$32-D742)+'계산 과정'!$D$49*('계산 과정'!$D$32-E742)+'계산 과정'!$E$49*'계산 과정'!$E$32,"")</x:f>
        <x:v>44.41196386896013</x:v>
      </x:c>
      <x:c r="P742" s="4" t="n">
        <x:f>IF(AND('계산 과정'!$L$7,O742&lt;&gt;0),('계산 과정'!$L$23-'계산 과정'!$C$49*D742-'계산 과정'!$D$49*E742)/O742,"")</x:f>
        <x:v>10.006582126839094</x:v>
      </x:c>
      <x:c r="Q742" s="4" t="str">
        <x:f>IF(AND(ISNUMBER(P742),P742&gt;1E-9,P742&lt;1-1E-9),'계산 과정'!$C$47*(D742-'계산 과정'!$C$50+P742*('계산 과정'!$C$32-D742))+'계산 과정'!$D$47*(E742-'계산 과정'!$D$50+P742*('계산 과정'!$D$32-E742))+'계산 과정'!$E$47*(0-'계산 과정'!$E$50+P742*('계산 과정'!$E$32-0)),"")</x:f>
      </x:c>
      <x:c r="R742" s="4" t="str">
        <x:f>IF(AND(ISNUMBER(P742),P742&gt;1E-9,P742&lt;1-1E-9),'계산 과정'!$C$48*(D742-'계산 과정'!$C$50+P742*('계산 과정'!$C$32-D742))+'계산 과정'!$D$48*(E742-'계산 과정'!$D$50+P742*('계산 과정'!$D$32-E742))+'계산 과정'!$E$48*(0-'계산 과정'!$E$50+P742*('계산 과정'!$E$32-0)),"")</x:f>
      </x:c>
      <x:c r="S742" s="17" t="n">
        <x:f>IF('계산 과정'!$C$78,IF(AND(ISNUMBER(Q742),ISNUMBER(R742),ABS(Q742-'계산 과정'!$C$88)&lt;='계산 과정'!$D$23/2,ABS(R742-'계산 과정'!$C$89)&lt;='계산 과정'!$D$24/2),1,0),"")</x:f>
        <x:v>0</x:v>
      </x:c>
      <x:c r="T742" s="4"/>
      <x:c r="U742" s="4"/>
      <x:c r="V742" s="4"/>
      <x:c r="W742" s="4"/>
      <x:c r="X742" s="4"/>
      <x:c r="Y742" s="4"/>
      <x:c r="Z742" s="4"/>
    </x:row>
    <x:row r="743" ht="23" customHeight="1">
      <x:c r="A743" s="17" t="n">
        <x:f>ROW()-6</x:f>
        <x:v>737</x:v>
      </x:c>
      <x:c r="B743" s="4" t="n">
        <x:f>IF('계산 과정'!$L$5,'계산 과정'!$L$11*SQRT((A743+0.5)/'계산 과정'!$L$30),"")</x:f>
        <x:v>90.01342673283526</x:v>
      </x:c>
      <x:c r="C743" s="4" t="n">
        <x:f>A743*PI()*(3-SQRT(5))</x:f>
        <x:v>1768.7729003100173</x:v>
      </x:c>
      <x:c r="D743" s="4" t="n">
        <x:f>IF('계산 과정'!$L$5,B743*COS(C743),"")</x:f>
        <x:v>-89.8711293472656</x:v>
      </x:c>
      <x:c r="E743" s="4" t="n">
        <x:f>IF('계산 과정'!$L$5,B743*SIN(C743),"")</x:f>
        <x:v>-5.059357867808602</x:v>
      </x:c>
      <x:c r="F743" s="4" t="n">
        <x:f>IF('계산 과정'!$L$7,'계산 과정'!$L$22+'계산 과정'!$C$49*D743+'계산 과정'!$D$49*E743,"")</x:f>
        <x:v>713.5484849943448</x:v>
      </x:c>
      <x:c r="G743" s="4" t="n">
        <x:f>IF('계산 과정'!$L$7,IF(ABS(F743)&gt;=1E-12*MAX(1,SQRT((D743-'계산 과정'!$C$33)^2+(E743-'계산 과정'!$D$33)^2+'계산 과정'!$E$33^2)),('계산 과정'!$L$23-'계산 과정'!$C$49*D743-'계산 과정'!$D$49*E743)/F743,""),"")</x:f>
        <x:v>0.47151878545200987</x:v>
      </x:c>
      <x:c r="H743" s="4" t="n">
        <x:f>IF(AND(ISNUMBER(G743),G743&gt;0),('계산 과정'!$D$56+'계산 과정'!$D$57*D743+'계산 과정'!$D$58*E743)/F743,"")</x:f>
        <x:v>-93.51278945619373</x:v>
      </x:c>
      <x:c r="I743" s="4" t="n">
        <x:f>IF(AND(ISNUMBER(G743),G743&gt;0),('계산 과정'!$E$56+'계산 과정'!$E$57*D743+'계산 과정'!$E$58*E743)/F743,"")</x:f>
        <x:v>-7.444940144804785</x:v>
      </x:c>
      <x:c r="J743" s="4" t="n">
        <x:f>IF('계산 과정'!$L$5,'계산 과정'!$D$6+'계산 과정'!$C$35*D743+'계산 과정'!$D$35*E743,"")</x:f>
        <x:v>713.5484849943448</x:v>
      </x:c>
      <x:c r="K743" s="4" t="n">
        <x:f>IF(AND('계산 과정'!$L$6,J743&gt;0),'계산 과정'!$D$10*('계산 과정'!$C$38*(D743-'계산 과정'!$C$32)+'계산 과정'!$D$38*(E743-'계산 과정'!$D$32)-'계산 과정'!$E$38*'계산 과정'!$E$32)/J743,"")</x:f>
        <x:v>-0.7124783958567126</x:v>
      </x:c>
      <x:c r="L743" s="4" t="n">
        <x:f>IF(AND('계산 과정'!$L$6,J743&gt;0),'계산 과정'!$D$10*('계산 과정'!$C$39*(D743-'계산 과정'!$C$32)+'계산 과정'!$D$39*(E743-'계산 과정'!$D$32)-'계산 과정'!$E$39*'계산 과정'!$E$32)/J743,"")</x:f>
        <x:v>-0.056723353484226934</x:v>
      </x:c>
      <x:c r="M743" s="17" t="n">
        <x:f>IF('계산 과정'!$L$6,IF(J743&lt;=0,0,IF(AND(ABS(K743)&lt;='계산 과정'!$D$11/2,ABS(L743)&lt;='계산 과정'!$D$12/2),1,0)),"")</x:f>
        <x:v>1</x:v>
      </x:c>
      <x:c r="N743" s="17" t="n">
        <x:f>IF('계산 과정'!$C$78,IF(AND(ISNUMBER(H743),ISNUMBER(I743),ABS(H743-'계산 과정'!$C$88)&lt;='계산 과정'!$D$23/2,ABS(I743-'계산 과정'!$C$89)&lt;='계산 과정'!$D$24/2),1,0),"")</x:f>
        <x:v>1</x:v>
      </x:c>
      <x:c r="O743" s="4" t="n">
        <x:f>IF('계산 과정'!$L$7,'계산 과정'!$C$49*('계산 과정'!$C$32-D743)+'계산 과정'!$D$49*('계산 과정'!$D$32-E743)+'계산 과정'!$E$49*'계산 과정'!$E$32,"")</x:f>
        <x:v>-63.548484994344676</x:v>
      </x:c>
      <x:c r="P743" s="4" t="n">
        <x:f>IF(AND('계산 과정'!$L$7,O743&lt;&gt;0),('계산 과정'!$L$23-'계산 과정'!$C$49*D743-'계산 과정'!$D$49*E743)/O743,"")</x:f>
        <x:v>-5.294406546994735</x:v>
      </x:c>
      <x:c r="Q743" s="4" t="str">
        <x:f>IF(AND(ISNUMBER(P743),P743&gt;1E-9,P743&lt;1-1E-9),'계산 과정'!$C$47*(D743-'계산 과정'!$C$50+P743*('계산 과정'!$C$32-D743))+'계산 과정'!$D$47*(E743-'계산 과정'!$D$50+P743*('계산 과정'!$D$32-E743))+'계산 과정'!$E$47*(0-'계산 과정'!$E$50+P743*('계산 과정'!$E$32-0)),"")</x:f>
      </x:c>
      <x:c r="R743" s="4" t="str">
        <x:f>IF(AND(ISNUMBER(P743),P743&gt;1E-9,P743&lt;1-1E-9),'계산 과정'!$C$48*(D743-'계산 과정'!$C$50+P743*('계산 과정'!$C$32-D743))+'계산 과정'!$D$48*(E743-'계산 과정'!$D$50+P743*('계산 과정'!$D$32-E743))+'계산 과정'!$E$48*(0-'계산 과정'!$E$50+P743*('계산 과정'!$E$32-0)),"")</x:f>
      </x:c>
      <x:c r="S743" s="17" t="n">
        <x:f>IF('계산 과정'!$C$78,IF(AND(ISNUMBER(Q743),ISNUMBER(R743),ABS(Q743-'계산 과정'!$C$88)&lt;='계산 과정'!$D$23/2,ABS(R743-'계산 과정'!$C$89)&lt;='계산 과정'!$D$24/2),1,0),"")</x:f>
        <x:v>0</x:v>
      </x:c>
      <x:c r="T743" s="4"/>
      <x:c r="U743" s="4"/>
      <x:c r="V743" s="4"/>
      <x:c r="W743" s="4"/>
      <x:c r="X743" s="4"/>
      <x:c r="Y743" s="4"/>
      <x:c r="Z743" s="4"/>
    </x:row>
    <x:row r="744" ht="23" customHeight="1">
      <x:c r="A744" s="17" t="n">
        <x:f>ROW()-6</x:f>
        <x:v>738</x:v>
      </x:c>
      <x:c r="B744" s="4" t="n">
        <x:f>IF('계산 과정'!$L$5,'계산 과정'!$L$11*SQRT((A744+0.5)/'계산 과정'!$L$30),"")</x:f>
        <x:v>90.07443211207328</x:v>
      </x:c>
      <x:c r="C744" s="4" t="n">
        <x:f>A744*PI()*(3-SQRT(5))</x:f>
        <x:v>1771.172863539746</x:v>
      </x:c>
      <x:c r="D744" s="4" t="n">
        <x:f>IF('계산 과정'!$L$5,B744*COS(C744),"")</x:f>
        <x:v>69.7329495056484</x:v>
      </x:c>
      <x:c r="E744" s="4" t="n">
        <x:f>IF('계산 과정'!$L$5,B744*SIN(C744),"")</x:f>
        <x:v>-57.01507759843171</x:v>
      </x:c>
      <x:c r="F744" s="4" t="n">
        <x:f>IF('계산 과정'!$L$7,'계산 과정'!$L$22+'계산 과정'!$C$49*D744+'계산 과정'!$D$49*E744,"")</x:f>
        <x:v>600.6913585324169</x:v>
      </x:c>
      <x:c r="G744" s="4" t="n">
        <x:f>IF('계산 과정'!$L$7,IF(ABS(F744)&gt;=1E-12*MAX(1,SQRT((D744-'계산 과정'!$C$33)^2+(E744-'계산 과정'!$D$33)^2+'계산 과정'!$E$33^2)),('계산 과정'!$L$23-'계산 과정'!$C$49*D744-'계산 과정'!$D$49*E744)/F744,""),"")</x:f>
        <x:v>0.7479858584370425</x:v>
      </x:c>
      <x:c r="H744" s="4" t="n">
        <x:f>IF(AND(ISNUMBER(G744),G744&gt;0),('계산 과정'!$D$56+'계산 과정'!$D$57*D744+'계산 과정'!$D$58*E744)/F744,"")</x:f>
        <x:v>86.1908079840775</x:v>
      </x:c>
      <x:c r="I744" s="4" t="n">
        <x:f>IF(AND(ISNUMBER(G744),G744&gt;0),('계산 과정'!$E$56+'계산 과정'!$E$57*D744+'계산 과정'!$E$58*E744)/F744,"")</x:f>
        <x:v>-99.66154935974924</x:v>
      </x:c>
      <x:c r="J744" s="4" t="n">
        <x:f>IF('계산 과정'!$L$5,'계산 과정'!$D$6+'계산 과정'!$C$35*D744+'계산 과정'!$D$35*E744,"")</x:f>
        <x:v>600.6913585324169</x:v>
      </x:c>
      <x:c r="K744" s="4" t="n">
        <x:f>IF(AND('계산 과정'!$L$6,J744&gt;0),'계산 과정'!$D$10*('계산 과정'!$C$38*(D744-'계산 과정'!$C$32)+'계산 과정'!$D$38*(E744-'계산 과정'!$D$32)-'계산 과정'!$E$38*'계산 과정'!$E$32)/J744,"")</x:f>
        <x:v>0.6566918703548773</x:v>
      </x:c>
      <x:c r="L744" s="4" t="n">
        <x:f>IF(AND('계산 과정'!$L$6,J744&gt;0),'계산 과정'!$D$10*('계산 과정'!$C$39*(D744-'계산 과정'!$C$32)+'계산 과정'!$D$39*(E744-'계산 과정'!$D$32)-'계산 과정'!$E$39*'계산 과정'!$E$32)/J744,"")</x:f>
        <x:v>-0.7593260903599942</x:v>
      </x:c>
      <x:c r="M744" s="17" t="n">
        <x:f>IF('계산 과정'!$L$6,IF(J744&lt;=0,0,IF(AND(ABS(K744)&lt;='계산 과정'!$D$11/2,ABS(L744)&lt;='계산 과정'!$D$12/2),1,0)),"")</x:f>
        <x:v>1</x:v>
      </x:c>
      <x:c r="N744" s="17" t="n">
        <x:f>IF('계산 과정'!$C$78,IF(AND(ISNUMBER(H744),ISNUMBER(I744),ABS(H744-'계산 과정'!$C$88)&lt;='계산 과정'!$D$23/2,ABS(I744-'계산 과정'!$C$89)&lt;='계산 과정'!$D$24/2),1,0),"")</x:f>
        <x:v>1</x:v>
      </x:c>
      <x:c r="O744" s="4" t="n">
        <x:f>IF('계산 과정'!$L$7,'계산 과정'!$C$49*('계산 과정'!$C$32-D744)+'계산 과정'!$D$49*('계산 과정'!$D$32-E744)+'계산 과정'!$E$49*'계산 과정'!$E$32,"")</x:f>
        <x:v>49.30864146758324</x:v>
      </x:c>
      <x:c r="P744" s="4" t="n">
        <x:f>IF(AND('계산 과정'!$L$7,O744&lt;&gt;0),('계산 과정'!$L$23-'계산 과정'!$C$49*D744-'계산 과정'!$D$49*E744)/O744,"")</x:f>
        <x:v>9.112168335908626</x:v>
      </x:c>
      <x:c r="Q744" s="4" t="str">
        <x:f>IF(AND(ISNUMBER(P744),P744&gt;1E-9,P744&lt;1-1E-9),'계산 과정'!$C$47*(D744-'계산 과정'!$C$50+P744*('계산 과정'!$C$32-D744))+'계산 과정'!$D$47*(E744-'계산 과정'!$D$50+P744*('계산 과정'!$D$32-E744))+'계산 과정'!$E$47*(0-'계산 과정'!$E$50+P744*('계산 과정'!$E$32-0)),"")</x:f>
      </x:c>
      <x:c r="R744" s="4" t="str">
        <x:f>IF(AND(ISNUMBER(P744),P744&gt;1E-9,P744&lt;1-1E-9),'계산 과정'!$C$48*(D744-'계산 과정'!$C$50+P744*('계산 과정'!$C$32-D744))+'계산 과정'!$D$48*(E744-'계산 과정'!$D$50+P744*('계산 과정'!$D$32-E744))+'계산 과정'!$E$48*(0-'계산 과정'!$E$50+P744*('계산 과정'!$E$32-0)),"")</x:f>
      </x:c>
      <x:c r="S744" s="17" t="n">
        <x:f>IF('계산 과정'!$C$78,IF(AND(ISNUMBER(Q744),ISNUMBER(R744),ABS(Q744-'계산 과정'!$C$88)&lt;='계산 과정'!$D$23/2,ABS(R744-'계산 과정'!$C$89)&lt;='계산 과정'!$D$24/2),1,0),"")</x:f>
        <x:v>0</x:v>
      </x:c>
      <x:c r="T744" s="4"/>
      <x:c r="U744" s="4"/>
      <x:c r="V744" s="4"/>
      <x:c r="W744" s="4"/>
      <x:c r="X744" s="4"/>
      <x:c r="Y744" s="4"/>
      <x:c r="Z744" s="4"/>
    </x:row>
    <x:row r="745" ht="23" customHeight="1">
      <x:c r="A745" s="17" t="n">
        <x:f>ROW()-6</x:f>
        <x:v>739</x:v>
      </x:c>
      <x:c r="B745" s="4" t="n">
        <x:f>IF('계산 과정'!$L$5,'계산 과정'!$L$11*SQRT((A745+0.5)/'계산 과정'!$L$30),"")</x:f>
        <x:v>90.13539620170036</x:v>
      </x:c>
      <x:c r="C745" s="4" t="n">
        <x:f>A745*PI()*(3-SQRT(5))</x:f>
        <x:v>1773.5728267694744</x:v>
      </x:c>
      <x:c r="D745" s="4" t="n">
        <x:f>IF('계산 과정'!$L$5,B745*COS(C745),"")</x:f>
        <x:v>-12.914510071974032</x:v>
      </x:c>
      <x:c r="E745" s="4" t="n">
        <x:f>IF('계산 과정'!$L$5,B745*SIN(C745),"")</x:f>
        <x:v>89.20540946623349</x:v>
      </x:c>
      <x:c r="F745" s="4" t="n">
        <x:f>IF('계산 과정'!$L$7,'계산 과정'!$L$22+'계산 과정'!$C$49*D745+'계산 과정'!$D$49*E745,"")</x:f>
        <x:v>659.1319376475948</x:v>
      </x:c>
      <x:c r="G745" s="4" t="n">
        <x:f>IF('계산 과정'!$L$7,IF(ABS(F745)&gt;=1E-12*MAX(1,SQRT((D745-'계산 과정'!$C$33)^2+(E745-'계산 과정'!$D$33)^2+'계산 과정'!$E$33^2)),('계산 과정'!$L$23-'계산 과정'!$C$49*D745-'계산 과정'!$D$49*E745)/F745,""),"")</x:f>
        <x:v>0.5930042834024878</x:v>
      </x:c>
      <x:c r="H745" s="4" t="n">
        <x:f>IF(AND(ISNUMBER(G745),G745&gt;0),('계산 과정'!$D$56+'계산 과정'!$D$57*D745+'계산 과정'!$D$58*E745)/F745,"")</x:f>
        <x:v>-14.547215788383083</x:v>
      </x:c>
      <x:c r="I745" s="4" t="n">
        <x:f>IF(AND(ISNUMBER(G745),G745&gt;0),('계산 과정'!$E$56+'계산 과정'!$E$57*D745+'계산 과정'!$E$58*E745)/F745,"")</x:f>
        <x:v>142.1045993823828</x:v>
      </x:c>
      <x:c r="J745" s="4" t="n">
        <x:f>IF('계산 과정'!$L$5,'계산 과정'!$D$6+'계산 과정'!$C$35*D745+'계산 과정'!$D$35*E745,"")</x:f>
        <x:v>659.1319376475948</x:v>
      </x:c>
      <x:c r="K745" s="4" t="n">
        <x:f>IF(AND('계산 과정'!$L$6,J745&gt;0),'계산 과정'!$D$10*('계산 과정'!$C$38*(D745-'계산 과정'!$C$32)+'계산 과정'!$D$38*(E745-'계산 과정'!$D$32)-'계산 과정'!$E$38*'계산 과정'!$E$32)/J745,"")</x:f>
        <x:v>-0.11083592981625086</x:v>
      </x:c>
      <x:c r="L745" s="4" t="n">
        <x:f>IF(AND('계산 과정'!$L$6,J745&gt;0),'계산 과정'!$D$10*('계산 과정'!$C$39*(D745-'계산 과정'!$C$32)+'계산 과정'!$D$39*(E745-'계산 과정'!$D$32)-'계산 과정'!$E$39*'계산 과정'!$E$32)/J745,"")</x:f>
        <x:v>1.0827017095800593</x:v>
      </x:c>
      <x:c r="M745" s="17" t="n">
        <x:f>IF('계산 과정'!$L$6,IF(J745&lt;=0,0,IF(AND(ABS(K745)&lt;='계산 과정'!$D$11/2,ABS(L745)&lt;='계산 과정'!$D$12/2),1,0)),"")</x:f>
        <x:v>1</x:v>
      </x:c>
      <x:c r="N745" s="17" t="n">
        <x:f>IF('계산 과정'!$C$78,IF(AND(ISNUMBER(H745),ISNUMBER(I745),ABS(H745-'계산 과정'!$C$88)&lt;='계산 과정'!$D$23/2,ABS(I745-'계산 과정'!$C$89)&lt;='계산 과정'!$D$24/2),1,0),"")</x:f>
        <x:v>1</x:v>
      </x:c>
      <x:c r="O745" s="4" t="n">
        <x:f>IF('계산 과정'!$L$7,'계산 과정'!$C$49*('계산 과정'!$C$32-D745)+'계산 과정'!$D$49*('계산 과정'!$D$32-E745)+'계산 과정'!$E$49*'계산 과정'!$E$32,"")</x:f>
        <x:v>-9.131937647594668</x:v>
      </x:c>
      <x:c r="P745" s="4" t="n">
        <x:f>IF(AND('계산 과정'!$L$7,O745&lt;&gt;0),('계산 과정'!$L$23-'계산 과정'!$C$49*D745-'계산 과정'!$D$49*E745)/O745,"")</x:f>
        <x:v>-42.80231397061269</x:v>
      </x:c>
      <x:c r="Q745" s="4" t="str">
        <x:f>IF(AND(ISNUMBER(P745),P745&gt;1E-9,P745&lt;1-1E-9),'계산 과정'!$C$47*(D745-'계산 과정'!$C$50+P745*('계산 과정'!$C$32-D745))+'계산 과정'!$D$47*(E745-'계산 과정'!$D$50+P745*('계산 과정'!$D$32-E745))+'계산 과정'!$E$47*(0-'계산 과정'!$E$50+P745*('계산 과정'!$E$32-0)),"")</x:f>
      </x:c>
      <x:c r="R745" s="4" t="str">
        <x:f>IF(AND(ISNUMBER(P745),P745&gt;1E-9,P745&lt;1-1E-9),'계산 과정'!$C$48*(D745-'계산 과정'!$C$50+P745*('계산 과정'!$C$32-D745))+'계산 과정'!$D$48*(E745-'계산 과정'!$D$50+P745*('계산 과정'!$D$32-E745))+'계산 과정'!$E$48*(0-'계산 과정'!$E$50+P745*('계산 과정'!$E$32-0)),"")</x:f>
      </x:c>
      <x:c r="S745" s="17" t="n">
        <x:f>IF('계산 과정'!$C$78,IF(AND(ISNUMBER(Q745),ISNUMBER(R745),ABS(Q745-'계산 과정'!$C$88)&lt;='계산 과정'!$D$23/2,ABS(R745-'계산 과정'!$C$89)&lt;='계산 과정'!$D$24/2),1,0),"")</x:f>
        <x:v>0</x:v>
      </x:c>
      <x:c r="T745" s="4"/>
      <x:c r="U745" s="4"/>
      <x:c r="V745" s="4"/>
      <x:c r="W745" s="4"/>
      <x:c r="X745" s="4"/>
      <x:c r="Y745" s="4"/>
      <x:c r="Z745" s="4"/>
    </x:row>
    <x:row r="746" ht="23" customHeight="1">
      <x:c r="A746" s="17" t="n">
        <x:f>ROW()-6</x:f>
        <x:v>740</x:v>
      </x:c>
      <x:c r="B746" s="4" t="n">
        <x:f>IF('계산 과정'!$L$5,'계산 과정'!$L$11*SQRT((A746+0.5)/'계산 과정'!$L$30),"")</x:f>
        <x:v>90.19631908543995</x:v>
      </x:c>
      <x:c r="C746" s="4" t="n">
        <x:f>A746*PI()*(3-SQRT(5))</x:f>
        <x:v>1775.972789999203</x:v>
      </x:c>
      <x:c r="D746" s="4" t="n">
        <x:f>IF('계산 과정'!$L$5,B746*COS(C746),"")</x:f>
        <x:v>-50.768922232060426</x:v>
      </x:c>
      <x:c r="E746" s="4" t="n">
        <x:f>IF('계산 과정'!$L$5,B746*SIN(C746),"")</x:f>
        <x:v>-74.55127438184742</x:v>
      </x:c>
      <x:c r="F746" s="4" t="n">
        <x:f>IF('계산 과정'!$L$7,'계산 과정'!$L$22+'계산 과정'!$C$49*D746+'계산 과정'!$D$49*E746,"")</x:f>
        <x:v>685.8990491838224</x:v>
      </x:c>
      <x:c r="G746" s="4" t="n">
        <x:f>IF('계산 과정'!$L$7,IF(ABS(F746)&gt;=1E-12*MAX(1,SQRT((D746-'계산 과정'!$C$33)^2+(E746-'계산 과정'!$D$33)^2+'계산 과정'!$E$33^2)),('계산 과정'!$L$23-'계산 과정'!$C$49*D746-'계산 과정'!$D$49*E746)/F746,""),"")</x:f>
        <x:v>0.5308375208413473</x:v>
      </x:c>
      <x:c r="H746" s="4" t="n">
        <x:f>IF(AND(ISNUMBER(G746),G746&gt;0),('계산 과정'!$D$56+'계산 과정'!$D$57*D746+'계산 과정'!$D$58*E746)/F746,"")</x:f>
        <x:v>-54.95561145312439</x:v>
      </x:c>
      <x:c r="I746" s="4" t="n">
        <x:f>IF(AND(ISNUMBER(G746),G746&gt;0),('계산 과정'!$E$56+'계산 과정'!$E$57*D746+'계산 과정'!$E$58*E746)/F746,"")</x:f>
        <x:v>-114.12588805027035</x:v>
      </x:c>
      <x:c r="J746" s="4" t="n">
        <x:f>IF('계산 과정'!$L$5,'계산 과정'!$D$6+'계산 과정'!$C$35*D746+'계산 과정'!$D$35*E746,"")</x:f>
        <x:v>685.8990491838224</x:v>
      </x:c>
      <x:c r="K746" s="4" t="n">
        <x:f>IF(AND('계산 과정'!$L$6,J746&gt;0),'계산 과정'!$D$10*('계산 과정'!$C$38*(D746-'계산 과정'!$C$32)+'계산 과정'!$D$38*(E746-'계산 과정'!$D$32)-'계산 과정'!$E$38*'계산 과정'!$E$32)/J746,"")</x:f>
        <x:v>-0.41870942059523253</x:v>
      </x:c>
      <x:c r="L746" s="4" t="n">
        <x:f>IF(AND('계산 과정'!$L$6,J746&gt;0),'계산 과정'!$D$10*('계산 과정'!$C$39*(D746-'계산 과정'!$C$32)+'계산 과정'!$D$39*(E746-'계산 과정'!$D$32)-'계산 과정'!$E$39*'계산 과정'!$E$32)/J746,"")</x:f>
        <x:v>-0.8695305756211075</x:v>
      </x:c>
      <x:c r="M746" s="17" t="n">
        <x:f>IF('계산 과정'!$L$6,IF(J746&lt;=0,0,IF(AND(ABS(K746)&lt;='계산 과정'!$D$11/2,ABS(L746)&lt;='계산 과정'!$D$12/2),1,0)),"")</x:f>
        <x:v>1</x:v>
      </x:c>
      <x:c r="N746" s="17" t="n">
        <x:f>IF('계산 과정'!$C$78,IF(AND(ISNUMBER(H746),ISNUMBER(I746),ABS(H746-'계산 과정'!$C$88)&lt;='계산 과정'!$D$23/2,ABS(I746-'계산 과정'!$C$89)&lt;='계산 과정'!$D$24/2),1,0),"")</x:f>
        <x:v>1</x:v>
      </x:c>
      <x:c r="O746" s="4" t="n">
        <x:f>IF('계산 과정'!$L$7,'계산 과정'!$C$49*('계산 과정'!$C$32-D746)+'계산 과정'!$D$49*('계산 과정'!$D$32-E746)+'계산 과정'!$E$49*'계산 과정'!$E$32,"")</x:f>
        <x:v>-35.899049183822285</x:v>
      </x:c>
      <x:c r="P746" s="4" t="n">
        <x:f>IF(AND('계산 과정'!$L$7,O746&lt;&gt;0),('계산 과정'!$L$23-'계산 과정'!$C$49*D746-'계산 과정'!$D$49*E746)/O746,"")</x:f>
        <x:v>-10.142356388097815</x:v>
      </x:c>
      <x:c r="Q746" s="4" t="str">
        <x:f>IF(AND(ISNUMBER(P746),P746&gt;1E-9,P746&lt;1-1E-9),'계산 과정'!$C$47*(D746-'계산 과정'!$C$50+P746*('계산 과정'!$C$32-D746))+'계산 과정'!$D$47*(E746-'계산 과정'!$D$50+P746*('계산 과정'!$D$32-E746))+'계산 과정'!$E$47*(0-'계산 과정'!$E$50+P746*('계산 과정'!$E$32-0)),"")</x:f>
      </x:c>
      <x:c r="R746" s="4" t="str">
        <x:f>IF(AND(ISNUMBER(P746),P746&gt;1E-9,P746&lt;1-1E-9),'계산 과정'!$C$48*(D746-'계산 과정'!$C$50+P746*('계산 과정'!$C$32-D746))+'계산 과정'!$D$48*(E746-'계산 과정'!$D$50+P746*('계산 과정'!$D$32-E746))+'계산 과정'!$E$48*(0-'계산 과정'!$E$50+P746*('계산 과정'!$E$32-0)),"")</x:f>
      </x:c>
      <x:c r="S746" s="17" t="n">
        <x:f>IF('계산 과정'!$C$78,IF(AND(ISNUMBER(Q746),ISNUMBER(R746),ABS(Q746-'계산 과정'!$C$88)&lt;='계산 과정'!$D$23/2,ABS(R746-'계산 과정'!$C$89)&lt;='계산 과정'!$D$24/2),1,0),"")</x:f>
        <x:v>0</x:v>
      </x:c>
      <x:c r="T746" s="4"/>
      <x:c r="U746" s="4"/>
      <x:c r="V746" s="4"/>
      <x:c r="W746" s="4"/>
      <x:c r="X746" s="4"/>
      <x:c r="Y746" s="4"/>
      <x:c r="Z746" s="4"/>
    </x:row>
    <x:row r="747" ht="23" customHeight="1">
      <x:c r="A747" s="17" t="n">
        <x:f>ROW()-6</x:f>
        <x:v>741</x:v>
      </x:c>
      <x:c r="B747" s="4" t="n">
        <x:f>IF('계산 과정'!$L$5,'계산 과정'!$L$11*SQRT((A747+0.5)/'계산 과정'!$L$30),"")</x:f>
        <x:v>90.257200846733</x:v>
      </x:c>
      <x:c r="C747" s="4" t="n">
        <x:f>A747*PI()*(3-SQRT(5))</x:f>
        <x:v>1778.372753228932</x:v>
      </x:c>
      <x:c r="D747" s="4" t="n">
        <x:f>IF('계산 과정'!$L$5,B747*COS(C747),"")</x:f>
        <x:v>87.85334577096582</x:v>
      </x:c>
      <x:c r="E747" s="4" t="n">
        <x:f>IF('계산 과정'!$L$5,B747*SIN(C747),"")</x:f>
        <x:v>20.691832725368286</x:v>
      </x:c>
      <x:c r="F747" s="4" t="n">
        <x:f>IF('계산 과정'!$L$7,'계산 과정'!$L$22+'계산 과정'!$C$49*D747+'계산 과정'!$D$49*E747,"")</x:f>
        <x:v>587.8783034554235</x:v>
      </x:c>
      <x:c r="G747" s="4" t="n">
        <x:f>IF('계산 과정'!$L$7,IF(ABS(F747)&gt;=1E-12*MAX(1,SQRT((D747-'계산 과정'!$C$33)^2+(E747-'계산 과정'!$D$33)^2+'계산 과정'!$E$33^2)),('계산 과정'!$L$23-'계산 과정'!$C$49*D747-'계산 과정'!$D$49*E747)/F747,""),"")</x:f>
        <x:v>0.7860839459941342</x:v>
      </x:c>
      <x:c r="H747" s="4" t="n">
        <x:f>IF(AND(ISNUMBER(G747),G747&gt;0),('계산 과정'!$D$56+'계산 과정'!$D$57*D747+'계산 과정'!$D$58*E747)/F747,"")</x:f>
        <x:v>110.95456489618715</x:v>
      </x:c>
      <x:c r="I747" s="4" t="n">
        <x:f>IF(AND(ISNUMBER(G747),G747&gt;0),('계산 과정'!$E$56+'계산 과정'!$E$57*D747+'계산 과정'!$E$58*E747)/F747,"")</x:f>
        <x:v>36.95735024397636</x:v>
      </x:c>
      <x:c r="J747" s="4" t="n">
        <x:f>IF('계산 과정'!$L$5,'계산 과정'!$D$6+'계산 과정'!$C$35*D747+'계산 과정'!$D$35*E747,"")</x:f>
        <x:v>587.8783034554235</x:v>
      </x:c>
      <x:c r="K747" s="4" t="n">
        <x:f>IF(AND('계산 과정'!$L$6,J747&gt;0),'계산 과정'!$D$10*('계산 과정'!$C$38*(D747-'계산 과정'!$C$32)+'계산 과정'!$D$38*(E747-'계산 과정'!$D$32)-'계산 과정'!$E$38*'계산 과정'!$E$32)/J747,"")</x:f>
        <x:v>0.8453681134947599</x:v>
      </x:c>
      <x:c r="L747" s="4" t="n">
        <x:f>IF(AND('계산 과정'!$L$6,J747&gt;0),'계산 과정'!$D$10*('계산 과정'!$C$39*(D747-'계산 과정'!$C$32)+'계산 과정'!$D$39*(E747-'계산 과정'!$D$32)-'계산 과정'!$E$39*'계산 과정'!$E$32)/J747,"")</x:f>
        <x:v>0.28157981138267696</x:v>
      </x:c>
      <x:c r="M747" s="17" t="n">
        <x:f>IF('계산 과정'!$L$6,IF(J747&lt;=0,0,IF(AND(ABS(K747)&lt;='계산 과정'!$D$11/2,ABS(L747)&lt;='계산 과정'!$D$12/2),1,0)),"")</x:f>
        <x:v>1</x:v>
      </x:c>
      <x:c r="N747" s="17" t="n">
        <x:f>IF('계산 과정'!$C$78,IF(AND(ISNUMBER(H747),ISNUMBER(I747),ABS(H747-'계산 과정'!$C$88)&lt;='계산 과정'!$D$23/2,ABS(I747-'계산 과정'!$C$89)&lt;='계산 과정'!$D$24/2),1,0),"")</x:f>
        <x:v>1</x:v>
      </x:c>
      <x:c r="O747" s="4" t="n">
        <x:f>IF('계산 과정'!$L$7,'계산 과정'!$C$49*('계산 과정'!$C$32-D747)+'계산 과정'!$D$49*('계산 과정'!$D$32-E747)+'계산 과정'!$E$49*'계산 과정'!$E$32,"")</x:f>
        <x:v>62.12169654457654</x:v>
      </x:c>
      <x:c r="P747" s="4" t="n">
        <x:f>IF(AND('계산 과정'!$L$7,O747&lt;&gt;0),('계산 과정'!$L$23-'계산 과정'!$C$49*D747-'계산 과정'!$D$49*E747)/O747,"")</x:f>
        <x:v>7.438974178900164</x:v>
      </x:c>
      <x:c r="Q747" s="4" t="str">
        <x:f>IF(AND(ISNUMBER(P747),P747&gt;1E-9,P747&lt;1-1E-9),'계산 과정'!$C$47*(D747-'계산 과정'!$C$50+P747*('계산 과정'!$C$32-D747))+'계산 과정'!$D$47*(E747-'계산 과정'!$D$50+P747*('계산 과정'!$D$32-E747))+'계산 과정'!$E$47*(0-'계산 과정'!$E$50+P747*('계산 과정'!$E$32-0)),"")</x:f>
      </x:c>
      <x:c r="R747" s="4" t="str">
        <x:f>IF(AND(ISNUMBER(P747),P747&gt;1E-9,P747&lt;1-1E-9),'계산 과정'!$C$48*(D747-'계산 과정'!$C$50+P747*('계산 과정'!$C$32-D747))+'계산 과정'!$D$48*(E747-'계산 과정'!$D$50+P747*('계산 과정'!$D$32-E747))+'계산 과정'!$E$48*(0-'계산 과정'!$E$50+P747*('계산 과정'!$E$32-0)),"")</x:f>
      </x:c>
      <x:c r="S747" s="17" t="n">
        <x:f>IF('계산 과정'!$C$78,IF(AND(ISNUMBER(Q747),ISNUMBER(R747),ABS(Q747-'계산 과정'!$C$88)&lt;='계산 과정'!$D$23/2,ABS(R747-'계산 과정'!$C$89)&lt;='계산 과정'!$D$24/2),1,0),"")</x:f>
        <x:v>0</x:v>
      </x:c>
      <x:c r="T747" s="4"/>
      <x:c r="U747" s="4"/>
      <x:c r="V747" s="4"/>
      <x:c r="W747" s="4"/>
      <x:c r="X747" s="4"/>
      <x:c r="Y747" s="4"/>
      <x:c r="Z747" s="4"/>
    </x:row>
    <x:row r="748" ht="23" customHeight="1">
      <x:c r="A748" s="17" t="n">
        <x:f>ROW()-6</x:f>
        <x:v>742</x:v>
      </x:c>
      <x:c r="B748" s="4" t="n">
        <x:f>IF('계산 과정'!$L$5,'계산 과정'!$L$11*SQRT((A748+0.5)/'계산 과정'!$L$30),"")</x:f>
        <x:v>90.31804156873918</x:v>
      </x:c>
      <x:c r="C748" s="4" t="n">
        <x:f>A748*PI()*(3-SQRT(5))</x:f>
        <x:v>1780.7727164586604</x:v>
      </x:c>
      <x:c r="D748" s="4" t="n">
        <x:f>IF('계산 과정'!$L$5,B748*COS(C748),"")</x:f>
        <x:v>-78.8105441376079</x:v>
      </x:c>
      <x:c r="E748" s="4" t="n">
        <x:f>IF('계산 과정'!$L$5,B748*SIN(C748),"")</x:f>
        <x:v>44.116286851305325</x:v>
      </x:c>
      <x:c r="F748" s="4" t="n">
        <x:f>IF('계산 과정'!$L$7,'계산 과정'!$L$22+'계산 과정'!$C$49*D748+'계산 과정'!$D$49*E748,"")</x:f>
        <x:v>705.7274701887043</x:v>
      </x:c>
      <x:c r="G748" s="4" t="n">
        <x:f>IF('계산 과정'!$L$7,IF(ABS(F748)&gt;=1E-12*MAX(1,SQRT((D748-'계산 과정'!$C$33)^2+(E748-'계산 과정'!$D$33)^2+'계산 과정'!$E$33^2)),('계산 과정'!$L$23-'계산 과정'!$C$49*D748-'계산 과정'!$D$49*E748)/F748,""),"")</x:f>
        <x:v>0.4878264547633958</x:v>
      </x:c>
      <x:c r="H748" s="4" t="n">
        <x:f>IF(AND(ISNUMBER(G748),G748&gt;0),('계산 과정'!$D$56+'계산 과정'!$D$57*D748+'계산 과정'!$D$58*E748)/F748,"")</x:f>
        <x:v>-82.9128044037928</x:v>
      </x:c>
      <x:c r="I748" s="4" t="n">
        <x:f>IF(AND(ISNUMBER(G748),G748&gt;0),('계산 과정'!$E$56+'계산 과정'!$E$57*D748+'계산 과정'!$E$58*E748)/F748,"")</x:f>
        <x:v>65.63737866330261</x:v>
      </x:c>
      <x:c r="J748" s="4" t="n">
        <x:f>IF('계산 과정'!$L$5,'계산 과정'!$D$6+'계산 과정'!$C$35*D748+'계산 과정'!$D$35*E748,"")</x:f>
        <x:v>705.7274701887043</x:v>
      </x:c>
      <x:c r="K748" s="4" t="n">
        <x:f>IF(AND('계산 과정'!$L$6,J748&gt;0),'계산 과정'!$D$10*('계산 과정'!$C$38*(D748-'계산 과정'!$C$32)+'계산 과정'!$D$38*(E748-'계산 과정'!$D$32)-'계산 과정'!$E$38*'계산 과정'!$E$32)/J748,"")</x:f>
        <x:v>-0.6317166049812778</x:v>
      </x:c>
      <x:c r="L748" s="4" t="n">
        <x:f>IF(AND('계산 과정'!$L$6,J748&gt;0),'계산 과정'!$D$10*('계산 과정'!$C$39*(D748-'계산 과정'!$C$32)+'계산 과정'!$D$39*(E748-'계산 과정'!$D$32)-'계산 과정'!$E$39*'계산 과정'!$E$32)/J748,"")</x:f>
        <x:v>0.5000943136251628</x:v>
      </x:c>
      <x:c r="M748" s="17" t="n">
        <x:f>IF('계산 과정'!$L$6,IF(J748&lt;=0,0,IF(AND(ABS(K748)&lt;='계산 과정'!$D$11/2,ABS(L748)&lt;='계산 과정'!$D$12/2),1,0)),"")</x:f>
        <x:v>1</x:v>
      </x:c>
      <x:c r="N748" s="17" t="n">
        <x:f>IF('계산 과정'!$C$78,IF(AND(ISNUMBER(H748),ISNUMBER(I748),ABS(H748-'계산 과정'!$C$88)&lt;='계산 과정'!$D$23/2,ABS(I748-'계산 과정'!$C$89)&lt;='계산 과정'!$D$24/2),1,0),"")</x:f>
        <x:v>1</x:v>
      </x:c>
      <x:c r="O748" s="4" t="n">
        <x:f>IF('계산 과정'!$L$7,'계산 과정'!$C$49*('계산 과정'!$C$32-D748)+'계산 과정'!$D$49*('계산 과정'!$D$32-E748)+'계산 과정'!$E$49*'계산 과정'!$E$32,"")</x:f>
        <x:v>-55.72747018870416</x:v>
      </x:c>
      <x:c r="P748" s="4" t="n">
        <x:f>IF(AND('계산 과정'!$L$7,O748&lt;&gt;0),('계산 과정'!$L$23-'계산 과정'!$C$49*D748-'계산 과정'!$D$49*E748)/O748,"")</x:f>
        <x:v>-6.17778859592085</x:v>
      </x:c>
      <x:c r="Q748" s="4" t="str">
        <x:f>IF(AND(ISNUMBER(P748),P748&gt;1E-9,P748&lt;1-1E-9),'계산 과정'!$C$47*(D748-'계산 과정'!$C$50+P748*('계산 과정'!$C$32-D748))+'계산 과정'!$D$47*(E748-'계산 과정'!$D$50+P748*('계산 과정'!$D$32-E748))+'계산 과정'!$E$47*(0-'계산 과정'!$E$50+P748*('계산 과정'!$E$32-0)),"")</x:f>
      </x:c>
      <x:c r="R748" s="4" t="str">
        <x:f>IF(AND(ISNUMBER(P748),P748&gt;1E-9,P748&lt;1-1E-9),'계산 과정'!$C$48*(D748-'계산 과정'!$C$50+P748*('계산 과정'!$C$32-D748))+'계산 과정'!$D$48*(E748-'계산 과정'!$D$50+P748*('계산 과정'!$D$32-E748))+'계산 과정'!$E$48*(0-'계산 과정'!$E$50+P748*('계산 과정'!$E$32-0)),"")</x:f>
      </x:c>
      <x:c r="S748" s="17" t="n">
        <x:f>IF('계산 과정'!$C$78,IF(AND(ISNUMBER(Q748),ISNUMBER(R748),ABS(Q748-'계산 과정'!$C$88)&lt;='계산 과정'!$D$23/2,ABS(R748-'계산 과정'!$C$89)&lt;='계산 과정'!$D$24/2),1,0),"")</x:f>
        <x:v>0</x:v>
      </x:c>
      <x:c r="T748" s="4"/>
      <x:c r="U748" s="4"/>
      <x:c r="V748" s="4"/>
      <x:c r="W748" s="4"/>
      <x:c r="X748" s="4"/>
      <x:c r="Y748" s="4"/>
      <x:c r="Z748" s="4"/>
    </x:row>
    <x:row r="749" ht="23" customHeight="1">
      <x:c r="A749" s="17" t="n">
        <x:f>ROW()-6</x:f>
        <x:v>743</x:v>
      </x:c>
      <x:c r="B749" s="4" t="n">
        <x:f>IF('계산 과정'!$L$5,'계산 과정'!$L$11*SQRT((A749+0.5)/'계산 과정'!$L$30),"")</x:f>
        <x:v>90.37884133433832</x:v>
      </x:c>
      <x:c r="C749" s="4" t="n">
        <x:f>A749*PI()*(3-SQRT(5))</x:f>
        <x:v>1783.172679688389</x:v>
      </x:c>
      <x:c r="D749" s="4" t="n">
        <x:f>IF('계산 과정'!$L$5,B749*COS(C749),"")</x:f>
        <x:v>28.33137804415259</x:v>
      </x:c>
      <x:c r="E749" s="4" t="n">
        <x:f>IF('계산 과정'!$L$5,B749*SIN(C749),"")</x:f>
        <x:v>-85.82346986143598</x:v>
      </x:c>
      <x:c r="F749" s="4" t="n">
        <x:f>IF('계산 과정'!$L$7,'계산 과정'!$L$22+'계산 과정'!$C$49*D749+'계산 과정'!$D$49*E749,"")</x:f>
        <x:v>629.96669046462</x:v>
      </x:c>
      <x:c r="G749" s="4" t="n">
        <x:f>IF('계산 과정'!$L$7,IF(ABS(F749)&gt;=1E-12*MAX(1,SQRT((D749-'계산 과정'!$C$33)^2+(E749-'계산 과정'!$D$33)^2+'계산 과정'!$E$33^2)),('계산 과정'!$L$23-'계산 과정'!$C$49*D749-'계산 과정'!$D$49*E749)/F749,""),"")</x:f>
        <x:v>0.6667547917900108</x:v>
      </x:c>
      <x:c r="H749" s="4" t="n">
        <x:f>IF(AND(ISNUMBER(G749),G749&gt;0),('계산 과정'!$D$56+'계산 과정'!$D$57*D749+'계산 과정'!$D$58*E749)/F749,"")</x:f>
        <x:v>33.390614663506966</x:v>
      </x:c>
      <x:c r="I749" s="4" t="n">
        <x:f>IF(AND(ISNUMBER(G749),G749&gt;0),('계산 과정'!$E$56+'계산 과정'!$E$57*D749+'계산 과정'!$E$58*E749)/F749,"")</x:f>
        <x:v>-143.046679639594</x:v>
      </x:c>
      <x:c r="J749" s="4" t="n">
        <x:f>IF('계산 과정'!$L$5,'계산 과정'!$D$6+'계산 과정'!$C$35*D749+'계산 과정'!$D$35*E749,"")</x:f>
        <x:v>629.96669046462</x:v>
      </x:c>
      <x:c r="K749" s="4" t="n">
        <x:f>IF(AND('계산 과정'!$L$6,J749&gt;0),'계산 과정'!$D$10*('계산 과정'!$C$38*(D749-'계산 과정'!$C$32)+'계산 과정'!$D$38*(E749-'계산 과정'!$D$32)-'계산 과정'!$E$38*'계산 과정'!$E$32)/J749,"")</x:f>
        <x:v>0.25440468315052983</x:v>
      </x:c>
      <x:c r="L749" s="4" t="n">
        <x:f>IF(AND('계산 과정'!$L$6,J749&gt;0),'계산 과정'!$D$10*('계산 과정'!$C$39*(D749-'계산 과정'!$C$32)+'계산 과정'!$D$39*(E749-'계산 과정'!$D$32)-'계산 과정'!$E$39*'계산 과정'!$E$32)/J749,"")</x:f>
        <x:v>-1.0898794639207163</x:v>
      </x:c>
      <x:c r="M749" s="17" t="n">
        <x:f>IF('계산 과정'!$L$6,IF(J749&lt;=0,0,IF(AND(ABS(K749)&lt;='계산 과정'!$D$11/2,ABS(L749)&lt;='계산 과정'!$D$12/2),1,0)),"")</x:f>
        <x:v>1</x:v>
      </x:c>
      <x:c r="N749" s="17" t="n">
        <x:f>IF('계산 과정'!$C$78,IF(AND(ISNUMBER(H749),ISNUMBER(I749),ABS(H749-'계산 과정'!$C$88)&lt;='계산 과정'!$D$23/2,ABS(I749-'계산 과정'!$C$89)&lt;='계산 과정'!$D$24/2),1,0),"")</x:f>
        <x:v>1</x:v>
      </x:c>
      <x:c r="O749" s="4" t="n">
        <x:f>IF('계산 과정'!$L$7,'계산 과정'!$C$49*('계산 과정'!$C$32-D749)+'계산 과정'!$D$49*('계산 과정'!$D$32-E749)+'계산 과정'!$E$49*'계산 과정'!$E$32,"")</x:f>
        <x:v>20.033309535380056</x:v>
      </x:c>
      <x:c r="P749" s="4" t="n">
        <x:f>IF(AND('계산 과정'!$L$7,O749&lt;&gt;0),('계산 과정'!$L$23-'계산 과정'!$C$49*D749-'계산 과정'!$D$49*E749)/O749,"")</x:f>
        <x:v>20.966745848636506</x:v>
      </x:c>
      <x:c r="Q749" s="4" t="str">
        <x:f>IF(AND(ISNUMBER(P749),P749&gt;1E-9,P749&lt;1-1E-9),'계산 과정'!$C$47*(D749-'계산 과정'!$C$50+P749*('계산 과정'!$C$32-D749))+'계산 과정'!$D$47*(E749-'계산 과정'!$D$50+P749*('계산 과정'!$D$32-E749))+'계산 과정'!$E$47*(0-'계산 과정'!$E$50+P749*('계산 과정'!$E$32-0)),"")</x:f>
      </x:c>
      <x:c r="R749" s="4" t="str">
        <x:f>IF(AND(ISNUMBER(P749),P749&gt;1E-9,P749&lt;1-1E-9),'계산 과정'!$C$48*(D749-'계산 과정'!$C$50+P749*('계산 과정'!$C$32-D749))+'계산 과정'!$D$48*(E749-'계산 과정'!$D$50+P749*('계산 과정'!$D$32-E749))+'계산 과정'!$E$48*(0-'계산 과정'!$E$50+P749*('계산 과정'!$E$32-0)),"")</x:f>
      </x:c>
      <x:c r="S749" s="17" t="n">
        <x:f>IF('계산 과정'!$C$78,IF(AND(ISNUMBER(Q749),ISNUMBER(R749),ABS(Q749-'계산 과정'!$C$88)&lt;='계산 과정'!$D$23/2,ABS(R749-'계산 과정'!$C$89)&lt;='계산 과정'!$D$24/2),1,0),"")</x:f>
        <x:v>0</x:v>
      </x:c>
      <x:c r="T749" s="4"/>
      <x:c r="U749" s="4"/>
      <x:c r="V749" s="4"/>
      <x:c r="W749" s="4"/>
      <x:c r="X749" s="4"/>
      <x:c r="Y749" s="4"/>
      <x:c r="Z749" s="4"/>
    </x:row>
    <x:row r="750" ht="23" customHeight="1">
      <x:c r="A750" s="17" t="n">
        <x:f>ROW()-6</x:f>
        <x:v>744</x:v>
      </x:c>
      <x:c r="B750" s="4" t="n">
        <x:f>IF('계산 과정'!$L$5,'계산 과정'!$L$11*SQRT((A750+0.5)/'계산 과정'!$L$30),"")</x:f>
        <x:v>90.43960022613159</x:v>
      </x:c>
      <x:c r="C750" s="4" t="n">
        <x:f>A750*PI()*(3-SQRT(5))</x:f>
        <x:v>1785.5726429181177</x:v>
      </x:c>
      <x:c r="D750" s="4" t="n">
        <x:f>IF('계산 과정'!$L$5,B750*COS(C750),"")</x:f>
        <x:v>37.10717371121118</x:v>
      </x:c>
      <x:c r="E750" s="4" t="n">
        <x:f>IF('계산 과정'!$L$5,B750*SIN(C750),"")</x:f>
        <x:v>82.47653574337673</x:v>
      </x:c>
      <x:c r="F750" s="4" t="n">
        <x:f>IF('계산 과정'!$L$7,'계산 과정'!$L$22+'계산 과정'!$C$49*D750+'계산 과정'!$D$49*E750,"")</x:f>
        <x:v>623.7612658381354</x:v>
      </x:c>
      <x:c r="G750" s="4" t="n">
        <x:f>IF('계산 과정'!$L$7,IF(ABS(F750)&gt;=1E-12*MAX(1,SQRT((D750-'계산 과정'!$C$33)^2+(E750-'계산 과정'!$D$33)^2+'계산 과정'!$E$33^2)),('계산 과정'!$L$23-'계산 과정'!$C$49*D750-'계산 과정'!$D$49*E750)/F750,""),"")</x:f>
        <x:v>0.683336329948504</x:v>
      </x:c>
      <x:c r="H750" s="4" t="n">
        <x:f>IF(AND(ISNUMBER(G750),G750&gt;0),('계산 과정'!$D$56+'계산 과정'!$D$57*D750+'계산 과정'!$D$58*E750)/F750,"")</x:f>
        <x:v>44.16861446652751</x:v>
      </x:c>
      <x:c r="I750" s="4" t="n">
        <x:f>IF(AND(ISNUMBER(G750),G750&gt;0),('계산 과정'!$E$56+'계산 과정'!$E$57*D750+'계산 과정'!$E$58*E750)/F750,"")</x:f>
        <x:v>138.8357489851224</x:v>
      </x:c>
      <x:c r="J750" s="4" t="n">
        <x:f>IF('계산 과정'!$L$5,'계산 과정'!$D$6+'계산 과정'!$C$35*D750+'계산 과정'!$D$35*E750,"")</x:f>
        <x:v>623.7612658381354</x:v>
      </x:c>
      <x:c r="K750" s="4" t="n">
        <x:f>IF(AND('계산 과정'!$L$6,J750&gt;0),'계산 과정'!$D$10*('계산 과정'!$C$38*(D750-'계산 과정'!$C$32)+'계산 과정'!$D$38*(E750-'계산 과정'!$D$32)-'계산 과정'!$E$38*'계산 과정'!$E$32)/J750,"")</x:f>
        <x:v>0.33652277688782944</x:v>
      </x:c>
      <x:c r="L750" s="4" t="n">
        <x:f>IF(AND('계산 과정'!$L$6,J750&gt;0),'계산 과정'!$D$10*('계산 과정'!$C$39*(D750-'계산 과정'!$C$32)+'계산 과정'!$D$39*(E750-'계산 과정'!$D$32)-'계산 과정'!$E$39*'계산 과정'!$E$32)/J750,"")</x:f>
        <x:v>1.0577961827437896</x:v>
      </x:c>
      <x:c r="M750" s="17" t="n">
        <x:f>IF('계산 과정'!$L$6,IF(J750&lt;=0,0,IF(AND(ABS(K750)&lt;='계산 과정'!$D$11/2,ABS(L750)&lt;='계산 과정'!$D$12/2),1,0)),"")</x:f>
        <x:v>1</x:v>
      </x:c>
      <x:c r="N750" s="17" t="n">
        <x:f>IF('계산 과정'!$C$78,IF(AND(ISNUMBER(H750),ISNUMBER(I750),ABS(H750-'계산 과정'!$C$88)&lt;='계산 과정'!$D$23/2,ABS(I750-'계산 과정'!$C$89)&lt;='계산 과정'!$D$24/2),1,0),"")</x:f>
        <x:v>1</x:v>
      </x:c>
      <x:c r="O750" s="4" t="n">
        <x:f>IF('계산 과정'!$L$7,'계산 과정'!$C$49*('계산 과정'!$C$32-D750)+'계산 과정'!$D$49*('계산 과정'!$D$32-E750)+'계산 과정'!$E$49*'계산 과정'!$E$32,"")</x:f>
        <x:v>26.238734161864727</x:v>
      </x:c>
      <x:c r="P750" s="4" t="n">
        <x:f>IF(AND('계산 과정'!$L$7,O750&lt;&gt;0),('계산 과정'!$L$23-'계산 과정'!$C$49*D750-'계산 과정'!$D$49*E750)/O750,"")</x:f>
        <x:v>16.244637852284747</x:v>
      </x:c>
      <x:c r="Q750" s="4" t="str">
        <x:f>IF(AND(ISNUMBER(P750),P750&gt;1E-9,P750&lt;1-1E-9),'계산 과정'!$C$47*(D750-'계산 과정'!$C$50+P750*('계산 과정'!$C$32-D750))+'계산 과정'!$D$47*(E750-'계산 과정'!$D$50+P750*('계산 과정'!$D$32-E750))+'계산 과정'!$E$47*(0-'계산 과정'!$E$50+P750*('계산 과정'!$E$32-0)),"")</x:f>
      </x:c>
      <x:c r="R750" s="4" t="str">
        <x:f>IF(AND(ISNUMBER(P750),P750&gt;1E-9,P750&lt;1-1E-9),'계산 과정'!$C$48*(D750-'계산 과정'!$C$50+P750*('계산 과정'!$C$32-D750))+'계산 과정'!$D$48*(E750-'계산 과정'!$D$50+P750*('계산 과정'!$D$32-E750))+'계산 과정'!$E$48*(0-'계산 과정'!$E$50+P750*('계산 과정'!$E$32-0)),"")</x:f>
      </x:c>
      <x:c r="S750" s="17" t="n">
        <x:f>IF('계산 과정'!$C$78,IF(AND(ISNUMBER(Q750),ISNUMBER(R750),ABS(Q750-'계산 과정'!$C$88)&lt;='계산 과정'!$D$23/2,ABS(R750-'계산 과정'!$C$89)&lt;='계산 과정'!$D$24/2),1,0),"")</x:f>
        <x:v>0</x:v>
      </x:c>
      <x:c r="T750" s="4"/>
      <x:c r="U750" s="4"/>
      <x:c r="V750" s="4"/>
      <x:c r="W750" s="4"/>
      <x:c r="X750" s="4"/>
      <x:c r="Y750" s="4"/>
      <x:c r="Z750" s="4"/>
    </x:row>
    <x:row r="751" ht="23" customHeight="1">
      <x:c r="A751" s="17" t="n">
        <x:f>ROW()-6</x:f>
        <x:v>745</x:v>
      </x:c>
      <x:c r="B751" s="4" t="n">
        <x:f>IF('계산 과정'!$L$5,'계산 과정'!$L$11*SQRT((A751+0.5)/'계산 과정'!$L$30),"")</x:f>
        <x:v>90.50031832644291</x:v>
      </x:c>
      <x:c r="C751" s="4" t="n">
        <x:f>A751*PI()*(3-SQRT(5))</x:f>
        <x:v>1787.9726061478466</x:v>
      </x:c>
      <x:c r="D751" s="4" t="n">
        <x:f>IF('계산 과정'!$L$5,B751*COS(C751),"")</x:f>
        <x:v>-83.12954738011761</x:v>
      </x:c>
      <x:c r="E751" s="4" t="n">
        <x:f>IF('계산 과정'!$L$5,B751*SIN(C751),"")</x:f>
        <x:v>-35.77409634867496</x:v>
      </x:c>
      <x:c r="F751" s="4" t="n">
        <x:f>IF('계산 과정'!$L$7,'계산 과정'!$L$22+'계산 과정'!$C$49*D751+'계산 과정'!$D$49*E751,"")</x:f>
        <x:v>708.7814666694495</x:v>
      </x:c>
      <x:c r="G751" s="4" t="n">
        <x:f>IF('계산 과정'!$L$7,IF(ABS(F751)&gt;=1E-12*MAX(1,SQRT((D751-'계산 과정'!$C$33)^2+(E751-'계산 과정'!$D$33)^2+'계산 과정'!$E$33^2)),('계산 과정'!$L$23-'계산 과정'!$C$49*D751-'계산 과정'!$D$49*E751)/F751,""),"")</x:f>
        <x:v>0.48141571045011905</x:v>
      </x:c>
      <x:c r="H751" s="4" t="n">
        <x:f>IF(AND(ISNUMBER(G751),G751&gt;0),('계산 과정'!$D$56+'계산 과정'!$D$57*D751+'계산 과정'!$D$58*E751)/F751,"")</x:f>
        <x:v>-87.07978820742275</x:v>
      </x:c>
      <x:c r="I751" s="4" t="n">
        <x:f>IF(AND(ISNUMBER(G751),G751&gt;0),('계산 과정'!$E$56+'계산 과정'!$E$57*D751+'계산 과정'!$E$58*E751)/F751,"")</x:f>
        <x:v>-52.996308358083326</x:v>
      </x:c>
      <x:c r="J751" s="4" t="n">
        <x:f>IF('계산 과정'!$L$5,'계산 과정'!$D$6+'계산 과정'!$C$35*D751+'계산 과정'!$D$35*E751,"")</x:f>
        <x:v>708.7814666694495</x:v>
      </x:c>
      <x:c r="K751" s="4" t="n">
        <x:f>IF(AND('계산 과정'!$L$6,J751&gt;0),'계산 과정'!$D$10*('계산 과정'!$C$38*(D751-'계산 과정'!$C$32)+'계산 과정'!$D$38*(E751-'계산 과정'!$D$32)-'계산 과정'!$E$38*'계산 과정'!$E$32)/J751,"")</x:f>
        <x:v>-0.6634650530089343</x:v>
      </x:c>
      <x:c r="L751" s="4" t="n">
        <x:f>IF(AND('계산 과정'!$L$6,J751&gt;0),'계산 과정'!$D$10*('계산 과정'!$C$39*(D751-'계산 과정'!$C$32)+'계산 과정'!$D$39*(E751-'계산 과정'!$D$32)-'계산 과정'!$E$39*'계산 과정'!$E$32)/J751,"")</x:f>
        <x:v>-0.4037813970139682</x:v>
      </x:c>
      <x:c r="M751" s="17" t="n">
        <x:f>IF('계산 과정'!$L$6,IF(J751&lt;=0,0,IF(AND(ABS(K751)&lt;='계산 과정'!$D$11/2,ABS(L751)&lt;='계산 과정'!$D$12/2),1,0)),"")</x:f>
        <x:v>1</x:v>
      </x:c>
      <x:c r="N751" s="17" t="n">
        <x:f>IF('계산 과정'!$C$78,IF(AND(ISNUMBER(H751),ISNUMBER(I751),ABS(H751-'계산 과정'!$C$88)&lt;='계산 과정'!$D$23/2,ABS(I751-'계산 과정'!$C$89)&lt;='계산 과정'!$D$24/2),1,0),"")</x:f>
        <x:v>1</x:v>
      </x:c>
      <x:c r="O751" s="4" t="n">
        <x:f>IF('계산 과정'!$L$7,'계산 과정'!$C$49*('계산 과정'!$C$32-D751)+'계산 과정'!$D$49*('계산 과정'!$D$32-E751)+'계산 과정'!$E$49*'계산 과정'!$E$32,"")</x:f>
        <x:v>-58.78146666944946</x:v>
      </x:c>
      <x:c r="P751" s="4" t="n">
        <x:f>IF(AND('계산 과정'!$L$7,O751&lt;&gt;0),('계산 과정'!$L$23-'계산 과정'!$C$49*D751-'계산 과정'!$D$49*E751)/O751,"")</x:f>
        <x:v>-5.804865932477528</x:v>
      </x:c>
      <x:c r="Q751" s="4" t="str">
        <x:f>IF(AND(ISNUMBER(P751),P751&gt;1E-9,P751&lt;1-1E-9),'계산 과정'!$C$47*(D751-'계산 과정'!$C$50+P751*('계산 과정'!$C$32-D751))+'계산 과정'!$D$47*(E751-'계산 과정'!$D$50+P751*('계산 과정'!$D$32-E751))+'계산 과정'!$E$47*(0-'계산 과정'!$E$50+P751*('계산 과정'!$E$32-0)),"")</x:f>
      </x:c>
      <x:c r="R751" s="4" t="str">
        <x:f>IF(AND(ISNUMBER(P751),P751&gt;1E-9,P751&lt;1-1E-9),'계산 과정'!$C$48*(D751-'계산 과정'!$C$50+P751*('계산 과정'!$C$32-D751))+'계산 과정'!$D$48*(E751-'계산 과정'!$D$50+P751*('계산 과정'!$D$32-E751))+'계산 과정'!$E$48*(0-'계산 과정'!$E$50+P751*('계산 과정'!$E$32-0)),"")</x:f>
      </x:c>
      <x:c r="S751" s="17" t="n">
        <x:f>IF('계산 과정'!$C$78,IF(AND(ISNUMBER(Q751),ISNUMBER(R751),ABS(Q751-'계산 과정'!$C$88)&lt;='계산 과정'!$D$23/2,ABS(R751-'계산 과정'!$C$89)&lt;='계산 과정'!$D$24/2),1,0),"")</x:f>
        <x:v>0</x:v>
      </x:c>
      <x:c r="T751" s="4"/>
      <x:c r="U751" s="4"/>
      <x:c r="V751" s="4"/>
      <x:c r="W751" s="4"/>
      <x:c r="X751" s="4"/>
      <x:c r="Y751" s="4"/>
      <x:c r="Z751" s="4"/>
    </x:row>
    <x:row r="752" ht="23" customHeight="1">
      <x:c r="A752" s="17" t="n">
        <x:f>ROW()-6</x:f>
        <x:v>746</x:v>
      </x:c>
      <x:c r="B752" s="4" t="n">
        <x:f>IF('계산 과정'!$L$5,'계산 과정'!$L$11*SQRT((A752+0.5)/'계산 과정'!$L$30),"")</x:f>
        <x:v>90.56099571732027</x:v>
      </x:c>
      <x:c r="C752" s="4" t="n">
        <x:f>A752*PI()*(3-SQRT(5))</x:f>
        <x:v>1790.372569377575</x:v>
      </x:c>
      <x:c r="D752" s="4" t="n">
        <x:f>IF('계산 과정'!$L$5,B752*COS(C752),"")</x:f>
        <x:v>85.51949545721232</x:v>
      </x:c>
      <x:c r="E752" s="4" t="n">
        <x:f>IF('계산 과정'!$L$5,B752*SIN(C752),"")</x:f>
        <x:v>-29.79445992221276</x:v>
      </x:c>
      <x:c r="F752" s="4" t="n">
        <x:f>IF('계산 과정'!$L$7,'계산 과정'!$L$22+'계산 과정'!$C$49*D752+'계산 과정'!$D$49*E752,"")</x:f>
        <x:v>589.528584838553</x:v>
      </x:c>
      <x:c r="G752" s="4" t="n">
        <x:f>IF('계산 과정'!$L$7,IF(ABS(F752)&gt;=1E-12*MAX(1,SQRT((D752-'계산 과정'!$C$33)^2+(E752-'계산 과정'!$D$33)^2+'계산 과정'!$E$33^2)),('계산 과정'!$L$23-'계산 과정'!$C$49*D752-'계산 과정'!$D$49*E752)/F752,""),"")</x:f>
        <x:v>0.7810841187413341</x:v>
      </x:c>
      <x:c r="H752" s="4" t="n">
        <x:f>IF(AND(ISNUMBER(G752),G752&gt;0),('계산 과정'!$D$56+'계산 과정'!$D$57*D752+'계산 과정'!$D$58*E752)/F752,"")</x:f>
        <x:v>107.70467718186704</x:v>
      </x:c>
      <x:c r="I752" s="4" t="n">
        <x:f>IF(AND(ISNUMBER(G752),G752&gt;0),('계산 과정'!$E$56+'계산 과정'!$E$57*D752+'계산 과정'!$E$58*E752)/F752,"")</x:f>
        <x:v>-53.06643939392831</x:v>
      </x:c>
      <x:c r="J752" s="4" t="n">
        <x:f>IF('계산 과정'!$L$5,'계산 과정'!$D$6+'계산 과정'!$C$35*D752+'계산 과정'!$D$35*E752,"")</x:f>
        <x:v>589.528584838553</x:v>
      </x:c>
      <x:c r="K752" s="4" t="n">
        <x:f>IF(AND('계산 과정'!$L$6,J752&gt;0),'계산 과정'!$D$10*('계산 과정'!$C$38*(D752-'계산 과정'!$C$32)+'계산 과정'!$D$38*(E752-'계산 과정'!$D$32)-'계산 과정'!$E$38*'계산 과정'!$E$32)/J752,"")</x:f>
        <x:v>0.8206070642427975</x:v>
      </x:c>
      <x:c r="L752" s="4" t="n">
        <x:f>IF(AND('계산 과정'!$L$6,J752&gt;0),'계산 과정'!$D$10*('계산 과정'!$C$39*(D752-'계산 과정'!$C$32)+'계산 과정'!$D$39*(E752-'계산 과정'!$D$32)-'계산 과정'!$E$39*'계산 과정'!$E$32)/J752,"")</x:f>
        <x:v>-0.40431572871564425</x:v>
      </x:c>
      <x:c r="M752" s="17" t="n">
        <x:f>IF('계산 과정'!$L$6,IF(J752&lt;=0,0,IF(AND(ABS(K752)&lt;='계산 과정'!$D$11/2,ABS(L752)&lt;='계산 과정'!$D$12/2),1,0)),"")</x:f>
        <x:v>1</x:v>
      </x:c>
      <x:c r="N752" s="17" t="n">
        <x:f>IF('계산 과정'!$C$78,IF(AND(ISNUMBER(H752),ISNUMBER(I752),ABS(H752-'계산 과정'!$C$88)&lt;='계산 과정'!$D$23/2,ABS(I752-'계산 과정'!$C$89)&lt;='계산 과정'!$D$24/2),1,0),"")</x:f>
        <x:v>1</x:v>
      </x:c>
      <x:c r="O752" s="4" t="n">
        <x:f>IF('계산 과정'!$L$7,'계산 과정'!$C$49*('계산 과정'!$C$32-D752)+'계산 과정'!$D$49*('계산 과정'!$D$32-E752)+'계산 과정'!$E$49*'계산 과정'!$E$32,"")</x:f>
        <x:v>60.471415161447055</x:v>
      </x:c>
      <x:c r="P752" s="4" t="n">
        <x:f>IF(AND('계산 과정'!$L$7,O752&lt;&gt;0),('계산 과정'!$L$23-'계산 과정'!$C$49*D752-'계산 과정'!$D$49*E752)/O752,"")</x:f>
        <x:v>7.6146955372563525</x:v>
      </x:c>
      <x:c r="Q752" s="4" t="str">
        <x:f>IF(AND(ISNUMBER(P752),P752&gt;1E-9,P752&lt;1-1E-9),'계산 과정'!$C$47*(D752-'계산 과정'!$C$50+P752*('계산 과정'!$C$32-D752))+'계산 과정'!$D$47*(E752-'계산 과정'!$D$50+P752*('계산 과정'!$D$32-E752))+'계산 과정'!$E$47*(0-'계산 과정'!$E$50+P752*('계산 과정'!$E$32-0)),"")</x:f>
      </x:c>
      <x:c r="R752" s="4" t="str">
        <x:f>IF(AND(ISNUMBER(P752),P752&gt;1E-9,P752&lt;1-1E-9),'계산 과정'!$C$48*(D752-'계산 과정'!$C$50+P752*('계산 과정'!$C$32-D752))+'계산 과정'!$D$48*(E752-'계산 과정'!$D$50+P752*('계산 과정'!$D$32-E752))+'계산 과정'!$E$48*(0-'계산 과정'!$E$50+P752*('계산 과정'!$E$32-0)),"")</x:f>
      </x:c>
      <x:c r="S752" s="17" t="n">
        <x:f>IF('계산 과정'!$C$78,IF(AND(ISNUMBER(Q752),ISNUMBER(R752),ABS(Q752-'계산 과정'!$C$88)&lt;='계산 과정'!$D$23/2,ABS(R752-'계산 과정'!$C$89)&lt;='계산 과정'!$D$24/2),1,0),"")</x:f>
        <x:v>0</x:v>
      </x:c>
      <x:c r="T752" s="4"/>
      <x:c r="U752" s="4"/>
      <x:c r="V752" s="4"/>
      <x:c r="W752" s="4"/>
      <x:c r="X752" s="4"/>
      <x:c r="Y752" s="4"/>
      <x:c r="Z752" s="4"/>
    </x:row>
    <x:row r="753" ht="23" customHeight="1">
      <x:c r="A753" s="17" t="n">
        <x:f>ROW()-6</x:f>
        <x:v>747</x:v>
      </x:c>
      <x:c r="B753" s="4" t="n">
        <x:f>IF('계산 과정'!$L$5,'계산 과정'!$L$11*SQRT((A753+0.5)/'계산 과정'!$L$30),"")</x:f>
        <x:v>90.6216324805369</x:v>
      </x:c>
      <x:c r="C753" s="4" t="n">
        <x:f>A753*PI()*(3-SQRT(5))</x:f>
        <x:v>1792.7725326073037</x:v>
      </x:c>
      <x:c r="D753" s="4" t="n">
        <x:f>IF('계산 과정'!$L$5,B753*COS(C753),"")</x:f>
        <x:v>-42.96229285610423</x:v>
      </x:c>
      <x:c r="E753" s="4" t="n">
        <x:f>IF('계산 과정'!$L$5,B753*SIN(C753),"")</x:f>
        <x:v>79.7904860618347</x:v>
      </x:c>
      <x:c r="F753" s="4" t="n">
        <x:f>IF('계산 과정'!$L$7,'계산 과정'!$L$22+'계산 과정'!$C$49*D753+'계산 과정'!$D$49*E753,"")</x:f>
        <x:v>680.3789286138737</x:v>
      </x:c>
      <x:c r="G753" s="4" t="n">
        <x:f>IF('계산 과정'!$L$7,IF(ABS(F753)&gt;=1E-12*MAX(1,SQRT((D753-'계산 과정'!$C$33)^2+(E753-'계산 과정'!$D$33)^2+'계산 과정'!$E$33^2)),('계산 과정'!$L$23-'계산 과정'!$C$49*D753-'계산 과정'!$D$49*E753)/F753,""),"")</x:f>
        <x:v>0.5432576698680985</x:v>
      </x:c>
      <x:c r="H753" s="4" t="n">
        <x:f>IF(AND(ISNUMBER(G753),G753&gt;0),('계산 과정'!$D$56+'계산 과정'!$D$57*D753+'계산 과정'!$D$58*E753)/F753,"")</x:f>
        <x:v>-46.8825145857361</x:v>
      </x:c>
      <x:c r="I753" s="4" t="n">
        <x:f>IF(AND(ISNUMBER(G753),G753&gt;0),('계산 과정'!$E$56+'계산 과정'!$E$57*D753+'계산 과정'!$E$58*E753)/F753,"")</x:f>
        <x:v>123.13727959743001</x:v>
      </x:c>
      <x:c r="J753" s="4" t="n">
        <x:f>IF('계산 과정'!$L$5,'계산 과정'!$D$6+'계산 과정'!$C$35*D753+'계산 과정'!$D$35*E753,"")</x:f>
        <x:v>680.3789286138737</x:v>
      </x:c>
      <x:c r="K753" s="4" t="n">
        <x:f>IF(AND('계산 과정'!$L$6,J753&gt;0),'계산 과정'!$D$10*('계산 과정'!$C$38*(D753-'계산 과정'!$C$32)+'계산 과정'!$D$38*(E753-'계산 과정'!$D$32)-'계산 과정'!$E$38*'계산 과정'!$E$32)/J753,"")</x:f>
        <x:v>-0.35720011112941685</x:v>
      </x:c>
      <x:c r="L753" s="4" t="n">
        <x:f>IF(AND('계산 과정'!$L$6,J753&gt;0),'계산 과정'!$D$10*('계산 과정'!$C$39*(D753-'계산 과정'!$C$32)+'계산 과정'!$D$39*(E753-'계산 과정'!$D$32)-'계산 과정'!$E$39*'계산 과정'!$E$32)/J753,"")</x:f>
        <x:v>0.9381887969328001</x:v>
      </x:c>
      <x:c r="M753" s="17" t="n">
        <x:f>IF('계산 과정'!$L$6,IF(J753&lt;=0,0,IF(AND(ABS(K753)&lt;='계산 과정'!$D$11/2,ABS(L753)&lt;='계산 과정'!$D$12/2),1,0)),"")</x:f>
        <x:v>1</x:v>
      </x:c>
      <x:c r="N753" s="17" t="n">
        <x:f>IF('계산 과정'!$C$78,IF(AND(ISNUMBER(H753),ISNUMBER(I753),ABS(H753-'계산 과정'!$C$88)&lt;='계산 과정'!$D$23/2,ABS(I753-'계산 과정'!$C$89)&lt;='계산 과정'!$D$24/2),1,0),"")</x:f>
        <x:v>1</x:v>
      </x:c>
      <x:c r="O753" s="4" t="n">
        <x:f>IF('계산 과정'!$L$7,'계산 과정'!$C$49*('계산 과정'!$C$32-D753)+'계산 과정'!$D$49*('계산 과정'!$D$32-E753)+'계산 과정'!$E$49*'계산 과정'!$E$32,"")</x:f>
        <x:v>-30.37892861387354</x:v>
      </x:c>
      <x:c r="P753" s="4" t="n">
        <x:f>IF(AND('계산 과정'!$L$7,O753&lt;&gt;0),('계산 과정'!$L$23-'계산 과정'!$C$49*D753-'계산 과정'!$D$49*E753)/O753,"")</x:f>
        <x:v>-12.16702129571899</x:v>
      </x:c>
      <x:c r="Q753" s="4" t="str">
        <x:f>IF(AND(ISNUMBER(P753),P753&gt;1E-9,P753&lt;1-1E-9),'계산 과정'!$C$47*(D753-'계산 과정'!$C$50+P753*('계산 과정'!$C$32-D753))+'계산 과정'!$D$47*(E753-'계산 과정'!$D$50+P753*('계산 과정'!$D$32-E753))+'계산 과정'!$E$47*(0-'계산 과정'!$E$50+P753*('계산 과정'!$E$32-0)),"")</x:f>
      </x:c>
      <x:c r="R753" s="4" t="str">
        <x:f>IF(AND(ISNUMBER(P753),P753&gt;1E-9,P753&lt;1-1E-9),'계산 과정'!$C$48*(D753-'계산 과정'!$C$50+P753*('계산 과정'!$C$32-D753))+'계산 과정'!$D$48*(E753-'계산 과정'!$D$50+P753*('계산 과정'!$D$32-E753))+'계산 과정'!$E$48*(0-'계산 과정'!$E$50+P753*('계산 과정'!$E$32-0)),"")</x:f>
      </x:c>
      <x:c r="S753" s="17" t="n">
        <x:f>IF('계산 과정'!$C$78,IF(AND(ISNUMBER(Q753),ISNUMBER(R753),ABS(Q753-'계산 과정'!$C$88)&lt;='계산 과정'!$D$23/2,ABS(R753-'계산 과정'!$C$89)&lt;='계산 과정'!$D$24/2),1,0),"")</x:f>
        <x:v>0</x:v>
      </x:c>
      <x:c r="T753" s="4"/>
      <x:c r="U753" s="4"/>
      <x:c r="V753" s="4"/>
      <x:c r="W753" s="4"/>
      <x:c r="X753" s="4"/>
      <x:c r="Y753" s="4"/>
      <x:c r="Z753" s="4"/>
    </x:row>
    <x:row r="754" ht="23" customHeight="1">
      <x:c r="A754" s="17" t="n">
        <x:f>ROW()-6</x:f>
        <x:v>748</x:v>
      </x:c>
      <x:c r="B754" s="4" t="n">
        <x:f>IF('계산 과정'!$L$5,'계산 과정'!$L$11*SQRT((A754+0.5)/'계산 과정'!$L$30),"")</x:f>
        <x:v>90.68222869759266</x:v>
      </x:c>
      <x:c r="C754" s="4" t="n">
        <x:f>A754*PI()*(3-SQRT(5))</x:f>
        <x:v>1795.1724958370326</x:v>
      </x:c>
      <x:c r="D754" s="4" t="n">
        <x:f>IF('계산 과정'!$L$5,B754*COS(C754),"")</x:f>
        <x:v>-22.233498226320506</x:v>
      </x:c>
      <x:c r="E754" s="4" t="n">
        <x:f>IF('계산 과정'!$L$5,B754*SIN(C754),"")</x:f>
        <x:v>-87.91437970083564</x:v>
      </x:c>
      <x:c r="F754" s="4" t="n">
        <x:f>IF('계산 과정'!$L$7,'계산 과정'!$L$22+'계산 과정'!$C$49*D754+'계산 과정'!$D$49*E754,"")</x:f>
        <x:v>665.7214573653303</x:v>
      </x:c>
      <x:c r="G754" s="4" t="n">
        <x:f>IF('계산 과정'!$L$7,IF(ABS(F754)&gt;=1E-12*MAX(1,SQRT((D754-'계산 과정'!$C$33)^2+(E754-'계산 과정'!$D$33)^2+'계산 과정'!$E$33^2)),('계산 과정'!$L$23-'계산 과정'!$C$49*D754-'계산 과정'!$D$49*E754)/F754,""),"")</x:f>
        <x:v>0.5772362275289976</x:v>
      </x:c>
      <x:c r="H754" s="4" t="n">
        <x:f>IF(AND(ISNUMBER(G754),G754&gt;0),('계산 과정'!$D$56+'계산 과정'!$D$57*D754+'계산 과정'!$D$58*E754)/F754,"")</x:f>
        <x:v>-24.796452106151666</x:v>
      </x:c>
      <x:c r="I754" s="4" t="n">
        <x:f>IF(AND(ISNUMBER(G754),G754&gt;0),('계산 과정'!$E$56+'계산 과정'!$E$57*D754+'계산 과정'!$E$58*E754)/F754,"")</x:f>
        <x:v>-138.66174458489792</x:v>
      </x:c>
      <x:c r="J754" s="4" t="n">
        <x:f>IF('계산 과정'!$L$5,'계산 과정'!$D$6+'계산 과정'!$C$35*D754+'계산 과정'!$D$35*E754,"")</x:f>
        <x:v>665.7214573653303</x:v>
      </x:c>
      <x:c r="K754" s="4" t="n">
        <x:f>IF(AND('계산 과정'!$L$6,J754&gt;0),'계산 과정'!$D$10*('계산 과정'!$C$38*(D754-'계산 과정'!$C$32)+'계산 과정'!$D$38*(E754-'계산 과정'!$D$32)-'계산 과정'!$E$38*'계산 과정'!$E$32)/J754,"")</x:f>
        <x:v>-0.1889253493802023</x:v>
      </x:c>
      <x:c r="L754" s="4" t="n">
        <x:f>IF(AND('계산 과정'!$L$6,J754&gt;0),'계산 과정'!$D$10*('계산 과정'!$C$39*(D754-'계산 과정'!$C$32)+'계산 과정'!$D$39*(E754-'계산 과정'!$D$32)-'계산 과정'!$E$39*'계산 과정'!$E$32)/J754,"")</x:f>
        <x:v>-1.0564704349325553</x:v>
      </x:c>
      <x:c r="M754" s="17" t="n">
        <x:f>IF('계산 과정'!$L$6,IF(J754&lt;=0,0,IF(AND(ABS(K754)&lt;='계산 과정'!$D$11/2,ABS(L754)&lt;='계산 과정'!$D$12/2),1,0)),"")</x:f>
        <x:v>1</x:v>
      </x:c>
      <x:c r="N754" s="17" t="n">
        <x:f>IF('계산 과정'!$C$78,IF(AND(ISNUMBER(H754),ISNUMBER(I754),ABS(H754-'계산 과정'!$C$88)&lt;='계산 과정'!$D$23/2,ABS(I754-'계산 과정'!$C$89)&lt;='계산 과정'!$D$24/2),1,0),"")</x:f>
        <x:v>1</x:v>
      </x:c>
      <x:c r="O754" s="4" t="n">
        <x:f>IF('계산 과정'!$L$7,'계산 과정'!$C$49*('계산 과정'!$C$32-D754)+'계산 과정'!$D$49*('계산 과정'!$D$32-E754)+'계산 과정'!$E$49*'계산 과정'!$E$32,"")</x:f>
        <x:v>-15.721457365330195</x:v>
      </x:c>
      <x:c r="P754" s="4" t="n">
        <x:f>IF(AND('계산 과정'!$L$7,O754&lt;&gt;0),('계산 과정'!$L$23-'계산 과정'!$C$49*D754-'계산 과정'!$D$49*E754)/O754,"")</x:f>
        <x:v>-24.442933864522093</x:v>
      </x:c>
      <x:c r="Q754" s="4" t="str">
        <x:f>IF(AND(ISNUMBER(P754),P754&gt;1E-9,P754&lt;1-1E-9),'계산 과정'!$C$47*(D754-'계산 과정'!$C$50+P754*('계산 과정'!$C$32-D754))+'계산 과정'!$D$47*(E754-'계산 과정'!$D$50+P754*('계산 과정'!$D$32-E754))+'계산 과정'!$E$47*(0-'계산 과정'!$E$50+P754*('계산 과정'!$E$32-0)),"")</x:f>
      </x:c>
      <x:c r="R754" s="4" t="str">
        <x:f>IF(AND(ISNUMBER(P754),P754&gt;1E-9,P754&lt;1-1E-9),'계산 과정'!$C$48*(D754-'계산 과정'!$C$50+P754*('계산 과정'!$C$32-D754))+'계산 과정'!$D$48*(E754-'계산 과정'!$D$50+P754*('계산 과정'!$D$32-E754))+'계산 과정'!$E$48*(0-'계산 과정'!$E$50+P754*('계산 과정'!$E$32-0)),"")</x:f>
      </x:c>
      <x:c r="S754" s="17" t="n">
        <x:f>IF('계산 과정'!$C$78,IF(AND(ISNUMBER(Q754),ISNUMBER(R754),ABS(Q754-'계산 과정'!$C$88)&lt;='계산 과정'!$D$23/2,ABS(R754-'계산 과정'!$C$89)&lt;='계산 과정'!$D$24/2),1,0),"")</x:f>
        <x:v>0</x:v>
      </x:c>
      <x:c r="T754" s="4"/>
      <x:c r="U754" s="4"/>
      <x:c r="V754" s="4"/>
      <x:c r="W754" s="4"/>
      <x:c r="X754" s="4"/>
      <x:c r="Y754" s="4"/>
      <x:c r="Z754" s="4"/>
    </x:row>
    <x:row r="755" ht="23" customHeight="1">
      <x:c r="A755" s="17" t="n">
        <x:f>ROW()-6</x:f>
        <x:v>749</x:v>
      </x:c>
      <x:c r="B755" s="4" t="n">
        <x:f>IF('계산 과정'!$L$5,'계산 과정'!$L$11*SQRT((A755+0.5)/'계산 과정'!$L$30),"")</x:f>
        <x:v>90.74278444971534</x:v>
      </x:c>
      <x:c r="C755" s="4" t="n">
        <x:f>A755*PI()*(3-SQRT(5))</x:f>
        <x:v>1797.572459066761</x:v>
      </x:c>
      <x:c r="D755" s="4" t="n">
        <x:f>IF('계산 과정'!$L$5,B755*COS(C755),"")</x:f>
        <x:v>75.83020393584603</x:v>
      </x:c>
      <x:c r="E755" s="4" t="n">
        <x:f>IF('계산 과정'!$L$5,B755*SIN(C755),"")</x:f>
        <x:v>49.84007524809228</x:v>
      </x:c>
      <x:c r="F755" s="4" t="n">
        <x:f>IF('계산 과정'!$L$7,'계산 과정'!$L$22+'계산 과정'!$C$49*D755+'계산 과정'!$D$49*E755,"")</x:f>
        <x:v>596.3799485782044</x:v>
      </x:c>
      <x:c r="G755" s="4" t="n">
        <x:f>IF('계산 과정'!$L$7,IF(ABS(F755)&gt;=1E-12*MAX(1,SQRT((D755-'계산 과정'!$C$33)^2+(E755-'계산 과정'!$D$33)^2+'계산 과정'!$E$33^2)),('계산 과정'!$L$23-'계산 과정'!$C$49*D755-'계산 과정'!$D$49*E755)/F755,""),"")</x:f>
        <x:v>0.760622573752262</x:v>
      </x:c>
      <x:c r="H755" s="4" t="n">
        <x:f>IF(AND(ISNUMBER(G755),G755&gt;0),('계산 과정'!$D$56+'계산 과정'!$D$57*D755+'계산 과정'!$D$58*E755)/F755,"")</x:f>
        <x:v>94.40467293897022</x:v>
      </x:c>
      <x:c r="I755" s="4" t="n">
        <x:f>IF(AND(ISNUMBER(G755),G755&gt;0),('계산 과정'!$E$56+'계산 과정'!$E$57*D755+'계산 과정'!$E$58*E755)/F755,"")</x:f>
        <x:v>87.74956155930265</x:v>
      </x:c>
      <x:c r="J755" s="4" t="n">
        <x:f>IF('계산 과정'!$L$5,'계산 과정'!$D$6+'계산 과정'!$C$35*D755+'계산 과정'!$D$35*E755,"")</x:f>
        <x:v>596.3799485782044</x:v>
      </x:c>
      <x:c r="K755" s="4" t="n">
        <x:f>IF(AND('계산 과정'!$L$6,J755&gt;0),'계산 과정'!$D$10*('계산 과정'!$C$38*(D755-'계산 과정'!$C$32)+'계산 과정'!$D$38*(E755-'계산 과정'!$D$32)-'계산 과정'!$E$38*'계산 과정'!$E$32)/J755,"")</x:f>
        <x:v>0.719273698582631</x:v>
      </x:c>
      <x:c r="L755" s="4" t="n">
        <x:f>IF(AND('계산 과정'!$L$6,J755&gt;0),'계산 과정'!$D$10*('계산 과정'!$C$39*(D755-'계산 과정'!$C$32)+'계산 과정'!$D$39*(E755-'계산 과정'!$D$32)-'계산 과정'!$E$39*'계산 과정'!$E$32)/J755,"")</x:f>
        <x:v>0.6685680880708773</x:v>
      </x:c>
      <x:c r="M755" s="17" t="n">
        <x:f>IF('계산 과정'!$L$6,IF(J755&lt;=0,0,IF(AND(ABS(K755)&lt;='계산 과정'!$D$11/2,ABS(L755)&lt;='계산 과정'!$D$12/2),1,0)),"")</x:f>
        <x:v>1</x:v>
      </x:c>
      <x:c r="N755" s="17" t="n">
        <x:f>IF('계산 과정'!$C$78,IF(AND(ISNUMBER(H755),ISNUMBER(I755),ABS(H755-'계산 과정'!$C$88)&lt;='계산 과정'!$D$23/2,ABS(I755-'계산 과정'!$C$89)&lt;='계산 과정'!$D$24/2),1,0),"")</x:f>
        <x:v>1</x:v>
      </x:c>
      <x:c r="O755" s="4" t="n">
        <x:f>IF('계산 과정'!$L$7,'계산 과정'!$C$49*('계산 과정'!$C$32-D755)+'계산 과정'!$D$49*('계산 과정'!$D$32-E755)+'계산 과정'!$E$49*'계산 과정'!$E$32,"")</x:f>
        <x:v>53.620051421795665</x:v>
      </x:c>
      <x:c r="P755" s="4" t="n">
        <x:f>IF(AND('계산 과정'!$L$7,O755&lt;&gt;0),('계산 과정'!$L$23-'계산 과정'!$C$49*D755-'계산 과정'!$D$49*E755)/O755,"")</x:f>
        <x:v>8.45989586719058</x:v>
      </x:c>
      <x:c r="Q755" s="4" t="str">
        <x:f>IF(AND(ISNUMBER(P755),P755&gt;1E-9,P755&lt;1-1E-9),'계산 과정'!$C$47*(D755-'계산 과정'!$C$50+P755*('계산 과정'!$C$32-D755))+'계산 과정'!$D$47*(E755-'계산 과정'!$D$50+P755*('계산 과정'!$D$32-E755))+'계산 과정'!$E$47*(0-'계산 과정'!$E$50+P755*('계산 과정'!$E$32-0)),"")</x:f>
      </x:c>
      <x:c r="R755" s="4" t="str">
        <x:f>IF(AND(ISNUMBER(P755),P755&gt;1E-9,P755&lt;1-1E-9),'계산 과정'!$C$48*(D755-'계산 과정'!$C$50+P755*('계산 과정'!$C$32-D755))+'계산 과정'!$D$48*(E755-'계산 과정'!$D$50+P755*('계산 과정'!$D$32-E755))+'계산 과정'!$E$48*(0-'계산 과정'!$E$50+P755*('계산 과정'!$E$32-0)),"")</x:f>
      </x:c>
      <x:c r="S755" s="17" t="n">
        <x:f>IF('계산 과정'!$C$78,IF(AND(ISNUMBER(Q755),ISNUMBER(R755),ABS(Q755-'계산 과정'!$C$88)&lt;='계산 과정'!$D$23/2,ABS(R755-'계산 과정'!$C$89)&lt;='계산 과정'!$D$24/2),1,0),"")</x:f>
        <x:v>0</x:v>
      </x:c>
      <x:c r="T755" s="4"/>
      <x:c r="U755" s="4"/>
      <x:c r="V755" s="4"/>
      <x:c r="W755" s="4"/>
      <x:c r="X755" s="4"/>
      <x:c r="Y755" s="4"/>
      <x:c r="Z755" s="4"/>
    </x:row>
    <x:row r="756" ht="23" customHeight="1">
      <x:c r="A756" s="17" t="n">
        <x:f>ROW()-6</x:f>
        <x:v>750</x:v>
      </x:c>
      <x:c r="B756" s="4" t="n">
        <x:f>IF('계산 과정'!$L$5,'계산 과정'!$L$11*SQRT((A756+0.5)/'계산 과정'!$L$30),"")</x:f>
        <x:v>90.8032998178618</x:v>
      </x:c>
      <x:c r="C756" s="4" t="n">
        <x:f>A756*PI()*(3-SQRT(5))</x:f>
        <x:v>1799.9724222964896</x:v>
      </x:c>
      <x:c r="D756" s="4" t="n">
        <x:f>IF('계산 과정'!$L$5,B756*COS(C756),"")</x:f>
        <x:v>-89.64106029587718</x:v>
      </x:c>
      <x:c r="E756" s="4" t="n">
        <x:f>IF('계산 과정'!$L$5,B756*SIN(C756),"")</x:f>
        <x:v>14.4816976506007</x:v>
      </x:c>
      <x:c r="F756" s="4" t="n">
        <x:f>IF('계산 과정'!$L$7,'계산 과정'!$L$22+'계산 과정'!$C$49*D756+'계산 과정'!$D$49*E756,"")</x:f>
        <x:v>713.385801607967</x:v>
      </x:c>
      <x:c r="G756" s="4" t="n">
        <x:f>IF('계산 과정'!$L$7,IF(ABS(F756)&gt;=1E-12*MAX(1,SQRT((D756-'계산 과정'!$C$33)^2+(E756-'계산 과정'!$D$33)^2+'계산 과정'!$E$33^2)),('계산 과정'!$L$23-'계산 과정'!$C$49*D756-'계산 과정'!$D$49*E756)/F756,""),"")</x:f>
        <x:v>0.47185435655336405</x:v>
      </x:c>
      <x:c r="H756" s="4" t="n">
        <x:f>IF(AND(ISNUMBER(G756),G756&gt;0),('계산 과정'!$D$56+'계산 과정'!$D$57*D756+'계산 과정'!$D$58*E756)/F756,"")</x:f>
        <x:v>-93.29466824031348</x:v>
      </x:c>
      <x:c r="I756" s="4" t="n">
        <x:f>IF(AND(ISNUMBER(G756),G756&gt;0),('계산 과정'!$E$56+'계산 과정'!$E$57*D756+'계산 과정'!$E$58*E756)/F756,"")</x:f>
        <x:v>21.314949777325253</x:v>
      </x:c>
      <x:c r="J756" s="4" t="n">
        <x:f>IF('계산 과정'!$L$5,'계산 과정'!$D$6+'계산 과정'!$C$35*D756+'계산 과정'!$D$35*E756,"")</x:f>
        <x:v>713.385801607967</x:v>
      </x:c>
      <x:c r="K756" s="4" t="n">
        <x:f>IF(AND('계산 과정'!$L$6,J756&gt;0),'계산 과정'!$D$10*('계산 과정'!$C$38*(D756-'계산 과정'!$C$32)+'계산 과정'!$D$38*(E756-'계산 과정'!$D$32)-'계산 과정'!$E$38*'계산 과정'!$E$32)/J756,"")</x:f>
        <x:v>-0.7108165199261969</x:v>
      </x:c>
      <x:c r="L756" s="4" t="n">
        <x:f>IF(AND('계산 과정'!$L$6,J756&gt;0),'계산 과정'!$D$10*('계산 과정'!$C$39*(D756-'계산 과정'!$C$32)+'계산 과정'!$D$39*(E756-'계산 과정'!$D$32)-'계산 과정'!$E$39*'계산 과정'!$E$32)/J756,"")</x:f>
        <x:v>0.16239961735104955</x:v>
      </x:c>
      <x:c r="M756" s="17" t="n">
        <x:f>IF('계산 과정'!$L$6,IF(J756&lt;=0,0,IF(AND(ABS(K756)&lt;='계산 과정'!$D$11/2,ABS(L756)&lt;='계산 과정'!$D$12/2),1,0)),"")</x:f>
        <x:v>1</x:v>
      </x:c>
      <x:c r="N756" s="17" t="n">
        <x:f>IF('계산 과정'!$C$78,IF(AND(ISNUMBER(H756),ISNUMBER(I756),ABS(H756-'계산 과정'!$C$88)&lt;='계산 과정'!$D$23/2,ABS(I756-'계산 과정'!$C$89)&lt;='계산 과정'!$D$24/2),1,0),"")</x:f>
        <x:v>1</x:v>
      </x:c>
      <x:c r="O756" s="4" t="n">
        <x:f>IF('계산 과정'!$L$7,'계산 과정'!$C$49*('계산 과정'!$C$32-D756)+'계산 과정'!$D$49*('계산 과정'!$D$32-E756)+'계산 과정'!$E$49*'계산 과정'!$E$32,"")</x:f>
        <x:v>-63.38580160796681</x:v>
      </x:c>
      <x:c r="P756" s="4" t="n">
        <x:f>IF(AND('계산 과정'!$L$7,O756&lt;&gt;0),('계산 과정'!$L$23-'계산 과정'!$C$49*D756-'계산 과정'!$D$49*E756)/O756,"")</x:f>
        <x:v>-5.3105615114556635</x:v>
      </x:c>
      <x:c r="Q756" s="4" t="str">
        <x:f>IF(AND(ISNUMBER(P756),P756&gt;1E-9,P756&lt;1-1E-9),'계산 과정'!$C$47*(D756-'계산 과정'!$C$50+P756*('계산 과정'!$C$32-D756))+'계산 과정'!$D$47*(E756-'계산 과정'!$D$50+P756*('계산 과정'!$D$32-E756))+'계산 과정'!$E$47*(0-'계산 과정'!$E$50+P756*('계산 과정'!$E$32-0)),"")</x:f>
      </x:c>
      <x:c r="R756" s="4" t="str">
        <x:f>IF(AND(ISNUMBER(P756),P756&gt;1E-9,P756&lt;1-1E-9),'계산 과정'!$C$48*(D756-'계산 과정'!$C$50+P756*('계산 과정'!$C$32-D756))+'계산 과정'!$D$48*(E756-'계산 과정'!$D$50+P756*('계산 과정'!$D$32-E756))+'계산 과정'!$E$48*(0-'계산 과정'!$E$50+P756*('계산 과정'!$E$32-0)),"")</x:f>
      </x:c>
      <x:c r="S756" s="17" t="n">
        <x:f>IF('계산 과정'!$C$78,IF(AND(ISNUMBER(Q756),ISNUMBER(R756),ABS(Q756-'계산 과정'!$C$88)&lt;='계산 과정'!$D$23/2,ABS(R756-'계산 과정'!$C$89)&lt;='계산 과정'!$D$24/2),1,0),"")</x:f>
        <x:v>0</x:v>
      </x:c>
      <x:c r="T756" s="4"/>
      <x:c r="U756" s="4"/>
      <x:c r="V756" s="4"/>
      <x:c r="W756" s="4"/>
      <x:c r="X756" s="4"/>
      <x:c r="Y756" s="4"/>
      <x:c r="Z756" s="4"/>
    </x:row>
    <x:row r="757" ht="23" customHeight="1">
      <x:c r="A757" s="17" t="n">
        <x:f>ROW()-6</x:f>
        <x:v>751</x:v>
      </x:c>
      <x:c r="B757" s="4" t="n">
        <x:f>IF('계산 과정'!$L$5,'계산 과정'!$L$11*SQRT((A757+0.5)/'계산 과정'!$L$30),"")</x:f>
        <x:v>90.86377488271934</x:v>
      </x:c>
      <x:c r="C757" s="4" t="n">
        <x:f>A757*PI()*(3-SQRT(5))</x:f>
        <x:v>1802.3723855262183</x:v>
      </x:c>
      <x:c r="D757" s="4" t="n">
        <x:f>IF('계산 과정'!$L$5,B757*COS(C757),"")</x:f>
        <x:v>56.35378853808972</x:v>
      </x:c>
      <x:c r="E757" s="4" t="n">
        <x:f>IF('계산 과정'!$L$5,B757*SIN(C757),"")</x:f>
        <x:v>-71.27745859205255</x:v>
      </x:c>
      <x:c r="F757" s="4" t="n">
        <x:f>IF('계산 과정'!$L$7,'계산 과정'!$L$22+'계산 과정'!$C$49*D757+'계산 과정'!$D$49*E757,"")</x:f>
        <x:v>610.151853979164</x:v>
      </x:c>
      <x:c r="G757" s="4" t="n">
        <x:f>IF('계산 과정'!$L$7,IF(ABS(F757)&gt;=1E-12*MAX(1,SQRT((D757-'계산 과정'!$C$33)^2+(E757-'계산 과정'!$D$33)^2+'계산 과정'!$E$33^2)),('계산 과정'!$L$23-'계산 과정'!$C$49*D757-'계산 과정'!$D$49*E757)/F757,""),"")</x:f>
        <x:v>0.7208830771427212</x:v>
      </x:c>
      <x:c r="H757" s="4" t="n">
        <x:f>IF(AND(ISNUMBER(G757),G757&gt;0),('계산 과정'!$D$56+'계산 과정'!$D$57*D757+'계산 과정'!$D$58*E757)/F757,"")</x:f>
        <x:v>68.5740001427686</x:v>
      </x:c>
      <x:c r="I757" s="4" t="n">
        <x:f>IF(AND(ISNUMBER(G757),G757&gt;0),('계산 과정'!$E$56+'계산 과정'!$E$57*D757+'계산 과정'!$E$58*E757)/F757,"")</x:f>
        <x:v>-122.66017227280429</x:v>
      </x:c>
      <x:c r="J757" s="4" t="n">
        <x:f>IF('계산 과정'!$L$5,'계산 과정'!$D$6+'계산 과정'!$C$35*D757+'계산 과정'!$D$35*E757,"")</x:f>
        <x:v>610.151853979164</x:v>
      </x:c>
      <x:c r="K757" s="4" t="n">
        <x:f>IF(AND('계산 과정'!$L$6,J757&gt;0),'계산 과정'!$D$10*('계산 과정'!$C$38*(D757-'계산 과정'!$C$32)+'계산 과정'!$D$38*(E757-'계산 과정'!$D$32)-'계산 과정'!$E$38*'계산 과정'!$E$32)/J757,"")</x:f>
        <x:v>0.5224685725163332</x:v>
      </x:c>
      <x:c r="L757" s="4" t="n">
        <x:f>IF(AND('계산 과정'!$L$6,J757&gt;0),'계산 과정'!$D$10*('계산 과정'!$C$39*(D757-'계산 과정'!$C$32)+'계산 과정'!$D$39*(E757-'계산 과정'!$D$32)-'계산 과정'!$E$39*'계산 과정'!$E$32)/J757,"")</x:f>
        <x:v>-0.9345536935070803</x:v>
      </x:c>
      <x:c r="M757" s="17" t="n">
        <x:f>IF('계산 과정'!$L$6,IF(J757&lt;=0,0,IF(AND(ABS(K757)&lt;='계산 과정'!$D$11/2,ABS(L757)&lt;='계산 과정'!$D$12/2),1,0)),"")</x:f>
        <x:v>1</x:v>
      </x:c>
      <x:c r="N757" s="17" t="n">
        <x:f>IF('계산 과정'!$C$78,IF(AND(ISNUMBER(H757),ISNUMBER(I757),ABS(H757-'계산 과정'!$C$88)&lt;='계산 과정'!$D$23/2,ABS(I757-'계산 과정'!$C$89)&lt;='계산 과정'!$D$24/2),1,0),"")</x:f>
        <x:v>1</x:v>
      </x:c>
      <x:c r="O757" s="4" t="n">
        <x:f>IF('계산 과정'!$L$7,'계산 과정'!$C$49*('계산 과정'!$C$32-D757)+'계산 과정'!$D$49*('계산 과정'!$D$32-E757)+'계산 과정'!$E$49*'계산 과정'!$E$32,"")</x:f>
        <x:v>39.848146020836055</x:v>
      </x:c>
      <x:c r="P757" s="4" t="n">
        <x:f>IF(AND('계산 과정'!$L$7,O757&lt;&gt;0),('계산 과정'!$L$23-'계산 과정'!$C$49*D757-'계산 과정'!$D$49*E757)/O757,"")</x:f>
        <x:v>11.038108166709824</x:v>
      </x:c>
      <x:c r="Q757" s="4" t="str">
        <x:f>IF(AND(ISNUMBER(P757),P757&gt;1E-9,P757&lt;1-1E-9),'계산 과정'!$C$47*(D757-'계산 과정'!$C$50+P757*('계산 과정'!$C$32-D757))+'계산 과정'!$D$47*(E757-'계산 과정'!$D$50+P757*('계산 과정'!$D$32-E757))+'계산 과정'!$E$47*(0-'계산 과정'!$E$50+P757*('계산 과정'!$E$32-0)),"")</x:f>
      </x:c>
      <x:c r="R757" s="4" t="str">
        <x:f>IF(AND(ISNUMBER(P757),P757&gt;1E-9,P757&lt;1-1E-9),'계산 과정'!$C$48*(D757-'계산 과정'!$C$50+P757*('계산 과정'!$C$32-D757))+'계산 과정'!$D$48*(E757-'계산 과정'!$D$50+P757*('계산 과정'!$D$32-E757))+'계산 과정'!$E$48*(0-'계산 과정'!$E$50+P757*('계산 과정'!$E$32-0)),"")</x:f>
      </x:c>
      <x:c r="S757" s="17" t="n">
        <x:f>IF('계산 과정'!$C$78,IF(AND(ISNUMBER(Q757),ISNUMBER(R757),ABS(Q757-'계산 과정'!$C$88)&lt;='계산 과정'!$D$23/2,ABS(R757-'계산 과정'!$C$89)&lt;='계산 과정'!$D$24/2),1,0),"")</x:f>
        <x:v>0</x:v>
      </x:c>
      <x:c r="T757" s="4"/>
      <x:c r="U757" s="4"/>
      <x:c r="V757" s="4"/>
      <x:c r="W757" s="4"/>
      <x:c r="X757" s="4"/>
      <x:c r="Y757" s="4"/>
      <x:c r="Z757" s="4"/>
    </x:row>
    <x:row r="758" ht="23" customHeight="1">
      <x:c r="A758" s="17" t="n">
        <x:f>ROW()-6</x:f>
        <x:v>752</x:v>
      </x:c>
      <x:c r="B758" s="4" t="n">
        <x:f>IF('계산 과정'!$L$5,'계산 과정'!$L$11*SQRT((A758+0.5)/'계산 과정'!$L$30),"")</x:f>
        <x:v>90.92420972470698</x:v>
      </x:c>
      <x:c r="C758" s="4" t="n">
        <x:f>A758*PI()*(3-SQRT(5))</x:f>
        <x:v>1804.7723487559472</x:v>
      </x:c>
      <x:c r="D758" s="4" t="n">
        <x:f>IF('계산 과정'!$L$5,B758*COS(C758),"")</x:f>
        <x:v>6.598087217336036</x:v>
      </x:c>
      <x:c r="E758" s="4" t="n">
        <x:f>IF('계산 과정'!$L$5,B758*SIN(C758),"")</x:f>
        <x:v>90.68449238505406</x:v>
      </x:c>
      <x:c r="F758" s="4" t="n">
        <x:f>IF('계산 과정'!$L$7,'계산 과정'!$L$22+'계산 과정'!$C$49*D758+'계산 과정'!$D$49*E758,"")</x:f>
        <x:v>645.3344477857614</x:v>
      </x:c>
      <x:c r="G758" s="4" t="n">
        <x:f>IF('계산 과정'!$L$7,IF(ABS(F758)&gt;=1E-12*MAX(1,SQRT((D758-'계산 과정'!$C$33)^2+(E758-'계산 과정'!$D$33)^2+'계산 과정'!$E$33^2)),('계산 과정'!$L$23-'계산 과정'!$C$49*D758-'계산 과정'!$D$49*E758)/F758,""),"")</x:f>
        <x:v>0.6270633058605601</x:v>
      </x:c>
      <x:c r="H758" s="4" t="n">
        <x:f>IF(AND(ISNUMBER(G758),G758&gt;0),('계산 과정'!$D$56+'계산 과정'!$D$57*D758+'계산 과정'!$D$58*E758)/F758,"")</x:f>
        <x:v>7.5911488093639825</x:v>
      </x:c>
      <x:c r="I758" s="4" t="n">
        <x:f>IF(AND(ISNUMBER(G758),G758&gt;0),('계산 과정'!$E$56+'계산 과정'!$E$57*D758+'계산 과정'!$E$58*E758)/F758,"")</x:f>
        <x:v>147.54940997031284</x:v>
      </x:c>
      <x:c r="J758" s="4" t="n">
        <x:f>IF('계산 과정'!$L$5,'계산 과정'!$D$6+'계산 과정'!$C$35*D758+'계산 과정'!$D$35*E758,"")</x:f>
        <x:v>645.3344477857614</x:v>
      </x:c>
      <x:c r="K758" s="4" t="n">
        <x:f>IF(AND('계산 과정'!$L$6,J758&gt;0),'계산 과정'!$D$10*('계산 과정'!$C$38*(D758-'계산 과정'!$C$32)+'계산 과정'!$D$38*(E758-'계산 과정'!$D$32)-'계산 과정'!$E$38*'계산 과정'!$E$32)/J758,"")</x:f>
        <x:v>0.057837324261822184</x:v>
      </x:c>
      <x:c r="L758" s="4" t="n">
        <x:f>IF(AND('계산 과정'!$L$6,J758&gt;0),'계산 과정'!$D$10*('계산 과정'!$C$39*(D758-'계산 과정'!$C$32)+'계산 과정'!$D$39*(E758-'계산 과정'!$D$32)-'계산 과정'!$E$39*'계산 과정'!$E$32)/J758,"")</x:f>
        <x:v>1.1241859807261931</x:v>
      </x:c>
      <x:c r="M758" s="17" t="n">
        <x:f>IF('계산 과정'!$L$6,IF(J758&lt;=0,0,IF(AND(ABS(K758)&lt;='계산 과정'!$D$11/2,ABS(L758)&lt;='계산 과정'!$D$12/2),1,0)),"")</x:f>
        <x:v>1</x:v>
      </x:c>
      <x:c r="N758" s="17" t="n">
        <x:f>IF('계산 과정'!$C$78,IF(AND(ISNUMBER(H758),ISNUMBER(I758),ABS(H758-'계산 과정'!$C$88)&lt;='계산 과정'!$D$23/2,ABS(I758-'계산 과정'!$C$89)&lt;='계산 과정'!$D$24/2),1,0),"")</x:f>
        <x:v>1</x:v>
      </x:c>
      <x:c r="O758" s="4" t="n">
        <x:f>IF('계산 과정'!$L$7,'계산 과정'!$C$49*('계산 과정'!$C$32-D758)+'계산 과정'!$D$49*('계산 과정'!$D$32-E758)+'계산 과정'!$E$49*'계산 과정'!$E$32,"")</x:f>
        <x:v>4.665552214238744</x:v>
      </x:c>
      <x:c r="P758" s="4" t="n">
        <x:f>IF(AND('계산 과정'!$L$7,O758&lt;&gt;0),('계산 과정'!$L$23-'계산 과정'!$C$49*D758-'계산 과정'!$D$49*E758)/O758,"")</x:f>
        <x:v>86.73476013819854</x:v>
      </x:c>
      <x:c r="Q758" s="4" t="str">
        <x:f>IF(AND(ISNUMBER(P758),P758&gt;1E-9,P758&lt;1-1E-9),'계산 과정'!$C$47*(D758-'계산 과정'!$C$50+P758*('계산 과정'!$C$32-D758))+'계산 과정'!$D$47*(E758-'계산 과정'!$D$50+P758*('계산 과정'!$D$32-E758))+'계산 과정'!$E$47*(0-'계산 과정'!$E$50+P758*('계산 과정'!$E$32-0)),"")</x:f>
      </x:c>
      <x:c r="R758" s="4" t="str">
        <x:f>IF(AND(ISNUMBER(P758),P758&gt;1E-9,P758&lt;1-1E-9),'계산 과정'!$C$48*(D758-'계산 과정'!$C$50+P758*('계산 과정'!$C$32-D758))+'계산 과정'!$D$48*(E758-'계산 과정'!$D$50+P758*('계산 과정'!$D$32-E758))+'계산 과정'!$E$48*(0-'계산 과정'!$E$50+P758*('계산 과정'!$E$32-0)),"")</x:f>
      </x:c>
      <x:c r="S758" s="17" t="n">
        <x:f>IF('계산 과정'!$C$78,IF(AND(ISNUMBER(Q758),ISNUMBER(R758),ABS(Q758-'계산 과정'!$C$88)&lt;='계산 과정'!$D$23/2,ABS(R758-'계산 과정'!$C$89)&lt;='계산 과정'!$D$24/2),1,0),"")</x:f>
        <x:v>0</x:v>
      </x:c>
      <x:c r="T758" s="4"/>
      <x:c r="U758" s="4"/>
      <x:c r="V758" s="4"/>
      <x:c r="W758" s="4"/>
      <x:c r="X758" s="4"/>
      <x:c r="Y758" s="4"/>
      <x:c r="Z758" s="4"/>
    </x:row>
    <x:row r="759" ht="23" customHeight="1">
      <x:c r="A759" s="17" t="n">
        <x:f>ROW()-6</x:f>
        <x:v>753</x:v>
      </x:c>
      <x:c r="B759" s="4" t="n">
        <x:f>IF('계산 과정'!$L$5,'계산 과정'!$L$11*SQRT((A759+0.5)/'계산 과정'!$L$30),"")</x:f>
        <x:v>90.98460442397658</x:v>
      </x:c>
      <x:c r="C759" s="4" t="n">
        <x:f>A759*PI()*(3-SQRT(5))</x:f>
        <x:v>1807.1723119856756</x:v>
      </x:c>
      <x:c r="D759" s="4" t="n">
        <x:f>IF('계산 과정'!$L$5,B759*COS(C759),"")</x:f>
        <x:v>-66.16563872526098</x:v>
      </x:c>
      <x:c r="E759" s="4" t="n">
        <x:f>IF('계산 과정'!$L$5,B759*SIN(C759),"")</x:f>
        <x:v>-62.45243385381985</x:v>
      </x:c>
      <x:c r="F759" s="4" t="n">
        <x:f>IF('계산 과정'!$L$7,'계산 과정'!$L$22+'계산 과정'!$C$49*D759+'계산 과정'!$D$49*E759,"")</x:f>
        <x:v>696.7861718241712</x:v>
      </x:c>
      <x:c r="G759" s="4" t="n">
        <x:f>IF('계산 과정'!$L$7,IF(ABS(F759)&gt;=1E-12*MAX(1,SQRT((D759-'계산 과정'!$C$33)^2+(E759-'계산 과정'!$D$33)^2+'계산 과정'!$E$33^2)),('계산 과정'!$L$23-'계산 과정'!$C$49*D759-'계산 과정'!$D$49*E759)/F759,""),"")</x:f>
        <x:v>0.5069185389416132</x:v>
      </x:c>
      <x:c r="H759" s="4" t="n">
        <x:f>IF(AND(ISNUMBER(G759),G759&gt;0),('계산 과정'!$D$56+'계산 과정'!$D$57*D759+'계산 과정'!$D$58*E759)/F759,"")</x:f>
        <x:v>-70.50294968795157</x:v>
      </x:c>
      <x:c r="I759" s="4" t="n">
        <x:f>IF(AND(ISNUMBER(G759),G759&gt;0),('계산 과정'!$E$56+'계산 과정'!$E$57*D759+'계산 과정'!$E$58*E759)/F759,"")</x:f>
        <x:v>-94.11073037634594</x:v>
      </x:c>
      <x:c r="J759" s="4" t="n">
        <x:f>IF('계산 과정'!$L$5,'계산 과정'!$D$6+'계산 과정'!$C$35*D759+'계산 과정'!$D$35*E759,"")</x:f>
        <x:v>696.7861718241712</x:v>
      </x:c>
      <x:c r="K759" s="4" t="n">
        <x:f>IF(AND('계산 과정'!$L$6,J759&gt;0),'계산 과정'!$D$10*('계산 과정'!$C$38*(D759-'계산 과정'!$C$32)+'계산 과정'!$D$38*(E759-'계산 과정'!$D$32)-'계산 과정'!$E$38*'계산 과정'!$E$32)/J759,"")</x:f>
        <x:v>-0.53716533095582</x:v>
      </x:c>
      <x:c r="L759" s="4" t="n">
        <x:f>IF(AND('계산 과정'!$L$6,J759&gt;0),'계산 과정'!$D$10*('계산 과정'!$C$39*(D759-'계산 과정'!$C$32)+'계산 과정'!$D$39*(E759-'계산 과정'!$D$32)-'계산 과정'!$E$39*'계산 과정'!$E$32)/J759,"")</x:f>
        <x:v>-0.7170341362007311</x:v>
      </x:c>
      <x:c r="M759" s="17" t="n">
        <x:f>IF('계산 과정'!$L$6,IF(J759&lt;=0,0,IF(AND(ABS(K759)&lt;='계산 과정'!$D$11/2,ABS(L759)&lt;='계산 과정'!$D$12/2),1,0)),"")</x:f>
        <x:v>1</x:v>
      </x:c>
      <x:c r="N759" s="17" t="n">
        <x:f>IF('계산 과정'!$C$78,IF(AND(ISNUMBER(H759),ISNUMBER(I759),ABS(H759-'계산 과정'!$C$88)&lt;='계산 과정'!$D$23/2,ABS(I759-'계산 과정'!$C$89)&lt;='계산 과정'!$D$24/2),1,0),"")</x:f>
        <x:v>1</x:v>
      </x:c>
      <x:c r="O759" s="4" t="n">
        <x:f>IF('계산 과정'!$L$7,'계산 과정'!$C$49*('계산 과정'!$C$32-D759)+'계산 과정'!$D$49*('계산 과정'!$D$32-E759)+'계산 과정'!$E$49*'계산 과정'!$E$32,"")</x:f>
        <x:v>-46.786171824171106</x:v>
      </x:c>
      <x:c r="P759" s="4" t="n">
        <x:f>IF(AND('계산 과정'!$L$7,O759&lt;&gt;0),('계산 과정'!$L$23-'계산 과정'!$C$49*D759-'계산 과정'!$D$49*E759)/O759,"")</x:f>
        <x:v>-7.549534710881135</x:v>
      </x:c>
      <x:c r="Q759" s="4" t="str">
        <x:f>IF(AND(ISNUMBER(P759),P759&gt;1E-9,P759&lt;1-1E-9),'계산 과정'!$C$47*(D759-'계산 과정'!$C$50+P759*('계산 과정'!$C$32-D759))+'계산 과정'!$D$47*(E759-'계산 과정'!$D$50+P759*('계산 과정'!$D$32-E759))+'계산 과정'!$E$47*(0-'계산 과정'!$E$50+P759*('계산 과정'!$E$32-0)),"")</x:f>
      </x:c>
      <x:c r="R759" s="4" t="str">
        <x:f>IF(AND(ISNUMBER(P759),P759&gt;1E-9,P759&lt;1-1E-9),'계산 과정'!$C$48*(D759-'계산 과정'!$C$50+P759*('계산 과정'!$C$32-D759))+'계산 과정'!$D$48*(E759-'계산 과정'!$D$50+P759*('계산 과정'!$D$32-E759))+'계산 과정'!$E$48*(0-'계산 과정'!$E$50+P759*('계산 과정'!$E$32-0)),"")</x:f>
      </x:c>
      <x:c r="S759" s="17" t="n">
        <x:f>IF('계산 과정'!$C$78,IF(AND(ISNUMBER(Q759),ISNUMBER(R759),ABS(Q759-'계산 과정'!$C$88)&lt;='계산 과정'!$D$23/2,ABS(R759-'계산 과정'!$C$89)&lt;='계산 과정'!$D$24/2),1,0),"")</x:f>
        <x:v>0</x:v>
      </x:c>
      <x:c r="T759" s="4"/>
      <x:c r="U759" s="4"/>
      <x:c r="V759" s="4"/>
      <x:c r="W759" s="4"/>
      <x:c r="X759" s="4"/>
      <x:c r="Y759" s="4"/>
      <x:c r="Z759" s="4"/>
    </x:row>
    <x:row r="760" ht="23" customHeight="1">
      <x:c r="A760" s="17" t="n">
        <x:f>ROW()-6</x:f>
        <x:v>754</x:v>
      </x:c>
      <x:c r="B760" s="4" t="n">
        <x:f>IF('계산 과정'!$L$5,'계산 과정'!$L$11*SQRT((A760+0.5)/'계산 과정'!$L$30),"")</x:f>
        <x:v>91.04495906041421</x:v>
      </x:c>
      <x:c r="C760" s="4" t="n">
        <x:f>A760*PI()*(3-SQRT(5))</x:f>
        <x:v>1809.5722752154043</x:v>
      </x:c>
      <x:c r="D760" s="4" t="n">
        <x:f>IF('계산 과정'!$L$5,B760*COS(C760),"")</x:f>
        <x:v>91.03484364627217</x:v>
      </x:c>
      <x:c r="E760" s="4" t="n">
        <x:f>IF('계산 과정'!$L$5,B760*SIN(C760),"")</x:f>
        <x:v>1.357133969540626</x:v>
      </x:c>
      <x:c r="F760" s="4" t="n">
        <x:f>IF('계산 과정'!$L$7,'계산 과정'!$L$22+'계산 과정'!$C$49*D760+'계산 과정'!$D$49*E760,"")</x:f>
        <x:v>585.6286447334638</x:v>
      </x:c>
      <x:c r="G760" s="4" t="n">
        <x:f>IF('계산 과정'!$L$7,IF(ABS(F760)&gt;=1E-12*MAX(1,SQRT((D760-'계산 과정'!$C$33)^2+(E760-'계산 과정'!$D$33)^2+'계산 과정'!$E$33^2)),('계산 과정'!$L$23-'계산 과정'!$C$49*D760-'계산 과정'!$D$49*E760)/F760,""),"")</x:f>
        <x:v>0.7929450846412827</x:v>
      </x:c>
      <x:c r="H760" s="4" t="n">
        <x:f>IF(AND(ISNUMBER(G760),G760&gt;0),('계산 과정'!$D$56+'계산 과정'!$D$57*D760+'계산 과정'!$D$58*E760)/F760,"")</x:f>
        <x:v>115.41430501683364</x:v>
      </x:c>
      <x:c r="I760" s="4" t="n">
        <x:f>IF(AND(ISNUMBER(G760),G760&gt;0),('계산 과정'!$E$56+'계산 과정'!$E$57*D760+'계산 과정'!$E$58*E760)/F760,"")</x:f>
        <x:v>2.4332666798875775</x:v>
      </x:c>
      <x:c r="J760" s="4" t="n">
        <x:f>IF('계산 과정'!$L$5,'계산 과정'!$D$6+'계산 과정'!$C$35*D760+'계산 과정'!$D$35*E760,"")</x:f>
        <x:v>585.6286447334638</x:v>
      </x:c>
      <x:c r="K760" s="4" t="n">
        <x:f>IF(AND('계산 과정'!$L$6,J760&gt;0),'계산 과정'!$D$10*('계산 과정'!$C$38*(D760-'계산 과정'!$C$32)+'계산 과정'!$D$38*(E760-'계산 과정'!$D$32)-'계산 과정'!$E$38*'계산 과정'!$E$32)/J760,"")</x:f>
        <x:v>0.8793470858425431</x:v>
      </x:c>
      <x:c r="L760" s="4" t="n">
        <x:f>IF(AND('계산 과정'!$L$6,J760&gt;0),'계산 과정'!$D$10*('계산 과정'!$C$39*(D760-'계산 과정'!$C$32)+'계산 과정'!$D$39*(E760-'계산 과정'!$D$32)-'계산 과정'!$E$39*'계산 과정'!$E$32)/J760,"")</x:f>
        <x:v>0.018539174703905353</x:v>
      </x:c>
      <x:c r="M760" s="17" t="n">
        <x:f>IF('계산 과정'!$L$6,IF(J760&lt;=0,0,IF(AND(ABS(K760)&lt;='계산 과정'!$D$11/2,ABS(L760)&lt;='계산 과정'!$D$12/2),1,0)),"")</x:f>
        <x:v>1</x:v>
      </x:c>
      <x:c r="N760" s="17" t="n">
        <x:f>IF('계산 과정'!$C$78,IF(AND(ISNUMBER(H760),ISNUMBER(I760),ABS(H760-'계산 과정'!$C$88)&lt;='계산 과정'!$D$23/2,ABS(I760-'계산 과정'!$C$89)&lt;='계산 과정'!$D$24/2),1,0),"")</x:f>
        <x:v>1</x:v>
      </x:c>
      <x:c r="O760" s="4" t="n">
        <x:f>IF('계산 과정'!$L$7,'계산 과정'!$C$49*('계산 과정'!$C$32-D760)+'계산 과정'!$D$49*('계산 과정'!$D$32-E760)+'계산 과정'!$E$49*'계산 과정'!$E$32,"")</x:f>
        <x:v>64.37135526653628</x:v>
      </x:c>
      <x:c r="P760" s="4" t="n">
        <x:f>IF(AND('계산 과정'!$L$7,O760&lt;&gt;0),('계산 과정'!$L$23-'계산 과정'!$C$49*D760-'계산 과정'!$D$49*E760)/O760,"")</x:f>
        <x:v>7.213944049239887</x:v>
      </x:c>
      <x:c r="Q760" s="4" t="str">
        <x:f>IF(AND(ISNUMBER(P760),P760&gt;1E-9,P760&lt;1-1E-9),'계산 과정'!$C$47*(D760-'계산 과정'!$C$50+P760*('계산 과정'!$C$32-D760))+'계산 과정'!$D$47*(E760-'계산 과정'!$D$50+P760*('계산 과정'!$D$32-E760))+'계산 과정'!$E$47*(0-'계산 과정'!$E$50+P760*('계산 과정'!$E$32-0)),"")</x:f>
      </x:c>
      <x:c r="R760" s="4" t="str">
        <x:f>IF(AND(ISNUMBER(P760),P760&gt;1E-9,P760&lt;1-1E-9),'계산 과정'!$C$48*(D760-'계산 과정'!$C$50+P760*('계산 과정'!$C$32-D760))+'계산 과정'!$D$48*(E760-'계산 과정'!$D$50+P760*('계산 과정'!$D$32-E760))+'계산 과정'!$E$48*(0-'계산 과정'!$E$50+P760*('계산 과정'!$E$32-0)),"")</x:f>
      </x:c>
      <x:c r="S760" s="17" t="n">
        <x:f>IF('계산 과정'!$C$78,IF(AND(ISNUMBER(Q760),ISNUMBER(R760),ABS(Q760-'계산 과정'!$C$88)&lt;='계산 과정'!$D$23/2,ABS(R760-'계산 과정'!$C$89)&lt;='계산 과정'!$D$24/2),1,0),"")</x:f>
        <x:v>0</x:v>
      </x:c>
      <x:c r="T760" s="4"/>
      <x:c r="U760" s="4"/>
      <x:c r="V760" s="4"/>
      <x:c r="W760" s="4"/>
      <x:c r="X760" s="4"/>
      <x:c r="Y760" s="4"/>
      <x:c r="Z760" s="4"/>
    </x:row>
    <x:row r="761" ht="23" customHeight="1">
      <x:c r="A761" s="17" t="n">
        <x:f>ROW()-6</x:f>
        <x:v>755</x:v>
      </x:c>
      <x:c r="B761" s="4" t="n">
        <x:f>IF('계산 과정'!$L$5,'계산 과정'!$L$11*SQRT((A761+0.5)/'계산 과정'!$L$30),"")</x:f>
        <x:v>91.1052737136413</x:v>
      </x:c>
      <x:c r="C761" s="4" t="n">
        <x:f>A761*PI()*(3-SQRT(5))</x:f>
        <x:v>1811.9722384451327</x:v>
      </x:c>
      <x:c r="D761" s="4" t="n">
        <x:f>IF('계산 과정'!$L$5,B761*COS(C761),"")</x:f>
        <x:v>-68.08806786452668</x:v>
      </x:c>
      <x:c r="E761" s="4" t="n">
        <x:f>IF('계산 과정'!$L$5,B761*SIN(C761),"")</x:f>
        <x:v>60.53251946609449</x:v>
      </x:c>
      <x:c r="F761" s="4" t="n">
        <x:f>IF('계산 과정'!$L$7,'계산 과정'!$L$22+'계산 과정'!$C$49*D761+'계산 과정'!$D$49*E761,"")</x:f>
        <x:v>698.1455345048967</x:v>
      </x:c>
      <x:c r="G761" s="4" t="n">
        <x:f>IF('계산 과정'!$L$7,IF(ABS(F761)&gt;=1E-12*MAX(1,SQRT((D761-'계산 과정'!$C$33)^2+(E761-'계산 과정'!$D$33)^2+'계산 과정'!$E$33^2)),('계산 과정'!$L$23-'계산 과정'!$C$49*D761-'계산 과정'!$D$49*E761)/F761,""),"")</x:f>
        <x:v>0.5039844102771891</x:v>
      </x:c>
      <x:c r="H761" s="4" t="n">
        <x:f>IF(AND(ISNUMBER(G761),G761&gt;0),('계산 과정'!$D$56+'계산 과정'!$D$57*D761+'계산 과정'!$D$58*E761)/F761,"")</x:f>
        <x:v>-72.4101333198272</x:v>
      </x:c>
      <x:c r="I761" s="4" t="n">
        <x:f>IF(AND(ISNUMBER(G761),G761&gt;0),('계산 과정'!$E$56+'계산 과정'!$E$57*D761+'계산 과정'!$E$58*E761)/F761,"")</x:f>
        <x:v>91.03996559180659</x:v>
      </x:c>
      <x:c r="J761" s="4" t="n">
        <x:f>IF('계산 과정'!$L$5,'계산 과정'!$D$6+'계산 과정'!$C$35*D761+'계산 과정'!$D$35*E761,"")</x:f>
        <x:v>698.1455345048967</x:v>
      </x:c>
      <x:c r="K761" s="4" t="n">
        <x:f>IF(AND('계산 과정'!$L$6,J761&gt;0),'계산 과정'!$D$10*('계산 과정'!$C$38*(D761-'계산 과정'!$C$32)+'계산 과정'!$D$38*(E761-'계산 과정'!$D$32)-'계산 과정'!$E$38*'계산 과정'!$E$32)/J761,"")</x:f>
        <x:v>-0.551696253865349</x:v>
      </x:c>
      <x:c r="L761" s="4" t="n">
        <x:f>IF(AND('계산 과정'!$L$6,J761&gt;0),'계산 과정'!$D$10*('계산 과정'!$C$39*(D761-'계산 과정'!$C$32)+'계산 과정'!$D$39*(E761-'계산 과정'!$D$32)-'계산 과정'!$E$39*'계산 과정'!$E$32)/J761,"")</x:f>
        <x:v>0.6936378330804313</x:v>
      </x:c>
      <x:c r="M761" s="17" t="n">
        <x:f>IF('계산 과정'!$L$6,IF(J761&lt;=0,0,IF(AND(ABS(K761)&lt;='계산 과정'!$D$11/2,ABS(L761)&lt;='계산 과정'!$D$12/2),1,0)),"")</x:f>
        <x:v>1</x:v>
      </x:c>
      <x:c r="N761" s="17" t="n">
        <x:f>IF('계산 과정'!$C$78,IF(AND(ISNUMBER(H761),ISNUMBER(I761),ABS(H761-'계산 과정'!$C$88)&lt;='계산 과정'!$D$23/2,ABS(I761-'계산 과정'!$C$89)&lt;='계산 과정'!$D$24/2),1,0),"")</x:f>
        <x:v>1</x:v>
      </x:c>
      <x:c r="O761" s="4" t="n">
        <x:f>IF('계산 과정'!$L$7,'계산 과정'!$C$49*('계산 과정'!$C$32-D761)+'계산 과정'!$D$49*('계산 과정'!$D$32-E761)+'계산 과정'!$E$49*'계산 과정'!$E$32,"")</x:f>
        <x:v>-48.145534504896546</x:v>
      </x:c>
      <x:c r="P761" s="4" t="n">
        <x:f>IF(AND('계산 과정'!$L$7,O761&lt;&gt;0),('계산 과정'!$L$23-'계산 과정'!$C$49*D761-'계산 과정'!$D$49*E761)/O761,"")</x:f>
        <x:v>-7.3081433016247574</x:v>
      </x:c>
      <x:c r="Q761" s="4" t="str">
        <x:f>IF(AND(ISNUMBER(P761),P761&gt;1E-9,P761&lt;1-1E-9),'계산 과정'!$C$47*(D761-'계산 과정'!$C$50+P761*('계산 과정'!$C$32-D761))+'계산 과정'!$D$47*(E761-'계산 과정'!$D$50+P761*('계산 과정'!$D$32-E761))+'계산 과정'!$E$47*(0-'계산 과정'!$E$50+P761*('계산 과정'!$E$32-0)),"")</x:f>
      </x:c>
      <x:c r="R761" s="4" t="str">
        <x:f>IF(AND(ISNUMBER(P761),P761&gt;1E-9,P761&lt;1-1E-9),'계산 과정'!$C$48*(D761-'계산 과정'!$C$50+P761*('계산 과정'!$C$32-D761))+'계산 과정'!$D$48*(E761-'계산 과정'!$D$50+P761*('계산 과정'!$D$32-E761))+'계산 과정'!$E$48*(0-'계산 과정'!$E$50+P761*('계산 과정'!$E$32-0)),"")</x:f>
      </x:c>
      <x:c r="S761" s="17" t="n">
        <x:f>IF('계산 과정'!$C$78,IF(AND(ISNUMBER(Q761),ISNUMBER(R761),ABS(Q761-'계산 과정'!$C$88)&lt;='계산 과정'!$D$23/2,ABS(R761-'계산 과정'!$C$89)&lt;='계산 과정'!$D$24/2),1,0),"")</x:f>
        <x:v>0</x:v>
      </x:c>
      <x:c r="T761" s="4"/>
      <x:c r="U761" s="4"/>
      <x:c r="V761" s="4"/>
      <x:c r="W761" s="4"/>
      <x:c r="X761" s="4"/>
      <x:c r="Y761" s="4"/>
      <x:c r="Z761" s="4"/>
    </x:row>
    <x:row r="762" ht="23" customHeight="1">
      <x:c r="A762" s="17" t="n">
        <x:f>ROW()-6</x:f>
        <x:v>756</x:v>
      </x:c>
      <x:c r="B762" s="4" t="n">
        <x:f>IF('계산 과정'!$L$5,'계산 과정'!$L$11*SQRT((A762+0.5)/'계산 과정'!$L$30),"")</x:f>
        <x:v>91.1655484630159</x:v>
      </x:c>
      <x:c r="C762" s="4" t="n">
        <x:f>A762*PI()*(3-SQRT(5))</x:f>
        <x:v>1814.3722016748616</x:v>
      </x:c>
      <x:c r="D762" s="4" t="n">
        <x:f>IF('계산 과정'!$L$5,B762*COS(C762),"")</x:f>
        <x:v>9.323056830453593</x:v>
      </x:c>
      <x:c r="E762" s="4" t="n">
        <x:f>IF('계산 과정'!$L$5,B762*SIN(C762),"")</x:f>
        <x:v>-90.68758370305514</x:v>
      </x:c>
      <x:c r="F762" s="4" t="n">
        <x:f>IF('계산 과정'!$L$7,'계산 과정'!$L$22+'계산 과정'!$C$49*D762+'계산 과정'!$D$49*E762,"")</x:f>
        <x:v>643.4076032937987</x:v>
      </x:c>
      <x:c r="G762" s="4" t="n">
        <x:f>IF('계산 과정'!$L$7,IF(ABS(F762)&gt;=1E-12*MAX(1,SQRT((D762-'계산 과정'!$C$33)^2+(E762-'계산 과정'!$D$33)^2+'계산 과정'!$E$33^2)),('계산 과정'!$L$23-'계산 과정'!$C$49*D762-'계산 과정'!$D$49*E762)/F762,""),"")</x:f>
        <x:v>0.6319359526134466</x:v>
      </x:c>
      <x:c r="H762" s="4" t="n">
        <x:f>IF(AND(ISNUMBER(G762),G762&gt;0),('계산 과정'!$D$56+'계산 과정'!$D$57*D762+'계산 과정'!$D$58*E762)/F762,"")</x:f>
        <x:v>10.75836919874025</x:v>
      </x:c>
      <x:c r="I762" s="4" t="n">
        <x:f>IF(AND(ISNUMBER(G762),G762&gt;0),('계산 과정'!$E$56+'계산 과정'!$E$57*D762+'계산 과정'!$E$58*E762)/F762,"")</x:f>
        <x:v>-147.99632830065698</x:v>
      </x:c>
      <x:c r="J762" s="4" t="n">
        <x:f>IF('계산 과정'!$L$5,'계산 과정'!$D$6+'계산 과정'!$C$35*D762+'계산 과정'!$D$35*E762,"")</x:f>
        <x:v>643.4076032937987</x:v>
      </x:c>
      <x:c r="K762" s="4" t="n">
        <x:f>IF(AND('계산 과정'!$L$6,J762&gt;0),'계산 과정'!$D$10*('계산 과정'!$C$38*(D762-'계산 과정'!$C$32)+'계산 과정'!$D$38*(E762-'계산 과정'!$D$32)-'계산 과정'!$E$38*'계산 과정'!$E$32)/J762,"")</x:f>
        <x:v>0.08196852722849837</x:v>
      </x:c>
      <x:c r="L762" s="4" t="n">
        <x:f>IF(AND('계산 과정'!$L$6,J762&gt;0),'계산 과정'!$D$10*('계산 과정'!$C$39*(D762-'계산 과정'!$C$32)+'계산 과정'!$D$39*(E762-'계산 과정'!$D$32)-'계산 과정'!$E$39*'계산 과정'!$E$32)/J762,"")</x:f>
        <x:v>-1.1275910727669103</x:v>
      </x:c>
      <x:c r="M762" s="17" t="n">
        <x:f>IF('계산 과정'!$L$6,IF(J762&lt;=0,0,IF(AND(ABS(K762)&lt;='계산 과정'!$D$11/2,ABS(L762)&lt;='계산 과정'!$D$12/2),1,0)),"")</x:f>
        <x:v>1</x:v>
      </x:c>
      <x:c r="N762" s="17" t="n">
        <x:f>IF('계산 과정'!$C$78,IF(AND(ISNUMBER(H762),ISNUMBER(I762),ABS(H762-'계산 과정'!$C$88)&lt;='계산 과정'!$D$23/2,ABS(I762-'계산 과정'!$C$89)&lt;='계산 과정'!$D$24/2),1,0),"")</x:f>
        <x:v>1</x:v>
      </x:c>
      <x:c r="O762" s="4" t="n">
        <x:f>IF('계산 과정'!$L$7,'계산 과정'!$C$49*('계산 과정'!$C$32-D762)+'계산 과정'!$D$49*('계산 과정'!$D$32-E762)+'계산 과정'!$E$49*'계산 과정'!$E$32,"")</x:f>
        <x:v>6.592396706201384</x:v>
      </x:c>
      <x:c r="P762" s="4" t="n">
        <x:f>IF(AND('계산 과정'!$L$7,O762&lt;&gt;0),('계산 과정'!$L$23-'계산 과정'!$C$49*D762-'계산 과정'!$D$49*E762)/O762,"")</x:f>
        <x:v>61.67596017450299</x:v>
      </x:c>
      <x:c r="Q762" s="4" t="str">
        <x:f>IF(AND(ISNUMBER(P762),P762&gt;1E-9,P762&lt;1-1E-9),'계산 과정'!$C$47*(D762-'계산 과정'!$C$50+P762*('계산 과정'!$C$32-D762))+'계산 과정'!$D$47*(E762-'계산 과정'!$D$50+P762*('계산 과정'!$D$32-E762))+'계산 과정'!$E$47*(0-'계산 과정'!$E$50+P762*('계산 과정'!$E$32-0)),"")</x:f>
      </x:c>
      <x:c r="R762" s="4" t="str">
        <x:f>IF(AND(ISNUMBER(P762),P762&gt;1E-9,P762&lt;1-1E-9),'계산 과정'!$C$48*(D762-'계산 과정'!$C$50+P762*('계산 과정'!$C$32-D762))+'계산 과정'!$D$48*(E762-'계산 과정'!$D$50+P762*('계산 과정'!$D$32-E762))+'계산 과정'!$E$48*(0-'계산 과정'!$E$50+P762*('계산 과정'!$E$32-0)),"")</x:f>
      </x:c>
      <x:c r="S762" s="17" t="n">
        <x:f>IF('계산 과정'!$C$78,IF(AND(ISNUMBER(Q762),ISNUMBER(R762),ABS(Q762-'계산 과정'!$C$88)&lt;='계산 과정'!$D$23/2,ABS(R762-'계산 과정'!$C$89)&lt;='계산 과정'!$D$24/2),1,0),"")</x:f>
        <x:v>0</x:v>
      </x:c>
      <x:c r="T762" s="4"/>
      <x:c r="U762" s="4"/>
      <x:c r="V762" s="4"/>
      <x:c r="W762" s="4"/>
      <x:c r="X762" s="4"/>
      <x:c r="Y762" s="4"/>
      <x:c r="Z762" s="4"/>
    </x:row>
    <x:row r="763" ht="23" customHeight="1">
      <x:c r="A763" s="17" t="n">
        <x:f>ROW()-6</x:f>
        <x:v>757</x:v>
      </x:c>
      <x:c r="B763" s="4" t="n">
        <x:f>IF('계산 과정'!$L$5,'계산 과정'!$L$11*SQRT((A763+0.5)/'계산 과정'!$L$30),"")</x:f>
        <x:v>91.2257833876339</x:v>
      </x:c>
      <x:c r="C763" s="4" t="n">
        <x:f>A763*PI()*(3-SQRT(5))</x:f>
        <x:v>1816.7721649045902</x:v>
      </x:c>
      <x:c r="D763" s="4" t="n">
        <x:f>IF('계산 과정'!$L$5,B763*COS(C763),"")</x:f>
        <x:v>54.4199832900355</x:v>
      </x:c>
      <x:c r="E763" s="4" t="n">
        <x:f>IF('계산 과정'!$L$5,B763*SIN(C763),"")</x:f>
        <x:v>73.21617972415494</x:v>
      </x:c>
      <x:c r="F763" s="4" t="n">
        <x:f>IF('계산 과정'!$L$7,'계산 과정'!$L$22+'계산 과정'!$C$49*D763+'계산 과정'!$D$49*E763,"")</x:f>
        <x:v>611.5192607835573</x:v>
      </x:c>
      <x:c r="G763" s="4" t="n">
        <x:f>IF('계산 과정'!$L$7,IF(ABS(F763)&gt;=1E-12*MAX(1,SQRT((D763-'계산 과정'!$C$33)^2+(E763-'계산 과정'!$D$33)^2+'계산 과정'!$E$33^2)),('계산 과정'!$L$23-'계산 과정'!$C$49*D763-'계산 과정'!$D$49*E763)/F763,""),"")</x:f>
        <x:v>0.7170350426159998</x:v>
      </x:c>
      <x:c r="H763" s="4" t="n">
        <x:f>IF(AND(ISNUMBER(G763),G763&gt;0),('계산 과정'!$D$56+'계산 과정'!$D$57*D763+'계산 과정'!$D$58*E763)/F763,"")</x:f>
        <x:v>66.07277770039977</x:v>
      </x:c>
      <x:c r="I763" s="4" t="n">
        <x:f>IF(AND(ISNUMBER(G763),G763&gt;0),('계산 과정'!$E$56+'계산 과정'!$E$57*D763+'계산 과정'!$E$58*E763)/F763,"")</x:f>
        <x:v>125.71474627284506</x:v>
      </x:c>
      <x:c r="J763" s="4" t="n">
        <x:f>IF('계산 과정'!$L$5,'계산 과정'!$D$6+'계산 과정'!$C$35*D763+'계산 과정'!$D$35*E763,"")</x:f>
        <x:v>611.5192607835573</x:v>
      </x:c>
      <x:c r="K763" s="4" t="n">
        <x:f>IF(AND('계산 과정'!$L$6,J763&gt;0),'계산 과정'!$D$10*('계산 과정'!$C$38*(D763-'계산 과정'!$C$32)+'계산 과정'!$D$38*(E763-'계산 과정'!$D$32)-'계산 과정'!$E$38*'계산 과정'!$E$32)/J763,"")</x:f>
        <x:v>0.5034116396220943</x:v>
      </x:c>
      <x:c r="L763" s="4" t="n">
        <x:f>IF(AND('계산 과정'!$L$6,J763&gt;0),'계산 과정'!$D$10*('계산 과정'!$C$39*(D763-'계산 과정'!$C$32)+'계산 과정'!$D$39*(E763-'계산 과정'!$D$32)-'계산 과정'!$E$39*'계산 과정'!$E$32)/J763,"")</x:f>
        <x:v>0.9578266382692958</x:v>
      </x:c>
      <x:c r="M763" s="17" t="n">
        <x:f>IF('계산 과정'!$L$6,IF(J763&lt;=0,0,IF(AND(ABS(K763)&lt;='계산 과정'!$D$11/2,ABS(L763)&lt;='계산 과정'!$D$12/2),1,0)),"")</x:f>
        <x:v>1</x:v>
      </x:c>
      <x:c r="N763" s="17" t="n">
        <x:f>IF('계산 과정'!$C$78,IF(AND(ISNUMBER(H763),ISNUMBER(I763),ABS(H763-'계산 과정'!$C$88)&lt;='계산 과정'!$D$23/2,ABS(I763-'계산 과정'!$C$89)&lt;='계산 과정'!$D$24/2),1,0),"")</x:f>
        <x:v>1</x:v>
      </x:c>
      <x:c r="O763" s="4" t="n">
        <x:f>IF('계산 과정'!$L$7,'계산 과정'!$C$49*('계산 과정'!$C$32-D763)+'계산 과정'!$D$49*('계산 과정'!$D$32-E763)+'계산 과정'!$E$49*'계산 과정'!$E$32,"")</x:f>
        <x:v>38.48073921644277</x:v>
      </x:c>
      <x:c r="P763" s="4" t="n">
        <x:f>IF(AND('계산 과정'!$L$7,O763&lt;&gt;0),('계산 과정'!$L$23-'계산 과정'!$C$49*D763-'계산 과정'!$D$49*E763)/O763,"")</x:f>
        <x:v>11.394810706471056</x:v>
      </x:c>
      <x:c r="Q763" s="4" t="str">
        <x:f>IF(AND(ISNUMBER(P763),P763&gt;1E-9,P763&lt;1-1E-9),'계산 과정'!$C$47*(D763-'계산 과정'!$C$50+P763*('계산 과정'!$C$32-D763))+'계산 과정'!$D$47*(E763-'계산 과정'!$D$50+P763*('계산 과정'!$D$32-E763))+'계산 과정'!$E$47*(0-'계산 과정'!$E$50+P763*('계산 과정'!$E$32-0)),"")</x:f>
      </x:c>
      <x:c r="R763" s="4" t="str">
        <x:f>IF(AND(ISNUMBER(P763),P763&gt;1E-9,P763&lt;1-1E-9),'계산 과정'!$C$48*(D763-'계산 과정'!$C$50+P763*('계산 과정'!$C$32-D763))+'계산 과정'!$D$48*(E763-'계산 과정'!$D$50+P763*('계산 과정'!$D$32-E763))+'계산 과정'!$E$48*(0-'계산 과정'!$E$50+P763*('계산 과정'!$E$32-0)),"")</x:f>
      </x:c>
      <x:c r="S763" s="17" t="n">
        <x:f>IF('계산 과정'!$C$78,IF(AND(ISNUMBER(Q763),ISNUMBER(R763),ABS(Q763-'계산 과정'!$C$88)&lt;='계산 과정'!$D$23/2,ABS(R763-'계산 과정'!$C$89)&lt;='계산 과정'!$D$24/2),1,0),"")</x:f>
        <x:v>0</x:v>
      </x:c>
      <x:c r="T763" s="4"/>
      <x:c r="U763" s="4"/>
      <x:c r="V763" s="4"/>
      <x:c r="W763" s="4"/>
      <x:c r="X763" s="4"/>
      <x:c r="Y763" s="4"/>
      <x:c r="Z763" s="4"/>
    </x:row>
    <x:row r="764" ht="23" customHeight="1">
      <x:c r="A764" s="17" t="n">
        <x:f>ROW()-6</x:f>
        <x:v>758</x:v>
      </x:c>
      <x:c r="B764" s="4" t="n">
        <x:f>IF('계산 과정'!$L$5,'계산 과정'!$L$11*SQRT((A764+0.5)/'계산 과정'!$L$30),"")</x:f>
        <x:v>91.28597856633023</x:v>
      </x:c>
      <x:c r="C764" s="4" t="n">
        <x:f>A764*PI()*(3-SQRT(5))</x:f>
        <x:v>1819.1721281343189</x:v>
      </x:c>
      <x:c r="D764" s="4" t="n">
        <x:f>IF('계산 과정'!$L$5,B764*COS(C764),"")</x:f>
        <x:v>-89.64353293856729</x:v>
      </x:c>
      <x:c r="E764" s="4" t="n">
        <x:f>IF('계산 과정'!$L$5,B764*SIN(C764),"")</x:f>
        <x:v>-17.238529087613657</x:v>
      </x:c>
      <x:c r="F764" s="4" t="n">
        <x:f>IF('계산 과정'!$L$7,'계산 과정'!$L$22+'계산 과정'!$C$49*D764+'계산 과정'!$D$49*E764,"")</x:f>
        <x:v>713.3875500303806</x:v>
      </x:c>
      <x:c r="G764" s="4" t="n">
        <x:f>IF('계산 과정'!$L$7,IF(ABS(F764)&gt;=1E-12*MAX(1,SQRT((D764-'계산 과정'!$C$33)^2+(E764-'계산 과정'!$D$33)^2+'계산 과정'!$E$33^2)),('계산 과정'!$L$23-'계산 과정'!$C$49*D764-'계산 과정'!$D$49*E764)/F764,""),"")</x:f>
        <x:v>0.47185074922499604</x:v>
      </x:c>
      <x:c r="H764" s="4" t="n">
        <x:f>IF(AND(ISNUMBER(G764),G764&gt;0),('계산 과정'!$D$56+'계산 과정'!$D$57*D764+'계산 과정'!$D$58*E764)/F764,"")</x:f>
        <x:v>-93.29701300375268</x:v>
      </x:c>
      <x:c r="I764" s="4" t="n">
        <x:f>IF(AND(ISNUMBER(G764),G764&gt;0),('계산 과정'!$E$56+'계산 과정'!$E$57*D764+'계산 과정'!$E$58*E764)/F764,"")</x:f>
        <x:v>-25.37254195314105</x:v>
      </x:c>
      <x:c r="J764" s="4" t="n">
        <x:f>IF('계산 과정'!$L$5,'계산 과정'!$D$6+'계산 과정'!$C$35*D764+'계산 과정'!$D$35*E764,"")</x:f>
        <x:v>713.3875500303806</x:v>
      </x:c>
      <x:c r="K764" s="4" t="n">
        <x:f>IF(AND('계산 과정'!$L$6,J764&gt;0),'계산 과정'!$D$10*('계산 과정'!$C$38*(D764-'계산 과정'!$C$32)+'계산 과정'!$D$38*(E764-'계산 과정'!$D$32)-'계산 과정'!$E$38*'계산 과정'!$E$32)/J764,"")</x:f>
        <x:v>-0.7108343847904957</x:v>
      </x:c>
      <x:c r="L764" s="4" t="n">
        <x:f>IF(AND('계산 과정'!$L$6,J764&gt;0),'계산 과정'!$D$10*('계산 과정'!$C$39*(D764-'계산 과정'!$C$32)+'계산 과정'!$D$39*(E764-'계산 과정'!$D$32)-'계산 과정'!$E$39*'계산 과정'!$E$32)/J764,"")</x:f>
        <x:v>-0.19331460535726513</x:v>
      </x:c>
      <x:c r="M764" s="17" t="n">
        <x:f>IF('계산 과정'!$L$6,IF(J764&lt;=0,0,IF(AND(ABS(K764)&lt;='계산 과정'!$D$11/2,ABS(L764)&lt;='계산 과정'!$D$12/2),1,0)),"")</x:f>
        <x:v>1</x:v>
      </x:c>
      <x:c r="N764" s="17" t="n">
        <x:f>IF('계산 과정'!$C$78,IF(AND(ISNUMBER(H764),ISNUMBER(I764),ABS(H764-'계산 과정'!$C$88)&lt;='계산 과정'!$D$23/2,ABS(I764-'계산 과정'!$C$89)&lt;='계산 과정'!$D$24/2),1,0),"")</x:f>
        <x:v>1</x:v>
      </x:c>
      <x:c r="O764" s="4" t="n">
        <x:f>IF('계산 과정'!$L$7,'계산 과정'!$C$49*('계산 과정'!$C$32-D764)+'계산 과정'!$D$49*('계산 과정'!$D$32-E764)+'계산 과정'!$E$49*'계산 과정'!$E$32,"")</x:f>
        <x:v>-63.38755003038045</x:v>
      </x:c>
      <x:c r="P764" s="4" t="n">
        <x:f>IF(AND('계산 과정'!$L$7,O764&lt;&gt;0),('계산 과정'!$L$23-'계산 과정'!$C$49*D764-'계산 과정'!$D$49*E764)/O764,"")</x:f>
        <x:v>-5.310387446876988</x:v>
      </x:c>
      <x:c r="Q764" s="4" t="str">
        <x:f>IF(AND(ISNUMBER(P764),P764&gt;1E-9,P764&lt;1-1E-9),'계산 과정'!$C$47*(D764-'계산 과정'!$C$50+P764*('계산 과정'!$C$32-D764))+'계산 과정'!$D$47*(E764-'계산 과정'!$D$50+P764*('계산 과정'!$D$32-E764))+'계산 과정'!$E$47*(0-'계산 과정'!$E$50+P764*('계산 과정'!$E$32-0)),"")</x:f>
      </x:c>
      <x:c r="R764" s="4" t="str">
        <x:f>IF(AND(ISNUMBER(P764),P764&gt;1E-9,P764&lt;1-1E-9),'계산 과정'!$C$48*(D764-'계산 과정'!$C$50+P764*('계산 과정'!$C$32-D764))+'계산 과정'!$D$48*(E764-'계산 과정'!$D$50+P764*('계산 과정'!$D$32-E764))+'계산 과정'!$E$48*(0-'계산 과정'!$E$50+P764*('계산 과정'!$E$32-0)),"")</x:f>
      </x:c>
      <x:c r="S764" s="17" t="n">
        <x:f>IF('계산 과정'!$C$78,IF(AND(ISNUMBER(Q764),ISNUMBER(R764),ABS(Q764-'계산 과정'!$C$88)&lt;='계산 과정'!$D$23/2,ABS(R764-'계산 과정'!$C$89)&lt;='계산 과정'!$D$24/2),1,0),"")</x:f>
        <x:v>0</x:v>
      </x:c>
      <x:c r="T764" s="4"/>
      <x:c r="U764" s="4"/>
      <x:c r="V764" s="4"/>
      <x:c r="W764" s="4"/>
      <x:c r="X764" s="4"/>
      <x:c r="Y764" s="4"/>
      <x:c r="Z764" s="4"/>
    </x:row>
    <x:row r="765" ht="23" customHeight="1">
      <x:c r="A765" s="17" t="n">
        <x:f>ROW()-6</x:f>
        <x:v>759</x:v>
      </x:c>
      <x:c r="B765" s="4" t="n">
        <x:f>IF('계산 과정'!$L$5,'계산 과정'!$L$11*SQRT((A765+0.5)/'계산 과정'!$L$30),"")</x:f>
        <x:v>91.34613407768005</x:v>
      </x:c>
      <x:c r="C765" s="4" t="n">
        <x:f>A765*PI()*(3-SQRT(5))</x:f>
        <x:v>1821.5720913640478</x:v>
      </x:c>
      <x:c r="D765" s="4" t="n">
        <x:f>IF('계산 과정'!$L$5,B765*COS(C765),"")</x:f>
        <x:v>77.79604256649287</x:v>
      </x:c>
      <x:c r="E765" s="4" t="n">
        <x:f>IF('계산 과정'!$L$5,B765*SIN(C765),"")</x:f>
        <x:v>-47.8737085667063</x:v>
      </x:c>
      <x:c r="F765" s="4" t="n">
        <x:f>IF('계산 과정'!$L$7,'계산 과정'!$L$22+'계산 과정'!$C$49*D765+'계산 과정'!$D$49*E765,"")</x:f>
        <x:v>594.9898907517556</x:v>
      </x:c>
      <x:c r="G765" s="4" t="n">
        <x:f>IF('계산 과정'!$L$7,IF(ABS(F765)&gt;=1E-12*MAX(1,SQRT((D765-'계산 과정'!$C$33)^2+(E765-'계산 과정'!$D$33)^2+'계산 과정'!$E$33^2)),('계산 과정'!$L$23-'계산 과정'!$C$49*D765-'계산 과정'!$D$49*E765)/F765,""),"")</x:f>
        <x:v>0.7647358658032827</x:v>
      </x:c>
      <x:c r="H765" s="4" t="n">
        <x:f>IF(AND(ISNUMBER(G765),G765&gt;0),('계산 과정'!$D$56+'계산 과정'!$D$57*D765+'계산 과정'!$D$58*E765)/F765,"")</x:f>
        <x:v>97.07831277213367</x:v>
      </x:c>
      <x:c r="I765" s="4" t="n">
        <x:f>IF(AND(ISNUMBER(G765),G765&gt;0),('계산 과정'!$E$56+'계산 과정'!$E$57*D765+'계산 과정'!$E$58*E765)/F765,"")</x:f>
        <x:v>-84.48445053668047</x:v>
      </x:c>
      <x:c r="J765" s="4" t="n">
        <x:f>IF('계산 과정'!$L$5,'계산 과정'!$D$6+'계산 과정'!$C$35*D765+'계산 과정'!$D$35*E765,"")</x:f>
        <x:v>594.9898907517556</x:v>
      </x:c>
      <x:c r="K765" s="4" t="n">
        <x:f>IF(AND('계산 과정'!$L$6,J765&gt;0),'계산 과정'!$D$10*('계산 과정'!$C$38*(D765-'계산 과정'!$C$32)+'계산 과정'!$D$38*(E765-'계산 과정'!$D$32)-'계산 과정'!$E$38*'계산 과정'!$E$32)/J765,"")</x:f>
        <x:v>0.7396442877876859</x:v>
      </x:c>
      <x:c r="L765" s="4" t="n">
        <x:f>IF(AND('계산 과정'!$L$6,J765&gt;0),'계산 과정'!$D$10*('계산 과정'!$C$39*(D765-'계산 과정'!$C$32)+'계산 과정'!$D$39*(E765-'계산 과정'!$D$32)-'계산 과정'!$E$39*'계산 과정'!$E$32)/J765,"")</x:f>
        <x:v>-0.6436910517080416</x:v>
      </x:c>
      <x:c r="M765" s="17" t="n">
        <x:f>IF('계산 과정'!$L$6,IF(J765&lt;=0,0,IF(AND(ABS(K765)&lt;='계산 과정'!$D$11/2,ABS(L765)&lt;='계산 과정'!$D$12/2),1,0)),"")</x:f>
        <x:v>1</x:v>
      </x:c>
      <x:c r="N765" s="17" t="n">
        <x:f>IF('계산 과정'!$C$78,IF(AND(ISNUMBER(H765),ISNUMBER(I765),ABS(H765-'계산 과정'!$C$88)&lt;='계산 과정'!$D$23/2,ABS(I765-'계산 과정'!$C$89)&lt;='계산 과정'!$D$24/2),1,0),"")</x:f>
        <x:v>1</x:v>
      </x:c>
      <x:c r="O765" s="4" t="n">
        <x:f>IF('계산 과정'!$L$7,'계산 과정'!$C$49*('계산 과정'!$C$32-D765)+'계산 과정'!$D$49*('계산 과정'!$D$32-E765)+'계산 과정'!$E$49*'계산 과정'!$E$32,"")</x:f>
        <x:v>55.01010924824453</x:v>
      </x:c>
      <x:c r="P765" s="4" t="n">
        <x:f>IF(AND('계산 과정'!$L$7,O765&lt;&gt;0),('계산 과정'!$L$23-'계산 과정'!$C$49*D765-'계산 과정'!$D$49*E765)/O765,"")</x:f>
        <x:v>8.271390758286207</x:v>
      </x:c>
      <x:c r="Q765" s="4" t="str">
        <x:f>IF(AND(ISNUMBER(P765),P765&gt;1E-9,P765&lt;1-1E-9),'계산 과정'!$C$47*(D765-'계산 과정'!$C$50+P765*('계산 과정'!$C$32-D765))+'계산 과정'!$D$47*(E765-'계산 과정'!$D$50+P765*('계산 과정'!$D$32-E765))+'계산 과정'!$E$47*(0-'계산 과정'!$E$50+P765*('계산 과정'!$E$32-0)),"")</x:f>
      </x:c>
      <x:c r="R765" s="4" t="str">
        <x:f>IF(AND(ISNUMBER(P765),P765&gt;1E-9,P765&lt;1-1E-9),'계산 과정'!$C$48*(D765-'계산 과정'!$C$50+P765*('계산 과정'!$C$32-D765))+'계산 과정'!$D$48*(E765-'계산 과정'!$D$50+P765*('계산 과정'!$D$32-E765))+'계산 과정'!$E$48*(0-'계산 과정'!$E$50+P765*('계산 과정'!$E$32-0)),"")</x:f>
      </x:c>
      <x:c r="S765" s="17" t="n">
        <x:f>IF('계산 과정'!$C$78,IF(AND(ISNUMBER(Q765),ISNUMBER(R765),ABS(Q765-'계산 과정'!$C$88)&lt;='계산 과정'!$D$23/2,ABS(R765-'계산 과정'!$C$89)&lt;='계산 과정'!$D$24/2),1,0),"")</x:f>
        <x:v>0</x:v>
      </x:c>
      <x:c r="T765" s="4"/>
      <x:c r="U765" s="4"/>
      <x:c r="V765" s="4"/>
      <x:c r="W765" s="4"/>
      <x:c r="X765" s="4"/>
      <x:c r="Y765" s="4"/>
      <x:c r="Z765" s="4"/>
    </x:row>
    <x:row r="766" ht="23" customHeight="1">
      <x:c r="A766" s="17" t="n">
        <x:f>ROW()-6</x:f>
        <x:v>760</x:v>
      </x:c>
      <x:c r="B766" s="4" t="n">
        <x:f>IF('계산 과정'!$L$5,'계산 과정'!$L$11*SQRT((A766+0.5)/'계산 과정'!$L$30),"")</x:f>
        <x:v>91.40625</x:v>
      </x:c>
      <x:c r="C766" s="4" t="n">
        <x:f>A766*PI()*(3-SQRT(5))</x:f>
        <x:v>1823.9720545937762</x:v>
      </x:c>
      <x:c r="D766" s="4" t="n">
        <x:f>IF('계산 과정'!$L$5,B766*COS(C766),"")</x:f>
        <x:v>-25.04262513434655</x:v>
      </x:c>
      <x:c r="E766" s="4" t="n">
        <x:f>IF('계산 과정'!$L$5,B766*SIN(C766),"")</x:f>
        <x:v>87.90887023186622</x:v>
      </x:c>
      <x:c r="F766" s="4" t="n">
        <x:f>IF('계산 과정'!$L$7,'계산 과정'!$L$22+'계산 과정'!$C$49*D766+'계산 과정'!$D$49*E766,"")</x:f>
        <x:v>667.7078100512091</x:v>
      </x:c>
      <x:c r="G766" s="4" t="n">
        <x:f>IF('계산 과정'!$L$7,IF(ABS(F766)&gt;=1E-12*MAX(1,SQRT((D766-'계산 과정'!$C$33)^2+(E766-'계산 과정'!$D$33)^2+'계산 과정'!$E$33^2)),('계산 과정'!$L$23-'계산 과정'!$C$49*D766-'계산 과정'!$D$49*E766)/F766,""),"")</x:f>
        <x:v>0.572544134116795</x:v>
      </x:c>
      <x:c r="H766" s="4" t="n">
        <x:f>IF(AND(ISNUMBER(G766),G766&gt;0),('계산 과정'!$D$56+'계산 과정'!$D$57*D766+'계산 과정'!$D$58*E766)/F766,"")</x:f>
        <x:v>-27.846312824083444</x:v>
      </x:c>
      <x:c r="I766" s="4" t="n">
        <x:f>IF(AND(ISNUMBER(G766),G766&gt;0),('계산 과정'!$E$56+'계산 과정'!$E$57*D766+'계산 과정'!$E$58*E766)/F766,"")</x:f>
        <x:v>138.24057821995575</x:v>
      </x:c>
      <x:c r="J766" s="4" t="n">
        <x:f>IF('계산 과정'!$L$5,'계산 과정'!$D$6+'계산 과정'!$C$35*D766+'계산 과정'!$D$35*E766,"")</x:f>
        <x:v>667.7078100512091</x:v>
      </x:c>
      <x:c r="K766" s="4" t="n">
        <x:f>IF(AND('계산 과정'!$L$6,J766&gt;0),'계산 과정'!$D$10*('계산 과정'!$C$38*(D766-'계산 과정'!$C$32)+'계산 과정'!$D$38*(E766-'계산 과정'!$D$32)-'계산 과정'!$E$38*'계산 과정'!$E$32)/J766,"")</x:f>
        <x:v>-0.2121623834215876</x:v>
      </x:c>
      <x:c r="L766" s="4" t="n">
        <x:f>IF(AND('계산 과정'!$L$6,J766&gt;0),'계산 과정'!$D$10*('계산 과정'!$C$39*(D766-'계산 과정'!$C$32)+'계산 과정'!$D$39*(E766-'계산 과정'!$D$32)-'계산 과정'!$E$39*'계산 과정'!$E$32)/J766,"")</x:f>
        <x:v>1.05326154834252</x:v>
      </x:c>
      <x:c r="M766" s="17" t="n">
        <x:f>IF('계산 과정'!$L$6,IF(J766&lt;=0,0,IF(AND(ABS(K766)&lt;='계산 과정'!$D$11/2,ABS(L766)&lt;='계산 과정'!$D$12/2),1,0)),"")</x:f>
        <x:v>1</x:v>
      </x:c>
      <x:c r="N766" s="17" t="n">
        <x:f>IF('계산 과정'!$C$78,IF(AND(ISNUMBER(H766),ISNUMBER(I766),ABS(H766-'계산 과정'!$C$88)&lt;='계산 과정'!$D$23/2,ABS(I766-'계산 과정'!$C$89)&lt;='계산 과정'!$D$24/2),1,0),"")</x:f>
        <x:v>1</x:v>
      </x:c>
      <x:c r="O766" s="4" t="n">
        <x:f>IF('계산 과정'!$L$7,'계산 과정'!$C$49*('계산 과정'!$C$32-D766)+'계산 과정'!$D$49*('계산 과정'!$D$32-E766)+'계산 과정'!$E$49*'계산 과정'!$E$32,"")</x:f>
        <x:v>-17.707810051209037</x:v>
      </x:c>
      <x:c r="P766" s="4" t="n">
        <x:f>IF(AND('계산 과정'!$L$7,O766&lt;&gt;0),('계산 과정'!$L$23-'계산 과정'!$C$49*D766-'계산 과정'!$D$49*E766)/O766,"")</x:f>
        <x:v>-21.588902797310563</x:v>
      </x:c>
      <x:c r="Q766" s="4" t="str">
        <x:f>IF(AND(ISNUMBER(P766),P766&gt;1E-9,P766&lt;1-1E-9),'계산 과정'!$C$47*(D766-'계산 과정'!$C$50+P766*('계산 과정'!$C$32-D766))+'계산 과정'!$D$47*(E766-'계산 과정'!$D$50+P766*('계산 과정'!$D$32-E766))+'계산 과정'!$E$47*(0-'계산 과정'!$E$50+P766*('계산 과정'!$E$32-0)),"")</x:f>
      </x:c>
      <x:c r="R766" s="4" t="str">
        <x:f>IF(AND(ISNUMBER(P766),P766&gt;1E-9,P766&lt;1-1E-9),'계산 과정'!$C$48*(D766-'계산 과정'!$C$50+P766*('계산 과정'!$C$32-D766))+'계산 과정'!$D$48*(E766-'계산 과정'!$D$50+P766*('계산 과정'!$D$32-E766))+'계산 과정'!$E$48*(0-'계산 과정'!$E$50+P766*('계산 과정'!$E$32-0)),"")</x:f>
      </x:c>
      <x:c r="S766" s="17" t="n">
        <x:f>IF('계산 과정'!$C$78,IF(AND(ISNUMBER(Q766),ISNUMBER(R766),ABS(Q766-'계산 과정'!$C$88)&lt;='계산 과정'!$D$23/2,ABS(R766-'계산 과정'!$C$89)&lt;='계산 과정'!$D$24/2),1,0),"")</x:f>
        <x:v>0</x:v>
      </x:c>
      <x:c r="T766" s="4"/>
      <x:c r="U766" s="4"/>
      <x:c r="V766" s="4"/>
      <x:c r="W766" s="4"/>
      <x:c r="X766" s="4"/>
      <x:c r="Y766" s="4"/>
      <x:c r="Z766" s="4"/>
    </x:row>
    <x:row r="767" ht="23" customHeight="1">
      <x:c r="A767" s="17" t="n">
        <x:f>ROW()-6</x:f>
        <x:v>761</x:v>
      </x:c>
      <x:c r="B767" s="4" t="n">
        <x:f>IF('계산 과정'!$L$5,'계산 과정'!$L$11*SQRT((A767+0.5)/'계산 과정'!$L$30),"")</x:f>
        <x:v>91.46632641134933</x:v>
      </x:c>
      <x:c r="C767" s="4" t="n">
        <x:f>A767*PI()*(3-SQRT(5))</x:f>
        <x:v>1826.3720178235048</x:v>
      </x:c>
      <x:c r="D767" s="4" t="n">
        <x:f>IF('계산 과정'!$L$5,B767*COS(C767),"")</x:f>
        <x:v>-40.942828065667506</x:v>
      </x:c>
      <x:c r="E767" s="4" t="n">
        <x:f>IF('계산 과정'!$L$5,B767*SIN(C767),"")</x:f>
        <x:v>-81.79103677770988</x:v>
      </x:c>
      <x:c r="F767" s="4" t="n">
        <x:f>IF('계산 과정'!$L$7,'계산 과정'!$L$22+'계산 과정'!$C$49*D767+'계산 과정'!$D$49*E767,"")</x:f>
        <x:v>678.9509513661884</x:v>
      </x:c>
      <x:c r="G767" s="4" t="n">
        <x:f>IF('계산 과정'!$L$7,IF(ABS(F767)&gt;=1E-12*MAX(1,SQRT((D767-'계산 과정'!$C$33)^2+(E767-'계산 과정'!$D$33)^2+'계산 과정'!$E$33^2)),('계산 과정'!$L$23-'계산 과정'!$C$49*D767-'계산 과정'!$D$49*E767)/F767,""),"")</x:f>
        <x:v>0.5465034666895817</x:v>
      </x:c>
      <x:c r="H767" s="4" t="n">
        <x:f>IF(AND(ISNUMBER(G767),G767&gt;0),('계산 과정'!$D$56+'계산 과정'!$D$57*D767+'계산 과정'!$D$58*E767)/F767,"")</x:f>
        <x:v>-44.772746651771946</x:v>
      </x:c>
      <x:c r="I767" s="4" t="n">
        <x:f>IF(AND(ISNUMBER(G767),G767&gt;0),('계산 과정'!$E$56+'계산 과정'!$E$57*D767+'계산 과정'!$E$58*E767)/F767,"")</x:f>
        <x:v>-126.4901219208634</x:v>
      </x:c>
      <x:c r="J767" s="4" t="n">
        <x:f>IF('계산 과정'!$L$5,'계산 과정'!$D$6+'계산 과정'!$C$35*D767+'계산 과정'!$D$35*E767,"")</x:f>
        <x:v>678.9509513661884</x:v>
      </x:c>
      <x:c r="K767" s="4" t="n">
        <x:f>IF(AND('계산 과정'!$L$6,J767&gt;0),'계산 과정'!$D$10*('계산 과정'!$C$38*(D767-'계산 과정'!$C$32)+'계산 과정'!$D$38*(E767-'계산 과정'!$D$32)-'계산 과정'!$E$38*'계산 과정'!$E$32)/J767,"")</x:f>
        <x:v>-0.3411256887754046</x:v>
      </x:c>
      <x:c r="L767" s="4" t="n">
        <x:f>IF(AND('계산 과정'!$L$6,J767&gt;0),'계산 과정'!$D$10*('계산 과정'!$C$39*(D767-'계산 과정'!$C$32)+'계산 과정'!$D$39*(E767-'계산 과정'!$D$32)-'계산 과정'!$E$39*'계산 과정'!$E$32)/J767,"")</x:f>
        <x:v>-0.9637342622541973</x:v>
      </x:c>
      <x:c r="M767" s="17" t="n">
        <x:f>IF('계산 과정'!$L$6,IF(J767&lt;=0,0,IF(AND(ABS(K767)&lt;='계산 과정'!$D$11/2,ABS(L767)&lt;='계산 과정'!$D$12/2),1,0)),"")</x:f>
        <x:v>1</x:v>
      </x:c>
      <x:c r="N767" s="17" t="n">
        <x:f>IF('계산 과정'!$C$78,IF(AND(ISNUMBER(H767),ISNUMBER(I767),ABS(H767-'계산 과정'!$C$88)&lt;='계산 과정'!$D$23/2,ABS(I767-'계산 과정'!$C$89)&lt;='계산 과정'!$D$24/2),1,0),"")</x:f>
        <x:v>1</x:v>
      </x:c>
      <x:c r="O767" s="4" t="n">
        <x:f>IF('계산 과정'!$L$7,'계산 과정'!$C$49*('계산 과정'!$C$32-D767)+'계산 과정'!$D$49*('계산 과정'!$D$32-E767)+'계산 과정'!$E$49*'계산 과정'!$E$32,"")</x:f>
        <x:v>-28.950951366188292</x:v>
      </x:c>
      <x:c r="P767" s="4" t="n">
        <x:f>IF(AND('계산 과정'!$L$7,O767&lt;&gt;0),('계산 과정'!$L$23-'계산 과정'!$C$49*D767-'계산 과정'!$D$49*E767)/O767,"")</x:f>
        <x:v>-12.816471691744072</x:v>
      </x:c>
      <x:c r="Q767" s="4" t="str">
        <x:f>IF(AND(ISNUMBER(P767),P767&gt;1E-9,P767&lt;1-1E-9),'계산 과정'!$C$47*(D767-'계산 과정'!$C$50+P767*('계산 과정'!$C$32-D767))+'계산 과정'!$D$47*(E767-'계산 과정'!$D$50+P767*('계산 과정'!$D$32-E767))+'계산 과정'!$E$47*(0-'계산 과정'!$E$50+P767*('계산 과정'!$E$32-0)),"")</x:f>
      </x:c>
      <x:c r="R767" s="4" t="str">
        <x:f>IF(AND(ISNUMBER(P767),P767&gt;1E-9,P767&lt;1-1E-9),'계산 과정'!$C$48*(D767-'계산 과정'!$C$50+P767*('계산 과정'!$C$32-D767))+'계산 과정'!$D$48*(E767-'계산 과정'!$D$50+P767*('계산 과정'!$D$32-E767))+'계산 과정'!$E$48*(0-'계산 과정'!$E$50+P767*('계산 과정'!$E$32-0)),"")</x:f>
      </x:c>
      <x:c r="S767" s="17" t="n">
        <x:f>IF('계산 과정'!$C$78,IF(AND(ISNUMBER(Q767),ISNUMBER(R767),ABS(Q767-'계산 과정'!$C$88)&lt;='계산 과정'!$D$23/2,ABS(R767-'계산 과정'!$C$89)&lt;='계산 과정'!$D$24/2),1,0),"")</x:f>
        <x:v>0</x:v>
      </x:c>
      <x:c r="T767" s="4"/>
      <x:c r="U767" s="4"/>
      <x:c r="V767" s="4"/>
      <x:c r="W767" s="4"/>
      <x:c r="X767" s="4"/>
      <x:c r="Y767" s="4"/>
      <x:c r="Z767" s="4"/>
    </x:row>
    <x:row r="768" ht="23" customHeight="1">
      <x:c r="A768" s="17" t="n">
        <x:f>ROW()-6</x:f>
        <x:v>762</x:v>
      </x:c>
      <x:c r="B768" s="4" t="n">
        <x:f>IF('계산 과정'!$L$5,'계산 과정'!$L$11*SQRT((A768+0.5)/'계산 과정'!$L$30),"")</x:f>
        <x:v>91.5263633895311</x:v>
      </x:c>
      <x:c r="C768" s="4" t="n">
        <x:f>A768*PI()*(3-SQRT(5))</x:f>
        <x:v>1828.7719810532333</x:v>
      </x:c>
      <x:c r="D768" s="4" t="n">
        <x:f>IF('계산 과정'!$L$5,B768*COS(C768),"")</x:f>
        <x:v>85.49509945053273</x:v>
      </x:c>
      <x:c r="E768" s="4" t="n">
        <x:f>IF('계산 과정'!$L$5,B768*SIN(C768),"")</x:f>
        <x:v>32.675115382443806</x:v>
      </x:c>
      <x:c r="F768" s="4" t="n">
        <x:f>IF('계산 과정'!$L$7,'계산 과정'!$L$22+'계산 과정'!$C$49*D768+'계산 과정'!$D$49*E768,"")</x:f>
        <x:v>589.54583542031</x:v>
      </x:c>
      <x:c r="G768" s="4" t="n">
        <x:f>IF('계산 과정'!$L$7,IF(ABS(F768)&gt;=1E-12*MAX(1,SQRT((D768-'계산 과정'!$C$33)^2+(E768-'계산 과정'!$D$33)^2+'계산 과정'!$E$33^2)),('계산 과정'!$L$23-'계산 과정'!$C$49*D768-'계산 과정'!$D$49*E768)/F768,""),"")</x:f>
        <x:v>0.7810320027982462</x:v>
      </x:c>
      <x:c r="H768" s="4" t="n">
        <x:f>IF(AND(ISNUMBER(G768),G768&gt;0),('계산 과정'!$D$56+'계산 과정'!$D$57*D768+'계산 과정'!$D$58*E768)/F768,"")</x:f>
        <x:v>107.67080181885993</x:v>
      </x:c>
      <x:c r="I768" s="4" t="n">
        <x:f>IF(AND(ISNUMBER(G768),G768&gt;0),('계산 과정'!$E$56+'계산 과정'!$E$57*D768+'계산 과정'!$E$58*E768)/F768,"")</x:f>
        <x:v>58.195426191257674</x:v>
      </x:c>
      <x:c r="J768" s="4" t="n">
        <x:f>IF('계산 과정'!$L$5,'계산 과정'!$D$6+'계산 과정'!$C$35*D768+'계산 과정'!$D$35*E768,"")</x:f>
        <x:v>589.54583542031</x:v>
      </x:c>
      <x:c r="K768" s="4" t="n">
        <x:f>IF(AND('계산 과정'!$L$6,J768&gt;0),'계산 과정'!$D$10*('계산 과정'!$C$38*(D768-'계산 과정'!$C$32)+'계산 과정'!$D$38*(E768-'계산 과정'!$D$32)-'계산 과정'!$E$38*'계산 과정'!$E$32)/J768,"")</x:f>
        <x:v>0.8203489662389335</x:v>
      </x:c>
      <x:c r="L768" s="4" t="n">
        <x:f>IF(AND('계산 과정'!$L$6,J768&gt;0),'계산 과정'!$D$10*('계산 과정'!$C$39*(D768-'계산 과정'!$C$32)+'계산 과정'!$D$39*(E768-'계산 과정'!$D$32)-'계산 과정'!$E$39*'계산 과정'!$E$32)/J768,"")</x:f>
        <x:v>0.44339372336196325</x:v>
      </x:c>
      <x:c r="M768" s="17" t="n">
        <x:f>IF('계산 과정'!$L$6,IF(J768&lt;=0,0,IF(AND(ABS(K768)&lt;='계산 과정'!$D$11/2,ABS(L768)&lt;='계산 과정'!$D$12/2),1,0)),"")</x:f>
        <x:v>1</x:v>
      </x:c>
      <x:c r="N768" s="17" t="n">
        <x:f>IF('계산 과정'!$C$78,IF(AND(ISNUMBER(H768),ISNUMBER(I768),ABS(H768-'계산 과정'!$C$88)&lt;='계산 과정'!$D$23/2,ABS(I768-'계산 과정'!$C$89)&lt;='계산 과정'!$D$24/2),1,0),"")</x:f>
        <x:v>1</x:v>
      </x:c>
      <x:c r="O768" s="4" t="n">
        <x:f>IF('계산 과정'!$L$7,'계산 과정'!$C$49*('계산 과정'!$C$32-D768)+'계산 과정'!$D$49*('계산 과정'!$D$32-E768)+'계산 과정'!$E$49*'계산 과정'!$E$32,"")</x:f>
        <x:v>60.45416457969009</x:v>
      </x:c>
      <x:c r="P768" s="4" t="n">
        <x:f>IF(AND('계산 과정'!$L$7,O768&lt;&gt;0),('계산 과정'!$L$23-'계산 과정'!$C$49*D768-'계산 과정'!$D$49*E768)/O768,"")</x:f>
        <x:v>7.616583039084492</x:v>
      </x:c>
      <x:c r="Q768" s="4" t="str">
        <x:f>IF(AND(ISNUMBER(P768),P768&gt;1E-9,P768&lt;1-1E-9),'계산 과정'!$C$47*(D768-'계산 과정'!$C$50+P768*('계산 과정'!$C$32-D768))+'계산 과정'!$D$47*(E768-'계산 과정'!$D$50+P768*('계산 과정'!$D$32-E768))+'계산 과정'!$E$47*(0-'계산 과정'!$E$50+P768*('계산 과정'!$E$32-0)),"")</x:f>
      </x:c>
      <x:c r="R768" s="4" t="str">
        <x:f>IF(AND(ISNUMBER(P768),P768&gt;1E-9,P768&lt;1-1E-9),'계산 과정'!$C$48*(D768-'계산 과정'!$C$50+P768*('계산 과정'!$C$32-D768))+'계산 과정'!$D$48*(E768-'계산 과정'!$D$50+P768*('계산 과정'!$D$32-E768))+'계산 과정'!$E$48*(0-'계산 과정'!$E$50+P768*('계산 과정'!$E$32-0)),"")</x:f>
      </x:c>
      <x:c r="S768" s="17" t="n">
        <x:f>IF('계산 과정'!$C$78,IF(AND(ISNUMBER(Q768),ISNUMBER(R768),ABS(Q768-'계산 과정'!$C$88)&lt;='계산 과정'!$D$23/2,ABS(R768-'계산 과정'!$C$89)&lt;='계산 과정'!$D$24/2),1,0),"")</x:f>
        <x:v>0</x:v>
      </x:c>
      <x:c r="T768" s="4"/>
      <x:c r="U768" s="4"/>
      <x:c r="V768" s="4"/>
      <x:c r="W768" s="4"/>
      <x:c r="X768" s="4"/>
      <x:c r="Y768" s="4"/>
      <x:c r="Z768" s="4"/>
    </x:row>
    <x:row r="769" ht="23" customHeight="1">
      <x:c r="A769" s="17" t="n">
        <x:f>ROW()-6</x:f>
        <x:v>763</x:v>
      </x:c>
      <x:c r="B769" s="4" t="n">
        <x:f>IF('계산 과정'!$L$5,'계산 과정'!$L$11*SQRT((A769+0.5)/'계산 과정'!$L$30),"")</x:f>
        <x:v>91.58636101209338</x:v>
      </x:c>
      <x:c r="C769" s="4" t="n">
        <x:f>A769*PI()*(3-SQRT(5))</x:f>
        <x:v>1831.1719442829624</x:v>
      </x:c>
      <x:c r="D769" s="4" t="n">
        <x:f>IF('계산 과정'!$L$5,B769*COS(C769),"")</x:f>
        <x:v>-85.16894248166778</x:v>
      </x:c>
      <x:c r="E769" s="4" t="n">
        <x:f>IF('계산 과정'!$L$5,B769*SIN(C769),"")</x:f>
        <x:v>33.67955997325177</x:v>
      </x:c>
      <x:c r="F769" s="4" t="n">
        <x:f>IF('계산 과정'!$L$7,'계산 과정'!$L$22+'계산 과정'!$C$49*D769+'계산 과정'!$D$49*E769,"")</x:f>
        <x:v>710.2235367752743</x:v>
      </x:c>
      <x:c r="G769" s="4" t="n">
        <x:f>IF('계산 과정'!$L$7,IF(ABS(F769)&gt;=1E-12*MAX(1,SQRT((D769-'계산 과정'!$C$33)^2+(E769-'계산 과정'!$D$33)^2+'계산 과정'!$E$33^2)),('계산 과정'!$L$23-'계산 과정'!$C$49*D769-'계산 과정'!$D$49*E769)/F769,""),"")</x:f>
        <x:v>0.4784077767507672</x:v>
      </x:c>
      <x:c r="H769" s="4" t="n">
        <x:f>IF(AND(ISNUMBER(G769),G769&gt;0),('계산 과정'!$D$56+'계산 과정'!$D$57*D769+'계산 과정'!$D$58*E769)/F769,"")</x:f>
        <x:v>-89.0349451120015</x:v>
      </x:c>
      <x:c r="I769" s="4" t="n">
        <x:f>IF(AND(ISNUMBER(G769),G769&gt;0),('계산 과정'!$E$56+'계산 과정'!$E$57*D769+'계산 과정'!$E$58*E769)/F769,"")</x:f>
        <x:v>49.79212338199928</x:v>
      </x:c>
      <x:c r="J769" s="4" t="n">
        <x:f>IF('계산 과정'!$L$5,'계산 과정'!$D$6+'계산 과정'!$C$35*D769+'계산 과정'!$D$35*E769,"")</x:f>
        <x:v>710.2235367752743</x:v>
      </x:c>
      <x:c r="K769" s="4" t="n">
        <x:f>IF(AND('계산 과정'!$L$6,J769&gt;0),'계산 과정'!$D$10*('계산 과정'!$C$38*(D769-'계산 과정'!$C$32)+'계산 과정'!$D$38*(E769-'계산 과정'!$D$32)-'계산 과정'!$E$38*'계산 과정'!$E$32)/J769,"")</x:f>
        <x:v>-0.6783614865676297</x:v>
      </x:c>
      <x:c r="L769" s="4" t="n">
        <x:f>IF(AND('계산 과정'!$L$6,J769&gt;0),'계산 과정'!$D$10*('계산 과정'!$C$39*(D769-'계산 과정'!$C$32)+'계산 과정'!$D$39*(E769-'계산 과정'!$D$32)-'계산 과정'!$E$39*'계산 과정'!$E$32)/J769,"")</x:f>
        <x:v>0.37936855910094686</x:v>
      </x:c>
      <x:c r="M769" s="17" t="n">
        <x:f>IF('계산 과정'!$L$6,IF(J769&lt;=0,0,IF(AND(ABS(K769)&lt;='계산 과정'!$D$11/2,ABS(L769)&lt;='계산 과정'!$D$12/2),1,0)),"")</x:f>
        <x:v>1</x:v>
      </x:c>
      <x:c r="N769" s="17" t="n">
        <x:f>IF('계산 과정'!$C$78,IF(AND(ISNUMBER(H769),ISNUMBER(I769),ABS(H769-'계산 과정'!$C$88)&lt;='계산 과정'!$D$23/2,ABS(I769-'계산 과정'!$C$89)&lt;='계산 과정'!$D$24/2),1,0),"")</x:f>
        <x:v>1</x:v>
      </x:c>
      <x:c r="O769" s="4" t="n">
        <x:f>IF('계산 과정'!$L$7,'계산 과정'!$C$49*('계산 과정'!$C$32-D769)+'계산 과정'!$D$49*('계산 과정'!$D$32-E769)+'계산 과정'!$E$49*'계산 과정'!$E$32,"")</x:f>
        <x:v>-60.223536775274226</x:v>
      </x:c>
      <x:c r="P769" s="4" t="n">
        <x:f>IF(AND('계산 과정'!$L$7,O769&lt;&gt;0),('계산 과정'!$L$23-'계산 과정'!$C$49*D769-'계산 과정'!$D$49*E769)/O769,"")</x:f>
        <x:v>-5.641921438334166</x:v>
      </x:c>
      <x:c r="Q769" s="4" t="str">
        <x:f>IF(AND(ISNUMBER(P769),P769&gt;1E-9,P769&lt;1-1E-9),'계산 과정'!$C$47*(D769-'계산 과정'!$C$50+P769*('계산 과정'!$C$32-D769))+'계산 과정'!$D$47*(E769-'계산 과정'!$D$50+P769*('계산 과정'!$D$32-E769))+'계산 과정'!$E$47*(0-'계산 과정'!$E$50+P769*('계산 과정'!$E$32-0)),"")</x:f>
      </x:c>
      <x:c r="R769" s="4" t="str">
        <x:f>IF(AND(ISNUMBER(P769),P769&gt;1E-9,P769&lt;1-1E-9),'계산 과정'!$C$48*(D769-'계산 과정'!$C$50+P769*('계산 과정'!$C$32-D769))+'계산 과정'!$D$48*(E769-'계산 과정'!$D$50+P769*('계산 과정'!$D$32-E769))+'계산 과정'!$E$48*(0-'계산 과정'!$E$50+P769*('계산 과정'!$E$32-0)),"")</x:f>
      </x:c>
      <x:c r="S769" s="17" t="n">
        <x:f>IF('계산 과정'!$C$78,IF(AND(ISNUMBER(Q769),ISNUMBER(R769),ABS(Q769-'계산 과정'!$C$88)&lt;='계산 과정'!$D$23/2,ABS(R769-'계산 과정'!$C$89)&lt;='계산 과정'!$D$24/2),1,0),"")</x:f>
        <x:v>0</x:v>
      </x:c>
      <x:c r="T769" s="4"/>
      <x:c r="U769" s="4"/>
      <x:c r="V769" s="4"/>
      <x:c r="W769" s="4"/>
      <x:c r="X769" s="4"/>
      <x:c r="Y769" s="4"/>
      <x:c r="Z769" s="4"/>
    </x:row>
    <x:row r="770" ht="23" customHeight="1">
      <x:c r="A770" s="17" t="n">
        <x:f>ROW()-6</x:f>
        <x:v>764</x:v>
      </x:c>
      <x:c r="B770" s="4" t="n">
        <x:f>IF('계산 과정'!$L$5,'계산 과정'!$L$11*SQRT((A770+0.5)/'계산 과정'!$L$30),"")</x:f>
        <x:v>91.64631935633041</x:v>
      </x:c>
      <x:c r="C770" s="4" t="n">
        <x:f>A770*PI()*(3-SQRT(5))</x:f>
        <x:v>1833.5719075126908</x:v>
      </x:c>
      <x:c r="D770" s="4" t="n">
        <x:f>IF('계산 과정'!$L$5,B770*COS(C770),"")</x:f>
        <x:v>40.076931469202805</x:v>
      </x:c>
      <x:c r="E770" s="4" t="n">
        <x:f>IF('계산 과정'!$L$5,B770*SIN(C770),"")</x:f>
        <x:v>-82.41897485151901</x:v>
      </x:c>
      <x:c r="F770" s="4" t="n">
        <x:f>IF('계산 과정'!$L$7,'계산 과정'!$L$22+'계산 과정'!$C$49*D770+'계산 과정'!$D$49*E770,"")</x:f>
        <x:v>621.6613299889782</x:v>
      </x:c>
      <x:c r="G770" s="4" t="n">
        <x:f>IF('계산 과정'!$L$7,IF(ABS(F770)&gt;=1E-12*MAX(1,SQRT((D770-'계산 과정'!$C$33)^2+(E770-'계산 과정'!$D$33)^2+'계산 과정'!$E$33^2)),('계산 과정'!$L$23-'계산 과정'!$C$49*D770-'계산 과정'!$D$49*E770)/F770,""),"")</x:f>
        <x:v>0.68902254225563</x:v>
      </x:c>
      <x:c r="H770" s="4" t="n">
        <x:f>IF(AND(ISNUMBER(G770),G770&gt;0),('계산 과정'!$D$56+'계산 과정'!$D$57*D770+'계산 과정'!$D$58*E770)/F770,"")</x:f>
        <x:v>47.8646524661594</x:v>
      </x:c>
      <x:c r="I770" s="4" t="n">
        <x:f>IF(AND(ISNUMBER(G770),G770&gt;0),('계산 과정'!$E$56+'계산 과정'!$E$57*D770+'계산 과정'!$E$58*E770)/F770,"")</x:f>
        <x:v>-139.20750643381547</x:v>
      </x:c>
      <x:c r="J770" s="4" t="n">
        <x:f>IF('계산 과정'!$L$5,'계산 과정'!$D$6+'계산 과정'!$C$35*D770+'계산 과정'!$D$35*E770,"")</x:f>
        <x:v>621.6613299889782</x:v>
      </x:c>
      <x:c r="K770" s="4" t="n">
        <x:f>IF(AND('계산 과정'!$L$6,J770&gt;0),'계산 과정'!$D$10*('계산 과정'!$C$38*(D770-'계산 과정'!$C$32)+'계산 과정'!$D$38*(E770-'계산 과정'!$D$32)-'계산 과정'!$E$38*'계산 과정'!$E$32)/J770,"")</x:f>
        <x:v>0.36468306640883447</x:v>
      </x:c>
      <x:c r="L770" s="4" t="n">
        <x:f>IF(AND('계산 과정'!$L$6,J770&gt;0),'계산 과정'!$D$10*('계산 과정'!$C$39*(D770-'계산 과정'!$C$32)+'계산 과정'!$D$39*(E770-'계산 과정'!$D$32)-'계산 과정'!$E$39*'계산 과정'!$E$32)/J770,"")</x:f>
        <x:v>-1.060628620448118</x:v>
      </x:c>
      <x:c r="M770" s="17" t="n">
        <x:f>IF('계산 과정'!$L$6,IF(J770&lt;=0,0,IF(AND(ABS(K770)&lt;='계산 과정'!$D$11/2,ABS(L770)&lt;='계산 과정'!$D$12/2),1,0)),"")</x:f>
        <x:v>1</x:v>
      </x:c>
      <x:c r="N770" s="17" t="n">
        <x:f>IF('계산 과정'!$C$78,IF(AND(ISNUMBER(H770),ISNUMBER(I770),ABS(H770-'계산 과정'!$C$88)&lt;='계산 과정'!$D$23/2,ABS(I770-'계산 과정'!$C$89)&lt;='계산 과정'!$D$24/2),1,0),"")</x:f>
        <x:v>1</x:v>
      </x:c>
      <x:c r="O770" s="4" t="n">
        <x:f>IF('계산 과정'!$L$7,'계산 과정'!$C$49*('계산 과정'!$C$32-D770)+'계산 과정'!$D$49*('계산 과정'!$D$32-E770)+'계산 과정'!$E$49*'계산 과정'!$E$32,"")</x:f>
        <x:v>28.338670011021975</x:v>
      </x:c>
      <x:c r="P770" s="4" t="n">
        <x:f>IF(AND('계산 과정'!$L$7,O770&lt;&gt;0),('계산 과정'!$L$23-'계산 과정'!$C$49*D770-'계산 과정'!$D$49*E770)/O770,"")</x:f>
        <x:v>15.114988453742708</x:v>
      </x:c>
      <x:c r="Q770" s="4" t="str">
        <x:f>IF(AND(ISNUMBER(P770),P770&gt;1E-9,P770&lt;1-1E-9),'계산 과정'!$C$47*(D770-'계산 과정'!$C$50+P770*('계산 과정'!$C$32-D770))+'계산 과정'!$D$47*(E770-'계산 과정'!$D$50+P770*('계산 과정'!$D$32-E770))+'계산 과정'!$E$47*(0-'계산 과정'!$E$50+P770*('계산 과정'!$E$32-0)),"")</x:f>
      </x:c>
      <x:c r="R770" s="4" t="str">
        <x:f>IF(AND(ISNUMBER(P770),P770&gt;1E-9,P770&lt;1-1E-9),'계산 과정'!$C$48*(D770-'계산 과정'!$C$50+P770*('계산 과정'!$C$32-D770))+'계산 과정'!$D$48*(E770-'계산 과정'!$D$50+P770*('계산 과정'!$D$32-E770))+'계산 과정'!$E$48*(0-'계산 과정'!$E$50+P770*('계산 과정'!$E$32-0)),"")</x:f>
      </x:c>
      <x:c r="S770" s="17" t="n">
        <x:f>IF('계산 과정'!$C$78,IF(AND(ISNUMBER(Q770),ISNUMBER(R770),ABS(Q770-'계산 과정'!$C$88)&lt;='계산 과정'!$D$23/2,ABS(R770-'계산 과정'!$C$89)&lt;='계산 과정'!$D$24/2),1,0),"")</x:f>
        <x:v>0</x:v>
      </x:c>
      <x:c r="T770" s="4"/>
      <x:c r="U770" s="4"/>
      <x:c r="V770" s="4"/>
      <x:c r="W770" s="4"/>
      <x:c r="X770" s="4"/>
      <x:c r="Y770" s="4"/>
      <x:c r="Z770" s="4"/>
    </x:row>
    <x:row r="771" ht="23" customHeight="1">
      <x:c r="A771" s="17" t="n">
        <x:f>ROW()-6</x:f>
        <x:v>765</x:v>
      </x:c>
      <x:c r="B771" s="4" t="n">
        <x:f>IF('계산 과정'!$L$5,'계산 과정'!$L$11*SQRT((A771+0.5)/'계산 과정'!$L$30),"")</x:f>
        <x:v>91.70623849928367</x:v>
      </x:c>
      <x:c r="C771" s="4" t="n">
        <x:f>A771*PI()*(3-SQRT(5))</x:f>
        <x:v>1835.9718707424195</x:v>
      </x:c>
      <x:c r="D771" s="4" t="n">
        <x:f>IF('계산 과정'!$L$5,B771*COS(C771),"")</x:f>
        <x:v>26.13881419377915</x:v>
      </x:c>
      <x:c r="E771" s="4" t="n">
        <x:f>IF('계산 과정'!$L$5,B771*SIN(C771),"")</x:f>
        <x:v>87.90219890441074</x:v>
      </x:c>
      <x:c r="F771" s="4" t="n">
        <x:f>IF('계산 과정'!$L$7,'계산 과정'!$L$22+'계산 과정'!$C$49*D771+'계산 과정'!$D$49*E771,"")</x:f>
        <x:v>631.5170672314035</x:v>
      </x:c>
      <x:c r="G771" s="4" t="n">
        <x:f>IF('계산 과정'!$L$7,IF(ABS(F771)&gt;=1E-12*MAX(1,SQRT((D771-'계산 과정'!$C$33)^2+(E771-'계산 과정'!$D$33)^2+'계산 과정'!$E$33^2)),('계산 과정'!$L$23-'계산 과정'!$C$49*D771-'계산 과정'!$D$49*E771)/F771,""),"")</x:f>
        <x:v>0.6626629025296855</x:v>
      </x:c>
      <x:c r="H771" s="4" t="n">
        <x:f>IF(AND(ISNUMBER(G771),G771&gt;0),('계산 과정'!$D$56+'계산 과정'!$D$57*D771+'계산 과정'!$D$58*E771)/F771,"")</x:f>
        <x:v>30.73088664429545</x:v>
      </x:c>
      <x:c r="I771" s="4" t="n">
        <x:f>IF(AND(ISNUMBER(G771),G771&gt;0),('계산 과정'!$E$56+'계산 과정'!$E$57*D771+'계산 과정'!$E$58*E771)/F771,"")</x:f>
        <x:v>146.1517251691493</x:v>
      </x:c>
      <x:c r="J771" s="4" t="n">
        <x:f>IF('계산 과정'!$L$5,'계산 과정'!$D$6+'계산 과정'!$C$35*D771+'계산 과정'!$D$35*E771,"")</x:f>
        <x:v>631.5170672314035</x:v>
      </x:c>
      <x:c r="K771" s="4" t="n">
        <x:f>IF(AND('계산 과정'!$L$6,J771&gt;0),'계산 과정'!$D$10*('계산 과정'!$C$38*(D771-'계산 과정'!$C$32)+'계산 과정'!$D$38*(E771-'계산 과정'!$D$32)-'계산 과정'!$E$38*'계산 과정'!$E$32)/J771,"")</x:f>
        <x:v>0.23414008871844227</x:v>
      </x:c>
      <x:c r="L771" s="4" t="n">
        <x:f>IF(AND('계산 과정'!$L$6,J771&gt;0),'계산 과정'!$D$10*('계산 과정'!$C$39*(D771-'계산 과정'!$C$32)+'계산 과정'!$D$39*(E771-'계산 과정'!$D$32)-'계산 과정'!$E$39*'계산 과정'!$E$32)/J771,"")</x:f>
        <x:v>1.113536953669709</x:v>
      </x:c>
      <x:c r="M771" s="17" t="n">
        <x:f>IF('계산 과정'!$L$6,IF(J771&lt;=0,0,IF(AND(ABS(K771)&lt;='계산 과정'!$D$11/2,ABS(L771)&lt;='계산 과정'!$D$12/2),1,0)),"")</x:f>
        <x:v>1</x:v>
      </x:c>
      <x:c r="N771" s="17" t="n">
        <x:f>IF('계산 과정'!$C$78,IF(AND(ISNUMBER(H771),ISNUMBER(I771),ABS(H771-'계산 과정'!$C$88)&lt;='계산 과정'!$D$23/2,ABS(I771-'계산 과정'!$C$89)&lt;='계산 과정'!$D$24/2),1,0),"")</x:f>
        <x:v>1</x:v>
      </x:c>
      <x:c r="O771" s="4" t="n">
        <x:f>IF('계산 과정'!$L$7,'계산 과정'!$C$49*('계산 과정'!$C$32-D771)+'계산 과정'!$D$49*('계산 과정'!$D$32-E771)+'계산 과정'!$E$49*'계산 과정'!$E$32,"")</x:f>
        <x:v>18.482932768596527</x:v>
      </x:c>
      <x:c r="P771" s="4" t="n">
        <x:f>IF(AND('계산 과정'!$L$7,O771&lt;&gt;0),('계산 과정'!$L$23-'계산 과정'!$C$49*D771-'계산 과정'!$D$49*E771)/O771,"")</x:f>
        <x:v>22.641587133813573</x:v>
      </x:c>
      <x:c r="Q771" s="4" t="str">
        <x:f>IF(AND(ISNUMBER(P771),P771&gt;1E-9,P771&lt;1-1E-9),'계산 과정'!$C$47*(D771-'계산 과정'!$C$50+P771*('계산 과정'!$C$32-D771))+'계산 과정'!$D$47*(E771-'계산 과정'!$D$50+P771*('계산 과정'!$D$32-E771))+'계산 과정'!$E$47*(0-'계산 과정'!$E$50+P771*('계산 과정'!$E$32-0)),"")</x:f>
      </x:c>
      <x:c r="R771" s="4" t="str">
        <x:f>IF(AND(ISNUMBER(P771),P771&gt;1E-9,P771&lt;1-1E-9),'계산 과정'!$C$48*(D771-'계산 과정'!$C$50+P771*('계산 과정'!$C$32-D771))+'계산 과정'!$D$48*(E771-'계산 과정'!$D$50+P771*('계산 과정'!$D$32-E771))+'계산 과정'!$E$48*(0-'계산 과정'!$E$50+P771*('계산 과정'!$E$32-0)),"")</x:f>
      </x:c>
      <x:c r="S771" s="17" t="n">
        <x:f>IF('계산 과정'!$C$78,IF(AND(ISNUMBER(Q771),ISNUMBER(R771),ABS(Q771-'계산 과정'!$C$88)&lt;='계산 과정'!$D$23/2,ABS(R771-'계산 과정'!$C$89)&lt;='계산 과정'!$D$24/2),1,0),"")</x:f>
        <x:v>0</x:v>
      </x:c>
      <x:c r="T771" s="4"/>
      <x:c r="U771" s="4"/>
      <x:c r="V771" s="4"/>
      <x:c r="W771" s="4"/>
      <x:c r="X771" s="4"/>
      <x:c r="Y771" s="4"/>
      <x:c r="Z771" s="4"/>
    </x:row>
    <x:row r="772" ht="23" customHeight="1">
      <x:c r="A772" s="17" t="n">
        <x:f>ROW()-6</x:f>
        <x:v>766</x:v>
      </x:c>
      <x:c r="B772" s="4" t="n">
        <x:f>IF('계산 과정'!$L$5,'계산 과정'!$L$11*SQRT((A772+0.5)/'계산 과정'!$L$30),"")</x:f>
        <x:v>91.76611851774325</x:v>
      </x:c>
      <x:c r="C772" s="4" t="n">
        <x:f>A772*PI()*(3-SQRT(5))</x:f>
        <x:v>1838.371833972148</x:v>
      </x:c>
      <x:c r="D772" s="4" t="n">
        <x:f>IF('계산 과정'!$L$5,B772*COS(C772),"")</x:f>
        <x:v>-78.702385859598</x:v>
      </x:c>
      <x:c r="E772" s="4" t="n">
        <x:f>IF('계산 과정'!$L$5,B772*SIN(C772),"")</x:f>
        <x:v>-47.1906237278069</x:v>
      </x:c>
      <x:c r="F772" s="4" t="n">
        <x:f>IF('계산 과정'!$L$7,'계산 과정'!$L$22+'계산 과정'!$C$49*D772+'계산 과정'!$D$49*E772,"")</x:f>
        <x:v>705.650990736882</x:v>
      </x:c>
      <x:c r="G772" s="4" t="n">
        <x:f>IF('계산 과정'!$L$7,IF(ABS(F772)&gt;=1E-12*MAX(1,SQRT((D772-'계산 과정'!$C$33)^2+(E772-'계산 과정'!$D$33)^2+'계산 과정'!$E$33^2)),('계산 과정'!$L$23-'계산 과정'!$C$49*D772-'계산 과정'!$D$49*E772)/F772,""),"")</x:f>
        <x:v>0.4879877074976238</x:v>
      </x:c>
      <x:c r="H772" s="4" t="n">
        <x:f>IF(AND(ISNUMBER(G772),G772&gt;0),('계산 과정'!$D$56+'계산 과정'!$D$57*D772+'계산 과정'!$D$58*E772)/F772,"")</x:f>
        <x:v>-82.80799012654465</x:v>
      </x:c>
      <x:c r="I772" s="4" t="n">
        <x:f>IF(AND(ISNUMBER(G772),G772&gt;0),('계산 과정'!$E$56+'계산 과정'!$E$57*D772+'계산 과정'!$E$58*E772)/F772,"")</x:f>
        <x:v>-70.21906801612236</x:v>
      </x:c>
      <x:c r="J772" s="4" t="n">
        <x:f>IF('계산 과정'!$L$5,'계산 과정'!$D$6+'계산 과정'!$C$35*D772+'계산 과정'!$D$35*E772,"")</x:f>
        <x:v>705.650990736882</x:v>
      </x:c>
      <x:c r="K772" s="4" t="n">
        <x:f>IF(AND('계산 과정'!$L$6,J772&gt;0),'계산 과정'!$D$10*('계산 과정'!$C$38*(D772-'계산 과정'!$C$32)+'계산 과정'!$D$38*(E772-'계산 과정'!$D$32)-'계산 과정'!$E$38*'계산 과정'!$E$32)/J772,"")</x:f>
        <x:v>-0.6309180200117676</x:v>
      </x:c>
      <x:c r="L772" s="4" t="n">
        <x:f>IF(AND('계산 과정'!$L$6,J772&gt;0),'계산 과정'!$D$10*('계산 과정'!$C$39*(D772-'계산 과정'!$C$32)+'계산 과정'!$D$39*(E772-'계산 과정'!$D$32)-'계산 과정'!$E$39*'계산 과정'!$E$32)/J772,"")</x:f>
        <x:v>-0.5350024229799799</x:v>
      </x:c>
      <x:c r="M772" s="17" t="n">
        <x:f>IF('계산 과정'!$L$6,IF(J772&lt;=0,0,IF(AND(ABS(K772)&lt;='계산 과정'!$D$11/2,ABS(L772)&lt;='계산 과정'!$D$12/2),1,0)),"")</x:f>
        <x:v>1</x:v>
      </x:c>
      <x:c r="N772" s="17" t="n">
        <x:f>IF('계산 과정'!$C$78,IF(AND(ISNUMBER(H772),ISNUMBER(I772),ABS(H772-'계산 과정'!$C$88)&lt;='계산 과정'!$D$23/2,ABS(I772-'계산 과정'!$C$89)&lt;='계산 과정'!$D$24/2),1,0),"")</x:f>
        <x:v>1</x:v>
      </x:c>
      <x:c r="O772" s="4" t="n">
        <x:f>IF('계산 과정'!$L$7,'계산 과정'!$C$49*('계산 과정'!$C$32-D772)+'계산 과정'!$D$49*('계산 과정'!$D$32-E772)+'계산 과정'!$E$49*'계산 과정'!$E$32,"")</x:f>
        <x:v>-55.65099073688185</x:v>
      </x:c>
      <x:c r="P772" s="4" t="n">
        <x:f>IF(AND('계산 과정'!$L$7,O772&lt;&gt;0),('계산 과정'!$L$23-'계산 과정'!$C$49*D772-'계산 과정'!$D$49*E772)/O772,"")</x:f>
        <x:v>-6.18765281091224</x:v>
      </x:c>
      <x:c r="Q772" s="4" t="str">
        <x:f>IF(AND(ISNUMBER(P772),P772&gt;1E-9,P772&lt;1-1E-9),'계산 과정'!$C$47*(D772-'계산 과정'!$C$50+P772*('계산 과정'!$C$32-D772))+'계산 과정'!$D$47*(E772-'계산 과정'!$D$50+P772*('계산 과정'!$D$32-E772))+'계산 과정'!$E$47*(0-'계산 과정'!$E$50+P772*('계산 과정'!$E$32-0)),"")</x:f>
      </x:c>
      <x:c r="R772" s="4" t="str">
        <x:f>IF(AND(ISNUMBER(P772),P772&gt;1E-9,P772&lt;1-1E-9),'계산 과정'!$C$48*(D772-'계산 과정'!$C$50+P772*('계산 과정'!$C$32-D772))+'계산 과정'!$D$48*(E772-'계산 과정'!$D$50+P772*('계산 과정'!$D$32-E772))+'계산 과정'!$E$48*(0-'계산 과정'!$E$50+P772*('계산 과정'!$E$32-0)),"")</x:f>
      </x:c>
      <x:c r="S772" s="17" t="n">
        <x:f>IF('계산 과정'!$C$78,IF(AND(ISNUMBER(Q772),ISNUMBER(R772),ABS(Q772-'계산 과정'!$C$88)&lt;='계산 과정'!$D$23/2,ABS(R772-'계산 과정'!$C$89)&lt;='계산 과정'!$D$24/2),1,0),"")</x:f>
        <x:v>0</x:v>
      </x:c>
      <x:c r="T772" s="4"/>
      <x:c r="U772" s="4"/>
      <x:c r="V772" s="4"/>
      <x:c r="W772" s="4"/>
      <x:c r="X772" s="4"/>
      <x:c r="Y772" s="4"/>
      <x:c r="Z772" s="4"/>
    </x:row>
    <x:row r="773" ht="23" customHeight="1">
      <x:c r="A773" s="17" t="n">
        <x:f>ROW()-6</x:f>
        <x:v>767</x:v>
      </x:c>
      <x:c r="B773" s="4" t="n">
        <x:f>IF('계산 과정'!$L$5,'계산 과정'!$L$11*SQRT((A773+0.5)/'계산 과정'!$L$30),"")</x:f>
        <x:v>91.82595948824874</x:v>
      </x:c>
      <x:c r="C773" s="4" t="n">
        <x:f>A773*PI()*(3-SQRT(5))</x:f>
        <x:v>1840.7717972018768</x:v>
      </x:c>
      <x:c r="D773" s="4" t="n">
        <x:f>IF('계산 과정'!$L$5,B773*COS(C773),"")</x:f>
        <x:v>89.9681285343487</x:v>
      </x:c>
      <x:c r="E773" s="4" t="n">
        <x:f>IF('계산 과정'!$L$5,B773*SIN(C773),"")</x:f>
        <x:v>-18.377776904849267</x:v>
      </x:c>
      <x:c r="F773" s="4" t="n">
        <x:f>IF('계산 과정'!$L$7,'계산 과정'!$L$22+'계산 과정'!$C$49*D773+'계산 과정'!$D$49*E773,"")</x:f>
        <x:v>586.3829262226991</x:v>
      </x:c>
      <x:c r="G773" s="4" t="n">
        <x:f>IF('계산 과정'!$L$7,IF(ABS(F773)&gt;=1E-12*MAX(1,SQRT((D773-'계산 과정'!$C$33)^2+(E773-'계산 과정'!$D$33)^2+'계산 과정'!$E$33^2)),('계산 과정'!$L$23-'계산 과정'!$C$49*D773-'계산 과정'!$D$49*E773)/F773,""),"")</x:f>
        <x:v>0.7906387669978412</x:v>
      </x:c>
      <x:c r="H773" s="4" t="n">
        <x:f>IF(AND(ISNUMBER(G773),G773&gt;0),('계산 과정'!$D$56+'계산 과정'!$D$57*D773+'계산 과정'!$D$58*E773)/F773,"")</x:f>
        <x:v>113.91519854859665</x:v>
      </x:c>
      <x:c r="I773" s="4" t="n">
        <x:f>IF(AND(ISNUMBER(G773),G773&gt;0),('계산 과정'!$E$56+'계산 과정'!$E$57*D773+'계산 과정'!$E$58*E773)/F773,"")</x:f>
        <x:v>-32.90795977706069</x:v>
      </x:c>
      <x:c r="J773" s="4" t="n">
        <x:f>IF('계산 과정'!$L$5,'계산 과정'!$D$6+'계산 과정'!$C$35*D773+'계산 과정'!$D$35*E773,"")</x:f>
        <x:v>586.3829262226991</x:v>
      </x:c>
      <x:c r="K773" s="4" t="n">
        <x:f>IF(AND('계산 과정'!$L$6,J773&gt;0),'계산 과정'!$D$10*('계산 과정'!$C$38*(D773-'계산 과정'!$C$32)+'계산 과정'!$D$38*(E773-'계산 과정'!$D$32)-'계산 과정'!$E$38*'계산 과정'!$E$32)/J773,"")</x:f>
        <x:v>0.8679253222750232</x:v>
      </x:c>
      <x:c r="L773" s="4" t="n">
        <x:f>IF(AND('계산 과정'!$L$6,J773&gt;0),'계산 과정'!$D$10*('계산 과정'!$C$39*(D773-'계산 과정'!$C$32)+'계산 과정'!$D$39*(E773-'계산 과정'!$D$32)-'계산 과정'!$E$39*'계산 과정'!$E$32)/J773,"")</x:f>
        <x:v>-0.2507273125871291</x:v>
      </x:c>
      <x:c r="M773" s="17" t="n">
        <x:f>IF('계산 과정'!$L$6,IF(J773&lt;=0,0,IF(AND(ABS(K773)&lt;='계산 과정'!$D$11/2,ABS(L773)&lt;='계산 과정'!$D$12/2),1,0)),"")</x:f>
        <x:v>1</x:v>
      </x:c>
      <x:c r="N773" s="17" t="n">
        <x:f>IF('계산 과정'!$C$78,IF(AND(ISNUMBER(H773),ISNUMBER(I773),ABS(H773-'계산 과정'!$C$88)&lt;='계산 과정'!$D$23/2,ABS(I773-'계산 과정'!$C$89)&lt;='계산 과정'!$D$24/2),1,0),"")</x:f>
        <x:v>1</x:v>
      </x:c>
      <x:c r="O773" s="4" t="n">
        <x:f>IF('계산 과정'!$L$7,'계산 과정'!$C$49*('계산 과정'!$C$32-D773)+'계산 과정'!$D$49*('계산 과정'!$D$32-E773)+'계산 과정'!$E$49*'계산 과정'!$E$32,"")</x:f>
        <x:v>63.617073777301016</x:v>
      </x:c>
      <x:c r="P773" s="4" t="n">
        <x:f>IF(AND('계산 과정'!$L$7,O773&lt;&gt;0),('계산 과정'!$L$23-'계산 과정'!$C$49*D773-'계산 과정'!$D$49*E773)/O773,"")</x:f>
        <x:v>7.287620229126642</x:v>
      </x:c>
      <x:c r="Q773" s="4" t="str">
        <x:f>IF(AND(ISNUMBER(P773),P773&gt;1E-9,P773&lt;1-1E-9),'계산 과정'!$C$47*(D773-'계산 과정'!$C$50+P773*('계산 과정'!$C$32-D773))+'계산 과정'!$D$47*(E773-'계산 과정'!$D$50+P773*('계산 과정'!$D$32-E773))+'계산 과정'!$E$47*(0-'계산 과정'!$E$50+P773*('계산 과정'!$E$32-0)),"")</x:f>
      </x:c>
      <x:c r="R773" s="4" t="str">
        <x:f>IF(AND(ISNUMBER(P773),P773&gt;1E-9,P773&lt;1-1E-9),'계산 과정'!$C$48*(D773-'계산 과정'!$C$50+P773*('계산 과정'!$C$32-D773))+'계산 과정'!$D$48*(E773-'계산 과정'!$D$50+P773*('계산 과정'!$D$32-E773))+'계산 과정'!$E$48*(0-'계산 과정'!$E$50+P773*('계산 과정'!$E$32-0)),"")</x:f>
      </x:c>
      <x:c r="S773" s="17" t="n">
        <x:f>IF('계산 과정'!$C$78,IF(AND(ISNUMBER(Q773),ISNUMBER(R773),ABS(Q773-'계산 과정'!$C$88)&lt;='계산 과정'!$D$23/2,ABS(R773-'계산 과정'!$C$89)&lt;='계산 과정'!$D$24/2),1,0),"")</x:f>
        <x:v>0</x:v>
      </x:c>
      <x:c r="T773" s="4"/>
      <x:c r="U773" s="4"/>
      <x:c r="V773" s="4"/>
      <x:c r="W773" s="4"/>
      <x:c r="X773" s="4"/>
      <x:c r="Y773" s="4"/>
      <x:c r="Z773" s="4"/>
    </x:row>
    <x:row r="774" ht="23" customHeight="1">
      <x:c r="A774" s="17" t="n">
        <x:f>ROW()-6</x:f>
        <x:v>768</x:v>
      </x:c>
      <x:c r="B774" s="4" t="n">
        <x:f>IF('계산 과정'!$L$5,'계산 과정'!$L$11*SQRT((A774+0.5)/'계산 과정'!$L$30),"")</x:f>
        <x:v>91.88576148709059</x:v>
      </x:c>
      <x:c r="C774" s="4" t="n">
        <x:f>A774*PI()*(3-SQRT(5))</x:f>
        <x:v>1843.1717604316054</x:v>
      </x:c>
      <x:c r="D774" s="4" t="n">
        <x:f>IF('계산 과정'!$L$5,B774*COS(C774),"")</x:f>
        <x:v>-53.960807376474456</x:v>
      </x:c>
      <x:c r="E774" s="4" t="n">
        <x:f>IF('계산 과정'!$L$5,B774*SIN(C774),"")</x:f>
        <x:v>74.37220200680844</x:v>
      </x:c>
      <x:c r="F774" s="4" t="n">
        <x:f>IF('계산 과정'!$L$7,'계산 과정'!$L$22+'계산 과정'!$C$49*D774+'계산 과정'!$D$49*E774,"")</x:f>
        <x:v>688.1560528142062</x:v>
      </x:c>
      <x:c r="G774" s="4" t="n">
        <x:f>IF('계산 과정'!$L$7,IF(ABS(F774)&gt;=1E-12*MAX(1,SQRT((D774-'계산 과정'!$C$33)^2+(E774-'계산 과정'!$D$33)^2+'계산 과정'!$E$33^2)),('계산 과정'!$L$23-'계산 과정'!$C$49*D774-'계산 과정'!$D$49*E774)/F774,""),"")</x:f>
        <x:v>0.5258167035021158</x:v>
      </x:c>
      <x:c r="H774" s="4" t="n">
        <x:f>IF(AND(ISNUMBER(G774),G774&gt;0),('계산 과정'!$D$56+'계산 과정'!$D$57*D774+'계산 과정'!$D$58*E774)/F774,"")</x:f>
        <x:v>-58.2191427236248</x:v>
      </x:c>
      <x:c r="I774" s="4" t="n">
        <x:f>IF(AND(ISNUMBER(G774),G774&gt;0),('계산 과정'!$E$56+'계산 과정'!$E$57*D774+'계산 과정'!$E$58*E774)/F774,"")</x:f>
        <x:v>113.47834809822189</x:v>
      </x:c>
      <x:c r="J774" s="4" t="n">
        <x:f>IF('계산 과정'!$L$5,'계산 과정'!$D$6+'계산 과정'!$C$35*D774+'계산 과정'!$D$35*E774,"")</x:f>
        <x:v>688.1560528142062</x:v>
      </x:c>
      <x:c r="K774" s="4" t="n">
        <x:f>IF(AND('계산 과정'!$L$6,J774&gt;0),'계산 과정'!$D$10*('계산 과정'!$C$38*(D774-'계산 과정'!$C$32)+'계산 과정'!$D$38*(E774-'계산 과정'!$D$32)-'계산 과정'!$E$38*'계산 과정'!$E$32)/J774,"")</x:f>
        <x:v>-0.44357442075142645</x:v>
      </x:c>
      <x:c r="L774" s="4" t="n">
        <x:f>IF(AND('계산 과정'!$L$6,J774&gt;0),'계산 과정'!$D$10*('계산 과정'!$C$39*(D774-'계산 과정'!$C$32)+'계산 과정'!$D$39*(E774-'계산 과정'!$D$32)-'계산 과정'!$E$39*'계산 과정'!$E$32)/J774,"")</x:f>
        <x:v>0.8645969378912144</x:v>
      </x:c>
      <x:c r="M774" s="17" t="n">
        <x:f>IF('계산 과정'!$L$6,IF(J774&lt;=0,0,IF(AND(ABS(K774)&lt;='계산 과정'!$D$11/2,ABS(L774)&lt;='계산 과정'!$D$12/2),1,0)),"")</x:f>
        <x:v>1</x:v>
      </x:c>
      <x:c r="N774" s="17" t="n">
        <x:f>IF('계산 과정'!$C$78,IF(AND(ISNUMBER(H774),ISNUMBER(I774),ABS(H774-'계산 과정'!$C$88)&lt;='계산 과정'!$D$23/2,ABS(I774-'계산 과정'!$C$89)&lt;='계산 과정'!$D$24/2),1,0),"")</x:f>
        <x:v>1</x:v>
      </x:c>
      <x:c r="O774" s="4" t="n">
        <x:f>IF('계산 과정'!$L$7,'계산 과정'!$C$49*('계산 과정'!$C$32-D774)+'계산 과정'!$D$49*('계산 과정'!$D$32-E774)+'계산 과정'!$E$49*'계산 과정'!$E$32,"")</x:f>
        <x:v>-38.15605281420608</x:v>
      </x:c>
      <x:c r="P774" s="4" t="n">
        <x:f>IF(AND('계산 과정'!$L$7,O774&lt;&gt;0),('계산 과정'!$L$23-'계산 과정'!$C$49*D774-'계산 과정'!$D$49*E774)/O774,"")</x:f>
        <x:v>-9.483264659154518</x:v>
      </x:c>
      <x:c r="Q774" s="4" t="str">
        <x:f>IF(AND(ISNUMBER(P774),P774&gt;1E-9,P774&lt;1-1E-9),'계산 과정'!$C$47*(D774-'계산 과정'!$C$50+P774*('계산 과정'!$C$32-D774))+'계산 과정'!$D$47*(E774-'계산 과정'!$D$50+P774*('계산 과정'!$D$32-E774))+'계산 과정'!$E$47*(0-'계산 과정'!$E$50+P774*('계산 과정'!$E$32-0)),"")</x:f>
      </x:c>
      <x:c r="R774" s="4" t="str">
        <x:f>IF(AND(ISNUMBER(P774),P774&gt;1E-9,P774&lt;1-1E-9),'계산 과정'!$C$48*(D774-'계산 과정'!$C$50+P774*('계산 과정'!$C$32-D774))+'계산 과정'!$D$48*(E774-'계산 과정'!$D$50+P774*('계산 과정'!$D$32-E774))+'계산 과정'!$E$48*(0-'계산 과정'!$E$50+P774*('계산 과정'!$E$32-0)),"")</x:f>
      </x:c>
      <x:c r="S774" s="17" t="n">
        <x:f>IF('계산 과정'!$C$78,IF(AND(ISNUMBER(Q774),ISNUMBER(R774),ABS(Q774-'계산 과정'!$C$88)&lt;='계산 과정'!$D$23/2,ABS(R774-'계산 과정'!$C$89)&lt;='계산 과정'!$D$24/2),1,0),"")</x:f>
        <x:v>0</x:v>
      </x:c>
      <x:c r="T774" s="4"/>
      <x:c r="U774" s="4"/>
      <x:c r="V774" s="4"/>
      <x:c r="W774" s="4"/>
      <x:c r="X774" s="4"/>
      <x:c r="Y774" s="4"/>
      <x:c r="Z774" s="4"/>
    </x:row>
    <x:row r="775" ht="23" customHeight="1">
      <x:c r="A775" s="17" t="n">
        <x:f>ROW()-6</x:f>
        <x:v>769</x:v>
      </x:c>
      <x:c r="B775" s="4" t="n">
        <x:f>IF('계산 과정'!$L$5,'계산 과정'!$L$11*SQRT((A775+0.5)/'계산 과정'!$L$30),"")</x:f>
        <x:v>91.9455245903111</x:v>
      </x:c>
      <x:c r="C775" s="4" t="n">
        <x:f>A775*PI()*(3-SQRT(5))</x:f>
        <x:v>1845.5717236613339</x:v>
      </x:c>
      <x:c r="D775" s="4" t="n">
        <x:f>IF('계산 과정'!$L$5,B775*COS(C775),"")</x:f>
        <x:v>-10.455476513640415</x:v>
      </x:c>
      <x:c r="E775" s="4" t="n">
        <x:f>IF('계산 과정'!$L$5,B775*SIN(C775),"")</x:f>
        <x:v>-91.34912425995235</x:v>
      </x:c>
      <x:c r="F775" s="4" t="n">
        <x:f>IF('계산 과정'!$L$7,'계산 과정'!$L$22+'계산 과정'!$C$49*D775+'계산 과정'!$D$49*E775,"")</x:f>
        <x:v>657.3931383433318</x:v>
      </x:c>
      <x:c r="G775" s="4" t="n">
        <x:f>IF('계산 과정'!$L$7,IF(ABS(F775)&gt;=1E-12*MAX(1,SQRT((D775-'계산 과정'!$C$33)^2+(E775-'계산 과정'!$D$33)^2+'계산 과정'!$E$33^2)),('계산 과정'!$L$23-'계산 과정'!$C$49*D775-'계산 과정'!$D$49*E775)/F775,""),"")</x:f>
        <x:v>0.5972177662913548</x:v>
      </x:c>
      <x:c r="H775" s="4" t="n">
        <x:f>IF(AND(ISNUMBER(G775),G775&gt;0),('계산 과정'!$D$56+'계산 과정'!$D$57*D775+'계산 과정'!$D$58*E775)/F775,"")</x:f>
        <x:v>-11.808451910619532</x:v>
      </x:c>
      <x:c r="I775" s="4" t="n">
        <x:f>IF(AND(ISNUMBER(G775),G775&gt;0),('계산 과정'!$E$56+'계산 과정'!$E$57*D775+'계산 과정'!$E$58*E775)/F775,"")</x:f>
        <x:v>-145.9044442031525</x:v>
      </x:c>
      <x:c r="J775" s="4" t="n">
        <x:f>IF('계산 과정'!$L$5,'계산 과정'!$D$6+'계산 과정'!$C$35*D775+'계산 과정'!$D$35*E775,"")</x:f>
        <x:v>657.3931383433318</x:v>
      </x:c>
      <x:c r="K775" s="4" t="n">
        <x:f>IF(AND('계산 과정'!$L$6,J775&gt;0),'계산 과정'!$D$10*('계산 과정'!$C$38*(D775-'계산 과정'!$C$32)+'계산 과정'!$D$38*(E775-'계산 과정'!$D$32)-'계산 과정'!$E$38*'계산 과정'!$E$32)/J775,"")</x:f>
        <x:v>-0.08996915741424327</x:v>
      </x:c>
      <x:c r="L775" s="4" t="n">
        <x:f>IF(AND('계산 과정'!$L$6,J775&gt;0),'계산 과정'!$D$10*('계산 과정'!$C$39*(D775-'계산 과정'!$C$32)+'계산 과정'!$D$39*(E775-'계산 과정'!$D$32)-'계산 과정'!$E$39*'계산 과정'!$E$32)/J775,"")</x:f>
        <x:v>-1.1116529082144953</x:v>
      </x:c>
      <x:c r="M775" s="17" t="n">
        <x:f>IF('계산 과정'!$L$6,IF(J775&lt;=0,0,IF(AND(ABS(K775)&lt;='계산 과정'!$D$11/2,ABS(L775)&lt;='계산 과정'!$D$12/2),1,0)),"")</x:f>
        <x:v>1</x:v>
      </x:c>
      <x:c r="N775" s="17" t="n">
        <x:f>IF('계산 과정'!$C$78,IF(AND(ISNUMBER(H775),ISNUMBER(I775),ABS(H775-'계산 과정'!$C$88)&lt;='계산 과정'!$D$23/2,ABS(I775-'계산 과정'!$C$89)&lt;='계산 과정'!$D$24/2),1,0),"")</x:f>
        <x:v>1</x:v>
      </x:c>
      <x:c r="O775" s="4" t="n">
        <x:f>IF('계산 과정'!$L$7,'계산 과정'!$C$49*('계산 과정'!$C$32-D775)+'계산 과정'!$D$49*('계산 과정'!$D$32-E775)+'계산 과정'!$E$49*'계산 과정'!$E$32,"")</x:f>
        <x:v>-7.393138343331714</x:v>
      </x:c>
      <x:c r="P775" s="4" t="n">
        <x:f>IF(AND('계산 과정'!$L$7,O775&lt;&gt;0),('계산 과정'!$L$23-'계산 과정'!$C$49*D775-'계산 과정'!$D$49*E775)/O775,"")</x:f>
        <x:v>-53.10422224288314</x:v>
      </x:c>
      <x:c r="Q775" s="4" t="str">
        <x:f>IF(AND(ISNUMBER(P775),P775&gt;1E-9,P775&lt;1-1E-9),'계산 과정'!$C$47*(D775-'계산 과정'!$C$50+P775*('계산 과정'!$C$32-D775))+'계산 과정'!$D$47*(E775-'계산 과정'!$D$50+P775*('계산 과정'!$D$32-E775))+'계산 과정'!$E$47*(0-'계산 과정'!$E$50+P775*('계산 과정'!$E$32-0)),"")</x:f>
      </x:c>
      <x:c r="R775" s="4" t="str">
        <x:f>IF(AND(ISNUMBER(P775),P775&gt;1E-9,P775&lt;1-1E-9),'계산 과정'!$C$48*(D775-'계산 과정'!$C$50+P775*('계산 과정'!$C$32-D775))+'계산 과정'!$D$48*(E775-'계산 과정'!$D$50+P775*('계산 과정'!$D$32-E775))+'계산 과정'!$E$48*(0-'계산 과정'!$E$50+P775*('계산 과정'!$E$32-0)),"")</x:f>
      </x:c>
      <x:c r="S775" s="17" t="n">
        <x:f>IF('계산 과정'!$C$78,IF(AND(ISNUMBER(Q775),ISNUMBER(R775),ABS(Q775-'계산 과정'!$C$88)&lt;='계산 과정'!$D$23/2,ABS(R775-'계산 과정'!$C$89)&lt;='계산 과정'!$D$24/2),1,0),"")</x:f>
        <x:v>0</x:v>
      </x:c>
      <x:c r="T775" s="4"/>
      <x:c r="U775" s="4"/>
      <x:c r="V775" s="4"/>
      <x:c r="W775" s="4"/>
      <x:c r="X775" s="4"/>
      <x:c r="Y775" s="4"/>
      <x:c r="Z775" s="4"/>
    </x:row>
    <x:row r="776" ht="23" customHeight="1">
      <x:c r="A776" s="17" t="n">
        <x:f>ROW()-6</x:f>
        <x:v>770</x:v>
      </x:c>
      <x:c r="B776" s="4" t="n">
        <x:f>IF('계산 과정'!$L$5,'계산 과정'!$L$11*SQRT((A776+0.5)/'계산 과정'!$L$30),"")</x:f>
        <x:v>92.00524887370557</x:v>
      </x:c>
      <x:c r="C776" s="4" t="n">
        <x:f>A776*PI()*(3-SQRT(5))</x:f>
        <x:v>1847.971686891063</x:v>
      </x:c>
      <x:c r="D776" s="4" t="n">
        <x:f>IF('계산 과정'!$L$5,B776*COS(C776),"")</x:f>
        <x:v>69.46007912634781</x:v>
      </x:c>
      <x:c r="E776" s="4" t="n">
        <x:f>IF('계산 과정'!$L$5,B776*SIN(C776),"")</x:f>
        <x:v>60.33459395797738</x:v>
      </x:c>
      <x:c r="F776" s="4" t="n">
        <x:f>IF('계산 과정'!$L$7,'계산 과정'!$L$22+'계산 과정'!$C$49*D776+'계산 과정'!$D$49*E776,"")</x:f>
        <x:v>600.8843070280053</x:v>
      </x:c>
      <x:c r="G776" s="4" t="n">
        <x:f>IF('계산 과정'!$L$7,IF(ABS(F776)&gt;=1E-12*MAX(1,SQRT((D776-'계산 과정'!$C$33)^2+(E776-'계산 과정'!$D$33)^2+'계산 과정'!$E$33^2)),('계산 과정'!$L$23-'계산 과정'!$C$49*D776-'계산 과정'!$D$49*E776)/F776,""),"")</x:f>
        <x:v>0.7474245669575506</x:v>
      </x:c>
      <x:c r="H776" s="4" t="n">
        <x:f>IF(AND(ISNUMBER(G776),G776&gt;0),('계산 과정'!$D$56+'계산 과정'!$D$57*D776+'계산 과정'!$D$58*E776)/F776,"")</x:f>
        <x:v>85.82596852240773</x:v>
      </x:c>
      <x:c r="I776" s="4" t="n">
        <x:f>IF(AND(ISNUMBER(G776),G776&gt;0),('계산 과정'!$E$56+'계산 과정'!$E$57*D776+'계산 과정'!$E$58*E776)/F776,"")</x:f>
        <x:v>105.43015171957828</x:v>
      </x:c>
      <x:c r="J776" s="4" t="n">
        <x:f>IF('계산 과정'!$L$5,'계산 과정'!$D$6+'계산 과정'!$C$35*D776+'계산 과정'!$D$35*E776,"")</x:f>
        <x:v>600.8843070280053</x:v>
      </x:c>
      <x:c r="K776" s="4" t="n">
        <x:f>IF(AND('계산 과정'!$L$6,J776&gt;0),'계산 과정'!$D$10*('계산 과정'!$C$38*(D776-'계산 과정'!$C$32)+'계산 과정'!$D$38*(E776-'계산 과정'!$D$32)-'계산 과정'!$E$38*'계산 과정'!$E$32)/J776,"")</x:f>
        <x:v>0.6539121411231072</x:v>
      </x:c>
      <x:c r="L776" s="4" t="n">
        <x:f>IF(AND('계산 과정'!$L$6,J776&gt;0),'계산 과정'!$D$10*('계산 과정'!$C$39*(D776-'계산 과정'!$C$32)+'계산 과정'!$D$39*(E776-'계산 과정'!$D$32)-'계산 과정'!$E$39*'계산 과정'!$E$32)/J776,"")</x:f>
        <x:v>0.803277346434882</x:v>
      </x:c>
      <x:c r="M776" s="17" t="n">
        <x:f>IF('계산 과정'!$L$6,IF(J776&lt;=0,0,IF(AND(ABS(K776)&lt;='계산 과정'!$D$11/2,ABS(L776)&lt;='계산 과정'!$D$12/2),1,0)),"")</x:f>
        <x:v>1</x:v>
      </x:c>
      <x:c r="N776" s="17" t="n">
        <x:f>IF('계산 과정'!$C$78,IF(AND(ISNUMBER(H776),ISNUMBER(I776),ABS(H776-'계산 과정'!$C$88)&lt;='계산 과정'!$D$23/2,ABS(I776-'계산 과정'!$C$89)&lt;='계산 과정'!$D$24/2),1,0),"")</x:f>
        <x:v>1</x:v>
      </x:c>
      <x:c r="O776" s="4" t="n">
        <x:f>IF('계산 과정'!$L$7,'계산 과정'!$C$49*('계산 과정'!$C$32-D776)+'계산 과정'!$D$49*('계산 과정'!$D$32-E776)+'계산 과정'!$E$49*'계산 과정'!$E$32,"")</x:f>
        <x:v>49.115692971994804</x:v>
      </x:c>
      <x:c r="P776" s="4" t="n">
        <x:f>IF(AND('계산 과정'!$L$7,O776&lt;&gt;0),('계산 과정'!$L$23-'계산 과정'!$C$49*D776-'계산 과정'!$D$49*E776)/O776,"")</x:f>
        <x:v>9.144036575602735</x:v>
      </x:c>
      <x:c r="Q776" s="4" t="str">
        <x:f>IF(AND(ISNUMBER(P776),P776&gt;1E-9,P776&lt;1-1E-9),'계산 과정'!$C$47*(D776-'계산 과정'!$C$50+P776*('계산 과정'!$C$32-D776))+'계산 과정'!$D$47*(E776-'계산 과정'!$D$50+P776*('계산 과정'!$D$32-E776))+'계산 과정'!$E$47*(0-'계산 과정'!$E$50+P776*('계산 과정'!$E$32-0)),"")</x:f>
      </x:c>
      <x:c r="R776" s="4" t="str">
        <x:f>IF(AND(ISNUMBER(P776),P776&gt;1E-9,P776&lt;1-1E-9),'계산 과정'!$C$48*(D776-'계산 과정'!$C$50+P776*('계산 과정'!$C$32-D776))+'계산 과정'!$D$48*(E776-'계산 과정'!$D$50+P776*('계산 과정'!$D$32-E776))+'계산 과정'!$E$48*(0-'계산 과정'!$E$50+P776*('계산 과정'!$E$32-0)),"")</x:f>
      </x:c>
      <x:c r="S776" s="17" t="n">
        <x:f>IF('계산 과정'!$C$78,IF(AND(ISNUMBER(Q776),ISNUMBER(R776),ABS(Q776-'계산 과정'!$C$88)&lt;='계산 과정'!$D$23/2,ABS(R776-'계산 과정'!$C$89)&lt;='계산 과정'!$D$24/2),1,0),"")</x:f>
        <x:v>0</x:v>
      </x:c>
      <x:c r="T776" s="4"/>
      <x:c r="U776" s="4"/>
      <x:c r="V776" s="4"/>
      <x:c r="W776" s="4"/>
      <x:c r="X776" s="4"/>
      <x:c r="Y776" s="4"/>
      <x:c r="Z776" s="4"/>
    </x:row>
    <x:row r="777" ht="23" customHeight="1">
      <x:c r="A777" s="17" t="n">
        <x:f>ROW()-6</x:f>
        <x:v>771</x:v>
      </x:c>
      <x:c r="B777" s="4" t="n">
        <x:f>IF('계산 과정'!$L$5,'계산 과정'!$L$11*SQRT((A777+0.5)/'계산 과정'!$L$30),"")</x:f>
        <x:v>92.06493441282355</x:v>
      </x:c>
      <x:c r="C777" s="4" t="n">
        <x:f>A777*PI()*(3-SQRT(5))</x:f>
        <x:v>1850.3716501207914</x:v>
      </x:c>
      <x:c r="D777" s="4" t="n">
        <x:f>IF('계산 과정'!$L$5,B777*COS(C777),"")</x:f>
        <x:v>-92.03279794855284</x:v>
      </x:c>
      <x:c r="E777" s="4" t="n">
        <x:f>IF('계산 과정'!$L$5,B777*SIN(C777),"")</x:f>
        <x:v>2.432334310564239</x:v>
      </x:c>
      <x:c r="F777" s="4" t="n">
        <x:f>IF('계산 과정'!$L$7,'계산 과정'!$L$22+'계산 과정'!$C$49*D777+'계산 과정'!$D$49*E777,"")</x:f>
        <x:v>715.0770155209931</x:v>
      </x:c>
      <x:c r="G777" s="4" t="n">
        <x:f>IF('계산 과정'!$L$7,IF(ABS(F777)&gt;=1E-12*MAX(1,SQRT((D777-'계산 과정'!$C$33)^2+(E777-'계산 과정'!$D$33)^2+'계산 과정'!$E$33^2)),('계산 과정'!$L$23-'계산 과정'!$C$49*D777-'계산 과정'!$D$49*E777)/F777,""),"")</x:f>
        <x:v>0.4683733041468095</x:v>
      </x:c>
      <x:c r="H777" s="4" t="n">
        <x:f>IF(AND(ISNUMBER(G777),G777&gt;0),('계산 과정'!$D$56+'계산 과정'!$D$57*D777+'계산 과정'!$D$58*E777)/F777,"")</x:f>
        <x:v>-95.55735230457397</x:v>
      </x:c>
      <x:c r="I777" s="4" t="n">
        <x:f>IF(AND(ISNUMBER(G777),G777&gt;0),('계산 과정'!$E$56+'계산 과정'!$E$57*D777+'계산 과정'!$E$58*E777)/F777,"")</x:f>
        <x:v>3.571574768392864</x:v>
      </x:c>
      <x:c r="J777" s="4" t="n">
        <x:f>IF('계산 과정'!$L$5,'계산 과정'!$D$6+'계산 과정'!$C$35*D777+'계산 과정'!$D$35*E777,"")</x:f>
        <x:v>715.0770155209931</x:v>
      </x:c>
      <x:c r="K777" s="4" t="n">
        <x:f>IF(AND('계산 과정'!$L$6,J777&gt;0),'계산 과정'!$D$10*('계산 과정'!$C$38*(D777-'계산 과정'!$C$32)+'계산 과정'!$D$38*(E777-'계산 과정'!$D$32)-'계산 과정'!$E$38*'계산 과정'!$E$32)/J777,"")</x:f>
        <x:v>-0.7280560175586577</x:v>
      </x:c>
      <x:c r="L777" s="4" t="n">
        <x:f>IF(AND('계산 과정'!$L$6,J777&gt;0),'계산 과정'!$D$10*('계산 과정'!$C$39*(D777-'계산 과정'!$C$32)+'계산 과정'!$D$39*(E777-'계산 과정'!$D$32)-'계산 과정'!$E$39*'계산 과정'!$E$32)/J777,"")</x:f>
        <x:v>0.0272119982353742</x:v>
      </x:c>
      <x:c r="M777" s="17" t="n">
        <x:f>IF('계산 과정'!$L$6,IF(J777&lt;=0,0,IF(AND(ABS(K777)&lt;='계산 과정'!$D$11/2,ABS(L777)&lt;='계산 과정'!$D$12/2),1,0)),"")</x:f>
        <x:v>1</x:v>
      </x:c>
      <x:c r="N777" s="17" t="n">
        <x:f>IF('계산 과정'!$C$78,IF(AND(ISNUMBER(H777),ISNUMBER(I777),ABS(H777-'계산 과정'!$C$88)&lt;='계산 과정'!$D$23/2,ABS(I777-'계산 과정'!$C$89)&lt;='계산 과정'!$D$24/2),1,0),"")</x:f>
        <x:v>1</x:v>
      </x:c>
      <x:c r="O777" s="4" t="n">
        <x:f>IF('계산 과정'!$L$7,'계산 과정'!$C$49*('계산 과정'!$C$32-D777)+'계산 과정'!$D$49*('계산 과정'!$D$32-E777)+'계산 과정'!$E$49*'계산 과정'!$E$32,"")</x:f>
        <x:v>-65.07701552099292</x:v>
      </x:c>
      <x:c r="P777" s="4" t="n">
        <x:f>IF(AND('계산 과정'!$L$7,O777&lt;&gt;0),('계산 과정'!$L$23-'계산 과정'!$C$49*D777-'계산 과정'!$D$49*E777)/O777,"")</x:f>
        <x:v>-5.146563372608345</x:v>
      </x:c>
      <x:c r="Q777" s="4" t="str">
        <x:f>IF(AND(ISNUMBER(P777),P777&gt;1E-9,P777&lt;1-1E-9),'계산 과정'!$C$47*(D777-'계산 과정'!$C$50+P777*('계산 과정'!$C$32-D777))+'계산 과정'!$D$47*(E777-'계산 과정'!$D$50+P777*('계산 과정'!$D$32-E777))+'계산 과정'!$E$47*(0-'계산 과정'!$E$50+P777*('계산 과정'!$E$32-0)),"")</x:f>
      </x:c>
      <x:c r="R777" s="4" t="str">
        <x:f>IF(AND(ISNUMBER(P777),P777&gt;1E-9,P777&lt;1-1E-9),'계산 과정'!$C$48*(D777-'계산 과정'!$C$50+P777*('계산 과정'!$C$32-D777))+'계산 과정'!$D$48*(E777-'계산 과정'!$D$50+P777*('계산 과정'!$D$32-E777))+'계산 과정'!$E$48*(0-'계산 과정'!$E$50+P777*('계산 과정'!$E$32-0)),"")</x:f>
      </x:c>
      <x:c r="S777" s="17" t="n">
        <x:f>IF('계산 과정'!$C$78,IF(AND(ISNUMBER(Q777),ISNUMBER(R777),ABS(Q777-'계산 과정'!$C$88)&lt;='계산 과정'!$D$23/2,ABS(R777-'계산 과정'!$C$89)&lt;='계산 과정'!$D$24/2),1,0),"")</x:f>
        <x:v>0</x:v>
      </x:c>
      <x:c r="T777" s="4"/>
      <x:c r="U777" s="4"/>
      <x:c r="V777" s="4"/>
      <x:c r="W777" s="4"/>
      <x:c r="X777" s="4"/>
      <x:c r="Y777" s="4"/>
      <x:c r="Z777" s="4"/>
    </x:row>
    <x:row r="778" ht="23" customHeight="1">
      <x:c r="A778" s="17" t="n">
        <x:f>ROW()-6</x:f>
        <x:v>772</x:v>
      </x:c>
      <x:c r="B778" s="4" t="n">
        <x:f>IF('계산 과정'!$L$5,'계산 과정'!$L$11*SQRT((A778+0.5)/'계산 과정'!$L$30),"")</x:f>
        <x:v>92.12458128296974</x:v>
      </x:c>
      <x:c r="C778" s="4" t="n">
        <x:f>A778*PI()*(3-SQRT(5))</x:f>
        <x:v>1852.77161335052</x:v>
      </x:c>
      <x:c r="D778" s="4" t="n">
        <x:f>IF('계산 과정'!$L$5,B778*COS(C778),"")</x:f>
        <x:v>66.26200466807101</x:v>
      </x:c>
      <x:c r="E778" s="4" t="n">
        <x:f>IF('계산 과정'!$L$5,B778*SIN(C778),"")</x:f>
        <x:v>-64.00222819504829</x:v>
      </x:c>
      <x:c r="F778" s="4" t="n">
        <x:f>IF('계산 과정'!$L$7,'계산 과정'!$L$22+'계산 과정'!$C$49*D778+'계산 과정'!$D$49*E778,"")</x:f>
        <x:v>603.1456871641923</x:v>
      </x:c>
      <x:c r="G778" s="4" t="n">
        <x:f>IF('계산 과정'!$L$7,IF(ABS(F778)&gt;=1E-12*MAX(1,SQRT((D778-'계산 과정'!$C$33)^2+(E778-'계산 과정'!$D$33)^2+'계산 과정'!$E$33^2)),('계산 과정'!$L$23-'계산 과정'!$C$49*D778-'계산 과정'!$D$49*E778)/F778,""),"")</x:f>
        <x:v>0.7408729306128025</x:v>
      </x:c>
      <x:c r="H778" s="4" t="n">
        <x:f>IF(AND(ISNUMBER(G778),G778&gt;0),('계산 과정'!$D$56+'계산 과정'!$D$57*D778+'계산 과정'!$D$58*E778)/F778,"")</x:f>
        <x:v>81.56740489832147</x:v>
      </x:c>
      <x:c r="I778" s="4" t="n">
        <x:f>IF(AND(ISNUMBER(G778),G778&gt;0),('계산 과정'!$E$56+'계산 과정'!$E$57*D778+'계산 과정'!$E$58*E778)/F778,"")</x:f>
        <x:v>-111.41974656366304</x:v>
      </x:c>
      <x:c r="J778" s="4" t="n">
        <x:f>IF('계산 과정'!$L$5,'계산 과정'!$D$6+'계산 과정'!$C$35*D778+'계산 과정'!$D$35*E778,"")</x:f>
        <x:v>603.1456871641923</x:v>
      </x:c>
      <x:c r="K778" s="4" t="n">
        <x:f>IF(AND('계산 과정'!$L$6,J778&gt;0),'계산 과정'!$D$10*('계산 과정'!$C$38*(D778-'계산 과정'!$C$32)+'계산 과정'!$D$38*(E778-'계산 과정'!$D$32)-'계산 과정'!$E$38*'계산 과정'!$E$32)/J778,"")</x:f>
        <x:v>0.6214659420824505</x:v>
      </x:c>
      <x:c r="L778" s="4" t="n">
        <x:f>IF(AND('계산 과정'!$L$6,J778&gt;0),'계산 과정'!$D$10*('계산 과정'!$C$39*(D778-'계산 과정'!$C$32)+'계산 과정'!$D$39*(E778-'계산 과정'!$D$32)-'계산 과정'!$E$39*'계산 과정'!$E$32)/J778,"")</x:f>
        <x:v>-0.8489123547707661</x:v>
      </x:c>
      <x:c r="M778" s="17" t="n">
        <x:f>IF('계산 과정'!$L$6,IF(J778&lt;=0,0,IF(AND(ABS(K778)&lt;='계산 과정'!$D$11/2,ABS(L778)&lt;='계산 과정'!$D$12/2),1,0)),"")</x:f>
        <x:v>1</x:v>
      </x:c>
      <x:c r="N778" s="17" t="n">
        <x:f>IF('계산 과정'!$C$78,IF(AND(ISNUMBER(H778),ISNUMBER(I778),ABS(H778-'계산 과정'!$C$88)&lt;='계산 과정'!$D$23/2,ABS(I778-'계산 과정'!$C$89)&lt;='계산 과정'!$D$24/2),1,0),"")</x:f>
        <x:v>1</x:v>
      </x:c>
      <x:c r="O778" s="4" t="n">
        <x:f>IF('계산 과정'!$L$7,'계산 과정'!$C$49*('계산 과정'!$C$32-D778)+'계산 과정'!$D$49*('계산 과정'!$D$32-E778)+'계산 과정'!$E$49*'계산 과정'!$E$32,"")</x:f>
        <x:v>46.854312835807775</x:v>
      </x:c>
      <x:c r="P778" s="4" t="n">
        <x:f>IF(AND('계산 과정'!$L$7,O778&lt;&gt;0),('계산 과정'!$L$23-'계산 과정'!$C$49*D778-'계산 과정'!$D$49*E778)/O778,"")</x:f>
        <x:v>9.537100979406645</x:v>
      </x:c>
      <x:c r="Q778" s="4" t="str">
        <x:f>IF(AND(ISNUMBER(P778),P778&gt;1E-9,P778&lt;1-1E-9),'계산 과정'!$C$47*(D778-'계산 과정'!$C$50+P778*('계산 과정'!$C$32-D778))+'계산 과정'!$D$47*(E778-'계산 과정'!$D$50+P778*('계산 과정'!$D$32-E778))+'계산 과정'!$E$47*(0-'계산 과정'!$E$50+P778*('계산 과정'!$E$32-0)),"")</x:f>
      </x:c>
      <x:c r="R778" s="4" t="str">
        <x:f>IF(AND(ISNUMBER(P778),P778&gt;1E-9,P778&lt;1-1E-9),'계산 과정'!$C$48*(D778-'계산 과정'!$C$50+P778*('계산 과정'!$C$32-D778))+'계산 과정'!$D$48*(E778-'계산 과정'!$D$50+P778*('계산 과정'!$D$32-E778))+'계산 과정'!$E$48*(0-'계산 과정'!$E$50+P778*('계산 과정'!$E$32-0)),"")</x:f>
      </x:c>
      <x:c r="S778" s="17" t="n">
        <x:f>IF('계산 과정'!$C$78,IF(AND(ISNUMBER(Q778),ISNUMBER(R778),ABS(Q778-'계산 과정'!$C$88)&lt;='계산 과정'!$D$23/2,ABS(R778-'계산 과정'!$C$89)&lt;='계산 과정'!$D$24/2),1,0),"")</x:f>
        <x:v>0</x:v>
      </x:c>
      <x:c r="T778" s="4"/>
      <x:c r="U778" s="4"/>
      <x:c r="V778" s="4"/>
      <x:c r="W778" s="4"/>
      <x:c r="X778" s="4"/>
      <x:c r="Y778" s="4"/>
      <x:c r="Z778" s="4"/>
    </x:row>
    <x:row r="779" ht="23" customHeight="1">
      <x:c r="A779" s="17" t="n">
        <x:f>ROW()-6</x:f>
        <x:v>773</x:v>
      </x:c>
      <x:c r="B779" s="4" t="n">
        <x:f>IF('계산 과정'!$L$5,'계산 과정'!$L$11*SQRT((A779+0.5)/'계산 과정'!$L$30),"")</x:f>
        <x:v>92.18418955920534</x:v>
      </x:c>
      <x:c r="C779" s="4" t="n">
        <x:f>A779*PI()*(3-SQRT(5))</x:f>
        <x:v>1855.1715765802485</x:v>
      </x:c>
      <x:c r="D779" s="4" t="n">
        <x:f>IF('계산 과정'!$L$5,B779*COS(C779),"")</x:f>
        <x:v>-5.630296755197632</x:v>
      </x:c>
      <x:c r="E779" s="4" t="n">
        <x:f>IF('계산 과정'!$L$5,B779*SIN(C779),"")</x:f>
        <x:v>92.01208922275329</x:v>
      </x:c>
      <x:c r="F779" s="4" t="n">
        <x:f>IF('계산 과정'!$L$7,'계산 과정'!$L$22+'계산 과정'!$C$49*D779+'계산 과정'!$D$49*E779,"")</x:f>
        <x:v>653.9812210156929</x:v>
      </x:c>
      <x:c r="G779" s="4" t="n">
        <x:f>IF('계산 과정'!$L$7,IF(ABS(F779)&gt;=1E-12*MAX(1,SQRT((D779-'계산 과정'!$C$33)^2+(E779-'계산 과정'!$D$33)^2+'계산 과정'!$E$33^2)),('계산 과정'!$L$23-'계산 과정'!$C$49*D779-'계산 과정'!$D$49*E779)/F779,""),"")</x:f>
        <x:v>0.6055506890079406</x:v>
      </x:c>
      <x:c r="H779" s="4" t="n">
        <x:f>IF(AND(ISNUMBER(G779),G779&gt;0),('계산 과정'!$D$56+'계산 과정'!$D$57*D779+'계산 과정'!$D$58*E779)/F779,"")</x:f>
        <x:v>-6.392052144838679</x:v>
      </x:c>
      <x:c r="I779" s="4" t="n">
        <x:f>IF(AND(ISNUMBER(G779),G779&gt;0),('계산 과정'!$E$56+'계산 과정'!$E$57*D779+'계산 과정'!$E$58*E779)/F779,"")</x:f>
        <x:v>147.73007324865165</x:v>
      </x:c>
      <x:c r="J779" s="4" t="n">
        <x:f>IF('계산 과정'!$L$5,'계산 과정'!$D$6+'계산 과정'!$C$35*D779+'계산 과정'!$D$35*E779,"")</x:f>
        <x:v>653.9812210156929</x:v>
      </x:c>
      <x:c r="K779" s="4" t="n">
        <x:f>IF(AND('계산 과정'!$L$6,J779&gt;0),'계산 과정'!$D$10*('계산 과정'!$C$38*(D779-'계산 과정'!$C$32)+'계산 과정'!$D$38*(E779-'계산 과정'!$D$32)-'계산 과정'!$E$38*'계산 과정'!$E$32)/J779,"")</x:f>
        <x:v>-0.04870134967496006</x:v>
      </x:c>
      <x:c r="L779" s="4" t="n">
        <x:f>IF(AND('계산 과정'!$L$6,J779&gt;0),'계산 과정'!$D$10*('계산 과정'!$C$39*(D779-'계산 과정'!$C$32)+'계산 과정'!$D$39*(E779-'계산 과정'!$D$32)-'계산 과정'!$E$39*'계산 과정'!$E$32)/J779,"")</x:f>
        <x:v>1.1255624628468697</x:v>
      </x:c>
      <x:c r="M779" s="17" t="n">
        <x:f>IF('계산 과정'!$L$6,IF(J779&lt;=0,0,IF(AND(ABS(K779)&lt;='계산 과정'!$D$11/2,ABS(L779)&lt;='계산 과정'!$D$12/2),1,0)),"")</x:f>
        <x:v>1</x:v>
      </x:c>
      <x:c r="N779" s="17" t="n">
        <x:f>IF('계산 과정'!$C$78,IF(AND(ISNUMBER(H779),ISNUMBER(I779),ABS(H779-'계산 과정'!$C$88)&lt;='계산 과정'!$D$23/2,ABS(I779-'계산 과정'!$C$89)&lt;='계산 과정'!$D$24/2),1,0),"")</x:f>
        <x:v>1</x:v>
      </x:c>
      <x:c r="O779" s="4" t="n">
        <x:f>IF('계산 과정'!$L$7,'계산 과정'!$C$49*('계산 과정'!$C$32-D779)+'계산 과정'!$D$49*('계산 과정'!$D$32-E779)+'계산 과정'!$E$49*'계산 과정'!$E$32,"")</x:f>
        <x:v>-3.981221015692711</x:v>
      </x:c>
      <x:c r="P779" s="4" t="n">
        <x:f>IF(AND('계산 과정'!$L$7,O779&lt;&gt;0),('계산 과정'!$L$23-'계산 과정'!$C$49*D779-'계산 과정'!$D$49*E779)/O779,"")</x:f>
        <x:v>-99.47168906808406</x:v>
      </x:c>
      <x:c r="Q779" s="4" t="str">
        <x:f>IF(AND(ISNUMBER(P779),P779&gt;1E-9,P779&lt;1-1E-9),'계산 과정'!$C$47*(D779-'계산 과정'!$C$50+P779*('계산 과정'!$C$32-D779))+'계산 과정'!$D$47*(E779-'계산 과정'!$D$50+P779*('계산 과정'!$D$32-E779))+'계산 과정'!$E$47*(0-'계산 과정'!$E$50+P779*('계산 과정'!$E$32-0)),"")</x:f>
      </x:c>
      <x:c r="R779" s="4" t="str">
        <x:f>IF(AND(ISNUMBER(P779),P779&gt;1E-9,P779&lt;1-1E-9),'계산 과정'!$C$48*(D779-'계산 과정'!$C$50+P779*('계산 과정'!$C$32-D779))+'계산 과정'!$D$48*(E779-'계산 과정'!$D$50+P779*('계산 과정'!$D$32-E779))+'계산 과정'!$E$48*(0-'계산 과정'!$E$50+P779*('계산 과정'!$E$32-0)),"")</x:f>
      </x:c>
      <x:c r="S779" s="17" t="n">
        <x:f>IF('계산 과정'!$C$78,IF(AND(ISNUMBER(Q779),ISNUMBER(R779),ABS(Q779-'계산 과정'!$C$88)&lt;='계산 과정'!$D$23/2,ABS(R779-'계산 과정'!$C$89)&lt;='계산 과정'!$D$24/2),1,0),"")</x:f>
        <x:v>0</x:v>
      </x:c>
      <x:c r="T779" s="4"/>
      <x:c r="U779" s="4"/>
      <x:c r="V779" s="4"/>
      <x:c r="W779" s="4"/>
      <x:c r="X779" s="4"/>
      <x:c r="Y779" s="4"/>
      <x:c r="Z779" s="4"/>
    </x:row>
    <x:row r="780" ht="23" customHeight="1">
      <x:c r="A780" s="17" t="n">
        <x:f>ROW()-6</x:f>
        <x:v>774</x:v>
      </x:c>
      <x:c r="B780" s="4" t="n">
        <x:f>IF('계산 과정'!$L$5,'계산 과정'!$L$11*SQRT((A780+0.5)/'계산 과정'!$L$30),"")</x:f>
        <x:v>92.24375931634889</x:v>
      </x:c>
      <x:c r="C780" s="4" t="n">
        <x:f>A780*PI()*(3-SQRT(5))</x:f>
        <x:v>1857.5715398099774</x:v>
      </x:c>
      <x:c r="D780" s="4" t="n">
        <x:f>IF('계산 과정'!$L$5,B780*COS(C780),"")</x:f>
        <x:v>-58.03914851072509</x:v>
      </x:c>
      <x:c r="E780" s="4" t="n">
        <x:f>IF('계산 과정'!$L$5,B780*SIN(C780),"")</x:f>
        <x:v>-71.69636234121295</x:v>
      </x:c>
      <x:c r="F780" s="4" t="n">
        <x:f>IF('계산 과정'!$L$7,'계산 과정'!$L$22+'계산 과정'!$C$49*D780+'계산 과정'!$D$49*E780,"")</x:f>
        <x:v>691.0398754862268</x:v>
      </x:c>
      <x:c r="G780" s="4" t="n">
        <x:f>IF('계산 과정'!$L$7,IF(ABS(F780)&gt;=1E-12*MAX(1,SQRT((D780-'계산 과정'!$C$33)^2+(E780-'계산 과정'!$D$33)^2+'계산 과정'!$E$33^2)),('계산 과정'!$L$23-'계산 과정'!$C$49*D780-'계산 과정'!$D$49*E780)/F780,""),"")</x:f>
        <x:v>0.5194492202945641</x:v>
      </x:c>
      <x:c r="H780" s="4" t="n">
        <x:f>IF(AND(ISNUMBER(G780),G780&gt;0),('계산 과정'!$D$56+'계산 과정'!$D$57*D780+'계산 과정'!$D$58*E780)/F780,"")</x:f>
        <x:v>-62.35800680853346</x:v>
      </x:c>
      <x:c r="I780" s="4" t="n">
        <x:f>IF(AND(ISNUMBER(G780),G780&gt;0),('계산 과정'!$E$56+'계산 과정'!$E$57*D780+'계산 과정'!$E$58*E780)/F780,"")</x:f>
        <x:v>-108.93898185731256</x:v>
      </x:c>
      <x:c r="J780" s="4" t="n">
        <x:f>IF('계산 과정'!$L$5,'계산 과정'!$D$6+'계산 과정'!$C$35*D780+'계산 과정'!$D$35*E780,"")</x:f>
        <x:v>691.0398754862268</x:v>
      </x:c>
      <x:c r="K780" s="4" t="n">
        <x:f>IF(AND('계산 과정'!$L$6,J780&gt;0),'계산 과정'!$D$10*('계산 과정'!$C$38*(D780-'계산 과정'!$C$32)+'계산 과정'!$D$38*(E780-'계산 과정'!$D$32)-'계산 과정'!$E$38*'계산 과정'!$E$32)/J780,"")</x:f>
        <x:v>-0.47510862330311127</x:v>
      </x:c>
      <x:c r="L780" s="4" t="n">
        <x:f>IF(AND('계산 과정'!$L$6,J780&gt;0),'계산 과정'!$D$10*('계산 과정'!$C$39*(D780-'계산 과정'!$C$32)+'계산 과정'!$D$39*(E780-'계산 과정'!$D$32)-'계산 과정'!$E$39*'계산 과정'!$E$32)/J780,"")</x:f>
        <x:v>-0.8300112903414291</x:v>
      </x:c>
      <x:c r="M780" s="17" t="n">
        <x:f>IF('계산 과정'!$L$6,IF(J780&lt;=0,0,IF(AND(ABS(K780)&lt;='계산 과정'!$D$11/2,ABS(L780)&lt;='계산 과정'!$D$12/2),1,0)),"")</x:f>
        <x:v>1</x:v>
      </x:c>
      <x:c r="N780" s="17" t="n">
        <x:f>IF('계산 과정'!$C$78,IF(AND(ISNUMBER(H780),ISNUMBER(I780),ABS(H780-'계산 과정'!$C$88)&lt;='계산 과정'!$D$23/2,ABS(I780-'계산 과정'!$C$89)&lt;='계산 과정'!$D$24/2),1,0),"")</x:f>
        <x:v>1</x:v>
      </x:c>
      <x:c r="O780" s="4" t="n">
        <x:f>IF('계산 과정'!$L$7,'계산 과정'!$C$49*('계산 과정'!$C$32-D780)+'계산 과정'!$D$49*('계산 과정'!$D$32-E780)+'계산 과정'!$E$49*'계산 과정'!$E$32,"")</x:f>
        <x:v>-41.03987548622672</x:v>
      </x:c>
      <x:c r="P780" s="4" t="n">
        <x:f>IF(AND('계산 과정'!$L$7,O780&lt;&gt;0),('계산 과정'!$L$23-'계산 과정'!$C$49*D780-'계산 과정'!$D$49*E780)/O780,"")</x:f>
        <x:v>-8.746618264820096</x:v>
      </x:c>
      <x:c r="Q780" s="4" t="str">
        <x:f>IF(AND(ISNUMBER(P780),P780&gt;1E-9,P780&lt;1-1E-9),'계산 과정'!$C$47*(D780-'계산 과정'!$C$50+P780*('계산 과정'!$C$32-D780))+'계산 과정'!$D$47*(E780-'계산 과정'!$D$50+P780*('계산 과정'!$D$32-E780))+'계산 과정'!$E$47*(0-'계산 과정'!$E$50+P780*('계산 과정'!$E$32-0)),"")</x:f>
      </x:c>
      <x:c r="R780" s="4" t="str">
        <x:f>IF(AND(ISNUMBER(P780),P780&gt;1E-9,P780&lt;1-1E-9),'계산 과정'!$C$48*(D780-'계산 과정'!$C$50+P780*('계산 과정'!$C$32-D780))+'계산 과정'!$D$48*(E780-'계산 과정'!$D$50+P780*('계산 과정'!$D$32-E780))+'계산 과정'!$E$48*(0-'계산 과정'!$E$50+P780*('계산 과정'!$E$32-0)),"")</x:f>
      </x:c>
      <x:c r="S780" s="17" t="n">
        <x:f>IF('계산 과정'!$C$78,IF(AND(ISNUMBER(Q780),ISNUMBER(R780),ABS(Q780-'계산 과정'!$C$88)&lt;='계산 과정'!$D$23/2,ABS(R780-'계산 과정'!$C$89)&lt;='계산 과정'!$D$24/2),1,0),"")</x:f>
        <x:v>0</x:v>
      </x:c>
      <x:c r="T780" s="4"/>
      <x:c r="U780" s="4"/>
      <x:c r="V780" s="4"/>
      <x:c r="W780" s="4"/>
      <x:c r="X780" s="4"/>
      <x:c r="Y780" s="4"/>
      <x:c r="Z780" s="4"/>
    </x:row>
    <x:row r="781" ht="23" customHeight="1">
      <x:c r="A781" s="17" t="n">
        <x:f>ROW()-6</x:f>
        <x:v>775</x:v>
      </x:c>
      <x:c r="B781" s="4" t="n">
        <x:f>IF('계산 과정'!$L$5,'계산 과정'!$L$11*SQRT((A781+0.5)/'계산 과정'!$L$30),"")</x:f>
        <x:v>92.30329062897758</x:v>
      </x:c>
      <x:c r="C781" s="4" t="n">
        <x:f>A781*PI()*(3-SQRT(5))</x:f>
        <x:v>1859.971503039706</x:v>
      </x:c>
      <x:c r="D781" s="4" t="n">
        <x:f>IF('계산 과정'!$L$5,B781*COS(C781),"")</x:f>
        <x:v>91.28533349512892</x:v>
      </x:c>
      <x:c r="E781" s="4" t="n">
        <x:f>IF('계산 과정'!$L$5,B781*SIN(C781),"")</x:f>
        <x:v>13.67060165539885</x:v>
      </x:c>
      <x:c r="F781" s="4" t="n">
        <x:f>IF('계산 과정'!$L$7,'계산 과정'!$L$22+'계산 과정'!$C$49*D781+'계산 과정'!$D$49*E781,"")</x:f>
        <x:v>585.4515216627188</x:v>
      </x:c>
      <x:c r="G781" s="4" t="n">
        <x:f>IF('계산 과정'!$L$7,IF(ABS(F781)&gt;=1E-12*MAX(1,SQRT((D781-'계산 과정'!$C$33)^2+(E781-'계산 과정'!$D$33)^2+'계산 과정'!$E$33^2)),('계산 과정'!$L$23-'계산 과정'!$C$49*D781-'계산 과정'!$D$49*E781)/F781,""),"")</x:f>
        <x:v>0.7934875239847947</x:v>
      </x:c>
      <x:c r="H781" s="4" t="n">
        <x:f>IF(AND(ISNUMBER(G781),G781&gt;0),('계산 과정'!$D$56+'계산 과정'!$D$57*D781+'계산 과정'!$D$58*E781)/F781,"")</x:f>
        <x:v>115.76689059011642</x:v>
      </x:c>
      <x:c r="I781" s="4" t="n">
        <x:f>IF(AND(ISNUMBER(G781),G781&gt;0),('계산 과정'!$E$56+'계산 과정'!$E$57*D781+'계산 과정'!$E$58*E781)/F781,"")</x:f>
        <x:v>24.518053514323718</x:v>
      </x:c>
      <x:c r="J781" s="4" t="n">
        <x:f>IF('계산 과정'!$L$5,'계산 과정'!$D$6+'계산 과정'!$C$35*D781+'계산 과정'!$D$35*E781,"")</x:f>
        <x:v>585.4515216627188</x:v>
      </x:c>
      <x:c r="K781" s="4" t="n">
        <x:f>IF(AND('계산 과정'!$L$6,J781&gt;0),'계산 과정'!$D$10*('계산 과정'!$C$38*(D781-'계산 과정'!$C$32)+'계산 과정'!$D$38*(E781-'계산 과정'!$D$32)-'계산 과정'!$E$38*'계산 과정'!$E$32)/J781,"")</x:f>
        <x:v>0.8820334521151736</x:v>
      </x:c>
      <x:c r="L781" s="4" t="n">
        <x:f>IF(AND('계산 과정'!$L$6,J781&gt;0),'계산 과정'!$D$10*('계산 과정'!$C$39*(D781-'계산 과정'!$C$32)+'계산 과정'!$D$39*(E781-'계산 과정'!$D$32)-'계산 과정'!$E$39*'계산 과정'!$E$32)/J781,"")</x:f>
        <x:v>0.18680421725199023</x:v>
      </x:c>
      <x:c r="M781" s="17" t="n">
        <x:f>IF('계산 과정'!$L$6,IF(J781&lt;=0,0,IF(AND(ABS(K781)&lt;='계산 과정'!$D$11/2,ABS(L781)&lt;='계산 과정'!$D$12/2),1,0)),"")</x:f>
        <x:v>1</x:v>
      </x:c>
      <x:c r="N781" s="17" t="n">
        <x:f>IF('계산 과정'!$C$78,IF(AND(ISNUMBER(H781),ISNUMBER(I781),ABS(H781-'계산 과정'!$C$88)&lt;='계산 과정'!$D$23/2,ABS(I781-'계산 과정'!$C$89)&lt;='계산 과정'!$D$24/2),1,0),"")</x:f>
        <x:v>1</x:v>
      </x:c>
      <x:c r="O781" s="4" t="n">
        <x:f>IF('계산 과정'!$L$7,'계산 과정'!$C$49*('계산 과정'!$C$32-D781)+'계산 과정'!$D$49*('계산 과정'!$D$32-E781)+'계산 과정'!$E$49*'계산 과정'!$E$32,"")</x:f>
        <x:v>64.54847833728127</x:v>
      </x:c>
      <x:c r="P781" s="4" t="n">
        <x:f>IF(AND('계산 과정'!$L$7,O781&lt;&gt;0),('계산 과정'!$L$23-'계산 과정'!$C$49*D781-'계산 과정'!$D$49*E781)/O781,"")</x:f>
        <x:v>7.196892789786679</x:v>
      </x:c>
      <x:c r="Q781" s="4" t="str">
        <x:f>IF(AND(ISNUMBER(P781),P781&gt;1E-9,P781&lt;1-1E-9),'계산 과정'!$C$47*(D781-'계산 과정'!$C$50+P781*('계산 과정'!$C$32-D781))+'계산 과정'!$D$47*(E781-'계산 과정'!$D$50+P781*('계산 과정'!$D$32-E781))+'계산 과정'!$E$47*(0-'계산 과정'!$E$50+P781*('계산 과정'!$E$32-0)),"")</x:f>
      </x:c>
      <x:c r="R781" s="4" t="str">
        <x:f>IF(AND(ISNUMBER(P781),P781&gt;1E-9,P781&lt;1-1E-9),'계산 과정'!$C$48*(D781-'계산 과정'!$C$50+P781*('계산 과정'!$C$32-D781))+'계산 과정'!$D$48*(E781-'계산 과정'!$D$50+P781*('계산 과정'!$D$32-E781))+'계산 과정'!$E$48*(0-'계산 과정'!$E$50+P781*('계산 과정'!$E$32-0)),"")</x:f>
      </x:c>
      <x:c r="S781" s="17" t="n">
        <x:f>IF('계산 과정'!$C$78,IF(AND(ISNUMBER(Q781),ISNUMBER(R781),ABS(Q781-'계산 과정'!$C$88)&lt;='계산 과정'!$D$23/2,ABS(R781-'계산 과정'!$C$89)&lt;='계산 과정'!$D$24/2),1,0),"")</x:f>
        <x:v>0</x:v>
      </x:c>
      <x:c r="T781" s="4"/>
      <x:c r="U781" s="4"/>
      <x:c r="V781" s="4"/>
      <x:c r="W781" s="4"/>
      <x:c r="X781" s="4"/>
      <x:c r="Y781" s="4"/>
      <x:c r="Z781" s="4"/>
    </x:row>
    <x:row r="782" ht="23" customHeight="1">
      <x:c r="A782" s="17" t="n">
        <x:f>ROW()-6</x:f>
        <x:v>776</x:v>
      </x:c>
      <x:c r="B782" s="4" t="n">
        <x:f>IF('계산 과정'!$L$5,'계산 과정'!$L$11*SQRT((A782+0.5)/'계산 과정'!$L$30),"")</x:f>
        <x:v>92.36278357142828</x:v>
      </x:c>
      <x:c r="C782" s="4" t="n">
        <x:f>A782*PI()*(3-SQRT(5))</x:f>
        <x:v>1862.3714662694347</x:v>
      </x:c>
      <x:c r="D782" s="4" t="n">
        <x:f>IF('계산 과정'!$L$5,B782*COS(C782),"")</x:f>
        <x:v>-76.59465901867657</x:v>
      </x:c>
      <x:c r="E782" s="4" t="n">
        <x:f>IF('계산 과정'!$L$5,B782*SIN(C782),"")</x:f>
        <x:v>51.615327170087475</x:v>
      </x:c>
      <x:c r="F782" s="4" t="n">
        <x:f>IF('계산 과정'!$L$7,'계산 과정'!$L$22+'계산 과정'!$C$49*D782+'계산 과정'!$D$49*E782,"")</x:f>
        <x:v>704.1606027947776</x:v>
      </x:c>
      <x:c r="G782" s="4" t="n">
        <x:f>IF('계산 과정'!$L$7,IF(ABS(F782)&gt;=1E-12*MAX(1,SQRT((D782-'계산 과정'!$C$33)^2+(E782-'계산 과정'!$D$33)^2+'계산 과정'!$E$33^2)),('계산 과정'!$L$23-'계산 과정'!$C$49*D782-'계산 과정'!$D$49*E782)/F782,""),"")</x:f>
        <x:v>0.4911371011564741</x:v>
      </x:c>
      <x:c r="H782" s="4" t="n">
        <x:f>IF(AND(ISNUMBER(G782),G782&gt;0),('계산 과정'!$D$56+'계산 과정'!$D$57*D782+'계산 과정'!$D$58*E782)/F782,"")</x:f>
        <x:v>-80.76088424829194</x:v>
      </x:c>
      <x:c r="I782" s="4" t="n">
        <x:f>IF(AND(ISNUMBER(G782),G782&gt;0),('계산 과정'!$E$56+'계산 과정'!$E$57*D782+'계산 과정'!$E$58*E782)/F782,"")</x:f>
        <x:v>76.96552933164723</x:v>
      </x:c>
      <x:c r="J782" s="4" t="n">
        <x:f>IF('계산 과정'!$L$5,'계산 과정'!$D$6+'계산 과정'!$C$35*D782+'계산 과정'!$D$35*E782,"")</x:f>
        <x:v>704.1606027947776</x:v>
      </x:c>
      <x:c r="K782" s="4" t="n">
        <x:f>IF(AND('계산 과정'!$L$6,J782&gt;0),'계산 과정'!$D$10*('계산 과정'!$C$38*(D782-'계산 과정'!$C$32)+'계산 과정'!$D$38*(E782-'계산 과정'!$D$32)-'계산 과정'!$E$38*'계산 과정'!$E$32)/J782,"")</x:f>
        <x:v>-0.6153210228441283</x:v>
      </x:c>
      <x:c r="L782" s="4" t="n">
        <x:f>IF(AND('계산 과정'!$L$6,J782&gt;0),'계산 과정'!$D$10*('계산 과정'!$C$39*(D782-'계산 과정'!$C$32)+'계산 과정'!$D$39*(E782-'계산 과정'!$D$32)-'계산 과정'!$E$39*'계산 과정'!$E$32)/J782,"")</x:f>
        <x:v>0.5864040330030266</x:v>
      </x:c>
      <x:c r="M782" s="17" t="n">
        <x:f>IF('계산 과정'!$L$6,IF(J782&lt;=0,0,IF(AND(ABS(K782)&lt;='계산 과정'!$D$11/2,ABS(L782)&lt;='계산 과정'!$D$12/2),1,0)),"")</x:f>
        <x:v>1</x:v>
      </x:c>
      <x:c r="N782" s="17" t="n">
        <x:f>IF('계산 과정'!$C$78,IF(AND(ISNUMBER(H782),ISNUMBER(I782),ABS(H782-'계산 과정'!$C$88)&lt;='계산 과정'!$D$23/2,ABS(I782-'계산 과정'!$C$89)&lt;='계산 과정'!$D$24/2),1,0),"")</x:f>
        <x:v>1</x:v>
      </x:c>
      <x:c r="O782" s="4" t="n">
        <x:f>IF('계산 과정'!$L$7,'계산 과정'!$C$49*('계산 과정'!$C$32-D782)+'계산 과정'!$D$49*('계산 과정'!$D$32-E782)+'계산 과정'!$E$49*'계산 과정'!$E$32,"")</x:f>
        <x:v>-54.160602794777446</x:v>
      </x:c>
      <x:c r="P782" s="4" t="n">
        <x:f>IF(AND('계산 과정'!$L$7,O782&lt;&gt;0),('계산 과정'!$L$23-'계산 과정'!$C$49*D782-'계산 과정'!$D$49*E782)/O782,"")</x:f>
        <x:v>-6.385442173080296</x:v>
      </x:c>
      <x:c r="Q782" s="4" t="str">
        <x:f>IF(AND(ISNUMBER(P782),P782&gt;1E-9,P782&lt;1-1E-9),'계산 과정'!$C$47*(D782-'계산 과정'!$C$50+P782*('계산 과정'!$C$32-D782))+'계산 과정'!$D$47*(E782-'계산 과정'!$D$50+P782*('계산 과정'!$D$32-E782))+'계산 과정'!$E$47*(0-'계산 과정'!$E$50+P782*('계산 과정'!$E$32-0)),"")</x:f>
      </x:c>
      <x:c r="R782" s="4" t="str">
        <x:f>IF(AND(ISNUMBER(P782),P782&gt;1E-9,P782&lt;1-1E-9),'계산 과정'!$C$48*(D782-'계산 과정'!$C$50+P782*('계산 과정'!$C$32-D782))+'계산 과정'!$D$48*(E782-'계산 과정'!$D$50+P782*('계산 과정'!$D$32-E782))+'계산 과정'!$E$48*(0-'계산 과정'!$E$50+P782*('계산 과정'!$E$32-0)),"")</x:f>
      </x:c>
      <x:c r="S782" s="17" t="n">
        <x:f>IF('계산 과정'!$C$78,IF(AND(ISNUMBER(Q782),ISNUMBER(R782),ABS(Q782-'계산 과정'!$C$88)&lt;='계산 과정'!$D$23/2,ABS(R782-'계산 과정'!$C$89)&lt;='계산 과정'!$D$24/2),1,0),"")</x:f>
        <x:v>0</x:v>
      </x:c>
      <x:c r="T782" s="4"/>
      <x:c r="U782" s="4"/>
      <x:c r="V782" s="4"/>
      <x:c r="W782" s="4"/>
      <x:c r="X782" s="4"/>
      <x:c r="Y782" s="4"/>
      <x:c r="Z782" s="4"/>
    </x:row>
    <x:row r="783" ht="23" customHeight="1">
      <x:c r="A783" s="17" t="n">
        <x:f>ROW()-6</x:f>
        <x:v>777</x:v>
      </x:c>
      <x:c r="B783" s="4" t="n">
        <x:f>IF('계산 과정'!$L$5,'계산 과정'!$L$11*SQRT((A783+0.5)/'계산 과정'!$L$30),"")</x:f>
        <x:v>92.42223821779854</x:v>
      </x:c>
      <x:c r="C783" s="4" t="n">
        <x:f>A783*PI()*(3-SQRT(5))</x:f>
        <x:v>1864.771429499163</x:v>
      </x:c>
      <x:c r="D783" s="4" t="n">
        <x:f>IF('계산 과정'!$L$5,B783*COS(C783),"")</x:f>
        <x:v>21.626777619291012</x:v>
      </x:c>
      <x:c r="E783" s="4" t="n">
        <x:f>IF('계산 과정'!$L$5,B783*SIN(C783),"")</x:f>
        <x:v>-89.85628863353547</x:v>
      </x:c>
      <x:c r="F783" s="4" t="n">
        <x:f>IF('계산 과정'!$L$7,'계산 과정'!$L$22+'계산 과정'!$C$49*D783+'계산 과정'!$D$49*E783,"")</x:f>
        <x:v>634.7075588901859</x:v>
      </x:c>
      <x:c r="G783" s="4" t="n">
        <x:f>IF('계산 과정'!$L$7,IF(ABS(F783)&gt;=1E-12*MAX(1,SQRT((D783-'계산 과정'!$C$33)^2+(E783-'계산 과정'!$D$33)^2+'계산 과정'!$E$33^2)),('계산 과정'!$L$23-'계산 과정'!$C$49*D783-'계산 과정'!$D$49*E783)/F783,""),"")</x:f>
        <x:v>0.6543051761286273</x:v>
      </x:c>
      <x:c r="H783" s="4" t="n">
        <x:f>IF(AND(ISNUMBER(G783),G783&gt;0),('계산 과정'!$D$56+'계산 과정'!$D$57*D783+'계산 과정'!$D$58*E783)/F783,"")</x:f>
        <x:v>25.29836448360762</x:v>
      </x:c>
      <x:c r="I783" s="4" t="n">
        <x:f>IF(AND(ISNUMBER(G783),G783&gt;0),('계산 과정'!$E$56+'계산 과정'!$E$57*D783+'계산 과정'!$E$58*E783)/F783,"")</x:f>
        <x:v>-148.64972339416568</x:v>
      </x:c>
      <x:c r="J783" s="4" t="n">
        <x:f>IF('계산 과정'!$L$5,'계산 과정'!$D$6+'계산 과정'!$C$35*D783+'계산 과정'!$D$35*E783,"")</x:f>
        <x:v>634.7075588901859</x:v>
      </x:c>
      <x:c r="K783" s="4" t="n">
        <x:f>IF(AND('계산 과정'!$L$6,J783&gt;0),'계산 과정'!$D$10*('계산 과정'!$C$38*(D783-'계산 과정'!$C$32)+'계산 과정'!$D$38*(E783-'계산 과정'!$D$32)-'계산 과정'!$E$38*'계산 과정'!$E$32)/J783,"")</x:f>
        <x:v>0.19274944368463054</x:v>
      </x:c>
      <x:c r="L783" s="4" t="n">
        <x:f>IF(AND('계산 과정'!$L$6,J783&gt;0),'계산 과정'!$D$10*('계산 과정'!$C$39*(D783-'계산 과정'!$C$32)+'계산 과정'!$D$39*(E783-'계산 과정'!$D$32)-'계산 과정'!$E$39*'계산 과정'!$E$32)/J783,"")</x:f>
        <x:v>-1.1325693210984051</x:v>
      </x:c>
      <x:c r="M783" s="17" t="n">
        <x:f>IF('계산 과정'!$L$6,IF(J783&lt;=0,0,IF(AND(ABS(K783)&lt;='계산 과정'!$D$11/2,ABS(L783)&lt;='계산 과정'!$D$12/2),1,0)),"")</x:f>
        <x:v>1</x:v>
      </x:c>
      <x:c r="N783" s="17" t="n">
        <x:f>IF('계산 과정'!$C$78,IF(AND(ISNUMBER(H783),ISNUMBER(I783),ABS(H783-'계산 과정'!$C$88)&lt;='계산 과정'!$D$23/2,ABS(I783-'계산 과정'!$C$89)&lt;='계산 과정'!$D$24/2),1,0),"")</x:f>
        <x:v>1</x:v>
      </x:c>
      <x:c r="O783" s="4" t="n">
        <x:f>IF('계산 과정'!$L$7,'계산 과정'!$C$49*('계산 과정'!$C$32-D783)+'계산 과정'!$D$49*('계산 과정'!$D$32-E783)+'계산 과정'!$E$49*'계산 과정'!$E$32,"")</x:f>
        <x:v>15.292441109814263</x:v>
      </x:c>
      <x:c r="P783" s="4" t="n">
        <x:f>IF(AND('계산 과정'!$L$7,O783&lt;&gt;0),('계산 과정'!$L$23-'계산 과정'!$C$49*D783-'계산 과정'!$D$49*E783)/O783,"")</x:f>
        <x:v>27.156713446049565</x:v>
      </x:c>
      <x:c r="Q783" s="4" t="str">
        <x:f>IF(AND(ISNUMBER(P783),P783&gt;1E-9,P783&lt;1-1E-9),'계산 과정'!$C$47*(D783-'계산 과정'!$C$50+P783*('계산 과정'!$C$32-D783))+'계산 과정'!$D$47*(E783-'계산 과정'!$D$50+P783*('계산 과정'!$D$32-E783))+'계산 과정'!$E$47*(0-'계산 과정'!$E$50+P783*('계산 과정'!$E$32-0)),"")</x:f>
      </x:c>
      <x:c r="R783" s="4" t="str">
        <x:f>IF(AND(ISNUMBER(P783),P783&gt;1E-9,P783&lt;1-1E-9),'계산 과정'!$C$48*(D783-'계산 과정'!$C$50+P783*('계산 과정'!$C$32-D783))+'계산 과정'!$D$48*(E783-'계산 과정'!$D$50+P783*('계산 과정'!$D$32-E783))+'계산 과정'!$E$48*(0-'계산 과정'!$E$50+P783*('계산 과정'!$E$32-0)),"")</x:f>
      </x:c>
      <x:c r="S783" s="17" t="n">
        <x:f>IF('계산 과정'!$C$78,IF(AND(ISNUMBER(Q783),ISNUMBER(R783),ABS(Q783-'계산 과정'!$C$88)&lt;='계산 과정'!$D$23/2,ABS(R783-'계산 과정'!$C$89)&lt;='계산 과정'!$D$24/2),1,0),"")</x:f>
        <x:v>0</x:v>
      </x:c>
      <x:c r="T783" s="4"/>
      <x:c r="U783" s="4"/>
      <x:c r="V783" s="4"/>
      <x:c r="W783" s="4"/>
      <x:c r="X783" s="4"/>
      <x:c r="Y783" s="4"/>
      <x:c r="Z783" s="4"/>
    </x:row>
    <x:row r="784" ht="23" customHeight="1">
      <x:c r="A784" s="17" t="n">
        <x:f>ROW()-6</x:f>
        <x:v>778</x:v>
      </x:c>
      <x:c r="B784" s="4" t="n">
        <x:f>IF('계산 과정'!$L$5,'계산 과정'!$L$11*SQRT((A784+0.5)/'계산 과정'!$L$30),"")</x:f>
        <x:v>92.48165464194778</x:v>
      </x:c>
      <x:c r="C784" s="4" t="n">
        <x:f>A784*PI()*(3-SQRT(5))</x:f>
        <x:v>1867.171392728892</x:v>
      </x:c>
      <x:c r="D784" s="4" t="n">
        <x:f>IF('계산 과정'!$L$5,B784*COS(C784),"")</x:f>
        <x:v>44.778907077067586</x:v>
      </x:c>
      <x:c r="E784" s="4" t="n">
        <x:f>IF('계산 과정'!$L$5,B784*SIN(C784),"")</x:f>
        <x:v>80.91789620532562</x:v>
      </x:c>
      <x:c r="F784" s="4" t="n">
        <x:f>IF('계산 과정'!$L$7,'계산 과정'!$L$22+'계산 과정'!$C$49*D784+'계산 과정'!$D$49*E784,"")</x:f>
        <x:v>618.3365311516832</x:v>
      </x:c>
      <x:c r="G784" s="4" t="n">
        <x:f>IF('계산 과정'!$L$7,IF(ABS(F784)&gt;=1E-12*MAX(1,SQRT((D784-'계산 과정'!$C$33)^2+(E784-'계산 과정'!$D$33)^2+'계산 과정'!$E$33^2)),('계산 과정'!$L$23-'계산 과정'!$C$49*D784-'계산 과정'!$D$49*E784)/F784,""),"")</x:f>
        <x:v>0.6981044255048648</x:v>
      </x:c>
      <x:c r="H784" s="4" t="n">
        <x:f>IF(AND(ISNUMBER(G784),G784&gt;0),('계산 과정'!$D$56+'계산 과정'!$D$57*D784+'계산 과정'!$D$58*E784)/F784,"")</x:f>
        <x:v>53.76787657816204</x:v>
      </x:c>
      <x:c r="I784" s="4" t="n">
        <x:f>IF(AND(ISNUMBER(G784),G784&gt;0),('계산 과정'!$E$56+'계산 과정'!$E$57*D784+'계산 과정'!$E$58*E784)/F784,"")</x:f>
        <x:v>137.40703764880675</x:v>
      </x:c>
      <x:c r="J784" s="4" t="n">
        <x:f>IF('계산 과정'!$L$5,'계산 과정'!$D$6+'계산 과정'!$C$35*D784+'계산 과정'!$D$35*E784,"")</x:f>
        <x:v>618.3365311516832</x:v>
      </x:c>
      <x:c r="K784" s="4" t="n">
        <x:f>IF(AND('계산 과정'!$L$6,J784&gt;0),'계산 과정'!$D$10*('계산 과정'!$C$38*(D784-'계산 과정'!$C$32)+'계산 과정'!$D$38*(E784-'계산 과정'!$D$32)-'계산 과정'!$E$38*'계산 과정'!$E$32)/J784,"")</x:f>
        <x:v>0.40966001202409247</x:v>
      </x:c>
      <x:c r="L784" s="4" t="n">
        <x:f>IF(AND('계산 과정'!$L$6,J784&gt;0),'계산 과정'!$D$10*('계산 과정'!$C$39*(D784-'계산 과정'!$C$32)+'계산 과정'!$D$39*(E784-'계산 과정'!$D$32)-'계산 과정'!$E$39*'계산 과정'!$E$32)/J784,"")</x:f>
        <x:v>1.0469107630385277</x:v>
      </x:c>
      <x:c r="M784" s="17" t="n">
        <x:f>IF('계산 과정'!$L$6,IF(J784&lt;=0,0,IF(AND(ABS(K784)&lt;='계산 과정'!$D$11/2,ABS(L784)&lt;='계산 과정'!$D$12/2),1,0)),"")</x:f>
        <x:v>1</x:v>
      </x:c>
      <x:c r="N784" s="17" t="n">
        <x:f>IF('계산 과정'!$C$78,IF(AND(ISNUMBER(H784),ISNUMBER(I784),ABS(H784-'계산 과정'!$C$88)&lt;='계산 과정'!$D$23/2,ABS(I784-'계산 과정'!$C$89)&lt;='계산 과정'!$D$24/2),1,0),"")</x:f>
        <x:v>1</x:v>
      </x:c>
      <x:c r="O784" s="4" t="n">
        <x:f>IF('계산 과정'!$L$7,'계산 과정'!$C$49*('계산 과정'!$C$32-D784)+'계산 과정'!$D$49*('계산 과정'!$D$32-E784)+'계산 과정'!$E$49*'계산 과정'!$E$32,"")</x:f>
        <x:v>31.66346884831688</x:v>
      </x:c>
      <x:c r="P784" s="4" t="n">
        <x:f>IF(AND('계산 과정'!$L$7,O784&lt;&gt;0),('계산 과정'!$L$23-'계산 과정'!$C$49*D784-'계산 과정'!$D$49*E784)/O784,"")</x:f>
        <x:v>13.632854660245556</x:v>
      </x:c>
      <x:c r="Q784" s="4" t="str">
        <x:f>IF(AND(ISNUMBER(P784),P784&gt;1E-9,P784&lt;1-1E-9),'계산 과정'!$C$47*(D784-'계산 과정'!$C$50+P784*('계산 과정'!$C$32-D784))+'계산 과정'!$D$47*(E784-'계산 과정'!$D$50+P784*('계산 과정'!$D$32-E784))+'계산 과정'!$E$47*(0-'계산 과정'!$E$50+P784*('계산 과정'!$E$32-0)),"")</x:f>
      </x:c>
      <x:c r="R784" s="4" t="str">
        <x:f>IF(AND(ISNUMBER(P784),P784&gt;1E-9,P784&lt;1-1E-9),'계산 과정'!$C$48*(D784-'계산 과정'!$C$50+P784*('계산 과정'!$C$32-D784))+'계산 과정'!$D$48*(E784-'계산 과정'!$D$50+P784*('계산 과정'!$D$32-E784))+'계산 과정'!$E$48*(0-'계산 과정'!$E$50+P784*('계산 과정'!$E$32-0)),"")</x:f>
      </x:c>
      <x:c r="S784" s="17" t="n">
        <x:f>IF('계산 과정'!$C$78,IF(AND(ISNUMBER(Q784),ISNUMBER(R784),ABS(Q784-'계산 과정'!$C$88)&lt;='계산 과정'!$D$23/2,ABS(R784-'계산 과정'!$C$89)&lt;='계산 과정'!$D$24/2),1,0),"")</x:f>
        <x:v>0</x:v>
      </x:c>
      <x:c r="T784" s="4"/>
      <x:c r="U784" s="4"/>
      <x:c r="V784" s="4"/>
      <x:c r="W784" s="4"/>
      <x:c r="X784" s="4"/>
      <x:c r="Y784" s="4"/>
      <x:c r="Z784" s="4"/>
    </x:row>
    <x:row r="785" ht="23" customHeight="1">
      <x:c r="A785" s="17" t="n">
        <x:f>ROW()-6</x:f>
        <x:v>779</x:v>
      </x:c>
      <x:c r="B785" s="4" t="n">
        <x:f>IF('계산 과정'!$L$5,'계산 과정'!$L$11*SQRT((A785+0.5)/'계산 과정'!$L$30),"")</x:f>
        <x:v>92.54103291749828</x:v>
      </x:c>
      <x:c r="C785" s="4" t="n">
        <x:f>A785*PI()*(3-SQRT(5))</x:f>
        <x:v>1869.5713559586206</x:v>
      </x:c>
      <x:c r="D785" s="4" t="n">
        <x:f>IF('계산 과정'!$L$5,B785*COS(C785),"")</x:f>
        <x:v>-87.73411994682152</x:v>
      </x:c>
      <x:c r="E785" s="4" t="n">
        <x:f>IF('계산 과정'!$L$5,B785*SIN(C785),"")</x:f>
        <x:v>-29.437509585463143</x:v>
      </x:c>
      <x:c r="F785" s="4" t="n">
        <x:f>IF('계산 과정'!$L$7,'계산 과정'!$L$22+'계산 과정'!$C$49*D785+'계산 과정'!$D$49*E785,"")</x:f>
        <x:v>712.0373911558314</x:v>
      </x:c>
      <x:c r="G785" s="4" t="n">
        <x:f>IF('계산 과정'!$L$7,IF(ABS(F785)&gt;=1E-12*MAX(1,SQRT((D785-'계산 과정'!$C$33)^2+(E785-'계산 과정'!$D$33)^2+'계산 과정'!$E$33^2)),('계산 과정'!$L$23-'계산 과정'!$C$49*D785-'계산 과정'!$D$49*E785)/F785,""),"")</x:f>
        <x:v>0.47464165933134894</x:v>
      </x:c>
      <x:c r="H785" s="4" t="n">
        <x:f>IF(AND(ISNUMBER(G785),G785&gt;0),('계산 과정'!$D$56+'계산 과정'!$D$57*D785+'계산 과정'!$D$58*E785)/F785,"")</x:f>
        <x:v>-91.48292143462335</x:v>
      </x:c>
      <x:c r="I785" s="4" t="n">
        <x:f>IF(AND(ISNUMBER(G785),G785&gt;0),('계산 과정'!$E$56+'계산 과정'!$E$57*D785+'계산 과정'!$E$58*E785)/F785,"")</x:f>
        <x:v>-43.40977798168986</x:v>
      </x:c>
      <x:c r="J785" s="4" t="n">
        <x:f>IF('계산 과정'!$L$5,'계산 과정'!$D$6+'계산 과정'!$C$35*D785+'계산 과정'!$D$35*E785,"")</x:f>
        <x:v>712.0373911558314</x:v>
      </x:c>
      <x:c r="K785" s="4" t="n">
        <x:f>IF(AND('계산 과정'!$L$6,J785&gt;0),'계산 과정'!$D$10*('계산 과정'!$C$38*(D785-'계산 과정'!$C$32)+'계산 과정'!$D$38*(E785-'계산 과정'!$D$32)-'계산 과정'!$E$38*'계산 과정'!$E$32)/J785,"")</x:f>
        <x:v>-0.6970127347399868</x:v>
      </x:c>
      <x:c r="L785" s="4" t="n">
        <x:f>IF(AND('계산 과정'!$L$6,J785&gt;0),'계산 과정'!$D$10*('계산 과정'!$C$39*(D785-'계산 과정'!$C$32)+'계산 과정'!$D$39*(E785-'계산 과정'!$D$32)-'계산 과정'!$E$39*'계산 과정'!$E$32)/J785,"")</x:f>
        <x:v>-0.3307411655747799</x:v>
      </x:c>
      <x:c r="M785" s="17" t="n">
        <x:f>IF('계산 과정'!$L$6,IF(J785&lt;=0,0,IF(AND(ABS(K785)&lt;='계산 과정'!$D$11/2,ABS(L785)&lt;='계산 과정'!$D$12/2),1,0)),"")</x:f>
        <x:v>1</x:v>
      </x:c>
      <x:c r="N785" s="17" t="n">
        <x:f>IF('계산 과정'!$C$78,IF(AND(ISNUMBER(H785),ISNUMBER(I785),ABS(H785-'계산 과정'!$C$88)&lt;='계산 과정'!$D$23/2,ABS(I785-'계산 과정'!$C$89)&lt;='계산 과정'!$D$24/2),1,0),"")</x:f>
        <x:v>1</x:v>
      </x:c>
      <x:c r="O785" s="4" t="n">
        <x:f>IF('계산 과정'!$L$7,'계산 과정'!$C$49*('계산 과정'!$C$32-D785)+'계산 과정'!$D$49*('계산 과정'!$D$32-E785)+'계산 과정'!$E$49*'계산 과정'!$E$32,"")</x:f>
        <x:v>-62.03739115583136</x:v>
      </x:c>
      <x:c r="P785" s="4" t="n">
        <x:f>IF(AND('계산 과정'!$L$7,O785&lt;&gt;0),('계산 과정'!$L$23-'계산 과정'!$C$49*D785-'계산 과정'!$D$49*E785)/O785,"")</x:f>
        <x:v>-5.447724389235555</x:v>
      </x:c>
      <x:c r="Q785" s="4" t="str">
        <x:f>IF(AND(ISNUMBER(P785),P785&gt;1E-9,P785&lt;1-1E-9),'계산 과정'!$C$47*(D785-'계산 과정'!$C$50+P785*('계산 과정'!$C$32-D785))+'계산 과정'!$D$47*(E785-'계산 과정'!$D$50+P785*('계산 과정'!$D$32-E785))+'계산 과정'!$E$47*(0-'계산 과정'!$E$50+P785*('계산 과정'!$E$32-0)),"")</x:f>
      </x:c>
      <x:c r="R785" s="4" t="str">
        <x:f>IF(AND(ISNUMBER(P785),P785&gt;1E-9,P785&lt;1-1E-9),'계산 과정'!$C$48*(D785-'계산 과정'!$C$50+P785*('계산 과정'!$C$32-D785))+'계산 과정'!$D$48*(E785-'계산 과정'!$D$50+P785*('계산 과정'!$D$32-E785))+'계산 과정'!$E$48*(0-'계산 과정'!$E$50+P785*('계산 과정'!$E$32-0)),"")</x:f>
      </x:c>
      <x:c r="S785" s="17" t="n">
        <x:f>IF('계산 과정'!$C$78,IF(AND(ISNUMBER(Q785),ISNUMBER(R785),ABS(Q785-'계산 과정'!$C$88)&lt;='계산 과정'!$D$23/2,ABS(R785-'계산 과정'!$C$89)&lt;='계산 과정'!$D$24/2),1,0),"")</x:f>
        <x:v>0</x:v>
      </x:c>
      <x:c r="T785" s="4"/>
      <x:c r="U785" s="4"/>
      <x:c r="V785" s="4"/>
      <x:c r="W785" s="4"/>
      <x:c r="X785" s="4"/>
      <x:c r="Y785" s="4"/>
      <x:c r="Z785" s="4"/>
    </x:row>
    <x:row r="786" ht="23" customHeight="1">
      <x:c r="A786" s="17" t="n">
        <x:f>ROW()-6</x:f>
        <x:v>780</x:v>
      </x:c>
      <x:c r="B786" s="4" t="n">
        <x:f>IF('계산 과정'!$L$5,'계산 과정'!$L$11*SQRT((A786+0.5)/'계산 과정'!$L$30),"")</x:f>
        <x:v>92.6003731178363</x:v>
      </x:c>
      <x:c r="C786" s="4" t="n">
        <x:f>A786*PI()*(3-SQRT(5))</x:f>
        <x:v>1871.971319188349</x:v>
      </x:c>
      <x:c r="D786" s="4" t="n">
        <x:f>IF('계산 과정'!$L$5,B786*COS(C786),"")</x:f>
        <x:v>84.63139512392291</x:v>
      </x:c>
      <x:c r="E786" s="4" t="n">
        <x:f>IF('계산 과정'!$L$5,B786*SIN(C786),"")</x:f>
        <x:v>-37.581325960388064</x:v>
      </x:c>
      <x:c r="F786" s="4" t="n">
        <x:f>IF('계산 과정'!$L$7,'계산 과정'!$L$22+'계산 과정'!$C$49*D786+'계산 과정'!$D$49*E786,"")</x:f>
        <x:v>590.156566606596</x:v>
      </x:c>
      <x:c r="G786" s="4" t="n">
        <x:f>IF('계산 과정'!$L$7,IF(ABS(F786)&gt;=1E-12*MAX(1,SQRT((D786-'계산 과정'!$C$33)^2+(E786-'계산 과정'!$D$33)^2+'계산 과정'!$E$33^2)),('계산 과정'!$L$23-'계산 과정'!$C$49*D786-'계산 과정'!$D$49*E786)/F786,""),"")</x:f>
        <x:v>0.7791888787029968</x:v>
      </x:c>
      <x:c r="H786" s="4" t="n">
        <x:f>IF(AND(ISNUMBER(G786),G786&gt;0),('계산 과정'!$D$56+'계산 과정'!$D$57*D786+'계산 과정'!$D$58*E786)/F786,"")</x:f>
        <x:v>106.47277115694786</x:v>
      </x:c>
      <x:c r="I786" s="4" t="n">
        <x:f>IF(AND(ISNUMBER(G786),G786&gt;0),('계산 과정'!$E$56+'계산 과정'!$E$57*D786+'계산 과정'!$E$58*E786)/F786,"")</x:f>
        <x:v>-66.86427719563467</x:v>
      </x:c>
      <x:c r="J786" s="4" t="n">
        <x:f>IF('계산 과정'!$L$5,'계산 과정'!$D$6+'계산 과정'!$C$35*D786+'계산 과정'!$D$35*E786,"")</x:f>
        <x:v>590.156566606596</x:v>
      </x:c>
      <x:c r="K786" s="4" t="n">
        <x:f>IF(AND('계산 과정'!$L$6,J786&gt;0),'계산 과정'!$D$10*('계산 과정'!$C$38*(D786-'계산 과정'!$C$32)+'계산 과정'!$D$38*(E786-'계산 과정'!$D$32)-'계산 과정'!$E$38*'계산 과정'!$E$32)/J786,"")</x:f>
        <x:v>0.8112211135767468</x:v>
      </x:c>
      <x:c r="L786" s="4" t="n">
        <x:f>IF(AND('계산 과정'!$L$6,J786&gt;0),'계산 과정'!$D$10*('계산 과정'!$C$39*(D786-'계산 과정'!$C$32)+'계산 과정'!$D$39*(E786-'계산 과정'!$D$32)-'계산 과정'!$E$39*'계산 과정'!$E$32)/J786,"")</x:f>
        <x:v>-0.5094421119667403</x:v>
      </x:c>
      <x:c r="M786" s="17" t="n">
        <x:f>IF('계산 과정'!$L$6,IF(J786&lt;=0,0,IF(AND(ABS(K786)&lt;='계산 과정'!$D$11/2,ABS(L786)&lt;='계산 과정'!$D$12/2),1,0)),"")</x:f>
        <x:v>1</x:v>
      </x:c>
      <x:c r="N786" s="17" t="n">
        <x:f>IF('계산 과정'!$C$78,IF(AND(ISNUMBER(H786),ISNUMBER(I786),ABS(H786-'계산 과정'!$C$88)&lt;='계산 과정'!$D$23/2,ABS(I786-'계산 과정'!$C$89)&lt;='계산 과정'!$D$24/2),1,0),"")</x:f>
        <x:v>1</x:v>
      </x:c>
      <x:c r="O786" s="4" t="n">
        <x:f>IF('계산 과정'!$L$7,'계산 과정'!$C$49*('계산 과정'!$C$32-D786)+'계산 과정'!$D$49*('계산 과정'!$D$32-E786)+'계산 과정'!$E$49*'계산 과정'!$E$32,"")</x:f>
        <x:v>59.8434333934041</x:v>
      </x:c>
      <x:c r="P786" s="4" t="n">
        <x:f>IF(AND('계산 과정'!$L$7,O786&lt;&gt;0),('계산 과정'!$L$23-'계산 과정'!$C$49*D786-'계산 과정'!$D$49*E786)/O786,"")</x:f>
        <x:v>7.6841084696869615</x:v>
      </x:c>
      <x:c r="Q786" s="4" t="str">
        <x:f>IF(AND(ISNUMBER(P786),P786&gt;1E-9,P786&lt;1-1E-9),'계산 과정'!$C$47*(D786-'계산 과정'!$C$50+P786*('계산 과정'!$C$32-D786))+'계산 과정'!$D$47*(E786-'계산 과정'!$D$50+P786*('계산 과정'!$D$32-E786))+'계산 과정'!$E$47*(0-'계산 과정'!$E$50+P786*('계산 과정'!$E$32-0)),"")</x:f>
      </x:c>
      <x:c r="R786" s="4" t="str">
        <x:f>IF(AND(ISNUMBER(P786),P786&gt;1E-9,P786&lt;1-1E-9),'계산 과정'!$C$48*(D786-'계산 과정'!$C$50+P786*('계산 과정'!$C$32-D786))+'계산 과정'!$D$48*(E786-'계산 과정'!$D$50+P786*('계산 과정'!$D$32-E786))+'계산 과정'!$E$48*(0-'계산 과정'!$E$50+P786*('계산 과정'!$E$32-0)),"")</x:f>
      </x:c>
      <x:c r="S786" s="17" t="n">
        <x:f>IF('계산 과정'!$C$78,IF(AND(ISNUMBER(Q786),ISNUMBER(R786),ABS(Q786-'계산 과정'!$C$88)&lt;='계산 과정'!$D$23/2,ABS(R786-'계산 과정'!$C$89)&lt;='계산 과정'!$D$24/2),1,0),"")</x:f>
        <x:v>0</x:v>
      </x:c>
      <x:c r="T786" s="4"/>
      <x:c r="U786" s="4"/>
      <x:c r="V786" s="4"/>
      <x:c r="W786" s="4"/>
      <x:c r="X786" s="4"/>
      <x:c r="Y786" s="4"/>
      <x:c r="Z786" s="4"/>
    </x:row>
    <x:row r="787" ht="23" customHeight="1">
      <x:c r="A787" s="17" t="n">
        <x:f>ROW()-6</x:f>
        <x:v>781</x:v>
      </x:c>
      <x:c r="B787" s="4" t="n">
        <x:f>IF('계산 과정'!$L$5,'계산 과정'!$L$11*SQRT((A787+0.5)/'계산 과정'!$L$30),"")</x:f>
        <x:v>92.65967531611311</x:v>
      </x:c>
      <x:c r="C787" s="4" t="n">
        <x:f>A787*PI()*(3-SQRT(5))</x:f>
        <x:v>1874.371282418078</x:v>
      </x:c>
      <x:c r="D787" s="4" t="n">
        <x:f>IF('계산 과정'!$L$5,B787*COS(C787),"")</x:f>
        <x:v>-37.04244310704563</x:v>
      </x:c>
      <x:c r="E787" s="4" t="n">
        <x:f>IF('계산 과정'!$L$5,B787*SIN(C787),"")</x:f>
        <x:v>84.93334350152942</x:v>
      </x:c>
      <x:c r="F787" s="4" t="n">
        <x:f>IF('계산 과정'!$L$7,'계산 과정'!$L$22+'계산 과정'!$C$49*D787+'계산 과정'!$D$49*E787,"")</x:f>
        <x:v>676.1929627127089</x:v>
      </x:c>
      <x:c r="G787" s="4" t="n">
        <x:f>IF('계산 과정'!$L$7,IF(ABS(F787)&gt;=1E-12*MAX(1,SQRT((D787-'계산 과정'!$C$33)^2+(E787-'계산 과정'!$D$33)^2+'계산 과정'!$E$33^2)),('계산 과정'!$L$23-'계산 과정'!$C$49*D787-'계산 과정'!$D$49*E787)/F787,""),"")</x:f>
        <x:v>0.5528111913316509</x:v>
      </x:c>
      <x:c r="H787" s="4" t="n">
        <x:f>IF(AND(ISNUMBER(G787),G787&gt;0),('계산 과정'!$D$56+'계산 과정'!$D$57*D787+'계산 과정'!$D$58*E787)/F787,"")</x:f>
        <x:v>-40.67272563442705</x:v>
      </x:c>
      <x:c r="I787" s="4" t="n">
        <x:f>IF(AND(ISNUMBER(G787),G787&gt;0),('계산 과정'!$E$56+'계산 과정'!$E$57*D787+'계산 과정'!$E$58*E787)/F787,"")</x:f>
        <x:v>131.8854463063902</x:v>
      </x:c>
      <x:c r="J787" s="4" t="n">
        <x:f>IF('계산 과정'!$L$5,'계산 과정'!$D$6+'계산 과정'!$C$35*D787+'계산 과정'!$D$35*E787,"")</x:f>
        <x:v>676.1929627127089</x:v>
      </x:c>
      <x:c r="K787" s="4" t="n">
        <x:f>IF(AND('계산 과정'!$L$6,J787&gt;0),'계산 과정'!$D$10*('계산 과정'!$C$38*(D787-'계산 과정'!$C$32)+'계산 과정'!$D$38*(E787-'계산 과정'!$D$32)-'계산 과정'!$E$38*'계산 과정'!$E$32)/J787,"")</x:f>
        <x:v>-0.3098874334051574</x:v>
      </x:c>
      <x:c r="L787" s="4" t="n">
        <x:f>IF(AND('계산 과정'!$L$6,J787&gt;0),'계산 과정'!$D$10*('계산 과정'!$C$39*(D787-'계산 과정'!$C$32)+'계산 과정'!$D$39*(E787-'계산 과정'!$D$32)-'계산 과정'!$E$39*'계산 과정'!$E$32)/J787,"")</x:f>
        <x:v>1.004841495667735</x:v>
      </x:c>
      <x:c r="M787" s="17" t="n">
        <x:f>IF('계산 과정'!$L$6,IF(J787&lt;=0,0,IF(AND(ABS(K787)&lt;='계산 과정'!$D$11/2,ABS(L787)&lt;='계산 과정'!$D$12/2),1,0)),"")</x:f>
        <x:v>1</x:v>
      </x:c>
      <x:c r="N787" s="17" t="n">
        <x:f>IF('계산 과정'!$C$78,IF(AND(ISNUMBER(H787),ISNUMBER(I787),ABS(H787-'계산 과정'!$C$88)&lt;='계산 과정'!$D$23/2,ABS(I787-'계산 과정'!$C$89)&lt;='계산 과정'!$D$24/2),1,0),"")</x:f>
        <x:v>1</x:v>
      </x:c>
      <x:c r="O787" s="4" t="n">
        <x:f>IF('계산 과정'!$L$7,'계산 과정'!$C$49*('계산 과정'!$C$32-D787)+'계산 과정'!$D$49*('계산 과정'!$D$32-E787)+'계산 과정'!$E$49*'계산 과정'!$E$32,"")</x:f>
        <x:v>-26.19296271270872</x:v>
      </x:c>
      <x:c r="P787" s="4" t="n">
        <x:f>IF(AND('계산 과정'!$L$7,O787&lt;&gt;0),('계산 과정'!$L$23-'계산 과정'!$C$49*D787-'계산 과정'!$D$49*E787)/O787,"")</x:f>
        <x:v>-14.27127741856867</x:v>
      </x:c>
      <x:c r="Q787" s="4" t="str">
        <x:f>IF(AND(ISNUMBER(P787),P787&gt;1E-9,P787&lt;1-1E-9),'계산 과정'!$C$47*(D787-'계산 과정'!$C$50+P787*('계산 과정'!$C$32-D787))+'계산 과정'!$D$47*(E787-'계산 과정'!$D$50+P787*('계산 과정'!$D$32-E787))+'계산 과정'!$E$47*(0-'계산 과정'!$E$50+P787*('계산 과정'!$E$32-0)),"")</x:f>
      </x:c>
      <x:c r="R787" s="4" t="str">
        <x:f>IF(AND(ISNUMBER(P787),P787&gt;1E-9,P787&lt;1-1E-9),'계산 과정'!$C$48*(D787-'계산 과정'!$C$50+P787*('계산 과정'!$C$32-D787))+'계산 과정'!$D$48*(E787-'계산 과정'!$D$50+P787*('계산 과정'!$D$32-E787))+'계산 과정'!$E$48*(0-'계산 과정'!$E$50+P787*('계산 과정'!$E$32-0)),"")</x:f>
      </x:c>
      <x:c r="S787" s="17" t="n">
        <x:f>IF('계산 과정'!$C$78,IF(AND(ISNUMBER(Q787),ISNUMBER(R787),ABS(Q787-'계산 과정'!$C$88)&lt;='계산 과정'!$D$23/2,ABS(R787-'계산 과정'!$C$89)&lt;='계산 과정'!$D$24/2),1,0),"")</x:f>
        <x:v>0</x:v>
      </x:c>
      <x:c r="T787" s="4"/>
      <x:c r="U787" s="4"/>
      <x:c r="V787" s="4"/>
      <x:c r="W787" s="4"/>
      <x:c r="X787" s="4"/>
      <x:c r="Y787" s="4"/>
      <x:c r="Z787" s="4"/>
    </x:row>
    <x:row r="788" ht="23" customHeight="1">
      <x:c r="A788" s="17" t="n">
        <x:f>ROW()-6</x:f>
        <x:v>782</x:v>
      </x:c>
      <x:c r="B788" s="4" t="n">
        <x:f>IF('계산 과정'!$L$5,'계산 과정'!$L$11*SQRT((A788+0.5)/'계산 과정'!$L$30),"")</x:f>
        <x:v>92.718939585246</x:v>
      </x:c>
      <x:c r="C788" s="4" t="n">
        <x:f>A788*PI()*(3-SQRT(5))</x:f>
        <x:v>1876.7712456478066</x:v>
      </x:c>
      <x:c r="D788" s="4" t="n">
        <x:f>IF('계산 과정'!$L$5,B788*COS(C788),"")</x:f>
        <x:v>-30.076929108411655</x:v>
      </x:c>
      <x:c r="E788" s="4" t="n">
        <x:f>IF('계산 과정'!$L$5,B788*SIN(C788),"")</x:f>
        <x:v>-87.70507450096646</x:v>
      </x:c>
      <x:c r="F788" s="4" t="n">
        <x:f>IF('계산 과정'!$L$7,'계산 과정'!$L$22+'계산 과정'!$C$49*D788+'계산 과정'!$D$49*E788,"")</x:f>
        <x:v>671.2676005298249</x:v>
      </x:c>
      <x:c r="G788" s="4" t="n">
        <x:f>IF('계산 과정'!$L$7,IF(ABS(F788)&gt;=1E-12*MAX(1,SQRT((D788-'계산 과정'!$C$33)^2+(E788-'계산 과정'!$D$33)^2+'계산 과정'!$E$33^2)),('계산 과정'!$L$23-'계산 과정'!$C$49*D788-'계산 과정'!$D$49*E788)/F788,""),"")</x:f>
        <x:v>0.5642047957792768</x:v>
      </x:c>
      <x:c r="H788" s="4" t="n">
        <x:f>IF(AND(ISNUMBER(G788),G788&gt;0),('계산 과정'!$D$56+'계산 과정'!$D$57*D788+'계산 과정'!$D$58*E788)/F788,"")</x:f>
        <x:v>-33.26688274347018</x:v>
      </x:c>
      <x:c r="I788" s="4" t="n">
        <x:f>IF(AND(ISNUMBER(G788),G788&gt;0),('계산 과정'!$E$56+'계산 과정'!$E$57*D788+'계산 과정'!$E$58*E788)/F788,"")</x:f>
        <x:v>-137.1886981485905</x:v>
      </x:c>
      <x:c r="J788" s="4" t="n">
        <x:f>IF('계산 과정'!$L$5,'계산 과정'!$D$6+'계산 과정'!$C$35*D788+'계산 과정'!$D$35*E788,"")</x:f>
        <x:v>671.2676005298249</x:v>
      </x:c>
      <x:c r="K788" s="4" t="n">
        <x:f>IF(AND('계산 과정'!$L$6,J788&gt;0),'계산 과정'!$D$10*('계산 과정'!$C$38*(D788-'계산 과정'!$C$32)+'계산 과정'!$D$38*(E788-'계산 과정'!$D$32)-'계산 과정'!$E$38*'계산 과정'!$E$32)/J788,"")</x:f>
        <x:v>-0.25346196375977215</x:v>
      </x:c>
      <x:c r="L788" s="4" t="n">
        <x:f>IF(AND('계산 과정'!$L$6,J788&gt;0),'계산 과정'!$D$10*('계산 과정'!$C$39*(D788-'계산 과정'!$C$32)+'계산 과정'!$D$39*(E788-'계산 과정'!$D$32)-'계산 과정'!$E$39*'계산 과정'!$E$32)/J788,"")</x:f>
        <x:v>-1.045247223989261</x:v>
      </x:c>
      <x:c r="M788" s="17" t="n">
        <x:f>IF('계산 과정'!$L$6,IF(J788&lt;=0,0,IF(AND(ABS(K788)&lt;='계산 과정'!$D$11/2,ABS(L788)&lt;='계산 과정'!$D$12/2),1,0)),"")</x:f>
        <x:v>1</x:v>
      </x:c>
      <x:c r="N788" s="17" t="n">
        <x:f>IF('계산 과정'!$C$78,IF(AND(ISNUMBER(H788),ISNUMBER(I788),ABS(H788-'계산 과정'!$C$88)&lt;='계산 과정'!$D$23/2,ABS(I788-'계산 과정'!$C$89)&lt;='계산 과정'!$D$24/2),1,0),"")</x:f>
        <x:v>1</x:v>
      </x:c>
      <x:c r="O788" s="4" t="n">
        <x:f>IF('계산 과정'!$L$7,'계산 과정'!$C$49*('계산 과정'!$C$32-D788)+'계산 과정'!$D$49*('계산 과정'!$D$32-E788)+'계산 과정'!$E$49*'계산 과정'!$E$32,"")</x:f>
        <x:v>-21.267600529824847</x:v>
      </x:c>
      <x:c r="P788" s="4" t="n">
        <x:f>IF(AND('계산 과정'!$L$7,O788&lt;&gt;0),('계산 과정'!$L$23-'계산 과정'!$C$49*D788-'계산 과정'!$D$49*E788)/O788,"")</x:f>
        <x:v>-17.80795153355714</x:v>
      </x:c>
      <x:c r="Q788" s="4" t="str">
        <x:f>IF(AND(ISNUMBER(P788),P788&gt;1E-9,P788&lt;1-1E-9),'계산 과정'!$C$47*(D788-'계산 과정'!$C$50+P788*('계산 과정'!$C$32-D788))+'계산 과정'!$D$47*(E788-'계산 과정'!$D$50+P788*('계산 과정'!$D$32-E788))+'계산 과정'!$E$47*(0-'계산 과정'!$E$50+P788*('계산 과정'!$E$32-0)),"")</x:f>
      </x:c>
      <x:c r="R788" s="4" t="str">
        <x:f>IF(AND(ISNUMBER(P788),P788&gt;1E-9,P788&lt;1-1E-9),'계산 과정'!$C$48*(D788-'계산 과정'!$C$50+P788*('계산 과정'!$C$32-D788))+'계산 과정'!$D$48*(E788-'계산 과정'!$D$50+P788*('계산 과정'!$D$32-E788))+'계산 과정'!$E$48*(0-'계산 과정'!$E$50+P788*('계산 과정'!$E$32-0)),"")</x:f>
      </x:c>
      <x:c r="S788" s="17" t="n">
        <x:f>IF('계산 과정'!$C$78,IF(AND(ISNUMBER(Q788),ISNUMBER(R788),ABS(Q788-'계산 과정'!$C$88)&lt;='계산 과정'!$D$23/2,ABS(R788-'계산 과정'!$C$89)&lt;='계산 과정'!$D$24/2),1,0),"")</x:f>
        <x:v>0</x:v>
      </x:c>
      <x:c r="T788" s="4"/>
      <x:c r="U788" s="4"/>
      <x:c r="V788" s="4"/>
      <x:c r="W788" s="4"/>
      <x:c r="X788" s="4"/>
      <x:c r="Y788" s="4"/>
      <x:c r="Z788" s="4"/>
    </x:row>
    <x:row r="789" ht="23" customHeight="1">
      <x:c r="A789" s="17" t="n">
        <x:f>ROW()-6</x:f>
        <x:v>783</x:v>
      </x:c>
      <x:c r="B789" s="4" t="n">
        <x:f>IF('계산 과정'!$L$5,'계산 과정'!$L$11*SQRT((A789+0.5)/'계산 과정'!$L$30),"")</x:f>
        <x:v>92.77816599791947</x:v>
      </x:c>
      <x:c r="C789" s="4" t="n">
        <x:f>A789*PI()*(3-SQRT(5))</x:f>
        <x:v>1879.1712088775353</x:v>
      </x:c>
      <x:c r="D789" s="4" t="n">
        <x:f>IF('계산 과정'!$L$5,B789*COS(C789),"")</x:f>
        <x:v>81.47372810117928</x:v>
      </x:c>
      <x:c r="E789" s="4" t="n">
        <x:f>IF('계산 과정'!$L$5,B789*SIN(C789),"")</x:f>
        <x:v>44.3826510613394</x:v>
      </x:c>
      <x:c r="F789" s="4" t="n">
        <x:f>IF('계산 과정'!$L$7,'계산 과정'!$L$22+'계산 과정'!$C$49*D789+'계산 과정'!$D$49*E789,"")</x:f>
        <x:v>592.3893743711071</x:v>
      </x:c>
      <x:c r="G789" s="4" t="n">
        <x:f>IF('계산 과정'!$L$7,IF(ABS(F789)&gt;=1E-12*MAX(1,SQRT((D789-'계산 과정'!$C$33)^2+(E789-'계산 과정'!$D$33)^2+'계산 과정'!$E$33^2)),('계산 과정'!$L$23-'계산 과정'!$C$49*D789-'계산 과정'!$D$49*E789)/F789,""),"")</x:f>
        <x:v>0.772482838867091</x:v>
      </x:c>
      <x:c r="H789" s="4" t="n">
        <x:f>IF(AND(ISNUMBER(G789),G789&gt;0),('계산 과정'!$D$56+'계산 과정'!$D$57*D789+'계산 과정'!$D$58*E789)/F789,"")</x:f>
        <x:v>102.1138452636091</x:v>
      </x:c>
      <x:c r="I789" s="4" t="n">
        <x:f>IF(AND(ISNUMBER(G789),G789&gt;0),('계산 과정'!$E$56+'계산 과정'!$E$57*D789+'계산 과정'!$E$58*E789)/F789,"")</x:f>
        <x:v>78.66748734965037</x:v>
      </x:c>
      <x:c r="J789" s="4" t="n">
        <x:f>IF('계산 과정'!$L$5,'계산 과정'!$D$6+'계산 과정'!$C$35*D789+'계산 과정'!$D$35*E789,"")</x:f>
        <x:v>592.3893743711071</x:v>
      </x:c>
      <x:c r="K789" s="4" t="n">
        <x:f>IF(AND('계산 과정'!$L$6,J789&gt;0),'계산 과정'!$D$10*('계산 과정'!$C$38*(D789-'계산 과정'!$C$32)+'계산 과정'!$D$38*(E789-'계산 과정'!$D$32)-'계산 과정'!$E$38*'계산 과정'!$E$32)/J789,"")</x:f>
        <x:v>0.778010249627499</x:v>
      </x:c>
      <x:c r="L789" s="4" t="n">
        <x:f>IF(AND('계산 과정'!$L$6,J789&gt;0),'계산 과정'!$D$10*('계산 과정'!$C$39*(D789-'계산 과정'!$C$32)+'계산 과정'!$D$39*(E789-'계산 과정'!$D$32)-'계산 과정'!$E$39*'계산 과정'!$E$32)/J789,"")</x:f>
        <x:v>0.5993713321878125</x:v>
      </x:c>
      <x:c r="M789" s="17" t="n">
        <x:f>IF('계산 과정'!$L$6,IF(J789&lt;=0,0,IF(AND(ABS(K789)&lt;='계산 과정'!$D$11/2,ABS(L789)&lt;='계산 과정'!$D$12/2),1,0)),"")</x:f>
        <x:v>1</x:v>
      </x:c>
      <x:c r="N789" s="17" t="n">
        <x:f>IF('계산 과정'!$C$78,IF(AND(ISNUMBER(H789),ISNUMBER(I789),ABS(H789-'계산 과정'!$C$88)&lt;='계산 과정'!$D$23/2,ABS(I789-'계산 과정'!$C$89)&lt;='계산 과정'!$D$24/2),1,0),"")</x:f>
        <x:v>1</x:v>
      </x:c>
      <x:c r="O789" s="4" t="n">
        <x:f>IF('계산 과정'!$L$7,'계산 과정'!$C$49*('계산 과정'!$C$32-D789)+'계산 과정'!$D$49*('계산 과정'!$D$32-E789)+'계산 과정'!$E$49*'계산 과정'!$E$32,"")</x:f>
        <x:v>57.61062562889293</x:v>
      </x:c>
      <x:c r="P789" s="4" t="n">
        <x:f>IF(AND('계산 과정'!$L$7,O789&lt;&gt;0),('계산 과정'!$L$23-'계산 과정'!$C$49*D789-'계산 과정'!$D$49*E789)/O789,"")</x:f>
        <x:v>7.943163620139399</x:v>
      </x:c>
      <x:c r="Q789" s="4" t="str">
        <x:f>IF(AND(ISNUMBER(P789),P789&gt;1E-9,P789&lt;1-1E-9),'계산 과정'!$C$47*(D789-'계산 과정'!$C$50+P789*('계산 과정'!$C$32-D789))+'계산 과정'!$D$47*(E789-'계산 과정'!$D$50+P789*('계산 과정'!$D$32-E789))+'계산 과정'!$E$47*(0-'계산 과정'!$E$50+P789*('계산 과정'!$E$32-0)),"")</x:f>
      </x:c>
      <x:c r="R789" s="4" t="str">
        <x:f>IF(AND(ISNUMBER(P789),P789&gt;1E-9,P789&lt;1-1E-9),'계산 과정'!$C$48*(D789-'계산 과정'!$C$50+P789*('계산 과정'!$C$32-D789))+'계산 과정'!$D$48*(E789-'계산 과정'!$D$50+P789*('계산 과정'!$D$32-E789))+'계산 과정'!$E$48*(0-'계산 과정'!$E$50+P789*('계산 과정'!$E$32-0)),"")</x:f>
      </x:c>
      <x:c r="S789" s="17" t="n">
        <x:f>IF('계산 과정'!$C$78,IF(AND(ISNUMBER(Q789),ISNUMBER(R789),ABS(Q789-'계산 과정'!$C$88)&lt;='계산 과정'!$D$23/2,ABS(R789-'계산 과정'!$C$89)&lt;='계산 과정'!$D$24/2),1,0),"")</x:f>
        <x:v>0</x:v>
      </x:c>
      <x:c r="T789" s="4"/>
      <x:c r="U789" s="4"/>
      <x:c r="V789" s="4"/>
      <x:c r="W789" s="4"/>
      <x:c r="X789" s="4"/>
      <x:c r="Y789" s="4"/>
      <x:c r="Z789" s="4"/>
    </x:row>
    <x:row r="790" ht="23" customHeight="1">
      <x:c r="A790" s="17" t="n">
        <x:f>ROW()-6</x:f>
        <x:v>784</x:v>
      </x:c>
      <x:c r="B790" s="4" t="n">
        <x:f>IF('계산 과정'!$L$5,'계산 과정'!$L$11*SQRT((A790+0.5)/'계산 과정'!$L$30),"")</x:f>
        <x:v>92.83735462658606</x:v>
      </x:c>
      <x:c r="C790" s="4" t="n">
        <x:f>A790*PI()*(3-SQRT(5))</x:f>
        <x:v>1881.5711721072637</x:v>
      </x:c>
      <x:c r="D790" s="4" t="n">
        <x:f>IF('계산 과정'!$L$5,B790*COS(C790),"")</x:f>
        <x:v>-90.11369366188678</x:v>
      </x:c>
      <x:c r="E790" s="4" t="n">
        <x:f>IF('계산 과정'!$L$5,B790*SIN(C790),"")</x:f>
        <x:v>22.322558739403636</x:v>
      </x:c>
      <x:c r="F790" s="4" t="n">
        <x:f>IF('계산 과정'!$L$7,'계산 과정'!$L$22+'계산 과정'!$C$49*D790+'계산 과정'!$D$49*E790,"")</x:f>
        <x:v>713.7200038660874</x:v>
      </x:c>
      <x:c r="G790" s="4" t="n">
        <x:f>IF('계산 과정'!$L$7,IF(ABS(F790)&gt;=1E-12*MAX(1,SQRT((D790-'계산 과정'!$C$33)^2+(E790-'계산 과정'!$D$33)^2+'계산 과정'!$E$33^2)),('계산 과정'!$L$23-'계산 과정'!$C$49*D790-'계산 과정'!$D$49*E790)/F790,""),"")</x:f>
        <x:v>0.47116515483991905</x:v>
      </x:c>
      <x:c r="H790" s="4" t="n">
        <x:f>IF(AND(ISNUMBER(G790),G790&gt;0),('계산 과정'!$D$56+'계산 과정'!$D$57*D790+'계산 과정'!$D$58*E790)/F790,"")</x:f>
        <x:v>-93.74264935405276</x:v>
      </x:c>
      <x:c r="I790" s="4" t="n">
        <x:f>IF(AND(ISNUMBER(G790),G790&gt;0),('계산 과정'!$E$56+'계산 과정'!$E$57*D790+'계산 과정'!$E$58*E790)/F790,"")</x:f>
        <x:v>32.840170584277935</x:v>
      </x:c>
      <x:c r="J790" s="4" t="n">
        <x:f>IF('계산 과정'!$L$5,'계산 과정'!$D$6+'계산 과정'!$C$35*D790+'계산 과정'!$D$35*E790,"")</x:f>
        <x:v>713.7200038660874</x:v>
      </x:c>
      <x:c r="K790" s="4" t="n">
        <x:f>IF(AND('계산 과정'!$L$6,J790&gt;0),'계산 과정'!$D$10*('계산 과정'!$C$38*(D790-'계산 과정'!$C$32)+'계산 과정'!$D$38*(E790-'계산 과정'!$D$32)-'계산 과정'!$E$38*'계산 과정'!$E$32)/J790,"")</x:f>
        <x:v>-0.7142297093642109</x:v>
      </x:c>
      <x:c r="L790" s="4" t="n">
        <x:f>IF(AND('계산 과정'!$L$6,J790&gt;0),'계산 과정'!$D$10*('계산 과정'!$C$39*(D790-'계산 과정'!$C$32)+'계산 과정'!$D$39*(E790-'계산 과정'!$D$32)-'계산 과정'!$E$39*'계산 과정'!$E$32)/J790,"")</x:f>
        <x:v>0.2502108234992605</x:v>
      </x:c>
      <x:c r="M790" s="17" t="n">
        <x:f>IF('계산 과정'!$L$6,IF(J790&lt;=0,0,IF(AND(ABS(K790)&lt;='계산 과정'!$D$11/2,ABS(L790)&lt;='계산 과정'!$D$12/2),1,0)),"")</x:f>
        <x:v>1</x:v>
      </x:c>
      <x:c r="N790" s="17" t="n">
        <x:f>IF('계산 과정'!$C$78,IF(AND(ISNUMBER(H790),ISNUMBER(I790),ABS(H790-'계산 과정'!$C$88)&lt;='계산 과정'!$D$23/2,ABS(I790-'계산 과정'!$C$89)&lt;='계산 과정'!$D$24/2),1,0),"")</x:f>
        <x:v>1</x:v>
      </x:c>
      <x:c r="O790" s="4" t="n">
        <x:f>IF('계산 과정'!$L$7,'계산 과정'!$C$49*('계산 과정'!$C$32-D790)+'계산 과정'!$D$49*('계산 과정'!$D$32-E790)+'계산 과정'!$E$49*'계산 과정'!$E$32,"")</x:f>
        <x:v>-63.72000386608727</x:v>
      </x:c>
      <x:c r="P790" s="4" t="n">
        <x:f>IF(AND('계산 과정'!$L$7,O790&lt;&gt;0),('계산 과정'!$L$23-'계산 과정'!$C$49*D790-'계산 과정'!$D$49*E790)/O790,"")</x:f>
        <x:v>-5.277463523709638</x:v>
      </x:c>
      <x:c r="Q790" s="4" t="str">
        <x:f>IF(AND(ISNUMBER(P790),P790&gt;1E-9,P790&lt;1-1E-9),'계산 과정'!$C$47*(D790-'계산 과정'!$C$50+P790*('계산 과정'!$C$32-D790))+'계산 과정'!$D$47*(E790-'계산 과정'!$D$50+P790*('계산 과정'!$D$32-E790))+'계산 과정'!$E$47*(0-'계산 과정'!$E$50+P790*('계산 과정'!$E$32-0)),"")</x:f>
      </x:c>
      <x:c r="R790" s="4" t="str">
        <x:f>IF(AND(ISNUMBER(P790),P790&gt;1E-9,P790&lt;1-1E-9),'계산 과정'!$C$48*(D790-'계산 과정'!$C$50+P790*('계산 과정'!$C$32-D790))+'계산 과정'!$D$48*(E790-'계산 과정'!$D$50+P790*('계산 과정'!$D$32-E790))+'계산 과정'!$E$48*(0-'계산 과정'!$E$50+P790*('계산 과정'!$E$32-0)),"")</x:f>
      </x:c>
      <x:c r="S790" s="17" t="n">
        <x:f>IF('계산 과정'!$C$78,IF(AND(ISNUMBER(Q790),ISNUMBER(R790),ABS(Q790-'계산 과정'!$C$88)&lt;='계산 과정'!$D$23/2,ABS(R790-'계산 과정'!$C$89)&lt;='계산 과정'!$D$24/2),1,0),"")</x:f>
        <x:v>0</x:v>
      </x:c>
      <x:c r="T790" s="4"/>
      <x:c r="U790" s="4"/>
      <x:c r="V790" s="4"/>
      <x:c r="W790" s="4"/>
      <x:c r="X790" s="4"/>
      <x:c r="Y790" s="4"/>
      <x:c r="Z790" s="4"/>
    </x:row>
    <x:row r="791" ht="23" customHeight="1">
      <x:c r="A791" s="17" t="n">
        <x:f>ROW()-6</x:f>
        <x:v>785</x:v>
      </x:c>
      <x:c r="B791" s="4" t="n">
        <x:f>IF('계산 과정'!$L$5,'계산 과정'!$L$11*SQRT((A791+0.5)/'계산 과정'!$L$30),"")</x:f>
        <x:v>92.89650554346757</x:v>
      </x:c>
      <x:c r="C791" s="4" t="n">
        <x:f>A791*PI()*(3-SQRT(5))</x:f>
        <x:v>1883.9711353369926</x:v>
      </x:c>
      <x:c r="D791" s="4" t="n">
        <x:f>IF('계산 과정'!$L$5,B791*COS(C791),"")</x:f>
        <x:v>51.401090551579024</x:v>
      </x:c>
      <x:c r="E791" s="4" t="n">
        <x:f>IF('계산 과정'!$L$5,B791*SIN(C791),"")</x:f>
        <x:v>-77.38015657968052</x:v>
      </x:c>
      <x:c r="F791" s="4" t="n">
        <x:f>IF('계산 과정'!$L$7,'계산 과정'!$L$22+'계산 과정'!$C$49*D791+'계산 과정'!$D$49*E791,"")</x:f>
        <x:v>613.6539403105947</x:v>
      </x:c>
      <x:c r="G791" s="4" t="n">
        <x:f>IF('계산 과정'!$L$7,IF(ABS(F791)&gt;=1E-12*MAX(1,SQRT((D791-'계산 과정'!$C$33)^2+(E791-'계산 과정'!$D$33)^2+'계산 과정'!$E$33^2)),('계산 과정'!$L$23-'계산 과정'!$C$49*D791-'계산 과정'!$D$49*E791)/F791,""),"")</x:f>
        <x:v>0.7110621003566817</x:v>
      </x:c>
      <x:c r="H791" s="4" t="n">
        <x:f>IF(AND(ISNUMBER(G791),G791&gt;0),('계산 과정'!$D$56+'계산 과정'!$D$57*D791+'계산 과정'!$D$58*E791)/F791,"")</x:f>
        <x:v>62.19036523184305</x:v>
      </x:c>
      <x:c r="I791" s="4" t="n">
        <x:f>IF(AND(ISNUMBER(G791),G791&gt;0),('계산 과정'!$E$56+'계산 과정'!$E$57*D791+'계산 과정'!$E$58*E791)/F791,"")</x:f>
        <x:v>-132.40225324315705</x:v>
      </x:c>
      <x:c r="J791" s="4" t="n">
        <x:f>IF('계산 과정'!$L$5,'계산 과정'!$D$6+'계산 과정'!$C$35*D791+'계산 과정'!$D$35*E791,"")</x:f>
        <x:v>613.6539403105947</x:v>
      </x:c>
      <x:c r="K791" s="4" t="n">
        <x:f>IF(AND('계산 과정'!$L$6,J791&gt;0),'계산 과정'!$D$10*('계산 과정'!$C$38*(D791-'계산 과정'!$C$32)+'계산 과정'!$D$38*(E791-'계산 과정'!$D$32)-'계산 과정'!$E$38*'계산 과정'!$E$32)/J791,"")</x:f>
        <x:v>0.4738313541473765</x:v>
      </x:c>
      <x:c r="L791" s="4" t="n">
        <x:f>IF(AND('계산 과정'!$L$6,J791&gt;0),'계산 과정'!$D$10*('계산 과정'!$C$39*(D791-'계산 과정'!$C$32)+'계산 과정'!$D$39*(E791-'계산 과정'!$D$32)-'계산 과정'!$E$39*'계산 과정'!$E$32)/J791,"")</x:f>
        <x:v>-1.0087790723288155</x:v>
      </x:c>
      <x:c r="M791" s="17" t="n">
        <x:f>IF('계산 과정'!$L$6,IF(J791&lt;=0,0,IF(AND(ABS(K791)&lt;='계산 과정'!$D$11/2,ABS(L791)&lt;='계산 과정'!$D$12/2),1,0)),"")</x:f>
        <x:v>1</x:v>
      </x:c>
      <x:c r="N791" s="17" t="n">
        <x:f>IF('계산 과정'!$C$78,IF(AND(ISNUMBER(H791),ISNUMBER(I791),ABS(H791-'계산 과정'!$C$88)&lt;='계산 과정'!$D$23/2,ABS(I791-'계산 과정'!$C$89)&lt;='계산 과정'!$D$24/2),1,0),"")</x:f>
        <x:v>1</x:v>
      </x:c>
      <x:c r="O791" s="4" t="n">
        <x:f>IF('계산 과정'!$L$7,'계산 과정'!$C$49*('계산 과정'!$C$32-D791)+'계산 과정'!$D$49*('계산 과정'!$D$32-E791)+'계산 과정'!$E$49*'계산 과정'!$E$32,"")</x:f>
        <x:v>36.34605968940542</x:v>
      </x:c>
      <x:c r="P791" s="4" t="n">
        <x:f>IF(AND('계산 과정'!$L$7,O791&lt;&gt;0),('계산 과정'!$L$23-'계산 과정'!$C$49*D791-'계산 과정'!$D$49*E791)/O791,"")</x:f>
        <x:v>12.005319515187958</x:v>
      </x:c>
      <x:c r="Q791" s="4" t="str">
        <x:f>IF(AND(ISNUMBER(P791),P791&gt;1E-9,P791&lt;1-1E-9),'계산 과정'!$C$47*(D791-'계산 과정'!$C$50+P791*('계산 과정'!$C$32-D791))+'계산 과정'!$D$47*(E791-'계산 과정'!$D$50+P791*('계산 과정'!$D$32-E791))+'계산 과정'!$E$47*(0-'계산 과정'!$E$50+P791*('계산 과정'!$E$32-0)),"")</x:f>
      </x:c>
      <x:c r="R791" s="4" t="str">
        <x:f>IF(AND(ISNUMBER(P791),P791&gt;1E-9,P791&lt;1-1E-9),'계산 과정'!$C$48*(D791-'계산 과정'!$C$50+P791*('계산 과정'!$C$32-D791))+'계산 과정'!$D$48*(E791-'계산 과정'!$D$50+P791*('계산 과정'!$D$32-E791))+'계산 과정'!$E$48*(0-'계산 과정'!$E$50+P791*('계산 과정'!$E$32-0)),"")</x:f>
      </x:c>
      <x:c r="S791" s="17" t="n">
        <x:f>IF('계산 과정'!$C$78,IF(AND(ISNUMBER(Q791),ISNUMBER(R791),ABS(Q791-'계산 과정'!$C$88)&lt;='계산 과정'!$D$23/2,ABS(R791-'계산 과정'!$C$89)&lt;='계산 과정'!$D$24/2),1,0),"")</x:f>
        <x:v>0</x:v>
      </x:c>
      <x:c r="T791" s="4"/>
      <x:c r="U791" s="4"/>
      <x:c r="V791" s="4"/>
      <x:c r="W791" s="4"/>
      <x:c r="X791" s="4"/>
      <x:c r="Y791" s="4"/>
      <x:c r="Z791" s="4"/>
    </x:row>
    <x:row r="792" ht="23" customHeight="1">
      <x:c r="A792" s="17" t="n">
        <x:f>ROW()-6</x:f>
        <x:v>786</x:v>
      </x:c>
      <x:c r="B792" s="4" t="n">
        <x:f>IF('계산 과정'!$L$5,'계산 과정'!$L$11*SQRT((A792+0.5)/'계산 과정'!$L$30),"")</x:f>
        <x:v>92.95561882055597</x:v>
      </x:c>
      <x:c r="C792" s="4" t="n">
        <x:f>A792*PI()*(3-SQRT(5))</x:f>
        <x:v>1886.3710985667212</x:v>
      </x:c>
      <x:c r="D792" s="4" t="n">
        <x:f>IF('계산 과정'!$L$5,B792*COS(C792),"")</x:f>
        <x:v>14.377123111501705</x:v>
      </x:c>
      <x:c r="E792" s="4" t="n">
        <x:f>IF('계산 과정'!$L$5,B792*SIN(C792),"")</x:f>
        <x:v>91.83705897593424</x:v>
      </x:c>
      <x:c r="F792" s="4" t="n">
        <x:f>IF('계산 과정'!$L$7,'계산 과정'!$L$22+'계산 과정'!$C$49*D792+'계산 과정'!$D$49*E792,"")</x:f>
        <x:v>639.8338387539034</x:v>
      </x:c>
      <x:c r="G792" s="4" t="n">
        <x:f>IF('계산 과정'!$L$7,IF(ABS(F792)&gt;=1E-12*MAX(1,SQRT((D792-'계산 과정'!$C$33)^2+(E792-'계산 과정'!$D$33)^2+'계산 과정'!$E$33^2)),('계산 과정'!$L$23-'계산 과정'!$C$49*D792-'계산 과정'!$D$49*E792)/F792,""),"")</x:f>
        <x:v>0.6410510610769012</x:v>
      </x:c>
      <x:c r="H792" s="4" t="n">
        <x:f>IF(AND(ISNUMBER(G792),G792&gt;0),('계산 과정'!$D$56+'계산 과정'!$D$57*D792+'계산 과정'!$D$58*E792)/F792,"")</x:f>
        <x:v>16.683189699985736</x:v>
      </x:c>
      <x:c r="I792" s="4" t="n">
        <x:f>IF(AND(ISNUMBER(G792),G792&gt;0),('계산 과정'!$E$56+'계산 과정'!$E$57*D792+'계산 과정'!$E$58*E792)/F792,"")</x:f>
        <x:v>150.70930307863884</x:v>
      </x:c>
      <x:c r="J792" s="4" t="n">
        <x:f>IF('계산 과정'!$L$5,'계산 과정'!$D$6+'계산 과정'!$C$35*D792+'계산 과정'!$D$35*E792,"")</x:f>
        <x:v>639.8338387539034</x:v>
      </x:c>
      <x:c r="K792" s="4" t="n">
        <x:f>IF(AND('계산 과정'!$L$6,J792&gt;0),'계산 과정'!$D$10*('계산 과정'!$C$38*(D792-'계산 과정'!$C$32)+'계산 과정'!$D$38*(E792-'계산 과정'!$D$32)-'계산 과정'!$E$38*'계산 과정'!$E$32)/J792,"")</x:f>
        <x:v>0.12711001676179695</x:v>
      </x:c>
      <x:c r="L792" s="4" t="n">
        <x:f>IF(AND('계산 과정'!$L$6,J792&gt;0),'계산 과정'!$D$10*('계산 과정'!$C$39*(D792-'계산 과정'!$C$32)+'계산 과정'!$D$39*(E792-'계산 과정'!$D$32)-'계산 과정'!$E$39*'계산 과정'!$E$32)/J792,"")</x:f>
        <x:v>1.1482613567896292</x:v>
      </x:c>
      <x:c r="M792" s="17" t="n">
        <x:f>IF('계산 과정'!$L$6,IF(J792&lt;=0,0,IF(AND(ABS(K792)&lt;='계산 과정'!$D$11/2,ABS(L792)&lt;='계산 과정'!$D$12/2),1,0)),"")</x:f>
        <x:v>1</x:v>
      </x:c>
      <x:c r="N792" s="17" t="n">
        <x:f>IF('계산 과정'!$C$78,IF(AND(ISNUMBER(H792),ISNUMBER(I792),ABS(H792-'계산 과정'!$C$88)&lt;='계산 과정'!$D$23/2,ABS(I792-'계산 과정'!$C$89)&lt;='계산 과정'!$D$24/2),1,0),"")</x:f>
        <x:v>1</x:v>
      </x:c>
      <x:c r="O792" s="4" t="n">
        <x:f>IF('계산 과정'!$L$7,'계산 과정'!$C$49*('계산 과정'!$C$32-D792)+'계산 과정'!$D$49*('계산 과정'!$D$32-E792)+'계산 과정'!$E$49*'계산 과정'!$E$32,"")</x:f>
        <x:v>10.166161246096806</x:v>
      </x:c>
      <x:c r="P792" s="4" t="n">
        <x:f>IF(AND('계산 과정'!$L$7,O792&lt;&gt;0),('계산 과정'!$L$23-'계산 과정'!$C$49*D792-'계산 과정'!$D$49*E792)/O792,"")</x:f>
        <x:v>40.346218333254924</x:v>
      </x:c>
      <x:c r="Q792" s="4" t="str">
        <x:f>IF(AND(ISNUMBER(P792),P792&gt;1E-9,P792&lt;1-1E-9),'계산 과정'!$C$47*(D792-'계산 과정'!$C$50+P792*('계산 과정'!$C$32-D792))+'계산 과정'!$D$47*(E792-'계산 과정'!$D$50+P792*('계산 과정'!$D$32-E792))+'계산 과정'!$E$47*(0-'계산 과정'!$E$50+P792*('계산 과정'!$E$32-0)),"")</x:f>
      </x:c>
      <x:c r="R792" s="4" t="str">
        <x:f>IF(AND(ISNUMBER(P792),P792&gt;1E-9,P792&lt;1-1E-9),'계산 과정'!$C$48*(D792-'계산 과정'!$C$50+P792*('계산 과정'!$C$32-D792))+'계산 과정'!$D$48*(E792-'계산 과정'!$D$50+P792*('계산 과정'!$D$32-E792))+'계산 과정'!$E$48*(0-'계산 과정'!$E$50+P792*('계산 과정'!$E$32-0)),"")</x:f>
      </x:c>
      <x:c r="S792" s="17" t="n">
        <x:f>IF('계산 과정'!$C$78,IF(AND(ISNUMBER(Q792),ISNUMBER(R792),ABS(Q792-'계산 과정'!$C$88)&lt;='계산 과정'!$D$23/2,ABS(R792-'계산 과정'!$C$89)&lt;='계산 과정'!$D$24/2),1,0),"")</x:f>
        <x:v>0</x:v>
      </x:c>
      <x:c r="T792" s="4"/>
      <x:c r="U792" s="4"/>
      <x:c r="V792" s="4"/>
      <x:c r="W792" s="4"/>
      <x:c r="X792" s="4"/>
      <x:c r="Y792" s="4"/>
      <x:c r="Z792" s="4"/>
    </x:row>
    <x:row r="793" ht="23" customHeight="1">
      <x:c r="A793" s="17" t="n">
        <x:f>ROW()-6</x:f>
        <x:v>787</x:v>
      </x:c>
      <x:c r="B793" s="4" t="n">
        <x:f>IF('계산 과정'!$L$5,'계산 과정'!$L$11*SQRT((A793+0.5)/'계산 과정'!$L$30),"")</x:f>
        <x:v>93.01469452961452</x:v>
      </x:c>
      <x:c r="C793" s="4" t="n">
        <x:f>A793*PI()*(3-SQRT(5))</x:f>
        <x:v>1888.7710617964497</x:v>
      </x:c>
      <x:c r="D793" s="4" t="n">
        <x:f>IF('계산 과정'!$L$5,B793*COS(C793),"")</x:f>
        <x:v>-72.68244737547309</x:v>
      </x:c>
      <x:c r="E793" s="4" t="n">
        <x:f>IF('계산 과정'!$L$5,B793*SIN(C793),"")</x:f>
        <x:v>-58.04304645647991</x:v>
      </x:c>
      <x:c r="F793" s="4" t="n">
        <x:f>IF('계산 과정'!$L$7,'계산 과정'!$L$22+'계산 과정'!$C$49*D793+'계산 과정'!$D$49*E793,"")</x:f>
        <x:v>701.3942514124315</x:v>
      </x:c>
      <x:c r="G793" s="4" t="n">
        <x:f>IF('계산 과정'!$L$7,IF(ABS(F793)&gt;=1E-12*MAX(1,SQRT((D793-'계산 과정'!$C$33)^2+(E793-'계산 과정'!$D$33)^2+'계산 과정'!$E$33^2)),('계산 과정'!$L$23-'계산 과정'!$C$49*D793-'계산 과정'!$D$49*E793)/F793,""),"")</x:f>
        <x:v>0.49701825740026295</x:v>
      </x:c>
      <x:c r="H793" s="4" t="n">
        <x:f>IF(AND(ISNUMBER(G793),G793&gt;0),('계산 과정'!$D$56+'계산 과정'!$D$57*D793+'계산 과정'!$D$58*E793)/F793,"")</x:f>
        <x:v>-76.93813268982919</x:v>
      </x:c>
      <x:c r="I793" s="4" t="n">
        <x:f>IF(AND(ISNUMBER(G793),G793&gt;0),('계산 과정'!$E$56+'계산 과정'!$E$57*D793+'계산 과정'!$E$58*E793)/F793,"")</x:f>
        <x:v>-86.89150026048205</x:v>
      </x:c>
      <x:c r="J793" s="4" t="n">
        <x:f>IF('계산 과정'!$L$5,'계산 과정'!$D$6+'계산 과정'!$C$35*D793+'계산 과정'!$D$35*E793,"")</x:f>
        <x:v>701.3942514124315</x:v>
      </x:c>
      <x:c r="K793" s="4" t="n">
        <x:f>IF(AND('계산 과정'!$L$6,J793&gt;0),'계산 과정'!$D$10*('계산 과정'!$C$38*(D793-'계산 과정'!$C$32)+'계산 과정'!$D$38*(E793-'계산 과정'!$D$32)-'계산 과정'!$E$38*'계산 과정'!$E$32)/J793,"")</x:f>
        <x:v>-0.5861952966844118</x:v>
      </x:c>
      <x:c r="L793" s="4" t="n">
        <x:f>IF(AND('계산 과정'!$L$6,J793&gt;0),'계산 과정'!$D$10*('계산 과정'!$C$39*(D793-'계산 과정'!$C$32)+'계산 과정'!$D$39*(E793-'계산 과정'!$D$32)-'계산 과정'!$E$39*'계산 과정'!$E$32)/J793,"")</x:f>
        <x:v>-0.6620304781751013</x:v>
      </x:c>
      <x:c r="M793" s="17" t="n">
        <x:f>IF('계산 과정'!$L$6,IF(J793&lt;=0,0,IF(AND(ABS(K793)&lt;='계산 과정'!$D$11/2,ABS(L793)&lt;='계산 과정'!$D$12/2),1,0)),"")</x:f>
        <x:v>1</x:v>
      </x:c>
      <x:c r="N793" s="17" t="n">
        <x:f>IF('계산 과정'!$C$78,IF(AND(ISNUMBER(H793),ISNUMBER(I793),ABS(H793-'계산 과정'!$C$88)&lt;='계산 과정'!$D$23/2,ABS(I793-'계산 과정'!$C$89)&lt;='계산 과정'!$D$24/2),1,0),"")</x:f>
        <x:v>1</x:v>
      </x:c>
      <x:c r="O793" s="4" t="n">
        <x:f>IF('계산 과정'!$L$7,'계산 과정'!$C$49*('계산 과정'!$C$32-D793)+'계산 과정'!$D$49*('계산 과정'!$D$32-E793)+'계산 과정'!$E$49*'계산 과정'!$E$32,"")</x:f>
        <x:v>-51.39425141243129</x:v>
      </x:c>
      <x:c r="P793" s="4" t="n">
        <x:f>IF(AND('계산 과정'!$L$7,O793&lt;&gt;0),('계산 과정'!$L$23-'계산 과정'!$C$49*D793-'계산 과정'!$D$49*E793)/O793,"")</x:f>
        <x:v>-6.782971616612506</x:v>
      </x:c>
      <x:c r="Q793" s="4" t="str">
        <x:f>IF(AND(ISNUMBER(P793),P793&gt;1E-9,P793&lt;1-1E-9),'계산 과정'!$C$47*(D793-'계산 과정'!$C$50+P793*('계산 과정'!$C$32-D793))+'계산 과정'!$D$47*(E793-'계산 과정'!$D$50+P793*('계산 과정'!$D$32-E793))+'계산 과정'!$E$47*(0-'계산 과정'!$E$50+P793*('계산 과정'!$E$32-0)),"")</x:f>
      </x:c>
      <x:c r="R793" s="4" t="str">
        <x:f>IF(AND(ISNUMBER(P793),P793&gt;1E-9,P793&lt;1-1E-9),'계산 과정'!$C$48*(D793-'계산 과정'!$C$50+P793*('계산 과정'!$C$32-D793))+'계산 과정'!$D$48*(E793-'계산 과정'!$D$50+P793*('계산 과정'!$D$32-E793))+'계산 과정'!$E$48*(0-'계산 과정'!$E$50+P793*('계산 과정'!$E$32-0)),"")</x:f>
      </x:c>
      <x:c r="S793" s="17" t="n">
        <x:f>IF('계산 과정'!$C$78,IF(AND(ISNUMBER(Q793),ISNUMBER(R793),ABS(Q793-'계산 과정'!$C$88)&lt;='계산 과정'!$D$23/2,ABS(R793-'계산 과정'!$C$89)&lt;='계산 과정'!$D$24/2),1,0),"")</x:f>
        <x:v>0</x:v>
      </x:c>
      <x:c r="T793" s="4"/>
      <x:c r="U793" s="4"/>
      <x:c r="V793" s="4"/>
      <x:c r="W793" s="4"/>
      <x:c r="X793" s="4"/>
      <x:c r="Y793" s="4"/>
      <x:c r="Z793" s="4"/>
    </x:row>
    <x:row r="794" ht="23" customHeight="1">
      <x:c r="A794" s="17" t="n">
        <x:f>ROW()-6</x:f>
        <x:v>788</x:v>
      </x:c>
      <x:c r="B794" s="4" t="n">
        <x:f>IF('계산 과정'!$L$5,'계산 과정'!$L$11*SQRT((A794+0.5)/'계산 과정'!$L$30),"")</x:f>
        <x:v>93.07373274217866</x:v>
      </x:c>
      <x:c r="C794" s="4" t="n">
        <x:f>A794*PI()*(3-SQRT(5))</x:f>
        <x:v>1891.1710250261783</x:v>
      </x:c>
      <x:c r="D794" s="4" t="n">
        <x:f>IF('계산 과정'!$L$5,B794*COS(C794),"")</x:f>
        <x:v>92.860191968071</x:v>
      </x:c>
      <x:c r="E794" s="4" t="n">
        <x:f>IF('계산 과정'!$L$5,B794*SIN(C794),"")</x:f>
        <x:v>-6.301148642549435</x:v>
      </x:c>
      <x:c r="F794" s="4" t="n">
        <x:f>IF('계산 과정'!$L$7,'계산 과정'!$L$22+'계산 과정'!$C$49*D794+'계산 과정'!$D$49*E794,"")</x:f>
        <x:v>584.3379285570925</x:v>
      </x:c>
      <x:c r="G794" s="4" t="n">
        <x:f>IF('계산 과정'!$L$7,IF(ABS(F794)&gt;=1E-12*MAX(1,SQRT((D794-'계산 과정'!$C$33)^2+(E794-'계산 과정'!$D$33)^2+'계산 과정'!$E$33^2)),('계산 과정'!$L$23-'계산 과정'!$C$49*D794-'계산 과정'!$D$49*E794)/F794,""),"")</x:f>
        <x:v>0.7969054355118936</x:v>
      </x:c>
      <x:c r="H794" s="4" t="n">
        <x:f>IF(AND(ISNUMBER(G794),G794&gt;0),('계산 과정'!$D$56+'계산 과정'!$D$57*D794+'계산 과정'!$D$58*E794)/F794,"")</x:f>
        <x:v>117.98853308273083</x:v>
      </x:c>
      <x:c r="I794" s="4" t="n">
        <x:f>IF(AND(ISNUMBER(G794),G794&gt;0),('계산 과정'!$E$56+'계산 과정'!$E$57*D794+'계산 과정'!$E$58*E794)/F794,"")</x:f>
        <x:v>-11.32256824576547</x:v>
      </x:c>
      <x:c r="J794" s="4" t="n">
        <x:f>IF('계산 과정'!$L$5,'계산 과정'!$D$6+'계산 과정'!$C$35*D794+'계산 과정'!$D$35*E794,"")</x:f>
        <x:v>584.3379285570925</x:v>
      </x:c>
      <x:c r="K794" s="4" t="n">
        <x:f>IF(AND('계산 과정'!$L$6,J794&gt;0),'계산 과정'!$D$10*('계산 과정'!$C$38*(D794-'계산 과정'!$C$32)+'계산 과정'!$D$38*(E794-'계산 과정'!$D$32)-'계산 과정'!$E$38*'계산 과정'!$E$32)/J794,"")</x:f>
        <x:v>0.898960252058903</x:v>
      </x:c>
      <x:c r="L794" s="4" t="n">
        <x:f>IF(AND('계산 과정'!$L$6,J794&gt;0),'계산 과정'!$D$10*('계산 과정'!$C$39*(D794-'계산 과정'!$C$32)+'계산 과정'!$D$39*(E794-'계산 과정'!$D$32)-'계산 과정'!$E$39*'계산 과정'!$E$32)/J794,"")</x:f>
        <x:v>-0.08626718663440358</x:v>
      </x:c>
      <x:c r="M794" s="17" t="n">
        <x:f>IF('계산 과정'!$L$6,IF(J794&lt;=0,0,IF(AND(ABS(K794)&lt;='계산 과정'!$D$11/2,ABS(L794)&lt;='계산 과정'!$D$12/2),1,0)),"")</x:f>
        <x:v>1</x:v>
      </x:c>
      <x:c r="N794" s="17" t="n">
        <x:f>IF('계산 과정'!$C$78,IF(AND(ISNUMBER(H794),ISNUMBER(I794),ABS(H794-'계산 과정'!$C$88)&lt;='계산 과정'!$D$23/2,ABS(I794-'계산 과정'!$C$89)&lt;='계산 과정'!$D$24/2),1,0),"")</x:f>
        <x:v>1</x:v>
      </x:c>
      <x:c r="O794" s="4" t="n">
        <x:f>IF('계산 과정'!$L$7,'계산 과정'!$C$49*('계산 과정'!$C$32-D794)+'계산 과정'!$D$49*('계산 과정'!$D$32-E794)+'계산 과정'!$E$49*'계산 과정'!$E$32,"")</x:f>
        <x:v>65.66207144290769</x:v>
      </x:c>
      <x:c r="P794" s="4" t="n">
        <x:f>IF(AND('계산 과정'!$L$7,O794&lt;&gt;0),('계산 과정'!$L$23-'계산 과정'!$C$49*D794-'계산 과정'!$D$49*E794)/O794,"")</x:f>
        <x:v>7.091796850298801</x:v>
      </x:c>
      <x:c r="Q794" s="4" t="str">
        <x:f>IF(AND(ISNUMBER(P794),P794&gt;1E-9,P794&lt;1-1E-9),'계산 과정'!$C$47*(D794-'계산 과정'!$C$50+P794*('계산 과정'!$C$32-D794))+'계산 과정'!$D$47*(E794-'계산 과정'!$D$50+P794*('계산 과정'!$D$32-E794))+'계산 과정'!$E$47*(0-'계산 과정'!$E$50+P794*('계산 과정'!$E$32-0)),"")</x:f>
      </x:c>
      <x:c r="R794" s="4" t="str">
        <x:f>IF(AND(ISNUMBER(P794),P794&gt;1E-9,P794&lt;1-1E-9),'계산 과정'!$C$48*(D794-'계산 과정'!$C$50+P794*('계산 과정'!$C$32-D794))+'계산 과정'!$D$48*(E794-'계산 과정'!$D$50+P794*('계산 과정'!$D$32-E794))+'계산 과정'!$E$48*(0-'계산 과정'!$E$50+P794*('계산 과정'!$E$32-0)),"")</x:f>
      </x:c>
      <x:c r="S794" s="17" t="n">
        <x:f>IF('계산 과정'!$C$78,IF(AND(ISNUMBER(Q794),ISNUMBER(R794),ABS(Q794-'계산 과정'!$C$88)&lt;='계산 과정'!$D$23/2,ABS(R794-'계산 과정'!$C$89)&lt;='계산 과정'!$D$24/2),1,0),"")</x:f>
        <x:v>0</x:v>
      </x:c>
      <x:c r="T794" s="4"/>
      <x:c r="U794" s="4"/>
      <x:c r="V794" s="4"/>
      <x:c r="W794" s="4"/>
      <x:c r="X794" s="4"/>
      <x:c r="Y794" s="4"/>
      <x:c r="Z794" s="4"/>
    </x:row>
    <x:row r="795" ht="23" customHeight="1">
      <x:c r="A795" s="17" t="n">
        <x:f>ROW()-6</x:f>
        <x:v>789</x:v>
      </x:c>
      <x:c r="B795" s="4" t="n">
        <x:f>IF('계산 과정'!$L$5,'계산 과정'!$L$11*SQRT((A795+0.5)/'계산 과정'!$L$30),"")</x:f>
        <x:v>93.13273352955716</x:v>
      </x:c>
      <x:c r="C795" s="4" t="n">
        <x:f>A795*PI()*(3-SQRT(5))</x:f>
        <x:v>1893.5709882559072</x:v>
      </x:c>
      <x:c r="D795" s="4" t="n">
        <x:f>IF('계산 과정'!$L$5,B795*COS(C795),"")</x:f>
        <x:v>-64.25655817692271</x:v>
      </x:c>
      <x:c r="E795" s="4" t="n">
        <x:f>IF('계산 과정'!$L$5,B795*SIN(C795),"")</x:f>
        <x:v>67.41513766167986</x:v>
      </x:c>
      <x:c r="F795" s="4" t="n">
        <x:f>IF('계산 과정'!$L$7,'계산 과정'!$L$22+'계산 과정'!$C$49*D795+'계산 과정'!$D$49*E795,"")</x:f>
        <x:v>695.4362480226099</x:v>
      </x:c>
      <x:c r="G795" s="4" t="n">
        <x:f>IF('계산 과정'!$L$7,IF(ABS(F795)&gt;=1E-12*MAX(1,SQRT((D795-'계산 과정'!$C$33)^2+(E795-'계산 과정'!$D$33)^2+'계산 과정'!$E$33^2)),('계산 과정'!$L$23-'계산 과정'!$C$49*D795-'계산 과정'!$D$49*E795)/F795,""),"")</x:f>
        <x:v>0.5098436456045393</x:v>
      </x:c>
      <x:c r="H795" s="4" t="n">
        <x:f>IF(AND(ISNUMBER(G795),G795&gt;0),('계산 과정'!$D$56+'계산 과정'!$D$57*D795+'계산 과정'!$D$58*E795)/F795,"")</x:f>
        <x:v>-68.60163035704957</x:v>
      </x:c>
      <x:c r="I795" s="4" t="n">
        <x:f>IF(AND(ISNUMBER(G795),G795&gt;0),('계산 과정'!$E$56+'계산 과정'!$E$57*D795+'계산 과정'!$E$58*E795)/F795,"")</x:f>
        <x:v>101.7863172160426</x:v>
      </x:c>
      <x:c r="J795" s="4" t="n">
        <x:f>IF('계산 과정'!$L$5,'계산 과정'!$D$6+'계산 과정'!$C$35*D795+'계산 과정'!$D$35*E795,"")</x:f>
        <x:v>695.4362480226099</x:v>
      </x:c>
      <x:c r="K795" s="4" t="n">
        <x:f>IF(AND('계산 과정'!$L$6,J795&gt;0),'계산 과정'!$D$10*('계산 과정'!$C$38*(D795-'계산 과정'!$C$32)+'계산 과정'!$D$38*(E795-'계산 과정'!$D$32)-'계산 과정'!$E$38*'계산 과정'!$E$32)/J795,"")</x:f>
        <x:v>-0.5226790884346619</x:v>
      </x:c>
      <x:c r="L795" s="4" t="n">
        <x:f>IF(AND('계산 과정'!$L$6,J795&gt;0),'계산 과정'!$D$10*('계산 과정'!$C$39*(D795-'계산 과정'!$C$32)+'계산 과정'!$D$39*(E795-'계산 과정'!$D$32)-'계산 과정'!$E$39*'계산 과정'!$E$32)/J795,"")</x:f>
        <x:v>0.7755147978365151</x:v>
      </x:c>
      <x:c r="M795" s="17" t="n">
        <x:f>IF('계산 과정'!$L$6,IF(J795&lt;=0,0,IF(AND(ABS(K795)&lt;='계산 과정'!$D$11/2,ABS(L795)&lt;='계산 과정'!$D$12/2),1,0)),"")</x:f>
        <x:v>1</x:v>
      </x:c>
      <x:c r="N795" s="17" t="n">
        <x:f>IF('계산 과정'!$C$78,IF(AND(ISNUMBER(H795),ISNUMBER(I795),ABS(H795-'계산 과정'!$C$88)&lt;='계산 과정'!$D$23/2,ABS(I795-'계산 과정'!$C$89)&lt;='계산 과정'!$D$24/2),1,0),"")</x:f>
        <x:v>1</x:v>
      </x:c>
      <x:c r="O795" s="4" t="n">
        <x:f>IF('계산 과정'!$L$7,'계산 과정'!$C$49*('계산 과정'!$C$32-D795)+'계산 과정'!$D$49*('계산 과정'!$D$32-E795)+'계산 과정'!$E$49*'계산 과정'!$E$32,"")</x:f>
        <x:v>-45.43624802260979</x:v>
      </x:c>
      <x:c r="P795" s="4" t="n">
        <x:f>IF(AND('계산 과정'!$L$7,O795&lt;&gt;0),('계산 과정'!$L$23-'계산 과정'!$C$49*D795-'계산 과정'!$D$49*E795)/O795,"")</x:f>
        <x:v>-7.803543809360174</x:v>
      </x:c>
      <x:c r="Q795" s="4" t="str">
        <x:f>IF(AND(ISNUMBER(P795),P795&gt;1E-9,P795&lt;1-1E-9),'계산 과정'!$C$47*(D795-'계산 과정'!$C$50+P795*('계산 과정'!$C$32-D795))+'계산 과정'!$D$47*(E795-'계산 과정'!$D$50+P795*('계산 과정'!$D$32-E795))+'계산 과정'!$E$47*(0-'계산 과정'!$E$50+P795*('계산 과정'!$E$32-0)),"")</x:f>
      </x:c>
      <x:c r="R795" s="4" t="str">
        <x:f>IF(AND(ISNUMBER(P795),P795&gt;1E-9,P795&lt;1-1E-9),'계산 과정'!$C$48*(D795-'계산 과정'!$C$50+P795*('계산 과정'!$C$32-D795))+'계산 과정'!$D$48*(E795-'계산 과정'!$D$50+P795*('계산 과정'!$D$32-E795))+'계산 과정'!$E$48*(0-'계산 과정'!$E$50+P795*('계산 과정'!$E$32-0)),"")</x:f>
      </x:c>
      <x:c r="S795" s="17" t="n">
        <x:f>IF('계산 과정'!$C$78,IF(AND(ISNUMBER(Q795),ISNUMBER(R795),ABS(Q795-'계산 과정'!$C$88)&lt;='계산 과정'!$D$23/2,ABS(R795-'계산 과정'!$C$89)&lt;='계산 과정'!$D$24/2),1,0),"")</x:f>
        <x:v>0</x:v>
      </x:c>
      <x:c r="T795" s="4"/>
      <x:c r="U795" s="4"/>
      <x:c r="V795" s="4"/>
      <x:c r="W795" s="4"/>
      <x:c r="X795" s="4"/>
      <x:c r="Y795" s="4"/>
      <x:c r="Z795" s="4"/>
    </x:row>
    <x:row r="796" ht="23" customHeight="1">
      <x:c r="A796" s="17" t="n">
        <x:f>ROW()-6</x:f>
        <x:v>790</x:v>
      </x:c>
      <x:c r="B796" s="4" t="n">
        <x:f>IF('계산 과정'!$L$5,'계산 과정'!$L$11*SQRT((A796+0.5)/'계산 과정'!$L$30),"")</x:f>
        <x:v>93.19169696283302</x:v>
      </x:c>
      <x:c r="C796" s="4" t="n">
        <x:f>A796*PI()*(3-SQRT(5))</x:f>
        <x:v>1895.9709514856359</x:v>
      </x:c>
      <x:c r="D796" s="4" t="n">
        <x:f>IF('계산 과정'!$L$5,B796*COS(C796),"")</x:f>
        <x:v>1.843681553347338</x:v>
      </x:c>
      <x:c r="E796" s="4" t="n">
        <x:f>IF('계산 과정'!$L$5,B796*SIN(C796),"")</x:f>
        <x:v>-93.17345770734468</x:v>
      </x:c>
      <x:c r="F796" s="4" t="n">
        <x:f>IF('계산 과정'!$L$7,'계산 과정'!$L$22+'계산 과정'!$C$49*D796+'계산 과정'!$D$49*E796,"")</x:f>
        <x:v>648.6963202712795</x:v>
      </x:c>
      <x:c r="G796" s="4" t="n">
        <x:f>IF('계산 과정'!$L$7,IF(ABS(F796)&gt;=1E-12*MAX(1,SQRT((D796-'계산 과정'!$C$33)^2+(E796-'계산 과정'!$D$33)^2+'계산 과정'!$E$33^2)),('계산 과정'!$L$23-'계산 과정'!$C$49*D796-'계산 과정'!$D$49*E796)/F796,""),"")</x:f>
        <x:v>0.6186310407324316</x:v>
      </x:c>
      <x:c r="H796" s="4" t="n">
        <x:f>IF(AND(ISNUMBER(G796),G796&gt;0),('계산 과정'!$D$56+'계산 과정'!$D$57*D796+'계산 과정'!$D$58*E796)/F796,"")</x:f>
        <x:v>2.110176476080443</x:v>
      </x:c>
      <x:c r="I796" s="4" t="n">
        <x:f>IF(AND(ISNUMBER(G796),G796&gt;0),('계산 과정'!$E$56+'계산 과정'!$E$57*D796+'계산 과정'!$E$58*E796)/F796,"")</x:f>
        <x:v>-150.81345081747853</x:v>
      </x:c>
      <x:c r="J796" s="4" t="n">
        <x:f>IF('계산 과정'!$L$5,'계산 과정'!$D$6+'계산 과정'!$C$35*D796+'계산 과정'!$D$35*E796,"")</x:f>
        <x:v>648.6963202712795</x:v>
      </x:c>
      <x:c r="K796" s="4" t="n">
        <x:f>IF(AND('계산 과정'!$L$6,J796&gt;0),'계산 과정'!$D$10*('계산 과정'!$C$38*(D796-'계산 과정'!$C$32)+'계산 과정'!$D$38*(E796-'계산 과정'!$D$32)-'계산 과정'!$E$38*'계산 과정'!$E$32)/J796,"")</x:f>
        <x:v>0.0160775350558519</x:v>
      </x:c>
      <x:c r="L796" s="4" t="n">
        <x:f>IF(AND('계산 과정'!$L$6,J796&gt;0),'계산 과정'!$D$10*('계산 과정'!$C$39*(D796-'계산 과정'!$C$32)+'계산 과정'!$D$39*(E796-'계산 과정'!$D$32)-'계산 과정'!$E$39*'계산 과정'!$E$32)/J796,"")</x:f>
        <x:v>-1.149054863371265</x:v>
      </x:c>
      <x:c r="M796" s="17" t="n">
        <x:f>IF('계산 과정'!$L$6,IF(J796&lt;=0,0,IF(AND(ABS(K796)&lt;='계산 과정'!$D$11/2,ABS(L796)&lt;='계산 과정'!$D$12/2),1,0)),"")</x:f>
        <x:v>1</x:v>
      </x:c>
      <x:c r="N796" s="17" t="n">
        <x:f>IF('계산 과정'!$C$78,IF(AND(ISNUMBER(H796),ISNUMBER(I796),ABS(H796-'계산 과정'!$C$88)&lt;='계산 과정'!$D$23/2,ABS(I796-'계산 과정'!$C$89)&lt;='계산 과정'!$D$24/2),1,0),"")</x:f>
        <x:v>1</x:v>
      </x:c>
      <x:c r="O796" s="4" t="n">
        <x:f>IF('계산 과정'!$L$7,'계산 과정'!$C$49*('계산 과정'!$C$32-D796)+'계산 과정'!$D$49*('계산 과정'!$D$32-E796)+'계산 과정'!$E$49*'계산 과정'!$E$32,"")</x:f>
        <x:v>1.3036797287205673</x:v>
      </x:c>
      <x:c r="P796" s="4" t="n">
        <x:f>IF(AND('계산 과정'!$L$7,O796&lt;&gt;0),('계산 과정'!$L$23-'계산 과정'!$C$49*D796-'계산 과정'!$D$49*E796)/O796,"")</x:f>
        <x:v>307.82382427819164</x:v>
      </x:c>
      <x:c r="Q796" s="4" t="str">
        <x:f>IF(AND(ISNUMBER(P796),P796&gt;1E-9,P796&lt;1-1E-9),'계산 과정'!$C$47*(D796-'계산 과정'!$C$50+P796*('계산 과정'!$C$32-D796))+'계산 과정'!$D$47*(E796-'계산 과정'!$D$50+P796*('계산 과정'!$D$32-E796))+'계산 과정'!$E$47*(0-'계산 과정'!$E$50+P796*('계산 과정'!$E$32-0)),"")</x:f>
      </x:c>
      <x:c r="R796" s="4" t="str">
        <x:f>IF(AND(ISNUMBER(P796),P796&gt;1E-9,P796&lt;1-1E-9),'계산 과정'!$C$48*(D796-'계산 과정'!$C$50+P796*('계산 과정'!$C$32-D796))+'계산 과정'!$D$48*(E796-'계산 과정'!$D$50+P796*('계산 과정'!$D$32-E796))+'계산 과정'!$E$48*(0-'계산 과정'!$E$50+P796*('계산 과정'!$E$32-0)),"")</x:f>
      </x:c>
      <x:c r="S796" s="17" t="n">
        <x:f>IF('계산 과정'!$C$78,IF(AND(ISNUMBER(Q796),ISNUMBER(R796),ABS(Q796-'계산 과정'!$C$88)&lt;='계산 과정'!$D$23/2,ABS(R796-'계산 과정'!$C$89)&lt;='계산 과정'!$D$24/2),1,0),"")</x:f>
        <x:v>0</x:v>
      </x:c>
      <x:c r="T796" s="4"/>
      <x:c r="U796" s="4"/>
      <x:c r="V796" s="4"/>
      <x:c r="W796" s="4"/>
      <x:c r="X796" s="4"/>
      <x:c r="Y796" s="4"/>
      <x:c r="Z796" s="4"/>
    </x:row>
    <x:row r="797" ht="23" customHeight="1">
      <x:c r="A797" s="17" t="n">
        <x:f>ROW()-6</x:f>
        <x:v>791</x:v>
      </x:c>
      <x:c r="B797" s="4" t="n">
        <x:f>IF('계산 과정'!$L$5,'계산 과정'!$L$11*SQRT((A797+0.5)/'계산 과정'!$L$30),"")</x:f>
        <x:v>93.25062311286452</x:v>
      </x:c>
      <x:c r="C797" s="4" t="n">
        <x:f>A797*PI()*(3-SQRT(5))</x:f>
        <x:v>1898.3709147153643</x:v>
      </x:c>
      <x:c r="D797" s="4" t="n">
        <x:f>IF('계산 과정'!$L$5,B797*COS(C797),"")</x:f>
        <x:v>61.61722960745903</x:v>
      </x:c>
      <x:c r="E797" s="4" t="n">
        <x:f>IF('계산 과정'!$L$5,B797*SIN(C797),"")</x:f>
        <x:v>69.99282624983204</x:v>
      </x:c>
      <x:c r="F797" s="4" t="n">
        <x:f>IF('계산 과정'!$L$7,'계산 과정'!$L$22+'계산 과정'!$C$49*D797+'계산 과정'!$D$49*E797,"")</x:f>
        <x:v>606.4300391066372</x:v>
      </x:c>
      <x:c r="G797" s="4" t="n">
        <x:f>IF('계산 과정'!$L$7,IF(ABS(F797)&gt;=1E-12*MAX(1,SQRT((D797-'계산 과정'!$C$33)^2+(E797-'계산 과정'!$D$33)^2+'계산 과정'!$E$33^2)),('계산 과정'!$L$23-'계산 과정'!$C$49*D797-'계산 과정'!$D$49*E797)/F797,""),"")</x:f>
        <x:v>0.7314445728097642</x:v>
      </x:c>
      <x:c r="H797" s="4" t="n">
        <x:f>IF(AND(ISNUMBER(G797),G797&gt;0),('계산 과정'!$D$56+'계산 과정'!$D$57*D797+'계산 과정'!$D$58*E797)/F797,"")</x:f>
        <x:v>75.43897232634656</x:v>
      </x:c>
      <x:c r="I797" s="4" t="n">
        <x:f>IF(AND(ISNUMBER(G797),G797&gt;0),('계산 과정'!$E$56+'계산 과정'!$E$57*D797+'계산 과정'!$E$58*E797)/F797,"")</x:f>
        <x:v>121.18869914588848</x:v>
      </x:c>
      <x:c r="J797" s="4" t="n">
        <x:f>IF('계산 과정'!$L$5,'계산 과정'!$D$6+'계산 과정'!$C$35*D797+'계산 과정'!$D$35*E797,"")</x:f>
        <x:v>606.4300391066372</x:v>
      </x:c>
      <x:c r="K797" s="4" t="n">
        <x:f>IF(AND('계산 과정'!$L$6,J797&gt;0),'계산 과정'!$D$10*('계산 과정'!$C$38*(D797-'계산 과정'!$C$32)+'계산 과정'!$D$38*(E797-'계산 과정'!$D$32)-'계산 과정'!$E$38*'계산 과정'!$E$32)/J797,"")</x:f>
        <x:v>0.574773122486451</x:v>
      </x:c>
      <x:c r="L797" s="4" t="n">
        <x:f>IF(AND('계산 과정'!$L$6,J797&gt;0),'계산 과정'!$D$10*('계산 과정'!$C$39*(D797-'계산 과정'!$C$32)+'계산 과정'!$D$39*(E797-'계산 과정'!$D$32)-'계산 과정'!$E$39*'계산 과정'!$E$32)/J797,"")</x:f>
        <x:v>0.9233424696829599</x:v>
      </x:c>
      <x:c r="M797" s="17" t="n">
        <x:f>IF('계산 과정'!$L$6,IF(J797&lt;=0,0,IF(AND(ABS(K797)&lt;='계산 과정'!$D$11/2,ABS(L797)&lt;='계산 과정'!$D$12/2),1,0)),"")</x:f>
        <x:v>1</x:v>
      </x:c>
      <x:c r="N797" s="17" t="n">
        <x:f>IF('계산 과정'!$C$78,IF(AND(ISNUMBER(H797),ISNUMBER(I797),ABS(H797-'계산 과정'!$C$88)&lt;='계산 과정'!$D$23/2,ABS(I797-'계산 과정'!$C$89)&lt;='계산 과정'!$D$24/2),1,0),"")</x:f>
        <x:v>1</x:v>
      </x:c>
      <x:c r="O797" s="4" t="n">
        <x:f>IF('계산 과정'!$L$7,'계산 과정'!$C$49*('계산 과정'!$C$32-D797)+'계산 과정'!$D$49*('계산 과정'!$D$32-E797)+'계산 과정'!$E$49*'계산 과정'!$E$32,"")</x:f>
        <x:v>43.56996089336292</x:v>
      </x:c>
      <x:c r="P797" s="4" t="n">
        <x:f>IF(AND('계산 과정'!$L$7,O797&lt;&gt;0),('계산 과정'!$L$23-'계산 과정'!$C$49*D797-'계산 과정'!$D$49*E797)/O797,"")</x:f>
        <x:v>10.180637113239468</x:v>
      </x:c>
      <x:c r="Q797" s="4" t="str">
        <x:f>IF(AND(ISNUMBER(P797),P797&gt;1E-9,P797&lt;1-1E-9),'계산 과정'!$C$47*(D797-'계산 과정'!$C$50+P797*('계산 과정'!$C$32-D797))+'계산 과정'!$D$47*(E797-'계산 과정'!$D$50+P797*('계산 과정'!$D$32-E797))+'계산 과정'!$E$47*(0-'계산 과정'!$E$50+P797*('계산 과정'!$E$32-0)),"")</x:f>
      </x:c>
      <x:c r="R797" s="4" t="str">
        <x:f>IF(AND(ISNUMBER(P797),P797&gt;1E-9,P797&lt;1-1E-9),'계산 과정'!$C$48*(D797-'계산 과정'!$C$50+P797*('계산 과정'!$C$32-D797))+'계산 과정'!$D$48*(E797-'계산 과정'!$D$50+P797*('계산 과정'!$D$32-E797))+'계산 과정'!$E$48*(0-'계산 과정'!$E$50+P797*('계산 과정'!$E$32-0)),"")</x:f>
      </x:c>
      <x:c r="S797" s="17" t="n">
        <x:f>IF('계산 과정'!$C$78,IF(AND(ISNUMBER(Q797),ISNUMBER(R797),ABS(Q797-'계산 과정'!$C$88)&lt;='계산 과정'!$D$23/2,ABS(R797-'계산 과정'!$C$89)&lt;='계산 과정'!$D$24/2),1,0),"")</x:f>
        <x:v>0</x:v>
      </x:c>
      <x:c r="T797" s="4"/>
      <x:c r="U797" s="4"/>
      <x:c r="V797" s="4"/>
      <x:c r="W797" s="4"/>
      <x:c r="X797" s="4"/>
      <x:c r="Y797" s="4"/>
      <x:c r="Z797" s="4"/>
    </x:row>
    <x:row r="798" ht="23" customHeight="1">
      <x:c r="A798" s="17" t="n">
        <x:f>ROW()-6</x:f>
        <x:v>792</x:v>
      </x:c>
      <x:c r="B798" s="4" t="n">
        <x:f>IF('계산 과정'!$L$5,'계산 과정'!$L$11*SQRT((A798+0.5)/'계산 과정'!$L$30),"")</x:f>
        <x:v>93.30951205028616</x:v>
      </x:c>
      <x:c r="C798" s="4" t="n">
        <x:f>A798*PI()*(3-SQRT(5))</x:f>
        <x:v>1900.7708779450932</x:v>
      </x:c>
      <x:c r="D798" s="4" t="n">
        <x:f>IF('계산 과정'!$L$5,B798*COS(C798),"")</x:f>
        <x:v>-92.77265238341991</x:v>
      </x:c>
      <x:c r="E798" s="4" t="n">
        <x:f>IF('계산 과정'!$L$5,B798*SIN(C798),"")</x:f>
        <x:v>-9.994999189976463</x:v>
      </x:c>
      <x:c r="F798" s="4" t="n">
        <x:f>IF('계산 과정'!$L$7,'계산 과정'!$L$22+'계산 과정'!$C$49*D798+'계산 과정'!$D$49*E798,"")</x:f>
        <x:v>715.6001716089785</x:v>
      </x:c>
      <x:c r="G798" s="4" t="n">
        <x:f>IF('계산 과정'!$L$7,IF(ABS(F798)&gt;=1E-12*MAX(1,SQRT((D798-'계산 과정'!$C$33)^2+(E798-'계산 과정'!$D$33)^2+'계산 과정'!$E$33^2)),('계산 과정'!$L$23-'계산 과정'!$C$49*D798-'계산 과정'!$D$49*E798)/F798,""),"")</x:f>
        <x:v>0.46729981581634633</x:v>
      </x:c>
      <x:c r="H798" s="4" t="n">
        <x:f>IF(AND(ISNUMBER(G798),G798&gt;0),('계산 과정'!$D$56+'계산 과정'!$D$57*D798+'계산 과정'!$D$58*E798)/F798,"")</x:f>
        <x:v>-96.25511971937505</x:v>
      </x:c>
      <x:c r="I798" s="4" t="n">
        <x:f>IF(AND(ISNUMBER(G798),G798&gt;0),('계산 과정'!$E$56+'계산 과정'!$E$57*D798+'계산 과정'!$E$58*E798)/F798,"")</x:f>
        <x:v>-14.665660470536997</x:v>
      </x:c>
      <x:c r="J798" s="4" t="n">
        <x:f>IF('계산 과정'!$L$5,'계산 과정'!$D$6+'계산 과정'!$C$35*D798+'계산 과정'!$D$35*E798,"")</x:f>
        <x:v>715.6001716089785</x:v>
      </x:c>
      <x:c r="K798" s="4" t="n">
        <x:f>IF(AND('계산 과정'!$L$6,J798&gt;0),'계산 과정'!$D$10*('계산 과정'!$C$38*(D798-'계산 과정'!$C$32)+'계산 과정'!$D$38*(E798-'계산 과정'!$D$32)-'계산 과정'!$E$38*'계산 과정'!$E$32)/J798,"")</x:f>
        <x:v>-0.7333723407190471</x:v>
      </x:c>
      <x:c r="L798" s="4" t="n">
        <x:f>IF(AND('계산 과정'!$L$6,J798&gt;0),'계산 과정'!$D$10*('계산 과정'!$C$39*(D798-'계산 과정'!$C$32)+'계산 과정'!$D$39*(E798-'계산 과정'!$D$32)-'계산 과정'!$E$39*'계산 과정'!$E$32)/J798,"")</x:f>
        <x:v>-0.11173836548980567</x:v>
      </x:c>
      <x:c r="M798" s="17" t="n">
        <x:f>IF('계산 과정'!$L$6,IF(J798&lt;=0,0,IF(AND(ABS(K798)&lt;='계산 과정'!$D$11/2,ABS(L798)&lt;='계산 과정'!$D$12/2),1,0)),"")</x:f>
        <x:v>1</x:v>
      </x:c>
      <x:c r="N798" s="17" t="n">
        <x:f>IF('계산 과정'!$C$78,IF(AND(ISNUMBER(H798),ISNUMBER(I798),ABS(H798-'계산 과정'!$C$88)&lt;='계산 과정'!$D$23/2,ABS(I798-'계산 과정'!$C$89)&lt;='계산 과정'!$D$24/2),1,0),"")</x:f>
        <x:v>1</x:v>
      </x:c>
      <x:c r="O798" s="4" t="n">
        <x:f>IF('계산 과정'!$L$7,'계산 과정'!$C$49*('계산 과정'!$C$32-D798)+'계산 과정'!$D$49*('계산 과정'!$D$32-E798)+'계산 과정'!$E$49*'계산 과정'!$E$32,"")</x:f>
        <x:v>-65.60017160897837</x:v>
      </x:c>
      <x:c r="P798" s="4" t="n">
        <x:f>IF(AND('계산 과정'!$L$7,O798&lt;&gt;0),('계산 과정'!$L$23-'계산 과정'!$C$49*D798-'계산 과정'!$D$49*E798)/O798,"")</x:f>
        <x:v>-5.09754502448975</x:v>
      </x:c>
      <x:c r="Q798" s="4" t="str">
        <x:f>IF(AND(ISNUMBER(P798),P798&gt;1E-9,P798&lt;1-1E-9),'계산 과정'!$C$47*(D798-'계산 과정'!$C$50+P798*('계산 과정'!$C$32-D798))+'계산 과정'!$D$47*(E798-'계산 과정'!$D$50+P798*('계산 과정'!$D$32-E798))+'계산 과정'!$E$47*(0-'계산 과정'!$E$50+P798*('계산 과정'!$E$32-0)),"")</x:f>
      </x:c>
      <x:c r="R798" s="4" t="str">
        <x:f>IF(AND(ISNUMBER(P798),P798&gt;1E-9,P798&lt;1-1E-9),'계산 과정'!$C$48*(D798-'계산 과정'!$C$50+P798*('계산 과정'!$C$32-D798))+'계산 과정'!$D$48*(E798-'계산 과정'!$D$50+P798*('계산 과정'!$D$32-E798))+'계산 과정'!$E$48*(0-'계산 과정'!$E$50+P798*('계산 과정'!$E$32-0)),"")</x:f>
      </x:c>
      <x:c r="S798" s="17" t="n">
        <x:f>IF('계산 과정'!$C$78,IF(AND(ISNUMBER(Q798),ISNUMBER(R798),ABS(Q798-'계산 과정'!$C$88)&lt;='계산 과정'!$D$23/2,ABS(R798-'계산 과정'!$C$89)&lt;='계산 과정'!$D$24/2),1,0),"")</x:f>
        <x:v>0</x:v>
      </x:c>
      <x:c r="T798" s="4"/>
      <x:c r="U798" s="4"/>
      <x:c r="V798" s="4"/>
      <x:c r="W798" s="4"/>
      <x:c r="X798" s="4"/>
      <x:c r="Y798" s="4"/>
      <x:c r="Z798" s="4"/>
    </x:row>
    <x:row r="799" ht="23" customHeight="1">
      <x:c r="A799" s="17" t="n">
        <x:f>ROW()-6</x:f>
        <x:v>793</x:v>
      </x:c>
      <x:c r="B799" s="4" t="n">
        <x:f>IF('계산 과정'!$L$5,'계산 과정'!$L$11*SQRT((A799+0.5)/'계산 과정'!$L$30),"")</x:f>
        <x:v>93.3683638455098</x:v>
      </x:c>
      <x:c r="C799" s="4" t="n">
        <x:f>A799*PI()*(3-SQRT(5))</x:f>
        <x:v>1903.1708411748218</x:v>
      </x:c>
      <x:c r="D799" s="4" t="n">
        <x:f>IF('계산 과정'!$L$5,B799*COS(C799),"")</x:f>
        <x:v>75.20659564732868</x:v>
      </x:c>
      <x:c r="E799" s="4" t="n">
        <x:f>IF('계산 과정'!$L$5,B799*SIN(C799),"")</x:f>
        <x:v>-55.33190163302454</x:v>
      </x:c>
      <x:c r="F799" s="4" t="n">
        <x:f>IF('계산 과정'!$L$7,'계산 과정'!$L$22+'계산 과정'!$C$49*D799+'계산 과정'!$D$49*E799,"")</x:f>
        <x:v>596.8209062278193</x:v>
      </x:c>
      <x:c r="G799" s="4" t="n">
        <x:f>IF('계산 과정'!$L$7,IF(ABS(F799)&gt;=1E-12*MAX(1,SQRT((D799-'계산 과정'!$C$33)^2+(E799-'계산 과정'!$D$33)^2+'계산 과정'!$E$33^2)),('계산 과정'!$L$23-'계산 과정'!$C$49*D799-'계산 과정'!$D$49*E799)/F799,""),"")</x:f>
        <x:v>0.7593217480206578</x:v>
      </x:c>
      <x:c r="H799" s="4" t="n">
        <x:f>IF(AND(ISNUMBER(G799),G799&gt;0),('계산 과정'!$D$56+'계산 과정'!$D$57*D799+'계산 과정'!$D$58*E799)/F799,"")</x:f>
        <x:v>93.5591362134275</x:v>
      </x:c>
      <x:c r="I799" s="4" t="n">
        <x:f>IF(AND(ISNUMBER(G799),G799&gt;0),('계산 과정'!$E$56+'계산 과정'!$E$57*D799+'계산 과정'!$E$58*E799)/F799,"")</x:f>
        <x:v>-97.34661790231982</x:v>
      </x:c>
      <x:c r="J799" s="4" t="n">
        <x:f>IF('계산 과정'!$L$5,'계산 과정'!$D$6+'계산 과정'!$C$35*D799+'계산 과정'!$D$35*E799,"")</x:f>
        <x:v>596.8209062278193</x:v>
      </x:c>
      <x:c r="K799" s="4" t="n">
        <x:f>IF(AND('계산 과정'!$L$6,J799&gt;0),'계산 과정'!$D$10*('계산 과정'!$C$38*(D799-'계산 과정'!$C$32)+'계산 과정'!$D$38*(E799-'계산 과정'!$D$32)-'계산 과정'!$E$38*'계산 과정'!$E$32)/J799,"")</x:f>
        <x:v>0.7128315140070675</x:v>
      </x:c>
      <x:c r="L799" s="4" t="n">
        <x:f>IF(AND('계산 과정'!$L$6,J799&gt;0),'계산 과정'!$D$10*('계산 과정'!$C$39*(D799-'계산 과정'!$C$32)+'계산 과정'!$D$39*(E799-'계산 과정'!$D$32)-'계산 과정'!$E$39*'계산 과정'!$E$32)/J799,"")</x:f>
        <x:v>-0.7416885173510082</x:v>
      </x:c>
      <x:c r="M799" s="17" t="n">
        <x:f>IF('계산 과정'!$L$6,IF(J799&lt;=0,0,IF(AND(ABS(K799)&lt;='계산 과정'!$D$11/2,ABS(L799)&lt;='계산 과정'!$D$12/2),1,0)),"")</x:f>
        <x:v>1</x:v>
      </x:c>
      <x:c r="N799" s="17" t="n">
        <x:f>IF('계산 과정'!$C$78,IF(AND(ISNUMBER(H799),ISNUMBER(I799),ABS(H799-'계산 과정'!$C$88)&lt;='계산 과정'!$D$23/2,ABS(I799-'계산 과정'!$C$89)&lt;='계산 과정'!$D$24/2),1,0),"")</x:f>
        <x:v>1</x:v>
      </x:c>
      <x:c r="O799" s="4" t="n">
        <x:f>IF('계산 과정'!$L$7,'계산 과정'!$C$49*('계산 과정'!$C$32-D799)+'계산 과정'!$D$49*('계산 과정'!$D$32-E799)+'계산 과정'!$E$49*'계산 과정'!$E$32,"")</x:f>
        <x:v>53.17909377218092</x:v>
      </x:c>
      <x:c r="P799" s="4" t="n">
        <x:f>IF(AND('계산 과정'!$L$7,O799&lt;&gt;0),('계산 과정'!$L$23-'계산 과정'!$C$49*D799-'계산 과정'!$D$49*E799)/O799,"")</x:f>
        <x:v>8.52175284734258</x:v>
      </x:c>
      <x:c r="Q799" s="4" t="str">
        <x:f>IF(AND(ISNUMBER(P799),P799&gt;1E-9,P799&lt;1-1E-9),'계산 과정'!$C$47*(D799-'계산 과정'!$C$50+P799*('계산 과정'!$C$32-D799))+'계산 과정'!$D$47*(E799-'계산 과정'!$D$50+P799*('계산 과정'!$D$32-E799))+'계산 과정'!$E$47*(0-'계산 과정'!$E$50+P799*('계산 과정'!$E$32-0)),"")</x:f>
      </x:c>
      <x:c r="R799" s="4" t="str">
        <x:f>IF(AND(ISNUMBER(P799),P799&gt;1E-9,P799&lt;1-1E-9),'계산 과정'!$C$48*(D799-'계산 과정'!$C$50+P799*('계산 과정'!$C$32-D799))+'계산 과정'!$D$48*(E799-'계산 과정'!$D$50+P799*('계산 과정'!$D$32-E799))+'계산 과정'!$E$48*(0-'계산 과정'!$E$50+P799*('계산 과정'!$E$32-0)),"")</x:f>
      </x:c>
      <x:c r="S799" s="17" t="n">
        <x:f>IF('계산 과정'!$C$78,IF(AND(ISNUMBER(Q799),ISNUMBER(R799),ABS(Q799-'계산 과정'!$C$88)&lt;='계산 과정'!$D$23/2,ABS(R799-'계산 과정'!$C$89)&lt;='계산 과정'!$D$24/2),1,0),"")</x:f>
        <x:v>0</x:v>
      </x:c>
      <x:c r="T799" s="4"/>
      <x:c r="U799" s="4"/>
      <x:c r="V799" s="4"/>
      <x:c r="W799" s="4"/>
      <x:c r="X799" s="4"/>
      <x:c r="Y799" s="4"/>
      <x:c r="Z799" s="4"/>
    </x:row>
    <x:row r="800" ht="23" customHeight="1">
      <x:c r="A800" s="17" t="n">
        <x:f>ROW()-6</x:f>
        <x:v>794</x:v>
      </x:c>
      <x:c r="B800" s="4" t="n">
        <x:f>IF('계산 과정'!$L$5,'계산 과정'!$L$11*SQRT((A800+0.5)/'계산 과정'!$L$30),"")</x:f>
        <x:v>93.4271785687254</x:v>
      </x:c>
      <x:c r="C800" s="4" t="n">
        <x:f>A800*PI()*(3-SQRT(5))</x:f>
        <x:v>1905.5708044045502</x:v>
      </x:c>
      <x:c r="D800" s="4" t="n">
        <x:f>IF('계산 과정'!$L$5,B800*COS(C800),"")</x:f>
        <x:v>-18.090228787537598</x:v>
      </x:c>
      <x:c r="E800" s="4" t="n">
        <x:f>IF('계산 과정'!$L$5,B800*SIN(C800),"")</x:f>
        <x:v>91.65904929534807</x:v>
      </x:c>
      <x:c r="F800" s="4" t="n">
        <x:f>IF('계산 과정'!$L$7,'계산 과정'!$L$22+'계산 과정'!$C$49*D800+'계산 과정'!$D$49*E800,"")</x:f>
        <x:v>662.7917234488839</x:v>
      </x:c>
      <x:c r="G800" s="4" t="n">
        <x:f>IF('계산 과정'!$L$7,IF(ABS(F800)&gt;=1E-12*MAX(1,SQRT((D800-'계산 과정'!$C$33)^2+(E800-'계산 과정'!$D$33)^2+'계산 과정'!$E$33^2)),('계산 과정'!$L$23-'계산 과정'!$C$49*D800-'계산 과정'!$D$49*E800)/F800,""),"")</x:f>
        <x:v>0.5842080745007651</x:v>
      </x:c>
      <x:c r="H800" s="4" t="n">
        <x:f>IF(AND(ISNUMBER(G800),G800&gt;0),('계산 과정'!$D$56+'계산 과정'!$D$57*D800+'계산 과정'!$D$58*E800)/F800,"")</x:f>
        <x:v>-20.264751574502817</x:v>
      </x:c>
      <x:c r="I800" s="4" t="n">
        <x:f>IF(AND(ISNUMBER(G800),G800&gt;0),('계산 과정'!$E$56+'계산 과정'!$E$57*D800+'계산 과정'!$E$58*E800)/F800,"")</x:f>
        <x:v>145.20700599475407</x:v>
      </x:c>
      <x:c r="J800" s="4" t="n">
        <x:f>IF('계산 과정'!$L$5,'계산 과정'!$D$6+'계산 과정'!$C$35*D800+'계산 과정'!$D$35*E800,"")</x:f>
        <x:v>662.7917234488839</x:v>
      </x:c>
      <x:c r="K800" s="4" t="n">
        <x:f>IF(AND('계산 과정'!$L$6,J800&gt;0),'계산 과정'!$D$10*('계산 과정'!$C$38*(D800-'계산 과정'!$C$32)+'계산 과정'!$D$38*(E800-'계산 과정'!$D$32)-'계산 과정'!$E$38*'계산 과정'!$E$32)/J800,"")</x:f>
        <x:v>-0.15439810723430641</x:v>
      </x:c>
      <x:c r="L800" s="4" t="n">
        <x:f>IF(AND('계산 과정'!$L$6,J800&gt;0),'계산 과정'!$D$10*('계산 과정'!$C$39*(D800-'계산 과정'!$C$32)+'계산 과정'!$D$39*(E800-'계산 과정'!$D$32)-'계산 과정'!$E$39*'계산 과정'!$E$32)/J800,"")</x:f>
        <x:v>1.1063390932933646</x:v>
      </x:c>
      <x:c r="M800" s="17" t="n">
        <x:f>IF('계산 과정'!$L$6,IF(J800&lt;=0,0,IF(AND(ABS(K800)&lt;='계산 과정'!$D$11/2,ABS(L800)&lt;='계산 과정'!$D$12/2),1,0)),"")</x:f>
        <x:v>1</x:v>
      </x:c>
      <x:c r="N800" s="17" t="n">
        <x:f>IF('계산 과정'!$C$78,IF(AND(ISNUMBER(H800),ISNUMBER(I800),ABS(H800-'계산 과정'!$C$88)&lt;='계산 과정'!$D$23/2,ABS(I800-'계산 과정'!$C$89)&lt;='계산 과정'!$D$24/2),1,0),"")</x:f>
        <x:v>1</x:v>
      </x:c>
      <x:c r="O800" s="4" t="n">
        <x:f>IF('계산 과정'!$L$7,'계산 과정'!$C$49*('계산 과정'!$C$32-D800)+'계산 과정'!$D$49*('계산 과정'!$D$32-E800)+'계산 과정'!$E$49*'계산 과정'!$E$32,"")</x:f>
        <x:v>-12.791723448883829</x:v>
      </x:c>
      <x:c r="P800" s="4" t="n">
        <x:f>IF(AND('계산 과정'!$L$7,O800&lt;&gt;0),('계산 과정'!$L$23-'계산 과정'!$C$49*D800-'계산 과정'!$D$49*E800)/O800,"")</x:f>
        <x:v>-30.270219497662982</x:v>
      </x:c>
      <x:c r="Q800" s="4" t="str">
        <x:f>IF(AND(ISNUMBER(P800),P800&gt;1E-9,P800&lt;1-1E-9),'계산 과정'!$C$47*(D800-'계산 과정'!$C$50+P800*('계산 과정'!$C$32-D800))+'계산 과정'!$D$47*(E800-'계산 과정'!$D$50+P800*('계산 과정'!$D$32-E800))+'계산 과정'!$E$47*(0-'계산 과정'!$E$50+P800*('계산 과정'!$E$32-0)),"")</x:f>
      </x:c>
      <x:c r="R800" s="4" t="str">
        <x:f>IF(AND(ISNUMBER(P800),P800&gt;1E-9,P800&lt;1-1E-9),'계산 과정'!$C$48*(D800-'계산 과정'!$C$50+P800*('계산 과정'!$C$32-D800))+'계산 과정'!$D$48*(E800-'계산 과정'!$D$50+P800*('계산 과정'!$D$32-E800))+'계산 과정'!$E$48*(0-'계산 과정'!$E$50+P800*('계산 과정'!$E$32-0)),"")</x:f>
      </x:c>
      <x:c r="S800" s="17" t="n">
        <x:f>IF('계산 과정'!$C$78,IF(AND(ISNUMBER(Q800),ISNUMBER(R800),ABS(Q800-'계산 과정'!$C$88)&lt;='계산 과정'!$D$23/2,ABS(R800-'계산 과정'!$C$89)&lt;='계산 과정'!$D$24/2),1,0),"")</x:f>
        <x:v>0</x:v>
      </x:c>
      <x:c r="T800" s="4"/>
      <x:c r="U800" s="4"/>
      <x:c r="V800" s="4"/>
      <x:c r="W800" s="4"/>
      <x:c r="X800" s="4"/>
      <x:c r="Y800" s="4"/>
      <x:c r="Z800" s="4"/>
    </x:row>
    <x:row r="801" ht="23" customHeight="1">
      <x:c r="A801" s="17" t="n">
        <x:f>ROW()-6</x:f>
        <x:v>795</x:v>
      </x:c>
      <x:c r="B801" s="4" t="n">
        <x:f>IF('계산 과정'!$L$5,'계산 과정'!$L$11*SQRT((A801+0.5)/'계산 과정'!$L$30),"")</x:f>
        <x:v>93.48595628990218</x:v>
      </x:c>
      <x:c r="C801" s="4" t="n">
        <x:f>A801*PI()*(3-SQRT(5))</x:f>
        <x:v>1907.970767634279</x:v>
      </x:c>
      <x:c r="D801" s="4" t="n">
        <x:f>IF('계산 과정'!$L$5,B801*COS(C801),"")</x:f>
        <x:v>-48.60618679666024</x:v>
      </x:c>
      <x:c r="E801" s="4" t="n">
        <x:f>IF('계산 과정'!$L$5,B801*SIN(C801),"")</x:f>
        <x:v>-79.85651274959152</x:v>
      </x:c>
      <x:c r="F801" s="4" t="n">
        <x:f>IF('계산 과정'!$L$7,'계산 과정'!$L$22+'계산 과정'!$C$49*D801+'계산 과정'!$D$49*E801,"")</x:f>
        <x:v>684.3697642915384</x:v>
      </x:c>
      <x:c r="G801" s="4" t="n">
        <x:f>IF('계산 과정'!$L$7,IF(ABS(F801)&gt;=1E-12*MAX(1,SQRT((D801-'계산 과정'!$C$33)^2+(E801-'계산 과정'!$D$33)^2+'계산 과정'!$E$33^2)),('계산 과정'!$L$23-'계산 과정'!$C$49*D801-'계산 과정'!$D$49*E801)/F801,""),"")</x:f>
        <x:v>0.5342583129559544</x:v>
      </x:c>
      <x:c r="H801" s="4" t="n">
        <x:f>IF(AND(ISNUMBER(G801),G801&gt;0),('계산 과정'!$D$56+'계산 과정'!$D$57*D801+'계산 과정'!$D$58*E801)/F801,"")</x:f>
        <x:v>-52.73209657862977</x:v>
      </x:c>
      <x:c r="I801" s="4" t="n">
        <x:f>IF(AND(ISNUMBER(G801),G801&gt;0),('계산 과정'!$E$56+'계산 과정'!$E$57*D801+'계산 과정'!$E$58*E801)/F801,"")</x:f>
        <x:v>-122.52051852973396</x:v>
      </x:c>
      <x:c r="J801" s="4" t="n">
        <x:f>IF('계산 과정'!$L$5,'계산 과정'!$D$6+'계산 과정'!$C$35*D801+'계산 과정'!$D$35*E801,"")</x:f>
        <x:v>684.3697642915384</x:v>
      </x:c>
      <x:c r="K801" s="4" t="n">
        <x:f>IF(AND('계산 과정'!$L$6,J801&gt;0),'계산 과정'!$D$10*('계산 과정'!$C$38*(D801-'계산 과정'!$C$32)+'계산 과정'!$D$38*(E801-'계산 과정'!$D$32)-'계산 과정'!$E$38*'계산 과정'!$E$32)/J801,"")</x:f>
        <x:v>-0.40176835488479745</x:v>
      </x:c>
      <x:c r="L801" s="4" t="n">
        <x:f>IF(AND('계산 과정'!$L$6,J801&gt;0),'계산 과정'!$D$10*('계산 과정'!$C$39*(D801-'계산 과정'!$C$32)+'계산 과정'!$D$39*(E801-'계산 과정'!$D$32)-'계산 과정'!$E$39*'계산 과정'!$E$32)/J801,"")</x:f>
        <x:v>-0.9334896649884491</x:v>
      </x:c>
      <x:c r="M801" s="17" t="n">
        <x:f>IF('계산 과정'!$L$6,IF(J801&lt;=0,0,IF(AND(ABS(K801)&lt;='계산 과정'!$D$11/2,ABS(L801)&lt;='계산 과정'!$D$12/2),1,0)),"")</x:f>
        <x:v>1</x:v>
      </x:c>
      <x:c r="N801" s="17" t="n">
        <x:f>IF('계산 과정'!$C$78,IF(AND(ISNUMBER(H801),ISNUMBER(I801),ABS(H801-'계산 과정'!$C$88)&lt;='계산 과정'!$D$23/2,ABS(I801-'계산 과정'!$C$89)&lt;='계산 과정'!$D$24/2),1,0),"")</x:f>
        <x:v>1</x:v>
      </x:c>
      <x:c r="O801" s="4" t="n">
        <x:f>IF('계산 과정'!$L$7,'계산 과정'!$C$49*('계산 과정'!$C$32-D801)+'계산 과정'!$D$49*('계산 과정'!$D$32-E801)+'계산 과정'!$E$49*'계산 과정'!$E$32,"")</x:f>
        <x:v>-34.36976429153839</x:v>
      </x:c>
      <x:c r="P801" s="4" t="n">
        <x:f>IF(AND('계산 과정'!$L$7,O801&lt;&gt;0),('계산 과정'!$L$23-'계산 과정'!$C$49*D801-'계산 과정'!$D$49*E801)/O801,"")</x:f>
        <x:v>-10.638136258574146</x:v>
      </x:c>
      <x:c r="Q801" s="4" t="str">
        <x:f>IF(AND(ISNUMBER(P801),P801&gt;1E-9,P801&lt;1-1E-9),'계산 과정'!$C$47*(D801-'계산 과정'!$C$50+P801*('계산 과정'!$C$32-D801))+'계산 과정'!$D$47*(E801-'계산 과정'!$D$50+P801*('계산 과정'!$D$32-E801))+'계산 과정'!$E$47*(0-'계산 과정'!$E$50+P801*('계산 과정'!$E$32-0)),"")</x:f>
      </x:c>
      <x:c r="R801" s="4" t="str">
        <x:f>IF(AND(ISNUMBER(P801),P801&gt;1E-9,P801&lt;1-1E-9),'계산 과정'!$C$48*(D801-'계산 과정'!$C$50+P801*('계산 과정'!$C$32-D801))+'계산 과정'!$D$48*(E801-'계산 과정'!$D$50+P801*('계산 과정'!$D$32-E801))+'계산 과정'!$E$48*(0-'계산 과정'!$E$50+P801*('계산 과정'!$E$32-0)),"")</x:f>
      </x:c>
      <x:c r="S801" s="17" t="n">
        <x:f>IF('계산 과정'!$C$78,IF(AND(ISNUMBER(Q801),ISNUMBER(R801),ABS(Q801-'계산 과정'!$C$88)&lt;='계산 과정'!$D$23/2,ABS(R801-'계산 과정'!$C$89)&lt;='계산 과정'!$D$24/2),1,0),"")</x:f>
        <x:v>0</x:v>
      </x:c>
      <x:c r="T801" s="4"/>
      <x:c r="U801" s="4"/>
      <x:c r="V801" s="4"/>
      <x:c r="W801" s="4"/>
      <x:c r="X801" s="4"/>
      <x:c r="Y801" s="4"/>
      <x:c r="Z801" s="4"/>
    </x:row>
    <x:row r="802" ht="23" customHeight="1">
      <x:c r="A802" s="17" t="n">
        <x:f>ROW()-6</x:f>
        <x:v>796</x:v>
      </x:c>
      <x:c r="B802" s="4" t="n">
        <x:f>IF('계산 과정'!$L$5,'계산 과정'!$L$11*SQRT((A802+0.5)/'계산 과정'!$L$30),"")</x:f>
        <x:v>93.54469707878955</x:v>
      </x:c>
      <x:c r="C802" s="4" t="n">
        <x:f>A802*PI()*(3-SQRT(5))</x:f>
        <x:v>1910.3707308640078</x:v>
      </x:c>
      <x:c r="D802" s="4" t="n">
        <x:f>IF('계산 과정'!$L$5,B802*COS(C802),"")</x:f>
        <x:v>89.83940279508548</x:v>
      </x:c>
      <x:c r="E802" s="4" t="n">
        <x:f>IF('계산 과정'!$L$5,B802*SIN(C802),"")</x:f>
        <x:v>26.067068438642767</x:v>
      </x:c>
      <x:c r="F802" s="4" t="n">
        <x:f>IF('계산 과정'!$L$7,'계산 과정'!$L$22+'계산 과정'!$C$49*D802+'계산 과정'!$D$49*E802,"")</x:f>
        <x:v>586.4739490658454</x:v>
      </x:c>
      <x:c r="G802" s="4" t="n">
        <x:f>IF('계산 과정'!$L$7,IF(ABS(F802)&gt;=1E-12*MAX(1,SQRT((D802-'계산 과정'!$C$33)^2+(E802-'계산 과정'!$D$33)^2+'계산 과정'!$E$33^2)),('계산 과정'!$L$23-'계산 과정'!$C$49*D802-'계산 과정'!$D$49*E802)/F802,""),"")</x:f>
        <x:v>0.7903608534914021</x:v>
      </x:c>
      <x:c r="H802" s="4" t="n">
        <x:f>IF(AND(ISNUMBER(G802),G802&gt;0),('계산 과정'!$D$56+'계산 과정'!$D$57*D802+'계산 과정'!$D$58*E802)/F802,"")</x:f>
        <x:v>113.73455476941123</x:v>
      </x:c>
      <x:c r="I802" s="4" t="n">
        <x:f>IF(AND(ISNUMBER(G802),G802&gt;0),('계산 과정'!$E$56+'계산 과정'!$E$57*D802+'계산 과정'!$E$58*E802)/F802,"")</x:f>
        <x:v>46.66945889782725</x:v>
      </x:c>
      <x:c r="J802" s="4" t="n">
        <x:f>IF('계산 과정'!$L$5,'계산 과정'!$D$6+'계산 과정'!$C$35*D802+'계산 과정'!$D$35*E802,"")</x:f>
        <x:v>586.4739490658454</x:v>
      </x:c>
      <x:c r="K802" s="4" t="n">
        <x:f>IF(AND('계산 과정'!$L$6,J802&gt;0),'계산 과정'!$D$10*('계산 과정'!$C$38*(D802-'계산 과정'!$C$32)+'계산 과정'!$D$38*(E802-'계산 과정'!$D$32)-'계산 과정'!$E$38*'계산 과정'!$E$32)/J802,"")</x:f>
        <x:v>0.8665489887193245</x:v>
      </x:c>
      <x:c r="L802" s="4" t="n">
        <x:f>IF(AND('계산 과정'!$L$6,J802&gt;0),'계산 과정'!$D$10*('계산 과정'!$C$39*(D802-'계산 과정'!$C$32)+'계산 과정'!$D$39*(E802-'계산 과정'!$D$32)-'계산 과정'!$E$39*'계산 과정'!$E$32)/J802,"")</x:f>
        <x:v>0.3555768296977314</x:v>
      </x:c>
      <x:c r="M802" s="17" t="n">
        <x:f>IF('계산 과정'!$L$6,IF(J802&lt;=0,0,IF(AND(ABS(K802)&lt;='계산 과정'!$D$11/2,ABS(L802)&lt;='계산 과정'!$D$12/2),1,0)),"")</x:f>
        <x:v>1</x:v>
      </x:c>
      <x:c r="N802" s="17" t="n">
        <x:f>IF('계산 과정'!$C$78,IF(AND(ISNUMBER(H802),ISNUMBER(I802),ABS(H802-'계산 과정'!$C$88)&lt;='계산 과정'!$D$23/2,ABS(I802-'계산 과정'!$C$89)&lt;='계산 과정'!$D$24/2),1,0),"")</x:f>
        <x:v>1</x:v>
      </x:c>
      <x:c r="O802" s="4" t="n">
        <x:f>IF('계산 과정'!$L$7,'계산 과정'!$C$49*('계산 과정'!$C$32-D802)+'계산 과정'!$D$49*('계산 과정'!$D$32-E802)+'계산 과정'!$E$49*'계산 과정'!$E$32,"")</x:f>
        <x:v>63.52605093415468</x:v>
      </x:c>
      <x:c r="P802" s="4" t="n">
        <x:f>IF(AND('계산 과정'!$L$7,O802&lt;&gt;0),('계산 과정'!$L$23-'계산 과정'!$C$49*D802-'계산 과정'!$D$49*E802)/O802,"")</x:f>
        <x:v>7.296629400347953</x:v>
      </x:c>
      <x:c r="Q802" s="4" t="str">
        <x:f>IF(AND(ISNUMBER(P802),P802&gt;1E-9,P802&lt;1-1E-9),'계산 과정'!$C$47*(D802-'계산 과정'!$C$50+P802*('계산 과정'!$C$32-D802))+'계산 과정'!$D$47*(E802-'계산 과정'!$D$50+P802*('계산 과정'!$D$32-E802))+'계산 과정'!$E$47*(0-'계산 과정'!$E$50+P802*('계산 과정'!$E$32-0)),"")</x:f>
      </x:c>
      <x:c r="R802" s="4" t="str">
        <x:f>IF(AND(ISNUMBER(P802),P802&gt;1E-9,P802&lt;1-1E-9),'계산 과정'!$C$48*(D802-'계산 과정'!$C$50+P802*('계산 과정'!$C$32-D802))+'계산 과정'!$D$48*(E802-'계산 과정'!$D$50+P802*('계산 과정'!$D$32-E802))+'계산 과정'!$E$48*(0-'계산 과정'!$E$50+P802*('계산 과정'!$E$32-0)),"")</x:f>
      </x:c>
      <x:c r="S802" s="17" t="n">
        <x:f>IF('계산 과정'!$C$78,IF(AND(ISNUMBER(Q802),ISNUMBER(R802),ABS(Q802-'계산 과정'!$C$88)&lt;='계산 과정'!$D$23/2,ABS(R802-'계산 과정'!$C$89)&lt;='계산 과정'!$D$24/2),1,0),"")</x:f>
        <x:v>0</x:v>
      </x:c>
      <x:c r="T802" s="4"/>
      <x:c r="U802" s="4"/>
      <x:c r="V802" s="4"/>
      <x:c r="W802" s="4"/>
      <x:c r="X802" s="4"/>
      <x:c r="Y802" s="4"/>
      <x:c r="Z802" s="4"/>
    </x:row>
    <x:row r="803" ht="23" customHeight="1">
      <x:c r="A803" s="17" t="n">
        <x:f>ROW()-6</x:f>
        <x:v>797</x:v>
      </x:c>
      <x:c r="B803" s="4" t="n">
        <x:f>IF('계산 과정'!$L$5,'계산 과정'!$L$11*SQRT((A803+0.5)/'계산 과정'!$L$30),"")</x:f>
        <x:v>93.6034010049181</x:v>
      </x:c>
      <x:c r="C803" s="4" t="n">
        <x:f>A803*PI()*(3-SQRT(5))</x:f>
        <x:v>1912.7706940937364</x:v>
      </x:c>
      <x:c r="D803" s="4" t="n">
        <x:f>IF('계산 과정'!$L$5,B803*COS(C803),"")</x:f>
        <x:v>-83.90545317722696</x:v>
      </x:c>
      <x:c r="E803" s="4" t="n">
        <x:f>IF('계산 과정'!$L$5,B803*SIN(C803),"")</x:f>
        <x:v>41.49062070892259</x:v>
      </x:c>
      <x:c r="F803" s="4" t="n">
        <x:f>IF('계산 과정'!$L$7,'계산 과정'!$L$22+'계산 과정'!$C$49*D803+'계산 과정'!$D$49*E803,"")</x:f>
        <x:v>709.3301149201475</x:v>
      </x:c>
      <x:c r="G803" s="4" t="n">
        <x:f>IF('계산 과정'!$L$7,IF(ABS(F803)&gt;=1E-12*MAX(1,SQRT((D803-'계산 과정'!$C$33)^2+(E803-'계산 과정'!$D$33)^2+'계산 과정'!$E$33^2)),('계산 과정'!$L$23-'계산 과정'!$C$49*D803-'계산 과정'!$D$49*E803)/F803,""),"")</x:f>
        <x:v>0.4802698742294386</x:v>
      </x:c>
      <x:c r="H803" s="4" t="n">
        <x:f>IF(AND(ISNUMBER(G803),G803&gt;0),('계산 과정'!$D$56+'계산 과정'!$D$57*D803+'계산 과정'!$D$58*E803)/F803,"")</x:f>
        <x:v>-87.82458175086506</x:v>
      </x:c>
      <x:c r="I803" s="4" t="n">
        <x:f>IF(AND(ISNUMBER(G803),G803&gt;0),('계산 과정'!$E$56+'계산 과정'!$E$57*D803+'계산 과정'!$E$58*E803)/F803,"")</x:f>
        <x:v>61.41731589849819</x:v>
      </x:c>
      <x:c r="J803" s="4" t="n">
        <x:f>IF('계산 과정'!$L$5,'계산 과정'!$D$6+'계산 과정'!$C$35*D803+'계산 과정'!$D$35*E803,"")</x:f>
        <x:v>709.3301149201475</x:v>
      </x:c>
      <x:c r="K803" s="4" t="n">
        <x:f>IF(AND('계산 과정'!$L$6,J803&gt;0),'계산 과정'!$D$10*('계산 과정'!$C$38*(D803-'계산 과정'!$C$32)+'계산 과정'!$D$38*(E803-'계산 과정'!$D$32)-'계산 과정'!$E$38*'계산 과정'!$E$32)/J803,"")</x:f>
        <x:v>-0.6691396704827804</x:v>
      </x:c>
      <x:c r="L803" s="4" t="n">
        <x:f>IF(AND('계산 과정'!$L$6,J803&gt;0),'계산 과정'!$D$10*('계산 과정'!$C$39*(D803-'계산 과정'!$C$32)+'계산 과정'!$D$39*(E803-'계산 과정'!$D$32)-'계산 과정'!$E$39*'계산 과정'!$E$32)/J803,"")</x:f>
        <x:v>0.4679414544647481</x:v>
      </x:c>
      <x:c r="M803" s="17" t="n">
        <x:f>IF('계산 과정'!$L$6,IF(J803&lt;=0,0,IF(AND(ABS(K803)&lt;='계산 과정'!$D$11/2,ABS(L803)&lt;='계산 과정'!$D$12/2),1,0)),"")</x:f>
        <x:v>1</x:v>
      </x:c>
      <x:c r="N803" s="17" t="n">
        <x:f>IF('계산 과정'!$C$78,IF(AND(ISNUMBER(H803),ISNUMBER(I803),ABS(H803-'계산 과정'!$C$88)&lt;='계산 과정'!$D$23/2,ABS(I803-'계산 과정'!$C$89)&lt;='계산 과정'!$D$24/2),1,0),"")</x:f>
        <x:v>1</x:v>
      </x:c>
      <x:c r="O803" s="4" t="n">
        <x:f>IF('계산 과정'!$L$7,'계산 과정'!$C$49*('계산 과정'!$C$32-D803)+'계산 과정'!$D$49*('계산 과정'!$D$32-E803)+'계산 과정'!$E$49*'계산 과정'!$E$32,"")</x:f>
        <x:v>-59.33011492014742</x:v>
      </x:c>
      <x:c r="P803" s="4" t="n">
        <x:f>IF(AND('계산 과정'!$L$7,O803&lt;&gt;0),('계산 과정'!$L$23-'계산 과정'!$C$49*D803-'계산 과정'!$D$49*E803)/O803,"")</x:f>
        <x:v>-5.7419387361437115</x:v>
      </x:c>
      <x:c r="Q803" s="4" t="str">
        <x:f>IF(AND(ISNUMBER(P803),P803&gt;1E-9,P803&lt;1-1E-9),'계산 과정'!$C$47*(D803-'계산 과정'!$C$50+P803*('계산 과정'!$C$32-D803))+'계산 과정'!$D$47*(E803-'계산 과정'!$D$50+P803*('계산 과정'!$D$32-E803))+'계산 과정'!$E$47*(0-'계산 과정'!$E$50+P803*('계산 과정'!$E$32-0)),"")</x:f>
      </x:c>
      <x:c r="R803" s="4" t="str">
        <x:f>IF(AND(ISNUMBER(P803),P803&gt;1E-9,P803&lt;1-1E-9),'계산 과정'!$C$48*(D803-'계산 과정'!$C$50+P803*('계산 과정'!$C$32-D803))+'계산 과정'!$D$48*(E803-'계산 과정'!$D$50+P803*('계산 과정'!$D$32-E803))+'계산 과정'!$E$48*(0-'계산 과정'!$E$50+P803*('계산 과정'!$E$32-0)),"")</x:f>
      </x:c>
      <x:c r="S803" s="17" t="n">
        <x:f>IF('계산 과정'!$C$78,IF(AND(ISNUMBER(Q803),ISNUMBER(R803),ABS(Q803-'계산 과정'!$C$88)&lt;='계산 과정'!$D$23/2,ABS(R803-'계산 과정'!$C$89)&lt;='계산 과정'!$D$24/2),1,0),"")</x:f>
        <x:v>0</x:v>
      </x:c>
      <x:c r="T803" s="4"/>
      <x:c r="U803" s="4"/>
      <x:c r="V803" s="4"/>
      <x:c r="W803" s="4"/>
      <x:c r="X803" s="4"/>
      <x:c r="Y803" s="4"/>
      <x:c r="Z803" s="4"/>
    </x:row>
    <x:row r="804" ht="23" customHeight="1">
      <x:c r="A804" s="17" t="n">
        <x:f>ROW()-6</x:f>
        <x:v>798</x:v>
      </x:c>
      <x:c r="B804" s="4" t="n">
        <x:f>IF('계산 과정'!$L$5,'계산 과정'!$L$11*SQRT((A804+0.5)/'계산 과정'!$L$30),"")</x:f>
        <x:v>93.6620681376004</x:v>
      </x:c>
      <x:c r="C804" s="4" t="n">
        <x:f>A804*PI()*(3-SQRT(5))</x:f>
        <x:v>1915.1706573234649</x:v>
      </x:c>
      <x:c r="D804" s="4" t="n">
        <x:f>IF('계산 과정'!$L$5,B804*COS(C804),"")</x:f>
        <x:v>33.86396966517948</x:v>
      </x:c>
      <x:c r="E804" s="4" t="n">
        <x:f>IF('계산 과정'!$L$5,B804*SIN(C804),"")</x:f>
        <x:v>-87.32591005153226</x:v>
      </x:c>
      <x:c r="F804" s="4" t="n">
        <x:f>IF('계산 과정'!$L$7,'계산 과정'!$L$22+'계산 과정'!$C$49*D804+'계산 과정'!$D$49*E804,"")</x:f>
        <x:v>626.0545574118561</x:v>
      </x:c>
      <x:c r="G804" s="4" t="n">
        <x:f>IF('계산 과정'!$L$7,IF(ABS(F804)&gt;=1E-12*MAX(1,SQRT((D804-'계산 과정'!$C$33)^2+(E804-'계산 과정'!$D$33)^2+'계산 과정'!$E$33^2)),('계산 과정'!$L$23-'계산 과정'!$C$49*D804-'계산 과정'!$D$49*E804)/F804,""),"")</x:f>
        <x:v>0.6771701245028191</x:v>
      </x:c>
      <x:c r="H804" s="4" t="n">
        <x:f>IF(AND(ISNUMBER(G804),G804&gt;0),('계산 과정'!$D$56+'계산 과정'!$D$57*D804+'계산 과정'!$D$58*E804)/F804,"")</x:f>
        <x:v>40.160580926832395</x:v>
      </x:c>
      <x:c r="I804" s="4" t="n">
        <x:f>IF(AND(ISNUMBER(G804),G804&gt;0),('계산 과정'!$E$56+'계산 과정'!$E$57*D804+'계산 과정'!$E$58*E804)/F804,"")</x:f>
        <x:v>-146.46040743345034</x:v>
      </x:c>
      <x:c r="J804" s="4" t="n">
        <x:f>IF('계산 과정'!$L$5,'계산 과정'!$D$6+'계산 과정'!$C$35*D804+'계산 과정'!$D$35*E804,"")</x:f>
        <x:v>626.0545574118561</x:v>
      </x:c>
      <x:c r="K804" s="4" t="n">
        <x:f>IF(AND('계산 과정'!$L$6,J804&gt;0),'계산 과정'!$D$10*('계산 과정'!$C$38*(D804-'계산 과정'!$C$32)+'계산 과정'!$D$38*(E804-'계산 과정'!$D$32)-'계산 과정'!$E$38*'계산 과정'!$E$32)/J804,"")</x:f>
        <x:v>0.30598537849015267</x:v>
      </x:c>
      <x:c r="L804" s="4" t="n">
        <x:f>IF(AND('계산 과정'!$L$6,J804&gt;0),'계산 과정'!$D$10*('계산 과정'!$C$39*(D804-'계산 과정'!$C$32)+'계산 과정'!$D$39*(E804-'계산 과정'!$D$32)-'계산 과정'!$E$39*'계산 과정'!$E$32)/J804,"")</x:f>
        <x:v>-1.115888818540574</x:v>
      </x:c>
      <x:c r="M804" s="17" t="n">
        <x:f>IF('계산 과정'!$L$6,IF(J804&lt;=0,0,IF(AND(ABS(K804)&lt;='계산 과정'!$D$11/2,ABS(L804)&lt;='계산 과정'!$D$12/2),1,0)),"")</x:f>
        <x:v>1</x:v>
      </x:c>
      <x:c r="N804" s="17" t="n">
        <x:f>IF('계산 과정'!$C$78,IF(AND(ISNUMBER(H804),ISNUMBER(I804),ABS(H804-'계산 과정'!$C$88)&lt;='계산 과정'!$D$23/2,ABS(I804-'계산 과정'!$C$89)&lt;='계산 과정'!$D$24/2),1,0),"")</x:f>
        <x:v>1</x:v>
      </x:c>
      <x:c r="O804" s="4" t="n">
        <x:f>IF('계산 과정'!$L$7,'계산 과정'!$C$49*('계산 과정'!$C$32-D804)+'계산 과정'!$D$49*('계산 과정'!$D$32-E804)+'계산 과정'!$E$49*'계산 과정'!$E$32,"")</x:f>
        <x:v>23.945442588144033</x:v>
      </x:c>
      <x:c r="P804" s="4" t="n">
        <x:f>IF(AND('계산 과정'!$L$7,O804&lt;&gt;0),('계산 과정'!$L$23-'계산 과정'!$C$49*D804-'계산 과정'!$D$49*E804)/O804,"")</x:f>
        <x:v>17.70464008036542</x:v>
      </x:c>
      <x:c r="Q804" s="4" t="str">
        <x:f>IF(AND(ISNUMBER(P804),P804&gt;1E-9,P804&lt;1-1E-9),'계산 과정'!$C$47*(D804-'계산 과정'!$C$50+P804*('계산 과정'!$C$32-D804))+'계산 과정'!$D$47*(E804-'계산 과정'!$D$50+P804*('계산 과정'!$D$32-E804))+'계산 과정'!$E$47*(0-'계산 과정'!$E$50+P804*('계산 과정'!$E$32-0)),"")</x:f>
      </x:c>
      <x:c r="R804" s="4" t="str">
        <x:f>IF(AND(ISNUMBER(P804),P804&gt;1E-9,P804&lt;1-1E-9),'계산 과정'!$C$48*(D804-'계산 과정'!$C$50+P804*('계산 과정'!$C$32-D804))+'계산 과정'!$D$48*(E804-'계산 과정'!$D$50+P804*('계산 과정'!$D$32-E804))+'계산 과정'!$E$48*(0-'계산 과정'!$E$50+P804*('계산 과정'!$E$32-0)),"")</x:f>
      </x:c>
      <x:c r="S804" s="17" t="n">
        <x:f>IF('계산 과정'!$C$78,IF(AND(ISNUMBER(Q804),ISNUMBER(R804),ABS(Q804-'계산 과정'!$C$88)&lt;='계산 과정'!$D$23/2,ABS(R804-'계산 과정'!$C$89)&lt;='계산 과정'!$D$24/2),1,0),"")</x:f>
        <x:v>0</x:v>
      </x:c>
      <x:c r="T804" s="4"/>
      <x:c r="U804" s="4"/>
      <x:c r="V804" s="4"/>
      <x:c r="W804" s="4"/>
      <x:c r="X804" s="4"/>
      <x:c r="Y804" s="4"/>
      <x:c r="Z804" s="4"/>
    </x:row>
    <x:row r="805" ht="23" customHeight="1">
      <x:c r="A805" s="17" t="n">
        <x:f>ROW()-6</x:f>
        <x:v>799</x:v>
      </x:c>
      <x:c r="B805" s="4" t="n">
        <x:f>IF('계산 과정'!$L$5,'계산 과정'!$L$11*SQRT((A805+0.5)/'계산 과정'!$L$30),"")</x:f>
        <x:v>93.72069854593222</x:v>
      </x:c>
      <x:c r="C805" s="4" t="n">
        <x:f>A805*PI()*(3-SQRT(5))</x:f>
        <x:v>1917.5706205531935</x:v>
      </x:c>
      <x:c r="D805" s="4" t="n">
        <x:f>IF('계산 과정'!$L$5,B805*COS(C805),"")</x:f>
        <x:v>34.03886161202576</x:v>
      </x:c>
      <x:c r="E805" s="4" t="n">
        <x:f>IF('계산 과정'!$L$5,B805*SIN(C805),"")</x:f>
        <x:v>87.32081788494003</x:v>
      </x:c>
      <x:c r="F805" s="4" t="n">
        <x:f>IF('계산 과정'!$L$7,'계산 과정'!$L$22+'계산 과정'!$C$49*D805+'계산 과정'!$D$49*E805,"")</x:f>
        <x:v>625.9308901302661</x:v>
      </x:c>
      <x:c r="G805" s="4" t="n">
        <x:f>IF('계산 과정'!$L$7,IF(ABS(F805)&gt;=1E-12*MAX(1,SQRT((D805-'계산 과정'!$C$33)^2+(E805-'계산 과정'!$D$33)^2+'계산 과정'!$E$33^2)),('계산 과정'!$L$23-'계산 과정'!$C$49*D805-'계산 과정'!$D$49*E805)/F805,""),"")</x:f>
        <x:v>0.6775014886731</x:v>
      </x:c>
      <x:c r="H805" s="4" t="n">
        <x:f>IF(AND(ISNUMBER(G805),G805&gt;0),('계산 과정'!$D$56+'계산 과정'!$D$57*D805+'계산 과정'!$D$58*E805)/F805,"")</x:f>
        <x:v>40.37596763751487</x:v>
      </x:c>
      <x:c r="I805" s="4" t="n">
        <x:f>IF(AND(ISNUMBER(G805),G805&gt;0),('계산 과정'!$E$56+'계산 과정'!$E$57*D805+'계산 과정'!$E$58*E805)/F805,"")</x:f>
        <x:v>146.48080199413954</x:v>
      </x:c>
      <x:c r="J805" s="4" t="n">
        <x:f>IF('계산 과정'!$L$5,'계산 과정'!$D$6+'계산 과정'!$C$35*D805+'계산 과정'!$D$35*E805,"")</x:f>
        <x:v>625.9308901302661</x:v>
      </x:c>
      <x:c r="K805" s="4" t="n">
        <x:f>IF(AND('계산 과정'!$L$6,J805&gt;0),'계산 과정'!$D$10*('계산 과정'!$C$38*(D805-'계산 과정'!$C$32)+'계산 과정'!$D$38*(E805-'계산 과정'!$D$32)-'계산 과정'!$E$38*'계산 과정'!$E$32)/J805,"")</x:f>
        <x:v>0.30762642009535246</x:v>
      </x:c>
      <x:c r="L805" s="4" t="n">
        <x:f>IF(AND('계산 과정'!$L$6,J805&gt;0),'계산 과정'!$D$10*('계산 과정'!$C$39*(D805-'계산 과정'!$C$32)+'계산 과정'!$D$39*(E805-'계산 과정'!$D$32)-'계산 과정'!$E$39*'계산 과정'!$E$32)/J805,"")</x:f>
        <x:v>1.1160442056696347</x:v>
      </x:c>
      <x:c r="M805" s="17" t="n">
        <x:f>IF('계산 과정'!$L$6,IF(J805&lt;=0,0,IF(AND(ABS(K805)&lt;='계산 과정'!$D$11/2,ABS(L805)&lt;='계산 과정'!$D$12/2),1,0)),"")</x:f>
        <x:v>1</x:v>
      </x:c>
      <x:c r="N805" s="17" t="n">
        <x:f>IF('계산 과정'!$C$78,IF(AND(ISNUMBER(H805),ISNUMBER(I805),ABS(H805-'계산 과정'!$C$88)&lt;='계산 과정'!$D$23/2,ABS(I805-'계산 과정'!$C$89)&lt;='계산 과정'!$D$24/2),1,0),"")</x:f>
        <x:v>1</x:v>
      </x:c>
      <x:c r="O805" s="4" t="n">
        <x:f>IF('계산 과정'!$L$7,'계산 과정'!$C$49*('계산 과정'!$C$32-D805)+'계산 과정'!$D$49*('계산 과정'!$D$32-E805)+'계산 과정'!$E$49*'계산 과정'!$E$32,"")</x:f>
        <x:v>24.069109869734007</x:v>
      </x:c>
      <x:c r="P805" s="4" t="n">
        <x:f>IF(AND('계산 과정'!$L$7,O805&lt;&gt;0),('계산 과정'!$L$23-'계산 과정'!$C$49*D805-'계산 과정'!$D$49*E805)/O805,"")</x:f>
        <x:v>17.61881150424199</x:v>
      </x:c>
      <x:c r="Q805" s="4" t="str">
        <x:f>IF(AND(ISNUMBER(P805),P805&gt;1E-9,P805&lt;1-1E-9),'계산 과정'!$C$47*(D805-'계산 과정'!$C$50+P805*('계산 과정'!$C$32-D805))+'계산 과정'!$D$47*(E805-'계산 과정'!$D$50+P805*('계산 과정'!$D$32-E805))+'계산 과정'!$E$47*(0-'계산 과정'!$E$50+P805*('계산 과정'!$E$32-0)),"")</x:f>
      </x:c>
      <x:c r="R805" s="4" t="str">
        <x:f>IF(AND(ISNUMBER(P805),P805&gt;1E-9,P805&lt;1-1E-9),'계산 과정'!$C$48*(D805-'계산 과정'!$C$50+P805*('계산 과정'!$C$32-D805))+'계산 과정'!$D$48*(E805-'계산 과정'!$D$50+P805*('계산 과정'!$D$32-E805))+'계산 과정'!$E$48*(0-'계산 과정'!$E$50+P805*('계산 과정'!$E$32-0)),"")</x:f>
      </x:c>
      <x:c r="S805" s="17" t="n">
        <x:f>IF('계산 과정'!$C$78,IF(AND(ISNUMBER(Q805),ISNUMBER(R805),ABS(Q805-'계산 과정'!$C$88)&lt;='계산 과정'!$D$23/2,ABS(R805-'계산 과정'!$C$89)&lt;='계산 과정'!$D$24/2),1,0),"")</x:f>
        <x:v>0</x:v>
      </x:c>
      <x:c r="T805" s="4"/>
      <x:c r="U805" s="4"/>
      <x:c r="V805" s="4"/>
      <x:c r="W805" s="4"/>
      <x:c r="X805" s="4"/>
      <x:c r="Y805" s="4"/>
      <x:c r="Z805" s="4"/>
    </x:row>
    <x:row r="806" ht="23" customHeight="1">
      <x:c r="A806" s="17" t="n">
        <x:f>ROW()-6</x:f>
        <x:v>800</x:v>
      </x:c>
      <x:c r="B806" s="4" t="n">
        <x:f>IF('계산 과정'!$L$5,'계산 과정'!$L$11*SQRT((A806+0.5)/'계산 과정'!$L$30),"")</x:f>
        <x:v>93.77929229879322</x:v>
      </x:c>
      <x:c r="C806" s="4" t="n">
        <x:f>A806*PI()*(3-SQRT(5))</x:f>
        <x:v>1919.9705837829224</x:v>
      </x:c>
      <x:c r="D806" s="4" t="n">
        <x:f>IF('계산 과정'!$L$5,B806*COS(C806),"")</x:f>
        <x:v>-84.13613082536168</x:v>
      </x:c>
      <x:c r="E806" s="4" t="n">
        <x:f>IF('계산 과정'!$L$5,B806*SIN(C806),"")</x:f>
        <x:v>-41.420612668092225</x:v>
      </x:c>
      <x:c r="F806" s="4" t="n">
        <x:f>IF('계산 과정'!$L$7,'계산 과정'!$L$22+'계산 과정'!$C$49*D806+'계산 과정'!$D$49*E806,"")</x:f>
        <x:v>709.4932286494118</x:v>
      </x:c>
      <x:c r="G806" s="4" t="n">
        <x:f>IF('계산 과정'!$L$7,IF(ABS(F806)&gt;=1E-12*MAX(1,SQRT((D806-'계산 과정'!$C$33)^2+(E806-'계산 과정'!$D$33)^2+'계산 과정'!$E$33^2)),('계산 과정'!$L$23-'계산 과정'!$C$49*D806-'계산 과정'!$D$49*E806)/F806,""),"")</x:f>
        <x:v>0.4799295576065968</x:v>
      </x:c>
      <x:c r="H806" s="4" t="n">
        <x:f>IF(AND(ISNUMBER(G806),G806&gt;0),('계산 과정'!$D$56+'계산 과정'!$D$57*D806+'계산 과정'!$D$58*E806)/F806,"")</x:f>
        <x:v>-88.04578755571218</x:v>
      </x:c>
      <x:c r="I806" s="4" t="n">
        <x:f>IF(AND(ISNUMBER(G806),G806&gt;0),('계산 과정'!$E$56+'계산 과정'!$E$57*D806+'계산 과정'!$E$58*E806)/F806,"")</x:f>
        <x:v>-61.299588981683925</x:v>
      </x:c>
      <x:c r="J806" s="4" t="n">
        <x:f>IF('계산 과정'!$L$5,'계산 과정'!$D$6+'계산 과정'!$C$35*D806+'계산 과정'!$D$35*E806,"")</x:f>
        <x:v>709.4932286494118</x:v>
      </x:c>
      <x:c r="K806" s="4" t="n">
        <x:f>IF(AND('계산 과정'!$L$6,J806&gt;0),'계산 과정'!$D$10*('계산 과정'!$C$38*(D806-'계산 과정'!$C$32)+'계산 과정'!$D$38*(E806-'계산 과정'!$D$32)-'계산 과정'!$E$38*'계산 과정'!$E$32)/J806,"")</x:f>
        <x:v>-0.67082504804352</x:v>
      </x:c>
      <x:c r="L806" s="4" t="n">
        <x:f>IF(AND('계산 과정'!$L$6,J806&gt;0),'계산 과정'!$D$10*('계산 과정'!$C$39*(D806-'계산 과정'!$C$32)+'계산 과정'!$D$39*(E806-'계산 과정'!$D$32)-'계산 과정'!$E$39*'계산 과정'!$E$32)/J806,"")</x:f>
        <x:v>-0.46704448747949656</x:v>
      </x:c>
      <x:c r="M806" s="17" t="n">
        <x:f>IF('계산 과정'!$L$6,IF(J806&lt;=0,0,IF(AND(ABS(K806)&lt;='계산 과정'!$D$11/2,ABS(L806)&lt;='계산 과정'!$D$12/2),1,0)),"")</x:f>
        <x:v>1</x:v>
      </x:c>
      <x:c r="N806" s="17" t="n">
        <x:f>IF('계산 과정'!$C$78,IF(AND(ISNUMBER(H806),ISNUMBER(I806),ABS(H806-'계산 과정'!$C$88)&lt;='계산 과정'!$D$23/2,ABS(I806-'계산 과정'!$C$89)&lt;='계산 과정'!$D$24/2),1,0),"")</x:f>
        <x:v>1</x:v>
      </x:c>
      <x:c r="O806" s="4" t="n">
        <x:f>IF('계산 과정'!$L$7,'계산 과정'!$C$49*('계산 과정'!$C$32-D806)+'계산 과정'!$D$49*('계산 과정'!$D$32-E806)+'계산 과정'!$E$49*'계산 과정'!$E$32,"")</x:f>
        <x:v>-59.493228649411606</x:v>
      </x:c>
      <x:c r="P806" s="4" t="n">
        <x:f>IF(AND('계산 과정'!$L$7,O806&lt;&gt;0),('계산 과정'!$L$23-'계산 과정'!$C$49*D806-'계산 과정'!$D$49*E806)/O806,"")</x:f>
        <x:v>-5.7234542330382645</x:v>
      </x:c>
      <x:c r="Q806" s="4" t="str">
        <x:f>IF(AND(ISNUMBER(P806),P806&gt;1E-9,P806&lt;1-1E-9),'계산 과정'!$C$47*(D806-'계산 과정'!$C$50+P806*('계산 과정'!$C$32-D806))+'계산 과정'!$D$47*(E806-'계산 과정'!$D$50+P806*('계산 과정'!$D$32-E806))+'계산 과정'!$E$47*(0-'계산 과정'!$E$50+P806*('계산 과정'!$E$32-0)),"")</x:f>
      </x:c>
      <x:c r="R806" s="4" t="str">
        <x:f>IF(AND(ISNUMBER(P806),P806&gt;1E-9,P806&lt;1-1E-9),'계산 과정'!$C$48*(D806-'계산 과정'!$C$50+P806*('계산 과정'!$C$32-D806))+'계산 과정'!$D$48*(E806-'계산 과정'!$D$50+P806*('계산 과정'!$D$32-E806))+'계산 과정'!$E$48*(0-'계산 과정'!$E$50+P806*('계산 과정'!$E$32-0)),"")</x:f>
      </x:c>
      <x:c r="S806" s="17" t="n">
        <x:f>IF('계산 과정'!$C$78,IF(AND(ISNUMBER(Q806),ISNUMBER(R806),ABS(Q806-'계산 과정'!$C$88)&lt;='계산 과정'!$D$23/2,ABS(R806-'계산 과정'!$C$89)&lt;='계산 과정'!$D$24/2),1,0),"")</x:f>
        <x:v>0</x:v>
      </x:c>
      <x:c r="T806" s="4"/>
      <x:c r="U806" s="4"/>
      <x:c r="V806" s="4"/>
      <x:c r="W806" s="4"/>
      <x:c r="X806" s="4"/>
      <x:c r="Y806" s="4"/>
      <x:c r="Z806" s="4"/>
    </x:row>
    <x:row r="807" ht="23" customHeight="1">
      <x:c r="A807" s="17" t="n">
        <x:f>ROW()-6</x:f>
        <x:v>801</x:v>
      </x:c>
      <x:c r="B807" s="4" t="n">
        <x:f>IF('계산 과정'!$L$5,'계산 과정'!$L$11*SQRT((A807+0.5)/'계산 과정'!$L$30),"")</x:f>
        <x:v>93.83784946484813</x:v>
      </x:c>
      <x:c r="C807" s="4" t="n">
        <x:f>A807*PI()*(3-SQRT(5))</x:f>
        <x:v>1922.370547012651</x:v>
      </x:c>
      <x:c r="D807" s="4" t="n">
        <x:f>IF('계산 과정'!$L$5,B807*COS(C807),"")</x:f>
        <x:v>90.07479515821926</x:v>
      </x:c>
      <x:c r="E807" s="4" t="n">
        <x:f>IF('계산 과정'!$L$5,B807*SIN(C807),"")</x:f>
        <x:v>-26.30728548125671</x:v>
      </x:c>
      <x:c r="F807" s="4" t="n">
        <x:f>IF('계산 과정'!$L$7,'계산 과정'!$L$22+'계산 과정'!$C$49*D807+'계산 과정'!$D$49*E807,"")</x:f>
        <x:v>586.307501529634</x:v>
      </x:c>
      <x:c r="G807" s="4" t="n">
        <x:f>IF('계산 과정'!$L$7,IF(ABS(F807)&gt;=1E-12*MAX(1,SQRT((D807-'계산 과정'!$C$33)^2+(E807-'계산 과정'!$D$33)^2+'계산 과정'!$E$33^2)),('계산 과정'!$L$23-'계산 과정'!$C$49*D807-'계산 과정'!$D$49*E807)/F807,""),"")</x:f>
        <x:v>0.7908691211704195</x:v>
      </x:c>
      <x:c r="H807" s="4" t="n">
        <x:f>IF(AND(ISNUMBER(G807),G807&gt;0),('계산 과정'!$D$56+'계산 과정'!$D$57*D807+'계산 과정'!$D$58*E807)/F807,"")</x:f>
        <x:v>114.0649287607726</x:v>
      </x:c>
      <x:c r="I807" s="4" t="n">
        <x:f>IF(AND(ISNUMBER(G807),G807&gt;0),('계산 과정'!$E$56+'계산 과정'!$E$57*D807+'계산 과정'!$E$58*E807)/F807,"")</x:f>
        <x:v>-47.11290523019753</x:v>
      </x:c>
      <x:c r="J807" s="4" t="n">
        <x:f>IF('계산 과정'!$L$5,'계산 과정'!$D$6+'계산 과정'!$C$35*D807+'계산 과정'!$D$35*E807,"")</x:f>
        <x:v>586.307501529634</x:v>
      </x:c>
      <x:c r="K807" s="4" t="n">
        <x:f>IF(AND('계산 과정'!$L$6,J807&gt;0),'계산 과정'!$D$10*('계산 과정'!$C$38*(D807-'계산 과정'!$C$32)+'계산 과정'!$D$38*(E807-'계산 과정'!$D$32)-'계산 과정'!$E$38*'계산 과정'!$E$32)/J807,"")</x:f>
        <x:v>0.8690661238916018</x:v>
      </x:c>
      <x:c r="L807" s="4" t="n">
        <x:f>IF(AND('계산 과정'!$L$6,J807&gt;0),'계산 과정'!$D$10*('계산 과정'!$C$39*(D807-'계산 과정'!$C$32)+'계산 과정'!$D$39*(E807-'계산 과정'!$D$32)-'계산 과정'!$E$39*'계산 과정'!$E$32)/J807,"")</x:f>
        <x:v>-0.35895546842055265</x:v>
      </x:c>
      <x:c r="M807" s="17" t="n">
        <x:f>IF('계산 과정'!$L$6,IF(J807&lt;=0,0,IF(AND(ABS(K807)&lt;='계산 과정'!$D$11/2,ABS(L807)&lt;='계산 과정'!$D$12/2),1,0)),"")</x:f>
        <x:v>1</x:v>
      </x:c>
      <x:c r="N807" s="17" t="n">
        <x:f>IF('계산 과정'!$C$78,IF(AND(ISNUMBER(H807),ISNUMBER(I807),ABS(H807-'계산 과정'!$C$88)&lt;='계산 과정'!$D$23/2,ABS(I807-'계산 과정'!$C$89)&lt;='계산 과정'!$D$24/2),1,0),"")</x:f>
        <x:v>1</x:v>
      </x:c>
      <x:c r="O807" s="4" t="n">
        <x:f>IF('계산 과정'!$L$7,'계산 과정'!$C$49*('계산 과정'!$C$32-D807)+'계산 과정'!$D$49*('계산 과정'!$D$32-E807)+'계산 과정'!$E$49*'계산 과정'!$E$32,"")</x:f>
        <x:v>63.69249847036616</x:v>
      </x:c>
      <x:c r="P807" s="4" t="n">
        <x:f>IF(AND('계산 과정'!$L$7,O807&lt;&gt;0),('계산 과정'!$L$23-'계산 과정'!$C$49*D807-'계산 과정'!$D$49*E807)/O807,"")</x:f>
        <x:v>7.280174425660277</x:v>
      </x:c>
      <x:c r="Q807" s="4" t="str">
        <x:f>IF(AND(ISNUMBER(P807),P807&gt;1E-9,P807&lt;1-1E-9),'계산 과정'!$C$47*(D807-'계산 과정'!$C$50+P807*('계산 과정'!$C$32-D807))+'계산 과정'!$D$47*(E807-'계산 과정'!$D$50+P807*('계산 과정'!$D$32-E807))+'계산 과정'!$E$47*(0-'계산 과정'!$E$50+P807*('계산 과정'!$E$32-0)),"")</x:f>
      </x:c>
      <x:c r="R807" s="4" t="str">
        <x:f>IF(AND(ISNUMBER(P807),P807&gt;1E-9,P807&lt;1-1E-9),'계산 과정'!$C$48*(D807-'계산 과정'!$C$50+P807*('계산 과정'!$C$32-D807))+'계산 과정'!$D$48*(E807-'계산 과정'!$D$50+P807*('계산 과정'!$D$32-E807))+'계산 과정'!$E$48*(0-'계산 과정'!$E$50+P807*('계산 과정'!$E$32-0)),"")</x:f>
      </x:c>
      <x:c r="S807" s="17" t="n">
        <x:f>IF('계산 과정'!$C$78,IF(AND(ISNUMBER(Q807),ISNUMBER(R807),ABS(Q807-'계산 과정'!$C$88)&lt;='계산 과정'!$D$23/2,ABS(R807-'계산 과정'!$C$89)&lt;='계산 과정'!$D$24/2),1,0),"")</x:f>
        <x:v>0</x:v>
      </x:c>
      <x:c r="T807" s="4"/>
      <x:c r="U807" s="4"/>
      <x:c r="V807" s="4"/>
      <x:c r="W807" s="4"/>
      <x:c r="X807" s="4"/>
      <x:c r="Y807" s="4"/>
      <x:c r="Z807" s="4"/>
    </x:row>
    <x:row r="808" ht="23" customHeight="1">
      <x:c r="A808" s="17" t="n">
        <x:f>ROW()-6</x:f>
        <x:v>802</x:v>
      </x:c>
      <x:c r="B808" s="4" t="n">
        <x:f>IF('계산 과정'!$L$5,'계산 과정'!$L$11*SQRT((A808+0.5)/'계산 과정'!$L$30),"")</x:f>
        <x:v>93.89637011254749</x:v>
      </x:c>
      <x:c r="C808" s="4" t="n">
        <x:f>A808*PI()*(3-SQRT(5))</x:f>
        <x:v>1924.7705102423795</x:v>
      </x:c>
      <x:c r="D808" s="4" t="n">
        <x:f>IF('계산 과정'!$L$5,B808*COS(C808),"")</x:f>
        <x:v>-48.67837329676453</x:v>
      </x:c>
      <x:c r="E808" s="4" t="n">
        <x:f>IF('계산 과정'!$L$5,B808*SIN(C808),"")</x:f>
        <x:v>80.29286576958965</x:v>
      </x:c>
      <x:c r="F808" s="4" t="n">
        <x:f>IF('계산 과정'!$L$7,'계산 과정'!$L$22+'계산 과정'!$C$49*D808+'계산 과정'!$D$49*E808,"")</x:f>
        <x:v>684.4208078552723</x:v>
      </x:c>
      <x:c r="G808" s="4" t="n">
        <x:f>IF('계산 과정'!$L$7,IF(ABS(F808)&gt;=1E-12*MAX(1,SQRT((D808-'계산 과정'!$C$33)^2+(E808-'계산 과정'!$D$33)^2+'계산 과정'!$E$33^2)),('계산 과정'!$L$23-'계산 과정'!$C$49*D808-'계산 과정'!$D$49*E808)/F808,""),"")</x:f>
        <x:v>0.534143889181746</x:v>
      </x:c>
      <x:c r="H808" s="4" t="n">
        <x:f>IF(AND(ISNUMBER(G808),G808&gt;0),('계산 과정'!$D$56+'계산 과정'!$D$57*D808+'계산 과정'!$D$58*E808)/F808,"")</x:f>
        <x:v>-52.80647203186525</x:v>
      </x:c>
      <x:c r="I808" s="4" t="n">
        <x:f>IF(AND(ISNUMBER(G808),G808&gt;0),('계산 과정'!$E$56+'계산 과정'!$E$57*D808+'계산 과정'!$E$58*E808)/F808,"")</x:f>
        <x:v>123.18080936530616</x:v>
      </x:c>
      <x:c r="J808" s="4" t="n">
        <x:f>IF('계산 과정'!$L$5,'계산 과정'!$D$6+'계산 과정'!$C$35*D808+'계산 과정'!$D$35*E808,"")</x:f>
        <x:v>684.4208078552723</x:v>
      </x:c>
      <x:c r="K808" s="4" t="n">
        <x:f>IF(AND('계산 과정'!$L$6,J808&gt;0),'계산 과정'!$D$10*('계산 과정'!$C$38*(D808-'계산 과정'!$C$32)+'계산 과정'!$D$38*(E808-'계산 과정'!$D$32)-'계산 과정'!$E$38*'계산 과정'!$E$32)/J808,"")</x:f>
        <x:v>-0.4023350250046867</x:v>
      </x:c>
      <x:c r="L808" s="4" t="n">
        <x:f>IF(AND('계산 과정'!$L$6,J808&gt;0),'계산 과정'!$D$10*('계산 과정'!$C$39*(D808-'계산 과정'!$C$32)+'계산 과정'!$D$39*(E808-'계산 과정'!$D$32)-'계산 과정'!$E$39*'계산 과정'!$E$32)/J808,"")</x:f>
        <x:v>0.9385204523070946</x:v>
      </x:c>
      <x:c r="M808" s="17" t="n">
        <x:f>IF('계산 과정'!$L$6,IF(J808&lt;=0,0,IF(AND(ABS(K808)&lt;='계산 과정'!$D$11/2,ABS(L808)&lt;='계산 과정'!$D$12/2),1,0)),"")</x:f>
        <x:v>1</x:v>
      </x:c>
      <x:c r="N808" s="17" t="n">
        <x:f>IF('계산 과정'!$C$78,IF(AND(ISNUMBER(H808),ISNUMBER(I808),ABS(H808-'계산 과정'!$C$88)&lt;='계산 과정'!$D$23/2,ABS(I808-'계산 과정'!$C$89)&lt;='계산 과정'!$D$24/2),1,0),"")</x:f>
        <x:v>1</x:v>
      </x:c>
      <x:c r="O808" s="4" t="n">
        <x:f>IF('계산 과정'!$L$7,'계산 과정'!$C$49*('계산 과정'!$C$32-D808)+'계산 과정'!$D$49*('계산 과정'!$D$32-E808)+'계산 과정'!$E$49*'계산 과정'!$E$32,"")</x:f>
        <x:v>-34.420807855272244</x:v>
      </x:c>
      <x:c r="P808" s="4" t="n">
        <x:f>IF(AND('계산 과정'!$L$7,O808&lt;&gt;0),('계산 과정'!$L$23-'계산 과정'!$C$49*D808-'계산 과정'!$D$49*E808)/O808,"")</x:f>
        <x:v>-10.620877745864172</x:v>
      </x:c>
      <x:c r="Q808" s="4" t="str">
        <x:f>IF(AND(ISNUMBER(P808),P808&gt;1E-9,P808&lt;1-1E-9),'계산 과정'!$C$47*(D808-'계산 과정'!$C$50+P808*('계산 과정'!$C$32-D808))+'계산 과정'!$D$47*(E808-'계산 과정'!$D$50+P808*('계산 과정'!$D$32-E808))+'계산 과정'!$E$47*(0-'계산 과정'!$E$50+P808*('계산 과정'!$E$32-0)),"")</x:f>
      </x:c>
      <x:c r="R808" s="4" t="str">
        <x:f>IF(AND(ISNUMBER(P808),P808&gt;1E-9,P808&lt;1-1E-9),'계산 과정'!$C$48*(D808-'계산 과정'!$C$50+P808*('계산 과정'!$C$32-D808))+'계산 과정'!$D$48*(E808-'계산 과정'!$D$50+P808*('계산 과정'!$D$32-E808))+'계산 과정'!$E$48*(0-'계산 과정'!$E$50+P808*('계산 과정'!$E$32-0)),"")</x:f>
      </x:c>
      <x:c r="S808" s="17" t="n">
        <x:f>IF('계산 과정'!$C$78,IF(AND(ISNUMBER(Q808),ISNUMBER(R808),ABS(Q808-'계산 과정'!$C$88)&lt;='계산 과정'!$D$23/2,ABS(R808-'계산 과정'!$C$89)&lt;='계산 과정'!$D$24/2),1,0),"")</x:f>
        <x:v>0</x:v>
      </x:c>
      <x:c r="T808" s="4"/>
      <x:c r="U808" s="4"/>
      <x:c r="V808" s="4"/>
      <x:c r="W808" s="4"/>
      <x:c r="X808" s="4"/>
      <x:c r="Y808" s="4"/>
      <x:c r="Z808" s="4"/>
    </x:row>
    <x:row r="809" ht="23" customHeight="1">
      <x:c r="A809" s="17" t="n">
        <x:f>ROW()-6</x:f>
        <x:v>803</x:v>
      </x:c>
      <x:c r="B809" s="4" t="n">
        <x:f>IF('계산 과정'!$L$5,'계산 과정'!$L$11*SQRT((A809+0.5)/'계산 과정'!$L$30),"")</x:f>
        <x:v>93.95485431012864</x:v>
      </x:c>
      <x:c r="C809" s="4" t="n">
        <x:f>A809*PI()*(3-SQRT(5))</x:f>
        <x:v>1927.1704734721084</x:v>
      </x:c>
      <x:c r="D809" s="4" t="n">
        <x:f>IF('계산 과정'!$L$5,B809*COS(C809),"")</x:f>
        <x:v>-18.354559207065783</x:v>
      </x:c>
      <x:c r="E809" s="4" t="n">
        <x:f>IF('계산 과정'!$L$5,B809*SIN(C809),"")</x:f>
        <x:v>-92.14458641044419</x:v>
      </x:c>
      <x:c r="F809" s="4" t="n">
        <x:f>IF('계산 과정'!$L$7,'계산 과정'!$L$22+'계산 과정'!$C$49*D809+'계산 과정'!$D$49*E809,"")</x:f>
        <x:v>662.9786332810062</x:v>
      </x:c>
      <x:c r="G809" s="4" t="n">
        <x:f>IF('계산 과정'!$L$7,IF(ABS(F809)&gt;=1E-12*MAX(1,SQRT((D809-'계산 과정'!$C$33)^2+(E809-'계산 과정'!$D$33)^2+'계산 과정'!$E$33^2)),('계산 과정'!$L$23-'계산 과정'!$C$49*D809-'계산 과정'!$D$49*E809)/F809,""),"")</x:f>
        <x:v>0.5837614476407315</x:v>
      </x:c>
      <x:c r="H809" s="4" t="n">
        <x:f>IF(AND(ISNUMBER(G809),G809&gt;0),('계산 과정'!$D$56+'계산 과정'!$D$57*D809+'계산 과정'!$D$58*E809)/F809,"")</x:f>
        <x:v>-20.555059033524667</x:v>
      </x:c>
      <x:c r="I809" s="4" t="n">
        <x:f>IF(AND(ISNUMBER(G809),G809&gt;0),('계산 과정'!$E$56+'계산 과정'!$E$57*D809+'계산 과정'!$E$58*E809)/F809,"")</x:f>
        <x:v>-145.93504356566154</x:v>
      </x:c>
      <x:c r="J809" s="4" t="n">
        <x:f>IF('계산 과정'!$L$5,'계산 과정'!$D$6+'계산 과정'!$C$35*D809+'계산 과정'!$D$35*E809,"")</x:f>
        <x:v>662.9786332810062</x:v>
      </x:c>
      <x:c r="K809" s="4" t="n">
        <x:f>IF(AND('계산 과정'!$L$6,J809&gt;0),'계산 과정'!$D$10*('계산 과정'!$C$38*(D809-'계산 과정'!$C$32)+'계산 과정'!$D$38*(E809-'계산 과정'!$D$32)-'계산 과정'!$E$38*'계산 과정'!$E$32)/J809,"")</x:f>
        <x:v>-0.1566099735887583</x:v>
      </x:c>
      <x:c r="L809" s="4" t="n">
        <x:f>IF(AND('계산 과정'!$L$6,J809&gt;0),'계산 과정'!$D$10*('계산 과정'!$C$39*(D809-'계산 과정'!$C$32)+'계산 과정'!$D$39*(E809-'계산 과정'!$D$32)-'계산 과정'!$E$39*'계산 과정'!$E$32)/J809,"")</x:f>
        <x:v>-1.1118860462145643</x:v>
      </x:c>
      <x:c r="M809" s="17" t="n">
        <x:f>IF('계산 과정'!$L$6,IF(J809&lt;=0,0,IF(AND(ABS(K809)&lt;='계산 과정'!$D$11/2,ABS(L809)&lt;='계산 과정'!$D$12/2),1,0)),"")</x:f>
        <x:v>1</x:v>
      </x:c>
      <x:c r="N809" s="17" t="n">
        <x:f>IF('계산 과정'!$C$78,IF(AND(ISNUMBER(H809),ISNUMBER(I809),ABS(H809-'계산 과정'!$C$88)&lt;='계산 과정'!$D$23/2,ABS(I809-'계산 과정'!$C$89)&lt;='계산 과정'!$D$24/2),1,0),"")</x:f>
        <x:v>1</x:v>
      </x:c>
      <x:c r="O809" s="4" t="n">
        <x:f>IF('계산 과정'!$L$7,'계산 과정'!$C$49*('계산 과정'!$C$32-D809)+'계산 과정'!$D$49*('계산 과정'!$D$32-E809)+'계산 과정'!$E$49*'계산 과정'!$E$32,"")</x:f>
        <x:v>-12.978633281006069</x:v>
      </x:c>
      <x:c r="P809" s="4" t="n">
        <x:f>IF(AND('계산 과정'!$L$7,O809&lt;&gt;0),('계산 과정'!$L$23-'계산 과정'!$C$49*D809-'계산 과정'!$D$49*E809)/O809,"")</x:f>
        <x:v>-29.819886142047846</x:v>
      </x:c>
      <x:c r="Q809" s="4" t="str">
        <x:f>IF(AND(ISNUMBER(P809),P809&gt;1E-9,P809&lt;1-1E-9),'계산 과정'!$C$47*(D809-'계산 과정'!$C$50+P809*('계산 과정'!$C$32-D809))+'계산 과정'!$D$47*(E809-'계산 과정'!$D$50+P809*('계산 과정'!$D$32-E809))+'계산 과정'!$E$47*(0-'계산 과정'!$E$50+P809*('계산 과정'!$E$32-0)),"")</x:f>
      </x:c>
      <x:c r="R809" s="4" t="str">
        <x:f>IF(AND(ISNUMBER(P809),P809&gt;1E-9,P809&lt;1-1E-9),'계산 과정'!$C$48*(D809-'계산 과정'!$C$50+P809*('계산 과정'!$C$32-D809))+'계산 과정'!$D$48*(E809-'계산 과정'!$D$50+P809*('계산 과정'!$D$32-E809))+'계산 과정'!$E$48*(0-'계산 과정'!$E$50+P809*('계산 과정'!$E$32-0)),"")</x:f>
      </x:c>
      <x:c r="S809" s="17" t="n">
        <x:f>IF('계산 과정'!$C$78,IF(AND(ISNUMBER(Q809),ISNUMBER(R809),ABS(Q809-'계산 과정'!$C$88)&lt;='계산 과정'!$D$23/2,ABS(R809-'계산 과정'!$C$89)&lt;='계산 과정'!$D$24/2),1,0),"")</x:f>
        <x:v>0</x:v>
      </x:c>
      <x:c r="T809" s="4"/>
      <x:c r="U809" s="4"/>
      <x:c r="V809" s="4"/>
      <x:c r="W809" s="4"/>
      <x:c r="X809" s="4"/>
      <x:c r="Y809" s="4"/>
      <x:c r="Z809" s="4"/>
    </x:row>
    <x:row r="810" ht="23" customHeight="1">
      <x:c r="A810" s="17" t="n">
        <x:f>ROW()-6</x:f>
        <x:v>804</x:v>
      </x:c>
      <x:c r="B810" s="4" t="n">
        <x:f>IF('계산 과정'!$L$5,'계산 과정'!$L$11*SQRT((A810+0.5)/'계산 과정'!$L$30),"")</x:f>
        <x:v>94.01330212561678</x:v>
      </x:c>
      <x:c r="C810" s="4" t="n">
        <x:f>A810*PI()*(3-SQRT(5))</x:f>
        <x:v>1929.570436701837</x:v>
      </x:c>
      <x:c r="D810" s="4" t="n">
        <x:f>IF('계산 과정'!$L$5,B810*COS(C810),"")</x:f>
        <x:v>75.82399409104512</x:v>
      </x:c>
      <x:c r="E810" s="4" t="n">
        <x:f>IF('계산 과정'!$L$5,B810*SIN(C810),"")</x:f>
        <x:v>55.580778121969956</x:v>
      </x:c>
      <x:c r="F810" s="4" t="n">
        <x:f>IF('계산 과정'!$L$7,'계산 과정'!$L$22+'계산 과정'!$C$49*D810+'계산 과정'!$D$49*E810,"")</x:f>
        <x:v>596.3843396015733</x:v>
      </x:c>
      <x:c r="G810" s="4" t="n">
        <x:f>IF('계산 과정'!$L$7,IF(ABS(F810)&gt;=1E-12*MAX(1,SQRT((D810-'계산 과정'!$C$33)^2+(E810-'계산 과정'!$D$33)^2+'계산 과정'!$E$33^2)),('계산 과정'!$L$23-'계산 과정'!$C$49*D810-'계산 과정'!$D$49*E810)/F810,""),"")</x:f>
        <x:v>0.7606096107444301</x:v>
      </x:c>
      <x:c r="H810" s="4" t="n">
        <x:f>IF(AND(ISNUMBER(G810),G810&gt;0),('계산 과정'!$D$56+'계산 과정'!$D$57*D810+'계산 과정'!$D$58*E810)/F810,"")</x:f>
        <x:v>94.39624698387954</x:v>
      </x:c>
      <x:c r="I810" s="4" t="n">
        <x:f>IF(AND(ISNUMBER(G810),G810&gt;0),('계산 과정'!$E$56+'계산 과정'!$E$57*D810+'계산 과정'!$E$58*E810)/F810,"")</x:f>
        <x:v>97.85605213419407</x:v>
      </x:c>
      <x:c r="J810" s="4" t="n">
        <x:f>IF('계산 과정'!$L$5,'계산 과정'!$D$6+'계산 과정'!$C$35*D810+'계산 과정'!$D$35*E810,"")</x:f>
        <x:v>596.3843396015733</x:v>
      </x:c>
      <x:c r="K810" s="4" t="n">
        <x:f>IF(AND('계산 과정'!$L$6,J810&gt;0),'계산 과정'!$D$10*('계산 과정'!$C$38*(D810-'계산 과정'!$C$32)+'계산 과정'!$D$38*(E810-'계산 과정'!$D$32)-'계산 과정'!$E$38*'계산 과정'!$E$32)/J810,"")</x:f>
        <x:v>0.7192095008295589</x:v>
      </x:c>
      <x:c r="L810" s="4" t="n">
        <x:f>IF(AND('계산 과정'!$L$6,J810&gt;0),'계산 과정'!$D$10*('계산 과정'!$C$39*(D810-'계산 과정'!$C$32)+'계산 과정'!$D$39*(E810-'계산 과정'!$D$32)-'계산 과정'!$E$39*'계산 과정'!$E$32)/J810,"")</x:f>
        <x:v>0.745569921022431</x:v>
      </x:c>
      <x:c r="M810" s="17" t="n">
        <x:f>IF('계산 과정'!$L$6,IF(J810&lt;=0,0,IF(AND(ABS(K810)&lt;='계산 과정'!$D$11/2,ABS(L810)&lt;='계산 과정'!$D$12/2),1,0)),"")</x:f>
        <x:v>1</x:v>
      </x:c>
      <x:c r="N810" s="17" t="n">
        <x:f>IF('계산 과정'!$C$78,IF(AND(ISNUMBER(H810),ISNUMBER(I810),ABS(H810-'계산 과정'!$C$88)&lt;='계산 과정'!$D$23/2,ABS(I810-'계산 과정'!$C$89)&lt;='계산 과정'!$D$24/2),1,0),"")</x:f>
        <x:v>1</x:v>
      </x:c>
      <x:c r="O810" s="4" t="n">
        <x:f>IF('계산 과정'!$L$7,'계산 과정'!$C$49*('계산 과정'!$C$32-D810)+'계산 과정'!$D$49*('계산 과정'!$D$32-E810)+'계산 과정'!$E$49*'계산 과정'!$E$32,"")</x:f>
        <x:v>53.615660398426826</x:v>
      </x:c>
      <x:c r="P810" s="4" t="n">
        <x:f>IF(AND('계산 과정'!$L$7,O810&lt;&gt;0),('계산 과정'!$L$23-'계산 과정'!$C$49*D810-'계산 과정'!$D$49*E810)/O810,"")</x:f>
        <x:v>8.460506818857287</x:v>
      </x:c>
      <x:c r="Q810" s="4" t="str">
        <x:f>IF(AND(ISNUMBER(P810),P810&gt;1E-9,P810&lt;1-1E-9),'계산 과정'!$C$47*(D810-'계산 과정'!$C$50+P810*('계산 과정'!$C$32-D810))+'계산 과정'!$D$47*(E810-'계산 과정'!$D$50+P810*('계산 과정'!$D$32-E810))+'계산 과정'!$E$47*(0-'계산 과정'!$E$50+P810*('계산 과정'!$E$32-0)),"")</x:f>
      </x:c>
      <x:c r="R810" s="4" t="str">
        <x:f>IF(AND(ISNUMBER(P810),P810&gt;1E-9,P810&lt;1-1E-9),'계산 과정'!$C$48*(D810-'계산 과정'!$C$50+P810*('계산 과정'!$C$32-D810))+'계산 과정'!$D$48*(E810-'계산 과정'!$D$50+P810*('계산 과정'!$D$32-E810))+'계산 과정'!$E$48*(0-'계산 과정'!$E$50+P810*('계산 과정'!$E$32-0)),"")</x:f>
      </x:c>
      <x:c r="S810" s="17" t="n">
        <x:f>IF('계산 과정'!$C$78,IF(AND(ISNUMBER(Q810),ISNUMBER(R810),ABS(Q810-'계산 과정'!$C$88)&lt;='계산 과정'!$D$23/2,ABS(R810-'계산 과정'!$C$89)&lt;='계산 과정'!$D$24/2),1,0),"")</x:f>
        <x:v>0</x:v>
      </x:c>
      <x:c r="T810" s="4"/>
      <x:c r="U810" s="4"/>
      <x:c r="V810" s="4"/>
      <x:c r="W810" s="4"/>
      <x:c r="X810" s="4"/>
      <x:c r="Y810" s="4"/>
      <x:c r="Z810" s="4"/>
    </x:row>
    <x:row r="811" ht="23" customHeight="1">
      <x:c r="A811" s="17" t="n">
        <x:f>ROW()-6</x:f>
        <x:v>805</x:v>
      </x:c>
      <x:c r="B811" s="4" t="n">
        <x:f>IF('계산 과정'!$L$5,'계산 과정'!$L$11*SQRT((A811+0.5)/'계산 과정'!$L$30),"")</x:f>
        <x:v>94.07171362682567</x:v>
      </x:c>
      <x:c r="C811" s="4" t="n">
        <x:f>A811*PI()*(3-SQRT(5))</x:f>
        <x:v>1931.9703999315655</x:v>
      </x:c>
      <x:c r="D811" s="4" t="n">
        <x:f>IF('계산 과정'!$L$5,B811*COS(C811),"")</x:f>
        <x:v>-93.51259395291483</x:v>
      </x:c>
      <x:c r="E811" s="4" t="n">
        <x:f>IF('계산 과정'!$L$5,B811*SIN(C811),"")</x:f>
        <x:v>10.241195090651145</x:v>
      </x:c>
      <x:c r="F811" s="4" t="n">
        <x:f>IF('계산 과정'!$L$7,'계산 과정'!$L$22+'계산 과정'!$C$49*D811+'계산 과정'!$D$49*E811,"")</x:f>
        <x:v>716.1233893104502</x:v>
      </x:c>
      <x:c r="G811" s="4" t="n">
        <x:f>IF('계산 과정'!$L$7,IF(ABS(F811)&gt;=1E-12*MAX(1,SQRT((D811-'계산 과정'!$C$33)^2+(E811-'계산 과정'!$D$33)^2+'계산 과정'!$E$33^2)),('계산 과정'!$L$23-'계산 과정'!$C$49*D811-'계산 과정'!$D$49*E811)/F811,""),"")</x:f>
        <x:v>0.46622776978564695</x:v>
      </x:c>
      <x:c r="H811" s="4" t="n">
        <x:f>IF(AND(ISNUMBER(G811),G811&gt;0),('계산 과정'!$D$56+'계산 과정'!$D$57*D811+'계산 과정'!$D$58*E811)/F811,"")</x:f>
        <x:v>-96.95194963932963</x:v>
      </x:c>
      <x:c r="I811" s="4" t="n">
        <x:f>IF(AND(ISNUMBER(G811),G811&gt;0),('계산 과정'!$E$56+'계산 과정'!$E$57*D811+'계산 과정'!$E$58*E811)/F811,"")</x:f>
        <x:v>15.015924637705144</x:v>
      </x:c>
      <x:c r="J811" s="4" t="n">
        <x:f>IF('계산 과정'!$L$5,'계산 과정'!$D$6+'계산 과정'!$C$35*D811+'계산 과정'!$D$35*E811,"")</x:f>
        <x:v>716.1233893104502</x:v>
      </x:c>
      <x:c r="K811" s="4" t="n">
        <x:f>IF(AND('계산 과정'!$L$6,J811&gt;0),'계산 과정'!$D$10*('계산 과정'!$C$38*(D811-'계산 과정'!$C$32)+'계산 과정'!$D$38*(E811-'계산 과정'!$D$32)-'계산 과정'!$E$38*'계산 과정'!$E$32)/J811,"")</x:f>
        <x:v>-0.7386815210615579</x:v>
      </x:c>
      <x:c r="L811" s="4" t="n">
        <x:f>IF(AND('계산 과정'!$L$6,J811&gt;0),'계산 과정'!$D$10*('계산 과정'!$C$39*(D811-'계산 과정'!$C$32)+'계산 과정'!$D$39*(E811-'계산 과정'!$D$32)-'계산 과정'!$E$39*'계산 과정'!$E$32)/J811,"")</x:f>
        <x:v>0.11440704485870586</x:v>
      </x:c>
      <x:c r="M811" s="17" t="n">
        <x:f>IF('계산 과정'!$L$6,IF(J811&lt;=0,0,IF(AND(ABS(K811)&lt;='계산 과정'!$D$11/2,ABS(L811)&lt;='계산 과정'!$D$12/2),1,0)),"")</x:f>
        <x:v>1</x:v>
      </x:c>
      <x:c r="N811" s="17" t="n">
        <x:f>IF('계산 과정'!$C$78,IF(AND(ISNUMBER(H811),ISNUMBER(I811),ABS(H811-'계산 과정'!$C$88)&lt;='계산 과정'!$D$23/2,ABS(I811-'계산 과정'!$C$89)&lt;='계산 과정'!$D$24/2),1,0),"")</x:f>
        <x:v>1</x:v>
      </x:c>
      <x:c r="O811" s="4" t="n">
        <x:f>IF('계산 과정'!$L$7,'계산 과정'!$C$49*('계산 과정'!$C$32-D811)+'계산 과정'!$D$49*('계산 과정'!$D$32-E811)+'계산 과정'!$E$49*'계산 과정'!$E$32,"")</x:f>
        <x:v>-66.12338931045008</x:v>
      </x:c>
      <x:c r="P811" s="4" t="n">
        <x:f>IF(AND('계산 과정'!$L$7,O811&lt;&gt;0),('계산 과정'!$L$23-'계산 과정'!$C$49*D811-'계산 과정'!$D$49*E811)/O811,"")</x:f>
        <x:v>-5.049296688679935</x:v>
      </x:c>
      <x:c r="Q811" s="4" t="str">
        <x:f>IF(AND(ISNUMBER(P811),P811&gt;1E-9,P811&lt;1-1E-9),'계산 과정'!$C$47*(D811-'계산 과정'!$C$50+P811*('계산 과정'!$C$32-D811))+'계산 과정'!$D$47*(E811-'계산 과정'!$D$50+P811*('계산 과정'!$D$32-E811))+'계산 과정'!$E$47*(0-'계산 과정'!$E$50+P811*('계산 과정'!$E$32-0)),"")</x:f>
      </x:c>
      <x:c r="R811" s="4" t="str">
        <x:f>IF(AND(ISNUMBER(P811),P811&gt;1E-9,P811&lt;1-1E-9),'계산 과정'!$C$48*(D811-'계산 과정'!$C$50+P811*('계산 과정'!$C$32-D811))+'계산 과정'!$D$48*(E811-'계산 과정'!$D$50+P811*('계산 과정'!$D$32-E811))+'계산 과정'!$E$48*(0-'계산 과정'!$E$50+P811*('계산 과정'!$E$32-0)),"")</x:f>
      </x:c>
      <x:c r="S811" s="17" t="n">
        <x:f>IF('계산 과정'!$C$78,IF(AND(ISNUMBER(Q811),ISNUMBER(R811),ABS(Q811-'계산 과정'!$C$88)&lt;='계산 과정'!$D$23/2,ABS(R811-'계산 과정'!$C$89)&lt;='계산 과정'!$D$24/2),1,0),"")</x:f>
        <x:v>0</x:v>
      </x:c>
      <x:c r="T811" s="4"/>
      <x:c r="U811" s="4"/>
      <x:c r="V811" s="4"/>
      <x:c r="W811" s="4"/>
      <x:c r="X811" s="4"/>
      <x:c r="Y811" s="4"/>
      <x:c r="Z811" s="4"/>
    </x:row>
    <x:row r="812" ht="23" customHeight="1">
      <x:c r="A812" s="17" t="n">
        <x:f>ROW()-6</x:f>
        <x:v>806</x:v>
      </x:c>
      <x:c r="B812" s="4" t="n">
        <x:f>IF('계산 과정'!$L$5,'계산 과정'!$L$11*SQRT((A812+0.5)/'계산 과정'!$L$30),"")</x:f>
        <x:v>94.13008888135876</x:v>
      </x:c>
      <x:c r="C812" s="4" t="n">
        <x:f>A812*PI()*(3-SQRT(5))</x:f>
        <x:v>1934.370363161294</x:v>
      </x:c>
      <x:c r="D812" s="4" t="n">
        <x:f>IF('계산 과정'!$L$5,B812*COS(C812),"")</x:f>
        <x:v>62.073944076778126</x:v>
      </x:c>
      <x:c r="E812" s="4" t="n">
        <x:f>IF('계산 과정'!$L$5,B812*SIN(C812),"")</x:f>
        <x:v>-70.76227172417178</x:v>
      </x:c>
      <x:c r="F812" s="4" t="n">
        <x:f>IF('계산 과정'!$L$7,'계산 과정'!$L$22+'계산 과정'!$C$49*D812+'계산 과정'!$D$49*E812,"")</x:f>
        <x:v>606.1070932083156</x:v>
      </x:c>
      <x:c r="G812" s="4" t="n">
        <x:f>IF('계산 과정'!$L$7,IF(ABS(F812)&gt;=1E-12*MAX(1,SQRT((D812-'계산 과정'!$C$33)^2+(E812-'계산 과정'!$D$33)^2+'계산 과정'!$E$33^2)),('계산 과정'!$L$23-'계산 과정'!$C$49*D812-'계산 과정'!$D$49*E812)/F812,""),"")</x:f>
        <x:v>0.732367120869712</x:v>
      </x:c>
      <x:c r="H812" s="4" t="n">
        <x:f>IF(AND(ISNUMBER(G812),G812&gt;0),('계산 과정'!$D$56+'계산 과정'!$D$57*D812+'계산 과정'!$D$58*E812)/F812,"")</x:f>
        <x:v>76.03862856531273</x:v>
      </x:c>
      <x:c r="I812" s="4" t="n">
        <x:f>IF(AND(ISNUMBER(G812),G812&gt;0),('계산 과정'!$E$56+'계산 과정'!$E$57*D812+'계산 과정'!$E$58*E812)/F812,"")</x:f>
        <x:v>-122.58623293300371</x:v>
      </x:c>
      <x:c r="J812" s="4" t="n">
        <x:f>IF('계산 과정'!$L$5,'계산 과정'!$D$6+'계산 과정'!$C$35*D812+'계산 과정'!$D$35*E812,"")</x:f>
        <x:v>606.1070932083156</x:v>
      </x:c>
      <x:c r="K812" s="4" t="n">
        <x:f>IF(AND('계산 과정'!$L$6,J812&gt;0),'계산 과정'!$D$10*('계산 과정'!$C$38*(D812-'계산 과정'!$C$32)+'계산 과정'!$D$38*(E812-'계산 과정'!$D$32)-'계산 과정'!$E$38*'계산 과정'!$E$32)/J812,"")</x:f>
        <x:v>0.5793419319261927</x:v>
      </x:c>
      <x:c r="L812" s="4" t="n">
        <x:f>IF(AND('계산 과정'!$L$6,J812&gt;0),'계산 과정'!$D$10*('계산 과정'!$C$39*(D812-'계산 과정'!$C$32)+'계산 과정'!$D$39*(E812-'계산 과정'!$D$32)-'계산 과정'!$E$39*'계산 과정'!$E$32)/J812,"")</x:f>
        <x:v>-0.9339903461562188</x:v>
      </x:c>
      <x:c r="M812" s="17" t="n">
        <x:f>IF('계산 과정'!$L$6,IF(J812&lt;=0,0,IF(AND(ABS(K812)&lt;='계산 과정'!$D$11/2,ABS(L812)&lt;='계산 과정'!$D$12/2),1,0)),"")</x:f>
        <x:v>1</x:v>
      </x:c>
      <x:c r="N812" s="17" t="n">
        <x:f>IF('계산 과정'!$C$78,IF(AND(ISNUMBER(H812),ISNUMBER(I812),ABS(H812-'계산 과정'!$C$88)&lt;='계산 과정'!$D$23/2,ABS(I812-'계산 과정'!$C$89)&lt;='계산 과정'!$D$24/2),1,0),"")</x:f>
        <x:v>1</x:v>
      </x:c>
      <x:c r="O812" s="4" t="n">
        <x:f>IF('계산 과정'!$L$7,'계산 과정'!$C$49*('계산 과정'!$C$32-D812)+'계산 과정'!$D$49*('계산 과정'!$D$32-E812)+'계산 과정'!$E$49*'계산 과정'!$E$32,"")</x:f>
        <x:v>43.892906791684425</x:v>
      </x:c>
      <x:c r="P812" s="4" t="n">
        <x:f>IF(AND('계산 과정'!$L$7,O812&lt;&gt;0),('계산 과정'!$L$23-'계산 과정'!$C$49*D812-'계산 과정'!$D$49*E812)/O812,"")</x:f>
        <x:v>10.113089773215487</x:v>
      </x:c>
      <x:c r="Q812" s="4" t="str">
        <x:f>IF(AND(ISNUMBER(P812),P812&gt;1E-9,P812&lt;1-1E-9),'계산 과정'!$C$47*(D812-'계산 과정'!$C$50+P812*('계산 과정'!$C$32-D812))+'계산 과정'!$D$47*(E812-'계산 과정'!$D$50+P812*('계산 과정'!$D$32-E812))+'계산 과정'!$E$47*(0-'계산 과정'!$E$50+P812*('계산 과정'!$E$32-0)),"")</x:f>
      </x:c>
      <x:c r="R812" s="4" t="str">
        <x:f>IF(AND(ISNUMBER(P812),P812&gt;1E-9,P812&lt;1-1E-9),'계산 과정'!$C$48*(D812-'계산 과정'!$C$50+P812*('계산 과정'!$C$32-D812))+'계산 과정'!$D$48*(E812-'계산 과정'!$D$50+P812*('계산 과정'!$D$32-E812))+'계산 과정'!$E$48*(0-'계산 과정'!$E$50+P812*('계산 과정'!$E$32-0)),"")</x:f>
      </x:c>
      <x:c r="S812" s="17" t="n">
        <x:f>IF('계산 과정'!$C$78,IF(AND(ISNUMBER(Q812),ISNUMBER(R812),ABS(Q812-'계산 과정'!$C$88)&lt;='계산 과정'!$D$23/2,ABS(R812-'계산 과정'!$C$89)&lt;='계산 과정'!$D$24/2),1,0),"")</x:f>
        <x:v>0</x:v>
      </x:c>
      <x:c r="T812" s="4"/>
      <x:c r="U812" s="4"/>
      <x:c r="V812" s="4"/>
      <x:c r="W812" s="4"/>
      <x:c r="X812" s="4"/>
      <x:c r="Y812" s="4"/>
      <x:c r="Z812" s="4"/>
    </x:row>
    <x:row r="813" ht="23" customHeight="1">
      <x:c r="A813" s="17" t="n">
        <x:f>ROW()-6</x:f>
        <x:v>807</x:v>
      </x:c>
      <x:c r="B813" s="4" t="n">
        <x:f>IF('계산 과정'!$L$5,'계산 과정'!$L$11*SQRT((A813+0.5)/'계산 과정'!$L$30),"")</x:f>
        <x:v>94.18842795660994</x:v>
      </x:c>
      <x:c r="C813" s="4" t="n">
        <x:f>A813*PI()*(3-SQRT(5))</x:f>
        <x:v>1936.770326391023</x:v>
      </x:c>
      <x:c r="D813" s="4" t="n">
        <x:f>IF('계산 과정'!$L$5,B813*COS(C813),"")</x:f>
        <x:v>2.0290900394842217</x:v>
      </x:c>
      <x:c r="E813" s="4" t="n">
        <x:f>IF('계산 과정'!$L$5,B813*SIN(C813),"")</x:f>
        <x:v>94.16656919814572</x:v>
      </x:c>
      <x:c r="F813" s="4" t="n">
        <x:f>IF('계산 과정'!$L$7,'계산 과정'!$L$22+'계산 과정'!$C$49*D813+'계산 과정'!$D$49*E813,"")</x:f>
        <x:v>648.5652166734426</x:v>
      </x:c>
      <x:c r="G813" s="4" t="n">
        <x:f>IF('계산 과정'!$L$7,IF(ABS(F813)&gt;=1E-12*MAX(1,SQRT((D813-'계산 과정'!$C$33)^2+(E813-'계산 과정'!$D$33)^2+'계산 과정'!$E$33^2)),('계산 과정'!$L$23-'계산 과정'!$C$49*D813-'계산 과정'!$D$49*E813)/F813,""),"")</x:f>
        <x:v>0.6189582373620921</x:v>
      </x:c>
      <x:c r="H813" s="4" t="n">
        <x:f>IF(AND(ISNUMBER(G813),G813&gt;0),('계산 과정'!$D$56+'계산 과정'!$D$57*D813+'계산 과정'!$D$58*E813)/F813,"")</x:f>
        <x:v>2.32285428535973</x:v>
      </x:c>
      <x:c r="I813" s="4" t="n">
        <x:f>IF(AND(ISNUMBER(G813),G813&gt;0),('계산 과정'!$E$56+'계산 과정'!$E$57*D813+'계산 과정'!$E$58*E813)/F813,"")</x:f>
        <x:v>152.45174288746549</x:v>
      </x:c>
      <x:c r="J813" s="4" t="n">
        <x:f>IF('계산 과정'!$L$5,'계산 과정'!$D$6+'계산 과정'!$C$35*D813+'계산 과정'!$D$35*E813,"")</x:f>
        <x:v>648.5652166734426</x:v>
      </x:c>
      <x:c r="K813" s="4" t="n">
        <x:f>IF(AND('계산 과정'!$L$6,J813&gt;0),'계산 과정'!$D$10*('계산 과정'!$C$38*(D813-'계산 과정'!$C$32)+'계산 과정'!$D$38*(E813-'계산 과정'!$D$32)-'계산 과정'!$E$38*'계산 과정'!$E$32)/J813,"")</x:f>
        <x:v>0.01769793741226591</x:v>
      </x:c>
      <x:c r="L813" s="4" t="n">
        <x:f>IF(AND('계산 과정'!$L$6,J813&gt;0),'계산 과정'!$D$10*('계산 과정'!$C$39*(D813-'계산 과정'!$C$32)+'계산 과정'!$D$39*(E813-'계산 과정'!$D$32)-'계산 과정'!$E$39*'계산 과정'!$E$32)/J813,"")</x:f>
        <x:v>1.1615370886664036</x:v>
      </x:c>
      <x:c r="M813" s="17" t="n">
        <x:f>IF('계산 과정'!$L$6,IF(J813&lt;=0,0,IF(AND(ABS(K813)&lt;='계산 과정'!$D$11/2,ABS(L813)&lt;='계산 과정'!$D$12/2),1,0)),"")</x:f>
        <x:v>1</x:v>
      </x:c>
      <x:c r="N813" s="17" t="n">
        <x:f>IF('계산 과정'!$C$78,IF(AND(ISNUMBER(H813),ISNUMBER(I813),ABS(H813-'계산 과정'!$C$88)&lt;='계산 과정'!$D$23/2,ABS(I813-'계산 과정'!$C$89)&lt;='계산 과정'!$D$24/2),1,0),"")</x:f>
        <x:v>1</x:v>
      </x:c>
      <x:c r="O813" s="4" t="n">
        <x:f>IF('계산 과정'!$L$7,'계산 과정'!$C$49*('계산 과정'!$C$32-D813)+'계산 과정'!$D$49*('계산 과정'!$D$32-E813)+'계산 과정'!$E$49*'계산 과정'!$E$32,"")</x:f>
        <x:v>1.434783326557465</x:v>
      </x:c>
      <x:c r="P813" s="4" t="n">
        <x:f>IF(AND('계산 과정'!$L$7,O813&lt;&gt;0),('계산 과정'!$L$23-'계산 과정'!$C$49*D813-'계산 과정'!$D$49*E813)/O813,"")</x:f>
        <x:v>279.78773930258615</x:v>
      </x:c>
      <x:c r="Q813" s="4" t="str">
        <x:f>IF(AND(ISNUMBER(P813),P813&gt;1E-9,P813&lt;1-1E-9),'계산 과정'!$C$47*(D813-'계산 과정'!$C$50+P813*('계산 과정'!$C$32-D813))+'계산 과정'!$D$47*(E813-'계산 과정'!$D$50+P813*('계산 과정'!$D$32-E813))+'계산 과정'!$E$47*(0-'계산 과정'!$E$50+P813*('계산 과정'!$E$32-0)),"")</x:f>
      </x:c>
      <x:c r="R813" s="4" t="str">
        <x:f>IF(AND(ISNUMBER(P813),P813&gt;1E-9,P813&lt;1-1E-9),'계산 과정'!$C$48*(D813-'계산 과정'!$C$50+P813*('계산 과정'!$C$32-D813))+'계산 과정'!$D$48*(E813-'계산 과정'!$D$50+P813*('계산 과정'!$D$32-E813))+'계산 과정'!$E$48*(0-'계산 과정'!$E$50+P813*('계산 과정'!$E$32-0)),"")</x:f>
      </x:c>
      <x:c r="S813" s="17" t="n">
        <x:f>IF('계산 과정'!$C$78,IF(AND(ISNUMBER(Q813),ISNUMBER(R813),ABS(Q813-'계산 과정'!$C$88)&lt;='계산 과정'!$D$23/2,ABS(R813-'계산 과정'!$C$89)&lt;='계산 과정'!$D$24/2),1,0),"")</x:f>
        <x:v>0</x:v>
      </x:c>
      <x:c r="T813" s="4"/>
      <x:c r="U813" s="4"/>
      <x:c r="V813" s="4"/>
      <x:c r="W813" s="4"/>
      <x:c r="X813" s="4"/>
      <x:c r="Y813" s="4"/>
      <x:c r="Z813" s="4"/>
    </x:row>
    <x:row r="814" ht="23" customHeight="1">
      <x:c r="A814" s="17" t="n">
        <x:f>ROW()-6</x:f>
        <x:v>808</x:v>
      </x:c>
      <x:c r="B814" s="4" t="n">
        <x:f>IF('계산 과정'!$L$5,'계산 과정'!$L$11*SQRT((A814+0.5)/'계산 과정'!$L$30),"")</x:f>
        <x:v>94.24673091976453</x:v>
      </x:c>
      <x:c r="C814" s="4" t="n">
        <x:f>A814*PI()*(3-SQRT(5))</x:f>
        <x:v>1939.1702896207516</x:v>
      </x:c>
      <x:c r="D814" s="4" t="n">
        <x:f>IF('계산 과정'!$L$5,B814*COS(C814),"")</x:f>
        <x:v>-65.1450914745637</x:v>
      </x:c>
      <x:c r="E814" s="4" t="n">
        <x:f>IF('계산 과정'!$L$5,B814*SIN(C814),"")</x:f>
        <x:v>-68.10699924261256</x:v>
      </x:c>
      <x:c r="F814" s="4" t="n">
        <x:f>IF('계산 과정'!$L$7,'계산 과정'!$L$22+'계산 과정'!$C$49*D814+'계산 과정'!$D$49*E814,"")</x:f>
        <x:v>696.0645359426819</x:v>
      </x:c>
      <x:c r="G814" s="4" t="n">
        <x:f>IF('계산 과정'!$L$7,IF(ABS(F814)&gt;=1E-12*MAX(1,SQRT((D814-'계산 과정'!$C$33)^2+(E814-'계산 과정'!$D$33)^2+'계산 과정'!$E$33^2)),('계산 과정'!$L$23-'계산 과정'!$C$49*D814-'계산 과정'!$D$49*E814)/F814,""),"")</x:f>
        <x:v>0.5084808171960412</x:v>
      </x:c>
      <x:c r="H814" s="4" t="n">
        <x:f>IF(AND(ISNUMBER(G814),G814&gt;0),('계산 과정'!$D$56+'계산 과정'!$D$57*D814+'계산 과정'!$D$58*E814)/F814,"")</x:f>
        <x:v>-69.48746882257339</x:v>
      </x:c>
      <x:c r="I814" s="4" t="n">
        <x:f>IF(AND(ISNUMBER(G814),G814&gt;0),('계산 과정'!$E$56+'계산 과정'!$E$57*D814+'계산 과정'!$E$58*E814)/F814,"")</x:f>
        <x:v>-102.73810187426636</x:v>
      </x:c>
      <x:c r="J814" s="4" t="n">
        <x:f>IF('계산 과정'!$L$5,'계산 과정'!$D$6+'계산 과정'!$C$35*D814+'계산 과정'!$D$35*E814,"")</x:f>
        <x:v>696.0645359426819</x:v>
      </x:c>
      <x:c r="K814" s="4" t="n">
        <x:f>IF(AND('계산 과정'!$L$6,J814&gt;0),'계산 과정'!$D$10*('계산 과정'!$C$38*(D814-'계산 과정'!$C$32)+'계산 과정'!$D$38*(E814-'계산 과정'!$D$32)-'계산 과정'!$E$38*'계산 과정'!$E$32)/J814,"")</x:f>
        <x:v>-0.5294283338862729</x:v>
      </x:c>
      <x:c r="L814" s="4" t="n">
        <x:f>IF(AND('계산 과정'!$L$6,J814&gt;0),'계산 과정'!$D$10*('계산 과정'!$C$39*(D814-'계산 과정'!$C$32)+'계산 과정'!$D$39*(E814-'계산 과정'!$D$32)-'계산 과정'!$E$39*'계산 과정'!$E$32)/J814,"")</x:f>
        <x:v>-0.7827664904706008</x:v>
      </x:c>
      <x:c r="M814" s="17" t="n">
        <x:f>IF('계산 과정'!$L$6,IF(J814&lt;=0,0,IF(AND(ABS(K814)&lt;='계산 과정'!$D$11/2,ABS(L814)&lt;='계산 과정'!$D$12/2),1,0)),"")</x:f>
        <x:v>1</x:v>
      </x:c>
      <x:c r="N814" s="17" t="n">
        <x:f>IF('계산 과정'!$C$78,IF(AND(ISNUMBER(H814),ISNUMBER(I814),ABS(H814-'계산 과정'!$C$88)&lt;='계산 과정'!$D$23/2,ABS(I814-'계산 과정'!$C$89)&lt;='계산 과정'!$D$24/2),1,0),"")</x:f>
        <x:v>1</x:v>
      </x:c>
      <x:c r="O814" s="4" t="n">
        <x:f>IF('계산 과정'!$L$7,'계산 과정'!$C$49*('계산 과정'!$C$32-D814)+'계산 과정'!$D$49*('계산 과정'!$D$32-E814)+'계산 과정'!$E$49*'계산 과정'!$E$32,"")</x:f>
        <x:v>-46.06453594268186</x:v>
      </x:c>
      <x:c r="P814" s="4" t="n">
        <x:f>IF(AND('계산 과정'!$L$7,O814&lt;&gt;0),('계산 과정'!$L$23-'계산 과정'!$C$49*D814-'계산 과정'!$D$49*E814)/O814,"")</x:f>
        <x:v>-7.683469654350156</x:v>
      </x:c>
      <x:c r="Q814" s="4" t="str">
        <x:f>IF(AND(ISNUMBER(P814),P814&gt;1E-9,P814&lt;1-1E-9),'계산 과정'!$C$47*(D814-'계산 과정'!$C$50+P814*('계산 과정'!$C$32-D814))+'계산 과정'!$D$47*(E814-'계산 과정'!$D$50+P814*('계산 과정'!$D$32-E814))+'계산 과정'!$E$47*(0-'계산 과정'!$E$50+P814*('계산 과정'!$E$32-0)),"")</x:f>
      </x:c>
      <x:c r="R814" s="4" t="str">
        <x:f>IF(AND(ISNUMBER(P814),P814&gt;1E-9,P814&lt;1-1E-9),'계산 과정'!$C$48*(D814-'계산 과정'!$C$50+P814*('계산 과정'!$C$32-D814))+'계산 과정'!$D$48*(E814-'계산 과정'!$D$50+P814*('계산 과정'!$D$32-E814))+'계산 과정'!$E$48*(0-'계산 과정'!$E$50+P814*('계산 과정'!$E$32-0)),"")</x:f>
      </x:c>
      <x:c r="S814" s="17" t="n">
        <x:f>IF('계산 과정'!$C$78,IF(AND(ISNUMBER(Q814),ISNUMBER(R814),ABS(Q814-'계산 과정'!$C$88)&lt;='계산 과정'!$D$23/2,ABS(R814-'계산 과정'!$C$89)&lt;='계산 과정'!$D$24/2),1,0),"")</x:f>
        <x:v>0</x:v>
      </x:c>
      <x:c r="T814" s="4"/>
      <x:c r="U814" s="4"/>
      <x:c r="V814" s="4"/>
      <x:c r="W814" s="4"/>
      <x:c r="X814" s="4"/>
      <x:c r="Y814" s="4"/>
      <x:c r="Z814" s="4"/>
    </x:row>
    <x:row r="815" ht="23" customHeight="1">
      <x:c r="A815" s="17" t="n">
        <x:f>ROW()-6</x:f>
        <x:v>809</x:v>
      </x:c>
      <x:c r="B815" s="4" t="n">
        <x:f>IF('계산 과정'!$L$5,'계산 과정'!$L$11*SQRT((A815+0.5)/'계산 과정'!$L$30),"")</x:f>
        <x:v>94.3049978378002</x:v>
      </x:c>
      <x:c r="C815" s="4" t="n">
        <x:f>A815*PI()*(3-SQRT(5))</x:f>
        <x:v>1941.57025285048</x:v>
      </x:c>
      <x:c r="D815" s="4" t="n">
        <x:f>IF('계산 과정'!$L$5,B815*COS(C815),"")</x:f>
        <x:v>94.0997200584795</x:v>
      </x:c>
      <x:c r="E815" s="4" t="n">
        <x:f>IF('계산 과정'!$L$5,B815*SIN(C815),"")</x:f>
        <x:v>6.218947025284089</x:v>
      </x:c>
      <x:c r="F815" s="4" t="n">
        <x:f>IF('계산 과정'!$L$7,'계산 과정'!$L$22+'계산 과정'!$C$49*D815+'계산 과정'!$D$49*E815,"")</x:f>
        <x:v>583.4614498388934</x:v>
      </x:c>
      <x:c r="G815" s="4" t="n">
        <x:f>IF('계산 과정'!$L$7,IF(ABS(F815)&gt;=1E-12*MAX(1,SQRT((D815-'계산 과정'!$C$33)^2+(E815-'계산 과정'!$D$33)^2+'계산 과정'!$E$33^2)),('계산 과정'!$L$23-'계산 과정'!$C$49*D815-'계산 과정'!$D$49*E815)/F815,""),"")</x:f>
        <x:v>0.7996047558753508</x:v>
      </x:c>
      <x:c r="H815" s="4" t="n">
        <x:f>IF(AND(ISNUMBER(G815),G815&gt;0),('계산 과정'!$D$56+'계산 과정'!$D$57*D815+'계산 과정'!$D$58*E815)/F815,"")</x:f>
        <x:v>119.74309131897802</x:v>
      </x:c>
      <x:c r="I815" s="4" t="n">
        <x:f>IF(AND(ISNUMBER(G815),G815&gt;0),('계산 과정'!$E$56+'계산 과정'!$E$57*D815+'계산 과정'!$E$58*E815)/F815,"")</x:f>
        <x:v>11.191646643238112</x:v>
      </x:c>
      <x:c r="J815" s="4" t="n">
        <x:f>IF('계산 과정'!$L$5,'계산 과정'!$D$6+'계산 과정'!$C$35*D815+'계산 과정'!$D$35*E815,"")</x:f>
        <x:v>583.4614498388934</x:v>
      </x:c>
      <x:c r="K815" s="4" t="n">
        <x:f>IF(AND('계산 과정'!$L$6,J815&gt;0),'계산 과정'!$D$10*('계산 과정'!$C$38*(D815-'계산 과정'!$C$32)+'계산 과정'!$D$38*(E815-'계산 과정'!$D$32)-'계산 과정'!$E$38*'계산 과정'!$E$32)/J815,"")</x:f>
        <x:v>0.9123283148112623</x:v>
      </x:c>
      <x:c r="L815" s="4" t="n">
        <x:f>IF(AND('계산 과정'!$L$6,J815&gt;0),'계산 과정'!$D$10*('계산 과정'!$C$39*(D815-'계산 과정'!$C$32)+'계산 과정'!$D$39*(E815-'계산 과정'!$D$32)-'계산 과정'!$E$39*'계산 과정'!$E$32)/J815,"")</x:f>
        <x:v>0.08526968871038562</x:v>
      </x:c>
      <x:c r="M815" s="17" t="n">
        <x:f>IF('계산 과정'!$L$6,IF(J815&lt;=0,0,IF(AND(ABS(K815)&lt;='계산 과정'!$D$11/2,ABS(L815)&lt;='계산 과정'!$D$12/2),1,0)),"")</x:f>
        <x:v>1</x:v>
      </x:c>
      <x:c r="N815" s="17" t="n">
        <x:f>IF('계산 과정'!$C$78,IF(AND(ISNUMBER(H815),ISNUMBER(I815),ABS(H815-'계산 과정'!$C$88)&lt;='계산 과정'!$D$23/2,ABS(I815-'계산 과정'!$C$89)&lt;='계산 과정'!$D$24/2),1,0),"")</x:f>
        <x:v>1</x:v>
      </x:c>
      <x:c r="O815" s="4" t="n">
        <x:f>IF('계산 과정'!$L$7,'계산 과정'!$C$49*('계산 과정'!$C$32-D815)+'계산 과정'!$D$49*('계산 과정'!$D$32-E815)+'계산 과정'!$E$49*'계산 과정'!$E$32,"")</x:f>
        <x:v>66.5385501611068</x:v>
      </x:c>
      <x:c r="P815" s="4" t="n">
        <x:f>IF(AND('계산 과정'!$L$7,O815&lt;&gt;0),('계산 과정'!$L$23-'계산 과정'!$C$49*D815-'계산 과정'!$D$49*E815)/O815,"")</x:f>
        <x:v>7.011552686848418</x:v>
      </x:c>
      <x:c r="Q815" s="4" t="str">
        <x:f>IF(AND(ISNUMBER(P815),P815&gt;1E-9,P815&lt;1-1E-9),'계산 과정'!$C$47*(D815-'계산 과정'!$C$50+P815*('계산 과정'!$C$32-D815))+'계산 과정'!$D$47*(E815-'계산 과정'!$D$50+P815*('계산 과정'!$D$32-E815))+'계산 과정'!$E$47*(0-'계산 과정'!$E$50+P815*('계산 과정'!$E$32-0)),"")</x:f>
      </x:c>
      <x:c r="R815" s="4" t="str">
        <x:f>IF(AND(ISNUMBER(P815),P815&gt;1E-9,P815&lt;1-1E-9),'계산 과정'!$C$48*(D815-'계산 과정'!$C$50+P815*('계산 과정'!$C$32-D815))+'계산 과정'!$D$48*(E815-'계산 과정'!$D$50+P815*('계산 과정'!$D$32-E815))+'계산 과정'!$E$48*(0-'계산 과정'!$E$50+P815*('계산 과정'!$E$32-0)),"")</x:f>
      </x:c>
      <x:c r="S815" s="17" t="n">
        <x:f>IF('계산 과정'!$C$78,IF(AND(ISNUMBER(Q815),ISNUMBER(R815),ABS(Q815-'계산 과정'!$C$88)&lt;='계산 과정'!$D$23/2,ABS(R815-'계산 과정'!$C$89)&lt;='계산 과정'!$D$24/2),1,0),"")</x:f>
        <x:v>0</x:v>
      </x:c>
      <x:c r="T815" s="4"/>
      <x:c r="U815" s="4"/>
      <x:c r="V815" s="4"/>
      <x:c r="W815" s="4"/>
      <x:c r="X815" s="4"/>
      <x:c r="Y815" s="4"/>
      <x:c r="Z815" s="4"/>
    </x:row>
    <x:row r="816" ht="23" customHeight="1">
      <x:c r="A816" s="17" t="n">
        <x:f>ROW()-6</x:f>
        <x:v>810</x:v>
      </x:c>
      <x:c r="B816" s="4" t="n">
        <x:f>IF('계산 과정'!$L$5,'계산 과정'!$L$11*SQRT((A816+0.5)/'계산 과정'!$L$30),"")</x:f>
        <x:v>94.36322877748779</x:v>
      </x:c>
      <x:c r="C816" s="4" t="n">
        <x:f>A816*PI()*(3-SQRT(5))</x:f>
        <x:v>1943.9702160802087</x:v>
      </x:c>
      <x:c r="D816" s="4" t="n">
        <x:f>IF('계산 과정'!$L$5,B816*COS(C816),"")</x:f>
        <x:v>-73.63248149239493</x:v>
      </x:c>
      <x:c r="E816" s="4" t="n">
        <x:f>IF('계산 과정'!$L$5,B816*SIN(C816),"")</x:f>
        <x:v>59.01420688770304</x:v>
      </x:c>
      <x:c r="F816" s="4" t="n">
        <x:f>IF('계산 과정'!$L$7,'계산 과정'!$L$22+'계산 과정'!$C$49*D816+'계산 과정'!$D$49*E816,"")</x:f>
        <x:v>702.0660269788655</x:v>
      </x:c>
      <x:c r="G816" s="4" t="n">
        <x:f>IF('계산 과정'!$L$7,IF(ABS(F816)&gt;=1E-12*MAX(1,SQRT((D816-'계산 과정'!$C$33)^2+(E816-'계산 과정'!$D$33)^2+'계산 과정'!$E$33^2)),('계산 과정'!$L$23-'계산 과정'!$C$49*D816-'계산 과정'!$D$49*E816)/F816,""),"")</x:f>
        <x:v>0.49558582761562475</x:v>
      </x:c>
      <x:c r="H816" s="4" t="n">
        <x:f>IF(AND(ISNUMBER(G816),G816&gt;0),('계산 과정'!$D$56+'계산 과정'!$D$57*D816+'계산 과정'!$D$58*E816)/F816,"")</x:f>
        <x:v>-77.869212049844</x:v>
      </x:c>
      <x:c r="I816" s="4" t="n">
        <x:f>IF(AND(ISNUMBER(G816),G816&gt;0),('계산 과정'!$E$56+'계산 과정'!$E$57*D816+'계산 과정'!$E$58*E816)/F816,"")</x:f>
        <x:v>88.26081144922505</x:v>
      </x:c>
      <x:c r="J816" s="4" t="n">
        <x:f>IF('계산 과정'!$L$5,'계산 과정'!$D$6+'계산 과정'!$C$35*D816+'계산 과정'!$D$35*E816,"")</x:f>
        <x:v>702.0660269788655</x:v>
      </x:c>
      <x:c r="K816" s="4" t="n">
        <x:f>IF(AND('계산 과정'!$L$6,J816&gt;0),'계산 과정'!$D$10*('계산 과정'!$C$38*(D816-'계산 과정'!$C$32)+'계산 과정'!$D$38*(E816-'계산 과정'!$D$32)-'계산 과정'!$E$38*'계산 과정'!$E$32)/J816,"")</x:f>
        <x:v>-0.5932892346654771</x:v>
      </x:c>
      <x:c r="L816" s="4" t="n">
        <x:f>IF(AND('계산 과정'!$L$6,J816&gt;0),'계산 과정'!$D$10*('계산 과정'!$C$39*(D816-'계산 과정'!$C$32)+'계산 과정'!$D$39*(E816-'계산 과정'!$D$32)-'계산 과정'!$E$39*'계산 과정'!$E$32)/J816,"")</x:f>
        <x:v>0.6724633253274289</x:v>
      </x:c>
      <x:c r="M816" s="17" t="n">
        <x:f>IF('계산 과정'!$L$6,IF(J816&lt;=0,0,IF(AND(ABS(K816)&lt;='계산 과정'!$D$11/2,ABS(L816)&lt;='계산 과정'!$D$12/2),1,0)),"")</x:f>
        <x:v>1</x:v>
      </x:c>
      <x:c r="N816" s="17" t="n">
        <x:f>IF('계산 과정'!$C$78,IF(AND(ISNUMBER(H816),ISNUMBER(I816),ABS(H816-'계산 과정'!$C$88)&lt;='계산 과정'!$D$23/2,ABS(I816-'계산 과정'!$C$89)&lt;='계산 과정'!$D$24/2),1,0),"")</x:f>
        <x:v>1</x:v>
      </x:c>
      <x:c r="O816" s="4" t="n">
        <x:f>IF('계산 과정'!$L$7,'계산 과정'!$C$49*('계산 과정'!$C$32-D816)+'계산 과정'!$D$49*('계산 과정'!$D$32-E816)+'계산 과정'!$E$49*'계산 과정'!$E$32,"")</x:f>
        <x:v>-52.066026978865295</x:v>
      </x:c>
      <x:c r="P816" s="4" t="n">
        <x:f>IF(AND('계산 과정'!$L$7,O816&lt;&gt;0),('계산 과정'!$L$23-'계산 과정'!$C$49*D816-'계산 과정'!$D$49*E816)/O816,"")</x:f>
        <x:v>-6.682552774045317</x:v>
      </x:c>
      <x:c r="Q816" s="4" t="str">
        <x:f>IF(AND(ISNUMBER(P816),P816&gt;1E-9,P816&lt;1-1E-9),'계산 과정'!$C$47*(D816-'계산 과정'!$C$50+P816*('계산 과정'!$C$32-D816))+'계산 과정'!$D$47*(E816-'계산 과정'!$D$50+P816*('계산 과정'!$D$32-E816))+'계산 과정'!$E$47*(0-'계산 과정'!$E$50+P816*('계산 과정'!$E$32-0)),"")</x:f>
      </x:c>
      <x:c r="R816" s="4" t="str">
        <x:f>IF(AND(ISNUMBER(P816),P816&gt;1E-9,P816&lt;1-1E-9),'계산 과정'!$C$48*(D816-'계산 과정'!$C$50+P816*('계산 과정'!$C$32-D816))+'계산 과정'!$D$48*(E816-'계산 과정'!$D$50+P816*('계산 과정'!$D$32-E816))+'계산 과정'!$E$48*(0-'계산 과정'!$E$50+P816*('계산 과정'!$E$32-0)),"")</x:f>
      </x:c>
      <x:c r="S816" s="17" t="n">
        <x:f>IF('계산 과정'!$C$78,IF(AND(ISNUMBER(Q816),ISNUMBER(R816),ABS(Q816-'계산 과정'!$C$88)&lt;='계산 과정'!$D$23/2,ABS(R816-'계산 과정'!$C$89)&lt;='계산 과정'!$D$24/2),1,0),"")</x:f>
        <x:v>0</x:v>
      </x:c>
      <x:c r="T816" s="4"/>
      <x:c r="U816" s="4"/>
      <x:c r="V816" s="4"/>
      <x:c r="W816" s="4"/>
      <x:c r="X816" s="4"/>
      <x:c r="Y816" s="4"/>
      <x:c r="Z816" s="4"/>
    </x:row>
    <x:row r="817" ht="23" customHeight="1">
      <x:c r="A817" s="17" t="n">
        <x:f>ROW()-6</x:f>
        <x:v>811</x:v>
      </x:c>
      <x:c r="B817" s="4" t="n">
        <x:f>IF('계산 과정'!$L$5,'계산 과정'!$L$11*SQRT((A817+0.5)/'계산 과정'!$L$30),"")</x:f>
        <x:v>94.42142380539228</x:v>
      </x:c>
      <x:c r="C817" s="4" t="n">
        <x:f>A817*PI()*(3-SQRT(5))</x:f>
        <x:v>1946.3701793099376</x:v>
      </x:c>
      <x:c r="D817" s="4" t="n">
        <x:f>IF('계산 과정'!$L$5,B817*COS(C817),"")</x:f>
        <x:v>14.439675939039146</x:v>
      </x:c>
      <x:c r="E817" s="4" t="n">
        <x:f>IF('계산 과정'!$L$5,B817*SIN(C817),"")</x:f>
        <x:v>-93.31077661349215</x:v>
      </x:c>
      <x:c r="F817" s="4" t="n">
        <x:f>IF('계산 과정'!$L$7,'계산 과정'!$L$22+'계산 과정'!$C$49*D817+'계산 과정'!$D$49*E817,"")</x:f>
        <x:v>639.7896072253692</x:v>
      </x:c>
      <x:c r="G817" s="4" t="n">
        <x:f>IF('계산 과정'!$L$7,IF(ABS(F817)&gt;=1E-12*MAX(1,SQRT((D817-'계산 과정'!$C$33)^2+(E817-'계산 과정'!$D$33)^2+'계산 과정'!$E$33^2)),('계산 과정'!$L$23-'계산 과정'!$C$49*D817-'계산 과정'!$D$49*E817)/F817,""),"")</x:f>
        <x:v>0.6411645143059226</x:v>
      </x:c>
      <x:c r="H817" s="4" t="n">
        <x:f>IF(AND(ISNUMBER(G817),G817&gt;0),('계산 과정'!$D$56+'계산 과정'!$D$57*D817+'계산 과정'!$D$58*E817)/F817,"")</x:f>
        <x:v>16.75693429884956</x:v>
      </x:c>
      <x:c r="I817" s="4" t="n">
        <x:f>IF(AND(ISNUMBER(G817),G817&gt;0),('계산 과정'!$E$56+'계산 과정'!$E$57*D817+'계산 과정'!$E$58*E817)/F817,"")</x:f>
        <x:v>-153.1383353803903</x:v>
      </x:c>
      <x:c r="J817" s="4" t="n">
        <x:f>IF('계산 과정'!$L$5,'계산 과정'!$D$6+'계산 과정'!$C$35*D817+'계산 과정'!$D$35*E817,"")</x:f>
        <x:v>639.7896072253692</x:v>
      </x:c>
      <x:c r="K817" s="4" t="n">
        <x:f>IF(AND('계산 과정'!$L$6,J817&gt;0),'계산 과정'!$D$10*('계산 과정'!$C$38*(D817-'계산 과정'!$C$32)+'계산 과정'!$D$38*(E817-'계산 과정'!$D$32)-'계산 과정'!$E$38*'계산 과정'!$E$32)/J817,"")</x:f>
        <x:v>0.12767188037218793</x:v>
      </x:c>
      <x:c r="L817" s="4" t="n">
        <x:f>IF(AND('계산 과정'!$L$6,J817&gt;0),'계산 과정'!$D$10*('계산 과정'!$C$39*(D817-'계산 과정'!$C$32)+'계산 과정'!$D$39*(E817-'계산 과정'!$D$32)-'계산 과정'!$E$39*'계산 과정'!$E$32)/J817,"")</x:f>
        <x:v>-1.1667682695648784</x:v>
      </x:c>
      <x:c r="M817" s="17" t="n">
        <x:f>IF('계산 과정'!$L$6,IF(J817&lt;=0,0,IF(AND(ABS(K817)&lt;='계산 과정'!$D$11/2,ABS(L817)&lt;='계산 과정'!$D$12/2),1,0)),"")</x:f>
        <x:v>1</x:v>
      </x:c>
      <x:c r="N817" s="17" t="n">
        <x:f>IF('계산 과정'!$C$78,IF(AND(ISNUMBER(H817),ISNUMBER(I817),ABS(H817-'계산 과정'!$C$88)&lt;='계산 과정'!$D$23/2,ABS(I817-'계산 과정'!$C$89)&lt;='계산 과정'!$D$24/2),1,0),"")</x:f>
        <x:v>1</x:v>
      </x:c>
      <x:c r="O817" s="4" t="n">
        <x:f>IF('계산 과정'!$L$7,'계산 과정'!$C$49*('계산 과정'!$C$32-D817)+'계산 과정'!$D$49*('계산 과정'!$D$32-E817)+'계산 과정'!$E$49*'계산 과정'!$E$32,"")</x:f>
        <x:v>10.210392774630918</x:v>
      </x:c>
      <x:c r="P817" s="4" t="n">
        <x:f>IF(AND('계산 과정'!$L$7,O817&lt;&gt;0),('계산 과정'!$L$23-'계산 과정'!$C$49*D817-'계산 과정'!$D$49*E817)/O817,"")</x:f>
        <x:v>40.17577010297324</x:v>
      </x:c>
      <x:c r="Q817" s="4" t="str">
        <x:f>IF(AND(ISNUMBER(P817),P817&gt;1E-9,P817&lt;1-1E-9),'계산 과정'!$C$47*(D817-'계산 과정'!$C$50+P817*('계산 과정'!$C$32-D817))+'계산 과정'!$D$47*(E817-'계산 과정'!$D$50+P817*('계산 과정'!$D$32-E817))+'계산 과정'!$E$47*(0-'계산 과정'!$E$50+P817*('계산 과정'!$E$32-0)),"")</x:f>
      </x:c>
      <x:c r="R817" s="4" t="str">
        <x:f>IF(AND(ISNUMBER(P817),P817&gt;1E-9,P817&lt;1-1E-9),'계산 과정'!$C$48*(D817-'계산 과정'!$C$50+P817*('계산 과정'!$C$32-D817))+'계산 과정'!$D$48*(E817-'계산 과정'!$D$50+P817*('계산 과정'!$D$32-E817))+'계산 과정'!$E$48*(0-'계산 과정'!$E$50+P817*('계산 과정'!$E$32-0)),"")</x:f>
      </x:c>
      <x:c r="S817" s="17" t="n">
        <x:f>IF('계산 과정'!$C$78,IF(AND(ISNUMBER(Q817),ISNUMBER(R817),ABS(Q817-'계산 과정'!$C$88)&lt;='계산 과정'!$D$23/2,ABS(R817-'계산 과정'!$C$89)&lt;='계산 과정'!$D$24/2),1,0),"")</x:f>
        <x:v>0</x:v>
      </x:c>
      <x:c r="T817" s="4"/>
      <x:c r="U817" s="4"/>
      <x:c r="V817" s="4"/>
      <x:c r="W817" s="4"/>
      <x:c r="X817" s="4"/>
      <x:c r="Y817" s="4"/>
      <x:c r="Z817" s="4"/>
    </x:row>
    <x:row r="818" ht="23" customHeight="1">
      <x:c r="A818" s="17" t="n">
        <x:f>ROW()-6</x:f>
        <x:v>812</x:v>
      </x:c>
      <x:c r="B818" s="4" t="n">
        <x:f>IF('계산 과정'!$L$5,'계산 과정'!$L$11*SQRT((A818+0.5)/'계산 과정'!$L$30),"")</x:f>
        <x:v>94.47958298787363</x:v>
      </x:c>
      <x:c r="C818" s="4" t="n">
        <x:f>A818*PI()*(3-SQRT(5))</x:f>
        <x:v>1948.770142539666</x:v>
      </x:c>
      <x:c r="D818" s="4" t="n">
        <x:f>IF('계산 과정'!$L$5,B818*COS(C818),"")</x:f>
        <x:v>52.415421880613124</x:v>
      </x:c>
      <x:c r="E818" s="4" t="n">
        <x:f>IF('계산 과정'!$L$5,B818*SIN(C818),"")</x:f>
        <x:v>78.60671186762517</x:v>
      </x:c>
      <x:c r="F818" s="4" t="n">
        <x:f>IF('계산 과정'!$L$7,'계산 과정'!$L$22+'계산 과정'!$C$49*D818+'계산 과정'!$D$49*E818,"")</x:f>
        <x:v>612.9366997494648</x:v>
      </x:c>
      <x:c r="G818" s="4" t="n">
        <x:f>IF('계산 과정'!$L$7,IF(ABS(F818)&gt;=1E-12*MAX(1,SQRT((D818-'계산 과정'!$C$33)^2+(E818-'계산 과정'!$D$33)^2+'계산 과정'!$E$33^2)),('계산 과정'!$L$23-'계산 과정'!$C$49*D818-'계산 과정'!$D$49*E818)/F818,""),"")</x:f>
        <x:v>0.7130643350760087</x:v>
      </x:c>
      <x:c r="H818" s="4" t="n">
        <x:f>IF(AND(ISNUMBER(G818),G818&gt;0),('계산 과정'!$D$56+'계산 과정'!$D$57*D818+'계산 과정'!$D$58*E818)/F818,"")</x:f>
        <x:v>63.49181779940558</x:v>
      </x:c>
      <x:c r="I818" s="4" t="n">
        <x:f>IF(AND(ISNUMBER(G818),G818&gt;0),('계산 과정'!$E$56+'계산 과정'!$E$57*D818+'계산 과정'!$E$58*E818)/F818,"")</x:f>
        <x:v>134.65835459802472</x:v>
      </x:c>
      <x:c r="J818" s="4" t="n">
        <x:f>IF('계산 과정'!$L$5,'계산 과정'!$D$6+'계산 과정'!$C$35*D818+'계산 과정'!$D$35*E818,"")</x:f>
        <x:v>612.9366997494648</x:v>
      </x:c>
      <x:c r="K818" s="4" t="n">
        <x:f>IF(AND('계산 과정'!$L$6,J818&gt;0),'계산 과정'!$D$10*('계산 과정'!$C$38*(D818-'계산 과정'!$C$32)+'계산 과정'!$D$38*(E818-'계산 과정'!$D$32)-'계산 과정'!$E$38*'계산 과정'!$E$32)/J818,"")</x:f>
        <x:v>0.48374718323356725</x:v>
      </x:c>
      <x:c r="L818" s="4" t="n">
        <x:f>IF(AND('계산 과정'!$L$6,J818&gt;0),'계산 과정'!$D$10*('계산 과정'!$C$39*(D818-'계산 과정'!$C$32)+'계산 과정'!$D$39*(E818-'계산 과정'!$D$32)-'계산 과정'!$E$39*'계산 과정'!$E$32)/J818,"")</x:f>
        <x:v>1.02596841598495</x:v>
      </x:c>
      <x:c r="M818" s="17" t="n">
        <x:f>IF('계산 과정'!$L$6,IF(J818&lt;=0,0,IF(AND(ABS(K818)&lt;='계산 과정'!$D$11/2,ABS(L818)&lt;='계산 과정'!$D$12/2),1,0)),"")</x:f>
        <x:v>1</x:v>
      </x:c>
      <x:c r="N818" s="17" t="n">
        <x:f>IF('계산 과정'!$C$78,IF(AND(ISNUMBER(H818),ISNUMBER(I818),ABS(H818-'계산 과정'!$C$88)&lt;='계산 과정'!$D$23/2,ABS(I818-'계산 과정'!$C$89)&lt;='계산 과정'!$D$24/2),1,0),"")</x:f>
        <x:v>1</x:v>
      </x:c>
      <x:c r="O818" s="4" t="n">
        <x:f>IF('계산 과정'!$L$7,'계산 과정'!$C$49*('계산 과정'!$C$32-D818)+'계산 과정'!$D$49*('계산 과정'!$D$32-E818)+'계산 과정'!$E$49*'계산 과정'!$E$32,"")</x:f>
        <x:v>37.063300250535406</x:v>
      </x:c>
      <x:c r="P818" s="4" t="n">
        <x:f>IF(AND('계산 과정'!$L$7,O818&lt;&gt;0),('계산 과정'!$L$23-'계산 과정'!$C$49*D818-'계산 과정'!$D$49*E818)/O818,"")</x:f>
        <x:v>11.79234707368569</x:v>
      </x:c>
      <x:c r="Q818" s="4" t="str">
        <x:f>IF(AND(ISNUMBER(P818),P818&gt;1E-9,P818&lt;1-1E-9),'계산 과정'!$C$47*(D818-'계산 과정'!$C$50+P818*('계산 과정'!$C$32-D818))+'계산 과정'!$D$47*(E818-'계산 과정'!$D$50+P818*('계산 과정'!$D$32-E818))+'계산 과정'!$E$47*(0-'계산 과정'!$E$50+P818*('계산 과정'!$E$32-0)),"")</x:f>
      </x:c>
      <x:c r="R818" s="4" t="str">
        <x:f>IF(AND(ISNUMBER(P818),P818&gt;1E-9,P818&lt;1-1E-9),'계산 과정'!$C$48*(D818-'계산 과정'!$C$50+P818*('계산 과정'!$C$32-D818))+'계산 과정'!$D$48*(E818-'계산 과정'!$D$50+P818*('계산 과정'!$D$32-E818))+'계산 과정'!$E$48*(0-'계산 과정'!$E$50+P818*('계산 과정'!$E$32-0)),"")</x:f>
      </x:c>
      <x:c r="S818" s="17" t="n">
        <x:f>IF('계산 과정'!$C$78,IF(AND(ISNUMBER(Q818),ISNUMBER(R818),ABS(Q818-'계산 과정'!$C$88)&lt;='계산 과정'!$D$23/2,ABS(R818-'계산 과정'!$C$89)&lt;='계산 과정'!$D$24/2),1,0),"")</x:f>
        <x:v>0</x:v>
      </x:c>
      <x:c r="T818" s="4"/>
      <x:c r="U818" s="4"/>
      <x:c r="V818" s="4"/>
      <x:c r="W818" s="4"/>
      <x:c r="X818" s="4"/>
      <x:c r="Y818" s="4"/>
      <x:c r="Z818" s="4"/>
    </x:row>
    <x:row r="819" ht="23" customHeight="1">
      <x:c r="A819" s="17" t="n">
        <x:f>ROW()-6</x:f>
        <x:v>813</x:v>
      </x:c>
      <x:c r="B819" s="4" t="n">
        <x:f>IF('계산 과정'!$L$5,'계산 과정'!$L$11*SQRT((A819+0.5)/'계산 과정'!$L$30),"")</x:f>
        <x:v>94.53770639108768</x:v>
      </x:c>
      <x:c r="C819" s="4" t="n">
        <x:f>A819*PI()*(3-SQRT(5))</x:f>
        <x:v>1951.1701057693947</x:v>
      </x:c>
      <x:c r="D819" s="4" t="n">
        <x:f>IF('계산 과정'!$L$5,B819*COS(C819),"")</x:f>
        <x:v>-91.80401443902142</x:v>
      </x:c>
      <x:c r="E819" s="4" t="n">
        <x:f>IF('계산 과정'!$L$5,B819*SIN(C819),"")</x:f>
        <x:v>-22.569910557364814</x:v>
      </x:c>
      <x:c r="F819" s="4" t="n">
        <x:f>IF('계산 과정'!$L$7,'계산 과정'!$L$22+'계산 과정'!$C$49*D819+'계산 과정'!$D$49*E819,"")</x:f>
        <x:v>714.9152411499798</x:v>
      </x:c>
      <x:c r="G819" s="4" t="n">
        <x:f>IF('계산 과정'!$L$7,IF(ABS(F819)&gt;=1E-12*MAX(1,SQRT((D819-'계산 과정'!$C$33)^2+(E819-'계산 과정'!$D$33)^2+'계산 과정'!$E$33^2)),('계산 과정'!$L$23-'계산 과정'!$C$49*D819-'계산 과정'!$D$49*E819)/F819,""),"")</x:f>
        <x:v>0.46870557453918354</x:v>
      </x:c>
      <x:c r="H819" s="4" t="n">
        <x:f>IF(AND(ISNUMBER(G819),G819&gt;0),('계산 과정'!$D$56+'계산 과정'!$D$57*D819+'계산 과정'!$D$58*E819)/F819,"")</x:f>
        <x:v>-95.3413765495308</x:v>
      </x:c>
      <x:c r="I819" s="4" t="n">
        <x:f>IF(AND(ISNUMBER(G819),G819&gt;0),('계산 과정'!$E$56+'계산 과정'!$E$57*D819+'계산 과정'!$E$58*E819)/F819,"")</x:f>
        <x:v>-33.148553452452475</x:v>
      </x:c>
      <x:c r="J819" s="4" t="n">
        <x:f>IF('계산 과정'!$L$5,'계산 과정'!$D$6+'계산 과정'!$C$35*D819+'계산 과정'!$D$35*E819,"")</x:f>
        <x:v>714.9152411499798</x:v>
      </x:c>
      <x:c r="K819" s="4" t="n">
        <x:f>IF(AND('계산 과정'!$L$6,J819&gt;0),'계산 과정'!$D$10*('계산 과정'!$C$38*(D819-'계산 과정'!$C$32)+'계산 과정'!$D$38*(E819-'계산 과정'!$D$32)-'계산 과정'!$E$38*'계산 과정'!$E$32)/J819,"")</x:f>
        <x:v>-0.7264104879964247</x:v>
      </x:c>
      <x:c r="L819" s="4" t="n">
        <x:f>IF(AND('계산 과정'!$L$6,J819&gt;0),'계산 과정'!$D$10*('계산 과정'!$C$39*(D819-'계산 과정'!$C$32)+'계산 과정'!$D$39*(E819-'계산 과정'!$D$32)-'계산 과정'!$E$39*'계산 과정'!$E$32)/J819,"")</x:f>
        <x:v>-0.25256040725678075</x:v>
      </x:c>
      <x:c r="M819" s="17" t="n">
        <x:f>IF('계산 과정'!$L$6,IF(J819&lt;=0,0,IF(AND(ABS(K819)&lt;='계산 과정'!$D$11/2,ABS(L819)&lt;='계산 과정'!$D$12/2),1,0)),"")</x:f>
        <x:v>1</x:v>
      </x:c>
      <x:c r="N819" s="17" t="n">
        <x:f>IF('계산 과정'!$C$78,IF(AND(ISNUMBER(H819),ISNUMBER(I819),ABS(H819-'계산 과정'!$C$88)&lt;='계산 과정'!$D$23/2,ABS(I819-'계산 과정'!$C$89)&lt;='계산 과정'!$D$24/2),1,0),"")</x:f>
        <x:v>1</x:v>
      </x:c>
      <x:c r="O819" s="4" t="n">
        <x:f>IF('계산 과정'!$L$7,'계산 과정'!$C$49*('계산 과정'!$C$32-D819)+'계산 과정'!$D$49*('계산 과정'!$D$32-E819)+'계산 과정'!$E$49*'계산 과정'!$E$32,"")</x:f>
        <x:v>-64.91524114997969</x:v>
      </x:c>
      <x:c r="P819" s="4" t="n">
        <x:f>IF(AND('계산 과정'!$L$7,O819&lt;&gt;0),('계산 과정'!$L$23-'계산 과정'!$C$49*D819-'계산 과정'!$D$49*E819)/O819,"")</x:f>
        <x:v>-5.161881137833917</x:v>
      </x:c>
      <x:c r="Q819" s="4" t="str">
        <x:f>IF(AND(ISNUMBER(P819),P819&gt;1E-9,P819&lt;1-1E-9),'계산 과정'!$C$47*(D819-'계산 과정'!$C$50+P819*('계산 과정'!$C$32-D819))+'계산 과정'!$D$47*(E819-'계산 과정'!$D$50+P819*('계산 과정'!$D$32-E819))+'계산 과정'!$E$47*(0-'계산 과정'!$E$50+P819*('계산 과정'!$E$32-0)),"")</x:f>
      </x:c>
      <x:c r="R819" s="4" t="str">
        <x:f>IF(AND(ISNUMBER(P819),P819&gt;1E-9,P819&lt;1-1E-9),'계산 과정'!$C$48*(D819-'계산 과정'!$C$50+P819*('계산 과정'!$C$32-D819))+'계산 과정'!$D$48*(E819-'계산 과정'!$D$50+P819*('계산 과정'!$D$32-E819))+'계산 과정'!$E$48*(0-'계산 과정'!$E$50+P819*('계산 과정'!$E$32-0)),"")</x:f>
      </x:c>
      <x:c r="S819" s="17" t="n">
        <x:f>IF('계산 과정'!$C$78,IF(AND(ISNUMBER(Q819),ISNUMBER(R819),ABS(Q819-'계산 과정'!$C$88)&lt;='계산 과정'!$D$23/2,ABS(R819-'계산 과정'!$C$89)&lt;='계산 과정'!$D$24/2),1,0),"")</x:f>
        <x:v>0</x:v>
      </x:c>
      <x:c r="T819" s="4"/>
      <x:c r="U819" s="4"/>
      <x:c r="V819" s="4"/>
      <x:c r="W819" s="4"/>
      <x:c r="X819" s="4"/>
      <x:c r="Y819" s="4"/>
      <x:c r="Z819" s="4"/>
    </x:row>
    <x:row r="820" ht="23" customHeight="1">
      <x:c r="A820" s="17" t="n">
        <x:f>ROW()-6</x:f>
        <x:v>814</x:v>
      </x:c>
      <x:c r="B820" s="4" t="n">
        <x:f>IF('계산 과정'!$L$5,'계산 과정'!$L$11*SQRT((A820+0.5)/'계산 과정'!$L$30),"")</x:f>
        <x:v>94.59579408098702</x:v>
      </x:c>
      <x:c r="C820" s="4" t="n">
        <x:f>A820*PI()*(3-SQRT(5))</x:f>
        <x:v>1953.5700689991236</x:v>
      </x:c>
      <x:c r="D820" s="4" t="n">
        <x:f>IF('계산 과정'!$L$5,B820*COS(C820),"")</x:f>
        <x:v>82.99013975153143</x:v>
      </x:c>
      <x:c r="E820" s="4" t="n">
        <x:f>IF('계산 과정'!$L$5,B820*SIN(C820),"")</x:f>
        <x:v>-45.39824844455766</x:v>
      </x:c>
      <x:c r="F820" s="4" t="n">
        <x:f>IF('계산 과정'!$L$7,'계산 과정'!$L$22+'계산 과정'!$C$49*D820+'계산 과정'!$D$49*E820,"")</x:f>
        <x:v>591.3171094100728</x:v>
      </x:c>
      <x:c r="G820" s="4" t="n">
        <x:f>IF('계산 과정'!$L$7,IF(ABS(F820)&gt;=1E-12*MAX(1,SQRT((D820-'계산 과정'!$C$33)^2+(E820-'계산 과정'!$D$33)^2+'계산 과정'!$E$33^2)),('계산 과정'!$L$23-'계산 과정'!$C$49*D820-'계산 과정'!$D$49*E820)/F820,""),"")</x:f>
        <x:v>0.7756969708648069</x:v>
      </x:c>
      <x:c r="H820" s="4" t="n">
        <x:f>IF(AND(ISNUMBER(G820),G820&gt;0),('계산 과정'!$D$56+'계산 과정'!$D$57*D820+'계산 과정'!$D$58*E820)/F820,"")</x:f>
        <x:v>104.20303106212441</x:v>
      </x:c>
      <x:c r="I820" s="4" t="n">
        <x:f>IF(AND(ISNUMBER(G820),G820&gt;0),('계산 과정'!$E$56+'계산 과정'!$E$57*D820+'계산 과정'!$E$58*E820)/F820,"")</x:f>
        <x:v>-80.61353224556898</x:v>
      </x:c>
      <x:c r="J820" s="4" t="n">
        <x:f>IF('계산 과정'!$L$5,'계산 과정'!$D$6+'계산 과정'!$C$35*D820+'계산 과정'!$D$35*E820,"")</x:f>
        <x:v>591.3171094100728</x:v>
      </x:c>
      <x:c r="K820" s="4" t="n">
        <x:f>IF(AND('계산 과정'!$L$6,J820&gt;0),'계산 과정'!$D$10*('계산 과정'!$C$38*(D820-'계산 과정'!$C$32)+'계산 과정'!$D$38*(E820-'계산 과정'!$D$32)-'계산 과정'!$E$38*'계산 과정'!$E$32)/J820,"")</x:f>
        <x:v>0.7939278557114247</x:v>
      </x:c>
      <x:c r="L820" s="4" t="n">
        <x:f>IF(AND('계산 과정'!$L$6,J820&gt;0),'계산 과정'!$D$10*('계산 과정'!$C$39*(D820-'계산 과정'!$C$32)+'계산 과정'!$D$39*(E820-'계산 과정'!$D$32)-'계산 과정'!$E$39*'계산 과정'!$E$32)/J820,"")</x:f>
        <x:v>-0.6141983409186208</x:v>
      </x:c>
      <x:c r="M820" s="17" t="n">
        <x:f>IF('계산 과정'!$L$6,IF(J820&lt;=0,0,IF(AND(ABS(K820)&lt;='계산 과정'!$D$11/2,ABS(L820)&lt;='계산 과정'!$D$12/2),1,0)),"")</x:f>
        <x:v>1</x:v>
      </x:c>
      <x:c r="N820" s="17" t="n">
        <x:f>IF('계산 과정'!$C$78,IF(AND(ISNUMBER(H820),ISNUMBER(I820),ABS(H820-'계산 과정'!$C$88)&lt;='계산 과정'!$D$23/2,ABS(I820-'계산 과정'!$C$89)&lt;='계산 과정'!$D$24/2),1,0),"")</x:f>
        <x:v>1</x:v>
      </x:c>
      <x:c r="O820" s="4" t="n">
        <x:f>IF('계산 과정'!$L$7,'계산 과정'!$C$49*('계산 과정'!$C$32-D820)+'계산 과정'!$D$49*('계산 과정'!$D$32-E820)+'계산 과정'!$E$49*'계산 과정'!$E$32,"")</x:f>
        <x:v>58.68289058992724</x:v>
      </x:c>
      <x:c r="P820" s="4" t="n">
        <x:f>IF(AND('계산 과정'!$L$7,O820&lt;&gt;0),('계산 과정'!$L$23-'계산 과정'!$C$49*D820-'계산 과정'!$D$49*E820)/O820,"")</x:f>
        <x:v>7.816296811197961</x:v>
      </x:c>
      <x:c r="Q820" s="4" t="str">
        <x:f>IF(AND(ISNUMBER(P820),P820&gt;1E-9,P820&lt;1-1E-9),'계산 과정'!$C$47*(D820-'계산 과정'!$C$50+P820*('계산 과정'!$C$32-D820))+'계산 과정'!$D$47*(E820-'계산 과정'!$D$50+P820*('계산 과정'!$D$32-E820))+'계산 과정'!$E$47*(0-'계산 과정'!$E$50+P820*('계산 과정'!$E$32-0)),"")</x:f>
      </x:c>
      <x:c r="R820" s="4" t="str">
        <x:f>IF(AND(ISNUMBER(P820),P820&gt;1E-9,P820&lt;1-1E-9),'계산 과정'!$C$48*(D820-'계산 과정'!$C$50+P820*('계산 과정'!$C$32-D820))+'계산 과정'!$D$48*(E820-'계산 과정'!$D$50+P820*('계산 과정'!$D$32-E820))+'계산 과정'!$E$48*(0-'계산 과정'!$E$50+P820*('계산 과정'!$E$32-0)),"")</x:f>
      </x:c>
      <x:c r="S820" s="17" t="n">
        <x:f>IF('계산 과정'!$C$78,IF(AND(ISNUMBER(Q820),ISNUMBER(R820),ABS(Q820-'계산 과정'!$C$88)&lt;='계산 과정'!$D$23/2,ABS(R820-'계산 과정'!$C$89)&lt;='계산 과정'!$D$24/2),1,0),"")</x:f>
        <x:v>0</x:v>
      </x:c>
      <x:c r="T820" s="4"/>
      <x:c r="U820" s="4"/>
      <x:c r="V820" s="4"/>
      <x:c r="W820" s="4"/>
      <x:c r="X820" s="4"/>
      <x:c r="Y820" s="4"/>
      <x:c r="Z820" s="4"/>
    </x:row>
    <x:row r="821" ht="23" customHeight="1">
      <x:c r="A821" s="17" t="n">
        <x:f>ROW()-6</x:f>
        <x:v>815</x:v>
      </x:c>
      <x:c r="B821" s="4" t="n">
        <x:f>IF('계산 과정'!$L$5,'계산 과정'!$L$11*SQRT((A821+0.5)/'계산 과정'!$L$30),"")</x:f>
        <x:v>94.6538461233219</x:v>
      </x:c>
      <x:c r="C821" s="4" t="n">
        <x:f>A821*PI()*(3-SQRT(5))</x:f>
        <x:v>1955.9700322288522</x:v>
      </x:c>
      <x:c r="D821" s="4" t="n">
        <x:f>IF('계산 과정'!$L$5,B821*COS(C821),"")</x:f>
        <x:v>-30.54700478802028</x:v>
      </x:c>
      <x:c r="E821" s="4" t="n">
        <x:f>IF('계산 과정'!$L$5,B821*SIN(C821),"")</x:f>
        <x:v>89.58923531551191</x:v>
      </x:c>
      <x:c r="F821" s="4" t="n">
        <x:f>IF('계산 과정'!$L$7,'계산 과정'!$L$22+'계산 과정'!$C$49*D821+'계산 과정'!$D$49*E821,"")</x:f>
        <x:v>671.599994230547</x:v>
      </x:c>
      <x:c r="G821" s="4" t="n">
        <x:f>IF('계산 과정'!$L$7,IF(ABS(F821)&gt;=1E-12*MAX(1,SQRT((D821-'계산 과정'!$C$33)^2+(E821-'계산 과정'!$D$33)^2+'계산 과정'!$E$33^2)),('계산 과정'!$L$23-'계산 과정'!$C$49*D821-'계산 과정'!$D$49*E821)/F821,""),"")</x:f>
        <x:v>0.5634306268912141</x:v>
      </x:c>
      <x:c r="H821" s="4" t="n">
        <x:f>IF(AND(ISNUMBER(G821),G821&gt;0),('계산 과정'!$D$56+'계산 과정'!$D$57*D821+'계산 과정'!$D$58*E821)/F821,"")</x:f>
        <x:v>-33.770092520710946</x:v>
      </x:c>
      <x:c r="I821" s="4" t="n">
        <x:f>IF(AND(ISNUMBER(G821),G821&gt;0),('계산 과정'!$E$56+'계산 과정'!$E$57*D821+'계산 과정'!$E$58*E821)/F821,"")</x:f>
        <x:v>140.06655433203528</x:v>
      </x:c>
      <x:c r="J821" s="4" t="n">
        <x:f>IF('계산 과정'!$L$5,'계산 과정'!$D$6+'계산 과정'!$C$35*D821+'계산 과정'!$D$35*E821,"")</x:f>
        <x:v>671.599994230547</x:v>
      </x:c>
      <x:c r="K821" s="4" t="n">
        <x:f>IF(AND('계산 과정'!$L$6,J821&gt;0),'계산 과정'!$D$10*('계산 과정'!$C$38*(D821-'계산 과정'!$C$32)+'계산 과정'!$D$38*(E821-'계산 과정'!$D$32)-'계산 과정'!$E$38*'계산 과정'!$E$32)/J821,"")</x:f>
        <x:v>-0.25729594301493935</x:v>
      </x:c>
      <x:c r="L821" s="4" t="n">
        <x:f>IF(AND('계산 과정'!$L$6,J821&gt;0),'계산 과정'!$D$10*('계산 과정'!$C$39*(D821-'계산 과정'!$C$32)+'계산 과정'!$D$39*(E821-'계산 과정'!$D$32)-'계산 과정'!$E$39*'계산 과정'!$E$32)/J821,"")</x:f>
        <x:v>1.0671737472916976</x:v>
      </x:c>
      <x:c r="M821" s="17" t="n">
        <x:f>IF('계산 과정'!$L$6,IF(J821&lt;=0,0,IF(AND(ABS(K821)&lt;='계산 과정'!$D$11/2,ABS(L821)&lt;='계산 과정'!$D$12/2),1,0)),"")</x:f>
        <x:v>1</x:v>
      </x:c>
      <x:c r="N821" s="17" t="n">
        <x:f>IF('계산 과정'!$C$78,IF(AND(ISNUMBER(H821),ISNUMBER(I821),ABS(H821-'계산 과정'!$C$88)&lt;='계산 과정'!$D$23/2,ABS(I821-'계산 과정'!$C$89)&lt;='계산 과정'!$D$24/2),1,0),"")</x:f>
        <x:v>1</x:v>
      </x:c>
      <x:c r="O821" s="4" t="n">
        <x:f>IF('계산 과정'!$L$7,'계산 과정'!$C$49*('계산 과정'!$C$32-D821)+'계산 과정'!$D$49*('계산 과정'!$D$32-E821)+'계산 과정'!$E$49*'계산 과정'!$E$32,"")</x:f>
        <x:v>-21.59999423054694</x:v>
      </x:c>
      <x:c r="P821" s="4" t="n">
        <x:f>IF(AND('계산 과정'!$L$7,O821&lt;&gt;0),('계산 과정'!$L$23-'계산 과정'!$C$49*D821-'계산 과정'!$D$49*E821)/O821,"")</x:f>
        <x:v>-17.518523464895914</x:v>
      </x:c>
      <x:c r="Q821" s="4" t="str">
        <x:f>IF(AND(ISNUMBER(P821),P821&gt;1E-9,P821&lt;1-1E-9),'계산 과정'!$C$47*(D821-'계산 과정'!$C$50+P821*('계산 과정'!$C$32-D821))+'계산 과정'!$D$47*(E821-'계산 과정'!$D$50+P821*('계산 과정'!$D$32-E821))+'계산 과정'!$E$47*(0-'계산 과정'!$E$50+P821*('계산 과정'!$E$32-0)),"")</x:f>
      </x:c>
      <x:c r="R821" s="4" t="str">
        <x:f>IF(AND(ISNUMBER(P821),P821&gt;1E-9,P821&lt;1-1E-9),'계산 과정'!$C$48*(D821-'계산 과정'!$C$50+P821*('계산 과정'!$C$32-D821))+'계산 과정'!$D$48*(E821-'계산 과정'!$D$50+P821*('계산 과정'!$D$32-E821))+'계산 과정'!$E$48*(0-'계산 과정'!$E$50+P821*('계산 과정'!$E$32-0)),"")</x:f>
      </x:c>
      <x:c r="S821" s="17" t="n">
        <x:f>IF('계산 과정'!$C$78,IF(AND(ISNUMBER(Q821),ISNUMBER(R821),ABS(Q821-'계산 과정'!$C$88)&lt;='계산 과정'!$D$23/2,ABS(R821-'계산 과정'!$C$89)&lt;='계산 과정'!$D$24/2),1,0),"")</x:f>
        <x:v>0</x:v>
      </x:c>
      <x:c r="T821" s="4"/>
      <x:c r="U821" s="4"/>
      <x:c r="V821" s="4"/>
      <x:c r="W821" s="4"/>
      <x:c r="X821" s="4"/>
      <x:c r="Y821" s="4"/>
      <x:c r="Z821" s="4"/>
    </x:row>
    <x:row r="822" ht="23" customHeight="1">
      <x:c r="A822" s="17" t="n">
        <x:f>ROW()-6</x:f>
        <x:v>816</x:v>
      </x:c>
      <x:c r="B822" s="4" t="n">
        <x:f>IF('계산 과정'!$L$5,'계산 과정'!$L$11*SQRT((A822+0.5)/'계산 과정'!$L$30),"")</x:f>
        <x:v>94.71186258364102</x:v>
      </x:c>
      <x:c r="C822" s="4" t="n">
        <x:f>A822*PI()*(3-SQRT(5))</x:f>
        <x:v>1958.3699954585807</x:v>
      </x:c>
      <x:c r="D822" s="4" t="n">
        <x:f>IF('계산 과정'!$L$5,B822*COS(C822),"")</x:f>
        <x:v>-38.01553497725063</x:v>
      </x:c>
      <x:c r="E822" s="4" t="n">
        <x:f>IF('계산 과정'!$L$5,B822*SIN(C822),"")</x:f>
        <x:v>-86.74765711220064</x:v>
      </x:c>
      <x:c r="F822" s="4" t="n">
        <x:f>IF('계산 과정'!$L$7,'계산 과정'!$L$22+'계산 과정'!$C$49*D822+'계산 과정'!$D$49*E822,"")</x:f>
        <x:v>676.8810425728483</x:v>
      </x:c>
      <x:c r="G822" s="4" t="n">
        <x:f>IF('계산 과정'!$L$7,IF(ABS(F822)&gt;=1E-12*MAX(1,SQRT((D822-'계산 과정'!$C$33)^2+(E822-'계산 과정'!$D$33)^2+'계산 과정'!$E$33^2)),('계산 과정'!$L$23-'계산 과정'!$C$49*D822-'계산 과정'!$D$49*E822)/F822,""),"")</x:f>
        <x:v>0.5512326892904456</x:v>
      </x:c>
      <x:c r="H822" s="4" t="n">
        <x:f>IF(AND(ISNUMBER(G822),G822&gt;0),('계산 과정'!$D$56+'계산 과정'!$D$57*D822+'계산 과정'!$D$58*E822)/F822,"")</x:f>
        <x:v>-41.698751961210554</x:v>
      </x:c>
      <x:c r="I822" s="4" t="n">
        <x:f>IF(AND(ISNUMBER(G822),G822&gt;0),('계산 과정'!$E$56+'계산 과정'!$E$57*D822+'계산 과정'!$E$58*E822)/F822,"")</x:f>
        <x:v>-134.56580143180446</x:v>
      </x:c>
      <x:c r="J822" s="4" t="n">
        <x:f>IF('계산 과정'!$L$5,'계산 과정'!$D$6+'계산 과정'!$C$35*D822+'계산 과정'!$D$35*E822,"")</x:f>
        <x:v>676.8810425728483</x:v>
      </x:c>
      <x:c r="K822" s="4" t="n">
        <x:f>IF(AND('계산 과정'!$L$6,J822&gt;0),'계산 과정'!$D$10*('계산 과정'!$C$38*(D822-'계산 과정'!$C$32)+'계산 과정'!$D$38*(E822-'계산 과정'!$D$32)-'계산 과정'!$E$38*'계산 과정'!$E$32)/J822,"")</x:f>
        <x:v>-0.31770477684731735</x:v>
      </x:c>
      <x:c r="L822" s="4" t="n">
        <x:f>IF(AND('계산 과정'!$L$6,J822&gt;0),'계산 과정'!$D$10*('계산 과정'!$C$39*(D822-'계산 과정'!$C$32)+'계산 과정'!$D$39*(E822-'계산 과정'!$D$32)-'계산 과정'!$E$39*'계산 과정'!$E$32)/J822,"")</x:f>
        <x:v>-1.0252632490042244</x:v>
      </x:c>
      <x:c r="M822" s="17" t="n">
        <x:f>IF('계산 과정'!$L$6,IF(J822&lt;=0,0,IF(AND(ABS(K822)&lt;='계산 과정'!$D$11/2,ABS(L822)&lt;='계산 과정'!$D$12/2),1,0)),"")</x:f>
        <x:v>1</x:v>
      </x:c>
      <x:c r="N822" s="17" t="n">
        <x:f>IF('계산 과정'!$C$78,IF(AND(ISNUMBER(H822),ISNUMBER(I822),ABS(H822-'계산 과정'!$C$88)&lt;='계산 과정'!$D$23/2,ABS(I822-'계산 과정'!$C$89)&lt;='계산 과정'!$D$24/2),1,0),"")</x:f>
        <x:v>1</x:v>
      </x:c>
      <x:c r="O822" s="4" t="n">
        <x:f>IF('계산 과정'!$L$7,'계산 과정'!$C$49*('계산 과정'!$C$32-D822)+'계산 과정'!$D$49*('계산 과정'!$D$32-E822)+'계산 과정'!$E$49*'계산 과정'!$E$32,"")</x:f>
        <x:v>-26.881042572848173</x:v>
      </x:c>
      <x:c r="P822" s="4" t="n">
        <x:f>IF(AND('계산 과정'!$L$7,O822&lt;&gt;0),('계산 과정'!$L$23-'계산 과정'!$C$49*D822-'계산 과정'!$D$49*E822)/O822,"")</x:f>
        <x:v>-13.880375227857764</x:v>
      </x:c>
      <x:c r="Q822" s="4" t="str">
        <x:f>IF(AND(ISNUMBER(P822),P822&gt;1E-9,P822&lt;1-1E-9),'계산 과정'!$C$47*(D822-'계산 과정'!$C$50+P822*('계산 과정'!$C$32-D822))+'계산 과정'!$D$47*(E822-'계산 과정'!$D$50+P822*('계산 과정'!$D$32-E822))+'계산 과정'!$E$47*(0-'계산 과정'!$E$50+P822*('계산 과정'!$E$32-0)),"")</x:f>
      </x:c>
      <x:c r="R822" s="4" t="str">
        <x:f>IF(AND(ISNUMBER(P822),P822&gt;1E-9,P822&lt;1-1E-9),'계산 과정'!$C$48*(D822-'계산 과정'!$C$50+P822*('계산 과정'!$C$32-D822))+'계산 과정'!$D$48*(E822-'계산 과정'!$D$50+P822*('계산 과정'!$D$32-E822))+'계산 과정'!$E$48*(0-'계산 과정'!$E$50+P822*('계산 과정'!$E$32-0)),"")</x:f>
      </x:c>
      <x:c r="S822" s="17" t="n">
        <x:f>IF('계산 과정'!$C$78,IF(AND(ISNUMBER(Q822),ISNUMBER(R822),ABS(Q822-'계산 과정'!$C$88)&lt;='계산 과정'!$D$23/2,ABS(R822-'계산 과정'!$C$89)&lt;='계산 과정'!$D$24/2),1,0),"")</x:f>
        <x:v>0</x:v>
      </x:c>
      <x:c r="T822" s="4"/>
      <x:c r="U822" s="4"/>
      <x:c r="V822" s="4"/>
      <x:c r="W822" s="4"/>
      <x:c r="X822" s="4"/>
      <x:c r="Y822" s="4"/>
      <x:c r="Z822" s="4"/>
    </x:row>
    <x:row r="823" ht="23" customHeight="1">
      <x:c r="A823" s="17" t="n">
        <x:f>ROW()-6</x:f>
        <x:v>817</x:v>
      </x:c>
      <x:c r="B823" s="4" t="n">
        <x:f>IF('계산 과정'!$L$5,'계산 과정'!$L$11*SQRT((A823+0.5)/'계산 과정'!$L$30),"")</x:f>
        <x:v>94.76984352729248</x:v>
      </x:c>
      <x:c r="C823" s="4" t="n">
        <x:f>A823*PI()*(3-SQRT(5))</x:f>
        <x:v>1960.7699586883093</x:v>
      </x:c>
      <x:c r="D823" s="4" t="n">
        <x:f>IF('계산 과정'!$L$5,B823*COS(C823),"")</x:f>
        <x:v>86.68170536136466</x:v>
      </x:c>
      <x:c r="E823" s="4" t="n">
        <x:f>IF('계산 과정'!$L$5,B823*SIN(C823),"")</x:f>
        <x:v>38.30933564854738</x:v>
      </x:c>
      <x:c r="F823" s="4" t="n">
        <x:f>IF('계산 과정'!$L$7,'계산 과정'!$L$22+'계산 과정'!$C$49*D823+'계산 과정'!$D$49*E823,"")</x:f>
        <x:v>588.7067783341647</x:v>
      </x:c>
      <x:c r="G823" s="4" t="n">
        <x:f>IF('계산 과정'!$L$7,IF(ABS(F823)&gt;=1E-12*MAX(1,SQRT((D823-'계산 과정'!$C$33)^2+(E823-'계산 과정'!$D$33)^2+'계산 과정'!$E$33^2)),('계산 과정'!$L$23-'계산 과정'!$C$49*D823-'계산 과정'!$D$49*E823)/F823,""),"")</x:f>
        <x:v>0.7835704269808724</x:v>
      </x:c>
      <x:c r="H823" s="4" t="n">
        <x:f>IF(AND(ISNUMBER(G823),G823&gt;0),('계산 과정'!$D$56+'계산 과정'!$D$57*D823+'계산 과정'!$D$58*E823)/F823,"")</x:f>
        <x:v>109.32077753756698</x:v>
      </x:c>
      <x:c r="I823" s="4" t="n">
        <x:f>IF(AND(ISNUMBER(G823),G823&gt;0),('계산 과정'!$E$56+'계산 과정'!$E$57*D823+'계산 과정'!$E$58*E823)/F823,"")</x:f>
        <x:v>68.32739814003321</x:v>
      </x:c>
      <x:c r="J823" s="4" t="n">
        <x:f>IF('계산 과정'!$L$5,'계산 과정'!$D$6+'계산 과정'!$C$35*D823+'계산 과정'!$D$35*E823,"")</x:f>
        <x:v>588.7067783341647</x:v>
      </x:c>
      <x:c r="K823" s="4" t="n">
        <x:f>IF(AND('계산 과정'!$L$6,J823&gt;0),'계산 과정'!$D$10*('계산 과정'!$C$38*(D823-'계산 과정'!$C$32)+'계산 과정'!$D$38*(E823-'계산 과정'!$D$32)-'계산 과정'!$E$38*'계산 과정'!$E$32)/J823,"")</x:f>
        <x:v>0.8329202098100351</x:v>
      </x:c>
      <x:c r="L823" s="4" t="n">
        <x:f>IF(AND('계산 과정'!$L$6,J823&gt;0),'계산 과정'!$D$10*('계산 과정'!$C$39*(D823-'계산 과정'!$C$32)+'계산 과정'!$D$39*(E823-'계산 과정'!$D$32)-'계산 과정'!$E$39*'계산 과정'!$E$32)/J823,"")</x:f>
        <x:v>0.5205897001145388</x:v>
      </x:c>
      <x:c r="M823" s="17" t="n">
        <x:f>IF('계산 과정'!$L$6,IF(J823&lt;=0,0,IF(AND(ABS(K823)&lt;='계산 과정'!$D$11/2,ABS(L823)&lt;='계산 과정'!$D$12/2),1,0)),"")</x:f>
        <x:v>1</x:v>
      </x:c>
      <x:c r="N823" s="17" t="n">
        <x:f>IF('계산 과정'!$C$78,IF(AND(ISNUMBER(H823),ISNUMBER(I823),ABS(H823-'계산 과정'!$C$88)&lt;='계산 과정'!$D$23/2,ABS(I823-'계산 과정'!$C$89)&lt;='계산 과정'!$D$24/2),1,0),"")</x:f>
        <x:v>1</x:v>
      </x:c>
      <x:c r="O823" s="4" t="n">
        <x:f>IF('계산 과정'!$L$7,'계산 과정'!$C$49*('계산 과정'!$C$32-D823)+'계산 과정'!$D$49*('계산 과정'!$D$32-E823)+'계산 과정'!$E$49*'계산 과정'!$E$32,"")</x:f>
        <x:v>61.29322166583535</x:v>
      </x:c>
      <x:c r="P823" s="4" t="n">
        <x:f>IF(AND('계산 과정'!$L$7,O823&lt;&gt;0),('계산 과정'!$L$23-'계산 과정'!$C$49*D823-'계산 과정'!$D$49*E823)/O823,"")</x:f>
        <x:v>7.526007103701627</x:v>
      </x:c>
      <x:c r="Q823" s="4" t="str">
        <x:f>IF(AND(ISNUMBER(P823),P823&gt;1E-9,P823&lt;1-1E-9),'계산 과정'!$C$47*(D823-'계산 과정'!$C$50+P823*('계산 과정'!$C$32-D823))+'계산 과정'!$D$47*(E823-'계산 과정'!$D$50+P823*('계산 과정'!$D$32-E823))+'계산 과정'!$E$47*(0-'계산 과정'!$E$50+P823*('계산 과정'!$E$32-0)),"")</x:f>
      </x:c>
      <x:c r="R823" s="4" t="str">
        <x:f>IF(AND(ISNUMBER(P823),P823&gt;1E-9,P823&lt;1-1E-9),'계산 과정'!$C$48*(D823-'계산 과정'!$C$50+P823*('계산 과정'!$C$32-D823))+'계산 과정'!$D$48*(E823-'계산 과정'!$D$50+P823*('계산 과정'!$D$32-E823))+'계산 과정'!$E$48*(0-'계산 과정'!$E$50+P823*('계산 과정'!$E$32-0)),"")</x:f>
      </x:c>
      <x:c r="S823" s="17" t="n">
        <x:f>IF('계산 과정'!$C$78,IF(AND(ISNUMBER(Q823),ISNUMBER(R823),ABS(Q823-'계산 과정'!$C$88)&lt;='계산 과정'!$D$23/2,ABS(R823-'계산 과정'!$C$89)&lt;='계산 과정'!$D$24/2),1,0),"")</x:f>
        <x:v>0</x:v>
      </x:c>
      <x:c r="T823" s="4"/>
      <x:c r="U823" s="4"/>
      <x:c r="V823" s="4"/>
      <x:c r="W823" s="4"/>
      <x:c r="X823" s="4"/>
      <x:c r="Y823" s="4"/>
      <x:c r="Z823" s="4"/>
    </x:row>
    <x:row r="824" ht="23" customHeight="1">
      <x:c r="A824" s="17" t="n">
        <x:f>ROW()-6</x:f>
        <x:v>818</x:v>
      </x:c>
      <x:c r="B824" s="4" t="n">
        <x:f>IF('계산 과정'!$L$5,'계산 과정'!$L$11*SQRT((A824+0.5)/'계산 과정'!$L$30),"")</x:f>
        <x:v>94.82778901942457</x:v>
      </x:c>
      <x:c r="C824" s="4" t="n">
        <x:f>A824*PI()*(3-SQRT(5))</x:f>
        <x:v>1963.1699219180382</x:v>
      </x:c>
      <x:c r="D824" s="4" t="n">
        <x:f>IF('계산 과정'!$L$5,B824*COS(C824),"")</x:f>
        <x:v>-89.84887932077706</x:v>
      </x:c>
      <x:c r="E824" s="4" t="n">
        <x:f>IF('계산 과정'!$L$5,B824*SIN(C824),"")</x:f>
        <x:v>30.32306803595146</x:v>
      </x:c>
      <x:c r="F824" s="4" t="n">
        <x:f>IF('계산 과정'!$L$7,'계산 과정'!$L$22+'계산 과정'!$C$49*D824+'계산 과정'!$D$49*E824,"")</x:f>
        <x:v>713.5327518497332</x:v>
      </x:c>
      <x:c r="G824" s="4" t="n">
        <x:f>IF('계산 과정'!$L$7,IF(ABS(F824)&gt;=1E-12*MAX(1,SQRT((D824-'계산 과정'!$C$33)^2+(E824-'계산 과정'!$D$33)^2+'계산 과정'!$E$33^2)),('계산 과정'!$L$23-'계산 과정'!$C$49*D824-'계산 과정'!$D$49*E824)/F824,""),"")</x:f>
        <x:v>0.4715512319203608</x:v>
      </x:c>
      <x:c r="H824" s="4" t="n">
        <x:f>IF(AND(ISNUMBER(G824),G824&gt;0),('계산 과정'!$D$56+'계산 과정'!$D$57*D824+'계산 과정'!$D$58*E824)/F824,"")</x:f>
        <x:v>-93.49169925176561</x:v>
      </x:c>
      <x:c r="I824" s="4" t="n">
        <x:f>IF(AND(ISNUMBER(G824),G824&gt;0),('계산 과정'!$E$56+'계산 과정'!$E$57*D824+'계산 과정'!$E$58*E824)/F824,"")</x:f>
        <x:v>44.621948123909284</x:v>
      </x:c>
      <x:c r="J824" s="4" t="n">
        <x:f>IF('계산 과정'!$L$5,'계산 과정'!$D$6+'계산 과정'!$C$35*D824+'계산 과정'!$D$35*E824,"")</x:f>
        <x:v>713.5327518497332</x:v>
      </x:c>
      <x:c r="K824" s="4" t="n">
        <x:f>IF(AND('계산 과정'!$L$6,J824&gt;0),'계산 과정'!$D$10*('계산 과정'!$C$38*(D824-'계산 과정'!$C$32)+'계산 과정'!$D$38*(E824-'계산 과정'!$D$32)-'계산 과정'!$E$38*'계산 과정'!$E$32)/J824,"")</x:f>
        <x:v>-0.7123177085848802</x:v>
      </x:c>
      <x:c r="L824" s="4" t="n">
        <x:f>IF(AND('계산 과정'!$L$6,J824&gt;0),'계산 과정'!$D$10*('계산 과정'!$C$39*(D824-'계산 과정'!$C$32)+'계산 과정'!$D$39*(E824-'계산 과정'!$D$32)-'계산 과정'!$E$39*'계산 과정'!$E$32)/J824,"")</x:f>
        <x:v>0.33997674761073743</x:v>
      </x:c>
      <x:c r="M824" s="17" t="n">
        <x:f>IF('계산 과정'!$L$6,IF(J824&lt;=0,0,IF(AND(ABS(K824)&lt;='계산 과정'!$D$11/2,ABS(L824)&lt;='계산 과정'!$D$12/2),1,0)),"")</x:f>
        <x:v>1</x:v>
      </x:c>
      <x:c r="N824" s="17" t="n">
        <x:f>IF('계산 과정'!$C$78,IF(AND(ISNUMBER(H824),ISNUMBER(I824),ABS(H824-'계산 과정'!$C$88)&lt;='계산 과정'!$D$23/2,ABS(I824-'계산 과정'!$C$89)&lt;='계산 과정'!$D$24/2),1,0),"")</x:f>
        <x:v>1</x:v>
      </x:c>
      <x:c r="O824" s="4" t="n">
        <x:f>IF('계산 과정'!$L$7,'계산 과정'!$C$49*('계산 과정'!$C$32-D824)+'계산 과정'!$D$49*('계산 과정'!$D$32-E824)+'계산 과정'!$E$49*'계산 과정'!$E$32,"")</x:f>
        <x:v>-63.53275184973313</x:v>
      </x:c>
      <x:c r="P824" s="4" t="n">
        <x:f>IF(AND('계산 과정'!$L$7,O824&lt;&gt;0),('계산 과정'!$L$23-'계산 과정'!$C$49*D824-'계산 과정'!$D$49*E824)/O824,"")</x:f>
        <x:v>-5.295965283324653</x:v>
      </x:c>
      <x:c r="Q824" s="4" t="str">
        <x:f>IF(AND(ISNUMBER(P824),P824&gt;1E-9,P824&lt;1-1E-9),'계산 과정'!$C$47*(D824-'계산 과정'!$C$50+P824*('계산 과정'!$C$32-D824))+'계산 과정'!$D$47*(E824-'계산 과정'!$D$50+P824*('계산 과정'!$D$32-E824))+'계산 과정'!$E$47*(0-'계산 과정'!$E$50+P824*('계산 과정'!$E$32-0)),"")</x:f>
      </x:c>
      <x:c r="R824" s="4" t="str">
        <x:f>IF(AND(ISNUMBER(P824),P824&gt;1E-9,P824&lt;1-1E-9),'계산 과정'!$C$48*(D824-'계산 과정'!$C$50+P824*('계산 과정'!$C$32-D824))+'계산 과정'!$D$48*(E824-'계산 과정'!$D$50+P824*('계산 과정'!$D$32-E824))+'계산 과정'!$E$48*(0-'계산 과정'!$E$50+P824*('계산 과정'!$E$32-0)),"")</x:f>
      </x:c>
      <x:c r="S824" s="17" t="n">
        <x:f>IF('계산 과정'!$C$78,IF(AND(ISNUMBER(Q824),ISNUMBER(R824),ABS(Q824-'계산 과정'!$C$88)&lt;='계산 과정'!$D$23/2,ABS(R824-'계산 과정'!$C$89)&lt;='계산 과정'!$D$24/2),1,0),"")</x:f>
        <x:v>0</x:v>
      </x:c>
      <x:c r="T824" s="4"/>
      <x:c r="U824" s="4"/>
      <x:c r="V824" s="4"/>
      <x:c r="W824" s="4"/>
      <x:c r="X824" s="4"/>
      <x:c r="Y824" s="4"/>
      <x:c r="Z824" s="4"/>
    </x:row>
    <x:row r="825" ht="23" customHeight="1">
      <x:c r="A825" s="17" t="n">
        <x:f>ROW()-6</x:f>
        <x:v>819</x:v>
      </x:c>
      <x:c r="B825" s="4" t="n">
        <x:f>IF('계산 과정'!$L$5,'계산 과정'!$L$11*SQRT((A825+0.5)/'계산 과정'!$L$30),"")</x:f>
        <x:v>94.8856991249867</x:v>
      </x:c>
      <x:c r="C825" s="4" t="n">
        <x:f>A825*PI()*(3-SQRT(5))</x:f>
        <x:v>1965.5698851477666</x:v>
      </x:c>
      <x:c r="D825" s="4" t="n">
        <x:f>IF('계산 과정'!$L$5,B825*COS(C825),"")</x:f>
        <x:v>45.79677962346531</x:v>
      </x:c>
      <x:c r="E825" s="4" t="n">
        <x:f>IF('계산 과정'!$L$5,B825*SIN(C825),"")</x:f>
        <x:v>-83.10205096480625</x:v>
      </x:c>
      <x:c r="F825" s="4" t="n">
        <x:f>IF('계산 과정'!$L$7,'계산 과정'!$L$22+'계산 과정'!$C$49*D825+'계산 과정'!$D$49*E825,"")</x:f>
        <x:v>617.6167865717417</x:v>
      </x:c>
      <x:c r="G825" s="4" t="n">
        <x:f>IF('계산 과정'!$L$7,IF(ABS(F825)&gt;=1E-12*MAX(1,SQRT((D825-'계산 과정'!$C$33)^2+(E825-'계산 과정'!$D$33)^2+'계산 과정'!$E$33^2)),('계산 과정'!$L$23-'계산 과정'!$C$49*D825-'계산 과정'!$D$49*E825)/F825,""),"")</x:f>
        <x:v>0.7000833248531418</x:v>
      </x:c>
      <x:c r="H825" s="4" t="n">
        <x:f>IF(AND(ISNUMBER(G825),G825&gt;0),('계산 과정'!$D$56+'계산 과정'!$D$57*D825+'계산 과정'!$D$58*E825)/F825,"")</x:f>
        <x:v>55.054161154542044</x:v>
      </x:c>
      <x:c r="I825" s="4" t="n">
        <x:f>IF(AND(ISNUMBER(G825),G825&gt;0),('계산 과정'!$E$56+'계산 과정'!$E$57*D825+'계산 과정'!$E$58*E825)/F825,"")</x:f>
        <x:v>-141.28041110636306</x:v>
      </x:c>
      <x:c r="J825" s="4" t="n">
        <x:f>IF('계산 과정'!$L$5,'계산 과정'!$D$6+'계산 과정'!$C$35*D825+'계산 과정'!$D$35*E825,"")</x:f>
        <x:v>617.6167865717417</x:v>
      </x:c>
      <x:c r="K825" s="4" t="n">
        <x:f>IF(AND('계산 과정'!$L$6,J825&gt;0),'계산 과정'!$D$10*('계산 과정'!$C$38*(D825-'계산 과정'!$C$32)+'계산 과정'!$D$38*(E825-'계산 과정'!$D$32)-'계산 과정'!$E$38*'계산 과정'!$E$32)/J825,"")</x:f>
        <x:v>0.41946027546317893</x:v>
      </x:c>
      <x:c r="L825" s="4" t="n">
        <x:f>IF(AND('계산 과정'!$L$6,J825&gt;0),'계산 과정'!$D$10*('계산 과정'!$C$39*(D825-'계산 과정'!$C$32)+'계산 과정'!$D$39*(E825-'계산 과정'!$D$32)-'계산 과정'!$E$39*'계산 과정'!$E$32)/J825,"")</x:f>
        <x:v>-1.0764221798580043</x:v>
      </x:c>
      <x:c r="M825" s="17" t="n">
        <x:f>IF('계산 과정'!$L$6,IF(J825&lt;=0,0,IF(AND(ABS(K825)&lt;='계산 과정'!$D$11/2,ABS(L825)&lt;='계산 과정'!$D$12/2),1,0)),"")</x:f>
        <x:v>1</x:v>
      </x:c>
      <x:c r="N825" s="17" t="n">
        <x:f>IF('계산 과정'!$C$78,IF(AND(ISNUMBER(H825),ISNUMBER(I825),ABS(H825-'계산 과정'!$C$88)&lt;='계산 과정'!$D$23/2,ABS(I825-'계산 과정'!$C$89)&lt;='계산 과정'!$D$24/2),1,0),"")</x:f>
        <x:v>1</x:v>
      </x:c>
      <x:c r="O825" s="4" t="n">
        <x:f>IF('계산 과정'!$L$7,'계산 과정'!$C$49*('계산 과정'!$C$32-D825)+'계산 과정'!$D$49*('계산 과정'!$D$32-E825)+'계산 과정'!$E$49*'계산 과정'!$E$32,"")</x:f>
        <x:v>32.38321342825833</x:v>
      </x:c>
      <x:c r="P825" s="4" t="n">
        <x:f>IF(AND('계산 과정'!$L$7,O825&lt;&gt;0),('계산 과정'!$L$23-'계산 과정'!$C$49*D825-'계산 과정'!$D$49*E825)/O825,"")</x:f>
        <x:v>13.352078674531748</x:v>
      </x:c>
      <x:c r="Q825" s="4" t="str">
        <x:f>IF(AND(ISNUMBER(P825),P825&gt;1E-9,P825&lt;1-1E-9),'계산 과정'!$C$47*(D825-'계산 과정'!$C$50+P825*('계산 과정'!$C$32-D825))+'계산 과정'!$D$47*(E825-'계산 과정'!$D$50+P825*('계산 과정'!$D$32-E825))+'계산 과정'!$E$47*(0-'계산 과정'!$E$50+P825*('계산 과정'!$E$32-0)),"")</x:f>
      </x:c>
      <x:c r="R825" s="4" t="str">
        <x:f>IF(AND(ISNUMBER(P825),P825&gt;1E-9,P825&lt;1-1E-9),'계산 과정'!$C$48*(D825-'계산 과정'!$C$50+P825*('계산 과정'!$C$32-D825))+'계산 과정'!$D$48*(E825-'계산 과정'!$D$50+P825*('계산 과정'!$D$32-E825))+'계산 과정'!$E$48*(0-'계산 과정'!$E$50+P825*('계산 과정'!$E$32-0)),"")</x:f>
      </x:c>
      <x:c r="S825" s="17" t="n">
        <x:f>IF('계산 과정'!$C$78,IF(AND(ISNUMBER(Q825),ISNUMBER(R825),ABS(Q825-'계산 과정'!$C$88)&lt;='계산 과정'!$D$23/2,ABS(R825-'계산 과정'!$C$89)&lt;='계산 과정'!$D$24/2),1,0),"")</x:f>
        <x:v>0</x:v>
      </x:c>
      <x:c r="T825" s="4"/>
      <x:c r="U825" s="4"/>
      <x:c r="V825" s="4"/>
      <x:c r="W825" s="4"/>
      <x:c r="X825" s="4"/>
      <x:c r="Y825" s="4"/>
      <x:c r="Z825" s="4"/>
    </x:row>
    <x:row r="826" ht="23" customHeight="1">
      <x:c r="A826" s="17" t="n">
        <x:f>ROW()-6</x:f>
        <x:v>820</x:v>
      </x:c>
      <x:c r="B826" s="4" t="n">
        <x:f>IF('계산 과정'!$L$5,'계산 과정'!$L$11*SQRT((A826+0.5)/'계산 과정'!$L$30),"")</x:f>
        <x:v>94.94357390873013</x:v>
      </x:c>
      <x:c r="C826" s="4" t="n">
        <x:f>A826*PI()*(3-SQRT(5))</x:f>
        <x:v>1967.9698483774953</x:v>
      </x:c>
      <x:c r="D826" s="4" t="n">
        <x:f>IF('계산 과정'!$L$5,B826*COS(C826),"")</x:f>
        <x:v>22.379150515106645</x:v>
      </x:c>
      <x:c r="E826" s="4" t="n">
        <x:f>IF('계산 과정'!$L$5,B826*SIN(C826),"")</x:f>
        <x:v>92.26839030125487</x:v>
      </x:c>
      <x:c r="F826" s="4" t="n">
        <x:f>IF('계산 과정'!$L$7,'계산 과정'!$L$22+'계산 과정'!$C$49*D826+'계산 과정'!$D$49*E826,"")</x:f>
        <x:v>634.1755509135737</x:v>
      </x:c>
      <x:c r="G826" s="4" t="n">
        <x:f>IF('계산 과정'!$L$7,IF(ABS(F826)&gt;=1E-12*MAX(1,SQRT((D826-'계산 과정'!$C$33)^2+(E826-'계산 과정'!$D$33)^2+'계산 과정'!$E$33^2)),('계산 과정'!$L$23-'계산 과정'!$C$49*D826-'계산 과정'!$D$49*E826)/F826,""),"")</x:f>
        <x:v>0.6556929678026888</x:v>
      </x:c>
      <x:c r="H826" s="4" t="n">
        <x:f>IF(AND(ISNUMBER(G826),G826&gt;0),('계산 과정'!$D$56+'계산 과정'!$D$57*D826+'계산 과정'!$D$58*E826)/F826,"")</x:f>
        <x:v>26.200429071747642</x:v>
      </x:c>
      <x:c r="I826" s="4" t="n">
        <x:f>IF(AND(ISNUMBER(G826),G826&gt;0),('계산 과정'!$E$56+'계산 과정'!$E$57*D826+'계산 과정'!$E$58*E826)/F826,"")</x:f>
        <x:v>152.76812497226152</x:v>
      </x:c>
      <x:c r="J826" s="4" t="n">
        <x:f>IF('계산 과정'!$L$5,'계산 과정'!$D$6+'계산 과정'!$C$35*D826+'계산 과정'!$D$35*E826,"")</x:f>
        <x:v>634.1755509135737</x:v>
      </x:c>
      <x:c r="K826" s="4" t="n">
        <x:f>IF(AND('계산 과정'!$L$6,J826&gt;0),'계산 과정'!$D$10*('계산 과정'!$C$38*(D826-'계산 과정'!$C$32)+'계산 과정'!$D$38*(E826-'계산 과정'!$D$32)-'계산 과정'!$E$38*'계산 과정'!$E$32)/J826,"")</x:f>
        <x:v>0.1996223167371259</x:v>
      </x:c>
      <x:c r="L826" s="4" t="n">
        <x:f>IF(AND('계산 과정'!$L$6,J826&gt;0),'계산 과정'!$D$10*('계산 과정'!$C$39*(D826-'계산 과정'!$C$32)+'계산 과정'!$D$39*(E826-'계산 과정'!$D$32)-'계산 과정'!$E$39*'계산 과정'!$E$32)/J826,"")</x:f>
        <x:v>1.163947618836278</x:v>
      </x:c>
      <x:c r="M826" s="17" t="n">
        <x:f>IF('계산 과정'!$L$6,IF(J826&lt;=0,0,IF(AND(ABS(K826)&lt;='계산 과정'!$D$11/2,ABS(L826)&lt;='계산 과정'!$D$12/2),1,0)),"")</x:f>
        <x:v>1</x:v>
      </x:c>
      <x:c r="N826" s="17" t="n">
        <x:f>IF('계산 과정'!$C$78,IF(AND(ISNUMBER(H826),ISNUMBER(I826),ABS(H826-'계산 과정'!$C$88)&lt;='계산 과정'!$D$23/2,ABS(I826-'계산 과정'!$C$89)&lt;='계산 과정'!$D$24/2),1,0),"")</x:f>
        <x:v>1</x:v>
      </x:c>
      <x:c r="O826" s="4" t="n">
        <x:f>IF('계산 과정'!$L$7,'계산 과정'!$C$49*('계산 과정'!$C$32-D826)+'계산 과정'!$D$49*('계산 과정'!$D$32-E826)+'계산 과정'!$E$49*'계산 과정'!$E$32,"")</x:f>
        <x:v>15.824449086426455</x:v>
      </x:c>
      <x:c r="P826" s="4" t="n">
        <x:f>IF(AND('계산 과정'!$L$7,O826&lt;&gt;0),('계산 과정'!$L$23-'계산 과정'!$C$49*D826-'계산 과정'!$D$49*E826)/O826,"")</x:f>
        <x:v>26.27734127206381</x:v>
      </x:c>
      <x:c r="Q826" s="4" t="str">
        <x:f>IF(AND(ISNUMBER(P826),P826&gt;1E-9,P826&lt;1-1E-9),'계산 과정'!$C$47*(D826-'계산 과정'!$C$50+P826*('계산 과정'!$C$32-D826))+'계산 과정'!$D$47*(E826-'계산 과정'!$D$50+P826*('계산 과정'!$D$32-E826))+'계산 과정'!$E$47*(0-'계산 과정'!$E$50+P826*('계산 과정'!$E$32-0)),"")</x:f>
      </x:c>
      <x:c r="R826" s="4" t="str">
        <x:f>IF(AND(ISNUMBER(P826),P826&gt;1E-9,P826&lt;1-1E-9),'계산 과정'!$C$48*(D826-'계산 과정'!$C$50+P826*('계산 과정'!$C$32-D826))+'계산 과정'!$D$48*(E826-'계산 과정'!$D$50+P826*('계산 과정'!$D$32-E826))+'계산 과정'!$E$48*(0-'계산 과정'!$E$50+P826*('계산 과정'!$E$32-0)),"")</x:f>
      </x:c>
      <x:c r="S826" s="17" t="n">
        <x:f>IF('계산 과정'!$C$78,IF(AND(ISNUMBER(Q826),ISNUMBER(R826),ABS(Q826-'계산 과정'!$C$88)&lt;='계산 과정'!$D$23/2,ABS(R826-'계산 과정'!$C$89)&lt;='계산 과정'!$D$24/2),1,0),"")</x:f>
        <x:v>0</x:v>
      </x:c>
      <x:c r="T826" s="4"/>
      <x:c r="U826" s="4"/>
      <x:c r="V826" s="4"/>
      <x:c r="W826" s="4"/>
      <x:c r="X826" s="4"/>
      <x:c r="Y826" s="4"/>
      <x:c r="Z826" s="4"/>
    </x:row>
    <x:row r="827" ht="23" customHeight="1">
      <x:c r="A827" s="17" t="n">
        <x:f>ROW()-6</x:f>
        <x:v>821</x:v>
      </x:c>
      <x:c r="B827" s="4" t="n">
        <x:f>IF('계산 과정'!$L$5,'계산 과정'!$L$11*SQRT((A827+0.5)/'계산 과정'!$L$30),"")</x:f>
        <x:v>95.00141343520896</x:v>
      </x:c>
      <x:c r="C827" s="4" t="n">
        <x:f>A827*PI()*(3-SQRT(5))</x:f>
        <x:v>1970.369811607224</x:v>
      </x:c>
      <x:c r="D827" s="4" t="n">
        <x:f>IF('계산 과정'!$L$5,B827*COS(C827),"")</x:f>
        <x:v>-78.87611321448952</x:v>
      </x:c>
      <x:c r="E827" s="4" t="n">
        <x:f>IF('계산 과정'!$L$5,B827*SIN(C827),"")</x:f>
        <x:v>-52.95117863525355</x:v>
      </x:c>
      <x:c r="F827" s="4" t="n">
        <x:f>IF('계산 과정'!$L$7,'계산 과정'!$L$22+'계산 과정'!$C$49*D827+'계산 과정'!$D$49*E827,"")</x:f>
        <x:v>705.7738345276034</x:v>
      </x:c>
      <x:c r="G827" s="4" t="n">
        <x:f>IF('계산 과정'!$L$7,IF(ABS(F827)&gt;=1E-12*MAX(1,SQRT((D827-'계산 과정'!$C$33)^2+(E827-'계산 과정'!$D$33)^2+'계산 과정'!$E$33^2)),('계산 과정'!$L$23-'계산 과정'!$C$49*D827-'계산 과정'!$D$49*E827)/F827,""),"")</x:f>
        <x:v>0.487728715109987</x:v>
      </x:c>
      <x:c r="H827" s="4" t="n">
        <x:f>IF(AND(ISNUMBER(G827),G827&gt;0),('계산 과정'!$D$56+'계산 과정'!$D$57*D827+'계산 과정'!$D$58*E827)/F827,"")</x:f>
        <x:v>-82.97633517850855</x:v>
      </x:c>
      <x:c r="I827" s="4" t="n">
        <x:f>IF(AND(ISNUMBER(G827),G827&gt;0),('계산 과정'!$E$56+'계산 과정'!$E$57*D827+'계산 과정'!$E$58*E827)/F827,"")</x:f>
        <x:v>-78.77698895458515</x:v>
      </x:c>
      <x:c r="J827" s="4" t="n">
        <x:f>IF('계산 과정'!$L$5,'계산 과정'!$D$6+'계산 과정'!$C$35*D827+'계산 과정'!$D$35*E827,"")</x:f>
        <x:v>705.7738345276034</x:v>
      </x:c>
      <x:c r="K827" s="4" t="n">
        <x:f>IF(AND('계산 과정'!$L$6,J827&gt;0),'계산 과정'!$D$10*('계산 과정'!$C$38*(D827-'계산 과정'!$C$32)+'계산 과정'!$D$38*(E827-'계산 과정'!$D$32)-'계산 과정'!$E$38*'계산 과정'!$E$32)/J827,"")</x:f>
        <x:v>-0.6322006489791114</x:v>
      </x:c>
      <x:c r="L827" s="4" t="n">
        <x:f>IF(AND('계산 과정'!$L$6,J827&gt;0),'계산 과정'!$D$10*('계산 과정'!$C$39*(D827-'계산 과정'!$C$32)+'계산 과정'!$D$39*(E827-'계산 과정'!$D$32)-'계산 과정'!$E$39*'계산 과정'!$E$32)/J827,"")</x:f>
        <x:v>-0.6002056301301726</x:v>
      </x:c>
      <x:c r="M827" s="17" t="n">
        <x:f>IF('계산 과정'!$L$6,IF(J827&lt;=0,0,IF(AND(ABS(K827)&lt;='계산 과정'!$D$11/2,ABS(L827)&lt;='계산 과정'!$D$12/2),1,0)),"")</x:f>
        <x:v>1</x:v>
      </x:c>
      <x:c r="N827" s="17" t="n">
        <x:f>IF('계산 과정'!$C$78,IF(AND(ISNUMBER(H827),ISNUMBER(I827),ABS(H827-'계산 과정'!$C$88)&lt;='계산 과정'!$D$23/2,ABS(I827-'계산 과정'!$C$89)&lt;='계산 과정'!$D$24/2),1,0),"")</x:f>
        <x:v>1</x:v>
      </x:c>
      <x:c r="O827" s="4" t="n">
        <x:f>IF('계산 과정'!$L$7,'계산 과정'!$C$49*('계산 과정'!$C$32-D827)+'계산 과정'!$D$49*('계산 과정'!$D$32-E827)+'계산 과정'!$E$49*'계산 과정'!$E$32,"")</x:f>
        <x:v>-55.77383452760324</x:v>
      </x:c>
      <x:c r="P827" s="4" t="n">
        <x:f>IF(AND('계산 과정'!$L$7,O827&lt;&gt;0),('계산 과정'!$L$23-'계산 과정'!$C$49*D827-'계산 과정'!$D$49*E827)/O827,"")</x:f>
        <x:v>-6.171821758140626</x:v>
      </x:c>
      <x:c r="Q827" s="4" t="str">
        <x:f>IF(AND(ISNUMBER(P827),P827&gt;1E-9,P827&lt;1-1E-9),'계산 과정'!$C$47*(D827-'계산 과정'!$C$50+P827*('계산 과정'!$C$32-D827))+'계산 과정'!$D$47*(E827-'계산 과정'!$D$50+P827*('계산 과정'!$D$32-E827))+'계산 과정'!$E$47*(0-'계산 과정'!$E$50+P827*('계산 과정'!$E$32-0)),"")</x:f>
      </x:c>
      <x:c r="R827" s="4" t="str">
        <x:f>IF(AND(ISNUMBER(P827),P827&gt;1E-9,P827&lt;1-1E-9),'계산 과정'!$C$48*(D827-'계산 과정'!$C$50+P827*('계산 과정'!$C$32-D827))+'계산 과정'!$D$48*(E827-'계산 과정'!$D$50+P827*('계산 과정'!$D$32-E827))+'계산 과정'!$E$48*(0-'계산 과정'!$E$50+P827*('계산 과정'!$E$32-0)),"")</x:f>
      </x:c>
      <x:c r="S827" s="17" t="n">
        <x:f>IF('계산 과정'!$C$78,IF(AND(ISNUMBER(Q827),ISNUMBER(R827),ABS(Q827-'계산 과정'!$C$88)&lt;='계산 과정'!$D$23/2,ABS(R827-'계산 과정'!$C$89)&lt;='계산 과정'!$D$24/2),1,0),"")</x:f>
        <x:v>0</x:v>
      </x:c>
      <x:c r="T827" s="4"/>
      <x:c r="U827" s="4"/>
      <x:c r="V827" s="4"/>
      <x:c r="W827" s="4"/>
      <x:c r="X827" s="4"/>
      <x:c r="Y827" s="4"/>
      <x:c r="Z827" s="4"/>
    </x:row>
    <x:row r="828" ht="23" customHeight="1">
      <x:c r="A828" s="17" t="n">
        <x:f>ROW()-6</x:f>
        <x:v>822</x:v>
      </x:c>
      <x:c r="B828" s="4" t="n">
        <x:f>IF('계산 과정'!$L$5,'계산 과정'!$L$11*SQRT((A828+0.5)/'계산 과정'!$L$30),"")</x:f>
        <x:v>95.05921776878084</x:v>
      </x:c>
      <x:c r="C828" s="4" t="n">
        <x:f>A828*PI()*(3-SQRT(5))</x:f>
        <x:v>1972.7697748369528</x:v>
      </x:c>
      <x:c r="D828" s="4" t="n">
        <x:f>IF('계산 과정'!$L$5,B828*COS(C828),"")</x:f>
        <x:v>93.98595003872326</x:v>
      </x:c>
      <x:c r="E828" s="4" t="n">
        <x:f>IF('계산 과정'!$L$5,B828*SIN(C828),"")</x:f>
        <x:v>-14.244159439261907</x:v>
      </x:c>
      <x:c r="F828" s="4" t="n">
        <x:f>IF('계산 과정'!$L$7,'계산 과정'!$L$22+'계산 과정'!$C$49*D828+'계산 과정'!$D$49*E828,"")</x:f>
        <x:v>583.5418973913587</x:v>
      </x:c>
      <x:c r="G828" s="4" t="n">
        <x:f>IF('계산 과정'!$L$7,IF(ABS(F828)&gt;=1E-12*MAX(1,SQRT((D828-'계산 과정'!$C$33)^2+(E828-'계산 과정'!$D$33)^2+'계산 과정'!$E$33^2)),('계산 과정'!$L$23-'계산 과정'!$C$49*D828-'계산 과정'!$D$49*E828)/F828,""),"")</x:f>
        <x:v>0.7993566609250785</x:v>
      </x:c>
      <x:c r="H828" s="4" t="n">
        <x:f>IF(AND(ISNUMBER(G828),G828&gt;0),('계산 과정'!$D$56+'계산 과정'!$D$57*D828+'계산 과정'!$D$58*E828)/F828,"")</x:f>
        <x:v>119.58182960130094</x:v>
      </x:c>
      <x:c r="I828" s="4" t="n">
        <x:f>IF(AND(ISNUMBER(G828),G828&gt;0),('계산 과정'!$E$56+'계산 과정'!$E$57*D828+'계산 과정'!$E$58*E828)/F828,"")</x:f>
        <x:v>-25.630323166314746</x:v>
      </x:c>
      <x:c r="J828" s="4" t="n">
        <x:f>IF('계산 과정'!$L$5,'계산 과정'!$D$6+'계산 과정'!$C$35*D828+'계산 과정'!$D$35*E828,"")</x:f>
        <x:v>583.5418973913587</x:v>
      </x:c>
      <x:c r="K828" s="4" t="n">
        <x:f>IF(AND('계산 과정'!$L$6,J828&gt;0),'계산 과정'!$D$10*('계산 과정'!$C$38*(D828-'계산 과정'!$C$32)+'계산 과정'!$D$38*(E828-'계산 과정'!$D$32)-'계산 과정'!$E$38*'계산 과정'!$E$32)/J828,"")</x:f>
        <x:v>0.9110996541051509</x:v>
      </x:c>
      <x:c r="L828" s="4" t="n">
        <x:f>IF(AND('계산 과정'!$L$6,J828&gt;0),'계산 과정'!$D$10*('계산 과정'!$C$39*(D828-'계산 과정'!$C$32)+'계산 과정'!$D$39*(E828-'계산 과정'!$D$32)-'계산 과정'!$E$39*'계산 과정'!$E$32)/J828,"")</x:f>
        <x:v>-0.1952786526957314</x:v>
      </x:c>
      <x:c r="M828" s="17" t="n">
        <x:f>IF('계산 과정'!$L$6,IF(J828&lt;=0,0,IF(AND(ABS(K828)&lt;='계산 과정'!$D$11/2,ABS(L828)&lt;='계산 과정'!$D$12/2),1,0)),"")</x:f>
        <x:v>1</x:v>
      </x:c>
      <x:c r="N828" s="17" t="n">
        <x:f>IF('계산 과정'!$C$78,IF(AND(ISNUMBER(H828),ISNUMBER(I828),ABS(H828-'계산 과정'!$C$88)&lt;='계산 과정'!$D$23/2,ABS(I828-'계산 과정'!$C$89)&lt;='계산 과정'!$D$24/2),1,0),"")</x:f>
        <x:v>1</x:v>
      </x:c>
      <x:c r="O828" s="4" t="n">
        <x:f>IF('계산 과정'!$L$7,'계산 과정'!$C$49*('계산 과정'!$C$32-D828)+'계산 과정'!$D$49*('계산 과정'!$D$32-E828)+'계산 과정'!$E$49*'계산 과정'!$E$32,"")</x:f>
        <x:v>66.45810260864141</x:v>
      </x:c>
      <x:c r="P828" s="4" t="n">
        <x:f>IF(AND('계산 과정'!$L$7,O828&lt;&gt;0),('계산 과정'!$L$23-'계산 과정'!$C$49*D828-'계산 과정'!$D$49*E828)/O828,"")</x:f>
        <x:v>7.018829673117822</x:v>
      </x:c>
      <x:c r="Q828" s="4" t="str">
        <x:f>IF(AND(ISNUMBER(P828),P828&gt;1E-9,P828&lt;1-1E-9),'계산 과정'!$C$47*(D828-'계산 과정'!$C$50+P828*('계산 과정'!$C$32-D828))+'계산 과정'!$D$47*(E828-'계산 과정'!$D$50+P828*('계산 과정'!$D$32-E828))+'계산 과정'!$E$47*(0-'계산 과정'!$E$50+P828*('계산 과정'!$E$32-0)),"")</x:f>
      </x:c>
      <x:c r="R828" s="4" t="str">
        <x:f>IF(AND(ISNUMBER(P828),P828&gt;1E-9,P828&lt;1-1E-9),'계산 과정'!$C$48*(D828-'계산 과정'!$C$50+P828*('계산 과정'!$C$32-D828))+'계산 과정'!$D$48*(E828-'계산 과정'!$D$50+P828*('계산 과정'!$D$32-E828))+'계산 과정'!$E$48*(0-'계산 과정'!$E$50+P828*('계산 과정'!$E$32-0)),"")</x:f>
      </x:c>
      <x:c r="S828" s="17" t="n">
        <x:f>IF('계산 과정'!$C$78,IF(AND(ISNUMBER(Q828),ISNUMBER(R828),ABS(Q828-'계산 과정'!$C$88)&lt;='계산 과정'!$D$23/2,ABS(R828-'계산 과정'!$C$89)&lt;='계산 과정'!$D$24/2),1,0),"")</x:f>
        <x:v>0</x:v>
      </x:c>
      <x:c r="T828" s="4"/>
      <x:c r="U828" s="4"/>
      <x:c r="V828" s="4"/>
      <x:c r="W828" s="4"/>
      <x:c r="X828" s="4"/>
      <x:c r="Y828" s="4"/>
      <x:c r="Z828" s="4"/>
    </x:row>
    <x:row r="829" ht="23" customHeight="1">
      <x:c r="A829" s="17" t="n">
        <x:f>ROW()-6</x:f>
        <x:v>823</x:v>
      </x:c>
      <x:c r="B829" s="4" t="n">
        <x:f>IF('계산 과정'!$L$5,'계산 과정'!$L$11*SQRT((A829+0.5)/'계산 과정'!$L$30),"")</x:f>
        <x:v>95.11698697360794</x:v>
      </x:c>
      <x:c r="C829" s="4" t="n">
        <x:f>A829*PI()*(3-SQRT(5))</x:f>
        <x:v>1975.1697380666812</x:v>
      </x:c>
      <x:c r="D829" s="4" t="n">
        <x:f>IF('계산 과정'!$L$5,B829*COS(C829),"")</x:f>
        <x:v>-59.71679201662626</x:v>
      </x:c>
      <x:c r="E829" s="4" t="n">
        <x:f>IF('계산 과정'!$L$5,B829*SIN(C829),"")</x:f>
        <x:v>74.03476184996143</x:v>
      </x:c>
      <x:c r="F829" s="4" t="n">
        <x:f>IF('계산 과정'!$L$7,'계산 과정'!$L$22+'계산 과정'!$C$49*D829+'계산 과정'!$D$49*E829,"")</x:f>
        <x:v>692.226148585663</x:v>
      </x:c>
      <x:c r="G829" s="4" t="n">
        <x:f>IF('계산 과정'!$L$7,IF(ABS(F829)&gt;=1E-12*MAX(1,SQRT((D829-'계산 과정'!$C$33)^2+(E829-'계산 과정'!$D$33)^2+'계산 과정'!$E$33^2)),('계산 과정'!$L$23-'계산 과정'!$C$49*D829-'계산 과정'!$D$49*E829)/F829,""),"")</x:f>
        <x:v>0.5168453288644619</x:v>
      </x:c>
      <x:c r="H829" s="4" t="n">
        <x:f>IF(AND(ISNUMBER(G829),G829&gt;0),('계산 과정'!$D$56+'계산 과정'!$D$57*D829+'계산 과정'!$D$58*E829)/F829,"")</x:f>
        <x:v>-64.05053623809992</x:v>
      </x:c>
      <x:c r="I829" s="4" t="n">
        <x:f>IF(AND(ISNUMBER(G829),G829&gt;0),('계산 과정'!$E$56+'계산 과정'!$E$57*D829+'계산 과정'!$E$58*E829)/F829,"")</x:f>
        <x:v>112.29928268570687</x:v>
      </x:c>
      <x:c r="J829" s="4" t="n">
        <x:f>IF('계산 과정'!$L$5,'계산 과정'!$D$6+'계산 과정'!$C$35*D829+'계산 과정'!$D$35*E829,"")</x:f>
        <x:v>692.226148585663</x:v>
      </x:c>
      <x:c r="K829" s="4" t="n">
        <x:f>IF(AND('계산 과정'!$L$6,J829&gt;0),'계산 과정'!$D$10*('계산 과정'!$C$38*(D829-'계산 과정'!$C$32)+'계산 과정'!$D$38*(E829-'계산 과정'!$D$32)-'계산 과정'!$E$38*'계산 과정'!$E$32)/J829,"")</x:f>
        <x:v>-0.4880040856236175</x:v>
      </x:c>
      <x:c r="L829" s="4" t="n">
        <x:f>IF(AND('계산 과정'!$L$6,J829&gt;0),'계산 과정'!$D$10*('계산 과정'!$C$39*(D829-'계산 과정'!$C$32)+'계산 과정'!$D$39*(E829-'계산 과정'!$D$32)-'계산 과정'!$E$39*'계산 과정'!$E$32)/J829,"")</x:f>
        <x:v>0.8556135823672903</x:v>
      </x:c>
      <x:c r="M829" s="17" t="n">
        <x:f>IF('계산 과정'!$L$6,IF(J829&lt;=0,0,IF(AND(ABS(K829)&lt;='계산 과정'!$D$11/2,ABS(L829)&lt;='계산 과정'!$D$12/2),1,0)),"")</x:f>
        <x:v>1</x:v>
      </x:c>
      <x:c r="N829" s="17" t="n">
        <x:f>IF('계산 과정'!$C$78,IF(AND(ISNUMBER(H829),ISNUMBER(I829),ABS(H829-'계산 과정'!$C$88)&lt;='계산 과정'!$D$23/2,ABS(I829-'계산 과정'!$C$89)&lt;='계산 과정'!$D$24/2),1,0),"")</x:f>
        <x:v>1</x:v>
      </x:c>
      <x:c r="O829" s="4" t="n">
        <x:f>IF('계산 과정'!$L$7,'계산 과정'!$C$49*('계산 과정'!$C$32-D829)+'계산 과정'!$D$49*('계산 과정'!$D$32-E829)+'계산 과정'!$E$49*'계산 과정'!$E$32,"")</x:f>
        <x:v>-42.226148585663</x:v>
      </x:c>
      <x:c r="P829" s="4" t="n">
        <x:f>IF(AND('계산 과정'!$L$7,O829&lt;&gt;0),('계산 과정'!$L$23-'계산 과정'!$C$49*D829-'계산 과정'!$D$49*E829)/O829,"")</x:f>
        <x:v>-8.47280330784919</x:v>
      </x:c>
      <x:c r="Q829" s="4" t="str">
        <x:f>IF(AND(ISNUMBER(P829),P829&gt;1E-9,P829&lt;1-1E-9),'계산 과정'!$C$47*(D829-'계산 과정'!$C$50+P829*('계산 과정'!$C$32-D829))+'계산 과정'!$D$47*(E829-'계산 과정'!$D$50+P829*('계산 과정'!$D$32-E829))+'계산 과정'!$E$47*(0-'계산 과정'!$E$50+P829*('계산 과정'!$E$32-0)),"")</x:f>
      </x:c>
      <x:c r="R829" s="4" t="str">
        <x:f>IF(AND(ISNUMBER(P829),P829&gt;1E-9,P829&lt;1-1E-9),'계산 과정'!$C$48*(D829-'계산 과정'!$C$50+P829*('계산 과정'!$C$32-D829))+'계산 과정'!$D$48*(E829-'계산 과정'!$D$50+P829*('계산 과정'!$D$32-E829))+'계산 과정'!$E$48*(0-'계산 과정'!$E$50+P829*('계산 과정'!$E$32-0)),"")</x:f>
      </x:c>
      <x:c r="S829" s="17" t="n">
        <x:f>IF('계산 과정'!$C$78,IF(AND(ISNUMBER(Q829),ISNUMBER(R829),ABS(Q829-'계산 과정'!$C$88)&lt;='계산 과정'!$D$23/2,ABS(R829-'계산 과정'!$C$89)&lt;='계산 과정'!$D$24/2),1,0),"")</x:f>
        <x:v>0</x:v>
      </x:c>
      <x:c r="T829" s="4"/>
      <x:c r="U829" s="4"/>
      <x:c r="V829" s="4"/>
      <x:c r="W829" s="4"/>
      <x:c r="X829" s="4"/>
      <x:c r="Y829" s="4"/>
      <x:c r="Z829" s="4"/>
    </x:row>
    <x:row r="830" ht="23" customHeight="1">
      <x:c r="A830" s="17" t="n">
        <x:f>ROW()-6</x:f>
        <x:v>824</x:v>
      </x:c>
      <x:c r="B830" s="4" t="n">
        <x:f>IF('계산 과정'!$L$5,'계산 과정'!$L$11*SQRT((A830+0.5)/'계산 과정'!$L$30),"")</x:f>
        <x:v>95.1747211136576</x:v>
      </x:c>
      <x:c r="C830" s="4" t="n">
        <x:f>A830*PI()*(3-SQRT(5))</x:f>
        <x:v>1977.56970129641</x:v>
      </x:c>
      <x:c r="D830" s="4" t="n">
        <x:f>IF('계산 과정'!$L$5,B830*COS(C830),"")</x:f>
        <x:v>-5.980086729008737</x:v>
      </x:c>
      <x:c r="E830" s="4" t="n">
        <x:f>IF('계산 과정'!$L$5,B830*SIN(C830),"")</x:f>
        <x:v>-94.9866627573368</x:v>
      </x:c>
      <x:c r="F830" s="4" t="n">
        <x:f>IF('계산 과정'!$L$7,'계산 과정'!$L$22+'계산 과정'!$C$49*D830+'계산 과정'!$D$49*E830,"")</x:f>
        <x:v>654.2285598781658</x:v>
      </x:c>
      <x:c r="G830" s="4" t="n">
        <x:f>IF('계산 과정'!$L$7,IF(ABS(F830)&gt;=1E-12*MAX(1,SQRT((D830-'계산 과정'!$C$33)^2+(E830-'계산 과정'!$D$33)^2+'계산 과정'!$E$33^2)),('계산 과정'!$L$23-'계산 과정'!$C$49*D830-'계산 과정'!$D$49*E830)/F830,""),"")</x:f>
        <x:v>0.6049436915373078</x:v>
      </x:c>
      <x:c r="H830" s="4" t="n">
        <x:f>IF(AND(ISNUMBER(G830),G830&gt;0),('계산 과정'!$D$56+'계산 과정'!$D$57*D830+'계산 과정'!$D$58*E830)/F830,"")</x:f>
        <x:v>-6.786600500750014</x:v>
      </x:c>
      <x:c r="I830" s="4" t="n">
        <x:f>IF(AND(ISNUMBER(G830),G830&gt;0),('계산 과정'!$E$56+'계산 과정'!$E$57*D830+'계산 과정'!$E$58*E830)/F830,"")</x:f>
        <x:v>-152.44824517256941</x:v>
      </x:c>
      <x:c r="J830" s="4" t="n">
        <x:f>IF('계산 과정'!$L$5,'계산 과정'!$D$6+'계산 과정'!$C$35*D830+'계산 과정'!$D$35*E830,"")</x:f>
        <x:v>654.2285598781658</x:v>
      </x:c>
      <x:c r="K830" s="4" t="n">
        <x:f>IF(AND('계산 과정'!$L$6,J830&gt;0),'계산 과정'!$D$10*('계산 과정'!$C$38*(D830-'계산 과정'!$C$32)+'계산 과정'!$D$38*(E830-'계산 과정'!$D$32)-'계산 과정'!$E$38*'계산 과정'!$E$32)/J830,"")</x:f>
        <x:v>-0.05170743238666586</x:v>
      </x:c>
      <x:c r="L830" s="4" t="n">
        <x:f>IF(AND('계산 과정'!$L$6,J830&gt;0),'계산 과정'!$D$10*('계산 과정'!$C$39*(D830-'계산 과정'!$C$32)+'계산 과정'!$D$39*(E830-'계산 과정'!$D$32)-'계산 과정'!$E$39*'계산 과정'!$E$32)/J830,"")</x:f>
        <x:v>-1.1615104394100528</x:v>
      </x:c>
      <x:c r="M830" s="17" t="n">
        <x:f>IF('계산 과정'!$L$6,IF(J830&lt;=0,0,IF(AND(ABS(K830)&lt;='계산 과정'!$D$11/2,ABS(L830)&lt;='계산 과정'!$D$12/2),1,0)),"")</x:f>
        <x:v>1</x:v>
      </x:c>
      <x:c r="N830" s="17" t="n">
        <x:f>IF('계산 과정'!$C$78,IF(AND(ISNUMBER(H830),ISNUMBER(I830),ABS(H830-'계산 과정'!$C$88)&lt;='계산 과정'!$D$23/2,ABS(I830-'계산 과정'!$C$89)&lt;='계산 과정'!$D$24/2),1,0),"")</x:f>
        <x:v>1</x:v>
      </x:c>
      <x:c r="O830" s="4" t="n">
        <x:f>IF('계산 과정'!$L$7,'계산 과정'!$C$49*('계산 과정'!$C$32-D830)+'계산 과정'!$D$49*('계산 과정'!$D$32-E830)+'계산 과정'!$E$49*'계산 과정'!$E$32,"")</x:f>
        <x:v>-4.22855987816564</x:v>
      </x:c>
      <x:c r="P830" s="4" t="n">
        <x:f>IF(AND('계산 과정'!$L$7,O830&lt;&gt;0),('계산 과정'!$L$23-'계산 과정'!$C$49*D830-'계산 과정'!$D$49*E830)/O830,"")</x:f>
        <x:v>-93.59485298184327</x:v>
      </x:c>
      <x:c r="Q830" s="4" t="str">
        <x:f>IF(AND(ISNUMBER(P830),P830&gt;1E-9,P830&lt;1-1E-9),'계산 과정'!$C$47*(D830-'계산 과정'!$C$50+P830*('계산 과정'!$C$32-D830))+'계산 과정'!$D$47*(E830-'계산 과정'!$D$50+P830*('계산 과정'!$D$32-E830))+'계산 과정'!$E$47*(0-'계산 과정'!$E$50+P830*('계산 과정'!$E$32-0)),"")</x:f>
      </x:c>
      <x:c r="R830" s="4" t="str">
        <x:f>IF(AND(ISNUMBER(P830),P830&gt;1E-9,P830&lt;1-1E-9),'계산 과정'!$C$48*(D830-'계산 과정'!$C$50+P830*('계산 과정'!$C$32-D830))+'계산 과정'!$D$48*(E830-'계산 과정'!$D$50+P830*('계산 과정'!$D$32-E830))+'계산 과정'!$E$48*(0-'계산 과정'!$E$50+P830*('계산 과정'!$E$32-0)),"")</x:f>
      </x:c>
      <x:c r="S830" s="17" t="n">
        <x:f>IF('계산 과정'!$C$78,IF(AND(ISNUMBER(Q830),ISNUMBER(R830),ABS(Q830-'계산 과정'!$C$88)&lt;='계산 과정'!$D$23/2,ABS(R830-'계산 과정'!$C$89)&lt;='계산 과정'!$D$24/2),1,0),"")</x:f>
        <x:v>0</x:v>
      </x:c>
      <x:c r="T830" s="4"/>
      <x:c r="U830" s="4"/>
      <x:c r="V830" s="4"/>
      <x:c r="W830" s="4"/>
      <x:c r="X830" s="4"/>
      <x:c r="Y830" s="4"/>
      <x:c r="Z830" s="4"/>
    </x:row>
    <x:row r="831" ht="23" customHeight="1">
      <x:c r="A831" s="17" t="n">
        <x:f>ROW()-6</x:f>
        <x:v>825</x:v>
      </x:c>
      <x:c r="B831" s="4" t="n">
        <x:f>IF('계산 과정'!$L$5,'계산 과정'!$L$11*SQRT((A831+0.5)/'계산 과정'!$L$30),"")</x:f>
        <x:v>95.23242025270333</x:v>
      </x:c>
      <x:c r="C831" s="4" t="n">
        <x:f>A831*PI()*(3-SQRT(5))</x:f>
        <x:v>1979.9696645261388</x:v>
      </x:c>
      <x:c r="D831" s="4" t="n">
        <x:f>IF('계산 과정'!$L$5,B831*COS(C831),"")</x:f>
        <x:v>68.61367006791268</x:v>
      </x:c>
      <x:c r="E831" s="4" t="n">
        <x:f>IF('계산 과정'!$L$5,B831*SIN(C831),"")</x:f>
        <x:v>66.0407309696003</x:v>
      </x:c>
      <x:c r="F831" s="4" t="n">
        <x:f>IF('계산 과정'!$L$7,'계산 과정'!$L$22+'계산 과정'!$C$49*D831+'계산 과정'!$D$49*E831,"")</x:f>
        <x:v>601.4828086128825</x:v>
      </x:c>
      <x:c r="G831" s="4" t="n">
        <x:f>IF('계산 과정'!$L$7,IF(ABS(F831)&gt;=1E-12*MAX(1,SQRT((D831-'계산 과정'!$C$33)^2+(E831-'계산 과정'!$D$33)^2+'계산 과정'!$E$33^2)),('계산 과정'!$L$23-'계산 과정'!$C$49*D831-'계산 과정'!$D$49*E831)/F831,""),"")</x:f>
        <x:v>0.7456858034254898</x:v>
      </x:c>
      <x:c r="H831" s="4" t="n">
        <x:f>IF(AND(ISNUMBER(G831),G831&gt;0),('계산 과정'!$D$56+'계산 과정'!$D$57*D831+'계산 과정'!$D$58*E831)/F831,"")</x:f>
        <x:v>84.69577222656837</x:v>
      </x:c>
      <x:c r="I831" s="4" t="n">
        <x:f>IF(AND(ISNUMBER(G831),G831&gt;0),('계산 과정'!$E$56+'계산 과정'!$E$57*D831+'계산 과정'!$E$58*E831)/F831,"")</x:f>
        <x:v>115.28636650147334</x:v>
      </x:c>
      <x:c r="J831" s="4" t="n">
        <x:f>IF('계산 과정'!$L$5,'계산 과정'!$D$6+'계산 과정'!$C$35*D831+'계산 과정'!$D$35*E831,"")</x:f>
        <x:v>601.4828086128825</x:v>
      </x:c>
      <x:c r="K831" s="4" t="n">
        <x:f>IF(AND('계산 과정'!$L$6,J831&gt;0),'계산 과정'!$D$10*('계산 과정'!$C$38*(D831-'계산 과정'!$C$32)+'계산 과정'!$D$38*(E831-'계산 과정'!$D$32)-'계산 과정'!$E$38*'계산 과정'!$E$32)/J831,"")</x:f>
        <x:v>0.6453011217262362</x:v>
      </x:c>
      <x:c r="L831" s="4" t="n">
        <x:f>IF(AND('계산 과정'!$L$6,J831&gt;0),'계산 과정'!$D$10*('계산 과정'!$C$39*(D831-'계산 과정'!$C$32)+'계산 과정'!$D$39*(E831-'계산 과정'!$D$32)-'계산 과정'!$E$39*'계산 과정'!$E$32)/J831,"")</x:f>
        <x:v>0.8783723162017016</x:v>
      </x:c>
      <x:c r="M831" s="17" t="n">
        <x:f>IF('계산 과정'!$L$6,IF(J831&lt;=0,0,IF(AND(ABS(K831)&lt;='계산 과정'!$D$11/2,ABS(L831)&lt;='계산 과정'!$D$12/2),1,0)),"")</x:f>
        <x:v>1</x:v>
      </x:c>
      <x:c r="N831" s="17" t="n">
        <x:f>IF('계산 과정'!$C$78,IF(AND(ISNUMBER(H831),ISNUMBER(I831),ABS(H831-'계산 과정'!$C$88)&lt;='계산 과정'!$D$23/2,ABS(I831-'계산 과정'!$C$89)&lt;='계산 과정'!$D$24/2),1,0),"")</x:f>
        <x:v>1</x:v>
      </x:c>
      <x:c r="O831" s="4" t="n">
        <x:f>IF('계산 과정'!$L$7,'계산 과정'!$C$49*('계산 과정'!$C$32-D831)+'계산 과정'!$D$49*('계산 과정'!$D$32-E831)+'계산 과정'!$E$49*'계산 과정'!$E$32,"")</x:f>
        <x:v>48.51719138711758</x:v>
      </x:c>
      <x:c r="P831" s="4" t="n">
        <x:f>IF(AND('계산 과정'!$L$7,O831&lt;&gt;0),('계산 과정'!$L$23-'계산 과정'!$C$49*D831-'계산 과정'!$D$49*E831)/O831,"")</x:f>
        <x:v>9.244500321719139</x:v>
      </x:c>
      <x:c r="Q831" s="4" t="str">
        <x:f>IF(AND(ISNUMBER(P831),P831&gt;1E-9,P831&lt;1-1E-9),'계산 과정'!$C$47*(D831-'계산 과정'!$C$50+P831*('계산 과정'!$C$32-D831))+'계산 과정'!$D$47*(E831-'계산 과정'!$D$50+P831*('계산 과정'!$D$32-E831))+'계산 과정'!$E$47*(0-'계산 과정'!$E$50+P831*('계산 과정'!$E$32-0)),"")</x:f>
      </x:c>
      <x:c r="R831" s="4" t="str">
        <x:f>IF(AND(ISNUMBER(P831),P831&gt;1E-9,P831&lt;1-1E-9),'계산 과정'!$C$48*(D831-'계산 과정'!$C$50+P831*('계산 과정'!$C$32-D831))+'계산 과정'!$D$48*(E831-'계산 과정'!$D$50+P831*('계산 과정'!$D$32-E831))+'계산 과정'!$E$48*(0-'계산 과정'!$E$50+P831*('계산 과정'!$E$32-0)),"")</x:f>
      </x:c>
      <x:c r="S831" s="17" t="n">
        <x:f>IF('계산 과정'!$C$78,IF(AND(ISNUMBER(Q831),ISNUMBER(R831),ABS(Q831-'계산 과정'!$C$88)&lt;='계산 과정'!$D$23/2,ABS(R831-'계산 과정'!$C$89)&lt;='계산 과정'!$D$24/2),1,0),"")</x:f>
        <x:v>0</x:v>
      </x:c>
      <x:c r="T831" s="4"/>
      <x:c r="U831" s="4"/>
      <x:c r="V831" s="4"/>
      <x:c r="W831" s="4"/>
      <x:c r="X831" s="4"/>
      <x:c r="Y831" s="4"/>
      <x:c r="Z831" s="4"/>
    </x:row>
    <x:row r="832" ht="23" customHeight="1">
      <x:c r="A832" s="17" t="n">
        <x:f>ROW()-6</x:f>
        <x:v>826</x:v>
      </x:c>
      <x:c r="B832" s="4" t="n">
        <x:f>IF('계산 과정'!$L$5,'계산 과정'!$L$11*SQRT((A832+0.5)/'계산 과정'!$L$30),"")</x:f>
        <x:v>95.29008445432558</x:v>
      </x:c>
      <x:c r="C832" s="4" t="n">
        <x:f>A832*PI()*(3-SQRT(5))</x:f>
        <x:v>1982.3696277558674</x:v>
      </x:c>
      <x:c r="D832" s="4" t="n">
        <x:f>IF('계산 과정'!$L$5,B832*COS(C832),"")</x:f>
        <x:v>-95.26110437922434</x:v>
      </x:c>
      <x:c r="E832" s="4" t="n">
        <x:f>IF('계산 과정'!$L$5,B832*SIN(C832),"")</x:f>
        <x:v>-2.349933565662827</x:v>
      </x:c>
      <x:c r="F832" s="4" t="n">
        <x:f>IF('계산 과정'!$L$7,'계산 과정'!$L$22+'계산 과정'!$C$49*D832+'계산 과정'!$D$49*E832,"")</x:f>
        <x:v>717.3597728898691</x:v>
      </x:c>
      <x:c r="G832" s="4" t="n">
        <x:f>IF('계산 과정'!$L$7,IF(ABS(F832)&gt;=1E-12*MAX(1,SQRT((D832-'계산 과정'!$C$33)^2+(E832-'계산 과정'!$D$33)^2+'계산 과정'!$E$33^2)),('계산 과정'!$L$23-'계산 과정'!$C$49*D832-'계산 과정'!$D$49*E832)/F832,""),"")</x:f>
        <x:v>0.46370069758734406</x:v>
      </x:c>
      <x:c r="H832" s="4" t="n">
        <x:f>IF(AND(ISNUMBER(G832),G832&gt;0),('계산 과정'!$D$56+'계산 과정'!$D$57*D832+'계산 과정'!$D$58*E832)/F832,"")</x:f>
        <x:v>-98.59454656822652</x:v>
      </x:c>
      <x:c r="I832" s="4" t="n">
        <x:f>IF(AND(ISNUMBER(G832),G832&gt;0),('계산 과정'!$E$56+'계산 과정'!$E$57*D832+'계산 과정'!$E$58*E832)/F832,"")</x:f>
        <x:v>-3.4395993993445946</x:v>
      </x:c>
      <x:c r="J832" s="4" t="n">
        <x:f>IF('계산 과정'!$L$5,'계산 과정'!$D$6+'계산 과정'!$C$35*D832+'계산 과정'!$D$35*E832,"")</x:f>
        <x:v>717.3597728898691</x:v>
      </x:c>
      <x:c r="K832" s="4" t="n">
        <x:f>IF(AND('계산 과정'!$L$6,J832&gt;0),'계산 과정'!$D$10*('계산 과정'!$C$38*(D832-'계산 과정'!$C$32)+'계산 과정'!$D$38*(E832-'계산 과정'!$D$32)-'계산 과정'!$E$38*'계산 과정'!$E$32)/J832,"")</x:f>
        <x:v>-0.7511965452817245</x:v>
      </x:c>
      <x:c r="L832" s="4" t="n">
        <x:f>IF(AND('계산 과정'!$L$6,J832&gt;0),'계산 과정'!$D$10*('계산 과정'!$C$39*(D832-'계산 과정'!$C$32)+'계산 과정'!$D$39*(E832-'계산 과정'!$D$32)-'계산 과정'!$E$39*'계산 과정'!$E$32)/J832,"")</x:f>
        <x:v>-0.026206471614054053</x:v>
      </x:c>
      <x:c r="M832" s="17" t="n">
        <x:f>IF('계산 과정'!$L$6,IF(J832&lt;=0,0,IF(AND(ABS(K832)&lt;='계산 과정'!$D$11/2,ABS(L832)&lt;='계산 과정'!$D$12/2),1,0)),"")</x:f>
        <x:v>1</x:v>
      </x:c>
      <x:c r="N832" s="17" t="n">
        <x:f>IF('계산 과정'!$C$78,IF(AND(ISNUMBER(H832),ISNUMBER(I832),ABS(H832-'계산 과정'!$C$88)&lt;='계산 과정'!$D$23/2,ABS(I832-'계산 과정'!$C$89)&lt;='계산 과정'!$D$24/2),1,0),"")</x:f>
        <x:v>1</x:v>
      </x:c>
      <x:c r="O832" s="4" t="n">
        <x:f>IF('계산 과정'!$L$7,'계산 과정'!$C$49*('계산 과정'!$C$32-D832)+'계산 과정'!$D$49*('계산 과정'!$D$32-E832)+'계산 과정'!$E$49*'계산 과정'!$E$32,"")</x:f>
        <x:v>-67.3597728898689</x:v>
      </x:c>
      <x:c r="P832" s="4" t="n">
        <x:f>IF(AND('계산 과정'!$L$7,O832&lt;&gt;0),('계산 과정'!$L$23-'계산 과정'!$C$49*D832-'계산 과정'!$D$49*E832)/O832,"")</x:f>
        <x:v>-4.938262301655725</x:v>
      </x:c>
      <x:c r="Q832" s="4" t="str">
        <x:f>IF(AND(ISNUMBER(P832),P832&gt;1E-9,P832&lt;1-1E-9),'계산 과정'!$C$47*(D832-'계산 과정'!$C$50+P832*('계산 과정'!$C$32-D832))+'계산 과정'!$D$47*(E832-'계산 과정'!$D$50+P832*('계산 과정'!$D$32-E832))+'계산 과정'!$E$47*(0-'계산 과정'!$E$50+P832*('계산 과정'!$E$32-0)),"")</x:f>
      </x:c>
      <x:c r="R832" s="4" t="str">
        <x:f>IF(AND(ISNUMBER(P832),P832&gt;1E-9,P832&lt;1-1E-9),'계산 과정'!$C$48*(D832-'계산 과정'!$C$50+P832*('계산 과정'!$C$32-D832))+'계산 과정'!$D$48*(E832-'계산 과정'!$D$50+P832*('계산 과정'!$D$32-E832))+'계산 과정'!$E$48*(0-'계산 과정'!$E$50+P832*('계산 과정'!$E$32-0)),"")</x:f>
      </x:c>
      <x:c r="S832" s="17" t="n">
        <x:f>IF('계산 과정'!$C$78,IF(AND(ISNUMBER(Q832),ISNUMBER(R832),ABS(Q832-'계산 과정'!$C$88)&lt;='계산 과정'!$D$23/2,ABS(R832-'계산 과정'!$C$89)&lt;='계산 과정'!$D$24/2),1,0),"")</x:f>
        <x:v>0</x:v>
      </x:c>
      <x:c r="T832" s="4"/>
      <x:c r="U832" s="4"/>
      <x:c r="V832" s="4"/>
      <x:c r="W832" s="4"/>
      <x:c r="X832" s="4"/>
      <x:c r="Y832" s="4"/>
      <x:c r="Z832" s="4"/>
    </x:row>
    <x:row r="833" ht="23" customHeight="1">
      <x:c r="A833" s="17" t="n">
        <x:f>ROW()-6</x:f>
        <x:v>827</x:v>
      </x:c>
      <x:c r="B833" s="4" t="n">
        <x:f>IF('계산 과정'!$L$5,'계산 과정'!$L$11*SQRT((A833+0.5)/'계산 과정'!$L$30),"")</x:f>
        <x:v>95.34771378191246</x:v>
      </x:c>
      <x:c r="C833" s="4" t="n">
        <x:f>A833*PI()*(3-SQRT(5))</x:f>
        <x:v>1984.7695909855959</x:v>
      </x:c>
      <x:c r="D833" s="4" t="n">
        <x:f>IF('계산 과정'!$L$5,B833*COS(C833),"")</x:f>
        <x:v>71.8733721239523</x:v>
      </x:c>
      <x:c r="E833" s="4" t="n">
        <x:f>IF('계산 과정'!$L$5,B833*SIN(C833),"")</x:f>
        <x:v>-62.653051824866246</x:v>
      </x:c>
      <x:c r="F833" s="4" t="n">
        <x:f>IF('계산 과정'!$L$7,'계산 과정'!$L$22+'계산 과정'!$C$49*D833+'계산 과정'!$D$49*E833,"")</x:f>
        <x:v>599.1778511844092</x:v>
      </x:c>
      <x:c r="G833" s="4" t="n">
        <x:f>IF('계산 과정'!$L$7,IF(ABS(F833)&gt;=1E-12*MAX(1,SQRT((D833-'계산 과정'!$C$33)^2+(E833-'계산 과정'!$D$33)^2+'계산 과정'!$E$33^2)),('계산 과정'!$L$23-'계산 과정'!$C$49*D833-'계산 과정'!$D$49*E833)/F833,""),"")</x:f>
        <x:v>0.7524012243183554</x:v>
      </x:c>
      <x:c r="H833" s="4" t="n">
        <x:f>IF(AND(ISNUMBER(G833),G833&gt;0),('계산 과정'!$D$56+'계산 과정'!$D$57*D833+'계산 과정'!$D$58*E833)/F833,"")</x:f>
        <x:v>89.06079580693095</x:v>
      </x:c>
      <x:c r="I833" s="4" t="n">
        <x:f>IF(AND(ISNUMBER(G833),G833&gt;0),('계산 과정'!$E$56+'계산 과정'!$E$57*D833+'계산 과정'!$E$58*E833)/F833,"")</x:f>
        <x:v>-109.79328472517697</x:v>
      </x:c>
      <x:c r="J833" s="4" t="n">
        <x:f>IF('계산 과정'!$L$5,'계산 과정'!$D$6+'계산 과정'!$C$35*D833+'계산 과정'!$D$35*E833,"")</x:f>
        <x:v>599.1778511844092</x:v>
      </x:c>
      <x:c r="K833" s="4" t="n">
        <x:f>IF(AND('계산 과정'!$L$6,J833&gt;0),'계산 과정'!$D$10*('계산 과정'!$C$38*(D833-'계산 과정'!$C$32)+'계산 과정'!$D$38*(E833-'계산 과정'!$D$32)-'계산 과정'!$E$38*'계산 과정'!$E$32)/J833,"")</x:f>
        <x:v>0.6785584442432847</x:v>
      </x:c>
      <x:c r="L833" s="4" t="n">
        <x:f>IF(AND('계산 과정'!$L$6,J833&gt;0),'계산 과정'!$D$10*('계산 과정'!$C$39*(D833-'계산 과정'!$C$32)+'계산 과정'!$D$39*(E833-'계산 과정'!$D$32)-'계산 과정'!$E$39*'계산 과정'!$E$32)/J833,"")</x:f>
        <x:v>-0.836520264572777</x:v>
      </x:c>
      <x:c r="M833" s="17" t="n">
        <x:f>IF('계산 과정'!$L$6,IF(J833&lt;=0,0,IF(AND(ABS(K833)&lt;='계산 과정'!$D$11/2,ABS(L833)&lt;='계산 과정'!$D$12/2),1,0)),"")</x:f>
        <x:v>1</x:v>
      </x:c>
      <x:c r="N833" s="17" t="n">
        <x:f>IF('계산 과정'!$C$78,IF(AND(ISNUMBER(H833),ISNUMBER(I833),ABS(H833-'계산 과정'!$C$88)&lt;='계산 과정'!$D$23/2,ABS(I833-'계산 과정'!$C$89)&lt;='계산 과정'!$D$24/2),1,0),"")</x:f>
        <x:v>1</x:v>
      </x:c>
      <x:c r="O833" s="4" t="n">
        <x:f>IF('계산 과정'!$L$7,'계산 과정'!$C$49*('계산 과정'!$C$32-D833)+'계산 과정'!$D$49*('계산 과정'!$D$32-E833)+'계산 과정'!$E$49*'계산 과정'!$E$32,"")</x:f>
        <x:v>50.82214881559099</x:v>
      </x:c>
      <x:c r="P833" s="4" t="n">
        <x:f>IF(AND('계산 과정'!$L$7,O833&lt;&gt;0),('계산 과정'!$L$23-'계산 과정'!$C$49*D833-'계산 과정'!$D$49*E833)/O833,"")</x:f>
        <x:v>8.870584170917418</x:v>
      </x:c>
      <x:c r="Q833" s="4" t="str">
        <x:f>IF(AND(ISNUMBER(P833),P833&gt;1E-9,P833&lt;1-1E-9),'계산 과정'!$C$47*(D833-'계산 과정'!$C$50+P833*('계산 과정'!$C$32-D833))+'계산 과정'!$D$47*(E833-'계산 과정'!$D$50+P833*('계산 과정'!$D$32-E833))+'계산 과정'!$E$47*(0-'계산 과정'!$E$50+P833*('계산 과정'!$E$32-0)),"")</x:f>
      </x:c>
      <x:c r="R833" s="4" t="str">
        <x:f>IF(AND(ISNUMBER(P833),P833&gt;1E-9,P833&lt;1-1E-9),'계산 과정'!$C$48*(D833-'계산 과정'!$C$50+P833*('계산 과정'!$C$32-D833))+'계산 과정'!$D$48*(E833-'계산 과정'!$D$50+P833*('계산 과정'!$D$32-E833))+'계산 과정'!$E$48*(0-'계산 과정'!$E$50+P833*('계산 과정'!$E$32-0)),"")</x:f>
      </x:c>
      <x:c r="S833" s="17" t="n">
        <x:f>IF('계산 과정'!$C$78,IF(AND(ISNUMBER(Q833),ISNUMBER(R833),ABS(Q833-'계산 과정'!$C$88)&lt;='계산 과정'!$D$23/2,ABS(R833-'계산 과정'!$C$89)&lt;='계산 과정'!$D$24/2),1,0),"")</x:f>
        <x:v>0</x:v>
      </x:c>
      <x:c r="T833" s="4"/>
      <x:c r="U833" s="4"/>
      <x:c r="V833" s="4"/>
      <x:c r="W833" s="4"/>
      <x:c r="X833" s="4"/>
      <x:c r="Y833" s="4"/>
      <x:c r="Z833" s="4"/>
    </x:row>
    <x:row r="834" ht="23" customHeight="1">
      <x:c r="A834" s="17" t="n">
        <x:f>ROW()-6</x:f>
        <x:v>828</x:v>
      </x:c>
      <x:c r="B834" s="4" t="n">
        <x:f>IF('계산 과정'!$L$5,'계산 과정'!$L$11*SQRT((A834+0.5)/'계산 과정'!$L$30),"")</x:f>
        <x:v>95.40530829866071</x:v>
      </x:c>
      <x:c r="C834" s="4" t="n">
        <x:f>A834*PI()*(3-SQRT(5))</x:f>
        <x:v>1987.1695542153245</x:v>
      </x:c>
      <x:c r="D834" s="4" t="n">
        <x:f>IF('계산 과정'!$L$5,B834*COS(C834),"")</x:f>
        <x:v>-10.682107955011357</x:v>
      </x:c>
      <x:c r="E834" s="4" t="n">
        <x:f>IF('계산 과정'!$L$5,B834*SIN(C834),"")</x:f>
        <x:v>94.80540818539826</x:v>
      </x:c>
      <x:c r="F834" s="4" t="n">
        <x:f>IF('계산 과정'!$L$7,'계산 과정'!$L$22+'계산 과정'!$C$49*D834+'계산 과정'!$D$49*E834,"")</x:f>
        <x:v>657.5533909723553</x:v>
      </x:c>
      <x:c r="G834" s="4" t="n">
        <x:f>IF('계산 과정'!$L$7,IF(ABS(F834)&gt;=1E-12*MAX(1,SQRT((D834-'계산 과정'!$C$33)^2+(E834-'계산 과정'!$D$33)^2+'계산 과정'!$E$33^2)),('계산 과정'!$L$23-'계산 과정'!$C$49*D834-'계산 과정'!$D$49*E834)/F834,""),"")</x:f>
        <x:v>0.5968285076399885</x:v>
      </x:c>
      <x:c r="H834" s="4" t="n">
        <x:f>IF(AND(ISNUMBER(G834),G834&gt;0),('계산 과정'!$D$56+'계산 과정'!$D$57*D834+'계산 과정'!$D$58*E834)/F834,"")</x:f>
        <x:v>-12.061470034007582</x:v>
      </x:c>
      <x:c r="I834" s="4" t="n">
        <x:f>IF(AND(ISNUMBER(G834),G834&gt;0),('계산 과정'!$E$56+'계산 과정'!$E$57*D834+'계산 과정'!$E$58*E834)/F834,"")</x:f>
        <x:v>151.38797846888946</x:v>
      </x:c>
      <x:c r="J834" s="4" t="n">
        <x:f>IF('계산 과정'!$L$5,'계산 과정'!$D$6+'계산 과정'!$C$35*D834+'계산 과정'!$D$35*E834,"")</x:f>
        <x:v>657.5533909723553</x:v>
      </x:c>
      <x:c r="K834" s="4" t="n">
        <x:f>IF(AND('계산 과정'!$L$6,J834&gt;0),'계산 과정'!$D$10*('계산 과정'!$C$38*(D834-'계산 과정'!$C$32)+'계산 과정'!$D$38*(E834-'계산 과정'!$D$32)-'계산 과정'!$E$38*'계산 과정'!$E$32)/J834,"")</x:f>
        <x:v>-0.09189691454481906</x:v>
      </x:c>
      <x:c r="L834" s="4" t="n">
        <x:f>IF(AND('계산 과정'!$L$6,J834&gt;0),'계산 과정'!$D$10*('계산 과정'!$C$39*(D834-'계산 과정'!$C$32)+'계산 과정'!$D$39*(E834-'계산 과정'!$D$32)-'계산 과정'!$E$39*'계산 과정'!$E$32)/J834,"")</x:f>
        <x:v>1.1534322169058244</x:v>
      </x:c>
      <x:c r="M834" s="17" t="n">
        <x:f>IF('계산 과정'!$L$6,IF(J834&lt;=0,0,IF(AND(ABS(K834)&lt;='계산 과정'!$D$11/2,ABS(L834)&lt;='계산 과정'!$D$12/2),1,0)),"")</x:f>
        <x:v>1</x:v>
      </x:c>
      <x:c r="N834" s="17" t="n">
        <x:f>IF('계산 과정'!$C$78,IF(AND(ISNUMBER(H834),ISNUMBER(I834),ABS(H834-'계산 과정'!$C$88)&lt;='계산 과정'!$D$23/2,ABS(I834-'계산 과정'!$C$89)&lt;='계산 과정'!$D$24/2),1,0),"")</x:f>
        <x:v>1</x:v>
      </x:c>
      <x:c r="O834" s="4" t="n">
        <x:f>IF('계산 과정'!$L$7,'계산 과정'!$C$49*('계산 과정'!$C$32-D834)+'계산 과정'!$D$49*('계산 과정'!$D$32-E834)+'계산 과정'!$E$49*'계산 과정'!$E$32,"")</x:f>
        <x:v>-7.553390972355203</x:v>
      </x:c>
      <x:c r="P834" s="4" t="n">
        <x:f>IF(AND('계산 과정'!$L$7,O834&lt;&gt;0),('계산 과정'!$L$23-'계산 과정'!$C$49*D834-'계산 과정'!$D$49*E834)/O834,"")</x:f>
        <x:v>-51.95634787924621</x:v>
      </x:c>
      <x:c r="Q834" s="4" t="str">
        <x:f>IF(AND(ISNUMBER(P834),P834&gt;1E-9,P834&lt;1-1E-9),'계산 과정'!$C$47*(D834-'계산 과정'!$C$50+P834*('계산 과정'!$C$32-D834))+'계산 과정'!$D$47*(E834-'계산 과정'!$D$50+P834*('계산 과정'!$D$32-E834))+'계산 과정'!$E$47*(0-'계산 과정'!$E$50+P834*('계산 과정'!$E$32-0)),"")</x:f>
      </x:c>
      <x:c r="R834" s="4" t="str">
        <x:f>IF(AND(ISNUMBER(P834),P834&gt;1E-9,P834&lt;1-1E-9),'계산 과정'!$C$48*(D834-'계산 과정'!$C$50+P834*('계산 과정'!$C$32-D834))+'계산 과정'!$D$48*(E834-'계산 과정'!$D$50+P834*('계산 과정'!$D$32-E834))+'계산 과정'!$E$48*(0-'계산 과정'!$E$50+P834*('계산 과정'!$E$32-0)),"")</x:f>
      </x:c>
      <x:c r="S834" s="17" t="n">
        <x:f>IF('계산 과정'!$C$78,IF(AND(ISNUMBER(Q834),ISNUMBER(R834),ABS(Q834-'계산 과정'!$C$88)&lt;='계산 과정'!$D$23/2,ABS(R834-'계산 과정'!$C$89)&lt;='계산 과정'!$D$24/2),1,0),"")</x:f>
        <x:v>0</x:v>
      </x:c>
      <x:c r="T834" s="4"/>
      <x:c r="U834" s="4"/>
      <x:c r="V834" s="4"/>
      <x:c r="W834" s="4"/>
      <x:c r="X834" s="4"/>
      <x:c r="Y834" s="4"/>
      <x:c r="Z834" s="4"/>
    </x:row>
    <x:row r="835" ht="23" customHeight="1">
      <x:c r="A835" s="17" t="n">
        <x:f>ROW()-6</x:f>
        <x:v>829</x:v>
      </x:c>
      <x:c r="B835" s="4" t="n">
        <x:f>IF('계산 과정'!$L$5,'계산 과정'!$L$11*SQRT((A835+0.5)/'계산 과정'!$L$30),"")</x:f>
        <x:v>95.46286806757641</x:v>
      </x:c>
      <x:c r="C835" s="4" t="n">
        <x:f>A835*PI()*(3-SQRT(5))</x:f>
        <x:v>1989.5695174450534</x:v>
      </x:c>
      <x:c r="D835" s="4" t="n">
        <x:f>IF('계산 과정'!$L$5,B835*COS(C835),"")</x:f>
        <x:v>-56.19736356945953</x:v>
      </x:c>
      <x:c r="E835" s="4" t="n">
        <x:f>IF('계산 과정'!$L$5,B835*SIN(C835),"")</x:f>
        <x:v>-77.16874696099116</x:v>
      </x:c>
      <x:c r="F835" s="4" t="n">
        <x:f>IF('계산 과정'!$L$7,'계산 과정'!$L$22+'계산 과정'!$C$49*D835+'계산 과정'!$D$49*E835,"")</x:f>
        <x:v>689.7375368647706</x:v>
      </x:c>
      <x:c r="G835" s="4" t="n">
        <x:f>IF('계산 과정'!$L$7,IF(ABS(F835)&gt;=1E-12*MAX(1,SQRT((D835-'계산 과정'!$C$33)^2+(E835-'계산 과정'!$D$33)^2+'계산 과정'!$E$33^2)),('계산 과정'!$L$23-'계산 과정'!$C$49*D835-'계산 과정'!$D$49*E835)/F835,""),"")</x:f>
        <x:v>0.5223181918919719</x:v>
      </x:c>
      <x:c r="H835" s="4" t="n">
        <x:f>IF(AND(ISNUMBER(G835),G835&gt;0),('계산 과정'!$D$56+'계산 과정'!$D$57*D835+'계산 과정'!$D$58*E835)/F835,"")</x:f>
        <x:v>-60.49317527021841</x:v>
      </x:c>
      <x:c r="I835" s="4" t="n">
        <x:f>IF(AND(ISNUMBER(G835),G835&gt;0),('계산 과정'!$E$56+'계산 과정'!$E$57*D835+'계산 과정'!$E$58*E835)/F835,"")</x:f>
        <x:v>-117.47538734422518</x:v>
      </x:c>
      <x:c r="J835" s="4" t="n">
        <x:f>IF('계산 과정'!$L$5,'계산 과정'!$D$6+'계산 과정'!$C$35*D835+'계산 과정'!$D$35*E835,"")</x:f>
        <x:v>689.7375368647706</x:v>
      </x:c>
      <x:c r="K835" s="4" t="n">
        <x:f>IF(AND('계산 과정'!$L$6,J835&gt;0),'계산 과정'!$D$10*('계산 과정'!$C$38*(D835-'계산 과정'!$C$32)+'계산 과정'!$D$38*(E835-'계산 과정'!$D$32)-'계산 과정'!$E$38*'계산 과정'!$E$32)/J835,"")</x:f>
        <x:v>-0.46090038301118685</x:v>
      </x:c>
      <x:c r="L835" s="4" t="n">
        <x:f>IF(AND('계산 과정'!$L$6,J835&gt;0),'계산 과정'!$D$10*('계산 과정'!$C$39*(D835-'계산 과정'!$C$32)+'계산 과정'!$D$39*(E835-'계산 과정'!$D$32)-'계산 과정'!$E$39*'계산 과정'!$E$32)/J835,"")</x:f>
        <x:v>-0.8950505702417155</x:v>
      </x:c>
      <x:c r="M835" s="17" t="n">
        <x:f>IF('계산 과정'!$L$6,IF(J835&lt;=0,0,IF(AND(ABS(K835)&lt;='계산 과정'!$D$11/2,ABS(L835)&lt;='계산 과정'!$D$12/2),1,0)),"")</x:f>
        <x:v>1</x:v>
      </x:c>
      <x:c r="N835" s="17" t="n">
        <x:f>IF('계산 과정'!$C$78,IF(AND(ISNUMBER(H835),ISNUMBER(I835),ABS(H835-'계산 과정'!$C$88)&lt;='계산 과정'!$D$23/2,ABS(I835-'계산 과정'!$C$89)&lt;='계산 과정'!$D$24/2),1,0),"")</x:f>
        <x:v>1</x:v>
      </x:c>
      <x:c r="O835" s="4" t="n">
        <x:f>IF('계산 과정'!$L$7,'계산 과정'!$C$49*('계산 과정'!$C$32-D835)+'계산 과정'!$D$49*('계산 과정'!$D$32-E835)+'계산 과정'!$E$49*'계산 과정'!$E$32,"")</x:f>
        <x:v>-39.73753686477056</x:v>
      </x:c>
      <x:c r="P835" s="4" t="n">
        <x:f>IF(AND('계산 과정'!$L$7,O835&lt;&gt;0),('계산 과정'!$L$23-'계산 과정'!$C$49*D835-'계산 과정'!$D$49*E835)/O835,"")</x:f>
        <x:v>-9.066049170617346</x:v>
      </x:c>
      <x:c r="Q835" s="4" t="str">
        <x:f>IF(AND(ISNUMBER(P835),P835&gt;1E-9,P835&lt;1-1E-9),'계산 과정'!$C$47*(D835-'계산 과정'!$C$50+P835*('계산 과정'!$C$32-D835))+'계산 과정'!$D$47*(E835-'계산 과정'!$D$50+P835*('계산 과정'!$D$32-E835))+'계산 과정'!$E$47*(0-'계산 과정'!$E$50+P835*('계산 과정'!$E$32-0)),"")</x:f>
      </x:c>
      <x:c r="R835" s="4" t="str">
        <x:f>IF(AND(ISNUMBER(P835),P835&gt;1E-9,P835&lt;1-1E-9),'계산 과정'!$C$48*(D835-'계산 과정'!$C$50+P835*('계산 과정'!$C$32-D835))+'계산 과정'!$D$48*(E835-'계산 과정'!$D$50+P835*('계산 과정'!$D$32-E835))+'계산 과정'!$E$48*(0-'계산 과정'!$E$50+P835*('계산 과정'!$E$32-0)),"")</x:f>
      </x:c>
      <x:c r="S835" s="17" t="n">
        <x:f>IF('계산 과정'!$C$78,IF(AND(ISNUMBER(Q835),ISNUMBER(R835),ABS(Q835-'계산 과정'!$C$88)&lt;='계산 과정'!$D$23/2,ABS(R835-'계산 과정'!$C$89)&lt;='계산 과정'!$D$24/2),1,0),"")</x:f>
        <x:v>0</x:v>
      </x:c>
      <x:c r="T835" s="4"/>
      <x:c r="U835" s="4"/>
      <x:c r="V835" s="4"/>
      <x:c r="W835" s="4"/>
      <x:c r="X835" s="4"/>
      <x:c r="Y835" s="4"/>
      <x:c r="Z835" s="4"/>
    </x:row>
    <x:row r="836" ht="23" customHeight="1">
      <x:c r="A836" s="17" t="n">
        <x:f>ROW()-6</x:f>
        <x:v>830</x:v>
      </x:c>
      <x:c r="B836" s="4" t="n">
        <x:f>IF('계산 과정'!$L$5,'계산 과정'!$L$11*SQRT((A836+0.5)/'계산 과정'!$L$30),"")</x:f>
        <x:v>95.52039315147579</x:v>
      </x:c>
      <x:c r="C836" s="4" t="n">
        <x:f>A836*PI()*(3-SQRT(5))</x:f>
        <x:v>1991.9694806747818</x:v>
      </x:c>
      <x:c r="D836" s="4" t="n">
        <x:f>IF('계산 과정'!$L$5,B836*COS(C836),"")</x:f>
        <x:v>93.62130791967941</x:v>
      </x:c>
      <x:c r="E836" s="4" t="n">
        <x:f>IF('계산 과정'!$L$5,B836*SIN(C836),"")</x:f>
        <x:v>18.95247243029458</x:v>
      </x:c>
      <x:c r="F836" s="4" t="n">
        <x:f>IF('계산 과정'!$L$7,'계산 과정'!$L$22+'계산 과정'!$C$49*D836+'계산 과정'!$D$49*E836,"")</x:f>
        <x:v>583.7997383064409</x:v>
      </x:c>
      <x:c r="G836" s="4" t="n">
        <x:f>IF('계산 과정'!$L$7,IF(ABS(F836)&gt;=1E-12*MAX(1,SQRT((D836-'계산 과정'!$C$33)^2+(E836-'계산 과정'!$D$33)^2+'계산 과정'!$E$33^2)),('계산 과정'!$L$23-'계산 과정'!$C$49*D836-'계산 과정'!$D$49*E836)/F836,""),"")</x:f>
        <x:v>0.7985619573005822</x:v>
      </x:c>
      <x:c r="H836" s="4" t="n">
        <x:f>IF(AND(ISNUMBER(G836),G836&gt;0),('계산 과정'!$D$56+'계산 과정'!$D$57*D836+'계산 과정'!$D$58*E836)/F836,"")</x:f>
        <x:v>119.0652722453784</x:v>
      </x:c>
      <x:c r="I836" s="4" t="n">
        <x:f>IF(AND(ISNUMBER(G836),G836&gt;0),('계산 과정'!$E$56+'계산 과정'!$E$57*D836+'계산 과정'!$E$58*E836)/F836,"")</x:f>
        <x:v>34.08719590991594</x:v>
      </x:c>
      <x:c r="J836" s="4" t="n">
        <x:f>IF('계산 과정'!$L$5,'계산 과정'!$D$6+'계산 과정'!$C$35*D836+'계산 과정'!$D$35*E836,"")</x:f>
        <x:v>583.7997383064409</x:v>
      </x:c>
      <x:c r="K836" s="4" t="n">
        <x:f>IF(AND('계산 과정'!$L$6,J836&gt;0),'계산 과정'!$D$10*('계산 과정'!$C$38*(D836-'계산 과정'!$C$32)+'계산 과정'!$D$38*(E836-'계산 과정'!$D$32)-'계산 과정'!$E$38*'계산 과정'!$E$32)/J836,"")</x:f>
        <x:v>0.9071639790124073</x:v>
      </x:c>
      <x:c r="L836" s="4" t="n">
        <x:f>IF(AND('계산 과정'!$L$6,J836&gt;0),'계산 과정'!$D$10*('계산 과정'!$C$39*(D836-'계산 과정'!$C$32)+'계산 과정'!$D$39*(E836-'계산 과정'!$D$32)-'계산 과정'!$E$39*'계산 과정'!$E$32)/J836,"")</x:f>
        <x:v>0.2597119688374548</x:v>
      </x:c>
      <x:c r="M836" s="17" t="n">
        <x:f>IF('계산 과정'!$L$6,IF(J836&lt;=0,0,IF(AND(ABS(K836)&lt;='계산 과정'!$D$11/2,ABS(L836)&lt;='계산 과정'!$D$12/2),1,0)),"")</x:f>
        <x:v>1</x:v>
      </x:c>
      <x:c r="N836" s="17" t="n">
        <x:f>IF('계산 과정'!$C$78,IF(AND(ISNUMBER(H836),ISNUMBER(I836),ABS(H836-'계산 과정'!$C$88)&lt;='계산 과정'!$D$23/2,ABS(I836-'계산 과정'!$C$89)&lt;='계산 과정'!$D$24/2),1,0),"")</x:f>
        <x:v>1</x:v>
      </x:c>
      <x:c r="O836" s="4" t="n">
        <x:f>IF('계산 과정'!$L$7,'계산 과정'!$C$49*('계산 과정'!$C$32-D836)+'계산 과정'!$D$49*('계산 과정'!$D$32-E836)+'계산 과정'!$E$49*'계산 과정'!$E$32,"")</x:f>
        <x:v>66.20026169355924</x:v>
      </x:c>
      <x:c r="P836" s="4" t="n">
        <x:f>IF(AND('계산 과정'!$L$7,O836&lt;&gt;0),('계산 과정'!$L$23-'계산 과정'!$C$49*D836-'계산 과정'!$D$49*E836)/O836,"")</x:f>
        <x:v>7.042272186952951</x:v>
      </x:c>
      <x:c r="Q836" s="4" t="str">
        <x:f>IF(AND(ISNUMBER(P836),P836&gt;1E-9,P836&lt;1-1E-9),'계산 과정'!$C$47*(D836-'계산 과정'!$C$50+P836*('계산 과정'!$C$32-D836))+'계산 과정'!$D$47*(E836-'계산 과정'!$D$50+P836*('계산 과정'!$D$32-E836))+'계산 과정'!$E$47*(0-'계산 과정'!$E$50+P836*('계산 과정'!$E$32-0)),"")</x:f>
      </x:c>
      <x:c r="R836" s="4" t="str">
        <x:f>IF(AND(ISNUMBER(P836),P836&gt;1E-9,P836&lt;1-1E-9),'계산 과정'!$C$48*(D836-'계산 과정'!$C$50+P836*('계산 과정'!$C$32-D836))+'계산 과정'!$D$48*(E836-'계산 과정'!$D$50+P836*('계산 과정'!$D$32-E836))+'계산 과정'!$E$48*(0-'계산 과정'!$E$50+P836*('계산 과정'!$E$32-0)),"")</x:f>
      </x:c>
      <x:c r="S836" s="17" t="n">
        <x:f>IF('계산 과정'!$C$78,IF(AND(ISNUMBER(Q836),ISNUMBER(R836),ABS(Q836-'계산 과정'!$C$88)&lt;='계산 과정'!$D$23/2,ABS(R836-'계산 과정'!$C$89)&lt;='계산 과정'!$D$24/2),1,0),"")</x:f>
        <x:v>0</x:v>
      </x:c>
      <x:c r="T836" s="4"/>
      <x:c r="U836" s="4"/>
      <x:c r="V836" s="4"/>
      <x:c r="W836" s="4"/>
      <x:c r="X836" s="4"/>
      <x:c r="Y836" s="4"/>
      <x:c r="Z836" s="4"/>
    </x:row>
    <x:row r="837" ht="23" customHeight="1">
      <x:c r="A837" s="17" t="n">
        <x:f>ROW()-6</x:f>
        <x:v>831</x:v>
      </x:c>
      <x:c r="B837" s="4" t="n">
        <x:f>IF('계산 과정'!$L$5,'계산 과정'!$L$11*SQRT((A837+0.5)/'계산 과정'!$L$30),"")</x:f>
        <x:v>95.57788361298601</x:v>
      </x:c>
      <x:c r="C837" s="4" t="n">
        <x:f>A837*PI()*(3-SQRT(5))</x:f>
        <x:v>1994.3694439045105</x:v>
      </x:c>
      <x:c r="D837" s="4" t="n">
        <x:f>IF('계산 과정'!$L$5,B837*COS(C837),"")</x:f>
        <x:v>-81.8849040459602</x:v>
      </x:c>
      <x:c r="E837" s="4" t="n">
        <x:f>IF('계산 과정'!$L$5,B837*SIN(C837),"")</x:f>
        <x:v>49.294972617107625</x:v>
      </x:c>
      <x:c r="F837" s="4" t="n">
        <x:f>IF('계산 과정'!$L$7,'계산 과정'!$L$22+'계산 과정'!$C$49*D837+'계산 과정'!$D$49*E837,"")</x:f>
        <x:v>707.9013709277082</x:v>
      </x:c>
      <x:c r="G837" s="4" t="n">
        <x:f>IF('계산 과정'!$L$7,IF(ABS(F837)&gt;=1E-12*MAX(1,SQRT((D837-'계산 과정'!$C$33)^2+(E837-'계산 과정'!$D$33)^2+'계산 과정'!$E$33^2)),('계산 과정'!$L$23-'계산 과정'!$C$49*D837-'계산 과정'!$D$49*E837)/F837,""),"")</x:f>
        <x:v>0.48325747501233096</x:v>
      </x:c>
      <x:c r="H837" s="4" t="n">
        <x:f>IF(AND(ISNUMBER(G837),G837&gt;0),('계산 과정'!$D$56+'계산 과정'!$D$57*D837+'계산 과정'!$D$58*E837)/F837,"")</x:f>
        <x:v>-85.88264124198501</x:v>
      </x:c>
      <x:c r="I837" s="4" t="n">
        <x:f>IF(AND(ISNUMBER(G837),G837&gt;0),('계산 과정'!$E$56+'계산 과정'!$E$57*D837+'계산 과정'!$E$58*E837)/F837,"")</x:f>
        <x:v>73.11713661485305</x:v>
      </x:c>
      <x:c r="J837" s="4" t="n">
        <x:f>IF('계산 과정'!$L$5,'계산 과정'!$D$6+'계산 과정'!$C$35*D837+'계산 과정'!$D$35*E837,"")</x:f>
        <x:v>707.9013709277082</x:v>
      </x:c>
      <x:c r="K837" s="4" t="n">
        <x:f>IF(AND('계산 과정'!$L$6,J837&gt;0),'계산 과정'!$D$10*('계산 과정'!$C$38*(D837-'계산 과정'!$C$32)+'계산 과정'!$D$38*(E837-'계산 과정'!$D$32)-'계산 과정'!$E$38*'계산 과정'!$E$32)/J837,"")</x:f>
        <x:v>-0.6543439332722659</x:v>
      </x:c>
      <x:c r="L837" s="4" t="n">
        <x:f>IF(AND('계산 과정'!$L$6,J837&gt;0),'계산 과정'!$D$10*('계산 과정'!$C$39*(D837-'계산 과정'!$C$32)+'계산 과정'!$D$39*(E837-'계산 과정'!$D$32)-'계산 과정'!$E$39*'계산 과정'!$E$32)/J837,"")</x:f>
        <x:v>0.5570829456369757</x:v>
      </x:c>
      <x:c r="M837" s="17" t="n">
        <x:f>IF('계산 과정'!$L$6,IF(J837&lt;=0,0,IF(AND(ABS(K837)&lt;='계산 과정'!$D$11/2,ABS(L837)&lt;='계산 과정'!$D$12/2),1,0)),"")</x:f>
        <x:v>1</x:v>
      </x:c>
      <x:c r="N837" s="17" t="n">
        <x:f>IF('계산 과정'!$C$78,IF(AND(ISNUMBER(H837),ISNUMBER(I837),ABS(H837-'계산 과정'!$C$88)&lt;='계산 과정'!$D$23/2,ABS(I837-'계산 과정'!$C$89)&lt;='계산 과정'!$D$24/2),1,0),"")</x:f>
        <x:v>1</x:v>
      </x:c>
      <x:c r="O837" s="4" t="n">
        <x:f>IF('계산 과정'!$L$7,'계산 과정'!$C$49*('계산 과정'!$C$32-D837)+'계산 과정'!$D$49*('계산 과정'!$D$32-E837)+'계산 과정'!$E$49*'계산 과정'!$E$32,"")</x:f>
        <x:v>-57.901370927708115</x:v>
      </x:c>
      <x:c r="P837" s="4" t="n">
        <x:f>IF(AND('계산 과정'!$L$7,O837&lt;&gt;0),('계산 과정'!$L$23-'계산 과정'!$C$49*D837-'계산 과정'!$D$49*E837)/O837,"")</x:f>
        <x:v>-5.908299295700854</x:v>
      </x:c>
      <x:c r="Q837" s="4" t="str">
        <x:f>IF(AND(ISNUMBER(P837),P837&gt;1E-9,P837&lt;1-1E-9),'계산 과정'!$C$47*(D837-'계산 과정'!$C$50+P837*('계산 과정'!$C$32-D837))+'계산 과정'!$D$47*(E837-'계산 과정'!$D$50+P837*('계산 과정'!$D$32-E837))+'계산 과정'!$E$47*(0-'계산 과정'!$E$50+P837*('계산 과정'!$E$32-0)),"")</x:f>
      </x:c>
      <x:c r="R837" s="4" t="str">
        <x:f>IF(AND(ISNUMBER(P837),P837&gt;1E-9,P837&lt;1-1E-9),'계산 과정'!$C$48*(D837-'계산 과정'!$C$50+P837*('계산 과정'!$C$32-D837))+'계산 과정'!$D$48*(E837-'계산 과정'!$D$50+P837*('계산 과정'!$D$32-E837))+'계산 과정'!$E$48*(0-'계산 과정'!$E$50+P837*('계산 과정'!$E$32-0)),"")</x:f>
      </x:c>
      <x:c r="S837" s="17" t="n">
        <x:f>IF('계산 과정'!$C$78,IF(AND(ISNUMBER(Q837),ISNUMBER(R837),ABS(Q837-'계산 과정'!$C$88)&lt;='계산 과정'!$D$23/2,ABS(R837-'계산 과정'!$C$89)&lt;='계산 과정'!$D$24/2),1,0),"")</x:f>
        <x:v>0</x:v>
      </x:c>
      <x:c r="T837" s="4"/>
      <x:c r="U837" s="4"/>
      <x:c r="V837" s="4"/>
      <x:c r="W837" s="4"/>
      <x:c r="X837" s="4"/>
      <x:c r="Y837" s="4"/>
      <x:c r="Z837" s="4"/>
    </x:row>
    <x:row r="838" ht="23" customHeight="1">
      <x:c r="A838" s="17" t="n">
        <x:f>ROW()-6</x:f>
        <x:v>832</x:v>
      </x:c>
      <x:c r="B838" s="4" t="n">
        <x:f>IF('계산 과정'!$L$5,'계산 과정'!$L$11*SQRT((A838+0.5)/'계산 과정'!$L$30),"")</x:f>
        <x:v>95.63533951454609</x:v>
      </x:c>
      <x:c r="C838" s="4" t="n">
        <x:f>A838*PI()*(3-SQRT(5))</x:f>
        <x:v>1996.7694071342394</x:v>
      </x:c>
      <x:c r="D838" s="4" t="n">
        <x:f>IF('계산 과정'!$L$5,B838*COS(C838),"")</x:f>
        <x:v>27.097383864457818</x:v>
      </x:c>
      <x:c r="E838" s="4" t="n">
        <x:f>IF('계산 과정'!$L$5,B838*SIN(C838),"")</x:f>
        <x:v>-91.71613790257808</x:v>
      </x:c>
      <x:c r="F838" s="4" t="n">
        <x:f>IF('계산 과정'!$L$7,'계산 과정'!$L$22+'계산 과정'!$C$49*D838+'계산 과정'!$D$49*E838,"")</x:f>
        <x:v>630.8392561170269</x:v>
      </x:c>
      <x:c r="G838" s="4" t="n">
        <x:f>IF('계산 과정'!$L$7,IF(ABS(F838)&gt;=1E-12*MAX(1,SQRT((D838-'계산 과정'!$C$33)^2+(E838-'계산 과정'!$D$33)^2+'계산 과정'!$E$33^2)),('계산 과정'!$L$23-'계산 과정'!$C$49*D838-'계산 과정'!$D$49*E838)/F838,""),"")</x:f>
        <x:v>0.6644493661713636</x:v>
      </x:c>
      <x:c r="H838" s="4" t="n">
        <x:f>IF(AND(ISNUMBER(G838),G838&gt;0),('계산 과정'!$D$56+'계산 과정'!$D$57*D838+'계산 과정'!$D$58*E838)/F838,"")</x:f>
        <x:v>31.89208801138623</x:v>
      </x:c>
      <x:c r="I838" s="4" t="n">
        <x:f>IF(AND(ISNUMBER(G838),G838&gt;0),('계산 과정'!$E$56+'계산 과정'!$E$57*D838+'계산 과정'!$E$58*E838)/F838,"")</x:f>
        <x:v>-152.65686759963148</x:v>
      </x:c>
      <x:c r="J838" s="4" t="n">
        <x:f>IF('계산 과정'!$L$5,'계산 과정'!$D$6+'계산 과정'!$C$35*D838+'계산 과정'!$D$35*E838,"")</x:f>
        <x:v>630.8392561170269</x:v>
      </x:c>
      <x:c r="K838" s="4" t="n">
        <x:f>IF(AND('계산 과정'!$L$6,J838&gt;0),'계산 과정'!$D$10*('계산 과정'!$C$38*(D838-'계산 과정'!$C$32)+'계산 과정'!$D$38*(E838-'계산 과정'!$D$32)-'계산 과정'!$E$38*'계산 과정'!$E$32)/J838,"")</x:f>
        <x:v>0.2429873372296103</x:v>
      </x:c>
      <x:c r="L838" s="4" t="n">
        <x:f>IF(AND('계산 과정'!$L$6,J838&gt;0),'계산 과정'!$D$10*('계산 과정'!$C$39*(D838-'계산 과정'!$C$32)+'계산 과정'!$D$39*(E838-'계산 과정'!$D$32)-'계산 과정'!$E$39*'계산 과정'!$E$32)/J838,"")</x:f>
        <x:v>-1.1630999436162397</x:v>
      </x:c>
      <x:c r="M838" s="17" t="n">
        <x:f>IF('계산 과정'!$L$6,IF(J838&lt;=0,0,IF(AND(ABS(K838)&lt;='계산 과정'!$D$11/2,ABS(L838)&lt;='계산 과정'!$D$12/2),1,0)),"")</x:f>
        <x:v>1</x:v>
      </x:c>
      <x:c r="N838" s="17" t="n">
        <x:f>IF('계산 과정'!$C$78,IF(AND(ISNUMBER(H838),ISNUMBER(I838),ABS(H838-'계산 과정'!$C$88)&lt;='계산 과정'!$D$23/2,ABS(I838-'계산 과정'!$C$89)&lt;='계산 과정'!$D$24/2),1,0),"")</x:f>
        <x:v>1</x:v>
      </x:c>
      <x:c r="O838" s="4" t="n">
        <x:f>IF('계산 과정'!$L$7,'계산 과정'!$C$49*('계산 과정'!$C$32-D838)+'계산 과정'!$D$49*('계산 과정'!$D$32-E838)+'계산 과정'!$E$49*'계산 과정'!$E$32,"")</x:f>
        <x:v>19.16074388297318</x:v>
      </x:c>
      <x:c r="P838" s="4" t="n">
        <x:f>IF(AND('계산 과정'!$L$7,O838&lt;&gt;0),('계산 과정'!$L$23-'계산 과정'!$C$49*D838-'계산 과정'!$D$49*E838)/O838,"")</x:f>
        <x:v>21.87601621539611</x:v>
      </x:c>
      <x:c r="Q838" s="4" t="str">
        <x:f>IF(AND(ISNUMBER(P838),P838&gt;1E-9,P838&lt;1-1E-9),'계산 과정'!$C$47*(D838-'계산 과정'!$C$50+P838*('계산 과정'!$C$32-D838))+'계산 과정'!$D$47*(E838-'계산 과정'!$D$50+P838*('계산 과정'!$D$32-E838))+'계산 과정'!$E$47*(0-'계산 과정'!$E$50+P838*('계산 과정'!$E$32-0)),"")</x:f>
      </x:c>
      <x:c r="R838" s="4" t="str">
        <x:f>IF(AND(ISNUMBER(P838),P838&gt;1E-9,P838&lt;1-1E-9),'계산 과정'!$C$48*(D838-'계산 과정'!$C$50+P838*('계산 과정'!$C$32-D838))+'계산 과정'!$D$48*(E838-'계산 과정'!$D$50+P838*('계산 과정'!$D$32-E838))+'계산 과정'!$E$48*(0-'계산 과정'!$E$50+P838*('계산 과정'!$E$32-0)),"")</x:f>
      </x:c>
      <x:c r="S838" s="17" t="n">
        <x:f>IF('계산 과정'!$C$78,IF(AND(ISNUMBER(Q838),ISNUMBER(R838),ABS(Q838-'계산 과정'!$C$88)&lt;='계산 과정'!$D$23/2,ABS(R838-'계산 과정'!$C$89)&lt;='계산 과정'!$D$24/2),1,0),"")</x:f>
        <x:v>0</x:v>
      </x:c>
      <x:c r="T838" s="4"/>
      <x:c r="U838" s="4"/>
      <x:c r="V838" s="4"/>
      <x:c r="W838" s="4"/>
      <x:c r="X838" s="4"/>
      <x:c r="Y838" s="4"/>
      <x:c r="Z838" s="4"/>
    </x:row>
    <x:row r="839" ht="23" customHeight="1">
      <x:c r="A839" s="17" t="n">
        <x:f>ROW()-6</x:f>
        <x:v>833</x:v>
      </x:c>
      <x:c r="B839" s="4" t="n">
        <x:f>IF('계산 과정'!$L$5,'계산 과정'!$L$11*SQRT((A839+0.5)/'계산 과정'!$L$30),"")</x:f>
        <x:v>95.69276091840752</x:v>
      </x:c>
      <x:c r="C839" s="4" t="n">
        <x:f>A839*PI()*(3-SQRT(5))</x:f>
        <x:v>1999.169370363968</x:v>
      </x:c>
      <x:c r="D839" s="4" t="n">
        <x:f>IF('계산 과정'!$L$5,B839*COS(C839),"")</x:f>
        <x:v>41.9977946405232</x:v>
      </x:c>
      <x:c r="E839" s="4" t="n">
        <x:f>IF('계산 과정'!$L$5,B839*SIN(C839),"")</x:f>
        <x:v>85.9842412161667</x:v>
      </x:c>
      <x:c r="F839" s="4" t="n">
        <x:f>IF('계산 과정'!$L$7,'계산 과정'!$L$22+'계산 과정'!$C$49*D839+'계산 과정'!$D$49*E839,"")</x:f>
        <x:v>620.303074614806</x:v>
      </x:c>
      <x:c r="G839" s="4" t="n">
        <x:f>IF('계산 과정'!$L$7,IF(ABS(F839)&gt;=1E-12*MAX(1,SQRT((D839-'계산 과정'!$C$33)^2+(E839-'계산 과정'!$D$33)^2+'계산 과정'!$E$33^2)),('계산 과정'!$L$23-'계산 과정'!$C$49*D839-'계산 과정'!$D$49*E839)/F839,""),"")</x:f>
        <x:v>0.6927209342820458</x:v>
      </x:c>
      <x:c r="H839" s="4" t="n">
        <x:f>IF(AND(ISNUMBER(G839),G839&gt;0),('계산 과정'!$D$56+'계산 과정'!$D$57*D839+'계산 과정'!$D$58*E839)/F839,"")</x:f>
        <x:v>50.268607283329686</x:v>
      </x:c>
      <x:c r="I839" s="4" t="n">
        <x:f>IF(AND(ISNUMBER(G839),G839&gt;0),('계산 과정'!$E$56+'계산 과정'!$E$57*D839+'계산 과정'!$E$58*E839)/F839,"")</x:f>
        <x:v>145.54732512496247</x:v>
      </x:c>
      <x:c r="J839" s="4" t="n">
        <x:f>IF('계산 과정'!$L$5,'계산 과정'!$D$6+'계산 과정'!$C$35*D839+'계산 과정'!$D$35*E839,"")</x:f>
        <x:v>620.303074614806</x:v>
      </x:c>
      <x:c r="K839" s="4" t="n">
        <x:f>IF(AND('계산 과정'!$L$6,J839&gt;0),'계산 과정'!$D$10*('계산 과정'!$C$38*(D839-'계산 과정'!$C$32)+'계산 과정'!$D$38*(E839-'계산 과정'!$D$32)-'계산 과정'!$E$38*'계산 과정'!$E$32)/J839,"")</x:f>
        <x:v>0.3829989126348936</x:v>
      </x:c>
      <x:c r="L839" s="4" t="n">
        <x:f>IF(AND('계산 과정'!$L$6,J839&gt;0),'계산 과정'!$D$10*('계산 과정'!$C$39*(D839-'계산 과정'!$C$32)+'계산 과정'!$D$39*(E839-'계산 과정'!$D$32)-'계산 과정'!$E$39*'계산 과정'!$E$32)/J839,"")</x:f>
        <x:v>1.108932000952095</x:v>
      </x:c>
      <x:c r="M839" s="17" t="n">
        <x:f>IF('계산 과정'!$L$6,IF(J839&lt;=0,0,IF(AND(ABS(K839)&lt;='계산 과정'!$D$11/2,ABS(L839)&lt;='계산 과정'!$D$12/2),1,0)),"")</x:f>
        <x:v>1</x:v>
      </x:c>
      <x:c r="N839" s="17" t="n">
        <x:f>IF('계산 과정'!$C$78,IF(AND(ISNUMBER(H839),ISNUMBER(I839),ABS(H839-'계산 과정'!$C$88)&lt;='계산 과정'!$D$23/2,ABS(I839-'계산 과정'!$C$89)&lt;='계산 과정'!$D$24/2),1,0),"")</x:f>
        <x:v>1</x:v>
      </x:c>
      <x:c r="O839" s="4" t="n">
        <x:f>IF('계산 과정'!$L$7,'계산 과정'!$C$49*('계산 과정'!$C$32-D839)+'계산 과정'!$D$49*('계산 과정'!$D$32-E839)+'계산 과정'!$E$49*'계산 과정'!$E$32,"")</x:f>
        <x:v>29.696925385194106</x:v>
      </x:c>
      <x:c r="P839" s="4" t="n">
        <x:f>IF(AND('계산 과정'!$L$7,O839&lt;&gt;0),('계산 과정'!$L$23-'계산 과정'!$C$49*D839-'계산 과정'!$D$49*E839)/O839,"")</x:f>
        <x:v>14.469407853225995</x:v>
      </x:c>
      <x:c r="Q839" s="4" t="str">
        <x:f>IF(AND(ISNUMBER(P839),P839&gt;1E-9,P839&lt;1-1E-9),'계산 과정'!$C$47*(D839-'계산 과정'!$C$50+P839*('계산 과정'!$C$32-D839))+'계산 과정'!$D$47*(E839-'계산 과정'!$D$50+P839*('계산 과정'!$D$32-E839))+'계산 과정'!$E$47*(0-'계산 과정'!$E$50+P839*('계산 과정'!$E$32-0)),"")</x:f>
      </x:c>
      <x:c r="R839" s="4" t="str">
        <x:f>IF(AND(ISNUMBER(P839),P839&gt;1E-9,P839&lt;1-1E-9),'계산 과정'!$C$48*(D839-'계산 과정'!$C$50+P839*('계산 과정'!$C$32-D839))+'계산 과정'!$D$48*(E839-'계산 과정'!$D$50+P839*('계산 과정'!$D$32-E839))+'계산 과정'!$E$48*(0-'계산 과정'!$E$50+P839*('계산 과정'!$E$32-0)),"")</x:f>
      </x:c>
      <x:c r="S839" s="17" t="n">
        <x:f>IF('계산 과정'!$C$78,IF(AND(ISNUMBER(Q839),ISNUMBER(R839),ABS(Q839-'계산 과정'!$C$88)&lt;='계산 과정'!$D$23/2,ABS(R839-'계산 과정'!$C$89)&lt;='계산 과정'!$D$24/2),1,0),"")</x:f>
        <x:v>0</x:v>
      </x:c>
      <x:c r="T839" s="4"/>
      <x:c r="U839" s="4"/>
      <x:c r="V839" s="4"/>
      <x:c r="W839" s="4"/>
      <x:c r="X839" s="4"/>
      <x:c r="Y839" s="4"/>
      <x:c r="Z839" s="4"/>
    </x:row>
    <x:row r="840" ht="23" customHeight="1">
      <x:c r="A840" s="17" t="n">
        <x:f>ROW()-6</x:f>
        <x:v>834</x:v>
      </x:c>
      <x:c r="B840" s="4" t="n">
        <x:f>IF('계산 과정'!$L$5,'계산 과정'!$L$11*SQRT((A840+0.5)/'계산 과정'!$L$30),"")</x:f>
        <x:v>95.75014788663513</x:v>
      </x:c>
      <x:c r="C840" s="4" t="n">
        <x:f>A840*PI()*(3-SQRT(5))</x:f>
        <x:v>2001.5693335936965</x:v>
      </x:c>
      <x:c r="D840" s="4" t="n">
        <x:f>IF('계산 과정'!$L$5,B840*COS(C840),"")</x:f>
        <x:v>-89.10279005242114</x:v>
      </x:c>
      <x:c r="E840" s="4" t="n">
        <x:f>IF('계산 과정'!$L$5,B840*SIN(C840),"")</x:f>
        <x:v>-35.05401011562954</x:v>
      </x:c>
      <x:c r="F840" s="4" t="n">
        <x:f>IF('계산 과정'!$L$7,'계산 과정'!$L$22+'계산 과정'!$C$49*D840+'계산 과정'!$D$49*E840,"")</x:f>
        <x:v>713.0051870687082</x:v>
      </x:c>
      <x:c r="G840" s="4" t="n">
        <x:f>IF('계산 과정'!$L$7,IF(ABS(F840)&gt;=1E-12*MAX(1,SQRT((D840-'계산 과정'!$C$33)^2+(E840-'계산 과정'!$D$33)^2+'계산 과정'!$E$33^2)),('계산 과정'!$L$23-'계산 과정'!$C$49*D840-'계산 과정'!$D$49*E840)/F840,""),"")</x:f>
        <x:v>0.4726400579450729</x:v>
      </x:c>
      <x:c r="H840" s="4" t="n">
        <x:f>IF(AND(ISNUMBER(G840),G840&gt;0),('계산 과정'!$D$56+'계산 과정'!$D$57*D840+'계산 과정'!$D$58*E840)/F840,"")</x:f>
        <x:v>-92.78396233570278</x:v>
      </x:c>
      <x:c r="I840" s="4" t="n">
        <x:f>IF(AND(ISNUMBER(G840),G840&gt;0),('계산 과정'!$E$56+'계산 과정'!$E$57*D840+'계산 과정'!$E$58*E840)/F840,"")</x:f>
        <x:v>-51.62193948788786</x:v>
      </x:c>
      <x:c r="J840" s="4" t="n">
        <x:f>IF('계산 과정'!$L$5,'계산 과정'!$D$6+'계산 과정'!$C$35*D840+'계산 과정'!$D$35*E840,"")</x:f>
        <x:v>713.0051870687082</x:v>
      </x:c>
      <x:c r="K840" s="4" t="n">
        <x:f>IF(AND('계산 과정'!$L$6,J840&gt;0),'계산 과정'!$D$10*('계산 과정'!$C$38*(D840-'계산 과정'!$C$32)+'계산 과정'!$D$38*(E840-'계산 과정'!$D$32)-'계산 과정'!$E$38*'계산 과정'!$E$32)/J840,"")</x:f>
        <x:v>-0.706925427319639</x:v>
      </x:c>
      <x:c r="L840" s="4" t="n">
        <x:f>IF(AND('계산 과정'!$L$6,J840&gt;0),'계산 과정'!$D$10*('계산 과정'!$C$39*(D840-'계산 과정'!$C$32)+'계산 과정'!$D$39*(E840-'계산 과정'!$D$32)-'계산 과정'!$E$39*'계산 과정'!$E$32)/J840,"")</x:f>
        <x:v>-0.3933100151458122</x:v>
      </x:c>
      <x:c r="M840" s="17" t="n">
        <x:f>IF('계산 과정'!$L$6,IF(J840&lt;=0,0,IF(AND(ABS(K840)&lt;='계산 과정'!$D$11/2,ABS(L840)&lt;='계산 과정'!$D$12/2),1,0)),"")</x:f>
        <x:v>1</x:v>
      </x:c>
      <x:c r="N840" s="17" t="n">
        <x:f>IF('계산 과정'!$C$78,IF(AND(ISNUMBER(H840),ISNUMBER(I840),ABS(H840-'계산 과정'!$C$88)&lt;='계산 과정'!$D$23/2,ABS(I840-'계산 과정'!$C$89)&lt;='계산 과정'!$D$24/2),1,0),"")</x:f>
        <x:v>1</x:v>
      </x:c>
      <x:c r="O840" s="4" t="n">
        <x:f>IF('계산 과정'!$L$7,'계산 과정'!$C$49*('계산 과정'!$C$32-D840)+'계산 과정'!$D$49*('계산 과정'!$D$32-E840)+'계산 과정'!$E$49*'계산 과정'!$E$32,"")</x:f>
        <x:v>-63.005187068708096</x:v>
      </x:c>
      <x:c r="P840" s="4" t="n">
        <x:f>IF(AND('계산 과정'!$L$7,O840&lt;&gt;0),('계산 과정'!$L$23-'계산 과정'!$C$49*D840-'계산 과정'!$D$49*E840)/O840,"")</x:f>
        <x:v>-5.348683633996577</x:v>
      </x:c>
      <x:c r="Q840" s="4" t="str">
        <x:f>IF(AND(ISNUMBER(P840),P840&gt;1E-9,P840&lt;1-1E-9),'계산 과정'!$C$47*(D840-'계산 과정'!$C$50+P840*('계산 과정'!$C$32-D840))+'계산 과정'!$D$47*(E840-'계산 과정'!$D$50+P840*('계산 과정'!$D$32-E840))+'계산 과정'!$E$47*(0-'계산 과정'!$E$50+P840*('계산 과정'!$E$32-0)),"")</x:f>
      </x:c>
      <x:c r="R840" s="4" t="str">
        <x:f>IF(AND(ISNUMBER(P840),P840&gt;1E-9,P840&lt;1-1E-9),'계산 과정'!$C$48*(D840-'계산 과정'!$C$50+P840*('계산 과정'!$C$32-D840))+'계산 과정'!$D$48*(E840-'계산 과정'!$D$50+P840*('계산 과정'!$D$32-E840))+'계산 과정'!$E$48*(0-'계산 과정'!$E$50+P840*('계산 과정'!$E$32-0)),"")</x:f>
      </x:c>
      <x:c r="S840" s="17" t="n">
        <x:f>IF('계산 과정'!$C$78,IF(AND(ISNUMBER(Q840),ISNUMBER(R840),ABS(Q840-'계산 과정'!$C$88)&lt;='계산 과정'!$D$23/2,ABS(R840-'계산 과정'!$C$89)&lt;='계산 과정'!$D$24/2),1,0),"")</x:f>
        <x:v>0</x:v>
      </x:c>
      <x:c r="T840" s="4"/>
      <x:c r="U840" s="4"/>
      <x:c r="V840" s="4"/>
      <x:c r="W840" s="4"/>
      <x:c r="X840" s="4"/>
      <x:c r="Y840" s="4"/>
      <x:c r="Z840" s="4"/>
    </x:row>
    <x:row r="841" ht="23" customHeight="1">
      <x:c r="A841" s="17" t="n">
        <x:f>ROW()-6</x:f>
        <x:v>835</x:v>
      </x:c>
      <x:c r="B841" s="4" t="n">
        <x:f>IF('계산 과정'!$L$5,'계산 과정'!$L$11*SQRT((A841+0.5)/'계산 과정'!$L$30),"")</x:f>
        <x:v>95.80750048110794</x:v>
      </x:c>
      <x:c r="C841" s="4" t="n">
        <x:f>A841*PI()*(3-SQRT(5))</x:f>
        <x:v>2003.969296823425</x:v>
      </x:c>
      <x:c r="D841" s="4" t="n">
        <x:f>IF('계산 과정'!$L$5,B841*COS(C841),"")</x:f>
        <x:v>89.43380509507016</x:v>
      </x:c>
      <x:c r="E841" s="4" t="n">
        <x:f>IF('계산 과정'!$L$5,B841*SIN(C841),"")</x:f>
        <x:v>-34.36090299533032</x:v>
      </x:c>
      <x:c r="F841" s="4" t="n">
        <x:f>IF('계산 과정'!$L$7,'계산 과정'!$L$22+'계산 과정'!$C$49*D841+'계산 과정'!$D$49*E841,"")</x:f>
        <x:v>586.7607499499599</x:v>
      </x:c>
      <x:c r="G841" s="4" t="n">
        <x:f>IF('계산 과정'!$L$7,IF(ABS(F841)&gt;=1E-12*MAX(1,SQRT((D841-'계산 과정'!$C$33)^2+(E841-'계산 과정'!$D$33)^2+'계산 과정'!$E$33^2)),('계산 과정'!$L$23-'계산 과정'!$C$49*D841-'계산 과정'!$D$49*E841)/F841,""),"")</x:f>
        <x:v>0.7894857488159289</x:v>
      </x:c>
      <x:c r="H841" s="4" t="n">
        <x:f>IF(AND(ISNUMBER(G841),G841&gt;0),('계산 과정'!$D$56+'계산 과정'!$D$57*D841+'계산 과정'!$D$58*E841)/F841,"")</x:f>
        <x:v>113.1657367303537</x:v>
      </x:c>
      <x:c r="I841" s="4" t="n">
        <x:f>IF(AND(ISNUMBER(G841),G841&gt;0),('계산 과정'!$E$56+'계산 과정'!$E$57*D841+'계산 과정'!$E$58*E841)/F841,"")</x:f>
        <x:v>-61.48834622659018</x:v>
      </x:c>
      <x:c r="J841" s="4" t="n">
        <x:f>IF('계산 과정'!$L$5,'계산 과정'!$D$6+'계산 과정'!$C$35*D841+'계산 과정'!$D$35*E841,"")</x:f>
        <x:v>586.7607499499599</x:v>
      </x:c>
      <x:c r="K841" s="4" t="n">
        <x:f>IF(AND('계산 과정'!$L$6,J841&gt;0),'계산 과정'!$D$10*('계산 과정'!$C$38*(D841-'계산 과정'!$C$32)+'계산 과정'!$D$38*(E841-'계산 과정'!$D$32)-'계산 과정'!$E$38*'계산 과정'!$E$32)/J841,"")</x:f>
        <x:v>0.8622151369931722</x:v>
      </x:c>
      <x:c r="L841" s="4" t="n">
        <x:f>IF(AND('계산 과정'!$L$6,J841&gt;0),'계산 과정'!$D$10*('계산 과정'!$C$39*(D841-'계산 과정'!$C$32)+'계산 과정'!$D$39*(E841-'계산 과정'!$D$32)-'계산 과정'!$E$39*'계산 과정'!$E$32)/J841,"")</x:f>
        <x:v>-0.46848263791687755</x:v>
      </x:c>
      <x:c r="M841" s="17" t="n">
        <x:f>IF('계산 과정'!$L$6,IF(J841&lt;=0,0,IF(AND(ABS(K841)&lt;='계산 과정'!$D$11/2,ABS(L841)&lt;='계산 과정'!$D$12/2),1,0)),"")</x:f>
        <x:v>1</x:v>
      </x:c>
      <x:c r="N841" s="17" t="n">
        <x:f>IF('계산 과정'!$C$78,IF(AND(ISNUMBER(H841),ISNUMBER(I841),ABS(H841-'계산 과정'!$C$88)&lt;='계산 과정'!$D$23/2,ABS(I841-'계산 과정'!$C$89)&lt;='계산 과정'!$D$24/2),1,0),"")</x:f>
        <x:v>1</x:v>
      </x:c>
      <x:c r="O841" s="4" t="n">
        <x:f>IF('계산 과정'!$L$7,'계산 과정'!$C$49*('계산 과정'!$C$32-D841)+'계산 과정'!$D$49*('계산 과정'!$D$32-E841)+'계산 과정'!$E$49*'계산 과정'!$E$32,"")</x:f>
        <x:v>63.239250050040255</x:v>
      </x:c>
      <x:c r="P841" s="4" t="n">
        <x:f>IF(AND('계산 과정'!$L$7,O841&lt;&gt;0),('계산 과정'!$L$23-'계산 과정'!$C$49*D841-'계산 과정'!$D$49*E841)/O841,"")</x:f>
        <x:v>7.325185698493988</x:v>
      </x:c>
      <x:c r="Q841" s="4" t="str">
        <x:f>IF(AND(ISNUMBER(P841),P841&gt;1E-9,P841&lt;1-1E-9),'계산 과정'!$C$47*(D841-'계산 과정'!$C$50+P841*('계산 과정'!$C$32-D841))+'계산 과정'!$D$47*(E841-'계산 과정'!$D$50+P841*('계산 과정'!$D$32-E841))+'계산 과정'!$E$47*(0-'계산 과정'!$E$50+P841*('계산 과정'!$E$32-0)),"")</x:f>
      </x:c>
      <x:c r="R841" s="4" t="str">
        <x:f>IF(AND(ISNUMBER(P841),P841&gt;1E-9,P841&lt;1-1E-9),'계산 과정'!$C$48*(D841-'계산 과정'!$C$50+P841*('계산 과정'!$C$32-D841))+'계산 과정'!$D$48*(E841-'계산 과정'!$D$50+P841*('계산 과정'!$D$32-E841))+'계산 과정'!$E$48*(0-'계산 과정'!$E$50+P841*('계산 과정'!$E$32-0)),"")</x:f>
      </x:c>
      <x:c r="S841" s="17" t="n">
        <x:f>IF('계산 과정'!$C$78,IF(AND(ISNUMBER(Q841),ISNUMBER(R841),ABS(Q841-'계산 과정'!$C$88)&lt;='계산 과정'!$D$23/2,ABS(R841-'계산 과정'!$C$89)&lt;='계산 과정'!$D$24/2),1,0),"")</x:f>
        <x:v>0</x:v>
      </x:c>
      <x:c r="T841" s="4"/>
      <x:c r="U841" s="4"/>
      <x:c r="V841" s="4"/>
      <x:c r="W841" s="4"/>
      <x:c r="X841" s="4"/>
      <x:c r="Y841" s="4"/>
      <x:c r="Z841" s="4"/>
    </x:row>
    <x:row r="842" ht="23" customHeight="1">
      <x:c r="A842" s="17" t="n">
        <x:f>ROW()-6</x:f>
        <x:v>836</x:v>
      </x:c>
      <x:c r="B842" s="4" t="n">
        <x:f>IF('계산 과정'!$L$5,'계산 과정'!$L$11*SQRT((A842+0.5)/'계산 과정'!$L$30),"")</x:f>
        <x:v>95.8648187635198</x:v>
      </x:c>
      <x:c r="C842" s="4" t="n">
        <x:f>A842*PI()*(3-SQRT(5))</x:f>
        <x:v>2006.369260053154</x:v>
      </x:c>
      <x:c r="D842" s="4" t="n">
        <x:f>IF('계산 과정'!$L$5,B842*COS(C842),"")</x:f>
        <x:v>-42.760815056643196</x:v>
      </x:c>
      <x:c r="E842" s="4" t="n">
        <x:f>IF('계산 과정'!$L$5,B842*SIN(C842),"")</x:f>
        <x:v>85.79962804263229</x:v>
      </x:c>
      <x:c r="F842" s="4" t="n">
        <x:f>IF('계산 과정'!$L$7,'계산 과정'!$L$22+'계산 과정'!$C$49*D842+'계산 과정'!$D$49*E842,"")</x:f>
        <x:v>680.2364622956162</x:v>
      </x:c>
      <x:c r="G842" s="4" t="n">
        <x:f>IF('계산 과정'!$L$7,IF(ABS(F842)&gt;=1E-12*MAX(1,SQRT((D842-'계산 과정'!$C$33)^2+(E842-'계산 과정'!$D$33)^2+'계산 과정'!$E$33^2)),('계산 과정'!$L$23-'계산 과정'!$C$49*D842-'계산 과정'!$D$49*E842)/F842,""),"")</x:f>
        <x:v>0.5435808842950446</x:v>
      </x:c>
      <x:c r="H842" s="4" t="n">
        <x:f>IF(AND(ISNUMBER(G842),G842&gt;0),('계산 과정'!$D$56+'계산 과정'!$D$57*D842+'계산 과정'!$D$58*E842)/F842,"")</x:f>
        <x:v>-46.672425208221185</x:v>
      </x:c>
      <x:c r="I842" s="4" t="n">
        <x:f>IF(AND(ISNUMBER(G842),G842&gt;0),('계산 과정'!$E$56+'계산 과정'!$E$57*D842+'계산 과정'!$E$58*E842)/F842,"")</x:f>
        <x:v>132.43866572623224</x:v>
      </x:c>
      <x:c r="J842" s="4" t="n">
        <x:f>IF('계산 과정'!$L$5,'계산 과정'!$D$6+'계산 과정'!$C$35*D842+'계산 과정'!$D$35*E842,"")</x:f>
        <x:v>680.2364622956162</x:v>
      </x:c>
      <x:c r="K842" s="4" t="n">
        <x:f>IF(AND('계산 과정'!$L$6,J842&gt;0),'계산 과정'!$D$10*('계산 과정'!$C$38*(D842-'계산 과정'!$C$32)+'계산 과정'!$D$38*(E842-'계산 과정'!$D$32)-'계산 과정'!$E$38*'계산 과정'!$E$32)/J842,"")</x:f>
        <x:v>-0.35559943015787454</x:v>
      </x:c>
      <x:c r="L842" s="4" t="n">
        <x:f>IF(AND('계산 과정'!$L$6,J842&gt;0),'계산 과정'!$D$10*('계산 과정'!$C$39*(D842-'계산 과정'!$C$32)+'계산 과정'!$D$39*(E842-'계산 과정'!$D$32)-'계산 과정'!$E$39*'계산 과정'!$E$32)/J842,"")</x:f>
        <x:v>1.0090565007712935</x:v>
      </x:c>
      <x:c r="M842" s="17" t="n">
        <x:f>IF('계산 과정'!$L$6,IF(J842&lt;=0,0,IF(AND(ABS(K842)&lt;='계산 과정'!$D$11/2,ABS(L842)&lt;='계산 과정'!$D$12/2),1,0)),"")</x:f>
        <x:v>1</x:v>
      </x:c>
      <x:c r="N842" s="17" t="n">
        <x:f>IF('계산 과정'!$C$78,IF(AND(ISNUMBER(H842),ISNUMBER(I842),ABS(H842-'계산 과정'!$C$88)&lt;='계산 과정'!$D$23/2,ABS(I842-'계산 과정'!$C$89)&lt;='계산 과정'!$D$24/2),1,0),"")</x:f>
        <x:v>1</x:v>
      </x:c>
      <x:c r="O842" s="4" t="n">
        <x:f>IF('계산 과정'!$L$7,'계산 과정'!$C$49*('계산 과정'!$C$32-D842)+'계산 과정'!$D$49*('계산 과정'!$D$32-E842)+'계산 과정'!$E$49*'계산 과정'!$E$32,"")</x:f>
        <x:v>-30.236462295616093</x:v>
      </x:c>
      <x:c r="P842" s="4" t="n">
        <x:f>IF(AND('계산 과정'!$L$7,O842&lt;&gt;0),('계산 과정'!$L$23-'계산 과정'!$C$49*D842-'계산 과정'!$D$49*E842)/O842,"")</x:f>
        <x:v>-12.229060863313856</x:v>
      </x:c>
      <x:c r="Q842" s="4" t="str">
        <x:f>IF(AND(ISNUMBER(P842),P842&gt;1E-9,P842&lt;1-1E-9),'계산 과정'!$C$47*(D842-'계산 과정'!$C$50+P842*('계산 과정'!$C$32-D842))+'계산 과정'!$D$47*(E842-'계산 과정'!$D$50+P842*('계산 과정'!$D$32-E842))+'계산 과정'!$E$47*(0-'계산 과정'!$E$50+P842*('계산 과정'!$E$32-0)),"")</x:f>
      </x:c>
      <x:c r="R842" s="4" t="str">
        <x:f>IF(AND(ISNUMBER(P842),P842&gt;1E-9,P842&lt;1-1E-9),'계산 과정'!$C$48*(D842-'계산 과정'!$C$50+P842*('계산 과정'!$C$32-D842))+'계산 과정'!$D$48*(E842-'계산 과정'!$D$50+P842*('계산 과정'!$D$32-E842))+'계산 과정'!$E$48*(0-'계산 과정'!$E$50+P842*('계산 과정'!$E$32-0)),"")</x:f>
      </x:c>
      <x:c r="S842" s="17" t="n">
        <x:f>IF('계산 과정'!$C$78,IF(AND(ISNUMBER(Q842),ISNUMBER(R842),ABS(Q842-'계산 과정'!$C$88)&lt;='계산 과정'!$D$23/2,ABS(R842-'계산 과정'!$C$89)&lt;='계산 과정'!$D$24/2),1,0),"")</x:f>
        <x:v>0</x:v>
      </x:c>
      <x:c r="T842" s="4"/>
      <x:c r="U842" s="4"/>
      <x:c r="V842" s="4"/>
      <x:c r="W842" s="4"/>
      <x:c r="X842" s="4"/>
      <x:c r="Y842" s="4"/>
      <x:c r="Z842" s="4"/>
    </x:row>
    <x:row r="843" ht="23" customHeight="1">
      <x:c r="A843" s="17" t="n">
        <x:f>ROW()-6</x:f>
        <x:v>837</x:v>
      </x:c>
      <x:c r="B843" s="4" t="n">
        <x:f>IF('계산 과정'!$L$5,'계산 과정'!$L$11*SQRT((A843+0.5)/'계산 과정'!$L$30),"")</x:f>
        <x:v>95.92210279538027</x:v>
      </x:c>
      <x:c r="C843" s="4" t="n">
        <x:f>A843*PI()*(3-SQRT(5))</x:f>
        <x:v>2008.7692232828824</x:v>
      </x:c>
      <x:c r="D843" s="4" t="n">
        <x:f>IF('계산 과정'!$L$5,B843*COS(C843),"")</x:f>
        <x:v>-26.442112821203423</x:v>
      </x:c>
      <x:c r="E843" s="4" t="n">
        <x:f>IF('계산 과정'!$L$5,B843*SIN(C843),"")</x:f>
        <x:v>-92.20555554975118</x:v>
      </x:c>
      <x:c r="F843" s="4" t="n">
        <x:f>IF('계산 과정'!$L$7,'계산 과정'!$L$22+'계산 과정'!$C$49*D843+'계산 과정'!$D$49*E843,"")</x:f>
        <x:v>668.6973972847727</x:v>
      </x:c>
      <x:c r="G843" s="4" t="n">
        <x:f>IF('계산 과정'!$L$7,IF(ABS(F843)&gt;=1E-12*MAX(1,SQRT((D843-'계산 과정'!$C$33)^2+(E843-'계산 과정'!$D$33)^2+'계산 과정'!$E$33^2)),('계산 과정'!$L$23-'계산 과정'!$C$49*D843-'계산 과정'!$D$49*E843)/F843,""),"")</x:f>
        <x:v>0.5702169684875341</x:v>
      </x:c>
      <x:c r="H843" s="4" t="n">
        <x:f>IF(AND(ISNUMBER(G843),G843&gt;0),('계산 과정'!$D$56+'계산 과정'!$D$57*D843+'계산 과정'!$D$58*E843)/F843,"")</x:f>
        <x:v>-29.358970483102944</x:v>
      </x:c>
      <x:c r="I843" s="4" t="n">
        <x:f>IF(AND(ISNUMBER(G843),G843&gt;0),('계산 과정'!$E$56+'계산 과정'!$E$57*D843+'계산 과정'!$E$58*E843)/F843,"")</x:f>
        <x:v>-144.78272791303922</x:v>
      </x:c>
      <x:c r="J843" s="4" t="n">
        <x:f>IF('계산 과정'!$L$5,'계산 과정'!$D$6+'계산 과정'!$C$35*D843+'계산 과정'!$D$35*E843,"")</x:f>
        <x:v>668.6973972847727</x:v>
      </x:c>
      <x:c r="K843" s="4" t="n">
        <x:f>IF(AND('계산 과정'!$L$6,J843&gt;0),'계산 과정'!$D$10*('계산 과정'!$C$38*(D843-'계산 과정'!$C$32)+'계산 과정'!$D$38*(E843-'계산 과정'!$D$32)-'계산 과정'!$E$38*'계산 과정'!$E$32)/J843,"")</x:f>
        <x:v>-0.22368739415697408</x:v>
      </x:c>
      <x:c r="L843" s="4" t="n">
        <x:f>IF(AND('계산 과정'!$L$6,J843&gt;0),'계산 과정'!$D$10*('계산 과정'!$C$39*(D843-'계산 과정'!$C$32)+'계산 과정'!$D$39*(E843-'계산 과정'!$D$32)-'계산 과정'!$E$39*'계산 과정'!$E$32)/J843,"")</x:f>
        <x:v>-1.1031064983850607</x:v>
      </x:c>
      <x:c r="M843" s="17" t="n">
        <x:f>IF('계산 과정'!$L$6,IF(J843&lt;=0,0,IF(AND(ABS(K843)&lt;='계산 과정'!$D$11/2,ABS(L843)&lt;='계산 과정'!$D$12/2),1,0)),"")</x:f>
        <x:v>1</x:v>
      </x:c>
      <x:c r="N843" s="17" t="n">
        <x:f>IF('계산 과정'!$C$78,IF(AND(ISNUMBER(H843),ISNUMBER(I843),ABS(H843-'계산 과정'!$C$88)&lt;='계산 과정'!$D$23/2,ABS(I843-'계산 과정'!$C$89)&lt;='계산 과정'!$D$24/2),1,0),"")</x:f>
        <x:v>1</x:v>
      </x:c>
      <x:c r="O843" s="4" t="n">
        <x:f>IF('계산 과정'!$L$7,'계산 과정'!$C$49*('계산 과정'!$C$32-D843)+'계산 과정'!$D$49*('계산 과정'!$D$32-E843)+'계산 과정'!$E$49*'계산 과정'!$E$32,"")</x:f>
        <x:v>-18.69739728477259</x:v>
      </x:c>
      <x:c r="P843" s="4" t="n">
        <x:f>IF(AND('계산 과정'!$L$7,O843&lt;&gt;0),('계산 과정'!$L$23-'계산 과정'!$C$49*D843-'계산 과정'!$D$49*E843)/O843,"")</x:f>
        <x:v>-20.393351914587875</x:v>
      </x:c>
      <x:c r="Q843" s="4" t="str">
        <x:f>IF(AND(ISNUMBER(P843),P843&gt;1E-9,P843&lt;1-1E-9),'계산 과정'!$C$47*(D843-'계산 과정'!$C$50+P843*('계산 과정'!$C$32-D843))+'계산 과정'!$D$47*(E843-'계산 과정'!$D$50+P843*('계산 과정'!$D$32-E843))+'계산 과정'!$E$47*(0-'계산 과정'!$E$50+P843*('계산 과정'!$E$32-0)),"")</x:f>
      </x:c>
      <x:c r="R843" s="4" t="str">
        <x:f>IF(AND(ISNUMBER(P843),P843&gt;1E-9,P843&lt;1-1E-9),'계산 과정'!$C$48*(D843-'계산 과정'!$C$50+P843*('계산 과정'!$C$32-D843))+'계산 과정'!$D$48*(E843-'계산 과정'!$D$50+P843*('계산 과정'!$D$32-E843))+'계산 과정'!$E$48*(0-'계산 과정'!$E$50+P843*('계산 과정'!$E$32-0)),"")</x:f>
      </x:c>
      <x:c r="S843" s="17" t="n">
        <x:f>IF('계산 과정'!$C$78,IF(AND(ISNUMBER(Q843),ISNUMBER(R843),ABS(Q843-'계산 과정'!$C$88)&lt;='계산 과정'!$D$23/2,ABS(R843-'계산 과정'!$C$89)&lt;='계산 과정'!$D$24/2),1,0),"")</x:f>
        <x:v>0</x:v>
      </x:c>
      <x:c r="T843" s="4"/>
      <x:c r="U843" s="4"/>
      <x:c r="V843" s="4"/>
      <x:c r="W843" s="4"/>
      <x:c r="X843" s="4"/>
      <x:c r="Y843" s="4"/>
      <x:c r="Z843" s="4"/>
    </x:row>
    <x:row r="844" ht="23" customHeight="1">
      <x:c r="A844" s="17" t="n">
        <x:f>ROW()-6</x:f>
        <x:v>838</x:v>
      </x:c>
      <x:c r="B844" s="4" t="n">
        <x:f>IF('계산 과정'!$L$5,'계산 과정'!$L$11*SQRT((A844+0.5)/'계산 과정'!$L$30),"")</x:f>
        <x:v>95.97935263801534</x:v>
      </x:c>
      <x:c r="C844" s="4" t="n">
        <x:f>A844*PI()*(3-SQRT(5))</x:f>
        <x:v>2011.169186512611</x:v>
      </x:c>
      <x:c r="D844" s="4" t="n">
        <x:f>IF('계산 과정'!$L$5,B844*COS(C844),"")</x:f>
        <x:v>81.8303591552886</x:v>
      </x:c>
      <x:c r="E844" s="4" t="n">
        <x:f>IF('계산 과정'!$L$5,B844*SIN(C844),"")</x:f>
        <x:v>50.15803478336224</x:v>
      </x:c>
      <x:c r="F844" s="4" t="n">
        <x:f>IF('계산 과정'!$L$7,'계산 과정'!$L$22+'계산 과정'!$C$49*D844+'계산 과정'!$D$49*E844,"")</x:f>
        <x:v>592.1371981343648</x:v>
      </x:c>
      <x:c r="G844" s="4" t="n">
        <x:f>IF('계산 과정'!$L$7,IF(ABS(F844)&gt;=1E-12*MAX(1,SQRT((D844-'계산 과정'!$C$33)^2+(E844-'계산 과정'!$D$33)^2+'계산 과정'!$E$33^2)),('계산 과정'!$L$23-'계산 과정'!$C$49*D844-'계산 과정'!$D$49*E844)/F844,""),"")</x:f>
        <x:v>0.7732376944198316</x:v>
      </x:c>
      <x:c r="H844" s="4" t="n">
        <x:f>IF(AND(ISNUMBER(G844),G844&gt;0),('계산 과정'!$D$56+'계산 과정'!$D$57*D844+'계산 과정'!$D$58*E844)/F844,"")</x:f>
        <x:v>102.6045013728905</x:v>
      </x:c>
      <x:c r="I844" s="4" t="n">
        <x:f>IF(AND(ISNUMBER(G844),G844&gt;0),('계산 과정'!$E$56+'계산 과정'!$E$57*D844+'계산 과정'!$E$58*E844)/F844,"")</x:f>
        <x:v>88.94211795587897</x:v>
      </x:c>
      <x:c r="J844" s="4" t="n">
        <x:f>IF('계산 과정'!$L$5,'계산 과정'!$D$6+'계산 과정'!$C$35*D844+'계산 과정'!$D$35*E844,"")</x:f>
        <x:v>592.1371981343648</x:v>
      </x:c>
      <x:c r="K844" s="4" t="n">
        <x:f>IF(AND('계산 과정'!$L$6,J844&gt;0),'계산 과정'!$D$10*('계산 과정'!$C$38*(D844-'계산 과정'!$C$32)+'계산 과정'!$D$38*(E844-'계산 과정'!$D$32)-'계산 과정'!$E$38*'계산 과정'!$E$32)/J844,"")</x:f>
        <x:v>0.7817485818886905</x:v>
      </x:c>
      <x:c r="L844" s="4" t="n">
        <x:f>IF(AND('계산 과정'!$L$6,J844&gt;0),'계산 과정'!$D$10*('계산 과정'!$C$39*(D844-'계산 과정'!$C$32)+'계산 과정'!$D$39*(E844-'계산 과정'!$D$32)-'계산 과정'!$E$39*'계산 과정'!$E$32)/J844,"")</x:f>
        <x:v>0.6776542320447921</x:v>
      </x:c>
      <x:c r="M844" s="17" t="n">
        <x:f>IF('계산 과정'!$L$6,IF(J844&lt;=0,0,IF(AND(ABS(K844)&lt;='계산 과정'!$D$11/2,ABS(L844)&lt;='계산 과정'!$D$12/2),1,0)),"")</x:f>
        <x:v>1</x:v>
      </x:c>
      <x:c r="N844" s="17" t="n">
        <x:f>IF('계산 과정'!$C$78,IF(AND(ISNUMBER(H844),ISNUMBER(I844),ABS(H844-'계산 과정'!$C$88)&lt;='계산 과정'!$D$23/2,ABS(I844-'계산 과정'!$C$89)&lt;='계산 과정'!$D$24/2),1,0),"")</x:f>
        <x:v>1</x:v>
      </x:c>
      <x:c r="O844" s="4" t="n">
        <x:f>IF('계산 과정'!$L$7,'계산 과정'!$C$49*('계산 과정'!$C$32-D844)+'계산 과정'!$D$49*('계산 과정'!$D$32-E844)+'계산 과정'!$E$49*'계산 과정'!$E$32,"")</x:f>
        <x:v>57.86280186563533</x:v>
      </x:c>
      <x:c r="P844" s="4" t="n">
        <x:f>IF(AND('계산 과정'!$L$7,O844&lt;&gt;0),('계산 과정'!$L$23-'계산 과정'!$C$49*D844-'계산 과정'!$D$49*E844)/O844,"")</x:f>
        <x:v>7.912904095602732</x:v>
      </x:c>
      <x:c r="Q844" s="4" t="str">
        <x:f>IF(AND(ISNUMBER(P844),P844&gt;1E-9,P844&lt;1-1E-9),'계산 과정'!$C$47*(D844-'계산 과정'!$C$50+P844*('계산 과정'!$C$32-D844))+'계산 과정'!$D$47*(E844-'계산 과정'!$D$50+P844*('계산 과정'!$D$32-E844))+'계산 과정'!$E$47*(0-'계산 과정'!$E$50+P844*('계산 과정'!$E$32-0)),"")</x:f>
      </x:c>
      <x:c r="R844" s="4" t="str">
        <x:f>IF(AND(ISNUMBER(P844),P844&gt;1E-9,P844&lt;1-1E-9),'계산 과정'!$C$48*(D844-'계산 과정'!$C$50+P844*('계산 과정'!$C$32-D844))+'계산 과정'!$D$48*(E844-'계산 과정'!$D$50+P844*('계산 과정'!$D$32-E844))+'계산 과정'!$E$48*(0-'계산 과정'!$E$50+P844*('계산 과정'!$E$32-0)),"")</x:f>
      </x:c>
      <x:c r="S844" s="17" t="n">
        <x:f>IF('계산 과정'!$C$78,IF(AND(ISNUMBER(Q844),ISNUMBER(R844),ABS(Q844-'계산 과정'!$C$88)&lt;='계산 과정'!$D$23/2,ABS(R844-'계산 과정'!$C$89)&lt;='계산 과정'!$D$24/2),1,0),"")</x:f>
        <x:v>0</x:v>
      </x:c>
      <x:c r="T844" s="4"/>
      <x:c r="U844" s="4"/>
      <x:c r="V844" s="4"/>
      <x:c r="W844" s="4"/>
      <x:c r="X844" s="4"/>
      <x:c r="Y844" s="4"/>
      <x:c r="Z844" s="4"/>
    </x:row>
    <x:row r="845" ht="23" customHeight="1">
      <x:c r="A845" s="17" t="n">
        <x:f>ROW()-6</x:f>
        <x:v>839</x:v>
      </x:c>
      <x:c r="B845" s="4" t="n">
        <x:f>IF('계산 과정'!$L$5,'계산 과정'!$L$11*SQRT((A845+0.5)/'계산 과정'!$L$30),"")</x:f>
        <x:v>96.03656835256818</x:v>
      </x:c>
      <x:c r="C845" s="4" t="n">
        <x:f>A845*PI()*(3-SQRT(5))</x:f>
        <x:v>2013.5691497423397</x:v>
      </x:c>
      <x:c r="D845" s="4" t="n">
        <x:f>IF('계산 과정'!$L$5,B845*COS(C845),"")</x:f>
        <x:v>-94.27659297234409</x:v>
      </x:c>
      <x:c r="E845" s="4" t="n">
        <x:f>IF('계산 과정'!$L$5,B845*SIN(C845),"")</x:f>
        <x:v>18.30154306238851</x:v>
      </x:c>
      <x:c r="F845" s="4" t="n">
        <x:f>IF('계산 과정'!$L$7,'계산 과정'!$L$22+'계산 과정'!$C$49*D845+'계산 과정'!$D$49*E845,"")</x:f>
        <x:v>716.6636181979085</x:v>
      </x:c>
      <x:c r="G845" s="4" t="n">
        <x:f>IF('계산 과정'!$L$7,IF(ABS(F845)&gt;=1E-12*MAX(1,SQRT((D845-'계산 과정'!$C$33)^2+(E845-'계산 과정'!$D$33)^2+'계산 과정'!$E$33^2)),('계산 과정'!$L$23-'계산 과정'!$C$49*D845-'계산 과정'!$D$49*E845)/F845,""),"")</x:f>
        <x:v>0.4651225112281894</x:v>
      </x:c>
      <x:c r="H845" s="4" t="n">
        <x:f>IF(AND(ISNUMBER(G845),G845&gt;0),('계산 과정'!$D$56+'계산 과정'!$D$57*D845+'계산 과정'!$D$58*E845)/F845,"")</x:f>
        <x:v>-97.67036770167708</x:v>
      </x:c>
      <x:c r="I845" s="4" t="n">
        <x:f>IF(AND(ISNUMBER(G845),G845&gt;0),('계산 과정'!$E$56+'계산 과정'!$E$57*D845+'계산 과정'!$E$58*E845)/F845,"")</x:f>
        <x:v>26.814002730917505</x:v>
      </x:c>
      <x:c r="J845" s="4" t="n">
        <x:f>IF('계산 과정'!$L$5,'계산 과정'!$D$6+'계산 과정'!$C$35*D845+'계산 과정'!$D$35*E845,"")</x:f>
        <x:v>716.6636181979085</x:v>
      </x:c>
      <x:c r="K845" s="4" t="n">
        <x:f>IF(AND('계산 과정'!$L$6,J845&gt;0),'계산 과정'!$D$10*('계산 과정'!$C$38*(D845-'계산 과정'!$C$32)+'계산 과정'!$D$38*(E845-'계산 과정'!$D$32)-'계산 과정'!$E$38*'계산 과정'!$E$32)/J845,"")</x:f>
        <x:v>-0.7441551824889674</x:v>
      </x:c>
      <x:c r="L845" s="4" t="n">
        <x:f>IF(AND('계산 과정'!$L$6,J845&gt;0),'계산 과정'!$D$10*('계산 과정'!$C$39*(D845-'계산 과정'!$C$32)+'계산 과정'!$D$39*(E845-'계산 과정'!$D$32)-'계산 과정'!$E$39*'계산 과정'!$E$32)/J845,"")</x:f>
        <x:v>0.20429716366413336</x:v>
      </x:c>
      <x:c r="M845" s="17" t="n">
        <x:f>IF('계산 과정'!$L$6,IF(J845&lt;=0,0,IF(AND(ABS(K845)&lt;='계산 과정'!$D$11/2,ABS(L845)&lt;='계산 과정'!$D$12/2),1,0)),"")</x:f>
        <x:v>1</x:v>
      </x:c>
      <x:c r="N845" s="17" t="n">
        <x:f>IF('계산 과정'!$C$78,IF(AND(ISNUMBER(H845),ISNUMBER(I845),ABS(H845-'계산 과정'!$C$88)&lt;='계산 과정'!$D$23/2,ABS(I845-'계산 과정'!$C$89)&lt;='계산 과정'!$D$24/2),1,0),"")</x:f>
        <x:v>1</x:v>
      </x:c>
      <x:c r="O845" s="4" t="n">
        <x:f>IF('계산 과정'!$L$7,'계산 과정'!$C$49*('계산 과정'!$C$32-D845)+'계산 과정'!$D$49*('계산 과정'!$D$32-E845)+'계산 과정'!$E$49*'계산 과정'!$E$32,"")</x:f>
        <x:v>-66.66361819790842</x:v>
      </x:c>
      <x:c r="P845" s="4" t="n">
        <x:f>IF(AND('계산 과정'!$L$7,O845&lt;&gt;0),('계산 과정'!$L$23-'계산 과정'!$C$49*D845-'계산 과정'!$D$49*E845)/O845,"")</x:f>
        <x:v>-5.000274374734583</x:v>
      </x:c>
      <x:c r="Q845" s="4" t="str">
        <x:f>IF(AND(ISNUMBER(P845),P845&gt;1E-9,P845&lt;1-1E-9),'계산 과정'!$C$47*(D845-'계산 과정'!$C$50+P845*('계산 과정'!$C$32-D845))+'계산 과정'!$D$47*(E845-'계산 과정'!$D$50+P845*('계산 과정'!$D$32-E845))+'계산 과정'!$E$47*(0-'계산 과정'!$E$50+P845*('계산 과정'!$E$32-0)),"")</x:f>
      </x:c>
      <x:c r="R845" s="4" t="str">
        <x:f>IF(AND(ISNUMBER(P845),P845&gt;1E-9,P845&lt;1-1E-9),'계산 과정'!$C$48*(D845-'계산 과정'!$C$50+P845*('계산 과정'!$C$32-D845))+'계산 과정'!$D$48*(E845-'계산 과정'!$D$50+P845*('계산 과정'!$D$32-E845))+'계산 과정'!$E$48*(0-'계산 과정'!$E$50+P845*('계산 과정'!$E$32-0)),"")</x:f>
      </x:c>
      <x:c r="S845" s="17" t="n">
        <x:f>IF('계산 과정'!$C$78,IF(AND(ISNUMBER(Q845),ISNUMBER(R845),ABS(Q845-'계산 과정'!$C$88)&lt;='계산 과정'!$D$23/2,ABS(R845-'계산 과정'!$C$89)&lt;='계산 과정'!$D$24/2),1,0),"")</x:f>
        <x:v>0</x:v>
      </x:c>
      <x:c r="T845" s="4"/>
      <x:c r="U845" s="4"/>
      <x:c r="V845" s="4"/>
      <x:c r="W845" s="4"/>
      <x:c r="X845" s="4"/>
      <x:c r="Y845" s="4"/>
      <x:c r="Z845" s="4"/>
    </x:row>
    <x:row r="846" ht="23" customHeight="1">
      <x:c r="A846" s="17" t="n">
        <x:f>ROW()-6</x:f>
        <x:v>840</x:v>
      </x:c>
      <x:c r="B846" s="4" t="n">
        <x:f>IF('계산 과정'!$L$5,'계산 과정'!$L$11*SQRT((A846+0.5)/'계산 과정'!$L$30),"")</x:f>
        <x:v>96.09375</x:v>
      </x:c>
      <x:c r="C846" s="4" t="n">
        <x:f>A846*PI()*(3-SQRT(5))</x:f>
        <x:v>2015.9691129720686</x:v>
      </x:c>
      <x:c r="D846" s="4" t="n">
        <x:f>IF('계산 과정'!$L$5,B846*COS(C846),"")</x:f>
        <x:v>57.18814131564425</x:v>
      </x:c>
      <x:c r="E846" s="4" t="n">
        <x:f>IF('계산 과정'!$L$5,B846*SIN(C846),"")</x:f>
        <x:v>-77.22386471761436</x:v>
      </x:c>
      <x:c r="F846" s="4" t="n">
        <x:f>IF('계산 과정'!$L$7,'계산 과정'!$L$22+'계산 과정'!$C$49*D846+'계산 과정'!$D$49*E846,"")</x:f>
        <x:v>609.5618774722534</x:v>
      </x:c>
      <x:c r="G846" s="4" t="n">
        <x:f>IF('계산 과정'!$L$7,IF(ABS(F846)&gt;=1E-12*MAX(1,SQRT((D846-'계산 과정'!$C$33)^2+(E846-'계산 과정'!$D$33)^2+'계산 과정'!$E$33^2)),('계산 과정'!$L$23-'계산 과정'!$C$49*D846-'계산 과정'!$D$49*E846)/F846,""),"")</x:f>
        <x:v>0.7225486678303548</x:v>
      </x:c>
      <x:c r="H846" s="4" t="n">
        <x:f>IF(AND(ISNUMBER(G846),G846&gt;0),('계산 과정'!$D$56+'계산 과정'!$D$57*D846+'계산 과정'!$D$58*E846)/F846,"")</x:f>
        <x:v>69.65663408973049</x:v>
      </x:c>
      <x:c r="I846" s="4" t="n">
        <x:f>IF(AND(ISNUMBER(G846),G846&gt;0),('계산 과정'!$E$56+'계산 과정'!$E$57*D846+'계산 과정'!$E$58*E846)/F846,"")</x:f>
        <x:v>-133.02186529403815</x:v>
      </x:c>
      <x:c r="J846" s="4" t="n">
        <x:f>IF('계산 과정'!$L$5,'계산 과정'!$D$6+'계산 과정'!$C$35*D846+'계산 과정'!$D$35*E846,"")</x:f>
        <x:v>609.5618774722534</x:v>
      </x:c>
      <x:c r="K846" s="4" t="n">
        <x:f>IF(AND('계산 과정'!$L$6,J846&gt;0),'계산 과정'!$D$10*('계산 과정'!$C$38*(D846-'계산 과정'!$C$32)+'계산 과정'!$D$38*(E846-'계산 과정'!$D$32)-'계산 과정'!$E$38*'계산 과정'!$E$32)/J846,"")</x:f>
        <x:v>0.5307172121122335</x:v>
      </x:c>
      <x:c r="L846" s="4" t="n">
        <x:f>IF(AND('계산 과정'!$L$6,J846&gt;0),'계산 과정'!$D$10*('계산 과정'!$C$39*(D846-'계산 과정'!$C$32)+'계산 과정'!$D$39*(E846-'계산 과정'!$D$32)-'계산 과정'!$E$39*'계산 과정'!$E$32)/J846,"")</x:f>
        <x:v>-1.0134999260498145</x:v>
      </x:c>
      <x:c r="M846" s="17" t="n">
        <x:f>IF('계산 과정'!$L$6,IF(J846&lt;=0,0,IF(AND(ABS(K846)&lt;='계산 과정'!$D$11/2,ABS(L846)&lt;='계산 과정'!$D$12/2),1,0)),"")</x:f>
        <x:v>1</x:v>
      </x:c>
      <x:c r="N846" s="17" t="n">
        <x:f>IF('계산 과정'!$C$78,IF(AND(ISNUMBER(H846),ISNUMBER(I846),ABS(H846-'계산 과정'!$C$88)&lt;='계산 과정'!$D$23/2,ABS(I846-'계산 과정'!$C$89)&lt;='계산 과정'!$D$24/2),1,0),"")</x:f>
        <x:v>1</x:v>
      </x:c>
      <x:c r="O846" s="4" t="n">
        <x:f>IF('계산 과정'!$L$7,'계산 과정'!$C$49*('계산 과정'!$C$32-D846)+'계산 과정'!$D$49*('계산 과정'!$D$32-E846)+'계산 과정'!$E$49*'계산 과정'!$E$32,"")</x:f>
        <x:v>40.438122527746714</x:v>
      </x:c>
      <x:c r="P846" s="4" t="n">
        <x:f>IF(AND('계산 과정'!$L$7,O846&lt;&gt;0),('계산 과정'!$L$23-'계산 과정'!$C$49*D846-'계산 과정'!$D$49*E846)/O846,"")</x:f>
        <x:v>10.891656066018864</x:v>
      </x:c>
      <x:c r="Q846" s="4" t="str">
        <x:f>IF(AND(ISNUMBER(P846),P846&gt;1E-9,P846&lt;1-1E-9),'계산 과정'!$C$47*(D846-'계산 과정'!$C$50+P846*('계산 과정'!$C$32-D846))+'계산 과정'!$D$47*(E846-'계산 과정'!$D$50+P846*('계산 과정'!$D$32-E846))+'계산 과정'!$E$47*(0-'계산 과정'!$E$50+P846*('계산 과정'!$E$32-0)),"")</x:f>
      </x:c>
      <x:c r="R846" s="4" t="str">
        <x:f>IF(AND(ISNUMBER(P846),P846&gt;1E-9,P846&lt;1-1E-9),'계산 과정'!$C$48*(D846-'계산 과정'!$C$50+P846*('계산 과정'!$C$32-D846))+'계산 과정'!$D$48*(E846-'계산 과정'!$D$50+P846*('계산 과정'!$D$32-E846))+'계산 과정'!$E$48*(0-'계산 과정'!$E$50+P846*('계산 과정'!$E$32-0)),"")</x:f>
      </x:c>
      <x:c r="S846" s="17" t="n">
        <x:f>IF('계산 과정'!$C$78,IF(AND(ISNUMBER(Q846),ISNUMBER(R846),ABS(Q846-'계산 과정'!$C$88)&lt;='계산 과정'!$D$23/2,ABS(R846-'계산 과정'!$C$89)&lt;='계산 과정'!$D$24/2),1,0),"")</x:f>
        <x:v>0</x:v>
      </x:c>
      <x:c r="T846" s="4"/>
      <x:c r="U846" s="4"/>
      <x:c r="V846" s="4"/>
      <x:c r="W846" s="4"/>
      <x:c r="X846" s="4"/>
      <x:c r="Y846" s="4"/>
      <x:c r="Z846" s="4"/>
    </x:row>
    <x:row r="847" ht="23" customHeight="1">
      <x:c r="A847" s="17" t="n">
        <x:f>ROW()-6</x:f>
        <x:v>841</x:v>
      </x:c>
      <x:c r="B847" s="4" t="n">
        <x:f>IF('계산 과정'!$L$5,'계산 과정'!$L$11*SQRT((A847+0.5)/'계산 과정'!$L$30),"")</x:f>
        <x:v>96.1508976410907</x:v>
      </x:c>
      <x:c r="C847" s="4" t="n">
        <x:f>A847*PI()*(3-SQRT(5))</x:f>
        <x:v>2018.369076201797</x:v>
      </x:c>
      <x:c r="D847" s="4" t="n">
        <x:f>IF('계산 과정'!$L$5,B847*COS(C847),"")</x:f>
        <x:v>10.001159727051213</x:v>
      </x:c>
      <x:c r="E847" s="4" t="n">
        <x:f>IF('계산 과정'!$L$5,B847*SIN(C847),"")</x:f>
        <x:v>95.62934654854392</x:v>
      </x:c>
      <x:c r="F847" s="4" t="n">
        <x:f>IF('계산 과정'!$L$7,'계산 과정'!$L$22+'계산 과정'!$C$49*D847+'계산 과정'!$D$49*E847,"")</x:f>
        <x:v>642.9281121372723</x:v>
      </x:c>
      <x:c r="G847" s="4" t="n">
        <x:f>IF('계산 과정'!$L$7,IF(ABS(F847)&gt;=1E-12*MAX(1,SQRT((D847-'계산 과정'!$C$33)^2+(E847-'계산 과정'!$D$33)^2+'계산 과정'!$E$33^2)),('계산 과정'!$L$23-'계산 과정'!$C$49*D847-'계산 과정'!$D$49*E847)/F847,""),"")</x:f>
        <x:v>0.6331530386958929</x:v>
      </x:c>
      <x:c r="H847" s="4" t="n">
        <x:f>IF(AND(ISNUMBER(G847),G847&gt;0),('계산 과정'!$D$56+'계산 과정'!$D$57*D847+'계산 과정'!$D$58*E847)/F847,"")</x:f>
        <x:v>11.549475152330258</x:v>
      </x:c>
      <x:c r="I847" s="4" t="n">
        <x:f>IF(AND(ISNUMBER(G847),G847&gt;0),('계산 과정'!$E$56+'계산 과정'!$E$57*D847+'계산 과정'!$E$58*E847)/F847,"")</x:f>
        <x:v>156.1773579042571</x:v>
      </x:c>
      <x:c r="J847" s="4" t="n">
        <x:f>IF('계산 과정'!$L$5,'계산 과정'!$D$6+'계산 과정'!$C$35*D847+'계산 과정'!$D$35*E847,"")</x:f>
        <x:v>642.9281121372723</x:v>
      </x:c>
      <x:c r="K847" s="4" t="n">
        <x:f>IF(AND('계산 과정'!$L$6,J847&gt;0),'계산 과정'!$D$10*('계산 과정'!$C$38*(D847-'계산 과정'!$C$32)+'계산 과정'!$D$38*(E847-'계산 과정'!$D$32)-'계산 과정'!$E$38*'계산 과정'!$E$32)/J847,"")</x:f>
        <x:v>0.08799600116061278</x:v>
      </x:c>
      <x:c r="L847" s="4" t="n">
        <x:f>IF(AND('계산 과정'!$L$6,J847&gt;0),'계산 과정'!$D$10*('계산 과정'!$C$39*(D847-'계산 과정'!$C$32)+'계산 과정'!$D$39*(E847-'계산 과정'!$D$32)-'계산 과정'!$E$39*'계산 과정'!$E$32)/J847,"")</x:f>
        <x:v>1.189922726889578</x:v>
      </x:c>
      <x:c r="M847" s="17" t="n">
        <x:f>IF('계산 과정'!$L$6,IF(J847&lt;=0,0,IF(AND(ABS(K847)&lt;='계산 과정'!$D$11/2,ABS(L847)&lt;='계산 과정'!$D$12/2),1,0)),"")</x:f>
        <x:v>1</x:v>
      </x:c>
      <x:c r="N847" s="17" t="n">
        <x:f>IF('계산 과정'!$C$78,IF(AND(ISNUMBER(H847),ISNUMBER(I847),ABS(H847-'계산 과정'!$C$88)&lt;='계산 과정'!$D$23/2,ABS(I847-'계산 과정'!$C$89)&lt;='계산 과정'!$D$24/2),1,0),"")</x:f>
        <x:v>1</x:v>
      </x:c>
      <x:c r="O847" s="4" t="n">
        <x:f>IF('계산 과정'!$L$7,'계산 과정'!$C$49*('계산 과정'!$C$32-D847)+'계산 과정'!$D$49*('계산 과정'!$D$32-E847)+'계산 과정'!$E$49*'계산 과정'!$E$32,"")</x:f>
        <x:v>7.071887862727863</x:v>
      </x:c>
      <x:c r="P847" s="4" t="n">
        <x:f>IF(AND('계산 과정'!$L$7,O847&lt;&gt;0),('계산 과정'!$L$23-'계산 과정'!$C$49*D847-'계산 과정'!$D$49*E847)/O847,"")</x:f>
        <x:v>57.561982848764586</x:v>
      </x:c>
      <x:c r="Q847" s="4" t="str">
        <x:f>IF(AND(ISNUMBER(P847),P847&gt;1E-9,P847&lt;1-1E-9),'계산 과정'!$C$47*(D847-'계산 과정'!$C$50+P847*('계산 과정'!$C$32-D847))+'계산 과정'!$D$47*(E847-'계산 과정'!$D$50+P847*('계산 과정'!$D$32-E847))+'계산 과정'!$E$47*(0-'계산 과정'!$E$50+P847*('계산 과정'!$E$32-0)),"")</x:f>
      </x:c>
      <x:c r="R847" s="4" t="str">
        <x:f>IF(AND(ISNUMBER(P847),P847&gt;1E-9,P847&lt;1-1E-9),'계산 과정'!$C$48*(D847-'계산 과정'!$C$50+P847*('계산 과정'!$C$32-D847))+'계산 과정'!$D$48*(E847-'계산 과정'!$D$50+P847*('계산 과정'!$D$32-E847))+'계산 과정'!$E$48*(0-'계산 과정'!$E$50+P847*('계산 과정'!$E$32-0)),"")</x:f>
      </x:c>
      <x:c r="S847" s="17" t="n">
        <x:f>IF('계산 과정'!$C$78,IF(AND(ISNUMBER(Q847),ISNUMBER(R847),ABS(Q847-'계산 과정'!$C$88)&lt;='계산 과정'!$D$23/2,ABS(R847-'계산 과정'!$C$89)&lt;='계산 과정'!$D$24/2),1,0),"")</x:f>
        <x:v>0</x:v>
      </x:c>
      <x:c r="T847" s="4"/>
      <x:c r="U847" s="4"/>
      <x:c r="V847" s="4"/>
      <x:c r="W847" s="4"/>
      <x:c r="X847" s="4"/>
      <x:c r="Y847" s="4"/>
      <x:c r="Z847" s="4"/>
    </x:row>
    <x:row r="848" ht="23" customHeight="1">
      <x:c r="A848" s="17" t="n">
        <x:f>ROW()-6</x:f>
        <x:v>842</x:v>
      </x:c>
      <x:c r="B848" s="4" t="n">
        <x:f>IF('계산 과정'!$L$5,'계산 과정'!$L$11*SQRT((A848+0.5)/'계산 과정'!$L$30),"")</x:f>
        <x:v>96.20801133643965</x:v>
      </x:c>
      <x:c r="C848" s="4" t="n">
        <x:f>A848*PI()*(3-SQRT(5))</x:f>
        <x:v>2020.7690394315257</x:v>
      </x:c>
      <x:c r="D848" s="4" t="n">
        <x:f>IF('계산 과정'!$L$5,B848*COS(C848),"")</x:f>
        <x:v>-72.01399033023604</x:v>
      </x:c>
      <x:c r="E848" s="4" t="n">
        <x:f>IF('계산 과정'!$L$5,B848*SIN(C848),"")</x:f>
        <x:v>-63.796290190176194</x:v>
      </x:c>
      <x:c r="F848" s="4" t="n">
        <x:f>IF('계산 과정'!$L$7,'계산 과정'!$L$22+'계산 과정'!$C$49*D848+'계산 과정'!$D$49*E848,"")</x:f>
        <x:v>700.9215809028124</x:v>
      </x:c>
      <x:c r="G848" s="4" t="n">
        <x:f>IF('계산 과정'!$L$7,IF(ABS(F848)&gt;=1E-12*MAX(1,SQRT((D848-'계산 과정'!$C$33)^2+(E848-'계산 과정'!$D$33)^2+'계산 과정'!$E$33^2)),('계산 과정'!$L$23-'계산 과정'!$C$49*D848-'계산 과정'!$D$49*E848)/F848,""),"")</x:f>
        <x:v>0.4980277802939981</x:v>
      </x:c>
      <x:c r="H848" s="4" t="n">
        <x:f>IF(AND(ISNUMBER(G848),G848&gt;0),('계산 과정'!$D$56+'계산 과정'!$D$57*D848+'계산 과정'!$D$58*E848)/F848,"")</x:f>
        <x:v>-76.28194280890138</x:v>
      </x:c>
      <x:c r="I848" s="4" t="n">
        <x:f>IF(AND(ISNUMBER(G848),G848&gt;0),('계산 과정'!$E$56+'계산 과정'!$E$57*D848+'계산 과정'!$E$58*E848)/F848,"")</x:f>
        <x:v>-95.56861498458142</x:v>
      </x:c>
      <x:c r="J848" s="4" t="n">
        <x:f>IF('계산 과정'!$L$5,'계산 과정'!$D$6+'계산 과정'!$C$35*D848+'계산 과정'!$D$35*E848,"")</x:f>
        <x:v>700.9215809028124</x:v>
      </x:c>
      <x:c r="K848" s="4" t="n">
        <x:f>IF(AND('계산 과정'!$L$6,J848&gt;0),'계산 과정'!$D$10*('계산 과정'!$C$38*(D848-'계산 과정'!$C$32)+'계산 과정'!$D$38*(E848-'계산 과정'!$D$32)-'계산 과정'!$E$38*'계산 과정'!$E$32)/J848,"")</x:f>
        <x:v>-0.5811957547344857</x:v>
      </x:c>
      <x:c r="L848" s="4" t="n">
        <x:f>IF(AND('계산 과정'!$L$6,J848&gt;0),'계산 과정'!$D$10*('계산 과정'!$C$39*(D848-'계산 과정'!$C$32)+'계산 과정'!$D$39*(E848-'계산 과정'!$D$32)-'계산 과정'!$E$39*'계산 과정'!$E$32)/J848,"")</x:f>
        <x:v>-0.7281418284539536</x:v>
      </x:c>
      <x:c r="M848" s="17" t="n">
        <x:f>IF('계산 과정'!$L$6,IF(J848&lt;=0,0,IF(AND(ABS(K848)&lt;='계산 과정'!$D$11/2,ABS(L848)&lt;='계산 과정'!$D$12/2),1,0)),"")</x:f>
        <x:v>1</x:v>
      </x:c>
      <x:c r="N848" s="17" t="n">
        <x:f>IF('계산 과정'!$C$78,IF(AND(ISNUMBER(H848),ISNUMBER(I848),ABS(H848-'계산 과정'!$C$88)&lt;='계산 과정'!$D$23/2,ABS(I848-'계산 과정'!$C$89)&lt;='계산 과정'!$D$24/2),1,0),"")</x:f>
        <x:v>1</x:v>
      </x:c>
      <x:c r="O848" s="4" t="n">
        <x:f>IF('계산 과정'!$L$7,'계산 과정'!$C$49*('계산 과정'!$C$32-D848)+'계산 과정'!$D$49*('계산 과정'!$D$32-E848)+'계산 과정'!$E$49*'계산 과정'!$E$32,"")</x:f>
        <x:v>-50.92158090281225</x:v>
      </x:c>
      <x:c r="P848" s="4" t="n">
        <x:f>IF(AND('계산 과정'!$L$7,O848&lt;&gt;0),('계산 과정'!$L$23-'계산 과정'!$C$49*D848-'계산 과정'!$D$49*E848)/O848,"")</x:f>
        <x:v>-6.855215665111235</x:v>
      </x:c>
      <x:c r="Q848" s="4" t="str">
        <x:f>IF(AND(ISNUMBER(P848),P848&gt;1E-9,P848&lt;1-1E-9),'계산 과정'!$C$47*(D848-'계산 과정'!$C$50+P848*('계산 과정'!$C$32-D848))+'계산 과정'!$D$47*(E848-'계산 과정'!$D$50+P848*('계산 과정'!$D$32-E848))+'계산 과정'!$E$47*(0-'계산 과정'!$E$50+P848*('계산 과정'!$E$32-0)),"")</x:f>
      </x:c>
      <x:c r="R848" s="4" t="str">
        <x:f>IF(AND(ISNUMBER(P848),P848&gt;1E-9,P848&lt;1-1E-9),'계산 과정'!$C$48*(D848-'계산 과정'!$C$50+P848*('계산 과정'!$C$32-D848))+'계산 과정'!$D$48*(E848-'계산 과정'!$D$50+P848*('계산 과정'!$D$32-E848))+'계산 과정'!$E$48*(0-'계산 과정'!$E$50+P848*('계산 과정'!$E$32-0)),"")</x:f>
      </x:c>
      <x:c r="S848" s="17" t="n">
        <x:f>IF('계산 과정'!$C$78,IF(AND(ISNUMBER(Q848),ISNUMBER(R848),ABS(Q848-'계산 과정'!$C$88)&lt;='계산 과정'!$D$23/2,ABS(R848-'계산 과정'!$C$89)&lt;='계산 과정'!$D$24/2),1,0),"")</x:f>
        <x:v>0</x:v>
      </x:c>
      <x:c r="T848" s="4"/>
      <x:c r="U848" s="4"/>
      <x:c r="V848" s="4"/>
      <x:c r="W848" s="4"/>
      <x:c r="X848" s="4"/>
      <x:c r="Y848" s="4"/>
      <x:c r="Z848" s="4"/>
    </x:row>
    <x:row r="849" ht="23" customHeight="1">
      <x:c r="A849" s="17" t="n">
        <x:f>ROW()-6</x:f>
        <x:v>843</x:v>
      </x:c>
      <x:c r="B849" s="4" t="n">
        <x:f>IF('계산 과정'!$L$5,'계산 과정'!$L$11*SQRT((A849+0.5)/'계산 과정'!$L$30),"")</x:f>
        <x:v>96.26509114646647</x:v>
      </x:c>
      <x:c r="C849" s="4" t="n">
        <x:f>A849*PI()*(3-SQRT(5))</x:f>
        <x:v>2023.1690026612546</x:v>
      </x:c>
      <x:c r="D849" s="4" t="n">
        <x:f>IF('계산 과정'!$L$5,B849*COS(C849),"")</x:f>
        <x:v>96.25172197195992</x:v>
      </x:c>
      <x:c r="E849" s="4" t="n">
        <x:f>IF('계산 과정'!$L$5,B849*SIN(C849),"")</x:f>
        <x:v>-1.604303858383829</x:v>
      </x:c>
      <x:c r="F849" s="4" t="n">
        <x:f>IF('계산 과정'!$L$7,'계산 과정'!$L$22+'계산 과정'!$C$49*D849+'계산 과정'!$D$49*E849,"")</x:f>
        <x:v>581.9397546927449</x:v>
      </x:c>
      <x:c r="G849" s="4" t="n">
        <x:f>IF('계산 과정'!$L$7,IF(ABS(F849)&gt;=1E-12*MAX(1,SQRT((D849-'계산 과정'!$C$33)^2+(E849-'계산 과정'!$D$33)^2+'계산 과정'!$E$33^2)),('계산 과정'!$L$23-'계산 과정'!$C$49*D849-'계산 과정'!$D$49*E849)/F849,""),"")</x:f>
        <x:v>0.8043104832292881</x:v>
      </x:c>
      <x:c r="H849" s="4" t="n">
        <x:f>IF(AND(ISNUMBER(G849),G849&gt;0),('계산 과정'!$D$56+'계산 과정'!$D$57*D849+'계산 과정'!$D$58*E849)/F849,"")</x:f>
        <x:v>122.8018140990372</x:v>
      </x:c>
      <x:c r="I849" s="4" t="n">
        <x:f>IF(AND(ISNUMBER(G849),G849&gt;0),('계산 과정'!$E$56+'계산 과정'!$E$57*D849+'계산 과정'!$E$58*E849)/F849,"")</x:f>
        <x:v>-2.894662269967138</x:v>
      </x:c>
      <x:c r="J849" s="4" t="n">
        <x:f>IF('계산 과정'!$L$5,'계산 과정'!$D$6+'계산 과정'!$C$35*D849+'계산 과정'!$D$35*E849,"")</x:f>
        <x:v>581.9397546927449</x:v>
      </x:c>
      <x:c r="K849" s="4" t="n">
        <x:f>IF(AND('계산 과정'!$L$6,J849&gt;0),'계산 과정'!$D$10*('계산 과정'!$C$38*(D849-'계산 과정'!$C$32)+'계산 과정'!$D$38*(E849-'계산 과정'!$D$32)-'계산 과정'!$E$38*'계산 과정'!$E$32)/J849,"")</x:f>
        <x:v>0.9356328693259982</x:v>
      </x:c>
      <x:c r="L849" s="4" t="n">
        <x:f>IF(AND('계산 과정'!$L$6,J849&gt;0),'계산 과정'!$D$10*('계산 과정'!$C$39*(D849-'계산 과정'!$C$32)+'계산 과정'!$D$39*(E849-'계산 과정'!$D$32)-'계산 과정'!$E$39*'계산 과정'!$E$32)/J849,"")</x:f>
        <x:v>-0.0220545696759401</x:v>
      </x:c>
      <x:c r="M849" s="17" t="n">
        <x:f>IF('계산 과정'!$L$6,IF(J849&lt;=0,0,IF(AND(ABS(K849)&lt;='계산 과정'!$D$11/2,ABS(L849)&lt;='계산 과정'!$D$12/2),1,0)),"")</x:f>
        <x:v>1</x:v>
      </x:c>
      <x:c r="N849" s="17" t="n">
        <x:f>IF('계산 과정'!$C$78,IF(AND(ISNUMBER(H849),ISNUMBER(I849),ABS(H849-'계산 과정'!$C$88)&lt;='계산 과정'!$D$23/2,ABS(I849-'계산 과정'!$C$89)&lt;='계산 과정'!$D$24/2),1,0),"")</x:f>
        <x:v>1</x:v>
      </x:c>
      <x:c r="O849" s="4" t="n">
        <x:f>IF('계산 과정'!$L$7,'계산 과정'!$C$49*('계산 과정'!$C$32-D849)+'계산 과정'!$D$49*('계산 과정'!$D$32-E849)+'계산 과정'!$E$49*'계산 과정'!$E$32,"")</x:f>
        <x:v>68.06024530725517</x:v>
      </x:c>
      <x:c r="P849" s="4" t="n">
        <x:f>IF(AND('계산 과정'!$L$7,O849&lt;&gt;0),('계산 과정'!$L$23-'계산 과정'!$C$49*D849-'계산 과정'!$D$49*E849)/O849,"")</x:f>
        <x:v>6.877146022530721</x:v>
      </x:c>
      <x:c r="Q849" s="4" t="str">
        <x:f>IF(AND(ISNUMBER(P849),P849&gt;1E-9,P849&lt;1-1E-9),'계산 과정'!$C$47*(D849-'계산 과정'!$C$50+P849*('계산 과정'!$C$32-D849))+'계산 과정'!$D$47*(E849-'계산 과정'!$D$50+P849*('계산 과정'!$D$32-E849))+'계산 과정'!$E$47*(0-'계산 과정'!$E$50+P849*('계산 과정'!$E$32-0)),"")</x:f>
      </x:c>
      <x:c r="R849" s="4" t="str">
        <x:f>IF(AND(ISNUMBER(P849),P849&gt;1E-9,P849&lt;1-1E-9),'계산 과정'!$C$48*(D849-'계산 과정'!$C$50+P849*('계산 과정'!$C$32-D849))+'계산 과정'!$D$48*(E849-'계산 과정'!$D$50+P849*('계산 과정'!$D$32-E849))+'계산 과정'!$E$48*(0-'계산 과정'!$E$50+P849*('계산 과정'!$E$32-0)),"")</x:f>
      </x:c>
      <x:c r="S849" s="17" t="n">
        <x:f>IF('계산 과정'!$C$78,IF(AND(ISNUMBER(Q849),ISNUMBER(R849),ABS(Q849-'계산 과정'!$C$88)&lt;='계산 과정'!$D$23/2,ABS(R849-'계산 과정'!$C$89)&lt;='계산 과정'!$D$24/2),1,0),"")</x:f>
        <x:v>0</x:v>
      </x:c>
      <x:c r="T849" s="4"/>
      <x:c r="U849" s="4"/>
      <x:c r="V849" s="4"/>
      <x:c r="W849" s="4"/>
      <x:c r="X849" s="4"/>
      <x:c r="Y849" s="4"/>
      <x:c r="Z849" s="4"/>
    </x:row>
    <x:row r="850" ht="23" customHeight="1">
      <x:c r="A850" s="17" t="n">
        <x:f>ROW()-6</x:f>
        <x:v>844</x:v>
      </x:c>
      <x:c r="B850" s="4" t="n">
        <x:f>IF('계산 과정'!$L$5,'계산 과정'!$L$11*SQRT((A850+0.5)/'계산 과정'!$L$30),"")</x:f>
        <x:v>96.32213713141181</x:v>
      </x:c>
      <x:c r="C850" s="4" t="n">
        <x:f>A850*PI()*(3-SQRT(5))</x:f>
        <x:v>2025.568965890983</x:v>
      </x:c>
      <x:c r="D850" s="4" t="n">
        <x:f>IF('계산 과정'!$L$5,B850*COS(C850),"")</x:f>
        <x:v>-69.93074846258106</x:v>
      </x:c>
      <x:c r="E850" s="4" t="n">
        <x:f>IF('계산 과정'!$L$5,B850*SIN(C850),"")</x:f>
        <x:v>66.23929740739796</x:v>
      </x:c>
      <x:c r="F850" s="4" t="n">
        <x:f>IF('계산 과정'!$L$7,'계산 과정'!$L$22+'계산 과정'!$C$49*D850+'계산 과정'!$D$49*E850,"")</x:f>
        <x:v>699.4485064513418</x:v>
      </x:c>
      <x:c r="G850" s="4" t="n">
        <x:f>IF('계산 과정'!$L$7,IF(ABS(F850)&gt;=1E-12*MAX(1,SQRT((D850-'계산 과정'!$C$33)^2+(E850-'계산 과정'!$D$33)^2+'계산 과정'!$E$33^2)),('계산 과정'!$L$23-'계산 과정'!$C$49*D850-'계산 과정'!$D$49*E850)/F850,""),"")</x:f>
        <x:v>0.5011827036806245</x:v>
      </x:c>
      <x:c r="H850" s="4" t="n">
        <x:f>IF(AND(ISNUMBER(G850),G850&gt;0),('계산 과정'!$D$56+'계산 과정'!$D$57*D850+'계산 과정'!$D$58*E850)/F850,"")</x:f>
        <x:v>-74.23124260759421</x:v>
      </x:c>
      <x:c r="I850" s="4" t="n">
        <x:f>IF(AND(ISNUMBER(G850),G850&gt;0),('계산 과정'!$E$56+'계산 과정'!$E$57*D850+'계산 과정'!$E$58*E850)/F850,"")</x:f>
        <x:v>99.43728757194263</x:v>
      </x:c>
      <x:c r="J850" s="4" t="n">
        <x:f>IF('계산 과정'!$L$5,'계산 과정'!$D$6+'계산 과정'!$C$35*D850+'계산 과정'!$D$35*E850,"")</x:f>
        <x:v>699.4485064513418</x:v>
      </x:c>
      <x:c r="K850" s="4" t="n">
        <x:f>IF(AND('계산 과정'!$L$6,J850&gt;0),'계산 과정'!$D$10*('계산 과정'!$C$38*(D850-'계산 과정'!$C$32)+'계산 과정'!$D$38*(E850-'계산 과정'!$D$32)-'계산 과정'!$E$38*'계산 과정'!$E$32)/J850,"")</x:f>
        <x:v>-0.5655713722483361</x:v>
      </x:c>
      <x:c r="L850" s="4" t="n">
        <x:f>IF(AND('계산 과정'!$L$6,J850&gt;0),'계산 과정'!$D$10*('계산 과정'!$C$39*(D850-'계산 과정'!$C$32)+'계산 과정'!$D$39*(E850-'계산 과정'!$D$32)-'계산 과정'!$E$39*'계산 과정'!$E$32)/J850,"")</x:f>
        <x:v>0.757617429119563</x:v>
      </x:c>
      <x:c r="M850" s="17" t="n">
        <x:f>IF('계산 과정'!$L$6,IF(J850&lt;=0,0,IF(AND(ABS(K850)&lt;='계산 과정'!$D$11/2,ABS(L850)&lt;='계산 과정'!$D$12/2),1,0)),"")</x:f>
        <x:v>1</x:v>
      </x:c>
      <x:c r="N850" s="17" t="n">
        <x:f>IF('계산 과정'!$C$78,IF(AND(ISNUMBER(H850),ISNUMBER(I850),ABS(H850-'계산 과정'!$C$88)&lt;='계산 과정'!$D$23/2,ABS(I850-'계산 과정'!$C$89)&lt;='계산 과정'!$D$24/2),1,0),"")</x:f>
        <x:v>1</x:v>
      </x:c>
      <x:c r="O850" s="4" t="n">
        <x:f>IF('계산 과정'!$L$7,'계산 과정'!$C$49*('계산 과정'!$C$32-D850)+'계산 과정'!$D$49*('계산 과정'!$D$32-E850)+'계산 과정'!$E$49*'계산 과정'!$E$32,"")</x:f>
        <x:v>-49.4485064513417</x:v>
      </x:c>
      <x:c r="P850" s="4" t="n">
        <x:f>IF(AND('계산 과정'!$L$7,O850&lt;&gt;0),('계산 과정'!$L$23-'계산 과정'!$C$49*D850-'계산 과정'!$D$49*E850)/O850,"")</x:f>
        <x:v>-7.089223086921902</x:v>
      </x:c>
      <x:c r="Q850" s="4" t="str">
        <x:f>IF(AND(ISNUMBER(P850),P850&gt;1E-9,P850&lt;1-1E-9),'계산 과정'!$C$47*(D850-'계산 과정'!$C$50+P850*('계산 과정'!$C$32-D850))+'계산 과정'!$D$47*(E850-'계산 과정'!$D$50+P850*('계산 과정'!$D$32-E850))+'계산 과정'!$E$47*(0-'계산 과정'!$E$50+P850*('계산 과정'!$E$32-0)),"")</x:f>
      </x:c>
      <x:c r="R850" s="4" t="str">
        <x:f>IF(AND(ISNUMBER(P850),P850&gt;1E-9,P850&lt;1-1E-9),'계산 과정'!$C$48*(D850-'계산 과정'!$C$50+P850*('계산 과정'!$C$32-D850))+'계산 과정'!$D$48*(E850-'계산 과정'!$D$50+P850*('계산 과정'!$D$32-E850))+'계산 과정'!$E$48*(0-'계산 과정'!$E$50+P850*('계산 과정'!$E$32-0)),"")</x:f>
      </x:c>
      <x:c r="S850" s="17" t="n">
        <x:f>IF('계산 과정'!$C$78,IF(AND(ISNUMBER(Q850),ISNUMBER(R850),ABS(Q850-'계산 과정'!$C$88)&lt;='계산 과정'!$D$23/2,ABS(R850-'계산 과정'!$C$89)&lt;='계산 과정'!$D$24/2),1,0),"")</x:f>
        <x:v>0</x:v>
      </x:c>
      <x:c r="T850" s="4"/>
      <x:c r="U850" s="4"/>
      <x:c r="V850" s="4"/>
      <x:c r="W850" s="4"/>
      <x:c r="X850" s="4"/>
      <x:c r="Y850" s="4"/>
      <x:c r="Z850" s="4"/>
    </x:row>
    <x:row r="851" ht="23" customHeight="1">
      <x:c r="A851" s="17" t="n">
        <x:f>ROW()-6</x:f>
        <x:v>845</x:v>
      </x:c>
      <x:c r="B851" s="4" t="n">
        <x:f>IF('계산 과정'!$L$5,'계산 과정'!$L$11*SQRT((A851+0.5)/'계산 과정'!$L$30),"")</x:f>
        <x:v>96.37914935133792</x:v>
      </x:c>
      <x:c r="C851" s="4" t="n">
        <x:f>A851*PI()*(3-SQRT(5))</x:f>
        <x:v>2027.9689291207117</x:v>
      </x:c>
      <x:c r="D851" s="4" t="n">
        <x:f>IF('계산 과정'!$L$5,B851*COS(C851),"")</x:f>
        <x:v>6.824792184133374</x:v>
      </x:c>
      <x:c r="E851" s="4" t="n">
        <x:f>IF('계산 과정'!$L$5,B851*SIN(C851),"")</x:f>
        <x:v>-96.13720737222864</x:v>
      </x:c>
      <x:c r="F851" s="4" t="n">
        <x:f>IF('계산 과정'!$L$7,'계산 과정'!$L$22+'계산 과정'!$C$49*D851+'계산 과정'!$D$49*E851,"")</x:f>
        <x:v>645.1741431664103</x:v>
      </x:c>
      <x:c r="G851" s="4" t="n">
        <x:f>IF('계산 과정'!$L$7,IF(ABS(F851)&gt;=1E-12*MAX(1,SQRT((D851-'계산 과정'!$C$33)^2+(E851-'계산 과정'!$D$33)^2+'계산 과정'!$E$33^2)),('계산 과정'!$L$23-'계산 과정'!$C$49*D851-'계산 과정'!$D$49*E851)/F851,""),"")</x:f>
        <x:v>0.6274675777407475</x:v>
      </x:c>
      <x:c r="H851" s="4" t="n">
        <x:f>IF(AND(ISNUMBER(G851),G851&gt;0),('계산 과정'!$D$56+'계산 과정'!$D$57*D851+'계산 과정'!$D$58*E851)/F851,"")</x:f>
        <x:v>7.8539255314856815</x:v>
      </x:c>
      <x:c r="I851" s="4" t="n">
        <x:f>IF(AND(ISNUMBER(G851),G851&gt;0),('계산 과정'!$E$56+'계산 과정'!$E$57*D851+'계산 과정'!$E$58*E851)/F851,"")</x:f>
        <x:v>-156.4601880128409</x:v>
      </x:c>
      <x:c r="J851" s="4" t="n">
        <x:f>IF('계산 과정'!$L$5,'계산 과정'!$D$6+'계산 과정'!$C$35*D851+'계산 과정'!$D$35*E851,"")</x:f>
        <x:v>645.1741431664103</x:v>
      </x:c>
      <x:c r="K851" s="4" t="n">
        <x:f>IF(AND('계산 과정'!$L$6,J851&gt;0),'계산 과정'!$D$10*('계산 과정'!$C$38*(D851-'계산 과정'!$C$32)+'계산 과정'!$D$38*(E851-'계산 과정'!$D$32)-'계산 과정'!$E$38*'계산 과정'!$E$32)/J851,"")</x:f>
        <x:v>0.05983943262084445</x:v>
      </x:c>
      <x:c r="L851" s="4" t="n">
        <x:f>IF(AND('계산 과정'!$L$6,J851&gt;0),'계산 과정'!$D$10*('계산 과정'!$C$39*(D851-'계산 과정'!$C$32)+'계산 과정'!$D$39*(E851-'계산 과정'!$D$32)-'계산 과정'!$E$39*'계산 과정'!$E$32)/J851,"")</x:f>
        <x:v>-1.192077622954978</x:v>
      </x:c>
      <x:c r="M851" s="17" t="n">
        <x:f>IF('계산 과정'!$L$6,IF(J851&lt;=0,0,IF(AND(ABS(K851)&lt;='계산 과정'!$D$11/2,ABS(L851)&lt;='계산 과정'!$D$12/2),1,0)),"")</x:f>
        <x:v>1</x:v>
      </x:c>
      <x:c r="N851" s="17" t="n">
        <x:f>IF('계산 과정'!$C$78,IF(AND(ISNUMBER(H851),ISNUMBER(I851),ABS(H851-'계산 과정'!$C$88)&lt;='계산 과정'!$D$23/2,ABS(I851-'계산 과정'!$C$89)&lt;='계산 과정'!$D$24/2),1,0),"")</x:f>
        <x:v>1</x:v>
      </x:c>
      <x:c r="O851" s="4" t="n">
        <x:f>IF('계산 과정'!$L$7,'계산 과정'!$C$49*('계산 과정'!$C$32-D851)+'계산 과정'!$D$49*('계산 과정'!$D$32-E851)+'계산 과정'!$E$49*'계산 과정'!$E$32,"")</x:f>
        <x:v>4.825856833589796</x:v>
      </x:c>
      <x:c r="P851" s="4" t="n">
        <x:f>IF(AND('계산 과정'!$L$7,O851&lt;&gt;0),('계산 과정'!$L$23-'계산 과정'!$C$49*D851-'계산 과정'!$D$49*E851)/O851,"")</x:f>
        <x:v>83.88683518662386</x:v>
      </x:c>
      <x:c r="Q851" s="4" t="str">
        <x:f>IF(AND(ISNUMBER(P851),P851&gt;1E-9,P851&lt;1-1E-9),'계산 과정'!$C$47*(D851-'계산 과정'!$C$50+P851*('계산 과정'!$C$32-D851))+'계산 과정'!$D$47*(E851-'계산 과정'!$D$50+P851*('계산 과정'!$D$32-E851))+'계산 과정'!$E$47*(0-'계산 과정'!$E$50+P851*('계산 과정'!$E$32-0)),"")</x:f>
      </x:c>
      <x:c r="R851" s="4" t="str">
        <x:f>IF(AND(ISNUMBER(P851),P851&gt;1E-9,P851&lt;1-1E-9),'계산 과정'!$C$48*(D851-'계산 과정'!$C$50+P851*('계산 과정'!$C$32-D851))+'계산 과정'!$D$48*(E851-'계산 과정'!$D$50+P851*('계산 과정'!$D$32-E851))+'계산 과정'!$E$48*(0-'계산 과정'!$E$50+P851*('계산 과정'!$E$32-0)),"")</x:f>
      </x:c>
      <x:c r="S851" s="17" t="n">
        <x:f>IF('계산 과정'!$C$78,IF(AND(ISNUMBER(Q851),ISNUMBER(R851),ABS(Q851-'계산 과정'!$C$88)&lt;='계산 과정'!$D$23/2,ABS(R851-'계산 과정'!$C$89)&lt;='계산 과정'!$D$24/2),1,0),"")</x:f>
        <x:v>0</x:v>
      </x:c>
      <x:c r="T851" s="4"/>
      <x:c r="U851" s="4"/>
      <x:c r="V851" s="4"/>
      <x:c r="W851" s="4"/>
      <x:c r="X851" s="4"/>
      <x:c r="Y851" s="4"/>
      <x:c r="Z851" s="4"/>
    </x:row>
    <x:row r="852" ht="23" customHeight="1">
      <x:c r="A852" s="17" t="n">
        <x:f>ROW()-6</x:f>
        <x:v>846</x:v>
      </x:c>
      <x:c r="B852" s="4" t="n">
        <x:f>IF('계산 과정'!$L$5,'계산 과정'!$L$11*SQRT((A852+0.5)/'계산 과정'!$L$30),"")</x:f>
        <x:v>96.43612786612961</x:v>
      </x:c>
      <x:c r="C852" s="4" t="n">
        <x:f>A852*PI()*(3-SQRT(5))</x:f>
        <x:v>2030.3688923504403</x:v>
      </x:c>
      <x:c r="D852" s="4" t="n">
        <x:f>IF('계산 과정'!$L$5,B852*COS(C852),"")</x:f>
        <x:v>59.94277785224879</x:v>
      </x:c>
      <x:c r="E852" s="4" t="n">
        <x:f>IF('계산 과정'!$L$5,B852*SIN(C852),"")</x:f>
        <x:v>75.54329977680648</x:v>
      </x:c>
      <x:c r="F852" s="4" t="n">
        <x:f>IF('계산 과정'!$L$7,'계산 과정'!$L$22+'계산 과정'!$C$49*D852+'계산 과정'!$D$49*E852,"")</x:f>
        <x:v>607.6140552975161</x:v>
      </x:c>
      <x:c r="G852" s="4" t="n">
        <x:f>IF('계산 과정'!$L$7,IF(ABS(F852)&gt;=1E-12*MAX(1,SQRT((D852-'계산 과정'!$C$33)^2+(E852-'계산 과정'!$D$33)^2+'계산 과정'!$E$33^2)),('계산 과정'!$L$23-'계산 과정'!$C$49*D852-'계산 과정'!$D$49*E852)/F852,""),"")</x:f>
        <x:v>0.7280706245115927</x:v>
      </x:c>
      <x:c r="H852" s="4" t="n">
        <x:f>IF(AND(ISNUMBER(G852),G852&gt;0),('계산 과정'!$D$56+'계산 과정'!$D$57*D852+'계산 과정'!$D$58*E852)/F852,"")</x:f>
        <x:v>73.2459059325351</x:v>
      </x:c>
      <x:c r="I852" s="4" t="n">
        <x:f>IF(AND(ISNUMBER(G852),G852&gt;0),('계산 과정'!$E$56+'계산 과정'!$E$57*D852+'계산 과정'!$E$58*E852)/F852,"")</x:f>
        <x:v>130.54415722297242</x:v>
      </x:c>
      <x:c r="J852" s="4" t="n">
        <x:f>IF('계산 과정'!$L$5,'계산 과정'!$D$6+'계산 과정'!$C$35*D852+'계산 과정'!$D$35*E852,"")</x:f>
        <x:v>607.6140552975161</x:v>
      </x:c>
      <x:c r="K852" s="4" t="n">
        <x:f>IF(AND('계산 과정'!$L$6,J852&gt;0),'계산 과정'!$D$10*('계산 과정'!$C$38*(D852-'계산 과정'!$C$32)+'계산 과정'!$D$38*(E852-'계산 과정'!$D$32)-'계산 과정'!$E$38*'계산 과정'!$E$32)/J852,"")</x:f>
        <x:v>0.5580640452002684</x:v>
      </x:c>
      <x:c r="L852" s="4" t="n">
        <x:f>IF(AND('계산 과정'!$L$6,J852&gt;0),'계산 과정'!$D$10*('계산 과정'!$C$39*(D852-'계산 과정'!$C$32)+'계산 과정'!$D$39*(E852-'계산 과정'!$D$32)-'계산 과정'!$E$39*'계산 과정'!$E$32)/J852,"")</x:f>
        <x:v>0.9946221502702661</x:v>
      </x:c>
      <x:c r="M852" s="17" t="n">
        <x:f>IF('계산 과정'!$L$6,IF(J852&lt;=0,0,IF(AND(ABS(K852)&lt;='계산 과정'!$D$11/2,ABS(L852)&lt;='계산 과정'!$D$12/2),1,0)),"")</x:f>
        <x:v>1</x:v>
      </x:c>
      <x:c r="N852" s="17" t="n">
        <x:f>IF('계산 과정'!$C$78,IF(AND(ISNUMBER(H852),ISNUMBER(I852),ABS(H852-'계산 과정'!$C$88)&lt;='계산 과정'!$D$23/2,ABS(I852-'계산 과정'!$C$89)&lt;='계산 과정'!$D$24/2),1,0),"")</x:f>
        <x:v>1</x:v>
      </x:c>
      <x:c r="O852" s="4" t="n">
        <x:f>IF('계산 과정'!$L$7,'계산 과정'!$C$49*('계산 과정'!$C$32-D852)+'계산 과정'!$D$49*('계산 과정'!$D$32-E852)+'계산 과정'!$E$49*'계산 과정'!$E$32,"")</x:f>
        <x:v>42.38594470248404</x:v>
      </x:c>
      <x:c r="P852" s="4" t="n">
        <x:f>IF(AND('계산 과정'!$L$7,O852&lt;&gt;0),('계산 과정'!$L$23-'계산 과정'!$C$49*D852-'계산 과정'!$D$49*E852)/O852,"")</x:f>
        <x:v>10.43709059235756</x:v>
      </x:c>
      <x:c r="Q852" s="4" t="str">
        <x:f>IF(AND(ISNUMBER(P852),P852&gt;1E-9,P852&lt;1-1E-9),'계산 과정'!$C$47*(D852-'계산 과정'!$C$50+P852*('계산 과정'!$C$32-D852))+'계산 과정'!$D$47*(E852-'계산 과정'!$D$50+P852*('계산 과정'!$D$32-E852))+'계산 과정'!$E$47*(0-'계산 과정'!$E$50+P852*('계산 과정'!$E$32-0)),"")</x:f>
      </x:c>
      <x:c r="R852" s="4" t="str">
        <x:f>IF(AND(ISNUMBER(P852),P852&gt;1E-9,P852&lt;1-1E-9),'계산 과정'!$C$48*(D852-'계산 과정'!$C$50+P852*('계산 과정'!$C$32-D852))+'계산 과정'!$D$48*(E852-'계산 과정'!$D$50+P852*('계산 과정'!$D$32-E852))+'계산 과정'!$E$48*(0-'계산 과정'!$E$50+P852*('계산 과정'!$E$32-0)),"")</x:f>
      </x:c>
      <x:c r="S852" s="17" t="n">
        <x:f>IF('계산 과정'!$C$78,IF(AND(ISNUMBER(Q852),ISNUMBER(R852),ABS(Q852-'계산 과정'!$C$88)&lt;='계산 과정'!$D$23/2,ABS(R852-'계산 과정'!$C$89)&lt;='계산 과정'!$D$24/2),1,0),"")</x:f>
        <x:v>0</x:v>
      </x:c>
      <x:c r="T852" s="4"/>
      <x:c r="U852" s="4"/>
      <x:c r="V852" s="4"/>
      <x:c r="W852" s="4"/>
      <x:c r="X852" s="4"/>
      <x:c r="Y852" s="4"/>
      <x:c r="Z852" s="4"/>
    </x:row>
    <x:row r="853" ht="23" customHeight="1">
      <x:c r="A853" s="17" t="n">
        <x:f>ROW()-6</x:f>
        <x:v>847</x:v>
      </x:c>
      <x:c r="B853" s="4" t="n">
        <x:f>IF('계산 과정'!$L$5,'계산 과정'!$L$11*SQRT((A853+0.5)/'계산 과정'!$L$30),"")</x:f>
        <x:v>96.49307273549485</x:v>
      </x:c>
      <x:c r="C853" s="4" t="n">
        <x:f>A853*PI()*(3-SQRT(5))</x:f>
        <x:v>2032.7688555801692</x:v>
      </x:c>
      <x:c r="D853" s="4" t="n">
        <x:f>IF('계산 과정'!$L$5,B853*COS(C853),"")</x:f>
        <x:v>-95.28493654379983</x:v>
      </x:c>
      <x:c r="E853" s="4" t="n">
        <x:f>IF('계산 과정'!$L$5,B853*SIN(C853),"")</x:f>
        <x:v>-15.221496436997837</x:v>
      </x:c>
      <x:c r="F853" s="4" t="n">
        <x:f>IF('계산 과정'!$L$7,'계산 과정'!$L$22+'계산 과정'!$C$49*D853+'계산 과정'!$D$49*E853,"")</x:f>
        <x:v>717.3766247750507</x:v>
      </x:c>
      <x:c r="G853" s="4" t="n">
        <x:f>IF('계산 과정'!$L$7,IF(ABS(F853)&gt;=1E-12*MAX(1,SQRT((D853-'계산 과정'!$C$33)^2+(E853-'계산 과정'!$D$33)^2+'계산 과정'!$E$33^2)),('계산 과정'!$L$23-'계산 과정'!$C$49*D853-'계산 과정'!$D$49*E853)/F853,""),"")</x:f>
        <x:v>0.46366631381284645</x:v>
      </x:c>
      <x:c r="H853" s="4" t="n">
        <x:f>IF(AND(ISNUMBER(G853),G853&gt;0),('계산 과정'!$D$56+'계산 과정'!$D$57*D853+'계산 과정'!$D$58*E853)/F853,"")</x:f>
        <x:v>-98.61689602164994</x:v>
      </x:c>
      <x:c r="I853" s="4" t="n">
        <x:f>IF(AND(ISNUMBER(G853),G853&gt;0),('계산 과정'!$E$56+'계산 과정'!$E$57*D853+'계산 과정'!$E$58*E853)/F853,"")</x:f>
        <x:v>-22.279191580656</x:v>
      </x:c>
      <x:c r="J853" s="4" t="n">
        <x:f>IF('계산 과정'!$L$5,'계산 과정'!$D$6+'계산 과정'!$C$35*D853+'계산 과정'!$D$35*E853,"")</x:f>
        <x:v>717.3766247750507</x:v>
      </x:c>
      <x:c r="K853" s="4" t="n">
        <x:f>IF(AND('계산 과정'!$L$6,J853&gt;0),'계산 과정'!$D$10*('계산 과정'!$C$38*(D853-'계산 과정'!$C$32)+'계산 과정'!$D$38*(E853-'계산 과정'!$D$32)-'계산 과정'!$E$38*'계산 과정'!$E$32)/J853,"")</x:f>
        <x:v>-0.7513668268316178</x:v>
      </x:c>
      <x:c r="L853" s="4" t="n">
        <x:f>IF(AND('계산 과정'!$L$6,J853&gt;0),'계산 과정'!$D$10*('계산 과정'!$C$39*(D853-'계산 과정'!$C$32)+'계산 과정'!$D$39*(E853-'계산 과정'!$D$32)-'계산 과정'!$E$39*'계산 과정'!$E$32)/J853,"")</x:f>
        <x:v>-0.16974622156690286</x:v>
      </x:c>
      <x:c r="M853" s="17" t="n">
        <x:f>IF('계산 과정'!$L$6,IF(J853&lt;=0,0,IF(AND(ABS(K853)&lt;='계산 과정'!$D$11/2,ABS(L853)&lt;='계산 과정'!$D$12/2),1,0)),"")</x:f>
        <x:v>1</x:v>
      </x:c>
      <x:c r="N853" s="17" t="n">
        <x:f>IF('계산 과정'!$C$78,IF(AND(ISNUMBER(H853),ISNUMBER(I853),ABS(H853-'계산 과정'!$C$88)&lt;='계산 과정'!$D$23/2,ABS(I853-'계산 과정'!$C$89)&lt;='계산 과정'!$D$24/2),1,0),"")</x:f>
        <x:v>1</x:v>
      </x:c>
      <x:c r="O853" s="4" t="n">
        <x:f>IF('계산 과정'!$L$7,'계산 과정'!$C$49*('계산 과정'!$C$32-D853)+'계산 과정'!$D$49*('계산 과정'!$D$32-E853)+'계산 과정'!$E$49*'계산 과정'!$E$32,"")</x:f>
        <x:v>-67.37662477505063</x:v>
      </x:c>
      <x:c r="P853" s="4" t="n">
        <x:f>IF(AND('계산 과정'!$L$7,O853&lt;&gt;0),('계산 과정'!$L$23-'계산 과정'!$C$49*D853-'계산 과정'!$D$49*E853)/O853,"")</x:f>
        <x:v>-4.936777054883264</x:v>
      </x:c>
      <x:c r="Q853" s="4" t="str">
        <x:f>IF(AND(ISNUMBER(P853),P853&gt;1E-9,P853&lt;1-1E-9),'계산 과정'!$C$47*(D853-'계산 과정'!$C$50+P853*('계산 과정'!$C$32-D853))+'계산 과정'!$D$47*(E853-'계산 과정'!$D$50+P853*('계산 과정'!$D$32-E853))+'계산 과정'!$E$47*(0-'계산 과정'!$E$50+P853*('계산 과정'!$E$32-0)),"")</x:f>
      </x:c>
      <x:c r="R853" s="4" t="str">
        <x:f>IF(AND(ISNUMBER(P853),P853&gt;1E-9,P853&lt;1-1E-9),'계산 과정'!$C$48*(D853-'계산 과정'!$C$50+P853*('계산 과정'!$C$32-D853))+'계산 과정'!$D$48*(E853-'계산 과정'!$D$50+P853*('계산 과정'!$D$32-E853))+'계산 과정'!$E$48*(0-'계산 과정'!$E$50+P853*('계산 과정'!$E$32-0)),"")</x:f>
      </x:c>
      <x:c r="S853" s="17" t="n">
        <x:f>IF('계산 과정'!$C$78,IF(AND(ISNUMBER(Q853),ISNUMBER(R853),ABS(Q853-'계산 과정'!$C$88)&lt;='계산 과정'!$D$23/2,ABS(R853-'계산 과정'!$C$89)&lt;='계산 과정'!$D$24/2),1,0),"")</x:f>
        <x:v>0</x:v>
      </x:c>
      <x:c r="T853" s="4"/>
      <x:c r="U853" s="4"/>
      <x:c r="V853" s="4"/>
      <x:c r="W853" s="4"/>
      <x:c r="X853" s="4"/>
      <x:c r="Y853" s="4"/>
      <x:c r="Z853" s="4"/>
    </x:row>
    <x:row r="854" ht="23" customHeight="1">
      <x:c r="A854" s="17" t="n">
        <x:f>ROW()-6</x:f>
        <x:v>848</x:v>
      </x:c>
      <x:c r="B854" s="4" t="n">
        <x:f>IF('계산 과정'!$L$5,'계산 과정'!$L$11*SQRT((A854+0.5)/'계산 과정'!$L$30),"")</x:f>
        <x:v>96.54998401896553</x:v>
      </x:c>
      <x:c r="C854" s="4" t="n">
        <x:f>A854*PI()*(3-SQRT(5))</x:f>
        <x:v>2035.1688188098976</x:v>
      </x:c>
      <x:c r="D854" s="4" t="n">
        <x:f>IF('계산 과정'!$L$5,B854*COS(C854),"")</x:f>
        <x:v>80.58962333053752</x:v>
      </x:c>
      <x:c r="E854" s="4" t="n">
        <x:f>IF('계산 과정'!$L$5,B854*SIN(C854),"")</x:f>
        <x:v>-53.171533977350904</x:v>
      </x:c>
      <x:c r="F854" s="4" t="n">
        <x:f>IF('계산 과정'!$L$7,'계산 과정'!$L$22+'계산 과정'!$C$49*D854+'계산 과정'!$D$49*E854,"")</x:f>
        <x:v>593.0145308497073</x:v>
      </x:c>
      <x:c r="G854" s="4" t="n">
        <x:f>IF('계산 과정'!$L$7,IF(ABS(F854)&gt;=1E-12*MAX(1,SQRT((D854-'계산 과정'!$C$33)^2+(E854-'계산 과정'!$D$33)^2+'계산 과정'!$E$33^2)),('계산 과정'!$L$23-'계산 과정'!$C$49*D854-'계산 과정'!$D$49*E854)/F854,""),"")</x:f>
        <x:v>0.7706142857840196</x:v>
      </x:c>
      <x:c r="H854" s="4" t="n">
        <x:f>IF(AND(ISNUMBER(G854),G854&gt;0),('계산 과정'!$D$56+'계산 과정'!$D$57*D854+'계산 과정'!$D$58*E854)/F854,"")</x:f>
        <x:v>100.89928575961267</x:v>
      </x:c>
      <x:c r="I854" s="4" t="n">
        <x:f>IF(AND(ISNUMBER(G854),G854&gt;0),('계산 과정'!$E$56+'계산 과정'!$E$57*D854+'계산 과정'!$E$58*E854)/F854,"")</x:f>
        <x:v>-94.14627765734791</x:v>
      </x:c>
      <x:c r="J854" s="4" t="n">
        <x:f>IF('계산 과정'!$L$5,'계산 과정'!$D$6+'계산 과정'!$C$35*D854+'계산 과정'!$D$35*E854,"")</x:f>
        <x:v>593.0145308497073</x:v>
      </x:c>
      <x:c r="K854" s="4" t="n">
        <x:f>IF(AND('계산 과정'!$L$6,J854&gt;0),'계산 과정'!$D$10*('계산 과정'!$C$38*(D854-'계산 과정'!$C$32)+'계산 과정'!$D$38*(E854-'계산 과정'!$D$32)-'계산 과정'!$E$38*'계산 과정'!$E$32)/J854,"")</x:f>
        <x:v>0.7687564629303827</x:v>
      </x:c>
      <x:c r="L854" s="4" t="n">
        <x:f>IF(AND('계산 과정'!$L$6,J854&gt;0),'계산 과정'!$D$10*('계산 과정'!$C$39*(D854-'계산 과정'!$C$32)+'계산 과정'!$D$39*(E854-'계산 과정'!$D$32)-'계산 과정'!$E$39*'계산 과정'!$E$32)/J854,"")</x:f>
        <x:v>-0.7173049726274127</x:v>
      </x:c>
      <x:c r="M854" s="17" t="n">
        <x:f>IF('계산 과정'!$L$6,IF(J854&lt;=0,0,IF(AND(ABS(K854)&lt;='계산 과정'!$D$11/2,ABS(L854)&lt;='계산 과정'!$D$12/2),1,0)),"")</x:f>
        <x:v>1</x:v>
      </x:c>
      <x:c r="N854" s="17" t="n">
        <x:f>IF('계산 과정'!$C$78,IF(AND(ISNUMBER(H854),ISNUMBER(I854),ABS(H854-'계산 과정'!$C$88)&lt;='계산 과정'!$D$23/2,ABS(I854-'계산 과정'!$C$89)&lt;='계산 과정'!$D$24/2),1,0),"")</x:f>
        <x:v>1</x:v>
      </x:c>
      <x:c r="O854" s="4" t="n">
        <x:f>IF('계산 과정'!$L$7,'계산 과정'!$C$49*('계산 과정'!$C$32-D854)+'계산 과정'!$D$49*('계산 과정'!$D$32-E854)+'계산 과정'!$E$49*'계산 과정'!$E$32,"")</x:f>
        <x:v>56.98546915029277</x:v>
      </x:c>
      <x:c r="P854" s="4" t="n">
        <x:f>IF(AND('계산 과정'!$L$7,O854&lt;&gt;0),('계산 과정'!$L$23-'계산 과정'!$C$49*D854-'계산 과정'!$D$49*E854)/O854,"")</x:f>
        <x:v>8.019333278542375</x:v>
      </x:c>
      <x:c r="Q854" s="4" t="str">
        <x:f>IF(AND(ISNUMBER(P854),P854&gt;1E-9,P854&lt;1-1E-9),'계산 과정'!$C$47*(D854-'계산 과정'!$C$50+P854*('계산 과정'!$C$32-D854))+'계산 과정'!$D$47*(E854-'계산 과정'!$D$50+P854*('계산 과정'!$D$32-E854))+'계산 과정'!$E$47*(0-'계산 과정'!$E$50+P854*('계산 과정'!$E$32-0)),"")</x:f>
      </x:c>
      <x:c r="R854" s="4" t="str">
        <x:f>IF(AND(ISNUMBER(P854),P854&gt;1E-9,P854&lt;1-1E-9),'계산 과정'!$C$48*(D854-'계산 과정'!$C$50+P854*('계산 과정'!$C$32-D854))+'계산 과정'!$D$48*(E854-'계산 과정'!$D$50+P854*('계산 과정'!$D$32-E854))+'계산 과정'!$E$48*(0-'계산 과정'!$E$50+P854*('계산 과정'!$E$32-0)),"")</x:f>
      </x:c>
      <x:c r="S854" s="17" t="n">
        <x:f>IF('계산 과정'!$C$78,IF(AND(ISNUMBER(Q854),ISNUMBER(R854),ABS(Q854-'계산 과정'!$C$88)&lt;='계산 과정'!$D$23/2,ABS(R854-'계산 과정'!$C$89)&lt;='계산 과정'!$D$24/2),1,0),"")</x:f>
        <x:v>0</x:v>
      </x:c>
      <x:c r="T854" s="4"/>
      <x:c r="U854" s="4"/>
      <x:c r="V854" s="4"/>
      <x:c r="W854" s="4"/>
      <x:c r="X854" s="4"/>
      <x:c r="Y854" s="4"/>
      <x:c r="Z854" s="4"/>
    </x:row>
    <x:row r="855" ht="23" customHeight="1">
      <x:c r="A855" s="17" t="n">
        <x:f>ROW()-6</x:f>
        <x:v>849</x:v>
      </x:c>
      <x:c r="B855" s="4" t="n">
        <x:f>IF('계산 과정'!$L$5,'계산 과정'!$L$11*SQRT((A855+0.5)/'계산 과정'!$L$30),"")</x:f>
        <x:v>96.6068617758982</x:v>
      </x:c>
      <x:c r="C855" s="4" t="n">
        <x:f>A855*PI()*(3-SQRT(5))</x:f>
        <x:v>2037.5687820396263</x:v>
      </x:c>
      <x:c r="D855" s="4" t="n">
        <x:f>IF('계산 과정'!$L$5,B855*COS(C855),"")</x:f>
        <x:v>-23.521273270651307</x:v>
      </x:c>
      <x:c r="E855" s="4" t="n">
        <x:f>IF('계산 과정'!$L$5,B855*SIN(C855),"")</x:f>
        <x:v>93.69970888916808</x:v>
      </x:c>
      <x:c r="F855" s="4" t="n">
        <x:f>IF('계산 과정'!$L$7,'계산 과정'!$L$22+'계산 과정'!$C$49*D855+'계산 과정'!$D$49*E855,"")</x:f>
        <x:v>666.6320518318195</x:v>
      </x:c>
      <x:c r="G855" s="4" t="n">
        <x:f>IF('계산 과정'!$L$7,IF(ABS(F855)&gt;=1E-12*MAX(1,SQRT((D855-'계산 과정'!$C$33)^2+(E855-'계산 과정'!$D$33)^2+'계산 과정'!$E$33^2)),('계산 과정'!$L$23-'계산 과정'!$C$49*D855-'계산 과정'!$D$49*E855)/F855,""),"")</x:f>
        <x:v>0.5750817817936215</x:v>
      </x:c>
      <x:c r="H855" s="4" t="n">
        <x:f>IF(AND(ISNUMBER(G855),G855&gt;0),('계산 과정'!$D$56+'계산 과정'!$D$57*D855+'계산 과정'!$D$58*E855)/F855,"")</x:f>
        <x:v>-26.196841834146117</x:v>
      </x:c>
      <x:c r="I855" s="4" t="n">
        <x:f>IF(AND(ISNUMBER(G855),G855&gt;0),('계산 과정'!$E$56+'계산 과정'!$E$57*D855+'계산 과정'!$E$58*E855)/F855,"")</x:f>
        <x:v>147.58470443069447</x:v>
      </x:c>
      <x:c r="J855" s="4" t="n">
        <x:f>IF('계산 과정'!$L$5,'계산 과정'!$D$6+'계산 과정'!$C$35*D855+'계산 과정'!$D$35*E855,"")</x:f>
        <x:v>666.6320518318195</x:v>
      </x:c>
      <x:c r="K855" s="4" t="n">
        <x:f>IF(AND('계산 과정'!$L$6,J855&gt;0),'계산 과정'!$D$10*('계산 과정'!$C$38*(D855-'계산 과정'!$C$32)+'계산 과정'!$D$38*(E855-'계산 과정'!$D$32)-'계산 과정'!$E$38*'계산 과정'!$E$32)/J855,"")</x:f>
        <x:v>-0.199594985403017</x:v>
      </x:c>
      <x:c r="L855" s="4" t="n">
        <x:f>IF(AND('계산 과정'!$L$6,J855&gt;0),'계산 과정'!$D$10*('계산 과정'!$C$39*(D855-'계산 과정'!$C$32)+'계산 과정'!$D$39*(E855-'계산 과정'!$D$32)-'계산 과정'!$E$39*'계산 과정'!$E$32)/J855,"")</x:f>
        <x:v>1.1244548909005294</x:v>
      </x:c>
      <x:c r="M855" s="17" t="n">
        <x:f>IF('계산 과정'!$L$6,IF(J855&lt;=0,0,IF(AND(ABS(K855)&lt;='계산 과정'!$D$11/2,ABS(L855)&lt;='계산 과정'!$D$12/2),1,0)),"")</x:f>
        <x:v>1</x:v>
      </x:c>
      <x:c r="N855" s="17" t="n">
        <x:f>IF('계산 과정'!$C$78,IF(AND(ISNUMBER(H855),ISNUMBER(I855),ABS(H855-'계산 과정'!$C$88)&lt;='계산 과정'!$D$23/2,ABS(I855-'계산 과정'!$C$89)&lt;='계산 과정'!$D$24/2),1,0),"")</x:f>
        <x:v>1</x:v>
      </x:c>
      <x:c r="O855" s="4" t="n">
        <x:f>IF('계산 과정'!$L$7,'계산 과정'!$C$49*('계산 과정'!$C$32-D855)+'계산 과정'!$D$49*('계산 과정'!$D$32-E855)+'계산 과정'!$E$49*'계산 과정'!$E$32,"")</x:f>
        <x:v>-16.632051831819297</x:v>
      </x:c>
      <x:c r="P855" s="4" t="n">
        <x:f>IF(AND('계산 과정'!$L$7,O855&lt;&gt;0),('계산 과정'!$L$23-'계산 과정'!$C$49*D855-'계산 과정'!$D$49*E855)/O855,"")</x:f>
        <x:v>-23.049949100973063</x:v>
      </x:c>
      <x:c r="Q855" s="4" t="str">
        <x:f>IF(AND(ISNUMBER(P855),P855&gt;1E-9,P855&lt;1-1E-9),'계산 과정'!$C$47*(D855-'계산 과정'!$C$50+P855*('계산 과정'!$C$32-D855))+'계산 과정'!$D$47*(E855-'계산 과정'!$D$50+P855*('계산 과정'!$D$32-E855))+'계산 과정'!$E$47*(0-'계산 과정'!$E$50+P855*('계산 과정'!$E$32-0)),"")</x:f>
      </x:c>
      <x:c r="R855" s="4" t="str">
        <x:f>IF(AND(ISNUMBER(P855),P855&gt;1E-9,P855&lt;1-1E-9),'계산 과정'!$C$48*(D855-'계산 과정'!$C$50+P855*('계산 과정'!$C$32-D855))+'계산 과정'!$D$48*(E855-'계산 과정'!$D$50+P855*('계산 과정'!$D$32-E855))+'계산 과정'!$E$48*(0-'계산 과정'!$E$50+P855*('계산 과정'!$E$32-0)),"")</x:f>
      </x:c>
      <x:c r="S855" s="17" t="n">
        <x:f>IF('계산 과정'!$C$78,IF(AND(ISNUMBER(Q855),ISNUMBER(R855),ABS(Q855-'계산 과정'!$C$88)&lt;='계산 과정'!$D$23/2,ABS(R855-'계산 과정'!$C$89)&lt;='계산 과정'!$D$24/2),1,0),"")</x:f>
        <x:v>0</x:v>
      </x:c>
      <x:c r="T855" s="4"/>
      <x:c r="U855" s="4"/>
      <x:c r="V855" s="4"/>
      <x:c r="W855" s="4"/>
      <x:c r="X855" s="4"/>
      <x:c r="Y855" s="4"/>
      <x:c r="Z855" s="4"/>
    </x:row>
    <x:row r="856" ht="23" customHeight="1">
      <x:c r="A856" s="17" t="n">
        <x:f>ROW()-6</x:f>
        <x:v>850</x:v>
      </x:c>
      <x:c r="B856" s="4" t="n">
        <x:f>IF('계산 과정'!$L$5,'계산 과정'!$L$11*SQRT((A856+0.5)/'계산 과정'!$L$30),"")</x:f>
        <x:v>96.66370606547476</x:v>
      </x:c>
      <x:c r="C856" s="4" t="n">
        <x:f>A856*PI()*(3-SQRT(5))</x:f>
        <x:v>2039.9687452693547</x:v>
      </x:c>
      <x:c r="D856" s="4" t="n">
        <x:f>IF('계산 과정'!$L$5,B856*COS(C856),"")</x:f>
        <x:v>-45.97642605400906</x:v>
      </x:c>
      <x:c r="E856" s="4" t="n">
        <x:f>IF('계산 과정'!$L$5,B856*SIN(C856),"")</x:f>
        <x:v>-85.02964375800205</x:v>
      </x:c>
      <x:c r="F856" s="4" t="n">
        <x:f>IF('계산 과정'!$L$7,'계산 과정'!$L$22+'계산 과정'!$C$49*D856+'계산 과정'!$D$49*E856,"")</x:f>
        <x:v>682.5102426375116</x:v>
      </x:c>
      <x:c r="G856" s="4" t="n">
        <x:f>IF('계산 과정'!$L$7,IF(ABS(F856)&gt;=1E-12*MAX(1,SQRT((D856-'계산 과정'!$C$33)^2+(E856-'계산 과정'!$D$33)^2+'계산 과정'!$E$33^2)),('계산 과정'!$L$23-'계산 과정'!$C$49*D856-'계산 과정'!$D$49*E856)/F856,""),"")</x:f>
        <x:v>0.5384384503042045</x:v>
      </x:c>
      <x:c r="H856" s="4" t="n">
        <x:f>IF(AND(ISNUMBER(G856),G856&gt;0),('계산 과정'!$D$56+'계산 과정'!$D$57*D856+'계산 과정'!$D$58*E856)/F856,"")</x:f>
        <x:v>-50.01500730226725</x:v>
      </x:c>
      <x:c r="I856" s="4" t="n">
        <x:f>IF(AND(ISNUMBER(G856),G856&gt;0),('계산 과정'!$E$56+'계산 과정'!$E$57*D856+'계산 과정'!$E$58*E856)/F856,"")</x:f>
        <x:v>-130.81287337297925</x:v>
      </x:c>
      <x:c r="J856" s="4" t="n">
        <x:f>IF('계산 과정'!$L$5,'계산 과정'!$D$6+'계산 과정'!$C$35*D856+'계산 과정'!$D$35*E856,"")</x:f>
        <x:v>682.5102426375116</x:v>
      </x:c>
      <x:c r="K856" s="4" t="n">
        <x:f>IF(AND('계산 과정'!$L$6,J856&gt;0),'계산 과정'!$D$10*('계산 과정'!$C$38*(D856-'계산 과정'!$C$32)+'계산 과정'!$D$38*(E856-'계산 과정'!$D$32)-'계산 과정'!$E$38*'계산 과정'!$E$32)/J856,"")</x:f>
        <x:v>-0.3810667223029871</x:v>
      </x:c>
      <x:c r="L856" s="4" t="n">
        <x:f>IF(AND('계산 과정'!$L$6,J856&gt;0),'계산 과정'!$D$10*('계산 과정'!$C$39*(D856-'계산 과정'!$C$32)+'계산 과정'!$D$39*(E856-'계산 과정'!$D$32)-'계산 과정'!$E$39*'계산 과정'!$E$32)/J856,"")</x:f>
        <x:v>-0.9966695114131753</x:v>
      </x:c>
      <x:c r="M856" s="17" t="n">
        <x:f>IF('계산 과정'!$L$6,IF(J856&lt;=0,0,IF(AND(ABS(K856)&lt;='계산 과정'!$D$11/2,ABS(L856)&lt;='계산 과정'!$D$12/2),1,0)),"")</x:f>
        <x:v>1</x:v>
      </x:c>
      <x:c r="N856" s="17" t="n">
        <x:f>IF('계산 과정'!$C$78,IF(AND(ISNUMBER(H856),ISNUMBER(I856),ABS(H856-'계산 과정'!$C$88)&lt;='계산 과정'!$D$23/2,ABS(I856-'계산 과정'!$C$89)&lt;='계산 과정'!$D$24/2),1,0),"")</x:f>
        <x:v>1</x:v>
      </x:c>
      <x:c r="O856" s="4" t="n">
        <x:f>IF('계산 과정'!$L$7,'계산 과정'!$C$49*('계산 과정'!$C$32-D856)+'계산 과정'!$D$49*('계산 과정'!$D$32-E856)+'계산 과정'!$E$49*'계산 과정'!$E$32,"")</x:f>
        <x:v>-32.51024263751151</x:v>
      </x:c>
      <x:c r="P856" s="4" t="n">
        <x:f>IF(AND('계산 과정'!$L$7,O856&lt;&gt;0),('계산 과정'!$L$23-'계산 과정'!$C$49*D856-'계산 과정'!$D$49*E856)/O856,"")</x:f>
        <x:v>-11.303814661120528</x:v>
      </x:c>
      <x:c r="Q856" s="4" t="str">
        <x:f>IF(AND(ISNUMBER(P856),P856&gt;1E-9,P856&lt;1-1E-9),'계산 과정'!$C$47*(D856-'계산 과정'!$C$50+P856*('계산 과정'!$C$32-D856))+'계산 과정'!$D$47*(E856-'계산 과정'!$D$50+P856*('계산 과정'!$D$32-E856))+'계산 과정'!$E$47*(0-'계산 과정'!$E$50+P856*('계산 과정'!$E$32-0)),"")</x:f>
      </x:c>
      <x:c r="R856" s="4" t="str">
        <x:f>IF(AND(ISNUMBER(P856),P856&gt;1E-9,P856&lt;1-1E-9),'계산 과정'!$C$48*(D856-'계산 과정'!$C$50+P856*('계산 과정'!$C$32-D856))+'계산 과정'!$D$48*(E856-'계산 과정'!$D$50+P856*('계산 과정'!$D$32-E856))+'계산 과정'!$E$48*(0-'계산 과정'!$E$50+P856*('계산 과정'!$E$32-0)),"")</x:f>
      </x:c>
      <x:c r="S856" s="17" t="n">
        <x:f>IF('계산 과정'!$C$78,IF(AND(ISNUMBER(Q856),ISNUMBER(R856),ABS(Q856-'계산 과정'!$C$88)&lt;='계산 과정'!$D$23/2,ABS(R856-'계산 과정'!$C$89)&lt;='계산 과정'!$D$24/2),1,0),"")</x:f>
        <x:v>0</x:v>
      </x:c>
      <x:c r="T856" s="4"/>
      <x:c r="U856" s="4"/>
      <x:c r="V856" s="4"/>
      <x:c r="W856" s="4"/>
      <x:c r="X856" s="4"/>
      <x:c r="Y856" s="4"/>
      <x:c r="Z856" s="4"/>
    </x:row>
    <x:row r="857" ht="23" customHeight="1">
      <x:c r="A857" s="17" t="n">
        <x:f>ROW()-6</x:f>
        <x:v>851</x:v>
      </x:c>
      <x:c r="B857" s="4" t="n">
        <x:f>IF('계산 과정'!$L$5,'계산 과정'!$L$11*SQRT((A857+0.5)/'계산 과정'!$L$30),"")</x:f>
        <x:v>96.7205169467032</x:v>
      </x:c>
      <x:c r="C857" s="4" t="n">
        <x:f>A857*PI()*(3-SQRT(5))</x:f>
        <x:v>2042.3687084990838</x:v>
      </x:c>
      <x:c r="D857" s="4" t="n">
        <x:f>IF('계산 과정'!$L$5,B857*COS(C857),"")</x:f>
        <x:v>91.39196582235155</x:v>
      </x:c>
      <x:c r="E857" s="4" t="n">
        <x:f>IF('계산 과정'!$L$5,B857*SIN(C857),"")</x:f>
        <x:v>31.66017974623055</x:v>
      </x:c>
      <x:c r="F857" s="4" t="n">
        <x:f>IF('계산 과정'!$L$7,'계산 과정'!$L$22+'계산 과정'!$C$49*D857+'계산 과정'!$D$49*E857,"")</x:f>
        <x:v>585.376121221046</x:v>
      </x:c>
      <x:c r="G857" s="4" t="n">
        <x:f>IF('계산 과정'!$L$7,IF(ABS(F857)&gt;=1E-12*MAX(1,SQRT((D857-'계산 과정'!$C$33)^2+(E857-'계산 과정'!$D$33)^2+'계산 과정'!$E$33^2)),('계산 과정'!$L$23-'계산 과정'!$C$49*D857-'계산 과정'!$D$49*E857)/F857,""),"")</x:f>
        <x:v>0.7937185374247708</x:v>
      </x:c>
      <x:c r="H857" s="4" t="n">
        <x:f>IF(AND(ISNUMBER(G857),G857&gt;0),('계산 과정'!$D$56+'계산 과정'!$D$57*D857+'계산 과정'!$D$58*E857)/F857,"")</x:f>
        <x:v>115.91704932610091</x:v>
      </x:c>
      <x:c r="I857" s="4" t="n">
        <x:f>IF(AND(ISNUMBER(G857),G857&gt;0),('계산 과정'!$E$56+'계산 과정'!$E$57*D857+'계산 과정'!$E$58*E857)/F857,"")</x:f>
        <x:v>56.78945130901401</x:v>
      </x:c>
      <x:c r="J857" s="4" t="n">
        <x:f>IF('계산 과정'!$L$5,'계산 과정'!$D$6+'계산 과정'!$C$35*D857+'계산 과정'!$D$35*E857,"")</x:f>
        <x:v>585.376121221046</x:v>
      </x:c>
      <x:c r="K857" s="4" t="n">
        <x:f>IF(AND('계산 과정'!$L$6,J857&gt;0),'계산 과정'!$D$10*('계산 과정'!$C$38*(D857-'계산 과정'!$C$32)+'계산 과정'!$D$38*(E857-'계산 과정'!$D$32)-'계산 과정'!$E$38*'계산 과정'!$E$32)/J857,"")</x:f>
        <x:v>0.883177518675055</x:v>
      </x:c>
      <x:c r="L857" s="4" t="n">
        <x:f>IF(AND('계산 과정'!$L$6,J857&gt;0),'계산 과정'!$D$10*('계산 과정'!$C$39*(D857-'계산 과정'!$C$32)+'계산 과정'!$D$39*(E857-'계산 과정'!$D$32)-'계산 과정'!$E$39*'계산 과정'!$E$32)/J857,"")</x:f>
        <x:v>0.4326815337829639</x:v>
      </x:c>
      <x:c r="M857" s="17" t="n">
        <x:f>IF('계산 과정'!$L$6,IF(J857&lt;=0,0,IF(AND(ABS(K857)&lt;='계산 과정'!$D$11/2,ABS(L857)&lt;='계산 과정'!$D$12/2),1,0)),"")</x:f>
        <x:v>1</x:v>
      </x:c>
      <x:c r="N857" s="17" t="n">
        <x:f>IF('계산 과정'!$C$78,IF(AND(ISNUMBER(H857),ISNUMBER(I857),ABS(H857-'계산 과정'!$C$88)&lt;='계산 과정'!$D$23/2,ABS(I857-'계산 과정'!$C$89)&lt;='계산 과정'!$D$24/2),1,0),"")</x:f>
        <x:v>1</x:v>
      </x:c>
      <x:c r="O857" s="4" t="n">
        <x:f>IF('계산 과정'!$L$7,'계산 과정'!$C$49*('계산 과정'!$C$32-D857)+'계산 과정'!$D$49*('계산 과정'!$D$32-E857)+'계산 과정'!$E$49*'계산 과정'!$E$32,"")</x:f>
        <x:v>64.62387877895407</x:v>
      </x:c>
      <x:c r="P857" s="4" t="n">
        <x:f>IF(AND('계산 과정'!$L$7,O857&lt;&gt;0),('계산 과정'!$L$23-'계산 과정'!$C$49*D857-'계산 과정'!$D$49*E857)/O857,"")</x:f>
        <x:v>7.189662514195405</x:v>
      </x:c>
      <x:c r="Q857" s="4" t="str">
        <x:f>IF(AND(ISNUMBER(P857),P857&gt;1E-9,P857&lt;1-1E-9),'계산 과정'!$C$47*(D857-'계산 과정'!$C$50+P857*('계산 과정'!$C$32-D857))+'계산 과정'!$D$47*(E857-'계산 과정'!$D$50+P857*('계산 과정'!$D$32-E857))+'계산 과정'!$E$47*(0-'계산 과정'!$E$50+P857*('계산 과정'!$E$32-0)),"")</x:f>
      </x:c>
      <x:c r="R857" s="4" t="str">
        <x:f>IF(AND(ISNUMBER(P857),P857&gt;1E-9,P857&lt;1-1E-9),'계산 과정'!$C$48*(D857-'계산 과정'!$C$50+P857*('계산 과정'!$C$32-D857))+'계산 과정'!$D$48*(E857-'계산 과정'!$D$50+P857*('계산 과정'!$D$32-E857))+'계산 과정'!$E$48*(0-'계산 과정'!$E$50+P857*('계산 과정'!$E$32-0)),"")</x:f>
      </x:c>
      <x:c r="S857" s="17" t="n">
        <x:f>IF('계산 과정'!$C$78,IF(AND(ISNUMBER(Q857),ISNUMBER(R857),ABS(Q857-'계산 과정'!$C$88)&lt;='계산 과정'!$D$23/2,ABS(R857-'계산 과정'!$C$89)&lt;='계산 과정'!$D$24/2),1,0),"")</x:f>
        <x:v>0</x:v>
      </x:c>
      <x:c r="T857" s="4"/>
      <x:c r="U857" s="4"/>
      <x:c r="V857" s="4"/>
      <x:c r="W857" s="4"/>
      <x:c r="X857" s="4"/>
      <x:c r="Y857" s="4"/>
      <x:c r="Z857" s="4"/>
    </x:row>
    <x:row r="858" ht="23" customHeight="1">
      <x:c r="A858" s="17" t="n">
        <x:f>ROW()-6</x:f>
        <x:v>852</x:v>
      </x:c>
      <x:c r="B858" s="4" t="n">
        <x:f>IF('계산 과정'!$L$5,'계산 과정'!$L$11*SQRT((A858+0.5)/'계산 과정'!$L$30),"")</x:f>
        <x:v>96.77729447841833</x:v>
      </x:c>
      <x:c r="C858" s="4" t="n">
        <x:f>A858*PI()*(3-SQRT(5))</x:f>
        <x:v>2044.7686717288123</x:v>
      </x:c>
      <x:c r="D858" s="4" t="n">
        <x:f>IF('계산 과정'!$L$5,B858*COS(C858),"")</x:f>
        <x:v>-88.82784916930925</x:v>
      </x:c>
      <x:c r="E858" s="4" t="n">
        <x:f>IF('계산 과정'!$L$5,B858*SIN(C858),"")</x:f>
        <x:v>38.411690128357336</x:v>
      </x:c>
      <x:c r="F858" s="4" t="n">
        <x:f>IF('계산 과정'!$L$7,'계산 과정'!$L$22+'계산 과정'!$C$49*D858+'계산 과정'!$D$49*E858,"")</x:f>
        <x:v>712.8107745058344</x:v>
      </x:c>
      <x:c r="G858" s="4" t="n">
        <x:f>IF('계산 과정'!$L$7,IF(ABS(F858)&gt;=1E-12*MAX(1,SQRT((D858-'계산 과정'!$C$33)^2+(E858-'계산 과정'!$D$33)^2+'계산 과정'!$E$33^2)),('계산 과정'!$L$23-'계산 과정'!$C$49*D858-'계산 과정'!$D$49*E858)/F858,""),"")</x:f>
        <x:v>0.4730417069353736</x:v>
      </x:c>
      <x:c r="H858" s="4" t="n">
        <x:f>IF(AND(ISNUMBER(G858),G858&gt;0),('계산 과정'!$D$56+'계산 과정'!$D$57*D858+'계산 과정'!$D$58*E858)/F858,"")</x:f>
        <x:v>-92.52289049200729</x:v>
      </x:c>
      <x:c r="I858" s="4" t="n">
        <x:f>IF(AND(ISNUMBER(G858),G858&gt;0),('계산 과정'!$E$56+'계산 과정'!$E$57*D858+'계산 과정'!$E$58*E858)/F858,"")</x:f>
        <x:v>56.58202159294813</x:v>
      </x:c>
      <x:c r="J858" s="4" t="n">
        <x:f>IF('계산 과정'!$L$5,'계산 과정'!$D$6+'계산 과정'!$C$35*D858+'계산 과정'!$D$35*E858,"")</x:f>
        <x:v>712.8107745058344</x:v>
      </x:c>
      <x:c r="K858" s="4" t="n">
        <x:f>IF(AND('계산 과정'!$L$6,J858&gt;0),'계산 과정'!$D$10*('계산 과정'!$C$38*(D858-'계산 과정'!$C$32)+'계산 과정'!$D$38*(E858-'계산 과정'!$D$32)-'계산 과정'!$E$38*'계산 과정'!$E$32)/J858,"")</x:f>
        <x:v>-0.7049363085105312</x:v>
      </x:c>
      <x:c r="L858" s="4" t="n">
        <x:f>IF(AND('계산 과정'!$L$6,J858&gt;0),'계산 과정'!$D$10*('계산 과정'!$C$39*(D858-'계산 과정'!$C$32)+'계산 과정'!$D$39*(E858-'계산 과정'!$D$32)-'계산 과정'!$E$39*'계산 과정'!$E$32)/J858,"")</x:f>
        <x:v>0.43110111689865244</x:v>
      </x:c>
      <x:c r="M858" s="17" t="n">
        <x:f>IF('계산 과정'!$L$6,IF(J858&lt;=0,0,IF(AND(ABS(K858)&lt;='계산 과정'!$D$11/2,ABS(L858)&lt;='계산 과정'!$D$12/2),1,0)),"")</x:f>
        <x:v>1</x:v>
      </x:c>
      <x:c r="N858" s="17" t="n">
        <x:f>IF('계산 과정'!$C$78,IF(AND(ISNUMBER(H858),ISNUMBER(I858),ABS(H858-'계산 과정'!$C$88)&lt;='계산 과정'!$D$23/2,ABS(I858-'계산 과정'!$C$89)&lt;='계산 과정'!$D$24/2),1,0),"")</x:f>
        <x:v>1</x:v>
      </x:c>
      <x:c r="O858" s="4" t="n">
        <x:f>IF('계산 과정'!$L$7,'계산 과정'!$C$49*('계산 과정'!$C$32-D858)+'계산 과정'!$D$49*('계산 과정'!$D$32-E858)+'계산 과정'!$E$49*'계산 과정'!$E$32,"")</x:f>
        <x:v>-62.810774505834274</x:v>
      </x:c>
      <x:c r="P858" s="4" t="n">
        <x:f>IF(AND('계산 과정'!$L$7,O858&lt;&gt;0),('계산 과정'!$L$23-'계산 과정'!$C$49*D858-'계산 과정'!$D$49*E858)/O858,"")</x:f>
        <x:v>-5.368334145646386</x:v>
      </x:c>
      <x:c r="Q858" s="4" t="str">
        <x:f>IF(AND(ISNUMBER(P858),P858&gt;1E-9,P858&lt;1-1E-9),'계산 과정'!$C$47*(D858-'계산 과정'!$C$50+P858*('계산 과정'!$C$32-D858))+'계산 과정'!$D$47*(E858-'계산 과정'!$D$50+P858*('계산 과정'!$D$32-E858))+'계산 과정'!$E$47*(0-'계산 과정'!$E$50+P858*('계산 과정'!$E$32-0)),"")</x:f>
      </x:c>
      <x:c r="R858" s="4" t="str">
        <x:f>IF(AND(ISNUMBER(P858),P858&gt;1E-9,P858&lt;1-1E-9),'계산 과정'!$C$48*(D858-'계산 과정'!$C$50+P858*('계산 과정'!$C$32-D858))+'계산 과정'!$D$48*(E858-'계산 과정'!$D$50+P858*('계산 과정'!$D$32-E858))+'계산 과정'!$E$48*(0-'계산 과정'!$E$50+P858*('계산 과정'!$E$32-0)),"")</x:f>
      </x:c>
      <x:c r="S858" s="17" t="n">
        <x:f>IF('계산 과정'!$C$78,IF(AND(ISNUMBER(Q858),ISNUMBER(R858),ABS(Q858-'계산 과정'!$C$88)&lt;='계산 과정'!$D$23/2,ABS(R858-'계산 과정'!$C$89)&lt;='계산 과정'!$D$24/2),1,0),"")</x:f>
        <x:v>0</x:v>
      </x:c>
      <x:c r="T858" s="4"/>
      <x:c r="U858" s="4"/>
      <x:c r="V858" s="4"/>
      <x:c r="W858" s="4"/>
      <x:c r="X858" s="4"/>
      <x:c r="Y858" s="4"/>
      <x:c r="Z858" s="4"/>
    </x:row>
    <x:row r="859" ht="23" customHeight="1">
      <x:c r="A859" s="17" t="n">
        <x:f>ROW()-6</x:f>
        <x:v>853</x:v>
      </x:c>
      <x:c r="B859" s="4" t="n">
        <x:f>IF('계산 과정'!$L$5,'계산 과정'!$L$11*SQRT((A859+0.5)/'계산 과정'!$L$30),"")</x:f>
        <x:v>96.83403871928249</x:v>
      </x:c>
      <x:c r="C859" s="4" t="n">
        <x:f>A859*PI()*(3-SQRT(5))</x:f>
        <x:v>2047.168634958541</x:v>
      </x:c>
      <x:c r="D859" s="4" t="n">
        <x:f>IF('계산 과정'!$L$5,B859*COS(C859),"")</x:f>
        <x:v>39.57535856959208</x:v>
      </x:c>
      <x:c r="E859" s="4" t="n">
        <x:f>IF('계산 과정'!$L$5,B859*SIN(C859),"")</x:f>
        <x:v>-88.37772371347722</x:v>
      </x:c>
      <x:c r="F859" s="4" t="n">
        <x:f>IF('계산 과정'!$L$7,'계산 과정'!$L$22+'계산 과정'!$C$49*D859+'계산 과정'!$D$49*E859,"")</x:f>
        <x:v>622.0159955875523</x:v>
      </x:c>
      <x:c r="G859" s="4" t="n">
        <x:f>IF('계산 과정'!$L$7,IF(ABS(F859)&gt;=1E-12*MAX(1,SQRT((D859-'계산 과정'!$C$33)^2+(E859-'계산 과정'!$D$33)^2+'계산 과정'!$E$33^2)),('계산 과정'!$L$23-'계산 과정'!$C$49*D859-'계산 과정'!$D$49*E859)/F859,""),"")</x:f>
        <x:v>0.6880594831137369</x:v>
      </x:c>
      <x:c r="H859" s="4" t="n">
        <x:f>IF(AND(ISNUMBER(G859),G859&gt;0),('계산 과정'!$D$56+'계산 과정'!$D$57*D859+'계산 과정'!$D$58*E859)/F859,"")</x:f>
        <x:v>47.238664023928905</x:v>
      </x:c>
      <x:c r="I859" s="4" t="n">
        <x:f>IF(AND(ISNUMBER(G859),G859&gt;0),('계산 과정'!$E$56+'계산 과정'!$E$57*D859+'계산 과정'!$E$58*E859)/F859,"")</x:f>
        <x:v>-149.186854610541</x:v>
      </x:c>
      <x:c r="J859" s="4" t="n">
        <x:f>IF('계산 과정'!$L$5,'계산 과정'!$D$6+'계산 과정'!$C$35*D859+'계산 과정'!$D$35*E859,"")</x:f>
        <x:v>622.0159955875523</x:v>
      </x:c>
      <x:c r="K859" s="4" t="n">
        <x:f>IF(AND('계산 과정'!$L$6,J859&gt;0),'계산 과정'!$D$10*('계산 과정'!$C$38*(D859-'계산 과정'!$C$32)+'계산 과정'!$D$38*(E859-'계산 과정'!$D$32)-'계산 과정'!$E$38*'계산 과정'!$E$32)/J859,"")</x:f>
        <x:v>0.3599136306585065</x:v>
      </x:c>
      <x:c r="L859" s="4" t="n">
        <x:f>IF(AND('계산 과정'!$L$6,J859&gt;0),'계산 과정'!$D$10*('계산 과정'!$C$39*(D859-'계산 과정'!$C$32)+'계산 과정'!$D$39*(E859-'계산 과정'!$D$32)-'계산 과정'!$E$39*'계산 과정'!$E$32)/J859,"")</x:f>
        <x:v>-1.1366617494136457</x:v>
      </x:c>
      <x:c r="M859" s="17" t="n">
        <x:f>IF('계산 과정'!$L$6,IF(J859&lt;=0,0,IF(AND(ABS(K859)&lt;='계산 과정'!$D$11/2,ABS(L859)&lt;='계산 과정'!$D$12/2),1,0)),"")</x:f>
        <x:v>1</x:v>
      </x:c>
      <x:c r="N859" s="17" t="n">
        <x:f>IF('계산 과정'!$C$78,IF(AND(ISNUMBER(H859),ISNUMBER(I859),ABS(H859-'계산 과정'!$C$88)&lt;='계산 과정'!$D$23/2,ABS(I859-'계산 과정'!$C$89)&lt;='계산 과정'!$D$24/2),1,0),"")</x:f>
        <x:v>1</x:v>
      </x:c>
      <x:c r="O859" s="4" t="n">
        <x:f>IF('계산 과정'!$L$7,'계산 과정'!$C$49*('계산 과정'!$C$32-D859)+'계산 과정'!$D$49*('계산 과정'!$D$32-E859)+'계산 과정'!$E$49*'계산 과정'!$E$32,"")</x:f>
        <x:v>27.984004412447803</x:v>
      </x:c>
      <x:c r="P859" s="4" t="n">
        <x:f>IF(AND('계산 과정'!$L$7,O859&lt;&gt;0),('계산 과정'!$L$23-'계산 과정'!$C$49*D859-'계산 과정'!$D$49*E859)/O859,"")</x:f>
        <x:v>15.29387996458693</x:v>
      </x:c>
      <x:c r="Q859" s="4" t="str">
        <x:f>IF(AND(ISNUMBER(P859),P859&gt;1E-9,P859&lt;1-1E-9),'계산 과정'!$C$47*(D859-'계산 과정'!$C$50+P859*('계산 과정'!$C$32-D859))+'계산 과정'!$D$47*(E859-'계산 과정'!$D$50+P859*('계산 과정'!$D$32-E859))+'계산 과정'!$E$47*(0-'계산 과정'!$E$50+P859*('계산 과정'!$E$32-0)),"")</x:f>
      </x:c>
      <x:c r="R859" s="4" t="str">
        <x:f>IF(AND(ISNUMBER(P859),P859&gt;1E-9,P859&lt;1-1E-9),'계산 과정'!$C$48*(D859-'계산 과정'!$C$50+P859*('계산 과정'!$C$32-D859))+'계산 과정'!$D$48*(E859-'계산 과정'!$D$50+P859*('계산 과정'!$D$32-E859))+'계산 과정'!$E$48*(0-'계산 과정'!$E$50+P859*('계산 과정'!$E$32-0)),"")</x:f>
      </x:c>
      <x:c r="S859" s="17" t="n">
        <x:f>IF('계산 과정'!$C$78,IF(AND(ISNUMBER(Q859),ISNUMBER(R859),ABS(Q859-'계산 과정'!$C$88)&lt;='계산 과정'!$D$23/2,ABS(R859-'계산 과정'!$C$89)&lt;='계산 과정'!$D$24/2),1,0),"")</x:f>
        <x:v>0</x:v>
      </x:c>
      <x:c r="T859" s="4"/>
      <x:c r="U859" s="4"/>
      <x:c r="V859" s="4"/>
      <x:c r="W859" s="4"/>
      <x:c r="X859" s="4"/>
      <x:c r="Y859" s="4"/>
      <x:c r="Z859" s="4"/>
    </x:row>
    <x:row r="860" ht="23" customHeight="1">
      <x:c r="A860" s="17" t="n">
        <x:f>ROW()-6</x:f>
        <x:v>854</x:v>
      </x:c>
      <x:c r="B860" s="4" t="n">
        <x:f>IF('계산 과정'!$L$5,'계산 과정'!$L$11*SQRT((A860+0.5)/'계산 과정'!$L$30),"")</x:f>
        <x:v>96.89074972778619</x:v>
      </x:c>
      <x:c r="C860" s="4" t="n">
        <x:f>A860*PI()*(3-SQRT(5))</x:f>
        <x:v>2049.56859818827</x:v>
      </x:c>
      <x:c r="D860" s="4" t="n">
        <x:f>IF('계산 과정'!$L$5,B860*COS(C860),"")</x:f>
        <x:v>30.534528977882136</x:v>
      </x:c>
      <x:c r="E860" s="4" t="n">
        <x:f>IF('계산 과정'!$L$5,B860*SIN(C860),"")</x:f>
        <x:v>91.95357482399135</x:v>
      </x:c>
      <x:c r="F860" s="4" t="n">
        <x:f>IF('계산 과정'!$L$7,'계산 과정'!$L$22+'계산 과정'!$C$49*D860+'계산 과정'!$D$49*E860,"")</x:f>
        <x:v>628.4088274994024</x:v>
      </x:c>
      <x:c r="G860" s="4" t="n">
        <x:f>IF('계산 과정'!$L$7,IF(ABS(F860)&gt;=1E-12*MAX(1,SQRT((D860-'계산 과정'!$C$33)^2+(E860-'계산 과정'!$D$33)^2+'계산 과정'!$E$33^2)),('계산 과정'!$L$23-'계산 과정'!$C$49*D860-'계산 과정'!$D$49*E860)/F860,""),"")</x:f>
        <x:v>0.6708867763335145</x:v>
      </x:c>
      <x:c r="H860" s="4" t="n">
        <x:f>IF(AND(ISNUMBER(G860),G860&gt;0),('계산 과정'!$D$56+'계산 과정'!$D$57*D860+'계산 과정'!$D$58*E860)/F860,"")</x:f>
        <x:v>36.07640461678424</x:v>
      </x:c>
      <x:c r="I860" s="4" t="n">
        <x:f>IF(AND(ISNUMBER(G860),G860&gt;0),('계산 과정'!$E$56+'계산 과정'!$E$57*D860+'계산 과정'!$E$58*E860)/F860,"")</x:f>
        <x:v>153.6440122100015</x:v>
      </x:c>
      <x:c r="J860" s="4" t="n">
        <x:f>IF('계산 과정'!$L$5,'계산 과정'!$D$6+'계산 과정'!$C$35*D860+'계산 과정'!$D$35*E860,"")</x:f>
        <x:v>628.4088274994024</x:v>
      </x:c>
      <x:c r="K860" s="4" t="n">
        <x:f>IF(AND('계산 과정'!$L$6,J860&gt;0),'계산 과정'!$D$10*('계산 과정'!$C$38*(D860-'계산 과정'!$C$32)+'계산 과정'!$D$38*(E860-'계산 과정'!$D$32)-'계산 과정'!$E$38*'계산 과정'!$E$32)/J860,"")</x:f>
        <x:v>0.27486784469930964</x:v>
      </x:c>
      <x:c r="L860" s="4" t="n">
        <x:f>IF(AND('계산 과정'!$L$6,J860&gt;0),'계산 과정'!$D$10*('계산 과정'!$C$39*(D860-'계산 과정'!$C$32)+'계산 과정'!$D$39*(E860-'계산 과정'!$D$32)-'계산 과정'!$E$39*'계산 과정'!$E$32)/J860,"")</x:f>
        <x:v>1.1706210454095354</x:v>
      </x:c>
      <x:c r="M860" s="17" t="n">
        <x:f>IF('계산 과정'!$L$6,IF(J860&lt;=0,0,IF(AND(ABS(K860)&lt;='계산 과정'!$D$11/2,ABS(L860)&lt;='계산 과정'!$D$12/2),1,0)),"")</x:f>
        <x:v>1</x:v>
      </x:c>
      <x:c r="N860" s="17" t="n">
        <x:f>IF('계산 과정'!$C$78,IF(AND(ISNUMBER(H860),ISNUMBER(I860),ABS(H860-'계산 과정'!$C$88)&lt;='계산 과정'!$D$23/2,ABS(I860-'계산 과정'!$C$89)&lt;='계산 과정'!$D$24/2),1,0),"")</x:f>
        <x:v>1</x:v>
      </x:c>
      <x:c r="O860" s="4" t="n">
        <x:f>IF('계산 과정'!$L$7,'계산 과정'!$C$49*('계산 과정'!$C$32-D860)+'계산 과정'!$D$49*('계산 과정'!$D$32-E860)+'계산 과정'!$E$49*'계산 과정'!$E$32,"")</x:f>
        <x:v>21.591172500597736</x:v>
      </x:c>
      <x:c r="P860" s="4" t="n">
        <x:f>IF(AND('계산 과정'!$L$7,O860&lt;&gt;0),('계산 과정'!$L$23-'계산 과정'!$C$49*D860-'계산 과정'!$D$49*E860)/O860,"")</x:f>
        <x:v>19.52608977066559</x:v>
      </x:c>
      <x:c r="Q860" s="4" t="str">
        <x:f>IF(AND(ISNUMBER(P860),P860&gt;1E-9,P860&lt;1-1E-9),'계산 과정'!$C$47*(D860-'계산 과정'!$C$50+P860*('계산 과정'!$C$32-D860))+'계산 과정'!$D$47*(E860-'계산 과정'!$D$50+P860*('계산 과정'!$D$32-E860))+'계산 과정'!$E$47*(0-'계산 과정'!$E$50+P860*('계산 과정'!$E$32-0)),"")</x:f>
      </x:c>
      <x:c r="R860" s="4" t="str">
        <x:f>IF(AND(ISNUMBER(P860),P860&gt;1E-9,P860&lt;1-1E-9),'계산 과정'!$C$48*(D860-'계산 과정'!$C$50+P860*('계산 과정'!$C$32-D860))+'계산 과정'!$D$48*(E860-'계산 과정'!$D$50+P860*('계산 과정'!$D$32-E860))+'계산 과정'!$E$48*(0-'계산 과정'!$E$50+P860*('계산 과정'!$E$32-0)),"")</x:f>
      </x:c>
      <x:c r="S860" s="17" t="n">
        <x:f>IF('계산 과정'!$C$78,IF(AND(ISNUMBER(Q860),ISNUMBER(R860),ABS(Q860-'계산 과정'!$C$88)&lt;='계산 과정'!$D$23/2,ABS(R860-'계산 과정'!$C$89)&lt;='계산 과정'!$D$24/2),1,0),"")</x:f>
        <x:v>0</x:v>
      </x:c>
      <x:c r="T860" s="4"/>
      <x:c r="U860" s="4"/>
      <x:c r="V860" s="4"/>
      <x:c r="W860" s="4"/>
      <x:c r="X860" s="4"/>
      <x:c r="Y860" s="4"/>
      <x:c r="Z860" s="4"/>
    </x:row>
    <x:row r="861" ht="23" customHeight="1">
      <x:c r="A861" s="17" t="n">
        <x:f>ROW()-6</x:f>
        <x:v>855</x:v>
      </x:c>
      <x:c r="B861" s="4" t="n">
        <x:f>IF('계산 과정'!$L$5,'계산 과정'!$L$11*SQRT((A861+0.5)/'계산 과정'!$L$30),"")</x:f>
        <x:v>96.94742756224892</x:v>
      </x:c>
      <x:c r="C861" s="4" t="n">
        <x:f>A861*PI()*(3-SQRT(5))</x:f>
        <x:v>2051.9685614179984</x:v>
      </x:c>
      <x:c r="D861" s="4" t="n">
        <x:f>IF('계산 과정'!$L$5,B861*COS(C861),"")</x:f>
        <x:v>-84.67846378985301</x:v>
      </x:c>
      <x:c r="E861" s="4" t="n">
        <x:f>IF('계산 과정'!$L$5,B861*SIN(C861),"")</x:f>
        <x:v>-47.205523841263044</x:v>
      </x:c>
      <x:c r="F861" s="4" t="n">
        <x:f>IF('계산 과정'!$L$7,'계산 과정'!$L$22+'계산 과정'!$C$49*D861+'계산 과정'!$D$49*E861,"")</x:f>
        <x:v>709.8767159662646</x:v>
      </x:c>
      <x:c r="G861" s="4" t="n">
        <x:f>IF('계산 과정'!$L$7,IF(ABS(F861)&gt;=1E-12*MAX(1,SQRT((D861-'계산 과정'!$C$33)^2+(E861-'계산 과정'!$D$33)^2+'계산 과정'!$E$33^2)),('계산 과정'!$L$23-'계산 과정'!$C$49*D861-'계산 과정'!$D$49*E861)/F861,""),"")</x:f>
        <x:v>0.47913007481977915</x:v>
      </x:c>
      <x:c r="H861" s="4" t="n">
        <x:f>IF(AND(ISNUMBER(G861),G861&gt;0),('계산 과정'!$D$56+'계산 과정'!$D$57*D861+'계산 과정'!$D$58*E861)/F861,"")</x:f>
        <x:v>-88.56545136714372</x:v>
      </x:c>
      <x:c r="I861" s="4" t="n">
        <x:f>IF(AND(ISNUMBER(G861),G861&gt;0),('계산 과정'!$E$56+'계산 과정'!$E$57*D861+'계산 과정'!$E$58*E861)/F861,"")</x:f>
        <x:v>-69.82311001123428</x:v>
      </x:c>
      <x:c r="J861" s="4" t="n">
        <x:f>IF('계산 과정'!$L$5,'계산 과정'!$D$6+'계산 과정'!$C$35*D861+'계산 과정'!$D$35*E861,"")</x:f>
        <x:v>709.8767159662646</x:v>
      </x:c>
      <x:c r="K861" s="4" t="n">
        <x:f>IF(AND('계산 과정'!$L$6,J861&gt;0),'계산 과정'!$D$10*('계산 과정'!$C$38*(D861-'계산 과정'!$C$32)+'계산 과정'!$D$38*(E861-'계산 과정'!$D$32)-'계산 과정'!$E$38*'계산 과정'!$E$32)/J861,"")</x:f>
        <x:v>-0.6747843913687135</x:v>
      </x:c>
      <x:c r="L861" s="4" t="n">
        <x:f>IF(AND('계산 과정'!$L$6,J861&gt;0),'계산 과정'!$D$10*('계산 과정'!$C$39*(D861-'계산 과정'!$C$32)+'계산 과정'!$D$39*(E861-'계산 과정'!$D$32)-'계산 과정'!$E$39*'계산 과정'!$E$32)/J861,"")</x:f>
        <x:v>-0.5319856000855945</x:v>
      </x:c>
      <x:c r="M861" s="17" t="n">
        <x:f>IF('계산 과정'!$L$6,IF(J861&lt;=0,0,IF(AND(ABS(K861)&lt;='계산 과정'!$D$11/2,ABS(L861)&lt;='계산 과정'!$D$12/2),1,0)),"")</x:f>
        <x:v>1</x:v>
      </x:c>
      <x:c r="N861" s="17" t="n">
        <x:f>IF('계산 과정'!$C$78,IF(AND(ISNUMBER(H861),ISNUMBER(I861),ABS(H861-'계산 과정'!$C$88)&lt;='계산 과정'!$D$23/2,ABS(I861-'계산 과정'!$C$89)&lt;='계산 과정'!$D$24/2),1,0),"")</x:f>
        <x:v>1</x:v>
      </x:c>
      <x:c r="O861" s="4" t="n">
        <x:f>IF('계산 과정'!$L$7,'계산 과정'!$C$49*('계산 과정'!$C$32-D861)+'계산 과정'!$D$49*('계산 과정'!$D$32-E861)+'계산 과정'!$E$49*'계산 과정'!$E$32,"")</x:f>
        <x:v>-59.8767159662645</x:v>
      </x:c>
      <x:c r="P861" s="4" t="n">
        <x:f>IF(AND('계산 과정'!$L$7,O861&lt;&gt;0),('계산 과정'!$L$23-'계산 과정'!$C$49*D861-'계산 과정'!$D$49*E861)/O861,"")</x:f>
        <x:v>-5.680393096798534</x:v>
      </x:c>
      <x:c r="Q861" s="4" t="str">
        <x:f>IF(AND(ISNUMBER(P861),P861&gt;1E-9,P861&lt;1-1E-9),'계산 과정'!$C$47*(D861-'계산 과정'!$C$50+P861*('계산 과정'!$C$32-D861))+'계산 과정'!$D$47*(E861-'계산 과정'!$D$50+P861*('계산 과정'!$D$32-E861))+'계산 과정'!$E$47*(0-'계산 과정'!$E$50+P861*('계산 과정'!$E$32-0)),"")</x:f>
      </x:c>
      <x:c r="R861" s="4" t="str">
        <x:f>IF(AND(ISNUMBER(P861),P861&gt;1E-9,P861&lt;1-1E-9),'계산 과정'!$C$48*(D861-'계산 과정'!$C$50+P861*('계산 과정'!$C$32-D861))+'계산 과정'!$D$48*(E861-'계산 과정'!$D$50+P861*('계산 과정'!$D$32-E861))+'계산 과정'!$E$48*(0-'계산 과정'!$E$50+P861*('계산 과정'!$E$32-0)),"")</x:f>
      </x:c>
      <x:c r="S861" s="17" t="n">
        <x:f>IF('계산 과정'!$C$78,IF(AND(ISNUMBER(Q861),ISNUMBER(R861),ABS(Q861-'계산 과정'!$C$88)&lt;='계산 과정'!$D$23/2,ABS(R861-'계산 과정'!$C$89)&lt;='계산 과정'!$D$24/2),1,0),"")</x:f>
        <x:v>0</x:v>
      </x:c>
      <x:c r="T861" s="4"/>
      <x:c r="U861" s="4"/>
      <x:c r="V861" s="4"/>
      <x:c r="W861" s="4"/>
      <x:c r="X861" s="4"/>
      <x:c r="Y861" s="4"/>
      <x:c r="Z861" s="4"/>
    </x:row>
    <x:row r="862" ht="23" customHeight="1">
      <x:c r="A862" s="17" t="n">
        <x:f>ROW()-6</x:f>
        <x:v>856</x:v>
      </x:c>
      <x:c r="B862" s="4" t="n">
        <x:f>IF('계산 과정'!$L$5,'계산 과정'!$L$11*SQRT((A862+0.5)/'계산 과정'!$L$30),"")</x:f>
        <x:v>97.00407228081973</x:v>
      </x:c>
      <x:c r="C862" s="4" t="n">
        <x:f>A862*PI()*(3-SQRT(5))</x:f>
        <x:v>2054.3685246477266</x:v>
      </x:c>
      <x:c r="D862" s="4" t="n">
        <x:f>IF('계산 과정'!$L$5,B862*COS(C862),"")</x:f>
        <x:v>94.38125017590198</x:v>
      </x:c>
      <x:c r="E862" s="4" t="n">
        <x:f>IF('계산 과정'!$L$5,B862*SIN(C862),"")</x:f>
        <x:v>-22.404679294654034</x:v>
      </x:c>
      <x:c r="F862" s="4" t="n">
        <x:f>IF('계산 과정'!$L$7,'계산 과정'!$L$22+'계산 과정'!$C$49*D862+'계산 과정'!$D$49*E862,"")</x:f>
        <x:v>583.2623779837556</x:v>
      </x:c>
      <x:c r="G862" s="4" t="n">
        <x:f>IF('계산 과정'!$L$7,IF(ABS(F862)&gt;=1E-12*MAX(1,SQRT((D862-'계산 과정'!$C$33)^2+(E862-'계산 과정'!$D$33)^2+'계산 과정'!$E$33^2)),('계산 과정'!$L$23-'계산 과정'!$C$49*D862-'계산 과정'!$D$49*E862)/F862,""),"")</x:f>
        <x:v>0.8002189745714121</x:v>
      </x:c>
      <x:c r="H862" s="4" t="n">
        <x:f>IF(AND(ISNUMBER(G862),G862&gt;0),('계산 과정'!$D$56+'계산 과정'!$D$57*D862+'계산 과정'!$D$58*E862)/F862,"")</x:f>
        <x:v>120.14233347141777</x:v>
      </x:c>
      <x:c r="I862" s="4" t="n">
        <x:f>IF(AND(ISNUMBER(G862),G862&gt;0),('계산 과정'!$E$56+'계산 과정'!$E$57*D862+'계산 과정'!$E$58*E862)/F862,"")</x:f>
        <x:v>-40.33332878542344</x:v>
      </x:c>
      <x:c r="J862" s="4" t="n">
        <x:f>IF('계산 과정'!$L$5,'계산 과정'!$D$6+'계산 과정'!$C$35*D862+'계산 과정'!$D$35*E862,"")</x:f>
        <x:v>583.2623779837556</x:v>
      </x:c>
      <x:c r="K862" s="4" t="n">
        <x:f>IF(AND('계산 과정'!$L$6,J862&gt;0),'계산 과정'!$D$10*('계산 과정'!$C$38*(D862-'계산 과정'!$C$32)+'계산 과정'!$D$38*(E862-'계산 과정'!$D$32)-'계산 과정'!$E$38*'계산 과정'!$E$32)/J862,"")</x:f>
        <x:v>0.9153701597822318</x:v>
      </x:c>
      <x:c r="L862" s="4" t="n">
        <x:f>IF(AND('계산 과정'!$L$6,J862&gt;0),'계산 과정'!$D$10*('계산 과정'!$C$39*(D862-'계산 과정'!$C$32)+'계산 과정'!$D$39*(E862-'계산 과정'!$D$32)-'계산 과정'!$E$39*'계산 과정'!$E$32)/J862,"")</x:f>
        <x:v>-0.30730155265084524</x:v>
      </x:c>
      <x:c r="M862" s="17" t="n">
        <x:f>IF('계산 과정'!$L$6,IF(J862&lt;=0,0,IF(AND(ABS(K862)&lt;='계산 과정'!$D$11/2,ABS(L862)&lt;='계산 과정'!$D$12/2),1,0)),"")</x:f>
        <x:v>1</x:v>
      </x:c>
      <x:c r="N862" s="17" t="n">
        <x:f>IF('계산 과정'!$C$78,IF(AND(ISNUMBER(H862),ISNUMBER(I862),ABS(H862-'계산 과정'!$C$88)&lt;='계산 과정'!$D$23/2,ABS(I862-'계산 과정'!$C$89)&lt;='계산 과정'!$D$24/2),1,0),"")</x:f>
        <x:v>1</x:v>
      </x:c>
      <x:c r="O862" s="4" t="n">
        <x:f>IF('계산 과정'!$L$7,'계산 과정'!$C$49*('계산 과정'!$C$32-D862)+'계산 과정'!$D$49*('계산 과정'!$D$32-E862)+'계산 과정'!$E$49*'계산 과정'!$E$32,"")</x:f>
        <x:v>66.73762201624442</x:v>
      </x:c>
      <x:c r="P862" s="4" t="n">
        <x:f>IF(AND('계산 과정'!$L$7,O862&lt;&gt;0),('계산 과정'!$L$23-'계산 과정'!$C$49*D862-'계산 과정'!$D$49*E862)/O862,"")</x:f>
        <x:v>6.993620808104865</x:v>
      </x:c>
      <x:c r="Q862" s="4" t="str">
        <x:f>IF(AND(ISNUMBER(P862),P862&gt;1E-9,P862&lt;1-1E-9),'계산 과정'!$C$47*(D862-'계산 과정'!$C$50+P862*('계산 과정'!$C$32-D862))+'계산 과정'!$D$47*(E862-'계산 과정'!$D$50+P862*('계산 과정'!$D$32-E862))+'계산 과정'!$E$47*(0-'계산 과정'!$E$50+P862*('계산 과정'!$E$32-0)),"")</x:f>
      </x:c>
      <x:c r="R862" s="4" t="str">
        <x:f>IF(AND(ISNUMBER(P862),P862&gt;1E-9,P862&lt;1-1E-9),'계산 과정'!$C$48*(D862-'계산 과정'!$C$50+P862*('계산 과정'!$C$32-D862))+'계산 과정'!$D$48*(E862-'계산 과정'!$D$50+P862*('계산 과정'!$D$32-E862))+'계산 과정'!$E$48*(0-'계산 과정'!$E$50+P862*('계산 과정'!$E$32-0)),"")</x:f>
      </x:c>
      <x:c r="S862" s="17" t="n">
        <x:f>IF('계산 과정'!$C$78,IF(AND(ISNUMBER(Q862),ISNUMBER(R862),ABS(Q862-'계산 과정'!$C$88)&lt;='계산 과정'!$D$23/2,ABS(R862-'계산 과정'!$C$89)&lt;='계산 과정'!$D$24/2),1,0),"")</x:f>
        <x:v>0</x:v>
      </x:c>
      <x:c r="T862" s="4"/>
      <x:c r="U862" s="4"/>
      <x:c r="V862" s="4"/>
      <x:c r="W862" s="4"/>
      <x:c r="X862" s="4"/>
      <x:c r="Y862" s="4"/>
      <x:c r="Z862" s="4"/>
    </x:row>
    <x:row r="863" ht="23" customHeight="1">
      <x:c r="A863" s="17" t="n">
        <x:f>ROW()-6</x:f>
        <x:v>857</x:v>
      </x:c>
      <x:c r="B863" s="4" t="n">
        <x:f>IF('계산 과정'!$L$5,'계산 과정'!$L$11*SQRT((A863+0.5)/'계산 과정'!$L$30),"")</x:f>
        <x:v>97.06068394147808</x:v>
      </x:c>
      <x:c r="C863" s="4" t="n">
        <x:f>A863*PI()*(3-SQRT(5))</x:f>
        <x:v>2056.7684878774553</x:v>
      </x:c>
      <x:c r="D863" s="4" t="n">
        <x:f>IF('계산 과정'!$L$5,B863*COS(C863),"")</x:f>
        <x:v>-54.49143584502952</x:v>
      </x:c>
      <x:c r="E863" s="4" t="n">
        <x:f>IF('계산 과정'!$L$5,B863*SIN(C863),"")</x:f>
        <x:v>80.320979742123</x:v>
      </x:c>
      <x:c r="F863" s="4" t="n">
        <x:f>IF('계산 과정'!$L$7,'계산 과정'!$L$22+'계산 과정'!$C$49*D863+'계산 과정'!$D$49*E863,"")</x:f>
        <x:v>688.5312638026121</x:v>
      </x:c>
      <x:c r="G863" s="4" t="n">
        <x:f>IF('계산 과정'!$L$7,IF(ABS(F863)&gt;=1E-12*MAX(1,SQRT((D863-'계산 과정'!$C$33)^2+(E863-'계산 과정'!$D$33)^2+'계산 과정'!$E$33^2)),('계산 과정'!$L$23-'계산 과정'!$C$49*D863-'계산 과정'!$D$49*E863)/F863,""),"")</x:f>
        <x:v>0.5249852188280787</x:v>
      </x:c>
      <x:c r="H863" s="4" t="n">
        <x:f>IF(AND(ISNUMBER(G863),G863&gt;0),('계산 과정'!$D$56+'계산 과정'!$D$57*D863+'계산 과정'!$D$58*E863)/F863,"")</x:f>
        <x:v>-58.75960776174893</x:v>
      </x:c>
      <x:c r="I863" s="4" t="n">
        <x:f>IF(AND(ISNUMBER(G863),G863&gt;0),('계산 과정'!$E$56+'계산 과정'!$E$57*D863+'계산 과정'!$E$58*E863)/F863,"")</x:f>
        <x:v>122.48830686852712</x:v>
      </x:c>
      <x:c r="J863" s="4" t="n">
        <x:f>IF('계산 과정'!$L$5,'계산 과정'!$D$6+'계산 과정'!$C$35*D863+'계산 과정'!$D$35*E863,"")</x:f>
        <x:v>688.5312638026121</x:v>
      </x:c>
      <x:c r="K863" s="4" t="n">
        <x:f>IF(AND('계산 과정'!$L$6,J863&gt;0),'계산 과정'!$D$10*('계산 과정'!$C$38*(D863-'계산 과정'!$C$32)+'계산 과정'!$D$38*(E863-'계산 과정'!$D$32)-'계산 과정'!$E$38*'계산 과정'!$E$32)/J863,"")</x:f>
        <x:v>-0.4476922496133239</x:v>
      </x:c>
      <x:c r="L863" s="4" t="n">
        <x:f>IF(AND('계산 과정'!$L$6,J863&gt;0),'계산 과정'!$D$10*('계산 과정'!$C$39*(D863-'계산 과정'!$C$32)+'계산 과정'!$D$39*(E863-'계산 과정'!$D$32)-'계산 과정'!$E$39*'계산 과정'!$E$32)/J863,"")</x:f>
        <x:v>0.9332442428078257</x:v>
      </x:c>
      <x:c r="M863" s="17" t="n">
        <x:f>IF('계산 과정'!$L$6,IF(J863&lt;=0,0,IF(AND(ABS(K863)&lt;='계산 과정'!$D$11/2,ABS(L863)&lt;='계산 과정'!$D$12/2),1,0)),"")</x:f>
        <x:v>1</x:v>
      </x:c>
      <x:c r="N863" s="17" t="n">
        <x:f>IF('계산 과정'!$C$78,IF(AND(ISNUMBER(H863),ISNUMBER(I863),ABS(H863-'계산 과정'!$C$88)&lt;='계산 과정'!$D$23/2,ABS(I863-'계산 과정'!$C$89)&lt;='계산 과정'!$D$24/2),1,0),"")</x:f>
        <x:v>1</x:v>
      </x:c>
      <x:c r="O863" s="4" t="n">
        <x:f>IF('계산 과정'!$L$7,'계산 과정'!$C$49*('계산 과정'!$C$32-D863)+'계산 과정'!$D$49*('계산 과정'!$D$32-E863)+'계산 과정'!$E$49*'계산 과정'!$E$32,"")</x:f>
        <x:v>-38.53126380261193</x:v>
      </x:c>
      <x:c r="P863" s="4" t="n">
        <x:f>IF(AND('계산 과정'!$L$7,O863&lt;&gt;0),('계산 과정'!$L$23-'계산 과정'!$C$49*D863-'계산 과정'!$D$49*E863)/O863,"")</x:f>
        <x:v>-9.381180385079528</x:v>
      </x:c>
      <x:c r="Q863" s="4" t="str">
        <x:f>IF(AND(ISNUMBER(P863),P863&gt;1E-9,P863&lt;1-1E-9),'계산 과정'!$C$47*(D863-'계산 과정'!$C$50+P863*('계산 과정'!$C$32-D863))+'계산 과정'!$D$47*(E863-'계산 과정'!$D$50+P863*('계산 과정'!$D$32-E863))+'계산 과정'!$E$47*(0-'계산 과정'!$E$50+P863*('계산 과정'!$E$32-0)),"")</x:f>
      </x:c>
      <x:c r="R863" s="4" t="str">
        <x:f>IF(AND(ISNUMBER(P863),P863&gt;1E-9,P863&lt;1-1E-9),'계산 과정'!$C$48*(D863-'계산 과정'!$C$50+P863*('계산 과정'!$C$32-D863))+'계산 과정'!$D$48*(E863-'계산 과정'!$D$50+P863*('계산 과정'!$D$32-E863))+'계산 과정'!$E$48*(0-'계산 과정'!$E$50+P863*('계산 과정'!$E$32-0)),"")</x:f>
      </x:c>
      <x:c r="S863" s="17" t="n">
        <x:f>IF('계산 과정'!$C$78,IF(AND(ISNUMBER(Q863),ISNUMBER(R863),ABS(Q863-'계산 과정'!$C$88)&lt;='계산 과정'!$D$23/2,ABS(R863-'계산 과정'!$C$89)&lt;='계산 과정'!$D$24/2),1,0),"")</x:f>
        <x:v>0</x:v>
      </x:c>
      <x:c r="T863" s="4"/>
      <x:c r="U863" s="4"/>
      <x:c r="V863" s="4"/>
      <x:c r="W863" s="4"/>
      <x:c r="X863" s="4"/>
      <x:c r="Y863" s="4"/>
      <x:c r="Z863" s="4"/>
    </x:row>
    <x:row r="864" ht="23" customHeight="1">
      <x:c r="A864" s="17" t="n">
        <x:f>ROW()-6</x:f>
        <x:v>858</x:v>
      </x:c>
      <x:c r="B864" s="4" t="n">
        <x:f>IF('계산 과정'!$L$5,'계산 과정'!$L$11*SQRT((A864+0.5)/'계산 과정'!$L$30),"")</x:f>
        <x:v>97.11726260203434</x:v>
      </x:c>
      <x:c r="C864" s="4" t="n">
        <x:f>A864*PI()*(3-SQRT(5))</x:f>
        <x:v>2059.1684511071844</x:v>
      </x:c>
      <x:c r="D864" s="4" t="n">
        <x:f>IF('계산 과정'!$L$5,B864*COS(C864),"")</x:f>
        <x:v>-14.083958372308677</x:v>
      </x:c>
      <x:c r="E864" s="4" t="n">
        <x:f>IF('계산 과정'!$L$5,B864*SIN(C864),"")</x:f>
        <x:v>-96.0906073031052</x:v>
      </x:c>
      <x:c r="F864" s="4" t="n">
        <x:f>IF('계산 과정'!$L$7,'계산 과정'!$L$22+'계산 과정'!$C$49*D864+'계산 과정'!$D$49*E864,"")</x:f>
        <x:v>659.9588624710085</x:v>
      </x:c>
      <x:c r="G864" s="4" t="n">
        <x:f>IF('계산 과정'!$L$7,IF(ABS(F864)&gt;=1E-12*MAX(1,SQRT((D864-'계산 과정'!$C$33)^2+(E864-'계산 과정'!$D$33)^2+'계산 과정'!$E$33^2)),('계산 과정'!$L$23-'계산 과정'!$C$49*D864-'계산 과정'!$D$49*E864)/F864,""),"")</x:f>
        <x:v>0.5910082578005015</x:v>
      </x:c>
      <x:c r="H864" s="4" t="n">
        <x:f>IF(AND(ISNUMBER(G864),G864&gt;0),('계산 과정'!$D$56+'계산 과정'!$D$57*D864+'계산 과정'!$D$58*E864)/F864,"")</x:f>
        <x:v>-15.844632429674173</x:v>
      </x:c>
      <x:c r="I864" s="4" t="n">
        <x:f>IF(AND(ISNUMBER(G864),G864&gt;0),('계산 과정'!$E$56+'계산 과정'!$E$57*D864+'계산 과정'!$E$58*E864)/F864,"")</x:f>
        <x:v>-152.88094971630554</x:v>
      </x:c>
      <x:c r="J864" s="4" t="n">
        <x:f>IF('계산 과정'!$L$5,'계산 과정'!$D$6+'계산 과정'!$C$35*D864+'계산 과정'!$D$35*E864,"")</x:f>
        <x:v>659.9588624710085</x:v>
      </x:c>
      <x:c r="K864" s="4" t="n">
        <x:f>IF(AND('계산 과정'!$L$6,J864&gt;0),'계산 과정'!$D$10*('계산 과정'!$C$38*(D864-'계산 과정'!$C$32)+'계산 과정'!$D$38*(E864-'계산 과정'!$D$32)-'계산 과정'!$E$38*'계산 과정'!$E$32)/J864,"")</x:f>
        <x:v>-0.12072100898799264</x:v>
      </x:c>
      <x:c r="L864" s="4" t="n">
        <x:f>IF(AND('계산 과정'!$L$6,J864&gt;0),'계산 과정'!$D$10*('계산 과정'!$C$39*(D864-'계산 과정'!$C$32)+'계산 과정'!$D$39*(E864-'계산 과정'!$D$32)-'계산 과정'!$E$39*'계산 과정'!$E$32)/J864,"")</x:f>
        <x:v>-1.1648072359337567</x:v>
      </x:c>
      <x:c r="M864" s="17" t="n">
        <x:f>IF('계산 과정'!$L$6,IF(J864&lt;=0,0,IF(AND(ABS(K864)&lt;='계산 과정'!$D$11/2,ABS(L864)&lt;='계산 과정'!$D$12/2),1,0)),"")</x:f>
        <x:v>1</x:v>
      </x:c>
      <x:c r="N864" s="17" t="n">
        <x:f>IF('계산 과정'!$C$78,IF(AND(ISNUMBER(H864),ISNUMBER(I864),ABS(H864-'계산 과정'!$C$88)&lt;='계산 과정'!$D$23/2,ABS(I864-'계산 과정'!$C$89)&lt;='계산 과정'!$D$24/2),1,0),"")</x:f>
        <x:v>1</x:v>
      </x:c>
      <x:c r="O864" s="4" t="n">
        <x:f>IF('계산 과정'!$L$7,'계산 과정'!$C$49*('계산 과정'!$C$32-D864)+'계산 과정'!$D$49*('계산 과정'!$D$32-E864)+'계산 과정'!$E$49*'계산 과정'!$E$32,"")</x:f>
        <x:v>-9.958862471008445</x:v>
      </x:c>
      <x:c r="P864" s="4" t="n">
        <x:f>IF(AND('계산 과정'!$L$7,O864&lt;&gt;0),('계산 과정'!$L$23-'계산 과정'!$C$49*D864-'계산 과정'!$D$49*E864)/O864,"")</x:f>
        <x:v>-39.165229830661126</x:v>
      </x:c>
      <x:c r="Q864" s="4" t="str">
        <x:f>IF(AND(ISNUMBER(P864),P864&gt;1E-9,P864&lt;1-1E-9),'계산 과정'!$C$47*(D864-'계산 과정'!$C$50+P864*('계산 과정'!$C$32-D864))+'계산 과정'!$D$47*(E864-'계산 과정'!$D$50+P864*('계산 과정'!$D$32-E864))+'계산 과정'!$E$47*(0-'계산 과정'!$E$50+P864*('계산 과정'!$E$32-0)),"")</x:f>
      </x:c>
      <x:c r="R864" s="4" t="str">
        <x:f>IF(AND(ISNUMBER(P864),P864&gt;1E-9,P864&lt;1-1E-9),'계산 과정'!$C$48*(D864-'계산 과정'!$C$50+P864*('계산 과정'!$C$32-D864))+'계산 과정'!$D$48*(E864-'계산 과정'!$D$50+P864*('계산 과정'!$D$32-E864))+'계산 과정'!$E$48*(0-'계산 과정'!$E$50+P864*('계산 과정'!$E$32-0)),"")</x:f>
      </x:c>
      <x:c r="S864" s="17" t="n">
        <x:f>IF('계산 과정'!$C$78,IF(AND(ISNUMBER(Q864),ISNUMBER(R864),ABS(Q864-'계산 과정'!$C$88)&lt;='계산 과정'!$D$23/2,ABS(R864-'계산 과정'!$C$89)&lt;='계산 과정'!$D$24/2),1,0),"")</x:f>
        <x:v>0</x:v>
      </x:c>
      <x:c r="T864" s="4"/>
      <x:c r="U864" s="4"/>
      <x:c r="V864" s="4"/>
      <x:c r="W864" s="4"/>
      <x:c r="X864" s="4"/>
      <x:c r="Y864" s="4"/>
      <x:c r="Z864" s="4"/>
    </x:row>
    <x:row r="865" ht="23" customHeight="1">
      <x:c r="A865" s="17" t="n">
        <x:f>ROW()-6</x:f>
        <x:v>859</x:v>
      </x:c>
      <x:c r="B865" s="4" t="n">
        <x:f>IF('계산 과정'!$L$5,'계산 과정'!$L$11*SQRT((A865+0.5)/'계산 과정'!$L$30),"")</x:f>
        <x:v>97.17380832013069</x:v>
      </x:c>
      <x:c r="C865" s="4" t="n">
        <x:f>A865*PI()*(3-SQRT(5))</x:f>
        <x:v>2061.568414336913</x:v>
      </x:c>
      <x:c r="D865" s="4" t="n">
        <x:f>IF('계산 과정'!$L$5,B865*COS(C865),"")</x:f>
        <x:v>75.33718411059883</x:v>
      </x:c>
      <x:c r="E865" s="4" t="n">
        <x:f>IF('계산 과정'!$L$5,B865*SIN(C865),"")</x:f>
        <x:v>61.37636119650004</x:v>
      </x:c>
      <x:c r="F865" s="4" t="n">
        <x:f>IF('계산 과정'!$L$7,'계산 과정'!$L$22+'계산 과정'!$C$49*D865+'계산 과정'!$D$49*E865,"")</x:f>
        <x:v>596.7285662398962</x:v>
      </x:c>
      <x:c r="G865" s="4" t="n">
        <x:f>IF('계산 과정'!$L$7,IF(ABS(F865)&gt;=1E-12*MAX(1,SQRT((D865-'계산 과정'!$C$33)^2+(E865-'계산 과정'!$D$33)^2+'계산 과정'!$E$33^2)),('계산 과정'!$L$23-'계산 과정'!$C$49*D865-'계산 과정'!$D$49*E865)/F865,""),"")</x:f>
        <x:v>0.7595939919824118</x:v>
      </x:c>
      <x:c r="H865" s="4" t="n">
        <x:f>IF(AND(ISNUMBER(G865),G865&gt;0),('계산 과정'!$D$56+'계산 과정'!$D$57*D865+'계산 과정'!$D$58*E865)/F865,"")</x:f>
        <x:v>93.73609478856766</x:v>
      </x:c>
      <x:c r="I865" s="4" t="n">
        <x:f>IF(AND(ISNUMBER(G865),G865&gt;0),('계산 과정'!$E$56+'계산 과정'!$E$57*D865+'계산 과정'!$E$58*E865)/F865,"")</x:f>
        <x:v>107.9974764111039</x:v>
      </x:c>
      <x:c r="J865" s="4" t="n">
        <x:f>IF('계산 과정'!$L$5,'계산 과정'!$D$6+'계산 과정'!$C$35*D865+'계산 과정'!$D$35*E865,"")</x:f>
        <x:v>596.7285662398962</x:v>
      </x:c>
      <x:c r="K865" s="4" t="n">
        <x:f>IF(AND('계산 과정'!$L$6,J865&gt;0),'계산 과정'!$D$10*('계산 과정'!$C$38*(D865-'계산 과정'!$C$32)+'계산 과정'!$D$38*(E865-'계산 과정'!$D$32)-'계산 과정'!$E$38*'계산 과정'!$E$32)/J865,"")</x:f>
        <x:v>0.7141797698176596</x:v>
      </x:c>
      <x:c r="L865" s="4" t="n">
        <x:f>IF(AND('계산 과정'!$L$6,J865&gt;0),'계산 과정'!$D$10*('계산 과정'!$C$39*(D865-'계산 과정'!$C$32)+'계산 과정'!$D$39*(E865-'계산 과정'!$D$32)-'계산 과정'!$E$39*'계산 과정'!$E$32)/J865,"")</x:f>
        <x:v>0.8228379155131726</x:v>
      </x:c>
      <x:c r="M865" s="17" t="n">
        <x:f>IF('계산 과정'!$L$6,IF(J865&lt;=0,0,IF(AND(ABS(K865)&lt;='계산 과정'!$D$11/2,ABS(L865)&lt;='계산 과정'!$D$12/2),1,0)),"")</x:f>
        <x:v>1</x:v>
      </x:c>
      <x:c r="N865" s="17" t="n">
        <x:f>IF('계산 과정'!$C$78,IF(AND(ISNUMBER(H865),ISNUMBER(I865),ABS(H865-'계산 과정'!$C$88)&lt;='계산 과정'!$D$23/2,ABS(I865-'계산 과정'!$C$89)&lt;='계산 과정'!$D$24/2),1,0),"")</x:f>
        <x:v>1</x:v>
      </x:c>
      <x:c r="O865" s="4" t="n">
        <x:f>IF('계산 과정'!$L$7,'계산 과정'!$C$49*('계산 과정'!$C$32-D865)+'계산 과정'!$D$49*('계산 과정'!$D$32-E865)+'계산 과정'!$E$49*'계산 과정'!$E$32,"")</x:f>
        <x:v>53.271433760104</x:v>
      </x:c>
      <x:c r="P865" s="4" t="n">
        <x:f>IF(AND('계산 과정'!$L$7,O865&lt;&gt;0),('계산 과정'!$L$23-'계산 과정'!$C$49*D865-'계산 과정'!$D$49*E865)/O865,"")</x:f>
        <x:v>8.508714741963027</x:v>
      </x:c>
      <x:c r="Q865" s="4" t="str">
        <x:f>IF(AND(ISNUMBER(P865),P865&gt;1E-9,P865&lt;1-1E-9),'계산 과정'!$C$47*(D865-'계산 과정'!$C$50+P865*('계산 과정'!$C$32-D865))+'계산 과정'!$D$47*(E865-'계산 과정'!$D$50+P865*('계산 과정'!$D$32-E865))+'계산 과정'!$E$47*(0-'계산 과정'!$E$50+P865*('계산 과정'!$E$32-0)),"")</x:f>
      </x:c>
      <x:c r="R865" s="4" t="str">
        <x:f>IF(AND(ISNUMBER(P865),P865&gt;1E-9,P865&lt;1-1E-9),'계산 과정'!$C$48*(D865-'계산 과정'!$C$50+P865*('계산 과정'!$C$32-D865))+'계산 과정'!$D$48*(E865-'계산 과정'!$D$50+P865*('계산 과정'!$D$32-E865))+'계산 과정'!$E$48*(0-'계산 과정'!$E$50+P865*('계산 과정'!$E$32-0)),"")</x:f>
      </x:c>
      <x:c r="S865" s="17" t="n">
        <x:f>IF('계산 과정'!$C$78,IF(AND(ISNUMBER(Q865),ISNUMBER(R865),ABS(Q865-'계산 과정'!$C$88)&lt;='계산 과정'!$D$23/2,ABS(R865-'계산 과정'!$C$89)&lt;='계산 과정'!$D$24/2),1,0),"")</x:f>
        <x:v>0</x:v>
      </x:c>
      <x:c r="T865" s="4"/>
      <x:c r="U865" s="4"/>
      <x:c r="V865" s="4"/>
      <x:c r="W865" s="4"/>
      <x:c r="X865" s="4"/>
      <x:c r="Y865" s="4"/>
      <x:c r="Z865" s="4"/>
    </x:row>
    <x:row r="866" ht="23" customHeight="1">
      <x:c r="A866" s="17" t="n">
        <x:f>ROW()-6</x:f>
        <x:v>860</x:v>
      </x:c>
      <x:c r="B866" s="4" t="n">
        <x:f>IF('계산 과정'!$L$5,'계산 과정'!$L$11*SQRT((A866+0.5)/'계산 과정'!$L$30),"")</x:f>
        <x:v>97.2303211532416</x:v>
      </x:c>
      <x:c r="C866" s="4" t="n">
        <x:f>A866*PI()*(3-SQRT(5))</x:f>
        <x:v>2063.9683775666413</x:v>
      </x:c>
      <x:c r="D866" s="4" t="n">
        <x:f>IF('계산 과정'!$L$5,B866*COS(C866),"")</x:f>
        <x:v>-97.06684902932572</x:v>
      </x:c>
      <x:c r="E866" s="4" t="n">
        <x:f>IF('계산 과정'!$L$5,B866*SIN(C866),"")</x:f>
        <x:v>5.635793740067915</x:v>
      </x:c>
      <x:c r="F866" s="4" t="n">
        <x:f>IF('계산 과정'!$L$7,'계산 과정'!$L$22+'계산 과정'!$C$49*D866+'계산 과정'!$D$49*E866,"")</x:f>
        <x:v>718.6366271770471</x:v>
      </x:c>
      <x:c r="G866" s="4" t="n">
        <x:f>IF('계산 과정'!$L$7,IF(ABS(F866)&gt;=1E-12*MAX(1,SQRT((D866-'계산 과정'!$C$33)^2+(E866-'계산 과정'!$D$33)^2+'계산 과정'!$E$33^2)),('계산 과정'!$L$23-'계산 과정'!$C$49*D866-'계산 과정'!$D$49*E866)/F866,""),"")</x:f>
        <x:v>0.4611000334405674</x:v>
      </x:c>
      <x:c r="H866" s="4" t="n">
        <x:f>IF(AND(ISNUMBER(G866),G866&gt;0),('계산 과정'!$D$56+'계산 과정'!$D$57*D866+'계산 과정'!$D$58*E866)/F866,"")</x:f>
        <x:v>-100.28497826363134</x:v>
      </x:c>
      <x:c r="I866" s="4" t="n">
        <x:f>IF(AND(ISNUMBER(G866),G866&gt;0),('계산 과정'!$E$56+'계산 과정'!$E$57*D866+'계산 과정'!$E$58*E866)/F866,"")</x:f>
        <x:v>8.23445842207737</x:v>
      </x:c>
      <x:c r="J866" s="4" t="n">
        <x:f>IF('계산 과정'!$L$5,'계산 과정'!$D$6+'계산 과정'!$C$35*D866+'계산 과정'!$D$35*E866,"")</x:f>
        <x:v>718.6366271770471</x:v>
      </x:c>
      <x:c r="K866" s="4" t="n">
        <x:f>IF(AND('계산 과정'!$L$6,J866&gt;0),'계산 과정'!$D$10*('계산 과정'!$C$38*(D866-'계산 과정'!$C$32)+'계산 과정'!$D$38*(E866-'계산 과정'!$D$32)-'계산 과정'!$E$38*'계산 과정'!$E$32)/J866,"")</x:f>
        <x:v>-0.7640760248657614</x:v>
      </x:c>
      <x:c r="L866" s="4" t="n">
        <x:f>IF(AND('계산 과정'!$L$6,J866&gt;0),'계산 과정'!$D$10*('계산 과정'!$C$39*(D866-'계산 과정'!$C$32)+'계산 과정'!$D$39*(E866-'계산 과정'!$D$32)-'계산 과정'!$E$39*'계산 과정'!$E$32)/J866,"")</x:f>
        <x:v>0.0627387308348752</x:v>
      </x:c>
      <x:c r="M866" s="17" t="n">
        <x:f>IF('계산 과정'!$L$6,IF(J866&lt;=0,0,IF(AND(ABS(K866)&lt;='계산 과정'!$D$11/2,ABS(L866)&lt;='계산 과정'!$D$12/2),1,0)),"")</x:f>
        <x:v>1</x:v>
      </x:c>
      <x:c r="N866" s="17" t="n">
        <x:f>IF('계산 과정'!$C$78,IF(AND(ISNUMBER(H866),ISNUMBER(I866),ABS(H866-'계산 과정'!$C$88)&lt;='계산 과정'!$D$23/2,ABS(I866-'계산 과정'!$C$89)&lt;='계산 과정'!$D$24/2),1,0),"")</x:f>
        <x:v>1</x:v>
      </x:c>
      <x:c r="O866" s="4" t="n">
        <x:f>IF('계산 과정'!$L$7,'계산 과정'!$C$49*('계산 과정'!$C$32-D866)+'계산 과정'!$D$49*('계산 과정'!$D$32-E866)+'계산 과정'!$E$49*'계산 과정'!$E$32,"")</x:f>
        <x:v>-68.63662717704693</x:v>
      </x:c>
      <x:c r="P866" s="4" t="n">
        <x:f>IF(AND('계산 과정'!$L$7,O866&lt;&gt;0),('계산 과정'!$L$23-'계산 과정'!$C$49*D866-'계산 과정'!$D$49*E866)/O866,"")</x:f>
        <x:v>-4.827792192763306</x:v>
      </x:c>
      <x:c r="Q866" s="4" t="str">
        <x:f>IF(AND(ISNUMBER(P866),P866&gt;1E-9,P866&lt;1-1E-9),'계산 과정'!$C$47*(D866-'계산 과정'!$C$50+P866*('계산 과정'!$C$32-D866))+'계산 과정'!$D$47*(E866-'계산 과정'!$D$50+P866*('계산 과정'!$D$32-E866))+'계산 과정'!$E$47*(0-'계산 과정'!$E$50+P866*('계산 과정'!$E$32-0)),"")</x:f>
      </x:c>
      <x:c r="R866" s="4" t="str">
        <x:f>IF(AND(ISNUMBER(P866),P866&gt;1E-9,P866&lt;1-1E-9),'계산 과정'!$C$48*(D866-'계산 과정'!$C$50+P866*('계산 과정'!$C$32-D866))+'계산 과정'!$D$48*(E866-'계산 과정'!$D$50+P866*('계산 과정'!$D$32-E866))+'계산 과정'!$E$48*(0-'계산 과정'!$E$50+P866*('계산 과정'!$E$32-0)),"")</x:f>
      </x:c>
      <x:c r="S866" s="17" t="n">
        <x:f>IF('계산 과정'!$C$78,IF(AND(ISNUMBER(Q866),ISNUMBER(R866),ABS(Q866-'계산 과정'!$C$88)&lt;='계산 과정'!$D$23/2,ABS(R866-'계산 과정'!$C$89)&lt;='계산 과정'!$D$24/2),1,0),"")</x:f>
        <x:v>0</x:v>
      </x:c>
      <x:c r="T866" s="4"/>
      <x:c r="U866" s="4"/>
      <x:c r="V866" s="4"/>
      <x:c r="W866" s="4"/>
      <x:c r="X866" s="4"/>
      <x:c r="Y866" s="4"/>
      <x:c r="Z866" s="4"/>
    </x:row>
    <x:row r="867" ht="23" customHeight="1">
      <x:c r="A867" s="17" t="n">
        <x:f>ROW()-6</x:f>
        <x:v>861</x:v>
      </x:c>
      <x:c r="B867" s="4" t="n">
        <x:f>IF('계산 과정'!$L$5,'계산 과정'!$L$11*SQRT((A867+0.5)/'계산 과정'!$L$30),"")</x:f>
        <x:v>97.28680115867465</x:v>
      </x:c>
      <x:c r="C867" s="4" t="n">
        <x:f>A867*PI()*(3-SQRT(5))</x:f>
        <x:v>2066.36834079637</x:v>
      </x:c>
      <x:c r="D867" s="4" t="n">
        <x:f>IF('계산 과정'!$L$5,B867*COS(C867),"")</x:f>
        <x:v>67.80651477427963</x:v>
      </x:c>
      <x:c r="E867" s="4" t="n">
        <x:f>IF('계산 과정'!$L$5,B867*SIN(C867),"")</x:f>
        <x:v>-69.76387484832603</x:v>
      </x:c>
      <x:c r="F867" s="4" t="n">
        <x:f>IF('계산 과정'!$L$7,'계산 과정'!$L$22+'계산 과정'!$C$49*D867+'계산 과정'!$D$49*E867,"")</x:f>
        <x:v>602.0535535944811</x:v>
      </x:c>
      <x:c r="G867" s="4" t="n">
        <x:f>IF('계산 과정'!$L$7,IF(ABS(F867)&gt;=1E-12*MAX(1,SQRT((D867-'계산 과정'!$C$33)^2+(E867-'계산 과정'!$D$33)^2+'계산 과정'!$E$33^2)),('계산 과정'!$L$23-'계산 과정'!$C$49*D867-'계산 과정'!$D$49*E867)/F867,""),"")</x:f>
        <x:v>0.7440308984659487</x:v>
      </x:c>
      <x:c r="H867" s="4" t="n">
        <x:f>IF(AND(ISNUMBER(G867),G867&gt;0),('계산 과정'!$D$56+'계산 과정'!$D$57*D867+'계산 과정'!$D$58*E867)/F867,"")</x:f>
        <x:v>83.62008400286658</x:v>
      </x:c>
      <x:c r="I867" s="4" t="n">
        <x:f>IF(AND(ISNUMBER(G867),G867&gt;0),('계산 과정'!$E$56+'계산 과정'!$E$57*D867+'계산 과정'!$E$58*E867)/F867,"")</x:f>
        <x:v>-121.67035333219205</x:v>
      </x:c>
      <x:c r="J867" s="4" t="n">
        <x:f>IF('계산 과정'!$L$5,'계산 과정'!$D$6+'계산 과정'!$C$35*D867+'계산 과정'!$D$35*E867,"")</x:f>
        <x:v>602.0535535944811</x:v>
      </x:c>
      <x:c r="K867" s="4" t="n">
        <x:f>IF(AND('계산 과정'!$L$6,J867&gt;0),'계산 과정'!$D$10*('계산 과정'!$C$38*(D867-'계산 과정'!$C$32)+'계산 과정'!$D$38*(E867-'계산 과정'!$D$32)-'계산 과정'!$E$38*'계산 과정'!$E$32)/J867,"")</x:f>
        <x:v>0.6371054019266038</x:v>
      </x:c>
      <x:c r="L867" s="4" t="n">
        <x:f>IF(AND('계산 과정'!$L$6,J867&gt;0),'계산 과정'!$D$10*('계산 과정'!$C$39*(D867-'계산 과정'!$C$32)+'계산 과정'!$D$39*(E867-'계산 과정'!$D$32)-'계산 과정'!$E$39*'계산 과정'!$E$32)/J867,"")</x:f>
        <x:v>-0.9270122158643203</x:v>
      </x:c>
      <x:c r="M867" s="17" t="n">
        <x:f>IF('계산 과정'!$L$6,IF(J867&lt;=0,0,IF(AND(ABS(K867)&lt;='계산 과정'!$D$11/2,ABS(L867)&lt;='계산 과정'!$D$12/2),1,0)),"")</x:f>
        <x:v>1</x:v>
      </x:c>
      <x:c r="N867" s="17" t="n">
        <x:f>IF('계산 과정'!$C$78,IF(AND(ISNUMBER(H867),ISNUMBER(I867),ABS(H867-'계산 과정'!$C$88)&lt;='계산 과정'!$D$23/2,ABS(I867-'계산 과정'!$C$89)&lt;='계산 과정'!$D$24/2),1,0),"")</x:f>
        <x:v>1</x:v>
      </x:c>
      <x:c r="O867" s="4" t="n">
        <x:f>IF('계산 과정'!$L$7,'계산 과정'!$C$49*('계산 과정'!$C$32-D867)+'계산 과정'!$D$49*('계산 과정'!$D$32-E867)+'계산 과정'!$E$49*'계산 과정'!$E$32,"")</x:f>
        <x:v>47.946446405519055</x:v>
      </x:c>
      <x:c r="P867" s="4" t="n">
        <x:f>IF(AND('계산 과정'!$L$7,O867&lt;&gt;0),('계산 과정'!$L$23-'계산 과정'!$C$49*D867-'계산 과정'!$D$49*E867)/O867,"")</x:f>
        <x:v>9.3426412171801</x:v>
      </x:c>
      <x:c r="Q867" s="4" t="str">
        <x:f>IF(AND(ISNUMBER(P867),P867&gt;1E-9,P867&lt;1-1E-9),'계산 과정'!$C$47*(D867-'계산 과정'!$C$50+P867*('계산 과정'!$C$32-D867))+'계산 과정'!$D$47*(E867-'계산 과정'!$D$50+P867*('계산 과정'!$D$32-E867))+'계산 과정'!$E$47*(0-'계산 과정'!$E$50+P867*('계산 과정'!$E$32-0)),"")</x:f>
      </x:c>
      <x:c r="R867" s="4" t="str">
        <x:f>IF(AND(ISNUMBER(P867),P867&gt;1E-9,P867&lt;1-1E-9),'계산 과정'!$C$48*(D867-'계산 과정'!$C$50+P867*('계산 과정'!$C$32-D867))+'계산 과정'!$D$48*(E867-'계산 과정'!$D$50+P867*('계산 과정'!$D$32-E867))+'계산 과정'!$E$48*(0-'계산 과정'!$E$50+P867*('계산 과정'!$E$32-0)),"")</x:f>
      </x:c>
      <x:c r="S867" s="17" t="n">
        <x:f>IF('계산 과정'!$C$78,IF(AND(ISNUMBER(Q867),ISNUMBER(R867),ABS(Q867-'계산 과정'!$C$88)&lt;='계산 과정'!$D$23/2,ABS(R867-'계산 과정'!$C$89)&lt;='계산 과정'!$D$24/2),1,0),"")</x:f>
        <x:v>0</x:v>
      </x:c>
      <x:c r="T867" s="4"/>
      <x:c r="U867" s="4"/>
      <x:c r="V867" s="4"/>
      <x:c r="W867" s="4"/>
      <x:c r="X867" s="4"/>
      <x:c r="Y867" s="4"/>
      <x:c r="Z867" s="4"/>
    </x:row>
    <x:row r="868" ht="23" customHeight="1">
      <x:c r="A868" s="17" t="n">
        <x:f>ROW()-6</x:f>
        <x:v>862</x:v>
      </x:c>
      <x:c r="B868" s="4" t="n">
        <x:f>IF('계산 과정'!$L$5,'계산 과정'!$L$11*SQRT((A868+0.5)/'계산 과정'!$L$30),"")</x:f>
        <x:v>97.34324839357119</x:v>
      </x:c>
      <x:c r="C868" s="4" t="n">
        <x:f>A868*PI()*(3-SQRT(5))</x:f>
        <x:v>2068.768304026099</x:v>
      </x:c>
      <x:c r="D868" s="4" t="n">
        <x:f>IF('계산 과정'!$L$5,B868*COS(C868),"")</x:f>
        <x:v>-2.8752606766355795</x:v>
      </x:c>
      <x:c r="E868" s="4" t="n">
        <x:f>IF('계산 과정'!$L$5,B868*SIN(C868),"")</x:f>
        <x:v>97.30077535073342</x:v>
      </x:c>
      <x:c r="F868" s="4" t="n">
        <x:f>IF('계산 과정'!$L$7,'계산 과정'!$L$22+'계산 과정'!$C$49*D868+'계산 과정'!$D$49*E868,"")</x:f>
        <x:v>652.0331163221281</x:v>
      </x:c>
      <x:c r="G868" s="4" t="n">
        <x:f>IF('계산 과정'!$L$7,IF(ABS(F868)&gt;=1E-12*MAX(1,SQRT((D868-'계산 과정'!$C$33)^2+(E868-'계산 과정'!$D$33)^2+'계산 과정'!$E$33^2)),('계산 과정'!$L$23-'계산 과정'!$C$49*D868-'계산 과정'!$D$49*E868)/F868,""),"")</x:f>
        <x:v>0.6103476552274714</x:v>
      </x:c>
      <x:c r="H868" s="4" t="n">
        <x:f>IF(AND(ISNUMBER(G868),G868&gt;0),('계산 과정'!$D$56+'계산 과정'!$D$57*D868+'계산 과정'!$D$58*E868)/F868,"")</x:f>
        <x:v>-3.2740241021437018</x:v>
      </x:c>
      <x:c r="I868" s="4" t="n">
        <x:f>IF(AND(ISNUMBER(G868),G868&gt;0),('계산 과정'!$E$56+'계산 과정'!$E$57*D868+'계산 과정'!$E$58*E868)/F868,"")</x:f>
        <x:v>156.6880754378685</x:v>
      </x:c>
      <x:c r="J868" s="4" t="n">
        <x:f>IF('계산 과정'!$L$5,'계산 과정'!$D$6+'계산 과정'!$C$35*D868+'계산 과정'!$D$35*E868,"")</x:f>
        <x:v>652.0331163221281</x:v>
      </x:c>
      <x:c r="K868" s="4" t="n">
        <x:f>IF(AND('계산 과정'!$L$6,J868&gt;0),'계산 과정'!$D$10*('계산 과정'!$C$38*(D868-'계산 과정'!$C$32)+'계산 과정'!$D$38*(E868-'계산 과정'!$D$32)-'계산 과정'!$E$38*'계산 과정'!$E$32)/J868,"")</x:f>
        <x:v>-0.02494494554014143</x:v>
      </x:c>
      <x:c r="L868" s="4" t="n">
        <x:f>IF(AND('계산 과정'!$L$6,J868&gt;0),'계산 과정'!$D$10*('계산 과정'!$C$39*(D868-'계산 과정'!$C$32)+'계산 과정'!$D$39*(E868-'계산 과정'!$D$32)-'계산 과정'!$E$39*'계산 과정'!$E$32)/J868,"")</x:f>
        <x:v>1.1938139080980457</x:v>
      </x:c>
      <x:c r="M868" s="17" t="n">
        <x:f>IF('계산 과정'!$L$6,IF(J868&lt;=0,0,IF(AND(ABS(K868)&lt;='계산 과정'!$D$11/2,ABS(L868)&lt;='계산 과정'!$D$12/2),1,0)),"")</x:f>
        <x:v>1</x:v>
      </x:c>
      <x:c r="N868" s="17" t="n">
        <x:f>IF('계산 과정'!$C$78,IF(AND(ISNUMBER(H868),ISNUMBER(I868),ABS(H868-'계산 과정'!$C$88)&lt;='계산 과정'!$D$23/2,ABS(I868-'계산 과정'!$C$89)&lt;='계산 과정'!$D$24/2),1,0),"")</x:f>
        <x:v>1</x:v>
      </x:c>
      <x:c r="O868" s="4" t="n">
        <x:f>IF('계산 과정'!$L$7,'계산 과정'!$C$49*('계산 과정'!$C$32-D868)+'계산 과정'!$D$49*('계산 과정'!$D$32-E868)+'계산 과정'!$E$49*'계산 과정'!$E$32,"")</x:f>
        <x:v>-2.0331163221279667</x:v>
      </x:c>
      <x:c r="P868" s="4" t="n">
        <x:f>IF(AND('계산 과정'!$L$7,O868&lt;&gt;0),('계산 과정'!$L$23-'계산 과정'!$C$49*D868-'계산 과정'!$D$49*E868)/O868,"")</x:f>
        <x:v>-195.74230915688034</x:v>
      </x:c>
      <x:c r="Q868" s="4" t="str">
        <x:f>IF(AND(ISNUMBER(P868),P868&gt;1E-9,P868&lt;1-1E-9),'계산 과정'!$C$47*(D868-'계산 과정'!$C$50+P868*('계산 과정'!$C$32-D868))+'계산 과정'!$D$47*(E868-'계산 과정'!$D$50+P868*('계산 과정'!$D$32-E868))+'계산 과정'!$E$47*(0-'계산 과정'!$E$50+P868*('계산 과정'!$E$32-0)),"")</x:f>
      </x:c>
      <x:c r="R868" s="4" t="str">
        <x:f>IF(AND(ISNUMBER(P868),P868&gt;1E-9,P868&lt;1-1E-9),'계산 과정'!$C$48*(D868-'계산 과정'!$C$50+P868*('계산 과정'!$C$32-D868))+'계산 과정'!$D$48*(E868-'계산 과정'!$D$50+P868*('계산 과정'!$D$32-E868))+'계산 과정'!$E$48*(0-'계산 과정'!$E$50+P868*('계산 과정'!$E$32-0)),"")</x:f>
      </x:c>
      <x:c r="S868" s="17" t="n">
        <x:f>IF('계산 과정'!$C$78,IF(AND(ISNUMBER(Q868),ISNUMBER(R868),ABS(Q868-'계산 과정'!$C$88)&lt;='계산 과정'!$D$23/2,ABS(R868-'계산 과정'!$C$89)&lt;='계산 과정'!$D$24/2),1,0),"")</x:f>
        <x:v>0</x:v>
      </x:c>
      <x:c r="T868" s="4"/>
      <x:c r="U868" s="4"/>
      <x:c r="V868" s="4"/>
      <x:c r="W868" s="4"/>
      <x:c r="X868" s="4"/>
      <x:c r="Y868" s="4"/>
      <x:c r="Z868" s="4"/>
    </x:row>
    <x:row r="869" ht="23" customHeight="1">
      <x:c r="A869" s="17" t="n">
        <x:f>ROW()-6</x:f>
        <x:v>863</x:v>
      </x:c>
      <x:c r="B869" s="4" t="n">
        <x:f>IF('계산 과정'!$L$5,'계산 과정'!$L$11*SQRT((A869+0.5)/'계산 과정'!$L$30),"")</x:f>
        <x:v>97.39966291490694</x:v>
      </x:c>
      <x:c r="C869" s="4" t="n">
        <x:f>A869*PI()*(3-SQRT(5))</x:f>
        <x:v>2071.1682672558272</x:v>
      </x:c>
      <x:c r="D869" s="4" t="n">
        <x:f>IF('계산 과정'!$L$5,B869*COS(C869),"")</x:f>
        <x:v>-63.64246376522237</x:v>
      </x:c>
      <x:c r="E869" s="4" t="n">
        <x:f>IF('계산 과정'!$L$5,B869*SIN(C869),"")</x:f>
        <x:v>-73.73147999212993</x:v>
      </x:c>
      <x:c r="F869" s="4" t="n">
        <x:f>IF('계산 과정'!$L$7,'계산 과정'!$L$22+'계산 과정'!$C$49*D869+'계산 과정'!$D$49*E869,"")</x:f>
        <x:v>695.0020176998079</x:v>
      </x:c>
      <x:c r="G869" s="4" t="n">
        <x:f>IF('계산 과정'!$L$7,IF(ABS(F869)&gt;=1E-12*MAX(1,SQRT((D869-'계산 과정'!$C$33)^2+(E869-'계산 과정'!$D$33)^2+'계산 과정'!$E$33^2)),('계산 과정'!$L$23-'계산 과정'!$C$49*D869-'계산 과정'!$D$49*E869)/F869,""),"")</x:f>
        <x:v>0.5107869808423007</x:v>
      </x:c>
      <x:c r="H869" s="4" t="n">
        <x:f>IF(AND(ISNUMBER(G869),G869&gt;0),('계산 과정'!$D$56+'계산 과정'!$D$57*D869+'계산 과정'!$D$58*E869)/F869,"")</x:f>
        <x:v>-67.98846245250463</x:v>
      </x:c>
      <x:c r="I869" s="4" t="n">
        <x:f>IF(AND(ISNUMBER(G869),G869&gt;0),('계산 과정'!$E$56+'계산 과정'!$E$57*D869+'계산 과정'!$E$58*E869)/F869,"")</x:f>
        <x:v>-111.3925600503445</x:v>
      </x:c>
      <x:c r="J869" s="4" t="n">
        <x:f>IF('계산 과정'!$L$5,'계산 과정'!$D$6+'계산 과정'!$C$35*D869+'계산 과정'!$D$35*E869,"")</x:f>
        <x:v>695.0020176998079</x:v>
      </x:c>
      <x:c r="K869" s="4" t="n">
        <x:f>IF(AND('계산 과정'!$L$6,J869&gt;0),'계산 과정'!$D$10*('계산 과정'!$C$38*(D869-'계산 과정'!$C$32)+'계산 과정'!$D$38*(E869-'계산 과정'!$D$32)-'계산 과정'!$E$38*'계산 과정'!$E$32)/J869,"")</x:f>
        <x:v>-0.5180073329714631</x:v>
      </x:c>
      <x:c r="L869" s="4" t="n">
        <x:f>IF(AND('계산 과정'!$L$6,J869&gt;0),'계산 과정'!$D$10*('계산 과정'!$C$39*(D869-'계산 과정'!$C$32)+'계산 과정'!$D$39*(E869-'계산 과정'!$D$32)-'계산 과정'!$E$39*'계산 과정'!$E$32)/J869,"")</x:f>
        <x:v>-0.848705219431196</x:v>
      </x:c>
      <x:c r="M869" s="17" t="n">
        <x:f>IF('계산 과정'!$L$6,IF(J869&lt;=0,0,IF(AND(ABS(K869)&lt;='계산 과정'!$D$11/2,ABS(L869)&lt;='계산 과정'!$D$12/2),1,0)),"")</x:f>
        <x:v>1</x:v>
      </x:c>
      <x:c r="N869" s="17" t="n">
        <x:f>IF('계산 과정'!$C$78,IF(AND(ISNUMBER(H869),ISNUMBER(I869),ABS(H869-'계산 과정'!$C$88)&lt;='계산 과정'!$D$23/2,ABS(I869-'계산 과정'!$C$89)&lt;='계산 과정'!$D$24/2),1,0),"")</x:f>
        <x:v>1</x:v>
      </x:c>
      <x:c r="O869" s="4" t="n">
        <x:f>IF('계산 과정'!$L$7,'계산 과정'!$C$49*('계산 과정'!$C$32-D869)+'계산 과정'!$D$49*('계산 과정'!$D$32-E869)+'계산 과정'!$E$49*'계산 과정'!$E$32,"")</x:f>
        <x:v>-45.002017699807766</x:v>
      </x:c>
      <x:c r="P869" s="4" t="n">
        <x:f>IF(AND('계산 과정'!$L$7,O869&lt;&gt;0),('계산 과정'!$L$23-'계산 과정'!$C$49*D869-'계산 과정'!$D$49*E869)/O869,"")</x:f>
        <x:v>-7.8884903487718185</x:v>
      </x:c>
      <x:c r="Q869" s="4" t="str">
        <x:f>IF(AND(ISNUMBER(P869),P869&gt;1E-9,P869&lt;1-1E-9),'계산 과정'!$C$47*(D869-'계산 과정'!$C$50+P869*('계산 과정'!$C$32-D869))+'계산 과정'!$D$47*(E869-'계산 과정'!$D$50+P869*('계산 과정'!$D$32-E869))+'계산 과정'!$E$47*(0-'계산 과정'!$E$50+P869*('계산 과정'!$E$32-0)),"")</x:f>
      </x:c>
      <x:c r="R869" s="4" t="str">
        <x:f>IF(AND(ISNUMBER(P869),P869&gt;1E-9,P869&lt;1-1E-9),'계산 과정'!$C$48*(D869-'계산 과정'!$C$50+P869*('계산 과정'!$C$32-D869))+'계산 과정'!$D$48*(E869-'계산 과정'!$D$50+P869*('계산 과정'!$D$32-E869))+'계산 과정'!$E$48*(0-'계산 과정'!$E$50+P869*('계산 과정'!$E$32-0)),"")</x:f>
      </x:c>
      <x:c r="S869" s="17" t="n">
        <x:f>IF('계산 과정'!$C$78,IF(AND(ISNUMBER(Q869),ISNUMBER(R869),ABS(Q869-'계산 과정'!$C$88)&lt;='계산 과정'!$D$23/2,ABS(R869-'계산 과정'!$C$89)&lt;='계산 과정'!$D$24/2),1,0),"")</x:f>
        <x:v>0</x:v>
      </x:c>
      <x:c r="T869" s="4"/>
      <x:c r="U869" s="4"/>
      <x:c r="V869" s="4"/>
      <x:c r="W869" s="4"/>
      <x:c r="X869" s="4"/>
      <x:c r="Y869" s="4"/>
      <x:c r="Z869" s="4"/>
    </x:row>
    <x:row r="870" ht="23" customHeight="1">
      <x:c r="A870" s="17" t="n">
        <x:f>ROW()-6</x:f>
        <x:v>864</x:v>
      </x:c>
      <x:c r="B870" s="4" t="n">
        <x:f>IF('계산 과정'!$L$5,'계산 과정'!$L$11*SQRT((A870+0.5)/'계산 과정'!$L$30),"")</x:f>
        <x:v>97.45604477949276</x:v>
      </x:c>
      <x:c r="C870" s="4" t="n">
        <x:f>A870*PI()*(3-SQRT(5))</x:f>
        <x:v>2073.568230485556</x:v>
      </x:c>
      <x:c r="D870" s="4" t="n">
        <x:f>IF('계산 과정'!$L$5,B870*COS(C870),"")</x:f>
        <x:v>96.7888670989683</x:v>
      </x:c>
      <x:c r="E870" s="4" t="n">
        <x:f>IF('계산 과정'!$L$5,B870*SIN(C870),"")</x:f>
        <x:v>11.384018172892736</x:v>
      </x:c>
      <x:c r="F870" s="4" t="n">
        <x:f>IF('계산 과정'!$L$7,'계산 과정'!$L$22+'계산 과정'!$C$49*D870+'계산 과정'!$D$49*E870,"")</x:f>
        <x:v>581.559935730956</x:v>
      </x:c>
      <x:c r="G870" s="4" t="n">
        <x:f>IF('계산 과정'!$L$7,IF(ABS(F870)&gt;=1E-12*MAX(1,SQRT((D870-'계산 과정'!$C$33)^2+(E870-'계산 과정'!$D$33)^2+'계산 과정'!$E$33^2)),('계산 과정'!$L$23-'계산 과정'!$C$49*D870-'계산 과정'!$D$49*E870)/F870,""),"")</x:f>
        <x:v>0.8054888851314475</x:v>
      </x:c>
      <x:c r="H870" s="4" t="n">
        <x:f>IF(AND(ISNUMBER(G870),G870&gt;0),('계산 과정'!$D$56+'계산 과정'!$D$57*D870+'계산 과정'!$D$58*E870)/F870,"")</x:f>
        <x:v>123.56777533544077</x:v>
      </x:c>
      <x:c r="I870" s="4" t="n">
        <x:f>IF(AND(ISNUMBER(G870),G870&gt;0),('계산 과정'!$E$56+'계산 과정'!$E$57*D870+'계산 과정'!$E$58*E870)/F870,"")</x:f>
        <x:v>20.553718279292244</x:v>
      </x:c>
      <x:c r="J870" s="4" t="n">
        <x:f>IF('계산 과정'!$L$5,'계산 과정'!$D$6+'계산 과정'!$C$35*D870+'계산 과정'!$D$35*E870,"")</x:f>
        <x:v>581.559935730956</x:v>
      </x:c>
      <x:c r="K870" s="4" t="n">
        <x:f>IF(AND('계산 과정'!$L$6,J870&gt;0),'계산 과정'!$D$10*('계산 과정'!$C$38*(D870-'계산 과정'!$C$32)+'계산 과정'!$D$38*(E870-'계산 과정'!$D$32)-'계산 과정'!$E$38*'계산 과정'!$E$32)/J870,"")</x:f>
        <x:v>0.9414687644605019</x:v>
      </x:c>
      <x:c r="L870" s="4" t="n">
        <x:f>IF(AND('계산 과정'!$L$6,J870&gt;0),'계산 과정'!$D$10*('계산 과정'!$C$39*(D870-'계산 과정'!$C$32)+'계산 과정'!$D$39*(E870-'계산 과정'!$D$32)-'계산 과정'!$E$39*'계산 과정'!$E$32)/J870,"")</x:f>
        <x:v>0.1565997583184171</x:v>
      </x:c>
      <x:c r="M870" s="17" t="n">
        <x:f>IF('계산 과정'!$L$6,IF(J870&lt;=0,0,IF(AND(ABS(K870)&lt;='계산 과정'!$D$11/2,ABS(L870)&lt;='계산 과정'!$D$12/2),1,0)),"")</x:f>
        <x:v>1</x:v>
      </x:c>
      <x:c r="N870" s="17" t="n">
        <x:f>IF('계산 과정'!$C$78,IF(AND(ISNUMBER(H870),ISNUMBER(I870),ABS(H870-'계산 과정'!$C$88)&lt;='계산 과정'!$D$23/2,ABS(I870-'계산 과정'!$C$89)&lt;='계산 과정'!$D$24/2),1,0),"")</x:f>
        <x:v>1</x:v>
      </x:c>
      <x:c r="O870" s="4" t="n">
        <x:f>IF('계산 과정'!$L$7,'계산 과정'!$C$49*('계산 과정'!$C$32-D870)+'계산 과정'!$D$49*('계산 과정'!$D$32-E870)+'계산 과정'!$E$49*'계산 과정'!$E$32,"")</x:f>
        <x:v>68.44006426904411</x:v>
      </x:c>
      <x:c r="P870" s="4" t="n">
        <x:f>IF(AND('계산 과정'!$L$7,O870&lt;&gt;0),('계산 과정'!$L$23-'계산 과정'!$C$49*D870-'계산 과정'!$D$49*E870)/O870,"")</x:f>
        <x:v>6.844529871093685</x:v>
      </x:c>
      <x:c r="Q870" s="4" t="str">
        <x:f>IF(AND(ISNUMBER(P870),P870&gt;1E-9,P870&lt;1-1E-9),'계산 과정'!$C$47*(D870-'계산 과정'!$C$50+P870*('계산 과정'!$C$32-D870))+'계산 과정'!$D$47*(E870-'계산 과정'!$D$50+P870*('계산 과정'!$D$32-E870))+'계산 과정'!$E$47*(0-'계산 과정'!$E$50+P870*('계산 과정'!$E$32-0)),"")</x:f>
      </x:c>
      <x:c r="R870" s="4" t="str">
        <x:f>IF(AND(ISNUMBER(P870),P870&gt;1E-9,P870&lt;1-1E-9),'계산 과정'!$C$48*(D870-'계산 과정'!$C$50+P870*('계산 과정'!$C$32-D870))+'계산 과정'!$D$48*(E870-'계산 과정'!$D$50+P870*('계산 과정'!$D$32-E870))+'계산 과정'!$E$48*(0-'계산 과정'!$E$50+P870*('계산 과정'!$E$32-0)),"")</x:f>
      </x:c>
      <x:c r="S870" s="17" t="n">
        <x:f>IF('계산 과정'!$C$78,IF(AND(ISNUMBER(Q870),ISNUMBER(R870),ABS(Q870-'계산 과정'!$C$88)&lt;='계산 과정'!$D$23/2,ABS(R870-'계산 과정'!$C$89)&lt;='계산 과정'!$D$24/2),1,0),"")</x:f>
        <x:v>0</x:v>
      </x:c>
      <x:c r="T870" s="4"/>
      <x:c r="U870" s="4"/>
      <x:c r="V870" s="4"/>
      <x:c r="W870" s="4"/>
      <x:c r="X870" s="4"/>
      <x:c r="Y870" s="4"/>
      <x:c r="Z870" s="4"/>
    </x:row>
    <x:row r="871" ht="23" customHeight="1">
      <x:c r="A871" s="17" t="n">
        <x:f>ROW()-6</x:f>
        <x:v>865</x:v>
      </x:c>
      <x:c r="B871" s="4" t="n">
        <x:f>IF('계산 과정'!$L$5,'계산 과정'!$L$11*SQRT((A871+0.5)/'계산 과정'!$L$30),"")</x:f>
        <x:v>97.51239404397525</x:v>
      </x:c>
      <x:c r="C871" s="4" t="n">
        <x:f>A871*PI()*(3-SQRT(5))</x:f>
        <x:v>2075.968193715285</x:v>
      </x:c>
      <x:c r="D871" s="4" t="n">
        <x:f>IF('계산 과정'!$L$5,B871*COS(C871),"")</x:f>
        <x:v>-79.10460412570522</x:v>
      </x:c>
      <x:c r="E871" s="4" t="n">
        <x:f>IF('계산 과정'!$L$5,B871*SIN(C871),"")</x:f>
        <x:v>57.01866885769044</x:v>
      </x:c>
      <x:c r="F871" s="4" t="n">
        <x:f>IF('계산 과정'!$L$7,'계산 과정'!$L$22+'계산 과정'!$C$49*D871+'계산 과정'!$D$49*E871,"")</x:f>
        <x:v>705.9354020003635</x:v>
      </x:c>
      <x:c r="G871" s="4" t="n">
        <x:f>IF('계산 과정'!$L$7,IF(ABS(F871)&gt;=1E-12*MAX(1,SQRT((D871-'계산 과정'!$C$33)^2+(E871-'계산 과정'!$D$33)^2+'계산 과정'!$E$33^2)),('계산 과정'!$L$23-'계산 과정'!$C$49*D871-'계산 과정'!$D$49*E871)/F871,""),"")</x:f>
        <x:v>0.4873882185603426</x:v>
      </x:c>
      <x:c r="H871" s="4" t="n">
        <x:f>IF(AND(ISNUMBER(G871),G871&gt;0),('계산 과정'!$D$56+'계산 과정'!$D$57*D871+'계산 과정'!$D$58*E871)/F871,"")</x:f>
        <x:v>-83.19765793577743</x:v>
      </x:c>
      <x:c r="I871" s="4" t="n">
        <x:f>IF(AND(ISNUMBER(G871),G871&gt;0),('계산 과정'!$E$56+'계산 과정'!$E$57*D871+'계산 과정'!$E$58*E871)/F871,"")</x:f>
        <x:v>84.80889629692227</x:v>
      </x:c>
      <x:c r="J871" s="4" t="n">
        <x:f>IF('계산 과정'!$L$5,'계산 과정'!$D$6+'계산 과정'!$C$35*D871+'계산 과정'!$D$35*E871,"")</x:f>
        <x:v>705.9354020003635</x:v>
      </x:c>
      <x:c r="K871" s="4" t="n">
        <x:f>IF(AND('계산 과정'!$L$6,J871&gt;0),'계산 과정'!$D$10*('계산 과정'!$C$38*(D871-'계산 과정'!$C$32)+'계산 과정'!$D$38*(E871-'계산 과정'!$D$32)-'계산 과정'!$E$38*'계산 과정'!$E$32)/J871,"")</x:f>
        <x:v>-0.6338869176059225</x:v>
      </x:c>
      <x:c r="L871" s="4" t="n">
        <x:f>IF(AND('계산 과정'!$L$6,J871&gt;0),'계산 과정'!$D$10*('계산 과정'!$C$39*(D871-'계산 과정'!$C$32)+'계산 과정'!$D$39*(E871-'계산 과정'!$D$32)-'계산 과정'!$E$39*'계산 과정'!$E$32)/J871,"")</x:f>
        <x:v>0.6461630194051221</x:v>
      </x:c>
      <x:c r="M871" s="17" t="n">
        <x:f>IF('계산 과정'!$L$6,IF(J871&lt;=0,0,IF(AND(ABS(K871)&lt;='계산 과정'!$D$11/2,ABS(L871)&lt;='계산 과정'!$D$12/2),1,0)),"")</x:f>
        <x:v>1</x:v>
      </x:c>
      <x:c r="N871" s="17" t="n">
        <x:f>IF('계산 과정'!$C$78,IF(AND(ISNUMBER(H871),ISNUMBER(I871),ABS(H871-'계산 과정'!$C$88)&lt;='계산 과정'!$D$23/2,ABS(I871-'계산 과정'!$C$89)&lt;='계산 과정'!$D$24/2),1,0),"")</x:f>
        <x:v>1</x:v>
      </x:c>
      <x:c r="O871" s="4" t="n">
        <x:f>IF('계산 과정'!$L$7,'계산 과정'!$C$49*('계산 과정'!$C$32-D871)+'계산 과정'!$D$49*('계산 과정'!$D$32-E871)+'계산 과정'!$E$49*'계산 과정'!$E$32,"")</x:f>
        <x:v>-55.93540200036341</x:v>
      </x:c>
      <x:c r="P871" s="4" t="n">
        <x:f>IF(AND('계산 과정'!$L$7,O871&lt;&gt;0),('계산 과정'!$L$23-'계산 과정'!$C$49*D871-'계산 과정'!$D$49*E871)/O871,"")</x:f>
        <x:v>-6.15110619920817</x:v>
      </x:c>
      <x:c r="Q871" s="4" t="str">
        <x:f>IF(AND(ISNUMBER(P871),P871&gt;1E-9,P871&lt;1-1E-9),'계산 과정'!$C$47*(D871-'계산 과정'!$C$50+P871*('계산 과정'!$C$32-D871))+'계산 과정'!$D$47*(E871-'계산 과정'!$D$50+P871*('계산 과정'!$D$32-E871))+'계산 과정'!$E$47*(0-'계산 과정'!$E$50+P871*('계산 과정'!$E$32-0)),"")</x:f>
      </x:c>
      <x:c r="R871" s="4" t="str">
        <x:f>IF(AND(ISNUMBER(P871),P871&gt;1E-9,P871&lt;1-1E-9),'계산 과정'!$C$48*(D871-'계산 과정'!$C$50+P871*('계산 과정'!$C$32-D871))+'계산 과정'!$D$48*(E871-'계산 과정'!$D$50+P871*('계산 과정'!$D$32-E871))+'계산 과정'!$E$48*(0-'계산 과정'!$E$50+P871*('계산 과정'!$E$32-0)),"")</x:f>
      </x:c>
      <x:c r="S871" s="17" t="n">
        <x:f>IF('계산 과정'!$C$78,IF(AND(ISNUMBER(Q871),ISNUMBER(R871),ABS(Q871-'계산 과정'!$C$88)&lt;='계산 과정'!$D$23/2,ABS(R871-'계산 과정'!$C$89)&lt;='계산 과정'!$D$24/2),1,0),"")</x:f>
        <x:v>0</x:v>
      </x:c>
      <x:c r="T871" s="4"/>
      <x:c r="U871" s="4"/>
      <x:c r="V871" s="4"/>
      <x:c r="W871" s="4"/>
      <x:c r="X871" s="4"/>
      <x:c r="Y871" s="4"/>
      <x:c r="Z871" s="4"/>
    </x:row>
    <x:row r="872" ht="23" customHeight="1">
      <x:c r="A872" s="17" t="n">
        <x:f>ROW()-6</x:f>
        <x:v>866</x:v>
      </x:c>
      <x:c r="B872" s="4" t="n">
        <x:f>IF('계산 과정'!$L$5,'계산 과정'!$L$11*SQRT((A872+0.5)/'계산 과정'!$L$30),"")</x:f>
        <x:v>97.56871076483742</x:v>
      </x:c>
      <x:c r="C872" s="4" t="n">
        <x:f>A872*PI()*(3-SQRT(5))</x:f>
        <x:v>2078.3681569450137</x:v>
      </x:c>
      <x:c r="D872" s="4" t="n">
        <x:f>IF('계산 과정'!$L$5,B872*COS(C872),"")</x:f>
        <x:v>19.82515888402372</x:v>
      </x:c>
      <x:c r="E872" s="4" t="n">
        <x:f>IF('계산 과정'!$L$5,B872*SIN(C872),"")</x:f>
        <x:v>-95.53332609898871</x:v>
      </x:c>
      <x:c r="F872" s="4" t="n">
        <x:f>IF('계산 과정'!$L$7,'계산 과정'!$L$22+'계산 과정'!$C$49*D872+'계산 과정'!$D$49*E872,"")</x:f>
        <x:v>635.9814957150061</x:v>
      </x:c>
      <x:c r="G872" s="4" t="n">
        <x:f>IF('계산 과정'!$L$7,IF(ABS(F872)&gt;=1E-12*MAX(1,SQRT((D872-'계산 과정'!$C$33)^2+(E872-'계산 과정'!$D$33)^2+'계산 과정'!$E$33^2)),('계산 과정'!$L$23-'계산 과정'!$C$49*D872-'계산 과정'!$D$49*E872)/F872,""),"")</x:f>
        <x:v>0.6509914314716517</x:v>
      </x:c>
      <x:c r="H872" s="4" t="n">
        <x:f>IF(AND(ISNUMBER(G872),G872&gt;0),('계산 과정'!$D$56+'계산 과정'!$D$57*D872+'계산 과정'!$D$58*E872)/F872,"")</x:f>
        <x:v>23.14443045657345</x:v>
      </x:c>
      <x:c r="I872" s="4" t="n">
        <x:f>IF(AND(ISNUMBER(G872),G872&gt;0),('계산 과정'!$E$56+'계산 과정'!$E$57*D872+'계산 과정'!$E$58*E872)/F872,"")</x:f>
        <x:v>-157.72470280941747</x:v>
      </x:c>
      <x:c r="J872" s="4" t="n">
        <x:f>IF('계산 과정'!$L$5,'계산 과정'!$D$6+'계산 과정'!$C$35*D872+'계산 과정'!$D$35*E872,"")</x:f>
        <x:v>635.9814957150061</x:v>
      </x:c>
      <x:c r="K872" s="4" t="n">
        <x:f>IF(AND('계산 과정'!$L$6,J872&gt;0),'계산 과정'!$D$10*('계산 과정'!$C$38*(D872-'계산 과정'!$C$32)+'계산 과정'!$D$38*(E872-'계산 과정'!$D$32)-'계산 과정'!$E$38*'계산 과정'!$E$32)/J872,"")</x:f>
        <x:v>0.1763385177643703</x:v>
      </x:c>
      <x:c r="L872" s="4" t="n">
        <x:f>IF(AND('계산 과정'!$L$6,J872&gt;0),'계산 과정'!$D$10*('계산 과정'!$C$39*(D872-'계산 과정'!$C$32)+'계산 과정'!$D$39*(E872-'계산 과정'!$D$32)-'계산 과정'!$E$39*'계산 과정'!$E$32)/J872,"")</x:f>
        <x:v>-1.2017120214050856</x:v>
      </x:c>
      <x:c r="M872" s="17" t="n">
        <x:f>IF('계산 과정'!$L$6,IF(J872&lt;=0,0,IF(AND(ABS(K872)&lt;='계산 과정'!$D$11/2,ABS(L872)&lt;='계산 과정'!$D$12/2),1,0)),"")</x:f>
        <x:v>1</x:v>
      </x:c>
      <x:c r="N872" s="17" t="n">
        <x:f>IF('계산 과정'!$C$78,IF(AND(ISNUMBER(H872),ISNUMBER(I872),ABS(H872-'계산 과정'!$C$88)&lt;='계산 과정'!$D$23/2,ABS(I872-'계산 과정'!$C$89)&lt;='계산 과정'!$D$24/2),1,0),"")</x:f>
        <x:v>1</x:v>
      </x:c>
      <x:c r="O872" s="4" t="n">
        <x:f>IF('계산 과정'!$L$7,'계산 과정'!$C$49*('계산 과정'!$C$32-D872)+'계산 과정'!$D$49*('계산 과정'!$D$32-E872)+'계산 과정'!$E$49*'계산 과정'!$E$32,"")</x:f>
        <x:v>14.018504284994037</x:v>
      </x:c>
      <x:c r="P872" s="4" t="n">
        <x:f>IF(AND('계산 과정'!$L$7,O872&lt;&gt;0),('계산 과정'!$L$23-'계산 과정'!$C$49*D872-'계산 과정'!$D$49*E872)/O872,"")</x:f>
        <x:v>29.533714572400974</x:v>
      </x:c>
      <x:c r="Q872" s="4" t="str">
        <x:f>IF(AND(ISNUMBER(P872),P872&gt;1E-9,P872&lt;1-1E-9),'계산 과정'!$C$47*(D872-'계산 과정'!$C$50+P872*('계산 과정'!$C$32-D872))+'계산 과정'!$D$47*(E872-'계산 과정'!$D$50+P872*('계산 과정'!$D$32-E872))+'계산 과정'!$E$47*(0-'계산 과정'!$E$50+P872*('계산 과정'!$E$32-0)),"")</x:f>
      </x:c>
      <x:c r="R872" s="4" t="str">
        <x:f>IF(AND(ISNUMBER(P872),P872&gt;1E-9,P872&lt;1-1E-9),'계산 과정'!$C$48*(D872-'계산 과정'!$C$50+P872*('계산 과정'!$C$32-D872))+'계산 과정'!$D$48*(E872-'계산 과정'!$D$50+P872*('계산 과정'!$D$32-E872))+'계산 과정'!$E$48*(0-'계산 과정'!$E$50+P872*('계산 과정'!$E$32-0)),"")</x:f>
      </x:c>
      <x:c r="S872" s="17" t="n">
        <x:f>IF('계산 과정'!$C$78,IF(AND(ISNUMBER(Q872),ISNUMBER(R872),ABS(Q872-'계산 과정'!$C$88)&lt;='계산 과정'!$D$23/2,ABS(R872-'계산 과정'!$C$89)&lt;='계산 과정'!$D$24/2),1,0),"")</x:f>
        <x:v>0</x:v>
      </x:c>
      <x:c r="T872" s="4"/>
      <x:c r="U872" s="4"/>
      <x:c r="V872" s="4"/>
      <x:c r="W872" s="4"/>
      <x:c r="X872" s="4"/>
      <x:c r="Y872" s="4"/>
      <x:c r="Z872" s="4"/>
    </x:row>
    <x:row r="873" ht="23" customHeight="1">
      <x:c r="A873" s="17" t="n">
        <x:f>ROW()-6</x:f>
        <x:v>867</x:v>
      </x:c>
      <x:c r="B873" s="4" t="n">
        <x:f>IF('계산 과정'!$L$5,'계산 과정'!$L$11*SQRT((A873+0.5)/'계산 과정'!$L$30),"")</x:f>
        <x:v>97.62499499839936</x:v>
      </x:c>
      <x:c r="C873" s="4" t="n">
        <x:f>A873*PI()*(3-SQRT(5))</x:f>
        <x:v>2080.768120174742</x:v>
      </x:c>
      <x:c r="D873" s="4" t="n">
        <x:f>IF('계산 과정'!$L$5,B873*COS(C873),"")</x:f>
        <x:v>49.94217280860622</x:v>
      </x:c>
      <x:c r="E873" s="4" t="n">
        <x:f>IF('계산 과정'!$L$5,B873*SIN(C873),"")</x:f>
        <x:v>83.8833655952884</x:v>
      </x:c>
      <x:c r="F873" s="4" t="n">
        <x:f>IF('계산 과정'!$L$7,'계산 과정'!$L$22+'계산 과정'!$C$49*D873+'계산 과정'!$D$49*E873,"")</x:f>
        <x:v>614.6855509398441</x:v>
      </x:c>
      <x:c r="G873" s="4" t="n">
        <x:f>IF('계산 과정'!$L$7,IF(ABS(F873)&gt;=1E-12*MAX(1,SQRT((D873-'계산 과정'!$C$33)^2+(E873-'계산 과정'!$D$33)^2+'계산 과정'!$E$33^2)),('계산 과정'!$L$23-'계산 과정'!$C$49*D873-'계산 과정'!$D$49*E873)/F873,""),"")</x:f>
        <x:v>0.7081904697362208</x:v>
      </x:c>
      <x:c r="H873" s="4" t="n">
        <x:f>IF(AND(ISNUMBER(G873),G873&gt;0),('계산 과정'!$D$56+'계산 과정'!$D$57*D873+'계산 과정'!$D$58*E873)/F873,"")</x:f>
        <x:v>60.323805328543386</x:v>
      </x:c>
      <x:c r="I873" s="4" t="n">
        <x:f>IF(AND(ISNUMBER(G873),G873&gt;0),('계산 과정'!$E$56+'계산 과정'!$E$57*D873+'계산 과정'!$E$58*E873)/F873,"")</x:f>
        <x:v>143.28876567927082</x:v>
      </x:c>
      <x:c r="J873" s="4" t="n">
        <x:f>IF('계산 과정'!$L$5,'계산 과정'!$D$6+'계산 과정'!$C$35*D873+'계산 과정'!$D$35*E873,"")</x:f>
        <x:v>614.6855509398441</x:v>
      </x:c>
      <x:c r="K873" s="4" t="n">
        <x:f>IF(AND('계산 과정'!$L$6,J873&gt;0),'계산 과정'!$D$10*('계산 과정'!$C$38*(D873-'계산 과정'!$C$32)+'계산 과정'!$D$38*(E873-'계산 과정'!$D$32)-'계산 과정'!$E$38*'계산 과정'!$E$32)/J873,"")</x:f>
        <x:v>0.4596099453603315</x:v>
      </x:c>
      <x:c r="L873" s="4" t="n">
        <x:f>IF(AND('계산 과정'!$L$6,J873&gt;0),'계산 과정'!$D$10*('계산 과정'!$C$39*(D873-'계산 과정'!$C$32)+'계산 과정'!$D$39*(E873-'계산 과정'!$D$32)-'계산 과정'!$E$39*'계산 과정'!$E$32)/J873,"")</x:f>
        <x:v>1.0917239289849205</x:v>
      </x:c>
      <x:c r="M873" s="17" t="n">
        <x:f>IF('계산 과정'!$L$6,IF(J873&lt;=0,0,IF(AND(ABS(K873)&lt;='계산 과정'!$D$11/2,ABS(L873)&lt;='계산 과정'!$D$12/2),1,0)),"")</x:f>
        <x:v>1</x:v>
      </x:c>
      <x:c r="N873" s="17" t="n">
        <x:f>IF('계산 과정'!$C$78,IF(AND(ISNUMBER(H873),ISNUMBER(I873),ABS(H873-'계산 과정'!$C$88)&lt;='계산 과정'!$D$23/2,ABS(I873-'계산 과정'!$C$89)&lt;='계산 과정'!$D$24/2),1,0),"")</x:f>
        <x:v>1</x:v>
      </x:c>
      <x:c r="O873" s="4" t="n">
        <x:f>IF('계산 과정'!$L$7,'계산 과정'!$C$49*('계산 과정'!$C$32-D873)+'계산 과정'!$D$49*('계산 과정'!$D$32-E873)+'계산 과정'!$E$49*'계산 과정'!$E$32,"")</x:f>
        <x:v>35.314449060155994</x:v>
      </x:c>
      <x:c r="P873" s="4" t="n">
        <x:f>IF(AND('계산 과정'!$L$7,O873&lt;&gt;0),('계산 과정'!$L$23-'계산 과정'!$C$49*D873-'계산 과정'!$D$49*E873)/O873,"")</x:f>
        <x:v>12.326808449386382</x:v>
      </x:c>
      <x:c r="Q873" s="4" t="str">
        <x:f>IF(AND(ISNUMBER(P873),P873&gt;1E-9,P873&lt;1-1E-9),'계산 과정'!$C$47*(D873-'계산 과정'!$C$50+P873*('계산 과정'!$C$32-D873))+'계산 과정'!$D$47*(E873-'계산 과정'!$D$50+P873*('계산 과정'!$D$32-E873))+'계산 과정'!$E$47*(0-'계산 과정'!$E$50+P873*('계산 과정'!$E$32-0)),"")</x:f>
      </x:c>
      <x:c r="R873" s="4" t="str">
        <x:f>IF(AND(ISNUMBER(P873),P873&gt;1E-9,P873&lt;1-1E-9),'계산 과정'!$C$48*(D873-'계산 과정'!$C$50+P873*('계산 과정'!$C$32-D873))+'계산 과정'!$D$48*(E873-'계산 과정'!$D$50+P873*('계산 과정'!$D$32-E873))+'계산 과정'!$E$48*(0-'계산 과정'!$E$50+P873*('계산 과정'!$E$32-0)),"")</x:f>
      </x:c>
      <x:c r="S873" s="17" t="n">
        <x:f>IF('계산 과정'!$C$78,IF(AND(ISNUMBER(Q873),ISNUMBER(R873),ABS(Q873-'계산 과정'!$C$88)&lt;='계산 과정'!$D$23/2,ABS(R873-'계산 과정'!$C$89)&lt;='계산 과정'!$D$24/2),1,0),"")</x:f>
        <x:v>0</x:v>
      </x:c>
      <x:c r="T873" s="4"/>
      <x:c r="U873" s="4"/>
      <x:c r="V873" s="4"/>
      <x:c r="W873" s="4"/>
      <x:c r="X873" s="4"/>
      <x:c r="Y873" s="4"/>
      <x:c r="Z873" s="4"/>
    </x:row>
    <x:row r="874" ht="23" customHeight="1">
      <x:c r="A874" s="17" t="n">
        <x:f>ROW()-6</x:f>
        <x:v>868</x:v>
      </x:c>
      <x:c r="B874" s="4" t="n">
        <x:f>IF('계산 과정'!$L$5,'계산 과정'!$L$11*SQRT((A874+0.5)/'계산 과정'!$L$30),"")</x:f>
        <x:v>97.68124680081894</x:v>
      </x:c>
      <x:c r="C874" s="4" t="n">
        <x:f>A874*PI()*(3-SQRT(5))</x:f>
        <x:v>2083.1680834044705</x:v>
      </x:c>
      <x:c r="D874" s="4" t="n">
        <x:f>IF('계산 과정'!$L$5,B874*COS(C874),"")</x:f>
        <x:v>-93.54207141341594</x:v>
      </x:c>
      <x:c r="E874" s="4" t="n">
        <x:f>IF('계산 과정'!$L$5,B874*SIN(C874),"")</x:f>
        <x:v>-28.133731573502512</x:v>
      </x:c>
      <x:c r="F874" s="4" t="n">
        <x:f>IF('계산 과정'!$L$7,'계산 과정'!$L$22+'계산 과정'!$C$49*D874+'계산 과정'!$D$49*E874,"")</x:f>
        <x:v>716.1442330226627</x:v>
      </x:c>
      <x:c r="G874" s="4" t="n">
        <x:f>IF('계산 과정'!$L$7,IF(ABS(F874)&gt;=1E-12*MAX(1,SQRT((D874-'계산 과정'!$C$33)^2+(E874-'계산 과정'!$D$33)^2+'계산 과정'!$E$33^2)),('계산 과정'!$L$23-'계산 과정'!$C$49*D874-'계산 과정'!$D$49*E874)/F874,""),"")</x:f>
        <x:v>0.46618509454194307</x:v>
      </x:c>
      <x:c r="H874" s="4" t="n">
        <x:f>IF(AND(ISNUMBER(G874),G874&gt;0),('계산 과정'!$D$56+'계산 과정'!$D$57*D874+'계산 과정'!$D$58*E874)/F874,"")</x:f>
        <x:v>-96.97968854773717</x:v>
      </x:c>
      <x:c r="I874" s="4" t="n">
        <x:f>IF(AND(ISNUMBER(G874),G874&gt;0),('계산 과정'!$E$56+'계산 과정'!$E$57*D874+'계산 과정'!$E$58*E874)/F874,"")</x:f>
        <x:v>-41.24925788691343</x:v>
      </x:c>
      <x:c r="J874" s="4" t="n">
        <x:f>IF('계산 과정'!$L$5,'계산 과정'!$D$6+'계산 과정'!$C$35*D874+'계산 과정'!$D$35*E874,"")</x:f>
        <x:v>716.1442330226627</x:v>
      </x:c>
      <x:c r="K874" s="4" t="n">
        <x:f>IF(AND('계산 과정'!$L$6,J874&gt;0),'계산 과정'!$D$10*('계산 과정'!$C$38*(D874-'계산 과정'!$C$32)+'계산 과정'!$D$38*(E874-'계산 과정'!$D$32)-'계산 과정'!$E$38*'계산 과정'!$E$32)/J874,"")</x:f>
        <x:v>-0.738892865125615</x:v>
      </x:c>
      <x:c r="L874" s="4" t="n">
        <x:f>IF(AND('계산 과정'!$L$6,J874&gt;0),'계산 과정'!$D$10*('계산 과정'!$C$39*(D874-'계산 과정'!$C$32)+'계산 과정'!$D$39*(E874-'계산 과정'!$D$32)-'계산 과정'!$E$39*'계산 과정'!$E$32)/J874,"")</x:f>
        <x:v>-0.314280060090769</x:v>
      </x:c>
      <x:c r="M874" s="17" t="n">
        <x:f>IF('계산 과정'!$L$6,IF(J874&lt;=0,0,IF(AND(ABS(K874)&lt;='계산 과정'!$D$11/2,ABS(L874)&lt;='계산 과정'!$D$12/2),1,0)),"")</x:f>
        <x:v>1</x:v>
      </x:c>
      <x:c r="N874" s="17" t="n">
        <x:f>IF('계산 과정'!$C$78,IF(AND(ISNUMBER(H874),ISNUMBER(I874),ABS(H874-'계산 과정'!$C$88)&lt;='계산 과정'!$D$23/2,ABS(I874-'계산 과정'!$C$89)&lt;='계산 과정'!$D$24/2),1,0),"")</x:f>
        <x:v>1</x:v>
      </x:c>
      <x:c r="O874" s="4" t="n">
        <x:f>IF('계산 과정'!$L$7,'계산 과정'!$C$49*('계산 과정'!$C$32-D874)+'계산 과정'!$D$49*('계산 과정'!$D$32-E874)+'계산 과정'!$E$49*'계산 과정'!$E$32,"")</x:f>
        <x:v>-66.14423302266255</x:v>
      </x:c>
      <x:c r="P874" s="4" t="n">
        <x:f>IF(AND('계산 과정'!$L$7,O874&lt;&gt;0),('계산 과정'!$L$23-'계산 과정'!$C$49*D874-'계산 과정'!$D$49*E874)/O874,"")</x:f>
        <x:v>-5.047390403074907</x:v>
      </x:c>
      <x:c r="Q874" s="4" t="str">
        <x:f>IF(AND(ISNUMBER(P874),P874&gt;1E-9,P874&lt;1-1E-9),'계산 과정'!$C$47*(D874-'계산 과정'!$C$50+P874*('계산 과정'!$C$32-D874))+'계산 과정'!$D$47*(E874-'계산 과정'!$D$50+P874*('계산 과정'!$D$32-E874))+'계산 과정'!$E$47*(0-'계산 과정'!$E$50+P874*('계산 과정'!$E$32-0)),"")</x:f>
      </x:c>
      <x:c r="R874" s="4" t="str">
        <x:f>IF(AND(ISNUMBER(P874),P874&gt;1E-9,P874&lt;1-1E-9),'계산 과정'!$C$48*(D874-'계산 과정'!$C$50+P874*('계산 과정'!$C$32-D874))+'계산 과정'!$D$48*(E874-'계산 과정'!$D$50+P874*('계산 과정'!$D$32-E874))+'계산 과정'!$E$48*(0-'계산 과정'!$E$50+P874*('계산 과정'!$E$32-0)),"")</x:f>
      </x:c>
      <x:c r="S874" s="17" t="n">
        <x:f>IF('계산 과정'!$C$78,IF(AND(ISNUMBER(Q874),ISNUMBER(R874),ABS(Q874-'계산 과정'!$C$88)&lt;='계산 과정'!$D$23/2,ABS(R874-'계산 과정'!$C$89)&lt;='계산 과정'!$D$24/2),1,0),"")</x:f>
        <x:v>0</x:v>
      </x:c>
      <x:c r="T874" s="4"/>
      <x:c r="U874" s="4"/>
      <x:c r="V874" s="4"/>
      <x:c r="W874" s="4"/>
      <x:c r="X874" s="4"/>
      <x:c r="Y874" s="4"/>
      <x:c r="Z874" s="4"/>
    </x:row>
    <x:row r="875" ht="23" customHeight="1">
      <x:c r="A875" s="17" t="n">
        <x:f>ROW()-6</x:f>
        <x:v>869</x:v>
      </x:c>
      <x:c r="B875" s="4" t="n">
        <x:f>IF('계산 과정'!$L$5,'계산 과정'!$L$11*SQRT((A875+0.5)/'계산 과정'!$L$30),"")</x:f>
        <x:v>97.73746622809239</x:v>
      </x:c>
      <x:c r="C875" s="4" t="n">
        <x:f>A875*PI()*(3-SQRT(5))</x:f>
        <x:v>2085.5680466341996</x:v>
      </x:c>
      <x:c r="D875" s="4" t="n">
        <x:f>IF('계산 과정'!$L$5,B875*COS(C875),"")</x:f>
        <x:v>88.02971031347829</x:v>
      </x:c>
      <x:c r="E875" s="4" t="n">
        <x:f>IF('계산 과정'!$L$5,B875*SIN(C875),"")</x:f>
        <x:v>-42.466250208990594</x:v>
      </x:c>
      <x:c r="F875" s="4" t="n">
        <x:f>IF('계산 과정'!$L$7,'계산 과정'!$L$22+'계산 과정'!$C$49*D875+'계산 과정'!$D$49*E875,"")</x:f>
        <x:v>587.7535948914522</x:v>
      </x:c>
      <x:c r="G875" s="4" t="n">
        <x:f>IF('계산 과정'!$L$7,IF(ABS(F875)&gt;=1E-12*MAX(1,SQRT((D875-'계산 과정'!$C$33)^2+(E875-'계산 과정'!$D$33)^2+'계산 과정'!$E$33^2)),('계산 과정'!$L$23-'계산 과정'!$C$49*D875-'계산 과정'!$D$49*E875)/F875,""),"")</x:f>
        <x:v>0.7864629142658272</x:v>
      </x:c>
      <x:c r="H875" s="4" t="n">
        <x:f>IF(AND(ISNUMBER(G875),G875&gt;0),('계산 과정'!$D$56+'계산 과정'!$D$57*D875+'계산 과정'!$D$58*E875)/F875,"")</x:f>
        <x:v>111.20089427278758</x:v>
      </x:c>
      <x:c r="I875" s="4" t="n">
        <x:f>IF(AND(ISNUMBER(G875),G875&gt;0),('계산 과정'!$E$56+'계산 과정'!$E$57*D875+'계산 과정'!$E$58*E875)/F875,"")</x:f>
        <x:v>-75.86438110629513</x:v>
      </x:c>
      <x:c r="J875" s="4" t="n">
        <x:f>IF('계산 과정'!$L$5,'계산 과정'!$D$6+'계산 과정'!$C$35*D875+'계산 과정'!$D$35*E875,"")</x:f>
        <x:v>587.7535948914522</x:v>
      </x:c>
      <x:c r="K875" s="4" t="n">
        <x:f>IF(AND('계산 과정'!$L$6,J875&gt;0),'계산 과정'!$D$10*('계산 과정'!$C$38*(D875-'계산 과정'!$C$32)+'계산 과정'!$D$38*(E875-'계산 과정'!$D$32)-'계산 과정'!$E$38*'계산 과정'!$E$32)/J875,"")</x:f>
        <x:v>0.8472449087450494</x:v>
      </x:c>
      <x:c r="L875" s="4" t="n">
        <x:f>IF(AND('계산 과정'!$L$6,J875&gt;0),'계산 과정'!$D$10*('계산 과정'!$C$39*(D875-'계산 과정'!$C$32)+'계산 과정'!$D$39*(E875-'계산 과정'!$D$32)-'계산 과정'!$E$39*'계산 과정'!$E$32)/J875,"")</x:f>
        <x:v>-0.578014332238439</x:v>
      </x:c>
      <x:c r="M875" s="17" t="n">
        <x:f>IF('계산 과정'!$L$6,IF(J875&lt;=0,0,IF(AND(ABS(K875)&lt;='계산 과정'!$D$11/2,ABS(L875)&lt;='계산 과정'!$D$12/2),1,0)),"")</x:f>
        <x:v>1</x:v>
      </x:c>
      <x:c r="N875" s="17" t="n">
        <x:f>IF('계산 과정'!$C$78,IF(AND(ISNUMBER(H875),ISNUMBER(I875),ABS(H875-'계산 과정'!$C$88)&lt;='계산 과정'!$D$23/2,ABS(I875-'계산 과정'!$C$89)&lt;='계산 과정'!$D$24/2),1,0),"")</x:f>
        <x:v>1</x:v>
      </x:c>
      <x:c r="O875" s="4" t="n">
        <x:f>IF('계산 과정'!$L$7,'계산 과정'!$C$49*('계산 과정'!$C$32-D875)+'계산 과정'!$D$49*('계산 과정'!$D$32-E875)+'계산 과정'!$E$49*'계산 과정'!$E$32,"")</x:f>
        <x:v>62.24640510854795</x:v>
      </x:c>
      <x:c r="P875" s="4" t="n">
        <x:f>IF(AND('계산 과정'!$L$7,O875&lt;&gt;0),('계산 과정'!$L$23-'계산 과정'!$C$49*D875-'계산 과정'!$D$49*E875)/O875,"")</x:f>
        <x:v>7.426073912259877</x:v>
      </x:c>
      <x:c r="Q875" s="4" t="str">
        <x:f>IF(AND(ISNUMBER(P875),P875&gt;1E-9,P875&lt;1-1E-9),'계산 과정'!$C$47*(D875-'계산 과정'!$C$50+P875*('계산 과정'!$C$32-D875))+'계산 과정'!$D$47*(E875-'계산 과정'!$D$50+P875*('계산 과정'!$D$32-E875))+'계산 과정'!$E$47*(0-'계산 과정'!$E$50+P875*('계산 과정'!$E$32-0)),"")</x:f>
      </x:c>
      <x:c r="R875" s="4" t="str">
        <x:f>IF(AND(ISNUMBER(P875),P875&gt;1E-9,P875&lt;1-1E-9),'계산 과정'!$C$48*(D875-'계산 과정'!$C$50+P875*('계산 과정'!$C$32-D875))+'계산 과정'!$D$48*(E875-'계산 과정'!$D$50+P875*('계산 과정'!$D$32-E875))+'계산 과정'!$E$48*(0-'계산 과정'!$E$50+P875*('계산 과정'!$E$32-0)),"")</x:f>
      </x:c>
      <x:c r="S875" s="17" t="n">
        <x:f>IF('계산 과정'!$C$78,IF(AND(ISNUMBER(Q875),ISNUMBER(R875),ABS(Q875-'계산 과정'!$C$88)&lt;='계산 과정'!$D$23/2,ABS(R875-'계산 과정'!$C$89)&lt;='계산 과정'!$D$24/2),1,0),"")</x:f>
        <x:v>0</x:v>
      </x:c>
      <x:c r="T875" s="4"/>
      <x:c r="U875" s="4"/>
      <x:c r="V875" s="4"/>
      <x:c r="W875" s="4"/>
      <x:c r="X875" s="4"/>
      <x:c r="Y875" s="4"/>
      <x:c r="Z875" s="4"/>
    </x:row>
    <x:row r="876" ht="23" customHeight="1">
      <x:c r="A876" s="17" t="n">
        <x:f>ROW()-6</x:f>
        <x:v>870</x:v>
      </x:c>
      <x:c r="B876" s="4" t="n">
        <x:f>IF('계산 과정'!$L$5,'계산 과정'!$L$11*SQRT((A876+0.5)/'계산 과정'!$L$30),"")</x:f>
        <x:v>97.793653336055</x:v>
      </x:c>
      <x:c r="C876" s="4" t="n">
        <x:f>A876*PI()*(3-SQRT(5))</x:f>
        <x:v>2087.9680098639283</x:v>
      </x:c>
      <x:c r="D876" s="4" t="n">
        <x:f>IF('계산 과정'!$L$5,B876*COS(C876),"")</x:f>
        <x:v>-36.24565373460069</x:v>
      </x:c>
      <x:c r="E876" s="4" t="n">
        <x:f>IF('계산 과정'!$L$5,B876*SIN(C876),"")</x:f>
        <x:v>90.82869160218003</x:v>
      </x:c>
      <x:c r="F876" s="4" t="n">
        <x:f>IF('계산 과정'!$L$7,'계산 과정'!$L$22+'계산 과정'!$C$49*D876+'계산 과정'!$D$49*E876,"")</x:f>
        <x:v>675.6295475442756</x:v>
      </x:c>
      <x:c r="G876" s="4" t="n">
        <x:f>IF('계산 과정'!$L$7,IF(ABS(F876)&gt;=1E-12*MAX(1,SQRT((D876-'계산 과정'!$C$33)^2+(E876-'계산 과정'!$D$33)^2+'계산 과정'!$E$33^2)),('계산 과정'!$L$23-'계산 과정'!$C$49*D876-'계산 과정'!$D$49*E876)/F876,""),"")</x:f>
        <x:v>0.5541060982552586</x:v>
      </x:c>
      <x:c r="H876" s="4" t="n">
        <x:f>IF(AND(ISNUMBER(G876),G876&gt;0),('계산 과정'!$D$56+'계산 과정'!$D$57*D876+'계산 과정'!$D$58*E876)/F876,"")</x:f>
        <x:v>-39.831036134082005</x:v>
      </x:c>
      <x:c r="I876" s="4" t="n">
        <x:f>IF(AND(ISNUMBER(G876),G876&gt;0),('계산 과정'!$E$56+'계산 과정'!$E$57*D876+'계산 과정'!$E$58*E876)/F876,"")</x:f>
        <x:v>141.1574235154942</x:v>
      </x:c>
      <x:c r="J876" s="4" t="n">
        <x:f>IF('계산 과정'!$L$5,'계산 과정'!$D$6+'계산 과정'!$C$35*D876+'계산 과정'!$D$35*E876,"")</x:f>
        <x:v>675.6295475442756</x:v>
      </x:c>
      <x:c r="K876" s="4" t="n">
        <x:f>IF(AND('계산 과정'!$L$6,J876&gt;0),'계산 과정'!$D$10*('계산 과정'!$C$38*(D876-'계산 과정'!$C$32)+'계산 과정'!$D$38*(E876-'계산 과정'!$D$32)-'계산 과정'!$E$38*'계산 과정'!$E$32)/J876,"")</x:f>
        <x:v>-0.3034745610215766</x:v>
      </x:c>
      <x:c r="L876" s="4" t="n">
        <x:f>IF(AND('계산 과정'!$L$6,J876&gt;0),'계산 과정'!$D$10*('계산 과정'!$C$39*(D876-'계산 과정'!$C$32)+'계산 과정'!$D$39*(E876-'계산 과정'!$D$32)-'계산 과정'!$E$39*'계산 과정'!$E$32)/J876,"")</x:f>
        <x:v>1.0754851315466223</x:v>
      </x:c>
      <x:c r="M876" s="17" t="n">
        <x:f>IF('계산 과정'!$L$6,IF(J876&lt;=0,0,IF(AND(ABS(K876)&lt;='계산 과정'!$D$11/2,ABS(L876)&lt;='계산 과정'!$D$12/2),1,0)),"")</x:f>
        <x:v>1</x:v>
      </x:c>
      <x:c r="N876" s="17" t="n">
        <x:f>IF('계산 과정'!$C$78,IF(AND(ISNUMBER(H876),ISNUMBER(I876),ABS(H876-'계산 과정'!$C$88)&lt;='계산 과정'!$D$23/2,ABS(I876-'계산 과정'!$C$89)&lt;='계산 과정'!$D$24/2),1,0),"")</x:f>
        <x:v>1</x:v>
      </x:c>
      <x:c r="O876" s="4" t="n">
        <x:f>IF('계산 과정'!$L$7,'계산 과정'!$C$49*('계산 과정'!$C$32-D876)+'계산 과정'!$D$49*('계산 과정'!$D$32-E876)+'계산 과정'!$E$49*'계산 과정'!$E$32,"")</x:f>
        <x:v>-25.629547544275567</x:v>
      </x:c>
      <x:c r="P876" s="4" t="n">
        <x:f>IF(AND('계산 과정'!$L$7,O876&lt;&gt;0),('계산 과정'!$L$23-'계산 과정'!$C$49*D876-'계산 과정'!$D$49*E876)/O876,"")</x:f>
        <x:v>-14.60698640149584</x:v>
      </x:c>
      <x:c r="Q876" s="4" t="str">
        <x:f>IF(AND(ISNUMBER(P876),P876&gt;1E-9,P876&lt;1-1E-9),'계산 과정'!$C$47*(D876-'계산 과정'!$C$50+P876*('계산 과정'!$C$32-D876))+'계산 과정'!$D$47*(E876-'계산 과정'!$D$50+P876*('계산 과정'!$D$32-E876))+'계산 과정'!$E$47*(0-'계산 과정'!$E$50+P876*('계산 과정'!$E$32-0)),"")</x:f>
      </x:c>
      <x:c r="R876" s="4" t="str">
        <x:f>IF(AND(ISNUMBER(P876),P876&gt;1E-9,P876&lt;1-1E-9),'계산 과정'!$C$48*(D876-'계산 과정'!$C$50+P876*('계산 과정'!$C$32-D876))+'계산 과정'!$D$48*(E876-'계산 과정'!$D$50+P876*('계산 과정'!$D$32-E876))+'계산 과정'!$E$48*(0-'계산 과정'!$E$50+P876*('계산 과정'!$E$32-0)),"")</x:f>
      </x:c>
      <x:c r="S876" s="17" t="n">
        <x:f>IF('계산 과정'!$C$78,IF(AND(ISNUMBER(Q876),ISNUMBER(R876),ABS(Q876-'계산 과정'!$C$88)&lt;='계산 과정'!$D$23/2,ABS(R876-'계산 과정'!$C$89)&lt;='계산 과정'!$D$24/2),1,0),"")</x:f>
        <x:v>0</x:v>
      </x:c>
      <x:c r="T876" s="4"/>
      <x:c r="U876" s="4"/>
      <x:c r="V876" s="4"/>
      <x:c r="W876" s="4"/>
      <x:c r="X876" s="4"/>
      <x:c r="Y876" s="4"/>
      <x:c r="Z876" s="4"/>
    </x:row>
    <x:row r="877" ht="23" customHeight="1">
      <x:c r="A877" s="17" t="n">
        <x:f>ROW()-6</x:f>
        <x:v>871</x:v>
      </x:c>
      <x:c r="B877" s="4" t="n">
        <x:f>IF('계산 과정'!$L$5,'계산 과정'!$L$11*SQRT((A877+0.5)/'계산 과정'!$L$30),"")</x:f>
        <x:v>97.84980818038173</x:v>
      </x:c>
      <x:c r="C877" s="4" t="n">
        <x:f>A877*PI()*(3-SQRT(5))</x:f>
        <x:v>2090.3679730936565</x:v>
      </x:c>
      <x:c r="D877" s="4" t="n">
        <x:f>IF('계산 과정'!$L$5,B877*COS(C877),"")</x:f>
        <x:v>-34.64736630086009</x:v>
      </x:c>
      <x:c r="E877" s="4" t="n">
        <x:f>IF('계산 과정'!$L$5,B877*SIN(C877),"")</x:f>
        <x:v>-91.51035443790786</x:v>
      </x:c>
      <x:c r="F877" s="4" t="n">
        <x:f>IF('계산 과정'!$L$7,'계산 과정'!$L$22+'계산 과정'!$C$49*D877+'계산 과정'!$D$49*E877,"")</x:f>
        <x:v>674.4993876615924</x:v>
      </x:c>
      <x:c r="G877" s="4" t="n">
        <x:f>IF('계산 과정'!$L$7,IF(ABS(F877)&gt;=1E-12*MAX(1,SQRT((D877-'계산 과정'!$C$33)^2+(E877-'계산 과정'!$D$33)^2+'계산 과정'!$E$33^2)),('계산 과정'!$L$23-'계산 과정'!$C$49*D877-'계산 과정'!$D$49*E877)/F877,""),"")</x:f>
        <x:v>0.5567100863356195</x:v>
      </x:c>
      <x:c r="H877" s="4" t="n">
        <x:f>IF(AND(ISNUMBER(G877),G877&gt;0),('계산 과정'!$D$56+'계산 과정'!$D$57*D877+'계산 과정'!$D$58*E877)/F877,"")</x:f>
        <x:v>-38.13844388184749</x:v>
      </x:c>
      <x:c r="I877" s="4" t="n">
        <x:f>IF(AND(ISNUMBER(G877),G877&gt;0),('계산 과정'!$E$56+'계산 과정'!$E$57*D877+'계산 과정'!$E$58*E877)/F877,"")</x:f>
        <x:v>-142.45509175763868</x:v>
      </x:c>
      <x:c r="J877" s="4" t="n">
        <x:f>IF('계산 과정'!$L$5,'계산 과정'!$D$6+'계산 과정'!$C$35*D877+'계산 과정'!$D$35*E877,"")</x:f>
        <x:v>674.4993876615924</x:v>
      </x:c>
      <x:c r="K877" s="4" t="n">
        <x:f>IF(AND('계산 과정'!$L$6,J877&gt;0),'계산 과정'!$D$10*('계산 과정'!$C$38*(D877-'계산 과정'!$C$32)+'계산 과정'!$D$38*(E877-'계산 과정'!$D$32)-'계산 과정'!$E$38*'계산 과정'!$E$32)/J877,"")</x:f>
        <x:v>-0.29057862005217044</x:v>
      </x:c>
      <x:c r="L877" s="4" t="n">
        <x:f>IF(AND('계산 과정'!$L$6,J877&gt;0),'계산 과정'!$D$10*('계산 과정'!$C$39*(D877-'계산 과정'!$C$32)+'계산 과정'!$D$39*(E877-'계산 과정'!$D$32)-'계산 과정'!$E$39*'계산 과정'!$E$32)/J877,"")</x:f>
        <x:v>-1.0853721276772472</x:v>
      </x:c>
      <x:c r="M877" s="17" t="n">
        <x:f>IF('계산 과정'!$L$6,IF(J877&lt;=0,0,IF(AND(ABS(K877)&lt;='계산 과정'!$D$11/2,ABS(L877)&lt;='계산 과정'!$D$12/2),1,0)),"")</x:f>
        <x:v>1</x:v>
      </x:c>
      <x:c r="N877" s="17" t="n">
        <x:f>IF('계산 과정'!$C$78,IF(AND(ISNUMBER(H877),ISNUMBER(I877),ABS(H877-'계산 과정'!$C$88)&lt;='계산 과정'!$D$23/2,ABS(I877-'계산 과정'!$C$89)&lt;='계산 과정'!$D$24/2),1,0),"")</x:f>
        <x:v>1</x:v>
      </x:c>
      <x:c r="O877" s="4" t="n">
        <x:f>IF('계산 과정'!$L$7,'계산 과정'!$C$49*('계산 과정'!$C$32-D877)+'계산 과정'!$D$49*('계산 과정'!$D$32-E877)+'계산 과정'!$E$49*'계산 과정'!$E$32,"")</x:f>
        <x:v>-24.499387661592323</x:v>
      </x:c>
      <x:c r="P877" s="4" t="n">
        <x:f>IF(AND('계산 과정'!$L$7,O877&lt;&gt;0),('계산 과정'!$L$23-'계산 과정'!$C$49*D877-'계산 과정'!$D$49*E877)/O877,"")</x:f>
        <x:v>-15.326938678025805</x:v>
      </x:c>
      <x:c r="Q877" s="4" t="str">
        <x:f>IF(AND(ISNUMBER(P877),P877&gt;1E-9,P877&lt;1-1E-9),'계산 과정'!$C$47*(D877-'계산 과정'!$C$50+P877*('계산 과정'!$C$32-D877))+'계산 과정'!$D$47*(E877-'계산 과정'!$D$50+P877*('계산 과정'!$D$32-E877))+'계산 과정'!$E$47*(0-'계산 과정'!$E$50+P877*('계산 과정'!$E$32-0)),"")</x:f>
      </x:c>
      <x:c r="R877" s="4" t="str">
        <x:f>IF(AND(ISNUMBER(P877),P877&gt;1E-9,P877&lt;1-1E-9),'계산 과정'!$C$48*(D877-'계산 과정'!$C$50+P877*('계산 과정'!$C$32-D877))+'계산 과정'!$D$48*(E877-'계산 과정'!$D$50+P877*('계산 과정'!$D$32-E877))+'계산 과정'!$E$48*(0-'계산 과정'!$E$50+P877*('계산 과정'!$E$32-0)),"")</x:f>
      </x:c>
      <x:c r="S877" s="17" t="n">
        <x:f>IF('계산 과정'!$C$78,IF(AND(ISNUMBER(Q877),ISNUMBER(R877),ABS(Q877-'계산 과정'!$C$88)&lt;='계산 과정'!$D$23/2,ABS(R877-'계산 과정'!$C$89)&lt;='계산 과정'!$D$24/2),1,0),"")</x:f>
        <x:v>0</x:v>
      </x:c>
      <x:c r="T877" s="4"/>
      <x:c r="U877" s="4"/>
      <x:c r="V877" s="4"/>
      <x:c r="W877" s="4"/>
      <x:c r="X877" s="4"/>
      <x:c r="Y877" s="4"/>
      <x:c r="Z877" s="4"/>
    </x:row>
    <x:row r="878" ht="23" customHeight="1">
      <x:c r="A878" s="17" t="n">
        <x:f>ROW()-6</x:f>
        <x:v>872</x:v>
      </x:c>
      <x:c r="B878" s="4" t="n">
        <x:f>IF('계산 과정'!$L$5,'계산 과정'!$L$11*SQRT((A878+0.5)/'계산 과정'!$L$30),"")</x:f>
        <x:v>97.90593081658791</x:v>
      </x:c>
      <x:c r="C878" s="4" t="n">
        <x:f>A878*PI()*(3-SQRT(5))</x:f>
        <x:v>2092.767936323385</x:v>
      </x:c>
      <x:c r="D878" s="4" t="n">
        <x:f>IF('계산 과정'!$L$5,B878*COS(C878),"")</x:f>
        <x:v>87.41235326553068</x:v>
      </x:c>
      <x:c r="E878" s="4" t="n">
        <x:f>IF('계산 과정'!$L$5,B878*SIN(C878),"")</x:f>
        <x:v>44.09820614996221</x:v>
      </x:c>
      <x:c r="F878" s="4" t="n">
        <x:f>IF('계산 과정'!$L$7,'계산 과정'!$L$22+'계산 과정'!$C$49*D878+'계산 과정'!$D$49*E878,"")</x:f>
        <x:v>588.1901322464691</x:v>
      </x:c>
      <x:c r="G878" s="4" t="n">
        <x:f>IF('계산 과정'!$L$7,IF(ABS(F878)&gt;=1E-12*MAX(1,SQRT((D878-'계산 과정'!$C$33)^2+(E878-'계산 과정'!$D$33)^2+'계산 과정'!$E$33^2)),('계산 과정'!$L$23-'계산 과정'!$C$49*D878-'계산 과정'!$D$49*E878)/F878,""),"")</x:f>
        <x:v>0.7851370542204519</x:v>
      </x:c>
      <x:c r="H878" s="4" t="n">
        <x:f>IF(AND(ISNUMBER(G878),G878&gt;0),('계산 과정'!$D$56+'계산 과정'!$D$57*D878+'계산 과정'!$D$58*E878)/F878,"")</x:f>
        <x:v>110.33908524329357</x:v>
      </x:c>
      <x:c r="I878" s="4" t="n">
        <x:f>IF(AND(ISNUMBER(G878),G878&gt;0),('계산 과정'!$E$56+'계산 과정'!$E$57*D878+'계산 과정'!$E$58*E878)/F878,"")</x:f>
        <x:v>78.72134182294975</x:v>
      </x:c>
      <x:c r="J878" s="4" t="n">
        <x:f>IF('계산 과정'!$L$5,'계산 과정'!$D$6+'계산 과정'!$C$35*D878+'계산 과정'!$D$35*E878,"")</x:f>
        <x:v>588.1901322464691</x:v>
      </x:c>
      <x:c r="K878" s="4" t="n">
        <x:f>IF(AND('계산 과정'!$L$6,J878&gt;0),'계산 과정'!$D$10*('계산 과정'!$C$38*(D878-'계산 과정'!$C$32)+'계산 과정'!$D$38*(E878-'계산 과정'!$D$32)-'계산 과정'!$E$38*'계산 과정'!$E$32)/J878,"")</x:f>
        <x:v>0.840678744710809</x:v>
      </x:c>
      <x:c r="L878" s="4" t="n">
        <x:f>IF(AND('계산 과정'!$L$6,J878&gt;0),'계산 과정'!$D$10*('계산 과정'!$C$39*(D878-'계산 과정'!$C$32)+'계산 과정'!$D$39*(E878-'계산 과정'!$D$32)-'계산 과정'!$E$39*'계산 과정'!$E$32)/J878,"")</x:f>
        <x:v>0.599781651984379</x:v>
      </x:c>
      <x:c r="M878" s="17" t="n">
        <x:f>IF('계산 과정'!$L$6,IF(J878&lt;=0,0,IF(AND(ABS(K878)&lt;='계산 과정'!$D$11/2,ABS(L878)&lt;='계산 과정'!$D$12/2),1,0)),"")</x:f>
        <x:v>1</x:v>
      </x:c>
      <x:c r="N878" s="17" t="n">
        <x:f>IF('계산 과정'!$C$78,IF(AND(ISNUMBER(H878),ISNUMBER(I878),ABS(H878-'계산 과정'!$C$88)&lt;='계산 과정'!$D$23/2,ABS(I878-'계산 과정'!$C$89)&lt;='계산 과정'!$D$24/2),1,0),"")</x:f>
        <x:v>1</x:v>
      </x:c>
      <x:c r="O878" s="4" t="n">
        <x:f>IF('계산 과정'!$L$7,'계산 과정'!$C$49*('계산 과정'!$C$32-D878)+'계산 과정'!$D$49*('계산 과정'!$D$32-E878)+'계산 과정'!$E$49*'계산 과정'!$E$32,"")</x:f>
        <x:v>61.80986775353091</x:v>
      </x:c>
      <x:c r="P878" s="4" t="n">
        <x:f>IF(AND('계산 과정'!$L$7,O878&lt;&gt;0),('계산 과정'!$L$23-'계산 과정'!$C$49*D878-'계산 과정'!$D$49*E878)/O878,"")</x:f>
        <x:v>7.471458596142195</x:v>
      </x:c>
      <x:c r="Q878" s="4" t="str">
        <x:f>IF(AND(ISNUMBER(P878),P878&gt;1E-9,P878&lt;1-1E-9),'계산 과정'!$C$47*(D878-'계산 과정'!$C$50+P878*('계산 과정'!$C$32-D878))+'계산 과정'!$D$47*(E878-'계산 과정'!$D$50+P878*('계산 과정'!$D$32-E878))+'계산 과정'!$E$47*(0-'계산 과정'!$E$50+P878*('계산 과정'!$E$32-0)),"")</x:f>
      </x:c>
      <x:c r="R878" s="4" t="str">
        <x:f>IF(AND(ISNUMBER(P878),P878&gt;1E-9,P878&lt;1-1E-9),'계산 과정'!$C$48*(D878-'계산 과정'!$C$50+P878*('계산 과정'!$C$32-D878))+'계산 과정'!$D$48*(E878-'계산 과정'!$D$50+P878*('계산 과정'!$D$32-E878))+'계산 과정'!$E$48*(0-'계산 과정'!$E$50+P878*('계산 과정'!$E$32-0)),"")</x:f>
      </x:c>
      <x:c r="S878" s="17" t="n">
        <x:f>IF('계산 과정'!$C$78,IF(AND(ISNUMBER(Q878),ISNUMBER(R878),ABS(Q878-'계산 과정'!$C$88)&lt;='계산 과정'!$D$23/2,ABS(R878-'계산 과정'!$C$89)&lt;='계산 과정'!$D$24/2),1,0),"")</x:f>
        <x:v>0</x:v>
      </x:c>
      <x:c r="T878" s="4"/>
      <x:c r="U878" s="4"/>
      <x:c r="V878" s="4"/>
      <x:c r="W878" s="4"/>
      <x:c r="X878" s="4"/>
      <x:c r="Y878" s="4"/>
      <x:c r="Z878" s="4"/>
    </x:row>
    <x:row r="879" ht="23" customHeight="1">
      <x:c r="A879" s="17" t="n">
        <x:f>ROW()-6</x:f>
        <x:v>873</x:v>
      </x:c>
      <x:c r="B879" s="4" t="n">
        <x:f>IF('계산 과정'!$L$5,'계산 과정'!$L$11*SQRT((A879+0.5)/'계산 과정'!$L$30),"")</x:f>
        <x:v>97.96202130002983</x:v>
      </x:c>
      <x:c r="C879" s="4" t="n">
        <x:f>A879*PI()*(3-SQRT(5))</x:f>
        <x:v>2095.1678995531142</x:v>
      </x:c>
      <x:c r="D879" s="4" t="n">
        <x:f>IF('계산 과정'!$L$5,B879*COS(C879),"")</x:f>
        <x:v>-94.29705112391215</x:v>
      </x:c>
      <x:c r="E879" s="4" t="n">
        <x:f>IF('계산 과정'!$L$5,B879*SIN(C879),"")</x:f>
        <x:v>26.544750262938923</x:v>
      </x:c>
      <x:c r="F879" s="4" t="n">
        <x:f>IF('계산 과정'!$L$7,'계산 과정'!$L$22+'계산 과정'!$C$49*D879+'계산 과정'!$D$49*E879,"")</x:f>
        <x:v>716.6780842956128</x:v>
      </x:c>
      <x:c r="G879" s="4" t="n">
        <x:f>IF('계산 과정'!$L$7,IF(ABS(F879)&gt;=1E-12*MAX(1,SQRT((D879-'계산 과정'!$C$33)^2+(E879-'계산 과정'!$D$33)^2+'계산 과정'!$E$33^2)),('계산 과정'!$L$23-'계산 과정'!$C$49*D879-'계산 과정'!$D$49*E879)/F879,""),"")</x:f>
        <x:v>0.46509293783134537</x:v>
      </x:c>
      <x:c r="H879" s="4" t="n">
        <x:f>IF(AND(ISNUMBER(G879),G879&gt;0),('계산 과정'!$D$56+'계산 과정'!$D$57*D879+'계산 과정'!$D$58*E879)/F879,"")</x:f>
        <x:v>-97.68959040962562</x:v>
      </x:c>
      <x:c r="I879" s="4" t="n">
        <x:f>IF(AND(ISNUMBER(G879),G879&gt;0),('계산 과정'!$E$56+'계산 과정'!$E$57*D879+'계산 과정'!$E$58*E879)/F879,"")</x:f>
        <x:v>38.89052614672856</x:v>
      </x:c>
      <x:c r="J879" s="4" t="n">
        <x:f>IF('계산 과정'!$L$5,'계산 과정'!$D$6+'계산 과정'!$C$35*D879+'계산 과정'!$D$35*E879,"")</x:f>
        <x:v>716.6780842956128</x:v>
      </x:c>
      <x:c r="K879" s="4" t="n">
        <x:f>IF(AND('계산 과정'!$L$6,J879&gt;0),'계산 과정'!$D$10*('계산 과정'!$C$38*(D879-'계산 과정'!$C$32)+'계산 과정'!$D$38*(E879-'계산 과정'!$D$32)-'계산 과정'!$E$38*'계산 과정'!$E$32)/J879,"")</x:f>
        <x:v>-0.7443016412161945</x:v>
      </x:c>
      <x:c r="L879" s="4" t="n">
        <x:f>IF(AND('계산 과정'!$L$6,J879&gt;0),'계산 과정'!$D$10*('계산 과정'!$C$39*(D879-'계산 과정'!$C$32)+'계산 과정'!$D$39*(E879-'계산 과정'!$D$32)-'계산 과정'!$E$39*'계산 과정'!$E$32)/J879,"")</x:f>
        <x:v>0.29630877064174144</x:v>
      </x:c>
      <x:c r="M879" s="17" t="n">
        <x:f>IF('계산 과정'!$L$6,IF(J879&lt;=0,0,IF(AND(ABS(K879)&lt;='계산 과정'!$D$11/2,ABS(L879)&lt;='계산 과정'!$D$12/2),1,0)),"")</x:f>
        <x:v>1</x:v>
      </x:c>
      <x:c r="N879" s="17" t="n">
        <x:f>IF('계산 과정'!$C$78,IF(AND(ISNUMBER(H879),ISNUMBER(I879),ABS(H879-'계산 과정'!$C$88)&lt;='계산 과정'!$D$23/2,ABS(I879-'계산 과정'!$C$89)&lt;='계산 과정'!$D$24/2),1,0),"")</x:f>
        <x:v>1</x:v>
      </x:c>
      <x:c r="O879" s="4" t="n">
        <x:f>IF('계산 과정'!$L$7,'계산 과정'!$C$49*('계산 과정'!$C$32-D879)+'계산 과정'!$D$49*('계산 과정'!$D$32-E879)+'계산 과정'!$E$49*'계산 과정'!$E$32,"")</x:f>
        <x:v>-66.67808429561273</x:v>
      </x:c>
      <x:c r="P879" s="4" t="n">
        <x:f>IF(AND('계산 과정'!$L$7,O879&lt;&gt;0),('계산 과정'!$L$23-'계산 과정'!$C$49*D879-'계산 과정'!$D$49*E879)/O879,"")</x:f>
        <x:v>-4.998972589353755</x:v>
      </x:c>
      <x:c r="Q879" s="4" t="str">
        <x:f>IF(AND(ISNUMBER(P879),P879&gt;1E-9,P879&lt;1-1E-9),'계산 과정'!$C$47*(D879-'계산 과정'!$C$50+P879*('계산 과정'!$C$32-D879))+'계산 과정'!$D$47*(E879-'계산 과정'!$D$50+P879*('계산 과정'!$D$32-E879))+'계산 과정'!$E$47*(0-'계산 과정'!$E$50+P879*('계산 과정'!$E$32-0)),"")</x:f>
      </x:c>
      <x:c r="R879" s="4" t="str">
        <x:f>IF(AND(ISNUMBER(P879),P879&gt;1E-9,P879&lt;1-1E-9),'계산 과정'!$C$48*(D879-'계산 과정'!$C$50+P879*('계산 과정'!$C$32-D879))+'계산 과정'!$D$48*(E879-'계산 과정'!$D$50+P879*('계산 과정'!$D$32-E879))+'계산 과정'!$E$48*(0-'계산 과정'!$E$50+P879*('계산 과정'!$E$32-0)),"")</x:f>
      </x:c>
      <x:c r="S879" s="17" t="n">
        <x:f>IF('계산 과정'!$C$78,IF(AND(ISNUMBER(Q879),ISNUMBER(R879),ABS(Q879-'계산 과정'!$C$88)&lt;='계산 과정'!$D$23/2,ABS(R879-'계산 과정'!$C$89)&lt;='계산 과정'!$D$24/2),1,0),"")</x:f>
        <x:v>0</x:v>
      </x:c>
      <x:c r="T879" s="4"/>
      <x:c r="U879" s="4"/>
      <x:c r="V879" s="4"/>
      <x:c r="W879" s="4"/>
      <x:c r="X879" s="4"/>
      <x:c r="Y879" s="4"/>
      <x:c r="Z879" s="4"/>
    </x:row>
    <x:row r="880" ht="23" customHeight="1">
      <x:c r="A880" s="17" t="n">
        <x:f>ROW()-6</x:f>
        <x:v>874</x:v>
      </x:c>
      <x:c r="B880" s="4" t="n">
        <x:f>IF('계산 과정'!$L$5,'계산 과정'!$L$11*SQRT((A880+0.5)/'계산 과정'!$L$30),"")</x:f>
        <x:v>98.01807968590539</x:v>
      </x:c>
      <x:c r="C880" s="4" t="n">
        <x:f>A880*PI()*(3-SQRT(5))</x:f>
        <x:v>2097.5678627828424</x:v>
      </x:c>
      <x:c r="D880" s="4" t="n">
        <x:f>IF('계산 과정'!$L$5,B880*COS(C880),"")</x:f>
        <x:v>51.63051809280672</x:v>
      </x:c>
      <x:c r="E880" s="4" t="n">
        <x:f>IF('계산 과정'!$L$5,B880*SIN(C880),"")</x:f>
        <x:v>-83.31766647464904</x:v>
      </x:c>
      <x:c r="F880" s="4" t="n">
        <x:f>IF('계산 과정'!$L$7,'계산 과정'!$L$22+'계산 과정'!$C$49*D880+'계산 과정'!$D$49*E880,"")</x:f>
        <x:v>613.4917105404016</x:v>
      </x:c>
      <x:c r="G880" s="4" t="n">
        <x:f>IF('계산 과정'!$L$7,IF(ABS(F880)&gt;=1E-12*MAX(1,SQRT((D880-'계산 과정'!$C$33)^2+(E880-'계산 과정'!$D$33)^2+'계산 과정'!$E$33^2)),('계산 과정'!$L$23-'계산 과정'!$C$49*D880-'계산 과정'!$D$49*E880)/F880,""),"")</x:f>
        <x:v>0.7115145681024683</x:v>
      </x:c>
      <x:c r="H880" s="4" t="n">
        <x:f>IF(AND(ISNUMBER(G880),G880&gt;0),('계산 과정'!$D$56+'계산 과정'!$D$57*D880+'계산 과정'!$D$58*E880)/F880,"")</x:f>
        <x:v>62.484469266604286</x:v>
      </x:c>
      <x:c r="I880" s="4" t="n">
        <x:f>IF(AND(ISNUMBER(G880),G880&gt;0),('계산 과정'!$E$56+'계산 과정'!$E$57*D880+'계산 과정'!$E$58*E880)/F880,"")</x:f>
        <x:v>-142.59939995166445</x:v>
      </x:c>
      <x:c r="J880" s="4" t="n">
        <x:f>IF('계산 과정'!$L$5,'계산 과정'!$D$6+'계산 과정'!$C$35*D880+'계산 과정'!$D$35*E880,"")</x:f>
        <x:v>613.4917105404016</x:v>
      </x:c>
      <x:c r="K880" s="4" t="n">
        <x:f>IF(AND('계산 과정'!$L$6,J880&gt;0),'계산 과정'!$D$10*('계산 과정'!$C$38*(D880-'계산 과정'!$C$32)+'계산 과정'!$D$38*(E880-'계산 과정'!$D$32)-'계산 과정'!$E$38*'계산 과정'!$E$32)/J880,"")</x:f>
        <x:v>0.4760721467931762</x:v>
      </x:c>
      <x:c r="L880" s="4" t="n">
        <x:f>IF(AND('계산 과정'!$L$6,J880&gt;0),'계산 과정'!$D$10*('계산 과정'!$C$39*(D880-'계산 과정'!$C$32)+'계산 과정'!$D$39*(E880-'계산 과정'!$D$32)-'계산 과정'!$E$39*'계산 과정'!$E$32)/J880,"")</x:f>
        <x:v>-1.0864716186793482</x:v>
      </x:c>
      <x:c r="M880" s="17" t="n">
        <x:f>IF('계산 과정'!$L$6,IF(J880&lt;=0,0,IF(AND(ABS(K880)&lt;='계산 과정'!$D$11/2,ABS(L880)&lt;='계산 과정'!$D$12/2),1,0)),"")</x:f>
        <x:v>1</x:v>
      </x:c>
      <x:c r="N880" s="17" t="n">
        <x:f>IF('계산 과정'!$C$78,IF(AND(ISNUMBER(H880),ISNUMBER(I880),ABS(H880-'계산 과정'!$C$88)&lt;='계산 과정'!$D$23/2,ABS(I880-'계산 과정'!$C$89)&lt;='계산 과정'!$D$24/2),1,0),"")</x:f>
        <x:v>1</x:v>
      </x:c>
      <x:c r="O880" s="4" t="n">
        <x:f>IF('계산 과정'!$L$7,'계산 과정'!$C$49*('계산 과정'!$C$32-D880)+'계산 과정'!$D$49*('계산 과정'!$D$32-E880)+'계산 과정'!$E$49*'계산 과정'!$E$32,"")</x:f>
        <x:v>36.50828945959847</x:v>
      </x:c>
      <x:c r="P880" s="4" t="n">
        <x:f>IF(AND('계산 과정'!$L$7,O880&lt;&gt;0),('계산 과정'!$L$23-'계산 과정'!$C$49*D880-'계산 과정'!$D$49*E880)/O880,"")</x:f>
        <x:v>11.956415814623575</x:v>
      </x:c>
      <x:c r="Q880" s="4" t="str">
        <x:f>IF(AND(ISNUMBER(P880),P880&gt;1E-9,P880&lt;1-1E-9),'계산 과정'!$C$47*(D880-'계산 과정'!$C$50+P880*('계산 과정'!$C$32-D880))+'계산 과정'!$D$47*(E880-'계산 과정'!$D$50+P880*('계산 과정'!$D$32-E880))+'계산 과정'!$E$47*(0-'계산 과정'!$E$50+P880*('계산 과정'!$E$32-0)),"")</x:f>
      </x:c>
      <x:c r="R880" s="4" t="str">
        <x:f>IF(AND(ISNUMBER(P880),P880&gt;1E-9,P880&lt;1-1E-9),'계산 과정'!$C$48*(D880-'계산 과정'!$C$50+P880*('계산 과정'!$C$32-D880))+'계산 과정'!$D$48*(E880-'계산 과정'!$D$50+P880*('계산 과정'!$D$32-E880))+'계산 과정'!$E$48*(0-'계산 과정'!$E$50+P880*('계산 과정'!$E$32-0)),"")</x:f>
      </x:c>
      <x:c r="S880" s="17" t="n">
        <x:f>IF('계산 과정'!$C$78,IF(AND(ISNUMBER(Q880),ISNUMBER(R880),ABS(Q880-'계산 과정'!$C$88)&lt;='계산 과정'!$D$23/2,ABS(R880-'계산 과정'!$C$89)&lt;='계산 과정'!$D$24/2),1,0),"")</x:f>
        <x:v>0</x:v>
      </x:c>
      <x:c r="T880" s="4"/>
      <x:c r="U880" s="4"/>
      <x:c r="V880" s="4"/>
      <x:c r="W880" s="4"/>
      <x:c r="X880" s="4"/>
      <x:c r="Y880" s="4"/>
      <x:c r="Z880" s="4"/>
    </x:row>
    <x:row r="881" ht="23" customHeight="1">
      <x:c r="A881" s="17" t="n">
        <x:f>ROW()-6</x:f>
        <x:v>875</x:v>
      </x:c>
      <x:c r="B881" s="4" t="n">
        <x:f>IF('계산 과정'!$L$5,'계산 과정'!$L$11*SQRT((A881+0.5)/'계산 과정'!$L$30),"")</x:f>
        <x:v>98.07410602925474</x:v>
      </x:c>
      <x:c r="C881" s="4" t="n">
        <x:f>A881*PI()*(3-SQRT(5))</x:f>
        <x:v>2099.967826012571</x:v>
      </x:c>
      <x:c r="D881" s="4" t="n">
        <x:f>IF('계산 과정'!$L$5,B881*COS(C881),"")</x:f>
        <x:v>18.219946268330297</x:v>
      </x:c>
      <x:c r="E881" s="4" t="n">
        <x:f>IF('계산 과정'!$L$5,B881*SIN(C881),"")</x:f>
        <x:v>96.36681914132403</x:v>
      </x:c>
      <x:c r="F881" s="4" t="n">
        <x:f>IF('계산 과정'!$L$7,'계산 과정'!$L$22+'계산 과정'!$C$49*D881+'계산 과정'!$D$49*E881,"")</x:f>
        <x:v>637.1165524408091</x:v>
      </x:c>
      <x:c r="G881" s="4" t="n">
        <x:f>IF('계산 과정'!$L$7,IF(ABS(F881)&gt;=1E-12*MAX(1,SQRT((D881-'계산 과정'!$C$33)^2+(E881-'계산 과정'!$D$33)^2+'계산 과정'!$E$33^2)),('계산 과정'!$L$23-'계산 과정'!$C$49*D881-'계산 과정'!$D$49*E881)/F881,""),"")</x:f>
        <x:v>0.6480501031992094</x:v>
      </x:c>
      <x:c r="H881" s="4" t="n">
        <x:f>IF(AND(ISNUMBER(G881),G881&gt;0),('계산 과정'!$D$56+'계산 과정'!$D$57*D881+'계산 과정'!$D$58*E881)/F881,"")</x:f>
        <x:v>21.232567079486028</x:v>
      </x:c>
      <x:c r="I881" s="4" t="n">
        <x:f>IF(AND(ISNUMBER(G881),G881&gt;0),('계산 과정'!$E$56+'계산 과정'!$E$57*D881+'계산 과정'!$E$58*E881)/F881,"")</x:f>
        <x:v>158.81734623083864</x:v>
      </x:c>
      <x:c r="J881" s="4" t="n">
        <x:f>IF('계산 과정'!$L$5,'계산 과정'!$D$6+'계산 과정'!$C$35*D881+'계산 과정'!$D$35*E881,"")</x:f>
        <x:v>637.1165524408091</x:v>
      </x:c>
      <x:c r="K881" s="4" t="n">
        <x:f>IF(AND('계산 과정'!$L$6,J881&gt;0),'계산 과정'!$D$10*('계산 과정'!$C$38*(D881-'계산 과정'!$C$32)+'계산 과정'!$D$38*(E881-'계산 과정'!$D$32)-'계산 과정'!$E$38*'계산 과정'!$E$32)/J881,"")</x:f>
        <x:v>0.16177193965322828</x:v>
      </x:c>
      <x:c r="L881" s="4" t="n">
        <x:f>IF(AND('계산 과정'!$L$6,J881&gt;0),'계산 과정'!$D$10*('계산 과정'!$C$39*(D881-'계산 과정'!$C$32)+'계산 과정'!$D$39*(E881-'계산 과정'!$D$32)-'계산 과정'!$E$39*'계산 과정'!$E$32)/J881,"")</x:f>
        <x:v>1.2100369236635324</x:v>
      </x:c>
      <x:c r="M881" s="17" t="n">
        <x:f>IF('계산 과정'!$L$6,IF(J881&lt;=0,0,IF(AND(ABS(K881)&lt;='계산 과정'!$D$11/2,ABS(L881)&lt;='계산 과정'!$D$12/2),1,0)),"")</x:f>
        <x:v>1</x:v>
      </x:c>
      <x:c r="N881" s="17" t="n">
        <x:f>IF('계산 과정'!$C$78,IF(AND(ISNUMBER(H881),ISNUMBER(I881),ABS(H881-'계산 과정'!$C$88)&lt;='계산 과정'!$D$23/2,ABS(I881-'계산 과정'!$C$89)&lt;='계산 과정'!$D$24/2),1,0),"")</x:f>
        <x:v>1</x:v>
      </x:c>
      <x:c r="O881" s="4" t="n">
        <x:f>IF('계산 과정'!$L$7,'계산 과정'!$C$49*('계산 과정'!$C$32-D881)+'계산 과정'!$D$49*('계산 과정'!$D$32-E881)+'계산 과정'!$E$49*'계산 과정'!$E$32,"")</x:f>
        <x:v>12.88344755919104</x:v>
      </x:c>
      <x:c r="P881" s="4" t="n">
        <x:f>IF(AND('계산 과정'!$L$7,O881&lt;&gt;0),('계산 과정'!$L$23-'계산 과정'!$C$49*D881-'계산 과정'!$D$49*E881)/O881,"")</x:f>
        <x:v>32.04759018595455</x:v>
      </x:c>
      <x:c r="Q881" s="4" t="str">
        <x:f>IF(AND(ISNUMBER(P881),P881&gt;1E-9,P881&lt;1-1E-9),'계산 과정'!$C$47*(D881-'계산 과정'!$C$50+P881*('계산 과정'!$C$32-D881))+'계산 과정'!$D$47*(E881-'계산 과정'!$D$50+P881*('계산 과정'!$D$32-E881))+'계산 과정'!$E$47*(0-'계산 과정'!$E$50+P881*('계산 과정'!$E$32-0)),"")</x:f>
      </x:c>
      <x:c r="R881" s="4" t="str">
        <x:f>IF(AND(ISNUMBER(P881),P881&gt;1E-9,P881&lt;1-1E-9),'계산 과정'!$C$48*(D881-'계산 과정'!$C$50+P881*('계산 과정'!$C$32-D881))+'계산 과정'!$D$48*(E881-'계산 과정'!$D$50+P881*('계산 과정'!$D$32-E881))+'계산 과정'!$E$48*(0-'계산 과정'!$E$50+P881*('계산 과정'!$E$32-0)),"")</x:f>
      </x:c>
      <x:c r="S881" s="17" t="n">
        <x:f>IF('계산 과정'!$C$78,IF(AND(ISNUMBER(Q881),ISNUMBER(R881),ABS(Q881-'계산 과정'!$C$88)&lt;='계산 과정'!$D$23/2,ABS(R881-'계산 과정'!$C$89)&lt;='계산 과정'!$D$24/2),1,0),"")</x:f>
        <x:v>0</x:v>
      </x:c>
      <x:c r="T881" s="4"/>
      <x:c r="U881" s="4"/>
      <x:c r="V881" s="4"/>
      <x:c r="W881" s="4"/>
      <x:c r="X881" s="4"/>
      <x:c r="Y881" s="4"/>
      <x:c r="Z881" s="4"/>
    </x:row>
    <x:row r="882" ht="23" customHeight="1">
      <x:c r="A882" s="17" t="n">
        <x:f>ROW()-6</x:f>
        <x:v>876</x:v>
      </x:c>
      <x:c r="B882" s="4" t="n">
        <x:f>IF('계산 과정'!$L$5,'계산 과정'!$L$11*SQRT((A882+0.5)/'계산 과정'!$L$30),"")</x:f>
        <x:v>98.13010038496088</x:v>
      </x:c>
      <x:c r="C882" s="4" t="n">
        <x:f>A882*PI()*(3-SQRT(5))</x:f>
        <x:v>2102.3677892423</x:v>
      </x:c>
      <x:c r="D882" s="4" t="n">
        <x:f>IF('계산 과정'!$L$5,B882*COS(C882),"")</x:f>
        <x:v>-78.5745080288893</x:v>
      </x:c>
      <x:c r="E882" s="4" t="n">
        <x:f>IF('계산 과정'!$L$5,B882*SIN(C882),"")</x:f>
        <x:v>-58.784039411905944</x:v>
      </x:c>
      <x:c r="F882" s="4" t="n">
        <x:f>IF('계산 과정'!$L$7,'계산 과정'!$L$22+'계산 과정'!$C$49*D882+'계산 과정'!$D$49*E882,"")</x:f>
        <x:v>705.5605674556244</x:v>
      </x:c>
      <x:c r="G882" s="4" t="n">
        <x:f>IF('계산 과정'!$L$7,IF(ABS(F882)&gt;=1E-12*MAX(1,SQRT((D882-'계산 과정'!$C$33)^2+(E882-'계산 과정'!$D$33)^2+'계산 과정'!$E$33^2)),('계산 과정'!$L$23-'계산 과정'!$C$49*D882-'계산 과정'!$D$49*E882)/F882,""),"")</x:f>
        <x:v>0.48817840513180144</x:v>
      </x:c>
      <x:c r="H882" s="4" t="n">
        <x:f>IF(AND(ISNUMBER(G882),G882&gt;0),('계산 과정'!$D$56+'계산 과정'!$D$57*D882+'계산 과정'!$D$58*E882)/F882,"")</x:f>
        <x:v>-82.68403666432918</x:v>
      </x:c>
      <x:c r="I882" s="4" t="n">
        <x:f>IF(AND(ISNUMBER(G882),G882&gt;0),('계산 과정'!$E$56+'계산 과정'!$E$57*D882+'계산 과정'!$E$58*E882)/F882,"")</x:f>
        <x:v>-87.48113801921515</x:v>
      </x:c>
      <x:c r="J882" s="4" t="n">
        <x:f>IF('계산 과정'!$L$5,'계산 과정'!$D$6+'계산 과정'!$C$35*D882+'계산 과정'!$D$35*E882,"")</x:f>
        <x:v>705.5605674556244</x:v>
      </x:c>
      <x:c r="K882" s="4" t="n">
        <x:f>IF(AND('계산 과정'!$L$6,J882&gt;0),'계산 과정'!$D$10*('계산 과정'!$C$38*(D882-'계산 과정'!$C$32)+'계산 과정'!$D$38*(E882-'계산 과정'!$D$32)-'계산 과정'!$E$38*'계산 과정'!$E$32)/J882,"")</x:f>
        <x:v>-0.6299736126806029</x:v>
      </x:c>
      <x:c r="L882" s="4" t="n">
        <x:f>IF(AND('계산 과정'!$L$6,J882&gt;0),'계산 과정'!$D$10*('계산 과정'!$C$39*(D882-'계산 과정'!$C$32)+'계산 과정'!$D$39*(E882-'계산 과정'!$D$32)-'계산 과정'!$E$39*'계산 과정'!$E$32)/J882,"")</x:f>
        <x:v>-0.6665229563368773</x:v>
      </x:c>
      <x:c r="M882" s="17" t="n">
        <x:f>IF('계산 과정'!$L$6,IF(J882&lt;=0,0,IF(AND(ABS(K882)&lt;='계산 과정'!$D$11/2,ABS(L882)&lt;='계산 과정'!$D$12/2),1,0)),"")</x:f>
        <x:v>1</x:v>
      </x:c>
      <x:c r="N882" s="17" t="n">
        <x:f>IF('계산 과정'!$C$78,IF(AND(ISNUMBER(H882),ISNUMBER(I882),ABS(H882-'계산 과정'!$C$88)&lt;='계산 과정'!$D$23/2,ABS(I882-'계산 과정'!$C$89)&lt;='계산 과정'!$D$24/2),1,0),"")</x:f>
        <x:v>1</x:v>
      </x:c>
      <x:c r="O882" s="4" t="n">
        <x:f>IF('계산 과정'!$L$7,'계산 과정'!$C$49*('계산 과정'!$C$32-D882)+'계산 과정'!$D$49*('계산 과정'!$D$32-E882)+'계산 과정'!$E$49*'계산 과정'!$E$32,"")</x:f>
        <x:v>-55.56056745562438</x:v>
      </x:c>
      <x:c r="P882" s="4" t="n">
        <x:f>IF(AND('계산 과정'!$L$7,O882&lt;&gt;0),('계산 과정'!$L$23-'계산 과정'!$C$49*D882-'계산 과정'!$D$49*E882)/O882,"")</x:f>
        <x:v>-6.199350516343729</x:v>
      </x:c>
      <x:c r="Q882" s="4" t="str">
        <x:f>IF(AND(ISNUMBER(P882),P882&gt;1E-9,P882&lt;1-1E-9),'계산 과정'!$C$47*(D882-'계산 과정'!$C$50+P882*('계산 과정'!$C$32-D882))+'계산 과정'!$D$47*(E882-'계산 과정'!$D$50+P882*('계산 과정'!$D$32-E882))+'계산 과정'!$E$47*(0-'계산 과정'!$E$50+P882*('계산 과정'!$E$32-0)),"")</x:f>
      </x:c>
      <x:c r="R882" s="4" t="str">
        <x:f>IF(AND(ISNUMBER(P882),P882&gt;1E-9,P882&lt;1-1E-9),'계산 과정'!$C$48*(D882-'계산 과정'!$C$50+P882*('계산 과정'!$C$32-D882))+'계산 과정'!$D$48*(E882-'계산 과정'!$D$50+P882*('계산 과정'!$D$32-E882))+'계산 과정'!$E$48*(0-'계산 과정'!$E$50+P882*('계산 과정'!$E$32-0)),"")</x:f>
      </x:c>
      <x:c r="S882" s="17" t="n">
        <x:f>IF('계산 과정'!$C$78,IF(AND(ISNUMBER(Q882),ISNUMBER(R882),ABS(Q882-'계산 과정'!$C$88)&lt;='계산 과정'!$D$23/2,ABS(R882-'계산 과정'!$C$89)&lt;='계산 과정'!$D$24/2),1,0),"")</x:f>
        <x:v>0</x:v>
      </x:c>
      <x:c r="T882" s="4"/>
      <x:c r="U882" s="4"/>
      <x:c r="V882" s="4"/>
      <x:c r="W882" s="4"/>
      <x:c r="X882" s="4"/>
      <x:c r="Y882" s="4"/>
      <x:c r="Z882" s="4"/>
    </x:row>
    <x:row r="883" ht="23" customHeight="1">
      <x:c r="A883" s="17" t="n">
        <x:f>ROW()-6</x:f>
        <x:v>877</x:v>
      </x:c>
      <x:c r="B883" s="4" t="n">
        <x:f>IF('계산 과정'!$L$5,'계산 과정'!$L$11*SQRT((A883+0.5)/'계산 과정'!$L$30),"")</x:f>
        <x:v>98.18606280775037</x:v>
      </x:c>
      <x:c r="C883" s="4" t="n">
        <x:f>A883*PI()*(3-SQRT(5))</x:f>
        <x:v>2104.767752472029</x:v>
      </x:c>
      <x:c r="D883" s="4" t="n">
        <x:f>IF('계산 과정'!$L$5,B883*COS(C883),"")</x:f>
        <x:v>97.70213151090378</x:v>
      </x:c>
      <x:c r="E883" s="4" t="n">
        <x:f>IF('계산 과정'!$L$5,B883*SIN(C883),"")</x:f>
        <x:v>-9.73634571662099</x:v>
      </x:c>
      <x:c r="F883" s="4" t="n">
        <x:f>IF('계산 과정'!$L$7,'계산 과정'!$L$22+'계산 과정'!$C$49*D883+'계산 과정'!$D$49*E883,"")</x:f>
        <x:v>580.9141602722601</x:v>
      </x:c>
      <x:c r="G883" s="4" t="n">
        <x:f>IF('계산 과정'!$L$7,IF(ABS(F883)&gt;=1E-12*MAX(1,SQRT((D883-'계산 과정'!$C$33)^2+(E883-'계산 과정'!$D$33)^2+'계산 과정'!$E$33^2)),('계산 과정'!$L$23-'계산 과정'!$C$49*D883-'계산 과정'!$D$49*E883)/F883,""),"")</x:f>
        <x:v>0.8074959637890234</x:v>
      </x:c>
      <x:c r="H883" s="4" t="n">
        <x:f>IF(AND(ISNUMBER(G883),G883&gt;0),('계산 과정'!$D$56+'계산 과정'!$D$57*D883+'계산 과정'!$D$58*E883)/F883,"")</x:f>
        <x:v>124.8723764628652</x:v>
      </x:c>
      <x:c r="I883" s="4" t="n">
        <x:f>IF(AND(ISNUMBER(G883),G883&gt;0),('계산 과정'!$E$56+'계산 과정'!$E$57*D883+'계산 과정'!$E$58*E883)/F883,"")</x:f>
        <x:v>-17.598405584846986</x:v>
      </x:c>
      <x:c r="J883" s="4" t="n">
        <x:f>IF('계산 과정'!$L$5,'계산 과정'!$D$6+'계산 과정'!$C$35*D883+'계산 과정'!$D$35*E883,"")</x:f>
        <x:v>580.9141602722601</x:v>
      </x:c>
      <x:c r="K883" s="4" t="n">
        <x:f>IF(AND('계산 과정'!$L$6,J883&gt;0),'계산 과정'!$D$10*('계산 과정'!$C$38*(D883-'계산 과정'!$C$32)+'계산 과정'!$D$38*(E883-'계산 과정'!$D$32)-'계산 과정'!$E$38*'계산 과정'!$E$32)/J883,"")</x:f>
        <x:v>0.9514085825742118</x:v>
      </x:c>
      <x:c r="L883" s="4" t="n">
        <x:f>IF(AND('계산 과정'!$L$6,J883&gt;0),'계산 과정'!$D$10*('계산 과정'!$C$39*(D883-'계산 과정'!$C$32)+'계산 과정'!$D$39*(E883-'계산 과정'!$D$32)-'계산 과정'!$E$39*'계산 과정'!$E$32)/J883,"")</x:f>
        <x:v>-0.13408309017026276</x:v>
      </x:c>
      <x:c r="M883" s="17" t="n">
        <x:f>IF('계산 과정'!$L$6,IF(J883&lt;=0,0,IF(AND(ABS(K883)&lt;='계산 과정'!$D$11/2,ABS(L883)&lt;='계산 과정'!$D$12/2),1,0)),"")</x:f>
        <x:v>1</x:v>
      </x:c>
      <x:c r="N883" s="17" t="n">
        <x:f>IF('계산 과정'!$C$78,IF(AND(ISNUMBER(H883),ISNUMBER(I883),ABS(H883-'계산 과정'!$C$88)&lt;='계산 과정'!$D$23/2,ABS(I883-'계산 과정'!$C$89)&lt;='계산 과정'!$D$24/2),1,0),"")</x:f>
        <x:v>1</x:v>
      </x:c>
      <x:c r="O883" s="4" t="n">
        <x:f>IF('계산 과정'!$L$7,'계산 과정'!$C$49*('계산 과정'!$C$32-D883)+'계산 과정'!$D$49*('계산 과정'!$D$32-E883)+'계산 과정'!$E$49*'계산 과정'!$E$32,"")</x:f>
        <x:v>69.08583972774002</x:v>
      </x:c>
      <x:c r="P883" s="4" t="n">
        <x:f>IF(AND('계산 과정'!$L$7,O883&lt;&gt;0),('계산 과정'!$L$23-'계산 과정'!$C$49*D883-'계산 과정'!$D$49*E883)/O883,"")</x:f>
        <x:v>6.789898502737429</x:v>
      </x:c>
      <x:c r="Q883" s="4" t="str">
        <x:f>IF(AND(ISNUMBER(P883),P883&gt;1E-9,P883&lt;1-1E-9),'계산 과정'!$C$47*(D883-'계산 과정'!$C$50+P883*('계산 과정'!$C$32-D883))+'계산 과정'!$D$47*(E883-'계산 과정'!$D$50+P883*('계산 과정'!$D$32-E883))+'계산 과정'!$E$47*(0-'계산 과정'!$E$50+P883*('계산 과정'!$E$32-0)),"")</x:f>
      </x:c>
      <x:c r="R883" s="4" t="str">
        <x:f>IF(AND(ISNUMBER(P883),P883&gt;1E-9,P883&lt;1-1E-9),'계산 과정'!$C$48*(D883-'계산 과정'!$C$50+P883*('계산 과정'!$C$32-D883))+'계산 과정'!$D$48*(E883-'계산 과정'!$D$50+P883*('계산 과정'!$D$32-E883))+'계산 과정'!$E$48*(0-'계산 과정'!$E$50+P883*('계산 과정'!$E$32-0)),"")</x:f>
      </x:c>
      <x:c r="S883" s="17" t="n">
        <x:f>IF('계산 과정'!$C$78,IF(AND(ISNUMBER(Q883),ISNUMBER(R883),ABS(Q883-'계산 과정'!$C$88)&lt;='계산 과정'!$D$23/2,ABS(R883-'계산 과정'!$C$89)&lt;='계산 과정'!$D$24/2),1,0),"")</x:f>
        <x:v>0</x:v>
      </x:c>
      <x:c r="T883" s="4"/>
      <x:c r="U883" s="4"/>
      <x:c r="V883" s="4"/>
      <x:c r="W883" s="4"/>
      <x:c r="X883" s="4"/>
      <x:c r="Y883" s="4"/>
      <x:c r="Z883" s="4"/>
    </x:row>
    <x:row r="884" ht="23" customHeight="1">
      <x:c r="A884" s="17" t="n">
        <x:f>ROW()-6</x:f>
        <x:v>878</x:v>
      </x:c>
      <x:c r="B884" s="4" t="n">
        <x:f>IF('계산 과정'!$L$5,'계산 과정'!$L$11*SQRT((A884+0.5)/'계산 과정'!$L$30),"")</x:f>
        <x:v>98.24199335219384</x:v>
      </x:c>
      <x:c r="C884" s="4" t="n">
        <x:f>A884*PI()*(3-SQRT(5))</x:f>
        <x:v>2107.167715701757</x:v>
      </x:c>
      <x:c r="D884" s="4" t="n">
        <x:f>IF('계산 과정'!$L$5,B884*COS(C884),"")</x:f>
        <x:v>-65.50299583893688</x:v>
      </x:c>
      <x:c r="E884" s="4" t="n">
        <x:f>IF('계산 과정'!$L$5,B884*SIN(C884),"")</x:f>
        <x:v>73.21780380438022</x:v>
      </x:c>
      <x:c r="F884" s="4" t="n">
        <x:f>IF('계산 과정'!$L$7,'계산 과정'!$L$22+'계산 과정'!$C$49*D884+'계산 과정'!$D$49*E884,"")</x:f>
        <x:v>696.3176125457464</x:v>
      </x:c>
      <x:c r="G884" s="4" t="n">
        <x:f>IF('계산 과정'!$L$7,IF(ABS(F884)&gt;=1E-12*MAX(1,SQRT((D884-'계산 과정'!$C$33)^2+(E884-'계산 과정'!$D$33)^2+'계산 과정'!$E$33^2)),('계산 과정'!$L$23-'계산 과정'!$C$49*D884-'계산 과정'!$D$49*E884)/F884,""),"")</x:f>
        <x:v>0.5079325599149878</x:v>
      </x:c>
      <x:c r="H884" s="4" t="n">
        <x:f>IF(AND(ISNUMBER(G884),G884&gt;0),('계산 과정'!$D$56+'계산 과정'!$D$57*D884+'계산 과정'!$D$58*E884)/F884,"")</x:f>
        <x:v>-69.84383605525817</x:v>
      </x:c>
      <x:c r="I884" s="4" t="n">
        <x:f>IF(AND(ISNUMBER(G884),G884&gt;0),('계산 과정'!$E$56+'계산 과정'!$E$57*D884+'계산 과정'!$E$58*E884)/F884,"")</x:f>
        <x:v>110.40751032209239</x:v>
      </x:c>
      <x:c r="J884" s="4" t="n">
        <x:f>IF('계산 과정'!$L$5,'계산 과정'!$D$6+'계산 과정'!$C$35*D884+'계산 과정'!$D$35*E884,"")</x:f>
        <x:v>696.3176125457464</x:v>
      </x:c>
      <x:c r="K884" s="4" t="n">
        <x:f>IF(AND('계산 과정'!$L$6,J884&gt;0),'계산 과정'!$D$10*('계산 과정'!$C$38*(D884-'계산 과정'!$C$32)+'계산 과정'!$D$38*(E884-'계산 과정'!$D$32)-'계산 과정'!$E$38*'계산 과정'!$E$32)/J884,"")</x:f>
        <x:v>-0.5321435128019656</x:v>
      </x:c>
      <x:c r="L884" s="4" t="n">
        <x:f>IF(AND('계산 과정'!$L$6,J884&gt;0),'계산 과정'!$D$10*('계산 과정'!$C$39*(D884-'계산 과정'!$C$32)+'계산 과정'!$D$39*(E884-'계산 과정'!$D$32)-'계산 과정'!$E$39*'계산 과정'!$E$32)/J884,"")</x:f>
        <x:v>0.8412000786445135</x:v>
      </x:c>
      <x:c r="M884" s="17" t="n">
        <x:f>IF('계산 과정'!$L$6,IF(J884&lt;=0,0,IF(AND(ABS(K884)&lt;='계산 과정'!$D$11/2,ABS(L884)&lt;='계산 과정'!$D$12/2),1,0)),"")</x:f>
        <x:v>1</x:v>
      </x:c>
      <x:c r="N884" s="17" t="n">
        <x:f>IF('계산 과정'!$C$78,IF(AND(ISNUMBER(H884),ISNUMBER(I884),ABS(H884-'계산 과정'!$C$88)&lt;='계산 과정'!$D$23/2,ABS(I884-'계산 과정'!$C$89)&lt;='계산 과정'!$D$24/2),1,0),"")</x:f>
        <x:v>1</x:v>
      </x:c>
      <x:c r="O884" s="4" t="n">
        <x:f>IF('계산 과정'!$L$7,'계산 과정'!$C$49*('계산 과정'!$C$32-D884)+'계산 과정'!$D$49*('계산 과정'!$D$32-E884)+'계산 과정'!$E$49*'계산 과정'!$E$32,"")</x:f>
        <x:v>-46.31761254574633</x:v>
      </x:c>
      <x:c r="P884" s="4" t="n">
        <x:f>IF(AND('계산 과정'!$L$7,O884&lt;&gt;0),('계산 과정'!$L$23-'계산 과정'!$C$49*D884-'계산 과정'!$D$49*E884)/O884,"")</x:f>
        <x:v>-7.636023707071117</x:v>
      </x:c>
      <x:c r="Q884" s="4" t="str">
        <x:f>IF(AND(ISNUMBER(P884),P884&gt;1E-9,P884&lt;1-1E-9),'계산 과정'!$C$47*(D884-'계산 과정'!$C$50+P884*('계산 과정'!$C$32-D884))+'계산 과정'!$D$47*(E884-'계산 과정'!$D$50+P884*('계산 과정'!$D$32-E884))+'계산 과정'!$E$47*(0-'계산 과정'!$E$50+P884*('계산 과정'!$E$32-0)),"")</x:f>
      </x:c>
      <x:c r="R884" s="4" t="str">
        <x:f>IF(AND(ISNUMBER(P884),P884&gt;1E-9,P884&lt;1-1E-9),'계산 과정'!$C$48*(D884-'계산 과정'!$C$50+P884*('계산 과정'!$C$32-D884))+'계산 과정'!$D$48*(E884-'계산 과정'!$D$50+P884*('계산 과정'!$D$32-E884))+'계산 과정'!$E$48*(0-'계산 과정'!$E$50+P884*('계산 과정'!$E$32-0)),"")</x:f>
      </x:c>
      <x:c r="S884" s="17" t="n">
        <x:f>IF('계산 과정'!$C$78,IF(AND(ISNUMBER(Q884),ISNUMBER(R884),ABS(Q884-'계산 과정'!$C$88)&lt;='계산 과정'!$D$23/2,ABS(R884-'계산 과정'!$C$89)&lt;='계산 과정'!$D$24/2),1,0),"")</x:f>
        <x:v>0</x:v>
      </x:c>
      <x:c r="T884" s="4"/>
      <x:c r="U884" s="4"/>
      <x:c r="V884" s="4"/>
      <x:c r="W884" s="4"/>
      <x:c r="X884" s="4"/>
      <x:c r="Y884" s="4"/>
      <x:c r="Z884" s="4"/>
    </x:row>
    <x:row r="885" ht="23" customHeight="1">
      <x:c r="A885" s="17" t="n">
        <x:f>ROW()-6</x:f>
        <x:v>879</x:v>
      </x:c>
      <x:c r="B885" s="4" t="n">
        <x:f>IF('계산 과정'!$L$5,'계산 과정'!$L$11*SQRT((A885+0.5)/'계산 과정'!$L$30),"")</x:f>
        <x:v>98.29789207270673</x:v>
      </x:c>
      <x:c r="C885" s="4" t="n">
        <x:f>A885*PI()*(3-SQRT(5))</x:f>
        <x:v>2109.5676789314857</x:v>
      </x:c>
      <x:c r="D885" s="4" t="n">
        <x:f>IF('계산 과정'!$L$5,B885*COS(C885),"")</x:f>
        <x:v>-1.158704200766508</x:v>
      </x:c>
      <x:c r="E885" s="4" t="n">
        <x:f>IF('계산 과정'!$L$5,B885*SIN(C885),"")</x:f>
        <x:v>-98.29106261767967</x:v>
      </x:c>
      <x:c r="F885" s="4" t="n">
        <x:f>IF('계산 과정'!$L$7,'계산 과정'!$L$22+'계산 과정'!$C$49*D885+'계산 과정'!$D$49*E885,"")</x:f>
        <x:v>650.8193275977513</x:v>
      </x:c>
      <x:c r="G885" s="4" t="n">
        <x:f>IF('계산 과정'!$L$7,IF(ABS(F885)&gt;=1E-12*MAX(1,SQRT((D885-'계산 과정'!$C$33)^2+(E885-'계산 과정'!$D$33)^2+'계산 과정'!$E$33^2)),('계산 과정'!$L$23-'계산 과정'!$C$49*D885-'계산 과정'!$D$49*E885)/F885,""),"")</x:f>
        <x:v>0.6133509800264695</x:v>
      </x:c>
      <x:c r="H885" s="4" t="n">
        <x:f>IF(AND(ISNUMBER(G885),G885&gt;0),('계산 과정'!$D$56+'계산 과정'!$D$57*D885+'계산 과정'!$D$58*E885)/F885,"")</x:f>
        <x:v>-1.3218629827949657</x:v>
      </x:c>
      <x:c r="I885" s="4" t="n">
        <x:f>IF(AND(ISNUMBER(G885),G885&gt;0),('계산 과정'!$E$56+'계산 과정'!$E$57*D885+'계산 과정'!$E$58*E885)/F885,"")</x:f>
        <x:v>-158.57798220207656</x:v>
      </x:c>
      <x:c r="J885" s="4" t="n">
        <x:f>IF('계산 과정'!$L$5,'계산 과정'!$D$6+'계산 과정'!$C$35*D885+'계산 과정'!$D$35*E885,"")</x:f>
        <x:v>650.8193275977513</x:v>
      </x:c>
      <x:c r="K885" s="4" t="n">
        <x:f>IF(AND('계산 과정'!$L$6,J885&gt;0),'계산 과정'!$D$10*('계산 과정'!$C$38*(D885-'계산 과정'!$C$32)+'계산 과정'!$D$38*(E885-'계산 과정'!$D$32)-'계산 과정'!$E$38*'계산 과정'!$E$32)/J885,"")</x:f>
        <x:v>-0.010071337011770334</x:v>
      </x:c>
      <x:c r="L885" s="4" t="n">
        <x:f>IF(AND('계산 과정'!$L$6,J885&gt;0),'계산 과정'!$D$10*('계산 과정'!$C$39*(D885-'계산 과정'!$C$32)+'계산 과정'!$D$39*(E885-'계산 과정'!$D$32)-'계산 과정'!$E$39*'계산 과정'!$E$32)/J885,"")</x:f>
        <x:v>-1.2082131977301072</x:v>
      </x:c>
      <x:c r="M885" s="17" t="n">
        <x:f>IF('계산 과정'!$L$6,IF(J885&lt;=0,0,IF(AND(ABS(K885)&lt;='계산 과정'!$D$11/2,ABS(L885)&lt;='계산 과정'!$D$12/2),1,0)),"")</x:f>
        <x:v>1</x:v>
      </x:c>
      <x:c r="N885" s="17" t="n">
        <x:f>IF('계산 과정'!$C$78,IF(AND(ISNUMBER(H885),ISNUMBER(I885),ABS(H885-'계산 과정'!$C$88)&lt;='계산 과정'!$D$23/2,ABS(I885-'계산 과정'!$C$89)&lt;='계산 과정'!$D$24/2),1,0),"")</x:f>
        <x:v>1</x:v>
      </x:c>
      <x:c r="O885" s="4" t="n">
        <x:f>IF('계산 과정'!$L$7,'계산 과정'!$C$49*('계산 과정'!$C$32-D885)+'계산 과정'!$D$49*('계산 과정'!$D$32-E885)+'계산 과정'!$E$49*'계산 과정'!$E$32,"")</x:f>
        <x:v>-0.8193275977512258</x:v>
      </x:c>
      <x:c r="P885" s="4" t="n">
        <x:f>IF(AND('계산 과정'!$L$7,O885&lt;&gt;0),('계산 과정'!$L$23-'계산 과정'!$C$49*D885-'계산 과정'!$D$49*E885)/O885,"")</x:f>
        <x:v>-487.2052076579175</x:v>
      </x:c>
      <x:c r="Q885" s="4" t="str">
        <x:f>IF(AND(ISNUMBER(P885),P885&gt;1E-9,P885&lt;1-1E-9),'계산 과정'!$C$47*(D885-'계산 과정'!$C$50+P885*('계산 과정'!$C$32-D885))+'계산 과정'!$D$47*(E885-'계산 과정'!$D$50+P885*('계산 과정'!$D$32-E885))+'계산 과정'!$E$47*(0-'계산 과정'!$E$50+P885*('계산 과정'!$E$32-0)),"")</x:f>
      </x:c>
      <x:c r="R885" s="4" t="str">
        <x:f>IF(AND(ISNUMBER(P885),P885&gt;1E-9,P885&lt;1-1E-9),'계산 과정'!$C$48*(D885-'계산 과정'!$C$50+P885*('계산 과정'!$C$32-D885))+'계산 과정'!$D$48*(E885-'계산 과정'!$D$50+P885*('계산 과정'!$D$32-E885))+'계산 과정'!$E$48*(0-'계산 과정'!$E$50+P885*('계산 과정'!$E$32-0)),"")</x:f>
      </x:c>
      <x:c r="S885" s="17" t="n">
        <x:f>IF('계산 과정'!$C$78,IF(AND(ISNUMBER(Q885),ISNUMBER(R885),ABS(Q885-'계산 과정'!$C$88)&lt;='계산 과정'!$D$23/2,ABS(R885-'계산 과정'!$C$89)&lt;='계산 과정'!$D$24/2),1,0),"")</x:f>
        <x:v>0</x:v>
      </x:c>
      <x:c r="T885" s="4"/>
      <x:c r="U885" s="4"/>
      <x:c r="V885" s="4"/>
      <x:c r="W885" s="4"/>
      <x:c r="X885" s="4"/>
      <x:c r="Y885" s="4"/>
      <x:c r="Z885" s="4"/>
    </x:row>
    <x:row r="886" ht="23" customHeight="1">
      <x:c r="A886" s="17" t="n">
        <x:f>ROW()-6</x:f>
        <x:v>880</x:v>
      </x:c>
      <x:c r="B886" s="4" t="n">
        <x:f>IF('계산 과정'!$L$5,'계산 과정'!$L$11*SQRT((A886+0.5)/'계산 과정'!$L$30),"")</x:f>
        <x:v>98.35375902354977</x:v>
      </x:c>
      <x:c r="C886" s="4" t="n">
        <x:f>A886*PI()*(3-SQRT(5))</x:f>
        <x:v>2111.967642161215</x:v>
      </x:c>
      <x:c r="D886" s="4" t="n">
        <x:f>IF('계산 과정'!$L$5,B886*COS(C886),"")</x:f>
        <x:v>67.28727177679808</x:v>
      </x:c>
      <x:c r="E886" s="4" t="n">
        <x:f>IF('계산 과정'!$L$5,B886*SIN(C886),"")</x:f>
        <x:v>71.73482397620984</x:v>
      </x:c>
      <x:c r="F886" s="4" t="n">
        <x:f>IF('계산 과정'!$L$7,'계산 과정'!$L$22+'계산 과정'!$C$49*D886+'계산 과정'!$D$49*E886,"")</x:f>
        <x:v>602.4207138390839</x:v>
      </x:c>
      <x:c r="G886" s="4" t="n">
        <x:f>IF('계산 과정'!$L$7,IF(ABS(F886)&gt;=1E-12*MAX(1,SQRT((D886-'계산 과정'!$C$33)^2+(E886-'계산 과정'!$D$33)^2+'계산 과정'!$E$33^2)),('계산 과정'!$L$23-'계산 과정'!$C$49*D886-'계산 과정'!$D$49*E886)/F886,""),"")</x:f>
        <x:v>0.7429679555814073</x:v>
      </x:c>
      <x:c r="H886" s="4" t="n">
        <x:f>IF(AND(ISNUMBER(G886),G886&gt;0),('계산 과정'!$D$56+'계산 과정'!$D$57*D886+'계산 과정'!$D$58*E886)/F886,"")</x:f>
        <x:v>82.9291711279146</x:v>
      </x:c>
      <x:c r="I886" s="4" t="n">
        <x:f>IF(AND(ISNUMBER(G886),G886&gt;0),('계산 과정'!$E$56+'계산 과정'!$E$57*D886+'계산 과정'!$E$58*E886)/F886,"")</x:f>
        <x:v>125.03149948980656</x:v>
      </x:c>
      <x:c r="J886" s="4" t="n">
        <x:f>IF('계산 과정'!$L$5,'계산 과정'!$D$6+'계산 과정'!$C$35*D886+'계산 과정'!$D$35*E886,"")</x:f>
        <x:v>602.4207138390839</x:v>
      </x:c>
      <x:c r="K886" s="4" t="n">
        <x:f>IF(AND('계산 과정'!$L$6,J886&gt;0),'계산 과정'!$D$10*('계산 과정'!$C$38*(D886-'계산 과정'!$C$32)+'계산 과정'!$D$38*(E886-'계산 과정'!$D$32)-'계산 과정'!$E$38*'계산 과정'!$E$32)/J886,"")</x:f>
        <x:v>0.6318413038317312</x:v>
      </x:c>
      <x:c r="L886" s="4" t="n">
        <x:f>IF(AND('계산 과정'!$L$6,J886&gt;0),'계산 과정'!$D$10*('계산 과정'!$C$39*(D886-'계산 과정'!$C$32)+'계산 과정'!$D$39*(E886-'계산 과정'!$D$32)-'계산 과정'!$E$39*'계산 과정'!$E$32)/J886,"")</x:f>
        <x:v>0.9526209484937644</x:v>
      </x:c>
      <x:c r="M886" s="17" t="n">
        <x:f>IF('계산 과정'!$L$6,IF(J886&lt;=0,0,IF(AND(ABS(K886)&lt;='계산 과정'!$D$11/2,ABS(L886)&lt;='계산 과정'!$D$12/2),1,0)),"")</x:f>
        <x:v>1</x:v>
      </x:c>
      <x:c r="N886" s="17" t="n">
        <x:f>IF('계산 과정'!$C$78,IF(AND(ISNUMBER(H886),ISNUMBER(I886),ABS(H886-'계산 과정'!$C$88)&lt;='계산 과정'!$D$23/2,ABS(I886-'계산 과정'!$C$89)&lt;='계산 과정'!$D$24/2),1,0),"")</x:f>
        <x:v>1</x:v>
      </x:c>
      <x:c r="O886" s="4" t="n">
        <x:f>IF('계산 과정'!$L$7,'계산 과정'!$C$49*('계산 과정'!$C$32-D886)+'계산 과정'!$D$49*('계산 과정'!$D$32-E886)+'계산 과정'!$E$49*'계산 과정'!$E$32,"")</x:f>
        <x:v>47.57928616091624</x:v>
      </x:c>
      <x:c r="P886" s="4" t="n">
        <x:f>IF(AND('계산 과정'!$L$7,O886&lt;&gt;0),('계산 과정'!$L$23-'계산 과정'!$C$49*D886-'계산 과정'!$D$49*E886)/O886,"")</x:f>
        <x:v>9.40701978266706</x:v>
      </x:c>
      <x:c r="Q886" s="4" t="str">
        <x:f>IF(AND(ISNUMBER(P886),P886&gt;1E-9,P886&lt;1-1E-9),'계산 과정'!$C$47*(D886-'계산 과정'!$C$50+P886*('계산 과정'!$C$32-D886))+'계산 과정'!$D$47*(E886-'계산 과정'!$D$50+P886*('계산 과정'!$D$32-E886))+'계산 과정'!$E$47*(0-'계산 과정'!$E$50+P886*('계산 과정'!$E$32-0)),"")</x:f>
      </x:c>
      <x:c r="R886" s="4" t="str">
        <x:f>IF(AND(ISNUMBER(P886),P886&gt;1E-9,P886&lt;1-1E-9),'계산 과정'!$C$48*(D886-'계산 과정'!$C$50+P886*('계산 과정'!$C$32-D886))+'계산 과정'!$D$48*(E886-'계산 과정'!$D$50+P886*('계산 과정'!$D$32-E886))+'계산 과정'!$E$48*(0-'계산 과정'!$E$50+P886*('계산 과정'!$E$32-0)),"")</x:f>
      </x:c>
      <x:c r="S886" s="17" t="n">
        <x:f>IF('계산 과정'!$C$78,IF(AND(ISNUMBER(Q886),ISNUMBER(R886),ABS(Q886-'계산 과정'!$C$88)&lt;='계산 과정'!$D$23/2,ABS(R886-'계산 과정'!$C$89)&lt;='계산 과정'!$D$24/2),1,0),"")</x:f>
        <x:v>0</x:v>
      </x:c>
      <x:c r="T886" s="4"/>
      <x:c r="U886" s="4"/>
      <x:c r="V886" s="4"/>
      <x:c r="W886" s="4"/>
      <x:c r="X886" s="4"/>
      <x:c r="Y886" s="4"/>
      <x:c r="Z886" s="4"/>
    </x:row>
    <x:row r="887" ht="23" customHeight="1">
      <x:c r="A887" s="17" t="n">
        <x:f>ROW()-6</x:f>
        <x:v>881</x:v>
      </x:c>
      <x:c r="B887" s="4" t="n">
        <x:f>IF('계산 과정'!$L$5,'계산 과정'!$L$11*SQRT((A887+0.5)/'계산 과정'!$L$30),"")</x:f>
        <x:v>98.40959425882976</x:v>
      </x:c>
      <x:c r="C887" s="4" t="n">
        <x:f>A887*PI()*(3-SQRT(5))</x:f>
        <x:v>2114.367605390943</x:v>
      </x:c>
      <x:c r="D887" s="4" t="n">
        <x:f>IF('계산 과정'!$L$5,B887*COS(C887),"")</x:f>
        <x:v>-98.12739257633787</x:v>
      </x:c>
      <x:c r="E887" s="4" t="n">
        <x:f>IF('계산 과정'!$L$5,B887*SIN(C887),"")</x:f>
        <x:v>-7.447353110788417</x:v>
      </x:c>
      <x:c r="F887" s="4" t="n">
        <x:f>IF('계산 과정'!$L$7,'계산 과정'!$L$22+'계산 과정'!$C$49*D887+'계산 과정'!$D$49*E887,"")</x:f>
        <x:v>719.386544710883</x:v>
      </x:c>
      <x:c r="G887" s="4" t="n">
        <x:f>IF('계산 과정'!$L$7,IF(ABS(F887)&gt;=1E-12*MAX(1,SQRT((D887-'계산 과정'!$C$33)^2+(E887-'계산 과정'!$D$33)^2+'계산 과정'!$E$33^2)),('계산 과정'!$L$23-'계산 과정'!$C$49*D887-'계산 과정'!$D$49*E887)/F887,""),"")</x:f>
        <x:v>0.4595769238664153</x:v>
      </x:c>
      <x:c r="H887" s="4" t="n">
        <x:f>IF(AND(ISNUMBER(G887),G887&gt;0),('계산 과정'!$D$56+'계산 과정'!$D$57*D887+'계산 과정'!$D$58*E887)/F887,"")</x:f>
        <x:v>-101.27499948683021</x:v>
      </x:c>
      <x:c r="I887" s="4" t="n">
        <x:f>IF(AND(ISNUMBER(G887),G887&gt;0),('계산 과정'!$E$56+'계산 과정'!$E$57*D887+'계산 과정'!$E$58*E887)/F887,"")</x:f>
        <x:v>-10.869984744391536</x:v>
      </x:c>
      <x:c r="J887" s="4" t="n">
        <x:f>IF('계산 과정'!$L$5,'계산 과정'!$D$6+'계산 과정'!$C$35*D887+'계산 과정'!$D$35*E887,"")</x:f>
        <x:v>719.386544710883</x:v>
      </x:c>
      <x:c r="K887" s="4" t="n">
        <x:f>IF(AND('계산 과정'!$L$6,J887&gt;0),'계산 과정'!$D$10*('계산 과정'!$C$38*(D887-'계산 과정'!$C$32)+'계산 과정'!$D$38*(E887-'계산 과정'!$D$32)-'계산 과정'!$E$38*'계산 과정'!$E$32)/J887,"")</x:f>
        <x:v>-0.7716190437091819</x:v>
      </x:c>
      <x:c r="L887" s="4" t="n">
        <x:f>IF(AND('계산 과정'!$L$6,J887&gt;0),'계산 과정'!$D$10*('계산 과정'!$C$39*(D887-'계산 과정'!$C$32)+'계산 과정'!$D$39*(E887-'계산 과정'!$D$32)-'계산 과정'!$E$39*'계산 과정'!$E$32)/J887,"")</x:f>
        <x:v>-0.08281893138584027</x:v>
      </x:c>
      <x:c r="M887" s="17" t="n">
        <x:f>IF('계산 과정'!$L$6,IF(J887&lt;=0,0,IF(AND(ABS(K887)&lt;='계산 과정'!$D$11/2,ABS(L887)&lt;='계산 과정'!$D$12/2),1,0)),"")</x:f>
        <x:v>1</x:v>
      </x:c>
      <x:c r="N887" s="17" t="n">
        <x:f>IF('계산 과정'!$C$78,IF(AND(ISNUMBER(H887),ISNUMBER(I887),ABS(H887-'계산 과정'!$C$88)&lt;='계산 과정'!$D$23/2,ABS(I887-'계산 과정'!$C$89)&lt;='계산 과정'!$D$24/2),1,0),"")</x:f>
        <x:v>1</x:v>
      </x:c>
      <x:c r="O887" s="4" t="n">
        <x:f>IF('계산 과정'!$L$7,'계산 과정'!$C$49*('계산 과정'!$C$32-D887)+'계산 과정'!$D$49*('계산 과정'!$D$32-E887)+'계산 과정'!$E$49*'계산 과정'!$E$32,"")</x:f>
        <x:v>-69.3865447108829</x:v>
      </x:c>
      <x:c r="P887" s="4" t="n">
        <x:f>IF(AND('계산 과정'!$L$7,O887&lt;&gt;0),('계산 과정'!$L$23-'계산 과정'!$C$49*D887-'계산 과정'!$D$49*E887)/O887,"")</x:f>
        <x:v>-4.764806442901921</x:v>
      </x:c>
      <x:c r="Q887" s="4" t="str">
        <x:f>IF(AND(ISNUMBER(P887),P887&gt;1E-9,P887&lt;1-1E-9),'계산 과정'!$C$47*(D887-'계산 과정'!$C$50+P887*('계산 과정'!$C$32-D887))+'계산 과정'!$D$47*(E887-'계산 과정'!$D$50+P887*('계산 과정'!$D$32-E887))+'계산 과정'!$E$47*(0-'계산 과정'!$E$50+P887*('계산 과정'!$E$32-0)),"")</x:f>
      </x:c>
      <x:c r="R887" s="4" t="str">
        <x:f>IF(AND(ISNUMBER(P887),P887&gt;1E-9,P887&lt;1-1E-9),'계산 과정'!$C$48*(D887-'계산 과정'!$C$50+P887*('계산 과정'!$C$32-D887))+'계산 과정'!$D$48*(E887-'계산 과정'!$D$50+P887*('계산 과정'!$D$32-E887))+'계산 과정'!$E$48*(0-'계산 과정'!$E$50+P887*('계산 과정'!$E$32-0)),"")</x:f>
      </x:c>
      <x:c r="S887" s="17" t="n">
        <x:f>IF('계산 과정'!$C$78,IF(AND(ISNUMBER(Q887),ISNUMBER(R887),ABS(Q887-'계산 과정'!$C$88)&lt;='계산 과정'!$D$23/2,ABS(R887-'계산 과정'!$C$89)&lt;='계산 과정'!$D$24/2),1,0),"")</x:f>
        <x:v>0</x:v>
      </x:c>
      <x:c r="T887" s="4"/>
      <x:c r="U887" s="4"/>
      <x:c r="V887" s="4"/>
      <x:c r="W887" s="4"/>
      <x:c r="X887" s="4"/>
      <x:c r="Y887" s="4"/>
      <x:c r="Z887" s="4"/>
    </x:row>
    <x:row r="888" ht="23" customHeight="1">
      <x:c r="A888" s="17" t="n">
        <x:f>ROW()-6</x:f>
        <x:v>882</x:v>
      </x:c>
      <x:c r="B888" s="4" t="n">
        <x:f>IF('계산 과정'!$L$5,'계산 과정'!$L$11*SQRT((A888+0.5)/'계산 과정'!$L$30),"")</x:f>
        <x:v>98.46539783250002</x:v>
      </x:c>
      <x:c r="C888" s="4" t="n">
        <x:f>A888*PI()*(3-SQRT(5))</x:f>
        <x:v>2116.7675686206717</x:v>
      </x:c>
      <x:c r="D888" s="4" t="n">
        <x:f>IF('계산 과정'!$L$5,B888*COS(C888),"")</x:f>
        <x:v>77.43058257030809</x:v>
      </x:c>
      <x:c r="E888" s="4" t="n">
        <x:f>IF('계산 과정'!$L$5,B888*SIN(C888),"")</x:f>
        <x:v>-60.827127608783236</x:v>
      </x:c>
      <x:c r="F888" s="4" t="n">
        <x:f>IF('계산 과정'!$L$7,'계산 과정'!$L$22+'계산 과정'!$C$49*D888+'계산 과정'!$D$49*E888,"")</x:f>
        <x:v>595.2483099933103</x:v>
      </x:c>
      <x:c r="G888" s="4" t="n">
        <x:f>IF('계산 과정'!$L$7,IF(ABS(F888)&gt;=1E-12*MAX(1,SQRT((D888-'계산 과정'!$C$33)^2+(E888-'계산 과정'!$D$33)^2+'계산 과정'!$E$33^2)),('계산 과정'!$L$23-'계산 과정'!$C$49*D888-'계산 과정'!$D$49*E888)/F888,""),"")</x:f>
        <x:v>0.7639697288881013</x:v>
      </x:c>
      <x:c r="H888" s="4" t="n">
        <x:f>IF(AND(ISNUMBER(G888),G888&gt;0),('계산 과정'!$D$56+'계산 과정'!$D$57*D888+'계산 과정'!$D$58*E888)/F888,"")</x:f>
        <x:v>96.58032377726578</x:v>
      </x:c>
      <x:c r="I888" s="4" t="n">
        <x:f>IF(AND(ISNUMBER(G888),G888&gt;0),('계산 과정'!$E$56+'계산 과정'!$E$57*D888+'계산 과정'!$E$58*E888)/F888,"")</x:f>
        <x:v>-107.29721179710731</x:v>
      </x:c>
      <x:c r="J888" s="4" t="n">
        <x:f>IF('계산 과정'!$L$5,'계산 과정'!$D$6+'계산 과정'!$C$35*D888+'계산 과정'!$D$35*E888,"")</x:f>
        <x:v>595.2483099933103</x:v>
      </x:c>
      <x:c r="K888" s="4" t="n">
        <x:f>IF(AND('계산 과정'!$L$6,J888&gt;0),'계산 과정'!$D$10*('계산 과정'!$C$38*(D888-'계산 과정'!$C$32)+'계산 과정'!$D$38*(E888-'계산 과정'!$D$32)-'계산 과정'!$E$38*'계산 과정'!$E$32)/J888,"")</x:f>
        <x:v>0.7358500859220263</x:v>
      </x:c>
      <x:c r="L888" s="4" t="n">
        <x:f>IF(AND('계산 과정'!$L$6,J888&gt;0),'계산 과정'!$D$10*('계산 과정'!$C$39*(D888-'계산 과정'!$C$32)+'계산 과정'!$D$39*(E888-'계산 과정'!$D$32)-'계산 과정'!$E$39*'계산 과정'!$E$32)/J888,"")</x:f>
        <x:v>-0.8175025660731985</x:v>
      </x:c>
      <x:c r="M888" s="17" t="n">
        <x:f>IF('계산 과정'!$L$6,IF(J888&lt;=0,0,IF(AND(ABS(K888)&lt;='계산 과정'!$D$11/2,ABS(L888)&lt;='계산 과정'!$D$12/2),1,0)),"")</x:f>
        <x:v>1</x:v>
      </x:c>
      <x:c r="N888" s="17" t="n">
        <x:f>IF('계산 과정'!$C$78,IF(AND(ISNUMBER(H888),ISNUMBER(I888),ABS(H888-'계산 과정'!$C$88)&lt;='계산 과정'!$D$23/2,ABS(I888-'계산 과정'!$C$89)&lt;='계산 과정'!$D$24/2),1,0),"")</x:f>
        <x:v>1</x:v>
      </x:c>
      <x:c r="O888" s="4" t="n">
        <x:f>IF('계산 과정'!$L$7,'계산 과정'!$C$49*('계산 과정'!$C$32-D888)+'계산 과정'!$D$49*('계산 과정'!$D$32-E888)+'계산 과정'!$E$49*'계산 과정'!$E$32,"")</x:f>
        <x:v>54.75169000668984</x:v>
      </x:c>
      <x:c r="P888" s="4" t="n">
        <x:f>IF(AND('계산 과정'!$L$7,O888&lt;&gt;0),('계산 과정'!$L$23-'계산 과정'!$C$49*D888-'계산 과정'!$D$49*E888)/O888,"")</x:f>
        <x:v>8.305710562562103</x:v>
      </x:c>
      <x:c r="Q888" s="4" t="str">
        <x:f>IF(AND(ISNUMBER(P888),P888&gt;1E-9,P888&lt;1-1E-9),'계산 과정'!$C$47*(D888-'계산 과정'!$C$50+P888*('계산 과정'!$C$32-D888))+'계산 과정'!$D$47*(E888-'계산 과정'!$D$50+P888*('계산 과정'!$D$32-E888))+'계산 과정'!$E$47*(0-'계산 과정'!$E$50+P888*('계산 과정'!$E$32-0)),"")</x:f>
      </x:c>
      <x:c r="R888" s="4" t="str">
        <x:f>IF(AND(ISNUMBER(P888),P888&gt;1E-9,P888&lt;1-1E-9),'계산 과정'!$C$48*(D888-'계산 과정'!$C$50+P888*('계산 과정'!$C$32-D888))+'계산 과정'!$D$48*(E888-'계산 과정'!$D$50+P888*('계산 과정'!$D$32-E888))+'계산 과정'!$E$48*(0-'계산 과정'!$E$50+P888*('계산 과정'!$E$32-0)),"")</x:f>
      </x:c>
      <x:c r="S888" s="17" t="n">
        <x:f>IF('계산 과정'!$C$78,IF(AND(ISNUMBER(Q888),ISNUMBER(R888),ABS(Q888-'계산 과정'!$C$88)&lt;='계산 과정'!$D$23/2,ABS(R888-'계산 과정'!$C$89)&lt;='계산 과정'!$D$24/2),1,0),"")</x:f>
        <x:v>0</x:v>
      </x:c>
      <x:c r="T888" s="4"/>
      <x:c r="U888" s="4"/>
      <x:c r="V888" s="4"/>
      <x:c r="W888" s="4"/>
      <x:c r="X888" s="4"/>
      <x:c r="Y888" s="4"/>
      <x:c r="Z888" s="4"/>
    </x:row>
    <x:row r="889" ht="23" customHeight="1">
      <x:c r="A889" s="17" t="n">
        <x:f>ROW()-6</x:f>
        <x:v>883</x:v>
      </x:c>
      <x:c r="B889" s="4" t="n">
        <x:f>IF('계산 과정'!$L$5,'계산 과정'!$L$11*SQRT((A889+0.5)/'계산 과정'!$L$30),"")</x:f>
        <x:v>98.5211697983611</x:v>
      </x:c>
      <x:c r="C889" s="4" t="n">
        <x:f>A889*PI()*(3-SQRT(5))</x:f>
        <x:v>2119.1675318504003</x:v>
      </x:c>
      <x:c r="D889" s="4" t="n">
        <x:f>IF('계산 과정'!$L$5,B889*COS(C889),"")</x:f>
        <x:v>-16.01583389368302</x:v>
      </x:c>
      <x:c r="E889" s="4" t="n">
        <x:f>IF('계산 과정'!$L$5,B889*SIN(C889),"")</x:f>
        <x:v>97.21066794918886</x:v>
      </x:c>
      <x:c r="F889" s="4" t="n">
        <x:f>IF('계산 과정'!$L$7,'계산 과정'!$L$22+'계산 과정'!$C$49*D889+'계산 과정'!$D$49*E889,"")</x:f>
        <x:v>661.3249047525807</x:v>
      </x:c>
      <x:c r="G889" s="4" t="n">
        <x:f>IF('계산 과정'!$L$7,IF(ABS(F889)&gt;=1E-12*MAX(1,SQRT((D889-'계산 과정'!$C$33)^2+(E889-'계산 과정'!$D$33)^2+'계산 과정'!$E$33^2)),('계산 과정'!$L$23-'계산 과정'!$C$49*D889-'계산 과정'!$D$49*E889)/F889,""),"")</x:f>
        <x:v>0.5877218481478981</x:v>
      </x:c>
      <x:c r="H889" s="4" t="n">
        <x:f>IF(AND(ISNUMBER(G889),G889&gt;0),('계산 과정'!$D$56+'계산 과정'!$D$57*D889+'계산 과정'!$D$58*E889)/F889,"")</x:f>
        <x:v>-17.980798703866316</x:v>
      </x:c>
      <x:c r="I889" s="4" t="n">
        <x:f>IF(AND(ISNUMBER(G889),G889&gt;0),('계산 과정'!$E$56+'계산 과정'!$E$57*D889+'계산 과정'!$E$58*E889)/F889,"")</x:f>
        <x:v>154.34350137597778</x:v>
      </x:c>
      <x:c r="J889" s="4" t="n">
        <x:f>IF('계산 과정'!$L$5,'계산 과정'!$D$6+'계산 과정'!$C$35*D889+'계산 과정'!$D$35*E889,"")</x:f>
        <x:v>661.3249047525807</x:v>
      </x:c>
      <x:c r="K889" s="4" t="n">
        <x:f>IF(AND('계산 과정'!$L$6,J889&gt;0),'계산 과정'!$D$10*('계산 과정'!$C$38*(D889-'계산 과정'!$C$32)+'계산 과정'!$D$38*(E889-'계산 과정'!$D$32)-'계산 과정'!$E$38*'계산 과정'!$E$32)/J889,"")</x:f>
        <x:v>-0.13699656155326626</x:v>
      </x:c>
      <x:c r="L889" s="4" t="n">
        <x:f>IF(AND('계산 과정'!$L$6,J889&gt;0),'계산 과정'!$D$10*('계산 과정'!$C$39*(D889-'계산 과정'!$C$32)+'계산 과정'!$D$39*(E889-'계산 과정'!$D$32)-'계산 과정'!$E$39*'계산 과정'!$E$32)/J889,"")</x:f>
        <x:v>1.1759504866741164</x:v>
      </x:c>
      <x:c r="M889" s="17" t="n">
        <x:f>IF('계산 과정'!$L$6,IF(J889&lt;=0,0,IF(AND(ABS(K889)&lt;='계산 과정'!$D$11/2,ABS(L889)&lt;='계산 과정'!$D$12/2),1,0)),"")</x:f>
        <x:v>1</x:v>
      </x:c>
      <x:c r="N889" s="17" t="n">
        <x:f>IF('계산 과정'!$C$78,IF(AND(ISNUMBER(H889),ISNUMBER(I889),ABS(H889-'계산 과정'!$C$88)&lt;='계산 과정'!$D$23/2,ABS(I889-'계산 과정'!$C$89)&lt;='계산 과정'!$D$24/2),1,0),"")</x:f>
        <x:v>1</x:v>
      </x:c>
      <x:c r="O889" s="4" t="n">
        <x:f>IF('계산 과정'!$L$7,'계산 과정'!$C$49*('계산 과정'!$C$32-D889)+'계산 과정'!$D$49*('계산 과정'!$D$32-E889)+'계산 과정'!$E$49*'계산 과정'!$E$32,"")</x:f>
        <x:v>-11.324904752580494</x:v>
      </x:c>
      <x:c r="P889" s="4" t="n">
        <x:f>IF(AND('계산 과정'!$L$7,O889&lt;&gt;0),('계산 과정'!$L$23-'계산 과정'!$C$49*D889-'계산 과정'!$D$49*E889)/O889,"")</x:f>
        <x:v>-34.320385357665444</x:v>
      </x:c>
      <x:c r="Q889" s="4" t="str">
        <x:f>IF(AND(ISNUMBER(P889),P889&gt;1E-9,P889&lt;1-1E-9),'계산 과정'!$C$47*(D889-'계산 과정'!$C$50+P889*('계산 과정'!$C$32-D889))+'계산 과정'!$D$47*(E889-'계산 과정'!$D$50+P889*('계산 과정'!$D$32-E889))+'계산 과정'!$E$47*(0-'계산 과정'!$E$50+P889*('계산 과정'!$E$32-0)),"")</x:f>
      </x:c>
      <x:c r="R889" s="4" t="str">
        <x:f>IF(AND(ISNUMBER(P889),P889&gt;1E-9,P889&lt;1-1E-9),'계산 과정'!$C$48*(D889-'계산 과정'!$C$50+P889*('계산 과정'!$C$32-D889))+'계산 과정'!$D$48*(E889-'계산 과정'!$D$50+P889*('계산 과정'!$D$32-E889))+'계산 과정'!$E$48*(0-'계산 과정'!$E$50+P889*('계산 과정'!$E$32-0)),"")</x:f>
      </x:c>
      <x:c r="S889" s="17" t="n">
        <x:f>IF('계산 과정'!$C$78,IF(AND(ISNUMBER(Q889),ISNUMBER(R889),ABS(Q889-'계산 과정'!$C$88)&lt;='계산 과정'!$D$23/2,ABS(R889-'계산 과정'!$C$89)&lt;='계산 과정'!$D$24/2),1,0),"")</x:f>
        <x:v>0</x:v>
      </x:c>
      <x:c r="T889" s="4"/>
      <x:c r="U889" s="4"/>
      <x:c r="V889" s="4"/>
      <x:c r="W889" s="4"/>
      <x:c r="X889" s="4"/>
      <x:c r="Y889" s="4"/>
      <x:c r="Z889" s="4"/>
    </x:row>
    <x:row r="890" ht="23" customHeight="1">
      <x:c r="A890" s="17" t="n">
        <x:f>ROW()-6</x:f>
        <x:v>884</x:v>
      </x:c>
      <x:c r="B890" s="4" t="n">
        <x:f>IF('계산 과정'!$L$5,'계산 과정'!$L$11*SQRT((A890+0.5)/'계산 과정'!$L$30),"")</x:f>
        <x:v>98.57691021006136</x:v>
      </x:c>
      <x:c r="C890" s="4" t="n">
        <x:f>A890*PI()*(3-SQRT(5))</x:f>
        <x:v>2121.5674950801294</x:v>
      </x:c>
      <x:c r="D890" s="4" t="n">
        <x:f>IF('계산 과정'!$L$5,B890*COS(C890),"")</x:f>
        <x:v>-53.885754982273205</x:v>
      </x:c>
      <x:c r="E890" s="4" t="n">
        <x:f>IF('계산 과정'!$L$5,B890*SIN(C890),"")</x:f>
        <x:v>-82.5453368552877</x:v>
      </x:c>
      <x:c r="F890" s="4" t="n">
        <x:f>IF('계산 과정'!$L$7,'계산 과정'!$L$22+'계산 과정'!$C$49*D890+'계산 과정'!$D$49*E890,"")</x:f>
        <x:v>688.1029827573221</x:v>
      </x:c>
      <x:c r="G890" s="4" t="n">
        <x:f>IF('계산 과정'!$L$7,IF(ABS(F890)&gt;=1E-12*MAX(1,SQRT((D890-'계산 과정'!$C$33)^2+(E890-'계산 과정'!$D$33)^2+'계산 과정'!$E$33^2)),('계산 과정'!$L$23-'계산 과정'!$C$49*D890-'계산 과정'!$D$49*E890)/F890,""),"")</x:f>
        <x:v>0.5259343823689113</x:v>
      </x:c>
      <x:c r="H890" s="4" t="n">
        <x:f>IF(AND(ISNUMBER(G890),G890&gt;0),('계산 과정'!$D$56+'계산 과정'!$D$57*D890+'계산 과정'!$D$58*E890)/F890,"")</x:f>
        <x:v>-58.14265146020781</x:v>
      </x:c>
      <x:c r="I890" s="4" t="n">
        <x:f>IF(AND(ISNUMBER(G890),G890&gt;0),('계산 과정'!$E$56+'계산 과정'!$E$57*D890+'계산 과정'!$E$58*E890)/F890,"")</x:f>
        <x:v>-125.95876761170717</x:v>
      </x:c>
      <x:c r="J890" s="4" t="n">
        <x:f>IF('계산 과정'!$L$5,'계산 과정'!$D$6+'계산 과정'!$C$35*D890+'계산 과정'!$D$35*E890,"")</x:f>
        <x:v>688.1029827573221</x:v>
      </x:c>
      <x:c r="K890" s="4" t="n">
        <x:f>IF(AND('계산 과정'!$L$6,J890&gt;0),'계산 과정'!$D$10*('계산 과정'!$C$38*(D890-'계산 과정'!$C$32)+'계산 과정'!$D$38*(E890-'계산 과정'!$D$32)-'계산 과정'!$E$38*'계산 과정'!$E$32)/J890,"")</x:f>
        <x:v>-0.4429916301730106</x:v>
      </x:c>
      <x:c r="L890" s="4" t="n">
        <x:f>IF(AND('계산 과정'!$L$6,J890&gt;0),'계산 과정'!$D$10*('계산 과정'!$C$39*(D890-'계산 과정'!$C$32)+'계산 과정'!$D$39*(E890-'계산 과정'!$D$32)-'계산 과정'!$E$39*'계산 과정'!$E$32)/J890,"")</x:f>
        <x:v>-0.9596858484701499</x:v>
      </x:c>
      <x:c r="M890" s="17" t="n">
        <x:f>IF('계산 과정'!$L$6,IF(J890&lt;=0,0,IF(AND(ABS(K890)&lt;='계산 과정'!$D$11/2,ABS(L890)&lt;='계산 과정'!$D$12/2),1,0)),"")</x:f>
        <x:v>1</x:v>
      </x:c>
      <x:c r="N890" s="17" t="n">
        <x:f>IF('계산 과정'!$C$78,IF(AND(ISNUMBER(H890),ISNUMBER(I890),ABS(H890-'계산 과정'!$C$88)&lt;='계산 과정'!$D$23/2,ABS(I890-'계산 과정'!$C$89)&lt;='계산 과정'!$D$24/2),1,0),"")</x:f>
        <x:v>1</x:v>
      </x:c>
      <x:c r="O890" s="4" t="n">
        <x:f>IF('계산 과정'!$L$7,'계산 과정'!$C$49*('계산 과정'!$C$32-D890)+'계산 과정'!$D$49*('계산 과정'!$D$32-E890)+'계산 과정'!$E$49*'계산 과정'!$E$32,"")</x:f>
        <x:v>-38.102982757322025</x:v>
      </x:c>
      <x:c r="P890" s="4" t="n">
        <x:f>IF(AND('계산 과정'!$L$7,O890&lt;&gt;0),('계산 과정'!$L$23-'계산 과정'!$C$49*D890-'계산 과정'!$D$49*E890)/O890,"")</x:f>
        <x:v>-9.497865811388067</x:v>
      </x:c>
      <x:c r="Q890" s="4" t="str">
        <x:f>IF(AND(ISNUMBER(P890),P890&gt;1E-9,P890&lt;1-1E-9),'계산 과정'!$C$47*(D890-'계산 과정'!$C$50+P890*('계산 과정'!$C$32-D890))+'계산 과정'!$D$47*(E890-'계산 과정'!$D$50+P890*('계산 과정'!$D$32-E890))+'계산 과정'!$E$47*(0-'계산 과정'!$E$50+P890*('계산 과정'!$E$32-0)),"")</x:f>
      </x:c>
      <x:c r="R890" s="4" t="str">
        <x:f>IF(AND(ISNUMBER(P890),P890&gt;1E-9,P890&lt;1-1E-9),'계산 과정'!$C$48*(D890-'계산 과정'!$C$50+P890*('계산 과정'!$C$32-D890))+'계산 과정'!$D$48*(E890-'계산 과정'!$D$50+P890*('계산 과정'!$D$32-E890))+'계산 과정'!$E$48*(0-'계산 과정'!$E$50+P890*('계산 과정'!$E$32-0)),"")</x:f>
      </x:c>
      <x:c r="S890" s="17" t="n">
        <x:f>IF('계산 과정'!$C$78,IF(AND(ISNUMBER(Q890),ISNUMBER(R890),ABS(Q890-'계산 과정'!$C$88)&lt;='계산 과정'!$D$23/2,ABS(R890-'계산 과정'!$C$89)&lt;='계산 과정'!$D$24/2),1,0),"")</x:f>
        <x:v>0</x:v>
      </x:c>
      <x:c r="T890" s="4"/>
      <x:c r="U890" s="4"/>
      <x:c r="V890" s="4"/>
      <x:c r="W890" s="4"/>
      <x:c r="X890" s="4"/>
      <x:c r="Y890" s="4"/>
      <x:c r="Z890" s="4"/>
    </x:row>
    <x:row r="891" ht="23" customHeight="1">
      <x:c r="A891" s="17" t="n">
        <x:f>ROW()-6</x:f>
        <x:v>885</x:v>
      </x:c>
      <x:c r="B891" s="4" t="n">
        <x:f>IF('계산 과정'!$L$5,'계산 과정'!$L$11*SQRT((A891+0.5)/'계산 과정'!$L$30),"")</x:f>
        <x:v>98.63261912109756</x:v>
      </x:c>
      <x:c r="C891" s="4" t="n">
        <x:f>A891*PI()*(3-SQRT(5))</x:f>
        <x:v>2123.9674583098576</x:v>
      </x:c>
      <x:c r="D891" s="4" t="n">
        <x:f>IF('계산 과정'!$L$5,B891*COS(C891),"")</x:f>
        <x:v>95.54621825202035</x:v>
      </x:c>
      <x:c r="E891" s="4" t="n">
        <x:f>IF('계산 과정'!$L$5,B891*SIN(C891),"")</x:f>
        <x:v>24.480885041697196</x:v>
      </x:c>
      <x:c r="F891" s="4" t="n">
        <x:f>IF('계산 과정'!$L$7,'계산 과정'!$L$22+'계산 과정'!$C$49*D891+'계산 과정'!$D$49*E891,"")</x:f>
        <x:v>582.4386211572665</x:v>
      </x:c>
      <x:c r="G891" s="4" t="n">
        <x:f>IF('계산 과정'!$L$7,IF(ABS(F891)&gt;=1E-12*MAX(1,SQRT((D891-'계산 과정'!$C$33)^2+(E891-'계산 과정'!$D$33)^2+'계산 과정'!$E$33^2)),('계산 과정'!$L$23-'계산 과정'!$C$49*D891-'계산 과정'!$D$49*E891)/F891,""),"")</x:f>
        <x:v>0.8027650671820497</x:v>
      </x:c>
      <x:c r="H891" s="4" t="n">
        <x:f>IF(AND(ISNUMBER(G891),G891&gt;0),('계산 과정'!$D$56+'계산 과정'!$D$57*D891+'계산 과정'!$D$58*E891)/F891,"")</x:f>
        <x:v>121.79729366833223</x:v>
      </x:c>
      <x:c r="I891" s="4" t="n">
        <x:f>IF(AND(ISNUMBER(G891),G891&gt;0),('계산 과정'!$E$56+'계산 과정'!$E$57*D891+'계산 과정'!$E$58*E891)/F891,"")</x:f>
        <x:v>44.13328436687128</x:v>
      </x:c>
      <x:c r="J891" s="4" t="n">
        <x:f>IF('계산 과정'!$L$5,'계산 과정'!$D$6+'계산 과정'!$C$35*D891+'계산 과정'!$D$35*E891,"")</x:f>
        <x:v>582.4386211572665</x:v>
      </x:c>
      <x:c r="K891" s="4" t="n">
        <x:f>IF(AND('계산 과정'!$L$6,J891&gt;0),'계산 과정'!$D$10*('계산 과정'!$C$38*(D891-'계산 과정'!$C$32)+'계산 과정'!$D$38*(E891-'계산 과정'!$D$32)-'계산 과정'!$E$38*'계산 과정'!$E$32)/J891,"")</x:f>
        <x:v>0.9279793803301508</x:v>
      </x:c>
      <x:c r="L891" s="4" t="n">
        <x:f>IF(AND('계산 과정'!$L$6,J891&gt;0),'계산 과정'!$D$10*('계산 과정'!$C$39*(D891-'계산 과정'!$C$32)+'계산 과정'!$D$39*(E891-'계산 과정'!$D$32)-'계산 과정'!$E$39*'계산 과정'!$E$32)/J891,"")</x:f>
        <x:v>0.33625359517616216</x:v>
      </x:c>
      <x:c r="M891" s="17" t="n">
        <x:f>IF('계산 과정'!$L$6,IF(J891&lt;=0,0,IF(AND(ABS(K891)&lt;='계산 과정'!$D$11/2,ABS(L891)&lt;='계산 과정'!$D$12/2),1,0)),"")</x:f>
        <x:v>1</x:v>
      </x:c>
      <x:c r="N891" s="17" t="n">
        <x:f>IF('계산 과정'!$C$78,IF(AND(ISNUMBER(H891),ISNUMBER(I891),ABS(H891-'계산 과정'!$C$88)&lt;='계산 과정'!$D$23/2,ABS(I891-'계산 과정'!$C$89)&lt;='계산 과정'!$D$24/2),1,0),"")</x:f>
        <x:v>1</x:v>
      </x:c>
      <x:c r="O891" s="4" t="n">
        <x:f>IF('계산 과정'!$L$7,'계산 과정'!$C$49*('계산 과정'!$C$32-D891)+'계산 과정'!$D$49*('계산 과정'!$D$32-E891)+'계산 과정'!$E$49*'계산 과정'!$E$32,"")</x:f>
        <x:v>67.56137884273357</x:v>
      </x:c>
      <x:c r="P891" s="4" t="n">
        <x:f>IF(AND('계산 과정'!$L$7,O891&lt;&gt;0),('계산 과정'!$L$23-'계산 과정'!$C$49*D891-'계산 과정'!$D$49*E891)/O891,"")</x:f>
        <x:v>6.9205422809842645</x:v>
      </x:c>
      <x:c r="Q891" s="4" t="str">
        <x:f>IF(AND(ISNUMBER(P891),P891&gt;1E-9,P891&lt;1-1E-9),'계산 과정'!$C$47*(D891-'계산 과정'!$C$50+P891*('계산 과정'!$C$32-D891))+'계산 과정'!$D$47*(E891-'계산 과정'!$D$50+P891*('계산 과정'!$D$32-E891))+'계산 과정'!$E$47*(0-'계산 과정'!$E$50+P891*('계산 과정'!$E$32-0)),"")</x:f>
      </x:c>
      <x:c r="R891" s="4" t="str">
        <x:f>IF(AND(ISNUMBER(P891),P891&gt;1E-9,P891&lt;1-1E-9),'계산 과정'!$C$48*(D891-'계산 과정'!$C$50+P891*('계산 과정'!$C$32-D891))+'계산 과정'!$D$48*(E891-'계산 과정'!$D$50+P891*('계산 과정'!$D$32-E891))+'계산 과정'!$E$48*(0-'계산 과정'!$E$50+P891*('계산 과정'!$E$32-0)),"")</x:f>
      </x:c>
      <x:c r="S891" s="17" t="n">
        <x:f>IF('계산 과정'!$C$78,IF(AND(ISNUMBER(Q891),ISNUMBER(R891),ABS(Q891-'계산 과정'!$C$88)&lt;='계산 과정'!$D$23/2,ABS(R891-'계산 과정'!$C$89)&lt;='계산 과정'!$D$24/2),1,0),"")</x:f>
        <x:v>0</x:v>
      </x:c>
      <x:c r="T891" s="4"/>
      <x:c r="U891" s="4"/>
      <x:c r="V891" s="4"/>
      <x:c r="W891" s="4"/>
      <x:c r="X891" s="4"/>
      <x:c r="Y891" s="4"/>
      <x:c r="Z891" s="4"/>
    </x:row>
    <x:row r="892" ht="23" customHeight="1">
      <x:c r="A892" s="17" t="n">
        <x:f>ROW()-6</x:f>
        <x:v>886</x:v>
      </x:c>
      <x:c r="B892" s="4" t="n">
        <x:f>IF('계산 과정'!$L$5,'계산 과정'!$L$11*SQRT((A892+0.5)/'계산 과정'!$L$30),"")</x:f>
        <x:v>98.68829658481546</x:v>
      </x:c>
      <x:c r="C892" s="4" t="n">
        <x:f>A892*PI()*(3-SQRT(5))</x:f>
        <x:v>2126.3674215395863</x:v>
      </x:c>
      <x:c r="D892" s="4" t="n">
        <x:f>IF('계산 과정'!$L$5,B892*COS(C892),"")</x:f>
        <x:v>-87.03851294545957</x:v>
      </x:c>
      <x:c r="E892" s="4" t="n">
        <x:f>IF('계산 과정'!$L$5,B892*SIN(C892),"")</x:f>
        <x:v>46.515343135954254</x:v>
      </x:c>
      <x:c r="F892" s="4" t="n">
        <x:f>IF('계산 과정'!$L$7,'계산 과정'!$L$22+'계산 과정'!$C$49*D892+'계산 과정'!$D$49*E892,"")</x:f>
        <x:v>711.5455227281276</x:v>
      </x:c>
      <x:c r="G892" s="4" t="n">
        <x:f>IF('계산 과정'!$L$7,IF(ABS(F892)&gt;=1E-12*MAX(1,SQRT((D892-'계산 과정'!$C$33)^2+(E892-'계산 과정'!$D$33)^2+'계산 과정'!$E$33^2)),('계산 과정'!$L$23-'계산 과정'!$C$49*D892-'계산 과정'!$D$49*E892)/F892,""),"")</x:f>
        <x:v>0.4756610314603744</x:v>
      </x:c>
      <x:c r="H892" s="4" t="n">
        <x:f>IF(AND(ISNUMBER(G892),G892&gt;0),('계산 과정'!$D$56+'계산 과정'!$D$57*D892+'계산 과정'!$D$58*E892)/F892,"")</x:f>
        <x:v>-90.82032955075677</x:v>
      </x:c>
      <x:c r="I892" s="4" t="n">
        <x:f>IF(AND(ISNUMBER(G892),G892&gt;0),('계산 과정'!$E$56+'계산 과정'!$E$57*D892+'계산 과정'!$E$58*E892)/F892,"")</x:f>
        <x:v>68.6408792307355</x:v>
      </x:c>
      <x:c r="J892" s="4" t="n">
        <x:f>IF('계산 과정'!$L$5,'계산 과정'!$D$6+'계산 과정'!$C$35*D892+'계산 과정'!$D$35*E892,"")</x:f>
        <x:v>711.5455227281276</x:v>
      </x:c>
      <x:c r="K892" s="4" t="n">
        <x:f>IF(AND('계산 과정'!$L$6,J892&gt;0),'계산 과정'!$D$10*('계산 과정'!$C$38*(D892-'계산 과정'!$C$32)+'계산 과정'!$D$38*(E892-'계산 과정'!$D$32)-'계산 과정'!$E$38*'계산 과정'!$E$32)/J892,"")</x:f>
        <x:v>-0.6919644156248128</x:v>
      </x:c>
      <x:c r="L892" s="4" t="n">
        <x:f>IF(AND('계산 과정'!$L$6,J892&gt;0),'계산 과정'!$D$10*('계산 과정'!$C$39*(D892-'계산 과정'!$C$32)+'계산 과정'!$D$39*(E892-'계산 과정'!$D$32)-'계산 과정'!$E$39*'계산 과정'!$E$32)/J892,"")</x:f>
        <x:v>0.5229781274722705</x:v>
      </x:c>
      <x:c r="M892" s="17" t="n">
        <x:f>IF('계산 과정'!$L$6,IF(J892&lt;=0,0,IF(AND(ABS(K892)&lt;='계산 과정'!$D$11/2,ABS(L892)&lt;='계산 과정'!$D$12/2),1,0)),"")</x:f>
        <x:v>1</x:v>
      </x:c>
      <x:c r="N892" s="17" t="n">
        <x:f>IF('계산 과정'!$C$78,IF(AND(ISNUMBER(H892),ISNUMBER(I892),ABS(H892-'계산 과정'!$C$88)&lt;='계산 과정'!$D$23/2,ABS(I892-'계산 과정'!$C$89)&lt;='계산 과정'!$D$24/2),1,0),"")</x:f>
        <x:v>1</x:v>
      </x:c>
      <x:c r="O892" s="4" t="n">
        <x:f>IF('계산 과정'!$L$7,'계산 과정'!$C$49*('계산 과정'!$C$32-D892)+'계산 과정'!$D$49*('계산 과정'!$D$32-E892)+'계산 과정'!$E$49*'계산 과정'!$E$32,"")</x:f>
        <x:v>-61.54552272812748</x:v>
      </x:c>
      <x:c r="P892" s="4" t="n">
        <x:f>IF(AND('계산 과정'!$L$7,O892&lt;&gt;0),('계산 과정'!$L$23-'계산 과정'!$C$49*D892-'계산 과정'!$D$49*E892)/O892,"")</x:f>
        <x:v>-5.499254247412416</x:v>
      </x:c>
      <x:c r="Q892" s="4" t="str">
        <x:f>IF(AND(ISNUMBER(P892),P892&gt;1E-9,P892&lt;1-1E-9),'계산 과정'!$C$47*(D892-'계산 과정'!$C$50+P892*('계산 과정'!$C$32-D892))+'계산 과정'!$D$47*(E892-'계산 과정'!$D$50+P892*('계산 과정'!$D$32-E892))+'계산 과정'!$E$47*(0-'계산 과정'!$E$50+P892*('계산 과정'!$E$32-0)),"")</x:f>
      </x:c>
      <x:c r="R892" s="4" t="str">
        <x:f>IF(AND(ISNUMBER(P892),P892&gt;1E-9,P892&lt;1-1E-9),'계산 과정'!$C$48*(D892-'계산 과정'!$C$50+P892*('계산 과정'!$C$32-D892))+'계산 과정'!$D$48*(E892-'계산 과정'!$D$50+P892*('계산 과정'!$D$32-E892))+'계산 과정'!$E$48*(0-'계산 과정'!$E$50+P892*('계산 과정'!$E$32-0)),"")</x:f>
      </x:c>
      <x:c r="S892" s="17" t="n">
        <x:f>IF('계산 과정'!$C$78,IF(AND(ISNUMBER(Q892),ISNUMBER(R892),ABS(Q892-'계산 과정'!$C$88)&lt;='계산 과정'!$D$23/2,ABS(R892-'계산 과정'!$C$89)&lt;='계산 과정'!$D$24/2),1,0),"")</x:f>
        <x:v>0</x:v>
      </x:c>
      <x:c r="T892" s="4"/>
      <x:c r="U892" s="4"/>
      <x:c r="V892" s="4"/>
      <x:c r="W892" s="4"/>
      <x:c r="X892" s="4"/>
      <x:c r="Y892" s="4"/>
      <x:c r="Z892" s="4"/>
    </x:row>
    <x:row r="893" ht="23" customHeight="1">
      <x:c r="A893" s="17" t="n">
        <x:f>ROW()-6</x:f>
        <x:v>887</x:v>
      </x:c>
      <x:c r="B893" s="4" t="n">
        <x:f>IF('계산 과정'!$L$5,'계산 과정'!$L$11*SQRT((A893+0.5)/'계산 과정'!$L$30),"")</x:f>
        <x:v>98.74394265441045</x:v>
      </x:c>
      <x:c r="C893" s="4" t="n">
        <x:f>A893*PI()*(3-SQRT(5))</x:f>
        <x:v>2128.7673847693154</x:v>
      </x:c>
      <x:c r="D893" s="4" t="n">
        <x:f>IF('계산 과정'!$L$5,B893*COS(C893),"")</x:f>
        <x:v>32.77729910630985</x:v>
      </x:c>
      <x:c r="E893" s="4" t="n">
        <x:f>IF('계산 과정'!$L$5,B893*SIN(C893),"")</x:f>
        <x:v>-93.14512802199049</x:v>
      </x:c>
      <x:c r="F893" s="4" t="n">
        <x:f>IF('계산 과정'!$L$7,'계산 과정'!$L$22+'계산 과정'!$C$49*D893+'계산 과정'!$D$49*E893,"")</x:f>
        <x:v>626.8229495329485</x:v>
      </x:c>
      <x:c r="G893" s="4" t="n">
        <x:f>IF('계산 과정'!$L$7,IF(ABS(F893)&gt;=1E-12*MAX(1,SQRT((D893-'계산 과정'!$C$33)^2+(E893-'계산 과정'!$D$33)^2+'계산 과정'!$E$33^2)),('계산 과정'!$L$23-'계산 과정'!$C$49*D893-'계산 과정'!$D$49*E893)/F893,""),"")</x:f>
        <x:v>0.6751141622724001</x:v>
      </x:c>
      <x:c r="H893" s="4" t="n">
        <x:f>IF(AND(ISNUMBER(G893),G893&gt;0),('계산 과정'!$D$56+'계산 과정'!$D$57*D893+'계산 과정'!$D$58*E893)/F893,"")</x:f>
        <x:v>38.824205477059934</x:v>
      </x:c>
      <x:c r="I893" s="4" t="n">
        <x:f>IF(AND(ISNUMBER(G893),G893&gt;0),('계산 과정'!$E$56+'계산 과정'!$E$57*D893+'계산 과정'!$E$58*E893)/F893,"")</x:f>
        <x:v>-156.02872309631206</x:v>
      </x:c>
      <x:c r="J893" s="4" t="n">
        <x:f>IF('계산 과정'!$L$5,'계산 과정'!$D$6+'계산 과정'!$C$35*D893+'계산 과정'!$D$35*E893,"")</x:f>
        <x:v>626.8229495329485</x:v>
      </x:c>
      <x:c r="K893" s="4" t="n">
        <x:f>IF(AND('계산 과정'!$L$6,J893&gt;0),'계산 과정'!$D$10*('계산 과정'!$C$38*(D893-'계산 과정'!$C$32)+'계산 과정'!$D$38*(E893-'계산 과정'!$D$32)-'계산 과정'!$E$38*'계산 과정'!$E$32)/J893,"")</x:f>
        <x:v>0.29580347030140985</x:v>
      </x:c>
      <x:c r="L893" s="4" t="n">
        <x:f>IF(AND('계산 과정'!$L$6,J893&gt;0),'계산 과정'!$D$10*('계산 과정'!$C$39*(D893-'계산 과정'!$C$32)+'계산 과정'!$D$39*(E893-'계산 과정'!$D$32)-'계산 과정'!$E$39*'계산 과정'!$E$32)/J893,"")</x:f>
        <x:v>-1.1887902712099965</x:v>
      </x:c>
      <x:c r="M893" s="17" t="n">
        <x:f>IF('계산 과정'!$L$6,IF(J893&lt;=0,0,IF(AND(ABS(K893)&lt;='계산 과정'!$D$11/2,ABS(L893)&lt;='계산 과정'!$D$12/2),1,0)),"")</x:f>
        <x:v>1</x:v>
      </x:c>
      <x:c r="N893" s="17" t="n">
        <x:f>IF('계산 과정'!$C$78,IF(AND(ISNUMBER(H893),ISNUMBER(I893),ABS(H893-'계산 과정'!$C$88)&lt;='계산 과정'!$D$23/2,ABS(I893-'계산 과정'!$C$89)&lt;='계산 과정'!$D$24/2),1,0),"")</x:f>
        <x:v>1</x:v>
      </x:c>
      <x:c r="O893" s="4" t="n">
        <x:f>IF('계산 과정'!$L$7,'계산 과정'!$C$49*('계산 과정'!$C$32-D893)+'계산 과정'!$D$49*('계산 과정'!$D$32-E893)+'계산 과정'!$E$49*'계산 과정'!$E$32,"")</x:f>
        <x:v>23.177050467051572</x:v>
      </x:c>
      <x:c r="P893" s="4" t="n">
        <x:f>IF(AND('계산 과정'!$L$7,O893&lt;&gt;0),('계산 과정'!$L$23-'계산 과정'!$C$49*D893-'계산 과정'!$D$49*E893)/O893,"")</x:f>
        <x:v>18.25845143965315</x:v>
      </x:c>
      <x:c r="Q893" s="4" t="str">
        <x:f>IF(AND(ISNUMBER(P893),P893&gt;1E-9,P893&lt;1-1E-9),'계산 과정'!$C$47*(D893-'계산 과정'!$C$50+P893*('계산 과정'!$C$32-D893))+'계산 과정'!$D$47*(E893-'계산 과정'!$D$50+P893*('계산 과정'!$D$32-E893))+'계산 과정'!$E$47*(0-'계산 과정'!$E$50+P893*('계산 과정'!$E$32-0)),"")</x:f>
      </x:c>
      <x:c r="R893" s="4" t="str">
        <x:f>IF(AND(ISNUMBER(P893),P893&gt;1E-9,P893&lt;1-1E-9),'계산 과정'!$C$48*(D893-'계산 과정'!$C$50+P893*('계산 과정'!$C$32-D893))+'계산 과정'!$D$48*(E893-'계산 과정'!$D$50+P893*('계산 과정'!$D$32-E893))+'계산 과정'!$E$48*(0-'계산 과정'!$E$50+P893*('계산 과정'!$E$32-0)),"")</x:f>
      </x:c>
      <x:c r="S893" s="17" t="n">
        <x:f>IF('계산 과정'!$C$78,IF(AND(ISNUMBER(Q893),ISNUMBER(R893),ABS(Q893-'계산 과정'!$C$88)&lt;='계산 과정'!$D$23/2,ABS(R893-'계산 과정'!$C$89)&lt;='계산 과정'!$D$24/2),1,0),"")</x:f>
        <x:v>0</x:v>
      </x:c>
      <x:c r="T893" s="4"/>
      <x:c r="U893" s="4"/>
      <x:c r="V893" s="4"/>
      <x:c r="W893" s="4"/>
      <x:c r="X893" s="4"/>
      <x:c r="Y893" s="4"/>
      <x:c r="Z893" s="4"/>
    </x:row>
    <x:row r="894" ht="23" customHeight="1">
      <x:c r="A894" s="17" t="n">
        <x:f>ROW()-6</x:f>
        <x:v>888</x:v>
      </x:c>
      <x:c r="B894" s="4" t="n">
        <x:f>IF('계산 과정'!$L$5,'계산 과정'!$L$11*SQRT((A894+0.5)/'계산 과정'!$L$30),"")</x:f>
        <x:v>98.79955738292809</x:v>
      </x:c>
      <x:c r="C894" s="4" t="n">
        <x:f>A894*PI()*(3-SQRT(5))</x:f>
        <x:v>2131.1673479990436</x:v>
      </x:c>
      <x:c r="D894" s="4" t="n">
        <x:f>IF('계산 과정'!$L$5,B894*COS(C894),"")</x:f>
        <x:v>38.771494321939635</x:v>
      </x:c>
      <x:c r="E894" s="4" t="n">
        <x:f>IF('계산 과정'!$L$5,B894*SIN(C894),"")</x:f>
        <x:v>90.87421948554113</x:v>
      </x:c>
      <x:c r="F894" s="4" t="n">
        <x:f>IF('계산 과정'!$L$7,'계산 과정'!$L$22+'계산 과정'!$C$49*D894+'계산 과정'!$D$49*E894,"")</x:f>
        <x:v>622.5844134482207</x:v>
      </x:c>
      <x:c r="G894" s="4" t="n">
        <x:f>IF('계산 과정'!$L$7,IF(ABS(F894)&gt;=1E-12*MAX(1,SQRT((D894-'계산 과정'!$C$33)^2+(E894-'계산 과정'!$D$33)^2+'계산 과정'!$E$33^2)),('계산 과정'!$L$23-'계산 과정'!$C$49*D894-'계산 과정'!$D$49*E894)/F894,""),"")</x:f>
        <x:v>0.6865182894388773</x:v>
      </x:c>
      <x:c r="H894" s="4" t="n">
        <x:f>IF(AND(ISNUMBER(G894),G894&gt;0),('계산 과정'!$D$56+'계산 과정'!$D$57*D894+'계산 과정'!$D$58*E894)/F894,"")</x:f>
        <x:v>46.23688813527011</x:v>
      </x:c>
      <x:c r="I894" s="4" t="n">
        <x:f>IF(AND(ISNUMBER(G894),G894&gt;0),('계산 과정'!$E$56+'계산 과정'!$E$57*D894+'계산 과정'!$E$58*E894)/F894,"")</x:f>
        <x:v>153.26103320084792</x:v>
      </x:c>
      <x:c r="J894" s="4" t="n">
        <x:f>IF('계산 과정'!$L$5,'계산 과정'!$D$6+'계산 과정'!$C$35*D894+'계산 과정'!$D$35*E894,"")</x:f>
        <x:v>622.5844134482207</x:v>
      </x:c>
      <x:c r="K894" s="4" t="n">
        <x:f>IF(AND('계산 과정'!$L$6,J894&gt;0),'계산 과정'!$D$10*('계산 과정'!$C$38*(D894-'계산 과정'!$C$32)+'계산 과정'!$D$38*(E894-'계산 과정'!$D$32)-'계산 과정'!$E$38*'계산 과정'!$E$32)/J894,"")</x:f>
        <x:v>0.3522810524592018</x:v>
      </x:c>
      <x:c r="L894" s="4" t="n">
        <x:f>IF(AND('계산 과정'!$L$6,J894&gt;0),'계산 과정'!$D$10*('계산 과정'!$C$39*(D894-'계산 과정'!$C$32)+'계산 과정'!$D$39*(E894-'계산 과정'!$D$32)-'계산 과정'!$E$39*'계산 과정'!$E$32)/J894,"")</x:f>
        <x:v>1.1677031101016984</x:v>
      </x:c>
      <x:c r="M894" s="17" t="n">
        <x:f>IF('계산 과정'!$L$6,IF(J894&lt;=0,0,IF(AND(ABS(K894)&lt;='계산 과정'!$D$11/2,ABS(L894)&lt;='계산 과정'!$D$12/2),1,0)),"")</x:f>
        <x:v>1</x:v>
      </x:c>
      <x:c r="N894" s="17" t="n">
        <x:f>IF('계산 과정'!$C$78,IF(AND(ISNUMBER(H894),ISNUMBER(I894),ABS(H894-'계산 과정'!$C$88)&lt;='계산 과정'!$D$23/2,ABS(I894-'계산 과정'!$C$89)&lt;='계산 과정'!$D$24/2),1,0),"")</x:f>
        <x:v>1</x:v>
      </x:c>
      <x:c r="O894" s="4" t="n">
        <x:f>IF('계산 과정'!$L$7,'계산 과정'!$C$49*('계산 과정'!$C$32-D894)+'계산 과정'!$D$49*('계산 과정'!$D$32-E894)+'계산 과정'!$E$49*'계산 과정'!$E$32,"")</x:f>
        <x:v>27.41558655177937</x:v>
      </x:c>
      <x:c r="P894" s="4" t="n">
        <x:f>IF(AND('계산 과정'!$L$7,O894&lt;&gt;0),('계산 과정'!$L$23-'계산 과정'!$C$49*D894-'계산 과정'!$D$49*E894)/O894,"")</x:f>
        <x:v>15.590240454805752</x:v>
      </x:c>
      <x:c r="Q894" s="4" t="str">
        <x:f>IF(AND(ISNUMBER(P894),P894&gt;1E-9,P894&lt;1-1E-9),'계산 과정'!$C$47*(D894-'계산 과정'!$C$50+P894*('계산 과정'!$C$32-D894))+'계산 과정'!$D$47*(E894-'계산 과정'!$D$50+P894*('계산 과정'!$D$32-E894))+'계산 과정'!$E$47*(0-'계산 과정'!$E$50+P894*('계산 과정'!$E$32-0)),"")</x:f>
      </x:c>
      <x:c r="R894" s="4" t="str">
        <x:f>IF(AND(ISNUMBER(P894),P894&gt;1E-9,P894&lt;1-1E-9),'계산 과정'!$C$48*(D894-'계산 과정'!$C$50+P894*('계산 과정'!$C$32-D894))+'계산 과정'!$D$48*(E894-'계산 과정'!$D$50+P894*('계산 과정'!$D$32-E894))+'계산 과정'!$E$48*(0-'계산 과정'!$E$50+P894*('계산 과정'!$E$32-0)),"")</x:f>
      </x:c>
      <x:c r="S894" s="17" t="n">
        <x:f>IF('계산 과정'!$C$78,IF(AND(ISNUMBER(Q894),ISNUMBER(R894),ABS(Q894-'계산 과정'!$C$88)&lt;='계산 과정'!$D$23/2,ABS(R894-'계산 과정'!$C$89)&lt;='계산 과정'!$D$24/2),1,0),"")</x:f>
        <x:v>0</x:v>
      </x:c>
      <x:c r="T894" s="4"/>
      <x:c r="U894" s="4"/>
      <x:c r="V894" s="4"/>
      <x:c r="W894" s="4"/>
      <x:c r="X894" s="4"/>
      <x:c r="Y894" s="4"/>
      <x:c r="Z894" s="4"/>
    </x:row>
    <x:row r="895" ht="23" customHeight="1">
      <x:c r="A895" s="17" t="n">
        <x:f>ROW()-6</x:f>
        <x:v>889</x:v>
      </x:c>
      <x:c r="B895" s="4" t="n">
        <x:f>IF('계산 과정'!$L$5,'계산 과정'!$L$11*SQRT((A895+0.5)/'계산 과정'!$L$30),"")</x:f>
        <x:v>98.85514082326472</x:v>
      </x:c>
      <x:c r="C895" s="4" t="n">
        <x:f>A895*PI()*(3-SQRT(5))</x:f>
        <x:v>2133.5673112287723</x:v>
      </x:c>
      <x:c r="D895" s="4" t="n">
        <x:f>IF('계산 과정'!$L$5,B895*COS(C895),"")</x:f>
        <x:v>-90.02416456365758</x:v>
      </x:c>
      <x:c r="E895" s="4" t="n">
        <x:f>IF('계산 과정'!$L$5,B895*SIN(C895),"")</x:f>
        <x:v>-40.84101690461439</x:v>
      </x:c>
      <x:c r="F895" s="4" t="n">
        <x:f>IF('계산 과정'!$L$7,'계산 과정'!$L$22+'계산 과정'!$C$49*D895+'계산 과정'!$D$49*E895,"")</x:f>
        <x:v>713.656697233616</x:v>
      </x:c>
      <x:c r="G895" s="4" t="n">
        <x:f>IF('계산 과정'!$L$7,IF(ABS(F895)&gt;=1E-12*MAX(1,SQRT((D895-'계산 과정'!$C$33)^2+(E895-'계산 과정'!$D$33)^2+'계산 과정'!$E$33^2)),('계산 과정'!$L$23-'계산 과정'!$C$49*D895-'계산 과정'!$D$49*E895)/F895,""),"")</x:f>
        <x:v>0.4712956580806553</x:v>
      </x:c>
      <x:c r="H895" s="4" t="n">
        <x:f>IF(AND(ISNUMBER(G895),G895&gt;0),('계산 과정'!$D$56+'계산 과정'!$D$57*D895+'계산 과정'!$D$58*E895)/F895,"")</x:f>
        <x:v>-93.65782224757415</x:v>
      </x:c>
      <x:c r="I895" s="4" t="n">
        <x:f>IF(AND(ISNUMBER(G895),G895&gt;0),('계산 과정'!$E$56+'계산 과정'!$E$57*D895+'계산 과정'!$E$58*E895)/F895,"")</x:f>
        <x:v>-60.0892108433578</x:v>
      </x:c>
      <x:c r="J895" s="4" t="n">
        <x:f>IF('계산 과정'!$L$5,'계산 과정'!$D$6+'계산 과정'!$C$35*D895+'계산 과정'!$D$35*E895,"")</x:f>
        <x:v>713.656697233616</x:v>
      </x:c>
      <x:c r="K895" s="4" t="n">
        <x:f>IF(AND('계산 과정'!$L$6,J895&gt;0),'계산 과정'!$D$10*('계산 과정'!$C$38*(D895-'계산 과정'!$C$32)+'계산 과정'!$D$38*(E895-'계산 과정'!$D$32)-'계산 과정'!$E$38*'계산 과정'!$E$32)/J895,"")</x:f>
        <x:v>-0.7135834076005638</x:v>
      </x:c>
      <x:c r="L895" s="4" t="n">
        <x:f>IF(AND('계산 과정'!$L$6,J895&gt;0),'계산 과정'!$D$10*('계산 과정'!$C$39*(D895-'계산 과정'!$C$32)+'계산 과정'!$D$39*(E895-'계산 과정'!$D$32)-'계산 과정'!$E$39*'계산 과정'!$E$32)/J895,"")</x:f>
        <x:v>-0.4578225588065356</x:v>
      </x:c>
      <x:c r="M895" s="17" t="n">
        <x:f>IF('계산 과정'!$L$6,IF(J895&lt;=0,0,IF(AND(ABS(K895)&lt;='계산 과정'!$D$11/2,ABS(L895)&lt;='계산 과정'!$D$12/2),1,0)),"")</x:f>
        <x:v>1</x:v>
      </x:c>
      <x:c r="N895" s="17" t="n">
        <x:f>IF('계산 과정'!$C$78,IF(AND(ISNUMBER(H895),ISNUMBER(I895),ABS(H895-'계산 과정'!$C$88)&lt;='계산 과정'!$D$23/2,ABS(I895-'계산 과정'!$C$89)&lt;='계산 과정'!$D$24/2),1,0),"")</x:f>
        <x:v>1</x:v>
      </x:c>
      <x:c r="O895" s="4" t="n">
        <x:f>IF('계산 과정'!$L$7,'계산 과정'!$C$49*('계산 과정'!$C$32-D895)+'계산 과정'!$D$49*('계산 과정'!$D$32-E895)+'계산 과정'!$E$49*'계산 과정'!$E$32,"")</x:f>
        <x:v>-63.65669723361583</x:v>
      </x:c>
      <x:c r="P895" s="4" t="n">
        <x:f>IF(AND('계산 과정'!$L$7,O895&lt;&gt;0),('계산 과정'!$L$23-'계산 과정'!$C$49*D895-'계산 과정'!$D$49*E895)/O895,"")</x:f>
        <x:v>-5.2837064658260005</x:v>
      </x:c>
      <x:c r="Q895" s="4" t="str">
        <x:f>IF(AND(ISNUMBER(P895),P895&gt;1E-9,P895&lt;1-1E-9),'계산 과정'!$C$47*(D895-'계산 과정'!$C$50+P895*('계산 과정'!$C$32-D895))+'계산 과정'!$D$47*(E895-'계산 과정'!$D$50+P895*('계산 과정'!$D$32-E895))+'계산 과정'!$E$47*(0-'계산 과정'!$E$50+P895*('계산 과정'!$E$32-0)),"")</x:f>
      </x:c>
      <x:c r="R895" s="4" t="str">
        <x:f>IF(AND(ISNUMBER(P895),P895&gt;1E-9,P895&lt;1-1E-9),'계산 과정'!$C$48*(D895-'계산 과정'!$C$50+P895*('계산 과정'!$C$32-D895))+'계산 과정'!$D$48*(E895-'계산 과정'!$D$50+P895*('계산 과정'!$D$32-E895))+'계산 과정'!$E$48*(0-'계산 과정'!$E$50+P895*('계산 과정'!$E$32-0)),"")</x:f>
      </x:c>
      <x:c r="S895" s="17" t="n">
        <x:f>IF('계산 과정'!$C$78,IF(AND(ISNUMBER(Q895),ISNUMBER(R895),ABS(Q895-'계산 과정'!$C$88)&lt;='계산 과정'!$D$23/2,ABS(R895-'계산 과정'!$C$89)&lt;='계산 과정'!$D$24/2),1,0),"")</x:f>
        <x:v>0</x:v>
      </x:c>
      <x:c r="T895" s="4"/>
      <x:c r="U895" s="4"/>
      <x:c r="V895" s="4"/>
      <x:c r="W895" s="4"/>
      <x:c r="X895" s="4"/>
      <x:c r="Y895" s="4"/>
      <x:c r="Z895" s="4"/>
    </x:row>
    <x:row r="896" ht="23" customHeight="1">
      <x:c r="A896" s="17" t="n">
        <x:f>ROW()-6</x:f>
        <x:v>890</x:v>
      </x:c>
      <x:c r="B896" s="4" t="n">
        <x:f>IF('계산 과정'!$L$5,'계산 과정'!$L$11*SQRT((A896+0.5)/'계산 과정'!$L$30),"")</x:f>
        <x:v>98.91069302816808</x:v>
      </x:c>
      <x:c r="C896" s="4" t="n">
        <x:f>A896*PI()*(3-SQRT(5))</x:f>
        <x:v>2135.967274458501</x:v>
      </x:c>
      <x:c r="D896" s="4" t="n">
        <x:f>IF('계산 과정'!$L$5,B896*COS(C896),"")</x:f>
        <x:v>94.02153400855003</x:v>
      </x:c>
      <x:c r="E896" s="4" t="n">
        <x:f>IF('계산 과정'!$L$5,B896*SIN(C896),"")</x:f>
        <x:v>-30.712804137550993</x:v>
      </x:c>
      <x:c r="F896" s="4" t="n">
        <x:f>IF('계산 과정'!$L$7,'계산 과정'!$L$22+'계산 과정'!$C$49*D896+'계산 과정'!$D$49*E896,"")</x:f>
        <x:v>583.5167357249927</x:v>
      </x:c>
      <x:c r="G896" s="4" t="n">
        <x:f>IF('계산 과정'!$L$7,IF(ABS(F896)&gt;=1E-12*MAX(1,SQRT((D896-'계산 과정'!$C$33)^2+(E896-'계산 과정'!$D$33)^2+'계산 과정'!$E$33^2)),('계산 과정'!$L$23-'계산 과정'!$C$49*D896-'계산 과정'!$D$49*E896)/F896,""),"")</x:f>
        <x:v>0.7994342504939868</x:v>
      </x:c>
      <x:c r="H896" s="4" t="n">
        <x:f>IF(AND(ISNUMBER(G896),G896&gt;0),('계산 과정'!$D$56+'계산 과정'!$D$57*D896+'계산 과정'!$D$58*E896)/F896,"")</x:f>
        <x:v>119.63226282109135</x:v>
      </x:c>
      <x:c r="I896" s="4" t="n">
        <x:f>IF(AND(ISNUMBER(G896),G896&gt;0),('계산 과정'!$E$56+'계산 과정'!$E$57*D896+'계산 과정'!$E$58*E896)/F896,"")</x:f>
        <x:v>-55.26567169382268</x:v>
      </x:c>
      <x:c r="J896" s="4" t="n">
        <x:f>IF('계산 과정'!$L$5,'계산 과정'!$D$6+'계산 과정'!$C$35*D896+'계산 과정'!$D$35*E896,"")</x:f>
        <x:v>583.5167357249927</x:v>
      </x:c>
      <x:c r="K896" s="4" t="n">
        <x:f>IF(AND('계산 과정'!$L$6,J896&gt;0),'계산 과정'!$D$10*('계산 과정'!$C$38*(D896-'계산 과정'!$C$32)+'계산 과정'!$D$38*(E896-'계산 과정'!$D$32)-'계산 과정'!$E$38*'계산 과정'!$E$32)/J896,"")</x:f>
        <x:v>0.9114839072083161</x:v>
      </x:c>
      <x:c r="L896" s="4" t="n">
        <x:f>IF(AND('계산 과정'!$L$6,J896&gt;0),'계산 과정'!$D$10*('계산 과정'!$C$39*(D896-'계산 과정'!$C$32)+'계산 과정'!$D$39*(E896-'계산 과정'!$D$32)-'계산 과정'!$E$39*'계산 과정'!$E$32)/J896,"")</x:f>
        <x:v>-0.42107178433388714</x:v>
      </x:c>
      <x:c r="M896" s="17" t="n">
        <x:f>IF('계산 과정'!$L$6,IF(J896&lt;=0,0,IF(AND(ABS(K896)&lt;='계산 과정'!$D$11/2,ABS(L896)&lt;='계산 과정'!$D$12/2),1,0)),"")</x:f>
        <x:v>1</x:v>
      </x:c>
      <x:c r="N896" s="17" t="n">
        <x:f>IF('계산 과정'!$C$78,IF(AND(ISNUMBER(H896),ISNUMBER(I896),ABS(H896-'계산 과정'!$C$88)&lt;='계산 과정'!$D$23/2,ABS(I896-'계산 과정'!$C$89)&lt;='계산 과정'!$D$24/2),1,0),"")</x:f>
        <x:v>1</x:v>
      </x:c>
      <x:c r="O896" s="4" t="n">
        <x:f>IF('계산 과정'!$L$7,'계산 과정'!$C$49*('계산 과정'!$C$32-D896)+'계산 과정'!$D$49*('계산 과정'!$D$32-E896)+'계산 과정'!$E$49*'계산 과정'!$E$32,"")</x:f>
        <x:v>66.4832642750074</x:v>
      </x:c>
      <x:c r="P896" s="4" t="n">
        <x:f>IF(AND('계산 과정'!$L$7,O896&lt;&gt;0),('계산 과정'!$L$23-'계산 과정'!$C$49*D896-'계산 과정'!$D$49*E896)/O896,"")</x:f>
        <x:v>7.016551749706567</x:v>
      </x:c>
      <x:c r="Q896" s="4" t="str">
        <x:f>IF(AND(ISNUMBER(P896),P896&gt;1E-9,P896&lt;1-1E-9),'계산 과정'!$C$47*(D896-'계산 과정'!$C$50+P896*('계산 과정'!$C$32-D896))+'계산 과정'!$D$47*(E896-'계산 과정'!$D$50+P896*('계산 과정'!$D$32-E896))+'계산 과정'!$E$47*(0-'계산 과정'!$E$50+P896*('계산 과정'!$E$32-0)),"")</x:f>
      </x:c>
      <x:c r="R896" s="4" t="str">
        <x:f>IF(AND(ISNUMBER(P896),P896&gt;1E-9,P896&lt;1-1E-9),'계산 과정'!$C$48*(D896-'계산 과정'!$C$50+P896*('계산 과정'!$C$32-D896))+'계산 과정'!$D$48*(E896-'계산 과정'!$D$50+P896*('계산 과정'!$D$32-E896))+'계산 과정'!$E$48*(0-'계산 과정'!$E$50+P896*('계산 과정'!$E$32-0)),"")</x:f>
      </x:c>
      <x:c r="S896" s="17" t="n">
        <x:f>IF('계산 과정'!$C$78,IF(AND(ISNUMBER(Q896),ISNUMBER(R896),ABS(Q896-'계산 과정'!$C$88)&lt;='계산 과정'!$D$23/2,ABS(R896-'계산 과정'!$C$89)&lt;='계산 과정'!$D$24/2),1,0),"")</x:f>
        <x:v>0</x:v>
      </x:c>
      <x:c r="T896" s="4"/>
      <x:c r="U896" s="4"/>
      <x:c r="V896" s="4"/>
      <x:c r="W896" s="4"/>
      <x:c r="X896" s="4"/>
      <x:c r="Y896" s="4"/>
      <x:c r="Z896" s="4"/>
    </x:row>
    <x:row r="897" ht="23" customHeight="1">
      <x:c r="A897" s="17" t="n">
        <x:f>ROW()-6</x:f>
        <x:v>891</x:v>
      </x:c>
      <x:c r="B897" s="4" t="n">
        <x:f>IF('계산 과정'!$L$5,'계산 과정'!$L$11*SQRT((A897+0.5)/'계산 과정'!$L$30),"")</x:f>
        <x:v>98.96621405023787</x:v>
      </x:c>
      <x:c r="C897" s="4" t="n">
        <x:f>A897*PI()*(3-SQRT(5))</x:f>
        <x:v>2138.36723768823</x:v>
      </x:c>
      <x:c r="D897" s="4" t="n">
        <x:f>IF('계산 과정'!$L$5,B897*COS(C897),"")</x:f>
        <x:v>-48.60962242021301</x:v>
      </x:c>
      <x:c r="E897" s="4" t="n">
        <x:f>IF('계산 과정'!$L$5,B897*SIN(C897),"")</x:f>
        <x:v>86.20566183031033</x:v>
      </x:c>
      <x:c r="F897" s="4" t="n">
        <x:f>IF('계산 과정'!$L$7,'계산 과정'!$L$22+'계산 과정'!$C$49*D897+'계산 과정'!$D$49*E897,"")</x:f>
        <x:v>684.3721936442503</x:v>
      </x:c>
      <x:c r="G897" s="4" t="n">
        <x:f>IF('계산 과정'!$L$7,IF(ABS(F897)&gt;=1E-12*MAX(1,SQRT((D897-'계산 과정'!$C$33)^2+(E897-'계산 과정'!$D$33)^2+'계산 과정'!$E$33^2)),('계산 과정'!$L$23-'계산 과정'!$C$49*D897-'계산 과정'!$D$49*E897)/F897,""),"")</x:f>
        <x:v>0.5342528667168643</x:v>
      </x:c>
      <x:c r="H897" s="4" t="n">
        <x:f>IF(AND(ISNUMBER(G897),G897&gt;0),('계산 과정'!$D$56+'계산 과정'!$D$57*D897+'계산 과정'!$D$58*E897)/F897,"")</x:f>
        <x:v>-52.73563663403825</x:v>
      </x:c>
      <x:c r="I897" s="4" t="n">
        <x:f>IF(AND(ISNUMBER(G897),G897&gt;0),('계산 과정'!$E$56+'계산 과정'!$E$57*D897+'계산 과정'!$E$58*E897)/F897,"")</x:f>
        <x:v>132.2612837903782</x:v>
      </x:c>
      <x:c r="J897" s="4" t="n">
        <x:f>IF('계산 과정'!$L$5,'계산 과정'!$D$6+'계산 과정'!$C$35*D897+'계산 과정'!$D$35*E897,"")</x:f>
        <x:v>684.3721936442503</x:v>
      </x:c>
      <x:c r="K897" s="4" t="n">
        <x:f>IF(AND('계산 과정'!$L$6,J897&gt;0),'계산 과정'!$D$10*('계산 과정'!$C$38*(D897-'계산 과정'!$C$32)+'계산 과정'!$D$38*(E897-'계산 과정'!$D$32)-'계산 과정'!$E$38*'계산 과정'!$E$32)/J897,"")</x:f>
        <x:v>-0.40179532673552826</x:v>
      </x:c>
      <x:c r="L897" s="4" t="n">
        <x:f>IF(AND('계산 과정'!$L$6,J897&gt;0),'계산 과정'!$D$10*('계산 과정'!$C$39*(D897-'계산 과정'!$C$32)+'계산 과정'!$D$39*(E897-'계산 과정'!$D$32)-'계산 과정'!$E$39*'계산 과정'!$E$32)/J897,"")</x:f>
        <x:v>1.0077050193552626</x:v>
      </x:c>
      <x:c r="M897" s="17" t="n">
        <x:f>IF('계산 과정'!$L$6,IF(J897&lt;=0,0,IF(AND(ABS(K897)&lt;='계산 과정'!$D$11/2,ABS(L897)&lt;='계산 과정'!$D$12/2),1,0)),"")</x:f>
        <x:v>1</x:v>
      </x:c>
      <x:c r="N897" s="17" t="n">
        <x:f>IF('계산 과정'!$C$78,IF(AND(ISNUMBER(H897),ISNUMBER(I897),ABS(H897-'계산 과정'!$C$88)&lt;='계산 과정'!$D$23/2,ABS(I897-'계산 과정'!$C$89)&lt;='계산 과정'!$D$24/2),1,0),"")</x:f>
        <x:v>1</x:v>
      </x:c>
      <x:c r="O897" s="4" t="n">
        <x:f>IF('계산 과정'!$L$7,'계산 과정'!$C$49*('계산 과정'!$C$32-D897)+'계산 과정'!$D$49*('계산 과정'!$D$32-E897)+'계산 과정'!$E$49*'계산 과정'!$E$32,"")</x:f>
        <x:v>-34.3721936442501</x:v>
      </x:c>
      <x:c r="P897" s="4" t="n">
        <x:f>IF(AND('계산 과정'!$L$7,O897&lt;&gt;0),('계산 과정'!$L$23-'계산 과정'!$C$49*D897-'계산 과정'!$D$49*E897)/O897,"")</x:f>
        <x:v>-10.63731370013718</x:v>
      </x:c>
      <x:c r="Q897" s="4" t="str">
        <x:f>IF(AND(ISNUMBER(P897),P897&gt;1E-9,P897&lt;1-1E-9),'계산 과정'!$C$47*(D897-'계산 과정'!$C$50+P897*('계산 과정'!$C$32-D897))+'계산 과정'!$D$47*(E897-'계산 과정'!$D$50+P897*('계산 과정'!$D$32-E897))+'계산 과정'!$E$47*(0-'계산 과정'!$E$50+P897*('계산 과정'!$E$32-0)),"")</x:f>
      </x:c>
      <x:c r="R897" s="4" t="str">
        <x:f>IF(AND(ISNUMBER(P897),P897&gt;1E-9,P897&lt;1-1E-9),'계산 과정'!$C$48*(D897-'계산 과정'!$C$50+P897*('계산 과정'!$C$32-D897))+'계산 과정'!$D$48*(E897-'계산 과정'!$D$50+P897*('계산 과정'!$D$32-E897))+'계산 과정'!$E$48*(0-'계산 과정'!$E$50+P897*('계산 과정'!$E$32-0)),"")</x:f>
      </x:c>
      <x:c r="S897" s="17" t="n">
        <x:f>IF('계산 과정'!$C$78,IF(AND(ISNUMBER(Q897),ISNUMBER(R897),ABS(Q897-'계산 과정'!$C$88)&lt;='계산 과정'!$D$23/2,ABS(R897-'계산 과정'!$C$89)&lt;='계산 과정'!$D$24/2),1,0),"")</x:f>
        <x:v>0</x:v>
      </x:c>
      <x:c r="T897" s="4"/>
      <x:c r="U897" s="4"/>
      <x:c r="V897" s="4"/>
      <x:c r="W897" s="4"/>
      <x:c r="X897" s="4"/>
      <x:c r="Y897" s="4"/>
      <x:c r="Z897" s="4"/>
    </x:row>
    <x:row r="898" ht="23" customHeight="1">
      <x:c r="A898" s="17" t="n">
        <x:f>ROW()-6</x:f>
        <x:v>892</x:v>
      </x:c>
      <x:c r="B898" s="4" t="n">
        <x:f>IF('계산 과정'!$L$5,'계산 과정'!$L$11*SQRT((A898+0.5)/'계산 과정'!$L$30),"")</x:f>
        <x:v>99.02170394192629</x:v>
      </x:c>
      <x:c r="C898" s="4" t="n">
        <x:f>A898*PI()*(3-SQRT(5))</x:f>
        <x:v>2140.7672009179582</x:v>
      </x:c>
      <x:c r="D898" s="4" t="n">
        <x:f>IF('계산 과정'!$L$5,B898*COS(C898),"")</x:f>
        <x:v>-22.4004178998994</x:v>
      </x:c>
      <x:c r="E898" s="4" t="n">
        <x:f>IF('계산 과정'!$L$5,B898*SIN(C898),"")</x:f>
        <x:v>-96.45475172054701</x:v>
      </x:c>
      <x:c r="F898" s="4" t="n">
        <x:f>IF('계산 과정'!$L$7,'계산 과정'!$L$22+'계산 과정'!$C$49*D898+'계산 과정'!$D$49*E898,"")</x:f>
        <x:v>665.8394873984314</x:v>
      </x:c>
      <x:c r="G898" s="4" t="n">
        <x:f>IF('계산 과정'!$L$7,IF(ABS(F898)&gt;=1E-12*MAX(1,SQRT((D898-'계산 과정'!$C$33)^2+(E898-'계산 과정'!$D$33)^2+'계산 과정'!$E$33^2)),('계산 과정'!$L$23-'계산 과정'!$C$49*D898-'계산 과정'!$D$49*E898)/F898,""),"")</x:f>
        <x:v>0.5769566387577295</x:v>
      </x:c>
      <x:c r="H898" s="4" t="n">
        <x:f>IF(AND(ISNUMBER(G898),G898&gt;0),('계산 과정'!$D$56+'계산 과정'!$D$57*D898+'계산 과정'!$D$58*E898)/F898,"")</x:f>
        <x:v>-24.97818480747589</x:v>
      </x:c>
      <x:c r="I898" s="4" t="n">
        <x:f>IF(AND(ISNUMBER(G898),G898&gt;0),('계산 과정'!$E$56+'계산 과정'!$E$57*D898+'계산 과정'!$E$58*E898)/F898,"")</x:f>
        <x:v>-152.10496106544514</x:v>
      </x:c>
      <x:c r="J898" s="4" t="n">
        <x:f>IF('계산 과정'!$L$5,'계산 과정'!$D$6+'계산 과정'!$C$35*D898+'계산 과정'!$D$35*E898,"")</x:f>
        <x:v>665.8394873984314</x:v>
      </x:c>
      <x:c r="K898" s="4" t="n">
        <x:f>IF(AND('계산 과정'!$L$6,J898&gt;0),'계산 과정'!$D$10*('계산 과정'!$C$38*(D898-'계산 과정'!$C$32)+'계산 과정'!$D$38*(E898-'계산 과정'!$D$32)-'계산 과정'!$E$38*'계산 과정'!$E$32)/J898,"")</x:f>
        <x:v>-0.19030997948552988</x:v>
      </x:c>
      <x:c r="L898" s="4" t="n">
        <x:f>IF(AND('계산 과정'!$L$6,J898&gt;0),'계산 과정'!$D$10*('계산 과정'!$C$39*(D898-'계산 과정'!$C$32)+'계산 과정'!$D$39*(E898-'계산 과정'!$D$32)-'계산 과정'!$E$39*'계산 과정'!$E$32)/J898,"")</x:f>
        <x:v>-1.1588949414510106</x:v>
      </x:c>
      <x:c r="M898" s="17" t="n">
        <x:f>IF('계산 과정'!$L$6,IF(J898&lt;=0,0,IF(AND(ABS(K898)&lt;='계산 과정'!$D$11/2,ABS(L898)&lt;='계산 과정'!$D$12/2),1,0)),"")</x:f>
        <x:v>1</x:v>
      </x:c>
      <x:c r="N898" s="17" t="n">
        <x:f>IF('계산 과정'!$C$78,IF(AND(ISNUMBER(H898),ISNUMBER(I898),ABS(H898-'계산 과정'!$C$88)&lt;='계산 과정'!$D$23/2,ABS(I898-'계산 과정'!$C$89)&lt;='계산 과정'!$D$24/2),1,0),"")</x:f>
        <x:v>1</x:v>
      </x:c>
      <x:c r="O898" s="4" t="n">
        <x:f>IF('계산 과정'!$L$7,'계산 과정'!$C$49*('계산 과정'!$C$32-D898)+'계산 과정'!$D$49*('계산 과정'!$D$32-E898)+'계산 과정'!$E$49*'계산 과정'!$E$32,"")</x:f>
        <x:v>-15.839487398431288</x:v>
      </x:c>
      <x:c r="P898" s="4" t="n">
        <x:f>IF(AND('계산 과정'!$L$7,O898&lt;&gt;0),('계산 과정'!$L$23-'계산 과정'!$C$49*D898-'계산 과정'!$D$49*E898)/O898,"")</x:f>
        <x:v>-24.25334248124817</x:v>
      </x:c>
      <x:c r="Q898" s="4" t="str">
        <x:f>IF(AND(ISNUMBER(P898),P898&gt;1E-9,P898&lt;1-1E-9),'계산 과정'!$C$47*(D898-'계산 과정'!$C$50+P898*('계산 과정'!$C$32-D898))+'계산 과정'!$D$47*(E898-'계산 과정'!$D$50+P898*('계산 과정'!$D$32-E898))+'계산 과정'!$E$47*(0-'계산 과정'!$E$50+P898*('계산 과정'!$E$32-0)),"")</x:f>
      </x:c>
      <x:c r="R898" s="4" t="str">
        <x:f>IF(AND(ISNUMBER(P898),P898&gt;1E-9,P898&lt;1-1E-9),'계산 과정'!$C$48*(D898-'계산 과정'!$C$50+P898*('계산 과정'!$C$32-D898))+'계산 과정'!$D$48*(E898-'계산 과정'!$D$50+P898*('계산 과정'!$D$32-E898))+'계산 과정'!$E$48*(0-'계산 과정'!$E$50+P898*('계산 과정'!$E$32-0)),"")</x:f>
      </x:c>
      <x:c r="S898" s="17" t="n">
        <x:f>IF('계산 과정'!$C$78,IF(AND(ISNUMBER(Q898),ISNUMBER(R898),ABS(Q898-'계산 과정'!$C$88)&lt;='계산 과정'!$D$23/2,ABS(R898-'계산 과정'!$C$89)&lt;='계산 과정'!$D$24/2),1,0),"")</x:f>
        <x:v>0</x:v>
      </x:c>
      <x:c r="T898" s="4"/>
      <x:c r="U898" s="4"/>
      <x:c r="V898" s="4"/>
      <x:c r="W898" s="4"/>
      <x:c r="X898" s="4"/>
      <x:c r="Y898" s="4"/>
      <x:c r="Z898" s="4"/>
    </x:row>
    <x:row r="899" ht="23" customHeight="1">
      <x:c r="A899" s="17" t="n">
        <x:f>ROW()-6</x:f>
        <x:v>893</x:v>
      </x:c>
      <x:c r="B899" s="4" t="n">
        <x:f>IF('계산 과정'!$L$5,'계산 과정'!$L$11*SQRT((A899+0.5)/'계산 과정'!$L$30),"")</x:f>
        <x:v>99.07716275553867</x:v>
      </x:c>
      <x:c r="C899" s="4" t="n">
        <x:f>A899*PI()*(3-SQRT(5))</x:f>
        <x:v>2143.167164147687</x:v>
      </x:c>
      <x:c r="D899" s="4" t="n">
        <x:f>IF('계산 과정'!$L$5,B899*COS(C899),"")</x:f>
        <x:v>81.7173612375435</x:v>
      </x:c>
      <x:c r="E899" s="4" t="n">
        <x:f>IF('계산 과정'!$L$5,B899*SIN(C899),"")</x:f>
        <x:v>56.02282616987759</x:v>
      </x:c>
      <x:c r="F899" s="4" t="n">
        <x:f>IF('계산 과정'!$L$7,'계산 과정'!$L$22+'계산 과정'!$C$49*D899+'계산 과정'!$D$49*E899,"")</x:f>
        <x:v>592.2170997282623</x:v>
      </x:c>
      <x:c r="G899" s="4" t="n">
        <x:f>IF('계산 과정'!$L$7,IF(ABS(F899)&gt;=1E-12*MAX(1,SQRT((D899-'계산 과정'!$C$33)^2+(E899-'계산 과정'!$D$33)^2+'계산 과정'!$E$33^2)),('계산 과정'!$L$23-'계산 과정'!$C$49*D899-'계산 과정'!$D$49*E899)/F899,""),"")</x:f>
        <x:v>0.7729984501997503</x:v>
      </x:c>
      <x:c r="H899" s="4" t="n">
        <x:f>IF(AND(ISNUMBER(G899),G899&gt;0),('계산 과정'!$D$56+'계산 과정'!$D$57*D899+'계산 과정'!$D$58*E899)/F899,"")</x:f>
        <x:v>102.44899262983763</x:v>
      </x:c>
      <x:c r="I899" s="4" t="n">
        <x:f>IF(AND(ISNUMBER(G899),G899&gt;0),('계산 과정'!$E$56+'계산 과정'!$E$57*D899+'계산 과정'!$E$58*E899)/F899,"")</x:f>
        <x:v>99.32838397500299</x:v>
      </x:c>
      <x:c r="J899" s="4" t="n">
        <x:f>IF('계산 과정'!$L$5,'계산 과정'!$D$6+'계산 과정'!$C$35*D899+'계산 과정'!$D$35*E899,"")</x:f>
        <x:v>592.2170997282623</x:v>
      </x:c>
      <x:c r="K899" s="4" t="n">
        <x:f>IF(AND('계산 과정'!$L$6,J899&gt;0),'계산 과정'!$D$10*('계산 과정'!$C$38*(D899-'계산 과정'!$C$32)+'계산 과정'!$D$38*(E899-'계산 과정'!$D$32)-'계산 과정'!$E$38*'계산 과정'!$E$32)/J899,"")</x:f>
        <x:v>0.7805637533701922</x:v>
      </x:c>
      <x:c r="L899" s="4" t="n">
        <x:f>IF(AND('계산 과정'!$L$6,J899&gt;0),'계산 과정'!$D$10*('계산 과정'!$C$39*(D899-'계산 과정'!$C$32)+'계산 과정'!$D$39*(E899-'계산 과정'!$D$32)-'계산 과정'!$E$39*'계산 과정'!$E$32)/J899,"")</x:f>
        <x:v>0.7567876874285941</x:v>
      </x:c>
      <x:c r="M899" s="17" t="n">
        <x:f>IF('계산 과정'!$L$6,IF(J899&lt;=0,0,IF(AND(ABS(K899)&lt;='계산 과정'!$D$11/2,ABS(L899)&lt;='계산 과정'!$D$12/2),1,0)),"")</x:f>
        <x:v>1</x:v>
      </x:c>
      <x:c r="N899" s="17" t="n">
        <x:f>IF('계산 과정'!$C$78,IF(AND(ISNUMBER(H899),ISNUMBER(I899),ABS(H899-'계산 과정'!$C$88)&lt;='계산 과정'!$D$23/2,ABS(I899-'계산 과정'!$C$89)&lt;='계산 과정'!$D$24/2),1,0),"")</x:f>
        <x:v>1</x:v>
      </x:c>
      <x:c r="O899" s="4" t="n">
        <x:f>IF('계산 과정'!$L$7,'계산 과정'!$C$49*('계산 과정'!$C$32-D899)+'계산 과정'!$D$49*('계산 과정'!$D$32-E899)+'계산 과정'!$E$49*'계산 과정'!$E$32,"")</x:f>
        <x:v>57.782900271737844</x:v>
      </x:c>
      <x:c r="P899" s="4" t="n">
        <x:f>IF(AND('계산 과정'!$L$7,O899&lt;&gt;0),('계산 과정'!$L$23-'계산 과정'!$C$49*D899-'계산 과정'!$D$49*E899)/O899,"")</x:f>
        <x:v>7.92246318753307</x:v>
      </x:c>
      <x:c r="Q899" s="4" t="str">
        <x:f>IF(AND(ISNUMBER(P899),P899&gt;1E-9,P899&lt;1-1E-9),'계산 과정'!$C$47*(D899-'계산 과정'!$C$50+P899*('계산 과정'!$C$32-D899))+'계산 과정'!$D$47*(E899-'계산 과정'!$D$50+P899*('계산 과정'!$D$32-E899))+'계산 과정'!$E$47*(0-'계산 과정'!$E$50+P899*('계산 과정'!$E$32-0)),"")</x:f>
      </x:c>
      <x:c r="R899" s="4" t="str">
        <x:f>IF(AND(ISNUMBER(P899),P899&gt;1E-9,P899&lt;1-1E-9),'계산 과정'!$C$48*(D899-'계산 과정'!$C$50+P899*('계산 과정'!$C$32-D899))+'계산 과정'!$D$48*(E899-'계산 과정'!$D$50+P899*('계산 과정'!$D$32-E899))+'계산 과정'!$E$48*(0-'계산 과정'!$E$50+P899*('계산 과정'!$E$32-0)),"")</x:f>
      </x:c>
      <x:c r="S899" s="17" t="n">
        <x:f>IF('계산 과정'!$C$78,IF(AND(ISNUMBER(Q899),ISNUMBER(R899),ABS(Q899-'계산 과정'!$C$88)&lt;='계산 과정'!$D$23/2,ABS(R899-'계산 과정'!$C$89)&lt;='계산 과정'!$D$24/2),1,0),"")</x:f>
        <x:v>0</x:v>
      </x:c>
      <x:c r="T899" s="4"/>
      <x:c r="U899" s="4"/>
      <x:c r="V899" s="4"/>
      <x:c r="W899" s="4"/>
      <x:c r="X899" s="4"/>
      <x:c r="Y899" s="4"/>
      <x:c r="Z899" s="4"/>
    </x:row>
    <x:row r="900" ht="23" customHeight="1">
      <x:c r="A900" s="17" t="n">
        <x:f>ROW()-6</x:f>
        <x:v>894</x:v>
      </x:c>
      <x:c r="B900" s="4" t="n">
        <x:f>IF('계산 과정'!$L$5,'계산 과정'!$L$11*SQRT((A900+0.5)/'계산 과정'!$L$30),"")</x:f>
        <x:v>99.13259054323407</x:v>
      </x:c>
      <x:c r="C900" s="4" t="n">
        <x:f>A900*PI()*(3-SQRT(5))</x:f>
        <x:v>2145.5671273774155</x:v>
      </x:c>
      <x:c r="D900" s="4" t="n">
        <x:f>IF('계산 과정'!$L$5,B900*COS(C900),"")</x:f>
        <x:v>-98.15359471400797</x:v>
      </x:c>
      <x:c r="E900" s="4" t="n">
        <x:f>IF('계산 과정'!$L$5,B900*SIN(C900),"")</x:f>
        <x:v>13.897566424765564</x:v>
      </x:c>
      <x:c r="F900" s="4" t="n">
        <x:f>IF('계산 과정'!$L$7,'계산 과정'!$L$22+'계산 과정'!$C$49*D900+'계산 과정'!$D$49*E900,"")</x:f>
        <x:v>719.4050724201111</x:v>
      </x:c>
      <x:c r="G900" s="4" t="n">
        <x:f>IF('계산 과정'!$L$7,IF(ABS(F900)&gt;=1E-12*MAX(1,SQRT((D900-'계산 과정'!$C$33)^2+(E900-'계산 과정'!$D$33)^2+'계산 과정'!$E$33^2)),('계산 과정'!$L$23-'계산 과정'!$C$49*D900-'계산 과정'!$D$49*E900)/F900,""),"")</x:f>
        <x:v>0.4595393336159734</x:v>
      </x:c>
      <x:c r="H900" s="4" t="n">
        <x:f>IF(AND(ISNUMBER(G900),G900&gt;0),('계산 과정'!$D$56+'계산 과정'!$D$57*D900+'계산 과정'!$D$58*E900)/F900,"")</x:f>
        <x:v>-101.29943314961746</x:v>
      </x:c>
      <x:c r="I900" s="4" t="n">
        <x:f>IF(AND(ISNUMBER(G900),G900&gt;0),('계산 과정'!$E$56+'계산 과정'!$E$57*D900+'계산 과정'!$E$58*E900)/F900,"")</x:f>
        <x:v>20.284044838486057</x:v>
      </x:c>
      <x:c r="J900" s="4" t="n">
        <x:f>IF('계산 과정'!$L$5,'계산 과정'!$D$6+'계산 과정'!$C$35*D900+'계산 과정'!$D$35*E900,"")</x:f>
        <x:v>719.4050724201111</x:v>
      </x:c>
      <x:c r="K900" s="4" t="n">
        <x:f>IF(AND('계산 과정'!$L$6,J900&gt;0),'계산 과정'!$D$10*('계산 과정'!$C$38*(D900-'계산 과정'!$C$32)+'계산 과정'!$D$38*(E900-'계산 과정'!$D$32)-'계산 과정'!$E$38*'계산 과정'!$E$32)/J900,"")</x:f>
        <x:v>-0.7718052049494651</x:v>
      </x:c>
      <x:c r="L900" s="4" t="n">
        <x:f>IF(AND('계산 과정'!$L$6,J900&gt;0),'계산 과정'!$D$10*('계산 과정'!$C$39*(D900-'계산 과정'!$C$32)+'계산 과정'!$D$39*(E900-'계산 과정'!$D$32)-'계산 과정'!$E$39*'계산 과정'!$E$32)/J900,"")</x:f>
        <x:v>0.15454510353132234</x:v>
      </x:c>
      <x:c r="M900" s="17" t="n">
        <x:f>IF('계산 과정'!$L$6,IF(J900&lt;=0,0,IF(AND(ABS(K900)&lt;='계산 과정'!$D$11/2,ABS(L900)&lt;='계산 과정'!$D$12/2),1,0)),"")</x:f>
        <x:v>1</x:v>
      </x:c>
      <x:c r="N900" s="17" t="n">
        <x:f>IF('계산 과정'!$C$78,IF(AND(ISNUMBER(H900),ISNUMBER(I900),ABS(H900-'계산 과정'!$C$88)&lt;='계산 과정'!$D$23/2,ABS(I900-'계산 과정'!$C$89)&lt;='계산 과정'!$D$24/2),1,0),"")</x:f>
        <x:v>1</x:v>
      </x:c>
      <x:c r="O900" s="4" t="n">
        <x:f>IF('계산 과정'!$L$7,'계산 과정'!$C$49*('계산 과정'!$C$32-D900)+'계산 과정'!$D$49*('계산 과정'!$D$32-E900)+'계산 과정'!$E$49*'계산 과정'!$E$32,"")</x:f>
        <x:v>-69.40507242011091</x:v>
      </x:c>
      <x:c r="P900" s="4" t="n">
        <x:f>IF(AND('계산 과정'!$L$7,O900&lt;&gt;0),('계산 과정'!$L$23-'계산 과정'!$C$49*D900-'계산 과정'!$D$49*E900)/O900,"")</x:f>
        <x:v>-4.763267525733397</x:v>
      </x:c>
      <x:c r="Q900" s="4" t="str">
        <x:f>IF(AND(ISNUMBER(P900),P900&gt;1E-9,P900&lt;1-1E-9),'계산 과정'!$C$47*(D900-'계산 과정'!$C$50+P900*('계산 과정'!$C$32-D900))+'계산 과정'!$D$47*(E900-'계산 과정'!$D$50+P900*('계산 과정'!$D$32-E900))+'계산 과정'!$E$47*(0-'계산 과정'!$E$50+P900*('계산 과정'!$E$32-0)),"")</x:f>
      </x:c>
      <x:c r="R900" s="4" t="str">
        <x:f>IF(AND(ISNUMBER(P900),P900&gt;1E-9,P900&lt;1-1E-9),'계산 과정'!$C$48*(D900-'계산 과정'!$C$50+P900*('계산 과정'!$C$32-D900))+'계산 과정'!$D$48*(E900-'계산 과정'!$D$50+P900*('계산 과정'!$D$32-E900))+'계산 과정'!$E$48*(0-'계산 과정'!$E$50+P900*('계산 과정'!$E$32-0)),"")</x:f>
      </x:c>
      <x:c r="S900" s="17" t="n">
        <x:f>IF('계산 과정'!$C$78,IF(AND(ISNUMBER(Q900),ISNUMBER(R900),ABS(Q900-'계산 과정'!$C$88)&lt;='계산 과정'!$D$23/2,ABS(R900-'계산 과정'!$C$89)&lt;='계산 과정'!$D$24/2),1,0),"")</x:f>
        <x:v>0</x:v>
      </x:c>
      <x:c r="T900" s="4"/>
      <x:c r="U900" s="4"/>
      <x:c r="V900" s="4"/>
      <x:c r="W900" s="4"/>
      <x:c r="X900" s="4"/>
      <x:c r="Y900" s="4"/>
      <x:c r="Z900" s="4"/>
    </x:row>
    <x:row r="901" ht="23" customHeight="1">
      <x:c r="A901" s="17" t="n">
        <x:f>ROW()-6</x:f>
        <x:v>895</x:v>
      </x:c>
      <x:c r="B901" s="4" t="n">
        <x:f>IF('계산 과정'!$L$5,'계산 과정'!$L$11*SQRT((A901+0.5)/'계산 과정'!$L$30),"")</x:f>
        <x:v>99.18798735702575</x:v>
      </x:c>
      <x:c r="C901" s="4" t="n">
        <x:f>A901*PI()*(3-SQRT(5))</x:f>
        <x:v>2147.9670906071447</x:v>
      </x:c>
      <x:c r="D901" s="4" t="n">
        <x:f>IF('계산 과정'!$L$5,B901*COS(C901),"")</x:f>
        <x:v>63.02293329325447</x:v>
      </x:c>
      <x:c r="E901" s="4" t="n">
        <x:f>IF('계산 과정'!$L$5,B901*SIN(C901),"")</x:f>
        <x:v>-76.59221053770088</x:v>
      </x:c>
      <x:c r="F901" s="4" t="n">
        <x:f>IF('계산 과정'!$L$7,'계산 과정'!$L$22+'계산 과정'!$C$49*D901+'계산 과정'!$D$49*E901,"")</x:f>
        <x:v>605.4360564980723</x:v>
      </x:c>
      <x:c r="G901" s="4" t="n">
        <x:f>IF('계산 과정'!$L$7,IF(ABS(F901)&gt;=1E-12*MAX(1,SQRT((D901-'계산 과정'!$C$33)^2+(E901-'계산 과정'!$D$33)^2+'계산 과정'!$E$33^2)),('계산 과정'!$L$23-'계산 과정'!$C$49*D901-'계산 과정'!$D$49*E901)/F901,""),"")</x:f>
        <x:v>0.73428719470946</x:v>
      </x:c>
      <x:c r="H901" s="4" t="n">
        <x:f>IF(AND(ISNUMBER(G901),G901&gt;0),('계산 과정'!$D$56+'계산 과정'!$D$57*D901+'계산 과정'!$D$58*E901)/F901,"")</x:f>
        <x:v>77.28667656114891</x:v>
      </x:c>
      <x:c r="I901" s="4" t="n">
        <x:f>IF(AND(ISNUMBER(G901),G901&gt;0),('계산 과정'!$E$56+'계산 과정'!$E$57*D901+'계산 과정'!$E$58*E901)/F901,"")</x:f>
        <x:v>-132.83288995002562</x:v>
      </x:c>
      <x:c r="J901" s="4" t="n">
        <x:f>IF('계산 과정'!$L$5,'계산 과정'!$D$6+'계산 과정'!$C$35*D901+'계산 과정'!$D$35*E901,"")</x:f>
        <x:v>605.4360564980723</x:v>
      </x:c>
      <x:c r="K901" s="4" t="n">
        <x:f>IF(AND('계산 과정'!$L$6,J901&gt;0),'계산 과정'!$D$10*('계산 과정'!$C$38*(D901-'계산 과정'!$C$32)+'계산 과정'!$D$38*(E901-'계산 과정'!$D$32)-'계산 과정'!$E$38*'계산 과정'!$E$32)/J901,"")</x:f>
        <x:v>0.5888508690373258</x:v>
      </x:c>
      <x:c r="L901" s="4" t="n">
        <x:f>IF(AND('계산 과정'!$L$6,J901&gt;0),'계산 과정'!$D$10*('계산 과정'!$C$39*(D901-'계산 과정'!$C$32)+'계산 과정'!$D$39*(E901-'계산 과정'!$D$32)-'계산 과정'!$E$39*'계산 과정'!$E$32)/J901,"")</x:f>
        <x:v>-1.012060113904957</x:v>
      </x:c>
      <x:c r="M901" s="17" t="n">
        <x:f>IF('계산 과정'!$L$6,IF(J901&lt;=0,0,IF(AND(ABS(K901)&lt;='계산 과정'!$D$11/2,ABS(L901)&lt;='계산 과정'!$D$12/2),1,0)),"")</x:f>
        <x:v>1</x:v>
      </x:c>
      <x:c r="N901" s="17" t="n">
        <x:f>IF('계산 과정'!$C$78,IF(AND(ISNUMBER(H901),ISNUMBER(I901),ABS(H901-'계산 과정'!$C$88)&lt;='계산 과정'!$D$23/2,ABS(I901-'계산 과정'!$C$89)&lt;='계산 과정'!$D$24/2),1,0),"")</x:f>
        <x:v>1</x:v>
      </x:c>
      <x:c r="O901" s="4" t="n">
        <x:f>IF('계산 과정'!$L$7,'계산 과정'!$C$49*('계산 과정'!$C$32-D901)+'계산 과정'!$D$49*('계산 과정'!$D$32-E901)+'계산 과정'!$E$49*'계산 과정'!$E$32,"")</x:f>
        <x:v>44.56394350192778</x:v>
      </x:c>
      <x:c r="P901" s="4" t="n">
        <x:f>IF(AND('계산 과정'!$L$7,O901&lt;&gt;0),('계산 과정'!$L$23-'계산 과정'!$C$49*D901-'계산 과정'!$D$49*E901)/O901,"")</x:f>
        <x:v>9.975866329753703</x:v>
      </x:c>
      <x:c r="Q901" s="4" t="str">
        <x:f>IF(AND(ISNUMBER(P901),P901&gt;1E-9,P901&lt;1-1E-9),'계산 과정'!$C$47*(D901-'계산 과정'!$C$50+P901*('계산 과정'!$C$32-D901))+'계산 과정'!$D$47*(E901-'계산 과정'!$D$50+P901*('계산 과정'!$D$32-E901))+'계산 과정'!$E$47*(0-'계산 과정'!$E$50+P901*('계산 과정'!$E$32-0)),"")</x:f>
      </x:c>
      <x:c r="R901" s="4" t="str">
        <x:f>IF(AND(ISNUMBER(P901),P901&gt;1E-9,P901&lt;1-1E-9),'계산 과정'!$C$48*(D901-'계산 과정'!$C$50+P901*('계산 과정'!$C$32-D901))+'계산 과정'!$D$48*(E901-'계산 과정'!$D$50+P901*('계산 과정'!$D$32-E901))+'계산 과정'!$E$48*(0-'계산 과정'!$E$50+P901*('계산 과정'!$E$32-0)),"")</x:f>
      </x:c>
      <x:c r="S901" s="17" t="n">
        <x:f>IF('계산 과정'!$C$78,IF(AND(ISNUMBER(Q901),ISNUMBER(R901),ABS(Q901-'계산 과정'!$C$88)&lt;='계산 과정'!$D$23/2,ABS(R901-'계산 과정'!$C$89)&lt;='계산 과정'!$D$24/2),1,0),"")</x:f>
        <x:v>0</x:v>
      </x:c>
      <x:c r="T901" s="4"/>
      <x:c r="U901" s="4"/>
      <x:c r="V901" s="4"/>
      <x:c r="W901" s="4"/>
      <x:c r="X901" s="4"/>
      <x:c r="Y901" s="4"/>
      <x:c r="Z901" s="4"/>
    </x:row>
    <x:row r="902" ht="23" customHeight="1">
      <x:c r="A902" s="17" t="n">
        <x:f>ROW()-6</x:f>
        <x:v>896</x:v>
      </x:c>
      <x:c r="B902" s="4" t="n">
        <x:f>IF('계산 과정'!$L$5,'계산 과정'!$L$11*SQRT((A902+0.5)/'계산 과정'!$L$30),"")</x:f>
        <x:v>99.24335324878186</x:v>
      </x:c>
      <x:c r="C902" s="4" t="n">
        <x:f>A902*PI()*(3-SQRT(5))</x:f>
        <x:v>2150.367053836873</x:v>
      </x:c>
      <x:c r="D902" s="4" t="n">
        <x:f>IF('계산 과정'!$L$5,B902*COS(C902),"")</x:f>
        <x:v>5.2690847361604884</x:v>
      </x:c>
      <x:c r="E902" s="4" t="n">
        <x:f>IF('계산 과정'!$L$5,B902*SIN(C902),"")</x:f>
        <x:v>99.10337991262286</x:v>
      </x:c>
      <x:c r="F902" s="4" t="n">
        <x:f>IF('계산 과정'!$L$7,'계산 과정'!$L$22+'계산 과정'!$C$49*D902+'계산 과정'!$D$49*E902,"")</x:f>
        <x:v>646.2741944524143</x:v>
      </x:c>
      <x:c r="G902" s="4" t="n">
        <x:f>IF('계산 과정'!$L$7,IF(ABS(F902)&gt;=1E-12*MAX(1,SQRT((D902-'계산 과정'!$C$33)^2+(E902-'계산 과정'!$D$33)^2+'계산 과정'!$E$33^2)),('계산 과정'!$L$23-'계산 과정'!$C$49*D902-'계산 과정'!$D$49*E902)/F902,""),"")</x:f>
        <x:v>0.6246973947175176</x:v>
      </x:c>
      <x:c r="H902" s="4" t="n">
        <x:f>IF(AND(ISNUMBER(G902),G902&gt;0),('계산 과정'!$D$56+'계산 과정'!$D$57*D902+'계산 과정'!$D$58*E902)/F902,"")</x:f>
        <x:v>6.053306566386306</x:v>
      </x:c>
      <x:c r="I902" s="4" t="n">
        <x:f>IF(AND(ISNUMBER(G902),G902&gt;0),('계산 과정'!$E$56+'계산 과정'!$E$57*D902+'계산 과정'!$E$58*E902)/F902,"")</x:f>
        <x:v>161.01300315173873</x:v>
      </x:c>
      <x:c r="J902" s="4" t="n">
        <x:f>IF('계산 과정'!$L$5,'계산 과정'!$D$6+'계산 과정'!$C$35*D902+'계산 과정'!$D$35*E902,"")</x:f>
        <x:v>646.2741944524143</x:v>
      </x:c>
      <x:c r="K902" s="4" t="n">
        <x:f>IF(AND('계산 과정'!$L$6,J902&gt;0),'계산 과정'!$D$10*('계산 과정'!$C$38*(D902-'계산 과정'!$C$32)+'계산 과정'!$D$38*(E902-'계산 과정'!$D$32)-'계산 과정'!$E$38*'계산 과정'!$E$32)/J902,"")</x:f>
        <x:v>0.046120430981991534</x:v>
      </x:c>
      <x:c r="L902" s="4" t="n">
        <x:f>IF(AND('계산 과정'!$L$6,J902&gt;0),'계산 과정'!$D$10*('계산 과정'!$C$39*(D902-'계산 과정'!$C$32)+'계산 과정'!$D$39*(E902-'계산 과정'!$D$32)-'계산 과정'!$E$39*'계산 과정'!$E$32)/J902,"")</x:f>
        <x:v>1.2267657382989616</x:v>
      </x:c>
      <x:c r="M902" s="17" t="n">
        <x:f>IF('계산 과정'!$L$6,IF(J902&lt;=0,0,IF(AND(ABS(K902)&lt;='계산 과정'!$D$11/2,ABS(L902)&lt;='계산 과정'!$D$12/2),1,0)),"")</x:f>
        <x:v>1</x:v>
      </x:c>
      <x:c r="N902" s="17" t="n">
        <x:f>IF('계산 과정'!$C$78,IF(AND(ISNUMBER(H902),ISNUMBER(I902),ABS(H902-'계산 과정'!$C$88)&lt;='계산 과정'!$D$23/2,ABS(I902-'계산 과정'!$C$89)&lt;='계산 과정'!$D$24/2),1,0),"")</x:f>
        <x:v>1</x:v>
      </x:c>
      <x:c r="O902" s="4" t="n">
        <x:f>IF('계산 과정'!$L$7,'계산 과정'!$C$49*('계산 과정'!$C$32-D902)+'계산 과정'!$D$49*('계산 과정'!$D$32-E902)+'계산 과정'!$E$49*'계산 과정'!$E$32,"")</x:f>
        <x:v>3.7258055475857077</x:v>
      </x:c>
      <x:c r="P902" s="4" t="n">
        <x:f>IF(AND('계산 과정'!$L$7,O902&lt;&gt;0),('계산 과정'!$L$23-'계산 과정'!$C$49*D902-'계산 과정'!$D$49*E902)/O902,"")</x:f>
        <x:v>108.35933340890448</x:v>
      </x:c>
      <x:c r="Q902" s="4" t="str">
        <x:f>IF(AND(ISNUMBER(P902),P902&gt;1E-9,P902&lt;1-1E-9),'계산 과정'!$C$47*(D902-'계산 과정'!$C$50+P902*('계산 과정'!$C$32-D902))+'계산 과정'!$D$47*(E902-'계산 과정'!$D$50+P902*('계산 과정'!$D$32-E902))+'계산 과정'!$E$47*(0-'계산 과정'!$E$50+P902*('계산 과정'!$E$32-0)),"")</x:f>
      </x:c>
      <x:c r="R902" s="4" t="str">
        <x:f>IF(AND(ISNUMBER(P902),P902&gt;1E-9,P902&lt;1-1E-9),'계산 과정'!$C$48*(D902-'계산 과정'!$C$50+P902*('계산 과정'!$C$32-D902))+'계산 과정'!$D$48*(E902-'계산 과정'!$D$50+P902*('계산 과정'!$D$32-E902))+'계산 과정'!$E$48*(0-'계산 과정'!$E$50+P902*('계산 과정'!$E$32-0)),"")</x:f>
      </x:c>
      <x:c r="S902" s="17" t="n">
        <x:f>IF('계산 과정'!$C$78,IF(AND(ISNUMBER(Q902),ISNUMBER(R902),ABS(Q902-'계산 과정'!$C$88)&lt;='계산 과정'!$D$23/2,ABS(R902-'계산 과정'!$C$89)&lt;='계산 과정'!$D$24/2),1,0),"")</x:f>
        <x:v>0</x:v>
      </x:c>
      <x:c r="T902" s="4"/>
      <x:c r="U902" s="4"/>
      <x:c r="V902" s="4"/>
      <x:c r="W902" s="4"/>
      <x:c r="X902" s="4"/>
      <x:c r="Y902" s="4"/>
      <x:c r="Z902" s="4"/>
    </x:row>
    <x:row r="903" ht="23" customHeight="1">
      <x:c r="A903" s="17" t="n">
        <x:f>ROW()-6</x:f>
        <x:v>897</x:v>
      </x:c>
      <x:c r="B903" s="4" t="n">
        <x:f>IF('계산 과정'!$L$5,'계산 과정'!$L$11*SQRT((A903+0.5)/'계산 과정'!$L$30),"")</x:f>
        <x:v>99.29868827022591</x:v>
      </x:c>
      <x:c r="C903" s="4" t="n">
        <x:f>A903*PI()*(3-SQRT(5))</x:f>
        <x:v>2152.7670170666015</x:v>
      </x:c>
      <x:c r="D903" s="4" t="n">
        <x:f>IF('계산 과정'!$L$5,B903*COS(C903),"")</x:f>
        <x:v>-70.86812221150169</x:v>
      </x:c>
      <x:c r="E903" s="4" t="n">
        <x:f>IF('계산 과정'!$L$5,B903*SIN(C903),"")</x:f>
        <x:v>-69.55529272746368</x:v>
      </x:c>
      <x:c r="F903" s="4" t="n">
        <x:f>IF('계산 과정'!$L$7,'계산 과정'!$L$22+'계산 과정'!$C$49*D903+'계산 과정'!$D$49*E903,"")</x:f>
        <x:v>700.1113297857098</x:v>
      </x:c>
      <x:c r="G903" s="4" t="n">
        <x:f>IF('계산 과정'!$L$7,IF(ABS(F903)&gt;=1E-12*MAX(1,SQRT((D903-'계산 과정'!$C$33)^2+(E903-'계산 과정'!$D$33)^2+'계산 과정'!$E$33^2)),('계산 과정'!$L$23-'계산 과정'!$C$49*D903-'계산 과정'!$D$49*E903)/F903,""),"")</x:f>
        <x:v>0.4997614741092451</x:v>
      </x:c>
      <x:c r="H903" s="4" t="n">
        <x:f>IF(AND(ISNUMBER(G903),G903&gt;0),('계산 과정'!$D$56+'계산 과정'!$D$57*D903+'계산 과정'!$D$58*E903)/F903,"")</x:f>
        <x:v>-75.15504182899082</x:v>
      </x:c>
      <x:c r="I903" s="4" t="n">
        <x:f>IF(AND(ISNUMBER(G903),G903&gt;0),('계산 과정'!$E$56+'계산 과정'!$E$57*D903+'계산 과정'!$E$58*E903)/F903,"")</x:f>
        <x:v>-104.316348353041</x:v>
      </x:c>
      <x:c r="J903" s="4" t="n">
        <x:f>IF('계산 과정'!$L$5,'계산 과정'!$D$6+'계산 과정'!$C$35*D903+'계산 과정'!$D$35*E903,"")</x:f>
        <x:v>700.1113297857098</x:v>
      </x:c>
      <x:c r="K903" s="4" t="n">
        <x:f>IF(AND('계산 과정'!$L$6,J903&gt;0),'계산 과정'!$D$10*('계산 과정'!$C$38*(D903-'계산 과정'!$C$32)+'계산 과정'!$D$38*(E903-'계산 과정'!$D$32)-'계산 과정'!$E$38*'계산 과정'!$E$32)/J903,"")</x:f>
        <x:v>-0.5726098425065962</x:v>
      </x:c>
      <x:c r="L903" s="4" t="n">
        <x:f>IF(AND('계산 과정'!$L$6,J903&gt;0),'계산 과정'!$D$10*('계산 과정'!$C$39*(D903-'계산 과정'!$C$32)+'계산 과정'!$D$39*(E903-'계산 과정'!$D$32)-'계산 과정'!$E$39*'계산 과정'!$E$32)/J903,"")</x:f>
        <x:v>-0.7947912255469789</x:v>
      </x:c>
      <x:c r="M903" s="17" t="n">
        <x:f>IF('계산 과정'!$L$6,IF(J903&lt;=0,0,IF(AND(ABS(K903)&lt;='계산 과정'!$D$11/2,ABS(L903)&lt;='계산 과정'!$D$12/2),1,0)),"")</x:f>
        <x:v>1</x:v>
      </x:c>
      <x:c r="N903" s="17" t="n">
        <x:f>IF('계산 과정'!$C$78,IF(AND(ISNUMBER(H903),ISNUMBER(I903),ABS(H903-'계산 과정'!$C$88)&lt;='계산 과정'!$D$23/2,ABS(I903-'계산 과정'!$C$89)&lt;='계산 과정'!$D$24/2),1,0),"")</x:f>
        <x:v>1</x:v>
      </x:c>
      <x:c r="O903" s="4" t="n">
        <x:f>IF('계산 과정'!$L$7,'계산 과정'!$C$49*('계산 과정'!$C$32-D903)+'계산 과정'!$D$49*('계산 과정'!$D$32-E903)+'계산 과정'!$E$49*'계산 과정'!$E$32,"")</x:f>
        <x:v>-50.111329785709756</x:v>
      </x:c>
      <x:c r="P903" s="4" t="n">
        <x:f>IF(AND('계산 과정'!$L$7,O903&lt;&gt;0),('계산 과정'!$L$23-'계산 과정'!$C$49*D903-'계산 과정'!$D$49*E903)/O903,"")</x:f>
        <x:v>-6.982226807999574</x:v>
      </x:c>
      <x:c r="Q903" s="4" t="str">
        <x:f>IF(AND(ISNUMBER(P903),P903&gt;1E-9,P903&lt;1-1E-9),'계산 과정'!$C$47*(D903-'계산 과정'!$C$50+P903*('계산 과정'!$C$32-D903))+'계산 과정'!$D$47*(E903-'계산 과정'!$D$50+P903*('계산 과정'!$D$32-E903))+'계산 과정'!$E$47*(0-'계산 과정'!$E$50+P903*('계산 과정'!$E$32-0)),"")</x:f>
      </x:c>
      <x:c r="R903" s="4" t="str">
        <x:f>IF(AND(ISNUMBER(P903),P903&gt;1E-9,P903&lt;1-1E-9),'계산 과정'!$C$48*(D903-'계산 과정'!$C$50+P903*('계산 과정'!$C$32-D903))+'계산 과정'!$D$48*(E903-'계산 과정'!$D$50+P903*('계산 과정'!$D$32-E903))+'계산 과정'!$E$48*(0-'계산 과정'!$E$50+P903*('계산 과정'!$E$32-0)),"")</x:f>
      </x:c>
      <x:c r="S903" s="17" t="n">
        <x:f>IF('계산 과정'!$C$78,IF(AND(ISNUMBER(Q903),ISNUMBER(R903),ABS(Q903-'계산 과정'!$C$88)&lt;='계산 과정'!$D$23/2,ABS(R903-'계산 과정'!$C$89)&lt;='계산 과정'!$D$24/2),1,0),"")</x:f>
        <x:v>0</x:v>
      </x:c>
      <x:c r="T903" s="4"/>
      <x:c r="U903" s="4"/>
      <x:c r="V903" s="4"/>
      <x:c r="W903" s="4"/>
      <x:c r="X903" s="4"/>
      <x:c r="Y903" s="4"/>
      <x:c r="Z903" s="4"/>
    </x:row>
    <x:row r="904" ht="23" customHeight="1">
      <x:c r="A904" s="17" t="n">
        <x:f>ROW()-6</x:f>
        <x:v>898</x:v>
      </x:c>
      <x:c r="B904" s="4" t="n">
        <x:f>IF('계산 과정'!$L$5,'계산 과정'!$L$11*SQRT((A904+0.5)/'계산 과정'!$L$30),"")</x:f>
        <x:v>99.35399247293739</x:v>
      </x:c>
      <x:c r="C904" s="4" t="n">
        <x:f>A904*PI()*(3-SQRT(5))</x:f>
        <x:v>2155.1669802963306</x:v>
      </x:c>
      <x:c r="D904" s="4" t="n">
        <x:f>IF('계산 과정'!$L$5,B904*COS(C904),"")</x:f>
        <x:v>99.29514436415239</x:v>
      </x:c>
      <x:c r="E904" s="4" t="n">
        <x:f>IF('계산 과정'!$L$5,B904*SIN(C904),"")</x:f>
        <x:v>3.419082627640754</x:v>
      </x:c>
      <x:c r="F904" s="4" t="n">
        <x:f>IF('계산 과정'!$L$7,'계산 과정'!$L$22+'계산 과정'!$C$49*D904+'계산 과정'!$D$49*E904,"")</x:f>
        <x:v>579.7877300812106</x:v>
      </x:c>
      <x:c r="G904" s="4" t="n">
        <x:f>IF('계산 과정'!$L$7,IF(ABS(F904)&gt;=1E-12*MAX(1,SQRT((D904-'계산 과정'!$C$33)^2+(E904-'계산 과정'!$D$33)^2+'계산 과정'!$E$33^2)),('계산 과정'!$L$23-'계산 과정'!$C$49*D904-'계산 과정'!$D$49*E904)/F904,""),"")</x:f>
        <x:v>0.8110076248990763</x:v>
      </x:c>
      <x:c r="H904" s="4" t="n">
        <x:f>IF(AND(ISNUMBER(G904),G904&gt;0),('계산 과정'!$D$56+'계산 과정'!$D$57*D904+'계산 과정'!$D$58*E904)/F904,"")</x:f>
        <x:v>127.15495618439948</x:v>
      </x:c>
      <x:c r="I904" s="4" t="n">
        <x:f>IF(AND(ISNUMBER(G904),G904&gt;0),('계산 과정'!$E$56+'계산 과정'!$E$57*D904+'계산 과정'!$E$58*E904)/F904,"")</x:f>
        <x:v>6.191984708817375</x:v>
      </x:c>
      <x:c r="J904" s="4" t="n">
        <x:f>IF('계산 과정'!$L$5,'계산 과정'!$D$6+'계산 과정'!$C$35*D904+'계산 과정'!$D$35*E904,"")</x:f>
        <x:v>579.7877300812106</x:v>
      </x:c>
      <x:c r="K904" s="4" t="n">
        <x:f>IF(AND('계산 과정'!$L$6,J904&gt;0),'계산 과정'!$D$10*('계산 과정'!$C$38*(D904-'계산 과정'!$C$32)+'계산 과정'!$D$38*(E904-'계산 과정'!$D$32)-'계산 과정'!$E$38*'계산 과정'!$E$32)/J904,"")</x:f>
        <x:v>0.968799666166854</x:v>
      </x:c>
      <x:c r="L904" s="4" t="n">
        <x:f>IF(AND('계산 과정'!$L$6,J904&gt;0),'계산 과정'!$D$10*('계산 과정'!$C$39*(D904-'계산 과정'!$C$32)+'계산 과정'!$D$39*(E904-'계산 과정'!$D$32)-'계산 과정'!$E$39*'계산 과정'!$E$32)/J904,"")</x:f>
        <x:v>0.04717702635289429</x:v>
      </x:c>
      <x:c r="M904" s="17" t="n">
        <x:f>IF('계산 과정'!$L$6,IF(J904&lt;=0,0,IF(AND(ABS(K904)&lt;='계산 과정'!$D$11/2,ABS(L904)&lt;='계산 과정'!$D$12/2),1,0)),"")</x:f>
        <x:v>1</x:v>
      </x:c>
      <x:c r="N904" s="17" t="n">
        <x:f>IF('계산 과정'!$C$78,IF(AND(ISNUMBER(H904),ISNUMBER(I904),ABS(H904-'계산 과정'!$C$88)&lt;='계산 과정'!$D$23/2,ABS(I904-'계산 과정'!$C$89)&lt;='계산 과정'!$D$24/2),1,0),"")</x:f>
        <x:v>1</x:v>
      </x:c>
      <x:c r="O904" s="4" t="n">
        <x:f>IF('계산 과정'!$L$7,'계산 과정'!$C$49*('계산 과정'!$C$32-D904)+'계산 과정'!$D$49*('계산 과정'!$D$32-E904)+'계산 과정'!$E$49*'계산 과정'!$E$32,"")</x:f>
        <x:v>70.21226991878947</x:v>
      </x:c>
      <x:c r="P904" s="4" t="n">
        <x:f>IF(AND('계산 과정'!$L$7,O904&lt;&gt;0),('계산 과정'!$L$23-'계산 과정'!$C$49*D904-'계산 과정'!$D$49*E904)/O904,"")</x:f>
        <x:v>6.697009945165667</x:v>
      </x:c>
      <x:c r="Q904" s="4" t="str">
        <x:f>IF(AND(ISNUMBER(P904),P904&gt;1E-9,P904&lt;1-1E-9),'계산 과정'!$C$47*(D904-'계산 과정'!$C$50+P904*('계산 과정'!$C$32-D904))+'계산 과정'!$D$47*(E904-'계산 과정'!$D$50+P904*('계산 과정'!$D$32-E904))+'계산 과정'!$E$47*(0-'계산 과정'!$E$50+P904*('계산 과정'!$E$32-0)),"")</x:f>
      </x:c>
      <x:c r="R904" s="4" t="str">
        <x:f>IF(AND(ISNUMBER(P904),P904&gt;1E-9,P904&lt;1-1E-9),'계산 과정'!$C$48*(D904-'계산 과정'!$C$50+P904*('계산 과정'!$C$32-D904))+'계산 과정'!$D$48*(E904-'계산 과정'!$D$50+P904*('계산 과정'!$D$32-E904))+'계산 과정'!$E$48*(0-'계산 과정'!$E$50+P904*('계산 과정'!$E$32-0)),"")</x:f>
      </x:c>
      <x:c r="S904" s="17" t="n">
        <x:f>IF('계산 과정'!$C$78,IF(AND(ISNUMBER(Q904),ISNUMBER(R904),ABS(Q904-'계산 과정'!$C$88)&lt;='계산 과정'!$D$23/2,ABS(R904-'계산 과정'!$C$89)&lt;='계산 과정'!$D$24/2),1,0),"")</x:f>
        <x:v>0</x:v>
      </x:c>
      <x:c r="T904" s="4"/>
      <x:c r="U904" s="4"/>
      <x:c r="V904" s="4"/>
      <x:c r="W904" s="4"/>
      <x:c r="X904" s="4"/>
      <x:c r="Y904" s="4"/>
      <x:c r="Z904" s="4"/>
    </x:row>
    <x:row r="905" ht="23" customHeight="1">
      <x:c r="A905" s="17" t="n">
        <x:f>ROW()-6</x:f>
        <x:v>899</x:v>
      </x:c>
      <x:c r="B905" s="4" t="n">
        <x:f>IF('계산 과정'!$L$5,'계산 과정'!$L$11*SQRT((A905+0.5)/'계산 과정'!$L$30),"")</x:f>
        <x:v>99.40926590835232</x:v>
      </x:c>
      <x:c r="C905" s="4" t="n">
        <x:f>A905*PI()*(3-SQRT(5))</x:f>
        <x:v>2157.566943526059</x:v>
      </x:c>
      <x:c r="D905" s="4" t="n">
        <x:f>IF('계산 과정'!$L$5,B905*COS(C905),"")</x:f>
        <x:v>-75.56872397101618</x:v>
      </x:c>
      <x:c r="E905" s="4" t="n">
        <x:f>IF('계산 과정'!$L$5,B905*SIN(C905),"")</x:f>
        <x:v>64.58769314528786</x:v>
      </x:c>
      <x:c r="F905" s="4" t="n">
        <x:f>IF('계산 과정'!$L$7,'계산 과정'!$L$22+'계산 과정'!$C$49*D905+'계산 과정'!$D$49*E905,"")</x:f>
        <x:v>703.43515716552</x:v>
      </x:c>
      <x:c r="G905" s="4" t="n">
        <x:f>IF('계산 과정'!$L$7,IF(ABS(F905)&gt;=1E-12*MAX(1,SQRT((D905-'계산 과정'!$C$33)^2+(E905-'계산 과정'!$D$33)^2+'계산 과정'!$E$33^2)),('계산 과정'!$L$23-'계산 과정'!$C$49*D905-'계산 과정'!$D$49*E905)/F905,""),"")</x:f>
        <x:v>0.4926748959079003</x:v>
      </x:c>
      <x:c r="H905" s="4" t="n">
        <x:f>IF(AND(ISNUMBER(G905),G905&gt;0),('계산 과정'!$D$56+'계산 과정'!$D$57*D905+'계산 과정'!$D$58*E905)/F905,"")</x:f>
        <x:v>-79.76131765986491</x:v>
      </x:c>
      <x:c r="I905" s="4" t="n">
        <x:f>IF(AND(ISNUMBER(G905),G905&gt;0),('계산 과정'!$E$56+'계산 과정'!$E$57*D905+'계산 과정'!$E$58*E905)/F905,"")</x:f>
        <x:v>96.40842814257395</x:v>
      </x:c>
      <x:c r="J905" s="4" t="n">
        <x:f>IF('계산 과정'!$L$5,'계산 과정'!$D$6+'계산 과정'!$C$35*D905+'계산 과정'!$D$35*E905,"")</x:f>
        <x:v>703.43515716552</x:v>
      </x:c>
      <x:c r="K905" s="4" t="n">
        <x:f>IF(AND('계산 과정'!$L$6,J905&gt;0),'계산 과정'!$D$10*('계산 과정'!$C$38*(D905-'계산 과정'!$C$32)+'계산 과정'!$D$38*(E905-'계산 과정'!$D$32)-'계산 과정'!$E$38*'계산 과정'!$E$32)/J905,"")</x:f>
        <x:v>-0.6077052774084938</x:v>
      </x:c>
      <x:c r="L905" s="4" t="n">
        <x:f>IF(AND('계산 과정'!$L$6,J905&gt;0),'계산 과정'!$D$10*('계산 과정'!$C$39*(D905-'계산 과정'!$C$32)+'계산 과정'!$D$39*(E905-'계산 과정'!$D$32)-'계산 과정'!$E$39*'계산 과정'!$E$32)/J905,"")</x:f>
        <x:v>0.7345404048958016</x:v>
      </x:c>
      <x:c r="M905" s="17" t="n">
        <x:f>IF('계산 과정'!$L$6,IF(J905&lt;=0,0,IF(AND(ABS(K905)&lt;='계산 과정'!$D$11/2,ABS(L905)&lt;='계산 과정'!$D$12/2),1,0)),"")</x:f>
        <x:v>1</x:v>
      </x:c>
      <x:c r="N905" s="17" t="n">
        <x:f>IF('계산 과정'!$C$78,IF(AND(ISNUMBER(H905),ISNUMBER(I905),ABS(H905-'계산 과정'!$C$88)&lt;='계산 과정'!$D$23/2,ABS(I905-'계산 과정'!$C$89)&lt;='계산 과정'!$D$24/2),1,0),"")</x:f>
        <x:v>1</x:v>
      </x:c>
      <x:c r="O905" s="4" t="n">
        <x:f>IF('계산 과정'!$L$7,'계산 과정'!$C$49*('계산 과정'!$C$32-D905)+'계산 과정'!$D$49*('계산 과정'!$D$32-E905)+'계산 과정'!$E$49*'계산 과정'!$E$32,"")</x:f>
        <x:v>-53.435157165519854</x:v>
      </x:c>
      <x:c r="P905" s="4" t="n">
        <x:f>IF(AND('계산 과정'!$L$7,O905&lt;&gt;0),('계산 과정'!$L$23-'계산 과정'!$C$49*D905-'계산 과정'!$D$49*E905)/O905,"")</x:f>
        <x:v>-6.48570830924978</x:v>
      </x:c>
      <x:c r="Q905" s="4" t="str">
        <x:f>IF(AND(ISNUMBER(P905),P905&gt;1E-9,P905&lt;1-1E-9),'계산 과정'!$C$47*(D905-'계산 과정'!$C$50+P905*('계산 과정'!$C$32-D905))+'계산 과정'!$D$47*(E905-'계산 과정'!$D$50+P905*('계산 과정'!$D$32-E905))+'계산 과정'!$E$47*(0-'계산 과정'!$E$50+P905*('계산 과정'!$E$32-0)),"")</x:f>
      </x:c>
      <x:c r="R905" s="4" t="str">
        <x:f>IF(AND(ISNUMBER(P905),P905&gt;1E-9,P905&lt;1-1E-9),'계산 과정'!$C$48*(D905-'계산 과정'!$C$50+P905*('계산 과정'!$C$32-D905))+'계산 과정'!$D$48*(E905-'계산 과정'!$D$50+P905*('계산 과정'!$D$32-E905))+'계산 과정'!$E$48*(0-'계산 과정'!$E$50+P905*('계산 과정'!$E$32-0)),"")</x:f>
      </x:c>
      <x:c r="S905" s="17" t="n">
        <x:f>IF('계산 과정'!$C$78,IF(AND(ISNUMBER(Q905),ISNUMBER(R905),ABS(Q905-'계산 과정'!$C$88)&lt;='계산 과정'!$D$23/2,ABS(R905-'계산 과정'!$C$89)&lt;='계산 과정'!$D$24/2),1,0),"")</x:f>
        <x:v>0</x:v>
      </x:c>
      <x:c r="T905" s="4"/>
      <x:c r="U905" s="4"/>
      <x:c r="V905" s="4"/>
      <x:c r="W905" s="4"/>
      <x:c r="X905" s="4"/>
      <x:c r="Y905" s="4"/>
      <x:c r="Z905" s="4"/>
    </x:row>
    <x:row r="906" ht="23" customHeight="1">
      <x:c r="A906" s="17" t="n">
        <x:f>ROW()-6</x:f>
        <x:v>900</x:v>
      </x:c>
      <x:c r="B906" s="4" t="n">
        <x:f>IF('계산 과정'!$L$5,'계산 과정'!$L$11*SQRT((A906+0.5)/'계산 과정'!$L$30),"")</x:f>
        <x:v>99.4645086277638</x:v>
      </x:c>
      <x:c r="C906" s="4" t="n">
        <x:f>A906*PI()*(3-SQRT(5))</x:f>
        <x:v>2159.9669067557875</x:v>
      </x:c>
      <x:c r="D906" s="4" t="n">
        <x:f>IF('계산 과정'!$L$5,B906*COS(C906),"")</x:f>
        <x:v>12.100385934258759</x:v>
      </x:c>
      <x:c r="E906" s="4" t="n">
        <x:f>IF('계산 과정'!$L$5,B906*SIN(C906),"")</x:f>
        <x:v>-98.72572682337919</x:v>
      </x:c>
      <x:c r="F906" s="4" t="n">
        <x:f>IF('계산 과정'!$L$7,'계산 과정'!$L$22+'계산 과정'!$C$49*D906+'계산 과정'!$D$49*E906,"")</x:f>
        <x:v>641.4437350509113</x:v>
      </x:c>
      <x:c r="G906" s="4" t="n">
        <x:f>IF('계산 과정'!$L$7,IF(ABS(F906)&gt;=1E-12*MAX(1,SQRT((D906-'계산 과정'!$C$33)^2+(E906-'계산 과정'!$D$33)^2+'계산 과정'!$E$33^2)),('계산 과정'!$L$23-'계산 과정'!$C$49*D906-'계산 과정'!$D$49*E906)/F906,""),"")</x:f>
        <x:v>0.6369323490495415</x:v>
      </x:c>
      <x:c r="H906" s="4" t="n">
        <x:f>IF(AND(ISNUMBER(G906),G906&gt;0),('계산 과정'!$D$56+'계산 과정'!$D$57*D906+'계산 과정'!$D$58*E906)/F906,"")</x:f>
        <x:v>14.006026882201885</x:v>
      </x:c>
      <x:c r="I906" s="4" t="n">
        <x:f>IF(AND(ISNUMBER(G906),G906&gt;0),('계산 과정'!$E$56+'계산 과정'!$E$57*D906+'계산 과정'!$E$58*E906)/F906,"")</x:f>
        <x:v>-161.60733592061743</x:v>
      </x:c>
      <x:c r="J906" s="4" t="n">
        <x:f>IF('계산 과정'!$L$5,'계산 과정'!$D$6+'계산 과정'!$C$35*D906+'계산 과정'!$D$35*E906,"")</x:f>
        <x:v>641.4437350509113</x:v>
      </x:c>
      <x:c r="K906" s="4" t="n">
        <x:f>IF(AND('계산 과정'!$L$6,J906&gt;0),'계산 과정'!$D$10*('계산 과정'!$C$38*(D906-'계산 과정'!$C$32)+'계산 과정'!$D$38*(E906-'계산 과정'!$D$32)-'계산 과정'!$E$38*'계산 과정'!$E$32)/J906,"")</x:f>
        <x:v>0.10671258576915826</x:v>
      </x:c>
      <x:c r="L906" s="4" t="n">
        <x:f>IF(AND('계산 과정'!$L$6,J906&gt;0),'계산 과정'!$D$10*('계산 과정'!$C$39*(D906-'계산 과정'!$C$32)+'계산 과정'!$D$39*(E906-'계산 과정'!$D$32)-'계산 과정'!$E$39*'계산 과정'!$E$32)/J906,"")</x:f>
        <x:v>-1.231293987966609</x:v>
      </x:c>
      <x:c r="M906" s="17" t="n">
        <x:f>IF('계산 과정'!$L$6,IF(J906&lt;=0,0,IF(AND(ABS(K906)&lt;='계산 과정'!$D$11/2,ABS(L906)&lt;='계산 과정'!$D$12/2),1,0)),"")</x:f>
        <x:v>1</x:v>
      </x:c>
      <x:c r="N906" s="17" t="n">
        <x:f>IF('계산 과정'!$C$78,IF(AND(ISNUMBER(H906),ISNUMBER(I906),ABS(H906-'계산 과정'!$C$88)&lt;='계산 과정'!$D$23/2,ABS(I906-'계산 과정'!$C$89)&lt;='계산 과정'!$D$24/2),1,0),"")</x:f>
        <x:v>1</x:v>
      </x:c>
      <x:c r="O906" s="4" t="n">
        <x:f>IF('계산 과정'!$L$7,'계산 과정'!$C$49*('계산 과정'!$C$32-D906)+'계산 과정'!$D$49*('계산 과정'!$D$32-E906)+'계산 과정'!$E$49*'계산 과정'!$E$32,"")</x:f>
        <x:v>8.556264949088813</x:v>
      </x:c>
      <x:c r="P906" s="4" t="n">
        <x:f>IF(AND('계산 과정'!$L$7,O906&lt;&gt;0),('계산 과정'!$L$23-'계산 과정'!$C$49*D906-'계산 과정'!$D$49*E906)/O906,"")</x:f>
        <x:v>47.7493704764948</x:v>
      </x:c>
      <x:c r="Q906" s="4" t="str">
        <x:f>IF(AND(ISNUMBER(P906),P906&gt;1E-9,P906&lt;1-1E-9),'계산 과정'!$C$47*(D906-'계산 과정'!$C$50+P906*('계산 과정'!$C$32-D906))+'계산 과정'!$D$47*(E906-'계산 과정'!$D$50+P906*('계산 과정'!$D$32-E906))+'계산 과정'!$E$47*(0-'계산 과정'!$E$50+P906*('계산 과정'!$E$32-0)),"")</x:f>
      </x:c>
      <x:c r="R906" s="4" t="str">
        <x:f>IF(AND(ISNUMBER(P906),P906&gt;1E-9,P906&lt;1-1E-9),'계산 과정'!$C$48*(D906-'계산 과정'!$C$50+P906*('계산 과정'!$C$32-D906))+'계산 과정'!$D$48*(E906-'계산 과정'!$D$50+P906*('계산 과정'!$D$32-E906))+'계산 과정'!$E$48*(0-'계산 과정'!$E$50+P906*('계산 과정'!$E$32-0)),"")</x:f>
      </x:c>
      <x:c r="S906" s="17" t="n">
        <x:f>IF('계산 과정'!$C$78,IF(AND(ISNUMBER(Q906),ISNUMBER(R906),ABS(Q906-'계산 과정'!$C$88)&lt;='계산 과정'!$D$23/2,ABS(R906-'계산 과정'!$C$89)&lt;='계산 과정'!$D$24/2),1,0),"")</x:f>
        <x:v>0</x:v>
      </x:c>
      <x:c r="T906" s="4"/>
      <x:c r="U906" s="4"/>
      <x:c r="V906" s="4"/>
      <x:c r="W906" s="4"/>
      <x:c r="X906" s="4"/>
      <x:c r="Y906" s="4"/>
      <x:c r="Z906" s="4"/>
    </x:row>
    <x:row r="907" ht="23" customHeight="1">
      <x:c r="A907" s="17" t="n">
        <x:f>ROW()-6</x:f>
        <x:v>901</x:v>
      </x:c>
      <x:c r="B907" s="4" t="n">
        <x:f>IF('계산 과정'!$L$5,'계산 과정'!$L$11*SQRT((A907+0.5)/'계산 과정'!$L$30),"")</x:f>
        <x:v>99.51972068232256</x:v>
      </x:c>
      <x:c r="C907" s="4" t="n">
        <x:f>A907*PI()*(3-SQRT(5))</x:f>
        <x:v>2162.366869985516</x:v>
      </x:c>
      <x:c r="D907" s="4" t="n">
        <x:f>IF('계산 과정'!$L$5,B907*COS(C907),"")</x:f>
        <x:v>57.797887667227904</x:v>
      </x:c>
      <x:c r="E907" s="4" t="n">
        <x:f>IF('계산 과정'!$L$5,B907*SIN(C907),"")</x:f>
        <x:v>81.01591810190146</x:v>
      </x:c>
      <x:c r="F907" s="4" t="n">
        <x:f>IF('계산 과정'!$L$7,'계산 과정'!$L$22+'계산 과정'!$C$49*D907+'계산 과정'!$D$49*E907,"")</x:f>
        <x:v>609.1307216922448</x:v>
      </x:c>
      <x:c r="G907" s="4" t="n">
        <x:f>IF('계산 과정'!$L$7,IF(ABS(F907)&gt;=1E-12*MAX(1,SQRT((D907-'계산 과정'!$C$33)^2+(E907-'계산 과정'!$D$33)^2+'계산 과정'!$E$33^2)),('계산 과정'!$L$23-'계산 과정'!$C$49*D907-'계산 과정'!$D$49*E907)/F907,""),"")</x:f>
        <x:v>0.7237679246959711</x:v>
      </x:c>
      <x:c r="H907" s="4" t="n">
        <x:f>IF(AND(ISNUMBER(G907),G907&gt;0),('계산 과정'!$D$56+'계산 과정'!$D$57*D907+'계산 과정'!$D$58*E907)/F907,"")</x:f>
        <x:v>70.44915105238111</x:v>
      </x:c>
      <x:c r="I907" s="4" t="n">
        <x:f>IF(AND(ISNUMBER(G907),G907&gt;0),('계산 과정'!$E$56+'계산 과정'!$E$57*D907+'계산 과정'!$E$58*E907)/F907,"")</x:f>
        <x:v>139.65264101385344</x:v>
      </x:c>
      <x:c r="J907" s="4" t="n">
        <x:f>IF('계산 과정'!$L$5,'계산 과정'!$D$6+'계산 과정'!$C$35*D907+'계산 과정'!$D$35*E907,"")</x:f>
        <x:v>609.1307216922448</x:v>
      </x:c>
      <x:c r="K907" s="4" t="n">
        <x:f>IF(AND('계산 과정'!$L$6,J907&gt;0),'계산 과정'!$D$10*('계산 과정'!$C$38*(D907-'계산 과정'!$C$32)+'계산 과정'!$D$38*(E907-'계산 과정'!$D$32)-'계산 과정'!$E$38*'계산 과정'!$E$32)/J907,"")</x:f>
        <x:v>0.536755436589571</x:v>
      </x:c>
      <x:c r="L907" s="4" t="n">
        <x:f>IF(AND('계산 과정'!$L$6,J907&gt;0),'계산 과정'!$D$10*('계산 과정'!$C$39*(D907-'계산 과정'!$C$32)+'계산 과정'!$D$39*(E907-'계산 과정'!$D$32)-'계산 과정'!$E$39*'계산 과정'!$E$32)/J907,"")</x:f>
        <x:v>1.0640201220103118</x:v>
      </x:c>
      <x:c r="M907" s="17" t="n">
        <x:f>IF('계산 과정'!$L$6,IF(J907&lt;=0,0,IF(AND(ABS(K907)&lt;='계산 과정'!$D$11/2,ABS(L907)&lt;='계산 과정'!$D$12/2),1,0)),"")</x:f>
        <x:v>1</x:v>
      </x:c>
      <x:c r="N907" s="17" t="n">
        <x:f>IF('계산 과정'!$C$78,IF(AND(ISNUMBER(H907),ISNUMBER(I907),ABS(H907-'계산 과정'!$C$88)&lt;='계산 과정'!$D$23/2,ABS(I907-'계산 과정'!$C$89)&lt;='계산 과정'!$D$24/2),1,0),"")</x:f>
        <x:v>1</x:v>
      </x:c>
      <x:c r="O907" s="4" t="n">
        <x:f>IF('계산 과정'!$L$7,'계산 과정'!$C$49*('계산 과정'!$C$32-D907)+'계산 과정'!$D$49*('계산 과정'!$D$32-E907)+'계산 과정'!$E$49*'계산 과정'!$E$32,"")</x:f>
        <x:v>40.86927830775528</x:v>
      </x:c>
      <x:c r="P907" s="4" t="n">
        <x:f>IF(AND('계산 과정'!$L$7,O907&lt;&gt;0),('계산 과정'!$L$23-'계산 과정'!$C$49*D907-'계산 과정'!$D$49*E907)/O907,"")</x:f>
        <x:v>10.787302750684898</x:v>
      </x:c>
      <x:c r="Q907" s="4" t="str">
        <x:f>IF(AND(ISNUMBER(P907),P907&gt;1E-9,P907&lt;1-1E-9),'계산 과정'!$C$47*(D907-'계산 과정'!$C$50+P907*('계산 과정'!$C$32-D907))+'계산 과정'!$D$47*(E907-'계산 과정'!$D$50+P907*('계산 과정'!$D$32-E907))+'계산 과정'!$E$47*(0-'계산 과정'!$E$50+P907*('계산 과정'!$E$32-0)),"")</x:f>
      </x:c>
      <x:c r="R907" s="4" t="str">
        <x:f>IF(AND(ISNUMBER(P907),P907&gt;1E-9,P907&lt;1-1E-9),'계산 과정'!$C$48*(D907-'계산 과정'!$C$50+P907*('계산 과정'!$C$32-D907))+'계산 과정'!$D$48*(E907-'계산 과정'!$D$50+P907*('계산 과정'!$D$32-E907))+'계산 과정'!$E$48*(0-'계산 과정'!$E$50+P907*('계산 과정'!$E$32-0)),"")</x:f>
      </x:c>
      <x:c r="S907" s="17" t="n">
        <x:f>IF('계산 과정'!$C$78,IF(AND(ISNUMBER(Q907),ISNUMBER(R907),ABS(Q907-'계산 과정'!$C$88)&lt;='계산 과정'!$D$23/2,ABS(R907-'계산 과정'!$C$89)&lt;='계산 과정'!$D$24/2),1,0),"")</x:f>
        <x:v>0</x:v>
      </x:c>
      <x:c r="T907" s="4"/>
      <x:c r="U907" s="4"/>
      <x:c r="V907" s="4"/>
      <x:c r="W907" s="4"/>
      <x:c r="X907" s="4"/>
      <x:c r="Y907" s="4"/>
      <x:c r="Z907" s="4"/>
    </x:row>
    <x:row r="908" ht="23" customHeight="1">
      <x:c r="A908" s="17" t="n">
        <x:f>ROW()-6</x:f>
        <x:v>902</x:v>
      </x:c>
      <x:c r="B908" s="4" t="n">
        <x:f>IF('계산 과정'!$L$5,'계산 과정'!$L$11*SQRT((A908+0.5)/'계산 과정'!$L$30),"")</x:f>
        <x:v>99.5749021230375</x:v>
      </x:c>
      <x:c r="C908" s="4" t="n">
        <x:f>A908*PI()*(3-SQRT(5))</x:f>
        <x:v>2164.7668332152452</x:v>
      </x:c>
      <x:c r="D908" s="4" t="n">
        <x:f>IF('계산 과정'!$L$5,B908*COS(C908),"")</x:f>
        <x:v>-97.3978049013635</x:v>
      </x:c>
      <x:c r="E908" s="4" t="n">
        <x:f>IF('계산 과정'!$L$5,B908*SIN(C908),"")</x:f>
        <x:v>-20.708180345178345</x:v>
      </x:c>
      <x:c r="F908" s="4" t="n">
        <x:f>IF('계산 과정'!$L$7,'계산 과정'!$L$22+'계산 과정'!$C$49*D908+'계산 과정'!$D$49*E908,"")</x:f>
        <x:v>718.8706483184385</x:v>
      </x:c>
      <x:c r="G908" s="4" t="n">
        <x:f>IF('계산 과정'!$L$7,IF(ABS(F908)&gt;=1E-12*MAX(1,SQRT((D908-'계산 과정'!$C$33)^2+(E908-'계산 과정'!$D$33)^2+'계산 과정'!$E$33^2)),('계산 과정'!$L$23-'계산 과정'!$C$49*D908-'계산 과정'!$D$49*E908)/F908,""),"")</x:f>
        <x:v>0.46062438695491287</x:v>
      </x:c>
      <x:c r="H908" s="4" t="n">
        <x:f>IF(AND(ISNUMBER(G908),G908&gt;0),('계산 과정'!$D$56+'계산 과정'!$D$57*D908+'계산 과정'!$D$58*E908)/F908,"")</x:f>
        <x:v>-100.59414847930674</x:v>
      </x:c>
      <x:c r="I908" s="4" t="n">
        <x:f>IF(AND(ISNUMBER(G908),G908&gt;0),('계산 과정'!$E$56+'계산 과정'!$E$57*D908+'계산 과정'!$E$58*E908)/F908,"")</x:f>
        <x:v>-30.246873221627897</x:v>
      </x:c>
      <x:c r="J908" s="4" t="n">
        <x:f>IF('계산 과정'!$L$5,'계산 과정'!$D$6+'계산 과정'!$C$35*D908+'계산 과정'!$D$35*E908,"")</x:f>
        <x:v>718.8706483184385</x:v>
      </x:c>
      <x:c r="K908" s="4" t="n">
        <x:f>IF(AND('계산 과정'!$L$6,J908&gt;0),'계산 과정'!$D$10*('계산 과정'!$C$38*(D908-'계산 과정'!$C$32)+'계산 과정'!$D$38*(E908-'계산 과정'!$D$32)-'계산 과정'!$E$38*'계산 과정'!$E$32)/J908,"")</x:f>
        <x:v>-0.7664316074613838</x:v>
      </x:c>
      <x:c r="L908" s="4" t="n">
        <x:f>IF(AND('계산 과정'!$L$6,J908&gt;0),'계산 과정'!$D$10*('계산 과정'!$C$39*(D908-'계산 과정'!$C$32)+'계산 과정'!$D$39*(E908-'계산 과정'!$D$32)-'계산 과정'!$E$39*'계산 과정'!$E$32)/J908,"")</x:f>
        <x:v>-0.23045236740287922</x:v>
      </x:c>
      <x:c r="M908" s="17" t="n">
        <x:f>IF('계산 과정'!$L$6,IF(J908&lt;=0,0,IF(AND(ABS(K908)&lt;='계산 과정'!$D$11/2,ABS(L908)&lt;='계산 과정'!$D$12/2),1,0)),"")</x:f>
        <x:v>1</x:v>
      </x:c>
      <x:c r="N908" s="17" t="n">
        <x:f>IF('계산 과정'!$C$78,IF(AND(ISNUMBER(H908),ISNUMBER(I908),ABS(H908-'계산 과정'!$C$88)&lt;='계산 과정'!$D$23/2,ABS(I908-'계산 과정'!$C$89)&lt;='계산 과정'!$D$24/2),1,0),"")</x:f>
        <x:v>1</x:v>
      </x:c>
      <x:c r="O908" s="4" t="n">
        <x:f>IF('계산 과정'!$L$7,'계산 과정'!$C$49*('계산 과정'!$C$32-D908)+'계산 과정'!$D$49*('계산 과정'!$D$32-E908)+'계산 과정'!$E$49*'계산 과정'!$E$32,"")</x:f>
        <x:v>-68.87064831843838</x:v>
      </x:c>
      <x:c r="P908" s="4" t="n">
        <x:f>IF(AND('계산 과정'!$L$7,O908&lt;&gt;0),('계산 과정'!$L$23-'계산 과정'!$C$49*D908-'계산 과정'!$D$49*E908)/O908,"")</x:f>
        <x:v>-4.807989466724824</x:v>
      </x:c>
      <x:c r="Q908" s="4" t="str">
        <x:f>IF(AND(ISNUMBER(P908),P908&gt;1E-9,P908&lt;1-1E-9),'계산 과정'!$C$47*(D908-'계산 과정'!$C$50+P908*('계산 과정'!$C$32-D908))+'계산 과정'!$D$47*(E908-'계산 과정'!$D$50+P908*('계산 과정'!$D$32-E908))+'계산 과정'!$E$47*(0-'계산 과정'!$E$50+P908*('계산 과정'!$E$32-0)),"")</x:f>
      </x:c>
      <x:c r="R908" s="4" t="str">
        <x:f>IF(AND(ISNUMBER(P908),P908&gt;1E-9,P908&lt;1-1E-9),'계산 과정'!$C$48*(D908-'계산 과정'!$C$50+P908*('계산 과정'!$C$32-D908))+'계산 과정'!$D$48*(E908-'계산 과정'!$D$50+P908*('계산 과정'!$D$32-E908))+'계산 과정'!$E$48*(0-'계산 과정'!$E$50+P908*('계산 과정'!$E$32-0)),"")</x:f>
      </x:c>
      <x:c r="S908" s="17" t="n">
        <x:f>IF('계산 과정'!$C$78,IF(AND(ISNUMBER(Q908),ISNUMBER(R908),ABS(Q908-'계산 과정'!$C$88)&lt;='계산 과정'!$D$23/2,ABS(R908-'계산 과정'!$C$89)&lt;='계산 과정'!$D$24/2),1,0),"")</x:f>
        <x:v>0</x:v>
      </x:c>
      <x:c r="T908" s="4"/>
      <x:c r="U908" s="4"/>
      <x:c r="V908" s="4"/>
      <x:c r="W908" s="4"/>
      <x:c r="X908" s="4"/>
      <x:c r="Y908" s="4"/>
      <x:c r="Z908" s="4"/>
    </x:row>
    <x:row r="909" ht="23" customHeight="1">
      <x:c r="A909" s="17" t="n">
        <x:f>ROW()-6</x:f>
        <x:v>903</x:v>
      </x:c>
      <x:c r="B909" s="4" t="n">
        <x:f>IF('계산 과정'!$L$5,'계산 과정'!$L$11*SQRT((A909+0.5)/'계산 과정'!$L$30),"")</x:f>
        <x:v>99.63005300077631</x:v>
      </x:c>
      <x:c r="C909" s="4" t="n">
        <x:f>A909*PI()*(3-SQRT(5))</x:f>
        <x:v>2167.1667964449734</x:v>
      </x:c>
      <x:c r="D909" s="4" t="n">
        <x:f>IF('계산 과정'!$L$5,B909*COS(C909),"")</x:f>
        <x:v>85.85380990922374</x:v>
      </x:c>
      <x:c r="E909" s="4" t="n">
        <x:f>IF('계산 과정'!$L$5,B909*SIN(C909),"")</x:f>
        <x:v>-50.54968629980182</x:v>
      </x:c>
      <x:c r="F909" s="4" t="n">
        <x:f>IF('계산 과정'!$L$7,'계산 과정'!$L$22+'계산 과정'!$C$49*D909+'계산 과정'!$D$49*E909,"")</x:f>
        <x:v>589.2921888224871</x:v>
      </x:c>
      <x:c r="G909" s="4" t="n">
        <x:f>IF('계산 과정'!$L$7,IF(ABS(F909)&gt;=1E-12*MAX(1,SQRT((D909-'계산 과정'!$C$33)^2+(E909-'계산 과정'!$D$33)^2+'계산 과정'!$E$33^2)),('계산 과정'!$L$23-'계산 과정'!$C$49*D909-'계산 과정'!$D$49*E909)/F909,""),"")</x:f>
        <x:v>0.781798605031726</x:v>
      </x:c>
      <x:c r="H909" s="4" t="n">
        <x:f>IF(AND(ISNUMBER(G909),G909&gt;0),('계산 과정'!$D$56+'계산 과정'!$D$57*D909+'계산 과정'!$D$58*E909)/F909,"")</x:f>
        <x:v>108.16909327062184</x:v>
      </x:c>
      <x:c r="I909" s="4" t="n">
        <x:f>IF(AND(ISNUMBER(G909),G909&gt;0),('계산 과정'!$E$56+'계산 과정'!$E$57*D909+'계산 과정'!$E$58*E909)/F909,"")</x:f>
        <x:v>-90.06936053377824</x:v>
      </x:c>
      <x:c r="J909" s="4" t="n">
        <x:f>IF('계산 과정'!$L$5,'계산 과정'!$D$6+'계산 과정'!$C$35*D909+'계산 과정'!$D$35*E909,"")</x:f>
        <x:v>589.2921888224871</x:v>
      </x:c>
      <x:c r="K909" s="4" t="n">
        <x:f>IF(AND('계산 과정'!$L$6,J909&gt;0),'계산 과정'!$D$10*('계산 과정'!$C$38*(D909-'계산 과정'!$C$32)+'계산 과정'!$D$38*(E909-'계산 과정'!$D$32)-'계산 과정'!$E$38*'계산 과정'!$E$32)/J909,"")</x:f>
        <x:v>0.8241454725380724</x:v>
      </x:c>
      <x:c r="L909" s="4" t="n">
        <x:f>IF(AND('계산 과정'!$L$6,J909&gt;0),'계산 과정'!$D$10*('계산 과정'!$C$39*(D909-'계산 과정'!$C$32)+'계산 과정'!$D$39*(E909-'계산 과정'!$D$32)-'계산 과정'!$E$39*'계산 과정'!$E$32)/J909,"")</x:f>
        <x:v>-0.6862427469240246</x:v>
      </x:c>
      <x:c r="M909" s="17" t="n">
        <x:f>IF('계산 과정'!$L$6,IF(J909&lt;=0,0,IF(AND(ABS(K909)&lt;='계산 과정'!$D$11/2,ABS(L909)&lt;='계산 과정'!$D$12/2),1,0)),"")</x:f>
        <x:v>1</x:v>
      </x:c>
      <x:c r="N909" s="17" t="n">
        <x:f>IF('계산 과정'!$C$78,IF(AND(ISNUMBER(H909),ISNUMBER(I909),ABS(H909-'계산 과정'!$C$88)&lt;='계산 과정'!$D$23/2,ABS(I909-'계산 과정'!$C$89)&lt;='계산 과정'!$D$24/2),1,0),"")</x:f>
        <x:v>1</x:v>
      </x:c>
      <x:c r="O909" s="4" t="n">
        <x:f>IF('계산 과정'!$L$7,'계산 과정'!$C$49*('계산 과정'!$C$32-D909)+'계산 과정'!$D$49*('계산 과정'!$D$32-E909)+'계산 과정'!$E$49*'계산 과정'!$E$32,"")</x:f>
        <x:v>60.70781117751301</x:v>
      </x:c>
      <x:c r="P909" s="4" t="n">
        <x:f>IF(AND('계산 과정'!$L$7,O909&lt;&gt;0),('계산 과정'!$L$23-'계산 과정'!$C$49*D909-'계산 과정'!$D$49*E909)/O909,"")</x:f>
        <x:v>7.588937934698019</x:v>
      </x:c>
      <x:c r="Q909" s="4" t="str">
        <x:f>IF(AND(ISNUMBER(P909),P909&gt;1E-9,P909&lt;1-1E-9),'계산 과정'!$C$47*(D909-'계산 과정'!$C$50+P909*('계산 과정'!$C$32-D909))+'계산 과정'!$D$47*(E909-'계산 과정'!$D$50+P909*('계산 과정'!$D$32-E909))+'계산 과정'!$E$47*(0-'계산 과정'!$E$50+P909*('계산 과정'!$E$32-0)),"")</x:f>
      </x:c>
      <x:c r="R909" s="4" t="str">
        <x:f>IF(AND(ISNUMBER(P909),P909&gt;1E-9,P909&lt;1-1E-9),'계산 과정'!$C$48*(D909-'계산 과정'!$C$50+P909*('계산 과정'!$C$32-D909))+'계산 과정'!$D$48*(E909-'계산 과정'!$D$50+P909*('계산 과정'!$D$32-E909))+'계산 과정'!$E$48*(0-'계산 과정'!$E$50+P909*('계산 과정'!$E$32-0)),"")</x:f>
      </x:c>
      <x:c r="S909" s="17" t="n">
        <x:f>IF('계산 과정'!$C$78,IF(AND(ISNUMBER(Q909),ISNUMBER(R909),ABS(Q909-'계산 과정'!$C$88)&lt;='계산 과정'!$D$23/2,ABS(R909-'계산 과정'!$C$89)&lt;='계산 과정'!$D$24/2),1,0),"")</x:f>
        <x:v>0</x:v>
      </x:c>
      <x:c r="T909" s="4"/>
      <x:c r="U909" s="4"/>
      <x:c r="V909" s="4"/>
      <x:c r="W909" s="4"/>
      <x:c r="X909" s="4"/>
      <x:c r="Y909" s="4"/>
      <x:c r="Z909" s="4"/>
    </x:row>
    <x:row r="910" ht="23" customHeight="1">
      <x:c r="A910" s="17" t="n">
        <x:f>ROW()-6</x:f>
        <x:v>904</x:v>
      </x:c>
      <x:c r="B910" s="4" t="n">
        <x:f>IF('계산 과정'!$L$5,'계산 과정'!$L$11*SQRT((A910+0.5)/'계산 과정'!$L$30),"")</x:f>
        <x:v>99.68517336626596</x:v>
      </x:c>
      <x:c r="C910" s="4" t="n">
        <x:f>A910*PI()*(3-SQRT(5))</x:f>
        <x:v>2169.566759674702</x:v>
      </x:c>
      <x:c r="D910" s="4" t="n">
        <x:f>IF('계산 과정'!$L$5,B910*COS(C910),"")</x:f>
        <x:v>-29.17623785745142</x:v>
      </x:c>
      <x:c r="E910" s="4" t="n">
        <x:f>IF('계산 과정'!$L$5,B910*SIN(C910),"")</x:f>
        <x:v>95.3198873978978</x:v>
      </x:c>
      <x:c r="F910" s="4" t="n">
        <x:f>IF('계산 과정'!$L$7,'계산 과정'!$L$22+'계산 과정'!$C$49*D910+'계산 과정'!$D$49*E910,"")</x:f>
        <x:v>670.6307156385155</x:v>
      </x:c>
      <x:c r="G910" s="4" t="n">
        <x:f>IF('계산 과정'!$L$7,IF(ABS(F910)&gt;=1E-12*MAX(1,SQRT((D910-'계산 과정'!$C$33)^2+(E910-'계산 과정'!$D$33)^2+'계산 과정'!$E$33^2)),('계산 과정'!$L$23-'계산 과정'!$C$49*D910-'계산 과정'!$D$49*E910)/F910,""),"")</x:f>
        <x:v>0.5656902905204431</x:v>
      </x:c>
      <x:c r="H910" s="4" t="n">
        <x:f>IF(AND(ISNUMBER(G910),G910&gt;0),('계산 과정'!$D$56+'계산 과정'!$D$57*D910+'계산 과정'!$D$58*E910)/F910,"")</x:f>
        <x:v>-32.3013111617122</x:v>
      </x:c>
      <x:c r="I910" s="4" t="n">
        <x:f>IF(AND(ISNUMBER(G910),G910&gt;0),('계산 과정'!$E$56+'계산 과정'!$E$57*D910+'계산 과정'!$E$58*E910)/F910,"")</x:f>
        <x:v>149.2414221923905</x:v>
      </x:c>
      <x:c r="J910" s="4" t="n">
        <x:f>IF('계산 과정'!$L$5,'계산 과정'!$D$6+'계산 과정'!$C$35*D910+'계산 과정'!$D$35*E910,"")</x:f>
        <x:v>670.6307156385155</x:v>
      </x:c>
      <x:c r="K910" s="4" t="n">
        <x:f>IF(AND('계산 과정'!$L$6,J910&gt;0),'계산 과정'!$D$10*('계산 과정'!$C$38*(D910-'계산 과정'!$C$32)+'계산 과정'!$D$38*(E910-'계산 과정'!$D$32)-'계산 과정'!$E$38*'계산 과정'!$E$32)/J910,"")</x:f>
        <x:v>-0.2461052278987591</x:v>
      </x:c>
      <x:c r="L910" s="4" t="n">
        <x:f>IF(AND('계산 과정'!$L$6,J910&gt;0),'계산 과정'!$D$10*('계산 과정'!$C$39*(D910-'계산 과정'!$C$32)+'계산 과정'!$D$39*(E910-'계산 과정'!$D$32)-'계산 과정'!$E$39*'계산 과정'!$E$32)/J910,"")</x:f>
        <x:v>1.1370775024182136</x:v>
      </x:c>
      <x:c r="M910" s="17" t="n">
        <x:f>IF('계산 과정'!$L$6,IF(J910&lt;=0,0,IF(AND(ABS(K910)&lt;='계산 과정'!$D$11/2,ABS(L910)&lt;='계산 과정'!$D$12/2),1,0)),"")</x:f>
        <x:v>1</x:v>
      </x:c>
      <x:c r="N910" s="17" t="n">
        <x:f>IF('계산 과정'!$C$78,IF(AND(ISNUMBER(H910),ISNUMBER(I910),ABS(H910-'계산 과정'!$C$88)&lt;='계산 과정'!$D$23/2,ABS(I910-'계산 과정'!$C$89)&lt;='계산 과정'!$D$24/2),1,0),"")</x:f>
        <x:v>1</x:v>
      </x:c>
      <x:c r="O910" s="4" t="n">
        <x:f>IF('계산 과정'!$L$7,'계산 과정'!$C$49*('계산 과정'!$C$32-D910)+'계산 과정'!$D$49*('계산 과정'!$D$32-E910)+'계산 과정'!$E$49*'계산 과정'!$E$32,"")</x:f>
        <x:v>-20.630715638515483</x:v>
      </x:c>
      <x:c r="P910" s="4" t="n">
        <x:f>IF(AND('계산 과정'!$L$7,O910&lt;&gt;0),('계산 과정'!$L$23-'계산 과정'!$C$49*D910-'계산 과정'!$D$49*E910)/O910,"")</x:f>
        <x:v>-18.388566398212575</x:v>
      </x:c>
      <x:c r="Q910" s="4" t="str">
        <x:f>IF(AND(ISNUMBER(P910),P910&gt;1E-9,P910&lt;1-1E-9),'계산 과정'!$C$47*(D910-'계산 과정'!$C$50+P910*('계산 과정'!$C$32-D910))+'계산 과정'!$D$47*(E910-'계산 과정'!$D$50+P910*('계산 과정'!$D$32-E910))+'계산 과정'!$E$47*(0-'계산 과정'!$E$50+P910*('계산 과정'!$E$32-0)),"")</x:f>
      </x:c>
      <x:c r="R910" s="4" t="str">
        <x:f>IF(AND(ISNUMBER(P910),P910&gt;1E-9,P910&lt;1-1E-9),'계산 과정'!$C$48*(D910-'계산 과정'!$C$50+P910*('계산 과정'!$C$32-D910))+'계산 과정'!$D$48*(E910-'계산 과정'!$D$50+P910*('계산 과정'!$D$32-E910))+'계산 과정'!$E$48*(0-'계산 과정'!$E$50+P910*('계산 과정'!$E$32-0)),"")</x:f>
      </x:c>
      <x:c r="S910" s="17" t="n">
        <x:f>IF('계산 과정'!$C$78,IF(AND(ISNUMBER(Q910),ISNUMBER(R910),ABS(Q910-'계산 과정'!$C$88)&lt;='계산 과정'!$D$23/2,ABS(R910-'계산 과정'!$C$89)&lt;='계산 과정'!$D$24/2),1,0),"")</x:f>
        <x:v>0</x:v>
      </x:c>
      <x:c r="T910" s="4"/>
      <x:c r="U910" s="4"/>
      <x:c r="V910" s="4"/>
      <x:c r="W910" s="4"/>
      <x:c r="X910" s="4"/>
      <x:c r="Y910" s="4"/>
      <x:c r="Z910" s="4"/>
    </x:row>
    <x:row r="911" ht="23" customHeight="1">
      <x:c r="A911" s="17" t="n">
        <x:f>ROW()-6</x:f>
        <x:v>905</x:v>
      </x:c>
      <x:c r="B911" s="4" t="n">
        <x:f>IF('계산 과정'!$L$5,'계산 과정'!$L$11*SQRT((A911+0.5)/'계산 과정'!$L$30),"")</x:f>
        <x:v>99.74026327009318</x:v>
      </x:c>
      <x:c r="C911" s="4" t="n">
        <x:f>A911*PI()*(3-SQRT(5))</x:f>
        <x:v>2171.9667229044308</x:v>
      </x:c>
      <x:c r="D911" s="4" t="n">
        <x:f>IF('계산 과정'!$L$5,B911*COS(C911),"")</x:f>
        <x:v>-42.89770285675168</x:v>
      </x:c>
      <x:c r="E911" s="4" t="n">
        <x:f>IF('계산 과정'!$L$5,B911*SIN(C911),"")</x:f>
        <x:v>-90.04391821106708</x:v>
      </x:c>
      <x:c r="F911" s="4" t="n">
        <x:f>IF('계산 과정'!$L$7,'계산 과정'!$L$22+'계산 과정'!$C$49*D911+'계산 과정'!$D$49*E911,"")</x:f>
        <x:v>680.3332565873346</x:v>
      </x:c>
      <x:c r="G911" s="4" t="n">
        <x:f>IF('계산 과정'!$L$7,IF(ABS(F911)&gt;=1E-12*MAX(1,SQRT((D911-'계산 과정'!$C$33)^2+(E911-'계산 과정'!$D$33)^2+'계산 과정'!$E$33^2)),('계산 과정'!$L$23-'계산 과정'!$C$49*D911-'계산 과정'!$D$49*E911)/F911,""),"")</x:f>
        <x:v>0.5433612716023549</x:v>
      </x:c>
      <x:c r="H911" s="4" t="n">
        <x:f>IF(AND(ISNUMBER(G911),G911&gt;0),('계산 과정'!$D$56+'계산 과정'!$D$57*D911+'계산 과정'!$D$58*E911)/F911,"")</x:f>
        <x:v>-46.815173458469424</x:v>
      </x:c>
      <x:c r="I911" s="4" t="n">
        <x:f>IF(AND(ISNUMBER(G911),G911&gt;0),('계산 과정'!$E$56+'계산 과정'!$E$57*D911+'계산 과정'!$E$58*E911)/F911,"")</x:f>
        <x:v>-138.97029611029092</x:v>
      </x:c>
      <x:c r="J911" s="4" t="n">
        <x:f>IF('계산 과정'!$L$5,'계산 과정'!$D$6+'계산 과정'!$C$35*D911+'계산 과정'!$D$35*E911,"")</x:f>
        <x:v>680.3332565873346</x:v>
      </x:c>
      <x:c r="K911" s="4" t="n">
        <x:f>IF(AND('계산 과정'!$L$6,J911&gt;0),'계산 과정'!$D$10*('계산 과정'!$C$38*(D911-'계산 과정'!$C$32)+'계산 과정'!$D$38*(E911-'계산 과정'!$D$32)-'계산 과정'!$E$38*'계산 과정'!$E$32)/J911,"")</x:f>
        <x:v>-0.3566870358740517</x:v>
      </x:c>
      <x:c r="L911" s="4" t="n">
        <x:f>IF(AND('계산 과정'!$L$6,J911&gt;0),'계산 과정'!$D$10*('계산 과정'!$C$39*(D911-'계산 과정'!$C$32)+'계산 과정'!$D$39*(E911-'계산 과정'!$D$32)-'계산 과정'!$E$39*'계산 과정'!$E$32)/J911,"")</x:f>
        <x:v>-1.0588213036974548</x:v>
      </x:c>
      <x:c r="M911" s="17" t="n">
        <x:f>IF('계산 과정'!$L$6,IF(J911&lt;=0,0,IF(AND(ABS(K911)&lt;='계산 과정'!$D$11/2,ABS(L911)&lt;='계산 과정'!$D$12/2),1,0)),"")</x:f>
        <x:v>1</x:v>
      </x:c>
      <x:c r="N911" s="17" t="n">
        <x:f>IF('계산 과정'!$C$78,IF(AND(ISNUMBER(H911),ISNUMBER(I911),ABS(H911-'계산 과정'!$C$88)&lt;='계산 과정'!$D$23/2,ABS(I911-'계산 과정'!$C$89)&lt;='계산 과정'!$D$24/2),1,0),"")</x:f>
        <x:v>1</x:v>
      </x:c>
      <x:c r="O911" s="4" t="n">
        <x:f>IF('계산 과정'!$L$7,'계산 과정'!$C$49*('계산 과정'!$C$32-D911)+'계산 과정'!$D$49*('계산 과정'!$D$32-E911)+'계산 과정'!$E$49*'계산 과정'!$E$32,"")</x:f>
        <x:v>-30.333256587334517</x:v>
      </x:c>
      <x:c r="P911" s="4" t="n">
        <x:f>IF(AND('계산 과정'!$L$7,O911&lt;&gt;0),('계산 과정'!$L$23-'계산 과정'!$C$49*D911-'계산 과정'!$D$49*E911)/O911,"")</x:f>
        <x:v>-12.186846550693724</x:v>
      </x:c>
      <x:c r="Q911" s="4" t="str">
        <x:f>IF(AND(ISNUMBER(P911),P911&gt;1E-9,P911&lt;1-1E-9),'계산 과정'!$C$47*(D911-'계산 과정'!$C$50+P911*('계산 과정'!$C$32-D911))+'계산 과정'!$D$47*(E911-'계산 과정'!$D$50+P911*('계산 과정'!$D$32-E911))+'계산 과정'!$E$47*(0-'계산 과정'!$E$50+P911*('계산 과정'!$E$32-0)),"")</x:f>
      </x:c>
      <x:c r="R911" s="4" t="str">
        <x:f>IF(AND(ISNUMBER(P911),P911&gt;1E-9,P911&lt;1-1E-9),'계산 과정'!$C$48*(D911-'계산 과정'!$C$50+P911*('계산 과정'!$C$32-D911))+'계산 과정'!$D$48*(E911-'계산 과정'!$D$50+P911*('계산 과정'!$D$32-E911))+'계산 과정'!$E$48*(0-'계산 과정'!$E$50+P911*('계산 과정'!$E$32-0)),"")</x:f>
      </x:c>
      <x:c r="S911" s="17" t="n">
        <x:f>IF('계산 과정'!$C$78,IF(AND(ISNUMBER(Q911),ISNUMBER(R911),ABS(Q911-'계산 과정'!$C$88)&lt;='계산 과정'!$D$23/2,ABS(R911-'계산 과정'!$C$89)&lt;='계산 과정'!$D$24/2),1,0),"")</x:f>
        <x:v>0</x:v>
      </x:c>
      <x:c r="T911" s="4"/>
      <x:c r="U911" s="4"/>
      <x:c r="V911" s="4"/>
      <x:c r="W911" s="4"/>
      <x:c r="X911" s="4"/>
      <x:c r="Y911" s="4"/>
      <x:c r="Z911" s="4"/>
    </x:row>
    <x:row r="912" ht="23" customHeight="1">
      <x:c r="A912" s="17" t="n">
        <x:f>ROW()-6</x:f>
        <x:v>906</x:v>
      </x:c>
      <x:c r="B912" s="4" t="n">
        <x:f>IF('계산 과정'!$L$5,'계산 과정'!$L$11*SQRT((A912+0.5)/'계산 과정'!$L$30),"")</x:f>
        <x:v>99.79532276270517</x:v>
      </x:c>
      <x:c r="C912" s="4" t="n">
        <x:f>A912*PI()*(3-SQRT(5))</x:f>
        <x:v>2174.3666861341594</x:v>
      </x:c>
      <x:c r="D912" s="4" t="n">
        <x:f>IF('계산 과정'!$L$5,B912*COS(C912),"")</x:f>
        <x:v>92.506261777892</x:v>
      </x:c>
      <x:c r="E912" s="4" t="n">
        <x:f>IF('계산 과정'!$L$5,B912*SIN(C912),"")</x:f>
        <x:v>37.43925716667755</x:v>
      </x:c>
      <x:c r="F912" s="4" t="n">
        <x:f>IF('계산 과정'!$L$7,'계산 과정'!$L$22+'계산 과정'!$C$49*D912+'계산 과정'!$D$49*E912,"")</x:f>
        <x:v>584.5881949946346</x:v>
      </x:c>
      <x:c r="G912" s="4" t="n">
        <x:f>IF('계산 과정'!$L$7,IF(ABS(F912)&gt;=1E-12*MAX(1,SQRT((D912-'계산 과정'!$C$33)^2+(E912-'계산 과정'!$D$33)^2+'계산 과정'!$E$33^2)),('계산 과정'!$L$23-'계산 과정'!$C$49*D912-'계산 과정'!$D$49*E912)/F912,""),"")</x:f>
        <x:v>0.7961361672889015</x:v>
      </x:c>
      <x:c r="H912" s="4" t="n">
        <x:f>IF(AND(ISNUMBER(G912),G912&gt;0),('계산 과정'!$D$56+'계산 과정'!$D$57*D912+'계산 과정'!$D$58*E912)/F912,"")</x:f>
        <x:v>117.48850873778585</x:v>
      </x:c>
      <x:c r="I912" s="4" t="n">
        <x:f>IF(AND(ISNUMBER(G912),G912&gt;0),('계산 과정'!$E$56+'계산 과정'!$E$57*D912+'계산 과정'!$E$58*E912)/F912,"")</x:f>
        <x:v>67.24600387349975</x:v>
      </x:c>
      <x:c r="J912" s="4" t="n">
        <x:f>IF('계산 과정'!$L$5,'계산 과정'!$D$6+'계산 과정'!$C$35*D912+'계산 과정'!$D$35*E912,"")</x:f>
        <x:v>584.5881949946346</x:v>
      </x:c>
      <x:c r="K912" s="4" t="n">
        <x:f>IF(AND('계산 과정'!$L$6,J912&gt;0),'계산 과정'!$D$10*('계산 과정'!$C$38*(D912-'계산 과정'!$C$32)+'계산 과정'!$D$38*(E912-'계산 과정'!$D$32)-'계산 과정'!$E$38*'계산 과정'!$E$32)/J912,"")</x:f>
        <x:v>0.8951505427640831</x:v>
      </x:c>
      <x:c r="L912" s="4" t="n">
        <x:f>IF(AND('계산 과정'!$L$6,J912&gt;0),'계산 과정'!$D$10*('계산 과정'!$C$39*(D912-'계산 과정'!$C$32)+'계산 과정'!$D$39*(E912-'계산 과정'!$D$32)-'계산 과정'!$E$39*'계산 과정'!$E$32)/J912,"")</x:f>
        <x:v>0.5123505057028552</x:v>
      </x:c>
      <x:c r="M912" s="17" t="n">
        <x:f>IF('계산 과정'!$L$6,IF(J912&lt;=0,0,IF(AND(ABS(K912)&lt;='계산 과정'!$D$11/2,ABS(L912)&lt;='계산 과정'!$D$12/2),1,0)),"")</x:f>
        <x:v>1</x:v>
      </x:c>
      <x:c r="N912" s="17" t="n">
        <x:f>IF('계산 과정'!$C$78,IF(AND(ISNUMBER(H912),ISNUMBER(I912),ABS(H912-'계산 과정'!$C$88)&lt;='계산 과정'!$D$23/2,ABS(I912-'계산 과정'!$C$89)&lt;='계산 과정'!$D$24/2),1,0),"")</x:f>
        <x:v>1</x:v>
      </x:c>
      <x:c r="O912" s="4" t="n">
        <x:f>IF('계산 과정'!$L$7,'계산 과정'!$C$49*('계산 과정'!$C$32-D912)+'계산 과정'!$D$49*('계산 과정'!$D$32-E912)+'계산 과정'!$E$49*'계산 과정'!$E$32,"")</x:f>
        <x:v>65.41180500536547</x:v>
      </x:c>
      <x:c r="P912" s="4" t="n">
        <x:f>IF(AND('계산 과정'!$L$7,O912&lt;&gt;0),('계산 과정'!$L$23-'계산 과정'!$C$49*D912-'계산 과정'!$D$49*E912)/O912,"")</x:f>
        <x:v>7.115104146219318</x:v>
      </x:c>
      <x:c r="Q912" s="4" t="str">
        <x:f>IF(AND(ISNUMBER(P912),P912&gt;1E-9,P912&lt;1-1E-9),'계산 과정'!$C$47*(D912-'계산 과정'!$C$50+P912*('계산 과정'!$C$32-D912))+'계산 과정'!$D$47*(E912-'계산 과정'!$D$50+P912*('계산 과정'!$D$32-E912))+'계산 과정'!$E$47*(0-'계산 과정'!$E$50+P912*('계산 과정'!$E$32-0)),"")</x:f>
      </x:c>
      <x:c r="R912" s="4" t="str">
        <x:f>IF(AND(ISNUMBER(P912),P912&gt;1E-9,P912&lt;1-1E-9),'계산 과정'!$C$48*(D912-'계산 과정'!$C$50+P912*('계산 과정'!$C$32-D912))+'계산 과정'!$D$48*(E912-'계산 과정'!$D$50+P912*('계산 과정'!$D$32-E912))+'계산 과정'!$E$48*(0-'계산 과정'!$E$50+P912*('계산 과정'!$E$32-0)),"")</x:f>
      </x:c>
      <x:c r="S912" s="17" t="n">
        <x:f>IF('계산 과정'!$C$78,IF(AND(ISNUMBER(Q912),ISNUMBER(R912),ABS(Q912-'계산 과정'!$C$88)&lt;='계산 과정'!$D$23/2,ABS(R912-'계산 과정'!$C$89)&lt;='계산 과정'!$D$24/2),1,0),"")</x:f>
        <x:v>0</x:v>
      </x:c>
      <x:c r="T912" s="4"/>
      <x:c r="U912" s="4"/>
      <x:c r="V912" s="4"/>
      <x:c r="W912" s="4"/>
      <x:c r="X912" s="4"/>
      <x:c r="Y912" s="4"/>
      <x:c r="Z912" s="4"/>
    </x:row>
    <x:row r="913" ht="23" customHeight="1">
      <x:c r="A913" s="17" t="n">
        <x:f>ROW()-6</x:f>
        <x:v>907</x:v>
      </x:c>
      <x:c r="B913" s="4" t="n">
        <x:f>IF('계산 과정'!$L$5,'계산 과정'!$L$11*SQRT((A913+0.5)/'계산 과정'!$L$30),"")</x:f>
        <x:v>99.85035189440997</x:v>
      </x:c>
      <x:c r="C913" s="4" t="n">
        <x:f>A913*PI()*(3-SQRT(5))</x:f>
        <x:v>2176.766649363888</x:v>
      </x:c>
      <x:c r="D913" s="4" t="n">
        <x:f>IF('계산 과정'!$L$5,B913*COS(C913),"")</x:f>
        <x:v>-93.55265167085786</x:v>
      </x:c>
      <x:c r="E913" s="4" t="n">
        <x:f>IF('계산 과정'!$L$5,B913*SIN(C913),"")</x:f>
        <x:v>34.89977276127509</x:v>
      </x:c>
      <x:c r="F913" s="4" t="n">
        <x:f>IF('계산 과정'!$L$7,'계산 과정'!$L$22+'계산 과정'!$C$49*D913+'계산 과정'!$D$49*E913,"")</x:f>
        <x:v>716.1517143944466</x:v>
      </x:c>
      <x:c r="G913" s="4" t="n">
        <x:f>IF('계산 과정'!$L$7,IF(ABS(F913)&gt;=1E-12*MAX(1,SQRT((D913-'계산 과정'!$C$33)^2+(E913-'계산 과정'!$D$33)^2+'계산 과정'!$E$33^2)),('계산 과정'!$L$23-'계산 과정'!$C$49*D913-'계산 과정'!$D$49*E913)/F913,""),"")</x:f>
        <x:v>0.46616977784915886</x:v>
      </x:c>
      <x:c r="H913" s="4" t="n">
        <x:f>IF(AND(ISNUMBER(G913),G913&gt;0),('계산 과정'!$D$56+'계산 과정'!$D$57*D913+'계산 과정'!$D$58*E913)/F913,"")</x:f>
        <x:v>-96.98964439804688</x:v>
      </x:c>
      <x:c r="I913" s="4" t="n">
        <x:f>IF(AND(ISNUMBER(G913),G913&gt;0),('계산 과정'!$E$56+'계산 과정'!$E$57*D913+'계산 과정'!$E$58*E913)/F913,"")</x:f>
        <x:v>51.168992076384825</x:v>
      </x:c>
      <x:c r="J913" s="4" t="n">
        <x:f>IF('계산 과정'!$L$5,'계산 과정'!$D$6+'계산 과정'!$C$35*D913+'계산 과정'!$D$35*E913,"")</x:f>
        <x:v>716.1517143944466</x:v>
      </x:c>
      <x:c r="K913" s="4" t="n">
        <x:f>IF(AND('계산 과정'!$L$6,J913&gt;0),'계산 과정'!$D$10*('계산 과정'!$C$38*(D913-'계산 과정'!$C$32)+'계산 과정'!$D$38*(E913-'계산 과정'!$D$32)-'계산 과정'!$E$38*'계산 과정'!$E$32)/J913,"")</x:f>
        <x:v>-0.7389687192232132</x:v>
      </x:c>
      <x:c r="L913" s="4" t="n">
        <x:f>IF(AND('계산 과정'!$L$6,J913&gt;0),'계산 과정'!$D$10*('계산 과정'!$C$39*(D913-'계산 과정'!$C$32)+'계산 과정'!$D$39*(E913-'계산 과정'!$D$32)-'계산 과정'!$E$39*'계산 과정'!$E$32)/J913,"")</x:f>
        <x:v>0.38985898724864626</x:v>
      </x:c>
      <x:c r="M913" s="17" t="n">
        <x:f>IF('계산 과정'!$L$6,IF(J913&lt;=0,0,IF(AND(ABS(K913)&lt;='계산 과정'!$D$11/2,ABS(L913)&lt;='계산 과정'!$D$12/2),1,0)),"")</x:f>
        <x:v>1</x:v>
      </x:c>
      <x:c r="N913" s="17" t="n">
        <x:f>IF('계산 과정'!$C$78,IF(AND(ISNUMBER(H913),ISNUMBER(I913),ABS(H913-'계산 과정'!$C$88)&lt;='계산 과정'!$D$23/2,ABS(I913-'계산 과정'!$C$89)&lt;='계산 과정'!$D$24/2),1,0),"")</x:f>
        <x:v>1</x:v>
      </x:c>
      <x:c r="O913" s="4" t="n">
        <x:f>IF('계산 과정'!$L$7,'계산 과정'!$C$49*('계산 과정'!$C$32-D913)+'계산 과정'!$D$49*('계산 과정'!$D$32-E913)+'계산 과정'!$E$49*'계산 과정'!$E$32,"")</x:f>
        <x:v>-66.15171439444646</x:v>
      </x:c>
      <x:c r="P913" s="4" t="n">
        <x:f>IF(AND('계산 과정'!$L$7,O913&lt;&gt;0),('계산 과정'!$L$23-'계산 과정'!$C$49*D913-'계산 과정'!$D$49*E913)/O913,"")</x:f>
        <x:v>-5.046706478609124</x:v>
      </x:c>
      <x:c r="Q913" s="4" t="str">
        <x:f>IF(AND(ISNUMBER(P913),P913&gt;1E-9,P913&lt;1-1E-9),'계산 과정'!$C$47*(D913-'계산 과정'!$C$50+P913*('계산 과정'!$C$32-D913))+'계산 과정'!$D$47*(E913-'계산 과정'!$D$50+P913*('계산 과정'!$D$32-E913))+'계산 과정'!$E$47*(0-'계산 과정'!$E$50+P913*('계산 과정'!$E$32-0)),"")</x:f>
      </x:c>
      <x:c r="R913" s="4" t="str">
        <x:f>IF(AND(ISNUMBER(P913),P913&gt;1E-9,P913&lt;1-1E-9),'계산 과정'!$C$48*(D913-'계산 과정'!$C$50+P913*('계산 과정'!$C$32-D913))+'계산 과정'!$D$48*(E913-'계산 과정'!$D$50+P913*('계산 과정'!$D$32-E913))+'계산 과정'!$E$48*(0-'계산 과정'!$E$50+P913*('계산 과정'!$E$32-0)),"")</x:f>
      </x:c>
      <x:c r="S913" s="17" t="n">
        <x:f>IF('계산 과정'!$C$78,IF(AND(ISNUMBER(Q913),ISNUMBER(R913),ABS(Q913-'계산 과정'!$C$88)&lt;='계산 과정'!$D$23/2,ABS(R913-'계산 과정'!$C$89)&lt;='계산 과정'!$D$24/2),1,0),"")</x:f>
        <x:v>0</x:v>
      </x:c>
      <x:c r="T913" s="4"/>
      <x:c r="U913" s="4"/>
      <x:c r="V913" s="4"/>
      <x:c r="W913" s="4"/>
      <x:c r="X913" s="4"/>
      <x:c r="Y913" s="4"/>
      <x:c r="Z913" s="4"/>
    </x:row>
    <x:row r="914" ht="23" customHeight="1">
      <x:c r="A914" s="17" t="n">
        <x:f>ROW()-6</x:f>
        <x:v>908</x:v>
      </x:c>
      <x:c r="B914" s="4" t="n">
        <x:f>IF('계산 과정'!$L$5,'계산 과정'!$L$11*SQRT((A914+0.5)/'계산 과정'!$L$30),"")</x:f>
        <x:v>99.9053507153771</x:v>
      </x:c>
      <x:c r="C914" s="4" t="n">
        <x:f>A914*PI()*(3-SQRT(5))</x:f>
        <x:v>2179.1666125936167</x:v>
      </x:c>
      <x:c r="D914" s="4" t="n">
        <x:f>IF('계산 과정'!$L$5,B914*COS(C914),"")</x:f>
        <x:v>45.43336752127687</x:v>
      </x:c>
      <x:c r="E914" s="4" t="n">
        <x:f>IF('계산 과정'!$L$5,B914*SIN(C914),"")</x:f>
        <x:v>-88.9768970982866</x:v>
      </x:c>
      <x:c r="F914" s="4" t="n">
        <x:f>IF('계산 과정'!$L$7,'계산 과정'!$L$22+'계산 과정'!$C$49*D914+'계산 과정'!$D$49*E914,"")</x:f>
        <x:v>617.8737577335645</x:v>
      </x:c>
      <x:c r="G914" s="4" t="n">
        <x:f>IF('계산 과정'!$L$7,IF(ABS(F914)&gt;=1E-12*MAX(1,SQRT((D914-'계산 과정'!$C$33)^2+(E914-'계산 과정'!$D$33)^2+'계산 과정'!$E$33^2)),('계산 과정'!$L$23-'계산 과정'!$C$49*D914-'계산 과정'!$D$49*E914)/F914,""),"")</x:f>
        <x:v>0.6993762671707028</x:v>
      </x:c>
      <x:c r="H914" s="4" t="n">
        <x:f>IF(AND(ISNUMBER(G914),G914&gt;0),('계산 과정'!$D$56+'계산 과정'!$D$57*D914+'계산 과정'!$D$58*E914)/F914,"")</x:f>
        <x:v>54.59457366095675</x:v>
      </x:c>
      <x:c r="I914" s="4" t="n">
        <x:f>IF(AND(ISNUMBER(G914),G914&gt;0),('계산 과정'!$E$56+'계산 과정'!$E$57*D914+'계산 과정'!$E$58*E914)/F914,"")</x:f>
        <x:v>-151.205227255318</x:v>
      </x:c>
      <x:c r="J914" s="4" t="n">
        <x:f>IF('계산 과정'!$L$5,'계산 과정'!$D$6+'계산 과정'!$C$35*D914+'계산 과정'!$D$35*E914,"")</x:f>
        <x:v>617.8737577335645</x:v>
      </x:c>
      <x:c r="K914" s="4" t="n">
        <x:f>IF(AND('계산 과정'!$L$6,J914&gt;0),'계산 과정'!$D$10*('계산 과정'!$C$38*(D914-'계산 과정'!$C$32)+'계산 과정'!$D$38*(E914-'계산 과정'!$D$32)-'계산 과정'!$E$38*'계산 과정'!$E$32)/J914,"")</x:f>
        <x:v>0.41595865646443286</x:v>
      </x:c>
      <x:c r="L914" s="4" t="n">
        <x:f>IF(AND('계산 과정'!$L$6,J914&gt;0),'계산 과정'!$D$10*('계산 과정'!$C$39*(D914-'계산 과정'!$C$32)+'계산 과정'!$D$39*(E914-'계산 과정'!$D$32)-'계산 과정'!$E$39*'계산 과정'!$E$32)/J914,"")</x:f>
        <x:v>-1.152039826707185</x:v>
      </x:c>
      <x:c r="M914" s="17" t="n">
        <x:f>IF('계산 과정'!$L$6,IF(J914&lt;=0,0,IF(AND(ABS(K914)&lt;='계산 과정'!$D$11/2,ABS(L914)&lt;='계산 과정'!$D$12/2),1,0)),"")</x:f>
        <x:v>1</x:v>
      </x:c>
      <x:c r="N914" s="17" t="n">
        <x:f>IF('계산 과정'!$C$78,IF(AND(ISNUMBER(H914),ISNUMBER(I914),ABS(H914-'계산 과정'!$C$88)&lt;='계산 과정'!$D$23/2,ABS(I914-'계산 과정'!$C$89)&lt;='계산 과정'!$D$24/2),1,0),"")</x:f>
        <x:v>1</x:v>
      </x:c>
      <x:c r="O914" s="4" t="n">
        <x:f>IF('계산 과정'!$L$7,'계산 과정'!$C$49*('계산 과정'!$C$32-D914)+'계산 과정'!$D$49*('계산 과정'!$D$32-E914)+'계산 과정'!$E$49*'계산 과정'!$E$32,"")</x:f>
        <x:v>32.12624226643561</x:v>
      </x:c>
      <x:c r="P914" s="4" t="n">
        <x:f>IF(AND('계산 과정'!$L$7,O914&lt;&gt;0),('계산 과정'!$L$23-'계산 과정'!$C$49*D914-'계산 과정'!$D$49*E914)/O914,"")</x:f>
        <x:v>13.450880394994284</x:v>
      </x:c>
      <x:c r="Q914" s="4" t="str">
        <x:f>IF(AND(ISNUMBER(P914),P914&gt;1E-9,P914&lt;1-1E-9),'계산 과정'!$C$47*(D914-'계산 과정'!$C$50+P914*('계산 과정'!$C$32-D914))+'계산 과정'!$D$47*(E914-'계산 과정'!$D$50+P914*('계산 과정'!$D$32-E914))+'계산 과정'!$E$47*(0-'계산 과정'!$E$50+P914*('계산 과정'!$E$32-0)),"")</x:f>
      </x:c>
      <x:c r="R914" s="4" t="str">
        <x:f>IF(AND(ISNUMBER(P914),P914&gt;1E-9,P914&lt;1-1E-9),'계산 과정'!$C$48*(D914-'계산 과정'!$C$50+P914*('계산 과정'!$C$32-D914))+'계산 과정'!$D$48*(E914-'계산 과정'!$D$50+P914*('계산 과정'!$D$32-E914))+'계산 과정'!$E$48*(0-'계산 과정'!$E$50+P914*('계산 과정'!$E$32-0)),"")</x:f>
      </x:c>
      <x:c r="S914" s="17" t="n">
        <x:f>IF('계산 과정'!$C$78,IF(AND(ISNUMBER(Q914),ISNUMBER(R914),ABS(Q914-'계산 과정'!$C$88)&lt;='계산 과정'!$D$23/2,ABS(R914-'계산 과정'!$C$89)&lt;='계산 과정'!$D$24/2),1,0),"")</x:f>
        <x:v>0</x:v>
      </x:c>
      <x:c r="T914" s="4"/>
      <x:c r="U914" s="4"/>
      <x:c r="V914" s="4"/>
      <x:c r="W914" s="4"/>
      <x:c r="X914" s="4"/>
      <x:c r="Y914" s="4"/>
      <x:c r="Z914" s="4"/>
    </x:row>
    <x:row r="915" ht="23" customHeight="1">
      <x:c r="A915" s="17" t="n">
        <x:f>ROW()-6</x:f>
        <x:v>909</x:v>
      </x:c>
      <x:c r="B915" s="4" t="n">
        <x:f>IF('계산 과정'!$L$5,'계산 과정'!$L$11*SQRT((A915+0.5)/'계산 과정'!$L$30),"")</x:f>
        <x:v>99.96031927563807</x:v>
      </x:c>
      <x:c r="C915" s="4" t="n">
        <x:f>A915*PI()*(3-SQRT(5))</x:f>
        <x:v>2181.566575823346</x:v>
      </x:c>
      <x:c r="D915" s="4" t="n">
        <x:f>IF('계산 과정'!$L$5,B915*COS(C915),"")</x:f>
        <x:v>26.61651569021608</x:v>
      </x:c>
      <x:c r="E915" s="4" t="n">
        <x:f>IF('계산 과정'!$L$5,B915*SIN(C915),"")</x:f>
        <x:v>96.35157768402125</x:v>
      </x:c>
      <x:c r="F915" s="4" t="n">
        <x:f>IF('계산 과정'!$L$7,'계산 과정'!$L$22+'계산 과정'!$C$49*D915+'계산 과정'!$D$49*E915,"")</x:f>
        <x:v>631.1792812638901</x:v>
      </x:c>
      <x:c r="G915" s="4" t="n">
        <x:f>IF('계산 과정'!$L$7,IF(ABS(F915)&gt;=1E-12*MAX(1,SQRT((D915-'계산 과정'!$C$33)^2+(E915-'계산 과정'!$D$33)^2+'계산 과정'!$E$33^2)),('계산 과정'!$L$23-'계산 과정'!$C$49*D915-'계산 과정'!$D$49*E915)/F915,""),"")</x:f>
        <x:v>0.6635527039123532</x:v>
      </x:c>
      <x:c r="H915" s="4" t="n">
        <x:f>IF(AND(ISNUMBER(G915),G915&gt;0),('계산 과정'!$D$56+'계산 과정'!$D$57*D915+'계산 과정'!$D$58*E915)/F915,"")</x:f>
        <x:v>31.309257543029453</x:v>
      </x:c>
      <x:c r="I915" s="4" t="n">
        <x:f>IF(AND(ISNUMBER(G915),G915&gt;0),('계산 과정'!$E$56+'계산 과정'!$E$57*D915+'계산 과정'!$E$58*E915)/F915,"")</x:f>
        <x:v>160.2859275824747</x:v>
      </x:c>
      <x:c r="J915" s="4" t="n">
        <x:f>IF('계산 과정'!$L$5,'계산 과정'!$D$6+'계산 과정'!$C$35*D915+'계산 과정'!$D$35*E915,"")</x:f>
        <x:v>631.1792812638901</x:v>
      </x:c>
      <x:c r="K915" s="4" t="n">
        <x:f>IF(AND('계산 과정'!$L$6,J915&gt;0),'계산 과정'!$D$10*('계산 과정'!$C$38*(D915-'계산 과정'!$C$32)+'계산 과정'!$D$38*(E915-'계산 과정'!$D$32)-'계산 과정'!$E$38*'계산 과정'!$E$32)/J915,"")</x:f>
        <x:v>0.2385467241373682</x:v>
      </x:c>
      <x:c r="L915" s="4" t="n">
        <x:f>IF(AND('계산 과정'!$L$6,J915&gt;0),'계산 과정'!$D$10*('계산 과정'!$C$39*(D915-'계산 과정'!$C$32)+'계산 과정'!$D$39*(E915-'계산 과정'!$D$32)-'계산 과정'!$E$39*'계산 과정'!$E$32)/J915,"")</x:f>
        <x:v>1.221226114914093</x:v>
      </x:c>
      <x:c r="M915" s="17" t="n">
        <x:f>IF('계산 과정'!$L$6,IF(J915&lt;=0,0,IF(AND(ABS(K915)&lt;='계산 과정'!$D$11/2,ABS(L915)&lt;='계산 과정'!$D$12/2),1,0)),"")</x:f>
        <x:v>1</x:v>
      </x:c>
      <x:c r="N915" s="17" t="n">
        <x:f>IF('계산 과정'!$C$78,IF(AND(ISNUMBER(H915),ISNUMBER(I915),ABS(H915-'계산 과정'!$C$88)&lt;='계산 과정'!$D$23/2,ABS(I915-'계산 과정'!$C$89)&lt;='계산 과정'!$D$24/2),1,0),"")</x:f>
        <x:v>1</x:v>
      </x:c>
      <x:c r="O915" s="4" t="n">
        <x:f>IF('계산 과정'!$L$7,'계산 과정'!$C$49*('계산 과정'!$C$32-D915)+'계산 과정'!$D$49*('계산 과정'!$D$32-E915)+'계산 과정'!$E$49*'계산 과정'!$E$32,"")</x:f>
        <x:v>18.820718736110052</x:v>
      </x:c>
      <x:c r="P915" s="4" t="n">
        <x:f>IF(AND('계산 과정'!$L$7,O915&lt;&gt;0),('계산 과정'!$L$23-'계산 과정'!$C$49*D915-'계산 과정'!$D$49*E915)/O915,"")</x:f>
        <x:v>22.253173463165712</x:v>
      </x:c>
      <x:c r="Q915" s="4" t="str">
        <x:f>IF(AND(ISNUMBER(P915),P915&gt;1E-9,P915&lt;1-1E-9),'계산 과정'!$C$47*(D915-'계산 과정'!$C$50+P915*('계산 과정'!$C$32-D915))+'계산 과정'!$D$47*(E915-'계산 과정'!$D$50+P915*('계산 과정'!$D$32-E915))+'계산 과정'!$E$47*(0-'계산 과정'!$E$50+P915*('계산 과정'!$E$32-0)),"")</x:f>
      </x:c>
      <x:c r="R915" s="4" t="str">
        <x:f>IF(AND(ISNUMBER(P915),P915&gt;1E-9,P915&lt;1-1E-9),'계산 과정'!$C$48*(D915-'계산 과정'!$C$50+P915*('계산 과정'!$C$32-D915))+'계산 과정'!$D$48*(E915-'계산 과정'!$D$50+P915*('계산 과정'!$D$32-E915))+'계산 과정'!$E$48*(0-'계산 과정'!$E$50+P915*('계산 과정'!$E$32-0)),"")</x:f>
      </x:c>
      <x:c r="S915" s="17" t="n">
        <x:f>IF('계산 과정'!$C$78,IF(AND(ISNUMBER(Q915),ISNUMBER(R915),ABS(Q915-'계산 과정'!$C$88)&lt;='계산 과정'!$D$23/2,ABS(R915-'계산 과정'!$C$89)&lt;='계산 과정'!$D$24/2),1,0),"")</x:f>
        <x:v>0</x:v>
      </x:c>
      <x:c r="T915" s="4"/>
      <x:c r="U915" s="4"/>
      <x:c r="V915" s="4"/>
      <x:c r="W915" s="4"/>
      <x:c r="X915" s="4"/>
      <x:c r="Y915" s="4"/>
      <x:c r="Z915" s="4"/>
    </x:row>
    <x:row r="916" ht="23" customHeight="1">
      <x:c r="A916" s="17" t="n">
        <x:f>ROW()-6</x:f>
        <x:v>910</x:v>
      </x:c>
      <x:c r="B916" s="4" t="n">
        <x:f>IF('계산 과정'!$L$5,'계산 과정'!$L$11*SQRT((A916+0.5)/'계산 과정'!$L$30),"")</x:f>
        <x:v>100.01525762508689</x:v>
      </x:c>
      <x:c r="C916" s="4" t="n">
        <x:f>A916*PI()*(3-SQRT(5))</x:f>
        <x:v>2183.966539053074</x:v>
      </x:c>
      <x:c r="D916" s="4" t="n">
        <x:f>IF('계산 과정'!$L$5,B916*COS(C916),"")</x:f>
        <x:v>-84.7573030350221</x:v>
      </x:c>
      <x:c r="E916" s="4" t="n">
        <x:f>IF('계산 과정'!$L$5,B916*SIN(C916),"")</x:f>
        <x:v>-53.09662268018498</x:v>
      </x:c>
      <x:c r="F916" s="4" t="n">
        <x:f>IF('계산 과정'!$L$7,'계산 과정'!$L$22+'계산 과정'!$C$49*D916+'계산 과정'!$D$49*E916,"")</x:f>
        <x:v>709.9324637311473</x:v>
      </x:c>
      <x:c r="G916" s="4" t="n">
        <x:f>IF('계산 과정'!$L$7,IF(ABS(F916)&gt;=1E-12*MAX(1,SQRT((D916-'계산 과정'!$C$33)^2+(E916-'계산 과정'!$D$33)^2+'계산 과정'!$E$33^2)),('계산 과정'!$L$23-'계산 과정'!$C$49*D916-'계산 과정'!$D$49*E916)/F916,""),"")</x:f>
        <x:v>0.4790139254677568</x:v>
      </x:c>
      <x:c r="H916" s="4" t="n">
        <x:f>IF(AND(ISNUMBER(G916),G916&gt;0),('계산 과정'!$D$56+'계산 과정'!$D$57*D916+'계산 과정'!$D$58*E916)/F916,"")</x:f>
        <x:v>-88.64094844595822</x:v>
      </x:c>
      <x:c r="I916" s="4" t="n">
        <x:f>IF(AND(ISNUMBER(G916),G916&gt;0),('계산 과정'!$E$56+'계산 과정'!$E$57*D916+'계산 과정'!$E$58*E916)/F916,"")</x:f>
        <x:v>-78.53064433930071</x:v>
      </x:c>
      <x:c r="J916" s="4" t="n">
        <x:f>IF('계산 과정'!$L$5,'계산 과정'!$D$6+'계산 과정'!$C$35*D916+'계산 과정'!$D$35*E916,"")</x:f>
        <x:v>709.9324637311473</x:v>
      </x:c>
      <x:c r="K916" s="4" t="n">
        <x:f>IF(AND('계산 과정'!$L$6,J916&gt;0),'계산 과정'!$D$10*('계산 과정'!$C$38*(D916-'계산 과정'!$C$32)+'계산 과정'!$D$38*(E916-'계산 과정'!$D$32)-'계산 과정'!$E$38*'계산 과정'!$E$32)/J916,"")</x:f>
        <x:v>-0.6753596072072996</x:v>
      </x:c>
      <x:c r="L916" s="4" t="n">
        <x:f>IF(AND('계산 과정'!$L$6,J916&gt;0),'계산 과정'!$D$10*('계산 과정'!$C$39*(D916-'계산 과정'!$C$32)+'계산 과정'!$D$39*(E916-'계산 과정'!$D$32)-'계산 과정'!$E$39*'계산 과정'!$E$32)/J916,"")</x:f>
        <x:v>-0.5983287187756244</x:v>
      </x:c>
      <x:c r="M916" s="17" t="n">
        <x:f>IF('계산 과정'!$L$6,IF(J916&lt;=0,0,IF(AND(ABS(K916)&lt;='계산 과정'!$D$11/2,ABS(L916)&lt;='계산 과정'!$D$12/2),1,0)),"")</x:f>
        <x:v>1</x:v>
      </x:c>
      <x:c r="N916" s="17" t="n">
        <x:f>IF('계산 과정'!$C$78,IF(AND(ISNUMBER(H916),ISNUMBER(I916),ABS(H916-'계산 과정'!$C$88)&lt;='계산 과정'!$D$23/2,ABS(I916-'계산 과정'!$C$89)&lt;='계산 과정'!$D$24/2),1,0),"")</x:f>
        <x:v>1</x:v>
      </x:c>
      <x:c r="O916" s="4" t="n">
        <x:f>IF('계산 과정'!$L$7,'계산 과정'!$C$49*('계산 과정'!$C$32-D916)+'계산 과정'!$D$49*('계산 과정'!$D$32-E916)+'계산 과정'!$E$49*'계산 과정'!$E$32,"")</x:f>
        <x:v>-59.93246373114715</x:v>
      </x:c>
      <x:c r="P916" s="4" t="n">
        <x:f>IF(AND('계산 과정'!$L$7,O916&lt;&gt;0),('계산 과정'!$L$23-'계산 과정'!$C$49*D916-'계산 과정'!$D$49*E916)/O916,"")</x:f>
        <x:v>-5.674179152627063</x:v>
      </x:c>
      <x:c r="Q916" s="4" t="str">
        <x:f>IF(AND(ISNUMBER(P916),P916&gt;1E-9,P916&lt;1-1E-9),'계산 과정'!$C$47*(D916-'계산 과정'!$C$50+P916*('계산 과정'!$C$32-D916))+'계산 과정'!$D$47*(E916-'계산 과정'!$D$50+P916*('계산 과정'!$D$32-E916))+'계산 과정'!$E$47*(0-'계산 과정'!$E$50+P916*('계산 과정'!$E$32-0)),"")</x:f>
      </x:c>
      <x:c r="R916" s="4" t="str">
        <x:f>IF(AND(ISNUMBER(P916),P916&gt;1E-9,P916&lt;1-1E-9),'계산 과정'!$C$48*(D916-'계산 과정'!$C$50+P916*('계산 과정'!$C$32-D916))+'계산 과정'!$D$48*(E916-'계산 과정'!$D$50+P916*('계산 과정'!$D$32-E916))+'계산 과정'!$E$48*(0-'계산 과정'!$E$50+P916*('계산 과정'!$E$32-0)),"")</x:f>
      </x:c>
      <x:c r="S916" s="17" t="n">
        <x:f>IF('계산 과정'!$C$78,IF(AND(ISNUMBER(Q916),ISNUMBER(R916),ABS(Q916-'계산 과정'!$C$88)&lt;='계산 과정'!$D$23/2,ABS(R916-'계산 과정'!$C$89)&lt;='계산 과정'!$D$24/2),1,0),"")</x:f>
        <x:v>0</x:v>
      </x:c>
      <x:c r="T916" s="4"/>
      <x:c r="U916" s="4"/>
      <x:c r="V916" s="4"/>
      <x:c r="W916" s="4"/>
      <x:c r="X916" s="4"/>
      <x:c r="Y916" s="4"/>
      <x:c r="Z916" s="4"/>
    </x:row>
    <x:row r="917" ht="23" customHeight="1">
      <x:c r="A917" s="17" t="n">
        <x:f>ROW()-6</x:f>
        <x:v>911</x:v>
      </x:c>
      <x:c r="B917" s="4" t="n">
        <x:f>IF('계산 과정'!$L$5,'계산 과정'!$L$11*SQRT((A917+0.5)/'계산 과정'!$L$30),"")</x:f>
        <x:v>100.0701658134806</x:v>
      </x:c>
      <x:c r="C917" s="4" t="n">
        <x:f>A917*PI()*(3-SQRT(5))</x:f>
        <x:v>2186.3665022828027</x:v>
      </x:c>
      <x:c r="D917" s="4" t="n">
        <x:f>IF('계산 과정'!$L$5,B917*COS(C917),"")</x:f>
        <x:v>98.4176521857213</x:v>
      </x:c>
      <x:c r="E917" s="4" t="n">
        <x:f>IF('계산 과정'!$L$5,B917*SIN(C917),"")</x:f>
        <x:v>-18.11087585369329</x:v>
      </x:c>
      <x:c r="F917" s="4" t="n">
        <x:f>IF('계산 과정'!$L$7,'계산 과정'!$L$22+'계산 과정'!$C$49*D917+'계산 과정'!$D$49*E917,"")</x:f>
        <x:v>580.4082107510175</x:v>
      </x:c>
      <x:c r="G917" s="4" t="n">
        <x:f>IF('계산 과정'!$L$7,IF(ABS(F917)&gt;=1E-12*MAX(1,SQRT((D917-'계산 과정'!$C$33)^2+(E917-'계산 과정'!$D$33)^2+'계산 과정'!$E$33^2)),('계산 과정'!$L$23-'계산 과정'!$C$49*D917-'계산 과정'!$D$49*E917)/F917,""),"")</x:f>
        <x:v>0.8090715819498068</x:v>
      </x:c>
      <x:c r="H917" s="4" t="n">
        <x:f>IF(AND(ISNUMBER(G917),G917&gt;0),('계산 과정'!$D$56+'계산 과정'!$D$57*D917+'계산 과정'!$D$58*E917)/F917,"")</x:f>
        <x:v>125.89652826737435</x:v>
      </x:c>
      <x:c r="I917" s="4" t="n">
        <x:f>IF(AND(ISNUMBER(G917),G917&gt;0),('계산 과정'!$E$56+'계산 과정'!$E$57*D917+'계산 과정'!$E$58*E917)/F917,"")</x:f>
        <x:v>-32.76387083113748</x:v>
      </x:c>
      <x:c r="J917" s="4" t="n">
        <x:f>IF('계산 과정'!$L$5,'계산 과정'!$D$6+'계산 과정'!$C$35*D917+'계산 과정'!$D$35*E917,"")</x:f>
        <x:v>580.4082107510175</x:v>
      </x:c>
      <x:c r="K917" s="4" t="n">
        <x:f>IF(AND('계산 과정'!$L$6,J917&gt;0),'계산 과정'!$D$10*('계산 과정'!$C$38*(D917-'계산 과정'!$C$32)+'계산 과정'!$D$38*(E917-'계산 과정'!$D$32)-'계산 과정'!$E$38*'계산 과정'!$E$32)/J917,"")</x:f>
        <x:v>0.959211643941901</x:v>
      </x:c>
      <x:c r="L917" s="4" t="n">
        <x:f>IF(AND('계산 과정'!$L$6,J917&gt;0),'계산 과정'!$D$10*('계산 과정'!$C$39*(D917-'계산 과정'!$C$32)+'계산 과정'!$D$39*(E917-'계산 과정'!$D$32)-'계산 과정'!$E$39*'계산 과정'!$E$32)/J917,"")</x:f>
        <x:v>-0.24962949204676174</x:v>
      </x:c>
      <x:c r="M917" s="17" t="n">
        <x:f>IF('계산 과정'!$L$6,IF(J917&lt;=0,0,IF(AND(ABS(K917)&lt;='계산 과정'!$D$11/2,ABS(L917)&lt;='계산 과정'!$D$12/2),1,0)),"")</x:f>
        <x:v>1</x:v>
      </x:c>
      <x:c r="N917" s="17" t="n">
        <x:f>IF('계산 과정'!$C$78,IF(AND(ISNUMBER(H917),ISNUMBER(I917),ABS(H917-'계산 과정'!$C$88)&lt;='계산 과정'!$D$23/2,ABS(I917-'계산 과정'!$C$89)&lt;='계산 과정'!$D$24/2),1,0),"")</x:f>
        <x:v>1</x:v>
      </x:c>
      <x:c r="O917" s="4" t="n">
        <x:f>IF('계산 과정'!$L$7,'계산 과정'!$C$49*('계산 과정'!$C$32-D917)+'계산 과정'!$D$49*('계산 과정'!$D$32-E917)+'계산 과정'!$E$49*'계산 과정'!$E$32,"")</x:f>
        <x:v>69.59178924898268</x:v>
      </x:c>
      <x:c r="P917" s="4" t="n">
        <x:f>IF(AND('계산 과정'!$L$7,O917&lt;&gt;0),('계산 과정'!$L$23-'계산 과정'!$C$49*D917-'계산 과정'!$D$49*E917)/O917,"")</x:f>
        <x:v>6.747804508501658</x:v>
      </x:c>
      <x:c r="Q917" s="4" t="str">
        <x:f>IF(AND(ISNUMBER(P917),P917&gt;1E-9,P917&lt;1-1E-9),'계산 과정'!$C$47*(D917-'계산 과정'!$C$50+P917*('계산 과정'!$C$32-D917))+'계산 과정'!$D$47*(E917-'계산 과정'!$D$50+P917*('계산 과정'!$D$32-E917))+'계산 과정'!$E$47*(0-'계산 과정'!$E$50+P917*('계산 과정'!$E$32-0)),"")</x:f>
      </x:c>
      <x:c r="R917" s="4" t="str">
        <x:f>IF(AND(ISNUMBER(P917),P917&gt;1E-9,P917&lt;1-1E-9),'계산 과정'!$C$48*(D917-'계산 과정'!$C$50+P917*('계산 과정'!$C$32-D917))+'계산 과정'!$D$48*(E917-'계산 과정'!$D$50+P917*('계산 과정'!$D$32-E917))+'계산 과정'!$E$48*(0-'계산 과정'!$E$50+P917*('계산 과정'!$E$32-0)),"")</x:f>
      </x:c>
      <x:c r="S917" s="17" t="n">
        <x:f>IF('계산 과정'!$C$78,IF(AND(ISNUMBER(Q917),ISNUMBER(R917),ABS(Q917-'계산 과정'!$C$88)&lt;='계산 과정'!$D$23/2,ABS(R917-'계산 과정'!$C$89)&lt;='계산 과정'!$D$24/2),1,0),"")</x:f>
        <x:v>0</x:v>
      </x:c>
      <x:c r="T917" s="4"/>
      <x:c r="U917" s="4"/>
      <x:c r="V917" s="4"/>
      <x:c r="W917" s="4"/>
      <x:c r="X917" s="4"/>
      <x:c r="Y917" s="4"/>
      <x:c r="Z917" s="4"/>
    </x:row>
    <x:row r="918" ht="23" customHeight="1">
      <x:c r="A918" s="17" t="n">
        <x:f>ROW()-6</x:f>
        <x:v>912</x:v>
      </x:c>
      <x:c r="B918" s="4" t="n">
        <x:f>IF('계산 과정'!$L$5,'계산 과정'!$L$11*SQRT((A918+0.5)/'계산 과정'!$L$30),"")</x:f>
        <x:v>100.12504389043981</x:v>
      </x:c>
      <x:c r="C918" s="4" t="n">
        <x:f>A918*PI()*(3-SQRT(5))</x:f>
        <x:v>2188.7664655125313</x:v>
      </x:c>
      <x:c r="D918" s="4" t="n">
        <x:f>IF('계산 과정'!$L$5,B918*COS(C918),"")</x:f>
        <x:v>-60.36948115105156</x:v>
      </x:c>
      <x:c r="E918" s="4" t="n">
        <x:f>IF('계산 과정'!$L$5,B918*SIN(C918),"")</x:f>
        <x:v>79.87834599949682</x:v>
      </x:c>
      <x:c r="F918" s="4" t="n">
        <x:f>IF('계산 과정'!$L$7,'계산 과정'!$L$22+'계산 과정'!$C$49*D918+'계산 과정'!$D$49*E918,"")</x:f>
        <x:v>692.687669498622</x:v>
      </x:c>
      <x:c r="G918" s="4" t="n">
        <x:f>IF('계산 과정'!$L$7,IF(ABS(F918)&gt;=1E-12*MAX(1,SQRT((D918-'계산 과정'!$C$33)^2+(E918-'계산 과정'!$D$33)^2+'계산 과정'!$E$33^2)),('계산 과정'!$L$23-'계산 과정'!$C$49*D918-'계산 과정'!$D$49*E918)/F918,""),"")</x:f>
        <x:v>0.5158346917883007</x:v>
      </x:c>
      <x:c r="H918" s="4" t="n">
        <x:f>IF(AND(ISNUMBER(G918),G918&gt;0),('계산 과정'!$D$56+'계산 과정'!$D$57*D918+'계산 과정'!$D$58*E918)/F918,"")</x:f>
        <x:v>-64.70745033760468</x:v>
      </x:c>
      <x:c r="I918" s="4" t="n">
        <x:f>IF(AND(ISNUMBER(G918),G918&gt;0),('계산 과정'!$E$56+'계산 과정'!$E$57*D918+'계산 과정'!$E$58*E918)/F918,"")</x:f>
        <x:v>121.08236798870651</x:v>
      </x:c>
      <x:c r="J918" s="4" t="n">
        <x:f>IF('계산 과정'!$L$5,'계산 과정'!$D$6+'계산 과정'!$C$35*D918+'계산 과정'!$D$35*E918,"")</x:f>
        <x:v>692.687669498622</x:v>
      </x:c>
      <x:c r="K918" s="4" t="n">
        <x:f>IF(AND('계산 과정'!$L$6,J918&gt;0),'계산 과정'!$D$10*('계산 과정'!$C$38*(D918-'계산 과정'!$C$32)+'계산 과정'!$D$38*(E918-'계산 과정'!$D$32)-'계산 과정'!$E$38*'계산 과정'!$E$32)/J918,"")</x:f>
        <x:v>-0.4930091454293682</x:v>
      </x:c>
      <x:c r="L918" s="4" t="n">
        <x:f>IF(AND('계산 과정'!$L$6,J918&gt;0),'계산 과정'!$D$10*('계산 과정'!$C$39*(D918-'계산 과정'!$C$32)+'계산 과정'!$D$39*(E918-'계산 과정'!$D$32)-'계산 과정'!$E$39*'계산 과정'!$E$32)/J918,"")</x:f>
        <x:v>0.922532327533002</x:v>
      </x:c>
      <x:c r="M918" s="17" t="n">
        <x:f>IF('계산 과정'!$L$6,IF(J918&lt;=0,0,IF(AND(ABS(K918)&lt;='계산 과정'!$D$11/2,ABS(L918)&lt;='계산 과정'!$D$12/2),1,0)),"")</x:f>
        <x:v>1</x:v>
      </x:c>
      <x:c r="N918" s="17" t="n">
        <x:f>IF('계산 과정'!$C$78,IF(AND(ISNUMBER(H918),ISNUMBER(I918),ABS(H918-'계산 과정'!$C$88)&lt;='계산 과정'!$D$23/2,ABS(I918-'계산 과정'!$C$89)&lt;='계산 과정'!$D$24/2),1,0),"")</x:f>
        <x:v>1</x:v>
      </x:c>
      <x:c r="O918" s="4" t="n">
        <x:f>IF('계산 과정'!$L$7,'계산 과정'!$C$49*('계산 과정'!$C$32-D918)+'계산 과정'!$D$49*('계산 과정'!$D$32-E918)+'계산 과정'!$E$49*'계산 과정'!$E$32,"")</x:f>
        <x:v>-42.687669498621915</x:v>
      </x:c>
      <x:c r="P918" s="4" t="n">
        <x:f>IF(AND('계산 과정'!$L$7,O918&lt;&gt;0),('계산 과정'!$L$23-'계산 과정'!$C$49*D918-'계산 과정'!$D$49*E918)/O918,"")</x:f>
        <x:v>-8.370387390506597</x:v>
      </x:c>
      <x:c r="Q918" s="4" t="str">
        <x:f>IF(AND(ISNUMBER(P918),P918&gt;1E-9,P918&lt;1-1E-9),'계산 과정'!$C$47*(D918-'계산 과정'!$C$50+P918*('계산 과정'!$C$32-D918))+'계산 과정'!$D$47*(E918-'계산 과정'!$D$50+P918*('계산 과정'!$D$32-E918))+'계산 과정'!$E$47*(0-'계산 과정'!$E$50+P918*('계산 과정'!$E$32-0)),"")</x:f>
      </x:c>
      <x:c r="R918" s="4" t="str">
        <x:f>IF(AND(ISNUMBER(P918),P918&gt;1E-9,P918&lt;1-1E-9),'계산 과정'!$C$48*(D918-'계산 과정'!$C$50+P918*('계산 과정'!$C$32-D918))+'계산 과정'!$D$48*(E918-'계산 과정'!$D$50+P918*('계산 과정'!$D$32-E918))+'계산 과정'!$E$48*(0-'계산 과정'!$E$50+P918*('계산 과정'!$E$32-0)),"")</x:f>
      </x:c>
      <x:c r="S918" s="17" t="n">
        <x:f>IF('계산 과정'!$C$78,IF(AND(ISNUMBER(Q918),ISNUMBER(R918),ABS(Q918-'계산 과정'!$C$88)&lt;='계산 과정'!$D$23/2,ABS(R918-'계산 과정'!$C$89)&lt;='계산 과정'!$D$24/2),1,0),"")</x:f>
        <x:v>0</x:v>
      </x:c>
      <x:c r="T918" s="4"/>
      <x:c r="U918" s="4"/>
      <x:c r="V918" s="4"/>
      <x:c r="W918" s="4"/>
      <x:c r="X918" s="4"/>
      <x:c r="Y918" s="4"/>
      <x:c r="Z918" s="4"/>
    </x:row>
    <x:row r="919" ht="23" customHeight="1">
      <x:c r="A919" s="17" t="n">
        <x:f>ROW()-6</x:f>
        <x:v>913</x:v>
      </x:c>
      <x:c r="B919" s="4" t="n">
        <x:f>IF('계산 과정'!$L$5,'계산 과정'!$L$11*SQRT((A919+0.5)/'계산 과정'!$L$30),"")</x:f>
        <x:v>100.17989190544927</x:v>
      </x:c>
      <x:c r="C919" s="4" t="n">
        <x:f>A919*PI()*(3-SQRT(5))</x:f>
        <x:v>2191.16642874226</x:v>
      </x:c>
      <x:c r="D919" s="4" t="n">
        <x:f>IF('계산 과정'!$L$5,B919*COS(C919),"")</x:f>
        <x:v>-9.44764339769078</x:v>
      </x:c>
      <x:c r="E919" s="4" t="n">
        <x:f>IF('계산 과정'!$L$5,B919*SIN(C919),"")</x:f>
        <x:v>-99.73340852702052</x:v>
      </x:c>
      <x:c r="F919" s="4" t="n">
        <x:f>IF('계산 과정'!$L$7,'계산 과정'!$L$22+'계산 과정'!$C$49*D919+'계산 과정'!$D$49*E919,"")</x:f>
        <x:v>656.6804927127395</x:v>
      </x:c>
      <x:c r="G919" s="4" t="n">
        <x:f>IF('계산 과정'!$L$7,IF(ABS(F919)&gt;=1E-12*MAX(1,SQRT((D919-'계산 과정'!$C$33)^2+(E919-'계산 과정'!$D$33)^2+'계산 과정'!$E$33^2)),('계산 과정'!$L$23-'계산 과정'!$C$49*D919-'계산 과정'!$D$49*E919)/F919,""),"")</x:f>
        <x:v>0.5989511058299635</x:v>
      </x:c>
      <x:c r="H919" s="4" t="n">
        <x:f>IF(AND(ISNUMBER(G919),G919&gt;0),('계산 과정'!$D$56+'계산 과정'!$D$57*D919+'계산 과정'!$D$58*E919)/F919,"")</x:f>
        <x:v>-10.681781210523894</x:v>
      </x:c>
      <x:c r="I919" s="4" t="n">
        <x:f>IF(AND(ISNUMBER(G919),G919&gt;0),('계산 과정'!$E$56+'계산 과정'!$E$57*D919+'계산 과정'!$E$58*E919)/F919,"")</x:f>
        <x:v>-159.46884385247097</x:v>
      </x:c>
      <x:c r="J919" s="4" t="n">
        <x:f>IF('계산 과정'!$L$5,'계산 과정'!$D$6+'계산 과정'!$C$35*D919+'계산 과정'!$D$35*E919,"")</x:f>
        <x:v>656.6804927127395</x:v>
      </x:c>
      <x:c r="K919" s="4" t="n">
        <x:f>IF(AND('계산 과정'!$L$6,J919&gt;0),'계산 과정'!$D$10*('계산 과정'!$C$38*(D919-'계산 과정'!$C$32)+'계산 과정'!$D$38*(E919-'계산 과정'!$D$32)-'계산 과정'!$E$38*'계산 과정'!$E$32)/J919,"")</x:f>
        <x:v>-0.0813849996992288</x:v>
      </x:c>
      <x:c r="L919" s="4" t="n">
        <x:f>IF(AND('계산 과정'!$L$6,J919&gt;0),'계산 과정'!$D$10*('계산 과정'!$C$39*(D919-'계산 과정'!$C$32)+'계산 과정'!$D$39*(E919-'계산 과정'!$D$32)-'계산 과정'!$E$39*'계산 과정'!$E$32)/J919,"")</x:f>
        <x:v>-1.2150007150664455</x:v>
      </x:c>
      <x:c r="M919" s="17" t="n">
        <x:f>IF('계산 과정'!$L$6,IF(J919&lt;=0,0,IF(AND(ABS(K919)&lt;='계산 과정'!$D$11/2,ABS(L919)&lt;='계산 과정'!$D$12/2),1,0)),"")</x:f>
        <x:v>1</x:v>
      </x:c>
      <x:c r="N919" s="17" t="n">
        <x:f>IF('계산 과정'!$C$78,IF(AND(ISNUMBER(H919),ISNUMBER(I919),ABS(H919-'계산 과정'!$C$88)&lt;='계산 과정'!$D$23/2,ABS(I919-'계산 과정'!$C$89)&lt;='계산 과정'!$D$24/2),1,0),"")</x:f>
        <x:v>1</x:v>
      </x:c>
      <x:c r="O919" s="4" t="n">
        <x:f>IF('계산 과정'!$L$7,'계산 과정'!$C$49*('계산 과정'!$C$32-D919)+'계산 과정'!$D$49*('계산 과정'!$D$32-E919)+'계산 과정'!$E$49*'계산 과정'!$E$32,"")</x:f>
        <x:v>-6.680492712739351</x:v>
      </x:c>
      <x:c r="P919" s="4" t="n">
        <x:f>IF(AND('계산 과정'!$L$7,O919&lt;&gt;0),('계산 과정'!$L$23-'계산 과정'!$C$49*D919-'계산 과정'!$D$49*E919)/O919,"")</x:f>
        <x:v>-58.875823116642394</x:v>
      </x:c>
      <x:c r="Q919" s="4" t="str">
        <x:f>IF(AND(ISNUMBER(P919),P919&gt;1E-9,P919&lt;1-1E-9),'계산 과정'!$C$47*(D919-'계산 과정'!$C$50+P919*('계산 과정'!$C$32-D919))+'계산 과정'!$D$47*(E919-'계산 과정'!$D$50+P919*('계산 과정'!$D$32-E919))+'계산 과정'!$E$47*(0-'계산 과정'!$E$50+P919*('계산 과정'!$E$32-0)),"")</x:f>
      </x:c>
      <x:c r="R919" s="4" t="str">
        <x:f>IF(AND(ISNUMBER(P919),P919&gt;1E-9,P919&lt;1-1E-9),'계산 과정'!$C$48*(D919-'계산 과정'!$C$50+P919*('계산 과정'!$C$32-D919))+'계산 과정'!$D$48*(E919-'계산 과정'!$D$50+P919*('계산 과정'!$D$32-E919))+'계산 과정'!$E$48*(0-'계산 과정'!$E$50+P919*('계산 과정'!$E$32-0)),"")</x:f>
      </x:c>
      <x:c r="S919" s="17" t="n">
        <x:f>IF('계산 과정'!$C$78,IF(AND(ISNUMBER(Q919),ISNUMBER(R919),ABS(Q919-'계산 과정'!$C$88)&lt;='계산 과정'!$D$23/2,ABS(R919-'계산 과정'!$C$89)&lt;='계산 과정'!$D$24/2),1,0),"")</x:f>
        <x:v>0</x:v>
      </x:c>
      <x:c r="T919" s="4"/>
      <x:c r="U919" s="4"/>
      <x:c r="V919" s="4"/>
      <x:c r="W919" s="4"/>
      <x:c r="X919" s="4"/>
      <x:c r="Y919" s="4"/>
      <x:c r="Z919" s="4"/>
    </x:row>
    <x:row r="920" ht="23" customHeight="1">
      <x:c r="A920" s="17" t="n">
        <x:f>ROW()-6</x:f>
        <x:v>914</x:v>
      </x:c>
      <x:c r="B920" s="4" t="n">
        <x:f>IF('계산 과정'!$L$5,'계산 과정'!$L$11*SQRT((A920+0.5)/'계산 과정'!$L$30),"")</x:f>
        <x:v>100.23470990785826</x:v>
      </x:c>
      <x:c r="C920" s="4" t="n">
        <x:f>A920*PI()*(3-SQRT(5))</x:f>
        <x:v>2193.5663919719887</x:v>
      </x:c>
      <x:c r="D920" s="4" t="n">
        <x:f>IF('계산 과정'!$L$5,B920*COS(C920),"")</x:f>
        <x:v>74.37602366615111</x:v>
      </x:c>
      <x:c r="E920" s="4" t="n">
        <x:f>IF('계산 과정'!$L$5,B920*SIN(C920),"")</x:f>
        <x:v>67.19526898468841</x:v>
      </x:c>
      <x:c r="F920" s="4" t="n">
        <x:f>IF('계산 과정'!$L$7,'계산 과정'!$L$22+'계산 과정'!$C$49*D920+'계산 과정'!$D$49*E920,"")</x:f>
        <x:v>597.4082093079734</x:v>
      </x:c>
      <x:c r="G920" s="4" t="n">
        <x:f>IF('계산 과정'!$L$7,IF(ABS(F920)&gt;=1E-12*MAX(1,SQRT((D920-'계산 과정'!$C$33)^2+(E920-'계산 과정'!$D$33)^2+'계산 과정'!$E$33^2)),('계산 과정'!$L$23-'계산 과정'!$C$49*D920-'계산 과정'!$D$49*E920)/F920,""),"")</x:f>
        <x:v>0.7575921851095763</x:v>
      </x:c>
      <x:c r="H920" s="4" t="n">
        <x:f>IF(AND(ISNUMBER(G920),G920&gt;0),('계산 과정'!$D$56+'계산 과정'!$D$57*D920+'계산 과정'!$D$58*E920)/F920,"")</x:f>
        <x:v>92.4349203212244</x:v>
      </x:c>
      <x:c r="I920" s="4" t="n">
        <x:f>IF(AND(ISNUMBER(G920),G920&gt;0),('계산 과정'!$E$56+'계산 과정'!$E$57*D920+'계산 과정'!$E$58*E920)/F920,"")</x:f>
        <x:v>118.10187964382423</x:v>
      </x:c>
      <x:c r="J920" s="4" t="n">
        <x:f>IF('계산 과정'!$L$5,'계산 과정'!$D$6+'계산 과정'!$C$35*D920+'계산 과정'!$D$35*E920,"")</x:f>
        <x:v>597.4082093079734</x:v>
      </x:c>
      <x:c r="K920" s="4" t="n">
        <x:f>IF(AND('계산 과정'!$L$6,J920&gt;0),'계산 과정'!$D$10*('계산 과정'!$C$38*(D920-'계산 과정'!$C$32)+'계산 과정'!$D$38*(E920-'계산 과정'!$D$32)-'계산 과정'!$E$38*'계산 과정'!$E$32)/J920,"")</x:f>
        <x:v>0.7042660595902822</x:v>
      </x:c>
      <x:c r="L920" s="4" t="n">
        <x:f>IF(AND('계산 과정'!$L$6,J920&gt;0),'계산 과정'!$D$10*('계산 과정'!$C$39*(D920-'계산 과정'!$C$32)+'계산 과정'!$D$39*(E920-'계산 과정'!$D$32)-'계산 과정'!$E$39*'계산 과정'!$E$32)/J920,"")</x:f>
        <x:v>0.8998238449053275</x:v>
      </x:c>
      <x:c r="M920" s="17" t="n">
        <x:f>IF('계산 과정'!$L$6,IF(J920&lt;=0,0,IF(AND(ABS(K920)&lt;='계산 과정'!$D$11/2,ABS(L920)&lt;='계산 과정'!$D$12/2),1,0)),"")</x:f>
        <x:v>1</x:v>
      </x:c>
      <x:c r="N920" s="17" t="n">
        <x:f>IF('계산 과정'!$C$78,IF(AND(ISNUMBER(H920),ISNUMBER(I920),ABS(H920-'계산 과정'!$C$88)&lt;='계산 과정'!$D$23/2,ABS(I920-'계산 과정'!$C$89)&lt;='계산 과정'!$D$24/2),1,0),"")</x:f>
        <x:v>1</x:v>
      </x:c>
      <x:c r="O920" s="4" t="n">
        <x:f>IF('계산 과정'!$L$7,'계산 과정'!$C$49*('계산 과정'!$C$32-D920)+'계산 과정'!$D$49*('계산 과정'!$D$32-E920)+'계산 과정'!$E$49*'계산 과정'!$E$32,"")</x:f>
        <x:v>52.591790692026734</x:v>
      </x:c>
      <x:c r="P920" s="4" t="n">
        <x:f>IF(AND('계산 과정'!$L$7,O920&lt;&gt;0),('계산 과정'!$L$23-'계산 과정'!$C$49*D920-'계산 과정'!$D$49*E920)/O920,"")</x:f>
        <x:v>8.605749770764938</x:v>
      </x:c>
      <x:c r="Q920" s="4" t="str">
        <x:f>IF(AND(ISNUMBER(P920),P920&gt;1E-9,P920&lt;1-1E-9),'계산 과정'!$C$47*(D920-'계산 과정'!$C$50+P920*('계산 과정'!$C$32-D920))+'계산 과정'!$D$47*(E920-'계산 과정'!$D$50+P920*('계산 과정'!$D$32-E920))+'계산 과정'!$E$47*(0-'계산 과정'!$E$50+P920*('계산 과정'!$E$32-0)),"")</x:f>
      </x:c>
      <x:c r="R920" s="4" t="str">
        <x:f>IF(AND(ISNUMBER(P920),P920&gt;1E-9,P920&lt;1-1E-9),'계산 과정'!$C$48*(D920-'계산 과정'!$C$50+P920*('계산 과정'!$C$32-D920))+'계산 과정'!$D$48*(E920-'계산 과정'!$D$50+P920*('계산 과정'!$D$32-E920))+'계산 과정'!$E$48*(0-'계산 과정'!$E$50+P920*('계산 과정'!$E$32-0)),"")</x:f>
      </x:c>
      <x:c r="S920" s="17" t="n">
        <x:f>IF('계산 과정'!$C$78,IF(AND(ISNUMBER(Q920),ISNUMBER(R920),ABS(Q920-'계산 과정'!$C$88)&lt;='계산 과정'!$D$23/2,ABS(R920-'계산 과정'!$C$89)&lt;='계산 과정'!$D$24/2),1,0),"")</x:f>
        <x:v>0</x:v>
      </x:c>
      <x:c r="T920" s="4"/>
      <x:c r="U920" s="4"/>
      <x:c r="V920" s="4"/>
      <x:c r="W920" s="4"/>
      <x:c r="X920" s="4"/>
      <x:c r="Y920" s="4"/>
      <x:c r="Z920" s="4"/>
    </x:row>
    <x:row r="921" ht="23" customHeight="1">
      <x:c r="A921" s="17" t="n">
        <x:f>ROW()-6</x:f>
        <x:v>915</x:v>
      </x:c>
      <x:c r="B921" s="4" t="n">
        <x:f>IF('계산 과정'!$L$5,'계산 과정'!$L$11*SQRT((A921+0.5)/'계산 과정'!$L$30),"")</x:f>
        <x:v>100.28949794688126</x:v>
      </x:c>
      <x:c r="C921" s="4" t="n">
        <x:f>A921*PI()*(3-SQRT(5))</x:f>
        <x:v>2195.9663552017173</x:v>
      </x:c>
      <x:c r="D921" s="4" t="n">
        <x:f>IF('계산 과정'!$L$5,B921*COS(C921),"")</x:f>
        <x:v>-100.28710387723129</x:v>
      </x:c>
      <x:c r="E921" s="4" t="n">
        <x:f>IF('계산 과정'!$L$5,B921*SIN(C921),"")</x:f>
        <x:v>0.6929605724146932</x:v>
      </x:c>
      <x:c r="F921" s="4" t="n">
        <x:f>IF('계산 과정'!$L$7,'계산 과정'!$L$22+'계산 과정'!$C$49*D921+'계산 과정'!$D$49*E921,"")</x:f>
        <x:v>720.9136912171499</x:v>
      </x:c>
      <x:c r="G921" s="4" t="n">
        <x:f>IF('계산 과정'!$L$7,IF(ABS(F921)&gt;=1E-12*MAX(1,SQRT((D921-'계산 과정'!$C$33)^2+(E921-'계산 과정'!$D$33)^2+'계산 과정'!$E$33^2)),('계산 과정'!$L$23-'계산 과정'!$C$49*D921-'계산 과정'!$D$49*E921)/F921,""),"")</x:f>
        <x:v>0.45648503113769323</x:v>
      </x:c>
      <x:c r="H921" s="4" t="n">
        <x:f>IF(AND(ISNUMBER(G921),G921&gt;0),('계산 과정'!$D$56+'계산 과정'!$D$57*D921+'계산 과정'!$D$58*E921)/F921,"")</x:f>
        <x:v>-103.28472976049954</x:v>
      </x:c>
      <x:c r="I921" s="4" t="n">
        <x:f>IF(AND(ISNUMBER(G921),G921&gt;0),('계산 과정'!$E$56+'계산 과정'!$E$57*D921+'계산 과정'!$E$58*E921)/F921,"")</x:f>
        <x:v>1.0092867008906083</x:v>
      </x:c>
      <x:c r="J921" s="4" t="n">
        <x:f>IF('계산 과정'!$L$5,'계산 과정'!$D$6+'계산 과정'!$C$35*D921+'계산 과정'!$D$35*E921,"")</x:f>
        <x:v>720.9136912171499</x:v>
      </x:c>
      <x:c r="K921" s="4" t="n">
        <x:f>IF(AND('계산 과정'!$L$6,J921&gt;0),'계산 과정'!$D$10*('계산 과정'!$C$38*(D921-'계산 과정'!$C$32)+'계산 과정'!$D$38*(E921-'계산 과정'!$D$32)-'계산 과정'!$E$38*'계산 과정'!$E$32)/J921,"")</x:f>
        <x:v>-0.78693127436571</x:v>
      </x:c>
      <x:c r="L921" s="4" t="n">
        <x:f>IF(AND('계산 과정'!$L$6,J921&gt;0),'계산 과정'!$D$10*('계산 과정'!$C$39*(D921-'계산 과정'!$C$32)+'계산 과정'!$D$39*(E921-'계산 과정'!$D$32)-'계산 과정'!$E$39*'계산 과정'!$E$32)/J921,"")</x:f>
        <x:v>0.0076898034353570155</x:v>
      </x:c>
      <x:c r="M921" s="17" t="n">
        <x:f>IF('계산 과정'!$L$6,IF(J921&lt;=0,0,IF(AND(ABS(K921)&lt;='계산 과정'!$D$11/2,ABS(L921)&lt;='계산 과정'!$D$12/2),1,0)),"")</x:f>
        <x:v>1</x:v>
      </x:c>
      <x:c r="N921" s="17" t="n">
        <x:f>IF('계산 과정'!$C$78,IF(AND(ISNUMBER(H921),ISNUMBER(I921),ABS(H921-'계산 과정'!$C$88)&lt;='계산 과정'!$D$23/2,ABS(I921-'계산 과정'!$C$89)&lt;='계산 과정'!$D$24/2),1,0),"")</x:f>
        <x:v>1</x:v>
      </x:c>
      <x:c r="O921" s="4" t="n">
        <x:f>IF('계산 과정'!$L$7,'계산 과정'!$C$49*('계산 과정'!$C$32-D921)+'계산 과정'!$D$49*('계산 과정'!$D$32-E921)+'계산 과정'!$E$49*'계산 과정'!$E$32,"")</x:f>
        <x:v>-70.91369121714985</x:v>
      </x:c>
      <x:c r="P921" s="4" t="n">
        <x:f>IF(AND('계산 과정'!$L$7,O921&lt;&gt;0),('계산 과정'!$L$23-'계산 과정'!$C$49*D921-'계산 과정'!$D$49*E921)/O921,"")</x:f>
        <x:v>-4.640659696801447</x:v>
      </x:c>
      <x:c r="Q921" s="4" t="str">
        <x:f>IF(AND(ISNUMBER(P921),P921&gt;1E-9,P921&lt;1-1E-9),'계산 과정'!$C$47*(D921-'계산 과정'!$C$50+P921*('계산 과정'!$C$32-D921))+'계산 과정'!$D$47*(E921-'계산 과정'!$D$50+P921*('계산 과정'!$D$32-E921))+'계산 과정'!$E$47*(0-'계산 과정'!$E$50+P921*('계산 과정'!$E$32-0)),"")</x:f>
      </x:c>
      <x:c r="R921" s="4" t="str">
        <x:f>IF(AND(ISNUMBER(P921),P921&gt;1E-9,P921&lt;1-1E-9),'계산 과정'!$C$48*(D921-'계산 과정'!$C$50+P921*('계산 과정'!$C$32-D921))+'계산 과정'!$D$48*(E921-'계산 과정'!$D$50+P921*('계산 과정'!$D$32-E921))+'계산 과정'!$E$48*(0-'계산 과정'!$E$50+P921*('계산 과정'!$E$32-0)),"")</x:f>
      </x:c>
      <x:c r="S921" s="17" t="n">
        <x:f>IF('계산 과정'!$C$78,IF(AND(ISNUMBER(Q921),ISNUMBER(R921),ABS(Q921-'계산 과정'!$C$88)&lt;='계산 과정'!$D$23/2,ABS(R921-'계산 과정'!$C$89)&lt;='계산 과정'!$D$24/2),1,0),"")</x:f>
        <x:v>0</x:v>
      </x:c>
      <x:c r="T921" s="4"/>
      <x:c r="U921" s="4"/>
      <x:c r="V921" s="4"/>
      <x:c r="W921" s="4"/>
      <x:c r="X921" s="4"/>
      <x:c r="Y921" s="4"/>
      <x:c r="Z921" s="4"/>
    </x:row>
    <x:row r="922" ht="23" customHeight="1">
      <x:c r="A922" s="17" t="n">
        <x:f>ROW()-6</x:f>
        <x:v>916</x:v>
      </x:c>
      <x:c r="B922" s="4" t="n">
        <x:f>IF('계산 과정'!$L$5,'계산 과정'!$L$11*SQRT((A922+0.5)/'계산 과정'!$L$30),"")</x:f>
        <x:v>100.34425607159834</x:v>
      </x:c>
      <x:c r="C922" s="4" t="n">
        <x:f>A922*PI()*(3-SQRT(5))</x:f>
        <x:v>2198.366318431446</x:v>
      </x:c>
      <x:c r="D922" s="4" t="n">
        <x:f>IF('계산 과정'!$L$5,B922*COS(C922),"")</x:f>
        <x:v>73.52062152743314</x:v>
      </x:c>
      <x:c r="E922" s="4" t="n">
        <x:f>IF('계산 과정'!$L$5,B922*SIN(C922),"")</x:f>
        <x:v>-68.29119955589033</x:v>
      </x:c>
      <x:c r="F922" s="4" t="n">
        <x:f>IF('계산 과정'!$L$7,'계산 과정'!$L$22+'계산 과정'!$C$49*D922+'계산 과정'!$D$49*E922,"")</x:f>
        <x:v>598.0130699609024</x:v>
      </x:c>
      <x:c r="G922" s="4" t="n">
        <x:f>IF('계산 과정'!$L$7,IF(ABS(F922)&gt;=1E-12*MAX(1,SQRT((D922-'계산 과정'!$C$33)^2+(E922-'계산 과정'!$D$33)^2+'계산 과정'!$E$33^2)),('계산 과정'!$L$23-'계산 과정'!$C$49*D922-'계산 과정'!$D$49*E922)/F922,""),"")</x:f>
        <x:v>0.7558144675143106</x:v>
      </x:c>
      <x:c r="H922" s="4" t="n">
        <x:f>IF(AND(ISNUMBER(G922),G922&gt;0),('계산 과정'!$D$56+'계산 과정'!$D$57*D922+'계산 과정'!$D$58*E922)/F922,"")</x:f>
        <x:v>91.27940388430184</x:v>
      </x:c>
      <x:c r="I922" s="4" t="n">
        <x:f>IF(AND(ISNUMBER(G922),G922&gt;0),('계산 과정'!$E$56+'계산 과정'!$E$57*D922+'계산 과정'!$E$58*E922)/F922,"")</x:f>
        <x:v>-119.9066761841391</x:v>
      </x:c>
      <x:c r="J922" s="4" t="n">
        <x:f>IF('계산 과정'!$L$5,'계산 과정'!$D$6+'계산 과정'!$C$35*D922+'계산 과정'!$D$35*E922,"")</x:f>
        <x:v>598.0130699609024</x:v>
      </x:c>
      <x:c r="K922" s="4" t="n">
        <x:f>IF(AND('계산 과정'!$L$6,J922&gt;0),'계산 과정'!$D$10*('계산 과정'!$C$38*(D922-'계산 과정'!$C$32)+'계산 과정'!$D$38*(E922-'계산 과정'!$D$32)-'계산 과정'!$E$38*'계산 과정'!$E$32)/J922,"")</x:f>
        <x:v>0.6954621248327771</x:v>
      </x:c>
      <x:c r="L922" s="4" t="n">
        <x:f>IF(AND('계산 과정'!$L$6,J922&gt;0),'계산 과정'!$D$10*('계산 과정'!$C$39*(D922-'계산 과정'!$C$32)+'계산 과정'!$D$39*(E922-'계산 과정'!$D$32)-'계산 과정'!$E$39*'계산 과정'!$E$32)/J922,"")</x:f>
        <x:v>-0.9135746756886789</x:v>
      </x:c>
      <x:c r="M922" s="17" t="n">
        <x:f>IF('계산 과정'!$L$6,IF(J922&lt;=0,0,IF(AND(ABS(K922)&lt;='계산 과정'!$D$11/2,ABS(L922)&lt;='계산 과정'!$D$12/2),1,0)),"")</x:f>
        <x:v>1</x:v>
      </x:c>
      <x:c r="N922" s="17" t="n">
        <x:f>IF('계산 과정'!$C$78,IF(AND(ISNUMBER(H922),ISNUMBER(I922),ABS(H922-'계산 과정'!$C$88)&lt;='계산 과정'!$D$23/2,ABS(I922-'계산 과정'!$C$89)&lt;='계산 과정'!$D$24/2),1,0),"")</x:f>
        <x:v>1</x:v>
      </x:c>
      <x:c r="O922" s="4" t="n">
        <x:f>IF('계산 과정'!$L$7,'계산 과정'!$C$49*('계산 과정'!$C$32-D922)+'계산 과정'!$D$49*('계산 과정'!$D$32-E922)+'계산 과정'!$E$49*'계산 과정'!$E$32,"")</x:f>
        <x:v>51.98693003909773</x:v>
      </x:c>
      <x:c r="P922" s="4" t="n">
        <x:f>IF(AND('계산 과정'!$L$7,O922&lt;&gt;0),('계산 과정'!$L$23-'계산 과정'!$C$49*D922-'계산 과정'!$D$49*E922)/O922,"")</x:f>
        <x:v>8.694241604556616</x:v>
      </x:c>
      <x:c r="Q922" s="4" t="str">
        <x:f>IF(AND(ISNUMBER(P922),P922&gt;1E-9,P922&lt;1-1E-9),'계산 과정'!$C$47*(D922-'계산 과정'!$C$50+P922*('계산 과정'!$C$32-D922))+'계산 과정'!$D$47*(E922-'계산 과정'!$D$50+P922*('계산 과정'!$D$32-E922))+'계산 과정'!$E$47*(0-'계산 과정'!$E$50+P922*('계산 과정'!$E$32-0)),"")</x:f>
      </x:c>
      <x:c r="R922" s="4" t="str">
        <x:f>IF(AND(ISNUMBER(P922),P922&gt;1E-9,P922&lt;1-1E-9),'계산 과정'!$C$48*(D922-'계산 과정'!$C$50+P922*('계산 과정'!$C$32-D922))+'계산 과정'!$D$48*(E922-'계산 과정'!$D$50+P922*('계산 과정'!$D$32-E922))+'계산 과정'!$E$48*(0-'계산 과정'!$E$50+P922*('계산 과정'!$E$32-0)),"")</x:f>
      </x:c>
      <x:c r="S922" s="17" t="n">
        <x:f>IF('계산 과정'!$C$78,IF(AND(ISNUMBER(Q922),ISNUMBER(R922),ABS(Q922-'계산 과정'!$C$88)&lt;='계산 과정'!$D$23/2,ABS(R922-'계산 과정'!$C$89)&lt;='계산 과정'!$D$24/2),1,0),"")</x:f>
        <x:v>0</x:v>
      </x:c>
      <x:c r="T922" s="4"/>
      <x:c r="U922" s="4"/>
      <x:c r="V922" s="4"/>
      <x:c r="W922" s="4"/>
      <x:c r="X922" s="4"/>
      <x:c r="Y922" s="4"/>
      <x:c r="Z922" s="4"/>
    </x:row>
    <x:row r="923" ht="23" customHeight="1">
      <x:c r="A923" s="17" t="n">
        <x:f>ROW()-6</x:f>
        <x:v>917</x:v>
      </x:c>
      <x:c r="B923" s="4" t="n">
        <x:f>IF('계산 과정'!$L$5,'계산 과정'!$L$11*SQRT((A923+0.5)/'계산 과정'!$L$30),"")</x:f>
        <x:v>100.39898433095577</x:v>
      </x:c>
      <x:c r="C923" s="4" t="n">
        <x:f>A923*PI()*(3-SQRT(5))</x:f>
        <x:v>2200.7662816611746</x:v>
      </x:c>
      <x:c r="D923" s="4" t="n">
        <x:f>IF('계산 과정'!$L$5,B923*COS(C923),"")</x:f>
        <x:v>-8.086183568744572</x:v>
      </x:c>
      <x:c r="E923" s="4" t="n">
        <x:f>IF('계산 과정'!$L$5,B923*SIN(C923),"")</x:f>
        <x:v>100.07282193472945</x:v>
      </x:c>
      <x:c r="F923" s="4" t="n">
        <x:f>IF('계산 과정'!$L$7,'계산 과정'!$L$22+'계산 과정'!$C$49*D923+'계산 과정'!$D$49*E923,"")</x:f>
        <x:v>655.7177952353785</x:v>
      </x:c>
      <x:c r="G923" s="4" t="n">
        <x:f>IF('계산 과정'!$L$7,IF(ABS(F923)&gt;=1E-12*MAX(1,SQRT((D923-'계산 과정'!$C$33)^2+(E923-'계산 과정'!$D$33)^2+'계산 과정'!$E$33^2)),('계산 과정'!$L$23-'계산 과정'!$C$49*D923-'계산 과정'!$D$49*E923)/F923,""),"")</x:f>
        <x:v>0.6012986190546937</x:v>
      </x:c>
      <x:c r="H923" s="4" t="n">
        <x:f>IF(AND(ISNUMBER(G923),G923&gt;0),('계산 과정'!$D$56+'계산 과정'!$D$57*D923+'계산 과정'!$D$58*E923)/F923,"")</x:f>
        <x:v>-9.155897614449252</x:v>
      </x:c>
      <x:c r="I923" s="4" t="n">
        <x:f>IF(AND(ISNUMBER(G923),G923&gt;0),('계산 과정'!$E$56+'계산 과정'!$E$57*D923+'계산 과정'!$E$58*E923)/F923,"")</x:f>
        <x:v>160.2464715689885</x:v>
      </x:c>
      <x:c r="J923" s="4" t="n">
        <x:f>IF('계산 과정'!$L$5,'계산 과정'!$D$6+'계산 과정'!$C$35*D923+'계산 과정'!$D$35*E923,"")</x:f>
        <x:v>655.7177952353785</x:v>
      </x:c>
      <x:c r="K923" s="4" t="n">
        <x:f>IF(AND('계산 과정'!$L$6,J923&gt;0),'계산 과정'!$D$10*('계산 과정'!$C$38*(D923-'계산 과정'!$C$32)+'계산 과정'!$D$38*(E923-'계산 과정'!$D$32)-'계산 과정'!$E$38*'계산 과정'!$E$32)/J923,"")</x:f>
        <x:v>-0.06975921991961222</x:v>
      </x:c>
      <x:c r="L923" s="4" t="n">
        <x:f>IF(AND('계산 과정'!$L$6,J923&gt;0),'계산 과정'!$D$10*('계산 과정'!$C$39*(D923-'계산 과정'!$C$32)+'계산 과정'!$D$39*(E923-'계산 과정'!$D$32)-'계산 과정'!$E$39*'계산 과정'!$E$32)/J923,"")</x:f>
        <x:v>1.220925497668484</x:v>
      </x:c>
      <x:c r="M923" s="17" t="n">
        <x:f>IF('계산 과정'!$L$6,IF(J923&lt;=0,0,IF(AND(ABS(K923)&lt;='계산 과정'!$D$11/2,ABS(L923)&lt;='계산 과정'!$D$12/2),1,0)),"")</x:f>
        <x:v>1</x:v>
      </x:c>
      <x:c r="N923" s="17" t="n">
        <x:f>IF('계산 과정'!$C$78,IF(AND(ISNUMBER(H923),ISNUMBER(I923),ABS(H923-'계산 과정'!$C$88)&lt;='계산 과정'!$D$23/2,ABS(I923-'계산 과정'!$C$89)&lt;='계산 과정'!$D$24/2),1,0),"")</x:f>
        <x:v>1</x:v>
      </x:c>
      <x:c r="O923" s="4" t="n">
        <x:f>IF('계산 과정'!$L$7,'계산 과정'!$C$49*('계산 과정'!$C$32-D923)+'계산 과정'!$D$49*('계산 과정'!$D$32-E923)+'계산 과정'!$E$49*'계산 과정'!$E$32,"")</x:f>
        <x:v>-5.717795235378389</x:v>
      </x:c>
      <x:c r="P923" s="4" t="n">
        <x:f>IF(AND('계산 과정'!$L$7,O923&lt;&gt;0),('계산 과정'!$L$23-'계산 과정'!$C$49*D923-'계산 과정'!$D$49*E923)/O923,"")</x:f>
        <x:v>-68.95703475441594</x:v>
      </x:c>
      <x:c r="Q923" s="4" t="str">
        <x:f>IF(AND(ISNUMBER(P923),P923&gt;1E-9,P923&lt;1-1E-9),'계산 과정'!$C$47*(D923-'계산 과정'!$C$50+P923*('계산 과정'!$C$32-D923))+'계산 과정'!$D$47*(E923-'계산 과정'!$D$50+P923*('계산 과정'!$D$32-E923))+'계산 과정'!$E$47*(0-'계산 과정'!$E$50+P923*('계산 과정'!$E$32-0)),"")</x:f>
      </x:c>
      <x:c r="R923" s="4" t="str">
        <x:f>IF(AND(ISNUMBER(P923),P923&gt;1E-9,P923&lt;1-1E-9),'계산 과정'!$C$48*(D923-'계산 과정'!$C$50+P923*('계산 과정'!$C$32-D923))+'계산 과정'!$D$48*(E923-'계산 과정'!$D$50+P923*('계산 과정'!$D$32-E923))+'계산 과정'!$E$48*(0-'계산 과정'!$E$50+P923*('계산 과정'!$E$32-0)),"")</x:f>
      </x:c>
      <x:c r="S923" s="17" t="n">
        <x:f>IF('계산 과정'!$C$78,IF(AND(ISNUMBER(Q923),ISNUMBER(R923),ABS(Q923-'계산 과정'!$C$88)&lt;='계산 과정'!$D$23/2,ABS(R923-'계산 과정'!$C$89)&lt;='계산 과정'!$D$24/2),1,0),"")</x:f>
        <x:v>0</x:v>
      </x:c>
      <x:c r="T923" s="4"/>
      <x:c r="U923" s="4"/>
      <x:c r="V923" s="4"/>
      <x:c r="W923" s="4"/>
      <x:c r="X923" s="4"/>
      <x:c r="Y923" s="4"/>
      <x:c r="Z923" s="4"/>
    </x:row>
    <x:row r="924" ht="23" customHeight="1">
      <x:c r="A924" s="17" t="n">
        <x:f>ROW()-6</x:f>
        <x:v>918</x:v>
      </x:c>
      <x:c r="B924" s="4" t="n">
        <x:f>IF('계산 과정'!$L$5,'계산 과정'!$L$11*SQRT((A924+0.5)/'계산 과정'!$L$30),"")</x:f>
        <x:v>100.45368277376645</x:v>
      </x:c>
      <x:c r="C924" s="4" t="n">
        <x:f>A924*PI()*(3-SQRT(5))</x:f>
        <x:v>2203.1662448909033</x:v>
      </x:c>
      <x:c r="D924" s="4" t="n">
        <x:f>IF('계산 과정'!$L$5,B924*COS(C924),"")</x:f>
        <x:v>-61.669299631069435</x:v>
      </x:c>
      <x:c r="E924" s="4" t="n">
        <x:f>IF('계산 과정'!$L$5,B924*SIN(C924),"")</x:f>
        <x:v>-79.29590068739923</x:v>
      </x:c>
      <x:c r="F924" s="4" t="n">
        <x:f>IF('계산 과정'!$L$7,'계산 과정'!$L$22+'계산 과정'!$C$49*D924+'계산 과정'!$D$49*E924,"")</x:f>
        <x:v>693.6067799601542</x:v>
      </x:c>
      <x:c r="G924" s="4" t="n">
        <x:f>IF('계산 과정'!$L$7,IF(ABS(F924)&gt;=1E-12*MAX(1,SQRT((D924-'계산 과정'!$C$33)^2+(E924-'계산 과정'!$D$33)^2+'계산 과정'!$E$33^2)),('계산 과정'!$L$23-'계산 과정'!$C$49*D924-'계산 과정'!$D$49*E924)/F924,""),"")</x:f>
        <x:v>0.5138260327563688</x:v>
      </x:c>
      <x:c r="H924" s="4" t="n">
        <x:f>IF(AND(ISNUMBER(G924),G924&gt;0),('계산 과정'!$D$56+'계산 과정'!$D$57*D924+'계산 과정'!$D$58*E924)/F924,"")</x:f>
        <x:v>-66.01307870836037</x:v>
      </x:c>
      <x:c r="I924" s="4" t="n">
        <x:f>IF(AND(ISNUMBER(G924),G924&gt;0),('계산 과정'!$E$56+'계산 과정'!$E$57*D924+'계산 과정'!$E$58*E924)/F924,"")</x:f>
        <x:v>-120.0401987514486</x:v>
      </x:c>
      <x:c r="J924" s="4" t="n">
        <x:f>IF('계산 과정'!$L$5,'계산 과정'!$D$6+'계산 과정'!$C$35*D924+'계산 과정'!$D$35*E924,"")</x:f>
        <x:v>693.6067799601542</x:v>
      </x:c>
      <x:c r="K924" s="4" t="n">
        <x:f>IF(AND('계산 과정'!$L$6,J924&gt;0),'계산 과정'!$D$10*('계산 과정'!$C$38*(D924-'계산 과정'!$C$32)+'계산 과정'!$D$38*(E924-'계산 과정'!$D$32)-'계산 과정'!$E$38*'계산 과정'!$E$32)/J924,"")</x:f>
        <x:v>-0.5029567901589352</x:v>
      </x:c>
      <x:c r="L924" s="4" t="n">
        <x:f>IF(AND('계산 과정'!$L$6,J924&gt;0),'계산 과정'!$D$10*('계산 과정'!$C$39*(D924-'계산 과정'!$C$32)+'계산 과정'!$D$39*(E924-'계산 과정'!$D$32)-'계산 과정'!$E$39*'계산 과정'!$E$32)/J924,"")</x:f>
        <x:v>-0.9145919904872274</x:v>
      </x:c>
      <x:c r="M924" s="17" t="n">
        <x:f>IF('계산 과정'!$L$6,IF(J924&lt;=0,0,IF(AND(ABS(K924)&lt;='계산 과정'!$D$11/2,ABS(L924)&lt;='계산 과정'!$D$12/2),1,0)),"")</x:f>
        <x:v>1</x:v>
      </x:c>
      <x:c r="N924" s="17" t="n">
        <x:f>IF('계산 과정'!$C$78,IF(AND(ISNUMBER(H924),ISNUMBER(I924),ABS(H924-'계산 과정'!$C$88)&lt;='계산 과정'!$D$23/2,ABS(I924-'계산 과정'!$C$89)&lt;='계산 과정'!$D$24/2),1,0),"")</x:f>
        <x:v>1</x:v>
      </x:c>
      <x:c r="O924" s="4" t="n">
        <x:f>IF('계산 과정'!$L$7,'계산 과정'!$C$49*('계산 과정'!$C$32-D924)+'계산 과정'!$D$49*('계산 과정'!$D$32-E924)+'계산 과정'!$E$49*'계산 과정'!$E$32,"")</x:f>
        <x:v>-43.606779960154086</x:v>
      </x:c>
      <x:c r="P924" s="4" t="n">
        <x:f>IF(AND('계산 과정'!$L$7,O924&lt;&gt;0),('계산 과정'!$L$23-'계산 과정'!$C$49*D924-'계산 과정'!$D$49*E924)/O924,"")</x:f>
        <x:v>-8.172885509214435</x:v>
      </x:c>
      <x:c r="Q924" s="4" t="str">
        <x:f>IF(AND(ISNUMBER(P924),P924&gt;1E-9,P924&lt;1-1E-9),'계산 과정'!$C$47*(D924-'계산 과정'!$C$50+P924*('계산 과정'!$C$32-D924))+'계산 과정'!$D$47*(E924-'계산 과정'!$D$50+P924*('계산 과정'!$D$32-E924))+'계산 과정'!$E$47*(0-'계산 과정'!$E$50+P924*('계산 과정'!$E$32-0)),"")</x:f>
      </x:c>
      <x:c r="R924" s="4" t="str">
        <x:f>IF(AND(ISNUMBER(P924),P924&gt;1E-9,P924&lt;1-1E-9),'계산 과정'!$C$48*(D924-'계산 과정'!$C$50+P924*('계산 과정'!$C$32-D924))+'계산 과정'!$D$48*(E924-'계산 과정'!$D$50+P924*('계산 과정'!$D$32-E924))+'계산 과정'!$E$48*(0-'계산 과정'!$E$50+P924*('계산 과정'!$E$32-0)),"")</x:f>
      </x:c>
      <x:c r="S924" s="17" t="n">
        <x:f>IF('계산 과정'!$C$78,IF(AND(ISNUMBER(Q924),ISNUMBER(R924),ABS(Q924-'계산 과정'!$C$88)&lt;='계산 과정'!$D$23/2,ABS(R924-'계산 과정'!$C$89)&lt;='계산 과정'!$D$24/2),1,0),"")</x:f>
        <x:v>0</x:v>
      </x:c>
      <x:c r="T924" s="4"/>
      <x:c r="U924" s="4"/>
      <x:c r="V924" s="4"/>
      <x:c r="W924" s="4"/>
      <x:c r="X924" s="4"/>
      <x:c r="Y924" s="4"/>
      <x:c r="Z924" s="4"/>
    </x:row>
    <x:row r="925" ht="23" customHeight="1">
      <x:c r="A925" s="17" t="n">
        <x:f>ROW()-6</x:f>
        <x:v>919</x:v>
      </x:c>
      <x:c r="B925" s="4" t="n">
        <x:f>IF('계산 과정'!$L$5,'계산 과정'!$L$11*SQRT((A925+0.5)/'계산 과정'!$L$30),"")</x:f>
        <x:v>100.50835144871047</x:v>
      </x:c>
      <x:c r="C925" s="4" t="n">
        <x:f>A925*PI()*(3-SQRT(5))</x:f>
        <x:v>2205.566208120632</x:v>
      </x:c>
      <x:c r="D925" s="4" t="n">
        <x:f>IF('계산 과정'!$L$5,B925*COS(C925),"")</x:f>
        <x:v>99.09053106154798</x:v>
      </x:c>
      <x:c r="E925" s="4" t="n">
        <x:f>IF('계산 과정'!$L$5,B925*SIN(C925),"")</x:f>
        <x:v>16.822466075991798</x:v>
      </x:c>
      <x:c r="F925" s="4" t="n">
        <x:f>IF('계산 과정'!$L$7,'계산 과정'!$L$22+'계산 과정'!$C$49*D925+'계산 과정'!$D$49*E925,"")</x:f>
        <x:v>579.9324135350032</x:v>
      </x:c>
      <x:c r="G925" s="4" t="n">
        <x:f>IF('계산 과정'!$L$7,IF(ABS(F925)&gt;=1E-12*MAX(1,SQRT((D925-'계산 과정'!$C$33)^2+(E925-'계산 과정'!$D$33)^2+'계산 과정'!$E$33^2)),('계산 과정'!$L$23-'계산 과정'!$C$49*D925-'계산 과정'!$D$49*E925)/F925,""),"")</x:f>
        <x:v>0.8105558087358481</x:v>
      </x:c>
      <x:c r="H925" s="4" t="n">
        <x:f>IF(AND(ISNUMBER(G925),G925&gt;0),('계산 과정'!$D$56+'계산 과정'!$D$57*D925+'계산 과정'!$D$58*E925)/F925,"")</x:f>
        <x:v>126.86127567830114</x:v>
      </x:c>
      <x:c r="I925" s="4" t="n">
        <x:f>IF(AND(ISNUMBER(G925),G925&gt;0),('계산 과정'!$E$56+'계산 과정'!$E$57*D925+'계산 과정'!$E$58*E925)/F925,"")</x:f>
        <x:v>30.4580136711487</x:v>
      </x:c>
      <x:c r="J925" s="4" t="n">
        <x:f>IF('계산 과정'!$L$5,'계산 과정'!$D$6+'계산 과정'!$C$35*D925+'계산 과정'!$D$35*E925,"")</x:f>
        <x:v>579.9324135350032</x:v>
      </x:c>
      <x:c r="K925" s="4" t="n">
        <x:f>IF(AND('계산 과정'!$L$6,J925&gt;0),'계산 과정'!$D$10*('계산 과정'!$C$38*(D925-'계산 과정'!$C$32)+'계산 과정'!$D$38*(E925-'계산 과정'!$D$32)-'계산 과정'!$E$38*'계산 과정'!$E$32)/J925,"")</x:f>
        <x:v>0.9665621004061046</x:v>
      </x:c>
      <x:c r="L925" s="4" t="n">
        <x:f>IF(AND('계산 과정'!$L$6,J925&gt;0),'계산 과정'!$D$10*('계산 과정'!$C$39*(D925-'계산 과정'!$C$32)+'계산 과정'!$D$39*(E925-'계산 과정'!$D$32)-'계산 과정'!$E$39*'계산 과정'!$E$32)/J925,"")</x:f>
        <x:v>0.2320610565420853</x:v>
      </x:c>
      <x:c r="M925" s="17" t="n">
        <x:f>IF('계산 과정'!$L$6,IF(J925&lt;=0,0,IF(AND(ABS(K925)&lt;='계산 과정'!$D$11/2,ABS(L925)&lt;='계산 과정'!$D$12/2),1,0)),"")</x:f>
        <x:v>1</x:v>
      </x:c>
      <x:c r="N925" s="17" t="n">
        <x:f>IF('계산 과정'!$C$78,IF(AND(ISNUMBER(H925),ISNUMBER(I925),ABS(H925-'계산 과정'!$C$88)&lt;='계산 과정'!$D$23/2,ABS(I925-'계산 과정'!$C$89)&lt;='계산 과정'!$D$24/2),1,0),"")</x:f>
        <x:v>1</x:v>
      </x:c>
      <x:c r="O925" s="4" t="n">
        <x:f>IF('계산 과정'!$L$7,'계산 과정'!$C$49*('계산 과정'!$C$32-D925)+'계산 과정'!$D$49*('계산 과정'!$D$32-E925)+'계산 과정'!$E$49*'계산 과정'!$E$32,"")</x:f>
        <x:v>70.06758646499688</x:v>
      </x:c>
      <x:c r="P925" s="4" t="n">
        <x:f>IF(AND('계산 과정'!$L$7,O925&lt;&gt;0),('계산 과정'!$L$23-'계산 과정'!$C$49*D925-'계산 과정'!$D$49*E925)/O925,"")</x:f>
        <x:v>6.70877377373095</x:v>
      </x:c>
      <x:c r="Q925" s="4" t="str">
        <x:f>IF(AND(ISNUMBER(P925),P925&gt;1E-9,P925&lt;1-1E-9),'계산 과정'!$C$47*(D925-'계산 과정'!$C$50+P925*('계산 과정'!$C$32-D925))+'계산 과정'!$D$47*(E925-'계산 과정'!$D$50+P925*('계산 과정'!$D$32-E925))+'계산 과정'!$E$47*(0-'계산 과정'!$E$50+P925*('계산 과정'!$E$32-0)),"")</x:f>
      </x:c>
      <x:c r="R925" s="4" t="str">
        <x:f>IF(AND(ISNUMBER(P925),P925&gt;1E-9,P925&lt;1-1E-9),'계산 과정'!$C$48*(D925-'계산 과정'!$C$50+P925*('계산 과정'!$C$32-D925))+'계산 과정'!$D$48*(E925-'계산 과정'!$D$50+P925*('계산 과정'!$D$32-E925))+'계산 과정'!$E$48*(0-'계산 과정'!$E$50+P925*('계산 과정'!$E$32-0)),"")</x:f>
      </x:c>
      <x:c r="S925" s="17" t="n">
        <x:f>IF('계산 과정'!$C$78,IF(AND(ISNUMBER(Q925),ISNUMBER(R925),ABS(Q925-'계산 과정'!$C$88)&lt;='계산 과정'!$D$23/2,ABS(R925-'계산 과정'!$C$89)&lt;='계산 과정'!$D$24/2),1,0),"")</x:f>
        <x:v>0</x:v>
      </x:c>
      <x:c r="T925" s="4"/>
      <x:c r="U925" s="4"/>
      <x:c r="V925" s="4"/>
      <x:c r="W925" s="4"/>
      <x:c r="X925" s="4"/>
      <x:c r="Y925" s="4"/>
      <x:c r="Z925" s="4"/>
    </x:row>
    <x:row r="926" ht="23" customHeight="1">
      <x:c r="A926" s="17" t="n">
        <x:f>ROW()-6</x:f>
        <x:v>920</x:v>
      </x:c>
      <x:c r="B926" s="4" t="n">
        <x:f>IF('계산 과정'!$L$5,'계산 과정'!$L$11*SQRT((A926+0.5)/'계산 과정'!$L$30),"")</x:f>
        <x:v>100.56299040433562</x:v>
      </x:c>
      <x:c r="C926" s="4" t="n">
        <x:f>A926*PI()*(3-SQRT(5))</x:f>
        <x:v>2207.9661713503606</x:v>
      </x:c>
      <x:c r="D926" s="4" t="n">
        <x:f>IF('계산 과정'!$L$5,B926*COS(C926),"")</x:f>
        <x:v>-84.4755844516977</x:v>
      </x:c>
      <x:c r="E926" s="4" t="n">
        <x:f>IF('계산 과정'!$L$5,B926*SIN(C926),"")</x:f>
        <x:v>54.55997315437927</x:v>
      </x:c>
      <x:c r="F926" s="4" t="n">
        <x:f>IF('계산 과정'!$L$7,'계산 과정'!$L$22+'계산 과정'!$C$49*D926+'계산 과정'!$D$49*E926,"")</x:f>
        <x:v>709.7332586104923</x:v>
      </x:c>
      <x:c r="G926" s="4" t="n">
        <x:f>IF('계산 과정'!$L$7,IF(ABS(F926)&gt;=1E-12*MAX(1,SQRT((D926-'계산 과정'!$C$33)^2+(E926-'계산 과정'!$D$33)^2+'계산 과정'!$E$33^2)),('계산 과정'!$L$23-'계산 과정'!$C$49*D926-'계산 과정'!$D$49*E926)/F926,""),"")</x:f>
        <x:v>0.4794290492398201</x:v>
      </x:c>
      <x:c r="H926" s="4" t="n">
        <x:f>IF(AND(ISNUMBER(G926),G926&gt;0),('계산 과정'!$D$56+'계산 과정'!$D$57*D926+'계산 과정'!$D$58*E926)/F926,"")</x:f>
        <x:v>-88.37111799411709</x:v>
      </x:c>
      <x:c r="I926" s="4" t="n">
        <x:f>IF(AND(ISNUMBER(G926),G926&gt;0),('계산 과정'!$E$56+'계산 과정'!$E$57*D926+'계산 과정'!$E$58*E926)/F926,"")</x:f>
        <x:v>80.71760921033344</x:v>
      </x:c>
      <x:c r="J926" s="4" t="n">
        <x:f>IF('계산 과정'!$L$5,'계산 과정'!$D$6+'계산 과정'!$C$35*D926+'계산 과정'!$D$35*E926,"")</x:f>
        <x:v>709.7332586104923</x:v>
      </x:c>
      <x:c r="K926" s="4" t="n">
        <x:f>IF(AND('계산 과정'!$L$6,J926&gt;0),'계산 과정'!$D$10*('계산 과정'!$C$38*(D926-'계산 과정'!$C$32)+'계산 과정'!$D$38*(E926-'계산 과정'!$D$32)-'계산 과정'!$E$38*'계산 과정'!$E$32)/J926,"")</x:f>
        <x:v>-0.6733037561456531</x:v>
      </x:c>
      <x:c r="L926" s="4" t="n">
        <x:f>IF(AND('계산 과정'!$L$6,J926&gt;0),'계산 과정'!$D$10*('계산 과정'!$C$39*(D926-'계산 과정'!$C$32)+'계산 과정'!$D$39*(E926-'계산 과정'!$D$32)-'계산 과정'!$E$39*'계산 과정'!$E$32)/J926,"")</x:f>
        <x:v>0.6149913082692071</x:v>
      </x:c>
      <x:c r="M926" s="17" t="n">
        <x:f>IF('계산 과정'!$L$6,IF(J926&lt;=0,0,IF(AND(ABS(K926)&lt;='계산 과정'!$D$11/2,ABS(L926)&lt;='계산 과정'!$D$12/2),1,0)),"")</x:f>
        <x:v>1</x:v>
      </x:c>
      <x:c r="N926" s="17" t="n">
        <x:f>IF('계산 과정'!$C$78,IF(AND(ISNUMBER(H926),ISNUMBER(I926),ABS(H926-'계산 과정'!$C$88)&lt;='계산 과정'!$D$23/2,ABS(I926-'계산 과정'!$C$89)&lt;='계산 과정'!$D$24/2),1,0),"")</x:f>
        <x:v>1</x:v>
      </x:c>
      <x:c r="O926" s="4" t="n">
        <x:f>IF('계산 과정'!$L$7,'계산 과정'!$C$49*('계산 과정'!$C$32-D926)+'계산 과정'!$D$49*('계산 과정'!$D$32-E926)+'계산 과정'!$E$49*'계산 과정'!$E$32,"")</x:f>
        <x:v>-59.733258610492214</x:v>
      </x:c>
      <x:c r="P926" s="4" t="n">
        <x:f>IF(AND('계산 과정'!$L$7,O926&lt;&gt;0),('계산 과정'!$L$23-'계산 과정'!$C$49*D926-'계산 과정'!$D$49*E926)/O926,"")</x:f>
        <x:v>-5.696436948272222</x:v>
      </x:c>
      <x:c r="Q926" s="4" t="str">
        <x:f>IF(AND(ISNUMBER(P926),P926&gt;1E-9,P926&lt;1-1E-9),'계산 과정'!$C$47*(D926-'계산 과정'!$C$50+P926*('계산 과정'!$C$32-D926))+'계산 과정'!$D$47*(E926-'계산 과정'!$D$50+P926*('계산 과정'!$D$32-E926))+'계산 과정'!$E$47*(0-'계산 과정'!$E$50+P926*('계산 과정'!$E$32-0)),"")</x:f>
      </x:c>
      <x:c r="R926" s="4" t="str">
        <x:f>IF(AND(ISNUMBER(P926),P926&gt;1E-9,P926&lt;1-1E-9),'계산 과정'!$C$48*(D926-'계산 과정'!$C$50+P926*('계산 과정'!$C$32-D926))+'계산 과정'!$D$48*(E926-'계산 과정'!$D$50+P926*('계산 과정'!$D$32-E926))+'계산 과정'!$E$48*(0-'계산 과정'!$E$50+P926*('계산 과정'!$E$32-0)),"")</x:f>
      </x:c>
      <x:c r="S926" s="17" t="n">
        <x:f>IF('계산 과정'!$C$78,IF(AND(ISNUMBER(Q926),ISNUMBER(R926),ABS(Q926-'계산 과정'!$C$88)&lt;='계산 과정'!$D$23/2,ABS(R926-'계산 과정'!$C$89)&lt;='계산 과정'!$D$24/2),1,0),"")</x:f>
        <x:v>0</x:v>
      </x:c>
      <x:c r="T926" s="4"/>
      <x:c r="U926" s="4"/>
      <x:c r="V926" s="4"/>
      <x:c r="W926" s="4"/>
      <x:c r="X926" s="4"/>
      <x:c r="Y926" s="4"/>
      <x:c r="Z926" s="4"/>
    </x:row>
    <x:row r="927" ht="23" customHeight="1">
      <x:c r="A927" s="17" t="n">
        <x:f>ROW()-6</x:f>
        <x:v>921</x:v>
      </x:c>
      <x:c r="B927" s="4" t="n">
        <x:f>IF('계산 과정'!$L$5,'계산 과정'!$L$11*SQRT((A927+0.5)/'계산 과정'!$L$30),"")</x:f>
        <x:v>100.61759968905788</x:v>
      </x:c>
      <x:c r="C927" s="4" t="n">
        <x:f>A927*PI()*(3-SQRT(5))</x:f>
        <x:v>2210.3661345800892</x:v>
      </x:c>
      <x:c r="D927" s="4" t="n">
        <x:f>IF('계산 과정'!$L$5,B927*COS(C927),"")</x:f>
        <x:v>25.44874668640913</x:v>
      </x:c>
      <x:c r="E927" s="4" t="n">
        <x:f>IF('계산 과정'!$L$5,B927*SIN(C927),"")</x:f>
        <x:v>-97.34609729865129</x:v>
      </x:c>
      <x:c r="F927" s="4" t="n">
        <x:f>IF('계산 과정'!$L$7,'계산 과정'!$L$22+'계산 과정'!$C$49*D927+'계산 과정'!$D$49*E927,"")</x:f>
        <x:v>632.0050186453415</x:v>
      </x:c>
      <x:c r="G927" s="4" t="n">
        <x:f>IF('계산 과정'!$L$7,IF(ABS(F927)&gt;=1E-12*MAX(1,SQRT((D927-'계산 과정'!$C$33)^2+(E927-'계산 과정'!$D$33)^2+'계산 과정'!$E$33^2)),('계산 과정'!$L$23-'계산 과정'!$C$49*D927-'계산 과정'!$D$49*E927)/F927,""),"")</x:f>
        <x:v>0.6613792122261966</x:v>
      </x:c>
      <x:c r="H927" s="4" t="n">
        <x:f>IF(AND(ISNUMBER(G927),G927&gt;0),('계산 과정'!$D$56+'계산 과정'!$D$57*D927+'계산 과정'!$D$58*E927)/F927,"")</x:f>
        <x:v>29.896487947027655</x:v>
      </x:c>
      <x:c r="I927" s="4" t="n">
        <x:f>IF(AND(ISNUMBER(G927),G927&gt;0),('계산 과정'!$E$56+'계산 과정'!$E$57*D927+'계산 과정'!$E$58*E927)/F927,"")</x:f>
        <x:v>-161.72878244332796</x:v>
      </x:c>
      <x:c r="J927" s="4" t="n">
        <x:f>IF('계산 과정'!$L$5,'계산 과정'!$D$6+'계산 과정'!$C$35*D927+'계산 과정'!$D$35*E927,"")</x:f>
        <x:v>632.0050186453415</x:v>
      </x:c>
      <x:c r="K927" s="4" t="n">
        <x:f>IF(AND('계산 과정'!$L$6,J927&gt;0),'계산 과정'!$D$10*('계산 과정'!$C$38*(D927-'계산 과정'!$C$32)+'계산 과정'!$D$38*(E927-'계산 과정'!$D$32)-'계산 과정'!$E$38*'계산 과정'!$E$32)/J927,"")</x:f>
        <x:v>0.2277827653106879</x:v>
      </x:c>
      <x:c r="L927" s="4" t="n">
        <x:f>IF(AND('계산 과정'!$L$6,J927&gt;0),'계산 과정'!$D$10*('계산 과정'!$C$39*(D927-'계산 과정'!$C$32)+'계산 과정'!$D$39*(E927-'계산 과정'!$D$32)-'계산 과정'!$E$39*'계산 과정'!$E$32)/J927,"")</x:f>
        <x:v>-1.2322192948063082</x:v>
      </x:c>
      <x:c r="M927" s="17" t="n">
        <x:f>IF('계산 과정'!$L$6,IF(J927&lt;=0,0,IF(AND(ABS(K927)&lt;='계산 과정'!$D$11/2,ABS(L927)&lt;='계산 과정'!$D$12/2),1,0)),"")</x:f>
        <x:v>1</x:v>
      </x:c>
      <x:c r="N927" s="17" t="n">
        <x:f>IF('계산 과정'!$C$78,IF(AND(ISNUMBER(H927),ISNUMBER(I927),ABS(H927-'계산 과정'!$C$88)&lt;='계산 과정'!$D$23/2,ABS(I927-'계산 과정'!$C$89)&lt;='계산 과정'!$D$24/2),1,0),"")</x:f>
        <x:v>1</x:v>
      </x:c>
      <x:c r="O927" s="4" t="n">
        <x:f>IF('계산 과정'!$L$7,'계산 과정'!$C$49*('계산 과정'!$C$32-D927)+'계산 과정'!$D$49*('계산 과정'!$D$32-E927)+'계산 과정'!$E$49*'계산 과정'!$E$32,"")</x:f>
        <x:v>17.994981354658705</x:v>
      </x:c>
      <x:c r="P927" s="4" t="n">
        <x:f>IF(AND('계산 과정'!$L$7,O927&lt;&gt;0),('계산 과정'!$L$23-'계산 과정'!$C$49*D927-'계산 과정'!$D$49*E927)/O927,"")</x:f>
        <x:v>23.228419808639824</x:v>
      </x:c>
      <x:c r="Q927" s="4" t="str">
        <x:f>IF(AND(ISNUMBER(P927),P927&gt;1E-9,P927&lt;1-1E-9),'계산 과정'!$C$47*(D927-'계산 과정'!$C$50+P927*('계산 과정'!$C$32-D927))+'계산 과정'!$D$47*(E927-'계산 과정'!$D$50+P927*('계산 과정'!$D$32-E927))+'계산 과정'!$E$47*(0-'계산 과정'!$E$50+P927*('계산 과정'!$E$32-0)),"")</x:f>
      </x:c>
      <x:c r="R927" s="4" t="str">
        <x:f>IF(AND(ISNUMBER(P927),P927&gt;1E-9,P927&lt;1-1E-9),'계산 과정'!$C$48*(D927-'계산 과정'!$C$50+P927*('계산 과정'!$C$32-D927))+'계산 과정'!$D$48*(E927-'계산 과정'!$D$50+P927*('계산 과정'!$D$32-E927))+'계산 과정'!$E$48*(0-'계산 과정'!$E$50+P927*('계산 과정'!$E$32-0)),"")</x:f>
      </x:c>
      <x:c r="S927" s="17" t="n">
        <x:f>IF('계산 과정'!$C$78,IF(AND(ISNUMBER(Q927),ISNUMBER(R927),ABS(Q927-'계산 과정'!$C$88)&lt;='계산 과정'!$D$23/2,ABS(R927-'계산 과정'!$C$89)&lt;='계산 과정'!$D$24/2),1,0),"")</x:f>
        <x:v>0</x:v>
      </x:c>
      <x:c r="T927" s="4"/>
      <x:c r="U927" s="4"/>
      <x:c r="V927" s="4"/>
      <x:c r="W927" s="4"/>
      <x:c r="X927" s="4"/>
      <x:c r="Y927" s="4"/>
      <x:c r="Z927" s="4"/>
    </x:row>
    <x:row r="928" ht="23" customHeight="1">
      <x:c r="A928" s="17" t="n">
        <x:f>ROW()-6</x:f>
        <x:v>922</x:v>
      </x:c>
      <x:c r="B928" s="4" t="n">
        <x:f>IF('계산 과정'!$L$5,'계산 과정'!$L$11*SQRT((A928+0.5)/'계산 과정'!$L$30),"")</x:f>
        <x:v>100.67217935116186</x:v>
      </x:c>
      <x:c r="C928" s="4" t="n">
        <x:f>A928*PI()*(3-SQRT(5))</x:f>
        <x:v>2212.766097809818</x:v>
      </x:c>
      <x:c r="D928" s="4" t="n">
        <x:f>IF('계산 과정'!$L$5,B928*COS(C928),"")</x:f>
        <x:v>47.01672034387307</x:v>
      </x:c>
      <x:c r="E928" s="4" t="n">
        <x:f>IF('계산 과정'!$L$5,B928*SIN(C928),"")</x:f>
        <x:v>89.01862559834616</x:v>
      </x:c>
      <x:c r="F928" s="4" t="n">
        <x:f>IF('계산 과정'!$L$7,'계산 과정'!$L$22+'계산 과정'!$C$49*D928+'계산 과정'!$D$49*E928,"")</x:f>
        <x:v>616.7541582156958</x:v>
      </x:c>
      <x:c r="G928" s="4" t="n">
        <x:f>IF('계산 과정'!$L$7,IF(ABS(F928)&gt;=1E-12*MAX(1,SQRT((D928-'계산 과정'!$C$33)^2+(E928-'계산 과정'!$D$33)^2+'계산 과정'!$E$33^2)),('계산 과정'!$L$23-'계산 과정'!$C$49*D928-'계산 과정'!$D$49*E928)/F928,""),"")</x:f>
        <x:v>0.7024611605987522</x:v>
      </x:c>
      <x:c r="H928" s="4" t="n">
        <x:f>IF(AND(ISNUMBER(G928),G928&gt;0),('계산 과정'!$D$56+'계산 과정'!$D$57*D928+'계산 과정'!$D$58*E928)/F928,"")</x:f>
        <x:v>56.59975438918884</x:v>
      </x:c>
      <x:c r="I928" s="4" t="n">
        <x:f>IF(AND(ISNUMBER(G928),G928&gt;0),('계산 과정'!$E$56+'계산 과정'!$E$57*D928+'계산 과정'!$E$58*E928)/F928,"")</x:f>
        <x:v>151.5507526510662</x:v>
      </x:c>
      <x:c r="J928" s="4" t="n">
        <x:f>IF('계산 과정'!$L$5,'계산 과정'!$D$6+'계산 과정'!$C$35*D928+'계산 과정'!$D$35*E928,"")</x:f>
        <x:v>616.7541582156958</x:v>
      </x:c>
      <x:c r="K928" s="4" t="n">
        <x:f>IF(AND('계산 과정'!$L$6,J928&gt;0),'계산 과정'!$D$10*('계산 과정'!$C$38*(D928-'계산 과정'!$C$32)+'계산 과정'!$D$38*(E928-'계산 과정'!$D$32)-'계산 과정'!$E$38*'계산 과정'!$E$32)/J928,"")</x:f>
        <x:v>0.4312362239176301</x:v>
      </x:c>
      <x:c r="L928" s="4" t="n">
        <x:f>IF(AND('계산 과정'!$L$6,J928&gt;0),'계산 과정'!$D$10*('계산 과정'!$C$39*(D928-'계산 과정'!$C$32)+'계산 과정'!$D$39*(E928-'계산 과정'!$D$32)-'계산 과정'!$E$39*'계산 과정'!$E$32)/J928,"")</x:f>
        <x:v>1.1546724011509806</x:v>
      </x:c>
      <x:c r="M928" s="17" t="n">
        <x:f>IF('계산 과정'!$L$6,IF(J928&lt;=0,0,IF(AND(ABS(K928)&lt;='계산 과정'!$D$11/2,ABS(L928)&lt;='계산 과정'!$D$12/2),1,0)),"")</x:f>
        <x:v>1</x:v>
      </x:c>
      <x:c r="N928" s="17" t="n">
        <x:f>IF('계산 과정'!$C$78,IF(AND(ISNUMBER(H928),ISNUMBER(I928),ABS(H928-'계산 과정'!$C$88)&lt;='계산 과정'!$D$23/2,ABS(I928-'계산 과정'!$C$89)&lt;='계산 과정'!$D$24/2),1,0),"")</x:f>
        <x:v>1</x:v>
      </x:c>
      <x:c r="O928" s="4" t="n">
        <x:f>IF('계산 과정'!$L$7,'계산 과정'!$C$49*('계산 과정'!$C$32-D928)+'계산 과정'!$D$49*('계산 과정'!$D$32-E928)+'계산 과정'!$E$49*'계산 과정'!$E$32,"")</x:f>
        <x:v>33.245841784304275</x:v>
      </x:c>
      <x:c r="P928" s="4" t="n">
        <x:f>IF(AND('계산 과정'!$L$7,O928&lt;&gt;0),('계산 과정'!$L$23-'계산 과정'!$C$49*D928-'계산 과정'!$D$49*E928)/O928,"")</x:f>
        <x:v>13.031579846741744</x:v>
      </x:c>
      <x:c r="Q928" s="4" t="str">
        <x:f>IF(AND(ISNUMBER(P928),P928&gt;1E-9,P928&lt;1-1E-9),'계산 과정'!$C$47*(D928-'계산 과정'!$C$50+P928*('계산 과정'!$C$32-D928))+'계산 과정'!$D$47*(E928-'계산 과정'!$D$50+P928*('계산 과정'!$D$32-E928))+'계산 과정'!$E$47*(0-'계산 과정'!$E$50+P928*('계산 과정'!$E$32-0)),"")</x:f>
      </x:c>
      <x:c r="R928" s="4" t="str">
        <x:f>IF(AND(ISNUMBER(P928),P928&gt;1E-9,P928&lt;1-1E-9),'계산 과정'!$C$48*(D928-'계산 과정'!$C$50+P928*('계산 과정'!$C$32-D928))+'계산 과정'!$D$48*(E928-'계산 과정'!$D$50+P928*('계산 과정'!$D$32-E928))+'계산 과정'!$E$48*(0-'계산 과정'!$E$50+P928*('계산 과정'!$E$32-0)),"")</x:f>
      </x:c>
      <x:c r="S928" s="17" t="n">
        <x:f>IF('계산 과정'!$C$78,IF(AND(ISNUMBER(Q928),ISNUMBER(R928),ABS(Q928-'계산 과정'!$C$88)&lt;='계산 과정'!$D$23/2,ABS(R928-'계산 과정'!$C$89)&lt;='계산 과정'!$D$24/2),1,0),"")</x:f>
        <x:v>0</x:v>
      </x:c>
      <x:c r="T928" s="4"/>
      <x:c r="U928" s="4"/>
      <x:c r="V928" s="4"/>
      <x:c r="W928" s="4"/>
      <x:c r="X928" s="4"/>
      <x:c r="Y928" s="4"/>
      <x:c r="Z928" s="4"/>
    </x:row>
    <x:row r="929" ht="23" customHeight="1">
      <x:c r="A929" s="17" t="n">
        <x:f>ROW()-6</x:f>
        <x:v>923</x:v>
      </x:c>
      <x:c r="B929" s="4" t="n">
        <x:f>IF('계산 과정'!$L$5,'계산 과정'!$L$11*SQRT((A929+0.5)/'계산 과정'!$L$30),"")</x:f>
        <x:v>100.7267294388014</x:v>
      </x:c>
      <x:c r="C929" s="4" t="n">
        <x:f>A929*PI()*(3-SQRT(5))</x:f>
        <x:v>2215.1660610395465</x:v>
      </x:c>
      <x:c r="D929" s="4" t="n">
        <x:f>IF('계산 과정'!$L$5,B929*COS(C929),"")</x:f>
        <x:v>-94.85125206484524</x:v>
      </x:c>
      <x:c r="E929" s="4" t="n">
        <x:f>IF('계산 과정'!$L$5,B929*SIN(C929),"")</x:f>
        <x:v>-33.89858411746267</x:v>
      </x:c>
      <x:c r="F929" s="4" t="n">
        <x:f>IF('계산 과정'!$L$7,'계산 과정'!$L$22+'계산 과정'!$C$49*D929+'계산 과정'!$D$49*E929,"")</x:f>
        <x:v>717.0699635390865</x:v>
      </x:c>
      <x:c r="G929" s="4" t="n">
        <x:f>IF('계산 과정'!$L$7,IF(ABS(F929)&gt;=1E-12*MAX(1,SQRT((D929-'계산 과정'!$C$33)^2+(E929-'계산 과정'!$D$33)^2+'계산 과정'!$E$33^2)),('계산 과정'!$L$23-'계산 과정'!$C$49*D929-'계산 과정'!$D$49*E929)/F929,""),"")</x:f>
        <x:v>0.46429226350207575</x:v>
      </x:c>
      <x:c r="H929" s="4" t="n">
        <x:f>IF(AND(ISNUMBER(G929),G929&gt;0),('계산 과정'!$D$56+'계산 과정'!$D$57*D929+'계산 과정'!$D$58*E929)/F929,"")</x:f>
        <x:v>-98.21002872365094</x:v>
      </x:c>
      <x:c r="I929" s="4" t="n">
        <x:f>IF(AND(ISNUMBER(G929),G929&gt;0),('계산 과정'!$E$56+'계산 과정'!$E$57*D929+'계산 과정'!$E$58*E929)/F929,"")</x:f>
        <x:v>-49.63743446687492</x:v>
      </x:c>
      <x:c r="J929" s="4" t="n">
        <x:f>IF('계산 과정'!$L$5,'계산 과정'!$D$6+'계산 과정'!$C$35*D929+'계산 과정'!$D$35*E929,"")</x:f>
        <x:v>717.0699635390865</x:v>
      </x:c>
      <x:c r="K929" s="4" t="n">
        <x:f>IF(AND('계산 과정'!$L$6,J929&gt;0),'계산 과정'!$D$10*('계산 과정'!$C$38*(D929-'계산 과정'!$C$32)+'계산 과정'!$D$38*(E929-'계산 과정'!$D$32)-'계산 과정'!$E$38*'계산 과정'!$E$32)/J929,"")</x:f>
        <x:v>-0.7482668855135293</x:v>
      </x:c>
      <x:c r="L929" s="4" t="n">
        <x:f>IF(AND('계산 과정'!$L$6,J929&gt;0),'계산 과정'!$D$10*('계산 과정'!$C$39*(D929-'계산 과정'!$C$32)+'계산 과정'!$D$39*(E929-'계산 과정'!$D$32)-'계산 과정'!$E$39*'계산 과정'!$E$32)/J929,"")</x:f>
        <x:v>-0.3781899768904756</x:v>
      </x:c>
      <x:c r="M929" s="17" t="n">
        <x:f>IF('계산 과정'!$L$6,IF(J929&lt;=0,0,IF(AND(ABS(K929)&lt;='계산 과정'!$D$11/2,ABS(L929)&lt;='계산 과정'!$D$12/2),1,0)),"")</x:f>
        <x:v>1</x:v>
      </x:c>
      <x:c r="N929" s="17" t="n">
        <x:f>IF('계산 과정'!$C$78,IF(AND(ISNUMBER(H929),ISNUMBER(I929),ABS(H929-'계산 과정'!$C$88)&lt;='계산 과정'!$D$23/2,ABS(I929-'계산 과정'!$C$89)&lt;='계산 과정'!$D$24/2),1,0),"")</x:f>
        <x:v>1</x:v>
      </x:c>
      <x:c r="O929" s="4" t="n">
        <x:f>IF('계산 과정'!$L$7,'계산 과정'!$C$49*('계산 과정'!$C$32-D929)+'계산 과정'!$D$49*('계산 과정'!$D$32-E929)+'계산 과정'!$E$49*'계산 과정'!$E$32,"")</x:f>
        <x:v>-67.06996353908642</x:v>
      </x:c>
      <x:c r="P929" s="4" t="n">
        <x:f>IF(AND('계산 과정'!$L$7,O929&lt;&gt;0),('계산 과정'!$L$23-'계산 과정'!$C$49*D929-'계산 과정'!$D$49*E929)/O929,"")</x:f>
        <x:v>-4.963921536454862</x:v>
      </x:c>
      <x:c r="Q929" s="4" t="str">
        <x:f>IF(AND(ISNUMBER(P929),P929&gt;1E-9,P929&lt;1-1E-9),'계산 과정'!$C$47*(D929-'계산 과정'!$C$50+P929*('계산 과정'!$C$32-D929))+'계산 과정'!$D$47*(E929-'계산 과정'!$D$50+P929*('계산 과정'!$D$32-E929))+'계산 과정'!$E$47*(0-'계산 과정'!$E$50+P929*('계산 과정'!$E$32-0)),"")</x:f>
      </x:c>
      <x:c r="R929" s="4" t="str">
        <x:f>IF(AND(ISNUMBER(P929),P929&gt;1E-9,P929&lt;1-1E-9),'계산 과정'!$C$48*(D929-'계산 과정'!$C$50+P929*('계산 과정'!$C$32-D929))+'계산 과정'!$D$48*(E929-'계산 과정'!$D$50+P929*('계산 과정'!$D$32-E929))+'계산 과정'!$E$48*(0-'계산 과정'!$E$50+P929*('계산 과정'!$E$32-0)),"")</x:f>
      </x:c>
      <x:c r="S929" s="17" t="n">
        <x:f>IF('계산 과정'!$C$78,IF(AND(ISNUMBER(Q929),ISNUMBER(R929),ABS(Q929-'계산 과정'!$C$88)&lt;='계산 과정'!$D$23/2,ABS(R929-'계산 과정'!$C$89)&lt;='계산 과정'!$D$24/2),1,0),"")</x:f>
        <x:v>0</x:v>
      </x:c>
      <x:c r="T929" s="4"/>
      <x:c r="U929" s="4"/>
      <x:c r="V929" s="4"/>
      <x:c r="W929" s="4"/>
      <x:c r="X929" s="4"/>
      <x:c r="Y929" s="4"/>
      <x:c r="Z929" s="4"/>
    </x:row>
    <x:row r="930" ht="23" customHeight="1">
      <x:c r="A930" s="17" t="n">
        <x:f>ROW()-6</x:f>
        <x:v>924</x:v>
      </x:c>
      <x:c r="B930" s="4" t="n">
        <x:f>IF('계산 과정'!$L$5,'계산 과정'!$L$11*SQRT((A930+0.5)/'계산 과정'!$L$30),"")</x:f>
        <x:v>100.78125</x:v>
      </x:c>
      <x:c r="C930" s="4" t="n">
        <x:f>A930*PI()*(3-SQRT(5))</x:f>
        <x:v>2217.566024269275</x:v>
      </x:c>
      <x:c r="D930" s="4" t="n">
        <x:f>IF('계산 과정'!$L$5,B930*COS(C930),"")</x:f>
        <x:v>92.88877677718745</x:v>
      </x:c>
      <x:c r="E930" s="4" t="n">
        <x:f>IF('계산 과정'!$L$5,B930*SIN(C930),"")</x:f>
        <x:v>-39.09648961736007</x:v>
      </x:c>
      <x:c r="F930" s="4" t="n">
        <x:f>IF('계산 과정'!$L$7,'계산 과정'!$L$22+'계산 과정'!$C$49*D930+'계산 과정'!$D$49*E930,"")</x:f>
        <x:v>584.3177160447273</x:v>
      </x:c>
      <x:c r="G930" s="4" t="n">
        <x:f>IF('계산 과정'!$L$7,IF(ABS(F930)&gt;=1E-12*MAX(1,SQRT((D930-'계산 과정'!$C$33)^2+(E930-'계산 과정'!$D$33)^2+'계산 과정'!$E$33^2)),('계산 과정'!$L$23-'계산 과정'!$C$49*D930-'계산 과정'!$D$49*E930)/F930,""),"")</x:f>
        <x:v>0.7969675934310138</x:v>
      </x:c>
      <x:c r="H930" s="4" t="n">
        <x:f>IF(AND(ISNUMBER(G930),G930&gt;0),('계산 과정'!$D$56+'계산 과정'!$D$57*D930+'계산 과정'!$D$58*E930)/F930,"")</x:f>
        <x:v>118.02893573015885</x:v>
      </x:c>
      <x:c r="I930" s="4" t="n">
        <x:f>IF(AND(ISNUMBER(G930),G930&gt;0),('계산 과정'!$E$56+'계산 과정'!$E$57*D930+'계산 과정'!$E$58*E930)/F930,"")</x:f>
        <x:v>-70.25512485930814</x:v>
      </x:c>
      <x:c r="J930" s="4" t="n">
        <x:f>IF('계산 과정'!$L$5,'계산 과정'!$D$6+'계산 과정'!$C$35*D930+'계산 과정'!$D$35*E930,"")</x:f>
        <x:v>584.3177160447273</x:v>
      </x:c>
      <x:c r="K930" s="4" t="n">
        <x:f>IF(AND('계산 과정'!$L$6,J930&gt;0),'계산 과정'!$D$10*('계산 과정'!$C$38*(D930-'계산 과정'!$C$32)+'계산 과정'!$D$38*(E930-'계산 과정'!$D$32)-'계산 과정'!$E$38*'계산 과정'!$E$32)/J930,"")</x:f>
        <x:v>0.899268081753592</x:v>
      </x:c>
      <x:c r="L930" s="4" t="n">
        <x:f>IF(AND('계산 과정'!$L$6,J930&gt;0),'계산 과정'!$D$10*('계산 과정'!$C$39*(D930-'계산 과정'!$C$32)+'계산 과정'!$D$39*(E930-'계산 과정'!$D$32)-'계산 과정'!$E$39*'계산 과정'!$E$32)/J930,"")</x:f>
        <x:v>-0.5352771417852049</x:v>
      </x:c>
      <x:c r="M930" s="17" t="n">
        <x:f>IF('계산 과정'!$L$6,IF(J930&lt;=0,0,IF(AND(ABS(K930)&lt;='계산 과정'!$D$11/2,ABS(L930)&lt;='계산 과정'!$D$12/2),1,0)),"")</x:f>
        <x:v>1</x:v>
      </x:c>
      <x:c r="N930" s="17" t="n">
        <x:f>IF('계산 과정'!$C$78,IF(AND(ISNUMBER(H930),ISNUMBER(I930),ABS(H930-'계산 과정'!$C$88)&lt;='계산 과정'!$D$23/2,ABS(I930-'계산 과정'!$C$89)&lt;='계산 과정'!$D$24/2),1,0),"")</x:f>
        <x:v>1</x:v>
      </x:c>
      <x:c r="O930" s="4" t="n">
        <x:f>IF('계산 과정'!$L$7,'계산 과정'!$C$49*('계산 과정'!$C$32-D930)+'계산 과정'!$D$49*('계산 과정'!$D$32-E930)+'계산 과정'!$E$49*'계산 과정'!$E$32,"")</x:f>
        <x:v>65.68228395527285</x:v>
      </x:c>
      <x:c r="P930" s="4" t="n">
        <x:f>IF(AND('계산 과정'!$L$7,O930&lt;&gt;0),('계산 과정'!$L$23-'계산 과정'!$C$49*D930-'계산 과정'!$D$49*E930)/O930,"")</x:f>
        <x:v>7.0899222120897125</x:v>
      </x:c>
      <x:c r="Q930" s="4" t="str">
        <x:f>IF(AND(ISNUMBER(P930),P930&gt;1E-9,P930&lt;1-1E-9),'계산 과정'!$C$47*(D930-'계산 과정'!$C$50+P930*('계산 과정'!$C$32-D930))+'계산 과정'!$D$47*(E930-'계산 과정'!$D$50+P930*('계산 과정'!$D$32-E930))+'계산 과정'!$E$47*(0-'계산 과정'!$E$50+P930*('계산 과정'!$E$32-0)),"")</x:f>
      </x:c>
      <x:c r="R930" s="4" t="str">
        <x:f>IF(AND(ISNUMBER(P930),P930&gt;1E-9,P930&lt;1-1E-9),'계산 과정'!$C$48*(D930-'계산 과정'!$C$50+P930*('계산 과정'!$C$32-D930))+'계산 과정'!$D$48*(E930-'계산 과정'!$D$50+P930*('계산 과정'!$D$32-E930))+'계산 과정'!$E$48*(0-'계산 과정'!$E$50+P930*('계산 과정'!$E$32-0)),"")</x:f>
      </x:c>
      <x:c r="S930" s="17" t="n">
        <x:f>IF('계산 과정'!$C$78,IF(AND(ISNUMBER(Q930),ISNUMBER(R930),ABS(Q930-'계산 과정'!$C$88)&lt;='계산 과정'!$D$23/2,ABS(R930-'계산 과정'!$C$89)&lt;='계산 과정'!$D$24/2),1,0),"")</x:f>
        <x:v>0</x:v>
      </x:c>
      <x:c r="T930" s="4"/>
      <x:c r="U930" s="4"/>
      <x:c r="V930" s="4"/>
      <x:c r="W930" s="4"/>
      <x:c r="X930" s="4"/>
      <x:c r="Y930" s="4"/>
      <x:c r="Z930" s="4"/>
    </x:row>
    <x:row r="931" ht="23" customHeight="1">
      <x:c r="A931" s="17" t="n">
        <x:f>ROW()-6</x:f>
        <x:v>925</x:v>
      </x:c>
      <x:c r="B931" s="4" t="n">
        <x:f>IF('계산 과정'!$L$5,'계산 과정'!$L$11*SQRT((A931+0.5)/'계산 과정'!$L$30),"")</x:f>
        <x:v>100.83574108265135</x:v>
      </x:c>
      <x:c r="C931" s="4" t="n">
        <x:f>A931*PI()*(3-SQRT(5))</x:f>
        <x:v>2219.965987499004</x:v>
      </x:c>
      <x:c r="D931" s="4" t="n">
        <x:f>IF('계산 과정'!$L$5,B931*COS(C931),"")</x:f>
        <x:v>-42.1067480982798</x:v>
      </x:c>
      <x:c r="E931" s="4" t="n">
        <x:f>IF('계산 과정'!$L$5,B931*SIN(C931),"")</x:f>
        <x:v>91.62351469069233</x:v>
      </x:c>
      <x:c r="F931" s="4" t="n">
        <x:f>IF('계산 과정'!$L$7,'계산 과정'!$L$22+'계산 과정'!$C$49*D931+'계산 과정'!$D$49*E931,"")</x:f>
        <x:v>679.7739671140074</x:v>
      </x:c>
      <x:c r="G931" s="4" t="n">
        <x:f>IF('계산 과정'!$L$7,IF(ABS(F931)&gt;=1E-12*MAX(1,SQRT((D931-'계산 과정'!$C$33)^2+(E931-'계산 과정'!$D$33)^2+'계산 과정'!$E$33^2)),('계산 과정'!$L$23-'계산 과정'!$C$49*D931-'계산 과정'!$D$49*E931)/F931,""),"")</x:f>
        <x:v>0.5446310844438392</x:v>
      </x:c>
      <x:c r="H931" s="4" t="n">
        <x:f>IF(AND(ISNUMBER(G931),G931&gt;0),('계산 과정'!$D$56+'계산 과정'!$D$57*D931+'계산 과정'!$D$58*E931)/F931,"")</x:f>
        <x:v>-45.98979511150459</x:v>
      </x:c>
      <x:c r="I931" s="4" t="n">
        <x:f>IF(AND(ISNUMBER(G931),G931&gt;0),('계산 과정'!$E$56+'계산 과정'!$E$57*D931+'계산 과정'!$E$58*E931)/F931,"")</x:f>
        <x:v>141.52452885724014</x:v>
      </x:c>
      <x:c r="J931" s="4" t="n">
        <x:f>IF('계산 과정'!$L$5,'계산 과정'!$D$6+'계산 과정'!$C$35*D931+'계산 과정'!$D$35*E931,"")</x:f>
        <x:v>679.7739671140074</x:v>
      </x:c>
      <x:c r="K931" s="4" t="n">
        <x:f>IF(AND('계산 과정'!$L$6,J931&gt;0),'계산 과정'!$D$10*('계산 과정'!$C$38*(D931-'계산 과정'!$C$32)+'계산 과정'!$D$38*(E931-'계산 과정'!$D$32)-'계산 과정'!$E$38*'계산 과정'!$E$32)/J931,"")</x:f>
        <x:v>-0.35039843894479594</x:v>
      </x:c>
      <x:c r="L931" s="4" t="n">
        <x:f>IF(AND('계산 과정'!$L$6,J931&gt;0),'계산 과정'!$D$10*('계산 과정'!$C$39*(D931-'계산 과정'!$C$32)+'계산 과정'!$D$39*(E931-'계산 과정'!$D$32)-'계산 과정'!$E$39*'계산 과정'!$E$32)/J931,"")</x:f>
        <x:v>1.0782821246265915</x:v>
      </x:c>
      <x:c r="M931" s="17" t="n">
        <x:f>IF('계산 과정'!$L$6,IF(J931&lt;=0,0,IF(AND(ABS(K931)&lt;='계산 과정'!$D$11/2,ABS(L931)&lt;='계산 과정'!$D$12/2),1,0)),"")</x:f>
        <x:v>1</x:v>
      </x:c>
      <x:c r="N931" s="17" t="n">
        <x:f>IF('계산 과정'!$C$78,IF(AND(ISNUMBER(H931),ISNUMBER(I931),ABS(H931-'계산 과정'!$C$88)&lt;='계산 과정'!$D$23/2,ABS(I931-'계산 과정'!$C$89)&lt;='계산 과정'!$D$24/2),1,0),"")</x:f>
        <x:v>1</x:v>
      </x:c>
      <x:c r="O931" s="4" t="n">
        <x:f>IF('계산 과정'!$L$7,'계산 과정'!$C$49*('계산 과정'!$C$32-D931)+'계산 과정'!$D$49*('계산 과정'!$D$32-E931)+'계산 과정'!$E$49*'계산 과정'!$E$32,"")</x:f>
        <x:v>-29.77396711400729</x:v>
      </x:c>
      <x:c r="P931" s="4" t="n">
        <x:f>IF(AND('계산 과정'!$L$7,O931&lt;&gt;0),('계산 과정'!$L$23-'계산 과정'!$C$49*D931-'계산 과정'!$D$49*E931)/O931,"")</x:f>
        <x:v>-12.434555041602708</x:v>
      </x:c>
      <x:c r="Q931" s="4" t="str">
        <x:f>IF(AND(ISNUMBER(P931),P931&gt;1E-9,P931&lt;1-1E-9),'계산 과정'!$C$47*(D931-'계산 과정'!$C$50+P931*('계산 과정'!$C$32-D931))+'계산 과정'!$D$47*(E931-'계산 과정'!$D$50+P931*('계산 과정'!$D$32-E931))+'계산 과정'!$E$47*(0-'계산 과정'!$E$50+P931*('계산 과정'!$E$32-0)),"")</x:f>
      </x:c>
      <x:c r="R931" s="4" t="str">
        <x:f>IF(AND(ISNUMBER(P931),P931&gt;1E-9,P931&lt;1-1E-9),'계산 과정'!$C$48*(D931-'계산 과정'!$C$50+P931*('계산 과정'!$C$32-D931))+'계산 과정'!$D$48*(E931-'계산 과정'!$D$50+P931*('계산 과정'!$D$32-E931))+'계산 과정'!$E$48*(0-'계산 과정'!$E$50+P931*('계산 과정'!$E$32-0)),"")</x:f>
      </x:c>
      <x:c r="S931" s="17" t="n">
        <x:f>IF('계산 과정'!$C$78,IF(AND(ISNUMBER(Q931),ISNUMBER(R931),ABS(Q931-'계산 과정'!$C$88)&lt;='계산 과정'!$D$23/2,ABS(R931-'계산 과정'!$C$89)&lt;='계산 과정'!$D$24/2),1,0),"")</x:f>
        <x:v>0</x:v>
      </x:c>
      <x:c r="T931" s="4"/>
      <x:c r="U931" s="4"/>
      <x:c r="V931" s="4"/>
      <x:c r="W931" s="4"/>
      <x:c r="X931" s="4"/>
      <x:c r="Y931" s="4"/>
      <x:c r="Z931" s="4"/>
    </x:row>
    <x:row r="932" ht="23" customHeight="1">
      <x:c r="A932" s="17" t="n">
        <x:f>ROW()-6</x:f>
        <x:v>926</x:v>
      </x:c>
      <x:c r="B932" s="4" t="n">
        <x:f>IF('계산 과정'!$L$5,'계산 과정'!$L$11*SQRT((A932+0.5)/'계산 과정'!$L$30),"")</x:f>
        <x:v>100.89020273451978</x:v>
      </x:c>
      <x:c r="C932" s="4" t="n">
        <x:f>A932*PI()*(3-SQRT(5))</x:f>
        <x:v>2222.3659507287325</x:v>
      </x:c>
      <x:c r="D932" s="4" t="n">
        <x:f>IF('계산 과정'!$L$5,B932*COS(C932),"")</x:f>
        <x:v>-30.8592474594204</x:v>
      </x:c>
      <x:c r="E932" s="4" t="n">
        <x:f>IF('계산 과정'!$L$5,B932*SIN(C932),"")</x:f>
        <x:v>-96.05487938699812</x:v>
      </x:c>
      <x:c r="F932" s="4" t="n">
        <x:f>IF('계산 과정'!$L$7,'계산 과정'!$L$22+'계산 과정'!$C$49*D932+'계산 과정'!$D$49*E932,"")</x:f>
        <x:v>671.8207831408699</x:v>
      </x:c>
      <x:c r="G932" s="4" t="n">
        <x:f>IF('계산 과정'!$L$7,IF(ABS(F932)&gt;=1E-12*MAX(1,SQRT((D932-'계산 과정'!$C$33)^2+(E932-'계산 과정'!$D$33)^2+'계산 과정'!$E$33^2)),('계산 과정'!$L$23-'계산 과정'!$C$49*D932-'계산 과정'!$D$49*E932)/F932,""),"")</x:f>
        <x:v>0.5629168170283176</x:v>
      </x:c>
      <x:c r="H932" s="4" t="n">
        <x:f>IF(AND(ISNUMBER(G932),G932&gt;0),('계산 과정'!$D$56+'계산 과정'!$D$57*D932+'계산 과정'!$D$58*E932)/F932,"")</x:f>
        <x:v>-34.10406893159368</x:v>
      </x:c>
      <x:c r="I932" s="4" t="n">
        <x:f>IF(AND(ISNUMBER(G932),G932&gt;0),('계산 과정'!$E$56+'계산 과정'!$E$57*D932+'계산 과정'!$E$58*E932)/F932,"")</x:f>
        <x:v>-150.12578635156606</x:v>
      </x:c>
      <x:c r="J932" s="4" t="n">
        <x:f>IF('계산 과정'!$L$5,'계산 과정'!$D$6+'계산 과정'!$C$35*D932+'계산 과정'!$D$35*E932,"")</x:f>
        <x:v>671.8207831408699</x:v>
      </x:c>
      <x:c r="K932" s="4" t="n">
        <x:f>IF(AND('계산 과정'!$L$6,J932&gt;0),'계산 과정'!$D$10*('계산 과정'!$C$38*(D932-'계산 과정'!$C$32)+'계산 과정'!$D$38*(E932-'계산 과정'!$D$32)-'계산 과정'!$E$38*'계산 과정'!$E$32)/J932,"")</x:f>
        <x:v>-0.25984052519309353</x:v>
      </x:c>
      <x:c r="L932" s="4" t="n">
        <x:f>IF(AND('계산 과정'!$L$6,J932&gt;0),'계산 과정'!$D$10*('계산 과정'!$C$39*(D932-'계산 과정'!$C$32)+'계산 과정'!$D$39*(E932-'계산 과정'!$D$32)-'계산 과정'!$E$39*'계산 과정'!$E$32)/J932,"")</x:f>
        <x:v>-1.1438155150595508</x:v>
      </x:c>
      <x:c r="M932" s="17" t="n">
        <x:f>IF('계산 과정'!$L$6,IF(J932&lt;=0,0,IF(AND(ABS(K932)&lt;='계산 과정'!$D$11/2,ABS(L932)&lt;='계산 과정'!$D$12/2),1,0)),"")</x:f>
        <x:v>1</x:v>
      </x:c>
      <x:c r="N932" s="17" t="n">
        <x:f>IF('계산 과정'!$C$78,IF(AND(ISNUMBER(H932),ISNUMBER(I932),ABS(H932-'계산 과정'!$C$88)&lt;='계산 과정'!$D$23/2,ABS(I932-'계산 과정'!$C$89)&lt;='계산 과정'!$D$24/2),1,0),"")</x:f>
        <x:v>1</x:v>
      </x:c>
      <x:c r="O932" s="4" t="n">
        <x:f>IF('계산 과정'!$L$7,'계산 과정'!$C$49*('계산 과정'!$C$32-D932)+'계산 과정'!$D$49*('계산 과정'!$D$32-E932)+'계산 과정'!$E$49*'계산 과정'!$E$32,"")</x:f>
        <x:v>-21.820783140869764</x:v>
      </x:c>
      <x:c r="P932" s="4" t="n">
        <x:f>IF(AND('계산 과정'!$L$7,O932&lt;&gt;0),('계산 과정'!$L$23-'계산 과정'!$C$49*D932-'계산 과정'!$D$49*E932)/O932,"")</x:f>
        <x:v>-17.33114776026577</x:v>
      </x:c>
      <x:c r="Q932" s="4" t="str">
        <x:f>IF(AND(ISNUMBER(P932),P932&gt;1E-9,P932&lt;1-1E-9),'계산 과정'!$C$47*(D932-'계산 과정'!$C$50+P932*('계산 과정'!$C$32-D932))+'계산 과정'!$D$47*(E932-'계산 과정'!$D$50+P932*('계산 과정'!$D$32-E932))+'계산 과정'!$E$47*(0-'계산 과정'!$E$50+P932*('계산 과정'!$E$32-0)),"")</x:f>
      </x:c>
      <x:c r="R932" s="4" t="str">
        <x:f>IF(AND(ISNUMBER(P932),P932&gt;1E-9,P932&lt;1-1E-9),'계산 과정'!$C$48*(D932-'계산 과정'!$C$50+P932*('계산 과정'!$C$32-D932))+'계산 과정'!$D$48*(E932-'계산 과정'!$D$50+P932*('계산 과정'!$D$32-E932))+'계산 과정'!$E$48*(0-'계산 과정'!$E$50+P932*('계산 과정'!$E$32-0)),"")</x:f>
      </x:c>
      <x:c r="S932" s="17" t="n">
        <x:f>IF('계산 과정'!$C$78,IF(AND(ISNUMBER(Q932),ISNUMBER(R932),ABS(Q932-'계산 과정'!$C$88)&lt;='계산 과정'!$D$23/2,ABS(R932-'계산 과정'!$C$89)&lt;='계산 과정'!$D$24/2),1,0),"")</x:f>
        <x:v>0</x:v>
      </x:c>
      <x:c r="T932" s="4"/>
      <x:c r="U932" s="4"/>
      <x:c r="V932" s="4"/>
      <x:c r="W932" s="4"/>
      <x:c r="X932" s="4"/>
      <x:c r="Y932" s="4"/>
      <x:c r="Z932" s="4"/>
    </x:row>
    <x:row r="933" ht="23" customHeight="1">
      <x:c r="A933" s="17" t="n">
        <x:f>ROW()-6</x:f>
        <x:v>927</x:v>
      </x:c>
      <x:c r="B933" s="4" t="n">
        <x:f>IF('계산 과정'!$L$5,'계산 과정'!$L$11*SQRT((A933+0.5)/'계산 과정'!$L$30),"")</x:f>
        <x:v>100.94463500324076</x:v>
      </x:c>
      <x:c r="C933" s="4" t="n">
        <x:f>A933*PI()*(3-SQRT(5))</x:f>
        <x:v>2224.765913958461</x:v>
      </x:c>
      <x:c r="D933" s="4" t="n">
        <x:f>IF('계산 과정'!$L$5,B933*COS(C933),"")</x:f>
        <x:v>87.68607028677062</x:v>
      </x:c>
      <x:c r="E933" s="4" t="n">
        <x:f>IF('계산 과정'!$L$5,B933*SIN(C933),"")</x:f>
        <x:v>50.0097231906059</x:v>
      </x:c>
      <x:c r="F933" s="4" t="n">
        <x:f>IF('계산 과정'!$L$7,'계산 과정'!$L$22+'계산 과정'!$C$49*D933+'계산 과정'!$D$49*E933,"")</x:f>
        <x:v>587.9965850846243</x:v>
      </x:c>
      <x:c r="G933" s="4" t="n">
        <x:f>IF('계산 과정'!$L$7,IF(ABS(F933)&gt;=1E-12*MAX(1,SQRT((D933-'계산 과정'!$C$33)^2+(E933-'계산 과정'!$D$33)^2+'계산 과정'!$E$33^2)),('계산 과정'!$L$23-'계산 과정'!$C$49*D933-'계산 과정'!$D$49*E933)/F933,""),"")</x:f>
        <x:v>0.7857246566302496</x:v>
      </x:c>
      <x:c r="H933" s="4" t="n">
        <x:f>IF(AND(ISNUMBER(G933),G933&gt;0),('계산 과정'!$D$56+'계산 과정'!$D$57*D933+'계산 과정'!$D$58*E933)/F933,"")</x:f>
        <x:v>110.72102680966213</x:v>
      </x:c>
      <x:c r="I933" s="4" t="n">
        <x:f>IF(AND(ISNUMBER(G933),G933&gt;0),('계산 과정'!$E$56+'계산 과정'!$E$57*D933+'계산 과정'!$E$58*E933)/F933,"")</x:f>
        <x:v>89.30359577271854</x:v>
      </x:c>
      <x:c r="J933" s="4" t="n">
        <x:f>IF('계산 과정'!$L$5,'계산 과정'!$D$6+'계산 과정'!$C$35*D933+'계산 과정'!$D$35*E933,"")</x:f>
        <x:v>587.9965850846243</x:v>
      </x:c>
      <x:c r="K933" s="4" t="n">
        <x:f>IF(AND('계산 과정'!$L$6,J933&gt;0),'계산 과정'!$D$10*('계산 과정'!$C$38*(D933-'계산 과정'!$C$32)+'계산 과정'!$D$38*(E933-'계산 과정'!$D$32)-'계산 과정'!$E$38*'계산 과정'!$E$32)/J933,"")</x:f>
        <x:v>0.8435887756926648</x:v>
      </x:c>
      <x:c r="L933" s="4" t="n">
        <x:f>IF(AND('계산 과정'!$L$6,J933&gt;0),'계산 과정'!$D$10*('계산 과정'!$C$39*(D933-'계산 과정'!$C$32)+'계산 과정'!$D$39*(E933-'계산 과정'!$D$32)-'계산 과정'!$E$39*'계산 과정'!$E$32)/J933,"")</x:f>
        <x:v>0.6804083487445223</x:v>
      </x:c>
      <x:c r="M933" s="17" t="n">
        <x:f>IF('계산 과정'!$L$6,IF(J933&lt;=0,0,IF(AND(ABS(K933)&lt;='계산 과정'!$D$11/2,ABS(L933)&lt;='계산 과정'!$D$12/2),1,0)),"")</x:f>
        <x:v>1</x:v>
      </x:c>
      <x:c r="N933" s="17" t="n">
        <x:f>IF('계산 과정'!$C$78,IF(AND(ISNUMBER(H933),ISNUMBER(I933),ABS(H933-'계산 과정'!$C$88)&lt;='계산 과정'!$D$23/2,ABS(I933-'계산 과정'!$C$89)&lt;='계산 과정'!$D$24/2),1,0),"")</x:f>
        <x:v>1</x:v>
      </x:c>
      <x:c r="O933" s="4" t="n">
        <x:f>IF('계산 과정'!$L$7,'계산 과정'!$C$49*('계산 과정'!$C$32-D933)+'계산 과정'!$D$49*('계산 과정'!$D$32-E933)+'계산 과정'!$E$49*'계산 과정'!$E$32,"")</x:f>
        <x:v>62.0034149153758</x:v>
      </x:c>
      <x:c r="P933" s="4" t="n">
        <x:f>IF(AND('계산 과정'!$L$7,O933&lt;&gt;0),('계산 과정'!$L$23-'계산 과정'!$C$49*D933-'계산 과정'!$D$49*E933)/O933,"")</x:f>
        <x:v>7.4512575726019685</x:v>
      </x:c>
      <x:c r="Q933" s="4" t="str">
        <x:f>IF(AND(ISNUMBER(P933),P933&gt;1E-9,P933&lt;1-1E-9),'계산 과정'!$C$47*(D933-'계산 과정'!$C$50+P933*('계산 과정'!$C$32-D933))+'계산 과정'!$D$47*(E933-'계산 과정'!$D$50+P933*('계산 과정'!$D$32-E933))+'계산 과정'!$E$47*(0-'계산 과정'!$E$50+P933*('계산 과정'!$E$32-0)),"")</x:f>
      </x:c>
      <x:c r="R933" s="4" t="str">
        <x:f>IF(AND(ISNUMBER(P933),P933&gt;1E-9,P933&lt;1-1E-9),'계산 과정'!$C$48*(D933-'계산 과정'!$C$50+P933*('계산 과정'!$C$32-D933))+'계산 과정'!$D$48*(E933-'계산 과정'!$D$50+P933*('계산 과정'!$D$32-E933))+'계산 과정'!$E$48*(0-'계산 과정'!$E$50+P933*('계산 과정'!$E$32-0)),"")</x:f>
      </x:c>
      <x:c r="S933" s="17" t="n">
        <x:f>IF('계산 과정'!$C$78,IF(AND(ISNUMBER(Q933),ISNUMBER(R933),ABS(Q933-'계산 과정'!$C$88)&lt;='계산 과정'!$D$23/2,ABS(R933-'계산 과정'!$C$89)&lt;='계산 과정'!$D$24/2),1,0),"")</x:f>
        <x:v>0</x:v>
      </x:c>
      <x:c r="T933" s="4"/>
      <x:c r="U933" s="4"/>
      <x:c r="V933" s="4"/>
      <x:c r="W933" s="4"/>
      <x:c r="X933" s="4"/>
      <x:c r="Y933" s="4"/>
      <x:c r="Z933" s="4"/>
    </x:row>
    <x:row r="934" ht="23" customHeight="1">
      <x:c r="A934" s="17" t="n">
        <x:f>ROW()-6</x:f>
        <x:v>928</x:v>
      </x:c>
      <x:c r="B934" s="4" t="n">
        <x:f>IF('계산 과정'!$L$5,'계산 과정'!$L$11*SQRT((A934+0.5)/'계산 과정'!$L$30),"")</x:f>
        <x:v>100.99903793632144</x:v>
      </x:c>
      <x:c r="C934" s="4" t="n">
        <x:f>A934*PI()*(3-SQRT(5))</x:f>
        <x:v>2227.16587718819</x:v>
      </x:c>
      <x:c r="D934" s="4" t="n">
        <x:f>IF('계산 과정'!$L$5,B934*COS(C934),"")</x:f>
        <x:v>-98.49111394917156</x:v>
      </x:c>
      <x:c r="E934" s="4" t="n">
        <x:f>IF('계산 과정'!$L$5,B934*SIN(C934),"")</x:f>
        <x:v>22.367524161466825</x:v>
      </x:c>
      <x:c r="F934" s="4" t="n">
        <x:f>IF('계산 과정'!$L$7,'계산 과정'!$L$22+'계산 과정'!$C$49*D934+'계산 과정'!$D$49*E934,"")</x:f>
        <x:v>719.6437345600762</x:v>
      </x:c>
      <x:c r="G934" s="4" t="n">
        <x:f>IF('계산 과정'!$L$7,IF(ABS(F934)&gt;=1E-12*MAX(1,SQRT((D934-'계산 과정'!$C$33)^2+(E934-'계산 과정'!$D$33)^2+'계산 과정'!$E$33^2)),('계산 과정'!$L$23-'계산 과정'!$C$49*D934-'계산 과정'!$D$49*E934)/F934,""),"")</x:f>
        <x:v>0.4590552930220024</x:v>
      </x:c>
      <x:c r="H934" s="4" t="n">
        <x:f>IF(AND(ISNUMBER(G934),G934&gt;0),('계산 과정'!$D$56+'계산 과정'!$D$57*D934+'계산 과정'!$D$58*E934)/F934,"")</x:f>
        <x:v>-101.61405953569863</x:v>
      </x:c>
      <x:c r="I934" s="4" t="n">
        <x:f>IF(AND(ISNUMBER(G934),G934&gt;0),('계산 과정'!$E$56+'계산 과정'!$E$57*D934+'계산 과정'!$E$58*E934)/F934,"")</x:f>
        <x:v>32.63545451958569</x:v>
      </x:c>
      <x:c r="J934" s="4" t="n">
        <x:f>IF('계산 과정'!$L$5,'계산 과정'!$D$6+'계산 과정'!$C$35*D934+'계산 과정'!$D$35*E934,"")</x:f>
        <x:v>719.6437345600762</x:v>
      </x:c>
      <x:c r="K934" s="4" t="n">
        <x:f>IF(AND('계산 과정'!$L$6,J934&gt;0),'계산 과정'!$D$10*('계산 과정'!$C$38*(D934-'계산 과정'!$C$32)+'계산 과정'!$D$38*(E934-'계산 과정'!$D$32)-'계산 과정'!$E$38*'계산 과정'!$E$32)/J934,"")</x:f>
        <x:v>-0.7742023583672264</x:v>
      </x:c>
      <x:c r="L934" s="4" t="n">
        <x:f>IF(AND('계산 과정'!$L$6,J934&gt;0),'계산 과정'!$D$10*('계산 과정'!$C$39*(D934-'계산 과정'!$C$32)+'계산 과정'!$D$39*(E934-'계산 과정'!$D$32)-'계산 과정'!$E$39*'계산 과정'!$E$32)/J934,"")</x:f>
        <x:v>0.24865108205398626</x:v>
      </x:c>
      <x:c r="M934" s="17" t="n">
        <x:f>IF('계산 과정'!$L$6,IF(J934&lt;=0,0,IF(AND(ABS(K934)&lt;='계산 과정'!$D$11/2,ABS(L934)&lt;='계산 과정'!$D$12/2),1,0)),"")</x:f>
        <x:v>1</x:v>
      </x:c>
      <x:c r="N934" s="17" t="n">
        <x:f>IF('계산 과정'!$C$78,IF(AND(ISNUMBER(H934),ISNUMBER(I934),ABS(H934-'계산 과정'!$C$88)&lt;='계산 과정'!$D$23/2,ABS(I934-'계산 과정'!$C$89)&lt;='계산 과정'!$D$24/2),1,0),"")</x:f>
        <x:v>1</x:v>
      </x:c>
      <x:c r="O934" s="4" t="n">
        <x:f>IF('계산 과정'!$L$7,'계산 과정'!$C$49*('계산 과정'!$C$32-D934)+'계산 과정'!$D$49*('계산 과정'!$D$32-E934)+'계산 과정'!$E$49*'계산 과정'!$E$32,"")</x:f>
        <x:v>-69.64373456007604</x:v>
      </x:c>
      <x:c r="P934" s="4" t="n">
        <x:f>IF(AND('계산 과정'!$L$7,O934&lt;&gt;0),('계산 과정'!$L$23-'계산 과정'!$C$49*D934-'계산 과정'!$D$49*E934)/O934,"")</x:f>
        <x:v>-4.743517382097769</x:v>
      </x:c>
      <x:c r="Q934" s="4" t="str">
        <x:f>IF(AND(ISNUMBER(P934),P934&gt;1E-9,P934&lt;1-1E-9),'계산 과정'!$C$47*(D934-'계산 과정'!$C$50+P934*('계산 과정'!$C$32-D934))+'계산 과정'!$D$47*(E934-'계산 과정'!$D$50+P934*('계산 과정'!$D$32-E934))+'계산 과정'!$E$47*(0-'계산 과정'!$E$50+P934*('계산 과정'!$E$32-0)),"")</x:f>
      </x:c>
      <x:c r="R934" s="4" t="str">
        <x:f>IF(AND(ISNUMBER(P934),P934&gt;1E-9,P934&lt;1-1E-9),'계산 과정'!$C$48*(D934-'계산 과정'!$C$50+P934*('계산 과정'!$C$32-D934))+'계산 과정'!$D$48*(E934-'계산 과정'!$D$50+P934*('계산 과정'!$D$32-E934))+'계산 과정'!$E$48*(0-'계산 과정'!$E$50+P934*('계산 과정'!$E$32-0)),"")</x:f>
      </x:c>
      <x:c r="S934" s="17" t="n">
        <x:f>IF('계산 과정'!$C$78,IF(AND(ISNUMBER(Q934),ISNUMBER(R934),ABS(Q934-'계산 과정'!$C$88)&lt;='계산 과정'!$D$23/2,ABS(R934-'계산 과정'!$C$89)&lt;='계산 과정'!$D$24/2),1,0),"")</x:f>
        <x:v>0</x:v>
      </x:c>
      <x:c r="T934" s="4"/>
      <x:c r="U934" s="4"/>
      <x:c r="V934" s="4"/>
      <x:c r="W934" s="4"/>
      <x:c r="X934" s="4"/>
      <x:c r="Y934" s="4"/>
      <x:c r="Z934" s="4"/>
    </x:row>
    <x:row r="935" ht="23" customHeight="1">
      <x:c r="A935" s="17" t="n">
        <x:f>ROW()-6</x:f>
        <x:v>929</x:v>
      </x:c>
      <x:c r="B935" s="4" t="n">
        <x:f>IF('계산 과정'!$L$5,'계산 과정'!$L$11*SQRT((A935+0.5)/'계산 과정'!$L$30),"")</x:f>
        <x:v>101.05341158114108</x:v>
      </x:c>
      <x:c r="C935" s="4" t="n">
        <x:f>A935*PI()*(3-SQRT(5))</x:f>
        <x:v>2229.5658404179185</x:v>
      </x:c>
      <x:c r="D935" s="4" t="n">
        <x:f>IF('계산 과정'!$L$5,B935*COS(C935),"")</x:f>
        <x:v>57.546200506168965</x:v>
      </x:c>
      <x:c r="E935" s="4" t="n">
        <x:f>IF('계산 과정'!$L$5,B935*SIN(C935),"")</x:f>
        <x:v>-83.06760379047476</x:v>
      </x:c>
      <x:c r="F935" s="4" t="n">
        <x:f>IF('계산 과정'!$L$7,'계산 과정'!$L$22+'계산 과정'!$C$49*D935+'계산 과정'!$D$49*E935,"")</x:f>
        <x:v>609.3086913905672</x:v>
      </x:c>
      <x:c r="G935" s="4" t="n">
        <x:f>IF('계산 과정'!$L$7,IF(ABS(F935)&gt;=1E-12*MAX(1,SQRT((D935-'계산 과정'!$C$33)^2+(E935-'계산 과정'!$D$33)^2+'계산 과정'!$E$33^2)),('계산 과정'!$L$23-'계산 과정'!$C$49*D935-'계산 과정'!$D$49*E935)/F935,""),"")</x:f>
        <x:v>0.7232644385946391</x:v>
      </x:c>
      <x:c r="H935" s="4" t="n">
        <x:f>IF(AND(ISNUMBER(G935),G935&gt;0),('계산 과정'!$D$56+'계산 과정'!$D$57*D935+'계산 과정'!$D$58*E935)/F935,"")</x:f>
        <x:v>70.12188508651533</x:v>
      </x:c>
      <x:c r="I935" s="4" t="n">
        <x:f>IF(AND(ISNUMBER(G935),G935&gt;0),('계산 과정'!$E$56+'계산 과정'!$E$57*D935+'계산 과정'!$E$58*E935)/F935,"")</x:f>
        <x:v>-143.1474476113944</x:v>
      </x:c>
      <x:c r="J935" s="4" t="n">
        <x:f>IF('계산 과정'!$L$5,'계산 과정'!$D$6+'계산 과정'!$C$35*D935+'계산 과정'!$D$35*E935,"")</x:f>
        <x:v>609.3086913905672</x:v>
      </x:c>
      <x:c r="K935" s="4" t="n">
        <x:f>IF(AND('계산 과정'!$L$6,J935&gt;0),'계산 과정'!$D$10*('계산 과정'!$C$38*(D935-'계산 과정'!$C$32)+'계산 과정'!$D$38*(E935-'계산 과정'!$D$32)-'계산 과정'!$E$38*'계산 과정'!$E$32)/J935,"")</x:f>
        <x:v>0.5342619816115465</x:v>
      </x:c>
      <x:c r="L935" s="4" t="n">
        <x:f>IF(AND('계산 과정'!$L$6,J935&gt;0),'계산 과정'!$D$10*('계산 과정'!$C$39*(D935-'계산 과정'!$C$32)+'계산 과정'!$D$39*(E935-'계산 과정'!$D$32)-'계산 과정'!$E$39*'계산 과정'!$E$32)/J935,"")</x:f>
        <x:v>-1.0906472198963384</x:v>
      </x:c>
      <x:c r="M935" s="17" t="n">
        <x:f>IF('계산 과정'!$L$6,IF(J935&lt;=0,0,IF(AND(ABS(K935)&lt;='계산 과정'!$D$11/2,ABS(L935)&lt;='계산 과정'!$D$12/2),1,0)),"")</x:f>
        <x:v>1</x:v>
      </x:c>
      <x:c r="N935" s="17" t="n">
        <x:f>IF('계산 과정'!$C$78,IF(AND(ISNUMBER(H935),ISNUMBER(I935),ABS(H935-'계산 과정'!$C$88)&lt;='계산 과정'!$D$23/2,ABS(I935-'계산 과정'!$C$89)&lt;='계산 과정'!$D$24/2),1,0),"")</x:f>
        <x:v>1</x:v>
      </x:c>
      <x:c r="O935" s="4" t="n">
        <x:f>IF('계산 과정'!$L$7,'계산 과정'!$C$49*('계산 과정'!$C$32-D935)+'계산 과정'!$D$49*('계산 과정'!$D$32-E935)+'계산 과정'!$E$49*'계산 과정'!$E$32,"")</x:f>
        <x:v>40.69130860943295</x:v>
      </x:c>
      <x:c r="P935" s="4" t="n">
        <x:f>IF(AND('계산 과정'!$L$7,O935&lt;&gt;0),('계산 과정'!$L$23-'계산 과정'!$C$49*D935-'계산 과정'!$D$49*E935)/O935,"")</x:f>
        <x:v>10.830109024984095</x:v>
      </x:c>
      <x:c r="Q935" s="4" t="str">
        <x:f>IF(AND(ISNUMBER(P935),P935&gt;1E-9,P935&lt;1-1E-9),'계산 과정'!$C$47*(D935-'계산 과정'!$C$50+P935*('계산 과정'!$C$32-D935))+'계산 과정'!$D$47*(E935-'계산 과정'!$D$50+P935*('계산 과정'!$D$32-E935))+'계산 과정'!$E$47*(0-'계산 과정'!$E$50+P935*('계산 과정'!$E$32-0)),"")</x:f>
      </x:c>
      <x:c r="R935" s="4" t="str">
        <x:f>IF(AND(ISNUMBER(P935),P935&gt;1E-9,P935&lt;1-1E-9),'계산 과정'!$C$48*(D935-'계산 과정'!$C$50+P935*('계산 과정'!$C$32-D935))+'계산 과정'!$D$48*(E935-'계산 과정'!$D$50+P935*('계산 과정'!$D$32-E935))+'계산 과정'!$E$48*(0-'계산 과정'!$E$50+P935*('계산 과정'!$E$32-0)),"")</x:f>
      </x:c>
      <x:c r="S935" s="17" t="n">
        <x:f>IF('계산 과정'!$C$78,IF(AND(ISNUMBER(Q935),ISNUMBER(R935),ABS(Q935-'계산 과정'!$C$88)&lt;='계산 과정'!$D$23/2,ABS(R935-'계산 과정'!$C$89)&lt;='계산 과정'!$D$24/2),1,0),"")</x:f>
        <x:v>0</x:v>
      </x:c>
      <x:c r="T935" s="4"/>
      <x:c r="U935" s="4"/>
      <x:c r="V935" s="4"/>
      <x:c r="W935" s="4"/>
      <x:c r="X935" s="4"/>
      <x:c r="Y935" s="4"/>
      <x:c r="Z935" s="4"/>
    </x:row>
    <x:row r="936" ht="23" customHeight="1">
      <x:c r="A936" s="17" t="n">
        <x:f>ROW()-6</x:f>
        <x:v>930</x:v>
      </x:c>
      <x:c r="B936" s="4" t="n">
        <x:f>IF('계산 과정'!$L$5,'계산 과정'!$L$11*SQRT((A936+0.5)/'계산 과정'!$L$30),"")</x:f>
        <x:v>101.10775598495152</x:v>
      </x:c>
      <x:c r="C936" s="4" t="n">
        <x:f>A936*PI()*(3-SQRT(5))</x:f>
        <x:v>2231.965803647647</x:v>
      </x:c>
      <x:c r="D936" s="4" t="n">
        <x:f>IF('계산 과정'!$L$5,B936*COS(C936),"")</x:f>
        <x:v>13.685938877875671</x:v>
      </x:c>
      <x:c r="E936" s="4" t="n">
        <x:f>IF('계산 과정'!$L$5,B936*SIN(C936),"")</x:f>
        <x:v>100.1772099698507</x:v>
      </x:c>
      <x:c r="F936" s="4" t="n">
        <x:f>IF('계산 과정'!$L$7,'계산 과정'!$L$22+'계산 과정'!$C$49*D936+'계산 과정'!$D$49*E936,"")</x:f>
        <x:v>640.3225798125495</x:v>
      </x:c>
      <x:c r="G936" s="4" t="n">
        <x:f>IF('계산 과정'!$L$7,IF(ABS(F936)&gt;=1E-12*MAX(1,SQRT((D936-'계산 과정'!$C$33)^2+(E936-'계산 과정'!$D$33)^2+'계산 과정'!$E$33^2)),('계산 과정'!$L$23-'계산 과정'!$C$49*D936-'계산 과정'!$D$49*E936)/F936,""),"")</x:f>
        <x:v>0.6397984907972182</x:v>
      </x:c>
      <x:c r="H936" s="4" t="n">
        <x:f>IF(AND(ISNUMBER(G936),G936&gt;0),('계산 과정'!$D$56+'계산 과정'!$D$57*D936+'계산 과정'!$D$58*E936)/F936,"")</x:f>
        <x:v>15.869019018191743</x:v>
      </x:c>
      <x:c r="I936" s="4" t="n">
        <x:f>IF(AND(ISNUMBER(G936),G936&gt;0),('계산 과정'!$E$56+'계산 과정'!$E$57*D936+'계산 과정'!$E$58*E936)/F936,"")</x:f>
        <x:v>164.2704377208372</x:v>
      </x:c>
      <x:c r="J936" s="4" t="n">
        <x:f>IF('계산 과정'!$L$5,'계산 과정'!$D$6+'계산 과정'!$C$35*D936+'계산 과정'!$D$35*E936,"")</x:f>
        <x:v>640.3225798125495</x:v>
      </x:c>
      <x:c r="K936" s="4" t="n">
        <x:f>IF(AND('계산 과정'!$L$6,J936&gt;0),'계산 과정'!$D$10*('계산 과정'!$C$38*(D936-'계산 과정'!$C$32)+'계산 과정'!$D$38*(E936-'계산 과정'!$D$32)-'계산 과정'!$E$38*'계산 과정'!$E$32)/J936,"")</x:f>
        <x:v>0.12090681156717654</x:v>
      </x:c>
      <x:c r="L936" s="4" t="n">
        <x:f>IF(AND('계산 과정'!$L$6,J936&gt;0),'계산 과정'!$D$10*('계산 과정'!$C$39*(D936-'계산 과정'!$C$32)+'계산 과정'!$D$39*(E936-'계산 과정'!$D$32)-'계산 과정'!$E$39*'계산 과정'!$E$32)/J936,"")</x:f>
        <x:v>1.251584287396855</x:v>
      </x:c>
      <x:c r="M936" s="17" t="n">
        <x:f>IF('계산 과정'!$L$6,IF(J936&lt;=0,0,IF(AND(ABS(K936)&lt;='계산 과정'!$D$11/2,ABS(L936)&lt;='계산 과정'!$D$12/2),1,0)),"")</x:f>
        <x:v>1</x:v>
      </x:c>
      <x:c r="N936" s="17" t="n">
        <x:f>IF('계산 과정'!$C$78,IF(AND(ISNUMBER(H936),ISNUMBER(I936),ABS(H936-'계산 과정'!$C$88)&lt;='계산 과정'!$D$23/2,ABS(I936-'계산 과정'!$C$89)&lt;='계산 과정'!$D$24/2),1,0),"")</x:f>
        <x:v>1</x:v>
      </x:c>
      <x:c r="O936" s="4" t="n">
        <x:f>IF('계산 과정'!$L$7,'계산 과정'!$C$49*('계산 과정'!$C$32-D936)+'계산 과정'!$D$49*('계산 과정'!$D$32-E936)+'계산 과정'!$E$49*'계산 과정'!$E$32,"")</x:f>
        <x:v>9.677420187450593</x:v>
      </x:c>
      <x:c r="P936" s="4" t="n">
        <x:f>IF(AND('계산 과정'!$L$7,O936&lt;&gt;0),('계산 과정'!$L$23-'계산 과정'!$C$49*D936-'계산 과정'!$D$49*E936)/O936,"")</x:f>
        <x:v>42.33332977715576</x:v>
      </x:c>
      <x:c r="Q936" s="4" t="str">
        <x:f>IF(AND(ISNUMBER(P936),P936&gt;1E-9,P936&lt;1-1E-9),'계산 과정'!$C$47*(D936-'계산 과정'!$C$50+P936*('계산 과정'!$C$32-D936))+'계산 과정'!$D$47*(E936-'계산 과정'!$D$50+P936*('계산 과정'!$D$32-E936))+'계산 과정'!$E$47*(0-'계산 과정'!$E$50+P936*('계산 과정'!$E$32-0)),"")</x:f>
      </x:c>
      <x:c r="R936" s="4" t="str">
        <x:f>IF(AND(ISNUMBER(P936),P936&gt;1E-9,P936&lt;1-1E-9),'계산 과정'!$C$48*(D936-'계산 과정'!$C$50+P936*('계산 과정'!$C$32-D936))+'계산 과정'!$D$48*(E936-'계산 과정'!$D$50+P936*('계산 과정'!$D$32-E936))+'계산 과정'!$E$48*(0-'계산 과정'!$E$50+P936*('계산 과정'!$E$32-0)),"")</x:f>
      </x:c>
      <x:c r="S936" s="17" t="n">
        <x:f>IF('계산 과정'!$C$78,IF(AND(ISNUMBER(Q936),ISNUMBER(R936),ABS(Q936-'계산 과정'!$C$88)&lt;='계산 과정'!$D$23/2,ABS(R936-'계산 과정'!$C$89)&lt;='계산 과정'!$D$24/2),1,0),"")</x:f>
        <x:v>0</x:v>
      </x:c>
      <x:c r="T936" s="4"/>
      <x:c r="U936" s="4"/>
      <x:c r="V936" s="4"/>
      <x:c r="W936" s="4"/>
      <x:c r="X936" s="4"/>
      <x:c r="Y936" s="4"/>
      <x:c r="Z936" s="4"/>
    </x:row>
    <x:row r="937" ht="23" customHeight="1">
      <x:c r="A937" s="17" t="n">
        <x:f>ROW()-6</x:f>
        <x:v>931</x:v>
      </x:c>
      <x:c r="B937" s="4" t="n">
        <x:f>IF('계산 과정'!$L$5,'계산 과정'!$L$11*SQRT((A937+0.5)/'계산 과정'!$L$30),"")</x:f>
        <x:v>101.16207119487767</x:v>
      </x:c>
      <x:c r="C937" s="4" t="n">
        <x:f>A937*PI()*(3-SQRT(5))</x:f>
        <x:v>2234.365766877376</x:v>
      </x:c>
      <x:c r="D937" s="4" t="n">
        <x:f>IF('계산 과정'!$L$5,B937*COS(C937),"")</x:f>
        <x:v>-77.80209137463797</x:v>
      </x:c>
      <x:c r="E937" s="4" t="n">
        <x:f>IF('계산 과정'!$L$5,B937*SIN(C937),"")</x:f>
        <x:v>-64.65755351209928</x:v>
      </x:c>
      <x:c r="F937" s="4" t="n">
        <x:f>IF('계산 과정'!$L$7,'계산 과정'!$L$22+'계산 과정'!$C$49*D937+'계산 과정'!$D$49*E937,"")</x:f>
        <x:v>705.014386401502</x:v>
      </x:c>
      <x:c r="G937" s="4" t="n">
        <x:f>IF('계산 과정'!$L$7,IF(ABS(F937)&gt;=1E-12*MAX(1,SQRT((D937-'계산 과정'!$C$33)^2+(E937-'계산 과정'!$D$33)^2+'계산 과정'!$E$33^2)),('계산 과정'!$L$23-'계산 과정'!$C$49*D937-'계산 과정'!$D$49*E937)/F937,""),"")</x:f>
        <x:v>0.4893313104706357</x:v>
      </x:c>
      <x:c r="H937" s="4" t="n">
        <x:f>IF(AND(ISNUMBER(G937),G937&gt;0),('계산 과정'!$D$56+'계산 과정'!$D$57*D937+'계산 과정'!$D$58*E937)/F937,"")</x:f>
        <x:v>-81.93464819408688</x:v>
      </x:c>
      <x:c r="I937" s="4" t="n">
        <x:f>IF(AND(ISNUMBER(G937),G937&gt;0),('계산 과정'!$E$56+'계산 과정'!$E$57*D937+'계산 과정'!$E$58*E937)/F937,"")</x:f>
        <x:v>-96.29651890400008</x:v>
      </x:c>
      <x:c r="J937" s="4" t="n">
        <x:f>IF('계산 과정'!$L$5,'계산 과정'!$D$6+'계산 과정'!$C$35*D937+'계산 과정'!$D$35*E937,"")</x:f>
        <x:v>705.014386401502</x:v>
      </x:c>
      <x:c r="K937" s="4" t="n">
        <x:f>IF(AND('계산 과정'!$L$6,J937&gt;0),'계산 과정'!$D$10*('계산 과정'!$C$38*(D937-'계산 과정'!$C$32)+'계산 과정'!$D$38*(E937-'계산 과정'!$D$32)-'계산 과정'!$E$38*'계산 과정'!$E$32)/J937,"")</x:f>
        <x:v>-0.6242639862406608</x:v>
      </x:c>
      <x:c r="L937" s="4" t="n">
        <x:f>IF(AND('계산 과정'!$L$6,J937&gt;0),'계산 과정'!$D$10*('계산 과정'!$C$39*(D937-'계산 과정'!$C$32)+'계산 과정'!$D$39*(E937-'계산 과정'!$D$32)-'계산 과정'!$E$39*'계산 과정'!$E$32)/J937,"")</x:f>
        <x:v>-0.7336877630780958</x:v>
      </x:c>
      <x:c r="M937" s="17" t="n">
        <x:f>IF('계산 과정'!$L$6,IF(J937&lt;=0,0,IF(AND(ABS(K937)&lt;='계산 과정'!$D$11/2,ABS(L937)&lt;='계산 과정'!$D$12/2),1,0)),"")</x:f>
        <x:v>1</x:v>
      </x:c>
      <x:c r="N937" s="17" t="n">
        <x:f>IF('계산 과정'!$C$78,IF(AND(ISNUMBER(H937),ISNUMBER(I937),ABS(H937-'계산 과정'!$C$88)&lt;='계산 과정'!$D$23/2,ABS(I937-'계산 과정'!$C$89)&lt;='계산 과정'!$D$24/2),1,0),"")</x:f>
        <x:v>1</x:v>
      </x:c>
      <x:c r="O937" s="4" t="n">
        <x:f>IF('계산 과정'!$L$7,'계산 과정'!$C$49*('계산 과정'!$C$32-D937)+'계산 과정'!$D$49*('계산 과정'!$D$32-E937)+'계산 과정'!$E$49*'계산 과정'!$E$32,"")</x:f>
        <x:v>-55.01438640150178</x:v>
      </x:c>
      <x:c r="P937" s="4" t="n">
        <x:f>IF(AND('계산 과정'!$L$7,O937&lt;&gt;0),('계산 과정'!$L$23-'계산 과정'!$C$49*D937-'계산 과정'!$D$49*E937)/O937,"")</x:f>
        <x:v>-6.270825436109575</x:v>
      </x:c>
      <x:c r="Q937" s="4" t="str">
        <x:f>IF(AND(ISNUMBER(P937),P937&gt;1E-9,P937&lt;1-1E-9),'계산 과정'!$C$47*(D937-'계산 과정'!$C$50+P937*('계산 과정'!$C$32-D937))+'계산 과정'!$D$47*(E937-'계산 과정'!$D$50+P937*('계산 과정'!$D$32-E937))+'계산 과정'!$E$47*(0-'계산 과정'!$E$50+P937*('계산 과정'!$E$32-0)),"")</x:f>
      </x:c>
      <x:c r="R937" s="4" t="str">
        <x:f>IF(AND(ISNUMBER(P937),P937&gt;1E-9,P937&lt;1-1E-9),'계산 과정'!$C$48*(D937-'계산 과정'!$C$50+P937*('계산 과정'!$C$32-D937))+'계산 과정'!$D$48*(E937-'계산 과정'!$D$50+P937*('계산 과정'!$D$32-E937))+'계산 과정'!$E$48*(0-'계산 과정'!$E$50+P937*('계산 과정'!$E$32-0)),"")</x:f>
      </x:c>
      <x:c r="S937" s="17" t="n">
        <x:f>IF('계산 과정'!$C$78,IF(AND(ISNUMBER(Q937),ISNUMBER(R937),ABS(Q937-'계산 과정'!$C$88)&lt;='계산 과정'!$D$23/2,ABS(R937-'계산 과정'!$C$89)&lt;='계산 과정'!$D$24/2),1,0),"")</x:f>
        <x:v>0</x:v>
      </x:c>
      <x:c r="T937" s="4"/>
      <x:c r="U937" s="4"/>
      <x:c r="V937" s="4"/>
      <x:c r="W937" s="4"/>
      <x:c r="X937" s="4"/>
      <x:c r="Y937" s="4"/>
      <x:c r="Z937" s="4"/>
    </x:row>
    <x:row r="938" ht="23" customHeight="1">
      <x:c r="A938" s="17" t="n">
        <x:f>ROW()-6</x:f>
        <x:v>932</x:v>
      </x:c>
      <x:c r="B938" s="4" t="n">
        <x:f>IF('계산 과정'!$L$5,'계산 과정'!$L$11*SQRT((A938+0.5)/'계산 과정'!$L$30),"")</x:f>
        <x:v>101.21635725791805</x:v>
      </x:c>
      <x:c r="C938" s="4" t="n">
        <x:f>A938*PI()*(3-SQRT(5))</x:f>
        <x:v>2236.7657301071044</x:v>
      </x:c>
      <x:c r="D938" s="4" t="n">
        <x:f>IF('계산 과정'!$L$5,B938*COS(C938),"")</x:f>
        <x:v>101.09861358995333</x:v>
      </x:c>
      <x:c r="E938" s="4" t="n">
        <x:f>IF('계산 과정'!$L$5,B938*SIN(C938),"")</x:f>
        <x:v>-4.880707607694011</x:v>
      </x:c>
      <x:c r="F938" s="4" t="n">
        <x:f>IF('계산 과정'!$L$7,'계산 과정'!$L$22+'계산 과정'!$C$49*D938+'계산 과정'!$D$49*E938,"")</x:f>
        <x:v>578.5124847619855</x:v>
      </x:c>
      <x:c r="G938" s="4" t="n">
        <x:f>IF('계산 과정'!$L$7,IF(ABS(F938)&gt;=1E-12*MAX(1,SQRT((D938-'계산 과정'!$C$33)^2+(E938-'계산 과정'!$D$33)^2+'계산 과정'!$E$33^2)),('계산 과정'!$L$23-'계산 과정'!$C$49*D938-'계산 과정'!$D$49*E938)/F938,""),"")</x:f>
        <x:v>0.8149997236999927</x:v>
      </x:c>
      <x:c r="H938" s="4" t="n">
        <x:f>IF(AND(ISNUMBER(G938),G938&gt;0),('계산 과정'!$D$56+'계산 과정'!$D$57*D938+'계산 과정'!$D$58*E938)/F938,"")</x:f>
        <x:v>129.74982040499515</x:v>
      </x:c>
      <x:c r="I938" s="4" t="n">
        <x:f>IF(AND(ISNUMBER(G938),G938&gt;0),('계산 과정'!$E$56+'계산 과정'!$E$57*D938+'계산 과정'!$E$58*E938)/F938,"")</x:f>
        <x:v>-8.858482959425082</x:v>
      </x:c>
      <x:c r="J938" s="4" t="n">
        <x:f>IF('계산 과정'!$L$5,'계산 과정'!$D$6+'계산 과정'!$C$35*D938+'계산 과정'!$D$35*E938,"")</x:f>
        <x:v>578.5124847619855</x:v>
      </x:c>
      <x:c r="K938" s="4" t="n">
        <x:f>IF(AND('계산 과정'!$L$6,J938&gt;0),'계산 과정'!$D$10*('계산 과정'!$C$38*(D938-'계산 과정'!$C$32)+'계산 과정'!$D$38*(E938-'계산 과정'!$D$32)-'계산 과정'!$E$38*'계산 과정'!$E$32)/J938,"")</x:f>
        <x:v>0.9885700602285357</x:v>
      </x:c>
      <x:c r="L938" s="4" t="n">
        <x:f>IF(AND('계산 과정'!$L$6,J938&gt;0),'계산 과정'!$D$10*('계산 과정'!$C$39*(D938-'계산 과정'!$C$32)+'계산 과정'!$D$39*(E938-'계산 과정'!$D$32)-'계산 과정'!$E$39*'계산 과정'!$E$32)/J938,"")</x:f>
        <x:v>-0.06749320350038157</x:v>
      </x:c>
      <x:c r="M938" s="17" t="n">
        <x:f>IF('계산 과정'!$L$6,IF(J938&lt;=0,0,IF(AND(ABS(K938)&lt;='계산 과정'!$D$11/2,ABS(L938)&lt;='계산 과정'!$D$12/2),1,0)),"")</x:f>
        <x:v>1</x:v>
      </x:c>
      <x:c r="N938" s="17" t="n">
        <x:f>IF('계산 과정'!$C$78,IF(AND(ISNUMBER(H938),ISNUMBER(I938),ABS(H938-'계산 과정'!$C$88)&lt;='계산 과정'!$D$23/2,ABS(I938-'계산 과정'!$C$89)&lt;='계산 과정'!$D$24/2),1,0),"")</x:f>
        <x:v>1</x:v>
      </x:c>
      <x:c r="O938" s="4" t="n">
        <x:f>IF('계산 과정'!$L$7,'계산 과정'!$C$49*('계산 과정'!$C$32-D938)+'계산 과정'!$D$49*('계산 과정'!$D$32-E938)+'계산 과정'!$E$49*'계산 과정'!$E$32,"")</x:f>
        <x:v>71.48751523801457</x:v>
      </x:c>
      <x:c r="P938" s="4" t="n">
        <x:f>IF(AND('계산 과정'!$L$7,O938&lt;&gt;0),('계산 과정'!$L$23-'계산 과정'!$C$49*D938-'계산 과정'!$D$49*E938)/O938,"")</x:f>
        <x:v>6.595382615666768</x:v>
      </x:c>
      <x:c r="Q938" s="4" t="str">
        <x:f>IF(AND(ISNUMBER(P938),P938&gt;1E-9,P938&lt;1-1E-9),'계산 과정'!$C$47*(D938-'계산 과정'!$C$50+P938*('계산 과정'!$C$32-D938))+'계산 과정'!$D$47*(E938-'계산 과정'!$D$50+P938*('계산 과정'!$D$32-E938))+'계산 과정'!$E$47*(0-'계산 과정'!$E$50+P938*('계산 과정'!$E$32-0)),"")</x:f>
      </x:c>
      <x:c r="R938" s="4" t="str">
        <x:f>IF(AND(ISNUMBER(P938),P938&gt;1E-9,P938&lt;1-1E-9),'계산 과정'!$C$48*(D938-'계산 과정'!$C$50+P938*('계산 과정'!$C$32-D938))+'계산 과정'!$D$48*(E938-'계산 과정'!$D$50+P938*('계산 과정'!$D$32-E938))+'계산 과정'!$E$48*(0-'계산 과정'!$E$50+P938*('계산 과정'!$E$32-0)),"")</x:f>
      </x:c>
      <x:c r="S938" s="17" t="n">
        <x:f>IF('계산 과정'!$C$78,IF(AND(ISNUMBER(Q938),ISNUMBER(R938),ABS(Q938-'계산 과정'!$C$88)&lt;='계산 과정'!$D$23/2,ABS(R938-'계산 과정'!$C$89)&lt;='계산 과정'!$D$24/2),1,0),"")</x:f>
        <x:v>0</x:v>
      </x:c>
      <x:c r="T938" s="4"/>
      <x:c r="U938" s="4"/>
      <x:c r="V938" s="4"/>
      <x:c r="W938" s="4"/>
      <x:c r="X938" s="4"/>
      <x:c r="Y938" s="4"/>
      <x:c r="Z938" s="4"/>
    </x:row>
    <x:row r="939" ht="23" customHeight="1">
      <x:c r="A939" s="17" t="n">
        <x:f>ROW()-6</x:f>
        <x:v>933</x:v>
      </x:c>
      <x:c r="B939" s="4" t="n">
        <x:f>IF('계산 과정'!$L$5,'계산 과정'!$L$11*SQRT((A939+0.5)/'계산 과정'!$L$30),"")</x:f>
        <x:v>101.27061422094516</x:v>
      </x:c>
      <x:c r="C939" s="4" t="n">
        <x:f>A939*PI()*(3-SQRT(5))</x:f>
        <x:v>2239.165693336833</x:v>
      </x:c>
      <x:c r="D939" s="4" t="n">
        <x:f>IF('계산 과정'!$L$5,B939*COS(C939),"")</x:f>
        <x:v>-71.28829423047691</x:v>
      </x:c>
      <x:c r="E939" s="4" t="n">
        <x:f>IF('계산 과정'!$L$5,B939*SIN(C939),"")</x:f>
        <x:v>71.92855073193437</x:v>
      </x:c>
      <x:c r="F939" s="4" t="n">
        <x:f>IF('계산 과정'!$L$7,'계산 과정'!$L$22+'계산 과정'!$C$49*D939+'계산 과정'!$D$49*E939,"")</x:f>
        <x:v>700.408436269592</x:v>
      </x:c>
      <x:c r="G939" s="4" t="n">
        <x:f>IF('계산 과정'!$L$7,IF(ABS(F939)&gt;=1E-12*MAX(1,SQRT((D939-'계산 과정'!$C$33)^2+(E939-'계산 과정'!$D$33)^2+'계산 과정'!$E$33^2)),('계산 과정'!$L$23-'계산 과정'!$C$49*D939-'계산 과정'!$D$49*E939)/F939,""),"")</x:f>
        <x:v>0.499125289798548</x:v>
      </x:c>
      <x:c r="H939" s="4" t="n">
        <x:f>IF(AND(ISNUMBER(G939),G939&gt;0),('계산 과정'!$D$56+'계산 과정'!$D$57*D939+'계산 과정'!$D$58*E939)/F939,"")</x:f>
        <x:v>-75.56856163094395</x:v>
      </x:c>
      <x:c r="I939" s="4" t="n">
        <x:f>IF(AND(ISNUMBER(G939),G939&gt;0),('계산 과정'!$E$56+'계산 과정'!$E$57*D939+'계산 과정'!$E$58*E939)/F939,"")</x:f>
        <x:v>107.82990946080066</x:v>
      </x:c>
      <x:c r="J939" s="4" t="n">
        <x:f>IF('계산 과정'!$L$5,'계산 과정'!$D$6+'계산 과정'!$C$35*D939+'계산 과정'!$D$35*E939,"")</x:f>
        <x:v>700.408436269592</x:v>
      </x:c>
      <x:c r="K939" s="4" t="n">
        <x:f>IF(AND('계산 과정'!$L$6,J939&gt;0),'계산 과정'!$D$10*('계산 과정'!$C$38*(D939-'계산 과정'!$C$32)+'계산 과정'!$D$38*(E939-'계산 과정'!$D$32)-'계산 과정'!$E$38*'계산 과정'!$E$32)/J939,"")</x:f>
        <x:v>-0.5757604695690961</x:v>
      </x:c>
      <x:c r="L939" s="4" t="n">
        <x:f>IF(AND('계산 과정'!$L$6,J939&gt;0),'계산 과정'!$D$10*('계산 과정'!$C$39*(D939-'계산 과정'!$C$32)+'계산 과정'!$D$39*(E939-'계산 과정'!$D$32)-'계산 과정'!$E$39*'계산 과정'!$E$32)/J939,"")</x:f>
        <x:v>0.8215612149394337</x:v>
      </x:c>
      <x:c r="M939" s="17" t="n">
        <x:f>IF('계산 과정'!$L$6,IF(J939&lt;=0,0,IF(AND(ABS(K939)&lt;='계산 과정'!$D$11/2,ABS(L939)&lt;='계산 과정'!$D$12/2),1,0)),"")</x:f>
        <x:v>1</x:v>
      </x:c>
      <x:c r="N939" s="17" t="n">
        <x:f>IF('계산 과정'!$C$78,IF(AND(ISNUMBER(H939),ISNUMBER(I939),ABS(H939-'계산 과정'!$C$88)&lt;='계산 과정'!$D$23/2,ABS(I939-'계산 과정'!$C$89)&lt;='계산 과정'!$D$24/2),1,0),"")</x:f>
        <x:v>1</x:v>
      </x:c>
      <x:c r="O939" s="4" t="n">
        <x:f>IF('계산 과정'!$L$7,'계산 과정'!$C$49*('계산 과정'!$C$32-D939)+'계산 과정'!$D$49*('계산 과정'!$D$32-E939)+'계산 과정'!$E$49*'계산 과정'!$E$32,"")</x:f>
        <x:v>-50.40843626959196</x:v>
      </x:c>
      <x:c r="P939" s="4" t="n">
        <x:f>IF(AND('계산 과정'!$L$7,O939&lt;&gt;0),('계산 과정'!$L$23-'계산 과정'!$C$49*D939-'계산 과정'!$D$49*E939)/O939,"")</x:f>
        <x:v>-6.935179696127435</x:v>
      </x:c>
      <x:c r="Q939" s="4" t="str">
        <x:f>IF(AND(ISNUMBER(P939),P939&gt;1E-9,P939&lt;1-1E-9),'계산 과정'!$C$47*(D939-'계산 과정'!$C$50+P939*('계산 과정'!$C$32-D939))+'계산 과정'!$D$47*(E939-'계산 과정'!$D$50+P939*('계산 과정'!$D$32-E939))+'계산 과정'!$E$47*(0-'계산 과정'!$E$50+P939*('계산 과정'!$E$32-0)),"")</x:f>
      </x:c>
      <x:c r="R939" s="4" t="str">
        <x:f>IF(AND(ISNUMBER(P939),P939&gt;1E-9,P939&lt;1-1E-9),'계산 과정'!$C$48*(D939-'계산 과정'!$C$50+P939*('계산 과정'!$C$32-D939))+'계산 과정'!$D$48*(E939-'계산 과정'!$D$50+P939*('계산 과정'!$D$32-E939))+'계산 과정'!$E$48*(0-'계산 과정'!$E$50+P939*('계산 과정'!$E$32-0)),"")</x:f>
      </x:c>
      <x:c r="S939" s="17" t="n">
        <x:f>IF('계산 과정'!$C$78,IF(AND(ISNUMBER(Q939),ISNUMBER(R939),ABS(Q939-'계산 과정'!$C$88)&lt;='계산 과정'!$D$23/2,ABS(R939-'계산 과정'!$C$89)&lt;='계산 과정'!$D$24/2),1,0),"")</x:f>
        <x:v>0</x:v>
      </x:c>
      <x:c r="T939" s="4"/>
      <x:c r="U939" s="4"/>
      <x:c r="V939" s="4"/>
      <x:c r="W939" s="4"/>
      <x:c r="X939" s="4"/>
      <x:c r="Y939" s="4"/>
      <x:c r="Z939" s="4"/>
    </x:row>
    <x:row r="940" ht="23" customHeight="1">
      <x:c r="A940" s="17" t="n">
        <x:f>ROW()-6</x:f>
        <x:v>934</x:v>
      </x:c>
      <x:c r="B940" s="4" t="n">
        <x:f>IF('계산 과정'!$L$5,'계산 과정'!$L$11*SQRT((A940+0.5)/'계산 과정'!$L$30),"")</x:f>
        <x:v>101.32484213070603</x:v>
      </x:c>
      <x:c r="C940" s="4" t="n">
        <x:f>A940*PI()*(3-SQRT(5))</x:f>
        <x:v>2241.5656565665618</x:v>
      </x:c>
      <x:c r="D940" s="4" t="n">
        <x:f>IF('계산 과정'!$L$5,B940*COS(C940),"")</x:f>
        <x:v>3.9808621495330154</x:v>
      </x:c>
      <x:c r="E940" s="4" t="n">
        <x:f>IF('계산 과정'!$L$5,B940*SIN(C940),"")</x:f>
        <x:v>-101.24661164384177</x:v>
      </x:c>
      <x:c r="F940" s="4" t="n">
        <x:f>IF('계산 과정'!$L$7,'계산 과정'!$L$22+'계산 과정'!$C$49*D940+'계산 과정'!$D$49*E940,"")</x:f>
        <x:v>647.1851053790964</x:v>
      </x:c>
      <x:c r="G940" s="4" t="n">
        <x:f>IF('계산 과정'!$L$7,IF(ABS(F940)&gt;=1E-12*MAX(1,SQRT((D940-'계산 과정'!$C$33)^2+(E940-'계산 과정'!$D$33)^2+'계산 과정'!$E$33^2)),('계산 과정'!$L$23-'계산 과정'!$C$49*D940-'계산 과정'!$D$49*E940)/F940,""),"")</x:f>
        <x:v>0.6224106384292482</x:v>
      </x:c>
      <x:c r="H940" s="4" t="n">
        <x:f>IF(AND(ISNUMBER(G940),G940&gt;0),('계산 과정'!$D$56+'계산 과정'!$D$57*D940+'계산 과정'!$D$58*E940)/F940,"")</x:f>
        <x:v>4.566914979011237</x:v>
      </x:c>
      <x:c r="I940" s="4" t="n">
        <x:f>IF(AND(ISNUMBER(G940),G940&gt;0),('계산 과정'!$E$56+'계산 과정'!$E$57*D940+'계산 과정'!$E$58*E940)/F940,"")</x:f>
        <x:v>-164.26357983588346</x:v>
      </x:c>
      <x:c r="J940" s="4" t="n">
        <x:f>IF('계산 과정'!$L$5,'계산 과정'!$D$6+'계산 과정'!$C$35*D940+'계산 과정'!$D$35*E940,"")</x:f>
        <x:v>647.1851053790964</x:v>
      </x:c>
      <x:c r="K940" s="4" t="n">
        <x:f>IF(AND('계산 과정'!$L$6,J940&gt;0),'계산 과정'!$D$10*('계산 과정'!$C$38*(D940-'계산 과정'!$C$32)+'계산 과정'!$D$38*(E940-'계산 과정'!$D$32)-'계산 과정'!$E$38*'계산 과정'!$E$32)/J940,"")</x:f>
        <x:v>0.03479554269722941</x:v>
      </x:c>
      <x:c r="L940" s="4" t="n">
        <x:f>IF(AND('계산 과정'!$L$6,J940&gt;0),'계산 과정'!$D$10*('계산 과정'!$C$39*(D940-'계산 과정'!$C$32)+'계산 과정'!$D$39*(E940-'계산 과정'!$D$32)-'계산 과정'!$E$39*'계산 과정'!$E$32)/J940,"")</x:f>
        <x:v>-1.2515320368448264</x:v>
      </x:c>
      <x:c r="M940" s="17" t="n">
        <x:f>IF('계산 과정'!$L$6,IF(J940&lt;=0,0,IF(AND(ABS(K940)&lt;='계산 과정'!$D$11/2,ABS(L940)&lt;='계산 과정'!$D$12/2),1,0)),"")</x:f>
        <x:v>1</x:v>
      </x:c>
      <x:c r="N940" s="17" t="n">
        <x:f>IF('계산 과정'!$C$78,IF(AND(ISNUMBER(H940),ISNUMBER(I940),ABS(H940-'계산 과정'!$C$88)&lt;='계산 과정'!$D$23/2,ABS(I940-'계산 과정'!$C$89)&lt;='계산 과정'!$D$24/2),1,0),"")</x:f>
        <x:v>1</x:v>
      </x:c>
      <x:c r="O940" s="4" t="n">
        <x:f>IF('계산 과정'!$L$7,'계산 과정'!$C$49*('계산 과정'!$C$32-D940)+'계산 과정'!$D$49*('계산 과정'!$D$32-E940)+'계산 과정'!$E$49*'계산 과정'!$E$32,"")</x:f>
        <x:v>2.8148946209037717</x:v>
      </x:c>
      <x:c r="P940" s="4" t="n">
        <x:f>IF(AND('계산 과정'!$L$7,O940&lt;&gt;0),('계산 과정'!$L$23-'계산 과정'!$C$49*D940-'계산 과정'!$D$49*E940)/O940,"")</x:f>
        <x:v>143.101234280512</x:v>
      </x:c>
      <x:c r="Q940" s="4" t="str">
        <x:f>IF(AND(ISNUMBER(P940),P940&gt;1E-9,P940&lt;1-1E-9),'계산 과정'!$C$47*(D940-'계산 과정'!$C$50+P940*('계산 과정'!$C$32-D940))+'계산 과정'!$D$47*(E940-'계산 과정'!$D$50+P940*('계산 과정'!$D$32-E940))+'계산 과정'!$E$47*(0-'계산 과정'!$E$50+P940*('계산 과정'!$E$32-0)),"")</x:f>
      </x:c>
      <x:c r="R940" s="4" t="str">
        <x:f>IF(AND(ISNUMBER(P940),P940&gt;1E-9,P940&lt;1-1E-9),'계산 과정'!$C$48*(D940-'계산 과정'!$C$50+P940*('계산 과정'!$C$32-D940))+'계산 과정'!$D$48*(E940-'계산 과정'!$D$50+P940*('계산 과정'!$D$32-E940))+'계산 과정'!$E$48*(0-'계산 과정'!$E$50+P940*('계산 과정'!$E$32-0)),"")</x:f>
      </x:c>
      <x:c r="S940" s="17" t="n">
        <x:f>IF('계산 과정'!$C$78,IF(AND(ISNUMBER(Q940),ISNUMBER(R940),ABS(Q940-'계산 과정'!$C$88)&lt;='계산 과정'!$D$23/2,ABS(R940-'계산 과정'!$C$89)&lt;='계산 과정'!$D$24/2),1,0),"")</x:f>
        <x:v>0</x:v>
      </x:c>
      <x:c r="T940" s="4"/>
      <x:c r="U940" s="4"/>
      <x:c r="V940" s="4"/>
      <x:c r="W940" s="4"/>
      <x:c r="X940" s="4"/>
      <x:c r="Y940" s="4"/>
      <x:c r="Z940" s="4"/>
    </x:row>
    <x:row r="941" ht="23" customHeight="1">
      <x:c r="A941" s="17" t="n">
        <x:f>ROW()-6</x:f>
        <x:v>935</x:v>
      </x:c>
      <x:c r="B941" s="4" t="n">
        <x:f>IF('계산 과정'!$L$5,'계산 과정'!$L$11*SQRT((A941+0.5)/'계산 과정'!$L$30),"")</x:f>
        <x:v>101.37904103382266</x:v>
      </x:c>
      <x:c r="C941" s="4" t="n">
        <x:f>A941*PI()*(3-SQRT(5))</x:f>
        <x:v>2243.9656197962904</x:v>
      </x:c>
      <x:c r="D941" s="4" t="n">
        <x:f>IF('계산 과정'!$L$5,B941*COS(C941),"")</x:f>
        <x:v>65.49075206873512</x:v>
      </x:c>
      <x:c r="E941" s="4" t="n">
        <x:f>IF('계산 과정'!$L$5,B941*SIN(C941),"")</x:f>
        <x:v>77.38650628119197</x:v>
      </x:c>
      <x:c r="F941" s="4" t="n">
        <x:f>IF('계산 과정'!$L$7,'계산 과정'!$L$22+'계산 과정'!$C$49*D941+'계산 과정'!$D$49*E941,"")</x:f>
        <x:v>603.6910451071905</x:v>
      </x:c>
      <x:c r="G941" s="4" t="n">
        <x:f>IF('계산 과정'!$L$7,IF(ABS(F941)&gt;=1E-12*MAX(1,SQRT((D941-'계산 과정'!$C$33)^2+(E941-'계산 과정'!$D$33)^2+'계산 과정'!$E$33^2)),('계산 과정'!$L$23-'계산 과정'!$C$49*D941-'계산 과정'!$D$49*E941)/F941,""),"")</x:f>
        <x:v>0.7393002737245565</x:v>
      </x:c>
      <x:c r="H941" s="4" t="n">
        <x:f>IF(AND(ISNUMBER(G941),G941&gt;0),('계산 과정'!$D$56+'계산 과정'!$D$57*D941+'계산 과정'!$D$58*E941)/F941,"")</x:f>
        <x:v>80.54517792096165</x:v>
      </x:c>
      <x:c r="I941" s="4" t="n">
        <x:f>IF(AND(ISNUMBER(G941),G941&gt;0),('계산 과정'!$E$56+'계산 과정'!$E$57*D941+'계산 과정'!$E$58*E941)/F941,"")</x:f>
        <x:v>134.5983715574643</x:v>
      </x:c>
      <x:c r="J941" s="4" t="n">
        <x:f>IF('계산 과정'!$L$5,'계산 과정'!$D$6+'계산 과정'!$C$35*D941+'계산 과정'!$D$35*E941,"")</x:f>
        <x:v>603.6910451071905</x:v>
      </x:c>
      <x:c r="K941" s="4" t="n">
        <x:f>IF(AND('계산 과정'!$L$6,J941&gt;0),'계산 과정'!$D$10*('계산 과정'!$C$38*(D941-'계산 과정'!$C$32)+'계산 과정'!$D$38*(E941-'계산 과정'!$D$32)-'계산 과정'!$E$38*'계산 과정'!$E$32)/J941,"")</x:f>
        <x:v>0.6136775460644707</x:v>
      </x:c>
      <x:c r="L941" s="4" t="n">
        <x:f>IF(AND('계산 과정'!$L$6,J941&gt;0),'계산 과정'!$D$10*('계산 과정'!$C$39*(D941-'계산 과정'!$C$32)+'계산 과정'!$D$39*(E941-'계산 과정'!$D$32)-'계산 과정'!$E$39*'계산 과정'!$E$32)/J941,"")</x:f>
        <x:v>1.0255114023425853</x:v>
      </x:c>
      <x:c r="M941" s="17" t="n">
        <x:f>IF('계산 과정'!$L$6,IF(J941&lt;=0,0,IF(AND(ABS(K941)&lt;='계산 과정'!$D$11/2,ABS(L941)&lt;='계산 과정'!$D$12/2),1,0)),"")</x:f>
        <x:v>1</x:v>
      </x:c>
      <x:c r="N941" s="17" t="n">
        <x:f>IF('계산 과정'!$C$78,IF(AND(ISNUMBER(H941),ISNUMBER(I941),ABS(H941-'계산 과정'!$C$88)&lt;='계산 과정'!$D$23/2,ABS(I941-'계산 과정'!$C$89)&lt;='계산 과정'!$D$24/2),1,0),"")</x:f>
        <x:v>1</x:v>
      </x:c>
      <x:c r="O941" s="4" t="n">
        <x:f>IF('계산 과정'!$L$7,'계산 과정'!$C$49*('계산 과정'!$C$32-D941)+'계산 과정'!$D$49*('계산 과정'!$D$32-E941)+'계산 과정'!$E$49*'계산 과정'!$E$32,"")</x:f>
        <x:v>46.308954892809595</x:v>
      </x:c>
      <x:c r="P941" s="4" t="n">
        <x:f>IF(AND('계산 과정'!$L$7,O941&lt;&gt;0),('계산 과정'!$L$23-'계산 과정'!$C$49*D941-'계산 과정'!$D$49*E941)/O941,"")</x:f>
        <x:v>9.637638247848</x:v>
      </x:c>
      <x:c r="Q941" s="4" t="str">
        <x:f>IF(AND(ISNUMBER(P941),P941&gt;1E-9,P941&lt;1-1E-9),'계산 과정'!$C$47*(D941-'계산 과정'!$C$50+P941*('계산 과정'!$C$32-D941))+'계산 과정'!$D$47*(E941-'계산 과정'!$D$50+P941*('계산 과정'!$D$32-E941))+'계산 과정'!$E$47*(0-'계산 과정'!$E$50+P941*('계산 과정'!$E$32-0)),"")</x:f>
      </x:c>
      <x:c r="R941" s="4" t="str">
        <x:f>IF(AND(ISNUMBER(P941),P941&gt;1E-9,P941&lt;1-1E-9),'계산 과정'!$C$48*(D941-'계산 과정'!$C$50+P941*('계산 과정'!$C$32-D941))+'계산 과정'!$D$48*(E941-'계산 과정'!$D$50+P941*('계산 과정'!$D$32-E941))+'계산 과정'!$E$48*(0-'계산 과정'!$E$50+P941*('계산 과정'!$E$32-0)),"")</x:f>
      </x:c>
      <x:c r="S941" s="17" t="n">
        <x:f>IF('계산 과정'!$C$78,IF(AND(ISNUMBER(Q941),ISNUMBER(R941),ABS(Q941-'계산 과정'!$C$88)&lt;='계산 과정'!$D$23/2,ABS(R941-'계산 과정'!$C$89)&lt;='계산 과정'!$D$24/2),1,0),"")</x:f>
        <x:v>0</x:v>
      </x:c>
      <x:c r="T941" s="4"/>
      <x:c r="U941" s="4"/>
      <x:c r="V941" s="4"/>
      <x:c r="W941" s="4"/>
      <x:c r="X941" s="4"/>
      <x:c r="Y941" s="4"/>
      <x:c r="Z941" s="4"/>
    </x:row>
    <x:row r="942" ht="23" customHeight="1">
      <x:c r="A942" s="17" t="n">
        <x:f>ROW()-6</x:f>
        <x:v>936</x:v>
      </x:c>
      <x:c r="B942" s="4" t="n">
        <x:f>IF('계산 과정'!$L$5,'계산 과정'!$L$11*SQRT((A942+0.5)/'계산 과정'!$L$30),"")</x:f>
        <x:v>101.43321097679251</x:v>
      </x:c>
      <x:c r="C942" s="4" t="n">
        <x:f>A942*PI()*(3-SQRT(5))</x:f>
        <x:v>2246.365583026019</x:v>
      </x:c>
      <x:c r="D942" s="4" t="n">
        <x:f>IF('계산 과정'!$L$5,B942*COS(C942),"")</x:f>
        <x:v>-100.61841107998923</x:v>
      </x:c>
      <x:c r="E942" s="4" t="n">
        <x:f>IF('계산 과정'!$L$5,B942*SIN(C942),"")</x:f>
        <x:v>-12.830886204810703</x:v>
      </x:c>
      <x:c r="F942" s="4" t="n">
        <x:f>IF('계산 과정'!$L$7,'계산 과정'!$L$22+'계산 과정'!$C$49*D942+'계산 과정'!$D$49*E942,"")</x:f>
        <x:v>721.1479607868761</x:v>
      </x:c>
      <x:c r="G942" s="4" t="n">
        <x:f>IF('계산 과정'!$L$7,IF(ABS(F942)&gt;=1E-12*MAX(1,SQRT((D942-'계산 과정'!$C$33)^2+(E942-'계산 과정'!$D$33)^2+'계산 과정'!$E$33^2)),('계산 과정'!$L$23-'계산 과정'!$C$49*D942-'계산 과정'!$D$49*E942)/F942,""),"")</x:f>
        <x:v>0.45601188257441533</x:v>
      </x:c>
      <x:c r="H942" s="4" t="n">
        <x:f>IF(AND(ISNUMBER(G942),G942&gt;0),('계산 과정'!$D$56+'계산 과정'!$D$57*D942+'계산 과정'!$D$58*E942)/F942,"")</x:f>
        <x:v>-103.59227632663018</x:v>
      </x:c>
      <x:c r="I942" s="4" t="n">
        <x:f>IF(AND(ISNUMBER(G942),G942&gt;0),('계산 과정'!$E$56+'계산 과정'!$E$57*D942+'계산 과정'!$E$58*E942)/F942,"")</x:f>
        <x:v>-18.681922778164527</x:v>
      </x:c>
      <x:c r="J942" s="4" t="n">
        <x:f>IF('계산 과정'!$L$5,'계산 과정'!$D$6+'계산 과정'!$C$35*D942+'계산 과정'!$D$35*E942,"")</x:f>
        <x:v>721.1479607868761</x:v>
      </x:c>
      <x:c r="K942" s="4" t="n">
        <x:f>IF(AND('계산 과정'!$L$6,J942&gt;0),'계산 과정'!$D$10*('계산 과정'!$C$38*(D942-'계산 과정'!$C$32)+'계산 과정'!$D$38*(E942-'계산 과정'!$D$32)-'계산 과정'!$E$38*'계산 과정'!$E$32)/J942,"")</x:f>
        <x:v>-0.7892744862981335</x:v>
      </x:c>
      <x:c r="L942" s="4" t="n">
        <x:f>IF(AND('계산 과정'!$L$6,J942&gt;0),'계산 과정'!$D$10*('계산 과정'!$C$39*(D942-'계산 과정'!$C$32)+'계산 과정'!$D$39*(E942-'계산 과정'!$D$32)-'계산 과정'!$E$39*'계산 과정'!$E$32)/J942,"")</x:f>
        <x:v>-0.1423384592622059</x:v>
      </x:c>
      <x:c r="M942" s="17" t="n">
        <x:f>IF('계산 과정'!$L$6,IF(J942&lt;=0,0,IF(AND(ABS(K942)&lt;='계산 과정'!$D$11/2,ABS(L942)&lt;='계산 과정'!$D$12/2),1,0)),"")</x:f>
        <x:v>1</x:v>
      </x:c>
      <x:c r="N942" s="17" t="n">
        <x:f>IF('계산 과정'!$C$78,IF(AND(ISNUMBER(H942),ISNUMBER(I942),ABS(H942-'계산 과정'!$C$88)&lt;='계산 과정'!$D$23/2,ABS(I942-'계산 과정'!$C$89)&lt;='계산 과정'!$D$24/2),1,0),"")</x:f>
        <x:v>1</x:v>
      </x:c>
      <x:c r="O942" s="4" t="n">
        <x:f>IF('계산 과정'!$L$7,'계산 과정'!$C$49*('계산 과정'!$C$32-D942)+'계산 과정'!$D$49*('계산 과정'!$D$32-E942)+'계산 과정'!$E$49*'계산 과정'!$E$32,"")</x:f>
        <x:v>-71.1479607868759</x:v>
      </x:c>
      <x:c r="P942" s="4" t="n">
        <x:f>IF(AND('계산 과정'!$L$7,O942&lt;&gt;0),('계산 과정'!$L$23-'계산 과정'!$C$49*D942-'계산 과정'!$D$49*E942)/O942,"")</x:f>
        <x:v>-4.6220866427669245</x:v>
      </x:c>
      <x:c r="Q942" s="4" t="str">
        <x:f>IF(AND(ISNUMBER(P942),P942&gt;1E-9,P942&lt;1-1E-9),'계산 과정'!$C$47*(D942-'계산 과정'!$C$50+P942*('계산 과정'!$C$32-D942))+'계산 과정'!$D$47*(E942-'계산 과정'!$D$50+P942*('계산 과정'!$D$32-E942))+'계산 과정'!$E$47*(0-'계산 과정'!$E$50+P942*('계산 과정'!$E$32-0)),"")</x:f>
      </x:c>
      <x:c r="R942" s="4" t="str">
        <x:f>IF(AND(ISNUMBER(P942),P942&gt;1E-9,P942&lt;1-1E-9),'계산 과정'!$C$48*(D942-'계산 과정'!$C$50+P942*('계산 과정'!$C$32-D942))+'계산 과정'!$D$48*(E942-'계산 과정'!$D$50+P942*('계산 과정'!$D$32-E942))+'계산 과정'!$E$48*(0-'계산 과정'!$E$50+P942*('계산 과정'!$E$32-0)),"")</x:f>
      </x:c>
      <x:c r="S942" s="17" t="n">
        <x:f>IF('계산 과정'!$C$78,IF(AND(ISNUMBER(Q942),ISNUMBER(R942),ABS(Q942-'계산 과정'!$C$88)&lt;='계산 과정'!$D$23/2,ABS(R942-'계산 과정'!$C$89)&lt;='계산 과정'!$D$24/2),1,0),"")</x:f>
        <x:v>0</x:v>
      </x:c>
      <x:c r="T942" s="4"/>
      <x:c r="U942" s="4"/>
      <x:c r="V942" s="4"/>
      <x:c r="W942" s="4"/>
      <x:c r="X942" s="4"/>
      <x:c r="Y942" s="4"/>
      <x:c r="Z942" s="4"/>
    </x:row>
    <x:row r="943" ht="23" customHeight="1">
      <x:c r="A943" s="17" t="n">
        <x:f>ROW()-6</x:f>
        <x:v>937</x:v>
      </x:c>
      <x:c r="B943" s="4" t="n">
        <x:f>IF('계산 과정'!$L$5,'계산 과정'!$L$11*SQRT((A943+0.5)/'계산 과정'!$L$30),"")</x:f>
        <x:v>101.4873520059889</x:v>
      </x:c>
      <x:c r="C943" s="4" t="n">
        <x:f>A943*PI()*(3-SQRT(5))</x:f>
        <x:v>2248.7655462557477</x:v>
      </x:c>
      <x:c r="D943" s="4" t="n">
        <x:f>IF('계산 과정'!$L$5,B943*COS(C943),"")</x:f>
        <x:v>82.90425138805846</x:v>
      </x:c>
      <x:c r="E943" s="4" t="n">
        <x:f>IF('계산 과정'!$L$5,B943*SIN(C943),"")</x:f>
        <x:v>-58.53689194835258</x:v>
      </x:c>
      <x:c r="F943" s="4" t="n">
        <x:f>IF('계산 과정'!$L$7,'계산 과정'!$L$22+'계산 과정'!$C$49*D943+'계산 과정'!$D$49*E943,"")</x:f>
        <x:v>591.3778416543096</x:v>
      </x:c>
      <x:c r="G943" s="4" t="n">
        <x:f>IF('계산 과정'!$L$7,IF(ABS(F943)&gt;=1E-12*MAX(1,SQRT((D943-'계산 과정'!$C$33)^2+(E943-'계산 과정'!$D$33)^2+'계산 과정'!$E$33^2)),('계산 과정'!$L$23-'계산 과정'!$C$49*D943-'계산 과정'!$D$49*E943)/F943,""),"")</x:f>
        <x:v>0.7755146135721777</x:v>
      </x:c>
      <x:c r="H943" s="4" t="n">
        <x:f>IF(AND(ISNUMBER(G943),G943&gt;0),('계산 과정'!$D$56+'계산 과정'!$D$57*D943+'계산 과정'!$D$58*E943)/F943,"")</x:f>
        <x:v>104.08449882191537</x:v>
      </x:c>
      <x:c r="I943" s="4" t="n">
        <x:f>IF(AND(ISNUMBER(G943),G943&gt;0),('계산 과정'!$E$56+'계산 과정'!$E$57*D943+'계산 과정'!$E$58*E943)/F943,"")</x:f>
        <x:v>-103.93310708739556</x:v>
      </x:c>
      <x:c r="J943" s="4" t="n">
        <x:f>IF('계산 과정'!$L$5,'계산 과정'!$D$6+'계산 과정'!$C$35*D943+'계산 과정'!$D$35*E943,"")</x:f>
        <x:v>591.3778416543096</x:v>
      </x:c>
      <x:c r="K943" s="4" t="n">
        <x:f>IF(AND('계산 과정'!$L$6,J943&gt;0),'계산 과정'!$D$10*('계산 과정'!$C$38*(D943-'계산 과정'!$C$32)+'계산 과정'!$D$38*(E943-'계산 과정'!$D$32)-'계산 과정'!$E$38*'계산 과정'!$E$32)/J943,"")</x:f>
        <x:v>0.7930247529288803</x:v>
      </x:c>
      <x:c r="L943" s="4" t="n">
        <x:f>IF(AND('계산 과정'!$L$6,J943&gt;0),'계산 과정'!$D$10*('계산 과정'!$C$39*(D943-'계산 과정'!$C$32)+'계산 과정'!$D$39*(E943-'계산 과정'!$D$32)-'계산 과정'!$E$39*'계산 과정'!$E$32)/J943,"")</x:f>
        <x:v>-0.7918712920944424</x:v>
      </x:c>
      <x:c r="M943" s="17" t="n">
        <x:f>IF('계산 과정'!$L$6,IF(J943&lt;=0,0,IF(AND(ABS(K943)&lt;='계산 과정'!$D$11/2,ABS(L943)&lt;='계산 과정'!$D$12/2),1,0)),"")</x:f>
        <x:v>1</x:v>
      </x:c>
      <x:c r="N943" s="17" t="n">
        <x:f>IF('계산 과정'!$C$78,IF(AND(ISNUMBER(H943),ISNUMBER(I943),ABS(H943-'계산 과정'!$C$88)&lt;='계산 과정'!$D$23/2,ABS(I943-'계산 과정'!$C$89)&lt;='계산 과정'!$D$24/2),1,0),"")</x:f>
        <x:v>1</x:v>
      </x:c>
      <x:c r="O943" s="4" t="n">
        <x:f>IF('계산 과정'!$L$7,'계산 과정'!$C$49*('계산 과정'!$C$32-D943)+'계산 과정'!$D$49*('계산 과정'!$D$32-E943)+'계산 과정'!$E$49*'계산 과정'!$E$32,"")</x:f>
        <x:v>58.62215834569048</x:v>
      </x:c>
      <x:c r="P943" s="4" t="n">
        <x:f>IF(AND('계산 과정'!$L$7,O943&lt;&gt;0),('계산 과정'!$L$23-'계산 과정'!$C$49*D943-'계산 과정'!$D$49*E943)/O943,"")</x:f>
        <x:v>7.823358458438698</x:v>
      </x:c>
      <x:c r="Q943" s="4" t="str">
        <x:f>IF(AND(ISNUMBER(P943),P943&gt;1E-9,P943&lt;1-1E-9),'계산 과정'!$C$47*(D943-'계산 과정'!$C$50+P943*('계산 과정'!$C$32-D943))+'계산 과정'!$D$47*(E943-'계산 과정'!$D$50+P943*('계산 과정'!$D$32-E943))+'계산 과정'!$E$47*(0-'계산 과정'!$E$50+P943*('계산 과정'!$E$32-0)),"")</x:f>
      </x:c>
      <x:c r="R943" s="4" t="str">
        <x:f>IF(AND(ISNUMBER(P943),P943&gt;1E-9,P943&lt;1-1E-9),'계산 과정'!$C$48*(D943-'계산 과정'!$C$50+P943*('계산 과정'!$C$32-D943))+'계산 과정'!$D$48*(E943-'계산 과정'!$D$50+P943*('계산 과정'!$D$32-E943))+'계산 과정'!$E$48*(0-'계산 과정'!$E$50+P943*('계산 과정'!$E$32-0)),"")</x:f>
      </x:c>
      <x:c r="S943" s="17" t="n">
        <x:f>IF('계산 과정'!$C$78,IF(AND(ISNUMBER(Q943),ISNUMBER(R943),ABS(Q943-'계산 과정'!$C$88)&lt;='계산 과정'!$D$23/2,ABS(R943-'계산 과정'!$C$89)&lt;='계산 과정'!$D$24/2),1,0),"")</x:f>
        <x:v>0</x:v>
      </x:c>
      <x:c r="T943" s="4"/>
      <x:c r="U943" s="4"/>
      <x:c r="V943" s="4"/>
      <x:c r="W943" s="4"/>
      <x:c r="X943" s="4"/>
      <x:c r="Y943" s="4"/>
      <x:c r="Z943" s="4"/>
    </x:row>
    <x:row r="944" ht="23" customHeight="1">
      <x:c r="A944" s="17" t="n">
        <x:f>ROW()-6</x:f>
        <x:v>938</x:v>
      </x:c>
      <x:c r="B944" s="4" t="n">
        <x:f>IF('계산 과정'!$L$5,'계산 과정'!$L$11*SQRT((A944+0.5)/'계산 과정'!$L$30),"")</x:f>
        <x:v>101.54146416766157</x:v>
      </x:c>
      <x:c r="C944" s="4" t="n">
        <x:f>A944*PI()*(3-SQRT(5))</x:f>
        <x:v>2251.1655094854764</x:v>
      </x:c>
      <x:c r="D944" s="4" t="n">
        <x:f>IF('계산 과정'!$L$5,B944*COS(C944),"")</x:f>
        <x:v>-21.60142401764155</x:v>
      </x:c>
      <x:c r="E944" s="4" t="n">
        <x:f>IF('계산 과정'!$L$5,B944*SIN(C944),"")</x:f>
        <x:v>99.2171730383534</x:v>
      </x:c>
      <x:c r="F944" s="4" t="n">
        <x:f>IF('계산 과정'!$L$7,'계산 과정'!$L$22+'계산 과정'!$C$49*D944+'계산 과정'!$D$49*E944,"")</x:f>
        <x:v>665.2745134061603</x:v>
      </x:c>
      <x:c r="G944" s="4" t="n">
        <x:f>IF('계산 과정'!$L$7,IF(ABS(F944)&gt;=1E-12*MAX(1,SQRT((D944-'계산 과정'!$C$33)^2+(E944-'계산 과정'!$D$33)^2+'계산 과정'!$E$33^2)),('계산 과정'!$L$23-'계산 과정'!$C$49*D944-'계산 과정'!$D$49*E944)/F944,""),"")</x:f>
        <x:v>0.5782958445590699</x:v>
      </x:c>
      <x:c r="H944" s="4" t="n">
        <x:f>IF(AND(ISNUMBER(G944),G944&gt;0),('계산 과정'!$D$56+'계산 과정'!$D$57*D944+'계산 과정'!$D$58*E944)/F944,"")</x:f>
        <x:v>-24.107701036604716</x:v>
      </x:c>
      <x:c r="I944" s="4" t="n">
        <x:f>IF(AND(ISNUMBER(G944),G944&gt;0),('계산 과정'!$E$56+'계산 과정'!$E$57*D944+'계산 과정'!$E$58*E944)/F944,"")</x:f>
        <x:v>156.59405191533133</x:v>
      </x:c>
      <x:c r="J944" s="4" t="n">
        <x:f>IF('계산 과정'!$L$5,'계산 과정'!$D$6+'계산 과정'!$C$35*D944+'계산 과정'!$D$35*E944,"")</x:f>
        <x:v>665.2745134061603</x:v>
      </x:c>
      <x:c r="K944" s="4" t="n">
        <x:f>IF(AND('계산 과정'!$L$6,J944&gt;0),'계산 과정'!$D$10*('계산 과정'!$C$38*(D944-'계산 과정'!$C$32)+'계산 과정'!$D$38*(E944-'계산 과정'!$D$32)-'계산 과정'!$E$38*'계산 과정'!$E$32)/J944,"")</x:f>
        <x:v>-0.1836777221836539</x:v>
      </x:c>
      <x:c r="L944" s="4" t="n">
        <x:f>IF(AND('계산 과정'!$L$6,J944&gt;0),'계산 과정'!$D$10*('계산 과정'!$C$39*(D944-'계산 과정'!$C$32)+'계산 과정'!$D$39*(E944-'계산 과정'!$D$32)-'계산 과정'!$E$39*'계산 과정'!$E$32)/J944,"")</x:f>
        <x:v>1.1930975384025246</x:v>
      </x:c>
      <x:c r="M944" s="17" t="n">
        <x:f>IF('계산 과정'!$L$6,IF(J944&lt;=0,0,IF(AND(ABS(K944)&lt;='계산 과정'!$D$11/2,ABS(L944)&lt;='계산 과정'!$D$12/2),1,0)),"")</x:f>
        <x:v>1</x:v>
      </x:c>
      <x:c r="N944" s="17" t="n">
        <x:f>IF('계산 과정'!$C$78,IF(AND(ISNUMBER(H944),ISNUMBER(I944),ABS(H944-'계산 과정'!$C$88)&lt;='계산 과정'!$D$23/2,ABS(I944-'계산 과정'!$C$89)&lt;='계산 과정'!$D$24/2),1,0),"")</x:f>
        <x:v>1</x:v>
      </x:c>
      <x:c r="O944" s="4" t="n">
        <x:f>IF('계산 과정'!$L$7,'계산 과정'!$C$49*('계산 과정'!$C$32-D944)+'계산 과정'!$D$49*('계산 과정'!$D$32-E944)+'계산 과정'!$E$49*'계산 과정'!$E$32,"")</x:f>
        <x:v>-15.274513406160168</x:v>
      </x:c>
      <x:c r="P944" s="4" t="n">
        <x:f>IF(AND('계산 과정'!$L$7,O944&lt;&gt;0),('계산 과정'!$L$23-'계산 과정'!$C$49*D944-'계산 과정'!$D$49*E944)/O944,"")</x:f>
        <x:v>-25.187413593069422</x:v>
      </x:c>
      <x:c r="Q944" s="4" t="str">
        <x:f>IF(AND(ISNUMBER(P944),P944&gt;1E-9,P944&lt;1-1E-9),'계산 과정'!$C$47*(D944-'계산 과정'!$C$50+P944*('계산 과정'!$C$32-D944))+'계산 과정'!$D$47*(E944-'계산 과정'!$D$50+P944*('계산 과정'!$D$32-E944))+'계산 과정'!$E$47*(0-'계산 과정'!$E$50+P944*('계산 과정'!$E$32-0)),"")</x:f>
      </x:c>
      <x:c r="R944" s="4" t="str">
        <x:f>IF(AND(ISNUMBER(P944),P944&gt;1E-9,P944&lt;1-1E-9),'계산 과정'!$C$48*(D944-'계산 과정'!$C$50+P944*('계산 과정'!$C$32-D944))+'계산 과정'!$D$48*(E944-'계산 과정'!$D$50+P944*('계산 과정'!$D$32-E944))+'계산 과정'!$E$48*(0-'계산 과정'!$E$50+P944*('계산 과정'!$E$32-0)),"")</x:f>
      </x:c>
      <x:c r="S944" s="17" t="n">
        <x:f>IF('계산 과정'!$C$78,IF(AND(ISNUMBER(Q944),ISNUMBER(R944),ABS(Q944-'계산 과정'!$C$88)&lt;='계산 과정'!$D$23/2,ABS(R944-'계산 과정'!$C$89)&lt;='계산 과정'!$D$24/2),1,0),"")</x:f>
        <x:v>0</x:v>
      </x:c>
      <x:c r="T944" s="4"/>
      <x:c r="U944" s="4"/>
      <x:c r="V944" s="4"/>
      <x:c r="W944" s="4"/>
      <x:c r="X944" s="4"/>
      <x:c r="Y944" s="4"/>
      <x:c r="Z944" s="4"/>
    </x:row>
    <x:row r="945" ht="23" customHeight="1">
      <x:c r="A945" s="17" t="n">
        <x:f>ROW()-6</x:f>
        <x:v>939</x:v>
      </x:c>
      <x:c r="B945" s="4" t="n">
        <x:f>IF('계산 과정'!$L$5,'계산 과정'!$L$11*SQRT((A945+0.5)/'계산 과정'!$L$30),"")</x:f>
        <x:v>101.59554750793707</x:v>
      </x:c>
      <x:c r="C945" s="4" t="n">
        <x:f>A945*PI()*(3-SQRT(5))</x:f>
        <x:v>2253.565472715205</x:v>
      </x:c>
      <x:c r="D945" s="4" t="n">
        <x:f>IF('계산 과정'!$L$5,B945*COS(C945),"")</x:f>
        <x:v>-51.11923241402613</x:v>
      </x:c>
      <x:c r="E945" s="4" t="n">
        <x:f>IF('계산 과정'!$L$5,B945*SIN(C945),"")</x:f>
        <x:v>-87.79794616526219</x:v>
      </x:c>
      <x:c r="F945" s="4" t="n">
        <x:f>IF('계산 과정'!$L$7,'계산 과정'!$L$22+'계산 과정'!$C$49*D945+'계산 과정'!$D$49*E945,"")</x:f>
        <x:v>686.146755889009</x:v>
      </x:c>
      <x:c r="G945" s="4" t="n">
        <x:f>IF('계산 과정'!$L$7,IF(ABS(F945)&gt;=1E-12*MAX(1,SQRT((D945-'계산 과정'!$C$33)^2+(E945-'계산 과정'!$D$33)^2+'계산 과정'!$E$33^2)),('계산 과정'!$L$23-'계산 과정'!$C$49*D945-'계산 과정'!$D$49*E945)/F945,""),"")</x:f>
        <x:v>0.5302848712584277</x:v>
      </x:c>
      <x:c r="H945" s="4" t="n">
        <x:f>IF(AND(ISNUMBER(G945),G945&gt;0),('계산 과정'!$D$56+'계산 과정'!$D$57*D945+'계산 과정'!$D$58*E945)/F945,"")</x:f>
        <x:v>-55.31483368202214</x:v>
      </x:c>
      <x:c r="I945" s="4" t="n">
        <x:f>IF(AND(ISNUMBER(G945),G945&gt;0),('계산 과정'!$E$56+'계산 과정'!$E$57*D945+'계산 과정'!$E$58*E945)/F945,"")</x:f>
        <x:v>-134.3558687442626</x:v>
      </x:c>
      <x:c r="J945" s="4" t="n">
        <x:f>IF('계산 과정'!$L$5,'계산 과정'!$D$6+'계산 과정'!$C$35*D945+'계산 과정'!$D$35*E945,"")</x:f>
        <x:v>686.146755889009</x:v>
      </x:c>
      <x:c r="K945" s="4" t="n">
        <x:f>IF(AND('계산 과정'!$L$6,J945&gt;0),'계산 과정'!$D$10*('계산 과정'!$C$38*(D945-'계산 과정'!$C$32)+'계산 과정'!$D$38*(E945-'계산 과정'!$D$32)-'계산 과정'!$E$38*'계산 과정'!$E$32)/J945,"")</x:f>
        <x:v>-0.4214463518630244</x:v>
      </x:c>
      <x:c r="L945" s="4" t="n">
        <x:f>IF(AND('계산 과정'!$L$6,J945&gt;0),'계산 과정'!$D$10*('계산 과정'!$C$39*(D945-'계산 과정'!$C$32)+'계산 과정'!$D$39*(E945-'계산 과정'!$D$32)-'계산 과정'!$E$39*'계산 과정'!$E$32)/J945,"")</x:f>
        <x:v>-1.0236637618610485</x:v>
      </x:c>
      <x:c r="M945" s="17" t="n">
        <x:f>IF('계산 과정'!$L$6,IF(J945&lt;=0,0,IF(AND(ABS(K945)&lt;='계산 과정'!$D$11/2,ABS(L945)&lt;='계산 과정'!$D$12/2),1,0)),"")</x:f>
        <x:v>1</x:v>
      </x:c>
      <x:c r="N945" s="17" t="n">
        <x:f>IF('계산 과정'!$C$78,IF(AND(ISNUMBER(H945),ISNUMBER(I945),ABS(H945-'계산 과정'!$C$88)&lt;='계산 과정'!$D$23/2,ABS(I945-'계산 과정'!$C$89)&lt;='계산 과정'!$D$24/2),1,0),"")</x:f>
        <x:v>1</x:v>
      </x:c>
      <x:c r="O945" s="4" t="n">
        <x:f>IF('계산 과정'!$L$7,'계산 과정'!$C$49*('계산 과정'!$C$32-D945)+'계산 과정'!$D$49*('계산 과정'!$D$32-E945)+'계산 과정'!$E$49*'계산 과정'!$E$32,"")</x:f>
        <x:v>-36.14675588900889</x:v>
      </x:c>
      <x:c r="P945" s="4" t="n">
        <x:f>IF(AND('계산 과정'!$L$7,O945&lt;&gt;0),('계산 과정'!$L$23-'계산 과정'!$C$49*D945-'계산 과정'!$D$49*E945)/O945,"")</x:f>
        <x:v>-10.065999981526074</x:v>
      </x:c>
      <x:c r="Q945" s="4" t="str">
        <x:f>IF(AND(ISNUMBER(P945),P945&gt;1E-9,P945&lt;1-1E-9),'계산 과정'!$C$47*(D945-'계산 과정'!$C$50+P945*('계산 과정'!$C$32-D945))+'계산 과정'!$D$47*(E945-'계산 과정'!$D$50+P945*('계산 과정'!$D$32-E945))+'계산 과정'!$E$47*(0-'계산 과정'!$E$50+P945*('계산 과정'!$E$32-0)),"")</x:f>
      </x:c>
      <x:c r="R945" s="4" t="str">
        <x:f>IF(AND(ISNUMBER(P945),P945&gt;1E-9,P945&lt;1-1E-9),'계산 과정'!$C$48*(D945-'계산 과정'!$C$50+P945*('계산 과정'!$C$32-D945))+'계산 과정'!$D$48*(E945-'계산 과정'!$D$50+P945*('계산 과정'!$D$32-E945))+'계산 과정'!$E$48*(0-'계산 과정'!$E$50+P945*('계산 과정'!$E$32-0)),"")</x:f>
      </x:c>
      <x:c r="S945" s="17" t="n">
        <x:f>IF('계산 과정'!$C$78,IF(AND(ISNUMBER(Q945),ISNUMBER(R945),ABS(Q945-'계산 과정'!$C$88)&lt;='계산 과정'!$D$23/2,ABS(R945-'계산 과정'!$C$89)&lt;='계산 과정'!$D$24/2),1,0),"")</x:f>
        <x:v>0</x:v>
      </x:c>
      <x:c r="T945" s="4"/>
      <x:c r="U945" s="4"/>
      <x:c r="V945" s="4"/>
      <x:c r="W945" s="4"/>
      <x:c r="X945" s="4"/>
      <x:c r="Y945" s="4"/>
      <x:c r="Z945" s="4"/>
    </x:row>
    <x:row r="946" ht="23" customHeight="1">
      <x:c r="A946" s="17" t="n">
        <x:f>ROW()-6</x:f>
        <x:v>940</x:v>
      </x:c>
      <x:c r="B946" s="4" t="n">
        <x:f>IF('계산 과정'!$L$5,'계산 과정'!$L$11*SQRT((A946+0.5)/'계산 과정'!$L$30),"")</x:f>
        <x:v>101.64960207281925</x:v>
      </x:c>
      <x:c r="C946" s="4" t="n">
        <x:f>A946*PI()*(3-SQRT(5))</x:f>
        <x:v>2255.9654359449337</x:v>
      </x:c>
      <x:c r="D946" s="4" t="n">
        <x:f>IF('계산 과정'!$L$5,B946*COS(C946),"")</x:f>
        <x:v>97.05200122666457</x:v>
      </x:c>
      <x:c r="E946" s="4" t="n">
        <x:f>IF('계산 과정'!$L$5,B946*SIN(C946),"")</x:f>
        <x:v>30.22500057009095</x:v>
      </x:c>
      <x:c r="F946" s="4" t="n">
        <x:f>IF('계산 과정'!$L$7,'계산 과정'!$L$22+'계산 과정'!$C$49*D946+'계산 과정'!$D$49*E946,"")</x:f>
        <x:v>581.3738718049003</x:v>
      </x:c>
      <x:c r="G946" s="4" t="n">
        <x:f>IF('계산 과정'!$L$7,IF(ABS(F946)&gt;=1E-12*MAX(1,SQRT((D946-'계산 과정'!$C$33)^2+(E946-'계산 과정'!$D$33)^2+'계산 과정'!$E$33^2)),('계산 과정'!$L$23-'계산 과정'!$C$49*D946-'계산 과정'!$D$49*E946)/F946,""),"")</x:f>
        <x:v>0.806066716999561</x:v>
      </x:c>
      <x:c r="H946" s="4" t="n">
        <x:f>IF(AND(ISNUMBER(G946),G946&gt;0),('계산 과정'!$D$56+'계산 과정'!$D$57*D946+'계산 과정'!$D$58*E946)/F946,"")</x:f>
        <x:v>123.94336604971453</x:v>
      </x:c>
      <x:c r="I946" s="4" t="n">
        <x:f>IF(AND(ISNUMBER(G946),G946&gt;0),('계산 과정'!$E$56+'계산 과정'!$E$57*D946+'계산 과정'!$E$58*E946)/F946,"")</x:f>
        <x:v>54.588367550934024</x:v>
      </x:c>
      <x:c r="J946" s="4" t="n">
        <x:f>IF('계산 과정'!$L$5,'계산 과정'!$D$6+'계산 과정'!$C$35*D946+'계산 과정'!$D$35*E946,"")</x:f>
        <x:v>581.3738718049003</x:v>
      </x:c>
      <x:c r="K946" s="4" t="n">
        <x:f>IF(AND('계산 과정'!$L$6,J946&gt;0),'계산 과정'!$D$10*('계산 과정'!$C$38*(D946-'계산 과정'!$C$32)+'계산 과정'!$D$38*(E946-'계산 과정'!$D$32)-'계산 과정'!$E$38*'계산 과정'!$E$32)/J946,"")</x:f>
        <x:v>0.9443304079978263</x:v>
      </x:c>
      <x:c r="L946" s="4" t="n">
        <x:f>IF(AND('계산 과정'!$L$6,J946&gt;0),'계산 과정'!$D$10*('계산 과정'!$C$39*(D946-'계산 과정'!$C$32)+'계산 과정'!$D$39*(E946-'계산 과정'!$D$32)-'계산 과정'!$E$39*'계산 과정'!$E$32)/J946,"")</x:f>
        <x:v>0.4159113718166402</x:v>
      </x:c>
      <x:c r="M946" s="17" t="n">
        <x:f>IF('계산 과정'!$L$6,IF(J946&lt;=0,0,IF(AND(ABS(K946)&lt;='계산 과정'!$D$11/2,ABS(L946)&lt;='계산 과정'!$D$12/2),1,0)),"")</x:f>
        <x:v>1</x:v>
      </x:c>
      <x:c r="N946" s="17" t="n">
        <x:f>IF('계산 과정'!$C$78,IF(AND(ISNUMBER(H946),ISNUMBER(I946),ABS(H946-'계산 과정'!$C$88)&lt;='계산 과정'!$D$23/2,ABS(I946-'계산 과정'!$C$89)&lt;='계산 과정'!$D$24/2),1,0),"")</x:f>
        <x:v>1</x:v>
      </x:c>
      <x:c r="O946" s="4" t="n">
        <x:f>IF('계산 과정'!$L$7,'계산 과정'!$C$49*('계산 과정'!$C$32-D946)+'계산 과정'!$D$49*('계산 과정'!$D$32-E946)+'계산 과정'!$E$49*'계산 과정'!$E$32,"")</x:f>
        <x:v>68.62612819509974</x:v>
      </x:c>
      <x:c r="P946" s="4" t="n">
        <x:f>IF(AND('계산 과정'!$L$7,O946&lt;&gt;0),('계산 과정'!$L$23-'계산 과정'!$C$49*D946-'계산 과정'!$D$49*E946)/O946,"")</x:f>
        <x:v>6.828683775701657</x:v>
      </x:c>
      <x:c r="Q946" s="4" t="str">
        <x:f>IF(AND(ISNUMBER(P946),P946&gt;1E-9,P946&lt;1-1E-9),'계산 과정'!$C$47*(D946-'계산 과정'!$C$50+P946*('계산 과정'!$C$32-D946))+'계산 과정'!$D$47*(E946-'계산 과정'!$D$50+P946*('계산 과정'!$D$32-E946))+'계산 과정'!$E$47*(0-'계산 과정'!$E$50+P946*('계산 과정'!$E$32-0)),"")</x:f>
      </x:c>
      <x:c r="R946" s="4" t="str">
        <x:f>IF(AND(ISNUMBER(P946),P946&gt;1E-9,P946&lt;1-1E-9),'계산 과정'!$C$48*(D946-'계산 과정'!$C$50+P946*('계산 과정'!$C$32-D946))+'계산 과정'!$D$48*(E946-'계산 과정'!$D$50+P946*('계산 과정'!$D$32-E946))+'계산 과정'!$E$48*(0-'계산 과정'!$E$50+P946*('계산 과정'!$E$32-0)),"")</x:f>
      </x:c>
      <x:c r="S946" s="17" t="n">
        <x:f>IF('계산 과정'!$C$78,IF(AND(ISNUMBER(Q946),ISNUMBER(R946),ABS(Q946-'계산 과정'!$C$88)&lt;='계산 과정'!$D$23/2,ABS(R946-'계산 과정'!$C$89)&lt;='계산 과정'!$D$24/2),1,0),"")</x:f>
        <x:v>0</x:v>
      </x:c>
      <x:c r="T946" s="4"/>
      <x:c r="U946" s="4"/>
      <x:c r="V946" s="4"/>
      <x:c r="W946" s="4"/>
      <x:c r="X946" s="4"/>
      <x:c r="Y946" s="4"/>
      <x:c r="Z946" s="4"/>
    </x:row>
    <x:row r="947" ht="23" customHeight="1">
      <x:c r="A947" s="17" t="n">
        <x:f>ROW()-6</x:f>
        <x:v>941</x:v>
      </x:c>
      <x:c r="B947" s="4" t="n">
        <x:f>IF('계산 과정'!$L$5,'계산 과정'!$L$11*SQRT((A947+0.5)/'계산 과정'!$L$30),"")</x:f>
        <x:v>101.70362790818969</x:v>
      </x:c>
      <x:c r="C947" s="4" t="n">
        <x:f>A947*PI()*(3-SQRT(5))</x:f>
        <x:v>2258.3653991746623</x:v>
      </x:c>
      <x:c r="D947" s="4" t="n">
        <x:f>IF('계산 과정'!$L$5,B947*COS(C947),"")</x:f>
        <x:v>-92.02870622328527</x:v>
      </x:c>
      <x:c r="E947" s="4" t="n">
        <x:f>IF('계산 과정'!$L$5,B947*SIN(C947),"")</x:f>
        <x:v>43.293708094314994</x:v>
      </x:c>
      <x:c r="F947" s="4" t="n">
        <x:f>IF('계산 과정'!$L$7,'계산 과정'!$L$22+'계산 과정'!$C$49*D947+'계산 과정'!$D$49*E947,"")</x:f>
        <x:v>715.0741222343097</x:v>
      </x:c>
      <x:c r="G947" s="4" t="n">
        <x:f>IF('계산 과정'!$L$7,IF(ABS(F947)&gt;=1E-12*MAX(1,SQRT((D947-'계산 과정'!$C$33)^2+(E947-'계산 과정'!$D$33)^2+'계산 과정'!$E$33^2)),('계산 과정'!$L$23-'계산 과정'!$C$49*D947-'계산 과정'!$D$49*E947)/F947,""),"")</x:f>
        <x:v>0.46837924538394154</x:v>
      </x:c>
      <x:c r="H947" s="4" t="n">
        <x:f>IF(AND(ISNUMBER(G947),G947&gt;0),('계산 과정'!$D$56+'계산 과정'!$D$57*D947+'계산 과정'!$D$58*E947)/F947,"")</x:f>
        <x:v>-95.55349050043809</x:v>
      </x:c>
      <x:c r="I947" s="4" t="n">
        <x:f>IF(AND(ISNUMBER(G947),G947&gt;0),('계산 과정'!$E$56+'계산 과정'!$E$57*D947+'계산 과정'!$E$58*E947)/F947,"")</x:f>
        <x:v>63.571582421402894</x:v>
      </x:c>
      <x:c r="J947" s="4" t="n">
        <x:f>IF('계산 과정'!$L$5,'계산 과정'!$D$6+'계산 과정'!$C$35*D947+'계산 과정'!$D$35*E947,"")</x:f>
        <x:v>715.0741222343097</x:v>
      </x:c>
      <x:c r="K947" s="4" t="n">
        <x:f>IF(AND('계산 과정'!$L$6,J947&gt;0),'계산 과정'!$D$10*('계산 과정'!$C$38*(D947-'계산 과정'!$C$32)+'계산 과정'!$D$38*(E947-'계산 과정'!$D$32)-'계산 과정'!$E$38*'계산 과정'!$E$32)/J947,"")</x:f>
        <x:v>-0.7280265942890505</x:v>
      </x:c>
      <x:c r="L947" s="4" t="n">
        <x:f>IF(AND('계산 과정'!$L$6,J947&gt;0),'계산 과정'!$D$10*('계산 과정'!$C$39*(D947-'계산 과정'!$C$32)+'계산 과정'!$D$39*(E947-'계산 과정'!$D$32)-'계산 과정'!$E$39*'계산 과정'!$E$32)/J947,"")</x:f>
        <x:v>0.48435491368687916</x:v>
      </x:c>
      <x:c r="M947" s="17" t="n">
        <x:f>IF('계산 과정'!$L$6,IF(J947&lt;=0,0,IF(AND(ABS(K947)&lt;='계산 과정'!$D$11/2,ABS(L947)&lt;='계산 과정'!$D$12/2),1,0)),"")</x:f>
        <x:v>1</x:v>
      </x:c>
      <x:c r="N947" s="17" t="n">
        <x:f>IF('계산 과정'!$C$78,IF(AND(ISNUMBER(H947),ISNUMBER(I947),ABS(H947-'계산 과정'!$C$88)&lt;='계산 과정'!$D$23/2,ABS(I947-'계산 과정'!$C$89)&lt;='계산 과정'!$D$24/2),1,0),"")</x:f>
        <x:v>1</x:v>
      </x:c>
      <x:c r="O947" s="4" t="n">
        <x:f>IF('계산 과정'!$L$7,'계산 과정'!$C$49*('계산 과정'!$C$32-D947)+'계산 과정'!$D$49*('계산 과정'!$D$32-E947)+'계산 과정'!$E$49*'계산 과정'!$E$32,"")</x:f>
        <x:v>-65.07412223430947</x:v>
      </x:c>
      <x:c r="P947" s="4" t="n">
        <x:f>IF(AND('계산 과정'!$L$7,O947&lt;&gt;0),('계산 과정'!$L$23-'계산 과정'!$C$49*D947-'계산 과정'!$D$49*E947)/O947,"")</x:f>
        <x:v>-5.1468366574310105</x:v>
      </x:c>
      <x:c r="Q947" s="4" t="str">
        <x:f>IF(AND(ISNUMBER(P947),P947&gt;1E-9,P947&lt;1-1E-9),'계산 과정'!$C$47*(D947-'계산 과정'!$C$50+P947*('계산 과정'!$C$32-D947))+'계산 과정'!$D$47*(E947-'계산 과정'!$D$50+P947*('계산 과정'!$D$32-E947))+'계산 과정'!$E$47*(0-'계산 과정'!$E$50+P947*('계산 과정'!$E$32-0)),"")</x:f>
      </x:c>
      <x:c r="R947" s="4" t="str">
        <x:f>IF(AND(ISNUMBER(P947),P947&gt;1E-9,P947&lt;1-1E-9),'계산 과정'!$C$48*(D947-'계산 과정'!$C$50+P947*('계산 과정'!$C$32-D947))+'계산 과정'!$D$48*(E947-'계산 과정'!$D$50+P947*('계산 과정'!$D$32-E947))+'계산 과정'!$E$48*(0-'계산 과정'!$E$50+P947*('계산 과정'!$E$32-0)),"")</x:f>
      </x:c>
      <x:c r="S947" s="17" t="n">
        <x:f>IF('계산 과정'!$C$78,IF(AND(ISNUMBER(Q947),ISNUMBER(R947),ABS(Q947-'계산 과정'!$C$88)&lt;='계산 과정'!$D$23/2,ABS(R947-'계산 과정'!$C$89)&lt;='계산 과정'!$D$24/2),1,0),"")</x:f>
        <x:v>0</x:v>
      </x:c>
      <x:c r="T947" s="4"/>
      <x:c r="U947" s="4"/>
      <x:c r="V947" s="4"/>
      <x:c r="W947" s="4"/>
      <x:c r="X947" s="4"/>
      <x:c r="Y947" s="4"/>
      <x:c r="Z947" s="4"/>
    </x:row>
    <x:row r="948" ht="23" customHeight="1">
      <x:c r="A948" s="17" t="n">
        <x:f>ROW()-6</x:f>
        <x:v>942</x:v>
      </x:c>
      <x:c r="B948" s="4" t="n">
        <x:f>IF('계산 과정'!$L$5,'계산 과정'!$L$11*SQRT((A948+0.5)/'계산 과정'!$L$30),"")</x:f>
        <x:v>101.75762505980818</x:v>
      </x:c>
      <x:c r="C948" s="4" t="n">
        <x:f>A948*PI()*(3-SQRT(5))</x:f>
        <x:v>2260.765362404391</x:v>
      </x:c>
      <x:c r="D948" s="4" t="n">
        <x:f>IF('계산 과정'!$L$5,B948*COS(C948),"")</x:f>
        <x:v>38.6351257660157</x:v>
      </x:c>
      <x:c r="E948" s="4" t="n">
        <x:f>IF('계산 과정'!$L$5,B948*SIN(C948),"")</x:f>
        <x:v>-94.13788458881287</x:v>
      </x:c>
      <x:c r="F948" s="4" t="n">
        <x:f>IF('계산 과정'!$L$7,'계산 과정'!$L$22+'계산 과정'!$C$49*D948+'계산 과정'!$D$49*E948,"")</x:f>
        <x:v>622.6808405788552</x:v>
      </x:c>
      <x:c r="G948" s="4" t="n">
        <x:f>IF('계산 과정'!$L$7,IF(ABS(F948)&gt;=1E-12*MAX(1,SQRT((D948-'계산 과정'!$C$33)^2+(E948-'계산 과정'!$D$33)^2+'계산 과정'!$E$33^2)),('계산 과정'!$L$23-'계산 과정'!$C$49*D948-'계산 과정'!$D$49*E948)/F948,""),"")</x:f>
        <x:v>0.6862571185326681</x:v>
      </x:c>
      <x:c r="H948" s="4" t="n">
        <x:f>IF(AND(ISNUMBER(G948),G948&gt;0),('계산 과정'!$D$56+'계산 과정'!$D$57*D948+'계산 과정'!$D$58*E948)/F948,"")</x:f>
        <x:v>46.06712704623413</x:v>
      </x:c>
      <x:c r="I948" s="4" t="n">
        <x:f>IF(AND(ISNUMBER(G948),G948&gt;0),('계산 과정'!$E$56+'계산 과정'!$E$57*D948+'계산 과정'!$E$58*E948)/F948,"")</x:f>
        <x:v>-158.74067801149246</x:v>
      </x:c>
      <x:c r="J948" s="4" t="n">
        <x:f>IF('계산 과정'!$L$5,'계산 과정'!$D$6+'계산 과정'!$C$35*D948+'계산 과정'!$D$35*E948,"")</x:f>
        <x:v>622.6808405788552</x:v>
      </x:c>
      <x:c r="K948" s="4" t="n">
        <x:f>IF(AND('계산 과정'!$L$6,J948&gt;0),'계산 과정'!$D$10*('계산 과정'!$C$38*(D948-'계산 과정'!$C$32)+'계산 과정'!$D$38*(E948-'계산 과정'!$D$32)-'계산 과정'!$E$38*'계산 과정'!$E$32)/J948,"")</x:f>
        <x:v>0.3509876346379747</x:v>
      </x:c>
      <x:c r="L948" s="4" t="n">
        <x:f>IF(AND('계산 과정'!$L$6,J948&gt;0),'계산 과정'!$D$10*('계산 과정'!$C$39*(D948-'계산 과정'!$C$32)+'계산 과정'!$D$39*(E948-'계산 과정'!$D$32)-'계산 과정'!$E$39*'계산 과정'!$E$32)/J948,"")</x:f>
        <x:v>-1.2094527848494663</x:v>
      </x:c>
      <x:c r="M948" s="17" t="n">
        <x:f>IF('계산 과정'!$L$6,IF(J948&lt;=0,0,IF(AND(ABS(K948)&lt;='계산 과정'!$D$11/2,ABS(L948)&lt;='계산 과정'!$D$12/2),1,0)),"")</x:f>
        <x:v>1</x:v>
      </x:c>
      <x:c r="N948" s="17" t="n">
        <x:f>IF('계산 과정'!$C$78,IF(AND(ISNUMBER(H948),ISNUMBER(I948),ABS(H948-'계산 과정'!$C$88)&lt;='계산 과정'!$D$23/2,ABS(I948-'계산 과정'!$C$89)&lt;='계산 과정'!$D$24/2),1,0),"")</x:f>
        <x:v>1</x:v>
      </x:c>
      <x:c r="O948" s="4" t="n">
        <x:f>IF('계산 과정'!$L$7,'계산 과정'!$C$49*('계산 과정'!$C$32-D948)+'계산 과정'!$D$49*('계산 과정'!$D$32-E948)+'계산 과정'!$E$49*'계산 과정'!$E$32,"")</x:f>
        <x:v>27.31915942114489</x:v>
      </x:c>
      <x:c r="P948" s="4" t="n">
        <x:f>IF(AND('계산 과정'!$L$7,O948&lt;&gt;0),('계산 과정'!$L$23-'계산 과정'!$C$49*D948-'계산 과정'!$D$49*E948)/O948,"")</x:f>
        <x:v>15.641738928848667</x:v>
      </x:c>
      <x:c r="Q948" s="4" t="str">
        <x:f>IF(AND(ISNUMBER(P948),P948&gt;1E-9,P948&lt;1-1E-9),'계산 과정'!$C$47*(D948-'계산 과정'!$C$50+P948*('계산 과정'!$C$32-D948))+'계산 과정'!$D$47*(E948-'계산 과정'!$D$50+P948*('계산 과정'!$D$32-E948))+'계산 과정'!$E$47*(0-'계산 과정'!$E$50+P948*('계산 과정'!$E$32-0)),"")</x:f>
      </x:c>
      <x:c r="R948" s="4" t="str">
        <x:f>IF(AND(ISNUMBER(P948),P948&gt;1E-9,P948&lt;1-1E-9),'계산 과정'!$C$48*(D948-'계산 과정'!$C$50+P948*('계산 과정'!$C$32-D948))+'계산 과정'!$D$48*(E948-'계산 과정'!$D$50+P948*('계산 과정'!$D$32-E948))+'계산 과정'!$E$48*(0-'계산 과정'!$E$50+P948*('계산 과정'!$E$32-0)),"")</x:f>
      </x:c>
      <x:c r="S948" s="17" t="n">
        <x:f>IF('계산 과정'!$C$78,IF(AND(ISNUMBER(Q948),ISNUMBER(R948),ABS(Q948-'계산 과정'!$C$88)&lt;='계산 과정'!$D$23/2,ABS(R948-'계산 과정'!$C$89)&lt;='계산 과정'!$D$24/2),1,0),"")</x:f>
        <x:v>0</x:v>
      </x:c>
      <x:c r="T948" s="4"/>
      <x:c r="U948" s="4"/>
      <x:c r="V948" s="4"/>
      <x:c r="W948" s="4"/>
      <x:c r="X948" s="4"/>
      <x:c r="Y948" s="4"/>
      <x:c r="Z948" s="4"/>
    </x:row>
    <x:row r="949" ht="23" customHeight="1">
      <x:c r="A949" s="17" t="n">
        <x:f>ROW()-6</x:f>
        <x:v>943</x:v>
      </x:c>
      <x:c r="B949" s="4" t="n">
        <x:f>IF('계산 과정'!$L$5,'계산 과정'!$L$11*SQRT((A949+0.5)/'계산 과정'!$L$30),"")</x:f>
        <x:v>101.81159357331315</x:v>
      </x:c>
      <x:c r="C949" s="4" t="n">
        <x:f>A949*PI()*(3-SQRT(5))</x:f>
        <x:v>2263.1653256341197</x:v>
      </x:c>
      <x:c r="D949" s="4" t="n">
        <x:f>IF('계산 과정'!$L$5,B949*COS(C949),"")</x:f>
        <x:v>35.119504245625365</x:v>
      </x:c>
      <x:c r="E949" s="4" t="n">
        <x:f>IF('계산 과정'!$L$5,B949*SIN(C949),"")</x:f>
        <x:v>95.5626548787705</x:v>
      </x:c>
      <x:c r="F949" s="4" t="n">
        <x:f>IF('계산 과정'!$L$7,'계산 과정'!$L$22+'계산 과정'!$C$49*D949+'계산 과정'!$D$49*E949,"")</x:f>
        <x:v>625.1667603960086</x:v>
      </x:c>
      <x:c r="G949" s="4" t="n">
        <x:f>IF('계산 과정'!$L$7,IF(ABS(F949)&gt;=1E-12*MAX(1,SQRT((D949-'계산 과정'!$C$33)^2+(E949-'계산 과정'!$D$33)^2+'계산 과정'!$E$33^2)),('계산 과정'!$L$23-'계산 과정'!$C$49*D949-'계산 과정'!$D$49*E949)/F949,""),"")</x:f>
        <x:v>0.6795518676247008</x:v>
      </x:c>
      <x:c r="H949" s="4" t="n">
        <x:f>IF(AND(ISNUMBER(G949),G949&gt;0),('계산 과정'!$D$56+'계산 과정'!$D$57*D949+'계산 과정'!$D$58*E949)/F949,"")</x:f>
        <x:v>41.708713956055405</x:v>
      </x:c>
      <x:c r="I949" s="4" t="n">
        <x:f>IF(AND(ISNUMBER(G949),G949&gt;0),('계산 과정'!$E$56+'계산 과정'!$E$57*D949+'계산 과정'!$E$58*E949)/F949,"")</x:f>
        <x:v>160.5024354768137</x:v>
      </x:c>
      <x:c r="J949" s="4" t="n">
        <x:f>IF('계산 과정'!$L$5,'계산 과정'!$D$6+'계산 과정'!$C$35*D949+'계산 과정'!$D$35*E949,"")</x:f>
        <x:v>625.1667603960086</x:v>
      </x:c>
      <x:c r="K949" s="4" t="n">
        <x:f>IF(AND('계산 과정'!$L$6,J949&gt;0),'계산 과정'!$D$10*('계산 과정'!$C$38*(D949-'계산 과정'!$C$32)+'계산 과정'!$D$38*(E949-'계산 과정'!$D$32)-'계산 과정'!$E$38*'계산 과정'!$E$32)/J949,"")</x:f>
        <x:v>0.31778067776042296</x:v>
      </x:c>
      <x:c r="L949" s="4" t="n">
        <x:f>IF(AND('계산 과정'!$L$6,J949&gt;0),'계산 과정'!$D$10*('계산 과정'!$C$39*(D949-'계산 과정'!$C$32)+'계산 과정'!$D$39*(E949-'계산 과정'!$D$32)-'계산 과정'!$E$39*'계산 과정'!$E$32)/J949,"")</x:f>
        <x:v>1.2228756988709615</x:v>
      </x:c>
      <x:c r="M949" s="17" t="n">
        <x:f>IF('계산 과정'!$L$6,IF(J949&lt;=0,0,IF(AND(ABS(K949)&lt;='계산 과정'!$D$11/2,ABS(L949)&lt;='계산 과정'!$D$12/2),1,0)),"")</x:f>
        <x:v>1</x:v>
      </x:c>
      <x:c r="N949" s="17" t="n">
        <x:f>IF('계산 과정'!$C$78,IF(AND(ISNUMBER(H949),ISNUMBER(I949),ABS(H949-'계산 과정'!$C$88)&lt;='계산 과정'!$D$23/2,ABS(I949-'계산 과정'!$C$89)&lt;='계산 과정'!$D$24/2),1,0),"")</x:f>
        <x:v>1</x:v>
      </x:c>
      <x:c r="O949" s="4" t="n">
        <x:f>IF('계산 과정'!$L$7,'계산 과정'!$C$49*('계산 과정'!$C$32-D949)+'계산 과정'!$D$49*('계산 과정'!$D$32-E949)+'계산 과정'!$E$49*'계산 과정'!$E$32,"")</x:f>
        <x:v>24.833239603991558</x:v>
      </x:c>
      <x:c r="P949" s="4" t="n">
        <x:f>IF(AND('계산 과정'!$L$7,O949&lt;&gt;0),('계산 과정'!$L$23-'계산 과정'!$C$49*D949-'계산 과정'!$D$49*E949)/O949,"")</x:f>
        <x:v>17.10744334523741</x:v>
      </x:c>
      <x:c r="Q949" s="4" t="str">
        <x:f>IF(AND(ISNUMBER(P949),P949&gt;1E-9,P949&lt;1-1E-9),'계산 과정'!$C$47*(D949-'계산 과정'!$C$50+P949*('계산 과정'!$C$32-D949))+'계산 과정'!$D$47*(E949-'계산 과정'!$D$50+P949*('계산 과정'!$D$32-E949))+'계산 과정'!$E$47*(0-'계산 과정'!$E$50+P949*('계산 과정'!$E$32-0)),"")</x:f>
      </x:c>
      <x:c r="R949" s="4" t="str">
        <x:f>IF(AND(ISNUMBER(P949),P949&gt;1E-9,P949&lt;1-1E-9),'계산 과정'!$C$48*(D949-'계산 과정'!$C$50+P949*('계산 과정'!$C$32-D949))+'계산 과정'!$D$48*(E949-'계산 과정'!$D$50+P949*('계산 과정'!$D$32-E949))+'계산 과정'!$E$48*(0-'계산 과정'!$E$50+P949*('계산 과정'!$E$32-0)),"")</x:f>
      </x:c>
      <x:c r="S949" s="17" t="n">
        <x:f>IF('계산 과정'!$C$78,IF(AND(ISNUMBER(Q949),ISNUMBER(R949),ABS(Q949-'계산 과정'!$C$88)&lt;='계산 과정'!$D$23/2,ABS(R949-'계산 과정'!$C$89)&lt;='계산 과정'!$D$24/2),1,0),"")</x:f>
        <x:v>0</x:v>
      </x:c>
      <x:c r="T949" s="4"/>
      <x:c r="U949" s="4"/>
      <x:c r="V949" s="4"/>
      <x:c r="W949" s="4"/>
      <x:c r="X949" s="4"/>
      <x:c r="Y949" s="4"/>
      <x:c r="Z949" s="4"/>
    </x:row>
    <x:row r="950" ht="23" customHeight="1">
      <x:c r="A950" s="17" t="n">
        <x:f>ROW()-6</x:f>
        <x:v>944</x:v>
      </x:c>
      <x:c r="B950" s="4" t="n">
        <x:f>IF('계산 과정'!$L$5,'계산 과정'!$L$11*SQRT((A950+0.5)/'계산 과정'!$L$30),"")</x:f>
        <x:v>101.86553349422218</x:v>
      </x:c>
      <x:c r="C950" s="4" t="n">
        <x:f>A950*PI()*(3-SQRT(5))</x:f>
        <x:v>2265.5652888638483</x:v>
      </x:c>
      <x:c r="D950" s="4" t="n">
        <x:f>IF('계산 과정'!$L$5,B950*COS(C950),"")</x:f>
        <x:v>-90.49559461027513</x:v>
      </x:c>
      <x:c r="E950" s="4" t="n">
        <x:f>IF('계산 과정'!$L$5,B950*SIN(C950),"")</x:f>
        <x:v>-46.76680735516636</x:v>
      </x:c>
      <x:c r="F950" s="4" t="n">
        <x:f>IF('계산 과정'!$L$7,'계산 과정'!$L$22+'계산 과정'!$C$49*D950+'계산 과정'!$D$49*E950,"")</x:f>
        <x:v>713.9900486164344</x:v>
      </x:c>
      <x:c r="G950" s="4" t="n">
        <x:f>IF('계산 과정'!$L$7,IF(ABS(F950)&gt;=1E-12*MAX(1,SQRT((D950-'계산 과정'!$C$33)^2+(E950-'계산 과정'!$D$33)^2+'계산 과정'!$E$33^2)),('계산 과정'!$L$23-'계산 과정'!$C$49*D950-'계산 과정'!$D$49*E950)/F950,""),"")</x:f>
        <x:v>0.4706087319209613</x:v>
      </x:c>
      <x:c r="H950" s="4" t="n">
        <x:f>IF(AND(ISNUMBER(G950),G950&gt;0),('계산 과정'!$D$56+'계산 과정'!$D$57*D950+'계산 과정'!$D$58*E950)/F950,"")</x:f>
        <x:v>-94.10432425137526</x:v>
      </x:c>
      <x:c r="I950" s="4" t="n">
        <x:f>IF(AND(ISNUMBER(G950),G950&gt;0),('계산 과정'!$E$56+'계산 과정'!$E$57*D950+'계산 과정'!$E$58*E950)/F950,"")</x:f>
        <x:v>-68.77567526057308</x:v>
      </x:c>
      <x:c r="J950" s="4" t="n">
        <x:f>IF('계산 과정'!$L$5,'계산 과정'!$D$6+'계산 과정'!$C$35*D950+'계산 과정'!$D$35*E950,"")</x:f>
        <x:v>713.9900486164344</x:v>
      </x:c>
      <x:c r="K950" s="4" t="n">
        <x:f>IF(AND('계산 과정'!$L$6,J950&gt;0),'계산 과정'!$D$10*('계산 과정'!$C$38*(D950-'계산 과정'!$C$32)+'계산 과정'!$D$38*(E950-'계산 과정'!$D$32)-'계산 과정'!$E$38*'계산 과정'!$E$32)/J950,"")</x:f>
        <x:v>-0.7169853276295247</x:v>
      </x:c>
      <x:c r="L950" s="4" t="n">
        <x:f>IF(AND('계산 과정'!$L$6,J950&gt;0),'계산 과정'!$D$10*('계산 과정'!$C$39*(D950-'계산 과정'!$C$32)+'계산 과정'!$D$39*(E950-'계산 과정'!$D$32)-'계산 과정'!$E$39*'계산 과정'!$E$32)/J950,"")</x:f>
        <x:v>-0.5240051448424615</x:v>
      </x:c>
      <x:c r="M950" s="17" t="n">
        <x:f>IF('계산 과정'!$L$6,IF(J950&lt;=0,0,IF(AND(ABS(K950)&lt;='계산 과정'!$D$11/2,ABS(L950)&lt;='계산 과정'!$D$12/2),1,0)),"")</x:f>
        <x:v>1</x:v>
      </x:c>
      <x:c r="N950" s="17" t="n">
        <x:f>IF('계산 과정'!$C$78,IF(AND(ISNUMBER(H950),ISNUMBER(I950),ABS(H950-'계산 과정'!$C$88)&lt;='계산 과정'!$D$23/2,ABS(I950-'계산 과정'!$C$89)&lt;='계산 과정'!$D$24/2),1,0),"")</x:f>
        <x:v>1</x:v>
      </x:c>
      <x:c r="O950" s="4" t="n">
        <x:f>IF('계산 과정'!$L$7,'계산 과정'!$C$49*('계산 과정'!$C$32-D950)+'계산 과정'!$D$49*('계산 과정'!$D$32-E950)+'계산 과정'!$E$49*'계산 과정'!$E$32,"")</x:f>
        <x:v>-63.990048616434194</x:v>
      </x:c>
      <x:c r="P950" s="4" t="n">
        <x:f>IF(AND('계산 과정'!$L$7,O950&lt;&gt;0),('계산 과정'!$L$23-'계산 과정'!$C$49*D950-'계산 과정'!$D$49*E950)/O950,"")</x:f>
        <x:v>-5.2509719659326874</x:v>
      </x:c>
      <x:c r="Q950" s="4" t="str">
        <x:f>IF(AND(ISNUMBER(P950),P950&gt;1E-9,P950&lt;1-1E-9),'계산 과정'!$C$47*(D950-'계산 과정'!$C$50+P950*('계산 과정'!$C$32-D950))+'계산 과정'!$D$47*(E950-'계산 과정'!$D$50+P950*('계산 과정'!$D$32-E950))+'계산 과정'!$E$47*(0-'계산 과정'!$E$50+P950*('계산 과정'!$E$32-0)),"")</x:f>
      </x:c>
      <x:c r="R950" s="4" t="str">
        <x:f>IF(AND(ISNUMBER(P950),P950&gt;1E-9,P950&lt;1-1E-9),'계산 과정'!$C$48*(D950-'계산 과정'!$C$50+P950*('계산 과정'!$C$32-D950))+'계산 과정'!$D$48*(E950-'계산 과정'!$D$50+P950*('계산 과정'!$D$32-E950))+'계산 과정'!$E$48*(0-'계산 과정'!$E$50+P950*('계산 과정'!$E$32-0)),"")</x:f>
      </x:c>
      <x:c r="S950" s="17" t="n">
        <x:f>IF('계산 과정'!$C$78,IF(AND(ISNUMBER(Q950),ISNUMBER(R950),ABS(Q950-'계산 과정'!$C$88)&lt;='계산 과정'!$D$23/2,ABS(R950-'계산 과정'!$C$89)&lt;='계산 과정'!$D$24/2),1,0),"")</x:f>
        <x:v>0</x:v>
      </x:c>
      <x:c r="T950" s="4"/>
      <x:c r="U950" s="4"/>
      <x:c r="V950" s="4"/>
      <x:c r="W950" s="4"/>
      <x:c r="X950" s="4"/>
      <x:c r="Y950" s="4"/>
      <x:c r="Z950" s="4"/>
    </x:row>
    <x:row r="951" ht="23" customHeight="1">
      <x:c r="A951" s="17" t="n">
        <x:f>ROW()-6</x:f>
        <x:v>945</x:v>
      </x:c>
      <x:c r="B951" s="4" t="n">
        <x:f>IF('계산 과정'!$L$5,'계산 과정'!$L$11*SQRT((A951+0.5)/'계산 과정'!$L$30),"")</x:f>
        <x:v>101.91944486793234</x:v>
      </x:c>
      <x:c r="C951" s="4" t="n">
        <x:f>A951*PI()*(3-SQRT(5))</x:f>
        <x:v>2267.965252093577</x:v>
      </x:c>
      <x:c r="D951" s="4" t="n">
        <x:f>IF('계산 과정'!$L$5,B951*COS(C951),"")</x:f>
        <x:v>98.37119401953036</x:v>
      </x:c>
      <x:c r="E951" s="4" t="n">
        <x:f>IF('계산 과정'!$L$5,B951*SIN(C951),"")</x:f>
        <x:v>-26.658608916434776</x:v>
      </x:c>
      <x:c r="F951" s="4" t="n">
        <x:f>IF('계산 과정'!$L$7,'계산 과정'!$L$22+'계산 과정'!$C$49*D951+'계산 과정'!$D$49*E951,"")</x:f>
        <x:v>580.4410616353725</x:v>
      </x:c>
      <x:c r="G951" s="4" t="n">
        <x:f>IF('계산 과정'!$L$7,IF(ABS(F951)&gt;=1E-12*MAX(1,SQRT((D951-'계산 과정'!$C$33)^2+(E951-'계산 과정'!$D$33)^2+'계산 과정'!$E$33^2)),('계산 과정'!$L$23-'계산 과정'!$C$49*D951-'계산 과정'!$D$49*E951)/F951,""),"")</x:f>
        <x:v>0.8089691949802129</x:v>
      </x:c>
      <x:c r="H951" s="4" t="n">
        <x:f>IF(AND(ISNUMBER(G951),G951&gt;0),('계산 과정'!$D$56+'계산 과정'!$D$57*D951+'계산 과정'!$D$58*E951)/F951,"")</x:f>
        <x:v>125.8299767371383</x:v>
      </x:c>
      <x:c r="I951" s="4" t="n">
        <x:f>IF(AND(ISNUMBER(G951),G951&gt;0),('계산 과정'!$E$56+'계산 과정'!$E$57*D951+'계산 과정'!$E$58*E951)/F951,"")</x:f>
        <x:v>-48.22460231085534</x:v>
      </x:c>
      <x:c r="J951" s="4" t="n">
        <x:f>IF('계산 과정'!$L$5,'계산 과정'!$D$6+'계산 과정'!$C$35*D951+'계산 과정'!$D$35*E951,"")</x:f>
        <x:v>580.4410616353725</x:v>
      </x:c>
      <x:c r="K951" s="4" t="n">
        <x:f>IF(AND('계산 과정'!$L$6,J951&gt;0),'계산 과정'!$D$10*('계산 과정'!$C$38*(D951-'계산 과정'!$C$32)+'계산 과정'!$D$38*(E951-'계산 과정'!$D$32)-'계산 과정'!$E$38*'계산 과정'!$E$32)/J951,"")</x:f>
        <x:v>0.958704584663912</x:v>
      </x:c>
      <x:c r="L951" s="4" t="n">
        <x:f>IF(AND('계산 과정'!$L$6,J951&gt;0),'계산 과정'!$D$10*('계산 과정'!$C$39*(D951-'계산 과정'!$C$32)+'계산 과정'!$D$39*(E951-'계산 과정'!$D$32)-'계산 과정'!$E$39*'계산 과정'!$E$32)/J951,"")</x:f>
        <x:v>-0.3674255414160407</x:v>
      </x:c>
      <x:c r="M951" s="17" t="n">
        <x:f>IF('계산 과정'!$L$6,IF(J951&lt;=0,0,IF(AND(ABS(K951)&lt;='계산 과정'!$D$11/2,ABS(L951)&lt;='계산 과정'!$D$12/2),1,0)),"")</x:f>
        <x:v>1</x:v>
      </x:c>
      <x:c r="N951" s="17" t="n">
        <x:f>IF('계산 과정'!$C$78,IF(AND(ISNUMBER(H951),ISNUMBER(I951),ABS(H951-'계산 과정'!$C$88)&lt;='계산 과정'!$D$23/2,ABS(I951-'계산 과정'!$C$89)&lt;='계산 과정'!$D$24/2),1,0),"")</x:f>
        <x:v>1</x:v>
      </x:c>
      <x:c r="O951" s="4" t="n">
        <x:f>IF('계산 과정'!$L$7,'계산 과정'!$C$49*('계산 과정'!$C$32-D951)+'계산 과정'!$D$49*('계산 과정'!$D$32-E951)+'계산 과정'!$E$49*'계산 과정'!$E$32,"")</x:f>
        <x:v>69.55893836462758</x:v>
      </x:c>
      <x:c r="P951" s="4" t="n">
        <x:f>IF(AND('계산 과정'!$L$7,O951&lt;&gt;0),('계산 과정'!$L$23-'계산 과정'!$C$49*D951-'계산 과정'!$D$49*E951)/O951,"")</x:f>
        <x:v>6.750519047648514</x:v>
      </x:c>
      <x:c r="Q951" s="4" t="str">
        <x:f>IF(AND(ISNUMBER(P951),P951&gt;1E-9,P951&lt;1-1E-9),'계산 과정'!$C$47*(D951-'계산 과정'!$C$50+P951*('계산 과정'!$C$32-D951))+'계산 과정'!$D$47*(E951-'계산 과정'!$D$50+P951*('계산 과정'!$D$32-E951))+'계산 과정'!$E$47*(0-'계산 과정'!$E$50+P951*('계산 과정'!$E$32-0)),"")</x:f>
      </x:c>
      <x:c r="R951" s="4" t="str">
        <x:f>IF(AND(ISNUMBER(P951),P951&gt;1E-9,P951&lt;1-1E-9),'계산 과정'!$C$48*(D951-'계산 과정'!$C$50+P951*('계산 과정'!$C$32-D951))+'계산 과정'!$D$48*(E951-'계산 과정'!$D$50+P951*('계산 과정'!$D$32-E951))+'계산 과정'!$E$48*(0-'계산 과정'!$E$50+P951*('계산 과정'!$E$32-0)),"")</x:f>
      </x:c>
      <x:c r="S951" s="17" t="n">
        <x:f>IF('계산 과정'!$C$78,IF(AND(ISNUMBER(Q951),ISNUMBER(R951),ABS(Q951-'계산 과정'!$C$88)&lt;='계산 과정'!$D$23/2,ABS(R951-'계산 과정'!$C$89)&lt;='계산 과정'!$D$24/2),1,0),"")</x:f>
        <x:v>0</x:v>
      </x:c>
      <x:c r="T951" s="4"/>
      <x:c r="U951" s="4"/>
      <x:c r="V951" s="4"/>
      <x:c r="W951" s="4"/>
      <x:c r="X951" s="4"/>
      <x:c r="Y951" s="4"/>
      <x:c r="Z951" s="4"/>
    </x:row>
    <x:row r="952" ht="23" customHeight="1">
      <x:c r="A952" s="17" t="n">
        <x:f>ROW()-6</x:f>
        <x:v>946</x:v>
      </x:c>
      <x:c r="B952" s="4" t="n">
        <x:f>IF('계산 과정'!$L$5,'계산 과정'!$L$11*SQRT((A952+0.5)/'계산 과정'!$L$30),"")</x:f>
        <x:v>101.97332773972074</x:v>
      </x:c>
      <x:c r="C952" s="4" t="n">
        <x:f>A952*PI()*(3-SQRT(5))</x:f>
        <x:v>2270.3652153233056</x:v>
      </x:c>
      <x:c r="D952" s="4" t="n">
        <x:f>IF('계산 과정'!$L$5,B952*COS(C952),"")</x:f>
        <x:v>-54.55705342336638</x:v>
      </x:c>
      <x:c r="E952" s="4" t="n">
        <x:f>IF('계산 과정'!$L$5,B952*SIN(C952),"")</x:f>
        <x:v>86.15153795535194</x:v>
      </x:c>
      <x:c r="F952" s="4" t="n">
        <x:f>IF('계산 과정'!$L$7,'계산 과정'!$L$22+'계산 과정'!$C$49*D952+'계산 과정'!$D$49*E952,"")</x:f>
        <x:v>688.5776624372191</x:v>
      </x:c>
      <x:c r="G952" s="4" t="n">
        <x:f>IF('계산 과정'!$L$7,IF(ABS(F952)&gt;=1E-12*MAX(1,SQRT((D952-'계산 과정'!$C$33)^2+(E952-'계산 과정'!$D$33)^2+'계산 과정'!$E$33^2)),('계산 과정'!$L$23-'계산 과정'!$C$49*D952-'계산 과정'!$D$49*E952)/F952,""),"")</x:f>
        <x:v>0.524882460292899</x:v>
      </x:c>
      <x:c r="H952" s="4" t="n">
        <x:f>IF(AND(ISNUMBER(G952),G952&gt;0),('계산 과정'!$D$56+'계산 과정'!$D$57*D952+'계산 과정'!$D$58*E952)/F952,"")</x:f>
        <x:v>-58.82640080961576</x:v>
      </x:c>
      <x:c r="I952" s="4" t="n">
        <x:f>IF(AND(ISNUMBER(G952),G952&gt;0),('계산 과정'!$E$56+'계산 과정'!$E$57*D952+'계산 과정'!$E$58*E952)/F952,"")</x:f>
        <x:v>131.37096915537413</x:v>
      </x:c>
      <x:c r="J952" s="4" t="n">
        <x:f>IF('계산 과정'!$L$5,'계산 과정'!$D$6+'계산 과정'!$C$35*D952+'계산 과정'!$D$35*E952,"")</x:f>
        <x:v>688.5776624372191</x:v>
      </x:c>
      <x:c r="K952" s="4" t="n">
        <x:f>IF(AND('계산 과정'!$L$6,J952&gt;0),'계산 과정'!$D$10*('계산 과정'!$C$38*(D952-'계산 과정'!$C$32)+'계산 과정'!$D$38*(E952-'계산 과정'!$D$32)-'계산 과정'!$E$38*'계산 과정'!$E$32)/J952,"")</x:f>
        <x:v>-0.4482011490256426</x:v>
      </x:c>
      <x:c r="L952" s="4" t="n">
        <x:f>IF(AND('계산 과정'!$L$6,J952&gt;0),'계산 과정'!$D$10*('계산 과정'!$C$39*(D952-'계산 과정'!$C$32)+'계산 과정'!$D$39*(E952-'계산 과정'!$D$32)-'계산 과정'!$E$39*'계산 과정'!$E$32)/J952,"")</x:f>
        <x:v>1.0009216697552314</x:v>
      </x:c>
      <x:c r="M952" s="17" t="n">
        <x:f>IF('계산 과정'!$L$6,IF(J952&lt;=0,0,IF(AND(ABS(K952)&lt;='계산 과정'!$D$11/2,ABS(L952)&lt;='계산 과정'!$D$12/2),1,0)),"")</x:f>
        <x:v>1</x:v>
      </x:c>
      <x:c r="N952" s="17" t="n">
        <x:f>IF('계산 과정'!$C$78,IF(AND(ISNUMBER(H952),ISNUMBER(I952),ABS(H952-'계산 과정'!$C$88)&lt;='계산 과정'!$D$23/2,ABS(I952-'계산 과정'!$C$89)&lt;='계산 과정'!$D$24/2),1,0),"")</x:f>
        <x:v>1</x:v>
      </x:c>
      <x:c r="O952" s="4" t="n">
        <x:f>IF('계산 과정'!$L$7,'계산 과정'!$C$49*('계산 과정'!$C$32-D952)+'계산 과정'!$D$49*('계산 과정'!$D$32-E952)+'계산 과정'!$E$49*'계산 과정'!$E$32,"")</x:f>
        <x:v>-38.577662437218976</x:v>
      </x:c>
      <x:c r="P952" s="4" t="n">
        <x:f>IF(AND('계산 과정'!$L$7,O952&lt;&gt;0),('계산 과정'!$L$23-'계산 과정'!$C$49*D952-'계산 과정'!$D$49*E952)/O952,"")</x:f>
        <x:v>-9.368694594986339</x:v>
      </x:c>
      <x:c r="Q952" s="4" t="str">
        <x:f>IF(AND(ISNUMBER(P952),P952&gt;1E-9,P952&lt;1-1E-9),'계산 과정'!$C$47*(D952-'계산 과정'!$C$50+P952*('계산 과정'!$C$32-D952))+'계산 과정'!$D$47*(E952-'계산 과정'!$D$50+P952*('계산 과정'!$D$32-E952))+'계산 과정'!$E$47*(0-'계산 과정'!$E$50+P952*('계산 과정'!$E$32-0)),"")</x:f>
      </x:c>
      <x:c r="R952" s="4" t="str">
        <x:f>IF(AND(ISNUMBER(P952),P952&gt;1E-9,P952&lt;1-1E-9),'계산 과정'!$C$48*(D952-'계산 과정'!$C$50+P952*('계산 과정'!$C$32-D952))+'계산 과정'!$D$48*(E952-'계산 과정'!$D$50+P952*('계산 과정'!$D$32-E952))+'계산 과정'!$E$48*(0-'계산 과정'!$E$50+P952*('계산 과정'!$E$32-0)),"")</x:f>
      </x:c>
      <x:c r="S952" s="17" t="n">
        <x:f>IF('계산 과정'!$C$78,IF(AND(ISNUMBER(Q952),ISNUMBER(R952),ABS(Q952-'계산 과정'!$C$88)&lt;='계산 과정'!$D$23/2,ABS(R952-'계산 과정'!$C$89)&lt;='계산 과정'!$D$24/2),1,0),"")</x:f>
        <x:v>0</x:v>
      </x:c>
      <x:c r="T952" s="4"/>
      <x:c r="U952" s="4"/>
      <x:c r="V952" s="4"/>
      <x:c r="W952" s="4"/>
      <x:c r="X952" s="4"/>
      <x:c r="Y952" s="4"/>
      <x:c r="Z952" s="4"/>
    </x:row>
    <x:row r="953" ht="23" customHeight="1">
      <x:c r="A953" s="17" t="n">
        <x:f>ROW()-6</x:f>
        <x:v>947</x:v>
      </x:c>
      <x:c r="B953" s="4" t="n">
        <x:f>IF('계산 과정'!$L$5,'계산 과정'!$L$11*SQRT((A953+0.5)/'계산 과정'!$L$30),"")</x:f>
        <x:v>102.02718215474492</x:v>
      </x:c>
      <x:c r="C953" s="4" t="n">
        <x:f>A953*PI()*(3-SQRT(5))</x:f>
        <x:v>2272.7651785530343</x:v>
      </x:c>
      <x:c r="D953" s="4" t="n">
        <x:f>IF('계산 과정'!$L$5,B953*COS(C953),"")</x:f>
        <x:v>-17.975342623563954</x:v>
      </x:c>
      <x:c r="E953" s="4" t="n">
        <x:f>IF('계산 과정'!$L$5,B953*SIN(C953),"")</x:f>
        <x:v>-100.43123496205244</x:v>
      </x:c>
      <x:c r="F953" s="4" t="n">
        <x:f>IF('계산 과정'!$L$7,'계산 과정'!$L$22+'계산 과정'!$C$49*D953+'계산 과정'!$D$49*E953,"")</x:f>
        <x:v>662.7104866632736</x:v>
      </x:c>
      <x:c r="G953" s="4" t="n">
        <x:f>IF('계산 과정'!$L$7,IF(ABS(F953)&gt;=1E-12*MAX(1,SQRT((D953-'계산 과정'!$C$33)^2+(E953-'계산 과정'!$D$33)^2+'계산 과정'!$E$33^2)),('계산 과정'!$L$23-'계산 과정'!$C$49*D953-'계산 과정'!$D$49*E953)/F953,""),"")</x:f>
        <x:v>0.5844022708720317</x:v>
      </x:c>
      <x:c r="H953" s="4" t="n">
        <x:f>IF(AND(ISNUMBER(G953),G953&gt;0),('계산 과정'!$D$56+'계산 과정'!$D$57*D953+'계산 과정'!$D$58*E953)/F953,"")</x:f>
        <x:v>-20.138523933179574</x:v>
      </x:c>
      <x:c r="I953" s="4" t="n">
        <x:f>IF(AND(ISNUMBER(G953),G953&gt;0),('계산 과정'!$E$56+'계산 과정'!$E$57*D953+'계산 과정'!$E$58*E953)/F953,"")</x:f>
        <x:v>-159.12347674035846</x:v>
      </x:c>
      <x:c r="J953" s="4" t="n">
        <x:f>IF('계산 과정'!$L$5,'계산 과정'!$D$6+'계산 과정'!$C$35*D953+'계산 과정'!$D$35*E953,"")</x:f>
        <x:v>662.7104866632736</x:v>
      </x:c>
      <x:c r="K953" s="4" t="n">
        <x:f>IF(AND('계산 과정'!$L$6,J953&gt;0),'계산 과정'!$D$10*('계산 과정'!$C$38*(D953-'계산 과정'!$C$32)+'계산 과정'!$D$38*(E953-'계산 과정'!$D$32)-'계산 과정'!$E$38*'계산 과정'!$E$32)/J953,"")</x:f>
        <x:v>-0.15343637282422476</x:v>
      </x:c>
      <x:c r="L953" s="4" t="n">
        <x:f>IF(AND('계산 과정'!$L$6,J953&gt;0),'계산 과정'!$D$10*('계산 과정'!$C$39*(D953-'계산 과정'!$C$32)+'계산 과정'!$D$39*(E953-'계산 과정'!$D$32)-'계산 과정'!$E$39*'계산 과정'!$E$32)/J953,"")</x:f>
        <x:v>-1.2123693465932075</x:v>
      </x:c>
      <x:c r="M953" s="17" t="n">
        <x:f>IF('계산 과정'!$L$6,IF(J953&lt;=0,0,IF(AND(ABS(K953)&lt;='계산 과정'!$D$11/2,ABS(L953)&lt;='계산 과정'!$D$12/2),1,0)),"")</x:f>
        <x:v>1</x:v>
      </x:c>
      <x:c r="N953" s="17" t="n">
        <x:f>IF('계산 과정'!$C$78,IF(AND(ISNUMBER(H953),ISNUMBER(I953),ABS(H953-'계산 과정'!$C$88)&lt;='계산 과정'!$D$23/2,ABS(I953-'계산 과정'!$C$89)&lt;='계산 과정'!$D$24/2),1,0),"")</x:f>
        <x:v>1</x:v>
      </x:c>
      <x:c r="O953" s="4" t="n">
        <x:f>IF('계산 과정'!$L$7,'계산 과정'!$C$49*('계산 과정'!$C$32-D953)+'계산 과정'!$D$49*('계산 과정'!$D$32-E953)+'계산 과정'!$E$49*'계산 과정'!$E$32,"")</x:f>
        <x:v>-12.71048666327357</x:v>
      </x:c>
      <x:c r="P953" s="4" t="n">
        <x:f>IF(AND('계산 과정'!$L$7,O953&lt;&gt;0),('계산 과정'!$L$23-'계산 과정'!$C$49*D953-'계산 과정'!$D$49*E953)/O953,"")</x:f>
        <x:v>-30.47007747199669</x:v>
      </x:c>
      <x:c r="Q953" s="4" t="str">
        <x:f>IF(AND(ISNUMBER(P953),P953&gt;1E-9,P953&lt;1-1E-9),'계산 과정'!$C$47*(D953-'계산 과정'!$C$50+P953*('계산 과정'!$C$32-D953))+'계산 과정'!$D$47*(E953-'계산 과정'!$D$50+P953*('계산 과정'!$D$32-E953))+'계산 과정'!$E$47*(0-'계산 과정'!$E$50+P953*('계산 과정'!$E$32-0)),"")</x:f>
      </x:c>
      <x:c r="R953" s="4" t="str">
        <x:f>IF(AND(ISNUMBER(P953),P953&gt;1E-9,P953&lt;1-1E-9),'계산 과정'!$C$48*(D953-'계산 과정'!$C$50+P953*('계산 과정'!$C$32-D953))+'계산 과정'!$D$48*(E953-'계산 과정'!$D$50+P953*('계산 과정'!$D$32-E953))+'계산 과정'!$E$48*(0-'계산 과정'!$E$50+P953*('계산 과정'!$E$32-0)),"")</x:f>
      </x:c>
      <x:c r="S953" s="17" t="n">
        <x:f>IF('계산 과정'!$C$78,IF(AND(ISNUMBER(Q953),ISNUMBER(R953),ABS(Q953-'계산 과정'!$C$88)&lt;='계산 과정'!$D$23/2,ABS(R953-'계산 과정'!$C$89)&lt;='계산 과정'!$D$24/2),1,0),"")</x:f>
        <x:v>0</x:v>
      </x:c>
      <x:c r="T953" s="4"/>
      <x:c r="U953" s="4"/>
      <x:c r="V953" s="4"/>
      <x:c r="W953" s="4"/>
      <x:c r="X953" s="4"/>
      <x:c r="Y953" s="4"/>
      <x:c r="Z953" s="4"/>
    </x:row>
    <x:row r="954" ht="23" customHeight="1">
      <x:c r="A954" s="17" t="n">
        <x:f>ROW()-6</x:f>
        <x:v>948</x:v>
      </x:c>
      <x:c r="B954" s="4" t="n">
        <x:f>IF('계산 과정'!$L$5,'계산 과정'!$L$11*SQRT((A954+0.5)/'계산 과정'!$L$30),"")</x:f>
        <x:v>102.08100815804328</x:v>
      </x:c>
      <x:c r="C954" s="4" t="n">
        <x:f>A954*PI()*(3-SQRT(5))</x:f>
        <x:v>2275.165141782763</x:v>
      </x:c>
      <x:c r="D954" s="4" t="n">
        <x:f>IF('계산 과정'!$L$5,B954*COS(C954),"")</x:f>
        <x:v>81.1375654761865</x:v>
      </x:c>
      <x:c r="E954" s="4" t="n">
        <x:f>IF('계산 과정'!$L$5,B954*SIN(C954),"")</x:f>
        <x:v>61.94536056203116</x:v>
      </x:c>
      <x:c r="F954" s="4" t="n">
        <x:f>IF('계산 과정'!$L$7,'계산 과정'!$L$22+'계산 과정'!$C$49*D954+'계산 과정'!$D$49*E954,"")</x:f>
        <x:v>592.6270772428211</x:v>
      </x:c>
      <x:c r="G954" s="4" t="n">
        <x:f>IF('계산 과정'!$L$7,IF(ABS(F954)&gt;=1E-12*MAX(1,SQRT((D954-'계산 과정'!$C$33)^2+(E954-'계산 과정'!$D$33)^2+'계산 과정'!$E$33^2)),('계산 과정'!$L$23-'계산 과정'!$C$49*D954-'계산 과정'!$D$49*E954)/F954,""),"")</x:f>
        <x:v>0.7717718955487018</x:v>
      </x:c>
      <x:c r="H954" s="4" t="n">
        <x:f>IF(AND(ISNUMBER(G954),G954&gt;0),('계산 과정'!$D$56+'계산 과정'!$D$57*D954+'계산 과정'!$D$58*E954)/F954,"")</x:f>
        <x:v>101.65173210665614</x:v>
      </x:c>
      <x:c r="I954" s="4" t="n">
        <x:f>IF(AND(ISNUMBER(G954),G954&gt;0),('계산 과정'!$E$56+'계산 과정'!$E$57*D954+'계산 과정'!$E$58*E954)/F954,"")</x:f>
        <x:v>109.75304890343774</x:v>
      </x:c>
      <x:c r="J954" s="4" t="n">
        <x:f>IF('계산 과정'!$L$5,'계산 과정'!$D$6+'계산 과정'!$C$35*D954+'계산 과정'!$D$35*E954,"")</x:f>
        <x:v>592.6270772428211</x:v>
      </x:c>
      <x:c r="K954" s="4" t="n">
        <x:f>IF(AND('계산 과정'!$L$6,J954&gt;0),'계산 과정'!$D$10*('계산 과정'!$C$38*(D954-'계산 과정'!$C$32)+'계산 과정'!$D$38*(E954-'계산 과정'!$D$32)-'계산 과정'!$E$38*'계산 과정'!$E$32)/J954,"")</x:f>
        <x:v>0.7744893874792863</x:v>
      </x:c>
      <x:c r="L954" s="4" t="n">
        <x:f>IF(AND('계산 과정'!$L$6,J954&gt;0),'계산 과정'!$D$10*('계산 과정'!$C$39*(D954-'계산 과정'!$C$32)+'계산 과정'!$D$39*(E954-'계산 과정'!$D$32)-'계산 과정'!$E$39*'계산 과정'!$E$32)/J954,"")</x:f>
        <x:v>0.8362137059309542</x:v>
      </x:c>
      <x:c r="M954" s="17" t="n">
        <x:f>IF('계산 과정'!$L$6,IF(J954&lt;=0,0,IF(AND(ABS(K954)&lt;='계산 과정'!$D$11/2,ABS(L954)&lt;='계산 과정'!$D$12/2),1,0)),"")</x:f>
        <x:v>1</x:v>
      </x:c>
      <x:c r="N954" s="17" t="n">
        <x:f>IF('계산 과정'!$C$78,IF(AND(ISNUMBER(H954),ISNUMBER(I954),ABS(H954-'계산 과정'!$C$88)&lt;='계산 과정'!$D$23/2,ABS(I954-'계산 과정'!$C$89)&lt;='계산 과정'!$D$24/2),1,0),"")</x:f>
        <x:v>1</x:v>
      </x:c>
      <x:c r="O954" s="4" t="n">
        <x:f>IF('계산 과정'!$L$7,'계산 과정'!$C$49*('계산 과정'!$C$32-D954)+'계산 과정'!$D$49*('계산 과정'!$D$32-E954)+'계산 과정'!$E$49*'계산 과정'!$E$32,"")</x:f>
        <x:v>57.37292275717908</x:v>
      </x:c>
      <x:c r="P954" s="4" t="n">
        <x:f>IF(AND('계산 과정'!$L$7,O954&lt;&gt;0),('계산 과정'!$L$23-'계산 과정'!$C$49*D954-'계산 과정'!$D$49*E954)/O954,"")</x:f>
        <x:v>7.9719299763222855</x:v>
      </x:c>
      <x:c r="Q954" s="4" t="str">
        <x:f>IF(AND(ISNUMBER(P954),P954&gt;1E-9,P954&lt;1-1E-9),'계산 과정'!$C$47*(D954-'계산 과정'!$C$50+P954*('계산 과정'!$C$32-D954))+'계산 과정'!$D$47*(E954-'계산 과정'!$D$50+P954*('계산 과정'!$D$32-E954))+'계산 과정'!$E$47*(0-'계산 과정'!$E$50+P954*('계산 과정'!$E$32-0)),"")</x:f>
      </x:c>
      <x:c r="R954" s="4" t="str">
        <x:f>IF(AND(ISNUMBER(P954),P954&gt;1E-9,P954&lt;1-1E-9),'계산 과정'!$C$48*(D954-'계산 과정'!$C$50+P954*('계산 과정'!$C$32-D954))+'계산 과정'!$D$48*(E954-'계산 과정'!$D$50+P954*('계산 과정'!$D$32-E954))+'계산 과정'!$E$48*(0-'계산 과정'!$E$50+P954*('계산 과정'!$E$32-0)),"")</x:f>
      </x:c>
      <x:c r="S954" s="17" t="n">
        <x:f>IF('계산 과정'!$C$78,IF(AND(ISNUMBER(Q954),ISNUMBER(R954),ABS(Q954-'계산 과정'!$C$88)&lt;='계산 과정'!$D$23/2,ABS(R954-'계산 과정'!$C$89)&lt;='계산 과정'!$D$24/2),1,0),"")</x:f>
        <x:v>0</x:v>
      </x:c>
      <x:c r="T954" s="4"/>
      <x:c r="U954" s="4"/>
      <x:c r="V954" s="4"/>
      <x:c r="W954" s="4"/>
      <x:c r="X954" s="4"/>
      <x:c r="Y954" s="4"/>
      <x:c r="Z954" s="4"/>
    </x:row>
    <x:row r="955" ht="23" customHeight="1">
      <x:c r="A955" s="17" t="n">
        <x:f>ROW()-6</x:f>
        <x:v>949</x:v>
      </x:c>
      <x:c r="B955" s="4" t="n">
        <x:f>IF('계산 과정'!$L$5,'계산 과정'!$L$11*SQRT((A955+0.5)/'계산 과정'!$L$30),"")</x:f>
        <x:v>102.13480579453558</x:v>
      </x:c>
      <x:c r="C955" s="4" t="n">
        <x:f>A955*PI()*(3-SQRT(5))</x:f>
        <x:v>2277.5651050124916</x:v>
      </x:c>
      <x:c r="D955" s="4" t="n">
        <x:f>IF('계산 과정'!$L$5,B955*COS(C955),"")</x:f>
        <x:v>-101.72538744224569</x:v>
      </x:c>
      <x:c r="E955" s="4" t="n">
        <x:f>IF('계산 과정'!$L$5,B955*SIN(C955),"")</x:f>
        <x:v>9.13586911095503</x:v>
      </x:c>
      <x:c r="F955" s="4" t="n">
        <x:f>IF('계산 과정'!$L$7,'계산 과정'!$L$22+'계산 과정'!$C$49*D955+'계산 과정'!$D$49*E955,"")</x:f>
        <x:v>721.9307112792408</x:v>
      </x:c>
      <x:c r="G955" s="4" t="n">
        <x:f>IF('계산 과정'!$L$7,IF(ABS(F955)&gt;=1E-12*MAX(1,SQRT((D955-'계산 과정'!$C$33)^2+(E955-'계산 과정'!$D$33)^2+'계산 과정'!$E$33^2)),('계산 과정'!$L$23-'계산 과정'!$C$49*D955-'계산 과정'!$D$49*E955)/F955,""),"")</x:f>
        <x:v>0.45443320750190797</x:v>
      </x:c>
      <x:c r="H955" s="4" t="n">
        <x:f>IF(AND(ISNUMBER(G955),G955&gt;0),('계산 과정'!$D$56+'계산 과정'!$D$57*D955+'계산 과정'!$D$58*E955)/F955,"")</x:f>
        <x:v>-104.61841512375999</x:v>
      </x:c>
      <x:c r="I955" s="4" t="n">
        <x:f>IF(AND(ISNUMBER(G955),G955&gt;0),('계산 과정'!$E$56+'계산 과정'!$E$57*D955+'계산 과정'!$E$58*E955)/F955,"")</x:f>
        <x:v>13.287511414363927</x:v>
      </x:c>
      <x:c r="J955" s="4" t="n">
        <x:f>IF('계산 과정'!$L$5,'계산 과정'!$D$6+'계산 과정'!$C$35*D955+'계산 과정'!$D$35*E955,"")</x:f>
        <x:v>721.9307112792408</x:v>
      </x:c>
      <x:c r="K955" s="4" t="n">
        <x:f>IF(AND('계산 과정'!$L$6,J955&gt;0),'계산 과정'!$D$10*('계산 과정'!$C$38*(D955-'계산 과정'!$C$32)+'계산 과정'!$D$38*(E955-'계산 과정'!$D$32)-'계산 과정'!$E$38*'계산 과정'!$E$32)/J955,"")</x:f>
        <x:v>-0.7970926866572183</x:v>
      </x:c>
      <x:c r="L955" s="4" t="n">
        <x:f>IF(AND('계산 과정'!$L$6,J955&gt;0),'계산 과정'!$D$10*('계산 과정'!$C$39*(D955-'계산 과정'!$C$32)+'계산 과정'!$D$39*(E955-'계산 과정'!$D$32)-'계산 과정'!$E$39*'계산 과정'!$E$32)/J955,"")</x:f>
        <x:v>0.10123818220467755</x:v>
      </x:c>
      <x:c r="M955" s="17" t="n">
        <x:f>IF('계산 과정'!$L$6,IF(J955&lt;=0,0,IF(AND(ABS(K955)&lt;='계산 과정'!$D$11/2,ABS(L955)&lt;='계산 과정'!$D$12/2),1,0)),"")</x:f>
        <x:v>1</x:v>
      </x:c>
      <x:c r="N955" s="17" t="n">
        <x:f>IF('계산 과정'!$C$78,IF(AND(ISNUMBER(H955),ISNUMBER(I955),ABS(H955-'계산 과정'!$C$88)&lt;='계산 과정'!$D$23/2,ABS(I955-'계산 과정'!$C$89)&lt;='계산 과정'!$D$24/2),1,0),"")</x:f>
        <x:v>1</x:v>
      </x:c>
      <x:c r="O955" s="4" t="n">
        <x:f>IF('계산 과정'!$L$7,'계산 과정'!$C$49*('계산 과정'!$C$32-D955)+'계산 과정'!$D$49*('계산 과정'!$D$32-E955)+'계산 과정'!$E$49*'계산 과정'!$E$32,"")</x:f>
        <x:v>-71.93071127924071</x:v>
      </x:c>
      <x:c r="P955" s="4" t="n">
        <x:f>IF(AND('계산 과정'!$L$7,O955&lt;&gt;0),('계산 과정'!$L$23-'계산 과정'!$C$49*D955-'계산 과정'!$D$49*E955)/O955,"")</x:f>
        <x:v>-4.56090705744822</x:v>
      </x:c>
      <x:c r="Q955" s="4" t="str">
        <x:f>IF(AND(ISNUMBER(P955),P955&gt;1E-9,P955&lt;1-1E-9),'계산 과정'!$C$47*(D955-'계산 과정'!$C$50+P955*('계산 과정'!$C$32-D955))+'계산 과정'!$D$47*(E955-'계산 과정'!$D$50+P955*('계산 과정'!$D$32-E955))+'계산 과정'!$E$47*(0-'계산 과정'!$E$50+P955*('계산 과정'!$E$32-0)),"")</x:f>
      </x:c>
      <x:c r="R955" s="4" t="str">
        <x:f>IF(AND(ISNUMBER(P955),P955&gt;1E-9,P955&lt;1-1E-9),'계산 과정'!$C$48*(D955-'계산 과정'!$C$50+P955*('계산 과정'!$C$32-D955))+'계산 과정'!$D$48*(E955-'계산 과정'!$D$50+P955*('계산 과정'!$D$32-E955))+'계산 과정'!$E$48*(0-'계산 과정'!$E$50+P955*('계산 과정'!$E$32-0)),"")</x:f>
      </x:c>
      <x:c r="S955" s="17" t="n">
        <x:f>IF('계산 과정'!$C$78,IF(AND(ISNUMBER(Q955),ISNUMBER(R955),ABS(Q955-'계산 과정'!$C$88)&lt;='계산 과정'!$D$23/2,ABS(R955-'계산 과정'!$C$89)&lt;='계산 과정'!$D$24/2),1,0),"")</x:f>
        <x:v>0</x:v>
      </x:c>
      <x:c r="T955" s="4"/>
      <x:c r="U955" s="4"/>
      <x:c r="V955" s="4"/>
      <x:c r="W955" s="4"/>
      <x:c r="X955" s="4"/>
      <x:c r="Y955" s="4"/>
      <x:c r="Z955" s="4"/>
    </x:row>
    <x:row r="956" ht="23" customHeight="1">
      <x:c r="A956" s="17" t="n">
        <x:f>ROW()-6</x:f>
        <x:v>950</x:v>
      </x:c>
      <x:c r="B956" s="4" t="n">
        <x:f>IF('계산 과정'!$L$5,'계산 과정'!$L$11*SQRT((A956+0.5)/'계산 과정'!$L$30),"")</x:f>
        <x:v>102.1885751090233</x:v>
      </x:c>
      <x:c r="C956" s="4" t="n">
        <x:f>A956*PI()*(3-SQRT(5))</x:f>
        <x:v>2279.9650682422202</x:v>
      </x:c>
      <x:c r="D956" s="4" t="n">
        <x:f>IF('계산 과정'!$L$5,B956*COS(C956),"")</x:f>
        <x:v>68.8741839324263</x:v>
      </x:c>
      <x:c r="E956" s="4" t="n">
        <x:f>IF('계산 과정'!$L$5,B956*SIN(C956),"")</x:f>
        <x:v>-75.49073897144474</x:v>
      </x:c>
      <x:c r="F956" s="4" t="n">
        <x:f>IF('계산 과정'!$L$7,'계산 과정'!$L$22+'계산 과정'!$C$49*D956+'계산 과정'!$D$49*E956,"")</x:f>
        <x:v>601.2985974926918</x:v>
      </x:c>
      <x:c r="G956" s="4" t="n">
        <x:f>IF('계산 과정'!$L$7,IF(ABS(F956)&gt;=1E-12*MAX(1,SQRT((D956-'계산 과정'!$C$33)^2+(E956-'계산 과정'!$D$33)^2+'계산 과정'!$E$33^2)),('계산 과정'!$L$23-'계산 과정'!$C$49*D956-'계산 과정'!$D$49*E956)/F956,""),"")</x:f>
        <x:v>0.746220603836951</x:v>
      </x:c>
      <x:c r="H956" s="4" t="n">
        <x:f>IF(AND(ISNUMBER(G956),G956&gt;0),('계산 과정'!$D$56+'계산 과정'!$D$57*D956+'계산 과정'!$D$58*E956)/F956,"")</x:f>
        <x:v>85.04339249401802</x:v>
      </x:c>
      <x:c r="I956" s="4" t="n">
        <x:f>IF(AND(ISNUMBER(G956),G956&gt;0),('계산 과정'!$E$56+'계산 과정'!$E$57*D956+'계산 과정'!$E$58*E956)/F956,"")</x:f>
        <x:v>-131.8234837908139</x:v>
      </x:c>
      <x:c r="J956" s="4" t="n">
        <x:f>IF('계산 과정'!$L$5,'계산 과정'!$D$6+'계산 과정'!$C$35*D956+'계산 과정'!$D$35*E956,"")</x:f>
        <x:v>601.2985974926918</x:v>
      </x:c>
      <x:c r="K956" s="4" t="n">
        <x:f>IF(AND('계산 과정'!$L$6,J956&gt;0),'계산 과정'!$D$10*('계산 과정'!$C$38*(D956-'계산 과정'!$C$32)+'계산 과정'!$D$38*(E956-'계산 과정'!$D$32)-'계산 과정'!$E$38*'계산 과정'!$E$32)/J956,"")</x:f>
        <x:v>0.6479496570972811</x:v>
      </x:c>
      <x:c r="L956" s="4" t="n">
        <x:f>IF(AND('계산 과정'!$L$6,J956&gt;0),'계산 과정'!$D$10*('계산 과정'!$C$39*(D956-'계산 과정'!$C$32)+'계산 과정'!$D$39*(E956-'계산 과정'!$D$32)-'계산 과정'!$E$39*'계산 과정'!$E$32)/J956,"")</x:f>
        <x:v>-1.004369400310963</x:v>
      </x:c>
      <x:c r="M956" s="17" t="n">
        <x:f>IF('계산 과정'!$L$6,IF(J956&lt;=0,0,IF(AND(ABS(K956)&lt;='계산 과정'!$D$11/2,ABS(L956)&lt;='계산 과정'!$D$12/2),1,0)),"")</x:f>
        <x:v>1</x:v>
      </x:c>
      <x:c r="N956" s="17" t="n">
        <x:f>IF('계산 과정'!$C$78,IF(AND(ISNUMBER(H956),ISNUMBER(I956),ABS(H956-'계산 과정'!$C$88)&lt;='계산 과정'!$D$23/2,ABS(I956-'계산 과정'!$C$89)&lt;='계산 과정'!$D$24/2),1,0),"")</x:f>
        <x:v>1</x:v>
      </x:c>
      <x:c r="O956" s="4" t="n">
        <x:f>IF('계산 과정'!$L$7,'계산 과정'!$C$49*('계산 과정'!$C$32-D956)+'계산 과정'!$D$49*('계산 과정'!$D$32-E956)+'계산 과정'!$E$49*'계산 과정'!$E$32,"")</x:f>
        <x:v>48.70140250730833</x:v>
      </x:c>
      <x:c r="P956" s="4" t="n">
        <x:f>IF(AND('계산 과정'!$L$7,O956&lt;&gt;0),('계산 과정'!$L$23-'계산 과정'!$C$49*D956-'계산 과정'!$D$49*E956)/O956,"")</x:f>
        <x:v>9.213315826787007</x:v>
      </x:c>
      <x:c r="Q956" s="4" t="str">
        <x:f>IF(AND(ISNUMBER(P956),P956&gt;1E-9,P956&lt;1-1E-9),'계산 과정'!$C$47*(D956-'계산 과정'!$C$50+P956*('계산 과정'!$C$32-D956))+'계산 과정'!$D$47*(E956-'계산 과정'!$D$50+P956*('계산 과정'!$D$32-E956))+'계산 과정'!$E$47*(0-'계산 과정'!$E$50+P956*('계산 과정'!$E$32-0)),"")</x:f>
      </x:c>
      <x:c r="R956" s="4" t="str">
        <x:f>IF(AND(ISNUMBER(P956),P956&gt;1E-9,P956&lt;1-1E-9),'계산 과정'!$C$48*(D956-'계산 과정'!$C$50+P956*('계산 과정'!$C$32-D956))+'계산 과정'!$D$48*(E956-'계산 과정'!$D$50+P956*('계산 과정'!$D$32-E956))+'계산 과정'!$E$48*(0-'계산 과정'!$E$50+P956*('계산 과정'!$E$32-0)),"")</x:f>
      </x:c>
      <x:c r="S956" s="17" t="n">
        <x:f>IF('계산 과정'!$C$78,IF(AND(ISNUMBER(Q956),ISNUMBER(R956),ABS(Q956-'계산 과정'!$C$88)&lt;='계산 과정'!$D$23/2,ABS(R956-'계산 과정'!$C$89)&lt;='계산 과정'!$D$24/2),1,0),"")</x:f>
        <x:v>0</x:v>
      </x:c>
      <x:c r="T956" s="4"/>
      <x:c r="U956" s="4"/>
      <x:c r="V956" s="4"/>
      <x:c r="W956" s="4"/>
      <x:c r="X956" s="4"/>
      <x:c r="Y956" s="4"/>
      <x:c r="Z956" s="4"/>
    </x:row>
    <x:row r="957" ht="23" customHeight="1">
      <x:c r="A957" s="17" t="n">
        <x:f>ROW()-6</x:f>
        <x:v>951</x:v>
      </x:c>
      <x:c r="B957" s="4" t="n">
        <x:f>IF('계산 과정'!$L$5,'계산 과정'!$L$11*SQRT((A957+0.5)/'계산 과정'!$L$30),"")</x:f>
        <x:v>102.24231614619018</x:v>
      </x:c>
      <x:c r="C957" s="4" t="n">
        <x:f>A957*PI()*(3-SQRT(5))</x:f>
        <x:v>2282.365031471949</x:v>
      </x:c>
      <x:c r="D957" s="4" t="n">
        <x:f>IF('계산 과정'!$L$5,B957*COS(C957),"")</x:f>
        <x:v>0.2076909144016979</x:v>
      </x:c>
      <x:c r="E957" s="4" t="n">
        <x:f>IF('계산 과정'!$L$5,B957*SIN(C957),"")</x:f>
        <x:v>102.24210519850213</x:v>
      </x:c>
      <x:c r="F957" s="4" t="n">
        <x:f>IF('계산 과정'!$L$7,'계산 과정'!$L$22+'계산 과정'!$C$49*D957+'계산 과정'!$D$49*E957,"")</x:f>
        <x:v>649.8531403460357</x:v>
      </x:c>
      <x:c r="G957" s="4" t="n">
        <x:f>IF('계산 과정'!$L$7,IF(ABS(F957)&gt;=1E-12*MAX(1,SQRT((D957-'계산 과정'!$C$33)^2+(E957-'계산 과정'!$D$33)^2+'계산 과정'!$E$33^2)),('계산 과정'!$L$23-'계산 과정'!$C$49*D957-'계산 과정'!$D$49*E957)/F957,""),"")</x:f>
        <x:v>0.615749674520143</x:v>
      </x:c>
      <x:c r="H957" s="4" t="n">
        <x:f>IF(AND(ISNUMBER(G957),G957&gt;0),('계산 과정'!$D$56+'계산 과정'!$D$57*D957+'계산 과정'!$D$58*E957)/F957,"")</x:f>
        <x:v>0.2372884380928051</x:v>
      </x:c>
      <x:c r="I957" s="4" t="n">
        <x:f>IF(AND(ISNUMBER(G957),G957&gt;0),('계산 과정'!$E$56+'계산 과정'!$E$57*D957+'계산 과정'!$E$58*E957)/F957,"")</x:f>
        <x:v>165.19764819673404</x:v>
      </x:c>
      <x:c r="J957" s="4" t="n">
        <x:f>IF('계산 과정'!$L$5,'계산 과정'!$D$6+'계산 과정'!$C$35*D957+'계산 과정'!$D$35*E957,"")</x:f>
        <x:v>649.8531403460357</x:v>
      </x:c>
      <x:c r="K957" s="4" t="n">
        <x:f>IF(AND('계산 과정'!$L$6,J957&gt;0),'계산 과정'!$D$10*('계산 과정'!$C$38*(D957-'계산 과정'!$C$32)+'계산 과정'!$D$38*(E957-'계산 과정'!$D$32)-'계산 과정'!$E$38*'계산 과정'!$E$32)/J957,"")</x:f>
        <x:v>0.001807911909280019</x:v>
      </x:c>
      <x:c r="L957" s="4" t="n">
        <x:f>IF(AND('계산 과정'!$L$6,J957&gt;0),'계산 과정'!$D$10*('계산 과정'!$C$39*(D957-'계산 과정'!$C$32)+'계산 과정'!$D$39*(E957-'계산 과정'!$D$32)-'계산 과정'!$E$39*'계산 과정'!$E$32)/J957,"")</x:f>
        <x:v>1.2586487481655926</x:v>
      </x:c>
      <x:c r="M957" s="17" t="n">
        <x:f>IF('계산 과정'!$L$6,IF(J957&lt;=0,0,IF(AND(ABS(K957)&lt;='계산 과정'!$D$11/2,ABS(L957)&lt;='계산 과정'!$D$12/2),1,0)),"")</x:f>
        <x:v>1</x:v>
      </x:c>
      <x:c r="N957" s="17" t="n">
        <x:f>IF('계산 과정'!$C$78,IF(AND(ISNUMBER(H957),ISNUMBER(I957),ABS(H957-'계산 과정'!$C$88)&lt;='계산 과정'!$D$23/2,ABS(I957-'계산 과정'!$C$89)&lt;='계산 과정'!$D$24/2),1,0),"")</x:f>
        <x:v>1</x:v>
      </x:c>
      <x:c r="O957" s="4" t="n">
        <x:f>IF('계산 과정'!$L$7,'계산 과정'!$C$49*('계산 과정'!$C$32-D957)+'계산 과정'!$D$49*('계산 과정'!$D$32-E957)+'계산 과정'!$E$49*'계산 과정'!$E$32,"")</x:f>
        <x:v>0.14685965396438405</x:v>
      </x:c>
      <x:c r="P957" s="4" t="n">
        <x:f>IF(AND('계산 과정'!$L$7,O957&lt;&gt;0),('계산 과정'!$L$23-'계산 과정'!$C$49*D957-'계산 과정'!$D$49*E957)/O957,"")</x:f>
        <x:v>2724.6888362613645</x:v>
      </x:c>
      <x:c r="Q957" s="4" t="str">
        <x:f>IF(AND(ISNUMBER(P957),P957&gt;1E-9,P957&lt;1-1E-9),'계산 과정'!$C$47*(D957-'계산 과정'!$C$50+P957*('계산 과정'!$C$32-D957))+'계산 과정'!$D$47*(E957-'계산 과정'!$D$50+P957*('계산 과정'!$D$32-E957))+'계산 과정'!$E$47*(0-'계산 과정'!$E$50+P957*('계산 과정'!$E$32-0)),"")</x:f>
      </x:c>
      <x:c r="R957" s="4" t="str">
        <x:f>IF(AND(ISNUMBER(P957),P957&gt;1E-9,P957&lt;1-1E-9),'계산 과정'!$C$48*(D957-'계산 과정'!$C$50+P957*('계산 과정'!$C$32-D957))+'계산 과정'!$D$48*(E957-'계산 과정'!$D$50+P957*('계산 과정'!$D$32-E957))+'계산 과정'!$E$48*(0-'계산 과정'!$E$50+P957*('계산 과정'!$E$32-0)),"")</x:f>
      </x:c>
      <x:c r="S957" s="17" t="n">
        <x:f>IF('계산 과정'!$C$78,IF(AND(ISNUMBER(Q957),ISNUMBER(R957),ABS(Q957-'계산 과정'!$C$88)&lt;='계산 과정'!$D$23/2,ABS(R957-'계산 과정'!$C$89)&lt;='계산 과정'!$D$24/2),1,0),"")</x:f>
        <x:v>0</x:v>
      </x:c>
      <x:c r="T957" s="4"/>
      <x:c r="U957" s="4"/>
      <x:c r="V957" s="4"/>
      <x:c r="W957" s="4"/>
      <x:c r="X957" s="4"/>
      <x:c r="Y957" s="4"/>
      <x:c r="Z957" s="4"/>
    </x:row>
    <x:row r="958" ht="23" customHeight="1">
      <x:c r="A958" s="17" t="n">
        <x:f>ROW()-6</x:f>
        <x:v>952</x:v>
      </x:c>
      <x:c r="B958" s="4" t="n">
        <x:f>IF('계산 과정'!$L$5,'계산 과정'!$L$11*SQRT((A958+0.5)/'계산 과정'!$L$30),"")</x:f>
        <x:v>102.29602895060248</x:v>
      </x:c>
      <x:c r="C958" s="4" t="n">
        <x:f>A958*PI()*(3-SQRT(5))</x:f>
        <x:v>2284.7649947016776</x:v>
      </x:c>
      <x:c r="D958" s="4" t="n">
        <x:f>IF('계산 과정'!$L$5,B958*COS(C958),"")</x:f>
        <x:v>-69.25305740052796</x:v>
      </x:c>
      <x:c r="E958" s="4" t="n">
        <x:f>IF('계산 과정'!$L$5,B958*SIN(C958),"")</x:f>
        <x:v>-75.28938557155104</x:v>
      </x:c>
      <x:c r="F958" s="4" t="n">
        <x:f>IF('계산 과정'!$L$7,'계산 과정'!$L$22+'계산 과정'!$C$49*D958+'계산 과정'!$D$49*E958,"")</x:f>
        <x:v>698.9693065058145</x:v>
      </x:c>
      <x:c r="G958" s="4" t="n">
        <x:f>IF('계산 과정'!$L$7,IF(ABS(F958)&gt;=1E-12*MAX(1,SQRT((D958-'계산 과정'!$C$33)^2+(E958-'계산 과정'!$D$33)^2+'계산 과정'!$E$33^2)),('계산 과정'!$L$23-'계산 과정'!$C$49*D958-'계산 과정'!$D$49*E958)/F958,""),"")</x:f>
        <x:v>0.5022118857393137</x:v>
      </x:c>
      <x:c r="H958" s="4" t="n">
        <x:f>IF(AND(ISNUMBER(G958),G958&gt;0),('계산 과정'!$D$56+'계산 과정'!$D$57*D958+'계산 과정'!$D$58*E958)/F958,"")</x:f>
        <x:v>-73.56227426944623</x:v>
      </x:c>
      <x:c r="I958" s="4" t="n">
        <x:f>IF(AND(ISNUMBER(G958),G958&gt;0),('계산 과정'!$E$56+'계산 과정'!$E$57*D958+'계산 과정'!$E$58*E958)/F958,"")</x:f>
        <x:v>-113.10060987559396</x:v>
      </x:c>
      <x:c r="J958" s="4" t="n">
        <x:f>IF('계산 과정'!$L$5,'계산 과정'!$D$6+'계산 과정'!$C$35*D958+'계산 과정'!$D$35*E958,"")</x:f>
        <x:v>698.9693065058145</x:v>
      </x:c>
      <x:c r="K958" s="4" t="n">
        <x:f>IF(AND('계산 과정'!$L$6,J958&gt;0),'계산 과정'!$D$10*('계산 과정'!$C$38*(D958-'계산 과정'!$C$32)+'계산 과정'!$D$38*(E958-'계산 과정'!$D$32)-'계산 과정'!$E$38*'계산 과정'!$E$32)/J958,"")</x:f>
        <x:v>-0.5604744706243512</x:v>
      </x:c>
      <x:c r="L958" s="4" t="n">
        <x:f>IF(AND('계산 과정'!$L$6,J958&gt;0),'계산 과정'!$D$10*('계산 과정'!$C$39*(D958-'계산 과정'!$C$32)+'계산 과정'!$D$39*(E958-'계산 과정'!$D$32)-'계산 과정'!$E$39*'계산 과정'!$E$32)/J958,"")</x:f>
        <x:v>-0.8617189323854778</x:v>
      </x:c>
      <x:c r="M958" s="17" t="n">
        <x:f>IF('계산 과정'!$L$6,IF(J958&lt;=0,0,IF(AND(ABS(K958)&lt;='계산 과정'!$D$11/2,ABS(L958)&lt;='계산 과정'!$D$12/2),1,0)),"")</x:f>
        <x:v>1</x:v>
      </x:c>
      <x:c r="N958" s="17" t="n">
        <x:f>IF('계산 과정'!$C$78,IF(AND(ISNUMBER(H958),ISNUMBER(I958),ABS(H958-'계산 과정'!$C$88)&lt;='계산 과정'!$D$23/2,ABS(I958-'계산 과정'!$C$89)&lt;='계산 과정'!$D$24/2),1,0),"")</x:f>
        <x:v>1</x:v>
      </x:c>
      <x:c r="O958" s="4" t="n">
        <x:f>IF('계산 과정'!$L$7,'계산 과정'!$C$49*('계산 과정'!$C$32-D958)+'계산 과정'!$D$49*('계산 과정'!$D$32-E958)+'계산 과정'!$E$49*'계산 과정'!$E$32,"")</x:f>
        <x:v>-48.969306505814416</x:v>
      </x:c>
      <x:c r="P958" s="4" t="n">
        <x:f>IF(AND('계산 과정'!$L$7,O958&lt;&gt;0),('계산 과정'!$L$23-'계산 과정'!$C$49*D958-'계산 과정'!$D$49*E958)/O958,"")</x:f>
        <x:v>-7.168381962944595</x:v>
      </x:c>
      <x:c r="Q958" s="4" t="str">
        <x:f>IF(AND(ISNUMBER(P958),P958&gt;1E-9,P958&lt;1-1E-9),'계산 과정'!$C$47*(D958-'계산 과정'!$C$50+P958*('계산 과정'!$C$32-D958))+'계산 과정'!$D$47*(E958-'계산 과정'!$D$50+P958*('계산 과정'!$D$32-E958))+'계산 과정'!$E$47*(0-'계산 과정'!$E$50+P958*('계산 과정'!$E$32-0)),"")</x:f>
      </x:c>
      <x:c r="R958" s="4" t="str">
        <x:f>IF(AND(ISNUMBER(P958),P958&gt;1E-9,P958&lt;1-1E-9),'계산 과정'!$C$48*(D958-'계산 과정'!$C$50+P958*('계산 과정'!$C$32-D958))+'계산 과정'!$D$48*(E958-'계산 과정'!$D$50+P958*('계산 과정'!$D$32-E958))+'계산 과정'!$E$48*(0-'계산 과정'!$E$50+P958*('계산 과정'!$E$32-0)),"")</x:f>
      </x:c>
      <x:c r="S958" s="17" t="n">
        <x:f>IF('계산 과정'!$C$78,IF(AND(ISNUMBER(Q958),ISNUMBER(R958),ABS(Q958-'계산 과정'!$C$88)&lt;='계산 과정'!$D$23/2,ABS(R958-'계산 과정'!$C$89)&lt;='계산 과정'!$D$24/2),1,0),"")</x:f>
        <x:v>0</x:v>
      </x:c>
      <x:c r="T958" s="4"/>
      <x:c r="U958" s="4"/>
      <x:c r="V958" s="4"/>
      <x:c r="W958" s="4"/>
      <x:c r="X958" s="4"/>
      <x:c r="Y958" s="4"/>
      <x:c r="Z958" s="4"/>
    </x:row>
    <x:row r="959" ht="23" customHeight="1">
      <x:c r="A959" s="17" t="n">
        <x:f>ROW()-6</x:f>
        <x:v>953</x:v>
      </x:c>
      <x:c r="B959" s="4" t="n">
        <x:f>IF('계산 과정'!$L$5,'계산 과정'!$L$11*SQRT((A959+0.5)/'계산 과정'!$L$30),"")</x:f>
        <x:v>102.3497135667096</x:v>
      </x:c>
      <x:c r="C959" s="4" t="n">
        <x:f>A959*PI()*(3-SQRT(5))</x:f>
        <x:v>2287.164957931406</x:v>
      </x:c>
      <x:c r="D959" s="4" t="n">
        <x:f>IF('계산 과정'!$L$5,B959*COS(C959),"")</x:f>
        <x:v>101.97578693700105</x:v>
      </x:c>
      <x:c r="E959" s="4" t="n">
        <x:f>IF('계산 과정'!$L$5,B959*SIN(C959),"")</x:f>
        <x:v>8.740866419689995</x:v>
      </x:c>
      <x:c r="F959" s="4" t="n">
        <x:f>IF('계산 과정'!$L$7,'계산 과정'!$L$22+'계산 과정'!$C$49*D959+'계산 과정'!$D$49*E959,"")</x:f>
        <x:v>577.8922295400121</x:v>
      </x:c>
      <x:c r="G959" s="4" t="n">
        <x:f>IF('계산 과정'!$L$7,IF(ABS(F959)&gt;=1E-12*MAX(1,SQRT((D959-'계산 과정'!$C$33)^2+(E959-'계산 과정'!$D$33)^2+'계산 과정'!$E$33^2)),('계산 과정'!$L$23-'계산 과정'!$C$49*D959-'계산 과정'!$D$49*E959)/F959,""),"")</x:f>
        <x:v>0.8169477738708723</x:v>
      </x:c>
      <x:c r="H959" s="4" t="n">
        <x:f>IF(AND(ISNUMBER(G959),G959&gt;0),('계산 과정'!$D$56+'계산 과정'!$D$57*D959+'계산 과정'!$D$58*E959)/F959,"")</x:f>
        <x:v>131.01605301606693</x:v>
      </x:c>
      <x:c r="I959" s="4" t="n">
        <x:f>IF(AND(ISNUMBER(G959),G959&gt;0),('계산 과정'!$E$56+'계산 과정'!$E$57*D959+'계산 과정'!$E$58*E959)/F959,"")</x:f>
        <x:v>15.881697782958398</x:v>
      </x:c>
      <x:c r="J959" s="4" t="n">
        <x:f>IF('계산 과정'!$L$5,'계산 과정'!$D$6+'계산 과정'!$C$35*D959+'계산 과정'!$D$35*E959,"")</x:f>
        <x:v>577.8922295400121</x:v>
      </x:c>
      <x:c r="K959" s="4" t="n">
        <x:f>IF(AND('계산 과정'!$L$6,J959&gt;0),'계산 과정'!$D$10*('계산 과정'!$C$38*(D959-'계산 과정'!$C$32)+'계산 과정'!$D$38*(E959-'계산 과정'!$D$32)-'계산 과정'!$E$38*'계산 과정'!$E$32)/J959,"")</x:f>
        <x:v>0.998217546789082</x:v>
      </x:c>
      <x:c r="L959" s="4" t="n">
        <x:f>IF(AND('계산 과정'!$L$6,J959&gt;0),'계산 과정'!$D$10*('계산 과정'!$C$39*(D959-'계산 과정'!$C$32)+'계산 과정'!$D$39*(E959-'계산 과정'!$D$32)-'계산 과정'!$E$39*'계산 과정'!$E$32)/J959,"")</x:f>
        <x:v>0.12100341167968302</x:v>
      </x:c>
      <x:c r="M959" s="17" t="n">
        <x:f>IF('계산 과정'!$L$6,IF(J959&lt;=0,0,IF(AND(ABS(K959)&lt;='계산 과정'!$D$11/2,ABS(L959)&lt;='계산 과정'!$D$12/2),1,0)),"")</x:f>
        <x:v>1</x:v>
      </x:c>
      <x:c r="N959" s="17" t="n">
        <x:f>IF('계산 과정'!$C$78,IF(AND(ISNUMBER(H959),ISNUMBER(I959),ABS(H959-'계산 과정'!$C$88)&lt;='계산 과정'!$D$23/2,ABS(I959-'계산 과정'!$C$89)&lt;='계산 과정'!$D$24/2),1,0),"")</x:f>
        <x:v>1</x:v>
      </x:c>
      <x:c r="O959" s="4" t="n">
        <x:f>IF('계산 과정'!$L$7,'계산 과정'!$C$49*('계산 과정'!$C$32-D959)+'계산 과정'!$D$49*('계산 과정'!$D$32-E959)+'계산 과정'!$E$49*'계산 과정'!$E$32,"")</x:f>
        <x:v>72.10777045998807</x:v>
      </x:c>
      <x:c r="P959" s="4" t="n">
        <x:f>IF(AND('계산 과정'!$L$7,O959&lt;&gt;0),('계산 과정'!$L$23-'계산 과정'!$C$49*D959-'계산 과정'!$D$49*E959)/O959,"")</x:f>
        <x:v>6.54725236196224</x:v>
      </x:c>
      <x:c r="Q959" s="4" t="str">
        <x:f>IF(AND(ISNUMBER(P959),P959&gt;1E-9,P959&lt;1-1E-9),'계산 과정'!$C$47*(D959-'계산 과정'!$C$50+P959*('계산 과정'!$C$32-D959))+'계산 과정'!$D$47*(E959-'계산 과정'!$D$50+P959*('계산 과정'!$D$32-E959))+'계산 과정'!$E$47*(0-'계산 과정'!$E$50+P959*('계산 과정'!$E$32-0)),"")</x:f>
      </x:c>
      <x:c r="R959" s="4" t="str">
        <x:f>IF(AND(ISNUMBER(P959),P959&gt;1E-9,P959&lt;1-1E-9),'계산 과정'!$C$48*(D959-'계산 과정'!$C$50+P959*('계산 과정'!$C$32-D959))+'계산 과정'!$D$48*(E959-'계산 과정'!$D$50+P959*('계산 과정'!$D$32-E959))+'계산 과정'!$E$48*(0-'계산 과정'!$E$50+P959*('계산 과정'!$E$32-0)),"")</x:f>
      </x:c>
      <x:c r="S959" s="17" t="n">
        <x:f>IF('계산 과정'!$C$78,IF(AND(ISNUMBER(Q959),ISNUMBER(R959),ABS(Q959-'계산 과정'!$C$88)&lt;='계산 과정'!$D$23/2,ABS(R959-'계산 과정'!$C$89)&lt;='계산 과정'!$D$24/2),1,0),"")</x:f>
        <x:v>0</x:v>
      </x:c>
      <x:c r="T959" s="4"/>
      <x:c r="U959" s="4"/>
      <x:c r="V959" s="4"/>
      <x:c r="W959" s="4"/>
      <x:c r="X959" s="4"/>
      <x:c r="Y959" s="4"/>
      <x:c r="Z959" s="4"/>
    </x:row>
    <x:row r="960" ht="23" customHeight="1">
      <x:c r="A960" s="17" t="n">
        <x:f>ROW()-6</x:f>
        <x:v>954</x:v>
      </x:c>
      <x:c r="B960" s="4" t="n">
        <x:f>IF('계산 과정'!$L$5,'계산 과정'!$L$11*SQRT((A960+0.5)/'계산 과정'!$L$30),"")</x:f>
        <x:v>102.40337003884443</x:v>
      </x:c>
      <x:c r="C960" s="4" t="n">
        <x:f>A960*PI()*(3-SQRT(5))</x:f>
        <x:v>2289.564921161135</x:v>
      </x:c>
      <x:c r="D960" s="4" t="n">
        <x:f>IF('계산 과정'!$L$5,B960*COS(C960),"")</x:f>
        <x:v>-81.14065744641618</x:v>
      </x:c>
      <x:c r="E960" s="4" t="n">
        <x:f>IF('계산 과정'!$L$5,B960*SIN(C960),"")</x:f>
        <x:v>62.471144574722224</x:v>
      </x:c>
      <x:c r="F960" s="4" t="n">
        <x:f>IF('계산 과정'!$L$7,'계산 과정'!$L$22+'계산 과정'!$C$49*D960+'계산 과정'!$D$49*E960,"")</x:f>
        <x:v>707.3751091102956</x:v>
      </x:c>
      <x:c r="G960" s="4" t="n">
        <x:f>IF('계산 과정'!$L$7,IF(ABS(F960)&gt;=1E-12*MAX(1,SQRT((D960-'계산 과정'!$C$33)^2+(E960-'계산 과정'!$D$33)^2+'계산 과정'!$E$33^2)),('계산 과정'!$L$23-'계산 과정'!$C$49*D960-'계산 과정'!$D$49*E960)/F960,""),"")</x:f>
        <x:v>0.48436096559948577</x:v>
      </x:c>
      <x:c r="H960" s="4" t="n">
        <x:f>IF(AND(ISNUMBER(G960),G960&gt;0),('계산 과정'!$D$56+'계산 과정'!$D$57*D960+'계산 과정'!$D$58*E960)/F960,"")</x:f>
        <x:v>-85.16537236033437</x:v>
      </x:c>
      <x:c r="I960" s="4" t="n">
        <x:f>IF(AND(ISNUMBER(G960),G960&gt;0),('계산 과정'!$E$56+'계산 과정'!$E$57*D960+'계산 과정'!$E$58*E960)/F960,"")</x:f>
        <x:v>92.72972848303975</x:v>
      </x:c>
      <x:c r="J960" s="4" t="n">
        <x:f>IF('계산 과정'!$L$5,'계산 과정'!$D$6+'계산 과정'!$C$35*D960+'계산 과정'!$D$35*E960,"")</x:f>
        <x:v>707.3751091102956</x:v>
      </x:c>
      <x:c r="K960" s="4" t="n">
        <x:f>IF(AND('계산 과정'!$L$6,J960&gt;0),'계산 과정'!$D$10*('계산 과정'!$C$38*(D960-'계산 과정'!$C$32)+'계산 과정'!$D$38*(E960-'계산 과정'!$D$32)-'계산 과정'!$E$38*'계산 과정'!$E$32)/J960,"")</x:f>
        <x:v>-0.6488790275073086</x:v>
      </x:c>
      <x:c r="L960" s="4" t="n">
        <x:f>IF(AND('계산 과정'!$L$6,J960&gt;0),'계산 과정'!$D$10*('계산 과정'!$C$39*(D960-'계산 과정'!$C$32)+'계산 과정'!$D$39*(E960-'계산 과정'!$D$32)-'계산 과정'!$E$39*'계산 과정'!$E$32)/J960,"")</x:f>
        <x:v>0.7065122170136362</x:v>
      </x:c>
      <x:c r="M960" s="17" t="n">
        <x:f>IF('계산 과정'!$L$6,IF(J960&lt;=0,0,IF(AND(ABS(K960)&lt;='계산 과정'!$D$11/2,ABS(L960)&lt;='계산 과정'!$D$12/2),1,0)),"")</x:f>
        <x:v>1</x:v>
      </x:c>
      <x:c r="N960" s="17" t="n">
        <x:f>IF('계산 과정'!$C$78,IF(AND(ISNUMBER(H960),ISNUMBER(I960),ABS(H960-'계산 과정'!$C$88)&lt;='계산 과정'!$D$23/2,ABS(I960-'계산 과정'!$C$89)&lt;='계산 과정'!$D$24/2),1,0),"")</x:f>
        <x:v>1</x:v>
      </x:c>
      <x:c r="O960" s="4" t="n">
        <x:f>IF('계산 과정'!$L$7,'계산 과정'!$C$49*('계산 과정'!$C$32-D960)+'계산 과정'!$D$49*('계산 과정'!$D$32-E960)+'계산 과정'!$E$49*'계산 과정'!$E$32,"")</x:f>
        <x:v>-57.37510911029551</x:v>
      </x:c>
      <x:c r="P960" s="4" t="n">
        <x:f>IF(AND('계산 과정'!$L$7,O960&lt;&gt;0),('계산 과정'!$L$23-'계산 과정'!$C$49*D960-'계산 과정'!$D$49*E960)/O960,"")</x:f>
        <x:v>-5.971664301867498</x:v>
      </x:c>
      <x:c r="Q960" s="4" t="str">
        <x:f>IF(AND(ISNUMBER(P960),P960&gt;1E-9,P960&lt;1-1E-9),'계산 과정'!$C$47*(D960-'계산 과정'!$C$50+P960*('계산 과정'!$C$32-D960))+'계산 과정'!$D$47*(E960-'계산 과정'!$D$50+P960*('계산 과정'!$D$32-E960))+'계산 과정'!$E$47*(0-'계산 과정'!$E$50+P960*('계산 과정'!$E$32-0)),"")</x:f>
      </x:c>
      <x:c r="R960" s="4" t="str">
        <x:f>IF(AND(ISNUMBER(P960),P960&gt;1E-9,P960&lt;1-1E-9),'계산 과정'!$C$48*(D960-'계산 과정'!$C$50+P960*('계산 과정'!$C$32-D960))+'계산 과정'!$D$48*(E960-'계산 과정'!$D$50+P960*('계산 과정'!$D$32-E960))+'계산 과정'!$E$48*(0-'계산 과정'!$E$50+P960*('계산 과정'!$E$32-0)),"")</x:f>
      </x:c>
      <x:c r="S960" s="17" t="n">
        <x:f>IF('계산 과정'!$C$78,IF(AND(ISNUMBER(Q960),ISNUMBER(R960),ABS(Q960-'계산 과정'!$C$88)&lt;='계산 과정'!$D$23/2,ABS(R960-'계산 과정'!$C$89)&lt;='계산 과정'!$D$24/2),1,0),"")</x:f>
        <x:v>0</x:v>
      </x:c>
      <x:c r="T960" s="4"/>
      <x:c r="U960" s="4"/>
      <x:c r="V960" s="4"/>
      <x:c r="W960" s="4"/>
      <x:c r="X960" s="4"/>
      <x:c r="Y960" s="4"/>
      <x:c r="Z960" s="4"/>
    </x:row>
    <x:row r="961" ht="23" customHeight="1">
      <x:c r="A961" s="17" t="n">
        <x:f>ROW()-6</x:f>
        <x:v>955</x:v>
      </x:c>
      <x:c r="B961" s="4" t="n">
        <x:f>IF('계산 과정'!$L$5,'계산 과정'!$L$11*SQRT((A961+0.5)/'계산 과정'!$L$30),"")</x:f>
        <x:v>102.45699841122372</x:v>
      </x:c>
      <x:c r="C961" s="4" t="n">
        <x:f>A961*PI()*(3-SQRT(5))</x:f>
        <x:v>2291.9648843908635</x:v>
      </x:c>
      <x:c r="D961" s="4" t="n">
        <x:f>IF('계산 과정'!$L$5,B961*COS(C961),"")</x:f>
        <x:v>17.641177518171094</x:v>
      </x:c>
      <x:c r="E961" s="4" t="n">
        <x:f>IF('계산 과정'!$L$5,B961*SIN(C961),"")</x:f>
        <x:v>-100.92683181002897</x:v>
      </x:c>
      <x:c r="F961" s="4" t="n">
        <x:f>IF('계산 과정'!$L$7,'계산 과정'!$L$22+'계산 과정'!$C$49*D961+'계산 과정'!$D$49*E961,"")</x:f>
        <x:v>637.5258037487855</x:v>
      </x:c>
      <x:c r="G961" s="4" t="n">
        <x:f>IF('계산 과정'!$L$7,IF(ABS(F961)&gt;=1E-12*MAX(1,SQRT((D961-'계산 과정'!$C$33)^2+(E961-'계산 과정'!$D$33)^2+'계산 과정'!$E$33^2)),('계산 과정'!$L$23-'계산 과정'!$C$49*D961-'계산 과정'!$D$49*E961)/F961,""),"")</x:f>
        <x:v>0.6469921591028623</x:v>
      </x:c>
      <x:c r="H961" s="4" t="n">
        <x:f>IF(AND(ISNUMBER(G961),G961&gt;0),('계산 과정'!$D$56+'계산 과정'!$D$57*D961+'계산 과정'!$D$58*E961)/F961,"")</x:f>
        <x:v>20.544903416860407</x:v>
      </x:c>
      <x:c r="I961" s="4" t="n">
        <x:f>IF(AND(ISNUMBER(G961),G961&gt;0),('계산 과정'!$E$56+'계산 과정'!$E$57*D961+'계산 과정'!$E$58*E961)/F961,"")</x:f>
        <x:v>-166.22570063421108</x:v>
      </x:c>
      <x:c r="J961" s="4" t="n">
        <x:f>IF('계산 과정'!$L$5,'계산 과정'!$D$6+'계산 과정'!$C$35*D961+'계산 과정'!$D$35*E961,"")</x:f>
        <x:v>637.5258037487855</x:v>
      </x:c>
      <x:c r="K961" s="4" t="n">
        <x:f>IF(AND('계산 과정'!$L$6,J961&gt;0),'계산 과정'!$D$10*('계산 과정'!$C$38*(D961-'계산 과정'!$C$32)+'계산 과정'!$D$38*(E961-'계산 과정'!$D$32)-'계산 과정'!$E$38*'계산 과정'!$E$32)/J961,"")</x:f>
        <x:v>0.15653259746179427</x:v>
      </x:c>
      <x:c r="L961" s="4" t="n">
        <x:f>IF(AND('계산 과정'!$L$6,J961&gt;0),'계산 과정'!$D$10*('계산 과정'!$C$39*(D961-'계산 과정'!$C$32)+'계산 과정'!$D$39*(E961-'계산 과정'!$D$32)-'계산 과정'!$E$39*'계산 과정'!$E$32)/J961,"")</x:f>
        <x:v>-1.2664815286416082</x:v>
      </x:c>
      <x:c r="M961" s="17" t="n">
        <x:f>IF('계산 과정'!$L$6,IF(J961&lt;=0,0,IF(AND(ABS(K961)&lt;='계산 과정'!$D$11/2,ABS(L961)&lt;='계산 과정'!$D$12/2),1,0)),"")</x:f>
        <x:v>1</x:v>
      </x:c>
      <x:c r="N961" s="17" t="n">
        <x:f>IF('계산 과정'!$C$78,IF(AND(ISNUMBER(H961),ISNUMBER(I961),ABS(H961-'계산 과정'!$C$88)&lt;='계산 과정'!$D$23/2,ABS(I961-'계산 과정'!$C$89)&lt;='계산 과정'!$D$24/2),1,0),"")</x:f>
        <x:v>1</x:v>
      </x:c>
      <x:c r="O961" s="4" t="n">
        <x:f>IF('계산 과정'!$L$7,'계산 과정'!$C$49*('계산 과정'!$C$32-D961)+'계산 과정'!$D$49*('계산 과정'!$D$32-E961)+'계산 과정'!$E$49*'계산 과정'!$E$32,"")</x:f>
        <x:v>12.47419625121455</x:v>
      </x:c>
      <x:c r="P961" s="4" t="n">
        <x:f>IF(AND('계산 과정'!$L$7,O961&lt;&gt;0),('계산 과정'!$L$23-'계산 과정'!$C$49*D961-'계산 과정'!$D$49*E961)/O961,"")</x:f>
        <x:v>33.066194241657364</x:v>
      </x:c>
      <x:c r="Q961" s="4" t="str">
        <x:f>IF(AND(ISNUMBER(P961),P961&gt;1E-9,P961&lt;1-1E-9),'계산 과정'!$C$47*(D961-'계산 과정'!$C$50+P961*('계산 과정'!$C$32-D961))+'계산 과정'!$D$47*(E961-'계산 과정'!$D$50+P961*('계산 과정'!$D$32-E961))+'계산 과정'!$E$47*(0-'계산 과정'!$E$50+P961*('계산 과정'!$E$32-0)),"")</x:f>
      </x:c>
      <x:c r="R961" s="4" t="str">
        <x:f>IF(AND(ISNUMBER(P961),P961&gt;1E-9,P961&lt;1-1E-9),'계산 과정'!$C$48*(D961-'계산 과정'!$C$50+P961*('계산 과정'!$C$32-D961))+'계산 과정'!$D$48*(E961-'계산 과정'!$D$50+P961*('계산 과정'!$D$32-E961))+'계산 과정'!$E$48*(0-'계산 과정'!$E$50+P961*('계산 과정'!$E$32-0)),"")</x:f>
      </x:c>
      <x:c r="S961" s="17" t="n">
        <x:f>IF('계산 과정'!$C$78,IF(AND(ISNUMBER(Q961),ISNUMBER(R961),ABS(Q961-'계산 과정'!$C$88)&lt;='계산 과정'!$D$23/2,ABS(R961-'계산 과정'!$C$89)&lt;='계산 과정'!$D$24/2),1,0),"")</x:f>
        <x:v>0</x:v>
      </x:c>
      <x:c r="T961" s="4"/>
      <x:c r="U961" s="4"/>
      <x:c r="V961" s="4"/>
      <x:c r="W961" s="4"/>
      <x:c r="X961" s="4"/>
      <x:c r="Y961" s="4"/>
      <x:c r="Z961" s="4"/>
    </x:row>
    <x:row r="962" ht="23" customHeight="1">
      <x:c r="A962" s="17" t="n">
        <x:f>ROW()-6</x:f>
        <x:v>956</x:v>
      </x:c>
      <x:c r="B962" s="4" t="n">
        <x:f>IF('계산 과정'!$L$5,'계산 과정'!$L$11*SQRT((A962+0.5)/'계산 과정'!$L$30),"")</x:f>
        <x:v>102.51059872794862</x:v>
      </x:c>
      <x:c r="C962" s="4" t="n">
        <x:f>A962*PI()*(3-SQRT(5))</x:f>
        <x:v>2294.364847620592</x:v>
      </x:c>
      <x:c r="D962" s="4" t="n">
        <x:f>IF('계산 과정'!$L$5,B962*COS(C962),"")</x:f>
        <x:v>55.19590064730408</x:v>
      </x:c>
      <x:c r="E962" s="4" t="n">
        <x:f>IF('계산 과정'!$L$5,B962*SIN(C962),"")</x:f>
        <x:v>86.38191595059371</x:v>
      </x:c>
      <x:c r="F962" s="4" t="n">
        <x:f>IF('계산 과정'!$L$7,'계산 과정'!$L$22+'계산 과정'!$C$49*D962+'계산 과정'!$D$49*E962,"")</x:f>
        <x:v>610.9706043585924</x:v>
      </x:c>
      <x:c r="G962" s="4" t="n">
        <x:f>IF('계산 과정'!$L$7,IF(ABS(F962)&gt;=1E-12*MAX(1,SQRT((D962-'계산 과정'!$C$33)^2+(E962-'계산 과정'!$D$33)^2+'계산 과정'!$E$33^2)),('계산 과정'!$L$23-'계산 과정'!$C$49*D962-'계산 과정'!$D$49*E962)/F962,""),"")</x:f>
        <x:v>0.7185769536364329</x:v>
      </x:c>
      <x:c r="H962" s="4" t="n">
        <x:f>IF(AND(ISNUMBER(G962),G962&gt;0),('계산 과정'!$D$56+'계산 과정'!$D$57*D962+'계산 과정'!$D$58*E962)/F962,"")</x:f>
        <x:v>67.07501986368135</x:v>
      </x:c>
      <x:c r="I962" s="4" t="n">
        <x:f>IF(AND(ISNUMBER(G962),G962&gt;0),('계산 과정'!$E$56+'계산 과정'!$E$57*D962+'계산 과정'!$E$58*E962)/F962,"")</x:f>
        <x:v>148.4539699636497</x:v>
      </x:c>
      <x:c r="J962" s="4" t="n">
        <x:f>IF('계산 과정'!$L$5,'계산 과정'!$D$6+'계산 과정'!$C$35*D962+'계산 과정'!$D$35*E962,"")</x:f>
        <x:v>610.9706043585924</x:v>
      </x:c>
      <x:c r="K962" s="4" t="n">
        <x:f>IF(AND('계산 과정'!$L$6,J962&gt;0),'계산 과정'!$D$10*('계산 과정'!$C$38*(D962-'계산 과정'!$C$32)+'계산 과정'!$D$38*(E962-'계산 과정'!$D$32)-'계산 과정'!$E$38*'계산 과정'!$E$32)/J962,"")</x:f>
        <x:v>0.5110477703899543</x:v>
      </x:c>
      <x:c r="L962" s="4" t="n">
        <x:f>IF(AND('계산 과정'!$L$6,J962&gt;0),'계산 과정'!$D$10*('계산 과정'!$C$39*(D962-'계산 과정'!$C$32)+'계산 과정'!$D$39*(E962-'계산 과정'!$D$32)-'계산 과정'!$E$39*'계산 과정'!$E$32)/J962,"")</x:f>
        <x:v>1.1310778663897123</x:v>
      </x:c>
      <x:c r="M962" s="17" t="n">
        <x:f>IF('계산 과정'!$L$6,IF(J962&lt;=0,0,IF(AND(ABS(K962)&lt;='계산 과정'!$D$11/2,ABS(L962)&lt;='계산 과정'!$D$12/2),1,0)),"")</x:f>
        <x:v>1</x:v>
      </x:c>
      <x:c r="N962" s="17" t="n">
        <x:f>IF('계산 과정'!$C$78,IF(AND(ISNUMBER(H962),ISNUMBER(I962),ABS(H962-'계산 과정'!$C$88)&lt;='계산 과정'!$D$23/2,ABS(I962-'계산 과정'!$C$89)&lt;='계산 과정'!$D$24/2),1,0),"")</x:f>
        <x:v>1</x:v>
      </x:c>
      <x:c r="O962" s="4" t="n">
        <x:f>IF('계산 과정'!$L$7,'계산 과정'!$C$49*('계산 과정'!$C$32-D962)+'계산 과정'!$D$49*('계산 과정'!$D$32-E962)+'계산 과정'!$E$49*'계산 과정'!$E$32,"")</x:f>
        <x:v>39.0293956414078</x:v>
      </x:c>
      <x:c r="P962" s="4" t="n">
        <x:f>IF(AND('계산 과정'!$L$7,O962&lt;&gt;0),('계산 과정'!$L$23-'계산 과정'!$C$49*D962-'계산 과정'!$D$49*E962)/O962,"")</x:f>
        <x:v>11.24868546966749</x:v>
      </x:c>
      <x:c r="Q962" s="4" t="str">
        <x:f>IF(AND(ISNUMBER(P962),P962&gt;1E-9,P962&lt;1-1E-9),'계산 과정'!$C$47*(D962-'계산 과정'!$C$50+P962*('계산 과정'!$C$32-D962))+'계산 과정'!$D$47*(E962-'계산 과정'!$D$50+P962*('계산 과정'!$D$32-E962))+'계산 과정'!$E$47*(0-'계산 과정'!$E$50+P962*('계산 과정'!$E$32-0)),"")</x:f>
      </x:c>
      <x:c r="R962" s="4" t="str">
        <x:f>IF(AND(ISNUMBER(P962),P962&gt;1E-9,P962&lt;1-1E-9),'계산 과정'!$C$48*(D962-'계산 과정'!$C$50+P962*('계산 과정'!$C$32-D962))+'계산 과정'!$D$48*(E962-'계산 과정'!$D$50+P962*('계산 과정'!$D$32-E962))+'계산 과정'!$E$48*(0-'계산 과정'!$E$50+P962*('계산 과정'!$E$32-0)),"")</x:f>
      </x:c>
      <x:c r="S962" s="17" t="n">
        <x:f>IF('계산 과정'!$C$78,IF(AND(ISNUMBER(Q962),ISNUMBER(R962),ABS(Q962-'계산 과정'!$C$88)&lt;='계산 과정'!$D$23/2,ABS(R962-'계산 과정'!$C$89)&lt;='계산 과정'!$D$24/2),1,0),"")</x:f>
        <x:v>0</x:v>
      </x:c>
      <x:c r="T962" s="4"/>
      <x:c r="U962" s="4"/>
      <x:c r="V962" s="4"/>
      <x:c r="W962" s="4"/>
      <x:c r="X962" s="4"/>
      <x:c r="Y962" s="4"/>
      <x:c r="Z962" s="4"/>
    </x:row>
    <x:row r="963" ht="23" customHeight="1">
      <x:c r="A963" s="17" t="n">
        <x:f>ROW()-6</x:f>
        <x:v>957</x:v>
      </x:c>
      <x:c r="B963" s="4" t="n">
        <x:f>IF('계산 과정'!$L$5,'계산 과정'!$L$11*SQRT((A963+0.5)/'계산 과정'!$L$30),"")</x:f>
        <x:v>102.564171033005</x:v>
      </x:c>
      <x:c r="C963" s="4" t="n">
        <x:f>A963*PI()*(3-SQRT(5))</x:f>
        <x:v>2296.764810850321</x:v>
      </x:c>
      <x:c r="D963" s="4" t="n">
        <x:f>IF('계산 과정'!$L$5,B963*COS(C963),"")</x:f>
        <x:v>-99.10164888632556</x:v>
      </x:c>
      <x:c r="E963" s="4" t="n">
        <x:f>IF('계산 과정'!$L$5,B963*SIN(C963),"")</x:f>
        <x:v>-26.424843759215427</x:v>
      </x:c>
      <x:c r="F963" s="4" t="n">
        <x:f>IF('계산 과정'!$L$7,'계산 과정'!$L$22+'계산 과정'!$C$49*D963+'계산 과정'!$D$49*E963,"")</x:f>
        <x:v>720.0754479542891</x:v>
      </x:c>
      <x:c r="G963" s="4" t="n">
        <x:f>IF('계산 과정'!$L$7,IF(ABS(F963)&gt;=1E-12*MAX(1,SQRT((D963-'계산 과정'!$C$33)^2+(E963-'계산 과정'!$D$33)^2+'계산 과정'!$E$33^2)),('계산 과정'!$L$23-'계산 과정'!$C$49*D963-'계산 과정'!$D$49*E963)/F963,""),"")</x:f>
        <x:v>0.45818053230812944</x:v>
      </x:c>
      <x:c r="H963" s="4" t="n">
        <x:f>IF(AND(ISNUMBER(G963),G963&gt;0),('계산 과정'!$D$56+'계산 과정'!$D$57*D963+'계산 과정'!$D$58*E963)/F963,"")</x:f>
        <x:v>-102.18265399971598</x:v>
      </x:c>
      <x:c r="I963" s="4" t="n">
        <x:f>IF(AND(ISNUMBER(G963),G963&gt;0),('계산 과정'!$E$56+'계산 과정'!$E$57*D963+'계산 과정'!$E$58*E963)/F963,"")</x:f>
        <x:v>-38.5321927389719</x:v>
      </x:c>
      <x:c r="J963" s="4" t="n">
        <x:f>IF('계산 과정'!$L$5,'계산 과정'!$D$6+'계산 과정'!$C$35*D963+'계산 과정'!$D$35*E963,"")</x:f>
        <x:v>720.0754479542891</x:v>
      </x:c>
      <x:c r="K963" s="4" t="n">
        <x:f>IF(AND('계산 과정'!$L$6,J963&gt;0),'계산 과정'!$D$10*('계산 과정'!$C$38*(D963-'계산 과정'!$C$32)+'계산 과정'!$D$38*(E963-'계산 과정'!$D$32)-'계산 과정'!$E$38*'계산 과정'!$E$32)/J963,"")</x:f>
        <x:v>-0.7785345066645012</x:v>
      </x:c>
      <x:c r="L963" s="4" t="n">
        <x:f>IF(AND('계산 과정'!$L$6,J963&gt;0),'계산 과정'!$D$10*('계산 과정'!$C$39*(D963-'계산 과정'!$C$32)+'계산 과정'!$D$39*(E963-'계산 과정'!$D$32)-'계산 과정'!$E$39*'계산 과정'!$E$32)/J963,"")</x:f>
        <x:v>-0.2935786113445478</x:v>
      </x:c>
      <x:c r="M963" s="17" t="n">
        <x:f>IF('계산 과정'!$L$6,IF(J963&lt;=0,0,IF(AND(ABS(K963)&lt;='계산 과정'!$D$11/2,ABS(L963)&lt;='계산 과정'!$D$12/2),1,0)),"")</x:f>
        <x:v>1</x:v>
      </x:c>
      <x:c r="N963" s="17" t="n">
        <x:f>IF('계산 과정'!$C$78,IF(AND(ISNUMBER(H963),ISNUMBER(I963),ABS(H963-'계산 과정'!$C$88)&lt;='계산 과정'!$D$23/2,ABS(I963-'계산 과정'!$C$89)&lt;='계산 과정'!$D$24/2),1,0),"")</x:f>
        <x:v>1</x:v>
      </x:c>
      <x:c r="O963" s="4" t="n">
        <x:f>IF('계산 과정'!$L$7,'계산 과정'!$C$49*('계산 과정'!$C$32-D963)+'계산 과정'!$D$49*('계산 과정'!$D$32-E963)+'계산 과정'!$E$49*'계산 과정'!$E$32,"")</x:f>
        <x:v>-70.0754479542889</x:v>
      </x:c>
      <x:c r="P963" s="4" t="n">
        <x:f>IF(AND('계산 과정'!$L$7,O963&lt;&gt;0),('계산 과정'!$L$23-'계산 과정'!$C$49*D963-'계산 과정'!$D$49*E963)/O963,"")</x:f>
        <x:v>-4.7081333288218845</x:v>
      </x:c>
      <x:c r="Q963" s="4" t="str">
        <x:f>IF(AND(ISNUMBER(P963),P963&gt;1E-9,P963&lt;1-1E-9),'계산 과정'!$C$47*(D963-'계산 과정'!$C$50+P963*('계산 과정'!$C$32-D963))+'계산 과정'!$D$47*(E963-'계산 과정'!$D$50+P963*('계산 과정'!$D$32-E963))+'계산 과정'!$E$47*(0-'계산 과정'!$E$50+P963*('계산 과정'!$E$32-0)),"")</x:f>
      </x:c>
      <x:c r="R963" s="4" t="str">
        <x:f>IF(AND(ISNUMBER(P963),P963&gt;1E-9,P963&lt;1-1E-9),'계산 과정'!$C$48*(D963-'계산 과정'!$C$50+P963*('계산 과정'!$C$32-D963))+'계산 과정'!$D$48*(E963-'계산 과정'!$D$50+P963*('계산 과정'!$D$32-E963))+'계산 과정'!$E$48*(0-'계산 과정'!$E$50+P963*('계산 과정'!$E$32-0)),"")</x:f>
      </x:c>
      <x:c r="S963" s="17" t="n">
        <x:f>IF('계산 과정'!$C$78,IF(AND(ISNUMBER(Q963),ISNUMBER(R963),ABS(Q963-'계산 과정'!$C$88)&lt;='계산 과정'!$D$23/2,ABS(R963-'계산 과정'!$C$89)&lt;='계산 과정'!$D$24/2),1,0),"")</x:f>
        <x:v>0</x:v>
      </x:c>
      <x:c r="T963" s="4"/>
      <x:c r="U963" s="4"/>
      <x:c r="V963" s="4"/>
      <x:c r="W963" s="4"/>
      <x:c r="X963" s="4"/>
      <x:c r="Y963" s="4"/>
      <x:c r="Z963" s="4"/>
    </x:row>
    <x:row r="964" ht="23" customHeight="1">
      <x:c r="A964" s="17" t="n">
        <x:f>ROW()-6</x:f>
        <x:v>958</x:v>
      </x:c>
      <x:c r="B964" s="4" t="n">
        <x:f>IF('계산 과정'!$L$5,'계산 과정'!$L$11*SQRT((A964+0.5)/'계산 과정'!$L$30),"")</x:f>
        <x:v>102.61771537026391</x:v>
      </x:c>
      <x:c r="C964" s="4" t="n">
        <x:f>A964*PI()*(3-SQRT(5))</x:f>
        <x:v>2299.1647740800495</x:v>
      </x:c>
      <x:c r="D964" s="4" t="n">
        <x:f>IF('계산 과정'!$L$5,B964*COS(C964),"")</x:f>
        <x:v>90.97166474985909</x:v>
      </x:c>
      <x:c r="E964" s="4" t="n">
        <x:f>IF('계산 과정'!$L$5,B964*SIN(C964),"")</x:f>
        <x:v>-47.482120007975034</x:v>
      </x:c>
      <x:c r="F964" s="4" t="n">
        <x:f>IF('계산 과정'!$L$7,'계산 과정'!$L$22+'계산 과정'!$C$49*D964+'계산 과정'!$D$49*E964,"")</x:f>
        <x:v>585.6733189595454</x:v>
      </x:c>
      <x:c r="G964" s="4" t="n">
        <x:f>IF('계산 과정'!$L$7,IF(ABS(F964)&gt;=1E-12*MAX(1,SQRT((D964-'계산 과정'!$C$33)^2+(E964-'계산 과정'!$D$33)^2+'계산 과정'!$E$33^2)),('계산 과정'!$L$23-'계산 과정'!$C$49*D964-'계산 과정'!$D$49*E964)/F964,""),"")</x:f>
        <x:v>0.7928083216516258</x:v>
      </x:c>
      <x:c r="H964" s="4" t="n">
        <x:f>IF(AND(ISNUMBER(G964),G964&gt;0),('계산 과정'!$D$56+'계산 과정'!$D$57*D964+'계산 과정'!$D$58*E964)/F964,"")</x:f>
        <x:v>115.32540907355673</x:v>
      </x:c>
      <x:c r="I964" s="4" t="n">
        <x:f>IF(AND(ISNUMBER(G964),G964&gt;0),('계산 과정'!$E$56+'계산 과정'!$E$57*D964+'계산 과정'!$E$58*E964)/F964,"")</x:f>
        <x:v>-85.1263398799588</x:v>
      </x:c>
      <x:c r="J964" s="4" t="n">
        <x:f>IF('계산 과정'!$L$5,'계산 과정'!$D$6+'계산 과정'!$C$35*D964+'계산 과정'!$D$35*E964,"")</x:f>
        <x:v>585.6733189595454</x:v>
      </x:c>
      <x:c r="K964" s="4" t="n">
        <x:f>IF(AND('계산 과정'!$L$6,J964&gt;0),'계산 과정'!$D$10*('계산 과정'!$C$38*(D964-'계산 과정'!$C$32)+'계산 과정'!$D$38*(E964-'계산 과정'!$D$32)-'계산 과정'!$E$38*'계산 과정'!$E$32)/J964,"")</x:f>
        <x:v>0.8786697834175756</x:v>
      </x:c>
      <x:c r="L964" s="4" t="n">
        <x:f>IF(AND('계산 과정'!$L$6,J964&gt;0),'계산 과정'!$D$10*('계산 과정'!$C$39*(D964-'계산 과정'!$C$32)+'계산 과정'!$D$39*(E964-'계산 과정'!$D$32)-'계산 과정'!$E$39*'계산 과정'!$E$32)/J964,"")</x:f>
        <x:v>-0.6485816371806385</x:v>
      </x:c>
      <x:c r="M964" s="17" t="n">
        <x:f>IF('계산 과정'!$L$6,IF(J964&lt;=0,0,IF(AND(ABS(K964)&lt;='계산 과정'!$D$11/2,ABS(L964)&lt;='계산 과정'!$D$12/2),1,0)),"")</x:f>
        <x:v>1</x:v>
      </x:c>
      <x:c r="N964" s="17" t="n">
        <x:f>IF('계산 과정'!$C$78,IF(AND(ISNUMBER(H964),ISNUMBER(I964),ABS(H964-'계산 과정'!$C$88)&lt;='계산 과정'!$D$23/2,ABS(I964-'계산 과정'!$C$89)&lt;='계산 과정'!$D$24/2),1,0),"")</x:f>
        <x:v>1</x:v>
      </x:c>
      <x:c r="O964" s="4" t="n">
        <x:f>IF('계산 과정'!$L$7,'계산 과정'!$C$49*('계산 과정'!$C$32-D964)+'계산 과정'!$D$49*('계산 과정'!$D$32-E964)+'계산 과정'!$E$49*'계산 과정'!$E$32,"")</x:f>
        <x:v>64.32668104045467</x:v>
      </x:c>
      <x:c r="P964" s="4" t="n">
        <x:f>IF(AND('계산 과정'!$L$7,O964&lt;&gt;0),('계산 과정'!$L$23-'계산 과정'!$C$49*D964-'계산 과정'!$D$49*E964)/O964,"")</x:f>
        <x:v>7.218259570215386</x:v>
      </x:c>
      <x:c r="Q964" s="4" t="str">
        <x:f>IF(AND(ISNUMBER(P964),P964&gt;1E-9,P964&lt;1-1E-9),'계산 과정'!$C$47*(D964-'계산 과정'!$C$50+P964*('계산 과정'!$C$32-D964))+'계산 과정'!$D$47*(E964-'계산 과정'!$D$50+P964*('계산 과정'!$D$32-E964))+'계산 과정'!$E$47*(0-'계산 과정'!$E$50+P964*('계산 과정'!$E$32-0)),"")</x:f>
      </x:c>
      <x:c r="R964" s="4" t="str">
        <x:f>IF(AND(ISNUMBER(P964),P964&gt;1E-9,P964&lt;1-1E-9),'계산 과정'!$C$48*(D964-'계산 과정'!$C$50+P964*('계산 과정'!$C$32-D964))+'계산 과정'!$D$48*(E964-'계산 과정'!$D$50+P964*('계산 과정'!$D$32-E964))+'계산 과정'!$E$48*(0-'계산 과정'!$E$50+P964*('계산 과정'!$E$32-0)),"")</x:f>
      </x:c>
      <x:c r="S964" s="17" t="n">
        <x:f>IF('계산 과정'!$C$78,IF(AND(ISNUMBER(Q964),ISNUMBER(R964),ABS(Q964-'계산 과정'!$C$88)&lt;='계산 과정'!$D$23/2,ABS(R964-'계산 과정'!$C$89)&lt;='계산 과정'!$D$24/2),1,0),"")</x:f>
        <x:v>0</x:v>
      </x:c>
      <x:c r="T964" s="4"/>
      <x:c r="U964" s="4"/>
      <x:c r="V964" s="4"/>
      <x:c r="W964" s="4"/>
      <x:c r="X964" s="4"/>
      <x:c r="Y964" s="4"/>
      <x:c r="Z964" s="4"/>
    </x:row>
    <x:row r="965" ht="23" customHeight="1">
      <x:c r="A965" s="17" t="n">
        <x:f>ROW()-6</x:f>
        <x:v>959</x:v>
      </x:c>
      <x:c r="B965" s="4" t="n">
        <x:f>IF('계산 과정'!$L$5,'계산 과정'!$L$11*SQRT((A965+0.5)/'계산 과정'!$L$30),"")</x:f>
        <x:v>102.67123178348209</x:v>
      </x:c>
      <x:c r="C965" s="4" t="n">
        <x:f>A965*PI()*(3-SQRT(5))</x:f>
        <x:v>2301.564737309778</x:v>
      </x:c>
      <x:c r="D965" s="4" t="n">
        <x:f>IF('계산 과정'!$L$5,B965*COS(C965),"")</x:f>
        <x:v>-35.02421920178127</x:v>
      </x:c>
      <x:c r="E965" s="4" t="n">
        <x:f>IF('계산 과정'!$L$5,B965*SIN(C965),"")</x:f>
        <x:v>96.51262044542713</x:v>
      </x:c>
      <x:c r="F965" s="4" t="n">
        <x:f>IF('계산 과정'!$L$7,'계산 과정'!$L$22+'계산 과정'!$C$49*D965+'계산 과정'!$D$49*E965,"")</x:f>
        <x:v>674.7658629033436</x:v>
      </x:c>
      <x:c r="G965" s="4" t="n">
        <x:f>IF('계산 과정'!$L$7,IF(ABS(F965)&gt;=1E-12*MAX(1,SQRT((D965-'계산 과정'!$C$33)^2+(E965-'계산 과정'!$D$33)^2+'계산 과정'!$E$33^2)),('계산 과정'!$L$23-'계산 과정'!$C$49*D965-'계산 과정'!$D$49*E965)/F965,""),"")</x:f>
        <x:v>0.5560953179849979</x:v>
      </x:c>
      <x:c r="H965" s="4" t="n">
        <x:f>IF(AND(ISNUMBER(G965),G965&gt;0),('계산 과정'!$D$56+'계산 과정'!$D$57*D965+'계산 과정'!$D$58*E965)/F965,"")</x:f>
        <x:v>-38.53804330975148</x:v>
      </x:c>
      <x:c r="I965" s="4" t="n">
        <x:f>IF(AND(ISNUMBER(G965),G965&gt;0),('계산 과정'!$E$56+'계산 과정'!$E$57*D965+'계산 과정'!$E$58*E965)/F965,"")</x:f>
        <x:v>150.18283680159234</x:v>
      </x:c>
      <x:c r="J965" s="4" t="n">
        <x:f>IF('계산 과정'!$L$5,'계산 과정'!$D$6+'계산 과정'!$C$35*D965+'계산 과정'!$D$35*E965,"")</x:f>
        <x:v>674.7658629033436</x:v>
      </x:c>
      <x:c r="K965" s="4" t="n">
        <x:f>IF(AND('계산 과정'!$L$6,J965&gt;0),'계산 과정'!$D$10*('계산 과정'!$C$38*(D965-'계산 과정'!$C$32)+'계산 과정'!$D$38*(E965-'계산 과정'!$D$32)-'계산 과정'!$E$38*'계산 과정'!$E$32)/J965,"")</x:f>
        <x:v>-0.2936231871219147</x:v>
      </x:c>
      <x:c r="L965" s="4" t="n">
        <x:f>IF(AND('계산 과정'!$L$6,J965&gt;0),'계산 과정'!$D$10*('계산 과정'!$C$39*(D965-'계산 과정'!$C$32)+'계산 과정'!$D$39*(E965-'계산 과정'!$D$32)-'계산 과정'!$E$39*'계산 과정'!$E$32)/J965,"")</x:f>
        <x:v>1.1442501851549893</x:v>
      </x:c>
      <x:c r="M965" s="17" t="n">
        <x:f>IF('계산 과정'!$L$6,IF(J965&lt;=0,0,IF(AND(ABS(K965)&lt;='계산 과정'!$D$11/2,ABS(L965)&lt;='계산 과정'!$D$12/2),1,0)),"")</x:f>
        <x:v>1</x:v>
      </x:c>
      <x:c r="N965" s="17" t="n">
        <x:f>IF('계산 과정'!$C$78,IF(AND(ISNUMBER(H965),ISNUMBER(I965),ABS(H965-'계산 과정'!$C$88)&lt;='계산 과정'!$D$23/2,ABS(I965-'계산 과정'!$C$89)&lt;='계산 과정'!$D$24/2),1,0),"")</x:f>
        <x:v>1</x:v>
      </x:c>
      <x:c r="O965" s="4" t="n">
        <x:f>IF('계산 과정'!$L$7,'계산 과정'!$C$49*('계산 과정'!$C$32-D965)+'계산 과정'!$D$49*('계산 과정'!$D$32-E965)+'계산 과정'!$E$49*'계산 과정'!$E$32,"")</x:f>
        <x:v>-24.765862903343475</x:v>
      </x:c>
      <x:c r="P965" s="4" t="n">
        <x:f>IF(AND('계산 과정'!$L$7,O965&lt;&gt;0),('계산 과정'!$L$23-'계산 과정'!$C$49*D965-'계산 과정'!$D$49*E965)/O965,"")</x:f>
        <x:v>-15.151264406216125</x:v>
      </x:c>
      <x:c r="Q965" s="4" t="str">
        <x:f>IF(AND(ISNUMBER(P965),P965&gt;1E-9,P965&lt;1-1E-9),'계산 과정'!$C$47*(D965-'계산 과정'!$C$50+P965*('계산 과정'!$C$32-D965))+'계산 과정'!$D$47*(E965-'계산 과정'!$D$50+P965*('계산 과정'!$D$32-E965))+'계산 과정'!$E$47*(0-'계산 과정'!$E$50+P965*('계산 과정'!$E$32-0)),"")</x:f>
      </x:c>
      <x:c r="R965" s="4" t="str">
        <x:f>IF(AND(ISNUMBER(P965),P965&gt;1E-9,P965&lt;1-1E-9),'계산 과정'!$C$48*(D965-'계산 과정'!$C$50+P965*('계산 과정'!$C$32-D965))+'계산 과정'!$D$48*(E965-'계산 과정'!$D$50+P965*('계산 과정'!$D$32-E965))+'계산 과정'!$E$48*(0-'계산 과정'!$E$50+P965*('계산 과정'!$E$32-0)),"")</x:f>
      </x:c>
      <x:c r="S965" s="17" t="n">
        <x:f>IF('계산 과정'!$C$78,IF(AND(ISNUMBER(Q965),ISNUMBER(R965),ABS(Q965-'계산 과정'!$C$88)&lt;='계산 과정'!$D$23/2,ABS(R965-'계산 과정'!$C$89)&lt;='계산 과정'!$D$24/2),1,0),"")</x:f>
        <x:v>0</x:v>
      </x:c>
      <x:c r="T965" s="4"/>
      <x:c r="U965" s="4"/>
      <x:c r="V965" s="4"/>
      <x:c r="W965" s="4"/>
      <x:c r="X965" s="4"/>
      <x:c r="Y965" s="4"/>
      <x:c r="Z965" s="4"/>
    </x:row>
    <x:row r="966" ht="23" customHeight="1">
      <x:c r="A966" s="17" t="n">
        <x:f>ROW()-6</x:f>
        <x:v>960</x:v>
      </x:c>
      <x:c r="B966" s="4" t="n">
        <x:f>IF('계산 과정'!$L$5,'계산 과정'!$L$11*SQRT((A966+0.5)/'계산 과정'!$L$30),"")</x:f>
        <x:v>102.72472031630215</x:v>
      </x:c>
      <x:c r="C966" s="4" t="n">
        <x:f>A966*PI()*(3-SQRT(5))</x:f>
        <x:v>2303.964700539507</x:v>
      </x:c>
      <x:c r="D966" s="4" t="n">
        <x:f>IF('계산 과정'!$L$5,B966*COS(C966),"")</x:f>
        <x:v>-39.38807845087002</x:v>
      </x:c>
      <x:c r="E966" s="4" t="n">
        <x:f>IF('계산 과정'!$L$5,B966*SIN(C966),"")</x:f>
        <x:v>-94.87332312094169</x:v>
      </x:c>
      <x:c r="F966" s="4" t="n">
        <x:f>IF('계산 과정'!$L$7,'계산 과정'!$L$22+'계산 과정'!$C$49*D966+'계산 과정'!$D$49*E966,"")</x:f>
        <x:v>677.8515773705179</x:v>
      </x:c>
      <x:c r="G966" s="4" t="n">
        <x:f>IF('계산 과정'!$L$7,IF(ABS(F966)&gt;=1E-12*MAX(1,SQRT((D966-'계산 과정'!$C$33)^2+(E966-'계산 과정'!$D$33)^2+'계산 과정'!$E$33^2)),('계산 과정'!$L$23-'계산 과정'!$C$49*D966-'계산 과정'!$D$49*E966)/F966,""),"")</x:f>
        <x:v>0.5490116642836451</x:v>
      </x:c>
      <x:c r="H966" s="4" t="n">
        <x:f>IF(AND(ISNUMBER(G966),G966&gt;0),('계산 과정'!$D$56+'계산 과정'!$D$57*D966+'계산 과정'!$D$58*E966)/F966,"")</x:f>
        <x:v>-43.142418215630784</x:v>
      </x:c>
      <x:c r="I966" s="4" t="n">
        <x:f>IF(AND(ISNUMBER(G966),G966&gt;0),('계산 과정'!$E$56+'계산 과정'!$E$57*D966+'계산 과정'!$E$58*E966)/F966,"")</x:f>
        <x:v>-146.95988414368992</x:v>
      </x:c>
      <x:c r="J966" s="4" t="n">
        <x:f>IF('계산 과정'!$L$5,'계산 과정'!$D$6+'계산 과정'!$C$35*D966+'계산 과정'!$D$35*E966,"")</x:f>
        <x:v>677.8515773705179</x:v>
      </x:c>
      <x:c r="K966" s="4" t="n">
        <x:f>IF(AND('계산 과정'!$L$6,J966&gt;0),'계산 과정'!$D$10*('계산 과정'!$C$38*(D966-'계산 과정'!$C$32)+'계산 과정'!$D$38*(E966-'계산 과정'!$D$32)-'계산 과정'!$E$38*'계산 과정'!$E$32)/J966,"")</x:f>
        <x:v>-0.3287041387857576</x:v>
      </x:c>
      <x:c r="L966" s="4" t="n">
        <x:f>IF(AND('계산 과정'!$L$6,J966&gt;0),'계산 과정'!$D$10*('계산 과정'!$C$39*(D966-'계산 과정'!$C$32)+'계산 과정'!$D$39*(E966-'계산 과정'!$D$32)-'계산 과정'!$E$39*'계산 과정'!$E$32)/J966,"")</x:f>
        <x:v>-1.1196943553804946</x:v>
      </x:c>
      <x:c r="M966" s="17" t="n">
        <x:f>IF('계산 과정'!$L$6,IF(J966&lt;=0,0,IF(AND(ABS(K966)&lt;='계산 과정'!$D$11/2,ABS(L966)&lt;='계산 과정'!$D$12/2),1,0)),"")</x:f>
        <x:v>1</x:v>
      </x:c>
      <x:c r="N966" s="17" t="n">
        <x:f>IF('계산 과정'!$C$78,IF(AND(ISNUMBER(H966),ISNUMBER(I966),ABS(H966-'계산 과정'!$C$88)&lt;='계산 과정'!$D$23/2,ABS(I966-'계산 과정'!$C$89)&lt;='계산 과정'!$D$24/2),1,0),"")</x:f>
        <x:v>1</x:v>
      </x:c>
      <x:c r="O966" s="4" t="n">
        <x:f>IF('계산 과정'!$L$7,'계산 과정'!$C$49*('계산 과정'!$C$32-D966)+'계산 과정'!$D$49*('계산 과정'!$D$32-E966)+'계산 과정'!$E$49*'계산 과정'!$E$32,"")</x:f>
        <x:v>-27.851577370517816</x:v>
      </x:c>
      <x:c r="P966" s="4" t="n">
        <x:f>IF(AND('계산 과정'!$L$7,O966&lt;&gt;0),('계산 과정'!$L$23-'계산 과정'!$C$49*D966-'계산 과정'!$D$49*E966)/O966,"")</x:f>
        <x:v>-13.36184366431678</x:v>
      </x:c>
      <x:c r="Q966" s="4" t="str">
        <x:f>IF(AND(ISNUMBER(P966),P966&gt;1E-9,P966&lt;1-1E-9),'계산 과정'!$C$47*(D966-'계산 과정'!$C$50+P966*('계산 과정'!$C$32-D966))+'계산 과정'!$D$47*(E966-'계산 과정'!$D$50+P966*('계산 과정'!$D$32-E966))+'계산 과정'!$E$47*(0-'계산 과정'!$E$50+P966*('계산 과정'!$E$32-0)),"")</x:f>
      </x:c>
      <x:c r="R966" s="4" t="str">
        <x:f>IF(AND(ISNUMBER(P966),P966&gt;1E-9,P966&lt;1-1E-9),'계산 과정'!$C$48*(D966-'계산 과정'!$C$50+P966*('계산 과정'!$C$32-D966))+'계산 과정'!$D$48*(E966-'계산 과정'!$D$50+P966*('계산 과정'!$D$32-E966))+'계산 과정'!$E$48*(0-'계산 과정'!$E$50+P966*('계산 과정'!$E$32-0)),"")</x:f>
      </x:c>
      <x:c r="S966" s="17" t="n">
        <x:f>IF('계산 과정'!$C$78,IF(AND(ISNUMBER(Q966),ISNUMBER(R966),ABS(Q966-'계산 과정'!$C$88)&lt;='계산 과정'!$D$23/2,ABS(R966-'계산 과정'!$C$89)&lt;='계산 과정'!$D$24/2),1,0),"")</x:f>
        <x:v>0</x:v>
      </x:c>
      <x:c r="T966" s="4"/>
      <x:c r="U966" s="4"/>
      <x:c r="V966" s="4"/>
      <x:c r="W966" s="4"/>
      <x:c r="X966" s="4"/>
      <x:c r="Y966" s="4"/>
      <x:c r="Z966" s="4"/>
    </x:row>
    <x:row r="967" ht="23" customHeight="1">
      <x:c r="A967" s="17" t="n">
        <x:f>ROW()-6</x:f>
        <x:v>961</x:v>
      </x:c>
      <x:c r="B967" s="4" t="n">
        <x:f>IF('계산 과정'!$L$5,'계산 과정'!$L$11*SQRT((A967+0.5)/'계산 과정'!$L$30),"")</x:f>
        <x:v>102.77818101225328</x:v>
      </x:c>
      <x:c r="C967" s="4" t="n">
        <x:f>A967*PI()*(3-SQRT(5))</x:f>
        <x:v>2306.3646637692354</x:v>
      </x:c>
      <x:c r="D967" s="4" t="n">
        <x:f>IF('계산 과정'!$L$5,B967*COS(C967),"")</x:f>
        <x:v>93.1780192829517</x:v>
      </x:c>
      <x:c r="E967" s="4" t="n">
        <x:f>IF('계산 과정'!$L$5,B967*SIN(C967),"")</x:f>
        <x:v>43.37293182035755</x:v>
      </x:c>
      <x:c r="F967" s="4" t="n">
        <x:f>IF('계산 과정'!$L$7,'계산 과정'!$L$22+'계산 과정'!$C$49*D967+'계산 과정'!$D$49*E967,"")</x:f>
        <x:v>584.1131907074939</x:v>
      </x:c>
      <x:c r="G967" s="4" t="n">
        <x:f>IF('계산 과정'!$L$7,IF(ABS(F967)&gt;=1E-12*MAX(1,SQRT((D967-'계산 과정'!$C$33)^2+(E967-'계산 과정'!$D$33)^2+'계산 과정'!$E$33^2)),('계산 과정'!$L$23-'계산 과정'!$C$49*D967-'계산 과정'!$D$49*E967)/F967,""),"")</x:f>
        <x:v>0.7975967957994771</x:v>
      </x:c>
      <x:c r="H967" s="4" t="n">
        <x:f>IF(AND(ISNUMBER(G967),G967&gt;0),('계산 과정'!$D$56+'계산 과정'!$D$57*D967+'계산 과정'!$D$58*E967)/F967,"")</x:f>
        <x:v>118.43791726965996</x:v>
      </x:c>
      <x:c r="I967" s="4" t="n">
        <x:f>IF(AND(ISNUMBER(G967),G967&gt;0),('계산 과정'!$E$56+'계산 과정'!$E$57*D967+'계산 과정'!$E$58*E967)/F967,"")</x:f>
        <x:v>77.96704326470392</x:v>
      </x:c>
      <x:c r="J967" s="4" t="n">
        <x:f>IF('계산 과정'!$L$5,'계산 과정'!$D$6+'계산 과정'!$C$35*D967+'계산 과정'!$D$35*E967,"")</x:f>
        <x:v>584.1131907074939</x:v>
      </x:c>
      <x:c r="K967" s="4" t="n">
        <x:f>IF(AND('계산 과정'!$L$6,J967&gt;0),'계산 과정'!$D$10*('계산 과정'!$C$38*(D967-'계산 과정'!$C$32)+'계산 과정'!$D$38*(E967-'계산 과정'!$D$32)-'계산 과정'!$E$38*'계산 과정'!$E$32)/J967,"")</x:f>
        <x:v>0.9023841315783623</x:v>
      </x:c>
      <x:c r="L967" s="4" t="n">
        <x:f>IF(AND('계산 과정'!$L$6,J967&gt;0),'계산 과정'!$D$10*('계산 과정'!$C$39*(D967-'계산 과정'!$C$32)+'계산 과정'!$D$39*(E967-'계산 과정'!$D$32)-'계산 과정'!$E$39*'계산 과정'!$E$32)/J967,"")</x:f>
        <x:v>0.594034615350125</x:v>
      </x:c>
      <x:c r="M967" s="17" t="n">
        <x:f>IF('계산 과정'!$L$6,IF(J967&lt;=0,0,IF(AND(ABS(K967)&lt;='계산 과정'!$D$11/2,ABS(L967)&lt;='계산 과정'!$D$12/2),1,0)),"")</x:f>
        <x:v>1</x:v>
      </x:c>
      <x:c r="N967" s="17" t="n">
        <x:f>IF('계산 과정'!$C$78,IF(AND(ISNUMBER(H967),ISNUMBER(I967),ABS(H967-'계산 과정'!$C$88)&lt;='계산 과정'!$D$23/2,ABS(I967-'계산 과정'!$C$89)&lt;='계산 과정'!$D$24/2),1,0),"")</x:f>
        <x:v>1</x:v>
      </x:c>
      <x:c r="O967" s="4" t="n">
        <x:f>IF('계산 과정'!$L$7,'계산 과정'!$C$49*('계산 과정'!$C$32-D967)+'계산 과정'!$D$49*('계산 과정'!$D$32-E967)+'계산 과정'!$E$49*'계산 과정'!$E$32,"")</x:f>
        <x:v>65.88680929250614</x:v>
      </x:c>
      <x:c r="P967" s="4" t="n">
        <x:f>IF(AND('계산 과정'!$L$7,O967&lt;&gt;0),('계산 과정'!$L$23-'계산 과정'!$C$49*D967-'계산 과정'!$D$49*E967)/O967,"")</x:f>
        <x:v>7.071017921420202</x:v>
      </x:c>
      <x:c r="Q967" s="4" t="str">
        <x:f>IF(AND(ISNUMBER(P967),P967&gt;1E-9,P967&lt;1-1E-9),'계산 과정'!$C$47*(D967-'계산 과정'!$C$50+P967*('계산 과정'!$C$32-D967))+'계산 과정'!$D$47*(E967-'계산 과정'!$D$50+P967*('계산 과정'!$D$32-E967))+'계산 과정'!$E$47*(0-'계산 과정'!$E$50+P967*('계산 과정'!$E$32-0)),"")</x:f>
      </x:c>
      <x:c r="R967" s="4" t="str">
        <x:f>IF(AND(ISNUMBER(P967),P967&gt;1E-9,P967&lt;1-1E-9),'계산 과정'!$C$48*(D967-'계산 과정'!$C$50+P967*('계산 과정'!$C$32-D967))+'계산 과정'!$D$48*(E967-'계산 과정'!$D$50+P967*('계산 과정'!$D$32-E967))+'계산 과정'!$E$48*(0-'계산 과정'!$E$50+P967*('계산 과정'!$E$32-0)),"")</x:f>
      </x:c>
      <x:c r="S967" s="17" t="n">
        <x:f>IF('계산 과정'!$C$78,IF(AND(ISNUMBER(Q967),ISNUMBER(R967),ABS(Q967-'계산 과정'!$C$88)&lt;='계산 과정'!$D$23/2,ABS(R967-'계산 과정'!$C$89)&lt;='계산 과정'!$D$24/2),1,0),"")</x:f>
        <x:v>0</x:v>
      </x:c>
      <x:c r="T967" s="4"/>
      <x:c r="U967" s="4"/>
      <x:c r="V967" s="4"/>
      <x:c r="W967" s="4"/>
      <x:c r="X967" s="4"/>
      <x:c r="Y967" s="4"/>
      <x:c r="Z967" s="4"/>
    </x:row>
    <x:row r="968" ht="23" customHeight="1">
      <x:c r="A968" s="17" t="n">
        <x:f>ROW()-6</x:f>
        <x:v>962</x:v>
      </x:c>
      <x:c r="B968" s="4" t="n">
        <x:f>IF('계산 과정'!$L$5,'계산 과정'!$L$11*SQRT((A968+0.5)/'계산 과정'!$L$30),"")</x:f>
        <x:v>102.83161391475143</x:v>
      </x:c>
      <x:c r="C968" s="4" t="n">
        <x:f>A968*PI()*(3-SQRT(5))</x:f>
        <x:v>2308.764626998964</x:v>
      </x:c>
      <x:c r="D968" s="4" t="n">
        <x:f>IF('계산 과정'!$L$5,B968*COS(C968),"")</x:f>
        <x:v>-98.05551718706374</x:v>
      </x:c>
      <x:c r="E968" s="4" t="n">
        <x:f>IF('계산 과정'!$L$5,B968*SIN(C968),"")</x:f>
        <x:v>30.97509272770539</x:v>
      </x:c>
      <x:c r="F968" s="4" t="n">
        <x:f>IF('계산 과정'!$L$7,'계산 과정'!$L$22+'계산 과정'!$C$49*D968+'계산 과정'!$D$49*E968,"")</x:f>
        <x:v>719.3357211357268</x:v>
      </x:c>
      <x:c r="G968" s="4" t="n">
        <x:f>IF('계산 과정'!$L$7,IF(ABS(F968)&gt;=1E-12*MAX(1,SQRT((D968-'계산 과정'!$C$33)^2+(E968-'계산 과정'!$D$33)^2+'계산 과정'!$E$33^2)),('계산 과정'!$L$23-'계산 과정'!$C$49*D968-'계산 과정'!$D$49*E968)/F968,""),"")</x:f>
        <x:v>0.4596800480618455</x:v>
      </x:c>
      <x:c r="H968" s="4" t="n">
        <x:f>IF(AND(ISNUMBER(G968),G968&gt;0),('계산 과정'!$D$56+'계산 과정'!$D$57*D968+'계산 과정'!$D$58*E968)/F968,"")</x:f>
        <x:v>-101.2079687598006</x:v>
      </x:c>
      <x:c r="I968" s="4" t="n">
        <x:f>IF(AND(ISNUMBER(G968),G968&gt;0),('계산 과정'!$E$56+'계산 과정'!$E$57*D968+'계산 과정'!$E$58*E968)/F968,"")</x:f>
        <x:v>45.213724841497125</x:v>
      </x:c>
      <x:c r="J968" s="4" t="n">
        <x:f>IF('계산 과정'!$L$5,'계산 과정'!$D$6+'계산 과정'!$C$35*D968+'계산 과정'!$D$35*E968,"")</x:f>
        <x:v>719.3357211357268</x:v>
      </x:c>
      <x:c r="K968" s="4" t="n">
        <x:f>IF(AND('계산 과정'!$L$6,J968&gt;0),'계산 과정'!$D$10*('계산 과정'!$C$38*(D968-'계산 과정'!$C$32)+'계산 과정'!$D$38*(E968-'계산 과정'!$D$32)-'계산 과정'!$E$38*'계산 과정'!$E$32)/J968,"")</x:f>
        <x:v>-0.7711083334080034</x:v>
      </x:c>
      <x:c r="L968" s="4" t="n">
        <x:f>IF(AND('계산 과정'!$L$6,J968&gt;0),'계산 과정'!$D$10*('계산 과정'!$C$39*(D968-'계산 과정'!$C$32)+'계산 과정'!$D$39*(E968-'계산 과정'!$D$32)-'계산 과정'!$E$39*'계산 과정'!$E$32)/J968,"")</x:f>
        <x:v>0.34448552260188287</x:v>
      </x:c>
      <x:c r="M968" s="17" t="n">
        <x:f>IF('계산 과정'!$L$6,IF(J968&lt;=0,0,IF(AND(ABS(K968)&lt;='계산 과정'!$D$11/2,ABS(L968)&lt;='계산 과정'!$D$12/2),1,0)),"")</x:f>
        <x:v>1</x:v>
      </x:c>
      <x:c r="N968" s="17" t="n">
        <x:f>IF('계산 과정'!$C$78,IF(AND(ISNUMBER(H968),ISNUMBER(I968),ABS(H968-'계산 과정'!$C$88)&lt;='계산 과정'!$D$23/2,ABS(I968-'계산 과정'!$C$89)&lt;='계산 과정'!$D$24/2),1,0),"")</x:f>
        <x:v>1</x:v>
      </x:c>
      <x:c r="O968" s="4" t="n">
        <x:f>IF('계산 과정'!$L$7,'계산 과정'!$C$49*('계산 과정'!$C$32-D968)+'계산 과정'!$D$49*('계산 과정'!$D$32-E968)+'계산 과정'!$E$49*'계산 과정'!$E$32,"")</x:f>
        <x:v>-69.33572113572671</x:v>
      </x:c>
      <x:c r="P968" s="4" t="n">
        <x:f>IF(AND('계산 과정'!$L$7,O968&lt;&gt;0),('계산 과정'!$L$23-'계산 과정'!$C$49*D968-'계산 과정'!$D$49*E968)/O968,"")</x:f>
        <x:v>-4.769032086894836</x:v>
      </x:c>
      <x:c r="Q968" s="4" t="str">
        <x:f>IF(AND(ISNUMBER(P968),P968&gt;1E-9,P968&lt;1-1E-9),'계산 과정'!$C$47*(D968-'계산 과정'!$C$50+P968*('계산 과정'!$C$32-D968))+'계산 과정'!$D$47*(E968-'계산 과정'!$D$50+P968*('계산 과정'!$D$32-E968))+'계산 과정'!$E$47*(0-'계산 과정'!$E$50+P968*('계산 과정'!$E$32-0)),"")</x:f>
      </x:c>
      <x:c r="R968" s="4" t="str">
        <x:f>IF(AND(ISNUMBER(P968),P968&gt;1E-9,P968&lt;1-1E-9),'계산 과정'!$C$48*(D968-'계산 과정'!$C$50+P968*('계산 과정'!$C$32-D968))+'계산 과정'!$D$48*(E968-'계산 과정'!$D$50+P968*('계산 과정'!$D$32-E968))+'계산 과정'!$E$48*(0-'계산 과정'!$E$50+P968*('계산 과정'!$E$32-0)),"")</x:f>
      </x:c>
      <x:c r="S968" s="17" t="n">
        <x:f>IF('계산 과정'!$C$78,IF(AND(ISNUMBER(Q968),ISNUMBER(R968),ABS(Q968-'계산 과정'!$C$88)&lt;='계산 과정'!$D$23/2,ABS(R968-'계산 과정'!$C$89)&lt;='계산 과정'!$D$24/2),1,0),"")</x:f>
        <x:v>0</x:v>
      </x:c>
      <x:c r="T968" s="4"/>
      <x:c r="U968" s="4"/>
      <x:c r="V968" s="4"/>
      <x:c r="W968" s="4"/>
      <x:c r="X968" s="4"/>
      <x:c r="Y968" s="4"/>
      <x:c r="Z968" s="4"/>
    </x:row>
    <x:row r="969" ht="23" customHeight="1">
      <x:c r="A969" s="17" t="n">
        <x:f>ROW()-6</x:f>
        <x:v>963</x:v>
      </x:c>
      <x:c r="B969" s="4" t="n">
        <x:f>IF('계산 과정'!$L$5,'계산 과정'!$L$11*SQRT((A969+0.5)/'계산 과정'!$L$30),"")</x:f>
        <x:v>102.88501906709986</x:v>
      </x:c>
      <x:c r="C969" s="4" t="n">
        <x:f>A969*PI()*(3-SQRT(5))</x:f>
        <x:v>2311.1645902286928</x:v>
      </x:c>
      <x:c r="D969" s="4" t="n">
        <x:f>IF('계산 과정'!$L$5,B969*COS(C969),"")</x:f>
        <x:v>51.406396026715754</x:v>
      </x:c>
      <x:c r="E969" s="4" t="n">
        <x:f>IF('계산 과정'!$L$5,B969*SIN(C969),"")</x:f>
        <x:v>-89.12188056802867</x:v>
      </x:c>
      <x:c r="F969" s="4" t="n">
        <x:f>IF('계산 과정'!$L$7,'계산 과정'!$L$22+'계산 과정'!$C$49*D969+'계산 과정'!$D$49*E969,"")</x:f>
        <x:v>613.6501887731481</x:v>
      </x:c>
      <x:c r="G969" s="4" t="n">
        <x:f>IF('계산 과정'!$L$7,IF(ABS(F969)&gt;=1E-12*MAX(1,SQRT((D969-'계산 과정'!$C$33)^2+(E969-'계산 과정'!$D$33)^2+'계산 과정'!$E$33^2)),('계산 과정'!$L$23-'계산 과정'!$C$49*D969-'계산 과정'!$D$49*E969)/F969,""),"")</x:f>
        <x:v>0.7110725608986328</x:v>
      </x:c>
      <x:c r="H969" s="4" t="n">
        <x:f>IF(AND(ISNUMBER(G969),G969&gt;0),('계산 과정'!$D$56+'계산 과정'!$D$57*D969+'계산 과정'!$D$58*E969)/F969,"")</x:f>
        <x:v>62.197164584111256</x:v>
      </x:c>
      <x:c r="I969" s="4" t="n">
        <x:f>IF(AND(ISNUMBER(G969),G969&gt;0),('계산 과정'!$E$56+'계산 과정'!$E$57*D969+'계산 과정'!$E$58*E969)/F969,"")</x:f>
        <x:v>-152.49400441563893</x:v>
      </x:c>
      <x:c r="J969" s="4" t="n">
        <x:f>IF('계산 과정'!$L$5,'계산 과정'!$D$6+'계산 과정'!$C$35*D969+'계산 과정'!$D$35*E969,"")</x:f>
        <x:v>613.6501887731481</x:v>
      </x:c>
      <x:c r="K969" s="4" t="n">
        <x:f>IF(AND('계산 과정'!$L$6,J969&gt;0),'계산 과정'!$D$10*('계산 과정'!$C$38*(D969-'계산 과정'!$C$32)+'계산 과정'!$D$38*(E969-'계산 과정'!$D$32)-'계산 과정'!$E$38*'계산 과정'!$E$32)/J969,"")</x:f>
        <x:v>0.4738831587360865</x:v>
      </x:c>
      <x:c r="L969" s="4" t="n">
        <x:f>IF(AND('계산 과정'!$L$6,J969&gt;0),'계산 과정'!$D$10*('계산 과정'!$C$39*(D969-'계산 과정'!$C$32)+'계산 과정'!$D$39*(E969-'계산 과정'!$D$32)-'계산 과정'!$E$39*'계산 과정'!$E$32)/J969,"")</x:f>
        <x:v>-1.1618590812620109</x:v>
      </x:c>
      <x:c r="M969" s="17" t="n">
        <x:f>IF('계산 과정'!$L$6,IF(J969&lt;=0,0,IF(AND(ABS(K969)&lt;='계산 과정'!$D$11/2,ABS(L969)&lt;='계산 과정'!$D$12/2),1,0)),"")</x:f>
        <x:v>1</x:v>
      </x:c>
      <x:c r="N969" s="17" t="n">
        <x:f>IF('계산 과정'!$C$78,IF(AND(ISNUMBER(H969),ISNUMBER(I969),ABS(H969-'계산 과정'!$C$88)&lt;='계산 과정'!$D$23/2,ABS(I969-'계산 과정'!$C$89)&lt;='계산 과정'!$D$24/2),1,0),"")</x:f>
        <x:v>1</x:v>
      </x:c>
      <x:c r="O969" s="4" t="n">
        <x:f>IF('계산 과정'!$L$7,'계산 과정'!$C$49*('계산 과정'!$C$32-D969)+'계산 과정'!$D$49*('계산 과정'!$D$32-E969)+'계산 과정'!$E$49*'계산 과정'!$E$32,"")</x:f>
        <x:v>36.34981122685201</x:v>
      </x:c>
      <x:c r="P969" s="4" t="n">
        <x:f>IF(AND('계산 과정'!$L$7,O969&lt;&gt;0),('계산 과정'!$L$23-'계산 과정'!$C$49*D969-'계산 과정'!$D$49*E969)/O969,"")</x:f>
        <x:v>12.004183694481346</x:v>
      </x:c>
      <x:c r="Q969" s="4" t="str">
        <x:f>IF(AND(ISNUMBER(P969),P969&gt;1E-9,P969&lt;1-1E-9),'계산 과정'!$C$47*(D969-'계산 과정'!$C$50+P969*('계산 과정'!$C$32-D969))+'계산 과정'!$D$47*(E969-'계산 과정'!$D$50+P969*('계산 과정'!$D$32-E969))+'계산 과정'!$E$47*(0-'계산 과정'!$E$50+P969*('계산 과정'!$E$32-0)),"")</x:f>
      </x:c>
      <x:c r="R969" s="4" t="str">
        <x:f>IF(AND(ISNUMBER(P969),P969&gt;1E-9,P969&lt;1-1E-9),'계산 과정'!$C$48*(D969-'계산 과정'!$C$50+P969*('계산 과정'!$C$32-D969))+'계산 과정'!$D$48*(E969-'계산 과정'!$D$50+P969*('계산 과정'!$D$32-E969))+'계산 과정'!$E$48*(0-'계산 과정'!$E$50+P969*('계산 과정'!$E$32-0)),"")</x:f>
      </x:c>
      <x:c r="S969" s="17" t="n">
        <x:f>IF('계산 과정'!$C$78,IF(AND(ISNUMBER(Q969),ISNUMBER(R969),ABS(Q969-'계산 과정'!$C$88)&lt;='계산 과정'!$D$23/2,ABS(R969-'계산 과정'!$C$89)&lt;='계산 과정'!$D$24/2),1,0),"")</x:f>
        <x:v>0</x:v>
      </x:c>
      <x:c r="T969" s="4"/>
      <x:c r="U969" s="4"/>
      <x:c r="V969" s="4"/>
      <x:c r="W969" s="4"/>
      <x:c r="X969" s="4"/>
      <x:c r="Y969" s="4"/>
      <x:c r="Z969" s="4"/>
    </x:row>
    <x:row r="970" ht="23" customHeight="1">
      <x:c r="A970" s="17" t="n">
        <x:f>ROW()-6</x:f>
        <x:v>964</x:v>
      </x:c>
      <x:c r="B970" s="4" t="n">
        <x:f>IF('계산 과정'!$L$5,'계산 과정'!$L$11*SQRT((A970+0.5)/'계산 과정'!$L$30),"")</x:f>
        <x:v>102.93839651248945</x:v>
      </x:c>
      <x:c r="C970" s="4" t="n">
        <x:f>A970*PI()*(3-SQRT(5))</x:f>
        <x:v>2313.5645534584214</x:v>
      </x:c>
      <x:c r="D970" s="4" t="n">
        <x:f>IF('계산 과정'!$L$5,B970*COS(C970),"")</x:f>
        <x:v>22.30705581649013</x:v>
      </x:c>
      <x:c r="E970" s="4" t="n">
        <x:f>IF('계산 과정'!$L$5,B970*SIN(C970),"")</x:f>
        <x:v>100.4923317341303</x:v>
      </x:c>
      <x:c r="F970" s="4" t="n">
        <x:f>IF('계산 과정'!$L$7,'계산 과정'!$L$22+'계산 과정'!$C$49*D970+'계산 과정'!$D$49*E970,"")</x:f>
        <x:v>634.226529563853</x:v>
      </x:c>
      <x:c r="G970" s="4" t="n">
        <x:f>IF('계산 과정'!$L$7,IF(ABS(F970)&gt;=1E-12*MAX(1,SQRT((D970-'계산 과정'!$C$33)^2+(E970-'계산 과정'!$D$33)^2+'계산 과정'!$E$33^2)),('계산 과정'!$L$23-'계산 과정'!$C$49*D970-'계산 과정'!$D$49*E970)/F970,""),"")</x:f>
        <x:v>0.6555598844502255</x:v>
      </x:c>
      <x:c r="H970" s="4" t="n">
        <x:f>IF(AND(ISNUMBER(G970),G970&gt;0),('계산 과정'!$D$56+'계산 과정'!$D$57*D970+'계산 과정'!$D$58*E970)/F970,"")</x:f>
        <x:v>26.113924892646452</x:v>
      </x:c>
      <x:c r="I970" s="4" t="n">
        <x:f>IF(AND(ISNUMBER(G970),G970&gt;0),('계산 과정'!$E$56+'계산 과정'!$E$57*D970+'계산 과정'!$E$58*E970)/F970,"")</x:f>
        <x:v>166.3710731138905</x:v>
      </x:c>
      <x:c r="J970" s="4" t="n">
        <x:f>IF('계산 과정'!$L$5,'계산 과정'!$D$6+'계산 과정'!$C$35*D970+'계산 과정'!$D$35*E970,"")</x:f>
        <x:v>634.226529563853</x:v>
      </x:c>
      <x:c r="K970" s="4" t="n">
        <x:f>IF(AND('계산 과정'!$L$6,J970&gt;0),'계산 과정'!$D$10*('계산 과정'!$C$38*(D970-'계산 과정'!$C$32)+'계산 과정'!$D$38*(E970-'계산 과정'!$D$32)-'계산 과정'!$E$38*'계산 과정'!$E$32)/J970,"")</x:f>
        <x:v>0.1989632372773068</x:v>
      </x:c>
      <x:c r="L970" s="4" t="n">
        <x:f>IF(AND('계산 과정'!$L$6,J970&gt;0),'계산 과정'!$D$10*('계산 과정'!$C$39*(D970-'계산 과정'!$C$32)+'계산 과정'!$D$39*(E970-'계산 과정'!$D$32)-'계산 과정'!$E$39*'계산 과정'!$E$32)/J970,"")</x:f>
        <x:v>1.2675891284867848</x:v>
      </x:c>
      <x:c r="M970" s="17" t="n">
        <x:f>IF('계산 과정'!$L$6,IF(J970&lt;=0,0,IF(AND(ABS(K970)&lt;='계산 과정'!$D$11/2,ABS(L970)&lt;='계산 과정'!$D$12/2),1,0)),"")</x:f>
        <x:v>1</x:v>
      </x:c>
      <x:c r="N970" s="17" t="n">
        <x:f>IF('계산 과정'!$C$78,IF(AND(ISNUMBER(H970),ISNUMBER(I970),ABS(H970-'계산 과정'!$C$88)&lt;='계산 과정'!$D$23/2,ABS(I970-'계산 과정'!$C$89)&lt;='계산 과정'!$D$24/2),1,0),"")</x:f>
        <x:v>1</x:v>
      </x:c>
      <x:c r="O970" s="4" t="n">
        <x:f>IF('계산 과정'!$L$7,'계산 과정'!$C$49*('계산 과정'!$C$32-D970)+'계산 과정'!$D$49*('계산 과정'!$D$32-E970)+'계산 과정'!$E$49*'계산 과정'!$E$32,"")</x:f>
        <x:v>15.773470436147079</x:v>
      </x:c>
      <x:c r="P970" s="4" t="n">
        <x:f>IF(AND('계산 과정'!$L$7,O970&lt;&gt;0),('계산 과정'!$L$23-'계산 과정'!$C$49*D970-'계산 과정'!$D$49*E970)/O970,"")</x:f>
        <x:v>26.359035706140155</x:v>
      </x:c>
      <x:c r="Q970" s="4" t="str">
        <x:f>IF(AND(ISNUMBER(P970),P970&gt;1E-9,P970&lt;1-1E-9),'계산 과정'!$C$47*(D970-'계산 과정'!$C$50+P970*('계산 과정'!$C$32-D970))+'계산 과정'!$D$47*(E970-'계산 과정'!$D$50+P970*('계산 과정'!$D$32-E970))+'계산 과정'!$E$47*(0-'계산 과정'!$E$50+P970*('계산 과정'!$E$32-0)),"")</x:f>
      </x:c>
      <x:c r="R970" s="4" t="str">
        <x:f>IF(AND(ISNUMBER(P970),P970&gt;1E-9,P970&lt;1-1E-9),'계산 과정'!$C$48*(D970-'계산 과정'!$C$50+P970*('계산 과정'!$C$32-D970))+'계산 과정'!$D$48*(E970-'계산 과정'!$D$50+P970*('계산 과정'!$D$32-E970))+'계산 과정'!$E$48*(0-'계산 과정'!$E$50+P970*('계산 과정'!$E$32-0)),"")</x:f>
      </x:c>
      <x:c r="S970" s="17" t="n">
        <x:f>IF('계산 과정'!$C$78,IF(AND(ISNUMBER(Q970),ISNUMBER(R970),ABS(Q970-'계산 과정'!$C$88)&lt;='계산 과정'!$D$23/2,ABS(R970-'계산 과정'!$C$89)&lt;='계산 과정'!$D$24/2),1,0),"")</x:f>
        <x:v>0</x:v>
      </x:c>
      <x:c r="T970" s="4"/>
      <x:c r="U970" s="4"/>
      <x:c r="V970" s="4"/>
      <x:c r="W970" s="4"/>
      <x:c r="X970" s="4"/>
      <x:c r="Y970" s="4"/>
      <x:c r="Z970" s="4"/>
    </x:row>
    <x:row r="971" ht="23" customHeight="1">
      <x:c r="A971" s="17" t="n">
        <x:f>ROW()-6</x:f>
        <x:v>965</x:v>
      </x:c>
      <x:c r="B971" s="4" t="n">
        <x:f>IF('계산 과정'!$L$5,'계산 과정'!$L$11*SQRT((A971+0.5)/'계산 과정'!$L$30),"")</x:f>
        <x:v>102.9917462939992</x:v>
      </x:c>
      <x:c r="C971" s="4" t="n">
        <x:f>A971*PI()*(3-SQRT(5))</x:f>
        <x:v>2315.96451668815</x:v>
      </x:c>
      <x:c r="D971" s="4" t="n">
        <x:f>IF('계산 과정'!$L$5,B971*COS(C971),"")</x:f>
        <x:v>-84.37382914488533</x:v>
      </x:c>
      <x:c r="E971" s="4" t="n">
        <x:f>IF('계산 과정'!$L$5,B971*SIN(C971),"")</x:f>
        <x:v>-59.062312519213116</x:v>
      </x:c>
      <x:c r="F971" s="4" t="n">
        <x:f>IF('계산 과정'!$L$7,'계산 과정'!$L$22+'계산 과정'!$C$49*D971+'계산 과정'!$D$49*E971,"")</x:f>
        <x:v>709.6613067430236</x:v>
      </x:c>
      <x:c r="G971" s="4" t="n">
        <x:f>IF('계산 과정'!$L$7,IF(ABS(F971)&gt;=1E-12*MAX(1,SQRT((D971-'계산 과정'!$C$33)^2+(E971-'계산 과정'!$D$33)^2+'계산 과정'!$E$33^2)),('계산 과정'!$L$23-'계산 과정'!$C$49*D971-'계산 과정'!$D$49*E971)/F971,""),"")</x:f>
        <x:v>0.4795790471076323</x:v>
      </x:c>
      <x:c r="H971" s="4" t="n">
        <x:f>IF(AND(ISNUMBER(G971),G971&gt;0),('계산 과정'!$D$56+'계산 과정'!$D$57*D971+'계산 과정'!$D$58*E971)/F971,"")</x:f>
        <x:v>-88.27361938003911</x:v>
      </x:c>
      <x:c r="I971" s="4" t="n">
        <x:f>IF(AND(ISNUMBER(G971),G971&gt;0),('계산 과정'!$E$56+'계산 과정'!$E$57*D971+'계산 과정'!$E$58*E971)/F971,"")</x:f>
        <x:v>-87.38736007715052</x:v>
      </x:c>
      <x:c r="J971" s="4" t="n">
        <x:f>IF('계산 과정'!$L$5,'계산 과정'!$D$6+'계산 과정'!$C$35*D971+'계산 과정'!$D$35*E971,"")</x:f>
        <x:v>709.6613067430236</x:v>
      </x:c>
      <x:c r="K971" s="4" t="n">
        <x:f>IF(AND('계산 과정'!$L$6,J971&gt;0),'계산 과정'!$D$10*('계산 과정'!$C$38*(D971-'계산 과정'!$C$32)+'계산 과정'!$D$38*(E971-'계산 과정'!$D$32)-'계산 과정'!$E$38*'계산 과정'!$E$32)/J971,"")</x:f>
        <x:v>-0.672560909562202</x:v>
      </x:c>
      <x:c r="L971" s="4" t="n">
        <x:f>IF(AND('계산 과정'!$L$6,J971&gt;0),'계산 과정'!$D$10*('계산 과정'!$C$39*(D971-'계산 과정'!$C$32)+'계산 과정'!$D$39*(E971-'계산 과정'!$D$32)-'계산 과정'!$E$39*'계산 과정'!$E$32)/J971,"")</x:f>
        <x:v>-0.6658084577306707</x:v>
      </x:c>
      <x:c r="M971" s="17" t="n">
        <x:f>IF('계산 과정'!$L$6,IF(J971&lt;=0,0,IF(AND(ABS(K971)&lt;='계산 과정'!$D$11/2,ABS(L971)&lt;='계산 과정'!$D$12/2),1,0)),"")</x:f>
        <x:v>1</x:v>
      </x:c>
      <x:c r="N971" s="17" t="n">
        <x:f>IF('계산 과정'!$C$78,IF(AND(ISNUMBER(H971),ISNUMBER(I971),ABS(H971-'계산 과정'!$C$88)&lt;='계산 과정'!$D$23/2,ABS(I971-'계산 과정'!$C$89)&lt;='계산 과정'!$D$24/2),1,0),"")</x:f>
        <x:v>1</x:v>
      </x:c>
      <x:c r="O971" s="4" t="n">
        <x:f>IF('계산 과정'!$L$7,'계산 과정'!$C$49*('계산 과정'!$C$32-D971)+'계산 과정'!$D$49*('계산 과정'!$D$32-E971)+'계산 과정'!$E$49*'계산 과정'!$E$32,"")</x:f>
        <x:v>-59.66130674302349</x:v>
      </x:c>
      <x:c r="P971" s="4" t="n">
        <x:f>IF(AND('계산 과정'!$L$7,O971&lt;&gt;0),('계산 과정'!$L$23-'계산 과정'!$C$49*D971-'계산 과정'!$D$49*E971)/O971,"")</x:f>
        <x:v>-5.704512888443799</x:v>
      </x:c>
      <x:c r="Q971" s="4" t="str">
        <x:f>IF(AND(ISNUMBER(P971),P971&gt;1E-9,P971&lt;1-1E-9),'계산 과정'!$C$47*(D971-'계산 과정'!$C$50+P971*('계산 과정'!$C$32-D971))+'계산 과정'!$D$47*(E971-'계산 과정'!$D$50+P971*('계산 과정'!$D$32-E971))+'계산 과정'!$E$47*(0-'계산 과정'!$E$50+P971*('계산 과정'!$E$32-0)),"")</x:f>
      </x:c>
      <x:c r="R971" s="4" t="str">
        <x:f>IF(AND(ISNUMBER(P971),P971&gt;1E-9,P971&lt;1-1E-9),'계산 과정'!$C$48*(D971-'계산 과정'!$C$50+P971*('계산 과정'!$C$32-D971))+'계산 과정'!$D$48*(E971-'계산 과정'!$D$50+P971*('계산 과정'!$D$32-E971))+'계산 과정'!$E$48*(0-'계산 과정'!$E$50+P971*('계산 과정'!$E$32-0)),"")</x:f>
      </x:c>
      <x:c r="S971" s="17" t="n">
        <x:f>IF('계산 과정'!$C$78,IF(AND(ISNUMBER(Q971),ISNUMBER(R971),ABS(Q971-'계산 과정'!$C$88)&lt;='계산 과정'!$D$23/2,ABS(R971-'계산 과정'!$C$89)&lt;='계산 과정'!$D$24/2),1,0),"")</x:f>
        <x:v>0</x:v>
      </x:c>
      <x:c r="T971" s="4"/>
      <x:c r="U971" s="4"/>
      <x:c r="V971" s="4"/>
      <x:c r="W971" s="4"/>
      <x:c r="X971" s="4"/>
      <x:c r="Y971" s="4"/>
      <x:c r="Z971" s="4"/>
    </x:row>
    <x:row r="972" ht="23" customHeight="1">
      <x:c r="A972" s="17" t="n">
        <x:f>ROW()-6</x:f>
        <x:v>966</x:v>
      </x:c>
      <x:c r="B972" s="4" t="n">
        <x:f>IF('계산 과정'!$L$5,'계산 과정'!$L$11*SQRT((A972+0.5)/'계산 과정'!$L$30),"")</x:f>
        <x:v>103.0450684545966</x:v>
      </x:c>
      <x:c r="C972" s="4" t="n">
        <x:f>A972*PI()*(3-SQRT(5))</x:f>
        <x:v>2318.3644799178787</x:v>
      </x:c>
      <x:c r="D972" s="4" t="n">
        <x:f>IF('계산 과정'!$L$5,B972*COS(C972),"")</x:f>
        <x:v>102.1635205900139</x:v>
      </x:c>
      <x:c r="E972" s="4" t="n">
        <x:f>IF('계산 과정'!$L$5,B972*SIN(C972),"")</x:f>
        <x:v>-13.449951429886466</x:v>
      </x:c>
      <x:c r="F972" s="4" t="n">
        <x:f>IF('계산 과정'!$L$7,'계산 과정'!$L$22+'계산 과정'!$C$49*D972+'계산 과정'!$D$49*E972,"")</x:f>
        <x:v>577.7594818009097</x:v>
      </x:c>
      <x:c r="G972" s="4" t="n">
        <x:f>IF('계산 과정'!$L$7,IF(ABS(F972)&gt;=1E-12*MAX(1,SQRT((D972-'계산 과정'!$C$33)^2+(E972-'계산 과정'!$D$33)^2+'계산 과정'!$E$33^2)),('계산 과정'!$L$23-'계산 과정'!$C$49*D972-'계산 과정'!$D$49*E972)/F972,""),"")</x:f>
        <x:v>0.8173652412022547</x:v>
      </x:c>
      <x:c r="H972" s="4" t="n">
        <x:f>IF(AND(ISNUMBER(G972),G972&gt;0),('계산 과정'!$D$56+'계산 과정'!$D$57*D972+'계산 과정'!$D$58*E972)/F972,"")</x:f>
        <x:v>131.28740678146553</x:v>
      </x:c>
      <x:c r="I972" s="4" t="n">
        <x:f>IF(AND(ISNUMBER(G972),G972&gt;0),('계산 과정'!$E$56+'계산 과정'!$E$57*D972+'계산 과정'!$E$58*E972)/F972,"")</x:f>
        <x:v>-24.443474224534228</x:v>
      </x:c>
      <x:c r="J972" s="4" t="n">
        <x:f>IF('계산 과정'!$L$5,'계산 과정'!$D$6+'계산 과정'!$C$35*D972+'계산 과정'!$D$35*E972,"")</x:f>
        <x:v>577.7594818009097</x:v>
      </x:c>
      <x:c r="K972" s="4" t="n">
        <x:f>IF(AND('계산 과정'!$L$6,J972&gt;0),'계산 과정'!$D$10*('계산 과정'!$C$38*(D972-'계산 과정'!$C$32)+'계산 과정'!$D$38*(E972-'계산 과정'!$D$32)-'계산 과정'!$E$38*'계산 과정'!$E$32)/J972,"")</x:f>
        <x:v>1.000285004049262</x:v>
      </x:c>
      <x:c r="L972" s="4" t="n">
        <x:f>IF(AND('계산 과정'!$L$6,J972&gt;0),'계산 과정'!$D$10*('계산 과정'!$C$39*(D972-'계산 과정'!$C$32)+'계산 과정'!$D$39*(E972-'계산 과정'!$D$32)-'계산 과정'!$E$39*'계산 과정'!$E$32)/J972,"")</x:f>
        <x:v>-0.18623599409168937</x:v>
      </x:c>
      <x:c r="M972" s="17" t="n">
        <x:f>IF('계산 과정'!$L$6,IF(J972&lt;=0,0,IF(AND(ABS(K972)&lt;='계산 과정'!$D$11/2,ABS(L972)&lt;='계산 과정'!$D$12/2),1,0)),"")</x:f>
        <x:v>1</x:v>
      </x:c>
      <x:c r="N972" s="17" t="n">
        <x:f>IF('계산 과정'!$C$78,IF(AND(ISNUMBER(H972),ISNUMBER(I972),ABS(H972-'계산 과정'!$C$88)&lt;='계산 과정'!$D$23/2,ABS(I972-'계산 과정'!$C$89)&lt;='계산 과정'!$D$24/2),1,0),"")</x:f>
        <x:v>1</x:v>
      </x:c>
      <x:c r="O972" s="4" t="n">
        <x:f>IF('계산 과정'!$L$7,'계산 과정'!$C$49*('계산 과정'!$C$32-D972)+'계산 과정'!$D$49*('계산 과정'!$D$32-E972)+'계산 과정'!$E$49*'계산 과정'!$E$32,"")</x:f>
        <x:v>72.24051819909039</x:v>
      </x:c>
      <x:c r="P972" s="4" t="n">
        <x:f>IF(AND('계산 과정'!$L$7,O972&lt;&gt;0),('계산 과정'!$L$23-'계산 과정'!$C$49*D972-'계산 과정'!$D$49*E972)/O972,"")</x:f>
        <x:v>6.537058841377974</x:v>
      </x:c>
      <x:c r="Q972" s="4" t="str">
        <x:f>IF(AND(ISNUMBER(P972),P972&gt;1E-9,P972&lt;1-1E-9),'계산 과정'!$C$47*(D972-'계산 과정'!$C$50+P972*('계산 과정'!$C$32-D972))+'계산 과정'!$D$47*(E972-'계산 과정'!$D$50+P972*('계산 과정'!$D$32-E972))+'계산 과정'!$E$47*(0-'계산 과정'!$E$50+P972*('계산 과정'!$E$32-0)),"")</x:f>
      </x:c>
      <x:c r="R972" s="4" t="str">
        <x:f>IF(AND(ISNUMBER(P972),P972&gt;1E-9,P972&lt;1-1E-9),'계산 과정'!$C$48*(D972-'계산 과정'!$C$50+P972*('계산 과정'!$C$32-D972))+'계산 과정'!$D$48*(E972-'계산 과정'!$D$50+P972*('계산 과정'!$D$32-E972))+'계산 과정'!$E$48*(0-'계산 과정'!$E$50+P972*('계산 과정'!$E$32-0)),"")</x:f>
      </x:c>
      <x:c r="S972" s="17" t="n">
        <x:f>IF('계산 과정'!$C$78,IF(AND(ISNUMBER(Q972),ISNUMBER(R972),ABS(Q972-'계산 과정'!$C$88)&lt;='계산 과정'!$D$23/2,ABS(R972-'계산 과정'!$C$89)&lt;='계산 과정'!$D$24/2),1,0),"")</x:f>
        <x:v>0</x:v>
      </x:c>
      <x:c r="T972" s="4"/>
      <x:c r="U972" s="4"/>
      <x:c r="V972" s="4"/>
      <x:c r="W972" s="4"/>
      <x:c r="X972" s="4"/>
      <x:c r="Y972" s="4"/>
      <x:c r="Z972" s="4"/>
    </x:row>
    <x:row r="973" ht="23" customHeight="1">
      <x:c r="A973" s="17" t="n">
        <x:f>ROW()-6</x:f>
        <x:v>967</x:v>
      </x:c>
      <x:c r="B973" s="4" t="n">
        <x:f>IF('계산 과정'!$L$5,'계산 과정'!$L$11*SQRT((A973+0.5)/'계산 과정'!$L$30),"")</x:f>
        <x:v>103.09836303713799</x:v>
      </x:c>
      <x:c r="C973" s="4" t="n">
        <x:f>A973*PI()*(3-SQRT(5))</x:f>
        <x:v>2320.7644431476074</x:v>
      </x:c>
      <x:c r="D973" s="4" t="n">
        <x:f>IF('계산 과정'!$L$5,B973*COS(C973),"")</x:f>
        <x:v>-66.28115158961852</x:v>
      </x:c>
      <x:c r="E973" s="4" t="n">
        <x:f>IF('계산 과정'!$L$5,B973*SIN(C973),"")</x:f>
        <x:v>78.9688635152584</x:v>
      </x:c>
      <x:c r="F973" s="4" t="n">
        <x:f>IF('계산 과정'!$L$7,'계산 과정'!$L$22+'계산 과정'!$C$49*D973+'계산 과정'!$D$49*E973,"")</x:f>
        <x:v>696.8678517538727</x:v>
      </x:c>
      <x:c r="G973" s="4" t="n">
        <x:f>IF('계산 과정'!$L$7,IF(ABS(F973)&gt;=1E-12*MAX(1,SQRT((D973-'계산 과정'!$C$33)^2+(E973-'계산 과정'!$D$33)^2+'계산 과정'!$E$33^2)),('계산 과정'!$L$23-'계산 과정'!$C$49*D973-'계산 과정'!$D$49*E973)/F973,""),"")</x:f>
        <x:v>0.5067419129141435</x:v>
      </x:c>
      <x:c r="H973" s="4" t="n">
        <x:f>IF(AND(ISNUMBER(G973),G973&gt;0),('계산 과정'!$D$56+'계산 과정'!$D$57*D973+'계산 과정'!$D$58*E973)/F973,"")</x:f>
        <x:v>-70.61775660580687</x:v>
      </x:c>
      <x:c r="I973" s="4" t="n">
        <x:f>IF(AND(ISNUMBER(G973),G973&gt;0),('계산 과정'!$E$56+'계산 과정'!$E$57*D973+'계산 과정'!$E$58*E973)/F973,"")</x:f>
        <x:v>118.98569647363637</x:v>
      </x:c>
      <x:c r="J973" s="4" t="n">
        <x:f>IF('계산 과정'!$L$5,'계산 과정'!$D$6+'계산 과정'!$C$35*D973+'계산 과정'!$D$35*E973,"")</x:f>
        <x:v>696.8678517538727</x:v>
      </x:c>
      <x:c r="K973" s="4" t="n">
        <x:f>IF(AND('계산 과정'!$L$6,J973&gt;0),'계산 과정'!$D$10*('계산 과정'!$C$38*(D973-'계산 과정'!$C$32)+'계산 과정'!$D$38*(E973-'계산 과정'!$D$32)-'계산 과정'!$E$38*'계산 과정'!$E$32)/J973,"")</x:f>
        <x:v>-0.5380400503299559</x:v>
      </x:c>
      <x:c r="L973" s="4" t="n">
        <x:f>IF(AND('계산 과정'!$L$6,J973&gt;0),'계산 과정'!$D$10*('계산 과정'!$C$39*(D973-'계산 과정'!$C$32)+'계산 과정'!$D$39*(E973-'계산 과정'!$D$32)-'계산 과정'!$E$39*'계산 과정'!$E$32)/J973,"")</x:f>
        <x:v>0.9065576874181819</x:v>
      </x:c>
      <x:c r="M973" s="17" t="n">
        <x:f>IF('계산 과정'!$L$6,IF(J973&lt;=0,0,IF(AND(ABS(K973)&lt;='계산 과정'!$D$11/2,ABS(L973)&lt;='계산 과정'!$D$12/2),1,0)),"")</x:f>
        <x:v>1</x:v>
      </x:c>
      <x:c r="N973" s="17" t="n">
        <x:f>IF('계산 과정'!$C$78,IF(AND(ISNUMBER(H973),ISNUMBER(I973),ABS(H973-'계산 과정'!$C$88)&lt;='계산 과정'!$D$23/2,ABS(I973-'계산 과정'!$C$89)&lt;='계산 과정'!$D$24/2),1,0),"")</x:f>
        <x:v>1</x:v>
      </x:c>
      <x:c r="O973" s="4" t="n">
        <x:f>IF('계산 과정'!$L$7,'계산 과정'!$C$49*('계산 과정'!$C$32-D973)+'계산 과정'!$D$49*('계산 과정'!$D$32-E973)+'계산 과정'!$E$49*'계산 과정'!$E$32,"")</x:f>
        <x:v>-46.86785175387263</x:v>
      </x:c>
      <x:c r="P973" s="4" t="n">
        <x:f>IF(AND('계산 과정'!$L$7,O973&lt;&gt;0),('계산 과정'!$L$23-'계산 과정'!$C$49*D973-'계산 과정'!$D$49*E973)/O973,"")</x:f>
        <x:v>-7.534634830301314</x:v>
      </x:c>
      <x:c r="Q973" s="4" t="str">
        <x:f>IF(AND(ISNUMBER(P973),P973&gt;1E-9,P973&lt;1-1E-9),'계산 과정'!$C$47*(D973-'계산 과정'!$C$50+P973*('계산 과정'!$C$32-D973))+'계산 과정'!$D$47*(E973-'계산 과정'!$D$50+P973*('계산 과정'!$D$32-E973))+'계산 과정'!$E$47*(0-'계산 과정'!$E$50+P973*('계산 과정'!$E$32-0)),"")</x:f>
      </x:c>
      <x:c r="R973" s="4" t="str">
        <x:f>IF(AND(ISNUMBER(P973),P973&gt;1E-9,P973&lt;1-1E-9),'계산 과정'!$C$48*(D973-'계산 과정'!$C$50+P973*('계산 과정'!$C$32-D973))+'계산 과정'!$D$48*(E973-'계산 과정'!$D$50+P973*('계산 과정'!$D$32-E973))+'계산 과정'!$E$48*(0-'계산 과정'!$E$50+P973*('계산 과정'!$E$32-0)),"")</x:f>
      </x:c>
      <x:c r="S973" s="17" t="n">
        <x:f>IF('계산 과정'!$C$78,IF(AND(ISNUMBER(Q973),ISNUMBER(R973),ABS(Q973-'계산 과정'!$C$88)&lt;='계산 과정'!$D$23/2,ABS(R973-'계산 과정'!$C$89)&lt;='계산 과정'!$D$24/2),1,0),"")</x:f>
        <x:v>0</x:v>
      </x:c>
      <x:c r="T973" s="4"/>
      <x:c r="U973" s="4"/>
      <x:c r="V973" s="4"/>
      <x:c r="W973" s="4"/>
      <x:c r="X973" s="4"/>
      <x:c r="Y973" s="4"/>
      <x:c r="Z973" s="4"/>
    </x:row>
    <x:row r="974" ht="23" customHeight="1">
      <x:c r="A974" s="17" t="n">
        <x:f>ROW()-6</x:f>
        <x:v>968</x:v>
      </x:c>
      <x:c r="B974" s="4" t="n">
        <x:f>IF('계산 과정'!$L$5,'계산 과정'!$L$11*SQRT((A974+0.5)/'계산 과정'!$L$30),"")</x:f>
        <x:v>103.151630084369</x:v>
      </x:c>
      <x:c r="C974" s="4" t="n">
        <x:f>A974*PI()*(3-SQRT(5))</x:f>
        <x:v>2323.164406377336</x:v>
      </x:c>
      <x:c r="D974" s="4" t="n">
        <x:f>IF('계산 과정'!$L$5,B974*COS(C974),"")</x:f>
        <x:v>-4.4713514542313915</x:v>
      </x:c>
      <x:c r="E974" s="4" t="n">
        <x:f>IF('계산 과정'!$L$5,B974*SIN(C974),"")</x:f>
        <x:v>-103.05467386409626</x:v>
      </x:c>
      <x:c r="F974" s="4" t="n">
        <x:f>IF('계산 과정'!$L$7,'계산 과정'!$L$22+'계산 과정'!$C$49*D974+'계산 과정'!$D$49*E974,"")</x:f>
        <x:v>653.1617229343553</x:v>
      </x:c>
      <x:c r="G974" s="4" t="n">
        <x:f>IF('계산 과정'!$L$7,IF(ABS(F974)&gt;=1E-12*MAX(1,SQRT((D974-'계산 과정'!$C$33)^2+(E974-'계산 과정'!$D$33)^2+'계산 과정'!$E$33^2)),('계산 과정'!$L$23-'계산 과정'!$C$49*D974-'계산 과정'!$D$49*E974)/F974,""),"")</x:f>
        <x:v>0.6075651146286294</x:v>
      </x:c>
      <x:c r="H974" s="4" t="n">
        <x:f>IF(AND(ISNUMBER(G974),G974&gt;0),('계산 과정'!$D$56+'계산 과정'!$D$57*D974+'계산 과정'!$D$58*E974)/F974,"")</x:f>
        <x:v>-5.0826754913910355</x:v>
      </x:c>
      <x:c r="I974" s="4" t="n">
        <x:f>IF(AND(ISNUMBER(G974),G974&gt;0),('계산 과정'!$E$56+'계산 과정'!$E$57*D974+'계산 과정'!$E$58*E974)/F974,"")</x:f>
        <x:v>-165.66709860335192</x:v>
      </x:c>
      <x:c r="J974" s="4" t="n">
        <x:f>IF('계산 과정'!$L$5,'계산 과정'!$D$6+'계산 과정'!$C$35*D974+'계산 과정'!$D$35*E974,"")</x:f>
        <x:v>653.1617229343553</x:v>
      </x:c>
      <x:c r="K974" s="4" t="n">
        <x:f>IF(AND('계산 과정'!$L$6,J974&gt;0),'계산 과정'!$D$10*('계산 과정'!$C$38*(D974-'계산 과정'!$C$32)+'계산 과정'!$D$38*(E974-'계산 과정'!$D$32)-'계산 과정'!$E$38*'계산 과정'!$E$32)/J974,"")</x:f>
        <x:v>-0.038725146601073575</x:v>
      </x:c>
      <x:c r="L974" s="4" t="n">
        <x:f>IF(AND('계산 과정'!$L$6,J974&gt;0),'계산 과정'!$D$10*('계산 과정'!$C$39*(D974-'계산 과정'!$C$32)+'계산 과정'!$D$39*(E974-'계산 과정'!$D$32)-'계산 과정'!$E$39*'계산 과정'!$E$32)/J974,"")</x:f>
        <x:v>-1.2622255131683955</x:v>
      </x:c>
      <x:c r="M974" s="17" t="n">
        <x:f>IF('계산 과정'!$L$6,IF(J974&lt;=0,0,IF(AND(ABS(K974)&lt;='계산 과정'!$D$11/2,ABS(L974)&lt;='계산 과정'!$D$12/2),1,0)),"")</x:f>
        <x:v>1</x:v>
      </x:c>
      <x:c r="N974" s="17" t="n">
        <x:f>IF('계산 과정'!$C$78,IF(AND(ISNUMBER(H974),ISNUMBER(I974),ABS(H974-'계산 과정'!$C$88)&lt;='계산 과정'!$D$23/2,ABS(I974-'계산 과정'!$C$89)&lt;='계산 과정'!$D$24/2),1,0),"")</x:f>
        <x:v>1</x:v>
      </x:c>
      <x:c r="O974" s="4" t="n">
        <x:f>IF('계산 과정'!$L$7,'계산 과정'!$C$49*('계산 과정'!$C$32-D974)+'계산 과정'!$D$49*('계산 과정'!$D$32-E974)+'계산 과정'!$E$49*'계산 과정'!$E$32,"")</x:f>
        <x:v>-3.1617229343552253</x:v>
      </x:c>
      <x:c r="P974" s="4" t="n">
        <x:f>IF(AND('계산 과정'!$L$7,O974&lt;&gt;0),('계산 과정'!$L$23-'계산 과정'!$C$49*D974-'계산 과정'!$D$49*E974)/O974,"")</x:f>
        <x:v>-125.51329933233775</x:v>
      </x:c>
      <x:c r="Q974" s="4" t="str">
        <x:f>IF(AND(ISNUMBER(P974),P974&gt;1E-9,P974&lt;1-1E-9),'계산 과정'!$C$47*(D974-'계산 과정'!$C$50+P974*('계산 과정'!$C$32-D974))+'계산 과정'!$D$47*(E974-'계산 과정'!$D$50+P974*('계산 과정'!$D$32-E974))+'계산 과정'!$E$47*(0-'계산 과정'!$E$50+P974*('계산 과정'!$E$32-0)),"")</x:f>
      </x:c>
      <x:c r="R974" s="4" t="str">
        <x:f>IF(AND(ISNUMBER(P974),P974&gt;1E-9,P974&lt;1-1E-9),'계산 과정'!$C$48*(D974-'계산 과정'!$C$50+P974*('계산 과정'!$C$32-D974))+'계산 과정'!$D$48*(E974-'계산 과정'!$D$50+P974*('계산 과정'!$D$32-E974))+'계산 과정'!$E$48*(0-'계산 과정'!$E$50+P974*('계산 과정'!$E$32-0)),"")</x:f>
      </x:c>
      <x:c r="S974" s="17" t="n">
        <x:f>IF('계산 과정'!$C$78,IF(AND(ISNUMBER(Q974),ISNUMBER(R974),ABS(Q974-'계산 과정'!$C$88)&lt;='계산 과정'!$D$23/2,ABS(R974-'계산 과정'!$C$89)&lt;='계산 과정'!$D$24/2),1,0),"")</x:f>
        <x:v>0</x:v>
      </x:c>
      <x:c r="T974" s="4"/>
      <x:c r="U974" s="4"/>
      <x:c r="V974" s="4"/>
      <x:c r="W974" s="4"/>
      <x:c r="X974" s="4"/>
      <x:c r="Y974" s="4"/>
      <x:c r="Z974" s="4"/>
    </x:row>
    <x:row r="975" ht="23" customHeight="1">
      <x:c r="A975" s="17" t="n">
        <x:f>ROW()-6</x:f>
        <x:v>969</x:v>
      </x:c>
      <x:c r="B975" s="4" t="n">
        <x:f>IF('계산 과정'!$L$5,'계산 과정'!$L$11*SQRT((A975+0.5)/'계산 과정'!$L$30),"")</x:f>
        <x:v>103.20486963892499</x:v>
      </x:c>
      <x:c r="C975" s="4" t="n">
        <x:f>A975*PI()*(3-SQRT(5))</x:f>
        <x:v>2325.5643696070647</x:v>
      </x:c>
      <x:c r="D975" s="4" t="n">
        <x:f>IF('계산 과정'!$L$5,B975*COS(C975),"")</x:f>
        <x:v>72.94709807413017</x:v>
      </x:c>
      <x:c r="E975" s="4" t="n">
        <x:f>IF('계산 과정'!$L$5,B975*SIN(C975),"")</x:f>
        <x:v>73.00661613683198</x:v>
      </x:c>
      <x:c r="F975" s="4" t="n">
        <x:f>IF('계산 과정'!$L$7,'계산 과정'!$L$22+'계산 과정'!$C$49*D975+'계산 과정'!$D$49*E975,"")</x:f>
        <x:v>598.4186122839025</x:v>
      </x:c>
      <x:c r="G975" s="4" t="n">
        <x:f>IF('계산 과정'!$L$7,IF(ABS(F975)&gt;=1E-12*MAX(1,SQRT((D975-'계산 과정'!$C$33)^2+(E975-'계산 과정'!$D$33)^2+'계산 과정'!$E$33^2)),('계산 과정'!$L$23-'계산 과정'!$C$49*D975-'계산 과정'!$D$49*E975)/F975,""),"")</x:f>
        <x:v>0.7546245695677958</x:v>
      </x:c>
      <x:c r="H975" s="4" t="n">
        <x:f>IF(AND(ISNUMBER(G975),G975&gt;0),('계산 과정'!$D$56+'계산 과정'!$D$57*D975+'계산 과정'!$D$58*E975)/F975,"")</x:f>
        <x:v>90.50597021906721</x:v>
      </x:c>
      <x:c r="I975" s="4" t="n">
        <x:f>IF(AND(ISNUMBER(G975),G975&gt;0),('계산 과정'!$E$56+'계산 과정'!$E$57*D975+'계산 과정'!$E$58*E975)/F975,"")</x:f>
        <x:v>128.0992024146901</x:v>
      </x:c>
      <x:c r="J975" s="4" t="n">
        <x:f>IF('계산 과정'!$L$5,'계산 과정'!$D$6+'계산 과정'!$C$35*D975+'계산 과정'!$D$35*E975,"")</x:f>
        <x:v>598.4186122839025</x:v>
      </x:c>
      <x:c r="K975" s="4" t="n">
        <x:f>IF(AND('계산 과정'!$L$6,J975&gt;0),'계산 과정'!$D$10*('계산 과정'!$C$38*(D975-'계산 과정'!$C$32)+'계산 과정'!$D$38*(E975-'계산 과정'!$D$32)-'계산 과정'!$E$38*'계산 과정'!$E$32)/J975,"")</x:f>
        <x:v>0.6895692969071796</x:v>
      </x:c>
      <x:c r="L975" s="4" t="n">
        <x:f>IF(AND('계산 과정'!$L$6,J975&gt;0),'계산 과정'!$D$10*('계산 과정'!$C$39*(D975-'계산 과정'!$C$32)+'계산 과정'!$D$39*(E975-'계산 과정'!$D$32)-'계산 과정'!$E$39*'계산 과정'!$E$32)/J975,"")</x:f>
        <x:v>0.9759939231595436</x:v>
      </x:c>
      <x:c r="M975" s="17" t="n">
        <x:f>IF('계산 과정'!$L$6,IF(J975&lt;=0,0,IF(AND(ABS(K975)&lt;='계산 과정'!$D$11/2,ABS(L975)&lt;='계산 과정'!$D$12/2),1,0)),"")</x:f>
        <x:v>1</x:v>
      </x:c>
      <x:c r="N975" s="17" t="n">
        <x:f>IF('계산 과정'!$C$78,IF(AND(ISNUMBER(H975),ISNUMBER(I975),ABS(H975-'계산 과정'!$C$88)&lt;='계산 과정'!$D$23/2,ABS(I975-'계산 과정'!$C$89)&lt;='계산 과정'!$D$24/2),1,0),"")</x:f>
        <x:v>1</x:v>
      </x:c>
      <x:c r="O975" s="4" t="n">
        <x:f>IF('계산 과정'!$L$7,'계산 과정'!$C$49*('계산 과정'!$C$32-D975)+'계산 과정'!$D$49*('계산 과정'!$D$32-E975)+'계산 과정'!$E$49*'계산 과정'!$E$32,"")</x:f>
        <x:v>51.58138771609771</x:v>
      </x:c>
      <x:c r="P975" s="4" t="n">
        <x:f>IF(AND('계산 과정'!$L$7,O975&lt;&gt;0),('계산 과정'!$L$23-'계산 과정'!$C$49*D975-'계산 과정'!$D$49*E975)/O975,"")</x:f>
        <x:v>8.754735142094024</x:v>
      </x:c>
      <x:c r="Q975" s="4" t="str">
        <x:f>IF(AND(ISNUMBER(P975),P975&gt;1E-9,P975&lt;1-1E-9),'계산 과정'!$C$47*(D975-'계산 과정'!$C$50+P975*('계산 과정'!$C$32-D975))+'계산 과정'!$D$47*(E975-'계산 과정'!$D$50+P975*('계산 과정'!$D$32-E975))+'계산 과정'!$E$47*(0-'계산 과정'!$E$50+P975*('계산 과정'!$E$32-0)),"")</x:f>
      </x:c>
      <x:c r="R975" s="4" t="str">
        <x:f>IF(AND(ISNUMBER(P975),P975&gt;1E-9,P975&lt;1-1E-9),'계산 과정'!$C$48*(D975-'계산 과정'!$C$50+P975*('계산 과정'!$C$32-D975))+'계산 과정'!$D$48*(E975-'계산 과정'!$D$50+P975*('계산 과정'!$D$32-E975))+'계산 과정'!$E$48*(0-'계산 과정'!$E$50+P975*('계산 과정'!$E$32-0)),"")</x:f>
      </x:c>
      <x:c r="S975" s="17" t="n">
        <x:f>IF('계산 과정'!$C$78,IF(AND(ISNUMBER(Q975),ISNUMBER(R975),ABS(Q975-'계산 과정'!$C$88)&lt;='계산 과정'!$D$23/2,ABS(R975-'계산 과정'!$C$89)&lt;='계산 과정'!$D$24/2),1,0),"")</x:f>
        <x:v>0</x:v>
      </x:c>
      <x:c r="T975" s="4"/>
      <x:c r="U975" s="4"/>
      <x:c r="V975" s="4"/>
      <x:c r="W975" s="4"/>
      <x:c r="X975" s="4"/>
      <x:c r="Y975" s="4"/>
      <x:c r="Z975" s="4"/>
    </x:row>
    <x:row r="976" ht="23" customHeight="1">
      <x:c r="A976" s="17" t="n">
        <x:f>ROW()-6</x:f>
        <x:v>970</x:v>
      </x:c>
      <x:c r="B976" s="4" t="n">
        <x:f>IF('계산 과정'!$L$5,'계산 과정'!$L$11*SQRT((A976+0.5)/'계산 과정'!$L$30),"")</x:f>
        <x:v>103.25808174333136</x:v>
      </x:c>
      <x:c r="C976" s="4" t="n">
        <x:f>A976*PI()*(3-SQRT(5))</x:f>
        <x:v>2327.9643328367933</x:v>
      </x:c>
      <x:c r="D976" s="4" t="n">
        <x:f>IF('계산 과정'!$L$5,B976*COS(C976),"")</x:f>
        <x:v>-103.15734067269341</x:v>
      </x:c>
      <x:c r="E976" s="4" t="n">
        <x:f>IF('계산 과정'!$L$5,B976*SIN(C976),"")</x:f>
        <x:v>-4.560099850921549</x:v>
      </x:c>
      <x:c r="F976" s="4" t="n">
        <x:f>IF('계산 과정'!$L$7,'계산 과정'!$L$22+'계산 과정'!$C$49*D976+'계산 과정'!$D$49*E976,"")</x:f>
        <x:v>722.9432551188323</x:v>
      </x:c>
      <x:c r="G976" s="4" t="n">
        <x:f>IF('계산 과정'!$L$7,IF(ABS(F976)&gt;=1E-12*MAX(1,SQRT((D976-'계산 과정'!$C$33)^2+(E976-'계산 과정'!$D$33)^2+'계산 과정'!$E$33^2)),('계산 과정'!$L$23-'계산 과정'!$C$49*D976-'계산 과정'!$D$49*E976)/F976,""),"")</x:f>
        <x:v>0.4523961494424737</x:v>
      </x:c>
      <x:c r="H976" s="4" t="n">
        <x:f>IF(AND(ISNUMBER(G976),G976&gt;0),('계산 과정'!$D$56+'계산 과정'!$D$57*D976+'계산 과정'!$D$58*E976)/F976,"")</x:f>
        <x:v>-105.94250286239225</x:v>
      </x:c>
      <x:c r="I976" s="4" t="n">
        <x:f>IF(AND(ISNUMBER(G976),G976&gt;0),('계산 과정'!$E$56+'계산 과정'!$E$57*D976+'계산 과정'!$E$58*E976)/F976,"")</x:f>
        <x:v>-6.623071464551657</x:v>
      </x:c>
      <x:c r="J976" s="4" t="n">
        <x:f>IF('계산 과정'!$L$5,'계산 과정'!$D$6+'계산 과정'!$C$35*D976+'계산 과정'!$D$35*E976,"")</x:f>
        <x:v>722.9432551188323</x:v>
      </x:c>
      <x:c r="K976" s="4" t="n">
        <x:f>IF(AND('계산 과정'!$L$6,J976&gt;0),'계산 과정'!$D$10*('계산 과정'!$C$38*(D976-'계산 과정'!$C$32)+'계산 과정'!$D$38*(E976-'계산 과정'!$D$32)-'계산 과정'!$E$38*'계산 과정'!$E$32)/J976,"")</x:f>
        <x:v>-0.8071809741896546</x:v>
      </x:c>
      <x:c r="L976" s="4" t="n">
        <x:f>IF(AND('계산 과정'!$L$6,J976&gt;0),'계산 과정'!$D$10*('계산 과정'!$C$39*(D976-'계산 과정'!$C$32)+'계산 과정'!$D$39*(E976-'계산 과정'!$D$32)-'계산 과정'!$E$39*'계산 과정'!$E$32)/J976,"")</x:f>
        <x:v>-0.05046149687277453</x:v>
      </x:c>
      <x:c r="M976" s="17" t="n">
        <x:f>IF('계산 과정'!$L$6,IF(J976&lt;=0,0,IF(AND(ABS(K976)&lt;='계산 과정'!$D$11/2,ABS(L976)&lt;='계산 과정'!$D$12/2),1,0)),"")</x:f>
        <x:v>1</x:v>
      </x:c>
      <x:c r="N976" s="17" t="n">
        <x:f>IF('계산 과정'!$C$78,IF(AND(ISNUMBER(H976),ISNUMBER(I976),ABS(H976-'계산 과정'!$C$88)&lt;='계산 과정'!$D$23/2,ABS(I976-'계산 과정'!$C$89)&lt;='계산 과정'!$D$24/2),1,0),"")</x:f>
        <x:v>1</x:v>
      </x:c>
      <x:c r="O976" s="4" t="n">
        <x:f>IF('계산 과정'!$L$7,'계산 과정'!$C$49*('계산 과정'!$C$32-D976)+'계산 과정'!$D$49*('계산 과정'!$D$32-E976)+'계산 과정'!$E$49*'계산 과정'!$E$32,"")</x:f>
        <x:v>-72.94325511883221</x:v>
      </x:c>
      <x:c r="P976" s="4" t="n">
        <x:f>IF(AND('계산 과정'!$L$7,O976&lt;&gt;0),('계산 과정'!$L$23-'계산 과정'!$C$49*D976-'계산 과정'!$D$49*E976)/O976,"")</x:f>
        <x:v>-4.483714695051077</x:v>
      </x:c>
      <x:c r="Q976" s="4" t="str">
        <x:f>IF(AND(ISNUMBER(P976),P976&gt;1E-9,P976&lt;1-1E-9),'계산 과정'!$C$47*(D976-'계산 과정'!$C$50+P976*('계산 과정'!$C$32-D976))+'계산 과정'!$D$47*(E976-'계산 과정'!$D$50+P976*('계산 과정'!$D$32-E976))+'계산 과정'!$E$47*(0-'계산 과정'!$E$50+P976*('계산 과정'!$E$32-0)),"")</x:f>
      </x:c>
      <x:c r="R976" s="4" t="str">
        <x:f>IF(AND(ISNUMBER(P976),P976&gt;1E-9,P976&lt;1-1E-9),'계산 과정'!$C$48*(D976-'계산 과정'!$C$50+P976*('계산 과정'!$C$32-D976))+'계산 과정'!$D$48*(E976-'계산 과정'!$D$50+P976*('계산 과정'!$D$32-E976))+'계산 과정'!$E$48*(0-'계산 과정'!$E$50+P976*('계산 과정'!$E$32-0)),"")</x:f>
      </x:c>
      <x:c r="S976" s="17" t="n">
        <x:f>IF('계산 과정'!$C$78,IF(AND(ISNUMBER(Q976),ISNUMBER(R976),ABS(Q976-'계산 과정'!$C$88)&lt;='계산 과정'!$D$23/2,ABS(R976-'계산 과정'!$C$89)&lt;='계산 과정'!$D$24/2),1,0),"")</x:f>
        <x:v>0</x:v>
      </x:c>
      <x:c r="T976" s="4"/>
      <x:c r="U976" s="4"/>
      <x:c r="V976" s="4"/>
      <x:c r="W976" s="4"/>
      <x:c r="X976" s="4"/>
      <x:c r="Y976" s="4"/>
      <x:c r="Z976" s="4"/>
    </x:row>
    <x:row r="977" ht="23" customHeight="1">
      <x:c r="A977" s="17" t="n">
        <x:f>ROW()-6</x:f>
        <x:v>971</x:v>
      </x:c>
      <x:c r="B977" s="4" t="n">
        <x:f>IF('계산 과정'!$L$5,'계산 과정'!$L$11*SQRT((A977+0.5)/'계산 과정'!$L$30),"")</x:f>
        <x:v>103.31126644000402</x:v>
      </x:c>
      <x:c r="C977" s="4" t="n">
        <x:f>A977*PI()*(3-SQRT(5))</x:f>
        <x:v>2330.364296066522</x:v>
      </x:c>
      <x:c r="D977" s="4" t="n">
        <x:f>IF('계산 과정'!$L$5,B977*COS(C977),"")</x:f>
        <x:v>79.18608078538297</x:v>
      </x:c>
      <x:c r="E977" s="4" t="n">
        <x:f>IF('계산 과정'!$L$5,B977*SIN(C977),"")</x:f>
        <x:v>-66.35346549569437</x:v>
      </x:c>
      <x:c r="F977" s="4" t="n">
        <x:f>IF('계산 과정'!$L$7,'계산 과정'!$L$22+'계산 과정'!$C$49*D977+'계산 과정'!$D$49*E977,"")</x:f>
        <x:v>594.0069853010699</x:v>
      </x:c>
      <x:c r="G977" s="4" t="n">
        <x:f>IF('계산 과정'!$L$7,IF(ABS(F977)&gt;=1E-12*MAX(1,SQRT((D977-'계산 과정'!$C$33)^2+(E977-'계산 과정'!$D$33)^2+'계산 과정'!$E$33^2)),('계산 과정'!$L$23-'계산 과정'!$C$49*D977-'계산 과정'!$D$49*E977)/F977,""),"")</x:f>
        <x:v>0.7676559804558729</x:v>
      </x:c>
      <x:c r="H977" s="4" t="n">
        <x:f>IF(AND(ISNUMBER(G977),G977&gt;0),('계산 과정'!$D$56+'계산 과정'!$D$57*D977+'계산 과정'!$D$58*E977)/F977,"")</x:f>
        <x:v>98.97638729631724</x:v>
      </x:c>
      <x:c r="I977" s="4" t="n">
        <x:f>IF(AND(ISNUMBER(G977),G977&gt;0),('계산 과정'!$E$56+'계산 과정'!$E$57*D977+'계산 과정'!$E$58*E977)/F977,"")</x:f>
        <x:v>-117.29010010743656</x:v>
      </x:c>
      <x:c r="J977" s="4" t="n">
        <x:f>IF('계산 과정'!$L$5,'계산 과정'!$D$6+'계산 과정'!$C$35*D977+'계산 과정'!$D$35*E977,"")</x:f>
        <x:v>594.0069853010699</x:v>
      </x:c>
      <x:c r="K977" s="4" t="n">
        <x:f>IF(AND('계산 과정'!$L$6,J977&gt;0),'계산 과정'!$D$10*('계산 과정'!$C$38*(D977-'계산 과정'!$C$32)+'계산 과정'!$D$38*(E977-'계산 과정'!$D$32)-'계산 과정'!$E$38*'계산 과정'!$E$32)/J977,"")</x:f>
        <x:v>0.7541058079719419</x:v>
      </x:c>
      <x:c r="L977" s="4" t="n">
        <x:f>IF(AND('계산 과정'!$L$6,J977&gt;0),'계산 과정'!$D$10*('계산 과정'!$C$39*(D977-'계산 과정'!$C$32)+'계산 과정'!$D$39*(E977-'계산 과정'!$D$32)-'계산 과정'!$E$39*'계산 과정'!$E$32)/J977,"")</x:f>
        <x:v>-0.8936388579614214</x:v>
      </x:c>
      <x:c r="M977" s="17" t="n">
        <x:f>IF('계산 과정'!$L$6,IF(J977&lt;=0,0,IF(AND(ABS(K977)&lt;='계산 과정'!$D$11/2,ABS(L977)&lt;='계산 과정'!$D$12/2),1,0)),"")</x:f>
        <x:v>1</x:v>
      </x:c>
      <x:c r="N977" s="17" t="n">
        <x:f>IF('계산 과정'!$C$78,IF(AND(ISNUMBER(H977),ISNUMBER(I977),ABS(H977-'계산 과정'!$C$88)&lt;='계산 과정'!$D$23/2,ABS(I977-'계산 과정'!$C$89)&lt;='계산 과정'!$D$24/2),1,0),"")</x:f>
        <x:v>1</x:v>
      </x:c>
      <x:c r="O977" s="4" t="n">
        <x:f>IF('계산 과정'!$L$7,'계산 과정'!$C$49*('계산 과정'!$C$32-D977)+'계산 과정'!$D$49*('계산 과정'!$D$32-E977)+'계산 과정'!$E$49*'계산 과정'!$E$32,"")</x:f>
        <x:v>55.99301469893015</x:v>
      </x:c>
      <x:c r="P977" s="4" t="n">
        <x:f>IF(AND('계산 과정'!$L$7,O977&lt;&gt;0),('계산 과정'!$L$23-'계산 과정'!$C$49*D977-'계산 과정'!$D$49*E977)/O977,"")</x:f>
        <x:v>8.143748236289243</x:v>
      </x:c>
      <x:c r="Q977" s="4" t="str">
        <x:f>IF(AND(ISNUMBER(P977),P977&gt;1E-9,P977&lt;1-1E-9),'계산 과정'!$C$47*(D977-'계산 과정'!$C$50+P977*('계산 과정'!$C$32-D977))+'계산 과정'!$D$47*(E977-'계산 과정'!$D$50+P977*('계산 과정'!$D$32-E977))+'계산 과정'!$E$47*(0-'계산 과정'!$E$50+P977*('계산 과정'!$E$32-0)),"")</x:f>
      </x:c>
      <x:c r="R977" s="4" t="str">
        <x:f>IF(AND(ISNUMBER(P977),P977&gt;1E-9,P977&lt;1-1E-9),'계산 과정'!$C$48*(D977-'계산 과정'!$C$50+P977*('계산 과정'!$C$32-D977))+'계산 과정'!$D$48*(E977-'계산 과정'!$D$50+P977*('계산 과정'!$D$32-E977))+'계산 과정'!$E$48*(0-'계산 과정'!$E$50+P977*('계산 과정'!$E$32-0)),"")</x:f>
      </x:c>
      <x:c r="S977" s="17" t="n">
        <x:f>IF('계산 과정'!$C$78,IF(AND(ISNUMBER(Q977),ISNUMBER(R977),ABS(Q977-'계산 과정'!$C$88)&lt;='계산 과정'!$D$23/2,ABS(R977-'계산 과정'!$C$89)&lt;='계산 과정'!$D$24/2),1,0),"")</x:f>
        <x:v>0</x:v>
      </x:c>
      <x:c r="T977" s="4"/>
      <x:c r="U977" s="4"/>
      <x:c r="V977" s="4"/>
      <x:c r="W977" s="4"/>
      <x:c r="X977" s="4"/>
      <x:c r="Y977" s="4"/>
      <x:c r="Z977" s="4"/>
    </x:row>
    <x:row r="978" ht="23" customHeight="1">
      <x:c r="A978" s="17" t="n">
        <x:f>ROW()-6</x:f>
        <x:v>972</x:v>
      </x:c>
      <x:c r="B978" s="4" t="n">
        <x:f>IF('계산 과정'!$L$5,'계산 과정'!$L$11*SQRT((A978+0.5)/'계산 과정'!$L$30),"")</x:f>
        <x:v>103.36442377124975</x:v>
      </x:c>
      <x:c r="C978" s="4" t="n">
        <x:f>A978*PI()*(3-SQRT(5))</x:f>
        <x:v>2332.7642592962507</x:v>
      </x:c>
      <x:c r="D978" s="4" t="n">
        <x:f>IF('계산 과정'!$L$5,B978*COS(C978),"")</x:f>
        <x:v>-13.575210953235384</x:v>
      </x:c>
      <x:c r="E978" s="4" t="n">
        <x:f>IF('계산 과정'!$L$5,B978*SIN(C978),"")</x:f>
        <x:v>102.46910631569722</x:v>
      </x:c>
      <x:c r="F978" s="4" t="n">
        <x:f>IF('계산 과정'!$L$7,'계산 과정'!$L$22+'계산 과정'!$C$49*D978+'계산 과정'!$D$49*E978,"")</x:f>
        <x:v>659.5991237210707</x:v>
      </x:c>
      <x:c r="G978" s="4" t="n">
        <x:f>IF('계산 과정'!$L$7,IF(ABS(F978)&gt;=1E-12*MAX(1,SQRT((D978-'계산 과정'!$C$33)^2+(E978-'계산 과정'!$D$33)^2+'계산 과정'!$E$33^2)),('계산 과정'!$L$23-'계산 과정'!$C$49*D978-'계산 과정'!$D$49*E978)/F978,""),"")</x:f>
        <x:v>0.5918759777552721</x:v>
      </x:c>
      <x:c r="H978" s="4" t="n">
        <x:f>IF(AND(ISNUMBER(G978),G978&gt;0),('계산 과정'!$D$56+'계산 과정'!$D$57*D978+'계산 과정'!$D$58*E978)/F978,"")</x:f>
        <x:v>-15.280614459073261</x:v>
      </x:c>
      <x:c r="I978" s="4" t="n">
        <x:f>IF(AND(ISNUMBER(G978),G978&gt;0),('계산 과정'!$E$56+'계산 과정'!$E$57*D978+'계산 과정'!$E$58*E978)/F978,"")</x:f>
        <x:v>163.11810880600942</x:v>
      </x:c>
      <x:c r="J978" s="4" t="n">
        <x:f>IF('계산 과정'!$L$5,'계산 과정'!$D$6+'계산 과정'!$C$35*D978+'계산 과정'!$D$35*E978,"")</x:f>
        <x:v>659.5991237210707</x:v>
      </x:c>
      <x:c r="K978" s="4" t="n">
        <x:f>IF(AND('계산 과정'!$L$6,J978&gt;0),'계산 과정'!$D$10*('계산 과정'!$C$38*(D978-'계산 과정'!$C$32)+'계산 과정'!$D$38*(E978-'계산 과정'!$D$32)-'계산 과정'!$E$38*'계산 과정'!$E$32)/J978,"")</x:f>
        <x:v>-0.11642372921198625</x:v>
      </x:c>
      <x:c r="L978" s="4" t="n">
        <x:f>IF(AND('계산 과정'!$L$6,J978&gt;0),'계산 과정'!$D$10*('계산 과정'!$C$39*(D978-'계산 과정'!$C$32)+'계산 과정'!$D$39*(E978-'계산 과정'!$D$32)-'계산 과정'!$E$39*'계산 과정'!$E$32)/J978,"")</x:f>
        <x:v>1.2428046385219766</x:v>
      </x:c>
      <x:c r="M978" s="17" t="n">
        <x:f>IF('계산 과정'!$L$6,IF(J978&lt;=0,0,IF(AND(ABS(K978)&lt;='계산 과정'!$D$11/2,ABS(L978)&lt;='계산 과정'!$D$12/2),1,0)),"")</x:f>
        <x:v>1</x:v>
      </x:c>
      <x:c r="N978" s="17" t="n">
        <x:f>IF('계산 과정'!$C$78,IF(AND(ISNUMBER(H978),ISNUMBER(I978),ABS(H978-'계산 과정'!$C$88)&lt;='계산 과정'!$D$23/2,ABS(I978-'계산 과정'!$C$89)&lt;='계산 과정'!$D$24/2),1,0),"")</x:f>
        <x:v>1</x:v>
      </x:c>
      <x:c r="O978" s="4" t="n">
        <x:f>IF('계산 과정'!$L$7,'계산 과정'!$C$49*('계산 과정'!$C$32-D978)+'계산 과정'!$D$49*('계산 과정'!$D$32-E978)+'계산 과정'!$E$49*'계산 과정'!$E$32,"")</x:f>
        <x:v>-9.599123721070555</x:v>
      </x:c>
      <x:c r="P978" s="4" t="n">
        <x:f>IF(AND('계산 과정'!$L$7,O978&lt;&gt;0),('계산 과정'!$L$23-'계산 과정'!$C$49*D978-'계산 과정'!$D$49*E978)/O978,"")</x:f>
        <x:v>-40.67047030782404</x:v>
      </x:c>
      <x:c r="Q978" s="4" t="str">
        <x:f>IF(AND(ISNUMBER(P978),P978&gt;1E-9,P978&lt;1-1E-9),'계산 과정'!$C$47*(D978-'계산 과정'!$C$50+P978*('계산 과정'!$C$32-D978))+'계산 과정'!$D$47*(E978-'계산 과정'!$D$50+P978*('계산 과정'!$D$32-E978))+'계산 과정'!$E$47*(0-'계산 과정'!$E$50+P978*('계산 과정'!$E$32-0)),"")</x:f>
      </x:c>
      <x:c r="R978" s="4" t="str">
        <x:f>IF(AND(ISNUMBER(P978),P978&gt;1E-9,P978&lt;1-1E-9),'계산 과정'!$C$48*(D978-'계산 과정'!$C$50+P978*('계산 과정'!$C$32-D978))+'계산 과정'!$D$48*(E978-'계산 과정'!$D$50+P978*('계산 과정'!$D$32-E978))+'계산 과정'!$E$48*(0-'계산 과정'!$E$50+P978*('계산 과정'!$E$32-0)),"")</x:f>
      </x:c>
      <x:c r="S978" s="17" t="n">
        <x:f>IF('계산 과정'!$C$78,IF(AND(ISNUMBER(Q978),ISNUMBER(R978),ABS(Q978-'계산 과정'!$C$88)&lt;='계산 과정'!$D$23/2,ABS(R978-'계산 과정'!$C$89)&lt;='계산 과정'!$D$24/2),1,0),"")</x:f>
        <x:v>0</x:v>
      </x:c>
      <x:c r="T978" s="4"/>
      <x:c r="U978" s="4"/>
      <x:c r="V978" s="4"/>
      <x:c r="W978" s="4"/>
      <x:c r="X978" s="4"/>
      <x:c r="Y978" s="4"/>
      <x:c r="Z978" s="4"/>
    </x:row>
    <x:row r="979" ht="23" customHeight="1">
      <x:c r="A979" s="17" t="n">
        <x:f>ROW()-6</x:f>
        <x:v>973</x:v>
      </x:c>
      <x:c r="B979" s="4" t="n">
        <x:f>IF('계산 과정'!$L$5,'계산 과정'!$L$11*SQRT((A979+0.5)/'계산 과정'!$L$30),"")</x:f>
        <x:v>103.41755377926661</x:v>
      </x:c>
      <x:c r="C979" s="4" t="n">
        <x:f>A979*PI()*(3-SQRT(5))</x:f>
        <x:v>2335.1642225259793</x:v>
      </x:c>
      <x:c r="D979" s="4" t="n">
        <x:f>IF('계산 과정'!$L$5,B979*COS(C979),"")</x:f>
        <x:v>-59.23738147691309</x:v>
      </x:c>
      <x:c r="E979" s="4" t="n">
        <x:f>IF('계산 과정'!$L$5,B979*SIN(C979),"")</x:f>
        <x:v>-84.77100368313552</x:v>
      </x:c>
      <x:c r="F979" s="4" t="n">
        <x:f>IF('계산 과정'!$L$7,'계산 과정'!$L$22+'계산 과정'!$C$49*D979+'계산 과정'!$D$49*E979,"")</x:f>
        <x:v>691.8871541420597</x:v>
      </x:c>
      <x:c r="G979" s="4" t="n">
        <x:f>IF('계산 과정'!$L$7,IF(ABS(F979)&gt;=1E-12*MAX(1,SQRT((D979-'계산 과정'!$C$33)^2+(E979-'계산 과정'!$D$33)^2+'계산 과정'!$E$33^2)),('계산 과정'!$L$23-'계산 과정'!$C$49*D979-'계산 과정'!$D$49*E979)/F979,""),"")</x:f>
        <x:v>0.517588516731461</x:v>
      </x:c>
      <x:c r="H979" s="4" t="n">
        <x:f>IF(AND(ISNUMBER(G979),G979&gt;0),('계산 과정'!$D$56+'계산 과정'!$D$57*D979+'계산 과정'!$D$58*E979)/F979,"")</x:f>
        <x:v>-63.56746412455046</x:v>
      </x:c>
      <x:c r="I979" s="4" t="n">
        <x:f>IF(AND(ISNUMBER(G979),G979&gt;0),('계산 과정'!$E$56+'계산 과정'!$E$57*D979+'계산 과정'!$E$58*E979)/F979,"")</x:f>
        <x:v>-128.64750174132683</x:v>
      </x:c>
      <x:c r="J979" s="4" t="n">
        <x:f>IF('계산 과정'!$L$5,'계산 과정'!$D$6+'계산 과정'!$C$35*D979+'계산 과정'!$D$35*E979,"")</x:f>
        <x:v>691.8871541420597</x:v>
      </x:c>
      <x:c r="K979" s="4" t="n">
        <x:f>IF(AND('계산 과정'!$L$6,J979&gt;0),'계산 과정'!$D$10*('계산 과정'!$C$38*(D979-'계산 과정'!$C$32)+'계산 과정'!$D$38*(E979-'계산 과정'!$D$32)-'계산 과정'!$E$38*'계산 과정'!$E$32)/J979,"")</x:f>
        <x:v>-0.4843235361870507</x:v>
      </x:c>
      <x:c r="L979" s="4" t="n">
        <x:f>IF(AND('계산 과정'!$L$6,J979&gt;0),'계산 과정'!$D$10*('계산 과정'!$C$39*(D979-'계산 과정'!$C$32)+'계산 과정'!$D$39*(E979-'계산 과정'!$D$32)-'계산 과정'!$E$39*'계산 과정'!$E$32)/J979,"")</x:f>
        <x:v>-0.9801714418386807</x:v>
      </x:c>
      <x:c r="M979" s="17" t="n">
        <x:f>IF('계산 과정'!$L$6,IF(J979&lt;=0,0,IF(AND(ABS(K979)&lt;='계산 과정'!$D$11/2,ABS(L979)&lt;='계산 과정'!$D$12/2),1,0)),"")</x:f>
        <x:v>1</x:v>
      </x:c>
      <x:c r="N979" s="17" t="n">
        <x:f>IF('계산 과정'!$C$78,IF(AND(ISNUMBER(H979),ISNUMBER(I979),ABS(H979-'계산 과정'!$C$88)&lt;='계산 과정'!$D$23/2,ABS(I979-'계산 과정'!$C$89)&lt;='계산 과정'!$D$24/2),1,0),"")</x:f>
        <x:v>1</x:v>
      </x:c>
      <x:c r="O979" s="4" t="n">
        <x:f>IF('계산 과정'!$L$7,'계산 과정'!$C$49*('계산 과정'!$C$32-D979)+'계산 과정'!$D$49*('계산 과정'!$D$32-E979)+'계산 과정'!$E$49*'계산 과정'!$E$32,"")</x:f>
        <x:v>-41.88715414205956</x:v>
      </x:c>
      <x:c r="P979" s="4" t="n">
        <x:f>IF(AND('계산 과정'!$L$7,O979&lt;&gt;0),('계산 과정'!$L$23-'계산 과정'!$C$49*D979-'계산 과정'!$D$49*E979)/O979,"")</x:f>
        <x:v>-8.549467090636114</x:v>
      </x:c>
      <x:c r="Q979" s="4" t="str">
        <x:f>IF(AND(ISNUMBER(P979),P979&gt;1E-9,P979&lt;1-1E-9),'계산 과정'!$C$47*(D979-'계산 과정'!$C$50+P979*('계산 과정'!$C$32-D979))+'계산 과정'!$D$47*(E979-'계산 과정'!$D$50+P979*('계산 과정'!$D$32-E979))+'계산 과정'!$E$47*(0-'계산 과정'!$E$50+P979*('계산 과정'!$E$32-0)),"")</x:f>
      </x:c>
      <x:c r="R979" s="4" t="str">
        <x:f>IF(AND(ISNUMBER(P979),P979&gt;1E-9,P979&lt;1-1E-9),'계산 과정'!$C$48*(D979-'계산 과정'!$C$50+P979*('계산 과정'!$C$32-D979))+'계산 과정'!$D$48*(E979-'계산 과정'!$D$50+P979*('계산 과정'!$D$32-E979))+'계산 과정'!$E$48*(0-'계산 과정'!$E$50+P979*('계산 과정'!$E$32-0)),"")</x:f>
      </x:c>
      <x:c r="S979" s="17" t="n">
        <x:f>IF('계산 과정'!$C$78,IF(AND(ISNUMBER(Q979),ISNUMBER(R979),ABS(Q979-'계산 과정'!$C$88)&lt;='계산 과정'!$D$23/2,ABS(R979-'계산 과정'!$C$89)&lt;='계산 과정'!$D$24/2),1,0),"")</x:f>
        <x:v>0</x:v>
      </x:c>
      <x:c r="T979" s="4"/>
      <x:c r="U979" s="4"/>
      <x:c r="V979" s="4"/>
      <x:c r="W979" s="4"/>
      <x:c r="X979" s="4"/>
      <x:c r="Y979" s="4"/>
      <x:c r="Z979" s="4"/>
    </x:row>
    <x:row r="980" ht="23" customHeight="1">
      <x:c r="A980" s="17" t="n">
        <x:f>ROW()-6</x:f>
        <x:v>974</x:v>
      </x:c>
      <x:c r="B980" s="4" t="n">
        <x:f>IF('계산 과정'!$L$5,'계산 과정'!$L$11*SQRT((A980+0.5)/'계산 과정'!$L$30),"")</x:f>
        <x:v>103.4706565061443</x:v>
      </x:c>
      <x:c r="C980" s="4" t="n">
        <x:f>A980*PI()*(3-SQRT(5))</x:f>
        <x:v>2337.564185755708</x:v>
      </x:c>
      <x:c r="D980" s="4" t="n">
        <x:f>IF('계산 과정'!$L$5,B980*COS(C980),"")</x:f>
        <x:v>100.99362321812198</x:v>
      </x:c>
      <x:c r="E980" s="4" t="n">
        <x:f>IF('계산 과정'!$L$5,B980*SIN(C980),"")</x:f>
        <x:v>22.504773428953115</x:v>
      </x:c>
      <x:c r="F980" s="4" t="n">
        <x:f>IF('계산 과정'!$L$7,'계산 과정'!$L$22+'계산 과정'!$C$49*D980+'계산 과정'!$D$49*E980,"")</x:f>
        <x:v>578.5867241658668</x:v>
      </x:c>
      <x:c r="G980" s="4" t="n">
        <x:f>IF('계산 과정'!$L$7,IF(ABS(F980)&gt;=1E-12*MAX(1,SQRT((D980-'계산 과정'!$C$33)^2+(E980-'계산 과정'!$D$33)^2+'계산 과정'!$E$33^2)),('계산 과정'!$L$23-'계산 과정'!$C$49*D980-'계산 과정'!$D$49*E980)/F980,""),"")</x:f>
        <x:v>0.8147668381326192</x:v>
      </x:c>
      <x:c r="H980" s="4" t="n">
        <x:f>IF(AND(ISNUMBER(G980),G980&gt;0),('계산 과정'!$D$56+'계산 과정'!$D$57*D980+'계산 과정'!$D$58*E980)/F980,"")</x:f>
        <x:v>129.5984447862024</x:v>
      </x:c>
      <x:c r="I980" s="4" t="n">
        <x:f>IF(AND(ISNUMBER(G980),G980&gt;0),('계산 과정'!$E$56+'계산 과정'!$E$57*D980+'계산 과정'!$E$58*E980)/F980,"")</x:f>
        <x:v>40.84091651855223</x:v>
      </x:c>
      <x:c r="J980" s="4" t="n">
        <x:f>IF('계산 과정'!$L$5,'계산 과정'!$D$6+'계산 과정'!$C$35*D980+'계산 과정'!$D$35*E980,"")</x:f>
        <x:v>578.5867241658668</x:v>
      </x:c>
      <x:c r="K980" s="4" t="n">
        <x:f>IF(AND('계산 과정'!$L$6,J980&gt;0),'계산 과정'!$D$10*('계산 과정'!$C$38*(D980-'계산 과정'!$C$32)+'계산 과정'!$D$38*(E980-'계산 과정'!$D$32)-'계산 과정'!$E$38*'계산 과정'!$E$32)/J980,"")</x:f>
        <x:v>0.9874167221805904</x:v>
      </x:c>
      <x:c r="L980" s="4" t="n">
        <x:f>IF(AND('계산 과정'!$L$6,J980&gt;0),'계산 과정'!$D$10*('계산 과정'!$C$39*(D980-'계산 과정'!$C$32)+'계산 과정'!$D$39*(E980-'계산 과정'!$D$32)-'계산 과정'!$E$39*'계산 과정'!$E$32)/J980,"")</x:f>
        <x:v>0.3111688877603979</x:v>
      </x:c>
      <x:c r="M980" s="17" t="n">
        <x:f>IF('계산 과정'!$L$6,IF(J980&lt;=0,0,IF(AND(ABS(K980)&lt;='계산 과정'!$D$11/2,ABS(L980)&lt;='계산 과정'!$D$12/2),1,0)),"")</x:f>
        <x:v>1</x:v>
      </x:c>
      <x:c r="N980" s="17" t="n">
        <x:f>IF('계산 과정'!$C$78,IF(AND(ISNUMBER(H980),ISNUMBER(I980),ABS(H980-'계산 과정'!$C$88)&lt;='계산 과정'!$D$23/2,ABS(I980-'계산 과정'!$C$89)&lt;='계산 과정'!$D$24/2),1,0),"")</x:f>
        <x:v>1</x:v>
      </x:c>
      <x:c r="O980" s="4" t="n">
        <x:f>IF('계산 과정'!$L$7,'계산 과정'!$C$49*('계산 과정'!$C$32-D980)+'계산 과정'!$D$49*('계산 과정'!$D$32-E980)+'계산 과정'!$E$49*'계산 과정'!$E$32,"")</x:f>
        <x:v>71.41327583413332</x:v>
      </x:c>
      <x:c r="P980" s="4" t="n">
        <x:f>IF(AND('계산 과정'!$L$7,O980&lt;&gt;0),('계산 과정'!$L$23-'계산 과정'!$C$49*D980-'계산 과정'!$D$49*E980)/O980,"")</x:f>
        <x:v>6.601199431448184</x:v>
      </x:c>
      <x:c r="Q980" s="4" t="str">
        <x:f>IF(AND(ISNUMBER(P980),P980&gt;1E-9,P980&lt;1-1E-9),'계산 과정'!$C$47*(D980-'계산 과정'!$C$50+P980*('계산 과정'!$C$32-D980))+'계산 과정'!$D$47*(E980-'계산 과정'!$D$50+P980*('계산 과정'!$D$32-E980))+'계산 과정'!$E$47*(0-'계산 과정'!$E$50+P980*('계산 과정'!$E$32-0)),"")</x:f>
      </x:c>
      <x:c r="R980" s="4" t="str">
        <x:f>IF(AND(ISNUMBER(P980),P980&gt;1E-9,P980&lt;1-1E-9),'계산 과정'!$C$48*(D980-'계산 과정'!$C$50+P980*('계산 과정'!$C$32-D980))+'계산 과정'!$D$48*(E980-'계산 과정'!$D$50+P980*('계산 과정'!$D$32-E980))+'계산 과정'!$E$48*(0-'계산 과정'!$E$50+P980*('계산 과정'!$E$32-0)),"")</x:f>
      </x:c>
      <x:c r="S980" s="17" t="n">
        <x:f>IF('계산 과정'!$C$78,IF(AND(ISNUMBER(Q980),ISNUMBER(R980),ABS(Q980-'계산 과정'!$C$88)&lt;='계산 과정'!$D$23/2,ABS(R980-'계산 과정'!$C$89)&lt;='계산 과정'!$D$24/2),1,0),"")</x:f>
        <x:v>0</x:v>
      </x:c>
      <x:c r="T980" s="4"/>
      <x:c r="U980" s="4"/>
      <x:c r="V980" s="4"/>
      <x:c r="W980" s="4"/>
      <x:c r="X980" s="4"/>
      <x:c r="Y980" s="4"/>
      <x:c r="Z980" s="4"/>
    </x:row>
    <x:row r="981" ht="23" customHeight="1">
      <x:c r="A981" s="17" t="n">
        <x:f>ROW()-6</x:f>
        <x:v>975</x:v>
      </x:c>
      <x:c r="B981" s="4" t="n">
        <x:f>IF('계산 과정'!$L$5,'계산 과정'!$L$11*SQRT((A981+0.5)/'계산 과정'!$L$30),"")</x:f>
        <x:v>103.52373199386459</x:v>
      </x:c>
      <x:c r="C981" s="4" t="n">
        <x:f>A981*PI()*(3-SQRT(5))</x:f>
        <x:v>2339.9641489854366</x:v>
      </x:c>
      <x:c r="D981" s="4" t="n">
        <x:f>IF('계산 과정'!$L$5,B981*COS(C981),"")</x:f>
        <x:v>-89.71730775589585</x:v>
      </x:c>
      <x:c r="E981" s="4" t="n">
        <x:f>IF('계산 과정'!$L$5,B981*SIN(C981),"")</x:f>
        <x:v>51.65237434011503</x:v>
      </x:c>
      <x:c r="F981" s="4" t="n">
        <x:f>IF('계산 과정'!$L$7,'계산 과정'!$L$22+'계산 과정'!$C$49*D981+'계산 과정'!$D$49*E981,"")</x:f>
        <x:v>713.4397167039943</x:v>
      </x:c>
      <x:c r="G981" s="4" t="n">
        <x:f>IF('계산 과정'!$L$7,IF(ABS(F981)&gt;=1E-12*MAX(1,SQRT((D981-'계산 과정'!$C$33)^2+(E981-'계산 과정'!$D$33)^2+'계산 과정'!$E$33^2)),('계산 과정'!$L$23-'계산 과정'!$C$49*D981-'계산 과정'!$D$49*E981)/F981,""),"")</x:f>
        <x:v>0.471743127577581</x:v>
      </x:c>
      <x:c r="H981" s="4" t="n">
        <x:f>IF(AND(ISNUMBER(G981),G981&gt;0),('계산 과정'!$D$56+'계산 과정'!$D$57*D981+'계산 과정'!$D$58*E981)/F981,"")</x:f>
        <x:v>-93.36696707457254</x:v>
      </x:c>
      <x:c r="I981" s="4" t="n">
        <x:f>IF(AND(ISNUMBER(G981),G981&gt;0),('계산 과정'!$E$56+'계산 과정'!$E$57*D981+'계산 과정'!$E$58*E981)/F981,"")</x:f>
        <x:v>76.01902695812889</x:v>
      </x:c>
      <x:c r="J981" s="4" t="n">
        <x:f>IF('계산 과정'!$L$5,'계산 과정'!$D$6+'계산 과정'!$C$35*D981+'계산 과정'!$D$35*E981,"")</x:f>
        <x:v>713.4397167039943</x:v>
      </x:c>
      <x:c r="K981" s="4" t="n">
        <x:f>IF(AND('계산 과정'!$L$6,J981&gt;0),'계산 과정'!$D$10*('계산 과정'!$C$38*(D981-'계산 과정'!$C$32)+'계산 과정'!$D$38*(E981-'계산 과정'!$D$32)-'계산 과정'!$E$38*'계산 과정'!$E$32)/J981,"")</x:f>
        <x:v>-0.7113673681872179</x:v>
      </x:c>
      <x:c r="L981" s="4" t="n">
        <x:f>IF(AND('계산 과정'!$L$6,J981&gt;0),'계산 과정'!$D$10*('계산 과정'!$C$39*(D981-'계산 과정'!$C$32)+'계산 과정'!$D$39*(E981-'계산 과정'!$D$32)-'계산 과정'!$E$39*'계산 과정'!$E$32)/J981,"")</x:f>
        <x:v>0.5791925863476487</x:v>
      </x:c>
      <x:c r="M981" s="17" t="n">
        <x:f>IF('계산 과정'!$L$6,IF(J981&lt;=0,0,IF(AND(ABS(K981)&lt;='계산 과정'!$D$11/2,ABS(L981)&lt;='계산 과정'!$D$12/2),1,0)),"")</x:f>
        <x:v>1</x:v>
      </x:c>
      <x:c r="N981" s="17" t="n">
        <x:f>IF('계산 과정'!$C$78,IF(AND(ISNUMBER(H981),ISNUMBER(I981),ABS(H981-'계산 과정'!$C$88)&lt;='계산 과정'!$D$23/2,ABS(I981-'계산 과정'!$C$89)&lt;='계산 과정'!$D$24/2),1,0),"")</x:f>
        <x:v>1</x:v>
      </x:c>
      <x:c r="O981" s="4" t="n">
        <x:f>IF('계산 과정'!$L$7,'계산 과정'!$C$49*('계산 과정'!$C$32-D981)+'계산 과정'!$D$49*('계산 과정'!$D$32-E981)+'계산 과정'!$E$49*'계산 과정'!$E$32,"")</x:f>
        <x:v>-63.439716703994236</x:v>
      </x:c>
      <x:c r="P981" s="4" t="n">
        <x:f>IF(AND('계산 과정'!$L$7,O981&lt;&gt;0),('계산 과정'!$L$23-'계산 과정'!$C$49*D981-'계산 과정'!$D$49*E981)/O981,"")</x:f>
        <x:v>-5.305198395925615</x:v>
      </x:c>
      <x:c r="Q981" s="4" t="str">
        <x:f>IF(AND(ISNUMBER(P981),P981&gt;1E-9,P981&lt;1-1E-9),'계산 과정'!$C$47*(D981-'계산 과정'!$C$50+P981*('계산 과정'!$C$32-D981))+'계산 과정'!$D$47*(E981-'계산 과정'!$D$50+P981*('계산 과정'!$D$32-E981))+'계산 과정'!$E$47*(0-'계산 과정'!$E$50+P981*('계산 과정'!$E$32-0)),"")</x:f>
      </x:c>
      <x:c r="R981" s="4" t="str">
        <x:f>IF(AND(ISNUMBER(P981),P981&gt;1E-9,P981&lt;1-1E-9),'계산 과정'!$C$48*(D981-'계산 과정'!$C$50+P981*('계산 과정'!$C$32-D981))+'계산 과정'!$D$48*(E981-'계산 과정'!$D$50+P981*('계산 과정'!$D$32-E981))+'계산 과정'!$E$48*(0-'계산 과정'!$E$50+P981*('계산 과정'!$E$32-0)),"")</x:f>
      </x:c>
      <x:c r="S981" s="17" t="n">
        <x:f>IF('계산 과정'!$C$78,IF(AND(ISNUMBER(Q981),ISNUMBER(R981),ABS(Q981-'계산 과정'!$C$88)&lt;='계산 과정'!$D$23/2,ABS(R981-'계산 과정'!$C$89)&lt;='계산 과정'!$D$24/2),1,0),"")</x:f>
        <x:v>0</x:v>
      </x:c>
      <x:c r="T981" s="4"/>
      <x:c r="U981" s="4"/>
      <x:c r="V981" s="4"/>
      <x:c r="W981" s="4"/>
      <x:c r="X981" s="4"/>
      <x:c r="Y981" s="4"/>
      <x:c r="Z981" s="4"/>
    </x:row>
    <x:row r="982" ht="23" customHeight="1">
      <x:c r="A982" s="17" t="n">
        <x:f>ROW()-6</x:f>
        <x:v>976</x:v>
      </x:c>
      <x:c r="B982" s="4" t="n">
        <x:f>IF('계산 과정'!$L$5,'계산 과정'!$L$11*SQRT((A982+0.5)/'계산 과정'!$L$30),"")</x:f>
        <x:v>103.57678028430166</x:v>
      </x:c>
      <x:c r="C982" s="4" t="n">
        <x:f>A982*PI()*(3-SQRT(5))</x:f>
        <x:v>2342.3641122151653</x:v>
      </x:c>
      <x:c r="D982" s="4" t="n">
        <x:f>IF('계산 과정'!$L$5,B982*COS(C982),"")</x:f>
        <x:v>31.280093557385054</x:v>
      </x:c>
      <x:c r="E982" s="4" t="n">
        <x:f>IF('계산 과정'!$L$5,B982*SIN(C982),"")</x:f>
        <x:v>-98.74059530458452</x:v>
      </x:c>
      <x:c r="F982" s="4" t="n">
        <x:f>IF('계산 과정'!$L$7,'계산 과정'!$L$22+'계산 과정'!$C$49*D982+'계산 과정'!$D$49*E982,"")</x:f>
        <x:v>627.8816337294234</x:v>
      </x:c>
      <x:c r="G982" s="4" t="n">
        <x:f>IF('계산 과정'!$L$7,IF(ABS(F982)&gt;=1E-12*MAX(1,SQRT((D982-'계산 과정'!$C$33)^2+(E982-'계산 과정'!$D$33)^2+'계산 과정'!$E$33^2)),('계산 과정'!$L$23-'계산 과정'!$C$49*D982-'계산 과정'!$D$49*E982)/F982,""),"")</x:f>
        <x:v>0.6722897176707074</x:v>
      </x:c>
      <x:c r="H982" s="4" t="n">
        <x:f>IF(AND(ISNUMBER(G982),G982&gt;0),('계산 과정'!$D$56+'계산 과정'!$D$57*D982+'계산 과정'!$D$58*E982)/F982,"")</x:f>
        <x:v>36.98831648595975</x:v>
      </x:c>
      <x:c r="I982" s="4" t="n">
        <x:f>IF(AND(ISNUMBER(G982),G982&gt;0),('계산 과정'!$E$56+'계산 과정'!$E$57*D982+'계산 과정'!$E$58*E982)/F982,"")</x:f>
        <x:v>-165.12288224454124</x:v>
      </x:c>
      <x:c r="J982" s="4" t="n">
        <x:f>IF('계산 과정'!$L$5,'계산 과정'!$D$6+'계산 과정'!$C$35*D982+'계산 과정'!$D$35*E982,"")</x:f>
        <x:v>627.8816337294234</x:v>
      </x:c>
      <x:c r="K982" s="4" t="n">
        <x:f>IF(AND('계산 과정'!$L$6,J982&gt;0),'계산 과정'!$D$10*('계산 과정'!$C$38*(D982-'계산 과정'!$C$32)+'계산 과정'!$D$38*(E982-'계산 과정'!$D$32)-'계산 과정'!$E$38*'계산 과정'!$E$32)/J982,"")</x:f>
        <x:v>0.281815744654932</x:v>
      </x:c>
      <x:c r="L982" s="4" t="n">
        <x:f>IF(AND('계산 과정'!$L$6,J982&gt;0),'계산 과정'!$D$10*('계산 과정'!$C$39*(D982-'계산 과정'!$C$32)+'계산 과정'!$D$39*(E982-'계산 과정'!$D$32)-'계산 과정'!$E$39*'계산 과정'!$E$32)/J982,"")</x:f>
        <x:v>-1.2580791028155522</x:v>
      </x:c>
      <x:c r="M982" s="17" t="n">
        <x:f>IF('계산 과정'!$L$6,IF(J982&lt;=0,0,IF(AND(ABS(K982)&lt;='계산 과정'!$D$11/2,ABS(L982)&lt;='계산 과정'!$D$12/2),1,0)),"")</x:f>
        <x:v>1</x:v>
      </x:c>
      <x:c r="N982" s="17" t="n">
        <x:f>IF('계산 과정'!$C$78,IF(AND(ISNUMBER(H982),ISNUMBER(I982),ABS(H982-'계산 과정'!$C$88)&lt;='계산 과정'!$D$23/2,ABS(I982-'계산 과정'!$C$89)&lt;='계산 과정'!$D$24/2),1,0),"")</x:f>
        <x:v>1</x:v>
      </x:c>
      <x:c r="O982" s="4" t="n">
        <x:f>IF('계산 과정'!$L$7,'계산 과정'!$C$49*('계산 과정'!$C$32-D982)+'계산 과정'!$D$49*('계산 과정'!$D$32-E982)+'계산 과정'!$E$49*'계산 과정'!$E$32,"")</x:f>
        <x:v>22.1183662705767</x:v>
      </x:c>
      <x:c r="P982" s="4" t="n">
        <x:f>IF(AND('계산 과정'!$L$7,O982&lt;&gt;0),('계산 과정'!$L$23-'계산 과정'!$C$49*D982-'계산 과정'!$D$49*E982)/O982,"")</x:f>
        <x:v>19.08451831870178</x:v>
      </x:c>
      <x:c r="Q982" s="4" t="str">
        <x:f>IF(AND(ISNUMBER(P982),P982&gt;1E-9,P982&lt;1-1E-9),'계산 과정'!$C$47*(D982-'계산 과정'!$C$50+P982*('계산 과정'!$C$32-D982))+'계산 과정'!$D$47*(E982-'계산 과정'!$D$50+P982*('계산 과정'!$D$32-E982))+'계산 과정'!$E$47*(0-'계산 과정'!$E$50+P982*('계산 과정'!$E$32-0)),"")</x:f>
      </x:c>
      <x:c r="R982" s="4" t="str">
        <x:f>IF(AND(ISNUMBER(P982),P982&gt;1E-9,P982&lt;1-1E-9),'계산 과정'!$C$48*(D982-'계산 과정'!$C$50+P982*('계산 과정'!$C$32-D982))+'계산 과정'!$D$48*(E982-'계산 과정'!$D$50+P982*('계산 과정'!$D$32-E982))+'계산 과정'!$E$48*(0-'계산 과정'!$E$50+P982*('계산 과정'!$E$32-0)),"")</x:f>
      </x:c>
      <x:c r="S982" s="17" t="n">
        <x:f>IF('계산 과정'!$C$78,IF(AND(ISNUMBER(Q982),ISNUMBER(R982),ABS(Q982-'계산 과정'!$C$88)&lt;='계산 과정'!$D$23/2,ABS(R982-'계산 과정'!$C$89)&lt;='계산 과정'!$D$24/2),1,0),"")</x:f>
        <x:v>0</x:v>
      </x:c>
      <x:c r="T982" s="4"/>
      <x:c r="U982" s="4"/>
      <x:c r="V982" s="4"/>
      <x:c r="W982" s="4"/>
      <x:c r="X982" s="4"/>
      <x:c r="Y982" s="4"/>
      <x:c r="Z982" s="4"/>
    </x:row>
    <x:row r="983" ht="23" customHeight="1">
      <x:c r="A983" s="17" t="n">
        <x:f>ROW()-6</x:f>
        <x:v>977</x:v>
      </x:c>
      <x:c r="B983" s="4" t="n">
        <x:f>IF('계산 과정'!$L$5,'계산 과정'!$L$11*SQRT((A983+0.5)/'계산 과정'!$L$30),"")</x:f>
        <x:v>103.62980141922256</x:v>
      </x:c>
      <x:c r="C983" s="4" t="n">
        <x:f>A983*PI()*(3-SQRT(5))</x:f>
        <x:v>2344.764075444894</x:v>
      </x:c>
      <x:c r="D983" s="4" t="n">
        <x:f>IF('계산 과정'!$L$5,B983*COS(C983),"")</x:f>
        <x:v>43.65568227150959</x:v>
      </x:c>
      <x:c r="E983" s="4" t="n">
        <x:f>IF('계산 과정'!$L$5,B983*SIN(C983),"")</x:f>
        <x:v>93.98572842509923</x:v>
      </x:c>
      <x:c r="F983" s="4" t="n">
        <x:f>IF('계산 과정'!$L$7,'계산 과정'!$L$22+'계산 과정'!$C$49*D983+'계산 과정'!$D$49*E983,"")</x:f>
        <x:v>619.1307710284902</x:v>
      </x:c>
      <x:c r="G983" s="4" t="n">
        <x:f>IF('계산 과정'!$L$7,IF(ABS(F983)&gt;=1E-12*MAX(1,SQRT((D983-'계산 과정'!$C$33)^2+(E983-'계산 과정'!$D$33)^2+'계산 과정'!$E$33^2)),('계산 과정'!$L$23-'계산 과정'!$C$49*D983-'계산 과정'!$D$49*E983)/F983,""),"")</x:f>
        <x:v>0.6959260452452664</x:v>
      </x:c>
      <x:c r="H983" s="4" t="n">
        <x:f>IF(AND(ISNUMBER(G983),G983&gt;0),('계산 과정'!$D$56+'계산 과정'!$D$57*D983+'계산 과정'!$D$58*E983)/F983,"")</x:f>
        <x:v>52.351929409423064</x:v>
      </x:c>
      <x:c r="I983" s="4" t="n">
        <x:f>IF(AND(ISNUMBER(G983),G983&gt;0),('계산 과정'!$E$56+'계산 과정'!$E$57*D983+'계산 과정'!$E$58*E983)/F983,"")</x:f>
        <x:v>159.39284471747413</x:v>
      </x:c>
      <x:c r="J983" s="4" t="n">
        <x:f>IF('계산 과정'!$L$5,'계산 과정'!$D$6+'계산 과정'!$C$35*D983+'계산 과정'!$D$35*E983,"")</x:f>
        <x:v>619.1307710284902</x:v>
      </x:c>
      <x:c r="K983" s="4" t="n">
        <x:f>IF(AND('계산 과정'!$L$6,J983&gt;0),'계산 과정'!$D$10*('계산 과정'!$C$38*(D983-'계산 과정'!$C$32)+'계산 과정'!$D$38*(E983-'계산 과정'!$D$32)-'계산 과정'!$E$38*'계산 과정'!$E$32)/J983,"")</x:f>
        <x:v>0.3988718431194144</x:v>
      </x:c>
      <x:c r="L983" s="4" t="n">
        <x:f>IF(AND('계산 과정'!$L$6,J983&gt;0),'계산 과정'!$D$10*('계산 과정'!$C$39*(D983-'계산 과정'!$C$32)+'계산 과정'!$D$39*(E983-'계산 과정'!$D$32)-'계산 과정'!$E$39*'계산 과정'!$E$32)/J983,"")</x:f>
        <x:v>1.2144216740378984</x:v>
      </x:c>
      <x:c r="M983" s="17" t="n">
        <x:f>IF('계산 과정'!$L$6,IF(J983&lt;=0,0,IF(AND(ABS(K983)&lt;='계산 과정'!$D$11/2,ABS(L983)&lt;='계산 과정'!$D$12/2),1,0)),"")</x:f>
        <x:v>1</x:v>
      </x:c>
      <x:c r="N983" s="17" t="n">
        <x:f>IF('계산 과정'!$C$78,IF(AND(ISNUMBER(H983),ISNUMBER(I983),ABS(H983-'계산 과정'!$C$88)&lt;='계산 과정'!$D$23/2,ABS(I983-'계산 과정'!$C$89)&lt;='계산 과정'!$D$24/2),1,0),"")</x:f>
        <x:v>1</x:v>
      </x:c>
      <x:c r="O983" s="4" t="n">
        <x:f>IF('계산 과정'!$L$7,'계산 과정'!$C$49*('계산 과정'!$C$32-D983)+'계산 과정'!$D$49*('계산 과정'!$D$32-E983)+'계산 과정'!$E$49*'계산 과정'!$E$32,"")</x:f>
        <x:v>30.86922897150987</x:v>
      </x:c>
      <x:c r="P983" s="4" t="n">
        <x:f>IF(AND('계산 과정'!$L$7,O983&lt;&gt;0),('계산 과정'!$L$23-'계산 과정'!$C$49*D983-'계산 과정'!$D$49*E983)/O983,"")</x:f>
        <x:v>13.957887622304133</x:v>
      </x:c>
      <x:c r="Q983" s="4" t="str">
        <x:f>IF(AND(ISNUMBER(P983),P983&gt;1E-9,P983&lt;1-1E-9),'계산 과정'!$C$47*(D983-'계산 과정'!$C$50+P983*('계산 과정'!$C$32-D983))+'계산 과정'!$D$47*(E983-'계산 과정'!$D$50+P983*('계산 과정'!$D$32-E983))+'계산 과정'!$E$47*(0-'계산 과정'!$E$50+P983*('계산 과정'!$E$32-0)),"")</x:f>
      </x:c>
      <x:c r="R983" s="4" t="str">
        <x:f>IF(AND(ISNUMBER(P983),P983&gt;1E-9,P983&lt;1-1E-9),'계산 과정'!$C$48*(D983-'계산 과정'!$C$50+P983*('계산 과정'!$C$32-D983))+'계산 과정'!$D$48*(E983-'계산 과정'!$D$50+P983*('계산 과정'!$D$32-E983))+'계산 과정'!$E$48*(0-'계산 과정'!$E$50+P983*('계산 과정'!$E$32-0)),"")</x:f>
      </x:c>
      <x:c r="S983" s="17" t="n">
        <x:f>IF('계산 과정'!$C$78,IF(AND(ISNUMBER(Q983),ISNUMBER(R983),ABS(Q983-'계산 과정'!$C$88)&lt;='계산 과정'!$D$23/2,ABS(R983-'계산 과정'!$C$89)&lt;='계산 과정'!$D$24/2),1,0),"")</x:f>
        <x:v>0</x:v>
      </x:c>
      <x:c r="T983" s="4"/>
      <x:c r="U983" s="4"/>
      <x:c r="V983" s="4"/>
      <x:c r="W983" s="4"/>
      <x:c r="X983" s="4"/>
      <x:c r="Y983" s="4"/>
      <x:c r="Z983" s="4"/>
    </x:row>
    <x:row r="984" ht="23" customHeight="1">
      <x:c r="A984" s="17" t="n">
        <x:f>ROW()-6</x:f>
        <x:v>978</x:v>
      </x:c>
      <x:c r="B984" s="4" t="n">
        <x:f>IF('계산 과정'!$L$5,'계산 과정'!$L$11*SQRT((A984+0.5)/'계산 과정'!$L$30),"")</x:f>
        <x:v>103.68279544028749</x:v>
      </x:c>
      <x:c r="C984" s="4" t="n">
        <x:f>A984*PI()*(3-SQRT(5))</x:f>
        <x:v>2347.1640386746226</x:v>
      </x:c>
      <x:c r="D984" s="4" t="n">
        <x:f>IF('계산 과정'!$L$5,B984*COS(C984),"")</x:f>
        <x:v>-95.72571583235126</x:v>
      </x:c>
      <x:c r="E984" s="4" t="n">
        <x:f>IF('계산 과정'!$L$5,B984*SIN(C984),"")</x:f>
        <x:v>-39.83352104316712</x:v>
      </x:c>
      <x:c r="F984" s="4" t="n">
        <x:f>IF('계산 과정'!$L$7,'계산 과정'!$L$22+'계산 과정'!$C$49*D984+'계산 과정'!$D$49*E984,"")</x:f>
        <x:v>717.688302798992</x:v>
      </x:c>
      <x:c r="G984" s="4" t="n">
        <x:f>IF('계산 과정'!$L$7,IF(ABS(F984)&gt;=1E-12*MAX(1,SQRT((D984-'계산 과정'!$C$33)^2+(E984-'계산 과정'!$D$33)^2+'계산 과정'!$E$33^2)),('계산 과정'!$L$23-'계산 과정'!$C$49*D984-'계산 과정'!$D$49*E984)/F984,""),"")</x:f>
        <x:v>0.46303067209677073</x:v>
      </x:c>
      <x:c r="H984" s="4" t="n">
        <x:f>IF(AND(ISNUMBER(G984),G984&gt;0),('계산 과정'!$D$56+'계산 과정'!$D$57*D984+'계산 과정'!$D$58*E984)/F984,"")</x:f>
        <x:v>-99.03006313709915</x:v>
      </x:c>
      <x:c r="I984" s="4" t="n">
        <x:f>IF(AND(ISNUMBER(G984),G984&gt;0),('계산 과정'!$E$56+'계산 과정'!$E$57*D984+'계산 과정'!$E$58*E984)/F984,"")</x:f>
        <x:v>-58.277663063765644</x:v>
      </x:c>
      <x:c r="J984" s="4" t="n">
        <x:f>IF('계산 과정'!$L$5,'계산 과정'!$D$6+'계산 과정'!$C$35*D984+'계산 과정'!$D$35*E984,"")</x:f>
        <x:v>717.688302798992</x:v>
      </x:c>
      <x:c r="K984" s="4" t="n">
        <x:f>IF(AND('계산 과정'!$L$6,J984&gt;0),'계산 과정'!$D$10*('계산 과정'!$C$38*(D984-'계산 과정'!$C$32)+'계산 과정'!$D$38*(E984-'계산 과정'!$D$32)-'계산 과정'!$E$38*'계산 과정'!$E$32)/J984,"")</x:f>
        <x:v>-0.7545147667588498</x:v>
      </x:c>
      <x:c r="L984" s="4" t="n">
        <x:f>IF(AND('계산 과정'!$L$6,J984&gt;0),'계산 과정'!$D$10*('계산 과정'!$C$39*(D984-'계산 과정'!$C$32)+'계산 과정'!$D$39*(E984-'계산 과정'!$D$32)-'계산 과정'!$E$39*'계산 과정'!$E$32)/J984,"")</x:f>
        <x:v>-0.44402029000964305</x:v>
      </x:c>
      <x:c r="M984" s="17" t="n">
        <x:f>IF('계산 과정'!$L$6,IF(J984&lt;=0,0,IF(AND(ABS(K984)&lt;='계산 과정'!$D$11/2,ABS(L984)&lt;='계산 과정'!$D$12/2),1,0)),"")</x:f>
        <x:v>1</x:v>
      </x:c>
      <x:c r="N984" s="17" t="n">
        <x:f>IF('계산 과정'!$C$78,IF(AND(ISNUMBER(H984),ISNUMBER(I984),ABS(H984-'계산 과정'!$C$88)&lt;='계산 과정'!$D$23/2,ABS(I984-'계산 과정'!$C$89)&lt;='계산 과정'!$D$24/2),1,0),"")</x:f>
        <x:v>1</x:v>
      </x:c>
      <x:c r="O984" s="4" t="n">
        <x:f>IF('계산 과정'!$L$7,'계산 과정'!$C$49*('계산 과정'!$C$32-D984)+'계산 과정'!$D$49*('계산 과정'!$D$32-E984)+'계산 과정'!$E$49*'계산 과정'!$E$32,"")</x:f>
        <x:v>-67.68830279899191</x:v>
      </x:c>
      <x:c r="P984" s="4" t="n">
        <x:f>IF(AND('계산 과정'!$L$7,O984&lt;&gt;0),('계산 과정'!$L$23-'계산 과정'!$C$49*D984-'계산 과정'!$D$49*E984)/O984,"")</x:f>
        <x:v>-4.909440530483461</x:v>
      </x:c>
      <x:c r="Q984" s="4" t="str">
        <x:f>IF(AND(ISNUMBER(P984),P984&gt;1E-9,P984&lt;1-1E-9),'계산 과정'!$C$47*(D984-'계산 과정'!$C$50+P984*('계산 과정'!$C$32-D984))+'계산 과정'!$D$47*(E984-'계산 과정'!$D$50+P984*('계산 과정'!$D$32-E984))+'계산 과정'!$E$47*(0-'계산 과정'!$E$50+P984*('계산 과정'!$E$32-0)),"")</x:f>
      </x:c>
      <x:c r="R984" s="4" t="str">
        <x:f>IF(AND(ISNUMBER(P984),P984&gt;1E-9,P984&lt;1-1E-9),'계산 과정'!$C$48*(D984-'계산 과정'!$C$50+P984*('계산 과정'!$C$32-D984))+'계산 과정'!$D$48*(E984-'계산 과정'!$D$50+P984*('계산 과정'!$D$32-E984))+'계산 과정'!$E$48*(0-'계산 과정'!$E$50+P984*('계산 과정'!$E$32-0)),"")</x:f>
      </x:c>
      <x:c r="S984" s="17" t="n">
        <x:f>IF('계산 과정'!$C$78,IF(AND(ISNUMBER(Q984),ISNUMBER(R984),ABS(Q984-'계산 과정'!$C$88)&lt;='계산 과정'!$D$23/2,ABS(R984-'계산 과정'!$C$89)&lt;='계산 과정'!$D$24/2),1,0),"")</x:f>
        <x:v>0</x:v>
      </x:c>
      <x:c r="T984" s="4"/>
      <x:c r="U984" s="4"/>
      <x:c r="V984" s="4"/>
      <x:c r="W984" s="4"/>
      <x:c r="X984" s="4"/>
      <x:c r="Y984" s="4"/>
      <x:c r="Z984" s="4"/>
    </x:row>
    <x:row r="985" ht="23" customHeight="1">
      <x:c r="A985" s="17" t="n">
        <x:f>ROW()-6</x:f>
        <x:v>979</x:v>
      </x:c>
      <x:c r="B985" s="4" t="n">
        <x:f>IF('계산 과정'!$L$5,'계산 과정'!$L$11*SQRT((A985+0.5)/'계산 과정'!$L$30),"")</x:f>
        <x:v>103.7357623890503</x:v>
      </x:c>
      <x:c r="C985" s="4" t="n">
        <x:f>A985*PI()*(3-SQRT(5))</x:f>
        <x:v>2349.5640019043512</x:v>
      </x:c>
      <x:c r="D985" s="4" t="n">
        <x:f>IF('계산 과정'!$L$5,B985*COS(C985),"")</x:f>
        <x:v>97.54212504673681</x:v>
      </x:c>
      <x:c r="E985" s="4" t="n">
        <x:f>IF('계산 과정'!$L$5,B985*SIN(C985),"")</x:f>
        <x:v>-35.307821227091615</x:v>
      </x:c>
      <x:c r="F985" s="4" t="n">
        <x:f>IF('계산 과정'!$L$7,'계산 과정'!$L$22+'계산 과정'!$C$49*D985+'계산 과정'!$D$49*E985,"")</x:f>
        <x:v>581.0273019281062</x:v>
      </x:c>
      <x:c r="G985" s="4" t="n">
        <x:f>IF('계산 과정'!$L$7,IF(ABS(F985)&gt;=1E-12*MAX(1,SQRT((D985-'계산 과정'!$C$33)^2+(E985-'계산 과정'!$D$33)^2+'계산 과정'!$E$33^2)),('계산 과정'!$L$23-'계산 과정'!$C$49*D985-'계산 과정'!$D$49*E985)/F985,""),"")</x:f>
        <x:v>0.8071439956704864</x:v>
      </x:c>
      <x:c r="H985" s="4" t="n">
        <x:f>IF(AND(ISNUMBER(G985),G985&gt;0),('계산 과정'!$D$56+'계산 과정'!$D$57*D985+'계산 과정'!$D$58*E985)/F985,"")</x:f>
        <x:v>124.64359718581609</x:v>
      </x:c>
      <x:c r="I985" s="4" t="n">
        <x:f>IF(AND(ISNUMBER(G985),G985&gt;0),('계산 과정'!$E$56+'계산 과정'!$E$57*D985+'계산 과정'!$E$58*E985)/F985,"")</x:f>
        <x:v>-63.806317130745555</x:v>
      </x:c>
      <x:c r="J985" s="4" t="n">
        <x:f>IF('계산 과정'!$L$5,'계산 과정'!$D$6+'계산 과정'!$C$35*D985+'계산 과정'!$D$35*E985,"")</x:f>
        <x:v>581.0273019281062</x:v>
      </x:c>
      <x:c r="K985" s="4" t="n">
        <x:f>IF(AND('계산 과정'!$L$6,J985&gt;0),'계산 과정'!$D$10*('계산 과정'!$C$38*(D985-'계산 과정'!$C$32)+'계산 과정'!$D$38*(E985-'계산 과정'!$D$32)-'계산 과정'!$E$38*'계산 과정'!$E$32)/J985,"")</x:f>
        <x:v>0.949665502368124</x:v>
      </x:c>
      <x:c r="L985" s="4" t="n">
        <x:f>IF(AND('계산 과정'!$L$6,J985&gt;0),'계산 과정'!$D$10*('계산 과정'!$C$39*(D985-'계산 과정'!$C$32)+'계산 과정'!$D$39*(E985-'계산 과정'!$D$32)-'계산 과정'!$E$39*'계산 과정'!$E$32)/J985,"")</x:f>
        <x:v>-0.48614336861520424</x:v>
      </x:c>
      <x:c r="M985" s="17" t="n">
        <x:f>IF('계산 과정'!$L$6,IF(J985&lt;=0,0,IF(AND(ABS(K985)&lt;='계산 과정'!$D$11/2,ABS(L985)&lt;='계산 과정'!$D$12/2),1,0)),"")</x:f>
        <x:v>1</x:v>
      </x:c>
      <x:c r="N985" s="17" t="n">
        <x:f>IF('계산 과정'!$C$78,IF(AND(ISNUMBER(H985),ISNUMBER(I985),ABS(H985-'계산 과정'!$C$88)&lt;='계산 과정'!$D$23/2,ABS(I985-'계산 과정'!$C$89)&lt;='계산 과정'!$D$24/2),1,0),"")</x:f>
        <x:v>1</x:v>
      </x:c>
      <x:c r="O985" s="4" t="n">
        <x:f>IF('계산 과정'!$L$7,'계산 과정'!$C$49*('계산 과정'!$C$32-D985)+'계산 과정'!$D$49*('계산 과정'!$D$32-E985)+'계산 과정'!$E$49*'계산 과정'!$E$32,"")</x:f>
        <x:v>68.97269807189389</x:v>
      </x:c>
      <x:c r="P985" s="4" t="n">
        <x:f>IF(AND('계산 과정'!$L$7,O985&lt;&gt;0),('계산 과정'!$L$23-'계산 과정'!$C$49*D985-'계산 과정'!$D$49*E985)/O985,"")</x:f>
        <x:v>6.799396155027294</x:v>
      </x:c>
      <x:c r="Q985" s="4" t="str">
        <x:f>IF(AND(ISNUMBER(P985),P985&gt;1E-9,P985&lt;1-1E-9),'계산 과정'!$C$47*(D985-'계산 과정'!$C$50+P985*('계산 과정'!$C$32-D985))+'계산 과정'!$D$47*(E985-'계산 과정'!$D$50+P985*('계산 과정'!$D$32-E985))+'계산 과정'!$E$47*(0-'계산 과정'!$E$50+P985*('계산 과정'!$E$32-0)),"")</x:f>
      </x:c>
      <x:c r="R985" s="4" t="str">
        <x:f>IF(AND(ISNUMBER(P985),P985&gt;1E-9,P985&lt;1-1E-9),'계산 과정'!$C$48*(D985-'계산 과정'!$C$50+P985*('계산 과정'!$C$32-D985))+'계산 과정'!$D$48*(E985-'계산 과정'!$D$50+P985*('계산 과정'!$D$32-E985))+'계산 과정'!$E$48*(0-'계산 과정'!$E$50+P985*('계산 과정'!$E$32-0)),"")</x:f>
      </x:c>
      <x:c r="S985" s="17" t="n">
        <x:f>IF('계산 과정'!$C$78,IF(AND(ISNUMBER(Q985),ISNUMBER(R985),ABS(Q985-'계산 과정'!$C$88)&lt;='계산 과정'!$D$23/2,ABS(R985-'계산 과정'!$C$89)&lt;='계산 과정'!$D$24/2),1,0),"")</x:f>
        <x:v>0</x:v>
      </x:c>
      <x:c r="T985" s="4"/>
      <x:c r="U985" s="4"/>
      <x:c r="V985" s="4"/>
      <x:c r="W985" s="4"/>
      <x:c r="X985" s="4"/>
      <x:c r="Y985" s="4"/>
      <x:c r="Z985" s="4"/>
    </x:row>
    <x:row r="986" ht="23" customHeight="1">
      <x:c r="A986" s="17" t="n">
        <x:f>ROW()-6</x:f>
        <x:v>980</x:v>
      </x:c>
      <x:c r="B986" s="4" t="n">
        <x:f>IF('계산 과정'!$L$5,'계산 과정'!$L$11*SQRT((A986+0.5)/'계산 과정'!$L$30),"")</x:f>
        <x:v>103.78870230695874</x:v>
      </x:c>
      <x:c r="C986" s="4" t="n">
        <x:f>A986*PI()*(3-SQRT(5))</x:f>
        <x:v>2351.96396513408</x:v>
      </x:c>
      <x:c r="D986" s="4" t="n">
        <x:f>IF('계산 과정'!$L$5,B986*COS(C986),"")</x:f>
        <x:v>-48.09897079480257</x:v>
      </x:c>
      <x:c r="E986" s="4" t="n">
        <x:f>IF('계산 과정'!$L$5,B986*SIN(C986),"")</x:f>
        <x:v>91.97055906671021</x:v>
      </x:c>
      <x:c r="F986" s="4" t="n">
        <x:f>IF('계산 과정'!$L$7,'계산 과정'!$L$22+'계산 과정'!$C$49*D986+'계산 과정'!$D$49*E986,"")</x:f>
        <x:v>684.0111084170986</x:v>
      </x:c>
      <x:c r="G986" s="4" t="n">
        <x:f>IF('계산 과정'!$L$7,IF(ABS(F986)&gt;=1E-12*MAX(1,SQRT((D986-'계산 과정'!$C$33)^2+(E986-'계산 과정'!$D$33)^2+'계산 과정'!$E$33^2)),('계산 과정'!$L$23-'계산 과정'!$C$49*D986-'계산 과정'!$D$49*E986)/F986,""),"")</x:f>
        <x:v>0.5350627893015554</x:v>
      </x:c>
      <x:c r="H986" s="4" t="n">
        <x:f>IF(AND(ISNUMBER(G986),G986&gt;0),('계산 과정'!$D$56+'계산 과정'!$D$57*D986+'계산 과정'!$D$58*E986)/F986,"")</x:f>
        <x:v>-52.2091869539891</x:v>
      </x:c>
      <x:c r="I986" s="4" t="n">
        <x:f>IF(AND(ISNUMBER(G986),G986&gt;0),('계산 과정'!$E$56+'계산 과정'!$E$57*D986+'계산 과정'!$E$58*E986)/F986,"")</x:f>
        <x:v>141.1805829345676</x:v>
      </x:c>
      <x:c r="J986" s="4" t="n">
        <x:f>IF('계산 과정'!$L$5,'계산 과정'!$D$6+'계산 과정'!$C$35*D986+'계산 과정'!$D$35*E986,"")</x:f>
        <x:v>684.0111084170986</x:v>
      </x:c>
      <x:c r="K986" s="4" t="n">
        <x:f>IF(AND('계산 과정'!$L$6,J986&gt;0),'계산 과정'!$D$10*('계산 과정'!$C$38*(D986-'계산 과정'!$C$32)+'계산 과정'!$D$38*(E986-'계산 과정'!$D$32)-'계산 과정'!$E$38*'계산 과정'!$E$32)/J986,"")</x:f>
        <x:v>-0.3977842815542014</x:v>
      </x:c>
      <x:c r="L986" s="4" t="n">
        <x:f>IF(AND('계산 과정'!$L$6,J986&gt;0),'계산 과정'!$D$10*('계산 과정'!$C$39*(D986-'계산 과정'!$C$32)+'계산 과정'!$D$39*(E986-'계산 과정'!$D$32)-'계산 과정'!$E$39*'계산 과정'!$E$32)/J986,"")</x:f>
        <x:v>1.0756615842633723</x:v>
      </x:c>
      <x:c r="M986" s="17" t="n">
        <x:f>IF('계산 과정'!$L$6,IF(J986&lt;=0,0,IF(AND(ABS(K986)&lt;='계산 과정'!$D$11/2,ABS(L986)&lt;='계산 과정'!$D$12/2),1,0)),"")</x:f>
        <x:v>1</x:v>
      </x:c>
      <x:c r="N986" s="17" t="n">
        <x:f>IF('계산 과정'!$C$78,IF(AND(ISNUMBER(H986),ISNUMBER(I986),ABS(H986-'계산 과정'!$C$88)&lt;='계산 과정'!$D$23/2,ABS(I986-'계산 과정'!$C$89)&lt;='계산 과정'!$D$24/2),1,0),"")</x:f>
        <x:v>1</x:v>
      </x:c>
      <x:c r="O986" s="4" t="n">
        <x:f>IF('계산 과정'!$L$7,'계산 과정'!$C$49*('계산 과정'!$C$32-D986)+'계산 과정'!$D$49*('계산 과정'!$D$32-E986)+'계산 과정'!$E$49*'계산 과정'!$E$32,"")</x:f>
        <x:v>-34.011108417098455</x:v>
      </x:c>
      <x:c r="P986" s="4" t="n">
        <x:f>IF(AND('계산 과정'!$L$7,O986&lt;&gt;0),('계산 과정'!$L$23-'계산 과정'!$C$49*D986-'계산 과정'!$D$49*E986)/O986,"")</x:f>
        <x:v>-10.760863394822712</x:v>
      </x:c>
      <x:c r="Q986" s="4" t="str">
        <x:f>IF(AND(ISNUMBER(P986),P986&gt;1E-9,P986&lt;1-1E-9),'계산 과정'!$C$47*(D986-'계산 과정'!$C$50+P986*('계산 과정'!$C$32-D986))+'계산 과정'!$D$47*(E986-'계산 과정'!$D$50+P986*('계산 과정'!$D$32-E986))+'계산 과정'!$E$47*(0-'계산 과정'!$E$50+P986*('계산 과정'!$E$32-0)),"")</x:f>
      </x:c>
      <x:c r="R986" s="4" t="str">
        <x:f>IF(AND(ISNUMBER(P986),P986&gt;1E-9,P986&lt;1-1E-9),'계산 과정'!$C$48*(D986-'계산 과정'!$C$50+P986*('계산 과정'!$C$32-D986))+'계산 과정'!$D$48*(E986-'계산 과정'!$D$50+P986*('계산 과정'!$D$32-E986))+'계산 과정'!$E$48*(0-'계산 과정'!$E$50+P986*('계산 과정'!$E$32-0)),"")</x:f>
      </x:c>
      <x:c r="S986" s="17" t="n">
        <x:f>IF('계산 과정'!$C$78,IF(AND(ISNUMBER(Q986),ISNUMBER(R986),ABS(Q986-'계산 과정'!$C$88)&lt;='계산 과정'!$D$23/2,ABS(R986-'계산 과정'!$C$89)&lt;='계산 과정'!$D$24/2),1,0),"")</x:f>
        <x:v>0</x:v>
      </x:c>
      <x:c r="T986" s="4"/>
      <x:c r="U986" s="4"/>
      <x:c r="V986" s="4"/>
      <x:c r="W986" s="4"/>
      <x:c r="X986" s="4"/>
      <x:c r="Y986" s="4"/>
      <x:c r="Z986" s="4"/>
    </x:row>
    <x:row r="987" ht="23" customHeight="1">
      <x:c r="A987" s="17" t="n">
        <x:f>ROW()-6</x:f>
        <x:v>981</x:v>
      </x:c>
      <x:c r="B987" s="4" t="n">
        <x:f>IF('계산 과정'!$L$5,'계산 과정'!$L$11*SQRT((A987+0.5)/'계산 과정'!$L$30),"")</x:f>
        <x:v>103.84161523535494</x:v>
      </x:c>
      <x:c r="C987" s="4" t="n">
        <x:f>A987*PI()*(3-SQRT(5))</x:f>
        <x:v>2354.3639283638086</x:v>
      </x:c>
      <x:c r="D987" s="4" t="n">
        <x:f>IF('계산 과정'!$L$5,B987*COS(C987),"")</x:f>
        <x:v>-26.67212676918695</x:v>
      </x:c>
      <x:c r="E987" s="4" t="n">
        <x:f>IF('계산 과정'!$L$5,B987*SIN(C987),"")</x:f>
        <x:v>-100.35775360327631</x:v>
      </x:c>
      <x:c r="F987" s="4" t="n">
        <x:f>IF('계산 과정'!$L$7,'계산 과정'!$L$22+'계산 과정'!$C$49*D987+'계산 과정'!$D$49*E987,"")</x:f>
        <x:v>668.8600417071593</x:v>
      </x:c>
      <x:c r="G987" s="4" t="n">
        <x:f>IF('계산 과정'!$L$7,IF(ABS(F987)&gt;=1E-12*MAX(1,SQRT((D987-'계산 과정'!$C$33)^2+(E987-'계산 과정'!$D$33)^2+'계산 과정'!$E$33^2)),('계산 과정'!$L$23-'계산 과정'!$C$49*D987-'계산 과정'!$D$49*E987)/F987,""),"")</x:f>
        <x:v>0.5698351441656483</x:v>
      </x:c>
      <x:c r="H987" s="4" t="n">
        <x:f>IF(AND(ISNUMBER(G987),G987&gt;0),('계산 과정'!$D$56+'계산 과정'!$D$57*D987+'계산 과정'!$D$58*E987)/F987,"")</x:f>
        <x:v>-29.60715629232873</x:v>
      </x:c>
      <x:c r="I987" s="4" t="n">
        <x:f>IF(AND(ISNUMBER(G987),G987&gt;0),('계산 과정'!$E$56+'계산 과정'!$E$57*D987+'계산 과정'!$E$58*E987)/F987,"")</x:f>
        <x:v>-157.54512859593987</x:v>
      </x:c>
      <x:c r="J987" s="4" t="n">
        <x:f>IF('계산 과정'!$L$5,'계산 과정'!$D$6+'계산 과정'!$C$35*D987+'계산 과정'!$D$35*E987,"")</x:f>
        <x:v>668.8600417071593</x:v>
      </x:c>
      <x:c r="K987" s="4" t="n">
        <x:f>IF(AND('계산 과정'!$L$6,J987&gt;0),'계산 과정'!$D$10*('계산 과정'!$C$38*(D987-'계산 과정'!$C$32)+'계산 과정'!$D$38*(E987-'계산 과정'!$D$32)-'계산 과정'!$E$38*'계산 과정'!$E$32)/J987,"")</x:f>
        <x:v>-0.22557833365583696</x:v>
      </x:c>
      <x:c r="L987" s="4" t="n">
        <x:f>IF(AND('계산 과정'!$L$6,J987&gt;0),'계산 과정'!$D$10*('계산 과정'!$C$39*(D987-'계산 과정'!$C$32)+'계산 과정'!$D$39*(E987-'계산 과정'!$D$32)-'계산 과정'!$E$39*'계산 과정'!$E$32)/J987,"")</x:f>
        <x:v>-1.2003438369214467</x:v>
      </x:c>
      <x:c r="M987" s="17" t="n">
        <x:f>IF('계산 과정'!$L$6,IF(J987&lt;=0,0,IF(AND(ABS(K987)&lt;='계산 과정'!$D$11/2,ABS(L987)&lt;='계산 과정'!$D$12/2),1,0)),"")</x:f>
        <x:v>1</x:v>
      </x:c>
      <x:c r="N987" s="17" t="n">
        <x:f>IF('계산 과정'!$C$78,IF(AND(ISNUMBER(H987),ISNUMBER(I987),ABS(H987-'계산 과정'!$C$88)&lt;='계산 과정'!$D$23/2,ABS(I987-'계산 과정'!$C$89)&lt;='계산 과정'!$D$24/2),1,0),"")</x:f>
        <x:v>1</x:v>
      </x:c>
      <x:c r="O987" s="4" t="n">
        <x:f>IF('계산 과정'!$L$7,'계산 과정'!$C$49*('계산 과정'!$C$32-D987)+'계산 과정'!$D$49*('계산 과정'!$D$32-E987)+'계산 과정'!$E$49*'계산 과정'!$E$32,"")</x:f>
        <x:v>-18.860041707159212</x:v>
      </x:c>
      <x:c r="P987" s="4" t="n">
        <x:f>IF(AND('계산 과정'!$L$7,O987&lt;&gt;0),('계산 과정'!$L$23-'계산 과정'!$C$49*D987-'계산 과정'!$D$49*E987)/O987,"")</x:f>
        <x:v>-20.208860839801915</x:v>
      </x:c>
      <x:c r="Q987" s="4" t="str">
        <x:f>IF(AND(ISNUMBER(P987),P987&gt;1E-9,P987&lt;1-1E-9),'계산 과정'!$C$47*(D987-'계산 과정'!$C$50+P987*('계산 과정'!$C$32-D987))+'계산 과정'!$D$47*(E987-'계산 과정'!$D$50+P987*('계산 과정'!$D$32-E987))+'계산 과정'!$E$47*(0-'계산 과정'!$E$50+P987*('계산 과정'!$E$32-0)),"")</x:f>
      </x:c>
      <x:c r="R987" s="4" t="str">
        <x:f>IF(AND(ISNUMBER(P987),P987&gt;1E-9,P987&lt;1-1E-9),'계산 과정'!$C$48*(D987-'계산 과정'!$C$50+P987*('계산 과정'!$C$32-D987))+'계산 과정'!$D$48*(E987-'계산 과정'!$D$50+P987*('계산 과정'!$D$32-E987))+'계산 과정'!$E$48*(0-'계산 과정'!$E$50+P987*('계산 과정'!$E$32-0)),"")</x:f>
      </x:c>
      <x:c r="S987" s="17" t="n">
        <x:f>IF('계산 과정'!$C$78,IF(AND(ISNUMBER(Q987),ISNUMBER(R987),ABS(Q987-'계산 과정'!$C$88)&lt;='계산 과정'!$D$23/2,ABS(R987-'계산 과정'!$C$89)&lt;='계산 과정'!$D$24/2),1,0),"")</x:f>
        <x:v>0</x:v>
      </x:c>
      <x:c r="T987" s="4"/>
      <x:c r="U987" s="4"/>
      <x:c r="V987" s="4"/>
      <x:c r="W987" s="4"/>
      <x:c r="X987" s="4"/>
      <x:c r="Y987" s="4"/>
      <x:c r="Z987" s="4"/>
    </x:row>
    <x:row r="988" ht="23" customHeight="1">
      <x:c r="A988" s="17" t="n">
        <x:f>ROW()-6</x:f>
        <x:v>982</x:v>
      </x:c>
      <x:c r="B988" s="4" t="n">
        <x:f>IF('계산 과정'!$L$5,'계산 과정'!$L$11*SQRT((A988+0.5)/'계산 과정'!$L$30),"")</x:f>
        <x:v>103.89450121547578</x:v>
      </x:c>
      <x:c r="C988" s="4" t="n">
        <x:f>A988*PI()*(3-SQRT(5))</x:f>
        <x:v>2356.763891593537</x:v>
      </x:c>
      <x:c r="D988" s="4" t="n">
        <x:f>IF('계산 과정'!$L$5,B988*COS(C988),"")</x:f>
        <x:v>87.50242653831195</x:v>
      </x:c>
      <x:c r="E988" s="4" t="n">
        <x:f>IF('계산 과정'!$L$5,B988*SIN(C988),"")</x:f>
        <x:v>56.012433733233</x:v>
      </x:c>
      <x:c r="F988" s="4" t="n">
        <x:f>IF('계산 과정'!$L$7,'계산 과정'!$L$22+'계산 과정'!$C$49*D988+'계산 과정'!$D$49*E988,"")</x:f>
        <x:v>588.126440824482</x:v>
      </x:c>
      <x:c r="G988" s="4" t="n">
        <x:f>IF('계산 과정'!$L$7,IF(ABS(F988)&gt;=1E-12*MAX(1,SQRT((D988-'계산 과정'!$C$33)^2+(E988-'계산 과정'!$D$33)^2+'계산 과정'!$E$33^2)),('계산 과정'!$L$23-'계산 과정'!$C$49*D988-'계산 과정'!$D$49*E988)/F988,""),"")</x:f>
        <x:v>0.7853303764544701</x:v>
      </x:c>
      <x:c r="H988" s="4" t="n">
        <x:f>IF(AND(ISNUMBER(G988),G988&gt;0),('계산 과정'!$D$56+'계산 과정'!$D$57*D988+'계산 과정'!$D$58*E988)/F988,"")</x:f>
        <x:v>110.46474469540556</x:v>
      </x:c>
      <x:c r="I988" s="4" t="n">
        <x:f>IF(AND(ISNUMBER(G988),G988&gt;0),('계산 과정'!$E$56+'계산 과정'!$E$57*D988+'계산 과정'!$E$58*E988)/F988,"")</x:f>
        <x:v>100.00069940308394</x:v>
      </x:c>
      <x:c r="J988" s="4" t="n">
        <x:f>IF('계산 과정'!$L$5,'계산 과정'!$D$6+'계산 과정'!$C$35*D988+'계산 과정'!$D$35*E988,"")</x:f>
        <x:v>588.126440824482</x:v>
      </x:c>
      <x:c r="K988" s="4" t="n">
        <x:f>IF(AND('계산 과정'!$L$6,J988&gt;0),'계산 과정'!$D$10*('계산 과정'!$C$38*(D988-'계산 과정'!$C$32)+'계산 과정'!$D$38*(E988-'계산 과정'!$D$32)-'계산 과정'!$E$38*'계산 과정'!$E$32)/J988,"")</x:f>
        <x:v>0.8416361500602335</x:v>
      </x:c>
      <x:c r="L988" s="4" t="n">
        <x:f>IF(AND('계산 과정'!$L$6,J988&gt;0),'계산 과정'!$D$10*('계산 과정'!$C$39*(D988-'계산 과정'!$C$32)+'계산 과정'!$D$39*(E988-'계산 과정'!$D$32)-'계산 과정'!$E$39*'계산 과정'!$E$32)/J988,"")</x:f>
        <x:v>0.7619100906901634</x:v>
      </x:c>
      <x:c r="M988" s="17" t="n">
        <x:f>IF('계산 과정'!$L$6,IF(J988&lt;=0,0,IF(AND(ABS(K988)&lt;='계산 과정'!$D$11/2,ABS(L988)&lt;='계산 과정'!$D$12/2),1,0)),"")</x:f>
        <x:v>1</x:v>
      </x:c>
      <x:c r="N988" s="17" t="n">
        <x:f>IF('계산 과정'!$C$78,IF(AND(ISNUMBER(H988),ISNUMBER(I988),ABS(H988-'계산 과정'!$C$88)&lt;='계산 과정'!$D$23/2,ABS(I988-'계산 과정'!$C$89)&lt;='계산 과정'!$D$24/2),1,0),"")</x:f>
        <x:v>1</x:v>
      </x:c>
      <x:c r="O988" s="4" t="n">
        <x:f>IF('계산 과정'!$L$7,'계산 과정'!$C$49*('계산 과정'!$C$32-D988)+'계산 과정'!$D$49*('계산 과정'!$D$32-E988)+'계산 과정'!$E$49*'계산 과정'!$E$32,"")</x:f>
        <x:v>61.87355917551821</x:v>
      </x:c>
      <x:c r="P988" s="4" t="n">
        <x:f>IF(AND('계산 과정'!$L$7,O988&lt;&gt;0),('계산 과정'!$L$23-'계산 과정'!$C$49*D988-'계산 과정'!$D$49*E988)/O988,"")</x:f>
        <x:v>7.464797004247166</x:v>
      </x:c>
      <x:c r="Q988" s="4" t="str">
        <x:f>IF(AND(ISNUMBER(P988),P988&gt;1E-9,P988&lt;1-1E-9),'계산 과정'!$C$47*(D988-'계산 과정'!$C$50+P988*('계산 과정'!$C$32-D988))+'계산 과정'!$D$47*(E988-'계산 과정'!$D$50+P988*('계산 과정'!$D$32-E988))+'계산 과정'!$E$47*(0-'계산 과정'!$E$50+P988*('계산 과정'!$E$32-0)),"")</x:f>
      </x:c>
      <x:c r="R988" s="4" t="str">
        <x:f>IF(AND(ISNUMBER(P988),P988&gt;1E-9,P988&lt;1-1E-9),'계산 과정'!$C$48*(D988-'계산 과정'!$C$50+P988*('계산 과정'!$C$32-D988))+'계산 과정'!$D$48*(E988-'계산 과정'!$D$50+P988*('계산 과정'!$D$32-E988))+'계산 과정'!$E$48*(0-'계산 과정'!$E$50+P988*('계산 과정'!$E$32-0)),"")</x:f>
      </x:c>
      <x:c r="S988" s="17" t="n">
        <x:f>IF('계산 과정'!$C$78,IF(AND(ISNUMBER(Q988),ISNUMBER(R988),ABS(Q988-'계산 과정'!$C$88)&lt;='계산 과정'!$D$23/2,ABS(R988-'계산 과정'!$C$89)&lt;='계산 과정'!$D$24/2),1,0),"")</x:f>
        <x:v>0</x:v>
      </x:c>
      <x:c r="T988" s="4"/>
      <x:c r="U988" s="4"/>
      <x:c r="V988" s="4"/>
      <x:c r="W988" s="4"/>
      <x:c r="X988" s="4"/>
      <x:c r="Y988" s="4"/>
      <x:c r="Z988" s="4"/>
    </x:row>
    <x:row r="989" ht="23" customHeight="1">
      <x:c r="A989" s="17" t="n">
        <x:f>ROW()-6</x:f>
        <x:v>983</x:v>
      </x:c>
      <x:c r="B989" s="4" t="n">
        <x:f>IF('계산 과정'!$L$5,'계산 과정'!$L$11*SQRT((A989+0.5)/'계산 과정'!$L$30),"")</x:f>
        <x:v>103.94736028845321</x:v>
      </x:c>
      <x:c r="C989" s="4" t="n">
        <x:f>A989*PI()*(3-SQRT(5))</x:f>
        <x:v>2359.163854823266</x:v>
      </x:c>
      <x:c r="D989" s="4" t="n">
        <x:f>IF('계산 과정'!$L$5,B989*COS(C989),"")</x:f>
        <x:v>-102.40949847346978</x:v>
      </x:c>
      <x:c r="E989" s="4" t="n">
        <x:f>IF('계산 과정'!$L$5,B989*SIN(C989),"")</x:f>
        <x:v>17.81427330400794</x:v>
      </x:c>
      <x:c r="F989" s="4" t="n">
        <x:f>IF('계산 과정'!$L$7,'계산 과정'!$L$22+'계산 과정'!$C$49*D989+'계산 과정'!$D$49*E989,"")</x:f>
        <x:v>722.4144508285038</x:v>
      </x:c>
      <x:c r="G989" s="4" t="n">
        <x:f>IF('계산 과정'!$L$7,IF(ABS(F989)&gt;=1E-12*MAX(1,SQRT((D989-'계산 과정'!$C$33)^2+(E989-'계산 과정'!$D$33)^2+'계산 과정'!$E$33^2)),('계산 과정'!$L$23-'계산 과정'!$C$49*D989-'계산 과정'!$D$49*E989)/F989,""),"")</x:f>
        <x:v>0.4534592972161664</x:v>
      </x:c>
      <x:c r="H989" s="4" t="n">
        <x:f>IF(AND(ISNUMBER(G989),G989&gt;0),('계산 과정'!$D$56+'계산 과정'!$D$57*D989+'계산 과정'!$D$58*E989)/F989,"")</x:f>
        <x:v>-105.251456809492</x:v>
      </x:c>
      <x:c r="I989" s="4" t="n">
        <x:f>IF(AND(ISNUMBER(G989),G989&gt;0),('계산 과정'!$E$56+'계산 과정'!$E$57*D989+'계산 과정'!$E$58*E989)/F989,"")</x:f>
        <x:v>25.892321156860095</x:v>
      </x:c>
      <x:c r="J989" s="4" t="n">
        <x:f>IF('계산 과정'!$L$5,'계산 과정'!$D$6+'계산 과정'!$C$35*D989+'계산 과정'!$D$35*E989,"")</x:f>
        <x:v>722.4144508285038</x:v>
      </x:c>
      <x:c r="K989" s="4" t="n">
        <x:f>IF(AND('계산 과정'!$L$6,J989&gt;0),'계산 과정'!$D$10*('계산 과정'!$C$38*(D989-'계산 과정'!$C$32)+'계산 과정'!$D$38*(E989-'계산 과정'!$D$32)-'계산 과정'!$E$38*'계산 과정'!$E$32)/J989,"")</x:f>
        <x:v>-0.8019158614056521</x:v>
      </x:c>
      <x:c r="L989" s="4" t="n">
        <x:f>IF(AND('계산 과정'!$L$6,J989&gt;0),'계산 과정'!$D$10*('계산 과정'!$C$39*(D989-'계산 과정'!$C$32)+'계산 과정'!$D$39*(E989-'계산 과정'!$D$32)-'계산 과정'!$E$39*'계산 과정'!$E$32)/J989,"")</x:f>
        <x:v>0.1972748278617912</x:v>
      </x:c>
      <x:c r="M989" s="17" t="n">
        <x:f>IF('계산 과정'!$L$6,IF(J989&lt;=0,0,IF(AND(ABS(K989)&lt;='계산 과정'!$D$11/2,ABS(L989)&lt;='계산 과정'!$D$12/2),1,0)),"")</x:f>
        <x:v>1</x:v>
      </x:c>
      <x:c r="N989" s="17" t="n">
        <x:f>IF('계산 과정'!$C$78,IF(AND(ISNUMBER(H989),ISNUMBER(I989),ABS(H989-'계산 과정'!$C$88)&lt;='계산 과정'!$D$23/2,ABS(I989-'계산 과정'!$C$89)&lt;='계산 과정'!$D$24/2),1,0),"")</x:f>
        <x:v>1</x:v>
      </x:c>
      <x:c r="O989" s="4" t="n">
        <x:f>IF('계산 과정'!$L$7,'계산 과정'!$C$49*('계산 과정'!$C$32-D989)+'계산 과정'!$D$49*('계산 과정'!$D$32-E989)+'계산 과정'!$E$49*'계산 과정'!$E$32,"")</x:f>
        <x:v>-72.41445082850373</x:v>
      </x:c>
      <x:c r="P989" s="4" t="n">
        <x:f>IF(AND('계산 과정'!$L$7,O989&lt;&gt;0),('계산 과정'!$L$23-'계산 과정'!$C$49*D989-'계산 과정'!$D$49*E989)/O989,"")</x:f>
        <x:v>-4.523759352222445</x:v>
      </x:c>
      <x:c r="Q989" s="4" t="str">
        <x:f>IF(AND(ISNUMBER(P989),P989&gt;1E-9,P989&lt;1-1E-9),'계산 과정'!$C$47*(D989-'계산 과정'!$C$50+P989*('계산 과정'!$C$32-D989))+'계산 과정'!$D$47*(E989-'계산 과정'!$D$50+P989*('계산 과정'!$D$32-E989))+'계산 과정'!$E$47*(0-'계산 과정'!$E$50+P989*('계산 과정'!$E$32-0)),"")</x:f>
      </x:c>
      <x:c r="R989" s="4" t="str">
        <x:f>IF(AND(ISNUMBER(P989),P989&gt;1E-9,P989&lt;1-1E-9),'계산 과정'!$C$48*(D989-'계산 과정'!$C$50+P989*('계산 과정'!$C$32-D989))+'계산 과정'!$D$48*(E989-'계산 과정'!$D$50+P989*('계산 과정'!$D$32-E989))+'계산 과정'!$E$48*(0-'계산 과정'!$E$50+P989*('계산 과정'!$E$32-0)),"")</x:f>
      </x:c>
      <x:c r="S989" s="17" t="n">
        <x:f>IF('계산 과정'!$C$78,IF(AND(ISNUMBER(Q989),ISNUMBER(R989),ABS(Q989-'계산 과정'!$C$88)&lt;='계산 과정'!$D$23/2,ABS(R989-'계산 과정'!$C$89)&lt;='계산 과정'!$D$24/2),1,0),"")</x:f>
        <x:v>0</x:v>
      </x:c>
      <x:c r="T989" s="4"/>
      <x:c r="U989" s="4"/>
      <x:c r="V989" s="4"/>
      <x:c r="W989" s="4"/>
      <x:c r="X989" s="4"/>
      <x:c r="Y989" s="4"/>
      <x:c r="Z989" s="4"/>
    </x:row>
    <x:row r="990" ht="23" customHeight="1">
      <x:c r="A990" s="17" t="n">
        <x:f>ROW()-6</x:f>
        <x:v>984</x:v>
      </x:c>
      <x:c r="B990" s="4" t="n">
        <x:f>IF('계산 과정'!$L$5,'계산 과정'!$L$11*SQRT((A990+0.5)/'계산 과정'!$L$30),"")</x:f>
        <x:v>104.00019249531464</x:v>
      </x:c>
      <x:c r="C990" s="4" t="n">
        <x:f>A990*PI()*(3-SQRT(5))</x:f>
        <x:v>2361.5638180529945</x:v>
      </x:c>
      <x:c r="D990" s="4" t="n">
        <x:f>IF('계산 과정'!$L$5,B990*COS(C990),"")</x:f>
        <x:v>63.51247268049905</x:v>
      </x:c>
      <x:c r="E990" s="4" t="n">
        <x:f>IF('계산 과정'!$L$5,B990*SIN(C990),"")</x:f>
        <x:v>-82.354148973026</x:v>
      </x:c>
      <x:c r="F990" s="4" t="n">
        <x:f>IF('계산 과정'!$L$7,'계산 과정'!$L$22+'계산 과정'!$C$49*D990+'계산 과정'!$D$49*E990,"")</x:f>
        <x:v>605.0898998776938</x:v>
      </x:c>
      <x:c r="G990" s="4" t="n">
        <x:f>IF('계산 과정'!$L$7,IF(ABS(F990)&gt;=1E-12*MAX(1,SQRT((D990-'계산 과정'!$C$33)^2+(E990-'계산 과정'!$D$33)^2+'계산 과정'!$E$33^2)),('계산 과정'!$L$23-'계산 과정'!$C$49*D990-'계산 과정'!$D$49*E990)/F990,""),"")</x:f>
        <x:v>0.7352793365287298</x:v>
      </x:c>
      <x:c r="H990" s="4" t="n">
        <x:f>IF(AND(ISNUMBER(G990),G990&gt;0),('계산 과정'!$D$56+'계산 과정'!$D$57*D990+'계산 과정'!$D$58*E990)/F990,"")</x:f>
        <x:v>77.93156874367426</x:v>
      </x:c>
      <x:c r="I990" s="4" t="n">
        <x:f>IF(AND(ISNUMBER(G990),G990&gt;0),('계산 과정'!$E$56+'계산 과정'!$E$57*D990+'계산 과정'!$E$58*E990)/F990,"")</x:f>
        <x:v>-142.9074529903007</x:v>
      </x:c>
      <x:c r="J990" s="4" t="n">
        <x:f>IF('계산 과정'!$L$5,'계산 과정'!$D$6+'계산 과정'!$C$35*D990+'계산 과정'!$D$35*E990,"")</x:f>
        <x:v>605.0898998776938</x:v>
      </x:c>
      <x:c r="K990" s="4" t="n">
        <x:f>IF(AND('계산 과정'!$L$6,J990&gt;0),'계산 과정'!$D$10*('계산 과정'!$C$38*(D990-'계산 과정'!$C$32)+'계산 과정'!$D$38*(E990-'계산 과정'!$D$32)-'계산 과정'!$E$38*'계산 과정'!$E$32)/J990,"")</x:f>
        <x:v>0.5937643332851381</x:v>
      </x:c>
      <x:c r="L990" s="4" t="n">
        <x:f>IF(AND('계산 과정'!$L$6,J990&gt;0),'계산 과정'!$D$10*('계산 과정'!$C$39*(D990-'계산 과정'!$C$32)+'계산 과정'!$D$39*(E990-'계산 과정'!$D$32)-'계산 과정'!$E$39*'계산 과정'!$E$32)/J990,"")</x:f>
        <x:v>-1.0888186894499103</x:v>
      </x:c>
      <x:c r="M990" s="17" t="n">
        <x:f>IF('계산 과정'!$L$6,IF(J990&lt;=0,0,IF(AND(ABS(K990)&lt;='계산 과정'!$D$11/2,ABS(L990)&lt;='계산 과정'!$D$12/2),1,0)),"")</x:f>
        <x:v>1</x:v>
      </x:c>
      <x:c r="N990" s="17" t="n">
        <x:f>IF('계산 과정'!$C$78,IF(AND(ISNUMBER(H990),ISNUMBER(I990),ABS(H990-'계산 과정'!$C$88)&lt;='계산 과정'!$D$23/2,ABS(I990-'계산 과정'!$C$89)&lt;='계산 과정'!$D$24/2),1,0),"")</x:f>
        <x:v>1</x:v>
      </x:c>
      <x:c r="O990" s="4" t="n">
        <x:f>IF('계산 과정'!$L$7,'계산 과정'!$C$49*('계산 과정'!$C$32-D990)+'계산 과정'!$D$49*('계산 과정'!$D$32-E990)+'계산 과정'!$E$49*'계산 과정'!$E$32,"")</x:f>
        <x:v>44.910100122306346</x:v>
      </x:c>
      <x:c r="P990" s="4" t="n">
        <x:f>IF(AND('계산 과정'!$L$7,O990&lt;&gt;0),('계산 과정'!$L$23-'계산 과정'!$C$49*D990-'계산 과정'!$D$49*E990)/O990,"")</x:f>
        <x:v>9.906682436927463</x:v>
      </x:c>
      <x:c r="Q990" s="4" t="str">
        <x:f>IF(AND(ISNUMBER(P990),P990&gt;1E-9,P990&lt;1-1E-9),'계산 과정'!$C$47*(D990-'계산 과정'!$C$50+P990*('계산 과정'!$C$32-D990))+'계산 과정'!$D$47*(E990-'계산 과정'!$D$50+P990*('계산 과정'!$D$32-E990))+'계산 과정'!$E$47*(0-'계산 과정'!$E$50+P990*('계산 과정'!$E$32-0)),"")</x:f>
      </x:c>
      <x:c r="R990" s="4" t="str">
        <x:f>IF(AND(ISNUMBER(P990),P990&gt;1E-9,P990&lt;1-1E-9),'계산 과정'!$C$48*(D990-'계산 과정'!$C$50+P990*('계산 과정'!$C$32-D990))+'계산 과정'!$D$48*(E990-'계산 과정'!$D$50+P990*('계산 과정'!$D$32-E990))+'계산 과정'!$E$48*(0-'계산 과정'!$E$50+P990*('계산 과정'!$E$32-0)),"")</x:f>
      </x:c>
      <x:c r="S990" s="17" t="n">
        <x:f>IF('계산 과정'!$C$78,IF(AND(ISNUMBER(Q990),ISNUMBER(R990),ABS(Q990-'계산 과정'!$C$88)&lt;='계산 과정'!$D$23/2,ABS(R990-'계산 과정'!$C$89)&lt;='계산 과정'!$D$24/2),1,0),"")</x:f>
        <x:v>0</x:v>
      </x:c>
      <x:c r="T990" s="4"/>
      <x:c r="U990" s="4"/>
      <x:c r="V990" s="4"/>
      <x:c r="W990" s="4"/>
      <x:c r="X990" s="4"/>
      <x:c r="Y990" s="4"/>
      <x:c r="Z990" s="4"/>
    </x:row>
    <x:row r="991" ht="23" customHeight="1">
      <x:c r="A991" s="17" t="n">
        <x:f>ROW()-6</x:f>
        <x:v>985</x:v>
      </x:c>
      <x:c r="B991" s="4" t="n">
        <x:f>IF('계산 과정'!$L$5,'계산 과정'!$L$11*SQRT((A991+0.5)/'계산 과정'!$L$30),"")</x:f>
        <x:v>104.05299787698334</x:v>
      </x:c>
      <x:c r="C991" s="4" t="n">
        <x:f>A991*PI()*(3-SQRT(5))</x:f>
        <x:v>2363.963781282723</x:v>
      </x:c>
      <x:c r="D991" s="4" t="n">
        <x:f>IF('계산 과정'!$L$5,B991*COS(C991),"")</x:f>
        <x:v>8.801774371408412</x:v>
      </x:c>
      <x:c r="E991" s="4" t="n">
        <x:f>IF('계산 과정'!$L$5,B991*SIN(C991),"")</x:f>
        <x:v>103.6800614154058</x:v>
      </x:c>
      <x:c r="F991" s="4" t="n">
        <x:f>IF('계산 과정'!$L$7,'계산 과정'!$L$22+'계산 과정'!$C$49*D991+'계산 과정'!$D$49*E991,"")</x:f>
        <x:v>643.7762056555032</x:v>
      </x:c>
      <x:c r="G991" s="4" t="n">
        <x:f>IF('계산 과정'!$L$7,IF(ABS(F991)&gt;=1E-12*MAX(1,SQRT((D991-'계산 과정'!$C$33)^2+(E991-'계산 과정'!$D$33)^2+'계산 과정'!$E$33^2)),('계산 과정'!$L$23-'계산 과정'!$C$49*D991-'계산 과정'!$D$49*E991)/F991,""),"")</x:f>
        <x:v>0.6310015666560297</x:v>
      </x:c>
      <x:c r="H991" s="4" t="n">
        <x:f>IF(AND(ISNUMBER(G991),G991&gt;0),('계산 과정'!$D$56+'계산 과정'!$D$57*D991+'계산 과정'!$D$58*E991)/F991,"")</x:f>
        <x:v>10.151018326419187</x:v>
      </x:c>
      <x:c r="I991" s="4" t="n">
        <x:f>IF(AND(ISNUMBER(G991),G991&gt;0),('계산 과정'!$E$56+'계산 과정'!$E$57*D991+'계산 과정'!$E$58*E991)/F991,"")</x:f>
        <x:v>169.10234259952023</x:v>
      </x:c>
      <x:c r="J991" s="4" t="n">
        <x:f>IF('계산 과정'!$L$5,'계산 과정'!$D$6+'계산 과정'!$C$35*D991+'계산 과정'!$D$35*E991,"")</x:f>
        <x:v>643.7762056555032</x:v>
      </x:c>
      <x:c r="K991" s="4" t="n">
        <x:f>IF(AND('계산 과정'!$L$6,J991&gt;0),'계산 과정'!$D$10*('계산 과정'!$C$38*(D991-'계산 과정'!$C$32)+'계산 과정'!$D$38*(E991-'계산 과정'!$D$32)-'계산 과정'!$E$38*'계산 과정'!$E$32)/J991,"")</x:f>
        <x:v>0.07734109201081321</x:v>
      </x:c>
      <x:c r="L991" s="4" t="n">
        <x:f>IF(AND('계산 과정'!$L$6,J991&gt;0),'계산 과정'!$D$10*('계산 과정'!$C$39*(D991-'계산 과정'!$C$32)+'계산 과정'!$D$39*(E991-'계산 과정'!$D$32)-'계산 과정'!$E$39*'계산 과정'!$E$32)/J991,"")</x:f>
        <x:v>1.2883988007582494</x:v>
      </x:c>
      <x:c r="M991" s="17" t="n">
        <x:f>IF('계산 과정'!$L$6,IF(J991&lt;=0,0,IF(AND(ABS(K991)&lt;='계산 과정'!$D$11/2,ABS(L991)&lt;='계산 과정'!$D$12/2),1,0)),"")</x:f>
        <x:v>1</x:v>
      </x:c>
      <x:c r="N991" s="17" t="n">
        <x:f>IF('계산 과정'!$C$78,IF(AND(ISNUMBER(H991),ISNUMBER(I991),ABS(H991-'계산 과정'!$C$88)&lt;='계산 과정'!$D$23/2,ABS(I991-'계산 과정'!$C$89)&lt;='계산 과정'!$D$24/2),1,0),"")</x:f>
        <x:v>1</x:v>
      </x:c>
      <x:c r="O991" s="4" t="n">
        <x:f>IF('계산 과정'!$L$7,'계산 과정'!$C$49*('계산 과정'!$C$32-D991)+'계산 과정'!$D$49*('계산 과정'!$D$32-E991)+'계산 과정'!$E$49*'계산 과정'!$E$32,"")</x:f>
        <x:v>6.223794344496923</x:v>
      </x:c>
      <x:c r="P991" s="4" t="n">
        <x:f>IF(AND('계산 과정'!$L$7,O991&lt;&gt;0),('계산 과정'!$L$23-'계산 과정'!$C$49*D991-'계산 과정'!$D$49*E991)/O991,"")</x:f>
        <x:v>65.26947579874322</x:v>
      </x:c>
      <x:c r="Q991" s="4" t="str">
        <x:f>IF(AND(ISNUMBER(P991),P991&gt;1E-9,P991&lt;1-1E-9),'계산 과정'!$C$47*(D991-'계산 과정'!$C$50+P991*('계산 과정'!$C$32-D991))+'계산 과정'!$D$47*(E991-'계산 과정'!$D$50+P991*('계산 과정'!$D$32-E991))+'계산 과정'!$E$47*(0-'계산 과정'!$E$50+P991*('계산 과정'!$E$32-0)),"")</x:f>
      </x:c>
      <x:c r="R991" s="4" t="str">
        <x:f>IF(AND(ISNUMBER(P991),P991&gt;1E-9,P991&lt;1-1E-9),'계산 과정'!$C$48*(D991-'계산 과정'!$C$50+P991*('계산 과정'!$C$32-D991))+'계산 과정'!$D$48*(E991-'계산 과정'!$D$50+P991*('계산 과정'!$D$32-E991))+'계산 과정'!$E$48*(0-'계산 과정'!$E$50+P991*('계산 과정'!$E$32-0)),"")</x:f>
      </x:c>
      <x:c r="S991" s="17" t="n">
        <x:f>IF('계산 과정'!$C$78,IF(AND(ISNUMBER(Q991),ISNUMBER(R991),ABS(Q991-'계산 과정'!$C$88)&lt;='계산 과정'!$D$23/2,ABS(R991-'계산 과정'!$C$89)&lt;='계산 과정'!$D$24/2),1,0),"")</x:f>
        <x:v>0</x:v>
      </x:c>
      <x:c r="T991" s="4"/>
      <x:c r="U991" s="4"/>
      <x:c r="V991" s="4"/>
      <x:c r="W991" s="4"/>
      <x:c r="X991" s="4"/>
      <x:c r="Y991" s="4"/>
      <x:c r="Z991" s="4"/>
    </x:row>
    <x:row r="992" ht="23" customHeight="1">
      <x:c r="A992" s="17" t="n">
        <x:f>ROW()-6</x:f>
        <x:v>986</x:v>
      </x:c>
      <x:c r="B992" s="4" t="n">
        <x:f>IF('계산 과정'!$L$5,'계산 과정'!$L$11*SQRT((A992+0.5)/'계산 과정'!$L$30),"")</x:f>
        <x:v>104.1057764742788</x:v>
      </x:c>
      <x:c r="C992" s="4" t="n">
        <x:f>A992*PI()*(3-SQRT(5))</x:f>
        <x:v>2366.363744512452</x:v>
      </x:c>
      <x:c r="D992" s="4" t="n">
        <x:f>IF('계산 과정'!$L$5,B992*COS(C992),"")</x:f>
        <x:v>-76.563845328066</x:v>
      </x:c>
      <x:c r="E992" s="4" t="n">
        <x:f>IF('계산 과정'!$L$5,B992*SIN(C992),"")</x:f>
        <x:v>-70.5406994854211</x:v>
      </x:c>
      <x:c r="F992" s="4" t="n">
        <x:f>IF('계산 과정'!$L$7,'계산 과정'!$L$22+'계산 과정'!$C$49*D992+'계산 과정'!$D$49*E992,"")</x:f>
        <x:v>704.1388142251934</x:v>
      </x:c>
      <x:c r="G992" s="4" t="n">
        <x:f>IF('계산 과정'!$L$7,IF(ABS(F992)&gt;=1E-12*MAX(1,SQRT((D992-'계산 과정'!$C$33)^2+(E992-'계산 과정'!$D$33)^2+'계산 과정'!$E$33^2)),('계산 과정'!$L$23-'계산 과정'!$C$49*D992-'계산 과정'!$D$49*E992)/F992,""),"")</x:f>
        <x:v>0.49118324226364174</x:v>
      </x:c>
      <x:c r="H992" s="4" t="n">
        <x:f>IF(AND(ISNUMBER(G992),G992&gt;0),('계산 과정'!$D$56+'계산 과정'!$D$57*D992+'계산 과정'!$D$58*E992)/F992,"")</x:f>
        <x:v>-80.73089252863303</x:v>
      </x:c>
      <x:c r="I992" s="4" t="n">
        <x:f>IF(AND(ISNUMBER(G992),G992&gt;0),('계산 과정'!$E$56+'계산 과정'!$E$57*D992+'계산 과정'!$E$58*E992)/F992,"")</x:f>
        <x:v>-105.18910897021544</x:v>
      </x:c>
      <x:c r="J992" s="4" t="n">
        <x:f>IF('계산 과정'!$L$5,'계산 과정'!$D$6+'계산 과정'!$C$35*D992+'계산 과정'!$D$35*E992,"")</x:f>
        <x:v>704.1388142251934</x:v>
      </x:c>
      <x:c r="K992" s="4" t="n">
        <x:f>IF(AND('계산 과정'!$L$6,J992&gt;0),'계산 과정'!$D$10*('계산 과정'!$C$38*(D992-'계산 과정'!$C$32)+'계산 과정'!$D$38*(E992-'계산 과정'!$D$32)-'계산 과정'!$E$38*'계산 과정'!$E$32)/J992,"")</x:f>
        <x:v>-0.6150925145038696</x:v>
      </x:c>
      <x:c r="L992" s="4" t="n">
        <x:f>IF(AND('계산 과정'!$L$6,J992&gt;0),'계산 과정'!$D$10*('계산 과정'!$C$39*(D992-'계산 과정'!$C$32)+'계산 과정'!$D$39*(E992-'계산 과정'!$D$32)-'계산 과정'!$E$39*'계산 과정'!$E$32)/J992,"")</x:f>
        <x:v>-0.8014408302492605</x:v>
      </x:c>
      <x:c r="M992" s="17" t="n">
        <x:f>IF('계산 과정'!$L$6,IF(J992&lt;=0,0,IF(AND(ABS(K992)&lt;='계산 과정'!$D$11/2,ABS(L992)&lt;='계산 과정'!$D$12/2),1,0)),"")</x:f>
        <x:v>1</x:v>
      </x:c>
      <x:c r="N992" s="17" t="n">
        <x:f>IF('계산 과정'!$C$78,IF(AND(ISNUMBER(H992),ISNUMBER(I992),ABS(H992-'계산 과정'!$C$88)&lt;='계산 과정'!$D$23/2,ABS(I992-'계산 과정'!$C$89)&lt;='계산 과정'!$D$24/2),1,0),"")</x:f>
        <x:v>1</x:v>
      </x:c>
      <x:c r="O992" s="4" t="n">
        <x:f>IF('계산 과정'!$L$7,'계산 과정'!$C$49*('계산 과정'!$C$32-D992)+'계산 과정'!$D$49*('계산 과정'!$D$32-E992)+'계산 과정'!$E$49*'계산 과정'!$E$32,"")</x:f>
        <x:v>-54.1388142251933</x:v>
      </x:c>
      <x:c r="P992" s="4" t="n">
        <x:f>IF(AND('계산 과정'!$L$7,O992&lt;&gt;0),('계산 과정'!$L$23-'계산 과정'!$C$49*D992-'계산 과정'!$D$49*E992)/O992,"")</x:f>
        <x:v>-6.388414499367837</x:v>
      </x:c>
      <x:c r="Q992" s="4" t="str">
        <x:f>IF(AND(ISNUMBER(P992),P992&gt;1E-9,P992&lt;1-1E-9),'계산 과정'!$C$47*(D992-'계산 과정'!$C$50+P992*('계산 과정'!$C$32-D992))+'계산 과정'!$D$47*(E992-'계산 과정'!$D$50+P992*('계산 과정'!$D$32-E992))+'계산 과정'!$E$47*(0-'계산 과정'!$E$50+P992*('계산 과정'!$E$32-0)),"")</x:f>
      </x:c>
      <x:c r="R992" s="4" t="str">
        <x:f>IF(AND(ISNUMBER(P992),P992&gt;1E-9,P992&lt;1-1E-9),'계산 과정'!$C$48*(D992-'계산 과정'!$C$50+P992*('계산 과정'!$C$32-D992))+'계산 과정'!$D$48*(E992-'계산 과정'!$D$50+P992*('계산 과정'!$D$32-E992))+'계산 과정'!$E$48*(0-'계산 과정'!$E$50+P992*('계산 과정'!$E$32-0)),"")</x:f>
      </x:c>
      <x:c r="S992" s="17" t="n">
        <x:f>IF('계산 과정'!$C$78,IF(AND(ISNUMBER(Q992),ISNUMBER(R992),ABS(Q992-'계산 과정'!$C$88)&lt;='계산 과정'!$D$23/2,ABS(R992-'계산 과정'!$C$89)&lt;='계산 과정'!$D$24/2),1,0),"")</x:f>
        <x:v>0</x:v>
      </x:c>
      <x:c r="T992" s="4"/>
      <x:c r="U992" s="4"/>
      <x:c r="V992" s="4"/>
      <x:c r="W992" s="4"/>
      <x:c r="X992" s="4"/>
      <x:c r="Y992" s="4"/>
      <x:c r="Z992" s="4"/>
    </x:row>
    <x:row r="993" ht="23" customHeight="1">
      <x:c r="A993" s="17" t="n">
        <x:f>ROW()-6</x:f>
        <x:v>987</x:v>
      </x:c>
      <x:c r="B993" s="4" t="n">
        <x:f>IF('계산 과정'!$L$5,'계산 과정'!$L$11*SQRT((A993+0.5)/'계산 과정'!$L$30),"")</x:f>
        <x:v>104.15852832791705</x:v>
      </x:c>
      <x:c r="C993" s="4" t="n">
        <x:f>A993*PI()*(3-SQRT(5))</x:f>
        <x:v>2368.7637077421805</x:v>
      </x:c>
      <x:c r="D993" s="4" t="n">
        <x:f>IF('계산 과정'!$L$5,B993*COS(C993),"")</x:f>
        <x:v>104.15810622359925</x:v>
      </x:c>
      <x:c r="E993" s="4" t="n">
        <x:f>IF('계산 과정'!$L$5,B993*SIN(C993),"")</x:f>
        <x:v>0.2965322088966981</x:v>
      </x:c>
      <x:c r="F993" s="4" t="n">
        <x:f>IF('계산 과정'!$L$7,'계산 과정'!$L$22+'계산 과정'!$C$49*D993+'계산 과정'!$D$49*E993,"")</x:f>
        <x:v>576.3490967737442</x:v>
      </x:c>
      <x:c r="G993" s="4" t="n">
        <x:f>IF('계산 과정'!$L$7,IF(ABS(F993)&gt;=1E-12*MAX(1,SQRT((D993-'계산 과정'!$C$33)^2+(E993-'계산 과정'!$D$33)^2+'계산 과정'!$E$33^2)),('계산 과정'!$L$23-'계산 과정'!$C$49*D993-'계산 과정'!$D$49*E993)/F993,""),"")</x:f>
        <x:v>0.8218125193179501</x:v>
      </x:c>
      <x:c r="H993" s="4" t="n">
        <x:f>IF(AND(ISNUMBER(G993),G993&gt;0),('계산 과정'!$D$56+'계산 과정'!$D$57*D993+'계산 과정'!$D$58*E993)/F993,"")</x:f>
        <x:v>134.17813755666745</x:v>
      </x:c>
      <x:c r="I993" s="4" t="n">
        <x:f>IF(AND(ISNUMBER(G993),G993&gt;0),('계산 과정'!$E$56+'계산 과정'!$E$57*D993+'계산 과정'!$E$58*E993)/F993,"")</x:f>
        <x:v>0.5402260905490103</x:v>
      </x:c>
      <x:c r="J993" s="4" t="n">
        <x:f>IF('계산 과정'!$L$5,'계산 과정'!$D$6+'계산 과정'!$C$35*D993+'계산 과정'!$D$35*E993,"")</x:f>
        <x:v>576.3490967737442</x:v>
      </x:c>
      <x:c r="K993" s="4" t="n">
        <x:f>IF(AND('계산 과정'!$L$6,J993&gt;0),'계산 과정'!$D$10*('계산 과정'!$C$38*(D993-'계산 과정'!$C$32)+'계산 과정'!$D$38*(E993-'계산 과정'!$D$32)-'계산 과정'!$E$38*'계산 과정'!$E$32)/J993,"")</x:f>
        <x:v>1.0223096194793717</x:v>
      </x:c>
      <x:c r="L993" s="4" t="n">
        <x:f>IF(AND('계산 과정'!$L$6,J993&gt;0),'계산 과정'!$D$10*('계산 과정'!$C$39*(D993-'계산 과정'!$C$32)+'계산 과정'!$D$39*(E993-'계산 과정'!$D$32)-'계산 과정'!$E$39*'계산 과정'!$E$32)/J993,"")</x:f>
        <x:v>0.00411600830894484</x:v>
      </x:c>
      <x:c r="M993" s="17" t="n">
        <x:f>IF('계산 과정'!$L$6,IF(J993&lt;=0,0,IF(AND(ABS(K993)&lt;='계산 과정'!$D$11/2,ABS(L993)&lt;='계산 과정'!$D$12/2),1,0)),"")</x:f>
        <x:v>1</x:v>
      </x:c>
      <x:c r="N993" s="17" t="n">
        <x:f>IF('계산 과정'!$C$78,IF(AND(ISNUMBER(H993),ISNUMBER(I993),ABS(H993-'계산 과정'!$C$88)&lt;='계산 과정'!$D$23/2,ABS(I993-'계산 과정'!$C$89)&lt;='계산 과정'!$D$24/2),1,0),"")</x:f>
        <x:v>1</x:v>
      </x:c>
      <x:c r="O993" s="4" t="n">
        <x:f>IF('계산 과정'!$L$7,'계산 과정'!$C$49*('계산 과정'!$C$32-D993)+'계산 과정'!$D$49*('계산 과정'!$D$32-E993)+'계산 과정'!$E$49*'계산 과정'!$E$32,"")</x:f>
        <x:v>73.65090322625588</x:v>
      </x:c>
      <x:c r="P993" s="4" t="n">
        <x:f>IF(AND('계산 과정'!$L$7,O993&lt;&gt;0),('계산 과정'!$L$23-'계산 과정'!$C$49*D993-'계산 과정'!$D$49*E993)/O993,"")</x:f>
        <x:v>6.431026402638922</x:v>
      </x:c>
      <x:c r="Q993" s="4" t="str">
        <x:f>IF(AND(ISNUMBER(P993),P993&gt;1E-9,P993&lt;1-1E-9),'계산 과정'!$C$47*(D993-'계산 과정'!$C$50+P993*('계산 과정'!$C$32-D993))+'계산 과정'!$D$47*(E993-'계산 과정'!$D$50+P993*('계산 과정'!$D$32-E993))+'계산 과정'!$E$47*(0-'계산 과정'!$E$50+P993*('계산 과정'!$E$32-0)),"")</x:f>
      </x:c>
      <x:c r="R993" s="4" t="str">
        <x:f>IF(AND(ISNUMBER(P993),P993&gt;1E-9,P993&lt;1-1E-9),'계산 과정'!$C$48*(D993-'계산 과정'!$C$50+P993*('계산 과정'!$C$32-D993))+'계산 과정'!$D$48*(E993-'계산 과정'!$D$50+P993*('계산 과정'!$D$32-E993))+'계산 과정'!$E$48*(0-'계산 과정'!$E$50+P993*('계산 과정'!$E$32-0)),"")</x:f>
      </x:c>
      <x:c r="S993" s="17" t="n">
        <x:f>IF('계산 과정'!$C$78,IF(AND(ISNUMBER(Q993),ISNUMBER(R993),ABS(Q993-'계산 과정'!$C$88)&lt;='계산 과정'!$D$23/2,ABS(R993-'계산 과정'!$C$89)&lt;='계산 과정'!$D$24/2),1,0),"")</x:f>
        <x:v>0</x:v>
      </x:c>
      <x:c r="T993" s="4"/>
      <x:c r="U993" s="4"/>
      <x:c r="V993" s="4"/>
      <x:c r="W993" s="4"/>
      <x:c r="X993" s="4"/>
      <x:c r="Y993" s="4"/>
      <x:c r="Z993" s="4"/>
    </x:row>
    <x:row r="994" ht="23" customHeight="1">
      <x:c r="A994" s="17" t="n">
        <x:f>ROW()-6</x:f>
        <x:v>988</x:v>
      </x:c>
      <x:c r="B994" s="4" t="n">
        <x:f>IF('계산 과정'!$L$5,'계산 과정'!$L$11*SQRT((A994+0.5)/'계산 과정'!$L$30),"")</x:f>
        <x:v>104.21125347851114</x:v>
      </x:c>
      <x:c r="C994" s="4" t="n">
        <x:f>A994*PI()*(3-SQRT(5))</x:f>
        <x:v>2371.163670971909</x:v>
      </x:c>
      <x:c r="D994" s="4" t="n">
        <x:f>IF('계산 과정'!$L$5,B994*COS(C994),"")</x:f>
        <x:v>-77.04222967989274</x:v>
      </x:c>
      <x:c r="E994" s="4" t="n">
        <x:f>IF('계산 과정'!$L$5,B994*SIN(C994),"")</x:f>
        <x:v>70.17464070099079</x:v>
      </x:c>
      <x:c r="F994" s="4" t="n">
        <x:f>IF('계산 과정'!$L$7,'계산 과정'!$L$22+'계산 과정'!$C$49*D994+'계산 과정'!$D$49*E994,"")</x:f>
        <x:v>704.4770830443837</x:v>
      </x:c>
      <x:c r="G994" s="4" t="n">
        <x:f>IF('계산 과정'!$L$7,IF(ABS(F994)&gt;=1E-12*MAX(1,SQRT((D994-'계산 과정'!$C$33)^2+(E994-'계산 과정'!$D$33)^2+'계산 과정'!$E$33^2)),('계산 과정'!$L$23-'계산 과정'!$C$49*D994-'계산 과정'!$D$49*E994)/F994,""),"")</x:f>
        <x:v>0.4904672206829581</x:v>
      </x:c>
      <x:c r="H994" s="4" t="n">
        <x:f>IF(AND(ISNUMBER(G994),G994&gt;0),('계산 과정'!$D$56+'계산 과정'!$D$57*D994+'계산 과정'!$D$58*E994)/F994,"")</x:f>
        <x:v>-81.19630655607733</x:v>
      </x:c>
      <x:c r="I994" s="4" t="n">
        <x:f>IF(AND(ISNUMBER(G994),G994&gt;0),('계산 과정'!$E$56+'계산 과정'!$E$57*D994+'계산 과정'!$E$58*E994)/F994,"")</x:f>
        <x:v>104.59300168803092</x:v>
      </x:c>
      <x:c r="J994" s="4" t="n">
        <x:f>IF('계산 과정'!$L$5,'계산 과정'!$D$6+'계산 과정'!$C$35*D994+'계산 과정'!$D$35*E994,"")</x:f>
        <x:v>704.4770830443837</x:v>
      </x:c>
      <x:c r="K994" s="4" t="n">
        <x:f>IF(AND('계산 과정'!$L$6,J994&gt;0),'계산 과정'!$D$10*('계산 과정'!$C$38*(D994-'계산 과정'!$C$32)+'계산 과정'!$D$38*(E994-'계산 과정'!$D$32)-'계산 과정'!$E$38*'계산 과정'!$E$32)/J994,"")</x:f>
        <x:v>-0.6186385261415409</x:v>
      </x:c>
      <x:c r="L994" s="4" t="n">
        <x:f>IF(AND('계산 과정'!$L$6,J994&gt;0),'계산 과정'!$D$10*('계산 과정'!$C$39*(D994-'계산 과정'!$C$32)+'계산 과정'!$D$39*(E994-'계산 과정'!$D$32)-'계산 과정'!$E$39*'계산 과정'!$E$32)/J994,"")</x:f>
        <x:v>0.7968990604802357</x:v>
      </x:c>
      <x:c r="M994" s="17" t="n">
        <x:f>IF('계산 과정'!$L$6,IF(J994&lt;=0,0,IF(AND(ABS(K994)&lt;='계산 과정'!$D$11/2,ABS(L994)&lt;='계산 과정'!$D$12/2),1,0)),"")</x:f>
        <x:v>1</x:v>
      </x:c>
      <x:c r="N994" s="17" t="n">
        <x:f>IF('계산 과정'!$C$78,IF(AND(ISNUMBER(H994),ISNUMBER(I994),ABS(H994-'계산 과정'!$C$88)&lt;='계산 과정'!$D$23/2,ABS(I994-'계산 과정'!$C$89)&lt;='계산 과정'!$D$24/2),1,0),"")</x:f>
        <x:v>1</x:v>
      </x:c>
      <x:c r="O994" s="4" t="n">
        <x:f>IF('계산 과정'!$L$7,'계산 과정'!$C$49*('계산 과정'!$C$32-D994)+'계산 과정'!$D$49*('계산 과정'!$D$32-E994)+'계산 과정'!$E$49*'계산 과정'!$E$32,"")</x:f>
        <x:v>-54.47708304438356</x:v>
      </x:c>
      <x:c r="P994" s="4" t="n">
        <x:f>IF(AND('계산 과정'!$L$7,O994&lt;&gt;0),('계산 과정'!$L$23-'계산 과정'!$C$49*D994-'계산 과정'!$D$49*E994)/O994,"")</x:f>
        <x:v>-6.3425370384481115</x:v>
      </x:c>
      <x:c r="Q994" s="4" t="str">
        <x:f>IF(AND(ISNUMBER(P994),P994&gt;1E-9,P994&lt;1-1E-9),'계산 과정'!$C$47*(D994-'계산 과정'!$C$50+P994*('계산 과정'!$C$32-D994))+'계산 과정'!$D$47*(E994-'계산 과정'!$D$50+P994*('계산 과정'!$D$32-E994))+'계산 과정'!$E$47*(0-'계산 과정'!$E$50+P994*('계산 과정'!$E$32-0)),"")</x:f>
      </x:c>
      <x:c r="R994" s="4" t="str">
        <x:f>IF(AND(ISNUMBER(P994),P994&gt;1E-9,P994&lt;1-1E-9),'계산 과정'!$C$48*(D994-'계산 과정'!$C$50+P994*('계산 과정'!$C$32-D994))+'계산 과정'!$D$48*(E994-'계산 과정'!$D$50+P994*('계산 과정'!$D$32-E994))+'계산 과정'!$E$48*(0-'계산 과정'!$E$50+P994*('계산 과정'!$E$32-0)),"")</x:f>
      </x:c>
      <x:c r="S994" s="17" t="n">
        <x:f>IF('계산 과정'!$C$78,IF(AND(ISNUMBER(Q994),ISNUMBER(R994),ABS(Q994-'계산 과정'!$C$88)&lt;='계산 과정'!$D$23/2,ABS(R994-'계산 과정'!$C$89)&lt;='계산 과정'!$D$24/2),1,0),"")</x:f>
        <x:v>0</x:v>
      </x:c>
      <x:c r="T994" s="4"/>
      <x:c r="U994" s="4"/>
      <x:c r="V994" s="4"/>
      <x:c r="W994" s="4"/>
      <x:c r="X994" s="4"/>
      <x:c r="Y994" s="4"/>
      <x:c r="Z994" s="4"/>
    </x:row>
    <x:row r="995" ht="23" customHeight="1">
      <x:c r="A995" s="17" t="n">
        <x:f>ROW()-6</x:f>
        <x:v>989</x:v>
      </x:c>
      <x:c r="B995" s="4" t="n">
        <x:f>IF('계산 과정'!$L$5,'계산 과정'!$L$11*SQRT((A995+0.5)/'계산 과정'!$L$30),"")</x:f>
        <x:v>104.26395196657137</x:v>
      </x:c>
      <x:c r="C995" s="4" t="n">
        <x:f>A995*PI()*(3-SQRT(5))</x:f>
        <x:v>2373.5636342016373</x:v>
      </x:c>
      <x:c r="D995" s="4" t="n">
        <x:f>IF('계산 과정'!$L$5,B995*COS(C995),"")</x:f>
        <x:v>9.411010406235816</x:v>
      </x:c>
      <x:c r="E995" s="4" t="n">
        <x:f>IF('계산 과정'!$L$5,B995*SIN(C995),"")</x:f>
        <x:v>-103.83835785884338</x:v>
      </x:c>
      <x:c r="F995" s="4" t="n">
        <x:f>IF('계산 과정'!$L$7,'계산 과정'!$L$22+'계산 과정'!$C$49*D995+'계산 과정'!$D$49*E995,"")</x:f>
        <x:v>643.3454107239335</x:v>
      </x:c>
      <x:c r="G995" s="4" t="n">
        <x:f>IF('계산 과정'!$L$7,IF(ABS(F995)&gt;=1E-12*MAX(1,SQRT((D995-'계산 과정'!$C$33)^2+(E995-'계산 과정'!$D$33)^2+'계산 과정'!$E$33^2)),('계산 과정'!$L$23-'계산 과정'!$C$49*D995-'계산 과정'!$D$49*E995)/F995,""),"")</x:f>
        <x:v>0.632093712798033</x:v>
      </x:c>
      <x:c r="H995" s="4" t="n">
        <x:f>IF(AND(ISNUMBER(G995),G995&gt;0),('계산 과정'!$D$56+'계산 과정'!$D$57*D995+'계산 과정'!$D$58*E995)/F995,"")</x:f>
        <x:v>10.860913318721254</x:v>
      </x:c>
      <x:c r="I995" s="4" t="n">
        <x:f>IF(AND(ISNUMBER(G995),G995&gt;0),('계산 과정'!$E$56+'계산 과정'!$E$57*D995+'계산 과정'!$E$58*E995)/F995,"")</x:f>
        <x:v>-169.4739310086905</x:v>
      </x:c>
      <x:c r="J995" s="4" t="n">
        <x:f>IF('계산 과정'!$L$5,'계산 과정'!$D$6+'계산 과정'!$C$35*D995+'계산 과정'!$D$35*E995,"")</x:f>
        <x:v>643.3454107239335</x:v>
      </x:c>
      <x:c r="K995" s="4" t="n">
        <x:f>IF(AND('계산 과정'!$L$6,J995&gt;0),'계산 과정'!$D$10*('계산 과정'!$C$38*(D995-'계산 과정'!$C$32)+'계산 과정'!$D$38*(E995-'계산 과정'!$D$32)-'계산 과정'!$E$38*'계산 과정'!$E$32)/J995,"")</x:f>
        <x:v>0.08274981576168614</x:v>
      </x:c>
      <x:c r="L995" s="4" t="n">
        <x:f>IF(AND('계산 과정'!$L$6,J995&gt;0),'계산 과정'!$D$10*('계산 과정'!$C$39*(D995-'계산 과정'!$C$32)+'계산 과정'!$D$39*(E995-'계산 과정'!$D$32)-'계산 과정'!$E$39*'계산 과정'!$E$32)/J995,"")</x:f>
        <x:v>-1.2912299505424039</x:v>
      </x:c>
      <x:c r="M995" s="17" t="n">
        <x:f>IF('계산 과정'!$L$6,IF(J995&lt;=0,0,IF(AND(ABS(K995)&lt;='계산 과정'!$D$11/2,ABS(L995)&lt;='계산 과정'!$D$12/2),1,0)),"")</x:f>
        <x:v>1</x:v>
      </x:c>
      <x:c r="N995" s="17" t="n">
        <x:f>IF('계산 과정'!$C$78,IF(AND(ISNUMBER(H995),ISNUMBER(I995),ABS(H995-'계산 과정'!$C$88)&lt;='계산 과정'!$D$23/2,ABS(I995-'계산 과정'!$C$89)&lt;='계산 과정'!$D$24/2),1,0),"")</x:f>
        <x:v>1</x:v>
      </x:c>
      <x:c r="O995" s="4" t="n">
        <x:f>IF('계산 과정'!$L$7,'계산 과정'!$C$49*('계산 과정'!$C$32-D995)+'계산 과정'!$D$49*('계산 과정'!$D$32-E995)+'계산 과정'!$E$49*'계산 과정'!$E$32,"")</x:f>
        <x:v>6.654589276066588</x:v>
      </x:c>
      <x:c r="P995" s="4" t="n">
        <x:f>IF(AND('계산 과정'!$L$7,O995&lt;&gt;0),('계산 과정'!$L$23-'계산 과정'!$C$49*D995-'계산 과정'!$D$49*E995)/O995,"")</x:f>
        <x:v>61.10889378832302</x:v>
      </x:c>
      <x:c r="Q995" s="4" t="str">
        <x:f>IF(AND(ISNUMBER(P995),P995&gt;1E-9,P995&lt;1-1E-9),'계산 과정'!$C$47*(D995-'계산 과정'!$C$50+P995*('계산 과정'!$C$32-D995))+'계산 과정'!$D$47*(E995-'계산 과정'!$D$50+P995*('계산 과정'!$D$32-E995))+'계산 과정'!$E$47*(0-'계산 과정'!$E$50+P995*('계산 과정'!$E$32-0)),"")</x:f>
      </x:c>
      <x:c r="R995" s="4" t="str">
        <x:f>IF(AND(ISNUMBER(P995),P995&gt;1E-9,P995&lt;1-1E-9),'계산 과정'!$C$48*(D995-'계산 과정'!$C$50+P995*('계산 과정'!$C$32-D995))+'계산 과정'!$D$48*(E995-'계산 과정'!$D$50+P995*('계산 과정'!$D$32-E995))+'계산 과정'!$E$48*(0-'계산 과정'!$E$50+P995*('계산 과정'!$E$32-0)),"")</x:f>
      </x:c>
      <x:c r="S995" s="17" t="n">
        <x:f>IF('계산 과정'!$C$78,IF(AND(ISNUMBER(Q995),ISNUMBER(R995),ABS(Q995-'계산 과정'!$C$88)&lt;='계산 과정'!$D$23/2,ABS(R995-'계산 과정'!$C$89)&lt;='계산 과정'!$D$24/2),1,0),"")</x:f>
        <x:v>0</x:v>
      </x:c>
      <x:c r="T995" s="4"/>
      <x:c r="U995" s="4"/>
      <x:c r="V995" s="4"/>
      <x:c r="W995" s="4"/>
      <x:c r="X995" s="4"/>
      <x:c r="Y995" s="4"/>
      <x:c r="Z995" s="4"/>
    </x:row>
    <x:row r="996" ht="23" customHeight="1">
      <x:c r="A996" s="17" t="n">
        <x:f>ROW()-6</x:f>
        <x:v>990</x:v>
      </x:c>
      <x:c r="B996" s="4" t="n">
        <x:f>IF('계산 과정'!$L$5,'계산 과정'!$L$11*SQRT((A996+0.5)/'계산 과정'!$L$30),"")</x:f>
        <x:v>104.31662383250571</x:v>
      </x:c>
      <x:c r="C996" s="4" t="n">
        <x:f>A996*PI()*(3-SQRT(5))</x:f>
        <x:v>2375.9635974313665</x:v>
      </x:c>
      <x:c r="D996" s="4" t="n">
        <x:f>IF('계산 과정'!$L$5,B996*COS(C996),"")</x:f>
        <x:v>63.23434519810424</x:v>
      </x:c>
      <x:c r="E996" s="4" t="n">
        <x:f>IF('계산 과정'!$L$5,B996*SIN(C996),"")</x:f>
        <x:v>82.96611112484115</x:v>
      </x:c>
      <x:c r="F996" s="4" t="n">
        <x:f>IF('계산 과정'!$L$7,'계산 과정'!$L$22+'계산 과정'!$C$49*D996+'계산 과정'!$D$49*E996,"")</x:f>
        <x:v>605.2865657065295</x:v>
      </x:c>
      <x:c r="G996" s="4" t="n">
        <x:f>IF('계산 과정'!$L$7,IF(ABS(F996)&gt;=1E-12*MAX(1,SQRT((D996-'계산 과정'!$C$33)^2+(E996-'계산 과정'!$D$33)^2+'계산 과정'!$E$33^2)),('계산 과정'!$L$23-'계산 과정'!$C$49*D996-'계산 과정'!$D$49*E996)/F996,""),"")</x:f>
        <x:v>0.734715520696172</x:v>
      </x:c>
      <x:c r="H996" s="4" t="n">
        <x:f>IF(AND(ISNUMBER(G996),G996&gt;0),('계산 과정'!$D$56+'계산 과정'!$D$57*D996+'계산 과정'!$D$58*E996)/F996,"")</x:f>
        <x:v>77.56508845251166</x:v>
      </x:c>
      <x:c r="I996" s="4" t="n">
        <x:f>IF(AND(ISNUMBER(G996),G996&gt;0),('계산 과정'!$E$56+'계산 과정'!$E$57*D996+'계산 과정'!$E$58*E996)/F996,"")</x:f>
        <x:v>143.92260066006529</x:v>
      </x:c>
      <x:c r="J996" s="4" t="n">
        <x:f>IF('계산 과정'!$L$5,'계산 과정'!$D$6+'계산 과정'!$C$35*D996+'계산 과정'!$D$35*E996,"")</x:f>
        <x:v>605.2865657065295</x:v>
      </x:c>
      <x:c r="K996" s="4" t="n">
        <x:f>IF(AND('계산 과정'!$L$6,J996&gt;0),'계산 과정'!$D$10*('계산 과정'!$C$38*(D996-'계산 과정'!$C$32)+'계산 과정'!$D$38*(E996-'계산 과정'!$D$32)-'계산 과정'!$E$38*'계산 과정'!$E$32)/J996,"")</x:f>
        <x:v>0.5909721024953279</x:v>
      </x:c>
      <x:c r="L996" s="4" t="n">
        <x:f>IF(AND('계산 과정'!$L$6,J996&gt;0),'계산 과정'!$D$10*('계산 과정'!$C$39*(D996-'계산 과정'!$C$32)+'계산 과정'!$D$39*(E996-'계산 과정'!$D$32)-'계산 과정'!$E$39*'계산 과정'!$E$32)/J996,"")</x:f>
        <x:v>1.0965531478862116</x:v>
      </x:c>
      <x:c r="M996" s="17" t="n">
        <x:f>IF('계산 과정'!$L$6,IF(J996&lt;=0,0,IF(AND(ABS(K996)&lt;='계산 과정'!$D$11/2,ABS(L996)&lt;='계산 과정'!$D$12/2),1,0)),"")</x:f>
        <x:v>1</x:v>
      </x:c>
      <x:c r="N996" s="17" t="n">
        <x:f>IF('계산 과정'!$C$78,IF(AND(ISNUMBER(H996),ISNUMBER(I996),ABS(H996-'계산 과정'!$C$88)&lt;='계산 과정'!$D$23/2,ABS(I996-'계산 과정'!$C$89)&lt;='계산 과정'!$D$24/2),1,0),"")</x:f>
        <x:v>1</x:v>
      </x:c>
      <x:c r="O996" s="4" t="n">
        <x:f>IF('계산 과정'!$L$7,'계산 과정'!$C$49*('계산 과정'!$C$32-D996)+'계산 과정'!$D$49*('계산 과정'!$D$32-E996)+'계산 과정'!$E$49*'계산 과정'!$E$32,"")</x:f>
        <x:v>44.713434293470584</x:v>
      </x:c>
      <x:c r="P996" s="4" t="n">
        <x:f>IF(AND('계산 과정'!$L$7,O996&lt;&gt;0),('계산 과정'!$L$23-'계산 과정'!$C$49*D996-'계산 과정'!$D$49*E996)/O996,"")</x:f>
        <x:v>9.945857242247463</x:v>
      </x:c>
      <x:c r="Q996" s="4" t="str">
        <x:f>IF(AND(ISNUMBER(P996),P996&gt;1E-9,P996&lt;1-1E-9),'계산 과정'!$C$47*(D996-'계산 과정'!$C$50+P996*('계산 과정'!$C$32-D996))+'계산 과정'!$D$47*(E996-'계산 과정'!$D$50+P996*('계산 과정'!$D$32-E996))+'계산 과정'!$E$47*(0-'계산 과정'!$E$50+P996*('계산 과정'!$E$32-0)),"")</x:f>
      </x:c>
      <x:c r="R996" s="4" t="str">
        <x:f>IF(AND(ISNUMBER(P996),P996&gt;1E-9,P996&lt;1-1E-9),'계산 과정'!$C$48*(D996-'계산 과정'!$C$50+P996*('계산 과정'!$C$32-D996))+'계산 과정'!$D$48*(E996-'계산 과정'!$D$50+P996*('계산 과정'!$D$32-E996))+'계산 과정'!$E$48*(0-'계산 과정'!$E$50+P996*('계산 과정'!$E$32-0)),"")</x:f>
      </x:c>
      <x:c r="S996" s="17" t="n">
        <x:f>IF('계산 과정'!$C$78,IF(AND(ISNUMBER(Q996),ISNUMBER(R996),ABS(Q996-'계산 과정'!$C$88)&lt;='계산 과정'!$D$23/2,ABS(R996-'계산 과정'!$C$89)&lt;='계산 과정'!$D$24/2),1,0),"")</x:f>
        <x:v>0</x:v>
      </x:c>
      <x:c r="T996" s="4"/>
      <x:c r="U996" s="4"/>
      <x:c r="V996" s="4"/>
      <x:c r="W996" s="4"/>
      <x:c r="X996" s="4"/>
      <x:c r="Y996" s="4"/>
      <x:c r="Z996" s="4"/>
    </x:row>
    <x:row r="997" ht="23" customHeight="1">
      <x:c r="A997" s="17" t="n">
        <x:f>ROW()-6</x:f>
        <x:v>991</x:v>
      </x:c>
      <x:c r="B997" s="4" t="n">
        <x:f>IF('계산 과정'!$L$5,'계산 과정'!$L$11*SQRT((A997+0.5)/'계산 과정'!$L$30),"")</x:f>
        <x:v>104.36926911662025</x:v>
      </x:c>
      <x:c r="C997" s="4" t="n">
        <x:f>A997*PI()*(3-SQRT(5))</x:f>
        <x:v>2378.363560661095</x:v>
      </x:c>
      <x:c r="D997" s="4" t="n">
        <x:f>IF('계산 과정'!$L$5,B997*COS(C997),"")</x:f>
        <x:v>-102.72165519735815</x:v>
      </x:c>
      <x:c r="E997" s="4" t="n">
        <x:f>IF('계산 과정'!$L$5,B997*SIN(C997),"")</x:f>
        <x:v>-18.47175924086723</x:v>
      </x:c>
      <x:c r="F997" s="4" t="n">
        <x:f>IF('계산 과정'!$L$7,'계산 과정'!$L$22+'계산 과정'!$C$49*D997+'계산 과정'!$D$49*E997,"")</x:f>
        <x:v>722.6351789647583</x:v>
      </x:c>
      <x:c r="G997" s="4" t="n">
        <x:f>IF('계산 과정'!$L$7,IF(ABS(F997)&gt;=1E-12*MAX(1,SQRT((D997-'계산 과정'!$C$33)^2+(E997-'계산 과정'!$D$33)^2+'계산 과정'!$E$33^2)),('계산 과정'!$L$23-'계산 과정'!$C$49*D997-'계산 과정'!$D$49*E997)/F997,""),"")</x:f>
        <x:v>0.45301533964098184</x:v>
      </x:c>
      <x:c r="H997" s="4" t="n">
        <x:f>IF(AND(ISNUMBER(G997),G997&gt;0),('계산 과정'!$D$56+'계산 과정'!$D$57*D997+'계산 과정'!$D$58*E997)/F997,"")</x:f>
        <x:v>-105.54002923336192</x:v>
      </x:c>
      <x:c r="I997" s="4" t="n">
        <x:f>IF(AND(ISNUMBER(G997),G997&gt;0),('계산 과정'!$E$56+'계산 과정'!$E$57*D997+'계산 과정'!$E$58*E997)/F997,"")</x:f>
        <x:v>-26.83974952713514</x:v>
      </x:c>
      <x:c r="J997" s="4" t="n">
        <x:f>IF('계산 과정'!$L$5,'계산 과정'!$D$6+'계산 과정'!$C$35*D997+'계산 과정'!$D$35*E997,"")</x:f>
        <x:v>722.6351789647583</x:v>
      </x:c>
      <x:c r="K997" s="4" t="n">
        <x:f>IF(AND('계산 과정'!$L$6,J997&gt;0),'계산 과정'!$D$10*('계산 과정'!$C$38*(D997-'계산 과정'!$C$32)+'계산 과정'!$D$38*(E997-'계산 과정'!$D$32)-'계산 과정'!$E$38*'계산 과정'!$E$32)/J997,"")</x:f>
        <x:v>-0.8041145084446615</x:v>
      </x:c>
      <x:c r="L997" s="4" t="n">
        <x:f>IF(AND('계산 과정'!$L$6,J997&gt;0),'계산 과정'!$D$10*('계산 과정'!$C$39*(D997-'계산 과정'!$C$32)+'계산 과정'!$D$39*(E997-'계산 과정'!$D$32)-'계산 과정'!$E$39*'계산 과정'!$E$32)/J997,"")</x:f>
        <x:v>-0.20449332973055345</x:v>
      </x:c>
      <x:c r="M997" s="17" t="n">
        <x:f>IF('계산 과정'!$L$6,IF(J997&lt;=0,0,IF(AND(ABS(K997)&lt;='계산 과정'!$D$11/2,ABS(L997)&lt;='계산 과정'!$D$12/2),1,0)),"")</x:f>
        <x:v>1</x:v>
      </x:c>
      <x:c r="N997" s="17" t="n">
        <x:f>IF('계산 과정'!$C$78,IF(AND(ISNUMBER(H997),ISNUMBER(I997),ABS(H997-'계산 과정'!$C$88)&lt;='계산 과정'!$D$23/2,ABS(I997-'계산 과정'!$C$89)&lt;='계산 과정'!$D$24/2),1,0),"")</x:f>
        <x:v>1</x:v>
      </x:c>
      <x:c r="O997" s="4" t="n">
        <x:f>IF('계산 과정'!$L$7,'계산 과정'!$C$49*('계산 과정'!$C$32-D997)+'계산 과정'!$D$49*('계산 과정'!$D$32-E997)+'계산 과정'!$E$49*'계산 과정'!$E$32,"")</x:f>
        <x:v>-72.63517896475815</x:v>
      </x:c>
      <x:c r="P997" s="4" t="n">
        <x:f>IF(AND('계산 과정'!$L$7,O997&lt;&gt;0),('계산 과정'!$L$23-'계산 과정'!$C$49*D997-'계산 과정'!$D$49*E997)/O997,"")</x:f>
        <x:v>-4.506973421158303</x:v>
      </x:c>
      <x:c r="Q997" s="4" t="str">
        <x:f>IF(AND(ISNUMBER(P997),P997&gt;1E-9,P997&lt;1-1E-9),'계산 과정'!$C$47*(D997-'계산 과정'!$C$50+P997*('계산 과정'!$C$32-D997))+'계산 과정'!$D$47*(E997-'계산 과정'!$D$50+P997*('계산 과정'!$D$32-E997))+'계산 과정'!$E$47*(0-'계산 과정'!$E$50+P997*('계산 과정'!$E$32-0)),"")</x:f>
      </x:c>
      <x:c r="R997" s="4" t="str">
        <x:f>IF(AND(ISNUMBER(P997),P997&gt;1E-9,P997&lt;1-1E-9),'계산 과정'!$C$48*(D997-'계산 과정'!$C$50+P997*('계산 과정'!$C$32-D997))+'계산 과정'!$D$48*(E997-'계산 과정'!$D$50+P997*('계산 과정'!$D$32-E997))+'계산 과정'!$E$48*(0-'계산 과정'!$E$50+P997*('계산 과정'!$E$32-0)),"")</x:f>
      </x:c>
      <x:c r="S997" s="17" t="n">
        <x:f>IF('계산 과정'!$C$78,IF(AND(ISNUMBER(Q997),ISNUMBER(R997),ABS(Q997-'계산 과정'!$C$88)&lt;='계산 과정'!$D$23/2,ABS(R997-'계산 과정'!$C$89)&lt;='계산 과정'!$D$24/2),1,0),"")</x:f>
        <x:v>0</x:v>
      </x:c>
      <x:c r="T997" s="4"/>
      <x:c r="U997" s="4"/>
      <x:c r="V997" s="4"/>
      <x:c r="W997" s="4"/>
      <x:c r="X997" s="4"/>
      <x:c r="Y997" s="4"/>
      <x:c r="Z997" s="4"/>
    </x:row>
    <x:row r="998" ht="23" customHeight="1">
      <x:c r="A998" s="17" t="n">
        <x:f>ROW()-6</x:f>
        <x:v>992</x:v>
      </x:c>
      <x:c r="B998" s="4" t="n">
        <x:f>IF('계산 과정'!$L$5,'계산 과정'!$L$11*SQRT((A998+0.5)/'계산 과정'!$L$30),"")</x:f>
        <x:v>104.42188785911935</x:v>
      </x:c>
      <x:c r="C998" s="4" t="n">
        <x:f>A998*PI()*(3-SQRT(5))</x:f>
        <x:v>2380.7635238908238</x:v>
      </x:c>
      <x:c r="D998" s="4" t="n">
        <x:f>IF('계산 과정'!$L$5,B998*COS(C998),"")</x:f>
        <x:v>88.26572329795005</x:v>
      </x:c>
      <x:c r="E998" s="4" t="n">
        <x:f>IF('계산 과정'!$L$5,B998*SIN(C998),"")</x:f>
        <x:v>-55.795096153266165</x:v>
      </x:c>
      <x:c r="F998" s="4" t="n">
        <x:f>IF('계산 과정'!$L$7,'계산 과정'!$L$22+'계산 과정'!$C$49*D998+'계산 과정'!$D$49*E998,"")</x:f>
        <x:v>587.5867085096841</x:v>
      </x:c>
      <x:c r="G998" s="4" t="n">
        <x:f>IF('계산 과정'!$L$7,IF(ABS(F998)&gt;=1E-12*MAX(1,SQRT((D998-'계산 과정'!$C$33)^2+(E998-'계산 과정'!$D$33)^2+'계산 과정'!$E$33^2)),('계산 과정'!$L$23-'계산 과정'!$C$49*D998-'계산 과정'!$D$49*E998)/F998,""),"")</x:f>
        <x:v>0.7869703054773827</x:v>
      </x:c>
      <x:c r="H998" s="4" t="n">
        <x:f>IF(AND(ISNUMBER(G998),G998&gt;0),('계산 과정'!$D$56+'계산 과정'!$D$57*D998+'계산 과정'!$D$58*E998)/F998,"")</x:f>
        <x:v>111.53069856029867</x:v>
      </x:c>
      <x:c r="I998" s="4" t="n">
        <x:f>IF(AND(ISNUMBER(G998),G998&gt;0),('계산 과정'!$E$56+'계산 과정'!$E$57*D998+'계산 과정'!$E$58*E998)/F998,"")</x:f>
        <x:v>-99.70418001714198</x:v>
      </x:c>
      <x:c r="J998" s="4" t="n">
        <x:f>IF('계산 과정'!$L$5,'계산 과정'!$D$6+'계산 과정'!$C$35*D998+'계산 과정'!$D$35*E998,"")</x:f>
        <x:v>587.5867085096841</x:v>
      </x:c>
      <x:c r="K998" s="4" t="n">
        <x:f>IF(AND('계산 과정'!$L$6,J998&gt;0),'계산 과정'!$D$10*('계산 과정'!$C$38*(D998-'계산 과정'!$C$32)+'계산 과정'!$D$38*(E998-'계산 과정'!$D$32)-'계산 과정'!$E$38*'계산 과정'!$E$32)/J998,"")</x:f>
        <x:v>0.8497577033165624</x:v>
      </x:c>
      <x:c r="L998" s="4" t="n">
        <x:f>IF(AND('계산 과정'!$L$6,J998&gt;0),'계산 과정'!$D$10*('계산 과정'!$C$39*(D998-'계산 과정'!$C$32)+'계산 과정'!$D$39*(E998-'계산 과정'!$D$32)-'계산 과정'!$E$39*'계산 과정'!$E$32)/J998,"")</x:f>
        <x:v>-0.7596508953687008</x:v>
      </x:c>
      <x:c r="M998" s="17" t="n">
        <x:f>IF('계산 과정'!$L$6,IF(J998&lt;=0,0,IF(AND(ABS(K998)&lt;='계산 과정'!$D$11/2,ABS(L998)&lt;='계산 과정'!$D$12/2),1,0)),"")</x:f>
        <x:v>1</x:v>
      </x:c>
      <x:c r="N998" s="17" t="n">
        <x:f>IF('계산 과정'!$C$78,IF(AND(ISNUMBER(H998),ISNUMBER(I998),ABS(H998-'계산 과정'!$C$88)&lt;='계산 과정'!$D$23/2,ABS(I998-'계산 과정'!$C$89)&lt;='계산 과정'!$D$24/2),1,0),"")</x:f>
        <x:v>1</x:v>
      </x:c>
      <x:c r="O998" s="4" t="n">
        <x:f>IF('계산 과정'!$L$7,'계산 과정'!$C$49*('계산 과정'!$C$32-D998)+'계산 과정'!$D$49*('계산 과정'!$D$32-E998)+'계산 과정'!$E$49*'계산 과정'!$E$32,"")</x:f>
        <x:v>62.413291490316</x:v>
      </x:c>
      <x:c r="P998" s="4" t="n">
        <x:f>IF(AND('계산 과정'!$L$7,O998&lt;&gt;0),('계산 과정'!$L$23-'계산 과정'!$C$49*D998-'계산 과정'!$D$49*E998)/O998,"")</x:f>
        <x:v>7.408891286594997</x:v>
      </x:c>
      <x:c r="Q998" s="4" t="str">
        <x:f>IF(AND(ISNUMBER(P998),P998&gt;1E-9,P998&lt;1-1E-9),'계산 과정'!$C$47*(D998-'계산 과정'!$C$50+P998*('계산 과정'!$C$32-D998))+'계산 과정'!$D$47*(E998-'계산 과정'!$D$50+P998*('계산 과정'!$D$32-E998))+'계산 과정'!$E$47*(0-'계산 과정'!$E$50+P998*('계산 과정'!$E$32-0)),"")</x:f>
      </x:c>
      <x:c r="R998" s="4" t="str">
        <x:f>IF(AND(ISNUMBER(P998),P998&gt;1E-9,P998&lt;1-1E-9),'계산 과정'!$C$48*(D998-'계산 과정'!$C$50+P998*('계산 과정'!$C$32-D998))+'계산 과정'!$D$48*(E998-'계산 과정'!$D$50+P998*('계산 과정'!$D$32-E998))+'계산 과정'!$E$48*(0-'계산 과정'!$E$50+P998*('계산 과정'!$E$32-0)),"")</x:f>
      </x:c>
      <x:c r="S998" s="17" t="n">
        <x:f>IF('계산 과정'!$C$78,IF(AND(ISNUMBER(Q998),ISNUMBER(R998),ABS(Q998-'계산 과정'!$C$88)&lt;='계산 과정'!$D$23/2,ABS(R998-'계산 과정'!$C$89)&lt;='계산 과정'!$D$24/2),1,0),"")</x:f>
        <x:v>0</x:v>
      </x:c>
      <x:c r="T998" s="4"/>
      <x:c r="U998" s="4"/>
      <x:c r="V998" s="4"/>
      <x:c r="W998" s="4"/>
      <x:c r="X998" s="4"/>
      <x:c r="Y998" s="4"/>
      <x:c r="Z998" s="4"/>
    </x:row>
    <x:row r="999" ht="23" customHeight="1">
      <x:c r="A999" s="17" t="n">
        <x:f>ROW()-6</x:f>
        <x:v>993</x:v>
      </x:c>
      <x:c r="B999" s="4" t="n">
        <x:f>IF('계산 과정'!$L$5,'계산 과정'!$L$11*SQRT((A999+0.5)/'계산 과정'!$L$30),"")</x:f>
        <x:v>104.47448010010626</x:v>
      </x:c>
      <x:c r="C999" s="4" t="n">
        <x:f>A999*PI()*(3-SQRT(5))</x:f>
        <x:v>2383.1634871205524</x:v>
      </x:c>
      <x:c r="D999" s="4" t="n">
        <x:f>IF('계산 과정'!$L$5,B999*COS(C999),"")</x:f>
        <x:v>-27.40914915204814</x:v>
      </x:c>
      <x:c r="E999" s="4" t="n">
        <x:f>IF('계산 과정'!$L$5,B999*SIN(C999),"")</x:f>
        <x:v>100.81495690098905</x:v>
      </x:c>
      <x:c r="F999" s="4" t="n">
        <x:f>IF('계산 과정'!$L$7,'계산 과정'!$L$22+'계산 과정'!$C$49*D999+'계산 과정'!$D$49*E999,"")</x:f>
        <x:v>669.3811952319668</x:v>
      </x:c>
      <x:c r="G999" s="4" t="n">
        <x:f>IF('계산 과정'!$L$7,IF(ABS(F999)&gt;=1E-12*MAX(1,SQRT((D999-'계산 과정'!$C$33)^2+(E999-'계산 과정'!$D$33)^2+'계산 과정'!$E$33^2)),('계산 과정'!$L$23-'계산 과정'!$C$49*D999-'계산 과정'!$D$49*E999)/F999,""),"")</x:f>
        <x:v>0.5686129330778914</x:v>
      </x:c>
      <x:c r="H999" s="4" t="n">
        <x:f>IF(AND(ISNUMBER(G999),G999&gt;0),('계산 과정'!$D$56+'계산 과정'!$D$57*D999+'계산 과정'!$D$58*E999)/F999,"")</x:f>
        <x:v>-30.401593499370723</x:v>
      </x:c>
      <x:c r="I999" s="4" t="n">
        <x:f>IF(AND(ISNUMBER(G999),G999&gt;0),('계산 과정'!$E$56+'계산 과정'!$E$57*D999+'계산 과정'!$E$58*E999)/F999,"")</x:f>
        <x:v>158.13964524258162</x:v>
      </x:c>
      <x:c r="J999" s="4" t="n">
        <x:f>IF('계산 과정'!$L$5,'계산 과정'!$D$6+'계산 과정'!$C$35*D999+'계산 과정'!$D$35*E999,"")</x:f>
        <x:v>669.3811952319668</x:v>
      </x:c>
      <x:c r="K999" s="4" t="n">
        <x:f>IF(AND('계산 과정'!$L$6,J999&gt;0),'계산 과정'!$D$10*('계산 과정'!$C$38*(D999-'계산 과정'!$C$32)+'계산 과정'!$D$38*(E999-'계산 과정'!$D$32)-'계산 과정'!$E$38*'계산 과정'!$E$32)/J999,"")</x:f>
        <x:v>-0.23163118856663292</x:v>
      </x:c>
      <x:c r="L999" s="4" t="n">
        <x:f>IF(AND('계산 과정'!$L$6,J999&gt;0),'계산 과정'!$D$10*('계산 과정'!$C$39*(D999-'계산 과정'!$C$32)+'계산 과정'!$D$39*(E999-'계산 과정'!$D$32)-'계산 과정'!$E$39*'계산 과정'!$E$32)/J999,"")</x:f>
        <x:v>1.2048734875625267</x:v>
      </x:c>
      <x:c r="M999" s="17" t="n">
        <x:f>IF('계산 과정'!$L$6,IF(J999&lt;=0,0,IF(AND(ABS(K999)&lt;='계산 과정'!$D$11/2,ABS(L999)&lt;='계산 과정'!$D$12/2),1,0)),"")</x:f>
        <x:v>1</x:v>
      </x:c>
      <x:c r="N999" s="17" t="n">
        <x:f>IF('계산 과정'!$C$78,IF(AND(ISNUMBER(H999),ISNUMBER(I999),ABS(H999-'계산 과정'!$C$88)&lt;='계산 과정'!$D$23/2,ABS(I999-'계산 과정'!$C$89)&lt;='계산 과정'!$D$24/2),1,0),"")</x:f>
        <x:v>1</x:v>
      </x:c>
      <x:c r="O999" s="4" t="n">
        <x:f>IF('계산 과정'!$L$7,'계산 과정'!$C$49*('계산 과정'!$C$32-D999)+'계산 과정'!$D$49*('계산 과정'!$D$32-E999)+'계산 과정'!$E$49*'계산 과정'!$E$32,"")</x:f>
        <x:v>-19.381195231966615</x:v>
      </x:c>
      <x:c r="P999" s="4" t="n">
        <x:f>IF(AND('계산 과정'!$L$7,O999&lt;&gt;0),('계산 과정'!$L$23-'계산 과정'!$C$49*D999-'계산 과정'!$D$49*E999)/O999,"")</x:f>
        <x:v>-19.6385620294591</x:v>
      </x:c>
      <x:c r="Q999" s="4" t="str">
        <x:f>IF(AND(ISNUMBER(P999),P999&gt;1E-9,P999&lt;1-1E-9),'계산 과정'!$C$47*(D999-'계산 과정'!$C$50+P999*('계산 과정'!$C$32-D999))+'계산 과정'!$D$47*(E999-'계산 과정'!$D$50+P999*('계산 과정'!$D$32-E999))+'계산 과정'!$E$47*(0-'계산 과정'!$E$50+P999*('계산 과정'!$E$32-0)),"")</x:f>
      </x:c>
      <x:c r="R999" s="4" t="str">
        <x:f>IF(AND(ISNUMBER(P999),P999&gt;1E-9,P999&lt;1-1E-9),'계산 과정'!$C$48*(D999-'계산 과정'!$C$50+P999*('계산 과정'!$C$32-D999))+'계산 과정'!$D$48*(E999-'계산 과정'!$D$50+P999*('계산 과정'!$D$32-E999))+'계산 과정'!$E$48*(0-'계산 과정'!$E$50+P999*('계산 과정'!$E$32-0)),"")</x:f>
      </x:c>
      <x:c r="S999" s="17" t="n">
        <x:f>IF('계산 과정'!$C$78,IF(AND(ISNUMBER(Q999),ISNUMBER(R999),ABS(Q999-'계산 과정'!$C$88)&lt;='계산 과정'!$D$23/2,ABS(R999-'계산 과정'!$C$89)&lt;='계산 과정'!$D$24/2),1,0),"")</x:f>
        <x:v>0</x:v>
      </x:c>
      <x:c r="T999" s="4"/>
      <x:c r="U999" s="4"/>
      <x:c r="V999" s="4"/>
      <x:c r="W999" s="4"/>
      <x:c r="X999" s="4"/>
      <x:c r="Y999" s="4"/>
      <x:c r="Z999" s="4"/>
    </x:row>
    <x:row r="1000" ht="23" customHeight="1">
      <x:c r="A1000" s="17" t="n">
        <x:f>ROW()-6</x:f>
        <x:v>994</x:v>
      </x:c>
      <x:c r="B1000" s="4" t="n">
        <x:f>IF('계산 과정'!$L$5,'계산 과정'!$L$11*SQRT((A1000+0.5)/'계산 과정'!$L$30),"")</x:f>
        <x:v>104.52704587958324</x:v>
      </x:c>
      <x:c r="C1000" s="4" t="n">
        <x:f>A1000*PI()*(3-SQRT(5))</x:f>
        <x:v>2385.563450350281</x:v>
      </x:c>
      <x:c r="D1000" s="4" t="n">
        <x:f>IF('계산 과정'!$L$5,B1000*COS(C1000),"")</x:f>
        <x:v>-47.9129663748161</x:v>
      </x:c>
      <x:c r="E1000" s="4" t="n">
        <x:f>IF('계산 과정'!$L$5,B1000*SIN(C1000),"")</x:f>
        <x:v>-92.89914409443308</x:v>
      </x:c>
      <x:c r="F1000" s="4" t="n">
        <x:f>IF('계산 과정'!$L$7,'계산 과정'!$L$22+'계산 과정'!$C$49*D1000+'계산 과정'!$D$49*E1000,"")</x:f>
        <x:v>683.8795834303955</x:v>
      </x:c>
      <x:c r="G1000" s="4" t="n">
        <x:f>IF('계산 과정'!$L$7,IF(ABS(F1000)&gt;=1E-12*MAX(1,SQRT((D1000-'계산 과정'!$C$33)^2+(E1000-'계산 과정'!$D$33)^2+'계산 과정'!$E$33^2)),('계산 과정'!$L$23-'계산 과정'!$C$49*D1000-'계산 과정'!$D$49*E1000)/F1000,""),"")</x:f>
        <x:v>0.535358015417151</x:v>
      </x:c>
      <x:c r="H1000" s="4" t="n">
        <x:f>IF(AND(ISNUMBER(G1000),G1000&gt;0),('계산 과정'!$D$56+'계산 과정'!$D$57*D1000+'계산 과정'!$D$58*E1000)/F1000,"")</x:f>
        <x:v>-52.01728997885195</x:v>
      </x:c>
      <x:c r="I1000" s="4" t="n">
        <x:f>IF(AND(ISNUMBER(G1000),G1000&gt;0),('계산 과정'!$E$56+'계산 과정'!$E$57*D1000+'계산 과정'!$E$58*E1000)/F1000,"")</x:f>
        <x:v>-142.63344551078072</x:v>
      </x:c>
      <x:c r="J1000" s="4" t="n">
        <x:f>IF('계산 과정'!$L$5,'계산 과정'!$D$6+'계산 과정'!$C$35*D1000+'계산 과정'!$D$35*E1000,"")</x:f>
        <x:v>683.8795834303955</x:v>
      </x:c>
      <x:c r="K1000" s="4" t="n">
        <x:f>IF(AND('계산 과정'!$L$6,J1000&gt;0),'계산 과정'!$D$10*('계산 과정'!$C$38*(D1000-'계산 과정'!$C$32)+'계산 과정'!$D$38*(E1000-'계산 과정'!$D$32)-'계산 과정'!$E$38*'계산 과정'!$E$32)/J1000,"")</x:f>
        <x:v>-0.3963222093626804</x:v>
      </x:c>
      <x:c r="L1000" s="4" t="n">
        <x:f>IF(AND('계산 과정'!$L$6,J1000&gt;0),'계산 과정'!$D$10*('계산 과정'!$C$39*(D1000-'계산 과정'!$C$32)+'계산 과정'!$D$39*(E1000-'계산 과정'!$D$32)-'계산 과정'!$E$39*'계산 과정'!$E$32)/J1000,"")</x:f>
        <x:v>-1.0867310134154722</x:v>
      </x:c>
      <x:c r="M1000" s="17" t="n">
        <x:f>IF('계산 과정'!$L$6,IF(J1000&lt;=0,0,IF(AND(ABS(K1000)&lt;='계산 과정'!$D$11/2,ABS(L1000)&lt;='계산 과정'!$D$12/2),1,0)),"")</x:f>
        <x:v>1</x:v>
      </x:c>
      <x:c r="N1000" s="17" t="n">
        <x:f>IF('계산 과정'!$C$78,IF(AND(ISNUMBER(H1000),ISNUMBER(I1000),ABS(H1000-'계산 과정'!$C$88)&lt;='계산 과정'!$D$23/2,ABS(I1000-'계산 과정'!$C$89)&lt;='계산 과정'!$D$24/2),1,0),"")</x:f>
        <x:v>1</x:v>
      </x:c>
      <x:c r="O1000" s="4" t="n">
        <x:f>IF('계산 과정'!$L$7,'계산 과정'!$C$49*('계산 과정'!$C$32-D1000)+'계산 과정'!$D$49*('계산 과정'!$D$32-E1000)+'계산 과정'!$E$49*'계산 과정'!$E$32,"")</x:f>
        <x:v>-33.87958343039537</x:v>
      </x:c>
      <x:c r="P1000" s="4" t="n">
        <x:f>IF(AND('계산 과정'!$L$7,O1000&lt;&gt;0),('계산 과정'!$L$23-'계산 과정'!$C$49*D1000-'계산 과정'!$D$49*E1000)/O1000,"")</x:f>
        <x:v>-10.806520609138786</x:v>
      </x:c>
      <x:c r="Q1000" s="4" t="str">
        <x:f>IF(AND(ISNUMBER(P1000),P1000&gt;1E-9,P1000&lt;1-1E-9),'계산 과정'!$C$47*(D1000-'계산 과정'!$C$50+P1000*('계산 과정'!$C$32-D1000))+'계산 과정'!$D$47*(E1000-'계산 과정'!$D$50+P1000*('계산 과정'!$D$32-E1000))+'계산 과정'!$E$47*(0-'계산 과정'!$E$50+P1000*('계산 과정'!$E$32-0)),"")</x:f>
      </x:c>
      <x:c r="R1000" s="4" t="str">
        <x:f>IF(AND(ISNUMBER(P1000),P1000&gt;1E-9,P1000&lt;1-1E-9),'계산 과정'!$C$48*(D1000-'계산 과정'!$C$50+P1000*('계산 과정'!$C$32-D1000))+'계산 과정'!$D$48*(E1000-'계산 과정'!$D$50+P1000*('계산 과정'!$D$32-E1000))+'계산 과정'!$E$48*(0-'계산 과정'!$E$50+P1000*('계산 과정'!$E$32-0)),"")</x:f>
      </x:c>
      <x:c r="S1000" s="17" t="n">
        <x:f>IF('계산 과정'!$C$78,IF(AND(ISNUMBER(Q1000),ISNUMBER(R1000),ABS(Q1000-'계산 과정'!$C$88)&lt;='계산 과정'!$D$23/2,ABS(R1000-'계산 과정'!$C$89)&lt;='계산 과정'!$D$24/2),1,0),"")</x:f>
        <x:v>0</x:v>
      </x:c>
      <x:c r="T1000" s="4"/>
      <x:c r="U1000" s="4"/>
      <x:c r="V1000" s="4"/>
      <x:c r="W1000" s="4"/>
      <x:c r="X1000" s="4"/>
      <x:c r="Y1000" s="4"/>
      <x:c r="Z1000" s="4"/>
    </x:row>
    <x:row r="1001" ht="23" customHeight="1">
      <x:c r="A1001" s="17" t="n">
        <x:f>ROW()-6</x:f>
        <x:v>995</x:v>
      </x:c>
      <x:c r="B1001" s="4" t="n">
        <x:f>IF('계산 과정'!$L$5,'계산 과정'!$L$11*SQRT((A1001+0.5)/'계산 과정'!$L$30),"")</x:f>
        <x:v>104.57958523745205</x:v>
      </x:c>
      <x:c r="C1001" s="4" t="n">
        <x:f>A1001*PI()*(3-SQRT(5))</x:f>
        <x:v>2387.9634135800097</x:v>
      </x:c>
      <x:c r="D1001" s="4" t="n">
        <x:f>IF('계산 과정'!$L$5,B1001*COS(C1001),"")</x:f>
        <x:v>98.13130026960636</x:v>
      </x:c>
      <x:c r="E1001" s="4" t="n">
        <x:f>IF('계산 과정'!$L$5,B1001*SIN(C1001),"")</x:f>
        <x:v>36.15435735611758</x:v>
      </x:c>
      <x:c r="F1001" s="4" t="n">
        <x:f>IF('계산 과정'!$L$7,'계산 과정'!$L$22+'계산 과정'!$C$49*D1001+'계산 과정'!$D$49*E1001,"")</x:f>
        <x:v>580.6106921327081</x:v>
      </x:c>
      <x:c r="G1001" s="4" t="n">
        <x:f>IF('계산 과정'!$L$7,IF(ABS(F1001)&gt;=1E-12*MAX(1,SQRT((D1001-'계산 과정'!$C$33)^2+(E1001-'계산 과정'!$D$33)^2+'계산 과정'!$E$33^2)),('계산 과정'!$L$23-'계산 과정'!$C$49*D1001-'계산 과정'!$D$49*E1001)/F1001,""),"")</x:f>
        <x:v>0.8084406887911828</x:v>
      </x:c>
      <x:c r="H1001" s="4" t="n">
        <x:f>IF(AND(ISNUMBER(G1001),G1001&gt;0),('계산 과정'!$D$56+'계산 과정'!$D$57*D1001+'계산 과정'!$D$58*E1001)/F1001,"")</x:f>
        <x:v>125.48644771426878</x:v>
      </x:c>
      <x:c r="I1001" s="4" t="n">
        <x:f>IF(AND(ISNUMBER(G1001),G1001&gt;0),('계산 과정'!$E$56+'계산 과정'!$E$57*D1001+'계산 과정'!$E$58*E1001)/F1001,"")</x:f>
        <x:v>65.38301091989985</x:v>
      </x:c>
      <x:c r="J1001" s="4" t="n">
        <x:f>IF('계산 과정'!$L$5,'계산 과정'!$D$6+'계산 과정'!$C$35*D1001+'계산 과정'!$D$35*E1001,"")</x:f>
        <x:v>580.6106921327081</x:v>
      </x:c>
      <x:c r="K1001" s="4" t="n">
        <x:f>IF(AND('계산 과정'!$L$6,J1001&gt;0),'계산 과정'!$D$10*('계산 과정'!$C$38*(D1001-'계산 과정'!$C$32)+'계산 과정'!$D$38*(E1001-'계산 과정'!$D$32)-'계산 과정'!$E$38*'계산 과정'!$E$32)/J1001,"")</x:f>
        <x:v>0.9560872206801437</x:v>
      </x:c>
      <x:c r="L1001" s="4" t="n">
        <x:f>IF(AND('계산 과정'!$L$6,J1001&gt;0),'계산 과정'!$D$10*('계산 과정'!$C$39*(D1001-'계산 과정'!$C$32)+'계산 과정'!$D$39*(E1001-'계산 과정'!$D$32)-'계산 과정'!$E$39*'계산 과정'!$E$32)/J1001,"")</x:f>
        <x:v>0.49815627367542736</x:v>
      </x:c>
      <x:c r="M1001" s="17" t="n">
        <x:f>IF('계산 과정'!$L$6,IF(J1001&lt;=0,0,IF(AND(ABS(K1001)&lt;='계산 과정'!$D$11/2,ABS(L1001)&lt;='계산 과정'!$D$12/2),1,0)),"")</x:f>
        <x:v>1</x:v>
      </x:c>
      <x:c r="N1001" s="17" t="n">
        <x:f>IF('계산 과정'!$C$78,IF(AND(ISNUMBER(H1001),ISNUMBER(I1001),ABS(H1001-'계산 과정'!$C$88)&lt;='계산 과정'!$D$23/2,ABS(I1001-'계산 과정'!$C$89)&lt;='계산 과정'!$D$24/2),1,0),"")</x:f>
        <x:v>1</x:v>
      </x:c>
      <x:c r="O1001" s="4" t="n">
        <x:f>IF('계산 과정'!$L$7,'계산 과정'!$C$49*('계산 과정'!$C$32-D1001)+'계산 과정'!$D$49*('계산 과정'!$D$32-E1001)+'계산 과정'!$E$49*'계산 과정'!$E$32,"")</x:f>
        <x:v>69.38930786729205</x:v>
      </x:c>
      <x:c r="P1001" s="4" t="n">
        <x:f>IF(AND('계산 과정'!$L$7,O1001&lt;&gt;0),('계산 과정'!$L$23-'계산 과정'!$C$49*D1001-'계산 과정'!$D$49*E1001)/O1001,"")</x:f>
        <x:v>6.7645768821473915</x:v>
      </x:c>
      <x:c r="Q1001" s="4" t="str">
        <x:f>IF(AND(ISNUMBER(P1001),P1001&gt;1E-9,P1001&lt;1-1E-9),'계산 과정'!$C$47*(D1001-'계산 과정'!$C$50+P1001*('계산 과정'!$C$32-D1001))+'계산 과정'!$D$47*(E1001-'계산 과정'!$D$50+P1001*('계산 과정'!$D$32-E1001))+'계산 과정'!$E$47*(0-'계산 과정'!$E$50+P1001*('계산 과정'!$E$32-0)),"")</x:f>
      </x:c>
      <x:c r="R1001" s="4" t="str">
        <x:f>IF(AND(ISNUMBER(P1001),P1001&gt;1E-9,P1001&lt;1-1E-9),'계산 과정'!$C$48*(D1001-'계산 과정'!$C$50+P1001*('계산 과정'!$C$32-D1001))+'계산 과정'!$D$48*(E1001-'계산 과정'!$D$50+P1001*('계산 과정'!$D$32-E1001))+'계산 과정'!$E$48*(0-'계산 과정'!$E$50+P1001*('계산 과정'!$E$32-0)),"")</x:f>
      </x:c>
      <x:c r="S1001" s="17" t="n">
        <x:f>IF('계산 과정'!$C$78,IF(AND(ISNUMBER(Q1001),ISNUMBER(R1001),ABS(Q1001-'계산 과정'!$C$88)&lt;='계산 과정'!$D$23/2,ABS(R1001-'계산 과정'!$C$89)&lt;='계산 과정'!$D$24/2),1,0),"")</x:f>
        <x:v>0</x:v>
      </x:c>
      <x:c r="T1001" s="4"/>
      <x:c r="U1001" s="4"/>
      <x:c r="V1001" s="4"/>
      <x:c r="W1001" s="4"/>
      <x:c r="X1001" s="4"/>
      <x:c r="Y1001" s="4"/>
      <x:c r="Z1001" s="4"/>
    </x:row>
    <x:row r="1002" ht="23" customHeight="1">
      <x:c r="A1002" s="17" t="n">
        <x:f>ROW()-6</x:f>
        <x:v>996</x:v>
      </x:c>
      <x:c r="B1002" s="4" t="n">
        <x:f>IF('계산 과정'!$L$5,'계산 과정'!$L$11*SQRT((A1002+0.5)/'계산 과정'!$L$30),"")</x:f>
        <x:v>104.63209821351428</x:v>
      </x:c>
      <x:c r="C1002" s="4" t="n">
        <x:f>A1002*PI()*(3-SQRT(5))</x:f>
        <x:v>2390.3633768097384</x:v>
      </x:c>
      <x:c r="D1002" s="4" t="n">
        <x:f>IF('계산 과정'!$L$5,B1002*COS(C1002),"")</x:f>
        <x:v>-96.82948125584788</x:v>
      </x:c>
      <x:c r="E1002" s="4" t="n">
        <x:f>IF('계산 과정'!$L$5,B1002*SIN(C1002),"")</x:f>
        <x:v>39.64754136495606</x:v>
      </x:c>
      <x:c r="F1002" s="4" t="n">
        <x:f>IF('계산 과정'!$L$7,'계산 과정'!$L$22+'계산 과정'!$C$49*D1002+'계산 과정'!$D$49*E1002,"")</x:f>
        <x:v>718.4687828147858</x:v>
      </x:c>
      <x:c r="G1002" s="4" t="n">
        <x:f>IF('계산 과정'!$L$7,IF(ABS(F1002)&gt;=1E-12*MAX(1,SQRT((D1002-'계산 과정'!$C$33)^2+(E1002-'계산 과정'!$D$33)^2+'계산 과정'!$E$33^2)),('계산 과정'!$L$23-'계산 과정'!$C$49*D1002-'계산 과정'!$D$49*E1002)/F1002,""),"")</x:f>
        <x:v>0.46144136685571174</x:v>
      </x:c>
      <x:c r="H1002" s="4" t="n">
        <x:f>IF(AND(ISNUMBER(G1002),G1002&gt;0),('계산 과정'!$D$56+'계산 과정'!$D$57*D1002+'계산 과정'!$D$58*E1002)/F1002,"")</x:f>
        <x:v>-100.06311154378746</x:v>
      </x:c>
      <x:c r="I1002" s="4" t="n">
        <x:f>IF(AND(ISNUMBER(G1002),G1002&gt;0),('계산 과정'!$E$56+'계산 과정'!$E$57*D1002+'계산 과정'!$E$58*E1002)/F1002,"")</x:f>
        <x:v>57.94255704486976</x:v>
      </x:c>
      <x:c r="J1002" s="4" t="n">
        <x:f>IF('계산 과정'!$L$5,'계산 과정'!$D$6+'계산 과정'!$C$35*D1002+'계산 과정'!$D$35*E1002,"")</x:f>
        <x:v>718.4687828147858</x:v>
      </x:c>
      <x:c r="K1002" s="4" t="n">
        <x:f>IF(AND('계산 과정'!$L$6,J1002&gt;0),'계산 과정'!$D$10*('계산 과정'!$C$38*(D1002-'계산 과정'!$C$32)+'계산 과정'!$D$38*(E1002-'계산 과정'!$D$32)-'계산 과정'!$E$38*'계산 과정'!$E$32)/J1002,"")</x:f>
        <x:v>-0.7623856117621894</x:v>
      </x:c>
      <x:c r="L1002" s="4" t="n">
        <x:f>IF(AND('계산 과정'!$L$6,J1002&gt;0),'계산 과정'!$D$10*('계산 과정'!$C$39*(D1002-'계산 과정'!$C$32)+'계산 과정'!$D$39*(E1002-'계산 과정'!$D$32)-'계산 과정'!$E$39*'계산 과정'!$E$32)/J1002,"")</x:f>
        <x:v>0.44146710129424577</x:v>
      </x:c>
      <x:c r="M1002" s="17" t="n">
        <x:f>IF('계산 과정'!$L$6,IF(J1002&lt;=0,0,IF(AND(ABS(K1002)&lt;='계산 과정'!$D$11/2,ABS(L1002)&lt;='계산 과정'!$D$12/2),1,0)),"")</x:f>
        <x:v>1</x:v>
      </x:c>
      <x:c r="N1002" s="17" t="n">
        <x:f>IF('계산 과정'!$C$78,IF(AND(ISNUMBER(H1002),ISNUMBER(I1002),ABS(H1002-'계산 과정'!$C$88)&lt;='계산 과정'!$D$23/2,ABS(I1002-'계산 과정'!$C$89)&lt;='계산 과정'!$D$24/2),1,0),"")</x:f>
        <x:v>1</x:v>
      </x:c>
      <x:c r="O1002" s="4" t="n">
        <x:f>IF('계산 과정'!$L$7,'계산 과정'!$C$49*('계산 과정'!$C$32-D1002)+'계산 과정'!$D$49*('계산 과정'!$D$32-E1002)+'계산 과정'!$E$49*'계산 과정'!$E$32,"")</x:f>
        <x:v>-68.46878281478564</x:v>
      </x:c>
      <x:c r="P1002" s="4" t="n">
        <x:f>IF(AND('계산 과정'!$L$7,O1002&lt;&gt;0),('계산 과정'!$L$23-'계산 과정'!$C$49*D1002-'계산 과정'!$D$49*E1002)/O1002,"")</x:f>
        <x:v>-4.842078441529138</x:v>
      </x:c>
      <x:c r="Q1002" s="4" t="str">
        <x:f>IF(AND(ISNUMBER(P1002),P1002&gt;1E-9,P1002&lt;1-1E-9),'계산 과정'!$C$47*(D1002-'계산 과정'!$C$50+P1002*('계산 과정'!$C$32-D1002))+'계산 과정'!$D$47*(E1002-'계산 과정'!$D$50+P1002*('계산 과정'!$D$32-E1002))+'계산 과정'!$E$47*(0-'계산 과정'!$E$50+P1002*('계산 과정'!$E$32-0)),"")</x:f>
      </x:c>
      <x:c r="R1002" s="4" t="str">
        <x:f>IF(AND(ISNUMBER(P1002),P1002&gt;1E-9,P1002&lt;1-1E-9),'계산 과정'!$C$48*(D1002-'계산 과정'!$C$50+P1002*('계산 과정'!$C$32-D1002))+'계산 과정'!$D$48*(E1002-'계산 과정'!$D$50+P1002*('계산 과정'!$D$32-E1002))+'계산 과정'!$E$48*(0-'계산 과정'!$E$50+P1002*('계산 과정'!$E$32-0)),"")</x:f>
      </x:c>
      <x:c r="S1002" s="17" t="n">
        <x:f>IF('계산 과정'!$C$78,IF(AND(ISNUMBER(Q1002),ISNUMBER(R1002),ABS(Q1002-'계산 과정'!$C$88)&lt;='계산 과정'!$D$23/2,ABS(R1002-'계산 과정'!$C$89)&lt;='계산 과정'!$D$24/2),1,0),"")</x:f>
        <x:v>0</x:v>
      </x:c>
      <x:c r="T1002" s="4"/>
      <x:c r="U1002" s="4"/>
      <x:c r="V1002" s="4"/>
      <x:c r="W1002" s="4"/>
      <x:c r="X1002" s="4"/>
      <x:c r="Y1002" s="4"/>
      <x:c r="Z1002" s="4"/>
    </x:row>
    <x:row r="1003" ht="23" customHeight="1">
      <x:c r="A1003" s="17" t="n">
        <x:f>ROW()-6</x:f>
        <x:v>997</x:v>
      </x:c>
      <x:c r="B1003" s="4" t="n">
        <x:f>IF('계산 과정'!$L$5,'계산 과정'!$L$11*SQRT((A1003+0.5)/'계산 과정'!$L$30),"")</x:f>
        <x:v>104.68458484747168</x:v>
      </x:c>
      <x:c r="C1003" s="4" t="n">
        <x:f>A1003*PI()*(3-SQRT(5))</x:f>
        <x:v>2392.763340039467</x:v>
      </x:c>
      <x:c r="D1003" s="4" t="n">
        <x:f>IF('계산 과정'!$L$5,B1003*COS(C1003),"")</x:f>
        <x:v>44.63989807473456</x:v>
      </x:c>
      <x:c r="E1003" s="4" t="n">
        <x:f>IF('계산 과정'!$L$5,B1003*SIN(C1003),"")</x:f>
        <x:v>-94.68971329856696</x:v>
      </x:c>
      <x:c r="F1003" s="4" t="n">
        <x:f>IF('계산 과정'!$L$7,'계산 과정'!$L$22+'계산 과정'!$C$49*D1003+'계산 과정'!$D$49*E1003,"")</x:f>
        <x:v>618.4348253598789</x:v>
      </x:c>
      <x:c r="G1003" s="4" t="n">
        <x:f>IF('계산 과정'!$L$7,IF(ABS(F1003)&gt;=1E-12*MAX(1,SQRT((D1003-'계산 과정'!$C$33)^2+(E1003-'계산 과정'!$D$33)^2+'계산 과정'!$E$33^2)),('계산 과정'!$L$23-'계산 과정'!$C$49*D1003-'계산 과정'!$D$49*E1003)/F1003,""),"")</x:f>
        <x:v>0.6978345283013212</x:v>
      </x:c>
      <x:c r="H1003" s="4" t="n">
        <x:f>IF(AND(ISNUMBER(G1003),G1003&gt;0),('계산 과정'!$D$56+'계산 과정'!$D$57*D1003+'계산 과정'!$D$58*E1003)/F1003,"")</x:f>
        <x:v>53.59244339585875</x:v>
      </x:c>
      <x:c r="I1003" s="4" t="n">
        <x:f>IF(AND(ISNUMBER(G1003),G1003&gt;0),('계산 과정'!$E$56+'계산 과정'!$E$57*D1003+'계산 과정'!$E$58*E1003)/F1003,"")</x:f>
        <x:v>-160.76746471325978</x:v>
      </x:c>
      <x:c r="J1003" s="4" t="n">
        <x:f>IF('계산 과정'!$L$5,'계산 과정'!$D$6+'계산 과정'!$C$35*D1003+'계산 과정'!$D$35*E1003,"")</x:f>
        <x:v>618.4348253598789</x:v>
      </x:c>
      <x:c r="K1003" s="4" t="n">
        <x:f>IF(AND('계산 과정'!$L$6,J1003&gt;0),'계산 과정'!$D$10*('계산 과정'!$C$38*(D1003-'계산 과정'!$C$32)+'계산 과정'!$D$38*(E1003-'계산 과정'!$D$32)-'계산 과정'!$E$38*'계산 과정'!$E$32)/J1003,"")</x:f>
        <x:v>0.4083233782541631</x:v>
      </x:c>
      <x:c r="L1003" s="4" t="n">
        <x:f>IF(AND('계산 과정'!$L$6,J1003&gt;0),'계산 과정'!$D$10*('계산 과정'!$C$39*(D1003-'계산 과정'!$C$32)+'계산 과정'!$D$39*(E1003-'계산 과정'!$D$32)-'계산 과정'!$E$39*'계산 과정'!$E$32)/J1003,"")</x:f>
        <x:v>-1.224894969243884</x:v>
      </x:c>
      <x:c r="M1003" s="17" t="n">
        <x:f>IF('계산 과정'!$L$6,IF(J1003&lt;=0,0,IF(AND(ABS(K1003)&lt;='계산 과정'!$D$11/2,ABS(L1003)&lt;='계산 과정'!$D$12/2),1,0)),"")</x:f>
        <x:v>1</x:v>
      </x:c>
      <x:c r="N1003" s="17" t="n">
        <x:f>IF('계산 과정'!$C$78,IF(AND(ISNUMBER(H1003),ISNUMBER(I1003),ABS(H1003-'계산 과정'!$C$88)&lt;='계산 과정'!$D$23/2,ABS(I1003-'계산 과정'!$C$89)&lt;='계산 과정'!$D$24/2),1,0),"")</x:f>
        <x:v>1</x:v>
      </x:c>
      <x:c r="O1003" s="4" t="n">
        <x:f>IF('계산 과정'!$L$7,'계산 과정'!$C$49*('계산 과정'!$C$32-D1003)+'계산 과정'!$D$49*('계산 과정'!$D$32-E1003)+'계산 과정'!$E$49*'계산 과정'!$E$32,"")</x:f>
        <x:v>31.5651746401212</x:v>
      </x:c>
      <x:c r="P1003" s="4" t="n">
        <x:f>IF(AND('계산 과정'!$L$7,O1003&lt;&gt;0),('계산 과정'!$L$23-'계산 과정'!$C$49*D1003-'계산 과정'!$D$49*E1003)/O1003,"")</x:f>
        <x:v>13.672193471458773</x:v>
      </x:c>
      <x:c r="Q1003" s="4" t="str">
        <x:f>IF(AND(ISNUMBER(P1003),P1003&gt;1E-9,P1003&lt;1-1E-9),'계산 과정'!$C$47*(D1003-'계산 과정'!$C$50+P1003*('계산 과정'!$C$32-D1003))+'계산 과정'!$D$47*(E1003-'계산 과정'!$D$50+P1003*('계산 과정'!$D$32-E1003))+'계산 과정'!$E$47*(0-'계산 과정'!$E$50+P1003*('계산 과정'!$E$32-0)),"")</x:f>
      </x:c>
      <x:c r="R1003" s="4" t="str">
        <x:f>IF(AND(ISNUMBER(P1003),P1003&gt;1E-9,P1003&lt;1-1E-9),'계산 과정'!$C$48*(D1003-'계산 과정'!$C$50+P1003*('계산 과정'!$C$32-D1003))+'계산 과정'!$D$48*(E1003-'계산 과정'!$D$50+P1003*('계산 과정'!$D$32-E1003))+'계산 과정'!$E$48*(0-'계산 과정'!$E$50+P1003*('계산 과정'!$E$32-0)),"")</x:f>
      </x:c>
      <x:c r="S1003" s="17" t="n">
        <x:f>IF('계산 과정'!$C$78,IF(AND(ISNUMBER(Q1003),ISNUMBER(R1003),ABS(Q1003-'계산 과정'!$C$88)&lt;='계산 과정'!$D$23/2,ABS(R1003-'계산 과정'!$C$89)&lt;='계산 과정'!$D$24/2),1,0),"")</x:f>
        <x:v>0</x:v>
      </x:c>
      <x:c r="T1003" s="4"/>
      <x:c r="U1003" s="4"/>
      <x:c r="V1003" s="4"/>
      <x:c r="W1003" s="4"/>
      <x:c r="X1003" s="4"/>
      <x:c r="Y1003" s="4"/>
      <x:c r="Z1003" s="4"/>
    </x:row>
    <x:row r="1004" ht="23" customHeight="1">
      <x:c r="A1004" s="17" t="n">
        <x:f>ROW()-6</x:f>
        <x:v>998</x:v>
      </x:c>
      <x:c r="B1004" s="4" t="n">
        <x:f>IF('계산 과정'!$L$5,'계산 과정'!$L$11*SQRT((A1004+0.5)/'계산 과정'!$L$30),"")</x:f>
        <x:v>104.73704517892655</x:v>
      </x:c>
      <x:c r="C1004" s="4" t="n">
        <x:f>A1004*PI()*(3-SQRT(5))</x:f>
        <x:v>2395.1633032691957</x:v>
      </x:c>
      <x:c r="D1004" s="4" t="n">
        <x:f>IF('계산 과정'!$L$5,B1004*COS(C1004),"")</x:f>
        <x:v>31.061468700448156</x:v>
      </x:c>
      <x:c r="E1004" s="4" t="n">
        <x:f>IF('계산 과정'!$L$5,B1004*SIN(C1004),"")</x:f>
        <x:v>100.02516580832837</x:v>
      </x:c>
      <x:c r="F1004" s="4" t="n">
        <x:f>IF('계산 과정'!$L$7,'계산 과정'!$L$22+'계산 과정'!$C$49*D1004+'계산 과정'!$D$49*E1004,"")</x:f>
        <x:v>628.0362248482994</x:v>
      </x:c>
      <x:c r="G1004" s="4" t="n">
        <x:f>IF('계산 과정'!$L$7,IF(ABS(F1004)&gt;=1E-12*MAX(1,SQRT((D1004-'계산 과정'!$C$33)^2+(E1004-'계산 과정'!$D$33)^2+'계산 과정'!$E$33^2)),('계산 과정'!$L$23-'계산 과정'!$C$49*D1004-'계산 과정'!$D$49*E1004)/F1004,""),"")</x:f>
        <x:v>0.6718780835510323</x:v>
      </x:c>
      <x:c r="H1004" s="4" t="n">
        <x:f>IF(AND(ISNUMBER(G1004),G1004&gt;0),('계산 과정'!$D$56+'계산 과정'!$D$57*D1004+'계산 과정'!$D$58*E1004)/F1004,"")</x:f>
        <x:v>36.720754308170854</x:v>
      </x:c>
      <x:c r="I1004" s="4" t="n">
        <x:f>IF(AND(ISNUMBER(G1004),G1004&gt;0),('계산 과정'!$E$56+'계산 과정'!$E$57*D1004+'계산 과정'!$E$58*E1004)/F1004,"")</x:f>
        <x:v>167.22988251850228</x:v>
      </x:c>
      <x:c r="J1004" s="4" t="n">
        <x:f>IF('계산 과정'!$L$5,'계산 과정'!$D$6+'계산 과정'!$C$35*D1004+'계산 과정'!$D$35*E1004,"")</x:f>
        <x:v>628.0362248482994</x:v>
      </x:c>
      <x:c r="K1004" s="4" t="n">
        <x:f>IF(AND('계산 과정'!$L$6,J1004&gt;0),'계산 과정'!$D$10*('계산 과정'!$C$38*(D1004-'계산 과정'!$C$32)+'계산 과정'!$D$38*(E1004-'계산 과정'!$D$32)-'계산 과정'!$E$38*'계산 과정'!$E$32)/J1004,"")</x:f>
        <x:v>0.27977717568130256</x:v>
      </x:c>
      <x:c r="L1004" s="4" t="n">
        <x:f>IF(AND('계산 과정'!$L$6,J1004&gt;0),'계산 과정'!$D$10*('계산 과정'!$C$39*(D1004-'계산 과정'!$C$32)+'계산 과정'!$D$39*(E1004-'계산 과정'!$D$32)-'계산 과정'!$E$39*'계산 과정'!$E$32)/J1004,"")</x:f>
        <x:v>1.2741324382362078</x:v>
      </x:c>
      <x:c r="M1004" s="17" t="n">
        <x:f>IF('계산 과정'!$L$6,IF(J1004&lt;=0,0,IF(AND(ABS(K1004)&lt;='계산 과정'!$D$11/2,ABS(L1004)&lt;='계산 과정'!$D$12/2),1,0)),"")</x:f>
        <x:v>1</x:v>
      </x:c>
      <x:c r="N1004" s="17" t="n">
        <x:f>IF('계산 과정'!$C$78,IF(AND(ISNUMBER(H1004),ISNUMBER(I1004),ABS(H1004-'계산 과정'!$C$88)&lt;='계산 과정'!$D$23/2,ABS(I1004-'계산 과정'!$C$89)&lt;='계산 과정'!$D$24/2),1,0),"")</x:f>
        <x:v>1</x:v>
      </x:c>
      <x:c r="O1004" s="4" t="n">
        <x:f>IF('계산 과정'!$L$7,'계산 과정'!$C$49*('계산 과정'!$C$32-D1004)+'계산 과정'!$D$49*('계산 과정'!$D$32-E1004)+'계산 과정'!$E$49*'계산 과정'!$E$32,"")</x:f>
        <x:v>21.963775151700702</x:v>
      </x:c>
      <x:c r="P1004" s="4" t="n">
        <x:f>IF(AND('계산 과정'!$L$7,O1004&lt;&gt;0),('계산 과정'!$L$23-'계산 과정'!$C$49*D1004-'계산 과정'!$D$49*E1004)/O1004,"")</x:f>
        <x:v>19.21180544953025</x:v>
      </x:c>
      <x:c r="Q1004" s="4" t="str">
        <x:f>IF(AND(ISNUMBER(P1004),P1004&gt;1E-9,P1004&lt;1-1E-9),'계산 과정'!$C$47*(D1004-'계산 과정'!$C$50+P1004*('계산 과정'!$C$32-D1004))+'계산 과정'!$D$47*(E1004-'계산 과정'!$D$50+P1004*('계산 과정'!$D$32-E1004))+'계산 과정'!$E$47*(0-'계산 과정'!$E$50+P1004*('계산 과정'!$E$32-0)),"")</x:f>
      </x:c>
      <x:c r="R1004" s="4" t="str">
        <x:f>IF(AND(ISNUMBER(P1004),P1004&gt;1E-9,P1004&lt;1-1E-9),'계산 과정'!$C$48*(D1004-'계산 과정'!$C$50+P1004*('계산 과정'!$C$32-D1004))+'계산 과정'!$D$48*(E1004-'계산 과정'!$D$50+P1004*('계산 과정'!$D$32-E1004))+'계산 과정'!$E$48*(0-'계산 과정'!$E$50+P1004*('계산 과정'!$E$32-0)),"")</x:f>
      </x:c>
      <x:c r="S1004" s="17" t="n">
        <x:f>IF('계산 과정'!$C$78,IF(AND(ISNUMBER(Q1004),ISNUMBER(R1004),ABS(Q1004-'계산 과정'!$C$88)&lt;='계산 과정'!$D$23/2,ABS(R1004-'계산 과정'!$C$89)&lt;='계산 과정'!$D$24/2),1,0),"")</x:f>
        <x:v>0</x:v>
      </x:c>
      <x:c r="T1004" s="4"/>
      <x:c r="U1004" s="4"/>
      <x:c r="V1004" s="4"/>
      <x:c r="W1004" s="4"/>
      <x:c r="X1004" s="4"/>
      <x:c r="Y1004" s="4"/>
      <x:c r="Z1004" s="4"/>
    </x:row>
    <x:row r="1005" ht="23" customHeight="1">
      <x:c r="A1005" s="17" t="n">
        <x:f>ROW()-6</x:f>
        <x:v>999</x:v>
      </x:c>
      <x:c r="B1005" s="4" t="n">
        <x:f>IF('계산 과정'!$L$5,'계산 과정'!$L$11*SQRT((A1005+0.5)/'계산 과정'!$L$30),"")</x:f>
        <x:v>104.78947924738199</x:v>
      </x:c>
      <x:c r="C1005" s="4" t="n">
        <x:f>A1005*PI()*(3-SQRT(5))</x:f>
        <x:v>2397.5632664989243</x:v>
      </x:c>
      <x:c r="D1005" s="4" t="n">
        <x:f>IF('계산 과정'!$L$5,B1005*COS(C1005),"")</x:f>
        <x:v>-90.51508052426911</x:v>
      </x:c>
      <x:c r="E1005" s="4" t="n">
        <x:f>IF('계산 과정'!$L$5,B1005*SIN(C1005),"")</x:f>
        <x:v>-52.80014354736719</x:v>
      </x:c>
      <x:c r="F1005" s="4" t="n">
        <x:f>IF('계산 과정'!$L$7,'계산 과정'!$L$22+'계산 과정'!$C$49*D1005+'계산 과정'!$D$49*E1005,"")</x:f>
        <x:v>714.0038272383571</x:v>
      </x:c>
      <x:c r="G1005" s="4" t="n">
        <x:f>IF('계산 과정'!$L$7,IF(ABS(F1005)&gt;=1E-12*MAX(1,SQRT((D1005-'계산 과정'!$C$33)^2+(E1005-'계산 과정'!$D$33)^2+'계산 과정'!$E$33^2)),('계산 과정'!$L$23-'계산 과정'!$C$49*D1005-'계산 과정'!$D$49*E1005)/F1005,""),"")</x:f>
        <x:v>0.4705803525748844</x:v>
      </x:c>
      <x:c r="H1005" s="4" t="n">
        <x:f>IF(AND(ISNUMBER(G1005),G1005&gt;0),('계산 과정'!$D$56+'계산 과정'!$D$57*D1005+'계산 과정'!$D$58*E1005)/F1005,"")</x:f>
        <x:v>-94.12277082632528</x:v>
      </x:c>
      <x:c r="I1005" s="4" t="n">
        <x:f>IF(AND(ISNUMBER(G1005),G1005&gt;0),('계산 과정'!$E$56+'계산 과정'!$E$57*D1005+'계산 과정'!$E$58*E1005)/F1005,"")</x:f>
        <x:v>-77.64685371389176</x:v>
      </x:c>
      <x:c r="J1005" s="4" t="n">
        <x:f>IF('계산 과정'!$L$5,'계산 과정'!$D$6+'계산 과정'!$C$35*D1005+'계산 과정'!$D$35*E1005,"")</x:f>
        <x:v>714.0038272383571</x:v>
      </x:c>
      <x:c r="K1005" s="4" t="n">
        <x:f>IF(AND('계산 과정'!$L$6,J1005&gt;0),'계산 과정'!$D$10*('계산 과정'!$C$38*(D1005-'계산 과정'!$C$32)+'계산 과정'!$D$38*(E1005-'계산 과정'!$D$32)-'계산 과정'!$E$38*'계산 과정'!$E$32)/J1005,"")</x:f>
        <x:v>-0.7171258729624779</x:v>
      </x:c>
      <x:c r="L1005" s="4" t="n">
        <x:f>IF(AND('계산 과정'!$L$6,J1005&gt;0),'계산 과정'!$D$10*('계산 과정'!$C$39*(D1005-'계산 과정'!$C$32)+'계산 과정'!$D$39*(E1005-'계산 과정'!$D$32)-'계산 과정'!$E$39*'계산 과정'!$E$32)/J1005,"")</x:f>
        <x:v>-0.5915950759153658</x:v>
      </x:c>
      <x:c r="M1005" s="17" t="n">
        <x:f>IF('계산 과정'!$L$6,IF(J1005&lt;=0,0,IF(AND(ABS(K1005)&lt;='계산 과정'!$D$11/2,ABS(L1005)&lt;='계산 과정'!$D$12/2),1,0)),"")</x:f>
        <x:v>1</x:v>
      </x:c>
      <x:c r="N1005" s="17" t="n">
        <x:f>IF('계산 과정'!$C$78,IF(AND(ISNUMBER(H1005),ISNUMBER(I1005),ABS(H1005-'계산 과정'!$C$88)&lt;='계산 과정'!$D$23/2,ABS(I1005-'계산 과정'!$C$89)&lt;='계산 과정'!$D$24/2),1,0),"")</x:f>
        <x:v>1</x:v>
      </x:c>
      <x:c r="O1005" s="4" t="n">
        <x:f>IF('계산 과정'!$L$7,'계산 과정'!$C$49*('계산 과정'!$C$32-D1005)+'계산 과정'!$D$49*('계산 과정'!$D$32-E1005)+'계산 과정'!$E$49*'계산 과정'!$E$32,"")</x:f>
        <x:v>-64.00382723835696</x:v>
      </x:c>
      <x:c r="P1005" s="4" t="n">
        <x:f>IF(AND('계산 과정'!$L$7,O1005&lt;&gt;0),('계산 과정'!$L$23-'계산 과정'!$C$49*D1005-'계산 과정'!$D$49*E1005)/O1005,"")</x:f>
        <x:v>-5.249626268603563</x:v>
      </x:c>
      <x:c r="Q1005" s="4" t="str">
        <x:f>IF(AND(ISNUMBER(P1005),P1005&gt;1E-9,P1005&lt;1-1E-9),'계산 과정'!$C$47*(D1005-'계산 과정'!$C$50+P1005*('계산 과정'!$C$32-D1005))+'계산 과정'!$D$47*(E1005-'계산 과정'!$D$50+P1005*('계산 과정'!$D$32-E1005))+'계산 과정'!$E$47*(0-'계산 과정'!$E$50+P1005*('계산 과정'!$E$32-0)),"")</x:f>
      </x:c>
      <x:c r="R1005" s="4" t="str">
        <x:f>IF(AND(ISNUMBER(P1005),P1005&gt;1E-9,P1005&lt;1-1E-9),'계산 과정'!$C$48*(D1005-'계산 과정'!$C$50+P1005*('계산 과정'!$C$32-D1005))+'계산 과정'!$D$48*(E1005-'계산 과정'!$D$50+P1005*('계산 과정'!$D$32-E1005))+'계산 과정'!$E$48*(0-'계산 과정'!$E$50+P1005*('계산 과정'!$E$32-0)),"")</x:f>
      </x:c>
      <x:c r="S1005" s="17" t="n">
        <x:f>IF('계산 과정'!$C$78,IF(AND(ISNUMBER(Q1005),ISNUMBER(R1005),ABS(Q1005-'계산 과정'!$C$88)&lt;='계산 과정'!$D$23/2,ABS(R1005-'계산 과정'!$C$89)&lt;='계산 과정'!$D$24/2),1,0),"")</x:f>
        <x:v>0</x:v>
      </x:c>
      <x:c r="T1005" s="4"/>
      <x:c r="U1005" s="4"/>
      <x:c r="V1005" s="4"/>
      <x:c r="W1005" s="4"/>
      <x:c r="X1005" s="4"/>
      <x:c r="Y1005" s="4"/>
      <x:c r="Z1005" s="4"/>
    </x:row>
    <x:row r="1006" ht="23" customHeight="1">
      <x:c r="A1006" s="17" t="n">
        <x:f>ROW()-6</x:f>
        <x:v>1000</x:v>
      </x:c>
      <x:c r="B1006" s="4" t="n">
        <x:f>IF('계산 과정'!$L$5,'계산 과정'!$L$11*SQRT((A1006+0.5)/'계산 과정'!$L$30),"")</x:f>
        <x:v>104.84188709224239</x:v>
      </x:c>
      <x:c r="C1006" s="4" t="n">
        <x:f>A1006*PI()*(3-SQRT(5))</x:f>
        <x:v>2399.9632297286525</x:v>
      </x:c>
      <x:c r="D1006" s="4" t="n">
        <x:f>IF('계산 과정'!$L$5,B1006*COS(C1006),"")</x:f>
        <x:v>102.46020517866583</x:v>
      </x:c>
      <x:c r="E1006" s="4" t="n">
        <x:f>IF('계산 과정'!$L$5,B1006*SIN(C1006),"")</x:f>
        <x:v>-22.219982983976372</x:v>
      </x:c>
      <x:c r="F1006" s="4" t="n">
        <x:f>IF('계산 과정'!$L$7,'계산 과정'!$L$22+'계산 과정'!$C$49*D1006+'계산 과정'!$D$49*E1006,"")</x:f>
        <x:v>577.5496941164004</x:v>
      </x:c>
      <x:c r="G1006" s="4" t="n">
        <x:f>IF('계산 과정'!$L$7,IF(ABS(F1006)&gt;=1E-12*MAX(1,SQRT((D1006-'계산 과정'!$C$33)^2+(E1006-'계산 과정'!$D$33)^2+'계산 과정'!$E$33^2)),('계산 과정'!$L$23-'계산 과정'!$C$49*D1006-'계산 과정'!$D$49*E1006)/F1006,""),"")</x:f>
        <x:v>0.8180253763382328</x:v>
      </x:c>
      <x:c r="H1006" s="4" t="n">
        <x:f>IF(AND(ISNUMBER(G1006),G1006&gt;0),('계산 과정'!$D$56+'계산 과정'!$D$57*D1006+'계산 과정'!$D$58*E1006)/F1006,"")</x:f>
        <x:v>131.7164946198512</x:v>
      </x:c>
      <x:c r="I1006" s="4" t="n">
        <x:f>IF(AND(ISNUMBER(G1006),G1006&gt;0),('계산 과정'!$E$56+'계산 과정'!$E$57*D1006+'계산 과정'!$E$58*E1006)/F1006,"")</x:f>
        <x:v>-40.39649292667278</x:v>
      </x:c>
      <x:c r="J1006" s="4" t="n">
        <x:f>IF('계산 과정'!$L$5,'계산 과정'!$D$6+'계산 과정'!$C$35*D1006+'계산 과정'!$D$35*E1006,"")</x:f>
        <x:v>577.5496941164004</x:v>
      </x:c>
      <x:c r="K1006" s="4" t="n">
        <x:f>IF(AND('계산 과정'!$L$6,J1006&gt;0),'계산 과정'!$D$10*('계산 과정'!$C$38*(D1006-'계산 과정'!$C$32)+'계산 과정'!$D$38*(E1006-'계산 과정'!$D$32)-'계산 과정'!$E$38*'계산 과정'!$E$32)/J1006,"")</x:f>
        <x:v>1.0035542447226766</x:v>
      </x:c>
      <x:c r="L1006" s="4" t="n">
        <x:f>IF(AND('계산 과정'!$L$6,J1006&gt;0),'계산 과정'!$D$10*('계산 과정'!$C$39*(D1006-'계산 과정'!$C$32)+'계산 과정'!$D$39*(E1006-'계산 과정'!$D$32)-'계산 과정'!$E$39*'계산 과정'!$E$32)/J1006,"")</x:f>
        <x:v>-0.3077828032508402</x:v>
      </x:c>
      <x:c r="M1006" s="17" t="n">
        <x:f>IF('계산 과정'!$L$6,IF(J1006&lt;=0,0,IF(AND(ABS(K1006)&lt;='계산 과정'!$D$11/2,ABS(L1006)&lt;='계산 과정'!$D$12/2),1,0)),"")</x:f>
        <x:v>1</x:v>
      </x:c>
      <x:c r="N1006" s="17" t="n">
        <x:f>IF('계산 과정'!$C$78,IF(AND(ISNUMBER(H1006),ISNUMBER(I1006),ABS(H1006-'계산 과정'!$C$88)&lt;='계산 과정'!$D$23/2,ABS(I1006-'계산 과정'!$C$89)&lt;='계산 과정'!$D$24/2),1,0),"")</x:f>
        <x:v>1</x:v>
      </x:c>
      <x:c r="O1006" s="4" t="n">
        <x:f>IF('계산 과정'!$L$7,'계산 과정'!$C$49*('계산 과정'!$C$32-D1006)+'계산 과정'!$D$49*('계산 과정'!$D$32-E1006)+'계산 과정'!$E$49*'계산 과정'!$E$32,"")</x:f>
        <x:v>72.45030588359973</x:v>
      </x:c>
      <x:c r="P1006" s="4" t="n">
        <x:f>IF(AND('계산 과정'!$L$7,O1006&lt;&gt;0),('계산 과정'!$L$23-'계산 과정'!$C$49*D1006-'계산 과정'!$D$49*E1006)/O1006,"")</x:f>
        <x:v>6.521025689562289</x:v>
      </x:c>
      <x:c r="Q1006" s="4" t="str">
        <x:f>IF(AND(ISNUMBER(P1006),P1006&gt;1E-9,P1006&lt;1-1E-9),'계산 과정'!$C$47*(D1006-'계산 과정'!$C$50+P1006*('계산 과정'!$C$32-D1006))+'계산 과정'!$D$47*(E1006-'계산 과정'!$D$50+P1006*('계산 과정'!$D$32-E1006))+'계산 과정'!$E$47*(0-'계산 과정'!$E$50+P1006*('계산 과정'!$E$32-0)),"")</x:f>
      </x:c>
      <x:c r="R1006" s="4" t="str">
        <x:f>IF(AND(ISNUMBER(P1006),P1006&gt;1E-9,P1006&lt;1-1E-9),'계산 과정'!$C$48*(D1006-'계산 과정'!$C$50+P1006*('계산 과정'!$C$32-D1006))+'계산 과정'!$D$48*(E1006-'계산 과정'!$D$50+P1006*('계산 과정'!$D$32-E1006))+'계산 과정'!$E$48*(0-'계산 과정'!$E$50+P1006*('계산 과정'!$E$32-0)),"")</x:f>
      </x:c>
      <x:c r="S1006" s="17" t="n">
        <x:f>IF('계산 과정'!$C$78,IF(AND(ISNUMBER(Q1006),ISNUMBER(R1006),ABS(Q1006-'계산 과정'!$C$88)&lt;='계산 과정'!$D$23/2,ABS(R1006-'계산 과정'!$C$89)&lt;='계산 과정'!$D$24/2),1,0),"")</x:f>
        <x:v>0</x:v>
      </x:c>
      <x:c r="T1006" s="4"/>
      <x:c r="U1006" s="4"/>
      <x:c r="V1006" s="4"/>
      <x:c r="W1006" s="4"/>
      <x:c r="X1006" s="4"/>
      <x:c r="Y1006" s="4"/>
      <x:c r="Z1006" s="4"/>
    </x:row>
    <x:row r="1007" ht="23" customHeight="1">
      <x:c r="A1007" s="17" t="n">
        <x:f>ROW()-6</x:f>
        <x:v>1001</x:v>
      </x:c>
      <x:c r="B1007" s="4" t="n">
        <x:f>IF('계산 과정'!$L$5,'계산 과정'!$L$11*SQRT((A1007+0.5)/'계산 과정'!$L$30),"")</x:f>
        <x:v>104.89426875281366</x:v>
      </x:c>
      <x:c r="C1007" s="4" t="n">
        <x:f>A1007*PI()*(3-SQRT(5))</x:f>
        <x:v>2402.3631929583817</x:v>
      </x:c>
      <x:c r="D1007" s="4" t="n">
        <x:f>IF('계산 과정'!$L$5,B1007*COS(C1007),"")</x:f>
        <x:v>-60.57183180363</x:v>
      </x:c>
      <x:c r="E1007" s="4" t="n">
        <x:f>IF('계산 과정'!$L$5,B1007*SIN(C1007),"")</x:f>
        <x:v>85.63796359757896</x:v>
      </x:c>
      <x:c r="F1007" s="4" t="n">
        <x:f>IF('계산 과정'!$L$7,'계산 과정'!$L$22+'계산 과정'!$C$49*D1007+'계산 과정'!$D$49*E1007,"")</x:f>
        <x:v>692.8307530172377</x:v>
      </x:c>
      <x:c r="G1007" s="4" t="n">
        <x:f>IF('계산 과정'!$L$7,IF(ABS(F1007)&gt;=1E-12*MAX(1,SQRT((D1007-'계산 과정'!$C$33)^2+(E1007-'계산 과정'!$D$33)^2+'계산 과정'!$E$33^2)),('계산 과정'!$L$23-'계산 과정'!$C$49*D1007-'계산 과정'!$D$49*E1007)/F1007,""),"")</x:f>
        <x:v>0.5155216413637976</x:v>
      </x:c>
      <x:c r="H1007" s="4" t="n">
        <x:f>IF(AND(ISNUMBER(G1007),G1007&gt;0),('계산 과정'!$D$56+'계산 과정'!$D$57*D1007+'계산 과정'!$D$58*E1007)/F1007,"")</x:f>
        <x:v>-64.91093311353173</x:v>
      </x:c>
      <x:c r="I1007" s="4" t="n">
        <x:f>IF(AND(ISNUMBER(G1007),G1007&gt;0),('계산 과정'!$E$56+'계산 과정'!$E$57*D1007+'계산 과정'!$E$58*E1007)/F1007,"")</x:f>
        <x:v>129.786187154456</x:v>
      </x:c>
      <x:c r="J1007" s="4" t="n">
        <x:f>IF('계산 과정'!$L$5,'계산 과정'!$D$6+'계산 과정'!$C$35*D1007+'계산 과정'!$D$35*E1007,"")</x:f>
        <x:v>692.8307530172377</x:v>
      </x:c>
      <x:c r="K1007" s="4" t="n">
        <x:f>IF(AND('계산 과정'!$L$6,J1007&gt;0),'계산 과정'!$D$10*('계산 과정'!$C$38*(D1007-'계산 과정'!$C$32)+'계산 과정'!$D$38*(E1007-'계산 과정'!$D$32)-'계산 과정'!$E$38*'계산 과정'!$E$32)/J1007,"")</x:f>
        <x:v>-0.49455949038881175</x:v>
      </x:c>
      <x:c r="L1007" s="4" t="n">
        <x:f>IF(AND('계산 과정'!$L$6,J1007&gt;0),'계산 과정'!$D$10*('계산 과정'!$C$39*(D1007-'계산 과정'!$C$32)+'계산 과정'!$D$39*(E1007-'계산 과정'!$D$32)-'계산 과정'!$E$39*'계산 과정'!$E$32)/J1007,"")</x:f>
        <x:v>0.9888471402244268</x:v>
      </x:c>
      <x:c r="M1007" s="17" t="n">
        <x:f>IF('계산 과정'!$L$6,IF(J1007&lt;=0,0,IF(AND(ABS(K1007)&lt;='계산 과정'!$D$11/2,ABS(L1007)&lt;='계산 과정'!$D$12/2),1,0)),"")</x:f>
        <x:v>1</x:v>
      </x:c>
      <x:c r="N1007" s="17" t="n">
        <x:f>IF('계산 과정'!$C$78,IF(AND(ISNUMBER(H1007),ISNUMBER(I1007),ABS(H1007-'계산 과정'!$C$88)&lt;='계산 과정'!$D$23/2,ABS(I1007-'계산 과정'!$C$89)&lt;='계산 과정'!$D$24/2),1,0),"")</x:f>
        <x:v>1</x:v>
      </x:c>
      <x:c r="O1007" s="4" t="n">
        <x:f>IF('계산 과정'!$L$7,'계산 과정'!$C$49*('계산 과정'!$C$32-D1007)+'계산 과정'!$D$49*('계산 과정'!$D$32-E1007)+'계산 과정'!$E$49*'계산 과정'!$E$32,"")</x:f>
        <x:v>-42.83075301723761</x:v>
      </x:c>
      <x:c r="P1007" s="4" t="n">
        <x:f>IF(AND('계산 과정'!$L$7,O1007&lt;&gt;0),('계산 과정'!$L$23-'계산 과정'!$C$49*D1007-'계산 과정'!$D$49*E1007)/O1007,"")</x:f>
        <x:v>-8.339083995068131</x:v>
      </x:c>
      <x:c r="Q1007" s="4" t="str">
        <x:f>IF(AND(ISNUMBER(P1007),P1007&gt;1E-9,P1007&lt;1-1E-9),'계산 과정'!$C$47*(D1007-'계산 과정'!$C$50+P1007*('계산 과정'!$C$32-D1007))+'계산 과정'!$D$47*(E1007-'계산 과정'!$D$50+P1007*('계산 과정'!$D$32-E1007))+'계산 과정'!$E$47*(0-'계산 과정'!$E$50+P1007*('계산 과정'!$E$32-0)),"")</x:f>
      </x:c>
      <x:c r="R1007" s="4" t="str">
        <x:f>IF(AND(ISNUMBER(P1007),P1007&gt;1E-9,P1007&lt;1-1E-9),'계산 과정'!$C$48*(D1007-'계산 과정'!$C$50+P1007*('계산 과정'!$C$32-D1007))+'계산 과정'!$D$48*(E1007-'계산 과정'!$D$50+P1007*('계산 과정'!$D$32-E1007))+'계산 과정'!$E$48*(0-'계산 과정'!$E$50+P1007*('계산 과정'!$E$32-0)),"")</x:f>
      </x:c>
      <x:c r="S1007" s="17" t="n">
        <x:f>IF('계산 과정'!$C$78,IF(AND(ISNUMBER(Q1007),ISNUMBER(R1007),ABS(Q1007-'계산 과정'!$C$88)&lt;='계산 과정'!$D$23/2,ABS(R1007-'계산 과정'!$C$89)&lt;='계산 과정'!$D$24/2),1,0),"")</x:f>
        <x:v>0</x:v>
      </x:c>
      <x:c r="T1007" s="4"/>
      <x:c r="U1007" s="4"/>
      <x:c r="V1007" s="4"/>
      <x:c r="W1007" s="4"/>
      <x:c r="X1007" s="4"/>
      <x:c r="Y1007" s="4"/>
      <x:c r="Z1007" s="4"/>
    </x:row>
    <x:row r="1008" ht="23" customHeight="1">
      <x:c r="A1008" s="17" t="n">
        <x:f>ROW()-6</x:f>
        <x:v>1002</x:v>
      </x:c>
      <x:c r="B1008" s="4" t="n">
        <x:f>IF('계산 과정'!$L$5,'계산 과정'!$L$11*SQRT((A1008+0.5)/'계산 과정'!$L$30),"")</x:f>
        <x:v>104.94662426830364</x:v>
      </x:c>
      <x:c r="C1008" s="4" t="n">
        <x:f>A1008*PI()*(3-SQRT(5))</x:f>
        <x:v>2404.7631561881103</x:v>
      </x:c>
      <x:c r="D1008" s="4" t="n">
        <x:f>IF('계산 과정'!$L$5,B1008*COS(C1008),"")</x:f>
        <x:v>-13.190409969791185</x:v>
      </x:c>
      <x:c r="E1008" s="4" t="n">
        <x:f>IF('계산 과정'!$L$5,B1008*SIN(C1008),"")</x:f>
        <x:v>-104.11439396232075</x:v>
      </x:c>
      <x:c r="F1008" s="4" t="n">
        <x:f>IF('계산 과정'!$L$7,'계산 과정'!$L$22+'계산 과정'!$C$49*D1008+'계산 과정'!$D$49*E1008,"")</x:f>
        <x:v>659.32702833627</x:v>
      </x:c>
      <x:c r="G1008" s="4" t="n">
        <x:f>IF('계산 과정'!$L$7,IF(ABS(F1008)&gt;=1E-12*MAX(1,SQRT((D1008-'계산 과정'!$C$33)^2+(E1008-'계산 과정'!$D$33)^2+'계산 과정'!$E$33^2)),('계산 과정'!$L$23-'계산 과정'!$C$49*D1008-'계산 과정'!$D$49*E1008)/F1008,""),"")</x:f>
        <x:v>0.5925329235319607</x:v>
      </x:c>
      <x:c r="H1008" s="4" t="n">
        <x:f>IF(AND(ISNUMBER(G1008),G1008&gt;0),('계산 과정'!$D$56+'계산 과정'!$D$57*D1008+'계산 과정'!$D$58*E1008)/F1008,"")</x:f>
        <x:v>-14.853599704225605</x:v>
      </x:c>
      <x:c r="I1008" s="4" t="n">
        <x:f>IF(AND(ISNUMBER(G1008),G1008&gt;0),('계산 과정'!$E$56+'계산 과정'!$E$57*D1008+'계산 과정'!$E$58*E1008)/F1008,"")</x:f>
        <x:v>-165.80560019857296</x:v>
      </x:c>
      <x:c r="J1008" s="4" t="n">
        <x:f>IF('계산 과정'!$L$5,'계산 과정'!$D$6+'계산 과정'!$C$35*D1008+'계산 과정'!$D$35*E1008,"")</x:f>
        <x:v>659.32702833627</x:v>
      </x:c>
      <x:c r="K1008" s="4" t="n">
        <x:f>IF(AND('계산 과정'!$L$6,J1008&gt;0),'계산 과정'!$D$10*('계산 과정'!$C$38*(D1008-'계산 과정'!$C$32)+'계산 과정'!$D$38*(E1008-'계산 과정'!$D$32)-'계산 과정'!$E$38*'계산 과정'!$E$32)/J1008,"")</x:f>
        <x:v>-0.11317028346076527</x:v>
      </x:c>
      <x:c r="L1008" s="4" t="n">
        <x:f>IF(AND('계산 과정'!$L$6,J1008&gt;0),'계산 과정'!$D$10*('계산 과정'!$C$39*(D1008-'계산 과정'!$C$32)+'계산 과정'!$D$39*(E1008-'계산 과정'!$D$32)-'계산 과정'!$E$39*'계산 과정'!$E$32)/J1008,"")</x:f>
        <x:v>-1.2632807634176988</x:v>
      </x:c>
      <x:c r="M1008" s="17" t="n">
        <x:f>IF('계산 과정'!$L$6,IF(J1008&lt;=0,0,IF(AND(ABS(K1008)&lt;='계산 과정'!$D$11/2,ABS(L1008)&lt;='계산 과정'!$D$12/2),1,0)),"")</x:f>
        <x:v>1</x:v>
      </x:c>
      <x:c r="N1008" s="17" t="n">
        <x:f>IF('계산 과정'!$C$78,IF(AND(ISNUMBER(H1008),ISNUMBER(I1008),ABS(H1008-'계산 과정'!$C$88)&lt;='계산 과정'!$D$23/2,ABS(I1008-'계산 과정'!$C$89)&lt;='계산 과정'!$D$24/2),1,0),"")</x:f>
        <x:v>1</x:v>
      </x:c>
      <x:c r="O1008" s="4" t="n">
        <x:f>IF('계산 과정'!$L$7,'계산 과정'!$C$49*('계산 과정'!$C$32-D1008)+'계산 과정'!$D$49*('계산 과정'!$D$32-E1008)+'계산 과정'!$E$49*'계산 과정'!$E$32,"")</x:f>
        <x:v>-9.327028336269848</x:v>
      </x:c>
      <x:c r="P1008" s="4" t="n">
        <x:f>IF(AND('계산 과정'!$L$7,O1008&lt;&gt;0),('계산 과정'!$L$23-'계산 과정'!$C$49*D1008-'계산 과정'!$D$49*E1008)/O1008,"")</x:f>
        <x:v>-41.886113945266686</x:v>
      </x:c>
      <x:c r="Q1008" s="4" t="str">
        <x:f>IF(AND(ISNUMBER(P1008),P1008&gt;1E-9,P1008&lt;1-1E-9),'계산 과정'!$C$47*(D1008-'계산 과정'!$C$50+P1008*('계산 과정'!$C$32-D1008))+'계산 과정'!$D$47*(E1008-'계산 과정'!$D$50+P1008*('계산 과정'!$D$32-E1008))+'계산 과정'!$E$47*(0-'계산 과정'!$E$50+P1008*('계산 과정'!$E$32-0)),"")</x:f>
      </x:c>
      <x:c r="R1008" s="4" t="str">
        <x:f>IF(AND(ISNUMBER(P1008),P1008&gt;1E-9,P1008&lt;1-1E-9),'계산 과정'!$C$48*(D1008-'계산 과정'!$C$50+P1008*('계산 과정'!$C$32-D1008))+'계산 과정'!$D$48*(E1008-'계산 과정'!$D$50+P1008*('계산 과정'!$D$32-E1008))+'계산 과정'!$E$48*(0-'계산 과정'!$E$50+P1008*('계산 과정'!$E$32-0)),"")</x:f>
      </x:c>
      <x:c r="S1008" s="17" t="n">
        <x:f>IF('계산 과정'!$C$78,IF(AND(ISNUMBER(Q1008),ISNUMBER(R1008),ABS(Q1008-'계산 과정'!$C$88)&lt;='계산 과정'!$D$23/2,ABS(R1008-'계산 과정'!$C$89)&lt;='계산 과정'!$D$24/2),1,0),"")</x:f>
        <x:v>0</x:v>
      </x:c>
      <x:c r="T1008" s="4"/>
      <x:c r="U1008" s="4"/>
      <x:c r="V1008" s="4"/>
      <x:c r="W1008" s="4"/>
      <x:c r="X1008" s="4"/>
      <x:c r="Y1008" s="4"/>
      <x:c r="Z1008" s="4"/>
    </x:row>
    <x:row r="1009" ht="23" customHeight="1">
      <x:c r="A1009" s="17" t="n">
        <x:f>ROW()-6</x:f>
        <x:v>1003</x:v>
      </x:c>
      <x:c r="B1009" s="4" t="n">
        <x:f>IF('계산 과정'!$L$5,'계산 과정'!$L$11*SQRT((A1009+0.5)/'계산 과정'!$L$30),"")</x:f>
        <x:v>104.99895367782243</x:v>
      </x:c>
      <x:c r="C1009" s="4" t="n">
        <x:f>A1009*PI()*(3-SQRT(5))</x:f>
        <x:v>2407.163119417839</x:v>
      </x:c>
      <x:c r="D1009" s="4" t="n">
        <x:f>IF('계산 과정'!$L$5,B1009*COS(C1009),"")</x:f>
        <x:v>80.09437787496704</x:v>
      </x:c>
      <x:c r="E1009" s="4" t="n">
        <x:f>IF('계산 과정'!$L$5,B1009*SIN(C1009),"")</x:f>
        <x:v>67.89455726536178</x:v>
      </x:c>
      <x:c r="F1009" s="4" t="n">
        <x:f>IF('계산 과정'!$L$7,'계산 과정'!$L$22+'계산 과정'!$C$49*D1009+'계산 과정'!$D$49*E1009,"")</x:f>
        <x:v>593.3647222696931</x:v>
      </x:c>
      <x:c r="G1009" s="4" t="n">
        <x:f>IF('계산 과정'!$L$7,IF(ABS(F1009)&gt;=1E-12*MAX(1,SQRT((D1009-'계산 과정'!$C$33)^2+(E1009-'계산 과정'!$D$33)^2+'계산 과정'!$E$33^2)),('계산 과정'!$L$23-'계산 과정'!$C$49*D1009-'계산 과정'!$D$49*E1009)/F1009,""),"")</x:f>
        <x:v>0.7695693063511103</x:v>
      </x:c>
      <x:c r="H1009" s="4" t="n">
        <x:f>IF(AND(ISNUMBER(G1009),G1009&gt;0),('계산 과정'!$D$56+'계산 과정'!$D$57*D1009+'계산 과정'!$D$58*E1009)/F1009,"")</x:f>
        <x:v>100.22004912822169</x:v>
      </x:c>
      <x:c r="I1009" s="4" t="n">
        <x:f>IF(AND(ISNUMBER(G1009),G1009&gt;0),('계산 과정'!$E$56+'계산 과정'!$E$57*D1009+'계산 과정'!$E$58*E1009)/F1009,"")</x:f>
        <x:v>120.14412460508198</x:v>
      </x:c>
      <x:c r="J1009" s="4" t="n">
        <x:f>IF('계산 과정'!$L$5,'계산 과정'!$D$6+'계산 과정'!$C$35*D1009+'계산 과정'!$D$35*E1009,"")</x:f>
        <x:v>593.3647222696931</x:v>
      </x:c>
      <x:c r="K1009" s="4" t="n">
        <x:f>IF(AND('계산 과정'!$L$6,J1009&gt;0),'계산 과정'!$D$10*('계산 과정'!$C$38*(D1009-'계산 과정'!$C$32)+'계산 과정'!$D$38*(E1009-'계산 과정'!$D$32)-'계산 과정'!$E$38*'계산 과정'!$E$32)/J1009,"")</x:f>
        <x:v>0.763581326691214</x:v>
      </x:c>
      <x:c r="L1009" s="4" t="n">
        <x:f>IF(AND('계산 과정'!$L$6,J1009&gt;0),'계산 과정'!$D$10*('계산 과정'!$C$39*(D1009-'계산 과정'!$C$32)+'계산 과정'!$D$39*(E1009-'계산 과정'!$D$32)-'계산 과정'!$E$39*'계산 과정'!$E$32)/J1009,"")</x:f>
        <x:v>0.9153838065149104</x:v>
      </x:c>
      <x:c r="M1009" s="17" t="n">
        <x:f>IF('계산 과정'!$L$6,IF(J1009&lt;=0,0,IF(AND(ABS(K1009)&lt;='계산 과정'!$D$11/2,ABS(L1009)&lt;='계산 과정'!$D$12/2),1,0)),"")</x:f>
        <x:v>1</x:v>
      </x:c>
      <x:c r="N1009" s="17" t="n">
        <x:f>IF('계산 과정'!$C$78,IF(AND(ISNUMBER(H1009),ISNUMBER(I1009),ABS(H1009-'계산 과정'!$C$88)&lt;='계산 과정'!$D$23/2,ABS(I1009-'계산 과정'!$C$89)&lt;='계산 과정'!$D$24/2),1,0),"")</x:f>
        <x:v>1</x:v>
      </x:c>
      <x:c r="O1009" s="4" t="n">
        <x:f>IF('계산 과정'!$L$7,'계산 과정'!$C$49*('계산 과정'!$C$32-D1009)+'계산 과정'!$D$49*('계산 과정'!$D$32-E1009)+'계산 과정'!$E$49*'계산 과정'!$E$32,"")</x:f>
        <x:v>56.63527773030711</x:v>
      </x:c>
      <x:c r="P1009" s="4" t="n">
        <x:f>IF(AND('계산 과정'!$L$7,O1009&lt;&gt;0),('계산 과정'!$L$23-'계산 과정'!$C$49*D1009-'계산 과정'!$D$49*E1009)/O1009,"")</x:f>
        <x:v>8.062735736986573</x:v>
      </x:c>
      <x:c r="Q1009" s="4" t="str">
        <x:f>IF(AND(ISNUMBER(P1009),P1009&gt;1E-9,P1009&lt;1-1E-9),'계산 과정'!$C$47*(D1009-'계산 과정'!$C$50+P1009*('계산 과정'!$C$32-D1009))+'계산 과정'!$D$47*(E1009-'계산 과정'!$D$50+P1009*('계산 과정'!$D$32-E1009))+'계산 과정'!$E$47*(0-'계산 과정'!$E$50+P1009*('계산 과정'!$E$32-0)),"")</x:f>
      </x:c>
      <x:c r="R1009" s="4" t="str">
        <x:f>IF(AND(ISNUMBER(P1009),P1009&gt;1E-9,P1009&lt;1-1E-9),'계산 과정'!$C$48*(D1009-'계산 과정'!$C$50+P1009*('계산 과정'!$C$32-D1009))+'계산 과정'!$D$48*(E1009-'계산 과정'!$D$50+P1009*('계산 과정'!$D$32-E1009))+'계산 과정'!$E$48*(0-'계산 과정'!$E$50+P1009*('계산 과정'!$E$32-0)),"")</x:f>
      </x:c>
      <x:c r="S1009" s="17" t="n">
        <x:f>IF('계산 과정'!$C$78,IF(AND(ISNUMBER(Q1009),ISNUMBER(R1009),ABS(Q1009-'계산 과정'!$C$88)&lt;='계산 과정'!$D$23/2,ABS(R1009-'계산 과정'!$C$89)&lt;='계산 과정'!$D$24/2),1,0),"")</x:f>
        <x:v>0</x:v>
      </x:c>
      <x:c r="T1009" s="4"/>
      <x:c r="U1009" s="4"/>
      <x:c r="V1009" s="4"/>
      <x:c r="W1009" s="4"/>
      <x:c r="X1009" s="4"/>
      <x:c r="Y1009" s="4"/>
      <x:c r="Z1009" s="4"/>
    </x:row>
    <x:row r="1010" ht="23" customHeight="1">
      <x:c r="A1010" s="17" t="n">
        <x:f>ROW()-6</x:f>
        <x:v>1004</x:v>
      </x:c>
      <x:c r="B1010" s="4" t="n">
        <x:f>IF('계산 과정'!$L$5,'계산 과정'!$L$11*SQRT((A1010+0.5)/'계산 과정'!$L$30),"")</x:f>
        <x:v>105.05125702038268</x:v>
      </x:c>
      <x:c r="C1010" s="4" t="n">
        <x:f>A1010*PI()*(3-SQRT(5))</x:f>
        <x:v>2409.5630826475676</x:v>
      </x:c>
      <x:c r="D1010" s="4" t="n">
        <x:f>IF('계산 과정'!$L$5,B1010*COS(C1010),"")</x:f>
        <x:v>-104.97348063892305</x:v>
      </x:c>
      <x:c r="E1010" s="4" t="n">
        <x:f>IF('계산 과정'!$L$5,B1010*SIN(C1010),"")</x:f>
        <x:v>4.041653635846268</x:v>
      </x:c>
      <x:c r="F1010" s="4" t="n">
        <x:f>IF('계산 과정'!$L$7,'계산 과정'!$L$22+'계산 과정'!$C$49*D1010+'계산 과정'!$D$49*E1010,"")</x:f>
        <x:v>724.2274600045372</x:v>
      </x:c>
      <x:c r="G1010" s="4" t="n">
        <x:f>IF('계산 과정'!$L$7,IF(ABS(F1010)&gt;=1E-12*MAX(1,SQRT((D1010-'계산 과정'!$C$33)^2+(E1010-'계산 과정'!$D$33)^2+'계산 과정'!$E$33^2)),('계산 과정'!$L$23-'계산 과정'!$C$49*D1010-'계산 과정'!$D$49*E1010)/F1010,""),"")</x:f>
        <x:v>0.4498207510571635</x:v>
      </x:c>
      <x:c r="H1010" s="4" t="n">
        <x:f>IF(AND(ISNUMBER(G1010),G1010&gt;0),('계산 과정'!$D$56+'계산 과정'!$D$57*D1010+'계산 과정'!$D$58*E1010)/F1010,"")</x:f>
        <x:v>-107.61651181284388</x:v>
      </x:c>
      <x:c r="I1010" s="4" t="n">
        <x:f>IF(AND(ISNUMBER(G1010),G1010&gt;0),('계산 과정'!$E$56+'계산 과정'!$E$57*D1010+'계산 과정'!$E$58*E1010)/F1010,"")</x:f>
        <x:v>5.859673309835553</x:v>
      </x:c>
      <x:c r="J1010" s="4" t="n">
        <x:f>IF('계산 과정'!$L$5,'계산 과정'!$D$6+'계산 과정'!$C$35*D1010+'계산 과정'!$D$35*E1010,"")</x:f>
        <x:v>724.2274600045372</x:v>
      </x:c>
      <x:c r="K1010" s="4" t="n">
        <x:f>IF(AND('계산 과정'!$L$6,J1010&gt;0),'계산 과정'!$D$10*('계산 과정'!$C$38*(D1010-'계산 과정'!$C$32)+'계산 과정'!$D$38*(E1010-'계산 과정'!$D$32)-'계산 과정'!$E$38*'계산 과정'!$E$32)/J1010,"")</x:f>
        <x:v>-0.8199353280978573</x:v>
      </x:c>
      <x:c r="L1010" s="4" t="n">
        <x:f>IF(AND('계산 과정'!$L$6,J1010&gt;0),'계산 과정'!$D$10*('계산 과정'!$C$39*(D1010-'계산 과정'!$C$32)+'계산 과정'!$D$39*(E1010-'계산 과정'!$D$32)-'계산 과정'!$E$39*'계산 과정'!$E$32)/J1010,"")</x:f>
        <x:v>0.044645129979699445</x:v>
      </x:c>
      <x:c r="M1010" s="17" t="n">
        <x:f>IF('계산 과정'!$L$6,IF(J1010&lt;=0,0,IF(AND(ABS(K1010)&lt;='계산 과정'!$D$11/2,ABS(L1010)&lt;='계산 과정'!$D$12/2),1,0)),"")</x:f>
        <x:v>1</x:v>
      </x:c>
      <x:c r="N1010" s="17" t="n">
        <x:f>IF('계산 과정'!$C$78,IF(AND(ISNUMBER(H1010),ISNUMBER(I1010),ABS(H1010-'계산 과정'!$C$88)&lt;='계산 과정'!$D$23/2,ABS(I1010-'계산 과정'!$C$89)&lt;='계산 과정'!$D$24/2),1,0),"")</x:f>
        <x:v>1</x:v>
      </x:c>
      <x:c r="O1010" s="4" t="n">
        <x:f>IF('계산 과정'!$L$7,'계산 과정'!$C$49*('계산 과정'!$C$32-D1010)+'계산 과정'!$D$49*('계산 과정'!$D$32-E1010)+'계산 과정'!$E$49*'계산 과정'!$E$32,"")</x:f>
        <x:v>-74.22746000453714</x:v>
      </x:c>
      <x:c r="P1010" s="4" t="n">
        <x:f>IF(AND('계산 과정'!$L$7,O1010&lt;&gt;0),('계산 과정'!$L$23-'계산 과정'!$C$49*D1010-'계산 과정'!$D$49*E1010)/O1010,"")</x:f>
        <x:v>-4.388841272159252</x:v>
      </x:c>
      <x:c r="Q1010" s="4" t="str">
        <x:f>IF(AND(ISNUMBER(P1010),P1010&gt;1E-9,P1010&lt;1-1E-9),'계산 과정'!$C$47*(D1010-'계산 과정'!$C$50+P1010*('계산 과정'!$C$32-D1010))+'계산 과정'!$D$47*(E1010-'계산 과정'!$D$50+P1010*('계산 과정'!$D$32-E1010))+'계산 과정'!$E$47*(0-'계산 과정'!$E$50+P1010*('계산 과정'!$E$32-0)),"")</x:f>
      </x:c>
      <x:c r="R1010" s="4" t="str">
        <x:f>IF(AND(ISNUMBER(P1010),P1010&gt;1E-9,P1010&lt;1-1E-9),'계산 과정'!$C$48*(D1010-'계산 과정'!$C$50+P1010*('계산 과정'!$C$32-D1010))+'계산 과정'!$D$48*(E1010-'계산 과정'!$D$50+P1010*('계산 과정'!$D$32-E1010))+'계산 과정'!$E$48*(0-'계산 과정'!$E$50+P1010*('계산 과정'!$E$32-0)),"")</x:f>
      </x:c>
      <x:c r="S1010" s="17" t="n">
        <x:f>IF('계산 과정'!$C$78,IF(AND(ISNUMBER(Q1010),ISNUMBER(R1010),ABS(Q1010-'계산 과정'!$C$88)&lt;='계산 과정'!$D$23/2,ABS(R1010-'계산 과정'!$C$89)&lt;='계산 과정'!$D$24/2),1,0),"")</x:f>
        <x:v>0</x:v>
      </x:c>
      <x:c r="T1010" s="4"/>
      <x:c r="U1010" s="4"/>
      <x:c r="V1010" s="4"/>
      <x:c r="W1010" s="4"/>
      <x:c r="X1010" s="4"/>
      <x:c r="Y1010" s="4"/>
      <x:c r="Z1010" s="4"/>
    </x:row>
    <x:row r="1011" ht="23" customHeight="1">
      <x:c r="A1011" s="17" t="n">
        <x:f>ROW()-6</x:f>
        <x:v>1005</x:v>
      </x:c>
      <x:c r="B1011" s="4" t="n">
        <x:f>IF('계산 과정'!$L$5,'계산 과정'!$L$11*SQRT((A1011+0.5)/'계산 과정'!$L$30),"")</x:f>
        <x:v>105.10353433489998</x:v>
      </x:c>
      <x:c r="C1011" s="4" t="n">
        <x:f>A1011*PI()*(3-SQRT(5))</x:f>
        <x:v>2411.9630458772963</x:v>
      </x:c>
      <x:c r="D1011" s="4" t="n">
        <x:f>IF('계산 과정'!$L$5,B1011*COS(C1011),"")</x:f>
        <x:v>74.71124037263439</x:v>
      </x:c>
      <x:c r="E1011" s="4" t="n">
        <x:f>IF('계산 과정'!$L$5,B1011*SIN(C1011),"")</x:f>
        <x:v>-73.92552665804921</x:v>
      </x:c>
      <x:c r="F1011" s="4" t="n">
        <x:f>IF('계산 과정'!$L$7,'계산 과정'!$L$22+'계산 과정'!$C$49*D1011+'계산 과정'!$D$49*E1011,"")</x:f>
        <x:v>597.171175301652</x:v>
      </x:c>
      <x:c r="G1011" s="4" t="n">
        <x:f>IF('계산 과정'!$L$7,IF(ABS(F1011)&gt;=1E-12*MAX(1,SQRT((D1011-'계산 과정'!$C$33)^2+(E1011-'계산 과정'!$D$33)^2+'계산 과정'!$E$33^2)),('계산 과정'!$L$23-'계산 과정'!$C$49*D1011-'계산 과정'!$D$49*E1011)/F1011,""),"")</x:f>
        <x:v>0.7582898227959651</x:v>
      </x:c>
      <x:c r="H1011" s="4" t="n">
        <x:f>IF(AND(ISNUMBER(G1011),G1011&gt;0),('계산 과정'!$D$56+'계산 과정'!$D$57*D1011+'계산 과정'!$D$58*E1011)/F1011,"")</x:f>
        <x:v>92.88838481737722</x:v>
      </x:c>
      <x:c r="I1011" s="4" t="n">
        <x:f>IF(AND(ISNUMBER(G1011),G1011&gt;0),('계산 과정'!$E$56+'계산 과정'!$E$57*D1011+'계산 과정'!$E$58*E1011)/F1011,"")</x:f>
        <x:v>-129.98250116767971</x:v>
      </x:c>
      <x:c r="J1011" s="4" t="n">
        <x:f>IF('계산 과정'!$L$5,'계산 과정'!$D$6+'계산 과정'!$C$35*D1011+'계산 과정'!$D$35*E1011,"")</x:f>
        <x:v>597.171175301652</x:v>
      </x:c>
      <x:c r="K1011" s="4" t="n">
        <x:f>IF(AND('계산 과정'!$L$6,J1011&gt;0),'계산 과정'!$D$10*('계산 과정'!$C$38*(D1011-'계산 과정'!$C$32)+'계산 과정'!$D$38*(E1011-'계산 과정'!$D$32)-'계산 과정'!$E$38*'계산 과정'!$E$32)/J1011,"")</x:f>
        <x:v>0.7077210271800176</x:v>
      </x:c>
      <x:c r="L1011" s="4" t="n">
        <x:f>IF(AND('계산 과정'!$L$6,J1011&gt;0),'계산 과정'!$D$10*('계산 과정'!$C$39*(D1011-'계산 과정'!$C$32)+'계산 과정'!$D$39*(E1011-'계산 과정'!$D$32)-'계산 과정'!$E$39*'계산 과정'!$E$32)/J1011,"")</x:f>
        <x:v>-0.9903428660394646</x:v>
      </x:c>
      <x:c r="M1011" s="17" t="n">
        <x:f>IF('계산 과정'!$L$6,IF(J1011&lt;=0,0,IF(AND(ABS(K1011)&lt;='계산 과정'!$D$11/2,ABS(L1011)&lt;='계산 과정'!$D$12/2),1,0)),"")</x:f>
        <x:v>1</x:v>
      </x:c>
      <x:c r="N1011" s="17" t="n">
        <x:f>IF('계산 과정'!$C$78,IF(AND(ISNUMBER(H1011),ISNUMBER(I1011),ABS(H1011-'계산 과정'!$C$88)&lt;='계산 과정'!$D$23/2,ABS(I1011-'계산 과정'!$C$89)&lt;='계산 과정'!$D$24/2),1,0),"")</x:f>
        <x:v>1</x:v>
      </x:c>
      <x:c r="O1011" s="4" t="n">
        <x:f>IF('계산 과정'!$L$7,'계산 과정'!$C$49*('계산 과정'!$C$32-D1011)+'계산 과정'!$D$49*('계산 과정'!$D$32-E1011)+'계산 과정'!$E$49*'계산 과정'!$E$32,"")</x:f>
        <x:v>52.82882469834806</x:v>
      </x:c>
      <x:c r="P1011" s="4" t="n">
        <x:f>IF(AND('계산 과정'!$L$7,O1011&lt;&gt;0),('계산 과정'!$L$23-'계산 과정'!$C$49*D1011-'계산 과정'!$D$49*E1011)/O1011,"")</x:f>
        <x:v>8.57162405720731</x:v>
      </x:c>
      <x:c r="Q1011" s="4" t="str">
        <x:f>IF(AND(ISNUMBER(P1011),P1011&gt;1E-9,P1011&lt;1-1E-9),'계산 과정'!$C$47*(D1011-'계산 과정'!$C$50+P1011*('계산 과정'!$C$32-D1011))+'계산 과정'!$D$47*(E1011-'계산 과정'!$D$50+P1011*('계산 과정'!$D$32-E1011))+'계산 과정'!$E$47*(0-'계산 과정'!$E$50+P1011*('계산 과정'!$E$32-0)),"")</x:f>
      </x:c>
      <x:c r="R1011" s="4" t="str">
        <x:f>IF(AND(ISNUMBER(P1011),P1011&gt;1E-9,P1011&lt;1-1E-9),'계산 과정'!$C$48*(D1011-'계산 과정'!$C$50+P1011*('계산 과정'!$C$32-D1011))+'계산 과정'!$D$48*(E1011-'계산 과정'!$D$50+P1011*('계산 과정'!$D$32-E1011))+'계산 과정'!$E$48*(0-'계산 과정'!$E$50+P1011*('계산 과정'!$E$32-0)),"")</x:f>
      </x:c>
      <x:c r="S1011" s="17" t="n">
        <x:f>IF('계산 과정'!$C$78,IF(AND(ISNUMBER(Q1011),ISNUMBER(R1011),ABS(Q1011-'계산 과정'!$C$88)&lt;='계산 과정'!$D$23/2,ABS(R1011-'계산 과정'!$C$89)&lt;='계산 과정'!$D$24/2),1,0),"")</x:f>
        <x:v>0</x:v>
      </x:c>
      <x:c r="T1011" s="4"/>
      <x:c r="U1011" s="4"/>
      <x:c r="V1011" s="4"/>
      <x:c r="W1011" s="4"/>
      <x:c r="X1011" s="4"/>
      <x:c r="Y1011" s="4"/>
      <x:c r="Z1011" s="4"/>
    </x:row>
    <x:row r="1012" ht="23" customHeight="1">
      <x:c r="A1012" s="17" t="n">
        <x:f>ROW()-6</x:f>
        <x:v>1006</x:v>
      </x:c>
      <x:c r="B1012" s="4" t="n">
        <x:f>IF('계산 과정'!$L$5,'계산 과정'!$L$11*SQRT((A1012+0.5)/'계산 과정'!$L$30),"")</x:f>
        <x:v>105.15578566019323</x:v>
      </x:c>
      <x:c r="C1012" s="4" t="n">
        <x:f>A1012*PI()*(3-SQRT(5))</x:f>
        <x:v>2414.363009107025</x:v>
      </x:c>
      <x:c r="D1012" s="4" t="n">
        <x:f>IF('계산 과정'!$L$5,B1012*COS(C1012),"")</x:f>
        <x:v>-5.156329889381558</x:v>
      </x:c>
      <x:c r="E1012" s="4" t="n">
        <x:f>IF('계산 과정'!$L$5,B1012*SIN(C1012),"")</x:f>
        <x:v>105.02928886688879</x:v>
      </x:c>
      <x:c r="F1012" s="4" t="n">
        <x:f>IF('계산 과정'!$L$7,'계산 과정'!$L$22+'계산 과정'!$C$49*D1012+'계산 과정'!$D$49*E1012,"")</x:f>
        <x:v>653.6460758308166</x:v>
      </x:c>
      <x:c r="G1012" s="4" t="n">
        <x:f>IF('계산 과정'!$L$7,IF(ABS(F1012)&gt;=1E-12*MAX(1,SQRT((D1012-'계산 과정'!$C$33)^2+(E1012-'계산 과정'!$D$33)^2+'계산 과정'!$E$33^2)),('계산 과정'!$L$23-'계산 과정'!$C$49*D1012-'계산 과정'!$D$49*E1012)/F1012,""),"")</x:f>
        <x:v>0.6063739060398977</x:v>
      </x:c>
      <x:c r="H1012" s="4" t="n">
        <x:f>IF(AND(ISNUMBER(G1012),G1012&gt;0),('계산 과정'!$D$56+'계산 과정'!$D$57*D1012+'계산 과정'!$D$58*E1012)/F1012,"")</x:f>
        <x:v>-5.856961074066611</x:v>
      </x:c>
      <x:c r="I1012" s="4" t="n">
        <x:f>IF(AND(ISNUMBER(G1012),G1012&gt;0),('계산 과정'!$E$56+'계산 과정'!$E$57*D1012+'계산 과정'!$E$58*E1012)/F1012,"")</x:f>
        <x:v>168.71630900569687</x:v>
      </x:c>
      <x:c r="J1012" s="4" t="n">
        <x:f>IF('계산 과정'!$L$5,'계산 과정'!$D$6+'계산 과정'!$C$35*D1012+'계산 과정'!$D$35*E1012,"")</x:f>
        <x:v>653.6460758308166</x:v>
      </x:c>
      <x:c r="K1012" s="4" t="n">
        <x:f>IF(AND('계산 과정'!$L$6,J1012&gt;0),'계산 과정'!$D$10*('계산 과정'!$C$38*(D1012-'계산 과정'!$C$32)+'계산 과정'!$D$38*(E1012-'계산 과정'!$D$32)-'계산 과정'!$E$38*'계산 과정'!$E$32)/J1012,"")</x:f>
        <x:v>-0.044624465326220976</x:v>
      </x:c>
      <x:c r="L1012" s="4" t="n">
        <x:f>IF(AND('계산 과정'!$L$6,J1012&gt;0),'계산 과정'!$D$10*('계산 과정'!$C$39*(D1012-'계산 과정'!$C$32)+'계산 과정'!$D$39*(E1012-'계산 과정'!$D$32)-'계산 과정'!$E$39*'계산 과정'!$E$32)/J1012,"")</x:f>
        <x:v>1.2854575924243572</x:v>
      </x:c>
      <x:c r="M1012" s="17" t="n">
        <x:f>IF('계산 과정'!$L$6,IF(J1012&lt;=0,0,IF(AND(ABS(K1012)&lt;='계산 과정'!$D$11/2,ABS(L1012)&lt;='계산 과정'!$D$12/2),1,0)),"")</x:f>
        <x:v>1</x:v>
      </x:c>
      <x:c r="N1012" s="17" t="n">
        <x:f>IF('계산 과정'!$C$78,IF(AND(ISNUMBER(H1012),ISNUMBER(I1012),ABS(H1012-'계산 과정'!$C$88)&lt;='계산 과정'!$D$23/2,ABS(I1012-'계산 과정'!$C$89)&lt;='계산 과정'!$D$24/2),1,0),"")</x:f>
        <x:v>1</x:v>
      </x:c>
      <x:c r="O1012" s="4" t="n">
        <x:f>IF('계산 과정'!$L$7,'계산 과정'!$C$49*('계산 과정'!$C$32-D1012)+'계산 과정'!$D$49*('계산 과정'!$D$32-E1012)+'계산 과정'!$E$49*'계산 과정'!$E$32,"")</x:f>
        <x:v>-3.6460758308164714</x:v>
      </x:c>
      <x:c r="P1012" s="4" t="n">
        <x:f>IF(AND('계산 과정'!$L$7,O1012&lt;&gt;0),('계산 과정'!$L$23-'계산 과정'!$C$49*D1012-'계산 과정'!$D$49*E1012)/O1012,"")</x:f>
        <x:v>-108.70698870802894</x:v>
      </x:c>
      <x:c r="Q1012" s="4" t="str">
        <x:f>IF(AND(ISNUMBER(P1012),P1012&gt;1E-9,P1012&lt;1-1E-9),'계산 과정'!$C$47*(D1012-'계산 과정'!$C$50+P1012*('계산 과정'!$C$32-D1012))+'계산 과정'!$D$47*(E1012-'계산 과정'!$D$50+P1012*('계산 과정'!$D$32-E1012))+'계산 과정'!$E$47*(0-'계산 과정'!$E$50+P1012*('계산 과정'!$E$32-0)),"")</x:f>
      </x:c>
      <x:c r="R1012" s="4" t="str">
        <x:f>IF(AND(ISNUMBER(P1012),P1012&gt;1E-9,P1012&lt;1-1E-9),'계산 과정'!$C$48*(D1012-'계산 과정'!$C$50+P1012*('계산 과정'!$C$32-D1012))+'계산 과정'!$D$48*(E1012-'계산 과정'!$D$50+P1012*('계산 과정'!$D$32-E1012))+'계산 과정'!$E$48*(0-'계산 과정'!$E$50+P1012*('계산 과정'!$E$32-0)),"")</x:f>
      </x:c>
      <x:c r="S1012" s="17" t="n">
        <x:f>IF('계산 과정'!$C$78,IF(AND(ISNUMBER(Q1012),ISNUMBER(R1012),ABS(Q1012-'계산 과정'!$C$88)&lt;='계산 과정'!$D$23/2,ABS(R1012-'계산 과정'!$C$89)&lt;='계산 과정'!$D$24/2),1,0),"")</x:f>
        <x:v>0</x:v>
      </x:c>
      <x:c r="T1012" s="4"/>
      <x:c r="U1012" s="4"/>
      <x:c r="V1012" s="4"/>
      <x:c r="W1012" s="4"/>
      <x:c r="X1012" s="4"/>
      <x:c r="Y1012" s="4"/>
      <x:c r="Z1012" s="4"/>
    </x:row>
    <x:row r="1013" ht="23" customHeight="1">
      <x:c r="A1013" s="17" t="n">
        <x:f>ROW()-6</x:f>
        <x:v>1007</x:v>
      </x:c>
      <x:c r="B1013" s="4" t="n">
        <x:f>IF('계산 과정'!$L$5,'계산 과정'!$L$11*SQRT((A1013+0.5)/'계산 과정'!$L$30),"")</x:f>
        <x:v>105.20801103498488</x:v>
      </x:c>
      <x:c r="C1013" s="4" t="n">
        <x:f>A1013*PI()*(3-SQRT(5))</x:f>
        <x:v>2416.762972336753</x:v>
      </x:c>
      <x:c r="D1013" s="4" t="n">
        <x:f>IF('계산 과정'!$L$5,B1013*COS(C1013),"")</x:f>
        <x:v>-67.17749504123157</x:v>
      </x:c>
      <x:c r="E1013" s="4" t="n">
        <x:f>IF('계산 과정'!$L$5,B1013*SIN(C1013),"")</x:f>
        <x:v>-80.96857258172956</x:v>
      </x:c>
      <x:c r="F1013" s="4" t="n">
        <x:f>IF('계산 과정'!$L$7,'계산 과정'!$L$22+'계산 과정'!$C$49*D1013+'계산 과정'!$D$49*E1013,"")</x:f>
        <x:v>697.5016622867805</x:v>
      </x:c>
      <x:c r="G1013" s="4" t="n">
        <x:f>IF('계산 과정'!$L$7,IF(ABS(F1013)&gt;=1E-12*MAX(1,SQRT((D1013-'계산 과정'!$C$33)^2+(E1013-'계산 과정'!$D$33)^2+'계산 과정'!$E$33^2)),('계산 과정'!$L$23-'계산 과정'!$C$49*D1013-'계산 과정'!$D$49*E1013)/F1013,""),"")</x:f>
        <x:v>0.5053727564713508</x:v>
      </x:c>
      <x:c r="H1013" s="4" t="n">
        <x:f>IF(AND(ISNUMBER(G1013),G1013&gt;0),('계산 과정'!$D$56+'계산 과정'!$D$57*D1013+'계산 과정'!$D$58*E1013)/F1013,"")</x:f>
        <x:v>-71.50770829362212</x:v>
      </x:c>
      <x:c r="I1013" s="4" t="n">
        <x:f>IF(AND(ISNUMBER(G1013),G1013&gt;0),('계산 과정'!$E$56+'계산 과정'!$E$57*D1013+'계산 과정'!$E$58*E1013)/F1013,"")</x:f>
        <x:v>-121.88788329490887</x:v>
      </x:c>
      <x:c r="J1013" s="4" t="n">
        <x:f>IF('계산 과정'!$L$5,'계산 과정'!$D$6+'계산 과정'!$C$35*D1013+'계산 과정'!$D$35*E1013,"")</x:f>
        <x:v>697.5016622867805</x:v>
      </x:c>
      <x:c r="K1013" s="4" t="n">
        <x:f>IF(AND('계산 과정'!$L$6,J1013&gt;0),'계산 과정'!$D$10*('계산 과정'!$C$38*(D1013-'계산 과정'!$C$32)+'계산 과정'!$D$38*(E1013-'계산 과정'!$D$32)-'계산 과정'!$E$38*'계산 과정'!$E$32)/J1013,"")</x:f>
        <x:v>-0.5448206346180716</x:v>
      </x:c>
      <x:c r="L1013" s="4" t="n">
        <x:f>IF(AND('계산 과정'!$L$6,J1013&gt;0),'계산 과정'!$D$10*('계산 과정'!$C$39*(D1013-'계산 과정'!$C$32)+'계산 과정'!$D$39*(E1013-'계산 과정'!$D$32)-'계산 과정'!$E$39*'계산 과정'!$E$32)/J1013,"")</x:f>
        <x:v>-0.9286695870088294</x:v>
      </x:c>
      <x:c r="M1013" s="17" t="n">
        <x:f>IF('계산 과정'!$L$6,IF(J1013&lt;=0,0,IF(AND(ABS(K1013)&lt;='계산 과정'!$D$11/2,ABS(L1013)&lt;='계산 과정'!$D$12/2),1,0)),"")</x:f>
        <x:v>1</x:v>
      </x:c>
      <x:c r="N1013" s="17" t="n">
        <x:f>IF('계산 과정'!$C$78,IF(AND(ISNUMBER(H1013),ISNUMBER(I1013),ABS(H1013-'계산 과정'!$C$88)&lt;='계산 과정'!$D$23/2,ABS(I1013-'계산 과정'!$C$89)&lt;='계산 과정'!$D$24/2),1,0),"")</x:f>
        <x:v>1</x:v>
      </x:c>
      <x:c r="O1013" s="4" t="n">
        <x:f>IF('계산 과정'!$L$7,'계산 과정'!$C$49*('계산 과정'!$C$32-D1013)+'계산 과정'!$D$49*('계산 과정'!$D$32-E1013)+'계산 과정'!$E$49*'계산 과정'!$E$32,"")</x:f>
        <x:v>-47.501662286780345</x:v>
      </x:c>
      <x:c r="P1013" s="4" t="n">
        <x:f>IF(AND('계산 과정'!$L$7,O1013&lt;&gt;0),('계산 과정'!$L$23-'계산 과정'!$C$49*D1013-'계산 과정'!$D$49*E1013)/O1013,"")</x:f>
        <x:v>-7.420757942850336</x:v>
      </x:c>
      <x:c r="Q1013" s="4" t="str">
        <x:f>IF(AND(ISNUMBER(P1013),P1013&gt;1E-9,P1013&lt;1-1E-9),'계산 과정'!$C$47*(D1013-'계산 과정'!$C$50+P1013*('계산 과정'!$C$32-D1013))+'계산 과정'!$D$47*(E1013-'계산 과정'!$D$50+P1013*('계산 과정'!$D$32-E1013))+'계산 과정'!$E$47*(0-'계산 과정'!$E$50+P1013*('계산 과정'!$E$32-0)),"")</x:f>
      </x:c>
      <x:c r="R1013" s="4" t="str">
        <x:f>IF(AND(ISNUMBER(P1013),P1013&gt;1E-9,P1013&lt;1-1E-9),'계산 과정'!$C$48*(D1013-'계산 과정'!$C$50+P1013*('계산 과정'!$C$32-D1013))+'계산 과정'!$D$48*(E1013-'계산 과정'!$D$50+P1013*('계산 과정'!$D$32-E1013))+'계산 과정'!$E$48*(0-'계산 과정'!$E$50+P1013*('계산 과정'!$E$32-0)),"")</x:f>
      </x:c>
      <x:c r="S1013" s="17" t="n">
        <x:f>IF('계산 과정'!$C$78,IF(AND(ISNUMBER(Q1013),ISNUMBER(R1013),ABS(Q1013-'계산 과정'!$C$88)&lt;='계산 과정'!$D$23/2,ABS(R1013-'계산 과정'!$C$89)&lt;='계산 과정'!$D$24/2),1,0),"")</x:f>
        <x:v>0</x:v>
      </x:c>
      <x:c r="T1013" s="4"/>
      <x:c r="U1013" s="4"/>
      <x:c r="V1013" s="4"/>
      <x:c r="W1013" s="4"/>
      <x:c r="X1013" s="4"/>
      <x:c r="Y1013" s="4"/>
      <x:c r="Z1013" s="4"/>
    </x:row>
    <x:row r="1014" ht="23" customHeight="1">
      <x:c r="A1014" s="17" t="n">
        <x:f>ROW()-6</x:f>
        <x:v>1008</x:v>
      </x:c>
      <x:c r="B1014" s="4" t="n">
        <x:f>IF('계산 과정'!$L$5,'계산 과정'!$L$11*SQRT((A1014+0.5)/'계산 과정'!$L$30),"")</x:f>
        <x:v>105.26021049790134</x:v>
      </x:c>
      <x:c r="C1014" s="4" t="n">
        <x:f>A1014*PI()*(3-SQRT(5))</x:f>
        <x:v>2419.1629355664822</x:v>
      </x:c>
      <x:c r="D1014" s="4" t="n">
        <x:f>IF('계산 과정'!$L$5,B1014*COS(C1014),"")</x:f>
        <x:v>104.2797923347644</x:v>
      </x:c>
      <x:c r="E1014" s="4" t="n">
        <x:f>IF('계산 과정'!$L$5,B1014*SIN(C1014),"")</x:f>
        <x:v>14.333067525164152</x:v>
      </x:c>
      <x:c r="F1014" s="4" t="n">
        <x:f>IF('계산 과정'!$L$7,'계산 과정'!$L$22+'계산 과정'!$C$49*D1014+'계산 과정'!$D$49*E1014,"")</x:f>
        <x:v>576.2630516993631</x:v>
      </x:c>
      <x:c r="G1014" s="4" t="n">
        <x:f>IF('계산 과정'!$L$7,IF(ABS(F1014)&gt;=1E-12*MAX(1,SQRT((D1014-'계산 과정'!$C$33)^2+(E1014-'계산 과정'!$D$33)^2+'계산 과정'!$E$33^2)),('계산 과정'!$L$23-'계산 과정'!$C$49*D1014-'계산 과정'!$D$49*E1014)/F1014,""),"")</x:f>
        <x:v>0.822084544382321</x:v>
      </x:c>
      <x:c r="H1014" s="4" t="n">
        <x:f>IF(AND(ISNUMBER(G1014),G1014&gt;0),('계산 과정'!$D$56+'계산 과정'!$D$57*D1014+'계산 과정'!$D$58*E1014)/F1014,"")</x:f>
        <x:v>134.35495384850861</x:v>
      </x:c>
      <x:c r="I1014" s="4" t="n">
        <x:f>IF(AND(ISNUMBER(G1014),G1014&gt;0),('계산 과정'!$E$56+'계산 과정'!$E$57*D1014+'계산 과정'!$E$58*E1014)/F1014,"")</x:f>
        <x:v>26.116060811189765</x:v>
      </x:c>
      <x:c r="J1014" s="4" t="n">
        <x:f>IF('계산 과정'!$L$5,'계산 과정'!$D$6+'계산 과정'!$C$35*D1014+'계산 과정'!$D$35*E1014,"")</x:f>
        <x:v>576.2630516993631</x:v>
      </x:c>
      <x:c r="K1014" s="4" t="n">
        <x:f>IF(AND('계산 과정'!$L$6,J1014&gt;0),'계산 과정'!$D$10*('계산 과정'!$C$38*(D1014-'계산 과정'!$C$32)+'계산 과정'!$D$38*(E1014-'계산 과정'!$D$32)-'계산 과정'!$E$38*'계산 과정'!$E$32)/J1014,"")</x:f>
        <x:v>1.0236567912267334</x:v>
      </x:c>
      <x:c r="L1014" s="4" t="n">
        <x:f>IF(AND('계산 과정'!$L$6,J1014&gt;0),'계산 과정'!$D$10*('계산 과정'!$C$39*(D1014-'계산 과정'!$C$32)+'계산 과정'!$D$39*(E1014-'계산 과정'!$D$32)-'계산 과정'!$E$39*'계산 과정'!$E$32)/J1014,"")</x:f>
        <x:v>0.1989795109423982</x:v>
      </x:c>
      <x:c r="M1014" s="17" t="n">
        <x:f>IF('계산 과정'!$L$6,IF(J1014&lt;=0,0,IF(AND(ABS(K1014)&lt;='계산 과정'!$D$11/2,ABS(L1014)&lt;='계산 과정'!$D$12/2),1,0)),"")</x:f>
        <x:v>1</x:v>
      </x:c>
      <x:c r="N1014" s="17" t="n">
        <x:f>IF('계산 과정'!$C$78,IF(AND(ISNUMBER(H1014),ISNUMBER(I1014),ABS(H1014-'계산 과정'!$C$88)&lt;='계산 과정'!$D$23/2,ABS(I1014-'계산 과정'!$C$89)&lt;='계산 과정'!$D$24/2),1,0),"")</x:f>
        <x:v>1</x:v>
      </x:c>
      <x:c r="O1014" s="4" t="n">
        <x:f>IF('계산 과정'!$L$7,'계산 과정'!$C$49*('계산 과정'!$C$32-D1014)+'계산 과정'!$D$49*('계산 과정'!$D$32-E1014)+'계산 과정'!$E$49*'계산 과정'!$E$32,"")</x:f>
        <x:v>73.73694830063698</x:v>
      </x:c>
      <x:c r="P1014" s="4" t="n">
        <x:f>IF(AND('계산 과정'!$L$7,O1014&lt;&gt;0),('계산 과정'!$L$23-'계산 과정'!$C$49*D1014-'계산 과정'!$D$49*E1014)/O1014,"")</x:f>
        <x:v>6.4246888326478855</x:v>
      </x:c>
      <x:c r="Q1014" s="4" t="str">
        <x:f>IF(AND(ISNUMBER(P1014),P1014&gt;1E-9,P1014&lt;1-1E-9),'계산 과정'!$C$47*(D1014-'계산 과정'!$C$50+P1014*('계산 과정'!$C$32-D1014))+'계산 과정'!$D$47*(E1014-'계산 과정'!$D$50+P1014*('계산 과정'!$D$32-E1014))+'계산 과정'!$E$47*(0-'계산 과정'!$E$50+P1014*('계산 과정'!$E$32-0)),"")</x:f>
      </x:c>
      <x:c r="R1014" s="4" t="str">
        <x:f>IF(AND(ISNUMBER(P1014),P1014&gt;1E-9,P1014&lt;1-1E-9),'계산 과정'!$C$48*(D1014-'계산 과정'!$C$50+P1014*('계산 과정'!$C$32-D1014))+'계산 과정'!$D$48*(E1014-'계산 과정'!$D$50+P1014*('계산 과정'!$D$32-E1014))+'계산 과정'!$E$48*(0-'계산 과정'!$E$50+P1014*('계산 과정'!$E$32-0)),"")</x:f>
      </x:c>
      <x:c r="S1014" s="17" t="n">
        <x:f>IF('계산 과정'!$C$78,IF(AND(ISNUMBER(Q1014),ISNUMBER(R1014),ABS(Q1014-'계산 과정'!$C$88)&lt;='계산 과정'!$D$23/2,ABS(R1014-'계산 과정'!$C$89)&lt;='계산 과정'!$D$24/2),1,0),"")</x:f>
        <x:v>0</x:v>
      </x:c>
      <x:c r="T1014" s="4"/>
      <x:c r="U1014" s="4"/>
      <x:c r="V1014" s="4"/>
      <x:c r="W1014" s="4"/>
      <x:c r="X1014" s="4"/>
      <x:c r="Y1014" s="4"/>
      <x:c r="Z1014" s="4"/>
    </x:row>
    <x:row r="1015" ht="23" customHeight="1">
      <x:c r="A1015" s="17" t="n">
        <x:f>ROW()-6</x:f>
        <x:v>1009</x:v>
      </x:c>
      <x:c r="B1015" s="4" t="n">
        <x:f>IF('계산 과정'!$L$5,'계산 과정'!$L$11*SQRT((A1015+0.5)/'계산 과정'!$L$30),"")</x:f>
        <x:v>105.3123840874733</x:v>
      </x:c>
      <x:c r="C1015" s="4" t="n">
        <x:f>A1015*PI()*(3-SQRT(5))</x:f>
        <x:v>2421.562898796211</x:v>
      </x:c>
      <x:c r="D1015" s="4" t="n">
        <x:f>IF('계산 과정'!$L$5,B1015*COS(C1015),"")</x:f>
        <x:v>-86.61743326564601</x:v>
      </x:c>
      <x:c r="E1015" s="4" t="n">
        <x:f>IF('계산 과정'!$L$5,B1015*SIN(C1015),"")</x:f>
        <x:v>59.90090564139127</x:v>
      </x:c>
      <x:c r="F1015" s="4" t="n">
        <x:f>IF('계산 과정'!$L$7,'계산 과정'!$L$22+'계산 과정'!$C$49*D1015+'계산 과정'!$D$49*E1015,"")</x:f>
        <x:v>711.2477744311116</x:v>
      </x:c>
      <x:c r="G1015" s="4" t="n">
        <x:f>IF('계산 과정'!$L$7,IF(ABS(F1015)&gt;=1E-12*MAX(1,SQRT((D1015-'계산 과정'!$C$33)^2+(E1015-'계산 과정'!$D$33)^2+'계산 과정'!$E$33^2)),('계산 과정'!$L$23-'계산 과정'!$C$49*D1015-'계산 과정'!$D$49*E1015)/F1015,""),"")</x:f>
        <x:v>0.47627878461881723</x:v>
      </x:c>
      <x:c r="H1015" s="4" t="n">
        <x:f>IF(AND(ISNUMBER(G1015),G1015&gt;0),('계산 과정'!$D$56+'계산 과정'!$D$57*D1015+'계산 과정'!$D$58*E1015)/F1015,"")</x:f>
        <x:v>-90.41878999776894</x:v>
      </x:c>
      <x:c r="I1015" s="4" t="n">
        <x:f>IF(AND(ISNUMBER(G1015),G1015&gt;0),('계산 과정'!$E$56+'계산 과정'!$E$57*D1015+'계산 과정'!$E$58*E1015)/F1015,"")</x:f>
        <x:v>88.43043617783955</x:v>
      </x:c>
      <x:c r="J1015" s="4" t="n">
        <x:f>IF('계산 과정'!$L$5,'계산 과정'!$D$6+'계산 과정'!$C$35*D1015+'계산 과정'!$D$35*E1015,"")</x:f>
        <x:v>711.2477744311116</x:v>
      </x:c>
      <x:c r="K1015" s="4" t="n">
        <x:f>IF(AND('계산 과정'!$L$6,J1015&gt;0),'계산 과정'!$D$10*('계산 과정'!$C$38*(D1015-'계산 과정'!$C$32)+'계산 과정'!$D$38*(E1015-'계산 과정'!$D$32)-'계산 과정'!$E$38*'계산 과정'!$E$32)/J1015,"")</x:f>
        <x:v>-0.6889050666496668</x:v>
      </x:c>
      <x:c r="L1015" s="4" t="n">
        <x:f>IF(AND('계산 과정'!$L$6,J1015&gt;0),'계산 과정'!$D$10*('계산 과정'!$C$39*(D1015-'계산 과정'!$C$32)+'계산 과정'!$D$39*(E1015-'계산 과정'!$D$32)-'계산 과정'!$E$39*'계산 과정'!$E$32)/J1015,"")</x:f>
        <x:v>0.6737557042121108</x:v>
      </x:c>
      <x:c r="M1015" s="17" t="n">
        <x:f>IF('계산 과정'!$L$6,IF(J1015&lt;=0,0,IF(AND(ABS(K1015)&lt;='계산 과정'!$D$11/2,ABS(L1015)&lt;='계산 과정'!$D$12/2),1,0)),"")</x:f>
        <x:v>1</x:v>
      </x:c>
      <x:c r="N1015" s="17" t="n">
        <x:f>IF('계산 과정'!$C$78,IF(AND(ISNUMBER(H1015),ISNUMBER(I1015),ABS(H1015-'계산 과정'!$C$88)&lt;='계산 과정'!$D$23/2,ABS(I1015-'계산 과정'!$C$89)&lt;='계산 과정'!$D$24/2),1,0),"")</x:f>
        <x:v>1</x:v>
      </x:c>
      <x:c r="O1015" s="4" t="n">
        <x:f>IF('계산 과정'!$L$7,'계산 과정'!$C$49*('계산 과정'!$C$32-D1015)+'계산 과정'!$D$49*('계산 과정'!$D$32-E1015)+'계산 과정'!$E$49*'계산 과정'!$E$32,"")</x:f>
        <x:v>-61.247774431111395</x:v>
      </x:c>
      <x:c r="P1015" s="4" t="n">
        <x:f>IF(AND('계산 과정'!$L$7,O1015&lt;&gt;0),('계산 과정'!$L$23-'계산 과정'!$C$49*D1015-'계산 과정'!$D$49*E1015)/O1015,"")</x:f>
        <x:v>-5.530849548662393</x:v>
      </x:c>
      <x:c r="Q1015" s="4" t="str">
        <x:f>IF(AND(ISNUMBER(P1015),P1015&gt;1E-9,P1015&lt;1-1E-9),'계산 과정'!$C$47*(D1015-'계산 과정'!$C$50+P1015*('계산 과정'!$C$32-D1015))+'계산 과정'!$D$47*(E1015-'계산 과정'!$D$50+P1015*('계산 과정'!$D$32-E1015))+'계산 과정'!$E$47*(0-'계산 과정'!$E$50+P1015*('계산 과정'!$E$32-0)),"")</x:f>
      </x:c>
      <x:c r="R1015" s="4" t="str">
        <x:f>IF(AND(ISNUMBER(P1015),P1015&gt;1E-9,P1015&lt;1-1E-9),'계산 과정'!$C$48*(D1015-'계산 과정'!$C$50+P1015*('계산 과정'!$C$32-D1015))+'계산 과정'!$D$48*(E1015-'계산 과정'!$D$50+P1015*('계산 과정'!$D$32-E1015))+'계산 과정'!$E$48*(0-'계산 과정'!$E$50+P1015*('계산 과정'!$E$32-0)),"")</x:f>
      </x:c>
      <x:c r="S1015" s="17" t="n">
        <x:f>IF('계산 과정'!$C$78,IF(AND(ISNUMBER(Q1015),ISNUMBER(R1015),ABS(Q1015-'계산 과정'!$C$88)&lt;='계산 과정'!$D$23/2,ABS(R1015-'계산 과정'!$C$89)&lt;='계산 과정'!$D$24/2),1,0),"")</x:f>
        <x:v>0</x:v>
      </x:c>
      <x:c r="T1015" s="4"/>
      <x:c r="U1015" s="4"/>
      <x:c r="V1015" s="4"/>
      <x:c r="W1015" s="4"/>
      <x:c r="X1015" s="4"/>
      <x:c r="Y1015" s="4"/>
      <x:c r="Z1015" s="4"/>
    </x:row>
    <x:row r="1016" ht="23" customHeight="1">
      <x:c r="A1016" s="17" t="n">
        <x:f>ROW()-6</x:f>
        <x:v>1010</x:v>
      </x:c>
      <x:c r="B1016" s="4" t="n">
        <x:f>IF('계산 과정'!$L$5,'계산 과정'!$L$11*SQRT((A1016+0.5)/'계산 과정'!$L$30),"")</x:f>
        <x:v>105.36453184213605</x:v>
      </x:c>
      <x:c r="C1016" s="4" t="n">
        <x:f>A1016*PI()*(3-SQRT(5))</x:f>
        <x:v>2423.9628620259396</x:v>
      </x:c>
      <x:c r="D1016" s="4" t="n">
        <x:f>IF('계산 과정'!$L$5,B1016*COS(C1016),"")</x:f>
        <x:v>23.418109466211355</x:v>
      </x:c>
      <x:c r="E1016" s="4" t="n">
        <x:f>IF('계산 과정'!$L$5,B1016*SIN(C1016),"")</x:f>
        <x:v>-102.72914250270486</x:v>
      </x:c>
      <x:c r="F1016" s="4" t="n">
        <x:f>IF('계산 과정'!$L$7,'계산 과정'!$L$22+'계산 과정'!$C$49*D1016+'계산 과정'!$D$49*E1016,"")</x:f>
        <x:v>633.440895993873</x:v>
      </x:c>
      <x:c r="G1016" s="4" t="n">
        <x:f>IF('계산 과정'!$L$7,IF(ABS(F1016)&gt;=1E-12*MAX(1,SQRT((D1016-'계산 과정'!$C$33)^2+(E1016-'계산 과정'!$D$33)^2+'계산 과정'!$E$33^2)),('계산 과정'!$L$23-'계산 과정'!$C$49*D1016-'계산 과정'!$D$49*E1016)/F1016,""),"")</x:f>
        <x:v>0.6576132148091621</x:v>
      </x:c>
      <x:c r="H1016" s="4" t="n">
        <x:f>IF(AND(ISNUMBER(G1016),G1016&gt;0),('계산 과정'!$D$56+'계산 과정'!$D$57*D1016+'계산 과정'!$D$58*E1016)/F1016,"")</x:f>
        <x:v>27.44858962595523</x:v>
      </x:c>
      <x:c r="I1016" s="4" t="n">
        <x:f>IF(AND(ISNUMBER(G1016),G1016&gt;0),('계산 과정'!$E$56+'계산 과정'!$E$57*D1016+'계산 과정'!$E$58*E1016)/F1016,"")</x:f>
        <x:v>-170.28518415849715</x:v>
      </x:c>
      <x:c r="J1016" s="4" t="n">
        <x:f>IF('계산 과정'!$L$5,'계산 과정'!$D$6+'계산 과정'!$C$35*D1016+'계산 과정'!$D$35*E1016,"")</x:f>
        <x:v>633.440895993873</x:v>
      </x:c>
      <x:c r="K1016" s="4" t="n">
        <x:f>IF(AND('계산 과정'!$L$6,J1016&gt;0),'계산 과정'!$D$10*('계산 과정'!$C$38*(D1016-'계산 과정'!$C$32)+'계산 과정'!$D$38*(E1016-'계산 과정'!$D$32)-'계산 과정'!$E$38*'계산 과정'!$E$32)/J1016,"")</x:f>
        <x:v>0.20913211143585073</x:v>
      </x:c>
      <x:c r="L1016" s="4" t="n">
        <x:f>IF(AND('계산 과정'!$L$6,J1016&gt;0),'계산 과정'!$D$10*('계산 과정'!$C$39*(D1016-'계산 과정'!$C$32)+'계산 과정'!$D$39*(E1016-'계산 과정'!$D$32)-'계산 과정'!$E$39*'계산 과정'!$E$32)/J1016,"")</x:f>
        <x:v>-1.297410926921883</x:v>
      </x:c>
      <x:c r="M1016" s="17" t="n">
        <x:f>IF('계산 과정'!$L$6,IF(J1016&lt;=0,0,IF(AND(ABS(K1016)&lt;='계산 과정'!$D$11/2,ABS(L1016)&lt;='계산 과정'!$D$12/2),1,0)),"")</x:f>
        <x:v>1</x:v>
      </x:c>
      <x:c r="N1016" s="17" t="n">
        <x:f>IF('계산 과정'!$C$78,IF(AND(ISNUMBER(H1016),ISNUMBER(I1016),ABS(H1016-'계산 과정'!$C$88)&lt;='계산 과정'!$D$23/2,ABS(I1016-'계산 과정'!$C$89)&lt;='계산 과정'!$D$24/2),1,0),"")</x:f>
        <x:v>1</x:v>
      </x:c>
      <x:c r="O1016" s="4" t="n">
        <x:f>IF('계산 과정'!$L$7,'계산 과정'!$C$49*('계산 과정'!$C$32-D1016)+'계산 과정'!$D$49*('계산 과정'!$D$32-E1016)+'계산 과정'!$E$49*'계산 과정'!$E$32,"")</x:f>
        <x:v>16.55910400612703</x:v>
      </x:c>
      <x:c r="P1016" s="4" t="n">
        <x:f>IF(AND('계산 과정'!$L$7,O1016&lt;&gt;0),('계산 과정'!$L$23-'계산 과정'!$C$49*D1016-'계산 과정'!$D$49*E1016)/O1016,"")</x:f>
        <x:v>25.1558963487394</x:v>
      </x:c>
      <x:c r="Q1016" s="4" t="str">
        <x:f>IF(AND(ISNUMBER(P1016),P1016&gt;1E-9,P1016&lt;1-1E-9),'계산 과정'!$C$47*(D1016-'계산 과정'!$C$50+P1016*('계산 과정'!$C$32-D1016))+'계산 과정'!$D$47*(E1016-'계산 과정'!$D$50+P1016*('계산 과정'!$D$32-E1016))+'계산 과정'!$E$47*(0-'계산 과정'!$E$50+P1016*('계산 과정'!$E$32-0)),"")</x:f>
      </x:c>
      <x:c r="R1016" s="4" t="str">
        <x:f>IF(AND(ISNUMBER(P1016),P1016&gt;1E-9,P1016&lt;1-1E-9),'계산 과정'!$C$48*(D1016-'계산 과정'!$C$50+P1016*('계산 과정'!$C$32-D1016))+'계산 과정'!$D$48*(E1016-'계산 과정'!$D$50+P1016*('계산 과정'!$D$32-E1016))+'계산 과정'!$E$48*(0-'계산 과정'!$E$50+P1016*('계산 과정'!$E$32-0)),"")</x:f>
      </x:c>
      <x:c r="S1016" s="17" t="n">
        <x:f>IF('계산 과정'!$C$78,IF(AND(ISNUMBER(Q1016),ISNUMBER(R1016),ABS(Q1016-'계산 과정'!$C$88)&lt;='계산 과정'!$D$23/2,ABS(R1016-'계산 과정'!$C$89)&lt;='계산 과정'!$D$24/2),1,0),"")</x:f>
        <x:v>0</x:v>
      </x:c>
      <x:c r="T1016" s="4"/>
      <x:c r="U1016" s="4"/>
      <x:c r="V1016" s="4"/>
      <x:c r="W1016" s="4"/>
      <x:c r="X1016" s="4"/>
      <x:c r="Y1016" s="4"/>
      <x:c r="Z1016" s="4"/>
    </x:row>
    <x:row r="1017" ht="23" customHeight="1">
      <x:c r="A1017" s="17" t="n">
        <x:f>ROW()-6</x:f>
        <x:v>1011</x:v>
      </x:c>
      <x:c r="B1017" s="4" t="n">
        <x:f>IF('계산 과정'!$L$5,'계산 과정'!$L$11*SQRT((A1017+0.5)/'계산 과정'!$L$30),"")</x:f>
        <x:v>105.41665380022978</x:v>
      </x:c>
      <x:c r="C1017" s="4" t="n">
        <x:f>A1017*PI()*(3-SQRT(5))</x:f>
        <x:v>2426.3628252556678</x:v>
      </x:c>
      <x:c r="D1017" s="4" t="n">
        <x:f>IF('계산 과정'!$L$5,B1017*COS(C1017),"")</x:f>
        <x:v>52.150538782236396</x:v>
      </x:c>
      <x:c r="E1017" s="4" t="n">
        <x:f>IF('계산 과정'!$L$5,B1017*SIN(C1017),"")</x:f>
        <x:v>91.61327525615465</x:v>
      </x:c>
      <x:c r="F1017" s="4" t="n">
        <x:f>IF('계산 과정'!$L$7,'계산 과정'!$L$22+'계산 과정'!$C$49*D1017+'계산 과정'!$D$49*E1017,"")</x:f>
        <x:v>613.1240003845486</x:v>
      </x:c>
      <x:c r="G1017" s="4" t="n">
        <x:f>IF('계산 과정'!$L$7,IF(ABS(F1017)&gt;=1E-12*MAX(1,SQRT((D1017-'계산 과정'!$C$33)^2+(E1017-'계산 과정'!$D$33)^2+'계산 과정'!$E$33^2)),('계산 과정'!$L$23-'계산 과정'!$C$49*D1017-'계산 과정'!$D$49*E1017)/F1017,""),"")</x:f>
        <x:v>0.7125410183607961</x:v>
      </x:c>
      <x:c r="H1017" s="4" t="n">
        <x:f>IF(AND(ISNUMBER(G1017),G1017&gt;0),('계산 과정'!$D$56+'계산 과정'!$D$57*D1017+'계산 과정'!$D$58*E1017)/F1017,"")</x:f>
        <x:v>63.15166193451735</x:v>
      </x:c>
      <x:c r="I1017" s="4" t="n">
        <x:f>IF(AND(ISNUMBER(G1017),G1017&gt;0),('계산 과정'!$E$56+'계산 과정'!$E$57*D1017+'계산 과정'!$E$58*E1017)/F1017,"")</x:f>
        <x:v>156.891491702543</x:v>
      </x:c>
      <x:c r="J1017" s="4" t="n">
        <x:f>IF('계산 과정'!$L$5,'계산 과정'!$D$6+'계산 과정'!$C$35*D1017+'계산 과정'!$D$35*E1017,"")</x:f>
        <x:v>613.1240003845486</x:v>
      </x:c>
      <x:c r="K1017" s="4" t="n">
        <x:f>IF(AND('계산 과정'!$L$6,J1017&gt;0),'계산 과정'!$D$10*('계산 과정'!$C$38*(D1017-'계산 과정'!$C$32)+'계산 과정'!$D$38*(E1017-'계산 과정'!$D$32)-'계산 과정'!$E$38*'계산 과정'!$E$32)/J1017,"")</x:f>
        <x:v>0.48115551950108554</x:v>
      </x:c>
      <x:c r="L1017" s="4" t="n">
        <x:f>IF(AND('계산 과정'!$L$6,J1017&gt;0),'계산 과정'!$D$10*('계산 과정'!$C$39*(D1017-'계산 과정'!$C$32)+'계산 과정'!$D$39*(E1017-'계산 과정'!$D$32)-'계산 과정'!$E$39*'계산 과정'!$E$32)/J1017,"")</x:f>
        <x:v>1.1953637463050897</x:v>
      </x:c>
      <x:c r="M1017" s="17" t="n">
        <x:f>IF('계산 과정'!$L$6,IF(J1017&lt;=0,0,IF(AND(ABS(K1017)&lt;='계산 과정'!$D$11/2,ABS(L1017)&lt;='계산 과정'!$D$12/2),1,0)),"")</x:f>
        <x:v>1</x:v>
      </x:c>
      <x:c r="N1017" s="17" t="n">
        <x:f>IF('계산 과정'!$C$78,IF(AND(ISNUMBER(H1017),ISNUMBER(I1017),ABS(H1017-'계산 과정'!$C$88)&lt;='계산 과정'!$D$23/2,ABS(I1017-'계산 과정'!$C$89)&lt;='계산 과정'!$D$24/2),1,0),"")</x:f>
        <x:v>1</x:v>
      </x:c>
      <x:c r="O1017" s="4" t="n">
        <x:f>IF('계산 과정'!$L$7,'계산 과정'!$C$49*('계산 과정'!$C$32-D1017)+'계산 과정'!$D$49*('계산 과정'!$D$32-E1017)+'계산 과정'!$E$49*'계산 과정'!$E$32,"")</x:f>
        <x:v>36.87599961545146</x:v>
      </x:c>
      <x:c r="P1017" s="4" t="n">
        <x:f>IF(AND('계산 과정'!$L$7,O1017&lt;&gt;0),('계산 과정'!$L$23-'계산 과정'!$C$49*D1017-'계산 과정'!$D$49*E1017)/O1017,"")</x:f>
        <x:v>11.847163579869314</x:v>
      </x:c>
      <x:c r="Q1017" s="4" t="str">
        <x:f>IF(AND(ISNUMBER(P1017),P1017&gt;1E-9,P1017&lt;1-1E-9),'계산 과정'!$C$47*(D1017-'계산 과정'!$C$50+P1017*('계산 과정'!$C$32-D1017))+'계산 과정'!$D$47*(E1017-'계산 과정'!$D$50+P1017*('계산 과정'!$D$32-E1017))+'계산 과정'!$E$47*(0-'계산 과정'!$E$50+P1017*('계산 과정'!$E$32-0)),"")</x:f>
      </x:c>
      <x:c r="R1017" s="4" t="str">
        <x:f>IF(AND(ISNUMBER(P1017),P1017&gt;1E-9,P1017&lt;1-1E-9),'계산 과정'!$C$48*(D1017-'계산 과정'!$C$50+P1017*('계산 과정'!$C$32-D1017))+'계산 과정'!$D$48*(E1017-'계산 과정'!$D$50+P1017*('계산 과정'!$D$32-E1017))+'계산 과정'!$E$48*(0-'계산 과정'!$E$50+P1017*('계산 과정'!$E$32-0)),"")</x:f>
      </x:c>
      <x:c r="S1017" s="17" t="n">
        <x:f>IF('계산 과정'!$C$78,IF(AND(ISNUMBER(Q1017),ISNUMBER(R1017),ABS(Q1017-'계산 과정'!$C$88)&lt;='계산 과정'!$D$23/2,ABS(R1017-'계산 과정'!$C$89)&lt;='계산 과정'!$D$24/2),1,0),"")</x:f>
        <x:v>0</x:v>
      </x:c>
      <x:c r="T1017" s="4"/>
      <x:c r="U1017" s="4"/>
      <x:c r="V1017" s="4"/>
      <x:c r="W1017" s="4"/>
      <x:c r="X1017" s="4"/>
      <x:c r="Y1017" s="4"/>
      <x:c r="Z1017" s="4"/>
    </x:row>
    <x:row r="1018" ht="23" customHeight="1">
      <x:c r="A1018" s="17" t="n">
        <x:f>ROW()-6</x:f>
        <x:v>1012</x:v>
      </x:c>
      <x:c r="B1018" s="4" t="n">
        <x:f>IF('계산 과정'!$L$5,'계산 과정'!$L$11*SQRT((A1018+0.5)/'계산 과정'!$L$30),"")</x:f>
        <x:v>105.46875</x:v>
      </x:c>
      <x:c r="C1018" s="4" t="n">
        <x:f>A1018*PI()*(3-SQRT(5))</x:f>
        <x:v>2428.762788485397</x:v>
      </x:c>
      <x:c r="D1018" s="4" t="n">
        <x:f>IF('계산 과정'!$L$5,B1018*COS(C1018),"")</x:f>
        <x:v>-100.38764892826228</x:v>
      </x:c>
      <x:c r="E1018" s="4" t="n">
        <x:f>IF('계산 과정'!$L$5,B1018*SIN(C1018),"")</x:f>
        <x:v>-32.341570296113666</x:v>
      </x:c>
      <x:c r="F1018" s="4" t="n">
        <x:f>IF('계산 과정'!$L$7,'계산 과정'!$L$22+'계산 과정'!$C$49*D1018+'계산 과정'!$D$49*E1018,"")</x:f>
        <x:v>720.9847873045487</x:v>
      </x:c>
      <x:c r="G1018" s="4" t="n">
        <x:f>IF('계산 과정'!$L$7,IF(ABS(F1018)&gt;=1E-12*MAX(1,SQRT((D1018-'계산 과정'!$C$33)^2+(E1018-'계산 과정'!$D$33)^2+'계산 과정'!$E$33^2)),('계산 과정'!$L$23-'계산 과정'!$C$49*D1018-'계산 과정'!$D$49*E1018)/F1018,""),"")</x:f>
        <x:v>0.4563414075982065</x:v>
      </x:c>
      <x:c r="H1018" s="4" t="n">
        <x:f>IF(AND(ISNUMBER(G1018),G1018&gt;0),('계산 과정'!$D$56+'계산 과정'!$D$57*D1018+'계산 과정'!$D$58*E1018)/F1018,"")</x:f>
        <x:v>-103.3780850611659</x:v>
      </x:c>
      <x:c r="I1018" s="4" t="n">
        <x:f>IF(AND(ISNUMBER(G1018),G1018&gt;0),('계산 과정'!$E$56+'계산 과정'!$E$57*D1018+'계산 과정'!$E$58*E1018)/F1018,"")</x:f>
        <x:v>-47.10036800897853</x:v>
      </x:c>
      <x:c r="J1018" s="4" t="n">
        <x:f>IF('계산 과정'!$L$5,'계산 과정'!$D$6+'계산 과정'!$C$35*D1018+'계산 과정'!$D$35*E1018,"")</x:f>
        <x:v>720.9847873045487</x:v>
      </x:c>
      <x:c r="K1018" s="4" t="n">
        <x:f>IF(AND('계산 과정'!$L$6,J1018&gt;0),'계산 과정'!$D$10*('계산 과정'!$C$38*(D1018-'계산 과정'!$C$32)+'계산 과정'!$D$38*(E1018-'계산 과정'!$D$32)-'계산 과정'!$E$38*'계산 과정'!$E$32)/J1018,"")</x:f>
        <x:v>-0.7876425528469767</x:v>
      </x:c>
      <x:c r="L1018" s="4" t="n">
        <x:f>IF(AND('계산 과정'!$L$6,J1018&gt;0),'계산 과정'!$D$10*('계산 과정'!$C$39*(D1018-'계산 과정'!$C$32)+'계산 과정'!$D$39*(E1018-'계산 과정'!$D$32)-'계산 과정'!$E$39*'계산 과정'!$E$32)/J1018,"")</x:f>
        <x:v>-0.35885994673507443</x:v>
      </x:c>
      <x:c r="M1018" s="17" t="n">
        <x:f>IF('계산 과정'!$L$6,IF(J1018&lt;=0,0,IF(AND(ABS(K1018)&lt;='계산 과정'!$D$11/2,ABS(L1018)&lt;='계산 과정'!$D$12/2),1,0)),"")</x:f>
        <x:v>1</x:v>
      </x:c>
      <x:c r="N1018" s="17" t="n">
        <x:f>IF('계산 과정'!$C$78,IF(AND(ISNUMBER(H1018),ISNUMBER(I1018),ABS(H1018-'계산 과정'!$C$88)&lt;='계산 과정'!$D$23/2,ABS(I1018-'계산 과정'!$C$89)&lt;='계산 과정'!$D$24/2),1,0),"")</x:f>
        <x:v>1</x:v>
      </x:c>
      <x:c r="O1018" s="4" t="n">
        <x:f>IF('계산 과정'!$L$7,'계산 과정'!$C$49*('계산 과정'!$C$32-D1018)+'계산 과정'!$D$49*('계산 과정'!$D$32-E1018)+'계산 과정'!$E$49*'계산 과정'!$E$32,"")</x:f>
        <x:v>-70.98478730454855</x:v>
      </x:c>
      <x:c r="P1018" s="4" t="n">
        <x:f>IF(AND('계산 과정'!$L$7,O1018&lt;&gt;0),('계산 과정'!$L$23-'계산 과정'!$C$49*D1018-'계산 과정'!$D$49*E1018)/O1018,"")</x:f>
        <x:v>-4.635010192872251</x:v>
      </x:c>
      <x:c r="Q1018" s="4" t="str">
        <x:f>IF(AND(ISNUMBER(P1018),P1018&gt;1E-9,P1018&lt;1-1E-9),'계산 과정'!$C$47*(D1018-'계산 과정'!$C$50+P1018*('계산 과정'!$C$32-D1018))+'계산 과정'!$D$47*(E1018-'계산 과정'!$D$50+P1018*('계산 과정'!$D$32-E1018))+'계산 과정'!$E$47*(0-'계산 과정'!$E$50+P1018*('계산 과정'!$E$32-0)),"")</x:f>
      </x:c>
      <x:c r="R1018" s="4" t="str">
        <x:f>IF(AND(ISNUMBER(P1018),P1018&gt;1E-9,P1018&lt;1-1E-9),'계산 과정'!$C$48*(D1018-'계산 과정'!$C$50+P1018*('계산 과정'!$C$32-D1018))+'계산 과정'!$D$48*(E1018-'계산 과정'!$D$50+P1018*('계산 과정'!$D$32-E1018))+'계산 과정'!$E$48*(0-'계산 과정'!$E$50+P1018*('계산 과정'!$E$32-0)),"")</x:f>
      </x:c>
      <x:c r="S1018" s="17" t="n">
        <x:f>IF('계산 과정'!$C$78,IF(AND(ISNUMBER(Q1018),ISNUMBER(R1018),ABS(Q1018-'계산 과정'!$C$88)&lt;='계산 과정'!$D$23/2,ABS(R1018-'계산 과정'!$C$89)&lt;='계산 과정'!$D$24/2),1,0),"")</x:f>
        <x:v>0</x:v>
      </x:c>
      <x:c r="T1018" s="4"/>
      <x:c r="U1018" s="4"/>
      <x:c r="V1018" s="4"/>
      <x:c r="W1018" s="4"/>
      <x:c r="X1018" s="4"/>
      <x:c r="Y1018" s="4"/>
      <x:c r="Z1018" s="4"/>
    </x:row>
    <x:row r="1019" ht="23" customHeight="1">
      <x:c r="A1019" s="17" t="n">
        <x:f>ROW()-6</x:f>
        <x:v>1013</x:v>
      </x:c>
      <x:c r="B1019" s="4" t="n">
        <x:f>IF('계산 과정'!$L$5,'계산 과정'!$L$11*SQRT((A1019+0.5)/'계산 과정'!$L$30),"")</x:f>
        <x:v>105.52082047959776</x:v>
      </x:c>
      <x:c r="C1019" s="4" t="n">
        <x:f>A1019*PI()*(3-SQRT(5))</x:f>
        <x:v>2431.1627517151255</x:v>
      </x:c>
      <x:c r="D1019" s="4" t="n">
        <x:f>IF('계산 과정'!$L$5,B1019*COS(C1019),"")</x:f>
        <x:v>95.91647600315116</x:v>
      </x:c>
      <x:c r="E1019" s="4" t="n">
        <x:f>IF('계산 과정'!$L$5,B1019*SIN(C1019),"")</x:f>
        <x:v>-43.984919982016855</x:v>
      </x:c>
      <x:c r="F1019" s="4" t="n">
        <x:f>IF('계산 과정'!$L$7,'계산 과정'!$L$22+'계산 과정'!$C$49*D1019+'계산 과정'!$D$49*E1019,"")</x:f>
        <x:v>582.1768093906551</x:v>
      </x:c>
      <x:c r="G1019" s="4" t="n">
        <x:f>IF('계산 과정'!$L$7,IF(ABS(F1019)&gt;=1E-12*MAX(1,SQRT((D1019-'계산 과정'!$C$33)^2+(E1019-'계산 과정'!$D$33)^2+'계산 과정'!$E$33^2)),('계산 과정'!$L$23-'계산 과정'!$C$49*D1019-'계산 과정'!$D$49*E1019)/F1019,""),"")</x:f>
        <x:v>0.8035757918612384</x:v>
      </x:c>
      <x:c r="H1019" s="4" t="n">
        <x:f>IF(AND(ISNUMBER(G1019),G1019&gt;0),('계산 과정'!$D$56+'계산 과정'!$D$57*D1019+'계산 과정'!$D$58*E1019)/F1019,"")</x:f>
        <x:v>122.32426470980494</x:v>
      </x:c>
      <x:c r="I1019" s="4" t="n">
        <x:f>IF(AND(ISNUMBER(G1019),G1019&gt;0),('계산 과정'!$E$56+'계산 과정'!$E$57*D1019+'계산 과정'!$E$58*E1019)/F1019,"")</x:f>
        <x:v>-79.33013688651926</x:v>
      </x:c>
      <x:c r="J1019" s="4" t="n">
        <x:f>IF('계산 과정'!$L$5,'계산 과정'!$D$6+'계산 과정'!$C$35*D1019+'계산 과정'!$D$35*E1019,"")</x:f>
        <x:v>582.1768093906551</x:v>
      </x:c>
      <x:c r="K1019" s="4" t="n">
        <x:f>IF(AND('계산 과정'!$L$6,J1019&gt;0),'계산 과정'!$D$10*('계산 과정'!$C$38*(D1019-'계산 과정'!$C$32)+'계산 과정'!$D$38*(E1019-'계산 과정'!$D$32)-'계산 과정'!$E$38*'계산 과정'!$E$32)/J1019,"")</x:f>
        <x:v>0.9319943977889911</x:v>
      </x:c>
      <x:c r="L1019" s="4" t="n">
        <x:f>IF(AND('계산 과정'!$L$6,J1019&gt;0),'계산 과정'!$D$10*('계산 과정'!$C$39*(D1019-'계산 과정'!$C$32)+'계산 과정'!$D$39*(E1019-'계산 과정'!$D$32)-'계산 과정'!$E$39*'계산 과정'!$E$32)/J1019,"")</x:f>
        <x:v>-0.6044200905639563</x:v>
      </x:c>
      <x:c r="M1019" s="17" t="n">
        <x:f>IF('계산 과정'!$L$6,IF(J1019&lt;=0,0,IF(AND(ABS(K1019)&lt;='계산 과정'!$D$11/2,ABS(L1019)&lt;='계산 과정'!$D$12/2),1,0)),"")</x:f>
        <x:v>1</x:v>
      </x:c>
      <x:c r="N1019" s="17" t="n">
        <x:f>IF('계산 과정'!$C$78,IF(AND(ISNUMBER(H1019),ISNUMBER(I1019),ABS(H1019-'계산 과정'!$C$88)&lt;='계산 과정'!$D$23/2,ABS(I1019-'계산 과정'!$C$89)&lt;='계산 과정'!$D$24/2),1,0),"")</x:f>
        <x:v>1</x:v>
      </x:c>
      <x:c r="O1019" s="4" t="n">
        <x:f>IF('계산 과정'!$L$7,'계산 과정'!$C$49*('계산 과정'!$C$32-D1019)+'계산 과정'!$D$49*('계산 과정'!$D$32-E1019)+'계산 과정'!$E$49*'계산 과정'!$E$32,"")</x:f>
        <x:v>67.82319060934503</x:v>
      </x:c>
      <x:c r="P1019" s="4" t="n">
        <x:f>IF(AND('계산 과정'!$L$7,O1019&lt;&gt;0),('계산 과정'!$L$23-'계산 과정'!$C$49*D1019-'계산 과정'!$D$49*E1019)/O1019,"")</x:f>
        <x:v>6.8976877437683655</x:v>
      </x:c>
      <x:c r="Q1019" s="4" t="str">
        <x:f>IF(AND(ISNUMBER(P1019),P1019&gt;1E-9,P1019&lt;1-1E-9),'계산 과정'!$C$47*(D1019-'계산 과정'!$C$50+P1019*('계산 과정'!$C$32-D1019))+'계산 과정'!$D$47*(E1019-'계산 과정'!$D$50+P1019*('계산 과정'!$D$32-E1019))+'계산 과정'!$E$47*(0-'계산 과정'!$E$50+P1019*('계산 과정'!$E$32-0)),"")</x:f>
      </x:c>
      <x:c r="R1019" s="4" t="str">
        <x:f>IF(AND(ISNUMBER(P1019),P1019&gt;1E-9,P1019&lt;1-1E-9),'계산 과정'!$C$48*(D1019-'계산 과정'!$C$50+P1019*('계산 과정'!$C$32-D1019))+'계산 과정'!$D$48*(E1019-'계산 과정'!$D$50+P1019*('계산 과정'!$D$32-E1019))+'계산 과정'!$E$48*(0-'계산 과정'!$E$50+P1019*('계산 과정'!$E$32-0)),"")</x:f>
      </x:c>
      <x:c r="S1019" s="17" t="n">
        <x:f>IF('계산 과정'!$C$78,IF(AND(ISNUMBER(Q1019),ISNUMBER(R1019),ABS(Q1019-'계산 과정'!$C$88)&lt;='계산 과정'!$D$23/2,ABS(R1019-'계산 과정'!$C$89)&lt;='계산 과정'!$D$24/2),1,0),"")</x:f>
        <x:v>0</x:v>
      </x:c>
      <x:c r="T1019" s="4"/>
      <x:c r="U1019" s="4"/>
      <x:c r="V1019" s="4"/>
      <x:c r="W1019" s="4"/>
      <x:c r="X1019" s="4"/>
      <x:c r="Y1019" s="4"/>
      <x:c r="Z1019" s="4"/>
    </x:row>
    <x:row r="1020" ht="23" customHeight="1">
      <x:c r="A1020" s="17" t="n">
        <x:f>ROW()-6</x:f>
        <x:v>1014</x:v>
      </x:c>
      <x:c r="B1020" s="4" t="n">
        <x:f>IF('계산 과정'!$L$5,'계산 과정'!$L$11*SQRT((A1020+0.5)/'계산 과정'!$L$30),"")</x:f>
        <x:v>105.57286527708008</x:v>
      </x:c>
      <x:c r="C1020" s="4" t="n">
        <x:f>A1020*PI()*(3-SQRT(5))</x:f>
        <x:v>2433.5627149448537</x:v>
      </x:c>
      <x:c r="D1020" s="4" t="n">
        <x:f>IF('계산 과정'!$L$5,B1020*COS(C1020),"")</x:f>
        <x:v>-41.03466682831122</x:v>
      </x:c>
      <x:c r="E1020" s="4" t="n">
        <x:f>IF('계산 과정'!$L$5,B1020*SIN(C1020),"")</x:f>
        <x:v>97.271712234863</x:v>
      </x:c>
      <x:c r="F1020" s="4" t="n">
        <x:f>IF('계산 과정'!$L$7,'계산 과정'!$L$22+'계산 과정'!$C$49*D1020+'계산 과정'!$D$49*E1020,"")</x:f>
        <x:v>679.0158911780295</x:v>
      </x:c>
      <x:c r="G1020" s="4" t="n">
        <x:f>IF('계산 과정'!$L$7,IF(ABS(F1020)&gt;=1E-12*MAX(1,SQRT((D1020-'계산 과정'!$C$33)^2+(E1020-'계산 과정'!$D$33)^2+'계산 과정'!$E$33^2)),('계산 과정'!$L$23-'계산 과정'!$C$49*D1020-'계산 과정'!$D$49*E1020)/F1020,""),"")</x:f>
        <x:v>0.546355561985961</x:v>
      </x:c>
      <x:c r="H1020" s="4" t="n">
        <x:f>IF(AND(ISNUMBER(G1020),G1020&gt;0),('계산 과정'!$D$56+'계산 과정'!$D$57*D1020+'계산 과정'!$D$58*E1020)/F1020,"")</x:f>
        <x:v>-44.868884709125474</x:v>
      </x:c>
      <x:c r="I1020" s="4" t="n">
        <x:f>IF(AND(ISNUMBER(G1020),G1020&gt;0),('계산 과정'!$E$56+'계산 과정'!$E$57*D1020+'계산 과정'!$E$58*E1020)/F1020,"")</x:f>
        <x:v>150.41665323827826</x:v>
      </x:c>
      <x:c r="J1020" s="4" t="n">
        <x:f>IF('계산 과정'!$L$5,'계산 과정'!$D$6+'계산 과정'!$C$35*D1020+'계산 과정'!$D$35*E1020,"")</x:f>
        <x:v>679.0158911780295</x:v>
      </x:c>
      <x:c r="K1020" s="4" t="n">
        <x:f>IF(AND('계산 과정'!$L$6,J1020&gt;0),'계산 과정'!$D$10*('계산 과정'!$C$38*(D1020-'계산 과정'!$C$32)+'계산 과정'!$D$38*(E1020-'계산 과정'!$D$32)-'계산 과정'!$E$38*'계산 과정'!$E$32)/J1020,"")</x:f>
        <x:v>-0.34185816921238393</x:v>
      </x:c>
      <x:c r="L1020" s="4" t="n">
        <x:f>IF(AND('계산 과정'!$L$6,J1020&gt;0),'계산 과정'!$D$10*('계산 과정'!$C$39*(D1020-'계산 과정'!$C$32)+'계산 과정'!$D$39*(E1020-'계산 과정'!$D$32)-'계산 과정'!$E$39*'계산 과정'!$E$32)/J1020,"")</x:f>
        <x:v>1.1460316437202154</x:v>
      </x:c>
      <x:c r="M1020" s="17" t="n">
        <x:f>IF('계산 과정'!$L$6,IF(J1020&lt;=0,0,IF(AND(ABS(K1020)&lt;='계산 과정'!$D$11/2,ABS(L1020)&lt;='계산 과정'!$D$12/2),1,0)),"")</x:f>
        <x:v>1</x:v>
      </x:c>
      <x:c r="N1020" s="17" t="n">
        <x:f>IF('계산 과정'!$C$78,IF(AND(ISNUMBER(H1020),ISNUMBER(I1020),ABS(H1020-'계산 과정'!$C$88)&lt;='계산 과정'!$D$23/2,ABS(I1020-'계산 과정'!$C$89)&lt;='계산 과정'!$D$24/2),1,0),"")</x:f>
        <x:v>1</x:v>
      </x:c>
      <x:c r="O1020" s="4" t="n">
        <x:f>IF('계산 과정'!$L$7,'계산 과정'!$C$49*('계산 과정'!$C$32-D1020)+'계산 과정'!$D$49*('계산 과정'!$D$32-E1020)+'계산 과정'!$E$49*'계산 과정'!$E$32,"")</x:f>
        <x:v>-29.01589117802945</x:v>
      </x:c>
      <x:c r="P1020" s="4" t="n">
        <x:f>IF(AND('계산 과정'!$L$7,O1020&lt;&gt;0),('계산 과정'!$L$23-'계산 과정'!$C$49*D1020-'계산 과정'!$D$49*E1020)/O1020,"")</x:f>
        <x:v>-12.785549357962715</x:v>
      </x:c>
      <x:c r="Q1020" s="4" t="str">
        <x:f>IF(AND(ISNUMBER(P1020),P1020&gt;1E-9,P1020&lt;1-1E-9),'계산 과정'!$C$47*(D1020-'계산 과정'!$C$50+P1020*('계산 과정'!$C$32-D1020))+'계산 과정'!$D$47*(E1020-'계산 과정'!$D$50+P1020*('계산 과정'!$D$32-E1020))+'계산 과정'!$E$47*(0-'계산 과정'!$E$50+P1020*('계산 과정'!$E$32-0)),"")</x:f>
      </x:c>
      <x:c r="R1020" s="4" t="str">
        <x:f>IF(AND(ISNUMBER(P1020),P1020&gt;1E-9,P1020&lt;1-1E-9),'계산 과정'!$C$48*(D1020-'계산 과정'!$C$50+P1020*('계산 과정'!$C$32-D1020))+'계산 과정'!$D$48*(E1020-'계산 과정'!$D$50+P1020*('계산 과정'!$D$32-E1020))+'계산 과정'!$E$48*(0-'계산 과정'!$E$50+P1020*('계산 과정'!$E$32-0)),"")</x:f>
      </x:c>
      <x:c r="S1020" s="17" t="n">
        <x:f>IF('계산 과정'!$C$78,IF(AND(ISNUMBER(Q1020),ISNUMBER(R1020),ABS(Q1020-'계산 과정'!$C$88)&lt;='계산 과정'!$D$23/2,ABS(R1020-'계산 과정'!$C$89)&lt;='계산 과정'!$D$24/2),1,0),"")</x:f>
        <x:v>0</x:v>
      </x:c>
      <x:c r="T1020" s="4"/>
      <x:c r="U1020" s="4"/>
      <x:c r="V1020" s="4"/>
      <x:c r="W1020" s="4"/>
      <x:c r="X1020" s="4"/>
      <x:c r="Y1020" s="4"/>
      <x:c r="Z1020" s="4"/>
    </x:row>
    <x:row r="1021" ht="23" customHeight="1">
      <x:c r="A1021" s="17" t="n">
        <x:f>ROW()-6</x:f>
        <x:v>1015</x:v>
      </x:c>
      <x:c r="B1021" s="4" t="n">
        <x:f>IF('계산 과정'!$L$5,'계산 과정'!$L$11*SQRT((A1021+0.5)/'계산 과정'!$L$30),"")</x:f>
        <x:v>105.62488443041015</x:v>
      </x:c>
      <x:c r="C1021" s="4" t="n">
        <x:f>A1021*PI()*(3-SQRT(5))</x:f>
        <x:v>2435.962678174583</x:v>
      </x:c>
      <x:c r="D1021" s="4" t="n">
        <x:f>IF('계산 과정'!$L$5,B1021*COS(C1021),"")</x:f>
        <x:v>-35.46587785403274</x:v>
      </x:c>
      <x:c r="E1021" s="4" t="n">
        <x:f>IF('계산 과정'!$L$5,B1021*SIN(C1021),"")</x:f>
        <x:v>-99.49265158281958</x:v>
      </x:c>
      <x:c r="F1021" s="4" t="n">
        <x:f>IF('계산 과정'!$L$7,'계산 과정'!$L$22+'계산 과정'!$C$49*D1021+'계산 과정'!$D$49*E1021,"")</x:f>
        <x:v>675.0781627313204</x:v>
      </x:c>
      <x:c r="G1021" s="4" t="n">
        <x:f>IF('계산 과정'!$L$7,IF(ABS(F1021)&gt;=1E-12*MAX(1,SQRT((D1021-'계산 과정'!$C$33)^2+(E1021-'계산 과정'!$D$33)^2+'계산 과정'!$E$33^2)),('계산 과정'!$L$23-'계산 과정'!$C$49*D1021-'계산 과정'!$D$49*E1021)/F1021,""),"")</x:f>
        <x:v>0.5553754483062693</x:v>
      </x:c>
      <x:c r="H1021" s="4" t="n">
        <x:f>IF(AND(ISNUMBER(G1021),G1021&gt;0),('계산 과정'!$D$56+'계산 과정'!$D$57*D1021+'계산 과정'!$D$58*E1021)/F1021,"")</x:f>
        <x:v>-39.00595860092508</x:v>
      </x:c>
      <x:c r="I1021" s="4" t="n">
        <x:f>IF(AND(ISNUMBER(G1021),G1021&gt;0),('계산 과정'!$E$56+'계산 과정'!$E$57*D1021+'계산 과정'!$E$58*E1021)/F1021,"")</x:f>
        <x:v>-154.74842755880746</x:v>
      </x:c>
      <x:c r="J1021" s="4" t="n">
        <x:f>IF('계산 과정'!$L$5,'계산 과정'!$D$6+'계산 과정'!$C$35*D1021+'계산 과정'!$D$35*E1021,"")</x:f>
        <x:v>675.0781627313204</x:v>
      </x:c>
      <x:c r="K1021" s="4" t="n">
        <x:f>IF(AND('계산 과정'!$L$6,J1021&gt;0),'계산 과정'!$D$10*('계산 과정'!$C$38*(D1021-'계산 과정'!$C$32)+'계산 과정'!$D$38*(E1021-'계산 과정'!$D$32)-'계산 과정'!$E$38*'계산 과정'!$E$32)/J1021,"")</x:f>
        <x:v>-0.2971882560070471</x:v>
      </x:c>
      <x:c r="L1021" s="4" t="n">
        <x:f>IF(AND('계산 과정'!$L$6,J1021&gt;0),'계산 과정'!$D$10*('계산 과정'!$C$39*(D1021-'계산 과정'!$C$32)+'계산 과정'!$D$39*(E1021-'계산 과정'!$D$32)-'계산 과정'!$E$39*'계산 과정'!$E$32)/J1021,"")</x:f>
        <x:v>-1.1790356385432947</x:v>
      </x:c>
      <x:c r="M1021" s="17" t="n">
        <x:f>IF('계산 과정'!$L$6,IF(J1021&lt;=0,0,IF(AND(ABS(K1021)&lt;='계산 과정'!$D$11/2,ABS(L1021)&lt;='계산 과정'!$D$12/2),1,0)),"")</x:f>
        <x:v>1</x:v>
      </x:c>
      <x:c r="N1021" s="17" t="n">
        <x:f>IF('계산 과정'!$C$78,IF(AND(ISNUMBER(H1021),ISNUMBER(I1021),ABS(H1021-'계산 과정'!$C$88)&lt;='계산 과정'!$D$23/2,ABS(I1021-'계산 과정'!$C$89)&lt;='계산 과정'!$D$24/2),1,0),"")</x:f>
        <x:v>1</x:v>
      </x:c>
      <x:c r="O1021" s="4" t="n">
        <x:f>IF('계산 과정'!$L$7,'계산 과정'!$C$49*('계산 과정'!$C$32-D1021)+'계산 과정'!$D$49*('계산 과정'!$D$32-E1021)+'계산 과정'!$E$49*'계산 과정'!$E$32,"")</x:f>
        <x:v>-25.07816273132022</x:v>
      </x:c>
      <x:c r="P1021" s="4" t="n">
        <x:f>IF(AND('계산 과정'!$L$7,O1021&lt;&gt;0),('계산 과정'!$L$23-'계산 과정'!$C$49*D1021-'계산 과정'!$D$49*E1021)/O1021,"")</x:f>
        <x:v>-14.950131765451792</x:v>
      </x:c>
      <x:c r="Q1021" s="4" t="str">
        <x:f>IF(AND(ISNUMBER(P1021),P1021&gt;1E-9,P1021&lt;1-1E-9),'계산 과정'!$C$47*(D1021-'계산 과정'!$C$50+P1021*('계산 과정'!$C$32-D1021))+'계산 과정'!$D$47*(E1021-'계산 과정'!$D$50+P1021*('계산 과정'!$D$32-E1021))+'계산 과정'!$E$47*(0-'계산 과정'!$E$50+P1021*('계산 과정'!$E$32-0)),"")</x:f>
      </x:c>
      <x:c r="R1021" s="4" t="str">
        <x:f>IF(AND(ISNUMBER(P1021),P1021&gt;1E-9,P1021&lt;1-1E-9),'계산 과정'!$C$48*(D1021-'계산 과정'!$C$50+P1021*('계산 과정'!$C$32-D1021))+'계산 과정'!$D$48*(E1021-'계산 과정'!$D$50+P1021*('계산 과정'!$D$32-E1021))+'계산 과정'!$E$48*(0-'계산 과정'!$E$50+P1021*('계산 과정'!$E$32-0)),"")</x:f>
      </x:c>
      <x:c r="S1021" s="17" t="n">
        <x:f>IF('계산 과정'!$C$78,IF(AND(ISNUMBER(Q1021),ISNUMBER(R1021),ABS(Q1021-'계산 과정'!$C$88)&lt;='계산 과정'!$D$23/2,ABS(R1021-'계산 과정'!$C$89)&lt;='계산 과정'!$D$24/2),1,0),"")</x:f>
        <x:v>0</x:v>
      </x:c>
      <x:c r="T1021" s="4"/>
      <x:c r="U1021" s="4"/>
      <x:c r="V1021" s="4"/>
      <x:c r="W1021" s="4"/>
      <x:c r="X1021" s="4"/>
      <x:c r="Y1021" s="4"/>
      <x:c r="Z1021" s="4"/>
    </x:row>
    <x:row r="1022" ht="23" customHeight="1">
      <x:c r="A1022" s="17" t="n">
        <x:f>ROW()-6</x:f>
        <x:v>1016</x:v>
      </x:c>
      <x:c r="B1022" s="4" t="n">
        <x:f>IF('계산 과정'!$L$5,'계산 과정'!$L$11*SQRT((A1022+0.5)/'계산 과정'!$L$30),"")</x:f>
        <x:v>105.67687797745778</x:v>
      </x:c>
      <x:c r="C1022" s="4" t="n">
        <x:f>A1022*PI()*(3-SQRT(5))</x:f>
        <x:v>2438.3626414043115</x:v>
      </x:c>
      <x:c r="D1022" s="4" t="n">
        <x:f>IF('계산 과정'!$L$5,B1022*COS(C1022),"")</x:f>
        <x:v>93.40371014555302</x:v>
      </x:c>
      <x:c r="E1022" s="4" t="n">
        <x:f>IF('계산 과정'!$L$5,B1022*SIN(C1022),"")</x:f>
        <x:v>49.430248533747196</x:v>
      </x:c>
      <x:c r="F1022" s="4" t="n">
        <x:f>IF('계산 과정'!$L$7,'계산 과정'!$L$22+'계산 과정'!$C$49*D1022+'계산 과정'!$D$49*E1022,"")</x:f>
        <x:v>583.9536031680967</x:v>
      </x:c>
      <x:c r="G1022" s="4" t="n">
        <x:f>IF('계산 과정'!$L$7,IF(ABS(F1022)&gt;=1E-12*MAX(1,SQRT((D1022-'계산 과정'!$C$33)^2+(E1022-'계산 과정'!$D$33)^2+'계산 과정'!$E$33^2)),('계산 과정'!$L$23-'계산 과정'!$C$49*D1022-'계산 과정'!$D$49*E1022)/F1022,""),"")</x:f>
        <x:v>0.7980880575160134</x:v>
      </x:c>
      <x:c r="H1022" s="4" t="n">
        <x:f>IF(AND(ISNUMBER(G1022),G1022&gt;0),('계산 과정'!$D$56+'계산 과정'!$D$57*D1022+'계산 과정'!$D$58*E1022)/F1022,"")</x:f>
        <x:v>118.75723738540864</x:v>
      </x:c>
      <x:c r="I1022" s="4" t="n">
        <x:f>IF(AND(ISNUMBER(G1022),G1022&gt;0),('계산 과정'!$E$56+'계산 과정'!$E$57*D1022+'계산 과정'!$E$58*E1022)/F1022,"")</x:f>
        <x:v>88.87993956857927</x:v>
      </x:c>
      <x:c r="J1022" s="4" t="n">
        <x:f>IF('계산 과정'!$L$5,'계산 과정'!$D$6+'계산 과정'!$C$35*D1022+'계산 과정'!$D$35*E1022,"")</x:f>
        <x:v>583.9536031680967</x:v>
      </x:c>
      <x:c r="K1022" s="4" t="n">
        <x:f>IF(AND('계산 과정'!$L$6,J1022&gt;0),'계산 과정'!$D$10*('계산 과정'!$C$38*(D1022-'계산 과정'!$C$32)+'계산 과정'!$D$38*(E1022-'계산 과정'!$D$32)-'계산 과정'!$E$38*'계산 과정'!$E$32)/J1022,"")</x:f>
        <x:v>0.9048170467459715</x:v>
      </x:c>
      <x:c r="L1022" s="4" t="n">
        <x:f>IF(AND('계산 과정'!$L$6,J1022&gt;0),'계산 과정'!$D$10*('계산 과정'!$C$39*(D1022-'계산 과정'!$C$32)+'계산 과정'!$D$39*(E1022-'계산 과정'!$D$32)-'계산 과정'!$E$39*'계산 과정'!$E$32)/J1022,"")</x:f>
        <x:v>0.6771804919510801</x:v>
      </x:c>
      <x:c r="M1022" s="17" t="n">
        <x:f>IF('계산 과정'!$L$6,IF(J1022&lt;=0,0,IF(AND(ABS(K1022)&lt;='계산 과정'!$D$11/2,ABS(L1022)&lt;='계산 과정'!$D$12/2),1,0)),"")</x:f>
        <x:v>1</x:v>
      </x:c>
      <x:c r="N1022" s="17" t="n">
        <x:f>IF('계산 과정'!$C$78,IF(AND(ISNUMBER(H1022),ISNUMBER(I1022),ABS(H1022-'계산 과정'!$C$88)&lt;='계산 과정'!$D$23/2,ABS(I1022-'계산 과정'!$C$89)&lt;='계산 과정'!$D$24/2),1,0),"")</x:f>
        <x:v>1</x:v>
      </x:c>
      <x:c r="O1022" s="4" t="n">
        <x:f>IF('계산 과정'!$L$7,'계산 과정'!$C$49*('계산 과정'!$C$32-D1022)+'계산 과정'!$D$49*('계산 과정'!$D$32-E1022)+'계산 과정'!$E$49*'계산 과정'!$E$32,"")</x:f>
        <x:v>66.0463968319034</x:v>
      </x:c>
      <x:c r="P1022" s="4" t="n">
        <x:f>IF(AND('계산 과정'!$L$7,O1022&lt;&gt;0),('계산 과정'!$L$23-'계산 과정'!$C$49*D1022-'계산 과정'!$D$49*E1022)/O1022,"")</x:f>
        <x:v>7.0563485547599445</x:v>
      </x:c>
      <x:c r="Q1022" s="4" t="str">
        <x:f>IF(AND(ISNUMBER(P1022),P1022&gt;1E-9,P1022&lt;1-1E-9),'계산 과정'!$C$47*(D1022-'계산 과정'!$C$50+P1022*('계산 과정'!$C$32-D1022))+'계산 과정'!$D$47*(E1022-'계산 과정'!$D$50+P1022*('계산 과정'!$D$32-E1022))+'계산 과정'!$E$47*(0-'계산 과정'!$E$50+P1022*('계산 과정'!$E$32-0)),"")</x:f>
      </x:c>
      <x:c r="R1022" s="4" t="str">
        <x:f>IF(AND(ISNUMBER(P1022),P1022&gt;1E-9,P1022&lt;1-1E-9),'계산 과정'!$C$48*(D1022-'계산 과정'!$C$50+P1022*('계산 과정'!$C$32-D1022))+'계산 과정'!$D$48*(E1022-'계산 과정'!$D$50+P1022*('계산 과정'!$D$32-E1022))+'계산 과정'!$E$48*(0-'계산 과정'!$E$50+P1022*('계산 과정'!$E$32-0)),"")</x:f>
      </x:c>
      <x:c r="S1022" s="17" t="n">
        <x:f>IF('계산 과정'!$C$78,IF(AND(ISNUMBER(Q1022),ISNUMBER(R1022),ABS(Q1022-'계산 과정'!$C$88)&lt;='계산 과정'!$D$23/2,ABS(R1022-'계산 과정'!$C$89)&lt;='계산 과정'!$D$24/2),1,0),"")</x:f>
        <x:v>0</x:v>
      </x:c>
      <x:c r="T1022" s="4"/>
      <x:c r="U1022" s="4"/>
      <x:c r="V1022" s="4"/>
      <x:c r="W1022" s="4"/>
      <x:c r="X1022" s="4"/>
      <x:c r="Y1022" s="4"/>
      <x:c r="Z1022" s="4"/>
    </x:row>
    <x:row r="1023" ht="23" customHeight="1">
      <x:c r="A1023" s="17" t="n">
        <x:f>ROW()-6</x:f>
        <x:v>1017</x:v>
      </x:c>
      <x:c r="B1023" s="4" t="n">
        <x:f>IF('계산 과정'!$L$5,'계산 과정'!$L$11*SQRT((A1023+0.5)/'계산 과정'!$L$30),"")</x:f>
        <x:v>105.72884595599963</x:v>
      </x:c>
      <x:c r="C1023" s="4" t="n">
        <x:f>A1023*PI()*(3-SQRT(5))</x:f>
        <x:v>2440.76260463404</x:v>
      </x:c>
      <x:c r="D1023" s="4" t="n">
        <x:f>IF('계산 과정'!$L$5,B1023*COS(C1023),"")</x:f>
        <x:v>-102.3129310695174</x:v>
      </x:c>
      <x:c r="E1023" s="4" t="n">
        <x:f>IF('계산 과정'!$L$5,B1023*SIN(C1023),"")</x:f>
        <x:v>26.658075758607957</x:v>
      </x:c>
      <x:c r="F1023" s="4" t="n">
        <x:f>IF('계산 과정'!$L$7,'계산 과정'!$L$22+'계산 과정'!$C$49*D1023+'계산 과정'!$D$49*E1023,"")</x:f>
        <x:v>722.3461673623276</x:v>
      </x:c>
      <x:c r="G1023" s="4" t="n">
        <x:f>IF('계산 과정'!$L$7,IF(ABS(F1023)&gt;=1E-12*MAX(1,SQRT((D1023-'계산 과정'!$C$33)^2+(E1023-'계산 과정'!$D$33)^2+'계산 과정'!$E$33^2)),('계산 과정'!$L$23-'계산 과정'!$C$49*D1023-'계산 과정'!$D$49*E1023)/F1023,""),"")</x:f>
        <x:v>0.4535966928904903</x:v>
      </x:c>
      <x:c r="H1023" s="4" t="n">
        <x:f>IF(AND(ISNUMBER(G1023),G1023&gt;0),('계산 과정'!$D$56+'계산 과정'!$D$57*D1023+'계산 과정'!$D$58*E1023)/F1023,"")</x:f>
        <x:v>-105.16214962118138</x:v>
      </x:c>
      <x:c r="I1023" s="4" t="n">
        <x:f>IF(AND(ISNUMBER(G1023),G1023&gt;0),('계산 과정'!$E$56+'계산 과정'!$E$57*D1023+'계산 과정'!$E$58*E1023)/F1023,"")</x:f>
        <x:v>38.750090761536676</x:v>
      </x:c>
      <x:c r="J1023" s="4" t="n">
        <x:f>IF('계산 과정'!$L$5,'계산 과정'!$D$6+'계산 과정'!$C$35*D1023+'계산 과정'!$D$35*E1023,"")</x:f>
        <x:v>722.3461673623276</x:v>
      </x:c>
      <x:c r="K1023" s="4" t="n">
        <x:f>IF(AND('계산 과정'!$L$6,J1023&gt;0),'계산 과정'!$D$10*('계산 과정'!$C$38*(D1023-'계산 과정'!$C$32)+'계산 과정'!$D$38*(E1023-'계산 과정'!$D$32)-'계산 과정'!$E$38*'계산 과정'!$E$32)/J1023,"")</x:f>
        <x:v>-0.8012354256851905</x:v>
      </x:c>
      <x:c r="L1023" s="4" t="n">
        <x:f>IF(AND('계산 과정'!$L$6,J1023&gt;0),'계산 과정'!$D$10*('계산 과정'!$C$39*(D1023-'계산 과정'!$C$32)+'계산 과정'!$D$39*(E1023-'계산 과정'!$D$32)-'계산 과정'!$E$39*'계산 과정'!$E$32)/J1023,"")</x:f>
        <x:v>0.2952387867545651</x:v>
      </x:c>
      <x:c r="M1023" s="17" t="n">
        <x:f>IF('계산 과정'!$L$6,IF(J1023&lt;=0,0,IF(AND(ABS(K1023)&lt;='계산 과정'!$D$11/2,ABS(L1023)&lt;='계산 과정'!$D$12/2),1,0)),"")</x:f>
        <x:v>1</x:v>
      </x:c>
      <x:c r="N1023" s="17" t="n">
        <x:f>IF('계산 과정'!$C$78,IF(AND(ISNUMBER(H1023),ISNUMBER(I1023),ABS(H1023-'계산 과정'!$C$88)&lt;='계산 과정'!$D$23/2,ABS(I1023-'계산 과정'!$C$89)&lt;='계산 과정'!$D$24/2),1,0),"")</x:f>
        <x:v>1</x:v>
      </x:c>
      <x:c r="O1023" s="4" t="n">
        <x:f>IF('계산 과정'!$L$7,'계산 과정'!$C$49*('계산 과정'!$C$32-D1023)+'계산 과정'!$D$49*('계산 과정'!$D$32-E1023)+'계산 과정'!$E$49*'계산 과정'!$E$32,"")</x:f>
        <x:v>-72.34616736232744</x:v>
      </x:c>
      <x:c r="P1023" s="4" t="n">
        <x:f>IF(AND('계산 과정'!$L$7,O1023&lt;&gt;0),('계산 과정'!$L$23-'계산 과정'!$C$49*D1023-'계산 과정'!$D$49*E1023)/O1023,"")</x:f>
        <x:v>-4.528972917068312</x:v>
      </x:c>
      <x:c r="Q1023" s="4" t="str">
        <x:f>IF(AND(ISNUMBER(P1023),P1023&gt;1E-9,P1023&lt;1-1E-9),'계산 과정'!$C$47*(D1023-'계산 과정'!$C$50+P1023*('계산 과정'!$C$32-D1023))+'계산 과정'!$D$47*(E1023-'계산 과정'!$D$50+P1023*('계산 과정'!$D$32-E1023))+'계산 과정'!$E$47*(0-'계산 과정'!$E$50+P1023*('계산 과정'!$E$32-0)),"")</x:f>
      </x:c>
      <x:c r="R1023" s="4" t="str">
        <x:f>IF(AND(ISNUMBER(P1023),P1023&gt;1E-9,P1023&lt;1-1E-9),'계산 과정'!$C$48*(D1023-'계산 과정'!$C$50+P1023*('계산 과정'!$C$32-D1023))+'계산 과정'!$D$48*(E1023-'계산 과정'!$D$50+P1023*('계산 과정'!$D$32-E1023))+'계산 과정'!$E$48*(0-'계산 과정'!$E$50+P1023*('계산 과정'!$E$32-0)),"")</x:f>
      </x:c>
      <x:c r="S1023" s="17" t="n">
        <x:f>IF('계산 과정'!$C$78,IF(AND(ISNUMBER(Q1023),ISNUMBER(R1023),ABS(Q1023-'계산 과정'!$C$88)&lt;='계산 과정'!$D$23/2,ABS(R1023-'계산 과정'!$C$89)&lt;='계산 과정'!$D$24/2),1,0),"")</x:f>
        <x:v>0</x:v>
      </x:c>
      <x:c r="T1023" s="4"/>
      <x:c r="U1023" s="4"/>
      <x:c r="V1023" s="4"/>
      <x:c r="W1023" s="4"/>
      <x:c r="X1023" s="4"/>
      <x:c r="Y1023" s="4"/>
      <x:c r="Z1023" s="4"/>
    </x:row>
    <x:row r="1024" ht="23" customHeight="1">
      <x:c r="A1024" s="17" t="n">
        <x:f>ROW()-6</x:f>
        <x:v>1018</x:v>
      </x:c>
      <x:c r="B1024" s="4" t="n">
        <x:f>IF('계산 과정'!$L$5,'계산 과정'!$L$11*SQRT((A1024+0.5)/'계산 과정'!$L$30),"")</x:f>
        <x:v>105.7807884037196</x:v>
      </x:c>
      <x:c r="C1024" s="4" t="n">
        <x:f>A1024*PI()*(3-SQRT(5))</x:f>
        <x:v>2443.1625678637683</x:v>
      </x:c>
      <x:c r="D1024" s="4" t="n">
        <x:f>IF('계산 과정'!$L$5,B1024*COS(C1024),"")</x:f>
        <x:v>57.463316462061655</x:v>
      </x:c>
      <x:c r="E1024" s="4" t="n">
        <x:f>IF('계산 과정'!$L$5,B1024*SIN(C1024),"")</x:f>
        <x:v>-88.8118373669493</x:v>
      </x:c>
      <x:c r="F1024" s="4" t="n">
        <x:f>IF('계산 과정'!$L$7,'계산 과정'!$L$22+'계산 과정'!$C$49*D1024+'계산 과정'!$D$49*E1024,"")</x:f>
        <x:v>609.3672992602077</x:v>
      </x:c>
      <x:c r="G1024" s="4" t="n">
        <x:f>IF('계산 과정'!$L$7,IF(ABS(F1024)&gt;=1E-12*MAX(1,SQRT((D1024-'계산 과정'!$C$33)^2+(E1024-'계산 과정'!$D$33)^2+'계산 과정'!$E$33^2)),('계산 과정'!$L$23-'계산 과정'!$C$49*D1024-'계산 과정'!$D$49*E1024)/F1024,""),"")</x:f>
        <x:v>0.7230986980672169</x:v>
      </x:c>
      <x:c r="H1024" s="4" t="n">
        <x:f>IF(AND(ISNUMBER(G1024),G1024&gt;0),('계산 과정'!$D$56+'계산 과정'!$D$57*D1024+'계산 과정'!$D$58*E1024)/F1024,"")</x:f>
        <x:v>70.01415374369097</x:v>
      </x:c>
      <x:c r="I1024" s="4" t="n">
        <x:f>IF(AND(ISNUMBER(G1024),G1024&gt;0),('계산 과정'!$E$56+'계산 과정'!$E$57*D1024+'계산 과정'!$E$58*E1024)/F1024,"")</x:f>
        <x:v>-153.03156133994776</x:v>
      </x:c>
      <x:c r="J1024" s="4" t="n">
        <x:f>IF('계산 과정'!$L$5,'계산 과정'!$D$6+'계산 과정'!$C$35*D1024+'계산 과정'!$D$35*E1024,"")</x:f>
        <x:v>609.3672992602077</x:v>
      </x:c>
      <x:c r="K1024" s="4" t="n">
        <x:f>IF(AND('계산 과정'!$L$6,J1024&gt;0),'계산 과정'!$D$10*('계산 과정'!$C$38*(D1024-'계산 과정'!$C$32)+'계산 과정'!$D$38*(E1024-'계산 과정'!$D$32)-'계산 과정'!$E$38*'계산 과정'!$E$32)/J1024,"")</x:f>
        <x:v>0.5334411713805034</x:v>
      </x:c>
      <x:c r="L1024" s="4" t="n">
        <x:f>IF(AND('계산 과정'!$L$6,J1024&gt;0),'계산 과정'!$D$10*('계산 과정'!$C$39*(D1024-'계산 과정'!$C$32)+'계산 과정'!$D$39*(E1024-'계산 과정'!$D$32)-'계산 과정'!$E$39*'계산 과정'!$E$32)/J1024,"")</x:f>
        <x:v>-1.1659547530662686</x:v>
      </x:c>
      <x:c r="M1024" s="17" t="n">
        <x:f>IF('계산 과정'!$L$6,IF(J1024&lt;=0,0,IF(AND(ABS(K1024)&lt;='계산 과정'!$D$11/2,ABS(L1024)&lt;='계산 과정'!$D$12/2),1,0)),"")</x:f>
        <x:v>1</x:v>
      </x:c>
      <x:c r="N1024" s="17" t="n">
        <x:f>IF('계산 과정'!$C$78,IF(AND(ISNUMBER(H1024),ISNUMBER(I1024),ABS(H1024-'계산 과정'!$C$88)&lt;='계산 과정'!$D$23/2,ABS(I1024-'계산 과정'!$C$89)&lt;='계산 과정'!$D$24/2),1,0),"")</x:f>
        <x:v>1</x:v>
      </x:c>
      <x:c r="O1024" s="4" t="n">
        <x:f>IF('계산 과정'!$L$7,'계산 과정'!$C$49*('계산 과정'!$C$32-D1024)+'계산 과정'!$D$49*('계산 과정'!$D$32-E1024)+'계산 과정'!$E$49*'계산 과정'!$E$32,"")</x:f>
        <x:v>40.63270073979248</x:v>
      </x:c>
      <x:c r="P1024" s="4" t="n">
        <x:f>IF(AND('계산 과정'!$L$7,O1024&lt;&gt;0),('계산 과정'!$L$23-'계산 과정'!$C$49*D1024-'계산 과정'!$D$49*E1024)/O1024,"")</x:f>
        <x:v>10.844287795722897</x:v>
      </x:c>
      <x:c r="Q1024" s="4" t="str">
        <x:f>IF(AND(ISNUMBER(P1024),P1024&gt;1E-9,P1024&lt;1-1E-9),'계산 과정'!$C$47*(D1024-'계산 과정'!$C$50+P1024*('계산 과정'!$C$32-D1024))+'계산 과정'!$D$47*(E1024-'계산 과정'!$D$50+P1024*('계산 과정'!$D$32-E1024))+'계산 과정'!$E$47*(0-'계산 과정'!$E$50+P1024*('계산 과정'!$E$32-0)),"")</x:f>
      </x:c>
      <x:c r="R1024" s="4" t="str">
        <x:f>IF(AND(ISNUMBER(P1024),P1024&gt;1E-9,P1024&lt;1-1E-9),'계산 과정'!$C$48*(D1024-'계산 과정'!$C$50+P1024*('계산 과정'!$C$32-D1024))+'계산 과정'!$D$48*(E1024-'계산 과정'!$D$50+P1024*('계산 과정'!$D$32-E1024))+'계산 과정'!$E$48*(0-'계산 과정'!$E$50+P1024*('계산 과정'!$E$32-0)),"")</x:f>
      </x:c>
      <x:c r="S1024" s="17" t="n">
        <x:f>IF('계산 과정'!$C$78,IF(AND(ISNUMBER(Q1024),ISNUMBER(R1024),ABS(Q1024-'계산 과정'!$C$88)&lt;='계산 과정'!$D$23/2,ABS(R1024-'계산 과정'!$C$89)&lt;='계산 과정'!$D$24/2),1,0),"")</x:f>
        <x:v>0</x:v>
      </x:c>
      <x:c r="T1024" s="4"/>
      <x:c r="U1024" s="4"/>
      <x:c r="V1024" s="4"/>
      <x:c r="W1024" s="4"/>
      <x:c r="X1024" s="4"/>
      <x:c r="Y1024" s="4"/>
      <x:c r="Z1024" s="4"/>
    </x:row>
    <x:row r="1025" ht="23" customHeight="1">
      <x:c r="A1025" s="17" t="n">
        <x:f>ROW()-6</x:f>
        <x:v>1019</x:v>
      </x:c>
      <x:c r="B1025" s="4" t="n">
        <x:f>IF('계산 과정'!$L$5,'계산 과정'!$L$11*SQRT((A1025+0.5)/'계산 과정'!$L$30),"")</x:f>
        <x:v>105.83270535820908</x:v>
      </x:c>
      <x:c r="C1025" s="4" t="n">
        <x:f>A1025*PI()*(3-SQRT(5))</x:f>
        <x:v>2445.5625310934975</x:v>
      </x:c>
      <x:c r="D1025" s="4" t="n">
        <x:f>IF('계산 과정'!$L$5,B1025*COS(C1025),"")</x:f>
        <x:v>17.62852075750337</x:v>
      </x:c>
      <x:c r="E1025" s="4" t="n">
        <x:f>IF('계산 과정'!$L$5,B1025*SIN(C1025),"")</x:f>
        <x:v>104.35418908381095</x:v>
      </x:c>
      <x:c r="F1025" s="4" t="n">
        <x:f>IF('계산 과정'!$L$7,'계산 과정'!$L$22+'계산 과정'!$C$49*D1025+'계산 과정'!$D$49*E1025,"")</x:f>
        <x:v>637.5347534300815</x:v>
      </x:c>
      <x:c r="G1025" s="4" t="n">
        <x:f>IF('계산 과정'!$L$7,IF(ABS(F1025)&gt;=1E-12*MAX(1,SQRT((D1025-'계산 과정'!$C$33)^2+(E1025-'계산 과정'!$D$33)^2+'계산 과정'!$E$33^2)),('계산 과정'!$L$23-'계산 과정'!$C$49*D1025-'계산 과정'!$D$49*E1025)/F1025,""),"")</x:f>
        <x:v>0.6469690387084969</x:v>
      </x:c>
      <x:c r="H1025" s="4" t="n">
        <x:f>IF(AND(ISNUMBER(G1025),G1025&gt;0),('계산 과정'!$D$56+'계산 과정'!$D$57*D1025+'계산 과정'!$D$58*E1025)/F1025,"")</x:f>
        <x:v>20.529875160522863</x:v>
      </x:c>
      <x:c r="I1025" s="4" t="n">
        <x:f>IF(AND(ISNUMBER(G1025),G1025&gt;0),('계산 과정'!$E$56+'계산 과정'!$E$57*D1025+'계산 과정'!$E$58*E1025)/F1025,"")</x:f>
        <x:v>171.86811848056882</x:v>
      </x:c>
      <x:c r="J1025" s="4" t="n">
        <x:f>IF('계산 과정'!$L$5,'계산 과정'!$D$6+'계산 과정'!$C$35*D1025+'계산 과정'!$D$35*E1025,"")</x:f>
        <x:v>637.5347534300815</x:v>
      </x:c>
      <x:c r="K1025" s="4" t="n">
        <x:f>IF(AND('계산 과정'!$L$6,J1025&gt;0),'계산 과정'!$D$10*('계산 과정'!$C$38*(D1025-'계산 과정'!$C$32)+'계산 과정'!$D$38*(E1025-'계산 과정'!$D$32)-'계산 과정'!$E$38*'계산 과정'!$E$32)/J1025,"")</x:f>
        <x:v>0.15641809646112761</x:v>
      </x:c>
      <x:c r="L1025" s="4" t="n">
        <x:f>IF(AND('계산 과정'!$L$6,J1025&gt;0),'계산 과정'!$D$10*('계산 과정'!$C$39*(D1025-'계산 과정'!$C$32)+'계산 과정'!$D$39*(E1025-'계산 과정'!$D$32)-'계산 과정'!$E$39*'계산 과정'!$E$32)/J1025,"")</x:f>
        <x:v>1.3094713788995722</x:v>
      </x:c>
      <x:c r="M1025" s="17" t="n">
        <x:f>IF('계산 과정'!$L$6,IF(J1025&lt;=0,0,IF(AND(ABS(K1025)&lt;='계산 과정'!$D$11/2,ABS(L1025)&lt;='계산 과정'!$D$12/2),1,0)),"")</x:f>
        <x:v>1</x:v>
      </x:c>
      <x:c r="N1025" s="17" t="n">
        <x:f>IF('계산 과정'!$C$78,IF(AND(ISNUMBER(H1025),ISNUMBER(I1025),ABS(H1025-'계산 과정'!$C$88)&lt;='계산 과정'!$D$23/2,ABS(I1025-'계산 과정'!$C$89)&lt;='계산 과정'!$D$24/2),1,0),"")</x:f>
        <x:v>1</x:v>
      </x:c>
      <x:c r="O1025" s="4" t="n">
        <x:f>IF('계산 과정'!$L$7,'계산 과정'!$C$49*('계산 과정'!$C$32-D1025)+'계산 과정'!$D$49*('계산 과정'!$D$32-E1025)+'계산 과정'!$E$49*'계산 과정'!$E$32,"")</x:f>
        <x:v>12.465246569918577</x:v>
      </x:c>
      <x:c r="P1025" s="4" t="n">
        <x:f>IF(AND('계산 과정'!$L$7,O1025&lt;&gt;0),('계산 과정'!$L$23-'계산 과정'!$C$49*D1025-'계산 과정'!$D$49*E1025)/O1025,"")</x:f>
        <x:v>33.08921682827271</x:v>
      </x:c>
      <x:c r="Q1025" s="4" t="str">
        <x:f>IF(AND(ISNUMBER(P1025),P1025&gt;1E-9,P1025&lt;1-1E-9),'계산 과정'!$C$47*(D1025-'계산 과정'!$C$50+P1025*('계산 과정'!$C$32-D1025))+'계산 과정'!$D$47*(E1025-'계산 과정'!$D$50+P1025*('계산 과정'!$D$32-E1025))+'계산 과정'!$E$47*(0-'계산 과정'!$E$50+P1025*('계산 과정'!$E$32-0)),"")</x:f>
      </x:c>
      <x:c r="R1025" s="4" t="str">
        <x:f>IF(AND(ISNUMBER(P1025),P1025&gt;1E-9,P1025&lt;1-1E-9),'계산 과정'!$C$48*(D1025-'계산 과정'!$C$50+P1025*('계산 과정'!$C$32-D1025))+'계산 과정'!$D$48*(E1025-'계산 과정'!$D$50+P1025*('계산 과정'!$D$32-E1025))+'계산 과정'!$E$48*(0-'계산 과정'!$E$50+P1025*('계산 과정'!$E$32-0)),"")</x:f>
      </x:c>
      <x:c r="S1025" s="17" t="n">
        <x:f>IF('계산 과정'!$C$78,IF(AND(ISNUMBER(Q1025),ISNUMBER(R1025),ABS(Q1025-'계산 과정'!$C$88)&lt;='계산 과정'!$D$23/2,ABS(R1025-'계산 과정'!$C$89)&lt;='계산 과정'!$D$24/2),1,0),"")</x:f>
        <x:v>0</x:v>
      </x:c>
      <x:c r="T1025" s="4"/>
      <x:c r="U1025" s="4"/>
      <x:c r="V1025" s="4"/>
      <x:c r="W1025" s="4"/>
      <x:c r="X1025" s="4"/>
      <x:c r="Y1025" s="4"/>
      <x:c r="Z1025" s="4"/>
    </x:row>
    <x:row r="1026" ht="23" customHeight="1">
      <x:c r="A1026" s="17" t="n">
        <x:f>ROW()-6</x:f>
        <x:v>1020</x:v>
      </x:c>
      <x:c r="B1026" s="4" t="n">
        <x:f>IF('계산 과정'!$L$5,'계산 과정'!$L$11*SQRT((A1026+0.5)/'계산 과정'!$L$30),"")</x:f>
        <x:v>105.88459685696735</x:v>
      </x:c>
      <x:c r="C1026" s="4" t="n">
        <x:f>A1026*PI()*(3-SQRT(5))</x:f>
        <x:v>2447.962494323226</x:v>
      </x:c>
      <x:c r="D1026" s="4" t="n">
        <x:f>IF('계산 과정'!$L$5,B1026*COS(C1026),"")</x:f>
        <x:v>-83.52990046355177</x:v>
      </x:c>
      <x:c r="E1026" s="4" t="n">
        <x:f>IF('계산 과정'!$L$5,B1026*SIN(C1026),"")</x:f>
        <x:v>-65.07152664654205</x:v>
      </x:c>
      <x:c r="F1026" s="4" t="n">
        <x:f>IF('계산 과정'!$L$7,'계산 과정'!$L$22+'계산 과정'!$C$49*D1026+'계산 과정'!$D$49*E1026,"")</x:f>
        <x:v>709.0645590496148</x:v>
      </x:c>
      <x:c r="G1026" s="4" t="n">
        <x:f>IF('계산 과정'!$L$7,IF(ABS(F1026)&gt;=1E-12*MAX(1,SQRT((D1026-'계산 과정'!$C$33)^2+(E1026-'계산 과정'!$D$33)^2+'계산 과정'!$E$33^2)),('계산 과정'!$L$23-'계산 과정'!$C$49*D1026-'계산 과정'!$D$49*E1026)/F1026,""),"")</x:f>
        <x:v>0.4808242586646179</x:v>
      </x:c>
      <x:c r="H1026" s="4" t="n">
        <x:f>IF(AND(ISNUMBER(G1026),G1026&gt;0),('계산 과정'!$D$56+'계산 과정'!$D$57*D1026+'계산 과정'!$D$58*E1026)/F1026,"")</x:f>
        <x:v>-87.4642318679985</x:v>
      </x:c>
      <x:c r="I1026" s="4" t="n">
        <x:f>IF(AND(ISNUMBER(G1026),G1026&gt;0),('계산 과정'!$E$56+'계산 과정'!$E$57*D1026+'계산 과정'!$E$58*E1026)/F1026,"")</x:f>
        <x:v>-96.35949520654056</x:v>
      </x:c>
      <x:c r="J1026" s="4" t="n">
        <x:f>IF('계산 과정'!$L$5,'계산 과정'!$D$6+'계산 과정'!$C$35*D1026+'계산 과정'!$D$35*E1026,"")</x:f>
        <x:v>709.0645590496148</x:v>
      </x:c>
      <x:c r="K1026" s="4" t="n">
        <x:f>IF(AND('계산 과정'!$L$6,J1026&gt;0),'계산 과정'!$D$10*('계산 과정'!$C$38*(D1026-'계산 과정'!$C$32)+'계산 과정'!$D$38*(E1026-'계산 과정'!$D$32)-'계산 과정'!$E$38*'계산 과정'!$E$32)/J1026,"")</x:f>
        <x:v>-0.6663941475657025</x:v>
      </x:c>
      <x:c r="L1026" s="4" t="n">
        <x:f>IF(AND('계산 과정'!$L$6,J1026&gt;0),'계산 과정'!$D$10*('계산 과정'!$C$39*(D1026-'계산 과정'!$C$32)+'계산 과정'!$D$39*(E1026-'계산 과정'!$D$32)-'계산 과정'!$E$39*'계산 과정'!$E$32)/J1026,"")</x:f>
        <x:v>-0.7341675825260233</x:v>
      </x:c>
      <x:c r="M1026" s="17" t="n">
        <x:f>IF('계산 과정'!$L$6,IF(J1026&lt;=0,0,IF(AND(ABS(K1026)&lt;='계산 과정'!$D$11/2,ABS(L1026)&lt;='계산 과정'!$D$12/2),1,0)),"")</x:f>
        <x:v>1</x:v>
      </x:c>
      <x:c r="N1026" s="17" t="n">
        <x:f>IF('계산 과정'!$C$78,IF(AND(ISNUMBER(H1026),ISNUMBER(I1026),ABS(H1026-'계산 과정'!$C$88)&lt;='계산 과정'!$D$23/2,ABS(I1026-'계산 과정'!$C$89)&lt;='계산 과정'!$D$24/2),1,0),"")</x:f>
        <x:v>1</x:v>
      </x:c>
      <x:c r="O1026" s="4" t="n">
        <x:f>IF('계산 과정'!$L$7,'계산 과정'!$C$49*('계산 과정'!$C$32-D1026)+'계산 과정'!$D$49*('계산 과정'!$D$32-E1026)+'계산 과정'!$E$49*'계산 과정'!$E$32,"")</x:f>
        <x:v>-59.06455904961473</x:v>
      </x:c>
      <x:c r="P1026" s="4" t="n">
        <x:f>IF(AND('계산 과정'!$L$7,O1026&lt;&gt;0),('계산 과정'!$L$23-'계산 과정'!$C$49*D1026-'계산 과정'!$D$49*E1026)/O1026,"")</x:f>
        <x:v>-5.772250676822908</x:v>
      </x:c>
      <x:c r="Q1026" s="4" t="str">
        <x:f>IF(AND(ISNUMBER(P1026),P1026&gt;1E-9,P1026&lt;1-1E-9),'계산 과정'!$C$47*(D1026-'계산 과정'!$C$50+P1026*('계산 과정'!$C$32-D1026))+'계산 과정'!$D$47*(E1026-'계산 과정'!$D$50+P1026*('계산 과정'!$D$32-E1026))+'계산 과정'!$E$47*(0-'계산 과정'!$E$50+P1026*('계산 과정'!$E$32-0)),"")</x:f>
      </x:c>
      <x:c r="R1026" s="4" t="str">
        <x:f>IF(AND(ISNUMBER(P1026),P1026&gt;1E-9,P1026&lt;1-1E-9),'계산 과정'!$C$48*(D1026-'계산 과정'!$C$50+P1026*('계산 과정'!$C$32-D1026))+'계산 과정'!$D$48*(E1026-'계산 과정'!$D$50+P1026*('계산 과정'!$D$32-E1026))+'계산 과정'!$E$48*(0-'계산 과정'!$E$50+P1026*('계산 과정'!$E$32-0)),"")</x:f>
      </x:c>
      <x:c r="S1026" s="17" t="n">
        <x:f>IF('계산 과정'!$C$78,IF(AND(ISNUMBER(Q1026),ISNUMBER(R1026),ABS(Q1026-'계산 과정'!$C$88)&lt;='계산 과정'!$D$23/2,ABS(R1026-'계산 과정'!$C$89)&lt;='계산 과정'!$D$24/2),1,0),"")</x:f>
        <x:v>0</x:v>
      </x:c>
      <x:c r="T1026" s="4"/>
      <x:c r="U1026" s="4"/>
      <x:c r="V1026" s="4"/>
      <x:c r="W1026" s="4"/>
      <x:c r="X1026" s="4"/>
      <x:c r="Y1026" s="4"/>
      <x:c r="Z1026" s="4"/>
    </x:row>
    <x:row r="1027" ht="23" customHeight="1">
      <x:c r="A1027" s="17" t="n">
        <x:f>ROW()-6</x:f>
        <x:v>1021</x:v>
      </x:c>
      <x:c r="B1027" s="4" t="n">
        <x:f>IF('계산 과정'!$L$5,'계산 과정'!$L$11*SQRT((A1027+0.5)/'계산 과정'!$L$30),"")</x:f>
        <x:v>105.93646293740177</x:v>
      </x:c>
      <x:c r="C1027" s="4" t="n">
        <x:f>A1027*PI()*(3-SQRT(5))</x:f>
        <x:v>2450.3624575529543</x:v>
      </x:c>
      <x:c r="D1027" s="4" t="n">
        <x:f>IF('계산 과정'!$L$5,B1027*COS(C1027),"")</x:f>
        <x:v>105.59923464809329</x:v>
      </x:c>
      <x:c r="E1027" s="4" t="n">
        <x:f>IF('계산 과정'!$L$5,B1027*SIN(C1027),"")</x:f>
        <x:v>-8.44605360061343</x:v>
      </x:c>
      <x:c r="F1027" s="4" t="n">
        <x:f>IF('계산 과정'!$L$7,'계산 과정'!$L$22+'계산 과정'!$C$49*D1027+'계산 과정'!$D$49*E1027,"")</x:f>
        <x:v>575.3300650922238</x:v>
      </x:c>
      <x:c r="G1027" s="4" t="n">
        <x:f>IF('계산 과정'!$L$7,IF(ABS(F1027)&gt;=1E-12*MAX(1,SQRT((D1027-'계산 과정'!$C$33)^2+(E1027-'계산 과정'!$D$33)^2+'계산 과정'!$E$33^2)),('계산 과정'!$L$23-'계산 과정'!$C$49*D1027-'계산 과정'!$D$49*E1027)/F1027,""),"")</x:f>
        <x:v>0.8250393360404135</x:v>
      </x:c>
      <x:c r="H1027" s="4" t="n">
        <x:f>IF(AND(ISNUMBER(G1027),G1027&gt;0),('계산 과정'!$D$56+'계산 과정'!$D$57*D1027+'계산 과정'!$D$58*E1027)/F1027,"")</x:f>
        <x:v>136.27556842626865</x:v>
      </x:c>
      <x:c r="I1027" s="4" t="n">
        <x:f>IF(AND(ISNUMBER(G1027),G1027&gt;0),('계산 과정'!$E$56+'계산 과정'!$E$57*D1027+'계산 과정'!$E$58*E1027)/F1027,"")</x:f>
        <x:v>-15.41438005542528</x:v>
      </x:c>
      <x:c r="J1027" s="4" t="n">
        <x:f>IF('계산 과정'!$L$5,'계산 과정'!$D$6+'계산 과정'!$C$35*D1027+'계산 과정'!$D$35*E1027,"")</x:f>
        <x:v>575.3300650922238</x:v>
      </x:c>
      <x:c r="K1027" s="4" t="n">
        <x:f>IF(AND('계산 과정'!$L$6,J1027&gt;0),'계산 과정'!$D$10*('계산 과정'!$C$38*(D1027-'계산 과정'!$C$32)+'계산 과정'!$D$38*(E1027-'계산 과정'!$D$32)-'계산 과정'!$E$38*'계산 과정'!$E$32)/J1027,"")</x:f>
        <x:v>1.0382900451525239</x:v>
      </x:c>
      <x:c r="L1027" s="4" t="n">
        <x:f>IF(AND('계산 과정'!$L$6,J1027&gt;0),'계산 과정'!$D$10*('계산 과정'!$C$39*(D1027-'계산 과정'!$C$32)+'계산 과정'!$D$39*(E1027-'계산 과정'!$D$32)-'계산 과정'!$E$39*'계산 과정'!$E$32)/J1027,"")</x:f>
        <x:v>-0.11744289566038307</x:v>
      </x:c>
      <x:c r="M1027" s="17" t="n">
        <x:f>IF('계산 과정'!$L$6,IF(J1027&lt;=0,0,IF(AND(ABS(K1027)&lt;='계산 과정'!$D$11/2,ABS(L1027)&lt;='계산 과정'!$D$12/2),1,0)),"")</x:f>
        <x:v>1</x:v>
      </x:c>
      <x:c r="N1027" s="17" t="n">
        <x:f>IF('계산 과정'!$C$78,IF(AND(ISNUMBER(H1027),ISNUMBER(I1027),ABS(H1027-'계산 과정'!$C$88)&lt;='계산 과정'!$D$23/2,ABS(I1027-'계산 과정'!$C$89)&lt;='계산 과정'!$D$24/2),1,0),"")</x:f>
        <x:v>1</x:v>
      </x:c>
      <x:c r="O1027" s="4" t="n">
        <x:f>IF('계산 과정'!$L$7,'계산 과정'!$C$49*('계산 과정'!$C$32-D1027)+'계산 과정'!$D$49*('계산 과정'!$D$32-E1027)+'계산 과정'!$E$49*'계산 과정'!$E$32,"")</x:f>
        <x:v>74.66993490777628</x:v>
      </x:c>
      <x:c r="P1027" s="4" t="n">
        <x:f>IF(AND('계산 과정'!$L$7,O1027&lt;&gt;0),('계산 과정'!$L$23-'계산 과정'!$C$49*D1027-'계산 과정'!$D$49*E1027)/O1027,"")</x:f>
        <x:v>6.356908379443934</x:v>
      </x:c>
      <x:c r="Q1027" s="4" t="str">
        <x:f>IF(AND(ISNUMBER(P1027),P1027&gt;1E-9,P1027&lt;1-1E-9),'계산 과정'!$C$47*(D1027-'계산 과정'!$C$50+P1027*('계산 과정'!$C$32-D1027))+'계산 과정'!$D$47*(E1027-'계산 과정'!$D$50+P1027*('계산 과정'!$D$32-E1027))+'계산 과정'!$E$47*(0-'계산 과정'!$E$50+P1027*('계산 과정'!$E$32-0)),"")</x:f>
      </x:c>
      <x:c r="R1027" s="4" t="str">
        <x:f>IF(AND(ISNUMBER(P1027),P1027&gt;1E-9,P1027&lt;1-1E-9),'계산 과정'!$C$48*(D1027-'계산 과정'!$C$50+P1027*('계산 과정'!$C$32-D1027))+'계산 과정'!$D$48*(E1027-'계산 과정'!$D$50+P1027*('계산 과정'!$D$32-E1027))+'계산 과정'!$E$48*(0-'계산 과정'!$E$50+P1027*('계산 과정'!$E$32-0)),"")</x:f>
      </x:c>
      <x:c r="S1027" s="17" t="n">
        <x:f>IF('계산 과정'!$C$78,IF(AND(ISNUMBER(Q1027),ISNUMBER(R1027),ABS(Q1027-'계산 과정'!$C$88)&lt;='계산 과정'!$D$23/2,ABS(R1027-'계산 과정'!$C$89)&lt;='계산 과정'!$D$24/2),1,0),"")</x:f>
        <x:v>0</x:v>
      </x:c>
      <x:c r="T1027" s="4"/>
      <x:c r="U1027" s="4"/>
      <x:c r="V1027" s="4"/>
      <x:c r="W1027" s="4"/>
      <x:c r="X1027" s="4"/>
      <x:c r="Y1027" s="4"/>
      <x:c r="Z1027" s="4"/>
    </x:row>
    <x:row r="1028" ht="23" customHeight="1">
      <x:c r="A1028" s="17" t="n">
        <x:f>ROW()-6</x:f>
        <x:v>1022</x:v>
      </x:c>
      <x:c r="B1028" s="4" t="n">
        <x:f>IF('계산 과정'!$L$5,'계산 과정'!$L$11*SQRT((A1028+0.5)/'계산 과정'!$L$30),"")</x:f>
        <x:v>105.98830363682825</x:v>
      </x:c>
      <x:c r="C1028" s="4" t="n">
        <x:f>A1028*PI()*(3-SQRT(5))</x:f>
        <x:v>2452.762420782683</x:v>
      </x:c>
      <x:c r="D1028" s="4" t="n">
        <x:f>IF('계산 과정'!$L$5,B1028*COS(C1028),"")</x:f>
        <x:v>-72.19567409036765</x:v>
      </x:c>
      <x:c r="E1028" s="4" t="n">
        <x:f>IF('계산 과정'!$L$5,B1028*SIN(C1028),"")</x:f>
        <x:v>77.59706921301807</x:v>
      </x:c>
      <x:c r="F1028" s="4" t="n">
        <x:f>IF('계산 과정'!$L$7,'계산 과정'!$L$22+'계산 과정'!$C$49*D1028+'계산 과정'!$D$49*E1028,"")</x:f>
        <x:v>701.0500507216329</x:v>
      </x:c>
      <x:c r="G1028" s="4" t="n">
        <x:f>IF('계산 과정'!$L$7,IF(ABS(F1028)&gt;=1E-12*MAX(1,SQRT((D1028-'계산 과정'!$C$33)^2+(E1028-'계산 과정'!$D$33)^2+'계산 과정'!$E$33^2)),('계산 과정'!$L$23-'계산 과정'!$C$49*D1028-'계산 과정'!$D$49*E1028)/F1028,""),"")</x:f>
        <x:v>0.4977532615812123</x:v>
      </x:c>
      <x:c r="H1028" s="4" t="n">
        <x:f>IF(AND(ISNUMBER(G1028),G1028&gt;0),('계산 과정'!$D$56+'계산 과정'!$D$57*D1028+'계산 과정'!$D$58*E1028)/F1028,"")</x:f>
        <x:v>-76.46037997221211</x:v>
      </x:c>
      <x:c r="I1028" s="4" t="n">
        <x:f>IF(AND(ISNUMBER(G1028),G1028&gt;0),('계산 과정'!$E$56+'계산 과정'!$E$57*D1028+'계산 과정'!$E$58*E1028)/F1028,"")</x:f>
        <x:v>116.22126350294089</x:v>
      </x:c>
      <x:c r="J1028" s="4" t="n">
        <x:f>IF('계산 과정'!$L$5,'계산 과정'!$D$6+'계산 과정'!$C$35*D1028+'계산 과정'!$D$35*E1028,"")</x:f>
        <x:v>701.0500507216329</x:v>
      </x:c>
      <x:c r="K1028" s="4" t="n">
        <x:f>IF(AND('계산 과정'!$L$6,J1028&gt;0),'계산 과정'!$D$10*('계산 과정'!$C$38*(D1028-'계산 과정'!$C$32)+'계산 과정'!$D$38*(E1028-'계산 과정'!$D$32)-'계산 과정'!$E$38*'계산 과정'!$E$32)/J1028,"")</x:f>
        <x:v>-0.5825552759787579</x:v>
      </x:c>
      <x:c r="L1028" s="4" t="n">
        <x:f>IF(AND('계산 과정'!$L$6,J1028&gt;0),'계산 과정'!$D$10*('계산 과정'!$C$39*(D1028-'계산 과정'!$C$32)+'계산 과정'!$D$39*(E1028-'계산 과정'!$D$32)-'계산 과정'!$E$39*'계산 과정'!$E$32)/J1028,"")</x:f>
        <x:v>0.8854953409747878</x:v>
      </x:c>
      <x:c r="M1028" s="17" t="n">
        <x:f>IF('계산 과정'!$L$6,IF(J1028&lt;=0,0,IF(AND(ABS(K1028)&lt;='계산 과정'!$D$11/2,ABS(L1028)&lt;='계산 과정'!$D$12/2),1,0)),"")</x:f>
        <x:v>1</x:v>
      </x:c>
      <x:c r="N1028" s="17" t="n">
        <x:f>IF('계산 과정'!$C$78,IF(AND(ISNUMBER(H1028),ISNUMBER(I1028),ABS(H1028-'계산 과정'!$C$88)&lt;='계산 과정'!$D$23/2,ABS(I1028-'계산 과정'!$C$89)&lt;='계산 과정'!$D$24/2),1,0),"")</x:f>
        <x:v>1</x:v>
      </x:c>
      <x:c r="O1028" s="4" t="n">
        <x:f>IF('계산 과정'!$L$7,'계산 과정'!$C$49*('계산 과정'!$C$32-D1028)+'계산 과정'!$D$49*('계산 과정'!$D$32-E1028)+'계산 과정'!$E$49*'계산 과정'!$E$32,"")</x:f>
        <x:v>-51.05005072163277</x:v>
      </x:c>
      <x:c r="P1028" s="4" t="n">
        <x:f>IF(AND('계산 과정'!$L$7,O1028&lt;&gt;0),('계산 과정'!$L$23-'계산 과정'!$C$49*D1028-'계산 과정'!$D$49*E1028)/O1028,"")</x:f>
        <x:v>-6.835447650799247</x:v>
      </x:c>
      <x:c r="Q1028" s="4" t="str">
        <x:f>IF(AND(ISNUMBER(P1028),P1028&gt;1E-9,P1028&lt;1-1E-9),'계산 과정'!$C$47*(D1028-'계산 과정'!$C$50+P1028*('계산 과정'!$C$32-D1028))+'계산 과정'!$D$47*(E1028-'계산 과정'!$D$50+P1028*('계산 과정'!$D$32-E1028))+'계산 과정'!$E$47*(0-'계산 과정'!$E$50+P1028*('계산 과정'!$E$32-0)),"")</x:f>
      </x:c>
      <x:c r="R1028" s="4" t="str">
        <x:f>IF(AND(ISNUMBER(P1028),P1028&gt;1E-9,P1028&lt;1-1E-9),'계산 과정'!$C$48*(D1028-'계산 과정'!$C$50+P1028*('계산 과정'!$C$32-D1028))+'계산 과정'!$D$48*(E1028-'계산 과정'!$D$50+P1028*('계산 과정'!$D$32-E1028))+'계산 과정'!$E$48*(0-'계산 과정'!$E$50+P1028*('계산 과정'!$E$32-0)),"")</x:f>
      </x:c>
      <x:c r="S1028" s="17" t="n">
        <x:f>IF('계산 과정'!$C$78,IF(AND(ISNUMBER(Q1028),ISNUMBER(R1028),ABS(Q1028-'계산 과정'!$C$88)&lt;='계산 과정'!$D$23/2,ABS(R1028-'계산 과정'!$C$89)&lt;='계산 과정'!$D$24/2),1,0),"")</x:f>
        <x:v>0</x:v>
      </x:c>
      <x:c r="T1028" s="4"/>
      <x:c r="U1028" s="4"/>
      <x:c r="V1028" s="4"/>
      <x:c r="W1028" s="4"/>
      <x:c r="X1028" s="4"/>
      <x:c r="Y1028" s="4"/>
      <x:c r="Z1028" s="4"/>
    </x:row>
    <x:row r="1029" ht="23" customHeight="1">
      <x:c r="A1029" s="17" t="n">
        <x:f>ROW()-6</x:f>
        <x:v>1023</x:v>
      </x:c>
      <x:c r="B1029" s="4" t="n">
        <x:f>IF('계산 과정'!$L$5,'계산 과정'!$L$11*SQRT((A1029+0.5)/'계산 과정'!$L$30),"")</x:f>
        <x:v>106.04011899247142</x:v>
      </x:c>
      <x:c r="C1029" s="4" t="n">
        <x:f>A1029*PI()*(3-SQRT(5))</x:f>
        <x:v>2455.162384012412</x:v>
      </x:c>
      <x:c r="D1029" s="4" t="n">
        <x:f>IF('계산 과정'!$L$5,B1029*COS(C1029),"")</x:f>
        <x:v>0.8191763712988995</x:v>
      </x:c>
      <x:c r="E1029" s="4" t="n">
        <x:f>IF('계산 과정'!$L$5,B1029*SIN(C1029),"")</x:f>
        <x:v>-106.03695481298114</x:v>
      </x:c>
      <x:c r="F1029" s="4" t="n">
        <x:f>IF('계산 과정'!$L$7,'계산 과정'!$L$22+'계산 과정'!$C$49*D1029+'계산 과정'!$D$49*E1029,"")</x:f>
        <x:v>649.4207548328668</x:v>
      </x:c>
      <x:c r="G1029" s="4" t="n">
        <x:f>IF('계산 과정'!$L$7,IF(ABS(F1029)&gt;=1E-12*MAX(1,SQRT((D1029-'계산 과정'!$C$33)^2+(E1029-'계산 과정'!$D$33)^2+'계산 과정'!$E$33^2)),('계산 과정'!$L$23-'계산 과정'!$C$49*D1029-'계산 과정'!$D$49*E1029)/F1029,""),"")</x:f>
        <x:v>0.6168254435758298</x:v>
      </x:c>
      <x:c r="H1029" s="4" t="n">
        <x:f>IF(AND(ISNUMBER(G1029),G1029&gt;0),('계산 과정'!$D$56+'계산 과정'!$D$57*D1029+'계산 과정'!$D$58*E1029)/F1029,"")</x:f>
        <x:v>0.9365383242892443</x:v>
      </x:c>
      <x:c r="I1029" s="4" t="n">
        <x:f>IF(AND(ISNUMBER(G1029),G1029&gt;0),('계산 과정'!$E$56+'계산 과정'!$E$57*D1029+'계산 과정'!$E$58*E1029)/F1029,"")</x:f>
        <x:v>-171.4432465009284</x:v>
      </x:c>
      <x:c r="J1029" s="4" t="n">
        <x:f>IF('계산 과정'!$L$5,'계산 과정'!$D$6+'계산 과정'!$C$35*D1029+'계산 과정'!$D$35*E1029,"")</x:f>
        <x:v>649.4207548328668</x:v>
      </x:c>
      <x:c r="K1029" s="4" t="n">
        <x:f>IF(AND('계산 과정'!$L$6,J1029&gt;0),'계산 과정'!$D$10*('계산 과정'!$C$38*(D1029-'계산 과정'!$C$32)+'계산 과정'!$D$38*(E1029-'계산 과정'!$D$32)-'계산 과정'!$E$38*'계산 과정'!$E$32)/J1029,"")</x:f>
        <x:v>0.007135530089823809</x:v>
      </x:c>
      <x:c r="L1029" s="4" t="n">
        <x:f>IF(AND('계산 과정'!$L$6,J1029&gt;0),'계산 과정'!$D$10*('계산 과정'!$C$39*(D1029-'계산 과정'!$C$32)+'계산 과정'!$D$39*(E1029-'계산 과정'!$D$32)-'계산 과정'!$E$39*'계산 과정'!$E$32)/J1029,"")</x:f>
        <x:v>-1.306234259054693</x:v>
      </x:c>
      <x:c r="M1029" s="17" t="n">
        <x:f>IF('계산 과정'!$L$6,IF(J1029&lt;=0,0,IF(AND(ABS(K1029)&lt;='계산 과정'!$D$11/2,ABS(L1029)&lt;='계산 과정'!$D$12/2),1,0)),"")</x:f>
        <x:v>1</x:v>
      </x:c>
      <x:c r="N1029" s="17" t="n">
        <x:f>IF('계산 과정'!$C$78,IF(AND(ISNUMBER(H1029),ISNUMBER(I1029),ABS(H1029-'계산 과정'!$C$88)&lt;='계산 과정'!$D$23/2,ABS(I1029-'계산 과정'!$C$89)&lt;='계산 과정'!$D$24/2),1,0),"")</x:f>
        <x:v>1</x:v>
      </x:c>
      <x:c r="O1029" s="4" t="n">
        <x:f>IF('계산 과정'!$L$7,'계산 과정'!$C$49*('계산 과정'!$C$32-D1029)+'계산 과정'!$D$49*('계산 과정'!$D$32-E1029)+'계산 과정'!$E$49*'계산 과정'!$E$32,"")</x:f>
        <x:v>0.5792451671333652</x:v>
      </x:c>
      <x:c r="P1029" s="4" t="n">
        <x:f>IF(AND('계산 과정'!$L$7,O1029&lt;&gt;0),('계산 과정'!$L$23-'계산 과정'!$C$49*D1029-'계산 과정'!$D$49*E1029)/O1029,"")</x:f>
        <x:v>691.5538840825651</x:v>
      </x:c>
      <x:c r="Q1029" s="4" t="str">
        <x:f>IF(AND(ISNUMBER(P1029),P1029&gt;1E-9,P1029&lt;1-1E-9),'계산 과정'!$C$47*(D1029-'계산 과정'!$C$50+P1029*('계산 과정'!$C$32-D1029))+'계산 과정'!$D$47*(E1029-'계산 과정'!$D$50+P1029*('계산 과정'!$D$32-E1029))+'계산 과정'!$E$47*(0-'계산 과정'!$E$50+P1029*('계산 과정'!$E$32-0)),"")</x:f>
      </x:c>
      <x:c r="R1029" s="4" t="str">
        <x:f>IF(AND(ISNUMBER(P1029),P1029&gt;1E-9,P1029&lt;1-1E-9),'계산 과정'!$C$48*(D1029-'계산 과정'!$C$50+P1029*('계산 과정'!$C$32-D1029))+'계산 과정'!$D$48*(E1029-'계산 과정'!$D$50+P1029*('계산 과정'!$D$32-E1029))+'계산 과정'!$E$48*(0-'계산 과정'!$E$50+P1029*('계산 과정'!$E$32-0)),"")</x:f>
      </x:c>
      <x:c r="S1029" s="17" t="n">
        <x:f>IF('계산 과정'!$C$78,IF(AND(ISNUMBER(Q1029),ISNUMBER(R1029),ABS(Q1029-'계산 과정'!$C$88)&lt;='계산 과정'!$D$23/2,ABS(R1029-'계산 과정'!$C$89)&lt;='계산 과정'!$D$24/2),1,0),"")</x:f>
        <x:v>0</x:v>
      </x:c>
      <x:c r="T1029" s="4"/>
      <x:c r="U1029" s="4"/>
      <x:c r="V1029" s="4"/>
      <x:c r="W1029" s="4"/>
      <x:c r="X1029" s="4"/>
      <x:c r="Y1029" s="4"/>
      <x:c r="Z1029" s="4"/>
    </x:row>
    <x:row r="1030" ht="23" customHeight="1">
      <x:c r="A1030" s="17" t="n">
        <x:f>ROW()-6</x:f>
        <x:v>1024</x:v>
      </x:c>
      <x:c r="B1030" s="4" t="n">
        <x:f>IF('계산 과정'!$L$5,'계산 과정'!$L$11*SQRT((A1030+0.5)/'계산 과정'!$L$30),"")</x:f>
        <x:v>106.09190904146509</x:v>
      </x:c>
      <x:c r="C1030" s="4" t="n">
        <x:f>A1030*PI()*(3-SQRT(5))</x:f>
        <x:v>2457.5623472421407</x:v>
      </x:c>
      <x:c r="D1030" s="4" t="n">
        <x:f>IF('계산 과정'!$L$5,B1030*COS(C1030),"")</x:f>
        <x:v>71.05758626781846</x:v>
      </x:c>
      <x:c r="E1030" s="4" t="n">
        <x:f>IF('계산 과정'!$L$5,B1030*SIN(C1030),"")</x:f>
        <x:v>78.78015357851264</x:v>
      </x:c>
      <x:c r="F1030" s="4" t="n">
        <x:f>IF('계산 과정'!$L$7,'계산 과정'!$L$22+'계산 과정'!$C$49*D1030+'계산 과정'!$D$49*E1030,"")</x:f>
        <x:v>599.7546988952774</x:v>
      </x:c>
      <x:c r="G1030" s="4" t="n">
        <x:f>IF('계산 과정'!$L$7,IF(ABS(F1030)&gt;=1E-12*MAX(1,SQRT((D1030-'계산 과정'!$C$33)^2+(E1030-'계산 과정'!$D$33)^2+'계산 과정'!$E$33^2)),('계산 과정'!$L$23-'계산 과정'!$C$49*D1030-'계산 과정'!$D$49*E1030)/F1030,""),"")</x:f>
        <x:v>0.7507157541809263</x:v>
      </x:c>
      <x:c r="H1030" s="4" t="n">
        <x:f>IF(AND(ISNUMBER(G1030),G1030&gt;0),('계산 과정'!$D$56+'계산 과정'!$D$57*D1030+'계산 과정'!$D$58*E1030)/F1030,"")</x:f>
        <x:v>87.96524021760195</x:v>
      </x:c>
      <x:c r="I1030" s="4" t="n">
        <x:f>IF(AND(ISNUMBER(G1030),G1030&gt;0),('계산 과정'!$E$56+'계산 과정'!$E$57*D1030+'계산 과정'!$E$58*E1030)/F1030,"")</x:f>
        <x:v>137.92165598669496</x:v>
      </x:c>
      <x:c r="J1030" s="4" t="n">
        <x:f>IF('계산 과정'!$L$5,'계산 과정'!$D$6+'계산 과정'!$C$35*D1030+'계산 과정'!$D$35*E1030,"")</x:f>
        <x:v>599.7546988952774</x:v>
      </x:c>
      <x:c r="K1030" s="4" t="n">
        <x:f>IF(AND('계산 과정'!$L$6,J1030&gt;0),'계산 과정'!$D$10*('계산 과정'!$C$38*(D1030-'계산 과정'!$C$32)+'계산 과정'!$D$38*(E1030-'계산 과정'!$D$32)-'계산 과정'!$E$38*'계산 과정'!$E$32)/J1030,"")</x:f>
        <x:v>0.670211354038873</x:v>
      </x:c>
      <x:c r="L1030" s="4" t="n">
        <x:f>IF(AND('계산 과정'!$L$6,J1030&gt;0),'계산 과정'!$D$10*('계산 과정'!$C$39*(D1030-'계산 과정'!$C$32)+'계산 과정'!$D$39*(E1030-'계산 과정'!$D$32)-'계산 과정'!$E$39*'계산 과정'!$E$32)/J1030,"")</x:f>
        <x:v>1.050831664660533</x:v>
      </x:c>
      <x:c r="M1030" s="17" t="n">
        <x:f>IF('계산 과정'!$L$6,IF(J1030&lt;=0,0,IF(AND(ABS(K1030)&lt;='계산 과정'!$D$11/2,ABS(L1030)&lt;='계산 과정'!$D$12/2),1,0)),"")</x:f>
        <x:v>1</x:v>
      </x:c>
      <x:c r="N1030" s="17" t="n">
        <x:f>IF('계산 과정'!$C$78,IF(AND(ISNUMBER(H1030),ISNUMBER(I1030),ABS(H1030-'계산 과정'!$C$88)&lt;='계산 과정'!$D$23/2,ABS(I1030-'계산 과정'!$C$89)&lt;='계산 과정'!$D$24/2),1,0),"")</x:f>
        <x:v>1</x:v>
      </x:c>
      <x:c r="O1030" s="4" t="n">
        <x:f>IF('계산 과정'!$L$7,'계산 과정'!$C$49*('계산 과정'!$C$32-D1030)+'계산 과정'!$D$49*('계산 과정'!$D$32-E1030)+'계산 과정'!$E$49*'계산 과정'!$E$32,"")</x:f>
        <x:v>50.24530110472267</x:v>
      </x:c>
      <x:c r="P1030" s="4" t="n">
        <x:f>IF(AND('계산 과정'!$L$7,O1030&lt;&gt;0),('계산 과정'!$L$23-'계산 과정'!$C$49*D1030-'계산 과정'!$D$49*E1030)/O1030,"")</x:f>
        <x:v>8.96094343561219</x:v>
      </x:c>
      <x:c r="Q1030" s="4" t="str">
        <x:f>IF(AND(ISNUMBER(P1030),P1030&gt;1E-9,P1030&lt;1-1E-9),'계산 과정'!$C$47*(D1030-'계산 과정'!$C$50+P1030*('계산 과정'!$C$32-D1030))+'계산 과정'!$D$47*(E1030-'계산 과정'!$D$50+P1030*('계산 과정'!$D$32-E1030))+'계산 과정'!$E$47*(0-'계산 과정'!$E$50+P1030*('계산 과정'!$E$32-0)),"")</x:f>
      </x:c>
      <x:c r="R1030" s="4" t="str">
        <x:f>IF(AND(ISNUMBER(P1030),P1030&gt;1E-9,P1030&lt;1-1E-9),'계산 과정'!$C$48*(D1030-'계산 과정'!$C$50+P1030*('계산 과정'!$C$32-D1030))+'계산 과정'!$D$48*(E1030-'계산 과정'!$D$50+P1030*('계산 과정'!$D$32-E1030))+'계산 과정'!$E$48*(0-'계산 과정'!$E$50+P1030*('계산 과정'!$E$32-0)),"")</x:f>
      </x:c>
      <x:c r="S1030" s="17" t="n">
        <x:f>IF('계산 과정'!$C$78,IF(AND(ISNUMBER(Q1030),ISNUMBER(R1030),ABS(Q1030-'계산 과정'!$C$88)&lt;='계산 과정'!$D$23/2,ABS(R1030-'계산 과정'!$C$89)&lt;='계산 과정'!$D$24/2),1,0),"")</x:f>
        <x:v>0</x:v>
      </x:c>
      <x:c r="T1030" s="4"/>
      <x:c r="U1030" s="4"/>
      <x:c r="V1030" s="4"/>
      <x:c r="W1030" s="4"/>
      <x:c r="X1030" s="4"/>
      <x:c r="Y1030" s="4"/>
      <x:c r="Z1030" s="4"/>
    </x:row>
    <x:row r="1031" ht="23" customHeight="1">
      <x:c r="A1031" s="17" t="n">
        <x:f>ROW()-6</x:f>
        <x:v>1025</x:v>
      </x:c>
      <x:c r="B1031" s="4" t="n">
        <x:f>IF('계산 과정'!$L$5,'계산 과정'!$L$11*SQRT((A1031+0.5)/'계산 과정'!$L$30),"")</x:f>
        <x:v>106.14367382085237</x:v>
      </x:c>
      <x:c r="C1031" s="4" t="n">
        <x:f>A1031*PI()*(3-SQRT(5))</x:f>
        <x:v>2459.962310471869</x:v>
      </x:c>
      <x:c r="D1031" s="4" t="n">
        <x:f>IF('계산 과정'!$L$5,B1031*COS(C1031),"")</x:f>
        <x:v>-105.66241186266438</x:v>
      </x:c>
      <x:c r="E1031" s="4" t="n">
        <x:f>IF('계산 과정'!$L$5,B1031*SIN(C1031),"")</x:f>
        <x:v>-10.096247399513494</x:v>
      </x:c>
      <x:c r="F1031" s="4" t="n">
        <x:f>IF('계산 과정'!$L$7,'계산 과정'!$L$22+'계산 과정'!$C$49*D1031+'계산 과정'!$D$49*E1031,"")</x:f>
        <x:v>724.7146079446159</x:v>
      </x:c>
      <x:c r="G1031" s="4" t="n">
        <x:f>IF('계산 과정'!$L$7,IF(ABS(F1031)&gt;=1E-12*MAX(1,SQRT((D1031-'계산 과정'!$C$33)^2+(E1031-'계산 과정'!$D$33)^2+'계산 과정'!$E$33^2)),('계산 과정'!$L$23-'계산 과정'!$C$49*D1031-'계산 과정'!$D$49*E1031)/F1031,""),"")</x:f>
        <x:v>0.4488461919898862</x:v>
      </x:c>
      <x:c r="H1031" s="4" t="n">
        <x:f>IF(AND(ISNUMBER(G1031),G1031&gt;0),('계산 과정'!$D$56+'계산 과정'!$D$57*D1031+'계산 과정'!$D$58*E1031)/F1031,"")</x:f>
        <x:v>-108.24997520657415</x:v>
      </x:c>
      <x:c r="I1031" s="4" t="n">
        <x:f>IF(AND(ISNUMBER(G1031),G1031&gt;0),('계산 과정'!$E$56+'계산 과정'!$E$57*D1031+'계산 과정'!$E$58*E1031)/F1031,"")</x:f>
        <x:v>-14.627909598172918</x:v>
      </x:c>
      <x:c r="J1031" s="4" t="n">
        <x:f>IF('계산 과정'!$L$5,'계산 과정'!$D$6+'계산 과정'!$C$35*D1031+'계산 과정'!$D$35*E1031,"")</x:f>
        <x:v>724.7146079446159</x:v>
      </x:c>
      <x:c r="K1031" s="4" t="n">
        <x:f>IF(AND('계산 과정'!$L$6,J1031&gt;0),'계산 과정'!$D$10*('계산 과정'!$C$38*(D1031-'계산 과정'!$C$32)+'계산 과정'!$D$38*(E1031-'계산 과정'!$D$32)-'계산 과정'!$E$38*'계산 과정'!$E$32)/J1031,"")</x:f>
        <x:v>-0.8247617158596113</x:v>
      </x:c>
      <x:c r="L1031" s="4" t="n">
        <x:f>IF(AND('계산 과정'!$L$6,J1031&gt;0),'계산 과정'!$D$10*('계산 과정'!$C$39*(D1031-'계산 과정'!$C$32)+'계산 과정'!$D$39*(E1031-'계산 과정'!$D$32)-'계산 과정'!$E$39*'계산 과정'!$E$32)/J1031,"")</x:f>
        <x:v>-0.11145073979560317</x:v>
      </x:c>
      <x:c r="M1031" s="17" t="n">
        <x:f>IF('계산 과정'!$L$6,IF(J1031&lt;=0,0,IF(AND(ABS(K1031)&lt;='계산 과정'!$D$11/2,ABS(L1031)&lt;='계산 과정'!$D$12/2),1,0)),"")</x:f>
        <x:v>1</x:v>
      </x:c>
      <x:c r="N1031" s="17" t="n">
        <x:f>IF('계산 과정'!$C$78,IF(AND(ISNUMBER(H1031),ISNUMBER(I1031),ABS(H1031-'계산 과정'!$C$88)&lt;='계산 과정'!$D$23/2,ABS(I1031-'계산 과정'!$C$89)&lt;='계산 과정'!$D$24/2),1,0),"")</x:f>
        <x:v>1</x:v>
      </x:c>
      <x:c r="O1031" s="4" t="n">
        <x:f>IF('계산 과정'!$L$7,'계산 과정'!$C$49*('계산 과정'!$C$32-D1031)+'계산 과정'!$D$49*('계산 과정'!$D$32-E1031)+'계산 과정'!$E$49*'계산 과정'!$E$32,"")</x:f>
        <x:v>-74.71460794461575</x:v>
      </x:c>
      <x:c r="P1031" s="4" t="n">
        <x:f>IF(AND('계산 과정'!$L$7,O1031&lt;&gt;0),('계산 과정'!$L$23-'계산 과정'!$C$49*D1031-'계산 과정'!$D$49*E1031)/O1031,"")</x:f>
        <x:v>-4.353705399839759</x:v>
      </x:c>
      <x:c r="Q1031" s="4" t="str">
        <x:f>IF(AND(ISNUMBER(P1031),P1031&gt;1E-9,P1031&lt;1-1E-9),'계산 과정'!$C$47*(D1031-'계산 과정'!$C$50+P1031*('계산 과정'!$C$32-D1031))+'계산 과정'!$D$47*(E1031-'계산 과정'!$D$50+P1031*('계산 과정'!$D$32-E1031))+'계산 과정'!$E$47*(0-'계산 과정'!$E$50+P1031*('계산 과정'!$E$32-0)),"")</x:f>
      </x:c>
      <x:c r="R1031" s="4" t="str">
        <x:f>IF(AND(ISNUMBER(P1031),P1031&gt;1E-9,P1031&lt;1-1E-9),'계산 과정'!$C$48*(D1031-'계산 과정'!$C$50+P1031*('계산 과정'!$C$32-D1031))+'계산 과정'!$D$48*(E1031-'계산 과정'!$D$50+P1031*('계산 과정'!$D$32-E1031))+'계산 과정'!$E$48*(0-'계산 과정'!$E$50+P1031*('계산 과정'!$E$32-0)),"")</x:f>
      </x:c>
      <x:c r="S1031" s="17" t="n">
        <x:f>IF('계산 과정'!$C$78,IF(AND(ISNUMBER(Q1031),ISNUMBER(R1031),ABS(Q1031-'계산 과정'!$C$88)&lt;='계산 과정'!$D$23/2,ABS(R1031-'계산 과정'!$C$89)&lt;='계산 과정'!$D$24/2),1,0),"")</x:f>
        <x:v>0</x:v>
      </x:c>
      <x:c r="T1031" s="4"/>
      <x:c r="U1031" s="4"/>
      <x:c r="V1031" s="4"/>
      <x:c r="W1031" s="4"/>
      <x:c r="X1031" s="4"/>
      <x:c r="Y1031" s="4"/>
      <x:c r="Z1031" s="4"/>
    </x:row>
    <x:row r="1032" ht="23" customHeight="1">
      <x:c r="A1032" s="17" t="n">
        <x:f>ROW()-6</x:f>
        <x:v>1026</x:v>
      </x:c>
      <x:c r="B1032" s="4" t="n">
        <x:f>IF('계산 과정'!$L$5,'계산 과정'!$L$11*SQRT((A1032+0.5)/'계산 과정'!$L$30),"")</x:f>
        <x:v>106.19541336758617</x:v>
      </x:c>
      <x:c r="C1032" s="4" t="n">
        <x:f>A1032*PI()*(3-SQRT(5))</x:f>
        <x:v>2462.362273701598</x:v>
      </x:c>
      <x:c r="D1032" s="4" t="n">
        <x:f>IF('계산 과정'!$L$5,B1032*COS(C1032),"")</x:f>
        <x:v>84.77339372561579</x:v>
      </x:c>
      <x:c r="E1032" s="4" t="n">
        <x:f>IF('계산 과정'!$L$5,B1032*SIN(C1032),"")</x:f>
        <x:v>-63.96043727613363</x:v>
      </x:c>
      <x:c r="F1032" s="4" t="n">
        <x:f>IF('계산 과정'!$L$7,'계산 과정'!$L$22+'계산 과정'!$C$49*D1032+'계산 과정'!$D$49*E1032,"")</x:f>
        <x:v>590.0561584324199</x:v>
      </x:c>
      <x:c r="G1032" s="4" t="n">
        <x:f>IF('계산 과정'!$L$7,IF(ABS(F1032)&gt;=1E-12*MAX(1,SQRT((D1032-'계산 과정'!$C$33)^2+(E1032-'계산 과정'!$D$33)^2+'계산 과정'!$E$33^2)),('계산 과정'!$L$23-'계산 과정'!$C$49*D1032-'계산 과정'!$D$49*E1032)/F1032,""),"")</x:f>
        <x:v>0.7794916382018545</x:v>
      </x:c>
      <x:c r="H1032" s="4" t="n">
        <x:f>IF(AND(ISNUMBER(G1032),G1032&gt;0),('계산 과정'!$D$56+'계산 과정'!$D$57*D1032+'계산 과정'!$D$58*E1032)/F1032,"")</x:f>
        <x:v>106.66956483120535</x:v>
      </x:c>
      <x:c r="I1032" s="4" t="n">
        <x:f>IF(AND(ISNUMBER(G1032),G1032&gt;0),('계산 과정'!$E$56+'계산 과정'!$E$57*D1032+'계산 과정'!$E$58*E1032)/F1032,"")</x:f>
        <x:v>-113.81706330861401</x:v>
      </x:c>
      <x:c r="J1032" s="4" t="n">
        <x:f>IF('계산 과정'!$L$5,'계산 과정'!$D$6+'계산 과정'!$C$35*D1032+'계산 과정'!$D$35*E1032,"")</x:f>
        <x:v>590.0561584324199</x:v>
      </x:c>
      <x:c r="K1032" s="4" t="n">
        <x:f>IF(AND('계산 과정'!$L$6,J1032&gt;0),'계산 과정'!$D$10*('계산 과정'!$C$38*(D1032-'계산 과정'!$C$32)+'계산 과정'!$D$38*(E1032-'계산 과정'!$D$32)-'계산 과정'!$E$38*'계산 과정'!$E$32)/J1032,"")</x:f>
        <x:v>0.8127204939520419</x:v>
      </x:c>
      <x:c r="L1032" s="4" t="n">
        <x:f>IF(AND('계산 과정'!$L$6,J1032&gt;0),'계산 과정'!$D$10*('계산 과정'!$C$39*(D1032-'계산 과정'!$C$32)+'계산 과정'!$D$39*(E1032-'계산 과정'!$D$32)-'계산 과정'!$E$39*'계산 과정'!$E$32)/J1032,"")</x:f>
        <x:v>-0.8671776252084876</x:v>
      </x:c>
      <x:c r="M1032" s="17" t="n">
        <x:f>IF('계산 과정'!$L$6,IF(J1032&lt;=0,0,IF(AND(ABS(K1032)&lt;='계산 과정'!$D$11/2,ABS(L1032)&lt;='계산 과정'!$D$12/2),1,0)),"")</x:f>
        <x:v>1</x:v>
      </x:c>
      <x:c r="N1032" s="17" t="n">
        <x:f>IF('계산 과정'!$C$78,IF(AND(ISNUMBER(H1032),ISNUMBER(I1032),ABS(H1032-'계산 과정'!$C$88)&lt;='계산 과정'!$D$23/2,ABS(I1032-'계산 과정'!$C$89)&lt;='계산 과정'!$D$24/2),1,0),"")</x:f>
        <x:v>1</x:v>
      </x:c>
      <x:c r="O1032" s="4" t="n">
        <x:f>IF('계산 과정'!$L$7,'계산 과정'!$C$49*('계산 과정'!$C$32-D1032)+'계산 과정'!$D$49*('계산 과정'!$D$32-E1032)+'계산 과정'!$E$49*'계산 과정'!$E$32,"")</x:f>
        <x:v>59.94384156758014</x:v>
      </x:c>
      <x:c r="P1032" s="4" t="n">
        <x:f>IF(AND('계산 과정'!$L$7,O1032&lt;&gt;0),('계산 과정'!$L$23-'계산 과정'!$C$49*D1032-'계산 과정'!$D$49*E1032)/O1032,"")</x:f>
        <x:v>7.672912338276545</x:v>
      </x:c>
      <x:c r="Q1032" s="4" t="str">
        <x:f>IF(AND(ISNUMBER(P1032),P1032&gt;1E-9,P1032&lt;1-1E-9),'계산 과정'!$C$47*(D1032-'계산 과정'!$C$50+P1032*('계산 과정'!$C$32-D1032))+'계산 과정'!$D$47*(E1032-'계산 과정'!$D$50+P1032*('계산 과정'!$D$32-E1032))+'계산 과정'!$E$47*(0-'계산 과정'!$E$50+P1032*('계산 과정'!$E$32-0)),"")</x:f>
      </x:c>
      <x:c r="R1032" s="4" t="str">
        <x:f>IF(AND(ISNUMBER(P1032),P1032&gt;1E-9,P1032&lt;1-1E-9),'계산 과정'!$C$48*(D1032-'계산 과정'!$C$50+P1032*('계산 과정'!$C$32-D1032))+'계산 과정'!$D$48*(E1032-'계산 과정'!$D$50+P1032*('계산 과정'!$D$32-E1032))+'계산 과정'!$E$48*(0-'계산 과정'!$E$50+P1032*('계산 과정'!$E$32-0)),"")</x:f>
      </x:c>
      <x:c r="S1032" s="17" t="n">
        <x:f>IF('계산 과정'!$C$78,IF(AND(ISNUMBER(Q1032),ISNUMBER(R1032),ABS(Q1032-'계산 과정'!$C$88)&lt;='계산 과정'!$D$23/2,ABS(R1032-'계산 과정'!$C$89)&lt;='계산 과정'!$D$24/2),1,0),"")</x:f>
        <x:v>0</x:v>
      </x:c>
      <x:c r="T1032" s="4"/>
      <x:c r="U1032" s="4"/>
      <x:c r="V1032" s="4"/>
      <x:c r="W1032" s="4"/>
      <x:c r="X1032" s="4"/>
      <x:c r="Y1032" s="4"/>
      <x:c r="Z1032" s="4"/>
    </x:row>
    <x:row r="1033" ht="23" customHeight="1">
      <x:c r="A1033" s="17" t="n">
        <x:f>ROW()-6</x:f>
        <x:v>1027</x:v>
      </x:c>
      <x:c r="B1033" s="4" t="n">
        <x:f>IF('계산 과정'!$L$5,'계산 과정'!$L$11*SQRT((A1033+0.5)/'계산 과정'!$L$30),"")</x:f>
        <x:v>106.2471277185294</x:v>
      </x:c>
      <x:c r="C1033" s="4" t="n">
        <x:f>A1033*PI()*(3-SQRT(5))</x:f>
        <x:v>2464.7622369313267</x:v>
      </x:c>
      <x:c r="D1033" s="4" t="n">
        <x:f>IF('계산 과정'!$L$5,B1033*COS(C1033),"")</x:f>
        <x:v>-19.314008457723506</x:v>
      </x:c>
      <x:c r="E1033" s="4" t="n">
        <x:f>IF('계산 과정'!$L$5,B1033*SIN(C1033),"")</x:f>
        <x:v>104.47689326225432</x:v>
      </x:c>
      <x:c r="F1033" s="4" t="n">
        <x:f>IF('계산 과정'!$L$7,'계산 과정'!$L$22+'계산 과정'!$C$49*D1033+'계산 과정'!$D$49*E1033,"")</x:f>
        <x:v>663.6570663523506</x:v>
      </x:c>
      <x:c r="G1033" s="4" t="n">
        <x:f>IF('계산 과정'!$L$7,IF(ABS(F1033)&gt;=1E-12*MAX(1,SQRT((D1033-'계산 과정'!$C$33)^2+(E1033-'계산 과정'!$D$33)^2+'계산 과정'!$E$33^2)),('계산 과정'!$L$23-'계산 과정'!$C$49*D1033-'계산 과정'!$D$49*E1033)/F1033,""),"")</x:f>
        <x:v>0.5821424245071342</x:v>
      </x:c>
      <x:c r="H1033" s="4" t="n">
        <x:f>IF(AND(ISNUMBER(G1033),G1033&gt;0),('계산 과정'!$D$56+'계산 과정'!$D$57*D1033+'계산 과정'!$D$58*E1033)/F1033,"")</x:f>
        <x:v>-21.607424070362935</x:v>
      </x:c>
      <x:c r="I1033" s="4" t="n">
        <x:f>IF(AND(ISNUMBER(G1033),G1033&gt;0),('계산 과정'!$E$56+'계산 과정'!$E$57*D1033+'계산 과정'!$E$58*E1033)/F1033,"")</x:f>
        <x:v>165.2973252109161</x:v>
      </x:c>
      <x:c r="J1033" s="4" t="n">
        <x:f>IF('계산 과정'!$L$5,'계산 과정'!$D$6+'계산 과정'!$C$35*D1033+'계산 과정'!$D$35*E1033,"")</x:f>
        <x:v>663.6570663523506</x:v>
      </x:c>
      <x:c r="K1033" s="4" t="n">
        <x:f>IF(AND('계산 과정'!$L$6,J1033&gt;0),'계산 과정'!$D$10*('계산 과정'!$C$38*(D1033-'계산 과정'!$C$32)+'계산 과정'!$D$38*(E1033-'계산 과정'!$D$32)-'계산 과정'!$E$38*'계산 과정'!$E$32)/J1033,"")</x:f>
        <x:v>-0.16462799291705008</x:v>
      </x:c>
      <x:c r="L1033" s="4" t="n">
        <x:f>IF(AND('계산 과정'!$L$6,J1033&gt;0),'계산 과정'!$D$10*('계산 과정'!$C$39*(D1033-'계산 과정'!$C$32)+'계산 과정'!$D$39*(E1033-'계산 과정'!$D$32)-'계산 과정'!$E$39*'계산 과정'!$E$32)/J1033,"")</x:f>
        <x:v>1.2594081920831703</x:v>
      </x:c>
      <x:c r="M1033" s="17" t="n">
        <x:f>IF('계산 과정'!$L$6,IF(J1033&lt;=0,0,IF(AND(ABS(K1033)&lt;='계산 과정'!$D$11/2,ABS(L1033)&lt;='계산 과정'!$D$12/2),1,0)),"")</x:f>
        <x:v>1</x:v>
      </x:c>
      <x:c r="N1033" s="17" t="n">
        <x:f>IF('계산 과정'!$C$78,IF(AND(ISNUMBER(H1033),ISNUMBER(I1033),ABS(H1033-'계산 과정'!$C$88)&lt;='계산 과정'!$D$23/2,ABS(I1033-'계산 과정'!$C$89)&lt;='계산 과정'!$D$24/2),1,0),"")</x:f>
        <x:v>1</x:v>
      </x:c>
      <x:c r="O1033" s="4" t="n">
        <x:f>IF('계산 과정'!$L$7,'계산 과정'!$C$49*('계산 과정'!$C$32-D1033)+'계산 과정'!$D$49*('계산 과정'!$D$32-E1033)+'계산 과정'!$E$49*'계산 과정'!$E$32,"")</x:f>
        <x:v>-13.657066352350512</x:v>
      </x:c>
      <x:c r="P1033" s="4" t="n">
        <x:f>IF(AND('계산 과정'!$L$7,O1033&lt;&gt;0),('계산 과정'!$L$23-'계산 과정'!$C$49*D1033-'계산 과정'!$D$49*E1033)/O1033,"")</x:f>
        <x:v>-28.288866999694708</x:v>
      </x:c>
      <x:c r="Q1033" s="4" t="str">
        <x:f>IF(AND(ISNUMBER(P1033),P1033&gt;1E-9,P1033&lt;1-1E-9),'계산 과정'!$C$47*(D1033-'계산 과정'!$C$50+P1033*('계산 과정'!$C$32-D1033))+'계산 과정'!$D$47*(E1033-'계산 과정'!$D$50+P1033*('계산 과정'!$D$32-E1033))+'계산 과정'!$E$47*(0-'계산 과정'!$E$50+P1033*('계산 과정'!$E$32-0)),"")</x:f>
      </x:c>
      <x:c r="R1033" s="4" t="str">
        <x:f>IF(AND(ISNUMBER(P1033),P1033&gt;1E-9,P1033&lt;1-1E-9),'계산 과정'!$C$48*(D1033-'계산 과정'!$C$50+P1033*('계산 과정'!$C$32-D1033))+'계산 과정'!$D$48*(E1033-'계산 과정'!$D$50+P1033*('계산 과정'!$D$32-E1033))+'계산 과정'!$E$48*(0-'계산 과정'!$E$50+P1033*('계산 과정'!$E$32-0)),"")</x:f>
      </x:c>
      <x:c r="S1033" s="17" t="n">
        <x:f>IF('계산 과정'!$C$78,IF(AND(ISNUMBER(Q1033),ISNUMBER(R1033),ABS(Q1033-'계산 과정'!$C$88)&lt;='계산 과정'!$D$23/2,ABS(R1033-'계산 과정'!$C$89)&lt;='계산 과정'!$D$24/2),1,0),"")</x:f>
        <x:v>0</x:v>
      </x:c>
      <x:c r="T1033" s="4"/>
      <x:c r="U1033" s="4"/>
      <x:c r="V1033" s="4"/>
      <x:c r="W1033" s="4"/>
      <x:c r="X1033" s="4"/>
      <x:c r="Y1033" s="4"/>
      <x:c r="Z1033" s="4"/>
    </x:row>
    <x:row r="1034" ht="23" customHeight="1">
      <x:c r="A1034" s="17" t="n">
        <x:f>ROW()-6</x:f>
        <x:v>1028</x:v>
      </x:c>
      <x:c r="B1034" s="4" t="n">
        <x:f>IF('계산 과정'!$L$5,'계산 과정'!$L$11*SQRT((A1034+0.5)/'계산 과정'!$L$30),"")</x:f>
        <x:v>106.29881691045532</x:v>
      </x:c>
      <x:c r="C1034" s="4" t="n">
        <x:f>A1034*PI()*(3-SQRT(5))</x:f>
        <x:v>2467.1622001610554</x:v>
      </x:c>
      <x:c r="D1034" s="4" t="n">
        <x:f>IF('계산 과정'!$L$5,B1034*COS(C1034),"")</x:f>
        <x:v>-56.3589839196516</x:v>
      </x:c>
      <x:c r="E1034" s="4" t="n">
        <x:f>IF('계산 과정'!$L$5,B1034*SIN(C1034),"")</x:f>
        <x:v>-90.12826087364026</x:v>
      </x:c>
      <x:c r="F1034" s="4" t="n">
        <x:f>IF('계산 과정'!$L$7,'계산 과정'!$L$22+'계산 과정'!$C$49*D1034+'계산 과정'!$D$49*E1034,"")</x:f>
        <x:v>689.8518197103692</x:v>
      </x:c>
      <x:c r="G1034" s="4" t="n">
        <x:f>IF('계산 과정'!$L$7,IF(ABS(F1034)&gt;=1E-12*MAX(1,SQRT((D1034-'계산 과정'!$C$33)^2+(E1034-'계산 과정'!$D$33)^2+'계산 과정'!$E$33^2)),('계산 과정'!$L$23-'계산 과정'!$C$49*D1034-'계산 과정'!$D$49*E1034)/F1034,""),"")</x:f>
        <x:v>0.5220660002619651</x:v>
      </x:c>
      <x:c r="H1034" s="4" t="n">
        <x:f>IF(AND(ISNUMBER(G1034),G1034&gt;0),('계산 과정'!$D$56+'계산 과정'!$D$57*D1034+'계산 과정'!$D$58*E1034)/F1034,"")</x:f>
        <x:v>-60.657099829722775</x:v>
      </x:c>
      <x:c r="I1034" s="4" t="n">
        <x:f>IF(AND(ISNUMBER(G1034),G1034&gt;0),('계산 과정'!$E$56+'계산 과정'!$E$57*D1034+'계산 과정'!$E$58*E1034)/F1034,"")</x:f>
        <x:v>-137.1811615385086</x:v>
      </x:c>
      <x:c r="J1034" s="4" t="n">
        <x:f>IF('계산 과정'!$L$5,'계산 과정'!$D$6+'계산 과정'!$C$35*D1034+'계산 과정'!$D$35*E1034,"")</x:f>
        <x:v>689.8518197103692</x:v>
      </x:c>
      <x:c r="K1034" s="4" t="n">
        <x:f>IF(AND('계산 과정'!$L$6,J1034&gt;0),'계산 과정'!$D$10*('계산 과정'!$C$38*(D1034-'계산 과정'!$C$32)+'계산 과정'!$D$38*(E1034-'계산 과정'!$D$32)-'계산 과정'!$E$38*'계산 과정'!$E$32)/J1034,"")</x:f>
        <x:v>-0.462149332035982</x:v>
      </x:c>
      <x:c r="L1034" s="4" t="n">
        <x:f>IF(AND('계산 과정'!$L$6,J1034&gt;0),'계산 과정'!$D$10*('계산 과정'!$C$39*(D1034-'계산 과정'!$C$32)+'계산 과정'!$D$39*(E1034-'계산 과정'!$D$32)-'계산 과정'!$E$39*'계산 과정'!$E$32)/J1034,"")</x:f>
        <x:v>-1.0451898021981607</x:v>
      </x:c>
      <x:c r="M1034" s="17" t="n">
        <x:f>IF('계산 과정'!$L$6,IF(J1034&lt;=0,0,IF(AND(ABS(K1034)&lt;='계산 과정'!$D$11/2,ABS(L1034)&lt;='계산 과정'!$D$12/2),1,0)),"")</x:f>
        <x:v>1</x:v>
      </x:c>
      <x:c r="N1034" s="17" t="n">
        <x:f>IF('계산 과정'!$C$78,IF(AND(ISNUMBER(H1034),ISNUMBER(I1034),ABS(H1034-'계산 과정'!$C$88)&lt;='계산 과정'!$D$23/2,ABS(I1034-'계산 과정'!$C$89)&lt;='계산 과정'!$D$24/2),1,0),"")</x:f>
        <x:v>1</x:v>
      </x:c>
      <x:c r="O1034" s="4" t="n">
        <x:f>IF('계산 과정'!$L$7,'계산 과정'!$C$49*('계산 과정'!$C$32-D1034)+'계산 과정'!$D$49*('계산 과정'!$D$32-E1034)+'계산 과정'!$E$49*'계산 과정'!$E$32,"")</x:f>
        <x:v>-39.851819710369114</x:v>
      </x:c>
      <x:c r="P1034" s="4" t="n">
        <x:f>IF(AND('계산 과정'!$L$7,O1034&lt;&gt;0),('계산 과정'!$L$23-'계산 과정'!$C$49*D1034-'계산 과정'!$D$49*E1034)/O1034,"")</x:f>
        <x:v>-9.03718281642038</x:v>
      </x:c>
      <x:c r="Q1034" s="4" t="str">
        <x:f>IF(AND(ISNUMBER(P1034),P1034&gt;1E-9,P1034&lt;1-1E-9),'계산 과정'!$C$47*(D1034-'계산 과정'!$C$50+P1034*('계산 과정'!$C$32-D1034))+'계산 과정'!$D$47*(E1034-'계산 과정'!$D$50+P1034*('계산 과정'!$D$32-E1034))+'계산 과정'!$E$47*(0-'계산 과정'!$E$50+P1034*('계산 과정'!$E$32-0)),"")</x:f>
      </x:c>
      <x:c r="R1034" s="4" t="str">
        <x:f>IF(AND(ISNUMBER(P1034),P1034&gt;1E-9,P1034&lt;1-1E-9),'계산 과정'!$C$48*(D1034-'계산 과정'!$C$50+P1034*('계산 과정'!$C$32-D1034))+'계산 과정'!$D$48*(E1034-'계산 과정'!$D$50+P1034*('계산 과정'!$D$32-E1034))+'계산 과정'!$E$48*(0-'계산 과정'!$E$50+P1034*('계산 과정'!$E$32-0)),"")</x:f>
      </x:c>
      <x:c r="S1034" s="17" t="n">
        <x:f>IF('계산 과정'!$C$78,IF(AND(ISNUMBER(Q1034),ISNUMBER(R1034),ABS(Q1034-'계산 과정'!$C$88)&lt;='계산 과정'!$D$23/2,ABS(R1034-'계산 과정'!$C$89)&lt;='계산 과정'!$D$24/2),1,0),"")</x:f>
        <x:v>0</x:v>
      </x:c>
      <x:c r="T1034" s="4"/>
      <x:c r="U1034" s="4"/>
      <x:c r="V1034" s="4"/>
      <x:c r="W1034" s="4"/>
      <x:c r="X1034" s="4"/>
      <x:c r="Y1034" s="4"/>
      <x:c r="Z1034" s="4"/>
    </x:row>
    <x:row r="1035" ht="23" customHeight="1">
      <x:c r="A1035" s="17" t="n">
        <x:f>ROW()-6</x:f>
        <x:v>1029</x:v>
      </x:c>
      <x:c r="B1035" s="4" t="n">
        <x:f>IF('계산 과정'!$L$5,'계산 과정'!$L$11*SQRT((A1035+0.5)/'계산 과정'!$L$30),"")</x:f>
        <x:v>106.35048098004775</x:v>
      </x:c>
      <x:c r="C1035" s="4" t="n">
        <x:f>A1035*PI()*(3-SQRT(5))</x:f>
        <x:v>2469.5621633907836</x:v>
      </x:c>
      <x:c r="D1035" s="4" t="n">
        <x:f>IF('계산 과정'!$L$5,B1035*COS(C1035),"")</x:f>
        <x:v>102.48791387189011</x:v>
      </x:c>
      <x:c r="E1035" s="4" t="n">
        <x:f>IF('계산 과정'!$L$5,B1035*SIN(C1035),"")</x:f>
        <x:v>28.401625215390975</x:v>
      </x:c>
      <x:c r="F1035" s="4" t="n">
        <x:f>IF('계산 과정'!$L$7,'계산 과정'!$L$22+'계산 과정'!$C$49*D1035+'계산 과정'!$D$49*E1035,"")</x:f>
        <x:v>577.5301011115237</x:v>
      </x:c>
      <x:c r="G1035" s="4" t="n">
        <x:f>IF('계산 과정'!$L$7,IF(ABS(F1035)&gt;=1E-12*MAX(1,SQRT((D1035-'계산 과정'!$C$33)^2+(E1035-'계산 과정'!$D$33)^2+'계산 과정'!$E$33^2)),('계산 과정'!$L$23-'계산 과정'!$C$49*D1035-'계산 과정'!$D$49*E1035)/F1035,""),"")</x:f>
        <x:v>0.8180870537815315</x:v>
      </x:c>
      <x:c r="H1035" s="4" t="n">
        <x:f>IF(AND(ISNUMBER(G1035),G1035&gt;0),('계산 과정'!$D$56+'계산 과정'!$D$57*D1035+'계산 과정'!$D$58*E1035)/F1035,"")</x:f>
        <x:v>131.75658495799533</x:v>
      </x:c>
      <x:c r="I1035" s="4" t="n">
        <x:f>IF(AND(ISNUMBER(G1035),G1035&gt;0),('계산 과정'!$E$56+'계산 과정'!$E$57*D1035+'계산 과정'!$E$58*E1035)/F1035,"")</x:f>
        <x:v>51.63662711045743</x:v>
      </x:c>
      <x:c r="J1035" s="4" t="n">
        <x:f>IF('계산 과정'!$L$5,'계산 과정'!$D$6+'계산 과정'!$C$35*D1035+'계산 과정'!$D$35*E1035,"")</x:f>
        <x:v>577.5301011115237</x:v>
      </x:c>
      <x:c r="K1035" s="4" t="n">
        <x:f>IF(AND('계산 과정'!$L$6,J1035&gt;0),'계산 과정'!$D$10*('계산 과정'!$C$38*(D1035-'계산 과정'!$C$32)+'계산 과정'!$D$38*(E1035-'계산 과정'!$D$32)-'계산 과정'!$E$38*'계산 과정'!$E$32)/J1035,"")</x:f>
        <x:v>1.0038596949180603</x:v>
      </x:c>
      <x:c r="L1035" s="4" t="n">
        <x:f>IF(AND('계산 과정'!$L$6,J1035&gt;0),'계산 과정'!$D$10*('계산 과정'!$C$39*(D1035-'계산 과정'!$C$32)+'계산 과정'!$D$39*(E1035-'계산 과정'!$D$32)-'계산 과정'!$E$39*'계산 과정'!$E$32)/J1035,"")</x:f>
        <x:v>0.39342192084158045</x:v>
      </x:c>
      <x:c r="M1035" s="17" t="n">
        <x:f>IF('계산 과정'!$L$6,IF(J1035&lt;=0,0,IF(AND(ABS(K1035)&lt;='계산 과정'!$D$11/2,ABS(L1035)&lt;='계산 과정'!$D$12/2),1,0)),"")</x:f>
        <x:v>1</x:v>
      </x:c>
      <x:c r="N1035" s="17" t="n">
        <x:f>IF('계산 과정'!$C$78,IF(AND(ISNUMBER(H1035),ISNUMBER(I1035),ABS(H1035-'계산 과정'!$C$88)&lt;='계산 과정'!$D$23/2,ABS(I1035-'계산 과정'!$C$89)&lt;='계산 과정'!$D$24/2),1,0),"")</x:f>
        <x:v>1</x:v>
      </x:c>
      <x:c r="O1035" s="4" t="n">
        <x:f>IF('계산 과정'!$L$7,'계산 과정'!$C$49*('계산 과정'!$C$32-D1035)+'계산 과정'!$D$49*('계산 과정'!$D$32-E1035)+'계산 과정'!$E$49*'계산 과정'!$E$32,"")</x:f>
        <x:v>72.46989888847642</x:v>
      </x:c>
      <x:c r="P1035" s="4" t="n">
        <x:f>IF(AND('계산 과정'!$L$7,O1035&lt;&gt;0),('계산 과정'!$L$23-'계산 과정'!$C$49*D1035-'계산 과정'!$D$49*E1035)/O1035,"")</x:f>
        <x:v>6.519533021779953</x:v>
      </x:c>
      <x:c r="Q1035" s="4" t="str">
        <x:f>IF(AND(ISNUMBER(P1035),P1035&gt;1E-9,P1035&lt;1-1E-9),'계산 과정'!$C$47*(D1035-'계산 과정'!$C$50+P1035*('계산 과정'!$C$32-D1035))+'계산 과정'!$D$47*(E1035-'계산 과정'!$D$50+P1035*('계산 과정'!$D$32-E1035))+'계산 과정'!$E$47*(0-'계산 과정'!$E$50+P1035*('계산 과정'!$E$32-0)),"")</x:f>
      </x:c>
      <x:c r="R1035" s="4" t="str">
        <x:f>IF(AND(ISNUMBER(P1035),P1035&gt;1E-9,P1035&lt;1-1E-9),'계산 과정'!$C$48*(D1035-'계산 과정'!$C$50+P1035*('계산 과정'!$C$32-D1035))+'계산 과정'!$D$48*(E1035-'계산 과정'!$D$50+P1035*('계산 과정'!$D$32-E1035))+'계산 과정'!$E$48*(0-'계산 과정'!$E$50+P1035*('계산 과정'!$E$32-0)),"")</x:f>
      </x:c>
      <x:c r="S1035" s="17" t="n">
        <x:f>IF('계산 과정'!$C$78,IF(AND(ISNUMBER(Q1035),ISNUMBER(R1035),ABS(Q1035-'계산 과정'!$C$88)&lt;='계산 과정'!$D$23/2,ABS(R1035-'계산 과정'!$C$89)&lt;='계산 과정'!$D$24/2),1,0),"")</x:f>
        <x:v>0</x:v>
      </x:c>
      <x:c r="T1035" s="4"/>
      <x:c r="U1035" s="4"/>
      <x:c r="V1035" s="4"/>
      <x:c r="W1035" s="4"/>
      <x:c r="X1035" s="4"/>
      <x:c r="Y1035" s="4"/>
      <x:c r="Z1035" s="4"/>
    </x:row>
    <x:row r="1036" ht="23" customHeight="1">
      <x:c r="A1036" s="17" t="n">
        <x:f>ROW()-6</x:f>
        <x:v>1030</x:v>
      </x:c>
      <x:c r="B1036" s="4" t="n">
        <x:f>IF('계산 과정'!$L$5,'계산 과정'!$L$11*SQRT((A1036+0.5)/'계산 과정'!$L$30),"")</x:f>
        <x:v>106.40211996390157</x:v>
      </x:c>
      <x:c r="C1036" s="4" t="n">
        <x:f>A1036*PI()*(3-SQRT(5))</x:f>
        <x:v>2471.9621266205127</x:v>
      </x:c>
      <x:c r="D1036" s="4" t="n">
        <x:f>IF('계산 과정'!$L$5,B1036*COS(C1036),"")</x:f>
        <x:v>-94.80242967487726</x:v>
      </x:c>
      <x:c r="E1036" s="4" t="n">
        <x:f>IF('계산 과정'!$L$5,B1036*SIN(C1036),"")</x:f>
        <x:v>48.31056261887719</x:v>
      </x:c>
      <x:c r="F1036" s="4" t="n">
        <x:f>IF('계산 과정'!$L$7,'계산 과정'!$L$22+'계산 과정'!$C$49*D1036+'계산 과정'!$D$49*E1036,"")</x:f>
        <x:v>717.0354408960665</x:v>
      </x:c>
      <x:c r="G1036" s="4" t="n">
        <x:f>IF('계산 과정'!$L$7,IF(ABS(F1036)&gt;=1E-12*MAX(1,SQRT((D1036-'계산 과정'!$C$33)^2+(E1036-'계산 과정'!$D$33)^2+'계산 과정'!$E$33^2)),('계산 과정'!$L$23-'계산 과정'!$C$49*D1036-'계산 과정'!$D$49*E1036)/F1036,""),"")</x:f>
        <x:v>0.46436276383749403</x:v>
      </x:c>
      <x:c r="H1036" s="4" t="n">
        <x:f>IF(AND(ISNUMBER(G1036),G1036&gt;0),('계산 과정'!$D$56+'계산 과정'!$D$57*D1036+'계산 과정'!$D$58*E1036)/F1036,"")</x:f>
        <x:v>-98.16420350562903</x:v>
      </x:c>
      <x:c r="I1036" s="4" t="n">
        <x:f>IF(AND(ISNUMBER(G1036),G1036&gt;0),('계산 과정'!$E$56+'계산 과정'!$E$57*D1036+'계산 과정'!$E$58*E1036)/F1036,"")</x:f>
        <x:v>70.74418899912332</x:v>
      </x:c>
      <x:c r="J1036" s="4" t="n">
        <x:f>IF('계산 과정'!$L$5,'계산 과정'!$D$6+'계산 과정'!$C$35*D1036+'계산 과정'!$D$35*E1036,"")</x:f>
        <x:v>717.0354408960665</x:v>
      </x:c>
      <x:c r="K1036" s="4" t="n">
        <x:f>IF(AND('계산 과정'!$L$6,J1036&gt;0),'계산 과정'!$D$10*('계산 과정'!$C$38*(D1036-'계산 과정'!$C$32)+'계산 과정'!$D$38*(E1036-'계산 과정'!$D$32)-'계산 과정'!$E$38*'계산 과정'!$E$32)/J1036,"")</x:f>
        <x:v>-0.7479177409952682</x:v>
      </x:c>
      <x:c r="L1036" s="4" t="n">
        <x:f>IF(AND('계산 과정'!$L$6,J1036&gt;0),'계산 과정'!$D$10*('계산 과정'!$C$39*(D1036-'계산 과정'!$C$32)+'계산 과정'!$D$39*(E1036-'계산 과정'!$D$32)-'계산 과정'!$E$39*'계산 과정'!$E$32)/J1036,"")</x:f>
        <x:v>0.5390033447552254</x:v>
      </x:c>
      <x:c r="M1036" s="17" t="n">
        <x:f>IF('계산 과정'!$L$6,IF(J1036&lt;=0,0,IF(AND(ABS(K1036)&lt;='계산 과정'!$D$11/2,ABS(L1036)&lt;='계산 과정'!$D$12/2),1,0)),"")</x:f>
        <x:v>1</x:v>
      </x:c>
      <x:c r="N1036" s="17" t="n">
        <x:f>IF('계산 과정'!$C$78,IF(AND(ISNUMBER(H1036),ISNUMBER(I1036),ABS(H1036-'계산 과정'!$C$88)&lt;='계산 과정'!$D$23/2,ABS(I1036-'계산 과정'!$C$89)&lt;='계산 과정'!$D$24/2),1,0),"")</x:f>
        <x:v>1</x:v>
      </x:c>
      <x:c r="O1036" s="4" t="n">
        <x:f>IF('계산 과정'!$L$7,'계산 과정'!$C$49*('계산 과정'!$C$32-D1036)+'계산 과정'!$D$49*('계산 과정'!$D$32-E1036)+'계산 과정'!$E$49*'계산 과정'!$E$32,"")</x:f>
        <x:v>-67.0354408960664</x:v>
      </x:c>
      <x:c r="P1036" s="4" t="n">
        <x:f>IF(AND('계산 과정'!$L$7,O1036&lt;&gt;0),('계산 과정'!$L$23-'계산 과정'!$C$49*D1036-'계산 과정'!$D$49*E1036)/O1036,"")</x:f>
        <x:v>-4.966992901861732</x:v>
      </x:c>
      <x:c r="Q1036" s="4" t="str">
        <x:f>IF(AND(ISNUMBER(P1036),P1036&gt;1E-9,P1036&lt;1-1E-9),'계산 과정'!$C$47*(D1036-'계산 과정'!$C$50+P1036*('계산 과정'!$C$32-D1036))+'계산 과정'!$D$47*(E1036-'계산 과정'!$D$50+P1036*('계산 과정'!$D$32-E1036))+'계산 과정'!$E$47*(0-'계산 과정'!$E$50+P1036*('계산 과정'!$E$32-0)),"")</x:f>
      </x:c>
      <x:c r="R1036" s="4" t="str">
        <x:f>IF(AND(ISNUMBER(P1036),P1036&gt;1E-9,P1036&lt;1-1E-9),'계산 과정'!$C$48*(D1036-'계산 과정'!$C$50+P1036*('계산 과정'!$C$32-D1036))+'계산 과정'!$D$48*(E1036-'계산 과정'!$D$50+P1036*('계산 과정'!$D$32-E1036))+'계산 과정'!$E$48*(0-'계산 과정'!$E$50+P1036*('계산 과정'!$E$32-0)),"")</x:f>
      </x:c>
      <x:c r="S1036" s="17" t="n">
        <x:f>IF('계산 과정'!$C$78,IF(AND(ISNUMBER(Q1036),ISNUMBER(R1036),ABS(Q1036-'계산 과정'!$C$88)&lt;='계산 과정'!$D$23/2,ABS(R1036-'계산 과정'!$C$89)&lt;='계산 과정'!$D$24/2),1,0),"")</x:f>
        <x:v>0</x:v>
      </x:c>
      <x:c r="T1036" s="4"/>
      <x:c r="U1036" s="4"/>
      <x:c r="V1036" s="4"/>
      <x:c r="W1036" s="4"/>
      <x:c r="X1036" s="4"/>
      <x:c r="Y1036" s="4"/>
      <x:c r="Z1036" s="4"/>
    </x:row>
    <x:row r="1037" ht="23" customHeight="1">
      <x:c r="A1037" s="17" t="n">
        <x:f>ROW()-6</x:f>
        <x:v>1031</x:v>
      </x:c>
      <x:c r="B1037" s="4" t="n">
        <x:f>IF('계산 과정'!$L$5,'계산 과정'!$L$11*SQRT((A1037+0.5)/'계산 과정'!$L$30),"")</x:f>
        <x:v>106.45373389852278</x:v>
      </x:c>
      <x:c r="C1037" s="4" t="n">
        <x:f>A1037*PI()*(3-SQRT(5))</x:f>
        <x:v>2474.3620898502413</x:v>
      </x:c>
      <x:c r="D1037" s="4" t="n">
        <x:f>IF('계산 과정'!$L$5,B1037*COS(C1037),"")</x:f>
        <x:v>37.28912462573703</x:v>
      </x:c>
      <x:c r="E1037" s="4" t="n">
        <x:f>IF('계산 과정'!$L$5,B1037*SIN(C1037),"")</x:f>
        <x:v>-99.70917031840025</x:v>
      </x:c>
      <x:c r="F1037" s="4" t="n">
        <x:f>IF('계산 과정'!$L$7,'계산 과정'!$L$22+'계산 과정'!$C$49*D1037+'계산 과정'!$D$49*E1037,"")</x:f>
        <x:v>623.632607112631</x:v>
      </x:c>
      <x:c r="G1037" s="4" t="n">
        <x:f>IF('계산 과정'!$L$7,IF(ABS(F1037)&gt;=1E-12*MAX(1,SQRT((D1037-'계산 과정'!$C$33)^2+(E1037-'계산 과정'!$D$33)^2+'계산 과정'!$E$33^2)),('계산 과정'!$L$23-'계산 과정'!$C$49*D1037-'계산 과정'!$D$49*E1037)/F1037,""),"")</x:f>
        <x:v>0.6836836111912361</x:v>
      </x:c>
      <x:c r="H1037" s="4" t="n">
        <x:f>IF(AND(ISNUMBER(G1037),G1037&gt;0),('계산 과정'!$D$56+'계산 과정'!$D$57*D1037+'계산 과정'!$D$58*E1037)/F1037,"")</x:f>
        <x:v>44.39434727430334</x:v>
      </x:c>
      <x:c r="I1037" s="4" t="n">
        <x:f>IF(AND(ISNUMBER(G1037),G1037&gt;0),('계산 과정'!$E$56+'계산 과정'!$E$57*D1037+'계산 과정'!$E$58*E1037)/F1037,"")</x:f>
        <x:v>-167.87869595056614</x:v>
      </x:c>
      <x:c r="J1037" s="4" t="n">
        <x:f>IF('계산 과정'!$L$5,'계산 과정'!$D$6+'계산 과정'!$C$35*D1037+'계산 과정'!$D$35*E1037,"")</x:f>
        <x:v>623.632607112631</x:v>
      </x:c>
      <x:c r="K1037" s="4" t="n">
        <x:f>IF(AND('계산 과정'!$L$6,J1037&gt;0),'계산 과정'!$D$10*('계산 과정'!$C$38*(D1037-'계산 과정'!$C$32)+'계산 과정'!$D$38*(E1037-'계산 과정'!$D$32)-'계산 과정'!$E$38*'계산 과정'!$E$32)/J1037,"")</x:f>
        <x:v>0.3382426458994552</x:v>
      </x:c>
      <x:c r="L1037" s="4" t="n">
        <x:f>IF(AND('계산 과정'!$L$6,J1037&gt;0),'계산 과정'!$D$10*('계산 과정'!$C$39*(D1037-'계산 과정'!$C$32)+'계산 과정'!$D$39*(E1037-'계산 과정'!$D$32)-'계산 과정'!$E$39*'계산 과정'!$E$32)/J1037,"")</x:f>
        <x:v>-1.2790757786709803</x:v>
      </x:c>
      <x:c r="M1037" s="17" t="n">
        <x:f>IF('계산 과정'!$L$6,IF(J1037&lt;=0,0,IF(AND(ABS(K1037)&lt;='계산 과정'!$D$11/2,ABS(L1037)&lt;='계산 과정'!$D$12/2),1,0)),"")</x:f>
        <x:v>1</x:v>
      </x:c>
      <x:c r="N1037" s="17" t="n">
        <x:f>IF('계산 과정'!$C$78,IF(AND(ISNUMBER(H1037),ISNUMBER(I1037),ABS(H1037-'계산 과정'!$C$88)&lt;='계산 과정'!$D$23/2,ABS(I1037-'계산 과정'!$C$89)&lt;='계산 과정'!$D$24/2),1,0),"")</x:f>
        <x:v>1</x:v>
      </x:c>
      <x:c r="O1037" s="4" t="n">
        <x:f>IF('계산 과정'!$L$7,'계산 과정'!$C$49*('계산 과정'!$C$32-D1037)+'계산 과정'!$D$49*('계산 과정'!$D$32-E1037)+'계산 과정'!$E$49*'계산 과정'!$E$32,"")</x:f>
        <x:v>26.36739288736902</x:v>
      </x:c>
      <x:c r="P1037" s="4" t="n">
        <x:f>IF(AND('계산 과정'!$L$7,O1037&lt;&gt;0),('계산 과정'!$L$23-'계산 과정'!$C$49*D1037-'계산 과정'!$D$49*E1037)/O1037,"")</x:f>
        <x:v>16.17025220159764</x:v>
      </x:c>
      <x:c r="Q1037" s="4" t="str">
        <x:f>IF(AND(ISNUMBER(P1037),P1037&gt;1E-9,P1037&lt;1-1E-9),'계산 과정'!$C$47*(D1037-'계산 과정'!$C$50+P1037*('계산 과정'!$C$32-D1037))+'계산 과정'!$D$47*(E1037-'계산 과정'!$D$50+P1037*('계산 과정'!$D$32-E1037))+'계산 과정'!$E$47*(0-'계산 과정'!$E$50+P1037*('계산 과정'!$E$32-0)),"")</x:f>
      </x:c>
      <x:c r="R1037" s="4" t="str">
        <x:f>IF(AND(ISNUMBER(P1037),P1037&gt;1E-9,P1037&lt;1-1E-9),'계산 과정'!$C$48*(D1037-'계산 과정'!$C$50+P1037*('계산 과정'!$C$32-D1037))+'계산 과정'!$D$48*(E1037-'계산 과정'!$D$50+P1037*('계산 과정'!$D$32-E1037))+'계산 과정'!$E$48*(0-'계산 과정'!$E$50+P1037*('계산 과정'!$E$32-0)),"")</x:f>
      </x:c>
      <x:c r="S1037" s="17" t="n">
        <x:f>IF('계산 과정'!$C$78,IF(AND(ISNUMBER(Q1037),ISNUMBER(R1037),ABS(Q1037-'계산 과정'!$C$88)&lt;='계산 과정'!$D$23/2,ABS(R1037-'계산 과정'!$C$89)&lt;='계산 과정'!$D$24/2),1,0),"")</x:f>
        <x:v>0</x:v>
      </x:c>
      <x:c r="T1037" s="4"/>
      <x:c r="U1037" s="4"/>
      <x:c r="V1037" s="4"/>
      <x:c r="W1037" s="4"/>
      <x:c r="X1037" s="4"/>
      <x:c r="Y1037" s="4"/>
      <x:c r="Z1037" s="4"/>
    </x:row>
    <x:row r="1038" ht="23" customHeight="1">
      <x:c r="A1038" s="17" t="n">
        <x:f>ROW()-6</x:f>
        <x:v>1032</x:v>
      </x:c>
      <x:c r="B1038" s="4" t="n">
        <x:f>IF('계산 과정'!$L$5,'계산 과정'!$L$11*SQRT((A1038+0.5)/'계산 과정'!$L$30),"")</x:f>
        <x:v>106.50532282032903</x:v>
      </x:c>
      <x:c r="C1038" s="4" t="n">
        <x:f>A1038*PI()*(3-SQRT(5))</x:f>
        <x:v>2476.7620530799695</x:v>
      </x:c>
      <x:c r="D1038" s="4" t="n">
        <x:f>IF('계산 과정'!$L$5,B1038*COS(C1038),"")</x:f>
        <x:v>39.87605192387407</x:v>
      </x:c>
      <x:c r="E1038" s="4" t="n">
        <x:f>IF('계산 과정'!$L$5,B1038*SIN(C1038),"")</x:f>
        <x:v>98.75871744826883</x:v>
      </x:c>
      <x:c r="F1038" s="4" t="n">
        <x:f>IF('계산 과정'!$L$7,'계산 과정'!$L$22+'계산 과정'!$C$49*D1038+'계산 과정'!$D$49*E1038,"")</x:f>
        <x:v>621.8033732776818</x:v>
      </x:c>
      <x:c r="G1038" s="4" t="n">
        <x:f>IF('계산 과정'!$L$7,IF(ABS(F1038)&gt;=1E-12*MAX(1,SQRT((D1038-'계산 과정'!$C$33)^2+(E1038-'계산 과정'!$D$33)^2+'계산 과정'!$E$33^2)),('계산 과정'!$L$23-'계산 과정'!$C$49*D1038-'계산 과정'!$D$49*E1038)/F1038,""),"")</x:f>
        <x:v>0.6886367059496417</x:v>
      </x:c>
      <x:c r="H1038" s="4" t="n">
        <x:f>IF(AND(ISNUMBER(G1038),G1038&gt;0),('계산 과정'!$D$56+'계산 과정'!$D$57*D1038+'계산 과정'!$D$58*E1038)/F1038,"")</x:f>
        <x:v>47.61385886726699</x:v>
      </x:c>
      <x:c r="I1038" s="4" t="n">
        <x:f>IF(AND(ISNUMBER(G1038),G1038&gt;0),('계산 과정'!$E$56+'계산 과정'!$E$57*D1038+'계산 과정'!$E$58*E1038)/F1038,"")</x:f>
        <x:v>166.76759531565608</x:v>
      </x:c>
      <x:c r="J1038" s="4" t="n">
        <x:f>IF('계산 과정'!$L$5,'계산 과정'!$D$6+'계산 과정'!$C$35*D1038+'계산 과정'!$D$35*E1038,"")</x:f>
        <x:v>621.8033732776818</x:v>
      </x:c>
      <x:c r="K1038" s="4" t="n">
        <x:f>IF(AND('계산 과정'!$L$6,J1038&gt;0),'계산 과정'!$D$10*('계산 과정'!$C$38*(D1038-'계산 과정'!$C$32)+'계산 과정'!$D$38*(E1038-'계산 과정'!$D$32)-'계산 과정'!$E$38*'계산 과정'!$E$32)/J1038,"")</x:f>
        <x:v>0.36277225803632074</x:v>
      </x:c>
      <x:c r="L1038" s="4" t="n">
        <x:f>IF(AND('계산 과정'!$L$6,J1038&gt;0),'계산 과정'!$D$10*('계산 과정'!$C$39*(D1038-'계산 과정'!$C$32)+'계산 과정'!$D$39*(E1038-'계산 과정'!$D$32)-'계산 과정'!$E$39*'계산 과정'!$E$32)/J1038,"")</x:f>
        <x:v>1.2706102500240464</x:v>
      </x:c>
      <x:c r="M1038" s="17" t="n">
        <x:f>IF('계산 과정'!$L$6,IF(J1038&lt;=0,0,IF(AND(ABS(K1038)&lt;='계산 과정'!$D$11/2,ABS(L1038)&lt;='계산 과정'!$D$12/2),1,0)),"")</x:f>
        <x:v>1</x:v>
      </x:c>
      <x:c r="N1038" s="17" t="n">
        <x:f>IF('계산 과정'!$C$78,IF(AND(ISNUMBER(H1038),ISNUMBER(I1038),ABS(H1038-'계산 과정'!$C$88)&lt;='계산 과정'!$D$23/2,ABS(I1038-'계산 과정'!$C$89)&lt;='계산 과정'!$D$24/2),1,0),"")</x:f>
        <x:v>1</x:v>
      </x:c>
      <x:c r="O1038" s="4" t="n">
        <x:f>IF('계산 과정'!$L$7,'계산 과정'!$C$49*('계산 과정'!$C$32-D1038)+'계산 과정'!$D$49*('계산 과정'!$D$32-E1038)+'계산 과정'!$E$49*'계산 과정'!$E$32,"")</x:f>
        <x:v>28.196626722318342</x:v>
      </x:c>
      <x:c r="P1038" s="4" t="n">
        <x:f>IF(AND('계산 과정'!$L$7,O1038&lt;&gt;0),('계산 과정'!$L$23-'계산 과정'!$C$49*D1038-'계산 과정'!$D$49*E1038)/O1038,"")</x:f>
        <x:v>15.186094100518407</x:v>
      </x:c>
      <x:c r="Q1038" s="4" t="str">
        <x:f>IF(AND(ISNUMBER(P1038),P1038&gt;1E-9,P1038&lt;1-1E-9),'계산 과정'!$C$47*(D1038-'계산 과정'!$C$50+P1038*('계산 과정'!$C$32-D1038))+'계산 과정'!$D$47*(E1038-'계산 과정'!$D$50+P1038*('계산 과정'!$D$32-E1038))+'계산 과정'!$E$47*(0-'계산 과정'!$E$50+P1038*('계산 과정'!$E$32-0)),"")</x:f>
      </x:c>
      <x:c r="R1038" s="4" t="str">
        <x:f>IF(AND(ISNUMBER(P1038),P1038&gt;1E-9,P1038&lt;1-1E-9),'계산 과정'!$C$48*(D1038-'계산 과정'!$C$50+P1038*('계산 과정'!$C$32-D1038))+'계산 과정'!$D$48*(E1038-'계산 과정'!$D$50+P1038*('계산 과정'!$D$32-E1038))+'계산 과정'!$E$48*(0-'계산 과정'!$E$50+P1038*('계산 과정'!$E$32-0)),"")</x:f>
      </x:c>
      <x:c r="S1038" s="17" t="n">
        <x:f>IF('계산 과정'!$C$78,IF(AND(ISNUMBER(Q1038),ISNUMBER(R1038),ABS(Q1038-'계산 과정'!$C$88)&lt;='계산 과정'!$D$23/2,ABS(R1038-'계산 과정'!$C$89)&lt;='계산 과정'!$D$24/2),1,0),"")</x:f>
        <x:v>0</x:v>
      </x:c>
      <x:c r="T1038" s="4"/>
      <x:c r="U1038" s="4"/>
      <x:c r="V1038" s="4"/>
      <x:c r="W1038" s="4"/>
      <x:c r="X1038" s="4"/>
      <x:c r="Y1038" s="4"/>
      <x:c r="Z1038" s="4"/>
    </x:row>
    <x:row r="1039" ht="23" customHeight="1">
      <x:c r="A1039" s="17" t="n">
        <x:f>ROW()-6</x:f>
        <x:v>1033</x:v>
      </x:c>
      <x:c r="B1039" s="4" t="n">
        <x:f>IF('계산 과정'!$L$5,'계산 과정'!$L$11*SQRT((A1039+0.5)/'계산 과정'!$L$30),"")</x:f>
        <x:v>106.55688676564974</x:v>
      </x:c>
      <x:c r="C1039" s="4" t="n">
        <x:f>A1039*PI()*(3-SQRT(5))</x:f>
        <x:v>2479.162016309698</x:v>
      </x:c>
      <x:c r="D1039" s="4" t="n">
        <x:f>IF('계산 과정'!$L$5,B1039*COS(C1039),"")</x:f>
        <x:v>-96.16044778363533</x:v>
      </x:c>
      <x:c r="E1039" s="4" t="n">
        <x:f>IF('계산 과정'!$L$5,B1039*SIN(C1039),"")</x:f>
        <x:v>-45.907933946522164</x:v>
      </x:c>
      <x:c r="F1039" s="4" t="n">
        <x:f>IF('계산 과정'!$L$7,'계산 과정'!$L$22+'계산 과정'!$C$49*D1039+'계산 과정'!$D$49*E1039,"")</x:f>
        <x:v>717.9957047097434</x:v>
      </x:c>
      <x:c r="G1039" s="4" t="n">
        <x:f>IF('계산 과정'!$L$7,IF(ABS(F1039)&gt;=1E-12*MAX(1,SQRT((D1039-'계산 과정'!$C$33)^2+(E1039-'계산 과정'!$D$33)^2+'계산 과정'!$E$33^2)),('계산 과정'!$L$23-'계산 과정'!$C$49*D1039-'계산 과정'!$D$49*E1039)/F1039,""),"")</x:f>
        <x:v>0.4624042917143528</x:v>
      </x:c>
      <x:c r="H1039" s="4" t="n">
        <x:f>IF(AND(ISNUMBER(G1039),G1039&gt;0),('계산 과정'!$D$56+'계산 과정'!$D$57*D1039+'계산 과정'!$D$58*E1039)/F1039,"")</x:f>
        <x:v>-99.43721038567081</x:v>
      </x:c>
      <x:c r="I1039" s="4" t="n">
        <x:f>IF(AND(ISNUMBER(G1039),G1039&gt;0),('계산 과정'!$E$56+'계산 과정'!$E$57*D1039+'계산 과정'!$E$58*E1039)/F1039,"")</x:f>
        <x:v>-67.13595962713303</x:v>
      </x:c>
      <x:c r="J1039" s="4" t="n">
        <x:f>IF('계산 과정'!$L$5,'계산 과정'!$D$6+'계산 과정'!$C$35*D1039+'계산 과정'!$D$35*E1039,"")</x:f>
        <x:v>717.9957047097434</x:v>
      </x:c>
      <x:c r="K1039" s="4" t="n">
        <x:f>IF(AND('계산 과정'!$L$6,J1039&gt;0),'계산 과정'!$D$10*('계산 과정'!$C$38*(D1039-'계산 과정'!$C$32)+'계산 과정'!$D$38*(E1039-'계산 과정'!$D$32)-'계산 과정'!$E$38*'계산 과정'!$E$32)/J1039,"")</x:f>
        <x:v>-0.7576168410336805</x:v>
      </x:c>
      <x:c r="L1039" s="4" t="n">
        <x:f>IF(AND('계산 과정'!$L$6,J1039&gt;0),'계산 과정'!$D$10*('계산 과정'!$C$39*(D1039-'계산 과정'!$C$32)+'계산 과정'!$D$39*(E1039-'계산 과정'!$D$32)-'계산 과정'!$E$39*'계산 과정'!$E$32)/J1039,"")</x:f>
        <x:v>-0.511512073349585</x:v>
      </x:c>
      <x:c r="M1039" s="17" t="n">
        <x:f>IF('계산 과정'!$L$6,IF(J1039&lt;=0,0,IF(AND(ABS(K1039)&lt;='계산 과정'!$D$11/2,ABS(L1039)&lt;='계산 과정'!$D$12/2),1,0)),"")</x:f>
        <x:v>1</x:v>
      </x:c>
      <x:c r="N1039" s="17" t="n">
        <x:f>IF('계산 과정'!$C$78,IF(AND(ISNUMBER(H1039),ISNUMBER(I1039),ABS(H1039-'계산 과정'!$C$88)&lt;='계산 과정'!$D$23/2,ABS(I1039-'계산 과정'!$C$89)&lt;='계산 과정'!$D$24/2),1,0),"")</x:f>
        <x:v>1</x:v>
      </x:c>
      <x:c r="O1039" s="4" t="n">
        <x:f>IF('계산 과정'!$L$7,'계산 과정'!$C$49*('계산 과정'!$C$32-D1039)+'계산 과정'!$D$49*('계산 과정'!$D$32-E1039)+'계산 과정'!$E$49*'계산 과정'!$E$32,"")</x:f>
        <x:v>-67.99570470974328</x:v>
      </x:c>
      <x:c r="P1039" s="4" t="n">
        <x:f>IF(AND('계산 과정'!$L$7,O1039&lt;&gt;0),('계산 과정'!$L$23-'계산 과정'!$C$49*D1039-'계산 과정'!$D$49*E1039)/O1039,"")</x:f>
        <x:v>-4.882724529549332</x:v>
      </x:c>
      <x:c r="Q1039" s="4" t="str">
        <x:f>IF(AND(ISNUMBER(P1039),P1039&gt;1E-9,P1039&lt;1-1E-9),'계산 과정'!$C$47*(D1039-'계산 과정'!$C$50+P1039*('계산 과정'!$C$32-D1039))+'계산 과정'!$D$47*(E1039-'계산 과정'!$D$50+P1039*('계산 과정'!$D$32-E1039))+'계산 과정'!$E$47*(0-'계산 과정'!$E$50+P1039*('계산 과정'!$E$32-0)),"")</x:f>
      </x:c>
      <x:c r="R1039" s="4" t="str">
        <x:f>IF(AND(ISNUMBER(P1039),P1039&gt;1E-9,P1039&lt;1-1E-9),'계산 과정'!$C$48*(D1039-'계산 과정'!$C$50+P1039*('계산 과정'!$C$32-D1039))+'계산 과정'!$D$48*(E1039-'계산 과정'!$D$50+P1039*('계산 과정'!$D$32-E1039))+'계산 과정'!$E$48*(0-'계산 과정'!$E$50+P1039*('계산 과정'!$E$32-0)),"")</x:f>
      </x:c>
      <x:c r="S1039" s="17" t="n">
        <x:f>IF('계산 과정'!$C$78,IF(AND(ISNUMBER(Q1039),ISNUMBER(R1039),ABS(Q1039-'계산 과정'!$C$88)&lt;='계산 과정'!$D$23/2,ABS(R1039-'계산 과정'!$C$89)&lt;='계산 과정'!$D$24/2),1,0),"")</x:f>
        <x:v>0</x:v>
      </x:c>
      <x:c r="T1039" s="4"/>
      <x:c r="U1039" s="4"/>
      <x:c r="V1039" s="4"/>
      <x:c r="W1039" s="4"/>
      <x:c r="X1039" s="4"/>
      <x:c r="Y1039" s="4"/>
      <x:c r="Z1039" s="4"/>
    </x:row>
    <x:row r="1040" ht="23" customHeight="1">
      <x:c r="A1040" s="17" t="n">
        <x:f>ROW()-6</x:f>
        <x:v>1034</x:v>
      </x:c>
      <x:c r="B1040" s="4" t="n">
        <x:f>IF('계산 과정'!$L$5,'계산 과정'!$L$11*SQRT((A1040+0.5)/'계산 과정'!$L$30),"")</x:f>
        <x:v>106.6084257707265</x:v>
      </x:c>
      <x:c r="C1040" s="4" t="n">
        <x:f>A1040*PI()*(3-SQRT(5))</x:f>
        <x:v>2481.5619795394273</x:v>
      </x:c>
      <x:c r="D1040" s="4" t="n">
        <x:f>IF('계산 과정'!$L$5,B1040*COS(C1040),"")</x:f>
        <x:v>101.9653796691687</x:v>
      </x:c>
      <x:c r="E1040" s="4" t="n">
        <x:f>IF('계산 과정'!$L$5,B1040*SIN(C1040),"")</x:f>
        <x:v>-31.11941185554092</x:v>
      </x:c>
      <x:c r="F1040" s="4" t="n">
        <x:f>IF('계산 과정'!$L$7,'계산 과정'!$L$22+'계산 과정'!$C$49*D1040+'계산 과정'!$D$49*E1040,"")</x:f>
        <x:v>577.8995885896699</x:v>
      </x:c>
      <x:c r="G1040" s="4" t="n">
        <x:f>IF('계산 과정'!$L$7,IF(ABS(F1040)&gt;=1E-12*MAX(1,SQRT((D1040-'계산 과정'!$C$33)^2+(E1040-'계산 과정'!$D$33)^2+'계산 과정'!$E$33^2)),('계산 과정'!$L$23-'계산 과정'!$C$49*D1040-'계산 과정'!$D$49*E1040)/F1040,""),"")</x:f>
        <x:v>0.8169246366180387</x:v>
      </x:c>
      <x:c r="H1040" s="4" t="n">
        <x:f>IF(AND(ISNUMBER(G1040),G1040&gt;0),('계산 과정'!$D$56+'계산 과정'!$D$57*D1040+'계산 과정'!$D$58*E1040)/F1040,"")</x:f>
        <x:v>131.00101380172504</x:v>
      </x:c>
      <x:c r="I1040" s="4" t="n">
        <x:f>IF(AND(ISNUMBER(G1040),G1040&gt;0),('계산 과정'!$E$56+'계산 과정'!$E$57*D1040+'계산 과정'!$E$58*E1040)/F1040,"")</x:f>
        <x:v>-56.541626077395776</x:v>
      </x:c>
      <x:c r="J1040" s="4" t="n">
        <x:f>IF('계산 과정'!$L$5,'계산 과정'!$D$6+'계산 과정'!$C$35*D1040+'계산 과정'!$D$35*E1040,"")</x:f>
        <x:v>577.8995885896699</x:v>
      </x:c>
      <x:c r="K1040" s="4" t="n">
        <x:f>IF(AND('계산 과정'!$L$6,J1040&gt;0),'계산 과정'!$D$10*('계산 과정'!$C$38*(D1040-'계산 과정'!$C$32)+'계산 과정'!$D$38*(E1040-'계산 과정'!$D$32)-'계산 과정'!$E$38*'계산 과정'!$E$32)/J1040,"")</x:f>
        <x:v>0.9981029622988581</x:v>
      </x:c>
      <x:c r="L1040" s="4" t="n">
        <x:f>IF(AND('계산 과정'!$L$6,J1040&gt;0),'계산 과정'!$D$10*('계산 과정'!$C$39*(D1040-'계산 과정'!$C$32)+'계산 과정'!$D$39*(E1040-'계산 과정'!$D$32)-'계산 과정'!$E$39*'계산 과정'!$E$32)/J1040,"")</x:f>
        <x:v>-0.43079334154206306</x:v>
      </x:c>
      <x:c r="M1040" s="17" t="n">
        <x:f>IF('계산 과정'!$L$6,IF(J1040&lt;=0,0,IF(AND(ABS(K1040)&lt;='계산 과정'!$D$11/2,ABS(L1040)&lt;='계산 과정'!$D$12/2),1,0)),"")</x:f>
        <x:v>1</x:v>
      </x:c>
      <x:c r="N1040" s="17" t="n">
        <x:f>IF('계산 과정'!$C$78,IF(AND(ISNUMBER(H1040),ISNUMBER(I1040),ABS(H1040-'계산 과정'!$C$88)&lt;='계산 과정'!$D$23/2,ABS(I1040-'계산 과정'!$C$89)&lt;='계산 과정'!$D$24/2),1,0),"")</x:f>
        <x:v>1</x:v>
      </x:c>
      <x:c r="O1040" s="4" t="n">
        <x:f>IF('계산 과정'!$L$7,'계산 과정'!$C$49*('계산 과정'!$C$32-D1040)+'계산 과정'!$D$49*('계산 과정'!$D$32-E1040)+'계산 과정'!$E$49*'계산 과정'!$E$32,"")</x:f>
        <x:v>72.1004114103302</x:v>
      </x:c>
      <x:c r="P1040" s="4" t="n">
        <x:f>IF(AND('계산 과정'!$L$7,O1040&lt;&gt;0),('계산 과정'!$L$23-'계산 과정'!$C$49*D1040-'계산 과정'!$D$49*E1040)/O1040,"")</x:f>
        <x:v>6.547818551596918</x:v>
      </x:c>
      <x:c r="Q1040" s="4" t="str">
        <x:f>IF(AND(ISNUMBER(P1040),P1040&gt;1E-9,P1040&lt;1-1E-9),'계산 과정'!$C$47*(D1040-'계산 과정'!$C$50+P1040*('계산 과정'!$C$32-D1040))+'계산 과정'!$D$47*(E1040-'계산 과정'!$D$50+P1040*('계산 과정'!$D$32-E1040))+'계산 과정'!$E$47*(0-'계산 과정'!$E$50+P1040*('계산 과정'!$E$32-0)),"")</x:f>
      </x:c>
      <x:c r="R1040" s="4" t="str">
        <x:f>IF(AND(ISNUMBER(P1040),P1040&gt;1E-9,P1040&lt;1-1E-9),'계산 과정'!$C$48*(D1040-'계산 과정'!$C$50+P1040*('계산 과정'!$C$32-D1040))+'계산 과정'!$D$48*(E1040-'계산 과정'!$D$50+P1040*('계산 과정'!$D$32-E1040))+'계산 과정'!$E$48*(0-'계산 과정'!$E$50+P1040*('계산 과정'!$E$32-0)),"")</x:f>
      </x:c>
      <x:c r="S1040" s="17" t="n">
        <x:f>IF('계산 과정'!$C$78,IF(AND(ISNUMBER(Q1040),ISNUMBER(R1040),ABS(Q1040-'계산 과정'!$C$88)&lt;='계산 과정'!$D$23/2,ABS(R1040-'계산 과정'!$C$89)&lt;='계산 과정'!$D$24/2),1,0),"")</x:f>
        <x:v>0</x:v>
      </x:c>
      <x:c r="T1040" s="4"/>
      <x:c r="U1040" s="4"/>
      <x:c r="V1040" s="4"/>
      <x:c r="W1040" s="4"/>
      <x:c r="X1040" s="4"/>
      <x:c r="Y1040" s="4"/>
      <x:c r="Z1040" s="4"/>
    </x:row>
    <x:row r="1041" ht="23" customHeight="1">
      <x:c r="A1041" s="17" t="n">
        <x:f>ROW()-6</x:f>
        <x:v>1035</x:v>
      </x:c>
      <x:c r="B1041" s="4" t="n">
        <x:f>IF('계산 과정'!$L$5,'계산 과정'!$L$11*SQRT((A1041+0.5)/'계산 과정'!$L$30),"")</x:f>
        <x:v>106.6599398717133</x:v>
      </x:c>
      <x:c r="C1041" s="4" t="n">
        <x:f>A1041*PI()*(3-SQRT(5))</x:f>
        <x:v>2483.961942769156</x:v>
      </x:c>
      <x:c r="D1041" s="4" t="n">
        <x:f>IF('계산 과정'!$L$5,B1041*COS(C1041),"")</x:f>
        <x:v>-54.19141004260259</x:v>
      </x:c>
      <x:c r="E1041" s="4" t="n">
        <x:f>IF('계산 과정'!$L$5,B1041*SIN(C1041),"")</x:f>
        <x:v>91.86747983389994</x:v>
      </x:c>
      <x:c r="F1041" s="4" t="n">
        <x:f>IF('계산 과정'!$L$7,'계산 과정'!$L$22+'계산 과정'!$C$49*D1041+'계산 과정'!$D$49*E1041,"")</x:f>
        <x:v>688.319113523185</x:v>
      </x:c>
      <x:c r="G1041" s="4" t="n">
        <x:f>IF('계산 과정'!$L$7,IF(ABS(F1041)&gt;=1E-12*MAX(1,SQRT((D1041-'계산 과정'!$C$33)^2+(E1041-'계산 과정'!$D$33)^2+'계산 과정'!$E$33^2)),('계산 과정'!$L$23-'계산 과정'!$C$49*D1041-'계산 과정'!$D$49*E1041)/F1041,""),"")</x:f>
        <x:v>0.5254552421558351</x:v>
      </x:c>
      <x:c r="H1041" s="4" t="n">
        <x:f>IF(AND(ISNUMBER(G1041),G1041&gt;0),('계산 과정'!$D$56+'계산 과정'!$D$57*D1041+'계산 과정'!$D$58*E1041)/F1041,"")</x:f>
        <x:v>-58.45409259870733</x:v>
      </x:c>
      <x:c r="I1041" s="4" t="n">
        <x:f>IF(AND(ISNUMBER(G1041),G1041&gt;0),('계산 과정'!$E$56+'계산 과정'!$E$57*D1041+'계산 과정'!$E$58*E1041)/F1041,"")</x:f>
        <x:v>140.13972869626815</x:v>
      </x:c>
      <x:c r="J1041" s="4" t="n">
        <x:f>IF('계산 과정'!$L$5,'계산 과정'!$D$6+'계산 과정'!$C$35*D1041+'계산 과정'!$D$35*E1041,"")</x:f>
        <x:v>688.319113523185</x:v>
      </x:c>
      <x:c r="K1041" s="4" t="n">
        <x:f>IF(AND('계산 과정'!$L$6,J1041&gt;0),'계산 과정'!$D$10*('계산 과정'!$C$38*(D1041-'계산 과정'!$C$32)+'계산 과정'!$D$38*(E1041-'계산 과정'!$D$32)-'계산 과정'!$E$38*'계산 과정'!$E$32)/J1041,"")</x:f>
        <x:v>-0.44536451503776875</x:v>
      </x:c>
      <x:c r="L1041" s="4" t="n">
        <x:f>IF(AND('계산 과정'!$L$6,J1041&gt;0),'계산 과정'!$D$10*('계산 과정'!$C$39*(D1041-'계산 과정'!$C$32)+'계산 과정'!$D$39*(E1041-'계산 과정'!$D$32)-'계산 과정'!$E$39*'계산 과정'!$E$32)/J1041,"")</x:f>
        <x:v>1.0677312662572809</x:v>
      </x:c>
      <x:c r="M1041" s="17" t="n">
        <x:f>IF('계산 과정'!$L$6,IF(J1041&lt;=0,0,IF(AND(ABS(K1041)&lt;='계산 과정'!$D$11/2,ABS(L1041)&lt;='계산 과정'!$D$12/2),1,0)),"")</x:f>
        <x:v>1</x:v>
      </x:c>
      <x:c r="N1041" s="17" t="n">
        <x:f>IF('계산 과정'!$C$78,IF(AND(ISNUMBER(H1041),ISNUMBER(I1041),ABS(H1041-'계산 과정'!$C$88)&lt;='계산 과정'!$D$23/2,ABS(I1041-'계산 과정'!$C$89)&lt;='계산 과정'!$D$24/2),1,0),"")</x:f>
        <x:v>1</x:v>
      </x:c>
      <x:c r="O1041" s="4" t="n">
        <x:f>IF('계산 과정'!$L$7,'계산 과정'!$C$49*('계산 과정'!$C$32-D1041)+'계산 과정'!$D$49*('계산 과정'!$D$32-E1041)+'계산 과정'!$E$49*'계산 과정'!$E$32,"")</x:f>
        <x:v>-38.31911352318491</x:v>
      </x:c>
      <x:c r="P1041" s="4" t="n">
        <x:f>IF(AND('계산 과정'!$L$7,O1041&lt;&gt;0),('계산 과정'!$L$23-'계산 과정'!$C$49*D1041-'계산 과정'!$D$49*E1041)/O1041,"")</x:f>
        <x:v>-9.438654844089244</x:v>
      </x:c>
      <x:c r="Q1041" s="4" t="str">
        <x:f>IF(AND(ISNUMBER(P1041),P1041&gt;1E-9,P1041&lt;1-1E-9),'계산 과정'!$C$47*(D1041-'계산 과정'!$C$50+P1041*('계산 과정'!$C$32-D1041))+'계산 과정'!$D$47*(E1041-'계산 과정'!$D$50+P1041*('계산 과정'!$D$32-E1041))+'계산 과정'!$E$47*(0-'계산 과정'!$E$50+P1041*('계산 과정'!$E$32-0)),"")</x:f>
      </x:c>
      <x:c r="R1041" s="4" t="str">
        <x:f>IF(AND(ISNUMBER(P1041),P1041&gt;1E-9,P1041&lt;1-1E-9),'계산 과정'!$C$48*(D1041-'계산 과정'!$C$50+P1041*('계산 과정'!$C$32-D1041))+'계산 과정'!$D$48*(E1041-'계산 과정'!$D$50+P1041*('계산 과정'!$D$32-E1041))+'계산 과정'!$E$48*(0-'계산 과정'!$E$50+P1041*('계산 과정'!$E$32-0)),"")</x:f>
      </x:c>
      <x:c r="S1041" s="17" t="n">
        <x:f>IF('계산 과정'!$C$78,IF(AND(ISNUMBER(Q1041),ISNUMBER(R1041),ABS(Q1041-'계산 과정'!$C$88)&lt;='계산 과정'!$D$23/2,ABS(R1041-'계산 과정'!$C$89)&lt;='계산 과정'!$D$24/2),1,0),"")</x:f>
        <x:v>0</x:v>
      </x:c>
      <x:c r="T1041" s="4"/>
      <x:c r="U1041" s="4"/>
      <x:c r="V1041" s="4"/>
      <x:c r="W1041" s="4"/>
      <x:c r="X1041" s="4"/>
      <x:c r="Y1041" s="4"/>
      <x:c r="Z1041" s="4"/>
    </x:row>
    <x:row r="1042" ht="23" customHeight="1">
      <x:c r="A1042" s="17" t="n">
        <x:f>ROW()-6</x:f>
        <x:v>1036</x:v>
      </x:c>
      <x:c r="B1042" s="4" t="n">
        <x:f>IF('계산 과정'!$L$5,'계산 과정'!$L$11*SQRT((A1042+0.5)/'계산 과정'!$L$30),"")</x:f>
        <x:v>106.71142910467697</x:v>
      </x:c>
      <x:c r="C1042" s="4" t="n">
        <x:f>A1042*PI()*(3-SQRT(5))</x:f>
        <x:v>2486.361905998884</x:v>
      </x:c>
      <x:c r="D1042" s="4" t="n">
        <x:f>IF('계산 과정'!$L$5,B1042*COS(C1042),"")</x:f>
        <x:v>-22.107198685508404</x:v>
      </x:c>
      <x:c r="E1042" s="4" t="n">
        <x:f>IF('계산 과정'!$L$5,B1042*SIN(C1042),"")</x:f>
        <x:v>-104.39636424627993</x:v>
      </x:c>
      <x:c r="F1042" s="4" t="n">
        <x:f>IF('계산 과정'!$L$7,'계산 과정'!$L$22+'계산 과정'!$C$49*D1042+'계산 과정'!$D$49*E1042,"")</x:f>
        <x:v>665.6321501035613</x:v>
      </x:c>
      <x:c r="G1042" s="4" t="n">
        <x:f>IF('계산 과정'!$L$7,IF(ABS(F1042)&gt;=1E-12*MAX(1,SQRT((D1042-'계산 과정'!$C$33)^2+(E1042-'계산 과정'!$D$33)^2+'계산 과정'!$E$33^2)),('계산 과정'!$L$23-'계산 과정'!$C$49*D1042-'계산 과정'!$D$49*E1042)/F1042,""),"")</x:f>
        <x:v>0.5774478438828975</x:v>
      </x:c>
      <x:c r="H1042" s="4" t="n">
        <x:f>IF(AND(ISNUMBER(G1042),G1042&gt;0),('계산 과정'!$D$56+'계산 과정'!$D$57*D1042+'계산 과정'!$D$58*E1042)/F1042,"")</x:f>
        <x:v>-24.658901476116736</x:v>
      </x:c>
      <x:c r="I1042" s="4" t="n">
        <x:f>IF(AND(ISNUMBER(G1042),G1042&gt;0),('계산 과정'!$E$56+'계산 과정'!$E$57*D1042+'계산 과정'!$E$58*E1042)/F1042,"")</x:f>
        <x:v>-164.6798196895079</x:v>
      </x:c>
      <x:c r="J1042" s="4" t="n">
        <x:f>IF('계산 과정'!$L$5,'계산 과정'!$D$6+'계산 과정'!$C$35*D1042+'계산 과정'!$D$35*E1042,"")</x:f>
        <x:v>665.6321501035613</x:v>
      </x:c>
      <x:c r="K1042" s="4" t="n">
        <x:f>IF(AND('계산 과정'!$L$6,J1042&gt;0),'계산 과정'!$D$10*('계산 과정'!$C$38*(D1042-'계산 과정'!$C$32)+'계산 과정'!$D$38*(E1042-'계산 과정'!$D$32)-'계산 과정'!$E$38*'계산 과정'!$E$32)/J1042,"")</x:f>
        <x:v>-0.1878773445799364</x:v>
      </x:c>
      <x:c r="L1042" s="4" t="n">
        <x:f>IF(AND('계산 과정'!$L$6,J1042&gt;0),'계산 과정'!$D$10*('계산 과정'!$C$39*(D1042-'계산 과정'!$C$32)+'계산 과정'!$D$39*(E1042-'계산 과정'!$D$32)-'계산 과정'!$E$39*'계산 과정'!$E$32)/J1042,"")</x:f>
        <x:v>-1.2547033881105363</x:v>
      </x:c>
      <x:c r="M1042" s="17" t="n">
        <x:f>IF('계산 과정'!$L$6,IF(J1042&lt;=0,0,IF(AND(ABS(K1042)&lt;='계산 과정'!$D$11/2,ABS(L1042)&lt;='계산 과정'!$D$12/2),1,0)),"")</x:f>
        <x:v>1</x:v>
      </x:c>
      <x:c r="N1042" s="17" t="n">
        <x:f>IF('계산 과정'!$C$78,IF(AND(ISNUMBER(H1042),ISNUMBER(I1042),ABS(H1042-'계산 과정'!$C$88)&lt;='계산 과정'!$D$23/2,ABS(I1042-'계산 과정'!$C$89)&lt;='계산 과정'!$D$24/2),1,0),"")</x:f>
        <x:v>1</x:v>
      </x:c>
      <x:c r="O1042" s="4" t="n">
        <x:f>IF('계산 과정'!$L$7,'계산 과정'!$C$49*('계산 과정'!$C$32-D1042)+'계산 과정'!$D$49*('계산 과정'!$D$32-E1042)+'계산 과정'!$E$49*'계산 과정'!$E$32,"")</x:f>
        <x:v>-15.63215010356123</x:v>
      </x:c>
      <x:c r="P1042" s="4" t="n">
        <x:f>IF(AND('계산 과정'!$L$7,O1042&lt;&gt;0),('계산 과정'!$L$23-'계산 과정'!$C$49*D1042-'계산 과정'!$D$49*E1042)/O1042,"")</x:f>
        <x:v>-24.58829062861123</x:v>
      </x:c>
      <x:c r="Q1042" s="4" t="str">
        <x:f>IF(AND(ISNUMBER(P1042),P1042&gt;1E-9,P1042&lt;1-1E-9),'계산 과정'!$C$47*(D1042-'계산 과정'!$C$50+P1042*('계산 과정'!$C$32-D1042))+'계산 과정'!$D$47*(E1042-'계산 과정'!$D$50+P1042*('계산 과정'!$D$32-E1042))+'계산 과정'!$E$47*(0-'계산 과정'!$E$50+P1042*('계산 과정'!$E$32-0)),"")</x:f>
      </x:c>
      <x:c r="R1042" s="4" t="str">
        <x:f>IF(AND(ISNUMBER(P1042),P1042&gt;1E-9,P1042&lt;1-1E-9),'계산 과정'!$C$48*(D1042-'계산 과정'!$C$50+P1042*('계산 과정'!$C$32-D1042))+'계산 과정'!$D$48*(E1042-'계산 과정'!$D$50+P1042*('계산 과정'!$D$32-E1042))+'계산 과정'!$E$48*(0-'계산 과정'!$E$50+P1042*('계산 과정'!$E$32-0)),"")</x:f>
      </x:c>
      <x:c r="S1042" s="17" t="n">
        <x:f>IF('계산 과정'!$C$78,IF(AND(ISNUMBER(Q1042),ISNUMBER(R1042),ABS(Q1042-'계산 과정'!$C$88)&lt;='계산 과정'!$D$23/2,ABS(R1042-'계산 과정'!$C$89)&lt;='계산 과정'!$D$24/2),1,0),"")</x:f>
        <x:v>0</x:v>
      </x:c>
      <x:c r="T1042" s="4"/>
      <x:c r="U1042" s="4"/>
      <x:c r="V1042" s="4"/>
      <x:c r="W1042" s="4"/>
      <x:c r="X1042" s="4"/>
      <x:c r="Y1042" s="4"/>
      <x:c r="Z1042" s="4"/>
    </x:row>
    <x:row r="1043" ht="23" customHeight="1">
      <x:c r="A1043" s="17" t="n">
        <x:f>ROW()-6</x:f>
        <x:v>1037</x:v>
      </x:c>
      <x:c r="B1043" s="4" t="n">
        <x:f>IF('계산 과정'!$L$5,'계산 과정'!$L$11*SQRT((A1043+0.5)/'계산 과정'!$L$30),"")</x:f>
        <x:v>106.76289350559726</x:v>
      </x:c>
      <x:c r="C1043" s="4" t="n">
        <x:f>A1043*PI()*(3-SQRT(5))</x:f>
        <x:v>2488.7618692286133</x:v>
      </x:c>
      <x:c r="D1043" s="4" t="n">
        <x:f>IF('계산 과정'!$L$5,B1043*COS(C1043),"")</x:f>
        <x:v>86.86176227884106</x:v>
      </x:c>
      <x:c r="E1043" s="4" t="n">
        <x:f>IF('계산 과정'!$L$5,B1043*SIN(C1043),"")</x:f>
        <x:v>62.07535488019063</x:v>
      </x:c>
      <x:c r="F1043" s="4" t="n">
        <x:f>IF('계산 과정'!$L$7,'계산 과정'!$L$22+'계산 과정'!$C$49*D1043+'계산 과정'!$D$49*E1043,"")</x:f>
        <x:v>588.5794588668176</x:v>
      </x:c>
      <x:c r="G1043" s="4" t="n">
        <x:f>IF('계산 과정'!$L$7,IF(ABS(F1043)&gt;=1E-12*MAX(1,SQRT((D1043-'계산 과정'!$C$33)^2+(E1043-'계산 과정'!$D$33)^2+'계산 과정'!$E$33^2)),('계산 과정'!$L$23-'계산 과정'!$C$49*D1043-'계산 과정'!$D$49*E1043)/F1043,""),"")</x:f>
        <x:v>0.7839562427502105</x:v>
      </x:c>
      <x:c r="H1043" s="4" t="n">
        <x:f>IF(AND(ISNUMBER(G1043),G1043&gt;0),('계산 과정'!$D$56+'계산 과정'!$D$57*D1043+'계산 과정'!$D$58*E1043)/F1043,"")</x:f>
        <x:v>109.57155778763668</x:v>
      </x:c>
      <x:c r="I1043" s="4" t="n">
        <x:f>IF(AND(ISNUMBER(G1043),G1043&gt;0),('계산 과정'!$E$56+'계산 과정'!$E$57*D1043+'계산 과정'!$E$58*E1043)/F1043,"")</x:f>
        <x:v>110.73971685945082</x:v>
      </x:c>
      <x:c r="J1043" s="4" t="n">
        <x:f>IF('계산 과정'!$L$5,'계산 과정'!$D$6+'계산 과정'!$C$35*D1043+'계산 과정'!$D$35*E1043,"")</x:f>
        <x:v>588.5794588668176</x:v>
      </x:c>
      <x:c r="K1043" s="4" t="n">
        <x:f>IF(AND('계산 과정'!$L$6,J1043&gt;0),'계산 과정'!$D$10*('계산 과정'!$C$38*(D1043-'계산 과정'!$C$32)+'계산 과정'!$D$38*(E1043-'계산 과정'!$D$32)-'계산 과정'!$E$38*'계산 과정'!$E$32)/J1043,"")</x:f>
        <x:v>0.8348309164772327</x:v>
      </x:c>
      <x:c r="L1043" s="4" t="n">
        <x:f>IF(AND('계산 과정'!$L$6,J1043&gt;0),'계산 과정'!$D$10*('계산 과정'!$C$39*(D1043-'계산 과정'!$C$32)+'계산 과정'!$D$39*(E1043-'계산 과정'!$D$32)-'계산 과정'!$E$39*'계산 과정'!$E$32)/J1043,"")</x:f>
        <x:v>0.8437311760720062</x:v>
      </x:c>
      <x:c r="M1043" s="17" t="n">
        <x:f>IF('계산 과정'!$L$6,IF(J1043&lt;=0,0,IF(AND(ABS(K1043)&lt;='계산 과정'!$D$11/2,ABS(L1043)&lt;='계산 과정'!$D$12/2),1,0)),"")</x:f>
        <x:v>1</x:v>
      </x:c>
      <x:c r="N1043" s="17" t="n">
        <x:f>IF('계산 과정'!$C$78,IF(AND(ISNUMBER(H1043),ISNUMBER(I1043),ABS(H1043-'계산 과정'!$C$88)&lt;='계산 과정'!$D$23/2,ABS(I1043-'계산 과정'!$C$89)&lt;='계산 과정'!$D$24/2),1,0),"")</x:f>
        <x:v>1</x:v>
      </x:c>
      <x:c r="O1043" s="4" t="n">
        <x:f>IF('계산 과정'!$L$7,'계산 과정'!$C$49*('계산 과정'!$C$32-D1043)+'계산 과정'!$D$49*('계산 과정'!$D$32-E1043)+'계산 과정'!$E$49*'계산 과정'!$E$32,"")</x:f>
        <x:v>61.420541133182496</x:v>
      </x:c>
      <x:c r="P1043" s="4" t="n">
        <x:f>IF(AND('계산 과정'!$L$7,O1043&lt;&gt;0),('계산 과정'!$L$23-'계산 과정'!$C$49*D1043-'계산 과정'!$D$49*E1043)/O1043,"")</x:f>
        <x:v>7.512479255639439</x:v>
      </x:c>
      <x:c r="Q1043" s="4" t="str">
        <x:f>IF(AND(ISNUMBER(P1043),P1043&gt;1E-9,P1043&lt;1-1E-9),'계산 과정'!$C$47*(D1043-'계산 과정'!$C$50+P1043*('계산 과정'!$C$32-D1043))+'계산 과정'!$D$47*(E1043-'계산 과정'!$D$50+P1043*('계산 과정'!$D$32-E1043))+'계산 과정'!$E$47*(0-'계산 과정'!$E$50+P1043*('계산 과정'!$E$32-0)),"")</x:f>
      </x:c>
      <x:c r="R1043" s="4" t="str">
        <x:f>IF(AND(ISNUMBER(P1043),P1043&gt;1E-9,P1043&lt;1-1E-9),'계산 과정'!$C$48*(D1043-'계산 과정'!$C$50+P1043*('계산 과정'!$C$32-D1043))+'계산 과정'!$D$48*(E1043-'계산 과정'!$D$50+P1043*('계산 과정'!$D$32-E1043))+'계산 과정'!$E$48*(0-'계산 과정'!$E$50+P1043*('계산 과정'!$E$32-0)),"")</x:f>
      </x:c>
      <x:c r="S1043" s="17" t="n">
        <x:f>IF('계산 과정'!$C$78,IF(AND(ISNUMBER(Q1043),ISNUMBER(R1043),ABS(Q1043-'계산 과정'!$C$88)&lt;='계산 과정'!$D$23/2,ABS(R1043-'계산 과정'!$C$89)&lt;='계산 과정'!$D$24/2),1,0),"")</x:f>
        <x:v>0</x:v>
      </x:c>
      <x:c r="T1043" s="4"/>
      <x:c r="U1043" s="4"/>
      <x:c r="V1043" s="4"/>
      <x:c r="W1043" s="4"/>
      <x:c r="X1043" s="4"/>
      <x:c r="Y1043" s="4"/>
      <x:c r="Z1043" s="4"/>
    </x:row>
    <x:row r="1044" ht="23" customHeight="1">
      <x:c r="A1044" s="17" t="n">
        <x:f>ROW()-6</x:f>
        <x:v>1038</x:v>
      </x:c>
      <x:c r="B1044" s="4" t="n">
        <x:f>IF('계산 과정'!$L$5,'계산 과정'!$L$11*SQRT((A1044+0.5)/'계산 과정'!$L$30),"")</x:f>
        <x:v>106.81433311036726</x:v>
      </x:c>
      <x:c r="C1044" s="4" t="n">
        <x:f>A1044*PI()*(3-SQRT(5))</x:f>
        <x:v>2491.161832458342</x:v>
      </x:c>
      <x:c r="D1044" s="4" t="n">
        <x:f>IF('계산 과정'!$L$5,B1044*COS(C1044),"")</x:f>
        <x:v>-106.03152255303117</x:v>
      </x:c>
      <x:c r="E1044" s="4" t="n">
        <x:f>IF('계산 과정'!$L$5,B1044*SIN(C1044),"")</x:f>
        <x:v>12.90805883541524</x:v>
      </x:c>
      <x:c r="F1044" s="4" t="n">
        <x:f>IF('계산 과정'!$L$7,'계산 과정'!$L$22+'계산 과정'!$C$49*D1044+'계산 과정'!$D$49*E1044,"")</x:f>
        <x:v>724.9756086167827</x:v>
      </x:c>
      <x:c r="G1044" s="4" t="n">
        <x:f>IF('계산 과정'!$L$7,IF(ABS(F1044)&gt;=1E-12*MAX(1,SQRT((D1044-'계산 과정'!$C$33)^2+(E1044-'계산 과정'!$D$33)^2+'계산 과정'!$E$33^2)),('계산 과정'!$L$23-'계산 과정'!$C$49*D1044-'계산 과정'!$D$49*E1044)/F1044,""),"")</x:f>
        <x:v>0.4483245884690489</x:v>
      </x:c>
      <x:c r="H1044" s="4" t="n">
        <x:f>IF(AND(ISNUMBER(G1044),G1044&gt;0),('계산 과정'!$D$56+'계산 과정'!$D$57*D1044+'계산 과정'!$D$58*E1044)/F1044,"")</x:f>
        <x:v>-108.58901749511838</x:v>
      </x:c>
      <x:c r="I1044" s="4" t="n">
        <x:f>IF(AND(ISNUMBER(G1044),G1044&gt;0),('계산 과정'!$E$56+'계산 과정'!$E$57*D1044+'계산 과정'!$E$58*E1044)/F1044,"")</x:f>
        <x:v>18.695059000737047</x:v>
      </x:c>
      <x:c r="J1044" s="4" t="n">
        <x:f>IF('계산 과정'!$L$5,'계산 과정'!$D$6+'계산 과정'!$C$35*D1044+'계산 과정'!$D$35*E1044,"")</x:f>
        <x:v>724.9756086167827</x:v>
      </x:c>
      <x:c r="K1044" s="4" t="n">
        <x:f>IF(AND('계산 과정'!$L$6,J1044&gt;0),'계산 과정'!$D$10*('계산 과정'!$C$38*(D1044-'계산 과정'!$C$32)+'계산 과정'!$D$38*(E1044-'계산 과정'!$D$32)-'계산 과정'!$E$38*'계산 과정'!$E$32)/J1044,"")</x:f>
        <x:v>-0.8273448952009014</x:v>
      </x:c>
      <x:c r="L1044" s="4" t="n">
        <x:f>IF(AND('계산 과정'!$L$6,J1044&gt;0),'계산 과정'!$D$10*('계산 과정'!$C$39*(D1044-'계산 과정'!$C$32)+'계산 과정'!$D$39*(E1044-'계산 과정'!$D$32)-'계산 과정'!$E$39*'계산 과정'!$E$32)/J1044,"")</x:f>
        <x:v>0.14243854476752035</x:v>
      </x:c>
      <x:c r="M1044" s="17" t="n">
        <x:f>IF('계산 과정'!$L$6,IF(J1044&lt;=0,0,IF(AND(ABS(K1044)&lt;='계산 과정'!$D$11/2,ABS(L1044)&lt;='계산 과정'!$D$12/2),1,0)),"")</x:f>
        <x:v>1</x:v>
      </x:c>
      <x:c r="N1044" s="17" t="n">
        <x:f>IF('계산 과정'!$C$78,IF(AND(ISNUMBER(H1044),ISNUMBER(I1044),ABS(H1044-'계산 과정'!$C$88)&lt;='계산 과정'!$D$23/2,ABS(I1044-'계산 과정'!$C$89)&lt;='계산 과정'!$D$24/2),1,0),"")</x:f>
        <x:v>1</x:v>
      </x:c>
      <x:c r="O1044" s="4" t="n">
        <x:f>IF('계산 과정'!$L$7,'계산 과정'!$C$49*('계산 과정'!$C$32-D1044)+'계산 과정'!$D$49*('계산 과정'!$D$32-E1044)+'계산 과정'!$E$49*'계산 과정'!$E$32,"")</x:f>
        <x:v>-74.97560861678261</x:v>
      </x:c>
      <x:c r="P1044" s="4" t="n">
        <x:f>IF(AND('계산 과정'!$L$7,O1044&lt;&gt;0),('계산 과정'!$L$23-'계산 과정'!$C$49*D1044-'계산 과정'!$D$49*E1044)/O1044,"")</x:f>
        <x:v>-4.335068395969827</x:v>
      </x:c>
      <x:c r="Q1044" s="4" t="str">
        <x:f>IF(AND(ISNUMBER(P1044),P1044&gt;1E-9,P1044&lt;1-1E-9),'계산 과정'!$C$47*(D1044-'계산 과정'!$C$50+P1044*('계산 과정'!$C$32-D1044))+'계산 과정'!$D$47*(E1044-'계산 과정'!$D$50+P1044*('계산 과정'!$D$32-E1044))+'계산 과정'!$E$47*(0-'계산 과정'!$E$50+P1044*('계산 과정'!$E$32-0)),"")</x:f>
      </x:c>
      <x:c r="R1044" s="4" t="str">
        <x:f>IF(AND(ISNUMBER(P1044),P1044&gt;1E-9,P1044&lt;1-1E-9),'계산 과정'!$C$48*(D1044-'계산 과정'!$C$50+P1044*('계산 과정'!$C$32-D1044))+'계산 과정'!$D$48*(E1044-'계산 과정'!$D$50+P1044*('계산 과정'!$D$32-E1044))+'계산 과정'!$E$48*(0-'계산 과정'!$E$50+P1044*('계산 과정'!$E$32-0)),"")</x:f>
      </x:c>
      <x:c r="S1044" s="17" t="n">
        <x:f>IF('계산 과정'!$C$78,IF(AND(ISNUMBER(Q1044),ISNUMBER(R1044),ABS(Q1044-'계산 과정'!$C$88)&lt;='계산 과정'!$D$23/2,ABS(R1044-'계산 과정'!$C$89)&lt;='계산 과정'!$D$24/2),1,0),"")</x:f>
        <x:v>0</x:v>
      </x:c>
      <x:c r="T1044" s="4"/>
      <x:c r="U1044" s="4"/>
      <x:c r="V1044" s="4"/>
      <x:c r="W1044" s="4"/>
      <x:c r="X1044" s="4"/>
      <x:c r="Y1044" s="4"/>
      <x:c r="Z1044" s="4"/>
    </x:row>
    <x:row r="1045" ht="23" customHeight="1">
      <x:c r="A1045" s="17" t="n">
        <x:f>ROW()-6</x:f>
        <x:v>1039</x:v>
      </x:c>
      <x:c r="B1045" s="4" t="n">
        <x:f>IF('계산 과정'!$L$5,'계산 과정'!$L$11*SQRT((A1045+0.5)/'계산 과정'!$L$30),"")</x:f>
        <x:v>106.86574795479372</x:v>
      </x:c>
      <x:c r="C1045" s="4" t="n">
        <x:f>A1045*PI()*(3-SQRT(5))</x:f>
        <x:v>2493.56179568807</x:v>
      </x:c>
      <x:c r="D1045" s="4" t="n">
        <x:f>IF('계산 과정'!$L$5,B1045*COS(C1045),"")</x:f>
        <x:v>69.49851322654725</x:v>
      </x:c>
      <x:c r="E1045" s="4" t="n">
        <x:f>IF('계산 과정'!$L$5,B1045*SIN(C1045),"")</x:f>
        <x:v>-81.18032240165677</x:v>
      </x:c>
      <x:c r="F1045" s="4" t="n">
        <x:f>IF('계산 과정'!$L$7,'계산 과정'!$L$22+'계산 과정'!$C$49*D1045+'계산 과정'!$D$49*E1045,"")</x:f>
        <x:v>600.8571300151254</x:v>
      </x:c>
      <x:c r="G1045" s="4" t="n">
        <x:f>IF('계산 과정'!$L$7,IF(ABS(F1045)&gt;=1E-12*MAX(1,SQRT((D1045-'계산 과정'!$C$33)^2+(E1045-'계산 과정'!$D$33)^2+'계산 과정'!$E$33^2)),('계산 과정'!$L$23-'계산 과정'!$C$49*D1045-'계산 과정'!$D$49*E1045)/F1045,""),"")</x:f>
        <x:v>0.7475036036829057</x:v>
      </x:c>
      <x:c r="H1045" s="4" t="n">
        <x:f>IF(AND(ISNUMBER(G1045),G1045&gt;0),('계산 과정'!$D$56+'계산 과정'!$D$57*D1045+'계산 과정'!$D$58*E1045)/F1045,"")</x:f>
        <x:v>85.87734239388863</x:v>
      </x:c>
      <x:c r="I1045" s="4" t="n">
        <x:f>IF(AND(ISNUMBER(G1045),G1045&gt;0),('계산 과정'!$E$56+'계산 과정'!$E$57*D1045+'계산 과정'!$E$58*E1045)/F1045,"")</x:f>
        <x:v>-141.86290594503532</x:v>
      </x:c>
      <x:c r="J1045" s="4" t="n">
        <x:f>IF('계산 과정'!$L$5,'계산 과정'!$D$6+'계산 과정'!$C$35*D1045+'계산 과정'!$D$35*E1045,"")</x:f>
        <x:v>600.8571300151254</x:v>
      </x:c>
      <x:c r="K1045" s="4" t="n">
        <x:f>IF(AND('계산 과정'!$L$6,J1045&gt;0),'계산 과정'!$D$10*('계산 과정'!$C$38*(D1045-'계산 과정'!$C$32)+'계산 과정'!$D$38*(E1045-'계산 과정'!$D$32)-'계산 과정'!$E$38*'계산 과정'!$E$32)/J1045,"")</x:f>
        <x:v>0.6543035610962947</x:v>
      </x:c>
      <x:c r="L1045" s="4" t="n">
        <x:f>IF(AND('계산 과정'!$L$6,J1045&gt;0),'계산 과정'!$D$10*('계산 과정'!$C$39*(D1045-'계산 과정'!$C$32)+'계산 과정'!$D$39*(E1045-'계산 과정'!$D$32)-'계산 과정'!$E$39*'계산 과정'!$E$32)/J1045,"")</x:f>
        <x:v>-1.0808602357716977</x:v>
      </x:c>
      <x:c r="M1045" s="17" t="n">
        <x:f>IF('계산 과정'!$L$6,IF(J1045&lt;=0,0,IF(AND(ABS(K1045)&lt;='계산 과정'!$D$11/2,ABS(L1045)&lt;='계산 과정'!$D$12/2),1,0)),"")</x:f>
        <x:v>1</x:v>
      </x:c>
      <x:c r="N1045" s="17" t="n">
        <x:f>IF('계산 과정'!$C$78,IF(AND(ISNUMBER(H1045),ISNUMBER(I1045),ABS(H1045-'계산 과정'!$C$88)&lt;='계산 과정'!$D$23/2,ABS(I1045-'계산 과정'!$C$89)&lt;='계산 과정'!$D$24/2),1,0),"")</x:f>
        <x:v>1</x:v>
      </x:c>
      <x:c r="O1045" s="4" t="n">
        <x:f>IF('계산 과정'!$L$7,'계산 과정'!$C$49*('계산 과정'!$C$32-D1045)+'계산 과정'!$D$49*('계산 과정'!$D$32-E1045)+'계산 과정'!$E$49*'계산 과정'!$E$32,"")</x:f>
        <x:v>49.14286998487461</x:v>
      </x:c>
      <x:c r="P1045" s="4" t="n">
        <x:f>IF(AND('계산 과정'!$L$7,O1045&lt;&gt;0),('계산 과정'!$L$23-'계산 과정'!$C$49*D1045-'계산 과정'!$D$49*E1045)/O1045,"")</x:f>
        <x:v>9.139532756697228</x:v>
      </x:c>
      <x:c r="Q1045" s="4" t="str">
        <x:f>IF(AND(ISNUMBER(P1045),P1045&gt;1E-9,P1045&lt;1-1E-9),'계산 과정'!$C$47*(D1045-'계산 과정'!$C$50+P1045*('계산 과정'!$C$32-D1045))+'계산 과정'!$D$47*(E1045-'계산 과정'!$D$50+P1045*('계산 과정'!$D$32-E1045))+'계산 과정'!$E$47*(0-'계산 과정'!$E$50+P1045*('계산 과정'!$E$32-0)),"")</x:f>
      </x:c>
      <x:c r="R1045" s="4" t="str">
        <x:f>IF(AND(ISNUMBER(P1045),P1045&gt;1E-9,P1045&lt;1-1E-9),'계산 과정'!$C$48*(D1045-'계산 과정'!$C$50+P1045*('계산 과정'!$C$32-D1045))+'계산 과정'!$D$48*(E1045-'계산 과정'!$D$50+P1045*('계산 과정'!$D$32-E1045))+'계산 과정'!$E$48*(0-'계산 과정'!$E$50+P1045*('계산 과정'!$E$32-0)),"")</x:f>
      </x:c>
      <x:c r="S1045" s="17" t="n">
        <x:f>IF('계산 과정'!$C$78,IF(AND(ISNUMBER(Q1045),ISNUMBER(R1045),ABS(Q1045-'계산 과정'!$C$88)&lt;='계산 과정'!$D$23/2,ABS(R1045-'계산 과정'!$C$89)&lt;='계산 과정'!$D$24/2),1,0),"")</x:f>
        <x:v>0</x:v>
      </x:c>
      <x:c r="T1045" s="4"/>
      <x:c r="U1045" s="4"/>
      <x:c r="V1045" s="4"/>
      <x:c r="W1045" s="4"/>
      <x:c r="X1045" s="4"/>
      <x:c r="Y1045" s="4"/>
      <x:c r="Z1045" s="4"/>
    </x:row>
    <x:row r="1046" ht="23" customHeight="1">
      <x:c r="A1046" s="17" t="n">
        <x:f>ROW()-6</x:f>
        <x:v>1040</x:v>
      </x:c>
      <x:c r="B1046" s="4" t="n">
        <x:f>IF('계산 과정'!$L$5,'계산 과정'!$L$11*SQRT((A1046+0.5)/'계산 과정'!$L$30),"")</x:f>
        <x:v>106.91713807459729</x:v>
      </x:c>
      <x:c r="C1046" s="4" t="n">
        <x:f>A1046*PI()*(3-SQRT(5))</x:f>
        <x:v>2495.9617589177988</x:v>
      </x:c>
      <x:c r="D1046" s="4" t="n">
        <x:f>IF('계산 과정'!$L$5,B1046*COS(C1046),"")</x:f>
        <x:v>3.592205748414292</x:v>
      </x:c>
      <x:c r="E1046" s="4" t="n">
        <x:f>IF('계산 과정'!$L$5,B1046*SIN(C1046),"")</x:f>
        <x:v>106.85677550779623</x:v>
      </x:c>
      <x:c r="F1046" s="4" t="n">
        <x:f>IF('계산 과정'!$L$7,'계산 과정'!$L$22+'계산 과정'!$C$49*D1046+'계산 과정'!$D$49*E1046,"")</x:f>
        <x:v>647.4599269558789</x:v>
      </x:c>
      <x:c r="G1046" s="4" t="n">
        <x:f>IF('계산 과정'!$L$7,IF(ABS(F1046)&gt;=1E-12*MAX(1,SQRT((D1046-'계산 과정'!$C$33)^2+(E1046-'계산 과정'!$D$33)^2+'계산 과정'!$E$33^2)),('계산 과정'!$L$23-'계산 과정'!$C$49*D1046-'계산 과정'!$D$49*E1046)/F1046,""),"")</x:f>
        <x:v>0.6217219881649171</x:v>
      </x:c>
      <x:c r="H1046" s="4" t="n">
        <x:f>IF(AND(ISNUMBER(G1046),G1046&gt;0),('계산 과정'!$D$56+'계산 과정'!$D$57*D1046+'계산 과정'!$D$58*E1046)/F1046,"")</x:f>
        <x:v>4.119292307195978</x:v>
      </x:c>
      <x:c r="I1046" s="4" t="n">
        <x:f>IF(AND(ISNUMBER(G1046),G1046&gt;0),('계산 과정'!$E$56+'계산 과정'!$E$57*D1046+'계산 과정'!$E$58*E1046)/F1046,"")</x:f>
        <x:v>173.2919824253955</x:v>
      </x:c>
      <x:c r="J1046" s="4" t="n">
        <x:f>IF('계산 과정'!$L$5,'계산 과정'!$D$6+'계산 과정'!$C$35*D1046+'계산 과정'!$D$35*E1046,"")</x:f>
        <x:v>647.4599269558789</x:v>
      </x:c>
      <x:c r="K1046" s="4" t="n">
        <x:f>IF(AND('계산 과정'!$L$6,J1046&gt;0),'계산 과정'!$D$10*('계산 과정'!$C$38*(D1046-'계산 과정'!$C$32)+'계산 과정'!$D$38*(E1046-'계산 과정'!$D$32)-'계산 과정'!$E$38*'계산 과정'!$E$32)/J1046,"")</x:f>
        <x:v>0.03138508424530392</x:v>
      </x:c>
      <x:c r="L1046" s="4" t="n">
        <x:f>IF(AND('계산 과정'!$L$6,J1046&gt;0),'계산 과정'!$D$10*('계산 과정'!$C$39*(D1046-'계산 과정'!$C$32)+'계산 과정'!$D$39*(E1046-'계산 과정'!$D$32)-'계산 과정'!$E$39*'계산 과정'!$E$32)/J1046,"")</x:f>
        <x:v>1.3203198660982516</x:v>
      </x:c>
      <x:c r="M1046" s="17" t="n">
        <x:f>IF('계산 과정'!$L$6,IF(J1046&lt;=0,0,IF(AND(ABS(K1046)&lt;='계산 과정'!$D$11/2,ABS(L1046)&lt;='계산 과정'!$D$12/2),1,0)),"")</x:f>
        <x:v>1</x:v>
      </x:c>
      <x:c r="N1046" s="17" t="n">
        <x:f>IF('계산 과정'!$C$78,IF(AND(ISNUMBER(H1046),ISNUMBER(I1046),ABS(H1046-'계산 과정'!$C$88)&lt;='계산 과정'!$D$23/2,ABS(I1046-'계산 과정'!$C$89)&lt;='계산 과정'!$D$24/2),1,0),"")</x:f>
        <x:v>1</x:v>
      </x:c>
      <x:c r="O1046" s="4" t="n">
        <x:f>IF('계산 과정'!$L$7,'계산 과정'!$C$49*('계산 과정'!$C$32-D1046)+'계산 과정'!$D$49*('계산 과정'!$D$32-E1046)+'계산 과정'!$E$49*'계산 과정'!$E$32,"")</x:f>
        <x:v>2.5400730441211863</x:v>
      </x:c>
      <x:c r="P1046" s="4" t="n">
        <x:f>IF(AND('계산 과정'!$L$7,O1046&lt;&gt;0),('계산 과정'!$L$23-'계산 과정'!$C$49*D1046-'계산 과정'!$D$49*E1046)/O1046,"")</x:f>
        <x:v>158.47578634629056</x:v>
      </x:c>
      <x:c r="Q1046" s="4" t="str">
        <x:f>IF(AND(ISNUMBER(P1046),P1046&gt;1E-9,P1046&lt;1-1E-9),'계산 과정'!$C$47*(D1046-'계산 과정'!$C$50+P1046*('계산 과정'!$C$32-D1046))+'계산 과정'!$D$47*(E1046-'계산 과정'!$D$50+P1046*('계산 과정'!$D$32-E1046))+'계산 과정'!$E$47*(0-'계산 과정'!$E$50+P1046*('계산 과정'!$E$32-0)),"")</x:f>
      </x:c>
      <x:c r="R1046" s="4" t="str">
        <x:f>IF(AND(ISNUMBER(P1046),P1046&gt;1E-9,P1046&lt;1-1E-9),'계산 과정'!$C$48*(D1046-'계산 과정'!$C$50+P1046*('계산 과정'!$C$32-D1046))+'계산 과정'!$D$48*(E1046-'계산 과정'!$D$50+P1046*('계산 과정'!$D$32-E1046))+'계산 과정'!$E$48*(0-'계산 과정'!$E$50+P1046*('계산 과정'!$E$32-0)),"")</x:f>
      </x:c>
      <x:c r="S1046" s="17" t="n">
        <x:f>IF('계산 과정'!$C$78,IF(AND(ISNUMBER(Q1046),ISNUMBER(R1046),ABS(Q1046-'계산 과정'!$C$88)&lt;='계산 과정'!$D$23/2,ABS(R1046-'계산 과정'!$C$89)&lt;='계산 과정'!$D$24/2),1,0),"")</x:f>
        <x:v>0</x:v>
      </x:c>
      <x:c r="T1046" s="4"/>
      <x:c r="U1046" s="4"/>
      <x:c r="V1046" s="4"/>
      <x:c r="W1046" s="4"/>
      <x:c r="X1046" s="4"/>
      <x:c r="Y1046" s="4"/>
      <x:c r="Z1046" s="4"/>
    </x:row>
    <x:row r="1047" ht="23" customHeight="1">
      <x:c r="A1047" s="17" t="n">
        <x:f>ROW()-6</x:f>
        <x:v>1041</x:v>
      </x:c>
      <x:c r="B1047" s="4" t="n">
        <x:f>IF('계산 과정'!$L$5,'계산 과정'!$L$11*SQRT((A1047+0.5)/'계산 과정'!$L$30),"")</x:f>
        <x:v>106.96850350541274</x:v>
      </x:c>
      <x:c r="C1047" s="4" t="n">
        <x:f>A1047*PI()*(3-SQRT(5))</x:f>
        <x:v>2498.361722147528</x:v>
      </x:c>
      <x:c r="D1047" s="4" t="n">
        <x:f>IF('계산 과정'!$L$5,B1047*COS(C1047),"")</x:f>
        <x:v>-74.86544524980891</x:v>
      </x:c>
      <x:c r="E1047" s="4" t="n">
        <x:f>IF('계산 과정'!$L$5,B1047*SIN(C1047),"")</x:f>
        <x:v>-76.40304869398446</x:v>
      </x:c>
      <x:c r="F1047" s="4" t="n">
        <x:f>IF('계산 과정'!$L$7,'계산 과정'!$L$22+'계산 과정'!$C$49*D1047+'계산 과정'!$D$49*E1047,"")</x:f>
        <x:v>702.93786401269</x:v>
      </x:c>
      <x:c r="G1047" s="4" t="n">
        <x:f>IF('계산 과정'!$L$7,IF(ABS(F1047)&gt;=1E-12*MAX(1,SQRT((D1047-'계산 과정'!$C$33)^2+(E1047-'계산 과정'!$D$33)^2+'계산 과정'!$E$33^2)),('계산 과정'!$L$23-'계산 과정'!$C$49*D1047-'계산 과정'!$D$49*E1047)/F1047,""),"")</x:f>
        <x:v>0.4937308882553586</x:v>
      </x:c>
      <x:c r="H1047" s="4" t="n">
        <x:f>IF(AND(ISNUMBER(G1047),G1047&gt;0),('계산 과정'!$D$56+'계산 과정'!$D$57*D1047+'계산 과정'!$D$58*E1047)/F1047,"")</x:f>
        <x:v>-79.07492263401707</x:v>
      </x:c>
      <x:c r="I1047" s="4" t="n">
        <x:f>IF(AND(ISNUMBER(G1047),G1047&gt;0),('계산 과정'!$E$56+'계산 과정'!$E$57*D1047+'계산 과정'!$E$58*E1047)/F1047,"")</x:f>
        <x:v>-114.12559379108282</x:v>
      </x:c>
      <x:c r="J1047" s="4" t="n">
        <x:f>IF('계산 과정'!$L$5,'계산 과정'!$D$6+'계산 과정'!$C$35*D1047+'계산 과정'!$D$35*E1047,"")</x:f>
        <x:v>702.93786401269</x:v>
      </x:c>
      <x:c r="K1047" s="4" t="n">
        <x:f>IF(AND('계산 과정'!$L$6,J1047&gt;0),'계산 과정'!$D$10*('계산 과정'!$C$38*(D1047-'계산 과정'!$C$32)+'계산 과정'!$D$38*(E1047-'계산 과정'!$D$32)-'계산 과정'!$E$38*'계산 과정'!$E$32)/J1047,"")</x:f>
        <x:v>-0.6024756010210811</x:v>
      </x:c>
      <x:c r="L1047" s="4" t="n">
        <x:f>IF(AND('계산 과정'!$L$6,J1047&gt;0),'계산 과정'!$D$10*('계산 과정'!$C$39*(D1047-'계산 과정'!$C$32)+'계산 과정'!$D$39*(E1047-'계산 과정'!$D$32)-'계산 과정'!$E$39*'계산 과정'!$E$32)/J1047,"")</x:f>
        <x:v>-0.8695283336463453</x:v>
      </x:c>
      <x:c r="M1047" s="17" t="n">
        <x:f>IF('계산 과정'!$L$6,IF(J1047&lt;=0,0,IF(AND(ABS(K1047)&lt;='계산 과정'!$D$11/2,ABS(L1047)&lt;='계산 과정'!$D$12/2),1,0)),"")</x:f>
        <x:v>1</x:v>
      </x:c>
      <x:c r="N1047" s="17" t="n">
        <x:f>IF('계산 과정'!$C$78,IF(AND(ISNUMBER(H1047),ISNUMBER(I1047),ABS(H1047-'계산 과정'!$C$88)&lt;='계산 과정'!$D$23/2,ABS(I1047-'계산 과정'!$C$89)&lt;='계산 과정'!$D$24/2),1,0),"")</x:f>
        <x:v>1</x:v>
      </x:c>
      <x:c r="O1047" s="4" t="n">
        <x:f>IF('계산 과정'!$L$7,'계산 과정'!$C$49*('계산 과정'!$C$32-D1047)+'계산 과정'!$D$49*('계산 과정'!$D$32-E1047)+'계산 과정'!$E$49*'계산 과정'!$E$32,"")</x:f>
        <x:v>-52.93786401268994</x:v>
      </x:c>
      <x:c r="P1047" s="4" t="n">
        <x:f>IF(AND('계산 과정'!$L$7,O1047&lt;&gt;0),('계산 과정'!$L$23-'계산 과정'!$C$49*D1047-'계산 과정'!$D$49*E1047)/O1047,"")</x:f>
        <x:v>-6.556028326041155</x:v>
      </x:c>
      <x:c r="Q1047" s="4" t="str">
        <x:f>IF(AND(ISNUMBER(P1047),P1047&gt;1E-9,P1047&lt;1-1E-9),'계산 과정'!$C$47*(D1047-'계산 과정'!$C$50+P1047*('계산 과정'!$C$32-D1047))+'계산 과정'!$D$47*(E1047-'계산 과정'!$D$50+P1047*('계산 과정'!$D$32-E1047))+'계산 과정'!$E$47*(0-'계산 과정'!$E$50+P1047*('계산 과정'!$E$32-0)),"")</x:f>
      </x:c>
      <x:c r="R1047" s="4" t="str">
        <x:f>IF(AND(ISNUMBER(P1047),P1047&gt;1E-9,P1047&lt;1-1E-9),'계산 과정'!$C$48*(D1047-'계산 과정'!$C$50+P1047*('계산 과정'!$C$32-D1047))+'계산 과정'!$D$48*(E1047-'계산 과정'!$D$50+P1047*('계산 과정'!$D$32-E1047))+'계산 과정'!$E$48*(0-'계산 과정'!$E$50+P1047*('계산 과정'!$E$32-0)),"")</x:f>
      </x:c>
      <x:c r="S1047" s="17" t="n">
        <x:f>IF('계산 과정'!$C$78,IF(AND(ISNUMBER(Q1047),ISNUMBER(R1047),ABS(Q1047-'계산 과정'!$C$88)&lt;='계산 과정'!$D$23/2,ABS(R1047-'계산 과정'!$C$89)&lt;='계산 과정'!$D$24/2),1,0),"")</x:f>
        <x:v>0</x:v>
      </x:c>
      <x:c r="T1047" s="4"/>
      <x:c r="U1047" s="4"/>
      <x:c r="V1047" s="4"/>
      <x:c r="W1047" s="4"/>
      <x:c r="X1047" s="4"/>
      <x:c r="Y1047" s="4"/>
      <x:c r="Z1047" s="4"/>
    </x:row>
    <x:row r="1048" ht="23" customHeight="1">
      <x:c r="A1048" s="17" t="n">
        <x:f>ROW()-6</x:f>
        <x:v>1042</x:v>
      </x:c>
      <x:c r="B1048" s="4" t="n">
        <x:f>IF('계산 과정'!$L$5,'계산 과정'!$L$11*SQRT((A1048+0.5)/'계산 과정'!$L$30),"")</x:f>
        <x:v>107.01984428278945</x:v>
      </x:c>
      <x:c r="C1048" s="4" t="n">
        <x:f>A1048*PI()*(3-SQRT(5))</x:f>
        <x:v>2500.7616853772565</x:v>
      </x:c>
      <x:c r="D1048" s="4" t="n">
        <x:f>IF('계산 과정'!$L$5,B1048*COS(C1048),"")</x:f>
        <x:v>106.8642333413879</x:v>
      </x:c>
      <x:c r="E1048" s="4" t="n">
        <x:f>IF('계산 과정'!$L$5,B1048*SIN(C1048),"")</x:f>
        <x:v>5.769116281537238</x:v>
      </x:c>
      <x:c r="F1048" s="4" t="n">
        <x:f>IF('계산 과정'!$L$7,'계산 과정'!$L$22+'계산 과정'!$C$49*D1048+'계산 과정'!$D$49*E1048,"")</x:f>
        <x:v>574.435575938003</x:v>
      </x:c>
      <x:c r="G1048" s="4" t="n">
        <x:f>IF('계산 과정'!$L$7,IF(ABS(F1048)&gt;=1E-12*MAX(1,SQRT((D1048-'계산 과정'!$C$33)^2+(E1048-'계산 과정'!$D$33)^2+'계산 과정'!$E$33^2)),('계산 과정'!$L$23-'계산 과정'!$C$49*D1048-'계산 과정'!$D$49*E1048)/F1048,""),"")</x:f>
        <x:v>0.8278812176377514</x:v>
      </x:c>
      <x:c r="H1048" s="4" t="n">
        <x:f>IF(AND(ISNUMBER(G1048),G1048&gt;0),('계산 과정'!$D$56+'계산 과정'!$D$57*D1048+'계산 과정'!$D$58*E1048)/F1048,"")</x:f>
        <x:v>138.12279146453827</x:v>
      </x:c>
      <x:c r="I1048" s="4" t="n">
        <x:f>IF(AND(ISNUMBER(G1048),G1048&gt;0),('계산 과정'!$E$56+'계산 과정'!$E$57*D1048+'계산 과정'!$E$58*E1048)/F1048,"")</x:f>
        <x:v>10.545259293390064</x:v>
      </x:c>
      <x:c r="J1048" s="4" t="n">
        <x:f>IF('계산 과정'!$L$5,'계산 과정'!$D$6+'계산 과정'!$C$35*D1048+'계산 과정'!$D$35*E1048,"")</x:f>
        <x:v>574.435575938003</x:v>
      </x:c>
      <x:c r="K1048" s="4" t="n">
        <x:f>IF(AND('계산 과정'!$L$6,J1048&gt;0),'계산 과정'!$D$10*('계산 과정'!$C$38*(D1048-'계산 과정'!$C$32)+'계산 과정'!$D$38*(E1048-'계산 과정'!$D$32)-'계산 과정'!$E$38*'계산 과정'!$E$32)/J1048,"")</x:f>
        <x:v>1.0523641254441018</x:v>
      </x:c>
      <x:c r="L1048" s="4" t="n">
        <x:f>IF(AND('계산 과정'!$L$6,J1048&gt;0),'계산 과정'!$D$10*('계산 과정'!$C$39*(D1048-'계산 과정'!$C$32)+'계산 과정'!$D$39*(E1048-'계산 과정'!$D$32)-'계산 과정'!$E$39*'계산 과정'!$E$32)/J1048,"")</x:f>
        <x:v>0.08034483271154334</x:v>
      </x:c>
      <x:c r="M1048" s="17" t="n">
        <x:f>IF('계산 과정'!$L$6,IF(J1048&lt;=0,0,IF(AND(ABS(K1048)&lt;='계산 과정'!$D$11/2,ABS(L1048)&lt;='계산 과정'!$D$12/2),1,0)),"")</x:f>
        <x:v>1</x:v>
      </x:c>
      <x:c r="N1048" s="17" t="n">
        <x:f>IF('계산 과정'!$C$78,IF(AND(ISNUMBER(H1048),ISNUMBER(I1048),ABS(H1048-'계산 과정'!$C$88)&lt;='계산 과정'!$D$23/2,ABS(I1048-'계산 과정'!$C$89)&lt;='계산 과정'!$D$24/2),1,0),"")</x:f>
        <x:v>1</x:v>
      </x:c>
      <x:c r="O1048" s="4" t="n">
        <x:f>IF('계산 과정'!$L$7,'계산 과정'!$C$49*('계산 과정'!$C$32-D1048)+'계산 과정'!$D$49*('계산 과정'!$D$32-E1048)+'계산 과정'!$E$49*'계산 과정'!$E$32,"")</x:f>
        <x:v>75.56442406199702</x:v>
      </x:c>
      <x:c r="P1048" s="4" t="n">
        <x:f>IF(AND('계산 과정'!$L$7,O1048&lt;&gt;0),('계산 과정'!$L$23-'계산 과정'!$C$49*D1048-'계산 과정'!$D$49*E1048)/O1048,"")</x:f>
        <x:v>6.293496310801217</x:v>
      </x:c>
      <x:c r="Q1048" s="4" t="str">
        <x:f>IF(AND(ISNUMBER(P1048),P1048&gt;1E-9,P1048&lt;1-1E-9),'계산 과정'!$C$47*(D1048-'계산 과정'!$C$50+P1048*('계산 과정'!$C$32-D1048))+'계산 과정'!$D$47*(E1048-'계산 과정'!$D$50+P1048*('계산 과정'!$D$32-E1048))+'계산 과정'!$E$47*(0-'계산 과정'!$E$50+P1048*('계산 과정'!$E$32-0)),"")</x:f>
      </x:c>
      <x:c r="R1048" s="4" t="str">
        <x:f>IF(AND(ISNUMBER(P1048),P1048&gt;1E-9,P1048&lt;1-1E-9),'계산 과정'!$C$48*(D1048-'계산 과정'!$C$50+P1048*('계산 과정'!$C$32-D1048))+'계산 과정'!$D$48*(E1048-'계산 과정'!$D$50+P1048*('계산 과정'!$D$32-E1048))+'계산 과정'!$E$48*(0-'계산 과정'!$E$50+P1048*('계산 과정'!$E$32-0)),"")</x:f>
      </x:c>
      <x:c r="S1048" s="17" t="n">
        <x:f>IF('계산 과정'!$C$78,IF(AND(ISNUMBER(Q1048),ISNUMBER(R1048),ABS(Q1048-'계산 과정'!$C$88)&lt;='계산 과정'!$D$23/2,ABS(R1048-'계산 과정'!$C$89)&lt;='계산 과정'!$D$24/2),1,0),"")</x:f>
        <x:v>0</x:v>
      </x:c>
      <x:c r="T1048" s="4"/>
      <x:c r="U1048" s="4"/>
      <x:c r="V1048" s="4"/>
      <x:c r="W1048" s="4"/>
      <x:c r="X1048" s="4"/>
      <x:c r="Y1048" s="4"/>
      <x:c r="Z1048" s="4"/>
    </x:row>
    <x:row r="1049" ht="23" customHeight="1">
      <x:c r="A1049" s="17" t="n">
        <x:f>ROW()-6</x:f>
        <x:v>1043</x:v>
      </x:c>
      <x:c r="B1049" s="4" t="n">
        <x:f>IF('계산 과정'!$L$5,'계산 과정'!$L$11*SQRT((A1049+0.5)/'계산 과정'!$L$30),"")</x:f>
        <x:v>107.07116044219144</x:v>
      </x:c>
      <x:c r="C1049" s="4" t="n">
        <x:f>A1049*PI()*(3-SQRT(5))</x:f>
        <x:v>2503.1616486069847</x:v>
      </x:c>
      <x:c r="D1049" s="4" t="n">
        <x:f>IF('계산 과정'!$L$5,B1049*COS(C1049),"")</x:f>
        <x:v>-82.73499442801707</x:v>
      </x:c>
      <x:c r="E1049" s="4" t="n">
        <x:f>IF('계산 과정'!$L$5,B1049*SIN(C1049),"")</x:f>
        <x:v>67.96435900847946</x:v>
      </x:c>
      <x:c r="F1049" s="4" t="n">
        <x:f>IF('계산 과정'!$L$7,'계산 과정'!$L$22+'계산 과정'!$C$49*D1049+'계산 과정'!$D$49*E1049,"")</x:f>
        <x:v>708.502475601482</x:v>
      </x:c>
      <x:c r="G1049" s="4" t="n">
        <x:f>IF('계산 과정'!$L$7,IF(ABS(F1049)&gt;=1E-12*MAX(1,SQRT((D1049-'계산 과정'!$C$33)^2+(E1049-'계산 과정'!$D$33)^2+'계산 과정'!$E$33^2)),('계산 과정'!$L$23-'계산 과정'!$C$49*D1049-'계산 과정'!$D$49*E1049)/F1049,""),"")</x:f>
        <x:v>0.48199905597874465</x:v>
      </x:c>
      <x:c r="H1049" s="4" t="n">
        <x:f>IF(AND(ISNUMBER(G1049),G1049&gt;0),('계산 과정'!$D$56+'계산 과정'!$D$57*D1049+'계산 과정'!$D$58*E1049)/F1049,"")</x:f>
        <x:v>-86.70061361381615</x:v>
      </x:c>
      <x:c r="I1049" s="4" t="n">
        <x:f>IF(AND(ISNUMBER(G1049),G1049&gt;0),('계산 과정'!$E$56+'계산 과정'!$E$57*D1049+'계산 과정'!$E$58*E1049)/F1049,"")</x:f>
        <x:v>100.72311589076705</x:v>
      </x:c>
      <x:c r="J1049" s="4" t="n">
        <x:f>IF('계산 과정'!$L$5,'계산 과정'!$D$6+'계산 과정'!$C$35*D1049+'계산 과정'!$D$35*E1049,"")</x:f>
        <x:v>708.502475601482</x:v>
      </x:c>
      <x:c r="K1049" s="4" t="n">
        <x:f>IF(AND('계산 과정'!$L$6,J1049&gt;0),'계산 과정'!$D$10*('계산 과정'!$C$38*(D1049-'계산 과정'!$C$32)+'계산 과정'!$D$38*(E1049-'계산 과정'!$D$32)-'계산 과정'!$E$38*'계산 과정'!$E$32)/J1049,"")</x:f>
        <x:v>-0.6605761037243125</x:v>
      </x:c>
      <x:c r="L1049" s="4" t="n">
        <x:f>IF(AND('계산 과정'!$L$6,J1049&gt;0),'계산 과정'!$D$10*('계산 과정'!$C$39*(D1049-'계산 과정'!$C$32)+'계산 과정'!$D$39*(E1049-'계산 과정'!$D$32)-'계산 과정'!$E$39*'계산 과정'!$E$32)/J1049,"")</x:f>
        <x:v>0.7674142163106061</x:v>
      </x:c>
      <x:c r="M1049" s="17" t="n">
        <x:f>IF('계산 과정'!$L$6,IF(J1049&lt;=0,0,IF(AND(ABS(K1049)&lt;='계산 과정'!$D$11/2,ABS(L1049)&lt;='계산 과정'!$D$12/2),1,0)),"")</x:f>
        <x:v>1</x:v>
      </x:c>
      <x:c r="N1049" s="17" t="n">
        <x:f>IF('계산 과정'!$C$78,IF(AND(ISNUMBER(H1049),ISNUMBER(I1049),ABS(H1049-'계산 과정'!$C$88)&lt;='계산 과정'!$D$23/2,ABS(I1049-'계산 과정'!$C$89)&lt;='계산 과정'!$D$24/2),1,0),"")</x:f>
        <x:v>1</x:v>
      </x:c>
      <x:c r="O1049" s="4" t="n">
        <x:f>IF('계산 과정'!$L$7,'계산 과정'!$C$49*('계산 과정'!$C$32-D1049)+'계산 과정'!$D$49*('계산 과정'!$D$32-E1049)+'계산 과정'!$E$49*'계산 과정'!$E$32,"")</x:f>
        <x:v>-58.50247560148199</x:v>
      </x:c>
      <x:c r="P1049" s="4" t="n">
        <x:f>IF(AND('계산 과정'!$L$7,O1049&lt;&gt;0),('계산 과정'!$L$23-'계산 과정'!$C$49*D1049-'계산 과정'!$D$49*E1049)/O1049,"")</x:f>
        <x:v>-5.837317496182453</x:v>
      </x:c>
      <x:c r="Q1049" s="4" t="str">
        <x:f>IF(AND(ISNUMBER(P1049),P1049&gt;1E-9,P1049&lt;1-1E-9),'계산 과정'!$C$47*(D1049-'계산 과정'!$C$50+P1049*('계산 과정'!$C$32-D1049))+'계산 과정'!$D$47*(E1049-'계산 과정'!$D$50+P1049*('계산 과정'!$D$32-E1049))+'계산 과정'!$E$47*(0-'계산 과정'!$E$50+P1049*('계산 과정'!$E$32-0)),"")</x:f>
      </x:c>
      <x:c r="R1049" s="4" t="str">
        <x:f>IF(AND(ISNUMBER(P1049),P1049&gt;1E-9,P1049&lt;1-1E-9),'계산 과정'!$C$48*(D1049-'계산 과정'!$C$50+P1049*('계산 과정'!$C$32-D1049))+'계산 과정'!$D$48*(E1049-'계산 과정'!$D$50+P1049*('계산 과정'!$D$32-E1049))+'계산 과정'!$E$48*(0-'계산 과정'!$E$50+P1049*('계산 과정'!$E$32-0)),"")</x:f>
      </x:c>
      <x:c r="S1049" s="17" t="n">
        <x:f>IF('계산 과정'!$C$78,IF(AND(ISNUMBER(Q1049),ISNUMBER(R1049),ABS(Q1049-'계산 과정'!$C$88)&lt;='계산 과정'!$D$23/2,ABS(R1049-'계산 과정'!$C$89)&lt;='계산 과정'!$D$24/2),1,0),"")</x:f>
        <x:v>0</x:v>
      </x:c>
      <x:c r="T1049" s="4"/>
      <x:c r="U1049" s="4"/>
      <x:c r="V1049" s="4"/>
      <x:c r="W1049" s="4"/>
      <x:c r="X1049" s="4"/>
      <x:c r="Y1049" s="4"/>
      <x:c r="Z1049" s="4"/>
    </x:row>
    <x:row r="1050" ht="23" customHeight="1">
      <x:c r="A1050" s="17" t="n">
        <x:f>ROW()-6</x:f>
        <x:v>1044</x:v>
      </x:c>
      <x:c r="B1050" s="4" t="n">
        <x:f>IF('계산 과정'!$L$5,'계산 과정'!$L$11*SQRT((A1050+0.5)/'계산 과정'!$L$30),"")</x:f>
        <x:v>107.12245201899788</x:v>
      </x:c>
      <x:c r="C1050" s="4" t="n">
        <x:f>A1050*PI()*(3-SQRT(5))</x:f>
        <x:v>2505.5616118367134</x:v>
      </x:c>
      <x:c r="D1050" s="4" t="n">
        <x:f>IF('계산 과정'!$L$5,B1050*COS(C1050),"")</x:f>
        <x:v>15.104177223218887</x:v>
      </x:c>
      <x:c r="E1050" s="4" t="n">
        <x:f>IF('계산 과정'!$L$5,B1050*SIN(C1050),"")</x:f>
        <x:v>-106.05226804256522</x:v>
      </x:c>
      <x:c r="F1050" s="4" t="n">
        <x:f>IF('계산 과정'!$L$7,'계산 과정'!$L$22+'계산 과정'!$C$49*D1050+'계산 과정'!$D$49*E1050,"")</x:f>
        <x:v>639.3197338612185</x:v>
      </x:c>
      <x:c r="G1050" s="4" t="n">
        <x:f>IF('계산 과정'!$L$7,IF(ABS(F1050)&gt;=1E-12*MAX(1,SQRT((D1050-'계산 과정'!$C$33)^2+(E1050-'계산 과정'!$D$33)^2+'계산 과정'!$E$33^2)),('계산 과정'!$L$23-'계산 과정'!$C$49*D1050-'계산 과정'!$D$49*E1050)/F1050,""),"")</x:f>
        <x:v>0.6423707018371665</x:v>
      </x:c>
      <x:c r="H1050" s="4" t="n">
        <x:f>IF(AND(ISNUMBER(G1050),G1050&gt;0),('계산 과정'!$D$56+'계산 과정'!$D$57*D1050+'계산 과정'!$D$58*E1050)/F1050,"")</x:f>
        <x:v>17.540956194158138</x:v>
      </x:c>
      <x:c r="I1050" s="4" t="n">
        <x:f>IF(AND(ISNUMBER(G1050),G1050&gt;0),('계산 과정'!$E$56+'계산 과정'!$E$57*D1050+'계산 과정'!$E$58*E1050)/F1050,"")</x:f>
        <x:v>-174.17713789649116</x:v>
      </x:c>
      <x:c r="J1050" s="4" t="n">
        <x:f>IF('계산 과정'!$L$5,'계산 과정'!$D$6+'계산 과정'!$C$35*D1050+'계산 과정'!$D$35*E1050,"")</x:f>
        <x:v>639.3197338612185</x:v>
      </x:c>
      <x:c r="K1050" s="4" t="n">
        <x:f>IF(AND('계산 과정'!$L$6,J1050&gt;0),'계산 과정'!$D$10*('계산 과정'!$C$38*(D1050-'계산 과정'!$C$32)+'계산 과정'!$D$38*(E1050-'계산 과정'!$D$32)-'계산 과정'!$E$38*'계산 과정'!$E$32)/J1050,"")</x:f>
        <x:v>0.13364538052691988</x:v>
      </x:c>
      <x:c r="L1050" s="4" t="n">
        <x:f>IF(AND('계산 과정'!$L$6,J1050&gt;0),'계산 과정'!$D$10*('계산 과정'!$C$39*(D1050-'계산 과정'!$C$32)+'계산 과정'!$D$39*(E1050-'계산 과정'!$D$32)-'계산 과정'!$E$39*'계산 과정'!$E$32)/J1050,"")</x:f>
        <x:v>-1.3270639077827897</x:v>
      </x:c>
      <x:c r="M1050" s="17" t="n">
        <x:f>IF('계산 과정'!$L$6,IF(J1050&lt;=0,0,IF(AND(ABS(K1050)&lt;='계산 과정'!$D$11/2,ABS(L1050)&lt;='계산 과정'!$D$12/2),1,0)),"")</x:f>
        <x:v>1</x:v>
      </x:c>
      <x:c r="N1050" s="17" t="n">
        <x:f>IF('계산 과정'!$C$78,IF(AND(ISNUMBER(H1050),ISNUMBER(I1050),ABS(H1050-'계산 과정'!$C$88)&lt;='계산 과정'!$D$23/2,ABS(I1050-'계산 과정'!$C$89)&lt;='계산 과정'!$D$24/2),1,0),"")</x:f>
        <x:v>1</x:v>
      </x:c>
      <x:c r="O1050" s="4" t="n">
        <x:f>IF('계산 과정'!$L$7,'계산 과정'!$C$49*('계산 과정'!$C$32-D1050)+'계산 과정'!$D$49*('계산 과정'!$D$32-E1050)+'계산 과정'!$E$49*'계산 과정'!$E$32,"")</x:f>
        <x:v>10.680266138781576</x:v>
      </x:c>
      <x:c r="P1050" s="4" t="n">
        <x:f>IF(AND('계산 과정'!$L$7,O1050&lt;&gt;0),('계산 과정'!$L$23-'계산 과정'!$C$49*D1050-'계산 과정'!$D$49*E1050)/O1050,"")</x:f>
        <x:v>38.45225023443401</x:v>
      </x:c>
      <x:c r="Q1050" s="4" t="str">
        <x:f>IF(AND(ISNUMBER(P1050),P1050&gt;1E-9,P1050&lt;1-1E-9),'계산 과정'!$C$47*(D1050-'계산 과정'!$C$50+P1050*('계산 과정'!$C$32-D1050))+'계산 과정'!$D$47*(E1050-'계산 과정'!$D$50+P1050*('계산 과정'!$D$32-E1050))+'계산 과정'!$E$47*(0-'계산 과정'!$E$50+P1050*('계산 과정'!$E$32-0)),"")</x:f>
      </x:c>
      <x:c r="R1050" s="4" t="str">
        <x:f>IF(AND(ISNUMBER(P1050),P1050&gt;1E-9,P1050&lt;1-1E-9),'계산 과정'!$C$48*(D1050-'계산 과정'!$C$50+P1050*('계산 과정'!$C$32-D1050))+'계산 과정'!$D$48*(E1050-'계산 과정'!$D$50+P1050*('계산 과정'!$D$32-E1050))+'계산 과정'!$E$48*(0-'계산 과정'!$E$50+P1050*('계산 과정'!$E$32-0)),"")</x:f>
      </x:c>
      <x:c r="S1050" s="17" t="n">
        <x:f>IF('계산 과정'!$C$78,IF(AND(ISNUMBER(Q1050),ISNUMBER(R1050),ABS(Q1050-'계산 과정'!$C$88)&lt;='계산 과정'!$D$23/2,ABS(R1050-'계산 과정'!$C$89)&lt;='계산 과정'!$D$24/2),1,0),"")</x:f>
        <x:v>0</x:v>
      </x:c>
      <x:c r="T1050" s="4"/>
      <x:c r="U1050" s="4"/>
      <x:c r="V1050" s="4"/>
      <x:c r="W1050" s="4"/>
      <x:c r="X1050" s="4"/>
      <x:c r="Y1050" s="4"/>
      <x:c r="Z1050" s="4"/>
    </x:row>
    <x:row r="1051" ht="23" customHeight="1">
      <x:c r="A1051" s="17" t="n">
        <x:f>ROW()-6</x:f>
        <x:v>1045</x:v>
      </x:c>
      <x:c r="B1051" s="4" t="n">
        <x:f>IF('계산 과정'!$L$5,'계산 과정'!$L$11*SQRT((A1051+0.5)/'계산 과정'!$L$30),"")</x:f>
        <x:v>107.17371904850322</x:v>
      </x:c>
      <x:c r="C1051" s="4" t="n">
        <x:f>A1051*PI()*(3-SQRT(5))</x:f>
        <x:v>2507.9615750664425</x:v>
      </x:c>
      <x:c r="D1051" s="4" t="n">
        <x:f>IF('계산 과정'!$L$5,B1051*COS(C1051),"")</x:f>
        <x:v>60.5288817960153</x:v>
      </x:c>
      <x:c r="E1051" s="4" t="n">
        <x:f>IF('계산 과정'!$L$5,B1051*SIN(C1051),"")</x:f>
        <x:v>88.44467492851963</x:v>
      </x:c>
      <x:c r="F1051" s="4" t="n">
        <x:f>IF('계산 과정'!$L$7,'계산 과정'!$L$22+'계산 과정'!$C$49*D1051+'계산 과정'!$D$49*E1051,"")</x:f>
        <x:v>607.1996172243986</x:v>
      </x:c>
      <x:c r="G1051" s="4" t="n">
        <x:f>IF('계산 과정'!$L$7,IF(ABS(F1051)&gt;=1E-12*MAX(1,SQRT((D1051-'계산 과정'!$C$33)^2+(E1051-'계산 과정'!$D$33)^2+'계산 과정'!$E$33^2)),('계산 과정'!$L$23-'계산 과정'!$C$49*D1051-'계산 과정'!$D$49*E1051)/F1051,""),"")</x:f>
        <x:v>0.7292501019676346</x:v>
      </x:c>
      <x:c r="H1051" s="4" t="n">
        <x:f>IF(AND(ISNUMBER(G1051),G1051&gt;0),('계산 과정'!$D$56+'계산 과정'!$D$57*D1051+'계산 과정'!$D$58*E1051)/F1051,"")</x:f>
        <x:v>74.0125662789624</x:v>
      </x:c>
      <x:c r="I1051" s="4" t="n">
        <x:f>IF(AND(ISNUMBER(G1051),G1051&gt;0),('계산 과정'!$E$56+'계산 과정'!$E$57*D1051+'계산 과정'!$E$58*E1051)/F1051,"")</x:f>
        <x:v>152.94296313863688</x:v>
      </x:c>
      <x:c r="J1051" s="4" t="n">
        <x:f>IF('계산 과정'!$L$5,'계산 과정'!$D$6+'계산 과정'!$C$35*D1051+'계산 과정'!$D$35*E1051,"")</x:f>
        <x:v>607.1996172243986</x:v>
      </x:c>
      <x:c r="K1051" s="4" t="n">
        <x:f>IF(AND('계산 과정'!$L$6,J1051&gt;0),'계산 과정'!$D$10*('계산 과정'!$C$38*(D1051-'계산 과정'!$C$32)+'계산 과정'!$D$38*(E1051-'계산 과정'!$D$32)-'계산 과정'!$E$38*'계산 과정'!$E$32)/J1051,"")</x:f>
        <x:v>0.5639052668873336</x:v>
      </x:c>
      <x:c r="L1051" s="4" t="n">
        <x:f>IF(AND('계산 과정'!$L$6,J1051&gt;0),'계산 과정'!$D$10*('계산 과정'!$C$39*(D1051-'계산 과정'!$C$32)+'계산 과정'!$D$39*(E1051-'계산 과정'!$D$32)-'계산 과정'!$E$39*'계산 과정'!$E$32)/J1051,"")</x:f>
        <x:v>1.165279719151519</x:v>
      </x:c>
      <x:c r="M1051" s="17" t="n">
        <x:f>IF('계산 과정'!$L$6,IF(J1051&lt;=0,0,IF(AND(ABS(K1051)&lt;='계산 과정'!$D$11/2,ABS(L1051)&lt;='계산 과정'!$D$12/2),1,0)),"")</x:f>
        <x:v>1</x:v>
      </x:c>
      <x:c r="N1051" s="17" t="n">
        <x:f>IF('계산 과정'!$C$78,IF(AND(ISNUMBER(H1051),ISNUMBER(I1051),ABS(H1051-'계산 과정'!$C$88)&lt;='계산 과정'!$D$23/2,ABS(I1051-'계산 과정'!$C$89)&lt;='계산 과정'!$D$24/2),1,0),"")</x:f>
        <x:v>1</x:v>
      </x:c>
      <x:c r="O1051" s="4" t="n">
        <x:f>IF('계산 과정'!$L$7,'계산 과정'!$C$49*('계산 과정'!$C$32-D1051)+'계산 과정'!$D$49*('계산 과정'!$D$32-E1051)+'계산 과정'!$E$49*'계산 과정'!$E$32,"")</x:f>
        <x:v>42.80038277560152</x:v>
      </x:c>
      <x:c r="P1051" s="4" t="n">
        <x:f>IF(AND('계산 과정'!$L$7,O1051&lt;&gt;0),('계산 과정'!$L$23-'계산 과정'!$C$49*D1051-'계산 과정'!$D$49*E1051)/O1051,"")</x:f>
        <x:v>10.345710810512214</x:v>
      </x:c>
      <x:c r="Q1051" s="4" t="str">
        <x:f>IF(AND(ISNUMBER(P1051),P1051&gt;1E-9,P1051&lt;1-1E-9),'계산 과정'!$C$47*(D1051-'계산 과정'!$C$50+P1051*('계산 과정'!$C$32-D1051))+'계산 과정'!$D$47*(E1051-'계산 과정'!$D$50+P1051*('계산 과정'!$D$32-E1051))+'계산 과정'!$E$47*(0-'계산 과정'!$E$50+P1051*('계산 과정'!$E$32-0)),"")</x:f>
      </x:c>
      <x:c r="R1051" s="4" t="str">
        <x:f>IF(AND(ISNUMBER(P1051),P1051&gt;1E-9,P1051&lt;1-1E-9),'계산 과정'!$C$48*(D1051-'계산 과정'!$C$50+P1051*('계산 과정'!$C$32-D1051))+'계산 과정'!$D$48*(E1051-'계산 과정'!$D$50+P1051*('계산 과정'!$D$32-E1051))+'계산 과정'!$E$48*(0-'계산 과정'!$E$50+P1051*('계산 과정'!$E$32-0)),"")</x:f>
      </x:c>
      <x:c r="S1051" s="17" t="n">
        <x:f>IF('계산 과정'!$C$78,IF(AND(ISNUMBER(Q1051),ISNUMBER(R1051),ABS(Q1051-'계산 과정'!$C$88)&lt;='계산 과정'!$D$23/2,ABS(R1051-'계산 과정'!$C$89)&lt;='계산 과정'!$D$24/2),1,0),"")</x:f>
        <x:v>0</x:v>
      </x:c>
      <x:c r="T1051" s="4"/>
      <x:c r="U1051" s="4"/>
      <x:c r="V1051" s="4"/>
      <x:c r="W1051" s="4"/>
      <x:c r="X1051" s="4"/>
      <x:c r="Y1051" s="4"/>
      <x:c r="Z1051" s="4"/>
    </x:row>
    <x:row r="1052" ht="23" customHeight="1">
      <x:c r="A1052" s="17" t="n">
        <x:f>ROW()-6</x:f>
        <x:v>1046</x:v>
      </x:c>
      <x:c r="B1052" s="4" t="n">
        <x:f>IF('계산 과정'!$L$5,'계산 과정'!$L$11*SQRT((A1052+0.5)/'계산 과정'!$L$30),"")</x:f>
        <x:v>107.22496156591757</x:v>
      </x:c>
      <x:c r="C1052" s="4" t="n">
        <x:f>A1052*PI()*(3-SQRT(5))</x:f>
        <x:v>2510.3615382961707</x:v>
      </x:c>
      <x:c r="D1052" s="4" t="n">
        <x:f>IF('계산 과정'!$L$5,B1052*COS(C1052),"")</x:f>
        <x:v>-104.4255378350341</x:v>
      </x:c>
      <x:c r="E1052" s="4" t="n">
        <x:f>IF('계산 과정'!$L$5,B1052*SIN(C1052),"")</x:f>
        <x:v>-24.341311194682174</x:v>
      </x:c>
      <x:c r="F1052" s="4" t="n">
        <x:f>IF('계산 과정'!$L$7,'계산 과정'!$L$22+'계산 과정'!$C$49*D1052+'계산 과정'!$D$49*E1052,"")</x:f>
        <x:v>723.840005932205</x:v>
      </x:c>
      <x:c r="G1052" s="4" t="n">
        <x:f>IF('계산 과정'!$L$7,IF(ABS(F1052)&gt;=1E-12*MAX(1,SQRT((D1052-'계산 과정'!$C$33)^2+(E1052-'계산 과정'!$D$33)^2+'계산 과정'!$E$33^2)),('계산 과정'!$L$23-'계산 과정'!$C$49*D1052-'계산 과정'!$D$49*E1052)/F1052,""),"")</x:f>
        <x:v>0.45059680508781275</x:v>
      </x:c>
      <x:c r="H1052" s="4" t="n">
        <x:f>IF(AND(ISNUMBER(G1052),G1052&gt;0),('계산 과정'!$D$56+'계산 과정'!$D$57*D1052+'계산 과정'!$D$58*E1052)/F1052,"")</x:f>
        <x:v>-107.11207669292183</x:v>
      </x:c>
      <x:c r="I1052" s="4" t="n">
        <x:f>IF(AND(ISNUMBER(G1052),G1052&gt;0),('계산 과정'!$E$56+'계산 과정'!$E$57*D1052+'계산 과정'!$E$58*E1052)/F1052,"")</x:f>
        <x:v>-35.30942825065417</x:v>
      </x:c>
      <x:c r="J1052" s="4" t="n">
        <x:f>IF('계산 과정'!$L$5,'계산 과정'!$D$6+'계산 과정'!$C$35*D1052+'계산 과정'!$D$35*E1052,"")</x:f>
        <x:v>723.840005932205</x:v>
      </x:c>
      <x:c r="K1052" s="4" t="n">
        <x:f>IF(AND('계산 과정'!$L$6,J1052&gt;0),'계산 과정'!$D$10*('계산 과정'!$C$38*(D1052-'계산 과정'!$C$32)+'계산 과정'!$D$38*(E1052-'계산 과정'!$D$32)-'계산 과정'!$E$38*'계산 과정'!$E$32)/J1052,"")</x:f>
        <x:v>-0.8160920128984508</x:v>
      </x:c>
      <x:c r="L1052" s="4" t="n">
        <x:f>IF(AND('계산 과정'!$L$6,J1052&gt;0),'계산 과정'!$D$10*('계산 과정'!$C$39*(D1052-'계산 과정'!$C$32)+'계산 과정'!$D$39*(E1052-'계산 과정'!$D$32)-'계산 과정'!$E$39*'계산 과정'!$E$32)/J1052,"")</x:f>
        <x:v>-0.2690242152430794</x:v>
      </x:c>
      <x:c r="M1052" s="17" t="n">
        <x:f>IF('계산 과정'!$L$6,IF(J1052&lt;=0,0,IF(AND(ABS(K1052)&lt;='계산 과정'!$D$11/2,ABS(L1052)&lt;='계산 과정'!$D$12/2),1,0)),"")</x:f>
        <x:v>1</x:v>
      </x:c>
      <x:c r="N1052" s="17" t="n">
        <x:f>IF('계산 과정'!$C$78,IF(AND(ISNUMBER(H1052),ISNUMBER(I1052),ABS(H1052-'계산 과정'!$C$88)&lt;='계산 과정'!$D$23/2,ABS(I1052-'계산 과정'!$C$89)&lt;='계산 과정'!$D$24/2),1,0),"")</x:f>
        <x:v>1</x:v>
      </x:c>
      <x:c r="O1052" s="4" t="n">
        <x:f>IF('계산 과정'!$L$7,'계산 과정'!$C$49*('계산 과정'!$C$32-D1052)+'계산 과정'!$D$49*('계산 과정'!$D$32-E1052)+'계산 과정'!$E$49*'계산 과정'!$E$32,"")</x:f>
        <x:v>-73.84000593220486</x:v>
      </x:c>
      <x:c r="P1052" s="4" t="n">
        <x:f>IF(AND('계산 과정'!$L$7,O1052&lt;&gt;0),('계산 과정'!$L$23-'계산 과정'!$C$49*D1052-'계산 과정'!$D$49*E1052)/O1052,"")</x:f>
        <x:v>-4.4171176579705875</x:v>
      </x:c>
      <x:c r="Q1052" s="4" t="str">
        <x:f>IF(AND(ISNUMBER(P1052),P1052&gt;1E-9,P1052&lt;1-1E-9),'계산 과정'!$C$47*(D1052-'계산 과정'!$C$50+P1052*('계산 과정'!$C$32-D1052))+'계산 과정'!$D$47*(E1052-'계산 과정'!$D$50+P1052*('계산 과정'!$D$32-E1052))+'계산 과정'!$E$47*(0-'계산 과정'!$E$50+P1052*('계산 과정'!$E$32-0)),"")</x:f>
      </x:c>
      <x:c r="R1052" s="4" t="str">
        <x:f>IF(AND(ISNUMBER(P1052),P1052&gt;1E-9,P1052&lt;1-1E-9),'계산 과정'!$C$48*(D1052-'계산 과정'!$C$50+P1052*('계산 과정'!$C$32-D1052))+'계산 과정'!$D$48*(E1052-'계산 과정'!$D$50+P1052*('계산 과정'!$D$32-E1052))+'계산 과정'!$E$48*(0-'계산 과정'!$E$50+P1052*('계산 과정'!$E$32-0)),"")</x:f>
      </x:c>
      <x:c r="S1052" s="17" t="n">
        <x:f>IF('계산 과정'!$C$78,IF(AND(ISNUMBER(Q1052),ISNUMBER(R1052),ABS(Q1052-'계산 과정'!$C$88)&lt;='계산 과정'!$D$23/2,ABS(R1052-'계산 과정'!$C$89)&lt;='계산 과정'!$D$24/2),1,0),"")</x:f>
        <x:v>0</x:v>
      </x:c>
      <x:c r="T1052" s="4"/>
      <x:c r="U1052" s="4"/>
      <x:c r="V1052" s="4"/>
      <x:c r="W1052" s="4"/>
      <x:c r="X1052" s="4"/>
      <x:c r="Y1052" s="4"/>
      <x:c r="Z1052" s="4"/>
    </x:row>
    <x:row r="1053" ht="23" customHeight="1">
      <x:c r="A1053" s="17" t="n">
        <x:f>ROW()-6</x:f>
        <x:v>1047</x:v>
      </x:c>
      <x:c r="B1053" s="4" t="n">
        <x:f>IF('계산 과정'!$L$5,'계산 과정'!$L$11*SQRT((A1053+0.5)/'계산 과정'!$L$30),"")</x:f>
        <x:v>107.27617960636694</x:v>
      </x:c>
      <x:c r="C1053" s="4" t="n">
        <x:f>A1053*PI()*(3-SQRT(5))</x:f>
        <x:v>2512.7615015258993</x:v>
      </x:c>
      <x:c r="D1053" s="4" t="n">
        <x:f>IF('계산 과정'!$L$5,B1053*COS(C1053),"")</x:f>
        <x:v>93.48709570496749</x:v>
      </x:c>
      <x:c r="E1053" s="4" t="n">
        <x:f>IF('계산 과정'!$L$5,B1053*SIN(C1053),"")</x:f>
        <x:v>-52.61503252481887</x:v>
      </x:c>
      <x:c r="F1053" s="4" t="n">
        <x:f>IF('계산 과정'!$L$7,'계산 과정'!$L$22+'계산 과정'!$C$49*D1053+'계산 과정'!$D$49*E1053,"")</x:f>
        <x:v>583.8946406735818</x:v>
      </x:c>
      <x:c r="G1053" s="4" t="n">
        <x:f>IF('계산 과정'!$L$7,IF(ABS(F1053)&gt;=1E-12*MAX(1,SQRT((D1053-'계산 과정'!$C$33)^2+(E1053-'계산 과정'!$D$33)^2+'계산 과정'!$E$33^2)),('계산 과정'!$L$23-'계산 과정'!$C$49*D1053-'계산 과정'!$D$49*E1053)/F1053,""),"")</x:f>
        <x:v>0.7982696309538282</x:v>
      </x:c>
      <x:c r="H1053" s="4" t="n">
        <x:f>IF(AND(ISNUMBER(G1053),G1053&gt;0),('계산 과정'!$D$56+'계산 과정'!$D$57*D1053+'계산 과정'!$D$58*E1053)/F1053,"")</x:f>
        <x:v>118.87526011998828</x:v>
      </x:c>
      <x:c r="I1053" s="4" t="n">
        <x:f>IF(AND(ISNUMBER(G1053),G1053&gt;0),('계산 과정'!$E$56+'계산 과정'!$E$57*D1053+'계산 과정'!$E$58*E1053)/F1053,"")</x:f>
        <x:v>-94.6160151210297</x:v>
      </x:c>
      <x:c r="J1053" s="4" t="n">
        <x:f>IF('계산 과정'!$L$5,'계산 과정'!$D$6+'계산 과정'!$C$35*D1053+'계산 과정'!$D$35*E1053,"")</x:f>
        <x:v>583.8946406735818</x:v>
      </x:c>
      <x:c r="K1053" s="4" t="n">
        <x:f>IF(AND('계산 과정'!$L$6,J1053&gt;0),'계산 과정'!$D$10*('계산 과정'!$C$38*(D1053-'계산 과정'!$C$32)+'계산 과정'!$D$38*(E1053-'계산 과정'!$D$32)-'계산 과정'!$E$38*'계산 과정'!$E$32)/J1053,"")</x:f>
        <x:v>0.9057162675808642</x:v>
      </x:c>
      <x:c r="L1053" s="4" t="n">
        <x:f>IF(AND('계산 과정'!$L$6,J1053&gt;0),'계산 과정'!$D$10*('계산 과정'!$C$39*(D1053-'계산 과정'!$C$32)+'계산 과정'!$D$39*(E1053-'계산 과정'!$D$32)-'계산 과정'!$E$39*'계산 과정'!$E$32)/J1053,"")</x:f>
        <x:v>-0.7208839247316549</x:v>
      </x:c>
      <x:c r="M1053" s="17" t="n">
        <x:f>IF('계산 과정'!$L$6,IF(J1053&lt;=0,0,IF(AND(ABS(K1053)&lt;='계산 과정'!$D$11/2,ABS(L1053)&lt;='계산 과정'!$D$12/2),1,0)),"")</x:f>
        <x:v>1</x:v>
      </x:c>
      <x:c r="N1053" s="17" t="n">
        <x:f>IF('계산 과정'!$C$78,IF(AND(ISNUMBER(H1053),ISNUMBER(I1053),ABS(H1053-'계산 과정'!$C$88)&lt;='계산 과정'!$D$23/2,ABS(I1053-'계산 과정'!$C$89)&lt;='계산 과정'!$D$24/2),1,0),"")</x:f>
        <x:v>1</x:v>
      </x:c>
      <x:c r="O1053" s="4" t="n">
        <x:f>IF('계산 과정'!$L$7,'계산 과정'!$C$49*('계산 과정'!$C$32-D1053)+'계산 과정'!$D$49*('계산 과정'!$D$32-E1053)+'계산 과정'!$E$49*'계산 과정'!$E$32,"")</x:f>
        <x:v>66.10535932641835</x:v>
      </x:c>
      <x:c r="P1053" s="4" t="n">
        <x:f>IF(AND('계산 과정'!$L$7,O1053&lt;&gt;0),('계산 과정'!$L$23-'계산 과정'!$C$49*D1053-'계산 과정'!$D$49*E1053)/O1053,"")</x:f>
        <x:v>7.050946611224967</x:v>
      </x:c>
      <x:c r="Q1053" s="4" t="str">
        <x:f>IF(AND(ISNUMBER(P1053),P1053&gt;1E-9,P1053&lt;1-1E-9),'계산 과정'!$C$47*(D1053-'계산 과정'!$C$50+P1053*('계산 과정'!$C$32-D1053))+'계산 과정'!$D$47*(E1053-'계산 과정'!$D$50+P1053*('계산 과정'!$D$32-E1053))+'계산 과정'!$E$47*(0-'계산 과정'!$E$50+P1053*('계산 과정'!$E$32-0)),"")</x:f>
      </x:c>
      <x:c r="R1053" s="4" t="str">
        <x:f>IF(AND(ISNUMBER(P1053),P1053&gt;1E-9,P1053&lt;1-1E-9),'계산 과정'!$C$48*(D1053-'계산 과정'!$C$50+P1053*('계산 과정'!$C$32-D1053))+'계산 과정'!$D$48*(E1053-'계산 과정'!$D$50+P1053*('계산 과정'!$D$32-E1053))+'계산 과정'!$E$48*(0-'계산 과정'!$E$50+P1053*('계산 과정'!$E$32-0)),"")</x:f>
      </x:c>
      <x:c r="S1053" s="17" t="n">
        <x:f>IF('계산 과정'!$C$78,IF(AND(ISNUMBER(Q1053),ISNUMBER(R1053),ABS(Q1053-'계산 과정'!$C$88)&lt;='계산 과정'!$D$23/2,ABS(R1053-'계산 과정'!$C$89)&lt;='계산 과정'!$D$24/2),1,0),"")</x:f>
        <x:v>0</x:v>
      </x:c>
      <x:c r="T1053" s="4"/>
      <x:c r="U1053" s="4"/>
      <x:c r="V1053" s="4"/>
      <x:c r="W1053" s="4"/>
      <x:c r="X1053" s="4"/>
      <x:c r="Y1053" s="4"/>
      <x:c r="Z1053" s="4"/>
    </x:row>
    <x:row r="1054" ht="23" customHeight="1">
      <x:c r="A1054" s="17" t="n">
        <x:f>ROW()-6</x:f>
        <x:v>1048</x:v>
      </x:c>
      <x:c r="B1054" s="4" t="n">
        <x:f>IF('계산 과정'!$L$5,'계산 과정'!$L$11*SQRT((A1054+0.5)/'계산 과정'!$L$30),"")</x:f>
        <x:v>107.32737320489353</x:v>
      </x:c>
      <x:c r="C1054" s="4" t="n">
        <x:f>A1054*PI()*(3-SQRT(5))</x:f>
        <x:v>2515.1614647556285</x:v>
      </x:c>
      <x:c r="D1054" s="4" t="n">
        <x:f>IF('계산 과정'!$L$5,B1054*COS(C1054),"")</x:f>
        <x:v>-33.40946690262579</x:v>
      </x:c>
      <x:c r="E1054" s="4" t="n">
        <x:f>IF('계산 과정'!$L$5,B1054*SIN(C1054),"")</x:f>
        <x:v>101.99496340675283</x:v>
      </x:c>
      <x:c r="F1054" s="4" t="n">
        <x:f>IF('계산 과정'!$L$7,'계산 과정'!$L$22+'계산 과정'!$C$49*D1054+'계산 과정'!$D$49*E1054,"")</x:f>
        <x:v>673.6240606026743</x:v>
      </x:c>
      <x:c r="G1054" s="4" t="n">
        <x:f>IF('계산 과정'!$L$7,IF(ABS(F1054)&gt;=1E-12*MAX(1,SQRT((D1054-'계산 과정'!$C$33)^2+(E1054-'계산 과정'!$D$33)^2+'계산 과정'!$E$33^2)),('계산 과정'!$L$23-'계산 과정'!$C$49*D1054-'계산 과정'!$D$49*E1054)/F1054,""),"")</x:f>
        <x:v>0.5587329215357775</x:v>
      </x:c>
      <x:c r="H1054" s="4" t="n">
        <x:f>IF(AND(ISNUMBER(G1054),G1054&gt;0),('계산 과정'!$D$56+'계산 과정'!$D$57*D1054+'계산 과정'!$D$58*E1054)/F1054,"")</x:f>
        <x:v>-36.823601001744755</x:v>
      </x:c>
      <x:c r="I1054" s="4" t="n">
        <x:f>IF(AND(ISNUMBER(G1054),G1054&gt;0),('계산 과정'!$E$56+'계산 과정'!$E$57*D1054+'계산 과정'!$E$58*E1054)/F1054,"")</x:f>
        <x:v>158.98290729294254</x:v>
      </x:c>
      <x:c r="J1054" s="4" t="n">
        <x:f>IF('계산 과정'!$L$5,'계산 과정'!$D$6+'계산 과정'!$C$35*D1054+'계산 과정'!$D$35*E1054,"")</x:f>
        <x:v>673.6240606026743</x:v>
      </x:c>
      <x:c r="K1054" s="4" t="n">
        <x:f>IF(AND('계산 과정'!$L$6,J1054&gt;0),'계산 과정'!$D$10*('계산 과정'!$C$38*(D1054-'계산 과정'!$C$32)+'계산 과정'!$D$38*(E1054-'계산 과정'!$D$32)-'계산 과정'!$E$38*'계산 과정'!$E$32)/J1054,"")</x:f>
        <x:v>-0.2805607695371019</x:v>
      </x:c>
      <x:c r="L1054" s="4" t="n">
        <x:f>IF(AND('계산 과정'!$L$6,J1054&gt;0),'계산 과정'!$D$10*('계산 과정'!$C$39*(D1054-'계산 과정'!$C$32)+'계산 과정'!$D$39*(E1054-'계산 과정'!$D$32)-'계산 과정'!$E$39*'계산 과정'!$E$32)/J1054,"")</x:f>
        <x:v>1.2112983412795622</x:v>
      </x:c>
      <x:c r="M1054" s="17" t="n">
        <x:f>IF('계산 과정'!$L$6,IF(J1054&lt;=0,0,IF(AND(ABS(K1054)&lt;='계산 과정'!$D$11/2,ABS(L1054)&lt;='계산 과정'!$D$12/2),1,0)),"")</x:f>
        <x:v>1</x:v>
      </x:c>
      <x:c r="N1054" s="17" t="n">
        <x:f>IF('계산 과정'!$C$78,IF(AND(ISNUMBER(H1054),ISNUMBER(I1054),ABS(H1054-'계산 과정'!$C$88)&lt;='계산 과정'!$D$23/2,ABS(I1054-'계산 과정'!$C$89)&lt;='계산 과정'!$D$24/2),1,0),"")</x:f>
        <x:v>1</x:v>
      </x:c>
      <x:c r="O1054" s="4" t="n">
        <x:f>IF('계산 과정'!$L$7,'계산 과정'!$C$49*('계산 과정'!$C$32-D1054)+'계산 과정'!$D$49*('계산 과정'!$D$32-E1054)+'계산 과정'!$E$49*'계산 과정'!$E$32,"")</x:f>
        <x:v>-23.624060602674092</x:v>
      </x:c>
      <x:c r="P1054" s="4" t="n">
        <x:f>IF(AND('계산 과정'!$L$7,O1054&lt;&gt;0),('계산 과정'!$L$23-'계산 과정'!$C$49*D1054-'계산 과정'!$D$49*E1054)/O1054,"")</x:f>
        <x:v>-15.931890191422996</x:v>
      </x:c>
      <x:c r="Q1054" s="4" t="str">
        <x:f>IF(AND(ISNUMBER(P1054),P1054&gt;1E-9,P1054&lt;1-1E-9),'계산 과정'!$C$47*(D1054-'계산 과정'!$C$50+P1054*('계산 과정'!$C$32-D1054))+'계산 과정'!$D$47*(E1054-'계산 과정'!$D$50+P1054*('계산 과정'!$D$32-E1054))+'계산 과정'!$E$47*(0-'계산 과정'!$E$50+P1054*('계산 과정'!$E$32-0)),"")</x:f>
      </x:c>
      <x:c r="R1054" s="4" t="str">
        <x:f>IF(AND(ISNUMBER(P1054),P1054&gt;1E-9,P1054&lt;1-1E-9),'계산 과정'!$C$48*(D1054-'계산 과정'!$C$50+P1054*('계산 과정'!$C$32-D1054))+'계산 과정'!$D$48*(E1054-'계산 과정'!$D$50+P1054*('계산 과정'!$D$32-E1054))+'계산 과정'!$E$48*(0-'계산 과정'!$E$50+P1054*('계산 과정'!$E$32-0)),"")</x:f>
      </x:c>
      <x:c r="S1054" s="17" t="n">
        <x:f>IF('계산 과정'!$C$78,IF(AND(ISNUMBER(Q1054),ISNUMBER(R1054),ABS(Q1054-'계산 과정'!$C$88)&lt;='계산 과정'!$D$23/2,ABS(R1054-'계산 과정'!$C$89)&lt;='계산 과정'!$D$24/2),1,0),"")</x:f>
        <x:v>0</x:v>
      </x:c>
      <x:c r="T1054" s="4"/>
      <x:c r="U1054" s="4"/>
      <x:c r="V1054" s="4"/>
      <x:c r="W1054" s="4"/>
      <x:c r="X1054" s="4"/>
      <x:c r="Y1054" s="4"/>
      <x:c r="Z1054" s="4"/>
    </x:row>
    <x:row r="1055" ht="23" customHeight="1">
      <x:c r="A1055" s="17" t="n">
        <x:f>ROW()-6</x:f>
        <x:v>1049</x:v>
      </x:c>
      <x:c r="B1055" s="4" t="n">
        <x:f>IF('계산 과정'!$L$5,'계산 과정'!$L$11*SQRT((A1055+0.5)/'계산 과정'!$L$30),"")</x:f>
        <x:v>107.378542396456</x:v>
      </x:c>
      <x:c r="C1055" s="4" t="n">
        <x:f>A1055*PI()*(3-SQRT(5))</x:f>
        <x:v>2517.561427985357</x:v>
      </x:c>
      <x:c r="D1055" s="4" t="n">
        <x:f>IF('계산 과정'!$L$5,B1055*COS(C1055),"")</x:f>
        <x:v>-44.28260874825988</x:v>
      </x:c>
      <x:c r="E1055" s="4" t="n">
        <x:f>IF('계산 과정'!$L$5,B1055*SIN(C1055),"")</x:f>
        <x:v>-97.82229771190225</x:v>
      </x:c>
      <x:c r="F1055" s="4" t="n">
        <x:f>IF('계산 과정'!$L$7,'계산 과정'!$L$22+'계산 과정'!$C$49*D1055+'계산 과정'!$D$49*E1055,"")</x:f>
        <x:v>681.3125329345253</x:v>
      </x:c>
      <x:c r="G1055" s="4" t="n">
        <x:f>IF('계산 과정'!$L$7,IF(ABS(F1055)&gt;=1E-12*MAX(1,SQRT((D1055-'계산 과정'!$C$33)^2+(E1055-'계산 과정'!$D$33)^2+'계산 과정'!$E$33^2)),('계산 과정'!$L$23-'계산 과정'!$C$49*D1055-'계산 과정'!$D$49*E1055)/F1055,""),"")</x:f>
        <x:v>0.5411429399037724</x:v>
      </x:c>
      <x:c r="H1055" s="4" t="n">
        <x:f>IF(AND(ISNUMBER(G1055),G1055&gt;0),('계산 과정'!$D$56+'계산 과정'!$D$57*D1055+'계산 과정'!$D$58*E1055)/F1055,"")</x:f>
        <x:v>-48.257089062548125</x:v>
      </x:c>
      <x:c r="I1055" s="4" t="n">
        <x:f>IF(AND(ISNUMBER(G1055),G1055&gt;0),('계산 과정'!$E$56+'계산 과정'!$E$57*D1055+'계산 과정'!$E$58*E1055)/F1055,"")</x:f>
        <x:v>-150.75814348386308</x:v>
      </x:c>
      <x:c r="J1055" s="4" t="n">
        <x:f>IF('계산 과정'!$L$5,'계산 과정'!$D$6+'계산 과정'!$C$35*D1055+'계산 과정'!$D$35*E1055,"")</x:f>
        <x:v>681.3125329345253</x:v>
      </x:c>
      <x:c r="K1055" s="4" t="n">
        <x:f>IF(AND('계산 과정'!$L$6,J1055&gt;0),'계산 과정'!$D$10*('계산 과정'!$C$38*(D1055-'계산 과정'!$C$32)+'계산 과정'!$D$38*(E1055-'계산 과정'!$D$32)-'계산 과정'!$E$38*'계산 과정'!$E$32)/J1055,"")</x:f>
        <x:v>-0.3676730595241751</x:v>
      </x:c>
      <x:c r="L1055" s="4" t="n">
        <x:f>IF(AND('계산 과정'!$L$6,J1055&gt;0),'계산 과정'!$D$10*('계산 과정'!$C$39*(D1055-'계산 과정'!$C$32)+'계산 과정'!$D$39*(E1055-'계산 과정'!$D$32)-'계산 과정'!$E$39*'계산 과정'!$E$32)/J1055,"")</x:f>
        <x:v>-1.1486334741627664</x:v>
      </x:c>
      <x:c r="M1055" s="17" t="n">
        <x:f>IF('계산 과정'!$L$6,IF(J1055&lt;=0,0,IF(AND(ABS(K1055)&lt;='계산 과정'!$D$11/2,ABS(L1055)&lt;='계산 과정'!$D$12/2),1,0)),"")</x:f>
        <x:v>1</x:v>
      </x:c>
      <x:c r="N1055" s="17" t="n">
        <x:f>IF('계산 과정'!$C$78,IF(AND(ISNUMBER(H1055),ISNUMBER(I1055),ABS(H1055-'계산 과정'!$C$88)&lt;='계산 과정'!$D$23/2,ABS(I1055-'계산 과정'!$C$89)&lt;='계산 과정'!$D$24/2),1,0),"")</x:f>
        <x:v>1</x:v>
      </x:c>
      <x:c r="O1055" s="4" t="n">
        <x:f>IF('계산 과정'!$L$7,'계산 과정'!$C$49*('계산 과정'!$C$32-D1055)+'계산 과정'!$D$49*('계산 과정'!$D$32-E1055)+'계산 과정'!$E$49*'계산 과정'!$E$32,"")</x:f>
        <x:v>-31.312532934525166</x:v>
      </x:c>
      <x:c r="P1055" s="4" t="n">
        <x:f>IF(AND('계산 과정'!$L$7,O1055&lt;&gt;0),('계산 과정'!$L$23-'계산 과정'!$C$49*D1055-'계산 과정'!$D$49*E1055)/O1055,"")</x:f>
        <x:v>-11.774437661635488</x:v>
      </x:c>
      <x:c r="Q1055" s="4" t="str">
        <x:f>IF(AND(ISNUMBER(P1055),P1055&gt;1E-9,P1055&lt;1-1E-9),'계산 과정'!$C$47*(D1055-'계산 과정'!$C$50+P1055*('계산 과정'!$C$32-D1055))+'계산 과정'!$D$47*(E1055-'계산 과정'!$D$50+P1055*('계산 과정'!$D$32-E1055))+'계산 과정'!$E$47*(0-'계산 과정'!$E$50+P1055*('계산 과정'!$E$32-0)),"")</x:f>
      </x:c>
      <x:c r="R1055" s="4" t="str">
        <x:f>IF(AND(ISNUMBER(P1055),P1055&gt;1E-9,P1055&lt;1-1E-9),'계산 과정'!$C$48*(D1055-'계산 과정'!$C$50+P1055*('계산 과정'!$C$32-D1055))+'계산 과정'!$D$48*(E1055-'계산 과정'!$D$50+P1055*('계산 과정'!$D$32-E1055))+'계산 과정'!$E$48*(0-'계산 과정'!$E$50+P1055*('계산 과정'!$E$32-0)),"")</x:f>
      </x:c>
      <x:c r="S1055" s="17" t="n">
        <x:f>IF('계산 과정'!$C$78,IF(AND(ISNUMBER(Q1055),ISNUMBER(R1055),ABS(Q1055-'계산 과정'!$C$88)&lt;='계산 과정'!$D$23/2,ABS(R1055-'계산 과정'!$C$89)&lt;='계산 과정'!$D$24/2),1,0),"")</x:f>
        <x:v>0</x:v>
      </x:c>
      <x:c r="T1055" s="4"/>
      <x:c r="U1055" s="4"/>
      <x:c r="V1055" s="4"/>
      <x:c r="W1055" s="4"/>
      <x:c r="X1055" s="4"/>
      <x:c r="Y1055" s="4"/>
      <x:c r="Z1055" s="4"/>
    </x:row>
    <x:row r="1056" ht="23" customHeight="1">
      <x:c r="A1056" s="17" t="n">
        <x:f>ROW()-6</x:f>
        <x:v>1050</x:v>
      </x:c>
      <x:c r="B1056" s="4" t="n">
        <x:f>IF('계산 과정'!$L$5,'계산 과정'!$L$11*SQRT((A1056+0.5)/'계산 과정'!$L$30),"")</x:f>
        <x:v>107.42968721592975</x:v>
      </x:c>
      <x:c r="C1056" s="4" t="n">
        <x:f>A1056*PI()*(3-SQRT(5))</x:f>
        <x:v>2519.9613912150853</x:v>
      </x:c>
      <x:c r="D1056" s="4" t="n">
        <x:f>IF('계산 과정'!$L$5,B1056*COS(C1056),"")</x:f>
        <x:v>98.77765598294579</x:v>
      </x:c>
      <x:c r="E1056" s="4" t="n">
        <x:f>IF('계산 과정'!$L$5,B1056*SIN(C1056),"")</x:f>
        <x:v>42.2387544066739</x:v>
      </x:c>
      <x:c r="F1056" s="4" t="n">
        <x:f>IF('계산 과정'!$L$7,'계산 과정'!$L$22+'계산 과정'!$C$49*D1056+'계산 과정'!$D$49*E1056,"")</x:f>
        <x:v>580.1536496247471</x:v>
      </x:c>
      <x:c r="G1056" s="4" t="n">
        <x:f>IF('계산 과정'!$L$7,IF(ABS(F1056)&gt;=1E-12*MAX(1,SQRT((D1056-'계산 과정'!$C$33)^2+(E1056-'계산 과정'!$D$33)^2+'계산 과정'!$E$33^2)),('계산 과정'!$L$23-'계산 과정'!$C$49*D1056-'계산 과정'!$D$49*E1056)/F1056,""),"")</x:f>
        <x:v>0.8098653704568732</x:v>
      </x:c>
      <x:c r="H1056" s="4" t="n">
        <x:f>IF(AND(ISNUMBER(G1056),G1056&gt;0),('계산 과정'!$D$56+'계산 과정'!$D$57*D1056+'계산 과정'!$D$58*E1056)/F1056,"")</x:f>
        <x:v>126.4124907969676</x:v>
      </x:c>
      <x:c r="I1056" s="4" t="n">
        <x:f>IF(AND(ISNUMBER(G1056),G1056&gt;0),('계산 과정'!$E$56+'계산 과정'!$E$57*D1056+'계산 과정'!$E$58*E1056)/F1056,"")</x:f>
        <x:v>76.44645889187174</x:v>
      </x:c>
      <x:c r="J1056" s="4" t="n">
        <x:f>IF('계산 과정'!$L$5,'계산 과정'!$D$6+'계산 과정'!$C$35*D1056+'계산 과정'!$D$35*E1056,"")</x:f>
        <x:v>580.1536496247471</x:v>
      </x:c>
      <x:c r="K1056" s="4" t="n">
        <x:f>IF(AND('계산 과정'!$L$6,J1056&gt;0),'계산 과정'!$D$10*('계산 과정'!$C$38*(D1056-'계산 과정'!$C$32)+'계산 과정'!$D$38*(E1056-'계산 과정'!$D$32)-'계산 과정'!$E$38*'계산 과정'!$E$32)/J1056,"")</x:f>
        <x:v>0.9631427870245161</x:v>
      </x:c>
      <x:c r="L1056" s="4" t="n">
        <x:f>IF(AND('계산 과정'!$L$6,J1056&gt;0),'계산 과정'!$D$10*('계산 과정'!$C$39*(D1056-'계산 과정'!$C$32)+'계산 과정'!$D$39*(E1056-'계산 과정'!$D$32)-'계산 과정'!$E$39*'계산 과정'!$E$32)/J1056,"")</x:f>
        <x:v>0.5824492106047371</x:v>
      </x:c>
      <x:c r="M1056" s="17" t="n">
        <x:f>IF('계산 과정'!$L$6,IF(J1056&lt;=0,0,IF(AND(ABS(K1056)&lt;='계산 과정'!$D$11/2,ABS(L1056)&lt;='계산 과정'!$D$12/2),1,0)),"")</x:f>
        <x:v>1</x:v>
      </x:c>
      <x:c r="N1056" s="17" t="n">
        <x:f>IF('계산 과정'!$C$78,IF(AND(ISNUMBER(H1056),ISNUMBER(I1056),ABS(H1056-'계산 과정'!$C$88)&lt;='계산 과정'!$D$23/2,ABS(I1056-'계산 과정'!$C$89)&lt;='계산 과정'!$D$24/2),1,0),"")</x:f>
        <x:v>1</x:v>
      </x:c>
      <x:c r="O1056" s="4" t="n">
        <x:f>IF('계산 과정'!$L$7,'계산 과정'!$C$49*('계산 과정'!$C$32-D1056)+'계산 과정'!$D$49*('계산 과정'!$D$32-E1056)+'계산 과정'!$E$49*'계산 과정'!$E$32,"")</x:f>
        <x:v>69.84635037525305</x:v>
      </x:c>
      <x:c r="P1056" s="4" t="n">
        <x:f>IF(AND('계산 과정'!$L$7,O1056&lt;&gt;0),('계산 과정'!$L$23-'계산 과정'!$C$49*D1056-'계산 과정'!$D$49*E1056)/O1056,"")</x:f>
        <x:v>6.726856132796912</x:v>
      </x:c>
      <x:c r="Q1056" s="4" t="str">
        <x:f>IF(AND(ISNUMBER(P1056),P1056&gt;1E-9,P1056&lt;1-1E-9),'계산 과정'!$C$47*(D1056-'계산 과정'!$C$50+P1056*('계산 과정'!$C$32-D1056))+'계산 과정'!$D$47*(E1056-'계산 과정'!$D$50+P1056*('계산 과정'!$D$32-E1056))+'계산 과정'!$E$47*(0-'계산 과정'!$E$50+P1056*('계산 과정'!$E$32-0)),"")</x:f>
      </x:c>
      <x:c r="R1056" s="4" t="str">
        <x:f>IF(AND(ISNUMBER(P1056),P1056&gt;1E-9,P1056&lt;1-1E-9),'계산 과정'!$C$48*(D1056-'계산 과정'!$C$50+P1056*('계산 과정'!$C$32-D1056))+'계산 과정'!$D$48*(E1056-'계산 과정'!$D$50+P1056*('계산 과정'!$D$32-E1056))+'계산 과정'!$E$48*(0-'계산 과정'!$E$50+P1056*('계산 과정'!$E$32-0)),"")</x:f>
      </x:c>
      <x:c r="S1056" s="17" t="n">
        <x:f>IF('계산 과정'!$C$78,IF(AND(ISNUMBER(Q1056),ISNUMBER(R1056),ABS(Q1056-'계산 과정'!$C$88)&lt;='계산 과정'!$D$23/2,ABS(R1056-'계산 과정'!$C$89)&lt;='계산 과정'!$D$24/2),1,0),"")</x:f>
        <x:v>0</x:v>
      </x:c>
      <x:c r="T1056" s="4"/>
      <x:c r="U1056" s="4"/>
      <x:c r="V1056" s="4"/>
      <x:c r="W1056" s="4"/>
      <x:c r="X1056" s="4"/>
      <x:c r="Y1056" s="4"/>
      <x:c r="Z1056" s="4"/>
    </x:row>
    <x:row r="1057" ht="23" customHeight="1">
      <x:c r="A1057" s="17" t="n">
        <x:f>ROW()-6</x:f>
        <x:v>1051</x:v>
      </x:c>
      <x:c r="B1057" s="4" t="n">
        <x:f>IF('계산 과정'!$L$5,'계산 과정'!$L$11*SQRT((A1057+0.5)/'계산 과정'!$L$30),"")</x:f>
        <x:v>107.4808076981072</x:v>
      </x:c>
      <x:c r="C1057" s="4" t="n">
        <x:f>A1057*PI()*(3-SQRT(5))</x:f>
        <x:v>2522.361354444814</x:v>
      </x:c>
      <x:c r="D1057" s="4" t="n">
        <x:f>IF('계산 과정'!$L$5,B1057*COS(C1057),"")</x:f>
        <x:v>-101.41567377195345</x:v>
      </x:c>
      <x:c r="E1057" s="4" t="n">
        <x:f>IF('계산 과정'!$L$5,B1057*SIN(C1057),"")</x:f>
        <x:v>35.59473467829494</x:v>
      </x:c>
      <x:c r="F1057" s="4" t="n">
        <x:f>IF('계산 과정'!$L$7,'계산 과정'!$L$22+'계산 과정'!$C$49*D1057+'계산 과정'!$D$49*E1057,"")</x:f>
        <x:v>721.711710642751</x:v>
      </x:c>
      <x:c r="G1057" s="4" t="n">
        <x:f>IF('계산 과정'!$L$7,IF(ABS(F1057)&gt;=1E-12*MAX(1,SQRT((D1057-'계산 과정'!$C$33)^2+(E1057-'계산 과정'!$D$33)^2+'계산 과정'!$E$33^2)),('계산 과정'!$L$23-'계산 과정'!$C$49*D1057-'계산 과정'!$D$49*E1057)/F1057,""),"")</x:f>
        <x:v>0.45487454965207363</x:v>
      </x:c>
      <x:c r="H1057" s="4" t="n">
        <x:f>IF(AND(ISNUMBER(G1057),G1057&gt;0),('계산 과정'!$D$56+'계산 과정'!$D$57*D1057+'계산 과정'!$D$58*E1057)/F1057,"")</x:f>
        <x:v>-104.33154272615226</x:v>
      </x:c>
      <x:c r="I1057" s="4" t="n">
        <x:f>IF(AND(ISNUMBER(G1057),G1057&gt;0),('계산 과정'!$E$56+'계산 과정'!$E$57*D1057+'계산 과정'!$E$58*E1057)/F1057,"")</x:f>
        <x:v>51.785873585069396</x:v>
      </x:c>
      <x:c r="J1057" s="4" t="n">
        <x:f>IF('계산 과정'!$L$5,'계산 과정'!$D$6+'계산 과정'!$C$35*D1057+'계산 과정'!$D$35*E1057,"")</x:f>
        <x:v>721.711710642751</x:v>
      </x:c>
      <x:c r="K1057" s="4" t="n">
        <x:f>IF(AND('계산 과정'!$L$6,J1057&gt;0),'계산 과정'!$D$10*('계산 과정'!$C$38*(D1057-'계산 과정'!$C$32)+'계산 과정'!$D$38*(E1057-'계산 과정'!$D$32)-'계산 과정'!$E$38*'계산 과정'!$E$32)/J1057,"")</x:f>
        <x:v>-0.794906992199255</x:v>
      </x:c>
      <x:c r="L1057" s="4" t="n">
        <x:f>IF(AND('계산 과정'!$L$6,J1057&gt;0),'계산 과정'!$D$10*('계산 과정'!$C$39*(D1057-'계산 과정'!$C$32)+'계산 과정'!$D$39*(E1057-'계산 과정'!$D$32)-'계산 과정'!$E$39*'계산 과정'!$E$32)/J1057,"")</x:f>
        <x:v>0.394559036838624</x:v>
      </x:c>
      <x:c r="M1057" s="17" t="n">
        <x:f>IF('계산 과정'!$L$6,IF(J1057&lt;=0,0,IF(AND(ABS(K1057)&lt;='계산 과정'!$D$11/2,ABS(L1057)&lt;='계산 과정'!$D$12/2),1,0)),"")</x:f>
        <x:v>1</x:v>
      </x:c>
      <x:c r="N1057" s="17" t="n">
        <x:f>IF('계산 과정'!$C$78,IF(AND(ISNUMBER(H1057),ISNUMBER(I1057),ABS(H1057-'계산 과정'!$C$88)&lt;='계산 과정'!$D$23/2,ABS(I1057-'계산 과정'!$C$89)&lt;='계산 과정'!$D$24/2),1,0),"")</x:f>
        <x:v>1</x:v>
      </x:c>
      <x:c r="O1057" s="4" t="n">
        <x:f>IF('계산 과정'!$L$7,'계산 과정'!$C$49*('계산 과정'!$C$32-D1057)+'계산 과정'!$D$49*('계산 과정'!$D$32-E1057)+'계산 과정'!$E$49*'계산 과정'!$E$32,"")</x:f>
        <x:v>-71.71171064275086</x:v>
      </x:c>
      <x:c r="P1057" s="4" t="n">
        <x:f>IF(AND('계산 과정'!$L$7,O1057&lt;&gt;0),('계산 과정'!$L$23-'계산 과정'!$C$49*D1057-'계산 과정'!$D$49*E1057)/O1057,"")</x:f>
        <x:v>-4.577889530382229</x:v>
      </x:c>
      <x:c r="Q1057" s="4" t="str">
        <x:f>IF(AND(ISNUMBER(P1057),P1057&gt;1E-9,P1057&lt;1-1E-9),'계산 과정'!$C$47*(D1057-'계산 과정'!$C$50+P1057*('계산 과정'!$C$32-D1057))+'계산 과정'!$D$47*(E1057-'계산 과정'!$D$50+P1057*('계산 과정'!$D$32-E1057))+'계산 과정'!$E$47*(0-'계산 과정'!$E$50+P1057*('계산 과정'!$E$32-0)),"")</x:f>
      </x:c>
      <x:c r="R1057" s="4" t="str">
        <x:f>IF(AND(ISNUMBER(P1057),P1057&gt;1E-9,P1057&lt;1-1E-9),'계산 과정'!$C$48*(D1057-'계산 과정'!$C$50+P1057*('계산 과정'!$C$32-D1057))+'계산 과정'!$D$48*(E1057-'계산 과정'!$D$50+P1057*('계산 과정'!$D$32-E1057))+'계산 과정'!$E$48*(0-'계산 과정'!$E$50+P1057*('계산 과정'!$E$32-0)),"")</x:f>
      </x:c>
      <x:c r="S1057" s="17" t="n">
        <x:f>IF('계산 과정'!$C$78,IF(AND(ISNUMBER(Q1057),ISNUMBER(R1057),ABS(Q1057-'계산 과정'!$C$88)&lt;='계산 과정'!$D$23/2,ABS(R1057-'계산 과정'!$C$89)&lt;='계산 과정'!$D$24/2),1,0),"")</x:f>
        <x:v>0</x:v>
      </x:c>
      <x:c r="T1057" s="4"/>
      <x:c r="U1057" s="4"/>
      <x:c r="V1057" s="4"/>
      <x:c r="W1057" s="4"/>
      <x:c r="X1057" s="4"/>
      <x:c r="Y1057" s="4"/>
      <x:c r="Z1057" s="4"/>
    </x:row>
    <x:row r="1058" ht="23" customHeight="1">
      <x:c r="A1058" s="17" t="n">
        <x:f>ROW()-6</x:f>
        <x:v>1052</x:v>
      </x:c>
      <x:c r="B1058" s="4" t="n">
        <x:f>IF('계산 과정'!$L$5,'계산 과정'!$L$11*SQRT((A1058+0.5)/'계산 과정'!$L$30),"")</x:f>
        <x:v>107.53190387769807</x:v>
      </x:c>
      <x:c r="C1058" s="4" t="n">
        <x:f>A1058*PI()*(3-SQRT(5))</x:f>
        <x:v>2524.761317674543</x:v>
      </x:c>
      <x:c r="D1058" s="4" t="n">
        <x:f>IF('계산 과정'!$L$5,B1058*COS(C1058),"")</x:f>
        <x:v>50.76098399916109</x:v>
      </x:c>
      <x:c r="E1058" s="4" t="n">
        <x:f>IF('계산 과정'!$L$5,B1058*SIN(C1058),"")</x:f>
        <x:v>-94.79679770434974</x:v>
      </x:c>
      <x:c r="F1058" s="4" t="n">
        <x:f>IF('계산 과정'!$L$7,'계산 과정'!$L$22+'계산 과정'!$C$49*D1058+'계산 과정'!$D$49*E1058,"")</x:f>
        <x:v>614.1065639944914</x:v>
      </x:c>
      <x:c r="G1058" s="4" t="n">
        <x:f>IF('계산 과정'!$L$7,IF(ABS(F1058)&gt;=1E-12*MAX(1,SQRT((D1058-'계산 과정'!$C$33)^2+(E1058-'계산 과정'!$D$33)^2+'계산 과정'!$E$33^2)),('계산 과정'!$L$23-'계산 과정'!$C$49*D1058-'계산 과정'!$D$49*E1058)/F1058,""),"")</x:f>
        <x:v>0.7098009719521883</x:v>
      </x:c>
      <x:c r="H1058" s="4" t="n">
        <x:f>IF(AND(ISNUMBER(G1058),G1058&gt;0),('계산 과정'!$D$56+'계산 과정'!$D$57*D1058+'계산 과정'!$D$58*E1058)/F1058,"")</x:f>
        <x:v>61.370631768922244</x:v>
      </x:c>
      <x:c r="I1058" s="4" t="n">
        <x:f>IF(AND(ISNUMBER(G1058),G1058&gt;0),('계산 과정'!$E$56+'계산 과정'!$E$57*D1058+'계산 과정'!$E$58*E1058)/F1058,"")</x:f>
        <x:v>-162.08365685285216</x:v>
      </x:c>
      <x:c r="J1058" s="4" t="n">
        <x:f>IF('계산 과정'!$L$5,'계산 과정'!$D$6+'계산 과정'!$C$35*D1058+'계산 과정'!$D$35*E1058,"")</x:f>
        <x:v>614.1065639944914</x:v>
      </x:c>
      <x:c r="K1058" s="4" t="n">
        <x:f>IF(AND('계산 과정'!$L$6,J1058&gt;0),'계산 과정'!$D$10*('계산 과정'!$C$38*(D1058-'계산 과정'!$C$32)+'계산 과정'!$D$38*(E1058-'계산 과정'!$D$32)-'계산 과정'!$E$38*'계산 과정'!$E$32)/J1058,"")</x:f>
        <x:v>0.467585765858456</x:v>
      </x:c>
      <x:c r="L1058" s="4" t="n">
        <x:f>IF(AND('계산 과정'!$L$6,J1058&gt;0),'계산 과정'!$D$10*('계산 과정'!$C$39*(D1058-'계산 과정'!$C$32)+'계산 과정'!$D$39*(E1058-'계산 과정'!$D$32)-'계산 과정'!$E$39*'계산 과정'!$E$32)/J1058,"")</x:f>
        <x:v>-1.2349230998312546</x:v>
      </x:c>
      <x:c r="M1058" s="17" t="n">
        <x:f>IF('계산 과정'!$L$6,IF(J1058&lt;=0,0,IF(AND(ABS(K1058)&lt;='계산 과정'!$D$11/2,ABS(L1058)&lt;='계산 과정'!$D$12/2),1,0)),"")</x:f>
        <x:v>1</x:v>
      </x:c>
      <x:c r="N1058" s="17" t="n">
        <x:f>IF('계산 과정'!$C$78,IF(AND(ISNUMBER(H1058),ISNUMBER(I1058),ABS(H1058-'계산 과정'!$C$88)&lt;='계산 과정'!$D$23/2,ABS(I1058-'계산 과정'!$C$89)&lt;='계산 과정'!$D$24/2),1,0),"")</x:f>
        <x:v>1</x:v>
      </x:c>
      <x:c r="O1058" s="4" t="n">
        <x:f>IF('계산 과정'!$L$7,'계산 과정'!$C$49*('계산 과정'!$C$32-D1058)+'계산 과정'!$D$49*('계산 과정'!$D$32-E1058)+'계산 과정'!$E$49*'계산 과정'!$E$32,"")</x:f>
        <x:v>35.89343600550876</x:v>
      </x:c>
      <x:c r="P1058" s="4" t="n">
        <x:f>IF(AND('계산 과정'!$L$7,O1058&lt;&gt;0),('계산 과정'!$L$23-'계산 과정'!$C$49*D1058-'계산 과정'!$D$49*E1058)/O1058,"")</x:f>
        <x:v>12.144098880324796</x:v>
      </x:c>
      <x:c r="Q1058" s="4" t="str">
        <x:f>IF(AND(ISNUMBER(P1058),P1058&gt;1E-9,P1058&lt;1-1E-9),'계산 과정'!$C$47*(D1058-'계산 과정'!$C$50+P1058*('계산 과정'!$C$32-D1058))+'계산 과정'!$D$47*(E1058-'계산 과정'!$D$50+P1058*('계산 과정'!$D$32-E1058))+'계산 과정'!$E$47*(0-'계산 과정'!$E$50+P1058*('계산 과정'!$E$32-0)),"")</x:f>
      </x:c>
      <x:c r="R1058" s="4" t="str">
        <x:f>IF(AND(ISNUMBER(P1058),P1058&gt;1E-9,P1058&lt;1-1E-9),'계산 과정'!$C$48*(D1058-'계산 과정'!$C$50+P1058*('계산 과정'!$C$32-D1058))+'계산 과정'!$D$48*(E1058-'계산 과정'!$D$50+P1058*('계산 과정'!$D$32-E1058))+'계산 과정'!$E$48*(0-'계산 과정'!$E$50+P1058*('계산 과정'!$E$32-0)),"")</x:f>
      </x:c>
      <x:c r="S1058" s="17" t="n">
        <x:f>IF('계산 과정'!$C$78,IF(AND(ISNUMBER(Q1058),ISNUMBER(R1058),ABS(Q1058-'계산 과정'!$C$88)&lt;='계산 과정'!$D$23/2,ABS(R1058-'계산 과정'!$C$89)&lt;='계산 과정'!$D$24/2),1,0),"")</x:f>
        <x:v>0</x:v>
      </x:c>
      <x:c r="T1058" s="4"/>
      <x:c r="U1058" s="4"/>
      <x:c r="V1058" s="4"/>
      <x:c r="W1058" s="4"/>
      <x:c r="X1058" s="4"/>
      <x:c r="Y1058" s="4"/>
      <x:c r="Z1058" s="4"/>
    </x:row>
    <x:row r="1059" ht="23" customHeight="1">
      <x:c r="A1059" s="17" t="n">
        <x:f>ROW()-6</x:f>
        <x:v>1053</x:v>
      </x:c>
      <x:c r="B1059" s="4" t="n">
        <x:f>IF('계산 과정'!$L$5,'계산 과정'!$L$11*SQRT((A1059+0.5)/'계산 과정'!$L$30),"")</x:f>
        <x:v>107.5829757893297</x:v>
      </x:c>
      <x:c r="C1059" s="4" t="n">
        <x:f>A1059*PI()*(3-SQRT(5))</x:f>
        <x:v>2527.1612809042717</x:v>
      </x:c>
      <x:c r="D1059" s="4" t="n">
        <x:f>IF('계산 과정'!$L$5,B1059*COS(C1059),"")</x:f>
        <x:v>26.617382788732847</x:v>
      </x:c>
      <x:c r="E1059" s="4" t="n">
        <x:f>IF('계산 과정'!$L$5,B1059*SIN(C1059),"")</x:f>
        <x:v>104.23824448428498</x:v>
      </x:c>
      <x:c r="F1059" s="4" t="n">
        <x:f>IF('계산 과정'!$L$7,'계산 과정'!$L$22+'계산 과정'!$C$49*D1059+'계산 과정'!$D$49*E1059,"")</x:f>
        <x:v>631.1786681326489</x:v>
      </x:c>
      <x:c r="G1059" s="4" t="n">
        <x:f>IF('계산 과정'!$L$7,IF(ABS(F1059)&gt;=1E-12*MAX(1,SQRT((D1059-'계산 과정'!$C$33)^2+(E1059-'계산 과정'!$D$33)^2+'계산 과정'!$E$33^2)),('계산 과정'!$L$23-'계산 과정'!$C$49*D1059-'계산 과정'!$D$49*E1059)/F1059,""),"")</x:f>
        <x:v>0.663554319898738</x:v>
      </x:c>
      <x:c r="H1059" s="4" t="n">
        <x:f>IF(AND(ISNUMBER(G1059),G1059&gt;0),('계산 과정'!$D$56+'계산 과정'!$D$57*D1059+'계산 과정'!$D$58*E1059)/F1059,"")</x:f>
        <x:v>31.310307934179587</x:v>
      </x:c>
      <x:c r="I1059" s="4" t="n">
        <x:f>IF(AND(ISNUMBER(G1059),G1059&gt;0),('계산 과정'!$E$56+'계산 과정'!$E$57*D1059+'계산 과정'!$E$58*E1059)/F1059,"")</x:f>
        <x:v>173.40598191049307</x:v>
      </x:c>
      <x:c r="J1059" s="4" t="n">
        <x:f>IF('계산 과정'!$L$5,'계산 과정'!$D$6+'계산 과정'!$C$35*D1059+'계산 과정'!$D$35*E1059,"")</x:f>
        <x:v>631.1786681326489</x:v>
      </x:c>
      <x:c r="K1059" s="4" t="n">
        <x:f>IF(AND('계산 과정'!$L$6,J1059&gt;0),'계산 과정'!$D$10*('계산 과정'!$C$38*(D1059-'계산 과정'!$C$32)+'계산 과정'!$D$38*(E1059-'계산 과정'!$D$32)-'계산 과정'!$E$38*'계산 과정'!$E$32)/J1059,"")</x:f>
        <x:v>0.23855472711755954</x:v>
      </x:c>
      <x:c r="L1059" s="4" t="n">
        <x:f>IF(AND('계산 과정'!$L$6,J1059&gt;0),'계산 과정'!$D$10*('계산 과정'!$C$39*(D1059-'계산 과정'!$C$32)+'계산 과정'!$D$39*(E1059-'계산 과정'!$D$32)-'계산 과정'!$E$39*'계산 과정'!$E$32)/J1059,"")</x:f>
        <x:v>1.3211884336037567</x:v>
      </x:c>
      <x:c r="M1059" s="17" t="n">
        <x:f>IF('계산 과정'!$L$6,IF(J1059&lt;=0,0,IF(AND(ABS(K1059)&lt;='계산 과정'!$D$11/2,ABS(L1059)&lt;='계산 과정'!$D$12/2),1,0)),"")</x:f>
        <x:v>1</x:v>
      </x:c>
      <x:c r="N1059" s="17" t="n">
        <x:f>IF('계산 과정'!$C$78,IF(AND(ISNUMBER(H1059),ISNUMBER(I1059),ABS(H1059-'계산 과정'!$C$88)&lt;='계산 과정'!$D$23/2,ABS(I1059-'계산 과정'!$C$89)&lt;='계산 과정'!$D$24/2),1,0),"")</x:f>
        <x:v>1</x:v>
      </x:c>
      <x:c r="O1059" s="4" t="n">
        <x:f>IF('계산 과정'!$L$7,'계산 과정'!$C$49*('계산 과정'!$C$32-D1059)+'계산 과정'!$D$49*('계산 과정'!$D$32-E1059)+'계산 과정'!$E$49*'계산 과정'!$E$32,"")</x:f>
        <x:v>18.821331867351205</x:v>
      </x:c>
      <x:c r="P1059" s="4" t="n">
        <x:f>IF(AND('계산 과정'!$L$7,O1059&lt;&gt;0),('계산 과정'!$L$23-'계산 과정'!$C$49*D1059-'계산 과정'!$D$49*E1059)/O1059,"")</x:f>
        <x:v>22.25248111127926</x:v>
      </x:c>
      <x:c r="Q1059" s="4" t="str">
        <x:f>IF(AND(ISNUMBER(P1059),P1059&gt;1E-9,P1059&lt;1-1E-9),'계산 과정'!$C$47*(D1059-'계산 과정'!$C$50+P1059*('계산 과정'!$C$32-D1059))+'계산 과정'!$D$47*(E1059-'계산 과정'!$D$50+P1059*('계산 과정'!$D$32-E1059))+'계산 과정'!$E$47*(0-'계산 과정'!$E$50+P1059*('계산 과정'!$E$32-0)),"")</x:f>
      </x:c>
      <x:c r="R1059" s="4" t="str">
        <x:f>IF(AND(ISNUMBER(P1059),P1059&gt;1E-9,P1059&lt;1-1E-9),'계산 과정'!$C$48*(D1059-'계산 과정'!$C$50+P1059*('계산 과정'!$C$32-D1059))+'계산 과정'!$D$48*(E1059-'계산 과정'!$D$50+P1059*('계산 과정'!$D$32-E1059))+'계산 과정'!$E$48*(0-'계산 과정'!$E$50+P1059*('계산 과정'!$E$32-0)),"")</x:f>
      </x:c>
      <x:c r="S1059" s="17" t="n">
        <x:f>IF('계산 과정'!$C$78,IF(AND(ISNUMBER(Q1059),ISNUMBER(R1059),ABS(Q1059-'계산 과정'!$C$88)&lt;='계산 과정'!$D$23/2,ABS(R1059-'계산 과정'!$C$89)&lt;='계산 과정'!$D$24/2),1,0),"")</x:f>
        <x:v>0</x:v>
      </x:c>
      <x:c r="T1059" s="4"/>
      <x:c r="U1059" s="4"/>
      <x:c r="V1059" s="4"/>
      <x:c r="W1059" s="4"/>
      <x:c r="X1059" s="4"/>
      <x:c r="Y1059" s="4"/>
      <x:c r="Z1059" s="4"/>
    </x:row>
    <x:row r="1060" ht="23" customHeight="1">
      <x:c r="A1060" s="17" t="n">
        <x:f>ROW()-6</x:f>
        <x:v>1054</x:v>
      </x:c>
      <x:c r="B1060" s="4" t="n">
        <x:f>IF('계산 과정'!$L$5,'계산 과정'!$L$11*SQRT((A1060+0.5)/'계산 과정'!$L$30),"")</x:f>
        <x:v>107.6340234675472</x:v>
      </x:c>
      <x:c r="C1060" s="4" t="n">
        <x:f>A1060*PI()*(3-SQRT(5))</x:f>
        <x:v>2529.561244134</x:v>
      </x:c>
      <x:c r="D1060" s="4" t="n">
        <x:f>IF('계산 과정'!$L$5,B1060*COS(C1060),"")</x:f>
        <x:v>-90.08147514079087</x:v>
      </x:c>
      <x:c r="E1060" s="4" t="n">
        <x:f>IF('계산 과정'!$L$5,B1060*SIN(C1060),"")</x:f>
        <x:v>-58.910193042219575</x:v>
      </x:c>
      <x:c r="F1060" s="4" t="n">
        <x:f>IF('계산 과정'!$L$7,'계산 과정'!$L$22+'계산 과정'!$C$49*D1060+'계산 과정'!$D$49*E1060,"")</x:f>
        <x:v>713.6972219313407</x:v>
      </x:c>
      <x:c r="G1060" s="4" t="n">
        <x:f>IF('계산 과정'!$L$7,IF(ABS(F1060)&gt;=1E-12*MAX(1,SQRT((D1060-'계산 과정'!$C$33)^2+(E1060-'계산 과정'!$D$33)^2+'계산 과정'!$E$33^2)),('계산 과정'!$L$23-'계산 과정'!$C$49*D1060-'계산 과정'!$D$49*E1060)/F1060,""),"")</x:f>
        <x:v>0.4712121159146287</x:v>
      </x:c>
      <x:c r="H1060" s="4" t="n">
        <x:f>IF(AND(ISNUMBER(G1060),G1060&gt;0),('계산 과정'!$D$56+'계산 과정'!$D$57*D1060+'계산 과정'!$D$58*E1060)/F1060,"")</x:f>
        <x:v>-93.71212465549146</x:v>
      </x:c>
      <x:c r="I1060" s="4" t="n">
        <x:f>IF(AND(ISNUMBER(G1060),G1060&gt;0),('계산 과정'!$E$56+'계산 과정'!$E$57*D1060+'계산 과정'!$E$58*E1060)/F1060,"")</x:f>
        <x:v>-86.6693897545831</x:v>
      </x:c>
      <x:c r="J1060" s="4" t="n">
        <x:f>IF('계산 과정'!$L$5,'계산 과정'!$D$6+'계산 과정'!$C$35*D1060+'계산 과정'!$D$35*E1060,"")</x:f>
        <x:v>713.6972219313407</x:v>
      </x:c>
      <x:c r="K1060" s="4" t="n">
        <x:f>IF(AND('계산 과정'!$L$6,J1060&gt;0),'계산 과정'!$D$10*('계산 과정'!$C$38*(D1060-'계산 과정'!$C$32)+'계산 과정'!$D$38*(E1060-'계산 과정'!$D$32)-'계산 과정'!$E$38*'계산 과정'!$E$32)/J1060,"")</x:f>
        <x:v>-0.7139971402323146</x:v>
      </x:c>
      <x:c r="L1060" s="4" t="n">
        <x:f>IF(AND('계산 과정'!$L$6,J1060&gt;0),'계산 과정'!$D$10*('계산 과정'!$C$39*(D1060-'계산 과정'!$C$32)+'계산 과정'!$D$39*(E1060-'계산 과정'!$D$32)-'계산 과정'!$E$39*'계산 과정'!$E$32)/J1060,"")</x:f>
        <x:v>-0.6603382076539664</x:v>
      </x:c>
      <x:c r="M1060" s="17" t="n">
        <x:f>IF('계산 과정'!$L$6,IF(J1060&lt;=0,0,IF(AND(ABS(K1060)&lt;='계산 과정'!$D$11/2,ABS(L1060)&lt;='계산 과정'!$D$12/2),1,0)),"")</x:f>
        <x:v>1</x:v>
      </x:c>
      <x:c r="N1060" s="17" t="n">
        <x:f>IF('계산 과정'!$C$78,IF(AND(ISNUMBER(H1060),ISNUMBER(I1060),ABS(H1060-'계산 과정'!$C$88)&lt;='계산 과정'!$D$23/2,ABS(I1060-'계산 과정'!$C$89)&lt;='계산 과정'!$D$24/2),1,0),"")</x:f>
        <x:v>1</x:v>
      </x:c>
      <x:c r="O1060" s="4" t="n">
        <x:f>IF('계산 과정'!$L$7,'계산 과정'!$C$49*('계산 과정'!$C$32-D1060)+'계산 과정'!$D$49*('계산 과정'!$D$32-E1060)+'계산 과정'!$E$49*'계산 과정'!$E$32,"")</x:f>
        <x:v>-63.69722193134049</x:v>
      </x:c>
      <x:c r="P1060" s="4" t="n">
        <x:f>IF(AND('계산 과정'!$L$7,O1060&lt;&gt;0),('계산 과정'!$L$23-'계산 과정'!$C$49*D1060-'계산 과정'!$D$49*E1060)/O1060,"")</x:f>
        <x:v>-5.279708719968378</x:v>
      </x:c>
      <x:c r="Q1060" s="4" t="str">
        <x:f>IF(AND(ISNUMBER(P1060),P1060&gt;1E-9,P1060&lt;1-1E-9),'계산 과정'!$C$47*(D1060-'계산 과정'!$C$50+P1060*('계산 과정'!$C$32-D1060))+'계산 과정'!$D$47*(E1060-'계산 과정'!$D$50+P1060*('계산 과정'!$D$32-E1060))+'계산 과정'!$E$47*(0-'계산 과정'!$E$50+P1060*('계산 과정'!$E$32-0)),"")</x:f>
      </x:c>
      <x:c r="R1060" s="4" t="str">
        <x:f>IF(AND(ISNUMBER(P1060),P1060&gt;1E-9,P1060&lt;1-1E-9),'계산 과정'!$C$48*(D1060-'계산 과정'!$C$50+P1060*('계산 과정'!$C$32-D1060))+'계산 과정'!$D$48*(E1060-'계산 과정'!$D$50+P1060*('계산 과정'!$D$32-E1060))+'계산 과정'!$E$48*(0-'계산 과정'!$E$50+P1060*('계산 과정'!$E$32-0)),"")</x:f>
      </x:c>
      <x:c r="S1060" s="17" t="n">
        <x:f>IF('계산 과정'!$C$78,IF(AND(ISNUMBER(Q1060),ISNUMBER(R1060),ABS(Q1060-'계산 과정'!$C$88)&lt;='계산 과정'!$D$23/2,ABS(R1060-'계산 과정'!$C$89)&lt;='계산 과정'!$D$24/2),1,0),"")</x:f>
        <x:v>0</x:v>
      </x:c>
      <x:c r="T1060" s="4"/>
      <x:c r="U1060" s="4"/>
      <x:c r="V1060" s="4"/>
      <x:c r="W1060" s="4"/>
      <x:c r="X1060" s="4"/>
      <x:c r="Y1060" s="4"/>
      <x:c r="Z1060" s="4"/>
    </x:row>
    <x:row r="1061" ht="23" customHeight="1">
      <x:c r="A1061" s="17" t="n">
        <x:f>ROW()-6</x:f>
        <x:v>1055</x:v>
      </x:c>
      <x:c r="B1061" s="4" t="n">
        <x:f>IF('계산 과정'!$L$5,'계산 과정'!$L$11*SQRT((A1061+0.5)/'계산 과정'!$L$30),"")</x:f>
        <x:v>107.68504694681383</x:v>
      </x:c>
      <x:c r="C1061" s="4" t="n">
        <x:f>A1061*PI()*(3-SQRT(5))</x:f>
        <x:v>2531.9612073637286</x:v>
      </x:c>
      <x:c r="D1061" s="4" t="n">
        <x:f>IF('계산 과정'!$L$5,B1061*COS(C1061),"")</x:f>
        <x:v>106.26689142013245</x:v>
      </x:c>
      <x:c r="E1061" s="4" t="n">
        <x:f>IF('계산 과정'!$L$5,B1061*SIN(C1061),"")</x:f>
        <x:v>-17.418872633993256</x:v>
      </x:c>
      <x:c r="F1061" s="4" t="n">
        <x:f>IF('계산 과정'!$L$7,'계산 과정'!$L$22+'계산 과정'!$C$49*D1061+'계산 과정'!$D$49*E1061,"")</x:f>
        <x:v>574.8579604612098</x:v>
      </x:c>
      <x:c r="G1061" s="4" t="n">
        <x:f>IF('계산 과정'!$L$7,IF(ABS(F1061)&gt;=1E-12*MAX(1,SQRT((D1061-'계산 과정'!$C$33)^2+(E1061-'계산 과정'!$D$33)^2+'계산 과정'!$E$33^2)),('계산 과정'!$L$23-'계산 과정'!$C$49*D1061-'계산 과정'!$D$49*E1061)/F1061,""),"")</x:f>
        <x:v>0.8265381576304217</x:v>
      </x:c>
      <x:c r="H1061" s="4" t="n">
        <x:f>IF(AND(ISNUMBER(G1061),G1061&gt;0),('계산 과정'!$D$56+'계산 과정'!$D$57*D1061+'계산 과정'!$D$58*E1061)/F1061,"")</x:f>
        <x:v>137.24980245977406</x:v>
      </x:c>
      <x:c r="I1061" s="4" t="n">
        <x:f>IF(AND(ISNUMBER(G1061),G1061&gt;0),('계산 과정'!$E$56+'계산 과정'!$E$57*D1061+'계산 과정'!$E$58*E1061)/F1061,"")</x:f>
        <x:v>-31.816235528893014</x:v>
      </x:c>
      <x:c r="J1061" s="4" t="n">
        <x:f>IF('계산 과정'!$L$5,'계산 과정'!$D$6+'계산 과정'!$C$35*D1061+'계산 과정'!$D$35*E1061,"")</x:f>
        <x:v>574.8579604612098</x:v>
      </x:c>
      <x:c r="K1061" s="4" t="n">
        <x:f>IF(AND('계산 과정'!$L$6,J1061&gt;0),'계산 과정'!$D$10*('계산 과정'!$C$38*(D1061-'계산 과정'!$C$32)+'계산 과정'!$D$38*(E1061-'계산 과정'!$D$32)-'계산 과정'!$E$38*'계산 과정'!$E$32)/J1061,"")</x:f>
        <x:v>1.0457127806458981</x:v>
      </x:c>
      <x:c r="L1061" s="4" t="n">
        <x:f>IF(AND('계산 과정'!$L$6,J1061&gt;0),'계산 과정'!$D$10*('계산 과정'!$C$39*(D1061-'계산 과정'!$C$32)+'계산 과정'!$D$39*(E1061-'계산 과정'!$D$32)-'계산 과정'!$E$39*'계산 과정'!$E$32)/J1061,"")</x:f>
        <x:v>-0.2424094135534706</x:v>
      </x:c>
      <x:c r="M1061" s="17" t="n">
        <x:f>IF('계산 과정'!$L$6,IF(J1061&lt;=0,0,IF(AND(ABS(K1061)&lt;='계산 과정'!$D$11/2,ABS(L1061)&lt;='계산 과정'!$D$12/2),1,0)),"")</x:f>
        <x:v>1</x:v>
      </x:c>
      <x:c r="N1061" s="17" t="n">
        <x:f>IF('계산 과정'!$C$78,IF(AND(ISNUMBER(H1061),ISNUMBER(I1061),ABS(H1061-'계산 과정'!$C$88)&lt;='계산 과정'!$D$23/2,ABS(I1061-'계산 과정'!$C$89)&lt;='계산 과정'!$D$24/2),1,0),"")</x:f>
        <x:v>1</x:v>
      </x:c>
      <x:c r="O1061" s="4" t="n">
        <x:f>IF('계산 과정'!$L$7,'계산 과정'!$C$49*('계산 과정'!$C$32-D1061)+'계산 과정'!$D$49*('계산 과정'!$D$32-E1061)+'계산 과정'!$E$49*'계산 과정'!$E$32,"")</x:f>
        <x:v>75.1420395387903</x:v>
      </x:c>
      <x:c r="P1061" s="4" t="n">
        <x:f>IF(AND('계산 과정'!$L$7,O1061&lt;&gt;0),('계산 과정'!$L$23-'계산 과정'!$C$49*D1061-'계산 과정'!$D$49*E1061)/O1061,"")</x:f>
        <x:v>6.323251836856376</x:v>
      </x:c>
      <x:c r="Q1061" s="4" t="str">
        <x:f>IF(AND(ISNUMBER(P1061),P1061&gt;1E-9,P1061&lt;1-1E-9),'계산 과정'!$C$47*(D1061-'계산 과정'!$C$50+P1061*('계산 과정'!$C$32-D1061))+'계산 과정'!$D$47*(E1061-'계산 과정'!$D$50+P1061*('계산 과정'!$D$32-E1061))+'계산 과정'!$E$47*(0-'계산 과정'!$E$50+P1061*('계산 과정'!$E$32-0)),"")</x:f>
      </x:c>
      <x:c r="R1061" s="4" t="str">
        <x:f>IF(AND(ISNUMBER(P1061),P1061&gt;1E-9,P1061&lt;1-1E-9),'계산 과정'!$C$48*(D1061-'계산 과정'!$C$50+P1061*('계산 과정'!$C$32-D1061))+'계산 과정'!$D$48*(E1061-'계산 과정'!$D$50+P1061*('계산 과정'!$D$32-E1061))+'계산 과정'!$E$48*(0-'계산 과정'!$E$50+P1061*('계산 과정'!$E$32-0)),"")</x:f>
      </x:c>
      <x:c r="S1061" s="17" t="n">
        <x:f>IF('계산 과정'!$C$78,IF(AND(ISNUMBER(Q1061),ISNUMBER(R1061),ABS(Q1061-'계산 과정'!$C$88)&lt;='계산 과정'!$D$23/2,ABS(R1061-'계산 과정'!$C$89)&lt;='계산 과정'!$D$24/2),1,0),"")</x:f>
        <x:v>0</x:v>
      </x:c>
      <x:c r="T1061" s="4"/>
      <x:c r="U1061" s="4"/>
      <x:c r="V1061" s="4"/>
      <x:c r="W1061" s="4"/>
      <x:c r="X1061" s="4"/>
      <x:c r="Y1061" s="4"/>
      <x:c r="Z1061" s="4"/>
    </x:row>
    <x:row r="1062" ht="23" customHeight="1">
      <x:c r="A1062" s="17" t="n">
        <x:f>ROW()-6</x:f>
        <x:v>1056</x:v>
      </x:c>
      <x:c r="B1062" s="4" t="n">
        <x:f>IF('계산 과정'!$L$5,'계산 과정'!$L$11*SQRT((A1062+0.5)/'계산 과정'!$L$30),"")</x:f>
        <x:v>107.73604626151129</x:v>
      </x:c>
      <x:c r="C1062" s="4" t="n">
        <x:f>A1062*PI()*(3-SQRT(5))</x:f>
        <x:v>2534.3611705934577</x:v>
      </x:c>
      <x:c r="D1062" s="4" t="n">
        <x:f>IF('계산 과정'!$L$5,B1062*COS(C1062),"")</x:f>
        <x:v>-66.62315669286646</x:v>
      </x:c>
      <x:c r="E1062" s="4" t="n">
        <x:f>IF('계산 과정'!$L$5,B1062*SIN(C1062),"")</x:f>
        <x:v>84.66646713038323</x:v>
      </x:c>
      <x:c r="F1062" s="4" t="n">
        <x:f>IF('계산 과정'!$L$7,'계산 과정'!$L$22+'계산 과정'!$C$49*D1062+'계산 과정'!$D$49*E1062,"")</x:f>
        <x:v>697.1096858815798</x:v>
      </x:c>
      <x:c r="G1062" s="4" t="n">
        <x:f>IF('계산 과정'!$L$7,IF(ABS(F1062)&gt;=1E-12*MAX(1,SQRT((D1062-'계산 과정'!$C$33)^2+(E1062-'계산 과정'!$D$33)^2+'계산 과정'!$E$33^2)),('계산 과정'!$L$23-'계산 과정'!$C$49*D1062-'계산 과정'!$D$49*E1062)/F1062,""),"")</x:f>
        <x:v>0.5062192094951996</x:v>
      </x:c>
      <x:c r="H1062" s="4" t="n">
        <x:f>IF(AND(ISNUMBER(G1062),G1062&gt;0),('계산 과정'!$D$56+'계산 과정'!$D$57*D1062+'계산 과정'!$D$58*E1062)/F1062,"")</x:f>
        <x:v>-70.9575138281204</x:v>
      </x:c>
      <x:c r="I1062" s="4" t="n">
        <x:f>IF(AND(ISNUMBER(G1062),G1062&gt;0),('계산 과정'!$E$56+'계산 과정'!$E$57*D1062+'계산 과정'!$E$58*E1062)/F1062,"")</x:f>
        <x:v>127.52625919187712</x:v>
      </x:c>
      <x:c r="J1062" s="4" t="n">
        <x:f>IF('계산 과정'!$L$5,'계산 과정'!$D$6+'계산 과정'!$C$35*D1062+'계산 과정'!$D$35*E1062,"")</x:f>
        <x:v>697.1096858815798</x:v>
      </x:c>
      <x:c r="K1062" s="4" t="n">
        <x:f>IF(AND('계산 과정'!$L$6,J1062&gt;0),'계산 과정'!$D$10*('계산 과정'!$C$38*(D1062-'계산 과정'!$C$32)+'계산 과정'!$D$38*(E1062-'계산 과정'!$D$32)-'계산 과정'!$E$38*'계산 과정'!$E$32)/J1062,"")</x:f>
        <x:v>-0.5406286767856786</x:v>
      </x:c>
      <x:c r="L1062" s="4" t="n">
        <x:f>IF(AND('계산 과정'!$L$6,J1062&gt;0),'계산 과정'!$D$10*('계산 과정'!$C$39*(D1062-'계산 과정'!$C$32)+'계산 과정'!$D$39*(E1062-'계산 과정'!$D$32)-'계산 과정'!$E$39*'계산 과정'!$E$32)/J1062,"")</x:f>
        <x:v>0.9716286414619209</x:v>
      </x:c>
      <x:c r="M1062" s="17" t="n">
        <x:f>IF('계산 과정'!$L$6,IF(J1062&lt;=0,0,IF(AND(ABS(K1062)&lt;='계산 과정'!$D$11/2,ABS(L1062)&lt;='계산 과정'!$D$12/2),1,0)),"")</x:f>
        <x:v>1</x:v>
      </x:c>
      <x:c r="N1062" s="17" t="n">
        <x:f>IF('계산 과정'!$C$78,IF(AND(ISNUMBER(H1062),ISNUMBER(I1062),ABS(H1062-'계산 과정'!$C$88)&lt;='계산 과정'!$D$23/2,ABS(I1062-'계산 과정'!$C$89)&lt;='계산 과정'!$D$24/2),1,0),"")</x:f>
        <x:v>1</x:v>
      </x:c>
      <x:c r="O1062" s="4" t="n">
        <x:f>IF('계산 과정'!$L$7,'계산 과정'!$C$49*('계산 과정'!$C$32-D1062)+'계산 과정'!$D$49*('계산 과정'!$D$32-E1062)+'계산 과정'!$E$49*'계산 과정'!$E$32,"")</x:f>
        <x:v>-47.10968588157971</x:v>
      </x:c>
      <x:c r="P1062" s="4" t="n">
        <x:f>IF(AND('계산 과정'!$L$7,O1062&lt;&gt;0),('계산 과정'!$L$23-'계산 과정'!$C$49*D1062-'계산 과정'!$D$49*E1062)/O1062,"")</x:f>
        <x:v>-7.490822906471626</x:v>
      </x:c>
      <x:c r="Q1062" s="4" t="str">
        <x:f>IF(AND(ISNUMBER(P1062),P1062&gt;1E-9,P1062&lt;1-1E-9),'계산 과정'!$C$47*(D1062-'계산 과정'!$C$50+P1062*('계산 과정'!$C$32-D1062))+'계산 과정'!$D$47*(E1062-'계산 과정'!$D$50+P1062*('계산 과정'!$D$32-E1062))+'계산 과정'!$E$47*(0-'계산 과정'!$E$50+P1062*('계산 과정'!$E$32-0)),"")</x:f>
      </x:c>
      <x:c r="R1062" s="4" t="str">
        <x:f>IF(AND(ISNUMBER(P1062),P1062&gt;1E-9,P1062&lt;1-1E-9),'계산 과정'!$C$48*(D1062-'계산 과정'!$C$50+P1062*('계산 과정'!$C$32-D1062))+'계산 과정'!$D$48*(E1062-'계산 과정'!$D$50+P1062*('계산 과정'!$D$32-E1062))+'계산 과정'!$E$48*(0-'계산 과정'!$E$50+P1062*('계산 과정'!$E$32-0)),"")</x:f>
      </x:c>
      <x:c r="S1062" s="17" t="n">
        <x:f>IF('계산 과정'!$C$78,IF(AND(ISNUMBER(Q1062),ISNUMBER(R1062),ABS(Q1062-'계산 과정'!$C$88)&lt;='계산 과정'!$D$23/2,ABS(R1062-'계산 과정'!$C$89)&lt;='계산 과정'!$D$24/2),1,0),"")</x:f>
        <x:v>0</x:v>
      </x:c>
      <x:c r="T1062" s="4"/>
      <x:c r="U1062" s="4"/>
      <x:c r="V1062" s="4"/>
      <x:c r="W1062" s="4"/>
      <x:c r="X1062" s="4"/>
      <x:c r="Y1062" s="4"/>
      <x:c r="Z1062" s="4"/>
    </x:row>
    <x:row r="1063" ht="23" customHeight="1">
      <x:c r="A1063" s="17" t="n">
        <x:f>ROW()-6</x:f>
        <x:v>1057</x:v>
      </x:c>
      <x:c r="B1063" s="4" t="n">
        <x:f>IF('계산 과정'!$L$5,'계산 과정'!$L$11*SQRT((A1063+0.5)/'계산 과정'!$L$30),"")</x:f>
        <x:v>107.78702144593986</x:v>
      </x:c>
      <x:c r="C1063" s="4" t="n">
        <x:f>A1063*PI()*(3-SQRT(5))</x:f>
        <x:v>2536.761133823186</x:v>
      </x:c>
      <x:c r="D1063" s="4" t="n">
        <x:f>IF('계산 과정'!$L$5,B1063*COS(C1063),"")</x:f>
        <x:v>-8.069350689602011</x:v>
      </x:c>
      <x:c r="E1063" s="4" t="n">
        <x:f>IF('계산 과정'!$L$5,B1063*SIN(C1063),"")</x:f>
        <x:v>-107.4845457339599</x:v>
      </x:c>
      <x:c r="F1063" s="4" t="n">
        <x:f>IF('계산 과정'!$L$7,'계산 과정'!$L$22+'계산 과정'!$C$49*D1063+'계산 과정'!$D$49*E1063,"")</x:f>
        <x:v>655.7058925923899</x:v>
      </x:c>
      <x:c r="G1063" s="4" t="n">
        <x:f>IF('계산 과정'!$L$7,IF(ABS(F1063)&gt;=1E-12*MAX(1,SQRT((D1063-'계산 과정'!$C$33)^2+(E1063-'계산 과정'!$D$33)^2+'계산 과정'!$E$33^2)),('계산 과정'!$L$23-'계산 과정'!$C$49*D1063-'계산 과정'!$D$49*E1063)/F1063,""),"")</x:f>
        <x:v>0.6013276864856807</x:v>
      </x:c>
      <x:c r="H1063" s="4" t="n">
        <x:f>IF(AND(ISNUMBER(G1063),G1063&gt;0),('계산 과정'!$D$56+'계산 과정'!$D$57*D1063+'계산 과정'!$D$58*E1063)/F1063,"")</x:f>
        <x:v>-9.137003784307659</x:v>
      </x:c>
      <x:c r="I1063" s="4" t="n">
        <x:f>IF(AND(ISNUMBER(G1063),G1063&gt;0),('계산 과정'!$E$56+'계산 과정'!$E$57*D1063+'계산 과정'!$E$58*E1063)/F1063,"")</x:f>
        <x:v>-172.11797895312637</x:v>
      </x:c>
      <x:c r="J1063" s="4" t="n">
        <x:f>IF('계산 과정'!$L$5,'계산 과정'!$D$6+'계산 과정'!$C$35*D1063+'계산 과정'!$D$35*E1063,"")</x:f>
        <x:v>655.7058925923899</x:v>
      </x:c>
      <x:c r="K1063" s="4" t="n">
        <x:f>IF(AND('계산 과정'!$L$6,J1063&gt;0),'계산 과정'!$D$10*('계산 과정'!$C$38*(D1063-'계산 과정'!$C$32)+'계산 과정'!$D$38*(E1063-'계산 과정'!$D$32)-'계산 과정'!$E$38*'계산 과정'!$E$32)/J1063,"")</x:f>
        <x:v>-0.069615266928057</x:v>
      </x:c>
      <x:c r="L1063" s="4" t="n">
        <x:f>IF(AND('계산 과정'!$L$6,J1063&gt;0),'계산 과정'!$D$10*('계산 과정'!$C$39*(D1063-'계산 과정'!$C$32)+'계산 과정'!$D$39*(E1063-'계산 과정'!$D$32)-'계산 과정'!$E$39*'계산 과정'!$E$32)/J1063,"")</x:f>
        <x:v>-1.3113750777381057</x:v>
      </x:c>
      <x:c r="M1063" s="17" t="n">
        <x:f>IF('계산 과정'!$L$6,IF(J1063&lt;=0,0,IF(AND(ABS(K1063)&lt;='계산 과정'!$D$11/2,ABS(L1063)&lt;='계산 과정'!$D$12/2),1,0)),"")</x:f>
        <x:v>1</x:v>
      </x:c>
      <x:c r="N1063" s="17" t="n">
        <x:f>IF('계산 과정'!$C$78,IF(AND(ISNUMBER(H1063),ISNUMBER(I1063),ABS(H1063-'계산 과정'!$C$88)&lt;='계산 과정'!$D$23/2,ABS(I1063-'계산 과정'!$C$89)&lt;='계산 과정'!$D$24/2),1,0),"")</x:f>
        <x:v>1</x:v>
      </x:c>
      <x:c r="O1063" s="4" t="n">
        <x:f>IF('계산 과정'!$L$7,'계산 과정'!$C$49*('계산 과정'!$C$32-D1063)+'계산 과정'!$D$49*('계산 과정'!$D$32-E1063)+'계산 과정'!$E$49*'계산 과정'!$E$32,"")</x:f>
        <x:v>-5.70589259238983</x:v>
      </x:c>
      <x:c r="P1063" s="4" t="n">
        <x:f>IF(AND('계산 과정'!$L$7,O1063&lt;&gt;0),('계산 과정'!$L$23-'계산 과정'!$C$49*D1063-'계산 과정'!$D$49*E1063)/O1063,"")</x:f>
        <x:v>-69.10296698074818</x:v>
      </x:c>
      <x:c r="Q1063" s="4" t="str">
        <x:f>IF(AND(ISNUMBER(P1063),P1063&gt;1E-9,P1063&lt;1-1E-9),'계산 과정'!$C$47*(D1063-'계산 과정'!$C$50+P1063*('계산 과정'!$C$32-D1063))+'계산 과정'!$D$47*(E1063-'계산 과정'!$D$50+P1063*('계산 과정'!$D$32-E1063))+'계산 과정'!$E$47*(0-'계산 과정'!$E$50+P1063*('계산 과정'!$E$32-0)),"")</x:f>
      </x:c>
      <x:c r="R1063" s="4" t="str">
        <x:f>IF(AND(ISNUMBER(P1063),P1063&gt;1E-9,P1063&lt;1-1E-9),'계산 과정'!$C$48*(D1063-'계산 과정'!$C$50+P1063*('계산 과정'!$C$32-D1063))+'계산 과정'!$D$48*(E1063-'계산 과정'!$D$50+P1063*('계산 과정'!$D$32-E1063))+'계산 과정'!$E$48*(0-'계산 과정'!$E$50+P1063*('계산 과정'!$E$32-0)),"")</x:f>
      </x:c>
      <x:c r="S1063" s="17" t="n">
        <x:f>IF('계산 과정'!$C$78,IF(AND(ISNUMBER(Q1063),ISNUMBER(R1063),ABS(Q1063-'계산 과정'!$C$88)&lt;='계산 과정'!$D$23/2,ABS(R1063-'계산 과정'!$C$89)&lt;='계산 과정'!$D$24/2),1,0),"")</x:f>
        <x:v>0</x:v>
      </x:c>
      <x:c r="T1063" s="4"/>
      <x:c r="U1063" s="4"/>
      <x:c r="V1063" s="4"/>
      <x:c r="W1063" s="4"/>
      <x:c r="X1063" s="4"/>
      <x:c r="Y1063" s="4"/>
      <x:c r="Z1063" s="4"/>
    </x:row>
    <x:row r="1064" ht="23" customHeight="1">
      <x:c r="A1064" s="17" t="n">
        <x:f>ROW()-6</x:f>
        <x:v>1058</x:v>
      </x:c>
      <x:c r="B1064" s="4" t="n">
        <x:f>IF('계산 과정'!$L$5,'계산 과정'!$L$11*SQRT((A1064+0.5)/'계산 과정'!$L$30),"")</x:f>
        <x:v>107.83797253431882</x:v>
      </x:c>
      <x:c r="C1064" s="4" t="n">
        <x:f>A1064*PI()*(3-SQRT(5))</x:f>
        <x:v>2539.1610970529146</x:v>
      </x:c>
      <x:c r="D1064" s="4" t="n">
        <x:f>IF('계산 과정'!$L$5,B1064*COS(C1064),"")</x:f>
        <x:v>78.59198849044444</x:v>
      </x:c>
      <x:c r="E1064" s="4" t="n">
        <x:f>IF('계산 과정'!$L$5,B1064*SIN(C1064),"")</x:f>
        <x:v>73.83987855779795</x:v>
      </x:c>
      <x:c r="F1064" s="4" t="n">
        <x:f>IF('계산 과정'!$L$7,'계산 과정'!$L$22+'계산 과정'!$C$49*D1064+'계산 과정'!$D$49*E1064,"")</x:f>
        <x:v>594.4270719914716</x:v>
      </x:c>
      <x:c r="G1064" s="4" t="n">
        <x:f>IF('계산 과정'!$L$7,IF(ABS(F1064)&gt;=1E-12*MAX(1,SQRT((D1064-'계산 과정'!$C$33)^2+(E1064-'계산 과정'!$D$33)^2+'계산 과정'!$E$33^2)),('계산 과정'!$L$23-'계산 과정'!$C$49*D1064-'계산 과정'!$D$49*E1064)/F1064,""),"")</x:f>
        <x:v>0.7664067628721065</x:v>
      </x:c>
      <x:c r="H1064" s="4" t="n">
        <x:f>IF(AND(ISNUMBER(G1064),G1064&gt;0),('계산 과정'!$D$56+'계산 과정'!$D$57*D1064+'계산 과정'!$D$58*E1064)/F1064,"")</x:f>
        <x:v>98.1643958668691</x:v>
      </x:c>
      <x:c r="I1064" s="4" t="n">
        <x:f>IF(AND(ISNUMBER(G1064),G1064&gt;0),('계산 과정'!$E$56+'계산 과정'!$E$57*D1064+'계산 과정'!$E$58*E1064)/F1064,"")</x:f>
        <x:v>130.43126085414934</x:v>
      </x:c>
      <x:c r="J1064" s="4" t="n">
        <x:f>IF('계산 과정'!$L$5,'계산 과정'!$D$6+'계산 과정'!$C$35*D1064+'계산 과정'!$D$35*E1064,"")</x:f>
        <x:v>594.4270719914716</x:v>
      </x:c>
      <x:c r="K1064" s="4" t="n">
        <x:f>IF(AND('계산 과정'!$L$6,J1064&gt;0),'계산 과정'!$D$10*('계산 과정'!$C$38*(D1064-'계산 과정'!$C$32)+'계산 과정'!$D$38*(E1064-'계산 과정'!$D$32)-'계산 과정'!$E$38*'계산 과정'!$E$32)/J1064,"")</x:f>
        <x:v>0.747919206604718</x:v>
      </x:c>
      <x:c r="L1064" s="4" t="n">
        <x:f>IF(AND('계산 과정'!$L$6,J1064&gt;0),'계산 과정'!$D$10*('계산 과정'!$C$39*(D1064-'계산 과정'!$C$32)+'계산 과정'!$D$39*(E1064-'계산 과정'!$D$32)-'계산 과정'!$E$39*'계산 과정'!$E$32)/J1064,"")</x:f>
        <x:v>0.9937619874601854</x:v>
      </x:c>
      <x:c r="M1064" s="17" t="n">
        <x:f>IF('계산 과정'!$L$6,IF(J1064&lt;=0,0,IF(AND(ABS(K1064)&lt;='계산 과정'!$D$11/2,ABS(L1064)&lt;='계산 과정'!$D$12/2),1,0)),"")</x:f>
        <x:v>1</x:v>
      </x:c>
      <x:c r="N1064" s="17" t="n">
        <x:f>IF('계산 과정'!$C$78,IF(AND(ISNUMBER(H1064),ISNUMBER(I1064),ABS(H1064-'계산 과정'!$C$88)&lt;='계산 과정'!$D$23/2,ABS(I1064-'계산 과정'!$C$89)&lt;='계산 과정'!$D$24/2),1,0),"")</x:f>
        <x:v>1</x:v>
      </x:c>
      <x:c r="O1064" s="4" t="n">
        <x:f>IF('계산 과정'!$L$7,'계산 과정'!$C$49*('계산 과정'!$C$32-D1064)+'계산 과정'!$D$49*('계산 과정'!$D$32-E1064)+'계산 과정'!$E$49*'계산 과정'!$E$32,"")</x:f>
        <x:v>55.57292800852849</x:v>
      </x:c>
      <x:c r="P1064" s="4" t="n">
        <x:f>IF(AND('계산 과정'!$L$7,O1064&lt;&gt;0),('계산 과정'!$L$23-'계산 과정'!$C$49*D1064-'계산 과정'!$D$49*E1064)/O1064,"")</x:f>
        <x:v>8.197749233918607</x:v>
      </x:c>
      <x:c r="Q1064" s="4" t="str">
        <x:f>IF(AND(ISNUMBER(P1064),P1064&gt;1E-9,P1064&lt;1-1E-9),'계산 과정'!$C$47*(D1064-'계산 과정'!$C$50+P1064*('계산 과정'!$C$32-D1064))+'계산 과정'!$D$47*(E1064-'계산 과정'!$D$50+P1064*('계산 과정'!$D$32-E1064))+'계산 과정'!$E$47*(0-'계산 과정'!$E$50+P1064*('계산 과정'!$E$32-0)),"")</x:f>
      </x:c>
      <x:c r="R1064" s="4" t="str">
        <x:f>IF(AND(ISNUMBER(P1064),P1064&gt;1E-9,P1064&lt;1-1E-9),'계산 과정'!$C$48*(D1064-'계산 과정'!$C$50+P1064*('계산 과정'!$C$32-D1064))+'계산 과정'!$D$48*(E1064-'계산 과정'!$D$50+P1064*('계산 과정'!$D$32-E1064))+'계산 과정'!$E$48*(0-'계산 과정'!$E$50+P1064*('계산 과정'!$E$32-0)),"")</x:f>
      </x:c>
      <x:c r="S1064" s="17" t="n">
        <x:f>IF('계산 과정'!$C$78,IF(AND(ISNUMBER(Q1064),ISNUMBER(R1064),ABS(Q1064-'계산 과정'!$C$88)&lt;='계산 과정'!$D$23/2,ABS(R1064-'계산 과정'!$C$89)&lt;='계산 과정'!$D$24/2),1,0),"")</x:f>
        <x:v>0</x:v>
      </x:c>
      <x:c r="T1064" s="4"/>
      <x:c r="U1064" s="4"/>
      <x:c r="V1064" s="4"/>
      <x:c r="W1064" s="4"/>
      <x:c r="X1064" s="4"/>
      <x:c r="Y1064" s="4"/>
      <x:c r="Z1064" s="4"/>
    </x:row>
    <x:row r="1065" ht="23" customHeight="1">
      <x:c r="A1065" s="17" t="n">
        <x:f>ROW()-6</x:f>
        <x:v>1059</x:v>
      </x:c>
      <x:c r="B1065" s="4" t="n">
        <x:f>IF('계산 과정'!$L$5,'계산 과정'!$L$11*SQRT((A1065+0.5)/'계산 과정'!$L$30),"")</x:f>
        <x:v>107.88889956078661</x:v>
      </x:c>
      <x:c r="C1065" s="4" t="n">
        <x:f>A1065*PI()*(3-SQRT(5))</x:f>
        <x:v>2541.5610602826437</x:v>
      </x:c>
      <x:c r="D1065" s="4" t="n">
        <x:f>IF('계산 과정'!$L$5,B1065*COS(C1065),"")</x:f>
        <x:v>-107.88033065605421</x:v>
      </x:c>
      <x:c r="E1065" s="4" t="n">
        <x:f>IF('계산 과정'!$L$5,B1065*SIN(C1065),"")</x:f>
        <x:v>-1.359744820880064</x:v>
      </x:c>
      <x:c r="F1065" s="4" t="n">
        <x:f>IF('계산 과정'!$L$7,'계산 과정'!$L$22+'계산 과정'!$C$49*D1065+'계산 과정'!$D$49*E1065,"")</x:f>
        <x:v>726.2829133635429</x:v>
      </x:c>
      <x:c r="G1065" s="4" t="n">
        <x:f>IF('계산 과정'!$L$7,IF(ABS(F1065)&gt;=1E-12*MAX(1,SQRT((D1065-'계산 과정'!$C$33)^2+(E1065-'계산 과정'!$D$33)^2+'계산 과정'!$E$33^2)),('계산 과정'!$L$23-'계산 과정'!$C$49*D1065-'계산 과정'!$D$49*E1065)/F1065,""),"")</x:f>
        <x:v>0.44571761317813025</x:v>
      </x:c>
      <x:c r="H1065" s="4" t="n">
        <x:f>IF(AND(ISNUMBER(G1065),G1065&gt;0),('계산 과정'!$D$56+'계산 과정'!$D$57*D1065+'계산 과정'!$D$58*E1065)/F1065,"")</x:f>
        <x:v>-110.2835514342155</x:v>
      </x:c>
      <x:c r="I1065" s="4" t="n">
        <x:f>IF(AND(ISNUMBER(G1065),G1065&gt;0),('계산 과정'!$E$56+'계산 과정'!$E$57*D1065+'계산 과정'!$E$58*E1065)/F1065,"")</x:f>
        <x:v>-1.9658070369740503</x:v>
      </x:c>
      <x:c r="J1065" s="4" t="n">
        <x:f>IF('계산 과정'!$L$5,'계산 과정'!$D$6+'계산 과정'!$C$35*D1065+'계산 과정'!$D$35*E1065,"")</x:f>
        <x:v>726.2829133635429</x:v>
      </x:c>
      <x:c r="K1065" s="4" t="n">
        <x:f>IF(AND('계산 과정'!$L$6,J1065&gt;0),'계산 과정'!$D$10*('계산 과정'!$C$38*(D1065-'계산 과정'!$C$32)+'계산 과정'!$D$38*(E1065-'계산 과정'!$D$32)-'계산 과정'!$E$38*'계산 과정'!$E$32)/J1065,"")</x:f>
        <x:v>-0.8402556299749739</x:v>
      </x:c>
      <x:c r="L1065" s="4" t="n">
        <x:f>IF(AND('계산 과정'!$L$6,J1065&gt;0),'계산 과정'!$D$10*('계산 과정'!$C$39*(D1065-'계산 과정'!$C$32)+'계산 과정'!$D$39*(E1065-'계산 과정'!$D$32)-'계산 과정'!$E$39*'계산 과정'!$E$32)/J1065,"")</x:f>
        <x:v>-0.014977577424564193</x:v>
      </x:c>
      <x:c r="M1065" s="17" t="n">
        <x:f>IF('계산 과정'!$L$6,IF(J1065&lt;=0,0,IF(AND(ABS(K1065)&lt;='계산 과정'!$D$11/2,ABS(L1065)&lt;='계산 과정'!$D$12/2),1,0)),"")</x:f>
        <x:v>1</x:v>
      </x:c>
      <x:c r="N1065" s="17" t="n">
        <x:f>IF('계산 과정'!$C$78,IF(AND(ISNUMBER(H1065),ISNUMBER(I1065),ABS(H1065-'계산 과정'!$C$88)&lt;='계산 과정'!$D$23/2,ABS(I1065-'계산 과정'!$C$89)&lt;='계산 과정'!$D$24/2),1,0),"")</x:f>
        <x:v>1</x:v>
      </x:c>
      <x:c r="O1065" s="4" t="n">
        <x:f>IF('계산 과정'!$L$7,'계산 과정'!$C$49*('계산 과정'!$C$32-D1065)+'계산 과정'!$D$49*('계산 과정'!$D$32-E1065)+'계산 과정'!$E$49*'계산 과정'!$E$32,"")</x:f>
        <x:v>-76.28291336354278</x:v>
      </x:c>
      <x:c r="P1065" s="4" t="n">
        <x:f>IF(AND('계산 과정'!$L$7,O1065&lt;&gt;0),('계산 과정'!$L$23-'계산 과정'!$C$49*D1065-'계산 과정'!$D$49*E1065)/O1065,"")</x:f>
        <x:v>-4.243638219396696</x:v>
      </x:c>
      <x:c r="Q1065" s="4" t="str">
        <x:f>IF(AND(ISNUMBER(P1065),P1065&gt;1E-9,P1065&lt;1-1E-9),'계산 과정'!$C$47*(D1065-'계산 과정'!$C$50+P1065*('계산 과정'!$C$32-D1065))+'계산 과정'!$D$47*(E1065-'계산 과정'!$D$50+P1065*('계산 과정'!$D$32-E1065))+'계산 과정'!$E$47*(0-'계산 과정'!$E$50+P1065*('계산 과정'!$E$32-0)),"")</x:f>
      </x:c>
      <x:c r="R1065" s="4" t="str">
        <x:f>IF(AND(ISNUMBER(P1065),P1065&gt;1E-9,P1065&lt;1-1E-9),'계산 과정'!$C$48*(D1065-'계산 과정'!$C$50+P1065*('계산 과정'!$C$32-D1065))+'계산 과정'!$D$48*(E1065-'계산 과정'!$D$50+P1065*('계산 과정'!$D$32-E1065))+'계산 과정'!$E$48*(0-'계산 과정'!$E$50+P1065*('계산 과정'!$E$32-0)),"")</x:f>
      </x:c>
      <x:c r="S1065" s="17" t="n">
        <x:f>IF('계산 과정'!$C$78,IF(AND(ISNUMBER(Q1065),ISNUMBER(R1065),ABS(Q1065-'계산 과정'!$C$88)&lt;='계산 과정'!$D$23/2,ABS(R1065-'계산 과정'!$C$89)&lt;='계산 과정'!$D$24/2),1,0),"")</x:f>
        <x:v>0</x:v>
      </x:c>
      <x:c r="T1065" s="4"/>
      <x:c r="U1065" s="4"/>
      <x:c r="V1065" s="4"/>
      <x:c r="W1065" s="4"/>
      <x:c r="X1065" s="4"/>
      <x:c r="Y1065" s="4"/>
      <x:c r="Z1065" s="4"/>
    </x:row>
    <x:row r="1066" ht="23" customHeight="1">
      <x:c r="A1066" s="17" t="n">
        <x:f>ROW()-6</x:f>
        <x:v>1060</x:v>
      </x:c>
      <x:c r="B1066" s="4" t="n">
        <x:f>IF('계산 과정'!$L$5,'계산 과정'!$L$11*SQRT((A1066+0.5)/'계산 과정'!$L$30),"")</x:f>
        <x:v>107.93980255940113</x:v>
      </x:c>
      <x:c r="C1066" s="4" t="n">
        <x:f>A1066*PI()*(3-SQRT(5))</x:f>
        <x:v>2543.9610235123723</x:v>
      </x:c>
      <x:c r="D1066" s="4" t="n">
        <x:f>IF('계산 과정'!$L$5,B1066*COS(C1066),"")</x:f>
        <x:v>80.50405747194742</x:v>
      </x:c>
      <x:c r="E1066" s="4" t="n">
        <x:f>IF('계산 과정'!$L$5,B1066*SIN(C1066),"")</x:f>
        <x:v>-71.90339148549174</x:v>
      </x:c>
      <x:c r="F1066" s="4" t="n">
        <x:f>IF('계산 과정'!$L$7,'계산 과정'!$L$22+'계산 과정'!$C$49*D1066+'계산 과정'!$D$49*E1066,"")</x:f>
        <x:v>593.0750350485545</x:v>
      </x:c>
      <x:c r="G1066" s="4" t="n">
        <x:f>IF('계산 과정'!$L$7,IF(ABS(F1066)&gt;=1E-12*MAX(1,SQRT((D1066-'계산 과정'!$C$33)^2+(E1066-'계산 과정'!$D$33)^2+'계산 과정'!$E$33^2)),('계산 과정'!$L$23-'계산 과정'!$C$49*D1066-'계산 과정'!$D$49*E1066)/F1066,""),"")</x:f>
        <x:v>0.7704336516441593</x:v>
      </x:c>
      <x:c r="H1066" s="4" t="n">
        <x:f>IF(AND(ISNUMBER(G1066),G1066&gt;0),('계산 과정'!$D$56+'계산 과정'!$D$57*D1066+'계산 과정'!$D$58*E1066)/F1066,"")</x:f>
        <x:v>100.78187356870347</x:v>
      </x:c>
      <x:c r="I1066" s="4" t="n">
        <x:f>IF(AND(ISNUMBER(G1066),G1066&gt;0),('계산 과정'!$E$56+'계산 과정'!$E$57*D1066+'계산 과정'!$E$58*E1066)/F1066,"")</x:f>
        <x:v>-127.3001839532587</x:v>
      </x:c>
      <x:c r="J1066" s="4" t="n">
        <x:f>IF('계산 과정'!$L$5,'계산 과정'!$D$6+'계산 과정'!$C$35*D1066+'계산 과정'!$D$35*E1066,"")</x:f>
        <x:v>593.0750350485545</x:v>
      </x:c>
      <x:c r="K1066" s="4" t="n">
        <x:f>IF(AND('계산 과정'!$L$6,J1066&gt;0),'계산 과정'!$D$10*('계산 과정'!$C$38*(D1066-'계산 과정'!$C$32)+'계산 과정'!$D$38*(E1066-'계산 과정'!$D$32)-'계산 과정'!$E$38*'계산 과정'!$E$32)/J1066,"")</x:f>
        <x:v>0.7678618938567893</x:v>
      </x:c>
      <x:c r="L1066" s="4" t="n">
        <x:f>IF(AND('계산 과정'!$L$6,J1066&gt;0),'계산 과정'!$D$10*('계산 과정'!$C$39*(D1066-'계산 과정'!$C$32)+'계산 과정'!$D$39*(E1066-'계산 과정'!$D$32)-'계산 과정'!$E$39*'계산 과정'!$E$32)/J1066,"")</x:f>
        <x:v>-0.9699061634533995</x:v>
      </x:c>
      <x:c r="M1066" s="17" t="n">
        <x:f>IF('계산 과정'!$L$6,IF(J1066&lt;=0,0,IF(AND(ABS(K1066)&lt;='계산 과정'!$D$11/2,ABS(L1066)&lt;='계산 과정'!$D$12/2),1,0)),"")</x:f>
        <x:v>1</x:v>
      </x:c>
      <x:c r="N1066" s="17" t="n">
        <x:f>IF('계산 과정'!$C$78,IF(AND(ISNUMBER(H1066),ISNUMBER(I1066),ABS(H1066-'계산 과정'!$C$88)&lt;='계산 과정'!$D$23/2,ABS(I1066-'계산 과정'!$C$89)&lt;='계산 과정'!$D$24/2),1,0),"")</x:f>
        <x:v>1</x:v>
      </x:c>
      <x:c r="O1066" s="4" t="n">
        <x:f>IF('계산 과정'!$L$7,'계산 과정'!$C$49*('계산 과정'!$C$32-D1066)+'계산 과정'!$D$49*('계산 과정'!$D$32-E1066)+'계산 과정'!$E$49*'계산 과정'!$E$32,"")</x:f>
        <x:v>56.9249649514457</x:v>
      </x:c>
      <x:c r="P1066" s="4" t="n">
        <x:f>IF(AND('계산 과정'!$L$7,O1066&lt;&gt;0),('계산 과정'!$L$23-'계산 과정'!$C$49*D1066-'계산 과정'!$D$49*E1066)/O1066,"")</x:f>
        <x:v>8.026793961861566</x:v>
      </x:c>
      <x:c r="Q1066" s="4" t="str">
        <x:f>IF(AND(ISNUMBER(P1066),P1066&gt;1E-9,P1066&lt;1-1E-9),'계산 과정'!$C$47*(D1066-'계산 과정'!$C$50+P1066*('계산 과정'!$C$32-D1066))+'계산 과정'!$D$47*(E1066-'계산 과정'!$D$50+P1066*('계산 과정'!$D$32-E1066))+'계산 과정'!$E$47*(0-'계산 과정'!$E$50+P1066*('계산 과정'!$E$32-0)),"")</x:f>
      </x:c>
      <x:c r="R1066" s="4" t="str">
        <x:f>IF(AND(ISNUMBER(P1066),P1066&gt;1E-9,P1066&lt;1-1E-9),'계산 과정'!$C$48*(D1066-'계산 과정'!$C$50+P1066*('계산 과정'!$C$32-D1066))+'계산 과정'!$D$48*(E1066-'계산 과정'!$D$50+P1066*('계산 과정'!$D$32-E1066))+'계산 과정'!$E$48*(0-'계산 과정'!$E$50+P1066*('계산 과정'!$E$32-0)),"")</x:f>
      </x:c>
      <x:c r="S1066" s="17" t="n">
        <x:f>IF('계산 과정'!$C$78,IF(AND(ISNUMBER(Q1066),ISNUMBER(R1066),ABS(Q1066-'계산 과정'!$C$88)&lt;='계산 과정'!$D$23/2,ABS(R1066-'계산 과정'!$C$89)&lt;='계산 과정'!$D$24/2),1,0),"")</x:f>
        <x:v>0</x:v>
      </x:c>
      <x:c r="T1066" s="4"/>
      <x:c r="U1066" s="4"/>
      <x:c r="V1066" s="4"/>
      <x:c r="W1066" s="4"/>
      <x:c r="X1066" s="4"/>
      <x:c r="Y1066" s="4"/>
      <x:c r="Z1066" s="4"/>
    </x:row>
    <x:row r="1067" ht="23" customHeight="1">
      <x:c r="A1067" s="17" t="n">
        <x:f>ROW()-6</x:f>
        <x:v>1061</x:v>
      </x:c>
      <x:c r="B1067" s="4" t="n">
        <x:f>IF('계산 과정'!$L$5,'계산 과정'!$L$11*SQRT((A1067+0.5)/'계산 과정'!$L$30),"")</x:f>
        <x:v>107.99068156414006</x:v>
      </x:c>
      <x:c r="C1067" s="4" t="n">
        <x:f>A1067*PI()*(3-SQRT(5))</x:f>
        <x:v>2546.3609867421005</x:v>
      </x:c>
      <x:c r="D1067" s="4" t="n">
        <x:f>IF('계산 과정'!$L$5,B1067*COS(C1067),"")</x:f>
        <x:v>-10.796230029168875</x:v>
      </x:c>
      <x:c r="E1067" s="4" t="n">
        <x:f>IF('계산 과정'!$L$5,B1067*SIN(C1067),"")</x:f>
        <x:v>107.4496566855603</x:v>
      </x:c>
      <x:c r="F1067" s="4" t="n">
        <x:f>IF('계산 과정'!$L$7,'계산 과정'!$L$22+'계산 과정'!$C$49*D1067+'계산 과정'!$D$49*E1067,"")</x:f>
        <x:v>657.6340874648752</x:v>
      </x:c>
      <x:c r="G1067" s="4" t="n">
        <x:f>IF('계산 과정'!$L$7,IF(ABS(F1067)&gt;=1E-12*MAX(1,SQRT((D1067-'계산 과정'!$C$33)^2+(E1067-'계산 과정'!$D$33)^2+'계산 과정'!$E$33^2)),('계산 과정'!$L$23-'계산 과정'!$C$49*D1067-'계산 과정'!$D$49*E1067)/F1067,""),"")</x:f>
        <x:v>0.5966325651513334</x:v>
      </x:c>
      <x:c r="H1067" s="4" t="n">
        <x:f>IF(AND(ISNUMBER(G1067),G1067&gt;0),('계산 과정'!$D$56+'계산 과정'!$D$57*D1067+'계산 과정'!$D$58*E1067)/F1067,"")</x:f>
        <x:v>-12.188832651633364</x:v>
      </x:c>
      <x:c r="I1067" s="4" t="n">
        <x:f>IF(AND(ISNUMBER(G1067),G1067&gt;0),('계산 과정'!$E$56+'계산 과정'!$E$57*D1067+'계산 과정'!$E$58*E1067)/F1067,"")</x:f>
        <x:v>171.55762097849626</x:v>
      </x:c>
      <x:c r="J1067" s="4" t="n">
        <x:f>IF('계산 과정'!$L$5,'계산 과정'!$D$6+'계산 과정'!$C$35*D1067+'계산 과정'!$D$35*E1067,"")</x:f>
        <x:v>657.6340874648752</x:v>
      </x:c>
      <x:c r="K1067" s="4" t="n">
        <x:f>IF(AND('계산 과정'!$L$6,J1067&gt;0),'계산 과정'!$D$10*('계산 과정'!$C$38*(D1067-'계산 과정'!$C$32)+'계산 과정'!$D$38*(E1067-'계산 과정'!$D$32)-'계산 과정'!$E$38*'계산 과정'!$E$32)/J1067,"")</x:f>
        <x:v>-0.09286729639339637</x:v>
      </x:c>
      <x:c r="L1067" s="4" t="n">
        <x:f>IF(AND('계산 과정'!$L$6,J1067&gt;0),'계산 과정'!$D$10*('계산 과정'!$C$39*(D1067-'계산 과정'!$C$32)+'계산 과정'!$D$39*(E1067-'계산 과정'!$D$32)-'계산 과정'!$E$39*'계산 과정'!$E$32)/J1067,"")</x:f>
        <x:v>1.3071056836456858</x:v>
      </x:c>
      <x:c r="M1067" s="17" t="n">
        <x:f>IF('계산 과정'!$L$6,IF(J1067&lt;=0,0,IF(AND(ABS(K1067)&lt;='계산 과정'!$D$11/2,ABS(L1067)&lt;='계산 과정'!$D$12/2),1,0)),"")</x:f>
        <x:v>1</x:v>
      </x:c>
      <x:c r="N1067" s="17" t="n">
        <x:f>IF('계산 과정'!$C$78,IF(AND(ISNUMBER(H1067),ISNUMBER(I1067),ABS(H1067-'계산 과정'!$C$88)&lt;='계산 과정'!$D$23/2,ABS(I1067-'계산 과정'!$C$89)&lt;='계산 과정'!$D$24/2),1,0),"")</x:f>
        <x:v>1</x:v>
      </x:c>
      <x:c r="O1067" s="4" t="n">
        <x:f>IF('계산 과정'!$L$7,'계산 과정'!$C$49*('계산 과정'!$C$32-D1067)+'계산 과정'!$D$49*('계산 과정'!$D$32-E1067)+'계산 과정'!$E$49*'계산 과정'!$E$32,"")</x:f>
        <x:v>-7.634087464875051</x:v>
      </x:c>
      <x:c r="P1067" s="4" t="n">
        <x:f>IF(AND('계산 과정'!$L$7,O1067&lt;&gt;0),('계산 과정'!$L$23-'계산 과정'!$C$49*D1067-'계산 과정'!$D$49*E1067)/O1067,"")</x:f>
        <x:v>-51.39657023061718</x:v>
      </x:c>
      <x:c r="Q1067" s="4" t="str">
        <x:f>IF(AND(ISNUMBER(P1067),P1067&gt;1E-9,P1067&lt;1-1E-9),'계산 과정'!$C$47*(D1067-'계산 과정'!$C$50+P1067*('계산 과정'!$C$32-D1067))+'계산 과정'!$D$47*(E1067-'계산 과정'!$D$50+P1067*('계산 과정'!$D$32-E1067))+'계산 과정'!$E$47*(0-'계산 과정'!$E$50+P1067*('계산 과정'!$E$32-0)),"")</x:f>
      </x:c>
      <x:c r="R1067" s="4" t="str">
        <x:f>IF(AND(ISNUMBER(P1067),P1067&gt;1E-9,P1067&lt;1-1E-9),'계산 과정'!$C$48*(D1067-'계산 과정'!$C$50+P1067*('계산 과정'!$C$32-D1067))+'계산 과정'!$D$48*(E1067-'계산 과정'!$D$50+P1067*('계산 과정'!$D$32-E1067))+'계산 과정'!$E$48*(0-'계산 과정'!$E$50+P1067*('계산 과정'!$E$32-0)),"")</x:f>
      </x:c>
      <x:c r="S1067" s="17" t="n">
        <x:f>IF('계산 과정'!$C$78,IF(AND(ISNUMBER(Q1067),ISNUMBER(R1067),ABS(Q1067-'계산 과정'!$C$88)&lt;='계산 과정'!$D$23/2,ABS(R1067-'계산 과정'!$C$89)&lt;='계산 과정'!$D$24/2),1,0),"")</x:f>
        <x:v>0</x:v>
      </x:c>
      <x:c r="T1067" s="4"/>
      <x:c r="U1067" s="4"/>
      <x:c r="V1067" s="4"/>
      <x:c r="W1067" s="4"/>
      <x:c r="X1067" s="4"/>
      <x:c r="Y1067" s="4"/>
      <x:c r="Z1067" s="4"/>
    </x:row>
    <x:row r="1068" ht="23" customHeight="1">
      <x:c r="A1068" s="17" t="n">
        <x:f>ROW()-6</x:f>
        <x:v>1062</x:v>
      </x:c>
      <x:c r="B1068" s="4" t="n">
        <x:f>IF('계산 과정'!$L$5,'계산 과정'!$L$11*SQRT((A1068+0.5)/'계산 과정'!$L$30),"")</x:f>
        <x:v>108.04153660890103</x:v>
      </x:c>
      <x:c r="C1068" s="4" t="n">
        <x:f>A1068*PI()*(3-SQRT(5))</x:f>
        <x:v>2548.760949971829</x:v>
      </x:c>
      <x:c r="D1068" s="4" t="n">
        <x:f>IF('계산 과정'!$L$5,B1068*COS(C1068),"")</x:f>
        <x:v>-64.65082726939977</x:v>
      </x:c>
      <x:c r="E1068" s="4" t="n">
        <x:f>IF('계산 과정'!$L$5,B1068*SIN(C1068),"")</x:f>
        <x:v>-86.56352676615444</x:v>
      </x:c>
      <x:c r="F1068" s="4" t="n">
        <x:f>IF('계산 과정'!$L$7,'계산 과정'!$L$22+'계산 과정'!$C$49*D1068+'계산 과정'!$D$49*E1068,"")</x:f>
        <x:v>695.7150383715127</x:v>
      </x:c>
      <x:c r="G1068" s="4" t="n">
        <x:f>IF('계산 과정'!$L$7,IF(ABS(F1068)&gt;=1E-12*MAX(1,SQRT((D1068-'계산 과정'!$C$33)^2+(E1068-'계산 과정'!$D$33)^2+'계산 과정'!$E$33^2)),('계산 과정'!$L$23-'계산 과정'!$C$49*D1068-'계산 과정'!$D$49*E1068)/F1068,""),"")</x:f>
        <x:v>0.5092386136395383</x:v>
      </x:c>
      <x:c r="H1068" s="4" t="n">
        <x:f>IF(AND(ISNUMBER(G1068),G1068&gt;0),('계산 과정'!$D$56+'계산 과정'!$D$57*D1068+'계산 과정'!$D$58*E1068)/F1068,"")</x:f>
        <x:v>-68.9949011343003</x:v>
      </x:c>
      <x:c r="I1068" s="4" t="n">
        <x:f>IF(AND(ISNUMBER(G1068),G1068&gt;0),('계산 과정'!$E$56+'계산 과정'!$E$57*D1068+'계산 과정'!$E$58*E1068)/F1068,"")</x:f>
        <x:v>-130.64501712829997</x:v>
      </x:c>
      <x:c r="J1068" s="4" t="n">
        <x:f>IF('계산 과정'!$L$5,'계산 과정'!$D$6+'계산 과정'!$C$35*D1068+'계산 과정'!$D$35*E1068,"")</x:f>
        <x:v>695.7150383715127</x:v>
      </x:c>
      <x:c r="K1068" s="4" t="n">
        <x:f>IF(AND('계산 과정'!$L$6,J1068&gt;0),'계산 과정'!$D$10*('계산 과정'!$C$38*(D1068-'계산 과정'!$C$32)+'계산 과정'!$D$38*(E1068-'계산 과정'!$D$32)-'계산 과정'!$E$38*'계산 과정'!$E$32)/J1068,"")</x:f>
        <x:v>-0.5256754372137155</x:v>
      </x:c>
      <x:c r="L1068" s="4" t="n">
        <x:f>IF(AND('계산 과정'!$L$6,J1068&gt;0),'계산 과정'!$D$10*('계산 과정'!$C$39*(D1068-'계산 과정'!$C$32)+'계산 과정'!$D$39*(E1068-'계산 과정'!$D$32)-'계산 과정'!$E$39*'계산 과정'!$E$32)/J1068,"")</x:f>
        <x:v>-0.9953906066918095</x:v>
      </x:c>
      <x:c r="M1068" s="17" t="n">
        <x:f>IF('계산 과정'!$L$6,IF(J1068&lt;=0,0,IF(AND(ABS(K1068)&lt;='계산 과정'!$D$11/2,ABS(L1068)&lt;='계산 과정'!$D$12/2),1,0)),"")</x:f>
        <x:v>1</x:v>
      </x:c>
      <x:c r="N1068" s="17" t="n">
        <x:f>IF('계산 과정'!$C$78,IF(AND(ISNUMBER(H1068),ISNUMBER(I1068),ABS(H1068-'계산 과정'!$C$88)&lt;='계산 과정'!$D$23/2,ABS(I1068-'계산 과정'!$C$89)&lt;='계산 과정'!$D$24/2),1,0),"")</x:f>
        <x:v>1</x:v>
      </x:c>
      <x:c r="O1068" s="4" t="n">
        <x:f>IF('계산 과정'!$L$7,'계산 과정'!$C$49*('계산 과정'!$C$32-D1068)+'계산 과정'!$D$49*('계산 과정'!$D$32-E1068)+'계산 과정'!$E$49*'계산 과정'!$E$32,"")</x:f>
        <x:v>-45.715038371512605</x:v>
      </x:c>
      <x:c r="P1068" s="4" t="n">
        <x:f>IF(AND('계산 과정'!$L$7,O1068&lt;&gt;0),('계산 과정'!$L$23-'계산 과정'!$C$49*D1068-'계산 과정'!$D$49*E1068)/O1068,"")</x:f>
        <x:v>-7.7498559390745365</x:v>
      </x:c>
      <x:c r="Q1068" s="4" t="str">
        <x:f>IF(AND(ISNUMBER(P1068),P1068&gt;1E-9,P1068&lt;1-1E-9),'계산 과정'!$C$47*(D1068-'계산 과정'!$C$50+P1068*('계산 과정'!$C$32-D1068))+'계산 과정'!$D$47*(E1068-'계산 과정'!$D$50+P1068*('계산 과정'!$D$32-E1068))+'계산 과정'!$E$47*(0-'계산 과정'!$E$50+P1068*('계산 과정'!$E$32-0)),"")</x:f>
      </x:c>
      <x:c r="R1068" s="4" t="str">
        <x:f>IF(AND(ISNUMBER(P1068),P1068&gt;1E-9,P1068&lt;1-1E-9),'계산 과정'!$C$48*(D1068-'계산 과정'!$C$50+P1068*('계산 과정'!$C$32-D1068))+'계산 과정'!$D$48*(E1068-'계산 과정'!$D$50+P1068*('계산 과정'!$D$32-E1068))+'계산 과정'!$E$48*(0-'계산 과정'!$E$50+P1068*('계산 과정'!$E$32-0)),"")</x:f>
      </x:c>
      <x:c r="S1068" s="17" t="n">
        <x:f>IF('계산 과정'!$C$78,IF(AND(ISNUMBER(Q1068),ISNUMBER(R1068),ABS(Q1068-'계산 과정'!$C$88)&lt;='계산 과정'!$D$23/2,ABS(R1068-'계산 과정'!$C$89)&lt;='계산 과정'!$D$24/2),1,0),"")</x:f>
        <x:v>0</x:v>
      </x:c>
      <x:c r="T1068" s="4"/>
      <x:c r="U1068" s="4"/>
      <x:c r="V1068" s="4"/>
      <x:c r="W1068" s="4"/>
      <x:c r="X1068" s="4"/>
      <x:c r="Y1068" s="4"/>
      <x:c r="Z1068" s="4"/>
    </x:row>
    <x:row r="1069" ht="23" customHeight="1">
      <x:c r="A1069" s="17" t="n">
        <x:f>ROW()-6</x:f>
        <x:v>1063</x:v>
      </x:c>
      <x:c r="B1069" s="4" t="n">
        <x:f>IF('계산 과정'!$L$5,'계산 과정'!$L$11*SQRT((A1069+0.5)/'계산 과정'!$L$30),"")</x:f>
        <x:v>108.09236772750194</x:v>
      </x:c>
      <x:c r="C1069" s="4" t="n">
        <x:f>A1069*PI()*(3-SQRT(5))</x:f>
        <x:v>2551.1609132015583</x:v>
      </x:c>
      <x:c r="D1069" s="4" t="n">
        <x:f>IF('계산 과정'!$L$5,B1069*COS(C1069),"")</x:f>
        <x:v>106.1942686635766</x:v>
      </x:c>
      <x:c r="E1069" s="4" t="n">
        <x:f>IF('계산 과정'!$L$5,B1069*SIN(C1069),"")</x:f>
        <x:v>20.167728279248884</x:v>
      </x:c>
      <x:c r="F1069" s="4" t="n">
        <x:f>IF('계산 과정'!$L$7,'계산 과정'!$L$22+'계산 과정'!$C$49*D1069+'계산 과정'!$D$49*E1069,"")</x:f>
        <x:v>574.9093125048389</x:v>
      </x:c>
      <x:c r="G1069" s="4" t="n">
        <x:f>IF('계산 과정'!$L$7,IF(ABS(F1069)&gt;=1E-12*MAX(1,SQRT((D1069-'계산 과정'!$C$33)^2+(E1069-'계산 과정'!$D$33)^2+'계산 과정'!$E$33^2)),('계산 과정'!$L$23-'계산 과정'!$C$49*D1069-'계산 과정'!$D$49*E1069)/F1069,""),"")</x:f>
        <x:v>0.8263750076081127</x:v>
      </x:c>
      <x:c r="H1069" s="4" t="n">
        <x:f>IF(AND(ISNUMBER(G1069),G1069&gt;0),('계산 과정'!$D$56+'계산 과정'!$D$57*D1069+'계산 과정'!$D$58*E1069)/F1069,"")</x:f>
        <x:v>137.14375494527317</x:v>
      </x:c>
      <x:c r="I1069" s="4" t="n">
        <x:f>IF(AND(ISNUMBER(G1069),G1069&gt;0),('계산 과정'!$E$56+'계산 과정'!$E$57*D1069+'계산 과정'!$E$58*E1069)/F1069,"")</x:f>
        <x:v>36.83383488945153</x:v>
      </x:c>
      <x:c r="J1069" s="4" t="n">
        <x:f>IF('계산 과정'!$L$5,'계산 과정'!$D$6+'계산 과정'!$C$35*D1069+'계산 과정'!$D$35*E1069,"")</x:f>
        <x:v>574.9093125048389</x:v>
      </x:c>
      <x:c r="K1069" s="4" t="n">
        <x:f>IF(AND('계산 과정'!$L$6,J1069&gt;0),'계산 과정'!$D$10*('계산 과정'!$C$38*(D1069-'계산 과정'!$C$32)+'계산 과정'!$D$38*(E1069-'계산 과정'!$D$32)-'계산 과정'!$E$38*'계산 과정'!$E$32)/J1069,"")</x:f>
        <x:v>1.0449047995830347</x:v>
      </x:c>
      <x:c r="L1069" s="4" t="n">
        <x:f>IF(AND('계산 과정'!$L$6,J1069&gt;0),'계산 과정'!$D$10*('계산 과정'!$C$39*(D1069-'계산 과정'!$C$32)+'계산 과정'!$D$39*(E1069-'계산 과정'!$D$32)-'계산 과정'!$E$39*'계산 과정'!$E$32)/J1069,"")</x:f>
        <x:v>0.2806387420148688</x:v>
      </x:c>
      <x:c r="M1069" s="17" t="n">
        <x:f>IF('계산 과정'!$L$6,IF(J1069&lt;=0,0,IF(AND(ABS(K1069)&lt;='계산 과정'!$D$11/2,ABS(L1069)&lt;='계산 과정'!$D$12/2),1,0)),"")</x:f>
        <x:v>1</x:v>
      </x:c>
      <x:c r="N1069" s="17" t="n">
        <x:f>IF('계산 과정'!$C$78,IF(AND(ISNUMBER(H1069),ISNUMBER(I1069),ABS(H1069-'계산 과정'!$C$88)&lt;='계산 과정'!$D$23/2,ABS(I1069-'계산 과정'!$C$89)&lt;='계산 과정'!$D$24/2),1,0),"")</x:f>
        <x:v>1</x:v>
      </x:c>
      <x:c r="O1069" s="4" t="n">
        <x:f>IF('계산 과정'!$L$7,'계산 과정'!$C$49*('계산 과정'!$C$32-D1069)+'계산 과정'!$D$49*('계산 과정'!$D$32-E1069)+'계산 과정'!$E$49*'계산 과정'!$E$32,"")</x:f>
        <x:v>75.09068749516123</x:v>
      </x:c>
      <x:c r="P1069" s="4" t="n">
        <x:f>IF(AND('계산 과정'!$L$7,O1069&lt;&gt;0),('계산 과정'!$L$23-'계산 과정'!$C$49*D1069-'계산 과정'!$D$49*E1069)/O1069,"")</x:f>
        <x:v>6.326892233151753</x:v>
      </x:c>
      <x:c r="Q1069" s="4" t="str">
        <x:f>IF(AND(ISNUMBER(P1069),P1069&gt;1E-9,P1069&lt;1-1E-9),'계산 과정'!$C$47*(D1069-'계산 과정'!$C$50+P1069*('계산 과정'!$C$32-D1069))+'계산 과정'!$D$47*(E1069-'계산 과정'!$D$50+P1069*('계산 과정'!$D$32-E1069))+'계산 과정'!$E$47*(0-'계산 과정'!$E$50+P1069*('계산 과정'!$E$32-0)),"")</x:f>
      </x:c>
      <x:c r="R1069" s="4" t="str">
        <x:f>IF(AND(ISNUMBER(P1069),P1069&gt;1E-9,P1069&lt;1-1E-9),'계산 과정'!$C$48*(D1069-'계산 과정'!$C$50+P1069*('계산 과정'!$C$32-D1069))+'계산 과정'!$D$48*(E1069-'계산 과정'!$D$50+P1069*('계산 과정'!$D$32-E1069))+'계산 과정'!$E$48*(0-'계산 과정'!$E$50+P1069*('계산 과정'!$E$32-0)),"")</x:f>
      </x:c>
      <x:c r="S1069" s="17" t="n">
        <x:f>IF('계산 과정'!$C$78,IF(AND(ISNUMBER(Q1069),ISNUMBER(R1069),ABS(Q1069-'계산 과정'!$C$88)&lt;='계산 과정'!$D$23/2,ABS(R1069-'계산 과정'!$C$89)&lt;='계산 과정'!$D$24/2),1,0),"")</x:f>
        <x:v>0</x:v>
      </x:c>
      <x:c r="T1069" s="4"/>
      <x:c r="U1069" s="4"/>
      <x:c r="V1069" s="4"/>
      <x:c r="W1069" s="4"/>
      <x:c r="X1069" s="4"/>
      <x:c r="Y1069" s="4"/>
      <x:c r="Z1069" s="4"/>
    </x:row>
    <x:row r="1070" ht="23" customHeight="1">
      <x:c r="A1070" s="17" t="n">
        <x:f>ROW()-6</x:f>
        <x:v>1064</x:v>
      </x:c>
      <x:c r="B1070" s="4" t="n">
        <x:f>IF('계산 과정'!$L$5,'계산 과정'!$L$11*SQRT((A1070+0.5)/'계산 과정'!$L$30),"")</x:f>
        <x:v>108.1431749536812</x:v>
      </x:c>
      <x:c r="C1070" s="4" t="n">
        <x:f>A1070*PI()*(3-SQRT(5))</x:f>
        <x:v>2553.5608764312865</x:v>
      </x:c>
      <x:c r="D1070" s="4" t="n">
        <x:f>IF('계산 과정'!$L$5,B1070*COS(C1070),"")</x:f>
        <x:v>-91.97066259891427</x:v>
      </x:c>
      <x:c r="E1070" s="4" t="n">
        <x:f>IF('계산 과정'!$L$5,B1070*SIN(C1070),"")</x:f>
        <x:v>56.88886982687537</x:v>
      </x:c>
      <x:c r="F1070" s="4" t="n">
        <x:f>IF('계산 과정'!$L$7,'계산 과정'!$L$22+'계산 과정'!$C$49*D1070+'계산 과정'!$D$49*E1070,"")</x:f>
        <x:v>715.0330791939123</x:v>
      </x:c>
      <x:c r="G1070" s="4" t="n">
        <x:f>IF('계산 과정'!$L$7,IF(ABS(F1070)&gt;=1E-12*MAX(1,SQRT((D1070-'계산 과정'!$C$33)^2+(E1070-'계산 과정'!$D$33)^2+'계산 과정'!$E$33^2)),('계산 과정'!$L$23-'계산 과정'!$C$49*D1070-'계산 과정'!$D$49*E1070)/F1070,""),"")</x:f>
        <x:v>0.4684635306435199</x:v>
      </x:c>
      <x:c r="H1070" s="4" t="n">
        <x:f>IF(AND(ISNUMBER(G1070),G1070&gt;0),('계산 과정'!$D$56+'계산 과정'!$D$57*D1070+'계산 과정'!$D$58*E1070)/F1070,"")</x:f>
        <x:v>-95.49870508171217</x:v>
      </x:c>
      <x:c r="I1070" s="4" t="n">
        <x:f>IF(AND(ISNUMBER(G1070),G1070&gt;0),('계산 과정'!$E$56+'계산 과정'!$E$57*D1070+'계산 과정'!$E$58*E1070)/F1070,"")</x:f>
        <x:v>83.53923064029301</x:v>
      </x:c>
      <x:c r="J1070" s="4" t="n">
        <x:f>IF('계산 과정'!$L$5,'계산 과정'!$D$6+'계산 과정'!$C$35*D1070+'계산 과정'!$D$35*E1070,"")</x:f>
        <x:v>715.0330791939123</x:v>
      </x:c>
      <x:c r="K1070" s="4" t="n">
        <x:f>IF(AND('계산 과정'!$L$6,J1070&gt;0),'계산 과정'!$D$10*('계산 과정'!$C$38*(D1070-'계산 과정'!$C$32)+'계산 과정'!$D$38*(E1070-'계산 과정'!$D$32)-'계산 과정'!$E$38*'계산 과정'!$E$32)/J1070,"")</x:f>
        <x:v>-0.7276091815749489</x:v>
      </x:c>
      <x:c r="L1070" s="4" t="n">
        <x:f>IF(AND('계산 과정'!$L$6,J1070&gt;0),'계산 과정'!$D$10*('계산 과정'!$C$39*(D1070-'계산 과정'!$C$32)+'계산 과정'!$D$39*(E1070-'계산 과정'!$D$32)-'계산 과정'!$E$39*'계산 과정'!$E$32)/J1070,"")</x:f>
        <x:v>0.6364893763069944</x:v>
      </x:c>
      <x:c r="M1070" s="17" t="n">
        <x:f>IF('계산 과정'!$L$6,IF(J1070&lt;=0,0,IF(AND(ABS(K1070)&lt;='계산 과정'!$D$11/2,ABS(L1070)&lt;='계산 과정'!$D$12/2),1,0)),"")</x:f>
        <x:v>1</x:v>
      </x:c>
      <x:c r="N1070" s="17" t="n">
        <x:f>IF('계산 과정'!$C$78,IF(AND(ISNUMBER(H1070),ISNUMBER(I1070),ABS(H1070-'계산 과정'!$C$88)&lt;='계산 과정'!$D$23/2,ABS(I1070-'계산 과정'!$C$89)&lt;='계산 과정'!$D$24/2),1,0),"")</x:f>
        <x:v>1</x:v>
      </x:c>
      <x:c r="O1070" s="4" t="n">
        <x:f>IF('계산 과정'!$L$7,'계산 과정'!$C$49*('계산 과정'!$C$32-D1070)+'계산 과정'!$D$49*('계산 과정'!$D$32-E1070)+'계산 과정'!$E$49*'계산 과정'!$E$32,"")</x:f>
        <x:v>-65.03307919391216</x:v>
      </x:c>
      <x:c r="P1070" s="4" t="n">
        <x:f>IF(AND('계산 과정'!$L$7,O1070&lt;&gt;0),('계산 과정'!$L$23-'계산 과정'!$C$49*D1070-'계산 과정'!$D$49*E1070)/O1070,"")</x:f>
        <x:v>-5.1507159888170335</x:v>
      </x:c>
      <x:c r="Q1070" s="4" t="str">
        <x:f>IF(AND(ISNUMBER(P1070),P1070&gt;1E-9,P1070&lt;1-1E-9),'계산 과정'!$C$47*(D1070-'계산 과정'!$C$50+P1070*('계산 과정'!$C$32-D1070))+'계산 과정'!$D$47*(E1070-'계산 과정'!$D$50+P1070*('계산 과정'!$D$32-E1070))+'계산 과정'!$E$47*(0-'계산 과정'!$E$50+P1070*('계산 과정'!$E$32-0)),"")</x:f>
      </x:c>
      <x:c r="R1070" s="4" t="str">
        <x:f>IF(AND(ISNUMBER(P1070),P1070&gt;1E-9,P1070&lt;1-1E-9),'계산 과정'!$C$48*(D1070-'계산 과정'!$C$50+P1070*('계산 과정'!$C$32-D1070))+'계산 과정'!$D$48*(E1070-'계산 과정'!$D$50+P1070*('계산 과정'!$D$32-E1070))+'계산 과정'!$E$48*(0-'계산 과정'!$E$50+P1070*('계산 과정'!$E$32-0)),"")</x:f>
      </x:c>
      <x:c r="S1070" s="17" t="n">
        <x:f>IF('계산 과정'!$C$78,IF(AND(ISNUMBER(Q1070),ISNUMBER(R1070),ABS(Q1070-'계산 과정'!$C$88)&lt;='계산 과정'!$D$23/2,ABS(R1070-'계산 과정'!$C$89)&lt;='계산 과정'!$D$24/2),1,0),"")</x:f>
        <x:v>0</x:v>
      </x:c>
      <x:c r="T1070" s="4"/>
      <x:c r="U1070" s="4"/>
      <x:c r="V1070" s="4"/>
      <x:c r="W1070" s="4"/>
      <x:c r="X1070" s="4"/>
      <x:c r="Y1070" s="4"/>
      <x:c r="Z1070" s="4"/>
    </x:row>
    <x:row r="1071" ht="23" customHeight="1">
      <x:c r="A1071" s="17" t="n">
        <x:f>ROW()-6</x:f>
        <x:v>1065</x:v>
      </x:c>
      <x:c r="B1071" s="4" t="n">
        <x:f>IF('계산 과정'!$L$5,'계산 과정'!$L$11*SQRT((A1071+0.5)/'계산 과정'!$L$30),"")</x:f>
        <x:v>108.19395832109804</x:v>
      </x:c>
      <x:c r="C1071" s="4" t="n">
        <x:f>A1071*PI()*(3-SQRT(5))</x:f>
        <x:v>2555.960839661015</x:v>
      </x:c>
      <x:c r="D1071" s="4" t="n">
        <x:f>IF('계산 과정'!$L$5,B1071*COS(C1071),"")</x:f>
        <x:v>29.402225500034486</x:v>
      </x:c>
      <x:c r="E1071" s="4" t="n">
        <x:f>IF('계산 과정'!$L$5,B1071*SIN(C1071),"")</x:f>
        <x:v>-104.12224427485522</x:v>
      </x:c>
      <x:c r="F1071" s="4" t="n">
        <x:f>IF('계산 과정'!$L$7,'계산 과정'!$L$22+'계산 과정'!$C$49*D1071+'계산 과정'!$D$49*E1071,"")</x:f>
        <x:v>629.2094869669496</x:v>
      </x:c>
      <x:c r="G1071" s="4" t="n">
        <x:f>IF('계산 과정'!$L$7,IF(ABS(F1071)&gt;=1E-12*MAX(1,SQRT((D1071-'계산 과정'!$C$33)^2+(E1071-'계산 과정'!$D$33)^2+'계산 과정'!$E$33^2)),('계산 과정'!$L$23-'계산 과정'!$C$49*D1071-'계산 과정'!$D$49*E1071)/F1071,""),"")</x:f>
        <x:v>0.668760598416014</x:v>
      </x:c>
      <x:c r="H1071" s="4" t="n">
        <x:f>IF(AND(ISNUMBER(G1071),G1071&gt;0),('계산 과정'!$D$56+'계산 과정'!$D$57*D1071+'계산 과정'!$D$58*E1071)/F1071,"")</x:f>
        <x:v>34.694388970409044</x:v>
      </x:c>
      <x:c r="I1071" s="4" t="n">
        <x:f>IF(AND(ISNUMBER(G1071),G1071&gt;0),('계산 과정'!$E$56+'계산 과정'!$E$57*D1071+'계산 과정'!$E$58*E1071)/F1071,"")</x:f>
        <x:v>-173.7550986645258</x:v>
      </x:c>
      <x:c r="J1071" s="4" t="n">
        <x:f>IF('계산 과정'!$L$5,'계산 과정'!$D$6+'계산 과정'!$C$35*D1071+'계산 과정'!$D$35*E1071,"")</x:f>
        <x:v>629.2094869669496</x:v>
      </x:c>
      <x:c r="K1071" s="4" t="n">
        <x:f>IF(AND('계산 과정'!$L$6,J1071&gt;0),'계산 과정'!$D$10*('계산 과정'!$C$38*(D1071-'계산 과정'!$C$32)+'계산 과정'!$D$38*(E1071-'계산 과정'!$D$32)-'계산 과정'!$E$38*'계산 과정'!$E$32)/J1071,"")</x:f>
        <x:v>0.26433820167930816</x:v>
      </x:c>
      <x:c r="L1071" s="4" t="n">
        <x:f>IF(AND('계산 과정'!$L$6,J1071&gt;0),'계산 과정'!$D$10*('계산 과정'!$C$39*(D1071-'계산 과정'!$C$32)+'계산 과정'!$D$39*(E1071-'계산 과정'!$D$32)-'계산 과정'!$E$39*'계산 과정'!$E$32)/J1071,"")</x:f>
        <x:v>-1.3238483707773394</x:v>
      </x:c>
      <x:c r="M1071" s="17" t="n">
        <x:f>IF('계산 과정'!$L$6,IF(J1071&lt;=0,0,IF(AND(ABS(K1071)&lt;='계산 과정'!$D$11/2,ABS(L1071)&lt;='계산 과정'!$D$12/2),1,0)),"")</x:f>
        <x:v>1</x:v>
      </x:c>
      <x:c r="N1071" s="17" t="n">
        <x:f>IF('계산 과정'!$C$78,IF(AND(ISNUMBER(H1071),ISNUMBER(I1071),ABS(H1071-'계산 과정'!$C$88)&lt;='계산 과정'!$D$23/2,ABS(I1071-'계산 과정'!$C$89)&lt;='계산 과정'!$D$24/2),1,0),"")</x:f>
        <x:v>1</x:v>
      </x:c>
      <x:c r="O1071" s="4" t="n">
        <x:f>IF('계산 과정'!$L$7,'계산 과정'!$C$49*('계산 과정'!$C$32-D1071)+'계산 과정'!$D$49*('계산 과정'!$D$32-E1071)+'계산 과정'!$E$49*'계산 과정'!$E$32,"")</x:f>
        <x:v>20.7905130330505</x:v>
      </x:c>
      <x:c r="P1071" s="4" t="n">
        <x:f>IF(AND('계산 과정'!$L$7,O1071&lt;&gt;0),('계산 과정'!$L$23-'계산 과정'!$C$49*D1071-'계산 과정'!$D$49*E1071)/O1071,"")</x:f>
        <x:v>20.2395444674272</x:v>
      </x:c>
      <x:c r="Q1071" s="4" t="str">
        <x:f>IF(AND(ISNUMBER(P1071),P1071&gt;1E-9,P1071&lt;1-1E-9),'계산 과정'!$C$47*(D1071-'계산 과정'!$C$50+P1071*('계산 과정'!$C$32-D1071))+'계산 과정'!$D$47*(E1071-'계산 과정'!$D$50+P1071*('계산 과정'!$D$32-E1071))+'계산 과정'!$E$47*(0-'계산 과정'!$E$50+P1071*('계산 과정'!$E$32-0)),"")</x:f>
      </x:c>
      <x:c r="R1071" s="4" t="str">
        <x:f>IF(AND(ISNUMBER(P1071),P1071&gt;1E-9,P1071&lt;1-1E-9),'계산 과정'!$C$48*(D1071-'계산 과정'!$C$50+P1071*('계산 과정'!$C$32-D1071))+'계산 과정'!$D$48*(E1071-'계산 과정'!$D$50+P1071*('계산 과정'!$D$32-E1071))+'계산 과정'!$E$48*(0-'계산 과정'!$E$50+P1071*('계산 과정'!$E$32-0)),"")</x:f>
      </x:c>
      <x:c r="S1071" s="17" t="n">
        <x:f>IF('계산 과정'!$C$78,IF(AND(ISNUMBER(Q1071),ISNUMBER(R1071),ABS(Q1071-'계산 과정'!$C$88)&lt;='계산 과정'!$D$23/2,ABS(R1071-'계산 과정'!$C$89)&lt;='계산 과정'!$D$24/2),1,0),"")</x:f>
        <x:v>0</x:v>
      </x:c>
      <x:c r="T1071" s="4"/>
      <x:c r="U1071" s="4"/>
      <x:c r="V1071" s="4"/>
      <x:c r="W1071" s="4"/>
      <x:c r="X1071" s="4"/>
      <x:c r="Y1071" s="4"/>
      <x:c r="Z1071" s="4"/>
    </x:row>
    <x:row r="1072" ht="23" customHeight="1">
      <x:c r="A1072" s="17" t="n">
        <x:f>ROW()-6</x:f>
        <x:v>1066</x:v>
      </x:c>
      <x:c r="B1072" s="4" t="n">
        <x:f>IF('계산 과정'!$L$5,'계산 과정'!$L$11*SQRT((A1072+0.5)/'계산 과정'!$L$30),"")</x:f>
        <x:v>108.24471786333271</x:v>
      </x:c>
      <x:c r="C1072" s="4" t="n">
        <x:f>A1072*PI()*(3-SQRT(5))</x:f>
        <x:v>2558.360802890744</x:v>
      </x:c>
      <x:c r="D1072" s="4" t="n">
        <x:f>IF('계산 과정'!$L$5,B1072*COS(C1072),"")</x:f>
        <x:v>48.6761052363545</x:v>
      </x:c>
      <x:c r="E1072" s="4" t="n">
        <x:f>IF('계산 과정'!$L$5,B1072*SIN(C1072),"")</x:f>
        <x:v>96.68275815434643</x:v>
      </x:c>
      <x:c r="F1072" s="4" t="n">
        <x:f>IF('계산 과정'!$L$7,'계산 과정'!$L$22+'계산 과정'!$C$49*D1072+'계산 과정'!$D$49*E1072,"")</x:f>
        <x:v>615.5807959056237</x:v>
      </x:c>
      <x:c r="G1072" s="4" t="n">
        <x:f>IF('계산 과정'!$L$7,IF(ABS(F1072)&gt;=1E-12*MAX(1,SQRT((D1072-'계산 과정'!$C$33)^2+(E1072-'계산 과정'!$D$33)^2+'계산 과정'!$E$33^2)),('계산 과정'!$L$23-'계산 과정'!$C$49*D1072-'계산 과정'!$D$49*E1072)/F1072,""),"")</x:f>
        <x:v>0.7057062322018541</x:v>
      </x:c>
      <x:c r="H1072" s="4" t="n">
        <x:f>IF(AND(ISNUMBER(G1072),G1072&gt;0),('계산 과정'!$D$56+'계산 과정'!$D$57*D1072+'계산 과정'!$D$58*E1072)/F1072,"")</x:f>
        <x:v>58.7090509312051</x:v>
      </x:c>
      <x:c r="I1072" s="4" t="n">
        <x:f>IF(AND(ISNUMBER(G1072),G1072&gt;0),('계산 과정'!$E$56+'계산 과정'!$E$57*D1072+'계산 과정'!$E$58*E1072)/F1072,"")</x:f>
        <x:v>164.91238313033332</x:v>
      </x:c>
      <x:c r="J1072" s="4" t="n">
        <x:f>IF('계산 과정'!$L$5,'계산 과정'!$D$6+'계산 과정'!$C$35*D1072+'계산 과정'!$D$35*E1072,"")</x:f>
        <x:v>615.5807959056237</x:v>
      </x:c>
      <x:c r="K1072" s="4" t="n">
        <x:f>IF(AND('계산 과정'!$L$6,J1072&gt;0),'계산 과정'!$D$10*('계산 과정'!$C$38*(D1072-'계산 과정'!$C$32)+'계산 과정'!$D$38*(E1072-'계산 과정'!$D$32)-'계산 과정'!$E$38*'계산 과정'!$E$32)/J1072,"")</x:f>
        <x:v>0.447307054713944</x:v>
      </x:c>
      <x:c r="L1072" s="4" t="n">
        <x:f>IF(AND('계산 과정'!$L$6,J1072&gt;0),'계산 과정'!$D$10*('계산 과정'!$C$39*(D1072-'계산 과정'!$C$32)+'계산 과정'!$D$39*(E1072-'계산 과정'!$D$32)-'계산 과정'!$E$39*'계산 과정'!$E$32)/J1072,"")</x:f>
        <x:v>1.256475300040635</x:v>
      </x:c>
      <x:c r="M1072" s="17" t="n">
        <x:f>IF('계산 과정'!$L$6,IF(J1072&lt;=0,0,IF(AND(ABS(K1072)&lt;='계산 과정'!$D$11/2,ABS(L1072)&lt;='계산 과정'!$D$12/2),1,0)),"")</x:f>
        <x:v>1</x:v>
      </x:c>
      <x:c r="N1072" s="17" t="n">
        <x:f>IF('계산 과정'!$C$78,IF(AND(ISNUMBER(H1072),ISNUMBER(I1072),ABS(H1072-'계산 과정'!$C$88)&lt;='계산 과정'!$D$23/2,ABS(I1072-'계산 과정'!$C$89)&lt;='계산 과정'!$D$24/2),1,0),"")</x:f>
        <x:v>1</x:v>
      </x:c>
      <x:c r="O1072" s="4" t="n">
        <x:f>IF('계산 과정'!$L$7,'계산 과정'!$C$49*('계산 과정'!$C$32-D1072)+'계산 과정'!$D$49*('계산 과정'!$D$32-E1072)+'계산 과정'!$E$49*'계산 과정'!$E$32,"")</x:f>
        <x:v>34.41920409437637</x:v>
      </x:c>
      <x:c r="P1072" s="4" t="n">
        <x:f>IF(AND('계산 과정'!$L$7,O1072&lt;&gt;0),('계산 과정'!$L$23-'계산 과정'!$C$49*D1072-'계산 과정'!$D$49*E1072)/O1072,"")</x:f>
        <x:v>12.621419220014866</x:v>
      </x:c>
      <x:c r="Q1072" s="4" t="str">
        <x:f>IF(AND(ISNUMBER(P1072),P1072&gt;1E-9,P1072&lt;1-1E-9),'계산 과정'!$C$47*(D1072-'계산 과정'!$C$50+P1072*('계산 과정'!$C$32-D1072))+'계산 과정'!$D$47*(E1072-'계산 과정'!$D$50+P1072*('계산 과정'!$D$32-E1072))+'계산 과정'!$E$47*(0-'계산 과정'!$E$50+P1072*('계산 과정'!$E$32-0)),"")</x:f>
      </x:c>
      <x:c r="R1072" s="4" t="str">
        <x:f>IF(AND(ISNUMBER(P1072),P1072&gt;1E-9,P1072&lt;1-1E-9),'계산 과정'!$C$48*(D1072-'계산 과정'!$C$50+P1072*('계산 과정'!$C$32-D1072))+'계산 과정'!$D$48*(E1072-'계산 과정'!$D$50+P1072*('계산 과정'!$D$32-E1072))+'계산 과정'!$E$48*(0-'계산 과정'!$E$50+P1072*('계산 과정'!$E$32-0)),"")</x:f>
      </x:c>
      <x:c r="S1072" s="17" t="n">
        <x:f>IF('계산 과정'!$C$78,IF(AND(ISNUMBER(Q1072),ISNUMBER(R1072),ABS(Q1072-'계산 과정'!$C$88)&lt;='계산 과정'!$D$23/2,ABS(R1072-'계산 과정'!$C$89)&lt;='계산 과정'!$D$24/2),1,0),"")</x:f>
        <x:v>0</x:v>
      </x:c>
      <x:c r="T1072" s="4"/>
      <x:c r="U1072" s="4"/>
      <x:c r="V1072" s="4"/>
      <x:c r="W1072" s="4"/>
      <x:c r="X1072" s="4"/>
      <x:c r="Y1072" s="4"/>
      <x:c r="Z1072" s="4"/>
    </x:row>
    <x:row r="1073" ht="23" customHeight="1">
      <x:c r="A1073" s="17" t="n">
        <x:f>ROW()-6</x:f>
        <x:v>1067</x:v>
      </x:c>
      <x:c r="B1073" s="4" t="n">
        <x:f>IF('계산 과정'!$L$5,'계산 과정'!$L$11*SQRT((A1073+0.5)/'계산 과정'!$L$30),"")</x:f>
        <x:v>108.29545361388676</x:v>
      </x:c>
      <x:c r="C1073" s="4" t="n">
        <x:f>A1073*PI()*(3-SQRT(5))</x:f>
        <x:v>2560.760766120473</x:v>
      </x:c>
      <x:c r="D1073" s="4" t="n">
        <x:f>IF('계산 과정'!$L$5,B1073*COS(C1073),"")</x:f>
        <x:v>-101.24794389884967</x:v>
      </x:c>
      <x:c r="E1073" s="4" t="n">
        <x:f>IF('계산 과정'!$L$5,B1073*SIN(C1073),"")</x:f>
        <x:v>-38.428623832930704</x:v>
      </x:c>
      <x:c r="F1073" s="4" t="n">
        <x:f>IF('계산 과정'!$L$7,'계산 과정'!$L$22+'계산 과정'!$C$49*D1073+'계산 과정'!$D$49*E1073,"")</x:f>
        <x:v>721.5931077120717</x:v>
      </x:c>
      <x:c r="G1073" s="4" t="n">
        <x:f>IF('계산 과정'!$L$7,IF(ABS(F1073)&gt;=1E-12*MAX(1,SQRT((D1073-'계산 과정'!$C$33)^2+(E1073-'계산 과정'!$D$33)^2+'계산 과정'!$E$33^2)),('계산 과정'!$L$23-'계산 과정'!$C$49*D1073-'계산 과정'!$D$49*E1073)/F1073,""),"")</x:f>
        <x:v>0.45511367663861935</x:v>
      </x:c>
      <x:c r="H1073" s="4" t="n">
        <x:f>IF(AND(ISNUMBER(G1073),G1073&gt;0),('계산 과정'!$D$56+'계산 과정'!$D$57*D1073+'계산 과정'!$D$58*E1073)/F1073,"")</x:f>
        <x:v>-104.17611018489752</x:v>
      </x:c>
      <x:c r="I1073" s="4" t="n">
        <x:f>IF(AND(ISNUMBER(G1073),G1073&gt;0),('계산 과정'!$E$56+'계산 과정'!$E$57*D1073+'계산 과정'!$E$58*E1073)/F1073,"")</x:f>
        <x:v>-55.91801611369827</x:v>
      </x:c>
      <x:c r="J1073" s="4" t="n">
        <x:f>IF('계산 과정'!$L$5,'계산 과정'!$D$6+'계산 과정'!$C$35*D1073+'계산 과정'!$D$35*E1073,"")</x:f>
        <x:v>721.5931077120717</x:v>
      </x:c>
      <x:c r="K1073" s="4" t="n">
        <x:f>IF(AND('계산 과정'!$L$6,J1073&gt;0),'계산 과정'!$D$10*('계산 과정'!$C$38*(D1073-'계산 과정'!$C$32)+'계산 과정'!$D$38*(E1073-'계산 과정'!$D$32)-'계산 과정'!$E$38*'계산 과정'!$E$32)/J1073,"")</x:f>
        <x:v>-0.793722744265885</x:v>
      </x:c>
      <x:c r="L1073" s="4" t="n">
        <x:f>IF(AND('계산 과정'!$L$6,J1073&gt;0),'계산 과정'!$D$10*('계산 과정'!$C$39*(D1073-'계산 과정'!$C$32)+'계산 과정'!$D$39*(E1073-'계산 과정'!$D$32)-'계산 과정'!$E$39*'계산 과정'!$E$32)/J1073,"")</x:f>
        <x:v>-0.4260420275329392</x:v>
      </x:c>
      <x:c r="M1073" s="17" t="n">
        <x:f>IF('계산 과정'!$L$6,IF(J1073&lt;=0,0,IF(AND(ABS(K1073)&lt;='계산 과정'!$D$11/2,ABS(L1073)&lt;='계산 과정'!$D$12/2),1,0)),"")</x:f>
        <x:v>1</x:v>
      </x:c>
      <x:c r="N1073" s="17" t="n">
        <x:f>IF('계산 과정'!$C$78,IF(AND(ISNUMBER(H1073),ISNUMBER(I1073),ABS(H1073-'계산 과정'!$C$88)&lt;='계산 과정'!$D$23/2,ABS(I1073-'계산 과정'!$C$89)&lt;='계산 과정'!$D$24/2),1,0),"")</x:f>
        <x:v>1</x:v>
      </x:c>
      <x:c r="O1073" s="4" t="n">
        <x:f>IF('계산 과정'!$L$7,'계산 과정'!$C$49*('계산 과정'!$C$32-D1073)+'계산 과정'!$D$49*('계산 과정'!$D$32-E1073)+'계산 과정'!$E$49*'계산 과정'!$E$32,"")</x:f>
        <x:v>-71.59310771207163</x:v>
      </x:c>
      <x:c r="P1073" s="4" t="n">
        <x:f>IF(AND('계산 과정'!$L$7,O1073&lt;&gt;0),('계산 과정'!$L$23-'계산 과정'!$C$49*D1073-'계산 과정'!$D$49*E1073)/O1073,"")</x:f>
        <x:v>-4.5871300015176475</x:v>
      </x:c>
      <x:c r="Q1073" s="4" t="str">
        <x:f>IF(AND(ISNUMBER(P1073),P1073&gt;1E-9,P1073&lt;1-1E-9),'계산 과정'!$C$47*(D1073-'계산 과정'!$C$50+P1073*('계산 과정'!$C$32-D1073))+'계산 과정'!$D$47*(E1073-'계산 과정'!$D$50+P1073*('계산 과정'!$D$32-E1073))+'계산 과정'!$E$47*(0-'계산 과정'!$E$50+P1073*('계산 과정'!$E$32-0)),"")</x:f>
      </x:c>
      <x:c r="R1073" s="4" t="str">
        <x:f>IF(AND(ISNUMBER(P1073),P1073&gt;1E-9,P1073&lt;1-1E-9),'계산 과정'!$C$48*(D1073-'계산 과정'!$C$50+P1073*('계산 과정'!$C$32-D1073))+'계산 과정'!$D$48*(E1073-'계산 과정'!$D$50+P1073*('계산 과정'!$D$32-E1073))+'계산 과정'!$E$48*(0-'계산 과정'!$E$50+P1073*('계산 과정'!$E$32-0)),"")</x:f>
      </x:c>
      <x:c r="S1073" s="17" t="n">
        <x:f>IF('계산 과정'!$C$78,IF(AND(ISNUMBER(Q1073),ISNUMBER(R1073),ABS(Q1073-'계산 과정'!$C$88)&lt;='계산 과정'!$D$23/2,ABS(R1073-'계산 과정'!$C$89)&lt;='계산 과정'!$D$24/2),1,0),"")</x:f>
        <x:v>0</x:v>
      </x:c>
      <x:c r="T1073" s="4"/>
      <x:c r="U1073" s="4"/>
      <x:c r="V1073" s="4"/>
      <x:c r="W1073" s="4"/>
      <x:c r="X1073" s="4"/>
      <x:c r="Y1073" s="4"/>
      <x:c r="Z1073" s="4"/>
    </x:row>
    <x:row r="1074" ht="23" customHeight="1">
      <x:c r="A1074" s="17" t="n">
        <x:f>ROW()-6</x:f>
        <x:v>1068</x:v>
      </x:c>
      <x:c r="B1074" s="4" t="n">
        <x:f>IF('계산 과정'!$L$5,'계산 과정'!$L$11*SQRT((A1074+0.5)/'계산 과정'!$L$30),"")</x:f>
        <x:v>108.34616560618332</x:v>
      </x:c>
      <x:c r="C1074" s="4" t="n">
        <x:f>A1074*PI()*(3-SQRT(5))</x:f>
        <x:v>2563.160729350201</x:v>
      </x:c>
      <x:c r="D1074" s="4" t="n">
        <x:f>IF('계산 과정'!$L$5,B1074*COS(C1074),"")</x:f>
        <x:v>100.66236076844004</x:v>
      </x:c>
      <x:c r="E1074" s="4" t="n">
        <x:f>IF('계산 과정'!$L$5,B1074*SIN(C1074),"")</x:f>
        <x:v>-40.074689344858626</x:v>
      </x:c>
      <x:c r="F1074" s="4" t="n">
        <x:f>IF('계산 과정'!$L$7,'계산 과정'!$L$22+'계산 과정'!$C$49*D1074+'계산 과정'!$D$49*E1074,"")</x:f>
        <x:v>578.8209620903893</x:v>
      </x:c>
      <x:c r="G1074" s="4" t="n">
        <x:f>IF('계산 과정'!$L$7,IF(ABS(F1074)&gt;=1E-12*MAX(1,SQRT((D1074-'계산 과정'!$C$33)^2+(E1074-'계산 과정'!$D$33)^2+'계산 과정'!$E$33^2)),('계산 과정'!$L$23-'계산 과정'!$C$49*D1074-'계산 과정'!$D$49*E1074)/F1074,""),"")</x:f>
        <x:v>0.8140324362268532</x:v>
      </x:c>
      <x:c r="H1074" s="4" t="n">
        <x:f>IF(AND(ISNUMBER(G1074),G1074&gt;0),('계산 과정'!$D$56+'계산 과정'!$D$57*D1074+'계산 과정'!$D$58*E1074)/F1074,"")</x:f>
        <x:v>129.12108354745442</x:v>
      </x:c>
      <x:c r="I1074" s="4" t="n">
        <x:f>IF(AND(ISNUMBER(G1074),G1074&gt;0),('계산 과정'!$E$56+'계산 과정'!$E$57*D1074+'계산 과정'!$E$58*E1074)/F1074,"")</x:f>
        <x:v>-72.69678634328821</x:v>
      </x:c>
      <x:c r="J1074" s="4" t="n">
        <x:f>IF('계산 과정'!$L$5,'계산 과정'!$D$6+'계산 과정'!$C$35*D1074+'계산 과정'!$D$35*E1074,"")</x:f>
        <x:v>578.8209620903893</x:v>
      </x:c>
      <x:c r="K1074" s="4" t="n">
        <x:f>IF(AND('계산 과정'!$L$6,J1074&gt;0),'계산 과정'!$D$10*('계산 과정'!$C$38*(D1074-'계산 과정'!$C$32)+'계산 과정'!$D$38*(E1074-'계산 과정'!$D$32)-'계산 과정'!$E$38*'계산 과정'!$E$32)/J1074,"")</x:f>
        <x:v>0.9837796841710823</x:v>
      </x:c>
      <x:c r="L1074" s="4" t="n">
        <x:f>IF(AND('계산 과정'!$L$6,J1074&gt;0),'계산 과정'!$D$10*('계산 과정'!$C$39*(D1074-'계산 과정'!$C$32)+'계산 과정'!$D$39*(E1074-'계산 과정'!$D$32)-'계산 과정'!$E$39*'계산 과정'!$E$32)/J1074,"")</x:f>
        <x:v>-0.5538802769012435</x:v>
      </x:c>
      <x:c r="M1074" s="17" t="n">
        <x:f>IF('계산 과정'!$L$6,IF(J1074&lt;=0,0,IF(AND(ABS(K1074)&lt;='계산 과정'!$D$11/2,ABS(L1074)&lt;='계산 과정'!$D$12/2),1,0)),"")</x:f>
        <x:v>1</x:v>
      </x:c>
      <x:c r="N1074" s="17" t="n">
        <x:f>IF('계산 과정'!$C$78,IF(AND(ISNUMBER(H1074),ISNUMBER(I1074),ABS(H1074-'계산 과정'!$C$88)&lt;='계산 과정'!$D$23/2,ABS(I1074-'계산 과정'!$C$89)&lt;='계산 과정'!$D$24/2),1,0),"")</x:f>
        <x:v>1</x:v>
      </x:c>
      <x:c r="O1074" s="4" t="n">
        <x:f>IF('계산 과정'!$L$7,'계산 과정'!$C$49*('계산 과정'!$C$32-D1074)+'계산 과정'!$D$49*('계산 과정'!$D$32-E1074)+'계산 과정'!$E$49*'계산 과정'!$E$32,"")</x:f>
        <x:v>71.17903790961077</x:v>
      </x:c>
      <x:c r="P1074" s="4" t="n">
        <x:f>IF(AND('계산 과정'!$L$7,O1074&lt;&gt;0),('계산 과정'!$L$23-'계산 과정'!$C$49*D1074-'계산 과정'!$D$49*E1074)/O1074,"")</x:f>
        <x:v>6.619632011716063</x:v>
      </x:c>
      <x:c r="Q1074" s="4" t="str">
        <x:f>IF(AND(ISNUMBER(P1074),P1074&gt;1E-9,P1074&lt;1-1E-9),'계산 과정'!$C$47*(D1074-'계산 과정'!$C$50+P1074*('계산 과정'!$C$32-D1074))+'계산 과정'!$D$47*(E1074-'계산 과정'!$D$50+P1074*('계산 과정'!$D$32-E1074))+'계산 과정'!$E$47*(0-'계산 과정'!$E$50+P1074*('계산 과정'!$E$32-0)),"")</x:f>
      </x:c>
      <x:c r="R1074" s="4" t="str">
        <x:f>IF(AND(ISNUMBER(P1074),P1074&gt;1E-9,P1074&lt;1-1E-9),'계산 과정'!$C$48*(D1074-'계산 과정'!$C$50+P1074*('계산 과정'!$C$32-D1074))+'계산 과정'!$D$48*(E1074-'계산 과정'!$D$50+P1074*('계산 과정'!$D$32-E1074))+'계산 과정'!$E$48*(0-'계산 과정'!$E$50+P1074*('계산 과정'!$E$32-0)),"")</x:f>
      </x:c>
      <x:c r="S1074" s="17" t="n">
        <x:f>IF('계산 과정'!$C$78,IF(AND(ISNUMBER(Q1074),ISNUMBER(R1074),ABS(Q1074-'계산 과정'!$C$88)&lt;='계산 과정'!$D$23/2,ABS(R1074-'계산 과정'!$C$89)&lt;='계산 과정'!$D$24/2),1,0),"")</x:f>
        <x:v>0</x:v>
      </x:c>
      <x:c r="T1074" s="4"/>
      <x:c r="U1074" s="4"/>
      <x:c r="V1074" s="4"/>
      <x:c r="W1074" s="4"/>
      <x:c r="X1074" s="4"/>
      <x:c r="Y1074" s="4"/>
      <x:c r="Z1074" s="4"/>
    </x:row>
    <x:row r="1075" ht="23" customHeight="1">
      <x:c r="A1075" s="17" t="n">
        <x:f>ROW()-6</x:f>
        <x:v>1069</x:v>
      </x:c>
      <x:c r="B1075" s="4" t="n">
        <x:f>IF('계산 과정'!$L$5,'계산 과정'!$L$11*SQRT((A1075+0.5)/'계산 과정'!$L$30),"")</x:f>
        <x:v>108.3968538735673</x:v>
      </x:c>
      <x:c r="C1075" s="4" t="n">
        <x:f>A1075*PI()*(3-SQRT(5))</x:f>
        <x:v>2565.5606925799298</x:v>
      </x:c>
      <x:c r="D1075" s="4" t="n">
        <x:f>IF('계산 과정'!$L$5,B1075*COS(C1075),"")</x:f>
        <x:v>-47.177289253281934</x:v>
      </x:c>
      <x:c r="E1075" s="4" t="n">
        <x:f>IF('계산 과정'!$L$5,B1075*SIN(C1075),"")</x:f>
        <x:v>97.59191210545917</x:v>
      </x:c>
      <x:c r="F1075" s="4" t="n">
        <x:f>IF('계산 과정'!$L$7,'계산 과정'!$L$22+'계산 과정'!$C$49*D1075+'계산 과정'!$D$49*E1075,"")</x:f>
        <x:v>683.3593811489949</x:v>
      </x:c>
      <x:c r="G1075" s="4" t="n">
        <x:f>IF('계산 과정'!$L$7,IF(ABS(F1075)&gt;=1E-12*MAX(1,SQRT((D1075-'계산 과정'!$C$33)^2+(E1075-'계산 과정'!$D$33)^2+'계산 과정'!$E$33^2)),('계산 과정'!$L$23-'계산 과정'!$C$49*D1075-'계산 과정'!$D$49*E1075)/F1075,""),"")</x:f>
        <x:v>0.5365267953657687</x:v>
      </x:c>
      <x:c r="H1075" s="4" t="n">
        <x:f>IF(AND(ISNUMBER(G1075),G1075&gt;0),('계산 과정'!$D$56+'계산 과정'!$D$57*D1075+'계산 과정'!$D$58*E1075)/F1075,"")</x:f>
        <x:v>-51.25758301225047</x:v>
      </x:c>
      <x:c r="I1075" s="4" t="n">
        <x:f>IF(AND(ISNUMBER(G1075),G1075&gt;0),('계산 과정'!$E$56+'계산 과정'!$E$57*D1075+'계산 과정'!$E$58*E1075)/F1075,"")</x:f>
        <x:v>149.95258796101893</x:v>
      </x:c>
      <x:c r="J1075" s="4" t="n">
        <x:f>IF('계산 과정'!$L$5,'계산 과정'!$D$6+'계산 과정'!$C$35*D1075+'계산 과정'!$D$35*E1075,"")</x:f>
        <x:v>683.3593811489949</x:v>
      </x:c>
      <x:c r="K1075" s="4" t="n">
        <x:f>IF(AND('계산 과정'!$L$6,J1075&gt;0),'계산 과정'!$D$10*('계산 과정'!$C$38*(D1075-'계산 과정'!$C$32)+'계산 과정'!$D$38*(E1075-'계산 과정'!$D$32)-'계산 과정'!$E$38*'계산 과정'!$E$32)/J1075,"")</x:f>
        <x:v>-0.3905339658076217</x:v>
      </x:c>
      <x:c r="L1075" s="4" t="n">
        <x:f>IF(AND('계산 과정'!$L$6,J1075&gt;0),'계산 과정'!$D$10*('계산 과정'!$C$39*(D1075-'계산 과정'!$C$32)+'계산 과정'!$D$39*(E1075-'계산 과정'!$D$32)-'계산 과정'!$E$39*'계산 과정'!$E$32)/J1075,"")</x:f>
        <x:v>1.1424959082744301</x:v>
      </x:c>
      <x:c r="M1075" s="17" t="n">
        <x:f>IF('계산 과정'!$L$6,IF(J1075&lt;=0,0,IF(AND(ABS(K1075)&lt;='계산 과정'!$D$11/2,ABS(L1075)&lt;='계산 과정'!$D$12/2),1,0)),"")</x:f>
        <x:v>1</x:v>
      </x:c>
      <x:c r="N1075" s="17" t="n">
        <x:f>IF('계산 과정'!$C$78,IF(AND(ISNUMBER(H1075),ISNUMBER(I1075),ABS(H1075-'계산 과정'!$C$88)&lt;='계산 과정'!$D$23/2,ABS(I1075-'계산 과정'!$C$89)&lt;='계산 과정'!$D$24/2),1,0),"")</x:f>
        <x:v>1</x:v>
      </x:c>
      <x:c r="O1075" s="4" t="n">
        <x:f>IF('계산 과정'!$L$7,'계산 과정'!$C$49*('계산 과정'!$C$32-D1075)+'계산 과정'!$D$49*('계산 과정'!$D$32-E1075)+'계산 과정'!$E$49*'계산 과정'!$E$32,"")</x:f>
        <x:v>-33.35938114899477</x:v>
      </x:c>
      <x:c r="P1075" s="4" t="n">
        <x:f>IF(AND('계산 과정'!$L$7,O1075&lt;&gt;0),('계산 과정'!$L$23-'계산 과정'!$C$49*D1075-'계산 과정'!$D$49*E1075)/O1075,"")</x:f>
        <x:v>-10.990630108318218</x:v>
      </x:c>
      <x:c r="Q1075" s="4" t="str">
        <x:f>IF(AND(ISNUMBER(P1075),P1075&gt;1E-9,P1075&lt;1-1E-9),'계산 과정'!$C$47*(D1075-'계산 과정'!$C$50+P1075*('계산 과정'!$C$32-D1075))+'계산 과정'!$D$47*(E1075-'계산 과정'!$D$50+P1075*('계산 과정'!$D$32-E1075))+'계산 과정'!$E$47*(0-'계산 과정'!$E$50+P1075*('계산 과정'!$E$32-0)),"")</x:f>
      </x:c>
      <x:c r="R1075" s="4" t="str">
        <x:f>IF(AND(ISNUMBER(P1075),P1075&gt;1E-9,P1075&lt;1-1E-9),'계산 과정'!$C$48*(D1075-'계산 과정'!$C$50+P1075*('계산 과정'!$C$32-D1075))+'계산 과정'!$D$48*(E1075-'계산 과정'!$D$50+P1075*('계산 과정'!$D$32-E1075))+'계산 과정'!$E$48*(0-'계산 과정'!$E$50+P1075*('계산 과정'!$E$32-0)),"")</x:f>
      </x:c>
      <x:c r="S1075" s="17" t="n">
        <x:f>IF('계산 과정'!$C$78,IF(AND(ISNUMBER(Q1075),ISNUMBER(R1075),ABS(Q1075-'계산 과정'!$C$88)&lt;='계산 과정'!$D$23/2,ABS(R1075-'계산 과정'!$C$89)&lt;='계산 과정'!$D$24/2),1,0),"")</x:f>
        <x:v>0</x:v>
      </x:c>
      <x:c r="T1075" s="4"/>
      <x:c r="U1075" s="4"/>
      <x:c r="V1075" s="4"/>
      <x:c r="W1075" s="4"/>
      <x:c r="X1075" s="4"/>
      <x:c r="Y1075" s="4"/>
      <x:c r="Z1075" s="4"/>
    </x:row>
    <x:row r="1076" ht="23" customHeight="1">
      <x:c r="A1076" s="17" t="n">
        <x:f>ROW()-6</x:f>
        <x:v>1070</x:v>
      </x:c>
      <x:c r="B1076" s="4" t="n">
        <x:f>IF('계산 과정'!$L$5,'계산 과정'!$L$11*SQRT((A1076+0.5)/'계산 과정'!$L$30),"")</x:f>
        <x:v>108.44751844930569</x:v>
      </x:c>
      <x:c r="C1076" s="4" t="n">
        <x:f>A1076*PI()*(3-SQRT(5))</x:f>
        <x:v>2567.960655809659</x:v>
      </x:c>
      <x:c r="D1076" s="4" t="n">
        <x:f>IF('계산 과정'!$L$5,B1076*COS(C1076),"")</x:f>
        <x:v>-31.14987719617649</x:v>
      </x:c>
      <x:c r="E1076" s="4" t="n">
        <x:f>IF('계산 과정'!$L$5,B1076*SIN(C1076),"")</x:f>
        <x:v>-103.87756932310086</x:v>
      </x:c>
      <x:c r="F1076" s="4" t="n">
        <x:f>IF('계산 과정'!$L$7,'계산 과정'!$L$22+'계산 과정'!$C$49*D1076+'계산 과정'!$D$49*E1076,"")</x:f>
        <x:v>672.0262893985446</x:v>
      </x:c>
      <x:c r="G1076" s="4" t="n">
        <x:f>IF('계산 과정'!$L$7,IF(ABS(F1076)&gt;=1E-12*MAX(1,SQRT((D1076-'계산 과정'!$C$33)^2+(E1076-'계산 과정'!$D$33)^2+'계산 과정'!$E$33^2)),('계산 과정'!$L$23-'계산 과정'!$C$49*D1076-'계산 과정'!$D$49*E1076)/F1076,""),"")</x:f>
        <x:v>0.5624388756275255</x:v>
      </x:c>
      <x:c r="H1076" s="4" t="n">
        <x:f>IF(AND(ISNUMBER(G1076),G1076&gt;0),('계산 과정'!$D$56+'계산 과정'!$D$57*D1076+'계산 과정'!$D$58*E1076)/F1076,"")</x:f>
        <x:v>-34.41473084210862</x:v>
      </x:c>
      <x:c r="I1076" s="4" t="n">
        <x:f>IF(AND(ISNUMBER(G1076),G1076&gt;0),('계산 과정'!$E$56+'계산 과정'!$E$57*D1076+'계산 과정'!$E$58*E1076)/F1076,"")</x:f>
        <x:v>-162.30235261610602</x:v>
      </x:c>
      <x:c r="J1076" s="4" t="n">
        <x:f>IF('계산 과정'!$L$5,'계산 과정'!$D$6+'계산 과정'!$C$35*D1076+'계산 과정'!$D$35*E1076,"")</x:f>
        <x:v>672.0262893985446</x:v>
      </x:c>
      <x:c r="K1076" s="4" t="n">
        <x:f>IF(AND('계산 과정'!$L$6,J1076&gt;0),'계산 과정'!$D$10*('계산 과정'!$C$38*(D1076-'계산 과정'!$C$32)+'계산 과정'!$D$38*(E1076-'계산 과정'!$D$32)-'계산 과정'!$E$38*'계산 과정'!$E$32)/J1076,"")</x:f>
        <x:v>-0.26220747308273123</x:v>
      </x:c>
      <x:c r="L1076" s="4" t="n">
        <x:f>IF(AND('계산 과정'!$L$6,J1076&gt;0),'계산 과정'!$D$10*('계산 과정'!$C$39*(D1076-'계산 과정'!$C$32)+'계산 과정'!$D$39*(E1076-'계산 과정'!$D$32)-'계산 과정'!$E$39*'계산 과정'!$E$32)/J1076,"")</x:f>
        <x:v>-1.2365893532655698</x:v>
      </x:c>
      <x:c r="M1076" s="17" t="n">
        <x:f>IF('계산 과정'!$L$6,IF(J1076&lt;=0,0,IF(AND(ABS(K1076)&lt;='계산 과정'!$D$11/2,ABS(L1076)&lt;='계산 과정'!$D$12/2),1,0)),"")</x:f>
        <x:v>1</x:v>
      </x:c>
      <x:c r="N1076" s="17" t="n">
        <x:f>IF('계산 과정'!$C$78,IF(AND(ISNUMBER(H1076),ISNUMBER(I1076),ABS(H1076-'계산 과정'!$C$88)&lt;='계산 과정'!$D$23/2,ABS(I1076-'계산 과정'!$C$89)&lt;='계산 과정'!$D$24/2),1,0),"")</x:f>
        <x:v>1</x:v>
      </x:c>
      <x:c r="O1076" s="4" t="n">
        <x:f>IF('계산 과정'!$L$7,'계산 과정'!$C$49*('계산 과정'!$C$32-D1076)+'계산 과정'!$D$49*('계산 과정'!$D$32-E1076)+'계산 과정'!$E$49*'계산 과정'!$E$32,"")</x:f>
        <x:v>-22.026289398544463</x:v>
      </x:c>
      <x:c r="P1076" s="4" t="n">
        <x:f>IF(AND('계산 과정'!$L$7,O1076&lt;&gt;0),('계산 과정'!$L$23-'계산 과정'!$C$49*D1076-'계산 과정'!$D$49*E1076)/O1076,"")</x:f>
        <x:v>-17.16011733807659</x:v>
      </x:c>
      <x:c r="Q1076" s="4" t="str">
        <x:f>IF(AND(ISNUMBER(P1076),P1076&gt;1E-9,P1076&lt;1-1E-9),'계산 과정'!$C$47*(D1076-'계산 과정'!$C$50+P1076*('계산 과정'!$C$32-D1076))+'계산 과정'!$D$47*(E1076-'계산 과정'!$D$50+P1076*('계산 과정'!$D$32-E1076))+'계산 과정'!$E$47*(0-'계산 과정'!$E$50+P1076*('계산 과정'!$E$32-0)),"")</x:f>
      </x:c>
      <x:c r="R1076" s="4" t="str">
        <x:f>IF(AND(ISNUMBER(P1076),P1076&gt;1E-9,P1076&lt;1-1E-9),'계산 과정'!$C$48*(D1076-'계산 과정'!$C$50+P1076*('계산 과정'!$C$32-D1076))+'계산 과정'!$D$48*(E1076-'계산 과정'!$D$50+P1076*('계산 과정'!$D$32-E1076))+'계산 과정'!$E$48*(0-'계산 과정'!$E$50+P1076*('계산 과정'!$E$32-0)),"")</x:f>
      </x:c>
      <x:c r="S1076" s="17" t="n">
        <x:f>IF('계산 과정'!$C$78,IF(AND(ISNUMBER(Q1076),ISNUMBER(R1076),ABS(Q1076-'계산 과정'!$C$88)&lt;='계산 과정'!$D$23/2,ABS(R1076-'계산 과정'!$C$89)&lt;='계산 과정'!$D$24/2),1,0),"")</x:f>
        <x:v>0</x:v>
      </x:c>
      <x:c r="T1076" s="4"/>
      <x:c r="U1076" s="4"/>
      <x:c r="V1076" s="4"/>
      <x:c r="W1076" s="4"/>
      <x:c r="X1076" s="4"/>
      <x:c r="Y1076" s="4"/>
      <x:c r="Z1076" s="4"/>
    </x:row>
    <x:row r="1077" ht="23" customHeight="1">
      <x:c r="A1077" s="17" t="n">
        <x:f>ROW()-6</x:f>
        <x:v>1071</x:v>
      </x:c>
      <x:c r="B1077" s="4" t="n">
        <x:f>IF('계산 과정'!$L$5,'계산 과정'!$L$11*SQRT((A1077+0.5)/'계산 과정'!$L$30),"")</x:f>
        <x:v>108.49815936658787</x:v>
      </x:c>
      <x:c r="C1077" s="4" t="n">
        <x:f>A1077*PI()*(3-SQRT(5))</x:f>
        <x:v>2570.360619039387</x:v>
      </x:c>
      <x:c r="D1077" s="4" t="n">
        <x:f>IF('계산 과정'!$L$5,B1077*COS(C1077),"")</x:f>
        <x:v>93.18073146199694</x:v>
      </x:c>
      <x:c r="E1077" s="4" t="n">
        <x:f>IF('계산 과정'!$L$5,B1077*SIN(C1077),"")</x:f>
        <x:v>55.58058896903407</x:v>
      </x:c>
      <x:c r="F1077" s="4" t="n">
        <x:f>IF('계산 과정'!$L$7,'계산 과정'!$L$22+'계산 과정'!$C$49*D1077+'계산 과정'!$D$49*E1077,"")</x:f>
        <x:v>584.1112729072993</x:v>
      </x:c>
      <x:c r="G1077" s="4" t="n">
        <x:f>IF('계산 과정'!$L$7,IF(ABS(F1077)&gt;=1E-12*MAX(1,SQRT((D1077-'계산 과정'!$C$33)^2+(E1077-'계산 과정'!$D$33)^2+'계산 과정'!$E$33^2)),('계산 과정'!$L$23-'계산 과정'!$C$49*D1077-'계산 과정'!$D$49*E1077)/F1077,""),"")</x:f>
        <x:v>0.7976026978110369</x:v>
      </x:c>
      <x:c r="H1077" s="4" t="n">
        <x:f>IF(AND(ISNUMBER(G1077),G1077&gt;0),('계산 과정'!$D$56+'계산 과정'!$D$57*D1077+'계산 과정'!$D$58*E1077)/F1077,"")</x:f>
        <x:v>118.44175357717387</x:v>
      </x:c>
      <x:c r="I1077" s="4" t="n">
        <x:f>IF(AND(ISNUMBER(G1077),G1077&gt;0),('계산 과정'!$E$56+'계산 과정'!$E$57*D1077+'계산 과정'!$E$58*E1077)/F1077,"")</x:f>
        <x:v>99.911816676662</x:v>
      </x:c>
      <x:c r="J1077" s="4" t="n">
        <x:f>IF('계산 과정'!$L$5,'계산 과정'!$D$6+'계산 과정'!$C$35*D1077+'계산 과정'!$D$35*E1077,"")</x:f>
        <x:v>584.1112729072993</x:v>
      </x:c>
      <x:c r="K1077" s="4" t="n">
        <x:f>IF(AND('계산 과정'!$L$6,J1077&gt;0),'계산 과정'!$D$10*('계산 과정'!$C$38*(D1077-'계산 과정'!$C$32)+'계산 과정'!$D$38*(E1077-'계산 과정'!$D$32)-'계산 과정'!$E$38*'계산 과정'!$E$32)/J1077,"")</x:f>
        <x:v>0.9024133605879922</x:v>
      </x:c>
      <x:c r="L1077" s="4" t="n">
        <x:f>IF(AND('계산 과정'!$L$6,J1077&gt;0),'계산 과정'!$D$10*('계산 과정'!$C$39*(D1077-'계산 과정'!$C$32)+'계산 과정'!$D$39*(E1077-'계산 과정'!$D$32)-'계산 과정'!$E$39*'계산 과정'!$E$32)/J1077,"")</x:f>
        <x:v>0.7612328889650438</x:v>
      </x:c>
      <x:c r="M1077" s="17" t="n">
        <x:f>IF('계산 과정'!$L$6,IF(J1077&lt;=0,0,IF(AND(ABS(K1077)&lt;='계산 과정'!$D$11/2,ABS(L1077)&lt;='계산 과정'!$D$12/2),1,0)),"")</x:f>
        <x:v>1</x:v>
      </x:c>
      <x:c r="N1077" s="17" t="n">
        <x:f>IF('계산 과정'!$C$78,IF(AND(ISNUMBER(H1077),ISNUMBER(I1077),ABS(H1077-'계산 과정'!$C$88)&lt;='계산 과정'!$D$23/2,ABS(I1077-'계산 과정'!$C$89)&lt;='계산 과정'!$D$24/2),1,0),"")</x:f>
        <x:v>1</x:v>
      </x:c>
      <x:c r="O1077" s="4" t="n">
        <x:f>IF('계산 과정'!$L$7,'계산 과정'!$C$49*('계산 과정'!$C$32-D1077)+'계산 과정'!$D$49*('계산 과정'!$D$32-E1077)+'계산 과정'!$E$49*'계산 과정'!$E$32,"")</x:f>
        <x:v>65.88872709270083</x:v>
      </x:c>
      <x:c r="P1077" s="4" t="n">
        <x:f>IF(AND('계산 과정'!$L$7,O1077&lt;&gt;0),('계산 과정'!$L$23-'계산 과정'!$C$49*D1077-'계산 과정'!$D$49*E1077)/O1077,"")</x:f>
        <x:v>7.070841214419393</x:v>
      </x:c>
      <x:c r="Q1077" s="4" t="str">
        <x:f>IF(AND(ISNUMBER(P1077),P1077&gt;1E-9,P1077&lt;1-1E-9),'계산 과정'!$C$47*(D1077-'계산 과정'!$C$50+P1077*('계산 과정'!$C$32-D1077))+'계산 과정'!$D$47*(E1077-'계산 과정'!$D$50+P1077*('계산 과정'!$D$32-E1077))+'계산 과정'!$E$47*(0-'계산 과정'!$E$50+P1077*('계산 과정'!$E$32-0)),"")</x:f>
      </x:c>
      <x:c r="R1077" s="4" t="str">
        <x:f>IF(AND(ISNUMBER(P1077),P1077&gt;1E-9,P1077&lt;1-1E-9),'계산 과정'!$C$48*(D1077-'계산 과정'!$C$50+P1077*('계산 과정'!$C$32-D1077))+'계산 과정'!$D$48*(E1077-'계산 과정'!$D$50+P1077*('계산 과정'!$D$32-E1077))+'계산 과정'!$E$48*(0-'계산 과정'!$E$50+P1077*('계산 과정'!$E$32-0)),"")</x:f>
      </x:c>
      <x:c r="S1077" s="17" t="n">
        <x:f>IF('계산 과정'!$C$78,IF(AND(ISNUMBER(Q1077),ISNUMBER(R1077),ABS(Q1077-'계산 과정'!$C$88)&lt;='계산 과정'!$D$23/2,ABS(R1077-'계산 과정'!$C$89)&lt;='계산 과정'!$D$24/2),1,0),"")</x:f>
        <x:v>0</x:v>
      </x:c>
      <x:c r="T1077" s="4"/>
      <x:c r="U1077" s="4"/>
      <x:c r="V1077" s="4"/>
      <x:c r="W1077" s="4"/>
      <x:c r="X1077" s="4"/>
      <x:c r="Y1077" s="4"/>
      <x:c r="Z1077" s="4"/>
    </x:row>
    <x:row r="1078" ht="23" customHeight="1">
      <x:c r="A1078" s="17" t="n">
        <x:f>ROW()-6</x:f>
        <x:v>1072</x:v>
      </x:c>
      <x:c r="B1078" s="4" t="n">
        <x:f>IF('계산 과정'!$L$5,'계산 과정'!$L$11*SQRT((A1078+0.5)/'계산 과정'!$L$30),"")</x:f>
        <x:v>108.54877665852572</x:v>
      </x:c>
      <x:c r="C1078" s="4" t="n">
        <x:f>A1078*PI()*(3-SQRT(5))</x:f>
        <x:v>2572.7605822691157</x:v>
      </x:c>
      <x:c r="D1078" s="4" t="n">
        <x:f>IF('계산 과정'!$L$5,B1078*COS(C1078),"")</x:f>
        <x:v>-106.30228954892874</x:v>
      </x:c>
      <x:c r="E1078" s="4" t="n">
        <x:f>IF('계산 과정'!$L$5,B1078*SIN(C1078),"")</x:f>
        <x:v>21.969527776404636</x:v>
      </x:c>
      <x:c r="F1078" s="4" t="n">
        <x:f>IF('계산 과정'!$L$7,'계산 과정'!$L$22+'계산 과정'!$C$49*D1078+'계산 과정'!$D$49*E1078,"")</x:f>
        <x:v>725.1670697957034</x:v>
      </x:c>
      <x:c r="G1078" s="4" t="n">
        <x:f>IF('계산 과정'!$L$7,IF(ABS(F1078)&gt;=1E-12*MAX(1,SQRT((D1078-'계산 과정'!$C$33)^2+(E1078-'계산 과정'!$D$33)^2+'계산 과정'!$E$33^2)),('계산 과정'!$L$23-'계산 과정'!$C$49*D1078-'계산 과정'!$D$49*E1078)/F1078,""),"")</x:f>
        <x:v>0.44794219668001434</x:v>
      </x:c>
      <x:c r="H1078" s="4" t="n">
        <x:f>IF(AND(ISNUMBER(G1078),G1078&gt;0),('계산 과정'!$D$56+'계산 과정'!$D$57*D1078+'계산 과정'!$D$58*E1078)/F1078,"")</x:f>
        <x:v>-108.83757215799083</x:v>
      </x:c>
      <x:c r="I1078" s="4" t="n">
        <x:f>IF(AND(ISNUMBER(G1078),G1078&gt;0),('계산 과정'!$E$56+'계산 과정'!$E$57*D1078+'계산 과정'!$E$58*E1078)/F1078,"")</x:f>
        <x:v>31.81060630858992</x:v>
      </x:c>
      <x:c r="J1078" s="4" t="n">
        <x:f>IF('계산 과정'!$L$5,'계산 과정'!$D$6+'계산 과정'!$C$35*D1078+'계산 과정'!$D$35*E1078,"")</x:f>
        <x:v>725.1670697957034</x:v>
      </x:c>
      <x:c r="K1078" s="4" t="n">
        <x:f>IF(AND('계산 과정'!$L$6,J1078&gt;0),'계산 과정'!$D$10*('계산 과정'!$C$38*(D1078-'계산 과정'!$C$32)+'계산 과정'!$D$38*(E1078-'계산 과정'!$D$32)-'계산 과정'!$E$38*'계산 과정'!$E$32)/J1078,"")</x:f>
        <x:v>-0.8292386450132629</x:v>
      </x:c>
      <x:c r="L1078" s="4" t="n">
        <x:f>IF(AND('계산 과정'!$L$6,J1078&gt;0),'계산 과정'!$D$10*('계산 과정'!$C$39*(D1078-'계산 과정'!$C$32)+'계산 과정'!$D$39*(E1078-'계산 과정'!$D$32)-'계산 과정'!$E$39*'계산 과정'!$E$32)/J1078,"")</x:f>
        <x:v>0.2423665242559232</x:v>
      </x:c>
      <x:c r="M1078" s="17" t="n">
        <x:f>IF('계산 과정'!$L$6,IF(J1078&lt;=0,0,IF(AND(ABS(K1078)&lt;='계산 과정'!$D$11/2,ABS(L1078)&lt;='계산 과정'!$D$12/2),1,0)),"")</x:f>
        <x:v>1</x:v>
      </x:c>
      <x:c r="N1078" s="17" t="n">
        <x:f>IF('계산 과정'!$C$78,IF(AND(ISNUMBER(H1078),ISNUMBER(I1078),ABS(H1078-'계산 과정'!$C$88)&lt;='계산 과정'!$D$23/2,ABS(I1078-'계산 과정'!$C$89)&lt;='계산 과정'!$D$24/2),1,0),"")</x:f>
        <x:v>1</x:v>
      </x:c>
      <x:c r="O1078" s="4" t="n">
        <x:f>IF('계산 과정'!$L$7,'계산 과정'!$C$49*('계산 과정'!$C$32-D1078)+'계산 과정'!$D$49*('계산 과정'!$D$32-E1078)+'계산 과정'!$E$49*'계산 과정'!$E$32,"")</x:f>
        <x:v>-75.1670697957033</x:v>
      </x:c>
      <x:c r="P1078" s="4" t="n">
        <x:f>IF(AND('계산 과정'!$L$7,O1078&lt;&gt;0),('계산 과정'!$L$23-'계산 과정'!$C$49*D1078-'계산 과정'!$D$49*E1078)/O1078,"")</x:f>
        <x:v>-4.321479220716739</x:v>
      </x:c>
      <x:c r="Q1078" s="4" t="str">
        <x:f>IF(AND(ISNUMBER(P1078),P1078&gt;1E-9,P1078&lt;1-1E-9),'계산 과정'!$C$47*(D1078-'계산 과정'!$C$50+P1078*('계산 과정'!$C$32-D1078))+'계산 과정'!$D$47*(E1078-'계산 과정'!$D$50+P1078*('계산 과정'!$D$32-E1078))+'계산 과정'!$E$47*(0-'계산 과정'!$E$50+P1078*('계산 과정'!$E$32-0)),"")</x:f>
      </x:c>
      <x:c r="R1078" s="4" t="str">
        <x:f>IF(AND(ISNUMBER(P1078),P1078&gt;1E-9,P1078&lt;1-1E-9),'계산 과정'!$C$48*(D1078-'계산 과정'!$C$50+P1078*('계산 과정'!$C$32-D1078))+'계산 과정'!$D$48*(E1078-'계산 과정'!$D$50+P1078*('계산 과정'!$D$32-E1078))+'계산 과정'!$E$48*(0-'계산 과정'!$E$50+P1078*('계산 과정'!$E$32-0)),"")</x:f>
      </x:c>
      <x:c r="S1078" s="17" t="n">
        <x:f>IF('계산 과정'!$C$78,IF(AND(ISNUMBER(Q1078),ISNUMBER(R1078),ABS(Q1078-'계산 과정'!$C$88)&lt;='계산 과정'!$D$23/2,ABS(R1078-'계산 과정'!$C$89)&lt;='계산 과정'!$D$24/2),1,0),"")</x:f>
        <x:v>0</x:v>
      </x:c>
      <x:c r="T1078" s="4"/>
      <x:c r="U1078" s="4"/>
      <x:c r="V1078" s="4"/>
      <x:c r="W1078" s="4"/>
      <x:c r="X1078" s="4"/>
      <x:c r="Y1078" s="4"/>
      <x:c r="Z1078" s="4"/>
    </x:row>
    <x:row r="1079" ht="23" customHeight="1">
      <x:c r="A1079" s="17" t="n">
        <x:f>ROW()-6</x:f>
        <x:v>1073</x:v>
      </x:c>
      <x:c r="B1079" s="4" t="n">
        <x:f>IF('계산 과정'!$L$5,'계산 과정'!$L$11*SQRT((A1079+0.5)/'계산 과정'!$L$30),"")</x:f>
        <x:v>108.59937035815402</x:v>
      </x:c>
      <x:c r="C1079" s="4" t="n">
        <x:f>A1079*PI()*(3-SQRT(5))</x:f>
        <x:v>2575.1605454988444</x:v>
      </x:c>
      <x:c r="D1079" s="4" t="n">
        <x:f>IF('계산 과정'!$L$5,B1079*COS(C1079),"")</x:f>
        <x:v>63.57341444508033</x:v>
      </x:c>
      <x:c r="E1079" s="4" t="n">
        <x:f>IF('계산 과정'!$L$5,B1079*SIN(C1079),"")</x:f>
        <x:v>-88.04682968728376</x:v>
      </x:c>
      <x:c r="F1079" s="4" t="n">
        <x:f>IF('계산 과정'!$L$7,'계산 과정'!$L$22+'계산 과정'!$C$49*D1079+'계산 과정'!$D$49*E1079,"")</x:f>
        <x:v>605.0468075427009</x:v>
      </x:c>
      <x:c r="G1079" s="4" t="n">
        <x:f>IF('계산 과정'!$L$7,IF(ABS(F1079)&gt;=1E-12*MAX(1,SQRT((D1079-'계산 과정'!$C$33)^2+(E1079-'계산 과정'!$D$33)^2+'계산 과정'!$E$33^2)),('계산 과정'!$L$23-'계산 과정'!$C$49*D1079-'계산 과정'!$D$49*E1079)/F1079,""),"")</x:f>
        <x:v>0.7354029257081846</x:v>
      </x:c>
      <x:c r="H1079" s="4" t="n">
        <x:f>IF(AND(ISNUMBER(G1079),G1079&gt;0),('계산 과정'!$D$56+'계산 과정'!$D$57*D1079+'계산 과정'!$D$58*E1079)/F1079,"")</x:f>
        <x:v>78.01190171031988</x:v>
      </x:c>
      <x:c r="I1079" s="4" t="n">
        <x:f>IF(AND(ISNUMBER(G1079),G1079&gt;0),('계산 과정'!$E$56+'계산 과정'!$E$57*D1079+'계산 과정'!$E$58*E1079)/F1079,"")</x:f>
        <x:v>-152.7967258386425</x:v>
      </x:c>
      <x:c r="J1079" s="4" t="n">
        <x:f>IF('계산 과정'!$L$5,'계산 과정'!$D$6+'계산 과정'!$C$35*D1079+'계산 과정'!$D$35*E1079,"")</x:f>
        <x:v>605.0468075427009</x:v>
      </x:c>
      <x:c r="K1079" s="4" t="n">
        <x:f>IF(AND('계산 과정'!$L$6,J1079&gt;0),'계산 과정'!$D$10*('계산 과정'!$C$38*(D1079-'계산 과정'!$C$32)+'계산 과정'!$D$38*(E1079-'계산 과정'!$D$32)-'계산 과정'!$E$38*'계산 과정'!$E$32)/J1079,"")</x:f>
        <x:v>0.5943763939833903</x:v>
      </x:c>
      <x:c r="L1079" s="4" t="n">
        <x:f>IF(AND('계산 과정'!$L$6,J1079&gt;0),'계산 과정'!$D$10*('계산 과정'!$C$39*(D1079-'계산 과정'!$C$32)+'계산 과정'!$D$39*(E1079-'계산 과정'!$D$32)-'계산 과정'!$E$39*'계산 과정'!$E$32)/J1079,"")</x:f>
        <x:v>-1.164165530199181</x:v>
      </x:c>
      <x:c r="M1079" s="17" t="n">
        <x:f>IF('계산 과정'!$L$6,IF(J1079&lt;=0,0,IF(AND(ABS(K1079)&lt;='계산 과정'!$D$11/2,ABS(L1079)&lt;='계산 과정'!$D$12/2),1,0)),"")</x:f>
        <x:v>1</x:v>
      </x:c>
      <x:c r="N1079" s="17" t="n">
        <x:f>IF('계산 과정'!$C$78,IF(AND(ISNUMBER(H1079),ISNUMBER(I1079),ABS(H1079-'계산 과정'!$C$88)&lt;='계산 과정'!$D$23/2,ABS(I1079-'계산 과정'!$C$89)&lt;='계산 과정'!$D$24/2),1,0),"")</x:f>
        <x:v>1</x:v>
      </x:c>
      <x:c r="O1079" s="4" t="n">
        <x:f>IF('계산 과정'!$L$7,'계산 과정'!$C$49*('계산 과정'!$C$32-D1079)+'계산 과정'!$D$49*('계산 과정'!$D$32-E1079)+'계산 과정'!$E$49*'계산 과정'!$E$32,"")</x:f>
        <x:v>44.953192457299224</x:v>
      </x:c>
      <x:c r="P1079" s="4" t="n">
        <x:f>IF(AND('계산 과정'!$L$7,O1079&lt;&gt;0),('계산 과정'!$L$23-'계산 과정'!$C$49*D1079-'계산 과정'!$D$49*E1079)/O1079,"")</x:f>
        <x:v>9.898144450585074</x:v>
      </x:c>
      <x:c r="Q1079" s="4" t="str">
        <x:f>IF(AND(ISNUMBER(P1079),P1079&gt;1E-9,P1079&lt;1-1E-9),'계산 과정'!$C$47*(D1079-'계산 과정'!$C$50+P1079*('계산 과정'!$C$32-D1079))+'계산 과정'!$D$47*(E1079-'계산 과정'!$D$50+P1079*('계산 과정'!$D$32-E1079))+'계산 과정'!$E$47*(0-'계산 과정'!$E$50+P1079*('계산 과정'!$E$32-0)),"")</x:f>
      </x:c>
      <x:c r="R1079" s="4" t="str">
        <x:f>IF(AND(ISNUMBER(P1079),P1079&gt;1E-9,P1079&lt;1-1E-9),'계산 과정'!$C$48*(D1079-'계산 과정'!$C$50+P1079*('계산 과정'!$C$32-D1079))+'계산 과정'!$D$48*(E1079-'계산 과정'!$D$50+P1079*('계산 과정'!$D$32-E1079))+'계산 과정'!$E$48*(0-'계산 과정'!$E$50+P1079*('계산 과정'!$E$32-0)),"")</x:f>
      </x:c>
      <x:c r="S1079" s="17" t="n">
        <x:f>IF('계산 과정'!$C$78,IF(AND(ISNUMBER(Q1079),ISNUMBER(R1079),ABS(Q1079-'계산 과정'!$C$88)&lt;='계산 과정'!$D$23/2,ABS(R1079-'계산 과정'!$C$89)&lt;='계산 과정'!$D$24/2),1,0),"")</x:f>
        <x:v>0</x:v>
      </x:c>
      <x:c r="T1079" s="4"/>
      <x:c r="U1079" s="4"/>
      <x:c r="V1079" s="4"/>
      <x:c r="W1079" s="4"/>
      <x:c r="X1079" s="4"/>
      <x:c r="Y1079" s="4"/>
      <x:c r="Z1079" s="4"/>
    </x:row>
    <x:row r="1080" ht="23" customHeight="1">
      <x:c r="A1080" s="17" t="n">
        <x:f>ROW()-6</x:f>
        <x:v>1074</x:v>
      </x:c>
      <x:c r="B1080" s="4" t="n">
        <x:f>IF('계산 과정'!$L$5,'계산 과정'!$L$11*SQRT((A1080+0.5)/'계산 과정'!$L$30),"")</x:f>
        <x:v>108.64994049843055</x:v>
      </x:c>
      <x:c r="C1080" s="4" t="n">
        <x:f>A1080*PI()*(3-SQRT(5))</x:f>
        <x:v>2577.5605087285735</x:v>
      </x:c>
      <x:c r="D1080" s="4" t="n">
        <x:f>IF('계산 과정'!$L$5,B1080*COS(C1080),"")</x:f>
        <x:v>12.60358783614264</x:v>
      </x:c>
      <x:c r="E1080" s="4" t="n">
        <x:f>IF('계산 과정'!$L$5,B1080*SIN(C1080),"")</x:f>
        <x:v>107.91644519705575</x:v>
      </x:c>
      <x:c r="F1080" s="4" t="n">
        <x:f>IF('계산 과정'!$L$7,'계산 과정'!$L$22+'계산 과정'!$C$49*D1080+'계산 과정'!$D$49*E1080,"")</x:f>
        <x:v>641.0879175737832</x:v>
      </x:c>
      <x:c r="G1080" s="4" t="n">
        <x:f>IF('계산 과정'!$L$7,IF(ABS(F1080)&gt;=1E-12*MAX(1,SQRT((D1080-'계산 과정'!$C$33)^2+(E1080-'계산 과정'!$D$33)^2+'계산 과정'!$E$33^2)),('계산 과정'!$L$23-'계산 과정'!$C$49*D1080-'계산 과정'!$D$49*E1080)/F1080,""),"")</x:f>
        <x:v>0.6378408814406563</x:v>
      </x:c>
      <x:c r="H1080" s="4" t="n">
        <x:f>IF(AND(ISNUMBER(G1080),G1080&gt;0),('계산 과정'!$D$56+'계산 과정'!$D$57*D1080+'계산 과정'!$D$58*E1080)/F1080,"")</x:f>
        <x:v>14.596572936426508</x:v>
      </x:c>
      <x:c r="I1080" s="4" t="n">
        <x:f>IF(AND(ISNUMBER(G1080),G1080&gt;0),('계산 과정'!$E$56+'계산 과정'!$E$57*D1080+'계산 과정'!$E$58*E1080)/F1080,"")</x:f>
        <x:v>176.7499657234881</x:v>
      </x:c>
      <x:c r="J1080" s="4" t="n">
        <x:f>IF('계산 과정'!$L$5,'계산 과정'!$D$6+'계산 과정'!$C$35*D1080+'계산 과정'!$D$35*E1080,"")</x:f>
        <x:v>641.0879175737832</x:v>
      </x:c>
      <x:c r="K1080" s="4" t="n">
        <x:f>IF(AND('계산 과정'!$L$6,J1080&gt;0),'계산 과정'!$D$10*('계산 과정'!$C$38*(D1080-'계산 과정'!$C$32)+'계산 과정'!$D$38*(E1080-'계산 과정'!$D$32)-'계산 과정'!$E$38*'계산 과정'!$E$32)/J1080,"")</x:f>
        <x:v>0.11121198427753662</x:v>
      </x:c>
      <x:c r="L1080" s="4" t="n">
        <x:f>IF(AND('계산 과정'!$L$6,J1080&gt;0),'계산 과정'!$D$10*('계산 과정'!$C$39*(D1080-'계산 과정'!$C$32)+'계산 과정'!$D$39*(E1080-'계산 과정'!$D$32)-'계산 과정'!$E$39*'계산 과정'!$E$32)/J1080,"")</x:f>
        <x:v>1.34666640551229</x:v>
      </x:c>
      <x:c r="M1080" s="17" t="n">
        <x:f>IF('계산 과정'!$L$6,IF(J1080&lt;=0,0,IF(AND(ABS(K1080)&lt;='계산 과정'!$D$11/2,ABS(L1080)&lt;='계산 과정'!$D$12/2),1,0)),"")</x:f>
        <x:v>1</x:v>
      </x:c>
      <x:c r="N1080" s="17" t="n">
        <x:f>IF('계산 과정'!$C$78,IF(AND(ISNUMBER(H1080),ISNUMBER(I1080),ABS(H1080-'계산 과정'!$C$88)&lt;='계산 과정'!$D$23/2,ABS(I1080-'계산 과정'!$C$89)&lt;='계산 과정'!$D$24/2),1,0),"")</x:f>
        <x:v>1</x:v>
      </x:c>
      <x:c r="O1080" s="4" t="n">
        <x:f>IF('계산 과정'!$L$7,'계산 과정'!$C$49*('계산 과정'!$C$32-D1080)+'계산 과정'!$D$49*('계산 과정'!$D$32-E1080)+'계산 과정'!$E$49*'계산 과정'!$E$32,"")</x:f>
        <x:v>8.912082426216841</x:v>
      </x:c>
      <x:c r="P1080" s="4" t="n">
        <x:f>IF(AND('계산 과정'!$L$7,O1080&lt;&gt;0),('계산 과정'!$L$23-'계산 과정'!$C$49*D1080-'계산 과정'!$D$49*E1080)/O1080,"")</x:f>
        <x:v>45.88288829368457</x:v>
      </x:c>
      <x:c r="Q1080" s="4" t="str">
        <x:f>IF(AND(ISNUMBER(P1080),P1080&gt;1E-9,P1080&lt;1-1E-9),'계산 과정'!$C$47*(D1080-'계산 과정'!$C$50+P1080*('계산 과정'!$C$32-D1080))+'계산 과정'!$D$47*(E1080-'계산 과정'!$D$50+P1080*('계산 과정'!$D$32-E1080))+'계산 과정'!$E$47*(0-'계산 과정'!$E$50+P1080*('계산 과정'!$E$32-0)),"")</x:f>
      </x:c>
      <x:c r="R1080" s="4" t="str">
        <x:f>IF(AND(ISNUMBER(P1080),P1080&gt;1E-9,P1080&lt;1-1E-9),'계산 과정'!$C$48*(D1080-'계산 과정'!$C$50+P1080*('계산 과정'!$C$32-D1080))+'계산 과정'!$D$48*(E1080-'계산 과정'!$D$50+P1080*('계산 과정'!$D$32-E1080))+'계산 과정'!$E$48*(0-'계산 과정'!$E$50+P1080*('계산 과정'!$E$32-0)),"")</x:f>
      </x:c>
      <x:c r="S1080" s="17" t="n">
        <x:f>IF('계산 과정'!$C$78,IF(AND(ISNUMBER(Q1080),ISNUMBER(R1080),ABS(Q1080-'계산 과정'!$C$88)&lt;='계산 과정'!$D$23/2,ABS(R1080-'계산 과정'!$C$89)&lt;='계산 과정'!$D$24/2),1,0),"")</x:f>
        <x:v>0</x:v>
      </x:c>
      <x:c r="T1080" s="4"/>
      <x:c r="U1080" s="4"/>
      <x:c r="V1080" s="4"/>
      <x:c r="W1080" s="4"/>
      <x:c r="X1080" s="4"/>
      <x:c r="Y1080" s="4"/>
      <x:c r="Z1080" s="4"/>
    </x:row>
    <x:row r="1081" ht="23" customHeight="1">
      <x:c r="A1081" s="17" t="n">
        <x:f>ROW()-6</x:f>
        <x:v>1075</x:v>
      </x:c>
      <x:c r="B1081" s="4" t="n">
        <x:f>IF('계산 과정'!$L$5,'계산 과정'!$L$11*SQRT((A1081+0.5)/'계산 과정'!$L$30),"")</x:f>
        <x:v>108.70048711223653</x:v>
      </x:c>
      <x:c r="C1081" s="4" t="n">
        <x:f>A1081*PI()*(3-SQRT(5))</x:f>
        <x:v>2579.9604719583017</x:v>
      </x:c>
      <x:c r="D1081" s="4" t="n">
        <x:f>IF('계산 과정'!$L$5,B1081*COS(C1081),"")</x:f>
        <x:v>-82.22824154787828</x:v>
      </x:c>
      <x:c r="E1081" s="4" t="n">
        <x:f>IF('계산 과정'!$L$5,B1081*SIN(C1081),"")</x:f>
        <x:v>-71.09368600924616</x:v>
      </x:c>
      <x:c r="F1081" s="4" t="n">
        <x:f>IF('계산 과정'!$L$7,'계산 과정'!$L$22+'계산 과정'!$C$49*D1081+'계산 과정'!$D$49*E1081,"")</x:f>
        <x:v>708.1441472035501</x:v>
      </x:c>
      <x:c r="G1081" s="4" t="n">
        <x:f>IF('계산 과정'!$L$7,IF(ABS(F1081)&gt;=1E-12*MAX(1,SQRT((D1081-'계산 과정'!$C$33)^2+(E1081-'계산 과정'!$D$33)^2+'계산 과정'!$E$33^2)),('계산 과정'!$L$23-'계산 과정'!$C$49*D1081-'계산 과정'!$D$49*E1081)/F1081,""),"")</x:f>
        <x:v>0.48274896311214766</x:v>
      </x:c>
      <x:c r="H1081" s="4" t="n">
        <x:f>IF(AND(ISNUMBER(G1081),G1081&gt;0),('계산 과정'!$D$56+'계산 과정'!$D$57*D1081+'계산 과정'!$D$58*E1081)/F1081,"")</x:f>
        <x:v>-86.21317397710419</x:v>
      </x:c>
      <x:c r="I1081" s="4" t="n">
        <x:f>IF(AND(ISNUMBER(G1081),G1081&gt;0),('계산 과정'!$E$56+'계산 과정'!$E$57*D1081+'계산 과정'!$E$58*E1081)/F1081,"")</x:f>
        <x:v>-105.41408921403034</x:v>
      </x:c>
      <x:c r="J1081" s="4" t="n">
        <x:f>IF('계산 과정'!$L$5,'계산 과정'!$D$6+'계산 과정'!$C$35*D1081+'계산 과정'!$D$35*E1081,"")</x:f>
        <x:v>708.1441472035501</x:v>
      </x:c>
      <x:c r="K1081" s="4" t="n">
        <x:f>IF(AND('계산 과정'!$L$6,J1081&gt;0),'계산 과정'!$D$10*('계산 과정'!$C$38*(D1081-'계산 과정'!$C$32)+'계산 과정'!$D$38*(E1081-'계산 과정'!$D$32)-'계산 과정'!$E$38*'계산 과정'!$E$32)/J1081,"")</x:f>
        <x:v>-0.6568622779207925</x:v>
      </x:c>
      <x:c r="L1081" s="4" t="n">
        <x:f>IF(AND('계산 과정'!$L$6,J1081&gt;0),'계산 과정'!$D$10*('계산 과정'!$C$39*(D1081-'계산 과정'!$C$32)+'계산 과정'!$D$39*(E1081-'계산 과정'!$D$32)-'계산 과정'!$E$39*'계산 과정'!$E$32)/J1081,"")</x:f>
        <x:v>-0.8031549654402311</x:v>
      </x:c>
      <x:c r="M1081" s="17" t="n">
        <x:f>IF('계산 과정'!$L$6,IF(J1081&lt;=0,0,IF(AND(ABS(K1081)&lt;='계산 과정'!$D$11/2,ABS(L1081)&lt;='계산 과정'!$D$12/2),1,0)),"")</x:f>
        <x:v>1</x:v>
      </x:c>
      <x:c r="N1081" s="17" t="n">
        <x:f>IF('계산 과정'!$C$78,IF(AND(ISNUMBER(H1081),ISNUMBER(I1081),ABS(H1081-'계산 과정'!$C$88)&lt;='계산 과정'!$D$23/2,ABS(I1081-'계산 과정'!$C$89)&lt;='계산 과정'!$D$24/2),1,0),"")</x:f>
        <x:v>1</x:v>
      </x:c>
      <x:c r="O1081" s="4" t="n">
        <x:f>IF('계산 과정'!$L$7,'계산 과정'!$C$49*('계산 과정'!$C$32-D1081)+'계산 과정'!$D$49*('계산 과정'!$D$32-E1081)+'계산 과정'!$E$49*'계산 과정'!$E$32,"")</x:f>
        <x:v>-58.144147203550006</x:v>
      </x:c>
      <x:c r="P1081" s="4" t="n">
        <x:f>IF(AND('계산 과정'!$L$7,O1081&lt;&gt;0),('계산 과정'!$L$23-'계산 과정'!$C$49*D1081-'계산 과정'!$D$49*E1081)/O1081,"")</x:f>
        <x:v>-5.879454239816898</x:v>
      </x:c>
      <x:c r="Q1081" s="4" t="str">
        <x:f>IF(AND(ISNUMBER(P1081),P1081&gt;1E-9,P1081&lt;1-1E-9),'계산 과정'!$C$47*(D1081-'계산 과정'!$C$50+P1081*('계산 과정'!$C$32-D1081))+'계산 과정'!$D$47*(E1081-'계산 과정'!$D$50+P1081*('계산 과정'!$D$32-E1081))+'계산 과정'!$E$47*(0-'계산 과정'!$E$50+P1081*('계산 과정'!$E$32-0)),"")</x:f>
      </x:c>
      <x:c r="R1081" s="4" t="str">
        <x:f>IF(AND(ISNUMBER(P1081),P1081&gt;1E-9,P1081&lt;1-1E-9),'계산 과정'!$C$48*(D1081-'계산 과정'!$C$50+P1081*('계산 과정'!$C$32-D1081))+'계산 과정'!$D$48*(E1081-'계산 과정'!$D$50+P1081*('계산 과정'!$D$32-E1081))+'계산 과정'!$E$48*(0-'계산 과정'!$E$50+P1081*('계산 과정'!$E$32-0)),"")</x:f>
      </x:c>
      <x:c r="S1081" s="17" t="n">
        <x:f>IF('계산 과정'!$C$78,IF(AND(ISNUMBER(Q1081),ISNUMBER(R1081),ABS(Q1081-'계산 과정'!$C$88)&lt;='계산 과정'!$D$23/2,ABS(R1081-'계산 과정'!$C$89)&lt;='계산 과정'!$D$24/2),1,0),"")</x:f>
        <x:v>0</x:v>
      </x:c>
      <x:c r="T1081" s="4"/>
      <x:c r="U1081" s="4"/>
      <x:c r="V1081" s="4"/>
      <x:c r="W1081" s="4"/>
      <x:c r="X1081" s="4"/>
      <x:c r="Y1081" s="4"/>
      <x:c r="Z1081" s="4"/>
    </x:row>
    <x:row r="1082" ht="23" customHeight="1">
      <x:c r="A1082" s="17" t="n">
        <x:f>ROW()-6</x:f>
        <x:v>1076</x:v>
      </x:c>
      <x:c r="B1082" s="4" t="n">
        <x:f>IF('계산 과정'!$L$5,'계산 과정'!$L$11*SQRT((A1082+0.5)/'계산 과정'!$L$30),"")</x:f>
        <x:v>108.7510102323767</x:v>
      </x:c>
      <x:c r="C1082" s="4" t="n">
        <x:f>A1082*PI()*(3-SQRT(5))</x:f>
        <x:v>2582.3604351880304</x:v>
      </x:c>
      <x:c r="D1082" s="4" t="n">
        <x:f>IF('계산 과정'!$L$5,B1082*COS(C1082),"")</x:f>
        <x:v>108.70614337510479</x:v>
      </x:c>
      <x:c r="E1082" s="4" t="n">
        <x:f>IF('계산 과정'!$L$5,B1082*SIN(C1082),"")</x:f>
        <x:v>-3.123558719419689</x:v>
      </x:c>
      <x:c r="F1082" s="4" t="n">
        <x:f>IF('계산 과정'!$L$7,'계산 과정'!$L$22+'계산 과정'!$C$49*D1082+'계산 과정'!$D$49*E1082,"")</x:f>
        <x:v>573.1331488628264</x:v>
      </x:c>
      <x:c r="G1082" s="4" t="n">
        <x:f>IF('계산 과정'!$L$7,IF(ABS(F1082)&gt;=1E-12*MAX(1,SQRT((D1082-'계산 과정'!$C$33)^2+(E1082-'계산 과정'!$D$33)^2+'계산 과정'!$E$33^2)),('계산 과정'!$L$23-'계산 과정'!$C$49*D1082-'계산 과정'!$D$49*E1082)/F1082,""),"")</x:f>
        <x:v>0.8320350202799157</x:v>
      </x:c>
      <x:c r="H1082" s="4" t="n">
        <x:f>IF(AND(ISNUMBER(G1082),G1082&gt;0),('계산 과정'!$D$56+'계산 과정'!$D$57*D1082+'계산 과정'!$D$58*E1082)/F1082,"")</x:f>
        <x:v>140.82276318194516</x:v>
      </x:c>
      <x:c r="I1082" s="4" t="n">
        <x:f>IF(AND(ISNUMBER(G1082),G1082&gt;0),('계산 과정'!$E$56+'계산 과정'!$E$57*D1082+'계산 과정'!$E$58*E1082)/F1082,"")</x:f>
        <x:v>-5.722468961877557</x:v>
      </x:c>
      <x:c r="J1082" s="4" t="n">
        <x:f>IF('계산 과정'!$L$5,'계산 과정'!$D$6+'계산 과정'!$C$35*D1082+'계산 과정'!$D$35*E1082,"")</x:f>
        <x:v>573.1331488628264</x:v>
      </x:c>
      <x:c r="K1082" s="4" t="n">
        <x:f>IF(AND('계산 과정'!$L$6,J1082&gt;0),'계산 과정'!$D$10*('계산 과정'!$C$38*(D1082-'계산 과정'!$C$32)+'계산 과정'!$D$38*(E1082-'계산 과정'!$D$32)-'계산 과정'!$E$38*'계산 과정'!$E$32)/J1082,"")</x:f>
        <x:v>1.0729353385291065</x:v>
      </x:c>
      <x:c r="L1082" s="4" t="n">
        <x:f>IF(AND('계산 과정'!$L$6,J1082&gt;0),'계산 과정'!$D$10*('계산 과정'!$C$39*(D1082-'계산 과정'!$C$32)+'계산 과정'!$D$39*(E1082-'계산 과정'!$D$32)-'계산 과정'!$E$39*'계산 과정'!$E$32)/J1082,"")</x:f>
        <x:v>-0.0435997635190671</x:v>
      </x:c>
      <x:c r="M1082" s="17" t="n">
        <x:f>IF('계산 과정'!$L$6,IF(J1082&lt;=0,0,IF(AND(ABS(K1082)&lt;='계산 과정'!$D$11/2,ABS(L1082)&lt;='계산 과정'!$D$12/2),1,0)),"")</x:f>
        <x:v>1</x:v>
      </x:c>
      <x:c r="N1082" s="17" t="n">
        <x:f>IF('계산 과정'!$C$78,IF(AND(ISNUMBER(H1082),ISNUMBER(I1082),ABS(H1082-'계산 과정'!$C$88)&lt;='계산 과정'!$D$23/2,ABS(I1082-'계산 과정'!$C$89)&lt;='계산 과정'!$D$24/2),1,0),"")</x:f>
        <x:v>1</x:v>
      </x:c>
      <x:c r="O1082" s="4" t="n">
        <x:f>IF('계산 과정'!$L$7,'계산 과정'!$C$49*('계산 과정'!$C$32-D1082)+'계산 과정'!$D$49*('계산 과정'!$D$32-E1082)+'계산 과정'!$E$49*'계산 과정'!$E$32,"")</x:f>
        <x:v>76.86685113717377</x:v>
      </x:c>
      <x:c r="P1082" s="4" t="n">
        <x:f>IF(AND('계산 과정'!$L$7,O1082&lt;&gt;0),('계산 과정'!$L$23-'계산 과정'!$C$49*D1082-'계산 과정'!$D$49*E1082)/O1082,"")</x:f>
        <x:v>6.2038036433439245</x:v>
      </x:c>
      <x:c r="Q1082" s="4" t="str">
        <x:f>IF(AND(ISNUMBER(P1082),P1082&gt;1E-9,P1082&lt;1-1E-9),'계산 과정'!$C$47*(D1082-'계산 과정'!$C$50+P1082*('계산 과정'!$C$32-D1082))+'계산 과정'!$D$47*(E1082-'계산 과정'!$D$50+P1082*('계산 과정'!$D$32-E1082))+'계산 과정'!$E$47*(0-'계산 과정'!$E$50+P1082*('계산 과정'!$E$32-0)),"")</x:f>
      </x:c>
      <x:c r="R1082" s="4" t="str">
        <x:f>IF(AND(ISNUMBER(P1082),P1082&gt;1E-9,P1082&lt;1-1E-9),'계산 과정'!$C$48*(D1082-'계산 과정'!$C$50+P1082*('계산 과정'!$C$32-D1082))+'계산 과정'!$D$48*(E1082-'계산 과정'!$D$50+P1082*('계산 과정'!$D$32-E1082))+'계산 과정'!$E$48*(0-'계산 과정'!$E$50+P1082*('계산 과정'!$E$32-0)),"")</x:f>
      </x:c>
      <x:c r="S1082" s="17" t="n">
        <x:f>IF('계산 과정'!$C$78,IF(AND(ISNUMBER(Q1082),ISNUMBER(R1082),ABS(Q1082-'계산 과정'!$C$88)&lt;='계산 과정'!$D$23/2,ABS(R1082-'계산 과정'!$C$89)&lt;='계산 과정'!$D$24/2),1,0),"")</x:f>
        <x:v>0</x:v>
      </x:c>
      <x:c r="T1082" s="4"/>
      <x:c r="U1082" s="4"/>
      <x:c r="V1082" s="4"/>
      <x:c r="W1082" s="4"/>
      <x:c r="X1082" s="4"/>
      <x:c r="Y1082" s="4"/>
      <x:c r="Z1082" s="4"/>
    </x:row>
    <x:row r="1083" ht="23" customHeight="1">
      <x:c r="A1083" s="17" t="n">
        <x:f>ROW()-6</x:f>
        <x:v>1077</x:v>
      </x:c>
      <x:c r="B1083" s="4" t="n">
        <x:f>IF('계산 과정'!$L$5,'계산 과정'!$L$11*SQRT((A1083+0.5)/'계산 과정'!$L$30),"")</x:f>
        <x:v>108.80150989157963</x:v>
      </x:c>
      <x:c r="C1083" s="4" t="n">
        <x:f>A1083*PI()*(3-SQRT(5))</x:f>
        <x:v>2584.760398417759</x:v>
      </x:c>
      <x:c r="D1083" s="4" t="n">
        <x:f>IF('계산 과정'!$L$5,B1083*COS(C1083),"")</x:f>
        <x:v>-78.0828351270733</x:v>
      </x:c>
      <x:c r="E1083" s="4" t="n">
        <x:f>IF('계산 과정'!$L$5,B1083*SIN(C1083),"")</x:f>
        <x:v>75.76832724302278</x:v>
      </x:c>
      <x:c r="F1083" s="4" t="n">
        <x:f>IF('계산 과정'!$L$7,'계산 과정'!$L$22+'계산 과정'!$C$49*D1083+'계산 과정'!$D$49*E1083,"")</x:f>
        <x:v>705.2129022126247</x:v>
      </x:c>
      <x:c r="G1083" s="4" t="n">
        <x:f>IF('계산 과정'!$L$7,IF(ABS(F1083)&gt;=1E-12*MAX(1,SQRT((D1083-'계산 과정'!$C$33)^2+(E1083-'계산 과정'!$D$33)^2+'계산 과정'!$E$33^2)),('계산 과정'!$L$23-'계산 과정'!$C$49*D1083-'계산 과정'!$D$49*E1083)/F1083,""),"")</x:f>
        <x:v>0.48891206712979357</x:v>
      </x:c>
      <x:c r="H1083" s="4" t="n">
        <x:f>IF(AND(ISNUMBER(G1083),G1083&gt;0),('계산 과정'!$D$56+'계산 과정'!$D$57*D1083+'계산 과정'!$D$58*E1083)/F1083,"")</x:f>
        <x:v>-82.20715636563429</x:v>
      </x:c>
      <x:c r="I1083" s="4" t="n">
        <x:f>IF(AND(ISNUMBER(G1083),G1083&gt;0),('계산 과정'!$E$56+'계산 과정'!$E$57*D1083+'계산 과정'!$E$58*E1083)/F1083,"")</x:f>
        <x:v>112.81237673837569</x:v>
      </x:c>
      <x:c r="J1083" s="4" t="n">
        <x:f>IF('계산 과정'!$L$5,'계산 과정'!$D$6+'계산 과정'!$C$35*D1083+'계산 과정'!$D$35*E1083,"")</x:f>
        <x:v>705.2129022126247</x:v>
      </x:c>
      <x:c r="K1083" s="4" t="n">
        <x:f>IF(AND('계산 과정'!$L$6,J1083&gt;0),'계산 과정'!$D$10*('계산 과정'!$C$38*(D1083-'계산 과정'!$C$32)+'계산 과정'!$D$38*(E1083-'계산 과정'!$D$32)-'계산 과정'!$E$38*'계산 과정'!$E$32)/J1083,"")</x:f>
        <x:v>-0.6263402389762601</x:v>
      </x:c>
      <x:c r="L1083" s="4" t="n">
        <x:f>IF(AND('계산 과정'!$L$6,J1083&gt;0),'계산 과정'!$D$10*('계산 과정'!$C$39*(D1083-'계산 과정'!$C$32)+'계산 과정'!$D$39*(E1083-'계산 과정'!$D$32)-'계산 과정'!$E$39*'계산 과정'!$E$32)/J1083,"")</x:f>
        <x:v>0.8595228703876243</x:v>
      </x:c>
      <x:c r="M1083" s="17" t="n">
        <x:f>IF('계산 과정'!$L$6,IF(J1083&lt;=0,0,IF(AND(ABS(K1083)&lt;='계산 과정'!$D$11/2,ABS(L1083)&lt;='계산 과정'!$D$12/2),1,0)),"")</x:f>
        <x:v>1</x:v>
      </x:c>
      <x:c r="N1083" s="17" t="n">
        <x:f>IF('계산 과정'!$C$78,IF(AND(ISNUMBER(H1083),ISNUMBER(I1083),ABS(H1083-'계산 과정'!$C$88)&lt;='계산 과정'!$D$23/2,ABS(I1083-'계산 과정'!$C$89)&lt;='계산 과정'!$D$24/2),1,0),"")</x:f>
        <x:v>1</x:v>
      </x:c>
      <x:c r="O1083" s="4" t="n">
        <x:f>IF('계산 과정'!$L$7,'계산 과정'!$C$49*('계산 과정'!$C$32-D1083)+'계산 과정'!$D$49*('계산 과정'!$D$32-E1083)+'계산 과정'!$E$49*'계산 과정'!$E$32,"")</x:f>
        <x:v>-55.212902212624556</x:v>
      </x:c>
      <x:c r="P1083" s="4" t="n">
        <x:f>IF(AND('계산 과정'!$L$7,O1083&lt;&gt;0),('계산 과정'!$L$23-'계산 과정'!$C$49*D1083-'계산 과정'!$D$49*E1083)/O1083,"")</x:f>
        <x:v>-6.244683470171561</x:v>
      </x:c>
      <x:c r="Q1083" s="4" t="str">
        <x:f>IF(AND(ISNUMBER(P1083),P1083&gt;1E-9,P1083&lt;1-1E-9),'계산 과정'!$C$47*(D1083-'계산 과정'!$C$50+P1083*('계산 과정'!$C$32-D1083))+'계산 과정'!$D$47*(E1083-'계산 과정'!$D$50+P1083*('계산 과정'!$D$32-E1083))+'계산 과정'!$E$47*(0-'계산 과정'!$E$50+P1083*('계산 과정'!$E$32-0)),"")</x:f>
      </x:c>
      <x:c r="R1083" s="4" t="str">
        <x:f>IF(AND(ISNUMBER(P1083),P1083&gt;1E-9,P1083&lt;1-1E-9),'계산 과정'!$C$48*(D1083-'계산 과정'!$C$50+P1083*('계산 과정'!$C$32-D1083))+'계산 과정'!$D$48*(E1083-'계산 과정'!$D$50+P1083*('계산 과정'!$D$32-E1083))+'계산 과정'!$E$48*(0-'계산 과정'!$E$50+P1083*('계산 과정'!$E$32-0)),"")</x:f>
      </x:c>
      <x:c r="S1083" s="17" t="n">
        <x:f>IF('계산 과정'!$C$78,IF(AND(ISNUMBER(Q1083),ISNUMBER(R1083),ABS(Q1083-'계산 과정'!$C$88)&lt;='계산 과정'!$D$23/2,ABS(R1083-'계산 과정'!$C$89)&lt;='계산 과정'!$D$24/2),1,0),"")</x:f>
        <x:v>0</x:v>
      </x:c>
      <x:c r="T1083" s="4"/>
      <x:c r="U1083" s="4"/>
      <x:c r="V1083" s="4"/>
      <x:c r="W1083" s="4"/>
      <x:c r="X1083" s="4"/>
      <x:c r="Y1083" s="4"/>
      <x:c r="Z1083" s="4"/>
    </x:row>
    <x:row r="1084" ht="23" customHeight="1">
      <x:c r="A1084" s="17" t="n">
        <x:f>ROW()-6</x:f>
        <x:v>1078</x:v>
      </x:c>
      <x:c r="B1084" s="4" t="n">
        <x:f>IF('계산 과정'!$L$5,'계산 과정'!$L$11*SQRT((A1084+0.5)/'계산 과정'!$L$30),"")</x:f>
        <x:v>108.85198612249802</x:v>
      </x:c>
      <x:c r="C1084" s="4" t="n">
        <x:f>A1084*PI()*(3-SQRT(5))</x:f>
        <x:v>2587.160361647488</x:v>
      </x:c>
      <x:c r="D1084" s="4" t="n">
        <x:f>IF('계산 과정'!$L$5,B1084*COS(C1084),"")</x:f>
        <x:v>6.398049737428512</x:v>
      </x:c>
      <x:c r="E1084" s="4" t="n">
        <x:f>IF('계산 과정'!$L$5,B1084*SIN(C1084),"")</x:f>
        <x:v>-108.66379269273594</x:v>
      </x:c>
      <x:c r="F1084" s="4" t="n">
        <x:f>IF('계산 과정'!$L$7,'계산 과정'!$L$22+'계산 과정'!$C$49*D1084+'계산 과정'!$D$49*E1084,"")</x:f>
        <x:v>645.4758956442955</x:v>
      </x:c>
      <x:c r="G1084" s="4" t="n">
        <x:f>IF('계산 과정'!$L$7,IF(ABS(F1084)&gt;=1E-12*MAX(1,SQRT((D1084-'계산 과정'!$C$33)^2+(E1084-'계산 과정'!$D$33)^2+'계산 과정'!$E$33^2)),('계산 과정'!$L$23-'계산 과정'!$C$49*D1084-'계산 과정'!$D$49*E1084)/F1084,""),"")</x:f>
        <x:v>0.6267067555666354</x:v>
      </x:c>
      <x:c r="H1084" s="4" t="n">
        <x:f>IF(AND(ISNUMBER(G1084),G1084&gt;0),('계산 과정'!$D$56+'계산 과정'!$D$57*D1084+'계산 과정'!$D$58*E1084)/F1084,"")</x:f>
        <x:v>7.359391118312856</x:v>
      </x:c>
      <x:c r="I1084" s="4" t="n">
        <x:f>IF(AND(ISNUMBER(G1084),G1084&gt;0),('계산 과정'!$E$56+'계산 과정'!$E$57*D1084+'계산 과정'!$E$58*E1084)/F1084,"")</x:f>
        <x:v>-176.76412565876592</x:v>
      </x:c>
      <x:c r="J1084" s="4" t="n">
        <x:f>IF('계산 과정'!$L$5,'계산 과정'!$D$6+'계산 과정'!$C$35*D1084+'계산 과정'!$D$35*E1084,"")</x:f>
        <x:v>645.4758956442955</x:v>
      </x:c>
      <x:c r="K1084" s="4" t="n">
        <x:f>IF(AND('계산 과정'!$L$6,J1084&gt;0),'계산 과정'!$D$10*('계산 과정'!$C$38*(D1084-'계산 과정'!$C$32)+'계산 과정'!$D$38*(E1084-'계산 과정'!$D$32)-'계산 과정'!$E$38*'계산 과정'!$E$32)/J1084,"")</x:f>
        <x:v>0.056071551377622236</x:v>
      </x:c>
      <x:c r="L1084" s="4" t="n">
        <x:f>IF(AND('계산 과정'!$L$6,J1084&gt;0),'계산 과정'!$D$10*('계산 과정'!$C$39*(D1084-'계산 과정'!$C$32)+'계산 과정'!$D$39*(E1084-'계산 과정'!$D$32)-'계산 과정'!$E$39*'계산 과정'!$E$32)/J1084,"")</x:f>
        <x:v>-1.3467742907334548</x:v>
      </x:c>
      <x:c r="M1084" s="17" t="n">
        <x:f>IF('계산 과정'!$L$6,IF(J1084&lt;=0,0,IF(AND(ABS(K1084)&lt;='계산 과정'!$D$11/2,ABS(L1084)&lt;='계산 과정'!$D$12/2),1,0)),"")</x:f>
        <x:v>1</x:v>
      </x:c>
      <x:c r="N1084" s="17" t="n">
        <x:f>IF('계산 과정'!$C$78,IF(AND(ISNUMBER(H1084),ISNUMBER(I1084),ABS(H1084-'계산 과정'!$C$88)&lt;='계산 과정'!$D$23/2,ABS(I1084-'계산 과정'!$C$89)&lt;='계산 과정'!$D$24/2),1,0),"")</x:f>
        <x:v>1</x:v>
      </x:c>
      <x:c r="O1084" s="4" t="n">
        <x:f>IF('계산 과정'!$L$7,'계산 과정'!$C$49*('계산 과정'!$C$32-D1084)+'계산 과정'!$D$49*('계산 과정'!$D$32-E1084)+'계산 과정'!$E$49*'계산 과정'!$E$32,"")</x:f>
        <x:v>4.524104355704594</x:v>
      </x:c>
      <x:c r="P1084" s="4" t="n">
        <x:f>IF(AND('계산 과정'!$L$7,O1084&lt;&gt;0),('계산 과정'!$L$23-'계산 과정'!$C$49*D1084-'계산 과정'!$D$49*E1084)/O1084,"")</x:f>
        <x:v>89.41529030947896</x:v>
      </x:c>
      <x:c r="Q1084" s="4" t="str">
        <x:f>IF(AND(ISNUMBER(P1084),P1084&gt;1E-9,P1084&lt;1-1E-9),'계산 과정'!$C$47*(D1084-'계산 과정'!$C$50+P1084*('계산 과정'!$C$32-D1084))+'계산 과정'!$D$47*(E1084-'계산 과정'!$D$50+P1084*('계산 과정'!$D$32-E1084))+'계산 과정'!$E$47*(0-'계산 과정'!$E$50+P1084*('계산 과정'!$E$32-0)),"")</x:f>
      </x:c>
      <x:c r="R1084" s="4" t="str">
        <x:f>IF(AND(ISNUMBER(P1084),P1084&gt;1E-9,P1084&lt;1-1E-9),'계산 과정'!$C$48*(D1084-'계산 과정'!$C$50+P1084*('계산 과정'!$C$32-D1084))+'계산 과정'!$D$48*(E1084-'계산 과정'!$D$50+P1084*('계산 과정'!$D$32-E1084))+'계산 과정'!$E$48*(0-'계산 과정'!$E$50+P1084*('계산 과정'!$E$32-0)),"")</x:f>
      </x:c>
      <x:c r="S1084" s="17" t="n">
        <x:f>IF('계산 과정'!$C$78,IF(AND(ISNUMBER(Q1084),ISNUMBER(R1084),ABS(Q1084-'계산 과정'!$C$88)&lt;='계산 과정'!$D$23/2,ABS(R1084-'계산 과정'!$C$89)&lt;='계산 과정'!$D$24/2),1,0),"")</x:f>
        <x:v>0</x:v>
      </x:c>
      <x:c r="T1084" s="4"/>
      <x:c r="U1084" s="4"/>
      <x:c r="V1084" s="4"/>
      <x:c r="W1084" s="4"/>
      <x:c r="X1084" s="4"/>
      <x:c r="Y1084" s="4"/>
      <x:c r="Z1084" s="4"/>
    </x:row>
    <x:row r="1085" ht="23" customHeight="1">
      <x:c r="A1085" s="17" t="n">
        <x:f>ROW()-6</x:f>
        <x:v>1079</x:v>
      </x:c>
      <x:c r="B1085" s="4" t="n">
        <x:f>IF('계산 과정'!$L$5,'계산 과정'!$L$11*SQRT((A1085+0.5)/'계산 과정'!$L$30),"")</x:f>
        <x:v>108.90243895770884</x:v>
      </x:c>
      <x:c r="C1085" s="4" t="n">
        <x:f>A1085*PI()*(3-SQRT(5))</x:f>
        <x:v>2589.5603248772163</x:v>
      </x:c>
      <x:c r="D1085" s="4" t="n">
        <x:f>IF('계산 과정'!$L$5,B1085*COS(C1085),"")</x:f>
        <x:v>68.71544936210809</x:v>
      </x:c>
      <x:c r="E1085" s="4" t="n">
        <x:f>IF('계산 과정'!$L$5,B1085*SIN(C1085),"")</x:f>
        <x:v>84.48626059840178</x:v>
      </x:c>
      <x:c r="F1085" s="4" t="n">
        <x:f>IF('계산 과정'!$L$7,'계산 과정'!$L$22+'계산 과정'!$C$49*D1085+'계산 과정'!$D$49*E1085,"")</x:f>
        <x:v>601.4108397837725</x:v>
      </x:c>
      <x:c r="G1085" s="4" t="n">
        <x:f>IF('계산 과정'!$L$7,IF(ABS(F1085)&gt;=1E-12*MAX(1,SQRT((D1085-'계산 과정'!$C$33)^2+(E1085-'계산 과정'!$D$33)^2+'계산 과정'!$E$33^2)),('계산 과정'!$L$23-'계산 과정'!$C$49*D1085-'계산 과정'!$D$49*E1085)/F1085,""),"")</x:f>
        <x:v>0.7458947038226155</x:v>
      </x:c>
      <x:c r="H1085" s="4" t="n">
        <x:f>IF(AND(ISNUMBER(G1085),G1085&gt;0),('계산 과정'!$D$56+'계산 과정'!$D$57*D1085+'계산 과정'!$D$58*E1085)/F1085,"")</x:f>
        <x:v>84.83155748469994</x:v>
      </x:c>
      <x:c r="I1085" s="4" t="n">
        <x:f>IF(AND(ISNUMBER(G1085),G1085&gt;0),('계산 과정'!$E$56+'계산 과정'!$E$57*D1085+'계산 과정'!$E$58*E1085)/F1085,"")</x:f>
        <x:v>147.504114924527</x:v>
      </x:c>
      <x:c r="J1085" s="4" t="n">
        <x:f>IF('계산 과정'!$L$5,'계산 과정'!$D$6+'계산 과정'!$C$35*D1085+'계산 과정'!$D$35*E1085,"")</x:f>
        <x:v>601.4108397837725</x:v>
      </x:c>
      <x:c r="K1085" s="4" t="n">
        <x:f>IF(AND('계산 과정'!$L$6,J1085&gt;0),'계산 과정'!$D$10*('계산 과정'!$C$38*(D1085-'계산 과정'!$C$32)+'계산 과정'!$D$38*(E1085-'계산 과정'!$D$32)-'계산 과정'!$E$38*'계산 과정'!$E$32)/J1085,"")</x:f>
        <x:v>0.6463356760739053</x:v>
      </x:c>
      <x:c r="L1085" s="4" t="n">
        <x:f>IF(AND('계산 과정'!$L$6,J1085&gt;0),'계산 과정'!$D$10*('계산 과정'!$C$39*(D1085-'계산 과정'!$C$32)+'계산 과정'!$D$39*(E1085-'계산 과정'!$D$32)-'계산 과정'!$E$39*'계산 과정'!$E$32)/J1085,"")</x:f>
        <x:v>1.1238408756154437</x:v>
      </x:c>
      <x:c r="M1085" s="17" t="n">
        <x:f>IF('계산 과정'!$L$6,IF(J1085&lt;=0,0,IF(AND(ABS(K1085)&lt;='계산 과정'!$D$11/2,ABS(L1085)&lt;='계산 과정'!$D$12/2),1,0)),"")</x:f>
        <x:v>1</x:v>
      </x:c>
      <x:c r="N1085" s="17" t="n">
        <x:f>IF('계산 과정'!$C$78,IF(AND(ISNUMBER(H1085),ISNUMBER(I1085),ABS(H1085-'계산 과정'!$C$88)&lt;='계산 과정'!$D$23/2,ABS(I1085-'계산 과정'!$C$89)&lt;='계산 과정'!$D$24/2),1,0),"")</x:f>
        <x:v>1</x:v>
      </x:c>
      <x:c r="O1085" s="4" t="n">
        <x:f>IF('계산 과정'!$L$7,'계산 과정'!$C$49*('계산 과정'!$C$32-D1085)+'계산 과정'!$D$49*('계산 과정'!$D$32-E1085)+'계산 과정'!$E$49*'계산 과정'!$E$32,"")</x:f>
        <x:v>48.589160216227526</x:v>
      </x:c>
      <x:c r="P1085" s="4" t="n">
        <x:f>IF(AND('계산 과정'!$L$7,O1085&lt;&gt;0),('계산 과정'!$L$23-'계산 과정'!$C$49*D1085-'계산 과정'!$D$49*E1085)/O1085,"")</x:f>
        <x:v>9.232288811330603</x:v>
      </x:c>
      <x:c r="Q1085" s="4" t="str">
        <x:f>IF(AND(ISNUMBER(P1085),P1085&gt;1E-9,P1085&lt;1-1E-9),'계산 과정'!$C$47*(D1085-'계산 과정'!$C$50+P1085*('계산 과정'!$C$32-D1085))+'계산 과정'!$D$47*(E1085-'계산 과정'!$D$50+P1085*('계산 과정'!$D$32-E1085))+'계산 과정'!$E$47*(0-'계산 과정'!$E$50+P1085*('계산 과정'!$E$32-0)),"")</x:f>
      </x:c>
      <x:c r="R1085" s="4" t="str">
        <x:f>IF(AND(ISNUMBER(P1085),P1085&gt;1E-9,P1085&lt;1-1E-9),'계산 과정'!$C$48*(D1085-'계산 과정'!$C$50+P1085*('계산 과정'!$C$32-D1085))+'계산 과정'!$D$48*(E1085-'계산 과정'!$D$50+P1085*('계산 과정'!$D$32-E1085))+'계산 과정'!$E$48*(0-'계산 과정'!$E$50+P1085*('계산 과정'!$E$32-0)),"")</x:f>
      </x:c>
      <x:c r="S1085" s="17" t="n">
        <x:f>IF('계산 과정'!$C$78,IF(AND(ISNUMBER(Q1085),ISNUMBER(R1085),ABS(Q1085-'계산 과정'!$C$88)&lt;='계산 과정'!$D$23/2,ABS(R1085-'계산 과정'!$C$89)&lt;='계산 과정'!$D$24/2),1,0),"")</x:f>
        <x:v>0</x:v>
      </x:c>
      <x:c r="T1085" s="4"/>
      <x:c r="U1085" s="4"/>
      <x:c r="V1085" s="4"/>
      <x:c r="W1085" s="4"/>
      <x:c r="X1085" s="4"/>
      <x:c r="Y1085" s="4"/>
      <x:c r="Z1085" s="4"/>
    </x:row>
    <x:row r="1086" ht="23" customHeight="1">
      <x:c r="A1086" s="17" t="n">
        <x:f>ROW()-6</x:f>
        <x:v>1080</x:v>
      </x:c>
      <x:c r="B1086" s="4" t="n">
        <x:f>IF('계산 과정'!$L$5,'계산 과정'!$L$11*SQRT((A1086+0.5)/'계산 과정'!$L$30),"")</x:f>
        <x:v>108.95286842971367</x:v>
      </x:c>
      <x:c r="C1086" s="4" t="n">
        <x:f>A1086*PI()*(3-SQRT(5))</x:f>
        <x:v>2591.960288106945</x:v>
      </x:c>
      <x:c r="D1086" s="4" t="n">
        <x:f>IF('계산 과정'!$L$5,B1086*COS(C1086),"")</x:f>
        <x:v>-107.78817322147522</x:v>
      </x:c>
      <x:c r="E1086" s="4" t="n">
        <x:f>IF('계산 과정'!$L$5,B1086*SIN(C1086),"")</x:f>
        <x:v>-15.888274061072515</x:v>
      </x:c>
      <x:c r="F1086" s="4" t="n">
        <x:f>IF('계산 과정'!$L$7,'계산 과정'!$L$22+'계산 과정'!$C$49*D1086+'계산 과정'!$D$49*E1086,"")</x:f>
        <x:v>726.2177482166153</x:v>
      </x:c>
      <x:c r="G1086" s="4" t="n">
        <x:f>IF('계산 과정'!$L$7,IF(ABS(F1086)&gt;=1E-12*MAX(1,SQRT((D1086-'계산 과정'!$C$33)^2+(E1086-'계산 과정'!$D$33)^2+'계산 과정'!$E$33^2)),('계산 과정'!$L$23-'계산 과정'!$C$49*D1086-'계산 과정'!$D$49*E1086)/F1086,""),"")</x:f>
        <x:v>0.4458473406612576</x:v>
      </x:c>
      <x:c r="H1086" s="4" t="n">
        <x:f>IF(AND(ISNUMBER(G1086),G1086&gt;0),('계산 과정'!$D$56+'계산 과정'!$D$57*D1086+'계산 과정'!$D$58*E1086)/F1086,"")</x:f>
        <x:v>-110.19922857018275</x:v>
      </x:c>
      <x:c r="I1086" s="4" t="n">
        <x:f>IF(AND(ISNUMBER(G1086),G1086&gt;0),('계산 과정'!$E$56+'계산 과정'!$E$57*D1086+'계산 과정'!$E$58*E1086)/F1086,"")</x:f>
        <x:v>-22.972018798898937</x:v>
      </x:c>
      <x:c r="J1086" s="4" t="n">
        <x:f>IF('계산 과정'!$L$5,'계산 과정'!$D$6+'계산 과정'!$C$35*D1086+'계산 과정'!$D$35*E1086,"")</x:f>
        <x:v>726.2177482166153</x:v>
      </x:c>
      <x:c r="K1086" s="4" t="n">
        <x:f>IF(AND('계산 과정'!$L$6,J1086&gt;0),'계산 과정'!$D$10*('계산 과정'!$C$38*(D1086-'계산 과정'!$C$32)+'계산 과정'!$D$38*(E1086-'계산 과정'!$D$32)-'계산 과정'!$E$38*'계산 과정'!$E$32)/J1086,"")</x:f>
        <x:v>-0.8396131700585342</x:v>
      </x:c>
      <x:c r="L1086" s="4" t="n">
        <x:f>IF(AND('계산 과정'!$L$6,J1086&gt;0),'계산 과정'!$D$10*('계산 과정'!$C$39*(D1086-'계산 과정'!$C$32)+'계산 과정'!$D$39*(E1086-'계산 과정'!$D$32)-'계산 과정'!$E$39*'계산 과정'!$E$32)/J1086,"")</x:f>
        <x:v>-0.17502490513446808</x:v>
      </x:c>
      <x:c r="M1086" s="17" t="n">
        <x:f>IF('계산 과정'!$L$6,IF(J1086&lt;=0,0,IF(AND(ABS(K1086)&lt;='계산 과정'!$D$11/2,ABS(L1086)&lt;='계산 과정'!$D$12/2),1,0)),"")</x:f>
        <x:v>1</x:v>
      </x:c>
      <x:c r="N1086" s="17" t="n">
        <x:f>IF('계산 과정'!$C$78,IF(AND(ISNUMBER(H1086),ISNUMBER(I1086),ABS(H1086-'계산 과정'!$C$88)&lt;='계산 과정'!$D$23/2,ABS(I1086-'계산 과정'!$C$89)&lt;='계산 과정'!$D$24/2),1,0),"")</x:f>
        <x:v>1</x:v>
      </x:c>
      <x:c r="O1086" s="4" t="n">
        <x:f>IF('계산 과정'!$L$7,'계산 과정'!$C$49*('계산 과정'!$C$32-D1086)+'계산 과정'!$D$49*('계산 과정'!$D$32-E1086)+'계산 과정'!$E$49*'계산 과정'!$E$32,"")</x:f>
        <x:v>-76.21774821661523</x:v>
      </x:c>
      <x:c r="P1086" s="4" t="n">
        <x:f>IF(AND('계산 과정'!$L$7,O1086&lt;&gt;0),('계산 과정'!$L$23-'계산 과정'!$C$49*D1086-'계산 과정'!$D$49*E1086)/O1086,"")</x:f>
        <x:v>-4.248121459363728</x:v>
      </x:c>
      <x:c r="Q1086" s="4" t="str">
        <x:f>IF(AND(ISNUMBER(P1086),P1086&gt;1E-9,P1086&lt;1-1E-9),'계산 과정'!$C$47*(D1086-'계산 과정'!$C$50+P1086*('계산 과정'!$C$32-D1086))+'계산 과정'!$D$47*(E1086-'계산 과정'!$D$50+P1086*('계산 과정'!$D$32-E1086))+'계산 과정'!$E$47*(0-'계산 과정'!$E$50+P1086*('계산 과정'!$E$32-0)),"")</x:f>
      </x:c>
      <x:c r="R1086" s="4" t="str">
        <x:f>IF(AND(ISNUMBER(P1086),P1086&gt;1E-9,P1086&lt;1-1E-9),'계산 과정'!$C$48*(D1086-'계산 과정'!$C$50+P1086*('계산 과정'!$C$32-D1086))+'계산 과정'!$D$48*(E1086-'계산 과정'!$D$50+P1086*('계산 과정'!$D$32-E1086))+'계산 과정'!$E$48*(0-'계산 과정'!$E$50+P1086*('계산 과정'!$E$32-0)),"")</x:f>
      </x:c>
      <x:c r="S1086" s="17" t="n">
        <x:f>IF('계산 과정'!$C$78,IF(AND(ISNUMBER(Q1086),ISNUMBER(R1086),ABS(Q1086-'계산 과정'!$C$88)&lt;='계산 과정'!$D$23/2,ABS(R1086-'계산 과정'!$C$89)&lt;='계산 과정'!$D$24/2),1,0),"")</x:f>
        <x:v>0</x:v>
      </x:c>
      <x:c r="T1086" s="4"/>
      <x:c r="U1086" s="4"/>
      <x:c r="V1086" s="4"/>
      <x:c r="W1086" s="4"/>
      <x:c r="X1086" s="4"/>
      <x:c r="Y1086" s="4"/>
      <x:c r="Z1086" s="4"/>
    </x:row>
    <x:row r="1087" ht="23" customHeight="1">
      <x:c r="A1087" s="17" t="n">
        <x:f>ROW()-6</x:f>
        <x:v>1081</x:v>
      </x:c>
      <x:c r="B1087" s="4" t="n">
        <x:f>IF('계산 과정'!$L$5,'계산 과정'!$L$11*SQRT((A1087+0.5)/'계산 과정'!$L$30),"")</x:f>
        <x:v>109.00327457093893</x:v>
      </x:c>
      <x:c r="C1087" s="4" t="n">
        <x:f>A1087*PI()*(3-SQRT(5))</x:f>
        <x:v>2594.360251336674</x:v>
      </x:c>
      <x:c r="D1087" s="4" t="n">
        <x:f>IF('계산 과정'!$L$5,B1087*COS(C1087),"")</x:f>
        <x:v>90.25375512203087</x:v>
      </x:c>
      <x:c r="E1087" s="4" t="n">
        <x:f>IF('계산 과정'!$L$5,B1087*SIN(C1087),"")</x:f>
        <x:v>-61.1226108208737</x:v>
      </x:c>
      <x:c r="F1087" s="4" t="n">
        <x:f>IF('계산 과정'!$L$7,'계산 과정'!$L$22+'계산 과정'!$C$49*D1087+'계산 과정'!$D$49*E1087,"")</x:f>
        <x:v>586.1809577256619</x:v>
      </x:c>
      <x:c r="G1087" s="4" t="n">
        <x:f>IF('계산 과정'!$L$7,IF(ABS(F1087)&gt;=1E-12*MAX(1,SQRT((D1087-'계산 과정'!$C$33)^2+(E1087-'계산 과정'!$D$33)^2+'계산 과정'!$E$33^2)),('계산 과정'!$L$23-'계산 과정'!$C$49*D1087-'계산 과정'!$D$49*E1087)/F1087,""),"")</x:f>
        <x:v>0.7912557311208491</x:v>
      </x:c>
      <x:c r="H1087" s="4" t="n">
        <x:f>IF(AND(ISNUMBER(G1087),G1087&gt;0),('계산 과정'!$D$56+'계산 과정'!$D$57*D1087+'계산 과정'!$D$58*E1087)/F1087,"")</x:f>
        <x:v>114.31622522855182</x:v>
      </x:c>
      <x:c r="I1087" s="4" t="n">
        <x:f>IF(AND(ISNUMBER(G1087),G1087&gt;0),('계산 과정'!$E$56+'계산 과정'!$E$57*D1087+'계산 과정'!$E$58*E1087)/F1087,"")</x:f>
        <x:v>-109.48622693395924</x:v>
      </x:c>
      <x:c r="J1087" s="4" t="n">
        <x:f>IF('계산 과정'!$L$5,'계산 과정'!$D$6+'계산 과정'!$C$35*D1087+'계산 과정'!$D$35*E1087,"")</x:f>
        <x:v>586.1809577256619</x:v>
      </x:c>
      <x:c r="K1087" s="4" t="n">
        <x:f>IF(AND('계산 과정'!$L$6,J1087&gt;0),'계산 과정'!$D$10*('계산 과정'!$C$38*(D1087-'계산 과정'!$C$32)+'계산 과정'!$D$38*(E1087-'계산 과정'!$D$32)-'계산 과정'!$E$38*'계산 과정'!$E$32)/J1087,"")</x:f>
        <x:v>0.8709807636461099</x:v>
      </x:c>
      <x:c r="L1087" s="4" t="n">
        <x:f>IF(AND('계산 과정'!$L$6,J1087&gt;0),'계산 과정'!$D$10*('계산 과정'!$C$39*(D1087-'계산 과정'!$C$32)+'계산 과정'!$D$39*(E1087-'계산 과정'!$D$32)-'계산 과정'!$E$39*'계산 과정'!$E$32)/J1087,"")</x:f>
        <x:v>-0.8341807766396895</x:v>
      </x:c>
      <x:c r="M1087" s="17" t="n">
        <x:f>IF('계산 과정'!$L$6,IF(J1087&lt;=0,0,IF(AND(ABS(K1087)&lt;='계산 과정'!$D$11/2,ABS(L1087)&lt;='계산 과정'!$D$12/2),1,0)),"")</x:f>
        <x:v>1</x:v>
      </x:c>
      <x:c r="N1087" s="17" t="n">
        <x:f>IF('계산 과정'!$C$78,IF(AND(ISNUMBER(H1087),ISNUMBER(I1087),ABS(H1087-'계산 과정'!$C$88)&lt;='계산 과정'!$D$23/2,ABS(I1087-'계산 과정'!$C$89)&lt;='계산 과정'!$D$24/2),1,0),"")</x:f>
        <x:v>1</x:v>
      </x:c>
      <x:c r="O1087" s="4" t="n">
        <x:f>IF('계산 과정'!$L$7,'계산 과정'!$C$49*('계산 과정'!$C$32-D1087)+'계산 과정'!$D$49*('계산 과정'!$D$32-E1087)+'계산 과정'!$E$49*'계산 과정'!$E$32,"")</x:f>
        <x:v>63.81904227433819</x:v>
      </x:c>
      <x:c r="P1087" s="4" t="n">
        <x:f>IF(AND('계산 과정'!$L$7,O1087&lt;&gt;0),('계산 과정'!$L$23-'계산 과정'!$C$49*D1087-'계산 과정'!$D$49*E1087)/O1087,"")</x:f>
        <x:v>7.267721760544831</x:v>
      </x:c>
      <x:c r="Q1087" s="4" t="str">
        <x:f>IF(AND(ISNUMBER(P1087),P1087&gt;1E-9,P1087&lt;1-1E-9),'계산 과정'!$C$47*(D1087-'계산 과정'!$C$50+P1087*('계산 과정'!$C$32-D1087))+'계산 과정'!$D$47*(E1087-'계산 과정'!$D$50+P1087*('계산 과정'!$D$32-E1087))+'계산 과정'!$E$47*(0-'계산 과정'!$E$50+P1087*('계산 과정'!$E$32-0)),"")</x:f>
      </x:c>
      <x:c r="R1087" s="4" t="str">
        <x:f>IF(AND(ISNUMBER(P1087),P1087&gt;1E-9,P1087&lt;1-1E-9),'계산 과정'!$C$48*(D1087-'계산 과정'!$C$50+P1087*('계산 과정'!$C$32-D1087))+'계산 과정'!$D$48*(E1087-'계산 과정'!$D$50+P1087*('계산 과정'!$D$32-E1087))+'계산 과정'!$E$48*(0-'계산 과정'!$E$50+P1087*('계산 과정'!$E$32-0)),"")</x:f>
      </x:c>
      <x:c r="S1087" s="17" t="n">
        <x:f>IF('계산 과정'!$C$78,IF(AND(ISNUMBER(Q1087),ISNUMBER(R1087),ABS(Q1087-'계산 과정'!$C$88)&lt;='계산 과정'!$D$23/2,ABS(R1087-'계산 과정'!$C$89)&lt;='계산 과정'!$D$24/2),1,0),"")</x:f>
        <x:v>0</x:v>
      </x:c>
      <x:c r="T1087" s="4"/>
      <x:c r="U1087" s="4"/>
      <x:c r="V1087" s="4"/>
      <x:c r="W1087" s="4"/>
      <x:c r="X1087" s="4"/>
      <x:c r="Y1087" s="4"/>
      <x:c r="Z1087" s="4"/>
    </x:row>
    <x:row r="1088" ht="23" customHeight="1">
      <x:c r="A1088" s="17" t="n">
        <x:f>ROW()-6</x:f>
        <x:v>1082</x:v>
      </x:c>
      <x:c r="B1088" s="4" t="n">
        <x:f>IF('계산 과정'!$L$5,'계산 과정'!$L$11*SQRT((A1088+0.5)/'계산 과정'!$L$30),"")</x:f>
        <x:v>109.05365741373602</x:v>
      </x:c>
      <x:c r="C1088" s="4" t="n">
        <x:f>A1088*PI()*(3-SQRT(5))</x:f>
        <x:v>2596.7602145664023</x:v>
      </x:c>
      <x:c r="D1088" s="4" t="n">
        <x:f>IF('계산 과정'!$L$5,B1088*COS(C1088),"")</x:f>
        <x:v>-25.274256506020475</x:v>
      </x:c>
      <x:c r="E1088" s="4" t="n">
        <x:f>IF('계산 과정'!$L$5,B1088*SIN(C1088),"")</x:f>
        <x:v>106.08445764286294</x:v>
      </x:c>
      <x:c r="F1088" s="4" t="n">
        <x:f>IF('계산 과정'!$L$7,'계산 과정'!$L$22+'계산 과정'!$C$49*D1088+'계산 과정'!$D$49*E1088,"")</x:f>
        <x:v>667.8715981648553</x:v>
      </x:c>
      <x:c r="G1088" s="4" t="n">
        <x:f>IF('계산 과정'!$L$7,IF(ABS(F1088)&gt;=1E-12*MAX(1,SQRT((D1088-'계산 과정'!$C$33)^2+(E1088-'계산 과정'!$D$33)^2+'계산 과정'!$E$33^2)),('계산 과정'!$L$23-'계산 과정'!$C$49*D1088-'계산 과정'!$D$49*E1088)/F1088,""),"")</x:f>
        <x:v>0.5721584850817707</x:v>
      </x:c>
      <x:c r="H1088" s="4" t="n">
        <x:f>IF(AND(ISNUMBER(G1088),G1088&gt;0),('계산 과정'!$D$56+'계산 과정'!$D$57*D1088+'계산 과정'!$D$58*E1088)/F1088,"")</x:f>
        <x:v>-28.09698469684917</x:v>
      </x:c>
      <x:c r="I1088" s="4" t="n">
        <x:f>IF(AND(ISNUMBER(G1088),G1088&gt;0),('계산 과정'!$E$56+'계산 과정'!$E$57*D1088+'계산 과정'!$E$58*E1088)/F1088,"")</x:f>
        <x:v>166.78158021852468</x:v>
      </x:c>
      <x:c r="J1088" s="4" t="n">
        <x:f>IF('계산 과정'!$L$5,'계산 과정'!$D$6+'계산 과정'!$C$35*D1088+'계산 과정'!$D$35*E1088,"")</x:f>
        <x:v>667.8715981648553</x:v>
      </x:c>
      <x:c r="K1088" s="4" t="n">
        <x:f>IF(AND('계산 과정'!$L$6,J1088&gt;0),'계산 과정'!$D$10*('계산 과정'!$C$38*(D1088-'계산 과정'!$C$32)+'계산 과정'!$D$38*(E1088-'계산 과정'!$D$32)-'계산 과정'!$E$38*'계산 과정'!$E$32)/J1088,"")</x:f>
        <x:v>-0.21407226435694524</x:v>
      </x:c>
      <x:c r="L1088" s="4" t="n">
        <x:f>IF(AND('계산 과정'!$L$6,J1088&gt;0),'계산 과정'!$D$10*('계산 과정'!$C$39*(D1088-'계산 과정'!$C$32)+'계산 과정'!$D$39*(E1088-'계산 과정'!$D$32)-'계산 과정'!$E$39*'계산 과정'!$E$32)/J1088,"")</x:f>
        <x:v>1.27071680166495</x:v>
      </x:c>
      <x:c r="M1088" s="17" t="n">
        <x:f>IF('계산 과정'!$L$6,IF(J1088&lt;=0,0,IF(AND(ABS(K1088)&lt;='계산 과정'!$D$11/2,ABS(L1088)&lt;='계산 과정'!$D$12/2),1,0)),"")</x:f>
        <x:v>1</x:v>
      </x:c>
      <x:c r="N1088" s="17" t="n">
        <x:f>IF('계산 과정'!$C$78,IF(AND(ISNUMBER(H1088),ISNUMBER(I1088),ABS(H1088-'계산 과정'!$C$88)&lt;='계산 과정'!$D$23/2,ABS(I1088-'계산 과정'!$C$89)&lt;='계산 과정'!$D$24/2),1,0),"")</x:f>
        <x:v>1</x:v>
      </x:c>
      <x:c r="O1088" s="4" t="n">
        <x:f>IF('계산 과정'!$L$7,'계산 과정'!$C$49*('계산 과정'!$C$32-D1088)+'계산 과정'!$D$49*('계산 과정'!$D$32-E1088)+'계산 과정'!$E$49*'계산 과정'!$E$32,"")</x:f>
        <x:v>-17.871598164855186</x:v>
      </x:c>
      <x:c r="P1088" s="4" t="n">
        <x:f>IF(AND('계산 과정'!$L$7,O1088&lt;&gt;0),('계산 과정'!$L$23-'계산 과정'!$C$49*D1088-'계산 과정'!$D$49*E1088)/O1088,"")</x:f>
        <x:v>-21.381881928534348</x:v>
      </x:c>
      <x:c r="Q1088" s="4" t="str">
        <x:f>IF(AND(ISNUMBER(P1088),P1088&gt;1E-9,P1088&lt;1-1E-9),'계산 과정'!$C$47*(D1088-'계산 과정'!$C$50+P1088*('계산 과정'!$C$32-D1088))+'계산 과정'!$D$47*(E1088-'계산 과정'!$D$50+P1088*('계산 과정'!$D$32-E1088))+'계산 과정'!$E$47*(0-'계산 과정'!$E$50+P1088*('계산 과정'!$E$32-0)),"")</x:f>
      </x:c>
      <x:c r="R1088" s="4" t="str">
        <x:f>IF(AND(ISNUMBER(P1088),P1088&gt;1E-9,P1088&lt;1-1E-9),'계산 과정'!$C$48*(D1088-'계산 과정'!$C$50+P1088*('계산 과정'!$C$32-D1088))+'계산 과정'!$D$48*(E1088-'계산 과정'!$D$50+P1088*('계산 과정'!$D$32-E1088))+'계산 과정'!$E$48*(0-'계산 과정'!$E$50+P1088*('계산 과정'!$E$32-0)),"")</x:f>
      </x:c>
      <x:c r="S1088" s="17" t="n">
        <x:f>IF('계산 과정'!$C$78,IF(AND(ISNUMBER(Q1088),ISNUMBER(R1088),ABS(Q1088-'계산 과정'!$C$88)&lt;='계산 과정'!$D$23/2,ABS(R1088-'계산 과정'!$C$89)&lt;='계산 과정'!$D$24/2),1,0),"")</x:f>
        <x:v>0</x:v>
      </x:c>
      <x:c r="T1088" s="4"/>
      <x:c r="U1088" s="4"/>
      <x:c r="V1088" s="4"/>
      <x:c r="W1088" s="4"/>
      <x:c r="X1088" s="4"/>
      <x:c r="Y1088" s="4"/>
      <x:c r="Z1088" s="4"/>
    </x:row>
    <x:row r="1089" ht="23" customHeight="1">
      <x:c r="A1089" s="17" t="n">
        <x:f>ROW()-6</x:f>
        <x:v>1083</x:v>
      </x:c>
      <x:c r="B1089" s="4" t="n">
        <x:f>IF('계산 과정'!$L$5,'계산 과정'!$L$11*SQRT((A1089+0.5)/'계산 과정'!$L$30),"")</x:f>
        <x:v>109.10401699038171</x:v>
      </x:c>
      <x:c r="C1089" s="4" t="n">
        <x:f>A1089*PI()*(3-SQRT(5))</x:f>
        <x:v>2599.160177796131</x:v>
      </x:c>
      <x:c r="D1089" s="4" t="n">
        <x:f>IF('계산 과정'!$L$5,B1089*COS(C1089),"")</x:f>
        <x:v>-53.0470564872605</x:v>
      </x:c>
      <x:c r="E1089" s="4" t="n">
        <x:f>IF('계산 과정'!$L$5,B1089*SIN(C1089),"")</x:f>
        <x:v>-95.33989889587095</x:v>
      </x:c>
      <x:c r="F1089" s="4" t="n">
        <x:f>IF('계산 과정'!$L$7,'계산 과정'!$L$22+'계산 과정'!$C$49*D1089+'계산 과정'!$D$49*E1089,"")</x:f>
        <x:v>687.5099333641277</x:v>
      </x:c>
      <x:c r="G1089" s="4" t="n">
        <x:f>IF('계산 과정'!$L$7,IF(ABS(F1089)&gt;=1E-12*MAX(1,SQRT((D1089-'계산 과정'!$C$33)^2+(E1089-'계산 과정'!$D$33)^2+'계산 과정'!$E$33^2)),('계산 과정'!$L$23-'계산 과정'!$C$49*D1089-'계산 과정'!$D$49*E1089)/F1089,""),"")</x:f>
        <x:v>0.5272506607462872</x:v>
      </x:c>
      <x:c r="H1089" s="4" t="n">
        <x:f>IF(AND(ISNUMBER(G1089),G1089&gt;0),('계산 과정'!$D$56+'계산 과정'!$D$57*D1089+'계산 과정'!$D$58*E1089)/F1089,"")</x:f>
        <x:v>-57.28707051491341</x:v>
      </x:c>
      <x:c r="I1089" s="4" t="n">
        <x:f>IF(AND(ISNUMBER(G1089),G1089&gt;0),('계산 과정'!$E$56+'계산 과정'!$E$57*D1089+'계산 과정'!$E$58*E1089)/F1089,"")</x:f>
        <x:v>-145.60792358420312</x:v>
      </x:c>
      <x:c r="J1089" s="4" t="n">
        <x:f>IF('계산 과정'!$L$5,'계산 과정'!$D$6+'계산 과정'!$C$35*D1089+'계산 과정'!$D$35*E1089,"")</x:f>
        <x:v>687.5099333641277</x:v>
      </x:c>
      <x:c r="K1089" s="4" t="n">
        <x:f>IF(AND('계산 과정'!$L$6,J1089&gt;0),'계산 과정'!$D$10*('계산 과정'!$C$38*(D1089-'계산 과정'!$C$32)+'계산 과정'!$D$38*(E1089-'계산 과정'!$D$32)-'계산 과정'!$E$38*'계산 과정'!$E$32)/J1089,"")</x:f>
        <x:v>-0.43647291820886314</x:v>
      </x:c>
      <x:c r="L1089" s="4" t="n">
        <x:f>IF(AND('계산 과정'!$L$6,J1089&gt;0),'계산 과정'!$D$10*('계산 과정'!$C$39*(D1089-'계산 과정'!$C$32)+'계산 과정'!$D$39*(E1089-'계산 과정'!$D$32)-'계산 과정'!$E$39*'계산 과정'!$E$32)/J1089,"")</x:f>
        <x:v>-1.1093937034986905</x:v>
      </x:c>
      <x:c r="M1089" s="17" t="n">
        <x:f>IF('계산 과정'!$L$6,IF(J1089&lt;=0,0,IF(AND(ABS(K1089)&lt;='계산 과정'!$D$11/2,ABS(L1089)&lt;='계산 과정'!$D$12/2),1,0)),"")</x:f>
        <x:v>1</x:v>
      </x:c>
      <x:c r="N1089" s="17" t="n">
        <x:f>IF('계산 과정'!$C$78,IF(AND(ISNUMBER(H1089),ISNUMBER(I1089),ABS(H1089-'계산 과정'!$C$88)&lt;='계산 과정'!$D$23/2,ABS(I1089-'계산 과정'!$C$89)&lt;='계산 과정'!$D$24/2),1,0),"")</x:f>
        <x:v>1</x:v>
      </x:c>
      <x:c r="O1089" s="4" t="n">
        <x:f>IF('계산 과정'!$L$7,'계산 과정'!$C$49*('계산 과정'!$C$32-D1089)+'계산 과정'!$D$49*('계산 과정'!$D$32-E1089)+'계산 과정'!$E$49*'계산 과정'!$E$32,"")</x:f>
        <x:v>-37.50993336412762</x:v>
      </x:c>
      <x:c r="P1089" s="4" t="n">
        <x:f>IF(AND('계산 과정'!$L$7,O1089&lt;&gt;0),('계산 과정'!$L$23-'계산 과정'!$C$49*D1089-'계산 과정'!$D$49*E1089)/O1089,"")</x:f>
        <x:v>-9.663841924671006</x:v>
      </x:c>
      <x:c r="Q1089" s="4" t="str">
        <x:f>IF(AND(ISNUMBER(P1089),P1089&gt;1E-9,P1089&lt;1-1E-9),'계산 과정'!$C$47*(D1089-'계산 과정'!$C$50+P1089*('계산 과정'!$C$32-D1089))+'계산 과정'!$D$47*(E1089-'계산 과정'!$D$50+P1089*('계산 과정'!$D$32-E1089))+'계산 과정'!$E$47*(0-'계산 과정'!$E$50+P1089*('계산 과정'!$E$32-0)),"")</x:f>
      </x:c>
      <x:c r="R1089" s="4" t="str">
        <x:f>IF(AND(ISNUMBER(P1089),P1089&gt;1E-9,P1089&lt;1-1E-9),'계산 과정'!$C$48*(D1089-'계산 과정'!$C$50+P1089*('계산 과정'!$C$32-D1089))+'계산 과정'!$D$48*(E1089-'계산 과정'!$D$50+P1089*('계산 과정'!$D$32-E1089))+'계산 과정'!$E$48*(0-'계산 과정'!$E$50+P1089*('계산 과정'!$E$32-0)),"")</x:f>
      </x:c>
      <x:c r="S1089" s="17" t="n">
        <x:f>IF('계산 과정'!$C$78,IF(AND(ISNUMBER(Q1089),ISNUMBER(R1089),ABS(Q1089-'계산 과정'!$C$88)&lt;='계산 과정'!$D$23/2,ABS(R1089-'계산 과정'!$C$89)&lt;='계산 과정'!$D$24/2),1,0),"")</x:f>
        <x:v>0</x:v>
      </x:c>
      <x:c r="T1089" s="4"/>
      <x:c r="U1089" s="4"/>
      <x:c r="V1089" s="4"/>
      <x:c r="W1089" s="4"/>
      <x:c r="X1089" s="4"/>
      <x:c r="Y1089" s="4"/>
      <x:c r="Z1089" s="4"/>
    </x:row>
    <x:row r="1090" ht="23" customHeight="1">
      <x:c r="A1090" s="17" t="n">
        <x:f>ROW()-6</x:f>
        <x:v>1084</x:v>
      </x:c>
      <x:c r="B1090" s="4" t="n">
        <x:f>IF('계산 과정'!$L$5,'계산 과정'!$L$11*SQRT((A1090+0.5)/'계산 과정'!$L$30),"")</x:f>
        <x:v>109.15435333307829</x:v>
      </x:c>
      <x:c r="C1090" s="4" t="n">
        <x:f>A1090*PI()*(3-SQRT(5))</x:f>
        <x:v>2601.5601410258596</x:v>
      </x:c>
      <x:c r="D1090" s="4" t="n">
        <x:f>IF('계산 과정'!$L$5,B1090*COS(C1090),"")</x:f>
        <x:v>103.56418333279967</x:v>
      </x:c>
      <x:c r="E1090" s="4" t="n">
        <x:f>IF('계산 과정'!$L$5,B1090*SIN(C1090),"")</x:f>
        <x:v>34.483804635984654</x:v>
      </x:c>
      <x:c r="F1090" s="4" t="n">
        <x:f>IF('계산 과정'!$L$7,'계산 과정'!$L$22+'계산 과정'!$C$49*D1090+'계산 과정'!$D$49*E1090,"")</x:f>
        <x:v>576.7690636773306</x:v>
      </x:c>
      <x:c r="G1090" s="4" t="n">
        <x:f>IF('계산 과정'!$L$7,IF(ABS(F1090)&gt;=1E-12*MAX(1,SQRT((D1090-'계산 과정'!$C$33)^2+(E1090-'계산 과정'!$D$33)^2+'계산 과정'!$E$33^2)),('계산 과정'!$L$23-'계산 과정'!$C$49*D1090-'계산 과정'!$D$49*E1090)/F1090,""),"")</x:f>
        <x:v>0.8204859901907208</x:v>
      </x:c>
      <x:c r="H1090" s="4" t="n">
        <x:f>IF(AND(ISNUMBER(G1090),G1090&gt;0),('계산 과정'!$D$56+'계산 과정'!$D$57*D1090+'계산 과정'!$D$58*E1090)/F1090,"")</x:f>
        <x:v>133.31589362396846</x:v>
      </x:c>
      <x:c r="I1090" s="4" t="n">
        <x:f>IF(AND(ISNUMBER(G1090),G1090&gt;0),('계산 과정'!$E$56+'계산 과정'!$E$57*D1090+'계산 과정'!$E$58*E1090)/F1090,"")</x:f>
        <x:v>62.777283228283885</x:v>
      </x:c>
      <x:c r="J1090" s="4" t="n">
        <x:f>IF('계산 과정'!$L$5,'계산 과정'!$D$6+'계산 과정'!$C$35*D1090+'계산 과정'!$D$35*E1090,"")</x:f>
        <x:v>576.7690636773306</x:v>
      </x:c>
      <x:c r="K1090" s="4" t="n">
        <x:f>IF(AND('계산 과정'!$L$6,J1090&gt;0),'계산 과정'!$D$10*('계산 과정'!$C$38*(D1090-'계산 과정'!$C$32)+'계산 과정'!$D$38*(E1090-'계산 과정'!$D$32)-'계산 과정'!$E$38*'계산 과정'!$E$32)/J1090,"")</x:f>
        <x:v>1.0157401418969032</x:v>
      </x:c>
      <x:c r="L1090" s="4" t="n">
        <x:f>IF(AND('계산 과정'!$L$6,J1090&gt;0),'계산 과정'!$D$10*('계산 과정'!$C$39*(D1090-'계산 과정'!$C$32)+'계산 과정'!$D$39*(E1090-'계산 과정'!$D$32)-'계산 과정'!$E$39*'계산 과정'!$E$32)/J1090,"")</x:f>
        <x:v>0.4783031103107344</x:v>
      </x:c>
      <x:c r="M1090" s="17" t="n">
        <x:f>IF('계산 과정'!$L$6,IF(J1090&lt;=0,0,IF(AND(ABS(K1090)&lt;='계산 과정'!$D$11/2,ABS(L1090)&lt;='계산 과정'!$D$12/2),1,0)),"")</x:f>
        <x:v>1</x:v>
      </x:c>
      <x:c r="N1090" s="17" t="n">
        <x:f>IF('계산 과정'!$C$78,IF(AND(ISNUMBER(H1090),ISNUMBER(I1090),ABS(H1090-'계산 과정'!$C$88)&lt;='계산 과정'!$D$23/2,ABS(I1090-'계산 과정'!$C$89)&lt;='계산 과정'!$D$24/2),1,0),"")</x:f>
        <x:v>1</x:v>
      </x:c>
      <x:c r="O1090" s="4" t="n">
        <x:f>IF('계산 과정'!$L$7,'계산 과정'!$C$49*('계산 과정'!$C$32-D1090)+'계산 과정'!$D$49*('계산 과정'!$D$32-E1090)+'계산 과정'!$E$49*'계산 과정'!$E$32,"")</x:f>
        <x:v>73.23093632266955</x:v>
      </x:c>
      <x:c r="P1090" s="4" t="n">
        <x:f>IF(AND('계산 과정'!$L$7,O1090&lt;&gt;0),('계산 과정'!$L$23-'계산 과정'!$C$49*D1090-'계산 과정'!$D$49*E1090)/O1090,"")</x:f>
        <x:v>6.462172410817242</x:v>
      </x:c>
      <x:c r="Q1090" s="4" t="str">
        <x:f>IF(AND(ISNUMBER(P1090),P1090&gt;1E-9,P1090&lt;1-1E-9),'계산 과정'!$C$47*(D1090-'계산 과정'!$C$50+P1090*('계산 과정'!$C$32-D1090))+'계산 과정'!$D$47*(E1090-'계산 과정'!$D$50+P1090*('계산 과정'!$D$32-E1090))+'계산 과정'!$E$47*(0-'계산 과정'!$E$50+P1090*('계산 과정'!$E$32-0)),"")</x:f>
      </x:c>
      <x:c r="R1090" s="4" t="str">
        <x:f>IF(AND(ISNUMBER(P1090),P1090&gt;1E-9,P1090&lt;1-1E-9),'계산 과정'!$C$48*(D1090-'계산 과정'!$C$50+P1090*('계산 과정'!$C$32-D1090))+'계산 과정'!$D$48*(E1090-'계산 과정'!$D$50+P1090*('계산 과정'!$D$32-E1090))+'계산 과정'!$E$48*(0-'계산 과정'!$E$50+P1090*('계산 과정'!$E$32-0)),"")</x:f>
      </x:c>
      <x:c r="S1090" s="17" t="n">
        <x:f>IF('계산 과정'!$C$78,IF(AND(ISNUMBER(Q1090),ISNUMBER(R1090),ABS(Q1090-'계산 과정'!$C$88)&lt;='계산 과정'!$D$23/2,ABS(R1090-'계산 과정'!$C$89)&lt;='계산 과정'!$D$24/2),1,0),"")</x:f>
        <x:v>0</x:v>
      </x:c>
      <x:c r="T1090" s="4"/>
      <x:c r="U1090" s="4"/>
      <x:c r="V1090" s="4"/>
      <x:c r="W1090" s="4"/>
      <x:c r="X1090" s="4"/>
      <x:c r="Y1090" s="4"/>
      <x:c r="Z1090" s="4"/>
    </x:row>
    <x:row r="1091" ht="23" customHeight="1">
      <x:c r="A1091" s="17" t="n">
        <x:f>ROW()-6</x:f>
        <x:v>1085</x:v>
      </x:c>
      <x:c r="B1091" s="4" t="n">
        <x:f>IF('계산 과정'!$L$5,'계산 과정'!$L$11*SQRT((A1091+0.5)/'계산 과정'!$L$30),"")</x:f>
        <x:v>109.20466647395385</x:v>
      </x:c>
      <x:c r="C1091" s="4" t="n">
        <x:f>A1091*PI()*(3-SQRT(5))</x:f>
        <x:v>2603.9601042555887</x:v>
      </x:c>
      <x:c r="D1091" s="4" t="n">
        <x:f>IF('계산 과정'!$L$5,B1091*COS(C1091),"")</x:f>
        <x:v>-99.70441716813612</x:v>
      </x:c>
      <x:c r="E1091" s="4" t="n">
        <x:f>IF('계산 과정'!$L$5,B1091*SIN(C1091),"")</x:f>
        <x:v>44.54984149073692</x:v>
      </x:c>
      <x:c r="F1091" s="4" t="n">
        <x:f>IF('계산 과정'!$L$7,'계산 과정'!$L$22+'계산 과정'!$C$49*D1091+'계산 과정'!$D$49*E1091,"")</x:f>
        <x:v>720.5016694938415</x:v>
      </x:c>
      <x:c r="G1091" s="4" t="n">
        <x:f>IF('계산 과정'!$L$7,IF(ABS(F1091)&gt;=1E-12*MAX(1,SQRT((D1091-'계산 과정'!$C$33)^2+(E1091-'계산 과정'!$D$33)^2+'계산 과정'!$E$33^2)),('계산 과정'!$L$23-'계산 과정'!$C$49*D1091-'계산 과정'!$D$49*E1091)/F1091,""),"")</x:f>
        <x:v>0.45731792785106784</x:v>
      </x:c>
      <x:c r="H1091" s="4" t="n">
        <x:f>IF(AND(ISNUMBER(G1091),G1091&gt;0),('계산 과정'!$D$56+'계산 과정'!$D$57*D1091+'계산 과정'!$D$58*E1091)/F1091,"")</x:f>
        <x:v>-102.74334689680603</x:v>
      </x:c>
      <x:c r="I1091" s="4" t="n">
        <x:f>IF(AND(ISNUMBER(G1091),G1091&gt;0),('계산 과정'!$E$56+'계산 과정'!$E$57*D1091+'계산 과정'!$E$58*E1091)/F1091,"")</x:f>
        <x:v>64.92328268737425</x:v>
      </x:c>
      <x:c r="J1091" s="4" t="n">
        <x:f>IF('계산 과정'!$L$5,'계산 과정'!$D$6+'계산 과정'!$C$35*D1091+'계산 과정'!$D$35*E1091,"")</x:f>
        <x:v>720.5016694938415</x:v>
      </x:c>
      <x:c r="K1091" s="4" t="n">
        <x:f>IF(AND('계산 과정'!$L$6,J1091&gt;0),'계산 과정'!$D$10*('계산 과정'!$C$38*(D1091-'계산 과정'!$C$32)+'계산 과정'!$D$38*(E1091-'계산 과정'!$D$32)-'계산 과정'!$E$38*'계산 과정'!$E$32)/J1091,"")</x:f>
        <x:v>-0.782806452547093</x:v>
      </x:c>
      <x:c r="L1091" s="4" t="n">
        <x:f>IF(AND('계산 과정'!$L$6,J1091&gt;0),'계산 과정'!$D$10*('계산 과정'!$C$39*(D1091-'계산 과정'!$C$32)+'계산 과정'!$D$39*(E1091-'계산 과정'!$D$32)-'계산 과정'!$E$39*'계산 과정'!$E$32)/J1091,"")</x:f>
        <x:v>0.49465358237999424</x:v>
      </x:c>
      <x:c r="M1091" s="17" t="n">
        <x:f>IF('계산 과정'!$L$6,IF(J1091&lt;=0,0,IF(AND(ABS(K1091)&lt;='계산 과정'!$D$11/2,ABS(L1091)&lt;='계산 과정'!$D$12/2),1,0)),"")</x:f>
        <x:v>1</x:v>
      </x:c>
      <x:c r="N1091" s="17" t="n">
        <x:f>IF('계산 과정'!$C$78,IF(AND(ISNUMBER(H1091),ISNUMBER(I1091),ABS(H1091-'계산 과정'!$C$88)&lt;='계산 과정'!$D$23/2,ABS(I1091-'계산 과정'!$C$89)&lt;='계산 과정'!$D$24/2),1,0),"")</x:f>
        <x:v>1</x:v>
      </x:c>
      <x:c r="O1091" s="4" t="n">
        <x:f>IF('계산 과정'!$L$7,'계산 과정'!$C$49*('계산 과정'!$C$32-D1091)+'계산 과정'!$D$49*('계산 과정'!$D$32-E1091)+'계산 과정'!$E$49*'계산 과정'!$E$32,"")</x:f>
        <x:v>-70.5016694938414</x:v>
      </x:c>
      <x:c r="P1091" s="4" t="n">
        <x:f>IF(AND('계산 과정'!$L$7,O1091&lt;&gt;0),('계산 과정'!$L$23-'계산 과정'!$C$49*D1091-'계산 과정'!$D$49*E1091)/O1091,"")</x:f>
        <x:v>-4.673624509486849</x:v>
      </x:c>
      <x:c r="Q1091" s="4" t="str">
        <x:f>IF(AND(ISNUMBER(P1091),P1091&gt;1E-9,P1091&lt;1-1E-9),'계산 과정'!$C$47*(D1091-'계산 과정'!$C$50+P1091*('계산 과정'!$C$32-D1091))+'계산 과정'!$D$47*(E1091-'계산 과정'!$D$50+P1091*('계산 과정'!$D$32-E1091))+'계산 과정'!$E$47*(0-'계산 과정'!$E$50+P1091*('계산 과정'!$E$32-0)),"")</x:f>
      </x:c>
      <x:c r="R1091" s="4" t="str">
        <x:f>IF(AND(ISNUMBER(P1091),P1091&gt;1E-9,P1091&lt;1-1E-9),'계산 과정'!$C$48*(D1091-'계산 과정'!$C$50+P1091*('계산 과정'!$C$32-D1091))+'계산 과정'!$D$48*(E1091-'계산 과정'!$D$50+P1091*('계산 과정'!$D$32-E1091))+'계산 과정'!$E$48*(0-'계산 과정'!$E$50+P1091*('계산 과정'!$E$32-0)),"")</x:f>
      </x:c>
      <x:c r="S1091" s="17" t="n">
        <x:f>IF('계산 과정'!$C$78,IF(AND(ISNUMBER(Q1091),ISNUMBER(R1091),ABS(Q1091-'계산 과정'!$C$88)&lt;='계산 과정'!$D$23/2,ABS(R1091-'계산 과정'!$C$89)&lt;='계산 과정'!$D$24/2),1,0),"")</x:f>
        <x:v>0</x:v>
      </x:c>
      <x:c r="T1091" s="4"/>
      <x:c r="U1091" s="4"/>
      <x:c r="V1091" s="4"/>
      <x:c r="W1091" s="4"/>
      <x:c r="X1091" s="4"/>
      <x:c r="Y1091" s="4"/>
      <x:c r="Z1091" s="4"/>
    </x:row>
    <x:row r="1092" ht="23" customHeight="1">
      <x:c r="A1092" s="17" t="n">
        <x:f>ROW()-6</x:f>
        <x:v>1086</x:v>
      </x:c>
      <x:c r="B1092" s="4" t="n">
        <x:f>IF('계산 과정'!$L$5,'계산 과정'!$L$11*SQRT((A1092+0.5)/'계산 과정'!$L$30),"")</x:f>
        <x:v>109.25495644506249</x:v>
      </x:c>
      <x:c r="C1092" s="4" t="n">
        <x:f>A1092*PI()*(3-SQRT(5))</x:f>
        <x:v>2606.360067485317</x:v>
      </x:c>
      <x:c r="D1092" s="4" t="n">
        <x:f>IF('계산 과정'!$L$5,B1092*COS(C1092),"")</x:f>
        <x:v>43.445946824179785</x:v>
      </x:c>
      <x:c r="E1092" s="4" t="n">
        <x:f>IF('계산 과정'!$L$5,B1092*SIN(C1092),"")</x:f>
        <x:v>-100.24517550666987</x:v>
      </x:c>
      <x:c r="F1092" s="4" t="n">
        <x:f>IF('계산 과정'!$L$7,'계산 과정'!$L$22+'계산 과정'!$C$49*D1092+'계산 과정'!$D$49*E1092,"")</x:f>
        <x:v>619.2790763855523</x:v>
      </x:c>
      <x:c r="G1092" s="4" t="n">
        <x:f>IF('계산 과정'!$L$7,IF(ABS(F1092)&gt;=1E-12*MAX(1,SQRT((D1092-'계산 과정'!$C$33)^2+(E1092-'계산 과정'!$D$33)^2+'계산 과정'!$E$33^2)),('계산 과정'!$L$23-'계산 과정'!$C$49*D1092-'계산 과정'!$D$49*E1092)/F1092,""),"")</x:f>
        <x:v>0.69551990376999</x:v>
      </x:c>
      <x:c r="H1092" s="4" t="n">
        <x:f>IF(AND(ISNUMBER(G1092),G1092&gt;0),('계산 과정'!$D$56+'계산 과정'!$D$57*D1092+'계산 과정'!$D$58*E1092)/F1092,"")</x:f>
        <x:v>52.08793745049343</x:v>
      </x:c>
      <x:c r="I1092" s="4" t="n">
        <x:f>IF(AND(ISNUMBER(G1092),G1092&gt;0),('계산 과정'!$E$56+'계산 과정'!$E$57*D1092+'계산 과정'!$E$58*E1092)/F1092,"")</x:f>
        <x:v>-169.96769032847465</x:v>
      </x:c>
      <x:c r="J1092" s="4" t="n">
        <x:f>IF('계산 과정'!$L$5,'계산 과정'!$D$6+'계산 과정'!$C$35*D1092+'계산 과정'!$D$35*E1092,"")</x:f>
        <x:v>619.2790763855523</x:v>
      </x:c>
      <x:c r="K1092" s="4" t="n">
        <x:f>IF(AND('계산 과정'!$L$6,J1092&gt;0),'계산 과정'!$D$10*('계산 과정'!$C$38*(D1092-'계산 과정'!$C$32)+'계산 과정'!$D$38*(E1092-'계산 과정'!$D$32)-'계산 과정'!$E$38*'계산 과정'!$E$32)/J1092,"")</x:f>
        <x:v>0.3968604758132838</x:v>
      </x:c>
      <x:c r="L1092" s="4" t="n">
        <x:f>IF(AND('계산 과정'!$L$6,J1092&gt;0),'계산 과정'!$D$10*('계산 과정'!$C$39*(D1092-'계산 과정'!$C$32)+'계산 과정'!$D$39*(E1092-'계산 과정'!$D$32)-'계산 과정'!$E$39*'계산 과정'!$E$32)/J1092,"")</x:f>
        <x:v>-1.2949919263121878</x:v>
      </x:c>
      <x:c r="M1092" s="17" t="n">
        <x:f>IF('계산 과정'!$L$6,IF(J1092&lt;=0,0,IF(AND(ABS(K1092)&lt;='계산 과정'!$D$11/2,ABS(L1092)&lt;='계산 과정'!$D$12/2),1,0)),"")</x:f>
        <x:v>1</x:v>
      </x:c>
      <x:c r="N1092" s="17" t="n">
        <x:f>IF('계산 과정'!$C$78,IF(AND(ISNUMBER(H1092),ISNUMBER(I1092),ABS(H1092-'계산 과정'!$C$88)&lt;='계산 과정'!$D$23/2,ABS(I1092-'계산 과정'!$C$89)&lt;='계산 과정'!$D$24/2),1,0),"")</x:f>
        <x:v>1</x:v>
      </x:c>
      <x:c r="O1092" s="4" t="n">
        <x:f>IF('계산 과정'!$L$7,'계산 과정'!$C$49*('계산 과정'!$C$32-D1092)+'계산 과정'!$D$49*('계산 과정'!$D$32-E1092)+'계산 과정'!$E$49*'계산 과정'!$E$32,"")</x:f>
        <x:v>30.72092361444777</x:v>
      </x:c>
      <x:c r="P1092" s="4" t="n">
        <x:f>IF(AND('계산 과정'!$L$7,O1092&lt;&gt;0),('계산 과정'!$L$23-'계산 과정'!$C$49*D1092-'계산 과정'!$D$49*E1092)/O1092,"")</x:f>
        <x:v>14.020441866268746</x:v>
      </x:c>
      <x:c r="Q1092" s="4" t="str">
        <x:f>IF(AND(ISNUMBER(P1092),P1092&gt;1E-9,P1092&lt;1-1E-9),'계산 과정'!$C$47*(D1092-'계산 과정'!$C$50+P1092*('계산 과정'!$C$32-D1092))+'계산 과정'!$D$47*(E1092-'계산 과정'!$D$50+P1092*('계산 과정'!$D$32-E1092))+'계산 과정'!$E$47*(0-'계산 과정'!$E$50+P1092*('계산 과정'!$E$32-0)),"")</x:f>
      </x:c>
      <x:c r="R1092" s="4" t="str">
        <x:f>IF(AND(ISNUMBER(P1092),P1092&gt;1E-9,P1092&lt;1-1E-9),'계산 과정'!$C$48*(D1092-'계산 과정'!$C$50+P1092*('계산 과정'!$C$32-D1092))+'계산 과정'!$D$48*(E1092-'계산 과정'!$D$50+P1092*('계산 과정'!$D$32-E1092))+'계산 과정'!$E$48*(0-'계산 과정'!$E$50+P1092*('계산 과정'!$E$32-0)),"")</x:f>
      </x:c>
      <x:c r="S1092" s="17" t="n">
        <x:f>IF('계산 과정'!$C$78,IF(AND(ISNUMBER(Q1092),ISNUMBER(R1092),ABS(Q1092-'계산 과정'!$C$88)&lt;='계산 과정'!$D$23/2,ABS(R1092-'계산 과정'!$C$89)&lt;='계산 과정'!$D$24/2),1,0),"")</x:f>
        <x:v>0</x:v>
      </x:c>
      <x:c r="T1092" s="4"/>
      <x:c r="U1092" s="4"/>
      <x:c r="V1092" s="4"/>
      <x:c r="W1092" s="4"/>
      <x:c r="X1092" s="4"/>
      <x:c r="Y1092" s="4"/>
      <x:c r="Z1092" s="4"/>
    </x:row>
    <x:row r="1093" ht="23" customHeight="1">
      <x:c r="A1093" s="17" t="n">
        <x:f>ROW()-6</x:f>
        <x:v>1087</x:v>
      </x:c>
      <x:c r="B1093" s="4" t="n">
        <x:f>IF('계산 과정'!$L$5,'계산 과정'!$L$11*SQRT((A1093+0.5)/'계산 과정'!$L$30),"")</x:f>
        <x:v>109.30522327838455</x:v>
      </x:c>
      <x:c r="C1093" s="4" t="n">
        <x:f>A1093*PI()*(3-SQRT(5))</x:f>
        <x:v>2608.7600307150456</x:v>
      </x:c>
      <x:c r="D1093" s="4" t="n">
        <x:f>IF('계산 과정'!$L$5,B1093*COS(C1093),"")</x:f>
        <x:v>35.69536947316007</x:v>
      </x:c>
      <x:c r="E1093" s="4" t="n">
        <x:f>IF('계산 과정'!$L$5,B1093*SIN(C1093),"")</x:f>
        <x:v>103.3124989249224</x:v>
      </x:c>
      <x:c r="F1093" s="4" t="n">
        <x:f>IF('계산 과정'!$L$7,'계산 과정'!$L$22+'계산 과정'!$C$49*D1093+'계산 과정'!$D$49*E1093,"")</x:f>
        <x:v>624.7595621885692</x:v>
      </x:c>
      <x:c r="G1093" s="4" t="n">
        <x:f>IF('계산 과정'!$L$7,IF(ABS(F1093)&gt;=1E-12*MAX(1,SQRT((D1093-'계산 과정'!$C$33)^2+(E1093-'계산 과정'!$D$33)^2+'계산 과정'!$E$33^2)),('계산 과정'!$L$23-'계산 과정'!$C$49*D1093-'계산 과정'!$D$49*E1093)/F1093,""),"")</x:f>
        <x:v>0.6806465455635263</x:v>
      </x:c>
      <x:c r="H1093" s="4" t="n">
        <x:f>IF(AND(ISNUMBER(G1093),G1093&gt;0),('계산 과정'!$D$56+'계산 과정'!$D$57*D1093+'계산 과정'!$D$58*E1093)/F1093,"")</x:f>
        <x:v>42.42025461629202</x:v>
      </x:c>
      <x:c r="I1093" s="4" t="n">
        <x:f>IF(AND(ISNUMBER(G1093),G1093&gt;0),('계산 과정'!$E$56+'계산 과정'!$E$57*D1093+'계산 과정'!$E$58*E1093)/F1093,"")</x:f>
        <x:v>173.63179443170634</x:v>
      </x:c>
      <x:c r="J1093" s="4" t="n">
        <x:f>IF('계산 과정'!$L$5,'계산 과정'!$D$6+'계산 과정'!$C$35*D1093+'계산 과정'!$D$35*E1093,"")</x:f>
        <x:v>624.7595621885692</x:v>
      </x:c>
      <x:c r="K1093" s="4" t="n">
        <x:f>IF(AND('계산 과정'!$L$6,J1093&gt;0),'계산 과정'!$D$10*('계산 과정'!$C$38*(D1093-'계산 과정'!$C$32)+'계산 과정'!$D$38*(E1093-'계산 과정'!$D$32)-'계산 과정'!$E$38*'계산 과정'!$E$32)/J1093,"")</x:f>
        <x:v>0.32320193993365487</x:v>
      </x:c>
      <x:c r="L1093" s="4" t="n">
        <x:f>IF(AND('계산 과정'!$L$6,J1093&gt;0),'계산 과정'!$D$10*('계산 과정'!$C$39*(D1093-'계산 과정'!$C$32)+'계산 과정'!$D$39*(E1093-'계산 과정'!$D$32)-'계산 과정'!$E$39*'계산 과정'!$E$32)/J1093,"")</x:f>
        <x:v>1.322908909955858</x:v>
      </x:c>
      <x:c r="M1093" s="17" t="n">
        <x:f>IF('계산 과정'!$L$6,IF(J1093&lt;=0,0,IF(AND(ABS(K1093)&lt;='계산 과정'!$D$11/2,ABS(L1093)&lt;='계산 과정'!$D$12/2),1,0)),"")</x:f>
        <x:v>1</x:v>
      </x:c>
      <x:c r="N1093" s="17" t="n">
        <x:f>IF('계산 과정'!$C$78,IF(AND(ISNUMBER(H1093),ISNUMBER(I1093),ABS(H1093-'계산 과정'!$C$88)&lt;='계산 과정'!$D$23/2,ABS(I1093-'계산 과정'!$C$89)&lt;='계산 과정'!$D$24/2),1,0),"")</x:f>
        <x:v>1</x:v>
      </x:c>
      <x:c r="O1093" s="4" t="n">
        <x:f>IF('계산 과정'!$L$7,'계산 과정'!$C$49*('계산 과정'!$C$32-D1093)+'계산 과정'!$D$49*('계산 과정'!$D$32-E1093)+'계산 과정'!$E$49*'계산 과정'!$E$32,"")</x:f>
        <x:v>25.240437811430922</x:v>
      </x:c>
      <x:c r="P1093" s="4" t="n">
        <x:f>IF(AND('계산 과정'!$L$7,O1093&lt;&gt;0),('계산 과정'!$L$23-'계산 과정'!$C$49*D1093-'계산 과정'!$D$49*E1093)/O1093,"")</x:f>
        <x:v>16.84758564761691</x:v>
      </x:c>
      <x:c r="Q1093" s="4" t="str">
        <x:f>IF(AND(ISNUMBER(P1093),P1093&gt;1E-9,P1093&lt;1-1E-9),'계산 과정'!$C$47*(D1093-'계산 과정'!$C$50+P1093*('계산 과정'!$C$32-D1093))+'계산 과정'!$D$47*(E1093-'계산 과정'!$D$50+P1093*('계산 과정'!$D$32-E1093))+'계산 과정'!$E$47*(0-'계산 과정'!$E$50+P1093*('계산 과정'!$E$32-0)),"")</x:f>
      </x:c>
      <x:c r="R1093" s="4" t="str">
        <x:f>IF(AND(ISNUMBER(P1093),P1093&gt;1E-9,P1093&lt;1-1E-9),'계산 과정'!$C$48*(D1093-'계산 과정'!$C$50+P1093*('계산 과정'!$C$32-D1093))+'계산 과정'!$D$48*(E1093-'계산 과정'!$D$50+P1093*('계산 과정'!$D$32-E1093))+'계산 과정'!$E$48*(0-'계산 과정'!$E$50+P1093*('계산 과정'!$E$32-0)),"")</x:f>
      </x:c>
      <x:c r="S1093" s="17" t="n">
        <x:f>IF('계산 과정'!$C$78,IF(AND(ISNUMBER(Q1093),ISNUMBER(R1093),ABS(Q1093-'계산 과정'!$C$88)&lt;='계산 과정'!$D$23/2,ABS(R1093-'계산 과정'!$C$89)&lt;='계산 과정'!$D$24/2),1,0),"")</x:f>
        <x:v>0</x:v>
      </x:c>
      <x:c r="T1093" s="4"/>
      <x:c r="U1093" s="4"/>
      <x:c r="V1093" s="4"/>
      <x:c r="W1093" s="4"/>
      <x:c r="X1093" s="4"/>
      <x:c r="Y1093" s="4"/>
      <x:c r="Z1093" s="4"/>
    </x:row>
    <x:row r="1094" ht="23" customHeight="1">
      <x:c r="A1094" s="17" t="n">
        <x:f>ROW()-6</x:f>
        <x:v>1088</x:v>
      </x:c>
      <x:c r="B1094" s="4" t="n">
        <x:f>IF('계산 과정'!$L$5,'계산 과정'!$L$11*SQRT((A1094+0.5)/'계산 과정'!$L$30),"")</x:f>
        <x:v>109.35546700582692</x:v>
      </x:c>
      <x:c r="C1094" s="4" t="n">
        <x:f>A1094*PI()*(3-SQRT(5))</x:f>
        <x:v>2611.1599939447747</x:v>
      </x:c>
      <x:c r="D1094" s="4" t="n">
        <x:f>IF('계산 과정'!$L$5,B1094*COS(C1094),"")</x:f>
        <x:v>-96.15142192636944</x:v>
      </x:c>
      <x:c r="E1094" s="4" t="n">
        <x:f>IF('계산 과정'!$L$5,B1094*SIN(C1094),"")</x:f>
        <x:v>-52.091479395384646</x:v>
      </x:c>
      <x:c r="F1094" s="4" t="n">
        <x:f>IF('계산 과정'!$L$7,'계산 과정'!$L$22+'계산 과정'!$C$49*D1094+'계산 과정'!$D$49*E1094,"")</x:f>
        <x:v>717.9893224648647</x:v>
      </x:c>
      <x:c r="G1094" s="4" t="n">
        <x:f>IF('계산 과정'!$L$7,IF(ABS(F1094)&gt;=1E-12*MAX(1,SQRT((D1094-'계산 과정'!$C$33)^2+(E1094-'계산 과정'!$D$33)^2+'계산 과정'!$E$33^2)),('계산 과정'!$L$23-'계산 과정'!$C$49*D1094-'계산 과정'!$D$49*E1094)/F1094,""),"")</x:f>
        <x:v>0.4624172911030755</x:v>
      </x:c>
      <x:c r="H1094" s="4" t="n">
        <x:f>IF(AND(ISNUMBER(G1094),G1094&gt;0),('계산 과정'!$D$56+'계산 과정'!$D$57*D1094+'계산 과정'!$D$58*E1094)/F1094,"")</x:f>
        <x:v>-99.42876078300107</x:v>
      </x:c>
      <x:c r="I1094" s="4" t="n">
        <x:f>IF(AND(ISNUMBER(G1094),G1094&gt;0),('계산 과정'!$E$56+'계산 과정'!$E$57*D1094+'계산 과정'!$E$58*E1094)/F1094,"")</x:f>
        <x:v>-76.17948018695009</x:v>
      </x:c>
      <x:c r="J1094" s="4" t="n">
        <x:f>IF('계산 과정'!$L$5,'계산 과정'!$D$6+'계산 과정'!$C$35*D1094+'계산 과정'!$D$35*E1094,"")</x:f>
        <x:v>717.9893224648647</x:v>
      </x:c>
      <x:c r="K1094" s="4" t="n">
        <x:f>IF(AND('계산 과정'!$L$6,J1094&gt;0),'계산 과정'!$D$10*('계산 과정'!$C$38*(D1094-'계산 과정'!$C$32)+'계산 과정'!$D$38*(E1094-'계산 과정'!$D$32)-'계산 과정'!$E$38*'계산 과정'!$E$32)/J1094,"")</x:f>
        <x:v>-0.7575524631085784</x:v>
      </x:c>
      <x:c r="L1094" s="4" t="n">
        <x:f>IF(AND('계산 과정'!$L$6,J1094&gt;0),'계산 과정'!$D$10*('계산 과정'!$C$39*(D1094-'계산 과정'!$C$32)+'계산 과정'!$D$39*(E1094-'계산 과정'!$D$32)-'계산 과정'!$E$39*'계산 과정'!$E$32)/J1094,"")</x:f>
        <x:v>-0.5804150871386673</x:v>
      </x:c>
      <x:c r="M1094" s="17" t="n">
        <x:f>IF('계산 과정'!$L$6,IF(J1094&lt;=0,0,IF(AND(ABS(K1094)&lt;='계산 과정'!$D$11/2,ABS(L1094)&lt;='계산 과정'!$D$12/2),1,0)),"")</x:f>
        <x:v>1</x:v>
      </x:c>
      <x:c r="N1094" s="17" t="n">
        <x:f>IF('계산 과정'!$C$78,IF(AND(ISNUMBER(H1094),ISNUMBER(I1094),ABS(H1094-'계산 과정'!$C$88)&lt;='계산 과정'!$D$23/2,ABS(I1094-'계산 과정'!$C$89)&lt;='계산 과정'!$D$24/2),1,0),"")</x:f>
        <x:v>1</x:v>
      </x:c>
      <x:c r="O1094" s="4" t="n">
        <x:f>IF('계산 과정'!$L$7,'계산 과정'!$C$49*('계산 과정'!$C$32-D1094)+'계산 과정'!$D$49*('계산 과정'!$D$32-E1094)+'계산 과정'!$E$49*'계산 과정'!$E$32,"")</x:f>
        <x:v>-67.98932246486459</x:v>
      </x:c>
      <x:c r="P1094" s="4" t="n">
        <x:f>IF(AND('계산 과정'!$L$7,O1094&lt;&gt;0),('계산 과정'!$L$23-'계산 과정'!$C$49*D1094-'계산 과정'!$D$49*E1094)/O1094,"")</x:f>
        <x:v>-4.883276748444011</x:v>
      </x:c>
      <x:c r="Q1094" s="4" t="str">
        <x:f>IF(AND(ISNUMBER(P1094),P1094&gt;1E-9,P1094&lt;1-1E-9),'계산 과정'!$C$47*(D1094-'계산 과정'!$C$50+P1094*('계산 과정'!$C$32-D1094))+'계산 과정'!$D$47*(E1094-'계산 과정'!$D$50+P1094*('계산 과정'!$D$32-E1094))+'계산 과정'!$E$47*(0-'계산 과정'!$E$50+P1094*('계산 과정'!$E$32-0)),"")</x:f>
      </x:c>
      <x:c r="R1094" s="4" t="str">
        <x:f>IF(AND(ISNUMBER(P1094),P1094&gt;1E-9,P1094&lt;1-1E-9),'계산 과정'!$C$48*(D1094-'계산 과정'!$C$50+P1094*('계산 과정'!$C$32-D1094))+'계산 과정'!$D$48*(E1094-'계산 과정'!$D$50+P1094*('계산 과정'!$D$32-E1094))+'계산 과정'!$E$48*(0-'계산 과정'!$E$50+P1094*('계산 과정'!$E$32-0)),"")</x:f>
      </x:c>
      <x:c r="S1094" s="17" t="n">
        <x:f>IF('계산 과정'!$C$78,IF(AND(ISNUMBER(Q1094),ISNUMBER(R1094),ABS(Q1094-'계산 과정'!$C$88)&lt;='계산 과정'!$D$23/2,ABS(R1094-'계산 과정'!$C$89)&lt;='계산 과정'!$D$24/2),1,0),"")</x:f>
        <x:v>0</x:v>
      </x:c>
      <x:c r="T1094" s="4"/>
      <x:c r="U1094" s="4"/>
      <x:c r="V1094" s="4"/>
      <x:c r="W1094" s="4"/>
      <x:c r="X1094" s="4"/>
      <x:c r="Y1094" s="4"/>
      <x:c r="Z1094" s="4"/>
    </x:row>
    <x:row r="1095" ht="23" customHeight="1">
      <x:c r="A1095" s="17" t="n">
        <x:f>ROW()-6</x:f>
        <x:v>1089</x:v>
      </x:c>
      <x:c r="B1095" s="4" t="n">
        <x:f>IF('계산 과정'!$L$5,'계산 과정'!$L$11*SQRT((A1095+0.5)/'계산 과정'!$L$30),"")</x:f>
        <x:v>109.40568765922319</x:v>
      </x:c>
      <x:c r="C1095" s="4" t="n">
        <x:f>A1095*PI()*(3-SQRT(5))</x:f>
        <x:v>2613.559957174503</x:v>
      </x:c>
      <x:c r="D1095" s="4" t="n">
        <x:f>IF('계산 과정'!$L$5,B1095*COS(C1095),"")</x:f>
        <x:v>106.13507419567401</x:v>
      </x:c>
      <x:c r="E1095" s="4" t="n">
        <x:f>IF('계산 과정'!$L$5,B1095*SIN(C1095),"")</x:f>
        <x:v>-26.55090427210105</x:v>
      </x:c>
      <x:c r="F1095" s="4" t="n">
        <x:f>IF('계산 과정'!$L$7,'계산 과정'!$L$22+'계산 과정'!$C$49*D1095+'계산 과정'!$D$49*E1095,"")</x:f>
        <x:v>574.9511693145016</x:v>
      </x:c>
      <x:c r="G1095" s="4" t="n">
        <x:f>IF('계산 과정'!$L$7,IF(ABS(F1095)&gt;=1E-12*MAX(1,SQRT((D1095-'계산 과정'!$C$33)^2+(E1095-'계산 과정'!$D$33)^2+'계산 과정'!$E$33^2)),('계산 과정'!$L$23-'계산 과정'!$C$49*D1095-'계산 과정'!$D$49*E1095)/F1095,""),"")</x:f>
        <x:v>0.8262420463495813</x:v>
      </x:c>
      <x:c r="H1095" s="4" t="n">
        <x:f>IF(AND(ISNUMBER(G1095),G1095&gt;0),('계산 과정'!$D$56+'계산 과정'!$D$57*D1095+'계산 과정'!$D$58*E1095)/F1095,"")</x:f>
        <x:v>137.05733012722786</x:v>
      </x:c>
      <x:c r="I1095" s="4" t="n">
        <x:f>IF(AND(ISNUMBER(G1095),G1095&gt;0),('계산 과정'!$E$56+'계산 과정'!$E$57*D1095+'계산 과정'!$E$58*E1095)/F1095,"")</x:f>
        <x:v>-48.48837775031366</x:v>
      </x:c>
      <x:c r="J1095" s="4" t="n">
        <x:f>IF('계산 과정'!$L$5,'계산 과정'!$D$6+'계산 과정'!$C$35*D1095+'계산 과정'!$D$35*E1095,"")</x:f>
        <x:v>574.9511693145016</x:v>
      </x:c>
      <x:c r="K1095" s="4" t="n">
        <x:f>IF(AND('계산 과정'!$L$6,J1095&gt;0),'계산 과정'!$D$10*('계산 과정'!$C$38*(D1095-'계산 과정'!$C$32)+'계산 과정'!$D$38*(E1095-'계산 과정'!$D$32)-'계산 과정'!$E$38*'계산 과정'!$E$32)/J1095,"")</x:f>
        <x:v>1.0442463247788794</x:v>
      </x:c>
      <x:c r="L1095" s="4" t="n">
        <x:f>IF(AND('계산 과정'!$L$6,J1095&gt;0),'계산 과정'!$D$10*('계산 과정'!$C$39*(D1095-'계산 과정'!$C$32)+'계산 과정'!$D$39*(E1095-'계산 과정'!$D$32)-'계산 과정'!$E$39*'계산 과정'!$E$32)/J1095,"")</x:f>
        <x:v>-0.36943525905000885</x:v>
      </x:c>
      <x:c r="M1095" s="17" t="n">
        <x:f>IF('계산 과정'!$L$6,IF(J1095&lt;=0,0,IF(AND(ABS(K1095)&lt;='계산 과정'!$D$11/2,ABS(L1095)&lt;='계산 과정'!$D$12/2),1,0)),"")</x:f>
        <x:v>1</x:v>
      </x:c>
      <x:c r="N1095" s="17" t="n">
        <x:f>IF('계산 과정'!$C$78,IF(AND(ISNUMBER(H1095),ISNUMBER(I1095),ABS(H1095-'계산 과정'!$C$88)&lt;='계산 과정'!$D$23/2,ABS(I1095-'계산 과정'!$C$89)&lt;='계산 과정'!$D$24/2),1,0),"")</x:f>
        <x:v>1</x:v>
      </x:c>
      <x:c r="O1095" s="4" t="n">
        <x:f>IF('계산 과정'!$L$7,'계산 과정'!$C$49*('계산 과정'!$C$32-D1095)+'계산 과정'!$D$49*('계산 과정'!$D$32-E1095)+'계산 과정'!$E$49*'계산 과정'!$E$32,"")</x:f>
        <x:v>75.04883068549856</x:v>
      </x:c>
      <x:c r="P1095" s="4" t="n">
        <x:f>IF(AND('계산 과정'!$L$7,O1095&lt;&gt;0),('계산 과정'!$L$23-'계산 과정'!$C$49*D1095-'계산 과정'!$D$49*E1095)/O1095,"")</x:f>
        <x:v>6.329863188358651</x:v>
      </x:c>
      <x:c r="Q1095" s="4" t="str">
        <x:f>IF(AND(ISNUMBER(P1095),P1095&gt;1E-9,P1095&lt;1-1E-9),'계산 과정'!$C$47*(D1095-'계산 과정'!$C$50+P1095*('계산 과정'!$C$32-D1095))+'계산 과정'!$D$47*(E1095-'계산 과정'!$D$50+P1095*('계산 과정'!$D$32-E1095))+'계산 과정'!$E$47*(0-'계산 과정'!$E$50+P1095*('계산 과정'!$E$32-0)),"")</x:f>
      </x:c>
      <x:c r="R1095" s="4" t="str">
        <x:f>IF(AND(ISNUMBER(P1095),P1095&gt;1E-9,P1095&lt;1-1E-9),'계산 과정'!$C$48*(D1095-'계산 과정'!$C$50+P1095*('계산 과정'!$C$32-D1095))+'계산 과정'!$D$48*(E1095-'계산 과정'!$D$50+P1095*('계산 과정'!$D$32-E1095))+'계산 과정'!$E$48*(0-'계산 과정'!$E$50+P1095*('계산 과정'!$E$32-0)),"")</x:f>
      </x:c>
      <x:c r="S1095" s="17" t="n">
        <x:f>IF('계산 과정'!$C$78,IF(AND(ISNUMBER(Q1095),ISNUMBER(R1095),ABS(Q1095-'계산 과정'!$C$88)&lt;='계산 과정'!$D$23/2,ABS(R1095-'계산 과정'!$C$89)&lt;='계산 과정'!$D$24/2),1,0),"")</x:f>
        <x:v>0</x:v>
      </x:c>
      <x:c r="T1095" s="4"/>
      <x:c r="U1095" s="4"/>
      <x:c r="V1095" s="4"/>
      <x:c r="W1095" s="4"/>
      <x:c r="X1095" s="4"/>
      <x:c r="Y1095" s="4"/>
      <x:c r="Z1095" s="4"/>
    </x:row>
    <x:row r="1096" ht="23" customHeight="1">
      <x:c r="A1096" s="17" t="n">
        <x:f>ROW()-6</x:f>
        <x:v>1090</x:v>
      </x:c>
      <x:c r="B1096" s="4" t="n">
        <x:f>IF('계산 과정'!$L$5,'계산 과정'!$L$11*SQRT((A1096+0.5)/'계산 과정'!$L$30),"")</x:f>
        <x:v>109.45588527033391</x:v>
      </x:c>
      <x:c r="C1096" s="4" t="n">
        <x:f>A1096*PI()*(3-SQRT(5))</x:f>
        <x:v>2615.9599204042315</x:v>
      </x:c>
      <x:c r="D1096" s="4" t="n">
        <x:f>IF('계산 과정'!$L$5,B1096*COS(C1096),"")</x:f>
        <x:v>-60.35350119016148</x:v>
      </x:c>
      <x:c r="E1096" s="4" t="n">
        <x:f>IF('계산 과정'!$L$5,B1096*SIN(C1096),"")</x:f>
        <x:v>91.31290004375984</x:v>
      </x:c>
      <x:c r="F1096" s="4" t="n">
        <x:f>IF('계산 과정'!$L$7,'계산 과정'!$L$22+'계산 과정'!$C$49*D1096+'계산 과정'!$D$49*E1096,"")</x:f>
        <x:v>692.6763699599136</x:v>
      </x:c>
      <x:c r="G1096" s="4" t="n">
        <x:f>IF('계산 과정'!$L$7,IF(ABS(F1096)&gt;=1E-12*MAX(1,SQRT((D1096-'계산 과정'!$C$33)^2+(E1096-'계산 과정'!$D$33)^2+'계산 과정'!$E$33^2)),('계산 과정'!$L$23-'계산 과정'!$C$49*D1096-'계산 과정'!$D$49*E1096)/F1096,""),"")</x:f>
        <x:v>0.5158594194006725</x:v>
      </x:c>
      <x:c r="H1096" s="4" t="n">
        <x:f>IF(AND(ISNUMBER(G1096),G1096&gt;0),('계산 과정'!$D$56+'계산 과정'!$D$57*D1096+'계산 과정'!$D$58*E1096)/F1096,"")</x:f>
        <x:v>-64.69137738956297</x:v>
      </x:c>
      <x:c r="I1096" s="4" t="n">
        <x:f>IF(AND(ISNUMBER(G1096),G1096&gt;0),('계산 과정'!$E$56+'계산 과정'!$E$57*D1096+'계산 과정'!$E$58*E1096)/F1096,"")</x:f>
        <x:v>138.41751964412543</x:v>
      </x:c>
      <x:c r="J1096" s="4" t="n">
        <x:f>IF('계산 과정'!$L$5,'계산 과정'!$D$6+'계산 과정'!$C$35*D1096+'계산 과정'!$D$35*E1096,"")</x:f>
        <x:v>692.6763699599136</x:v>
      </x:c>
      <x:c r="K1096" s="4" t="n">
        <x:f>IF(AND('계산 과정'!$L$6,J1096&gt;0),'계산 과정'!$D$10*('계산 과정'!$C$38*(D1096-'계산 과정'!$C$32)+'계산 과정'!$D$38*(E1096-'계산 과정'!$D$32)-'계산 과정'!$E$38*'계산 과정'!$E$32)/J1096,"")</x:f>
        <x:v>-0.49288668487286025</x:v>
      </x:c>
      <x:c r="L1096" s="4" t="n">
        <x:f>IF(AND('계산 과정'!$L$6,J1096&gt;0),'계산 과정'!$D$10*('계산 과정'!$C$39*(D1096-'계산 과정'!$C$32)+'계산 과정'!$D$39*(E1096-'계산 과정'!$D$32)-'계산 과정'!$E$39*'계산 과정'!$E$32)/J1096,"")</x:f>
        <x:v>1.0546096734790509</x:v>
      </x:c>
      <x:c r="M1096" s="17" t="n">
        <x:f>IF('계산 과정'!$L$6,IF(J1096&lt;=0,0,IF(AND(ABS(K1096)&lt;='계산 과정'!$D$11/2,ABS(L1096)&lt;='계산 과정'!$D$12/2),1,0)),"")</x:f>
        <x:v>1</x:v>
      </x:c>
      <x:c r="N1096" s="17" t="n">
        <x:f>IF('계산 과정'!$C$78,IF(AND(ISNUMBER(H1096),ISNUMBER(I1096),ABS(H1096-'계산 과정'!$C$88)&lt;='계산 과정'!$D$23/2,ABS(I1096-'계산 과정'!$C$89)&lt;='계산 과정'!$D$24/2),1,0),"")</x:f>
        <x:v>1</x:v>
      </x:c>
      <x:c r="O1096" s="4" t="n">
        <x:f>IF('계산 과정'!$L$7,'계산 과정'!$C$49*('계산 과정'!$C$32-D1096)+'계산 과정'!$D$49*('계산 과정'!$D$32-E1096)+'계산 과정'!$E$49*'계산 과정'!$E$32,"")</x:f>
        <x:v>-42.67636995991347</x:v>
      </x:c>
      <x:c r="P1096" s="4" t="n">
        <x:f>IF(AND('계산 과정'!$L$7,O1096&lt;&gt;0),('계산 과정'!$L$23-'계산 과정'!$C$49*D1096-'계산 과정'!$D$49*E1096)/O1096,"")</x:f>
        <x:v>-8.372868413497345</x:v>
      </x:c>
      <x:c r="Q1096" s="4" t="str">
        <x:f>IF(AND(ISNUMBER(P1096),P1096&gt;1E-9,P1096&lt;1-1E-9),'계산 과정'!$C$47*(D1096-'계산 과정'!$C$50+P1096*('계산 과정'!$C$32-D1096))+'계산 과정'!$D$47*(E1096-'계산 과정'!$D$50+P1096*('계산 과정'!$D$32-E1096))+'계산 과정'!$E$47*(0-'계산 과정'!$E$50+P1096*('계산 과정'!$E$32-0)),"")</x:f>
      </x:c>
      <x:c r="R1096" s="4" t="str">
        <x:f>IF(AND(ISNUMBER(P1096),P1096&gt;1E-9,P1096&lt;1-1E-9),'계산 과정'!$C$48*(D1096-'계산 과정'!$C$50+P1096*('계산 과정'!$C$32-D1096))+'계산 과정'!$D$48*(E1096-'계산 과정'!$D$50+P1096*('계산 과정'!$D$32-E1096))+'계산 과정'!$E$48*(0-'계산 과정'!$E$50+P1096*('계산 과정'!$E$32-0)),"")</x:f>
      </x:c>
      <x:c r="S1096" s="17" t="n">
        <x:f>IF('계산 과정'!$C$78,IF(AND(ISNUMBER(Q1096),ISNUMBER(R1096),ABS(Q1096-'계산 과정'!$C$88)&lt;='계산 과정'!$D$23/2,ABS(R1096-'계산 과정'!$C$89)&lt;='계산 과정'!$D$24/2),1,0),"")</x:f>
        <x:v>0</x:v>
      </x:c>
      <x:c r="T1096" s="4"/>
      <x:c r="U1096" s="4"/>
      <x:c r="V1096" s="4"/>
      <x:c r="W1096" s="4"/>
      <x:c r="X1096" s="4"/>
      <x:c r="Y1096" s="4"/>
      <x:c r="Z1096" s="4"/>
    </x:row>
    <x:row r="1097" ht="23" customHeight="1">
      <x:c r="A1097" s="17" t="n">
        <x:f>ROW()-6</x:f>
        <x:v>1091</x:v>
      </x:c>
      <x:c r="B1097" s="4" t="n">
        <x:f>IF('계산 과정'!$L$5,'계산 과정'!$L$11*SQRT((A1097+0.5)/'계산 과정'!$L$30),"")</x:f>
        <x:v>109.50605987084687</x:v>
      </x:c>
      <x:c r="C1097" s="4" t="n">
        <x:f>A1097*PI()*(3-SQRT(5))</x:f>
        <x:v>2618.35988363396</x:v>
      </x:c>
      <x:c r="D1097" s="4" t="n">
        <x:f>IF('계산 과정'!$L$5,B1097*COS(C1097),"")</x:f>
        <x:v>-17.18605874297234</x:v>
      </x:c>
      <x:c r="E1097" s="4" t="n">
        <x:f>IF('계산 과정'!$L$5,B1097*SIN(C1097),"")</x:f>
        <x:v>-108.14904776890366</x:v>
      </x:c>
      <x:c r="F1097" s="4" t="n">
        <x:f>IF('계산 과정'!$L$7,'계산 과정'!$L$22+'계산 과정'!$C$49*D1097+'계산 과정'!$D$49*E1097,"")</x:f>
        <x:v>662.1523786790261</x:v>
      </x:c>
      <x:c r="G1097" s="4" t="n">
        <x:f>IF('계산 과정'!$L$7,IF(ABS(F1097)&gt;=1E-12*MAX(1,SQRT((D1097-'계산 과정'!$C$33)^2+(E1097-'계산 과정'!$D$33)^2+'계산 과정'!$E$33^2)),('계산 과정'!$L$23-'계산 과정'!$C$49*D1097-'계산 과정'!$D$49*E1097)/F1097,""),"")</x:f>
        <x:v>0.5857377150780885</x:v>
      </x:c>
      <x:c r="H1097" s="4" t="n">
        <x:f>IF(AND(ISNUMBER(G1097),G1097&gt;0),('계산 과정'!$D$56+'계산 과정'!$D$57*D1097+'계산 과정'!$D$58*E1097)/F1097,"")</x:f>
        <x:v>-19.270485199242636</x:v>
      </x:c>
      <x:c r="I1097" s="4" t="n">
        <x:f>IF(AND(ISNUMBER(G1097),G1097&gt;0),('계산 과정'!$E$56+'계산 과정'!$E$57*D1097+'계산 과정'!$E$58*E1097)/F1097,"")</x:f>
        <x:v>-171.49602389693231</x:v>
      </x:c>
      <x:c r="J1097" s="4" t="n">
        <x:f>IF('계산 과정'!$L$5,'계산 과정'!$D$6+'계산 과정'!$C$35*D1097+'계산 과정'!$D$35*E1097,"")</x:f>
        <x:v>662.1523786790261</x:v>
      </x:c>
      <x:c r="K1097" s="4" t="n">
        <x:f>IF(AND('계산 과정'!$L$6,J1097&gt;0),'계산 과정'!$D$10*('계산 과정'!$C$38*(D1097-'계산 과정'!$C$32)+'계산 과정'!$D$38*(E1097-'계산 과정'!$D$32)-'계산 과정'!$E$38*'계산 과정'!$E$32)/J1097,"")</x:f>
        <x:v>-0.1468227443751815</x:v>
      </x:c>
      <x:c r="L1097" s="4" t="n">
        <x:f>IF(AND('계산 과정'!$L$6,J1097&gt;0),'계산 과정'!$D$10*('계산 과정'!$C$39*(D1097-'계산 과정'!$C$32)+'계산 과정'!$D$39*(E1097-'계산 과정'!$D$32)-'계산 과정'!$E$39*'계산 과정'!$E$32)/J1097,"")</x:f>
        <x:v>-1.3066363725480556</x:v>
      </x:c>
      <x:c r="M1097" s="17" t="n">
        <x:f>IF('계산 과정'!$L$6,IF(J1097&lt;=0,0,IF(AND(ABS(K1097)&lt;='계산 과정'!$D$11/2,ABS(L1097)&lt;='계산 과정'!$D$12/2),1,0)),"")</x:f>
        <x:v>1</x:v>
      </x:c>
      <x:c r="N1097" s="17" t="n">
        <x:f>IF('계산 과정'!$C$78,IF(AND(ISNUMBER(H1097),ISNUMBER(I1097),ABS(H1097-'계산 과정'!$C$88)&lt;='계산 과정'!$D$23/2,ABS(I1097-'계산 과정'!$C$89)&lt;='계산 과정'!$D$24/2),1,0),"")</x:f>
        <x:v>1</x:v>
      </x:c>
      <x:c r="O1097" s="4" t="n">
        <x:f>IF('계산 과정'!$L$7,'계산 과정'!$C$49*('계산 과정'!$C$32-D1097)+'계산 과정'!$D$49*('계산 과정'!$D$32-E1097)+'계산 과정'!$E$49*'계산 과정'!$E$32,"")</x:f>
        <x:v>-12.152378679026015</x:v>
      </x:c>
      <x:c r="P1097" s="4" t="n">
        <x:f>IF(AND('계산 과정'!$L$7,O1097&lt;&gt;0),('계산 과정'!$L$23-'계산 과정'!$C$49*D1097-'계산 과정'!$D$49*E1097)/O1097,"")</x:f>
        <x:v>-31.9153666590695</x:v>
      </x:c>
      <x:c r="Q1097" s="4" t="str">
        <x:f>IF(AND(ISNUMBER(P1097),P1097&gt;1E-9,P1097&lt;1-1E-9),'계산 과정'!$C$47*(D1097-'계산 과정'!$C$50+P1097*('계산 과정'!$C$32-D1097))+'계산 과정'!$D$47*(E1097-'계산 과정'!$D$50+P1097*('계산 과정'!$D$32-E1097))+'계산 과정'!$E$47*(0-'계산 과정'!$E$50+P1097*('계산 과정'!$E$32-0)),"")</x:f>
      </x:c>
      <x:c r="R1097" s="4" t="str">
        <x:f>IF(AND(ISNUMBER(P1097),P1097&gt;1E-9,P1097&lt;1-1E-9),'계산 과정'!$C$48*(D1097-'계산 과정'!$C$50+P1097*('계산 과정'!$C$32-D1097))+'계산 과정'!$D$48*(E1097-'계산 과정'!$D$50+P1097*('계산 과정'!$D$32-E1097))+'계산 과정'!$E$48*(0-'계산 과정'!$E$50+P1097*('계산 과정'!$E$32-0)),"")</x:f>
      </x:c>
      <x:c r="S1097" s="17" t="n">
        <x:f>IF('계산 과정'!$C$78,IF(AND(ISNUMBER(Q1097),ISNUMBER(R1097),ABS(Q1097-'계산 과정'!$C$88)&lt;='계산 과정'!$D$23/2,ABS(R1097-'계산 과정'!$C$89)&lt;='계산 과정'!$D$24/2),1,0),"")</x:f>
        <x:v>0</x:v>
      </x:c>
      <x:c r="T1097" s="4"/>
      <x:c r="U1097" s="4"/>
      <x:c r="V1097" s="4"/>
      <x:c r="W1097" s="4"/>
      <x:c r="X1097" s="4"/>
      <x:c r="Y1097" s="4"/>
      <x:c r="Z1097" s="4"/>
    </x:row>
    <x:row r="1098" ht="23" customHeight="1">
      <x:c r="A1098" s="17" t="n">
        <x:f>ROW()-6</x:f>
        <x:v>1092</x:v>
      </x:c>
      <x:c r="B1098" s="4" t="n">
        <x:f>IF('계산 과정'!$L$5,'계산 과정'!$L$11*SQRT((A1098+0.5)/'계산 과정'!$L$30),"")</x:f>
        <x:v>109.55621149237727</x:v>
      </x:c>
      <x:c r="C1098" s="4" t="n">
        <x:f>A1098*PI()*(3-SQRT(5))</x:f>
        <x:v>2620.7598468636893</x:v>
      </x:c>
      <x:c r="D1098" s="4" t="n">
        <x:f>IF('계산 과정'!$L$5,B1098*COS(C1098),"")</x:f>
        <x:v>85.76535782162942</x:v>
      </x:c>
      <x:c r="E1098" s="4" t="n">
        <x:f>IF('계산 과정'!$L$5,B1098*SIN(C1098),"")</x:f>
        <x:v>68.16793142152963</x:v>
      </x:c>
      <x:c r="F1098" s="4" t="n">
        <x:f>IF('계산 과정'!$L$7,'계산 과정'!$L$22+'계산 과정'!$C$49*D1098+'계산 과정'!$D$49*E1098,"")</x:f>
        <x:v>589.3547338934352</x:v>
      </x:c>
      <x:c r="G1098" s="4" t="n">
        <x:f>IF('계산 과정'!$L$7,IF(ABS(F1098)&gt;=1E-12*MAX(1,SQRT((D1098-'계산 과정'!$C$33)^2+(E1098-'계산 과정'!$D$33)^2+'계산 과정'!$E$33^2)),('계산 과정'!$L$23-'계산 과정'!$C$49*D1098-'계산 과정'!$D$49*E1098)/F1098,""),"")</x:f>
        <x:v>0.7816095122599913</x:v>
      </x:c>
      <x:c r="H1098" s="4" t="n">
        <x:f>IF(AND(ISNUMBER(G1098),G1098&gt;0),('계산 과정'!$D$56+'계산 과정'!$D$57*D1098+'계산 과정'!$D$58*E1098)/F1098,"")</x:f>
        <x:v>108.04618296899432</x:v>
      </x:c>
      <x:c r="I1098" s="4" t="n">
        <x:f>IF(AND(ISNUMBER(G1098),G1098&gt;0),('계산 과정'!$E$56+'계산 과정'!$E$57*D1098+'계산 과정'!$E$58*E1098)/F1098,"")</x:f>
        <x:v>121.44863505168392</x:v>
      </x:c>
      <x:c r="J1098" s="4" t="n">
        <x:f>IF('계산 과정'!$L$5,'계산 과정'!$D$6+'계산 과정'!$C$35*D1098+'계산 과정'!$D$35*E1098,"")</x:f>
        <x:v>589.3547338934352</x:v>
      </x:c>
      <x:c r="K1098" s="4" t="n">
        <x:f>IF(AND('계산 과정'!$L$6,J1098&gt;0),'계산 과정'!$D$10*('계산 과정'!$C$38*(D1098-'계산 과정'!$C$32)+'계산 과정'!$D$38*(E1098-'계산 과정'!$D$32)-'계산 과정'!$E$38*'계산 과정'!$E$32)/J1098,"")</x:f>
        <x:v>0.8232090130971002</x:v>
      </x:c>
      <x:c r="L1098" s="4" t="n">
        <x:f>IF(AND('계산 과정'!$L$6,J1098&gt;0),'계산 과정'!$D$10*('계산 과정'!$C$39*(D1098-'계산 과정'!$C$32)+'계산 과정'!$D$39*(E1098-'계산 과정'!$D$32)-'계산 과정'!$E$39*'계산 과정'!$E$32)/J1098,"")</x:f>
        <x:v>0.9253229337271157</x:v>
      </x:c>
      <x:c r="M1098" s="17" t="n">
        <x:f>IF('계산 과정'!$L$6,IF(J1098&lt;=0,0,IF(AND(ABS(K1098)&lt;='계산 과정'!$D$11/2,ABS(L1098)&lt;='계산 과정'!$D$12/2),1,0)),"")</x:f>
        <x:v>1</x:v>
      </x:c>
      <x:c r="N1098" s="17" t="n">
        <x:f>IF('계산 과정'!$C$78,IF(AND(ISNUMBER(H1098),ISNUMBER(I1098),ABS(H1098-'계산 과정'!$C$88)&lt;='계산 과정'!$D$23/2,ABS(I1098-'계산 과정'!$C$89)&lt;='계산 과정'!$D$24/2),1,0),"")</x:f>
        <x:v>1</x:v>
      </x:c>
      <x:c r="O1098" s="4" t="n">
        <x:f>IF('계산 과정'!$L$7,'계산 과정'!$C$49*('계산 과정'!$C$32-D1098)+'계산 과정'!$D$49*('계산 과정'!$D$32-E1098)+'계산 과정'!$E$49*'계산 과정'!$E$32,"")</x:f>
        <x:v>60.645266106564975</x:v>
      </x:c>
      <x:c r="P1098" s="4" t="n">
        <x:f>IF(AND('계산 과정'!$L$7,O1098&lt;&gt;0),('계산 과정'!$L$23-'계산 과정'!$C$49*D1098-'계산 과정'!$D$49*E1098)/O1098,"")</x:f>
        <x:v>7.595733281096099</x:v>
      </x:c>
      <x:c r="Q1098" s="4" t="str">
        <x:f>IF(AND(ISNUMBER(P1098),P1098&gt;1E-9,P1098&lt;1-1E-9),'계산 과정'!$C$47*(D1098-'계산 과정'!$C$50+P1098*('계산 과정'!$C$32-D1098))+'계산 과정'!$D$47*(E1098-'계산 과정'!$D$50+P1098*('계산 과정'!$D$32-E1098))+'계산 과정'!$E$47*(0-'계산 과정'!$E$50+P1098*('계산 과정'!$E$32-0)),"")</x:f>
      </x:c>
      <x:c r="R1098" s="4" t="str">
        <x:f>IF(AND(ISNUMBER(P1098),P1098&gt;1E-9,P1098&lt;1-1E-9),'계산 과정'!$C$48*(D1098-'계산 과정'!$C$50+P1098*('계산 과정'!$C$32-D1098))+'계산 과정'!$D$48*(E1098-'계산 과정'!$D$50+P1098*('계산 과정'!$D$32-E1098))+'계산 과정'!$E$48*(0-'계산 과정'!$E$50+P1098*('계산 과정'!$E$32-0)),"")</x:f>
      </x:c>
      <x:c r="S1098" s="17" t="n">
        <x:f>IF('계산 과정'!$C$78,IF(AND(ISNUMBER(Q1098),ISNUMBER(R1098),ABS(Q1098-'계산 과정'!$C$88)&lt;='계산 과정'!$D$23/2,ABS(R1098-'계산 과정'!$C$89)&lt;='계산 과정'!$D$24/2),1,0),"")</x:f>
        <x:v>0</x:v>
      </x:c>
      <x:c r="T1098" s="4"/>
      <x:c r="U1098" s="4"/>
      <x:c r="V1098" s="4"/>
      <x:c r="W1098" s="4"/>
      <x:c r="X1098" s="4"/>
      <x:c r="Y1098" s="4"/>
      <x:c r="Z1098" s="4"/>
    </x:row>
    <x:row r="1099" ht="23" customHeight="1">
      <x:c r="A1099" s="17" t="n">
        <x:f>ROW()-6</x:f>
        <x:v>1093</x:v>
      </x:c>
      <x:c r="B1099" s="4" t="n">
        <x:f>IF('계산 과정'!$L$5,'계산 과정'!$L$11*SQRT((A1099+0.5)/'계산 과정'!$L$30),"")</x:f>
        <x:v>109.60634016646802</x:v>
      </x:c>
      <x:c r="C1099" s="4" t="n">
        <x:f>A1099*PI()*(3-SQRT(5))</x:f>
        <x:v>2623.1598100934175</x:v>
      </x:c>
      <x:c r="D1099" s="4" t="n">
        <x:f>IF('계산 과정'!$L$5,B1099*COS(C1099),"")</x:f>
        <x:v>-109.3374874438176</x:v>
      </x:c>
      <x:c r="E1099" s="4" t="n">
        <x:f>IF('계산 과정'!$L$5,B1099*SIN(C1099),"")</x:f>
        <x:v>7.672264604439251</x:v>
      </x:c>
      <x:c r="F1099" s="4" t="n">
        <x:f>IF('계산 과정'!$L$7,'계산 과정'!$L$22+'계산 과정'!$C$49*D1099+'계산 과정'!$D$49*E1099,"")</x:f>
        <x:v>727.3132788094224</x:v>
      </x:c>
      <x:c r="G1099" s="4" t="n">
        <x:f>IF('계산 과정'!$L$7,IF(ABS(F1099)&gt;=1E-12*MAX(1,SQRT((D1099-'계산 과정'!$C$33)^2+(E1099-'계산 과정'!$D$33)^2+'계산 과정'!$E$33^2)),('계산 과정'!$L$23-'계산 과정'!$C$49*D1099-'계산 과정'!$D$49*E1099)/F1099,""),"")</x:f>
        <x:v>0.4436695033518439</x:v>
      </x:c>
      <x:c r="H1099" s="4" t="n">
        <x:f>IF(AND(ISNUMBER(G1099),G1099&gt;0),('계산 과정'!$D$56+'계산 과정'!$D$57*D1099+'계산 과정'!$D$58*E1099)/F1099,"")</x:f>
        <x:v>-111.61482282130162</x:v>
      </x:c>
      <x:c r="I1099" s="4" t="n">
        <x:f>IF(AND(ISNUMBER(G1099),G1099&gt;0),('계산 과정'!$E$56+'계산 과정'!$E$57*D1099+'계산 과정'!$E$58*E1099)/F1099,"")</x:f>
        <x:v>11.076214431074744</x:v>
      </x:c>
      <x:c r="J1099" s="4" t="n">
        <x:f>IF('계산 과정'!$L$5,'계산 과정'!$D$6+'계산 과정'!$C$35*D1099+'계산 과정'!$D$35*E1099,"")</x:f>
        <x:v>727.3132788094224</x:v>
      </x:c>
      <x:c r="K1099" s="4" t="n">
        <x:f>IF(AND('계산 과정'!$L$6,J1099&gt;0),'계산 과정'!$D$10*('계산 과정'!$C$38*(D1099-'계산 과정'!$C$32)+'계산 과정'!$D$38*(E1099-'계산 과정'!$D$32)-'계산 과정'!$E$38*'계산 과정'!$E$32)/J1099,"")</x:f>
        <x:v>-0.8503986500670595</x:v>
      </x:c>
      <x:c r="L1099" s="4" t="n">
        <x:f>IF(AND('계산 과정'!$L$6,J1099&gt;0),'계산 과정'!$D$10*('계산 과정'!$C$39*(D1099-'계산 과정'!$C$32)+'계산 과정'!$D$39*(E1099-'계산 과정'!$D$32)-'계산 과정'!$E$39*'계산 과정'!$E$32)/J1099,"")</x:f>
        <x:v>0.08439020518914091</x:v>
      </x:c>
      <x:c r="M1099" s="17" t="n">
        <x:f>IF('계산 과정'!$L$6,IF(J1099&lt;=0,0,IF(AND(ABS(K1099)&lt;='계산 과정'!$D$11/2,ABS(L1099)&lt;='계산 과정'!$D$12/2),1,0)),"")</x:f>
        <x:v>1</x:v>
      </x:c>
      <x:c r="N1099" s="17" t="n">
        <x:f>IF('계산 과정'!$C$78,IF(AND(ISNUMBER(H1099),ISNUMBER(I1099),ABS(H1099-'계산 과정'!$C$88)&lt;='계산 과정'!$D$23/2,ABS(I1099-'계산 과정'!$C$89)&lt;='계산 과정'!$D$24/2),1,0),"")</x:f>
        <x:v>1</x:v>
      </x:c>
      <x:c r="O1099" s="4" t="n">
        <x:f>IF('계산 과정'!$L$7,'계산 과정'!$C$49*('계산 과정'!$C$32-D1099)+'계산 과정'!$D$49*('계산 과정'!$D$32-E1099)+'계산 과정'!$E$49*'계산 과정'!$E$32,"")</x:f>
        <x:v>-77.31327880942229</x:v>
      </x:c>
      <x:c r="P1099" s="4" t="n">
        <x:f>IF(AND('계산 과정'!$L$7,O1099&lt;&gt;0),('계산 과정'!$L$23-'계산 과정'!$C$49*D1099-'계산 과정'!$D$49*E1099)/O1099,"")</x:f>
        <x:v>-4.17375548107334</x:v>
      </x:c>
      <x:c r="Q1099" s="4" t="str">
        <x:f>IF(AND(ISNUMBER(P1099),P1099&gt;1E-9,P1099&lt;1-1E-9),'계산 과정'!$C$47*(D1099-'계산 과정'!$C$50+P1099*('계산 과정'!$C$32-D1099))+'계산 과정'!$D$47*(E1099-'계산 과정'!$D$50+P1099*('계산 과정'!$D$32-E1099))+'계산 과정'!$E$47*(0-'계산 과정'!$E$50+P1099*('계산 과정'!$E$32-0)),"")</x:f>
      </x:c>
      <x:c r="R1099" s="4" t="str">
        <x:f>IF(AND(ISNUMBER(P1099),P1099&gt;1E-9,P1099&lt;1-1E-9),'계산 과정'!$C$48*(D1099-'계산 과정'!$C$50+P1099*('계산 과정'!$C$32-D1099))+'계산 과정'!$D$48*(E1099-'계산 과정'!$D$50+P1099*('계산 과정'!$D$32-E1099))+'계산 과정'!$E$48*(0-'계산 과정'!$E$50+P1099*('계산 과정'!$E$32-0)),"")</x:f>
      </x:c>
      <x:c r="S1099" s="17" t="n">
        <x:f>IF('계산 과정'!$C$78,IF(AND(ISNUMBER(Q1099),ISNUMBER(R1099),ABS(Q1099-'계산 과정'!$C$88)&lt;='계산 과정'!$D$23/2,ABS(R1099-'계산 과정'!$C$89)&lt;='계산 과정'!$D$24/2),1,0),"")</x:f>
        <x:v>0</x:v>
      </x:c>
      <x:c r="T1099" s="4"/>
      <x:c r="U1099" s="4"/>
      <x:c r="V1099" s="4"/>
      <x:c r="W1099" s="4"/>
      <x:c r="X1099" s="4"/>
      <x:c r="Y1099" s="4"/>
      <x:c r="Z1099" s="4"/>
    </x:row>
    <x:row r="1100" ht="23" customHeight="1">
      <x:c r="A1100" s="17" t="n">
        <x:f>ROW()-6</x:f>
        <x:v>1094</x:v>
      </x:c>
      <x:c r="B1100" s="4" t="n">
        <x:f>IF('계산 과정'!$L$5,'계산 과정'!$L$11*SQRT((A1100+0.5)/'계산 과정'!$L$30),"")</x:f>
        <x:v>109.65644592458986</x:v>
      </x:c>
      <x:c r="C1100" s="4" t="n">
        <x:f>A1100*PI()*(3-SQRT(5))</x:f>
        <x:v>2625.559773323146</x:v>
      </x:c>
      <x:c r="D1100" s="4" t="n">
        <x:f>IF('계산 과정'!$L$5,B1100*COS(C1100),"")</x:f>
        <x:v>75.47400681264011</x:v>
      </x:c>
      <x:c r="E1100" s="4" t="n">
        <x:f>IF('계산 과정'!$L$5,B1100*SIN(C1100),"")</x:f>
        <x:v>-79.55004983315884</x:v>
      </x:c>
      <x:c r="F1100" s="4" t="n">
        <x:f>IF('계산 과정'!$L$7,'계산 과정'!$L$22+'계산 과정'!$C$49*D1100+'계산 과정'!$D$49*E1100,"")</x:f>
        <x:v>596.6318179794625</x:v>
      </x:c>
      <x:c r="G1100" s="4" t="n">
        <x:f>IF('계산 과정'!$L$7,IF(ABS(F1100)&gt;=1E-12*MAX(1,SQRT((D1100-'계산 과정'!$C$33)^2+(E1100-'계산 과정'!$D$33)^2+'계산 과정'!$E$33^2)),('계산 과정'!$L$23-'계산 과정'!$C$49*D1100-'계산 과정'!$D$49*E1100)/F1100,""),"")</x:f>
        <x:v>0.7598793231576253</x:v>
      </x:c>
      <x:c r="H1100" s="4" t="n">
        <x:f>IF(AND(ISNUMBER(G1100),G1100&gt;0),('계산 과정'!$D$56+'계산 과정'!$D$57*D1100+'계산 과정'!$D$58*E1100)/F1100,"")</x:f>
        <x:v>93.9215600524564</x:v>
      </x:c>
      <x:c r="I1100" s="4" t="n">
        <x:f>IF(AND(ISNUMBER(G1100),G1100&gt;0),('계산 과정'!$E$56+'계산 과정'!$E$57*D1100+'계산 과정'!$E$58*E1100)/F1100,"")</x:f>
        <x:v>-139.9984878575349</x:v>
      </x:c>
      <x:c r="J1100" s="4" t="n">
        <x:f>IF('계산 과정'!$L$5,'계산 과정'!$D$6+'계산 과정'!$C$35*D1100+'계산 과정'!$D$35*E1100,"")</x:f>
        <x:v>596.6318179794625</x:v>
      </x:c>
      <x:c r="K1100" s="4" t="n">
        <x:f>IF(AND('계산 과정'!$L$6,J1100&gt;0),'계산 과정'!$D$10*('계산 과정'!$C$38*(D1100-'계산 과정'!$C$32)+'계산 과정'!$D$38*(E1100-'계산 과정'!$D$32)-'계산 과정'!$E$38*'계산 과정'!$E$32)/J1100,"")</x:f>
        <x:v>0.7155928384949067</x:v>
      </x:c>
      <x:c r="L1100" s="4" t="n">
        <x:f>IF(AND('계산 과정'!$L$6,J1100&gt;0),'계산 과정'!$D$10*('계산 과정'!$C$39*(D1100-'계산 과정'!$C$32)+'계산 과정'!$D$39*(E1100-'계산 과정'!$D$32)-'계산 과정'!$E$39*'계산 과정'!$E$32)/J1100,"")</x:f>
        <x:v>-1.0666551455812185</x:v>
      </x:c>
      <x:c r="M1100" s="17" t="n">
        <x:f>IF('계산 과정'!$L$6,IF(J1100&lt;=0,0,IF(AND(ABS(K1100)&lt;='계산 과정'!$D$11/2,ABS(L1100)&lt;='계산 과정'!$D$12/2),1,0)),"")</x:f>
        <x:v>1</x:v>
      </x:c>
      <x:c r="N1100" s="17" t="n">
        <x:f>IF('계산 과정'!$C$78,IF(AND(ISNUMBER(H1100),ISNUMBER(I1100),ABS(H1100-'계산 과정'!$C$88)&lt;='계산 과정'!$D$23/2,ABS(I1100-'계산 과정'!$C$89)&lt;='계산 과정'!$D$24/2),1,0),"")</x:f>
        <x:v>1</x:v>
      </x:c>
      <x:c r="O1100" s="4" t="n">
        <x:f>IF('계산 과정'!$L$7,'계산 과정'!$C$49*('계산 과정'!$C$32-D1100)+'계산 과정'!$D$49*('계산 과정'!$D$32-E1100)+'계산 과정'!$E$49*'계산 과정'!$E$32,"")</x:f>
        <x:v>53.36818202053763</x:v>
      </x:c>
      <x:c r="P1100" s="4" t="n">
        <x:f>IF(AND('계산 과정'!$L$7,O1100&lt;&gt;0),('계산 과정'!$L$23-'계산 과정'!$C$49*D1100-'계산 과정'!$D$49*E1100)/O1100,"")</x:f>
        <x:v>8.495102603383947</x:v>
      </x:c>
      <x:c r="Q1100" s="4" t="str">
        <x:f>IF(AND(ISNUMBER(P1100),P1100&gt;1E-9,P1100&lt;1-1E-9),'계산 과정'!$C$47*(D1100-'계산 과정'!$C$50+P1100*('계산 과정'!$C$32-D1100))+'계산 과정'!$D$47*(E1100-'계산 과정'!$D$50+P1100*('계산 과정'!$D$32-E1100))+'계산 과정'!$E$47*(0-'계산 과정'!$E$50+P1100*('계산 과정'!$E$32-0)),"")</x:f>
      </x:c>
      <x:c r="R1100" s="4" t="str">
        <x:f>IF(AND(ISNUMBER(P1100),P1100&gt;1E-9,P1100&lt;1-1E-9),'계산 과정'!$C$48*(D1100-'계산 과정'!$C$50+P1100*('계산 과정'!$C$32-D1100))+'계산 과정'!$D$48*(E1100-'계산 과정'!$D$50+P1100*('계산 과정'!$D$32-E1100))+'계산 과정'!$E$48*(0-'계산 과정'!$E$50+P1100*('계산 과정'!$E$32-0)),"")</x:f>
      </x:c>
      <x:c r="S1100" s="17" t="n">
        <x:f>IF('계산 과정'!$C$78,IF(AND(ISNUMBER(Q1100),ISNUMBER(R1100),ABS(Q1100-'계산 과정'!$C$88)&lt;='계산 과정'!$D$23/2,ABS(R1100-'계산 과정'!$C$89)&lt;='계산 과정'!$D$24/2),1,0),"")</x:f>
        <x:v>0</x:v>
      </x:c>
      <x:c r="T1100" s="4"/>
      <x:c r="U1100" s="4"/>
      <x:c r="V1100" s="4"/>
      <x:c r="W1100" s="4"/>
      <x:c r="X1100" s="4"/>
      <x:c r="Y1100" s="4"/>
      <x:c r="Z1100" s="4"/>
    </x:row>
    <x:row r="1101" ht="23" customHeight="1">
      <x:c r="A1101" s="17" t="n">
        <x:f>ROW()-6</x:f>
        <x:v>1095</x:v>
      </x:c>
      <x:c r="B1101" s="4" t="n">
        <x:f>IF('계산 과정'!$L$5,'계산 과정'!$L$11*SQRT((A1101+0.5)/'계산 과정'!$L$30),"")</x:f>
        <x:v>109.70652879814172</x:v>
      </x:c>
      <x:c r="C1101" s="4" t="n">
        <x:f>A1101*PI()*(3-SQRT(5))</x:f>
        <x:v>2627.959736552875</x:v>
      </x:c>
      <x:c r="D1101" s="4" t="n">
        <x:f>IF('계산 과정'!$L$5,B1101*COS(C1101),"")</x:f>
        <x:v>-1.917772652628798</x:v>
      </x:c>
      <x:c r="E1101" s="4" t="n">
        <x:f>IF('계산 과정'!$L$5,B1101*SIN(C1101),"")</x:f>
        <x:v>109.68976528824523</x:v>
      </x:c>
      <x:c r="F1101" s="4" t="n">
        <x:f>IF('계산 과정'!$L$7,'계산 과정'!$L$22+'계산 과정'!$C$49*D1101+'계산 과정'!$D$49*E1101,"")</x:f>
        <x:v>651.3560700474479</x:v>
      </x:c>
      <x:c r="G1101" s="4" t="n">
        <x:f>IF('계산 과정'!$L$7,IF(ABS(F1101)&gt;=1E-12*MAX(1,SQRT((D1101-'계산 과정'!$C$33)^2+(E1101-'계산 과정'!$D$33)^2+'계산 과정'!$E$33^2)),('계산 과정'!$L$23-'계산 과정'!$C$49*D1101-'계산 과정'!$D$49*E1101)/F1101,""),"")</x:f>
        <x:v>0.612021516777318</x:v>
      </x:c>
      <x:c r="H1101" s="4" t="n">
        <x:f>IF(AND(ISNUMBER(G1101),G1101&gt;0),('계산 과정'!$D$56+'계산 과정'!$D$57*D1101+'계산 과정'!$D$58*E1101)/F1101,"")</x:f>
        <x:v>-2.1860140947434257</x:v>
      </x:c>
      <x:c r="I1101" s="4" t="n">
        <x:f>IF(AND(ISNUMBER(G1101),G1101&gt;0),('계산 과정'!$E$56+'계산 과정'!$E$57*D1101+'계산 과정'!$E$58*E1101)/F1101,"")</x:f>
        <x:v>176.8222618149051</x:v>
      </x:c>
      <x:c r="J1101" s="4" t="n">
        <x:f>IF('계산 과정'!$L$5,'계산 과정'!$D$6+'계산 과정'!$C$35*D1101+'계산 과정'!$D$35*E1101,"")</x:f>
        <x:v>651.3560700474479</x:v>
      </x:c>
      <x:c r="K1101" s="4" t="n">
        <x:f>IF(AND('계산 과정'!$L$6,J1101&gt;0),'계산 과정'!$D$10*('계산 과정'!$C$38*(D1101-'계산 과정'!$C$32)+'계산 과정'!$D$38*(E1101-'계산 과정'!$D$32)-'계산 과정'!$E$38*'계산 과정'!$E$32)/J1101,"")</x:f>
        <x:v>-0.016655345483758476</x:v>
      </x:c>
      <x:c r="L1101" s="4" t="n">
        <x:f>IF(AND('계산 과정'!$L$6,J1101&gt;0),'계산 과정'!$D$10*('계산 과정'!$C$39*(D1101-'계산 과정'!$C$32)+'계산 과정'!$D$39*(E1101-'계산 과정'!$D$32)-'계산 과정'!$E$39*'계산 과정'!$E$32)/J1101,"")</x:f>
        <x:v>1.3472172328754672</x:v>
      </x:c>
      <x:c r="M1101" s="17" t="n">
        <x:f>IF('계산 과정'!$L$6,IF(J1101&lt;=0,0,IF(AND(ABS(K1101)&lt;='계산 과정'!$D$11/2,ABS(L1101)&lt;='계산 과정'!$D$12/2),1,0)),"")</x:f>
        <x:v>1</x:v>
      </x:c>
      <x:c r="N1101" s="17" t="n">
        <x:f>IF('계산 과정'!$C$78,IF(AND(ISNUMBER(H1101),ISNUMBER(I1101),ABS(H1101-'계산 과정'!$C$88)&lt;='계산 과정'!$D$23/2,ABS(I1101-'계산 과정'!$C$89)&lt;='계산 과정'!$D$24/2),1,0),"")</x:f>
        <x:v>1</x:v>
      </x:c>
      <x:c r="O1101" s="4" t="n">
        <x:f>IF('계산 과정'!$L$7,'계산 과정'!$C$49*('계산 과정'!$C$32-D1101)+'계산 과정'!$D$49*('계산 과정'!$D$32-E1101)+'계산 과정'!$E$49*'계산 과정'!$E$32,"")</x:f>
        <x:v>-1.3560700474478153</x:v>
      </x:c>
      <x:c r="P1101" s="4" t="n">
        <x:f>IF(AND('계산 과정'!$L$7,O1101&lt;&gt;0),('계산 과정'!$L$23-'계산 과정'!$C$49*D1101-'계산 과정'!$D$49*E1101)/O1101,"")</x:f>
        <x:v>-293.9700133505772</x:v>
      </x:c>
      <x:c r="Q1101" s="4" t="str">
        <x:f>IF(AND(ISNUMBER(P1101),P1101&gt;1E-9,P1101&lt;1-1E-9),'계산 과정'!$C$47*(D1101-'계산 과정'!$C$50+P1101*('계산 과정'!$C$32-D1101))+'계산 과정'!$D$47*(E1101-'계산 과정'!$D$50+P1101*('계산 과정'!$D$32-E1101))+'계산 과정'!$E$47*(0-'계산 과정'!$E$50+P1101*('계산 과정'!$E$32-0)),"")</x:f>
      </x:c>
      <x:c r="R1101" s="4" t="str">
        <x:f>IF(AND(ISNUMBER(P1101),P1101&gt;1E-9,P1101&lt;1-1E-9),'계산 과정'!$C$48*(D1101-'계산 과정'!$C$50+P1101*('계산 과정'!$C$32-D1101))+'계산 과정'!$D$48*(E1101-'계산 과정'!$D$50+P1101*('계산 과정'!$D$32-E1101))+'계산 과정'!$E$48*(0-'계산 과정'!$E$50+P1101*('계산 과정'!$E$32-0)),"")</x:f>
      </x:c>
      <x:c r="S1101" s="17" t="n">
        <x:f>IF('계산 과정'!$C$78,IF(AND(ISNUMBER(Q1101),ISNUMBER(R1101),ABS(Q1101-'계산 과정'!$C$88)&lt;='계산 과정'!$D$23/2,ABS(R1101-'계산 과정'!$C$89)&lt;='계산 과정'!$D$24/2),1,0),"")</x:f>
        <x:v>0</x:v>
      </x:c>
      <x:c r="T1101" s="4"/>
      <x:c r="U1101" s="4"/>
      <x:c r="V1101" s="4"/>
      <x:c r="W1101" s="4"/>
      <x:c r="X1101" s="4"/>
      <x:c r="Y1101" s="4"/>
      <x:c r="Z1101" s="4"/>
    </x:row>
    <x:row r="1102" ht="23" customHeight="1">
      <x:c r="A1102" s="17" t="n">
        <x:f>ROW()-6</x:f>
        <x:v>1096</x:v>
      </x:c>
      <x:c r="B1102" s="4" t="n">
        <x:f>IF('계산 과정'!$L$5,'계산 과정'!$L$11*SQRT((A1102+0.5)/'계산 과정'!$L$30),"")</x:f>
        <x:v>109.7565888184509</x:v>
      </x:c>
      <x:c r="C1102" s="4" t="n">
        <x:f>A1102*PI()*(3-SQRT(5))</x:f>
        <x:v>2630.3596997826035</x:v>
      </x:c>
      <x:c r="D1102" s="4" t="n">
        <x:f>IF('계산 과정'!$L$5,B1102*COS(C1102),"")</x:f>
        <x:v>-72.71343058504438</x:v>
      </x:c>
      <x:c r="E1102" s="4" t="n">
        <x:f>IF('계산 과정'!$L$5,B1102*SIN(C1102),"")</x:f>
        <x:v>-82.2147541601654</x:v>
      </x:c>
      <x:c r="F1102" s="4" t="n">
        <x:f>IF('계산 과정'!$L$7,'계산 과정'!$L$22+'계산 과정'!$C$49*D1102+'계산 과정'!$D$49*E1102,"")</x:f>
        <x:v>701.4161598500222</x:v>
      </x:c>
      <x:c r="G1102" s="4" t="n">
        <x:f>IF('계산 과정'!$L$7,IF(ABS(F1102)&gt;=1E-12*MAX(1,SQRT((D1102-'계산 과정'!$C$33)^2+(E1102-'계산 과정'!$D$33)^2+'계산 과정'!$E$33^2)),('계산 과정'!$L$23-'계산 과정'!$C$49*D1102-'계산 과정'!$D$49*E1102)/F1102,""),"")</x:f>
        <x:v>0.49697149866708595</x:v>
      </x:c>
      <x:c r="H1102" s="4" t="n">
        <x:f>IF(AND(ISNUMBER(G1102),G1102&gt;0),('계산 과정'!$D$56+'계산 과정'!$D$57*D1102+'계산 과정'!$D$58*E1102)/F1102,"")</x:f>
        <x:v>-76.9685258663943</x:v>
      </x:c>
      <x:c r="I1102" s="4" t="n">
        <x:f>IF(AND(ISNUMBER(G1102),G1102&gt;0),('계산 과정'!$E$56+'계산 과정'!$E$57*D1102+'계산 과정'!$E$58*E1102)/F1102,"")</x:f>
        <x:v>-123.07314374768885</x:v>
      </x:c>
      <x:c r="J1102" s="4" t="n">
        <x:f>IF('계산 과정'!$L$5,'계산 과정'!$D$6+'계산 과정'!$C$35*D1102+'계산 과정'!$D$35*E1102,"")</x:f>
        <x:v>701.4161598500222</x:v>
      </x:c>
      <x:c r="K1102" s="4" t="n">
        <x:f>IF(AND('계산 과정'!$L$6,J1102&gt;0),'계산 과정'!$D$10*('계산 과정'!$C$38*(D1102-'계산 과정'!$C$32)+'계산 과정'!$D$38*(E1102-'계산 과정'!$D$32)-'계산 과정'!$E$38*'계산 과정'!$E$32)/J1102,"")</x:f>
        <x:v>-0.5864268637439558</x:v>
      </x:c>
      <x:c r="L1102" s="4" t="n">
        <x:f>IF(AND('계산 과정'!$L$6,J1102&gt;0),'계산 과정'!$D$10*('계산 과정'!$C$39*(D1102-'계산 과정'!$C$32)+'계산 과정'!$D$39*(E1102-'계산 과정'!$D$32)-'계산 과정'!$E$39*'계산 과정'!$E$32)/J1102,"")</x:f>
        <x:v>-0.937700142839534</x:v>
      </x:c>
      <x:c r="M1102" s="17" t="n">
        <x:f>IF('계산 과정'!$L$6,IF(J1102&lt;=0,0,IF(AND(ABS(K1102)&lt;='계산 과정'!$D$11/2,ABS(L1102)&lt;='계산 과정'!$D$12/2),1,0)),"")</x:f>
        <x:v>1</x:v>
      </x:c>
      <x:c r="N1102" s="17" t="n">
        <x:f>IF('계산 과정'!$C$78,IF(AND(ISNUMBER(H1102),ISNUMBER(I1102),ABS(H1102-'계산 과정'!$C$88)&lt;='계산 과정'!$D$23/2,ABS(I1102-'계산 과정'!$C$89)&lt;='계산 과정'!$D$24/2),1,0),"")</x:f>
        <x:v>1</x:v>
      </x:c>
      <x:c r="O1102" s="4" t="n">
        <x:f>IF('계산 과정'!$L$7,'계산 과정'!$C$49*('계산 과정'!$C$32-D1102)+'계산 과정'!$D$49*('계산 과정'!$D$32-E1102)+'계산 과정'!$E$49*'계산 과정'!$E$32,"")</x:f>
        <x:v>-51.4161598500221</x:v>
      </x:c>
      <x:c r="P1102" s="4" t="n">
        <x:f>IF(AND('계산 과정'!$L$7,O1102&lt;&gt;0),('계산 과정'!$L$23-'계산 과정'!$C$49*D1102-'계산 과정'!$D$49*E1102)/O1102,"")</x:f>
        <x:v>-6.779655290608562</x:v>
      </x:c>
      <x:c r="Q1102" s="4" t="str">
        <x:f>IF(AND(ISNUMBER(P1102),P1102&gt;1E-9,P1102&lt;1-1E-9),'계산 과정'!$C$47*(D1102-'계산 과정'!$C$50+P1102*('계산 과정'!$C$32-D1102))+'계산 과정'!$D$47*(E1102-'계산 과정'!$D$50+P1102*('계산 과정'!$D$32-E1102))+'계산 과정'!$E$47*(0-'계산 과정'!$E$50+P1102*('계산 과정'!$E$32-0)),"")</x:f>
      </x:c>
      <x:c r="R1102" s="4" t="str">
        <x:f>IF(AND(ISNUMBER(P1102),P1102&gt;1E-9,P1102&lt;1-1E-9),'계산 과정'!$C$48*(D1102-'계산 과정'!$C$50+P1102*('계산 과정'!$C$32-D1102))+'계산 과정'!$D$48*(E1102-'계산 과정'!$D$50+P1102*('계산 과정'!$D$32-E1102))+'계산 과정'!$E$48*(0-'계산 과정'!$E$50+P1102*('계산 과정'!$E$32-0)),"")</x:f>
      </x:c>
      <x:c r="S1102" s="17" t="n">
        <x:f>IF('계산 과정'!$C$78,IF(AND(ISNUMBER(Q1102),ISNUMBER(R1102),ABS(Q1102-'계산 과정'!$C$88)&lt;='계산 과정'!$D$23/2,ABS(R1102-'계산 과정'!$C$89)&lt;='계산 과정'!$D$24/2),1,0),"")</x:f>
        <x:v>0</x:v>
      </x:c>
      <x:c r="T1102" s="4"/>
      <x:c r="U1102" s="4"/>
      <x:c r="V1102" s="4"/>
      <x:c r="W1102" s="4"/>
      <x:c r="X1102" s="4"/>
      <x:c r="Y1102" s="4"/>
      <x:c r="Z1102" s="4"/>
    </x:row>
    <x:row r="1103" ht="23" customHeight="1">
      <x:c r="A1103" s="17" t="n">
        <x:f>ROW()-6</x:f>
        <x:v>1097</x:v>
      </x:c>
      <x:c r="B1103" s="4" t="n">
        <x:f>IF('계산 과정'!$L$5,'계산 과정'!$L$11*SQRT((A1103+0.5)/'계산 과정'!$L$30),"")</x:f>
        <x:v>109.80662601677324</x:v>
      </x:c>
      <x:c r="C1103" s="4" t="n">
        <x:f>A1103*PI()*(3-SQRT(5))</x:f>
        <x:v>2632.759663012332</x:v>
      </x:c>
      <x:c r="D1103" s="4" t="n">
        <x:f>IF('계산 과정'!$L$5,B1103*COS(C1103),"")</x:f>
        <x:v>109.20165073235637</x:v>
      </x:c>
      <x:c r="E1103" s="4" t="n">
        <x:f>IF('계산 과정'!$L$5,B1103*SIN(C1103),"")</x:f>
        <x:v>11.510629631603658</x:v>
      </x:c>
      <x:c r="F1103" s="4" t="n">
        <x:f>IF('계산 과정'!$L$7,'계산 과정'!$L$22+'계산 과정'!$C$49*D1103+'계산 과정'!$D$49*E1103,"")</x:f>
        <x:v>572.782772250386</x:v>
      </x:c>
      <x:c r="G1103" s="4" t="n">
        <x:f>IF('계산 과정'!$L$7,IF(ABS(F1103)&gt;=1E-12*MAX(1,SQRT((D1103-'계산 과정'!$C$33)^2+(E1103-'계산 과정'!$D$33)^2+'계산 과정'!$E$33^2)),('계산 과정'!$L$23-'계산 과정'!$C$49*D1103-'계산 과정'!$D$49*E1103)/F1103,""),"")</x:f>
        <x:v>0.83315569334373</x:v>
      </x:c>
      <x:c r="H1103" s="4" t="n">
        <x:f>IF(AND(ISNUMBER(G1103),G1103&gt;0),('계산 과정'!$D$56+'계산 과정'!$D$57*D1103+'계산 과정'!$D$58*E1103)/F1103,"")</x:f>
        <x:v>141.55120067342443</x:v>
      </x:c>
      <x:c r="I1103" s="4" t="n">
        <x:f>IF(AND(ISNUMBER(G1103),G1103&gt;0),('계산 과정'!$E$56+'계산 과정'!$E$57*D1103+'계산 과정'!$E$58*E1103)/F1103,"")</x:f>
        <x:v>21.100776243145287</x:v>
      </x:c>
      <x:c r="J1103" s="4" t="n">
        <x:f>IF('계산 과정'!$L$5,'계산 과정'!$D$6+'계산 과정'!$C$35*D1103+'계산 과정'!$D$35*E1103,"")</x:f>
        <x:v>572.782772250386</x:v>
      </x:c>
      <x:c r="K1103" s="4" t="n">
        <x:f>IF(AND('계산 과정'!$L$6,J1103&gt;0),'계산 과정'!$D$10*('계산 과정'!$C$38*(D1103-'계산 과정'!$C$32)+'계산 과정'!$D$38*(E1103-'계산 과정'!$D$32)-'계산 과정'!$E$38*'계산 과정'!$E$32)/J1103,"")</x:f>
        <x:v>1.0784853384641873</x:v>
      </x:c>
      <x:c r="L1103" s="4" t="n">
        <x:f>IF(AND('계산 과정'!$L$6,J1103&gt;0),'계산 과정'!$D$10*('계산 과정'!$C$39*(D1103-'계산 과정'!$C$32)+'계산 과정'!$D$39*(E1103-'계산 과정'!$D$32)-'계산 과정'!$E$39*'계산 과정'!$E$32)/J1103,"")</x:f>
        <x:v>0.16076781899539266</x:v>
      </x:c>
      <x:c r="M1103" s="17" t="n">
        <x:f>IF('계산 과정'!$L$6,IF(J1103&lt;=0,0,IF(AND(ABS(K1103)&lt;='계산 과정'!$D$11/2,ABS(L1103)&lt;='계산 과정'!$D$12/2),1,0)),"")</x:f>
        <x:v>1</x:v>
      </x:c>
      <x:c r="N1103" s="17" t="n">
        <x:f>IF('계산 과정'!$C$78,IF(AND(ISNUMBER(H1103),ISNUMBER(I1103),ABS(H1103-'계산 과정'!$C$88)&lt;='계산 과정'!$D$23/2,ABS(I1103-'계산 과정'!$C$89)&lt;='계산 과정'!$D$24/2),1,0),"")</x:f>
        <x:v>1</x:v>
      </x:c>
      <x:c r="O1103" s="4" t="n">
        <x:f>IF('계산 과정'!$L$7,'계산 과정'!$C$49*('계산 과정'!$C$32-D1103)+'계산 과정'!$D$49*('계산 과정'!$D$32-E1103)+'계산 과정'!$E$49*'계산 과정'!$E$32,"")</x:f>
        <x:v>77.21722774961421</x:v>
      </x:c>
      <x:c r="P1103" s="4" t="n">
        <x:f>IF(AND('계산 과정'!$L$7,O1103&lt;&gt;0),('계산 과정'!$L$23-'계산 과정'!$C$49*D1103-'계산 과정'!$D$49*E1103)/O1103,"")</x:f>
        <x:v>6.180191152381774</x:v>
      </x:c>
      <x:c r="Q1103" s="4" t="str">
        <x:f>IF(AND(ISNUMBER(P1103),P1103&gt;1E-9,P1103&lt;1-1E-9),'계산 과정'!$C$47*(D1103-'계산 과정'!$C$50+P1103*('계산 과정'!$C$32-D1103))+'계산 과정'!$D$47*(E1103-'계산 과정'!$D$50+P1103*('계산 과정'!$D$32-E1103))+'계산 과정'!$E$47*(0-'계산 과정'!$E$50+P1103*('계산 과정'!$E$32-0)),"")</x:f>
      </x:c>
      <x:c r="R1103" s="4" t="str">
        <x:f>IF(AND(ISNUMBER(P1103),P1103&gt;1E-9,P1103&lt;1-1E-9),'계산 과정'!$C$48*(D1103-'계산 과정'!$C$50+P1103*('계산 과정'!$C$32-D1103))+'계산 과정'!$D$48*(E1103-'계산 과정'!$D$50+P1103*('계산 과정'!$D$32-E1103))+'계산 과정'!$E$48*(0-'계산 과정'!$E$50+P1103*('계산 과정'!$E$32-0)),"")</x:f>
      </x:c>
      <x:c r="S1103" s="17" t="n">
        <x:f>IF('계산 과정'!$C$78,IF(AND(ISNUMBER(Q1103),ISNUMBER(R1103),ABS(Q1103-'계산 과정'!$C$88)&lt;='계산 과정'!$D$23/2,ABS(R1103-'계산 과정'!$C$89)&lt;='계산 과정'!$D$24/2),1,0),"")</x:f>
        <x:v>0</x:v>
      </x:c>
      <x:c r="T1103" s="4"/>
      <x:c r="U1103" s="4"/>
      <x:c r="V1103" s="4"/>
      <x:c r="W1103" s="4"/>
      <x:c r="X1103" s="4"/>
      <x:c r="Y1103" s="4"/>
      <x:c r="Z1103" s="4"/>
    </x:row>
    <x:row r="1104" ht="23" customHeight="1">
      <x:c r="A1104" s="17" t="n">
        <x:f>ROW()-6</x:f>
        <x:v>1098</x:v>
      </x:c>
      <x:c r="B1104" s="4" t="n">
        <x:f>IF('계산 과정'!$L$5,'계산 과정'!$L$11*SQRT((A1104+0.5)/'계산 과정'!$L$30),"")</x:f>
        <x:v>109.85664042429343</x:v>
      </x:c>
      <x:c r="C1104" s="4" t="n">
        <x:f>A1104*PI()*(3-SQRT(5))</x:f>
        <x:v>2635.1596262420608</x:v>
      </x:c>
      <x:c r="D1104" s="4" t="n">
        <x:f>IF('계산 과정'!$L$5,B1104*COS(C1104),"")</x:f>
        <x:v>-88.3374346454405</x:v>
      </x:c>
      <x:c r="E1104" s="4" t="n">
        <x:f>IF('계산 과정'!$L$5,B1104*SIN(C1104),"")</x:f>
        <x:v>65.30680734483222</x:v>
      </x:c>
      <x:c r="F1104" s="4" t="n">
        <x:f>IF('계산 과정'!$L$7,'계산 과정'!$L$22+'계산 과정'!$C$49*D1104+'계산 과정'!$D$49*E1104,"")</x:f>
        <x:v>712.4639990704144</x:v>
      </x:c>
      <x:c r="G1104" s="4" t="n">
        <x:f>IF('계산 과정'!$L$7,IF(ABS(F1104)&gt;=1E-12*MAX(1,SQRT((D1104-'계산 과정'!$C$33)^2+(E1104-'계산 과정'!$D$33)^2+'계산 과정'!$E$33^2)),('계산 과정'!$L$23-'계산 과정'!$C$49*D1104-'계산 과정'!$D$49*E1104)/F1104,""),"")</x:f>
        <x:v>0.4737586760453648</x:v>
      </x:c>
      <x:c r="H1104" s="4" t="n">
        <x:f>IF(AND(ISNUMBER(G1104),G1104&gt;0),('계산 과정'!$D$56+'계산 과정'!$D$57*D1104+'계산 과정'!$D$58*E1104)/F1104,"")</x:f>
        <x:v>-92.05686057051301</x:v>
      </x:c>
      <x:c r="I1104" s="4" t="n">
        <x:f>IF(AND(ISNUMBER(G1104),G1104&gt;0),('계산 과정'!$E$56+'계산 과정'!$E$57*D1104+'계산 과정'!$E$58*E1104)/F1104,"")</x:f>
        <x:v>96.24647392926964</x:v>
      </x:c>
      <x:c r="J1104" s="4" t="n">
        <x:f>IF('계산 과정'!$L$5,'계산 과정'!$D$6+'계산 과정'!$C$35*D1104+'계산 과정'!$D$35*E1104,"")</x:f>
        <x:v>712.4639990704144</x:v>
      </x:c>
      <x:c r="K1104" s="4" t="n">
        <x:f>IF(AND('계산 과정'!$L$6,J1104&gt;0),'계산 과정'!$D$10*('계산 과정'!$C$38*(D1104-'계산 과정'!$C$32)+'계산 과정'!$D$38*(E1104-'계산 과정'!$D$32)-'계산 과정'!$E$38*'계산 과정'!$E$32)/J1104,"")</x:f>
        <x:v>-0.7013856043467643</x:v>
      </x:c>
      <x:c r="L1104" s="4" t="n">
        <x:f>IF(AND('계산 과정'!$L$6,J1104&gt;0),'계산 과정'!$D$10*('계산 과정'!$C$39*(D1104-'계산 과정'!$C$32)+'계산 과정'!$D$39*(E1104-'계산 과정'!$D$32)-'계산 과정'!$E$39*'계산 과정'!$E$32)/J1104,"")</x:f>
        <x:v>0.7333064680325306</x:v>
      </x:c>
      <x:c r="M1104" s="17" t="n">
        <x:f>IF('계산 과정'!$L$6,IF(J1104&lt;=0,0,IF(AND(ABS(K1104)&lt;='계산 과정'!$D$11/2,ABS(L1104)&lt;='계산 과정'!$D$12/2),1,0)),"")</x:f>
        <x:v>1</x:v>
      </x:c>
      <x:c r="N1104" s="17" t="n">
        <x:f>IF('계산 과정'!$C$78,IF(AND(ISNUMBER(H1104),ISNUMBER(I1104),ABS(H1104-'계산 과정'!$C$88)&lt;='계산 과정'!$D$23/2,ABS(I1104-'계산 과정'!$C$89)&lt;='계산 과정'!$D$24/2),1,0),"")</x:f>
        <x:v>1</x:v>
      </x:c>
      <x:c r="O1104" s="4" t="n">
        <x:f>IF('계산 과정'!$L$7,'계산 과정'!$C$49*('계산 과정'!$C$32-D1104)+'계산 과정'!$D$49*('계산 과정'!$D$32-E1104)+'계산 과정'!$E$49*'계산 과정'!$E$32,"")</x:f>
        <x:v>-62.463999070414275</x:v>
      </x:c>
      <x:c r="P1104" s="4" t="n">
        <x:f>IF(AND('계산 과정'!$L$7,O1104&lt;&gt;0),('계산 과정'!$L$23-'계산 과정'!$C$49*D1104-'계산 과정'!$D$49*E1104)/O1104,"")</x:f>
        <x:v>-5.403688619889494</x:v>
      </x:c>
      <x:c r="Q1104" s="4" t="str">
        <x:f>IF(AND(ISNUMBER(P1104),P1104&gt;1E-9,P1104&lt;1-1E-9),'계산 과정'!$C$47*(D1104-'계산 과정'!$C$50+P1104*('계산 과정'!$C$32-D1104))+'계산 과정'!$D$47*(E1104-'계산 과정'!$D$50+P1104*('계산 과정'!$D$32-E1104))+'계산 과정'!$E$47*(0-'계산 과정'!$E$50+P1104*('계산 과정'!$E$32-0)),"")</x:f>
      </x:c>
      <x:c r="R1104" s="4" t="str">
        <x:f>IF(AND(ISNUMBER(P1104),P1104&gt;1E-9,P1104&lt;1-1E-9),'계산 과정'!$C$48*(D1104-'계산 과정'!$C$50+P1104*('계산 과정'!$C$32-D1104))+'계산 과정'!$D$48*(E1104-'계산 과정'!$D$50+P1104*('계산 과정'!$D$32-E1104))+'계산 과정'!$E$48*(0-'계산 과정'!$E$50+P1104*('계산 과정'!$E$32-0)),"")</x:f>
      </x:c>
      <x:c r="S1104" s="17" t="n">
        <x:f>IF('계산 과정'!$C$78,IF(AND(ISNUMBER(Q1104),ISNUMBER(R1104),ABS(Q1104-'계산 과정'!$C$88)&lt;='계산 과정'!$D$23/2,ABS(R1104-'계산 과정'!$C$89)&lt;='계산 과정'!$D$24/2),1,0),"")</x:f>
        <x:v>0</x:v>
      </x:c>
      <x:c r="T1104" s="4"/>
      <x:c r="U1104" s="4"/>
      <x:c r="V1104" s="4"/>
      <x:c r="W1104" s="4"/>
      <x:c r="X1104" s="4"/>
      <x:c r="Y1104" s="4"/>
      <x:c r="Z1104" s="4"/>
    </x:row>
    <x:row r="1105" ht="23" customHeight="1">
      <x:c r="A1105" s="17" t="n">
        <x:f>ROW()-6</x:f>
        <x:v>1099</x:v>
      </x:c>
      <x:c r="B1105" s="4" t="n">
        <x:f>IF('계산 과정'!$L$5,'계산 과정'!$L$11*SQRT((A1105+0.5)/'계산 과정'!$L$30),"")</x:f>
        <x:v>109.9066320721252</x:v>
      </x:c>
      <x:c r="C1105" s="4" t="n">
        <x:f>A1105*PI()*(3-SQRT(5))</x:f>
        <x:v>2637.55958947179</x:v>
      </x:c>
      <x:c r="D1105" s="4" t="n">
        <x:f>IF('계산 과정'!$L$5,B1105*COS(C1105),"")</x:f>
        <x:v>21.032727420228422</x:v>
      </x:c>
      <x:c r="E1105" s="4" t="n">
        <x:f>IF('계산 과정'!$L$5,B1105*SIN(C1105),"")</x:f>
        <x:v>-107.87535469561095</x:v>
      </x:c>
      <x:c r="F1105" s="4" t="n">
        <x:f>IF('계산 과정'!$L$7,'계산 과정'!$L$22+'계산 과정'!$C$49*D1105+'계산 과정'!$D$49*E1105,"")</x:f>
        <x:v>635.1276158143082</x:v>
      </x:c>
      <x:c r="G1105" s="4" t="n">
        <x:f>IF('계산 과정'!$L$7,IF(ABS(F1105)&gt;=1E-12*MAX(1,SQRT((D1105-'계산 과정'!$C$33)^2+(E1105-'계산 과정'!$D$33)^2+'계산 과정'!$E$33^2)),('계산 과정'!$L$23-'계산 과정'!$C$49*D1105-'계산 과정'!$D$49*E1105)/F1105,""),"")</x:f>
        <x:v>0.6532110616128329</x:v>
      </x:c>
      <x:c r="H1105" s="4" t="n">
        <x:f>IF(AND(ISNUMBER(G1105),G1105&gt;0),('계산 과정'!$D$56+'계산 과정'!$D$57*D1105+'계산 과정'!$D$58*E1105)/F1105,"")</x:f>
        <x:v>24.587190048341267</x:v>
      </x:c>
      <x:c r="I1105" s="4" t="n">
        <x:f>IF(AND(ISNUMBER(G1105),G1105&gt;0),('계산 과정'!$E$56+'계산 과정'!$E$57*D1105+'계산 과정'!$E$58*E1105)/F1105,"")</x:f>
        <x:v>-178.34072965819186</x:v>
      </x:c>
      <x:c r="J1105" s="4" t="n">
        <x:f>IF('계산 과정'!$L$5,'계산 과정'!$D$6+'계산 과정'!$C$35*D1105+'계산 과정'!$D$35*E1105,"")</x:f>
        <x:v>635.1276158143082</x:v>
      </x:c>
      <x:c r="K1105" s="4" t="n">
        <x:f>IF(AND('계산 과정'!$L$6,J1105&gt;0),'계산 과정'!$D$10*('계산 과정'!$C$38*(D1105-'계산 과정'!$C$32)+'계산 과정'!$D$38*(E1105-'계산 과정'!$D$32)-'계산 과정'!$E$38*'계산 과정'!$E$32)/J1105,"")</x:f>
        <x:v>0.18733097179688687</x:v>
      </x:c>
      <x:c r="L1105" s="4" t="n">
        <x:f>IF(AND('계산 과정'!$L$6,J1105&gt;0),'계산 과정'!$D$10*('계산 과정'!$C$39*(D1105-'계산 과정'!$C$32)+'계산 과정'!$D$39*(E1105-'계산 과정'!$D$32)-'계산 과정'!$E$39*'계산 과정'!$E$32)/J1105,"")</x:f>
        <x:v>-1.358786511681462</x:v>
      </x:c>
      <x:c r="M1105" s="17" t="n">
        <x:f>IF('계산 과정'!$L$6,IF(J1105&lt;=0,0,IF(AND(ABS(K1105)&lt;='계산 과정'!$D$11/2,ABS(L1105)&lt;='계산 과정'!$D$12/2),1,0)),"")</x:f>
        <x:v>1</x:v>
      </x:c>
      <x:c r="N1105" s="17" t="n">
        <x:f>IF('계산 과정'!$C$78,IF(AND(ISNUMBER(H1105),ISNUMBER(I1105),ABS(H1105-'계산 과정'!$C$88)&lt;='계산 과정'!$D$23/2,ABS(I1105-'계산 과정'!$C$89)&lt;='계산 과정'!$D$24/2),1,0),"")</x:f>
        <x:v>1</x:v>
      </x:c>
      <x:c r="O1105" s="4" t="n">
        <x:f>IF('계산 과정'!$L$7,'계산 과정'!$C$49*('계산 과정'!$C$32-D1105)+'계산 과정'!$D$49*('계산 과정'!$D$32-E1105)+'계산 과정'!$E$49*'계산 과정'!$E$32,"")</x:f>
        <x:v>14.872384185691885</x:v>
      </x:c>
      <x:c r="P1105" s="4" t="n">
        <x:f>IF(AND('계산 과정'!$L$7,O1105&lt;&gt;0),('계산 과정'!$L$23-'계산 과정'!$C$49*D1105-'계산 과정'!$D$49*E1105)/O1105,"")</x:f>
        <x:v>27.895485956100003</x:v>
      </x:c>
      <x:c r="Q1105" s="4" t="str">
        <x:f>IF(AND(ISNUMBER(P1105),P1105&gt;1E-9,P1105&lt;1-1E-9),'계산 과정'!$C$47*(D1105-'계산 과정'!$C$50+P1105*('계산 과정'!$C$32-D1105))+'계산 과정'!$D$47*(E1105-'계산 과정'!$D$50+P1105*('계산 과정'!$D$32-E1105))+'계산 과정'!$E$47*(0-'계산 과정'!$E$50+P1105*('계산 과정'!$E$32-0)),"")</x:f>
      </x:c>
      <x:c r="R1105" s="4" t="str">
        <x:f>IF(AND(ISNUMBER(P1105),P1105&gt;1E-9,P1105&lt;1-1E-9),'계산 과정'!$C$48*(D1105-'계산 과정'!$C$50+P1105*('계산 과정'!$C$32-D1105))+'계산 과정'!$D$48*(E1105-'계산 과정'!$D$50+P1105*('계산 과정'!$D$32-E1105))+'계산 과정'!$E$48*(0-'계산 과정'!$E$50+P1105*('계산 과정'!$E$32-0)),"")</x:f>
      </x:c>
      <x:c r="S1105" s="17" t="n">
        <x:f>IF('계산 과정'!$C$78,IF(AND(ISNUMBER(Q1105),ISNUMBER(R1105),ABS(Q1105-'계산 과정'!$C$88)&lt;='계산 과정'!$D$23/2,ABS(R1105-'계산 과정'!$C$89)&lt;='계산 과정'!$D$24/2),1,0),"")</x:f>
        <x:v>0</x:v>
      </x:c>
      <x:c r="T1105" s="4"/>
      <x:c r="U1105" s="4"/>
      <x:c r="V1105" s="4"/>
      <x:c r="W1105" s="4"/>
      <x:c r="X1105" s="4"/>
      <x:c r="Y1105" s="4"/>
      <x:c r="Z1105" s="4"/>
    </x:row>
    <x:row r="1106" ht="23" customHeight="1">
      <x:c r="A1106" s="17" t="n">
        <x:f>ROW()-6</x:f>
        <x:v>1100</x:v>
      </x:c>
      <x:c r="B1106" s="4" t="n">
        <x:f>IF('계산 과정'!$L$5,'계산 과정'!$L$11*SQRT((A1106+0.5)/'계산 과정'!$L$30),"")</x:f>
        <x:v>109.95660099131157</x:v>
      </x:c>
      <x:c r="C1106" s="4" t="n">
        <x:f>A1106*PI()*(3-SQRT(5))</x:f>
        <x:v>2639.959552701518</x:v>
      </x:c>
      <x:c r="D1106" s="4" t="n">
        <x:f>IF('계산 과정'!$L$5,B1106*COS(C1106),"")</x:f>
        <x:v>57.38595506558842</x:v>
      </x:c>
      <x:c r="E1106" s="4" t="n">
        <x:f>IF('계산 과정'!$L$5,B1106*SIN(C1106),"")</x:f>
        <x:v>93.79395642989354</x:v>
      </x:c>
      <x:c r="F1106" s="4" t="n">
        <x:f>IF('계산 과정'!$L$7,'계산 과정'!$L$22+'계산 과정'!$C$49*D1106+'계산 과정'!$D$49*E1106,"")</x:f>
        <x:v>609.422002028256</x:v>
      </x:c>
      <x:c r="G1106" s="4" t="n">
        <x:f>IF('계산 과정'!$L$7,IF(ABS(F1106)&gt;=1E-12*MAX(1,SQRT((D1106-'계산 과정'!$C$33)^2+(E1106-'계산 과정'!$D$33)^2+'계산 과정'!$E$33^2)),('계산 과정'!$L$23-'계산 과정'!$C$49*D1106-'계산 과정'!$D$49*E1106)/F1106,""),"")</x:f>
        <x:v>0.7229440297616898</x:v>
      </x:c>
      <x:c r="H1106" s="4" t="n">
        <x:f>IF(AND(ISNUMBER(G1106),G1106&gt;0),('계산 과정'!$D$56+'계산 과정'!$D$57*D1106+'계산 과정'!$D$58*E1106)/F1106,"")</x:f>
        <x:v>69.91361934509833</x:v>
      </x:c>
      <x:c r="I1106" s="4" t="n">
        <x:f>IF(AND(ISNUMBER(G1106),G1106&gt;0),('계산 과정'!$E$56+'계산 과정'!$E$57*D1106+'계산 과정'!$E$58*E1106)/F1106,"")</x:f>
        <x:v>161.60173725861313</x:v>
      </x:c>
      <x:c r="J1106" s="4" t="n">
        <x:f>IF('계산 과정'!$L$5,'계산 과정'!$D$6+'계산 과정'!$C$35*D1106+'계산 과정'!$D$35*E1106,"")</x:f>
        <x:v>609.422002028256</x:v>
      </x:c>
      <x:c r="K1106" s="4" t="n">
        <x:f>IF(AND('계산 과정'!$L$6,J1106&gt;0),'계산 과정'!$D$10*('계산 과정'!$C$38*(D1106-'계산 과정'!$C$32)+'계산 과정'!$D$38*(E1106-'계산 과정'!$D$32)-'계산 과정'!$E$38*'계산 과정'!$E$32)/J1106,"")</x:f>
        <x:v>0.5326751950102737</x:v>
      </x:c>
      <x:c r="L1106" s="4" t="n">
        <x:f>IF(AND('계산 과정'!$L$6,J1106&gt;0),'계산 과정'!$D$10*('계산 과정'!$C$39*(D1106-'계산 과정'!$C$32)+'계산 과정'!$D$39*(E1106-'계산 과정'!$D$32)-'계산 과정'!$E$39*'계산 과정'!$E$32)/J1106,"")</x:f>
        <x:v>1.2312513314941953</x:v>
      </x:c>
      <x:c r="M1106" s="17" t="n">
        <x:f>IF('계산 과정'!$L$6,IF(J1106&lt;=0,0,IF(AND(ABS(K1106)&lt;='계산 과정'!$D$11/2,ABS(L1106)&lt;='계산 과정'!$D$12/2),1,0)),"")</x:f>
        <x:v>1</x:v>
      </x:c>
      <x:c r="N1106" s="17" t="n">
        <x:f>IF('계산 과정'!$C$78,IF(AND(ISNUMBER(H1106),ISNUMBER(I1106),ABS(H1106-'계산 과정'!$C$88)&lt;='계산 과정'!$D$23/2,ABS(I1106-'계산 과정'!$C$89)&lt;='계산 과정'!$D$24/2),1,0),"")</x:f>
        <x:v>1</x:v>
      </x:c>
      <x:c r="O1106" s="4" t="n">
        <x:f>IF('계산 과정'!$L$7,'계산 과정'!$C$49*('계산 과정'!$C$32-D1106)+'계산 과정'!$D$49*('계산 과정'!$D$32-E1106)+'계산 과정'!$E$49*'계산 과정'!$E$32,"")</x:f>
        <x:v>40.577997971744196</x:v>
      </x:c>
      <x:c r="P1106" s="4" t="n">
        <x:f>IF(AND('계산 과정'!$L$7,O1106&lt;&gt;0),('계산 과정'!$L$23-'계산 과정'!$C$49*D1106-'계산 과정'!$D$49*E1106)/O1106,"")</x:f>
        <x:v>10.85755877553479</x:v>
      </x:c>
      <x:c r="Q1106" s="4" t="str">
        <x:f>IF(AND(ISNUMBER(P1106),P1106&gt;1E-9,P1106&lt;1-1E-9),'계산 과정'!$C$47*(D1106-'계산 과정'!$C$50+P1106*('계산 과정'!$C$32-D1106))+'계산 과정'!$D$47*(E1106-'계산 과정'!$D$50+P1106*('계산 과정'!$D$32-E1106))+'계산 과정'!$E$47*(0-'계산 과정'!$E$50+P1106*('계산 과정'!$E$32-0)),"")</x:f>
      </x:c>
      <x:c r="R1106" s="4" t="str">
        <x:f>IF(AND(ISNUMBER(P1106),P1106&gt;1E-9,P1106&lt;1-1E-9),'계산 과정'!$C$48*(D1106-'계산 과정'!$C$50+P1106*('계산 과정'!$C$32-D1106))+'계산 과정'!$D$48*(E1106-'계산 과정'!$D$50+P1106*('계산 과정'!$D$32-E1106))+'계산 과정'!$E$48*(0-'계산 과정'!$E$50+P1106*('계산 과정'!$E$32-0)),"")</x:f>
      </x:c>
      <x:c r="S1106" s="17" t="n">
        <x:f>IF('계산 과정'!$C$78,IF(AND(ISNUMBER(Q1106),ISNUMBER(R1106),ABS(Q1106-'계산 과정'!$C$88)&lt;='계산 과정'!$D$23/2,ABS(R1106-'계산 과정'!$C$89)&lt;='계산 과정'!$D$24/2),1,0),"")</x:f>
        <x:v>0</x:v>
      </x:c>
      <x:c r="T1106" s="4"/>
      <x:c r="U1106" s="4"/>
      <x:c r="V1106" s="4"/>
      <x:c r="W1106" s="4"/>
      <x:c r="X1106" s="4"/>
      <x:c r="Y1106" s="4"/>
      <x:c r="Z1106" s="4"/>
    </x:row>
    <x:row r="1107" ht="23" customHeight="1">
      <x:c r="A1107" s="17" t="n">
        <x:f>ROW()-6</x:f>
        <x:v>1101</x:v>
      </x:c>
      <x:c r="B1107" s="4" t="n">
        <x:f>IF('계산 과정'!$L$5,'계산 과정'!$L$11*SQRT((A1107+0.5)/'계산 과정'!$L$30),"")</x:f>
        <x:v>110.00654721282501</x:v>
      </x:c>
      <x:c r="C1107" s="4" t="n">
        <x:f>A1107*PI()*(3-SQRT(5))</x:f>
        <x:v>2642.3595159312467</x:v>
      </x:c>
      <x:c r="D1107" s="4" t="n">
        <x:f>IF('계산 과정'!$L$5,B1107*COS(C1107),"")</x:f>
        <x:v>-105.71952431944831</x:v>
      </x:c>
      <x:c r="E1107" s="4" t="n">
        <x:f>IF('계산 과정'!$L$5,B1107*SIN(C1107),"")</x:f>
        <x:v>-30.41089619457269</x:v>
      </x:c>
      <x:c r="F1107" s="4" t="n">
        <x:f>IF('계산 과정'!$L$7,'계산 과정'!$L$22+'계산 과정'!$C$49*D1107+'계산 과정'!$D$49*E1107,"")</x:f>
        <x:v>724.754992550098</x:v>
      </x:c>
      <x:c r="G1107" s="4" t="n">
        <x:f>IF('계산 과정'!$L$7,IF(ABS(F1107)&gt;=1E-12*MAX(1,SQRT((D1107-'계산 과정'!$C$33)^2+(E1107-'계산 과정'!$D$33)^2+'계산 과정'!$E$33^2)),('계산 과정'!$L$23-'계산 과정'!$C$49*D1107-'계산 과정'!$D$49*E1107)/F1107,""),"")</x:f>
        <x:v>0.4487654597666256</x:v>
      </x:c>
      <x:c r="H1107" s="4" t="n">
        <x:f>IF(AND(ISNUMBER(G1107),G1107&gt;0),('계산 과정'!$D$56+'계산 과정'!$D$57*D1107+'계산 과정'!$D$58*E1107)/F1107,"")</x:f>
        <x:v>-108.30245115169357</x:v>
      </x:c>
      <x:c r="I1107" s="4" t="n">
        <x:f>IF(AND(ISNUMBER(G1107),G1107&gt;0),('계산 과정'!$E$56+'계산 과정'!$E$57*D1107+'계산 과정'!$E$58*E1107)/F1107,"")</x:f>
        <x:v>-44.05825600724523</x:v>
      </x:c>
      <x:c r="J1107" s="4" t="n">
        <x:f>IF('계산 과정'!$L$5,'계산 과정'!$D$6+'계산 과정'!$C$35*D1107+'계산 과정'!$D$35*E1107,"")</x:f>
        <x:v>724.754992550098</x:v>
      </x:c>
      <x:c r="K1107" s="4" t="n">
        <x:f>IF(AND('계산 과정'!$L$6,J1107&gt;0),'계산 과정'!$D$10*('계산 과정'!$C$38*(D1107-'계산 과정'!$C$32)+'계산 과정'!$D$38*(E1107-'계산 과정'!$D$32)-'계산 과정'!$E$38*'계산 과정'!$E$32)/J1107,"")</x:f>
        <x:v>-0.8251615325843306</x:v>
      </x:c>
      <x:c r="L1107" s="4" t="n">
        <x:f>IF(AND('계산 과정'!$L$6,J1107&gt;0),'계산 과정'!$D$10*('계산 과정'!$C$39*(D1107-'계산 과정'!$C$32)+'계산 과정'!$D$39*(E1107-'계산 과정'!$D$32)-'계산 과정'!$E$39*'계산 과정'!$E$32)/J1107,"")</x:f>
        <x:v>-0.3356819505313922</x:v>
      </x:c>
      <x:c r="M1107" s="17" t="n">
        <x:f>IF('계산 과정'!$L$6,IF(J1107&lt;=0,0,IF(AND(ABS(K1107)&lt;='계산 과정'!$D$11/2,ABS(L1107)&lt;='계산 과정'!$D$12/2),1,0)),"")</x:f>
        <x:v>1</x:v>
      </x:c>
      <x:c r="N1107" s="17" t="n">
        <x:f>IF('계산 과정'!$C$78,IF(AND(ISNUMBER(H1107),ISNUMBER(I1107),ABS(H1107-'계산 과정'!$C$88)&lt;='계산 과정'!$D$23/2,ABS(I1107-'계산 과정'!$C$89)&lt;='계산 과정'!$D$24/2),1,0),"")</x:f>
        <x:v>1</x:v>
      </x:c>
      <x:c r="O1107" s="4" t="n">
        <x:f>IF('계산 과정'!$L$7,'계산 과정'!$C$49*('계산 과정'!$C$32-D1107)+'계산 과정'!$D$49*('계산 과정'!$D$32-E1107)+'계산 과정'!$E$49*'계산 과정'!$E$32,"")</x:f>
        <x:v>-74.75499255009788</x:v>
      </x:c>
      <x:c r="P1107" s="4" t="n">
        <x:f>IF(AND('계산 과정'!$L$7,O1107&lt;&gt;0),('계산 과정'!$L$23-'계산 과정'!$C$49*D1107-'계산 과정'!$D$49*E1107)/O1107,"")</x:f>
        <x:v>-4.350813187921</x:v>
      </x:c>
      <x:c r="Q1107" s="4" t="str">
        <x:f>IF(AND(ISNUMBER(P1107),P1107&gt;1E-9,P1107&lt;1-1E-9),'계산 과정'!$C$47*(D1107-'계산 과정'!$C$50+P1107*('계산 과정'!$C$32-D1107))+'계산 과정'!$D$47*(E1107-'계산 과정'!$D$50+P1107*('계산 과정'!$D$32-E1107))+'계산 과정'!$E$47*(0-'계산 과정'!$E$50+P1107*('계산 과정'!$E$32-0)),"")</x:f>
      </x:c>
      <x:c r="R1107" s="4" t="str">
        <x:f>IF(AND(ISNUMBER(P1107),P1107&gt;1E-9,P1107&lt;1-1E-9),'계산 과정'!$C$48*(D1107-'계산 과정'!$C$50+P1107*('계산 과정'!$C$32-D1107))+'계산 과정'!$D$48*(E1107-'계산 과정'!$D$50+P1107*('계산 과정'!$D$32-E1107))+'계산 과정'!$E$48*(0-'계산 과정'!$E$50+P1107*('계산 과정'!$E$32-0)),"")</x:f>
      </x:c>
      <x:c r="S1107" s="17" t="n">
        <x:f>IF('계산 과정'!$C$78,IF(AND(ISNUMBER(Q1107),ISNUMBER(R1107),ABS(Q1107-'계산 과정'!$C$88)&lt;='계산 과정'!$D$23/2,ABS(R1107-'계산 과정'!$C$89)&lt;='계산 과정'!$D$24/2),1,0),"")</x:f>
        <x:v>0</x:v>
      </x:c>
      <x:c r="T1107" s="4"/>
      <x:c r="U1107" s="4"/>
      <x:c r="V1107" s="4"/>
      <x:c r="W1107" s="4"/>
      <x:c r="X1107" s="4"/>
      <x:c r="Y1107" s="4"/>
      <x:c r="Z1107" s="4"/>
    </x:row>
    <x:row r="1108" ht="23" customHeight="1">
      <x:c r="A1108" s="17" t="n">
        <x:f>ROW()-6</x:f>
        <x:v>1102</x:v>
      </x:c>
      <x:c r="B1108" s="4" t="n">
        <x:f>IF('계산 과정'!$L$5,'계산 과정'!$L$11*SQRT((A1108+0.5)/'계산 과정'!$L$30),"")</x:f>
        <x:v>110.05647076756777</x:v>
      </x:c>
      <x:c r="C1108" s="4" t="n">
        <x:f>A1108*PI()*(3-SQRT(5))</x:f>
        <x:v>2644.7594791609754</x:v>
      </x:c>
      <x:c r="D1108" s="4" t="n">
        <x:f>IF('계산 과정'!$L$5,B1108*COS(C1108),"")</x:f>
        <x:v>98.54125230634187</x:v>
      </x:c>
      <x:c r="E1108" s="4" t="n">
        <x:f>IF('계산 과정'!$L$5,B1108*SIN(C1108),"")</x:f>
        <x:v>-49.01069629897513</x:v>
      </x:c>
      <x:c r="F1108" s="4" t="n">
        <x:f>IF('계산 과정'!$L$7,'계산 과정'!$L$22+'계산 과정'!$C$49*D1108+'계산 과정'!$D$49*E1108,"")</x:f>
        <x:v>580.3208122675711</x:v>
      </x:c>
      <x:c r="G1108" s="4" t="n">
        <x:f>IF('계산 과정'!$L$7,IF(ABS(F1108)&gt;=1E-12*MAX(1,SQRT((D1108-'계산 과정'!$C$33)^2+(E1108-'계산 과정'!$D$33)^2+'계산 과정'!$E$33^2)),('계산 과정'!$L$23-'계산 과정'!$C$49*D1108-'계산 과정'!$D$49*E1108)/F1108,""),"")</x:f>
        <x:v>0.8093440348919827</x:v>
      </x:c>
      <x:c r="H1108" s="4" t="n">
        <x:f>IF(AND(ISNUMBER(G1108),G1108&gt;0),('계산 과정'!$D$56+'계산 과정'!$D$57*D1108+'계산 과정'!$D$58*E1108)/F1108,"")</x:f>
        <x:v>126.07362267978868</x:v>
      </x:c>
      <x:c r="I1108" s="4" t="n">
        <x:f>IF(AND(ISNUMBER(G1108),G1108&gt;0),('계산 과정'!$E$56+'계산 과정'!$E$57*D1108+'계산 과정'!$E$58*E1108)/F1108,"")</x:f>
        <x:v>-88.67721099445322</x:v>
      </x:c>
      <x:c r="J1108" s="4" t="n">
        <x:f>IF('계산 과정'!$L$5,'계산 과정'!$D$6+'계산 과정'!$C$35*D1108+'계산 과정'!$D$35*E1108,"")</x:f>
        <x:v>580.3208122675711</x:v>
      </x:c>
      <x:c r="K1108" s="4" t="n">
        <x:f>IF(AND('계산 과정'!$L$6,J1108&gt;0),'계산 과정'!$D$10*('계산 과정'!$C$38*(D1108-'계산 과정'!$C$32)+'계산 과정'!$D$38*(E1108-'계산 과정'!$D$32)-'계산 과정'!$E$38*'계산 과정'!$E$32)/J1108,"")</x:f>
        <x:v>0.960560934703153</x:v>
      </x:c>
      <x:c r="L1108" s="4" t="n">
        <x:f>IF(AND('계산 과정'!$L$6,J1108&gt;0),'계산 과정'!$D$10*('계산 과정'!$C$39*(D1108-'계산 과정'!$C$32)+'계산 과정'!$D$39*(E1108-'계산 과정'!$D$32)-'계산 과정'!$E$39*'계산 과정'!$E$32)/J1108,"")</x:f>
        <x:v>-0.6756358932910722</x:v>
      </x:c>
      <x:c r="M1108" s="17" t="n">
        <x:f>IF('계산 과정'!$L$6,IF(J1108&lt;=0,0,IF(AND(ABS(K1108)&lt;='계산 과정'!$D$11/2,ABS(L1108)&lt;='계산 과정'!$D$12/2),1,0)),"")</x:f>
        <x:v>1</x:v>
      </x:c>
      <x:c r="N1108" s="17" t="n">
        <x:f>IF('계산 과정'!$C$78,IF(AND(ISNUMBER(H1108),ISNUMBER(I1108),ABS(H1108-'계산 과정'!$C$88)&lt;='계산 과정'!$D$23/2,ABS(I1108-'계산 과정'!$C$89)&lt;='계산 과정'!$D$24/2),1,0),"")</x:f>
        <x:v>1</x:v>
      </x:c>
      <x:c r="O1108" s="4" t="n">
        <x:f>IF('계산 과정'!$L$7,'계산 과정'!$C$49*('계산 과정'!$C$32-D1108)+'계산 과정'!$D$49*('계산 과정'!$D$32-E1108)+'계산 과정'!$E$49*'계산 과정'!$E$32,"")</x:f>
        <x:v>69.67918773242897</x:v>
      </x:c>
      <x:c r="P1108" s="4" t="n">
        <x:f>IF(AND('계산 과정'!$L$7,O1108&lt;&gt;0),('계산 과정'!$L$23-'계산 과정'!$C$49*D1108-'계산 과정'!$D$49*E1108)/O1108,"")</x:f>
        <x:v>6.740595047347807</x:v>
      </x:c>
      <x:c r="Q1108" s="4" t="str">
        <x:f>IF(AND(ISNUMBER(P1108),P1108&gt;1E-9,P1108&lt;1-1E-9),'계산 과정'!$C$47*(D1108-'계산 과정'!$C$50+P1108*('계산 과정'!$C$32-D1108))+'계산 과정'!$D$47*(E1108-'계산 과정'!$D$50+P1108*('계산 과정'!$D$32-E1108))+'계산 과정'!$E$47*(0-'계산 과정'!$E$50+P1108*('계산 과정'!$E$32-0)),"")</x:f>
      </x:c>
      <x:c r="R1108" s="4" t="str">
        <x:f>IF(AND(ISNUMBER(P1108),P1108&gt;1E-9,P1108&lt;1-1E-9),'계산 과정'!$C$48*(D1108-'계산 과정'!$C$50+P1108*('계산 과정'!$C$32-D1108))+'계산 과정'!$D$48*(E1108-'계산 과정'!$D$50+P1108*('계산 과정'!$D$32-E1108))+'계산 과정'!$E$48*(0-'계산 과정'!$E$50+P1108*('계산 과정'!$E$32-0)),"")</x:f>
      </x:c>
      <x:c r="S1108" s="17" t="n">
        <x:f>IF('계산 과정'!$C$78,IF(AND(ISNUMBER(Q1108),ISNUMBER(R1108),ABS(Q1108-'계산 과정'!$C$88)&lt;='계산 과정'!$D$23/2,ABS(R1108-'계산 과정'!$C$89)&lt;='계산 과정'!$D$24/2),1,0),"")</x:f>
        <x:v>0</x:v>
      </x:c>
      <x:c r="T1108" s="4"/>
      <x:c r="U1108" s="4"/>
      <x:c r="V1108" s="4"/>
      <x:c r="W1108" s="4"/>
      <x:c r="X1108" s="4"/>
      <x:c r="Y1108" s="4"/>
      <x:c r="Z1108" s="4"/>
    </x:row>
    <x:row r="1109" ht="23" customHeight="1">
      <x:c r="A1109" s="17" t="n">
        <x:f>ROW()-6</x:f>
        <x:v>1103</x:v>
      </x:c>
      <x:c r="B1109" s="4" t="n">
        <x:f>IF('계산 과정'!$L$5,'계산 과정'!$L$11*SQRT((A1109+0.5)/'계산 과정'!$L$30),"")</x:f>
        <x:v>110.10637168637199</x:v>
      </x:c>
      <x:c r="C1109" s="4" t="n">
        <x:f>A1109*PI()*(3-SQRT(5))</x:f>
        <x:v>2647.1594423907045</x:v>
      </x:c>
      <x:c r="D1109" s="4" t="n">
        <x:f>IF('계산 과정'!$L$5,B1109*COS(C1109),"")</x:f>
        <x:v>-39.572937703611274</x:v>
      </x:c>
      <x:c r="E1109" s="4" t="n">
        <x:f>IF('계산 과정'!$L$5,B1109*SIN(C1109),"")</x:f>
        <x:v>102.74918825685972</x:v>
      </x:c>
      <x:c r="F1109" s="4" t="n">
        <x:f>IF('계산 과정'!$L$7,'계산 과정'!$L$22+'계산 과정'!$C$49*D1109+'계산 과정'!$D$49*E1109,"")</x:f>
        <x:v>677.9822926016964</x:v>
      </x:c>
      <x:c r="G1109" s="4" t="n">
        <x:f>IF('계산 과정'!$L$7,IF(ABS(F1109)&gt;=1E-12*MAX(1,SQRT((D1109-'계산 과정'!$C$33)^2+(E1109-'계산 과정'!$D$33)^2+'계산 과정'!$E$33^2)),('계산 과정'!$L$23-'계산 과정'!$C$49*D1109-'계산 과정'!$D$49*E1109)/F1109,""),"")</x:f>
        <x:v>0.5487130142746339</x:v>
      </x:c>
      <x:c r="H1109" s="4" t="n">
        <x:f>IF(AND(ISNUMBER(G1109),G1109&gt;0),('계산 과정'!$D$56+'계산 과정'!$D$57*D1109+'계산 과정'!$D$58*E1109)/F1109,"")</x:f>
        <x:v>-43.336540721488035</x:v>
      </x:c>
      <x:c r="I1109" s="4" t="n">
        <x:f>IF(AND(ISNUMBER(G1109),G1109&gt;0),('계산 과정'!$E$56+'계산 과정'!$E$57*D1109+'계산 과정'!$E$58*E1109)/F1109,"")</x:f>
        <x:v>159.12900505955304</x:v>
      </x:c>
      <x:c r="J1109" s="4" t="n">
        <x:f>IF('계산 과정'!$L$5,'계산 과정'!$D$6+'계산 과정'!$C$35*D1109+'계산 과정'!$D$35*E1109,"")</x:f>
        <x:v>677.9822926016964</x:v>
      </x:c>
      <x:c r="K1109" s="4" t="n">
        <x:f>IF(AND('계산 과정'!$L$6,J1109&gt;0),'계산 과정'!$D$10*('계산 과정'!$C$38*(D1109-'계산 과정'!$C$32)+'계산 과정'!$D$38*(E1109-'계산 과정'!$D$32)-'계산 과정'!$E$38*'계산 과정'!$E$32)/J1109,"")</x:f>
        <x:v>-0.33018316740181247</x:v>
      </x:c>
      <x:c r="L1109" s="4" t="n">
        <x:f>IF(AND('계산 과정'!$L$6,J1109&gt;0),'계산 과정'!$D$10*('계산 과정'!$C$39*(D1109-'계산 과정'!$C$32)+'계산 과정'!$D$39*(E1109-'계산 과정'!$D$32)-'계산 과정'!$E$39*'계산 과정'!$E$32)/J1109,"")</x:f>
        <x:v>1.212411467120404</x:v>
      </x:c>
      <x:c r="M1109" s="17" t="n">
        <x:f>IF('계산 과정'!$L$6,IF(J1109&lt;=0,0,IF(AND(ABS(K1109)&lt;='계산 과정'!$D$11/2,ABS(L1109)&lt;='계산 과정'!$D$12/2),1,0)),"")</x:f>
        <x:v>1</x:v>
      </x:c>
      <x:c r="N1109" s="17" t="n">
        <x:f>IF('계산 과정'!$C$78,IF(AND(ISNUMBER(H1109),ISNUMBER(I1109),ABS(H1109-'계산 과정'!$C$88)&lt;='계산 과정'!$D$23/2,ABS(I1109-'계산 과정'!$C$89)&lt;='계산 과정'!$D$24/2),1,0),"")</x:f>
        <x:v>1</x:v>
      </x:c>
      <x:c r="O1109" s="4" t="n">
        <x:f>IF('계산 과정'!$L$7,'계산 과정'!$C$49*('계산 과정'!$C$32-D1109)+'계산 과정'!$D$49*('계산 과정'!$D$32-E1109)+'계산 과정'!$E$49*'계산 과정'!$E$32,"")</x:f>
        <x:v>-27.9822926016962</x:v>
      </x:c>
      <x:c r="P1109" s="4" t="n">
        <x:f>IF(AND('계산 과정'!$L$7,O1109&lt;&gt;0),('계산 과정'!$L$23-'계산 과정'!$C$49*D1109-'계산 과정'!$D$49*E1109)/O1109,"")</x:f>
        <x:v>-13.294754389629716</x:v>
      </x:c>
      <x:c r="Q1109" s="4" t="str">
        <x:f>IF(AND(ISNUMBER(P1109),P1109&gt;1E-9,P1109&lt;1-1E-9),'계산 과정'!$C$47*(D1109-'계산 과정'!$C$50+P1109*('계산 과정'!$C$32-D1109))+'계산 과정'!$D$47*(E1109-'계산 과정'!$D$50+P1109*('계산 과정'!$D$32-E1109))+'계산 과정'!$E$47*(0-'계산 과정'!$E$50+P1109*('계산 과정'!$E$32-0)),"")</x:f>
      </x:c>
      <x:c r="R1109" s="4" t="str">
        <x:f>IF(AND(ISNUMBER(P1109),P1109&gt;1E-9,P1109&lt;1-1E-9),'계산 과정'!$C$48*(D1109-'계산 과정'!$C$50+P1109*('계산 과정'!$C$32-D1109))+'계산 과정'!$D$48*(E1109-'계산 과정'!$D$50+P1109*('계산 과정'!$D$32-E1109))+'계산 과정'!$E$48*(0-'계산 과정'!$E$50+P1109*('계산 과정'!$E$32-0)),"")</x:f>
      </x:c>
      <x:c r="S1109" s="17" t="n">
        <x:f>IF('계산 과정'!$C$78,IF(AND(ISNUMBER(Q1109),ISNUMBER(R1109),ABS(Q1109-'계산 과정'!$C$88)&lt;='계산 과정'!$D$23/2,ABS(R1109-'계산 과정'!$C$89)&lt;='계산 과정'!$D$24/2),1,0),"")</x:f>
        <x:v>0</x:v>
      </x:c>
      <x:c r="T1109" s="4"/>
      <x:c r="U1109" s="4"/>
      <x:c r="V1109" s="4"/>
      <x:c r="W1109" s="4"/>
      <x:c r="X1109" s="4"/>
      <x:c r="Y1109" s="4"/>
      <x:c r="Z1109" s="4"/>
    </x:row>
    <x:row r="1110" ht="23" customHeight="1">
      <x:c r="A1110" s="17" t="n">
        <x:f>ROW()-6</x:f>
        <x:v>1104</x:v>
      </x:c>
      <x:c r="B1110" s="4" t="n">
        <x:f>IF('계산 과정'!$L$5,'계산 과정'!$L$11*SQRT((A1110+0.5)/'계산 과정'!$L$30),"")</x:f>
        <x:v>110.15625</x:v>
      </x:c>
      <x:c r="C1110" s="4" t="n">
        <x:f>A1110*PI()*(3-SQRT(5))</x:f>
        <x:v>2649.5594056204327</x:v>
      </x:c>
      <x:c r="D1110" s="4" t="n">
        <x:f>IF('계산 과정'!$L$5,B1110*COS(C1110),"")</x:f>
        <x:v>-40.24444926123166</x:v>
      </x:c>
      <x:c r="E1110" s="4" t="n">
        <x:f>IF('계산 과정'!$L$5,B1110*SIN(C1110),"")</x:f>
        <x:v>-102.54161944168158</x:v>
      </x:c>
      <x:c r="F1110" s="4" t="n">
        <x:f>IF('계산 과정'!$L$7,'계산 과정'!$L$22+'계산 과정'!$C$49*D1110+'계산 과정'!$D$49*E1110,"")</x:f>
        <x:v>678.4571229777348</x:v>
      </x:c>
      <x:c r="G1110" s="4" t="n">
        <x:f>IF('계산 과정'!$L$7,IF(ABS(F1110)&gt;=1E-12*MAX(1,SQRT((D1110-'계산 과정'!$C$33)^2+(E1110-'계산 과정'!$D$33)^2+'계산 과정'!$E$33^2)),('계산 과정'!$L$23-'계산 과정'!$C$49*D1110-'계산 과정'!$D$49*E1110)/F1110,""),"")</x:f>
        <x:v>0.5476291197173535</x:v>
      </x:c>
      <x:c r="H1110" s="4" t="n">
        <x:f>IF(AND(ISNUMBER(G1110),G1110&gt;0),('계산 과정'!$D$56+'계산 과정'!$D$57*D1110+'계산 과정'!$D$58*E1110)/F1110,"")</x:f>
        <x:v>-44.041072183720374</x:v>
      </x:c>
      <x:c r="I1110" s="4" t="n">
        <x:f>IF(AND(ISNUMBER(G1110),G1110&gt;0),('계산 과정'!$E$56+'계산 과정'!$E$57*D1110+'계산 과정'!$E$58*E1110)/F1110,"")</x:f>
        <x:v>-158.69639623092152</x:v>
      </x:c>
      <x:c r="J1110" s="4" t="n">
        <x:f>IF('계산 과정'!$L$5,'계산 과정'!$D$6+'계산 과정'!$C$35*D1110+'계산 과정'!$D$35*E1110,"")</x:f>
        <x:v>678.4571229777348</x:v>
      </x:c>
      <x:c r="K1110" s="4" t="n">
        <x:f>IF(AND('계산 과정'!$L$6,J1110&gt;0),'계산 과정'!$D$10*('계산 과정'!$C$38*(D1110-'계산 과정'!$C$32)+'계산 과정'!$D$38*(E1110-'계산 과정'!$D$32)-'계산 과정'!$E$38*'계산 과정'!$E$32)/J1110,"")</x:f>
        <x:v>-0.33555102616167826</x:v>
      </x:c>
      <x:c r="L1110" s="4" t="n">
        <x:f>IF(AND('계산 과정'!$L$6,J1110&gt;0),'계산 과정'!$D$10*('계산 과정'!$C$39*(D1110-'계산 과정'!$C$32)+'계산 과정'!$D$39*(E1110-'계산 과정'!$D$32)-'계산 과정'!$E$39*'계산 과정'!$E$32)/J1110,"")</x:f>
        <x:v>-1.2091153998546402</x:v>
      </x:c>
      <x:c r="M1110" s="17" t="n">
        <x:f>IF('계산 과정'!$L$6,IF(J1110&lt;=0,0,IF(AND(ABS(K1110)&lt;='계산 과정'!$D$11/2,ABS(L1110)&lt;='계산 과정'!$D$12/2),1,0)),"")</x:f>
        <x:v>1</x:v>
      </x:c>
      <x:c r="N1110" s="17" t="n">
        <x:f>IF('계산 과정'!$C$78,IF(AND(ISNUMBER(H1110),ISNUMBER(I1110),ABS(H1110-'계산 과정'!$C$88)&lt;='계산 과정'!$D$23/2,ABS(I1110-'계산 과정'!$C$89)&lt;='계산 과정'!$D$24/2),1,0),"")</x:f>
        <x:v>1</x:v>
      </x:c>
      <x:c r="O1110" s="4" t="n">
        <x:f>IF('계산 과정'!$L$7,'계산 과정'!$C$49*('계산 과정'!$C$32-D1110)+'계산 과정'!$D$49*('계산 과정'!$D$32-E1110)+'계산 과정'!$E$49*'계산 과정'!$E$32,"")</x:f>
        <x:v>-28.45712297773474</x:v>
      </x:c>
      <x:c r="P1110" s="4" t="n">
        <x:f>IF(AND('계산 과정'!$L$7,O1110&lt;&gt;0),('계산 과정'!$L$23-'계산 과정'!$C$49*D1110-'계산 과정'!$D$49*E1110)/O1110,"")</x:f>
        <x:v>-13.056234718912576</x:v>
      </x:c>
      <x:c r="Q1110" s="4" t="str">
        <x:f>IF(AND(ISNUMBER(P1110),P1110&gt;1E-9,P1110&lt;1-1E-9),'계산 과정'!$C$47*(D1110-'계산 과정'!$C$50+P1110*('계산 과정'!$C$32-D1110))+'계산 과정'!$D$47*(E1110-'계산 과정'!$D$50+P1110*('계산 과정'!$D$32-E1110))+'계산 과정'!$E$47*(0-'계산 과정'!$E$50+P1110*('계산 과정'!$E$32-0)),"")</x:f>
      </x:c>
      <x:c r="R1110" s="4" t="str">
        <x:f>IF(AND(ISNUMBER(P1110),P1110&gt;1E-9,P1110&lt;1-1E-9),'계산 과정'!$C$48*(D1110-'계산 과정'!$C$50+P1110*('계산 과정'!$C$32-D1110))+'계산 과정'!$D$48*(E1110-'계산 과정'!$D$50+P1110*('계산 과정'!$D$32-E1110))+'계산 과정'!$E$48*(0-'계산 과정'!$E$50+P1110*('계산 과정'!$E$32-0)),"")</x:f>
      </x:c>
      <x:c r="S1110" s="17" t="n">
        <x:f>IF('계산 과정'!$C$78,IF(AND(ISNUMBER(Q1110),ISNUMBER(R1110),ABS(Q1110-'계산 과정'!$C$88)&lt;='계산 과정'!$D$23/2,ABS(R1110-'계산 과정'!$C$89)&lt;='계산 과정'!$D$24/2),1,0),"")</x:f>
        <x:v>0</x:v>
      </x:c>
      <x:c r="T1110" s="4"/>
      <x:c r="U1110" s="4"/>
      <x:c r="V1110" s="4"/>
      <x:c r="W1110" s="4"/>
      <x:c r="X1110" s="4"/>
      <x:c r="Y1110" s="4"/>
      <x:c r="Z1110" s="4"/>
    </x:row>
    <x:row r="1111" ht="23" customHeight="1">
      <x:c r="A1111" s="17" t="n">
        <x:f>ROW()-6</x:f>
        <x:v>1105</x:v>
      </x:c>
      <x:c r="B1111" s="4" t="n">
        <x:f>IF('계산 과정'!$L$5,'계산 과정'!$L$11*SQRT((A1111+0.5)/'계산 과정'!$L$30),"")</x:f>
        <x:v>110.2061057391445</x:v>
      </x:c>
      <x:c r="C1111" s="4" t="n">
        <x:f>A1111*PI()*(3-SQRT(5))</x:f>
        <x:v>2651.9593688501614</x:v>
      </x:c>
      <x:c r="D1111" s="4" t="n">
        <x:f>IF('계산 과정'!$L$5,B1111*COS(C1111),"")</x:f>
        <x:v>98.9856528506414</x:v>
      </x:c>
      <x:c r="E1111" s="4" t="n">
        <x:f>IF('계산 과정'!$L$5,B1111*SIN(C1111),"")</x:f>
        <x:v>48.448181306627056</x:v>
      </x:c>
      <x:c r="F1111" s="4" t="n">
        <x:f>IF('계산 과정'!$L$7,'계산 과정'!$L$22+'계산 과정'!$C$49*D1111+'계산 과정'!$D$49*E1111,"")</x:f>
        <x:v>580.006573629134</x:v>
      </x:c>
      <x:c r="G1111" s="4" t="n">
        <x:f>IF('계산 과정'!$L$7,IF(ABS(F1111)&gt;=1E-12*MAX(1,SQRT((D1111-'계산 과정'!$C$33)^2+(E1111-'계산 과정'!$D$33)^2+'계산 과정'!$E$33^2)),('계산 과정'!$L$23-'계산 과정'!$C$49*D1111-'계산 과정'!$D$49*E1111)/F1111,""),"")</x:f>
        <x:v>0.8103243096540967</x:v>
      </x:c>
      <x:c r="H1111" s="4" t="n">
        <x:f>IF(AND(ISNUMBER(G1111),G1111&gt;0),('계산 과정'!$D$56+'계산 과정'!$D$57*D1111+'계산 과정'!$D$58*E1111)/F1111,"")</x:f>
        <x:v>126.71080127516282</x:v>
      </x:c>
      <x:c r="I1111" s="4" t="n">
        <x:f>IF(AND(ISNUMBER(G1111),G1111&gt;0),('계산 과정'!$E$56+'계산 과정'!$E$57*D1111+'계산 과정'!$E$58*E1111)/F1111,"")</x:f>
        <x:v>87.70692037791613</x:v>
      </x:c>
      <x:c r="J1111" s="4" t="n">
        <x:f>IF('계산 과정'!$L$5,'계산 과정'!$D$6+'계산 과정'!$C$35*D1111+'계산 과정'!$D$35*E1111,"")</x:f>
        <x:v>580.006573629134</x:v>
      </x:c>
      <x:c r="K1111" s="4" t="n">
        <x:f>IF(AND('계산 과정'!$L$6,J1111&gt;0),'계산 과정'!$D$10*('계산 과정'!$C$38*(D1111-'계산 과정'!$C$32)+'계산 과정'!$D$38*(E1111-'계산 과정'!$D$32)-'계산 과정'!$E$38*'계산 과정'!$E$32)/J1111,"")</x:f>
        <x:v>0.9654156287631461</x:v>
      </x:c>
      <x:c r="L1111" s="4" t="n">
        <x:f>IF(AND('계산 과정'!$L$6,J1111&gt;0),'계산 과정'!$D$10*('계산 과정'!$C$39*(D1111-'계산 과정'!$C$32)+'계산 과정'!$D$39*(E1111-'계산 과정'!$D$32)-'계산 과정'!$E$39*'계산 과정'!$E$32)/J1111,"")</x:f>
        <x:v>0.668243202879361</x:v>
      </x:c>
      <x:c r="M1111" s="17" t="n">
        <x:f>IF('계산 과정'!$L$6,IF(J1111&lt;=0,0,IF(AND(ABS(K1111)&lt;='계산 과정'!$D$11/2,ABS(L1111)&lt;='계산 과정'!$D$12/2),1,0)),"")</x:f>
        <x:v>1</x:v>
      </x:c>
      <x:c r="N1111" s="17" t="n">
        <x:f>IF('계산 과정'!$C$78,IF(AND(ISNUMBER(H1111),ISNUMBER(I1111),ABS(H1111-'계산 과정'!$C$88)&lt;='계산 과정'!$D$23/2,ABS(I1111-'계산 과정'!$C$89)&lt;='계산 과정'!$D$24/2),1,0),"")</x:f>
        <x:v>1</x:v>
      </x:c>
      <x:c r="O1111" s="4" t="n">
        <x:f>IF('계산 과정'!$L$7,'계산 과정'!$C$49*('계산 과정'!$C$32-D1111)+'계산 과정'!$D$49*('계산 과정'!$D$32-E1111)+'계산 과정'!$E$49*'계산 과정'!$E$32,"")</x:f>
        <x:v>69.99342637086613</x:v>
      </x:c>
      <x:c r="P1111" s="4" t="n">
        <x:f>IF(AND('계산 과정'!$L$7,O1111&lt;&gt;0),('계산 과정'!$L$23-'계산 과정'!$C$49*D1111-'계산 과정'!$D$49*E1111)/O1111,"")</x:f>
        <x:v>6.714822387470586</x:v>
      </x:c>
      <x:c r="Q1111" s="4" t="str">
        <x:f>IF(AND(ISNUMBER(P1111),P1111&gt;1E-9,P1111&lt;1-1E-9),'계산 과정'!$C$47*(D1111-'계산 과정'!$C$50+P1111*('계산 과정'!$C$32-D1111))+'계산 과정'!$D$47*(E1111-'계산 과정'!$D$50+P1111*('계산 과정'!$D$32-E1111))+'계산 과정'!$E$47*(0-'계산 과정'!$E$50+P1111*('계산 과정'!$E$32-0)),"")</x:f>
      </x:c>
      <x:c r="R1111" s="4" t="str">
        <x:f>IF(AND(ISNUMBER(P1111),P1111&gt;1E-9,P1111&lt;1-1E-9),'계산 과정'!$C$48*(D1111-'계산 과정'!$C$50+P1111*('계산 과정'!$C$32-D1111))+'계산 과정'!$D$48*(E1111-'계산 과정'!$D$50+P1111*('계산 과정'!$D$32-E1111))+'계산 과정'!$E$48*(0-'계산 과정'!$E$50+P1111*('계산 과정'!$E$32-0)),"")</x:f>
      </x:c>
      <x:c r="S1111" s="17" t="n">
        <x:f>IF('계산 과정'!$C$78,IF(AND(ISNUMBER(Q1111),ISNUMBER(R1111),ABS(Q1111-'계산 과정'!$C$88)&lt;='계산 과정'!$D$23/2,ABS(R1111-'계산 과정'!$C$89)&lt;='계산 과정'!$D$24/2),1,0),"")</x:f>
        <x:v>0</x:v>
      </x:c>
      <x:c r="T1111" s="4"/>
      <x:c r="U1111" s="4"/>
      <x:c r="V1111" s="4"/>
      <x:c r="W1111" s="4"/>
      <x:c r="X1111" s="4"/>
      <x:c r="Y1111" s="4"/>
      <x:c r="Z1111" s="4"/>
    </x:row>
    <x:row r="1112" ht="23" customHeight="1">
      <x:c r="A1112" s="17" t="n">
        <x:f>ROW()-6</x:f>
        <x:v>1106</x:v>
      </x:c>
      <x:c r="B1112" s="4" t="n">
        <x:f>IF('계산 과정'!$L$5,'계산 과정'!$L$11*SQRT((A1112+0.5)/'계산 과정'!$L$30),"")</x:f>
        <x:v>110.25593893442884</x:v>
      </x:c>
      <x:c r="C1112" s="4" t="n">
        <x:f>A1112*PI()*(3-SQRT(5))</x:f>
        <x:v>2654.35933207989</x:v>
      </x:c>
      <x:c r="D1112" s="4" t="n">
        <x:f>IF('계산 과정'!$L$5,B1112*COS(C1112),"")</x:f>
        <x:v>-105.76301853227048</x:v>
      </x:c>
      <x:c r="E1112" s="4" t="n">
        <x:f>IF('계산 과정'!$L$5,B1112*SIN(C1112),"")</x:f>
        <x:v>31.15374746728096</x:v>
      </x:c>
      <x:c r="F1112" s="4" t="n">
        <x:f>IF('계산 과정'!$L$7,'계산 과정'!$L$22+'계산 과정'!$C$49*D1112+'계산 과정'!$D$49*E1112,"")</x:f>
        <x:v>724.7857476029269</x:v>
      </x:c>
      <x:c r="G1112" s="4" t="n">
        <x:f>IF('계산 과정'!$L$7,IF(ABS(F1112)&gt;=1E-12*MAX(1,SQRT((D1112-'계산 과정'!$C$33)^2+(E1112-'계산 과정'!$D$33)^2+'계산 과정'!$E$33^2)),('계산 과정'!$L$23-'계산 과정'!$C$49*D1112-'계산 과정'!$D$49*E1112)/F1112,""),"")</x:f>
        <x:v>0.44870398386371324</x:v>
      </x:c>
      <x:c r="H1112" s="4" t="n">
        <x:f>IF(AND(ISNUMBER(G1112),G1112&gt;0),('계산 과정'!$D$56+'계산 과정'!$D$57*D1112+'계산 과정'!$D$58*E1112)/F1112,"")</x:f>
        <x:v>-108.34241048858655</x:v>
      </x:c>
      <x:c r="I1112" s="4" t="n">
        <x:f>IF(AND(ISNUMBER(G1112),G1112&gt;0),('계산 과정'!$E$56+'계산 과정'!$E$57*D1112+'계산 과정'!$E$58*E1112)/F1112,"")</x:f>
        <x:v>45.132558068133996</x:v>
      </x:c>
      <x:c r="J1112" s="4" t="n">
        <x:f>IF('계산 과정'!$L$5,'계산 과정'!$D$6+'계산 과정'!$C$35*D1112+'계산 과정'!$D$35*E1112,"")</x:f>
        <x:v>724.7857476029269</x:v>
      </x:c>
      <x:c r="K1112" s="4" t="n">
        <x:f>IF(AND('계산 과정'!$L$6,J1112&gt;0),'계산 과정'!$D$10*('계산 과정'!$C$38*(D1112-'계산 과정'!$C$32)+'계산 과정'!$D$38*(E1112-'계산 과정'!$D$32)-'계산 과정'!$E$38*'계산 과정'!$E$32)/J1112,"")</x:f>
        <x:v>-0.8254659846749443</x:v>
      </x:c>
      <x:c r="L1112" s="4" t="n">
        <x:f>IF(AND('계산 과정'!$L$6,J1112&gt;0),'계산 과정'!$D$10*('계산 과정'!$C$39*(D1112-'계산 과정'!$C$32)+'계산 과정'!$D$39*(E1112-'계산 과정'!$D$32)-'계산 과정'!$E$39*'계산 과정'!$E$32)/J1112,"")</x:f>
        <x:v>0.34386710909054474</x:v>
      </x:c>
      <x:c r="M1112" s="17" t="n">
        <x:f>IF('계산 과정'!$L$6,IF(J1112&lt;=0,0,IF(AND(ABS(K1112)&lt;='계산 과정'!$D$11/2,ABS(L1112)&lt;='계산 과정'!$D$12/2),1,0)),"")</x:f>
        <x:v>1</x:v>
      </x:c>
      <x:c r="N1112" s="17" t="n">
        <x:f>IF('계산 과정'!$C$78,IF(AND(ISNUMBER(H1112),ISNUMBER(I1112),ABS(H1112-'계산 과정'!$C$88)&lt;='계산 과정'!$D$23/2,ABS(I1112-'계산 과정'!$C$89)&lt;='계산 과정'!$D$24/2),1,0),"")</x:f>
        <x:v>1</x:v>
      </x:c>
      <x:c r="O1112" s="4" t="n">
        <x:f>IF('계산 과정'!$L$7,'계산 과정'!$C$49*('계산 과정'!$C$32-D1112)+'계산 과정'!$D$49*('계산 과정'!$D$32-E1112)+'계산 과정'!$E$49*'계산 과정'!$E$32,"")</x:f>
        <x:v>-74.78574760292685</x:v>
      </x:c>
      <x:c r="P1112" s="4" t="n">
        <x:f>IF(AND('계산 과정'!$L$7,O1112&lt;&gt;0),('계산 과정'!$L$23-'계산 과정'!$C$49*D1112-'계산 과정'!$D$49*E1112)/O1112,"")</x:f>
        <x:v>-4.348612707915824</x:v>
      </x:c>
      <x:c r="Q1112" s="4" t="str">
        <x:f>IF(AND(ISNUMBER(P1112),P1112&gt;1E-9,P1112&lt;1-1E-9),'계산 과정'!$C$47*(D1112-'계산 과정'!$C$50+P1112*('계산 과정'!$C$32-D1112))+'계산 과정'!$D$47*(E1112-'계산 과정'!$D$50+P1112*('계산 과정'!$D$32-E1112))+'계산 과정'!$E$47*(0-'계산 과정'!$E$50+P1112*('계산 과정'!$E$32-0)),"")</x:f>
      </x:c>
      <x:c r="R1112" s="4" t="str">
        <x:f>IF(AND(ISNUMBER(P1112),P1112&gt;1E-9,P1112&lt;1-1E-9),'계산 과정'!$C$48*(D1112-'계산 과정'!$C$50+P1112*('계산 과정'!$C$32-D1112))+'계산 과정'!$D$48*(E1112-'계산 과정'!$D$50+P1112*('계산 과정'!$D$32-E1112))+'계산 과정'!$E$48*(0-'계산 과정'!$E$50+P1112*('계산 과정'!$E$32-0)),"")</x:f>
      </x:c>
      <x:c r="S1112" s="17" t="n">
        <x:f>IF('계산 과정'!$C$78,IF(AND(ISNUMBER(Q1112),ISNUMBER(R1112),ABS(Q1112-'계산 과정'!$C$88)&lt;='계산 과정'!$D$23/2,ABS(R1112-'계산 과정'!$C$89)&lt;='계산 과정'!$D$24/2),1,0),"")</x:f>
        <x:v>0</x:v>
      </x:c>
      <x:c r="T1112" s="4"/>
      <x:c r="U1112" s="4"/>
      <x:c r="V1112" s="4"/>
      <x:c r="W1112" s="4"/>
      <x:c r="X1112" s="4"/>
      <x:c r="Y1112" s="4"/>
      <x:c r="Z1112" s="4"/>
    </x:row>
    <x:row r="1113" ht="23" customHeight="1">
      <x:c r="A1113" s="17" t="n">
        <x:f>ROW()-6</x:f>
        <x:v>1107</x:v>
      </x:c>
      <x:c r="B1113" s="4" t="n">
        <x:f>IF('계산 과정'!$L$5,'계산 과정'!$L$11*SQRT((A1113+0.5)/'계산 과정'!$L$30),"")</x:f>
        <x:v>110.30574961640713</x:v>
      </x:c>
      <x:c r="C1113" s="4" t="n">
        <x:f>A1113*PI()*(3-SQRT(5))</x:f>
        <x:v>2656.7592953096187</x:v>
      </x:c>
      <x:c r="D1113" s="4" t="n">
        <x:f>IF('계산 과정'!$L$5,B1113*COS(C1113),"")</x:f>
        <x:v>56.96802928218424</x:v>
      </x:c>
      <x:c r="E1113" s="4" t="n">
        <x:f>IF('계산 과정'!$L$5,B1113*SIN(C1113),"")</x:f>
        <x:v>-94.45634990905428</x:v>
      </x:c>
      <x:c r="F1113" s="4" t="n">
        <x:f>IF('계산 과정'!$L$7,'계산 과정'!$L$22+'계산 과정'!$C$49*D1113+'계산 과정'!$D$49*E1113,"")</x:f>
        <x:v>609.7175201837338</x:v>
      </x:c>
      <x:c r="G1113" s="4" t="n">
        <x:f>IF('계산 과정'!$L$7,IF(ABS(F1113)&gt;=1E-12*MAX(1,SQRT((D1113-'계산 과정'!$C$33)^2+(E1113-'계산 과정'!$D$33)^2+'계산 과정'!$E$33^2)),('계산 과정'!$L$23-'계산 과정'!$C$49*D1113-'계산 과정'!$D$49*E1113)/F1113,""),"")</x:f>
        <x:v>0.7221089524926075</x:v>
      </x:c>
      <x:c r="H1113" s="4" t="n">
        <x:f>IF(AND(ISNUMBER(G1113),G1113&gt;0),('계산 과정'!$D$56+'계산 과정'!$D$57*D1113+'계산 과정'!$D$58*E1113)/F1113,"")</x:f>
        <x:v>69.37081912019482</x:v>
      </x:c>
      <x:c r="I1113" s="4" t="n">
        <x:f>IF(AND(ISNUMBER(G1113),G1113&gt;0),('계산 과정'!$E$56+'계산 과정'!$E$57*D1113+'계산 과정'!$E$58*E1113)/F1113,"")</x:f>
        <x:v>-162.66412579815668</x:v>
      </x:c>
      <x:c r="J1113" s="4" t="n">
        <x:f>IF('계산 과정'!$L$5,'계산 과정'!$D$6+'계산 과정'!$C$35*D1113+'계산 과정'!$D$35*E1113,"")</x:f>
        <x:v>609.7175201837338</x:v>
      </x:c>
      <x:c r="K1113" s="4" t="n">
        <x:f>IF(AND('계산 과정'!$L$6,J1113&gt;0),'계산 과정'!$D$10*('계산 과정'!$C$38*(D1113-'계산 과정'!$C$32)+'계산 과정'!$D$38*(E1113-'계산 과정'!$D$32)-'계산 과정'!$E$38*'계산 과정'!$E$32)/J1113,"")</x:f>
        <x:v>0.5285395742491044</x:v>
      </x:c>
      <x:c r="L1113" s="4" t="n">
        <x:f>IF(AND('계산 과정'!$L$6,J1113&gt;0),'계산 과정'!$D$10*('계산 과정'!$C$39*(D1113-'계산 과정'!$C$32)+'계산 과정'!$D$39*(E1113-'계산 과정'!$D$32)-'계산 과정'!$E$39*'계산 과정'!$E$32)/J1113,"")</x:f>
        <x:v>-1.239345720366908</x:v>
      </x:c>
      <x:c r="M1113" s="17" t="n">
        <x:f>IF('계산 과정'!$L$6,IF(J1113&lt;=0,0,IF(AND(ABS(K1113)&lt;='계산 과정'!$D$11/2,ABS(L1113)&lt;='계산 과정'!$D$12/2),1,0)),"")</x:f>
        <x:v>1</x:v>
      </x:c>
      <x:c r="N1113" s="17" t="n">
        <x:f>IF('계산 과정'!$C$78,IF(AND(ISNUMBER(H1113),ISNUMBER(I1113),ABS(H1113-'계산 과정'!$C$88)&lt;='계산 과정'!$D$23/2,ABS(I1113-'계산 과정'!$C$89)&lt;='계산 과정'!$D$24/2),1,0),"")</x:f>
        <x:v>1</x:v>
      </x:c>
      <x:c r="O1113" s="4" t="n">
        <x:f>IF('계산 과정'!$L$7,'계산 과정'!$C$49*('계산 과정'!$C$32-D1113)+'계산 과정'!$D$49*('계산 과정'!$D$32-E1113)+'계산 과정'!$E$49*'계산 과정'!$E$32,"")</x:f>
        <x:v>40.2824798162664</x:v>
      </x:c>
      <x:c r="P1113" s="4" t="n">
        <x:f>IF(AND('계산 과정'!$L$7,O1113&lt;&gt;0),('계산 과정'!$L$23-'계산 과정'!$C$49*D1113-'계산 과정'!$D$49*E1113)/O1113,"")</x:f>
        <x:v>10.929875266479412</x:v>
      </x:c>
      <x:c r="Q1113" s="4" t="str">
        <x:f>IF(AND(ISNUMBER(P1113),P1113&gt;1E-9,P1113&lt;1-1E-9),'계산 과정'!$C$47*(D1113-'계산 과정'!$C$50+P1113*('계산 과정'!$C$32-D1113))+'계산 과정'!$D$47*(E1113-'계산 과정'!$D$50+P1113*('계산 과정'!$D$32-E1113))+'계산 과정'!$E$47*(0-'계산 과정'!$E$50+P1113*('계산 과정'!$E$32-0)),"")</x:f>
      </x:c>
      <x:c r="R1113" s="4" t="str">
        <x:f>IF(AND(ISNUMBER(P1113),P1113&gt;1E-9,P1113&lt;1-1E-9),'계산 과정'!$C$48*(D1113-'계산 과정'!$C$50+P1113*('계산 과정'!$C$32-D1113))+'계산 과정'!$D$48*(E1113-'계산 과정'!$D$50+P1113*('계산 과정'!$D$32-E1113))+'계산 과정'!$E$48*(0-'계산 과정'!$E$50+P1113*('계산 과정'!$E$32-0)),"")</x:f>
      </x:c>
      <x:c r="S1113" s="17" t="n">
        <x:f>IF('계산 과정'!$C$78,IF(AND(ISNUMBER(Q1113),ISNUMBER(R1113),ABS(Q1113-'계산 과정'!$C$88)&lt;='계산 과정'!$D$23/2,ABS(R1113-'계산 과정'!$C$89)&lt;='계산 과정'!$D$24/2),1,0),"")</x:f>
        <x:v>0</x:v>
      </x:c>
      <x:c r="T1113" s="4"/>
      <x:c r="U1113" s="4"/>
      <x:c r="V1113" s="4"/>
      <x:c r="W1113" s="4"/>
      <x:c r="X1113" s="4"/>
      <x:c r="Y1113" s="4"/>
      <x:c r="Z1113" s="4"/>
    </x:row>
    <x:row r="1114" ht="23" customHeight="1">
      <x:c r="A1114" s="17" t="n">
        <x:f>ROW()-6</x:f>
        <x:v>1108</x:v>
      </x:c>
      <x:c r="B1114" s="4" t="n">
        <x:f>IF('계산 과정'!$L$5,'계산 과정'!$L$11*SQRT((A1114+0.5)/'계산 과정'!$L$30),"")</x:f>
        <x:v>110.35553781556457</x:v>
      </x:c>
      <x:c r="C1114" s="4" t="n">
        <x:f>A1114*PI()*(3-SQRT(5))</x:f>
        <x:v>2659.1592585393473</x:v>
      </x:c>
      <x:c r="D1114" s="4" t="n">
        <x:f>IF('계산 과정'!$L$5,B1114*COS(C1114),"")</x:f>
        <x:v>21.807734572807714</x:v>
      </x:c>
      <x:c r="E1114" s="4" t="n">
        <x:f>IF('계산 과정'!$L$5,B1114*SIN(C1114),"")</x:f>
        <x:v>108.17933000053415</x:v>
      </x:c>
      <x:c r="F1114" s="4" t="n">
        <x:f>IF('계산 과정'!$L$7,'계산 과정'!$L$22+'계산 과정'!$C$49*D1114+'계산 과정'!$D$49*E1114,"")</x:f>
        <x:v>634.5796030012514</x:v>
      </x:c>
      <x:c r="G1114" s="4" t="n">
        <x:f>IF('계산 과정'!$L$7,IF(ABS(F1114)&gt;=1E-12*MAX(1,SQRT((D1114-'계산 과정'!$C$33)^2+(E1114-'계산 과정'!$D$33)^2+'계산 과정'!$E$33^2)),('계산 과정'!$L$23-'계산 과정'!$C$49*D1114-'계산 과정'!$D$49*E1114)/F1114,""),"")</x:f>
        <x:v>0.6546387482894395</x:v>
      </x:c>
      <x:c r="H1114" s="4" t="n">
        <x:f>IF(AND(ISNUMBER(G1114),G1114&gt;0),('계산 과정'!$D$56+'계산 과정'!$D$57*D1114+'계산 과정'!$D$58*E1114)/F1114,"")</x:f>
        <x:v>25.51518638813559</x:v>
      </x:c>
      <x:c r="I1114" s="4" t="n">
        <x:f>IF(AND(ISNUMBER(G1114),G1114&gt;0),('계산 과정'!$E$56+'계산 과정'!$E$57*D1114+'계산 과정'!$E$58*E1114)/F1114,"")</x:f>
        <x:v>178.99771118287404</x:v>
      </x:c>
      <x:c r="J1114" s="4" t="n">
        <x:f>IF('계산 과정'!$L$5,'계산 과정'!$D$6+'계산 과정'!$C$35*D1114+'계산 과정'!$D$35*E1114,"")</x:f>
        <x:v>634.5796030012514</x:v>
      </x:c>
      <x:c r="K1114" s="4" t="n">
        <x:f>IF(AND('계산 과정'!$L$6,J1114&gt;0),'계산 과정'!$D$10*('계산 과정'!$C$38*(D1114-'계산 과정'!$C$32)+'계산 과정'!$D$38*(E1114-'계산 과정'!$D$32)-'계산 과정'!$E$38*'계산 과정'!$E$32)/J1114,"")</x:f>
        <x:v>0.1944014201000812</x:v>
      </x:c>
      <x:c r="L1114" s="4" t="n">
        <x:f>IF(AND('계산 과정'!$L$6,J1114&gt;0),'계산 과정'!$D$10*('계산 과정'!$C$39*(D1114-'계산 과정'!$C$32)+'계산 과정'!$D$39*(E1114-'계산 과정'!$D$32)-'계산 과정'!$E$39*'계산 과정'!$E$32)/J1114,"")</x:f>
        <x:v>1.3637920852028498</x:v>
      </x:c>
      <x:c r="M1114" s="17" t="n">
        <x:f>IF('계산 과정'!$L$6,IF(J1114&lt;=0,0,IF(AND(ABS(K1114)&lt;='계산 과정'!$D$11/2,ABS(L1114)&lt;='계산 과정'!$D$12/2),1,0)),"")</x:f>
        <x:v>1</x:v>
      </x:c>
      <x:c r="N1114" s="17" t="n">
        <x:f>IF('계산 과정'!$C$78,IF(AND(ISNUMBER(H1114),ISNUMBER(I1114),ABS(H1114-'계산 과정'!$C$88)&lt;='계산 과정'!$D$23/2,ABS(I1114-'계산 과정'!$C$89)&lt;='계산 과정'!$D$24/2),1,0),"")</x:f>
        <x:v>1</x:v>
      </x:c>
      <x:c r="O1114" s="4" t="n">
        <x:f>IF('계산 과정'!$L$7,'계산 과정'!$C$49*('계산 과정'!$C$32-D1114)+'계산 과정'!$D$49*('계산 과정'!$D$32-E1114)+'계산 과정'!$E$49*'계산 과정'!$E$32,"")</x:f>
        <x:v>15.420396998748743</x:v>
      </x:c>
      <x:c r="P1114" s="4" t="n">
        <x:f>IF(AND('계산 과정'!$L$7,O1114&lt;&gt;0),('계산 과정'!$L$23-'계산 과정'!$C$49*D1114-'계산 과정'!$D$49*E1114)/O1114,"")</x:f>
        <x:v>26.939669389345624</x:v>
      </x:c>
      <x:c r="Q1114" s="4" t="str">
        <x:f>IF(AND(ISNUMBER(P1114),P1114&gt;1E-9,P1114&lt;1-1E-9),'계산 과정'!$C$47*(D1114-'계산 과정'!$C$50+P1114*('계산 과정'!$C$32-D1114))+'계산 과정'!$D$47*(E1114-'계산 과정'!$D$50+P1114*('계산 과정'!$D$32-E1114))+'계산 과정'!$E$47*(0-'계산 과정'!$E$50+P1114*('계산 과정'!$E$32-0)),"")</x:f>
      </x:c>
      <x:c r="R1114" s="4" t="str">
        <x:f>IF(AND(ISNUMBER(P1114),P1114&gt;1E-9,P1114&lt;1-1E-9),'계산 과정'!$C$48*(D1114-'계산 과정'!$C$50+P1114*('계산 과정'!$C$32-D1114))+'계산 과정'!$D$48*(E1114-'계산 과정'!$D$50+P1114*('계산 과정'!$D$32-E1114))+'계산 과정'!$E$48*(0-'계산 과정'!$E$50+P1114*('계산 과정'!$E$32-0)),"")</x:f>
      </x:c>
      <x:c r="S1114" s="17" t="n">
        <x:f>IF('계산 과정'!$C$78,IF(AND(ISNUMBER(Q1114),ISNUMBER(R1114),ABS(Q1114-'계산 과정'!$C$88)&lt;='계산 과정'!$D$23/2,ABS(R1114-'계산 과정'!$C$89)&lt;='계산 과정'!$D$24/2),1,0),"")</x:f>
        <x:v>0</x:v>
      </x:c>
      <x:c r="T1114" s="4"/>
      <x:c r="U1114" s="4"/>
      <x:c r="V1114" s="4"/>
      <x:c r="W1114" s="4"/>
      <x:c r="X1114" s="4"/>
      <x:c r="Y1114" s="4"/>
      <x:c r="Z1114" s="4"/>
    </x:row>
    <x:row r="1115" ht="23" customHeight="1">
      <x:c r="A1115" s="17" t="n">
        <x:f>ROW()-6</x:f>
        <x:v>1109</x:v>
      </x:c>
      <x:c r="B1115" s="4" t="n">
        <x:f>IF('계산 과정'!$L$5,'계산 과정'!$L$11*SQRT((A1115+0.5)/'계산 과정'!$L$30),"")</x:f>
        <x:v>110.4053035623176</x:v>
      </x:c>
      <x:c r="C1115" s="4" t="n">
        <x:f>A1115*PI()*(3-SQRT(5))</x:f>
        <x:v>2661.559221769076</x:v>
      </x:c>
      <x:c r="D1115" s="4" t="n">
        <x:f>IF('계산 과정'!$L$5,B1115*COS(C1115),"")</x:f>
        <x:v>-89.19463716247967</x:v>
      </x:c>
      <x:c r="E1115" s="4" t="n">
        <x:f>IF('계산 과정'!$L$5,B1115*SIN(C1115),"")</x:f>
        <x:v>-65.06648719687502</x:v>
      </x:c>
      <x:c r="F1115" s="4" t="n">
        <x:f>IF('계산 과정'!$L$7,'계산 과정'!$L$22+'계산 과정'!$C$49*D1115+'계산 과정'!$D$49*E1115,"")</x:f>
        <x:v>713.070132783063</x:v>
      </x:c>
      <x:c r="G1115" s="4" t="n">
        <x:f>IF('계산 과정'!$L$7,IF(ABS(F1115)&gt;=1E-12*MAX(1,SQRT((D1115-'계산 과정'!$C$33)^2+(E1115-'계산 과정'!$D$33)^2+'계산 과정'!$E$33^2)),('계산 과정'!$L$23-'계산 과정'!$C$49*D1115-'계산 과정'!$D$49*E1115)/F1115,""),"")</x:f>
        <x:v>0.4725059313617908</x:v>
      </x:c>
      <x:c r="H1115" s="4" t="n">
        <x:f>IF(AND(ISNUMBER(G1115),G1115&gt;0),('계산 과정'!$D$56+'계산 과정'!$D$57*D1115+'계산 과정'!$D$58*E1115)/F1115,"")</x:f>
        <x:v>-92.87114461483614</x:v>
      </x:c>
      <x:c r="I1115" s="4" t="n">
        <x:f>IF(AND(ISNUMBER(G1115),G1115&gt;0),('계산 과정'!$E$56+'계산 과정'!$E$57*D1115+'계산 과정'!$E$58*E1115)/F1115,"")</x:f>
        <x:v>-95.81078833027448</x:v>
      </x:c>
      <x:c r="J1115" s="4" t="n">
        <x:f>IF('계산 과정'!$L$5,'계산 과정'!$D$6+'계산 과정'!$C$35*D1115+'계산 과정'!$D$35*E1115,"")</x:f>
        <x:v>713.070132783063</x:v>
      </x:c>
      <x:c r="K1115" s="4" t="n">
        <x:f>IF(AND('계산 과정'!$L$6,J1115&gt;0),'계산 과정'!$D$10*('계산 과정'!$C$38*(D1115-'계산 과정'!$C$32)+'계산 과정'!$D$38*(E1115-'계산 과정'!$D$32)-'계산 과정'!$E$38*'계산 과정'!$E$32)/J1115,"")</x:f>
        <x:v>-0.7075896732558934</x:v>
      </x:c>
      <x:c r="L1115" s="4" t="n">
        <x:f>IF(AND('계산 과정'!$L$6,J1115&gt;0),'계산 과정'!$D$10*('계산 과정'!$C$39*(D1115-'계산 과정'!$C$32)+'계산 과정'!$D$39*(E1115-'계산 과정'!$D$32)-'계산 과정'!$E$39*'계산 과정'!$E$32)/J1115,"")</x:f>
        <x:v>-0.7299869587068533</x:v>
      </x:c>
      <x:c r="M1115" s="17" t="n">
        <x:f>IF('계산 과정'!$L$6,IF(J1115&lt;=0,0,IF(AND(ABS(K1115)&lt;='계산 과정'!$D$11/2,ABS(L1115)&lt;='계산 과정'!$D$12/2),1,0)),"")</x:f>
        <x:v>1</x:v>
      </x:c>
      <x:c r="N1115" s="17" t="n">
        <x:f>IF('계산 과정'!$C$78,IF(AND(ISNUMBER(H1115),ISNUMBER(I1115),ABS(H1115-'계산 과정'!$C$88)&lt;='계산 과정'!$D$23/2,ABS(I1115-'계산 과정'!$C$89)&lt;='계산 과정'!$D$24/2),1,0),"")</x:f>
        <x:v>1</x:v>
      </x:c>
      <x:c r="O1115" s="4" t="n">
        <x:f>IF('계산 과정'!$L$7,'계산 과정'!$C$49*('계산 과정'!$C$32-D1115)+'계산 과정'!$D$49*('계산 과정'!$D$32-E1115)+'계산 과정'!$E$49*'계산 과정'!$E$32,"")</x:f>
        <x:v>-63.07013278306289</x:v>
      </x:c>
      <x:c r="P1115" s="4" t="n">
        <x:f>IF(AND('계산 과정'!$L$7,O1115&lt;&gt;0),('계산 과정'!$L$23-'계산 과정'!$C$49*D1115-'계산 과정'!$D$49*E1115)/O1115,"")</x:f>
        <x:v>-5.342146153011074</x:v>
      </x:c>
      <x:c r="Q1115" s="4" t="str">
        <x:f>IF(AND(ISNUMBER(P1115),P1115&gt;1E-9,P1115&lt;1-1E-9),'계산 과정'!$C$47*(D1115-'계산 과정'!$C$50+P1115*('계산 과정'!$C$32-D1115))+'계산 과정'!$D$47*(E1115-'계산 과정'!$D$50+P1115*('계산 과정'!$D$32-E1115))+'계산 과정'!$E$47*(0-'계산 과정'!$E$50+P1115*('계산 과정'!$E$32-0)),"")</x:f>
      </x:c>
      <x:c r="R1115" s="4" t="str">
        <x:f>IF(AND(ISNUMBER(P1115),P1115&gt;1E-9,P1115&lt;1-1E-9),'계산 과정'!$C$48*(D1115-'계산 과정'!$C$50+P1115*('계산 과정'!$C$32-D1115))+'계산 과정'!$D$48*(E1115-'계산 과정'!$D$50+P1115*('계산 과정'!$D$32-E1115))+'계산 과정'!$E$48*(0-'계산 과정'!$E$50+P1115*('계산 과정'!$E$32-0)),"")</x:f>
      </x:c>
      <x:c r="S1115" s="17" t="n">
        <x:f>IF('계산 과정'!$C$78,IF(AND(ISNUMBER(Q1115),ISNUMBER(R1115),ABS(Q1115-'계산 과정'!$C$88)&lt;='계산 과정'!$D$23/2,ABS(R1115-'계산 과정'!$C$89)&lt;='계산 과정'!$D$24/2),1,0),"")</x:f>
        <x:v>0</x:v>
      </x:c>
      <x:c r="T1115" s="4"/>
      <x:c r="U1115" s="4"/>
      <x:c r="V1115" s="4"/>
      <x:c r="W1115" s="4"/>
      <x:c r="X1115" s="4"/>
      <x:c r="Y1115" s="4"/>
      <x:c r="Z1115" s="4"/>
    </x:row>
    <x:row r="1116" ht="23" customHeight="1">
      <x:c r="A1116" s="17" t="n">
        <x:f>ROW()-6</x:f>
        <x:v>1110</x:v>
      </x:c>
      <x:c r="B1116" s="4" t="n">
        <x:f>IF('계산 과정'!$L$5,'계산 과정'!$L$11*SQRT((A1116+0.5)/'계산 과정'!$L$30),"")</x:f>
        <x:v>110.45504688701418</x:v>
      </x:c>
      <x:c r="C1116" s="4" t="n">
        <x:f>A1116*PI()*(3-SQRT(5))</x:f>
        <x:v>2663.959184998805</x:v>
      </x:c>
      <x:c r="D1116" s="4" t="n">
        <x:f>IF('계산 과정'!$L$5,B1116*COS(C1116),"")</x:f>
        <x:v>109.77056518730475</x:v>
      </x:c>
      <x:c r="E1116" s="4" t="n">
        <x:f>IF('계산 과정'!$L$5,B1116*SIN(C1116),"")</x:f>
        <x:v>-12.277638261171292</x:v>
      </x:c>
      <x:c r="F1116" s="4" t="n">
        <x:f>IF('계산 과정'!$L$7,'계산 과정'!$L$22+'계산 과정'!$C$49*D1116+'계산 과정'!$D$49*E1116,"")</x:f>
        <x:v>572.3804889813769</x:v>
      </x:c>
      <x:c r="G1116" s="4" t="n">
        <x:f>IF('계산 과정'!$L$7,IF(ABS(F1116)&gt;=1E-12*MAX(1,SQRT((D1116-'계산 과정'!$C$33)^2+(E1116-'계산 과정'!$D$33)^2+'계산 과정'!$E$33^2)),('계산 과정'!$L$23-'계산 과정'!$C$49*D1116-'계산 과정'!$D$49*E1116)/F1116,""),"")</x:f>
        <x:v>0.8344440808396653</x:v>
      </x:c>
      <x:c r="H1116" s="4" t="n">
        <x:f>IF(AND(ISNUMBER(G1116),G1116&gt;0),('계산 과정'!$D$56+'계산 과정'!$D$57*D1116+'계산 과정'!$D$58*E1116)/F1116,"")</x:f>
        <x:v>142.38865254578232</x:v>
      </x:c>
      <x:c r="I1116" s="4" t="n">
        <x:f>IF(AND(ISNUMBER(G1116),G1116&gt;0),('계산 과정'!$E$56+'계산 과정'!$E$57*D1116+'계산 과정'!$E$58*E1116)/F1116,"")</x:f>
        <x:v>-22.522640834896276</x:v>
      </x:c>
      <x:c r="J1116" s="4" t="n">
        <x:f>IF('계산 과정'!$L$5,'계산 과정'!$D$6+'계산 과정'!$C$35*D1116+'계산 과정'!$D$35*E1116,"")</x:f>
        <x:v>572.3804889813769</x:v>
      </x:c>
      <x:c r="K1116" s="4" t="n">
        <x:f>IF(AND('계산 과정'!$L$6,J1116&gt;0),'계산 과정'!$D$10*('계산 과정'!$C$38*(D1116-'계산 과정'!$C$32)+'계산 과정'!$D$38*(E1116-'계산 과정'!$D$32)-'계산 과정'!$E$38*'계산 과정'!$E$32)/J1116,"")</x:f>
        <x:v>1.0848659241583425</x:v>
      </x:c>
      <x:c r="L1116" s="4" t="n">
        <x:f>IF(AND('계산 과정'!$L$6,J1116&gt;0),'계산 과정'!$D$10*('계산 과정'!$C$39*(D1116-'계산 과정'!$C$32)+'계산 과정'!$D$39*(E1116-'계산 과정'!$D$32)-'계산 과정'!$E$39*'계산 과정'!$E$32)/J1116,"")</x:f>
        <x:v>-0.17160107302778116</x:v>
      </x:c>
      <x:c r="M1116" s="17" t="n">
        <x:f>IF('계산 과정'!$L$6,IF(J1116&lt;=0,0,IF(AND(ABS(K1116)&lt;='계산 과정'!$D$11/2,ABS(L1116)&lt;='계산 과정'!$D$12/2),1,0)),"")</x:f>
        <x:v>1</x:v>
      </x:c>
      <x:c r="N1116" s="17" t="n">
        <x:f>IF('계산 과정'!$C$78,IF(AND(ISNUMBER(H1116),ISNUMBER(I1116),ABS(H1116-'계산 과정'!$C$88)&lt;='계산 과정'!$D$23/2,ABS(I1116-'계산 과정'!$C$89)&lt;='계산 과정'!$D$24/2),1,0),"")</x:f>
        <x:v>1</x:v>
      </x:c>
      <x:c r="O1116" s="4" t="n">
        <x:f>IF('계산 과정'!$L$7,'계산 과정'!$C$49*('계산 과정'!$C$32-D1116)+'계산 과정'!$D$49*('계산 과정'!$D$32-E1116)+'계산 과정'!$E$49*'계산 과정'!$E$32,"")</x:f>
        <x:v>77.61951101862329</x:v>
      </x:c>
      <x:c r="P1116" s="4" t="n">
        <x:f>IF(AND('계산 과정'!$L$7,O1116&lt;&gt;0),('계산 과정'!$L$23-'계산 과정'!$C$49*D1116-'계산 과정'!$D$49*E1116)/O1116,"")</x:f>
        <x:v>6.153343466748041</x:v>
      </x:c>
      <x:c r="Q1116" s="4" t="str">
        <x:f>IF(AND(ISNUMBER(P1116),P1116&gt;1E-9,P1116&lt;1-1E-9),'계산 과정'!$C$47*(D1116-'계산 과정'!$C$50+P1116*('계산 과정'!$C$32-D1116))+'계산 과정'!$D$47*(E1116-'계산 과정'!$D$50+P1116*('계산 과정'!$D$32-E1116))+'계산 과정'!$E$47*(0-'계산 과정'!$E$50+P1116*('계산 과정'!$E$32-0)),"")</x:f>
      </x:c>
      <x:c r="R1116" s="4" t="str">
        <x:f>IF(AND(ISNUMBER(P1116),P1116&gt;1E-9,P1116&lt;1-1E-9),'계산 과정'!$C$48*(D1116-'계산 과정'!$C$50+P1116*('계산 과정'!$C$32-D1116))+'계산 과정'!$D$48*(E1116-'계산 과정'!$D$50+P1116*('계산 과정'!$D$32-E1116))+'계산 과정'!$E$48*(0-'계산 과정'!$E$50+P1116*('계산 과정'!$E$32-0)),"")</x:f>
      </x:c>
      <x:c r="S1116" s="17" t="n">
        <x:f>IF('계산 과정'!$C$78,IF(AND(ISNUMBER(Q1116),ISNUMBER(R1116),ABS(Q1116-'계산 과정'!$C$88)&lt;='계산 과정'!$D$23/2,ABS(R1116-'계산 과정'!$C$89)&lt;='계산 과정'!$D$24/2),1,0),"")</x:f>
        <x:v>0</x:v>
      </x:c>
      <x:c r="T1116" s="4"/>
      <x:c r="U1116" s="4"/>
      <x:c r="V1116" s="4"/>
      <x:c r="W1116" s="4"/>
      <x:c r="X1116" s="4"/>
      <x:c r="Y1116" s="4"/>
      <x:c r="Z1116" s="4"/>
    </x:row>
    <x:row r="1117" ht="23" customHeight="1">
      <x:c r="A1117" s="17" t="n">
        <x:f>ROW()-6</x:f>
        <x:v>1111</x:v>
      </x:c>
      <x:c r="B1117" s="4" t="n">
        <x:f>IF('계산 과정'!$L$5,'계산 과정'!$L$11*SQRT((A1117+0.5)/'계산 과정'!$L$30),"")</x:f>
        <x:v>110.50476781993392</x:v>
      </x:c>
      <x:c r="C1117" s="4" t="n">
        <x:f>A1117*PI()*(3-SQRT(5))</x:f>
        <x:v>2666.3591482285333</x:v>
      </x:c>
      <x:c r="D1117" s="4" t="n">
        <x:f>IF('계산 과정'!$L$5,B1117*COS(C1117),"")</x:f>
        <x:v>-72.68067523400698</x:v>
      </x:c>
      <x:c r="E1117" s="4" t="n">
        <x:f>IF('계산 과정'!$L$5,B1117*SIN(C1117),"")</x:f>
        <x:v>83.23955284878882</x:v>
      </x:c>
      <x:c r="F1117" s="4" t="n">
        <x:f>IF('계산 과정'!$L$7,'계산 과정'!$L$22+'계산 과정'!$C$49*D1117+'계산 과정'!$D$49*E1117,"")</x:f>
        <x:v>701.3929983191834</x:v>
      </x:c>
      <x:c r="G1117" s="4" t="n">
        <x:f>IF('계산 과정'!$L$7,IF(ABS(F1117)&gt;=1E-12*MAX(1,SQRT((D1117-'계산 과정'!$C$33)^2+(E1117-'계산 과정'!$D$33)^2+'계산 과정'!$E$33^2)),('계산 과정'!$L$23-'계산 과정'!$C$49*D1117-'계산 과정'!$D$49*E1117)/F1117,""),"")</x:f>
        <x:v>0.49702093194003577</x:v>
      </x:c>
      <x:c r="H1117" s="4" t="n">
        <x:f>IF(AND(ISNUMBER(G1117),G1117&gt;0),('계산 과정'!$D$56+'계산 과정'!$D$57*D1117+'계산 과정'!$D$58*E1117)/F1117,"")</x:f>
        <x:v>-76.9363942389769</x:v>
      </x:c>
      <x:c r="I1117" s="4" t="n">
        <x:f>IF(AND(ISNUMBER(G1117),G1117&gt;0),('계산 과정'!$E$56+'계산 과정'!$E$57*D1117+'계산 과정'!$E$58*E1117)/F1117,"")</x:f>
        <x:v>124.6113529799657</x:v>
      </x:c>
      <x:c r="J1117" s="4" t="n">
        <x:f>IF('계산 과정'!$L$5,'계산 과정'!$D$6+'계산 과정'!$C$35*D1117+'계산 과정'!$D$35*E1117,"")</x:f>
        <x:v>701.3929983191834</x:v>
      </x:c>
      <x:c r="K1117" s="4" t="n">
        <x:f>IF(AND('계산 과정'!$L$6,J1117&gt;0),'계산 과정'!$D$10*('계산 과정'!$C$38*(D1117-'계산 과정'!$C$32)+'계산 과정'!$D$38*(E1117-'계산 과정'!$D$32)-'계산 과정'!$E$38*'계산 과정'!$E$32)/J1117,"")</x:f>
        <x:v>-0.586182051344585</x:v>
      </x:c>
      <x:c r="L1117" s="4" t="n">
        <x:f>IF(AND('계산 과정'!$L$6,J1117&gt;0),'계산 과정'!$D$10*('계산 과정'!$C$39*(D1117-'계산 과정'!$C$32)+'계산 과정'!$D$39*(E1117-'계산 과정'!$D$32)-'계산 과정'!$E$39*'계산 과정'!$E$32)/J1117,"")</x:f>
        <x:v>0.9494198322283102</x:v>
      </x:c>
      <x:c r="M1117" s="17" t="n">
        <x:f>IF('계산 과정'!$L$6,IF(J1117&lt;=0,0,IF(AND(ABS(K1117)&lt;='계산 과정'!$D$11/2,ABS(L1117)&lt;='계산 과정'!$D$12/2),1,0)),"")</x:f>
        <x:v>1</x:v>
      </x:c>
      <x:c r="N1117" s="17" t="n">
        <x:f>IF('계산 과정'!$C$78,IF(AND(ISNUMBER(H1117),ISNUMBER(I1117),ABS(H1117-'계산 과정'!$C$88)&lt;='계산 과정'!$D$23/2,ABS(I1117-'계산 과정'!$C$89)&lt;='계산 과정'!$D$24/2),1,0),"")</x:f>
        <x:v>1</x:v>
      </x:c>
      <x:c r="O1117" s="4" t="n">
        <x:f>IF('계산 과정'!$L$7,'계산 과정'!$C$49*('계산 과정'!$C$32-D1117)+'계산 과정'!$D$49*('계산 과정'!$D$32-E1117)+'계산 과정'!$E$49*'계산 과정'!$E$32,"")</x:f>
        <x:v>-51.39299831918339</x:v>
      </x:c>
      <x:c r="P1117" s="4" t="n">
        <x:f>IF(AND('계산 과정'!$L$7,O1117&lt;&gt;0),('계산 과정'!$L$23-'계산 과정'!$C$49*D1117-'계산 과정'!$D$49*E1117)/O1117,"")</x:f>
        <x:v>-6.783161385442897</x:v>
      </x:c>
      <x:c r="Q1117" s="4" t="str">
        <x:f>IF(AND(ISNUMBER(P1117),P1117&gt;1E-9,P1117&lt;1-1E-9),'계산 과정'!$C$47*(D1117-'계산 과정'!$C$50+P1117*('계산 과정'!$C$32-D1117))+'계산 과정'!$D$47*(E1117-'계산 과정'!$D$50+P1117*('계산 과정'!$D$32-E1117))+'계산 과정'!$E$47*(0-'계산 과정'!$E$50+P1117*('계산 과정'!$E$32-0)),"")</x:f>
      </x:c>
      <x:c r="R1117" s="4" t="str">
        <x:f>IF(AND(ISNUMBER(P1117),P1117&gt;1E-9,P1117&lt;1-1E-9),'계산 과정'!$C$48*(D1117-'계산 과정'!$C$50+P1117*('계산 과정'!$C$32-D1117))+'계산 과정'!$D$48*(E1117-'계산 과정'!$D$50+P1117*('계산 과정'!$D$32-E1117))+'계산 과정'!$E$48*(0-'계산 과정'!$E$50+P1117*('계산 과정'!$E$32-0)),"")</x:f>
      </x:c>
      <x:c r="S1117" s="17" t="n">
        <x:f>IF('계산 과정'!$C$78,IF(AND(ISNUMBER(Q1117),ISNUMBER(R1117),ABS(Q1117-'계산 과정'!$C$88)&lt;='계산 과정'!$D$23/2,ABS(R1117-'계산 과정'!$C$89)&lt;='계산 과정'!$D$24/2),1,0),"")</x:f>
        <x:v>0</x:v>
      </x:c>
      <x:c r="T1117" s="4"/>
      <x:c r="U1117" s="4"/>
      <x:c r="V1117" s="4"/>
      <x:c r="W1117" s="4"/>
      <x:c r="X1117" s="4"/>
      <x:c r="Y1117" s="4"/>
      <x:c r="Z1117" s="4"/>
    </x:row>
    <x:row r="1118" ht="23" customHeight="1">
      <x:c r="A1118" s="17" t="n">
        <x:f>ROW()-6</x:f>
        <x:v>1112</x:v>
      </x:c>
      <x:c r="B1118" s="4" t="n">
        <x:f>IF('계산 과정'!$L$5,'계산 과정'!$L$11*SQRT((A1118+0.5)/'계산 과정'!$L$30),"")</x:f>
        <x:v>110.55446639128833</x:v>
      </x:c>
      <x:c r="C1118" s="4" t="n">
        <x:f>A1118*PI()*(3-SQRT(5))</x:f>
        <x:v>2668.759111458262</x:v>
      </x:c>
      <x:c r="D1118" s="4" t="n">
        <x:f>IF('계산 과정'!$L$5,B1118*COS(C1118),"")</x:f>
        <x:v>-2.6362271803276554</x:v>
      </x:c>
      <x:c r="E1118" s="4" t="n">
        <x:f>IF('계산 과정'!$L$5,B1118*SIN(C1118),"")</x:f>
        <x:v>-110.52303083663695</x:v>
      </x:c>
      <x:c r="F1118" s="4" t="n">
        <x:f>IF('계산 과정'!$L$7,'계산 과정'!$L$22+'계산 과정'!$C$49*D1118+'계산 과정'!$D$49*E1118,"")</x:f>
        <x:v>651.864094115958</x:v>
      </x:c>
      <x:c r="G1118" s="4" t="n">
        <x:f>IF('계산 과정'!$L$7,IF(ABS(F1118)&gt;=1E-12*MAX(1,SQRT((D1118-'계산 과정'!$C$33)^2+(E1118-'계산 과정'!$D$33)^2+'계산 과정'!$E$33^2)),('계산 과정'!$L$23-'계산 과정'!$C$49*D1118-'계산 과정'!$D$49*E1118)/F1118,""),"")</x:f>
        <x:v>0.6107652031731923</x:v>
      </x:c>
      <x:c r="H1118" s="4" t="n">
        <x:f>IF(AND(ISNUMBER(G1118),G1118&gt;0),('계산 과정'!$D$56+'계산 과정'!$D$57*D1118+'계산 과정'!$D$58*E1118)/F1118,"")</x:f>
        <x:v>-3.0026179374251165</x:v>
      </x:c>
      <x:c r="I1118" s="4" t="n">
        <x:f>IF(AND(ISNUMBER(G1118),G1118&gt;0),('계산 과정'!$E$56+'계산 과정'!$E$57*D1118+'계산 과정'!$E$58*E1118)/F1118,"")</x:f>
        <x:v>-178.02665222089252</x:v>
      </x:c>
      <x:c r="J1118" s="4" t="n">
        <x:f>IF('계산 과정'!$L$5,'계산 과정'!$D$6+'계산 과정'!$C$35*D1118+'계산 과정'!$D$35*E1118,"")</x:f>
        <x:v>651.864094115958</x:v>
      </x:c>
      <x:c r="K1118" s="4" t="n">
        <x:f>IF(AND('계산 과정'!$L$6,J1118&gt;0),'계산 과정'!$D$10*('계산 과정'!$C$38*(D1118-'계산 과정'!$C$32)+'계산 과정'!$D$38*(E1118-'계산 과정'!$D$32)-'계산 과정'!$E$38*'계산 과정'!$E$32)/J1118,"")</x:f>
        <x:v>-0.02287708904704771</x:v>
      </x:c>
      <x:c r="L1118" s="4" t="n">
        <x:f>IF(AND('계산 과정'!$L$6,J1118&gt;0),'계산 과정'!$D$10*('계산 과정'!$C$39*(D1118-'계산 과정'!$C$32)+'계산 과정'!$D$39*(E1118-'계산 과정'!$D$32)-'계산 과정'!$E$39*'계산 과정'!$E$32)/J1118,"")</x:f>
        <x:v>-1.3563935407306096</x:v>
      </x:c>
      <x:c r="M1118" s="17" t="n">
        <x:f>IF('계산 과정'!$L$6,IF(J1118&lt;=0,0,IF(AND(ABS(K1118)&lt;='계산 과정'!$D$11/2,ABS(L1118)&lt;='계산 과정'!$D$12/2),1,0)),"")</x:f>
        <x:v>1</x:v>
      </x:c>
      <x:c r="N1118" s="17" t="n">
        <x:f>IF('계산 과정'!$C$78,IF(AND(ISNUMBER(H1118),ISNUMBER(I1118),ABS(H1118-'계산 과정'!$C$88)&lt;='계산 과정'!$D$23/2,ABS(I1118-'계산 과정'!$C$89)&lt;='계산 과정'!$D$24/2),1,0),"")</x:f>
        <x:v>1</x:v>
      </x:c>
      <x:c r="O1118" s="4" t="n">
        <x:f>IF('계산 과정'!$L$7,'계산 과정'!$C$49*('계산 과정'!$C$32-D1118)+'계산 과정'!$D$49*('계산 과정'!$D$32-E1118)+'계산 과정'!$E$49*'계산 과정'!$E$32,"")</x:f>
        <x:v>-1.8640941159578688</x:v>
      </x:c>
      <x:c r="P1118" s="4" t="n">
        <x:f>IF(AND('계산 과정'!$L$7,O1118&lt;&gt;0),('계산 과정'!$L$23-'계산 과정'!$C$49*D1118-'계산 과정'!$D$49*E1118)/O1118,"")</x:f>
        <x:v>-213.58144016213421</x:v>
      </x:c>
      <x:c r="Q1118" s="4" t="str">
        <x:f>IF(AND(ISNUMBER(P1118),P1118&gt;1E-9,P1118&lt;1-1E-9),'계산 과정'!$C$47*(D1118-'계산 과정'!$C$50+P1118*('계산 과정'!$C$32-D1118))+'계산 과정'!$D$47*(E1118-'계산 과정'!$D$50+P1118*('계산 과정'!$D$32-E1118))+'계산 과정'!$E$47*(0-'계산 과정'!$E$50+P1118*('계산 과정'!$E$32-0)),"")</x:f>
      </x:c>
      <x:c r="R1118" s="4" t="str">
        <x:f>IF(AND(ISNUMBER(P1118),P1118&gt;1E-9,P1118&lt;1-1E-9),'계산 과정'!$C$48*(D1118-'계산 과정'!$C$50+P1118*('계산 과정'!$C$32-D1118))+'계산 과정'!$D$48*(E1118-'계산 과정'!$D$50+P1118*('계산 과정'!$D$32-E1118))+'계산 과정'!$E$48*(0-'계산 과정'!$E$50+P1118*('계산 과정'!$E$32-0)),"")</x:f>
      </x:c>
      <x:c r="S1118" s="17" t="n">
        <x:f>IF('계산 과정'!$C$78,IF(AND(ISNUMBER(Q1118),ISNUMBER(R1118),ABS(Q1118-'계산 과정'!$C$88)&lt;='계산 과정'!$D$23/2,ABS(R1118-'계산 과정'!$C$89)&lt;='계산 과정'!$D$24/2),1,0),"")</x:f>
        <x:v>0</x:v>
      </x:c>
      <x:c r="T1118" s="4"/>
      <x:c r="U1118" s="4"/>
      <x:c r="V1118" s="4"/>
      <x:c r="W1118" s="4"/>
      <x:c r="X1118" s="4"/>
      <x:c r="Y1118" s="4"/>
      <x:c r="Z1118" s="4"/>
    </x:row>
    <x:row r="1119" ht="23" customHeight="1">
      <x:c r="A1119" s="17" t="n">
        <x:f>ROW()-6</x:f>
        <x:v>1113</x:v>
      </x:c>
      <x:c r="B1119" s="4" t="n">
        <x:f>IF('계산 과정'!$L$5,'계산 과정'!$L$11*SQRT((A1119+0.5)/'계산 과정'!$L$30),"")</x:f>
        <x:v>110.60414263122111</x:v>
      </x:c>
      <x:c r="C1119" s="4" t="n">
        <x:f>A1119*PI()*(3-SQRT(5))</x:f>
        <x:v>2671.1590746879906</x:v>
      </x:c>
      <x:c r="D1119" s="4" t="n">
        <x:f>IF('계산 과정'!$L$5,B1119*COS(C1119),"")</x:f>
        <x:v>76.63552623139532</x:v>
      </x:c>
      <x:c r="E1119" s="4" t="n">
        <x:f>IF('계산 과정'!$L$5,B1119*SIN(C1119),"")</x:f>
        <x:v>79.7513165184414</x:v>
      </x:c>
      <x:c r="F1119" s="4" t="n">
        <x:f>IF('계산 과정'!$L$7,'계산 과정'!$L$22+'계산 과정'!$C$49*D1119+'계산 과정'!$D$49*E1119,"")</x:f>
        <x:v>595.8104997219808</x:v>
      </x:c>
      <x:c r="G1119" s="4" t="n">
        <x:f>IF('계산 과정'!$L$7,IF(ABS(F1119)&gt;=1E-12*MAX(1,SQRT((D1119-'계산 과정'!$C$33)^2+(E1119-'계산 과정'!$D$33)^2+'계산 과정'!$E$33^2)),('계산 과정'!$L$23-'계산 과정'!$C$49*D1119-'계산 과정'!$D$49*E1119)/F1119,""),"")</x:f>
        <x:v>0.7623052975567813</x:v>
      </x:c>
      <x:c r="H1119" s="4" t="n">
        <x:f>IF(AND(ISNUMBER(G1119),G1119&gt;0),('계산 과정'!$D$56+'계산 과정'!$D$57*D1119+'계산 과정'!$D$58*E1119)/F1119,"")</x:f>
        <x:v>95.49844341190777</x:v>
      </x:c>
      <x:c r="I1119" s="4" t="n">
        <x:f>IF(AND(ISNUMBER(G1119),G1119&gt;0),('계산 과정'!$E$56+'계산 과정'!$E$57*D1119+'계산 과정'!$E$58*E1119)/F1119,"")</x:f>
        <x:v>140.54616758757695</x:v>
      </x:c>
      <x:c r="J1119" s="4" t="n">
        <x:f>IF('계산 과정'!$L$5,'계산 과정'!$D$6+'계산 과정'!$C$35*D1119+'계산 과정'!$D$35*E1119,"")</x:f>
        <x:v>595.8104997219808</x:v>
      </x:c>
      <x:c r="K1119" s="4" t="n">
        <x:f>IF(AND('계산 과정'!$L$6,J1119&gt;0),'계산 과정'!$D$10*('계산 과정'!$C$38*(D1119-'계산 과정'!$C$32)+'계산 과정'!$D$38*(E1119-'계산 과정'!$D$32)-'계산 과정'!$E$38*'계산 과정'!$E$32)/J1119,"")</x:f>
        <x:v>0.7276071879002505</x:v>
      </x:c>
      <x:c r="L1119" s="4" t="n">
        <x:f>IF(AND('계산 과정'!$L$6,J1119&gt;0),'계산 과정'!$D$10*('계산 과정'!$C$39*(D1119-'계산 과정'!$C$32)+'계산 과정'!$D$39*(E1119-'계산 과정'!$D$32)-'계산 과정'!$E$39*'계산 과정'!$E$32)/J1119,"")</x:f>
        <x:v>1.0708279435243957</x:v>
      </x:c>
      <x:c r="M1119" s="17" t="n">
        <x:f>IF('계산 과정'!$L$6,IF(J1119&lt;=0,0,IF(AND(ABS(K1119)&lt;='계산 과정'!$D$11/2,ABS(L1119)&lt;='계산 과정'!$D$12/2),1,0)),"")</x:f>
        <x:v>1</x:v>
      </x:c>
      <x:c r="N1119" s="17" t="n">
        <x:f>IF('계산 과정'!$C$78,IF(AND(ISNUMBER(H1119),ISNUMBER(I1119),ABS(H1119-'계산 과정'!$C$88)&lt;='계산 과정'!$D$23/2,ABS(I1119-'계산 과정'!$C$89)&lt;='계산 과정'!$D$24/2),1,0),"")</x:f>
        <x:v>1</x:v>
      </x:c>
      <x:c r="O1119" s="4" t="n">
        <x:f>IF('계산 과정'!$L$7,'계산 과정'!$C$49*('계산 과정'!$C$32-D1119)+'계산 과정'!$D$49*('계산 과정'!$D$32-E1119)+'계산 과정'!$E$49*'계산 과정'!$E$32,"")</x:f>
        <x:v>54.189500278019295</x:v>
      </x:c>
      <x:c r="P1119" s="4" t="n">
        <x:f>IF(AND('계산 과정'!$L$7,O1119&lt;&gt;0),('계산 과정'!$L$23-'계산 과정'!$C$49*D1119-'계산 과정'!$D$49*E1119)/O1119,"")</x:f>
        <x:v>8.381503758990199</x:v>
      </x:c>
      <x:c r="Q1119" s="4" t="str">
        <x:f>IF(AND(ISNUMBER(P1119),P1119&gt;1E-9,P1119&lt;1-1E-9),'계산 과정'!$C$47*(D1119-'계산 과정'!$C$50+P1119*('계산 과정'!$C$32-D1119))+'계산 과정'!$D$47*(E1119-'계산 과정'!$D$50+P1119*('계산 과정'!$D$32-E1119))+'계산 과정'!$E$47*(0-'계산 과정'!$E$50+P1119*('계산 과정'!$E$32-0)),"")</x:f>
      </x:c>
      <x:c r="R1119" s="4" t="str">
        <x:f>IF(AND(ISNUMBER(P1119),P1119&gt;1E-9,P1119&lt;1-1E-9),'계산 과정'!$C$48*(D1119-'계산 과정'!$C$50+P1119*('계산 과정'!$C$32-D1119))+'계산 과정'!$D$48*(E1119-'계산 과정'!$D$50+P1119*('계산 과정'!$D$32-E1119))+'계산 과정'!$E$48*(0-'계산 과정'!$E$50+P1119*('계산 과정'!$E$32-0)),"")</x:f>
      </x:c>
      <x:c r="S1119" s="17" t="n">
        <x:f>IF('계산 과정'!$C$78,IF(AND(ISNUMBER(Q1119),ISNUMBER(R1119),ABS(Q1119-'계산 과정'!$C$88)&lt;='계산 과정'!$D$23/2,ABS(R1119-'계산 과정'!$C$89)&lt;='계산 과정'!$D$24/2),1,0),"")</x:f>
        <x:v>0</x:v>
      </x:c>
      <x:c r="T1119" s="4"/>
      <x:c r="U1119" s="4"/>
      <x:c r="V1119" s="4"/>
      <x:c r="W1119" s="4"/>
      <x:c r="X1119" s="4"/>
      <x:c r="Y1119" s="4"/>
      <x:c r="Z1119" s="4"/>
    </x:row>
    <x:row r="1120" ht="23" customHeight="1">
      <x:c r="A1120" s="17" t="n">
        <x:f>ROW()-6</x:f>
        <x:v>1114</x:v>
      </x:c>
      <x:c r="B1120" s="4" t="n">
        <x:f>IF('계산 과정'!$L$5,'계산 과정'!$L$11*SQRT((A1120+0.5)/'계산 과정'!$L$30),"")</x:f>
        <x:v>110.65379656980822</x:v>
      </x:c>
      <x:c r="C1120" s="4" t="n">
        <x:f>A1120*PI()*(3-SQRT(5))</x:f>
        <x:v>2673.5590379177193</x:v>
      </x:c>
      <x:c r="D1120" s="4" t="n">
        <x:f>IF('계산 과정'!$L$5,B1120*COS(C1120),"")</x:f>
        <x:v>-110.42944552598665</x:v>
      </x:c>
      <x:c r="E1120" s="4" t="n">
        <x:f>IF('계산 과정'!$L$5,B1120*SIN(C1120),"")</x:f>
        <x:v>-7.042744929049337</x:v>
      </x:c>
      <x:c r="F1120" s="4" t="n">
        <x:f>IF('계산 과정'!$L$7,'계산 과정'!$L$22+'계산 과정'!$C$49*D1120+'계산 과정'!$D$49*E1120,"")</x:f>
        <x:v>728.0854097740956</x:v>
      </x:c>
      <x:c r="G1120" s="4" t="n">
        <x:f>IF('계산 과정'!$L$7,IF(ABS(F1120)&gt;=1E-12*MAX(1,SQRT((D1120-'계산 과정'!$C$33)^2+(E1120-'계산 과정'!$D$33)^2+'계산 과정'!$E$33^2)),('계산 과정'!$L$23-'계산 과정'!$C$49*D1120-'계산 과정'!$D$49*E1120)/F1120,""),"")</x:f>
        <x:v>0.4421384990062984</x:v>
      </x:c>
      <x:c r="H1120" s="4" t="n">
        <x:f>IF(AND(ISNUMBER(G1120),G1120&gt;0),('계산 과정'!$D$56+'계산 과정'!$D$57*D1120+'계산 과정'!$D$58*E1120)/F1120,"")</x:f>
        <x:v>-112.6099756459061</x:v>
      </x:c>
      <x:c r="I1120" s="4" t="n">
        <x:f>IF(AND(ISNUMBER(G1120),G1120&gt;0),('계산 과정'!$E$56+'계산 과정'!$E$57*D1120+'계산 과정'!$E$58*E1120)/F1120,"")</x:f>
        <x:v>-10.15661360086343</x:v>
      </x:c>
      <x:c r="J1120" s="4" t="n">
        <x:f>IF('계산 과정'!$L$5,'계산 과정'!$D$6+'계산 과정'!$C$35*D1120+'계산 과정'!$D$35*E1120,"")</x:f>
        <x:v>728.0854097740956</x:v>
      </x:c>
      <x:c r="K1120" s="4" t="n">
        <x:f>IF(AND('계산 과정'!$L$6,J1120&gt;0),'계산 과정'!$D$10*('계산 과정'!$C$38*(D1120-'계산 과정'!$C$32)+'계산 과정'!$D$38*(E1120-'계산 과정'!$D$32)-'계산 과정'!$E$38*'계산 과정'!$E$32)/J1120,"")</x:f>
        <x:v>-0.8579807668259507</x:v>
      </x:c>
      <x:c r="L1120" s="4" t="n">
        <x:f>IF(AND('계산 과정'!$L$6,J1120&gt;0),'계산 과정'!$D$10*('계산 과정'!$C$39*(D1120-'계산 과정'!$C$32)+'계산 과정'!$D$39*(E1120-'계산 과정'!$D$32)-'계산 과정'!$E$39*'계산 과정'!$E$32)/J1120,"")</x:f>
        <x:v>-0.07738372267324518</x:v>
      </x:c>
      <x:c r="M1120" s="17" t="n">
        <x:f>IF('계산 과정'!$L$6,IF(J1120&lt;=0,0,IF(AND(ABS(K1120)&lt;='계산 과정'!$D$11/2,ABS(L1120)&lt;='계산 과정'!$D$12/2),1,0)),"")</x:f>
        <x:v>1</x:v>
      </x:c>
      <x:c r="N1120" s="17" t="n">
        <x:f>IF('계산 과정'!$C$78,IF(AND(ISNUMBER(H1120),ISNUMBER(I1120),ABS(H1120-'계산 과정'!$C$88)&lt;='계산 과정'!$D$23/2,ABS(I1120-'계산 과정'!$C$89)&lt;='계산 과정'!$D$24/2),1,0),"")</x:f>
        <x:v>1</x:v>
      </x:c>
      <x:c r="O1120" s="4" t="n">
        <x:f>IF('계산 과정'!$L$7,'계산 과정'!$C$49*('계산 과정'!$C$32-D1120)+'계산 과정'!$D$49*('계산 과정'!$D$32-E1120)+'계산 과정'!$E$49*'계산 과정'!$E$32,"")</x:f>
        <x:v>-78.08540977409552</x:v>
      </x:c>
      <x:c r="P1120" s="4" t="n">
        <x:f>IF(AND('계산 과정'!$L$7,O1120&lt;&gt;0),('계산 과정'!$L$23-'계산 과정'!$C$49*D1120-'계산 과정'!$D$49*E1120)/O1120,"")</x:f>
        <x:v>-4.122595900530166</x:v>
      </x:c>
      <x:c r="Q1120" s="4" t="str">
        <x:f>IF(AND(ISNUMBER(P1120),P1120&gt;1E-9,P1120&lt;1-1E-9),'계산 과정'!$C$47*(D1120-'계산 과정'!$C$50+P1120*('계산 과정'!$C$32-D1120))+'계산 과정'!$D$47*(E1120-'계산 과정'!$D$50+P1120*('계산 과정'!$D$32-E1120))+'계산 과정'!$E$47*(0-'계산 과정'!$E$50+P1120*('계산 과정'!$E$32-0)),"")</x:f>
      </x:c>
      <x:c r="R1120" s="4" t="str">
        <x:f>IF(AND(ISNUMBER(P1120),P1120&gt;1E-9,P1120&lt;1-1E-9),'계산 과정'!$C$48*(D1120-'계산 과정'!$C$50+P1120*('계산 과정'!$C$32-D1120))+'계산 과정'!$D$48*(E1120-'계산 과정'!$D$50+P1120*('계산 과정'!$D$32-E1120))+'계산 과정'!$E$48*(0-'계산 과정'!$E$50+P1120*('계산 과정'!$E$32-0)),"")</x:f>
      </x:c>
      <x:c r="S1120" s="17" t="n">
        <x:f>IF('계산 과정'!$C$78,IF(AND(ISNUMBER(Q1120),ISNUMBER(R1120),ABS(Q1120-'계산 과정'!$C$88)&lt;='계산 과정'!$D$23/2,ABS(R1120-'계산 과정'!$C$89)&lt;='계산 과정'!$D$24/2),1,0),"")</x:f>
        <x:v>0</x:v>
      </x:c>
      <x:c r="T1120" s="4"/>
      <x:c r="U1120" s="4"/>
      <x:c r="V1120" s="4"/>
      <x:c r="W1120" s="4"/>
      <x:c r="X1120" s="4"/>
      <x:c r="Y1120" s="4"/>
      <x:c r="Z1120" s="4"/>
    </x:row>
    <x:row r="1121" ht="23" customHeight="1">
      <x:c r="A1121" s="17" t="n">
        <x:f>ROW()-6</x:f>
        <x:v>1115</x:v>
      </x:c>
      <x:c r="B1121" s="4" t="n">
        <x:f>IF('계산 과정'!$L$5,'계산 과정'!$L$11*SQRT((A1121+0.5)/'계산 과정'!$L$30),"")</x:f>
        <x:v>110.70342823705822</x:v>
      </x:c>
      <x:c r="C1121" s="4" t="n">
        <x:f>A1121*PI()*(3-SQRT(5))</x:f>
        <x:v>2675.959001147448</x:v>
      </x:c>
      <x:c r="D1121" s="4" t="n">
        <x:f>IF('계산 과정'!$L$5,B1121*COS(C1121),"")</x:f>
        <x:v>86.22319864491895</x:v>
      </x:c>
      <x:c r="E1121" s="4" t="n">
        <x:f>IF('계산 과정'!$L$5,B1121*SIN(C1121),"")</x:f>
        <x:v>-69.43204619537254</x:v>
      </x:c>
      <x:c r="F1121" s="4" t="n">
        <x:f>IF('계산 과정'!$L$7,'계산 과정'!$L$22+'계산 과정'!$C$49*D1121+'계산 과정'!$D$49*E1121,"")</x:f>
        <x:v>589.030991542583</x:v>
      </x:c>
      <x:c r="G1121" s="4" t="n">
        <x:f>IF('계산 과정'!$L$7,IF(ABS(F1121)&gt;=1E-12*MAX(1,SQRT((D1121-'계산 과정'!$C$33)^2+(E1121-'계산 과정'!$D$33)^2+'계산 과정'!$E$33^2)),('계산 과정'!$L$23-'계산 과정'!$C$49*D1121-'계산 과정'!$D$49*E1121)/F1121,""),"")</x:f>
        <x:v>0.7825887178706995</x:v>
      </x:c>
      <x:c r="H1121" s="4" t="n">
        <x:f>IF(AND(ISNUMBER(G1121),G1121&gt;0),('계산 과정'!$D$56+'계산 과정'!$D$57*D1121+'계산 과정'!$D$58*E1121)/F1121,"")</x:f>
        <x:v>108.68266661595459</x:v>
      </x:c>
      <x:c r="I1121" s="4" t="n">
        <x:f>IF(AND(ISNUMBER(G1121),G1121&gt;0),('계산 과정'!$E$56+'계산 과정'!$E$57*D1121+'계산 과정'!$E$58*E1121)/F1121,"")</x:f>
        <x:v>-123.76878220654831</x:v>
      </x:c>
      <x:c r="J1121" s="4" t="n">
        <x:f>IF('계산 과정'!$L$5,'계산 과정'!$D$6+'계산 과정'!$C$35*D1121+'계산 과정'!$D$35*E1121,"")</x:f>
        <x:v>589.030991542583</x:v>
      </x:c>
      <x:c r="K1121" s="4" t="n">
        <x:f>IF(AND('계산 과정'!$L$6,J1121&gt;0),'계산 과정'!$D$10*('계산 과정'!$C$38*(D1121-'계산 과정'!$C$32)+'계산 과정'!$D$38*(E1121-'계산 과정'!$D$32)-'계산 과정'!$E$38*'계산 과정'!$E$32)/J1121,"")</x:f>
        <x:v>0.8280584123120356</x:v>
      </x:c>
      <x:c r="L1121" s="4" t="n">
        <x:f>IF(AND('계산 과정'!$L$6,J1121&gt;0),'계산 과정'!$D$10*('계산 과정'!$C$39*(D1121-'계산 과정'!$C$32)+'계산 과정'!$D$39*(E1121-'계산 과정'!$D$32)-'계산 과정'!$E$39*'계산 과정'!$E$32)/J1121,"")</x:f>
        <x:v>-0.9430002453832252</x:v>
      </x:c>
      <x:c r="M1121" s="17" t="n">
        <x:f>IF('계산 과정'!$L$6,IF(J1121&lt;=0,0,IF(AND(ABS(K1121)&lt;='계산 과정'!$D$11/2,ABS(L1121)&lt;='계산 과정'!$D$12/2),1,0)),"")</x:f>
        <x:v>1</x:v>
      </x:c>
      <x:c r="N1121" s="17" t="n">
        <x:f>IF('계산 과정'!$C$78,IF(AND(ISNUMBER(H1121),ISNUMBER(I1121),ABS(H1121-'계산 과정'!$C$88)&lt;='계산 과정'!$D$23/2,ABS(I1121-'계산 과정'!$C$89)&lt;='계산 과정'!$D$24/2),1,0),"")</x:f>
        <x:v>1</x:v>
      </x:c>
      <x:c r="O1121" s="4" t="n">
        <x:f>IF('계산 과정'!$L$7,'계산 과정'!$C$49*('계산 과정'!$C$32-D1121)+'계산 과정'!$D$49*('계산 과정'!$D$32-E1121)+'계산 과정'!$E$49*'계산 과정'!$E$32,"")</x:f>
        <x:v>60.96900845741703</x:v>
      </x:c>
      <x:c r="P1121" s="4" t="n">
        <x:f>IF(AND('계산 과정'!$L$7,O1121&lt;&gt;0),('계산 과정'!$L$23-'계산 과정'!$C$49*D1121-'계산 과정'!$D$49*E1121)/O1121,"")</x:f>
        <x:v>7.560710271012106</x:v>
      </x:c>
      <x:c r="Q1121" s="4" t="str">
        <x:f>IF(AND(ISNUMBER(P1121),P1121&gt;1E-9,P1121&lt;1-1E-9),'계산 과정'!$C$47*(D1121-'계산 과정'!$C$50+P1121*('계산 과정'!$C$32-D1121))+'계산 과정'!$D$47*(E1121-'계산 과정'!$D$50+P1121*('계산 과정'!$D$32-E1121))+'계산 과정'!$E$47*(0-'계산 과정'!$E$50+P1121*('계산 과정'!$E$32-0)),"")</x:f>
      </x:c>
      <x:c r="R1121" s="4" t="str">
        <x:f>IF(AND(ISNUMBER(P1121),P1121&gt;1E-9,P1121&lt;1-1E-9),'계산 과정'!$C$48*(D1121-'계산 과정'!$C$50+P1121*('계산 과정'!$C$32-D1121))+'계산 과정'!$D$48*(E1121-'계산 과정'!$D$50+P1121*('계산 과정'!$D$32-E1121))+'계산 과정'!$E$48*(0-'계산 과정'!$E$50+P1121*('계산 과정'!$E$32-0)),"")</x:f>
      </x:c>
      <x:c r="S1121" s="17" t="n">
        <x:f>IF('계산 과정'!$C$78,IF(AND(ISNUMBER(Q1121),ISNUMBER(R1121),ABS(Q1121-'계산 과정'!$C$88)&lt;='계산 과정'!$D$23/2,ABS(R1121-'계산 과정'!$C$89)&lt;='계산 과정'!$D$24/2),1,0),"")</x:f>
        <x:v>0</x:v>
      </x:c>
      <x:c r="T1121" s="4"/>
      <x:c r="U1121" s="4"/>
      <x:c r="V1121" s="4"/>
      <x:c r="W1121" s="4"/>
      <x:c r="X1121" s="4"/>
      <x:c r="Y1121" s="4"/>
      <x:c r="Z1121" s="4"/>
    </x:row>
    <x:row r="1122" ht="23" customHeight="1">
      <x:c r="A1122" s="17" t="n">
        <x:f>ROW()-6</x:f>
        <x:v>1116</x:v>
      </x:c>
      <x:c r="B1122" s="4" t="n">
        <x:f>IF('계산 과정'!$L$5,'계산 과정'!$L$11*SQRT((A1122+0.5)/'계산 과정'!$L$30),"")</x:f>
        <x:v>110.75303766291243</x:v>
      </x:c>
      <x:c r="C1122" s="4" t="n">
        <x:f>A1122*PI()*(3-SQRT(5))</x:f>
        <x:v>2678.3589643771766</x:v>
      </x:c>
      <x:c r="D1122" s="4" t="n">
        <x:f>IF('계산 과정'!$L$5,B1122*COS(C1122),"")</x:f>
        <x:v>-16.68510366445607</x:v>
      </x:c>
      <x:c r="E1122" s="4" t="n">
        <x:f>IF('계산 과정'!$L$5,B1122*SIN(C1122),"")</x:f>
        <x:v>109.4890070612975</x:v>
      </x:c>
      <x:c r="F1122" s="4" t="n">
        <x:f>IF('계산 과정'!$L$7,'계산 과정'!$L$22+'계산 과정'!$C$49*D1122+'계산 과정'!$D$49*E1122,"")</x:f>
        <x:v>661.7981499459374</x:v>
      </x:c>
      <x:c r="G1122" s="4" t="n">
        <x:f>IF('계산 과정'!$L$7,IF(ABS(F1122)&gt;=1E-12*MAX(1,SQRT((D1122-'계산 과정'!$C$33)^2+(E1122-'계산 과정'!$D$33)^2+'계산 과정'!$E$33^2)),('계산 과정'!$L$23-'계산 과정'!$C$49*D1122-'계산 과정'!$D$49*E1122)/F1122,""),"")</x:f>
        <x:v>0.5865864842411164</x:v>
      </x:c>
      <x:c r="H1122" s="4" t="n">
        <x:f>IF(AND(ISNUMBER(G1122),G1122&gt;0),('계산 과정'!$D$56+'계산 과정'!$D$57*D1122+'계산 과정'!$D$58*E1122)/F1122,"")</x:f>
        <x:v>-18.718785243274453</x:v>
      </x:c>
      <x:c r="I1122" s="4" t="n">
        <x:f>IF(AND(ISNUMBER(G1122),G1122&gt;0),('계산 과정'!$E$56+'계산 과정'!$E$57*D1122+'계산 과정'!$E$58*E1122)/F1122,"")</x:f>
        <x:v>173.71377877643476</x:v>
      </x:c>
      <x:c r="J1122" s="4" t="n">
        <x:f>IF('계산 과정'!$L$5,'계산 과정'!$D$6+'계산 과정'!$C$35*D1122+'계산 과정'!$D$35*E1122,"")</x:f>
        <x:v>661.7981499459374</x:v>
      </x:c>
      <x:c r="K1122" s="4" t="n">
        <x:f>IF(AND('계산 과정'!$L$6,J1122&gt;0),'계산 과정'!$D$10*('계산 과정'!$C$38*(D1122-'계산 과정'!$C$32)+'계산 과정'!$D$38*(E1122-'계산 과정'!$D$32)-'계산 과정'!$E$38*'계산 과정'!$E$32)/J1122,"")</x:f>
        <x:v>-0.14261931613923282</x:v>
      </x:c>
      <x:c r="L1122" s="4" t="n">
        <x:f>IF(AND('계산 과정'!$L$6,J1122&gt;0),'계산 과정'!$D$10*('계산 과정'!$C$39*(D1122-'계산 과정'!$C$32)+'계산 과정'!$D$39*(E1122-'계산 과정'!$D$32)-'계산 과정'!$E$39*'계산 과정'!$E$32)/J1122,"")</x:f>
        <x:v>1.3235335525823602</x:v>
      </x:c>
      <x:c r="M1122" s="17" t="n">
        <x:f>IF('계산 과정'!$L$6,IF(J1122&lt;=0,0,IF(AND(ABS(K1122)&lt;='계산 과정'!$D$11/2,ABS(L1122)&lt;='계산 과정'!$D$12/2),1,0)),"")</x:f>
        <x:v>1</x:v>
      </x:c>
      <x:c r="N1122" s="17" t="n">
        <x:f>IF('계산 과정'!$C$78,IF(AND(ISNUMBER(H1122),ISNUMBER(I1122),ABS(H1122-'계산 과정'!$C$88)&lt;='계산 과정'!$D$23/2,ABS(I1122-'계산 과정'!$C$89)&lt;='계산 과정'!$D$24/2),1,0),"")</x:f>
        <x:v>1</x:v>
      </x:c>
      <x:c r="O1122" s="4" t="n">
        <x:f>IF('계산 과정'!$L$7,'계산 과정'!$C$49*('계산 과정'!$C$32-D1122)+'계산 과정'!$D$49*('계산 과정'!$D$32-E1122)+'계산 과정'!$E$49*'계산 과정'!$E$32,"")</x:f>
        <x:v>-11.798149945937269</x:v>
      </x:c>
      <x:c r="P1122" s="4" t="n">
        <x:f>IF(AND('계산 과정'!$L$7,O1122&lt;&gt;0),('계산 과정'!$L$23-'계산 과정'!$C$49*D1122-'계산 과정'!$D$49*E1122)/O1122,"")</x:f>
        <x:v>-32.903620638229064</x:v>
      </x:c>
      <x:c r="Q1122" s="4" t="str">
        <x:f>IF(AND(ISNUMBER(P1122),P1122&gt;1E-9,P1122&lt;1-1E-9),'계산 과정'!$C$47*(D1122-'계산 과정'!$C$50+P1122*('계산 과정'!$C$32-D1122))+'계산 과정'!$D$47*(E1122-'계산 과정'!$D$50+P1122*('계산 과정'!$D$32-E1122))+'계산 과정'!$E$47*(0-'계산 과정'!$E$50+P1122*('계산 과정'!$E$32-0)),"")</x:f>
      </x:c>
      <x:c r="R1122" s="4" t="str">
        <x:f>IF(AND(ISNUMBER(P1122),P1122&gt;1E-9,P1122&lt;1-1E-9),'계산 과정'!$C$48*(D1122-'계산 과정'!$C$50+P1122*('계산 과정'!$C$32-D1122))+'계산 과정'!$D$48*(E1122-'계산 과정'!$D$50+P1122*('계산 과정'!$D$32-E1122))+'계산 과정'!$E$48*(0-'계산 과정'!$E$50+P1122*('계산 과정'!$E$32-0)),"")</x:f>
      </x:c>
      <x:c r="S1122" s="17" t="n">
        <x:f>IF('계산 과정'!$C$78,IF(AND(ISNUMBER(Q1122),ISNUMBER(R1122),ABS(Q1122-'계산 과정'!$C$88)&lt;='계산 과정'!$D$23/2,ABS(R1122-'계산 과정'!$C$89)&lt;='계산 과정'!$D$24/2),1,0),"")</x:f>
        <x:v>0</x:v>
      </x:c>
      <x:c r="T1122" s="4"/>
      <x:c r="U1122" s="4"/>
      <x:c r="V1122" s="4"/>
      <x:c r="W1122" s="4"/>
      <x:c r="X1122" s="4"/>
      <x:c r="Y1122" s="4"/>
      <x:c r="Z1122" s="4"/>
    </x:row>
    <x:row r="1123" ht="23" customHeight="1">
      <x:c r="A1123" s="17" t="n">
        <x:f>ROW()-6</x:f>
        <x:v>1117</x:v>
      </x:c>
      <x:c r="B1123" s="4" t="n">
        <x:f>IF('계산 과정'!$L$5,'계산 과정'!$L$11*SQRT((A1123+0.5)/'계산 과정'!$L$30),"")</x:f>
        <x:v>110.80262487724514</x:v>
      </x:c>
      <x:c r="C1123" s="4" t="n">
        <x:f>A1123*PI()*(3-SQRT(5))</x:f>
        <x:v>2680.758927606905</x:v>
      </x:c>
      <x:c r="D1123" s="4" t="n">
        <x:f>IF('계산 과정'!$L$5,B1123*COS(C1123),"")</x:f>
        <x:v>-61.683290393194724</x:v>
      </x:c>
      <x:c r="E1123" s="4" t="n">
        <x:f>IF('계산 과정'!$L$5,B1123*SIN(C1123),"")</x:f>
        <x:v>-92.045604816071</x:v>
      </x:c>
      <x:c r="F1123" s="4" t="n">
        <x:f>IF('계산 과정'!$L$7,'계산 과정'!$L$22+'계산 과정'!$C$49*D1123+'계산 과정'!$D$49*E1123,"")</x:f>
        <x:v>693.616672922927</x:v>
      </x:c>
      <x:c r="G1123" s="4" t="n">
        <x:f>IF('계산 과정'!$L$7,IF(ABS(F1123)&gt;=1E-12*MAX(1,SQRT((D1123-'계산 과정'!$C$33)^2+(E1123-'계산 과정'!$D$33)^2+'계산 과정'!$E$33^2)),('계산 과정'!$L$23-'계산 과정'!$C$49*D1123-'계산 과정'!$D$49*E1123)/F1123,""),"")</x:f>
        <x:v>0.5138044412560905</x:v>
      </x:c>
      <x:c r="H1123" s="4" t="n">
        <x:f>IF(AND(ISNUMBER(G1123),G1123&gt;0),('계산 과정'!$D$56+'계산 과정'!$D$57*D1123+'계산 과정'!$D$58*E1123)/F1123,"")</x:f>
        <x:v>-66.0271131835413</x:v>
      </x:c>
      <x:c r="I1123" s="4" t="n">
        <x:f>IF(AND(ISNUMBER(G1123),G1123&gt;0),('계산 과정'!$E$56+'계산 과정'!$E$57*D1123+'계산 과정'!$E$58*E1123)/F1123,"")</x:f>
        <x:v>-139.33904536867126</x:v>
      </x:c>
      <x:c r="J1123" s="4" t="n">
        <x:f>IF('계산 과정'!$L$5,'계산 과정'!$D$6+'계산 과정'!$C$35*D1123+'계산 과정'!$D$35*E1123,"")</x:f>
        <x:v>693.616672922927</x:v>
      </x:c>
      <x:c r="K1123" s="4" t="n">
        <x:f>IF(AND('계산 과정'!$L$6,J1123&gt;0),'계산 과정'!$D$10*('계산 과정'!$C$38*(D1123-'계산 과정'!$C$32)+'계산 과정'!$D$38*(E1123-'계산 과정'!$D$32)-'계산 과정'!$E$38*'계산 과정'!$E$32)/J1123,"")</x:f>
        <x:v>-0.5030637194936471</x:v>
      </x:c>
      <x:c r="L1123" s="4" t="n">
        <x:f>IF(AND('계산 과정'!$L$6,J1123&gt;0),'계산 과정'!$D$10*('계산 과정'!$C$39*(D1123-'계산 과정'!$C$32)+'계산 과정'!$D$39*(E1123-'계산 과정'!$D$32)-'계산 과정'!$E$39*'계산 과정'!$E$32)/J1123,"")</x:f>
        <x:v>-1.0616308218565431</x:v>
      </x:c>
      <x:c r="M1123" s="17" t="n">
        <x:f>IF('계산 과정'!$L$6,IF(J1123&lt;=0,0,IF(AND(ABS(K1123)&lt;='계산 과정'!$D$11/2,ABS(L1123)&lt;='계산 과정'!$D$12/2),1,0)),"")</x:f>
        <x:v>1</x:v>
      </x:c>
      <x:c r="N1123" s="17" t="n">
        <x:f>IF('계산 과정'!$C$78,IF(AND(ISNUMBER(H1123),ISNUMBER(I1123),ABS(H1123-'계산 과정'!$C$88)&lt;='계산 과정'!$D$23/2,ABS(I1123-'계산 과정'!$C$89)&lt;='계산 과정'!$D$24/2),1,0),"")</x:f>
        <x:v>1</x:v>
      </x:c>
      <x:c r="O1123" s="4" t="n">
        <x:f>IF('계산 과정'!$L$7,'계산 과정'!$C$49*('계산 과정'!$C$32-D1123)+'계산 과정'!$D$49*('계산 과정'!$D$32-E1123)+'계산 과정'!$E$49*'계산 과정'!$E$32,"")</x:f>
        <x:v>-43.61667292292691</x:v>
      </x:c>
      <x:c r="P1123" s="4" t="n">
        <x:f>IF(AND('계산 과정'!$L$7,O1123&lt;&gt;0),('계산 과정'!$L$23-'계산 과정'!$C$49*D1123-'계산 과정'!$D$49*E1123)/O1123,"")</x:f>
        <x:v>-8.17080495128141</x:v>
      </x:c>
      <x:c r="Q1123" s="4" t="str">
        <x:f>IF(AND(ISNUMBER(P1123),P1123&gt;1E-9,P1123&lt;1-1E-9),'계산 과정'!$C$47*(D1123-'계산 과정'!$C$50+P1123*('계산 과정'!$C$32-D1123))+'계산 과정'!$D$47*(E1123-'계산 과정'!$D$50+P1123*('계산 과정'!$D$32-E1123))+'계산 과정'!$E$47*(0-'계산 과정'!$E$50+P1123*('계산 과정'!$E$32-0)),"")</x:f>
      </x:c>
      <x:c r="R1123" s="4" t="str">
        <x:f>IF(AND(ISNUMBER(P1123),P1123&gt;1E-9,P1123&lt;1-1E-9),'계산 과정'!$C$48*(D1123-'계산 과정'!$C$50+P1123*('계산 과정'!$C$32-D1123))+'계산 과정'!$D$48*(E1123-'계산 과정'!$D$50+P1123*('계산 과정'!$D$32-E1123))+'계산 과정'!$E$48*(0-'계산 과정'!$E$50+P1123*('계산 과정'!$E$32-0)),"")</x:f>
      </x:c>
      <x:c r="S1123" s="17" t="n">
        <x:f>IF('계산 과정'!$C$78,IF(AND(ISNUMBER(Q1123),ISNUMBER(R1123),ABS(Q1123-'계산 과정'!$C$88)&lt;='계산 과정'!$D$23/2,ABS(R1123-'계산 과정'!$C$89)&lt;='계산 과정'!$D$24/2),1,0),"")</x:f>
        <x:v>0</x:v>
      </x:c>
      <x:c r="T1123" s="4"/>
      <x:c r="U1123" s="4"/>
      <x:c r="V1123" s="4"/>
      <x:c r="W1123" s="4"/>
      <x:c r="X1123" s="4"/>
      <x:c r="Y1123" s="4"/>
      <x:c r="Z1123" s="4"/>
    </x:row>
    <x:row r="1124" ht="23" customHeight="1">
      <x:c r="A1124" s="17" t="n">
        <x:f>ROW()-6</x:f>
        <x:v>1118</x:v>
      </x:c>
      <x:c r="B1124" s="4" t="n">
        <x:f>IF('계산 과정'!$L$5,'계산 과정'!$L$11*SQRT((A1124+0.5)/'계산 과정'!$L$30),"")</x:f>
        <x:v>110.85218990986377</x:v>
      </x:c>
      <x:c r="C1124" s="4" t="n">
        <x:f>A1124*PI()*(3-SQRT(5))</x:f>
        <x:v>2683.158890836634</x:v>
      </x:c>
      <x:c r="D1124" s="4" t="n">
        <x:f>IF('계산 과정'!$L$5,B1124*COS(C1124),"")</x:f>
        <x:v>107.70741023208909</x:v>
      </x:c>
      <x:c r="E1124" s="4" t="n">
        <x:f>IF('계산 과정'!$L$5,B1124*SIN(C1124),"")</x:f>
        <x:v>26.21682263183267</x:v>
      </x:c>
      <x:c r="F1124" s="4" t="n">
        <x:f>IF('계산 과정'!$L$7,'계산 과정'!$L$22+'계산 과정'!$C$49*D1124+'계산 과정'!$D$49*E1124,"")</x:f>
        <x:v>573.8393598408485</x:v>
      </x:c>
      <x:c r="G1124" s="4" t="n">
        <x:f>IF('계산 과정'!$L$7,IF(ABS(F1124)&gt;=1E-12*MAX(1,SQRT((D1124-'계산 과정'!$C$33)^2+(E1124-'계산 과정'!$D$33)^2+'계산 과정'!$E$33^2)),('계산 과정'!$L$23-'계산 과정'!$C$49*D1124-'계산 과정'!$D$49*E1124)/F1124,""),"")</x:f>
        <x:v>0.8297803766740788</x:v>
      </x:c>
      <x:c r="H1124" s="4" t="n">
        <x:f>IF(AND(ISNUMBER(G1124),G1124&gt;0),('계산 과정'!$D$56+'계산 과정'!$D$57*D1124+'계산 과정'!$D$58*E1124)/F1124,"")</x:f>
        <x:v>139.35724483815116</x:v>
      </x:c>
      <x:c r="I1124" s="4" t="n">
        <x:f>IF(AND(ISNUMBER(G1124),G1124&gt;0),('계산 과정'!$E$56+'계산 과정'!$E$57*D1124+'계산 과정'!$E$58*E1124)/F1124,"")</x:f>
        <x:v>47.9710275904723</x:v>
      </x:c>
      <x:c r="J1124" s="4" t="n">
        <x:f>IF('계산 과정'!$L$5,'계산 과정'!$D$6+'계산 과정'!$C$35*D1124+'계산 과정'!$D$35*E1124,"")</x:f>
        <x:v>573.8393598408485</x:v>
      </x:c>
      <x:c r="K1124" s="4" t="n">
        <x:f>IF(AND('계산 과정'!$L$6,J1124&gt;0),'계산 과정'!$D$10*('계산 과정'!$C$38*(D1124-'계산 과정'!$C$32)+'계산 과정'!$D$38*(E1124-'계산 과정'!$D$32)-'계산 과정'!$E$38*'계산 과정'!$E$32)/J1124,"")</x:f>
        <x:v>1.0617694844811527</x:v>
      </x:c>
      <x:c r="L1124" s="4" t="n">
        <x:f>IF(AND('계산 과정'!$L$6,J1124&gt;0),'계산 과정'!$D$10*('계산 과정'!$C$39*(D1124-'계산 과정'!$C$32)+'계산 과정'!$D$39*(E1124-'계산 과정'!$D$32)-'계산 과정'!$E$39*'계산 과정'!$E$32)/J1124,"")</x:f>
        <x:v>0.3654935435464556</x:v>
      </x:c>
      <x:c r="M1124" s="17" t="n">
        <x:f>IF('계산 과정'!$L$6,IF(J1124&lt;=0,0,IF(AND(ABS(K1124)&lt;='계산 과정'!$D$11/2,ABS(L1124)&lt;='계산 과정'!$D$12/2),1,0)),"")</x:f>
        <x:v>1</x:v>
      </x:c>
      <x:c r="N1124" s="17" t="n">
        <x:f>IF('계산 과정'!$C$78,IF(AND(ISNUMBER(H1124),ISNUMBER(I1124),ABS(H1124-'계산 과정'!$C$88)&lt;='계산 과정'!$D$23/2,ABS(I1124-'계산 과정'!$C$89)&lt;='계산 과정'!$D$24/2),1,0),"")</x:f>
        <x:v>1</x:v>
      </x:c>
      <x:c r="O1124" s="4" t="n">
        <x:f>IF('계산 과정'!$L$7,'계산 과정'!$C$49*('계산 과정'!$C$32-D1124)+'계산 과정'!$D$49*('계산 과정'!$D$32-E1124)+'계산 과정'!$E$49*'계산 과정'!$E$32,"")</x:f>
        <x:v>76.16064015915165</x:v>
      </x:c>
      <x:c r="P1124" s="4" t="n">
        <x:f>IF(AND('계산 과정'!$L$7,O1124&lt;&gt;0),('계산 과정'!$L$23-'계산 과정'!$C$49*D1124-'계산 과정'!$D$49*E1124)/O1124,"")</x:f>
        <x:v>6.2520566944306974</x:v>
      </x:c>
      <x:c r="Q1124" s="4" t="str">
        <x:f>IF(AND(ISNUMBER(P1124),P1124&gt;1E-9,P1124&lt;1-1E-9),'계산 과정'!$C$47*(D1124-'계산 과정'!$C$50+P1124*('계산 과정'!$C$32-D1124))+'계산 과정'!$D$47*(E1124-'계산 과정'!$D$50+P1124*('계산 과정'!$D$32-E1124))+'계산 과정'!$E$47*(0-'계산 과정'!$E$50+P1124*('계산 과정'!$E$32-0)),"")</x:f>
      </x:c>
      <x:c r="R1124" s="4" t="str">
        <x:f>IF(AND(ISNUMBER(P1124),P1124&gt;1E-9,P1124&lt;1-1E-9),'계산 과정'!$C$48*(D1124-'계산 과정'!$C$50+P1124*('계산 과정'!$C$32-D1124))+'계산 과정'!$D$48*(E1124-'계산 과정'!$D$50+P1124*('계산 과정'!$D$32-E1124))+'계산 과정'!$E$48*(0-'계산 과정'!$E$50+P1124*('계산 과정'!$E$32-0)),"")</x:f>
      </x:c>
      <x:c r="S1124" s="17" t="n">
        <x:f>IF('계산 과정'!$C$78,IF(AND(ISNUMBER(Q1124),ISNUMBER(R1124),ABS(Q1124-'계산 과정'!$C$88)&lt;='계산 과정'!$D$23/2,ABS(R1124-'계산 과정'!$C$89)&lt;='계산 과정'!$D$24/2),1,0),"")</x:f>
        <x:v>0</x:v>
      </x:c>
      <x:c r="T1124" s="4"/>
      <x:c r="U1124" s="4"/>
      <x:c r="V1124" s="4"/>
      <x:c r="W1124" s="4"/>
      <x:c r="X1124" s="4"/>
      <x:c r="Y1124" s="4"/>
      <x:c r="Z1124" s="4"/>
    </x:row>
    <x:row r="1125" ht="23" customHeight="1">
      <x:c r="A1125" s="17" t="n">
        <x:f>ROW()-6</x:f>
        <x:v>1119</x:v>
      </x:c>
      <x:c r="B1125" s="4" t="n">
        <x:f>IF('계산 과정'!$L$5,'계산 과정'!$L$11*SQRT((A1125+0.5)/'계산 과정'!$L$30),"")</x:f>
        <x:v>110.90173279050919</x:v>
      </x:c>
      <x:c r="C1125" s="4" t="n">
        <x:f>A1125*PI()*(3-SQRT(5))</x:f>
        <x:v>2685.5588540663625</x:v>
      </x:c>
      <x:c r="D1125" s="4" t="n">
        <x:f>IF('계산 과정'!$L$5,B1125*COS(C1125),"")</x:f>
        <x:v>-97.17271122358024</x:v>
      </x:c>
      <x:c r="E1125" s="4" t="n">
        <x:f>IF('계산 과정'!$L$5,B1125*SIN(C1125),"")</x:f>
        <x:v>53.44771771924584</x:v>
      </x:c>
      <x:c r="F1125" s="4" t="n">
        <x:f>IF('계산 과정'!$L$7,'계산 과정'!$L$22+'계산 과정'!$C$49*D1125+'계산 과정'!$D$49*E1125,"")</x:f>
        <x:v>718.7114830524757</x:v>
      </x:c>
      <x:c r="G1125" s="4" t="n">
        <x:f>IF('계산 과정'!$L$7,IF(ABS(F1125)&gt;=1E-12*MAX(1,SQRT((D1125-'계산 과정'!$C$33)^2+(E1125-'계산 과정'!$D$33)^2+'계산 과정'!$E$33^2)),('계산 과정'!$L$23-'계산 과정'!$C$49*D1125-'계산 과정'!$D$49*E1125)/F1125,""),"")</x:f>
        <x:v>0.46094785565480617</x:v>
      </x:c>
      <x:c r="H1125" s="4" t="n">
        <x:f>IF(AND(ISNUMBER(G1125),G1125&gt;0),('계산 과정'!$D$56+'계산 과정'!$D$57*D1125+'계산 과정'!$D$58*E1125)/F1125,"")</x:f>
        <x:v>-100.38389382437609</x:v>
      </x:c>
      <x:c r="I1125" s="4" t="n">
        <x:f>IF(AND(ISNUMBER(G1125),G1125&gt;0),('계산 과정'!$E$56+'계산 과정'!$E$57*D1125+'계산 과정'!$E$58*E1125)/F1125,"")</x:f>
        <x:v>78.08432859157558</x:v>
      </x:c>
      <x:c r="J1125" s="4" t="n">
        <x:f>IF('계산 과정'!$L$5,'계산 과정'!$D$6+'계산 과정'!$C$35*D1125+'계산 과정'!$D$35*E1125,"")</x:f>
        <x:v>718.7114830524757</x:v>
      </x:c>
      <x:c r="K1125" s="4" t="n">
        <x:f>IF(AND('계산 과정'!$L$6,J1125&gt;0),'계산 과정'!$D$10*('계산 과정'!$C$38*(D1125-'계산 과정'!$C$32)+'계산 과정'!$D$38*(E1125-'계산 과정'!$D$32)-'계산 과정'!$E$38*'계산 과정'!$E$32)/J1125,"")</x:f>
        <x:v>-0.7648296672333408</x:v>
      </x:c>
      <x:c r="L1125" s="4" t="n">
        <x:f>IF(AND('계산 과정'!$L$6,J1125&gt;0),'계산 과정'!$D$10*('계산 과정'!$C$39*(D1125-'계산 과정'!$C$32)+'계산 과정'!$D$39*(E1125-'계산 과정'!$D$32)-'계산 과정'!$E$39*'계산 과정'!$E$32)/J1125,"")</x:f>
        <x:v>0.5949282178405759</x:v>
      </x:c>
      <x:c r="M1125" s="17" t="n">
        <x:f>IF('계산 과정'!$L$6,IF(J1125&lt;=0,0,IF(AND(ABS(K1125)&lt;='계산 과정'!$D$11/2,ABS(L1125)&lt;='계산 과정'!$D$12/2),1,0)),"")</x:f>
        <x:v>1</x:v>
      </x:c>
      <x:c r="N1125" s="17" t="n">
        <x:f>IF('계산 과정'!$C$78,IF(AND(ISNUMBER(H1125),ISNUMBER(I1125),ABS(H1125-'계산 과정'!$C$88)&lt;='계산 과정'!$D$23/2,ABS(I1125-'계산 과정'!$C$89)&lt;='계산 과정'!$D$24/2),1,0),"")</x:f>
        <x:v>1</x:v>
      </x:c>
      <x:c r="O1125" s="4" t="n">
        <x:f>IF('계산 과정'!$L$7,'계산 과정'!$C$49*('계산 과정'!$C$32-D1125)+'계산 과정'!$D$49*('계산 과정'!$D$32-E1125)+'계산 과정'!$E$49*'계산 과정'!$E$32,"")</x:f>
        <x:v>-68.71148305247561</x:v>
      </x:c>
      <x:c r="P1125" s="4" t="n">
        <x:f>IF(AND('계산 과정'!$L$7,O1125&lt;&gt;0),('계산 과정'!$L$23-'계산 과정'!$C$49*D1125-'계산 과정'!$D$49*E1125)/O1125,"")</x:f>
        <x:v>-4.821443261448979</x:v>
      </x:c>
      <x:c r="Q1125" s="4" t="str">
        <x:f>IF(AND(ISNUMBER(P1125),P1125&gt;1E-9,P1125&lt;1-1E-9),'계산 과정'!$C$47*(D1125-'계산 과정'!$C$50+P1125*('계산 과정'!$C$32-D1125))+'계산 과정'!$D$47*(E1125-'계산 과정'!$D$50+P1125*('계산 과정'!$D$32-E1125))+'계산 과정'!$E$47*(0-'계산 과정'!$E$50+P1125*('계산 과정'!$E$32-0)),"")</x:f>
      </x:c>
      <x:c r="R1125" s="4" t="str">
        <x:f>IF(AND(ISNUMBER(P1125),P1125&gt;1E-9,P1125&lt;1-1E-9),'계산 과정'!$C$48*(D1125-'계산 과정'!$C$50+P1125*('계산 과정'!$C$32-D1125))+'계산 과정'!$D$48*(E1125-'계산 과정'!$D$50+P1125*('계산 과정'!$D$32-E1125))+'계산 과정'!$E$48*(0-'계산 과정'!$E$50+P1125*('계산 과정'!$E$32-0)),"")</x:f>
      </x:c>
      <x:c r="S1125" s="17" t="n">
        <x:f>IF('계산 과정'!$C$78,IF(AND(ISNUMBER(Q1125),ISNUMBER(R1125),ABS(Q1125-'계산 과정'!$C$88)&lt;='계산 과정'!$D$23/2,ABS(R1125-'계산 과정'!$C$89)&lt;='계산 과정'!$D$24/2),1,0),"")</x:f>
        <x:v>0</x:v>
      </x:c>
      <x:c r="T1125" s="4"/>
      <x:c r="U1125" s="4"/>
      <x:c r="V1125" s="4"/>
      <x:c r="W1125" s="4"/>
      <x:c r="X1125" s="4"/>
      <x:c r="Y1125" s="4"/>
      <x:c r="Z1125" s="4"/>
    </x:row>
    <x:row r="1126" ht="23" customHeight="1">
      <x:c r="A1126" s="17" t="n">
        <x:f>ROW()-6</x:f>
        <x:v>1120</x:v>
      </x:c>
      <x:c r="B1126" s="4" t="n">
        <x:f>IF('계산 과정'!$L$5,'계산 과정'!$L$11*SQRT((A1126+0.5)/'계산 과정'!$L$30),"")</x:f>
        <x:v>110.95125354885586</x:v>
      </x:c>
      <x:c r="C1126" s="4" t="n">
        <x:f>A1126*PI()*(3-SQRT(5))</x:f>
        <x:v>2687.958817296091</x:v>
      </x:c>
      <x:c r="D1126" s="4" t="n">
        <x:f>IF('계산 과정'!$L$5,B1126*COS(C1126),"")</x:f>
        <x:v>35.56459199257382</x:v>
      </x:c>
      <x:c r="E1126" s="4" t="n">
        <x:f>IF('계산 과정'!$L$5,B1126*SIN(C1126),"")</x:f>
        <x:v>-105.0968147017989</x:v>
      </x:c>
      <x:c r="F1126" s="4" t="n">
        <x:f>IF('계산 과정'!$L$7,'계산 과정'!$L$22+'계산 과정'!$C$49*D1126+'계산 과정'!$D$49*E1126,"")</x:f>
        <x:v>624.8520358319182</x:v>
      </x:c>
      <x:c r="G1126" s="4" t="n">
        <x:f>IF('계산 과정'!$L$7,IF(ABS(F1126)&gt;=1E-12*MAX(1,SQRT((D1126-'계산 과정'!$C$33)^2+(E1126-'계산 과정'!$D$33)^2+'계산 과정'!$E$33^2)),('계산 과정'!$L$23-'계산 과정'!$C$49*D1126-'계산 과정'!$D$49*E1126)/F1126,""),"")</x:f>
        <x:v>0.6803978218652139</x:v>
      </x:c>
      <x:c r="H1126" s="4" t="n">
        <x:f>IF(AND(ISNUMBER(G1126),G1126&gt;0),('계산 과정'!$D$56+'계산 과정'!$D$57*D1126+'계산 과정'!$D$58*E1126)/F1126,"")</x:f>
        <x:v>42.25858421238889</x:v>
      </x:c>
      <x:c r="I1126" s="4" t="n">
        <x:f>IF(AND(ISNUMBER(G1126),G1126&gt;0),('계산 과정'!$E$56+'계산 과정'!$E$57*D1126+'계산 과정'!$E$58*E1126)/F1126,"")</x:f>
        <x:v>-176.60445850987486</x:v>
      </x:c>
      <x:c r="J1126" s="4" t="n">
        <x:f>IF('계산 과정'!$L$5,'계산 과정'!$D$6+'계산 과정'!$C$35*D1126+'계산 과정'!$D$35*E1126,"")</x:f>
        <x:v>624.8520358319182</x:v>
      </x:c>
      <x:c r="K1126" s="4" t="n">
        <x:f>IF(AND('계산 과정'!$L$6,J1126&gt;0),'계산 과정'!$D$10*('계산 과정'!$C$38*(D1126-'계산 과정'!$C$32)+'계산 과정'!$D$38*(E1126-'계산 과정'!$D$32)-'계산 과정'!$E$38*'계산 과정'!$E$32)/J1126,"")</x:f>
        <x:v>0.3219701654277256</x:v>
      </x:c>
      <x:c r="L1126" s="4" t="n">
        <x:f>IF(AND('계산 과정'!$L$6,J1126&gt;0),'계산 과정'!$D$10*('계산 과정'!$C$39*(D1126-'계산 과정'!$C$32)+'계산 과정'!$D$39*(E1126-'계산 과정'!$D$32)-'계산 과정'!$E$39*'계산 과정'!$E$32)/J1126,"")</x:f>
        <x:v>-1.3455577791228561</x:v>
      </x:c>
      <x:c r="M1126" s="17" t="n">
        <x:f>IF('계산 과정'!$L$6,IF(J1126&lt;=0,0,IF(AND(ABS(K1126)&lt;='계산 과정'!$D$11/2,ABS(L1126)&lt;='계산 과정'!$D$12/2),1,0)),"")</x:f>
        <x:v>1</x:v>
      </x:c>
      <x:c r="N1126" s="17" t="n">
        <x:f>IF('계산 과정'!$C$78,IF(AND(ISNUMBER(H1126),ISNUMBER(I1126),ABS(H1126-'계산 과정'!$C$88)&lt;='계산 과정'!$D$23/2,ABS(I1126-'계산 과정'!$C$89)&lt;='계산 과정'!$D$24/2),1,0),"")</x:f>
        <x:v>1</x:v>
      </x:c>
      <x:c r="O1126" s="4" t="n">
        <x:f>IF('계산 과정'!$L$7,'계산 과정'!$C$49*('계산 과정'!$C$32-D1126)+'계산 과정'!$D$49*('계산 과정'!$D$32-E1126)+'계산 과정'!$E$49*'계산 과정'!$E$32,"")</x:f>
        <x:v>25.14796416808184</x:v>
      </x:c>
      <x:c r="P1126" s="4" t="n">
        <x:f>IF(AND('계산 과정'!$L$7,O1126&lt;&gt;0),('계산 과정'!$L$23-'계산 과정'!$C$49*D1126-'계산 과정'!$D$49*E1126)/O1126,"")</x:f>
        <x:v>16.90586010567351</x:v>
      </x:c>
      <x:c r="Q1126" s="4" t="str">
        <x:f>IF(AND(ISNUMBER(P1126),P1126&gt;1E-9,P1126&lt;1-1E-9),'계산 과정'!$C$47*(D1126-'계산 과정'!$C$50+P1126*('계산 과정'!$C$32-D1126))+'계산 과정'!$D$47*(E1126-'계산 과정'!$D$50+P1126*('계산 과정'!$D$32-E1126))+'계산 과정'!$E$47*(0-'계산 과정'!$E$50+P1126*('계산 과정'!$E$32-0)),"")</x:f>
      </x:c>
      <x:c r="R1126" s="4" t="str">
        <x:f>IF(AND(ISNUMBER(P1126),P1126&gt;1E-9,P1126&lt;1-1E-9),'계산 과정'!$C$48*(D1126-'계산 과정'!$C$50+P1126*('계산 과정'!$C$32-D1126))+'계산 과정'!$D$48*(E1126-'계산 과정'!$D$50+P1126*('계산 과정'!$D$32-E1126))+'계산 과정'!$E$48*(0-'계산 과정'!$E$50+P1126*('계산 과정'!$E$32-0)),"")</x:f>
      </x:c>
      <x:c r="S1126" s="17" t="n">
        <x:f>IF('계산 과정'!$C$78,IF(AND(ISNUMBER(Q1126),ISNUMBER(R1126),ABS(Q1126-'계산 과정'!$C$88)&lt;='계산 과정'!$D$23/2,ABS(R1126-'계산 과정'!$C$89)&lt;='계산 과정'!$D$24/2),1,0),"")</x:f>
        <x:v>0</x:v>
      </x:c>
      <x:c r="T1126" s="4"/>
      <x:c r="U1126" s="4"/>
      <x:c r="V1126" s="4"/>
      <x:c r="W1126" s="4"/>
      <x:c r="X1126" s="4"/>
      <x:c r="Y1126" s="4"/>
      <x:c r="Z1126" s="4"/>
    </x:row>
    <x:row r="1127" ht="23" customHeight="1">
      <x:c r="A1127" s="17" t="n">
        <x:f>ROW()-6</x:f>
        <x:v>1121</x:v>
      </x:c>
      <x:c r="B1127" s="4" t="n">
        <x:f>IF('계산 과정'!$L$5,'계산 과정'!$L$11*SQRT((A1127+0.5)/'계산 과정'!$L$30),"")</x:f>
        <x:v>111.00075221451205</x:v>
      </x:c>
      <x:c r="C1127" s="4" t="n">
        <x:f>A1127*PI()*(3-SQRT(5))</x:f>
        <x:v>2690.35878052582</x:v>
      </x:c>
      <x:c r="D1127" s="4" t="n">
        <x:f>IF('계산 과정'!$L$5,B1127*COS(C1127),"")</x:f>
        <x:v>44.78762717901554</x:v>
      </x:c>
      <x:c r="E1127" s="4" t="n">
        <x:f>IF('계산 과정'!$L$5,B1127*SIN(C1127),"")</x:f>
        <x:v>101.56394755946133</x:v>
      </x:c>
      <x:c r="F1127" s="4" t="n">
        <x:f>IF('계산 과정'!$L$7,'계산 과정'!$L$22+'계산 과정'!$C$49*D1127+'계산 과정'!$D$49*E1127,"")</x:f>
        <x:v>618.3303651084632</x:v>
      </x:c>
      <x:c r="G1127" s="4" t="n">
        <x:f>IF('계산 과정'!$L$7,IF(ABS(F1127)&gt;=1E-12*MAX(1,SQRT((D1127-'계산 과정'!$C$33)^2+(E1127-'계산 과정'!$D$33)^2+'계산 과정'!$E$33^2)),('계산 과정'!$L$23-'계산 과정'!$C$49*D1127-'계산 과정'!$D$49*E1127)/F1127,""),"")</x:f>
        <x:v>0.6981213591472519</x:v>
      </x:c>
      <x:c r="H1127" s="4" t="n">
        <x:f>IF(AND(ISNUMBER(G1127),G1127&gt;0),('계산 과정'!$D$56+'계산 과정'!$D$57*D1127+'계산 과정'!$D$58*E1127)/F1127,"")</x:f>
        <x:v>53.77888344571361</x:v>
      </x:c>
      <x:c r="I1127" s="4" t="n">
        <x:f>IF(AND(ISNUMBER(G1127),G1127&gt;0),('계산 과정'!$E$56+'계산 과정'!$E$57*D1127+'계산 과정'!$E$58*E1127)/F1127,"")</x:f>
        <x:v>172.4679086700327</x:v>
      </x:c>
      <x:c r="J1127" s="4" t="n">
        <x:f>IF('계산 과정'!$L$5,'계산 과정'!$D$6+'계산 과정'!$C$35*D1127+'계산 과정'!$D$35*E1127,"")</x:f>
        <x:v>618.3303651084632</x:v>
      </x:c>
      <x:c r="K1127" s="4" t="n">
        <x:f>IF(AND('계산 과정'!$L$6,J1127&gt;0),'계산 과정'!$D$10*('계산 과정'!$C$38*(D1127-'계산 과정'!$C$32)+'계산 과정'!$D$38*(E1127-'계산 과정'!$D$32)-'계산 과정'!$E$38*'계산 과정'!$E$32)/J1127,"")</x:f>
        <x:v>0.4097438738721046</x:v>
      </x:c>
      <x:c r="L1127" s="4" t="n">
        <x:f>IF(AND('계산 과정'!$L$6,J1127&gt;0),'계산 과정'!$D$10*('계산 과정'!$C$39*(D1127-'계산 과정'!$C$32)+'계산 과정'!$D$39*(E1127-'계산 과정'!$D$32)-'계산 과정'!$E$39*'계산 과정'!$E$32)/J1127,"")</x:f>
        <x:v>1.3140412089145348</x:v>
      </x:c>
      <x:c r="M1127" s="17" t="n">
        <x:f>IF('계산 과정'!$L$6,IF(J1127&lt;=0,0,IF(AND(ABS(K1127)&lt;='계산 과정'!$D$11/2,ABS(L1127)&lt;='계산 과정'!$D$12/2),1,0)),"")</x:f>
        <x:v>1</x:v>
      </x:c>
      <x:c r="N1127" s="17" t="n">
        <x:f>IF('계산 과정'!$C$78,IF(AND(ISNUMBER(H1127),ISNUMBER(I1127),ABS(H1127-'계산 과정'!$C$88)&lt;='계산 과정'!$D$23/2,ABS(I1127-'계산 과정'!$C$89)&lt;='계산 과정'!$D$24/2),1,0),"")</x:f>
        <x:v>1</x:v>
      </x:c>
      <x:c r="O1127" s="4" t="n">
        <x:f>IF('계산 과정'!$L$7,'계산 과정'!$C$49*('계산 과정'!$C$32-D1127)+'계산 과정'!$D$49*('계산 과정'!$D$32-E1127)+'계산 과정'!$E$49*'계산 과정'!$E$32,"")</x:f>
        <x:v>31.66963489153693</x:v>
      </x:c>
      <x:c r="P1127" s="4" t="n">
        <x:f>IF(AND('계산 과정'!$L$7,O1127&lt;&gt;0),('계산 과정'!$L$23-'계산 과정'!$C$49*D1127-'계산 과정'!$D$49*E1127)/O1127,"")</x:f>
        <x:v>13.630395057282199</x:v>
      </x:c>
      <x:c r="Q1127" s="4" t="str">
        <x:f>IF(AND(ISNUMBER(P1127),P1127&gt;1E-9,P1127&lt;1-1E-9),'계산 과정'!$C$47*(D1127-'계산 과정'!$C$50+P1127*('계산 과정'!$C$32-D1127))+'계산 과정'!$D$47*(E1127-'계산 과정'!$D$50+P1127*('계산 과정'!$D$32-E1127))+'계산 과정'!$E$47*(0-'계산 과정'!$E$50+P1127*('계산 과정'!$E$32-0)),"")</x:f>
      </x:c>
      <x:c r="R1127" s="4" t="str">
        <x:f>IF(AND(ISNUMBER(P1127),P1127&gt;1E-9,P1127&lt;1-1E-9),'계산 과정'!$C$48*(D1127-'계산 과정'!$C$50+P1127*('계산 과정'!$C$32-D1127))+'계산 과정'!$D$48*(E1127-'계산 과정'!$D$50+P1127*('계산 과정'!$D$32-E1127))+'계산 과정'!$E$48*(0-'계산 과정'!$E$50+P1127*('계산 과정'!$E$32-0)),"")</x:f>
      </x:c>
      <x:c r="S1127" s="17" t="n">
        <x:f>IF('계산 과정'!$C$78,IF(AND(ISNUMBER(Q1127),ISNUMBER(R1127),ABS(Q1127-'계산 과정'!$C$88)&lt;='계산 과정'!$D$23/2,ABS(R1127-'계산 과정'!$C$89)&lt;='계산 과정'!$D$24/2),1,0),"")</x:f>
        <x:v>0</x:v>
      </x:c>
      <x:c r="T1127" s="4"/>
      <x:c r="U1127" s="4"/>
      <x:c r="V1127" s="4"/>
      <x:c r="W1127" s="4"/>
      <x:c r="X1127" s="4"/>
      <x:c r="Y1127" s="4"/>
      <x:c r="Z1127" s="4"/>
    </x:row>
    <x:row r="1128" ht="23" customHeight="1">
      <x:c r="A1128" s="17" t="n">
        <x:f>ROW()-6</x:f>
        <x:v>1122</x:v>
      </x:c>
      <x:c r="B1128" s="4" t="n">
        <x:f>IF('계산 과정'!$L$5,'계산 과정'!$L$11*SQRT((A1128+0.5)/'계산 과정'!$L$30),"")</x:f>
        <x:v>111.05022881702001</x:v>
      </x:c>
      <x:c r="C1128" s="4" t="n">
        <x:f>A1128*PI()*(3-SQRT(5))</x:f>
        <x:v>2692.7587437555485</x:v>
      </x:c>
      <x:c r="D1128" s="4" t="n">
        <x:f>IF('계산 과정'!$L$5,B1128*COS(C1128),"")</x:f>
        <x:v>-101.67576319165563</x:v>
      </x:c>
      <x:c r="E1128" s="4" t="n">
        <x:f>IF('계산 과정'!$L$5,B1128*SIN(C1128),"")</x:f>
        <x:v>-44.65638251926443</x:v>
      </x:c>
      <x:c r="F1128" s="4" t="n">
        <x:f>IF('계산 과정'!$L$7,'계산 과정'!$L$22+'계산 과정'!$C$49*D1128+'계산 과정'!$D$49*E1128,"")</x:f>
        <x:v>721.8956216351372</x:v>
      </x:c>
      <x:c r="G1128" s="4" t="n">
        <x:f>IF('계산 과정'!$L$7,IF(ABS(F1128)&gt;=1E-12*MAX(1,SQRT((D1128-'계산 과정'!$C$33)^2+(E1128-'계산 과정'!$D$33)^2+'계산 과정'!$E$33^2)),('계산 과정'!$L$23-'계산 과정'!$C$49*D1128-'계산 과정'!$D$49*E1128)/F1128,""),"")</x:f>
        <x:v>0.45450390407090496</x:v>
      </x:c>
      <x:c r="H1128" s="4" t="n">
        <x:f>IF(AND(ISNUMBER(G1128),G1128&gt;0),('계산 과정'!$D$56+'계산 과정'!$D$57*D1128+'계산 과정'!$D$58*E1128)/F1128,"")</x:f>
        <x:v>-104.57246235391189</x:v>
      </x:c>
      <x:c r="I1128" s="4" t="n">
        <x:f>IF(AND(ISNUMBER(G1128),G1128&gt;0),('계산 과정'!$E$56+'계산 과정'!$E$57*D1128+'계산 과정'!$E$58*E1128)/F1128,"")</x:f>
        <x:v>-64.95288271595383</x:v>
      </x:c>
      <x:c r="J1128" s="4" t="n">
        <x:f>IF('계산 과정'!$L$5,'계산 과정'!$D$6+'계산 과정'!$C$35*D1128+'계산 과정'!$D$35*E1128,"")</x:f>
        <x:v>721.8956216351372</x:v>
      </x:c>
      <x:c r="K1128" s="4" t="n">
        <x:f>IF(AND('계산 과정'!$L$6,J1128&gt;0),'계산 과정'!$D$10*('계산 과정'!$C$38*(D1128-'계산 과정'!$C$32)+'계산 과정'!$D$38*(E1128-'계산 과정'!$D$32)-'계산 과정'!$E$38*'계산 과정'!$E$32)/J1128,"")</x:f>
        <x:v>-0.7967425703155184</x:v>
      </x:c>
      <x:c r="L1128" s="4" t="n">
        <x:f>IF(AND('계산 과정'!$L$6,J1128&gt;0),'계산 과정'!$D$10*('계산 과정'!$C$39*(D1128-'계산 과정'!$C$32)+'계산 과정'!$D$39*(E1128-'계산 과정'!$D$32)-'계산 과정'!$E$39*'계산 과정'!$E$32)/J1128,"")</x:f>
        <x:v>-0.49487910640726734</x:v>
      </x:c>
      <x:c r="M1128" s="17" t="n">
        <x:f>IF('계산 과정'!$L$6,IF(J1128&lt;=0,0,IF(AND(ABS(K1128)&lt;='계산 과정'!$D$11/2,ABS(L1128)&lt;='계산 과정'!$D$12/2),1,0)),"")</x:f>
        <x:v>1</x:v>
      </x:c>
      <x:c r="N1128" s="17" t="n">
        <x:f>IF('계산 과정'!$C$78,IF(AND(ISNUMBER(H1128),ISNUMBER(I1128),ABS(H1128-'계산 과정'!$C$88)&lt;='계산 과정'!$D$23/2,ABS(I1128-'계산 과정'!$C$89)&lt;='계산 과정'!$D$24/2),1,0),"")</x:f>
        <x:v>1</x:v>
      </x:c>
      <x:c r="O1128" s="4" t="n">
        <x:f>IF('계산 과정'!$L$7,'계산 과정'!$C$49*('계산 과정'!$C$32-D1128)+'계산 과정'!$D$49*('계산 과정'!$D$32-E1128)+'계산 과정'!$E$49*'계산 과정'!$E$32,"")</x:f>
        <x:v>-71.89562163513716</x:v>
      </x:c>
      <x:c r="P1128" s="4" t="n">
        <x:f>IF(AND('계산 과정'!$L$7,O1128&lt;&gt;0),('계산 과정'!$L$23-'계산 과정'!$C$49*D1128-'계산 과정'!$D$49*E1128)/O1128,"")</x:f>
        <x:v>-4.5636211343989554</x:v>
      </x:c>
      <x:c r="Q1128" s="4" t="str">
        <x:f>IF(AND(ISNUMBER(P1128),P1128&gt;1E-9,P1128&lt;1-1E-9),'계산 과정'!$C$47*(D1128-'계산 과정'!$C$50+P1128*('계산 과정'!$C$32-D1128))+'계산 과정'!$D$47*(E1128-'계산 과정'!$D$50+P1128*('계산 과정'!$D$32-E1128))+'계산 과정'!$E$47*(0-'계산 과정'!$E$50+P1128*('계산 과정'!$E$32-0)),"")</x:f>
      </x:c>
      <x:c r="R1128" s="4" t="str">
        <x:f>IF(AND(ISNUMBER(P1128),P1128&gt;1E-9,P1128&lt;1-1E-9),'계산 과정'!$C$48*(D1128-'계산 과정'!$C$50+P1128*('계산 과정'!$C$32-D1128))+'계산 과정'!$D$48*(E1128-'계산 과정'!$D$50+P1128*('계산 과정'!$D$32-E1128))+'계산 과정'!$E$48*(0-'계산 과정'!$E$50+P1128*('계산 과정'!$E$32-0)),"")</x:f>
      </x:c>
      <x:c r="S1128" s="17" t="n">
        <x:f>IF('계산 과정'!$C$78,IF(AND(ISNUMBER(Q1128),ISNUMBER(R1128),ABS(Q1128-'계산 과정'!$C$88)&lt;='계산 과정'!$D$23/2,ABS(R1128-'계산 과정'!$C$89)&lt;='계산 과정'!$D$24/2),1,0),"")</x:f>
        <x:v>0</x:v>
      </x:c>
      <x:c r="T1128" s="4"/>
      <x:c r="U1128" s="4"/>
      <x:c r="V1128" s="4"/>
      <x:c r="W1128" s="4"/>
      <x:c r="X1128" s="4"/>
      <x:c r="Y1128" s="4"/>
      <x:c r="Z1128" s="4"/>
    </x:row>
    <x:row r="1129" ht="23" customHeight="1">
      <x:c r="A1129" s="17" t="n">
        <x:f>ROW()-6</x:f>
        <x:v>1123</x:v>
      </x:c>
      <x:c r="B1129" s="4" t="n">
        <x:f>IF('계산 과정'!$L$5,'계산 과정'!$L$11*SQRT((A1129+0.5)/'계산 과정'!$L$30),"")</x:f>
        <x:v>111.09968338585624</x:v>
      </x:c>
      <x:c r="C1129" s="4" t="n">
        <x:f>A1129*PI()*(3-SQRT(5))</x:f>
        <x:v>2695.158706985277</x:v>
      </x:c>
      <x:c r="D1129" s="4" t="n">
        <x:f>IF('계산 과정'!$L$5,B1129*COS(C1129),"")</x:f>
        <x:v>105.18431782231839</x:v>
      </x:c>
      <x:c r="E1129" s="4" t="n">
        <x:f>IF('계산 과정'!$L$5,B1129*SIN(C1129),"")</x:f>
        <x:v>-35.76868648260675</x:v>
      </x:c>
      <x:c r="F1129" s="4" t="n">
        <x:f>IF('계산 과정'!$L$7,'계산 과정'!$L$22+'계산 과정'!$C$49*D1129+'계산 과정'!$D$49*E1129,"")</x:f>
        <x:v>575.6234555933577</x:v>
      </x:c>
      <x:c r="G1129" s="4" t="n">
        <x:f>IF('계산 과정'!$L$7,IF(ABS(F1129)&gt;=1E-12*MAX(1,SQRT((D1129-'계산 과정'!$C$33)^2+(E1129-'계산 과정'!$D$33)^2+'계산 과정'!$E$33^2)),('계산 과정'!$L$23-'계산 과정'!$C$49*D1129-'계산 과정'!$D$49*E1129)/F1129,""),"")</x:f>
        <x:v>0.8241091286275867</x:v>
      </x:c>
      <x:c r="H1129" s="4" t="n">
        <x:f>IF(AND(ISNUMBER(G1129),G1129&gt;0),('계산 과정'!$D$56+'계산 과정'!$D$57*D1129+'계산 과정'!$D$58*E1129)/F1129,"")</x:f>
        <x:v>135.67093360793132</x:v>
      </x:c>
      <x:c r="I1129" s="4" t="n">
        <x:f>IF(AND(ISNUMBER(G1129),G1129&gt;0),('계산 과정'!$E$56+'계산 과정'!$E$57*D1129+'계산 과정'!$E$58*E1129)/F1129,"")</x:f>
        <x:v>-65.24598753194114</x:v>
      </x:c>
      <x:c r="J1129" s="4" t="n">
        <x:f>IF('계산 과정'!$L$5,'계산 과정'!$D$6+'계산 과정'!$C$35*D1129+'계산 과정'!$D$35*E1129,"")</x:f>
        <x:v>575.6234555933577</x:v>
      </x:c>
      <x:c r="K1129" s="4" t="n">
        <x:f>IF(AND('계산 과정'!$L$6,J1129&gt;0),'계산 과정'!$D$10*('계산 과정'!$C$38*(D1129-'계산 과정'!$C$32)+'계산 과정'!$D$38*(E1129-'계산 과정'!$D$32)-'계산 과정'!$E$38*'계산 과정'!$E$32)/J1129,"")</x:f>
        <x:v>1.0336833036794777</x:v>
      </x:c>
      <x:c r="L1129" s="4" t="n">
        <x:f>IF(AND('계산 과정'!$L$6,J1129&gt;0),'계산 과정'!$D$10*('계산 과정'!$C$39*(D1129-'계산 과정'!$C$32)+'계산 과정'!$D$39*(E1129-'계산 과정'!$D$32)-'계산 과정'!$E$39*'계산 과정'!$E$32)/J1129,"")</x:f>
        <x:v>-0.4971122859576468</x:v>
      </x:c>
      <x:c r="M1129" s="17" t="n">
        <x:f>IF('계산 과정'!$L$6,IF(J1129&lt;=0,0,IF(AND(ABS(K1129)&lt;='계산 과정'!$D$11/2,ABS(L1129)&lt;='계산 과정'!$D$12/2),1,0)),"")</x:f>
        <x:v>1</x:v>
      </x:c>
      <x:c r="N1129" s="17" t="n">
        <x:f>IF('계산 과정'!$C$78,IF(AND(ISNUMBER(H1129),ISNUMBER(I1129),ABS(H1129-'계산 과정'!$C$88)&lt;='계산 과정'!$D$23/2,ABS(I1129-'계산 과정'!$C$89)&lt;='계산 과정'!$D$24/2),1,0),"")</x:f>
        <x:v>1</x:v>
      </x:c>
      <x:c r="O1129" s="4" t="n">
        <x:f>IF('계산 과정'!$L$7,'계산 과정'!$C$49*('계산 과정'!$C$32-D1129)+'계산 과정'!$D$49*('계산 과정'!$D$32-E1129)+'계산 과정'!$E$49*'계산 과정'!$E$32,"")</x:f>
        <x:v>74.37654440664247</x:v>
      </x:c>
      <x:c r="P1129" s="4" t="n">
        <x:f>IF(AND('계산 과정'!$L$7,O1129&lt;&gt;0),('계산 과정'!$L$23-'계산 과정'!$C$49*D1129-'계산 과정'!$D$49*E1129)/O1129,"")</x:f>
        <x:v>6.378039584805938</x:v>
      </x:c>
      <x:c r="Q1129" s="4" t="str">
        <x:f>IF(AND(ISNUMBER(P1129),P1129&gt;1E-9,P1129&lt;1-1E-9),'계산 과정'!$C$47*(D1129-'계산 과정'!$C$50+P1129*('계산 과정'!$C$32-D1129))+'계산 과정'!$D$47*(E1129-'계산 과정'!$D$50+P1129*('계산 과정'!$D$32-E1129))+'계산 과정'!$E$47*(0-'계산 과정'!$E$50+P1129*('계산 과정'!$E$32-0)),"")</x:f>
      </x:c>
      <x:c r="R1129" s="4" t="str">
        <x:f>IF(AND(ISNUMBER(P1129),P1129&gt;1E-9,P1129&lt;1-1E-9),'계산 과정'!$C$48*(D1129-'계산 과정'!$C$50+P1129*('계산 과정'!$C$32-D1129))+'계산 과정'!$D$48*(E1129-'계산 과정'!$D$50+P1129*('계산 과정'!$D$32-E1129))+'계산 과정'!$E$48*(0-'계산 과정'!$E$50+P1129*('계산 과정'!$E$32-0)),"")</x:f>
      </x:c>
      <x:c r="S1129" s="17" t="n">
        <x:f>IF('계산 과정'!$C$78,IF(AND(ISNUMBER(Q1129),ISNUMBER(R1129),ABS(Q1129-'계산 과정'!$C$88)&lt;='계산 과정'!$D$23/2,ABS(R1129-'계산 과정'!$C$89)&lt;='계산 과정'!$D$24/2),1,0),"")</x:f>
        <x:v>0</x:v>
      </x:c>
      <x:c r="T1129" s="4"/>
      <x:c r="U1129" s="4"/>
      <x:c r="V1129" s="4"/>
      <x:c r="W1129" s="4"/>
      <x:c r="X1129" s="4"/>
      <x:c r="Y1129" s="4"/>
      <x:c r="Z1129" s="4"/>
    </x:row>
    <x:row r="1130" ht="23" customHeight="1">
      <x:c r="A1130" s="17" t="n">
        <x:f>ROW()-6</x:f>
        <x:v>1124</x:v>
      </x:c>
      <x:c r="B1130" s="4" t="n">
        <x:f>IF('계산 과정'!$L$5,'계산 과정'!$L$11*SQRT((A1130+0.5)/'계산 과정'!$L$30),"")</x:f>
        <x:v>111.14911595043165</x:v>
      </x:c>
      <x:c r="C1130" s="4" t="n">
        <x:f>A1130*PI()*(3-SQRT(5))</x:f>
        <x:v>2697.558670215006</x:v>
      </x:c>
      <x:c r="D1130" s="4" t="n">
        <x:f>IF('계산 과정'!$L$5,B1130*COS(C1130),"")</x:f>
        <x:v>-53.42200081854284</x:v>
      </x:c>
      <x:c r="E1130" s="4" t="n">
        <x:f>IF('계산 과정'!$L$5,B1130*SIN(C1130),"")</x:f>
        <x:v>97.46905049863832</x:v>
      </x:c>
      <x:c r="F1130" s="4" t="n">
        <x:f>IF('계산 과정'!$L$7,'계산 과정'!$L$22+'계산 과정'!$C$49*D1130+'계산 과정'!$D$49*E1130,"")</x:f>
        <x:v>687.775059043345</x:v>
      </x:c>
      <x:c r="G1130" s="4" t="n">
        <x:f>IF('계산 과정'!$L$7,IF(ABS(F1130)&gt;=1E-12*MAX(1,SQRT((D1130-'계산 과정'!$C$33)^2+(E1130-'계산 과정'!$D$33)^2+'계산 과정'!$E$33^2)),('계산 과정'!$L$23-'계산 과정'!$C$49*D1130-'계산 과정'!$D$49*E1130)/F1130,""),"")</x:f>
        <x:v>0.5266619313885689</x:v>
      </x:c>
      <x:c r="H1130" s="4" t="n">
        <x:f>IF(AND(ISNUMBER(G1130),G1130&gt;0),('계산 과정'!$D$56+'계산 과정'!$D$57*D1130+'계산 과정'!$D$58*E1130)/F1130,"")</x:f>
        <x:v>-57.66974459743032</x:v>
      </x:c>
      <x:c r="I1130" s="4" t="n">
        <x:f>IF(AND(ISNUMBER(G1130),G1130&gt;0),('계산 과정'!$E$56+'계산 과정'!$E$57*D1130+'계산 과정'!$E$58*E1130)/F1130,"")</x:f>
        <x:v>148.80228888486113</x:v>
      </x:c>
      <x:c r="J1130" s="4" t="n">
        <x:f>IF('계산 과정'!$L$5,'계산 과정'!$D$6+'계산 과정'!$C$35*D1130+'계산 과정'!$D$35*E1130,"")</x:f>
        <x:v>687.775059043345</x:v>
      </x:c>
      <x:c r="K1130" s="4" t="n">
        <x:f>IF(AND('계산 과정'!$L$6,J1130&gt;0),'계산 과정'!$D$10*('계산 과정'!$C$38*(D1130-'계산 과정'!$C$32)+'계산 과정'!$D$38*(E1130-'계산 과정'!$D$32)-'계산 과정'!$E$38*'계산 과정'!$E$32)/J1130,"")</x:f>
        <x:v>-0.4393885302661347</x:v>
      </x:c>
      <x:c r="L1130" s="4" t="n">
        <x:f>IF(AND('계산 과정'!$L$6,J1130&gt;0),'계산 과정'!$D$10*('계산 과정'!$C$39*(D1130-'계산 과정'!$C$32)+'계산 과정'!$D$39*(E1130-'계산 과정'!$D$32)-'계산 과정'!$E$39*'계산 과정'!$E$32)/J1130,"")</x:f>
        <x:v>1.133731724837037</x:v>
      </x:c>
      <x:c r="M1130" s="17" t="n">
        <x:f>IF('계산 과정'!$L$6,IF(J1130&lt;=0,0,IF(AND(ABS(K1130)&lt;='계산 과정'!$D$11/2,ABS(L1130)&lt;='계산 과정'!$D$12/2),1,0)),"")</x:f>
        <x:v>1</x:v>
      </x:c>
      <x:c r="N1130" s="17" t="n">
        <x:f>IF('계산 과정'!$C$78,IF(AND(ISNUMBER(H1130),ISNUMBER(I1130),ABS(H1130-'계산 과정'!$C$88)&lt;='계산 과정'!$D$23/2,ABS(I1130-'계산 과정'!$C$89)&lt;='계산 과정'!$D$24/2),1,0),"")</x:f>
        <x:v>1</x:v>
      </x:c>
      <x:c r="O1130" s="4" t="n">
        <x:f>IF('계산 과정'!$L$7,'계산 과정'!$C$49*('계산 과정'!$C$32-D1130)+'계산 과정'!$D$49*('계산 과정'!$D$32-E1130)+'계산 과정'!$E$49*'계산 과정'!$E$32,"")</x:f>
        <x:v>-37.77505904334481</x:v>
      </x:c>
      <x:c r="P1130" s="4" t="n">
        <x:f>IF(AND('계산 과정'!$L$7,O1130&lt;&gt;0),('계산 과정'!$L$23-'계산 과정'!$C$49*D1130-'계산 과정'!$D$49*E1130)/O1130,"")</x:f>
        <x:v>-9.588997347192013</x:v>
      </x:c>
      <x:c r="Q1130" s="4" t="str">
        <x:f>IF(AND(ISNUMBER(P1130),P1130&gt;1E-9,P1130&lt;1-1E-9),'계산 과정'!$C$47*(D1130-'계산 과정'!$C$50+P1130*('계산 과정'!$C$32-D1130))+'계산 과정'!$D$47*(E1130-'계산 과정'!$D$50+P1130*('계산 과정'!$D$32-E1130))+'계산 과정'!$E$47*(0-'계산 과정'!$E$50+P1130*('계산 과정'!$E$32-0)),"")</x:f>
      </x:c>
      <x:c r="R1130" s="4" t="str">
        <x:f>IF(AND(ISNUMBER(P1130),P1130&gt;1E-9,P1130&lt;1-1E-9),'계산 과정'!$C$48*(D1130-'계산 과정'!$C$50+P1130*('계산 과정'!$C$32-D1130))+'계산 과정'!$D$48*(E1130-'계산 과정'!$D$50+P1130*('계산 과정'!$D$32-E1130))+'계산 과정'!$E$48*(0-'계산 과정'!$E$50+P1130*('계산 과정'!$E$32-0)),"")</x:f>
      </x:c>
      <x:c r="S1130" s="17" t="n">
        <x:f>IF('계산 과정'!$C$78,IF(AND(ISNUMBER(Q1130),ISNUMBER(R1130),ABS(Q1130-'계산 과정'!$C$88)&lt;='계산 과정'!$D$23/2,ABS(R1130-'계산 과정'!$C$89)&lt;='계산 과정'!$D$24/2),1,0),"")</x:f>
        <x:v>0</x:v>
      </x:c>
      <x:c r="T1130" s="4"/>
      <x:c r="U1130" s="4"/>
      <x:c r="V1130" s="4"/>
      <x:c r="W1130" s="4"/>
      <x:c r="X1130" s="4"/>
      <x:c r="Y1130" s="4"/>
      <x:c r="Z1130" s="4"/>
    </x:row>
    <x:row r="1131" ht="23" customHeight="1">
      <x:c r="A1131" s="17" t="n">
        <x:f>ROW()-6</x:f>
        <x:v>1125</x:v>
      </x:c>
      <x:c r="B1131" s="4" t="n">
        <x:f>IF('계산 과정'!$L$5,'계산 과정'!$L$11*SQRT((A1131+0.5)/'계산 과정'!$L$30),"")</x:f>
        <x:v>111.19852654009179</x:v>
      </x:c>
      <x:c r="C1131" s="4" t="n">
        <x:f>A1131*PI()*(3-SQRT(5))</x:f>
        <x:v>2699.9586334447345</x:v>
      </x:c>
      <x:c r="D1131" s="4" t="n">
        <x:f>IF('계산 과정'!$L$5,B1131*COS(C1131),"")</x:f>
        <x:v>-26.45943393074559</x:v>
      </x:c>
      <x:c r="E1131" s="4" t="n">
        <x:f>IF('계산 과정'!$L$5,B1131*SIN(C1131),"")</x:f>
        <x:v>-108.00467888361136</x:v>
      </x:c>
      <x:c r="F1131" s="4" t="n">
        <x:f>IF('계산 과정'!$L$7,'계산 과정'!$L$22+'계산 과정'!$C$49*D1131+'계산 과정'!$D$49*E1131,"")</x:f>
        <x:v>668.7096451587877</x:v>
      </x:c>
      <x:c r="G1131" s="4" t="n">
        <x:f>IF('계산 과정'!$L$7,IF(ABS(F1131)&gt;=1E-12*MAX(1,SQRT((D1131-'계산 과정'!$C$33)^2+(E1131-'계산 과정'!$D$33)^2+'계산 과정'!$E$33^2)),('계산 과정'!$L$23-'계산 과정'!$C$49*D1131-'계산 과정'!$D$49*E1131)/F1131,""),"")</x:f>
        <x:v>0.5701882088909807</x:v>
      </x:c>
      <x:c r="H1131" s="4" t="n">
        <x:f>IF(AND(ISNUMBER(G1131),G1131&gt;0),('계산 과정'!$D$56+'계산 과정'!$D$57*D1131+'계산 과정'!$D$58*E1131)/F1131,"")</x:f>
        <x:v>-29.377664220862677</x:v>
      </x:c>
      <x:c r="I1131" s="4" t="n">
        <x:f>IF(AND(ISNUMBER(G1131),G1131&gt;0),('계산 과정'!$E$56+'계산 과정'!$E$57*D1131+'계산 과정'!$E$58*E1131)/F1131,"")</x:f>
        <x:v>-169.58767328810325</x:v>
      </x:c>
      <x:c r="J1131" s="4" t="n">
        <x:f>IF('계산 과정'!$L$5,'계산 과정'!$D$6+'계산 과정'!$C$35*D1131+'계산 과정'!$D$35*E1131,"")</x:f>
        <x:v>668.7096451587877</x:v>
      </x:c>
      <x:c r="K1131" s="4" t="n">
        <x:f>IF(AND('계산 과정'!$L$6,J1131&gt;0),'계산 과정'!$D$10*('계산 과정'!$C$38*(D1131-'계산 과정'!$C$32)+'계산 과정'!$D$38*(E1131-'계산 과정'!$D$32)-'계산 과정'!$E$38*'계산 과정'!$E$32)/J1131,"")</x:f>
        <x:v>-0.2238298226351432</x:v>
      </x:c>
      <x:c r="L1131" s="4" t="n">
        <x:f>IF(AND('계산 과정'!$L$6,J1131&gt;0),'계산 과정'!$D$10*('계산 과정'!$C$39*(D1131-'계산 과정'!$C$32)+'계산 과정'!$D$39*(E1131-'계산 과정'!$D$32)-'계산 과정'!$E$39*'계산 과정'!$E$32)/J1131,"")</x:f>
        <x:v>-1.2920965583855484</x:v>
      </x:c>
      <x:c r="M1131" s="17" t="n">
        <x:f>IF('계산 과정'!$L$6,IF(J1131&lt;=0,0,IF(AND(ABS(K1131)&lt;='계산 과정'!$D$11/2,ABS(L1131)&lt;='계산 과정'!$D$12/2),1,0)),"")</x:f>
        <x:v>1</x:v>
      </x:c>
      <x:c r="N1131" s="17" t="n">
        <x:f>IF('계산 과정'!$C$78,IF(AND(ISNUMBER(H1131),ISNUMBER(I1131),ABS(H1131-'계산 과정'!$C$88)&lt;='계산 과정'!$D$23/2,ABS(I1131-'계산 과정'!$C$89)&lt;='계산 과정'!$D$24/2),1,0),"")</x:f>
        <x:v>1</x:v>
      </x:c>
      <x:c r="O1131" s="4" t="n">
        <x:f>IF('계산 과정'!$L$7,'계산 과정'!$C$49*('계산 과정'!$C$32-D1131)+'계산 과정'!$D$49*('계산 과정'!$D$32-E1131)+'계산 과정'!$E$49*'계산 과정'!$E$32,"")</x:f>
        <x:v>-18.70964515878751</x:v>
      </x:c>
      <x:c r="P1131" s="4" t="n">
        <x:f>IF(AND('계산 과정'!$L$7,O1131&lt;&gt;0),('계산 과정'!$L$23-'계산 과정'!$C$49*D1131-'계산 과정'!$D$49*E1131)/O1131,"")</x:f>
        <x:v>-20.379347208630982</x:v>
      </x:c>
      <x:c r="Q1131" s="4" t="str">
        <x:f>IF(AND(ISNUMBER(P1131),P1131&gt;1E-9,P1131&lt;1-1E-9),'계산 과정'!$C$47*(D1131-'계산 과정'!$C$50+P1131*('계산 과정'!$C$32-D1131))+'계산 과정'!$D$47*(E1131-'계산 과정'!$D$50+P1131*('계산 과정'!$D$32-E1131))+'계산 과정'!$E$47*(0-'계산 과정'!$E$50+P1131*('계산 과정'!$E$32-0)),"")</x:f>
      </x:c>
      <x:c r="R1131" s="4" t="str">
        <x:f>IF(AND(ISNUMBER(P1131),P1131&gt;1E-9,P1131&lt;1-1E-9),'계산 과정'!$C$48*(D1131-'계산 과정'!$C$50+P1131*('계산 과정'!$C$32-D1131))+'계산 과정'!$D$48*(E1131-'계산 과정'!$D$50+P1131*('계산 과정'!$D$32-E1131))+'계산 과정'!$E$48*(0-'계산 과정'!$E$50+P1131*('계산 과정'!$E$32-0)),"")</x:f>
      </x:c>
      <x:c r="S1131" s="17" t="n">
        <x:f>IF('계산 과정'!$C$78,IF(AND(ISNUMBER(Q1131),ISNUMBER(R1131),ABS(Q1131-'계산 과정'!$C$88)&lt;='계산 과정'!$D$23/2,ABS(R1131-'계산 과정'!$C$89)&lt;='계산 과정'!$D$24/2),1,0),"")</x:f>
        <x:v>0</x:v>
      </x:c>
      <x:c r="T1131" s="4"/>
      <x:c r="U1131" s="4"/>
      <x:c r="V1131" s="4"/>
      <x:c r="W1131" s="4"/>
      <x:c r="X1131" s="4"/>
      <x:c r="Y1131" s="4"/>
      <x:c r="Z1131" s="4"/>
    </x:row>
    <x:row r="1132" ht="23" customHeight="1">
      <x:c r="A1132" s="17" t="n">
        <x:f>ROW()-6</x:f>
        <x:v>1126</x:v>
      </x:c>
      <x:c r="B1132" s="4" t="n">
        <x:f>IF('계산 과정'!$L$5,'계산 과정'!$L$11*SQRT((A1132+0.5)/'계산 과정'!$L$30),"")</x:f>
        <x:v>111.24791518411705</x:v>
      </x:c>
      <x:c r="C1132" s="4" t="n">
        <x:f>A1132*PI()*(3-SQRT(5))</x:f>
        <x:v>2702.358596674463</x:v>
      </x:c>
      <x:c r="D1132" s="4" t="n">
        <x:f>IF('계산 과정'!$L$5,B1132*COS(C1132),"")</x:f>
        <x:v>92.50754426692022</x:v>
      </x:c>
      <x:c r="E1132" s="4" t="n">
        <x:f>IF('계산 과정'!$L$5,B1132*SIN(C1132),"")</x:f>
        <x:v>61.793631439787504</x:v>
      </x:c>
      <x:c r="F1132" s="4" t="n">
        <x:f>IF('계산 과정'!$L$7,'계산 과정'!$L$22+'계산 과정'!$C$49*D1132+'계산 과정'!$D$49*E1132,"")</x:f>
        <x:v>584.587288137946</x:v>
      </x:c>
      <x:c r="G1132" s="4" t="n">
        <x:f>IF('계산 과정'!$L$7,IF(ABS(F1132)&gt;=1E-12*MAX(1,SQRT((D1132-'계산 과정'!$C$33)^2+(E1132-'계산 과정'!$D$33)^2+'계산 과정'!$E$33^2)),('계산 과정'!$L$23-'계산 과정'!$C$49*D1132-'계산 과정'!$D$49*E1132)/F1132,""),"")</x:f>
        <x:v>0.7961389535932397</x:v>
      </x:c>
      <x:c r="H1132" s="4" t="n">
        <x:f>IF(AND(ISNUMBER(G1132),G1132&gt;0),('계산 과정'!$D$56+'계산 과정'!$D$57*D1132+'계산 과정'!$D$58*E1132)/F1132,"")</x:f>
        <x:v>117.4903198356057</x:v>
      </x:c>
      <x:c r="I1132" s="4" t="n">
        <x:f>IF(AND(ISNUMBER(G1132),G1132&gt;0),('계산 과정'!$E$56+'계산 과정'!$E$57*D1132+'계산 과정'!$E$58*E1132)/F1132,"")</x:f>
        <x:v>110.98994851298626</x:v>
      </x:c>
      <x:c r="J1132" s="4" t="n">
        <x:f>IF('계산 과정'!$L$5,'계산 과정'!$D$6+'계산 과정'!$C$35*D1132+'계산 과정'!$D$35*E1132,"")</x:f>
        <x:v>584.587288137946</x:v>
      </x:c>
      <x:c r="K1132" s="4" t="n">
        <x:f>IF(AND('계산 과정'!$L$6,J1132&gt;0),'계산 과정'!$D$10*('계산 과정'!$C$38*(D1132-'계산 과정'!$C$32)+'계산 과정'!$D$38*(E1132-'계산 과정'!$D$32)-'계산 과정'!$E$38*'계산 과정'!$E$32)/J1132,"")</x:f>
        <x:v>0.895164341604616</x:v>
      </x:c>
      <x:c r="L1132" s="4" t="n">
        <x:f>IF(AND('계산 과정'!$L$6,J1132&gt;0),'계산 과정'!$D$10*('계산 과정'!$C$39*(D1132-'계산 과정'!$C$32)+'계산 과정'!$D$39*(E1132-'계산 과정'!$D$32)-'계산 과정'!$E$39*'계산 과정'!$E$32)/J1132,"")</x:f>
        <x:v>0.8456377029560858</x:v>
      </x:c>
      <x:c r="M1132" s="17" t="n">
        <x:f>IF('계산 과정'!$L$6,IF(J1132&lt;=0,0,IF(AND(ABS(K1132)&lt;='계산 과정'!$D$11/2,ABS(L1132)&lt;='계산 과정'!$D$12/2),1,0)),"")</x:f>
        <x:v>1</x:v>
      </x:c>
      <x:c r="N1132" s="17" t="n">
        <x:f>IF('계산 과정'!$C$78,IF(AND(ISNUMBER(H1132),ISNUMBER(I1132),ABS(H1132-'계산 과정'!$C$88)&lt;='계산 과정'!$D$23/2,ABS(I1132-'계산 과정'!$C$89)&lt;='계산 과정'!$D$24/2),1,0),"")</x:f>
        <x:v>1</x:v>
      </x:c>
      <x:c r="O1132" s="4" t="n">
        <x:f>IF('계산 과정'!$L$7,'계산 과정'!$C$49*('계산 과정'!$C$32-D1132)+'계산 과정'!$D$49*('계산 과정'!$D$32-E1132)+'계산 과정'!$E$49*'계산 과정'!$E$32,"")</x:f>
        <x:v>65.4127118620541</x:v>
      </x:c>
      <x:c r="P1132" s="4" t="n">
        <x:f>IF(AND('계산 과정'!$L$7,O1132&lt;&gt;0),('계산 과정'!$L$23-'계산 과정'!$C$49*D1132-'계산 과정'!$D$49*E1132)/O1132,"")</x:f>
        <x:v>7.115019368766453</x:v>
      </x:c>
      <x:c r="Q1132" s="4" t="str">
        <x:f>IF(AND(ISNUMBER(P1132),P1132&gt;1E-9,P1132&lt;1-1E-9),'계산 과정'!$C$47*(D1132-'계산 과정'!$C$50+P1132*('계산 과정'!$C$32-D1132))+'계산 과정'!$D$47*(E1132-'계산 과정'!$D$50+P1132*('계산 과정'!$D$32-E1132))+'계산 과정'!$E$47*(0-'계산 과정'!$E$50+P1132*('계산 과정'!$E$32-0)),"")</x:f>
      </x:c>
      <x:c r="R1132" s="4" t="str">
        <x:f>IF(AND(ISNUMBER(P1132),P1132&gt;1E-9,P1132&lt;1-1E-9),'계산 과정'!$C$48*(D1132-'계산 과정'!$C$50+P1132*('계산 과정'!$C$32-D1132))+'계산 과정'!$D$48*(E1132-'계산 과정'!$D$50+P1132*('계산 과정'!$D$32-E1132))+'계산 과정'!$E$48*(0-'계산 과정'!$E$50+P1132*('계산 과정'!$E$32-0)),"")</x:f>
      </x:c>
      <x:c r="S1132" s="17" t="n">
        <x:f>IF('계산 과정'!$C$78,IF(AND(ISNUMBER(Q1132),ISNUMBER(R1132),ABS(Q1132-'계산 과정'!$C$88)&lt;='계산 과정'!$D$23/2,ABS(R1132-'계산 과정'!$C$89)&lt;='계산 과정'!$D$24/2),1,0),"")</x:f>
        <x:v>0</x:v>
      </x:c>
      <x:c r="T1132" s="4"/>
      <x:c r="U1132" s="4"/>
      <x:c r="V1132" s="4"/>
      <x:c r="W1132" s="4"/>
      <x:c r="X1132" s="4"/>
      <x:c r="Y1132" s="4"/>
      <x:c r="Z1132" s="4"/>
    </x:row>
    <x:row r="1133" ht="23" customHeight="1">
      <x:c r="A1133" s="17" t="n">
        <x:f>ROW()-6</x:f>
        <x:v>1127</x:v>
      </x:c>
      <x:c r="B1133" s="4" t="n">
        <x:f>IF('계산 과정'!$L$5,'계산 과정'!$L$11*SQRT((A1133+0.5)/'계산 과정'!$L$30),"")</x:f>
        <x:v>111.2972819117228</x:v>
      </x:c>
      <x:c r="C1133" s="4" t="n">
        <x:f>A1133*PI()*(3-SQRT(5))</x:f>
        <x:v>2704.7585599041918</x:v>
      </x:c>
      <x:c r="D1133" s="4" t="n">
        <x:f>IF('계산 과정'!$L$5,B1133*COS(C1133),"")</x:f>
        <x:v>-110.0019745991544</x:v>
      </x:c>
      <x:c r="E1133" s="4" t="n">
        <x:f>IF('계산 과정'!$L$5,B1133*SIN(C1133),"")</x:f>
        <x:v>16.930757373032417</x:v>
      </x:c>
      <x:c r="F1133" s="4" t="n">
        <x:f>IF('계산 과정'!$L$7,'계산 과정'!$L$22+'계산 과정'!$C$49*D1133+'계산 과정'!$D$49*E1133,"")</x:f>
        <x:v>727.7831421829724</x:v>
      </x:c>
      <x:c r="G1133" s="4" t="n">
        <x:f>IF('계산 과정'!$L$7,IF(ABS(F1133)&gt;=1E-12*MAX(1,SQRT((D1133-'계산 과정'!$C$33)^2+(E1133-'계산 과정'!$D$33)^2+'계산 과정'!$E$33^2)),('계산 과정'!$L$23-'계산 과정'!$C$49*D1133-'계산 과정'!$D$49*E1133)/F1133,""),"")</x:f>
        <x:v>0.4427374572740775</x:v>
      </x:c>
      <x:c r="H1133" s="4" t="n">
        <x:f>IF(AND(ISNUMBER(G1133),G1133&gt;0),('계산 과정'!$D$56+'계산 과정'!$D$57*D1133+'계산 과정'!$D$58*E1133)/F1133,"")</x:f>
        <x:v>-112.22065277184981</x:v>
      </x:c>
      <x:c r="I1133" s="4" t="n">
        <x:f>IF(AND(ISNUMBER(G1133),G1133&gt;0),('계산 과정'!$E$56+'계산 과정'!$E$57*D1133+'계산 과정'!$E$58*E1133)/F1133,"")</x:f>
        <x:v>24.42663784209313</x:v>
      </x:c>
      <x:c r="J1133" s="4" t="n">
        <x:f>IF('계산 과정'!$L$5,'계산 과정'!$D$6+'계산 과정'!$C$35*D1133+'계산 과정'!$D$35*E1133,"")</x:f>
        <x:v>727.7831421829724</x:v>
      </x:c>
      <x:c r="K1133" s="4" t="n">
        <x:f>IF(AND('계산 과정'!$L$6,J1133&gt;0),'계산 과정'!$D$10*('계산 과정'!$C$38*(D1133-'계산 과정'!$C$32)+'계산 과정'!$D$38*(E1133-'계산 과정'!$D$32)-'계산 과정'!$E$38*'계산 과정'!$E$32)/J1133,"")</x:f>
        <x:v>-0.8550144973093309</x:v>
      </x:c>
      <x:c r="L1133" s="4" t="n">
        <x:f>IF(AND('계산 과정'!$L$6,J1133&gt;0),'계산 과정'!$D$10*('계산 과정'!$C$39*(D1133-'계산 과정'!$C$32)+'계산 과정'!$D$39*(E1133-'계산 과정'!$D$32)-'계산 과정'!$E$39*'계산 과정'!$E$32)/J1133,"")</x:f>
        <x:v>0.18610771689213815</x:v>
      </x:c>
      <x:c r="M1133" s="17" t="n">
        <x:f>IF('계산 과정'!$L$6,IF(J1133&lt;=0,0,IF(AND(ABS(K1133)&lt;='계산 과정'!$D$11/2,ABS(L1133)&lt;='계산 과정'!$D$12/2),1,0)),"")</x:f>
        <x:v>1</x:v>
      </x:c>
      <x:c r="N1133" s="17" t="n">
        <x:f>IF('계산 과정'!$C$78,IF(AND(ISNUMBER(H1133),ISNUMBER(I1133),ABS(H1133-'계산 과정'!$C$88)&lt;='계산 과정'!$D$23/2,ABS(I1133-'계산 과정'!$C$89)&lt;='계산 과정'!$D$24/2),1,0),"")</x:f>
        <x:v>1</x:v>
      </x:c>
      <x:c r="O1133" s="4" t="n">
        <x:f>IF('계산 과정'!$L$7,'계산 과정'!$C$49*('계산 과정'!$C$32-D1133)+'계산 과정'!$D$49*('계산 과정'!$D$32-E1133)+'계산 과정'!$E$49*'계산 과정'!$E$32,"")</x:f>
        <x:v>-77.78314218297231</x:v>
      </x:c>
      <x:c r="P1133" s="4" t="n">
        <x:f>IF(AND('계산 과정'!$L$7,O1133&lt;&gt;0),('계산 과정'!$L$23-'계산 과정'!$C$49*D1133-'계산 과정'!$D$49*E1133)/O1133,"")</x:f>
        <x:v>-4.142502459711184</x:v>
      </x:c>
      <x:c r="Q1133" s="4" t="str">
        <x:f>IF(AND(ISNUMBER(P1133),P1133&gt;1E-9,P1133&lt;1-1E-9),'계산 과정'!$C$47*(D1133-'계산 과정'!$C$50+P1133*('계산 과정'!$C$32-D1133))+'계산 과정'!$D$47*(E1133-'계산 과정'!$D$50+P1133*('계산 과정'!$D$32-E1133))+'계산 과정'!$E$47*(0-'계산 과정'!$E$50+P1133*('계산 과정'!$E$32-0)),"")</x:f>
      </x:c>
      <x:c r="R1133" s="4" t="str">
        <x:f>IF(AND(ISNUMBER(P1133),P1133&gt;1E-9,P1133&lt;1-1E-9),'계산 과정'!$C$48*(D1133-'계산 과정'!$C$50+P1133*('계산 과정'!$C$32-D1133))+'계산 과정'!$D$48*(E1133-'계산 과정'!$D$50+P1133*('계산 과정'!$D$32-E1133))+'계산 과정'!$E$48*(0-'계산 과정'!$E$50+P1133*('계산 과정'!$E$32-0)),"")</x:f>
      </x:c>
      <x:c r="S1133" s="17" t="n">
        <x:f>IF('계산 과정'!$C$78,IF(AND(ISNUMBER(Q1133),ISNUMBER(R1133),ABS(Q1133-'계산 과정'!$C$88)&lt;='계산 과정'!$D$23/2,ABS(R1133-'계산 과정'!$C$89)&lt;='계산 과정'!$D$24/2),1,0),"")</x:f>
        <x:v>0</x:v>
      </x:c>
      <x:c r="T1133" s="4"/>
      <x:c r="U1133" s="4"/>
      <x:c r="V1133" s="4"/>
      <x:c r="W1133" s="4"/>
      <x:c r="X1133" s="4"/>
      <x:c r="Y1133" s="4"/>
      <x:c r="Z1133" s="4"/>
    </x:row>
    <x:row r="1134" ht="23" customHeight="1">
      <x:c r="A1134" s="17" t="n">
        <x:f>ROW()-6</x:f>
        <x:v>1128</x:v>
      </x:c>
      <x:c r="B1134" s="4" t="n">
        <x:f>IF('계산 과정'!$L$5,'계산 과정'!$L$11*SQRT((A1134+0.5)/'계산 과정'!$L$30),"")</x:f>
        <x:v>111.34662675205972</x:v>
      </x:c>
      <x:c r="C1134" s="4" t="n">
        <x:f>A1134*PI()*(3-SQRT(5))</x:f>
        <x:v>2707.1585231339204</x:v>
      </x:c>
      <x:c r="D1134" s="4" t="n">
        <x:f>IF('계산 과정'!$L$5,B1134*COS(C1134),"")</x:f>
        <x:v>69.70636168159054</x:v>
      </x:c>
      <x:c r="E1134" s="4" t="n">
        <x:f>IF('계산 과정'!$L$5,B1134*SIN(C1134),"")</x:f>
        <x:v>-86.82795880462575</x:v>
      </x:c>
      <x:c r="F1134" s="4" t="n">
        <x:f>IF('계산 과정'!$L$7,'계산 과정'!$L$22+'계산 과정'!$C$49*D1134+'계산 과정'!$D$49*E1134,"")</x:f>
        <x:v>600.7101589631052</x:v>
      </x:c>
      <x:c r="G1134" s="4" t="n">
        <x:f>IF('계산 과정'!$L$7,IF(ABS(F1134)&gt;=1E-12*MAX(1,SQRT((D1134-'계산 과정'!$C$33)^2+(E1134-'계산 과정'!$D$33)^2+'계산 과정'!$E$33^2)),('계산 과정'!$L$23-'계산 과정'!$C$49*D1134-'계산 과정'!$D$49*E1134)/F1134,""),"")</x:f>
        <x:v>0.7479311517095377</x:v>
      </x:c>
      <x:c r="H1134" s="4" t="n">
        <x:f>IF(AND(ISNUMBER(G1134),G1134&gt;0),('계산 과정'!$D$56+'계산 과정'!$D$57*D1134+'계산 과정'!$D$58*E1134)/F1134,"")</x:f>
        <x:v>86.15524861119944</x:v>
      </x:c>
      <x:c r="I1134" s="4" t="n">
        <x:f>IF(AND(ISNUMBER(G1134),G1134&gt;0),('계산 과정'!$E$56+'계산 과정'!$E$57*D1134+'계산 과정'!$E$58*E1134)/F1134,"")</x:f>
        <x:v>-151.7692940339578</x:v>
      </x:c>
      <x:c r="J1134" s="4" t="n">
        <x:f>IF('계산 과정'!$L$5,'계산 과정'!$D$6+'계산 과정'!$C$35*D1134+'계산 과정'!$D$35*E1134,"")</x:f>
        <x:v>600.7101589631052</x:v>
      </x:c>
      <x:c r="K1134" s="4" t="n">
        <x:f>IF(AND('계산 과정'!$L$6,J1134&gt;0),'계산 과정'!$D$10*('계산 과정'!$C$38*(D1134-'계산 과정'!$C$32)+'계산 과정'!$D$38*(E1134-'계산 과정'!$D$32)-'계산 과정'!$E$38*'계산 과정'!$E$32)/J1134,"")</x:f>
        <x:v>0.6564209417996152</x:v>
      </x:c>
      <x:c r="L1134" s="4" t="n">
        <x:f>IF(AND('계산 과정'!$L$6,J1134&gt;0),'계산 과정'!$D$10*('계산 과정'!$C$39*(D1134-'계산 과정'!$C$32)+'계산 과정'!$D$39*(E1134-'계산 과정'!$D$32)-'계산 과정'!$E$39*'계산 과정'!$E$32)/J1134,"")</x:f>
        <x:v>-1.1563374783539642</x:v>
      </x:c>
      <x:c r="M1134" s="17" t="n">
        <x:f>IF('계산 과정'!$L$6,IF(J1134&lt;=0,0,IF(AND(ABS(K1134)&lt;='계산 과정'!$D$11/2,ABS(L1134)&lt;='계산 과정'!$D$12/2),1,0)),"")</x:f>
        <x:v>1</x:v>
      </x:c>
      <x:c r="N1134" s="17" t="n">
        <x:f>IF('계산 과정'!$C$78,IF(AND(ISNUMBER(H1134),ISNUMBER(I1134),ABS(H1134-'계산 과정'!$C$88)&lt;='계산 과정'!$D$23/2,ABS(I1134-'계산 과정'!$C$89)&lt;='계산 과정'!$D$24/2),1,0),"")</x:f>
        <x:v>1</x:v>
      </x:c>
      <x:c r="O1134" s="4" t="n">
        <x:f>IF('계산 과정'!$L$7,'계산 과정'!$C$49*('계산 과정'!$C$32-D1134)+'계산 과정'!$D$49*('계산 과정'!$D$32-E1134)+'계산 과정'!$E$49*'계산 과정'!$E$32,"")</x:f>
        <x:v>49.28984103689487</x:v>
      </x:c>
      <x:c r="P1134" s="4" t="n">
        <x:f>IF(AND('계산 과정'!$L$7,O1134&lt;&gt;0),('계산 과정'!$L$23-'계산 과정'!$C$49*D1134-'계산 과정'!$D$49*E1134)/O1134,"")</x:f>
        <x:v>9.115262528450605</x:v>
      </x:c>
      <x:c r="Q1134" s="4" t="str">
        <x:f>IF(AND(ISNUMBER(P1134),P1134&gt;1E-9,P1134&lt;1-1E-9),'계산 과정'!$C$47*(D1134-'계산 과정'!$C$50+P1134*('계산 과정'!$C$32-D1134))+'계산 과정'!$D$47*(E1134-'계산 과정'!$D$50+P1134*('계산 과정'!$D$32-E1134))+'계산 과정'!$E$47*(0-'계산 과정'!$E$50+P1134*('계산 과정'!$E$32-0)),"")</x:f>
      </x:c>
      <x:c r="R1134" s="4" t="str">
        <x:f>IF(AND(ISNUMBER(P1134),P1134&gt;1E-9,P1134&lt;1-1E-9),'계산 과정'!$C$48*(D1134-'계산 과정'!$C$50+P1134*('계산 과정'!$C$32-D1134))+'계산 과정'!$D$48*(E1134-'계산 과정'!$D$50+P1134*('계산 과정'!$D$32-E1134))+'계산 과정'!$E$48*(0-'계산 과정'!$E$50+P1134*('계산 과정'!$E$32-0)),"")</x:f>
      </x:c>
      <x:c r="S1134" s="17" t="n">
        <x:f>IF('계산 과정'!$C$78,IF(AND(ISNUMBER(Q1134),ISNUMBER(R1134),ABS(Q1134-'계산 과정'!$C$88)&lt;='계산 과정'!$D$23/2,ABS(R1134-'계산 과정'!$C$89)&lt;='계산 과정'!$D$24/2),1,0),"")</x:f>
        <x:v>0</x:v>
      </x:c>
      <x:c r="T1134" s="4"/>
      <x:c r="U1134" s="4"/>
      <x:c r="V1134" s="4"/>
      <x:c r="W1134" s="4"/>
      <x:c r="X1134" s="4"/>
      <x:c r="Y1134" s="4"/>
      <x:c r="Z1134" s="4"/>
    </x:row>
    <x:row r="1135" ht="23" customHeight="1">
      <x:c r="A1135" s="17" t="n">
        <x:f>ROW()-6</x:f>
        <x:v>1129</x:v>
      </x:c>
      <x:c r="B1135" s="4" t="n">
        <x:f>IF('계산 과정'!$L$5,'계산 과정'!$L$11*SQRT((A1135+0.5)/'계산 과정'!$L$30),"")</x:f>
        <x:v>111.39594973421386</x:v>
      </x:c>
      <x:c r="C1135" s="4" t="n">
        <x:f>A1135*PI()*(3-SQRT(5))</x:f>
        <x:v>2709.558486363649</x:v>
      </x:c>
      <x:c r="D1135" s="4" t="n">
        <x:f>IF('계산 과정'!$L$5,B1135*COS(C1135),"")</x:f>
        <x:v>7.255354201030261</x:v>
      </x:c>
      <x:c r="E1135" s="4" t="n">
        <x:f>IF('계산 과정'!$L$5,B1135*SIN(C1135),"")</x:f>
        <x:v>111.1594235888487</x:v>
      </x:c>
      <x:c r="F1135" s="4" t="n">
        <x:f>IF('계산 과정'!$L$7,'계산 과정'!$L$22+'계산 과정'!$C$49*D1135+'계산 과정'!$D$49*E1135,"")</x:f>
        <x:v>644.8696898445412</x:v>
      </x:c>
      <x:c r="G1135" s="4" t="n">
        <x:f>IF('계산 과정'!$L$7,IF(ABS(F1135)&gt;=1E-12*MAX(1,SQRT((D1135-'계산 과정'!$C$33)^2+(E1135-'계산 과정'!$D$33)^2+'계산 과정'!$E$33^2)),('계산 과정'!$L$23-'계산 과정'!$C$49*D1135-'계산 과정'!$D$49*E1135)/F1135,""),"")</x:f>
        <x:v>0.6282359312826807</x:v>
      </x:c>
      <x:c r="H1135" s="4" t="n">
        <x:f>IF(AND(ISNUMBER(G1135),G1135&gt;0),('계산 과정'!$D$56+'계산 과정'!$D$57*D1135+'계산 과정'!$D$58*E1135)/F1135,"")</x:f>
        <x:v>8.353355333742348</x:v>
      </x:c>
      <x:c r="I1135" s="4" t="n">
        <x:f>IF(AND(ISNUMBER(G1135),G1135&gt;0),('계산 과정'!$E$56+'계산 과정'!$E$57*D1135+'계산 과정'!$E$58*E1135)/F1135,"")</x:f>
        <x:v>180.99376758803504</x:v>
      </x:c>
      <x:c r="J1135" s="4" t="n">
        <x:f>IF('계산 과정'!$L$5,'계산 과정'!$D$6+'계산 과정'!$C$35*D1135+'계산 과정'!$D$35*E1135,"")</x:f>
        <x:v>644.8696898445412</x:v>
      </x:c>
      <x:c r="K1135" s="4" t="n">
        <x:f>IF(AND('계산 과정'!$L$6,J1135&gt;0),'계산 과정'!$D$10*('계산 과정'!$C$38*(D1135-'계산 과정'!$C$32)+'계산 과정'!$D$38*(E1135-'계산 과정'!$D$32)-'계산 과정'!$E$38*'계산 과정'!$E$32)/J1135,"")</x:f>
        <x:v>0.06364461206660918</x:v>
      </x:c>
      <x:c r="L1135" s="4" t="n">
        <x:f>IF(AND('계산 과정'!$L$6,J1135&gt;0),'계산 과정'!$D$10*('계산 과정'!$C$39*(D1135-'계산 과정'!$C$32)+'계산 과정'!$D$39*(E1135-'계산 과정'!$D$32)-'계산 과정'!$E$39*'계산 과정'!$E$32)/J1135,"")</x:f>
        <x:v>1.3790001340040765</x:v>
      </x:c>
      <x:c r="M1135" s="17" t="n">
        <x:f>IF('계산 과정'!$L$6,IF(J1135&lt;=0,0,IF(AND(ABS(K1135)&lt;='계산 과정'!$D$11/2,ABS(L1135)&lt;='계산 과정'!$D$12/2),1,0)),"")</x:f>
        <x:v>1</x:v>
      </x:c>
      <x:c r="N1135" s="17" t="n">
        <x:f>IF('계산 과정'!$C$78,IF(AND(ISNUMBER(H1135),ISNUMBER(I1135),ABS(H1135-'계산 과정'!$C$88)&lt;='계산 과정'!$D$23/2,ABS(I1135-'계산 과정'!$C$89)&lt;='계산 과정'!$D$24/2),1,0),"")</x:f>
        <x:v>1</x:v>
      </x:c>
      <x:c r="O1135" s="4" t="n">
        <x:f>IF('계산 과정'!$L$7,'계산 과정'!$C$49*('계산 과정'!$C$32-D1135)+'계산 과정'!$D$49*('계산 과정'!$D$32-E1135)+'계산 과정'!$E$49*'계산 과정'!$E$32,"")</x:f>
        <x:v>5.130310155458915</x:v>
      </x:c>
      <x:c r="P1135" s="4" t="n">
        <x:f>IF(AND('계산 과정'!$L$7,O1135&lt;&gt;0),('계산 과정'!$L$23-'계산 과정'!$C$49*D1135-'계산 과정'!$D$49*E1135)/O1135,"")</x:f>
        <x:v>78.96799567261625</x:v>
      </x:c>
      <x:c r="Q1135" s="4" t="str">
        <x:f>IF(AND(ISNUMBER(P1135),P1135&gt;1E-9,P1135&lt;1-1E-9),'계산 과정'!$C$47*(D1135-'계산 과정'!$C$50+P1135*('계산 과정'!$C$32-D1135))+'계산 과정'!$D$47*(E1135-'계산 과정'!$D$50+P1135*('계산 과정'!$D$32-E1135))+'계산 과정'!$E$47*(0-'계산 과정'!$E$50+P1135*('계산 과정'!$E$32-0)),"")</x:f>
      </x:c>
      <x:c r="R1135" s="4" t="str">
        <x:f>IF(AND(ISNUMBER(P1135),P1135&gt;1E-9,P1135&lt;1-1E-9),'계산 과정'!$C$48*(D1135-'계산 과정'!$C$50+P1135*('계산 과정'!$C$32-D1135))+'계산 과정'!$D$48*(E1135-'계산 과정'!$D$50+P1135*('계산 과정'!$D$32-E1135))+'계산 과정'!$E$48*(0-'계산 과정'!$E$50+P1135*('계산 과정'!$E$32-0)),"")</x:f>
      </x:c>
      <x:c r="S1135" s="17" t="n">
        <x:f>IF('계산 과정'!$C$78,IF(AND(ISNUMBER(Q1135),ISNUMBER(R1135),ABS(Q1135-'계산 과정'!$C$88)&lt;='계산 과정'!$D$23/2,ABS(R1135-'계산 과정'!$C$89)&lt;='계산 과정'!$D$24/2),1,0),"")</x:f>
        <x:v>0</x:v>
      </x:c>
      <x:c r="T1135" s="4"/>
      <x:c r="U1135" s="4"/>
      <x:c r="V1135" s="4"/>
      <x:c r="W1135" s="4"/>
      <x:c r="X1135" s="4"/>
      <x:c r="Y1135" s="4"/>
      <x:c r="Z1135" s="4"/>
    </x:row>
    <x:row r="1136" ht="23" customHeight="1">
      <x:c r="A1136" s="17" t="n">
        <x:f>ROW()-6</x:f>
        <x:v>1130</x:v>
      </x:c>
      <x:c r="B1136" s="4" t="n">
        <x:f>IF('계산 과정'!$L$5,'계산 과정'!$L$11*SQRT((A1136+0.5)/'계산 과정'!$L$30),"")</x:f>
        <x:v>111.44525088720694</x:v>
      </x:c>
      <x:c r="C1136" s="4" t="n">
        <x:f>A1136*PI()*(3-SQRT(5))</x:f>
        <x:v>2711.9584495933777</x:v>
      </x:c>
      <x:c r="D1136" s="4" t="n">
        <x:f>IF('계산 과정'!$L$5,B1136*COS(C1136),"")</x:f>
        <x:v>-80.47258360087856</x:v>
      </x:c>
      <x:c r="E1136" s="4" t="n">
        <x:f>IF('계산 과정'!$L$5,B1136*SIN(C1136),"")</x:f>
        <x:v>-77.09868503361201</x:v>
      </x:c>
      <x:c r="F1136" s="4" t="n">
        <x:f>IF('계산 과정'!$L$7,'계산 과정'!$L$22+'계산 과정'!$C$49*D1136+'계산 과정'!$D$49*E1136,"")</x:f>
        <x:v>706.9027095637825</x:v>
      </x:c>
      <x:c r="G1136" s="4" t="n">
        <x:f>IF('계산 과정'!$L$7,IF(ABS(F1136)&gt;=1E-12*MAX(1,SQRT((D1136-'계산 과정'!$C$33)^2+(E1136-'계산 과정'!$D$33)^2+'계산 과정'!$E$33^2)),('계산 과정'!$L$23-'계산 과정'!$C$49*D1136-'계산 과정'!$D$49*E1136)/F1136,""),"")</x:f>
        <x:v>0.48535291461527547</x:v>
      </x:c>
      <x:c r="H1136" s="4" t="n">
        <x:f>IF(AND(ISNUMBER(G1136),G1136&gt;0),('계산 과정'!$D$56+'계산 과정'!$D$57*D1136+'계산 과정'!$D$58*E1136)/F1136,"")</x:f>
        <x:v>-84.52060550007111</x:v>
      </x:c>
      <x:c r="I1136" s="4" t="n">
        <x:f>IF(AND(ISNUMBER(G1136),G1136&gt;0),('계산 과정'!$E$56+'계산 과정'!$E$57*D1136+'계산 과정'!$E$58*E1136)/F1136,"")</x:f>
        <x:v>-114.51875652768074</x:v>
      </x:c>
      <x:c r="J1136" s="4" t="n">
        <x:f>IF('계산 과정'!$L$5,'계산 과정'!$D$6+'계산 과정'!$C$35*D1136+'계산 과정'!$D$35*E1136,"")</x:f>
        <x:v>706.9027095637825</x:v>
      </x:c>
      <x:c r="K1136" s="4" t="n">
        <x:f>IF(AND('계산 과정'!$L$6,J1136&gt;0),'계산 과정'!$D$10*('계산 과정'!$C$38*(D1136-'계산 과정'!$C$32)+'계산 과정'!$D$38*(E1136-'계산 과정'!$D$32)-'계산 과정'!$E$38*'계산 과정'!$E$32)/J1136,"")</x:f>
        <x:v>-0.643966518095779</x:v>
      </x:c>
      <x:c r="L1136" s="4" t="n">
        <x:f>IF(AND('계산 과정'!$L$6,J1136&gt;0),'계산 과정'!$D$10*('계산 과정'!$C$39*(D1136-'계산 과정'!$C$32)+'계산 과정'!$D$39*(E1136-'계산 과정'!$D$32)-'계산 과정'!$E$39*'계산 과정'!$E$32)/J1136,"")</x:f>
        <x:v>-0.8725238592585198</x:v>
      </x:c>
      <x:c r="M1136" s="17" t="n">
        <x:f>IF('계산 과정'!$L$6,IF(J1136&lt;=0,0,IF(AND(ABS(K1136)&lt;='계산 과정'!$D$11/2,ABS(L1136)&lt;='계산 과정'!$D$12/2),1,0)),"")</x:f>
        <x:v>1</x:v>
      </x:c>
      <x:c r="N1136" s="17" t="n">
        <x:f>IF('계산 과정'!$C$78,IF(AND(ISNUMBER(H1136),ISNUMBER(I1136),ABS(H1136-'계산 과정'!$C$88)&lt;='계산 과정'!$D$23/2,ABS(I1136-'계산 과정'!$C$89)&lt;='계산 과정'!$D$24/2),1,0),"")</x:f>
        <x:v>1</x:v>
      </x:c>
      <x:c r="O1136" s="4" t="n">
        <x:f>IF('계산 과정'!$L$7,'계산 과정'!$C$49*('계산 과정'!$C$32-D1136)+'계산 과정'!$D$49*('계산 과정'!$D$32-E1136)+'계산 과정'!$E$49*'계산 과정'!$E$32,"")</x:f>
        <x:v>-56.90270956378248</x:v>
      </x:c>
      <x:c r="P1136" s="4" t="n">
        <x:f>IF(AND('계산 과정'!$L$7,O1136&lt;&gt;0),('계산 과정'!$L$23-'계산 과정'!$C$49*D1136-'계산 과정'!$D$49*E1136)/O1136,"")</x:f>
        <x:v>-6.029542232108266</x:v>
      </x:c>
      <x:c r="Q1136" s="4" t="str">
        <x:f>IF(AND(ISNUMBER(P1136),P1136&gt;1E-9,P1136&lt;1-1E-9),'계산 과정'!$C$47*(D1136-'계산 과정'!$C$50+P1136*('계산 과정'!$C$32-D1136))+'계산 과정'!$D$47*(E1136-'계산 과정'!$D$50+P1136*('계산 과정'!$D$32-E1136))+'계산 과정'!$E$47*(0-'계산 과정'!$E$50+P1136*('계산 과정'!$E$32-0)),"")</x:f>
      </x:c>
      <x:c r="R1136" s="4" t="str">
        <x:f>IF(AND(ISNUMBER(P1136),P1136&gt;1E-9,P1136&lt;1-1E-9),'계산 과정'!$C$48*(D1136-'계산 과정'!$C$50+P1136*('계산 과정'!$C$32-D1136))+'계산 과정'!$D$48*(E1136-'계산 과정'!$D$50+P1136*('계산 과정'!$D$32-E1136))+'계산 과정'!$E$48*(0-'계산 과정'!$E$50+P1136*('계산 과정'!$E$32-0)),"")</x:f>
      </x:c>
      <x:c r="S1136" s="17" t="n">
        <x:f>IF('계산 과정'!$C$78,IF(AND(ISNUMBER(Q1136),ISNUMBER(R1136),ABS(Q1136-'계산 과정'!$C$88)&lt;='계산 과정'!$D$23/2,ABS(R1136-'계산 과정'!$C$89)&lt;='계산 과정'!$D$24/2),1,0),"")</x:f>
        <x:v>0</x:v>
      </x:c>
      <x:c r="T1136" s="4"/>
      <x:c r="U1136" s="4"/>
      <x:c r="V1136" s="4"/>
      <x:c r="W1136" s="4"/>
      <x:c r="X1136" s="4"/>
      <x:c r="Y1136" s="4"/>
      <x:c r="Z1136" s="4"/>
    </x:row>
    <x:row r="1137" ht="23" customHeight="1">
      <x:c r="A1137" s="17" t="n">
        <x:f>ROW()-6</x:f>
        <x:v>1131</x:v>
      </x:c>
      <x:c r="B1137" s="4" t="n">
        <x:f>IF('계산 과정'!$L$5,'계산 과정'!$L$11*SQRT((A1137+0.5)/'계산 과정'!$L$30),"")</x:f>
        <x:v>111.49453023999654</x:v>
      </x:c>
      <x:c r="C1137" s="4" t="n">
        <x:f>A1137*PI()*(3-SQRT(5))</x:f>
        <x:v>2714.3584128231064</x:v>
      </x:c>
      <x:c r="D1137" s="4" t="n">
        <x:f>IF('계산 과정'!$L$5,B1137*COS(C1137),"")</x:f>
        <x:v>111.46665916045454</x:v>
      </x:c>
      <x:c r="E1137" s="4" t="n">
        <x:f>IF('계산 과정'!$L$5,B1137*SIN(C1137),"")</x:f>
        <x:v>2.4928235085055226</x:v>
      </x:c>
      <x:c r="F1137" s="4" t="n">
        <x:f>IF('계산 과정'!$L$7,'계산 과정'!$L$22+'계산 과정'!$C$49*D1137+'계산 과정'!$D$49*E1137,"")</x:f>
        <x:v>571.181169431433</x:v>
      </x:c>
      <x:c r="G1137" s="4" t="n">
        <x:f>IF('계산 과정'!$L$7,IF(ABS(F1137)&gt;=1E-12*MAX(1,SQRT((D1137-'계산 과정'!$C$33)^2+(E1137-'계산 과정'!$D$33)^2+'계산 과정'!$E$33^2)),('계산 과정'!$L$23-'계산 과정'!$C$49*D1137-'계산 과정'!$D$49*E1137)/F1137,""),"")</x:f>
        <x:v>0.8382958966332774</x:v>
      </x:c>
      <x:c r="H1137" s="4" t="n">
        <x:f>IF(AND(ISNUMBER(G1137),G1137&gt;0),('계산 과정'!$D$56+'계산 과정'!$D$57*D1137+'계산 과정'!$D$58*E1137)/F1137,"")</x:f>
        <x:v>144.89233281163018</x:v>
      </x:c>
      <x:c r="I1137" s="4" t="n">
        <x:f>IF(AND(ISNUMBER(G1137),G1137&gt;0),('계산 과정'!$E$56+'계산 과정'!$E$57*D1137+'계산 과정'!$E$58*E1137)/F1137,"")</x:f>
        <x:v>4.582547226716672</x:v>
      </x:c>
      <x:c r="J1137" s="4" t="n">
        <x:f>IF('계산 과정'!$L$5,'계산 과정'!$D$6+'계산 과정'!$C$35*D1137+'계산 과정'!$D$35*E1137,"")</x:f>
        <x:v>571.181169431433</x:v>
      </x:c>
      <x:c r="K1137" s="4" t="n">
        <x:f>IF(AND('계산 과정'!$L$6,J1137&gt;0),'계산 과정'!$D$10*('계산 과정'!$C$38*(D1137-'계산 과정'!$C$32)+'계산 과정'!$D$38*(E1137-'계산 과정'!$D$32)-'계산 과정'!$E$38*'계산 과정'!$E$32)/J1137,"")</x:f>
        <x:v>1.1039415833267066</x:v>
      </x:c>
      <x:c r="L1137" s="4" t="n">
        <x:f>IF(AND('계산 과정'!$L$6,J1137&gt;0),'계산 과정'!$D$10*('계산 과정'!$C$39*(D1137-'계산 과정'!$C$32)+'계산 과정'!$D$39*(E1137-'계산 과정'!$D$32)-'계산 과정'!$E$39*'계산 과정'!$E$32)/J1137,"")</x:f>
        <x:v>0.03491464553688893</x:v>
      </x:c>
      <x:c r="M1137" s="17" t="n">
        <x:f>IF('계산 과정'!$L$6,IF(J1137&lt;=0,0,IF(AND(ABS(K1137)&lt;='계산 과정'!$D$11/2,ABS(L1137)&lt;='계산 과정'!$D$12/2),1,0)),"")</x:f>
        <x:v>1</x:v>
      </x:c>
      <x:c r="N1137" s="17" t="n">
        <x:f>IF('계산 과정'!$C$78,IF(AND(ISNUMBER(H1137),ISNUMBER(I1137),ABS(H1137-'계산 과정'!$C$88)&lt;='계산 과정'!$D$23/2,ABS(I1137-'계산 과정'!$C$89)&lt;='계산 과정'!$D$24/2),1,0),"")</x:f>
        <x:v>1</x:v>
      </x:c>
      <x:c r="O1137" s="4" t="n">
        <x:f>IF('계산 과정'!$L$7,'계산 과정'!$C$49*('계산 과정'!$C$32-D1137)+'계산 과정'!$D$49*('계산 과정'!$D$32-E1137)+'계산 과정'!$E$49*'계산 과정'!$E$32,"")</x:f>
        <x:v>78.81883056856711</x:v>
      </x:c>
      <x:c r="P1137" s="4" t="n">
        <x:f>IF(AND('계산 과정'!$L$7,O1137&lt;&gt;0),('계산 과정'!$L$23-'계산 과정'!$C$49*D1137-'계산 과정'!$D$49*E1137)/O1137,"")</x:f>
        <x:v>6.07492939332596</x:v>
      </x:c>
      <x:c r="Q1137" s="4" t="str">
        <x:f>IF(AND(ISNUMBER(P1137),P1137&gt;1E-9,P1137&lt;1-1E-9),'계산 과정'!$C$47*(D1137-'계산 과정'!$C$50+P1137*('계산 과정'!$C$32-D1137))+'계산 과정'!$D$47*(E1137-'계산 과정'!$D$50+P1137*('계산 과정'!$D$32-E1137))+'계산 과정'!$E$47*(0-'계산 과정'!$E$50+P1137*('계산 과정'!$E$32-0)),"")</x:f>
      </x:c>
      <x:c r="R1137" s="4" t="str">
        <x:f>IF(AND(ISNUMBER(P1137),P1137&gt;1E-9,P1137&lt;1-1E-9),'계산 과정'!$C$48*(D1137-'계산 과정'!$C$50+P1137*('계산 과정'!$C$32-D1137))+'계산 과정'!$D$48*(E1137-'계산 과정'!$D$50+P1137*('계산 과정'!$D$32-E1137))+'계산 과정'!$E$48*(0-'계산 과정'!$E$50+P1137*('계산 과정'!$E$32-0)),"")</x:f>
      </x:c>
      <x:c r="S1137" s="17" t="n">
        <x:f>IF('계산 과정'!$C$78,IF(AND(ISNUMBER(Q1137),ISNUMBER(R1137),ABS(Q1137-'계산 과정'!$C$88)&lt;='계산 과정'!$D$23/2,ABS(R1137-'계산 과정'!$C$89)&lt;='계산 과정'!$D$24/2),1,0),"")</x:f>
        <x:v>0</x:v>
      </x:c>
      <x:c r="T1137" s="4"/>
      <x:c r="U1137" s="4"/>
      <x:c r="V1137" s="4"/>
      <x:c r="W1137" s="4"/>
      <x:c r="X1137" s="4"/>
      <x:c r="Y1137" s="4"/>
      <x:c r="Z1137" s="4"/>
    </x:row>
    <x:row r="1138" ht="23" customHeight="1">
      <x:c r="A1138" s="17" t="n">
        <x:f>ROW()-6</x:f>
        <x:v>1132</x:v>
      </x:c>
      <x:c r="B1138" s="4" t="n">
        <x:f>IF('계산 과정'!$L$5,'계산 과정'!$L$11*SQRT((A1138+0.5)/'계산 과정'!$L$30),"")</x:f>
        <x:v>111.5437878214762</x:v>
      </x:c>
      <x:c r="C1138" s="4" t="n">
        <x:f>A1138*PI()*(3-SQRT(5))</x:f>
        <x:v>2716.758376052835</x:v>
      </x:c>
      <x:c r="D1138" s="4" t="n">
        <x:f>IF('계산 과정'!$L$5,B1138*COS(C1138),"")</x:f>
        <x:v>-83.91297934849396</x:v>
      </x:c>
      <x:c r="E1138" s="4" t="n">
        <x:f>IF('계산 과정'!$L$5,B1138*SIN(C1138),"")</x:f>
        <x:v>73.48896854917567</x:v>
      </x:c>
      <x:c r="F1138" s="4" t="n">
        <x:f>IF('계산 과정'!$L$7,'계산 과정'!$L$22+'계산 과정'!$C$49*D1138+'계산 과정'!$D$49*E1138,"")</x:f>
        <x:v>709.3354367268868</x:v>
      </x:c>
      <x:c r="G1138" s="4" t="n">
        <x:f>IF('계산 과정'!$L$7,IF(ABS(F1138)&gt;=1E-12*MAX(1,SQRT((D1138-'계산 과정'!$C$33)^2+(E1138-'계산 과정'!$D$33)^2+'계산 과정'!$E$33^2)),('계산 과정'!$L$23-'계산 과정'!$C$49*D1138-'계산 과정'!$D$49*E1138)/F1138,""),"")</x:f>
        <x:v>0.4802587684679262</x:v>
      </x:c>
      <x:c r="H1138" s="4" t="n">
        <x:f>IF(AND(ISNUMBER(G1138),G1138&gt;0),('계산 과정'!$D$56+'계산 과정'!$D$57*D1138+'계산 과정'!$D$58*E1138)/F1138,"")</x:f>
        <x:v>-87.83180049584814</x:v>
      </x:c>
      <x:c r="I1138" s="4" t="n">
        <x:f>IF(AND(ISNUMBER(G1138),G1138&gt;0),('계산 과정'!$E$56+'계산 과정'!$E$57*D1138+'계산 과정'!$E$58*E1138)/F1138,"")</x:f>
        <x:v>108.78269008058095</x:v>
      </x:c>
      <x:c r="J1138" s="4" t="n">
        <x:f>IF('계산 과정'!$L$5,'계산 과정'!$D$6+'계산 과정'!$C$35*D1138+'계산 과정'!$D$35*E1138,"")</x:f>
        <x:v>709.3354367268868</x:v>
      </x:c>
      <x:c r="K1138" s="4" t="n">
        <x:f>IF(AND('계산 과정'!$L$6,J1138&gt;0),'계산 과정'!$D$10*('계산 과정'!$C$38*(D1138-'계산 과정'!$C$32)+'계산 과정'!$D$38*(E1138-'계산 과정'!$D$32)-'계산 과정'!$E$38*'계산 과정'!$E$32)/J1138,"")</x:f>
        <x:v>-0.6691946704445566</x:v>
      </x:c>
      <x:c r="L1138" s="4" t="n">
        <x:f>IF(AND('계산 과정'!$L$6,J1138&gt;0),'계산 과정'!$D$10*('계산 과정'!$C$39*(D1138-'계산 과정'!$C$32)+'계산 과정'!$D$39*(E1138-'계산 과정'!$D$32)-'계산 과정'!$E$39*'계산 과정'!$E$32)/J1138,"")</x:f>
        <x:v>0.8288204958520452</x:v>
      </x:c>
      <x:c r="M1138" s="17" t="n">
        <x:f>IF('계산 과정'!$L$6,IF(J1138&lt;=0,0,IF(AND(ABS(K1138)&lt;='계산 과정'!$D$11/2,ABS(L1138)&lt;='계산 과정'!$D$12/2),1,0)),"")</x:f>
        <x:v>1</x:v>
      </x:c>
      <x:c r="N1138" s="17" t="n">
        <x:f>IF('계산 과정'!$C$78,IF(AND(ISNUMBER(H1138),ISNUMBER(I1138),ABS(H1138-'계산 과정'!$C$88)&lt;='계산 과정'!$D$23/2,ABS(I1138-'계산 과정'!$C$89)&lt;='계산 과정'!$D$24/2),1,0),"")</x:f>
        <x:v>1</x:v>
      </x:c>
      <x:c r="O1138" s="4" t="n">
        <x:f>IF('계산 과정'!$L$7,'계산 과정'!$C$49*('계산 과정'!$C$32-D1138)+'계산 과정'!$D$49*('계산 과정'!$D$32-E1138)+'계산 과정'!$E$49*'계산 과정'!$E$32,"")</x:f>
        <x:v>-59.33543672688671</x:v>
      </x:c>
      <x:c r="P1138" s="4" t="n">
        <x:f>IF(AND('계산 과정'!$L$7,O1138&lt;&gt;0),('계산 과정'!$L$23-'계산 과정'!$C$49*D1138-'계산 과정'!$D$49*E1138)/O1138,"")</x:f>
        <x:v>-5.7413340503609644</x:v>
      </x:c>
      <x:c r="Q1138" s="4" t="str">
        <x:f>IF(AND(ISNUMBER(P1138),P1138&gt;1E-9,P1138&lt;1-1E-9),'계산 과정'!$C$47*(D1138-'계산 과정'!$C$50+P1138*('계산 과정'!$C$32-D1138))+'계산 과정'!$D$47*(E1138-'계산 과정'!$D$50+P1138*('계산 과정'!$D$32-E1138))+'계산 과정'!$E$47*(0-'계산 과정'!$E$50+P1138*('계산 과정'!$E$32-0)),"")</x:f>
      </x:c>
      <x:c r="R1138" s="4" t="str">
        <x:f>IF(AND(ISNUMBER(P1138),P1138&gt;1E-9,P1138&lt;1-1E-9),'계산 과정'!$C$48*(D1138-'계산 과정'!$C$50+P1138*('계산 과정'!$C$32-D1138))+'계산 과정'!$D$48*(E1138-'계산 과정'!$D$50+P1138*('계산 과정'!$D$32-E1138))+'계산 과정'!$E$48*(0-'계산 과정'!$E$50+P1138*('계산 과정'!$E$32-0)),"")</x:f>
      </x:c>
      <x:c r="S1138" s="17" t="n">
        <x:f>IF('계산 과정'!$C$78,IF(AND(ISNUMBER(Q1138),ISNUMBER(R1138),ABS(Q1138-'계산 과정'!$C$88)&lt;='계산 과정'!$D$23/2,ABS(R1138-'계산 과정'!$C$89)&lt;='계산 과정'!$D$24/2),1,0),"")</x:f>
        <x:v>0</x:v>
      </x:c>
      <x:c r="T1138" s="4"/>
      <x:c r="U1138" s="4"/>
      <x:c r="V1138" s="4"/>
      <x:c r="W1138" s="4"/>
      <x:c r="X1138" s="4"/>
      <x:c r="Y1138" s="4"/>
      <x:c r="Z1138" s="4"/>
    </x:row>
    <x:row r="1139" ht="23" customHeight="1">
      <x:c r="A1139" s="17" t="n">
        <x:f>ROW()-6</x:f>
        <x:v>1133</x:v>
      </x:c>
      <x:c r="B1139" s="4" t="n">
        <x:f>IF('계산 과정'!$L$5,'계산 과정'!$L$11*SQRT((A1139+0.5)/'계산 과정'!$L$30),"")</x:f>
        <x:v>111.59302366047575</x:v>
      </x:c>
      <x:c r="C1139" s="4" t="n">
        <x:f>A1139*PI()*(3-SQRT(5))</x:f>
        <x:v>2719.1583392825637</x:v>
      </x:c>
      <x:c r="D1139" s="4" t="n">
        <x:f>IF('계산 과정'!$L$5,B1139*COS(C1139),"")</x:f>
        <x:v>12.239134463618415</x:v>
      </x:c>
      <x:c r="E1139" s="4" t="n">
        <x:f>IF('계산 과정'!$L$5,B1139*SIN(C1139),"")</x:f>
        <x:v>-110.91982021834046</x:v>
      </x:c>
      <x:c r="F1139" s="4" t="n">
        <x:f>IF('계산 과정'!$L$7,'계산 과정'!$L$22+'계산 과정'!$C$49*D1139+'계산 과정'!$D$49*E1139,"")</x:f>
        <x:v>641.3456250249214</x:v>
      </x:c>
      <x:c r="G1139" s="4" t="n">
        <x:f>IF('계산 과정'!$L$7,IF(ABS(F1139)&gt;=1E-12*MAX(1,SQRT((D1139-'계산 과정'!$C$33)^2+(E1139-'계산 과정'!$D$33)^2+'계산 과정'!$E$33^2)),('계산 과정'!$L$23-'계산 과정'!$C$49*D1139-'계산 과정'!$D$49*E1139)/F1139,""),"")</x:f>
        <x:v>0.6371827592325107</x:v>
      </x:c>
      <x:c r="H1139" s="4" t="n">
        <x:f>IF(AND(ISNUMBER(G1139),G1139&gt;0),('계산 과정'!$D$56+'계산 과정'!$D$57*D1139+'계산 과정'!$D$58*E1139)/F1139,"")</x:f>
        <x:v>14.168793501131793</x:v>
      </x:c>
      <x:c r="I1139" s="4" t="n">
        <x:f>IF(AND(ISNUMBER(G1139),G1139&gt;0),('계산 과정'!$E$56+'계산 과정'!$E$57*D1139+'계산 과정'!$E$58*E1139)/F1139,"")</x:f>
        <x:v>-181.59601731863665</x:v>
      </x:c>
      <x:c r="J1139" s="4" t="n">
        <x:f>IF('계산 과정'!$L$5,'계산 과정'!$D$6+'계산 과정'!$C$35*D1139+'계산 과정'!$D$35*E1139,"")</x:f>
        <x:v>641.3456250249214</x:v>
      </x:c>
      <x:c r="K1139" s="4" t="n">
        <x:f>IF(AND('계산 과정'!$L$6,J1139&gt;0),'계산 과정'!$D$10*('계산 과정'!$C$38*(D1139-'계산 과정'!$C$32)+'계산 과정'!$D$38*(E1139-'계산 과정'!$D$32)-'계산 과정'!$E$38*'계산 과정'!$E$32)/J1139,"")</x:f>
        <x:v>0.10795271238957635</x:v>
      </x:c>
      <x:c r="L1139" s="4" t="n">
        <x:f>IF(AND('계산 과정'!$L$6,J1139&gt;0),'계산 과정'!$D$10*('계산 과정'!$C$39*(D1139-'계산 과정'!$C$32)+'계산 과정'!$D$39*(E1139-'계산 과정'!$D$32)-'계산 과정'!$E$39*'계산 과정'!$E$32)/J1139,"")</x:f>
        <x:v>-1.3835887033800889</x:v>
      </x:c>
      <x:c r="M1139" s="17" t="n">
        <x:f>IF('계산 과정'!$L$6,IF(J1139&lt;=0,0,IF(AND(ABS(K1139)&lt;='계산 과정'!$D$11/2,ABS(L1139)&lt;='계산 과정'!$D$12/2),1,0)),"")</x:f>
        <x:v>1</x:v>
      </x:c>
      <x:c r="N1139" s="17" t="n">
        <x:f>IF('계산 과정'!$C$78,IF(AND(ISNUMBER(H1139),ISNUMBER(I1139),ABS(H1139-'계산 과정'!$C$88)&lt;='계산 과정'!$D$23/2,ABS(I1139-'계산 과정'!$C$89)&lt;='계산 과정'!$D$24/2),1,0),"")</x:f>
        <x:v>1</x:v>
      </x:c>
      <x:c r="O1139" s="4" t="n">
        <x:f>IF('계산 과정'!$L$7,'계산 과정'!$C$49*('계산 과정'!$C$32-D1139)+'계산 과정'!$D$49*('계산 과정'!$D$32-E1139)+'계산 과정'!$E$49*'계산 과정'!$E$32,"")</x:f>
        <x:v>8.654374975078667</x:v>
      </x:c>
      <x:c r="P1139" s="4" t="n">
        <x:f>IF(AND('계산 과정'!$L$7,O1139&lt;&gt;0),('계산 과정'!$L$23-'계산 과정'!$C$49*D1139-'계산 과정'!$D$49*E1139)/O1139,"")</x:f>
        <x:v>47.21939783656808</x:v>
      </x:c>
      <x:c r="Q1139" s="4" t="str">
        <x:f>IF(AND(ISNUMBER(P1139),P1139&gt;1E-9,P1139&lt;1-1E-9),'계산 과정'!$C$47*(D1139-'계산 과정'!$C$50+P1139*('계산 과정'!$C$32-D1139))+'계산 과정'!$D$47*(E1139-'계산 과정'!$D$50+P1139*('계산 과정'!$D$32-E1139))+'계산 과정'!$E$47*(0-'계산 과정'!$E$50+P1139*('계산 과정'!$E$32-0)),"")</x:f>
      </x:c>
      <x:c r="R1139" s="4" t="str">
        <x:f>IF(AND(ISNUMBER(P1139),P1139&gt;1E-9,P1139&lt;1-1E-9),'계산 과정'!$C$48*(D1139-'계산 과정'!$C$50+P1139*('계산 과정'!$C$32-D1139))+'계산 과정'!$D$48*(E1139-'계산 과정'!$D$50+P1139*('계산 과정'!$D$32-E1139))+'계산 과정'!$E$48*(0-'계산 과정'!$E$50+P1139*('계산 과정'!$E$32-0)),"")</x:f>
      </x:c>
      <x:c r="S1139" s="17" t="n">
        <x:f>IF('계산 과정'!$C$78,IF(AND(ISNUMBER(Q1139),ISNUMBER(R1139),ABS(Q1139-'계산 과정'!$C$88)&lt;='계산 과정'!$D$23/2,ABS(R1139-'계산 과정'!$C$89)&lt;='계산 과정'!$D$24/2),1,0),"")</x:f>
        <x:v>0</x:v>
      </x:c>
      <x:c r="T1139" s="4"/>
      <x:c r="U1139" s="4"/>
      <x:c r="V1139" s="4"/>
      <x:c r="W1139" s="4"/>
      <x:c r="X1139" s="4"/>
      <x:c r="Y1139" s="4"/>
      <x:c r="Z1139" s="4"/>
    </x:row>
    <x:row r="1140" ht="23" customHeight="1">
      <x:c r="A1140" s="17" t="n">
        <x:f>ROW()-6</x:f>
        <x:v>1134</x:v>
      </x:c>
      <x:c r="B1140" s="4" t="n">
        <x:f>IF('계산 과정'!$L$5,'계산 과정'!$L$11*SQRT((A1140+0.5)/'계산 과정'!$L$30),"")</x:f>
        <x:v>111.64223778576144</x:v>
      </x:c>
      <x:c r="C1140" s="4" t="n">
        <x:f>A1140*PI()*(3-SQRT(5))</x:f>
        <x:v>2721.5583025122924</x:v>
      </x:c>
      <x:c r="D1140" s="4" t="n">
        <x:f>IF('계산 과정'!$L$5,B1140*COS(C1140),"")</x:f>
        <x:v>65.92956821936785</x:v>
      </x:c>
      <x:c r="E1140" s="4" t="n">
        <x:f>IF('계산 과정'!$L$5,B1140*SIN(C1140),"")</x:f>
        <x:v>90.09595602589617</x:v>
      </x:c>
      <x:c r="F1140" s="4" t="n">
        <x:f>IF('계산 과정'!$L$7,'계산 과정'!$L$22+'계산 과정'!$C$49*D1140+'계산 과정'!$D$49*E1140,"")</x:f>
        <x:v>603.3807552313839</x:v>
      </x:c>
      <x:c r="G1140" s="4" t="n">
        <x:f>IF('계산 과정'!$L$7,IF(ABS(F1140)&gt;=1E-12*MAX(1,SQRT((D1140-'계산 과정'!$C$33)^2+(E1140-'계산 과정'!$D$33)^2+'계산 과정'!$E$33^2)),('계산 과정'!$L$23-'계산 과정'!$C$49*D1140-'계산 과정'!$D$49*E1140)/F1140,""),"")</x:f>
        <x:v>0.7401947127023416</x:v>
      </x:c>
      <x:c r="H1140" s="4" t="n">
        <x:f>IF(AND(ISNUMBER(G1140),G1140&gt;0),('계산 과정'!$D$56+'계산 과정'!$D$57*D1140+'계산 과정'!$D$58*E1140)/F1140,"")</x:f>
        <x:v>81.12656325652195</x:v>
      </x:c>
      <x:c r="I1140" s="4" t="n">
        <x:f>IF(AND(ISNUMBER(G1140),G1140&gt;0),('계산 과정'!$E$56+'계산 과정'!$E$57*D1140+'계산 과정'!$E$58*E1140)/F1140,"")</x:f>
        <x:v>156.7845063121272</x:v>
      </x:c>
      <x:c r="J1140" s="4" t="n">
        <x:f>IF('계산 과정'!$L$5,'계산 과정'!$D$6+'계산 과정'!$C$35*D1140+'계산 과정'!$D$35*E1140,"")</x:f>
        <x:v>603.3807552313839</x:v>
      </x:c>
      <x:c r="K1140" s="4" t="n">
        <x:f>IF(AND('계산 과정'!$L$6,J1140&gt;0),'계산 과정'!$D$10*('계산 과정'!$C$38*(D1140-'계산 과정'!$C$32)+'계산 과정'!$D$38*(E1140-'계산 과정'!$D$32)-'계산 과정'!$E$38*'계산 과정'!$E$32)/J1140,"")</x:f>
        <x:v>0.6181071486211205</x:v>
      </x:c>
      <x:c r="L1140" s="4" t="n">
        <x:f>IF(AND('계산 과정'!$L$6,J1140&gt;0),'계산 과정'!$D$10*('계산 과정'!$C$39*(D1140-'계산 과정'!$C$32)+'계산 과정'!$D$39*(E1140-'계산 과정'!$D$32)-'계산 과정'!$E$39*'계산 과정'!$E$32)/J1140,"")</x:f>
        <x:v>1.1945486195209691</x:v>
      </x:c>
      <x:c r="M1140" s="17" t="n">
        <x:f>IF('계산 과정'!$L$6,IF(J1140&lt;=0,0,IF(AND(ABS(K1140)&lt;='계산 과정'!$D$11/2,ABS(L1140)&lt;='계산 과정'!$D$12/2),1,0)),"")</x:f>
        <x:v>1</x:v>
      </x:c>
      <x:c r="N1140" s="17" t="n">
        <x:f>IF('계산 과정'!$C$78,IF(AND(ISNUMBER(H1140),ISNUMBER(I1140),ABS(H1140-'계산 과정'!$C$88)&lt;='계산 과정'!$D$23/2,ABS(I1140-'계산 과정'!$C$89)&lt;='계산 과정'!$D$24/2),1,0),"")</x:f>
        <x:v>1</x:v>
      </x:c>
      <x:c r="O1140" s="4" t="n">
        <x:f>IF('계산 과정'!$L$7,'계산 과정'!$C$49*('계산 과정'!$C$32-D1140)+'계산 과정'!$D$49*('계산 과정'!$D$32-E1140)+'계산 과정'!$E$49*'계산 과정'!$E$32,"")</x:f>
        <x:v>46.61924476861623</x:v>
      </x:c>
      <x:c r="P1140" s="4" t="n">
        <x:f>IF(AND('계산 과정'!$L$7,O1140&lt;&gt;0),('계산 과정'!$L$23-'계산 과정'!$C$49*D1140-'계산 과정'!$D$49*E1140)/O1140,"")</x:f>
        <x:v>9.580147576077366</x:v>
      </x:c>
      <x:c r="Q1140" s="4" t="str">
        <x:f>IF(AND(ISNUMBER(P1140),P1140&gt;1E-9,P1140&lt;1-1E-9),'계산 과정'!$C$47*(D1140-'계산 과정'!$C$50+P1140*('계산 과정'!$C$32-D1140))+'계산 과정'!$D$47*(E1140-'계산 과정'!$D$50+P1140*('계산 과정'!$D$32-E1140))+'계산 과정'!$E$47*(0-'계산 과정'!$E$50+P1140*('계산 과정'!$E$32-0)),"")</x:f>
      </x:c>
      <x:c r="R1140" s="4" t="str">
        <x:f>IF(AND(ISNUMBER(P1140),P1140&gt;1E-9,P1140&lt;1-1E-9),'계산 과정'!$C$48*(D1140-'계산 과정'!$C$50+P1140*('계산 과정'!$C$32-D1140))+'계산 과정'!$D$48*(E1140-'계산 과정'!$D$50+P1140*('계산 과정'!$D$32-E1140))+'계산 과정'!$E$48*(0-'계산 과정'!$E$50+P1140*('계산 과정'!$E$32-0)),"")</x:f>
      </x:c>
      <x:c r="S1140" s="17" t="n">
        <x:f>IF('계산 과정'!$C$78,IF(AND(ISNUMBER(Q1140),ISNUMBER(R1140),ABS(Q1140-'계산 과정'!$C$88)&lt;='계산 과정'!$D$23/2,ABS(R1140-'계산 과정'!$C$89)&lt;='계산 과정'!$D$24/2),1,0),"")</x:f>
        <x:v>0</x:v>
      </x:c>
      <x:c r="T1140" s="4"/>
      <x:c r="U1140" s="4"/>
      <x:c r="V1140" s="4"/>
      <x:c r="W1140" s="4"/>
      <x:c r="X1140" s="4"/>
      <x:c r="Y1140" s="4"/>
      <x:c r="Z1140" s="4"/>
    </x:row>
    <x:row r="1141" ht="23" customHeight="1">
      <x:c r="A1141" s="17" t="n">
        <x:f>ROW()-6</x:f>
        <x:v>1135</x:v>
      </x:c>
      <x:c r="B1141" s="4" t="n">
        <x:f>IF('계산 과정'!$L$5,'계산 과정'!$L$11*SQRT((A1141+0.5)/'계산 과정'!$L$30),"")</x:f>
        <x:v>111.69143022603615</x:v>
      </x:c>
      <x:c r="C1141" s="4" t="n">
        <x:f>A1141*PI()*(3-SQRT(5))</x:f>
        <x:v>2723.958265742021</x:v>
      </x:c>
      <x:c r="D1141" s="4" t="n">
        <x:f>IF('계산 과정'!$L$5,B1141*COS(C1141),"")</x:f>
        <x:v>-109.52159237283023</x:v>
      </x:c>
      <x:c r="E1141" s="4" t="n">
        <x:f>IF('계산 과정'!$L$5,B1141*SIN(C1141),"")</x:f>
        <x:v>-21.908819914753852</x:v>
      </x:c>
      <x:c r="F1141" s="4" t="n">
        <x:f>IF('계산 과정'!$L$7,'계산 과정'!$L$22+'계산 과정'!$C$49*D1141+'계산 과정'!$D$49*E1141,"")</x:f>
        <x:v>727.4434606531771</x:v>
      </x:c>
      <x:c r="G1141" s="4" t="n">
        <x:f>IF('계산 과정'!$L$7,IF(ABS(F1141)&gt;=1E-12*MAX(1,SQRT((D1141-'계산 과정'!$C$33)^2+(E1141-'계산 과정'!$D$33)^2+'계산 과정'!$E$33^2)),('계산 과정'!$L$23-'계산 과정'!$C$49*D1141-'계산 과정'!$D$49*E1141)/F1141,""),"")</x:f>
        <x:v>0.4434111471112777</x:v>
      </x:c>
      <x:c r="H1141" s="4" t="n">
        <x:f>IF(AND(ISNUMBER(G1141),G1141&gt;0),('계산 과정'!$D$56+'계산 과정'!$D$57*D1141+'계산 과정'!$D$58*E1141)/F1141,"")</x:f>
        <x:v>-111.7827543776696</x:v>
      </x:c>
      <x:c r="I1141" s="4" t="n">
        <x:f>IF(AND(ISNUMBER(G1141),G1141&gt;0),('계산 과정'!$E$56+'계산 과정'!$E$57*D1141+'계산 과정'!$E$58*E1141)/F1141,"")</x:f>
        <x:v>-31.623434885009267</x:v>
      </x:c>
      <x:c r="J1141" s="4" t="n">
        <x:f>IF('계산 과정'!$L$5,'계산 과정'!$D$6+'계산 과정'!$C$35*D1141+'계산 과정'!$D$35*E1141,"")</x:f>
        <x:v>727.4434606531771</x:v>
      </x:c>
      <x:c r="K1141" s="4" t="n">
        <x:f>IF(AND('계산 과정'!$L$6,J1141&gt;0),'계산 과정'!$D$10*('계산 과정'!$C$38*(D1141-'계산 과정'!$C$32)+'계산 과정'!$D$38*(E1141-'계산 과정'!$D$32)-'계산 과정'!$E$38*'계산 과정'!$E$32)/J1141,"")</x:f>
        <x:v>-0.8516781285917674</x:v>
      </x:c>
      <x:c r="L1141" s="4" t="n">
        <x:f>IF(AND('계산 과정'!$L$6,J1141&gt;0),'계산 과정'!$D$10*('계산 과정'!$C$39*(D1141-'계산 과정'!$C$32)+'계산 과정'!$D$39*(E1141-'계산 과정'!$D$32)-'계산 과정'!$E$39*'계산 과정'!$E$32)/J1141,"")</x:f>
        <x:v>-0.24094045626673724</x:v>
      </x:c>
      <x:c r="M1141" s="17" t="n">
        <x:f>IF('계산 과정'!$L$6,IF(J1141&lt;=0,0,IF(AND(ABS(K1141)&lt;='계산 과정'!$D$11/2,ABS(L1141)&lt;='계산 과정'!$D$12/2),1,0)),"")</x:f>
        <x:v>1</x:v>
      </x:c>
      <x:c r="N1141" s="17" t="n">
        <x:f>IF('계산 과정'!$C$78,IF(AND(ISNUMBER(H1141),ISNUMBER(I1141),ABS(H1141-'계산 과정'!$C$88)&lt;='계산 과정'!$D$23/2,ABS(I1141-'계산 과정'!$C$89)&lt;='계산 과정'!$D$24/2),1,0),"")</x:f>
        <x:v>1</x:v>
      </x:c>
      <x:c r="O1141" s="4" t="n">
        <x:f>IF('계산 과정'!$L$7,'계산 과정'!$C$49*('계산 과정'!$C$32-D1141)+'계산 과정'!$D$49*('계산 과정'!$D$32-E1141)+'계산 과정'!$E$49*'계산 과정'!$E$32,"")</x:f>
        <x:v>-77.443460653177</x:v>
      </x:c>
      <x:c r="P1141" s="4" t="n">
        <x:f>IF(AND('계산 과정'!$L$7,O1141&lt;&gt;0),('계산 과정'!$L$23-'계산 과정'!$C$49*D1141-'계산 과정'!$D$49*E1141)/O1141,"")</x:f>
        <x:v>-4.165058439102572</x:v>
      </x:c>
      <x:c r="Q1141" s="4" t="str">
        <x:f>IF(AND(ISNUMBER(P1141),P1141&gt;1E-9,P1141&lt;1-1E-9),'계산 과정'!$C$47*(D1141-'계산 과정'!$C$50+P1141*('계산 과정'!$C$32-D1141))+'계산 과정'!$D$47*(E1141-'계산 과정'!$D$50+P1141*('계산 과정'!$D$32-E1141))+'계산 과정'!$E$47*(0-'계산 과정'!$E$50+P1141*('계산 과정'!$E$32-0)),"")</x:f>
      </x:c>
      <x:c r="R1141" s="4" t="str">
        <x:f>IF(AND(ISNUMBER(P1141),P1141&gt;1E-9,P1141&lt;1-1E-9),'계산 과정'!$C$48*(D1141-'계산 과정'!$C$50+P1141*('계산 과정'!$C$32-D1141))+'계산 과정'!$D$48*(E1141-'계산 과정'!$D$50+P1141*('계산 과정'!$D$32-E1141))+'계산 과정'!$E$48*(0-'계산 과정'!$E$50+P1141*('계산 과정'!$E$32-0)),"")</x:f>
      </x:c>
      <x:c r="S1141" s="17" t="n">
        <x:f>IF('계산 과정'!$C$78,IF(AND(ISNUMBER(Q1141),ISNUMBER(R1141),ABS(Q1141-'계산 과정'!$C$88)&lt;='계산 과정'!$D$23/2,ABS(R1141-'계산 과정'!$C$89)&lt;='계산 과정'!$D$24/2),1,0),"")</x:f>
        <x:v>0</x:v>
      </x:c>
      <x:c r="T1141" s="4"/>
      <x:c r="U1141" s="4"/>
      <x:c r="V1141" s="4"/>
      <x:c r="W1141" s="4"/>
      <x:c r="X1141" s="4"/>
      <x:c r="Y1141" s="4"/>
      <x:c r="Z1141" s="4"/>
    </x:row>
    <x:row r="1142" ht="23" customHeight="1">
      <x:c r="A1142" s="17" t="n">
        <x:f>ROW()-6</x:f>
        <x:v>1136</x:v>
      </x:c>
      <x:c r="B1142" s="4" t="n">
        <x:f>IF('계산 과정'!$L$5,'계산 과정'!$L$11*SQRT((A1142+0.5)/'계산 과정'!$L$30),"")</x:f>
        <x:v>111.74060100993954</x:v>
      </x:c>
      <x:c r="C1142" s="4" t="n">
        <x:f>A1142*PI()*(3-SQRT(5))</x:f>
        <x:v>2726.3582289717497</x:v>
      </x:c>
      <x:c r="D1142" s="4" t="n">
        <x:f>IF('계산 과정'!$L$5,B1142*COS(C1142),"")</x:f>
        <x:v>95.5990767070129</x:v>
      </x:c>
      <x:c r="E1142" s="4" t="n">
        <x:f>IF('계산 과정'!$L$5,B1142*SIN(C1142),"")</x:f>
        <x:v>-57.85134783934739</x:v>
      </x:c>
      <x:c r="F1142" s="4" t="n">
        <x:f>IF('계산 과정'!$L$7,'계산 과정'!$L$22+'계산 과정'!$C$49*D1142+'계산 과정'!$D$49*E1142,"")</x:f>
        <x:v>582.4012445852983</x:v>
      </x:c>
      <x:c r="G1142" s="4" t="n">
        <x:f>IF('계산 과정'!$L$7,IF(ABS(F1142)&gt;=1E-12*MAX(1,SQRT((D1142-'계산 과정'!$C$33)^2+(E1142-'계산 과정'!$D$33)^2+'계산 과정'!$E$33^2)),('계산 과정'!$L$23-'계산 과정'!$C$49*D1142-'계산 과정'!$D$49*E1142)/F1142,""),"")</x:f>
        <x:v>0.8028807626392656</x:v>
      </x:c>
      <x:c r="H1142" s="4" t="n">
        <x:f>IF(AND(ISNUMBER(G1142),G1142&gt;0),('계산 과정'!$D$56+'계산 과정'!$D$57*D1142+'계산 과정'!$D$58*E1142)/F1142,"")</x:f>
        <x:v>121.87249571552256</x:v>
      </x:c>
      <x:c r="I1142" s="4" t="n">
        <x:f>IF(AND(ISNUMBER(G1142),G1142&gt;0),('계산 과정'!$E$56+'계산 과정'!$E$57*D1142+'계산 과정'!$E$58*E1142)/F1142,"")</x:f>
        <x:v>-104.29908211231205</x:v>
      </x:c>
      <x:c r="J1142" s="4" t="n">
        <x:f>IF('계산 과정'!$L$5,'계산 과정'!$D$6+'계산 과정'!$C$35*D1142+'계산 과정'!$D$35*E1142,"")</x:f>
        <x:v>582.4012445852983</x:v>
      </x:c>
      <x:c r="K1142" s="4" t="n">
        <x:f>IF(AND('계산 과정'!$L$6,J1142&gt;0),'계산 과정'!$D$10*('계산 과정'!$C$38*(D1142-'계산 과정'!$C$32)+'계산 과정'!$D$38*(E1142-'계산 과정'!$D$32)-'계산 과정'!$E$38*'계산 과정'!$E$32)/J1142,"")</x:f>
        <x:v>0.9285523483087444</x:v>
      </x:c>
      <x:c r="L1142" s="4" t="n">
        <x:f>IF(AND('계산 과정'!$L$6,J1142&gt;0),'계산 과정'!$D$10*('계산 과정'!$C$39*(D1142-'계산 과정'!$C$32)+'계산 과정'!$D$39*(E1142-'계산 과정'!$D$32)-'계산 과정'!$E$39*'계산 과정'!$E$32)/J1142,"")</x:f>
        <x:v>-0.7946596732366632</x:v>
      </x:c>
      <x:c r="M1142" s="17" t="n">
        <x:f>IF('계산 과정'!$L$6,IF(J1142&lt;=0,0,IF(AND(ABS(K1142)&lt;='계산 과정'!$D$11/2,ABS(L1142)&lt;='계산 과정'!$D$12/2),1,0)),"")</x:f>
        <x:v>1</x:v>
      </x:c>
      <x:c r="N1142" s="17" t="n">
        <x:f>IF('계산 과정'!$C$78,IF(AND(ISNUMBER(H1142),ISNUMBER(I1142),ABS(H1142-'계산 과정'!$C$88)&lt;='계산 과정'!$D$23/2,ABS(I1142-'계산 과정'!$C$89)&lt;='계산 과정'!$D$24/2),1,0),"")</x:f>
        <x:v>1</x:v>
      </x:c>
      <x:c r="O1142" s="4" t="n">
        <x:f>IF('계산 과정'!$L$7,'계산 과정'!$C$49*('계산 과정'!$C$32-D1142)+'계산 과정'!$D$49*('계산 과정'!$D$32-E1142)+'계산 과정'!$E$49*'계산 과정'!$E$32,"")</x:f>
        <x:v>67.59875541470183</x:v>
      </x:c>
      <x:c r="P1142" s="4" t="n">
        <x:f>IF(AND('계산 과정'!$L$7,O1142&lt;&gt;0),('계산 과정'!$L$23-'계산 과정'!$C$49*D1142-'계산 과정'!$D$49*E1142)/O1142,"")</x:f>
        <x:v>6.917268706296406</x:v>
      </x:c>
      <x:c r="Q1142" s="4" t="str">
        <x:f>IF(AND(ISNUMBER(P1142),P1142&gt;1E-9,P1142&lt;1-1E-9),'계산 과정'!$C$47*(D1142-'계산 과정'!$C$50+P1142*('계산 과정'!$C$32-D1142))+'계산 과정'!$D$47*(E1142-'계산 과정'!$D$50+P1142*('계산 과정'!$D$32-E1142))+'계산 과정'!$E$47*(0-'계산 과정'!$E$50+P1142*('계산 과정'!$E$32-0)),"")</x:f>
      </x:c>
      <x:c r="R1142" s="4" t="str">
        <x:f>IF(AND(ISNUMBER(P1142),P1142&gt;1E-9,P1142&lt;1-1E-9),'계산 과정'!$C$48*(D1142-'계산 과정'!$C$50+P1142*('계산 과정'!$C$32-D1142))+'계산 과정'!$D$48*(E1142-'계산 과정'!$D$50+P1142*('계산 과정'!$D$32-E1142))+'계산 과정'!$E$48*(0-'계산 과정'!$E$50+P1142*('계산 과정'!$E$32-0)),"")</x:f>
      </x:c>
      <x:c r="S1142" s="17" t="n">
        <x:f>IF('계산 과정'!$C$78,IF(AND(ISNUMBER(Q1142),ISNUMBER(R1142),ABS(Q1142-'계산 과정'!$C$88)&lt;='계산 과정'!$D$23/2,ABS(R1142-'계산 과정'!$C$89)&lt;='계산 과정'!$D$24/2),1,0),"")</x:f>
        <x:v>0</x:v>
      </x:c>
      <x:c r="T1142" s="4"/>
      <x:c r="U1142" s="4"/>
      <x:c r="V1142" s="4"/>
      <x:c r="W1142" s="4"/>
      <x:c r="X1142" s="4"/>
      <x:c r="Y1142" s="4"/>
      <x:c r="Z1142" s="4"/>
    </x:row>
    <x:row r="1143" ht="23" customHeight="1">
      <x:c r="A1143" s="17" t="n">
        <x:f>ROW()-6</x:f>
        <x:v>1137</x:v>
      </x:c>
      <x:c r="B1143" s="4" t="n">
        <x:f>IF('계산 과정'!$L$5,'계산 과정'!$L$11*SQRT((A1143+0.5)/'계산 과정'!$L$30),"")</x:f>
        <x:v>111.78975016604832</x:v>
      </x:c>
      <x:c r="C1143" s="4" t="n">
        <x:f>A1143*PI()*(3-SQRT(5))</x:f>
        <x:v>2728.7581922014783</x:v>
      </x:c>
      <x:c r="D1143" s="4" t="n">
        <x:f>IF('계산 과정'!$L$5,B1143*COS(C1143),"")</x:f>
        <x:v>-31.427577318496983</x:v>
      </x:c>
      <x:c r="E1143" s="4" t="n">
        <x:f>IF('계산 과정'!$L$5,B1143*SIN(C1143),"")</x:f>
        <x:v>107.28119884712976</x:v>
      </x:c>
      <x:c r="F1143" s="4" t="n">
        <x:f>IF('계산 과정'!$L$7,'계산 과정'!$L$22+'계산 과정'!$C$49*D1143+'계산 과정'!$D$49*E1143,"")</x:f>
        <x:v>672.2226530381738</x:v>
      </x:c>
      <x:c r="G1143" s="4" t="n">
        <x:f>IF('계산 과정'!$L$7,IF(ABS(F1143)&gt;=1E-12*MAX(1,SQRT((D1143-'계산 과정'!$C$33)^2+(E1143-'계산 과정'!$D$33)^2+'계산 과정'!$E$33^2)),('계산 과정'!$L$23-'계산 과정'!$C$49*D1143-'계산 과정'!$D$49*E1143)/F1143,""),"")</x:f>
        <x:v>0.5619824700260038</x:v>
      </x:c>
      <x:c r="H1143" s="4" t="n">
        <x:f>IF(AND(ISNUMBER(G1143),G1143&gt;0),('계산 과정'!$D$56+'계산 과정'!$D$57*D1143+'계산 과정'!$D$58*E1143)/F1143,"")</x:f>
        <x:v>-34.71139448309763</x:v>
      </x:c>
      <x:c r="I1143" s="4" t="n">
        <x:f>IF(AND(ISNUMBER(G1143),G1143&gt;0),('계산 과정'!$E$56+'계산 과정'!$E$57*D1143+'계산 과정'!$E$58*E1143)/F1143,"")</x:f>
        <x:v>167.5713519625906</x:v>
      </x:c>
      <x:c r="J1143" s="4" t="n">
        <x:f>IF('계산 과정'!$L$5,'계산 과정'!$D$6+'계산 과정'!$C$35*D1143+'계산 과정'!$D$35*E1143,"")</x:f>
        <x:v>672.2226530381738</x:v>
      </x:c>
      <x:c r="K1143" s="4" t="n">
        <x:f>IF(AND('계산 과정'!$L$6,J1143&gt;0),'계산 과정'!$D$10*('계산 과정'!$C$38*(D1143-'계산 과정'!$C$32)+'계산 과정'!$D$38*(E1143-'계산 과정'!$D$32)-'계산 과정'!$E$38*'계산 과정'!$E$32)/J1143,"")</x:f>
        <x:v>-0.2644677674902667</x:v>
      </x:c>
      <x:c r="L1143" s="4" t="n">
        <x:f>IF(AND('계산 과정'!$L$6,J1143&gt;0),'계산 과정'!$D$10*('계산 과정'!$C$39*(D1143-'계산 과정'!$C$32)+'계산 과정'!$D$39*(E1143-'계산 과정'!$D$32)-'계산 과정'!$E$39*'계산 과정'!$E$32)/J1143,"")</x:f>
        <x:v>1.2767341101911664</x:v>
      </x:c>
      <x:c r="M1143" s="17" t="n">
        <x:f>IF('계산 과정'!$L$6,IF(J1143&lt;=0,0,IF(AND(ABS(K1143)&lt;='계산 과정'!$D$11/2,ABS(L1143)&lt;='계산 과정'!$D$12/2),1,0)),"")</x:f>
        <x:v>1</x:v>
      </x:c>
      <x:c r="N1143" s="17" t="n">
        <x:f>IF('계산 과정'!$C$78,IF(AND(ISNUMBER(H1143),ISNUMBER(I1143),ABS(H1143-'계산 과정'!$C$88)&lt;='계산 과정'!$D$23/2,ABS(I1143-'계산 과정'!$C$89)&lt;='계산 과정'!$D$24/2),1,0),"")</x:f>
        <x:v>1</x:v>
      </x:c>
      <x:c r="O1143" s="4" t="n">
        <x:f>IF('계산 과정'!$L$7,'계산 과정'!$C$49*('계산 과정'!$C$32-D1143)+'계산 과정'!$D$49*('계산 과정'!$D$32-E1143)+'계산 과정'!$E$49*'계산 과정'!$E$32,"")</x:f>
        <x:v>-22.222653038173632</x:v>
      </x:c>
      <x:c r="P1143" s="4" t="n">
        <x:f>IF(AND('계산 과정'!$L$7,O1143&lt;&gt;0),('계산 과정'!$L$23-'계산 과정'!$C$49*D1143-'계산 과정'!$D$49*E1143)/O1143,"")</x:f>
        <x:v>-16.999651045844427</x:v>
      </x:c>
      <x:c r="Q1143" s="4" t="str">
        <x:f>IF(AND(ISNUMBER(P1143),P1143&gt;1E-9,P1143&lt;1-1E-9),'계산 과정'!$C$47*(D1143-'계산 과정'!$C$50+P1143*('계산 과정'!$C$32-D1143))+'계산 과정'!$D$47*(E1143-'계산 과정'!$D$50+P1143*('계산 과정'!$D$32-E1143))+'계산 과정'!$E$47*(0-'계산 과정'!$E$50+P1143*('계산 과정'!$E$32-0)),"")</x:f>
      </x:c>
      <x:c r="R1143" s="4" t="str">
        <x:f>IF(AND(ISNUMBER(P1143),P1143&gt;1E-9,P1143&lt;1-1E-9),'계산 과정'!$C$48*(D1143-'계산 과정'!$C$50+P1143*('계산 과정'!$C$32-D1143))+'계산 과정'!$D$48*(E1143-'계산 과정'!$D$50+P1143*('계산 과정'!$D$32-E1143))+'계산 과정'!$E$48*(0-'계산 과정'!$E$50+P1143*('계산 과정'!$E$32-0)),"")</x:f>
      </x:c>
      <x:c r="S1143" s="17" t="n">
        <x:f>IF('계산 과정'!$C$78,IF(AND(ISNUMBER(Q1143),ISNUMBER(R1143),ABS(Q1143-'계산 과정'!$C$88)&lt;='계산 과정'!$D$23/2,ABS(R1143-'계산 과정'!$C$89)&lt;='계산 과정'!$D$24/2),1,0),"")</x:f>
        <x:v>0</x:v>
      </x:c>
      <x:c r="T1143" s="4"/>
      <x:c r="U1143" s="4"/>
      <x:c r="V1143" s="4"/>
      <x:c r="W1143" s="4"/>
      <x:c r="X1143" s="4"/>
      <x:c r="Y1143" s="4"/>
      <x:c r="Z1143" s="4"/>
    </x:row>
    <x:row r="1144" ht="23" customHeight="1">
      <x:c r="A1144" s="17" t="n">
        <x:f>ROW()-6</x:f>
        <x:v>1138</x:v>
      </x:c>
      <x:c r="B1144" s="4" t="n">
        <x:f>IF('계산 과정'!$L$5,'계산 과정'!$L$11*SQRT((A1144+0.5)/'계산 과정'!$L$30),"")</x:f>
        <x:v>111.8388777228764</x:v>
      </x:c>
      <x:c r="C1144" s="4" t="n">
        <x:f>A1144*PI()*(3-SQRT(5))</x:f>
        <x:v>2731.158155431207</x:v>
      </x:c>
      <x:c r="D1144" s="4" t="n">
        <x:f>IF('계산 과정'!$L$5,B1144*COS(C1144),"")</x:f>
        <x:v>-49.31535394645789</x:v>
      </x:c>
      <x:c r="E1144" s="4" t="n">
        <x:f>IF('계산 과정'!$L$5,B1144*SIN(C1144),"")</x:f>
        <x:v>-100.3789342215192</x:v>
      </x:c>
      <x:c r="F1144" s="4" t="n">
        <x:f>IF('계산 과정'!$L$7,'계산 과정'!$L$22+'계산 과정'!$C$49*D1144+'계산 과정'!$D$49*E1144,"")</x:f>
        <x:v>684.8712211921552</x:v>
      </x:c>
      <x:c r="G1144" s="4" t="n">
        <x:f>IF('계산 과정'!$L$7,IF(ABS(F1144)&gt;=1E-12*MAX(1,SQRT((D1144-'계산 과정'!$C$33)^2+(E1144-'계산 과정'!$D$33)^2+'계산 과정'!$E$33^2)),('계산 과정'!$L$23-'계산 과정'!$C$49*D1144-'계산 과정'!$D$49*E1144)/F1144,""),"")</x:f>
        <x:v>0.5331349420293428</x:v>
      </x:c>
      <x:c r="H1144" s="4" t="n">
        <x:f>IF(AND(ISNUMBER(G1144),G1144&gt;0),('계산 과정'!$D$56+'계산 과정'!$D$57*D1144+'계산 과정'!$D$58*E1144)/F1144,"")</x:f>
        <x:v>-53.46228768092728</x:v>
      </x:c>
      <x:c r="I1144" s="4" t="n">
        <x:f>IF(AND(ISNUMBER(G1144),G1144&gt;0),('계산 과정'!$E$56+'계산 과정'!$E$57*D1144+'계산 과정'!$E$58*E1144)/F1144,"")</x:f>
        <x:v>-153.89445149867603</x:v>
      </x:c>
      <x:c r="J1144" s="4" t="n">
        <x:f>IF('계산 과정'!$L$5,'계산 과정'!$D$6+'계산 과정'!$C$35*D1144+'계산 과정'!$D$35*E1144,"")</x:f>
        <x:v>684.8712211921552</x:v>
      </x:c>
      <x:c r="K1144" s="4" t="n">
        <x:f>IF(AND('계산 과정'!$L$6,J1144&gt;0),'계산 과정'!$D$10*('계산 과정'!$C$38*(D1144-'계산 과정'!$C$32)+'계산 과정'!$D$38*(E1144-'계산 과정'!$D$32)-'계산 과정'!$E$38*'계산 과정'!$E$32)/J1144,"")</x:f>
        <x:v>-0.40733171566420684</x:v>
      </x:c>
      <x:c r="L1144" s="4" t="n">
        <x:f>IF(AND('계산 과정'!$L$6,J1144&gt;0),'계산 과정'!$D$10*('계산 과정'!$C$39*(D1144-'계산 과정'!$C$32)+'계산 과정'!$D$39*(E1144-'계산 과정'!$D$32)-'계산 과정'!$E$39*'계산 과정'!$E$32)/J1144,"")</x:f>
        <x:v>-1.172529154275627</x:v>
      </x:c>
      <x:c r="M1144" s="17" t="n">
        <x:f>IF('계산 과정'!$L$6,IF(J1144&lt;=0,0,IF(AND(ABS(K1144)&lt;='계산 과정'!$D$11/2,ABS(L1144)&lt;='계산 과정'!$D$12/2),1,0)),"")</x:f>
        <x:v>1</x:v>
      </x:c>
      <x:c r="N1144" s="17" t="n">
        <x:f>IF('계산 과정'!$C$78,IF(AND(ISNUMBER(H1144),ISNUMBER(I1144),ABS(H1144-'계산 과정'!$C$88)&lt;='계산 과정'!$D$23/2,ABS(I1144-'계산 과정'!$C$89)&lt;='계산 과정'!$D$24/2),1,0),"")</x:f>
        <x:v>1</x:v>
      </x:c>
      <x:c r="O1144" s="4" t="n">
        <x:f>IF('계산 과정'!$L$7,'계산 과정'!$C$49*('계산 과정'!$C$32-D1144)+'계산 과정'!$D$49*('계산 과정'!$D$32-E1144)+'계산 과정'!$E$49*'계산 과정'!$E$32,"")</x:f>
        <x:v>-34.87122119215502</x:v>
      </x:c>
      <x:c r="P1144" s="4" t="n">
        <x:f>IF(AND('계산 과정'!$L$7,O1144&lt;&gt;0),('계산 과정'!$L$23-'계산 과정'!$C$49*D1144-'계산 과정'!$D$49*E1144)/O1144,"")</x:f>
        <x:v>-10.470776942276627</x:v>
      </x:c>
      <x:c r="Q1144" s="4" t="str">
        <x:f>IF(AND(ISNUMBER(P1144),P1144&gt;1E-9,P1144&lt;1-1E-9),'계산 과정'!$C$47*(D1144-'계산 과정'!$C$50+P1144*('계산 과정'!$C$32-D1144))+'계산 과정'!$D$47*(E1144-'계산 과정'!$D$50+P1144*('계산 과정'!$D$32-E1144))+'계산 과정'!$E$47*(0-'계산 과정'!$E$50+P1144*('계산 과정'!$E$32-0)),"")</x:f>
      </x:c>
      <x:c r="R1144" s="4" t="str">
        <x:f>IF(AND(ISNUMBER(P1144),P1144&gt;1E-9,P1144&lt;1-1E-9),'계산 과정'!$C$48*(D1144-'계산 과정'!$C$50+P1144*('계산 과정'!$C$32-D1144))+'계산 과정'!$D$48*(E1144-'계산 과정'!$D$50+P1144*('계산 과정'!$D$32-E1144))+'계산 과정'!$E$48*(0-'계산 과정'!$E$50+P1144*('계산 과정'!$E$32-0)),"")</x:f>
      </x:c>
      <x:c r="S1144" s="17" t="n">
        <x:f>IF('계산 과정'!$C$78,IF(AND(ISNUMBER(Q1144),ISNUMBER(R1144),ABS(Q1144-'계산 과정'!$C$88)&lt;='계산 과정'!$D$23/2,ABS(R1144-'계산 과정'!$C$89)&lt;='계산 과정'!$D$24/2),1,0),"")</x:f>
        <x:v>0</x:v>
      </x:c>
      <x:c r="T1144" s="4"/>
      <x:c r="U1144" s="4"/>
      <x:c r="V1144" s="4"/>
      <x:c r="W1144" s="4"/>
      <x:c r="X1144" s="4"/>
      <x:c r="Y1144" s="4"/>
      <x:c r="Z1144" s="4"/>
    </x:row>
    <x:row r="1145" ht="23" customHeight="1">
      <x:c r="A1145" s="17" t="n">
        <x:f>ROW()-6</x:f>
        <x:v>1139</x:v>
      </x:c>
      <x:c r="B1145" s="4" t="n">
        <x:f>IF('계산 과정'!$L$5,'계산 과정'!$L$11*SQRT((A1145+0.5)/'계산 과정'!$L$30),"")</x:f>
        <x:v>111.88798370887511</x:v>
      </x:c>
      <x:c r="C1145" s="4" t="n">
        <x:f>A1145*PI()*(3-SQRT(5))</x:f>
        <x:v>2733.5581186609356</x:v>
      </x:c>
      <x:c r="D1145" s="4" t="n">
        <x:f>IF('계산 과정'!$L$5,B1145*COS(C1145),"")</x:f>
        <x:v>104.21434116393857</x:v>
      </x:c>
      <x:c r="E1145" s="4" t="n">
        <x:f>IF('계산 과정'!$L$5,B1145*SIN(C1145),"")</x:f>
        <x:v>40.72213150368875</x:v>
      </x:c>
      <x:c r="F1145" s="4" t="n">
        <x:f>IF('계산 과정'!$L$7,'계산 과정'!$L$22+'계산 과정'!$C$49*D1145+'계산 과정'!$D$49*E1145,"")</x:f>
        <x:v>576.3093326660907</x:v>
      </x:c>
      <x:c r="G1145" s="4" t="n">
        <x:f>IF('계산 과정'!$L$7,IF(ABS(F1145)&gt;=1E-12*MAX(1,SQRT((D1145-'계산 과정'!$C$33)^2+(E1145-'계산 과정'!$D$33)^2+'계산 과정'!$E$33^2)),('계산 과정'!$L$23-'계산 과정'!$C$49*D1145-'계산 과정'!$D$49*E1145)/F1145,""),"")</x:f>
        <x:v>0.8219382204736257</x:v>
      </x:c>
      <x:c r="H1145" s="4" t="n">
        <x:f>IF(AND(ISNUMBER(G1145),G1145&gt;0),('계산 과정'!$D$56+'계산 과정'!$D$57*D1145+'계산 과정'!$D$58*E1145)/F1145,"")</x:f>
        <x:v>134.2598433078566</x:v>
      </x:c>
      <x:c r="I1145" s="4" t="n">
        <x:f>IF(AND(ISNUMBER(G1145),G1145&gt;0),('계산 과정'!$E$56+'계산 과정'!$E$57*D1145+'계산 과정'!$E$58*E1145)/F1145,"")</x:f>
        <x:v>74.19320780572366</x:v>
      </x:c>
      <x:c r="J1145" s="4" t="n">
        <x:f>IF('계산 과정'!$L$5,'계산 과정'!$D$6+'계산 과정'!$C$35*D1145+'계산 과정'!$D$35*E1145,"")</x:f>
        <x:v>576.3093326660907</x:v>
      </x:c>
      <x:c r="K1145" s="4" t="n">
        <x:f>IF(AND('계산 과정'!$L$6,J1145&gt;0),'계산 과정'!$D$10*('계산 과정'!$C$38*(D1145-'계산 과정'!$C$32)+'계산 과정'!$D$38*(E1145-'계산 과정'!$D$32)-'계산 과정'!$E$38*'계산 과정'!$E$32)/J1145,"")</x:f>
        <x:v>1.0229321394884323</x:v>
      </x:c>
      <x:c r="L1145" s="4" t="n">
        <x:f>IF(AND('계산 과정'!$L$6,J1145&gt;0),'계산 과정'!$D$10*('계산 과정'!$C$39*(D1145-'계산 과정'!$C$32)+'계산 과정'!$D$39*(E1145-'계산 과정'!$D$32)-'계산 과정'!$E$39*'계산 과정'!$E$32)/J1145,"")</x:f>
        <x:v>0.5652815832817041</x:v>
      </x:c>
      <x:c r="M1145" s="17" t="n">
        <x:f>IF('계산 과정'!$L$6,IF(J1145&lt;=0,0,IF(AND(ABS(K1145)&lt;='계산 과정'!$D$11/2,ABS(L1145)&lt;='계산 과정'!$D$12/2),1,0)),"")</x:f>
        <x:v>1</x:v>
      </x:c>
      <x:c r="N1145" s="17" t="n">
        <x:f>IF('계산 과정'!$C$78,IF(AND(ISNUMBER(H1145),ISNUMBER(I1145),ABS(H1145-'계산 과정'!$C$88)&lt;='계산 과정'!$D$23/2,ABS(I1145-'계산 과정'!$C$89)&lt;='계산 과정'!$D$24/2),1,0),"")</x:f>
        <x:v>1</x:v>
      </x:c>
      <x:c r="O1145" s="4" t="n">
        <x:f>IF('계산 과정'!$L$7,'계산 과정'!$C$49*('계산 과정'!$C$32-D1145)+'계산 과정'!$D$49*('계산 과정'!$D$32-E1145)+'계산 과정'!$E$49*'계산 과정'!$E$32,"")</x:f>
        <x:v>73.69066733390943</x:v>
      </x:c>
      <x:c r="P1145" s="4" t="n">
        <x:f>IF(AND('계산 과정'!$L$7,O1145&lt;&gt;0),('계산 과정'!$L$23-'계산 과정'!$C$49*D1145-'계산 과정'!$D$49*E1145)/O1145,"")</x:f>
        <x:v>6.4280957748354695</x:v>
      </x:c>
      <x:c r="Q1145" s="4" t="str">
        <x:f>IF(AND(ISNUMBER(P1145),P1145&gt;1E-9,P1145&lt;1-1E-9),'계산 과정'!$C$47*(D1145-'계산 과정'!$C$50+P1145*('계산 과정'!$C$32-D1145))+'계산 과정'!$D$47*(E1145-'계산 과정'!$D$50+P1145*('계산 과정'!$D$32-E1145))+'계산 과정'!$E$47*(0-'계산 과정'!$E$50+P1145*('계산 과정'!$E$32-0)),"")</x:f>
      </x:c>
      <x:c r="R1145" s="4" t="str">
        <x:f>IF(AND(ISNUMBER(P1145),P1145&gt;1E-9,P1145&lt;1-1E-9),'계산 과정'!$C$48*(D1145-'계산 과정'!$C$50+P1145*('계산 과정'!$C$32-D1145))+'계산 과정'!$D$48*(E1145-'계산 과정'!$D$50+P1145*('계산 과정'!$D$32-E1145))+'계산 과정'!$E$48*(0-'계산 과정'!$E$50+P1145*('계산 과정'!$E$32-0)),"")</x:f>
      </x:c>
      <x:c r="S1145" s="17" t="n">
        <x:f>IF('계산 과정'!$C$78,IF(AND(ISNUMBER(Q1145),ISNUMBER(R1145),ABS(Q1145-'계산 과정'!$C$88)&lt;='계산 과정'!$D$23/2,ABS(R1145-'계산 과정'!$C$89)&lt;='계산 과정'!$D$24/2),1,0),"")</x:f>
        <x:v>0</x:v>
      </x:c>
      <x:c r="T1145" s="4"/>
      <x:c r="U1145" s="4"/>
      <x:c r="V1145" s="4"/>
      <x:c r="W1145" s="4"/>
      <x:c r="X1145" s="4"/>
      <x:c r="Y1145" s="4"/>
      <x:c r="Z1145" s="4"/>
    </x:row>
    <x:row r="1146" ht="23" customHeight="1">
      <x:c r="A1146" s="17" t="n">
        <x:f>ROW()-6</x:f>
        <x:v>1140</x:v>
      </x:c>
      <x:c r="B1146" s="4" t="n">
        <x:f>IF('계산 과정'!$L$5,'계산 과정'!$L$11*SQRT((A1146+0.5)/'계산 과정'!$L$30),"")</x:f>
        <x:v>111.93706815243331</x:v>
      </x:c>
      <x:c r="C1146" s="4" t="n">
        <x:f>A1146*PI()*(3-SQRT(5))</x:f>
        <x:v>2735.9580818906643</x:v>
      </x:c>
      <x:c r="D1146" s="4" t="n">
        <x:f>IF('계산 과정'!$L$5,B1146*COS(C1146),"")</x:f>
        <x:v>-104.39759479796167</x:v>
      </x:c>
      <x:c r="E1146" s="4" t="n">
        <x:f>IF('계산 과정'!$L$5,B1146*SIN(C1146),"")</x:f>
        <x:v>40.38625294531674</x:v>
      </x:c>
      <x:c r="F1146" s="4" t="n">
        <x:f>IF('계산 과정'!$L$7,'계산 과정'!$L$22+'계산 과정'!$C$49*D1146+'계산 과정'!$D$49*E1146,"")</x:f>
        <x:v>723.8202472212041</x:v>
      </x:c>
      <x:c r="G1146" s="4" t="n">
        <x:f>IF('계산 과정'!$L$7,IF(ABS(F1146)&gt;=1E-12*MAX(1,SQRT((D1146-'계산 과정'!$C$33)^2+(E1146-'계산 과정'!$D$33)^2+'계산 과정'!$E$33^2)),('계산 과정'!$L$23-'계산 과정'!$C$49*D1146-'계산 과정'!$D$49*E1146)/F1146,""),"")</x:f>
        <x:v>0.4506364032106348</x:v>
      </x:c>
      <x:c r="H1146" s="4" t="n">
        <x:f>IF(AND(ISNUMBER(G1146),G1146&gt;0),('계산 과정'!$D$56+'계산 과정'!$D$57*D1146+'계산 과정'!$D$58*E1146)/F1146,"")</x:f>
        <x:v>-107.08633791308755</x:v>
      </x:c>
      <x:c r="I1146" s="4" t="n">
        <x:f>IF(AND(ISNUMBER(G1146),G1146&gt;0),('계산 과정'!$E$56+'계산 과정'!$E$57*D1146+'계산 과정'!$E$58*E1146)/F1146,"")</x:f>
        <x:v>58.58576871174918</x:v>
      </x:c>
      <x:c r="J1146" s="4" t="n">
        <x:f>IF('계산 과정'!$L$5,'계산 과정'!$D$6+'계산 과정'!$C$35*D1146+'계산 과정'!$D$35*E1146,"")</x:f>
        <x:v>723.8202472212041</x:v>
      </x:c>
      <x:c r="K1146" s="4" t="n">
        <x:f>IF(AND('계산 과정'!$L$6,J1146&gt;0),'계산 과정'!$D$10*('계산 과정'!$C$38*(D1146-'계산 과정'!$C$32)+'계산 과정'!$D$38*(E1146-'계산 과정'!$D$32)-'계산 과정'!$E$38*'계산 과정'!$E$32)/J1146,"")</x:f>
        <x:v>-0.8158959079092379</x:v>
      </x:c>
      <x:c r="L1146" s="4" t="n">
        <x:f>IF(AND('계산 과정'!$L$6,J1146&gt;0),'계산 과정'!$D$10*('계산 과정'!$C$39*(D1146-'계산 과정'!$C$32)+'계산 과정'!$D$39*(E1146-'계산 과정'!$D$32)-'계산 과정'!$E$39*'계산 과정'!$E$32)/J1146,"")</x:f>
        <x:v>0.4463677616133271</x:v>
      </x:c>
      <x:c r="M1146" s="17" t="n">
        <x:f>IF('계산 과정'!$L$6,IF(J1146&lt;=0,0,IF(AND(ABS(K1146)&lt;='계산 과정'!$D$11/2,ABS(L1146)&lt;='계산 과정'!$D$12/2),1,0)),"")</x:f>
        <x:v>1</x:v>
      </x:c>
      <x:c r="N1146" s="17" t="n">
        <x:f>IF('계산 과정'!$C$78,IF(AND(ISNUMBER(H1146),ISNUMBER(I1146),ABS(H1146-'계산 과정'!$C$88)&lt;='계산 과정'!$D$23/2,ABS(I1146-'계산 과정'!$C$89)&lt;='계산 과정'!$D$24/2),1,0),"")</x:f>
        <x:v>1</x:v>
      </x:c>
      <x:c r="O1146" s="4" t="n">
        <x:f>IF('계산 과정'!$L$7,'계산 과정'!$C$49*('계산 과정'!$C$32-D1146)+'계산 과정'!$D$49*('계산 과정'!$D$32-E1146)+'계산 과정'!$E$49*'계산 과정'!$E$32,"")</x:f>
        <x:v>-73.820247221204</x:v>
      </x:c>
      <x:c r="P1146" s="4" t="n">
        <x:f>IF(AND('계산 과정'!$L$7,O1146&lt;&gt;0),('계산 과정'!$L$23-'계산 과정'!$C$49*D1146-'계산 과정'!$D$49*E1146)/O1146,"")</x:f>
        <x:v>-4.4185676024816205</x:v>
      </x:c>
      <x:c r="Q1146" s="4" t="str">
        <x:f>IF(AND(ISNUMBER(P1146),P1146&gt;1E-9,P1146&lt;1-1E-9),'계산 과정'!$C$47*(D1146-'계산 과정'!$C$50+P1146*('계산 과정'!$C$32-D1146))+'계산 과정'!$D$47*(E1146-'계산 과정'!$D$50+P1146*('계산 과정'!$D$32-E1146))+'계산 과정'!$E$47*(0-'계산 과정'!$E$50+P1146*('계산 과정'!$E$32-0)),"")</x:f>
      </x:c>
      <x:c r="R1146" s="4" t="str">
        <x:f>IF(AND(ISNUMBER(P1146),P1146&gt;1E-9,P1146&lt;1-1E-9),'계산 과정'!$C$48*(D1146-'계산 과정'!$C$50+P1146*('계산 과정'!$C$32-D1146))+'계산 과정'!$D$48*(E1146-'계산 과정'!$D$50+P1146*('계산 과정'!$D$32-E1146))+'계산 과정'!$E$48*(0-'계산 과정'!$E$50+P1146*('계산 과정'!$E$32-0)),"")</x:f>
      </x:c>
      <x:c r="S1146" s="17" t="n">
        <x:f>IF('계산 과정'!$C$78,IF(AND(ISNUMBER(Q1146),ISNUMBER(R1146),ABS(Q1146-'계산 과정'!$C$88)&lt;='계산 과정'!$D$23/2,ABS(R1146-'계산 과정'!$C$89)&lt;='계산 과정'!$D$24/2),1,0),"")</x:f>
        <x:v>0</x:v>
      </x:c>
      <x:c r="T1146" s="4"/>
      <x:c r="U1146" s="4"/>
      <x:c r="V1146" s="4"/>
      <x:c r="W1146" s="4"/>
      <x:c r="X1146" s="4"/>
      <x:c r="Y1146" s="4"/>
      <x:c r="Z1146" s="4"/>
    </x:row>
    <x:row r="1147" ht="23" customHeight="1">
      <x:c r="A1147" s="17" t="n">
        <x:f>ROW()-6</x:f>
        <x:v>1141</x:v>
      </x:c>
      <x:c r="B1147" s="4" t="n">
        <x:f>IF('계산 과정'!$L$5,'계산 과정'!$L$11*SQRT((A1147+0.5)/'계산 과정'!$L$30),"")</x:f>
        <x:v>111.98613108187772</x:v>
      </x:c>
      <x:c r="C1147" s="4" t="n">
        <x:f>A1147*PI()*(3-SQRT(5))</x:f>
        <x:v>2738.358045120393</x:v>
      </x:c>
      <x:c r="D1147" s="4" t="n">
        <x:f>IF('계산 과정'!$L$5,B1147*COS(C1147),"")</x:f>
        <x:v>49.72079894770342</x:v>
      </x:c>
      <x:c r="E1147" s="4" t="n">
        <x:f>IF('계산 과정'!$L$5,B1147*SIN(C1147),"")</x:f>
        <x:v>-100.34308997977665</x:v>
      </x:c>
      <x:c r="F1147" s="4" t="n">
        <x:f>IF('계산 과정'!$L$7,'계산 과정'!$L$22+'계산 과정'!$C$49*D1147+'계산 과정'!$D$49*E1147,"")</x:f>
        <x:v>614.842085898066</x:v>
      </x:c>
      <x:c r="G1147" s="4" t="n">
        <x:f>IF('계산 과정'!$L$7,IF(ABS(F1147)&gt;=1E-12*MAX(1,SQRT((D1147-'계산 과정'!$C$33)^2+(E1147-'계산 과정'!$D$33)^2+'계산 과정'!$E$33^2)),('계산 과정'!$L$23-'계산 과정'!$C$49*D1147-'계산 과정'!$D$49*E1147)/F1147,""),"")</x:f>
        <x:v>0.7077555751023823</x:v>
      </x:c>
      <x:c r="H1147" s="4" t="n">
        <x:f>IF(AND(ISNUMBER(G1147),G1147&gt;0),('계산 과정'!$D$56+'계산 과정'!$D$57*D1147+'계산 과정'!$D$58*E1147)/F1147,"")</x:f>
        <x:v>60.041123816548435</x:v>
      </x:c>
      <x:c r="I1147" s="4" t="n">
        <x:f>IF(AND(ISNUMBER(G1147),G1147&gt;0),('계산 과정'!$E$56+'계산 과정'!$E$57*D1147+'계산 과정'!$E$58*E1147)/F1147,"")</x:f>
        <x:v>-171.36147133596356</x:v>
      </x:c>
      <x:c r="J1147" s="4" t="n">
        <x:f>IF('계산 과정'!$L$5,'계산 과정'!$D$6+'계산 과정'!$C$35*D1147+'계산 과정'!$D$35*E1147,"")</x:f>
        <x:v>614.842085898066</x:v>
      </x:c>
      <x:c r="K1147" s="4" t="n">
        <x:f>IF(AND('계산 과정'!$L$6,J1147&gt;0),'계산 과정'!$D$10*('계산 과정'!$C$38*(D1147-'계산 과정'!$C$32)+'계산 과정'!$D$38*(E1147-'계산 과정'!$D$32)-'계산 과정'!$E$38*'계산 과정'!$E$32)/J1147,"")</x:f>
        <x:v>0.4574561814594177</x:v>
      </x:c>
      <x:c r="L1147" s="4" t="n">
        <x:f>IF(AND('계산 과정'!$L$6,J1147&gt;0),'계산 과정'!$D$10*('계산 과정'!$C$39*(D1147-'계산 과정'!$C$32)+'계산 과정'!$D$39*(E1147-'계산 과정'!$D$32)-'계산 과정'!$E$39*'계산 과정'!$E$32)/J1147,"")</x:f>
        <x:v>-1.30561121017877</x:v>
      </x:c>
      <x:c r="M1147" s="17" t="n">
        <x:f>IF('계산 과정'!$L$6,IF(J1147&lt;=0,0,IF(AND(ABS(K1147)&lt;='계산 과정'!$D$11/2,ABS(L1147)&lt;='계산 과정'!$D$12/2),1,0)),"")</x:f>
        <x:v>1</x:v>
      </x:c>
      <x:c r="N1147" s="17" t="n">
        <x:f>IF('계산 과정'!$C$78,IF(AND(ISNUMBER(H1147),ISNUMBER(I1147),ABS(H1147-'계산 과정'!$C$88)&lt;='계산 과정'!$D$23/2,ABS(I1147-'계산 과정'!$C$89)&lt;='계산 과정'!$D$24/2),1,0),"")</x:f>
        <x:v>1</x:v>
      </x:c>
      <x:c r="O1147" s="4" t="n">
        <x:f>IF('계산 과정'!$L$7,'계산 과정'!$C$49*('계산 과정'!$C$32-D1147)+'계산 과정'!$D$49*('계산 과정'!$D$32-E1147)+'계산 과정'!$E$49*'계산 과정'!$E$32,"")</x:f>
        <x:v>35.15791410193418</x:v>
      </x:c>
      <x:c r="P1147" s="4" t="n">
        <x:f>IF(AND('계산 과정'!$L$7,O1147&lt;&gt;0),('계산 과정'!$L$23-'계산 과정'!$C$49*D1147-'계산 과정'!$D$49*E1147)/O1147,"")</x:f>
        <x:v>12.377239242358641</x:v>
      </x:c>
      <x:c r="Q1147" s="4" t="str">
        <x:f>IF(AND(ISNUMBER(P1147),P1147&gt;1E-9,P1147&lt;1-1E-9),'계산 과정'!$C$47*(D1147-'계산 과정'!$C$50+P1147*('계산 과정'!$C$32-D1147))+'계산 과정'!$D$47*(E1147-'계산 과정'!$D$50+P1147*('계산 과정'!$D$32-E1147))+'계산 과정'!$E$47*(0-'계산 과정'!$E$50+P1147*('계산 과정'!$E$32-0)),"")</x:f>
      </x:c>
      <x:c r="R1147" s="4" t="str">
        <x:f>IF(AND(ISNUMBER(P1147),P1147&gt;1E-9,P1147&lt;1-1E-9),'계산 과정'!$C$48*(D1147-'계산 과정'!$C$50+P1147*('계산 과정'!$C$32-D1147))+'계산 과정'!$D$48*(E1147-'계산 과정'!$D$50+P1147*('계산 과정'!$D$32-E1147))+'계산 과정'!$E$48*(0-'계산 과정'!$E$50+P1147*('계산 과정'!$E$32-0)),"")</x:f>
      </x:c>
      <x:c r="S1147" s="17" t="n">
        <x:f>IF('계산 과정'!$C$78,IF(AND(ISNUMBER(Q1147),ISNUMBER(R1147),ABS(Q1147-'계산 과정'!$C$88)&lt;='계산 과정'!$D$23/2,ABS(R1147-'계산 과정'!$C$89)&lt;='계산 과정'!$D$24/2),1,0),"")</x:f>
        <x:v>0</x:v>
      </x:c>
      <x:c r="T1147" s="4"/>
      <x:c r="U1147" s="4"/>
      <x:c r="V1147" s="4"/>
      <x:c r="W1147" s="4"/>
      <x:c r="X1147" s="4"/>
      <x:c r="Y1147" s="4"/>
      <x:c r="Z1147" s="4"/>
    </x:row>
    <x:row r="1148" ht="23" customHeight="1">
      <x:c r="A1148" s="17" t="n">
        <x:f>ROW()-6</x:f>
        <x:v>1142</x:v>
      </x:c>
      <x:c r="B1148" s="4" t="n">
        <x:f>IF('계산 과정'!$L$5,'계산 과정'!$L$11*SQRT((A1148+0.5)/'계산 과정'!$L$30),"")</x:f>
        <x:v>112.03517252547299</x:v>
      </x:c>
      <x:c r="C1148" s="4" t="n">
        <x:f>A1148*PI()*(3-SQRT(5))</x:f>
        <x:v>2740.7580083501216</x:v>
      </x:c>
      <x:c r="D1148" s="4" t="n">
        <x:f>IF('계산 과정'!$L$5,B1148*COS(C1148),"")</x:f>
        <x:v>31.131841061007894</x:v>
      </x:c>
      <x:c r="E1148" s="4" t="n">
        <x:f>IF('계산 과정'!$L$5,B1148*SIN(C1148),"")</x:f>
        <x:v>107.62289884111392</x:v>
      </x:c>
      <x:c r="F1148" s="4" t="n">
        <x:f>IF('계산 과정'!$L$7,'계산 과정'!$L$22+'계산 과정'!$C$49*D1148+'계산 과정'!$D$49*E1148,"")</x:f>
        <x:v>627.9864640749395</x:v>
      </x:c>
      <x:c r="G1148" s="4" t="n">
        <x:f>IF('계산 과정'!$L$7,IF(ABS(F1148)&gt;=1E-12*MAX(1,SQRT((D1148-'계산 과정'!$C$33)^2+(E1148-'계산 과정'!$D$33)^2+'계산 과정'!$E$33^2)),('계산 과정'!$L$23-'계산 과정'!$C$49*D1148-'계산 과정'!$D$49*E1148)/F1148,""),"")</x:f>
        <x:v>0.6720105608433948</x:v>
      </x:c>
      <x:c r="H1148" s="4" t="n">
        <x:f>IF(AND(ISNUMBER(G1148),G1148&gt;0),('계산 과정'!$D$56+'계산 과정'!$D$57*D1148+'계산 과정'!$D$58*E1148)/F1148,"")</x:f>
        <x:v>36.80686454820649</x:v>
      </x:c>
      <x:c r="I1148" s="4" t="n">
        <x:f>IF(AND(ISNUMBER(G1148),G1148&gt;0),('계산 과정'!$E$56+'계산 과정'!$E$57*D1148+'계산 과정'!$E$58*E1148)/F1148,"")</x:f>
        <x:v>179.94662345092283</x:v>
      </x:c>
      <x:c r="J1148" s="4" t="n">
        <x:f>IF('계산 과정'!$L$5,'계산 과정'!$D$6+'계산 과정'!$C$35*D1148+'계산 과정'!$D$35*E1148,"")</x:f>
        <x:v>627.9864640749395</x:v>
      </x:c>
      <x:c r="K1148" s="4" t="n">
        <x:f>IF(AND('계산 과정'!$L$6,J1148&gt;0),'계산 과정'!$D$10*('계산 과정'!$C$38*(D1148-'계산 과정'!$C$32)+'계산 과정'!$D$38*(E1148-'계산 과정'!$D$32)-'계산 과정'!$E$38*'계산 과정'!$E$32)/J1148,"")</x:f>
        <x:v>0.2804332537006215</x:v>
      </x:c>
      <x:c r="L1148" s="4" t="n">
        <x:f>IF(AND('계산 과정'!$L$6,J1148&gt;0),'계산 과정'!$D$10*('계산 과정'!$C$39*(D1148-'계산 과정'!$C$32)+'계산 과정'!$D$39*(E1148-'계산 과정'!$D$32)-'계산 과정'!$E$39*'계산 과정'!$E$32)/J1148,"")</x:f>
        <x:v>1.3710218929594122</x:v>
      </x:c>
      <x:c r="M1148" s="17" t="n">
        <x:f>IF('계산 과정'!$L$6,IF(J1148&lt;=0,0,IF(AND(ABS(K1148)&lt;='계산 과정'!$D$11/2,ABS(L1148)&lt;='계산 과정'!$D$12/2),1,0)),"")</x:f>
        <x:v>1</x:v>
      </x:c>
      <x:c r="N1148" s="17" t="n">
        <x:f>IF('계산 과정'!$C$78,IF(AND(ISNUMBER(H1148),ISNUMBER(I1148),ABS(H1148-'계산 과정'!$C$88)&lt;='계산 과정'!$D$23/2,ABS(I1148-'계산 과정'!$C$89)&lt;='계산 과정'!$D$24/2),1,0),"")</x:f>
        <x:v>1</x:v>
      </x:c>
      <x:c r="O1148" s="4" t="n">
        <x:f>IF('계산 과정'!$L$7,'계산 과정'!$C$49*('계산 과정'!$C$32-D1148)+'계산 과정'!$D$49*('계산 과정'!$D$32-E1148)+'계산 과정'!$E$49*'계산 과정'!$E$32,"")</x:f>
        <x:v>22.01353592506058</x:v>
      </x:c>
      <x:c r="P1148" s="4" t="n">
        <x:f>IF(AND('계산 과정'!$L$7,O1148&lt;&gt;0),('계산 과정'!$L$23-'계산 과정'!$C$49*D1148-'계산 과정'!$D$49*E1148)/O1148,"")</x:f>
        <x:v>19.170638345502375</x:v>
      </x:c>
      <x:c r="Q1148" s="4" t="str">
        <x:f>IF(AND(ISNUMBER(P1148),P1148&gt;1E-9,P1148&lt;1-1E-9),'계산 과정'!$C$47*(D1148-'계산 과정'!$C$50+P1148*('계산 과정'!$C$32-D1148))+'계산 과정'!$D$47*(E1148-'계산 과정'!$D$50+P1148*('계산 과정'!$D$32-E1148))+'계산 과정'!$E$47*(0-'계산 과정'!$E$50+P1148*('계산 과정'!$E$32-0)),"")</x:f>
      </x:c>
      <x:c r="R1148" s="4" t="str">
        <x:f>IF(AND(ISNUMBER(P1148),P1148&gt;1E-9,P1148&lt;1-1E-9),'계산 과정'!$C$48*(D1148-'계산 과정'!$C$50+P1148*('계산 과정'!$C$32-D1148))+'계산 과정'!$D$48*(E1148-'계산 과정'!$D$50+P1148*('계산 과정'!$D$32-E1148))+'계산 과정'!$E$48*(0-'계산 과정'!$E$50+P1148*('계산 과정'!$E$32-0)),"")</x:f>
      </x:c>
      <x:c r="S1148" s="17" t="n">
        <x:f>IF('계산 과정'!$C$78,IF(AND(ISNUMBER(Q1148),ISNUMBER(R1148),ABS(Q1148-'계산 과정'!$C$88)&lt;='계산 과정'!$D$23/2,ABS(R1148-'계산 과정'!$C$89)&lt;='계산 과정'!$D$24/2),1,0),"")</x:f>
        <x:v>0</x:v>
      </x:c>
      <x:c r="T1148" s="4"/>
      <x:c r="U1148" s="4"/>
      <x:c r="V1148" s="4"/>
      <x:c r="W1148" s="4"/>
      <x:c r="X1148" s="4"/>
      <x:c r="Y1148" s="4"/>
      <x:c r="Z1148" s="4"/>
    </x:row>
    <x:row r="1149" ht="23" customHeight="1">
      <x:c r="A1149" s="17" t="n">
        <x:f>ROW()-6</x:f>
        <x:v>1143</x:v>
      </x:c>
      <x:c r="B1149" s="4" t="n">
        <x:f>IF('계산 과정'!$L$5,'계산 과정'!$L$11*SQRT((A1149+0.5)/'계산 과정'!$L$30),"")</x:f>
        <x:v>112.08419251142196</x:v>
      </x:c>
      <x:c r="C1149" s="4" t="n">
        <x:f>A1149*PI()*(3-SQRT(5))</x:f>
        <x:v>2743.1579715798503</x:v>
      </x:c>
      <x:c r="D1149" s="4" t="n">
        <x:f>IF('계산 과정'!$L$5,B1149*COS(C1149),"")</x:f>
        <x:v>-95.69572681882039</x:v>
      </x:c>
      <x:c r="E1149" s="4" t="n">
        <x:f>IF('계산 과정'!$L$5,B1149*SIN(C1149),"")</x:f>
        <x:v>-58.35404081599833</x:v>
      </x:c>
      <x:c r="F1149" s="4" t="n">
        <x:f>IF('계산 과정'!$L$7,'계산 과정'!$L$22+'계산 과정'!$C$49*D1149+'계산 과정'!$D$49*E1149,"")</x:f>
        <x:v>717.6670973641633</x:v>
      </x:c>
      <x:c r="G1149" s="4" t="n">
        <x:f>IF('계산 과정'!$L$7,IF(ABS(F1149)&gt;=1E-12*MAX(1,SQRT((D1149-'계산 과정'!$C$33)^2+(E1149-'계산 과정'!$D$33)^2+'계산 과정'!$E$33^2)),('계산 과정'!$L$23-'계산 과정'!$C$49*D1149-'계산 과정'!$D$49*E1149)/F1149,""),"")</x:f>
        <x:v>0.46307390133451</x:v>
      </x:c>
      <x:c r="H1149" s="4" t="n">
        <x:f>IF(AND(ISNUMBER(G1149),G1149&gt;0),('계산 과정'!$D$56+'계산 과정'!$D$57*D1149+'계산 과정'!$D$58*E1149)/F1149,"")</x:f>
        <x:v>-99.00196413256859</x:v>
      </x:c>
      <x:c r="I1149" s="4" t="n">
        <x:f>IF(AND(ISNUMBER(G1149),G1149&gt;0),('계산 과정'!$E$56+'계산 과정'!$E$57*D1149+'계산 과정'!$E$58*E1149)/F1149,"")</x:f>
        <x:v>-85.37627415529592</x:v>
      </x:c>
      <x:c r="J1149" s="4" t="n">
        <x:f>IF('계산 과정'!$L$5,'계산 과정'!$D$6+'계산 과정'!$C$35*D1149+'계산 과정'!$D$35*E1149,"")</x:f>
        <x:v>717.6670973641633</x:v>
      </x:c>
      <x:c r="K1149" s="4" t="n">
        <x:f>IF(AND('계산 과정'!$L$6,J1149&gt;0),'계산 과정'!$D$10*('계산 과정'!$C$38*(D1149-'계산 과정'!$C$32)+'계산 과정'!$D$38*(E1149-'계산 과정'!$D$32)-'계산 과정'!$E$38*'계산 과정'!$E$32)/J1149,"")</x:f>
        <x:v>-0.7543006791052839</x:v>
      </x:c>
      <x:c r="L1149" s="4" t="n">
        <x:f>IF(AND('계산 과정'!$L$6,J1149&gt;0),'계산 과정'!$D$10*('계산 과정'!$C$39*(D1149-'계산 과정'!$C$32)+'계산 과정'!$D$39*(E1149-'계산 과정'!$D$32)-'계산 과정'!$E$39*'계산 과정'!$E$32)/J1149,"")</x:f>
        <x:v>-0.6504858983260641</x:v>
      </x:c>
      <x:c r="M1149" s="17" t="n">
        <x:f>IF('계산 과정'!$L$6,IF(J1149&lt;=0,0,IF(AND(ABS(K1149)&lt;='계산 과정'!$D$11/2,ABS(L1149)&lt;='계산 과정'!$D$12/2),1,0)),"")</x:f>
        <x:v>1</x:v>
      </x:c>
      <x:c r="N1149" s="17" t="n">
        <x:f>IF('계산 과정'!$C$78,IF(AND(ISNUMBER(H1149),ISNUMBER(I1149),ABS(H1149-'계산 과정'!$C$88)&lt;='계산 과정'!$D$23/2,ABS(I1149-'계산 과정'!$C$89)&lt;='계산 과정'!$D$24/2),1,0),"")</x:f>
        <x:v>1</x:v>
      </x:c>
      <x:c r="O1149" s="4" t="n">
        <x:f>IF('계산 과정'!$L$7,'계산 과정'!$C$49*('계산 과정'!$C$32-D1149)+'계산 과정'!$D$49*('계산 과정'!$D$32-E1149)+'계산 과정'!$E$49*'계산 과정'!$E$32,"")</x:f>
        <x:v>-67.66709736416311</x:v>
      </x:c>
      <x:c r="P1149" s="4" t="n">
        <x:f>IF(AND('계산 과정'!$L$7,O1149&lt;&gt;0),('계산 과정'!$L$23-'계산 과정'!$C$49*D1149-'계산 과정'!$D$49*E1149)/O1149,"")</x:f>
        <x:v>-4.911292423957913</x:v>
      </x:c>
      <x:c r="Q1149" s="4" t="str">
        <x:f>IF(AND(ISNUMBER(P1149),P1149&gt;1E-9,P1149&lt;1-1E-9),'계산 과정'!$C$47*(D1149-'계산 과정'!$C$50+P1149*('계산 과정'!$C$32-D1149))+'계산 과정'!$D$47*(E1149-'계산 과정'!$D$50+P1149*('계산 과정'!$D$32-E1149))+'계산 과정'!$E$47*(0-'계산 과정'!$E$50+P1149*('계산 과정'!$E$32-0)),"")</x:f>
      </x:c>
      <x:c r="R1149" s="4" t="str">
        <x:f>IF(AND(ISNUMBER(P1149),P1149&gt;1E-9,P1149&lt;1-1E-9),'계산 과정'!$C$48*(D1149-'계산 과정'!$C$50+P1149*('계산 과정'!$C$32-D1149))+'계산 과정'!$D$48*(E1149-'계산 과정'!$D$50+P1149*('계산 과정'!$D$32-E1149))+'계산 과정'!$E$48*(0-'계산 과정'!$E$50+P1149*('계산 과정'!$E$32-0)),"")</x:f>
      </x:c>
      <x:c r="S1149" s="17" t="n">
        <x:f>IF('계산 과정'!$C$78,IF(AND(ISNUMBER(Q1149),ISNUMBER(R1149),ABS(Q1149-'계산 과정'!$C$88)&lt;='계산 과정'!$D$23/2,ABS(R1149-'계산 과정'!$C$89)&lt;='계산 과정'!$D$24/2),1,0),"")</x:f>
        <x:v>0</x:v>
      </x:c>
      <x:c r="T1149" s="4"/>
      <x:c r="U1149" s="4"/>
      <x:c r="V1149" s="4"/>
      <x:c r="W1149" s="4"/>
      <x:c r="X1149" s="4"/>
      <x:c r="Y1149" s="4"/>
      <x:c r="Z1149" s="4"/>
    </x:row>
    <x:row r="1150" ht="23" customHeight="1">
      <x:c r="A1150" s="17" t="n">
        <x:f>ROW()-6</x:f>
        <x:v>1144</x:v>
      </x:c>
      <x:c r="B1150" s="4" t="n">
        <x:f>IF('계산 과정'!$L$5,'계산 과정'!$L$11*SQRT((A1150+0.5)/'계산 과정'!$L$30),"")</x:f>
        <x:v>112.13319106786581</x:v>
      </x:c>
      <x:c r="C1150" s="4" t="n">
        <x:f>A1150*PI()*(3-SQRT(5))</x:f>
        <x:v>2745.557934809579</x:v>
      </x:c>
      <x:c r="D1150" s="4" t="n">
        <x:f>IF('계산 과정'!$L$5,B1150*COS(C1150),"")</x:f>
        <x:v>110.02871789356264</x:v>
      </x:c>
      <x:c r="E1150" s="4" t="n">
        <x:f>IF('계산 과정'!$L$5,B1150*SIN(C1150),"")</x:f>
        <x:v>-21.62252940248453</x:v>
      </x:c>
      <x:c r="F1150" s="4" t="n">
        <x:f>IF('계산 과정'!$L$7,'계산 과정'!$L$22+'계산 과정'!$C$49*D1150+'계산 과정'!$D$49*E1150,"")</x:f>
        <x:v>572.1979474522002</x:v>
      </x:c>
      <x:c r="G1150" s="4" t="n">
        <x:f>IF('계산 과정'!$L$7,IF(ABS(F1150)&gt;=1E-12*MAX(1,SQRT((D1150-'계산 과정'!$C$33)^2+(E1150-'계산 과정'!$D$33)^2+'계산 과정'!$E$33^2)),('계산 과정'!$L$23-'계산 과정'!$C$49*D1150-'계산 과정'!$D$49*E1150)/F1150,""),"")</x:f>
        <x:v>0.8350293017919537</x:v>
      </x:c>
      <x:c r="H1150" s="4" t="n">
        <x:f>IF(AND(ISNUMBER(G1150),G1150&gt;0),('계산 과정'!$D$56+'계산 과정'!$D$57*D1150+'계산 과정'!$D$58*E1150)/F1150,"")</x:f>
        <x:v>142.76904616476983</x:v>
      </x:c>
      <x:c r="I1150" s="4" t="n">
        <x:f>IF(AND(ISNUMBER(G1150),G1150&gt;0),('계산 과정'!$E$56+'계산 과정'!$E$57*D1150+'계산 과정'!$E$58*E1150)/F1150,"")</x:f>
        <x:v>-39.67797503241718</x:v>
      </x:c>
      <x:c r="J1150" s="4" t="n">
        <x:f>IF('계산 과정'!$L$5,'계산 과정'!$D$6+'계산 과정'!$C$35*D1150+'계산 과정'!$D$35*E1150,"")</x:f>
        <x:v>572.1979474522002</x:v>
      </x:c>
      <x:c r="K1150" s="4" t="n">
        <x:f>IF(AND('계산 과정'!$L$6,J1150&gt;0),'계산 과정'!$D$10*('계산 과정'!$C$38*(D1150-'계산 과정'!$C$32)+'계산 과정'!$D$38*(E1150-'계산 과정'!$D$32)-'계산 과정'!$E$38*'계산 과정'!$E$32)/J1150,"")</x:f>
        <x:v>1.0877641612553899</x:v>
      </x:c>
      <x:c r="L1150" s="4" t="n">
        <x:f>IF(AND('계산 과정'!$L$6,J1150&gt;0),'계산 과정'!$D$10*('계산 과정'!$C$39*(D1150-'계산 과정'!$C$32)+'계산 과정'!$D$39*(E1150-'계산 과정'!$D$32)-'계산 과정'!$E$39*'계산 과정'!$E$32)/J1150,"")</x:f>
        <x:v>-0.302308381199369</x:v>
      </x:c>
      <x:c r="M1150" s="17" t="n">
        <x:f>IF('계산 과정'!$L$6,IF(J1150&lt;=0,0,IF(AND(ABS(K1150)&lt;='계산 과정'!$D$11/2,ABS(L1150)&lt;='계산 과정'!$D$12/2),1,0)),"")</x:f>
        <x:v>1</x:v>
      </x:c>
      <x:c r="N1150" s="17" t="n">
        <x:f>IF('계산 과정'!$C$78,IF(AND(ISNUMBER(H1150),ISNUMBER(I1150),ABS(H1150-'계산 과정'!$C$88)&lt;='계산 과정'!$D$23/2,ABS(I1150-'계산 과정'!$C$89)&lt;='계산 과정'!$D$24/2),1,0),"")</x:f>
        <x:v>1</x:v>
      </x:c>
      <x:c r="O1150" s="4" t="n">
        <x:f>IF('계산 과정'!$L$7,'계산 과정'!$C$49*('계산 과정'!$C$32-D1150)+'계산 과정'!$D$49*('계산 과정'!$D$32-E1150)+'계산 과정'!$E$49*'계산 과정'!$E$32,"")</x:f>
        <x:v>77.80205254779989</x:v>
      </x:c>
      <x:c r="P1150" s="4" t="n">
        <x:f>IF(AND('계산 과정'!$L$7,O1150&lt;&gt;0),('계산 과정'!$L$23-'계산 과정'!$C$49*D1150-'계산 과정'!$D$49*E1150)/O1150,"")</x:f>
        <x:v>6.141252536419249</x:v>
      </x:c>
      <x:c r="Q1150" s="4" t="str">
        <x:f>IF(AND(ISNUMBER(P1150),P1150&gt;1E-9,P1150&lt;1-1E-9),'계산 과정'!$C$47*(D1150-'계산 과정'!$C$50+P1150*('계산 과정'!$C$32-D1150))+'계산 과정'!$D$47*(E1150-'계산 과정'!$D$50+P1150*('계산 과정'!$D$32-E1150))+'계산 과정'!$E$47*(0-'계산 과정'!$E$50+P1150*('계산 과정'!$E$32-0)),"")</x:f>
      </x:c>
      <x:c r="R1150" s="4" t="str">
        <x:f>IF(AND(ISNUMBER(P1150),P1150&gt;1E-9,P1150&lt;1-1E-9),'계산 과정'!$C$48*(D1150-'계산 과정'!$C$50+P1150*('계산 과정'!$C$32-D1150))+'계산 과정'!$D$48*(E1150-'계산 과정'!$D$50+P1150*('계산 과정'!$D$32-E1150))+'계산 과정'!$E$48*(0-'계산 과정'!$E$50+P1150*('계산 과정'!$E$32-0)),"")</x:f>
      </x:c>
      <x:c r="S1150" s="17" t="n">
        <x:f>IF('계산 과정'!$C$78,IF(AND(ISNUMBER(Q1150),ISNUMBER(R1150),ABS(Q1150-'계산 과정'!$C$88)&lt;='계산 과정'!$D$23/2,ABS(R1150-'계산 과정'!$C$89)&lt;='계산 과정'!$D$24/2),1,0),"")</x:f>
        <x:v>0</x:v>
      </x:c>
      <x:c r="T1150" s="4"/>
      <x:c r="U1150" s="4"/>
      <x:c r="V1150" s="4"/>
      <x:c r="W1150" s="4"/>
      <x:c r="X1150" s="4"/>
      <x:c r="Y1150" s="4"/>
      <x:c r="Z1150" s="4"/>
    </x:row>
    <x:row r="1151" ht="23" customHeight="1">
      <x:c r="A1151" s="17" t="n">
        <x:f>ROW()-6</x:f>
        <x:v>1145</x:v>
      </x:c>
      <x:c r="B1151" s="4" t="n">
        <x:f>IF('계산 과정'!$L$5,'계산 과정'!$L$11*SQRT((A1151+0.5)/'계산 과정'!$L$30),"")</x:f>
        <x:v>112.18216822288426</x:v>
      </x:c>
      <x:c r="C1151" s="4" t="n">
        <x:f>A1151*PI()*(3-SQRT(5))</x:f>
        <x:v>2747.9578980393076</x:v>
      </x:c>
      <x:c r="D1151" s="4" t="n">
        <x:f>IF('계산 과정'!$L$5,B1151*COS(C1151),"")</x:f>
        <x:v>-66.55500049687127</x:v>
      </x:c>
      <x:c r="E1151" s="4" t="n">
        <x:f>IF('계산 과정'!$L$5,B1151*SIN(C1151),"")</x:f>
        <x:v>90.30653783668693</x:v>
      </x:c>
      <x:c r="F1151" s="4" t="n">
        <x:f>IF('계산 과정'!$L$7,'계산 과정'!$L$22+'계산 과정'!$C$49*D1151+'계산 과정'!$D$49*E1151,"")</x:f>
        <x:v>697.0614921732117</x:v>
      </x:c>
      <x:c r="G1151" s="4" t="n">
        <x:f>IF('계산 과정'!$L$7,IF(ABS(F1151)&gt;=1E-12*MAX(1,SQRT((D1151-'계산 과정'!$C$33)^2+(E1151-'계산 과정'!$D$33)^2+'계산 과정'!$E$33^2)),('계산 과정'!$L$23-'계산 과정'!$C$49*D1151-'계산 과정'!$D$49*E1151)/F1151,""),"")</x:f>
        <x:v>0.5063233470643177</x:v>
      </x:c>
      <x:c r="H1151" s="4" t="n">
        <x:f>IF(AND(ISNUMBER(G1151),G1151&gt;0),('계산 과정'!$D$56+'계산 과정'!$D$57*D1151+'계산 과정'!$D$58*E1151)/F1151,"")</x:f>
        <x:v>-70.88982440819359</x:v>
      </x:c>
      <x:c r="I1151" s="4" t="n">
        <x:f>IF(AND(ISNUMBER(G1151),G1151&gt;0),('계산 과정'!$E$56+'계산 과정'!$E$57*D1151+'계산 과정'!$E$58*E1151)/F1151,"")</x:f>
        <x:v>136.03084633594872</x:v>
      </x:c>
      <x:c r="J1151" s="4" t="n">
        <x:f>IF('계산 과정'!$L$5,'계산 과정'!$D$6+'계산 과정'!$C$35*D1151+'계산 과정'!$D$35*E1151,"")</x:f>
        <x:v>697.0614921732117</x:v>
      </x:c>
      <x:c r="K1151" s="4" t="n">
        <x:f>IF(AND('계산 과정'!$L$6,J1151&gt;0),'계산 과정'!$D$10*('계산 과정'!$C$38*(D1151-'계산 과정'!$C$32)+'계산 과정'!$D$38*(E1151-'계산 과정'!$D$32)-'계산 과정'!$E$38*'계산 과정'!$E$32)/J1151,"")</x:f>
        <x:v>-0.5401129478719496</x:v>
      </x:c>
      <x:c r="L1151" s="4" t="n">
        <x:f>IF(AND('계산 과정'!$L$6,J1151&gt;0),'계산 과정'!$D$10*('계산 과정'!$C$39*(D1151-'계산 과정'!$C$32)+'계산 과정'!$D$39*(E1151-'계산 과정'!$D$32)-'계산 과정'!$E$39*'계산 과정'!$E$32)/J1151,"")</x:f>
        <x:v>1.0364254958929424</x:v>
      </x:c>
      <x:c r="M1151" s="17" t="n">
        <x:f>IF('계산 과정'!$L$6,IF(J1151&lt;=0,0,IF(AND(ABS(K1151)&lt;='계산 과정'!$D$11/2,ABS(L1151)&lt;='계산 과정'!$D$12/2),1,0)),"")</x:f>
        <x:v>1</x:v>
      </x:c>
      <x:c r="N1151" s="17" t="n">
        <x:f>IF('계산 과정'!$C$78,IF(AND(ISNUMBER(H1151),ISNUMBER(I1151),ABS(H1151-'계산 과정'!$C$88)&lt;='계산 과정'!$D$23/2,ABS(I1151-'계산 과정'!$C$89)&lt;='계산 과정'!$D$24/2),1,0),"")</x:f>
        <x:v>1</x:v>
      </x:c>
      <x:c r="O1151" s="4" t="n">
        <x:f>IF('계산 과정'!$L$7,'계산 과정'!$C$49*('계산 과정'!$C$32-D1151)+'계산 과정'!$D$49*('계산 과정'!$D$32-E1151)+'계산 과정'!$E$49*'계산 과정'!$E$32,"")</x:f>
        <x:v>-47.06149217321155</x:v>
      </x:c>
      <x:c r="P1151" s="4" t="n">
        <x:f>IF(AND('계산 과정'!$L$7,O1151&lt;&gt;0),('계산 과정'!$L$23-'계산 과정'!$C$49*D1151-'계산 과정'!$D$49*E1151)/O1151,"")</x:f>
        <x:v>-7.499518003547044</x:v>
      </x:c>
      <x:c r="Q1151" s="4" t="str">
        <x:f>IF(AND(ISNUMBER(P1151),P1151&gt;1E-9,P1151&lt;1-1E-9),'계산 과정'!$C$47*(D1151-'계산 과정'!$C$50+P1151*('계산 과정'!$C$32-D1151))+'계산 과정'!$D$47*(E1151-'계산 과정'!$D$50+P1151*('계산 과정'!$D$32-E1151))+'계산 과정'!$E$47*(0-'계산 과정'!$E$50+P1151*('계산 과정'!$E$32-0)),"")</x:f>
      </x:c>
      <x:c r="R1151" s="4" t="str">
        <x:f>IF(AND(ISNUMBER(P1151),P1151&gt;1E-9,P1151&lt;1-1E-9),'계산 과정'!$C$48*(D1151-'계산 과정'!$C$50+P1151*('계산 과정'!$C$32-D1151))+'계산 과정'!$D$48*(E1151-'계산 과정'!$D$50+P1151*('계산 과정'!$D$32-E1151))+'계산 과정'!$E$48*(0-'계산 과정'!$E$50+P1151*('계산 과정'!$E$32-0)),"")</x:f>
      </x:c>
      <x:c r="S1151" s="17" t="n">
        <x:f>IF('계산 과정'!$C$78,IF(AND(ISNUMBER(Q1151),ISNUMBER(R1151),ABS(Q1151-'계산 과정'!$C$88)&lt;='계산 과정'!$D$23/2,ABS(R1151-'계산 과정'!$C$89)&lt;='계산 과정'!$D$24/2),1,0),"")</x:f>
        <x:v>0</x:v>
      </x:c>
      <x:c r="T1151" s="4"/>
      <x:c r="U1151" s="4"/>
      <x:c r="V1151" s="4"/>
      <x:c r="W1151" s="4"/>
      <x:c r="X1151" s="4"/>
      <x:c r="Y1151" s="4"/>
      <x:c r="Z1151" s="4"/>
    </x:row>
    <x:row r="1152" ht="23" customHeight="1">
      <x:c r="A1152" s="17" t="n">
        <x:f>ROW()-6</x:f>
        <x:v>1146</x:v>
      </x:c>
      <x:c r="B1152" s="4" t="n">
        <x:f>IF('계산 과정'!$L$5,'계산 과정'!$L$11*SQRT((A1152+0.5)/'계산 과정'!$L$30),"")</x:f>
        <x:v>112.23112400449574</x:v>
      </x:c>
      <x:c r="C1152" s="4" t="n">
        <x:f>A1152*PI()*(3-SQRT(5))</x:f>
        <x:v>2750.357861269036</x:v>
      </x:c>
      <x:c r="D1152" s="4" t="n">
        <x:f>IF('계산 과정'!$L$5,B1152*COS(C1152),"")</x:f>
        <x:v>-11.930808048730523</x:v>
      </x:c>
      <x:c r="E1152" s="4" t="n">
        <x:f>IF('계산 과정'!$L$5,B1152*SIN(C1152),"")</x:f>
        <x:v>-111.595165731392</x:v>
      </x:c>
      <x:c r="F1152" s="4" t="n">
        <x:f>IF('계산 과정'!$L$7,'계산 과정'!$L$22+'계산 과정'!$C$49*D1152+'계산 과정'!$D$49*E1152,"")</x:f>
        <x:v>658.4363552762924</x:v>
      </x:c>
      <x:c r="G1152" s="4" t="n">
        <x:f>IF('계산 과정'!$L$7,IF(ABS(F1152)&gt;=1E-12*MAX(1,SQRT((D1152-'계산 과정'!$C$33)^2+(E1152-'계산 과정'!$D$33)^2+'계산 과정'!$E$33^2)),('계산 과정'!$L$23-'계산 과정'!$C$49*D1152-'계산 과정'!$D$49*E1152)/F1152,""),"")</x:f>
        <x:v>0.5946871578186173</x:v>
      </x:c>
      <x:c r="H1152" s="4" t="n">
        <x:f>IF(AND(ISNUMBER(G1152),G1152&gt;0),('계산 과정'!$D$56+'계산 과정'!$D$57*D1152+'계산 과정'!$D$58*E1152)/F1152,"")</x:f>
        <x:v>-13.45334741789893</x:v>
      </x:c>
      <x:c r="I1152" s="4" t="n">
        <x:f>IF(AND(ISNUMBER(G1152),G1152&gt;0),('계산 과정'!$E$56+'계산 과정'!$E$57*D1152+'계산 과정'!$E$58*E1152)/F1152,"")</x:f>
        <x:v>-177.95937766649106</x:v>
      </x:c>
      <x:c r="J1152" s="4" t="n">
        <x:f>IF('계산 과정'!$L$5,'계산 과정'!$D$6+'계산 과정'!$C$35*D1152+'계산 과정'!$D$35*E1152,"")</x:f>
        <x:v>658.4363552762924</x:v>
      </x:c>
      <x:c r="K1152" s="4" t="n">
        <x:f>IF(AND('계산 과정'!$L$6,J1152&gt;0),'계산 과정'!$D$10*('계산 과정'!$C$38*(D1152-'계산 과정'!$C$32)+'계산 과정'!$D$38*(E1152-'계산 과정'!$D$32)-'계산 과정'!$E$38*'계산 과정'!$E$32)/J1152,"")</x:f>
        <x:v>-0.10250169461256216</x:v>
      </x:c>
      <x:c r="L1152" s="4" t="n">
        <x:f>IF(AND('계산 과정'!$L$6,J1152&gt;0),'계산 과정'!$D$10*('계산 과정'!$C$39*(D1152-'계산 과정'!$C$32)+'계산 과정'!$D$39*(E1152-'계산 과정'!$D$32)-'계산 과정'!$E$39*'계산 과정'!$E$32)/J1152,"")</x:f>
        <x:v>-1.3558809726970749</x:v>
      </x:c>
      <x:c r="M1152" s="17" t="n">
        <x:f>IF('계산 과정'!$L$6,IF(J1152&lt;=0,0,IF(AND(ABS(K1152)&lt;='계산 과정'!$D$11/2,ABS(L1152)&lt;='계산 과정'!$D$12/2),1,0)),"")</x:f>
        <x:v>1</x:v>
      </x:c>
      <x:c r="N1152" s="17" t="n">
        <x:f>IF('계산 과정'!$C$78,IF(AND(ISNUMBER(H1152),ISNUMBER(I1152),ABS(H1152-'계산 과정'!$C$88)&lt;='계산 과정'!$D$23/2,ABS(I1152-'계산 과정'!$C$89)&lt;='계산 과정'!$D$24/2),1,0),"")</x:f>
        <x:v>1</x:v>
      </x:c>
      <x:c r="O1152" s="4" t="n">
        <x:f>IF('계산 과정'!$L$7,'계산 과정'!$C$49*('계산 과정'!$C$32-D1152)+'계산 과정'!$D$49*('계산 과정'!$D$32-E1152)+'계산 과정'!$E$49*'계산 과정'!$E$32,"")</x:f>
        <x:v>-8.436355276292261</x:v>
      </x:c>
      <x:c r="P1152" s="4" t="n">
        <x:f>IF(AND('계산 과정'!$L$7,O1152&lt;&gt;0),('계산 과정'!$L$23-'계산 과정'!$C$49*D1152-'계산 과정'!$D$49*E1152)/O1152,"")</x:f>
        <x:v>-46.413840088512494</x:v>
      </x:c>
      <x:c r="Q1152" s="4" t="str">
        <x:f>IF(AND(ISNUMBER(P1152),P1152&gt;1E-9,P1152&lt;1-1E-9),'계산 과정'!$C$47*(D1152-'계산 과정'!$C$50+P1152*('계산 과정'!$C$32-D1152))+'계산 과정'!$D$47*(E1152-'계산 과정'!$D$50+P1152*('계산 과정'!$D$32-E1152))+'계산 과정'!$E$47*(0-'계산 과정'!$E$50+P1152*('계산 과정'!$E$32-0)),"")</x:f>
      </x:c>
      <x:c r="R1152" s="4" t="str">
        <x:f>IF(AND(ISNUMBER(P1152),P1152&gt;1E-9,P1152&lt;1-1E-9),'계산 과정'!$C$48*(D1152-'계산 과정'!$C$50+P1152*('계산 과정'!$C$32-D1152))+'계산 과정'!$D$48*(E1152-'계산 과정'!$D$50+P1152*('계산 과정'!$D$32-E1152))+'계산 과정'!$E$48*(0-'계산 과정'!$E$50+P1152*('계산 과정'!$E$32-0)),"")</x:f>
      </x:c>
      <x:c r="S1152" s="17" t="n">
        <x:f>IF('계산 과정'!$C$78,IF(AND(ISNUMBER(Q1152),ISNUMBER(R1152),ABS(Q1152-'계산 과정'!$C$88)&lt;='계산 과정'!$D$23/2,ABS(R1152-'계산 과정'!$C$89)&lt;='계산 과정'!$D$24/2),1,0),"")</x:f>
        <x:v>0</x:v>
      </x:c>
      <x:c r="T1152" s="4"/>
      <x:c r="U1152" s="4"/>
      <x:c r="V1152" s="4"/>
      <x:c r="W1152" s="4"/>
      <x:c r="X1152" s="4"/>
      <x:c r="Y1152" s="4"/>
      <x:c r="Z1152" s="4"/>
    </x:row>
    <x:row r="1153" ht="23" customHeight="1">
      <x:c r="A1153" s="17" t="n">
        <x:f>ROW()-6</x:f>
        <x:v>1147</x:v>
      </x:c>
      <x:c r="B1153" s="4" t="n">
        <x:f>IF('계산 과정'!$L$5,'계산 과정'!$L$11*SQRT((A1153+0.5)/'계산 과정'!$L$30),"")</x:f>
        <x:v>112.28005844065767</x:v>
      </x:c>
      <x:c r="C1153" s="4" t="n">
        <x:f>A1153*PI()*(3-SQRT(5))</x:f>
        <x:v>2752.757824498765</x:v>
      </x:c>
      <x:c r="D1153" s="4" t="n">
        <x:f>IF('계산 과정'!$L$5,B1153*COS(C1153),"")</x:f>
        <x:v>84.21556111521261</x:v>
      </x:c>
      <x:c r="E1153" s="4" t="n">
        <x:f>IF('계산 과정'!$L$5,B1153*SIN(C1153),"")</x:f>
        <x:v>74.2600214751342</x:v>
      </x:c>
      <x:c r="F1153" s="4" t="n">
        <x:f>IF('계산 과정'!$L$7,'계산 과정'!$L$22+'계산 과정'!$C$49*D1153+'계산 과정'!$D$49*E1153,"")</x:f>
        <x:v>590.4506056540031</x:v>
      </x:c>
      <x:c r="G1153" s="4" t="n">
        <x:f>IF('계산 과정'!$L$7,IF(ABS(F1153)&gt;=1E-12*MAX(1,SQRT((D1153-'계산 과정'!$C$33)^2+(E1153-'계산 과정'!$D$33)^2+'계산 과정'!$E$33^2)),('계산 과정'!$L$23-'계산 과정'!$C$49*D1153-'계산 과정'!$D$49*E1153)/F1153,""),"")</x:f>
        <x:v>0.7783028587750952</x:v>
      </x:c>
      <x:c r="H1153" s="4" t="n">
        <x:f>IF(AND(ISNUMBER(G1153),G1153&gt;0),('계산 과정'!$D$56+'계산 과정'!$D$57*D1153+'계산 과정'!$D$58*E1153)/F1153,"")</x:f>
        <x:v>105.89685820381177</x:v>
      </x:c>
      <x:c r="I1153" s="4" t="n">
        <x:f>IF(AND(ISNUMBER(G1153),G1153&gt;0),('계산 과정'!$E$56+'계산 과정'!$E$57*D1153+'계산 과정'!$E$58*E1153)/F1153,"")</x:f>
        <x:v>132.05680848193109</x:v>
      </x:c>
      <x:c r="J1153" s="4" t="n">
        <x:f>IF('계산 과정'!$L$5,'계산 과정'!$D$6+'계산 과정'!$C$35*D1153+'계산 과정'!$D$35*E1153,"")</x:f>
        <x:v>590.4506056540031</x:v>
      </x:c>
      <x:c r="K1153" s="4" t="n">
        <x:f>IF(AND('계산 과정'!$L$6,J1153&gt;0),'계산 과정'!$D$10*('계산 과정'!$C$38*(D1153-'계산 과정'!$C$32)+'계산 과정'!$D$38*(E1153-'계산 과정'!$D$32)-'계산 과정'!$E$38*'계산 과정'!$E$32)/J1153,"")</x:f>
        <x:v>0.8068332053623763</x:v>
      </x:c>
      <x:c r="L1153" s="4" t="n">
        <x:f>IF(AND('계산 과정'!$L$6,J1153&gt;0),'계산 과정'!$D$10*('계산 과정'!$C$39*(D1153-'계산 과정'!$C$32)+'계산 과정'!$D$39*(E1153-'계산 과정'!$D$32)-'계산 과정'!$E$39*'계산 과정'!$E$32)/J1153,"")</x:f>
        <x:v>1.0061471122432846</x:v>
      </x:c>
      <x:c r="M1153" s="17" t="n">
        <x:f>IF('계산 과정'!$L$6,IF(J1153&lt;=0,0,IF(AND(ABS(K1153)&lt;='계산 과정'!$D$11/2,ABS(L1153)&lt;='계산 과정'!$D$12/2),1,0)),"")</x:f>
        <x:v>1</x:v>
      </x:c>
      <x:c r="N1153" s="17" t="n">
        <x:f>IF('계산 과정'!$C$78,IF(AND(ISNUMBER(H1153),ISNUMBER(I1153),ABS(H1153-'계산 과정'!$C$88)&lt;='계산 과정'!$D$23/2,ABS(I1153-'계산 과정'!$C$89)&lt;='계산 과정'!$D$24/2),1,0),"")</x:f>
        <x:v>1</x:v>
      </x:c>
      <x:c r="O1153" s="4" t="n">
        <x:f>IF('계산 과정'!$L$7,'계산 과정'!$C$49*('계산 과정'!$C$32-D1153)+'계산 과정'!$D$49*('계산 과정'!$D$32-E1153)+'계산 과정'!$E$49*'계산 과정'!$E$32,"")</x:f>
        <x:v>59.54939434599709</x:v>
      </x:c>
      <x:c r="P1153" s="4" t="n">
        <x:f>IF(AND('계산 과정'!$L$7,O1153&lt;&gt;0),('계산 과정'!$L$23-'계산 과정'!$C$49*D1153-'계산 과정'!$D$49*E1153)/O1153,"")</x:f>
        <x:v>7.717112816897825</x:v>
      </x:c>
      <x:c r="Q1153" s="4" t="str">
        <x:f>IF(AND(ISNUMBER(P1153),P1153&gt;1E-9,P1153&lt;1-1E-9),'계산 과정'!$C$47*(D1153-'계산 과정'!$C$50+P1153*('계산 과정'!$C$32-D1153))+'계산 과정'!$D$47*(E1153-'계산 과정'!$D$50+P1153*('계산 과정'!$D$32-E1153))+'계산 과정'!$E$47*(0-'계산 과정'!$E$50+P1153*('계산 과정'!$E$32-0)),"")</x:f>
      </x:c>
      <x:c r="R1153" s="4" t="str">
        <x:f>IF(AND(ISNUMBER(P1153),P1153&gt;1E-9,P1153&lt;1-1E-9),'계산 과정'!$C$48*(D1153-'계산 과정'!$C$50+P1153*('계산 과정'!$C$32-D1153))+'계산 과정'!$D$48*(E1153-'계산 과정'!$D$50+P1153*('계산 과정'!$D$32-E1153))+'계산 과정'!$E$48*(0-'계산 과정'!$E$50+P1153*('계산 과정'!$E$32-0)),"")</x:f>
      </x:c>
      <x:c r="S1153" s="17" t="n">
        <x:f>IF('계산 과정'!$C$78,IF(AND(ISNUMBER(Q1153),ISNUMBER(R1153),ABS(Q1153-'계산 과정'!$C$88)&lt;='계산 과정'!$D$23/2,ABS(R1153-'계산 과정'!$C$89)&lt;='계산 과정'!$D$24/2),1,0),"")</x:f>
        <x:v>0</x:v>
      </x:c>
      <x:c r="T1153" s="4"/>
      <x:c r="U1153" s="4"/>
      <x:c r="V1153" s="4"/>
      <x:c r="W1153" s="4"/>
      <x:c r="X1153" s="4"/>
      <x:c r="Y1153" s="4"/>
      <x:c r="Z1153" s="4"/>
    </x:row>
    <x:row r="1154" ht="23" customHeight="1">
      <x:c r="A1154" s="17" t="n">
        <x:f>ROW()-6</x:f>
        <x:v>1148</x:v>
      </x:c>
      <x:c r="B1154" s="4" t="n">
        <x:f>IF('계산 과정'!$L$5,'계산 과정'!$L$11*SQRT((A1154+0.5)/'계산 과정'!$L$30),"")</x:f>
        <x:v>112.32897155926649</x:v>
      </x:c>
      <x:c r="C1154" s="4" t="n">
        <x:f>A1154*PI()*(3-SQRT(5))</x:f>
        <x:v>2755.1577877284935</x:v>
      </x:c>
      <x:c r="D1154" s="4" t="n">
        <x:f>IF('계산 과정'!$L$5,B1154*COS(C1154),"")</x:f>
        <x:v>-112.30876189277124</x:v>
      </x:c>
      <x:c r="E1154" s="4" t="n">
        <x:f>IF('계산 과정'!$L$5,B1154*SIN(C1154),"")</x:f>
        <x:v>2.130693238200781</x:v>
      </x:c>
      <x:c r="F1154" s="4" t="n">
        <x:f>IF('계산 과정'!$L$7,'계산 과정'!$L$22+'계산 과정'!$C$49*D1154+'계산 과정'!$D$49*E1154,"")</x:f>
        <x:v>729.4142871210438</x:v>
      </x:c>
      <x:c r="G1154" s="4" t="n">
        <x:f>IF('계산 과정'!$L$7,IF(ABS(F1154)&gt;=1E-12*MAX(1,SQRT((D1154-'계산 과정'!$C$33)^2+(E1154-'계산 과정'!$D$33)^2+'계산 과정'!$E$33^2)),('계산 과정'!$L$23-'계산 과정'!$C$49*D1154-'계산 과정'!$D$49*E1154)/F1154,""),"")</x:f>
        <x:v>0.43951115098703303</x:v>
      </x:c>
      <x:c r="H1154" s="4" t="n">
        <x:f>IF(AND(ISNUMBER(G1154),G1154&gt;0),('계산 과정'!$D$56+'계산 과정'!$D$57*D1154+'계산 과정'!$D$58*E1154)/F1154,"")</x:f>
        <x:v>-114.31775185842871</x:v>
      </x:c>
      <x:c r="I1154" s="4" t="n">
        <x:f>IF(AND(ISNUMBER(G1154),G1154&gt;0),('계산 과정'!$E$56+'계산 과정'!$E$57*D1154+'계산 과정'!$E$58*E1154)/F1154,"")</x:f>
        <x:v>3.067156675722695</x:v>
      </x:c>
      <x:c r="J1154" s="4" t="n">
        <x:f>IF('계산 과정'!$L$5,'계산 과정'!$D$6+'계산 과정'!$C$35*D1154+'계산 과정'!$D$35*E1154,"")</x:f>
        <x:v>729.4142871210438</x:v>
      </x:c>
      <x:c r="K1154" s="4" t="n">
        <x:f>IF(AND('계산 과정'!$L$6,J1154&gt;0),'계산 과정'!$D$10*('계산 과정'!$C$38*(D1154-'계산 과정'!$C$32)+'계산 과정'!$D$38*(E1154-'계산 과정'!$D$32)-'계산 과정'!$E$38*'계산 과정'!$E$32)/J1154,"")</x:f>
        <x:v>-0.8709923951118367</x:v>
      </x:c>
      <x:c r="L1154" s="4" t="n">
        <x:f>IF(AND('계산 과정'!$L$6,J1154&gt;0),'계산 과정'!$D$10*('계산 과정'!$C$39*(D1154-'계산 과정'!$C$32)+'계산 과정'!$D$39*(E1154-'계산 과정'!$D$32)-'계산 과정'!$E$39*'계산 과정'!$E$32)/J1154,"")</x:f>
        <x:v>0.02336881276741101</x:v>
      </x:c>
      <x:c r="M1154" s="17" t="n">
        <x:f>IF('계산 과정'!$L$6,IF(J1154&lt;=0,0,IF(AND(ABS(K1154)&lt;='계산 과정'!$D$11/2,ABS(L1154)&lt;='계산 과정'!$D$12/2),1,0)),"")</x:f>
        <x:v>1</x:v>
      </x:c>
      <x:c r="N1154" s="17" t="n">
        <x:f>IF('계산 과정'!$C$78,IF(AND(ISNUMBER(H1154),ISNUMBER(I1154),ABS(H1154-'계산 과정'!$C$88)&lt;='계산 과정'!$D$23/2,ABS(I1154-'계산 과정'!$C$89)&lt;='계산 과정'!$D$24/2),1,0),"")</x:f>
        <x:v>1</x:v>
      </x:c>
      <x:c r="O1154" s="4" t="n">
        <x:f>IF('계산 과정'!$L$7,'계산 과정'!$C$49*('계산 과정'!$C$32-D1154)+'계산 과정'!$D$49*('계산 과정'!$D$32-E1154)+'계산 과정'!$E$49*'계산 과정'!$E$32,"")</x:f>
        <x:v>-79.41428712104374</x:v>
      </x:c>
      <x:c r="P1154" s="4" t="n">
        <x:f>IF(AND('계산 과정'!$L$7,O1154&lt;&gt;0),('계산 과정'!$L$23-'계산 과정'!$C$49*D1154-'계산 과정'!$D$49*E1154)/O1154,"")</x:f>
        <x:v>-4.036877046951481</x:v>
      </x:c>
      <x:c r="Q1154" s="4" t="str">
        <x:f>IF(AND(ISNUMBER(P1154),P1154&gt;1E-9,P1154&lt;1-1E-9),'계산 과정'!$C$47*(D1154-'계산 과정'!$C$50+P1154*('계산 과정'!$C$32-D1154))+'계산 과정'!$D$47*(E1154-'계산 과정'!$D$50+P1154*('계산 과정'!$D$32-E1154))+'계산 과정'!$E$47*(0-'계산 과정'!$E$50+P1154*('계산 과정'!$E$32-0)),"")</x:f>
      </x:c>
      <x:c r="R1154" s="4" t="str">
        <x:f>IF(AND(ISNUMBER(P1154),P1154&gt;1E-9,P1154&lt;1-1E-9),'계산 과정'!$C$48*(D1154-'계산 과정'!$C$50+P1154*('계산 과정'!$C$32-D1154))+'계산 과정'!$D$48*(E1154-'계산 과정'!$D$50+P1154*('계산 과정'!$D$32-E1154))+'계산 과정'!$E$48*(0-'계산 과정'!$E$50+P1154*('계산 과정'!$E$32-0)),"")</x:f>
      </x:c>
      <x:c r="S1154" s="17" t="n">
        <x:f>IF('계산 과정'!$C$78,IF(AND(ISNUMBER(Q1154),ISNUMBER(R1154),ABS(Q1154-'계산 과정'!$C$88)&lt;='계산 과정'!$D$23/2,ABS(R1154-'계산 과정'!$C$89)&lt;='계산 과정'!$D$24/2),1,0),"")</x:f>
        <x:v>0</x:v>
      </x:c>
      <x:c r="T1154" s="4"/>
      <x:c r="U1154" s="4"/>
      <x:c r="V1154" s="4"/>
      <x:c r="W1154" s="4"/>
      <x:c r="X1154" s="4"/>
      <x:c r="Y1154" s="4"/>
      <x:c r="Z1154" s="4"/>
    </x:row>
    <x:row r="1155" ht="23" customHeight="1">
      <x:c r="A1155" s="17" t="n">
        <x:f>ROW()-6</x:f>
        <x:v>1149</x:v>
      </x:c>
      <x:c r="B1155" s="4" t="n">
        <x:f>IF('계산 과정'!$L$5,'계산 과정'!$L$11*SQRT((A1155+0.5)/'계산 과정'!$L$30),"")</x:f>
        <x:v>112.37786338815799</x:v>
      </x:c>
      <x:c r="C1155" s="4" t="n">
        <x:f>A1155*PI()*(3-SQRT(5))</x:f>
        <x:v>2757.557750958222</x:v>
      </x:c>
      <x:c r="D1155" s="4" t="n">
        <x:f>IF('계산 과정'!$L$5,B1155*COS(C1155),"")</x:f>
        <x:v>81.40914153233034</x:v>
      </x:c>
      <x:c r="E1155" s="4" t="n">
        <x:f>IF('계산 과정'!$L$5,B1155*SIN(C1155),"")</x:f>
        <x:v>-77.46828934897495</x:v>
      </x:c>
      <x:c r="F1155" s="4" t="n">
        <x:f>IF('계산 과정'!$L$7,'계산 과정'!$L$22+'계산 과정'!$C$49*D1155+'계산 과정'!$D$49*E1155,"")</x:f>
        <x:v>592.4350439719138</x:v>
      </x:c>
      <x:c r="G1155" s="4" t="n">
        <x:f>IF('계산 과정'!$L$7,IF(ABS(F1155)&gt;=1E-12*MAX(1,SQRT((D1155-'계산 과정'!$C$33)^2+(E1155-'계산 과정'!$D$33)^2+'계산 과정'!$E$33^2)),('계산 과정'!$L$23-'계산 과정'!$C$49*D1155-'계산 과정'!$D$49*E1155)/F1155,""),"")</x:f>
        <x:v>0.7723462018053382</x:v>
      </x:c>
      <x:c r="H1155" s="4" t="n">
        <x:f>IF(AND(ISNUMBER(G1155),G1155&gt;0),('계산 과정'!$D$56+'계산 과정'!$D$57*D1155+'계산 과정'!$D$58*E1155)/F1155,"")</x:f>
        <x:v>102.02503117346977</x:v>
      </x:c>
      <x:c r="I1155" s="4" t="n">
        <x:f>IF(AND(ISNUMBER(G1155),G1155&gt;0),('계산 과정'!$E$56+'계산 과정'!$E$57*D1155+'계산 과정'!$E$58*E1155)/F1155,"")</x:f>
        <x:v>-137.30062838801268</x:v>
      </x:c>
      <x:c r="J1155" s="4" t="n">
        <x:f>IF('계산 과정'!$L$5,'계산 과정'!$D$6+'계산 과정'!$C$35*D1155+'계산 과정'!$D$35*E1155,"")</x:f>
        <x:v>592.4350439719138</x:v>
      </x:c>
      <x:c r="K1155" s="4" t="n">
        <x:f>IF(AND('계산 과정'!$L$6,J1155&gt;0),'계산 과정'!$D$10*('계산 과정'!$C$38*(D1155-'계산 과정'!$C$32)+'계산 과정'!$D$38*(E1155-'계산 과정'!$D$32)-'계산 과정'!$E$38*'계산 과정'!$E$32)/J1155,"")</x:f>
        <x:v>0.777333570845485</x:v>
      </x:c>
      <x:c r="L1155" s="4" t="n">
        <x:f>IF(AND('계산 과정'!$L$6,J1155&gt;0),'계산 과정'!$D$10*('계산 과정'!$C$39*(D1155-'계산 과정'!$C$32)+'계산 과정'!$D$39*(E1155-'계산 과정'!$D$32)-'계산 과정'!$E$39*'계산 과정'!$E$32)/J1155,"")</x:f>
        <x:v>-1.0461000258134299</x:v>
      </x:c>
      <x:c r="M1155" s="17" t="n">
        <x:f>IF('계산 과정'!$L$6,IF(J1155&lt;=0,0,IF(AND(ABS(K1155)&lt;='계산 과정'!$D$11/2,ABS(L1155)&lt;='계산 과정'!$D$12/2),1,0)),"")</x:f>
        <x:v>1</x:v>
      </x:c>
      <x:c r="N1155" s="17" t="n">
        <x:f>IF('계산 과정'!$C$78,IF(AND(ISNUMBER(H1155),ISNUMBER(I1155),ABS(H1155-'계산 과정'!$C$88)&lt;='계산 과정'!$D$23/2,ABS(I1155-'계산 과정'!$C$89)&lt;='계산 과정'!$D$24/2),1,0),"")</x:f>
        <x:v>1</x:v>
      </x:c>
      <x:c r="O1155" s="4" t="n">
        <x:f>IF('계산 과정'!$L$7,'계산 과정'!$C$49*('계산 과정'!$C$32-D1155)+'계산 과정'!$D$49*('계산 과정'!$D$32-E1155)+'계산 과정'!$E$49*'계산 과정'!$E$32,"")</x:f>
        <x:v>57.56495602808633</x:v>
      </x:c>
      <x:c r="P1155" s="4" t="n">
        <x:f>IF(AND('계산 과정'!$L$7,O1155&lt;&gt;0),('계산 과정'!$L$23-'계산 과정'!$C$49*D1155-'계산 과정'!$D$49*E1155)/O1155,"")</x:f>
        <x:v>7.948672032422593</x:v>
      </x:c>
      <x:c r="Q1155" s="4" t="str">
        <x:f>IF(AND(ISNUMBER(P1155),P1155&gt;1E-9,P1155&lt;1-1E-9),'계산 과정'!$C$47*(D1155-'계산 과정'!$C$50+P1155*('계산 과정'!$C$32-D1155))+'계산 과정'!$D$47*(E1155-'계산 과정'!$D$50+P1155*('계산 과정'!$D$32-E1155))+'계산 과정'!$E$47*(0-'계산 과정'!$E$50+P1155*('계산 과정'!$E$32-0)),"")</x:f>
      </x:c>
      <x:c r="R1155" s="4" t="str">
        <x:f>IF(AND(ISNUMBER(P1155),P1155&gt;1E-9,P1155&lt;1-1E-9),'계산 과정'!$C$48*(D1155-'계산 과정'!$C$50+P1155*('계산 과정'!$C$32-D1155))+'계산 과정'!$D$48*(E1155-'계산 과정'!$D$50+P1155*('계산 과정'!$D$32-E1155))+'계산 과정'!$E$48*(0-'계산 과정'!$E$50+P1155*('계산 과정'!$E$32-0)),"")</x:f>
      </x:c>
      <x:c r="S1155" s="17" t="n">
        <x:f>IF('계산 과정'!$C$78,IF(AND(ISNUMBER(Q1155),ISNUMBER(R1155),ABS(Q1155-'계산 과정'!$C$88)&lt;='계산 과정'!$D$23/2,ABS(R1155-'계산 과정'!$C$89)&lt;='계산 과정'!$D$24/2),1,0),"")</x:f>
        <x:v>0</x:v>
      </x:c>
      <x:c r="T1155" s="4"/>
      <x:c r="U1155" s="4"/>
      <x:c r="V1155" s="4"/>
      <x:c r="W1155" s="4"/>
      <x:c r="X1155" s="4"/>
      <x:c r="Y1155" s="4"/>
      <x:c r="Z1155" s="4"/>
    </x:row>
    <x:row r="1156" ht="23" customHeight="1">
      <x:c r="A1156" s="17" t="n">
        <x:f>ROW()-6</x:f>
        <x:v>1150</x:v>
      </x:c>
      <x:c r="B1156" s="4" t="n">
        <x:f>IF('계산 과정'!$L$5,'계산 과정'!$L$11*SQRT((A1156+0.5)/'계산 과정'!$L$30),"")</x:f>
        <x:v>112.42673395510741</x:v>
      </x:c>
      <x:c r="C1156" s="4" t="n">
        <x:f>A1156*PI()*(3-SQRT(5))</x:f>
        <x:v>2759.957714187951</x:v>
      </x:c>
      <x:c r="D1156" s="4" t="n">
        <x:f>IF('계산 과정'!$L$5,B1156*COS(C1156),"")</x:f>
        <x:v>-7.702838121050386</x:v>
      </x:c>
      <x:c r="E1156" s="4" t="n">
        <x:f>IF('계산 과정'!$L$5,B1156*SIN(C1156),"")</x:f>
        <x:v>112.1625463008637</x:v>
      </x:c>
      <x:c r="F1156" s="4" t="n">
        <x:f>IF('계산 과정'!$L$7,'계산 과정'!$L$22+'계산 과정'!$C$49*D1156+'계산 과정'!$D$49*E1156,"")</x:f>
        <x:v>655.446729069777</x:v>
      </x:c>
      <x:c r="G1156" s="4" t="n">
        <x:f>IF('계산 과정'!$L$7,IF(ABS(F1156)&gt;=1E-12*MAX(1,SQRT((D1156-'계산 과정'!$C$33)^2+(E1156-'계산 과정'!$D$33)^2+'계산 과정'!$E$33^2)),('계산 과정'!$L$23-'계산 과정'!$C$49*D1156-'계산 과정'!$D$49*E1156)/F1156,""),"")</x:f>
        <x:v>0.6019608511742531</x:v>
      </x:c>
      <x:c r="H1156" s="4" t="n">
        <x:f>IF(AND(ISNUMBER(G1156),G1156&gt;0),('계산 과정'!$D$56+'계산 과정'!$D$57*D1156+'계산 과정'!$D$58*E1156)/F1156,"")</x:f>
        <x:v>-8.725446736735579</x:v>
      </x:c>
      <x:c r="I1156" s="4" t="n">
        <x:f>IF(AND(ISNUMBER(G1156),G1156&gt;0),('계산 과정'!$E$56+'계산 과정'!$E$57*D1156+'계산 과정'!$E$58*E1156)/F1156,"")</x:f>
        <x:v>179.68000814200317</x:v>
      </x:c>
      <x:c r="J1156" s="4" t="n">
        <x:f>IF('계산 과정'!$L$5,'계산 과정'!$D$6+'계산 과정'!$C$35*D1156+'계산 과정'!$D$35*E1156,"")</x:f>
        <x:v>655.446729069777</x:v>
      </x:c>
      <x:c r="K1156" s="4" t="n">
        <x:f>IF(AND('계산 과정'!$L$6,J1156&gt;0),'계산 과정'!$D$10*('계산 과정'!$C$38*(D1156-'계산 과정'!$C$32)+'계산 과정'!$D$38*(E1156-'계산 과정'!$D$32)-'계산 과정'!$E$38*'계산 과정'!$E$32)/J1156,"")</x:f>
        <x:v>-0.0664795941846509</x:v>
      </x:c>
      <x:c r="L1156" s="4" t="n">
        <x:f>IF(AND('계산 과정'!$L$6,J1156&gt;0),'계산 과정'!$D$10*('계산 과정'!$C$39*(D1156-'계산 과정'!$C$32)+'계산 과정'!$D$39*(E1156-'계산 과정'!$D$32)-'계산 과정'!$E$39*'계산 과정'!$E$32)/J1156,"")</x:f>
        <x:v>1.368990538224786</x:v>
      </x:c>
      <x:c r="M1156" s="17" t="n">
        <x:f>IF('계산 과정'!$L$6,IF(J1156&lt;=0,0,IF(AND(ABS(K1156)&lt;='계산 과정'!$D$11/2,ABS(L1156)&lt;='계산 과정'!$D$12/2),1,0)),"")</x:f>
        <x:v>1</x:v>
      </x:c>
      <x:c r="N1156" s="17" t="n">
        <x:f>IF('계산 과정'!$C$78,IF(AND(ISNUMBER(H1156),ISNUMBER(I1156),ABS(H1156-'계산 과정'!$C$88)&lt;='계산 과정'!$D$23/2,ABS(I1156-'계산 과정'!$C$89)&lt;='계산 과정'!$D$24/2),1,0),"")</x:f>
        <x:v>1</x:v>
      </x:c>
      <x:c r="O1156" s="4" t="n">
        <x:f>IF('계산 과정'!$L$7,'계산 과정'!$C$49*('계산 과정'!$C$32-D1156)+'계산 과정'!$D$49*('계산 과정'!$D$32-E1156)+'계산 과정'!$E$49*'계산 과정'!$E$32,"")</x:f>
        <x:v>-5.446729069776836</x:v>
      </x:c>
      <x:c r="P1156" s="4" t="n">
        <x:f>IF(AND('계산 과정'!$L$7,O1156&lt;&gt;0),('계산 과정'!$L$23-'계산 과정'!$C$49*D1156-'계산 과정'!$D$49*E1156)/O1156,"")</x:f>
        <x:v>-72.43857109022474</x:v>
      </x:c>
      <x:c r="Q1156" s="4" t="str">
        <x:f>IF(AND(ISNUMBER(P1156),P1156&gt;1E-9,P1156&lt;1-1E-9),'계산 과정'!$C$47*(D1156-'계산 과정'!$C$50+P1156*('계산 과정'!$C$32-D1156))+'계산 과정'!$D$47*(E1156-'계산 과정'!$D$50+P1156*('계산 과정'!$D$32-E1156))+'계산 과정'!$E$47*(0-'계산 과정'!$E$50+P1156*('계산 과정'!$E$32-0)),"")</x:f>
      </x:c>
      <x:c r="R1156" s="4" t="str">
        <x:f>IF(AND(ISNUMBER(P1156),P1156&gt;1E-9,P1156&lt;1-1E-9),'계산 과정'!$C$48*(D1156-'계산 과정'!$C$50+P1156*('계산 과정'!$C$32-D1156))+'계산 과정'!$D$48*(E1156-'계산 과정'!$D$50+P1156*('계산 과정'!$D$32-E1156))+'계산 과정'!$E$48*(0-'계산 과정'!$E$50+P1156*('계산 과정'!$E$32-0)),"")</x:f>
      </x:c>
      <x:c r="S1156" s="17" t="n">
        <x:f>IF('계산 과정'!$C$78,IF(AND(ISNUMBER(Q1156),ISNUMBER(R1156),ABS(Q1156-'계산 과정'!$C$88)&lt;='계산 과정'!$D$23/2,ABS(R1156-'계산 과정'!$C$89)&lt;='계산 과정'!$D$24/2),1,0),"")</x:f>
        <x:v>0</x:v>
      </x:c>
      <x:c r="T1156" s="4"/>
      <x:c r="U1156" s="4"/>
      <x:c r="V1156" s="4"/>
      <x:c r="W1156" s="4"/>
      <x:c r="X1156" s="4"/>
      <x:c r="Y1156" s="4"/>
      <x:c r="Z1156" s="4"/>
    </x:row>
    <x:row r="1157" ht="23" customHeight="1">
      <x:c r="A1157" s="17" t="n">
        <x:f>ROW()-6</x:f>
        <x:v>1151</x:v>
      </x:c>
      <x:c r="B1157" s="4" t="n">
        <x:f>IF('계산 과정'!$L$5,'계산 과정'!$L$11*SQRT((A1157+0.5)/'계산 과정'!$L$30),"")</x:f>
        <x:v>112.47558328782962</x:v>
      </x:c>
      <x:c r="C1157" s="4" t="n">
        <x:f>A1157*PI()*(3-SQRT(5))</x:f>
        <x:v>2762.3576774176795</x:v>
      </x:c>
      <x:c r="D1157" s="4" t="n">
        <x:f>IF('계산 과정'!$L$5,B1157*COS(C1157),"")</x:f>
        <x:v>-70.11533013032287</x:v>
      </x:c>
      <x:c r="E1157" s="4" t="n">
        <x:f>IF('계산 과정'!$L$5,B1157*SIN(C1157),"")</x:f>
        <x:v>-87.94655943613334</x:v>
      </x:c>
      <x:c r="F1157" s="4" t="n">
        <x:f>IF('계산 과정'!$L$7,'계산 과정'!$L$22+'계산 과정'!$C$49*D1157+'계산 과정'!$D$49*E1157,"")</x:f>
        <x:v>699.5790254002848</x:v>
      </x:c>
      <x:c r="G1157" s="4" t="n">
        <x:f>IF('계산 과정'!$L$7,IF(ABS(F1157)&gt;=1E-12*MAX(1,SQRT((D1157-'계산 과정'!$C$33)^2+(E1157-'계산 과정'!$D$33)^2+'계산 과정'!$E$33^2)),('계산 과정'!$L$23-'계산 과정'!$C$49*D1157-'계산 과정'!$D$49*E1157)/F1157,""),"")</x:f>
        <x:v>0.5009026312634395</x:v>
      </x:c>
      <x:c r="H1157" s="4" t="n">
        <x:f>IF(AND(ISNUMBER(G1157),G1157&gt;0),('계산 과정'!$D$56+'계산 과정'!$D$57*D1157+'계산 과정'!$D$58*E1157)/F1157,"")</x:f>
        <x:v>-74.41328967876441</x:v>
      </x:c>
      <x:c r="I1157" s="4" t="n">
        <x:f>IF(AND(ISNUMBER(G1157),G1157&gt;0),('계산 과정'!$E$56+'계산 과정'!$E$57*D1157+'계산 과정'!$E$58*E1157)/F1157,"")</x:f>
        <x:v>-131.999222468259</x:v>
      </x:c>
      <x:c r="J1157" s="4" t="n">
        <x:f>IF('계산 과정'!$L$5,'계산 과정'!$D$6+'계산 과정'!$C$35*D1157+'계산 과정'!$D$35*E1157,"")</x:f>
        <x:v>699.5790254002848</x:v>
      </x:c>
      <x:c r="K1157" s="4" t="n">
        <x:f>IF(AND('계산 과정'!$L$6,J1157&gt;0),'계산 과정'!$D$10*('계산 과정'!$C$38*(D1157-'계산 과정'!$C$32)+'계산 과정'!$D$38*(E1157-'계산 과정'!$D$32)-'계산 과정'!$E$38*'계산 과정'!$E$32)/J1157,"")</x:f>
        <x:v>-0.5669583975524893</x:v>
      </x:c>
      <x:c r="L1157" s="4" t="n">
        <x:f>IF(AND('계산 과정'!$L$6,J1157&gt;0),'계산 과정'!$D$10*('계산 과정'!$C$39*(D1157-'계산 과정'!$C$32)+'계산 과정'!$D$39*(E1157-'계산 과정'!$D$32)-'계산 과정'!$E$39*'계산 과정'!$E$32)/J1157,"")</x:f>
        <x:v>-1.0057083616629259</x:v>
      </x:c>
      <x:c r="M1157" s="17" t="n">
        <x:f>IF('계산 과정'!$L$6,IF(J1157&lt;=0,0,IF(AND(ABS(K1157)&lt;='계산 과정'!$D$11/2,ABS(L1157)&lt;='계산 과정'!$D$12/2),1,0)),"")</x:f>
        <x:v>1</x:v>
      </x:c>
      <x:c r="N1157" s="17" t="n">
        <x:f>IF('계산 과정'!$C$78,IF(AND(ISNUMBER(H1157),ISNUMBER(I1157),ABS(H1157-'계산 과정'!$C$88)&lt;='계산 과정'!$D$23/2,ABS(I1157-'계산 과정'!$C$89)&lt;='계산 과정'!$D$24/2),1,0),"")</x:f>
        <x:v>1</x:v>
      </x:c>
      <x:c r="O1157" s="4" t="n">
        <x:f>IF('계산 과정'!$L$7,'계산 과정'!$C$49*('계산 과정'!$C$32-D1157)+'계산 과정'!$D$49*('계산 과정'!$D$32-E1157)+'계산 과정'!$E$49*'계산 과정'!$E$32,"")</x:f>
        <x:v>-49.57902540028459</x:v>
      </x:c>
      <x:c r="P1157" s="4" t="n">
        <x:f>IF(AND('계산 과정'!$L$7,O1157&lt;&gt;0),('계산 과정'!$L$23-'계산 과정'!$C$49*D1157-'계산 과정'!$D$49*E1157)/O1157,"")</x:f>
        <x:v>-7.0679278539772135</x:v>
      </x:c>
      <x:c r="Q1157" s="4" t="str">
        <x:f>IF(AND(ISNUMBER(P1157),P1157&gt;1E-9,P1157&lt;1-1E-9),'계산 과정'!$C$47*(D1157-'계산 과정'!$C$50+P1157*('계산 과정'!$C$32-D1157))+'계산 과정'!$D$47*(E1157-'계산 과정'!$D$50+P1157*('계산 과정'!$D$32-E1157))+'계산 과정'!$E$47*(0-'계산 과정'!$E$50+P1157*('계산 과정'!$E$32-0)),"")</x:f>
      </x:c>
      <x:c r="R1157" s="4" t="str">
        <x:f>IF(AND(ISNUMBER(P1157),P1157&gt;1E-9,P1157&lt;1-1E-9),'계산 과정'!$C$48*(D1157-'계산 과정'!$C$50+P1157*('계산 과정'!$C$32-D1157))+'계산 과정'!$D$48*(E1157-'계산 과정'!$D$50+P1157*('계산 과정'!$D$32-E1157))+'계산 과정'!$E$48*(0-'계산 과정'!$E$50+P1157*('계산 과정'!$E$32-0)),"")</x:f>
      </x:c>
      <x:c r="S1157" s="17" t="n">
        <x:f>IF('계산 과정'!$C$78,IF(AND(ISNUMBER(Q1157),ISNUMBER(R1157),ABS(Q1157-'계산 과정'!$C$88)&lt;='계산 과정'!$D$23/2,ABS(R1157-'계산 과정'!$C$89)&lt;='계산 과정'!$D$24/2),1,0),"")</x:f>
        <x:v>0</x:v>
      </x:c>
      <x:c r="T1157" s="4"/>
      <x:c r="U1157" s="4"/>
      <x:c r="V1157" s="4"/>
      <x:c r="W1157" s="4"/>
      <x:c r="X1157" s="4"/>
      <x:c r="Y1157" s="4"/>
      <x:c r="Z1157" s="4"/>
    </x:row>
    <x:row r="1158" ht="23" customHeight="1">
      <x:c r="A1158" s="17" t="n">
        <x:f>ROW()-6</x:f>
        <x:v>1152</x:v>
      </x:c>
      <x:c r="B1158" s="4" t="n">
        <x:f>IF('계산 과정'!$L$5,'계산 과정'!$L$11*SQRT((A1158+0.5)/'계산 과정'!$L$30),"")</x:f>
        <x:v>112.52441141397941</x:v>
      </x:c>
      <x:c r="C1158" s="4" t="n">
        <x:f>A1158*PI()*(3-SQRT(5))</x:f>
        <x:v>2764.757640647408</x:v>
      </x:c>
      <x:c r="D1158" s="4" t="n">
        <x:f>IF('계산 과정'!$L$5,B1158*COS(C1158),"")</x:f>
        <x:v>111.15614401600236</x:v>
      </x:c>
      <x:c r="E1158" s="4" t="n">
        <x:f>IF('계산 과정'!$L$5,B1158*SIN(C1158),"")</x:f>
        <x:v>17.49442229844251</x:v>
      </x:c>
      <x:c r="F1158" s="4" t="n">
        <x:f>IF('계산 과정'!$L$7,'계산 과정'!$L$22+'계산 과정'!$C$49*D1158+'계산 과정'!$D$49*E1158,"")</x:f>
        <x:v>571.4007367957363</x:v>
      </x:c>
      <x:c r="G1158" s="4" t="n">
        <x:f>IF('계산 과정'!$L$7,IF(ABS(F1158)&gt;=1E-12*MAX(1,SQRT((D1158-'계산 과정'!$C$33)^2+(E1158-'계산 과정'!$D$33)^2+'계산 과정'!$E$33^2)),('계산 과정'!$L$23-'계산 과정'!$C$49*D1158-'계산 과정'!$D$49*E1158)/F1158,""),"")</x:f>
        <x:v>0.8375895101013019</x:v>
      </x:c>
      <x:c r="H1158" s="4" t="n">
        <x:f>IF(AND(ISNUMBER(G1158),G1158&gt;0),('계산 과정'!$D$56+'계산 과정'!$D$57*D1158+'계산 과정'!$D$58*E1158)/F1158,"")</x:f>
        <x:v>144.4331815658462</x:v>
      </x:c>
      <x:c r="I1158" s="4" t="n">
        <x:f>IF(AND(ISNUMBER(G1158),G1158&gt;0),('계산 과정'!$E$56+'계산 과정'!$E$57*D1158+'계산 과정'!$E$58*E1158)/F1158,"")</x:f>
        <x:v>32.147566900900266</x:v>
      </x:c>
      <x:c r="J1158" s="4" t="n">
        <x:f>IF('계산 과정'!$L$5,'계산 과정'!$D$6+'계산 과정'!$C$35*D1158+'계산 과정'!$D$35*E1158,"")</x:f>
        <x:v>571.4007367957363</x:v>
      </x:c>
      <x:c r="K1158" s="4" t="n">
        <x:f>IF(AND('계산 과정'!$L$6,J1158&gt;0),'계산 과정'!$D$10*('계산 과정'!$C$38*(D1158-'계산 과정'!$C$32)+'계산 과정'!$D$38*(E1158-'계산 과정'!$D$32)-'계산 과정'!$E$38*'계산 과정'!$E$32)/J1158,"")</x:f>
        <x:v>1.100443288120734</x:v>
      </x:c>
      <x:c r="L1158" s="4" t="n">
        <x:f>IF(AND('계산 과정'!$L$6,J1158&gt;0),'계산 과정'!$D$10*('계산 과정'!$C$39*(D1158-'계산 과정'!$C$32)+'계산 과정'!$D$39*(E1158-'계산 과정'!$D$32)-'계산 과정'!$E$39*'계산 과정'!$E$32)/J1158,"")</x:f>
        <x:v>0.2449338430544782</x:v>
      </x:c>
      <x:c r="M1158" s="17" t="n">
        <x:f>IF('계산 과정'!$L$6,IF(J1158&lt;=0,0,IF(AND(ABS(K1158)&lt;='계산 과정'!$D$11/2,ABS(L1158)&lt;='계산 과정'!$D$12/2),1,0)),"")</x:f>
        <x:v>1</x:v>
      </x:c>
      <x:c r="N1158" s="17" t="n">
        <x:f>IF('계산 과정'!$C$78,IF(AND(ISNUMBER(H1158),ISNUMBER(I1158),ABS(H1158-'계산 과정'!$C$88)&lt;='계산 과정'!$D$23/2,ABS(I1158-'계산 과정'!$C$89)&lt;='계산 과정'!$D$24/2),1,0),"")</x:f>
        <x:v>1</x:v>
      </x:c>
      <x:c r="O1158" s="4" t="n">
        <x:f>IF('계산 과정'!$L$7,'계산 과정'!$C$49*('계산 과정'!$C$32-D1158)+'계산 과정'!$D$49*('계산 과정'!$D$32-E1158)+'계산 과정'!$E$49*'계산 과정'!$E$32,"")</x:f>
        <x:v>78.59926320426385</x:v>
      </x:c>
      <x:c r="P1158" s="4" t="n">
        <x:f>IF(AND('계산 과정'!$L$7,O1158&lt;&gt;0),('계산 과정'!$L$23-'계산 과정'!$C$49*D1158-'계산 과정'!$D$49*E1158)/O1158,"")</x:f>
        <x:v>6.089106229411838</x:v>
      </x:c>
      <x:c r="Q1158" s="4" t="str">
        <x:f>IF(AND(ISNUMBER(P1158),P1158&gt;1E-9,P1158&lt;1-1E-9),'계산 과정'!$C$47*(D1158-'계산 과정'!$C$50+P1158*('계산 과정'!$C$32-D1158))+'계산 과정'!$D$47*(E1158-'계산 과정'!$D$50+P1158*('계산 과정'!$D$32-E1158))+'계산 과정'!$E$47*(0-'계산 과정'!$E$50+P1158*('계산 과정'!$E$32-0)),"")</x:f>
      </x:c>
      <x:c r="R1158" s="4" t="str">
        <x:f>IF(AND(ISNUMBER(P1158),P1158&gt;1E-9,P1158&lt;1-1E-9),'계산 과정'!$C$48*(D1158-'계산 과정'!$C$50+P1158*('계산 과정'!$C$32-D1158))+'계산 과정'!$D$48*(E1158-'계산 과정'!$D$50+P1158*('계산 과정'!$D$32-E1158))+'계산 과정'!$E$48*(0-'계산 과정'!$E$50+P1158*('계산 과정'!$E$32-0)),"")</x:f>
      </x:c>
      <x:c r="S1158" s="17" t="n">
        <x:f>IF('계산 과정'!$C$78,IF(AND(ISNUMBER(Q1158),ISNUMBER(R1158),ABS(Q1158-'계산 과정'!$C$88)&lt;='계산 과정'!$D$23/2,ABS(R1158-'계산 과정'!$C$89)&lt;='계산 과정'!$D$24/2),1,0),"")</x:f>
        <x:v>0</x:v>
      </x:c>
      <x:c r="T1158" s="4"/>
      <x:c r="U1158" s="4"/>
      <x:c r="V1158" s="4"/>
      <x:c r="W1158" s="4"/>
      <x:c r="X1158" s="4"/>
      <x:c r="Y1158" s="4"/>
      <x:c r="Z1158" s="4"/>
    </x:row>
    <x:row r="1159" ht="23" customHeight="1">
      <x:c r="A1159" s="17" t="n">
        <x:f>ROW()-6</x:f>
        <x:v>1153</x:v>
      </x:c>
      <x:c r="B1159" s="4" t="n">
        <x:f>IF('계산 과정'!$L$5,'계산 과정'!$L$11*SQRT((A1159+0.5)/'계산 과정'!$L$30),"")</x:f>
        <x:v>112.5732183611515</x:v>
      </x:c>
      <x:c r="C1159" s="4" t="n">
        <x:f>A1159*PI()*(3-SQRT(5))</x:f>
        <x:v>2767.157603877137</x:v>
      </x:c>
      <x:c r="D1159" s="4" t="n">
        <x:f>IF('계산 과정'!$L$5,B1159*COS(C1159),"")</x:f>
        <x:v>-93.8210704863786</x:v>
      </x:c>
      <x:c r="E1159" s="4" t="n">
        <x:f>IF('계산 과정'!$L$5,B1159*SIN(C1159),"")</x:f>
        <x:v>62.21202636932409</x:v>
      </x:c>
      <x:c r="F1159" s="4" t="n">
        <x:f>IF('계산 과정'!$L$7,'계산 과정'!$L$22+'계산 과정'!$C$49*D1159+'계산 과정'!$D$49*E1159,"")</x:f>
        <x:v>716.3415151590993</x:v>
      </x:c>
      <x:c r="G1159" s="4" t="n">
        <x:f>IF('계산 과정'!$L$7,IF(ABS(F1159)&gt;=1E-12*MAX(1,SQRT((D1159-'계산 과정'!$C$33)^2+(E1159-'계산 과정'!$D$33)^2+'계산 과정'!$E$33^2)),('계산 과정'!$L$23-'계산 과정'!$C$49*D1159-'계산 과정'!$D$49*E1159)/F1159,""),"")</x:f>
        <x:v>0.46578130372186394</x:v>
      </x:c>
      <x:c r="H1159" s="4" t="n">
        <x:f>IF(AND(ISNUMBER(G1159),G1159&gt;0),('계산 과정'!$D$56+'계산 과정'!$D$57*D1159+'계산 과정'!$D$58*E1159)/F1159,"")</x:f>
        <x:v>-97.24215258078861</x:v>
      </x:c>
      <x:c r="I1159" s="4" t="n">
        <x:f>IF(AND(ISNUMBER(G1159),G1159&gt;0),('계산 과정'!$E$56+'계산 과정'!$E$57*D1159+'계산 과정'!$E$58*E1159)/F1159,"")</x:f>
        <x:v>91.18922511880685</x:v>
      </x:c>
      <x:c r="J1159" s="4" t="n">
        <x:f>IF('계산 과정'!$L$5,'계산 과정'!$D$6+'계산 과정'!$C$35*D1159+'계산 과정'!$D$35*E1159,"")</x:f>
        <x:v>716.3415151590993</x:v>
      </x:c>
      <x:c r="K1159" s="4" t="n">
        <x:f>IF(AND('계산 과정'!$L$6,J1159&gt;0),'계산 과정'!$D$10*('계산 과정'!$C$38*(D1159-'계산 과정'!$C$32)+'계산 과정'!$D$38*(E1159-'계산 과정'!$D$32)-'계산 과정'!$E$38*'계산 과정'!$E$32)/J1159,"")</x:f>
        <x:v>-0.740892591091722</x:v>
      </x:c>
      <x:c r="L1159" s="4" t="n">
        <x:f>IF(AND('계산 과정'!$L$6,J1159&gt;0),'계산 과정'!$D$10*('계산 과정'!$C$39*(D1159-'계산 과정'!$C$32)+'계산 과정'!$D$39*(E1159-'계산 과정'!$D$32)-'계산 과정'!$E$39*'계산 과정'!$E$32)/J1159,"")</x:f>
        <x:v>0.6947750485242427</x:v>
      </x:c>
      <x:c r="M1159" s="17" t="n">
        <x:f>IF('계산 과정'!$L$6,IF(J1159&lt;=0,0,IF(AND(ABS(K1159)&lt;='계산 과정'!$D$11/2,ABS(L1159)&lt;='계산 과정'!$D$12/2),1,0)),"")</x:f>
        <x:v>1</x:v>
      </x:c>
      <x:c r="N1159" s="17" t="n">
        <x:f>IF('계산 과정'!$C$78,IF(AND(ISNUMBER(H1159),ISNUMBER(I1159),ABS(H1159-'계산 과정'!$C$88)&lt;='계산 과정'!$D$23/2,ABS(I1159-'계산 과정'!$C$89)&lt;='계산 과정'!$D$24/2),1,0),"")</x:f>
        <x:v>1</x:v>
      </x:c>
      <x:c r="O1159" s="4" t="n">
        <x:f>IF('계산 과정'!$L$7,'계산 과정'!$C$49*('계산 과정'!$C$32-D1159)+'계산 과정'!$D$49*('계산 과정'!$D$32-E1159)+'계산 과정'!$E$49*'계산 과정'!$E$32,"")</x:f>
        <x:v>-66.34151515909929</x:v>
      </x:c>
      <x:c r="P1159" s="4" t="n">
        <x:f>IF(AND('계산 과정'!$L$7,O1159&lt;&gt;0),('계산 과정'!$L$23-'계산 과정'!$C$49*D1159-'계산 과정'!$D$49*E1159)/O1159,"")</x:f>
        <x:v>-5.029407061938902</x:v>
      </x:c>
      <x:c r="Q1159" s="4" t="str">
        <x:f>IF(AND(ISNUMBER(P1159),P1159&gt;1E-9,P1159&lt;1-1E-9),'계산 과정'!$C$47*(D1159-'계산 과정'!$C$50+P1159*('계산 과정'!$C$32-D1159))+'계산 과정'!$D$47*(E1159-'계산 과정'!$D$50+P1159*('계산 과정'!$D$32-E1159))+'계산 과정'!$E$47*(0-'계산 과정'!$E$50+P1159*('계산 과정'!$E$32-0)),"")</x:f>
      </x:c>
      <x:c r="R1159" s="4" t="str">
        <x:f>IF(AND(ISNUMBER(P1159),P1159&gt;1E-9,P1159&lt;1-1E-9),'계산 과정'!$C$48*(D1159-'계산 과정'!$C$50+P1159*('계산 과정'!$C$32-D1159))+'계산 과정'!$D$48*(E1159-'계산 과정'!$D$50+P1159*('계산 과정'!$D$32-E1159))+'계산 과정'!$E$48*(0-'계산 과정'!$E$50+P1159*('계산 과정'!$E$32-0)),"")</x:f>
      </x:c>
      <x:c r="S1159" s="17" t="n">
        <x:f>IF('계산 과정'!$C$78,IF(AND(ISNUMBER(Q1159),ISNUMBER(R1159),ABS(Q1159-'계산 과정'!$C$88)&lt;='계산 과정'!$D$23/2,ABS(R1159-'계산 과정'!$C$89)&lt;='계산 과정'!$D$24/2),1,0),"")</x:f>
        <x:v>0</x:v>
      </x:c>
      <x:c r="T1159" s="4"/>
      <x:c r="U1159" s="4"/>
      <x:c r="V1159" s="4"/>
      <x:c r="W1159" s="4"/>
      <x:c r="X1159" s="4"/>
      <x:c r="Y1159" s="4"/>
      <x:c r="Z1159" s="4"/>
    </x:row>
    <x:row r="1160" ht="23" customHeight="1">
      <x:c r="A1160" s="17" t="n">
        <x:f>ROW()-6</x:f>
        <x:v>1154</x:v>
      </x:c>
      <x:c r="B1160" s="4" t="n">
        <x:f>IF('계산 과정'!$L$5,'계산 과정'!$L$11*SQRT((A1160+0.5)/'계산 과정'!$L$30),"")</x:f>
        <x:v>112.6220041568809</x:v>
      </x:c>
      <x:c r="C1160" s="4" t="n">
        <x:f>A1160*PI()*(3-SQRT(5))</x:f>
        <x:v>2769.5575671068655</x:v>
      </x:c>
      <x:c r="D1160" s="4" t="n">
        <x:f>IF('계산 과정'!$L$5,B1160*COS(C1160),"")</x:f>
        <x:v>27.16888655137951</x:v>
      </x:c>
      <x:c r="E1160" s="4" t="n">
        <x:f>IF('계산 과정'!$L$5,B1160*SIN(C1160),"")</x:f>
        <x:v>-109.29577953366163</x:v>
      </x:c>
      <x:c r="F1160" s="4" t="n">
        <x:f>IF('계산 과정'!$L$7,'계산 과정'!$L$22+'계산 과정'!$C$49*D1160+'계산 과정'!$D$49*E1160,"")</x:f>
        <x:v>630.7886960822316</x:v>
      </x:c>
      <x:c r="G1160" s="4" t="n">
        <x:f>IF('계산 과정'!$L$7,IF(ABS(F1160)&gt;=1E-12*MAX(1,SQRT((D1160-'계산 과정'!$C$33)^2+(E1160-'계산 과정'!$D$33)^2+'계산 과정'!$E$33^2)),('계산 과정'!$L$23-'계산 과정'!$C$49*D1160-'계산 과정'!$D$49*E1160)/F1160,""),"")</x:f>
        <x:v>0.6645827779119218</x:v>
      </x:c>
      <x:c r="H1160" s="4" t="n">
        <x:f>IF(AND(ISNUMBER(G1160),G1160&gt;0),('계산 과정'!$D$56+'계산 과정'!$D$57*D1160+'계산 과정'!$D$58*E1160)/F1160,"")</x:f>
        <x:v>31.97880564274908</x:v>
      </x:c>
      <x:c r="I1160" s="4" t="n">
        <x:f>IF(AND(ISNUMBER(G1160),G1160&gt;0),('계산 과정'!$E$56+'계산 과정'!$E$57*D1160+'계산 과정'!$E$58*E1160)/F1160,"")</x:f>
        <x:v>-181.93187231019144</x:v>
      </x:c>
      <x:c r="J1160" s="4" t="n">
        <x:f>IF('계산 과정'!$L$5,'계산 과정'!$D$6+'계산 과정'!$C$35*D1160+'계산 과정'!$D$35*E1160,"")</x:f>
        <x:v>630.7886960822316</x:v>
      </x:c>
      <x:c r="K1160" s="4" t="n">
        <x:f>IF(AND('계산 과정'!$L$6,J1160&gt;0),'계산 과정'!$D$10*('계산 과정'!$C$38*(D1160-'계산 과정'!$C$32)+'계산 과정'!$D$38*(E1160-'계산 과정'!$D$32)-'계산 과정'!$E$38*'계산 과정'!$E$32)/J1160,"")</x:f>
        <x:v>0.2436480429923744</x:v>
      </x:c>
      <x:c r="L1160" s="4" t="n">
        <x:f>IF(AND('계산 과정'!$L$6,J1160&gt;0),'계산 과정'!$D$10*('계산 과정'!$C$39*(D1160-'계산 과정'!$C$32)+'계산 과정'!$D$39*(E1160-'계산 과정'!$D$32)-'계산 과정'!$E$39*'계산 과정'!$E$32)/J1160,"")</x:f>
        <x:v>-1.3861475985538396</x:v>
      </x:c>
      <x:c r="M1160" s="17" t="n">
        <x:f>IF('계산 과정'!$L$6,IF(J1160&lt;=0,0,IF(AND(ABS(K1160)&lt;='계산 과정'!$D$11/2,ABS(L1160)&lt;='계산 과정'!$D$12/2),1,0)),"")</x:f>
        <x:v>1</x:v>
      </x:c>
      <x:c r="N1160" s="17" t="n">
        <x:f>IF('계산 과정'!$C$78,IF(AND(ISNUMBER(H1160),ISNUMBER(I1160),ABS(H1160-'계산 과정'!$C$88)&lt;='계산 과정'!$D$23/2,ABS(I1160-'계산 과정'!$C$89)&lt;='계산 과정'!$D$24/2),1,0),"")</x:f>
        <x:v>1</x:v>
      </x:c>
      <x:c r="O1160" s="4" t="n">
        <x:f>IF('계산 과정'!$L$7,'계산 과정'!$C$49*('계산 과정'!$C$32-D1160)+'계산 과정'!$D$49*('계산 과정'!$D$32-E1160)+'계산 과정'!$E$49*'계산 과정'!$E$32,"")</x:f>
        <x:v>19.211303917768532</x:v>
      </x:c>
      <x:c r="P1160" s="4" t="n">
        <x:f>IF(AND('계산 과정'!$L$7,O1160&lt;&gt;0),('계산 과정'!$L$23-'계산 과정'!$C$49*D1160-'계산 과정'!$D$49*E1160)/O1160,"")</x:f>
        <x:v>21.82107501459284</x:v>
      </x:c>
      <x:c r="Q1160" s="4" t="str">
        <x:f>IF(AND(ISNUMBER(P1160),P1160&gt;1E-9,P1160&lt;1-1E-9),'계산 과정'!$C$47*(D1160-'계산 과정'!$C$50+P1160*('계산 과정'!$C$32-D1160))+'계산 과정'!$D$47*(E1160-'계산 과정'!$D$50+P1160*('계산 과정'!$D$32-E1160))+'계산 과정'!$E$47*(0-'계산 과정'!$E$50+P1160*('계산 과정'!$E$32-0)),"")</x:f>
      </x:c>
      <x:c r="R1160" s="4" t="str">
        <x:f>IF(AND(ISNUMBER(P1160),P1160&gt;1E-9,P1160&lt;1-1E-9),'계산 과정'!$C$48*(D1160-'계산 과정'!$C$50+P1160*('계산 과정'!$C$32-D1160))+'계산 과정'!$D$48*(E1160-'계산 과정'!$D$50+P1160*('계산 과정'!$D$32-E1160))+'계산 과정'!$E$48*(0-'계산 과정'!$E$50+P1160*('계산 과정'!$E$32-0)),"")</x:f>
      </x:c>
      <x:c r="S1160" s="17" t="n">
        <x:f>IF('계산 과정'!$C$78,IF(AND(ISNUMBER(Q1160),ISNUMBER(R1160),ABS(Q1160-'계산 과정'!$C$88)&lt;='계산 과정'!$D$23/2,ABS(R1160-'계산 과정'!$C$89)&lt;='계산 과정'!$D$24/2),1,0),"")</x:f>
        <x:v>0</x:v>
      </x:c>
      <x:c r="T1160" s="4"/>
      <x:c r="U1160" s="4"/>
      <x:c r="V1160" s="4"/>
      <x:c r="W1160" s="4"/>
      <x:c r="X1160" s="4"/>
      <x:c r="Y1160" s="4"/>
      <x:c r="Z1160" s="4"/>
    </x:row>
    <x:row r="1161" ht="23" customHeight="1">
      <x:c r="A1161" s="17" t="n">
        <x:f>ROW()-6</x:f>
        <x:v>1155</x:v>
      </x:c>
      <x:c r="B1161" s="4" t="n">
        <x:f>IF('계산 과정'!$L$5,'계산 과정'!$L$11*SQRT((A1161+0.5)/'계산 과정'!$L$30),"")</x:f>
        <x:v>112.67076882864295</x:v>
      </x:c>
      <x:c r="C1161" s="4" t="n">
        <x:f>A1161*PI()*(3-SQRT(5))</x:f>
        <x:v>2771.957530336594</x:v>
      </x:c>
      <x:c r="D1161" s="4" t="n">
        <x:f>IF('계산 과정'!$L$5,B1161*COS(C1161),"")</x:f>
        <x:v>53.81803969574687</x:v>
      </x:c>
      <x:c r="E1161" s="4" t="n">
        <x:f>IF('계산 과정'!$L$5,B1161*SIN(C1161),"")</x:f>
        <x:v>98.98646751826492</x:v>
      </x:c>
      <x:c r="F1161" s="4" t="n">
        <x:f>IF('계산 과정'!$L$7,'계산 과정'!$L$22+'계산 과정'!$C$49*D1161+'계산 과정'!$D$49*E1161,"")</x:f>
        <x:v>611.9448991809707</x:v>
      </x:c>
      <x:c r="G1161" s="4" t="n">
        <x:f>IF('계산 과정'!$L$7,IF(ABS(F1161)&gt;=1E-12*MAX(1,SQRT((D1161-'계산 과정'!$C$33)^2+(E1161-'계산 과정'!$D$33)^2+'계산 과정'!$E$33^2)),('계산 과정'!$L$23-'계산 과정'!$C$49*D1161-'계산 과정'!$D$49*E1161)/F1161,""),"")</x:f>
        <x:v>0.7158407585475817</x:v>
      </x:c>
      <x:c r="H1161" s="4" t="n">
        <x:f>IF(AND(ISNUMBER(G1161),G1161&gt;0),('계산 과정'!$D$56+'계산 과정'!$D$57*D1161+'계산 과정'!$D$58*E1161)/F1161,"")</x:f>
        <x:v>65.29649305592801</x:v>
      </x:c>
      <x:c r="I1161" s="4" t="n">
        <x:f>IF(AND(ISNUMBER(G1161),G1161&gt;0),('계산 과정'!$E$56+'계산 과정'!$E$57*D1161+'계산 과정'!$E$58*E1161)/F1161,"")</x:f>
        <x:v>169.84501551248522</x:v>
      </x:c>
      <x:c r="J1161" s="4" t="n">
        <x:f>IF('계산 과정'!$L$5,'계산 과정'!$D$6+'계산 과정'!$C$35*D1161+'계산 과정'!$D$35*E1161,"")</x:f>
        <x:v>611.9448991809707</x:v>
      </x:c>
      <x:c r="K1161" s="4" t="n">
        <x:f>IF(AND('계산 과정'!$L$6,J1161&gt;0),'계산 과정'!$D$10*('계산 과정'!$C$38*(D1161-'계산 과정'!$C$32)+'계산 과정'!$D$38*(E1161-'계산 과정'!$D$32)-'계산 과정'!$E$38*'계산 과정'!$E$32)/J1161,"")</x:f>
        <x:v>0.4974970899499284</x:v>
      </x:c>
      <x:c r="L1161" s="4" t="n">
        <x:f>IF(AND('계산 과정'!$L$6,J1161&gt;0),'계산 과정'!$D$10*('계산 과정'!$C$39*(D1161-'계산 과정'!$C$32)+'계산 과정'!$D$39*(E1161-'계산 과정'!$D$32)-'계산 과정'!$E$39*'계산 과정'!$E$32)/J1161,"")</x:f>
        <x:v>1.2940572610475065</x:v>
      </x:c>
      <x:c r="M1161" s="17" t="n">
        <x:f>IF('계산 과정'!$L$6,IF(J1161&lt;=0,0,IF(AND(ABS(K1161)&lt;='계산 과정'!$D$11/2,ABS(L1161)&lt;='계산 과정'!$D$12/2),1,0)),"")</x:f>
        <x:v>1</x:v>
      </x:c>
      <x:c r="N1161" s="17" t="n">
        <x:f>IF('계산 과정'!$C$78,IF(AND(ISNUMBER(H1161),ISNUMBER(I1161),ABS(H1161-'계산 과정'!$C$88)&lt;='계산 과정'!$D$23/2,ABS(I1161-'계산 과정'!$C$89)&lt;='계산 과정'!$D$24/2),1,0),"")</x:f>
        <x:v>1</x:v>
      </x:c>
      <x:c r="O1161" s="4" t="n">
        <x:f>IF('계산 과정'!$L$7,'계산 과정'!$C$49*('계산 과정'!$C$32-D1161)+'계산 과정'!$D$49*('계산 과정'!$D$32-E1161)+'계산 과정'!$E$49*'계산 과정'!$E$32,"")</x:f>
        <x:v>38.05510081902952</x:v>
      </x:c>
      <x:c r="P1161" s="4" t="n">
        <x:f>IF(AND('계산 과정'!$L$7,O1161&lt;&gt;0),('계산 과정'!$L$23-'계산 과정'!$C$49*D1161-'계산 과정'!$D$49*E1161)/O1161,"")</x:f>
        <x:v>11.511074504892106</x:v>
      </x:c>
      <x:c r="Q1161" s="4" t="str">
        <x:f>IF(AND(ISNUMBER(P1161),P1161&gt;1E-9,P1161&lt;1-1E-9),'계산 과정'!$C$47*(D1161-'계산 과정'!$C$50+P1161*('계산 과정'!$C$32-D1161))+'계산 과정'!$D$47*(E1161-'계산 과정'!$D$50+P1161*('계산 과정'!$D$32-E1161))+'계산 과정'!$E$47*(0-'계산 과정'!$E$50+P1161*('계산 과정'!$E$32-0)),"")</x:f>
      </x:c>
      <x:c r="R1161" s="4" t="str">
        <x:f>IF(AND(ISNUMBER(P1161),P1161&gt;1E-9,P1161&lt;1-1E-9),'계산 과정'!$C$48*(D1161-'계산 과정'!$C$50+P1161*('계산 과정'!$C$32-D1161))+'계산 과정'!$D$48*(E1161-'계산 과정'!$D$50+P1161*('계산 과정'!$D$32-E1161))+'계산 과정'!$E$48*(0-'계산 과정'!$E$50+P1161*('계산 과정'!$E$32-0)),"")</x:f>
      </x:c>
      <x:c r="S1161" s="17" t="n">
        <x:f>IF('계산 과정'!$C$78,IF(AND(ISNUMBER(Q1161),ISNUMBER(R1161),ABS(Q1161-'계산 과정'!$C$88)&lt;='계산 과정'!$D$23/2,ABS(R1161-'계산 과정'!$C$89)&lt;='계산 과정'!$D$24/2),1,0),"")</x:f>
        <x:v>0</x:v>
      </x:c>
      <x:c r="T1161" s="4"/>
      <x:c r="U1161" s="4"/>
      <x:c r="V1161" s="4"/>
      <x:c r="W1161" s="4"/>
      <x:c r="X1161" s="4"/>
      <x:c r="Y1161" s="4"/>
      <x:c r="Z1161" s="4"/>
    </x:row>
    <x:row r="1162" ht="23" customHeight="1">
      <x:c r="A1162" s="17" t="n">
        <x:f>ROW()-6</x:f>
        <x:v>1156</x:v>
      </x:c>
      <x:c r="B1162" s="4" t="n">
        <x:f>IF('계산 과정'!$L$5,'계산 과정'!$L$11*SQRT((A1162+0.5)/'계산 과정'!$L$30),"")</x:f>
        <x:v>112.71951240385359</x:v>
      </x:c>
      <x:c r="C1162" s="4" t="n">
        <x:f>A1162*PI()*(3-SQRT(5))</x:f>
        <x:v>2774.357493566323</x:v>
      </x:c>
      <x:c r="D1162" s="4" t="n">
        <x:f>IF('계산 과정'!$L$5,B1162*COS(C1162),"")</x:f>
        <x:v>-106.59424043147725</x:v>
      </x:c>
      <x:c r="E1162" s="4" t="n">
        <x:f>IF('계산 과정'!$L$5,B1162*SIN(C1162),"")</x:f>
        <x:v>-36.65182646743437</x:v>
      </x:c>
      <x:c r="F1162" s="4" t="n">
        <x:f>IF('계산 과정'!$L$7,'계산 과정'!$L$22+'계산 과정'!$C$49*D1162+'계산 과정'!$D$49*E1162,"")</x:f>
        <x:v>725.3735102445269</x:v>
      </x:c>
      <x:c r="G1162" s="4" t="n">
        <x:f>IF('계산 과정'!$L$7,IF(ABS(F1162)&gt;=1E-12*MAX(1,SQRT((D1162-'계산 과정'!$C$33)^2+(E1162-'계산 과정'!$D$33)^2+'계산 과정'!$E$33^2)),('계산 과정'!$L$23-'계산 과정'!$C$49*D1162-'계산 과정'!$D$49*E1162)/F1162,""),"")</x:f>
        <x:v>0.44753011403192827</x:v>
      </x:c>
      <x:c r="H1162" s="4" t="n">
        <x:f>IF(AND(ISNUMBER(G1162),G1162&gt;0),('계산 과정'!$D$56+'계산 과정'!$D$57*D1162+'계산 과정'!$D$58*E1162)/F1162,"")</x:f>
        <x:v>-109.10542587924675</x:v>
      </x:c>
      <x:c r="I1162" s="4" t="n">
        <x:f>IF(AND(ISNUMBER(G1162),G1162&gt;0),('계산 과정'!$E$56+'계산 과정'!$E$57*D1162+'계산 과정'!$E$58*E1162)/F1162,"")</x:f>
        <x:v>-53.05462254588372</x:v>
      </x:c>
      <x:c r="J1162" s="4" t="n">
        <x:f>IF('계산 과정'!$L$5,'계산 과정'!$D$6+'계산 과정'!$C$35*D1162+'계산 과정'!$D$35*E1162,"")</x:f>
        <x:v>725.3735102445269</x:v>
      </x:c>
      <x:c r="K1162" s="4" t="n">
        <x:f>IF(AND('계산 과정'!$L$6,J1162&gt;0),'계산 과정'!$D$10*('계산 과정'!$C$38*(D1162-'계산 과정'!$C$32)+'계산 과정'!$D$38*(E1162-'계산 과정'!$D$32)-'계산 과정'!$E$38*'계산 과정'!$E$32)/J1162,"")</x:f>
        <x:v>-0.8312794352704503</x:v>
      </x:c>
      <x:c r="L1162" s="4" t="n">
        <x:f>IF(AND('계산 과정'!$L$6,J1162&gt;0),'계산 과정'!$D$10*('계산 과정'!$C$39*(D1162-'계산 과정'!$C$32)+'계산 과정'!$D$39*(E1162-'계산 과정'!$D$32)-'계산 과정'!$E$39*'계산 과정'!$E$32)/J1162,"")</x:f>
        <x:v>-0.40422569558768545</x:v>
      </x:c>
      <x:c r="M1162" s="17" t="n">
        <x:f>IF('계산 과정'!$L$6,IF(J1162&lt;=0,0,IF(AND(ABS(K1162)&lt;='계산 과정'!$D$11/2,ABS(L1162)&lt;='계산 과정'!$D$12/2),1,0)),"")</x:f>
        <x:v>1</x:v>
      </x:c>
      <x:c r="N1162" s="17" t="n">
        <x:f>IF('계산 과정'!$C$78,IF(AND(ISNUMBER(H1162),ISNUMBER(I1162),ABS(H1162-'계산 과정'!$C$88)&lt;='계산 과정'!$D$23/2,ABS(I1162-'계산 과정'!$C$89)&lt;='계산 과정'!$D$24/2),1,0),"")</x:f>
        <x:v>1</x:v>
      </x:c>
      <x:c r="O1162" s="4" t="n">
        <x:f>IF('계산 과정'!$L$7,'계산 과정'!$C$49*('계산 과정'!$C$32-D1162)+'계산 과정'!$D$49*('계산 과정'!$D$32-E1162)+'계산 과정'!$E$49*'계산 과정'!$E$32,"")</x:f>
        <x:v>-75.3735102445267</x:v>
      </x:c>
      <x:c r="P1162" s="4" t="n">
        <x:f>IF(AND('계산 과정'!$L$7,O1162&lt;&gt;0),('계산 과정'!$L$23-'계산 과정'!$C$49*D1162-'계산 과정'!$D$49*E1162)/O1162,"")</x:f>
        <x:v>-4.306904225401206</x:v>
      </x:c>
      <x:c r="Q1162" s="4" t="str">
        <x:f>IF(AND(ISNUMBER(P1162),P1162&gt;1E-9,P1162&lt;1-1E-9),'계산 과정'!$C$47*(D1162-'계산 과정'!$C$50+P1162*('계산 과정'!$C$32-D1162))+'계산 과정'!$D$47*(E1162-'계산 과정'!$D$50+P1162*('계산 과정'!$D$32-E1162))+'계산 과정'!$E$47*(0-'계산 과정'!$E$50+P1162*('계산 과정'!$E$32-0)),"")</x:f>
      </x:c>
      <x:c r="R1162" s="4" t="str">
        <x:f>IF(AND(ISNUMBER(P1162),P1162&gt;1E-9,P1162&lt;1-1E-9),'계산 과정'!$C$48*(D1162-'계산 과정'!$C$50+P1162*('계산 과정'!$C$32-D1162))+'계산 과정'!$D$48*(E1162-'계산 과정'!$D$50+P1162*('계산 과정'!$D$32-E1162))+'계산 과정'!$E$48*(0-'계산 과정'!$E$50+P1162*('계산 과정'!$E$32-0)),"")</x:f>
      </x:c>
      <x:c r="S1162" s="17" t="n">
        <x:f>IF('계산 과정'!$C$78,IF(AND(ISNUMBER(Q1162),ISNUMBER(R1162),ABS(Q1162-'계산 과정'!$C$88)&lt;='계산 과정'!$D$23/2,ABS(R1162-'계산 과정'!$C$89)&lt;='계산 과정'!$D$24/2),1,0),"")</x:f>
        <x:v>0</x:v>
      </x:c>
      <x:c r="T1162" s="4"/>
      <x:c r="U1162" s="4"/>
      <x:c r="V1162" s="4"/>
      <x:c r="W1162" s="4"/>
      <x:c r="X1162" s="4"/>
      <x:c r="Y1162" s="4"/>
      <x:c r="Z1162" s="4"/>
    </x:row>
    <x:row r="1163" ht="23" customHeight="1">
      <x:c r="A1163" s="17" t="n">
        <x:f>ROW()-6</x:f>
        <x:v>1157</x:v>
      </x:c>
      <x:c r="B1163" s="4" t="n">
        <x:f>IF('계산 과정'!$L$5,'계산 과정'!$L$11*SQRT((A1163+0.5)/'계산 과정'!$L$30),"")</x:f>
        <x:v>112.76823490986945</x:v>
      </x:c>
      <x:c r="C1163" s="4" t="n">
        <x:f>A1163*PI()*(3-SQRT(5))</x:f>
        <x:v>2776.7574567960514</x:v>
      </x:c>
      <x:c r="D1163" s="4" t="n">
        <x:f>IF('계산 과정'!$L$5,B1163*COS(C1163),"")</x:f>
        <x:v>103.40190422288337</x:v>
      </x:c>
      <x:c r="E1163" s="4" t="n">
        <x:f>IF('계산 과정'!$L$5,B1163*SIN(C1163),"")</x:f>
        <x:v>-44.99689997954472</x:v>
      </x:c>
      <x:c r="F1163" s="4" t="n">
        <x:f>IF('계산 과정'!$L$7,'계산 과정'!$L$22+'계산 과정'!$C$49*D1163+'계산 과정'!$D$49*E1163,"")</x:f>
        <x:v>576.8838123363972</x:v>
      </x:c>
      <x:c r="G1163" s="4" t="n">
        <x:f>IF('계산 과정'!$L$7,IF(ABS(F1163)&gt;=1E-12*MAX(1,SQRT((D1163-'계산 과정'!$C$33)^2+(E1163-'계산 과정'!$D$33)^2+'계산 과정'!$E$33^2)),('계산 과정'!$L$23-'계산 과정'!$C$49*D1163-'계산 과정'!$D$49*E1163)/F1163,""),"")</x:f>
        <x:v>0.8201238751135477</x:v>
      </x:c>
      <x:c r="H1163" s="4" t="n">
        <x:f>IF(AND(ISNUMBER(G1163),G1163&gt;0),('계산 과정'!$D$56+'계산 과정'!$D$57*D1163+'계산 과정'!$D$58*E1163)/F1163,"")</x:f>
        <x:v>133.0805188238059</x:v>
      </x:c>
      <x:c r="I1163" s="4" t="n">
        <x:f>IF(AND(ISNUMBER(G1163),G1163&gt;0),('계산 과정'!$E$56+'계산 과정'!$E$57*D1163+'계산 과정'!$E$58*E1163)/F1163,"")</x:f>
        <x:v>-81.89993195886566</x:v>
      </x:c>
      <x:c r="J1163" s="4" t="n">
        <x:f>IF('계산 과정'!$L$5,'계산 과정'!$D$6+'계산 과정'!$C$35*D1163+'계산 과정'!$D$35*E1163,"")</x:f>
        <x:v>576.8838123363972</x:v>
      </x:c>
      <x:c r="K1163" s="4" t="n">
        <x:f>IF(AND('계산 과정'!$L$6,J1163&gt;0),'계산 과정'!$D$10*('계산 과정'!$C$38*(D1163-'계산 과정'!$C$32)+'계산 과정'!$D$38*(E1163-'계산 과정'!$D$32)-'계산 과정'!$E$38*'계산 과정'!$E$32)/J1163,"")</x:f>
        <x:v>1.0139468100861413</x:v>
      </x:c>
      <x:c r="L1163" s="4" t="n">
        <x:f>IF(AND('계산 과정'!$L$6,J1163&gt;0),'계산 과정'!$D$10*('계산 과정'!$C$39*(D1163-'계산 과정'!$C$32)+'계산 과정'!$D$39*(E1163-'계산 과정'!$D$32)-'계산 과정'!$E$39*'계산 과정'!$E$32)/J1163,"")</x:f>
        <x:v>-0.6239994815913574</x:v>
      </x:c>
      <x:c r="M1163" s="17" t="n">
        <x:f>IF('계산 과정'!$L$6,IF(J1163&lt;=0,0,IF(AND(ABS(K1163)&lt;='계산 과정'!$D$11/2,ABS(L1163)&lt;='계산 과정'!$D$12/2),1,0)),"")</x:f>
        <x:v>1</x:v>
      </x:c>
      <x:c r="N1163" s="17" t="n">
        <x:f>IF('계산 과정'!$C$78,IF(AND(ISNUMBER(H1163),ISNUMBER(I1163),ABS(H1163-'계산 과정'!$C$88)&lt;='계산 과정'!$D$23/2,ABS(I1163-'계산 과정'!$C$89)&lt;='계산 과정'!$D$24/2),1,0),"")</x:f>
        <x:v>1</x:v>
      </x:c>
      <x:c r="O1163" s="4" t="n">
        <x:f>IF('계산 과정'!$L$7,'계산 과정'!$C$49*('계산 과정'!$C$32-D1163)+'계산 과정'!$D$49*('계산 과정'!$D$32-E1163)+'계산 과정'!$E$49*'계산 과정'!$E$32,"")</x:f>
        <x:v>73.11618766360286</x:v>
      </x:c>
      <x:c r="P1163" s="4" t="n">
        <x:f>IF(AND('계산 과정'!$L$7,O1163&lt;&gt;0),('계산 과정'!$L$23-'계산 과정'!$C$49*D1163-'계산 과정'!$D$49*E1163)/O1163,"")</x:f>
        <x:v>6.470744752726206</x:v>
      </x:c>
      <x:c r="Q1163" s="4" t="str">
        <x:f>IF(AND(ISNUMBER(P1163),P1163&gt;1E-9,P1163&lt;1-1E-9),'계산 과정'!$C$47*(D1163-'계산 과정'!$C$50+P1163*('계산 과정'!$C$32-D1163))+'계산 과정'!$D$47*(E1163-'계산 과정'!$D$50+P1163*('계산 과정'!$D$32-E1163))+'계산 과정'!$E$47*(0-'계산 과정'!$E$50+P1163*('계산 과정'!$E$32-0)),"")</x:f>
      </x:c>
      <x:c r="R1163" s="4" t="str">
        <x:f>IF(AND(ISNUMBER(P1163),P1163&gt;1E-9,P1163&lt;1-1E-9),'계산 과정'!$C$48*(D1163-'계산 과정'!$C$50+P1163*('계산 과정'!$C$32-D1163))+'계산 과정'!$D$48*(E1163-'계산 과정'!$D$50+P1163*('계산 과정'!$D$32-E1163))+'계산 과정'!$E$48*(0-'계산 과정'!$E$50+P1163*('계산 과정'!$E$32-0)),"")</x:f>
      </x:c>
      <x:c r="S1163" s="17" t="n">
        <x:f>IF('계산 과정'!$C$78,IF(AND(ISNUMBER(Q1163),ISNUMBER(R1163),ABS(Q1163-'계산 과정'!$C$88)&lt;='계산 과정'!$D$23/2,ABS(R1163-'계산 과정'!$C$89)&lt;='계산 과정'!$D$24/2),1,0),"")</x:f>
        <x:v>0</x:v>
      </x:c>
      <x:c r="T1163" s="4"/>
      <x:c r="U1163" s="4"/>
      <x:c r="V1163" s="4"/>
      <x:c r="W1163" s="4"/>
      <x:c r="X1163" s="4"/>
      <x:c r="Y1163" s="4"/>
      <x:c r="Z1163" s="4"/>
    </x:row>
    <x:row r="1164" ht="23" customHeight="1">
      <x:c r="A1164" s="17" t="n">
        <x:f>ROW()-6</x:f>
        <x:v>1158</x:v>
      </x:c>
      <x:c r="B1164" s="4" t="n">
        <x:f>IF('계산 과정'!$L$5,'계산 과정'!$L$11*SQRT((A1164+0.5)/'계산 과정'!$L$30),"")</x:f>
        <x:v>112.81693637398818</x:v>
      </x:c>
      <x:c r="C1164" s="4" t="n">
        <x:f>A1164*PI()*(3-SQRT(5))</x:f>
        <x:v>2779.15742002578</x:v>
      </x:c>
      <x:c r="D1164" s="4" t="n">
        <x:f>IF('계산 과정'!$L$5,B1164*COS(C1164),"")</x:f>
        <x:v>-45.870178402450016</x:v>
      </x:c>
      <x:c r="E1164" s="4" t="n">
        <x:f>IF('계산 과정'!$L$5,B1164*SIN(C1164),"")</x:f>
        <x:v>103.07079055746058</x:v>
      </x:c>
      <x:c r="F1164" s="4" t="n">
        <x:f>IF('계산 과정'!$L$7,'계산 과정'!$L$22+'계산 과정'!$C$49*D1164+'계산 과정'!$D$49*E1164,"")</x:f>
        <x:v>682.4351142026092</x:v>
      </x:c>
      <x:c r="G1164" s="4" t="n">
        <x:f>IF('계산 과정'!$L$7,IF(ABS(F1164)&gt;=1E-12*MAX(1,SQRT((D1164-'계산 과정'!$C$33)^2+(E1164-'계산 과정'!$D$33)^2+'계산 과정'!$E$33^2)),('계산 과정'!$L$23-'계산 과정'!$C$49*D1164-'계산 과정'!$D$49*E1164)/F1164,""),"")</x:f>
        <x:v>0.5386078150841811</x:v>
      </x:c>
      <x:c r="H1164" s="4" t="n">
        <x:f>IF(AND(ISNUMBER(G1164),G1164&gt;0),('계산 과정'!$D$56+'계산 과정'!$D$57*D1164+'계산 과정'!$D$58*E1164)/F1164,"")</x:f>
        <x:v>-49.90492019528243</x:v>
      </x:c>
      <x:c r="I1164" s="4" t="n">
        <x:f>IF(AND(ISNUMBER(G1164),G1164&gt;0),('계산 과정'!$E$56+'계산 과정'!$E$57*D1164+'계산 과정'!$E$58*E1164)/F1164,"")</x:f>
        <x:v>158.58552385861367</x:v>
      </x:c>
      <x:c r="J1164" s="4" t="n">
        <x:f>IF('계산 과정'!$L$5,'계산 과정'!$D$6+'계산 과정'!$C$35*D1164+'계산 과정'!$D$35*E1164,"")</x:f>
        <x:v>682.4351142026092</x:v>
      </x:c>
      <x:c r="K1164" s="4" t="n">
        <x:f>IF(AND('계산 과정'!$L$6,J1164&gt;0),'계산 과정'!$D$10*('계산 과정'!$C$38*(D1164-'계산 과정'!$C$32)+'계산 과정'!$D$38*(E1164-'계산 과정'!$D$32)-'계산 과정'!$E$38*'계산 과정'!$E$32)/J1164,"")</x:f>
        <x:v>-0.3802279633926268</x:v>
      </x:c>
      <x:c r="L1164" s="4" t="n">
        <x:f>IF(AND('계산 과정'!$L$6,J1164&gt;0),'계산 과정'!$D$10*('계산 과정'!$C$39*(D1164-'계산 과정'!$C$32)+'계산 과정'!$D$39*(E1164-'계산 과정'!$D$32)-'계산 과정'!$E$39*'계산 과정'!$E$32)/J1164,"")</x:f>
        <x:v>1.2082706579703897</x:v>
      </x:c>
      <x:c r="M1164" s="17" t="n">
        <x:f>IF('계산 과정'!$L$6,IF(J1164&lt;=0,0,IF(AND(ABS(K1164)&lt;='계산 과정'!$D$11/2,ABS(L1164)&lt;='계산 과정'!$D$12/2),1,0)),"")</x:f>
        <x:v>1</x:v>
      </x:c>
      <x:c r="N1164" s="17" t="n">
        <x:f>IF('계산 과정'!$C$78,IF(AND(ISNUMBER(H1164),ISNUMBER(I1164),ABS(H1164-'계산 과정'!$C$88)&lt;='계산 과정'!$D$23/2,ABS(I1164-'계산 과정'!$C$89)&lt;='계산 과정'!$D$24/2),1,0),"")</x:f>
        <x:v>1</x:v>
      </x:c>
      <x:c r="O1164" s="4" t="n">
        <x:f>IF('계산 과정'!$L$7,'계산 과정'!$C$49*('계산 과정'!$C$32-D1164)+'계산 과정'!$D$49*('계산 과정'!$D$32-E1164)+'계산 과정'!$E$49*'계산 과정'!$E$32,"")</x:f>
        <x:v>-32.435114202608986</x:v>
      </x:c>
      <x:c r="P1164" s="4" t="n">
        <x:f>IF(AND('계산 과정'!$L$7,O1164&lt;&gt;0),('계산 과정'!$L$23-'계산 과정'!$C$49*D1164-'계산 과정'!$D$49*E1164)/O1164,"")</x:f>
        <x:v>-11.332313600049698</x:v>
      </x:c>
      <x:c r="Q1164" s="4" t="str">
        <x:f>IF(AND(ISNUMBER(P1164),P1164&gt;1E-9,P1164&lt;1-1E-9),'계산 과정'!$C$47*(D1164-'계산 과정'!$C$50+P1164*('계산 과정'!$C$32-D1164))+'계산 과정'!$D$47*(E1164-'계산 과정'!$D$50+P1164*('계산 과정'!$D$32-E1164))+'계산 과정'!$E$47*(0-'계산 과정'!$E$50+P1164*('계산 과정'!$E$32-0)),"")</x:f>
      </x:c>
      <x:c r="R1164" s="4" t="str">
        <x:f>IF(AND(ISNUMBER(P1164),P1164&gt;1E-9,P1164&lt;1-1E-9),'계산 과정'!$C$48*(D1164-'계산 과정'!$C$50+P1164*('계산 과정'!$C$32-D1164))+'계산 과정'!$D$48*(E1164-'계산 과정'!$D$50+P1164*('계산 과정'!$D$32-E1164))+'계산 과정'!$E$48*(0-'계산 과정'!$E$50+P1164*('계산 과정'!$E$32-0)),"")</x:f>
      </x:c>
      <x:c r="S1164" s="17" t="n">
        <x:f>IF('계산 과정'!$C$78,IF(AND(ISNUMBER(Q1164),ISNUMBER(R1164),ABS(Q1164-'계산 과정'!$C$88)&lt;='계산 과정'!$D$23/2,ABS(R1164-'계산 과정'!$C$89)&lt;='계산 과정'!$D$24/2),1,0),"")</x:f>
        <x:v>0</x:v>
      </x:c>
      <x:c r="T1164" s="4"/>
      <x:c r="U1164" s="4"/>
      <x:c r="V1164" s="4"/>
      <x:c r="W1164" s="4"/>
      <x:c r="X1164" s="4"/>
      <x:c r="Y1164" s="4"/>
      <x:c r="Z1164" s="4"/>
    </x:row>
    <x:row r="1165" ht="23" customHeight="1">
      <x:c r="A1165" s="17" t="n">
        <x:f>ROW()-6</x:f>
        <x:v>1159</x:v>
      </x:c>
      <x:c r="B1165" s="4" t="n">
        <x:f>IF('계산 과정'!$L$5,'계산 과정'!$L$11*SQRT((A1165+0.5)/'계산 과정'!$L$30),"")</x:f>
        <x:v>112.86561682344849</x:v>
      </x:c>
      <x:c r="C1165" s="4" t="n">
        <x:f>A1165*PI()*(3-SQRT(5))</x:f>
        <x:v>2781.5573832555087</x:v>
      </x:c>
      <x:c r="D1165" s="4" t="n">
        <x:f>IF('계산 과정'!$L$5,B1165*COS(C1165),"")</x:f>
        <x:v>-35.81552437204677</x:v>
      </x:c>
      <x:c r="E1165" s="4" t="n">
        <x:f>IF('계산 과정'!$L$5,B1165*SIN(C1165),"")</x:f>
        <x:v>-107.0322179294292</x:v>
      </x:c>
      <x:c r="F1165" s="4" t="n">
        <x:f>IF('계산 과정'!$L$7,'계산 과정'!$L$22+'계산 과정'!$C$49*D1165+'계산 과정'!$D$49*E1165,"")</x:f>
        <x:v>675.3254001552264</x:v>
      </x:c>
      <x:c r="G1165" s="4" t="n">
        <x:f>IF('계산 과정'!$L$7,IF(ABS(F1165)&gt;=1E-12*MAX(1,SQRT((D1165-'계산 과정'!$C$33)^2+(E1165-'계산 과정'!$D$33)^2+'계산 과정'!$E$33^2)),('계산 과정'!$L$23-'계산 과정'!$C$49*D1165-'계산 과정'!$D$49*E1165)/F1165,""),"")</x:f>
        <x:v>0.5548060235238497</x:v>
      </x:c>
      <x:c r="H1165" s="4" t="n">
        <x:f>IF(AND(ISNUMBER(G1165),G1165&gt;0),('계산 과정'!$D$56+'계산 과정'!$D$57*D1165+'계산 과정'!$D$58*E1165)/F1165,"")</x:f>
        <x:v>-39.37608470949785</x:v>
      </x:c>
      <x:c r="I1165" s="4" t="n">
        <x:f>IF(AND(ISNUMBER(G1165),G1165&gt;0),('계산 과정'!$E$56+'계산 과정'!$E$57*D1165+'계산 과정'!$E$58*E1165)/F1165,"")</x:f>
        <x:v>-166.41433714779387</x:v>
      </x:c>
      <x:c r="J1165" s="4" t="n">
        <x:f>IF('계산 과정'!$L$5,'계산 과정'!$D$6+'계산 과정'!$C$35*D1165+'계산 과정'!$D$35*E1165,"")</x:f>
        <x:v>675.3254001552264</x:v>
      </x:c>
      <x:c r="K1165" s="4" t="n">
        <x:f>IF(AND('계산 과정'!$L$6,J1165&gt;0),'계산 과정'!$D$10*('계산 과정'!$C$38*(D1165-'계산 과정'!$C$32)+'계산 과정'!$D$38*(E1165-'계산 과정'!$D$32)-'계산 과정'!$E$38*'계산 과정'!$E$32)/J1165,"")</x:f>
        <x:v>-0.30000826445331574</x:v>
      </x:c>
      <x:c r="L1165" s="4" t="n">
        <x:f>IF(AND('계산 과정'!$L$6,J1165&gt;0),'계산 과정'!$D$10*('계산 과정'!$C$39*(D1165-'계산 과정'!$C$32)+'계산 과정'!$D$39*(E1165-'계산 과정'!$D$32)-'계산 과정'!$E$39*'계산 과정'!$E$32)/J1165,"")</x:f>
        <x:v>-1.2679187592212866</x:v>
      </x:c>
      <x:c r="M1165" s="17" t="n">
        <x:f>IF('계산 과정'!$L$6,IF(J1165&lt;=0,0,IF(AND(ABS(K1165)&lt;='계산 과정'!$D$11/2,ABS(L1165)&lt;='계산 과정'!$D$12/2),1,0)),"")</x:f>
        <x:v>1</x:v>
      </x:c>
      <x:c r="N1165" s="17" t="n">
        <x:f>IF('계산 과정'!$C$78,IF(AND(ISNUMBER(H1165),ISNUMBER(I1165),ABS(H1165-'계산 과정'!$C$88)&lt;='계산 과정'!$D$23/2,ABS(I1165-'계산 과정'!$C$89)&lt;='계산 과정'!$D$24/2),1,0),"")</x:f>
        <x:v>1</x:v>
      </x:c>
      <x:c r="O1165" s="4" t="n">
        <x:f>IF('계산 과정'!$L$7,'계산 과정'!$C$49*('계산 과정'!$C$32-D1165)+'계산 과정'!$D$49*('계산 과정'!$D$32-E1165)+'계산 과정'!$E$49*'계산 과정'!$E$32,"")</x:f>
        <x:v>-25.32540015522619</x:v>
      </x:c>
      <x:c r="P1165" s="4" t="n">
        <x:f>IF(AND('계산 과정'!$L$7,O1165&lt;&gt;0),('계산 과정'!$L$23-'계산 과정'!$C$49*D1165-'계산 과정'!$D$49*E1165)/O1165,"")</x:f>
        <x:v>-14.794419734665288</x:v>
      </x:c>
      <x:c r="Q1165" s="4" t="str">
        <x:f>IF(AND(ISNUMBER(P1165),P1165&gt;1E-9,P1165&lt;1-1E-9),'계산 과정'!$C$47*(D1165-'계산 과정'!$C$50+P1165*('계산 과정'!$C$32-D1165))+'계산 과정'!$D$47*(E1165-'계산 과정'!$D$50+P1165*('계산 과정'!$D$32-E1165))+'계산 과정'!$E$47*(0-'계산 과정'!$E$50+P1165*('계산 과정'!$E$32-0)),"")</x:f>
      </x:c>
      <x:c r="R1165" s="4" t="str">
        <x:f>IF(AND(ISNUMBER(P1165),P1165&gt;1E-9,P1165&lt;1-1E-9),'계산 과정'!$C$48*(D1165-'계산 과정'!$C$50+P1165*('계산 과정'!$C$32-D1165))+'계산 과정'!$D$48*(E1165-'계산 과정'!$D$50+P1165*('계산 과정'!$D$32-E1165))+'계산 과정'!$E$48*(0-'계산 과정'!$E$50+P1165*('계산 과정'!$E$32-0)),"")</x:f>
      </x:c>
      <x:c r="S1165" s="17" t="n">
        <x:f>IF('계산 과정'!$C$78,IF(AND(ISNUMBER(Q1165),ISNUMBER(R1165),ABS(Q1165-'계산 과정'!$C$88)&lt;='계산 과정'!$D$23/2,ABS(R1165-'계산 과정'!$C$89)&lt;='계산 과정'!$D$24/2),1,0),"")</x:f>
        <x:v>0</x:v>
      </x:c>
      <x:c r="T1165" s="4"/>
      <x:c r="U1165" s="4"/>
      <x:c r="V1165" s="4"/>
      <x:c r="W1165" s="4"/>
      <x:c r="X1165" s="4"/>
      <x:c r="Y1165" s="4"/>
      <x:c r="Z1165" s="4"/>
    </x:row>
    <x:row r="1166" ht="23" customHeight="1">
      <x:c r="A1166" s="17" t="n">
        <x:f>ROW()-6</x:f>
        <x:v>1160</x:v>
      </x:c>
      <x:c r="B1166" s="4" t="n">
        <x:f>IF('계산 과정'!$L$5,'계산 과정'!$L$11*SQRT((A1166+0.5)/'계산 과정'!$L$30),"")</x:f>
        <x:v>112.91427628543035</x:v>
      </x:c>
      <x:c r="C1166" s="4" t="n">
        <x:f>A1166*PI()*(3-SQRT(5))</x:f>
        <x:v>2783.9573464852374</x:v>
      </x:c>
      <x:c r="D1166" s="4" t="n">
        <x:f>IF('계산 과정'!$L$5,B1166*COS(C1166),"")</x:f>
        <x:v>98.75103333963358</x:v>
      </x:c>
      <x:c r="E1166" s="4" t="n">
        <x:f>IF('계산 과정'!$L$5,B1166*SIN(C1166),"")</x:f>
        <x:v>54.75278260889646</x:v>
      </x:c>
      <x:c r="F1166" s="4" t="n">
        <x:f>IF('계산 과정'!$L$7,'계산 과정'!$L$22+'계산 과정'!$C$49*D1166+'계산 과정'!$D$49*E1166,"")</x:f>
        <x:v>580.1724746763663</x:v>
      </x:c>
      <x:c r="G1166" s="4" t="n">
        <x:f>IF('계산 과정'!$L$7,IF(ABS(F1166)&gt;=1E-12*MAX(1,SQRT((D1166-'계산 과정'!$C$33)^2+(E1166-'계산 과정'!$D$33)^2+'계산 과정'!$E$33^2)),('계산 과정'!$L$23-'계산 과정'!$C$49*D1166-'계산 과정'!$D$49*E1166)/F1166,""),"")</x:f>
        <x:v>0.8098066451458499</x:v>
      </x:c>
      <x:c r="H1166" s="4" t="n">
        <x:f>IF(AND(ISNUMBER(G1166),G1166&gt;0),('계산 과정'!$D$56+'계산 과정'!$D$57*D1166+'계산 과정'!$D$58*E1166)/F1166,"")</x:f>
        <x:v>126.37431934480236</x:v>
      </x:c>
      <x:c r="I1166" s="4" t="n">
        <x:f>IF(AND(ISNUMBER(G1166),G1166&gt;0),('계산 과정'!$E$56+'계산 과정'!$E$57*D1166+'계산 과정'!$E$58*E1166)/F1166,"")</x:f>
        <x:v>99.09194980580693</x:v>
      </x:c>
      <x:c r="J1166" s="4" t="n">
        <x:f>IF('계산 과정'!$L$5,'계산 과정'!$D$6+'계산 과정'!$C$35*D1166+'계산 과정'!$D$35*E1166,"")</x:f>
        <x:v>580.1724746763663</x:v>
      </x:c>
      <x:c r="K1166" s="4" t="n">
        <x:f>IF(AND('계산 과정'!$L$6,J1166&gt;0),'계산 과정'!$D$10*('계산 과정'!$C$38*(D1166-'계산 과정'!$C$32)+'계산 과정'!$D$38*(E1166-'계산 과정'!$D$32)-'계산 과정'!$E$38*'계산 과정'!$E$32)/J1166,"")</x:f>
        <x:v>0.9628519569127808</x:v>
      </x:c>
      <x:c r="L1166" s="4" t="n">
        <x:f>IF(AND('계산 과정'!$L$6,J1166&gt;0),'계산 과정'!$D$10*('계산 과정'!$C$39*(D1166-'계산 과정'!$C$32)+'계산 과정'!$D$39*(E1166-'계산 과정'!$D$32)-'계산 과정'!$E$39*'계산 과정'!$E$32)/J1166,"")</x:f>
        <x:v>0.7549862842347195</x:v>
      </x:c>
      <x:c r="M1166" s="17" t="n">
        <x:f>IF('계산 과정'!$L$6,IF(J1166&lt;=0,0,IF(AND(ABS(K1166)&lt;='계산 과정'!$D$11/2,ABS(L1166)&lt;='계산 과정'!$D$12/2),1,0)),"")</x:f>
        <x:v>1</x:v>
      </x:c>
      <x:c r="N1166" s="17" t="n">
        <x:f>IF('계산 과정'!$C$78,IF(AND(ISNUMBER(H1166),ISNUMBER(I1166),ABS(H1166-'계산 과정'!$C$88)&lt;='계산 과정'!$D$23/2,ABS(I1166-'계산 과정'!$C$89)&lt;='계산 과정'!$D$24/2),1,0),"")</x:f>
        <x:v>1</x:v>
      </x:c>
      <x:c r="O1166" s="4" t="n">
        <x:f>IF('계산 과정'!$L$7,'계산 과정'!$C$49*('계산 과정'!$C$32-D1166)+'계산 과정'!$D$49*('계산 과정'!$D$32-E1166)+'계산 과정'!$E$49*'계산 과정'!$E$32,"")</x:f>
        <x:v>69.82752532363384</x:v>
      </x:c>
      <x:c r="P1166" s="4" t="n">
        <x:f>IF(AND('계산 과정'!$L$7,O1166&lt;&gt;0),('계산 과정'!$L$23-'계산 과정'!$C$49*D1166-'계산 과정'!$D$49*E1166)/O1166,"")</x:f>
        <x:v>6.728400056368828</x:v>
      </x:c>
      <x:c r="Q1166" s="4" t="str">
        <x:f>IF(AND(ISNUMBER(P1166),P1166&gt;1E-9,P1166&lt;1-1E-9),'계산 과정'!$C$47*(D1166-'계산 과정'!$C$50+P1166*('계산 과정'!$C$32-D1166))+'계산 과정'!$D$47*(E1166-'계산 과정'!$D$50+P1166*('계산 과정'!$D$32-E1166))+'계산 과정'!$E$47*(0-'계산 과정'!$E$50+P1166*('계산 과정'!$E$32-0)),"")</x:f>
      </x:c>
      <x:c r="R1166" s="4" t="str">
        <x:f>IF(AND(ISNUMBER(P1166),P1166&gt;1E-9,P1166&lt;1-1E-9),'계산 과정'!$C$48*(D1166-'계산 과정'!$C$50+P1166*('계산 과정'!$C$32-D1166))+'계산 과정'!$D$48*(E1166-'계산 과정'!$D$50+P1166*('계산 과정'!$D$32-E1166))+'계산 과정'!$E$48*(0-'계산 과정'!$E$50+P1166*('계산 과정'!$E$32-0)),"")</x:f>
      </x:c>
      <x:c r="S1166" s="17" t="n">
        <x:f>IF('계산 과정'!$C$78,IF(AND(ISNUMBER(Q1166),ISNUMBER(R1166),ABS(Q1166-'계산 과정'!$C$88)&lt;='계산 과정'!$D$23/2,ABS(R1166-'계산 과정'!$C$89)&lt;='계산 과정'!$D$24/2),1,0),"")</x:f>
        <x:v>0</x:v>
      </x:c>
      <x:c r="T1166" s="4"/>
      <x:c r="U1166" s="4"/>
      <x:c r="V1166" s="4"/>
      <x:c r="W1166" s="4"/>
      <x:c r="X1166" s="4"/>
      <x:c r="Y1166" s="4"/>
      <x:c r="Z1166" s="4"/>
    </x:row>
    <x:row r="1167" ht="23" customHeight="1">
      <x:c r="A1167" s="17" t="n">
        <x:f>ROW()-6</x:f>
        <x:v>1161</x:v>
      </x:c>
      <x:c r="B1167" s="4" t="n">
        <x:f>IF('계산 과정'!$L$5,'계산 과정'!$L$11*SQRT((A1167+0.5)/'계산 과정'!$L$30),"")</x:f>
        <x:v>112.96291478705521</x:v>
      </x:c>
      <x:c r="C1167" s="4" t="n">
        <x:f>A1167*PI()*(3-SQRT(5))</x:f>
        <x:v>2786.357309714966</x:v>
      </x:c>
      <x:c r="D1167" s="4" t="n">
        <x:f>IF('계산 과정'!$L$5,B1167*COS(C1167),"")</x:f>
        <x:v>-109.84820930008651</x:v>
      </x:c>
      <x:c r="E1167" s="4" t="n">
        <x:f>IF('계산 과정'!$L$5,B1167*SIN(C1167),"")</x:f>
        <x:v>26.34370951008768</x:v>
      </x:c>
      <x:c r="F1167" s="4" t="n">
        <x:f>IF('계산 과정'!$L$7,'계산 과정'!$L$22+'계산 과정'!$C$49*D1167+'계산 과정'!$D$49*E1167,"")</x:f>
        <x:v>727.6744136972903</x:v>
      </x:c>
      <x:c r="G1167" s="4" t="n">
        <x:f>IF('계산 과정'!$L$7,IF(ABS(F1167)&gt;=1E-12*MAX(1,SQRT((D1167-'계산 과정'!$C$33)^2+(E1167-'계산 과정'!$D$33)^2+'계산 과정'!$E$33^2)),('계산 과정'!$L$23-'계산 과정'!$C$49*D1167-'계산 과정'!$D$49*E1167)/F1167,""),"")</x:f>
        <x:v>0.4429530298653538</x:v>
      </x:c>
      <x:c r="H1167" s="4" t="n">
        <x:f>IF(AND(ISNUMBER(G1167),G1167&gt;0),('계산 과정'!$D$56+'계산 과정'!$D$57*D1167+'계산 과정'!$D$58*E1167)/F1167,"")</x:f>
        <x:v>-112.08053058752017</x:v>
      </x:c>
      <x:c r="I1167" s="4" t="n">
        <x:f>IF(AND(ISNUMBER(G1167),G1167&gt;0),('계산 과정'!$E$56+'계산 과정'!$E$57*D1167+'계산 과정'!$E$58*E1167)/F1167,"")</x:f>
        <x:v>38.01273545547375</x:v>
      </x:c>
      <x:c r="J1167" s="4" t="n">
        <x:f>IF('계산 과정'!$L$5,'계산 과정'!$D$6+'계산 과정'!$C$35*D1167+'계산 과정'!$D$35*E1167,"")</x:f>
        <x:v>727.6744136972903</x:v>
      </x:c>
      <x:c r="K1167" s="4" t="n">
        <x:f>IF(AND('계산 과정'!$L$6,J1167&gt;0),'계산 과정'!$D$10*('계산 과정'!$C$38*(D1167-'계산 과정'!$C$32)+'계산 과정'!$D$38*(E1167-'계산 과정'!$D$32)-'계산 과정'!$E$38*'계산 과정'!$E$32)/J1167,"")</x:f>
        <x:v>-0.8539468997144383</x:v>
      </x:c>
      <x:c r="L1167" s="4" t="n">
        <x:f>IF(AND('계산 과정'!$L$6,J1167&gt;0),'계산 과정'!$D$10*('계산 과정'!$C$39*(D1167-'계산 과정'!$C$32)+'계산 과정'!$D$39*(E1167-'계산 과정'!$D$32)-'계산 과정'!$E$39*'계산 과정'!$E$32)/J1167,"")</x:f>
        <x:v>0.2896208415655143</x:v>
      </x:c>
      <x:c r="M1167" s="17" t="n">
        <x:f>IF('계산 과정'!$L$6,IF(J1167&lt;=0,0,IF(AND(ABS(K1167)&lt;='계산 과정'!$D$11/2,ABS(L1167)&lt;='계산 과정'!$D$12/2),1,0)),"")</x:f>
        <x:v>1</x:v>
      </x:c>
      <x:c r="N1167" s="17" t="n">
        <x:f>IF('계산 과정'!$C$78,IF(AND(ISNUMBER(H1167),ISNUMBER(I1167),ABS(H1167-'계산 과정'!$C$88)&lt;='계산 과정'!$D$23/2,ABS(I1167-'계산 과정'!$C$89)&lt;='계산 과정'!$D$24/2),1,0),"")</x:f>
        <x:v>1</x:v>
      </x:c>
      <x:c r="O1167" s="4" t="n">
        <x:f>IF('계산 과정'!$L$7,'계산 과정'!$C$49*('계산 과정'!$C$32-D1167)+'계산 과정'!$D$49*('계산 과정'!$D$32-E1167)+'계산 과정'!$E$49*'계산 과정'!$E$32,"")</x:f>
        <x:v>-77.67441369729022</x:v>
      </x:c>
      <x:c r="P1167" s="4" t="n">
        <x:f>IF(AND('계산 과정'!$L$7,O1167&lt;&gt;0),('계산 과정'!$L$23-'계산 과정'!$C$49*D1167-'계산 과정'!$D$49*E1167)/O1167,"")</x:f>
        <x:v>-4.149700924153283</x:v>
      </x:c>
      <x:c r="Q1167" s="4" t="str">
        <x:f>IF(AND(ISNUMBER(P1167),P1167&gt;1E-9,P1167&lt;1-1E-9),'계산 과정'!$C$47*(D1167-'계산 과정'!$C$50+P1167*('계산 과정'!$C$32-D1167))+'계산 과정'!$D$47*(E1167-'계산 과정'!$D$50+P1167*('계산 과정'!$D$32-E1167))+'계산 과정'!$E$47*(0-'계산 과정'!$E$50+P1167*('계산 과정'!$E$32-0)),"")</x:f>
      </x:c>
      <x:c r="R1167" s="4" t="str">
        <x:f>IF(AND(ISNUMBER(P1167),P1167&gt;1E-9,P1167&lt;1-1E-9),'계산 과정'!$C$48*(D1167-'계산 과정'!$C$50+P1167*('계산 과정'!$C$32-D1167))+'계산 과정'!$D$48*(E1167-'계산 과정'!$D$50+P1167*('계산 과정'!$D$32-E1167))+'계산 과정'!$E$48*(0-'계산 과정'!$E$50+P1167*('계산 과정'!$E$32-0)),"")</x:f>
      </x:c>
      <x:c r="S1167" s="17" t="n">
        <x:f>IF('계산 과정'!$C$78,IF(AND(ISNUMBER(Q1167),ISNUMBER(R1167),ABS(Q1167-'계산 과정'!$C$88)&lt;='계산 과정'!$D$23/2,ABS(R1167-'계산 과정'!$C$89)&lt;='계산 과정'!$D$24/2),1,0),"")</x:f>
        <x:v>0</x:v>
      </x:c>
      <x:c r="T1167" s="4"/>
      <x:c r="U1167" s="4"/>
      <x:c r="V1167" s="4"/>
      <x:c r="W1167" s="4"/>
      <x:c r="X1167" s="4"/>
      <x:c r="Y1167" s="4"/>
      <x:c r="Z1167" s="4"/>
    </x:row>
    <x:row r="1168" ht="23" customHeight="1">
      <x:c r="A1168" s="17" t="n">
        <x:f>ROW()-6</x:f>
        <x:v>1162</x:v>
      </x:c>
      <x:c r="B1168" s="4" t="n">
        <x:f>IF('계산 과정'!$L$5,'계산 과정'!$L$11*SQRT((A1168+0.5)/'계산 과정'!$L$30),"")</x:f>
        <x:v>113.0115323553862</x:v>
      </x:c>
      <x:c r="C1168" s="4" t="n">
        <x:f>A1168*PI()*(3-SQRT(5))</x:f>
        <x:v>2788.7572729446947</x:v>
      </x:c>
      <x:c r="D1168" s="4" t="n">
        <x:f>IF('계산 과정'!$L$5,B1168*COS(C1168),"")</x:f>
        <x:v>63.23093271284033</x:v>
      </x:c>
      <x:c r="E1168" s="4" t="n">
        <x:f>IF('계산 과정'!$L$5,B1168*SIN(C1168),"")</x:f>
        <x:v>-93.66672618158893</x:v>
      </x:c>
      <x:c r="F1168" s="4" t="n">
        <x:f>IF('계산 과정'!$L$7,'계산 과정'!$L$22+'계산 과정'!$C$49*D1168+'계산 과정'!$D$49*E1168,"")</x:f>
        <x:v>605.2889786980003</x:v>
      </x:c>
      <x:c r="G1168" s="4" t="n">
        <x:f>IF('계산 과정'!$L$7,IF(ABS(F1168)&gt;=1E-12*MAX(1,SQRT((D1168-'계산 과정'!$C$33)^2+(E1168-'계산 과정'!$D$33)^2+'계산 과정'!$E$33^2)),('계산 과정'!$L$23-'계산 과정'!$C$49*D1168-'계산 과정'!$D$49*E1168)/F1168,""),"")</x:f>
        <x:v>0.7347086052328098</x:v>
      </x:c>
      <x:c r="H1168" s="4" t="n">
        <x:f>IF(AND(ISNUMBER(G1168),G1168&gt;0),('계산 과정'!$D$56+'계산 과정'!$D$57*D1168+'계산 과정'!$D$58*E1168)/F1168,"")</x:f>
        <x:v>77.56059340132624</x:v>
      </x:c>
      <x:c r="I1168" s="4" t="n">
        <x:f>IF(AND(ISNUMBER(G1168),G1168&gt;0),('계산 과정'!$E$56+'계산 과정'!$E$57*D1168+'계산 과정'!$E$58*E1168)/F1168,"")</x:f>
        <x:v>-162.48447593118766</x:v>
      </x:c>
      <x:c r="J1168" s="4" t="n">
        <x:f>IF('계산 과정'!$L$5,'계산 과정'!$D$6+'계산 과정'!$C$35*D1168+'계산 과정'!$D$35*E1168,"")</x:f>
        <x:v>605.2889786980003</x:v>
      </x:c>
      <x:c r="K1168" s="4" t="n">
        <x:f>IF(AND('계산 과정'!$L$6,J1168&gt;0),'계산 과정'!$D$10*('계산 과정'!$C$38*(D1168-'계산 과정'!$C$32)+'계산 과정'!$D$38*(E1168-'계산 과정'!$D$32)-'계산 과정'!$E$38*'계산 과정'!$E$32)/J1168,"")</x:f>
        <x:v>0.5909378544862963</x:v>
      </x:c>
      <x:c r="L1168" s="4" t="n">
        <x:f>IF(AND('계산 과정'!$L$6,J1168&gt;0),'계산 과정'!$D$10*('계산 과정'!$C$39*(D1168-'계산 과정'!$C$32)+'계산 과정'!$D$39*(E1168-'계산 과정'!$D$32)-'계산 과정'!$E$39*'계산 과정'!$E$32)/J1168,"")</x:f>
        <x:v>-1.2379769594757153</x:v>
      </x:c>
      <x:c r="M1168" s="17" t="n">
        <x:f>IF('계산 과정'!$L$6,IF(J1168&lt;=0,0,IF(AND(ABS(K1168)&lt;='계산 과정'!$D$11/2,ABS(L1168)&lt;='계산 과정'!$D$12/2),1,0)),"")</x:f>
        <x:v>1</x:v>
      </x:c>
      <x:c r="N1168" s="17" t="n">
        <x:f>IF('계산 과정'!$C$78,IF(AND(ISNUMBER(H1168),ISNUMBER(I1168),ABS(H1168-'계산 과정'!$C$88)&lt;='계산 과정'!$D$23/2,ABS(I1168-'계산 과정'!$C$89)&lt;='계산 과정'!$D$24/2),1,0),"")</x:f>
        <x:v>1</x:v>
      </x:c>
      <x:c r="O1168" s="4" t="n">
        <x:f>IF('계산 과정'!$L$7,'계산 과정'!$C$49*('계산 과정'!$C$32-D1168)+'계산 과정'!$D$49*('계산 과정'!$D$32-E1168)+'계산 과정'!$E$49*'계산 과정'!$E$32,"")</x:f>
        <x:v>44.711021301999835</x:v>
      </x:c>
      <x:c r="P1168" s="4" t="n">
        <x:f>IF(AND('계산 과정'!$L$7,O1168&lt;&gt;0),('계산 과정'!$L$23-'계산 과정'!$C$49*D1168-'계산 과정'!$D$49*E1168)/O1168,"")</x:f>
        <x:v>9.946340037687948</x:v>
      </x:c>
      <x:c r="Q1168" s="4" t="str">
        <x:f>IF(AND(ISNUMBER(P1168),P1168&gt;1E-9,P1168&lt;1-1E-9),'계산 과정'!$C$47*(D1168-'계산 과정'!$C$50+P1168*('계산 과정'!$C$32-D1168))+'계산 과정'!$D$47*(E1168-'계산 과정'!$D$50+P1168*('계산 과정'!$D$32-E1168))+'계산 과정'!$E$47*(0-'계산 과정'!$E$50+P1168*('계산 과정'!$E$32-0)),"")</x:f>
      </x:c>
      <x:c r="R1168" s="4" t="str">
        <x:f>IF(AND(ISNUMBER(P1168),P1168&gt;1E-9,P1168&lt;1-1E-9),'계산 과정'!$C$48*(D1168-'계산 과정'!$C$50+P1168*('계산 과정'!$C$32-D1168))+'계산 과정'!$D$48*(E1168-'계산 과정'!$D$50+P1168*('계산 과정'!$D$32-E1168))+'계산 과정'!$E$48*(0-'계산 과정'!$E$50+P1168*('계산 과정'!$E$32-0)),"")</x:f>
      </x:c>
      <x:c r="S1168" s="17" t="n">
        <x:f>IF('계산 과정'!$C$78,IF(AND(ISNUMBER(Q1168),ISNUMBER(R1168),ABS(Q1168-'계산 과정'!$C$88)&lt;='계산 과정'!$D$23/2,ABS(R1168-'계산 과정'!$C$89)&lt;='계산 과정'!$D$24/2),1,0),"")</x:f>
        <x:v>0</x:v>
      </x:c>
      <x:c r="T1168" s="4"/>
      <x:c r="U1168" s="4"/>
      <x:c r="V1168" s="4"/>
      <x:c r="W1168" s="4"/>
      <x:c r="X1168" s="4"/>
      <x:c r="Y1168" s="4"/>
      <x:c r="Z1168" s="4"/>
    </x:row>
    <x:row r="1169" ht="23" customHeight="1">
      <x:c r="A1169" s="17" t="n">
        <x:f>ROW()-6</x:f>
        <x:v>1163</x:v>
      </x:c>
      <x:c r="B1169" s="4" t="n">
        <x:f>IF('계산 과정'!$L$5,'계산 과정'!$L$11*SQRT((A1169+0.5)/'계산 과정'!$L$30),"")</x:f>
        <x:v>113.06012901742817</x:v>
      </x:c>
      <x:c r="C1169" s="4" t="n">
        <x:f>A1169*PI()*(3-SQRT(5))</x:f>
        <x:v>2791.1572361744234</x:v>
      </x:c>
      <x:c r="D1169" s="4" t="n">
        <x:f>IF('계산 과정'!$L$5,B1169*COS(C1169),"")</x:f>
        <x:v>16.65360073775275</x:v>
      </x:c>
      <x:c r="E1169" s="4" t="n">
        <x:f>IF('계산 과정'!$L$5,B1169*SIN(C1169),"")</x:f>
        <x:v>111.82687671532736</x:v>
      </x:c>
      <x:c r="F1169" s="4" t="n">
        <x:f>IF('계산 과정'!$L$7,'계산 과정'!$L$22+'계산 과정'!$C$49*D1169+'계산 과정'!$D$49*E1169,"")</x:f>
        <x:v>638.2241259871618</x:v>
      </x:c>
      <x:c r="G1169" s="4" t="n">
        <x:f>IF('계산 과정'!$L$7,IF(ABS(F1169)&gt;=1E-12*MAX(1,SQRT((D1169-'계산 과정'!$C$33)^2+(E1169-'계산 과정'!$D$33)^2+'계산 과정'!$E$33^2)),('계산 과정'!$L$23-'계산 과정'!$C$49*D1169-'계산 과정'!$D$49*E1169)/F1169,""),"")</x:f>
        <x:v>0.6451900786043324</x:v>
      </x:c>
      <x:c r="H1169" s="4" t="n">
        <x:f>IF(AND(ISNUMBER(G1169),G1169&gt;0),('계산 과정'!$D$56+'계산 과정'!$D$57*D1169+'계산 과정'!$D$58*E1169)/F1169,"")</x:f>
        <x:v>19.373551092815983</x:v>
      </x:c>
      <x:c r="I1169" s="4" t="n">
        <x:f>IF(AND(ISNUMBER(G1169),G1169&gt;0),('계산 과정'!$E$56+'계산 과정'!$E$57*D1169+'계산 과정'!$E$58*E1169)/F1169,"")</x:f>
        <x:v>183.9764680933664</x:v>
      </x:c>
      <x:c r="J1169" s="4" t="n">
        <x:f>IF('계산 과정'!$L$5,'계산 과정'!$D$6+'계산 과정'!$C$35*D1169+'계산 과정'!$D$35*E1169,"")</x:f>
        <x:v>638.2241259871618</x:v>
      </x:c>
      <x:c r="K1169" s="4" t="n">
        <x:f>IF(AND('계산 과정'!$L$6,J1169&gt;0),'계산 과정'!$D$10*('계산 과정'!$C$38*(D1169-'계산 과정'!$C$32)+'계산 과정'!$D$38*(E1169-'계산 과정'!$D$32)-'계산 과정'!$E$38*'계산 과정'!$E$32)/J1169,"")</x:f>
        <x:v>0.14760800832621765</x:v>
      </x:c>
      <x:c r="L1169" s="4" t="n">
        <x:f>IF(AND('계산 과정'!$L$6,J1169&gt;0),'계산 과정'!$D$10*('계산 과정'!$C$39*(D1169-'계산 과정'!$C$32)+'계산 과정'!$D$39*(E1169-'계산 과정'!$D$32)-'계산 과정'!$E$39*'계산 과정'!$E$32)/J1169,"")</x:f>
        <x:v>1.4017254711875535</x:v>
      </x:c>
      <x:c r="M1169" s="17" t="n">
        <x:f>IF('계산 과정'!$L$6,IF(J1169&lt;=0,0,IF(AND(ABS(K1169)&lt;='계산 과정'!$D$11/2,ABS(L1169)&lt;='계산 과정'!$D$12/2),1,0)),"")</x:f>
        <x:v>1</x:v>
      </x:c>
      <x:c r="N1169" s="17" t="n">
        <x:f>IF('계산 과정'!$C$78,IF(AND(ISNUMBER(H1169),ISNUMBER(I1169),ABS(H1169-'계산 과정'!$C$88)&lt;='계산 과정'!$D$23/2,ABS(I1169-'계산 과정'!$C$89)&lt;='계산 과정'!$D$24/2),1,0),"")</x:f>
        <x:v>1</x:v>
      </x:c>
      <x:c r="O1169" s="4" t="n">
        <x:f>IF('계산 과정'!$L$7,'계산 과정'!$C$49*('계산 과정'!$C$32-D1169)+'계산 과정'!$D$49*('계산 과정'!$D$32-E1169)+'계산 과정'!$E$49*'계산 과정'!$E$32,"")</x:f>
        <x:v>11.775874012838358</x:v>
      </x:c>
      <x:c r="P1169" s="4" t="n">
        <x:f>IF(AND('계산 과정'!$L$7,O1169&lt;&gt;0),('계산 과정'!$L$23-'계산 과정'!$C$49*D1169-'계산 과정'!$D$49*E1169)/O1169,"")</x:f>
        <x:v>34.96775471306076</x:v>
      </x:c>
      <x:c r="Q1169" s="4" t="str">
        <x:f>IF(AND(ISNUMBER(P1169),P1169&gt;1E-9,P1169&lt;1-1E-9),'계산 과정'!$C$47*(D1169-'계산 과정'!$C$50+P1169*('계산 과정'!$C$32-D1169))+'계산 과정'!$D$47*(E1169-'계산 과정'!$D$50+P1169*('계산 과정'!$D$32-E1169))+'계산 과정'!$E$47*(0-'계산 과정'!$E$50+P1169*('계산 과정'!$E$32-0)),"")</x:f>
      </x:c>
      <x:c r="R1169" s="4" t="str">
        <x:f>IF(AND(ISNUMBER(P1169),P1169&gt;1E-9,P1169&lt;1-1E-9),'계산 과정'!$C$48*(D1169-'계산 과정'!$C$50+P1169*('계산 과정'!$C$32-D1169))+'계산 과정'!$D$48*(E1169-'계산 과정'!$D$50+P1169*('계산 과정'!$D$32-E1169))+'계산 과정'!$E$48*(0-'계산 과정'!$E$50+P1169*('계산 과정'!$E$32-0)),"")</x:f>
      </x:c>
      <x:c r="S1169" s="17" t="n">
        <x:f>IF('계산 과정'!$C$78,IF(AND(ISNUMBER(Q1169),ISNUMBER(R1169),ABS(Q1169-'계산 과정'!$C$88)&lt;='계산 과정'!$D$23/2,ABS(R1169-'계산 과정'!$C$89)&lt;='계산 과정'!$D$24/2),1,0),"")</x:f>
        <x:v>0</x:v>
      </x:c>
      <x:c r="T1169" s="4"/>
      <x:c r="U1169" s="4"/>
      <x:c r="V1169" s="4"/>
      <x:c r="W1169" s="4"/>
      <x:c r="X1169" s="4"/>
      <x:c r="Y1169" s="4"/>
      <x:c r="Z1169" s="4"/>
    </x:row>
    <x:row r="1170" ht="23" customHeight="1">
      <x:c r="A1170" s="17" t="n">
        <x:f>ROW()-6</x:f>
        <x:v>1164</x:v>
      </x:c>
      <x:c r="B1170" s="4" t="n">
        <x:f>IF('계산 과정'!$L$5,'계산 과정'!$L$11*SQRT((A1170+0.5)/'계산 과정'!$L$30),"")</x:f>
        <x:v>113.10870480012801</x:v>
      </x:c>
      <x:c r="C1170" s="4" t="n">
        <x:f>A1170*PI()*(3-SQRT(5))</x:f>
        <x:v>2793.557199404152</x:v>
      </x:c>
      <x:c r="D1170" s="4" t="n">
        <x:f>IF('계산 과정'!$L$5,B1170*COS(C1170),"")</x:f>
        <x:v>-87.855547285998</x:v>
      </x:c>
      <x:c r="E1170" s="4" t="n">
        <x:f>IF('계산 과정'!$L$5,B1170*SIN(C1170),"")</x:f>
        <x:v>-71.23890729538368</x:v>
      </x:c>
      <x:c r="F1170" s="4" t="n">
        <x:f>IF('계산 과정'!$L$7,'계산 과정'!$L$22+'계산 과정'!$C$49*D1170+'계산 과정'!$D$49*E1170,"")</x:f>
        <x:v>712.1232532507846</x:v>
      </x:c>
      <x:c r="G1170" s="4" t="n">
        <x:f>IF('계산 과정'!$L$7,IF(ABS(F1170)&gt;=1E-12*MAX(1,SQRT((D1170-'계산 과정'!$C$33)^2+(E1170-'계산 과정'!$D$33)^2+'계산 과정'!$E$33^2)),('계산 과정'!$L$23-'계산 과정'!$C$49*D1170-'계산 과정'!$D$49*E1170)/F1170,""),"")</x:f>
        <x:v>0.47446385889919424</x:v>
      </x:c>
      <x:c r="H1170" s="4" t="n">
        <x:f>IF(AND(ISNUMBER(G1170),G1170&gt;0),('계산 과정'!$D$56+'계산 과정'!$D$57*D1170+'계산 과정'!$D$58*E1170)/F1170,"")</x:f>
        <x:v>-91.59849171552385</x:v>
      </x:c>
      <x:c r="I1170" s="4" t="n">
        <x:f>IF(AND(ISNUMBER(G1170),G1170&gt;0),('계산 과정'!$E$56+'계산 과정'!$E$57*D1170+'계산 과정'!$E$58*E1170)/F1170,"")</x:f>
        <x:v>-105.03919415451338</x:v>
      </x:c>
      <x:c r="J1170" s="4" t="n">
        <x:f>IF('계산 과정'!$L$5,'계산 과정'!$D$6+'계산 과정'!$C$35*D1170+'계산 과정'!$D$35*E1170,"")</x:f>
        <x:v>712.1232532507846</x:v>
      </x:c>
      <x:c r="K1170" s="4" t="n">
        <x:f>IF(AND('계산 과정'!$L$6,J1170&gt;0),'계산 과정'!$D$10*('계산 과정'!$C$38*(D1170-'계산 과정'!$C$32)+'계산 과정'!$D$38*(E1170-'계산 과정'!$D$32)-'계산 과정'!$E$38*'계산 과정'!$E$32)/J1170,"")</x:f>
        <x:v>-0.697893270213514</x:v>
      </x:c>
      <x:c r="L1170" s="4" t="n">
        <x:f>IF(AND('계산 과정'!$L$6,J1170&gt;0),'계산 과정'!$D$10*('계산 과정'!$C$39*(D1170-'계산 과정'!$C$32)+'계산 과정'!$D$39*(E1170-'계산 과정'!$D$32)-'계산 과정'!$E$39*'계산 과정'!$E$32)/J1170,"")</x:f>
        <x:v>-0.8002986221296258</x:v>
      </x:c>
      <x:c r="M1170" s="17" t="n">
        <x:f>IF('계산 과정'!$L$6,IF(J1170&lt;=0,0,IF(AND(ABS(K1170)&lt;='계산 과정'!$D$11/2,ABS(L1170)&lt;='계산 과정'!$D$12/2),1,0)),"")</x:f>
        <x:v>1</x:v>
      </x:c>
      <x:c r="N1170" s="17" t="n">
        <x:f>IF('계산 과정'!$C$78,IF(AND(ISNUMBER(H1170),ISNUMBER(I1170),ABS(H1170-'계산 과정'!$C$88)&lt;='계산 과정'!$D$23/2,ABS(I1170-'계산 과정'!$C$89)&lt;='계산 과정'!$D$24/2),1,0),"")</x:f>
        <x:v>1</x:v>
      </x:c>
      <x:c r="O1170" s="4" t="n">
        <x:f>IF('계산 과정'!$L$7,'계산 과정'!$C$49*('계산 과정'!$C$32-D1170)+'계산 과정'!$D$49*('계산 과정'!$D$32-E1170)+'계산 과정'!$E$49*'계산 과정'!$E$32,"")</x:f>
        <x:v>-62.123253250784444</x:v>
      </x:c>
      <x:c r="P1170" s="4" t="n">
        <x:f>IF(AND('계산 과정'!$L$7,O1170&lt;&gt;0),('계산 과정'!$L$23-'계산 과정'!$C$49*D1170-'계산 과정'!$D$49*E1170)/O1170,"")</x:f>
        <x:v>-5.438812828833123</x:v>
      </x:c>
      <x:c r="Q1170" s="4" t="str">
        <x:f>IF(AND(ISNUMBER(P1170),P1170&gt;1E-9,P1170&lt;1-1E-9),'계산 과정'!$C$47*(D1170-'계산 과정'!$C$50+P1170*('계산 과정'!$C$32-D1170))+'계산 과정'!$D$47*(E1170-'계산 과정'!$D$50+P1170*('계산 과정'!$D$32-E1170))+'계산 과정'!$E$47*(0-'계산 과정'!$E$50+P1170*('계산 과정'!$E$32-0)),"")</x:f>
      </x:c>
      <x:c r="R1170" s="4" t="str">
        <x:f>IF(AND(ISNUMBER(P1170),P1170&gt;1E-9,P1170&lt;1-1E-9),'계산 과정'!$C$48*(D1170-'계산 과정'!$C$50+P1170*('계산 과정'!$C$32-D1170))+'계산 과정'!$D$48*(E1170-'계산 과정'!$D$50+P1170*('계산 과정'!$D$32-E1170))+'계산 과정'!$E$48*(0-'계산 과정'!$E$50+P1170*('계산 과정'!$E$32-0)),"")</x:f>
      </x:c>
      <x:c r="S1170" s="17" t="n">
        <x:f>IF('계산 과정'!$C$78,IF(AND(ISNUMBER(Q1170),ISNUMBER(R1170),ABS(Q1170-'계산 과정'!$C$88)&lt;='계산 과정'!$D$23/2,ABS(R1170-'계산 과정'!$C$89)&lt;='계산 과정'!$D$24/2),1,0),"")</x:f>
        <x:v>0</x:v>
      </x:c>
      <x:c r="T1170" s="4"/>
      <x:c r="U1170" s="4"/>
      <x:c r="V1170" s="4"/>
      <x:c r="W1170" s="4"/>
      <x:c r="X1170" s="4"/>
      <x:c r="Y1170" s="4"/>
      <x:c r="Z1170" s="4"/>
    </x:row>
    <x:row r="1171" ht="23" customHeight="1">
      <x:c r="A1171" s="17" t="n">
        <x:f>ROW()-6</x:f>
        <x:v>1165</x:v>
      </x:c>
      <x:c r="B1171" s="4" t="n">
        <x:f>IF('계산 과정'!$L$5,'계산 과정'!$L$11*SQRT((A1171+0.5)/'계산 과정'!$L$30),"")</x:f>
        <x:v>113.15725973037478</x:v>
      </x:c>
      <x:c r="C1171" s="4" t="n">
        <x:f>A1171*PI()*(3-SQRT(5))</x:f>
        <x:v>2795.9571626338807</x:v>
      </x:c>
      <x:c r="D1171" s="4" t="n">
        <x:f>IF('계산 과정'!$L$5,B1171*COS(C1171),"")</x:f>
        <x:v>112.9516034717521</x:v>
      </x:c>
      <x:c r="E1171" s="4" t="n">
        <x:f>IF('계산 과정'!$L$5,B1171*SIN(C1171),"")</x:f>
        <x:v>-6.819142383582731</x:v>
      </x:c>
      <x:c r="F1171" s="4" t="n">
        <x:f>IF('계산 과정'!$L$7,'계산 과정'!$L$22+'계산 과정'!$C$49*D1171+'계산 과정'!$D$49*E1171,"")</x:f>
        <x:v>570.1311552392301</x:v>
      </x:c>
      <x:c r="G1171" s="4" t="n">
        <x:f>IF('계산 과정'!$L$7,IF(ABS(F1171)&gt;=1E-12*MAX(1,SQRT((D1171-'계산 과정'!$C$33)^2+(E1171-'계산 과정'!$D$33)^2+'계산 과정'!$E$33^2)),('계산 과정'!$L$23-'계산 과정'!$C$49*D1171-'계산 과정'!$D$49*E1171)/F1171,""),"")</x:f>
        <x:v>0.8416814979343031</x:v>
      </x:c>
      <x:c r="H1171" s="4" t="n">
        <x:f>IF(AND(ISNUMBER(G1171),G1171&gt;0),('계산 과정'!$D$56+'계산 과정'!$D$57*D1171+'계산 과정'!$D$58*E1171)/F1171,"")</x:f>
        <x:v>147.09297365729694</x:v>
      </x:c>
      <x:c r="I1171" s="4" t="n">
        <x:f>IF(AND(ISNUMBER(G1171),G1171&gt;0),('계산 과정'!$E$56+'계산 과정'!$E$57*D1171+'계산 과정'!$E$58*E1171)/F1171,"")</x:f>
        <x:v>-12.558688359623938</x:v>
      </x:c>
      <x:c r="J1171" s="4" t="n">
        <x:f>IF('계산 과정'!$L$5,'계산 과정'!$D$6+'계산 과정'!$C$35*D1171+'계산 과정'!$D$35*E1171,"")</x:f>
        <x:v>570.1311552392301</x:v>
      </x:c>
      <x:c r="K1171" s="4" t="n">
        <x:f>IF(AND('계산 과정'!$L$6,J1171&gt;0),'계산 과정'!$D$10*('계산 과정'!$C$38*(D1171-'계산 과정'!$C$32)+'계산 과정'!$D$38*(E1171-'계산 과정'!$D$32)-'계산 과정'!$E$38*'계산 과정'!$E$32)/J1171,"")</x:f>
        <x:v>1.120708370722263</x:v>
      </x:c>
      <x:c r="L1171" s="4" t="n">
        <x:f>IF(AND('계산 과정'!$L$6,J1171&gt;0),'계산 과정'!$D$10*('계산 과정'!$C$39*(D1171-'계산 과정'!$C$32)+'계산 과정'!$D$39*(E1171-'계산 과정'!$D$32)-'계산 과정'!$E$39*'계산 과정'!$E$32)/J1171,"")</x:f>
        <x:v>-0.09568524464475382</x:v>
      </x:c>
      <x:c r="M1171" s="17" t="n">
        <x:f>IF('계산 과정'!$L$6,IF(J1171&lt;=0,0,IF(AND(ABS(K1171)&lt;='계산 과정'!$D$11/2,ABS(L1171)&lt;='계산 과정'!$D$12/2),1,0)),"")</x:f>
        <x:v>1</x:v>
      </x:c>
      <x:c r="N1171" s="17" t="n">
        <x:f>IF('계산 과정'!$C$78,IF(AND(ISNUMBER(H1171),ISNUMBER(I1171),ABS(H1171-'계산 과정'!$C$88)&lt;='계산 과정'!$D$23/2,ABS(I1171-'계산 과정'!$C$89)&lt;='계산 과정'!$D$24/2),1,0),"")</x:f>
        <x:v>1</x:v>
      </x:c>
      <x:c r="O1171" s="4" t="n">
        <x:f>IF('계산 과정'!$L$7,'계산 과정'!$C$49*('계산 과정'!$C$32-D1171)+'계산 과정'!$D$49*('계산 과정'!$D$32-E1171)+'계산 과정'!$E$49*'계산 과정'!$E$32,"")</x:f>
        <x:v>79.86884476077</x:v>
      </x:c>
      <x:c r="P1171" s="4" t="n">
        <x:f>IF(AND('계산 과정'!$L$7,O1171&lt;&gt;0),('계산 과정'!$L$23-'계산 과정'!$C$49*D1171-'계산 과정'!$D$49*E1171)/O1171,"")</x:f>
        <x:v>6.008210663345816</x:v>
      </x:c>
      <x:c r="Q1171" s="4" t="str">
        <x:f>IF(AND(ISNUMBER(P1171),P1171&gt;1E-9,P1171&lt;1-1E-9),'계산 과정'!$C$47*(D1171-'계산 과정'!$C$50+P1171*('계산 과정'!$C$32-D1171))+'계산 과정'!$D$47*(E1171-'계산 과정'!$D$50+P1171*('계산 과정'!$D$32-E1171))+'계산 과정'!$E$47*(0-'계산 과정'!$E$50+P1171*('계산 과정'!$E$32-0)),"")</x:f>
      </x:c>
      <x:c r="R1171" s="4" t="str">
        <x:f>IF(AND(ISNUMBER(P1171),P1171&gt;1E-9,P1171&lt;1-1E-9),'계산 과정'!$C$48*(D1171-'계산 과정'!$C$50+P1171*('계산 과정'!$C$32-D1171))+'계산 과정'!$D$48*(E1171-'계산 과정'!$D$50+P1171*('계산 과정'!$D$32-E1171))+'계산 과정'!$E$48*(0-'계산 과정'!$E$50+P1171*('계산 과정'!$E$32-0)),"")</x:f>
      </x:c>
      <x:c r="S1171" s="17" t="n">
        <x:f>IF('계산 과정'!$C$78,IF(AND(ISNUMBER(Q1171),ISNUMBER(R1171),ABS(Q1171-'계산 과정'!$C$88)&lt;='계산 과정'!$D$23/2,ABS(R1171-'계산 과정'!$C$89)&lt;='계산 과정'!$D$24/2),1,0),"")</x:f>
        <x:v>0</x:v>
      </x:c>
      <x:c r="T1171" s="4"/>
      <x:c r="U1171" s="4"/>
      <x:c r="V1171" s="4"/>
      <x:c r="W1171" s="4"/>
      <x:c r="X1171" s="4"/>
      <x:c r="Y1171" s="4"/>
      <x:c r="Z1171" s="4"/>
    </x:row>
    <x:row r="1172" ht="23" customHeight="1">
      <x:c r="A1172" s="17" t="n">
        <x:f>ROW()-6</x:f>
        <x:v>1166</x:v>
      </x:c>
      <x:c r="B1172" s="4" t="n">
        <x:f>IF('계산 과정'!$L$5,'계산 과정'!$L$11*SQRT((A1172+0.5)/'계산 과정'!$L$30),"")</x:f>
        <x:v>113.2057938349999</x:v>
      </x:c>
      <x:c r="C1172" s="4" t="n">
        <x:f>A1172*PI()*(3-SQRT(5))</x:f>
        <x:v>2798.3571258636093</x:v>
      </x:c>
      <x:c r="D1172" s="4" t="n">
        <x:f>IF('계산 과정'!$L$5,B1172*COS(C1172),"")</x:f>
        <x:v>-78.7144794647193</x:v>
      </x:c>
      <x:c r="E1172" s="4" t="n">
        <x:f>IF('계산 과정'!$L$5,B1172*SIN(C1172),"")</x:f>
        <x:v>81.36081661592873</x:v>
      </x:c>
      <x:c r="F1172" s="4" t="n">
        <x:f>IF('계산 과정'!$L$7,'계산 과정'!$L$22+'계산 과정'!$C$49*D1172+'계산 과정'!$D$49*E1172,"")</x:f>
        <x:v>705.6595422070723</x:v>
      </x:c>
      <x:c r="G1172" s="4" t="n">
        <x:f>IF('계산 과정'!$L$7,IF(ABS(F1172)&gt;=1E-12*MAX(1,SQRT((D1172-'계산 과정'!$C$33)^2+(E1172-'계산 과정'!$D$33)^2+'계산 과정'!$E$33^2)),('계산 과정'!$L$23-'계산 과정'!$C$49*D1172-'계산 과정'!$D$49*E1172)/F1172,""),"")</x:f>
        <x:v>0.4879696754555935</x:v>
      </x:c>
      <x:c r="H1172" s="4" t="n">
        <x:f>IF(AND(ISNUMBER(G1172),G1172&gt;0),('계산 과정'!$D$56+'계산 과정'!$D$57*D1172+'계산 과정'!$D$58*E1172)/F1172,"")</x:f>
        <x:v>-82.81971095386434</x:v>
      </x:c>
      <x:c r="I1172" s="4" t="n">
        <x:f>IF(AND(ISNUMBER(G1172),G1172&gt;0),('계산 과정'!$E$56+'계산 과정'!$E$57*D1172+'계산 과정'!$E$58*E1172)/F1172,"")</x:f>
        <x:v>121.06242789480552</x:v>
      </x:c>
      <x:c r="J1172" s="4" t="n">
        <x:f>IF('계산 과정'!$L$5,'계산 과정'!$D$6+'계산 과정'!$C$35*D1172+'계산 과정'!$D$35*E1172,"")</x:f>
        <x:v>705.6595422070723</x:v>
      </x:c>
      <x:c r="K1172" s="4" t="n">
        <x:f>IF(AND('계산 과정'!$L$6,J1172&gt;0),'계산 과정'!$D$10*('계산 과정'!$C$38*(D1172-'계산 과정'!$C$32)+'계산 과정'!$D$38*(E1172-'계산 과정'!$D$32)-'계산 과정'!$E$38*'계산 과정'!$E$32)/J1172,"")</x:f>
        <x:v>-0.6310073215532506</x:v>
      </x:c>
      <x:c r="L1172" s="4" t="n">
        <x:f>IF(AND('계산 과정'!$L$6,J1172&gt;0),'계산 과정'!$D$10*('계산 과정'!$C$39*(D1172-'계산 과정'!$C$32)+'계산 과정'!$D$39*(E1172-'계산 과정'!$D$32)-'계산 과정'!$E$39*'계산 과정'!$E$32)/J1172,"")</x:f>
        <x:v>0.9223804030080421</x:v>
      </x:c>
      <x:c r="M1172" s="17" t="n">
        <x:f>IF('계산 과정'!$L$6,IF(J1172&lt;=0,0,IF(AND(ABS(K1172)&lt;='계산 과정'!$D$11/2,ABS(L1172)&lt;='계산 과정'!$D$12/2),1,0)),"")</x:f>
        <x:v>1</x:v>
      </x:c>
      <x:c r="N1172" s="17" t="n">
        <x:f>IF('계산 과정'!$C$78,IF(AND(ISNUMBER(H1172),ISNUMBER(I1172),ABS(H1172-'계산 과정'!$C$88)&lt;='계산 과정'!$D$23/2,ABS(I1172-'계산 과정'!$C$89)&lt;='계산 과정'!$D$24/2),1,0),"")</x:f>
        <x:v>1</x:v>
      </x:c>
      <x:c r="O1172" s="4" t="n">
        <x:f>IF('계산 과정'!$L$7,'계산 과정'!$C$49*('계산 과정'!$C$32-D1172)+'계산 과정'!$D$49*('계산 과정'!$D$32-E1172)+'계산 과정'!$E$49*'계산 과정'!$E$32,"")</x:f>
        <x:v>-55.65954220707209</x:v>
      </x:c>
      <x:c r="P1172" s="4" t="n">
        <x:f>IF(AND('계산 과정'!$L$7,O1172&lt;&gt;0),('계산 과정'!$L$23-'계산 과정'!$C$49*D1172-'계산 과정'!$D$49*E1172)/O1172,"")</x:f>
        <x:v>-6.186548507924592</x:v>
      </x:c>
      <x:c r="Q1172" s="4" t="str">
        <x:f>IF(AND(ISNUMBER(P1172),P1172&gt;1E-9,P1172&lt;1-1E-9),'계산 과정'!$C$47*(D1172-'계산 과정'!$C$50+P1172*('계산 과정'!$C$32-D1172))+'계산 과정'!$D$47*(E1172-'계산 과정'!$D$50+P1172*('계산 과정'!$D$32-E1172))+'계산 과정'!$E$47*(0-'계산 과정'!$E$50+P1172*('계산 과정'!$E$32-0)),"")</x:f>
      </x:c>
      <x:c r="R1172" s="4" t="str">
        <x:f>IF(AND(ISNUMBER(P1172),P1172&gt;1E-9,P1172&lt;1-1E-9),'계산 과정'!$C$48*(D1172-'계산 과정'!$C$50+P1172*('계산 과정'!$C$32-D1172))+'계산 과정'!$D$48*(E1172-'계산 과정'!$D$50+P1172*('계산 과정'!$D$32-E1172))+'계산 과정'!$E$48*(0-'계산 과정'!$E$50+P1172*('계산 과정'!$E$32-0)),"")</x:f>
      </x:c>
      <x:c r="S1172" s="17" t="n">
        <x:f>IF('계산 과정'!$C$78,IF(AND(ISNUMBER(Q1172),ISNUMBER(R1172),ABS(Q1172-'계산 과정'!$C$88)&lt;='계산 과정'!$D$23/2,ABS(R1172-'계산 과정'!$C$89)&lt;='계산 과정'!$D$24/2),1,0),"")</x:f>
        <x:v>0</x:v>
      </x:c>
      <x:c r="T1172" s="4"/>
      <x:c r="U1172" s="4"/>
      <x:c r="V1172" s="4"/>
      <x:c r="W1172" s="4"/>
      <x:c r="X1172" s="4"/>
      <x:c r="Y1172" s="4"/>
      <x:c r="Z1172" s="4"/>
    </x:row>
    <x:row r="1173" ht="23" customHeight="1">
      <x:c r="A1173" s="17" t="n">
        <x:f>ROW()-6</x:f>
        <x:v>1167</x:v>
      </x:c>
      <x:c r="B1173" s="4" t="n">
        <x:f>IF('계산 과정'!$L$5,'계산 과정'!$L$11*SQRT((A1173+0.5)/'계산 과정'!$L$30),"")</x:f>
        <x:v>113.2543071407772</x:v>
      </x:c>
      <x:c r="C1173" s="4" t="n">
        <x:f>A1173*PI()*(3-SQRT(5))</x:f>
        <x:v>2800.757089093338</x:v>
      </x:c>
      <x:c r="D1173" s="4" t="n">
        <x:f>IF('계산 과정'!$L$5,B1173*COS(C1173),"")</x:f>
        <x:v>3.0844867164756757</x:v>
      </x:c>
      <x:c r="E1173" s="4" t="n">
        <x:f>IF('계산 과정'!$L$5,B1173*SIN(C1173),"")</x:f>
        <x:v>-113.2122962740063</x:v>
      </x:c>
      <x:c r="F1173" s="4" t="n">
        <x:f>IF('계산 과정'!$L$7,'계산 과정'!$L$22+'계산 과정'!$C$49*D1173+'계산 과정'!$D$49*E1173,"")</x:f>
        <x:v>647.8189385263003</x:v>
      </x:c>
      <x:c r="G1173" s="4" t="n">
        <x:f>IF('계산 과정'!$L$7,IF(ABS(F1173)&gt;=1E-12*MAX(1,SQRT((D1173-'계산 과정'!$C$33)^2+(E1173-'계산 과정'!$D$33)^2+'계산 과정'!$E$33^2)),('계산 과정'!$L$23-'계산 과정'!$C$49*D1173-'계산 과정'!$D$49*E1173)/F1173,""),"")</x:f>
        <x:v>0.6208232540848634</x:v>
      </x:c>
      <x:c r="H1173" s="4" t="n">
        <x:f>IF(AND(ISNUMBER(G1173),G1173&gt;0),('계산 과정'!$D$56+'계산 과정'!$D$57*D1173+'계산 과정'!$D$58*E1173)/F1173,"")</x:f>
        <x:v>3.5351151551610887</x:v>
      </x:c>
      <x:c r="I1173" s="4" t="n">
        <x:f>IF(AND(ISNUMBER(G1173),G1173&gt;0),('계산 과정'!$E$56+'계산 과정'!$E$57*D1173+'계산 과정'!$E$58*E1173)/F1173,"")</x:f>
        <x:v>-183.49712244925456</x:v>
      </x:c>
      <x:c r="J1173" s="4" t="n">
        <x:f>IF('계산 과정'!$L$5,'계산 과정'!$D$6+'계산 과정'!$C$35*D1173+'계산 과정'!$D$35*E1173,"")</x:f>
        <x:v>647.8189385263003</x:v>
      </x:c>
      <x:c r="K1173" s="4" t="n">
        <x:f>IF(AND('계산 과정'!$L$6,J1173&gt;0),'계산 과정'!$D$10*('계산 과정'!$C$38*(D1173-'계산 과정'!$C$32)+'계산 과정'!$D$38*(E1173-'계산 과정'!$D$32)-'계산 과정'!$E$38*'계산 과정'!$E$32)/J1173,"")</x:f>
        <x:v>0.026934210705990367</x:v>
      </x:c>
      <x:c r="L1173" s="4" t="n">
        <x:f>IF(AND('계산 과정'!$L$6,J1173&gt;0),'계산 과정'!$D$10*('계산 과정'!$C$39*(D1173-'계산 과정'!$C$32)+'계산 과정'!$D$39*(E1173-'계산 과정'!$D$32)-'계산 과정'!$E$39*'계산 과정'!$E$32)/J1173,"")</x:f>
        <x:v>-1.3980733138990822</x:v>
      </x:c>
      <x:c r="M1173" s="17" t="n">
        <x:f>IF('계산 과정'!$L$6,IF(J1173&lt;=0,0,IF(AND(ABS(K1173)&lt;='계산 과정'!$D$11/2,ABS(L1173)&lt;='계산 과정'!$D$12/2),1,0)),"")</x:f>
        <x:v>1</x:v>
      </x:c>
      <x:c r="N1173" s="17" t="n">
        <x:f>IF('계산 과정'!$C$78,IF(AND(ISNUMBER(H1173),ISNUMBER(I1173),ABS(H1173-'계산 과정'!$C$88)&lt;='계산 과정'!$D$23/2,ABS(I1173-'계산 과정'!$C$89)&lt;='계산 과정'!$D$24/2),1,0),"")</x:f>
        <x:v>1</x:v>
      </x:c>
      <x:c r="O1173" s="4" t="n">
        <x:f>IF('계산 과정'!$L$7,'계산 과정'!$C$49*('계산 과정'!$C$32-D1173)+'계산 과정'!$D$49*('계산 과정'!$D$32-E1173)+'계산 과정'!$E$49*'계산 과정'!$E$32,"")</x:f>
        <x:v>2.1810614736999128</x:v>
      </x:c>
      <x:c r="P1173" s="4" t="n">
        <x:f>IF(AND('계산 과정'!$L$7,O1173&lt;&gt;0),('계산 과정'!$L$23-'계산 과정'!$C$49*D1173-'계산 과정'!$D$49*E1173)/O1173,"")</x:f>
        <x:v>184.39693989525531</x:v>
      </x:c>
      <x:c r="Q1173" s="4" t="str">
        <x:f>IF(AND(ISNUMBER(P1173),P1173&gt;1E-9,P1173&lt;1-1E-9),'계산 과정'!$C$47*(D1173-'계산 과정'!$C$50+P1173*('계산 과정'!$C$32-D1173))+'계산 과정'!$D$47*(E1173-'계산 과정'!$D$50+P1173*('계산 과정'!$D$32-E1173))+'계산 과정'!$E$47*(0-'계산 과정'!$E$50+P1173*('계산 과정'!$E$32-0)),"")</x:f>
      </x:c>
      <x:c r="R1173" s="4" t="str">
        <x:f>IF(AND(ISNUMBER(P1173),P1173&gt;1E-9,P1173&lt;1-1E-9),'계산 과정'!$C$48*(D1173-'계산 과정'!$C$50+P1173*('계산 과정'!$C$32-D1173))+'계산 과정'!$D$48*(E1173-'계산 과정'!$D$50+P1173*('계산 과정'!$D$32-E1173))+'계산 과정'!$E$48*(0-'계산 과정'!$E$50+P1173*('계산 과정'!$E$32-0)),"")</x:f>
      </x:c>
      <x:c r="S1173" s="17" t="n">
        <x:f>IF('계산 과정'!$C$78,IF(AND(ISNUMBER(Q1173),ISNUMBER(R1173),ABS(Q1173-'계산 과정'!$C$88)&lt;='계산 과정'!$D$23/2,ABS(R1173-'계산 과정'!$C$89)&lt;='계산 과정'!$D$24/2),1,0),"")</x:f>
        <x:v>0</x:v>
      </x:c>
      <x:c r="T1173" s="4"/>
      <x:c r="U1173" s="4"/>
      <x:c r="V1173" s="4"/>
      <x:c r="W1173" s="4"/>
      <x:c r="X1173" s="4"/>
      <x:c r="Y1173" s="4"/>
      <x:c r="Z1173" s="4"/>
    </x:row>
    <x:row r="1174" ht="23" customHeight="1">
      <x:c r="A1174" s="17" t="n">
        <x:f>ROW()-6</x:f>
        <x:v>1168</x:v>
      </x:c>
      <x:c r="B1174" s="4" t="n">
        <x:f>IF('계산 과정'!$L$5,'계산 과정'!$L$11*SQRT((A1174+0.5)/'계산 과정'!$L$30),"")</x:f>
        <x:v>113.30279967442333</x:v>
      </x:c>
      <x:c r="C1174" s="4" t="n">
        <x:f>A1174*PI()*(3-SQRT(5))</x:f>
        <x:v>2803.1570523230666</x:v>
      </x:c>
      <x:c r="D1174" s="4" t="n">
        <x:f>IF('계산 과정'!$L$5,B1174*COS(C1174),"")</x:f>
        <x:v>74.23117305915518</x:v>
      </x:c>
      <x:c r="E1174" s="4" t="n">
        <x:f>IF('계산 과정'!$L$5,B1174*SIN(C1174),"")</x:f>
        <x:v>85.59940046708421</x:v>
      </x:c>
      <x:c r="F1174" s="4" t="n">
        <x:f>IF('계산 과정'!$L$7,'계산 과정'!$L$22+'계산 과정'!$C$49*D1174+'계산 과정'!$D$49*E1174,"")</x:f>
        <x:v>597.5106341544392</x:v>
      </x:c>
      <x:c r="G1174" s="4" t="n">
        <x:f>IF('계산 과정'!$L$7,IF(ABS(F1174)&gt;=1E-12*MAX(1,SQRT((D1174-'계산 과정'!$C$33)^2+(E1174-'계산 과정'!$D$33)^2+'계산 과정'!$E$33^2)),('계산 과정'!$L$23-'계산 과정'!$C$49*D1174-'계산 과정'!$D$49*E1174)/F1174,""),"")</x:f>
        <x:v>0.7572908999115912</x:v>
      </x:c>
      <x:c r="H1174" s="4" t="n">
        <x:f>IF(AND(ISNUMBER(G1174),G1174&gt;0),('계산 과정'!$D$56+'계산 과정'!$D$57*D1174+'계산 과정'!$D$58*E1174)/F1174,"")</x:f>
        <x:v>92.23908494253415</x:v>
      </x:c>
      <x:c r="I1174" s="4" t="n">
        <x:f>IF(AND(ISNUMBER(G1174),G1174&gt;0),('계산 과정'!$E$56+'계산 과정'!$E$57*D1174+'계산 과정'!$E$58*E1174)/F1174,"")</x:f>
        <x:v>150.42304747869508</x:v>
      </x:c>
      <x:c r="J1174" s="4" t="n">
        <x:f>IF('계산 과정'!$L$5,'계산 과정'!$D$6+'계산 과정'!$C$35*D1174+'계산 과정'!$D$35*E1174,"")</x:f>
        <x:v>597.5106341544392</x:v>
      </x:c>
      <x:c r="K1174" s="4" t="n">
        <x:f>IF(AND('계산 과정'!$L$6,J1174&gt;0),'계산 과정'!$D$10*('계산 과정'!$C$38*(D1174-'계산 과정'!$C$32)+'계산 과정'!$D$38*(E1174-'계산 과정'!$D$32)-'계산 과정'!$E$38*'계산 과정'!$E$32)/J1174,"")</x:f>
        <x:v>0.7027739805145472</x:v>
      </x:c>
      <x:c r="L1174" s="4" t="n">
        <x:f>IF(AND('계산 과정'!$L$6,J1174&gt;0),'계산 과정'!$D$10*('계산 과정'!$C$39*(D1174-'계산 과정'!$C$32)+'계산 과정'!$D$39*(E1174-'계산 과정'!$D$32)-'계산 과정'!$E$39*'계산 과정'!$E$32)/J1174,"")</x:f>
        <x:v>1.1460803617424387</x:v>
      </x:c>
      <x:c r="M1174" s="17" t="n">
        <x:f>IF('계산 과정'!$L$6,IF(J1174&lt;=0,0,IF(AND(ABS(K1174)&lt;='계산 과정'!$D$11/2,ABS(L1174)&lt;='계산 과정'!$D$12/2),1,0)),"")</x:f>
        <x:v>1</x:v>
      </x:c>
      <x:c r="N1174" s="17" t="n">
        <x:f>IF('계산 과정'!$C$78,IF(AND(ISNUMBER(H1174),ISNUMBER(I1174),ABS(H1174-'계산 과정'!$C$88)&lt;='계산 과정'!$D$23/2,ABS(I1174-'계산 과정'!$C$89)&lt;='계산 과정'!$D$24/2),1,0),"")</x:f>
        <x:v>1</x:v>
      </x:c>
      <x:c r="O1174" s="4" t="n">
        <x:f>IF('계산 과정'!$L$7,'계산 과정'!$C$49*('계산 과정'!$C$32-D1174)+'계산 과정'!$D$49*('계산 과정'!$D$32-E1174)+'계산 과정'!$E$49*'계산 과정'!$E$32,"")</x:f>
        <x:v>52.48936584556088</x:v>
      </x:c>
      <x:c r="P1174" s="4" t="n">
        <x:f>IF(AND('계산 과정'!$L$7,O1174&lt;&gt;0),('계산 과정'!$L$23-'계산 과정'!$C$49*D1174-'계산 과정'!$D$49*E1174)/O1174,"")</x:f>
        <x:v>8.620591210359013</x:v>
      </x:c>
      <x:c r="Q1174" s="4" t="str">
        <x:f>IF(AND(ISNUMBER(P1174),P1174&gt;1E-9,P1174&lt;1-1E-9),'계산 과정'!$C$47*(D1174-'계산 과정'!$C$50+P1174*('계산 과정'!$C$32-D1174))+'계산 과정'!$D$47*(E1174-'계산 과정'!$D$50+P1174*('계산 과정'!$D$32-E1174))+'계산 과정'!$E$47*(0-'계산 과정'!$E$50+P1174*('계산 과정'!$E$32-0)),"")</x:f>
      </x:c>
      <x:c r="R1174" s="4" t="str">
        <x:f>IF(AND(ISNUMBER(P1174),P1174&gt;1E-9,P1174&lt;1-1E-9),'계산 과정'!$C$48*(D1174-'계산 과정'!$C$50+P1174*('계산 과정'!$C$32-D1174))+'계산 과정'!$D$48*(E1174-'계산 과정'!$D$50+P1174*('계산 과정'!$D$32-E1174))+'계산 과정'!$E$48*(0-'계산 과정'!$E$50+P1174*('계산 과정'!$E$32-0)),"")</x:f>
      </x:c>
      <x:c r="S1174" s="17" t="n">
        <x:f>IF('계산 과정'!$C$78,IF(AND(ISNUMBER(Q1174),ISNUMBER(R1174),ABS(Q1174-'계산 과정'!$C$88)&lt;='계산 과정'!$D$23/2,ABS(R1174-'계산 과정'!$C$89)&lt;='계산 과정'!$D$24/2),1,0),"")</x:f>
        <x:v>0</x:v>
      </x:c>
      <x:c r="T1174" s="4"/>
      <x:c r="U1174" s="4"/>
      <x:c r="V1174" s="4"/>
      <x:c r="W1174" s="4"/>
      <x:c r="X1174" s="4"/>
      <x:c r="Y1174" s="4"/>
      <x:c r="Z1174" s="4"/>
    </x:row>
    <x:row r="1175" ht="23" customHeight="1">
      <x:c r="A1175" s="17" t="n">
        <x:f>ROW()-6</x:f>
        <x:v>1169</x:v>
      </x:c>
      <x:c r="B1175" s="4" t="n">
        <x:f>IF('계산 과정'!$L$5,'계산 과정'!$L$11*SQRT((A1175+0.5)/'계산 과정'!$L$30),"")</x:f>
        <x:v>113.35127146259764</x:v>
      </x:c>
      <x:c r="C1175" s="4" t="n">
        <x:f>A1175*PI()*(3-SQRT(5))</x:f>
        <x:v>2805.5570155527953</x:v>
      </x:c>
      <x:c r="D1175" s="4" t="n">
        <x:f>IF('계산 과정'!$L$5,B1175*COS(C1175),"")</x:f>
        <x:v>-112.60547387399231</x:v>
      </x:c>
      <x:c r="E1175" s="4" t="n">
        <x:f>IF('계산 과정'!$L$5,B1175*SIN(C1175),"")</x:f>
        <x:v>-12.981448139600488</x:v>
      </x:c>
      <x:c r="F1175" s="4" t="n">
        <x:f>IF('계산 과정'!$L$7,'계산 과정'!$L$22+'계산 과정'!$C$49*D1175+'계산 과정'!$D$49*E1175,"")</x:f>
        <x:v>729.6240941750245</x:v>
      </x:c>
      <x:c r="G1175" s="4" t="n">
        <x:f>IF('계산 과정'!$L$7,IF(ABS(F1175)&gt;=1E-12*MAX(1,SQRT((D1175-'계산 과정'!$C$33)^2+(E1175-'계산 과정'!$D$33)^2+'계산 과정'!$E$33^2)),('계산 과정'!$L$23-'계산 과정'!$C$49*D1175-'계산 과정'!$D$49*E1175)/F1175,""),"")</x:f>
        <x:v>0.4390972123627851</x:v>
      </x:c>
      <x:c r="H1175" s="4" t="n">
        <x:f>IF(AND(ISNUMBER(G1175),G1175&gt;0),('계산 과정'!$D$56+'계산 과정'!$D$57*D1175+'계산 과정'!$D$58*E1175)/F1175,"")</x:f>
        <x:v>-114.58681196418988</x:v>
      </x:c>
      <x:c r="I1175" s="4" t="n">
        <x:f>IF(AND(ISNUMBER(G1175),G1175&gt;0),('계산 과정'!$E$56+'계산 과정'!$E$57*D1175+'계산 과정'!$E$58*E1175)/F1175,"")</x:f>
        <x:v>-18.681565830131124</x:v>
      </x:c>
      <x:c r="J1175" s="4" t="n">
        <x:f>IF('계산 과정'!$L$5,'계산 과정'!$D$6+'계산 과정'!$C$35*D1175+'계산 과정'!$D$35*E1175,"")</x:f>
        <x:v>729.6240941750245</x:v>
      </x:c>
      <x:c r="K1175" s="4" t="n">
        <x:f>IF(AND('계산 과정'!$L$6,J1175&gt;0),'계산 과정'!$D$10*('계산 과정'!$C$38*(D1175-'계산 과정'!$C$32)+'계산 과정'!$D$38*(E1175-'계산 과정'!$D$32)-'계산 과정'!$E$38*'계산 과정'!$E$32)/J1175,"")</x:f>
        <x:v>-0.8730423768700173</x:v>
      </x:c>
      <x:c r="L1175" s="4" t="n">
        <x:f>IF(AND('계산 과정'!$L$6,J1175&gt;0),'계산 과정'!$D$10*('계산 과정'!$C$39*(D1175-'계산 과정'!$C$32)+'계산 과정'!$D$39*(E1175-'계산 과정'!$D$32)-'계산 과정'!$E$39*'계산 과정'!$E$32)/J1175,"")</x:f>
        <x:v>-0.1423357396581419</x:v>
      </x:c>
      <x:c r="M1175" s="17" t="n">
        <x:f>IF('계산 과정'!$L$6,IF(J1175&lt;=0,0,IF(AND(ABS(K1175)&lt;='계산 과정'!$D$11/2,ABS(L1175)&lt;='계산 과정'!$D$12/2),1,0)),"")</x:f>
        <x:v>1</x:v>
      </x:c>
      <x:c r="N1175" s="17" t="n">
        <x:f>IF('계산 과정'!$C$78,IF(AND(ISNUMBER(H1175),ISNUMBER(I1175),ABS(H1175-'계산 과정'!$C$88)&lt;='계산 과정'!$D$23/2,ABS(I1175-'계산 과정'!$C$89)&lt;='계산 과정'!$D$24/2),1,0),"")</x:f>
        <x:v>1</x:v>
      </x:c>
      <x:c r="O1175" s="4" t="n">
        <x:f>IF('계산 과정'!$L$7,'계산 과정'!$C$49*('계산 과정'!$C$32-D1175)+'계산 과정'!$D$49*('계산 과정'!$D$32-E1175)+'계산 과정'!$E$49*'계산 과정'!$E$32,"")</x:f>
        <x:v>-79.62409417502448</x:v>
      </x:c>
      <x:c r="P1175" s="4" t="n">
        <x:f>IF(AND('계산 과정'!$L$7,O1175&lt;&gt;0),('계산 과정'!$L$23-'계산 과정'!$C$49*D1175-'계산 과정'!$D$49*E1175)/O1175,"")</x:f>
        <x:v>-4.023605029914012</x:v>
      </x:c>
      <x:c r="Q1175" s="4" t="str">
        <x:f>IF(AND(ISNUMBER(P1175),P1175&gt;1E-9,P1175&lt;1-1E-9),'계산 과정'!$C$47*(D1175-'계산 과정'!$C$50+P1175*('계산 과정'!$C$32-D1175))+'계산 과정'!$D$47*(E1175-'계산 과정'!$D$50+P1175*('계산 과정'!$D$32-E1175))+'계산 과정'!$E$47*(0-'계산 과정'!$E$50+P1175*('계산 과정'!$E$32-0)),"")</x:f>
      </x:c>
      <x:c r="R1175" s="4" t="str">
        <x:f>IF(AND(ISNUMBER(P1175),P1175&gt;1E-9,P1175&lt;1-1E-9),'계산 과정'!$C$48*(D1175-'계산 과정'!$C$50+P1175*('계산 과정'!$C$32-D1175))+'계산 과정'!$D$48*(E1175-'계산 과정'!$D$50+P1175*('계산 과정'!$D$32-E1175))+'계산 과정'!$E$48*(0-'계산 과정'!$E$50+P1175*('계산 과정'!$E$32-0)),"")</x:f>
      </x:c>
      <x:c r="S1175" s="17" t="n">
        <x:f>IF('계산 과정'!$C$78,IF(AND(ISNUMBER(Q1175),ISNUMBER(R1175),ABS(Q1175-'계산 과정'!$C$88)&lt;='계산 과정'!$D$23/2,ABS(R1175-'계산 과정'!$C$89)&lt;='계산 과정'!$D$24/2),1,0),"")</x:f>
        <x:v>0</x:v>
      </x:c>
      <x:c r="T1175" s="4"/>
      <x:c r="U1175" s="4"/>
      <x:c r="V1175" s="4"/>
      <x:c r="W1175" s="4"/>
      <x:c r="X1175" s="4"/>
      <x:c r="Y1175" s="4"/>
      <x:c r="Z1175" s="4"/>
    </x:row>
    <x:row r="1176" ht="23" customHeight="1">
      <x:c r="A1176" s="17" t="n">
        <x:f>ROW()-6</x:f>
        <x:v>1170</x:v>
      </x:c>
      <x:c r="B1176" s="4" t="n">
        <x:f>IF('계산 과정'!$L$5,'계산 과정'!$L$11*SQRT((A1176+0.5)/'계산 과정'!$L$30),"")</x:f>
        <x:v>113.3997225319026</x:v>
      </x:c>
      <x:c r="C1176" s="4" t="n">
        <x:f>A1176*PI()*(3-SQRT(5))</x:f>
        <x:v>2807.956978782524</x:v>
      </x:c>
      <x:c r="D1176" s="4" t="n">
        <x:f>IF('계산 과정'!$L$5,B1176*COS(C1176),"")</x:f>
        <x:v>91.8398535776776</x:v>
      </x:c>
      <x:c r="E1176" s="4" t="n">
        <x:f>IF('계산 과정'!$L$5,B1176*SIN(C1176),"")</x:f>
        <x:v>-66.5202102006844</x:v>
      </x:c>
      <x:c r="F1176" s="4" t="n">
        <x:f>IF('계산 과정'!$L$7,'계산 과정'!$L$22+'계산 과정'!$C$49*D1176+'계산 과정'!$D$49*E1176,"")</x:f>
        <x:v>585.0594167520446</x:v>
      </x:c>
      <x:c r="G1176" s="4" t="n">
        <x:f>IF('계산 과정'!$L$7,IF(ABS(F1176)&gt;=1E-12*MAX(1,SQRT((D1176-'계산 과정'!$C$33)^2+(E1176-'계산 과정'!$D$33)^2+'계산 과정'!$E$33^2)),('계산 과정'!$L$23-'계산 과정'!$C$49*D1176-'계산 과정'!$D$49*E1176)/F1176,""),"")</x:f>
        <x:v>0.7946895134669766</x:v>
      </x:c>
      <x:c r="H1176" s="4" t="n">
        <x:f>IF(AND(ISNUMBER(G1176),G1176&gt;0),('계산 과정'!$D$56+'계산 과정'!$D$57*D1176+'계산 과정'!$D$58*E1176)/F1176,"")</x:f>
        <x:v>116.54818375353474</x:v>
      </x:c>
      <x:c r="I1176" s="4" t="n">
        <x:f>IF(AND(ISNUMBER(G1176),G1176&gt;0),('계산 과정'!$E$56+'계산 과정'!$E$57*D1176+'계산 과정'!$E$58*E1176)/F1176,"")</x:f>
        <x:v>-119.3831236807873</x:v>
      </x:c>
      <x:c r="J1176" s="4" t="n">
        <x:f>IF('계산 과정'!$L$5,'계산 과정'!$D$6+'계산 과정'!$C$35*D1176+'계산 과정'!$D$35*E1176,"")</x:f>
        <x:v>585.0594167520446</x:v>
      </x:c>
      <x:c r="K1176" s="4" t="n">
        <x:f>IF(AND('계산 과정'!$L$6,J1176&gt;0),'계산 과정'!$D$10*('계산 과정'!$C$38*(D1176-'계산 과정'!$C$32)+'계산 과정'!$D$38*(E1176-'계산 과정'!$D$32)-'계산 과정'!$E$38*'계산 과정'!$E$32)/J1176,"")</x:f>
        <x:v>0.8879861619316946</x:v>
      </x:c>
      <x:c r="L1176" s="4" t="n">
        <x:f>IF(AND('계산 과정'!$L$6,J1176&gt;0),'계산 과정'!$D$10*('계산 과정'!$C$39*(D1176-'계산 과정'!$C$32)+'계산 과정'!$D$39*(E1176-'계산 과정'!$D$32)-'계산 과정'!$E$39*'계산 과정'!$E$32)/J1176,"")</x:f>
        <x:v>-0.9095857042345699</x:v>
      </x:c>
      <x:c r="M1176" s="17" t="n">
        <x:f>IF('계산 과정'!$L$6,IF(J1176&lt;=0,0,IF(AND(ABS(K1176)&lt;='계산 과정'!$D$11/2,ABS(L1176)&lt;='계산 과정'!$D$12/2),1,0)),"")</x:f>
        <x:v>1</x:v>
      </x:c>
      <x:c r="N1176" s="17" t="n">
        <x:f>IF('계산 과정'!$C$78,IF(AND(ISNUMBER(H1176),ISNUMBER(I1176),ABS(H1176-'계산 과정'!$C$88)&lt;='계산 과정'!$D$23/2,ABS(I1176-'계산 과정'!$C$89)&lt;='계산 과정'!$D$24/2),1,0),"")</x:f>
        <x:v>1</x:v>
      </x:c>
      <x:c r="O1176" s="4" t="n">
        <x:f>IF('계산 과정'!$L$7,'계산 과정'!$C$49*('계산 과정'!$C$32-D1176)+'계산 과정'!$D$49*('계산 과정'!$D$32-E1176)+'계산 과정'!$E$49*'계산 과정'!$E$32,"")</x:f>
        <x:v>64.94058324795554</x:v>
      </x:c>
      <x:c r="P1176" s="4" t="n">
        <x:f>IF(AND('계산 과정'!$L$7,O1176&lt;&gt;0),('계산 과정'!$L$23-'계산 과정'!$C$49*D1176-'계산 과정'!$D$49*E1176)/O1176,"")</x:f>
        <x:v>7.159476555249335</x:v>
      </x:c>
      <x:c r="Q1176" s="4" t="str">
        <x:f>IF(AND(ISNUMBER(P1176),P1176&gt;1E-9,P1176&lt;1-1E-9),'계산 과정'!$C$47*(D1176-'계산 과정'!$C$50+P1176*('계산 과정'!$C$32-D1176))+'계산 과정'!$D$47*(E1176-'계산 과정'!$D$50+P1176*('계산 과정'!$D$32-E1176))+'계산 과정'!$E$47*(0-'계산 과정'!$E$50+P1176*('계산 과정'!$E$32-0)),"")</x:f>
      </x:c>
      <x:c r="R1176" s="4" t="str">
        <x:f>IF(AND(ISNUMBER(P1176),P1176&gt;1E-9,P1176&lt;1-1E-9),'계산 과정'!$C$48*(D1176-'계산 과정'!$C$50+P1176*('계산 과정'!$C$32-D1176))+'계산 과정'!$D$48*(E1176-'계산 과정'!$D$50+P1176*('계산 과정'!$D$32-E1176))+'계산 과정'!$E$48*(0-'계산 과정'!$E$50+P1176*('계산 과정'!$E$32-0)),"")</x:f>
      </x:c>
      <x:c r="S1176" s="17" t="n">
        <x:f>IF('계산 과정'!$C$78,IF(AND(ISNUMBER(Q1176),ISNUMBER(R1176),ABS(Q1176-'계산 과정'!$C$88)&lt;='계산 과정'!$D$23/2,ABS(R1176-'계산 과정'!$C$89)&lt;='계산 과정'!$D$24/2),1,0),"")</x:f>
        <x:v>0</x:v>
      </x:c>
      <x:c r="T1176" s="4"/>
      <x:c r="U1176" s="4"/>
      <x:c r="V1176" s="4"/>
      <x:c r="W1176" s="4"/>
      <x:c r="X1176" s="4"/>
      <x:c r="Y1176" s="4"/>
      <x:c r="Z1176" s="4"/>
    </x:row>
    <x:row r="1177" ht="23" customHeight="1">
      <x:c r="A1177" s="17" t="n">
        <x:f>ROW()-6</x:f>
        <x:v>1171</x:v>
      </x:c>
      <x:c r="B1177" s="4" t="n">
        <x:f>IF('계산 과정'!$L$5,'계산 과정'!$L$11*SQRT((A1177+0.5)/'계산 과정'!$L$30),"")</x:f>
        <x:v>113.44815290888388</x:v>
      </x:c>
      <x:c r="C1177" s="4" t="n">
        <x:f>A1177*PI()*(3-SQRT(5))</x:f>
        <x:v>2810.3569420122526</x:v>
      </x:c>
      <x:c r="D1177" s="4" t="n">
        <x:f>IF('계산 과정'!$L$5,B1177*COS(C1177),"")</x:f>
        <x:v>-22.79582484177804</x:v>
      </x:c>
      <x:c r="E1177" s="4" t="n">
        <x:f>IF('계산 과정'!$L$5,B1177*SIN(C1177),"")</x:f>
        <x:v>111.13430509172437</x:v>
      </x:c>
      <x:c r="F1177" s="4" t="n">
        <x:f>IF('계산 과정'!$L$7,'계산 과정'!$L$22+'계산 과정'!$C$49*D1177+'계산 과정'!$D$49*E1177,"")</x:f>
        <x:v>666.119082328362</x:v>
      </x:c>
      <x:c r="G1177" s="4" t="n">
        <x:f>IF('계산 과정'!$L$7,IF(ABS(F1177)&gt;=1E-12*MAX(1,SQRT((D1177-'계산 과정'!$C$33)^2+(E1177-'계산 과정'!$D$33)^2+'계산 과정'!$E$33^2)),('계산 과정'!$L$23-'계산 과정'!$C$49*D1177-'계산 과정'!$D$49*E1177)/F1177,""),"")</x:f>
        <x:v>0.5762947314612505</x:v>
      </x:c>
      <x:c r="H1177" s="4" t="n">
        <x:f>IF(AND(ISNUMBER(G1177),G1177&gt;0),('계산 과정'!$D$56+'계산 과정'!$D$57*D1177+'계산 과정'!$D$58*E1177)/F1177,"")</x:f>
        <x:v>-25.4084245501873</x:v>
      </x:c>
      <x:c r="I1177" s="4" t="n">
        <x:f>IF(AND(ISNUMBER(G1177),G1177&gt;0),('계산 과정'!$E$56+'계산 과정'!$E$57*D1177+'계산 과정'!$E$58*E1177)/F1177,"")</x:f>
        <x:v>175.18041960069235</x:v>
      </x:c>
      <x:c r="J1177" s="4" t="n">
        <x:f>IF('계산 과정'!$L$5,'계산 과정'!$D$6+'계산 과정'!$C$35*D1177+'계산 과정'!$D$35*E1177,"")</x:f>
        <x:v>666.119082328362</x:v>
      </x:c>
      <x:c r="K1177" s="4" t="n">
        <x:f>IF(AND('계산 과정'!$L$6,J1177&gt;0),'계산 과정'!$D$10*('계산 과정'!$C$38*(D1177-'계산 과정'!$C$32)+'계산 과정'!$D$38*(E1177-'계산 과정'!$D$32)-'계산 과정'!$E$38*'계산 과정'!$E$32)/J1177,"")</x:f>
        <x:v>-0.19358799657285425</x:v>
      </x:c>
      <x:c r="L1177" s="4" t="n">
        <x:f>IF(AND('계산 과정'!$L$6,J1177&gt;0),'계산 과정'!$D$10*('계산 과정'!$C$39*(D1177-'계산 과정'!$C$32)+'계산 과정'!$D$39*(E1177-'계산 과정'!$D$32)-'계산 과정'!$E$39*'계산 과정'!$E$32)/J1177,"")</x:f>
        <x:v>1.334707958862418</x:v>
      </x:c>
      <x:c r="M1177" s="17" t="n">
        <x:f>IF('계산 과정'!$L$6,IF(J1177&lt;=0,0,IF(AND(ABS(K1177)&lt;='계산 과정'!$D$11/2,ABS(L1177)&lt;='계산 과정'!$D$12/2),1,0)),"")</x:f>
        <x:v>1</x:v>
      </x:c>
      <x:c r="N1177" s="17" t="n">
        <x:f>IF('계산 과정'!$C$78,IF(AND(ISNUMBER(H1177),ISNUMBER(I1177),ABS(H1177-'계산 과정'!$C$88)&lt;='계산 과정'!$D$23/2,ABS(I1177-'계산 과정'!$C$89)&lt;='계산 과정'!$D$24/2),1,0),"")</x:f>
        <x:v>1</x:v>
      </x:c>
      <x:c r="O1177" s="4" t="n">
        <x:f>IF('계산 과정'!$L$7,'계산 과정'!$C$49*('계산 과정'!$C$32-D1177)+'계산 과정'!$D$49*('계산 과정'!$D$32-E1177)+'계산 과정'!$E$49*'계산 과정'!$E$32,"")</x:f>
        <x:v>-16.119082328361912</x:v>
      </x:c>
      <x:c r="P1177" s="4" t="n">
        <x:f>IF(AND('계산 과정'!$L$7,O1177&lt;&gt;0),('계산 과정'!$L$23-'계산 과정'!$C$49*D1177-'계산 과정'!$D$49*E1177)/O1177,"")</x:f>
        <x:v>-23.815308455630273</x:v>
      </x:c>
      <x:c r="Q1177" s="4" t="str">
        <x:f>IF(AND(ISNUMBER(P1177),P1177&gt;1E-9,P1177&lt;1-1E-9),'계산 과정'!$C$47*(D1177-'계산 과정'!$C$50+P1177*('계산 과정'!$C$32-D1177))+'계산 과정'!$D$47*(E1177-'계산 과정'!$D$50+P1177*('계산 과정'!$D$32-E1177))+'계산 과정'!$E$47*(0-'계산 과정'!$E$50+P1177*('계산 과정'!$E$32-0)),"")</x:f>
      </x:c>
      <x:c r="R1177" s="4" t="str">
        <x:f>IF(AND(ISNUMBER(P1177),P1177&gt;1E-9,P1177&lt;1-1E-9),'계산 과정'!$C$48*(D1177-'계산 과정'!$C$50+P1177*('계산 과정'!$C$32-D1177))+'계산 과정'!$D$48*(E1177-'계산 과정'!$D$50+P1177*('계산 과정'!$D$32-E1177))+'계산 과정'!$E$48*(0-'계산 과정'!$E$50+P1177*('계산 과정'!$E$32-0)),"")</x:f>
      </x:c>
      <x:c r="S1177" s="17" t="n">
        <x:f>IF('계산 과정'!$C$78,IF(AND(ISNUMBER(Q1177),ISNUMBER(R1177),ABS(Q1177-'계산 과정'!$C$88)&lt;='계산 과정'!$D$23/2,ABS(R1177-'계산 과정'!$C$89)&lt;='계산 과정'!$D$24/2),1,0),"")</x:f>
        <x:v>0</x:v>
      </x:c>
      <x:c r="T1177" s="4"/>
      <x:c r="U1177" s="4"/>
      <x:c r="V1177" s="4"/>
      <x:c r="W1177" s="4"/>
      <x:c r="X1177" s="4"/>
      <x:c r="Y1177" s="4"/>
      <x:c r="Z1177" s="4"/>
    </x:row>
    <x:row r="1178" ht="23" customHeight="1">
      <x:c r="A1178" s="17" t="n">
        <x:f>ROW()-6</x:f>
        <x:v>1172</x:v>
      </x:c>
      <x:c r="B1178" s="4" t="n">
        <x:f>IF('계산 과정'!$L$5,'계산 과정'!$L$11*SQRT((A1178+0.5)/'계산 과정'!$L$30),"")</x:f>
        <x:v>113.49656262003047</x:v>
      </x:c>
      <x:c r="C1178" s="4" t="n">
        <x:f>A1178*PI()*(3-SQRT(5))</x:f>
        <x:v>2812.756905241981</x:v>
      </x:c>
      <x:c r="D1178" s="4" t="n">
        <x:f>IF('계산 과정'!$L$5,B1178*COS(C1178),"")</x:f>
        <x:v>-58.28607343089981</x:v>
      </x:c>
      <x:c r="E1178" s="4" t="n">
        <x:f>IF('계산 과정'!$L$5,B1178*SIN(C1178),"")</x:f>
        <x:v>-97.38687473458758</x:v>
      </x:c>
      <x:c r="F1178" s="4" t="n">
        <x:f>IF('계산 과정'!$L$7,'계산 과정'!$L$22+'계산 과정'!$C$49*D1178+'계산 과정'!$D$49*E1178,"")</x:f>
        <x:v>691.2144777717263</x:v>
      </x:c>
      <x:c r="G1178" s="4" t="n">
        <x:f>IF('계산 과정'!$L$7,IF(ABS(F1178)&gt;=1E-12*MAX(1,SQRT((D1178-'계산 과정'!$C$33)^2+(E1178-'계산 과정'!$D$33)^2+'계산 과정'!$E$33^2)),('계산 과정'!$L$23-'계산 과정'!$C$49*D1178-'계산 과정'!$D$49*E1178)/F1178,""),"")</x:f>
        <x:v>0.5190654041056743</x:v>
      </x:c>
      <x:c r="H1178" s="4" t="n">
        <x:f>IF(AND(ISNUMBER(G1178),G1178&gt;0),('계산 과정'!$D$56+'계산 과정'!$D$57*D1178+'계산 과정'!$D$58*E1178)/F1178,"")</x:f>
        <x:v>-62.60748733131189</x:v>
      </x:c>
      <x:c r="I1178" s="4" t="n">
        <x:f>IF(AND(ISNUMBER(G1178),G1178&gt;0),('계산 과정'!$E$56+'계산 과정'!$E$57*D1178+'계산 과정'!$E$58*E1178)/F1178,"")</x:f>
        <x:v>-147.93703222328497</x:v>
      </x:c>
      <x:c r="J1178" s="4" t="n">
        <x:f>IF('계산 과정'!$L$5,'계산 과정'!$D$6+'계산 과정'!$C$35*D1178+'계산 과정'!$D$35*E1178,"")</x:f>
        <x:v>691.2144777717263</x:v>
      </x:c>
      <x:c r="K1178" s="4" t="n">
        <x:f>IF(AND('계산 과정'!$L$6,J1178&gt;0),'계산 과정'!$D$10*('계산 과정'!$C$38*(D1178-'계산 과정'!$C$32)+'계산 과정'!$D$38*(E1178-'계산 과정'!$D$32)-'계산 과정'!$E$38*'계산 과정'!$E$32)/J1178,"")</x:f>
        <x:v>-0.47700942728618484</x:v>
      </x:c>
      <x:c r="L1178" s="4" t="n">
        <x:f>IF(AND('계산 과정'!$L$6,J1178&gt;0),'계산 과정'!$D$10*('계산 과정'!$C$39*(D1178-'계산 과정'!$C$32)+'계산 과정'!$D$39*(E1178-'계산 과정'!$D$32)-'계산 과정'!$E$39*'계산 과정'!$E$32)/J1178,"")</x:f>
        <x:v>-1.1271392931297903</x:v>
      </x:c>
      <x:c r="M1178" s="17" t="n">
        <x:f>IF('계산 과정'!$L$6,IF(J1178&lt;=0,0,IF(AND(ABS(K1178)&lt;='계산 과정'!$D$11/2,ABS(L1178)&lt;='계산 과정'!$D$12/2),1,0)),"")</x:f>
        <x:v>1</x:v>
      </x:c>
      <x:c r="N1178" s="17" t="n">
        <x:f>IF('계산 과정'!$C$78,IF(AND(ISNUMBER(H1178),ISNUMBER(I1178),ABS(H1178-'계산 과정'!$C$88)&lt;='계산 과정'!$D$23/2,ABS(I1178-'계산 과정'!$C$89)&lt;='계산 과정'!$D$24/2),1,0),"")</x:f>
        <x:v>1</x:v>
      </x:c>
      <x:c r="O1178" s="4" t="n">
        <x:f>IF('계산 과정'!$L$7,'계산 과정'!$C$49*('계산 과정'!$C$32-D1178)+'계산 과정'!$D$49*('계산 과정'!$D$32-E1178)+'계산 과정'!$E$49*'계산 과정'!$E$32,"")</x:f>
        <x:v>-41.214477771726195</x:v>
      </x:c>
      <x:c r="P1178" s="4" t="n">
        <x:f>IF(AND('계산 과정'!$L$7,O1178&lt;&gt;0),('계산 과정'!$L$23-'계산 과정'!$C$49*D1178-'계산 과정'!$D$49*E1178)/O1178,"")</x:f>
        <x:v>-8.705327390425081</x:v>
      </x:c>
      <x:c r="Q1178" s="4" t="str">
        <x:f>IF(AND(ISNUMBER(P1178),P1178&gt;1E-9,P1178&lt;1-1E-9),'계산 과정'!$C$47*(D1178-'계산 과정'!$C$50+P1178*('계산 과정'!$C$32-D1178))+'계산 과정'!$D$47*(E1178-'계산 과정'!$D$50+P1178*('계산 과정'!$D$32-E1178))+'계산 과정'!$E$47*(0-'계산 과정'!$E$50+P1178*('계산 과정'!$E$32-0)),"")</x:f>
      </x:c>
      <x:c r="R1178" s="4" t="str">
        <x:f>IF(AND(ISNUMBER(P1178),P1178&gt;1E-9,P1178&lt;1-1E-9),'계산 과정'!$C$48*(D1178-'계산 과정'!$C$50+P1178*('계산 과정'!$C$32-D1178))+'계산 과정'!$D$48*(E1178-'계산 과정'!$D$50+P1178*('계산 과정'!$D$32-E1178))+'계산 과정'!$E$48*(0-'계산 과정'!$E$50+P1178*('계산 과정'!$E$32-0)),"")</x:f>
      </x:c>
      <x:c r="S1178" s="17" t="n">
        <x:f>IF('계산 과정'!$C$78,IF(AND(ISNUMBER(Q1178),ISNUMBER(R1178),ABS(Q1178-'계산 과정'!$C$88)&lt;='계산 과정'!$D$23/2,ABS(R1178-'계산 과정'!$C$89)&lt;='계산 과정'!$D$24/2),1,0),"")</x:f>
        <x:v>0</x:v>
      </x:c>
      <x:c r="T1178" s="4"/>
      <x:c r="U1178" s="4"/>
      <x:c r="V1178" s="4"/>
      <x:c r="W1178" s="4"/>
      <x:c r="X1178" s="4"/>
      <x:c r="Y1178" s="4"/>
      <x:c r="Z1178" s="4"/>
    </x:row>
    <x:row r="1179" ht="23" customHeight="1">
      <x:c r="A1179" s="17" t="n">
        <x:f>ROW()-6</x:f>
        <x:v>1173</x:v>
      </x:c>
      <x:c r="B1179" s="4" t="n">
        <x:f>IF('계산 과정'!$L$5,'계산 과정'!$L$11*SQRT((A1179+0.5)/'계산 과정'!$L$30),"")</x:f>
        <x:v>113.54495169177491</x:v>
      </x:c>
      <x:c r="C1179" s="4" t="n">
        <x:f>A1179*PI()*(3-SQRT(5))</x:f>
        <x:v>2815.15686847171</x:v>
      </x:c>
      <x:c r="D1179" s="4" t="n">
        <x:f>IF('계산 과정'!$L$5,B1179*COS(C1179),"")</x:f>
        <x:v>108.80859583983047</x:v>
      </x:c>
      <x:c r="E1179" s="4" t="n">
        <x:f>IF('계산 과정'!$L$5,B1179*SIN(C1179),"")</x:f>
        <x:v>32.4522037164185</x:v>
      </x:c>
      <x:c r="F1179" s="4" t="n">
        <x:f>IF('계산 과정'!$L$7,'계산 과정'!$L$22+'계산 과정'!$C$49*D1179+'계산 과정'!$D$49*E1179,"")</x:f>
        <x:v>573.0607040302696</x:v>
      </x:c>
      <x:c r="G1179" s="4" t="n">
        <x:f>IF('계산 과정'!$L$7,IF(ABS(F1179)&gt;=1E-12*MAX(1,SQRT((D1179-'계산 과정'!$C$33)^2+(E1179-'계산 과정'!$D$33)^2+'계산 과정'!$E$33^2)),('계산 과정'!$L$23-'계산 과정'!$C$49*D1179-'계산 과정'!$D$49*E1179)/F1179,""),"")</x:f>
        <x:v>0.83226662134652</x:v>
      </x:c>
      <x:c r="H1179" s="4" t="n">
        <x:f>IF(AND(ISNUMBER(G1179),G1179&gt;0),('계산 과정'!$D$56+'계산 과정'!$D$57*D1179+'계산 과정'!$D$58*E1179)/F1179,"")</x:f>
        <x:v>140.97330387523792</x:v>
      </x:c>
      <x:c r="I1179" s="4" t="n">
        <x:f>IF(AND(ISNUMBER(G1179),G1179&gt;0),('계산 과정'!$E$56+'계산 과정'!$E$57*D1179+'계산 과정'!$E$58*E1179)/F1179,"")</x:f>
        <x:v>59.4610896587311</x:v>
      </x:c>
      <x:c r="J1179" s="4" t="n">
        <x:f>IF('계산 과정'!$L$5,'계산 과정'!$D$6+'계산 과정'!$C$35*D1179+'계산 과정'!$D$35*E1179,"")</x:f>
        <x:v>573.0607040302696</x:v>
      </x:c>
      <x:c r="K1179" s="4" t="n">
        <x:f>IF(AND('계산 과정'!$L$6,J1179&gt;0),'계산 과정'!$D$10*('계산 과정'!$C$38*(D1179-'계산 과정'!$C$32)+'계산 과정'!$D$38*(E1179-'계산 과정'!$D$32)-'계산 과정'!$E$38*'계산 과정'!$E$32)/J1179,"")</x:f>
        <x:v>1.0740823152399086</x:v>
      </x:c>
      <x:c r="L1179" s="4" t="n">
        <x:f>IF(AND('계산 과정'!$L$6,J1179&gt;0),'계산 과정'!$D$10*('계산 과정'!$C$39*(D1179-'계산 과정'!$C$32)+'계산 과정'!$D$39*(E1179-'계산 과정'!$D$32)-'계산 과정'!$E$39*'계산 과정'!$E$32)/J1179,"")</x:f>
        <x:v>0.45303687359033223</x:v>
      </x:c>
      <x:c r="M1179" s="17" t="n">
        <x:f>IF('계산 과정'!$L$6,IF(J1179&lt;=0,0,IF(AND(ABS(K1179)&lt;='계산 과정'!$D$11/2,ABS(L1179)&lt;='계산 과정'!$D$12/2),1,0)),"")</x:f>
        <x:v>1</x:v>
      </x:c>
      <x:c r="N1179" s="17" t="n">
        <x:f>IF('계산 과정'!$C$78,IF(AND(ISNUMBER(H1179),ISNUMBER(I1179),ABS(H1179-'계산 과정'!$C$88)&lt;='계산 과정'!$D$23/2,ABS(I1179-'계산 과정'!$C$89)&lt;='계산 과정'!$D$24/2),1,0),"")</x:f>
        <x:v>1</x:v>
      </x:c>
      <x:c r="O1179" s="4" t="n">
        <x:f>IF('계산 과정'!$L$7,'계산 과정'!$C$49*('계산 과정'!$C$32-D1179)+'계산 과정'!$D$49*('계산 과정'!$D$32-E1179)+'계산 과정'!$E$49*'계산 과정'!$E$32,"")</x:f>
        <x:v>76.93929596973058</x:v>
      </x:c>
      <x:c r="P1179" s="4" t="n">
        <x:f>IF(AND('계산 과정'!$L$7,O1179&lt;&gt;0),('계산 과정'!$L$23-'계산 과정'!$C$49*D1179-'계산 과정'!$D$49*E1179)/O1179,"")</x:f>
        <x:v>6.198903823572388</x:v>
      </x:c>
      <x:c r="Q1179" s="4" t="str">
        <x:f>IF(AND(ISNUMBER(P1179),P1179&gt;1E-9,P1179&lt;1-1E-9),'계산 과정'!$C$47*(D1179-'계산 과정'!$C$50+P1179*('계산 과정'!$C$32-D1179))+'계산 과정'!$D$47*(E1179-'계산 과정'!$D$50+P1179*('계산 과정'!$D$32-E1179))+'계산 과정'!$E$47*(0-'계산 과정'!$E$50+P1179*('계산 과정'!$E$32-0)),"")</x:f>
      </x:c>
      <x:c r="R1179" s="4" t="str">
        <x:f>IF(AND(ISNUMBER(P1179),P1179&gt;1E-9,P1179&lt;1-1E-9),'계산 과정'!$C$48*(D1179-'계산 과정'!$C$50+P1179*('계산 과정'!$C$32-D1179))+'계산 과정'!$D$48*(E1179-'계산 과정'!$D$50+P1179*('계산 과정'!$D$32-E1179))+'계산 과정'!$E$48*(0-'계산 과정'!$E$50+P1179*('계산 과정'!$E$32-0)),"")</x:f>
      </x:c>
      <x:c r="S1179" s="17" t="n">
        <x:f>IF('계산 과정'!$C$78,IF(AND(ISNUMBER(Q1179),ISNUMBER(R1179),ABS(Q1179-'계산 과정'!$C$88)&lt;='계산 과정'!$D$23/2,ABS(R1179-'계산 과정'!$C$89)&lt;='계산 과정'!$D$24/2),1,0),"")</x:f>
        <x:v>0</x:v>
      </x:c>
      <x:c r="T1179" s="4"/>
      <x:c r="U1179" s="4"/>
      <x:c r="V1179" s="4"/>
      <x:c r="W1179" s="4"/>
      <x:c r="X1179" s="4"/>
      <x:c r="Y1179" s="4"/>
      <x:c r="Z1179" s="4"/>
    </x:row>
    <x:row r="1180" ht="23" customHeight="1">
      <x:c r="A1180" s="17" t="n">
        <x:f>ROW()-6</x:f>
        <x:v>1174</x:v>
      </x:c>
      <x:c r="B1180" s="4" t="n">
        <x:f>IF('계산 과정'!$L$5,'계산 과정'!$L$11*SQRT((A1180+0.5)/'계산 과정'!$L$30),"")</x:f>
        <x:v>113.59332015049345</x:v>
      </x:c>
      <x:c r="C1180" s="4" t="n">
        <x:f>A1180*PI()*(3-SQRT(5))</x:f>
        <x:v>2817.5568317014386</x:v>
      </x:c>
      <x:c r="D1180" s="4" t="n">
        <x:f>IF('계산 과정'!$L$5,B1180*COS(C1180),"")</x:f>
        <x:v>-102.19673662854801</x:v>
      </x:c>
      <x:c r="E1180" s="4" t="n">
        <x:f>IF('계산 과정'!$L$5,B1180*SIN(C1180),"")</x:f>
        <x:v>49.5910214180722</x:v>
      </x:c>
      <x:c r="F1180" s="4" t="n">
        <x:f>IF('계산 과정'!$L$7,'계산 과정'!$L$22+'계산 과정'!$C$49*D1180+'계산 과정'!$D$49*E1180,"")</x:f>
        <x:v>722.2640054851819</x:v>
      </x:c>
      <x:c r="G1180" s="4" t="n">
        <x:f>IF('계산 과정'!$L$7,IF(ABS(F1180)&gt;=1E-12*MAX(1,SQRT((D1180-'계산 과정'!$C$33)^2+(E1180-'계산 과정'!$D$33)^2+'계산 과정'!$E$33^2)),('계산 과정'!$L$23-'계산 과정'!$C$49*D1180-'계산 과정'!$D$49*E1180)/F1180,""),"")</x:f>
        <x:v>0.4537620482619247</x:v>
      </x:c>
      <x:c r="H1180" s="4" t="n">
        <x:f>IF(AND(ISNUMBER(G1180),G1180&gt;0),('계산 과정'!$D$56+'계산 과정'!$D$57*D1180+'계산 과정'!$D$58*E1180)/F1180,"")</x:f>
        <x:v>-105.05466862974916</x:v>
      </x:c>
      <x:c r="I1180" s="4" t="n">
        <x:f>IF(AND(ISNUMBER(G1180),G1180&gt;0),('계산 과정'!$E$56+'계산 과정'!$E$57*D1180+'계산 과정'!$E$58*E1180)/F1180,"")</x:f>
        <x:v>72.09354487213763</x:v>
      </x:c>
      <x:c r="J1180" s="4" t="n">
        <x:f>IF('계산 과정'!$L$5,'계산 과정'!$D$6+'계산 과정'!$C$35*D1180+'계산 과정'!$D$35*E1180,"")</x:f>
        <x:v>722.2640054851819</x:v>
      </x:c>
      <x:c r="K1180" s="4" t="n">
        <x:f>IF(AND('계산 과정'!$L$6,J1180&gt;0),'계산 과정'!$D$10*('계산 과정'!$C$38*(D1180-'계산 과정'!$C$32)+'계산 과정'!$D$38*(E1180-'계산 과정'!$D$32)-'계산 과정'!$E$38*'계산 과정'!$E$32)/J1180,"")</x:f>
        <x:v>-0.8004165228933261</x:v>
      </x:c>
      <x:c r="L1180" s="4" t="n">
        <x:f>IF(AND('계산 과정'!$L$6,J1180&gt;0),'계산 과정'!$D$10*('계산 과정'!$C$39*(D1180-'계산 과정'!$C$32)+'계산 과정'!$D$39*(E1180-'계산 과정'!$D$32)-'계산 과정'!$E$39*'계산 과정'!$E$32)/J1180,"")</x:f>
        <x:v>0.5492841514067628</x:v>
      </x:c>
      <x:c r="M1180" s="17" t="n">
        <x:f>IF('계산 과정'!$L$6,IF(J1180&lt;=0,0,IF(AND(ABS(K1180)&lt;='계산 과정'!$D$11/2,ABS(L1180)&lt;='계산 과정'!$D$12/2),1,0)),"")</x:f>
        <x:v>1</x:v>
      </x:c>
      <x:c r="N1180" s="17" t="n">
        <x:f>IF('계산 과정'!$C$78,IF(AND(ISNUMBER(H1180),ISNUMBER(I1180),ABS(H1180-'계산 과정'!$C$88)&lt;='계산 과정'!$D$23/2,ABS(I1180-'계산 과정'!$C$89)&lt;='계산 과정'!$D$24/2),1,0),"")</x:f>
        <x:v>1</x:v>
      </x:c>
      <x:c r="O1180" s="4" t="n">
        <x:f>IF('계산 과정'!$L$7,'계산 과정'!$C$49*('계산 과정'!$C$32-D1180)+'계산 과정'!$D$49*('계산 과정'!$D$32-E1180)+'계산 과정'!$E$49*'계산 과정'!$E$32,"")</x:f>
        <x:v>-72.26400548518183</x:v>
      </x:c>
      <x:c r="P1180" s="4" t="n">
        <x:f>IF(AND('계산 과정'!$L$7,O1180&lt;&gt;0),('계산 과정'!$L$23-'계산 과정'!$C$49*D1180-'계산 과정'!$D$49*E1180)/O1180,"")</x:f>
        <x:v>-4.535259183522872</x:v>
      </x:c>
      <x:c r="Q1180" s="4" t="str">
        <x:f>IF(AND(ISNUMBER(P1180),P1180&gt;1E-9,P1180&lt;1-1E-9),'계산 과정'!$C$47*(D1180-'계산 과정'!$C$50+P1180*('계산 과정'!$C$32-D1180))+'계산 과정'!$D$47*(E1180-'계산 과정'!$D$50+P1180*('계산 과정'!$D$32-E1180))+'계산 과정'!$E$47*(0-'계산 과정'!$E$50+P1180*('계산 과정'!$E$32-0)),"")</x:f>
      </x:c>
      <x:c r="R1180" s="4" t="str">
        <x:f>IF(AND(ISNUMBER(P1180),P1180&gt;1E-9,P1180&lt;1-1E-9),'계산 과정'!$C$48*(D1180-'계산 과정'!$C$50+P1180*('계산 과정'!$C$32-D1180))+'계산 과정'!$D$48*(E1180-'계산 과정'!$D$50+P1180*('계산 과정'!$D$32-E1180))+'계산 과정'!$E$48*(0-'계산 과정'!$E$50+P1180*('계산 과정'!$E$32-0)),"")</x:f>
      </x:c>
      <x:c r="S1180" s="17" t="n">
        <x:f>IF('계산 과정'!$C$78,IF(AND(ISNUMBER(Q1180),ISNUMBER(R1180),ABS(Q1180-'계산 과정'!$C$88)&lt;='계산 과정'!$D$23/2,ABS(R1180-'계산 과정'!$C$89)&lt;='계산 과정'!$D$24/2),1,0),"")</x:f>
        <x:v>0</x:v>
      </x:c>
      <x:c r="T1180" s="4"/>
      <x:c r="U1180" s="4"/>
      <x:c r="V1180" s="4"/>
      <x:c r="W1180" s="4"/>
      <x:c r="X1180" s="4"/>
      <x:c r="Y1180" s="4"/>
      <x:c r="Z1180" s="4"/>
    </x:row>
    <x:row r="1181" ht="23" customHeight="1">
      <x:c r="A1181" s="17" t="n">
        <x:f>ROW()-6</x:f>
        <x:v>1175</x:v>
      </x:c>
      <x:c r="B1181" s="4" t="n">
        <x:f>IF('계산 과정'!$L$5,'계산 과정'!$L$11*SQRT((A1181+0.5)/'계산 과정'!$L$30),"")</x:f>
        <x:v>113.64166802250615</x:v>
      </x:c>
      <x:c r="C1181" s="4" t="n">
        <x:f>A1181*PI()*(3-SQRT(5))</x:f>
        <x:v>2819.956794931167</x:v>
      </x:c>
      <x:c r="D1181" s="4" t="n">
        <x:f>IF('계산 과정'!$L$5,B1181*COS(C1181),"")</x:f>
        <x:v>41.87625527392129</x:v>
      </x:c>
      <x:c r="E1181" s="4" t="n">
        <x:f>IF('계산 과정'!$L$5,B1181*SIN(C1181),"")</x:f>
        <x:v>-105.64472516491713</x:v>
      </x:c>
      <x:c r="F1181" s="4" t="n">
        <x:f>IF('계산 과정'!$L$7,'계산 과정'!$L$22+'계산 과정'!$C$49*D1181+'계산 과정'!$D$49*E1181,"")</x:f>
        <x:v>620.3890159251114</x:v>
      </x:c>
      <x:c r="G1181" s="4" t="n">
        <x:f>IF('계산 과정'!$L$7,IF(ABS(F1181)&gt;=1E-12*MAX(1,SQRT((D1181-'계산 과정'!$C$33)^2+(E1181-'계산 과정'!$D$33)^2+'계산 과정'!$E$33^2)),('계산 과정'!$L$23-'계산 과정'!$C$49*D1181-'계산 과정'!$D$49*E1181)/F1181,""),"")</x:f>
        <x:v>0.6924864448708229</x:v>
      </x:c>
      <x:c r="H1181" s="4" t="n">
        <x:f>IF(AND(ISNUMBER(G1181),G1181&gt;0),('계산 과정'!$D$56+'계산 과정'!$D$57*D1181+'계산 과정'!$D$58*E1181)/F1181,"")</x:f>
        <x:v>50.116189166034765</x:v>
      </x:c>
      <x:c r="I1181" s="4" t="n">
        <x:f>IF(AND(ISNUMBER(G1181),G1181&gt;0),('계산 과정'!$E$56+'계산 과정'!$E$57*D1181+'계산 과정'!$E$58*E1181)/F1181,"")</x:f>
        <x:v>-178.80226531372574</x:v>
      </x:c>
      <x:c r="J1181" s="4" t="n">
        <x:f>IF('계산 과정'!$L$5,'계산 과정'!$D$6+'계산 과정'!$C$35*D1181+'계산 과정'!$D$35*E1181,"")</x:f>
        <x:v>620.3890159251114</x:v>
      </x:c>
      <x:c r="K1181" s="4" t="n">
        <x:f>IF(AND('계산 과정'!$L$6,J1181&gt;0),'계산 과정'!$D$10*('계산 과정'!$C$38*(D1181-'계산 과정'!$C$32)+'계산 과정'!$D$38*(E1181-'계산 과정'!$D$32)-'계산 과정'!$E$38*'계산 과정'!$E$32)/J1181,"")</x:f>
        <x:v>0.38183763174121815</x:v>
      </x:c>
      <x:c r="L1181" s="4" t="n">
        <x:f>IF(AND('계산 과정'!$L$6,J1181&gt;0),'계산 과정'!$D$10*('계산 과정'!$C$39*(D1181-'계산 과정'!$C$32)+'계산 과정'!$D$39*(E1181-'계산 과정'!$D$32)-'계산 과정'!$E$39*'계산 과정'!$E$32)/J1181,"")</x:f>
        <x:v>-1.3623029738188628</x:v>
      </x:c>
      <x:c r="M1181" s="17" t="n">
        <x:f>IF('계산 과정'!$L$6,IF(J1181&lt;=0,0,IF(AND(ABS(K1181)&lt;='계산 과정'!$D$11/2,ABS(L1181)&lt;='계산 과정'!$D$12/2),1,0)),"")</x:f>
        <x:v>1</x:v>
      </x:c>
      <x:c r="N1181" s="17" t="n">
        <x:f>IF('계산 과정'!$C$78,IF(AND(ISNUMBER(H1181),ISNUMBER(I1181),ABS(H1181-'계산 과정'!$C$88)&lt;='계산 과정'!$D$23/2,ABS(I1181-'계산 과정'!$C$89)&lt;='계산 과정'!$D$24/2),1,0),"")</x:f>
        <x:v>1</x:v>
      </x:c>
      <x:c r="O1181" s="4" t="n">
        <x:f>IF('계산 과정'!$L$7,'계산 과정'!$C$49*('계산 과정'!$C$32-D1181)+'계산 과정'!$D$49*('계산 과정'!$D$32-E1181)+'계산 과정'!$E$49*'계산 과정'!$E$32,"")</x:f>
        <x:v>29.61098407488879</x:v>
      </x:c>
      <x:c r="P1181" s="4" t="n">
        <x:f>IF(AND('계산 과정'!$L$7,O1181&lt;&gt;0),('계산 과정'!$L$23-'계산 과정'!$C$49*D1181-'계산 과정'!$D$49*E1181)/O1181,"")</x:f>
        <x:v>14.508500730281865</x:v>
      </x:c>
      <x:c r="Q1181" s="4" t="str">
        <x:f>IF(AND(ISNUMBER(P1181),P1181&gt;1E-9,P1181&lt;1-1E-9),'계산 과정'!$C$47*(D1181-'계산 과정'!$C$50+P1181*('계산 과정'!$C$32-D1181))+'계산 과정'!$D$47*(E1181-'계산 과정'!$D$50+P1181*('계산 과정'!$D$32-E1181))+'계산 과정'!$E$47*(0-'계산 과정'!$E$50+P1181*('계산 과정'!$E$32-0)),"")</x:f>
      </x:c>
      <x:c r="R1181" s="4" t="str">
        <x:f>IF(AND(ISNUMBER(P1181),P1181&gt;1E-9,P1181&lt;1-1E-9),'계산 과정'!$C$48*(D1181-'계산 과정'!$C$50+P1181*('계산 과정'!$C$32-D1181))+'계산 과정'!$D$48*(E1181-'계산 과정'!$D$50+P1181*('계산 과정'!$D$32-E1181))+'계산 과정'!$E$48*(0-'계산 과정'!$E$50+P1181*('계산 과정'!$E$32-0)),"")</x:f>
      </x:c>
      <x:c r="S1181" s="17" t="n">
        <x:f>IF('계산 과정'!$C$78,IF(AND(ISNUMBER(Q1181),ISNUMBER(R1181),ABS(Q1181-'계산 과정'!$C$88)&lt;='계산 과정'!$D$23/2,ABS(R1181-'계산 과정'!$C$89)&lt;='계산 과정'!$D$24/2),1,0),"")</x:f>
        <x:v>0</x:v>
      </x:c>
      <x:c r="T1181" s="4"/>
      <x:c r="U1181" s="4"/>
      <x:c r="V1181" s="4"/>
      <x:c r="W1181" s="4"/>
      <x:c r="X1181" s="4"/>
      <x:c r="Y1181" s="4"/>
      <x:c r="Z1181" s="4"/>
    </x:row>
    <x:row r="1182" ht="23" customHeight="1">
      <x:c r="A1182" s="17" t="n">
        <x:f>ROW()-6</x:f>
        <x:v>1176</x:v>
      </x:c>
      <x:c r="B1182" s="4" t="n">
        <x:f>IF('계산 과정'!$L$5,'계산 과정'!$L$11*SQRT((A1182+0.5)/'계산 과정'!$L$30),"")</x:f>
        <x:v>113.68999533407722</x:v>
      </x:c>
      <x:c r="C1182" s="4" t="n">
        <x:f>A1182*PI()*(3-SQRT(5))</x:f>
        <x:v>2822.356758160896</x:v>
      </x:c>
      <x:c r="D1182" s="4" t="n">
        <x:f>IF('계산 과정'!$L$5,B1182*COS(C1182),"")</x:f>
        <x:v>40.50095525416082</x:v>
      </x:c>
      <x:c r="E1182" s="4" t="n">
        <x:f>IF('계산 과정'!$L$5,B1182*SIN(C1182),"")</x:f>
        <x:v>106.23129323585853</x:v>
      </x:c>
      <x:c r="F1182" s="4" t="n">
        <x:f>IF('계산 과정'!$L$7,'계산 과정'!$L$22+'계산 과정'!$C$49*D1182+'계산 과정'!$D$49*E1182,"")</x:f>
        <x:v>621.36149989525</x:v>
      </x:c>
      <x:c r="G1182" s="4" t="n">
        <x:f>IF('계산 과정'!$L$7,IF(ABS(F1182)&gt;=1E-12*MAX(1,SQRT((D1182-'계산 과정'!$C$33)^2+(E1182-'계산 과정'!$D$33)^2+'계산 과정'!$E$33^2)),('계산 과정'!$L$23-'계산 과정'!$C$49*D1182-'계산 과정'!$D$49*E1182)/F1182,""),"")</x:f>
        <x:v>0.6898375586144467</x:v>
      </x:c>
      <x:c r="H1182" s="4" t="n">
        <x:f>IF(AND(ISNUMBER(G1182),G1182&gt;0),('계산 과정'!$D$56+'계산 과정'!$D$57*D1182+'계산 과정'!$D$58*E1182)/F1182,"")</x:f>
        <x:v>48.39441309939029</x:v>
      </x:c>
      <x:c r="I1182" s="4" t="n">
        <x:f>IF(AND(ISNUMBER(G1182),G1182&gt;0),('계산 과정'!$E$56+'계산 과정'!$E$57*D1182+'계산 과정'!$E$58*E1182)/F1182,"")</x:f>
        <x:v>179.51362921013856</x:v>
      </x:c>
      <x:c r="J1182" s="4" t="n">
        <x:f>IF('계산 과정'!$L$5,'계산 과정'!$D$6+'계산 과정'!$C$35*D1182+'계산 과정'!$D$35*E1182,"")</x:f>
        <x:v>621.36149989525</x:v>
      </x:c>
      <x:c r="K1182" s="4" t="n">
        <x:f>IF(AND('계산 과정'!$L$6,J1182&gt;0),'계산 과정'!$D$10*('계산 과정'!$C$38*(D1182-'계산 과정'!$C$32)+'계산 과정'!$D$38*(E1182-'계산 과정'!$D$32)-'계산 과정'!$E$38*'계산 과정'!$E$32)/J1182,"")</x:f>
        <x:v>0.36871933790011735</x:v>
      </x:c>
      <x:c r="L1182" s="4" t="n">
        <x:f>IF(AND('계산 과정'!$L$6,J1182&gt;0),'계산 과정'!$D$10*('계산 과정'!$C$39*(D1182-'계산 과정'!$C$32)+'계산 과정'!$D$39*(E1182-'계산 과정'!$D$32)-'계산 과정'!$E$39*'계산 과정'!$E$32)/J1182,"")</x:f>
        <x:v>1.3677228892201034</x:v>
      </x:c>
      <x:c r="M1182" s="17" t="n">
        <x:f>IF('계산 과정'!$L$6,IF(J1182&lt;=0,0,IF(AND(ABS(K1182)&lt;='계산 과정'!$D$11/2,ABS(L1182)&lt;='계산 과정'!$D$12/2),1,0)),"")</x:f>
        <x:v>1</x:v>
      </x:c>
      <x:c r="N1182" s="17" t="n">
        <x:f>IF('계산 과정'!$C$78,IF(AND(ISNUMBER(H1182),ISNUMBER(I1182),ABS(H1182-'계산 과정'!$C$88)&lt;='계산 과정'!$D$23/2,ABS(I1182-'계산 과정'!$C$89)&lt;='계산 과정'!$D$24/2),1,0),"")</x:f>
        <x:v>1</x:v>
      </x:c>
      <x:c r="O1182" s="4" t="n">
        <x:f>IF('계산 과정'!$L$7,'계산 과정'!$C$49*('계산 과정'!$C$32-D1182)+'계산 과정'!$D$49*('계산 과정'!$D$32-E1182)+'계산 과정'!$E$49*'계산 과정'!$E$32,"")</x:f>
        <x:v>28.638500104750165</x:v>
      </x:c>
      <x:c r="P1182" s="4" t="n">
        <x:f>IF(AND('계산 과정'!$L$7,O1182&lt;&gt;0),('계산 과정'!$L$23-'계산 과정'!$C$49*D1182-'계산 과정'!$D$49*E1182)/O1182,"")</x:f>
        <x:v>14.967211918813211</x:v>
      </x:c>
      <x:c r="Q1182" s="4" t="str">
        <x:f>IF(AND(ISNUMBER(P1182),P1182&gt;1E-9,P1182&lt;1-1E-9),'계산 과정'!$C$47*(D1182-'계산 과정'!$C$50+P1182*('계산 과정'!$C$32-D1182))+'계산 과정'!$D$47*(E1182-'계산 과정'!$D$50+P1182*('계산 과정'!$D$32-E1182))+'계산 과정'!$E$47*(0-'계산 과정'!$E$50+P1182*('계산 과정'!$E$32-0)),"")</x:f>
      </x:c>
      <x:c r="R1182" s="4" t="str">
        <x:f>IF(AND(ISNUMBER(P1182),P1182&gt;1E-9,P1182&lt;1-1E-9),'계산 과정'!$C$48*(D1182-'계산 과정'!$C$50+P1182*('계산 과정'!$C$32-D1182))+'계산 과정'!$D$48*(E1182-'계산 과정'!$D$50+P1182*('계산 과정'!$D$32-E1182))+'계산 과정'!$E$48*(0-'계산 과정'!$E$50+P1182*('계산 과정'!$E$32-0)),"")</x:f>
      </x:c>
      <x:c r="S1182" s="17" t="n">
        <x:f>IF('계산 과정'!$C$78,IF(AND(ISNUMBER(Q1182),ISNUMBER(R1182),ABS(Q1182-'계산 과정'!$C$88)&lt;='계산 과정'!$D$23/2,ABS(R1182-'계산 과정'!$C$89)&lt;='계산 과정'!$D$24/2),1,0),"")</x:f>
        <x:v>0</x:v>
      </x:c>
      <x:c r="T1182" s="4"/>
      <x:c r="U1182" s="4"/>
      <x:c r="V1182" s="4"/>
      <x:c r="W1182" s="4"/>
      <x:c r="X1182" s="4"/>
      <x:c r="Y1182" s="4"/>
      <x:c r="Z1182" s="4"/>
    </x:row>
    <x:row r="1183" ht="23" customHeight="1">
      <x:c r="A1183" s="17" t="n">
        <x:f>ROW()-6</x:f>
        <x:v>1177</x:v>
      </x:c>
      <x:c r="B1183" s="4" t="n">
        <x:f>IF('계산 과정'!$L$5,'계산 과정'!$L$11*SQRT((A1183+0.5)/'계산 과정'!$L$30),"")</x:f>
        <x:v>113.73830211141495</x:v>
      </x:c>
      <x:c r="C1183" s="4" t="n">
        <x:f>A1183*PI()*(3-SQRT(5))</x:f>
        <x:v>2824.7567213906245</x:v>
      </x:c>
      <x:c r="D1183" s="4" t="n">
        <x:f>IF('계산 과정'!$L$5,B1183*COS(C1183),"")</x:f>
        <x:v>-101.66553071078336</x:v>
      </x:c>
      <x:c r="E1183" s="4" t="n">
        <x:f>IF('계산 과정'!$L$5,B1183*SIN(C1183),"")</x:f>
        <x:v>-50.99530598478907</x:v>
      </x:c>
      <x:c r="F1183" s="4" t="n">
        <x:f>IF('계산 과정'!$L$7,'계산 과정'!$L$22+'계산 과정'!$C$49*D1183+'계산 과정'!$D$49*E1183,"")</x:f>
        <x:v>721.8883861785241</x:v>
      </x:c>
      <x:c r="G1183" s="4" t="n">
        <x:f>IF('계산 과정'!$L$7,IF(ABS(F1183)&gt;=1E-12*MAX(1,SQRT((D1183-'계산 과정'!$C$33)^2+(E1183-'계산 과정'!$D$33)^2+'계산 과정'!$E$33^2)),('계산 과정'!$L$23-'계산 과정'!$C$49*D1183-'계산 과정'!$D$49*E1183)/F1183,""),"")</x:f>
        <x:v>0.4545184825017165</x:v>
      </x:c>
      <x:c r="H1183" s="4" t="n">
        <x:f>IF(AND(ISNUMBER(G1183),G1183&gt;0),('계산 과정'!$D$56+'계산 과정'!$D$57*D1183+'계산 과정'!$D$58*E1183)/F1183,"")</x:f>
        <x:v>-104.5629863738844</x:v>
      </x:c>
      <x:c r="I1183" s="4" t="n">
        <x:f>IF(AND(ISNUMBER(G1183),G1183&gt;0),('계산 과정'!$E$56+'계산 과정'!$E$57*D1183+'계산 과정'!$E$58*E1183)/F1183,"")</x:f>
        <x:v>-74.17361507570611</x:v>
      </x:c>
      <x:c r="J1183" s="4" t="n">
        <x:f>IF('계산 과정'!$L$5,'계산 과정'!$D$6+'계산 과정'!$C$35*D1183+'계산 과정'!$D$35*E1183,"")</x:f>
        <x:v>721.8883861785241</x:v>
      </x:c>
      <x:c r="K1183" s="4" t="n">
        <x:f>IF(AND('계산 과정'!$L$6,J1183&gt;0),'계산 과정'!$D$10*('계산 과정'!$C$38*(D1183-'계산 과정'!$C$32)+'계산 과정'!$D$38*(E1183-'계산 과정'!$D$32)-'계산 과정'!$E$38*'계산 과정'!$E$32)/J1183,"")</x:f>
        <x:v>-0.7966703723724522</x:v>
      </x:c>
      <x:c r="L1183" s="4" t="n">
        <x:f>IF(AND('계산 과정'!$L$6,J1183&gt;0),'계산 과정'!$D$10*('계산 과정'!$C$39*(D1183-'계산 과정'!$C$32)+'계산 과정'!$D$39*(E1183-'계산 과정'!$D$32)-'계산 과정'!$E$39*'계산 과정'!$E$32)/J1183,"")</x:f>
        <x:v>-0.5651323053387132</x:v>
      </x:c>
      <x:c r="M1183" s="17" t="n">
        <x:f>IF('계산 과정'!$L$6,IF(J1183&lt;=0,0,IF(AND(ABS(K1183)&lt;='계산 과정'!$D$11/2,ABS(L1183)&lt;='계산 과정'!$D$12/2),1,0)),"")</x:f>
        <x:v>1</x:v>
      </x:c>
      <x:c r="N1183" s="17" t="n">
        <x:f>IF('계산 과정'!$C$78,IF(AND(ISNUMBER(H1183),ISNUMBER(I1183),ABS(H1183-'계산 과정'!$C$88)&lt;='계산 과정'!$D$23/2,ABS(I1183-'계산 과정'!$C$89)&lt;='계산 과정'!$D$24/2),1,0),"")</x:f>
        <x:v>1</x:v>
      </x:c>
      <x:c r="O1183" s="4" t="n">
        <x:f>IF('계산 과정'!$L$7,'계산 과정'!$C$49*('계산 과정'!$C$32-D1183)+'계산 과정'!$D$49*('계산 과정'!$D$32-E1183)+'계산 과정'!$E$49*'계산 과정'!$E$32,"")</x:f>
        <x:v>-71.888386178524</x:v>
      </x:c>
      <x:c r="P1183" s="4" t="n">
        <x:f>IF(AND('계산 과정'!$L$7,O1183&lt;&gt;0),('계산 과정'!$L$23-'계산 과정'!$C$49*D1183-'계산 과정'!$D$49*E1183)/O1183,"")</x:f>
        <x:v>-4.564181104395082</x:v>
      </x:c>
      <x:c r="Q1183" s="4" t="str">
        <x:f>IF(AND(ISNUMBER(P1183),P1183&gt;1E-9,P1183&lt;1-1E-9),'계산 과정'!$C$47*(D1183-'계산 과정'!$C$50+P1183*('계산 과정'!$C$32-D1183))+'계산 과정'!$D$47*(E1183-'계산 과정'!$D$50+P1183*('계산 과정'!$D$32-E1183))+'계산 과정'!$E$47*(0-'계산 과정'!$E$50+P1183*('계산 과정'!$E$32-0)),"")</x:f>
      </x:c>
      <x:c r="R1183" s="4" t="str">
        <x:f>IF(AND(ISNUMBER(P1183),P1183&gt;1E-9,P1183&lt;1-1E-9),'계산 과정'!$C$48*(D1183-'계산 과정'!$C$50+P1183*('계산 과정'!$C$32-D1183))+'계산 과정'!$D$48*(E1183-'계산 과정'!$D$50+P1183*('계산 과정'!$D$32-E1183))+'계산 과정'!$E$48*(0-'계산 과정'!$E$50+P1183*('계산 과정'!$E$32-0)),"")</x:f>
      </x:c>
      <x:c r="S1183" s="17" t="n">
        <x:f>IF('계산 과정'!$C$78,IF(AND(ISNUMBER(Q1183),ISNUMBER(R1183),ABS(Q1183-'계산 과정'!$C$88)&lt;='계산 과정'!$D$23/2,ABS(R1183-'계산 과정'!$C$89)&lt;='계산 과정'!$D$24/2),1,0),"")</x:f>
        <x:v>0</x:v>
      </x:c>
      <x:c r="T1183" s="4"/>
      <x:c r="U1183" s="4"/>
      <x:c r="V1183" s="4"/>
      <x:c r="W1183" s="4"/>
      <x:c r="X1183" s="4"/>
      <x:c r="Y1183" s="4"/>
      <x:c r="Z1183" s="4"/>
    </x:row>
    <x:row r="1184" ht="23" customHeight="1">
      <x:c r="A1184" s="17" t="n">
        <x:f>ROW()-6</x:f>
        <x:v>1178</x:v>
      </x:c>
      <x:c r="B1184" s="4" t="n">
        <x:f>IF('계산 과정'!$L$5,'계산 과정'!$L$11*SQRT((A1184+0.5)/'계산 과정'!$L$30),"")</x:f>
        <x:v>113.78658838067209</x:v>
      </x:c>
      <x:c r="C1184" s="4" t="n">
        <x:f>A1184*PI()*(3-SQRT(5))</x:f>
        <x:v>2827.156684620353</x:v>
      </x:c>
      <x:c r="D1184" s="4" t="n">
        <x:f>IF('계산 과정'!$L$5,B1184*COS(C1184),"")</x:f>
        <x:v>109.45828208215407</x:v>
      </x:c>
      <x:c r="E1184" s="4" t="n">
        <x:f>IF('계산 과정'!$L$5,B1184*SIN(C1184),"")</x:f>
        <x:v>-31.084918834317236</x:v>
      </x:c>
      <x:c r="F1184" s="4" t="n">
        <x:f>IF('계산 과정'!$L$7,'계산 과정'!$L$22+'계산 과정'!$C$49*D1184+'계산 과정'!$D$49*E1184,"")</x:f>
        <x:v>572.6013064826789</x:v>
      </x:c>
      <x:c r="G1184" s="4" t="n">
        <x:f>IF('계산 과정'!$L$7,IF(ABS(F1184)&gt;=1E-12*MAX(1,SQRT((D1184-'계산 과정'!$C$33)^2+(E1184-'계산 과정'!$D$33)^2+'계산 과정'!$E$33^2)),('계산 과정'!$L$23-'계산 과정'!$C$49*D1184-'계산 과정'!$D$49*E1184)/F1184,""),"")</x:f>
        <x:v>0.8337366473189534</x:v>
      </x:c>
      <x:c r="H1184" s="4" t="n">
        <x:f>IF(AND(ISNUMBER(G1184),G1184&gt;0),('계산 과정'!$D$56+'계산 과정'!$D$57*D1184+'계산 과정'!$D$58*E1184)/F1184,"")</x:f>
        <x:v>141.92882075731953</x:v>
      </x:c>
      <x:c r="I1184" s="4" t="n">
        <x:f>IF(AND(ISNUMBER(G1184),G1184&gt;0),('계산 과정'!$E$56+'계산 과정'!$E$57*D1184+'계산 과정'!$E$58*E1184)/F1184,"")</x:f>
        <x:v>-57.001554845422675</x:v>
      </x:c>
      <x:c r="J1184" s="4" t="n">
        <x:f>IF('계산 과정'!$L$5,'계산 과정'!$D$6+'계산 과정'!$C$35*D1184+'계산 과정'!$D$35*E1184,"")</x:f>
        <x:v>572.6013064826789</x:v>
      </x:c>
      <x:c r="K1184" s="4" t="n">
        <x:f>IF(AND('계산 과정'!$L$6,J1184&gt;0),'계산 과정'!$D$10*('계산 과정'!$C$38*(D1184-'계산 과정'!$C$32)+'계산 과정'!$D$38*(E1184-'계산 과정'!$D$32)-'계산 과정'!$E$38*'계산 과정'!$E$32)/J1184,"")</x:f>
        <x:v>1.0813624438652927</x:v>
      </x:c>
      <x:c r="L1184" s="4" t="n">
        <x:f>IF(AND('계산 과정'!$L$6,J1184&gt;0),'계산 과정'!$D$10*('계산 과정'!$C$39*(D1184-'계산 과정'!$C$32)+'계산 과정'!$D$39*(E1184-'계산 과정'!$D$32)-'계산 과정'!$E$39*'계산 과정'!$E$32)/J1184,"")</x:f>
        <x:v>-0.4342975607270299</x:v>
      </x:c>
      <x:c r="M1184" s="17" t="n">
        <x:f>IF('계산 과정'!$L$6,IF(J1184&lt;=0,0,IF(AND(ABS(K1184)&lt;='계산 과정'!$D$11/2,ABS(L1184)&lt;='계산 과정'!$D$12/2),1,0)),"")</x:f>
        <x:v>1</x:v>
      </x:c>
      <x:c r="N1184" s="17" t="n">
        <x:f>IF('계산 과정'!$C$78,IF(AND(ISNUMBER(H1184),ISNUMBER(I1184),ABS(H1184-'계산 과정'!$C$88)&lt;='계산 과정'!$D$23/2,ABS(I1184-'계산 과정'!$C$89)&lt;='계산 과정'!$D$24/2),1,0),"")</x:f>
        <x:v>1</x:v>
      </x:c>
      <x:c r="O1184" s="4" t="n">
        <x:f>IF('계산 과정'!$L$7,'계산 과정'!$C$49*('계산 과정'!$C$32-D1184)+'계산 과정'!$D$49*('계산 과정'!$D$32-E1184)+'계산 과정'!$E$49*'계산 과정'!$E$32,"")</x:f>
        <x:v>77.39869351732122</x:v>
      </x:c>
      <x:c r="P1184" s="4" t="n">
        <x:f>IF(AND('계산 과정'!$L$7,O1184&lt;&gt;0),('계산 과정'!$L$23-'계산 과정'!$C$49*D1184-'계산 과정'!$D$49*E1184)/O1184,"")</x:f>
        <x:v>6.168045890987592</x:v>
      </x:c>
      <x:c r="Q1184" s="4" t="str">
        <x:f>IF(AND(ISNUMBER(P1184),P1184&gt;1E-9,P1184&lt;1-1E-9),'계산 과정'!$C$47*(D1184-'계산 과정'!$C$50+P1184*('계산 과정'!$C$32-D1184))+'계산 과정'!$D$47*(E1184-'계산 과정'!$D$50+P1184*('계산 과정'!$D$32-E1184))+'계산 과정'!$E$47*(0-'계산 과정'!$E$50+P1184*('계산 과정'!$E$32-0)),"")</x:f>
      </x:c>
      <x:c r="R1184" s="4" t="str">
        <x:f>IF(AND(ISNUMBER(P1184),P1184&gt;1E-9,P1184&lt;1-1E-9),'계산 과정'!$C$48*(D1184-'계산 과정'!$C$50+P1184*('계산 과정'!$C$32-D1184))+'계산 과정'!$D$48*(E1184-'계산 과정'!$D$50+P1184*('계산 과정'!$D$32-E1184))+'계산 과정'!$E$48*(0-'계산 과정'!$E$50+P1184*('계산 과정'!$E$32-0)),"")</x:f>
      </x:c>
      <x:c r="S1184" s="17" t="n">
        <x:f>IF('계산 과정'!$C$78,IF(AND(ISNUMBER(Q1184),ISNUMBER(R1184),ABS(Q1184-'계산 과정'!$C$88)&lt;='계산 과정'!$D$23/2,ABS(R1184-'계산 과정'!$C$89)&lt;='계산 과정'!$D$24/2),1,0),"")</x:f>
        <x:v>0</x:v>
      </x:c>
      <x:c r="T1184" s="4"/>
      <x:c r="U1184" s="4"/>
      <x:c r="V1184" s="4"/>
      <x:c r="W1184" s="4"/>
      <x:c r="X1184" s="4"/>
      <x:c r="Y1184" s="4"/>
      <x:c r="Z1184" s="4"/>
    </x:row>
    <x:row r="1185" ht="23" customHeight="1">
      <x:c r="A1185" s="17" t="n">
        <x:f>ROW()-6</x:f>
        <x:v>1179</x:v>
      </x:c>
      <x:c r="B1185" s="4" t="n">
        <x:f>IF('계산 과정'!$L$5,'계산 과정'!$L$11*SQRT((A1185+0.5)/'계산 과정'!$L$30),"")</x:f>
        <x:v>113.83485416794585</x:v>
      </x:c>
      <x:c r="C1185" s="4" t="n">
        <x:f>A1185*PI()*(3-SQRT(5))</x:f>
        <x:v>2829.556647850082</x:v>
      </x:c>
      <x:c r="D1185" s="4" t="n">
        <x:f>IF('계산 과정'!$L$5,B1185*COS(C1185),"")</x:f>
        <x:v>-59.738898877755894</x:v>
      </x:c>
      <x:c r="E1185" s="4" t="n">
        <x:f>IF('계산 과정'!$L$5,B1185*SIN(C1185),"")</x:f>
        <x:v>96.90014439778072</x:v>
      </x:c>
      <x:c r="F1185" s="4" t="n">
        <x:f>IF('계산 과정'!$L$7,'계산 과정'!$L$22+'계산 과정'!$C$49*D1185+'계산 과정'!$D$49*E1185,"")</x:f>
        <x:v>692.2417804970786</x:v>
      </x:c>
      <x:c r="G1185" s="4" t="n">
        <x:f>IF('계산 과정'!$L$7,IF(ABS(F1185)&gt;=1E-12*MAX(1,SQRT((D1185-'계산 과정'!$C$33)^2+(E1185-'계산 과정'!$D$33)^2+'계산 과정'!$E$33^2)),('계산 과정'!$L$23-'계산 과정'!$C$49*D1185-'계산 과정'!$D$49*E1185)/F1185,""),"")</x:f>
        <x:v>0.5168110761041116</x:v>
      </x:c>
      <x:c r="H1185" s="4" t="n">
        <x:f>IF(AND(ISNUMBER(G1185),G1185&gt;0),('계산 과정'!$D$56+'계산 과정'!$D$57*D1185+'계산 과정'!$D$58*E1185)/F1185,"")</x:f>
        <x:v>-64.07280053232762</x:v>
      </x:c>
      <x:c r="I1185" s="4" t="n">
        <x:f>IF(AND(ISNUMBER(G1185),G1185&gt;0),('계산 과정'!$E$56+'계산 과정'!$E$57*D1185+'계산 과정'!$E$58*E1185)/F1185,"")</x:f>
        <x:v>146.97921229864158</x:v>
      </x:c>
      <x:c r="J1185" s="4" t="n">
        <x:f>IF('계산 과정'!$L$5,'계산 과정'!$D$6+'계산 과정'!$C$35*D1185+'계산 과정'!$D$35*E1185,"")</x:f>
        <x:v>692.2417804970786</x:v>
      </x:c>
      <x:c r="K1185" s="4" t="n">
        <x:f>IF(AND('계산 과정'!$L$6,J1185&gt;0),'계산 과정'!$D$10*('계산 과정'!$C$38*(D1185-'계산 과정'!$C$32)+'계산 과정'!$D$38*(E1185-'계산 과정'!$D$32)-'계산 과정'!$E$38*'계산 과정'!$E$32)/J1185,"")</x:f>
        <x:v>-0.48817371834154316</x:v>
      </x:c>
      <x:c r="L1185" s="4" t="n">
        <x:f>IF(AND('계산 과정'!$L$6,J1185&gt;0),'계산 과정'!$D$10*('계산 과정'!$C$39*(D1185-'계산 과정'!$C$32)+'계산 과정'!$D$39*(E1185-'계산 과정'!$D$32)-'계산 과정'!$E$39*'계산 과정'!$E$32)/J1185,"")</x:f>
        <x:v>1.1198416175134596</x:v>
      </x:c>
      <x:c r="M1185" s="17" t="n">
        <x:f>IF('계산 과정'!$L$6,IF(J1185&lt;=0,0,IF(AND(ABS(K1185)&lt;='계산 과정'!$D$11/2,ABS(L1185)&lt;='계산 과정'!$D$12/2),1,0)),"")</x:f>
        <x:v>1</x:v>
      </x:c>
      <x:c r="N1185" s="17" t="n">
        <x:f>IF('계산 과정'!$C$78,IF(AND(ISNUMBER(H1185),ISNUMBER(I1185),ABS(H1185-'계산 과정'!$C$88)&lt;='계산 과정'!$D$23/2,ABS(I1185-'계산 과정'!$C$89)&lt;='계산 과정'!$D$24/2),1,0),"")</x:f>
        <x:v>1</x:v>
      </x:c>
      <x:c r="O1185" s="4" t="n">
        <x:f>IF('계산 과정'!$L$7,'계산 과정'!$C$49*('계산 과정'!$C$32-D1185)+'계산 과정'!$D$49*('계산 과정'!$D$32-E1185)+'계산 과정'!$E$49*'계산 과정'!$E$32,"")</x:f>
        <x:v>-42.24178049707854</x:v>
      </x:c>
      <x:c r="P1185" s="4" t="n">
        <x:f>IF(AND('계산 과정'!$L$7,O1185&lt;&gt;0),('계산 과정'!$L$23-'계산 과정'!$C$49*D1185-'계산 과정'!$D$49*E1185)/O1185,"")</x:f>
        <x:v>-8.469297820617768</x:v>
      </x:c>
      <x:c r="Q1185" s="4" t="str">
        <x:f>IF(AND(ISNUMBER(P1185),P1185&gt;1E-9,P1185&lt;1-1E-9),'계산 과정'!$C$47*(D1185-'계산 과정'!$C$50+P1185*('계산 과정'!$C$32-D1185))+'계산 과정'!$D$47*(E1185-'계산 과정'!$D$50+P1185*('계산 과정'!$D$32-E1185))+'계산 과정'!$E$47*(0-'계산 과정'!$E$50+P1185*('계산 과정'!$E$32-0)),"")</x:f>
      </x:c>
      <x:c r="R1185" s="4" t="str">
        <x:f>IF(AND(ISNUMBER(P1185),P1185&gt;1E-9,P1185&lt;1-1E-9),'계산 과정'!$C$48*(D1185-'계산 과정'!$C$50+P1185*('계산 과정'!$C$32-D1185))+'계산 과정'!$D$48*(E1185-'계산 과정'!$D$50+P1185*('계산 과정'!$D$32-E1185))+'계산 과정'!$E$48*(0-'계산 과정'!$E$50+P1185*('계산 과정'!$E$32-0)),"")</x:f>
      </x:c>
      <x:c r="S1185" s="17" t="n">
        <x:f>IF('계산 과정'!$C$78,IF(AND(ISNUMBER(Q1185),ISNUMBER(R1185),ABS(Q1185-'계산 과정'!$C$88)&lt;='계산 과정'!$D$23/2,ABS(R1185-'계산 과정'!$C$89)&lt;='계산 과정'!$D$24/2),1,0),"")</x:f>
        <x:v>0</x:v>
      </x:c>
      <x:c r="T1185" s="4"/>
      <x:c r="U1185" s="4"/>
      <x:c r="V1185" s="4"/>
      <x:c r="W1185" s="4"/>
      <x:c r="X1185" s="4"/>
      <x:c r="Y1185" s="4"/>
      <x:c r="Z1185" s="4"/>
    </x:row>
    <x:row r="1186" ht="23" customHeight="1">
      <x:c r="A1186" s="17" t="n">
        <x:f>ROW()-6</x:f>
        <x:v>1180</x:v>
      </x:c>
      <x:c r="B1186" s="4" t="n">
        <x:f>IF('계산 과정'!$L$5,'계산 과정'!$L$11*SQRT((A1186+0.5)/'계산 과정'!$L$30),"")</x:f>
        <x:v>113.8830994992782</x:v>
      </x:c>
      <x:c r="C1186" s="4" t="n">
        <x:f>A1186*PI()*(3-SQRT(5))</x:f>
        <x:v>2831.9566110798105</x:v>
      </x:c>
      <x:c r="D1186" s="4" t="n">
        <x:f>IF('계산 과정'!$L$5,B1186*COS(C1186),"")</x:f>
        <x:v>-21.414574260622686</x:v>
      </x:c>
      <x:c r="E1186" s="4" t="n">
        <x:f>IF('계산 과정'!$L$5,B1186*SIN(C1186),"")</x:f>
        <x:v>-111.851581843078</x:v>
      </x:c>
      <x:c r="F1186" s="4" t="n">
        <x:f>IF('계산 과정'!$L$7,'계산 과정'!$L$22+'계산 과정'!$C$49*D1186+'계산 과정'!$D$49*E1186,"")</x:f>
        <x:v>665.1423906759092</x:v>
      </x:c>
      <x:c r="G1186" s="4" t="n">
        <x:f>IF('계산 과정'!$L$7,IF(ABS(F1186)&gt;=1E-12*MAX(1,SQRT((D1186-'계산 과정'!$C$33)^2+(E1186-'계산 과정'!$D$33)^2+'계산 과정'!$E$33^2)),('계산 과정'!$L$23-'계산 과정'!$C$49*D1186-'계산 과정'!$D$49*E1186)/F1186,""),"")</x:f>
        <x:v>0.5786093545067897</x:v>
      </x:c>
      <x:c r="H1186" s="4" t="n">
        <x:f>IF(AND(ISNUMBER(G1186),G1186&gt;0),('계산 과정'!$D$56+'계산 과정'!$D$57*D1186+'계산 과정'!$D$58*E1186)/F1186,"")</x:f>
        <x:v>-23.903919570586773</x:v>
      </x:c>
      <x:c r="I1186" s="4" t="n">
        <x:f>IF(AND(ISNUMBER(G1186),G1186&gt;0),('계산 과정'!$E$56+'계산 과정'!$E$57*D1186+'계산 과정'!$E$58*E1186)/F1186,"")</x:f>
        <x:v>-176.56995341386474</x:v>
      </x:c>
      <x:c r="J1186" s="4" t="n">
        <x:f>IF('계산 과정'!$L$5,'계산 과정'!$D$6+'계산 과정'!$C$35*D1186+'계산 과정'!$D$35*E1186,"")</x:f>
        <x:v>665.1423906759092</x:v>
      </x:c>
      <x:c r="K1186" s="4" t="n">
        <x:f>IF(AND('계산 과정'!$L$6,J1186&gt;0),'계산 과정'!$D$10*('계산 과정'!$C$38*(D1186-'계산 과정'!$C$32)+'계산 과정'!$D$38*(E1186-'계산 과정'!$D$32)-'계산 과정'!$E$38*'계산 과정'!$E$32)/J1186,"")</x:f>
        <x:v>-0.18212510149018352</x:v>
      </x:c>
      <x:c r="L1186" s="4" t="n">
        <x:f>IF(AND('계산 과정'!$L$6,J1186&gt;0),'계산 과정'!$D$10*('계산 과정'!$C$39*(D1186-'계산 과정'!$C$32)+'계산 과정'!$D$39*(E1186-'계산 과정'!$D$32)-'계산 과정'!$E$39*'계산 과정'!$E$32)/J1186,"")</x:f>
        <x:v>-1.3452948831532552</x:v>
      </x:c>
      <x:c r="M1186" s="17" t="n">
        <x:f>IF('계산 과정'!$L$6,IF(J1186&lt;=0,0,IF(AND(ABS(K1186)&lt;='계산 과정'!$D$11/2,ABS(L1186)&lt;='계산 과정'!$D$12/2),1,0)),"")</x:f>
        <x:v>1</x:v>
      </x:c>
      <x:c r="N1186" s="17" t="n">
        <x:f>IF('계산 과정'!$C$78,IF(AND(ISNUMBER(H1186),ISNUMBER(I1186),ABS(H1186-'계산 과정'!$C$88)&lt;='계산 과정'!$D$23/2,ABS(I1186-'계산 과정'!$C$89)&lt;='계산 과정'!$D$24/2),1,0),"")</x:f>
        <x:v>1</x:v>
      </x:c>
      <x:c r="O1186" s="4" t="n">
        <x:f>IF('계산 과정'!$L$7,'계산 과정'!$C$49*('계산 과정'!$C$32-D1186)+'계산 과정'!$D$49*('계산 과정'!$D$32-E1186)+'계산 과정'!$E$49*'계산 과정'!$E$32,"")</x:f>
        <x:v>-15.142390675909041</x:v>
      </x:c>
      <x:c r="P1186" s="4" t="n">
        <x:f>IF(AND('계산 과정'!$L$7,O1186&lt;&gt;0),('계산 과정'!$L$23-'계산 과정'!$C$49*D1186-'계산 과정'!$D$49*E1186)/O1186,"")</x:f>
        <x:v>-25.415908066378474</x:v>
      </x:c>
      <x:c r="Q1186" s="4" t="str">
        <x:f>IF(AND(ISNUMBER(P1186),P1186&gt;1E-9,P1186&lt;1-1E-9),'계산 과정'!$C$47*(D1186-'계산 과정'!$C$50+P1186*('계산 과정'!$C$32-D1186))+'계산 과정'!$D$47*(E1186-'계산 과정'!$D$50+P1186*('계산 과정'!$D$32-E1186))+'계산 과정'!$E$47*(0-'계산 과정'!$E$50+P1186*('계산 과정'!$E$32-0)),"")</x:f>
      </x:c>
      <x:c r="R1186" s="4" t="str">
        <x:f>IF(AND(ISNUMBER(P1186),P1186&gt;1E-9,P1186&lt;1-1E-9),'계산 과정'!$C$48*(D1186-'계산 과정'!$C$50+P1186*('계산 과정'!$C$32-D1186))+'계산 과정'!$D$48*(E1186-'계산 과정'!$D$50+P1186*('계산 과정'!$D$32-E1186))+'계산 과정'!$E$48*(0-'계산 과정'!$E$50+P1186*('계산 과정'!$E$32-0)),"")</x:f>
      </x:c>
      <x:c r="S1186" s="17" t="n">
        <x:f>IF('계산 과정'!$C$78,IF(AND(ISNUMBER(Q1186),ISNUMBER(R1186),ABS(Q1186-'계산 과정'!$C$88)&lt;='계산 과정'!$D$23/2,ABS(R1186-'계산 과정'!$C$89)&lt;='계산 과정'!$D$24/2),1,0),"")</x:f>
        <x:v>0</x:v>
      </x:c>
      <x:c r="T1186" s="4"/>
      <x:c r="U1186" s="4"/>
      <x:c r="V1186" s="4"/>
      <x:c r="W1186" s="4"/>
      <x:c r="X1186" s="4"/>
      <x:c r="Y1186" s="4"/>
      <x:c r="Z1186" s="4"/>
    </x:row>
    <x:row r="1187" ht="23" customHeight="1">
      <x:c r="A1187" s="17" t="n">
        <x:f>ROW()-6</x:f>
        <x:v>1181</x:v>
      </x:c>
      <x:c r="B1187" s="4" t="n">
        <x:f>IF('계산 과정'!$L$5,'계산 과정'!$L$11*SQRT((A1187+0.5)/'계산 과정'!$L$30),"")</x:f>
        <x:v>113.93132440065594</x:v>
      </x:c>
      <x:c r="C1187" s="4" t="n">
        <x:f>A1187*PI()*(3-SQRT(5))</x:f>
        <x:v>2834.356574309539</x:v>
      </x:c>
      <x:c r="D1187" s="4" t="n">
        <x:f>IF('계산 과정'!$L$5,B1187*COS(C1187),"")</x:f>
        <x:v>91.38377949647692</x:v>
      </x:c>
      <x:c r="E1187" s="4" t="n">
        <x:f>IF('계산 과정'!$L$5,B1187*SIN(C1187),"")</x:f>
        <x:v>68.03933806722978</x:v>
      </x:c>
      <x:c r="F1187" s="4" t="n">
        <x:f>IF('계산 과정'!$L$7,'계산 과정'!$L$22+'계산 과정'!$C$49*D1187+'계산 과정'!$D$49*E1187,"")</x:f>
        <x:v>585.381909827585</x:v>
      </x:c>
      <x:c r="G1187" s="4" t="n">
        <x:f>IF('계산 과정'!$L$7,IF(ABS(F1187)&gt;=1E-12*MAX(1,SQRT((D1187-'계산 과정'!$C$33)^2+(E1187-'계산 과정'!$D$33)^2+'계산 과정'!$E$33^2)),('계산 과정'!$L$23-'계산 과정'!$C$49*D1187-'계산 과정'!$D$49*E1187)/F1187,""),"")</x:f>
        <x:v>0.7937008000627503</x:v>
      </x:c>
      <x:c r="H1187" s="4" t="n">
        <x:f>IF(AND(ISNUMBER(G1187),G1187&gt;0),('계산 과정'!$D$56+'계산 과정'!$D$57*D1187+'계산 과정'!$D$58*E1187)/F1187,"")</x:f>
        <x:v>115.90552004078766</x:v>
      </x:c>
      <x:c r="I1187" s="4" t="n">
        <x:f>IF(AND(ISNUMBER(G1187),G1187&gt;0),('계산 과정'!$E$56+'계산 과정'!$E$57*D1187+'계산 과정'!$E$58*E1187)/F1187,"")</x:f>
        <x:v>122.04221512693</x:v>
      </x:c>
      <x:c r="J1187" s="4" t="n">
        <x:f>IF('계산 과정'!$L$5,'계산 과정'!$D$6+'계산 과정'!$C$35*D1187+'계산 과정'!$D$35*E1187,"")</x:f>
        <x:v>585.381909827585</x:v>
      </x:c>
      <x:c r="K1187" s="4" t="n">
        <x:f>IF(AND('계산 과정'!$L$6,J1187&gt;0),'계산 과정'!$D$10*('계산 과정'!$C$38*(D1187-'계산 과정'!$C$32)+'계산 과정'!$D$38*(E1187-'계산 과정'!$D$32)-'계산 과정'!$E$38*'계산 과정'!$E$32)/J1187,"")</x:f>
        <x:v>0.88308967650124</x:v>
      </x:c>
      <x:c r="L1187" s="4" t="n">
        <x:f>IF(AND('계산 과정'!$L$6,J1187&gt;0),'계산 과정'!$D$10*('계산 과정'!$C$39*(D1187-'계산 과정'!$C$32)+'계산 과정'!$D$39*(E1187-'계산 과정'!$D$32)-'계산 과정'!$E$39*'계산 과정'!$E$32)/J1187,"")</x:f>
        <x:v>0.9298454485861334</x:v>
      </x:c>
      <x:c r="M1187" s="17" t="n">
        <x:f>IF('계산 과정'!$L$6,IF(J1187&lt;=0,0,IF(AND(ABS(K1187)&lt;='계산 과정'!$D$11/2,ABS(L1187)&lt;='계산 과정'!$D$12/2),1,0)),"")</x:f>
        <x:v>1</x:v>
      </x:c>
      <x:c r="N1187" s="17" t="n">
        <x:f>IF('계산 과정'!$C$78,IF(AND(ISNUMBER(H1187),ISNUMBER(I1187),ABS(H1187-'계산 과정'!$C$88)&lt;='계산 과정'!$D$23/2,ABS(I1187-'계산 과정'!$C$89)&lt;='계산 과정'!$D$24/2),1,0),"")</x:f>
        <x:v>1</x:v>
      </x:c>
      <x:c r="O1187" s="4" t="n">
        <x:f>IF('계산 과정'!$L$7,'계산 과정'!$C$49*('계산 과정'!$C$32-D1187)+'계산 과정'!$D$49*('계산 과정'!$D$32-E1187)+'계산 과정'!$E$49*'계산 과정'!$E$32,"")</x:f>
        <x:v>64.61809017241512</x:v>
      </x:c>
      <x:c r="P1187" s="4" t="n">
        <x:f>IF(AND('계산 과정'!$L$7,O1187&lt;&gt;0),('계산 과정'!$L$23-'계산 과정'!$C$49*D1187-'계산 과정'!$D$49*E1187)/O1187,"")</x:f>
        <x:v>7.190216995468496</x:v>
      </x:c>
      <x:c r="Q1187" s="4" t="str">
        <x:f>IF(AND(ISNUMBER(P1187),P1187&gt;1E-9,P1187&lt;1-1E-9),'계산 과정'!$C$47*(D1187-'계산 과정'!$C$50+P1187*('계산 과정'!$C$32-D1187))+'계산 과정'!$D$47*(E1187-'계산 과정'!$D$50+P1187*('계산 과정'!$D$32-E1187))+'계산 과정'!$E$47*(0-'계산 과정'!$E$50+P1187*('계산 과정'!$E$32-0)),"")</x:f>
      </x:c>
      <x:c r="R1187" s="4" t="str">
        <x:f>IF(AND(ISNUMBER(P1187),P1187&gt;1E-9,P1187&lt;1-1E-9),'계산 과정'!$C$48*(D1187-'계산 과정'!$C$50+P1187*('계산 과정'!$C$32-D1187))+'계산 과정'!$D$48*(E1187-'계산 과정'!$D$50+P1187*('계산 과정'!$D$32-E1187))+'계산 과정'!$E$48*(0-'계산 과정'!$E$50+P1187*('계산 과정'!$E$32-0)),"")</x:f>
      </x:c>
      <x:c r="S1187" s="17" t="n">
        <x:f>IF('계산 과정'!$C$78,IF(AND(ISNUMBER(Q1187),ISNUMBER(R1187),ABS(Q1187-'계산 과정'!$C$88)&lt;='계산 과정'!$D$23/2,ABS(R1187-'계산 과정'!$C$89)&lt;='계산 과정'!$D$24/2),1,0),"")</x:f>
        <x:v>0</x:v>
      </x:c>
      <x:c r="T1187" s="4"/>
      <x:c r="U1187" s="4"/>
      <x:c r="V1187" s="4"/>
      <x:c r="W1187" s="4"/>
      <x:c r="X1187" s="4"/>
      <x:c r="Y1187" s="4"/>
      <x:c r="Z1187" s="4"/>
    </x:row>
    <x:row r="1188" ht="23" customHeight="1">
      <x:c r="A1188" s="17" t="n">
        <x:f>ROW()-6</x:f>
        <x:v>1182</x:v>
      </x:c>
      <x:c r="B1188" s="4" t="n">
        <x:f>IF('계산 과정'!$L$5,'계산 과정'!$L$11*SQRT((A1188+0.5)/'계산 과정'!$L$30),"")</x:f>
        <x:v>113.97952889801088</x:v>
      </x:c>
      <x:c r="C1188" s="4" t="n">
        <x:f>A1188*PI()*(3-SQRT(5))</x:f>
        <x:v>2836.756537539268</x:v>
      </x:c>
      <x:c r="D1188" s="4" t="n">
        <x:f>IF('계산 과정'!$L$5,B1188*COS(C1188),"")</x:f>
        <x:v>-113.39142322855243</x:v>
      </x:c>
      <x:c r="E1188" s="4" t="n">
        <x:f>IF('계산 과정'!$L$5,B1188*SIN(C1188),"")</x:f>
        <x:v>11.56365625638349</x:v>
      </x:c>
      <x:c r="F1188" s="4" t="n">
        <x:f>IF('계산 과정'!$L$7,'계산 과정'!$L$22+'계산 과정'!$C$49*D1188+'계산 과정'!$D$49*E1188,"")</x:f>
        <x:v>730.1798442933032</x:v>
      </x:c>
      <x:c r="G1188" s="4" t="n">
        <x:f>IF('계산 과정'!$L$7,IF(ABS(F1188)&gt;=1E-12*MAX(1,SQRT((D1188-'계산 과정'!$C$33)^2+(E1188-'계산 과정'!$D$33)^2+'계산 과정'!$E$33^2)),('계산 과정'!$L$23-'계산 과정'!$C$49*D1188-'계산 과정'!$D$49*E1188)/F1188,""),"")</x:f>
        <x:v>0.4380018952950301</x:v>
      </x:c>
      <x:c r="H1188" s="4" t="n">
        <x:f>IF(AND(ISNUMBER(G1188),G1188&gt;0),('계산 과정'!$D$56+'계산 과정'!$D$57*D1188+'계산 과정'!$D$58*E1188)/F1188,"")</x:f>
        <x:v>-115.29876805823056</x:v>
      </x:c>
      <x:c r="I1188" s="4" t="n">
        <x:f>IF(AND(ISNUMBER(G1188),G1188&gt;0),('계산 과정'!$E$56+'계산 과정'!$E$57*D1188+'계산 과정'!$E$58*E1188)/F1188,"")</x:f>
        <x:v>16.628559613219693</x:v>
      </x:c>
      <x:c r="J1188" s="4" t="n">
        <x:f>IF('계산 과정'!$L$5,'계산 과정'!$D$6+'계산 과정'!$C$35*D1188+'계산 과정'!$D$35*E1188,"")</x:f>
        <x:v>730.1798442933032</x:v>
      </x:c>
      <x:c r="K1188" s="4" t="n">
        <x:f>IF(AND('계산 과정'!$L$6,J1188&gt;0),'계산 과정'!$D$10*('계산 과정'!$C$38*(D1188-'계산 과정'!$C$32)+'계산 과정'!$D$38*(E1188-'계산 과정'!$D$32)-'계산 과정'!$E$38*'계산 과정'!$E$32)/J1188,"")</x:f>
        <x:v>-0.8784668042531845</x:v>
      </x:c>
      <x:c r="L1188" s="4" t="n">
        <x:f>IF(AND('계산 과정'!$L$6,J1188&gt;0),'계산 과정'!$D$10*('계산 과정'!$C$39*(D1188-'계산 과정'!$C$32)+'계산 과정'!$D$39*(E1188-'계산 과정'!$D$32)-'계산 과정'!$E$39*'계산 과정'!$E$32)/J1188,"")</x:f>
        <x:v>0.1266937875292929</x:v>
      </x:c>
      <x:c r="M1188" s="17" t="n">
        <x:f>IF('계산 과정'!$L$6,IF(J1188&lt;=0,0,IF(AND(ABS(K1188)&lt;='계산 과정'!$D$11/2,ABS(L1188)&lt;='계산 과정'!$D$12/2),1,0)),"")</x:f>
        <x:v>1</x:v>
      </x:c>
      <x:c r="N1188" s="17" t="n">
        <x:f>IF('계산 과정'!$C$78,IF(AND(ISNUMBER(H1188),ISNUMBER(I1188),ABS(H1188-'계산 과정'!$C$88)&lt;='계산 과정'!$D$23/2,ABS(I1188-'계산 과정'!$C$89)&lt;='계산 과정'!$D$24/2),1,0),"")</x:f>
        <x:v>1</x:v>
      </x:c>
      <x:c r="O1188" s="4" t="n">
        <x:f>IF('계산 과정'!$L$7,'계산 과정'!$C$49*('계산 과정'!$C$32-D1188)+'계산 과정'!$D$49*('계산 과정'!$D$32-E1188)+'계산 과정'!$E$49*'계산 과정'!$E$32,"")</x:f>
        <x:v>-80.17984429330312</x:v>
      </x:c>
      <x:c r="P1188" s="4" t="n">
        <x:f>IF(AND('계산 과정'!$L$7,O1188&lt;&gt;0),('계산 과정'!$L$23-'계산 과정'!$C$49*D1188-'계산 과정'!$D$49*E1188)/O1188,"")</x:f>
        <x:v>-3.9887849437169485</x:v>
      </x:c>
      <x:c r="Q1188" s="4" t="str">
        <x:f>IF(AND(ISNUMBER(P1188),P1188&gt;1E-9,P1188&lt;1-1E-9),'계산 과정'!$C$47*(D1188-'계산 과정'!$C$50+P1188*('계산 과정'!$C$32-D1188))+'계산 과정'!$D$47*(E1188-'계산 과정'!$D$50+P1188*('계산 과정'!$D$32-E1188))+'계산 과정'!$E$47*(0-'계산 과정'!$E$50+P1188*('계산 과정'!$E$32-0)),"")</x:f>
      </x:c>
      <x:c r="R1188" s="4" t="str">
        <x:f>IF(AND(ISNUMBER(P1188),P1188&gt;1E-9,P1188&lt;1-1E-9),'계산 과정'!$C$48*(D1188-'계산 과정'!$C$50+P1188*('계산 과정'!$C$32-D1188))+'계산 과정'!$D$48*(E1188-'계산 과정'!$D$50+P1188*('계산 과정'!$D$32-E1188))+'계산 과정'!$E$48*(0-'계산 과정'!$E$50+P1188*('계산 과정'!$E$32-0)),"")</x:f>
      </x:c>
      <x:c r="S1188" s="17" t="n">
        <x:f>IF('계산 과정'!$C$78,IF(AND(ISNUMBER(Q1188),ISNUMBER(R1188),ABS(Q1188-'계산 과정'!$C$88)&lt;='계산 과정'!$D$23/2,ABS(R1188-'계산 과정'!$C$89)&lt;='계산 과정'!$D$24/2),1,0),"")</x:f>
        <x:v>0</x:v>
      </x:c>
      <x:c r="T1188" s="4"/>
      <x:c r="U1188" s="4"/>
      <x:c r="V1188" s="4"/>
      <x:c r="W1188" s="4"/>
      <x:c r="X1188" s="4"/>
      <x:c r="Y1188" s="4"/>
      <x:c r="Z1188" s="4"/>
    </x:row>
    <x:row r="1189" ht="23" customHeight="1">
      <x:c r="A1189" s="17" t="n">
        <x:f>ROW()-6</x:f>
        <x:v>1183</x:v>
      </x:c>
      <x:c r="B1189" s="4" t="n">
        <x:f>IF('계산 과정'!$L$5,'계산 과정'!$L$11*SQRT((A1189+0.5)/'계산 과정'!$L$30),"")</x:f>
        <x:v>114.02771301722008</x:v>
      </x:c>
      <x:c r="C1189" s="4" t="n">
        <x:f>A1189*PI()*(3-SQRT(5))</x:f>
        <x:v>2839.156500768996</x:v>
      </x:c>
      <x:c r="D1189" s="4" t="n">
        <x:f>IF('계산 과정'!$L$5,B1189*COS(C1189),"")</x:f>
        <x:v>75.83221300053367</x:v>
      </x:c>
      <x:c r="E1189" s="4" t="n">
        <x:f>IF('계산 과정'!$L$5,B1189*SIN(C1189),"")</x:f>
        <x:v>-85.15747064925775</x:v>
      </x:c>
      <x:c r="F1189" s="4" t="n">
        <x:f>IF('계산 과정'!$L$7,'계산 과정'!$L$22+'계산 과정'!$C$49*D1189+'계산 과정'!$D$49*E1189,"")</x:f>
        <x:v>596.37852795494</x:v>
      </x:c>
      <x:c r="G1189" s="4" t="n">
        <x:f>IF('계산 과정'!$L$7,IF(ABS(F1189)&gt;=1E-12*MAX(1,SQRT((D1189-'계산 과정'!$C$33)^2+(E1189-'계산 과정'!$D$33)^2+'계산 과정'!$E$33^2)),('계산 과정'!$L$23-'계산 과정'!$C$49*D1189-'계산 과정'!$D$49*E1189)/F1189,""),"")</x:f>
        <x:v>0.7606267677016935</x:v>
      </x:c>
      <x:c r="H1189" s="4" t="n">
        <x:f>IF(AND(ISNUMBER(G1189),G1189&gt;0),('계산 과정'!$D$56+'계산 과정'!$D$57*D1189+'계산 과정'!$D$58*E1189)/F1189,"")</x:f>
        <x:v>94.40739900610065</x:v>
      </x:c>
      <x:c r="I1189" s="4" t="n">
        <x:f>IF(AND(ISNUMBER(G1189),G1189&gt;0),('계산 과정'!$E$56+'계산 과정'!$E$57*D1189+'계산 과정'!$E$58*E1189)/F1189,"")</x:f>
        <x:v>-149.9305222948545</x:v>
      </x:c>
      <x:c r="J1189" s="4" t="n">
        <x:f>IF('계산 과정'!$L$5,'계산 과정'!$D$6+'계산 과정'!$C$35*D1189+'계산 과정'!$D$35*E1189,"")</x:f>
        <x:v>596.37852795494</x:v>
      </x:c>
      <x:c r="K1189" s="4" t="n">
        <x:f>IF(AND('계산 과정'!$L$6,J1189&gt;0),'계산 과정'!$D$10*('계산 과정'!$C$38*(D1189-'계산 과정'!$C$32)+'계산 과정'!$D$38*(E1189-'계산 과정'!$D$32)-'계산 과정'!$E$38*'계산 과정'!$E$32)/J1189,"")</x:f>
        <x:v>0.7192944686179108</x:v>
      </x:c>
      <x:c r="L1189" s="4" t="n">
        <x:f>IF(AND('계산 과정'!$L$6,J1189&gt;0),'계산 과정'!$D$10*('계산 과정'!$C$39*(D1189-'계산 과정'!$C$32)+'계산 과정'!$D$39*(E1189-'계산 과정'!$D$32)-'계산 과정'!$E$39*'계산 과정'!$E$32)/J1189,"")</x:f>
        <x:v>-1.142327788913177</x:v>
      </x:c>
      <x:c r="M1189" s="17" t="n">
        <x:f>IF('계산 과정'!$L$6,IF(J1189&lt;=0,0,IF(AND(ABS(K1189)&lt;='계산 과정'!$D$11/2,ABS(L1189)&lt;='계산 과정'!$D$12/2),1,0)),"")</x:f>
        <x:v>1</x:v>
      </x:c>
      <x:c r="N1189" s="17" t="n">
        <x:f>IF('계산 과정'!$C$78,IF(AND(ISNUMBER(H1189),ISNUMBER(I1189),ABS(H1189-'계산 과정'!$C$88)&lt;='계산 과정'!$D$23/2,ABS(I1189-'계산 과정'!$C$89)&lt;='계산 과정'!$D$24/2),1,0),"")</x:f>
        <x:v>1</x:v>
      </x:c>
      <x:c r="O1189" s="4" t="n">
        <x:f>IF('계산 과정'!$L$7,'계산 과정'!$C$49*('계산 과정'!$C$32-D1189)+'계산 과정'!$D$49*('계산 과정'!$D$32-E1189)+'계산 과정'!$E$49*'계산 과정'!$E$32,"")</x:f>
        <x:v>53.62147204506016</x:v>
      </x:c>
      <x:c r="P1189" s="4" t="n">
        <x:f>IF(AND('계산 과정'!$L$7,O1189&lt;&gt;0),('계산 과정'!$L$23-'계산 과정'!$C$49*D1189-'계산 과정'!$D$49*E1189)/O1189,"")</x:f>
        <x:v>8.459698228050597</x:v>
      </x:c>
      <x:c r="Q1189" s="4" t="str">
        <x:f>IF(AND(ISNUMBER(P1189),P1189&gt;1E-9,P1189&lt;1-1E-9),'계산 과정'!$C$47*(D1189-'계산 과정'!$C$50+P1189*('계산 과정'!$C$32-D1189))+'계산 과정'!$D$47*(E1189-'계산 과정'!$D$50+P1189*('계산 과정'!$D$32-E1189))+'계산 과정'!$E$47*(0-'계산 과정'!$E$50+P1189*('계산 과정'!$E$32-0)),"")</x:f>
      </x:c>
      <x:c r="R1189" s="4" t="str">
        <x:f>IF(AND(ISNUMBER(P1189),P1189&gt;1E-9,P1189&lt;1-1E-9),'계산 과정'!$C$48*(D1189-'계산 과정'!$C$50+P1189*('계산 과정'!$C$32-D1189))+'계산 과정'!$D$48*(E1189-'계산 과정'!$D$50+P1189*('계산 과정'!$D$32-E1189))+'계산 과정'!$E$48*(0-'계산 과정'!$E$50+P1189*('계산 과정'!$E$32-0)),"")</x:f>
      </x:c>
      <x:c r="S1189" s="17" t="n">
        <x:f>IF('계산 과정'!$C$78,IF(AND(ISNUMBER(Q1189),ISNUMBER(R1189),ABS(Q1189-'계산 과정'!$C$88)&lt;='계산 과정'!$D$23/2,ABS(R1189-'계산 과정'!$C$89)&lt;='계산 과정'!$D$24/2),1,0),"")</x:f>
        <x:v>0</x:v>
      </x:c>
      <x:c r="T1189" s="4"/>
      <x:c r="U1189" s="4"/>
      <x:c r="V1189" s="4"/>
      <x:c r="W1189" s="4"/>
      <x:c r="X1189" s="4"/>
      <x:c r="Y1189" s="4"/>
      <x:c r="Z1189" s="4"/>
    </x:row>
    <x:row r="1190" ht="23" customHeight="1">
      <x:c r="A1190" s="17" t="n">
        <x:f>ROW()-6</x:f>
        <x:v>1184</x:v>
      </x:c>
      <x:c r="B1190" s="4" t="n">
        <x:f>IF('계산 과정'!$L$5,'계산 과정'!$L$11*SQRT((A1190+0.5)/'계산 과정'!$L$30),"")</x:f>
        <x:v>114.07587678410584</x:v>
      </x:c>
      <x:c r="C1190" s="4" t="n">
        <x:f>A1190*PI()*(3-SQRT(5))</x:f>
        <x:v>2841.556463998725</x:v>
      </x:c>
      <x:c r="D1190" s="4" t="n">
        <x:f>IF('계산 과정'!$L$5,B1190*COS(C1190),"")</x:f>
        <x:v>1.6074097465058075</x:v>
      </x:c>
      <x:c r="E1190" s="4" t="n">
        <x:f>IF('계산 과정'!$L$5,B1190*SIN(C1190),"")</x:f>
        <x:v>114.06455145210249</x:v>
      </x:c>
      <x:c r="F1190" s="4" t="n">
        <x:f>IF('계산 과정'!$L$7,'계산 과정'!$L$22+'계산 과정'!$C$49*D1190+'계산 과정'!$D$49*E1190,"")</x:f>
        <x:v>648.8633896681004</x:v>
      </x:c>
      <x:c r="G1190" s="4" t="n">
        <x:f>IF('계산 과정'!$L$7,IF(ABS(F1190)&gt;=1E-12*MAX(1,SQRT((D1190-'계산 과정'!$C$33)^2+(E1190-'계산 과정'!$D$33)^2+'계산 과정'!$E$33^2)),('계산 과정'!$L$23-'계산 과정'!$C$49*D1190-'계산 과정'!$D$49*E1190)/F1190,""),"")</x:f>
        <x:v>0.6182142754842197</x:v>
      </x:c>
      <x:c r="H1190" s="4" t="n">
        <x:f>IF(AND(ISNUMBER(G1190),G1190&gt;0),('계산 과정'!$D$56+'계산 과정'!$D$57*D1190+'계산 과정'!$D$58*E1190)/F1190,"")</x:f>
        <x:v>1.8392790647426858</x:v>
      </x:c>
      <x:c r="I1190" s="4" t="n">
        <x:f>IF(AND(ISNUMBER(G1190),G1190&gt;0),('계산 과정'!$E$56+'계산 과정'!$E$57*D1190+'계산 과정'!$E$58*E1190)/F1190,"")</x:f>
        <x:v>184.58088548649656</x:v>
      </x:c>
      <x:c r="J1190" s="4" t="n">
        <x:f>IF('계산 과정'!$L$5,'계산 과정'!$D$6+'계산 과정'!$C$35*D1190+'계산 과정'!$D$35*E1190,"")</x:f>
        <x:v>648.8633896681004</x:v>
      </x:c>
      <x:c r="K1190" s="4" t="n">
        <x:f>IF(AND('계산 과정'!$L$6,J1190&gt;0),'계산 과정'!$D$10*('계산 과정'!$C$38*(D1190-'계산 과정'!$C$32)+'계산 과정'!$D$38*(E1190-'계산 과정'!$D$32)-'계산 과정'!$E$38*'계산 과정'!$E$32)/J1190,"")</x:f>
        <x:v>0.014013554778993258</x:v>
      </x:c>
      <x:c r="L1190" s="4" t="n">
        <x:f>IF(AND('계산 과정'!$L$6,J1190&gt;0),'계산 과정'!$D$10*('계산 과정'!$C$39*(D1190-'계산 과정'!$C$32)+'계산 과정'!$D$39*(E1190-'계산 과정'!$D$32)-'계산 과정'!$E$39*'계산 과정'!$E$32)/J1190,"")</x:f>
        <x:v>1.4063305560875927</x:v>
      </x:c>
      <x:c r="M1190" s="17" t="n">
        <x:f>IF('계산 과정'!$L$6,IF(J1190&lt;=0,0,IF(AND(ABS(K1190)&lt;='계산 과정'!$D$11/2,ABS(L1190)&lt;='계산 과정'!$D$12/2),1,0)),"")</x:f>
        <x:v>1</x:v>
      </x:c>
      <x:c r="N1190" s="17" t="n">
        <x:f>IF('계산 과정'!$C$78,IF(AND(ISNUMBER(H1190),ISNUMBER(I1190),ABS(H1190-'계산 과정'!$C$88)&lt;='계산 과정'!$D$23/2,ABS(I1190-'계산 과정'!$C$89)&lt;='계산 과정'!$D$24/2),1,0),"")</x:f>
        <x:v>1</x:v>
      </x:c>
      <x:c r="O1190" s="4" t="n">
        <x:f>IF('계산 과정'!$L$7,'계산 과정'!$C$49*('계산 과정'!$C$32-D1190)+'계산 과정'!$D$49*('계산 과정'!$D$32-E1190)+'계산 과정'!$E$49*'계산 과정'!$E$32,"")</x:f>
        <x:v>1.1366103318997034</x:v>
      </x:c>
      <x:c r="P1190" s="4" t="n">
        <x:f>IF(AND('계산 과정'!$L$7,O1190&lt;&gt;0),('계산 과정'!$L$23-'계산 과정'!$C$49*D1190-'계산 과정'!$D$49*E1190)/O1190,"")</x:f>
        <x:v>352.92360017654374</x:v>
      </x:c>
      <x:c r="Q1190" s="4" t="str">
        <x:f>IF(AND(ISNUMBER(P1190),P1190&gt;1E-9,P1190&lt;1-1E-9),'계산 과정'!$C$47*(D1190-'계산 과정'!$C$50+P1190*('계산 과정'!$C$32-D1190))+'계산 과정'!$D$47*(E1190-'계산 과정'!$D$50+P1190*('계산 과정'!$D$32-E1190))+'계산 과정'!$E$47*(0-'계산 과정'!$E$50+P1190*('계산 과정'!$E$32-0)),"")</x:f>
      </x:c>
      <x:c r="R1190" s="4" t="str">
        <x:f>IF(AND(ISNUMBER(P1190),P1190&gt;1E-9,P1190&lt;1-1E-9),'계산 과정'!$C$48*(D1190-'계산 과정'!$C$50+P1190*('계산 과정'!$C$32-D1190))+'계산 과정'!$D$48*(E1190-'계산 과정'!$D$50+P1190*('계산 과정'!$D$32-E1190))+'계산 과정'!$E$48*(0-'계산 과정'!$E$50+P1190*('계산 과정'!$E$32-0)),"")</x:f>
      </x:c>
      <x:c r="S1190" s="17" t="n">
        <x:f>IF('계산 과정'!$C$78,IF(AND(ISNUMBER(Q1190),ISNUMBER(R1190),ABS(Q1190-'계산 과정'!$C$88)&lt;='계산 과정'!$D$23/2,ABS(R1190-'계산 과정'!$C$89)&lt;='계산 과정'!$D$24/2),1,0),"")</x:f>
        <x:v>0</x:v>
      </x:c>
      <x:c r="T1190" s="4"/>
      <x:c r="U1190" s="4"/>
      <x:c r="V1190" s="4"/>
      <x:c r="W1190" s="4"/>
      <x:c r="X1190" s="4"/>
      <x:c r="Y1190" s="4"/>
      <x:c r="Z1190" s="4"/>
    </x:row>
    <x:row r="1191" ht="23" customHeight="1">
      <x:c r="A1191" s="17" t="n">
        <x:f>ROW()-6</x:f>
        <x:v>1185</x:v>
      </x:c>
      <x:c r="B1191" s="4" t="n">
        <x:f>IF('계산 과정'!$L$5,'계산 과정'!$L$11*SQRT((A1191+0.5)/'계산 과정'!$L$30),"")</x:f>
        <x:v>114.12402022443611</x:v>
      </x:c>
      <x:c r="C1191" s="4" t="n">
        <x:f>A1191*PI()*(3-SQRT(5))</x:f>
        <x:v>2843.956427228454</x:v>
      </x:c>
      <x:c r="D1191" s="4" t="n">
        <x:f>IF('계산 과정'!$L$5,B1191*COS(C1191),"")</x:f>
        <x:v>-78.26776875735659</x:v>
      </x:c>
      <x:c r="E1191" s="4" t="n">
        <x:f>IF('계산 과정'!$L$5,B1191*SIN(C1191),"")</x:f>
        <x:v>-83.05689836450948</x:v>
      </x:c>
      <x:c r="F1191" s="4" t="n">
        <x:f>IF('계산 과정'!$L$7,'계산 과정'!$L$22+'계산 과정'!$C$49*D1191+'계산 과정'!$D$49*E1191,"")</x:f>
        <x:v>705.3436700366674</x:v>
      </x:c>
      <x:c r="G1191" s="4" t="n">
        <x:f>IF('계산 과정'!$L$7,IF(ABS(F1191)&gt;=1E-12*MAX(1,SQRT((D1191-'계산 과정'!$C$33)^2+(E1191-'계산 과정'!$D$33)^2+'계산 과정'!$E$33^2)),('계산 과정'!$L$23-'계산 과정'!$C$49*D1191-'계산 과정'!$D$49*E1191)/F1191,""),"")</x:f>
        <x:v>0.48863602893808566</x:v>
      </x:c>
      <x:c r="H1191" s="4" t="n">
        <x:f>IF(AND(ISNUMBER(G1191),G1191&gt;0),('계산 과정'!$D$56+'계산 과정'!$D$57*D1191+'계산 과정'!$D$58*E1191)/F1191,"")</x:f>
        <x:v>-82.38658119024448</x:v>
      </x:c>
      <x:c r="I1191" s="4" t="n">
        <x:f>IF(AND(ISNUMBER(G1191),G1191&gt;0),('계산 과정'!$E$56+'계산 과정'!$E$57*D1191+'계산 과정'!$E$58*E1191)/F1191,"")</x:f>
        <x:v>-123.64149135725758</x:v>
      </x:c>
      <x:c r="J1191" s="4" t="n">
        <x:f>IF('계산 과정'!$L$5,'계산 과정'!$D$6+'계산 과정'!$C$35*D1191+'계산 과정'!$D$35*E1191,"")</x:f>
        <x:v>705.3436700366674</x:v>
      </x:c>
      <x:c r="K1191" s="4" t="n">
        <x:f>IF(AND('계산 과정'!$L$6,J1191&gt;0),'계산 과정'!$D$10*('계산 과정'!$C$38*(D1191-'계산 과정'!$C$32)+'계산 과정'!$D$38*(E1191-'계산 과정'!$D$32)-'계산 과정'!$E$38*'계산 과정'!$E$32)/J1191,"")</x:f>
        <x:v>-0.6277072852590052</x:v>
      </x:c>
      <x:c r="L1191" s="4" t="n">
        <x:f>IF(AND('계산 과정'!$L$6,J1191&gt;0),'계산 과정'!$D$10*('계산 과정'!$C$39*(D1191-'계산 과정'!$C$32)+'계산 과정'!$D$39*(E1191-'계산 과정'!$D$32)-'계산 과정'!$E$39*'계산 과정'!$E$32)/J1191,"")</x:f>
        <x:v>-0.9420304103410101</x:v>
      </x:c>
      <x:c r="M1191" s="17" t="n">
        <x:f>IF('계산 과정'!$L$6,IF(J1191&lt;=0,0,IF(AND(ABS(K1191)&lt;='계산 과정'!$D$11/2,ABS(L1191)&lt;='계산 과정'!$D$12/2),1,0)),"")</x:f>
        <x:v>1</x:v>
      </x:c>
      <x:c r="N1191" s="17" t="n">
        <x:f>IF('계산 과정'!$C$78,IF(AND(ISNUMBER(H1191),ISNUMBER(I1191),ABS(H1191-'계산 과정'!$C$88)&lt;='계산 과정'!$D$23/2,ABS(I1191-'계산 과정'!$C$89)&lt;='계산 과정'!$D$24/2),1,0),"")</x:f>
        <x:v>1</x:v>
      </x:c>
      <x:c r="O1191" s="4" t="n">
        <x:f>IF('계산 과정'!$L$7,'계산 과정'!$C$49*('계산 과정'!$C$32-D1191)+'계산 과정'!$D$49*('계산 과정'!$D$32-E1191)+'계산 과정'!$E$49*'계산 과정'!$E$32,"")</x:f>
        <x:v>-55.34367003666733</x:v>
      </x:c>
      <x:c r="P1191" s="4" t="n">
        <x:f>IF(AND('계산 과정'!$L$7,O1191&lt;&gt;0),('계산 과정'!$L$23-'계산 과정'!$C$49*D1191-'계산 과정'!$D$49*E1191)/O1191,"")</x:f>
        <x:v>-6.227565496378977</x:v>
      </x:c>
      <x:c r="Q1191" s="4" t="str">
        <x:f>IF(AND(ISNUMBER(P1191),P1191&gt;1E-9,P1191&lt;1-1E-9),'계산 과정'!$C$47*(D1191-'계산 과정'!$C$50+P1191*('계산 과정'!$C$32-D1191))+'계산 과정'!$D$47*(E1191-'계산 과정'!$D$50+P1191*('계산 과정'!$D$32-E1191))+'계산 과정'!$E$47*(0-'계산 과정'!$E$50+P1191*('계산 과정'!$E$32-0)),"")</x:f>
      </x:c>
      <x:c r="R1191" s="4" t="str">
        <x:f>IF(AND(ISNUMBER(P1191),P1191&gt;1E-9,P1191&lt;1-1E-9),'계산 과정'!$C$48*(D1191-'계산 과정'!$C$50+P1191*('계산 과정'!$C$32-D1191))+'계산 과정'!$D$48*(E1191-'계산 과정'!$D$50+P1191*('계산 과정'!$D$32-E1191))+'계산 과정'!$E$48*(0-'계산 과정'!$E$50+P1191*('계산 과정'!$E$32-0)),"")</x:f>
      </x:c>
      <x:c r="S1191" s="17" t="n">
        <x:f>IF('계산 과정'!$C$78,IF(AND(ISNUMBER(Q1191),ISNUMBER(R1191),ABS(Q1191-'계산 과정'!$C$88)&lt;='계산 과정'!$D$23/2,ABS(R1191-'계산 과정'!$C$89)&lt;='계산 과정'!$D$24/2),1,0),"")</x:f>
        <x:v>0</x:v>
      </x:c>
      <x:c r="T1191" s="4"/>
      <x:c r="U1191" s="4"/>
      <x:c r="V1191" s="4"/>
      <x:c r="W1191" s="4"/>
      <x:c r="X1191" s="4"/>
      <x:c r="Y1191" s="4"/>
      <x:c r="Z1191" s="4"/>
    </x:row>
    <x:row r="1192" ht="23" customHeight="1">
      <x:c r="A1192" s="17" t="n">
        <x:f>ROW()-6</x:f>
        <x:v>1186</x:v>
      </x:c>
      <x:c r="B1192" s="4" t="n">
        <x:f>IF('계산 과정'!$L$5,'계산 과정'!$L$11*SQRT((A1192+0.5)/'계산 과정'!$L$30),"")</x:f>
        <x:v>114.17214336392438</x:v>
      </x:c>
      <x:c r="C1192" s="4" t="n">
        <x:f>A1192*PI()*(3-SQRT(5))</x:f>
        <x:v>2846.3563904581824</x:v>
      </x:c>
      <x:c r="D1192" s="4" t="n">
        <x:f>IF('계산 과정'!$L$5,B1192*COS(C1192),"")</x:f>
        <x:v>113.86433895605717</x:v>
      </x:c>
      <x:c r="E1192" s="4" t="n">
        <x:f>IF('계산 과정'!$L$5,B1192*SIN(C1192),"")</x:f>
        <x:v>8.3779851045836</x:v>
      </x:c>
      <x:c r="F1192" s="4" t="n">
        <x:f>IF('계산 과정'!$L$7,'계산 과정'!$L$22+'계산 과정'!$C$49*D1192+'계산 과정'!$D$49*E1192,"")</x:f>
        <x:v>569.4857537888485</x:v>
      </x:c>
      <x:c r="G1192" s="4" t="n">
        <x:f>IF('계산 과정'!$L$7,IF(ABS(F1192)&gt;=1E-12*MAX(1,SQRT((D1192-'계산 과정'!$C$33)^2+(E1192-'계산 과정'!$D$33)^2+'계산 과정'!$E$33^2)),('계산 과정'!$L$23-'계산 과정'!$C$49*D1192-'계산 과정'!$D$49*E1192)/F1192,""),"")</x:f>
        <x:v>0.8437686860720218</x:v>
      </x:c>
      <x:c r="H1192" s="4" t="n">
        <x:f>IF(AND(ISNUMBER(G1192),G1192&gt;0),('계산 과정'!$D$56+'계산 과정'!$D$57*D1192+'계산 과정'!$D$58*E1192)/F1192,"")</x:f>
        <x:v>148.44964594681414</x:v>
      </x:c>
      <x:c r="I1192" s="4" t="n">
        <x:f>IF(AND(ISNUMBER(G1192),G1192&gt;0),('계산 과정'!$E$56+'계산 과정'!$E$57*D1192+'계산 과정'!$E$58*E1192)/F1192,"")</x:f>
        <x:v>15.447066588209072</x:v>
      </x:c>
      <x:c r="J1192" s="4" t="n">
        <x:f>IF('계산 과정'!$L$5,'계산 과정'!$D$6+'계산 과정'!$C$35*D1192+'계산 과정'!$D$35*E1192,"")</x:f>
        <x:v>569.4857537888485</x:v>
      </x:c>
      <x:c r="K1192" s="4" t="n">
        <x:f>IF(AND('계산 과정'!$L$6,J1192&gt;0),'계산 과정'!$D$10*('계산 과정'!$C$38*(D1192-'계산 과정'!$C$32)+'계산 과정'!$D$38*(E1192-'계산 과정'!$D$32)-'계산 과정'!$E$38*'계산 과정'!$E$32)/J1192,"")</x:f>
        <x:v>1.131044921499537</x:v>
      </x:c>
      <x:c r="L1192" s="4" t="n">
        <x:f>IF(AND('계산 과정'!$L$6,J1192&gt;0),'계산 과정'!$D$10*('계산 과정'!$C$39*(D1192-'계산 과정'!$C$32)+'계산 과정'!$D$39*(E1192-'계산 과정'!$D$32)-'계산 과정'!$E$39*'계산 과정'!$E$32)/J1192,"")</x:f>
        <x:v>0.11769193591016436</x:v>
      </x:c>
      <x:c r="M1192" s="17" t="n">
        <x:f>IF('계산 과정'!$L$6,IF(J1192&lt;=0,0,IF(AND(ABS(K1192)&lt;='계산 과정'!$D$11/2,ABS(L1192)&lt;='계산 과정'!$D$12/2),1,0)),"")</x:f>
        <x:v>1</x:v>
      </x:c>
      <x:c r="N1192" s="17" t="n">
        <x:f>IF('계산 과정'!$C$78,IF(AND(ISNUMBER(H1192),ISNUMBER(I1192),ABS(H1192-'계산 과정'!$C$88)&lt;='계산 과정'!$D$23/2,ABS(I1192-'계산 과정'!$C$89)&lt;='계산 과정'!$D$24/2),1,0),"")</x:f>
        <x:v>1</x:v>
      </x:c>
      <x:c r="O1192" s="4" t="n">
        <x:f>IF('계산 과정'!$L$7,'계산 과정'!$C$49*('계산 과정'!$C$32-D1192)+'계산 과정'!$D$49*('계산 과정'!$D$32-E1192)+'계산 과정'!$E$49*'계산 과정'!$E$32,"")</x:f>
        <x:v>80.51424621115171</x:v>
      </x:c>
      <x:c r="P1192" s="4" t="n">
        <x:f>IF(AND('계산 과정'!$L$7,O1192&lt;&gt;0),('계산 과정'!$L$23-'계산 과정'!$C$49*D1192-'계산 과정'!$D$49*E1192)/O1192,"")</x:f>
        <x:v>5.9680648931492755</x:v>
      </x:c>
      <x:c r="Q1192" s="4" t="str">
        <x:f>IF(AND(ISNUMBER(P1192),P1192&gt;1E-9,P1192&lt;1-1E-9),'계산 과정'!$C$47*(D1192-'계산 과정'!$C$50+P1192*('계산 과정'!$C$32-D1192))+'계산 과정'!$D$47*(E1192-'계산 과정'!$D$50+P1192*('계산 과정'!$D$32-E1192))+'계산 과정'!$E$47*(0-'계산 과정'!$E$50+P1192*('계산 과정'!$E$32-0)),"")</x:f>
      </x:c>
      <x:c r="R1192" s="4" t="str">
        <x:f>IF(AND(ISNUMBER(P1192),P1192&gt;1E-9,P1192&lt;1-1E-9),'계산 과정'!$C$48*(D1192-'계산 과정'!$C$50+P1192*('계산 과정'!$C$32-D1192))+'계산 과정'!$D$48*(E1192-'계산 과정'!$D$50+P1192*('계산 과정'!$D$32-E1192))+'계산 과정'!$E$48*(0-'계산 과정'!$E$50+P1192*('계산 과정'!$E$32-0)),"")</x:f>
      </x:c>
      <x:c r="S1192" s="17" t="n">
        <x:f>IF('계산 과정'!$C$78,IF(AND(ISNUMBER(Q1192),ISNUMBER(R1192),ABS(Q1192-'계산 과정'!$C$88)&lt;='계산 과정'!$D$23/2,ABS(R1192-'계산 과정'!$C$89)&lt;='계산 과정'!$D$24/2),1,0),"")</x:f>
        <x:v>0</x:v>
      </x:c>
      <x:c r="T1192" s="4"/>
      <x:c r="U1192" s="4"/>
      <x:c r="V1192" s="4"/>
      <x:c r="W1192" s="4"/>
      <x:c r="X1192" s="4"/>
      <x:c r="Y1192" s="4"/>
      <x:c r="Z1192" s="4"/>
    </x:row>
    <x:row r="1193" ht="23" customHeight="1">
      <x:c r="A1193" s="17" t="n">
        <x:f>ROW()-6</x:f>
        <x:v>1187</x:v>
      </x:c>
      <x:c r="B1193" s="4" t="n">
        <x:f>IF('계산 과정'!$L$5,'계산 과정'!$L$11*SQRT((A1193+0.5)/'계산 과정'!$L$30),"")</x:f>
        <x:v>114.22024622823005</x:v>
      </x:c>
      <x:c r="C1193" s="4" t="n">
        <x:f>A1193*PI()*(3-SQRT(5))</x:f>
        <x:v>2848.756353687911</x:v>
      </x:c>
      <x:c r="D1193" s="4" t="n">
        <x:f>IF('계산 과정'!$L$5,B1193*COS(C1193),"")</x:f>
        <x:v>-89.6570257701967</x:v>
      </x:c>
      <x:c r="E1193" s="4" t="n">
        <x:f>IF('계산 과정'!$L$5,B1193*SIN(C1193),"")</x:f>
        <x:v>70.7663930017617</x:v>
      </x:c>
      <x:c r="F1193" s="4" t="n">
        <x:f>IF('계산 과정'!$L$7,'계산 과정'!$L$22+'계산 과정'!$C$49*D1193+'계산 과정'!$D$49*E1193,"")</x:f>
        <x:v>713.3970909031232</x:v>
      </x:c>
      <x:c r="G1193" s="4" t="n">
        <x:f>IF('계산 과정'!$L$7,IF(ABS(F1193)&gt;=1E-12*MAX(1,SQRT((D1193-'계산 과정'!$C$33)^2+(E1193-'계산 과정'!$D$33)^2+'계산 과정'!$E$33^2)),('계산 과정'!$L$23-'계산 과정'!$C$49*D1193-'계산 과정'!$D$49*E1193)/F1193,""),"")</x:f>
        <x:v>0.47183106489929094</x:v>
      </x:c>
      <x:c r="H1193" s="4" t="n">
        <x:f>IF(AND(ISNUMBER(G1193),G1193&gt;0),('계산 과정'!$D$56+'계산 과정'!$D$57*D1193+'계산 과정'!$D$58*E1193)/F1193,"")</x:f>
        <x:v>-93.309807815461</x:v>
      </x:c>
      <x:c r="I1193" s="4" t="n">
        <x:f>IF(AND(ISNUMBER(G1193),G1193&gt;0),('계산 과정'!$E$56+'계산 과정'!$E$57*D1193+'계산 과정'!$E$58*E1193)/F1193,"")</x:f>
        <x:v>104.15617557086465</x:v>
      </x:c>
      <x:c r="J1193" s="4" t="n">
        <x:f>IF('계산 과정'!$L$5,'계산 과정'!$D$6+'계산 과정'!$C$35*D1193+'계산 과정'!$D$35*E1193,"")</x:f>
        <x:v>713.3970909031232</x:v>
      </x:c>
      <x:c r="K1193" s="4" t="n">
        <x:f>IF(AND('계산 과정'!$L$6,J1193&gt;0),'계산 과정'!$D$10*('계산 과정'!$C$38*(D1193-'계산 과정'!$C$32)+'계산 과정'!$D$38*(E1193-'계산 과정'!$D$32)-'계산 과정'!$E$38*'계산 과정'!$E$32)/J1193,"")</x:f>
        <x:v>-0.7109318690701778</x:v>
      </x:c>
      <x:c r="L1193" s="4" t="n">
        <x:f>IF(AND('계산 과정'!$L$6,J1193&gt;0),'계산 과정'!$D$10*('계산 과정'!$C$39*(D1193-'계산 과정'!$C$32)+'계산 과정'!$D$39*(E1193-'계산 과정'!$D$32)-'계산 과정'!$E$39*'계산 과정'!$E$32)/J1193,"")</x:f>
        <x:v>0.793570861492302</x:v>
      </x:c>
      <x:c r="M1193" s="17" t="n">
        <x:f>IF('계산 과정'!$L$6,IF(J1193&lt;=0,0,IF(AND(ABS(K1193)&lt;='계산 과정'!$D$11/2,ABS(L1193)&lt;='계산 과정'!$D$12/2),1,0)),"")</x:f>
        <x:v>1</x:v>
      </x:c>
      <x:c r="N1193" s="17" t="n">
        <x:f>IF('계산 과정'!$C$78,IF(AND(ISNUMBER(H1193),ISNUMBER(I1193),ABS(H1193-'계산 과정'!$C$88)&lt;='계산 과정'!$D$23/2,ABS(I1193-'계산 과정'!$C$89)&lt;='계산 과정'!$D$24/2),1,0),"")</x:f>
        <x:v>1</x:v>
      </x:c>
      <x:c r="O1193" s="4" t="n">
        <x:f>IF('계산 과정'!$L$7,'계산 과정'!$C$49*('계산 과정'!$C$32-D1193)+'계산 과정'!$D$49*('계산 과정'!$D$32-E1193)+'계산 과정'!$E$49*'계산 과정'!$E$32,"")</x:f>
        <x:v>-63.397090903123</x:v>
      </x:c>
      <x:c r="P1193" s="4" t="n">
        <x:f>IF(AND('계산 과정'!$L$7,O1193&lt;&gt;0),('계산 과정'!$L$23-'계산 과정'!$C$49*D1193-'계산 과정'!$D$49*E1193)/O1193,"")</x:f>
        <x:v>-5.309437772329953</x:v>
      </x:c>
      <x:c r="Q1193" s="4" t="str">
        <x:f>IF(AND(ISNUMBER(P1193),P1193&gt;1E-9,P1193&lt;1-1E-9),'계산 과정'!$C$47*(D1193-'계산 과정'!$C$50+P1193*('계산 과정'!$C$32-D1193))+'계산 과정'!$D$47*(E1193-'계산 과정'!$D$50+P1193*('계산 과정'!$D$32-E1193))+'계산 과정'!$E$47*(0-'계산 과정'!$E$50+P1193*('계산 과정'!$E$32-0)),"")</x:f>
      </x:c>
      <x:c r="R1193" s="4" t="str">
        <x:f>IF(AND(ISNUMBER(P1193),P1193&gt;1E-9,P1193&lt;1-1E-9),'계산 과정'!$C$48*(D1193-'계산 과정'!$C$50+P1193*('계산 과정'!$C$32-D1193))+'계산 과정'!$D$48*(E1193-'계산 과정'!$D$50+P1193*('계산 과정'!$D$32-E1193))+'계산 과정'!$E$48*(0-'계산 과정'!$E$50+P1193*('계산 과정'!$E$32-0)),"")</x:f>
      </x:c>
      <x:c r="S1193" s="17" t="n">
        <x:f>IF('계산 과정'!$C$78,IF(AND(ISNUMBER(Q1193),ISNUMBER(R1193),ABS(Q1193-'계산 과정'!$C$88)&lt;='계산 과정'!$D$23/2,ABS(R1193-'계산 과정'!$C$89)&lt;='계산 과정'!$D$24/2),1,0),"")</x:f>
        <x:v>0</x:v>
      </x:c>
      <x:c r="T1193" s="4"/>
      <x:c r="U1193" s="4"/>
      <x:c r="V1193" s="4"/>
      <x:c r="W1193" s="4"/>
      <x:c r="X1193" s="4"/>
      <x:c r="Y1193" s="4"/>
      <x:c r="Z1193" s="4"/>
    </x:row>
    <x:row r="1194" ht="23" customHeight="1">
      <x:c r="A1194" s="17" t="n">
        <x:f>ROW()-6</x:f>
        <x:v>1188</x:v>
      </x:c>
      <x:c r="B1194" s="4" t="n">
        <x:f>IF('계산 과정'!$L$5,'계산 과정'!$L$11*SQRT((A1194+0.5)/'계산 과정'!$L$30),"")</x:f>
        <x:v>114.26832884295848</x:v>
      </x:c>
      <x:c r="C1194" s="4" t="n">
        <x:f>A1194*PI()*(3-SQRT(5))</x:f>
        <x:v>2851.1563169176397</x:v>
      </x:c>
      <x:c r="D1194" s="4" t="n">
        <x:f>IF('계산 과정'!$L$5,B1194*COS(C1194),"")</x:f>
        <x:v>18.31599600241912</x:v>
      </x:c>
      <x:c r="E1194" s="4" t="n">
        <x:f>IF('계산 과정'!$L$5,B1194*SIN(C1194),"")</x:f>
        <x:v>-112.79084744340679</x:v>
      </x:c>
      <x:c r="F1194" s="4" t="n">
        <x:f>IF('계산 과정'!$L$7,'계산 과정'!$L$22+'계산 과정'!$C$49*D1194+'계산 과정'!$D$49*E1194,"")</x:f>
        <x:v>637.0486350225037</x:v>
      </x:c>
      <x:c r="G1194" s="4" t="n">
        <x:f>IF('계산 과정'!$L$7,IF(ABS(F1194)&gt;=1E-12*MAX(1,SQRT((D1194-'계산 과정'!$C$33)^2+(E1194-'계산 과정'!$D$33)^2+'계산 과정'!$E$33^2)),('계산 과정'!$L$23-'계산 과정'!$C$49*D1194-'계산 과정'!$D$49*E1194)/F1194,""),"")</x:f>
        <x:v>0.6482258061237487</x:v>
      </x:c>
      <x:c r="H1194" s="4" t="n">
        <x:f>IF(AND(ISNUMBER(G1194),G1194&gt;0),('계산 과정'!$D$56+'계산 과정'!$D$57*D1194+'계산 과정'!$D$58*E1194)/F1194,"")</x:f>
        <x:v>21.34677398043654</x:v>
      </x:c>
      <x:c r="I1194" s="4" t="n">
        <x:f>IF(AND(ISNUMBER(G1194),G1194&gt;0),('계산 과정'!$E$56+'계산 과정'!$E$57*D1194+'계산 과정'!$E$58*E1194)/F1194,"")</x:f>
        <x:v>-185.90478545078992</x:v>
      </x:c>
      <x:c r="J1194" s="4" t="n">
        <x:f>IF('계산 과정'!$L$5,'계산 과정'!$D$6+'계산 과정'!$C$35*D1194+'계산 과정'!$D$35*E1194,"")</x:f>
        <x:v>637.0486350225037</x:v>
      </x:c>
      <x:c r="K1194" s="4" t="n">
        <x:f>IF(AND('계산 과정'!$L$6,J1194&gt;0),'계산 과정'!$D$10*('계산 과정'!$C$38*(D1194-'계산 과정'!$C$32)+'계산 과정'!$D$38*(E1194-'계산 과정'!$D$32)-'계산 과정'!$E$38*'계산 과정'!$E$32)/J1194,"")</x:f>
        <x:v>0.1626420874699937</x:v>
      </x:c>
      <x:c r="L1194" s="4" t="n">
        <x:f>IF(AND('계산 과정'!$L$6,J1194&gt;0),'계산 과정'!$D$10*('계산 과정'!$C$39*(D1194-'계산 과정'!$C$32)+'계산 과정'!$D$39*(E1194-'계산 과정'!$D$32)-'계산 과정'!$E$39*'계산 과정'!$E$32)/J1194,"")</x:f>
        <x:v>-1.4164174129583993</x:v>
      </x:c>
      <x:c r="M1194" s="17" t="n">
        <x:f>IF('계산 과정'!$L$6,IF(J1194&lt;=0,0,IF(AND(ABS(K1194)&lt;='계산 과정'!$D$11/2,ABS(L1194)&lt;='계산 과정'!$D$12/2),1,0)),"")</x:f>
        <x:v>1</x:v>
      </x:c>
      <x:c r="N1194" s="17" t="n">
        <x:f>IF('계산 과정'!$C$78,IF(AND(ISNUMBER(H1194),ISNUMBER(I1194),ABS(H1194-'계산 과정'!$C$88)&lt;='계산 과정'!$D$23/2,ABS(I1194-'계산 과정'!$C$89)&lt;='계산 과정'!$D$24/2),1,0),"")</x:f>
        <x:v>1</x:v>
      </x:c>
      <x:c r="O1194" s="4" t="n">
        <x:f>IF('계산 과정'!$L$7,'계산 과정'!$C$49*('계산 과정'!$C$32-D1194)+'계산 과정'!$D$49*('계산 과정'!$D$32-E1194)+'계산 과정'!$E$49*'계산 과정'!$E$32,"")</x:f>
        <x:v>12.951364977496382</x:v>
      </x:c>
      <x:c r="P1194" s="4" t="n">
        <x:f>IF(AND('계산 과정'!$L$7,O1194&lt;&gt;0),('계산 과정'!$L$23-'계산 과정'!$C$49*D1194-'계산 과정'!$D$49*E1194)/O1194,"")</x:f>
        <x:v>31.884775519415836</x:v>
      </x:c>
      <x:c r="Q1194" s="4" t="str">
        <x:f>IF(AND(ISNUMBER(P1194),P1194&gt;1E-9,P1194&lt;1-1E-9),'계산 과정'!$C$47*(D1194-'계산 과정'!$C$50+P1194*('계산 과정'!$C$32-D1194))+'계산 과정'!$D$47*(E1194-'계산 과정'!$D$50+P1194*('계산 과정'!$D$32-E1194))+'계산 과정'!$E$47*(0-'계산 과정'!$E$50+P1194*('계산 과정'!$E$32-0)),"")</x:f>
      </x:c>
      <x:c r="R1194" s="4" t="str">
        <x:f>IF(AND(ISNUMBER(P1194),P1194&gt;1E-9,P1194&lt;1-1E-9),'계산 과정'!$C$48*(D1194-'계산 과정'!$C$50+P1194*('계산 과정'!$C$32-D1194))+'계산 과정'!$D$48*(E1194-'계산 과정'!$D$50+P1194*('계산 과정'!$D$32-E1194))+'계산 과정'!$E$48*(0-'계산 과정'!$E$50+P1194*('계산 과정'!$E$32-0)),"")</x:f>
      </x:c>
      <x:c r="S1194" s="17" t="n">
        <x:f>IF('계산 과정'!$C$78,IF(AND(ISNUMBER(Q1194),ISNUMBER(R1194),ABS(Q1194-'계산 과정'!$C$88)&lt;='계산 과정'!$D$23/2,ABS(R1194-'계산 과정'!$C$89)&lt;='계산 과정'!$D$24/2),1,0),"")</x:f>
        <x:v>0</x:v>
      </x:c>
      <x:c r="T1194" s="4"/>
      <x:c r="U1194" s="4"/>
      <x:c r="V1194" s="4"/>
      <x:c r="W1194" s="4"/>
      <x:c r="X1194" s="4"/>
      <x:c r="Y1194" s="4"/>
      <x:c r="Z1194" s="4"/>
    </x:row>
    <x:row r="1195" ht="23" customHeight="1">
      <x:c r="A1195" s="17" t="n">
        <x:f>ROW()-6</x:f>
        <x:v>1189</x:v>
      </x:c>
      <x:c r="B1195" s="4" t="n">
        <x:f>IF('계산 과정'!$L$5,'계산 과정'!$L$11*SQRT((A1195+0.5)/'계산 과정'!$L$30),"")</x:f>
        <x:v>114.31639123366124</x:v>
      </x:c>
      <x:c r="C1195" s="4" t="n">
        <x:f>A1195*PI()*(3-SQRT(5))</x:f>
        <x:v>2853.5562801473684</x:v>
      </x:c>
      <x:c r="D1195" s="4" t="n">
        <x:f>IF('계산 과정'!$L$5,B1195*COS(C1195),"")</x:f>
        <x:v>62.70984259766774</x:v>
      </x:c>
      <x:c r="E1195" s="4" t="n">
        <x:f>IF('계산 과정'!$L$5,B1195*SIN(C1195),"")</x:f>
        <x:v>95.58092354682098</x:v>
      </x:c>
      <x:c r="F1195" s="4" t="n">
        <x:f>IF('계산 과정'!$L$7,'계산 과정'!$L$22+'계산 과정'!$C$49*D1195+'계산 과정'!$D$49*E1195,"")</x:f>
        <x:v>605.6574450520482</x:v>
      </x:c>
      <x:c r="G1195" s="4" t="n">
        <x:f>IF('계산 과정'!$L$7,IF(ABS(F1195)&gt;=1E-12*MAX(1,SQRT((D1195-'계산 과정'!$C$33)^2+(E1195-'계산 과정'!$D$33)^2+'계산 과정'!$E$33^2)),('계산 과정'!$L$23-'계산 과정'!$C$49*D1195-'계산 과정'!$D$49*E1195)/F1195,""),"")</x:f>
        <x:v>0.733653253300249</x:v>
      </x:c>
      <x:c r="H1195" s="4" t="n">
        <x:f>IF(AND(ISNUMBER(G1195),G1195&gt;0),('계산 과정'!$D$56+'계산 과정'!$D$57*D1195+'계산 과정'!$D$58*E1195)/F1195,"")</x:f>
        <x:v>76.87461464516171</x:v>
      </x:c>
      <x:c r="I1195" s="4" t="n">
        <x:f>IF(AND(ISNUMBER(G1195),G1195&gt;0),('계산 과정'!$E$56+'계산 과정'!$E$57*D1195+'계산 과정'!$E$58*E1195)/F1195,"")</x:f>
        <x:v>165.70417906038855</x:v>
      </x:c>
      <x:c r="J1195" s="4" t="n">
        <x:f>IF('계산 과정'!$L$5,'계산 과정'!$D$6+'계산 과정'!$C$35*D1195+'계산 과정'!$D$35*E1195,"")</x:f>
        <x:v>605.6574450520482</x:v>
      </x:c>
      <x:c r="K1195" s="4" t="n">
        <x:f>IF(AND('계산 과정'!$L$6,J1195&gt;0),'계산 과정'!$D$10*('계산 과정'!$C$38*(D1195-'계산 과정'!$C$32)+'계산 과정'!$D$38*(E1195-'계산 과정'!$D$32)-'계산 과정'!$E$38*'계산 과정'!$E$32)/J1195,"")</x:f>
        <x:v>0.5857113496774237</x:v>
      </x:c>
      <x:c r="L1195" s="4" t="n">
        <x:f>IF(AND('계산 과정'!$L$6,J1195&gt;0),'계산 과정'!$D$10*('계산 과정'!$C$39*(D1195-'계산 과정'!$C$32)+'계산 과정'!$D$39*(E1195-'계산 과정'!$D$32)-'계산 과정'!$E$39*'계산 과정'!$E$32)/J1195,"")</x:f>
        <x:v>1.2625080309362937</x:v>
      </x:c>
      <x:c r="M1195" s="17" t="n">
        <x:f>IF('계산 과정'!$L$6,IF(J1195&lt;=0,0,IF(AND(ABS(K1195)&lt;='계산 과정'!$D$11/2,ABS(L1195)&lt;='계산 과정'!$D$12/2),1,0)),"")</x:f>
        <x:v>1</x:v>
      </x:c>
      <x:c r="N1195" s="17" t="n">
        <x:f>IF('계산 과정'!$C$78,IF(AND(ISNUMBER(H1195),ISNUMBER(I1195),ABS(H1195-'계산 과정'!$C$88)&lt;='계산 과정'!$D$23/2,ABS(I1195-'계산 과정'!$C$89)&lt;='계산 과정'!$D$24/2),1,0),"")</x:f>
        <x:v>1</x:v>
      </x:c>
      <x:c r="O1195" s="4" t="n">
        <x:f>IF('계산 과정'!$L$7,'계산 과정'!$C$49*('계산 과정'!$C$32-D1195)+'계산 과정'!$D$49*('계산 과정'!$D$32-E1195)+'계산 과정'!$E$49*'계산 과정'!$E$32,"")</x:f>
        <x:v>44.34255494795195</x:v>
      </x:c>
      <x:c r="P1195" s="4" t="n">
        <x:f>IF(AND('계산 과정'!$L$7,O1195&lt;&gt;0),('계산 과정'!$L$23-'계산 과정'!$C$49*D1195-'계산 과정'!$D$49*E1195)/O1195,"")</x:f>
        <x:v>10.020680032296486</x:v>
      </x:c>
      <x:c r="Q1195" s="4" t="str">
        <x:f>IF(AND(ISNUMBER(P1195),P1195&gt;1E-9,P1195&lt;1-1E-9),'계산 과정'!$C$47*(D1195-'계산 과정'!$C$50+P1195*('계산 과정'!$C$32-D1195))+'계산 과정'!$D$47*(E1195-'계산 과정'!$D$50+P1195*('계산 과정'!$D$32-E1195))+'계산 과정'!$E$47*(0-'계산 과정'!$E$50+P1195*('계산 과정'!$E$32-0)),"")</x:f>
      </x:c>
      <x:c r="R1195" s="4" t="str">
        <x:f>IF(AND(ISNUMBER(P1195),P1195&gt;1E-9,P1195&lt;1-1E-9),'계산 과정'!$C$48*(D1195-'계산 과정'!$C$50+P1195*('계산 과정'!$C$32-D1195))+'계산 과정'!$D$48*(E1195-'계산 과정'!$D$50+P1195*('계산 과정'!$D$32-E1195))+'계산 과정'!$E$48*(0-'계산 과정'!$E$50+P1195*('계산 과정'!$E$32-0)),"")</x:f>
      </x:c>
      <x:c r="S1195" s="17" t="n">
        <x:f>IF('계산 과정'!$C$78,IF(AND(ISNUMBER(Q1195),ISNUMBER(R1195),ABS(Q1195-'계산 과정'!$C$88)&lt;='계산 과정'!$D$23/2,ABS(R1195-'계산 과정'!$C$89)&lt;='계산 과정'!$D$24/2),1,0),"")</x:f>
        <x:v>0</x:v>
      </x:c>
      <x:c r="T1195" s="4"/>
      <x:c r="U1195" s="4"/>
      <x:c r="V1195" s="4"/>
      <x:c r="W1195" s="4"/>
      <x:c r="X1195" s="4"/>
      <x:c r="Y1195" s="4"/>
      <x:c r="Z1195" s="4"/>
    </x:row>
    <x:row r="1196" ht="23" customHeight="1">
      <x:c r="A1196" s="17" t="n">
        <x:f>ROW()-6</x:f>
        <x:v>1190</x:v>
      </x:c>
      <x:c r="B1196" s="4" t="n">
        <x:f>IF('계산 과정'!$L$5,'계산 과정'!$L$11*SQRT((A1196+0.5)/'계산 과정'!$L$30),"")</x:f>
        <x:v>114.36443342583611</x:v>
      </x:c>
      <x:c r="C1196" s="4" t="n">
        <x:f>A1196*PI()*(3-SQRT(5))</x:f>
        <x:v>2855.9562433770966</x:v>
      </x:c>
      <x:c r="D1196" s="4" t="n">
        <x:f>IF('계산 과정'!$L$5,B1196*COS(C1196),"")</x:f>
        <x:v>-110.85083865502118</x:v>
      </x:c>
      <x:c r="E1196" s="4" t="n">
        <x:f>IF('계산 과정'!$L$5,B1196*SIN(C1196),"")</x:f>
        <x:v>-28.13032531434649</x:v>
      </x:c>
      <x:c r="F1196" s="4" t="n">
        <x:f>IF('계산 과정'!$L$7,'계산 과정'!$L$22+'계산 과정'!$C$49*D1196+'계산 과정'!$D$49*E1196,"")</x:f>
        <x:v>728.3833797131813</x:v>
      </x:c>
      <x:c r="G1196" s="4" t="n">
        <x:f>IF('계산 과정'!$L$7,IF(ABS(F1196)&gt;=1E-12*MAX(1,SQRT((D1196-'계산 과정'!$C$33)^2+(E1196-'계산 과정'!$D$33)^2+'계산 과정'!$E$33^2)),('계산 과정'!$L$23-'계산 과정'!$C$49*D1196-'계산 과정'!$D$49*E1196)/F1196,""),"")</x:f>
        <x:v>0.44154854331446036</x:v>
      </x:c>
      <x:c r="H1196" s="4" t="n">
        <x:f>IF(AND(ISNUMBER(G1196),G1196&gt;0),('계산 과정'!$D$56+'계산 과정'!$D$57*D1196+'계산 과정'!$D$58*E1196)/F1196,"")</x:f>
        <x:v>-112.99344684560093</x:v>
      </x:c>
      <x:c r="I1196" s="4" t="n">
        <x:f>IF(AND(ISNUMBER(G1196),G1196&gt;0),('계산 과정'!$E$56+'계산 과정'!$E$57*D1196+'계산 과정'!$E$58*E1196)/F1196,"")</x:f>
        <x:v>-40.55122947985807</x:v>
      </x:c>
      <x:c r="J1196" s="4" t="n">
        <x:f>IF('계산 과정'!$L$5,'계산 과정'!$D$6+'계산 과정'!$C$35*D1196+'계산 과정'!$D$35*E1196,"")</x:f>
        <x:v>728.3833797131813</x:v>
      </x:c>
      <x:c r="K1196" s="4" t="n">
        <x:f>IF(AND('계산 과정'!$L$6,J1196&gt;0),'계산 과정'!$D$10*('계산 과정'!$C$38*(D1196-'계산 과정'!$C$32)+'계산 과정'!$D$38*(E1196-'계산 과정'!$D$32)-'계산 과정'!$E$38*'계산 과정'!$E$32)/J1196,"")</x:f>
        <x:v>-0.860902452156959</x:v>
      </x:c>
      <x:c r="L1196" s="4" t="n">
        <x:f>IF(AND('계산 과정'!$L$6,J1196&gt;0),'계산 과정'!$D$10*('계산 과정'!$C$39*(D1196-'계산 과정'!$C$32)+'계산 과정'!$D$39*(E1196-'계산 과정'!$D$32)-'계산 과정'!$E$39*'계산 과정'!$E$32)/J1196,"")</x:f>
        <x:v>-0.30896174841796625</x:v>
      </x:c>
      <x:c r="M1196" s="17" t="n">
        <x:f>IF('계산 과정'!$L$6,IF(J1196&lt;=0,0,IF(AND(ABS(K1196)&lt;='계산 과정'!$D$11/2,ABS(L1196)&lt;='계산 과정'!$D$12/2),1,0)),"")</x:f>
        <x:v>1</x:v>
      </x:c>
      <x:c r="N1196" s="17" t="n">
        <x:f>IF('계산 과정'!$C$78,IF(AND(ISNUMBER(H1196),ISNUMBER(I1196),ABS(H1196-'계산 과정'!$C$88)&lt;='계산 과정'!$D$23/2,ABS(I1196-'계산 과정'!$C$89)&lt;='계산 과정'!$D$24/2),1,0),"")</x:f>
        <x:v>1</x:v>
      </x:c>
      <x:c r="O1196" s="4" t="n">
        <x:f>IF('계산 과정'!$L$7,'계산 과정'!$C$49*('계산 과정'!$C$32-D1196)+'계산 과정'!$D$49*('계산 과정'!$D$32-E1196)+'계산 과정'!$E$49*'계산 과정'!$E$32,"")</x:f>
        <x:v>-78.38337971318123</x:v>
      </x:c>
      <x:c r="P1196" s="4" t="n">
        <x:f>IF(AND('계산 과정'!$L$7,O1196&lt;&gt;0),('계산 과정'!$L$23-'계산 과정'!$C$49*D1196-'계산 과정'!$D$49*E1196)/O1196,"")</x:f>
        <x:v>-4.10312264492385</x:v>
      </x:c>
      <x:c r="Q1196" s="4" t="str">
        <x:f>IF(AND(ISNUMBER(P1196),P1196&gt;1E-9,P1196&lt;1-1E-9),'계산 과정'!$C$47*(D1196-'계산 과정'!$C$50+P1196*('계산 과정'!$C$32-D1196))+'계산 과정'!$D$47*(E1196-'계산 과정'!$D$50+P1196*('계산 과정'!$D$32-E1196))+'계산 과정'!$E$47*(0-'계산 과정'!$E$50+P1196*('계산 과정'!$E$32-0)),"")</x:f>
      </x:c>
      <x:c r="R1196" s="4" t="str">
        <x:f>IF(AND(ISNUMBER(P1196),P1196&gt;1E-9,P1196&lt;1-1E-9),'계산 과정'!$C$48*(D1196-'계산 과정'!$C$50+P1196*('계산 과정'!$C$32-D1196))+'계산 과정'!$D$48*(E1196-'계산 과정'!$D$50+P1196*('계산 과정'!$D$32-E1196))+'계산 과정'!$E$48*(0-'계산 과정'!$E$50+P1196*('계산 과정'!$E$32-0)),"")</x:f>
      </x:c>
      <x:c r="S1196" s="17" t="n">
        <x:f>IF('계산 과정'!$C$78,IF(AND(ISNUMBER(Q1196),ISNUMBER(R1196),ABS(Q1196-'계산 과정'!$C$88)&lt;='계산 과정'!$D$23/2,ABS(R1196-'계산 과정'!$C$89)&lt;='계산 과정'!$D$24/2),1,0),"")</x:f>
        <x:v>0</x:v>
      </x:c>
      <x:c r="T1196" s="4"/>
      <x:c r="U1196" s="4"/>
      <x:c r="V1196" s="4"/>
      <x:c r="W1196" s="4"/>
      <x:c r="X1196" s="4"/>
      <x:c r="Y1196" s="4"/>
      <x:c r="Z1196" s="4"/>
    </x:row>
    <x:row r="1197" ht="23" customHeight="1">
      <x:c r="A1197" s="17" t="n">
        <x:f>ROW()-6</x:f>
        <x:v>1191</x:v>
      </x:c>
      <x:c r="B1197" s="4" t="n">
        <x:f>IF('계산 과정'!$L$5,'계산 과정'!$L$11*SQRT((A1197+0.5)/'계산 과정'!$L$30),"")</x:f>
        <x:v>114.4124554449274</x:v>
      </x:c>
      <x:c r="C1197" s="4" t="n">
        <x:f>A1197*PI()*(3-SQRT(5))</x:f>
        <x:v>2858.3562066068257</x:v>
      </x:c>
      <x:c r="D1197" s="4" t="n">
        <x:f>IF('계산 과정'!$L$5,B1197*COS(C1197),"")</x:f>
        <x:v>100.7820212125319</x:v>
      </x:c>
      <x:c r="E1197" s="4" t="n">
        <x:f>IF('계산 과정'!$L$5,B1197*SIN(C1197),"")</x:f>
        <x:v>-54.158971198262876</x:v>
      </x:c>
      <x:c r="F1197" s="4" t="n">
        <x:f>IF('계산 과정'!$L$7,'계산 과정'!$L$22+'계산 과정'!$C$49*D1197+'계산 과정'!$D$49*E1197,"")</x:f>
        <x:v>578.7363493789322</x:v>
      </x:c>
      <x:c r="G1197" s="4" t="n">
        <x:f>IF('계산 과정'!$L$7,IF(ABS(F1197)&gt;=1E-12*MAX(1,SQRT((D1197-'계산 과정'!$C$33)^2+(E1197-'계산 과정'!$D$33)^2+'계산 과정'!$E$33^2)),('계산 과정'!$L$23-'계산 과정'!$C$49*D1197-'계산 과정'!$D$49*E1197)/F1197,""),"")</x:f>
        <x:v>0.8142976523365117</x:v>
      </x:c>
      <x:c r="H1197" s="4" t="n">
        <x:f>IF(AND(ISNUMBER(G1197),G1197&gt;0),('계산 과정'!$D$56+'계산 과정'!$D$57*D1197+'계산 과정'!$D$58*E1197)/F1197,"")</x:f>
        <x:v>129.29347401873258</x:v>
      </x:c>
      <x:c r="I1197" s="4" t="n">
        <x:f>IF(AND(ISNUMBER(G1197),G1197&gt;0),('계산 과정'!$E$56+'계산 과정'!$E$57*D1197+'계산 과정'!$E$58*E1197)/F1197,"")</x:f>
        <x:v>-98.26049429796909</x:v>
      </x:c>
      <x:c r="J1197" s="4" t="n">
        <x:f>IF('계산 과정'!$L$5,'계산 과정'!$D$6+'계산 과정'!$C$35*D1197+'계산 과정'!$D$35*E1197,"")</x:f>
        <x:v>578.7363493789322</x:v>
      </x:c>
      <x:c r="K1197" s="4" t="n">
        <x:f>IF(AND('계산 과정'!$L$6,J1197&gt;0),'계산 과정'!$D$10*('계산 과정'!$C$38*(D1197-'계산 과정'!$C$32)+'계산 과정'!$D$38*(E1197-'계산 과정'!$D$32)-'계산 과정'!$E$38*'계산 과정'!$E$32)/J1197,"")</x:f>
        <x:v>0.9850931353808206</x:v>
      </x:c>
      <x:c r="L1197" s="4" t="n">
        <x:f>IF(AND('계산 과정'!$L$6,J1197&gt;0),'계산 과정'!$D$10*('계산 과정'!$C$39*(D1197-'계산 과정'!$C$32)+'계산 과정'!$D$39*(E1197-'계산 과정'!$D$32)-'계산 과정'!$E$39*'계산 과정'!$E$32)/J1197,"")</x:f>
        <x:v>-0.7486513851273836</x:v>
      </x:c>
      <x:c r="M1197" s="17" t="n">
        <x:f>IF('계산 과정'!$L$6,IF(J1197&lt;=0,0,IF(AND(ABS(K1197)&lt;='계산 과정'!$D$11/2,ABS(L1197)&lt;='계산 과정'!$D$12/2),1,0)),"")</x:f>
        <x:v>1</x:v>
      </x:c>
      <x:c r="N1197" s="17" t="n">
        <x:f>IF('계산 과정'!$C$78,IF(AND(ISNUMBER(H1197),ISNUMBER(I1197),ABS(H1197-'계산 과정'!$C$88)&lt;='계산 과정'!$D$23/2,ABS(I1197-'계산 과정'!$C$89)&lt;='계산 과정'!$D$24/2),1,0),"")</x:f>
        <x:v>1</x:v>
      </x:c>
      <x:c r="O1197" s="4" t="n">
        <x:f>IF('계산 과정'!$L$7,'계산 과정'!$C$49*('계산 과정'!$C$32-D1197)+'계산 과정'!$D$49*('계산 과정'!$D$32-E1197)+'계산 과정'!$E$49*'계산 과정'!$E$32,"")</x:f>
        <x:v>71.26365062106788</x:v>
      </x:c>
      <x:c r="P1197" s="4" t="n">
        <x:f>IF(AND('계산 과정'!$L$7,O1197&lt;&gt;0),('계산 과정'!$L$23-'계산 과정'!$C$49*D1197-'계산 과정'!$D$49*E1197)/O1197,"")</x:f>
        <x:v>6.6129597138789675</x:v>
      </x:c>
      <x:c r="Q1197" s="4" t="str">
        <x:f>IF(AND(ISNUMBER(P1197),P1197&gt;1E-9,P1197&lt;1-1E-9),'계산 과정'!$C$47*(D1197-'계산 과정'!$C$50+P1197*('계산 과정'!$C$32-D1197))+'계산 과정'!$D$47*(E1197-'계산 과정'!$D$50+P1197*('계산 과정'!$D$32-E1197))+'계산 과정'!$E$47*(0-'계산 과정'!$E$50+P1197*('계산 과정'!$E$32-0)),"")</x:f>
      </x:c>
      <x:c r="R1197" s="4" t="str">
        <x:f>IF(AND(ISNUMBER(P1197),P1197&gt;1E-9,P1197&lt;1-1E-9),'계산 과정'!$C$48*(D1197-'계산 과정'!$C$50+P1197*('계산 과정'!$C$32-D1197))+'계산 과정'!$D$48*(E1197-'계산 과정'!$D$50+P1197*('계산 과정'!$D$32-E1197))+'계산 과정'!$E$48*(0-'계산 과정'!$E$50+P1197*('계산 과정'!$E$32-0)),"")</x:f>
      </x:c>
      <x:c r="S1197" s="17" t="n">
        <x:f>IF('계산 과정'!$C$78,IF(AND(ISNUMBER(Q1197),ISNUMBER(R1197),ABS(Q1197-'계산 과정'!$C$88)&lt;='계산 과정'!$D$23/2,ABS(R1197-'계산 과정'!$C$89)&lt;='계산 과정'!$D$24/2),1,0),"")</x:f>
        <x:v>0</x:v>
      </x:c>
      <x:c r="T1197" s="4"/>
      <x:c r="U1197" s="4"/>
      <x:c r="V1197" s="4"/>
      <x:c r="W1197" s="4"/>
      <x:c r="X1197" s="4"/>
      <x:c r="Y1197" s="4"/>
      <x:c r="Z1197" s="4"/>
    </x:row>
    <x:row r="1198" ht="23" customHeight="1">
      <x:c r="A1198" s="17" t="n">
        <x:f>ROW()-6</x:f>
        <x:v>1192</x:v>
      </x:c>
      <x:c r="B1198" s="4" t="n">
        <x:f>IF('계산 과정'!$L$5,'계산 과정'!$L$11*SQRT((A1198+0.5)/'계산 과정'!$L$30),"")</x:f>
        <x:v>114.46045731632606</x:v>
      </x:c>
      <x:c r="C1198" s="4" t="n">
        <x:f>A1198*PI()*(3-SQRT(5))</x:f>
        <x:v>2860.7561698365544</x:v>
      </x:c>
      <x:c r="D1198" s="4" t="n">
        <x:f>IF('계산 과정'!$L$5,B1198*COS(C1198),"")</x:f>
        <x:v>-37.74549604338039</x:v>
      </x:c>
      <x:c r="E1198" s="4" t="n">
        <x:f>IF('계산 과정'!$L$5,B1198*SIN(C1198),"")</x:f>
        <x:v>108.05773372369816</x:v>
      </x:c>
      <x:c r="F1198" s="4" t="n">
        <x:f>IF('계산 과정'!$L$7,'계산 과정'!$L$22+'계산 과정'!$C$49*D1198+'계산 과정'!$D$49*E1198,"")</x:f>
        <x:v>676.6900962115243</x:v>
      </x:c>
      <x:c r="G1198" s="4" t="n">
        <x:f>IF('계산 과정'!$L$7,IF(ABS(F1198)&gt;=1E-12*MAX(1,SQRT((D1198-'계산 과정'!$C$33)^2+(E1198-'계산 과정'!$D$33)^2+'계산 과정'!$E$33^2)),('계산 과정'!$L$23-'계산 과정'!$C$49*D1198-'계산 과정'!$D$49*E1198)/F1198,""),"")</x:f>
        <x:v>0.5516704114312677</x:v>
      </x:c>
      <x:c r="H1198" s="4" t="n">
        <x:f>IF(AND(ISNUMBER(G1198),G1198&gt;0),('계산 과정'!$D$56+'계산 과정'!$D$57*D1198+'계산 과정'!$D$58*E1198)/F1198,"")</x:f>
        <x:v>-41.41423256967611</x:v>
      </x:c>
      <x:c r="I1198" s="4" t="n">
        <x:f>IF(AND(ISNUMBER(G1198),G1198&gt;0),('계산 과정'!$E$56+'계산 과정'!$E$57*D1198+'계산 과정'!$E$58*E1198)/F1198,"")</x:f>
        <x:v>167.6699881453811</x:v>
      </x:c>
      <x:c r="J1198" s="4" t="n">
        <x:f>IF('계산 과정'!$L$5,'계산 과정'!$D$6+'계산 과정'!$C$35*D1198+'계산 과정'!$D$35*E1198,"")</x:f>
        <x:v>676.6900962115243</x:v>
      </x:c>
      <x:c r="K1198" s="4" t="n">
        <x:f>IF(AND('계산 과정'!$L$6,J1198&gt;0),'계산 과정'!$D$10*('계산 과정'!$C$38*(D1198-'계산 과정'!$C$32)+'계산 과정'!$D$38*(E1198-'계산 과정'!$D$32)-'계산 과정'!$E$38*'계산 과정'!$E$32)/J1198,"")</x:f>
        <x:v>-0.31553701005467444</x:v>
      </x:c>
      <x:c r="L1198" s="4" t="n">
        <x:f>IF(AND('계산 과정'!$L$6,J1198&gt;0),'계산 과정'!$D$10*('계산 과정'!$C$39*(D1198-'계산 과정'!$C$32)+'계산 과정'!$D$39*(E1198-'계산 과정'!$D$32)-'계산 과정'!$E$39*'계산 과정'!$E$32)/J1198,"")</x:f>
        <x:v>1.2774856239648082</x:v>
      </x:c>
      <x:c r="M1198" s="17" t="n">
        <x:f>IF('계산 과정'!$L$6,IF(J1198&lt;=0,0,IF(AND(ABS(K1198)&lt;='계산 과정'!$D$11/2,ABS(L1198)&lt;='계산 과정'!$D$12/2),1,0)),"")</x:f>
        <x:v>1</x:v>
      </x:c>
      <x:c r="N1198" s="17" t="n">
        <x:f>IF('계산 과정'!$C$78,IF(AND(ISNUMBER(H1198),ISNUMBER(I1198),ABS(H1198-'계산 과정'!$C$88)&lt;='계산 과정'!$D$23/2,ABS(I1198-'계산 과정'!$C$89)&lt;='계산 과정'!$D$24/2),1,0),"")</x:f>
        <x:v>1</x:v>
      </x:c>
      <x:c r="O1198" s="4" t="n">
        <x:f>IF('계산 과정'!$L$7,'계산 과정'!$C$49*('계산 과정'!$C$32-D1198)+'계산 과정'!$D$49*('계산 과정'!$D$32-E1198)+'계산 과정'!$E$49*'계산 과정'!$E$32,"")</x:f>
        <x:v>-26.690096211524178</x:v>
      </x:c>
      <x:c r="P1198" s="4" t="n">
        <x:f>IF(AND('계산 과정'!$L$7,O1198&lt;&gt;0),('계산 과정'!$L$23-'계산 과정'!$C$49*D1198-'계산 과정'!$D$49*E1198)/O1198,"")</x:f>
        <x:v>-13.986832450131407</x:v>
      </x:c>
      <x:c r="Q1198" s="4" t="str">
        <x:f>IF(AND(ISNUMBER(P1198),P1198&gt;1E-9,P1198&lt;1-1E-9),'계산 과정'!$C$47*(D1198-'계산 과정'!$C$50+P1198*('계산 과정'!$C$32-D1198))+'계산 과정'!$D$47*(E1198-'계산 과정'!$D$50+P1198*('계산 과정'!$D$32-E1198))+'계산 과정'!$E$47*(0-'계산 과정'!$E$50+P1198*('계산 과정'!$E$32-0)),"")</x:f>
      </x:c>
      <x:c r="R1198" s="4" t="str">
        <x:f>IF(AND(ISNUMBER(P1198),P1198&gt;1E-9,P1198&lt;1-1E-9),'계산 과정'!$C$48*(D1198-'계산 과정'!$C$50+P1198*('계산 과정'!$C$32-D1198))+'계산 과정'!$D$48*(E1198-'계산 과정'!$D$50+P1198*('계산 과정'!$D$32-E1198))+'계산 과정'!$E$48*(0-'계산 과정'!$E$50+P1198*('계산 과정'!$E$32-0)),"")</x:f>
      </x:c>
      <x:c r="S1198" s="17" t="n">
        <x:f>IF('계산 과정'!$C$78,IF(AND(ISNUMBER(Q1198),ISNUMBER(R1198),ABS(Q1198-'계산 과정'!$C$88)&lt;='계산 과정'!$D$23/2,ABS(R1198-'계산 과정'!$C$89)&lt;='계산 과정'!$D$24/2),1,0),"")</x:f>
        <x:v>0</x:v>
      </x:c>
      <x:c r="T1198" s="4"/>
      <x:c r="U1198" s="4"/>
      <x:c r="V1198" s="4"/>
      <x:c r="W1198" s="4"/>
      <x:c r="X1198" s="4"/>
      <x:c r="Y1198" s="4"/>
      <x:c r="Z1198" s="4"/>
    </x:row>
    <x:row r="1199" ht="23" customHeight="1">
      <x:c r="A1199" s="17" t="n">
        <x:f>ROW()-6</x:f>
        <x:v>1193</x:v>
      </x:c>
      <x:c r="B1199" s="4" t="n">
        <x:f>IF('계산 과정'!$L$5,'계산 과정'!$L$11*SQRT((A1199+0.5)/'계산 과정'!$L$30),"")</x:f>
        <x:v>114.50843906536976</x:v>
      </x:c>
      <x:c r="C1199" s="4" t="n">
        <x:f>A1199*PI()*(3-SQRT(5))</x:f>
        <x:v>2863.156133066283</x:v>
      </x:c>
      <x:c r="D1199" s="4" t="n">
        <x:f>IF('계산 과정'!$L$5,B1199*COS(C1199),"")</x:f>
        <x:v>-45.17852715353974</x:v>
      </x:c>
      <x:c r="E1199" s="4" t="n">
        <x:f>IF('계산 과정'!$L$5,B1199*SIN(C1199),"")</x:f>
        <x:v>-105.21921545717954</x:v>
      </x:c>
      <x:c r="F1199" s="4" t="n">
        <x:f>IF('계산 과정'!$L$7,'계산 과정'!$L$22+'계산 과정'!$C$49*D1199+'계산 과정'!$D$49*E1199,"")</x:f>
        <x:v>681.9460429142886</x:v>
      </x:c>
      <x:c r="G1199" s="4" t="n">
        <x:f>IF('계산 과정'!$L$7,IF(ABS(F1199)&gt;=1E-12*MAX(1,SQRT((D1199-'계산 과정'!$C$33)^2+(E1199-'계산 과정'!$D$33)^2+'계산 과정'!$E$33^2)),('계산 과정'!$L$23-'계산 과정'!$C$49*D1199-'계산 과정'!$D$49*E1199)/F1199,""),"")</x:f>
        <x:v>0.5397112585518308</x:v>
      </x:c>
      <x:c r="H1199" s="4" t="n">
        <x:f>IF(AND(ISNUMBER(G1199),G1199&gt;0),('계산 과정'!$D$56+'계산 과정'!$D$57*D1199+'계산 과정'!$D$58*E1199)/F1199,"")</x:f>
        <x:v>-49.18768194131009</x:v>
      </x:c>
      <x:c r="I1199" s="4" t="n">
        <x:f>IF(AND(ISNUMBER(G1199),G1199&gt;0),('계산 과정'!$E$56+'계산 과정'!$E$57*D1199+'계산 과정'!$E$58*E1199)/F1199,"")</x:f>
        <x:v>-162.00721065541015</x:v>
      </x:c>
      <x:c r="J1199" s="4" t="n">
        <x:f>IF('계산 과정'!$L$5,'계산 과정'!$D$6+'계산 과정'!$C$35*D1199+'계산 과정'!$D$35*E1199,"")</x:f>
        <x:v>681.9460429142886</x:v>
      </x:c>
      <x:c r="K1199" s="4" t="n">
        <x:f>IF(AND('계산 과정'!$L$6,J1199&gt;0),'계산 과정'!$D$10*('계산 과정'!$C$38*(D1199-'계산 과정'!$C$32)+'계산 과정'!$D$38*(E1199-'계산 과정'!$D$32)-'계산 과정'!$E$38*'계산 과정'!$E$32)/J1199,"")</x:f>
        <x:v>-0.3747632909814092</x:v>
      </x:c>
      <x:c r="L1199" s="4" t="n">
        <x:f>IF(AND('계산 과정'!$L$6,J1199&gt;0),'계산 과정'!$D$10*('계산 과정'!$C$39*(D1199-'계산 과정'!$C$32)+'계산 과정'!$D$39*(E1199-'계산 과정'!$D$32)-'계산 과정'!$E$39*'계산 과정'!$E$32)/J1199,"")</x:f>
        <x:v>-1.2343406526126488</x:v>
      </x:c>
      <x:c r="M1199" s="17" t="n">
        <x:f>IF('계산 과정'!$L$6,IF(J1199&lt;=0,0,IF(AND(ABS(K1199)&lt;='계산 과정'!$D$11/2,ABS(L1199)&lt;='계산 과정'!$D$12/2),1,0)),"")</x:f>
        <x:v>1</x:v>
      </x:c>
      <x:c r="N1199" s="17" t="n">
        <x:f>IF('계산 과정'!$C$78,IF(AND(ISNUMBER(H1199),ISNUMBER(I1199),ABS(H1199-'계산 과정'!$C$88)&lt;='계산 과정'!$D$23/2,ABS(I1199-'계산 과정'!$C$89)&lt;='계산 과정'!$D$24/2),1,0),"")</x:f>
        <x:v>1</x:v>
      </x:c>
      <x:c r="O1199" s="4" t="n">
        <x:f>IF('계산 과정'!$L$7,'계산 과정'!$C$49*('계산 과정'!$C$32-D1199)+'계산 과정'!$D$49*('계산 과정'!$D$32-E1199)+'계산 과정'!$E$49*'계산 과정'!$E$32,"")</x:f>
        <x:v>-31.946042914288398</x:v>
      </x:c>
      <x:c r="P1199" s="4" t="n">
        <x:f>IF(AND('계산 과정'!$L$7,O1199&lt;&gt;0),('계산 과정'!$L$23-'계산 과정'!$C$49*D1199-'계산 과정'!$D$49*E1199)/O1199,"")</x:f>
        <x:v>-11.52111258578111</x:v>
      </x:c>
      <x:c r="Q1199" s="4" t="str">
        <x:f>IF(AND(ISNUMBER(P1199),P1199&gt;1E-9,P1199&lt;1-1E-9),'계산 과정'!$C$47*(D1199-'계산 과정'!$C$50+P1199*('계산 과정'!$C$32-D1199))+'계산 과정'!$D$47*(E1199-'계산 과정'!$D$50+P1199*('계산 과정'!$D$32-E1199))+'계산 과정'!$E$47*(0-'계산 과정'!$E$50+P1199*('계산 과정'!$E$32-0)),"")</x:f>
      </x:c>
      <x:c r="R1199" s="4" t="str">
        <x:f>IF(AND(ISNUMBER(P1199),P1199&gt;1E-9,P1199&lt;1-1E-9),'계산 과정'!$C$48*(D1199-'계산 과정'!$C$50+P1199*('계산 과정'!$C$32-D1199))+'계산 과정'!$D$48*(E1199-'계산 과정'!$D$50+P1199*('계산 과정'!$D$32-E1199))+'계산 과정'!$E$48*(0-'계산 과정'!$E$50+P1199*('계산 과정'!$E$32-0)),"")</x:f>
      </x:c>
      <x:c r="S1199" s="17" t="n">
        <x:f>IF('계산 과정'!$C$78,IF(AND(ISNUMBER(Q1199),ISNUMBER(R1199),ABS(Q1199-'계산 과정'!$C$88)&lt;='계산 과정'!$D$23/2,ABS(R1199-'계산 과정'!$C$89)&lt;='계산 과정'!$D$24/2),1,0),"")</x:f>
        <x:v>0</x:v>
      </x:c>
      <x:c r="T1199" s="4"/>
      <x:c r="U1199" s="4"/>
      <x:c r="V1199" s="4"/>
      <x:c r="W1199" s="4"/>
      <x:c r="X1199" s="4"/>
      <x:c r="Y1199" s="4"/>
      <x:c r="Z1199" s="4"/>
    </x:row>
    <x:row r="1200" ht="23" customHeight="1">
      <x:c r="A1200" s="17" t="n">
        <x:f>ROW()-6</x:f>
        <x:v>1194</x:v>
      </x:c>
      <x:c r="B1200" s="4" t="n">
        <x:f>IF('계산 과정'!$L$5,'계산 과정'!$L$11*SQRT((A1200+0.5)/'계산 과정'!$L$30),"")</x:f>
        <x:v>114.55640071734315</x:v>
      </x:c>
      <x:c r="C1200" s="4" t="n">
        <x:f>A1200*PI()*(3-SQRT(5))</x:f>
        <x:v>2865.556096296011</x:v>
      </x:c>
      <x:c r="D1200" s="4" t="n">
        <x:f>IF('계산 과정'!$L$5,B1200*COS(C1200),"")</x:f>
        <x:v>104.43152133170733</x:v>
      </x:c>
      <x:c r="E1200" s="4" t="n">
        <x:f>IF('계산 과정'!$L$5,B1200*SIN(C1200),"")</x:f>
        <x:v>47.08743248105227</x:v>
      </x:c>
      <x:c r="F1200" s="4" t="n">
        <x:f>IF('계산 과정'!$L$7,'계산 과정'!$L$22+'계산 과정'!$C$49*D1200+'계산 과정'!$D$49*E1200,"")</x:f>
        <x:v>576.1557630967221</x:v>
      </x:c>
      <x:c r="G1200" s="4" t="n">
        <x:f>IF('계산 과정'!$L$7,IF(ABS(F1200)&gt;=1E-12*MAX(1,SQRT((D1200-'계산 과정'!$C$33)^2+(E1200-'계산 과정'!$D$33)^2+'계산 과정'!$E$33^2)),('계산 과정'!$L$23-'계산 과정'!$C$49*D1200-'계산 과정'!$D$49*E1200)/F1200,""),"")</x:f>
        <x:v>0.8224238430879519</x:v>
      </x:c>
      <x:c r="H1200" s="4" t="n">
        <x:f>IF(AND(ISNUMBER(G1200),G1200&gt;0),('계산 과정'!$D$56+'계산 과정'!$D$57*D1200+'계산 과정'!$D$58*E1200)/F1200,"")</x:f>
        <x:v>134.5754980071687</x:v>
      </x:c>
      <x:c r="I1200" s="4" t="n">
        <x:f>IF(AND(ISNUMBER(G1200),G1200&gt;0),('계산 과정'!$E$56+'계산 과정'!$E$57*D1200+'계산 과정'!$E$58*E1200)/F1200,"")</x:f>
        <x:v>85.81325966326374</x:v>
      </x:c>
      <x:c r="J1200" s="4" t="n">
        <x:f>IF('계산 과정'!$L$5,'계산 과정'!$D$6+'계산 과정'!$C$35*D1200+'계산 과정'!$D$35*E1200,"")</x:f>
        <x:v>576.1557630967221</x:v>
      </x:c>
      <x:c r="K1200" s="4" t="n">
        <x:f>IF(AND('계산 과정'!$L$6,J1200&gt;0),'계산 과정'!$D$10*('계산 과정'!$C$38*(D1200-'계산 과정'!$C$32)+'계산 과정'!$D$38*(E1200-'계산 과정'!$D$32)-'계산 과정'!$E$38*'계산 과정'!$E$32)/J1200,"")</x:f>
        <x:v>1.0253371276736674</x:v>
      </x:c>
      <x:c r="L1200" s="4" t="n">
        <x:f>IF(AND('계산 과정'!$L$6,J1200&gt;0),'계산 과정'!$D$10*('계산 과정'!$C$39*(D1200-'계산 과정'!$C$32)+'계산 과정'!$D$39*(E1200-'계산 과정'!$D$32)-'계산 과정'!$E$39*'계산 과정'!$E$32)/J1200,"")</x:f>
        <x:v>0.6538153117201047</x:v>
      </x:c>
      <x:c r="M1200" s="17" t="n">
        <x:f>IF('계산 과정'!$L$6,IF(J1200&lt;=0,0,IF(AND(ABS(K1200)&lt;='계산 과정'!$D$11/2,ABS(L1200)&lt;='계산 과정'!$D$12/2),1,0)),"")</x:f>
        <x:v>1</x:v>
      </x:c>
      <x:c r="N1200" s="17" t="n">
        <x:f>IF('계산 과정'!$C$78,IF(AND(ISNUMBER(H1200),ISNUMBER(I1200),ABS(H1200-'계산 과정'!$C$88)&lt;='계산 과정'!$D$23/2,ABS(I1200-'계산 과정'!$C$89)&lt;='계산 과정'!$D$24/2),1,0),"")</x:f>
        <x:v>1</x:v>
      </x:c>
      <x:c r="O1200" s="4" t="n">
        <x:f>IF('계산 과정'!$L$7,'계산 과정'!$C$49*('계산 과정'!$C$32-D1200)+'계산 과정'!$D$49*('계산 과정'!$D$32-E1200)+'계산 과정'!$E$49*'계산 과정'!$E$32,"")</x:f>
        <x:v>73.84423690327796</x:v>
      </x:c>
      <x:c r="P1200" s="4" t="n">
        <x:f>IF(AND('계산 과정'!$L$7,O1200&lt;&gt;0),('계산 과정'!$L$23-'계산 과정'!$C$49*D1200-'계산 과정'!$D$49*E1200)/O1200,"")</x:f>
        <x:v>6.416807279407932</x:v>
      </x:c>
      <x:c r="Q1200" s="4" t="str">
        <x:f>IF(AND(ISNUMBER(P1200),P1200&gt;1E-9,P1200&lt;1-1E-9),'계산 과정'!$C$47*(D1200-'계산 과정'!$C$50+P1200*('계산 과정'!$C$32-D1200))+'계산 과정'!$D$47*(E1200-'계산 과정'!$D$50+P1200*('계산 과정'!$D$32-E1200))+'계산 과정'!$E$47*(0-'계산 과정'!$E$50+P1200*('계산 과정'!$E$32-0)),"")</x:f>
      </x:c>
      <x:c r="R1200" s="4" t="str">
        <x:f>IF(AND(ISNUMBER(P1200),P1200&gt;1E-9,P1200&lt;1-1E-9),'계산 과정'!$C$48*(D1200-'계산 과정'!$C$50+P1200*('계산 과정'!$C$32-D1200))+'계산 과정'!$D$48*(E1200-'계산 과정'!$D$50+P1200*('계산 과정'!$D$32-E1200))+'계산 과정'!$E$48*(0-'계산 과정'!$E$50+P1200*('계산 과정'!$E$32-0)),"")</x:f>
      </x:c>
      <x:c r="S1200" s="17" t="n">
        <x:f>IF('계산 과정'!$C$78,IF(AND(ISNUMBER(Q1200),ISNUMBER(R1200),ABS(Q1200-'계산 과정'!$C$88)&lt;='계산 과정'!$D$23/2,ABS(R1200-'계산 과정'!$C$89)&lt;='계산 과정'!$D$24/2),1,0),"")</x:f>
        <x:v>0</x:v>
      </x:c>
      <x:c r="T1200" s="4"/>
      <x:c r="U1200" s="4"/>
      <x:c r="V1200" s="4"/>
      <x:c r="W1200" s="4"/>
      <x:c r="X1200" s="4"/>
      <x:c r="Y1200" s="4"/>
      <x:c r="Z1200" s="4"/>
    </x:row>
    <x:row r="1201" ht="23" customHeight="1">
      <x:c r="A1201" s="17" t="n">
        <x:f>ROW()-6</x:f>
        <x:v>1195</x:v>
      </x:c>
      <x:c r="B1201" s="4" t="n">
        <x:f>IF('계산 과정'!$L$5,'계산 과정'!$L$11*SQRT((A1201+0.5)/'계산 과정'!$L$30),"")</x:f>
        <x:v>114.60434229747797</x:v>
      </x:c>
      <x:c r="C1201" s="4" t="n">
        <x:f>A1201*PI()*(3-SQRT(5))</x:f>
        <x:v>2867.9560595257403</x:v>
      </x:c>
      <x:c r="D1201" s="4" t="n">
        <x:f>IF('계산 과정'!$L$5,B1201*COS(C1201),"")</x:f>
        <x:v>-108.8571947617865</x:v>
      </x:c>
      <x:c r="E1201" s="4" t="n">
        <x:f>IF('계산 과정'!$L$5,B1201*SIN(C1201),"")</x:f>
        <x:v>35.836663098452405</x:v>
      </x:c>
      <x:c r="F1201" s="4" t="n">
        <x:f>IF('계산 과정'!$L$7,'계산 과정'!$L$22+'계산 과정'!$C$49*D1201+'계산 과정'!$D$49*E1201,"")</x:f>
        <x:v>726.9736605970039</x:v>
      </x:c>
      <x:c r="G1201" s="4" t="n">
        <x:f>IF('계산 과정'!$L$7,IF(ABS(F1201)&gt;=1E-12*MAX(1,SQRT((D1201-'계산 과정'!$C$33)^2+(E1201-'계산 과정'!$D$33)^2+'계산 과정'!$E$33^2)),('계산 과정'!$L$23-'계산 과정'!$C$49*D1201-'계산 과정'!$D$49*E1201)/F1201,""),"")</x:f>
        <x:v>0.4443439383178216</x:v>
      </x:c>
      <x:c r="H1201" s="4" t="n">
        <x:f>IF(AND(ISNUMBER(G1201),G1201&gt;0),('계산 과정'!$D$56+'계산 과정'!$D$57*D1201+'계산 과정'!$D$58*E1201)/F1201,"")</x:f>
        <x:v>-111.17644009341613</x:v>
      </x:c>
      <x:c r="I1201" s="4" t="n">
        <x:f>IF(AND(ISNUMBER(G1201),G1201&gt;0),('계산 과정'!$E$56+'계산 과정'!$E$57*D1201+'계산 과정'!$E$58*E1201)/F1201,"")</x:f>
        <x:v>51.76046711578769</x:v>
      </x:c>
      <x:c r="J1201" s="4" t="n">
        <x:f>IF('계산 과정'!$L$5,'계산 과정'!$D$6+'계산 과정'!$C$35*D1201+'계산 과정'!$D$35*E1201,"")</x:f>
        <x:v>726.9736605970039</x:v>
      </x:c>
      <x:c r="K1201" s="4" t="n">
        <x:f>IF(AND('계산 과정'!$L$6,J1201&gt;0),'계산 과정'!$D$10*('계산 과정'!$C$38*(D1201-'계산 과정'!$C$32)+'계산 과정'!$D$38*(E1201-'계산 과정'!$D$32)-'계산 과정'!$E$38*'계산 과정'!$E$32)/J1201,"")</x:f>
        <x:v>-0.8470585911879311</x:v>
      </x:c>
      <x:c r="L1201" s="4" t="n">
        <x:f>IF(AND('계산 과정'!$L$6,J1201&gt;0),'계산 과정'!$D$10*('계산 과정'!$C$39*(D1201-'계산 과정'!$C$32)+'계산 과정'!$D$39*(E1201-'계산 과정'!$D$32)-'계산 과정'!$E$39*'계산 과정'!$E$32)/J1201,"")</x:f>
        <x:v>0.3943654637393348</x:v>
      </x:c>
      <x:c r="M1201" s="17" t="n">
        <x:f>IF('계산 과정'!$L$6,IF(J1201&lt;=0,0,IF(AND(ABS(K1201)&lt;='계산 과정'!$D$11/2,ABS(L1201)&lt;='계산 과정'!$D$12/2),1,0)),"")</x:f>
        <x:v>1</x:v>
      </x:c>
      <x:c r="N1201" s="17" t="n">
        <x:f>IF('계산 과정'!$C$78,IF(AND(ISNUMBER(H1201),ISNUMBER(I1201),ABS(H1201-'계산 과정'!$C$88)&lt;='계산 과정'!$D$23/2,ABS(I1201-'계산 과정'!$C$89)&lt;='계산 과정'!$D$24/2),1,0),"")</x:f>
        <x:v>1</x:v>
      </x:c>
      <x:c r="O1201" s="4" t="n">
        <x:f>IF('계산 과정'!$L$7,'계산 과정'!$C$49*('계산 과정'!$C$32-D1201)+'계산 과정'!$D$49*('계산 과정'!$D$32-E1201)+'계산 과정'!$E$49*'계산 과정'!$E$32,"")</x:f>
        <x:v>-76.9736605970038</x:v>
      </x:c>
      <x:c r="P1201" s="4" t="n">
        <x:f>IF(AND('계산 과정'!$L$7,O1201&lt;&gt;0),('계산 과정'!$L$23-'계산 과정'!$C$49*D1201-'계산 과정'!$D$49*E1201)/O1201,"")</x:f>
        <x:v>-4.196582790757517</x:v>
      </x:c>
      <x:c r="Q1201" s="4" t="str">
        <x:f>IF(AND(ISNUMBER(P1201),P1201&gt;1E-9,P1201&lt;1-1E-9),'계산 과정'!$C$47*(D1201-'계산 과정'!$C$50+P1201*('계산 과정'!$C$32-D1201))+'계산 과정'!$D$47*(E1201-'계산 과정'!$D$50+P1201*('계산 과정'!$D$32-E1201))+'계산 과정'!$E$47*(0-'계산 과정'!$E$50+P1201*('계산 과정'!$E$32-0)),"")</x:f>
      </x:c>
      <x:c r="R1201" s="4" t="str">
        <x:f>IF(AND(ISNUMBER(P1201),P1201&gt;1E-9,P1201&lt;1-1E-9),'계산 과정'!$C$48*(D1201-'계산 과정'!$C$50+P1201*('계산 과정'!$C$32-D1201))+'계산 과정'!$D$48*(E1201-'계산 과정'!$D$50+P1201*('계산 과정'!$D$32-E1201))+'계산 과정'!$E$48*(0-'계산 과정'!$E$50+P1201*('계산 과정'!$E$32-0)),"")</x:f>
      </x:c>
      <x:c r="S1201" s="17" t="n">
        <x:f>IF('계산 과정'!$C$78,IF(AND(ISNUMBER(Q1201),ISNUMBER(R1201),ABS(Q1201-'계산 과정'!$C$88)&lt;='계산 과정'!$D$23/2,ABS(R1201-'계산 과정'!$C$89)&lt;='계산 과정'!$D$24/2),1,0),"")</x:f>
        <x:v>0</x:v>
      </x:c>
      <x:c r="T1201" s="4"/>
      <x:c r="U1201" s="4"/>
      <x:c r="V1201" s="4"/>
      <x:c r="W1201" s="4"/>
      <x:c r="X1201" s="4"/>
      <x:c r="Y1201" s="4"/>
      <x:c r="Z1201" s="4"/>
    </x:row>
    <x:row r="1202" ht="23" customHeight="1">
      <x:c r="A1202" s="17" t="n">
        <x:f>ROW()-6</x:f>
        <x:v>1196</x:v>
      </x:c>
      <x:c r="B1202" s="4" t="n">
        <x:f>IF('계산 과정'!$L$5,'계산 과정'!$L$11*SQRT((A1202+0.5)/'계산 과정'!$L$30),"")</x:f>
        <x:v>114.65226383095322</x:v>
      </x:c>
      <x:c r="C1202" s="4" t="n">
        <x:f>A1202*PI()*(3-SQRT(5))</x:f>
        <x:v>2870.356022755469</x:v>
      </x:c>
      <x:c r="D1202" s="4" t="n">
        <x:f>IF('계산 과정'!$L$5,B1202*COS(C1202),"")</x:f>
        <x:v>56.08403107283557</x:v>
      </x:c>
      <x:c r="E1202" s="4" t="n">
        <x:f>IF('계산 과정'!$L$5,B1202*SIN(C1202),"")</x:f>
        <x:v>-99.9986152913315</x:v>
      </x:c>
      <x:c r="F1202" s="4" t="n">
        <x:f>IF('계산 과정'!$L$7,'계산 과정'!$L$22+'계산 과정'!$C$49*D1202+'계산 과정'!$D$49*E1202,"")</x:f>
        <x:v>610.3426013121209</x:v>
      </x:c>
      <x:c r="G1202" s="4" t="n">
        <x:f>IF('계산 과정'!$L$7,IF(ABS(F1202)&gt;=1E-12*MAX(1,SQRT((D1202-'계산 과정'!$C$33)^2+(E1202-'계산 과정'!$D$33)^2+'계산 과정'!$E$33^2)),('계산 과정'!$L$23-'계산 과정'!$C$49*D1202-'계산 과정'!$D$49*E1202)/F1202,""),"")</x:f>
        <x:v>0.7203452581266636</x:v>
      </x:c>
      <x:c r="H1202" s="4" t="n">
        <x:f>IF(AND(ISNUMBER(G1202),G1202&gt;0),('계산 과정'!$D$56+'계산 과정'!$D$57*D1202+'계산 과정'!$D$58*E1202)/F1202,"")</x:f>
        <x:v>68.22441778233124</x:v>
      </x:c>
      <x:c r="I1202" s="4" t="n">
        <x:f>IF(AND(ISNUMBER(G1202),G1202&gt;0),('계산 과정'!$E$56+'계산 과정'!$E$57*D1202+'계산 과정'!$E$58*E1202)/F1202,"")</x:f>
        <x:v>-172.03214363567463</x:v>
      </x:c>
      <x:c r="J1202" s="4" t="n">
        <x:f>IF('계산 과정'!$L$5,'계산 과정'!$D$6+'계산 과정'!$C$35*D1202+'계산 과정'!$D$35*E1202,"")</x:f>
        <x:v>610.3426013121209</x:v>
      </x:c>
      <x:c r="K1202" s="4" t="n">
        <x:f>IF(AND('계산 과정'!$L$6,J1202&gt;0),'계산 과정'!$D$10*('계산 과정'!$C$38*(D1202-'계산 과정'!$C$32)+'계산 과정'!$D$38*(E1202-'계산 과정'!$D$32)-'계산 과정'!$E$38*'계산 과정'!$E$32)/J1202,"")</x:f>
        <x:v>0.5198050878653819</x:v>
      </x:c>
      <x:c r="L1202" s="4" t="n">
        <x:f>IF(AND('계산 과정'!$L$6,J1202&gt;0),'계산 과정'!$D$10*('계산 과정'!$C$39*(D1202-'계산 과정'!$C$32)+'계산 과정'!$D$39*(E1202-'계산 과정'!$D$32)-'계산 과정'!$E$39*'계산 과정'!$E$32)/J1202,"")</x:f>
        <x:v>-1.3107210943670449</x:v>
      </x:c>
      <x:c r="M1202" s="17" t="n">
        <x:f>IF('계산 과정'!$L$6,IF(J1202&lt;=0,0,IF(AND(ABS(K1202)&lt;='계산 과정'!$D$11/2,ABS(L1202)&lt;='계산 과정'!$D$12/2),1,0)),"")</x:f>
        <x:v>1</x:v>
      </x:c>
      <x:c r="N1202" s="17" t="n">
        <x:f>IF('계산 과정'!$C$78,IF(AND(ISNUMBER(H1202),ISNUMBER(I1202),ABS(H1202-'계산 과정'!$C$88)&lt;='계산 과정'!$D$23/2,ABS(I1202-'계산 과정'!$C$89)&lt;='계산 과정'!$D$24/2),1,0),"")</x:f>
        <x:v>1</x:v>
      </x:c>
      <x:c r="O1202" s="4" t="n">
        <x:f>IF('계산 과정'!$L$7,'계산 과정'!$C$49*('계산 과정'!$C$32-D1202)+'계산 과정'!$D$49*('계산 과정'!$D$32-E1202)+'계산 과정'!$E$49*'계산 과정'!$E$32,"")</x:f>
        <x:v>39.65739868787915</x:v>
      </x:c>
      <x:c r="P1202" s="4" t="n">
        <x:f>IF(AND('계산 과정'!$L$7,O1202&lt;&gt;0),('계산 과정'!$L$23-'계산 과정'!$C$49*D1202-'계산 과정'!$D$49*E1202)/O1202,"")</x:f>
        <x:v>11.0863902634707</x:v>
      </x:c>
      <x:c r="Q1202" s="4" t="str">
        <x:f>IF(AND(ISNUMBER(P1202),P1202&gt;1E-9,P1202&lt;1-1E-9),'계산 과정'!$C$47*(D1202-'계산 과정'!$C$50+P1202*('계산 과정'!$C$32-D1202))+'계산 과정'!$D$47*(E1202-'계산 과정'!$D$50+P1202*('계산 과정'!$D$32-E1202))+'계산 과정'!$E$47*(0-'계산 과정'!$E$50+P1202*('계산 과정'!$E$32-0)),"")</x:f>
      </x:c>
      <x:c r="R1202" s="4" t="str">
        <x:f>IF(AND(ISNUMBER(P1202),P1202&gt;1E-9,P1202&lt;1-1E-9),'계산 과정'!$C$48*(D1202-'계산 과정'!$C$50+P1202*('계산 과정'!$C$32-D1202))+'계산 과정'!$D$48*(E1202-'계산 과정'!$D$50+P1202*('계산 과정'!$D$32-E1202))+'계산 과정'!$E$48*(0-'계산 과정'!$E$50+P1202*('계산 과정'!$E$32-0)),"")</x:f>
      </x:c>
      <x:c r="S1202" s="17" t="n">
        <x:f>IF('계산 과정'!$C$78,IF(AND(ISNUMBER(Q1202),ISNUMBER(R1202),ABS(Q1202-'계산 과정'!$C$88)&lt;='계산 과정'!$D$23/2,ABS(R1202-'계산 과정'!$C$89)&lt;='계산 과정'!$D$24/2),1,0),"")</x:f>
        <x:v>0</x:v>
      </x:c>
      <x:c r="T1202" s="4"/>
      <x:c r="U1202" s="4"/>
      <x:c r="V1202" s="4"/>
      <x:c r="W1202" s="4"/>
      <x:c r="X1202" s="4"/>
      <x:c r="Y1202" s="4"/>
      <x:c r="Z1202" s="4"/>
    </x:row>
    <x:row r="1203" ht="23" customHeight="1">
      <x:c r="A1203" s="17" t="n">
        <x:f>ROW()-6</x:f>
        <x:v>1197</x:v>
      </x:c>
      <x:c r="B1203" s="4" t="n">
        <x:f>IF('계산 과정'!$L$5,'계산 과정'!$L$11*SQRT((A1203+0.5)/'계산 과정'!$L$30),"")</x:f>
        <x:v>114.70016534289522</x:v>
      </x:c>
      <x:c r="C1203" s="4" t="n">
        <x:f>A1203*PI()*(3-SQRT(5))</x:f>
        <x:v>2872.755985985197</x:v>
      </x:c>
      <x:c r="D1203" s="4" t="n">
        <x:f>IF('계산 과정'!$L$5,B1203*COS(C1203),"")</x:f>
        <x:v>26.204418585925026</x:v>
      </x:c>
      <x:c r="E1203" s="4" t="n">
        <x:f>IF('계산 과정'!$L$5,B1203*SIN(C1203),"")</x:f>
        <x:v>111.66672009269874</x:v>
      </x:c>
      <x:c r="F1203" s="4" t="n">
        <x:f>IF('계산 과정'!$L$7,'계산 과정'!$L$22+'계산 과정'!$C$49*D1203+'계산 과정'!$D$49*E1203,"")</x:f>
        <x:v>631.4706779208416</x:v>
      </x:c>
      <x:c r="G1203" s="4" t="n">
        <x:f>IF('계산 과정'!$L$7,IF(ABS(F1203)&gt;=1E-12*MAX(1,SQRT((D1203-'계산 과정'!$C$33)^2+(E1203-'계산 과정'!$D$33)^2+'계산 과정'!$E$33^2)),('계산 과정'!$L$23-'계산 과정'!$C$49*D1203-'계산 과정'!$D$49*E1203)/F1203,""),"")</x:f>
        <x:v>0.6627850456290282</x:v>
      </x:c>
      <x:c r="H1203" s="4" t="n">
        <x:f>IF(AND(ISNUMBER(G1203),G1203&gt;0),('계산 과정'!$D$56+'계산 과정'!$D$57*D1203+'계산 과정'!$D$58*E1203)/F1203,"")</x:f>
        <x:v>30.810279658868232</x:v>
      </x:c>
      <x:c r="I1203" s="4" t="n">
        <x:f>IF(AND(ISNUMBER(G1203),G1203&gt;0),('계산 과정'!$E$56+'계산 과정'!$E$57*D1203+'계산 과정'!$E$58*E1203)/F1203,"")</x:f>
        <x:v>185.677752264582</x:v>
      </x:c>
      <x:c r="J1203" s="4" t="n">
        <x:f>IF('계산 과정'!$L$5,'계산 과정'!$D$6+'계산 과정'!$C$35*D1203+'계산 과정'!$D$35*E1203,"")</x:f>
        <x:v>631.4706779208416</x:v>
      </x:c>
      <x:c r="K1203" s="4" t="n">
        <x:f>IF(AND('계산 과정'!$L$6,J1203&gt;0),'계산 과정'!$D$10*('계산 과정'!$C$38*(D1203-'계산 과정'!$C$32)+'계산 과정'!$D$38*(E1203-'계산 과정'!$D$32)-'계산 과정'!$E$38*'계산 과정'!$E$32)/J1203,"")</x:f>
        <x:v>0.23474498787709253</x:v>
      </x:c>
      <x:c r="L1203" s="4" t="n">
        <x:f>IF(AND('계산 과정'!$L$6,J1203&gt;0),'계산 과정'!$D$10*('계산 과정'!$C$39*(D1203-'계산 과정'!$C$32)+'계산 과정'!$D$39*(E1203-'계산 과정'!$D$32)-'계산 과정'!$E$39*'계산 과정'!$E$32)/J1203,"")</x:f>
        <x:v>1.4146876363015772</x:v>
      </x:c>
      <x:c r="M1203" s="17" t="n">
        <x:f>IF('계산 과정'!$L$6,IF(J1203&lt;=0,0,IF(AND(ABS(K1203)&lt;='계산 과정'!$D$11/2,ABS(L1203)&lt;='계산 과정'!$D$12/2),1,0)),"")</x:f>
        <x:v>1</x:v>
      </x:c>
      <x:c r="N1203" s="17" t="n">
        <x:f>IF('계산 과정'!$C$78,IF(AND(ISNUMBER(H1203),ISNUMBER(I1203),ABS(H1203-'계산 과정'!$C$88)&lt;='계산 과정'!$D$23/2,ABS(I1203-'계산 과정'!$C$89)&lt;='계산 과정'!$D$24/2),1,0),"")</x:f>
        <x:v>1</x:v>
      </x:c>
      <x:c r="O1203" s="4" t="n">
        <x:f>IF('계산 과정'!$L$7,'계산 과정'!$C$49*('계산 과정'!$C$32-D1203)+'계산 과정'!$D$49*('계산 과정'!$D$32-E1203)+'계산 과정'!$E$49*'계산 과정'!$E$32,"")</x:f>
        <x:v>18.529322079158533</x:v>
      </x:c>
      <x:c r="P1203" s="4" t="n">
        <x:f>IF(AND('계산 과정'!$L$7,O1203&lt;&gt;0),('계산 과정'!$L$23-'계산 과정'!$C$49*D1203-'계산 과정'!$D$49*E1203)/O1203,"")</x:f>
        <x:v>22.58740607406857</x:v>
      </x:c>
      <x:c r="Q1203" s="4" t="str">
        <x:f>IF(AND(ISNUMBER(P1203),P1203&gt;1E-9,P1203&lt;1-1E-9),'계산 과정'!$C$47*(D1203-'계산 과정'!$C$50+P1203*('계산 과정'!$C$32-D1203))+'계산 과정'!$D$47*(E1203-'계산 과정'!$D$50+P1203*('계산 과정'!$D$32-E1203))+'계산 과정'!$E$47*(0-'계산 과정'!$E$50+P1203*('계산 과정'!$E$32-0)),"")</x:f>
      </x:c>
      <x:c r="R1203" s="4" t="str">
        <x:f>IF(AND(ISNUMBER(P1203),P1203&gt;1E-9,P1203&lt;1-1E-9),'계산 과정'!$C$48*(D1203-'계산 과정'!$C$50+P1203*('계산 과정'!$C$32-D1203))+'계산 과정'!$D$48*(E1203-'계산 과정'!$D$50+P1203*('계산 과정'!$D$32-E1203))+'계산 과정'!$E$48*(0-'계산 과정'!$E$50+P1203*('계산 과정'!$E$32-0)),"")</x:f>
      </x:c>
      <x:c r="S1203" s="17" t="n">
        <x:f>IF('계산 과정'!$C$78,IF(AND(ISNUMBER(Q1203),ISNUMBER(R1203),ABS(Q1203-'계산 과정'!$C$88)&lt;='계산 과정'!$D$23/2,ABS(R1203-'계산 과정'!$C$89)&lt;='계산 과정'!$D$24/2),1,0),"")</x:f>
        <x:v>0</x:v>
      </x:c>
      <x:c r="T1203" s="4"/>
      <x:c r="U1203" s="4"/>
      <x:c r="V1203" s="4"/>
      <x:c r="W1203" s="4"/>
      <x:c r="X1203" s="4"/>
      <x:c r="Y1203" s="4"/>
      <x:c r="Z1203" s="4"/>
    </x:row>
    <x:row r="1204" ht="23" customHeight="1">
      <x:c r="A1204" s="17" t="n">
        <x:f>ROW()-6</x:f>
        <x:v>1198</x:v>
      </x:c>
      <x:c r="B1204" s="4" t="n">
        <x:f>IF('계산 과정'!$L$5,'계산 과정'!$L$11*SQRT((A1204+0.5)/'계산 과정'!$L$30),"")</x:f>
        <x:v>114.74804685837795</x:v>
      </x:c>
      <x:c r="C1204" s="4" t="n">
        <x:f>A1204*PI()*(3-SQRT(5))</x:f>
        <x:v>2875.1559492149263</x:v>
      </x:c>
      <x:c r="D1204" s="4" t="n">
        <x:f>IF('계산 과정'!$L$5,B1204*COS(C1204),"")</x:f>
        <x:v>-94.79166255901522</x:v>
      </x:c>
      <x:c r="E1204" s="4" t="n">
        <x:f>IF('계산 과정'!$L$5,B1204*SIN(C1204),"")</x:f>
        <x:v>-64.66571709267818</x:v>
      </x:c>
      <x:c r="F1204" s="4" t="n">
        <x:f>IF('계산 과정'!$L$7,'계산 과정'!$L$22+'계산 과정'!$C$49*D1204+'계산 과정'!$D$49*E1204,"")</x:f>
        <x:v>717.0278273954266</x:v>
      </x:c>
      <x:c r="G1204" s="4" t="n">
        <x:f>IF('계산 과정'!$L$7,IF(ABS(F1204)&gt;=1E-12*MAX(1,SQRT((D1204-'계산 과정'!$C$33)^2+(E1204-'계산 과정'!$D$33)^2+'계산 과정'!$E$33^2)),('계산 과정'!$L$23-'계산 과정'!$C$49*D1204-'계산 과정'!$D$49*E1204)/F1204,""),"")</x:f>
        <x:v>0.4643783126438492</x:v>
      </x:c>
      <x:c r="H1204" s="4" t="n">
        <x:f>IF(AND(ISNUMBER(G1204),G1204&gt;0),('계산 과정'!$D$56+'계산 과정'!$D$57*D1204+'계산 과정'!$D$58*E1204)/F1204,"")</x:f>
        <x:v>-98.15409678149814</x:v>
      </x:c>
      <x:c r="I1204" s="4" t="n">
        <x:f>IF(AND(ISNUMBER(G1204),G1204&gt;0),('계산 과정'!$E$56+'계산 과정'!$E$57*D1204+'계산 과정'!$E$58*E1204)/F1204,"")</x:f>
        <x:v>-94.69507368208059</x:v>
      </x:c>
      <x:c r="J1204" s="4" t="n">
        <x:f>IF('계산 과정'!$L$5,'계산 과정'!$D$6+'계산 과정'!$C$35*D1204+'계산 과정'!$D$35*E1204,"")</x:f>
        <x:v>717.0278273954266</x:v>
      </x:c>
      <x:c r="K1204" s="4" t="n">
        <x:f>IF(AND('계산 과정'!$L$6,J1204&gt;0),'계산 과정'!$D$10*('계산 과정'!$C$38*(D1204-'계산 과정'!$C$32)+'계산 과정'!$D$38*(E1204-'계산 과정'!$D$32)-'계산 과정'!$E$38*'계산 과정'!$E$32)/J1204,"")</x:f>
        <x:v>-0.7478407373828422</x:v>
      </x:c>
      <x:c r="L1204" s="4" t="n">
        <x:f>IF(AND('계산 과정'!$L$6,J1204&gt;0),'계산 과정'!$D$10*('계산 과정'!$C$39*(D1204-'계산 과정'!$C$32)+'계산 과정'!$D$39*(E1204-'계산 과정'!$D$32)-'계산 과정'!$E$39*'계산 과정'!$E$32)/J1204,"")</x:f>
        <x:v>-0.7214862756729951</x:v>
      </x:c>
      <x:c r="M1204" s="17" t="n">
        <x:f>IF('계산 과정'!$L$6,IF(J1204&lt;=0,0,IF(AND(ABS(K1204)&lt;='계산 과정'!$D$11/2,ABS(L1204)&lt;='계산 과정'!$D$12/2),1,0)),"")</x:f>
        <x:v>1</x:v>
      </x:c>
      <x:c r="N1204" s="17" t="n">
        <x:f>IF('계산 과정'!$C$78,IF(AND(ISNUMBER(H1204),ISNUMBER(I1204),ABS(H1204-'계산 과정'!$C$88)&lt;='계산 과정'!$D$23/2,ABS(I1204-'계산 과정'!$C$89)&lt;='계산 과정'!$D$24/2),1,0),"")</x:f>
        <x:v>1</x:v>
      </x:c>
      <x:c r="O1204" s="4" t="n">
        <x:f>IF('계산 과정'!$L$7,'계산 과정'!$C$49*('계산 과정'!$C$32-D1204)+'계산 과정'!$D$49*('계산 과정'!$D$32-E1204)+'계산 과정'!$E$49*'계산 과정'!$E$32,"")</x:f>
        <x:v>-67.02782739542647</x:v>
      </x:c>
      <x:c r="P1204" s="4" t="n">
        <x:f>IF(AND('계산 과정'!$L$7,O1204&lt;&gt;0),('계산 과정'!$L$23-'계산 과정'!$C$49*D1204-'계산 과정'!$D$49*E1204)/O1204,"")</x:f>
        <x:v>-4.967670675646771</x:v>
      </x:c>
      <x:c r="Q1204" s="4" t="str">
        <x:f>IF(AND(ISNUMBER(P1204),P1204&gt;1E-9,P1204&lt;1-1E-9),'계산 과정'!$C$47*(D1204-'계산 과정'!$C$50+P1204*('계산 과정'!$C$32-D1204))+'계산 과정'!$D$47*(E1204-'계산 과정'!$D$50+P1204*('계산 과정'!$D$32-E1204))+'계산 과정'!$E$47*(0-'계산 과정'!$E$50+P1204*('계산 과정'!$E$32-0)),"")</x:f>
      </x:c>
      <x:c r="R1204" s="4" t="str">
        <x:f>IF(AND(ISNUMBER(P1204),P1204&gt;1E-9,P1204&lt;1-1E-9),'계산 과정'!$C$48*(D1204-'계산 과정'!$C$50+P1204*('계산 과정'!$C$32-D1204))+'계산 과정'!$D$48*(E1204-'계산 과정'!$D$50+P1204*('계산 과정'!$D$32-E1204))+'계산 과정'!$E$48*(0-'계산 과정'!$E$50+P1204*('계산 과정'!$E$32-0)),"")</x:f>
      </x:c>
      <x:c r="S1204" s="17" t="n">
        <x:f>IF('계산 과정'!$C$78,IF(AND(ISNUMBER(Q1204),ISNUMBER(R1204),ABS(Q1204-'계산 과정'!$C$88)&lt;='계산 과정'!$D$23/2,ABS(R1204-'계산 과정'!$C$89)&lt;='계산 과정'!$D$24/2),1,0),"")</x:f>
        <x:v>0</x:v>
      </x:c>
      <x:c r="T1204" s="4"/>
      <x:c r="U1204" s="4"/>
      <x:c r="V1204" s="4"/>
      <x:c r="W1204" s="4"/>
      <x:c r="X1204" s="4"/>
      <x:c r="Y1204" s="4"/>
      <x:c r="Z1204" s="4"/>
    </x:row>
    <x:row r="1205" ht="23" customHeight="1">
      <x:c r="A1205" s="17" t="n">
        <x:f>ROW()-6</x:f>
        <x:v>1199</x:v>
      </x:c>
      <x:c r="B1205" s="4" t="n">
        <x:f>IF('계산 과정'!$L$5,'계산 과정'!$L$11*SQRT((A1205+0.5)/'계산 과정'!$L$30),"")</x:f>
        <x:v>114.79590840242302</x:v>
      </x:c>
      <x:c r="C1205" s="4" t="n">
        <x:f>A1205*PI()*(3-SQRT(5))</x:f>
        <x:v>2877.555912444655</x:v>
      </x:c>
      <x:c r="D1205" s="4" t="n">
        <x:f>IF('계산 과정'!$L$5,B1205*COS(C1205),"")</x:f>
        <x:v>113.6248594416909</x:v>
      </x:c>
      <x:c r="E1205" s="4" t="n">
        <x:f>IF('계산 과정'!$L$5,B1205*SIN(C1205),"")</x:f>
        <x:v>-16.35517969309675</x:v>
      </x:c>
      <x:c r="F1205" s="4" t="n">
        <x:f>IF('계산 과정'!$L$7,'계산 과정'!$L$22+'계산 과정'!$C$49*D1205+'계산 과정'!$D$49*E1205,"")</x:f>
        <x:v>569.6550913774121</x:v>
      </x:c>
      <x:c r="G1205" s="4" t="n">
        <x:f>IF('계산 과정'!$L$7,IF(ABS(F1205)&gt;=1E-12*MAX(1,SQRT((D1205-'계산 과정'!$C$33)^2+(E1205-'계산 과정'!$D$33)^2+'계산 과정'!$E$33^2)),('계산 과정'!$L$23-'계산 과정'!$C$49*D1205-'계산 과정'!$D$49*E1205)/F1205,""),"")</x:f>
        <x:v>0.8432206011906708</x:v>
      </x:c>
      <x:c r="H1205" s="4" t="n">
        <x:f>IF(AND(ISNUMBER(G1205),G1205&gt;0),('계산 과정'!$D$56+'계산 과정'!$D$57*D1205+'계산 과정'!$D$58*E1205)/F1205,"")</x:f>
        <x:v>148.093390773936</x:v>
      </x:c>
      <x:c r="I1205" s="4" t="n">
        <x:f>IF(AND(ISNUMBER(G1205),G1205&gt;0),('계산 과정'!$E$56+'계산 과정'!$E$57*D1205+'계산 과정'!$E$58*E1205)/F1205,"")</x:f>
        <x:v>-30.146204146491247</x:v>
      </x:c>
      <x:c r="J1205" s="4" t="n">
        <x:f>IF('계산 과정'!$L$5,'계산 과정'!$D$6+'계산 과정'!$C$35*D1205+'계산 과정'!$D$35*E1205,"")</x:f>
        <x:v>569.6550913774121</x:v>
      </x:c>
      <x:c r="K1205" s="4" t="n">
        <x:f>IF(AND('계산 과정'!$L$6,J1205&gt;0),'계산 과정'!$D$10*('계산 과정'!$C$38*(D1205-'계산 과정'!$C$32)+'계산 과정'!$D$38*(E1205-'계산 과정'!$D$32)-'계산 과정'!$E$38*'계산 과정'!$E$32)/J1205,"")</x:f>
        <x:v>1.1283305963728463</x:v>
      </x:c>
      <x:c r="L1205" s="4" t="n">
        <x:f>IF(AND('계산 과정'!$L$6,J1205&gt;0),'계산 과정'!$D$10*('계산 과정'!$C$39*(D1205-'계산 과정'!$C$32)+'계산 과정'!$D$39*(E1205-'계산 과정'!$D$32)-'계산 과정'!$E$39*'계산 과정'!$E$32)/J1205,"")</x:f>
        <x:v>-0.2296853649256476</x:v>
      </x:c>
      <x:c r="M1205" s="17" t="n">
        <x:f>IF('계산 과정'!$L$6,IF(J1205&lt;=0,0,IF(AND(ABS(K1205)&lt;='계산 과정'!$D$11/2,ABS(L1205)&lt;='계산 과정'!$D$12/2),1,0)),"")</x:f>
        <x:v>1</x:v>
      </x:c>
      <x:c r="N1205" s="17" t="n">
        <x:f>IF('계산 과정'!$C$78,IF(AND(ISNUMBER(H1205),ISNUMBER(I1205),ABS(H1205-'계산 과정'!$C$88)&lt;='계산 과정'!$D$23/2,ABS(I1205-'계산 과정'!$C$89)&lt;='계산 과정'!$D$24/2),1,0),"")</x:f>
        <x:v>1</x:v>
      </x:c>
      <x:c r="O1205" s="4" t="n">
        <x:f>IF('계산 과정'!$L$7,'계산 과정'!$C$49*('계산 과정'!$C$32-D1205)+'계산 과정'!$D$49*('계산 과정'!$D$32-E1205)+'계산 과정'!$E$49*'계산 과정'!$E$32,"")</x:f>
        <x:v>80.34490862258804</x:v>
      </x:c>
      <x:c r="P1205" s="4" t="n">
        <x:f>IF(AND('계산 과정'!$L$7,O1205&lt;&gt;0),('계산 과정'!$L$23-'계산 과정'!$C$49*D1205-'계산 과정'!$D$49*E1205)/O1205,"")</x:f>
        <x:v>5.978535751144592</x:v>
      </x:c>
      <x:c r="Q1205" s="4" t="str">
        <x:f>IF(AND(ISNUMBER(P1205),P1205&gt;1E-9,P1205&lt;1-1E-9),'계산 과정'!$C$47*(D1205-'계산 과정'!$C$50+P1205*('계산 과정'!$C$32-D1205))+'계산 과정'!$D$47*(E1205-'계산 과정'!$D$50+P1205*('계산 과정'!$D$32-E1205))+'계산 과정'!$E$47*(0-'계산 과정'!$E$50+P1205*('계산 과정'!$E$32-0)),"")</x:f>
      </x:c>
      <x:c r="R1205" s="4" t="str">
        <x:f>IF(AND(ISNUMBER(P1205),P1205&gt;1E-9,P1205&lt;1-1E-9),'계산 과정'!$C$48*(D1205-'계산 과정'!$C$50+P1205*('계산 과정'!$C$32-D1205))+'계산 과정'!$D$48*(E1205-'계산 과정'!$D$50+P1205*('계산 과정'!$D$32-E1205))+'계산 과정'!$E$48*(0-'계산 과정'!$E$50+P1205*('계산 과정'!$E$32-0)),"")</x:f>
      </x:c>
      <x:c r="S1205" s="17" t="n">
        <x:f>IF('계산 과정'!$C$78,IF(AND(ISNUMBER(Q1205),ISNUMBER(R1205),ABS(Q1205-'계산 과정'!$C$88)&lt;='계산 과정'!$D$23/2,ABS(R1205-'계산 과정'!$C$89)&lt;='계산 과정'!$D$24/2),1,0),"")</x:f>
        <x:v>0</x:v>
      </x:c>
      <x:c r="T1205" s="4"/>
      <x:c r="U1205" s="4"/>
      <x:c r="V1205" s="4"/>
      <x:c r="W1205" s="4"/>
      <x:c r="X1205" s="4"/>
      <x:c r="Y1205" s="4"/>
      <x:c r="Z1205" s="4"/>
    </x:row>
    <x:row r="1206" ht="23" customHeight="1">
      <x:c r="A1206" s="17" t="n">
        <x:f>ROW()-6</x:f>
        <x:v>1200</x:v>
      </x:c>
      <x:c r="B1206" s="4" t="n">
        <x:f>IF('계산 과정'!$L$5,'계산 과정'!$L$11*SQRT((A1206+0.5)/'계산 과정'!$L$30),"")</x:f>
        <x:v>114.84375</x:v>
      </x:c>
      <x:c r="C1206" s="4" t="n">
        <x:f>A1206*PI()*(3-SQRT(5))</x:f>
        <x:v>2879.9558756743836</x:v>
      </x:c>
      <x:c r="D1206" s="4" t="n">
        <x:f>IF('계산 과정'!$L$5,B1206*COS(C1206),"")</x:f>
        <x:v>-72.76598283038871</x:v>
      </x:c>
      <x:c r="E1206" s="4" t="n">
        <x:f>IF('계산 과정'!$L$5,B1206*SIN(C1206),"")</x:f>
        <x:v>88.84930307430709</x:v>
      </x:c>
      <x:c r="F1206" s="4" t="n">
        <x:f>IF('계산 과정'!$L$7,'계산 과정'!$L$22+'계산 과정'!$C$49*D1206+'계산 과정'!$D$49*E1206,"")</x:f>
        <x:v>701.4533198990717</x:v>
      </x:c>
      <x:c r="G1206" s="4" t="n">
        <x:f>IF('계산 과정'!$L$7,IF(ABS(F1206)&gt;=1E-12*MAX(1,SQRT((D1206-'계산 과정'!$C$33)^2+(E1206-'계산 과정'!$D$33)^2+'계산 과정'!$E$33^2)),('계산 과정'!$L$23-'계산 과정'!$C$49*D1206-'계산 과정'!$D$49*E1206)/F1206,""),"")</x:f>
        <x:v>0.49689219540806895</x:v>
      </x:c>
      <x:c r="H1206" s="4" t="n">
        <x:f>IF(AND(ISNUMBER(G1206),G1206&gt;0),('계산 과정'!$D$56+'계산 과정'!$D$57*D1206+'계산 과정'!$D$58*E1206)/F1206,"")</x:f>
        <x:v>-77.02007298475532</x:v>
      </x:c>
      <x:c r="I1206" s="4" t="n">
        <x:f>IF(AND(ISNUMBER(G1206),G1206&gt;0),('계산 과정'!$E$56+'계산 과정'!$E$57*D1206+'계산 과정'!$E$58*E1206)/F1206,"")</x:f>
        <x:v>132.9978283393764</x:v>
      </x:c>
      <x:c r="J1206" s="4" t="n">
        <x:f>IF('계산 과정'!$L$5,'계산 과정'!$D$6+'계산 과정'!$C$35*D1206+'계산 과정'!$D$35*E1206,"")</x:f>
        <x:v>701.4533198990717</x:v>
      </x:c>
      <x:c r="K1206" s="4" t="n">
        <x:f>IF(AND('계산 과정'!$L$6,J1206&gt;0),'계산 과정'!$D$10*('계산 과정'!$C$38*(D1206-'계산 과정'!$C$32)+'계산 과정'!$D$38*(E1206-'계산 과정'!$D$32)-'계산 과정'!$E$38*'계산 과정'!$E$32)/J1206,"")</x:f>
        <x:v>-0.5868196036933728</x:v>
      </x:c>
      <x:c r="L1206" s="4" t="n">
        <x:f>IF(AND('계산 과정'!$L$6,J1206&gt;0),'계산 과정'!$D$10*('계산 과정'!$C$39*(D1206-'계산 과정'!$C$32)+'계산 과정'!$D$39*(E1206-'계산 과정'!$D$32)-'계산 과정'!$E$39*'계산 과정'!$E$32)/J1206,"")</x:f>
        <x:v>1.0133167873476299</x:v>
      </x:c>
      <x:c r="M1206" s="17" t="n">
        <x:f>IF('계산 과정'!$L$6,IF(J1206&lt;=0,0,IF(AND(ABS(K1206)&lt;='계산 과정'!$D$11/2,ABS(L1206)&lt;='계산 과정'!$D$12/2),1,0)),"")</x:f>
        <x:v>1</x:v>
      </x:c>
      <x:c r="N1206" s="17" t="n">
        <x:f>IF('계산 과정'!$C$78,IF(AND(ISNUMBER(H1206),ISNUMBER(I1206),ABS(H1206-'계산 과정'!$C$88)&lt;='계산 과정'!$D$23/2,ABS(I1206-'계산 과정'!$C$89)&lt;='계산 과정'!$D$24/2),1,0),"")</x:f>
        <x:v>1</x:v>
      </x:c>
      <x:c r="O1206" s="4" t="n">
        <x:f>IF('계산 과정'!$L$7,'계산 과정'!$C$49*('계산 과정'!$C$32-D1206)+'계산 과정'!$D$49*('계산 과정'!$D$32-E1206)+'계산 과정'!$E$49*'계산 과정'!$E$32,"")</x:f>
        <x:v>-51.45331989907163</x:v>
      </x:c>
      <x:c r="P1206" s="4" t="n">
        <x:f>IF(AND('계산 과정'!$L$7,O1206&lt;&gt;0),('계산 과정'!$L$23-'계산 과정'!$C$49*D1206-'계산 과정'!$D$49*E1206)/O1206,"")</x:f>
        <x:v>-6.774036753791996</x:v>
      </x:c>
      <x:c r="Q1206" s="4" t="str">
        <x:f>IF(AND(ISNUMBER(P1206),P1206&gt;1E-9,P1206&lt;1-1E-9),'계산 과정'!$C$47*(D1206-'계산 과정'!$C$50+P1206*('계산 과정'!$C$32-D1206))+'계산 과정'!$D$47*(E1206-'계산 과정'!$D$50+P1206*('계산 과정'!$D$32-E1206))+'계산 과정'!$E$47*(0-'계산 과정'!$E$50+P1206*('계산 과정'!$E$32-0)),"")</x:f>
      </x:c>
      <x:c r="R1206" s="4" t="str">
        <x:f>IF(AND(ISNUMBER(P1206),P1206&gt;1E-9,P1206&lt;1-1E-9),'계산 과정'!$C$48*(D1206-'계산 과정'!$C$50+P1206*('계산 과정'!$C$32-D1206))+'계산 과정'!$D$48*(E1206-'계산 과정'!$D$50+P1206*('계산 과정'!$D$32-E1206))+'계산 과정'!$E$48*(0-'계산 과정'!$E$50+P1206*('계산 과정'!$E$32-0)),"")</x:f>
      </x:c>
      <x:c r="S1206" s="17" t="n">
        <x:f>IF('계산 과정'!$C$78,IF(AND(ISNUMBER(Q1206),ISNUMBER(R1206),ABS(Q1206-'계산 과정'!$C$88)&lt;='계산 과정'!$D$23/2,ABS(R1206-'계산 과정'!$C$89)&lt;='계산 과정'!$D$24/2),1,0),"")</x:f>
        <x:v>0</x:v>
      </x:c>
      <x:c r="T1206" s="4"/>
      <x:c r="U1206" s="4"/>
      <x:c r="V1206" s="4"/>
      <x:c r="W1206" s="4"/>
      <x:c r="X1206" s="4"/>
      <x:c r="Y1206" s="4"/>
      <x:c r="Z1206" s="4"/>
    </x:row>
    <x:row r="1207" ht="23" customHeight="1">
      <x:c r="A1207" s="17" t="n">
        <x:f>ROW()-6</x:f>
        <x:v>1201</x:v>
      </x:c>
      <x:c r="B1207" s="4" t="n">
        <x:f>IF('계산 과정'!$L$5,'계산 과정'!$L$11*SQRT((A1207+0.5)/'계산 과정'!$L$30),"")</x:f>
        <x:v>114.89157167602635</x:v>
      </x:c>
      <x:c r="C1207" s="4" t="n">
        <x:f>A1207*PI()*(3-SQRT(5))</x:f>
        <x:v>2882.355838904112</x:v>
      </x:c>
      <x:c r="D1207" s="4" t="n">
        <x:f>IF('계산 과정'!$L$5,B1207*COS(C1207),"")</x:f>
        <x:v>-6.364119714068741</x:v>
      </x:c>
      <x:c r="E1207" s="4" t="n">
        <x:f>IF('계산 과정'!$L$5,B1207*SIN(C1207),"")</x:f>
        <x:v>-114.71517433388009</x:v>
      </x:c>
      <x:c r="F1207" s="4" t="n">
        <x:f>IF('계산 과정'!$L$7,'계산 과정'!$L$22+'계산 과정'!$C$49*D1207+'계산 과정'!$D$49*E1207,"")</x:f>
        <x:v>654.500112206101</x:v>
      </x:c>
      <x:c r="G1207" s="4" t="n">
        <x:f>IF('계산 과정'!$L$7,IF(ABS(F1207)&gt;=1E-12*MAX(1,SQRT((D1207-'계산 과정'!$C$33)^2+(E1207-'계산 과정'!$D$33)^2+'계산 과정'!$E$33^2)),('계산 과정'!$L$23-'계산 과정'!$C$49*D1207-'계산 과정'!$D$49*E1207)/F1207,""),"")</x:f>
        <x:v>0.6042777998323043</x:v>
      </x:c>
      <x:c r="H1207" s="4" t="n">
        <x:f>IF(AND(ISNUMBER(G1207),G1207&gt;0),('계산 과정'!$D$56+'계산 과정'!$D$57*D1207+'계산 과정'!$D$58*E1207)/F1207,"")</x:f>
        <x:v>-7.219430109002321</x:v>
      </x:c>
      <x:c r="I1207" s="4" t="n">
        <x:f>IF(AND(ISNUMBER(G1207),G1207&gt;0),('계산 과정'!$E$56+'계산 과정'!$E$57*D1207+'계산 과정'!$E$58*E1207)/F1207,"")</x:f>
        <x:v>-184.03500748773638</x:v>
      </x:c>
      <x:c r="J1207" s="4" t="n">
        <x:f>IF('계산 과정'!$L$5,'계산 과정'!$D$6+'계산 과정'!$C$35*D1207+'계산 과정'!$D$35*E1207,"")</x:f>
        <x:v>654.500112206101</x:v>
      </x:c>
      <x:c r="K1207" s="4" t="n">
        <x:f>IF(AND('계산 과정'!$L$6,J1207&gt;0),'계산 과정'!$D$10*('계산 과정'!$C$38*(D1207-'계산 과정'!$C$32)+'계산 과정'!$D$38*(E1207-'계산 과정'!$D$32)-'계산 과정'!$E$38*'계산 과정'!$E$32)/J1207,"")</x:f>
        <x:v>-0.0550051817828739</x:v>
      </x:c>
      <x:c r="L1207" s="4" t="n">
        <x:f>IF(AND('계산 과정'!$L$6,J1207&gt;0),'계산 과정'!$D$10*('계산 과정'!$C$39*(D1207-'계산 과정'!$C$32)+'계산 과정'!$D$39*(E1207-'계산 과정'!$D$32)-'계산 과정'!$E$39*'계산 과정'!$E$32)/J1207,"")</x:f>
        <x:v>-1.4021714856208485</x:v>
      </x:c>
      <x:c r="M1207" s="17" t="n">
        <x:f>IF('계산 과정'!$L$6,IF(J1207&lt;=0,0,IF(AND(ABS(K1207)&lt;='계산 과정'!$D$11/2,ABS(L1207)&lt;='계산 과정'!$D$12/2),1,0)),"")</x:f>
        <x:v>1</x:v>
      </x:c>
      <x:c r="N1207" s="17" t="n">
        <x:f>IF('계산 과정'!$C$78,IF(AND(ISNUMBER(H1207),ISNUMBER(I1207),ABS(H1207-'계산 과정'!$C$88)&lt;='계산 과정'!$D$23/2,ABS(I1207-'계산 과정'!$C$89)&lt;='계산 과정'!$D$24/2),1,0),"")</x:f>
        <x:v>1</x:v>
      </x:c>
      <x:c r="O1207" s="4" t="n">
        <x:f>IF('계산 과정'!$L$7,'계산 과정'!$C$49*('계산 과정'!$C$32-D1207)+'계산 과정'!$D$49*('계산 과정'!$D$32-E1207)+'계산 과정'!$E$49*'계산 과정'!$E$32,"")</x:f>
        <x:v>-4.50011220610088</x:v>
      </x:c>
      <x:c r="P1207" s="4" t="n">
        <x:f>IF(AND('계산 과정'!$L$7,O1207&lt;&gt;0),('계산 과정'!$L$23-'계산 과정'!$C$49*D1207-'계산 과정'!$D$49*E1207)/O1207,"")</x:f>
        <x:v>-87.88667252734564</x:v>
      </x:c>
      <x:c r="Q1207" s="4" t="str">
        <x:f>IF(AND(ISNUMBER(P1207),P1207&gt;1E-9,P1207&lt;1-1E-9),'계산 과정'!$C$47*(D1207-'계산 과정'!$C$50+P1207*('계산 과정'!$C$32-D1207))+'계산 과정'!$D$47*(E1207-'계산 과정'!$D$50+P1207*('계산 과정'!$D$32-E1207))+'계산 과정'!$E$47*(0-'계산 과정'!$E$50+P1207*('계산 과정'!$E$32-0)),"")</x:f>
      </x:c>
      <x:c r="R1207" s="4" t="str">
        <x:f>IF(AND(ISNUMBER(P1207),P1207&gt;1E-9,P1207&lt;1-1E-9),'계산 과정'!$C$48*(D1207-'계산 과정'!$C$50+P1207*('계산 과정'!$C$32-D1207))+'계산 과정'!$D$48*(E1207-'계산 과정'!$D$50+P1207*('계산 과정'!$D$32-E1207))+'계산 과정'!$E$48*(0-'계산 과정'!$E$50+P1207*('계산 과정'!$E$32-0)),"")</x:f>
      </x:c>
      <x:c r="S1207" s="17" t="n">
        <x:f>IF('계산 과정'!$C$78,IF(AND(ISNUMBER(Q1207),ISNUMBER(R1207),ABS(Q1207-'계산 과정'!$C$88)&lt;='계산 과정'!$D$23/2,ABS(R1207-'계산 과정'!$C$89)&lt;='계산 과정'!$D$24/2),1,0),"")</x:f>
        <x:v>0</x:v>
      </x:c>
      <x:c r="T1207" s="4"/>
      <x:c r="U1207" s="4"/>
      <x:c r="V1207" s="4"/>
      <x:c r="W1207" s="4"/>
      <x:c r="X1207" s="4"/>
      <x:c r="Y1207" s="4"/>
      <x:c r="Z1207" s="4"/>
    </x:row>
    <x:row r="1208" ht="23" customHeight="1">
      <x:c r="A1208" s="17" t="n">
        <x:f>ROW()-6</x:f>
        <x:v>1202</x:v>
      </x:c>
      <x:c r="B1208" s="4" t="n">
        <x:f>IF('계산 과정'!$L$5,'계산 과정'!$L$11*SQRT((A1208+0.5)/'계산 과정'!$L$30),"")</x:f>
        <x:v>114.93937345536777</x:v>
      </x:c>
      <x:c r="C1208" s="4" t="n">
        <x:f>A1208*PI()*(3-SQRT(5))</x:f>
        <x:v>2884.755802133841</x:v>
      </x:c>
      <x:c r="D1208" s="4" t="n">
        <x:f>IF('계산 과정'!$L$5,B1208*COS(C1208),"")</x:f>
        <x:v>82.2158831890605</x:v>
      </x:c>
      <x:c r="E1208" s="4" t="n">
        <x:f>IF('계산 과정'!$L$5,B1208*SIN(C1208),"")</x:f>
        <x:v>80.32190312583025</x:v>
      </x:c>
      <x:c r="F1208" s="4" t="n">
        <x:f>IF('계산 과정'!$L$7,'계산 과정'!$L$22+'계산 과정'!$C$49*D1208+'계산 과정'!$D$49*E1208,"")</x:f>
        <x:v>591.8645914757742</x:v>
      </x:c>
      <x:c r="G1208" s="4" t="n">
        <x:f>IF('계산 과정'!$L$7,IF(ABS(F1208)&gt;=1E-12*MAX(1,SQRT((D1208-'계산 과정'!$C$33)^2+(E1208-'계산 과정'!$D$33)^2+'계산 과정'!$E$33^2)),('계산 과정'!$L$23-'계산 과정'!$C$49*D1208-'계산 과정'!$D$49*E1208)/F1208,""),"")</x:f>
        <x:v>0.7740544292097221</x:v>
      </x:c>
      <x:c r="H1208" s="4" t="n">
        <x:f>IF(AND(ISNUMBER(G1208),G1208&gt;0),('계산 과정'!$D$56+'계산 과정'!$D$57*D1208+'계산 과정'!$D$58*E1208)/F1208,"")</x:f>
        <x:v>103.13537898631925</x:v>
      </x:c>
      <x:c r="I1208" s="4" t="n">
        <x:f>IF(AND(ISNUMBER(G1208),G1208&gt;0),('계산 과정'!$E$56+'계산 과정'!$E$57*D1208+'계산 과정'!$E$58*E1208)/F1208,"")</x:f>
        <x:v>142.49542800293338</x:v>
      </x:c>
      <x:c r="J1208" s="4" t="n">
        <x:f>IF('계산 과정'!$L$5,'계산 과정'!$D$6+'계산 과정'!$C$35*D1208+'계산 과정'!$D$35*E1208,"")</x:f>
        <x:v>591.8645914757742</x:v>
      </x:c>
      <x:c r="K1208" s="4" t="n">
        <x:f>IF(AND('계산 과정'!$L$6,J1208&gt;0),'계산 과정'!$D$10*('계산 과정'!$C$38*(D1208-'계산 과정'!$C$32)+'계산 과정'!$D$38*(E1208-'계산 과정'!$D$32)-'계산 과정'!$E$38*'계산 과정'!$E$32)/J1208,"")</x:f>
        <x:v>0.78579336370529</x:v>
      </x:c>
      <x:c r="L1208" s="4" t="n">
        <x:f>IF(AND('계산 과정'!$L$6,J1208&gt;0),'계산 과정'!$D$10*('계산 과정'!$C$39*(D1208-'계산 과정'!$C$32)+'계산 과정'!$D$39*(E1208-'계산 과정'!$D$32)-'계산 과정'!$E$39*'계산 과정'!$E$32)/J1208,"")</x:f>
        <x:v>1.085679451450921</x:v>
      </x:c>
      <x:c r="M1208" s="17" t="n">
        <x:f>IF('계산 과정'!$L$6,IF(J1208&lt;=0,0,IF(AND(ABS(K1208)&lt;='계산 과정'!$D$11/2,ABS(L1208)&lt;='계산 과정'!$D$12/2),1,0)),"")</x:f>
        <x:v>1</x:v>
      </x:c>
      <x:c r="N1208" s="17" t="n">
        <x:f>IF('계산 과정'!$C$78,IF(AND(ISNUMBER(H1208),ISNUMBER(I1208),ABS(H1208-'계산 과정'!$C$88)&lt;='계산 과정'!$D$23/2,ABS(I1208-'계산 과정'!$C$89)&lt;='계산 과정'!$D$24/2),1,0),"")</x:f>
        <x:v>1</x:v>
      </x:c>
      <x:c r="O1208" s="4" t="n">
        <x:f>IF('계산 과정'!$L$7,'계산 과정'!$C$49*('계산 과정'!$C$32-D1208)+'계산 과정'!$D$49*('계산 과정'!$D$32-E1208)+'계산 과정'!$E$49*'계산 과정'!$E$32,"")</x:f>
        <x:v>58.13540852422585</x:v>
      </x:c>
      <x:c r="P1208" s="4" t="n">
        <x:f>IF(AND('계산 과정'!$L$7,O1208&lt;&gt;0),('계산 과정'!$L$23-'계산 과정'!$C$49*D1208-'계산 과정'!$D$49*E1208)/O1208,"")</x:f>
        <x:v>7.880488331535749</x:v>
      </x:c>
      <x:c r="Q1208" s="4" t="str">
        <x:f>IF(AND(ISNUMBER(P1208),P1208&gt;1E-9,P1208&lt;1-1E-9),'계산 과정'!$C$47*(D1208-'계산 과정'!$C$50+P1208*('계산 과정'!$C$32-D1208))+'계산 과정'!$D$47*(E1208-'계산 과정'!$D$50+P1208*('계산 과정'!$D$32-E1208))+'계산 과정'!$E$47*(0-'계산 과정'!$E$50+P1208*('계산 과정'!$E$32-0)),"")</x:f>
      </x:c>
      <x:c r="R1208" s="4" t="str">
        <x:f>IF(AND(ISNUMBER(P1208),P1208&gt;1E-9,P1208&lt;1-1E-9),'계산 과정'!$C$48*(D1208-'계산 과정'!$C$50+P1208*('계산 과정'!$C$32-D1208))+'계산 과정'!$D$48*(E1208-'계산 과정'!$D$50+P1208*('계산 과정'!$D$32-E1208))+'계산 과정'!$E$48*(0-'계산 과정'!$E$50+P1208*('계산 과정'!$E$32-0)),"")</x:f>
      </x:c>
      <x:c r="S1208" s="17" t="n">
        <x:f>IF('계산 과정'!$C$78,IF(AND(ISNUMBER(Q1208),ISNUMBER(R1208),ABS(Q1208-'계산 과정'!$C$88)&lt;='계산 과정'!$D$23/2,ABS(R1208-'계산 과정'!$C$89)&lt;='계산 과정'!$D$24/2),1,0),"")</x:f>
        <x:v>0</x:v>
      </x:c>
      <x:c r="T1208" s="4"/>
      <x:c r="U1208" s="4"/>
      <x:c r="V1208" s="4"/>
      <x:c r="W1208" s="4"/>
      <x:c r="X1208" s="4"/>
      <x:c r="Y1208" s="4"/>
      <x:c r="Z1208" s="4"/>
    </x:row>
    <x:row r="1209" ht="23" customHeight="1">
      <x:c r="A1209" s="17" t="n">
        <x:f>ROW()-6</x:f>
        <x:v>1203</x:v>
      </x:c>
      <x:c r="B1209" s="4" t="n">
        <x:f>IF('계산 과정'!$L$5,'계산 과정'!$L$11*SQRT((A1209+0.5)/'계산 과정'!$L$30),"")</x:f>
        <x:v>114.98715536283825</x:v>
      </x:c>
      <x:c r="C1209" s="4" t="n">
        <x:f>A1209*PI()*(3-SQRT(5))</x:f>
        <x:v>2887.1557653635696</x:v>
      </x:c>
      <x:c r="D1209" s="4" t="n">
        <x:f>IF('계산 과정'!$L$5,B1209*COS(C1209),"")</x:f>
        <x:v>-114.927856791916</x:v>
      </x:c>
      <x:c r="E1209" s="4" t="n">
        <x:f>IF('계산 과정'!$L$5,B1209*SIN(C1209),"")</x:f>
        <x:v>-3.692374798737407</x:v>
      </x:c>
      <x:c r="F1209" s="4" t="n">
        <x:f>IF('계산 과정'!$L$7,'계산 과정'!$L$22+'계산 과정'!$C$49*D1209+'계산 과정'!$D$49*E1209,"")</x:f>
        <x:v>731.2662668848002</x:v>
      </x:c>
      <x:c r="G1209" s="4" t="n">
        <x:f>IF('계산 과정'!$L$7,IF(ABS(F1209)&gt;=1E-12*MAX(1,SQRT((D1209-'계산 과정'!$C$33)^2+(E1209-'계산 과정'!$D$33)^2+'계산 과정'!$E$33^2)),('계산 과정'!$L$23-'계산 과정'!$C$49*D1209-'계산 과정'!$D$49*E1209)/F1209,""),"")</x:f>
        <x:v>0.4358654946207322</x:v>
      </x:c>
      <x:c r="H1209" s="4" t="n">
        <x:f>IF(AND(ISNUMBER(G1209),G1209&gt;0),('계산 과정'!$D$56+'계산 과정'!$D$57*D1209+'계산 과정'!$D$58*E1209)/F1209,"")</x:f>
        <x:v>-116.68742849652422</x:v>
      </x:c>
      <x:c r="I1209" s="4" t="n">
        <x:f>IF(AND(ISNUMBER(G1209),G1209&gt;0),('계산 과정'!$E$56+'계산 과정'!$E$57*D1209+'계산 과정'!$E$58*E1209)/F1209,"")</x:f>
        <x:v>-5.301753566714213</x:v>
      </x:c>
      <x:c r="J1209" s="4" t="n">
        <x:f>IF('계산 과정'!$L$5,'계산 과정'!$D$6+'계산 과정'!$C$35*D1209+'계산 과정'!$D$35*E1209,"")</x:f>
        <x:v>731.2662668848002</x:v>
      </x:c>
      <x:c r="K1209" s="4" t="n">
        <x:f>IF(AND('계산 과정'!$L$6,J1209&gt;0),'계산 과정'!$D$10*('계산 과정'!$C$38*(D1209-'계산 과정'!$C$32)+'계산 과정'!$D$38*(E1209-'계산 과정'!$D$32)-'계산 과정'!$E$38*'계산 과정'!$E$32)/J1209,"")</x:f>
        <x:v>-0.8890470742592315</x:v>
      </x:c>
      <x:c r="L1209" s="4" t="n">
        <x:f>IF(AND('계산 과정'!$L$6,J1209&gt;0),'계산 과정'!$D$10*('계산 과정'!$C$39*(D1209-'계산 과정'!$C$32)+'계산 과정'!$D$39*(E1209-'계산 과정'!$D$32)-'계산 과정'!$E$39*'계산 과정'!$E$32)/J1209,"")</x:f>
        <x:v>-0.04039431288925115</x:v>
      </x:c>
      <x:c r="M1209" s="17" t="n">
        <x:f>IF('계산 과정'!$L$6,IF(J1209&lt;=0,0,IF(AND(ABS(K1209)&lt;='계산 과정'!$D$11/2,ABS(L1209)&lt;='계산 과정'!$D$12/2),1,0)),"")</x:f>
        <x:v>1</x:v>
      </x:c>
      <x:c r="N1209" s="17" t="n">
        <x:f>IF('계산 과정'!$C$78,IF(AND(ISNUMBER(H1209),ISNUMBER(I1209),ABS(H1209-'계산 과정'!$C$88)&lt;='계산 과정'!$D$23/2,ABS(I1209-'계산 과정'!$C$89)&lt;='계산 과정'!$D$24/2),1,0),"")</x:f>
        <x:v>1</x:v>
      </x:c>
      <x:c r="O1209" s="4" t="n">
        <x:f>IF('계산 과정'!$L$7,'계산 과정'!$C$49*('계산 과정'!$C$32-D1209)+'계산 과정'!$D$49*('계산 과정'!$D$32-E1209)+'계산 과정'!$E$49*'계산 과정'!$E$32,"")</x:f>
        <x:v>-81.26626688480013</x:v>
      </x:c>
      <x:c r="P1209" s="4" t="n">
        <x:f>IF(AND('계산 과정'!$L$7,O1209&lt;&gt;0),('계산 과정'!$L$23-'계산 과정'!$C$49*D1209-'계산 과정'!$D$49*E1209)/O1209,"")</x:f>
        <x:v>-3.922091481906315</x:v>
      </x:c>
      <x:c r="Q1209" s="4" t="str">
        <x:f>IF(AND(ISNUMBER(P1209),P1209&gt;1E-9,P1209&lt;1-1E-9),'계산 과정'!$C$47*(D1209-'계산 과정'!$C$50+P1209*('계산 과정'!$C$32-D1209))+'계산 과정'!$D$47*(E1209-'계산 과정'!$D$50+P1209*('계산 과정'!$D$32-E1209))+'계산 과정'!$E$47*(0-'계산 과정'!$E$50+P1209*('계산 과정'!$E$32-0)),"")</x:f>
      </x:c>
      <x:c r="R1209" s="4" t="str">
        <x:f>IF(AND(ISNUMBER(P1209),P1209&gt;1E-9,P1209&lt;1-1E-9),'계산 과정'!$C$48*(D1209-'계산 과정'!$C$50+P1209*('계산 과정'!$C$32-D1209))+'계산 과정'!$D$48*(E1209-'계산 과정'!$D$50+P1209*('계산 과정'!$D$32-E1209))+'계산 과정'!$E$48*(0-'계산 과정'!$E$50+P1209*('계산 과정'!$E$32-0)),"")</x:f>
      </x:c>
      <x:c r="S1209" s="17" t="n">
        <x:f>IF('계산 과정'!$C$78,IF(AND(ISNUMBER(Q1209),ISNUMBER(R1209),ABS(Q1209-'계산 과정'!$C$88)&lt;='계산 과정'!$D$23/2,ABS(R1209-'계산 과정'!$C$89)&lt;='계산 과정'!$D$24/2),1,0),"")</x:f>
        <x:v>0</x:v>
      </x:c>
      <x:c r="T1209" s="4"/>
      <x:c r="U1209" s="4"/>
      <x:c r="V1209" s="4"/>
      <x:c r="W1209" s="4"/>
      <x:c r="X1209" s="4"/>
      <x:c r="Y1209" s="4"/>
      <x:c r="Z1209" s="4"/>
    </x:row>
    <x:row r="1210" ht="23" customHeight="1">
      <x:c r="A1210" s="17" t="n">
        <x:f>ROW()-6</x:f>
        <x:v>1204</x:v>
      </x:c>
      <x:c r="B1210" s="4" t="n">
        <x:f>IF('계산 과정'!$L$5,'계산 과정'!$L$11*SQRT((A1210+0.5)/'계산 과정'!$L$30),"")</x:f>
        <x:v>115.03491742320026</x:v>
      </x:c>
      <x:c r="C1210" s="4" t="n">
        <x:f>A1210*PI()*(3-SQRT(5))</x:f>
        <x:v>2889.555728593298</x:v>
      </x:c>
      <x:c r="D1210" s="4" t="n">
        <x:f>IF('계산 과정'!$L$5,B1210*COS(C1210),"")</x:f>
        <x:v>87.27462425410428</x:v>
      </x:c>
      <x:c r="E1210" s="4" t="n">
        <x:f>IF('계산 과정'!$L$5,B1210*SIN(C1210),"")</x:f>
        <x:v>-74.94112481052986</x:v>
      </x:c>
      <x:c r="F1210" s="4" t="n">
        <x:f>IF('계산 과정'!$L$7,'계산 과정'!$L$22+'계산 과정'!$C$49*D1210+'계산 과정'!$D$49*E1210,"")</x:f>
        <x:v>588.2875213644149</x:v>
      </x:c>
      <x:c r="G1210" s="4" t="n">
        <x:f>IF('계산 과정'!$L$7,IF(ABS(F1210)&gt;=1E-12*MAX(1,SQRT((D1210-'계산 과정'!$C$33)^2+(E1210-'계산 과정'!$D$33)^2+'계산 과정'!$E$33^2)),('계산 과정'!$L$23-'계산 과정'!$C$49*D1210-'계산 과정'!$D$49*E1210)/F1210,""),"")</x:f>
        <x:v>0.7848415304896075</x:v>
      </x:c>
      <x:c r="H1210" s="4" t="n">
        <x:f>IF(AND(ISNUMBER(G1210),G1210&gt;0),('계산 과정'!$D$56+'계산 과정'!$D$57*D1210+'계산 과정'!$D$58*E1210)/F1210,"")</x:f>
        <x:v>110.14699481824476</x:v>
      </x:c>
      <x:c r="I1210" s="4" t="n">
        <x:f>IF(AND(ISNUMBER(G1210),G1210&gt;0),('계산 과정'!$E$56+'계산 과정'!$E$57*D1210+'계산 과정'!$E$58*E1210)/F1210,"")</x:f>
        <x:v>-133.75803190343882</x:v>
      </x:c>
      <x:c r="J1210" s="4" t="n">
        <x:f>IF('계산 과정'!$L$5,'계산 과정'!$D$6+'계산 과정'!$C$35*D1210+'계산 과정'!$D$35*E1210,"")</x:f>
        <x:v>588.2875213644149</x:v>
      </x:c>
      <x:c r="K1210" s="4" t="n">
        <x:f>IF(AND('계산 과정'!$L$6,J1210&gt;0),'계산 과정'!$D$10*('계산 과정'!$C$38*(D1210-'계산 과정'!$C$32)+'계산 과정'!$D$38*(E1210-'계산 과정'!$D$32)-'계산 과정'!$E$38*'계산 과정'!$E$32)/J1210,"")</x:f>
        <x:v>0.8392151986151996</x:v>
      </x:c>
      <x:c r="L1210" s="4" t="n">
        <x:f>IF(AND('계산 과정'!$L$6,J1210&gt;0),'계산 과정'!$D$10*('계산 과정'!$C$39*(D1210-'계산 과정'!$C$32)+'계산 과정'!$D$39*(E1210-'계산 과정'!$D$32)-'계산 과정'!$E$39*'계산 과정'!$E$32)/J1210,"")</x:f>
        <x:v>-1.0191088145023908</x:v>
      </x:c>
      <x:c r="M1210" s="17" t="n">
        <x:f>IF('계산 과정'!$L$6,IF(J1210&lt;=0,0,IF(AND(ABS(K1210)&lt;='계산 과정'!$D$11/2,ABS(L1210)&lt;='계산 과정'!$D$12/2),1,0)),"")</x:f>
        <x:v>1</x:v>
      </x:c>
      <x:c r="N1210" s="17" t="n">
        <x:f>IF('계산 과정'!$C$78,IF(AND(ISNUMBER(H1210),ISNUMBER(I1210),ABS(H1210-'계산 과정'!$C$88)&lt;='계산 과정'!$D$23/2,ABS(I1210-'계산 과정'!$C$89)&lt;='계산 과정'!$D$24/2),1,0),"")</x:f>
        <x:v>1</x:v>
      </x:c>
      <x:c r="O1210" s="4" t="n">
        <x:f>IF('계산 과정'!$L$7,'계산 과정'!$C$49*('계산 과정'!$C$32-D1210)+'계산 과정'!$D$49*('계산 과정'!$D$32-E1210)+'계산 과정'!$E$49*'계산 과정'!$E$32,"")</x:f>
        <x:v>61.71247863558517</x:v>
      </x:c>
      <x:c r="P1210" s="4" t="n">
        <x:f>IF(AND('계산 과정'!$L$7,O1210&lt;&gt;0),('계산 과정'!$L$23-'계산 과정'!$C$49*D1210-'계산 과정'!$D$49*E1210)/O1210,"")</x:f>
        <x:v>7.481671273682216</x:v>
      </x:c>
      <x:c r="Q1210" s="4" t="str">
        <x:f>IF(AND(ISNUMBER(P1210),P1210&gt;1E-9,P1210&lt;1-1E-9),'계산 과정'!$C$47*(D1210-'계산 과정'!$C$50+P1210*('계산 과정'!$C$32-D1210))+'계산 과정'!$D$47*(E1210-'계산 과정'!$D$50+P1210*('계산 과정'!$D$32-E1210))+'계산 과정'!$E$47*(0-'계산 과정'!$E$50+P1210*('계산 과정'!$E$32-0)),"")</x:f>
      </x:c>
      <x:c r="R1210" s="4" t="str">
        <x:f>IF(AND(ISNUMBER(P1210),P1210&gt;1E-9,P1210&lt;1-1E-9),'계산 과정'!$C$48*(D1210-'계산 과정'!$C$50+P1210*('계산 과정'!$C$32-D1210))+'계산 과정'!$D$48*(E1210-'계산 과정'!$D$50+P1210*('계산 과정'!$D$32-E1210))+'계산 과정'!$E$48*(0-'계산 과정'!$E$50+P1210*('계산 과정'!$E$32-0)),"")</x:f>
      </x:c>
      <x:c r="S1210" s="17" t="n">
        <x:f>IF('계산 과정'!$C$78,IF(AND(ISNUMBER(Q1210),ISNUMBER(R1210),ABS(Q1210-'계산 과정'!$C$88)&lt;='계산 과정'!$D$23/2,ABS(R1210-'계산 과정'!$C$89)&lt;='계산 과정'!$D$24/2),1,0),"")</x:f>
        <x:v>0</x:v>
      </x:c>
      <x:c r="T1210" s="4"/>
      <x:c r="U1210" s="4"/>
      <x:c r="V1210" s="4"/>
      <x:c r="W1210" s="4"/>
      <x:c r="X1210" s="4"/>
      <x:c r="Y1210" s="4"/>
      <x:c r="Z1210" s="4"/>
    </x:row>
    <x:row r="1211" ht="23" customHeight="1">
      <x:c r="A1211" s="17" t="n">
        <x:f>ROW()-6</x:f>
        <x:v>1205</x:v>
      </x:c>
      <x:c r="B1211" s="4" t="n">
        <x:f>IF('계산 과정'!$L$5,'계산 과정'!$L$11*SQRT((A1211+0.5)/'계산 과정'!$L$30),"")</x:f>
        <x:v>115.08265966116485</x:v>
      </x:c>
      <x:c r="C1211" s="4" t="n">
        <x:f>A1211*PI()*(3-SQRT(5))</x:f>
        <x:v>2891.9556918230264</x:v>
      </x:c>
      <x:c r="D1211" s="4" t="n">
        <x:f>IF('계산 과정'!$L$5,B1211*COS(C1211),"")</x:f>
        <x:v>-13.737288257851892</x:v>
      </x:c>
      <x:c r="E1211" s="4" t="n">
        <x:f>IF('계산 과정'!$L$5,B1211*SIN(C1211),"")</x:f>
        <x:v>114.25981562215206</x:v>
      </x:c>
      <x:c r="F1211" s="4" t="n">
        <x:f>IF('계산 과정'!$L$7,'계산 과정'!$L$22+'계산 과정'!$C$49*D1211+'계산 과정'!$D$49*E1211,"")</x:f>
        <x:v>659.7137296822414</x:v>
      </x:c>
      <x:c r="G1211" s="4" t="n">
        <x:f>IF('계산 과정'!$L$7,IF(ABS(F1211)&gt;=1E-12*MAX(1,SQRT((D1211-'계산 과정'!$C$33)^2+(E1211-'계산 과정'!$D$33)^2+'계산 과정'!$E$33^2)),('계산 과정'!$L$23-'계산 과정'!$C$49*D1211-'계산 과정'!$D$49*E1211)/F1211,""),"")</x:f>
        <x:v>0.5915994358731088</x:v>
      </x:c>
      <x:c r="H1211" s="4" t="n">
        <x:f>IF(AND(ISNUMBER(G1211),G1211&gt;0),('계산 과정'!$D$56+'계산 과정'!$D$57*D1211+'계산 과정'!$D$58*E1211)/F1211,"")</x:f>
        <x:v>-15.460366682479414</x:v>
      </x:c>
      <x:c r="I1211" s="4" t="n">
        <x:f>IF(AND(ISNUMBER(G1211),G1211&gt;0),('계산 과정'!$E$56+'계산 과정'!$E$57*D1211+'계산 과정'!$E$58*E1211)/F1211,"")</x:f>
        <x:v>181.85585808718264</x:v>
      </x:c>
      <x:c r="J1211" s="4" t="n">
        <x:f>IF('계산 과정'!$L$5,'계산 과정'!$D$6+'계산 과정'!$C$35*D1211+'계산 과정'!$D$35*E1211,"")</x:f>
        <x:v>659.7137296822414</x:v>
      </x:c>
      <x:c r="K1211" s="4" t="n">
        <x:f>IF(AND('계산 과정'!$L$6,J1211&gt;0),'계산 과정'!$D$10*('계산 과정'!$C$38*(D1211-'계산 과정'!$C$32)+'계산 과정'!$D$38*(E1211-'계산 과정'!$D$32)-'계산 과정'!$E$38*'계산 과정'!$E$32)/J1211,"")</x:f>
        <x:v>-0.1177932699617472</x:v>
      </x:c>
      <x:c r="L1211" s="4" t="n">
        <x:f>IF(AND('계산 과정'!$L$6,J1211&gt;0),'계산 과정'!$D$10*('계산 과정'!$C$39*(D1211-'계산 과정'!$C$32)+'계산 과정'!$D$39*(E1211-'계산 과정'!$D$32)-'계산 과정'!$E$39*'계산 과정'!$E$32)/J1211,"")</x:f>
        <x:v>1.3855684425690107</x:v>
      </x:c>
      <x:c r="M1211" s="17" t="n">
        <x:f>IF('계산 과정'!$L$6,IF(J1211&lt;=0,0,IF(AND(ABS(K1211)&lt;='계산 과정'!$D$11/2,ABS(L1211)&lt;='계산 과정'!$D$12/2),1,0)),"")</x:f>
        <x:v>1</x:v>
      </x:c>
      <x:c r="N1211" s="17" t="n">
        <x:f>IF('계산 과정'!$C$78,IF(AND(ISNUMBER(H1211),ISNUMBER(I1211),ABS(H1211-'계산 과정'!$C$88)&lt;='계산 과정'!$D$23/2,ABS(I1211-'계산 과정'!$C$89)&lt;='계산 과정'!$D$24/2),1,0),"")</x:f>
        <x:v>1</x:v>
      </x:c>
      <x:c r="O1211" s="4" t="n">
        <x:f>IF('계산 과정'!$L$7,'계산 과정'!$C$49*('계산 과정'!$C$32-D1211)+'계산 과정'!$D$49*('계산 과정'!$D$32-E1211)+'계산 과정'!$E$49*'계산 과정'!$E$32,"")</x:f>
        <x:v>-9.713729682241308</x:v>
      </x:c>
      <x:c r="P1211" s="4" t="n">
        <x:f>IF(AND('계산 과정'!$L$7,O1211&lt;&gt;0),('계산 과정'!$L$23-'계산 과정'!$C$49*D1211-'계산 과정'!$D$49*E1211)/O1211,"")</x:f>
        <x:v>-40.17882760638089</x:v>
      </x:c>
      <x:c r="Q1211" s="4" t="str">
        <x:f>IF(AND(ISNUMBER(P1211),P1211&gt;1E-9,P1211&lt;1-1E-9),'계산 과정'!$C$47*(D1211-'계산 과정'!$C$50+P1211*('계산 과정'!$C$32-D1211))+'계산 과정'!$D$47*(E1211-'계산 과정'!$D$50+P1211*('계산 과정'!$D$32-E1211))+'계산 과정'!$E$47*(0-'계산 과정'!$E$50+P1211*('계산 과정'!$E$32-0)),"")</x:f>
      </x:c>
      <x:c r="R1211" s="4" t="str">
        <x:f>IF(AND(ISNUMBER(P1211),P1211&gt;1E-9,P1211&lt;1-1E-9),'계산 과정'!$C$48*(D1211-'계산 과정'!$C$50+P1211*('계산 과정'!$C$32-D1211))+'계산 과정'!$D$48*(E1211-'계산 과정'!$D$50+P1211*('계산 과정'!$D$32-E1211))+'계산 과정'!$E$48*(0-'계산 과정'!$E$50+P1211*('계산 과정'!$E$32-0)),"")</x:f>
      </x:c>
      <x:c r="S1211" s="17" t="n">
        <x:f>IF('계산 과정'!$C$78,IF(AND(ISNUMBER(Q1211),ISNUMBER(R1211),ABS(Q1211-'계산 과정'!$C$88)&lt;='계산 과정'!$D$23/2,ABS(R1211-'계산 과정'!$C$89)&lt;='계산 과정'!$D$24/2),1,0),"")</x:f>
        <x:v>0</x:v>
      </x:c>
      <x:c r="T1211" s="4"/>
      <x:c r="U1211" s="4"/>
      <x:c r="V1211" s="4"/>
      <x:c r="W1211" s="4"/>
      <x:c r="X1211" s="4"/>
      <x:c r="Y1211" s="4"/>
      <x:c r="Z1211" s="4"/>
    </x:row>
    <x:row r="1212" ht="23" customHeight="1">
      <x:c r="A1212" s="17" t="n">
        <x:f>ROW()-6</x:f>
        <x:v>1206</x:v>
      </x:c>
      <x:c r="B1212" s="4" t="n">
        <x:f>IF('계산 과정'!$L$5,'계산 과정'!$L$11*SQRT((A1212+0.5)/'계산 과정'!$L$30),"")</x:f>
        <x:v>115.1303821013919</x:v>
      </x:c>
      <x:c r="C1212" s="4" t="n">
        <x:f>A1212*PI()*(3-SQRT(5))</x:f>
        <x:v>2894.3556550527555</x:v>
      </x:c>
      <x:c r="D1212" s="4" t="n">
        <x:f>IF('계산 과정'!$L$5,B1212*COS(C1212),"")</x:f>
        <x:v>-67.07975272634638</x:v>
      </x:c>
      <x:c r="E1212" s="4" t="n">
        <x:f>IF('계산 과정'!$L$5,B1212*SIN(C1212),"")</x:f>
        <x:v>-93.56982236268661</x:v>
      </x:c>
      <x:c r="F1212" s="4" t="n">
        <x:f>IF('계산 과정'!$L$7,'계산 과정'!$L$22+'계산 과정'!$C$49*D1212+'계산 과정'!$D$49*E1212,"")</x:f>
        <x:v>697.4325480331163</x:v>
      </x:c>
      <x:c r="G1212" s="4" t="n">
        <x:f>IF('계산 과정'!$L$7,IF(ABS(F1212)&gt;=1E-12*MAX(1,SQRT((D1212-'계산 과정'!$C$33)^2+(E1212-'계산 과정'!$D$33)^2+'계산 과정'!$E$33^2)),('계산 과정'!$L$23-'계산 과정'!$C$49*D1212-'계산 과정'!$D$49*E1212)/F1212,""),"")</x:f>
        <x:v>0.5055219360799643</x:v>
      </x:c>
      <x:c r="H1212" s="4" t="n">
        <x:f>IF(AND(ISNUMBER(G1212),G1212&gt;0),('계산 과정'!$D$56+'계산 과정'!$D$57*D1212+'계산 과정'!$D$58*E1212)/F1212,"")</x:f>
        <x:v>-71.41074154802332</x:v>
      </x:c>
      <x:c r="I1212" s="4" t="n">
        <x:f>IF(AND(ISNUMBER(G1212),G1212&gt;0),('계산 과정'!$E$56+'계산 과정'!$E$57*D1212+'계산 과정'!$E$58*E1212)/F1212,"")</x:f>
        <x:v>-140.8714201221303</x:v>
      </x:c>
      <x:c r="J1212" s="4" t="n">
        <x:f>IF('계산 과정'!$L$5,'계산 과정'!$D$6+'계산 과정'!$C$35*D1212+'계산 과정'!$D$35*E1212,"")</x:f>
        <x:v>697.4325480331163</x:v>
      </x:c>
      <x:c r="K1212" s="4" t="n">
        <x:f>IF(AND('계산 과정'!$L$6,J1212&gt;0),'계산 과정'!$D$10*('계산 과정'!$C$38*(D1212-'계산 과정'!$C$32)+'계산 과정'!$D$38*(E1212-'계산 과정'!$D$32)-'계산 과정'!$E$38*'계산 과정'!$E$32)/J1212,"")</x:f>
        <x:v>-0.5440818403658906</x:v>
      </x:c>
      <x:c r="L1212" s="4" t="n">
        <x:f>IF(AND('계산 과정'!$L$6,J1212&gt;0),'계산 과정'!$D$10*('계산 과정'!$C$39*(D1212-'계산 과정'!$C$32)+'계산 과정'!$D$39*(E1212-'계산 과정'!$D$32)-'계산 과정'!$E$39*'계산 과정'!$E$32)/J1212,"")</x:f>
        <x:v>-1.0733060580733735</x:v>
      </x:c>
      <x:c r="M1212" s="17" t="n">
        <x:f>IF('계산 과정'!$L$6,IF(J1212&lt;=0,0,IF(AND(ABS(K1212)&lt;='계산 과정'!$D$11/2,ABS(L1212)&lt;='계산 과정'!$D$12/2),1,0)),"")</x:f>
        <x:v>1</x:v>
      </x:c>
      <x:c r="N1212" s="17" t="n">
        <x:f>IF('계산 과정'!$C$78,IF(AND(ISNUMBER(H1212),ISNUMBER(I1212),ABS(H1212-'계산 과정'!$C$88)&lt;='계산 과정'!$D$23/2,ABS(I1212-'계산 과정'!$C$89)&lt;='계산 과정'!$D$24/2),1,0),"")</x:f>
        <x:v>1</x:v>
      </x:c>
      <x:c r="O1212" s="4" t="n">
        <x:f>IF('계산 과정'!$L$7,'계산 과정'!$C$49*('계산 과정'!$C$32-D1212)+'계산 과정'!$D$49*('계산 과정'!$D$32-E1212)+'계산 과정'!$E$49*'계산 과정'!$E$32,"")</x:f>
        <x:v>-47.43254803311618</x:v>
      </x:c>
      <x:c r="P1212" s="4" t="n">
        <x:f>IF(AND('계산 과정'!$L$7,O1212&lt;&gt;0),('계산 과정'!$L$23-'계산 과정'!$C$49*D1212-'계산 과정'!$D$49*E1212)/O1212,"")</x:f>
        <x:v>-7.433027880364558</x:v>
      </x:c>
      <x:c r="Q1212" s="4" t="str">
        <x:f>IF(AND(ISNUMBER(P1212),P1212&gt;1E-9,P1212&lt;1-1E-9),'계산 과정'!$C$47*(D1212-'계산 과정'!$C$50+P1212*('계산 과정'!$C$32-D1212))+'계산 과정'!$D$47*(E1212-'계산 과정'!$D$50+P1212*('계산 과정'!$D$32-E1212))+'계산 과정'!$E$47*(0-'계산 과정'!$E$50+P1212*('계산 과정'!$E$32-0)),"")</x:f>
      </x:c>
      <x:c r="R1212" s="4" t="str">
        <x:f>IF(AND(ISNUMBER(P1212),P1212&gt;1E-9,P1212&lt;1-1E-9),'계산 과정'!$C$48*(D1212-'계산 과정'!$C$50+P1212*('계산 과정'!$C$32-D1212))+'계산 과정'!$D$48*(E1212-'계산 과정'!$D$50+P1212*('계산 과정'!$D$32-E1212))+'계산 과정'!$E$48*(0-'계산 과정'!$E$50+P1212*('계산 과정'!$E$32-0)),"")</x:f>
      </x:c>
      <x:c r="S1212" s="17" t="n">
        <x:f>IF('계산 과정'!$C$78,IF(AND(ISNUMBER(Q1212),ISNUMBER(R1212),ABS(Q1212-'계산 과정'!$C$88)&lt;='계산 과정'!$D$23/2,ABS(R1212-'계산 과정'!$C$89)&lt;='계산 과정'!$D$24/2),1,0),"")</x:f>
        <x:v>0</x:v>
      </x:c>
      <x:c r="T1212" s="4"/>
      <x:c r="U1212" s="4"/>
      <x:c r="V1212" s="4"/>
      <x:c r="W1212" s="4"/>
      <x:c r="X1212" s="4"/>
      <x:c r="Y1212" s="4"/>
      <x:c r="Z1212" s="4"/>
    </x:row>
    <x:row r="1213" ht="23" customHeight="1">
      <x:c r="A1213" s="17" t="n">
        <x:f>ROW()-6</x:f>
        <x:v>1207</x:v>
      </x:c>
      <x:c r="B1213" s="4" t="n">
        <x:f>IF('계산 과정'!$L$5,'계산 과정'!$L$11*SQRT((A1213+0.5)/'계산 과정'!$L$30),"")</x:f>
        <x:v>115.17808476849014</x:v>
      </x:c>
      <x:c r="C1213" s="4" t="n">
        <x:f>A1213*PI()*(3-SQRT(5))</x:f>
        <x:v>2896.755618282484</x:v>
      </x:c>
      <x:c r="D1213" s="4" t="n">
        <x:f>IF('계산 과정'!$L$5,B1213*COS(C1213),"")</x:f>
        <x:v>112.71471127675973</x:v>
      </x:c>
      <x:c r="E1213" s="4" t="n">
        <x:f>IF('계산 과정'!$L$5,B1213*SIN(C1213),"")</x:f>
        <x:v>23.69356606199649</x:v>
      </x:c>
      <x:c r="F1213" s="4" t="n">
        <x:f>IF('계산 과정'!$L$7,'계산 과정'!$L$22+'계산 과정'!$C$49*D1213+'계산 과정'!$D$49*E1213,"")</x:f>
        <x:v>570.2986633167194</x:v>
      </x:c>
      <x:c r="G1213" s="4" t="n">
        <x:f>IF('계산 과정'!$L$7,IF(ABS(F1213)&gt;=1E-12*MAX(1,SQRT((D1213-'계산 과정'!$C$33)^2+(E1213-'계산 과정'!$D$33)^2+'계산 과정'!$E$33^2)),('계산 과정'!$L$23-'계산 과정'!$C$49*D1213-'계산 과정'!$D$49*E1213)/F1213,""),"")</x:f>
        <x:v>0.8411405593929563</x:v>
      </x:c>
      <x:c r="H1213" s="4" t="n">
        <x:f>IF(AND(ISNUMBER(G1213),G1213&gt;0),('계산 과정'!$D$56+'계산 과정'!$D$57*D1213+'계산 과정'!$D$58*E1213)/F1213,"")</x:f>
        <x:v>146.74136360542155</x:v>
      </x:c>
      <x:c r="I1213" s="4" t="n">
        <x:f>IF(AND(ISNUMBER(G1213),G1213&gt;0),('계산 과정'!$E$56+'계산 과정'!$E$57*D1213+'계산 과정'!$E$58*E1213)/F1213,"")</x:f>
        <x:v>43.62318547339818</x:v>
      </x:c>
      <x:c r="J1213" s="4" t="n">
        <x:f>IF('계산 과정'!$L$5,'계산 과정'!$D$6+'계산 과정'!$C$35*D1213+'계산 과정'!$D$35*E1213,"")</x:f>
        <x:v>570.2986633167194</x:v>
      </x:c>
      <x:c r="K1213" s="4" t="n">
        <x:f>IF(AND('계산 과정'!$L$6,J1213&gt;0),'계산 과정'!$D$10*('계산 과정'!$C$38*(D1213-'계산 과정'!$C$32)+'계산 과정'!$D$38*(E1213-'계산 과정'!$D$32)-'계산 과정'!$E$38*'계산 과정'!$E$32)/J1213,"")</x:f>
        <x:v>1.1180294369936887</x:v>
      </x:c>
      <x:c r="L1213" s="4" t="n">
        <x:f>IF(AND('계산 과정'!$L$6,J1213&gt;0),'계산 과정'!$D$10*('계산 과정'!$C$39*(D1213-'계산 과정'!$C$32)+'계산 과정'!$D$39*(E1213-'계산 과정'!$D$32)-'계산 과정'!$E$39*'계산 과정'!$E$32)/J1213,"")</x:f>
        <x:v>0.3323671274163671</x:v>
      </x:c>
      <x:c r="M1213" s="17" t="n">
        <x:f>IF('계산 과정'!$L$6,IF(J1213&lt;=0,0,IF(AND(ABS(K1213)&lt;='계산 과정'!$D$11/2,ABS(L1213)&lt;='계산 과정'!$D$12/2),1,0)),"")</x:f>
        <x:v>1</x:v>
      </x:c>
      <x:c r="N1213" s="17" t="n">
        <x:f>IF('계산 과정'!$C$78,IF(AND(ISNUMBER(H1213),ISNUMBER(I1213),ABS(H1213-'계산 과정'!$C$88)&lt;='계산 과정'!$D$23/2,ABS(I1213-'계산 과정'!$C$89)&lt;='계산 과정'!$D$24/2),1,0),"")</x:f>
        <x:v>1</x:v>
      </x:c>
      <x:c r="O1213" s="4" t="n">
        <x:f>IF('계산 과정'!$L$7,'계산 과정'!$C$49*('계산 과정'!$C$32-D1213)+'계산 과정'!$D$49*('계산 과정'!$D$32-E1213)+'계산 과정'!$E$49*'계산 과정'!$E$32,"")</x:f>
        <x:v>79.70133668328072</x:v>
      </x:c>
      <x:c r="P1213" s="4" t="n">
        <x:f>IF(AND('계산 과정'!$L$7,O1213&lt;&gt;0),('계산 과정'!$L$23-'계산 과정'!$C$49*D1213-'계산 과정'!$D$49*E1213)/O1213,"")</x:f>
        <x:v>6.018736405758545</x:v>
      </x:c>
      <x:c r="Q1213" s="4" t="str">
        <x:f>IF(AND(ISNUMBER(P1213),P1213&gt;1E-9,P1213&lt;1-1E-9),'계산 과정'!$C$47*(D1213-'계산 과정'!$C$50+P1213*('계산 과정'!$C$32-D1213))+'계산 과정'!$D$47*(E1213-'계산 과정'!$D$50+P1213*('계산 과정'!$D$32-E1213))+'계산 과정'!$E$47*(0-'계산 과정'!$E$50+P1213*('계산 과정'!$E$32-0)),"")</x:f>
      </x:c>
      <x:c r="R1213" s="4" t="str">
        <x:f>IF(AND(ISNUMBER(P1213),P1213&gt;1E-9,P1213&lt;1-1E-9),'계산 과정'!$C$48*(D1213-'계산 과정'!$C$50+P1213*('계산 과정'!$C$32-D1213))+'계산 과정'!$D$48*(E1213-'계산 과정'!$D$50+P1213*('계산 과정'!$D$32-E1213))+'계산 과정'!$E$48*(0-'계산 과정'!$E$50+P1213*('계산 과정'!$E$32-0)),"")</x:f>
      </x:c>
      <x:c r="S1213" s="17" t="n">
        <x:f>IF('계산 과정'!$C$78,IF(AND(ISNUMBER(Q1213),ISNUMBER(R1213),ABS(Q1213-'계산 과정'!$C$88)&lt;='계산 과정'!$D$23/2,ABS(R1213-'계산 과정'!$C$89)&lt;='계산 과정'!$D$24/2),1,0),"")</x:f>
        <x:v>0</x:v>
      </x:c>
      <x:c r="T1213" s="4"/>
      <x:c r="U1213" s="4"/>
      <x:c r="V1213" s="4"/>
      <x:c r="W1213" s="4"/>
      <x:c r="X1213" s="4"/>
      <x:c r="Y1213" s="4"/>
      <x:c r="Z1213" s="4"/>
    </x:row>
    <x:row r="1214" ht="23" customHeight="1">
      <x:c r="A1214" s="17" t="n">
        <x:f>ROW()-6</x:f>
        <x:v>1208</x:v>
      </x:c>
      <x:c r="B1214" s="4" t="n">
        <x:f>IF('계산 과정'!$L$5,'계산 과정'!$L$11*SQRT((A1214+0.5)/'계산 과정'!$L$30),"")</x:f>
        <x:v>115.2257676870174</x:v>
      </x:c>
      <x:c r="C1214" s="4" t="n">
        <x:f>A1214*PI()*(3-SQRT(5))</x:f>
        <x:v>2899.1555815122124</x:v>
      </x:c>
      <x:c r="D1214" s="4" t="n">
        <x:f>IF('계산 과정'!$L$5,B1214*COS(C1214),"")</x:f>
        <x:v>-99.15812788950683</x:v>
      </x:c>
      <x:c r="E1214" s="4" t="n">
        <x:f>IF('계산 과정'!$L$5,B1214*SIN(C1214),"")</x:f>
        <x:v>58.69108290456661</x:v>
      </x:c>
      <x:c r="F1214" s="4" t="n">
        <x:f>IF('계산 과정'!$L$7,'계산 과정'!$L$22+'계산 과정'!$C$49*D1214+'계산 과정'!$D$49*E1214,"")</x:f>
        <x:v>720.1153846404331</x:v>
      </x:c>
      <x:c r="G1214" s="4" t="n">
        <x:f>IF('계산 과정'!$L$7,IF(ABS(F1214)&gt;=1E-12*MAX(1,SQRT((D1214-'계산 과정'!$C$33)^2+(E1214-'계산 과정'!$D$33)^2+'계산 과정'!$E$33^2)),('계산 과정'!$L$23-'계산 과정'!$C$49*D1214-'계산 과정'!$D$49*E1214)/F1214,""),"")</x:f>
        <x:v>0.45809966346474357</x:v>
      </x:c>
      <x:c r="H1214" s="4" t="n">
        <x:f>IF(AND(ISNUMBER(G1214),G1214&gt;0),('계산 과정'!$D$56+'계산 과정'!$D$57*D1214+'계산 과정'!$D$58*E1214)/F1214,"")</x:f>
        <x:v>-102.23521874791682</x:v>
      </x:c>
      <x:c r="I1214" s="4" t="n">
        <x:f>IF(AND(ISNUMBER(G1214),G1214&gt;0),('계산 과정'!$E$56+'계산 과정'!$E$57*D1214+'계산 과정'!$E$58*E1214)/F1214,"")</x:f>
        <x:v>85.57744823152996</x:v>
      </x:c>
      <x:c r="J1214" s="4" t="n">
        <x:f>IF('계산 과정'!$L$5,'계산 과정'!$D$6+'계산 과정'!$C$35*D1214+'계산 과정'!$D$35*E1214,"")</x:f>
        <x:v>720.1153846404331</x:v>
      </x:c>
      <x:c r="K1214" s="4" t="n">
        <x:f>IF(AND('계산 과정'!$L$6,J1214&gt;0),'계산 과정'!$D$10*('계산 과정'!$C$38*(D1214-'계산 과정'!$C$32)+'계산 과정'!$D$38*(E1214-'계산 과정'!$D$32)-'계산 과정'!$E$38*'계산 과정'!$E$32)/J1214,"")</x:f>
        <x:v>-0.7789349999841267</x:v>
      </x:c>
      <x:c r="L1214" s="4" t="n">
        <x:f>IF(AND('계산 과정'!$L$6,J1214&gt;0),'계산 과정'!$D$10*('계산 과정'!$C$39*(D1214-'계산 과정'!$C$32)+'계산 과정'!$D$39*(E1214-'계산 과정'!$D$32)-'계산 과정'!$E$39*'계산 과정'!$E$32)/J1214,"")</x:f>
        <x:v>0.6520186531926091</x:v>
      </x:c>
      <x:c r="M1214" s="17" t="n">
        <x:f>IF('계산 과정'!$L$6,IF(J1214&lt;=0,0,IF(AND(ABS(K1214)&lt;='계산 과정'!$D$11/2,ABS(L1214)&lt;='계산 과정'!$D$12/2),1,0)),"")</x:f>
        <x:v>1</x:v>
      </x:c>
      <x:c r="N1214" s="17" t="n">
        <x:f>IF('계산 과정'!$C$78,IF(AND(ISNUMBER(H1214),ISNUMBER(I1214),ABS(H1214-'계산 과정'!$C$88)&lt;='계산 과정'!$D$23/2,ABS(I1214-'계산 과정'!$C$89)&lt;='계산 과정'!$D$24/2),1,0),"")</x:f>
        <x:v>1</x:v>
      </x:c>
      <x:c r="O1214" s="4" t="n">
        <x:f>IF('계산 과정'!$L$7,'계산 과정'!$C$49*('계산 과정'!$C$32-D1214)+'계산 과정'!$D$49*('계산 과정'!$D$32-E1214)+'계산 과정'!$E$49*'계산 과정'!$E$32,"")</x:f>
        <x:v>-70.11538464043304</x:v>
      </x:c>
      <x:c r="P1214" s="4" t="n">
        <x:f>IF(AND('계산 과정'!$L$7,O1214&lt;&gt;0),('계산 과정'!$L$23-'계산 과정'!$C$49*D1214-'계산 과정'!$D$49*E1214)/O1214,"")</x:f>
        <x:v>-4.704882060496237</x:v>
      </x:c>
      <x:c r="Q1214" s="4" t="str">
        <x:f>IF(AND(ISNUMBER(P1214),P1214&gt;1E-9,P1214&lt;1-1E-9),'계산 과정'!$C$47*(D1214-'계산 과정'!$C$50+P1214*('계산 과정'!$C$32-D1214))+'계산 과정'!$D$47*(E1214-'계산 과정'!$D$50+P1214*('계산 과정'!$D$32-E1214))+'계산 과정'!$E$47*(0-'계산 과정'!$E$50+P1214*('계산 과정'!$E$32-0)),"")</x:f>
      </x:c>
      <x:c r="R1214" s="4" t="str">
        <x:f>IF(AND(ISNUMBER(P1214),P1214&gt;1E-9,P1214&lt;1-1E-9),'계산 과정'!$C$48*(D1214-'계산 과정'!$C$50+P1214*('계산 과정'!$C$32-D1214))+'계산 과정'!$D$48*(E1214-'계산 과정'!$D$50+P1214*('계산 과정'!$D$32-E1214))+'계산 과정'!$E$48*(0-'계산 과정'!$E$50+P1214*('계산 과정'!$E$32-0)),"")</x:f>
      </x:c>
      <x:c r="S1214" s="17" t="n">
        <x:f>IF('계산 과정'!$C$78,IF(AND(ISNUMBER(Q1214),ISNUMBER(R1214),ABS(Q1214-'계산 과정'!$C$88)&lt;='계산 과정'!$D$23/2,ABS(R1214-'계산 과정'!$C$89)&lt;='계산 과정'!$D$24/2),1,0),"")</x:f>
        <x:v>0</x:v>
      </x:c>
      <x:c r="T1214" s="4"/>
      <x:c r="U1214" s="4"/>
      <x:c r="V1214" s="4"/>
      <x:c r="W1214" s="4"/>
      <x:c r="X1214" s="4"/>
      <x:c r="Y1214" s="4"/>
      <x:c r="Z1214" s="4"/>
    </x:row>
    <x:row r="1215" ht="23" customHeight="1">
      <x:c r="A1215" s="17" t="n">
        <x:f>ROW()-6</x:f>
        <x:v>1209</x:v>
      </x:c>
      <x:c r="B1215" s="4" t="n">
        <x:f>IF('계산 과정'!$L$5,'계산 과정'!$L$11*SQRT((A1215+0.5)/'계산 과정'!$L$30),"")</x:f>
        <x:v>115.27343088148066</x:v>
      </x:c>
      <x:c r="C1215" s="4" t="n">
        <x:f>A1215*PI()*(3-SQRT(5))</x:f>
        <x:v>2901.5555447419415</x:v>
      </x:c>
      <x:c r="D1215" s="4" t="n">
        <x:f>IF('계산 과정'!$L$5,B1215*COS(C1215),"")</x:f>
        <x:v>33.48470589022634</x:v>
      </x:c>
      <x:c r="E1215" s="4" t="n">
        <x:f>IF('계산 과정'!$L$5,B1215*SIN(C1215),"")</x:f>
        <x:v>-110.3029389392347</x:v>
      </x:c>
      <x:c r="F1215" s="4" t="n">
        <x:f>IF('계산 과정'!$L$7,'계산 과정'!$L$22+'계산 과정'!$C$49*D1215+'계산 과정'!$D$49*E1215,"")</x:f>
        <x:v>626.3227373989838</x:v>
      </x:c>
      <x:c r="G1215" s="4" t="n">
        <x:f>IF('계산 과정'!$L$7,IF(ABS(F1215)&gt;=1E-12*MAX(1,SQRT((D1215-'계산 과정'!$C$33)^2+(E1215-'계산 과정'!$D$33)^2+'계산 과정'!$E$33^2)),('계산 과정'!$L$23-'계산 과정'!$C$49*D1215-'계산 과정'!$D$49*E1215)/F1215,""),"")</x:f>
        <x:v>0.6764519908066547</x:v>
      </x:c>
      <x:c r="H1215" s="4" t="n">
        <x:f>IF(AND(ISNUMBER(G1215),G1215&gt;0),('계산 과정'!$D$56+'계산 과정'!$D$57*D1215+'계산 과정'!$D$58*E1215)/F1215,"")</x:f>
        <x:v>39.69379402432541</x:v>
      </x:c>
      <x:c r="I1215" s="4" t="n">
        <x:f>IF(AND(ISNUMBER(G1215),G1215&gt;0),('계산 과정'!$E$56+'계산 과정'!$E$57*D1215+'계산 과정'!$E$58*E1215)/F1215,"")</x:f>
        <x:v>-184.9175815765049</x:v>
      </x:c>
      <x:c r="J1215" s="4" t="n">
        <x:f>IF('계산 과정'!$L$5,'계산 과정'!$D$6+'계산 과정'!$C$35*D1215+'계산 과정'!$D$35*E1215,"")</x:f>
        <x:v>626.3227373989838</x:v>
      </x:c>
      <x:c r="K1215" s="4" t="n">
        <x:f>IF(AND('계산 과정'!$L$6,J1215&gt;0),'계산 과정'!$D$10*('계산 과정'!$C$38*(D1215-'계산 과정'!$C$32)+'계산 과정'!$D$38*(E1215-'계산 과정'!$D$32)-'계산 과정'!$E$38*'계산 과정'!$E$32)/J1215,"")</x:f>
        <x:v>0.3024289068520042</x:v>
      </x:c>
      <x:c r="L1215" s="4" t="n">
        <x:f>IF(AND('계산 과정'!$L$6,J1215&gt;0),'계산 과정'!$D$10*('계산 과정'!$C$39*(D1215-'계산 과정'!$C$32)+'계산 과정'!$D$39*(E1215-'계산 과정'!$D$32)-'계산 과정'!$E$39*'계산 과정'!$E$32)/J1215,"")</x:f>
        <x:v>-1.4088958596305134</x:v>
      </x:c>
      <x:c r="M1215" s="17" t="n">
        <x:f>IF('계산 과정'!$L$6,IF(J1215&lt;=0,0,IF(AND(ABS(K1215)&lt;='계산 과정'!$D$11/2,ABS(L1215)&lt;='계산 과정'!$D$12/2),1,0)),"")</x:f>
        <x:v>1</x:v>
      </x:c>
      <x:c r="N1215" s="17" t="n">
        <x:f>IF('계산 과정'!$C$78,IF(AND(ISNUMBER(H1215),ISNUMBER(I1215),ABS(H1215-'계산 과정'!$C$88)&lt;='계산 과정'!$D$23/2,ABS(I1215-'계산 과정'!$C$89)&lt;='계산 과정'!$D$24/2),1,0),"")</x:f>
        <x:v>1</x:v>
      </x:c>
      <x:c r="O1215" s="4" t="n">
        <x:f>IF('계산 과정'!$L$7,'계산 과정'!$C$49*('계산 과정'!$C$32-D1215)+'계산 과정'!$D$49*('계산 과정'!$D$32-E1215)+'계산 과정'!$E$49*'계산 과정'!$E$32,"")</x:f>
        <x:v>23.67726260101631</x:v>
      </x:c>
      <x:c r="P1215" s="4" t="n">
        <x:f>IF(AND('계산 과정'!$L$7,O1215&lt;&gt;0),('계산 과정'!$L$23-'계산 과정'!$C$49*D1215-'계산 과정'!$D$49*E1215)/O1215,"")</x:f>
        <x:v>17.893844813919937</x:v>
      </x:c>
      <x:c r="Q1215" s="4" t="str">
        <x:f>IF(AND(ISNUMBER(P1215),P1215&gt;1E-9,P1215&lt;1-1E-9),'계산 과정'!$C$47*(D1215-'계산 과정'!$C$50+P1215*('계산 과정'!$C$32-D1215))+'계산 과정'!$D$47*(E1215-'계산 과정'!$D$50+P1215*('계산 과정'!$D$32-E1215))+'계산 과정'!$E$47*(0-'계산 과정'!$E$50+P1215*('계산 과정'!$E$32-0)),"")</x:f>
      </x:c>
      <x:c r="R1215" s="4" t="str">
        <x:f>IF(AND(ISNUMBER(P1215),P1215&gt;1E-9,P1215&lt;1-1E-9),'계산 과정'!$C$48*(D1215-'계산 과정'!$C$50+P1215*('계산 과정'!$C$32-D1215))+'계산 과정'!$D$48*(E1215-'계산 과정'!$D$50+P1215*('계산 과정'!$D$32-E1215))+'계산 과정'!$E$48*(0-'계산 과정'!$E$50+P1215*('계산 과정'!$E$32-0)),"")</x:f>
      </x:c>
      <x:c r="S1215" s="17" t="n">
        <x:f>IF('계산 과정'!$C$78,IF(AND(ISNUMBER(Q1215),ISNUMBER(R1215),ABS(Q1215-'계산 과정'!$C$88)&lt;='계산 과정'!$D$23/2,ABS(R1215-'계산 과정'!$C$89)&lt;='계산 과정'!$D$24/2),1,0),"")</x:f>
        <x:v>0</x:v>
      </x:c>
      <x:c r="T1215" s="4"/>
      <x:c r="U1215" s="4"/>
      <x:c r="V1215" s="4"/>
      <x:c r="W1215" s="4"/>
      <x:c r="X1215" s="4"/>
      <x:c r="Y1215" s="4"/>
      <x:c r="Z1215" s="4"/>
    </x:row>
    <x:row r="1216" ht="23" customHeight="1">
      <x:c r="A1216" s="17" t="n">
        <x:f>ROW()-6</x:f>
        <x:v>1210</x:v>
      </x:c>
      <x:c r="B1216" s="4" t="n">
        <x:f>IF('계산 과정'!$L$5,'계산 과정'!$L$11*SQRT((A1216+0.5)/'계산 과정'!$L$30),"")</x:f>
        <x:v>115.32107437633636</x:v>
      </x:c>
      <x:c r="C1216" s="4" t="n">
        <x:f>A1216*PI()*(3-SQRT(5))</x:f>
        <x:v>2903.95550797167</x:v>
      </x:c>
      <x:c r="D1216" s="4" t="n">
        <x:f>IF('계산 과정'!$L$5,B1216*COS(C1216),"")</x:f>
        <x:v>49.8385748660452</x:v>
      </x:c>
      <x:c r="E1216" s="4" t="n">
        <x:f>IF('계산 과정'!$L$5,B1216*SIN(C1216),"")</x:f>
        <x:v>103.9955126466239</x:v>
      </x:c>
      <x:c r="F1216" s="4" t="n">
        <x:f>IF('계산 과정'!$L$7,'계산 과정'!$L$22+'계산 과정'!$C$49*D1216+'계산 과정'!$D$49*E1216,"")</x:f>
        <x:v>614.758805747546</x:v>
      </x:c>
      <x:c r="G1216" s="4" t="n">
        <x:f>IF('계산 과정'!$L$7,IF(ABS(F1216)&gt;=1E-12*MAX(1,SQRT((D1216-'계산 과정'!$C$33)^2+(E1216-'계산 과정'!$D$33)^2+'계산 과정'!$E$33^2)),('계산 과정'!$L$23-'계산 과정'!$C$49*D1216-'계산 과정'!$D$49*E1216)/F1216,""),"")</x:f>
        <x:v>0.7079869213474724</x:v>
      </x:c>
      <x:c r="H1216" s="4" t="n">
        <x:f>IF(AND(ISNUMBER(G1216),G1216&gt;0),('계산 과정'!$D$56+'계산 과정'!$D$57*D1216+'계산 과정'!$D$58*E1216)/F1216,"")</x:f>
        <x:v>60.19149887585703</x:v>
      </x:c>
      <x:c r="I1216" s="4" t="n">
        <x:f>IF(AND(ISNUMBER(G1216),G1216&gt;0),('계산 과정'!$E$56+'계산 과정'!$E$57*D1216+'계산 과정'!$E$58*E1216)/F1216,"")</x:f>
        <x:v>177.62297547925928</x:v>
      </x:c>
      <x:c r="J1216" s="4" t="n">
        <x:f>IF('계산 과정'!$L$5,'계산 과정'!$D$6+'계산 과정'!$C$35*D1216+'계산 과정'!$D$35*E1216,"")</x:f>
        <x:v>614.758805747546</x:v>
      </x:c>
      <x:c r="K1216" s="4" t="n">
        <x:f>IF(AND('계산 과정'!$L$6,J1216&gt;0),'계산 과정'!$D$10*('계산 과정'!$C$38*(D1216-'계산 과정'!$C$32)+'계산 과정'!$D$38*(E1216-'계산 과정'!$D$32)-'계산 과정'!$E$38*'계산 과정'!$E$32)/J1216,"")</x:f>
        <x:v>0.4586018961970064</x:v>
      </x:c>
      <x:c r="L1216" s="4" t="n">
        <x:f>IF(AND('계산 과정'!$L$6,J1216&gt;0),'계산 과정'!$D$10*('계산 과정'!$C$39*(D1216-'계산 과정'!$C$32)+'계산 과정'!$D$39*(E1216-'계산 과정'!$D$32)-'계산 과정'!$E$39*'계산 과정'!$E$32)/J1216,"")</x:f>
        <x:v>1.353317908413404</x:v>
      </x:c>
      <x:c r="M1216" s="17" t="n">
        <x:f>IF('계산 과정'!$L$6,IF(J1216&lt;=0,0,IF(AND(ABS(K1216)&lt;='계산 과정'!$D$11/2,ABS(L1216)&lt;='계산 과정'!$D$12/2),1,0)),"")</x:f>
        <x:v>1</x:v>
      </x:c>
      <x:c r="N1216" s="17" t="n">
        <x:f>IF('계산 과정'!$C$78,IF(AND(ISNUMBER(H1216),ISNUMBER(I1216),ABS(H1216-'계산 과정'!$C$88)&lt;='계산 과정'!$D$23/2,ABS(I1216-'계산 과정'!$C$89)&lt;='계산 과정'!$D$24/2),1,0),"")</x:f>
        <x:v>1</x:v>
      </x:c>
      <x:c r="O1216" s="4" t="n">
        <x:f>IF('계산 과정'!$L$7,'계산 과정'!$C$49*('계산 과정'!$C$32-D1216)+'계산 과정'!$D$49*('계산 과정'!$D$32-E1216)+'계산 과정'!$E$49*'계산 과정'!$E$32,"")</x:f>
        <x:v>35.24119425245408</x:v>
      </x:c>
      <x:c r="P1216" s="4" t="n">
        <x:f>IF(AND('계산 과정'!$L$7,O1216&lt;&gt;0),('계산 과정'!$L$23-'계산 과정'!$C$49*D1216-'계산 과정'!$D$49*E1216)/O1216,"")</x:f>
        <x:v>12.350353144520499</x:v>
      </x:c>
      <x:c r="Q1216" s="4" t="str">
        <x:f>IF(AND(ISNUMBER(P1216),P1216&gt;1E-9,P1216&lt;1-1E-9),'계산 과정'!$C$47*(D1216-'계산 과정'!$C$50+P1216*('계산 과정'!$C$32-D1216))+'계산 과정'!$D$47*(E1216-'계산 과정'!$D$50+P1216*('계산 과정'!$D$32-E1216))+'계산 과정'!$E$47*(0-'계산 과정'!$E$50+P1216*('계산 과정'!$E$32-0)),"")</x:f>
      </x:c>
      <x:c r="R1216" s="4" t="str">
        <x:f>IF(AND(ISNUMBER(P1216),P1216&gt;1E-9,P1216&lt;1-1E-9),'계산 과정'!$C$48*(D1216-'계산 과정'!$C$50+P1216*('계산 과정'!$C$32-D1216))+'계산 과정'!$D$48*(E1216-'계산 과정'!$D$50+P1216*('계산 과정'!$D$32-E1216))+'계산 과정'!$E$48*(0-'계산 과정'!$E$50+P1216*('계산 과정'!$E$32-0)),"")</x:f>
      </x:c>
      <x:c r="S1216" s="17" t="n">
        <x:f>IF('계산 과정'!$C$78,IF(AND(ISNUMBER(Q1216),ISNUMBER(R1216),ABS(Q1216-'계산 과정'!$C$88)&lt;='계산 과정'!$D$23/2,ABS(R1216-'계산 과정'!$C$89)&lt;='계산 과정'!$D$24/2),1,0),"")</x:f>
        <x:v>0</x:v>
      </x:c>
      <x:c r="T1216" s="4"/>
      <x:c r="U1216" s="4"/>
      <x:c r="V1216" s="4"/>
      <x:c r="W1216" s="4"/>
      <x:c r="X1216" s="4"/>
      <x:c r="Y1216" s="4"/>
      <x:c r="Z1216" s="4"/>
    </x:row>
    <x:row r="1217" ht="23" customHeight="1">
      <x:c r="A1217" s="17" t="n">
        <x:f>ROW()-6</x:f>
        <x:v>1211</x:v>
      </x:c>
      <x:c r="B1217" s="4" t="n">
        <x:f>IF('계산 과정'!$L$5,'계산 과정'!$L$11*SQRT((A1217+0.5)/'계산 과정'!$L$30),"")</x:f>
        <x:v>115.36869819599033</x:v>
      </x:c>
      <x:c r="C1217" s="4" t="n">
        <x:f>A1217*PI()*(3-SQRT(5))</x:f>
        <x:v>2906.355471201399</x:v>
      </x:c>
      <x:c r="D1217" s="4" t="n">
        <x:f>IF('계산 과정'!$L$5,B1217*COS(C1217),"")</x:f>
        <x:v>-107.04155987785309</x:v>
      </x:c>
      <x:c r="E1217" s="4" t="n">
        <x:f>IF('계산 과정'!$L$5,B1217*SIN(C1217),"")</x:f>
        <x:v>-43.035345732937856</x:v>
      </x:c>
      <x:c r="F1217" s="4" t="n">
        <x:f>IF('계산 과정'!$L$7,'계산 과정'!$L$22+'계산 과정'!$C$49*D1217+'계산 과정'!$D$49*E1217,"")</x:f>
        <x:v>725.6898128584157</x:v>
      </x:c>
      <x:c r="G1217" s="4" t="n">
        <x:f>IF('계산 과정'!$L$7,IF(ABS(F1217)&gt;=1E-12*MAX(1,SQRT((D1217-'계산 과정'!$C$33)^2+(E1217-'계산 과정'!$D$33)^2+'계산 과정'!$E$33^2)),('계산 과정'!$L$23-'계산 과정'!$C$49*D1217-'계산 과정'!$D$49*E1217)/F1217,""),"")</x:f>
        <x:v>0.4468991866706252</x:v>
      </x:c>
      <x:c r="H1217" s="4" t="n">
        <x:f>IF(AND(ISNUMBER(G1217),G1217&gt;0),('계산 과정'!$D$56+'계산 과정'!$D$57*D1217+'계산 과정'!$D$58*E1217)/F1217,"")</x:f>
        <x:v>-109.51552866409378</x:v>
      </x:c>
      <x:c r="I1217" s="4" t="n">
        <x:f>IF(AND(ISNUMBER(G1217),G1217&gt;0),('계산 과정'!$E$56+'계산 과정'!$E$57*D1217+'계산 과정'!$E$58*E1217)/F1217,"")</x:f>
        <x:v>-62.26780673907695</x:v>
      </x:c>
      <x:c r="J1217" s="4" t="n">
        <x:f>IF('계산 과정'!$L$5,'계산 과정'!$D$6+'계산 과정'!$C$35*D1217+'계산 과정'!$D$35*E1217,"")</x:f>
        <x:v>725.6898128584157</x:v>
      </x:c>
      <x:c r="K1217" s="4" t="n">
        <x:f>IF(AND('계산 과정'!$L$6,J1217&gt;0),'계산 과정'!$D$10*('계산 과정'!$C$38*(D1217-'계산 과정'!$C$32)+'계산 과정'!$D$38*(E1217-'계산 과정'!$D$32)-'계산 과정'!$E$38*'계산 과정'!$E$32)/J1217,"")</x:f>
        <x:v>-0.8344040279169034</x:v>
      </x:c>
      <x:c r="L1217" s="4" t="n">
        <x:f>IF(AND('계산 과정'!$L$6,J1217&gt;0),'계산 과정'!$D$10*('계산 과정'!$C$39*(D1217-'계산 과정'!$C$32)+'계산 과정'!$D$39*(E1217-'계산 과정'!$D$32)-'계산 과정'!$E$39*'계산 과정'!$E$32)/J1217,"")</x:f>
        <x:v>-0.4744213846786815</x:v>
      </x:c>
      <x:c r="M1217" s="17" t="n">
        <x:f>IF('계산 과정'!$L$6,IF(J1217&lt;=0,0,IF(AND(ABS(K1217)&lt;='계산 과정'!$D$11/2,ABS(L1217)&lt;='계산 과정'!$D$12/2),1,0)),"")</x:f>
        <x:v>1</x:v>
      </x:c>
      <x:c r="N1217" s="17" t="n">
        <x:f>IF('계산 과정'!$C$78,IF(AND(ISNUMBER(H1217),ISNUMBER(I1217),ABS(H1217-'계산 과정'!$C$88)&lt;='계산 과정'!$D$23/2,ABS(I1217-'계산 과정'!$C$89)&lt;='계산 과정'!$D$24/2),1,0),"")</x:f>
        <x:v>1</x:v>
      </x:c>
      <x:c r="O1217" s="4" t="n">
        <x:f>IF('계산 과정'!$L$7,'계산 과정'!$C$49*('계산 과정'!$C$32-D1217)+'계산 과정'!$D$49*('계산 과정'!$D$32-E1217)+'계산 과정'!$E$49*'계산 과정'!$E$32,"")</x:f>
        <x:v>-75.68981285841562</x:v>
      </x:c>
      <x:c r="P1217" s="4" t="n">
        <x:f>IF(AND('계산 과정'!$L$7,O1217&lt;&gt;0),('계산 과정'!$L$23-'계산 과정'!$C$49*D1217-'계산 과정'!$D$49*E1217)/O1217,"")</x:f>
        <x:v>-4.284727031208739</x:v>
      </x:c>
      <x:c r="Q1217" s="4" t="str">
        <x:f>IF(AND(ISNUMBER(P1217),P1217&gt;1E-9,P1217&lt;1-1E-9),'계산 과정'!$C$47*(D1217-'계산 과정'!$C$50+P1217*('계산 과정'!$C$32-D1217))+'계산 과정'!$D$47*(E1217-'계산 과정'!$D$50+P1217*('계산 과정'!$D$32-E1217))+'계산 과정'!$E$47*(0-'계산 과정'!$E$50+P1217*('계산 과정'!$E$32-0)),"")</x:f>
      </x:c>
      <x:c r="R1217" s="4" t="str">
        <x:f>IF(AND(ISNUMBER(P1217),P1217&gt;1E-9,P1217&lt;1-1E-9),'계산 과정'!$C$48*(D1217-'계산 과정'!$C$50+P1217*('계산 과정'!$C$32-D1217))+'계산 과정'!$D$48*(E1217-'계산 과정'!$D$50+P1217*('계산 과정'!$D$32-E1217))+'계산 과정'!$E$48*(0-'계산 과정'!$E$50+P1217*('계산 과정'!$E$32-0)),"")</x:f>
      </x:c>
      <x:c r="S1217" s="17" t="n">
        <x:f>IF('계산 과정'!$C$78,IF(AND(ISNUMBER(Q1217),ISNUMBER(R1217),ABS(Q1217-'계산 과정'!$C$88)&lt;='계산 과정'!$D$23/2,ABS(R1217-'계산 과정'!$C$89)&lt;='계산 과정'!$D$24/2),1,0),"")</x:f>
        <x:v>0</x:v>
      </x:c>
      <x:c r="T1217" s="4"/>
      <x:c r="U1217" s="4"/>
      <x:c r="V1217" s="4"/>
      <x:c r="W1217" s="4"/>
      <x:c r="X1217" s="4"/>
      <x:c r="Y1217" s="4"/>
      <x:c r="Z1217" s="4"/>
    </x:row>
    <x:row r="1218" ht="23" customHeight="1">
      <x:c r="A1218" s="17" t="n">
        <x:f>ROW()-6</x:f>
        <x:v>1212</x:v>
      </x:c>
      <x:c r="B1218" s="4" t="n">
        <x:f>IF('계산 과정'!$L$5,'계산 과정'!$L$11*SQRT((A1218+0.5)/'계산 과정'!$L$30),"")</x:f>
        <x:v>115.4163023647981</x:v>
      </x:c>
      <x:c r="C1218" s="4" t="n">
        <x:f>A1218*PI()*(3-SQRT(5))</x:f>
        <x:v>2908.755434431127</x:v>
      </x:c>
      <x:c r="D1218" s="4" t="n">
        <x:f>IF('계산 과정'!$L$5,B1218*COS(C1218),"")</x:f>
        <x:v>108.04363653477539</x:v>
      </x:c>
      <x:c r="E1218" s="4" t="n">
        <x:f>IF('계산 과정'!$L$5,B1218*SIN(C1218),"")</x:f>
        <x:v>-40.58935150878674</x:v>
      </x:c>
      <x:c r="F1218" s="4" t="n">
        <x:f>IF('계산 과정'!$L$7,'계산 과정'!$L$22+'계산 과정'!$C$49*D1218+'계산 과정'!$D$49*E1218,"")</x:f>
        <x:v>573.6016119422057</x:v>
      </x:c>
      <x:c r="G1218" s="4" t="n">
        <x:f>IF('계산 과정'!$L$7,IF(ABS(F1218)&gt;=1E-12*MAX(1,SQRT((D1218-'계산 과정'!$C$33)^2+(E1218-'계산 과정'!$D$33)^2+'계산 과정'!$E$33^2)),('계산 과정'!$L$23-'계산 과정'!$C$49*D1218-'계산 과정'!$D$49*E1218)/F1218,""),"")</x:f>
        <x:v>0.8305387888376342</x:v>
      </x:c>
      <x:c r="H1218" s="4" t="n">
        <x:f>IF(AND(ISNUMBER(G1218),G1218&gt;0),('계산 과정'!$D$56+'계산 과정'!$D$57*D1218+'계산 과정'!$D$58*E1218)/F1218,"")</x:f>
        <x:v>139.85021274446225</x:v>
      </x:c>
      <x:c r="I1218" s="4" t="n">
        <x:f>IF(AND(ISNUMBER(G1218),G1218&gt;0),('계산 과정'!$E$56+'계산 과정'!$E$57*D1218+'계산 과정'!$E$58*E1218)/F1218,"")</x:f>
        <x:v>-74.30038235059949</x:v>
      </x:c>
      <x:c r="J1218" s="4" t="n">
        <x:f>IF('계산 과정'!$L$5,'계산 과정'!$D$6+'계산 과정'!$C$35*D1218+'계산 과정'!$D$35*E1218,"")</x:f>
        <x:v>573.6016119422057</x:v>
      </x:c>
      <x:c r="K1218" s="4" t="n">
        <x:f>IF(AND('계산 과정'!$L$6,J1218&gt;0),'계산 과정'!$D$10*('계산 과정'!$C$38*(D1218-'계산 과정'!$C$32)+'계산 과정'!$D$38*(E1218-'계산 과정'!$D$32)-'계산 과정'!$E$38*'계산 과정'!$E$32)/J1218,"")</x:f>
        <x:v>1.065525430433999</x:v>
      </x:c>
      <x:c r="L1218" s="4" t="n">
        <x:f>IF(AND('계산 과정'!$L$6,J1218&gt;0),'계산 과정'!$D$10*('계산 과정'!$C$39*(D1218-'계산 과정'!$C$32)+'계산 과정'!$D$39*(E1218-'계산 과정'!$D$32)-'계산 과정'!$E$39*'계산 과정'!$E$32)/J1218,"")</x:f>
        <x:v>-0.5660981512426627</x:v>
      </x:c>
      <x:c r="M1218" s="17" t="n">
        <x:f>IF('계산 과정'!$L$6,IF(J1218&lt;=0,0,IF(AND(ABS(K1218)&lt;='계산 과정'!$D$11/2,ABS(L1218)&lt;='계산 과정'!$D$12/2),1,0)),"")</x:f>
        <x:v>1</x:v>
      </x:c>
      <x:c r="N1218" s="17" t="n">
        <x:f>IF('계산 과정'!$C$78,IF(AND(ISNUMBER(H1218),ISNUMBER(I1218),ABS(H1218-'계산 과정'!$C$88)&lt;='계산 과정'!$D$23/2,ABS(I1218-'계산 과정'!$C$89)&lt;='계산 과정'!$D$24/2),1,0),"")</x:f>
        <x:v>1</x:v>
      </x:c>
      <x:c r="O1218" s="4" t="n">
        <x:f>IF('계산 과정'!$L$7,'계산 과정'!$C$49*('계산 과정'!$C$32-D1218)+'계산 과정'!$D$49*('계산 과정'!$D$32-E1218)+'계산 과정'!$E$49*'계산 과정'!$E$32,"")</x:f>
        <x:v>76.39838805779439</x:v>
      </x:c>
      <x:c r="P1218" s="4" t="n">
        <x:f>IF(AND('계산 과정'!$L$7,O1218&lt;&gt;0),('계산 과정'!$L$23-'계산 과정'!$C$49*D1218-'계산 과정'!$D$49*E1218)/O1218,"")</x:f>
        <x:v>6.235712561073998</x:v>
      </x:c>
      <x:c r="Q1218" s="4" t="str">
        <x:f>IF(AND(ISNUMBER(P1218),P1218&gt;1E-9,P1218&lt;1-1E-9),'계산 과정'!$C$47*(D1218-'계산 과정'!$C$50+P1218*('계산 과정'!$C$32-D1218))+'계산 과정'!$D$47*(E1218-'계산 과정'!$D$50+P1218*('계산 과정'!$D$32-E1218))+'계산 과정'!$E$47*(0-'계산 과정'!$E$50+P1218*('계산 과정'!$E$32-0)),"")</x:f>
      </x:c>
      <x:c r="R1218" s="4" t="str">
        <x:f>IF(AND(ISNUMBER(P1218),P1218&gt;1E-9,P1218&lt;1-1E-9),'계산 과정'!$C$48*(D1218-'계산 과정'!$C$50+P1218*('계산 과정'!$C$32-D1218))+'계산 과정'!$D$48*(E1218-'계산 과정'!$D$50+P1218*('계산 과정'!$D$32-E1218))+'계산 과정'!$E$48*(0-'계산 과정'!$E$50+P1218*('계산 과정'!$E$32-0)),"")</x:f>
      </x:c>
      <x:c r="S1218" s="17" t="n">
        <x:f>IF('계산 과정'!$C$78,IF(AND(ISNUMBER(Q1218),ISNUMBER(R1218),ABS(Q1218-'계산 과정'!$C$88)&lt;='계산 과정'!$D$23/2,ABS(R1218-'계산 과정'!$C$89)&lt;='계산 과정'!$D$24/2),1,0),"")</x:f>
        <x:v>0</x:v>
      </x:c>
      <x:c r="T1218" s="4"/>
      <x:c r="U1218" s="4"/>
      <x:c r="V1218" s="4"/>
      <x:c r="W1218" s="4"/>
      <x:c r="X1218" s="4"/>
      <x:c r="Y1218" s="4"/>
      <x:c r="Z1218" s="4"/>
    </x:row>
    <x:row r="1219" ht="23" customHeight="1">
      <x:c r="A1219" s="17" t="n">
        <x:f>ROW()-6</x:f>
        <x:v>1213</x:v>
      </x:c>
      <x:c r="B1219" s="4" t="n">
        <x:f>IF('계산 과정'!$L$5,'계산 과정'!$L$11*SQRT((A1219+0.5)/'계산 과정'!$L$30),"")</x:f>
        <x:v>115.46388690706502</x:v>
      </x:c>
      <x:c r="C1219" s="4" t="n">
        <x:f>A1219*PI()*(3-SQRT(5))</x:f>
        <x:v>2911.155397660856</x:v>
      </x:c>
      <x:c r="D1219" s="4" t="n">
        <x:f>IF('계산 과정'!$L$5,B1219*COS(C1219),"")</x:f>
        <x:v>-52.27184413620537</x:v>
      </x:c>
      <x:c r="E1219" s="4" t="n">
        <x:f>IF('계산 과정'!$L$5,B1219*SIN(C1219),"")</x:f>
        <x:v>102.95418150948389</x:v>
      </x:c>
      <x:c r="F1219" s="4" t="n">
        <x:f>IF('계산 과정'!$L$7,'계산 과정'!$L$22+'계산 과정'!$C$49*D1219+'계산 과정'!$D$49*E1219,"")</x:f>
        <x:v>686.961775453837</x:v>
      </x:c>
      <x:c r="G1219" s="4" t="n">
        <x:f>IF('계산 과정'!$L$7,IF(ABS(F1219)&gt;=1E-12*MAX(1,SQRT((D1219-'계산 과정'!$C$33)^2+(E1219-'계산 과정'!$D$33)^2+'계산 과정'!$E$33^2)),('계산 과정'!$L$23-'계산 과정'!$C$49*D1219-'계산 과정'!$D$49*E1219)/F1219,""),"")</x:f>
        <x:v>0.5284693232113591</x:v>
      </x:c>
      <x:c r="H1219" s="4" t="n">
        <x:f>IF(AND(ISNUMBER(G1219),G1219&gt;0),('계산 과정'!$D$56+'계산 과정'!$D$57*D1219+'계산 과정'!$D$58*E1219)/F1219,"")</x:f>
        <x:v>-56.49493991261672</x:v>
      </x:c>
      <x:c r="I1219" s="4" t="n">
        <x:f>IF(AND(ISNUMBER(G1219),G1219&gt;0),('계산 과정'!$E$56+'계산 과정'!$E$57*D1219+'계산 과정'!$E$58*E1219)/F1219,"")</x:f>
        <x:v>157.36230813358026</x:v>
      </x:c>
      <x:c r="J1219" s="4" t="n">
        <x:f>IF('계산 과정'!$L$5,'계산 과정'!$D$6+'계산 과정'!$C$35*D1219+'계산 과정'!$D$35*E1219,"")</x:f>
        <x:v>686.961775453837</x:v>
      </x:c>
      <x:c r="K1219" s="4" t="n">
        <x:f>IF(AND('계산 과정'!$L$6,J1219&gt;0),'계산 과정'!$D$10*('계산 과정'!$C$38*(D1219-'계산 과정'!$C$32)+'계산 과정'!$D$38*(E1219-'계산 과정'!$D$32)-'계산 과정'!$E$38*'계산 과정'!$E$32)/J1219,"")</x:f>
        <x:v>-0.4304376374294594</x:v>
      </x:c>
      <x:c r="L1219" s="4" t="n">
        <x:f>IF(AND('계산 과정'!$L$6,J1219&gt;0),'계산 과정'!$D$10*('계산 과정'!$C$39*(D1219-'계산 과정'!$C$32)+'계산 과정'!$D$39*(E1219-'계산 과정'!$D$32)-'계산 과정'!$E$39*'계산 과정'!$E$32)/J1219,"")</x:f>
        <x:v>1.1989509191129926</x:v>
      </x:c>
      <x:c r="M1219" s="17" t="n">
        <x:f>IF('계산 과정'!$L$6,IF(J1219&lt;=0,0,IF(AND(ABS(K1219)&lt;='계산 과정'!$D$11/2,ABS(L1219)&lt;='계산 과정'!$D$12/2),1,0)),"")</x:f>
        <x:v>1</x:v>
      </x:c>
      <x:c r="N1219" s="17" t="n">
        <x:f>IF('계산 과정'!$C$78,IF(AND(ISNUMBER(H1219),ISNUMBER(I1219),ABS(H1219-'계산 과정'!$C$88)&lt;='계산 과정'!$D$23/2,ABS(I1219-'계산 과정'!$C$89)&lt;='계산 과정'!$D$24/2),1,0),"")</x:f>
        <x:v>1</x:v>
      </x:c>
      <x:c r="O1219" s="4" t="n">
        <x:f>IF('계산 과정'!$L$7,'계산 과정'!$C$49*('계산 과정'!$C$32-D1219)+'계산 과정'!$D$49*('계산 과정'!$D$32-E1219)+'계산 과정'!$E$49*'계산 과정'!$E$32,"")</x:f>
        <x:v>-36.961775453836935</x:v>
      </x:c>
      <x:c r="P1219" s="4" t="n">
        <x:f>IF(AND('계산 과정'!$L$7,O1219&lt;&gt;0),('계산 과정'!$L$23-'계산 과정'!$C$49*D1219-'계산 과정'!$D$49*E1219)/O1219,"")</x:f>
        <x:v>-9.82199096468123</x:v>
      </x:c>
      <x:c r="Q1219" s="4" t="str">
        <x:f>IF(AND(ISNUMBER(P1219),P1219&gt;1E-9,P1219&lt;1-1E-9),'계산 과정'!$C$47*(D1219-'계산 과정'!$C$50+P1219*('계산 과정'!$C$32-D1219))+'계산 과정'!$D$47*(E1219-'계산 과정'!$D$50+P1219*('계산 과정'!$D$32-E1219))+'계산 과정'!$E$47*(0-'계산 과정'!$E$50+P1219*('계산 과정'!$E$32-0)),"")</x:f>
      </x:c>
      <x:c r="R1219" s="4" t="str">
        <x:f>IF(AND(ISNUMBER(P1219),P1219&gt;1E-9,P1219&lt;1-1E-9),'계산 과정'!$C$48*(D1219-'계산 과정'!$C$50+P1219*('계산 과정'!$C$32-D1219))+'계산 과정'!$D$48*(E1219-'계산 과정'!$D$50+P1219*('계산 과정'!$D$32-E1219))+'계산 과정'!$E$48*(0-'계산 과정'!$E$50+P1219*('계산 과정'!$E$32-0)),"")</x:f>
      </x:c>
      <x:c r="S1219" s="17" t="n">
        <x:f>IF('계산 과정'!$C$78,IF(AND(ISNUMBER(Q1219),ISNUMBER(R1219),ABS(Q1219-'계산 과정'!$C$88)&lt;='계산 과정'!$D$23/2,ABS(R1219-'계산 과정'!$C$89)&lt;='계산 과정'!$D$24/2),1,0),"")</x:f>
        <x:v>0</x:v>
      </x:c>
      <x:c r="T1219" s="4"/>
      <x:c r="U1219" s="4"/>
      <x:c r="V1219" s="4"/>
      <x:c r="W1219" s="4"/>
      <x:c r="X1219" s="4"/>
      <x:c r="Y1219" s="4"/>
      <x:c r="Z1219" s="4"/>
    </x:row>
    <x:row r="1220" ht="23" customHeight="1">
      <x:c r="A1220" s="17" t="n">
        <x:f>ROW()-6</x:f>
        <x:v>1214</x:v>
      </x:c>
      <x:c r="B1220" s="4" t="n">
        <x:f>IF('계산 과정'!$L$5,'계산 과정'!$L$11*SQRT((A1220+0.5)/'계산 과정'!$L$30),"")</x:f>
        <x:v>115.51145184704632</x:v>
      </x:c>
      <x:c r="C1220" s="4" t="n">
        <x:f>A1220*PI()*(3-SQRT(5))</x:f>
        <x:v>2913.555360890585</x:v>
      </x:c>
      <x:c r="D1220" s="4" t="n">
        <x:f>IF('계산 과정'!$L$5,B1220*COS(C1220),"")</x:f>
        <x:v>-31.013690016595653</x:v>
      </x:c>
      <x:c r="E1220" s="4" t="n">
        <x:f>IF('계산 과정'!$L$5,B1220*SIN(C1220),"")</x:f>
        <x:v>-111.27015116088867</x:v>
      </x:c>
      <x:c r="F1220" s="4" t="n">
        <x:f>IF('계산 과정'!$L$7,'계산 과정'!$L$22+'계산 과정'!$C$49*D1220+'계산 과정'!$D$49*E1220,"")</x:f>
        <x:v>671.9299905203524</x:v>
      </x:c>
      <x:c r="G1220" s="4" t="n">
        <x:f>IF('계산 과정'!$L$7,IF(ABS(F1220)&gt;=1E-12*MAX(1,SQRT((D1220-'계산 과정'!$C$33)^2+(E1220-'계산 과정'!$D$33)^2+'계산 과정'!$E$33^2)),('계산 과정'!$L$23-'계산 과정'!$C$49*D1220-'계산 과정'!$D$49*E1220)/F1220,""),"")</x:f>
        <x:v>0.5626627994188275</x:v>
      </x:c>
      <x:c r="H1220" s="4" t="n">
        <x:f>IF(AND(ISNUMBER(G1220),G1220&gt;0),('계산 과정'!$D$56+'계산 과정'!$D$57*D1220+'계산 과정'!$D$58*E1220)/F1220,"")</x:f>
        <x:v>-34.26918037776222</x:v>
      </x:c>
      <x:c r="I1220" s="4" t="n">
        <x:f>IF(AND(ISNUMBER(G1220),G1220&gt;0),('계산 과정'!$E$56+'계산 과정'!$E$57*D1220+'계산 과정'!$E$58*E1220)/F1220,"")</x:f>
        <x:v>-173.87772590483038</x:v>
      </x:c>
      <x:c r="J1220" s="4" t="n">
        <x:f>IF('계산 과정'!$L$5,'계산 과정'!$D$6+'계산 과정'!$C$35*D1220+'계산 과정'!$D$35*E1220,"")</x:f>
        <x:v>671.9299905203524</x:v>
      </x:c>
      <x:c r="K1220" s="4" t="n">
        <x:f>IF(AND('계산 과정'!$L$6,J1220&gt;0),'계산 과정'!$D$10*('계산 과정'!$C$38*(D1220-'계산 과정'!$C$32)+'계산 과정'!$D$38*(E1220-'계산 과정'!$D$32)-'계산 과정'!$E$38*'계산 과정'!$E$32)/J1220,"")</x:f>
        <x:v>-0.2610985171639016</x:v>
      </x:c>
      <x:c r="L1220" s="4" t="n">
        <x:f>IF(AND('계산 과정'!$L$6,J1220&gt;0),'계산 과정'!$D$10*('계산 과정'!$C$39*(D1220-'계산 과정'!$C$32)+'계산 과정'!$D$39*(E1220-'계산 과정'!$D$32)-'계산 과정'!$E$39*'계산 과정'!$E$32)/J1220,"")</x:f>
        <x:v>-1.3247826735606125</x:v>
      </x:c>
      <x:c r="M1220" s="17" t="n">
        <x:f>IF('계산 과정'!$L$6,IF(J1220&lt;=0,0,IF(AND(ABS(K1220)&lt;='계산 과정'!$D$11/2,ABS(L1220)&lt;='계산 과정'!$D$12/2),1,0)),"")</x:f>
        <x:v>1</x:v>
      </x:c>
      <x:c r="N1220" s="17" t="n">
        <x:f>IF('계산 과정'!$C$78,IF(AND(ISNUMBER(H1220),ISNUMBER(I1220),ABS(H1220-'계산 과정'!$C$88)&lt;='계산 과정'!$D$23/2,ABS(I1220-'계산 과정'!$C$89)&lt;='계산 과정'!$D$24/2),1,0),"")</x:f>
        <x:v>1</x:v>
      </x:c>
      <x:c r="O1220" s="4" t="n">
        <x:f>IF('계산 과정'!$L$7,'계산 과정'!$C$49*('계산 과정'!$C$32-D1220)+'계산 과정'!$D$49*('계산 과정'!$D$32-E1220)+'계산 과정'!$E$49*'계산 과정'!$E$32,"")</x:f>
        <x:v>-21.92999052035219</x:v>
      </x:c>
      <x:c r="P1220" s="4" t="n">
        <x:f>IF(AND('계산 과정'!$L$7,O1220&lt;&gt;0),('계산 과정'!$L$23-'계산 과정'!$C$49*D1220-'계산 과정'!$D$49*E1220)/O1220,"")</x:f>
        <x:v>-17.23986196568479</x:v>
      </x:c>
      <x:c r="Q1220" s="4" t="str">
        <x:f>IF(AND(ISNUMBER(P1220),P1220&gt;1E-9,P1220&lt;1-1E-9),'계산 과정'!$C$47*(D1220-'계산 과정'!$C$50+P1220*('계산 과정'!$C$32-D1220))+'계산 과정'!$D$47*(E1220-'계산 과정'!$D$50+P1220*('계산 과정'!$D$32-E1220))+'계산 과정'!$E$47*(0-'계산 과정'!$E$50+P1220*('계산 과정'!$E$32-0)),"")</x:f>
      </x:c>
      <x:c r="R1220" s="4" t="str">
        <x:f>IF(AND(ISNUMBER(P1220),P1220&gt;1E-9,P1220&lt;1-1E-9),'계산 과정'!$C$48*(D1220-'계산 과정'!$C$50+P1220*('계산 과정'!$C$32-D1220))+'계산 과정'!$D$48*(E1220-'계산 과정'!$D$50+P1220*('계산 과정'!$D$32-E1220))+'계산 과정'!$E$48*(0-'계산 과정'!$E$50+P1220*('계산 과정'!$E$32-0)),"")</x:f>
      </x:c>
      <x:c r="S1220" s="17" t="n">
        <x:f>IF('계산 과정'!$C$78,IF(AND(ISNUMBER(Q1220),ISNUMBER(R1220),ABS(Q1220-'계산 과정'!$C$88)&lt;='계산 과정'!$D$23/2,ABS(R1220-'계산 과정'!$C$89)&lt;='계산 과정'!$D$24/2),1,0),"")</x:f>
        <x:v>0</x:v>
      </x:c>
      <x:c r="T1220" s="4"/>
      <x:c r="U1220" s="4"/>
      <x:c r="V1220" s="4"/>
      <x:c r="W1220" s="4"/>
      <x:c r="X1220" s="4"/>
      <x:c r="Y1220" s="4"/>
      <x:c r="Z1220" s="4"/>
    </x:row>
    <x:row r="1221" ht="23" customHeight="1">
      <x:c r="A1221" s="17" t="n">
        <x:f>ROW()-6</x:f>
        <x:v>1215</x:v>
      </x:c>
      <x:c r="B1221" s="4" t="n">
        <x:f>IF('계산 과정'!$L$5,'계산 과정'!$L$11*SQRT((A1221+0.5)/'계산 과정'!$L$30),"")</x:f>
        <x:v>115.55899720894735</x:v>
      </x:c>
      <x:c r="C1221" s="4" t="n">
        <x:f>A1221*PI()*(3-SQRT(5))</x:f>
        <x:v>2915.955324120313</x:v>
      </x:c>
      <x:c r="D1221" s="4" t="n">
        <x:f>IF('계산 과정'!$L$5,B1221*COS(C1221),"")</x:f>
        <x:v>98.07078701061991</x:v>
      </x:c>
      <x:c r="E1221" s="4" t="n">
        <x:f>IF('계산 과정'!$L$5,B1221*SIN(C1221),"")</x:f>
        <x:v>61.12284819161429</x:v>
      </x:c>
      <x:c r="F1221" s="4" t="n">
        <x:f>IF('계산 과정'!$L$7,'계산 과정'!$L$22+'계산 과정'!$C$49*D1221+'계산 과정'!$D$49*E1221,"")</x:f>
        <x:v>580.6534814684891</x:v>
      </x:c>
      <x:c r="G1221" s="4" t="n">
        <x:f>IF('계산 과정'!$L$7,IF(ABS(F1221)&gt;=1E-12*MAX(1,SQRT((D1221-'계산 과정'!$C$33)^2+(E1221-'계산 과정'!$D$33)^2+'계산 과정'!$E$33^2)),('계산 과정'!$L$23-'계산 과정'!$C$49*D1221-'계산 과정'!$D$49*E1221)/F1221,""),"")</x:f>
        <x:v>0.808307421742345</x:v>
      </x:c>
      <x:c r="H1221" s="4" t="n">
        <x:f>IF(AND(ISNUMBER(G1221),G1221&gt;0),('계산 과정'!$D$56+'계산 과정'!$D$57*D1221+'계산 과정'!$D$58*E1221)/F1221,"")</x:f>
        <x:v>125.39982413252417</x:v>
      </x:c>
      <x:c r="I1221" s="4" t="n">
        <x:f>IF(AND(ISNUMBER(G1221),G1221&gt;0),('계산 과정'!$E$56+'계산 과정'!$E$57*D1221+'계산 과정'!$E$58*E1221)/F1221,"")</x:f>
        <x:v>110.52890002292679</x:v>
      </x:c>
      <x:c r="J1221" s="4" t="n">
        <x:f>IF('계산 과정'!$L$5,'계산 과정'!$D$6+'계산 과정'!$C$35*D1221+'계산 과정'!$D$35*E1221,"")</x:f>
        <x:v>580.6534814684891</x:v>
      </x:c>
      <x:c r="K1221" s="4" t="n">
        <x:f>IF(AND('계산 과정'!$L$6,J1221&gt;0),'계산 과정'!$D$10*('계산 과정'!$C$38*(D1221-'계산 과정'!$C$32)+'계산 과정'!$D$38*(E1221-'계산 과정'!$D$32)-'계산 과정'!$E$38*'계산 과정'!$E$32)/J1221,"")</x:f>
        <x:v>0.9554272314858996</x:v>
      </x:c>
      <x:c r="L1221" s="4" t="n">
        <x:f>IF(AND('계산 과정'!$L$6,J1221&gt;0),'계산 과정'!$D$10*('계산 과정'!$C$39*(D1221-'계산 과정'!$C$32)+'계산 과정'!$D$39*(E1221-'계산 과정'!$D$32)-'계산 과정'!$E$39*'계산 과정'!$E$32)/J1221,"")</x:f>
        <x:v>0.8421249525556327</x:v>
      </x:c>
      <x:c r="M1221" s="17" t="n">
        <x:f>IF('계산 과정'!$L$6,IF(J1221&lt;=0,0,IF(AND(ABS(K1221)&lt;='계산 과정'!$D$11/2,ABS(L1221)&lt;='계산 과정'!$D$12/2),1,0)),"")</x:f>
        <x:v>1</x:v>
      </x:c>
      <x:c r="N1221" s="17" t="n">
        <x:f>IF('계산 과정'!$C$78,IF(AND(ISNUMBER(H1221),ISNUMBER(I1221),ABS(H1221-'계산 과정'!$C$88)&lt;='계산 과정'!$D$23/2,ABS(I1221-'계산 과정'!$C$89)&lt;='계산 과정'!$D$24/2),1,0),"")</x:f>
        <x:v>1</x:v>
      </x:c>
      <x:c r="O1221" s="4" t="n">
        <x:f>IF('계산 과정'!$L$7,'계산 과정'!$C$49*('계산 과정'!$C$32-D1221)+'계산 과정'!$D$49*('계산 과정'!$D$32-E1221)+'계산 과정'!$E$49*'계산 과정'!$E$32,"")</x:f>
        <x:v>69.34651853151104</x:v>
      </x:c>
      <x:c r="P1221" s="4" t="n">
        <x:f>IF(AND('계산 과정'!$L$7,O1221&lt;&gt;0),('계산 과정'!$L$23-'계산 과정'!$C$49*D1221-'계산 과정'!$D$49*E1221)/O1221,"")</x:f>
        <x:v>6.768133836715105</x:v>
      </x:c>
      <x:c r="Q1221" s="4" t="str">
        <x:f>IF(AND(ISNUMBER(P1221),P1221&gt;1E-9,P1221&lt;1-1E-9),'계산 과정'!$C$47*(D1221-'계산 과정'!$C$50+P1221*('계산 과정'!$C$32-D1221))+'계산 과정'!$D$47*(E1221-'계산 과정'!$D$50+P1221*('계산 과정'!$D$32-E1221))+'계산 과정'!$E$47*(0-'계산 과정'!$E$50+P1221*('계산 과정'!$E$32-0)),"")</x:f>
      </x:c>
      <x:c r="R1221" s="4" t="str">
        <x:f>IF(AND(ISNUMBER(P1221),P1221&gt;1E-9,P1221&lt;1-1E-9),'계산 과정'!$C$48*(D1221-'계산 과정'!$C$50+P1221*('계산 과정'!$C$32-D1221))+'계산 과정'!$D$48*(E1221-'계산 과정'!$D$50+P1221*('계산 과정'!$D$32-E1221))+'계산 과정'!$E$48*(0-'계산 과정'!$E$50+P1221*('계산 과정'!$E$32-0)),"")</x:f>
      </x:c>
      <x:c r="S1221" s="17" t="n">
        <x:f>IF('계산 과정'!$C$78,IF(AND(ISNUMBER(Q1221),ISNUMBER(R1221),ABS(Q1221-'계산 과정'!$C$88)&lt;='계산 과정'!$D$23/2,ABS(R1221-'계산 과정'!$C$89)&lt;='계산 과정'!$D$24/2),1,0),"")</x:f>
        <x:v>0</x:v>
      </x:c>
      <x:c r="T1221" s="4"/>
      <x:c r="U1221" s="4"/>
      <x:c r="V1221" s="4"/>
      <x:c r="W1221" s="4"/>
      <x:c r="X1221" s="4"/>
      <x:c r="Y1221" s="4"/>
      <x:c r="Z1221" s="4"/>
    </x:row>
    <x:row r="1222" ht="23" customHeight="1">
      <x:c r="A1222" s="17" t="n">
        <x:f>ROW()-6</x:f>
        <x:v>1216</x:v>
      </x:c>
      <x:c r="B1222" s="4" t="n">
        <x:f>IF('계산 과정'!$L$5,'계산 과정'!$L$11*SQRT((A1222+0.5)/'계산 과정'!$L$30),"")</x:f>
        <x:v>115.60652301692367</x:v>
      </x:c>
      <x:c r="C1222" s="4" t="n">
        <x:f>A1222*PI()*(3-SQRT(5))</x:f>
        <x:v>2918.3552873500416</x:v>
      </x:c>
      <x:c r="D1222" s="4" t="n">
        <x:f>IF('계산 과정'!$L$5,B1222*COS(C1222),"")</x:f>
        <x:v>-113.64895795488357</x:v>
      </x:c>
      <x:c r="E1222" s="4" t="n">
        <x:f>IF('계산 과정'!$L$5,B1222*SIN(C1222),"")</x:f>
        <x:v>21.18448771699732</x:v>
      </x:c>
      <x:c r="F1222" s="4" t="n">
        <x:f>IF('계산 과정'!$L$7,'계산 과정'!$L$22+'계산 과정'!$C$49*D1222+'계산 과정'!$D$49*E1222,"")</x:f>
        <x:v>730.361948844683</x:v>
      </x:c>
      <x:c r="G1222" s="4" t="n">
        <x:f>IF('계산 과정'!$L$7,IF(ABS(F1222)&gt;=1E-12*MAX(1,SQRT((D1222-'계산 과정'!$C$33)^2+(E1222-'계산 과정'!$D$33)^2+'계산 과정'!$E$33^2)),('계산 과정'!$L$23-'계산 과정'!$C$49*D1222-'계산 과정'!$D$49*E1222)/F1222,""),"")</x:f>
        <x:v>0.4376433515751113</x:v>
      </x:c>
      <x:c r="H1222" s="4" t="n">
        <x:f>IF(AND(ISNUMBER(G1222),G1222&gt;0),('계산 과정'!$D$56+'계산 과정'!$D$57*D1222+'계산 과정'!$D$58*E1222)/F1222,"")</x:f>
        <x:v>-115.53182147617784</x:v>
      </x:c>
      <x:c r="I1222" s="4" t="n">
        <x:f>IF(AND(ISNUMBER(G1222),G1222&gt;0),('계산 과정'!$E$56+'계산 과정'!$E$57*D1222+'계산 과정'!$E$58*E1222)/F1222,"")</x:f>
        <x:v>30.455737922865808</x:v>
      </x:c>
      <x:c r="J1222" s="4" t="n">
        <x:f>IF('계산 과정'!$L$5,'계산 과정'!$D$6+'계산 과정'!$C$35*D1222+'계산 과정'!$D$35*E1222,"")</x:f>
        <x:v>730.361948844683</x:v>
      </x:c>
      <x:c r="K1222" s="4" t="n">
        <x:f>IF(AND('계산 과정'!$L$6,J1222&gt;0),'계산 과정'!$D$10*('계산 과정'!$C$38*(D1222-'계산 과정'!$C$32)+'계산 과정'!$D$38*(E1222-'계산 과정'!$D$32)-'계산 과정'!$E$38*'계산 과정'!$E$32)/J1222,"")</x:f>
        <x:v>-0.8802424493423066</x:v>
      </x:c>
      <x:c r="L1222" s="4" t="n">
        <x:f>IF(AND('계산 과정'!$L$6,J1222&gt;0),'계산 과정'!$D$10*('계산 과정'!$C$39*(D1222-'계산 과정'!$C$32)+'계산 과정'!$D$39*(E1222-'계산 과정'!$D$32)-'계산 과정'!$E$39*'계산 과정'!$E$32)/J1222,"")</x:f>
        <x:v>0.232043717507549</x:v>
      </x:c>
      <x:c r="M1222" s="17" t="n">
        <x:f>IF('계산 과정'!$L$6,IF(J1222&lt;=0,0,IF(AND(ABS(K1222)&lt;='계산 과정'!$D$11/2,ABS(L1222)&lt;='계산 과정'!$D$12/2),1,0)),"")</x:f>
        <x:v>1</x:v>
      </x:c>
      <x:c r="N1222" s="17" t="n">
        <x:f>IF('계산 과정'!$C$78,IF(AND(ISNUMBER(H1222),ISNUMBER(I1222),ABS(H1222-'계산 과정'!$C$88)&lt;='계산 과정'!$D$23/2,ABS(I1222-'계산 과정'!$C$89)&lt;='계산 과정'!$D$24/2),1,0),"")</x:f>
        <x:v>1</x:v>
      </x:c>
      <x:c r="O1222" s="4" t="n">
        <x:f>IF('계산 과정'!$L$7,'계산 과정'!$C$49*('계산 과정'!$C$32-D1222)+'계산 과정'!$D$49*('계산 과정'!$D$32-E1222)+'계산 과정'!$E$49*'계산 과정'!$E$32,"")</x:f>
        <x:v>-80.3619488446829</x:v>
      </x:c>
      <x:c r="P1222" s="4" t="n">
        <x:f>IF(AND('계산 과정'!$L$7,O1222&lt;&gt;0),('계산 과정'!$L$23-'계산 과정'!$C$49*D1222-'계산 과정'!$D$49*E1222)/O1222,"")</x:f>
        <x:v>-3.9774800854206225</x:v>
      </x:c>
      <x:c r="Q1222" s="4" t="str">
        <x:f>IF(AND(ISNUMBER(P1222),P1222&gt;1E-9,P1222&lt;1-1E-9),'계산 과정'!$C$47*(D1222-'계산 과정'!$C$50+P1222*('계산 과정'!$C$32-D1222))+'계산 과정'!$D$47*(E1222-'계산 과정'!$D$50+P1222*('계산 과정'!$D$32-E1222))+'계산 과정'!$E$47*(0-'계산 과정'!$E$50+P1222*('계산 과정'!$E$32-0)),"")</x:f>
      </x:c>
      <x:c r="R1222" s="4" t="str">
        <x:f>IF(AND(ISNUMBER(P1222),P1222&gt;1E-9,P1222&lt;1-1E-9),'계산 과정'!$C$48*(D1222-'계산 과정'!$C$50+P1222*('계산 과정'!$C$32-D1222))+'계산 과정'!$D$48*(E1222-'계산 과정'!$D$50+P1222*('계산 과정'!$D$32-E1222))+'계산 과정'!$E$48*(0-'계산 과정'!$E$50+P1222*('계산 과정'!$E$32-0)),"")</x:f>
      </x:c>
      <x:c r="S1222" s="17" t="n">
        <x:f>IF('계산 과정'!$C$78,IF(AND(ISNUMBER(Q1222),ISNUMBER(R1222),ABS(Q1222-'계산 과정'!$C$88)&lt;='계산 과정'!$D$23/2,ABS(R1222-'계산 과정'!$C$89)&lt;='계산 과정'!$D$24/2),1,0),"")</x:f>
        <x:v>0</x:v>
      </x:c>
      <x:c r="T1222" s="4"/>
      <x:c r="U1222" s="4"/>
      <x:c r="V1222" s="4"/>
      <x:c r="W1222" s="4"/>
      <x:c r="X1222" s="4"/>
      <x:c r="Y1222" s="4"/>
      <x:c r="Z1222" s="4"/>
    </x:row>
    <x:row r="1223" ht="23" customHeight="1">
      <x:c r="A1223" s="17" t="n">
        <x:f>ROW()-6</x:f>
        <x:v>1217</x:v>
      </x:c>
      <x:c r="B1223" s="4" t="n">
        <x:f>IF('계산 과정'!$L$5,'계산 과정'!$L$11*SQRT((A1223+0.5)/'계산 과정'!$L$30),"")</x:f>
        <x:v>115.65402929508119</x:v>
      </x:c>
      <x:c r="C1223" s="4" t="n">
        <x:f>A1223*PI()*(3-SQRT(5))</x:f>
        <x:v>2920.7552505797707</x:v>
      </x:c>
      <x:c r="D1223" s="4" t="n">
        <x:f>IF('계산 과정'!$L$5,B1223*COS(C1223),"")</x:f>
        <x:v>69.51984488946044</x:v>
      </x:c>
      <x:c r="E1223" s="4" t="n">
        <x:f>IF('계산 과정'!$L$5,B1223*SIN(C1223),"")</x:f>
        <x:v>-92.4275157014017</x:v>
      </x:c>
      <x:c r="F1223" s="4" t="n">
        <x:f>IF('계산 과정'!$L$7,'계산 과정'!$L$22+'계산 과정'!$C$49*D1223+'계산 과정'!$D$49*E1223,"")</x:f>
        <x:v>600.8420462516256</x:v>
      </x:c>
      <x:c r="G1223" s="4" t="n">
        <x:f>IF('계산 과정'!$L$7,IF(ABS(F1223)&gt;=1E-12*MAX(1,SQRT((D1223-'계산 과정'!$C$33)^2+(E1223-'계산 과정'!$D$33)^2+'계산 과정'!$E$33^2)),('계산 과정'!$L$23-'계산 과정'!$C$49*D1223-'계산 과정'!$D$49*E1223)/F1223,""),"")</x:f>
        <x:v>0.7475474736671015</x:v>
      </x:c>
      <x:c r="H1223" s="4" t="n">
        <x:f>IF(AND(ISNUMBER(G1223),G1223&gt;0),('계산 과정'!$D$56+'계산 과정'!$D$57*D1223+'계산 과정'!$D$58*E1223)/F1223,"")</x:f>
        <x:v>85.90585788361585</x:v>
      </x:c>
      <x:c r="I1223" s="4" t="n">
        <x:f>IF(AND(ISNUMBER(G1223),G1223&gt;0),('계산 과정'!$E$56+'계산 과정'!$E$57*D1223+'계산 과정'!$E$58*E1223)/F1223,"")</x:f>
        <x:v>-161.5214715613109</x:v>
      </x:c>
      <x:c r="J1223" s="4" t="n">
        <x:f>IF('계산 과정'!$L$5,'계산 과정'!$D$6+'계산 과정'!$C$35*D1223+'계산 과정'!$D$35*E1223,"")</x:f>
        <x:v>600.8420462516256</x:v>
      </x:c>
      <x:c r="K1223" s="4" t="n">
        <x:f>IF(AND('계산 과정'!$L$6,J1223&gt;0),'계산 과정'!$D$10*('계산 과정'!$C$38*(D1223-'계산 과정'!$C$32)+'계산 과정'!$D$38*(E1223-'계산 과정'!$D$32)-'계산 과정'!$E$38*'계산 과정'!$E$32)/J1223,"")</x:f>
        <x:v>0.6545208219704074</x:v>
      </x:c>
      <x:c r="L1223" s="4" t="n">
        <x:f>IF(AND('계산 과정'!$L$6,J1223&gt;0),'계산 과정'!$D$10*('계산 과정'!$C$39*(D1223-'계산 과정'!$C$32)+'계산 과정'!$D$39*(E1223-'계산 과정'!$D$32)-'계산 과정'!$E$39*'계산 과정'!$E$32)/J1223,"")</x:f>
        <x:v>-1.2306397833242735</x:v>
      </x:c>
      <x:c r="M1223" s="17" t="n">
        <x:f>IF('계산 과정'!$L$6,IF(J1223&lt;=0,0,IF(AND(ABS(K1223)&lt;='계산 과정'!$D$11/2,ABS(L1223)&lt;='계산 과정'!$D$12/2),1,0)),"")</x:f>
        <x:v>1</x:v>
      </x:c>
      <x:c r="N1223" s="17" t="n">
        <x:f>IF('계산 과정'!$C$78,IF(AND(ISNUMBER(H1223),ISNUMBER(I1223),ABS(H1223-'계산 과정'!$C$88)&lt;='계산 과정'!$D$23/2,ABS(I1223-'계산 과정'!$C$89)&lt;='계산 과정'!$D$24/2),1,0),"")</x:f>
        <x:v>1</x:v>
      </x:c>
      <x:c r="O1223" s="4" t="n">
        <x:f>IF('계산 과정'!$L$7,'계산 과정'!$C$49*('계산 과정'!$C$32-D1223)+'계산 과정'!$D$49*('계산 과정'!$D$32-E1223)+'계산 과정'!$E$49*'계산 과정'!$E$32,"")</x:f>
        <x:v>49.15795374837455</x:v>
      </x:c>
      <x:c r="P1223" s="4" t="n">
        <x:f>IF(AND('계산 과정'!$L$7,O1223&lt;&gt;0),('계산 과정'!$L$23-'계산 과정'!$C$49*D1223-'계산 과정'!$D$49*E1223)/O1223,"")</x:f>
        <x:v>9.137035199786489</x:v>
      </x:c>
      <x:c r="Q1223" s="4" t="str">
        <x:f>IF(AND(ISNUMBER(P1223),P1223&gt;1E-9,P1223&lt;1-1E-9),'계산 과정'!$C$47*(D1223-'계산 과정'!$C$50+P1223*('계산 과정'!$C$32-D1223))+'계산 과정'!$D$47*(E1223-'계산 과정'!$D$50+P1223*('계산 과정'!$D$32-E1223))+'계산 과정'!$E$47*(0-'계산 과정'!$E$50+P1223*('계산 과정'!$E$32-0)),"")</x:f>
      </x:c>
      <x:c r="R1223" s="4" t="str">
        <x:f>IF(AND(ISNUMBER(P1223),P1223&gt;1E-9,P1223&lt;1-1E-9),'계산 과정'!$C$48*(D1223-'계산 과정'!$C$50+P1223*('계산 과정'!$C$32-D1223))+'계산 과정'!$D$48*(E1223-'계산 과정'!$D$50+P1223*('계산 과정'!$D$32-E1223))+'계산 과정'!$E$48*(0-'계산 과정'!$E$50+P1223*('계산 과정'!$E$32-0)),"")</x:f>
      </x:c>
      <x:c r="S1223" s="17" t="n">
        <x:f>IF('계산 과정'!$C$78,IF(AND(ISNUMBER(Q1223),ISNUMBER(R1223),ABS(Q1223-'계산 과정'!$C$88)&lt;='계산 과정'!$D$23/2,ABS(R1223-'계산 과정'!$C$89)&lt;='계산 과정'!$D$24/2),1,0),"")</x:f>
        <x:v>0</x:v>
      </x:c>
      <x:c r="T1223" s="4"/>
      <x:c r="U1223" s="4"/>
      <x:c r="V1223" s="4"/>
      <x:c r="W1223" s="4"/>
      <x:c r="X1223" s="4"/>
      <x:c r="Y1223" s="4"/>
      <x:c r="Z1223" s="4"/>
    </x:row>
    <x:row r="1224" ht="23" customHeight="1">
      <x:c r="A1224" s="17" t="n">
        <x:f>ROW()-6</x:f>
        <x:v>1218</x:v>
      </x:c>
      <x:c r="B1224" s="4" t="n">
        <x:f>IF('계산 과정'!$L$5,'계산 과정'!$L$11*SQRT((A1224+0.5)/'계산 과정'!$L$30),"")</x:f>
        <x:v>115.7015160674764</x:v>
      </x:c>
      <x:c r="C1224" s="4" t="n">
        <x:f>A1224*PI()*(3-SQRT(5))</x:f>
        <x:v>2923.1552138094994</x:v>
      </x:c>
      <x:c r="D1224" s="4" t="n">
        <x:f>IF('계산 과정'!$L$5,B1224*COS(C1224),"")</x:f>
        <x:v>11.17670694647172</x:v>
      </x:c>
      <x:c r="E1224" s="4" t="n">
        <x:f>IF('계산 과정'!$L$5,B1224*SIN(C1224),"")</x:f>
        <x:v>115.16041873033109</x:v>
      </x:c>
      <x:c r="F1224" s="4" t="n">
        <x:f>IF('계산 과정'!$L$7,'계산 과정'!$L$22+'계산 과정'!$C$49*D1224+'계산 과정'!$D$49*E1224,"")</x:f>
        <x:v>642.096874726815</x:v>
      </x:c>
      <x:c r="G1224" s="4" t="n">
        <x:f>IF('계산 과정'!$L$7,IF(ABS(F1224)&gt;=1E-12*MAX(1,SQRT((D1224-'계산 과정'!$C$33)^2+(E1224-'계산 과정'!$D$33)^2+'계산 과정'!$E$33^2)),('계산 과정'!$L$23-'계산 과정'!$C$49*D1224-'계산 과정'!$D$49*E1224)/F1224,""),"")</x:f>
        <x:v>0.6352672646891957</x:v>
      </x:c>
      <x:c r="H1224" s="4" t="n">
        <x:f>IF(AND(ISNUMBER(G1224),G1224&gt;0),('계산 과정'!$D$56+'계산 과정'!$D$57*D1224+'계산 과정'!$D$58*E1224)/F1224,"")</x:f>
        <x:v>12.923722047977083</x:v>
      </x:c>
      <x:c r="I1224" s="4" t="n">
        <x:f>IF(AND(ISNUMBER(G1224),G1224&gt;0),('계산 과정'!$E$56+'계산 과정'!$E$57*D1224+'계산 과정'!$E$58*E1224)/F1224,"")</x:f>
        <x:v>188.31806293761093</x:v>
      </x:c>
      <x:c r="J1224" s="4" t="n">
        <x:f>IF('계산 과정'!$L$5,'계산 과정'!$D$6+'계산 과정'!$C$35*D1224+'계산 과정'!$D$35*E1224,"")</x:f>
        <x:v>642.096874726815</x:v>
      </x:c>
      <x:c r="K1224" s="4" t="n">
        <x:f>IF(AND('계산 과정'!$L$6,J1224&gt;0),'계산 과정'!$D$10*('계산 과정'!$C$38*(D1224-'계산 과정'!$C$32)+'계산 과정'!$D$38*(E1224-'계산 과정'!$D$32)-'계산 과정'!$E$38*'계산 과정'!$E$32)/J1224,"")</x:f>
        <x:v>0.09846645369887419</x:v>
      </x:c>
      <x:c r="L1224" s="4" t="n">
        <x:f>IF(AND('계산 과정'!$L$6,J1224&gt;0),'계산 과정'!$D$10*('계산 과정'!$C$39*(D1224-'계산 과정'!$C$32)+'계산 과정'!$D$39*(E1224-'계산 과정'!$D$32)-'계산 과정'!$E$39*'계산 과정'!$E$32)/J1224,"")</x:f>
        <x:v>1.4348042890484642</x:v>
      </x:c>
      <x:c r="M1224" s="17" t="n">
        <x:f>IF('계산 과정'!$L$6,IF(J1224&lt;=0,0,IF(AND(ABS(K1224)&lt;='계산 과정'!$D$11/2,ABS(L1224)&lt;='계산 과정'!$D$12/2),1,0)),"")</x:f>
        <x:v>1</x:v>
      </x:c>
      <x:c r="N1224" s="17" t="n">
        <x:f>IF('계산 과정'!$C$78,IF(AND(ISNUMBER(H1224),ISNUMBER(I1224),ABS(H1224-'계산 과정'!$C$88)&lt;='계산 과정'!$D$23/2,ABS(I1224-'계산 과정'!$C$89)&lt;='계산 과정'!$D$24/2),1,0),"")</x:f>
        <x:v>1</x:v>
      </x:c>
      <x:c r="O1224" s="4" t="n">
        <x:f>IF('계산 과정'!$L$7,'계산 과정'!$C$49*('계산 과정'!$C$32-D1224)+'계산 과정'!$D$49*('계산 과정'!$D$32-E1224)+'계산 과정'!$E$49*'계산 과정'!$E$32,"")</x:f>
        <x:v>7.903125273185026</x:v>
      </x:c>
      <x:c r="P1224" s="4" t="n">
        <x:f>IF(AND('계산 과정'!$L$7,O1224&lt;&gt;0),('계산 과정'!$L$23-'계산 과정'!$C$49*D1224-'계산 과정'!$D$49*E1224)/O1224,"")</x:f>
        <x:v>51.61288872102069</x:v>
      </x:c>
      <x:c r="Q1224" s="4" t="str">
        <x:f>IF(AND(ISNUMBER(P1224),P1224&gt;1E-9,P1224&lt;1-1E-9),'계산 과정'!$C$47*(D1224-'계산 과정'!$C$50+P1224*('계산 과정'!$C$32-D1224))+'계산 과정'!$D$47*(E1224-'계산 과정'!$D$50+P1224*('계산 과정'!$D$32-E1224))+'계산 과정'!$E$47*(0-'계산 과정'!$E$50+P1224*('계산 과정'!$E$32-0)),"")</x:f>
      </x:c>
      <x:c r="R1224" s="4" t="str">
        <x:f>IF(AND(ISNUMBER(P1224),P1224&gt;1E-9,P1224&lt;1-1E-9),'계산 과정'!$C$48*(D1224-'계산 과정'!$C$50+P1224*('계산 과정'!$C$32-D1224))+'계산 과정'!$D$48*(E1224-'계산 과정'!$D$50+P1224*('계산 과정'!$D$32-E1224))+'계산 과정'!$E$48*(0-'계산 과정'!$E$50+P1224*('계산 과정'!$E$32-0)),"")</x:f>
      </x:c>
      <x:c r="S1224" s="17" t="n">
        <x:f>IF('계산 과정'!$C$78,IF(AND(ISNUMBER(Q1224),ISNUMBER(R1224),ABS(Q1224-'계산 과정'!$C$88)&lt;='계산 과정'!$D$23/2,ABS(R1224-'계산 과정'!$C$89)&lt;='계산 과정'!$D$24/2),1,0),"")</x:f>
        <x:v>0</x:v>
      </x:c>
      <x:c r="T1224" s="4"/>
      <x:c r="U1224" s="4"/>
      <x:c r="V1224" s="4"/>
      <x:c r="W1224" s="4"/>
      <x:c r="X1224" s="4"/>
      <x:c r="Y1224" s="4"/>
      <x:c r="Z1224" s="4"/>
    </x:row>
    <x:row r="1225" ht="23" customHeight="1">
      <x:c r="A1225" s="17" t="n">
        <x:f>ROW()-6</x:f>
        <x:v>1219</x:v>
      </x:c>
      <x:c r="B1225" s="4" t="n">
        <x:f>IF('계산 과정'!$L$5,'계산 과정'!$L$11*SQRT((A1225+0.5)/'계산 과정'!$L$30),"")</x:f>
        <x:v>115.74898335811636</x:v>
      </x:c>
      <x:c r="C1225" s="4" t="n">
        <x:f>A1225*PI()*(3-SQRT(5))</x:f>
        <x:v>2925.5551770392276</x:v>
      </x:c>
      <x:c r="D1225" s="4" t="n">
        <x:f>IF('계산 과정'!$L$5,B1225*COS(C1225),"")</x:f>
        <x:v>-86.06639580934699</x:v>
      </x:c>
      <x:c r="E1225" s="4" t="n">
        <x:f>IF('계산 과정'!$L$5,B1225*SIN(C1225),"")</x:f>
        <x:v>-77.39769157298115</x:v>
      </x:c>
      <x:c r="F1225" s="4" t="n">
        <x:f>IF('계산 과정'!$L$7,'계산 과정'!$L$22+'계산 과정'!$C$49*D1225+'계산 과정'!$D$49*E1225,"")</x:f>
        <x:v>710.8581321090747</x:v>
      </x:c>
      <x:c r="G1225" s="4" t="n">
        <x:f>IF('계산 과정'!$L$7,IF(ABS(F1225)&gt;=1E-12*MAX(1,SQRT((D1225-'계산 과정'!$C$33)^2+(E1225-'계산 과정'!$D$33)^2+'계산 과정'!$E$33^2)),('계산 과정'!$L$23-'계산 과정'!$C$49*D1225-'계산 과정'!$D$49*E1225)/F1225,""),"")</x:f>
        <x:v>0.477087976590647</x:v>
      </x:c>
      <x:c r="H1225" s="4" t="n">
        <x:f>IF(AND(ISNUMBER(G1225),G1225&gt;0),('계산 과정'!$D$56+'계산 과정'!$D$57*D1225+'계산 과정'!$D$58*E1225)/F1225,"")</x:f>
        <x:v>-89.89281521607957</x:v>
      </x:c>
      <x:c r="I1225" s="4" t="n">
        <x:f>IF(AND(ISNUMBER(G1225),G1225&gt;0),('계산 과정'!$E$56+'계산 과정'!$E$57*D1225+'계산 과정'!$E$58*E1225)/F1225,"")</x:f>
        <x:v>-114.32319963832168</x:v>
      </x:c>
      <x:c r="J1225" s="4" t="n">
        <x:f>IF('계산 과정'!$L$5,'계산 과정'!$D$6+'계산 과정'!$C$35*D1225+'계산 과정'!$D$35*E1225,"")</x:f>
        <x:v>710.8581321090747</x:v>
      </x:c>
      <x:c r="K1225" s="4" t="n">
        <x:f>IF(AND('계산 과정'!$L$6,J1225&gt;0),'계산 과정'!$D$10*('계산 과정'!$C$38*(D1225-'계산 과정'!$C$32)+'계산 과정'!$D$38*(E1225-'계산 과정'!$D$32)-'계산 과정'!$E$38*'계산 과정'!$E$32)/J1225,"")</x:f>
        <x:v>-0.684897639741558</x:v>
      </x:c>
      <x:c r="L1225" s="4" t="n">
        <x:f>IF(AND('계산 과정'!$L$6,J1225&gt;0),'계산 과정'!$D$10*('계산 과정'!$C$39*(D1225-'계산 과정'!$C$32)+'계산 과정'!$D$39*(E1225-'계산 과정'!$D$32)-'계산 과정'!$E$39*'계산 과정'!$E$32)/J1225,"")</x:f>
        <x:v>-0.8710339020062604</x:v>
      </x:c>
      <x:c r="M1225" s="17" t="n">
        <x:f>IF('계산 과정'!$L$6,IF(J1225&lt;=0,0,IF(AND(ABS(K1225)&lt;='계산 과정'!$D$11/2,ABS(L1225)&lt;='계산 과정'!$D$12/2),1,0)),"")</x:f>
        <x:v>1</x:v>
      </x:c>
      <x:c r="N1225" s="17" t="n">
        <x:f>IF('계산 과정'!$C$78,IF(AND(ISNUMBER(H1225),ISNUMBER(I1225),ABS(H1225-'계산 과정'!$C$88)&lt;='계산 과정'!$D$23/2,ABS(I1225-'계산 과정'!$C$89)&lt;='계산 과정'!$D$24/2),1,0),"")</x:f>
        <x:v>1</x:v>
      </x:c>
      <x:c r="O1225" s="4" t="n">
        <x:f>IF('계산 과정'!$L$7,'계산 과정'!$C$49*('계산 과정'!$C$32-D1225)+'계산 과정'!$D$49*('계산 과정'!$D$32-E1225)+'계산 과정'!$E$49*'계산 과정'!$E$32,"")</x:f>
        <x:v>-60.858132109074575</x:v>
      </x:c>
      <x:c r="P1225" s="4" t="n">
        <x:f>IF(AND('계산 과정'!$L$7,O1225&lt;&gt;0),('계산 과정'!$L$23-'계산 과정'!$C$49*D1225-'계산 과정'!$D$49*E1225)/O1225,"")</x:f>
        <x:v>-5.572663112352667</x:v>
      </x:c>
      <x:c r="Q1225" s="4" t="str">
        <x:f>IF(AND(ISNUMBER(P1225),P1225&gt;1E-9,P1225&lt;1-1E-9),'계산 과정'!$C$47*(D1225-'계산 과정'!$C$50+P1225*('계산 과정'!$C$32-D1225))+'계산 과정'!$D$47*(E1225-'계산 과정'!$D$50+P1225*('계산 과정'!$D$32-E1225))+'계산 과정'!$E$47*(0-'계산 과정'!$E$50+P1225*('계산 과정'!$E$32-0)),"")</x:f>
      </x:c>
      <x:c r="R1225" s="4" t="str">
        <x:f>IF(AND(ISNUMBER(P1225),P1225&gt;1E-9,P1225&lt;1-1E-9),'계산 과정'!$C$48*(D1225-'계산 과정'!$C$50+P1225*('계산 과정'!$C$32-D1225))+'계산 과정'!$D$48*(E1225-'계산 과정'!$D$50+P1225*('계산 과정'!$D$32-E1225))+'계산 과정'!$E$48*(0-'계산 과정'!$E$50+P1225*('계산 과정'!$E$32-0)),"")</x:f>
      </x:c>
      <x:c r="S1225" s="17" t="n">
        <x:f>IF('계산 과정'!$C$78,IF(AND(ISNUMBER(Q1225),ISNUMBER(R1225),ABS(Q1225-'계산 과정'!$C$88)&lt;='계산 과정'!$D$23/2,ABS(R1225-'계산 과정'!$C$89)&lt;='계산 과정'!$D$24/2),1,0),"")</x:f>
        <x:v>0</x:v>
      </x:c>
      <x:c r="T1225" s="4"/>
      <x:c r="U1225" s="4"/>
      <x:c r="V1225" s="4"/>
      <x:c r="W1225" s="4"/>
      <x:c r="X1225" s="4"/>
      <x:c r="Y1225" s="4"/>
      <x:c r="Z1225" s="4"/>
    </x:row>
    <x:row r="1226" ht="23" customHeight="1">
      <x:c r="A1226" s="17" t="n">
        <x:f>ROW()-6</x:f>
        <x:v>1220</x:v>
      </x:c>
      <x:c r="B1226" s="4" t="n">
        <x:f>IF('계산 과정'!$L$5,'계산 과정'!$L$11*SQRT((A1226+0.5)/'계산 과정'!$L$30),"")</x:f>
        <x:v>115.79643119095898</x:v>
      </x:c>
      <x:c r="C1226" s="4" t="n">
        <x:f>A1226*PI()*(3-SQRT(5))</x:f>
        <x:v>2927.9551402689567</x:v>
      </x:c>
      <x:c r="D1226" s="4" t="n">
        <x:f>IF('계산 과정'!$L$5,B1226*COS(C1226),"")</x:f>
        <x:v>115.79151699321868</x:v>
      </x:c>
      <x:c r="E1226" s="4" t="n">
        <x:f>IF('계산 과정'!$L$5,B1226*SIN(C1226),"")</x:f>
        <x:v>-1.0668031550621733</x:v>
      </x:c>
      <x:c r="F1226" s="4" t="n">
        <x:f>IF('계산 과정'!$L$7,'계산 과정'!$L$22+'계산 과정'!$C$49*D1226+'계산 과정'!$D$49*E1226,"")</x:f>
        <x:v>568.1230331302178</x:v>
      </x:c>
      <x:c r="G1226" s="4" t="n">
        <x:f>IF('계산 과정'!$L$7,IF(ABS(F1226)&gt;=1E-12*MAX(1,SQRT((D1226-'계산 과정'!$C$33)^2+(E1226-'계산 과정'!$D$33)^2+'계산 과정'!$E$33^2)),('계산 과정'!$L$23-'계산 과정'!$C$49*D1226-'계산 과정'!$D$49*E1226)/F1226,""),"")</x:f>
        <x:v>0.8481912169882623</x:v>
      </x:c>
      <x:c r="H1226" s="4" t="n">
        <x:f>IF(AND(ISNUMBER(G1226),G1226&gt;0),('계산 과정'!$D$56+'계산 과정'!$D$57*D1226+'계산 과정'!$D$58*E1226)/F1226,"")</x:f>
        <x:v>151.32429104237045</x:v>
      </x:c>
      <x:c r="I1226" s="4" t="n">
        <x:f>IF(AND(ISNUMBER(G1226),G1226&gt;0),('계산 과정'!$E$56+'계산 과정'!$E$57*D1226+'계산 과정'!$E$58*E1226)/F1226,"")</x:f>
        <x:v>-1.9716562214412758</x:v>
      </x:c>
      <x:c r="J1226" s="4" t="n">
        <x:f>IF('계산 과정'!$L$5,'계산 과정'!$D$6+'계산 과정'!$C$35*D1226+'계산 과정'!$D$35*E1226,"")</x:f>
        <x:v>568.1230331302178</x:v>
      </x:c>
      <x:c r="K1226" s="4" t="n">
        <x:f>IF(AND('계산 과정'!$L$6,J1226&gt;0),'계산 과정'!$D$10*('계산 과정'!$C$38*(D1226-'계산 과정'!$C$32)+'계산 과정'!$D$38*(E1226-'계산 과정'!$D$32)-'계산 과정'!$E$38*'계산 과정'!$E$32)/J1226,"")</x:f>
        <x:v>1.1529469793704425</x:v>
      </x:c>
      <x:c r="L1226" s="4" t="n">
        <x:f>IF(AND('계산 과정'!$L$6,J1226&gt;0),'계산 과정'!$D$10*('계산 과정'!$C$39*(D1226-'계산 과정'!$C$32)+'계산 과정'!$D$39*(E1226-'계산 과정'!$D$32)-'계산 과정'!$E$39*'계산 과정'!$E$32)/J1226,"")</x:f>
        <x:v>-0.015022142639552578</x:v>
      </x:c>
      <x:c r="M1226" s="17" t="n">
        <x:f>IF('계산 과정'!$L$6,IF(J1226&lt;=0,0,IF(AND(ABS(K1226)&lt;='계산 과정'!$D$11/2,ABS(L1226)&lt;='계산 과정'!$D$12/2),1,0)),"")</x:f>
        <x:v>1</x:v>
      </x:c>
      <x:c r="N1226" s="17" t="n">
        <x:f>IF('계산 과정'!$C$78,IF(AND(ISNUMBER(H1226),ISNUMBER(I1226),ABS(H1226-'계산 과정'!$C$88)&lt;='계산 과정'!$D$23/2,ABS(I1226-'계산 과정'!$C$89)&lt;='계산 과정'!$D$24/2),1,0),"")</x:f>
        <x:v>1</x:v>
      </x:c>
      <x:c r="O1226" s="4" t="n">
        <x:f>IF('계산 과정'!$L$7,'계산 과정'!$C$49*('계산 과정'!$C$32-D1226)+'계산 과정'!$D$49*('계산 과정'!$D$32-E1226)+'계산 과정'!$E$49*'계산 과정'!$E$32,"")</x:f>
        <x:v>81.8769668697824</x:v>
      </x:c>
      <x:c r="P1226" s="4" t="n">
        <x:f>IF(AND('계산 과정'!$L$7,O1226&lt;&gt;0),('계산 과정'!$L$23-'계산 과정'!$C$49*D1226-'계산 과정'!$D$49*E1226)/O1226,"")</x:f>
        <x:v>5.885378822546788</x:v>
      </x:c>
      <x:c r="Q1226" s="4" t="str">
        <x:f>IF(AND(ISNUMBER(P1226),P1226&gt;1E-9,P1226&lt;1-1E-9),'계산 과정'!$C$47*(D1226-'계산 과정'!$C$50+P1226*('계산 과정'!$C$32-D1226))+'계산 과정'!$D$47*(E1226-'계산 과정'!$D$50+P1226*('계산 과정'!$D$32-E1226))+'계산 과정'!$E$47*(0-'계산 과정'!$E$50+P1226*('계산 과정'!$E$32-0)),"")</x:f>
      </x:c>
      <x:c r="R1226" s="4" t="str">
        <x:f>IF(AND(ISNUMBER(P1226),P1226&gt;1E-9,P1226&lt;1-1E-9),'계산 과정'!$C$48*(D1226-'계산 과정'!$C$50+P1226*('계산 과정'!$C$32-D1226))+'계산 과정'!$D$48*(E1226-'계산 과정'!$D$50+P1226*('계산 과정'!$D$32-E1226))+'계산 과정'!$E$48*(0-'계산 과정'!$E$50+P1226*('계산 과정'!$E$32-0)),"")</x:f>
      </x:c>
      <x:c r="S1226" s="17" t="n">
        <x:f>IF('계산 과정'!$C$78,IF(AND(ISNUMBER(Q1226),ISNUMBER(R1226),ABS(Q1226-'계산 과정'!$C$88)&lt;='계산 과정'!$D$23/2,ABS(R1226-'계산 과정'!$C$89)&lt;='계산 과정'!$D$24/2),1,0),"")</x:f>
        <x:v>0</x:v>
      </x:c>
      <x:c r="T1226" s="4"/>
      <x:c r="U1226" s="4"/>
      <x:c r="V1226" s="4"/>
      <x:c r="W1226" s="4"/>
      <x:c r="X1226" s="4"/>
      <x:c r="Y1226" s="4"/>
      <x:c r="Z1226" s="4"/>
    </x:row>
    <x:row r="1227" ht="23" customHeight="1">
      <x:c r="A1227" s="17" t="n">
        <x:f>ROW()-6</x:f>
        <x:v>1221</x:v>
      </x:c>
      <x:c r="B1227" s="4" t="n">
        <x:f>IF('계산 과정'!$L$5,'계산 과정'!$L$11*SQRT((A1227+0.5)/'계산 과정'!$L$30),"")</x:f>
        <x:v>115.8438595899131</x:v>
      </x:c>
      <x:c r="C1227" s="4" t="n">
        <x:f>A1227*PI()*(3-SQRT(5))</x:f>
        <x:v>2930.3551034986854</x:v>
      </x:c>
      <x:c r="D1227" s="4" t="n">
        <x:f>IF('계산 과정'!$L$5,B1227*COS(C1227),"")</x:f>
        <x:v>-84.69512138765523</x:v>
      </x:c>
      <x:c r="E1227" s="4" t="n">
        <x:f>IF('계산 과정'!$L$5,B1227*SIN(C1227),"")</x:f>
        <x:v>79.0350315861128</x:v>
      </x:c>
      <x:c r="F1227" s="4" t="n">
        <x:f>IF('계산 과정'!$L$7,'계산 과정'!$L$22+'계산 과정'!$C$49*D1227+'계산 과정'!$D$49*E1227,"")</x:f>
        <x:v>709.8884946666288</x:v>
      </x:c>
      <x:c r="G1227" s="4" t="n">
        <x:f>IF('계산 과정'!$L$7,IF(ABS(F1227)&gt;=1E-12*MAX(1,SQRT((D1227-'계산 과정'!$C$33)^2+(E1227-'계산 과정'!$D$33)^2+'계산 과정'!$E$33^2)),('계산 과정'!$L$23-'계산 과정'!$C$49*D1227-'계산 과정'!$D$49*E1227)/F1227,""),"")</x:f>
        <x:v>0.4791055326133877</x:v>
      </x:c>
      <x:c r="H1227" s="4" t="n">
        <x:f>IF(AND(ISNUMBER(G1227),G1227&gt;0),('계산 과정'!$D$56+'계산 과정'!$D$57*D1227+'계산 과정'!$D$58*E1227)/F1227,"")</x:f>
        <x:v>-88.58140380129817</x:v>
      </x:c>
      <x:c r="I1227" s="4" t="n">
        <x:f>IF(AND(ISNUMBER(G1227),G1227&gt;0),('계산 과정'!$E$56+'계산 과정'!$E$57*D1227+'계산 과정'!$E$58*E1227)/F1227,"")</x:f>
        <x:v>116.90115248929327</x:v>
      </x:c>
      <x:c r="J1227" s="4" t="n">
        <x:f>IF('계산 과정'!$L$5,'계산 과정'!$D$6+'계산 과정'!$C$35*D1227+'계산 과정'!$D$35*E1227,"")</x:f>
        <x:v>709.8884946666288</x:v>
      </x:c>
      <x:c r="K1227" s="4" t="n">
        <x:f>IF(AND('계산 과정'!$L$6,J1227&gt;0),'계산 과정'!$D$10*('계산 과정'!$C$38*(D1227-'계산 과정'!$C$32)+'계산 과정'!$D$38*(E1227-'계산 과정'!$D$32)-'계산 과정'!$E$38*'계산 과정'!$E$32)/J1227,"")</x:f>
        <x:v>-0.6749059337241758</x:v>
      </x:c>
      <x:c r="L1227" s="4" t="n">
        <x:f>IF(AND('계산 과정'!$L$6,J1227&gt;0),'계산 과정'!$D$10*('계산 과정'!$C$39*(D1227-'계산 과정'!$C$32)+'계산 과정'!$D$39*(E1227-'계산 과정'!$D$32)-'계산 과정'!$E$39*'계산 과정'!$E$32)/J1227,"")</x:f>
        <x:v>0.8906754475374725</x:v>
      </x:c>
      <x:c r="M1227" s="17" t="n">
        <x:f>IF('계산 과정'!$L$6,IF(J1227&lt;=0,0,IF(AND(ABS(K1227)&lt;='계산 과정'!$D$11/2,ABS(L1227)&lt;='계산 과정'!$D$12/2),1,0)),"")</x:f>
        <x:v>1</x:v>
      </x:c>
      <x:c r="N1227" s="17" t="n">
        <x:f>IF('계산 과정'!$C$78,IF(AND(ISNUMBER(H1227),ISNUMBER(I1227),ABS(H1227-'계산 과정'!$C$88)&lt;='계산 과정'!$D$23/2,ABS(I1227-'계산 과정'!$C$89)&lt;='계산 과정'!$D$24/2),1,0),"")</x:f>
        <x:v>1</x:v>
      </x:c>
      <x:c r="O1227" s="4" t="n">
        <x:f>IF('계산 과정'!$L$7,'계산 과정'!$C$49*('계산 과정'!$C$32-D1227)+'계산 과정'!$D$49*('계산 과정'!$D$32-E1227)+'계산 과정'!$E$49*'계산 과정'!$E$32,"")</x:f>
        <x:v>-59.88849466662873</x:v>
      </x:c>
      <x:c r="P1227" s="4" t="n">
        <x:f>IF(AND('계산 과정'!$L$7,O1227&lt;&gt;0),('계산 과정'!$L$23-'계산 과정'!$C$49*D1227-'계산 과정'!$D$49*E1227)/O1227,"")</x:f>
        <x:v>-5.679079215909718</x:v>
      </x:c>
      <x:c r="Q1227" s="4" t="str">
        <x:f>IF(AND(ISNUMBER(P1227),P1227&gt;1E-9,P1227&lt;1-1E-9),'계산 과정'!$C$47*(D1227-'계산 과정'!$C$50+P1227*('계산 과정'!$C$32-D1227))+'계산 과정'!$D$47*(E1227-'계산 과정'!$D$50+P1227*('계산 과정'!$D$32-E1227))+'계산 과정'!$E$47*(0-'계산 과정'!$E$50+P1227*('계산 과정'!$E$32-0)),"")</x:f>
      </x:c>
      <x:c r="R1227" s="4" t="str">
        <x:f>IF(AND(ISNUMBER(P1227),P1227&gt;1E-9,P1227&lt;1-1E-9),'계산 과정'!$C$48*(D1227-'계산 과정'!$C$50+P1227*('계산 과정'!$C$32-D1227))+'계산 과정'!$D$48*(E1227-'계산 과정'!$D$50+P1227*('계산 과정'!$D$32-E1227))+'계산 과정'!$E$48*(0-'계산 과정'!$E$50+P1227*('계산 과정'!$E$32-0)),"")</x:f>
      </x:c>
      <x:c r="S1227" s="17" t="n">
        <x:f>IF('계산 과정'!$C$78,IF(AND(ISNUMBER(Q1227),ISNUMBER(R1227),ABS(Q1227-'계산 과정'!$C$88)&lt;='계산 과정'!$D$23/2,ABS(R1227-'계산 과정'!$C$89)&lt;='계산 과정'!$D$24/2),1,0),"")</x:f>
        <x:v>0</x:v>
      </x:c>
      <x:c r="T1227" s="4"/>
      <x:c r="U1227" s="4"/>
      <x:c r="V1227" s="4"/>
      <x:c r="W1227" s="4"/>
      <x:c r="X1227" s="4"/>
      <x:c r="Y1227" s="4"/>
      <x:c r="Z1227" s="4"/>
    </x:row>
    <x:row r="1228" ht="23" customHeight="1">
      <x:c r="A1228" s="17" t="n">
        <x:f>ROW()-6</x:f>
        <x:v>1222</x:v>
      </x:c>
      <x:c r="B1228" s="4" t="n">
        <x:f>IF('계산 과정'!$L$5,'계산 과정'!$L$11*SQRT((A1228+0.5)/'계산 과정'!$L$30),"")</x:f>
        <x:v>115.89126857883859</x:v>
      </x:c>
      <x:c r="C1228" s="4" t="n">
        <x:f>A1228*PI()*(3-SQRT(5))</x:f>
        <x:v>2932.7550667284136</x:v>
      </x:c>
      <x:c r="D1228" s="4" t="n">
        <x:f>IF('계산 과정'!$L$5,B1228*COS(C1228),"")</x:f>
        <x:v>9.067859387887053</x:v>
      </x:c>
      <x:c r="E1228" s="4" t="n">
        <x:f>IF('계산 과정'!$L$5,B1228*SIN(C1228),"")</x:f>
        <x:v>-115.53596868046769</x:v>
      </x:c>
      <x:c r="F1228" s="4" t="n">
        <x:f>IF('계산 과정'!$L$7,'계산 과정'!$L$22+'계산 과정'!$C$49*D1228+'계산 과정'!$D$49*E1228,"")</x:f>
        <x:v>643.588055135979</x:v>
      </x:c>
      <x:c r="G1228" s="4" t="n">
        <x:f>IF('계산 과정'!$L$7,IF(ABS(F1228)&gt;=1E-12*MAX(1,SQRT((D1228-'계산 과정'!$C$33)^2+(E1228-'계산 과정'!$D$33)^2+'계산 과정'!$E$33^2)),('계산 과정'!$L$23-'계산 과정'!$C$49*D1228-'계산 과정'!$D$49*E1228)/F1228,""),"")</x:f>
        <x:v>0.6314783837592407</x:v>
      </x:c>
      <x:c r="H1228" s="4" t="n">
        <x:f>IF(AND(ISNUMBER(G1228),G1228&gt;0),('계산 과정'!$D$56+'계산 과정'!$D$57*D1228+'계산 과정'!$D$58*E1228)/F1228,"")</x:f>
        <x:v>10.460949443506284</x:v>
      </x:c>
      <x:c r="I1228" s="4" t="n">
        <x:f>IF(AND(ISNUMBER(G1228),G1228&gt;0),('계산 과정'!$E$56+'계산 과정'!$E$57*D1228+'계산 과정'!$E$58*E1228)/F1228,"")</x:f>
        <x:v>-188.49443544886768</x:v>
      </x:c>
      <x:c r="J1228" s="4" t="n">
        <x:f>IF('계산 과정'!$L$5,'계산 과정'!$D$6+'계산 과정'!$C$35*D1228+'계산 과정'!$D$35*E1228,"")</x:f>
        <x:v>643.588055135979</x:v>
      </x:c>
      <x:c r="K1228" s="4" t="n">
        <x:f>IF(AND('계산 과정'!$L$6,J1228&gt;0),'계산 과정'!$D$10*('계산 과정'!$C$38*(D1228-'계산 과정'!$C$32)+'계산 과정'!$D$38*(E1228-'계산 과정'!$D$32)-'계산 과정'!$E$38*'계산 과정'!$E$32)/J1228,"")</x:f>
        <x:v>0.07970247195052518</x:v>
      </x:c>
      <x:c r="L1228" s="4" t="n">
        <x:f>IF(AND('계산 과정'!$L$6,J1228&gt;0),'계산 과정'!$D$10*('계산 과정'!$C$39*(D1228-'계산 과정'!$C$32)+'계산 과정'!$D$39*(E1228-'계산 과정'!$D$32)-'계산 과정'!$E$39*'계산 과정'!$E$32)/J1228,"")</x:f>
        <x:v>-1.4361480796104205</x:v>
      </x:c>
      <x:c r="M1228" s="17" t="n">
        <x:f>IF('계산 과정'!$L$6,IF(J1228&lt;=0,0,IF(AND(ABS(K1228)&lt;='계산 과정'!$D$11/2,ABS(L1228)&lt;='계산 과정'!$D$12/2),1,0)),"")</x:f>
        <x:v>1</x:v>
      </x:c>
      <x:c r="N1228" s="17" t="n">
        <x:f>IF('계산 과정'!$C$78,IF(AND(ISNUMBER(H1228),ISNUMBER(I1228),ABS(H1228-'계산 과정'!$C$88)&lt;='계산 과정'!$D$23/2,ABS(I1228-'계산 과정'!$C$89)&lt;='계산 과정'!$D$24/2),1,0),"")</x:f>
        <x:v>1</x:v>
      </x:c>
      <x:c r="O1228" s="4" t="n">
        <x:f>IF('계산 과정'!$L$7,'계산 과정'!$C$49*('계산 과정'!$C$32-D1228)+'계산 과정'!$D$49*('계산 과정'!$D$32-E1228)+'계산 과정'!$E$49*'계산 과정'!$E$32,"")</x:f>
        <x:v>6.411944864021109</x:v>
      </x:c>
      <x:c r="P1228" s="4" t="n">
        <x:f>IF(AND('계산 과정'!$L$7,O1228&lt;&gt;0),('계산 과정'!$L$23-'계산 과정'!$C$49*D1228-'계산 과정'!$D$49*E1228)/O1228,"")</x:f>
        <x:v>63.38356824377757</x:v>
      </x:c>
      <x:c r="Q1228" s="4" t="str">
        <x:f>IF(AND(ISNUMBER(P1228),P1228&gt;1E-9,P1228&lt;1-1E-9),'계산 과정'!$C$47*(D1228-'계산 과정'!$C$50+P1228*('계산 과정'!$C$32-D1228))+'계산 과정'!$D$47*(E1228-'계산 과정'!$D$50+P1228*('계산 과정'!$D$32-E1228))+'계산 과정'!$E$47*(0-'계산 과정'!$E$50+P1228*('계산 과정'!$E$32-0)),"")</x:f>
      </x:c>
      <x:c r="R1228" s="4" t="str">
        <x:f>IF(AND(ISNUMBER(P1228),P1228&gt;1E-9,P1228&lt;1-1E-9),'계산 과정'!$C$48*(D1228-'계산 과정'!$C$50+P1228*('계산 과정'!$C$32-D1228))+'계산 과정'!$D$48*(E1228-'계산 과정'!$D$50+P1228*('계산 과정'!$D$32-E1228))+'계산 과정'!$E$48*(0-'계산 과정'!$E$50+P1228*('계산 과정'!$E$32-0)),"")</x:f>
      </x:c>
      <x:c r="S1228" s="17" t="n">
        <x:f>IF('계산 과정'!$C$78,IF(AND(ISNUMBER(Q1228),ISNUMBER(R1228),ABS(Q1228-'계산 과정'!$C$88)&lt;='계산 과정'!$D$23/2,ABS(R1228-'계산 과정'!$C$89)&lt;='계산 과정'!$D$24/2),1,0),"")</x:f>
        <x:v>0</x:v>
      </x:c>
      <x:c r="T1228" s="4"/>
      <x:c r="U1228" s="4"/>
      <x:c r="V1228" s="4"/>
      <x:c r="W1228" s="4"/>
      <x:c r="X1228" s="4"/>
      <x:c r="Y1228" s="4"/>
      <x:c r="Z1228" s="4"/>
    </x:row>
    <x:row r="1229" ht="23" customHeight="1">
      <x:c r="A1229" s="17" t="n">
        <x:f>ROW()-6</x:f>
        <x:v>1223</x:v>
      </x:c>
      <x:c r="B1229" s="4" t="n">
        <x:f>IF('계산 과정'!$L$5,'계산 과정'!$L$11*SQRT((A1229+0.5)/'계산 과정'!$L$30),"")</x:f>
        <x:v>115.93865818154659</x:v>
      </x:c>
      <x:c r="C1229" s="4" t="n">
        <x:f>A1229*PI()*(3-SQRT(5))</x:f>
        <x:v>2935.155029958142</x:v>
      </x:c>
      <x:c r="D1229" s="4" t="n">
        <x:f>IF('계산 과정'!$L$5,B1229*COS(C1229),"")</x:f>
        <x:v>71.38624710745994</x:v>
      </x:c>
      <x:c r="E1229" s="4" t="n">
        <x:f>IF('계산 과정'!$L$5,B1229*SIN(C1229),"")</x:f>
        <x:v>91.35521980078734</x:v>
      </x:c>
      <x:c r="F1229" s="4" t="n">
        <x:f>IF('계산 과정'!$L$7,'계산 과정'!$L$22+'계산 과정'!$C$49*D1229+'계산 과정'!$D$49*E1229,"")</x:f>
        <x:v>599.5223005868565</x:v>
      </x:c>
      <x:c r="G1229" s="4" t="n">
        <x:f>IF('계산 과정'!$L$7,IF(ABS(F1229)&gt;=1E-12*MAX(1,SQRT((D1229-'계산 과정'!$C$33)^2+(E1229-'계산 과정'!$D$33)^2+'계산 과정'!$E$33^2)),('계산 과정'!$L$23-'계산 과정'!$C$49*D1229-'계산 과정'!$D$49*E1229)/F1229,""),"")</x:f>
        <x:v>0.7513944001285402</x:v>
      </x:c>
      <x:c r="H1229" s="4" t="n">
        <x:f>IF(AND(ISNUMBER(G1229),G1229&gt;0),('계산 과정'!$D$56+'계산 과정'!$D$57*D1229+'계산 과정'!$D$58*E1229)/F1229,"")</x:f>
        <x:v>88.4063600835511</x:v>
      </x:c>
      <x:c r="I1229" s="4" t="n">
        <x:f>IF(AND(ISNUMBER(G1229),G1229&gt;0),('계산 과정'!$E$56+'계산 과정'!$E$57*D1229+'계산 과정'!$E$58*E1229)/F1229,"")</x:f>
        <x:v>159.99902038161088</x:v>
      </x:c>
      <x:c r="J1229" s="4" t="n">
        <x:f>IF('계산 과정'!$L$5,'계산 과정'!$D$6+'계산 과정'!$C$35*D1229+'계산 과정'!$D$35*E1229,"")</x:f>
        <x:v>599.5223005868565</x:v>
      </x:c>
      <x:c r="K1229" s="4" t="n">
        <x:f>IF(AND('계산 과정'!$L$6,J1229&gt;0),'계산 과정'!$D$10*('계산 과정'!$C$38*(D1229-'계산 과정'!$C$32)+'계산 과정'!$D$38*(E1229-'계산 과정'!$D$32)-'계산 과정'!$E$38*'계산 과정'!$E$32)/J1229,"")</x:f>
        <x:v>0.6735722673032476</x:v>
      </x:c>
      <x:c r="L1229" s="4" t="n">
        <x:f>IF(AND('계산 과정'!$L$6,J1229&gt;0),'계산 과정'!$D$10*('계산 과정'!$C$39*(D1229-'계산 과정'!$C$32)+'계산 과정'!$D$39*(E1229-'계산 과정'!$D$32)-'계산 과정'!$E$39*'계산 과정'!$E$32)/J1229,"")</x:f>
        <x:v>1.2190401552884638</x:v>
      </x:c>
      <x:c r="M1229" s="17" t="n">
        <x:f>IF('계산 과정'!$L$6,IF(J1229&lt;=0,0,IF(AND(ABS(K1229)&lt;='계산 과정'!$D$11/2,ABS(L1229)&lt;='계산 과정'!$D$12/2),1,0)),"")</x:f>
        <x:v>1</x:v>
      </x:c>
      <x:c r="N1229" s="17" t="n">
        <x:f>IF('계산 과정'!$C$78,IF(AND(ISNUMBER(H1229),ISNUMBER(I1229),ABS(H1229-'계산 과정'!$C$88)&lt;='계산 과정'!$D$23/2,ABS(I1229-'계산 과정'!$C$89)&lt;='계산 과정'!$D$24/2),1,0),"")</x:f>
        <x:v>1</x:v>
      </x:c>
      <x:c r="O1229" s="4" t="n">
        <x:f>IF('계산 과정'!$L$7,'계산 과정'!$C$49*('계산 과정'!$C$32-D1229)+'계산 과정'!$D$49*('계산 과정'!$D$32-E1229)+'계산 과정'!$E$49*'계산 과정'!$E$32,"")</x:f>
        <x:v>50.477699413143625</x:v>
      </x:c>
      <x:c r="P1229" s="4" t="n">
        <x:f>IF(AND('계산 과정'!$L$7,O1229&lt;&gt;0),('계산 과정'!$L$23-'계산 과정'!$C$49*D1229-'계산 과정'!$D$49*E1229)/O1229,"")</x:f>
        <x:v>8.924291412850046</x:v>
      </x:c>
      <x:c r="Q1229" s="4" t="str">
        <x:f>IF(AND(ISNUMBER(P1229),P1229&gt;1E-9,P1229&lt;1-1E-9),'계산 과정'!$C$47*(D1229-'계산 과정'!$C$50+P1229*('계산 과정'!$C$32-D1229))+'계산 과정'!$D$47*(E1229-'계산 과정'!$D$50+P1229*('계산 과정'!$D$32-E1229))+'계산 과정'!$E$47*(0-'계산 과정'!$E$50+P1229*('계산 과정'!$E$32-0)),"")</x:f>
      </x:c>
      <x:c r="R1229" s="4" t="str">
        <x:f>IF(AND(ISNUMBER(P1229),P1229&gt;1E-9,P1229&lt;1-1E-9),'계산 과정'!$C$48*(D1229-'계산 과정'!$C$50+P1229*('계산 과정'!$C$32-D1229))+'계산 과정'!$D$48*(E1229-'계산 과정'!$D$50+P1229*('계산 과정'!$D$32-E1229))+'계산 과정'!$E$48*(0-'계산 과정'!$E$50+P1229*('계산 과정'!$E$32-0)),"")</x:f>
      </x:c>
      <x:c r="S1229" s="17" t="n">
        <x:f>IF('계산 과정'!$C$78,IF(AND(ISNUMBER(Q1229),ISNUMBER(R1229),ABS(Q1229-'계산 과정'!$C$88)&lt;='계산 과정'!$D$23/2,ABS(R1229-'계산 과정'!$C$89)&lt;='계산 과정'!$D$24/2),1,0),"")</x:f>
        <x:v>0</x:v>
      </x:c>
      <x:c r="T1229" s="4"/>
      <x:c r="U1229" s="4"/>
      <x:c r="V1229" s="4"/>
      <x:c r="W1229" s="4"/>
      <x:c r="X1229" s="4"/>
      <x:c r="Y1229" s="4"/>
      <x:c r="Z1229" s="4"/>
    </x:row>
    <x:row r="1230" ht="23" customHeight="1">
      <x:c r="A1230" s="17" t="n">
        <x:f>ROW()-6</x:f>
        <x:v>1224</x:v>
      </x:c>
      <x:c r="B1230" s="4" t="n">
        <x:f>IF('계산 과정'!$L$5,'계산 과정'!$L$11*SQRT((A1230+0.5)/'계산 과정'!$L$30),"")</x:f>
        <x:v>115.98602842179959</x:v>
      </x:c>
      <x:c r="C1230" s="4" t="n">
        <x:f>A1230*PI()*(3-SQRT(5))</x:f>
        <x:v>2937.5549931878713</x:v>
      </x:c>
      <x:c r="D1230" s="4" t="n">
        <x:f>IF('계산 과정'!$L$5,B1230*COS(C1230),"")</x:f>
        <x:v>-114.39428139494787</x:v>
      </x:c>
      <x:c r="E1230" s="4" t="n">
        <x:f>IF('계산 과정'!$L$5,B1230*SIN(C1230),"")</x:f>
        <x:v>-19.149599818168113</x:v>
      </x:c>
      <x:c r="F1230" s="4" t="n">
        <x:f>IF('계산 과정'!$L$7,'계산 과정'!$L$22+'계산 과정'!$C$49*D1230+'계산 과정'!$D$49*E1230,"")</x:f>
        <x:v>730.8889721033297</x:v>
      </x:c>
      <x:c r="G1230" s="4" t="n">
        <x:f>IF('계산 과정'!$L$7,IF(ABS(F1230)&gt;=1E-12*MAX(1,SQRT((D1230-'계산 과정'!$C$33)^2+(E1230-'계산 과정'!$D$33)^2+'계산 과정'!$E$33^2)),('계산 과정'!$L$23-'계산 과정'!$C$49*D1230-'계산 과정'!$D$49*E1230)/F1230,""),"")</x:f>
        <x:v>0.43660670782641914</x:v>
      </x:c>
      <x:c r="H1230" s="4" t="n">
        <x:f>IF(AND(ISNUMBER(G1230),G1230&gt;0),('계산 과정'!$D$56+'계산 과정'!$D$57*D1230+'계산 과정'!$D$58*E1230)/F1230,"")</x:f>
        <x:v>-116.20563991282773</x:v>
      </x:c>
      <x:c r="I1230" s="4" t="n">
        <x:f>IF(AND(ISNUMBER(G1230),G1230&gt;0),('계산 과정'!$E$56+'계산 과정'!$E$57*D1230+'계산 과정'!$E$58*E1230)/F1230,"")</x:f>
        <x:v>-27.51044355097189</x:v>
      </x:c>
      <x:c r="J1230" s="4" t="n">
        <x:f>IF('계산 과정'!$L$5,'계산 과정'!$D$6+'계산 과정'!$C$35*D1230+'계산 과정'!$D$35*E1230,"")</x:f>
        <x:v>730.8889721033297</x:v>
      </x:c>
      <x:c r="K1230" s="4" t="n">
        <x:f>IF(AND('계산 과정'!$L$6,J1230&gt;0),'계산 과정'!$D$10*('계산 과정'!$C$38*(D1230-'계산 과정'!$C$32)+'계산 과정'!$D$38*(E1230-'계산 과정'!$D$32)-'계산 과정'!$E$38*'계산 과정'!$E$32)/J1230,"")</x:f>
        <x:v>-0.8853763040977337</x:v>
      </x:c>
      <x:c r="L1230" s="4" t="n">
        <x:f>IF(AND('계산 과정'!$L$6,J1230&gt;0),'계산 과정'!$D$10*('계산 과정'!$C$39*(D1230-'계산 과정'!$C$32)+'계산 과정'!$D$39*(E1230-'계산 과정'!$D$32)-'계산 과정'!$E$39*'계산 과정'!$E$32)/J1230,"")</x:f>
        <x:v>-0.2096033794359763</x:v>
      </x:c>
      <x:c r="M1230" s="17" t="n">
        <x:f>IF('계산 과정'!$L$6,IF(J1230&lt;=0,0,IF(AND(ABS(K1230)&lt;='계산 과정'!$D$11/2,ABS(L1230)&lt;='계산 과정'!$D$12/2),1,0)),"")</x:f>
        <x:v>1</x:v>
      </x:c>
      <x:c r="N1230" s="17" t="n">
        <x:f>IF('계산 과정'!$C$78,IF(AND(ISNUMBER(H1230),ISNUMBER(I1230),ABS(H1230-'계산 과정'!$C$88)&lt;='계산 과정'!$D$23/2,ABS(I1230-'계산 과정'!$C$89)&lt;='계산 과정'!$D$24/2),1,0),"")</x:f>
        <x:v>1</x:v>
      </x:c>
      <x:c r="O1230" s="4" t="n">
        <x:f>IF('계산 과정'!$L$7,'계산 과정'!$C$49*('계산 과정'!$C$32-D1230)+'계산 과정'!$D$49*('계산 과정'!$D$32-E1230)+'계산 과정'!$E$49*'계산 과정'!$E$32,"")</x:f>
        <x:v>-80.88897210332959</x:v>
      </x:c>
      <x:c r="P1230" s="4" t="n">
        <x:f>IF(AND('계산 과정'!$L$7,O1230&lt;&gt;0),('계산 과정'!$L$23-'계산 과정'!$C$49*D1230-'계산 과정'!$D$49*E1230)/O1230,"")</x:f>
        <x:v>-3.945049857835131</x:v>
      </x:c>
      <x:c r="Q1230" s="4" t="str">
        <x:f>IF(AND(ISNUMBER(P1230),P1230&gt;1E-9,P1230&lt;1-1E-9),'계산 과정'!$C$47*(D1230-'계산 과정'!$C$50+P1230*('계산 과정'!$C$32-D1230))+'계산 과정'!$D$47*(E1230-'계산 과정'!$D$50+P1230*('계산 과정'!$D$32-E1230))+'계산 과정'!$E$47*(0-'계산 과정'!$E$50+P1230*('계산 과정'!$E$32-0)),"")</x:f>
      </x:c>
      <x:c r="R1230" s="4" t="str">
        <x:f>IF(AND(ISNUMBER(P1230),P1230&gt;1E-9,P1230&lt;1-1E-9),'계산 과정'!$C$48*(D1230-'계산 과정'!$C$50+P1230*('계산 과정'!$C$32-D1230))+'계산 과정'!$D$48*(E1230-'계산 과정'!$D$50+P1230*('계산 과정'!$D$32-E1230))+'계산 과정'!$E$48*(0-'계산 과정'!$E$50+P1230*('계산 과정'!$E$32-0)),"")</x:f>
      </x:c>
      <x:c r="S1230" s="17" t="n">
        <x:f>IF('계산 과정'!$C$78,IF(AND(ISNUMBER(Q1230),ISNUMBER(R1230),ABS(Q1230-'계산 과정'!$C$88)&lt;='계산 과정'!$D$23/2,ABS(R1230-'계산 과정'!$C$89)&lt;='계산 과정'!$D$24/2),1,0),"")</x:f>
        <x:v>0</x:v>
      </x:c>
      <x:c r="T1230" s="4"/>
      <x:c r="U1230" s="4"/>
      <x:c r="V1230" s="4"/>
      <x:c r="W1230" s="4"/>
      <x:c r="X1230" s="4"/>
      <x:c r="Y1230" s="4"/>
      <x:c r="Z1230" s="4"/>
    </x:row>
    <x:row r="1231" ht="23" customHeight="1">
      <x:c r="A1231" s="17" t="n">
        <x:f>ROW()-6</x:f>
        <x:v>1225</x:v>
      </x:c>
      <x:c r="B1231" s="4" t="n">
        <x:f>IF('계산 과정'!$L$5,'계산 과정'!$L$11*SQRT((A1231+0.5)/'계산 과정'!$L$30),"")</x:f>
        <x:v>116.03337932331152</x:v>
      </x:c>
      <x:c r="C1231" s="4" t="n">
        <x:f>A1231*PI()*(3-SQRT(5))</x:f>
        <x:v>2939.9549564176</x:v>
      </x:c>
      <x:c r="D1231" s="4" t="n">
        <x:f>IF('계산 과정'!$L$5,B1231*COS(C1231),"")</x:f>
        <x:v>97.32586848741076</x:v>
      </x:c>
      <x:c r="E1231" s="4" t="n">
        <x:f>IF('계산 과정'!$L$5,B1231*SIN(C1231),"")</x:f>
        <x:v>-63.177689419277776</x:v>
      </x:c>
      <x:c r="F1231" s="4" t="n">
        <x:f>IF('계산 과정'!$L$7,'계산 과정'!$L$22+'계산 과정'!$C$49*D1231+'계산 과정'!$D$49*E1231,"")</x:f>
        <x:v>581.1802184076818</x:v>
      </x:c>
      <x:c r="G1231" s="4" t="n">
        <x:f>IF('계산 과정'!$L$7,IF(ABS(F1231)&gt;=1E-12*MAX(1,SQRT((D1231-'계산 과정'!$C$33)^2+(E1231-'계산 과정'!$D$33)^2+'계산 과정'!$E$33^2)),('계산 과정'!$L$23-'계산 과정'!$C$49*D1231-'계산 과정'!$D$49*E1231)/F1231,""),"")</x:f>
        <x:v>0.8066685113213097</x:v>
      </x:c>
      <x:c r="H1231" s="4" t="n">
        <x:f>IF(AND(ISNUMBER(G1231),G1231&gt;0),('계산 과정'!$D$56+'계산 과정'!$D$57*D1231+'계산 과정'!$D$58*E1231)/F1231,"")</x:f>
        <x:v>124.3345323588512</x:v>
      </x:c>
      <x:c r="I1231" s="4" t="n">
        <x:f>IF(AND(ISNUMBER(G1231),G1231&gt;0),('계산 과정'!$E$56+'계산 과정'!$E$57*D1231+'계산 과정'!$E$58*E1231)/F1231,"")</x:f>
        <x:v>-114.14114209184663</x:v>
      </x:c>
      <x:c r="J1231" s="4" t="n">
        <x:f>IF('계산 과정'!$L$5,'계산 과정'!$D$6+'계산 과정'!$C$35*D1231+'계산 과정'!$D$35*E1231,"")</x:f>
        <x:v>581.1802184076818</x:v>
      </x:c>
      <x:c r="K1231" s="4" t="n">
        <x:f>IF(AND('계산 과정'!$L$6,J1231&gt;0),'계산 과정'!$D$10*('계산 과정'!$C$38*(D1231-'계산 과정'!$C$32)+'계산 과정'!$D$38*(E1231-'계산 과정'!$D$32)-'계산 과정'!$E$38*'계산 과정'!$E$32)/J1231,"")</x:f>
        <x:v>0.9473107227341048</x:v>
      </x:c>
      <x:c r="L1231" s="4" t="n">
        <x:f>IF(AND('계산 과정'!$L$6,J1231&gt;0),'계산 과정'!$D$10*('계산 과정'!$C$39*(D1231-'계산 과정'!$C$32)+'계산 과정'!$D$39*(E1231-'계산 과정'!$D$32)-'계산 과정'!$E$39*'계산 과정'!$E$32)/J1231,"")</x:f>
        <x:v>-0.86964679689026</x:v>
      </x:c>
      <x:c r="M1231" s="17" t="n">
        <x:f>IF('계산 과정'!$L$6,IF(J1231&lt;=0,0,IF(AND(ABS(K1231)&lt;='계산 과정'!$D$11/2,ABS(L1231)&lt;='계산 과정'!$D$12/2),1,0)),"")</x:f>
        <x:v>1</x:v>
      </x:c>
      <x:c r="N1231" s="17" t="n">
        <x:f>IF('계산 과정'!$C$78,IF(AND(ISNUMBER(H1231),ISNUMBER(I1231),ABS(H1231-'계산 과정'!$C$88)&lt;='계산 과정'!$D$23/2,ABS(I1231-'계산 과정'!$C$89)&lt;='계산 과정'!$D$24/2),1,0),"")</x:f>
        <x:v>1</x:v>
      </x:c>
      <x:c r="O1231" s="4" t="n">
        <x:f>IF('계산 과정'!$L$7,'계산 과정'!$C$49*('계산 과정'!$C$32-D1231)+'계산 과정'!$D$49*('계산 과정'!$D$32-E1231)+'계산 과정'!$E$49*'계산 과정'!$E$32,"")</x:f>
        <x:v>68.81978159231835</x:v>
      </x:c>
      <x:c r="P1231" s="4" t="n">
        <x:f>IF(AND('계산 과정'!$L$7,O1231&lt;&gt;0),('계산 과정'!$L$23-'계산 과정'!$C$49*D1231-'계산 과정'!$D$49*E1231)/O1231,"")</x:f>
        <x:v>6.812282322683916</x:v>
      </x:c>
      <x:c r="Q1231" s="4" t="str">
        <x:f>IF(AND(ISNUMBER(P1231),P1231&gt;1E-9,P1231&lt;1-1E-9),'계산 과정'!$C$47*(D1231-'계산 과정'!$C$50+P1231*('계산 과정'!$C$32-D1231))+'계산 과정'!$D$47*(E1231-'계산 과정'!$D$50+P1231*('계산 과정'!$D$32-E1231))+'계산 과정'!$E$47*(0-'계산 과정'!$E$50+P1231*('계산 과정'!$E$32-0)),"")</x:f>
      </x:c>
      <x:c r="R1231" s="4" t="str">
        <x:f>IF(AND(ISNUMBER(P1231),P1231&gt;1E-9,P1231&lt;1-1E-9),'계산 과정'!$C$48*(D1231-'계산 과정'!$C$50+P1231*('계산 과정'!$C$32-D1231))+'계산 과정'!$D$48*(E1231-'계산 과정'!$D$50+P1231*('계산 과정'!$D$32-E1231))+'계산 과정'!$E$48*(0-'계산 과정'!$E$50+P1231*('계산 과정'!$E$32-0)),"")</x:f>
      </x:c>
      <x:c r="S1231" s="17" t="n">
        <x:f>IF('계산 과정'!$C$78,IF(AND(ISNUMBER(Q1231),ISNUMBER(R1231),ABS(Q1231-'계산 과정'!$C$88)&lt;='계산 과정'!$D$23/2,ABS(R1231-'계산 과정'!$C$89)&lt;='계산 과정'!$D$24/2),1,0),"")</x:f>
        <x:v>0</x:v>
      </x:c>
      <x:c r="T1231" s="4"/>
      <x:c r="U1231" s="4"/>
      <x:c r="V1231" s="4"/>
      <x:c r="W1231" s="4"/>
      <x:c r="X1231" s="4"/>
      <x:c r="Y1231" s="4"/>
      <x:c r="Z1231" s="4"/>
    </x:row>
    <x:row r="1232" ht="23" customHeight="1">
      <x:c r="A1232" s="17" t="n">
        <x:f>ROW()-6</x:f>
        <x:v>1226</x:v>
      </x:c>
      <x:c r="B1232" s="4" t="n">
        <x:f>IF('계산 과정'!$L$5,'계산 과정'!$L$11*SQRT((A1232+0.5)/'계산 과정'!$L$30),"")</x:f>
        <x:v>116.08071090974806</x:v>
      </x:c>
      <x:c r="C1232" s="4" t="n">
        <x:f>A1232*PI()*(3-SQRT(5))</x:f>
        <x:v>2942.354919647328</x:v>
      </x:c>
      <x:c r="D1232" s="4" t="n">
        <x:f>IF('계산 과정'!$L$5,B1232*COS(C1232),"")</x:f>
        <x:v>-29.101016296228543</x:v>
      </x:c>
      <x:c r="E1232" s="4" t="n">
        <x:f>IF('계산 과정'!$L$5,B1232*SIN(C1232),"")</x:f>
        <x:v>112.37376159868968</x:v>
      </x:c>
      <x:c r="F1232" s="4" t="n">
        <x:f>IF('계산 과정'!$L$7,'계산 과정'!$L$22+'계산 과정'!$C$49*D1232+'계산 과정'!$D$49*E1232,"")</x:f>
        <x:v>670.5775259624834</x:v>
      </x:c>
      <x:c r="G1232" s="4" t="n">
        <x:f>IF('계산 과정'!$L$7,IF(ABS(F1232)&gt;=1E-12*MAX(1,SQRT((D1232-'계산 과정'!$C$33)^2+(E1232-'계산 과정'!$D$33)^2+'계산 과정'!$E$33^2)),('계산 과정'!$L$23-'계산 과정'!$C$49*D1232-'계산 과정'!$D$49*E1232)/F1232,""),"")</x:f>
        <x:v>0.5658144798290541</x:v>
      </x:c>
      <x:c r="H1232" s="4" t="n">
        <x:f>IF(AND(ISNUMBER(G1232),G1232&gt;0),('계산 과정'!$D$56+'계산 과정'!$D$57*D1232+'계산 과정'!$D$58*E1232)/F1232,"")</x:f>
        <x:v>-32.220588111114964</x:v>
      </x:c>
      <x:c r="I1232" s="4" t="n">
        <x:f>IF(AND(ISNUMBER(G1232),G1232&gt;0),('계산 과정'!$E$56+'계산 과정'!$E$57*D1232+'계산 과정'!$E$58*E1232)/F1232,"")</x:f>
        <x:v>175.95646306408642</x:v>
      </x:c>
      <x:c r="J1232" s="4" t="n">
        <x:f>IF('계산 과정'!$L$5,'계산 과정'!$D$6+'계산 과정'!$C$35*D1232+'계산 과정'!$D$35*E1232,"")</x:f>
        <x:v>670.5775259624834</x:v>
      </x:c>
      <x:c r="K1232" s="4" t="n">
        <x:f>IF(AND('계산 과정'!$L$6,J1232&gt;0),'계산 과정'!$D$10*('계산 과정'!$C$38*(D1232-'계산 과정'!$C$32)+'계산 과정'!$D$38*(E1232-'계산 과정'!$D$32)-'계산 과정'!$E$38*'계산 과정'!$E$32)/J1232,"")</x:f>
        <x:v>-0.24549019513230366</x:v>
      </x:c>
      <x:c r="L1232" s="4" t="n">
        <x:f>IF(AND('계산 과정'!$L$6,J1232&gt;0),'계산 과정'!$D$10*('계산 과정'!$C$39*(D1232-'계산 과정'!$C$32)+'계산 과정'!$D$39*(E1232-'계산 과정'!$D$32)-'계산 과정'!$E$39*'계산 과정'!$E$32)/J1232,"")</x:f>
        <x:v>1.3406206709644681</x:v>
      </x:c>
      <x:c r="M1232" s="17" t="n">
        <x:f>IF('계산 과정'!$L$6,IF(J1232&lt;=0,0,IF(AND(ABS(K1232)&lt;='계산 과정'!$D$11/2,ABS(L1232)&lt;='계산 과정'!$D$12/2),1,0)),"")</x:f>
        <x:v>1</x:v>
      </x:c>
      <x:c r="N1232" s="17" t="n">
        <x:f>IF('계산 과정'!$C$78,IF(AND(ISNUMBER(H1232),ISNUMBER(I1232),ABS(H1232-'계산 과정'!$C$88)&lt;='계산 과정'!$D$23/2,ABS(I1232-'계산 과정'!$C$89)&lt;='계산 과정'!$D$24/2),1,0),"")</x:f>
        <x:v>1</x:v>
      </x:c>
      <x:c r="O1232" s="4" t="n">
        <x:f>IF('계산 과정'!$L$7,'계산 과정'!$C$49*('계산 과정'!$C$32-D1232)+'계산 과정'!$D$49*('계산 과정'!$D$32-E1232)+'계산 과정'!$E$49*'계산 과정'!$E$32,"")</x:f>
        <x:v>-20.57752596248332</x:v>
      </x:c>
      <x:c r="P1232" s="4" t="n">
        <x:f>IF(AND('계산 과정'!$L$7,O1232&lt;&gt;0),('계산 과정'!$L$23-'계산 과정'!$C$49*D1232-'계산 과정'!$D$49*E1232)/O1232,"")</x:f>
        <x:v>-18.438682800316943</x:v>
      </x:c>
      <x:c r="Q1232" s="4" t="str">
        <x:f>IF(AND(ISNUMBER(P1232),P1232&gt;1E-9,P1232&lt;1-1E-9),'계산 과정'!$C$47*(D1232-'계산 과정'!$C$50+P1232*('계산 과정'!$C$32-D1232))+'계산 과정'!$D$47*(E1232-'계산 과정'!$D$50+P1232*('계산 과정'!$D$32-E1232))+'계산 과정'!$E$47*(0-'계산 과정'!$E$50+P1232*('계산 과정'!$E$32-0)),"")</x:f>
      </x:c>
      <x:c r="R1232" s="4" t="str">
        <x:f>IF(AND(ISNUMBER(P1232),P1232&gt;1E-9,P1232&lt;1-1E-9),'계산 과정'!$C$48*(D1232-'계산 과정'!$C$50+P1232*('계산 과정'!$C$32-D1232))+'계산 과정'!$D$48*(E1232-'계산 과정'!$D$50+P1232*('계산 과정'!$D$32-E1232))+'계산 과정'!$E$48*(0-'계산 과정'!$E$50+P1232*('계산 과정'!$E$32-0)),"")</x:f>
      </x:c>
      <x:c r="S1232" s="17" t="n">
        <x:f>IF('계산 과정'!$C$78,IF(AND(ISNUMBER(Q1232),ISNUMBER(R1232),ABS(Q1232-'계산 과정'!$C$88)&lt;='계산 과정'!$D$23/2,ABS(R1232-'계산 과정'!$C$89)&lt;='계산 과정'!$D$24/2),1,0),"")</x:f>
        <x:v>0</x:v>
      </x:c>
      <x:c r="T1232" s="4"/>
      <x:c r="U1232" s="4"/>
      <x:c r="V1232" s="4"/>
      <x:c r="W1232" s="4"/>
      <x:c r="X1232" s="4"/>
      <x:c r="Y1232" s="4"/>
      <x:c r="Z1232" s="4"/>
    </x:row>
    <x:row r="1233" ht="23" customHeight="1">
      <x:c r="A1233" s="17" t="n">
        <x:f>ROW()-6</x:f>
        <x:v>1227</x:v>
      </x:c>
      <x:c r="B1233" s="4" t="n">
        <x:f>IF('계산 과정'!$L$5,'계산 과정'!$L$11*SQRT((A1233+0.5)/'계산 과정'!$L$30),"")</x:f>
        <x:v>116.12802320472652</x:v>
      </x:c>
      <x:c r="C1233" s="4" t="n">
        <x:f>A1233*PI()*(3-SQRT(5))</x:f>
        <x:v>2944.7548828770573</x:v>
      </x:c>
      <x:c r="D1233" s="4" t="n">
        <x:f>IF('계산 과정'!$L$5,B1233*COS(C1233),"")</x:f>
        <x:v>-54.47139401354295</x:v>
      </x:c>
      <x:c r="E1233" s="4" t="n">
        <x:f>IF('계산 과정'!$L$5,B1233*SIN(C1233),"")</x:f>
        <x:v>-102.56015311834737</x:v>
      </x:c>
      <x:c r="F1233" s="4" t="n">
        <x:f>IF('계산 과정'!$L$7,'계산 과정'!$L$22+'계산 과정'!$C$49*D1233+'계산 과정'!$D$49*E1233,"")</x:f>
        <x:v>688.5170920876606</x:v>
      </x:c>
      <x:c r="G1233" s="4" t="n">
        <x:f>IF('계산 과정'!$L$7,IF(ABS(F1233)&gt;=1E-12*MAX(1,SQRT((D1233-'계산 과정'!$C$33)^2+(E1233-'계산 과정'!$D$33)^2+'계산 과정'!$E$33^2)),('계산 과정'!$L$23-'계산 과정'!$C$49*D1233-'계산 과정'!$D$49*E1233)/F1233,""),"")</x:f>
        <x:v>0.5250166075271756</x:v>
      </x:c>
      <x:c r="H1233" s="4" t="n">
        <x:f>IF(AND(ISNUMBER(G1233),G1233&gt;0),('계산 과정'!$D$56+'계산 과정'!$D$57*D1233+'계산 과정'!$D$58*E1233)/F1233,"")</x:f>
        <x:v>-58.739205107336</x:v>
      </x:c>
      <x:c r="I1233" s="4" t="n">
        <x:f>IF(AND(ISNUMBER(G1233),G1233&gt;0),('계산 과정'!$E$56+'계산 과정'!$E$57*D1233+'계산 과정'!$E$58*E1233)/F1233,"")</x:f>
        <x:v>-156.40593677600978</x:v>
      </x:c>
      <x:c r="J1233" s="4" t="n">
        <x:f>IF('계산 과정'!$L$5,'계산 과정'!$D$6+'계산 과정'!$C$35*D1233+'계산 과정'!$D$35*E1233,"")</x:f>
        <x:v>688.5170920876606</x:v>
      </x:c>
      <x:c r="K1233" s="4" t="n">
        <x:f>IF(AND('계산 과정'!$L$6,J1233&gt;0),'계산 과정'!$D$10*('계산 과정'!$C$38*(D1233-'계산 과정'!$C$32)+'계산 과정'!$D$38*(E1233-'계산 과정'!$D$32)-'계산 과정'!$E$38*'계산 과정'!$E$32)/J1233,"")</x:f>
        <x:v>-0.44753680081779745</x:v>
      </x:c>
      <x:c r="L1233" s="4" t="n">
        <x:f>IF(AND('계산 과정'!$L$6,J1233&gt;0),'계산 과정'!$D$10*('계산 과정'!$C$39*(D1233-'계산 과정'!$C$32)+'계산 과정'!$D$39*(E1233-'계산 과정'!$D$32)-'계산 과정'!$E$39*'계산 과정'!$E$32)/J1233,"")</x:f>
        <x:v>-1.1916642801981698</x:v>
      </x:c>
      <x:c r="M1233" s="17" t="n">
        <x:f>IF('계산 과정'!$L$6,IF(J1233&lt;=0,0,IF(AND(ABS(K1233)&lt;='계산 과정'!$D$11/2,ABS(L1233)&lt;='계산 과정'!$D$12/2),1,0)),"")</x:f>
        <x:v>1</x:v>
      </x:c>
      <x:c r="N1233" s="17" t="n">
        <x:f>IF('계산 과정'!$C$78,IF(AND(ISNUMBER(H1233),ISNUMBER(I1233),ABS(H1233-'계산 과정'!$C$88)&lt;='계산 과정'!$D$23/2,ABS(I1233-'계산 과정'!$C$89)&lt;='계산 과정'!$D$24/2),1,0),"")</x:f>
        <x:v>1</x:v>
      </x:c>
      <x:c r="O1233" s="4" t="n">
        <x:f>IF('계산 과정'!$L$7,'계산 과정'!$C$49*('계산 과정'!$C$32-D1233)+'계산 과정'!$D$49*('계산 과정'!$D$32-E1233)+'계산 과정'!$E$49*'계산 과정'!$E$32,"")</x:f>
        <x:v>-38.517092087660444</x:v>
      </x:c>
      <x:c r="P1233" s="4" t="n">
        <x:f>IF(AND('계산 과정'!$L$7,O1233&lt;&gt;0),('계산 과정'!$L$23-'계산 과정'!$C$49*D1233-'계산 과정'!$D$49*E1233)/O1233,"")</x:f>
        <x:v>-9.38499996546069</x:v>
      </x:c>
      <x:c r="Q1233" s="4" t="str">
        <x:f>IF(AND(ISNUMBER(P1233),P1233&gt;1E-9,P1233&lt;1-1E-9),'계산 과정'!$C$47*(D1233-'계산 과정'!$C$50+P1233*('계산 과정'!$C$32-D1233))+'계산 과정'!$D$47*(E1233-'계산 과정'!$D$50+P1233*('계산 과정'!$D$32-E1233))+'계산 과정'!$E$47*(0-'계산 과정'!$E$50+P1233*('계산 과정'!$E$32-0)),"")</x:f>
      </x:c>
      <x:c r="R1233" s="4" t="str">
        <x:f>IF(AND(ISNUMBER(P1233),P1233&gt;1E-9,P1233&lt;1-1E-9),'계산 과정'!$C$48*(D1233-'계산 과정'!$C$50+P1233*('계산 과정'!$C$32-D1233))+'계산 과정'!$D$48*(E1233-'계산 과정'!$D$50+P1233*('계산 과정'!$D$32-E1233))+'계산 과정'!$E$48*(0-'계산 과정'!$E$50+P1233*('계산 과정'!$E$32-0)),"")</x:f>
      </x:c>
      <x:c r="S1233" s="17" t="n">
        <x:f>IF('계산 과정'!$C$78,IF(AND(ISNUMBER(Q1233),ISNUMBER(R1233),ABS(Q1233-'계산 과정'!$C$88)&lt;='계산 과정'!$D$23/2,ABS(R1233-'계산 과정'!$C$89)&lt;='계산 과정'!$D$24/2),1,0),"")</x:f>
        <x:v>0</x:v>
      </x:c>
      <x:c r="T1233" s="4"/>
      <x:c r="U1233" s="4"/>
      <x:c r="V1233" s="4"/>
      <x:c r="W1233" s="4"/>
      <x:c r="X1233" s="4"/>
      <x:c r="Y1233" s="4"/>
      <x:c r="Z1233" s="4"/>
    </x:row>
    <x:row r="1234" ht="23" customHeight="1">
      <x:c r="A1234" s="17" t="n">
        <x:f>ROW()-6</x:f>
        <x:v>1228</x:v>
      </x:c>
      <x:c r="B1234" s="4" t="n">
        <x:f>IF('계산 과정'!$L$5,'계산 과정'!$L$11*SQRT((A1234+0.5)/'계산 과정'!$L$30),"")</x:f>
        <x:v>116.17531623181621</x:v>
      </x:c>
      <x:c r="C1234" s="4" t="n">
        <x:f>A1234*PI()*(3-SQRT(5))</x:f>
        <x:v>2947.154846106786</x:v>
      </x:c>
      <x:c r="D1234" s="4" t="n">
        <x:f>IF('계산 과정'!$L$5,B1234*COS(C1234),"")</x:f>
        <x:v>109.4884696242851</x:v>
      </x:c>
      <x:c r="E1234" s="4" t="n">
        <x:f>IF('계산 과정'!$L$5,B1234*SIN(C1234),"")</x:f>
        <x:v>38.84558045511095</x:v>
      </x:c>
      <x:c r="F1234" s="4" t="n">
        <x:f>IF('계산 과정'!$L$7,'계산 과정'!$L$22+'계산 과정'!$C$49*D1234+'계산 과정'!$D$49*E1234,"")</x:f>
        <x:v>572.5799606669307</x:v>
      </x:c>
      <x:c r="G1234" s="4" t="n">
        <x:f>IF('계산 과정'!$L$7,IF(ABS(F1234)&gt;=1E-12*MAX(1,SQRT((D1234-'계산 과정'!$C$33)^2+(E1234-'계산 과정'!$D$33)^2+'계산 과정'!$E$33^2)),('계산 과정'!$L$23-'계산 과정'!$C$49*D1234-'계산 과정'!$D$49*E1234)/F1234,""),"")</x:f>
        <x:v>0.8338050091326619</x:v>
      </x:c>
      <x:c r="H1234" s="4" t="n">
        <x:f>IF(AND(ISNUMBER(G1234),G1234&gt;0),('계산 과정'!$D$56+'계산 과정'!$D$57*D1234+'계산 과정'!$D$58*E1234)/F1234,"")</x:f>
        <x:v>141.97325593623015</x:v>
      </x:c>
      <x:c r="I1234" s="4" t="n">
        <x:f>IF(AND(ISNUMBER(G1234),G1234&gt;0),('계산 과정'!$E$56+'계산 과정'!$E$57*D1234+'계산 과정'!$E$58*E1234)/F1234,"")</x:f>
        <x:v>71.23522002124828</x:v>
      </x:c>
      <x:c r="J1234" s="4" t="n">
        <x:f>IF('계산 과정'!$L$5,'계산 과정'!$D$6+'계산 과정'!$C$35*D1234+'계산 과정'!$D$35*E1234,"")</x:f>
        <x:v>572.5799606669307</x:v>
      </x:c>
      <x:c r="K1234" s="4" t="n">
        <x:f>IF(AND('계산 과정'!$L$6,J1234&gt;0),'계산 과정'!$D$10*('계산 과정'!$C$38*(D1234-'계산 과정'!$C$32)+'계산 과정'!$D$38*(E1234-'계산 과정'!$D$32)-'계산 과정'!$E$38*'계산 과정'!$E$32)/J1234,"")</x:f>
        <x:v>1.0817009976093737</x:v>
      </x:c>
      <x:c r="L1234" s="4" t="n">
        <x:f>IF(AND('계산 과정'!$L$6,J1234&gt;0),'계산 과정'!$D$10*('계산 과정'!$C$39*(D1234-'계산 과정'!$C$32)+'계산 과정'!$D$39*(E1234-'계산 과정'!$D$32)-'계산 과정'!$E$39*'계산 과정'!$E$32)/J1234,"")</x:f>
        <x:v>0.542744533495225</x:v>
      </x:c>
      <x:c r="M1234" s="17" t="n">
        <x:f>IF('계산 과정'!$L$6,IF(J1234&lt;=0,0,IF(AND(ABS(K1234)&lt;='계산 과정'!$D$11/2,ABS(L1234)&lt;='계산 과정'!$D$12/2),1,0)),"")</x:f>
        <x:v>1</x:v>
      </x:c>
      <x:c r="N1234" s="17" t="n">
        <x:f>IF('계산 과정'!$C$78,IF(AND(ISNUMBER(H1234),ISNUMBER(I1234),ABS(H1234-'계산 과정'!$C$88)&lt;='계산 과정'!$D$23/2,ABS(I1234-'계산 과정'!$C$89)&lt;='계산 과정'!$D$24/2),1,0),"")</x:f>
        <x:v>1</x:v>
      </x:c>
      <x:c r="O1234" s="4" t="n">
        <x:f>IF('계산 과정'!$L$7,'계산 과정'!$C$49*('계산 과정'!$C$32-D1234)+'계산 과정'!$D$49*('계산 과정'!$D$32-E1234)+'계산 과정'!$E$49*'계산 과정'!$E$32,"")</x:f>
        <x:v>77.42003933306944</x:v>
      </x:c>
      <x:c r="P1234" s="4" t="n">
        <x:f>IF(AND('계산 과정'!$L$7,O1234&lt;&gt;0),('계산 과정'!$L$23-'계산 과정'!$C$49*D1234-'계산 과정'!$D$49*E1234)/O1234,"")</x:f>
        <x:v>6.166620986578892</x:v>
      </x:c>
      <x:c r="Q1234" s="4" t="str">
        <x:f>IF(AND(ISNUMBER(P1234),P1234&gt;1E-9,P1234&lt;1-1E-9),'계산 과정'!$C$47*(D1234-'계산 과정'!$C$50+P1234*('계산 과정'!$C$32-D1234))+'계산 과정'!$D$47*(E1234-'계산 과정'!$D$50+P1234*('계산 과정'!$D$32-E1234))+'계산 과정'!$E$47*(0-'계산 과정'!$E$50+P1234*('계산 과정'!$E$32-0)),"")</x:f>
      </x:c>
      <x:c r="R1234" s="4" t="str">
        <x:f>IF(AND(ISNUMBER(P1234),P1234&gt;1E-9,P1234&lt;1-1E-9),'계산 과정'!$C$48*(D1234-'계산 과정'!$C$50+P1234*('계산 과정'!$C$32-D1234))+'계산 과정'!$D$48*(E1234-'계산 과정'!$D$50+P1234*('계산 과정'!$D$32-E1234))+'계산 과정'!$E$48*(0-'계산 과정'!$E$50+P1234*('계산 과정'!$E$32-0)),"")</x:f>
      </x:c>
      <x:c r="S1234" s="17" t="n">
        <x:f>IF('계산 과정'!$C$78,IF(AND(ISNUMBER(Q1234),ISNUMBER(R1234),ABS(Q1234-'계산 과정'!$C$88)&lt;='계산 과정'!$D$23/2,ABS(R1234-'계산 과정'!$C$89)&lt;='계산 과정'!$D$24/2),1,0),"")</x:f>
        <x:v>0</x:v>
      </x:c>
      <x:c r="T1234" s="4"/>
      <x:c r="U1234" s="4"/>
      <x:c r="V1234" s="4"/>
      <x:c r="W1234" s="4"/>
      <x:c r="X1234" s="4"/>
      <x:c r="Y1234" s="4"/>
      <x:c r="Z1234" s="4"/>
    </x:row>
    <x:row r="1235" ht="23" customHeight="1">
      <x:c r="A1235" s="17" t="n">
        <x:f>ROW()-6</x:f>
        <x:v>1229</x:v>
      </x:c>
      <x:c r="B1235" s="4" t="n">
        <x:f>IF('계산 과정'!$L$5,'계산 과정'!$L$11*SQRT((A1235+0.5)/'계산 과정'!$L$30),"")</x:f>
        <x:v>116.22259001453848</x:v>
      </x:c>
      <x:c r="C1235" s="4" t="n">
        <x:f>A1235*PI()*(3-SQRT(5))</x:f>
        <x:v>2949.554809336514</x:v>
      </x:c>
      <x:c r="D1235" s="4" t="n">
        <x:f>IF('계산 과정'!$L$5,B1235*COS(C1235),"")</x:f>
        <x:v>-107.01673186230676</x:v>
      </x:c>
      <x:c r="E1235" s="4" t="n">
        <x:f>IF('계산 과정'!$L$5,B1235*SIN(C1235),"")</x:f>
        <x:v>45.33331590782479</x:v>
      </x:c>
      <x:c r="F1235" s="4" t="n">
        <x:f>IF('계산 과정'!$L$7,'계산 과정'!$L$22+'계산 과정'!$C$49*D1235+'계산 과정'!$D$49*E1235,"")</x:f>
        <x:v>725.6722568002596</x:v>
      </x:c>
      <x:c r="G1235" s="4" t="n">
        <x:f>IF('계산 과정'!$L$7,IF(ABS(F1235)&gt;=1E-12*MAX(1,SQRT((D1235-'계산 과정'!$C$33)^2+(E1235-'계산 과정'!$D$33)^2+'계산 과정'!$E$33^2)),('계산 과정'!$L$23-'계산 과정'!$C$49*D1235-'계산 과정'!$D$49*E1235)/F1235,""),"")</x:f>
        <x:v>0.44693419124194417</x:v>
      </x:c>
      <x:c r="H1235" s="4" t="n">
        <x:f>IF(AND(ISNUMBER(G1235),G1235&gt;0),('계산 과정'!$D$56+'계산 과정'!$D$57*D1235+'계산 과정'!$D$58*E1235)/F1235,"")</x:f>
        <x:v>-109.49277569273643</x:v>
      </x:c>
      <x:c r="I1235" s="4" t="n">
        <x:f>IF(AND(ISNUMBER(G1235),G1235&gt;0),('계산 과정'!$E$56+'계산 과정'!$E$57*D1235+'계산 과정'!$E$58*E1235)/F1235,"")</x:f>
        <x:v>65.59432478940403</x:v>
      </x:c>
      <x:c r="J1235" s="4" t="n">
        <x:f>IF('계산 과정'!$L$5,'계산 과정'!$D$6+'계산 과정'!$C$35*D1235+'계산 과정'!$D$35*E1235,"")</x:f>
        <x:v>725.6722568002596</x:v>
      </x:c>
      <x:c r="K1235" s="4" t="n">
        <x:f>IF(AND('계산 과정'!$L$6,J1235&gt;0),'계산 과정'!$D$10*('계산 과정'!$C$38*(D1235-'계산 과정'!$C$32)+'계산 과정'!$D$38*(E1235-'계산 과정'!$D$32)-'계산 과정'!$E$38*'계산 과정'!$E$32)/J1235,"")</x:f>
        <x:v>-0.8342306719446574</x:v>
      </x:c>
      <x:c r="L1235" s="4" t="n">
        <x:f>IF(AND('계산 과정'!$L$6,J1235&gt;0),'계산 과정'!$D$10*('계산 과정'!$C$39*(D1235-'계산 과정'!$C$32)+'계산 과정'!$D$39*(E1235-'계산 과정'!$D$32)-'계산 과정'!$E$39*'계산 과정'!$E$32)/J1235,"")</x:f>
        <x:v>0.49976628410974494</x:v>
      </x:c>
      <x:c r="M1235" s="17" t="n">
        <x:f>IF('계산 과정'!$L$6,IF(J1235&lt;=0,0,IF(AND(ABS(K1235)&lt;='계산 과정'!$D$11/2,ABS(L1235)&lt;='계산 과정'!$D$12/2),1,0)),"")</x:f>
        <x:v>1</x:v>
      </x:c>
      <x:c r="N1235" s="17" t="n">
        <x:f>IF('계산 과정'!$C$78,IF(AND(ISNUMBER(H1235),ISNUMBER(I1235),ABS(H1235-'계산 과정'!$C$88)&lt;='계산 과정'!$D$23/2,ABS(I1235-'계산 과정'!$C$89)&lt;='계산 과정'!$D$24/2),1,0),"")</x:f>
        <x:v>1</x:v>
      </x:c>
      <x:c r="O1235" s="4" t="n">
        <x:f>IF('계산 과정'!$L$7,'계산 과정'!$C$49*('계산 과정'!$C$32-D1235)+'계산 과정'!$D$49*('계산 과정'!$D$32-E1235)+'계산 과정'!$E$49*'계산 과정'!$E$32,"")</x:f>
        <x:v>-75.67225680025945</x:v>
      </x:c>
      <x:c r="P1235" s="4" t="n">
        <x:f>IF(AND('계산 과정'!$L$7,O1235&lt;&gt;0),('계산 과정'!$L$23-'계산 과정'!$C$49*D1235-'계산 과정'!$D$49*E1235)/O1235,"")</x:f>
        <x:v>-4.285953094485064</x:v>
      </x:c>
      <x:c r="Q1235" s="4" t="str">
        <x:f>IF(AND(ISNUMBER(P1235),P1235&gt;1E-9,P1235&lt;1-1E-9),'계산 과정'!$C$47*(D1235-'계산 과정'!$C$50+P1235*('계산 과정'!$C$32-D1235))+'계산 과정'!$D$47*(E1235-'계산 과정'!$D$50+P1235*('계산 과정'!$D$32-E1235))+'계산 과정'!$E$47*(0-'계산 과정'!$E$50+P1235*('계산 과정'!$E$32-0)),"")</x:f>
      </x:c>
      <x:c r="R1235" s="4" t="str">
        <x:f>IF(AND(ISNUMBER(P1235),P1235&gt;1E-9,P1235&lt;1-1E-9),'계산 과정'!$C$48*(D1235-'계산 과정'!$C$50+P1235*('계산 과정'!$C$32-D1235))+'계산 과정'!$D$48*(E1235-'계산 과정'!$D$50+P1235*('계산 과정'!$D$32-E1235))+'계산 과정'!$E$48*(0-'계산 과정'!$E$50+P1235*('계산 과정'!$E$32-0)),"")</x:f>
      </x:c>
      <x:c r="S1235" s="17" t="n">
        <x:f>IF('계산 과정'!$C$78,IF(AND(ISNUMBER(Q1235),ISNUMBER(R1235),ABS(Q1235-'계산 과정'!$C$88)&lt;='계산 과정'!$D$23/2,ABS(R1235-'계산 과정'!$C$89)&lt;='계산 과정'!$D$24/2),1,0),"")</x:f>
        <x:v>0</x:v>
      </x:c>
      <x:c r="T1235" s="4"/>
      <x:c r="U1235" s="4"/>
      <x:c r="V1235" s="4"/>
      <x:c r="W1235" s="4"/>
      <x:c r="X1235" s="4"/>
      <x:c r="Y1235" s="4"/>
      <x:c r="Z1235" s="4"/>
    </x:row>
    <x:row r="1236" ht="23" customHeight="1">
      <x:c r="A1236" s="17" t="n">
        <x:f>ROW()-6</x:f>
        <x:v>1230</x:v>
      </x:c>
      <x:c r="B1236" s="4" t="n">
        <x:f>IF('계산 과정'!$L$5,'계산 과정'!$L$11*SQRT((A1236+0.5)/'계산 과정'!$L$30),"")</x:f>
        <x:v>116.26984457636684</x:v>
      </x:c>
      <x:c r="C1236" s="4" t="n">
        <x:f>A1236*PI()*(3-SQRT(5))</x:f>
        <x:v>2951.954772566243</x:v>
      </x:c>
      <x:c r="D1236" s="4" t="n">
        <x:f>IF('계산 과정'!$L$5,B1236*COS(C1236),"")</x:f>
        <x:v>48.308226107040156</x:v>
      </x:c>
      <x:c r="E1236" s="4" t="n">
        <x:f>IF('계산 과정'!$L$5,B1236*SIN(C1236),"")</x:f>
        <x:v>-105.75912276585686</x:v>
      </x:c>
      <x:c r="F1236" s="4" t="n">
        <x:f>IF('계산 과정'!$L$7,'계산 과정'!$L$22+'계산 과정'!$C$49*D1236+'계산 과정'!$D$49*E1236,"")</x:f>
        <x:v>615.8409257326189</x:v>
      </x:c>
      <x:c r="G1236" s="4" t="n">
        <x:f>IF('계산 과정'!$L$7,IF(ABS(F1236)&gt;=1E-12*MAX(1,SQRT((D1236-'계산 과정'!$C$33)^2+(E1236-'계산 과정'!$D$33)^2+'계산 과정'!$E$33^2)),('계산 과정'!$L$23-'계산 과정'!$C$49*D1236-'계산 과정'!$D$49*E1236)/F1236,""),"")</x:f>
        <x:v>0.7049857457116792</x:v>
      </x:c>
      <x:c r="H1236" s="4" t="n">
        <x:f>IF(AND(ISNUMBER(G1236),G1236&gt;0),('계산 과정'!$D$56+'계산 과정'!$D$57*D1236+'계산 과정'!$D$58*E1236)/F1236,"")</x:f>
        <x:v>58.240734712591305</x:v>
      </x:c>
      <x:c r="I1236" s="4" t="n">
        <x:f>IF(AND(ISNUMBER(G1236),G1236&gt;0),('계산 과정'!$E$56+'계산 과정'!$E$57*D1236+'계산 과정'!$E$58*E1236)/F1236,"")</x:f>
        <x:v>-180.31779679475747</x:v>
      </x:c>
      <x:c r="J1236" s="4" t="n">
        <x:f>IF('계산 과정'!$L$5,'계산 과정'!$D$6+'계산 과정'!$C$35*D1236+'계산 과정'!$D$35*E1236,"")</x:f>
        <x:v>615.8409257326189</x:v>
      </x:c>
      <x:c r="K1236" s="4" t="n">
        <x:f>IF(AND('계산 과정'!$L$6,J1236&gt;0),'계산 과정'!$D$10*('계산 과정'!$C$38*(D1236-'계산 과정'!$C$32)+'계산 과정'!$D$38*(E1236-'계산 과정'!$D$32)-'계산 과정'!$E$38*'계산 과정'!$E$32)/J1236,"")</x:f>
        <x:v>0.4437389311435531</x:v>
      </x:c>
      <x:c r="L1236" s="4" t="n">
        <x:f>IF(AND('계산 과정'!$L$6,J1236&gt;0),'계산 과정'!$D$10*('계산 과정'!$C$39*(D1236-'계산 과정'!$C$32)+'계산 과정'!$D$39*(E1236-'계산 과정'!$D$32)-'계산 과정'!$E$39*'계산 과정'!$E$32)/J1236,"")</x:f>
        <x:v>-1.3738498803410093</x:v>
      </x:c>
      <x:c r="M1236" s="17" t="n">
        <x:f>IF('계산 과정'!$L$6,IF(J1236&lt;=0,0,IF(AND(ABS(K1236)&lt;='계산 과정'!$D$11/2,ABS(L1236)&lt;='계산 과정'!$D$12/2),1,0)),"")</x:f>
        <x:v>1</x:v>
      </x:c>
      <x:c r="N1236" s="17" t="n">
        <x:f>IF('계산 과정'!$C$78,IF(AND(ISNUMBER(H1236),ISNUMBER(I1236),ABS(H1236-'계산 과정'!$C$88)&lt;='계산 과정'!$D$23/2,ABS(I1236-'계산 과정'!$C$89)&lt;='계산 과정'!$D$24/2),1,0),"")</x:f>
        <x:v>1</x:v>
      </x:c>
      <x:c r="O1236" s="4" t="n">
        <x:f>IF('계산 과정'!$L$7,'계산 과정'!$C$49*('계산 과정'!$C$32-D1236)+'계산 과정'!$D$49*('계산 과정'!$D$32-E1236)+'계산 과정'!$E$49*'계산 과정'!$E$32,"")</x:f>
        <x:v>34.159074267381186</x:v>
      </x:c>
      <x:c r="P1236" s="4" t="n">
        <x:f>IF(AND('계산 과정'!$L$7,O1236&lt;&gt;0),('계산 과정'!$L$23-'계산 과정'!$C$49*D1236-'계산 과정'!$D$49*E1236)/O1236,"")</x:f>
        <x:v>12.709919211187863</x:v>
      </x:c>
      <x:c r="Q1236" s="4" t="str">
        <x:f>IF(AND(ISNUMBER(P1236),P1236&gt;1E-9,P1236&lt;1-1E-9),'계산 과정'!$C$47*(D1236-'계산 과정'!$C$50+P1236*('계산 과정'!$C$32-D1236))+'계산 과정'!$D$47*(E1236-'계산 과정'!$D$50+P1236*('계산 과정'!$D$32-E1236))+'계산 과정'!$E$47*(0-'계산 과정'!$E$50+P1236*('계산 과정'!$E$32-0)),"")</x:f>
      </x:c>
      <x:c r="R1236" s="4" t="str">
        <x:f>IF(AND(ISNUMBER(P1236),P1236&gt;1E-9,P1236&lt;1-1E-9),'계산 과정'!$C$48*(D1236-'계산 과정'!$C$50+P1236*('계산 과정'!$C$32-D1236))+'계산 과정'!$D$48*(E1236-'계산 과정'!$D$50+P1236*('계산 과정'!$D$32-E1236))+'계산 과정'!$E$48*(0-'계산 과정'!$E$50+P1236*('계산 과정'!$E$32-0)),"")</x:f>
      </x:c>
      <x:c r="S1236" s="17" t="n">
        <x:f>IF('계산 과정'!$C$78,IF(AND(ISNUMBER(Q1236),ISNUMBER(R1236),ABS(Q1236-'계산 과정'!$C$88)&lt;='계산 과정'!$D$23/2,ABS(R1236-'계산 과정'!$C$89)&lt;='계산 과정'!$D$24/2),1,0),"")</x:f>
        <x:v>0</x:v>
      </x:c>
      <x:c r="T1236" s="4"/>
      <x:c r="U1236" s="4"/>
      <x:c r="V1236" s="4"/>
      <x:c r="W1236" s="4"/>
      <x:c r="X1236" s="4"/>
      <x:c r="Y1236" s="4"/>
      <x:c r="Z1236" s="4"/>
    </x:row>
    <x:row r="1237" ht="23" customHeight="1">
      <x:c r="A1237" s="17" t="n">
        <x:f>ROW()-6</x:f>
        <x:v>1231</x:v>
      </x:c>
      <x:c r="B1237" s="4" t="n">
        <x:f>IF('계산 과정'!$L$5,'계산 과정'!$L$11*SQRT((A1237+0.5)/'계산 과정'!$L$30),"")</x:f>
        <x:v>116.31707994072711</x:v>
      </x:c>
      <x:c r="C1237" s="4" t="n">
        <x:f>A1237*PI()*(3-SQRT(5))</x:f>
        <x:v>2954.354735795972</x:v>
      </x:c>
      <x:c r="D1237" s="4" t="n">
        <x:f>IF('계산 과정'!$L$5,B1237*COS(C1237),"")</x:f>
        <x:v>35.832829874991695</x:v>
      </x:c>
      <x:c r="E1237" s="4" t="n">
        <x:f>IF('계산 과정'!$L$5,B1237*SIN(C1237),"")</x:f>
        <x:v>110.66016170730731</x:v>
      </x:c>
      <x:c r="F1237" s="4" t="n">
        <x:f>IF('계산 과정'!$L$7,'계산 과정'!$L$22+'계산 과정'!$C$49*D1237+'계산 과정'!$D$49*E1237,"")</x:f>
        <x:v>624.6623630062895</x:v>
      </x:c>
      <x:c r="G1237" s="4" t="n">
        <x:f>IF('계산 과정'!$L$7,IF(ABS(F1237)&gt;=1E-12*MAX(1,SQRT((D1237-'계산 과정'!$C$33)^2+(E1237-'계산 과정'!$D$33)^2+'계산 과정'!$E$33^2)),('계산 과정'!$L$23-'계산 과정'!$C$49*D1237-'계산 과정'!$D$49*E1237)/F1237,""),"")</x:f>
        <x:v>0.6809080587898777</x:v>
      </x:c>
      <x:c r="H1237" s="4" t="n">
        <x:f>IF(AND(ISNUMBER(G1237),G1237&gt;0),('계산 과정'!$D$56+'계산 과정'!$D$57*D1237+'계산 과정'!$D$58*E1237)/F1237,"")</x:f>
        <x:v>42.59023821342046</x:v>
      </x:c>
      <x:c r="I1237" s="4" t="n">
        <x:f>IF(AND(ISNUMBER(G1237),G1237&gt;0),('계산 과정'!$E$56+'계산 과정'!$E$57*D1237+'계산 과정'!$E$58*E1237)/F1237,"")</x:f>
        <x:v>186.00955760080387</x:v>
      </x:c>
      <x:c r="J1237" s="4" t="n">
        <x:f>IF('계산 과정'!$L$5,'계산 과정'!$D$6+'계산 과정'!$C$35*D1237+'계산 과정'!$D$35*E1237,"")</x:f>
        <x:v>624.6623630062895</x:v>
      </x:c>
      <x:c r="K1237" s="4" t="n">
        <x:f>IF(AND('계산 과정'!$L$6,J1237&gt;0),'계산 과정'!$D$10*('계산 과정'!$C$38*(D1237-'계산 과정'!$C$32)+'계산 과정'!$D$38*(E1237-'계산 과정'!$D$32)-'계산 과정'!$E$38*'계산 과정'!$E$32)/J1237,"")</x:f>
        <x:v>0.32449705305463283</x:v>
      </x:c>
      <x:c r="L1237" s="4" t="n">
        <x:f>IF(AND('계산 과정'!$L$6,J1237&gt;0),'계산 과정'!$D$10*('계산 과정'!$C$39*(D1237-'계산 과정'!$C$32)+'계산 과정'!$D$39*(E1237-'계산 과정'!$D$32)-'계산 과정'!$E$39*'계산 과정'!$E$32)/J1237,"")</x:f>
        <x:v>1.4172156769585058</x:v>
      </x:c>
      <x:c r="M1237" s="17" t="n">
        <x:f>IF('계산 과정'!$L$6,IF(J1237&lt;=0,0,IF(AND(ABS(K1237)&lt;='계산 과정'!$D$11/2,ABS(L1237)&lt;='계산 과정'!$D$12/2),1,0)),"")</x:f>
        <x:v>1</x:v>
      </x:c>
      <x:c r="N1237" s="17" t="n">
        <x:f>IF('계산 과정'!$C$78,IF(AND(ISNUMBER(H1237),ISNUMBER(I1237),ABS(H1237-'계산 과정'!$C$88)&lt;='계산 과정'!$D$23/2,ABS(I1237-'계산 과정'!$C$89)&lt;='계산 과정'!$D$24/2),1,0),"")</x:f>
        <x:v>1</x:v>
      </x:c>
      <x:c r="O1237" s="4" t="n">
        <x:f>IF('계산 과정'!$L$7,'계산 과정'!$C$49*('계산 과정'!$C$32-D1237)+'계산 과정'!$D$49*('계산 과정'!$D$32-E1237)+'계산 과정'!$E$49*'계산 과정'!$E$32,"")</x:f>
        <x:v>25.337636993710646</x:v>
      </x:c>
      <x:c r="P1237" s="4" t="n">
        <x:f>IF(AND('계산 과정'!$L$7,O1237&lt;&gt;0),('계산 과정'!$L$23-'계산 과정'!$C$49*D1237-'계산 과정'!$D$49*E1237)/O1237,"")</x:f>
        <x:v>16.786791803011806</x:v>
      </x:c>
      <x:c r="Q1237" s="4" t="str">
        <x:f>IF(AND(ISNUMBER(P1237),P1237&gt;1E-9,P1237&lt;1-1E-9),'계산 과정'!$C$47*(D1237-'계산 과정'!$C$50+P1237*('계산 과정'!$C$32-D1237))+'계산 과정'!$D$47*(E1237-'계산 과정'!$D$50+P1237*('계산 과정'!$D$32-E1237))+'계산 과정'!$E$47*(0-'계산 과정'!$E$50+P1237*('계산 과정'!$E$32-0)),"")</x:f>
      </x:c>
      <x:c r="R1237" s="4" t="str">
        <x:f>IF(AND(ISNUMBER(P1237),P1237&gt;1E-9,P1237&lt;1-1E-9),'계산 과정'!$C$48*(D1237-'계산 과정'!$C$50+P1237*('계산 과정'!$C$32-D1237))+'계산 과정'!$D$48*(E1237-'계산 과정'!$D$50+P1237*('계산 과정'!$D$32-E1237))+'계산 과정'!$E$48*(0-'계산 과정'!$E$50+P1237*('계산 과정'!$E$32-0)),"")</x:f>
      </x:c>
      <x:c r="S1237" s="17" t="n">
        <x:f>IF('계산 과정'!$C$78,IF(AND(ISNUMBER(Q1237),ISNUMBER(R1237),ABS(Q1237-'계산 과정'!$C$88)&lt;='계산 과정'!$D$23/2,ABS(R1237-'계산 과정'!$C$89)&lt;='계산 과정'!$D$24/2),1,0),"")</x:f>
        <x:v>0</x:v>
      </x:c>
      <x:c r="T1237" s="4"/>
      <x:c r="U1237" s="4"/>
      <x:c r="V1237" s="4"/>
      <x:c r="W1237" s="4"/>
      <x:c r="X1237" s="4"/>
      <x:c r="Y1237" s="4"/>
      <x:c r="Z1237" s="4"/>
    </x:row>
    <x:row r="1238" ht="23" customHeight="1">
      <x:c r="A1238" s="17" t="n">
        <x:f>ROW()-6</x:f>
        <x:v>1232</x:v>
      </x:c>
      <x:c r="B1238" s="4" t="n">
        <x:f>IF('계산 과정'!$L$5,'계산 과정'!$L$11*SQRT((A1238+0.5)/'계산 과정'!$L$30),"")</x:f>
        <x:v>116.36429613099759</x:v>
      </x:c>
      <x:c r="C1238" s="4" t="n">
        <x:f>A1238*PI()*(3-SQRT(5))</x:f>
        <x:v>2956.7546990257006</x:v>
      </x:c>
      <x:c r="D1238" s="4" t="n">
        <x:f>IF('계산 과정'!$L$5,B1238*COS(C1238),"")</x:f>
        <x:v>-101.21294710908656</x:v>
      </x:c>
      <x:c r="E1238" s="4" t="n">
        <x:f>IF('계산 과정'!$L$5,B1238*SIN(C1238),"")</x:f>
        <x:v>-57.41592768174827</x:v>
      </x:c>
      <x:c r="F1238" s="4" t="n">
        <x:f>IF('계산 과정'!$L$7,'계산 과정'!$L$22+'계산 과정'!$C$49*D1238+'계산 과정'!$D$49*E1238,"")</x:f>
        <x:v>721.5683612447104</x:v>
      </x:c>
      <x:c r="G1238" s="4" t="n">
        <x:f>IF('계산 과정'!$L$7,IF(ABS(F1238)&gt;=1E-12*MAX(1,SQRT((D1238-'계산 과정'!$C$33)^2+(E1238-'계산 과정'!$D$33)^2+'계산 과정'!$E$33^2)),('계산 과정'!$L$23-'계산 과정'!$C$49*D1238-'계산 과정'!$D$49*E1238)/F1238,""),"")</x:f>
        <x:v>0.45516358032763893</x:v>
      </x:c>
      <x:c r="H1238" s="4" t="n">
        <x:f>IF(AND(ISNUMBER(G1238),G1238&gt;0),('계산 과정'!$D$56+'계산 과정'!$D$57*D1238+'계산 과정'!$D$58*E1238)/F1238,"")</x:f>
        <x:v>-104.14367278703486</x:v>
      </x:c>
      <x:c r="I1238" s="4" t="n">
        <x:f>IF(AND(ISNUMBER(G1238),G1238&gt;0),('계산 과정'!$E$56+'계산 과정'!$E$57*D1238+'계산 과정'!$E$58*E1238)/F1238,"")</x:f>
        <x:v>-83.54956689320561</x:v>
      </x:c>
      <x:c r="J1238" s="4" t="n">
        <x:f>IF('계산 과정'!$L$5,'계산 과정'!$D$6+'계산 과정'!$C$35*D1238+'계산 과정'!$D$35*E1238,"")</x:f>
        <x:v>721.5683612447104</x:v>
      </x:c>
      <x:c r="K1238" s="4" t="n">
        <x:f>IF(AND('계산 과정'!$L$6,J1238&gt;0),'계산 과정'!$D$10*('계산 과정'!$C$38*(D1238-'계산 과정'!$C$32)+'계산 과정'!$D$38*(E1238-'계산 과정'!$D$32)-'계산 과정'!$E$38*'계산 과정'!$E$32)/J1238,"")</x:f>
        <x:v>-0.7934756021869316</x:v>
      </x:c>
      <x:c r="L1238" s="4" t="n">
        <x:f>IF(AND('계산 과정'!$L$6,J1238&gt;0),'계산 과정'!$D$10*('계산 과정'!$C$39*(D1238-'계산 과정'!$C$32)+'계산 과정'!$D$39*(E1238-'계산 과정'!$D$32)-'계산 과정'!$E$39*'계산 과정'!$E$32)/J1238,"")</x:f>
        <x:v>-0.636568128710138</x:v>
      </x:c>
      <x:c r="M1238" s="17" t="n">
        <x:f>IF('계산 과정'!$L$6,IF(J1238&lt;=0,0,IF(AND(ABS(K1238)&lt;='계산 과정'!$D$11/2,ABS(L1238)&lt;='계산 과정'!$D$12/2),1,0)),"")</x:f>
        <x:v>1</x:v>
      </x:c>
      <x:c r="N1238" s="17" t="n">
        <x:f>IF('계산 과정'!$C$78,IF(AND(ISNUMBER(H1238),ISNUMBER(I1238),ABS(H1238-'계산 과정'!$C$88)&lt;='계산 과정'!$D$23/2,ABS(I1238-'계산 과정'!$C$89)&lt;='계산 과정'!$D$24/2),1,0),"")</x:f>
        <x:v>1</x:v>
      </x:c>
      <x:c r="O1238" s="4" t="n">
        <x:f>IF('계산 과정'!$L$7,'계산 과정'!$C$49*('계산 과정'!$C$32-D1238)+'계산 과정'!$D$49*('계산 과정'!$D$32-E1238)+'계산 과정'!$E$49*'계산 과정'!$E$32,"")</x:f>
        <x:v>-71.56836124471039</x:v>
      </x:c>
      <x:c r="P1238" s="4" t="n">
        <x:f>IF(AND('계산 과정'!$L$7,O1238&lt;&gt;0),('계산 과정'!$L$23-'계산 과정'!$C$49*D1238-'계산 과정'!$D$49*E1238)/O1238,"")</x:f>
        <x:v>-4.58906188493402</x:v>
      </x:c>
      <x:c r="Q1238" s="4" t="str">
        <x:f>IF(AND(ISNUMBER(P1238),P1238&gt;1E-9,P1238&lt;1-1E-9),'계산 과정'!$C$47*(D1238-'계산 과정'!$C$50+P1238*('계산 과정'!$C$32-D1238))+'계산 과정'!$D$47*(E1238-'계산 과정'!$D$50+P1238*('계산 과정'!$D$32-E1238))+'계산 과정'!$E$47*(0-'계산 과정'!$E$50+P1238*('계산 과정'!$E$32-0)),"")</x:f>
      </x:c>
      <x:c r="R1238" s="4" t="str">
        <x:f>IF(AND(ISNUMBER(P1238),P1238&gt;1E-9,P1238&lt;1-1E-9),'계산 과정'!$C$48*(D1238-'계산 과정'!$C$50+P1238*('계산 과정'!$C$32-D1238))+'계산 과정'!$D$48*(E1238-'계산 과정'!$D$50+P1238*('계산 과정'!$D$32-E1238))+'계산 과정'!$E$48*(0-'계산 과정'!$E$50+P1238*('계산 과정'!$E$32-0)),"")</x:f>
      </x:c>
      <x:c r="S1238" s="17" t="n">
        <x:f>IF('계산 과정'!$C$78,IF(AND(ISNUMBER(Q1238),ISNUMBER(R1238),ABS(Q1238-'계산 과정'!$C$88)&lt;='계산 과정'!$D$23/2,ABS(R1238-'계산 과정'!$C$89)&lt;='계산 과정'!$D$24/2),1,0),"")</x:f>
        <x:v>0</x:v>
      </x:c>
      <x:c r="T1238" s="4"/>
      <x:c r="U1238" s="4"/>
      <x:c r="V1238" s="4"/>
      <x:c r="W1238" s="4"/>
      <x:c r="X1238" s="4"/>
      <x:c r="Y1238" s="4"/>
      <x:c r="Z1238" s="4"/>
    </x:row>
    <x:row r="1239" ht="23" customHeight="1">
      <x:c r="A1239" s="17" t="n">
        <x:f>ROW()-6</x:f>
        <x:v>1233</x:v>
      </x:c>
      <x:c r="B1239" s="4" t="n">
        <x:f>IF('계산 과정'!$L$5,'계산 과정'!$L$11*SQRT((A1239+0.5)/'계산 과정'!$L$30),"")</x:f>
        <x:v>116.41149317050916</x:v>
      </x:c>
      <x:c r="C1239" s="4" t="n">
        <x:f>A1239*PI()*(3-SQRT(5))</x:f>
        <x:v>2959.154662255429</x:v>
      </x:c>
      <x:c r="D1239" s="4" t="n">
        <x:f>IF('계산 과정'!$L$5,B1239*COS(C1239),"")</x:f>
        <x:v>113.46118002760365</x:v>
      </x:c>
      <x:c r="E1239" s="4" t="n">
        <x:f>IF('계산 과정'!$L$5,B1239*SIN(C1239),"")</x:f>
        <x:v>-26.042203611277177</x:v>
      </x:c>
      <x:c r="F1239" s="4" t="n">
        <x:f>IF('계산 과정'!$L$7,'계산 과정'!$L$22+'계산 과정'!$C$49*D1239+'계산 과정'!$D$49*E1239,"")</x:f>
        <x:v>569.7708302010537</x:v>
      </x:c>
      <x:c r="G1239" s="4" t="n">
        <x:f>IF('계산 과정'!$L$7,IF(ABS(F1239)&gt;=1E-12*MAX(1,SQRT((D1239-'계산 과정'!$C$33)^2+(E1239-'계산 과정'!$D$33)^2+'계산 과정'!$E$33^2)),('계산 과정'!$L$23-'계산 과정'!$C$49*D1239-'계산 과정'!$D$49*E1239)/F1239,""),"")</x:f>
        <x:v>0.8428461836656131</x:v>
      </x:c>
      <x:c r="H1239" s="4" t="n">
        <x:f>IF(AND(ISNUMBER(G1239),G1239&gt;0),('계산 과정'!$D$56+'계산 과정'!$D$57*D1239+'계산 과정'!$D$58*E1239)/F1239,"")</x:f>
        <x:v>147.8500193826484</x:v>
      </x:c>
      <x:c r="I1239" s="4" t="n">
        <x:f>IF(AND(ISNUMBER(G1239),G1239&gt;0),('계산 과정'!$E$56+'계산 과정'!$E$57*D1239+'계산 과정'!$E$58*E1239)/F1239,"")</x:f>
        <x:v>-47.991775539284994</x:v>
      </x:c>
      <x:c r="J1239" s="4" t="n">
        <x:f>IF('계산 과정'!$L$5,'계산 과정'!$D$6+'계산 과정'!$C$35*D1239+'계산 과정'!$D$35*E1239,"")</x:f>
        <x:v>569.7708302010537</x:v>
      </x:c>
      <x:c r="K1239" s="4" t="n">
        <x:f>IF(AND('계산 과정'!$L$6,J1239&gt;0),'계산 과정'!$D$10*('계산 과정'!$C$38*(D1239-'계산 과정'!$C$32)+'계산 과정'!$D$38*(E1239-'계산 과정'!$D$32)-'계산 과정'!$E$38*'계산 과정'!$E$32)/J1239,"")</x:f>
        <x:v>1.1264763381535123</x:v>
      </x:c>
      <x:c r="L1239" s="4" t="n">
        <x:f>IF(AND('계산 과정'!$L$6,J1239&gt;0),'계산 과정'!$D$10*('계산 과정'!$C$39*(D1239-'계산 과정'!$C$32)+'계산 과정'!$D$39*(E1239-'계산 과정'!$D$32)-'계산 과정'!$E$39*'계산 과정'!$E$32)/J1239,"")</x:f>
        <x:v>-0.3656516231564571</x:v>
      </x:c>
      <x:c r="M1239" s="17" t="n">
        <x:f>IF('계산 과정'!$L$6,IF(J1239&lt;=0,0,IF(AND(ABS(K1239)&lt;='계산 과정'!$D$11/2,ABS(L1239)&lt;='계산 과정'!$D$12/2),1,0)),"")</x:f>
        <x:v>1</x:v>
      </x:c>
      <x:c r="N1239" s="17" t="n">
        <x:f>IF('계산 과정'!$C$78,IF(AND(ISNUMBER(H1239),ISNUMBER(I1239),ABS(H1239-'계산 과정'!$C$88)&lt;='계산 과정'!$D$23/2,ABS(I1239-'계산 과정'!$C$89)&lt;='계산 과정'!$D$24/2),1,0),"")</x:f>
        <x:v>1</x:v>
      </x:c>
      <x:c r="O1239" s="4" t="n">
        <x:f>IF('계산 과정'!$L$7,'계산 과정'!$C$49*('계산 과정'!$C$32-D1239)+'계산 과정'!$D$49*('계산 과정'!$D$32-E1239)+'계산 과정'!$E$49*'계산 과정'!$E$32,"")</x:f>
        <x:v>80.22916979894632</x:v>
      </x:c>
      <x:c r="P1239" s="4" t="n">
        <x:f>IF(AND('계산 과정'!$L$7,O1239&lt;&gt;0),('계산 과정'!$L$23-'계산 과정'!$C$49*D1239-'계산 과정'!$D$49*E1239)/O1239,"")</x:f>
        <x:v>5.985717800675201</x:v>
      </x:c>
      <x:c r="Q1239" s="4" t="str">
        <x:f>IF(AND(ISNUMBER(P1239),P1239&gt;1E-9,P1239&lt;1-1E-9),'계산 과정'!$C$47*(D1239-'계산 과정'!$C$50+P1239*('계산 과정'!$C$32-D1239))+'계산 과정'!$D$47*(E1239-'계산 과정'!$D$50+P1239*('계산 과정'!$D$32-E1239))+'계산 과정'!$E$47*(0-'계산 과정'!$E$50+P1239*('계산 과정'!$E$32-0)),"")</x:f>
      </x:c>
      <x:c r="R1239" s="4" t="str">
        <x:f>IF(AND(ISNUMBER(P1239),P1239&gt;1E-9,P1239&lt;1-1E-9),'계산 과정'!$C$48*(D1239-'계산 과정'!$C$50+P1239*('계산 과정'!$C$32-D1239))+'계산 과정'!$D$48*(E1239-'계산 과정'!$D$50+P1239*('계산 과정'!$D$32-E1239))+'계산 과정'!$E$48*(0-'계산 과정'!$E$50+P1239*('계산 과정'!$E$32-0)),"")</x:f>
      </x:c>
      <x:c r="S1239" s="17" t="n">
        <x:f>IF('계산 과정'!$C$78,IF(AND(ISNUMBER(Q1239),ISNUMBER(R1239),ABS(Q1239-'계산 과정'!$C$88)&lt;='계산 과정'!$D$23/2,ABS(R1239-'계산 과정'!$C$89)&lt;='계산 과정'!$D$24/2),1,0),"")</x:f>
        <x:v>0</x:v>
      </x:c>
      <x:c r="T1239" s="4"/>
      <x:c r="U1239" s="4"/>
      <x:c r="V1239" s="4"/>
      <x:c r="W1239" s="4"/>
      <x:c r="X1239" s="4"/>
      <x:c r="Y1239" s="4"/>
      <x:c r="Z1239" s="4"/>
    </x:row>
    <x:row r="1240" ht="23" customHeight="1">
      <x:c r="A1240" s="17" t="n">
        <x:f>ROW()-6</x:f>
        <x:v>1234</x:v>
      </x:c>
      <x:c r="B1240" s="4" t="n">
        <x:f>IF('계산 과정'!$L$5,'계산 과정'!$L$11*SQRT((A1240+0.5)/'계산 과정'!$L$30),"")</x:f>
        <x:v>116.45867108254542</x:v>
      </x:c>
      <x:c r="C1240" s="4" t="n">
        <x:f>A1240*PI()*(3-SQRT(5))</x:f>
        <x:v>2961.5546254851574</x:v>
      </x:c>
      <x:c r="D1240" s="4" t="n">
        <x:f>IF('계산 과정'!$L$5,B1240*COS(C1240),"")</x:f>
        <x:v>-66.09826393478697</x:v>
      </x:c>
      <x:c r="E1240" s="4" t="n">
        <x:f>IF('계산 과정'!$L$5,B1240*SIN(C1240),"")</x:f>
        <x:v>95.8834791563163</x:v>
      </x:c>
      <x:c r="F1240" s="4" t="n">
        <x:f>IF('계산 과정'!$L$7,'계산 과정'!$L$22+'계산 과정'!$C$49*D1240+'계산 과정'!$D$49*E1240,"")</x:f>
        <x:v>696.7385306529461</x:v>
      </x:c>
      <x:c r="G1240" s="4" t="n">
        <x:f>IF('계산 과정'!$L$7,IF(ABS(F1240)&gt;=1E-12*MAX(1,SQRT((D1240-'계산 과정'!$C$33)^2+(E1240-'계산 과정'!$D$33)^2+'계산 과정'!$E$33^2)),('계산 과정'!$L$23-'계산 과정'!$C$49*D1240-'계산 과정'!$D$49*E1240)/F1240,""),"")</x:f>
        <x:v>0.5070215781176852</x:v>
      </x:c>
      <x:c r="H1240" s="4" t="n">
        <x:f>IF(AND(ISNUMBER(G1240),G1240&gt;0),('계산 과정'!$D$56+'계산 과정'!$D$57*D1240+'계산 과정'!$D$58*E1240)/F1240,"")</x:f>
        <x:v>-70.43597422350472</x:v>
      </x:c>
      <x:c r="I1240" s="4" t="n">
        <x:f>IF(AND(ISNUMBER(G1240),G1240&gt;0),('계산 과정'!$E$56+'계산 과정'!$E$57*D1240+'계산 과정'!$E$58*E1240)/F1240,"")</x:f>
        <x:v>144.49847207356598</x:v>
      </x:c>
      <x:c r="J1240" s="4" t="n">
        <x:f>IF('계산 과정'!$L$5,'계산 과정'!$D$6+'계산 과정'!$C$35*D1240+'계산 과정'!$D$35*E1240,"")</x:f>
        <x:v>696.7385306529461</x:v>
      </x:c>
      <x:c r="K1240" s="4" t="n">
        <x:f>IF(AND('계산 과정'!$L$6,J1240&gt;0),'계산 과정'!$D$10*('계산 과정'!$C$38*(D1240-'계산 과정'!$C$32)+'계산 과정'!$D$38*(E1240-'계산 과정'!$D$32)-'계산 과정'!$E$38*'계산 과정'!$E$32)/J1240,"")</x:f>
        <x:v>-0.5366550417028919</x:v>
      </x:c>
      <x:c r="L1240" s="4" t="n">
        <x:f>IF(AND('계산 과정'!$L$6,J1240&gt;0),'계산 과정'!$D$10*('계산 과정'!$C$39*(D1240-'계산 과정'!$C$32)+'계산 과정'!$D$39*(E1240-'계산 과정'!$D$32)-'계산 과정'!$E$39*'계산 과정'!$E$32)/J1240,"")</x:f>
        <x:v>1.1009407396081217</x:v>
      </x:c>
      <x:c r="M1240" s="17" t="n">
        <x:f>IF('계산 과정'!$L$6,IF(J1240&lt;=0,0,IF(AND(ABS(K1240)&lt;='계산 과정'!$D$11/2,ABS(L1240)&lt;='계산 과정'!$D$12/2),1,0)),"")</x:f>
        <x:v>1</x:v>
      </x:c>
      <x:c r="N1240" s="17" t="n">
        <x:f>IF('계산 과정'!$C$78,IF(AND(ISNUMBER(H1240),ISNUMBER(I1240),ABS(H1240-'계산 과정'!$C$88)&lt;='계산 과정'!$D$23/2,ABS(I1240-'계산 과정'!$C$89)&lt;='계산 과정'!$D$24/2),1,0),"")</x:f>
        <x:v>1</x:v>
      </x:c>
      <x:c r="O1240" s="4" t="n">
        <x:f>IF('계산 과정'!$L$7,'계산 과정'!$C$49*('계산 과정'!$C$32-D1240)+'계산 과정'!$D$49*('계산 과정'!$D$32-E1240)+'계산 과정'!$E$49*'계산 과정'!$E$32,"")</x:f>
        <x:v>-46.73853065294594</x:v>
      </x:c>
      <x:c r="P1240" s="4" t="n">
        <x:f>IF(AND('계산 과정'!$L$7,O1240&lt;&gt;0),('계산 과정'!$L$23-'계산 과정'!$C$49*D1240-'계산 과정'!$D$49*E1240)/O1240,"")</x:f>
        <x:v>-7.558249358974827</x:v>
      </x:c>
      <x:c r="Q1240" s="4" t="str">
        <x:f>IF(AND(ISNUMBER(P1240),P1240&gt;1E-9,P1240&lt;1-1E-9),'계산 과정'!$C$47*(D1240-'계산 과정'!$C$50+P1240*('계산 과정'!$C$32-D1240))+'계산 과정'!$D$47*(E1240-'계산 과정'!$D$50+P1240*('계산 과정'!$D$32-E1240))+'계산 과정'!$E$47*(0-'계산 과정'!$E$50+P1240*('계산 과정'!$E$32-0)),"")</x:f>
      </x:c>
      <x:c r="R1240" s="4" t="str">
        <x:f>IF(AND(ISNUMBER(P1240),P1240&gt;1E-9,P1240&lt;1-1E-9),'계산 과정'!$C$48*(D1240-'계산 과정'!$C$50+P1240*('계산 과정'!$C$32-D1240))+'계산 과정'!$D$48*(E1240-'계산 과정'!$D$50+P1240*('계산 과정'!$D$32-E1240))+'계산 과정'!$E$48*(0-'계산 과정'!$E$50+P1240*('계산 과정'!$E$32-0)),"")</x:f>
      </x:c>
      <x:c r="S1240" s="17" t="n">
        <x:f>IF('계산 과정'!$C$78,IF(AND(ISNUMBER(Q1240),ISNUMBER(R1240),ABS(Q1240-'계산 과정'!$C$88)&lt;='계산 과정'!$D$23/2,ABS(R1240-'계산 과정'!$C$89)&lt;='계산 과정'!$D$24/2),1,0),"")</x:f>
        <x:v>0</x:v>
      </x:c>
      <x:c r="T1240" s="4"/>
      <x:c r="U1240" s="4"/>
      <x:c r="V1240" s="4"/>
      <x:c r="W1240" s="4"/>
      <x:c r="X1240" s="4"/>
      <x:c r="Y1240" s="4"/>
      <x:c r="Z1240" s="4"/>
    </x:row>
    <x:row r="1241" ht="23" customHeight="1">
      <x:c r="A1241" s="17" t="n">
        <x:f>ROW()-6</x:f>
        <x:v>1235</x:v>
      </x:c>
      <x:c r="B1241" s="4" t="n">
        <x:f>IF('계산 과정'!$L$5,'계산 과정'!$L$11*SQRT((A1241+0.5)/'계산 과정'!$L$30),"")</x:f>
        <x:v>116.50582989034282</x:v>
      </x:c>
      <x:c r="C1241" s="4" t="n">
        <x:f>A1241*PI()*(3-SQRT(5))</x:f>
        <x:v>2963.9545887148865</x:v>
      </x:c>
      <x:c r="D1241" s="4" t="n">
        <x:f>IF('계산 과정'!$L$5,B1241*COS(C1241),"")</x:f>
        <x:v>-16.036047842905106</x:v>
      </x:c>
      <x:c r="E1241" s="4" t="n">
        <x:f>IF('계산 과정'!$L$5,B1241*SIN(C1241),"")</x:f>
        <x:v>-115.39693916225663</x:v>
      </x:c>
      <x:c r="F1241" s="4" t="n">
        <x:f>IF('계산 과정'!$L$7,'계산 과정'!$L$22+'계산 과정'!$C$49*D1241+'계산 과정'!$D$49*E1241,"")</x:f>
        <x:v>661.3391981731501</x:v>
      </x:c>
      <x:c r="G1241" s="4" t="n">
        <x:f>IF('계산 과정'!$L$7,IF(ABS(F1241)&gt;=1E-12*MAX(1,SQRT((D1241-'계산 과정'!$C$33)^2+(E1241-'계산 과정'!$D$33)^2+'계산 과정'!$E$33^2)),('계산 과정'!$L$23-'계산 과정'!$C$49*D1241-'계산 과정'!$D$49*E1241)/F1241,""),"")</x:f>
        <x:v>0.5876875329641231</x:v>
      </x:c>
      <x:c r="H1241" s="4" t="n">
        <x:f>IF(AND(ISNUMBER(G1241),G1241&gt;0),('계산 과정'!$D$56+'계산 과정'!$D$57*D1241+'계산 과정'!$D$58*E1241)/F1241,"")</x:f>
        <x:v>-18.003103573320104</x:v>
      </x:c>
      <x:c r="I1241" s="4" t="n">
        <x:f>IF(AND(ISNUMBER(G1241),G1241&gt;0),('계산 과정'!$E$56+'계산 과정'!$E$57*D1241+'계산 과정'!$E$58*E1241)/F1241,"")</x:f>
        <x:v>-183.21428165013424</x:v>
      </x:c>
      <x:c r="J1241" s="4" t="n">
        <x:f>IF('계산 과정'!$L$5,'계산 과정'!$D$6+'계산 과정'!$C$35*D1241+'계산 과정'!$D$35*E1241,"")</x:f>
        <x:v>661.3391981731501</x:v>
      </x:c>
      <x:c r="K1241" s="4" t="n">
        <x:f>IF(AND('계산 과정'!$L$6,J1241&gt;0),'계산 과정'!$D$10*('계산 과정'!$C$38*(D1241-'계산 과정'!$C$32)+'계산 과정'!$D$38*(E1241-'계산 과정'!$D$32)-'계산 과정'!$E$38*'계산 과정'!$E$32)/J1241,"")</x:f>
        <x:v>-0.13716650341577083</x:v>
      </x:c>
      <x:c r="L1241" s="4" t="n">
        <x:f>IF(AND('계산 과정'!$L$6,J1241&gt;0),'계산 과정'!$D$10*('계산 과정'!$C$39*(D1241-'계산 과정'!$C$32)+'계산 과정'!$D$39*(E1241-'계산 과정'!$D$32)-'계산 과정'!$E$39*'계산 과정'!$E$32)/J1241,"")</x:f>
        <x:v>-1.3959183363819752</x:v>
      </x:c>
      <x:c r="M1241" s="17" t="n">
        <x:f>IF('계산 과정'!$L$6,IF(J1241&lt;=0,0,IF(AND(ABS(K1241)&lt;='계산 과정'!$D$11/2,ABS(L1241)&lt;='계산 과정'!$D$12/2),1,0)),"")</x:f>
        <x:v>1</x:v>
      </x:c>
      <x:c r="N1241" s="17" t="n">
        <x:f>IF('계산 과정'!$C$78,IF(AND(ISNUMBER(H1241),ISNUMBER(I1241),ABS(H1241-'계산 과정'!$C$88)&lt;='계산 과정'!$D$23/2,ABS(I1241-'계산 과정'!$C$89)&lt;='계산 과정'!$D$24/2),1,0),"")</x:f>
        <x:v>1</x:v>
      </x:c>
      <x:c r="O1241" s="4" t="n">
        <x:f>IF('계산 과정'!$L$7,'계산 과정'!$C$49*('계산 과정'!$C$32-D1241)+'계산 과정'!$D$49*('계산 과정'!$D$32-E1241)+'계산 과정'!$E$49*'계산 과정'!$E$32,"")</x:f>
        <x:v>-11.339198173149953</x:v>
      </x:c>
      <x:c r="P1241" s="4" t="n">
        <x:f>IF(AND('계산 과정'!$L$7,O1241&lt;&gt;0),('계산 과정'!$L$23-'계산 과정'!$C$49*D1241-'계산 과정'!$D$49*E1241)/O1241,"")</x:f>
        <x:v>-34.27586288659796</x:v>
      </x:c>
      <x:c r="Q1241" s="4" t="str">
        <x:f>IF(AND(ISNUMBER(P1241),P1241&gt;1E-9,P1241&lt;1-1E-9),'계산 과정'!$C$47*(D1241-'계산 과정'!$C$50+P1241*('계산 과정'!$C$32-D1241))+'계산 과정'!$D$47*(E1241-'계산 과정'!$D$50+P1241*('계산 과정'!$D$32-E1241))+'계산 과정'!$E$47*(0-'계산 과정'!$E$50+P1241*('계산 과정'!$E$32-0)),"")</x:f>
      </x:c>
      <x:c r="R1241" s="4" t="str">
        <x:f>IF(AND(ISNUMBER(P1241),P1241&gt;1E-9,P1241&lt;1-1E-9),'계산 과정'!$C$48*(D1241-'계산 과정'!$C$50+P1241*('계산 과정'!$C$32-D1241))+'계산 과정'!$D$48*(E1241-'계산 과정'!$D$50+P1241*('계산 과정'!$D$32-E1241))+'계산 과정'!$E$48*(0-'계산 과정'!$E$50+P1241*('계산 과정'!$E$32-0)),"")</x:f>
      </x:c>
      <x:c r="S1241" s="17" t="n">
        <x:f>IF('계산 과정'!$C$78,IF(AND(ISNUMBER(Q1241),ISNUMBER(R1241),ABS(Q1241-'계산 과정'!$C$88)&lt;='계산 과정'!$D$23/2,ABS(R1241-'계산 과정'!$C$89)&lt;='계산 과정'!$D$24/2),1,0),"")</x:f>
        <x:v>0</x:v>
      </x:c>
      <x:c r="T1241" s="4"/>
      <x:c r="U1241" s="4"/>
      <x:c r="V1241" s="4"/>
      <x:c r="W1241" s="4"/>
      <x:c r="X1241" s="4"/>
      <x:c r="Y1241" s="4"/>
      <x:c r="Z1241" s="4"/>
    </x:row>
    <x:row r="1242" ht="23" customHeight="1">
      <x:c r="A1242" s="17" t="n">
        <x:f>ROW()-6</x:f>
        <x:v>1236</x:v>
      </x:c>
      <x:c r="B1242" s="4" t="n">
        <x:f>IF('계산 과정'!$L$5,'계산 과정'!$L$11*SQRT((A1242+0.5)/'계산 과정'!$L$30),"")</x:f>
        <x:v>116.55296961709084</x:v>
      </x:c>
      <x:c r="C1242" s="4" t="n">
        <x:f>A1242*PI()*(3-SQRT(5))</x:f>
        <x:v>2966.354551944615</x:v>
      </x:c>
      <x:c r="D1242" s="4" t="n">
        <x:f>IF('계산 과정'!$L$5,B1242*COS(C1242),"")</x:f>
        <x:v>89.8103186878543</x:v>
      </x:c>
      <x:c r="E1242" s="4" t="n">
        <x:f>IF('계산 과정'!$L$5,B1242*SIN(C1242),"")</x:f>
        <x:v>74.28796257637269</x:v>
      </x:c>
      <x:c r="F1242" s="4" t="n">
        <x:f>IF('계산 과정'!$L$7,'계산 과정'!$L$22+'계산 과정'!$C$49*D1242+'계산 과정'!$D$49*E1242,"")</x:f>
        <x:v>586.4945146352933</x:v>
      </x:c>
      <x:c r="G1242" s="4" t="n">
        <x:f>IF('계산 과정'!$L$7,IF(ABS(F1242)&gt;=1E-12*MAX(1,SQRT((D1242-'계산 과정'!$C$33)^2+(E1242-'계산 과정'!$D$33)^2+'계산 과정'!$E$33^2)),('계산 과정'!$L$23-'계산 과정'!$C$49*D1242-'계산 과정'!$D$49*E1242)/F1242,""),"")</x:f>
        <x:v>0.7902980740628643</x:v>
      </x:c>
      <x:c r="H1242" s="4" t="n">
        <x:f>IF(AND(ISNUMBER(G1242),G1242&gt;0),('계산 과정'!$D$56+'계산 과정'!$D$57*D1242+'계산 과정'!$D$58*E1242)/F1242,"")</x:f>
        <x:v>113.69374814086173</x:v>
      </x:c>
      <x:c r="I1242" s="4" t="n">
        <x:f>IF(AND(ISNUMBER(G1242),G1242&gt;0),('계산 과정'!$E$56+'계산 과정'!$E$57*D1242+'계산 과정'!$E$58*E1242)/F1242,"")</x:f>
        <x:v>132.99759632653416</x:v>
      </x:c>
      <x:c r="J1242" s="4" t="n">
        <x:f>IF('계산 과정'!$L$5,'계산 과정'!$D$6+'계산 과정'!$C$35*D1242+'계산 과정'!$D$35*E1242,"")</x:f>
        <x:v>586.4945146352933</x:v>
      </x:c>
      <x:c r="K1242" s="4" t="n">
        <x:f>IF(AND('계산 과정'!$L$6,J1242&gt;0),'계산 과정'!$D$10*('계산 과정'!$C$38*(D1242-'계산 과정'!$C$32)+'계산 과정'!$D$38*(E1242-'계산 과정'!$D$32)-'계산 과정'!$E$38*'계산 과정'!$E$32)/J1242,"")</x:f>
        <x:v>0.8662380810732332</x:v>
      </x:c>
      <x:c r="L1242" s="4" t="n">
        <x:f>IF(AND('계산 과정'!$L$6,J1242&gt;0),'계산 과정'!$D$10*('계산 과정'!$C$39*(D1242-'계산 과정'!$C$32)+'계산 과정'!$D$39*(E1242-'계산 과정'!$D$32)-'계산 과정'!$E$39*'계산 과정'!$E$32)/J1242,"")</x:f>
        <x:v>1.0133150196307366</x:v>
      </x:c>
      <x:c r="M1242" s="17" t="n">
        <x:f>IF('계산 과정'!$L$6,IF(J1242&lt;=0,0,IF(AND(ABS(K1242)&lt;='계산 과정'!$D$11/2,ABS(L1242)&lt;='계산 과정'!$D$12/2),1,0)),"")</x:f>
        <x:v>1</x:v>
      </x:c>
      <x:c r="N1242" s="17" t="n">
        <x:f>IF('계산 과정'!$C$78,IF(AND(ISNUMBER(H1242),ISNUMBER(I1242),ABS(H1242-'계산 과정'!$C$88)&lt;='계산 과정'!$D$23/2,ABS(I1242-'계산 과정'!$C$89)&lt;='계산 과정'!$D$24/2),1,0),"")</x:f>
        <x:v>1</x:v>
      </x:c>
      <x:c r="O1242" s="4" t="n">
        <x:f>IF('계산 과정'!$L$7,'계산 과정'!$C$49*('계산 과정'!$C$32-D1242)+'계산 과정'!$D$49*('계산 과정'!$D$32-E1242)+'계산 과정'!$E$49*'계산 과정'!$E$32,"")</x:f>
        <x:v>63.50548536470683</x:v>
      </x:c>
      <x:c r="P1242" s="4" t="n">
        <x:f>IF(AND('계산 과정'!$L$7,O1242&lt;&gt;0),('계산 과정'!$L$23-'계산 과정'!$C$49*D1242-'계산 과정'!$D$49*E1242)/O1242,"")</x:f>
        <x:v>7.298668496159544</x:v>
      </x:c>
      <x:c r="Q1242" s="4" t="str">
        <x:f>IF(AND(ISNUMBER(P1242),P1242&gt;1E-9,P1242&lt;1-1E-9),'계산 과정'!$C$47*(D1242-'계산 과정'!$C$50+P1242*('계산 과정'!$C$32-D1242))+'계산 과정'!$D$47*(E1242-'계산 과정'!$D$50+P1242*('계산 과정'!$D$32-E1242))+'계산 과정'!$E$47*(0-'계산 과정'!$E$50+P1242*('계산 과정'!$E$32-0)),"")</x:f>
      </x:c>
      <x:c r="R1242" s="4" t="str">
        <x:f>IF(AND(ISNUMBER(P1242),P1242&gt;1E-9,P1242&lt;1-1E-9),'계산 과정'!$C$48*(D1242-'계산 과정'!$C$50+P1242*('계산 과정'!$C$32-D1242))+'계산 과정'!$D$48*(E1242-'계산 과정'!$D$50+P1242*('계산 과정'!$D$32-E1242))+'계산 과정'!$E$48*(0-'계산 과정'!$E$50+P1242*('계산 과정'!$E$32-0)),"")</x:f>
      </x:c>
      <x:c r="S1242" s="17" t="n">
        <x:f>IF('계산 과정'!$C$78,IF(AND(ISNUMBER(Q1242),ISNUMBER(R1242),ABS(Q1242-'계산 과정'!$C$88)&lt;='계산 과정'!$D$23/2,ABS(R1242-'계산 과정'!$C$89)&lt;='계산 과정'!$D$24/2),1,0),"")</x:f>
        <x:v>0</x:v>
      </x:c>
      <x:c r="T1242" s="4"/>
      <x:c r="U1242" s="4"/>
      <x:c r="V1242" s="4"/>
      <x:c r="W1242" s="4"/>
      <x:c r="X1242" s="4"/>
      <x:c r="Y1242" s="4"/>
      <x:c r="Z1242" s="4"/>
    </x:row>
    <x:row r="1243" ht="23" customHeight="1">
      <x:c r="A1243" s="17" t="n">
        <x:f>ROW()-6</x:f>
        <x:v>1237</x:v>
      </x:c>
      <x:c r="B1243" s="4" t="n">
        <x:f>IF('계산 과정'!$L$5,'계산 과정'!$L$11*SQRT((A1243+0.5)/'계산 과정'!$L$30),"")</x:f>
        <x:v>116.60009028593203</x:v>
      </x:c>
      <x:c r="C1243" s="4" t="n">
        <x:f>A1243*PI()*(3-SQRT(5))</x:f>
        <x:v>2968.7545151743434</x:v>
      </x:c>
      <x:c r="D1243" s="4" t="n">
        <x:f>IF('계산 과정'!$L$5,B1243*COS(C1243),"")</x:f>
        <x:v>-116.45119212733026</x:v>
      </x:c>
      <x:c r="E1243" s="4" t="n">
        <x:f>IF('계산 과정'!$L$5,B1243*SIN(C1243),"")</x:f>
        <x:v>5.890747559615226</x:v>
      </x:c>
      <x:c r="F1243" s="4" t="n">
        <x:f>IF('계산 과정'!$L$7,'계산 과정'!$L$22+'계산 과정'!$C$49*D1243+'계산 과정'!$D$49*E1243,"")</x:f>
        <x:v>732.3434276304927</x:v>
      </x:c>
      <x:c r="G1243" s="4" t="n">
        <x:f>IF('계산 과정'!$L$7,IF(ABS(F1243)&gt;=1E-12*MAX(1,SQRT((D1243-'계산 과정'!$C$33)^2+(E1243-'계산 과정'!$D$33)^2+'계산 과정'!$E$33^2)),('계산 과정'!$L$23-'계산 과정'!$C$49*D1243-'계산 과정'!$D$49*E1243)/F1243,""),"")</x:f>
        <x:v>0.43375356476849874</x:v>
      </x:c>
      <x:c r="H1243" s="4" t="n">
        <x:f>IF(AND(ISNUMBER(G1243),G1243&gt;0),('계산 과정'!$D$56+'계산 과정'!$D$57*D1243+'계산 과정'!$D$58*E1243)/F1243,"")</x:f>
        <x:v>-118.06018290047598</x:v>
      </x:c>
      <x:c r="I1243" s="4" t="n">
        <x:f>IF(AND(ISNUMBER(G1243),G1243&gt;0),('계산 과정'!$E$56+'계산 과정'!$E$57*D1243+'계산 과정'!$E$58*E1243)/F1243,"")</x:f>
        <x:v>8.445880312749665</x:v>
      </x:c>
      <x:c r="J1243" s="4" t="n">
        <x:f>IF('계산 과정'!$L$5,'계산 과정'!$D$6+'계산 과정'!$C$35*D1243+'계산 과정'!$D$35*E1243,"")</x:f>
        <x:v>732.3434276304927</x:v>
      </x:c>
      <x:c r="K1243" s="4" t="n">
        <x:f>IF(AND('계산 과정'!$L$6,J1243&gt;0),'계산 과정'!$D$10*('계산 과정'!$C$38*(D1243-'계산 과정'!$C$32)+'계산 과정'!$D$38*(E1243-'계산 과정'!$D$32)-'계산 과정'!$E$38*'계산 과정'!$E$32)/J1243,"")</x:f>
        <x:v>-0.8995061554321969</x:v>
      </x:c>
      <x:c r="L1243" s="4" t="n">
        <x:f>IF(AND('계산 과정'!$L$6,J1243&gt;0),'계산 과정'!$D$10*('계산 과정'!$C$39*(D1243-'계산 과정'!$C$32)+'계산 과정'!$D$39*(E1243-'계산 과정'!$D$32)-'계산 과정'!$E$39*'계산 과정'!$E$32)/J1243,"")</x:f>
        <x:v>0.0643495642876165</x:v>
      </x:c>
      <x:c r="M1243" s="17" t="n">
        <x:f>IF('계산 과정'!$L$6,IF(J1243&lt;=0,0,IF(AND(ABS(K1243)&lt;='계산 과정'!$D$11/2,ABS(L1243)&lt;='계산 과정'!$D$12/2),1,0)),"")</x:f>
        <x:v>1</x:v>
      </x:c>
      <x:c r="N1243" s="17" t="n">
        <x:f>IF('계산 과정'!$C$78,IF(AND(ISNUMBER(H1243),ISNUMBER(I1243),ABS(H1243-'계산 과정'!$C$88)&lt;='계산 과정'!$D$23/2,ABS(I1243-'계산 과정'!$C$89)&lt;='계산 과정'!$D$24/2),1,0),"")</x:f>
        <x:v>1</x:v>
      </x:c>
      <x:c r="O1243" s="4" t="n">
        <x:f>IF('계산 과정'!$L$7,'계산 과정'!$C$49*('계산 과정'!$C$32-D1243)+'계산 과정'!$D$49*('계산 과정'!$D$32-E1243)+'계산 과정'!$E$49*'계산 과정'!$E$32,"")</x:f>
        <x:v>-82.34342763049261</x:v>
      </x:c>
      <x:c r="P1243" s="4" t="n">
        <x:f>IF(AND('계산 과정'!$L$7,O1243&lt;&gt;0),('계산 과정'!$L$23-'계산 과정'!$C$49*D1243-'계산 과정'!$D$49*E1243)/O1243,"")</x:f>
        <x:v>-3.8577040270288165</x:v>
      </x:c>
      <x:c r="Q1243" s="4" t="str">
        <x:f>IF(AND(ISNUMBER(P1243),P1243&gt;1E-9,P1243&lt;1-1E-9),'계산 과정'!$C$47*(D1243-'계산 과정'!$C$50+P1243*('계산 과정'!$C$32-D1243))+'계산 과정'!$D$47*(E1243-'계산 과정'!$D$50+P1243*('계산 과정'!$D$32-E1243))+'계산 과정'!$E$47*(0-'계산 과정'!$E$50+P1243*('계산 과정'!$E$32-0)),"")</x:f>
      </x:c>
      <x:c r="R1243" s="4" t="str">
        <x:f>IF(AND(ISNUMBER(P1243),P1243&gt;1E-9,P1243&lt;1-1E-9),'계산 과정'!$C$48*(D1243-'계산 과정'!$C$50+P1243*('계산 과정'!$C$32-D1243))+'계산 과정'!$D$48*(E1243-'계산 과정'!$D$50+P1243*('계산 과정'!$D$32-E1243))+'계산 과정'!$E$48*(0-'계산 과정'!$E$50+P1243*('계산 과정'!$E$32-0)),"")</x:f>
      </x:c>
      <x:c r="S1243" s="17" t="n">
        <x:f>IF('계산 과정'!$C$78,IF(AND(ISNUMBER(Q1243),ISNUMBER(R1243),ABS(Q1243-'계산 과정'!$C$88)&lt;='계산 과정'!$D$23/2,ABS(R1243-'계산 과정'!$C$89)&lt;='계산 과정'!$D$24/2),1,0),"")</x:f>
        <x:v>0</x:v>
      </x:c>
      <x:c r="T1243" s="4"/>
      <x:c r="U1243" s="4"/>
      <x:c r="V1243" s="4"/>
      <x:c r="W1243" s="4"/>
      <x:c r="X1243" s="4"/>
      <x:c r="Y1243" s="4"/>
      <x:c r="Z1243" s="4"/>
    </x:row>
    <x:row r="1244" ht="23" customHeight="1">
      <x:c r="A1244" s="17" t="n">
        <x:f>ROW()-6</x:f>
        <x:v>1238</x:v>
      </x:c>
      <x:c r="B1244" s="4" t="n">
        <x:f>IF('계산 과정'!$L$5,'계산 과정'!$L$11*SQRT((A1244+0.5)/'계산 과정'!$L$30),"")</x:f>
        <x:v>116.64719191996222</x:v>
      </x:c>
      <x:c r="C1244" s="4" t="n">
        <x:f>A1244*PI()*(3-SQRT(5))</x:f>
        <x:v>2971.1544784040725</x:v>
      </x:c>
      <x:c r="D1244" s="4" t="n">
        <x:f>IF('계산 과정'!$L$5,B1244*COS(C1244),"")</x:f>
        <x:v>81.92142160482736</x:v>
      </x:c>
      <x:c r="E1244" s="4" t="n">
        <x:f>IF('계산 과정'!$L$5,B1244*SIN(C1244),"")</x:f>
        <x:v>-83.03883468026648</x:v>
      </x:c>
      <x:c r="F1244" s="4" t="n">
        <x:f>IF('계산 과정'!$L$7,'계산 과정'!$L$22+'계산 과정'!$C$49*D1244+'계산 과정'!$D$49*E1244,"")</x:f>
        <x:v>592.0728072587845</x:v>
      </x:c>
      <x:c r="G1244" s="4" t="n">
        <x:f>IF('계산 과정'!$L$7,IF(ABS(F1244)&gt;=1E-12*MAX(1,SQRT((D1244-'계산 과정'!$C$33)^2+(E1244-'계산 과정'!$D$33)^2+'계산 과정'!$E$33^2)),('계산 과정'!$L$23-'계산 과정'!$C$49*D1244-'계산 과정'!$D$49*E1244)/F1244,""),"")</x:f>
        <x:v>0.7734305428775818</x:v>
      </x:c>
      <x:c r="H1244" s="4" t="n">
        <x:f>IF(AND(ISNUMBER(G1244),G1244&gt;0),('계산 과정'!$D$56+'계산 과정'!$D$57*D1244+'계산 과정'!$D$58*E1244)/F1244,"")</x:f>
        <x:v>102.72985287042815</x:v>
      </x:c>
      <x:c r="I1244" s="4" t="n">
        <x:f>IF(AND(ISNUMBER(G1244),G1244&gt;0),('계산 과정'!$E$56+'계산 과정'!$E$57*D1244+'계산 과정'!$E$58*E1244)/F1244,"")</x:f>
        <x:v>-147.26360566694675</x:v>
      </x:c>
      <x:c r="J1244" s="4" t="n">
        <x:f>IF('계산 과정'!$L$5,'계산 과정'!$D$6+'계산 과정'!$C$35*D1244+'계산 과정'!$D$35*E1244,"")</x:f>
        <x:v>592.0728072587845</x:v>
      </x:c>
      <x:c r="K1244" s="4" t="n">
        <x:f>IF(AND('계산 과정'!$L$6,J1244&gt;0),'계산 과정'!$D$10*('계산 과정'!$C$38*(D1244-'계산 과정'!$C$32)+'계산 과정'!$D$38*(E1244-'계산 과정'!$D$32)-'계산 과정'!$E$38*'계산 과정'!$E$32)/J1244,"")</x:f>
        <x:v>0.7827036409175483</x:v>
      </x:c>
      <x:c r="L1244" s="4" t="n">
        <x:f>IF(AND('계산 과정'!$L$6,J1244&gt;0),'계산 과정'!$D$10*('계산 과정'!$C$39*(D1244-'계산 과정'!$C$32)+'계산 과정'!$D$39*(E1244-'계산 과정'!$D$32)-'계산 과정'!$E$39*'계산 과정'!$E$32)/J1244,"")</x:f>
        <x:v>-1.1220084241291182</x:v>
      </x:c>
      <x:c r="M1244" s="17" t="n">
        <x:f>IF('계산 과정'!$L$6,IF(J1244&lt;=0,0,IF(AND(ABS(K1244)&lt;='계산 과정'!$D$11/2,ABS(L1244)&lt;='계산 과정'!$D$12/2),1,0)),"")</x:f>
        <x:v>1</x:v>
      </x:c>
      <x:c r="N1244" s="17" t="n">
        <x:f>IF('계산 과정'!$C$78,IF(AND(ISNUMBER(H1244),ISNUMBER(I1244),ABS(H1244-'계산 과정'!$C$88)&lt;='계산 과정'!$D$23/2,ABS(I1244-'계산 과정'!$C$89)&lt;='계산 과정'!$D$24/2),1,0),"")</x:f>
        <x:v>1</x:v>
      </x:c>
      <x:c r="O1244" s="4" t="n">
        <x:f>IF('계산 과정'!$L$7,'계산 과정'!$C$49*('계산 과정'!$C$32-D1244)+'계산 과정'!$D$49*('계산 과정'!$D$32-E1244)+'계산 과정'!$E$49*'계산 과정'!$E$32,"")</x:f>
        <x:v>57.92719274121566</x:v>
      </x:c>
      <x:c r="P1244" s="4" t="n">
        <x:f>IF(AND('계산 과정'!$L$7,O1244&lt;&gt;0),('계산 과정'!$L$23-'계산 과정'!$C$49*D1244-'계산 과정'!$D$49*E1244)/O1244,"")</x:f>
        <x:v>7.905219829777746</x:v>
      </x:c>
      <x:c r="Q1244" s="4" t="str">
        <x:f>IF(AND(ISNUMBER(P1244),P1244&gt;1E-9,P1244&lt;1-1E-9),'계산 과정'!$C$47*(D1244-'계산 과정'!$C$50+P1244*('계산 과정'!$C$32-D1244))+'계산 과정'!$D$47*(E1244-'계산 과정'!$D$50+P1244*('계산 과정'!$D$32-E1244))+'계산 과정'!$E$47*(0-'계산 과정'!$E$50+P1244*('계산 과정'!$E$32-0)),"")</x:f>
      </x:c>
      <x:c r="R1244" s="4" t="str">
        <x:f>IF(AND(ISNUMBER(P1244),P1244&gt;1E-9,P1244&lt;1-1E-9),'계산 과정'!$C$48*(D1244-'계산 과정'!$C$50+P1244*('계산 과정'!$C$32-D1244))+'계산 과정'!$D$48*(E1244-'계산 과정'!$D$50+P1244*('계산 과정'!$D$32-E1244))+'계산 과정'!$E$48*(0-'계산 과정'!$E$50+P1244*('계산 과정'!$E$32-0)),"")</x:f>
      </x:c>
      <x:c r="S1244" s="17" t="n">
        <x:f>IF('계산 과정'!$C$78,IF(AND(ISNUMBER(Q1244),ISNUMBER(R1244),ABS(Q1244-'계산 과정'!$C$88)&lt;='계산 과정'!$D$23/2,ABS(R1244-'계산 과정'!$C$89)&lt;='계산 과정'!$D$24/2),1,0),"")</x:f>
        <x:v>0</x:v>
      </x:c>
      <x:c r="T1244" s="4"/>
      <x:c r="U1244" s="4"/>
      <x:c r="V1244" s="4"/>
      <x:c r="W1244" s="4"/>
      <x:c r="X1244" s="4"/>
      <x:c r="Y1244" s="4"/>
      <x:c r="Z1244" s="4"/>
    </x:row>
    <x:row r="1245" ht="23" customHeight="1">
      <x:c r="A1245" s="17" t="n">
        <x:f>ROW()-6</x:f>
        <x:v>1239</x:v>
      </x:c>
      <x:c r="B1245" s="4" t="n">
        <x:f>IF('계산 과정'!$L$5,'계산 과정'!$L$11*SQRT((A1245+0.5)/'계산 과정'!$L$30),"")</x:f>
        <x:v>116.69427454223064</x:v>
      </x:c>
      <x:c r="C1245" s="4" t="n">
        <x:f>A1245*PI()*(3-SQRT(5))</x:f>
        <x:v>2973.554441633801</x:v>
      </x:c>
      <x:c r="D1245" s="4" t="n">
        <x:f>IF('계산 과정'!$L$5,B1245*COS(C1245),"")</x:f>
        <x:v>-4.3161212908658495</x:v>
      </x:c>
      <x:c r="E1245" s="4" t="n">
        <x:f>IF('계산 과정'!$L$5,B1245*SIN(C1245),"")</x:f>
        <x:v>116.61442795786478</x:v>
      </x:c>
      <x:c r="F1245" s="4" t="n">
        <x:f>IF('계산 과정'!$L$7,'계산 과정'!$L$22+'계산 과정'!$C$49*D1245+'계산 과정'!$D$49*E1245,"")</x:f>
        <x:v>653.0519586331949</x:v>
      </x:c>
      <x:c r="G1245" s="4" t="n">
        <x:f>IF('계산 과정'!$L$7,IF(ABS(F1245)&gt;=1E-12*MAX(1,SQRT((D1245-'계산 과정'!$C$33)^2+(E1245-'계산 과정'!$D$33)^2+'계산 과정'!$E$33^2)),('계산 과정'!$L$23-'계산 과정'!$C$49*D1245-'계산 과정'!$D$49*E1245)/F1245,""),"")</x:f>
        <x:v>0.6078353125187734</x:v>
      </x:c>
      <x:c r="H1245" s="4" t="n">
        <x:f>IF(AND(ISNUMBER(G1245),G1245&gt;0),('계산 과정'!$D$56+'계산 과정'!$D$57*D1245+'계산 과정'!$D$58*E1245)/F1245,"")</x:f>
        <x:v>-4.907046862797369</x:v>
      </x:c>
      <x:c r="I1245" s="4" t="n">
        <x:f>IF(AND(ISNUMBER(G1245),G1245&gt;0),('계산 과정'!$E$56+'계산 과정'!$E$57*D1245+'계산 과정'!$E$58*E1245)/F1245,"")</x:f>
        <x:v>187.49679521983148</x:v>
      </x:c>
      <x:c r="J1245" s="4" t="n">
        <x:f>IF('계산 과정'!$L$5,'계산 과정'!$D$6+'계산 과정'!$C$35*D1245+'계산 과정'!$D$35*E1245,"")</x:f>
        <x:v>653.0519586331949</x:v>
      </x:c>
      <x:c r="K1245" s="4" t="n">
        <x:f>IF(AND('계산 과정'!$L$6,J1245&gt;0),'계산 과정'!$D$10*('계산 과정'!$C$38*(D1245-'계산 과정'!$C$32)+'계산 과정'!$D$38*(E1245-'계산 과정'!$D$32)-'계산 과정'!$E$38*'계산 과정'!$E$32)/J1245,"")</x:f>
        <x:v>-0.03738702371655061</x:v>
      </x:c>
      <x:c r="L1245" s="4" t="n">
        <x:f>IF(AND('계산 과정'!$L$6,J1245&gt;0),'계산 과정'!$D$10*('계산 과정'!$C$39*(D1245-'계산 과정'!$C$32)+'계산 과정'!$D$39*(E1245-'계산 과정'!$D$32)-'계산 과정'!$E$39*'계산 과정'!$E$32)/J1245,"")</x:f>
        <x:v>1.4285470111987162</x:v>
      </x:c>
      <x:c r="M1245" s="17" t="n">
        <x:f>IF('계산 과정'!$L$6,IF(J1245&lt;=0,0,IF(AND(ABS(K1245)&lt;='계산 과정'!$D$11/2,ABS(L1245)&lt;='계산 과정'!$D$12/2),1,0)),"")</x:f>
        <x:v>1</x:v>
      </x:c>
      <x:c r="N1245" s="17" t="n">
        <x:f>IF('계산 과정'!$C$78,IF(AND(ISNUMBER(H1245),ISNUMBER(I1245),ABS(H1245-'계산 과정'!$C$88)&lt;='계산 과정'!$D$23/2,ABS(I1245-'계산 과정'!$C$89)&lt;='계산 과정'!$D$24/2),1,0),"")</x:f>
        <x:v>1</x:v>
      </x:c>
      <x:c r="O1245" s="4" t="n">
        <x:f>IF('계산 과정'!$L$7,'계산 과정'!$C$49*('계산 과정'!$C$32-D1245)+'계산 과정'!$D$49*('계산 과정'!$D$32-E1245)+'계산 과정'!$E$49*'계산 과정'!$E$32,"")</x:f>
        <x:v>-3.051958633194772</x:v>
      </x:c>
      <x:c r="P1245" s="4" t="n">
        <x:f>IF(AND('계산 과정'!$L$7,O1245&lt;&gt;0),('계산 과정'!$L$23-'계산 과정'!$C$49*D1245-'계산 과정'!$D$49*E1245)/O1245,"")</x:f>
        <x:v>-130.06337538437808</x:v>
      </x:c>
      <x:c r="Q1245" s="4" t="str">
        <x:f>IF(AND(ISNUMBER(P1245),P1245&gt;1E-9,P1245&lt;1-1E-9),'계산 과정'!$C$47*(D1245-'계산 과정'!$C$50+P1245*('계산 과정'!$C$32-D1245))+'계산 과정'!$D$47*(E1245-'계산 과정'!$D$50+P1245*('계산 과정'!$D$32-E1245))+'계산 과정'!$E$47*(0-'계산 과정'!$E$50+P1245*('계산 과정'!$E$32-0)),"")</x:f>
      </x:c>
      <x:c r="R1245" s="4" t="str">
        <x:f>IF(AND(ISNUMBER(P1245),P1245&gt;1E-9,P1245&lt;1-1E-9),'계산 과정'!$C$48*(D1245-'계산 과정'!$C$50+P1245*('계산 과정'!$C$32-D1245))+'계산 과정'!$D$48*(E1245-'계산 과정'!$D$50+P1245*('계산 과정'!$D$32-E1245))+'계산 과정'!$E$48*(0-'계산 과정'!$E$50+P1245*('계산 과정'!$E$32-0)),"")</x:f>
      </x:c>
      <x:c r="S1245" s="17" t="n">
        <x:f>IF('계산 과정'!$C$78,IF(AND(ISNUMBER(Q1245),ISNUMBER(R1245),ABS(Q1245-'계산 과정'!$C$88)&lt;='계산 과정'!$D$23/2,ABS(R1245-'계산 과정'!$C$89)&lt;='계산 과정'!$D$24/2),1,0),"")</x:f>
        <x:v>0</x:v>
      </x:c>
      <x:c r="T1245" s="4"/>
      <x:c r="U1245" s="4"/>
      <x:c r="V1245" s="4"/>
      <x:c r="W1245" s="4"/>
      <x:c r="X1245" s="4"/>
      <x:c r="Y1245" s="4"/>
      <x:c r="Z1245" s="4"/>
    </x:row>
    <x:row r="1246" ht="23" customHeight="1">
      <x:c r="A1246" s="17" t="n">
        <x:f>ROW()-6</x:f>
        <x:v>1240</x:v>
      </x:c>
      <x:c r="B1246" s="4" t="n">
        <x:f>IF('계산 과정'!$L$5,'계산 과정'!$L$11*SQRT((A1246+0.5)/'계산 과정'!$L$30),"")</x:f>
        <x:v>116.74133817574005</x:v>
      </x:c>
      <x:c r="C1246" s="4" t="n">
        <x:f>A1246*PI()*(3-SQRT(5))</x:f>
        <x:v>2975.9544048635294</x:v>
      </x:c>
      <x:c r="D1246" s="4" t="n">
        <x:f>IF('계산 과정'!$L$5,B1246*COS(C1246),"")</x:f>
        <x:v>-75.61982646297572</x:v>
      </x:c>
      <x:c r="E1246" s="4" t="n">
        <x:f>IF('계산 과정'!$L$5,B1246*SIN(C1246),"")</x:f>
        <x:v>-88.93920330637069</x:v>
      </x:c>
      <x:c r="F1246" s="4" t="n">
        <x:f>IF('계산 과정'!$L$7,'계산 과정'!$L$22+'계산 과정'!$C$49*D1246+'계산 과정'!$D$49*E1246,"")</x:f>
        <x:v>703.47129208412</x:v>
      </x:c>
      <x:c r="G1246" s="4" t="n">
        <x:f>IF('계산 과정'!$L$7,IF(ABS(F1246)&gt;=1E-12*MAX(1,SQRT((D1246-'계산 과정'!$C$33)^2+(E1246-'계산 과정'!$D$33)^2+'계산 과정'!$E$33^2)),('계산 과정'!$L$23-'계산 과정'!$C$49*D1246-'계산 과정'!$D$49*E1246)/F1246,""),"")</x:f>
        <x:v>0.492598222294539</x:v>
      </x:c>
      <x:c r="H1246" s="4" t="n">
        <x:f>IF(AND(ISNUMBER(G1246),G1246&gt;0),('계산 과정'!$D$56+'계산 과정'!$D$57*D1246+'계산 과정'!$D$58*E1246)/F1246,"")</x:f>
        <x:v>-79.8111555085498</x:v>
      </x:c>
      <x:c r="I1246" s="4" t="n">
        <x:f>IF(AND(ISNUMBER(G1246),G1246&gt;0),('계산 과정'!$E$56+'계산 과정'!$E$57*D1246+'계산 과정'!$E$58*E1246)/F1246,"")</x:f>
        <x:v>-132.75049674738148</x:v>
      </x:c>
      <x:c r="J1246" s="4" t="n">
        <x:f>IF('계산 과정'!$L$5,'계산 과정'!$D$6+'계산 과정'!$C$35*D1246+'계산 과정'!$D$35*E1246,"")</x:f>
        <x:v>703.47129208412</x:v>
      </x:c>
      <x:c r="K1246" s="4" t="n">
        <x:f>IF(AND('계산 과정'!$L$6,J1246&gt;0),'계산 과정'!$D$10*('계산 과정'!$C$38*(D1246-'계산 과정'!$C$32)+'계산 과정'!$D$38*(E1246-'계산 과정'!$D$32)-'계산 과정'!$E$38*'계산 과정'!$E$32)/J1246,"")</x:f>
        <x:v>-0.6080849943508548</x:v>
      </x:c>
      <x:c r="L1246" s="4" t="n">
        <x:f>IF(AND('계산 과정'!$L$6,J1246&gt;0),'계산 과정'!$D$10*('계산 과정'!$C$39*(D1246-'계산 과정'!$C$32)+'계산 과정'!$D$39*(E1246-'계산 과정'!$D$32)-'계산 과정'!$E$39*'계산 과정'!$E$32)/J1246,"")</x:f>
        <x:v>-1.0114323561705256</x:v>
      </x:c>
      <x:c r="M1246" s="17" t="n">
        <x:f>IF('계산 과정'!$L$6,IF(J1246&lt;=0,0,IF(AND(ABS(K1246)&lt;='계산 과정'!$D$11/2,ABS(L1246)&lt;='계산 과정'!$D$12/2),1,0)),"")</x:f>
        <x:v>1</x:v>
      </x:c>
      <x:c r="N1246" s="17" t="n">
        <x:f>IF('계산 과정'!$C$78,IF(AND(ISNUMBER(H1246),ISNUMBER(I1246),ABS(H1246-'계산 과정'!$C$88)&lt;='계산 과정'!$D$23/2,ABS(I1246-'계산 과정'!$C$89)&lt;='계산 과정'!$D$24/2),1,0),"")</x:f>
        <x:v>1</x:v>
      </x:c>
      <x:c r="O1246" s="4" t="n">
        <x:f>IF('계산 과정'!$L$7,'계산 과정'!$C$49*('계산 과정'!$C$32-D1246)+'계산 과정'!$D$49*('계산 과정'!$D$32-E1246)+'계산 과정'!$E$49*'계산 과정'!$E$32,"")</x:f>
        <x:v>-53.471292084119966</x:v>
      </x:c>
      <x:c r="P1246" s="4" t="n">
        <x:f>IF(AND('계산 과정'!$L$7,O1246&lt;&gt;0),('계산 과정'!$L$23-'계산 과정'!$C$49*D1246-'계산 과정'!$D$49*E1246)/O1246,"")</x:f>
        <x:v>-6.4806496048520374</x:v>
      </x:c>
      <x:c r="Q1246" s="4" t="str">
        <x:f>IF(AND(ISNUMBER(P1246),P1246&gt;1E-9,P1246&lt;1-1E-9),'계산 과정'!$C$47*(D1246-'계산 과정'!$C$50+P1246*('계산 과정'!$C$32-D1246))+'계산 과정'!$D$47*(E1246-'계산 과정'!$D$50+P1246*('계산 과정'!$D$32-E1246))+'계산 과정'!$E$47*(0-'계산 과정'!$E$50+P1246*('계산 과정'!$E$32-0)),"")</x:f>
      </x:c>
      <x:c r="R1246" s="4" t="str">
        <x:f>IF(AND(ISNUMBER(P1246),P1246&gt;1E-9,P1246&lt;1-1E-9),'계산 과정'!$C$48*(D1246-'계산 과정'!$C$50+P1246*('계산 과정'!$C$32-D1246))+'계산 과정'!$D$48*(E1246-'계산 과정'!$D$50+P1246*('계산 과정'!$D$32-E1246))+'계산 과정'!$E$48*(0-'계산 과정'!$E$50+P1246*('계산 과정'!$E$32-0)),"")</x:f>
      </x:c>
      <x:c r="S1246" s="17" t="n">
        <x:f>IF('계산 과정'!$C$78,IF(AND(ISNUMBER(Q1246),ISNUMBER(R1246),ABS(Q1246-'계산 과정'!$C$88)&lt;='계산 과정'!$D$23/2,ABS(R1246-'계산 과정'!$C$89)&lt;='계산 과정'!$D$24/2),1,0),"")</x:f>
        <x:v>0</x:v>
      </x:c>
      <x:c r="T1246" s="4"/>
      <x:c r="U1246" s="4"/>
      <x:c r="V1246" s="4"/>
      <x:c r="W1246" s="4"/>
      <x:c r="X1246" s="4"/>
      <x:c r="Y1246" s="4"/>
      <x:c r="Z1246" s="4"/>
    </x:row>
    <x:row r="1247" ht="23" customHeight="1">
      <x:c r="A1247" s="17" t="n">
        <x:f>ROW()-6</x:f>
        <x:v>1241</x:v>
      </x:c>
      <x:c r="B1247" s="4" t="n">
        <x:f>IF('계산 과정'!$L$5,'계산 과정'!$L$11*SQRT((A1247+0.5)/'계산 과정'!$L$30),"")</x:f>
        <x:v>116.78838284344681</x:v>
      </x:c>
      <x:c r="C1247" s="4" t="n">
        <x:f>A1247*PI()*(3-SQRT(5))</x:f>
        <x:v>2978.354368093258</x:v>
      </x:c>
      <x:c r="D1247" s="4" t="n">
        <x:f>IF('계산 과정'!$L$5,B1247*COS(C1247),"")</x:f>
        <x:v>115.88395555881742</x:v>
      </x:c>
      <x:c r="E1247" s="4" t="n">
        <x:f>IF('계산 과정'!$L$5,B1247*SIN(C1247),"")</x:f>
        <x:v>14.506385188237925</x:v>
      </x:c>
      <x:c r="F1247" s="4" t="n">
        <x:f>IF('계산 과정'!$L$7,'계산 과정'!$L$22+'계산 과정'!$C$49*D1247+'계산 과정'!$D$49*E1247,"")</x:f>
        <x:v>568.0576691936396</x:v>
      </x:c>
      <x:c r="G1247" s="4" t="n">
        <x:f>IF('계산 과정'!$L$7,IF(ABS(F1247)&gt;=1E-12*MAX(1,SQRT((D1247-'계산 과정'!$C$33)^2+(E1247-'계산 과정'!$D$33)^2+'계산 과정'!$E$33^2)),('계산 과정'!$L$23-'계산 과정'!$C$49*D1247-'계산 과정'!$D$49*E1247)/F1247,""),"")</x:f>
        <x:v>0.8484038803498236</x:v>
      </x:c>
      <x:c r="H1247" s="4" t="n">
        <x:f>IF(AND(ISNUMBER(G1247),G1247&gt;0),('계산 과정'!$D$56+'계산 과정'!$D$57*D1247+'계산 과정'!$D$58*E1247)/F1247,"")</x:f>
        <x:v>151.4625222273852</x:v>
      </x:c>
      <x:c r="I1247" s="4" t="n">
        <x:f>IF(AND(ISNUMBER(G1247),G1247&gt;0),('계산 과정'!$E$56+'계산 과정'!$E$57*D1247+'계산 과정'!$E$58*E1247)/F1247,"")</x:f>
        <x:v>26.813658671788186</x:v>
      </x:c>
      <x:c r="J1247" s="4" t="n">
        <x:f>IF('계산 과정'!$L$5,'계산 과정'!$D$6+'계산 과정'!$C$35*D1247+'계산 과정'!$D$35*E1247,"")</x:f>
        <x:v>568.0576691936396</x:v>
      </x:c>
      <x:c r="K1247" s="4" t="n">
        <x:f>IF(AND('계산 과정'!$L$6,J1247&gt;0),'계산 과정'!$D$10*('계산 과정'!$C$38*(D1247-'계산 과정'!$C$32)+'계산 과정'!$D$38*(E1247-'계산 과정'!$D$32)-'계산 과정'!$E$38*'계산 과정'!$E$32)/J1247,"")</x:f>
        <x:v>1.1540001693515074</x:v>
      </x:c>
      <x:c r="L1247" s="4" t="n">
        <x:f>IF(AND('계산 과정'!$L$6,J1247&gt;0),'계산 과정'!$D$10*('계산 과정'!$C$39*(D1247-'계산 과정'!$C$32)+'계산 과정'!$D$39*(E1247-'계산 과정'!$D$32)-'계산 과정'!$E$39*'계산 과정'!$E$32)/J1247,"")</x:f>
        <x:v>0.20429454226124333</x:v>
      </x:c>
      <x:c r="M1247" s="17" t="n">
        <x:f>IF('계산 과정'!$L$6,IF(J1247&lt;=0,0,IF(AND(ABS(K1247)&lt;='계산 과정'!$D$11/2,ABS(L1247)&lt;='계산 과정'!$D$12/2),1,0)),"")</x:f>
        <x:v>1</x:v>
      </x:c>
      <x:c r="N1247" s="17" t="n">
        <x:f>IF('계산 과정'!$C$78,IF(AND(ISNUMBER(H1247),ISNUMBER(I1247),ABS(H1247-'계산 과정'!$C$88)&lt;='계산 과정'!$D$23/2,ABS(I1247-'계산 과정'!$C$89)&lt;='계산 과정'!$D$24/2),1,0),"")</x:f>
        <x:v>1</x:v>
      </x:c>
      <x:c r="O1247" s="4" t="n">
        <x:f>IF('계산 과정'!$L$7,'계산 과정'!$C$49*('계산 과정'!$C$32-D1247)+'계산 과정'!$D$49*('계산 과정'!$D$32-E1247)+'계산 과정'!$E$49*'계산 과정'!$E$32,"")</x:f>
        <x:v>81.94233080636042</x:v>
      </x:c>
      <x:c r="P1247" s="4" t="n">
        <x:f>IF(AND('계산 과정'!$L$7,O1247&lt;&gt;0),('계산 과정'!$L$23-'계산 과정'!$C$49*D1247-'계산 과정'!$D$49*E1247)/O1247,"")</x:f>
        <x:v>5.881481842946938</x:v>
      </x:c>
      <x:c r="Q1247" s="4" t="str">
        <x:f>IF(AND(ISNUMBER(P1247),P1247&gt;1E-9,P1247&lt;1-1E-9),'계산 과정'!$C$47*(D1247-'계산 과정'!$C$50+P1247*('계산 과정'!$C$32-D1247))+'계산 과정'!$D$47*(E1247-'계산 과정'!$D$50+P1247*('계산 과정'!$D$32-E1247))+'계산 과정'!$E$47*(0-'계산 과정'!$E$50+P1247*('계산 과정'!$E$32-0)),"")</x:f>
      </x:c>
      <x:c r="R1247" s="4" t="str">
        <x:f>IF(AND(ISNUMBER(P1247),P1247&gt;1E-9,P1247&lt;1-1E-9),'계산 과정'!$C$48*(D1247-'계산 과정'!$C$50+P1247*('계산 과정'!$C$32-D1247))+'계산 과정'!$D$48*(E1247-'계산 과정'!$D$50+P1247*('계산 과정'!$D$32-E1247))+'계산 과정'!$E$48*(0-'계산 과정'!$E$50+P1247*('계산 과정'!$E$32-0)),"")</x:f>
      </x:c>
      <x:c r="S1247" s="17" t="n">
        <x:f>IF('계산 과정'!$C$78,IF(AND(ISNUMBER(Q1247),ISNUMBER(R1247),ABS(Q1247-'계산 과정'!$C$88)&lt;='계산 과정'!$D$23/2,ABS(R1247-'계산 과정'!$C$89)&lt;='계산 과정'!$D$24/2),1,0),"")</x:f>
        <x:v>0</x:v>
      </x:c>
      <x:c r="T1247" s="4"/>
      <x:c r="U1247" s="4"/>
      <x:c r="V1247" s="4"/>
      <x:c r="W1247" s="4"/>
      <x:c r="X1247" s="4"/>
      <x:c r="Y1247" s="4"/>
      <x:c r="Z1247" s="4"/>
    </x:row>
    <x:row r="1248" ht="23" customHeight="1">
      <x:c r="A1248" s="17" t="n">
        <x:f>ROW()-6</x:f>
        <x:v>1242</x:v>
      </x:c>
      <x:c r="B1248" s="4" t="n">
        <x:f>IF('계산 과정'!$L$5,'계산 과정'!$L$11*SQRT((A1248+0.5)/'계산 과정'!$L$30),"")</x:f>
        <x:v>116.8354085682611</x:v>
      </x:c>
      <x:c r="C1248" s="4" t="n">
        <x:f>A1248*PI()*(3-SQRT(5))</x:f>
        <x:v>2980.754331322987</x:v>
      </x:c>
      <x:c r="D1248" s="4" t="n">
        <x:f>IF('계산 과정'!$L$5,B1248*COS(C1248),"")</x:f>
        <x:v>-95.28649708235272</x:v>
      </x:c>
      <x:c r="E1248" s="4" t="n">
        <x:f>IF('계산 과정'!$L$5,B1248*SIN(C1248),"")</x:f>
        <x:v>67.60914264422588</x:v>
      </x:c>
      <x:c r="F1248" s="4" t="n">
        <x:f>IF('계산 과정'!$L$7,'계산 과정'!$L$22+'계산 과정'!$C$49*D1248+'계산 과정'!$D$49*E1248,"")</x:f>
        <x:v>717.3777282424438</x:v>
      </x:c>
      <x:c r="G1248" s="4" t="n">
        <x:f>IF('계산 과정'!$L$7,IF(ABS(F1248)&gt;=1E-12*MAX(1,SQRT((D1248-'계산 과정'!$C$33)^2+(E1248-'계산 과정'!$D$33)^2+'계산 과정'!$E$33^2)),('계산 과정'!$L$23-'계산 과정'!$C$49*D1248-'계산 과정'!$D$49*E1248)/F1248,""),"")</x:f>
        <x:v>0.46366406240750163</x:v>
      </x:c>
      <x:c r="H1248" s="4" t="n">
        <x:f>IF(AND(ISNUMBER(G1248),G1248&gt;0),('계산 과정'!$D$56+'계산 과정'!$D$57*D1248+'계산 과정'!$D$58*E1248)/F1248,"")</x:f>
        <x:v>-98.61835943512406</x:v>
      </x:c>
      <x:c r="I1248" s="4" t="n">
        <x:f>IF(AND(ISNUMBER(G1248),G1248&gt;0),('계산 과정'!$E$56+'계산 과정'!$E$57*D1248+'계산 과정'!$E$58*E1248)/F1248,"")</x:f>
        <x:v>98.9570723785359</x:v>
      </x:c>
      <x:c r="J1248" s="4" t="n">
        <x:f>IF('계산 과정'!$L$5,'계산 과정'!$D$6+'계산 과정'!$C$35*D1248+'계산 과정'!$D$35*E1248,"")</x:f>
        <x:v>717.3777282424438</x:v>
      </x:c>
      <x:c r="K1248" s="4" t="n">
        <x:f>IF(AND('계산 과정'!$L$6,J1248&gt;0),'계산 과정'!$D$10*('계산 과정'!$C$38*(D1248-'계산 과정'!$C$32)+'계산 과정'!$D$38*(E1248-'계산 과정'!$D$32)-'계산 과정'!$E$38*'계산 과정'!$E$32)/J1248,"")</x:f>
        <x:v>-0.7513779766485637</x:v>
      </x:c>
      <x:c r="L1248" s="4" t="n">
        <x:f>IF(AND('계산 과정'!$L$6,J1248&gt;0),'계산 과정'!$D$10*('계산 과정'!$C$39*(D1248-'계산 과정'!$C$32)+'계산 과정'!$D$39*(E1248-'계산 과정'!$D$32)-'계산 과정'!$E$39*'계산 과정'!$E$32)/J1248,"")</x:f>
        <x:v>0.7539586466936069</x:v>
      </x:c>
      <x:c r="M1248" s="17" t="n">
        <x:f>IF('계산 과정'!$L$6,IF(J1248&lt;=0,0,IF(AND(ABS(K1248)&lt;='계산 과정'!$D$11/2,ABS(L1248)&lt;='계산 과정'!$D$12/2),1,0)),"")</x:f>
        <x:v>1</x:v>
      </x:c>
      <x:c r="N1248" s="17" t="n">
        <x:f>IF('계산 과정'!$C$78,IF(AND(ISNUMBER(H1248),ISNUMBER(I1248),ABS(H1248-'계산 과정'!$C$88)&lt;='계산 과정'!$D$23/2,ABS(I1248-'계산 과정'!$C$89)&lt;='계산 과정'!$D$24/2),1,0),"")</x:f>
        <x:v>1</x:v>
      </x:c>
      <x:c r="O1248" s="4" t="n">
        <x:f>IF('계산 과정'!$L$7,'계산 과정'!$C$49*('계산 과정'!$C$32-D1248)+'계산 과정'!$D$49*('계산 과정'!$D$32-E1248)+'계산 과정'!$E$49*'계산 과정'!$E$32,"")</x:f>
        <x:v>-67.37772824244371</x:v>
      </x:c>
      <x:c r="P1248" s="4" t="n">
        <x:f>IF(AND('계산 과정'!$L$7,O1248&lt;&gt;0),('계산 과정'!$L$23-'계산 과정'!$C$49*D1248-'계산 과정'!$D$49*E1248)/O1248,"")</x:f>
        <x:v>-4.936679826317226</x:v>
      </x:c>
      <x:c r="Q1248" s="4" t="str">
        <x:f>IF(AND(ISNUMBER(P1248),P1248&gt;1E-9,P1248&lt;1-1E-9),'계산 과정'!$C$47*(D1248-'계산 과정'!$C$50+P1248*('계산 과정'!$C$32-D1248))+'계산 과정'!$D$47*(E1248-'계산 과정'!$D$50+P1248*('계산 과정'!$D$32-E1248))+'계산 과정'!$E$47*(0-'계산 과정'!$E$50+P1248*('계산 과정'!$E$32-0)),"")</x:f>
      </x:c>
      <x:c r="R1248" s="4" t="str">
        <x:f>IF(AND(ISNUMBER(P1248),P1248&gt;1E-9,P1248&lt;1-1E-9),'계산 과정'!$C$48*(D1248-'계산 과정'!$C$50+P1248*('계산 과정'!$C$32-D1248))+'계산 과정'!$D$48*(E1248-'계산 과정'!$D$50+P1248*('계산 과정'!$D$32-E1248))+'계산 과정'!$E$48*(0-'계산 과정'!$E$50+P1248*('계산 과정'!$E$32-0)),"")</x:f>
      </x:c>
      <x:c r="S1248" s="17" t="n">
        <x:f>IF('계산 과정'!$C$78,IF(AND(ISNUMBER(Q1248),ISNUMBER(R1248),ABS(Q1248-'계산 과정'!$C$88)&lt;='계산 과정'!$D$23/2,ABS(R1248-'계산 과정'!$C$89)&lt;='계산 과정'!$D$24/2),1,0),"")</x:f>
        <x:v>0</x:v>
      </x:c>
      <x:c r="T1248" s="4"/>
      <x:c r="U1248" s="4"/>
      <x:c r="V1248" s="4"/>
      <x:c r="W1248" s="4"/>
      <x:c r="X1248" s="4"/>
      <x:c r="Y1248" s="4"/>
      <x:c r="Z1248" s="4"/>
    </x:row>
    <x:row r="1249" ht="23" customHeight="1">
      <x:c r="A1249" s="17" t="n">
        <x:f>ROW()-6</x:f>
        <x:v>1243</x:v>
      </x:c>
      <x:c r="B1249" s="4" t="n">
        <x:f>IF('계산 과정'!$L$5,'계산 과정'!$L$11*SQRT((A1249+0.5)/'계산 과정'!$L$30),"")</x:f>
        <x:v>116.88241537304702</x:v>
      </x:c>
      <x:c r="C1249" s="4" t="n">
        <x:f>A1249*PI()*(3-SQRT(5))</x:f>
        <x:v>2983.154294552716</x:v>
      </x:c>
      <x:c r="D1249" s="4" t="n">
        <x:f>IF('계산 과정'!$L$5,B1249*COS(C1249),"")</x:f>
        <x:v>24.60187196785525</x:v>
      </x:c>
      <x:c r="E1249" s="4" t="n">
        <x:f>IF('계산 과정'!$L$5,B1249*SIN(C1249),"")</x:f>
        <x:v>-114.26393533882315</x:v>
      </x:c>
      <x:c r="F1249" s="4" t="n">
        <x:f>IF('계산 과정'!$L$7,'계산 과정'!$L$22+'계산 과정'!$C$49*D1249+'계산 과정'!$D$49*E1249,"")</x:f>
        <x:v>632.6038495016463</x:v>
      </x:c>
      <x:c r="G1249" s="4" t="n">
        <x:f>IF('계산 과정'!$L$7,IF(ABS(F1249)&gt;=1E-12*MAX(1,SQRT((D1249-'계산 과정'!$C$33)^2+(E1249-'계산 과정'!$D$33)^2+'계산 과정'!$E$33^2)),('계산 과정'!$L$23-'계산 과정'!$C$49*D1249-'계산 과정'!$D$49*E1249)/F1249,""),"")</x:f>
        <x:v>0.6598065295163327</x:v>
      </x:c>
      <x:c r="H1249" s="4" t="n">
        <x:f>IF(AND(ISNUMBER(G1249),G1249&gt;0),('계산 과정'!$D$56+'계산 과정'!$D$57*D1249+'계산 과정'!$D$58*E1249)/F1249,"")</x:f>
        <x:v>28.87424418561613</x:v>
      </x:c>
      <x:c r="I1249" s="4" t="n">
        <x:f>IF(AND(ISNUMBER(G1249),G1249&gt;0),('계산 과정'!$E$56+'계산 과정'!$E$57*D1249+'계산 과정'!$E$58*E1249)/F1249,"")</x:f>
        <x:v>-189.6560259636107</x:v>
      </x:c>
      <x:c r="J1249" s="4" t="n">
        <x:f>IF('계산 과정'!$L$5,'계산 과정'!$D$6+'계산 과정'!$C$35*D1249+'계산 과정'!$D$35*E1249,"")</x:f>
        <x:v>632.6038495016463</x:v>
      </x:c>
      <x:c r="K1249" s="4" t="n">
        <x:f>IF(AND('계산 과정'!$L$6,J1249&gt;0),'계산 과정'!$D$10*('계산 과정'!$C$38*(D1249-'계산 과정'!$C$32)+'계산 과정'!$D$38*(E1249-'계산 과정'!$D$32)-'계산 과정'!$E$38*'계산 과정'!$E$32)/J1249,"")</x:f>
        <x:v>0.21999424141421894</x:v>
      </x:c>
      <x:c r="L1249" s="4" t="n">
        <x:f>IF(AND('계산 과정'!$L$6,J1249&gt;0),'계산 과정'!$D$10*('계산 과정'!$C$39*(D1249-'계산 과정'!$C$32)+'계산 과정'!$D$39*(E1249-'계산 과정'!$D$32)-'계산 과정'!$E$39*'계산 과정'!$E$32)/J1249,"")</x:f>
        <x:v>-1.4449982930560814</x:v>
      </x:c>
      <x:c r="M1249" s="17" t="n">
        <x:f>IF('계산 과정'!$L$6,IF(J1249&lt;=0,0,IF(AND(ABS(K1249)&lt;='계산 과정'!$D$11/2,ABS(L1249)&lt;='계산 과정'!$D$12/2),1,0)),"")</x:f>
        <x:v>1</x:v>
      </x:c>
      <x:c r="N1249" s="17" t="n">
        <x:f>IF('계산 과정'!$C$78,IF(AND(ISNUMBER(H1249),ISNUMBER(I1249),ABS(H1249-'계산 과정'!$C$88)&lt;='계산 과정'!$D$23/2,ABS(I1249-'계산 과정'!$C$89)&lt;='계산 과정'!$D$24/2),1,0),"")</x:f>
        <x:v>1</x:v>
      </x:c>
      <x:c r="O1249" s="4" t="n">
        <x:f>IF('계산 과정'!$L$7,'계산 과정'!$C$49*('계산 과정'!$C$32-D1249)+'계산 과정'!$D$49*('계산 과정'!$D$32-E1249)+'계산 과정'!$E$49*'계산 과정'!$E$32,"")</x:f>
        <x:v>17.39615049835379</x:v>
      </x:c>
      <x:c r="P1249" s="4" t="n">
        <x:f>IF(AND('계산 과정'!$L$7,O1249&lt;&gt;0),('계산 과정'!$L$23-'계산 과정'!$C$49*D1249-'계산 과정'!$D$49*E1249)/O1249,"")</x:f>
        <x:v>23.993592751330368</x:v>
      </x:c>
      <x:c r="Q1249" s="4" t="str">
        <x:f>IF(AND(ISNUMBER(P1249),P1249&gt;1E-9,P1249&lt;1-1E-9),'계산 과정'!$C$47*(D1249-'계산 과정'!$C$50+P1249*('계산 과정'!$C$32-D1249))+'계산 과정'!$D$47*(E1249-'계산 과정'!$D$50+P1249*('계산 과정'!$D$32-E1249))+'계산 과정'!$E$47*(0-'계산 과정'!$E$50+P1249*('계산 과정'!$E$32-0)),"")</x:f>
      </x:c>
      <x:c r="R1249" s="4" t="str">
        <x:f>IF(AND(ISNUMBER(P1249),P1249&gt;1E-9,P1249&lt;1-1E-9),'계산 과정'!$C$48*(D1249-'계산 과정'!$C$50+P1249*('계산 과정'!$C$32-D1249))+'계산 과정'!$D$48*(E1249-'계산 과정'!$D$50+P1249*('계산 과정'!$D$32-E1249))+'계산 과정'!$E$48*(0-'계산 과정'!$E$50+P1249*('계산 과정'!$E$32-0)),"")</x:f>
      </x:c>
      <x:c r="S1249" s="17" t="n">
        <x:f>IF('계산 과정'!$C$78,IF(AND(ISNUMBER(Q1249),ISNUMBER(R1249),ABS(Q1249-'계산 과정'!$C$88)&lt;='계산 과정'!$D$23/2,ABS(R1249-'계산 과정'!$C$89)&lt;='계산 과정'!$D$24/2),1,0),"")</x:f>
        <x:v>0</x:v>
      </x:c>
      <x:c r="T1249" s="4"/>
      <x:c r="U1249" s="4"/>
      <x:c r="V1249" s="4"/>
      <x:c r="W1249" s="4"/>
      <x:c r="X1249" s="4"/>
      <x:c r="Y1249" s="4"/>
      <x:c r="Z1249" s="4"/>
    </x:row>
    <x:row r="1250" ht="23" customHeight="1">
      <x:c r="A1250" s="17" t="n">
        <x:f>ROW()-6</x:f>
        <x:v>1244</x:v>
      </x:c>
      <x:c r="B1250" s="4" t="n">
        <x:f>IF('계산 과정'!$L$5,'계산 과정'!$L$11*SQRT((A1250+0.5)/'계산 과정'!$L$30),"")</x:f>
        <x:v>116.92940328062271</x:v>
      </x:c>
      <x:c r="C1250" s="4" t="n">
        <x:f>A1250*PI()*(3-SQRT(5))</x:f>
        <x:v>2985.554257782444</x:v>
      </x:c>
      <x:c r="D1250" s="4" t="n">
        <x:f>IF('계산 과정'!$L$5,B1250*COS(C1250),"")</x:f>
        <x:v>59.06726066522295</x:v>
      </x:c>
      <x:c r="E1250" s="4" t="n">
        <x:f>IF('계산 과정'!$L$5,B1250*SIN(C1250),"")</x:f>
        <x:v>100.9135475001702</x:v>
      </x:c>
      <x:c r="F1250" s="4" t="n">
        <x:f>IF('계산 과정'!$L$7,'계산 과정'!$L$22+'계산 과정'!$C$49*D1250+'계산 과정'!$D$49*E1250,"")</x:f>
        <x:v>608.2331394375075</x:v>
      </x:c>
      <x:c r="G1250" s="4" t="n">
        <x:f>IF('계산 과정'!$L$7,IF(ABS(F1250)&gt;=1E-12*MAX(1,SQRT((D1250-'계산 과정'!$C$33)^2+(E1250-'계산 과정'!$D$33)^2+'계산 과정'!$E$33^2)),('계산 과정'!$L$23-'계산 과정'!$C$49*D1250-'계산 과정'!$D$49*E1250)/F1250,""),"")</x:f>
        <x:v>0.7263117247623789</x:v>
      </x:c>
      <x:c r="H1250" s="4" t="n">
        <x:f>IF(AND(ISNUMBER(G1250),G1250&gt;0),('계산 과정'!$D$56+'계산 과정'!$D$57*D1250+'계산 과정'!$D$58*E1250)/F1250,"")</x:f>
        <x:v>72.10262109554623</x:v>
      </x:c>
      <x:c r="I1250" s="4" t="n">
        <x:f>IF(AND(ISNUMBER(G1250),G1250&gt;0),('계산 과정'!$E$56+'계산 과정'!$E$57*D1250+'계산 과정'!$E$58*E1250)/F1250,"")</x:f>
        <x:v>174.20824023690906</x:v>
      </x:c>
      <x:c r="J1250" s="4" t="n">
        <x:f>IF('계산 과정'!$L$5,'계산 과정'!$D$6+'계산 과정'!$C$35*D1250+'계산 과정'!$D$35*E1250,"")</x:f>
        <x:v>608.2331394375075</x:v>
      </x:c>
      <x:c r="K1250" s="4" t="n">
        <x:f>IF(AND('계산 과정'!$L$6,J1250&gt;0),'계산 과정'!$D$10*('계산 과정'!$C$38*(D1250-'계산 과정'!$C$32)+'계산 과정'!$D$38*(E1250-'계산 과정'!$D$32)-'계산 과정'!$E$38*'계산 과정'!$E$32)/J1250,"")</x:f>
        <x:v>0.549353303585115</x:v>
      </x:c>
      <x:c r="L1250" s="4" t="n">
        <x:f>IF(AND('계산 과정'!$L$6,J1250&gt;0),'계산 과정'!$D$10*('계산 과정'!$C$39*(D1250-'계산 과정'!$C$32)+'계산 과정'!$D$39*(E1250-'계산 과정'!$D$32)-'계산 과정'!$E$39*'계산 과정'!$E$32)/J1250,"")</x:f>
        <x:v>1.3273008779954976</x:v>
      </x:c>
      <x:c r="M1250" s="17" t="n">
        <x:f>IF('계산 과정'!$L$6,IF(J1250&lt;=0,0,IF(AND(ABS(K1250)&lt;='계산 과정'!$D$11/2,ABS(L1250)&lt;='계산 과정'!$D$12/2),1,0)),"")</x:f>
        <x:v>1</x:v>
      </x:c>
      <x:c r="N1250" s="17" t="n">
        <x:f>IF('계산 과정'!$C$78,IF(AND(ISNUMBER(H1250),ISNUMBER(I1250),ABS(H1250-'계산 과정'!$C$88)&lt;='계산 과정'!$D$23/2,ABS(I1250-'계산 과정'!$C$89)&lt;='계산 과정'!$D$24/2),1,0),"")</x:f>
        <x:v>1</x:v>
      </x:c>
      <x:c r="O1250" s="4" t="n">
        <x:f>IF('계산 과정'!$L$7,'계산 과정'!$C$49*('계산 과정'!$C$32-D1250)+'계산 과정'!$D$49*('계산 과정'!$D$32-E1250)+'계산 과정'!$E$49*'계산 과정'!$E$32,"")</x:f>
        <x:v>41.766860562492695</x:v>
      </x:c>
      <x:c r="P1250" s="4" t="n">
        <x:f>IF(AND('계산 과정'!$L$7,O1250&lt;&gt;0),('계산 과정'!$L$23-'계산 과정'!$C$49*D1250-'계산 과정'!$D$49*E1250)/O1250,"")</x:f>
        <x:v>10.576970703879196</x:v>
      </x:c>
      <x:c r="Q1250" s="4" t="str">
        <x:f>IF(AND(ISNUMBER(P1250),P1250&gt;1E-9,P1250&lt;1-1E-9),'계산 과정'!$C$47*(D1250-'계산 과정'!$C$50+P1250*('계산 과정'!$C$32-D1250))+'계산 과정'!$D$47*(E1250-'계산 과정'!$D$50+P1250*('계산 과정'!$D$32-E1250))+'계산 과정'!$E$47*(0-'계산 과정'!$E$50+P1250*('계산 과정'!$E$32-0)),"")</x:f>
      </x:c>
      <x:c r="R1250" s="4" t="str">
        <x:f>IF(AND(ISNUMBER(P1250),P1250&gt;1E-9,P1250&lt;1-1E-9),'계산 과정'!$C$48*(D1250-'계산 과정'!$C$50+P1250*('계산 과정'!$C$32-D1250))+'계산 과정'!$D$48*(E1250-'계산 과정'!$D$50+P1250*('계산 과정'!$D$32-E1250))+'계산 과정'!$E$48*(0-'계산 과정'!$E$50+P1250*('계산 과정'!$E$32-0)),"")</x:f>
      </x:c>
      <x:c r="S1250" s="17" t="n">
        <x:f>IF('계산 과정'!$C$78,IF(AND(ISNUMBER(Q1250),ISNUMBER(R1250),ABS(Q1250-'계산 과정'!$C$88)&lt;='계산 과정'!$D$23/2,ABS(R1250-'계산 과정'!$C$89)&lt;='계산 과정'!$D$24/2),1,0),"")</x:f>
        <x:v>0</x:v>
      </x:c>
      <x:c r="T1250" s="4"/>
      <x:c r="U1250" s="4"/>
      <x:c r="V1250" s="4"/>
      <x:c r="W1250" s="4"/>
      <x:c r="X1250" s="4"/>
      <x:c r="Y1250" s="4"/>
      <x:c r="Z1250" s="4"/>
    </x:row>
    <x:row r="1251" ht="23" customHeight="1">
      <x:c r="A1251" s="17" t="n">
        <x:f>ROW()-6</x:f>
        <x:v>1245</x:v>
      </x:c>
      <x:c r="B1251" s="4" t="n">
        <x:f>IF('계산 과정'!$L$5,'계산 과정'!$L$11*SQRT((A1251+0.5)/'계산 과정'!$L$30),"")</x:f>
        <x:v>116.97637231376044</x:v>
      </x:c>
      <x:c r="C1251" s="4" t="n">
        <x:f>A1251*PI()*(3-SQRT(5))</x:f>
        <x:v>2987.9542210121726</x:v>
      </x:c>
      <x:c r="D1251" s="4" t="n">
        <x:f>IF('계산 과정'!$L$5,B1251*COS(C1251),"")</x:f>
        <x:v>-111.7653583002323</x:v>
      </x:c>
      <x:c r="E1251" s="4" t="n">
        <x:f>IF('계산 과정'!$L$5,B1251*SIN(C1251),"")</x:f>
        <x:v>-34.5250106981619</x:v>
      </x:c>
      <x:c r="F1251" s="4" t="n">
        <x:f>IF('계산 과정'!$L$7,'계산 과정'!$L$22+'계산 과정'!$C$49*D1251+'계산 과정'!$D$49*E1251,"")</x:f>
        <x:v>729.0300427558384</x:v>
      </x:c>
      <x:c r="G1251" s="4" t="n">
        <x:f>IF('계산 과정'!$L$7,IF(ABS(F1251)&gt;=1E-12*MAX(1,SQRT((D1251-'계산 과정'!$C$33)^2+(E1251-'계산 과정'!$D$33)^2+'계산 과정'!$E$33^2)),('계산 과정'!$L$23-'계산 과정'!$C$49*D1251-'계산 과정'!$D$49*E1251)/F1251,""),"")</x:f>
        <x:v>0.4402698632704476</x:v>
      </x:c>
      <x:c r="H1251" s="4" t="n">
        <x:f>IF(AND(ISNUMBER(G1251),G1251&gt;0),('계산 과정'!$D$56+'계산 과정'!$D$57*D1251+'계산 과정'!$D$58*E1251)/F1251,"")</x:f>
        <x:v>-113.8245888742092</x:v>
      </x:c>
      <x:c r="I1251" s="4" t="n">
        <x:f>IF(AND(ISNUMBER(G1251),G1251&gt;0),('계산 과정'!$E$56+'계산 과정'!$E$57*D1251+'계산 과정'!$E$58*E1251)/F1251,"")</x:f>
        <x:v>-49.725332437652376</x:v>
      </x:c>
      <x:c r="J1251" s="4" t="n">
        <x:f>IF('계산 과정'!$L$5,'계산 과정'!$D$6+'계산 과정'!$C$35*D1251+'계산 과정'!$D$35*E1251,"")</x:f>
        <x:v>729.0300427558384</x:v>
      </x:c>
      <x:c r="K1251" s="4" t="n">
        <x:f>IF(AND('계산 과정'!$L$6,J1251&gt;0),'계산 과정'!$D$10*('계산 과정'!$C$38*(D1251-'계산 과정'!$C$32)+'계산 과정'!$D$38*(E1251-'계산 과정'!$D$32)-'계산 과정'!$E$38*'계산 과정'!$E$32)/J1251,"")</x:f>
        <x:v>-0.8672349628511162</x:v>
      </x:c>
      <x:c r="L1251" s="4" t="n">
        <x:f>IF(AND('계산 과정'!$L$6,J1251&gt;0),'계산 과정'!$D$10*('계산 과정'!$C$39*(D1251-'계산 과정'!$C$32)+'계산 과정'!$D$39*(E1251-'계산 과정'!$D$32)-'계산 과정'!$E$39*'계산 과정'!$E$32)/J1251,"")</x:f>
        <x:v>-0.3788596757154467</x:v>
      </x:c>
      <x:c r="M1251" s="17" t="n">
        <x:f>IF('계산 과정'!$L$6,IF(J1251&lt;=0,0,IF(AND(ABS(K1251)&lt;='계산 과정'!$D$11/2,ABS(L1251)&lt;='계산 과정'!$D$12/2),1,0)),"")</x:f>
        <x:v>1</x:v>
      </x:c>
      <x:c r="N1251" s="17" t="n">
        <x:f>IF('계산 과정'!$C$78,IF(AND(ISNUMBER(H1251),ISNUMBER(I1251),ABS(H1251-'계산 과정'!$C$88)&lt;='계산 과정'!$D$23/2,ABS(I1251-'계산 과정'!$C$89)&lt;='계산 과정'!$D$24/2),1,0),"")</x:f>
        <x:v>1</x:v>
      </x:c>
      <x:c r="O1251" s="4" t="n">
        <x:f>IF('계산 과정'!$L$7,'계산 과정'!$C$49*('계산 과정'!$C$32-D1251)+'계산 과정'!$D$49*('계산 과정'!$D$32-E1251)+'계산 과정'!$E$49*'계산 과정'!$E$32,"")</x:f>
        <x:v>-79.03004275583828</x:v>
      </x:c>
      <x:c r="P1251" s="4" t="n">
        <x:f>IF(AND('계산 과정'!$L$7,O1251&lt;&gt;0),('계산 과정'!$L$23-'계산 과정'!$C$49*D1251-'계산 과정'!$D$49*E1251)/O1251,"")</x:f>
        <x:v>-4.061366362103482</x:v>
      </x:c>
      <x:c r="Q1251" s="4" t="str">
        <x:f>IF(AND(ISNUMBER(P1251),P1251&gt;1E-9,P1251&lt;1-1E-9),'계산 과정'!$C$47*(D1251-'계산 과정'!$C$50+P1251*('계산 과정'!$C$32-D1251))+'계산 과정'!$D$47*(E1251-'계산 과정'!$D$50+P1251*('계산 과정'!$D$32-E1251))+'계산 과정'!$E$47*(0-'계산 과정'!$E$50+P1251*('계산 과정'!$E$32-0)),"")</x:f>
      </x:c>
      <x:c r="R1251" s="4" t="str">
        <x:f>IF(AND(ISNUMBER(P1251),P1251&gt;1E-9,P1251&lt;1-1E-9),'계산 과정'!$C$48*(D1251-'계산 과정'!$C$50+P1251*('계산 과정'!$C$32-D1251))+'계산 과정'!$D$48*(E1251-'계산 과정'!$D$50+P1251*('계산 과정'!$D$32-E1251))+'계산 과정'!$E$48*(0-'계산 과정'!$E$50+P1251*('계산 과정'!$E$32-0)),"")</x:f>
      </x:c>
      <x:c r="S1251" s="17" t="n">
        <x:f>IF('계산 과정'!$C$78,IF(AND(ISNUMBER(Q1251),ISNUMBER(R1251),ABS(Q1251-'계산 과정'!$C$88)&lt;='계산 과정'!$D$23/2,ABS(R1251-'계산 과정'!$C$89)&lt;='계산 과정'!$D$24/2),1,0),"")</x:f>
        <x:v>0</x:v>
      </x:c>
      <x:c r="T1251" s="4"/>
      <x:c r="U1251" s="4"/>
      <x:c r="V1251" s="4"/>
      <x:c r="W1251" s="4"/>
      <x:c r="X1251" s="4"/>
      <x:c r="Y1251" s="4"/>
      <x:c r="Z1251" s="4"/>
    </x:row>
    <x:row r="1252" ht="23" customHeight="1">
      <x:c r="A1252" s="17" t="n">
        <x:f>ROW()-6</x:f>
        <x:v>1246</x:v>
      </x:c>
      <x:c r="B1252" s="4" t="n">
        <x:f>IF('계산 과정'!$L$5,'계산 과정'!$L$11*SQRT((A1252+0.5)/'계산 과정'!$L$30),"")</x:f>
        <x:v>117.02332249518683</x:v>
      </x:c>
      <x:c r="C1252" s="4" t="n">
        <x:f>A1252*PI()*(3-SQRT(5))</x:f>
        <x:v>2990.3541842419017</x:v>
      </x:c>
      <x:c r="D1252" s="4" t="n">
        <x:f>IF('계산 과정'!$L$5,B1252*COS(C1252),"")</x:f>
        <x:v>105.77604422636149</x:v>
      </x:c>
      <x:c r="E1252" s="4" t="n">
        <x:f>IF('계산 과정'!$L$5,B1252*SIN(C1252),"")</x:f>
        <x:v>-50.05883014649181</x:v>
      </x:c>
      <x:c r="F1252" s="4" t="n">
        <x:f>IF('계산 과정'!$L$7,'계산 과정'!$L$22+'계산 과정'!$C$49*D1252+'계산 과정'!$D$49*E1252,"")</x:f>
        <x:v>575.2050418404516</x:v>
      </x:c>
      <x:c r="G1252" s="4" t="n">
        <x:f>IF('계산 과정'!$L$7,IF(ABS(F1252)&gt;=1E-12*MAX(1,SQRT((D1252-'계산 과정'!$C$33)^2+(E1252-'계산 과정'!$D$33)^2+'계산 과정'!$E$33^2)),('계산 과정'!$L$23-'계산 과정'!$C$49*D1252-'계산 과정'!$D$49*E1252)/F1252,""),"")</x:f>
        <x:v>0.8254360160689366</x:v>
      </x:c>
      <x:c r="H1252" s="4" t="n">
        <x:f>IF(AND(ISNUMBER(G1252),G1252&gt;0),('계산 과정'!$D$56+'계산 과정'!$D$57*D1252+'계산 과정'!$D$58*E1252)/F1252,"")</x:f>
        <x:v>136.5334104448087</x:v>
      </x:c>
      <x:c r="I1252" s="4" t="n">
        <x:f>IF(AND(ISNUMBER(G1252),G1252&gt;0),('계산 과정'!$E$56+'계산 과정'!$E$57*D1252+'계산 과정'!$E$58*E1252)/F1252,"")</x:f>
        <x:v>-91.37919147168358</x:v>
      </x:c>
      <x:c r="J1252" s="4" t="n">
        <x:f>IF('계산 과정'!$L$5,'계산 과정'!$D$6+'계산 과정'!$C$35*D1252+'계산 과정'!$D$35*E1252,"")</x:f>
        <x:v>575.2050418404516</x:v>
      </x:c>
      <x:c r="K1252" s="4" t="n">
        <x:f>IF(AND('계산 과정'!$L$6,J1252&gt;0),'계산 과정'!$D$10*('계산 과정'!$C$38*(D1252-'계산 과정'!$C$32)+'계산 과정'!$D$38*(E1252-'계산 과정'!$D$32)-'계산 과정'!$E$38*'계산 과정'!$E$32)/J1252,"")</x:f>
        <x:v>1.0402545557699718</x:v>
      </x:c>
      <x:c r="L1252" s="4" t="n">
        <x:f>IF(AND('계산 과정'!$L$6,J1252&gt;0),'계산 과정'!$D$10*('계산 과정'!$C$39*(D1252-'계산 과정'!$C$32)+'계산 과정'!$D$39*(E1252-'계산 과정'!$D$32)-'계산 과정'!$E$39*'계산 과정'!$E$32)/J1252,"")</x:f>
        <x:v>-0.6962224112128274</x:v>
      </x:c>
      <x:c r="M1252" s="17" t="n">
        <x:f>IF('계산 과정'!$L$6,IF(J1252&lt;=0,0,IF(AND(ABS(K1252)&lt;='계산 과정'!$D$11/2,ABS(L1252)&lt;='계산 과정'!$D$12/2),1,0)),"")</x:f>
        <x:v>1</x:v>
      </x:c>
      <x:c r="N1252" s="17" t="n">
        <x:f>IF('계산 과정'!$C$78,IF(AND(ISNUMBER(H1252),ISNUMBER(I1252),ABS(H1252-'계산 과정'!$C$88)&lt;='계산 과정'!$D$23/2,ABS(I1252-'계산 과정'!$C$89)&lt;='계산 과정'!$D$24/2),1,0),"")</x:f>
        <x:v>1</x:v>
      </x:c>
      <x:c r="O1252" s="4" t="n">
        <x:f>IF('계산 과정'!$L$7,'계산 과정'!$C$49*('계산 과정'!$C$32-D1252)+'계산 과정'!$D$49*('계산 과정'!$D$32-E1252)+'계산 과정'!$E$49*'계산 과정'!$E$32,"")</x:f>
        <x:v>74.79495815954846</x:v>
      </x:c>
      <x:c r="P1252" s="4" t="n">
        <x:f>IF(AND('계산 과정'!$L$7,O1252&lt;&gt;0),('계산 과정'!$L$23-'계산 과정'!$C$49*D1252-'계산 과정'!$D$49*E1252)/O1252,"")</x:f>
        <x:v>6.347954057902434</x:v>
      </x:c>
      <x:c r="Q1252" s="4" t="str">
        <x:f>IF(AND(ISNUMBER(P1252),P1252&gt;1E-9,P1252&lt;1-1E-9),'계산 과정'!$C$47*(D1252-'계산 과정'!$C$50+P1252*('계산 과정'!$C$32-D1252))+'계산 과정'!$D$47*(E1252-'계산 과정'!$D$50+P1252*('계산 과정'!$D$32-E1252))+'계산 과정'!$E$47*(0-'계산 과정'!$E$50+P1252*('계산 과정'!$E$32-0)),"")</x:f>
      </x:c>
      <x:c r="R1252" s="4" t="str">
        <x:f>IF(AND(ISNUMBER(P1252),P1252&gt;1E-9,P1252&lt;1-1E-9),'계산 과정'!$C$48*(D1252-'계산 과정'!$C$50+P1252*('계산 과정'!$C$32-D1252))+'계산 과정'!$D$48*(E1252-'계산 과정'!$D$50+P1252*('계산 과정'!$D$32-E1252))+'계산 과정'!$E$48*(0-'계산 과정'!$E$50+P1252*('계산 과정'!$E$32-0)),"")</x:f>
      </x:c>
      <x:c r="S1252" s="17" t="n">
        <x:f>IF('계산 과정'!$C$78,IF(AND(ISNUMBER(Q1252),ISNUMBER(R1252),ABS(Q1252-'계산 과정'!$C$88)&lt;='계산 과정'!$D$23/2,ABS(R1252-'계산 과정'!$C$89)&lt;='계산 과정'!$D$24/2),1,0),"")</x:f>
        <x:v>0</x:v>
      </x:c>
      <x:c r="T1252" s="4"/>
      <x:c r="U1252" s="4"/>
      <x:c r="V1252" s="4"/>
      <x:c r="W1252" s="4"/>
      <x:c r="X1252" s="4"/>
      <x:c r="Y1252" s="4"/>
      <x:c r="Z1252" s="4"/>
    </x:row>
    <x:row r="1253" ht="23" customHeight="1">
      <x:c r="A1253" s="17" t="n">
        <x:f>ROW()-6</x:f>
        <x:v>1247</x:v>
      </x:c>
      <x:c r="B1253" s="4" t="n">
        <x:f>IF('계산 과정'!$L$5,'계산 과정'!$L$11*SQRT((A1253+0.5)/'계산 과정'!$L$30),"")</x:f>
        <x:v>117.0702538475829</x:v>
      </x:c>
      <x:c r="C1253" s="4" t="n">
        <x:f>A1253*PI()*(3-SQRT(5))</x:f>
        <x:v>2992.75414747163</x:v>
      </x:c>
      <x:c r="D1253" s="4" t="n">
        <x:f>IF('계산 과정'!$L$5,B1253*COS(C1253),"")</x:f>
        <x:v>-44.19942790579414</x:v>
      </x:c>
      <x:c r="E1253" s="4" t="n">
        <x:f>IF('계산 과정'!$L$5,B1253*SIN(C1253),"")</x:f>
        <x:v>108.40597266174039</x:v>
      </x:c>
      <x:c r="F1253" s="4" t="n">
        <x:f>IF('계산 과정'!$L$7,'계산 과정'!$L$22+'계산 과정'!$C$49*D1253+'계산 과정'!$D$49*E1253,"")</x:f>
        <x:v>681.253715196753</x:v>
      </x:c>
      <x:c r="G1253" s="4" t="n">
        <x:f>IF('계산 과정'!$L$7,IF(ABS(F1253)&gt;=1E-12*MAX(1,SQRT((D1253-'계산 과정'!$C$33)^2+(E1253-'계산 과정'!$D$33)^2+'계산 과정'!$E$33^2)),('계산 과정'!$L$23-'계산 과정'!$C$49*D1253-'계산 과정'!$D$49*E1253)/F1253,""),"")</x:f>
        <x:v>0.541275998321344</x:v>
      </x:c>
      <x:c r="H1253" s="4" t="n">
        <x:f>IF(AND(ISNUMBER(G1253),G1253&gt;0),('계산 과정'!$D$56+'계산 과정'!$D$57*D1253+'계산 과정'!$D$58*E1253)/F1253,"")</x:f>
        <x:v>-48.1706010911265</x:v>
      </x:c>
      <x:c r="I1253" s="4" t="n">
        <x:f>IF(AND(ISNUMBER(G1253),G1253&gt;0),('계산 과정'!$E$56+'계산 과정'!$E$57*D1253+'계산 과정'!$E$58*E1253)/F1253,"")</x:f>
        <x:v>167.08352373822024</x:v>
      </x:c>
      <x:c r="J1253" s="4" t="n">
        <x:f>IF('계산 과정'!$L$5,'계산 과정'!$D$6+'계산 과정'!$C$35*D1253+'계산 과정'!$D$35*E1253,"")</x:f>
        <x:v>681.253715196753</x:v>
      </x:c>
      <x:c r="K1253" s="4" t="n">
        <x:f>IF(AND('계산 과정'!$L$6,J1253&gt;0),'계산 과정'!$D$10*('계산 과정'!$C$38*(D1253-'계산 과정'!$C$32)+'계산 과정'!$D$38*(E1253-'계산 과정'!$D$32)-'계산 과정'!$E$38*'계산 과정'!$E$32)/J1253,"")</x:f>
        <x:v>-0.36701410355143926</x:v>
      </x:c>
      <x:c r="L1253" s="4" t="n">
        <x:f>IF(AND('계산 과정'!$L$6,J1253&gt;0),'계산 과정'!$D$10*('계산 과정'!$C$39*(D1253-'계산 과정'!$C$32)+'계산 과정'!$D$39*(E1253-'계산 과정'!$D$32)-'계산 과정'!$E$39*'계산 과정'!$E$32)/J1253,"")</x:f>
        <x:v>1.2730173237197733</x:v>
      </x:c>
      <x:c r="M1253" s="17" t="n">
        <x:f>IF('계산 과정'!$L$6,IF(J1253&lt;=0,0,IF(AND(ABS(K1253)&lt;='계산 과정'!$D$11/2,ABS(L1253)&lt;='계산 과정'!$D$12/2),1,0)),"")</x:f>
        <x:v>1</x:v>
      </x:c>
      <x:c r="N1253" s="17" t="n">
        <x:f>IF('계산 과정'!$C$78,IF(AND(ISNUMBER(H1253),ISNUMBER(I1253),ABS(H1253-'계산 과정'!$C$88)&lt;='계산 과정'!$D$23/2,ABS(I1253-'계산 과정'!$C$89)&lt;='계산 과정'!$D$24/2),1,0),"")</x:f>
        <x:v>1</x:v>
      </x:c>
      <x:c r="O1253" s="4" t="n">
        <x:f>IF('계산 과정'!$L$7,'계산 과정'!$C$49*('계산 과정'!$C$32-D1253)+'계산 과정'!$D$49*('계산 과정'!$D$32-E1253)+'계산 과정'!$E$49*'계산 과정'!$E$32,"")</x:f>
        <x:v>-31.253715196752864</x:v>
      </x:c>
      <x:c r="P1253" s="4" t="n">
        <x:f>IF(AND('계산 과정'!$L$7,O1253&lt;&gt;0),('계산 과정'!$L$23-'계산 과정'!$C$49*D1253-'계산 과정'!$D$49*E1253)/O1253,"")</x:f>
        <x:v>-11.798478436303096</x:v>
      </x:c>
      <x:c r="Q1253" s="4" t="str">
        <x:f>IF(AND(ISNUMBER(P1253),P1253&gt;1E-9,P1253&lt;1-1E-9),'계산 과정'!$C$47*(D1253-'계산 과정'!$C$50+P1253*('계산 과정'!$C$32-D1253))+'계산 과정'!$D$47*(E1253-'계산 과정'!$D$50+P1253*('계산 과정'!$D$32-E1253))+'계산 과정'!$E$47*(0-'계산 과정'!$E$50+P1253*('계산 과정'!$E$32-0)),"")</x:f>
      </x:c>
      <x:c r="R1253" s="4" t="str">
        <x:f>IF(AND(ISNUMBER(P1253),P1253&gt;1E-9,P1253&lt;1-1E-9),'계산 과정'!$C$48*(D1253-'계산 과정'!$C$50+P1253*('계산 과정'!$C$32-D1253))+'계산 과정'!$D$48*(E1253-'계산 과정'!$D$50+P1253*('계산 과정'!$D$32-E1253))+'계산 과정'!$E$48*(0-'계산 과정'!$E$50+P1253*('계산 과정'!$E$32-0)),"")</x:f>
      </x:c>
      <x:c r="S1253" s="17" t="n">
        <x:f>IF('계산 과정'!$C$78,IF(AND(ISNUMBER(Q1253),ISNUMBER(R1253),ABS(Q1253-'계산 과정'!$C$88)&lt;='계산 과정'!$D$23/2,ABS(R1253-'계산 과정'!$C$89)&lt;='계산 과정'!$D$24/2),1,0),"")</x:f>
        <x:v>0</x:v>
      </x:c>
      <x:c r="T1253" s="4"/>
      <x:c r="U1253" s="4"/>
      <x:c r="V1253" s="4"/>
      <x:c r="W1253" s="4"/>
      <x:c r="X1253" s="4"/>
      <x:c r="Y1253" s="4"/>
      <x:c r="Z1253" s="4"/>
    </x:row>
    <x:row r="1254" ht="23" customHeight="1">
      <x:c r="A1254" s="17" t="n">
        <x:f>ROW()-6</x:f>
        <x:v>1248</x:v>
      </x:c>
      <x:c r="B1254" s="4" t="n">
        <x:f>IF('계산 과정'!$L$5,'계산 과정'!$L$11*SQRT((A1254+0.5)/'계산 과정'!$L$30),"")</x:f>
        <x:v>117.11716639358426</x:v>
      </x:c>
      <x:c r="C1254" s="4" t="n">
        <x:f>A1254*PI()*(3-SQRT(5))</x:f>
        <x:v>2995.1541107013586</x:v>
      </x:c>
      <x:c r="D1254" s="4" t="n">
        <x:f>IF('계산 과정'!$L$5,B1254*COS(C1254),"")</x:f>
        <x:v>-40.652183477569565</x:v>
      </x:c>
      <x:c r="E1254" s="4" t="n">
        <x:f>IF('계산 과정'!$L$5,B1254*SIN(C1254),"")</x:f>
        <x:v>-109.83547078502701</x:v>
      </x:c>
      <x:c r="F1254" s="4" t="n">
        <x:f>IF('계산 과정'!$L$7,'계산 과정'!$L$22+'계산 과정'!$C$49*D1254+'계산 과정'!$D$49*E1254,"")</x:f>
        <x:v>678.7454346070292</x:v>
      </x:c>
      <x:c r="G1254" s="4" t="n">
        <x:f>IF('계산 과정'!$L$7,IF(ABS(F1254)&gt;=1E-12*MAX(1,SQRT((D1254-'계산 과정'!$C$33)^2+(E1254-'계산 과정'!$D$33)^2+'계산 과정'!$E$33^2)),('계산 과정'!$L$23-'계산 과정'!$C$49*D1254-'계산 과정'!$D$49*E1254)/F1254,""),"")</x:f>
        <x:v>0.5469717311732856</x:v>
      </x:c>
      <x:c r="H1254" s="4" t="n">
        <x:f>IF(AND(ISNUMBER(G1254),G1254&gt;0),('계산 과정'!$D$56+'계산 과정'!$D$57*D1254+'계산 과정'!$D$58*E1254)/F1254,"")</x:f>
        <x:v>-44.4683747373645</x:v>
      </x:c>
      <x:c r="I1254" s="4" t="n">
        <x:f>IF(AND(ISNUMBER(G1254),G1254&gt;0),('계산 과정'!$E$56+'계산 과정'!$E$57*D1254+'계산 과정'!$E$58*E1254)/F1254,"")</x:f>
        <x:v>-169.91236838454606</x:v>
      </x:c>
      <x:c r="J1254" s="4" t="n">
        <x:f>IF('계산 과정'!$L$5,'계산 과정'!$D$6+'계산 과정'!$C$35*D1254+'계산 과정'!$D$35*E1254,"")</x:f>
        <x:v>678.7454346070292</x:v>
      </x:c>
      <x:c r="K1254" s="4" t="n">
        <x:f>IF(AND('계산 과정'!$L$6,J1254&gt;0),'계산 과정'!$D$10*('계산 과정'!$C$38*(D1254-'계산 과정'!$C$32)+'계산 과정'!$D$38*(E1254-'계산 과정'!$D$32)-'계산 과정'!$E$38*'계산 과정'!$E$32)/J1254,"")</x:f>
        <x:v>-0.3388066646656332</x:v>
      </x:c>
      <x:c r="L1254" s="4" t="n">
        <x:f>IF(AND('계산 과정'!$L$6,J1254&gt;0),'계산 과정'!$D$10*('계산 과정'!$C$39*(D1254-'계산 과정'!$C$32)+'계산 과정'!$D$39*(E1254-'계산 과정'!$D$32)-'계산 과정'!$E$39*'계산 과정'!$E$32)/J1254,"")</x:f>
        <x:v>-1.2945704257870176</x:v>
      </x:c>
      <x:c r="M1254" s="17" t="n">
        <x:f>IF('계산 과정'!$L$6,IF(J1254&lt;=0,0,IF(AND(ABS(K1254)&lt;='계산 과정'!$D$11/2,ABS(L1254)&lt;='계산 과정'!$D$12/2),1,0)),"")</x:f>
        <x:v>1</x:v>
      </x:c>
      <x:c r="N1254" s="17" t="n">
        <x:f>IF('계산 과정'!$C$78,IF(AND(ISNUMBER(H1254),ISNUMBER(I1254),ABS(H1254-'계산 과정'!$C$88)&lt;='계산 과정'!$D$23/2,ABS(I1254-'계산 과정'!$C$89)&lt;='계산 과정'!$D$24/2),1,0),"")</x:f>
        <x:v>1</x:v>
      </x:c>
      <x:c r="O1254" s="4" t="n">
        <x:f>IF('계산 과정'!$L$7,'계산 과정'!$C$49*('계산 과정'!$C$32-D1254)+'계산 과정'!$D$49*('계산 과정'!$D$32-E1254)+'계산 과정'!$E$49*'계산 과정'!$E$32,"")</x:f>
        <x:v>-28.74543460702904</x:v>
      </x:c>
      <x:c r="P1254" s="4" t="n">
        <x:f>IF(AND('계산 과정'!$L$7,O1254&lt;&gt;0),('계산 과정'!$L$23-'계산 과정'!$C$49*D1254-'계산 과정'!$D$49*E1254)/O1254,"")</x:f>
        <x:v>-12.915253168661051</x:v>
      </x:c>
      <x:c r="Q1254" s="4" t="str">
        <x:f>IF(AND(ISNUMBER(P1254),P1254&gt;1E-9,P1254&lt;1-1E-9),'계산 과정'!$C$47*(D1254-'계산 과정'!$C$50+P1254*('계산 과정'!$C$32-D1254))+'계산 과정'!$D$47*(E1254-'계산 과정'!$D$50+P1254*('계산 과정'!$D$32-E1254))+'계산 과정'!$E$47*(0-'계산 과정'!$E$50+P1254*('계산 과정'!$E$32-0)),"")</x:f>
      </x:c>
      <x:c r="R1254" s="4" t="str">
        <x:f>IF(AND(ISNUMBER(P1254),P1254&gt;1E-9,P1254&lt;1-1E-9),'계산 과정'!$C$48*(D1254-'계산 과정'!$C$50+P1254*('계산 과정'!$C$32-D1254))+'계산 과정'!$D$48*(E1254-'계산 과정'!$D$50+P1254*('계산 과정'!$D$32-E1254))+'계산 과정'!$E$48*(0-'계산 과정'!$E$50+P1254*('계산 과정'!$E$32-0)),"")</x:f>
      </x:c>
      <x:c r="S1254" s="17" t="n">
        <x:f>IF('계산 과정'!$C$78,IF(AND(ISNUMBER(Q1254),ISNUMBER(R1254),ABS(Q1254-'계산 과정'!$C$88)&lt;='계산 과정'!$D$23/2,ABS(R1254-'계산 과정'!$C$89)&lt;='계산 과정'!$D$24/2),1,0),"")</x:f>
        <x:v>0</x:v>
      </x:c>
      <x:c r="T1254" s="4"/>
      <x:c r="U1254" s="4"/>
      <x:c r="V1254" s="4"/>
      <x:c r="W1254" s="4"/>
      <x:c r="X1254" s="4"/>
      <x:c r="Y1254" s="4"/>
      <x:c r="Z1254" s="4"/>
    </x:row>
    <x:row r="1255" ht="23" customHeight="1">
      <x:c r="A1255" s="17" t="n">
        <x:f>ROW()-6</x:f>
        <x:v>1249</x:v>
      </x:c>
      <x:c r="B1255" s="4" t="n">
        <x:f>IF('계산 과정'!$L$5,'계산 과정'!$L$11*SQRT((A1255+0.5)/'계산 과정'!$L$30),"")</x:f>
        <x:v>117.16406015578113</x:v>
      </x:c>
      <x:c r="C1255" s="4" t="n">
        <x:f>A1255*PI()*(3-SQRT(5))</x:f>
        <x:v>2997.5540739310877</x:v>
      </x:c>
      <x:c r="D1255" s="4" t="n">
        <x:f>IF('계산 과정'!$L$5,B1255*COS(C1255),"")</x:f>
        <x:v>104.2101584937174</x:v>
      </x:c>
      <x:c r="E1255" s="4" t="n">
        <x:f>IF('계산 과정'!$L$5,B1255*SIN(C1255),"")</x:f>
        <x:v>53.55053556129759</x:v>
      </x:c>
      <x:c r="F1255" s="4" t="n">
        <x:f>IF('계산 과정'!$L$7,'계산 과정'!$L$22+'계산 과정'!$C$49*D1255+'계산 과정'!$D$49*E1255,"")</x:f>
        <x:v>576.3122902605676</x:v>
      </x:c>
      <x:c r="G1255" s="4" t="n">
        <x:f>IF('계산 과정'!$L$7,IF(ABS(F1255)&gt;=1E-12*MAX(1,SQRT((D1255-'계산 과정'!$C$33)^2+(E1255-'계산 과정'!$D$33)^2+'계산 과정'!$E$33^2)),('계산 과정'!$L$23-'계산 과정'!$C$49*D1255-'계산 과정'!$D$49*E1255)/F1255,""),"")</x:f>
        <x:v>0.8219288704137552</x:v>
      </x:c>
      <x:c r="H1255" s="4" t="n">
        <x:f>IF(AND(ISNUMBER(G1255),G1255&gt;0),('계산 과정'!$D$56+'계산 과정'!$D$57*D1255+'계산 과정'!$D$58*E1255)/F1255,"")</x:f>
        <x:v>134.25376576894075</x:v>
      </x:c>
      <x:c r="I1255" s="4" t="n">
        <x:f>IF(AND(ISNUMBER(G1255),G1255&gt;0),('계산 과정'!$E$56+'계산 과정'!$E$57*D1255+'계산 과정'!$E$58*E1255)/F1255,"")</x:f>
        <x:v>97.56526676524653</x:v>
      </x:c>
      <x:c r="J1255" s="4" t="n">
        <x:f>IF('계산 과정'!$L$5,'계산 과정'!$D$6+'계산 과정'!$C$35*D1255+'계산 과정'!$D$35*E1255,"")</x:f>
        <x:v>576.3122902605676</x:v>
      </x:c>
      <x:c r="K1255" s="4" t="n">
        <x:f>IF(AND('계산 과정'!$L$6,J1255&gt;0),'계산 과정'!$D$10*('계산 과정'!$C$38*(D1255-'계산 과정'!$C$32)+'계산 과정'!$D$38*(E1255-'계산 과정'!$D$32)-'계산 과정'!$E$38*'계산 과정'!$E$32)/J1255,"")</x:f>
        <x:v>1.0228858344300256</x:v>
      </x:c>
      <x:c r="L1255" s="4" t="n">
        <x:f>IF(AND('계산 과정'!$L$6,J1255&gt;0),'계산 과정'!$D$10*('계산 과정'!$C$39*(D1255-'계산 과정'!$C$32)+'계산 과정'!$D$39*(E1255-'계산 과정'!$D$32)-'계산 과정'!$E$39*'계산 과정'!$E$32)/J1255,"")</x:f>
        <x:v>0.7433544134494975</x:v>
      </x:c>
      <x:c r="M1255" s="17" t="n">
        <x:f>IF('계산 과정'!$L$6,IF(J1255&lt;=0,0,IF(AND(ABS(K1255)&lt;='계산 과정'!$D$11/2,ABS(L1255)&lt;='계산 과정'!$D$12/2),1,0)),"")</x:f>
        <x:v>1</x:v>
      </x:c>
      <x:c r="N1255" s="17" t="n">
        <x:f>IF('계산 과정'!$C$78,IF(AND(ISNUMBER(H1255),ISNUMBER(I1255),ABS(H1255-'계산 과정'!$C$88)&lt;='계산 과정'!$D$23/2,ABS(I1255-'계산 과정'!$C$89)&lt;='계산 과정'!$D$24/2),1,0),"")</x:f>
        <x:v>1</x:v>
      </x:c>
      <x:c r="O1255" s="4" t="n">
        <x:f>IF('계산 과정'!$L$7,'계산 과정'!$C$49*('계산 과정'!$C$32-D1255)+'계산 과정'!$D$49*('계산 과정'!$D$32-E1255)+'계산 과정'!$E$49*'계산 과정'!$E$32,"")</x:f>
        <x:v>73.68770973943259</x:v>
      </x:c>
      <x:c r="P1255" s="4" t="n">
        <x:f>IF(AND('계산 과정'!$L$7,O1255&lt;&gt;0),('계산 과정'!$L$23-'계산 과정'!$C$49*D1255-'계산 과정'!$D$49*E1255)/O1255,"")</x:f>
        <x:v>6.428313641643111</x:v>
      </x:c>
      <x:c r="Q1255" s="4" t="str">
        <x:f>IF(AND(ISNUMBER(P1255),P1255&gt;1E-9,P1255&lt;1-1E-9),'계산 과정'!$C$47*(D1255-'계산 과정'!$C$50+P1255*('계산 과정'!$C$32-D1255))+'계산 과정'!$D$47*(E1255-'계산 과정'!$D$50+P1255*('계산 과정'!$D$32-E1255))+'계산 과정'!$E$47*(0-'계산 과정'!$E$50+P1255*('계산 과정'!$E$32-0)),"")</x:f>
      </x:c>
      <x:c r="R1255" s="4" t="str">
        <x:f>IF(AND(ISNUMBER(P1255),P1255&gt;1E-9,P1255&lt;1-1E-9),'계산 과정'!$C$48*(D1255-'계산 과정'!$C$50+P1255*('계산 과정'!$C$32-D1255))+'계산 과정'!$D$48*(E1255-'계산 과정'!$D$50+P1255*('계산 과정'!$D$32-E1255))+'계산 과정'!$E$48*(0-'계산 과정'!$E$50+P1255*('계산 과정'!$E$32-0)),"")</x:f>
      </x:c>
      <x:c r="S1255" s="17" t="n">
        <x:f>IF('계산 과정'!$C$78,IF(AND(ISNUMBER(Q1255),ISNUMBER(R1255),ABS(Q1255-'계산 과정'!$C$88)&lt;='계산 과정'!$D$23/2,ABS(R1255-'계산 과정'!$C$89)&lt;='계산 과정'!$D$24/2),1,0),"")</x:f>
        <x:v>0</x:v>
      </x:c>
      <x:c r="T1255" s="4"/>
      <x:c r="U1255" s="4"/>
      <x:c r="V1255" s="4"/>
      <x:c r="W1255" s="4"/>
      <x:c r="X1255" s="4"/>
      <x:c r="Y1255" s="4"/>
      <x:c r="Z1255" s="4"/>
    </x:row>
    <x:row r="1256" ht="23" customHeight="1">
      <x:c r="A1256" s="17" t="n">
        <x:f>ROW()-6</x:f>
        <x:v>1250</x:v>
      </x:c>
      <x:c r="B1256" s="4" t="n">
        <x:f>IF('계산 과정'!$L$5,'계산 과정'!$L$11*SQRT((A1256+0.5)/'계산 과정'!$L$30),"")</x:f>
        <x:v>117.21093515671862</x:v>
      </x:c>
      <x:c r="C1256" s="4" t="n">
        <x:f>A1256*PI()*(3-SQRT(5))</x:f>
        <x:v>2999.9540371608164</x:v>
      </x:c>
      <x:c r="D1256" s="4" t="n">
        <x:f>IF('계산 과정'!$L$5,B1256*COS(C1256),"")</x:f>
        <x:v>-113.05940939966337</x:v>
      </x:c>
      <x:c r="E1256" s="4" t="n">
        <x:f>IF('계산 과정'!$L$5,B1256*SIN(C1256),"")</x:f>
        <x:v>30.918817353058724</x:v>
      </x:c>
      <x:c r="F1256" s="4" t="n">
        <x:f>IF('계산 과정'!$L$7,'계산 과정'!$L$22+'계산 과정'!$C$49*D1256+'계산 과정'!$D$49*E1256,"")</x:f>
        <x:v>729.945075063448</x:v>
      </x:c>
      <x:c r="G1256" s="4" t="n">
        <x:f>IF('계산 과정'!$L$7,IF(ABS(F1256)&gt;=1E-12*MAX(1,SQRT((D1256-'계산 과정'!$C$33)^2+(E1256-'계산 과정'!$D$33)^2+'계산 과정'!$E$33^2)),('계산 과정'!$L$23-'계산 과정'!$C$49*D1256-'계산 과정'!$D$49*E1256)/F1256,""),"")</x:f>
        <x:v>0.43846439392543646</x:v>
      </x:c>
      <x:c r="H1256" s="4" t="n">
        <x:f>IF(AND(ISNUMBER(G1256),G1256&gt;0),('계산 과정'!$D$56+'계산 과정'!$D$57*D1256+'계산 과정'!$D$58*E1256)/F1256,"")</x:f>
        <x:v>-114.99814394846648</x:v>
      </x:c>
      <x:c r="I1256" s="4" t="n">
        <x:f>IF(AND(ISNUMBER(G1256),G1256&gt;0),('계산 과정'!$E$56+'계산 과정'!$E$57*D1256+'계산 과정'!$E$58*E1256)/F1256,"")</x:f>
        <x:v>44.475617864658886</x:v>
      </x:c>
      <x:c r="J1256" s="4" t="n">
        <x:f>IF('계산 과정'!$L$5,'계산 과정'!$D$6+'계산 과정'!$C$35*D1256+'계산 과정'!$D$35*E1256,"")</x:f>
        <x:v>729.945075063448</x:v>
      </x:c>
      <x:c r="K1256" s="4" t="n">
        <x:f>IF(AND('계산 과정'!$L$6,J1256&gt;0),'계산 과정'!$D$10*('계산 과정'!$C$38*(D1256-'계산 과정'!$C$32)+'계산 과정'!$D$38*(E1256-'계산 과정'!$D$32)-'계산 과정'!$E$38*'계산 과정'!$E$32)/J1256,"")</x:f>
        <x:v>-0.8761763348454581</x:v>
      </x:c>
      <x:c r="L1256" s="4" t="n">
        <x:f>IF(AND('계산 과정'!$L$6,J1256&gt;0),'계산 과정'!$D$10*('계산 과정'!$C$39*(D1256-'계산 과정'!$C$32)+'계산 과정'!$D$39*(E1256-'계산 과정'!$D$32)-'계산 과정'!$E$39*'계산 과정'!$E$32)/J1256,"")</x:f>
        <x:v>0.338861850397401</x:v>
      </x:c>
      <x:c r="M1256" s="17" t="n">
        <x:f>IF('계산 과정'!$L$6,IF(J1256&lt;=0,0,IF(AND(ABS(K1256)&lt;='계산 과정'!$D$11/2,ABS(L1256)&lt;='계산 과정'!$D$12/2),1,0)),"")</x:f>
        <x:v>1</x:v>
      </x:c>
      <x:c r="N1256" s="17" t="n">
        <x:f>IF('계산 과정'!$C$78,IF(AND(ISNUMBER(H1256),ISNUMBER(I1256),ABS(H1256-'계산 과정'!$C$88)&lt;='계산 과정'!$D$23/2,ABS(I1256-'계산 과정'!$C$89)&lt;='계산 과정'!$D$24/2),1,0),"")</x:f>
        <x:v>1</x:v>
      </x:c>
      <x:c r="O1256" s="4" t="n">
        <x:f>IF('계산 과정'!$L$7,'계산 과정'!$C$49*('계산 과정'!$C$32-D1256)+'계산 과정'!$D$49*('계산 과정'!$D$32-E1256)+'계산 과정'!$E$49*'계산 과정'!$E$32,"")</x:f>
        <x:v>-79.94507506344797</x:v>
      </x:c>
      <x:c r="P1256" s="4" t="n">
        <x:f>IF(AND('계산 과정'!$L$7,O1256&lt;&gt;0),('계산 과정'!$L$23-'계산 과정'!$C$49*D1256-'계산 과정'!$D$49*E1256)/O1256,"")</x:f>
        <x:v>-4.003435166988612</x:v>
      </x:c>
      <x:c r="Q1256" s="4" t="str">
        <x:f>IF(AND(ISNUMBER(P1256),P1256&gt;1E-9,P1256&lt;1-1E-9),'계산 과정'!$C$47*(D1256-'계산 과정'!$C$50+P1256*('계산 과정'!$C$32-D1256))+'계산 과정'!$D$47*(E1256-'계산 과정'!$D$50+P1256*('계산 과정'!$D$32-E1256))+'계산 과정'!$E$47*(0-'계산 과정'!$E$50+P1256*('계산 과정'!$E$32-0)),"")</x:f>
      </x:c>
      <x:c r="R1256" s="4" t="str">
        <x:f>IF(AND(ISNUMBER(P1256),P1256&gt;1E-9,P1256&lt;1-1E-9),'계산 과정'!$C$48*(D1256-'계산 과정'!$C$50+P1256*('계산 과정'!$C$32-D1256))+'계산 과정'!$D$48*(E1256-'계산 과정'!$D$50+P1256*('계산 과정'!$D$32-E1256))+'계산 과정'!$E$48*(0-'계산 과정'!$E$50+P1256*('계산 과정'!$E$32-0)),"")</x:f>
      </x:c>
      <x:c r="S1256" s="17" t="n">
        <x:f>IF('계산 과정'!$C$78,IF(AND(ISNUMBER(Q1256),ISNUMBER(R1256),ABS(Q1256-'계산 과정'!$C$88)&lt;='계산 과정'!$D$23/2,ABS(R1256-'계산 과정'!$C$89)&lt;='계산 과정'!$D$24/2),1,0),"")</x:f>
        <x:v>0</x:v>
      </x:c>
      <x:c r="T1256" s="4"/>
      <x:c r="U1256" s="4"/>
      <x:c r="V1256" s="4"/>
      <x:c r="W1256" s="4"/>
      <x:c r="X1256" s="4"/>
      <x:c r="Y1256" s="4"/>
      <x:c r="Z1256" s="4"/>
    </x:row>
    <x:row r="1257" ht="23" customHeight="1">
      <x:c r="A1257" s="17" t="n">
        <x:f>ROW()-6</x:f>
        <x:v>1251</x:v>
      </x:c>
      <x:c r="B1257" s="4" t="n">
        <x:f>IF('계산 과정'!$L$5,'계산 과정'!$L$11*SQRT((A1257+0.5)/'계산 과정'!$L$30),"")</x:f>
        <x:v>117.25779141889677</x:v>
      </x:c>
      <x:c r="C1257" s="4" t="n">
        <x:f>A1257*PI()*(3-SQRT(5))</x:f>
        <x:v>3002.3540003905446</x:v>
      </x:c>
      <x:c r="D1257" s="4" t="n">
        <x:f>IF('계산 과정'!$L$5,B1257*COS(C1257),"")</x:f>
        <x:v>62.50610629919833</x:v>
      </x:c>
      <x:c r="E1257" s="4" t="n">
        <x:f>IF('계산 과정'!$L$5,B1257*SIN(C1257),"")</x:f>
        <x:v>-99.20875124579898</x:v>
      </x:c>
      <x:c r="F1257" s="4" t="n">
        <x:f>IF('계산 과정'!$L$7,'계산 과정'!$L$22+'계산 과정'!$C$49*D1257+'계산 과정'!$D$49*E1257,"")</x:f>
        <x:v>605.8015083702697</x:v>
      </x:c>
      <x:c r="G1257" s="4" t="n">
        <x:f>IF('계산 과정'!$L$7,IF(ABS(F1257)&gt;=1E-12*MAX(1,SQRT((D1257-'계산 과정'!$C$33)^2+(E1257-'계산 과정'!$D$33)^2+'계산 과정'!$E$33^2)),('계산 과정'!$L$23-'계산 과정'!$C$49*D1257-'계산 과정'!$D$49*E1257)/F1257,""),"")</x:f>
        <x:v>0.7332409799122411</x:v>
      </x:c>
      <x:c r="H1257" s="4" t="n">
        <x:f>IF(AND(ISNUMBER(G1257),G1257&gt;0),('계산 과정'!$D$56+'계산 과정'!$D$57*D1257+'계산 과정'!$D$58*E1257)/F1257,"")</x:f>
        <x:v>76.60663694295665</x:v>
      </x:c>
      <x:c r="I1257" s="4" t="n">
        <x:f>IF(AND(ISNUMBER(G1257),G1257&gt;0),('계산 과정'!$E$56+'계산 과정'!$E$57*D1257+'계산 과정'!$E$58*E1257)/F1257,"")</x:f>
        <x:v>-171.9526732251384</x:v>
      </x:c>
      <x:c r="J1257" s="4" t="n">
        <x:f>IF('계산 과정'!$L$5,'계산 과정'!$D$6+'계산 과정'!$C$35*D1257+'계산 과정'!$D$35*E1257,"")</x:f>
        <x:v>605.8015083702697</x:v>
      </x:c>
      <x:c r="K1257" s="4" t="n">
        <x:f>IF(AND('계산 과정'!$L$6,J1257&gt;0),'계산 과정'!$D$10*('계산 과정'!$C$38*(D1257-'계산 과정'!$C$32)+'계산 과정'!$D$38*(E1257-'계산 과정'!$D$32)-'계산 과정'!$E$38*'계산 과정'!$E$32)/J1257,"")</x:f>
        <x:v>0.58366961480348</x:v>
      </x:c>
      <x:c r="L1257" s="4" t="n">
        <x:f>IF(AND('계산 과정'!$L$6,J1257&gt;0),'계산 과정'!$D$10*('계산 과정'!$C$39*(D1257-'계산 과정'!$C$32)+'계산 과정'!$D$39*(E1257-'계산 과정'!$D$32)-'계산 과정'!$E$39*'계산 과정'!$E$32)/J1257,"")</x:f>
        <x:v>-1.310115605524864</x:v>
      </x:c>
      <x:c r="M1257" s="17" t="n">
        <x:f>IF('계산 과정'!$L$6,IF(J1257&lt;=0,0,IF(AND(ABS(K1257)&lt;='계산 과정'!$D$11/2,ABS(L1257)&lt;='계산 과정'!$D$12/2),1,0)),"")</x:f>
        <x:v>1</x:v>
      </x:c>
      <x:c r="N1257" s="17" t="n">
        <x:f>IF('계산 과정'!$C$78,IF(AND(ISNUMBER(H1257),ISNUMBER(I1257),ABS(H1257-'계산 과정'!$C$88)&lt;='계산 과정'!$D$23/2,ABS(I1257-'계산 과정'!$C$89)&lt;='계산 과정'!$D$24/2),1,0),"")</x:f>
        <x:v>1</x:v>
      </x:c>
      <x:c r="O1257" s="4" t="n">
        <x:f>IF('계산 과정'!$L$7,'계산 과정'!$C$49*('계산 과정'!$C$32-D1257)+'계산 과정'!$D$49*('계산 과정'!$D$32-E1257)+'계산 과정'!$E$49*'계산 과정'!$E$32,"")</x:f>
        <x:v>44.19849162973043</x:v>
      </x:c>
      <x:c r="P1257" s="4" t="n">
        <x:f>IF(AND('계산 과정'!$L$7,O1257&lt;&gt;0),('계산 과정'!$L$23-'계산 과정'!$C$49*D1257-'계산 과정'!$D$49*E1257)/O1257,"")</x:f>
        <x:v>10.050082598993878</x:v>
      </x:c>
      <x:c r="Q1257" s="4" t="str">
        <x:f>IF(AND(ISNUMBER(P1257),P1257&gt;1E-9,P1257&lt;1-1E-9),'계산 과정'!$C$47*(D1257-'계산 과정'!$C$50+P1257*('계산 과정'!$C$32-D1257))+'계산 과정'!$D$47*(E1257-'계산 과정'!$D$50+P1257*('계산 과정'!$D$32-E1257))+'계산 과정'!$E$47*(0-'계산 과정'!$E$50+P1257*('계산 과정'!$E$32-0)),"")</x:f>
      </x:c>
      <x:c r="R1257" s="4" t="str">
        <x:f>IF(AND(ISNUMBER(P1257),P1257&gt;1E-9,P1257&lt;1-1E-9),'계산 과정'!$C$48*(D1257-'계산 과정'!$C$50+P1257*('계산 과정'!$C$32-D1257))+'계산 과정'!$D$48*(E1257-'계산 과정'!$D$50+P1257*('계산 과정'!$D$32-E1257))+'계산 과정'!$E$48*(0-'계산 과정'!$E$50+P1257*('계산 과정'!$E$32-0)),"")</x:f>
      </x:c>
      <x:c r="S1257" s="17" t="n">
        <x:f>IF('계산 과정'!$C$78,IF(AND(ISNUMBER(Q1257),ISNUMBER(R1257),ABS(Q1257-'계산 과정'!$C$88)&lt;='계산 과정'!$D$23/2,ABS(R1257-'계산 과정'!$C$89)&lt;='계산 과정'!$D$24/2),1,0),"")</x:f>
        <x:v>0</x:v>
      </x:c>
      <x:c r="T1257" s="4"/>
      <x:c r="U1257" s="4"/>
      <x:c r="V1257" s="4"/>
      <x:c r="W1257" s="4"/>
      <x:c r="X1257" s="4"/>
      <x:c r="Y1257" s="4"/>
      <x:c r="Z1257" s="4"/>
    </x:row>
    <x:row r="1258" ht="23" customHeight="1">
      <x:c r="A1258" s="17" t="n">
        <x:f>ROW()-6</x:f>
        <x:v>1252</x:v>
      </x:c>
      <x:c r="B1258" s="4" t="n">
        <x:f>IF('계산 과정'!$L$5,'계산 과정'!$L$11*SQRT((A1258+0.5)/'계산 과정'!$L$30),"")</x:f>
        <x:v>117.30462896477061</x:v>
      </x:c>
      <x:c r="C1258" s="4" t="n">
        <x:f>A1258*PI()*(3-SQRT(5))</x:f>
        <x:v>3004.753963620273</x:v>
      </x:c>
      <x:c r="D1258" s="4" t="n">
        <x:f>IF('계산 과정'!$L$5,B1258*COS(C1258),"")</x:f>
        <x:v>20.932849192897905</x:v>
      </x:c>
      <x:c r="E1258" s="4" t="n">
        <x:f>IF('계산 과정'!$L$5,B1258*SIN(C1258),"")</x:f>
        <x:v>115.42179950611536</x:v>
      </x:c>
      <x:c r="F1258" s="4" t="n">
        <x:f>IF('계산 과정'!$L$7,'계산 과정'!$L$22+'계산 과정'!$C$49*D1258+'계산 과정'!$D$49*E1258,"")</x:f>
        <x:v>635.1982403861465</x:v>
      </x:c>
      <x:c r="G1258" s="4" t="n">
        <x:f>IF('계산 과정'!$L$7,IF(ABS(F1258)&gt;=1E-12*MAX(1,SQRT((D1258-'계산 과정'!$C$33)^2+(E1258-'계산 과정'!$D$33)^2+'계산 과정'!$E$33^2)),('계산 과정'!$L$23-'계산 과정'!$C$49*D1258-'계산 과정'!$D$49*E1258)/F1258,""),"")</x:f>
        <x:v>0.6530272491965489</x:v>
      </x:c>
      <x:c r="H1258" s="4" t="n">
        <x:f>IF(AND(ISNUMBER(G1258),G1258&gt;0),('계산 과정'!$D$56+'계산 과정'!$D$57*D1258+'계산 과정'!$D$58*E1258)/F1258,"")</x:f>
        <x:v>24.467711977756643</x:v>
      </x:c>
      <x:c r="I1258" s="4" t="n">
        <x:f>IF(AND(ISNUMBER(G1258),G1258&gt;0),('계산 과정'!$E$56+'계산 과정'!$E$57*D1258+'계산 과정'!$E$58*E1258)/F1258,"")</x:f>
        <x:v>190.7953797349095</x:v>
      </x:c>
      <x:c r="J1258" s="4" t="n">
        <x:f>IF('계산 과정'!$L$5,'계산 과정'!$D$6+'계산 과정'!$C$35*D1258+'계산 과정'!$D$35*E1258,"")</x:f>
        <x:v>635.1982403861465</x:v>
      </x:c>
      <x:c r="K1258" s="4" t="n">
        <x:f>IF(AND('계산 과정'!$L$6,J1258&gt;0),'계산 과정'!$D$10*('계산 과정'!$C$38*(D1258-'계산 과정'!$C$32)+'계산 과정'!$D$38*(E1258-'계산 과정'!$D$32)-'계산 과정'!$E$38*'계산 과정'!$E$32)/J1258,"")</x:f>
        <x:v>0.18642066268767038</x:v>
      </x:c>
      <x:c r="L1258" s="4" t="n">
        <x:f>IF(AND('계산 과정'!$L$6,J1258&gt;0),'계산 과정'!$D$10*('계산 과정'!$C$39*(D1258-'계산 과정'!$C$32)+'계산 과정'!$D$39*(E1258-'계산 과정'!$D$32)-'계산 과정'!$E$39*'계산 과정'!$E$32)/J1258,"")</x:f>
        <x:v>1.4536790836945483</x:v>
      </x:c>
      <x:c r="M1258" s="17" t="n">
        <x:f>IF('계산 과정'!$L$6,IF(J1258&lt;=0,0,IF(AND(ABS(K1258)&lt;='계산 과정'!$D$11/2,ABS(L1258)&lt;='계산 과정'!$D$12/2),1,0)),"")</x:f>
        <x:v>1</x:v>
      </x:c>
      <x:c r="N1258" s="17" t="n">
        <x:f>IF('계산 과정'!$C$78,IF(AND(ISNUMBER(H1258),ISNUMBER(I1258),ABS(H1258-'계산 과정'!$C$88)&lt;='계산 과정'!$D$23/2,ABS(I1258-'계산 과정'!$C$89)&lt;='계산 과정'!$D$24/2),1,0),"")</x:f>
        <x:v>1</x:v>
      </x:c>
      <x:c r="O1258" s="4" t="n">
        <x:f>IF('계산 과정'!$L$7,'계산 과정'!$C$49*('계산 과정'!$C$32-D1258)+'계산 과정'!$D$49*('계산 과정'!$D$32-E1258)+'계산 과정'!$E$49*'계산 과정'!$E$32,"")</x:f>
        <x:v>14.801759613853562</x:v>
      </x:c>
      <x:c r="P1258" s="4" t="n">
        <x:f>IF(AND('계산 과정'!$L$7,O1258&lt;&gt;0),('계산 과정'!$L$23-'계산 과정'!$C$49*D1258-'계산 과정'!$D$49*E1258)/O1258,"")</x:f>
        <x:v>28.02381408934812</x:v>
      </x:c>
      <x:c r="Q1258" s="4" t="str">
        <x:f>IF(AND(ISNUMBER(P1258),P1258&gt;1E-9,P1258&lt;1-1E-9),'계산 과정'!$C$47*(D1258-'계산 과정'!$C$50+P1258*('계산 과정'!$C$32-D1258))+'계산 과정'!$D$47*(E1258-'계산 과정'!$D$50+P1258*('계산 과정'!$D$32-E1258))+'계산 과정'!$E$47*(0-'계산 과정'!$E$50+P1258*('계산 과정'!$E$32-0)),"")</x:f>
      </x:c>
      <x:c r="R1258" s="4" t="str">
        <x:f>IF(AND(ISNUMBER(P1258),P1258&gt;1E-9,P1258&lt;1-1E-9),'계산 과정'!$C$48*(D1258-'계산 과정'!$C$50+P1258*('계산 과정'!$C$32-D1258))+'계산 과정'!$D$48*(E1258-'계산 과정'!$D$50+P1258*('계산 과정'!$D$32-E1258))+'계산 과정'!$E$48*(0-'계산 과정'!$E$50+P1258*('계산 과정'!$E$32-0)),"")</x:f>
      </x:c>
      <x:c r="S1258" s="17" t="n">
        <x:f>IF('계산 과정'!$C$78,IF(AND(ISNUMBER(Q1258),ISNUMBER(R1258),ABS(Q1258-'계산 과정'!$C$88)&lt;='계산 과정'!$D$23/2,ABS(R1258-'계산 과정'!$C$89)&lt;='계산 과정'!$D$24/2),1,0),"")</x:f>
        <x:v>0</x:v>
      </x:c>
      <x:c r="T1258" s="4"/>
      <x:c r="U1258" s="4"/>
      <x:c r="V1258" s="4"/>
      <x:c r="W1258" s="4"/>
      <x:c r="X1258" s="4"/>
      <x:c r="Y1258" s="4"/>
      <x:c r="Z1258" s="4"/>
    </x:row>
    <x:row r="1259" ht="23" customHeight="1">
      <x:c r="A1259" s="17" t="n">
        <x:f>ROW()-6</x:f>
        <x:v>1253</x:v>
      </x:c>
      <x:c r="B1259" s="4" t="n">
        <x:f>IF('계산 과정'!$L$5,'계산 과정'!$L$11*SQRT((A1259+0.5)/'계산 과정'!$L$30),"")</x:f>
        <x:v>117.35144781675044</x:v>
      </x:c>
      <x:c r="C1259" s="4" t="n">
        <x:f>A1259*PI()*(3-SQRT(5))</x:f>
        <x:v>3007.1539268500023</x:v>
      </x:c>
      <x:c r="D1259" s="4" t="n">
        <x:f>IF('계산 과정'!$L$5,B1259*COS(C1259),"")</x:f>
        <x:v>-93.43881544019293</x:v>
      </x:c>
      <x:c r="E1259" s="4" t="n">
        <x:f>IF('계산 과정'!$L$5,B1259*SIN(C1259),"")</x:f>
        <x:v>-70.99683143507932</x:v>
      </x:c>
      <x:c r="F1259" s="4" t="n">
        <x:f>IF('계산 과정'!$L$7,'계산 과정'!$L$22+'계산 과정'!$C$49*D1259+'계산 과정'!$D$49*E1259,"")</x:f>
        <x:v>716.0712200237987</x:v>
      </x:c>
      <x:c r="G1259" s="4" t="n">
        <x:f>IF('계산 과정'!$L$7,IF(ABS(F1259)&gt;=1E-12*MAX(1,SQRT((D1259-'계산 과정'!$C$33)^2+(E1259-'계산 과정'!$D$33)^2+'계산 과정'!$E$33^2)),('계산 과정'!$L$23-'계산 과정'!$C$49*D1259-'계산 과정'!$D$49*E1259)/F1259,""),"")</x:f>
        <x:v>0.46633459164174085</x:v>
      </x:c>
      <x:c r="H1259" s="4" t="n">
        <x:f>IF(AND(ISNUMBER(G1259),G1259&gt;0),('계산 과정'!$D$56+'계산 과정'!$D$57*D1259+'계산 과정'!$D$58*E1259)/F1259,"")</x:f>
        <x:v>-96.8825154328686</x:v>
      </x:c>
      <x:c r="I1259" s="4" t="n">
        <x:f>IF(AND(ISNUMBER(G1259),G1259&gt;0),('계산 과정'!$E$56+'계산 과정'!$E$57*D1259+'계산 과정'!$E$58*E1259)/F1259,"")</x:f>
        <x:v>-104.10510983021454</x:v>
      </x:c>
      <x:c r="J1259" s="4" t="n">
        <x:f>IF('계산 과정'!$L$5,'계산 과정'!$D$6+'계산 과정'!$C$35*D1259+'계산 과정'!$D$35*E1259,"")</x:f>
        <x:v>716.0712200237987</x:v>
      </x:c>
      <x:c r="K1259" s="4" t="n">
        <x:f>IF(AND('계산 과정'!$L$6,J1259&gt;0),'계산 과정'!$D$10*('계산 과정'!$C$38*(D1259-'계산 과정'!$C$32)+'계산 과정'!$D$38*(E1259-'계산 과정'!$D$32)-'계산 과정'!$E$38*'계산 과정'!$E$32)/J1259,"")</x:f>
        <x:v>-0.7381524985361405</x:v>
      </x:c>
      <x:c r="L1259" s="4" t="n">
        <x:f>IF(AND('계산 과정'!$L$6,J1259&gt;0),'계산 과정'!$D$10*('계산 과정'!$C$39*(D1259-'계산 과정'!$C$32)+'계산 과정'!$D$39*(E1259-'계산 과정'!$D$32)-'계산 과정'!$E$39*'계산 과정'!$E$32)/J1259,"")</x:f>
        <x:v>-0.793181789182587</x:v>
      </x:c>
      <x:c r="M1259" s="17" t="n">
        <x:f>IF('계산 과정'!$L$6,IF(J1259&lt;=0,0,IF(AND(ABS(K1259)&lt;='계산 과정'!$D$11/2,ABS(L1259)&lt;='계산 과정'!$D$12/2),1,0)),"")</x:f>
        <x:v>1</x:v>
      </x:c>
      <x:c r="N1259" s="17" t="n">
        <x:f>IF('계산 과정'!$C$78,IF(AND(ISNUMBER(H1259),ISNUMBER(I1259),ABS(H1259-'계산 과정'!$C$88)&lt;='계산 과정'!$D$23/2,ABS(I1259-'계산 과정'!$C$89)&lt;='계산 과정'!$D$24/2),1,0),"")</x:f>
        <x:v>1</x:v>
      </x:c>
      <x:c r="O1259" s="4" t="n">
        <x:f>IF('계산 과정'!$L$7,'계산 과정'!$C$49*('계산 과정'!$C$32-D1259)+'계산 과정'!$D$49*('계산 과정'!$D$32-E1259)+'계산 과정'!$E$49*'계산 과정'!$E$32,"")</x:f>
        <x:v>-66.07122002379856</x:v>
      </x:c>
      <x:c r="P1259" s="4" t="n">
        <x:f>IF(AND('계산 과정'!$L$7,O1259&lt;&gt;0),('계산 과정'!$L$23-'계산 과정'!$C$49*D1259-'계산 과정'!$D$49*E1259)/O1259,"")</x:f>
        <x:v>-5.054073163109773</x:v>
      </x:c>
      <x:c r="Q1259" s="4" t="str">
        <x:f>IF(AND(ISNUMBER(P1259),P1259&gt;1E-9,P1259&lt;1-1E-9),'계산 과정'!$C$47*(D1259-'계산 과정'!$C$50+P1259*('계산 과정'!$C$32-D1259))+'계산 과정'!$D$47*(E1259-'계산 과정'!$D$50+P1259*('계산 과정'!$D$32-E1259))+'계산 과정'!$E$47*(0-'계산 과정'!$E$50+P1259*('계산 과정'!$E$32-0)),"")</x:f>
      </x:c>
      <x:c r="R1259" s="4" t="str">
        <x:f>IF(AND(ISNUMBER(P1259),P1259&gt;1E-9,P1259&lt;1-1E-9),'계산 과정'!$C$48*(D1259-'계산 과정'!$C$50+P1259*('계산 과정'!$C$32-D1259))+'계산 과정'!$D$48*(E1259-'계산 과정'!$D$50+P1259*('계산 과정'!$D$32-E1259))+'계산 과정'!$E$48*(0-'계산 과정'!$E$50+P1259*('계산 과정'!$E$32-0)),"")</x:f>
      </x:c>
      <x:c r="S1259" s="17" t="n">
        <x:f>IF('계산 과정'!$C$78,IF(AND(ISNUMBER(Q1259),ISNUMBER(R1259),ABS(Q1259-'계산 과정'!$C$88)&lt;='계산 과정'!$D$23/2,ABS(R1259-'계산 과정'!$C$89)&lt;='계산 과정'!$D$24/2),1,0),"")</x:f>
        <x:v>0</x:v>
      </x:c>
      <x:c r="T1259" s="4"/>
      <x:c r="U1259" s="4"/>
      <x:c r="V1259" s="4"/>
      <x:c r="W1259" s="4"/>
      <x:c r="X1259" s="4"/>
      <x:c r="Y1259" s="4"/>
      <x:c r="Z1259" s="4"/>
    </x:row>
    <x:row r="1260" ht="23" customHeight="1">
      <x:c r="A1260" s="17" t="n">
        <x:f>ROW()-6</x:f>
        <x:v>1254</x:v>
      </x:c>
      <x:c r="B1260" s="4" t="n">
        <x:f>IF('계산 과정'!$L$5,'계산 과정'!$L$11*SQRT((A1260+0.5)/'계산 과정'!$L$30),"")</x:f>
        <x:v>117.39824799720182</x:v>
      </x:c>
      <x:c r="C1260" s="4" t="n">
        <x:f>A1260*PI()*(3-SQRT(5))</x:f>
        <x:v>3009.5538900797305</x:v>
      </x:c>
      <x:c r="D1260" s="4" t="n">
        <x:f>IF('계산 과정'!$L$5,B1260*COS(C1260),"")</x:f>
        <x:v>116.90314787926583</x:v>
      </x:c>
      <x:c r="E1260" s="4" t="n">
        <x:f>IF('계산 과정'!$L$5,B1260*SIN(C1260),"")</x:f>
        <x:v>-10.770452577817055</x:v>
      </x:c>
      <x:c r="F1260" s="4" t="n">
        <x:f>IF('계산 과정'!$L$7,'계산 과정'!$L$22+'계산 과정'!$C$49*D1260+'계산 과정'!$D$49*E1260,"")</x:f>
        <x:v>567.3369913925173</x:v>
      </x:c>
      <x:c r="G1260" s="4" t="n">
        <x:f>IF('계산 과정'!$L$7,IF(ABS(F1260)&gt;=1E-12*MAX(1,SQRT((D1260-'계산 과정'!$C$33)^2+(E1260-'계산 과정'!$D$33)^2+'계산 과정'!$E$33^2)),('계산 과정'!$L$23-'계산 과정'!$C$49*D1260-'계산 과정'!$D$49*E1260)/F1260,""),"")</x:f>
        <x:v>0.8507518739837427</x:v>
      </x:c>
      <x:c r="H1260" s="4" t="n">
        <x:f>IF(AND(ISNUMBER(G1260),G1260&gt;0),('계산 과정'!$D$56+'계산 과정'!$D$57*D1260+'계산 과정'!$D$58*E1260)/F1260,"")</x:f>
        <x:v>152.98871808943267</x:v>
      </x:c>
      <x:c r="I1260" s="4" t="n">
        <x:f>IF(AND(ISNUMBER(G1260),G1260&gt;0),('계산 과정'!$E$56+'계산 과정'!$E$57*D1260+'계산 과정'!$E$58*E1260)/F1260,"")</x:f>
        <x:v>-19.933435292047946</x:v>
      </x:c>
      <x:c r="J1260" s="4" t="n">
        <x:f>IF('계산 과정'!$L$5,'계산 과정'!$D$6+'계산 과정'!$C$35*D1260+'계산 과정'!$D$35*E1260,"")</x:f>
        <x:v>567.3369913925173</x:v>
      </x:c>
      <x:c r="K1260" s="4" t="n">
        <x:f>IF(AND('계산 과정'!$L$6,J1260&gt;0),'계산 과정'!$D$10*('계산 과정'!$C$38*(D1260-'계산 과정'!$C$32)+'계산 과정'!$D$38*(E1260-'계산 과정'!$D$32)-'계산 과정'!$E$38*'계산 과정'!$E$32)/J1260,"")</x:f>
        <x:v>1.1656283283004398</x:v>
      </x:c>
      <x:c r="L1260" s="4" t="n">
        <x:f>IF(AND('계산 과정'!$L$6,J1260&gt;0),'계산 과정'!$D$10*('계산 과정'!$C$39*(D1260-'계산 과정'!$C$32)+'계산 과정'!$D$39*(E1260-'계산 과정'!$D$32)-'계산 과정'!$E$39*'계산 과정'!$E$32)/J1260,"")</x:f>
        <x:v>-0.1518737927013177</x:v>
      </x:c>
      <x:c r="M1260" s="17" t="n">
        <x:f>IF('계산 과정'!$L$6,IF(J1260&lt;=0,0,IF(AND(ABS(K1260)&lt;='계산 과정'!$D$11/2,ABS(L1260)&lt;='계산 과정'!$D$12/2),1,0)),"")</x:f>
        <x:v>1</x:v>
      </x:c>
      <x:c r="N1260" s="17" t="n">
        <x:f>IF('계산 과정'!$C$78,IF(AND(ISNUMBER(H1260),ISNUMBER(I1260),ABS(H1260-'계산 과정'!$C$88)&lt;='계산 과정'!$D$23/2,ABS(I1260-'계산 과정'!$C$89)&lt;='계산 과정'!$D$24/2),1,0),"")</x:f>
        <x:v>1</x:v>
      </x:c>
      <x:c r="O1260" s="4" t="n">
        <x:f>IF('계산 과정'!$L$7,'계산 과정'!$C$49*('계산 과정'!$C$32-D1260)+'계산 과정'!$D$49*('계산 과정'!$D$32-E1260)+'계산 과정'!$E$49*'계산 과정'!$E$32,"")</x:f>
        <x:v>82.66300860748274</x:v>
      </x:c>
      <x:c r="P1260" s="4" t="n">
        <x:f>IF(AND('계산 과정'!$L$7,O1260&lt;&gt;0),('계산 과정'!$L$23-'계산 과정'!$C$49*D1260-'계산 과정'!$D$49*E1260)/O1260,"")</x:f>
        <x:v>5.838923803262001</x:v>
      </x:c>
      <x:c r="Q1260" s="4" t="str">
        <x:f>IF(AND(ISNUMBER(P1260),P1260&gt;1E-9,P1260&lt;1-1E-9),'계산 과정'!$C$47*(D1260-'계산 과정'!$C$50+P1260*('계산 과정'!$C$32-D1260))+'계산 과정'!$D$47*(E1260-'계산 과정'!$D$50+P1260*('계산 과정'!$D$32-E1260))+'계산 과정'!$E$47*(0-'계산 과정'!$E$50+P1260*('계산 과정'!$E$32-0)),"")</x:f>
      </x:c>
      <x:c r="R1260" s="4" t="str">
        <x:f>IF(AND(ISNUMBER(P1260),P1260&gt;1E-9,P1260&lt;1-1E-9),'계산 과정'!$C$48*(D1260-'계산 과정'!$C$50+P1260*('계산 과정'!$C$32-D1260))+'계산 과정'!$D$48*(E1260-'계산 과정'!$D$50+P1260*('계산 과정'!$D$32-E1260))+'계산 과정'!$E$48*(0-'계산 과정'!$E$50+P1260*('계산 과정'!$E$32-0)),"")</x:f>
      </x:c>
      <x:c r="S1260" s="17" t="n">
        <x:f>IF('계산 과정'!$C$78,IF(AND(ISNUMBER(Q1260),ISNUMBER(R1260),ABS(Q1260-'계산 과정'!$C$88)&lt;='계산 과정'!$D$23/2,ABS(R1260-'계산 과정'!$C$89)&lt;='계산 과정'!$D$24/2),1,0),"")</x:f>
        <x:v>0</x:v>
      </x:c>
      <x:c r="T1260" s="4"/>
      <x:c r="U1260" s="4"/>
      <x:c r="V1260" s="4"/>
      <x:c r="W1260" s="4"/>
      <x:c r="X1260" s="4"/>
      <x:c r="Y1260" s="4"/>
      <x:c r="Z1260" s="4"/>
    </x:row>
    <x:row r="1261" ht="23" customHeight="1">
      <x:c r="A1261" s="17" t="n">
        <x:f>ROW()-6</x:f>
        <x:v>1255</x:v>
      </x:c>
      <x:c r="B1261" s="4" t="n">
        <x:f>IF('계산 과정'!$L$5,'계산 과정'!$L$11*SQRT((A1261+0.5)/'계산 과정'!$L$30),"")</x:f>
        <x:v>117.44502952844577</x:v>
      </x:c>
      <x:c r="C1261" s="4" t="n">
        <x:f>A1261*PI()*(3-SQRT(5))</x:f>
        <x:v>3011.953853309459</x:v>
      </x:c>
      <x:c r="D1261" s="4" t="n">
        <x:f>IF('계산 과정'!$L$5,B1261*COS(C1261),"")</x:f>
        <x:v>-78.95685746594198</x:v>
      </x:c>
      <x:c r="E1261" s="4" t="n">
        <x:f>IF('계산 과정'!$L$5,B1261*SIN(C1261),"")</x:f>
        <x:v>86.94337019025902</x:v>
      </x:c>
      <x:c r="F1261" s="4" t="n">
        <x:f>IF('계산 과정'!$L$7,'계산 과정'!$L$22+'계산 과정'!$C$49*D1261+'계산 과정'!$D$49*E1261,"")</x:f>
        <x:v>705.8309293353473</x:v>
      </x:c>
      <x:c r="G1261" s="4" t="n">
        <x:f>IF('계산 과정'!$L$7,IF(ABS(F1261)&gt;=1E-12*MAX(1,SQRT((D1261-'계산 과정'!$C$33)^2+(E1261-'계산 과정'!$D$33)^2+'계산 과정'!$E$33^2)),('계산 과정'!$L$23-'계산 과정'!$C$49*D1261-'계산 과정'!$D$49*E1261)/F1261,""),"")</x:f>
        <x:v>0.48760837243097715</x:v>
      </x:c>
      <x:c r="H1261" s="4" t="n">
        <x:f>IF(AND(ISNUMBER(G1261),G1261&gt;0),('계산 과정'!$D$56+'계산 과정'!$D$57*D1261+'계산 과정'!$D$58*E1261)/F1261,"")</x:f>
        <x:v>-83.05455791986495</x:v>
      </x:c>
      <x:c r="I1261" s="4" t="n">
        <x:f>IF(AND(ISNUMBER(G1261),G1261&gt;0),('계산 과정'!$E$56+'계산 과정'!$E$57*D1261+'계산 과정'!$E$58*E1261)/F1261,"")</x:f>
        <x:v>129.33768542239514</x:v>
      </x:c>
      <x:c r="J1261" s="4" t="n">
        <x:f>IF('계산 과정'!$L$5,'계산 과정'!$D$6+'계산 과정'!$C$35*D1261+'계산 과정'!$D$35*E1261,"")</x:f>
        <x:v>705.8309293353473</x:v>
      </x:c>
      <x:c r="K1261" s="4" t="n">
        <x:f>IF(AND('계산 과정'!$L$6,J1261&gt;0),'계산 과정'!$D$10*('계산 과정'!$C$38*(D1261-'계산 과정'!$C$32)+'계산 과정'!$D$38*(E1261-'계산 과정'!$D$32)-'계산 과정'!$E$38*'계산 과정'!$E$32)/J1261,"")</x:f>
        <x:v>-0.6327966317703988</x:v>
      </x:c>
      <x:c r="L1261" s="4" t="n">
        <x:f>IF(AND('계산 과정'!$L$6,J1261&gt;0),'계산 과정'!$D$10*('계산 과정'!$C$39*(D1261-'계산 과정'!$C$32)+'계산 과정'!$D$39*(E1261-'계산 과정'!$D$32)-'계산 과정'!$E$39*'계산 과정'!$E$32)/J1261,"")</x:f>
        <x:v>0.9854299841706298</x:v>
      </x:c>
      <x:c r="M1261" s="17" t="n">
        <x:f>IF('계산 과정'!$L$6,IF(J1261&lt;=0,0,IF(AND(ABS(K1261)&lt;='계산 과정'!$D$11/2,ABS(L1261)&lt;='계산 과정'!$D$12/2),1,0)),"")</x:f>
        <x:v>1</x:v>
      </x:c>
      <x:c r="N1261" s="17" t="n">
        <x:f>IF('계산 과정'!$C$78,IF(AND(ISNUMBER(H1261),ISNUMBER(I1261),ABS(H1261-'계산 과정'!$C$88)&lt;='계산 과정'!$D$23/2,ABS(I1261-'계산 과정'!$C$89)&lt;='계산 과정'!$D$24/2),1,0),"")</x:f>
        <x:v>1</x:v>
      </x:c>
      <x:c r="O1261" s="4" t="n">
        <x:f>IF('계산 과정'!$L$7,'계산 과정'!$C$49*('계산 과정'!$C$32-D1261)+'계산 과정'!$D$49*('계산 과정'!$D$32-E1261)+'계산 과정'!$E$49*'계산 과정'!$E$32,"")</x:f>
        <x:v>-55.83092933534715</x:v>
      </x:c>
      <x:c r="P1261" s="4" t="n">
        <x:f>IF(AND('계산 과정'!$L$7,O1261&lt;&gt;0),('계산 과정'!$L$23-'계산 과정'!$C$49*D1261-'계산 과정'!$D$49*E1261)/O1261,"")</x:f>
        <x:v>-6.164487583529362</x:v>
      </x:c>
      <x:c r="Q1261" s="4" t="str">
        <x:f>IF(AND(ISNUMBER(P1261),P1261&gt;1E-9,P1261&lt;1-1E-9),'계산 과정'!$C$47*(D1261-'계산 과정'!$C$50+P1261*('계산 과정'!$C$32-D1261))+'계산 과정'!$D$47*(E1261-'계산 과정'!$D$50+P1261*('계산 과정'!$D$32-E1261))+'계산 과정'!$E$47*(0-'계산 과정'!$E$50+P1261*('계산 과정'!$E$32-0)),"")</x:f>
      </x:c>
      <x:c r="R1261" s="4" t="str">
        <x:f>IF(AND(ISNUMBER(P1261),P1261&gt;1E-9,P1261&lt;1-1E-9),'계산 과정'!$C$48*(D1261-'계산 과정'!$C$50+P1261*('계산 과정'!$C$32-D1261))+'계산 과정'!$D$48*(E1261-'계산 과정'!$D$50+P1261*('계산 과정'!$D$32-E1261))+'계산 과정'!$E$48*(0-'계산 과정'!$E$50+P1261*('계산 과정'!$E$32-0)),"")</x:f>
      </x:c>
      <x:c r="S1261" s="17" t="n">
        <x:f>IF('계산 과정'!$C$78,IF(AND(ISNUMBER(Q1261),ISNUMBER(R1261),ABS(Q1261-'계산 과정'!$C$88)&lt;='계산 과정'!$D$23/2,ABS(R1261-'계산 과정'!$C$89)&lt;='계산 과정'!$D$24/2),1,0),"")</x:f>
        <x:v>0</x:v>
      </x:c>
      <x:c r="T1261" s="4"/>
      <x:c r="U1261" s="4"/>
      <x:c r="V1261" s="4"/>
      <x:c r="W1261" s="4"/>
      <x:c r="X1261" s="4"/>
      <x:c r="Y1261" s="4"/>
      <x:c r="Z1261" s="4"/>
    </x:row>
    <x:row r="1262" ht="23" customHeight="1">
      <x:c r="A1262" s="17" t="n">
        <x:f>ROW()-6</x:f>
        <x:v>1256</x:v>
      </x:c>
      <x:c r="B1262" s="4" t="n">
        <x:f>IF('계산 과정'!$L$5,'계산 과정'!$L$11*SQRT((A1262+0.5)/'계산 과정'!$L$30),"")</x:f>
        <x:v>117.4917924327589</x:v>
      </x:c>
      <x:c r="C1262" s="4" t="n">
        <x:f>A1262*PI()*(3-SQRT(5))</x:f>
        <x:v>3014.353816539188</x:v>
      </x:c>
      <x:c r="D1262" s="4" t="n">
        <x:f>IF('계산 과정'!$L$5,B1262*COS(C1262),"")</x:f>
        <x:v>-0.5092760045802381</x:v>
      </x:c>
      <x:c r="E1262" s="4" t="n">
        <x:f>IF('계산 과정'!$L$5,B1262*SIN(C1262),"")</x:f>
        <x:v>-117.49068868218308</x:v>
      </x:c>
      <x:c r="F1262" s="4" t="n">
        <x:f>IF('계산 과정'!$L$7,'계산 과정'!$L$22+'계산 과정'!$C$49*D1262+'계산 과정'!$D$49*E1262,"")</x:f>
        <x:v>650.3601125163343</x:v>
      </x:c>
      <x:c r="G1262" s="4" t="n">
        <x:f>IF('계산 과정'!$L$7,IF(ABS(F1262)&gt;=1E-12*MAX(1,SQRT((D1262-'계산 과정'!$C$33)^2+(E1262-'계산 과정'!$D$33)^2+'계산 과정'!$E$33^2)),('계산 과정'!$L$23-'계산 과정'!$C$49*D1262-'계산 과정'!$D$49*E1262)/F1262,""),"")</x:f>
        <x:v>0.6144901567493171</x:v>
      </x:c>
      <x:c r="H1262" s="4" t="n">
        <x:f>IF(AND(ISNUMBER(G1262),G1262&gt;0),('계산 과정'!$D$56+'계산 과정'!$D$57*D1262+'계산 과정'!$D$58*E1262)/F1262,"")</x:f>
        <x:v>-0.5813981129440327</x:v>
      </x:c>
      <x:c r="I1262" s="4" t="n">
        <x:f>IF(AND(ISNUMBER(G1262),G1262&gt;0),('계산 과정'!$E$56+'계산 과정'!$E$57*D1262+'계산 과정'!$E$58*E1262)/F1262,"")</x:f>
        <x:v>-189.68756038708295</x:v>
      </x:c>
      <x:c r="J1262" s="4" t="n">
        <x:f>IF('계산 과정'!$L$5,'계산 과정'!$D$6+'계산 과정'!$C$35*D1262+'계산 과정'!$D$35*E1262,"")</x:f>
        <x:v>650.3601125163343</x:v>
      </x:c>
      <x:c r="K1262" s="4" t="n">
        <x:f>IF(AND('계산 과정'!$L$6,J1262&gt;0),'계산 과정'!$D$10*('계산 과정'!$C$38*(D1262-'계산 과정'!$C$32)+'계산 과정'!$D$38*(E1262-'계산 과정'!$D$32)-'계산 과정'!$E$38*'계산 과정'!$E$32)/J1262,"")</x:f>
        <x:v>-0.004429699908143858</x:v>
      </x:c>
      <x:c r="L1262" s="4" t="n">
        <x:f>IF(AND('계산 과정'!$L$6,J1262&gt;0),'계산 과정'!$D$10*('계산 과정'!$C$39*(D1262-'계산 과정'!$C$32)+'계산 과정'!$D$39*(E1262-'계산 과정'!$D$32)-'계산 과정'!$E$39*'계산 과정'!$E$32)/J1262,"")</x:f>
        <x:v>-1.4452385553301559</x:v>
      </x:c>
      <x:c r="M1262" s="17" t="n">
        <x:f>IF('계산 과정'!$L$6,IF(J1262&lt;=0,0,IF(AND(ABS(K1262)&lt;='계산 과정'!$D$11/2,ABS(L1262)&lt;='계산 과정'!$D$12/2),1,0)),"")</x:f>
        <x:v>1</x:v>
      </x:c>
      <x:c r="N1262" s="17" t="n">
        <x:f>IF('계산 과정'!$C$78,IF(AND(ISNUMBER(H1262),ISNUMBER(I1262),ABS(H1262-'계산 과정'!$C$88)&lt;='계산 과정'!$D$23/2,ABS(I1262-'계산 과정'!$C$89)&lt;='계산 과정'!$D$24/2),1,0),"")</x:f>
        <x:v>1</x:v>
      </x:c>
      <x:c r="O1262" s="4" t="n">
        <x:f>IF('계산 과정'!$L$7,'계산 과정'!$C$49*('계산 과정'!$C$32-D1262)+'계산 과정'!$D$49*('계산 과정'!$D$32-E1262)+'계산 과정'!$E$49*'계산 과정'!$E$32,"")</x:f>
        <x:v>-0.36011251633414076</x:v>
      </x:c>
      <x:c r="P1262" s="4" t="n">
        <x:f>IF(AND('계산 과정'!$L$7,O1262&lt;&gt;0),('계산 과정'!$L$23-'계산 과정'!$C$49*D1262-'계산 과정'!$D$49*E1262)/O1262,"")</x:f>
        <x:v>-1109.7639469794167</x:v>
      </x:c>
      <x:c r="Q1262" s="4" t="str">
        <x:f>IF(AND(ISNUMBER(P1262),P1262&gt;1E-9,P1262&lt;1-1E-9),'계산 과정'!$C$47*(D1262-'계산 과정'!$C$50+P1262*('계산 과정'!$C$32-D1262))+'계산 과정'!$D$47*(E1262-'계산 과정'!$D$50+P1262*('계산 과정'!$D$32-E1262))+'계산 과정'!$E$47*(0-'계산 과정'!$E$50+P1262*('계산 과정'!$E$32-0)),"")</x:f>
      </x:c>
      <x:c r="R1262" s="4" t="str">
        <x:f>IF(AND(ISNUMBER(P1262),P1262&gt;1E-9,P1262&lt;1-1E-9),'계산 과정'!$C$48*(D1262-'계산 과정'!$C$50+P1262*('계산 과정'!$C$32-D1262))+'계산 과정'!$D$48*(E1262-'계산 과정'!$D$50+P1262*('계산 과정'!$D$32-E1262))+'계산 과정'!$E$48*(0-'계산 과정'!$E$50+P1262*('계산 과정'!$E$32-0)),"")</x:f>
      </x:c>
      <x:c r="S1262" s="17" t="n">
        <x:f>IF('계산 과정'!$C$78,IF(AND(ISNUMBER(Q1262),ISNUMBER(R1262),ABS(Q1262-'계산 과정'!$C$88)&lt;='계산 과정'!$D$23/2,ABS(R1262-'계산 과정'!$C$89)&lt;='계산 과정'!$D$24/2),1,0),"")</x:f>
        <x:v>0</x:v>
      </x:c>
      <x:c r="T1262" s="4"/>
      <x:c r="U1262" s="4"/>
      <x:c r="V1262" s="4"/>
      <x:c r="W1262" s="4"/>
      <x:c r="X1262" s="4"/>
      <x:c r="Y1262" s="4"/>
      <x:c r="Z1262" s="4"/>
    </x:row>
    <x:row r="1263" ht="23" customHeight="1">
      <x:c r="A1263" s="17" t="n">
        <x:f>ROW()-6</x:f>
        <x:v>1257</x:v>
      </x:c>
      <x:c r="B1263" s="4" t="n">
        <x:f>IF('계산 과정'!$L$5,'계산 과정'!$L$11*SQRT((A1263+0.5)/'계산 과정'!$L$30),"")</x:f>
        <x:v>117.53853673237344</x:v>
      </x:c>
      <x:c r="C1263" s="4" t="n">
        <x:f>A1263*PI()*(3-SQRT(5))</x:f>
        <x:v>3016.753779768917</x:v>
      </x:c>
      <x:c r="D1263" s="4" t="n">
        <x:f>IF('계산 과정'!$L$5,B1263*COS(C1263),"")</x:f>
        <x:v>79.77106857402187</x:v>
      </x:c>
      <x:c r="E1263" s="4" t="n">
        <x:f>IF('계산 과정'!$L$5,B1263*SIN(C1263),"")</x:f>
        <x:v>86.32429690270406</x:v>
      </x:c>
      <x:c r="F1263" s="4" t="n">
        <x:f>IF('계산 과정'!$L$7,'계산 과정'!$L$22+'계산 과정'!$C$49*D1263+'계산 과정'!$D$49*E1263,"")</x:f>
        <x:v>593.593336468812</x:v>
      </x:c>
      <x:c r="G1263" s="4" t="n">
        <x:f>IF('계산 과정'!$L$7,IF(ABS(F1263)&gt;=1E-12*MAX(1,SQRT((D1263-'계산 과정'!$C$33)^2+(E1263-'계산 과정'!$D$33)^2+'계산 과정'!$E$33^2)),('계산 과정'!$L$23-'계산 과정'!$C$49*D1263-'계산 과정'!$D$49*E1263)/F1263,""),"")</x:f>
        <x:v>0.7688877813997631</x:v>
      </x:c>
      <x:c r="H1263" s="4" t="n">
        <x:f>IF(AND(ISNUMBER(G1263),G1263&gt;0),('계산 과정'!$D$56+'계산 과정'!$D$57*D1263+'계산 과정'!$D$58*E1263)/F1263,"")</x:f>
        <x:v>99.7770579098459</x:v>
      </x:c>
      <x:c r="I1263" s="4" t="n">
        <x:f>IF(AND(ISNUMBER(G1263),G1263&gt;0),('계산 과정'!$E$56+'계산 과정'!$E$57*D1263+'계산 과정'!$E$58*E1263)/F1263,"")</x:f>
        <x:v>152.69799402911863</x:v>
      </x:c>
      <x:c r="J1263" s="4" t="n">
        <x:f>IF('계산 과정'!$L$5,'계산 과정'!$D$6+'계산 과정'!$C$35*D1263+'계산 과정'!$D$35*E1263,"")</x:f>
        <x:v>593.593336468812</x:v>
      </x:c>
      <x:c r="K1263" s="4" t="n">
        <x:f>IF(AND('계산 과정'!$L$6,J1263&gt;0),'계산 과정'!$D$10*('계산 과정'!$C$38*(D1263-'계산 과정'!$C$32)+'계산 과정'!$D$38*(E1263-'계산 과정'!$D$32)-'계산 과정'!$E$38*'계산 과정'!$E$32)/J1263,"")</x:f>
        <x:v>0.7602061555035887</x:v>
      </x:c>
      <x:c r="L1263" s="4" t="n">
        <x:f>IF(AND('계산 과정'!$L$6,J1263&gt;0),'계산 과정'!$D$10*('계산 과정'!$C$39*(D1263-'계산 과정'!$C$32)+'계산 과정'!$D$39*(E1263-'계산 과정'!$D$32)-'계산 과정'!$E$39*'계산 과정'!$E$32)/J1263,"")</x:f>
        <x:v>1.1634132878409038</x:v>
      </x:c>
      <x:c r="M1263" s="17" t="n">
        <x:f>IF('계산 과정'!$L$6,IF(J1263&lt;=0,0,IF(AND(ABS(K1263)&lt;='계산 과정'!$D$11/2,ABS(L1263)&lt;='계산 과정'!$D$12/2),1,0)),"")</x:f>
        <x:v>1</x:v>
      </x:c>
      <x:c r="N1263" s="17" t="n">
        <x:f>IF('계산 과정'!$C$78,IF(AND(ISNUMBER(H1263),ISNUMBER(I1263),ABS(H1263-'계산 과정'!$C$88)&lt;='계산 과정'!$D$23/2,ABS(I1263-'계산 과정'!$C$89)&lt;='계산 과정'!$D$24/2),1,0),"")</x:f>
        <x:v>1</x:v>
      </x:c>
      <x:c r="O1263" s="4" t="n">
        <x:f>IF('계산 과정'!$L$7,'계산 과정'!$C$49*('계산 과정'!$C$32-D1263)+'계산 과정'!$D$49*('계산 과정'!$D$32-E1263)+'계산 과정'!$E$49*'계산 과정'!$E$32,"")</x:f>
        <x:v>56.40666353118803</x:v>
      </x:c>
      <x:c r="P1263" s="4" t="n">
        <x:f>IF(AND('계산 과정'!$L$7,O1263&lt;&gt;0),('계산 과정'!$L$23-'계산 과정'!$C$49*D1263-'계산 과정'!$D$49*E1263)/O1263,"")</x:f>
        <x:v>8.091360753483219</x:v>
      </x:c>
      <x:c r="Q1263" s="4" t="str">
        <x:f>IF(AND(ISNUMBER(P1263),P1263&gt;1E-9,P1263&lt;1-1E-9),'계산 과정'!$C$47*(D1263-'계산 과정'!$C$50+P1263*('계산 과정'!$C$32-D1263))+'계산 과정'!$D$47*(E1263-'계산 과정'!$D$50+P1263*('계산 과정'!$D$32-E1263))+'계산 과정'!$E$47*(0-'계산 과정'!$E$50+P1263*('계산 과정'!$E$32-0)),"")</x:f>
      </x:c>
      <x:c r="R1263" s="4" t="str">
        <x:f>IF(AND(ISNUMBER(P1263),P1263&gt;1E-9,P1263&lt;1-1E-9),'계산 과정'!$C$48*(D1263-'계산 과정'!$C$50+P1263*('계산 과정'!$C$32-D1263))+'계산 과정'!$D$48*(E1263-'계산 과정'!$D$50+P1263*('계산 과정'!$D$32-E1263))+'계산 과정'!$E$48*(0-'계산 과정'!$E$50+P1263*('계산 과정'!$E$32-0)),"")</x:f>
      </x:c>
      <x:c r="S1263" s="17" t="n">
        <x:f>IF('계산 과정'!$C$78,IF(AND(ISNUMBER(Q1263),ISNUMBER(R1263),ABS(Q1263-'계산 과정'!$C$88)&lt;='계산 과정'!$D$23/2,ABS(R1263-'계산 과정'!$C$89)&lt;='계산 과정'!$D$24/2),1,0),"")</x:f>
        <x:v>0</x:v>
      </x:c>
      <x:c r="T1263" s="4"/>
      <x:c r="U1263" s="4"/>
      <x:c r="V1263" s="4"/>
      <x:c r="W1263" s="4"/>
      <x:c r="X1263" s="4"/>
      <x:c r="Y1263" s="4"/>
      <x:c r="Z1263" s="4"/>
    </x:row>
    <x:row r="1264" ht="23" customHeight="1">
      <x:c r="A1264" s="17" t="n">
        <x:f>ROW()-6</x:f>
        <x:v>1258</x:v>
      </x:c>
      <x:c r="B1264" s="4" t="n">
        <x:f>IF('계산 과정'!$L$5,'계산 과정'!$L$11*SQRT((A1264+0.5)/'계산 과정'!$L$30),"")</x:f>
        <x:v>117.58526244947748</x:v>
      </x:c>
      <x:c r="C1264" s="4" t="n">
        <x:f>A1264*PI()*(3-SQRT(5))</x:f>
        <x:v>3019.153742998645</x:v>
      </x:c>
      <x:c r="D1264" s="4" t="n">
        <x:f>IF('계산 과정'!$L$5,B1264*COS(C1264),"")</x:f>
        <x:v>-117.1784921300688</x:v>
      </x:c>
      <x:c r="E1264" s="4" t="n">
        <x:f>IF('계산 과정'!$L$5,B1264*SIN(C1264),"")</x:f>
        <x:v>-9.772150604442478</x:v>
      </x:c>
      <x:c r="F1264" s="4" t="n">
        <x:f>IF('계산 과정'!$L$7,'계산 과정'!$L$22+'계산 과정'!$C$49*D1264+'계산 과정'!$D$49*E1264,"")</x:f>
        <x:v>732.8577063943861</x:v>
      </x:c>
      <x:c r="G1264" s="4" t="n">
        <x:f>IF('계산 과정'!$L$7,IF(ABS(F1264)&gt;=1E-12*MAX(1,SQRT((D1264-'계산 과정'!$C$33)^2+(E1264-'계산 과정'!$D$33)^2+'계산 과정'!$E$33^2)),('계산 과정'!$L$23-'계산 과정'!$C$49*D1264-'계산 과정'!$D$49*E1264)/F1264,""),"")</x:f>
        <x:v>0.43274743628737156</x:v>
      </x:c>
      <x:c r="H1264" s="4" t="n">
        <x:f>IF(AND(ISNUMBER(G1264),G1264&gt;0),('계산 과정'!$D$56+'계산 과정'!$D$57*D1264+'계산 과정'!$D$58*E1264)/F1264,"")</x:f>
        <x:v>-118.71416641320862</x:v>
      </x:c>
      <x:c r="I1264" s="4" t="n">
        <x:f>IF(AND(ISNUMBER(G1264),G1264&gt;0),('계산 과정'!$E$56+'계산 과정'!$E$57*D1264+'계산 과정'!$E$58*E1264)/F1264,"")</x:f>
        <x:v>-14.001023725529048</x:v>
      </x:c>
      <x:c r="J1264" s="4" t="n">
        <x:f>IF('계산 과정'!$L$5,'계산 과정'!$D$6+'계산 과정'!$C$35*D1264+'계산 과정'!$D$35*E1264,"")</x:f>
        <x:v>732.8577063943861</x:v>
      </x:c>
      <x:c r="K1264" s="4" t="n">
        <x:f>IF(AND('계산 과정'!$L$6,J1264&gt;0),'계산 과정'!$D$10*('계산 과정'!$C$38*(D1264-'계산 과정'!$C$32)+'계산 과정'!$D$38*(E1264-'계산 과정'!$D$32)-'계산 과정'!$E$38*'계산 과정'!$E$32)/J1264,"")</x:f>
        <x:v>-0.9044888869577788</x:v>
      </x:c>
      <x:c r="L1264" s="4" t="n">
        <x:f>IF(AND('계산 과정'!$L$6,J1264&gt;0),'계산 과정'!$D$10*('계산 과정'!$C$39*(D1264-'계산 과정'!$C$32)+'계산 과정'!$D$39*(E1264-'계산 과정'!$D$32)-'계산 과정'!$E$39*'계산 과정'!$E$32)/J1264,"")</x:f>
        <x:v>-0.10667446648022133</x:v>
      </x:c>
      <x:c r="M1264" s="17" t="n">
        <x:f>IF('계산 과정'!$L$6,IF(J1264&lt;=0,0,IF(AND(ABS(K1264)&lt;='계산 과정'!$D$11/2,ABS(L1264)&lt;='계산 과정'!$D$12/2),1,0)),"")</x:f>
        <x:v>1</x:v>
      </x:c>
      <x:c r="N1264" s="17" t="n">
        <x:f>IF('계산 과정'!$C$78,IF(AND(ISNUMBER(H1264),ISNUMBER(I1264),ABS(H1264-'계산 과정'!$C$88)&lt;='계산 과정'!$D$23/2,ABS(I1264-'계산 과정'!$C$89)&lt;='계산 과정'!$D$24/2),1,0),"")</x:f>
        <x:v>1</x:v>
      </x:c>
      <x:c r="O1264" s="4" t="n">
        <x:f>IF('계산 과정'!$L$7,'계산 과정'!$C$49*('계산 과정'!$C$32-D1264)+'계산 과정'!$D$49*('계산 과정'!$D$32-E1264)+'계산 과정'!$E$49*'계산 과정'!$E$32,"")</x:f>
        <x:v>-82.85770639438601</x:v>
      </x:c>
      <x:c r="P1264" s="4" t="n">
        <x:f>IF(AND('계산 과정'!$L$7,O1264&lt;&gt;0),('계산 과정'!$L$23-'계산 과정'!$C$49*D1264-'계산 과정'!$D$49*E1264)/O1264,"")</x:f>
        <x:v>-3.8275533732020093</x:v>
      </x:c>
      <x:c r="Q1264" s="4" t="str">
        <x:f>IF(AND(ISNUMBER(P1264),P1264&gt;1E-9,P1264&lt;1-1E-9),'계산 과정'!$C$47*(D1264-'계산 과정'!$C$50+P1264*('계산 과정'!$C$32-D1264))+'계산 과정'!$D$47*(E1264-'계산 과정'!$D$50+P1264*('계산 과정'!$D$32-E1264))+'계산 과정'!$E$47*(0-'계산 과정'!$E$50+P1264*('계산 과정'!$E$32-0)),"")</x:f>
      </x:c>
      <x:c r="R1264" s="4" t="str">
        <x:f>IF(AND(ISNUMBER(P1264),P1264&gt;1E-9,P1264&lt;1-1E-9),'계산 과정'!$C$48*(D1264-'계산 과정'!$C$50+P1264*('계산 과정'!$C$32-D1264))+'계산 과정'!$D$48*(E1264-'계산 과정'!$D$50+P1264*('계산 과정'!$D$32-E1264))+'계산 과정'!$E$48*(0-'계산 과정'!$E$50+P1264*('계산 과정'!$E$32-0)),"")</x:f>
      </x:c>
      <x:c r="S1264" s="17" t="n">
        <x:f>IF('계산 과정'!$C$78,IF(AND(ISNUMBER(Q1264),ISNUMBER(R1264),ABS(Q1264-'계산 과정'!$C$88)&lt;='계산 과정'!$D$23/2,ABS(R1264-'계산 과정'!$C$89)&lt;='계산 과정'!$D$24/2),1,0),"")</x:f>
        <x:v>0</x:v>
      </x:c>
      <x:c r="T1264" s="4"/>
      <x:c r="U1264" s="4"/>
      <x:c r="V1264" s="4"/>
      <x:c r="W1264" s="4"/>
      <x:c r="X1264" s="4"/>
      <x:c r="Y1264" s="4"/>
      <x:c r="Z1264" s="4"/>
    </x:row>
    <x:row r="1265" ht="23" customHeight="1">
      <x:c r="A1265" s="17" t="n">
        <x:f>ROW()-6</x:f>
        <x:v>1259</x:v>
      </x:c>
      <x:c r="B1265" s="4" t="n">
        <x:f>IF('계산 과정'!$L$5,'계산 과정'!$L$11*SQRT((A1265+0.5)/'계산 과정'!$L$30),"")</x:f>
        <x:v>117.63196960621504</x:v>
      </x:c>
      <x:c r="C1265" s="4" t="n">
        <x:f>A1265*PI()*(3-SQRT(5))</x:f>
        <x:v>3021.553706228374</x:v>
      </x:c>
      <x:c r="D1265" s="4" t="n">
        <x:f>IF('계산 과정'!$L$5,B1265*COS(C1265),"")</x:f>
        <x:v>93.04170946902023</x:v>
      </x:c>
      <x:c r="E1265" s="4" t="n">
        <x:f>IF('계산 과정'!$L$5,B1265*SIN(C1265),"")</x:f>
        <x:v>-71.97583325339089</x:v>
      </x:c>
      <x:c r="F1265" s="4" t="n">
        <x:f>IF('계산 과정'!$L$7,'계산 과정'!$L$22+'계산 과정'!$C$49*D1265+'계산 과정'!$D$49*E1265,"")</x:f>
        <x:v>584.2095763012671</x:v>
      </x:c>
      <x:c r="G1265" s="4" t="n">
        <x:f>IF('계산 과정'!$L$7,IF(ABS(F1265)&gt;=1E-12*MAX(1,SQRT((D1265-'계산 과정'!$C$33)^2+(E1265-'계산 과정'!$D$33)^2+'계산 과정'!$E$33^2)),('계산 과정'!$L$23-'계산 과정'!$C$49*D1265-'계산 과정'!$D$49*E1265)/F1265,""),"")</x:f>
        <x:v>0.7973002199788188</x:v>
      </x:c>
      <x:c r="H1265" s="4" t="n">
        <x:f>IF(AND(ISNUMBER(G1265),G1265&gt;0),('계산 과정'!$D$56+'계산 과정'!$D$57*D1265+'계산 과정'!$D$58*E1265)/F1265,"")</x:f>
        <x:v>118.24514298623211</x:v>
      </x:c>
      <x:c r="I1265" s="4" t="n">
        <x:f>IF(AND(ISNUMBER(G1265),G1265&gt;0),('계산 과정'!$E$56+'계산 과정'!$E$57*D1265+'계산 과정'!$E$58*E1265)/F1265,"")</x:f>
        <x:v>-129.36218093947824</x:v>
      </x:c>
      <x:c r="J1265" s="4" t="n">
        <x:f>IF('계산 과정'!$L$5,'계산 과정'!$D$6+'계산 과정'!$C$35*D1265+'계산 과정'!$D$35*E1265,"")</x:f>
        <x:v>584.2095763012671</x:v>
      </x:c>
      <x:c r="K1265" s="4" t="n">
        <x:f>IF(AND('계산 과정'!$L$6,J1265&gt;0),'계산 과정'!$D$10*('계산 과정'!$C$38*(D1265-'계산 과정'!$C$32)+'계산 과정'!$D$38*(E1265-'계산 과정'!$D$32)-'계산 과정'!$E$38*'계산 과정'!$E$32)/J1265,"")</x:f>
        <x:v>0.9009153751331983</x:v>
      </x:c>
      <x:c r="L1265" s="4" t="n">
        <x:f>IF(AND('계산 과정'!$L$6,J1265&gt;0),'계산 과정'!$D$10*('계산 과정'!$C$39*(D1265-'계산 과정'!$C$32)+'계산 과정'!$D$39*(E1265-'계산 과정'!$D$32)-'계산 과정'!$E$39*'계산 과정'!$E$32)/J1265,"")</x:f>
        <x:v>-0.9856166166817389</x:v>
      </x:c>
      <x:c r="M1265" s="17" t="n">
        <x:f>IF('계산 과정'!$L$6,IF(J1265&lt;=0,0,IF(AND(ABS(K1265)&lt;='계산 과정'!$D$11/2,ABS(L1265)&lt;='계산 과정'!$D$12/2),1,0)),"")</x:f>
        <x:v>1</x:v>
      </x:c>
      <x:c r="N1265" s="17" t="n">
        <x:f>IF('계산 과정'!$C$78,IF(AND(ISNUMBER(H1265),ISNUMBER(I1265),ABS(H1265-'계산 과정'!$C$88)&lt;='계산 과정'!$D$23/2,ABS(I1265-'계산 과정'!$C$89)&lt;='계산 과정'!$D$24/2),1,0),"")</x:f>
        <x:v>1</x:v>
      </x:c>
      <x:c r="O1265" s="4" t="n">
        <x:f>IF('계산 과정'!$L$7,'계산 과정'!$C$49*('계산 과정'!$C$32-D1265)+'계산 과정'!$D$49*('계산 과정'!$D$32-E1265)+'계산 과정'!$E$49*'계산 과정'!$E$32,"")</x:f>
        <x:v>65.79042369873292</x:v>
      </x:c>
      <x:c r="P1265" s="4" t="n">
        <x:f>IF(AND('계산 과정'!$L$7,O1265&lt;&gt;0),('계산 과정'!$L$23-'계산 과정'!$C$49*D1265-'계산 과정'!$D$49*E1265)/O1265,"")</x:f>
        <x:v>7.079912204725679</x:v>
      </x:c>
      <x:c r="Q1265" s="4" t="str">
        <x:f>IF(AND(ISNUMBER(P1265),P1265&gt;1E-9,P1265&lt;1-1E-9),'계산 과정'!$C$47*(D1265-'계산 과정'!$C$50+P1265*('계산 과정'!$C$32-D1265))+'계산 과정'!$D$47*(E1265-'계산 과정'!$D$50+P1265*('계산 과정'!$D$32-E1265))+'계산 과정'!$E$47*(0-'계산 과정'!$E$50+P1265*('계산 과정'!$E$32-0)),"")</x:f>
      </x:c>
      <x:c r="R1265" s="4" t="str">
        <x:f>IF(AND(ISNUMBER(P1265),P1265&gt;1E-9,P1265&lt;1-1E-9),'계산 과정'!$C$48*(D1265-'계산 과정'!$C$50+P1265*('계산 과정'!$C$32-D1265))+'계산 과정'!$D$48*(E1265-'계산 과정'!$D$50+P1265*('계산 과정'!$D$32-E1265))+'계산 과정'!$E$48*(0-'계산 과정'!$E$50+P1265*('계산 과정'!$E$32-0)),"")</x:f>
      </x:c>
      <x:c r="S1265" s="17" t="n">
        <x:f>IF('계산 과정'!$C$78,IF(AND(ISNUMBER(Q1265),ISNUMBER(R1265),ABS(Q1265-'계산 과정'!$C$88)&lt;='계산 과정'!$D$23/2,ABS(R1265-'계산 과정'!$C$89)&lt;='계산 과정'!$D$24/2),1,0),"")</x:f>
        <x:v>0</x:v>
      </x:c>
      <x:c r="T1265" s="4"/>
      <x:c r="U1265" s="4"/>
      <x:c r="V1265" s="4"/>
      <x:c r="W1265" s="4"/>
      <x:c r="X1265" s="4"/>
      <x:c r="Y1265" s="4"/>
      <x:c r="Z1265" s="4"/>
    </x:row>
    <x:row r="1266" ht="23" customHeight="1">
      <x:c r="A1266" s="17" t="n">
        <x:f>ROW()-6</x:f>
        <x:v>1260</x:v>
      </x:c>
      <x:c r="B1266" s="4" t="n">
        <x:f>IF('계산 과정'!$L$5,'계산 과정'!$L$11*SQRT((A1266+0.5)/'계산 과정'!$L$30),"")</x:f>
        <x:v>117.67865822468617</x:v>
      </x:c>
      <x:c r="C1266" s="4" t="n">
        <x:f>A1266*PI()*(3-SQRT(5))</x:f>
        <x:v>3023.953669458103</x:v>
      </x:c>
      <x:c r="D1266" s="4" t="n">
        <x:f>IF('계산 과정'!$L$5,B1266*COS(C1266),"")</x:f>
        <x:v>-19.995017098569612</x:v>
      </x:c>
      <x:c r="E1266" s="4" t="n">
        <x:f>IF('계산 과정'!$L$5,B1266*SIN(C1266),"")</x:f>
        <x:v>115.96752085299748</x:v>
      </x:c>
      <x:c r="F1266" s="4" t="n">
        <x:f>IF('계산 과정'!$L$7,'계산 과정'!$L$22+'계산 과정'!$C$49*D1266+'계산 과정'!$D$49*E1266,"")</x:f>
        <x:v>664.1386121803396</x:v>
      </x:c>
      <x:c r="G1266" s="4" t="n">
        <x:f>IF('계산 과정'!$L$7,IF(ABS(F1266)&gt;=1E-12*MAX(1,SQRT((D1266-'계산 과정'!$C$33)^2+(E1266-'계산 과정'!$D$33)^2+'계산 과정'!$E$33^2)),('계산 과정'!$L$23-'계산 과정'!$C$49*D1266-'계산 과정'!$D$49*E1266)/F1266,""),"")</x:f>
        <x:v>0.58099526325219</x:v>
      </x:c>
      <x:c r="H1266" s="4" t="n">
        <x:f>IF(AND(ISNUMBER(G1266),G1266&gt;0),('계산 과정'!$D$56+'계산 과정'!$D$57*D1266+'계산 과정'!$D$58*E1266)/F1266,"")</x:f>
        <x:v>-22.353078886076645</x:v>
      </x:c>
      <x:c r="I1266" s="4" t="n">
        <x:f>IF(AND(ISNUMBER(G1266),G1266&gt;0),('계산 과정'!$E$56+'계산 과정'!$E$57*D1266+'계산 과정'!$E$58*E1266)/F1266,"")</x:f>
        <x:v>183.34410115968856</x:v>
      </x:c>
      <x:c r="J1266" s="4" t="n">
        <x:f>IF('계산 과정'!$L$5,'계산 과정'!$D$6+'계산 과정'!$C$35*D1266+'계산 과정'!$D$35*E1266,"")</x:f>
        <x:v>664.1386121803396</x:v>
      </x:c>
      <x:c r="K1266" s="4" t="n">
        <x:f>IF(AND('계산 과정'!$L$6,J1266&gt;0),'계산 과정'!$D$10*('계산 과정'!$C$38*(D1266-'계산 과정'!$C$32)+'계산 과정'!$D$38*(E1266-'계산 과정'!$D$32)-'계산 과정'!$E$38*'계산 과정'!$E$32)/J1266,"")</x:f>
        <x:v>-0.17030917246534477</x:v>
      </x:c>
      <x:c r="L1266" s="4" t="n">
        <x:f>IF(AND('계산 과정'!$L$6,J1266&gt;0),'계산 과정'!$D$10*('계산 과정'!$C$39*(D1266-'계산 과정'!$C$32)+'계산 과정'!$D$39*(E1266-'계산 과정'!$D$32)-'계산 과정'!$E$39*'계산 과정'!$E$32)/J1266,"")</x:f>
        <x:v>1.396907437407151</x:v>
      </x:c>
      <x:c r="M1266" s="17" t="n">
        <x:f>IF('계산 과정'!$L$6,IF(J1266&lt;=0,0,IF(AND(ABS(K1266)&lt;='계산 과정'!$D$11/2,ABS(L1266)&lt;='계산 과정'!$D$12/2),1,0)),"")</x:f>
        <x:v>1</x:v>
      </x:c>
      <x:c r="N1266" s="17" t="n">
        <x:f>IF('계산 과정'!$C$78,IF(AND(ISNUMBER(H1266),ISNUMBER(I1266),ABS(H1266-'계산 과정'!$C$88)&lt;='계산 과정'!$D$23/2,ABS(I1266-'계산 과정'!$C$89)&lt;='계산 과정'!$D$24/2),1,0),"")</x:f>
        <x:v>1</x:v>
      </x:c>
      <x:c r="O1266" s="4" t="n">
        <x:f>IF('계산 과정'!$L$7,'계산 과정'!$C$49*('계산 과정'!$C$32-D1266)+'계산 과정'!$D$49*('계산 과정'!$D$32-E1266)+'계산 과정'!$E$49*'계산 과정'!$E$32,"")</x:f>
        <x:v>-14.138612180339464</x:v>
      </x:c>
      <x:c r="P1266" s="4" t="n">
        <x:f>IF(AND('계산 과정'!$L$7,O1266&lt;&gt;0),('계산 과정'!$L$23-'계산 과정'!$C$49*D1266-'계산 과정'!$D$49*E1266)/O1266,"")</x:f>
        <x:v>-27.291319890379512</x:v>
      </x:c>
      <x:c r="Q1266" s="4" t="str">
        <x:f>IF(AND(ISNUMBER(P1266),P1266&gt;1E-9,P1266&lt;1-1E-9),'계산 과정'!$C$47*(D1266-'계산 과정'!$C$50+P1266*('계산 과정'!$C$32-D1266))+'계산 과정'!$D$47*(E1266-'계산 과정'!$D$50+P1266*('계산 과정'!$D$32-E1266))+'계산 과정'!$E$47*(0-'계산 과정'!$E$50+P1266*('계산 과정'!$E$32-0)),"")</x:f>
      </x:c>
      <x:c r="R1266" s="4" t="str">
        <x:f>IF(AND(ISNUMBER(P1266),P1266&gt;1E-9,P1266&lt;1-1E-9),'계산 과정'!$C$48*(D1266-'계산 과정'!$C$50+P1266*('계산 과정'!$C$32-D1266))+'계산 과정'!$D$48*(E1266-'계산 과정'!$D$50+P1266*('계산 과정'!$D$32-E1266))+'계산 과정'!$E$48*(0-'계산 과정'!$E$50+P1266*('계산 과정'!$E$32-0)),"")</x:f>
      </x:c>
      <x:c r="S1266" s="17" t="n">
        <x:f>IF('계산 과정'!$C$78,IF(AND(ISNUMBER(Q1266),ISNUMBER(R1266),ABS(Q1266-'계산 과정'!$C$88)&lt;='계산 과정'!$D$23/2,ABS(R1266-'계산 과정'!$C$89)&lt;='계산 과정'!$D$24/2),1,0),"")</x:f>
        <x:v>0</x:v>
      </x:c>
      <x:c r="T1266" s="4"/>
      <x:c r="U1266" s="4"/>
      <x:c r="V1266" s="4"/>
      <x:c r="W1266" s="4"/>
      <x:c r="X1266" s="4"/>
      <x:c r="Y1266" s="4"/>
      <x:c r="Z1266" s="4"/>
    </x:row>
    <x:row r="1267" ht="23" customHeight="1">
      <x:c r="A1267" s="17" t="n">
        <x:f>ROW()-6</x:f>
        <x:v>1261</x:v>
      </x:c>
      <x:c r="B1267" s="4" t="n">
        <x:f>IF('계산 과정'!$L$5,'계산 과정'!$L$11*SQRT((A1267+0.5)/'계산 과정'!$L$30),"")</x:f>
        <x:v>117.72532832694712</x:v>
      </x:c>
      <x:c r="C1267" s="4" t="n">
        <x:f>A1267*PI()*(3-SQRT(5))</x:f>
        <x:v>3026.3536326878316</x:v>
      </x:c>
      <x:c r="D1267" s="4" t="n">
        <x:f>IF('계산 과정'!$L$5,B1267*COS(C1267),"")</x:f>
        <x:v>-63.61645106562277</x:v>
      </x:c>
      <x:c r="E1267" s="4" t="n">
        <x:f>IF('계산 과정'!$L$5,B1267*SIN(C1267),"")</x:f>
        <x:v>-99.05654992731537</x:v>
      </x:c>
      <x:c r="F1267" s="4" t="n">
        <x:f>IF('계산 과정'!$L$7,'계산 과정'!$L$22+'계산 과정'!$C$49*D1267+'계산 과정'!$D$49*E1267,"")</x:f>
        <x:v>694.983623943524</x:v>
      </x:c>
      <x:c r="G1267" s="4" t="n">
        <x:f>IF('계산 과정'!$L$7,IF(ABS(F1267)&gt;=1E-12*MAX(1,SQRT((D1267-'계산 과정'!$C$33)^2+(E1267-'계산 과정'!$D$33)^2+'계산 과정'!$E$33^2)),('계산 과정'!$L$23-'계산 과정'!$C$49*D1267-'계산 과정'!$D$49*E1267)/F1267,""),"")</x:f>
        <x:v>0.5108269660254979</x:v>
      </x:c>
      <x:c r="H1267" s="4" t="n">
        <x:f>IF(AND(ISNUMBER(G1267),G1267&gt;0),('계산 과정'!$D$56+'계산 과정'!$D$57*D1267+'계산 과정'!$D$58*E1267)/F1267,"")</x:f>
        <x:v>-67.96247208342648</x:v>
      </x:c>
      <x:c r="I1267" s="4" t="n">
        <x:f>IF(AND(ISNUMBER(G1267),G1267&gt;0),('계산 과정'!$E$56+'계산 과정'!$E$57*D1267+'계산 과정'!$E$58*E1267)/F1267,"")</x:f>
        <x:v>-149.65730679163914</x:v>
      </x:c>
      <x:c r="J1267" s="4" t="n">
        <x:f>IF('계산 과정'!$L$5,'계산 과정'!$D$6+'계산 과정'!$C$35*D1267+'계산 과정'!$D$35*E1267,"")</x:f>
        <x:v>694.983623943524</x:v>
      </x:c>
      <x:c r="K1267" s="4" t="n">
        <x:f>IF(AND('계산 과정'!$L$6,J1267&gt;0),'계산 과정'!$D$10*('계산 과정'!$C$38*(D1267-'계산 과정'!$C$32)+'계산 과정'!$D$38*(E1267-'계산 과정'!$D$32)-'계산 과정'!$E$38*'계산 과정'!$E$32)/J1267,"")</x:f>
        <x:v>-0.5178093111118199</x:v>
      </x:c>
      <x:c r="L1267" s="4" t="n">
        <x:f>IF(AND('계산 과정'!$L$6,J1267&gt;0),'계산 과정'!$D$10*('계산 과정'!$C$39*(D1267-'계산 과정'!$C$32)+'계산 과정'!$D$39*(E1267-'계산 과정'!$D$32)-'계산 과정'!$E$39*'계산 과정'!$E$32)/J1267,"")</x:f>
        <x:v>-1.1402461469839174</x:v>
      </x:c>
      <x:c r="M1267" s="17" t="n">
        <x:f>IF('계산 과정'!$L$6,IF(J1267&lt;=0,0,IF(AND(ABS(K1267)&lt;='계산 과정'!$D$11/2,ABS(L1267)&lt;='계산 과정'!$D$12/2),1,0)),"")</x:f>
        <x:v>1</x:v>
      </x:c>
      <x:c r="N1267" s="17" t="n">
        <x:f>IF('계산 과정'!$C$78,IF(AND(ISNUMBER(H1267),ISNUMBER(I1267),ABS(H1267-'계산 과정'!$C$88)&lt;='계산 과정'!$D$23/2,ABS(I1267-'계산 과정'!$C$89)&lt;='계산 과정'!$D$24/2),1,0),"")</x:f>
        <x:v>1</x:v>
      </x:c>
      <x:c r="O1267" s="4" t="n">
        <x:f>IF('계산 과정'!$L$7,'계산 과정'!$C$49*('계산 과정'!$C$32-D1267)+'계산 과정'!$D$49*('계산 과정'!$D$32-E1267)+'계산 과정'!$E$49*'계산 과정'!$E$32,"")</x:f>
        <x:v>-44.983623943523924</x:v>
      </x:c>
      <x:c r="P1267" s="4" t="n">
        <x:f>IF(AND('계산 과정'!$L$7,O1267&lt;&gt;0),('계산 과정'!$L$23-'계산 과정'!$C$49*D1267-'계산 과정'!$D$49*E1267)/O1267,"")</x:f>
        <x:v>-7.8921248430804996</x:v>
      </x:c>
      <x:c r="Q1267" s="4" t="str">
        <x:f>IF(AND(ISNUMBER(P1267),P1267&gt;1E-9,P1267&lt;1-1E-9),'계산 과정'!$C$47*(D1267-'계산 과정'!$C$50+P1267*('계산 과정'!$C$32-D1267))+'계산 과정'!$D$47*(E1267-'계산 과정'!$D$50+P1267*('계산 과정'!$D$32-E1267))+'계산 과정'!$E$47*(0-'계산 과정'!$E$50+P1267*('계산 과정'!$E$32-0)),"")</x:f>
      </x:c>
      <x:c r="R1267" s="4" t="str">
        <x:f>IF(AND(ISNUMBER(P1267),P1267&gt;1E-9,P1267&lt;1-1E-9),'계산 과정'!$C$48*(D1267-'계산 과정'!$C$50+P1267*('계산 과정'!$C$32-D1267))+'계산 과정'!$D$48*(E1267-'계산 과정'!$D$50+P1267*('계산 과정'!$D$32-E1267))+'계산 과정'!$E$48*(0-'계산 과정'!$E$50+P1267*('계산 과정'!$E$32-0)),"")</x:f>
      </x:c>
      <x:c r="S1267" s="17" t="n">
        <x:f>IF('계산 과정'!$C$78,IF(AND(ISNUMBER(Q1267),ISNUMBER(R1267),ABS(Q1267-'계산 과정'!$C$88)&lt;='계산 과정'!$D$23/2,ABS(R1267-'계산 과정'!$C$89)&lt;='계산 과정'!$D$24/2),1,0),"")</x:f>
        <x:v>0</x:v>
      </x:c>
      <x:c r="T1267" s="4"/>
      <x:c r="U1267" s="4"/>
      <x:c r="V1267" s="4"/>
      <x:c r="W1267" s="4"/>
      <x:c r="X1267" s="4"/>
      <x:c r="Y1267" s="4"/>
      <x:c r="Z1267" s="4"/>
    </x:row>
    <x:row r="1268" ht="23" customHeight="1">
      <x:c r="A1268" s="17" t="n">
        <x:f>ROW()-6</x:f>
        <x:v>1262</x:v>
      </x:c>
      <x:c r="B1268" s="4" t="n">
        <x:f>IF('계산 과정'!$L$5,'계산 과정'!$L$11*SQRT((A1268+0.5)/'계산 과정'!$L$30),"")</x:f>
        <x:v>117.77197993501044</x:v>
      </x:c>
      <x:c r="C1268" s="4" t="n">
        <x:f>A1268*PI()*(3-SQRT(5))</x:f>
        <x:v>3028.75359591756</x:v>
      </x:c>
      <x:c r="D1268" s="4" t="n">
        <x:f>IF('계산 과정'!$L$5,B1268*COS(C1268),"")</x:f>
        <x:v>113.86563344220367</x:v>
      </x:c>
      <x:c r="E1268" s="4" t="n">
        <x:f>IF('계산 과정'!$L$5,B1268*SIN(C1268),"")</x:f>
        <x:v>30.080837398885823</x:v>
      </x:c>
      <x:c r="F1268" s="4" t="n">
        <x:f>IF('계산 과정'!$L$7,'계산 과정'!$L$22+'계산 과정'!$C$49*D1268+'계산 과정'!$D$49*E1268,"")</x:f>
        <x:v>569.4848384489161</x:v>
      </x:c>
      <x:c r="G1268" s="4" t="n">
        <x:f>IF('계산 과정'!$L$7,IF(ABS(F1268)&gt;=1E-12*MAX(1,SQRT((D1268-'계산 과정'!$C$33)^2+(E1268-'계산 과정'!$D$33)^2+'계산 과정'!$E$33^2)),('계산 과정'!$L$23-'계산 과정'!$C$49*D1268-'계산 과정'!$D$49*E1268)/F1268,""),"")</x:f>
        <x:v>0.8437716495839371</x:v>
      </x:c>
      <x:c r="H1268" s="4" t="n">
        <x:f>IF(AND(ISNUMBER(G1268),G1268&gt;0),('계산 과정'!$D$56+'계산 과정'!$D$57*D1268+'계산 과정'!$D$58*E1268)/F1268,"")</x:f>
        <x:v>148.45157222955916</x:v>
      </x:c>
      <x:c r="I1268" s="4" t="n">
        <x:f>IF(AND(ISNUMBER(G1268),G1268&gt;0),('계산 과정'!$E$56+'계산 과정'!$E$57*D1268+'계산 과정'!$E$58*E1268)/F1268,"")</x:f>
        <x:v>55.462195191809904</x:v>
      </x:c>
      <x:c r="J1268" s="4" t="n">
        <x:f>IF('계산 과정'!$L$5,'계산 과정'!$D$6+'계산 과정'!$C$35*D1268+'계산 과정'!$D$35*E1268,"")</x:f>
        <x:v>569.4848384489161</x:v>
      </x:c>
      <x:c r="K1268" s="4" t="n">
        <x:f>IF(AND('계산 과정'!$L$6,J1268&gt;0),'계산 과정'!$D$10*('계산 과정'!$C$38*(D1268-'계산 과정'!$C$32)+'계산 과정'!$D$38*(E1268-'계산 과정'!$D$32)-'계산 과정'!$E$38*'계산 과정'!$E$32)/J1268,"")</x:f>
        <x:v>1.1310595979394988</x:v>
      </x:c>
      <x:c r="L1268" s="4" t="n">
        <x:f>IF(AND('계산 과정'!$L$6,J1268&gt;0),'계산 과정'!$D$10*('계산 과정'!$C$39*(D1268-'계산 과정'!$C$32)+'계산 과정'!$D$39*(E1268-'계산 과정'!$D$32)-'계산 과정'!$E$39*'계산 과정'!$E$32)/J1268,"")</x:f>
        <x:v>0.42256910622331356</x:v>
      </x:c>
      <x:c r="M1268" s="17" t="n">
        <x:f>IF('계산 과정'!$L$6,IF(J1268&lt;=0,0,IF(AND(ABS(K1268)&lt;='계산 과정'!$D$11/2,ABS(L1268)&lt;='계산 과정'!$D$12/2),1,0)),"")</x:f>
        <x:v>1</x:v>
      </x:c>
      <x:c r="N1268" s="17" t="n">
        <x:f>IF('계산 과정'!$C$78,IF(AND(ISNUMBER(H1268),ISNUMBER(I1268),ABS(H1268-'계산 과정'!$C$88)&lt;='계산 과정'!$D$23/2,ABS(I1268-'계산 과정'!$C$89)&lt;='계산 과정'!$D$24/2),1,0),"")</x:f>
        <x:v>1</x:v>
      </x:c>
      <x:c r="O1268" s="4" t="n">
        <x:f>IF('계산 과정'!$L$7,'계산 과정'!$C$49*('계산 과정'!$C$32-D1268)+'계산 과정'!$D$49*('계산 과정'!$D$32-E1268)+'계산 과정'!$E$49*'계산 과정'!$E$32,"")</x:f>
        <x:v>80.51516155108405</x:v>
      </x:c>
      <x:c r="P1268" s="4" t="n">
        <x:f>IF(AND('계산 과정'!$L$7,O1268&lt;&gt;0),('계산 과정'!$L$23-'계산 과정'!$C$49*D1268-'계산 과정'!$D$49*E1268)/O1268,"")</x:f>
        <x:v>5.96800841349879</x:v>
      </x:c>
      <x:c r="Q1268" s="4" t="str">
        <x:f>IF(AND(ISNUMBER(P1268),P1268&gt;1E-9,P1268&lt;1-1E-9),'계산 과정'!$C$47*(D1268-'계산 과정'!$C$50+P1268*('계산 과정'!$C$32-D1268))+'계산 과정'!$D$47*(E1268-'계산 과정'!$D$50+P1268*('계산 과정'!$D$32-E1268))+'계산 과정'!$E$47*(0-'계산 과정'!$E$50+P1268*('계산 과정'!$E$32-0)),"")</x:f>
      </x:c>
      <x:c r="R1268" s="4" t="str">
        <x:f>IF(AND(ISNUMBER(P1268),P1268&gt;1E-9,P1268&lt;1-1E-9),'계산 과정'!$C$48*(D1268-'계산 과정'!$C$50+P1268*('계산 과정'!$C$32-D1268))+'계산 과정'!$D$48*(E1268-'계산 과정'!$D$50+P1268*('계산 과정'!$D$32-E1268))+'계산 과정'!$E$48*(0-'계산 과정'!$E$50+P1268*('계산 과정'!$E$32-0)),"")</x:f>
      </x:c>
      <x:c r="S1268" s="17" t="n">
        <x:f>IF('계산 과정'!$C$78,IF(AND(ISNUMBER(Q1268),ISNUMBER(R1268),ABS(Q1268-'계산 과정'!$C$88)&lt;='계산 과정'!$D$23/2,ABS(R1268-'계산 과정'!$C$89)&lt;='계산 과정'!$D$24/2),1,0),"")</x:f>
        <x:v>0</x:v>
      </x:c>
      <x:c r="T1268" s="4"/>
      <x:c r="U1268" s="4"/>
      <x:c r="V1268" s="4"/>
      <x:c r="W1268" s="4"/>
      <x:c r="X1268" s="4"/>
      <x:c r="Y1268" s="4"/>
      <x:c r="Z1268" s="4"/>
    </x:row>
    <x:row r="1269" ht="23" customHeight="1">
      <x:c r="A1269" s="17" t="n">
        <x:f>ROW()-6</x:f>
        <x:v>1263</x:v>
      </x:c>
      <x:c r="B1269" s="4" t="n">
        <x:f>IF('계산 과정'!$L$5,'계산 과정'!$L$11*SQRT((A1269+0.5)/'계산 과정'!$L$30),"")</x:f>
        <x:v>117.81861307084506</x:v>
      </x:c>
      <x:c r="C1269" s="4" t="n">
        <x:f>A1269*PI()*(3-SQRT(5))</x:f>
        <x:v>3031.1535591472884</x:v>
      </x:c>
      <x:c r="D1269" s="4" t="n">
        <x:f>IF('계산 과정'!$L$5,B1269*COS(C1269),"")</x:f>
        <x:v>-104.32157903835007</x:v>
      </x:c>
      <x:c r="E1269" s="4" t="n">
        <x:f>IF('계산 과정'!$L$5,B1269*SIN(C1269),"")</x:f>
        <x:v>54.756129637537214</x:v>
      </x:c>
      <x:c r="F1269" s="4" t="n">
        <x:f>IF('계산 과정'!$L$7,'계산 과정'!$L$22+'계산 과정'!$C$49*D1269+'계산 과정'!$D$49*E1269,"")</x:f>
        <x:v>723.7664959621058</x:v>
      </x:c>
      <x:c r="G1269" s="4" t="n">
        <x:f>IF('계산 과정'!$L$7,IF(ABS(F1269)&gt;=1E-12*MAX(1,SQRT((D1269-'계산 과정'!$C$33)^2+(E1269-'계산 과정'!$D$33)^2+'계산 과정'!$E$33^2)),('계산 과정'!$L$23-'계산 과정'!$C$49*D1269-'계산 과정'!$D$49*E1269)/F1269,""),"")</x:f>
        <x:v>0.4507441362068449</x:v>
      </x:c>
      <x:c r="H1269" s="4" t="n">
        <x:f>IF(AND(ISNUMBER(G1269),G1269&gt;0),('계산 과정'!$D$56+'계산 과정'!$D$57*D1269+'계산 과정'!$D$58*E1269)/F1269,"")</x:f>
        <x:v>-107.01631146555091</x:v>
      </x:c>
      <x:c r="I1269" s="4" t="n">
        <x:f>IF(AND(ISNUMBER(G1269),G1269&gt;0),('계산 과정'!$E$56+'계산 과정'!$E$57*D1269+'계산 과정'!$E$58*E1269)/F1269,"")</x:f>
        <x:v>79.43713399303894</x:v>
      </x:c>
      <x:c r="J1269" s="4" t="n">
        <x:f>IF('계산 과정'!$L$5,'계산 과정'!$D$6+'계산 과정'!$C$35*D1269+'계산 과정'!$D$35*E1269,"")</x:f>
        <x:v>723.7664959621058</x:v>
      </x:c>
      <x:c r="K1269" s="4" t="n">
        <x:f>IF(AND('계산 과정'!$L$6,J1269&gt;0),'계산 과정'!$D$10*('계산 과정'!$C$38*(D1269-'계산 과정'!$C$32)+'계산 과정'!$D$38*(E1269-'계산 과정'!$D$32)-'계산 과정'!$E$38*'계산 과정'!$E$32)/J1269,"")</x:f>
        <x:v>-0.8153623730708628</x:v>
      </x:c>
      <x:c r="L1269" s="4" t="n">
        <x:f>IF(AND('계산 과정'!$L$6,J1269&gt;0),'계산 과정'!$D$10*('계산 과정'!$C$39*(D1269-'계산 과정'!$C$32)+'계산 과정'!$D$39*(E1269-'계산 과정'!$D$32)-'계산 과정'!$E$39*'계산 과정'!$E$32)/J1269,"")</x:f>
        <x:v>0.60523530661363</x:v>
      </x:c>
      <x:c r="M1269" s="17" t="n">
        <x:f>IF('계산 과정'!$L$6,IF(J1269&lt;=0,0,IF(AND(ABS(K1269)&lt;='계산 과정'!$D$11/2,ABS(L1269)&lt;='계산 과정'!$D$12/2),1,0)),"")</x:f>
        <x:v>1</x:v>
      </x:c>
      <x:c r="N1269" s="17" t="n">
        <x:f>IF('계산 과정'!$C$78,IF(AND(ISNUMBER(H1269),ISNUMBER(I1269),ABS(H1269-'계산 과정'!$C$88)&lt;='계산 과정'!$D$23/2,ABS(I1269-'계산 과정'!$C$89)&lt;='계산 과정'!$D$24/2),1,0),"")</x:f>
        <x:v>1</x:v>
      </x:c>
      <x:c r="O1269" s="4" t="n">
        <x:f>IF('계산 과정'!$L$7,'계산 과정'!$C$49*('계산 과정'!$C$32-D1269)+'계산 과정'!$D$49*('계산 과정'!$D$32-E1269)+'계산 과정'!$E$49*'계산 과정'!$E$32,"")</x:f>
        <x:v>-73.76649596210558</x:v>
      </x:c>
      <x:c r="P1269" s="4" t="n">
        <x:f>IF(AND('계산 과정'!$L$7,O1269&lt;&gt;0),('계산 과정'!$L$23-'계산 과정'!$C$49*D1269-'계산 과정'!$D$49*E1269)/O1269,"")</x:f>
        <x:v>-4.422515937390911</x:v>
      </x:c>
      <x:c r="Q1269" s="4" t="str">
        <x:f>IF(AND(ISNUMBER(P1269),P1269&gt;1E-9,P1269&lt;1-1E-9),'계산 과정'!$C$47*(D1269-'계산 과정'!$C$50+P1269*('계산 과정'!$C$32-D1269))+'계산 과정'!$D$47*(E1269-'계산 과정'!$D$50+P1269*('계산 과정'!$D$32-E1269))+'계산 과정'!$E$47*(0-'계산 과정'!$E$50+P1269*('계산 과정'!$E$32-0)),"")</x:f>
      </x:c>
      <x:c r="R1269" s="4" t="str">
        <x:f>IF(AND(ISNUMBER(P1269),P1269&gt;1E-9,P1269&lt;1-1E-9),'계산 과정'!$C$48*(D1269-'계산 과정'!$C$50+P1269*('계산 과정'!$C$32-D1269))+'계산 과정'!$D$48*(E1269-'계산 과정'!$D$50+P1269*('계산 과정'!$D$32-E1269))+'계산 과정'!$E$48*(0-'계산 과정'!$E$50+P1269*('계산 과정'!$E$32-0)),"")</x:f>
      </x:c>
      <x:c r="S1269" s="17" t="n">
        <x:f>IF('계산 과정'!$C$78,IF(AND(ISNUMBER(Q1269),ISNUMBER(R1269),ABS(Q1269-'계산 과정'!$C$88)&lt;='계산 과정'!$D$23/2,ABS(R1269-'계산 과정'!$C$89)&lt;='계산 과정'!$D$24/2),1,0),"")</x:f>
        <x:v>0</x:v>
      </x:c>
      <x:c r="T1269" s="4"/>
      <x:c r="U1269" s="4"/>
      <x:c r="V1269" s="4"/>
      <x:c r="W1269" s="4"/>
      <x:c r="X1269" s="4"/>
      <x:c r="Y1269" s="4"/>
      <x:c r="Z1269" s="4"/>
    </x:row>
    <x:row r="1270" ht="23" customHeight="1">
      <x:c r="A1270" s="17" t="n">
        <x:f>ROW()-6</x:f>
        <x:v>1264</x:v>
      </x:c>
      <x:c r="B1270" s="4" t="n">
        <x:f>IF('계산 과정'!$L$5,'계산 과정'!$L$11*SQRT((A1270+0.5)/'계산 과정'!$L$30),"")</x:f>
        <x:v>117.86522775637648</x:v>
      </x:c>
      <x:c r="C1270" s="4" t="n">
        <x:f>A1270*PI()*(3-SQRT(5))</x:f>
        <x:v>3033.5535223770175</x:v>
      </x:c>
      <x:c r="D1270" s="4" t="n">
        <x:f>IF('계산 과정'!$L$5,B1270*COS(C1270),"")</x:f>
        <x:v>39.95205226705997</x:v>
      </x:c>
      <x:c r="E1270" s="4" t="n">
        <x:f>IF('계산 과정'!$L$5,B1270*SIN(C1270),"")</x:f>
        <x:v>-110.88753506915288</x:v>
      </x:c>
      <x:c r="F1270" s="4" t="n">
        <x:f>IF('계산 과정'!$L$7,'계산 과정'!$L$22+'계산 과정'!$C$49*D1270+'계산 과정'!$D$49*E1270,"")</x:f>
        <x:v>621.7496329196425</x:v>
      </x:c>
      <x:c r="G1270" s="4" t="n">
        <x:f>IF('계산 과정'!$L$7,IF(ABS(F1270)&gt;=1E-12*MAX(1,SQRT((D1270-'계산 과정'!$C$33)^2+(E1270-'계산 과정'!$D$33)^2+'계산 과정'!$E$33^2)),('계산 과정'!$L$23-'계산 과정'!$C$49*D1270-'계산 과정'!$D$49*E1270)/F1270,""),"")</x:f>
        <x:v>0.6887826617112074</x:v>
      </x:c>
      <x:c r="H1270" s="4" t="n">
        <x:f>IF(AND(ISNUMBER(G1270),G1270&gt;0),('계산 과정'!$D$56+'계산 과정'!$D$57*D1270+'계산 과정'!$D$58*E1270)/F1270,"")</x:f>
        <x:v>47.70873011228468</x:v>
      </x:c>
      <x:c r="I1270" s="4" t="n">
        <x:f>IF(AND(ISNUMBER(G1270),G1270&gt;0),('계산 과정'!$E$56+'계산 과정'!$E$57*D1270+'계산 과정'!$E$58*E1270)/F1270,"")</x:f>
        <x:v>-187.26494662467886</x:v>
      </x:c>
      <x:c r="J1270" s="4" t="n">
        <x:f>IF('계산 과정'!$L$5,'계산 과정'!$D$6+'계산 과정'!$C$35*D1270+'계산 과정'!$D$35*E1270,"")</x:f>
        <x:v>621.7496329196425</x:v>
      </x:c>
      <x:c r="K1270" s="4" t="n">
        <x:f>IF(AND('계산 과정'!$L$6,J1270&gt;0),'계산 과정'!$D$10*('계산 과정'!$C$38*(D1270-'계산 과정'!$C$32)+'계산 과정'!$D$38*(E1270-'계산 과정'!$D$32)-'계산 과정'!$E$38*'계산 과정'!$E$32)/J1270,"")</x:f>
        <x:v>0.36349508656978874</x:v>
      </x:c>
      <x:c r="L1270" s="4" t="n">
        <x:f>IF(AND('계산 과정'!$L$6,J1270&gt;0),'계산 과정'!$D$10*('계산 과정'!$C$39*(D1270-'계산 과정'!$C$32)+'계산 과정'!$D$39*(E1270-'계산 과정'!$D$32)-'계산 과정'!$E$39*'계산 과정'!$E$32)/J1270,"")</x:f>
        <x:v>-1.4267805457118388</x:v>
      </x:c>
      <x:c r="M1270" s="17" t="n">
        <x:f>IF('계산 과정'!$L$6,IF(J1270&lt;=0,0,IF(AND(ABS(K1270)&lt;='계산 과정'!$D$11/2,ABS(L1270)&lt;='계산 과정'!$D$12/2),1,0)),"")</x:f>
        <x:v>1</x:v>
      </x:c>
      <x:c r="N1270" s="17" t="n">
        <x:f>IF('계산 과정'!$C$78,IF(AND(ISNUMBER(H1270),ISNUMBER(I1270),ABS(H1270-'계산 과정'!$C$88)&lt;='계산 과정'!$D$23/2,ABS(I1270-'계산 과정'!$C$89)&lt;='계산 과정'!$D$24/2),1,0),"")</x:f>
        <x:v>1</x:v>
      </x:c>
      <x:c r="O1270" s="4" t="n">
        <x:f>IF('계산 과정'!$L$7,'계산 과정'!$C$49*('계산 과정'!$C$32-D1270)+'계산 과정'!$D$49*('계산 과정'!$D$32-E1270)+'계산 과정'!$E$49*'계산 과정'!$E$32,"")</x:f>
        <x:v>28.25036708035759</x:v>
      </x:c>
      <x:c r="P1270" s="4" t="n">
        <x:f>IF(AND('계산 과정'!$L$7,O1270&lt;&gt;0),('계산 과정'!$L$23-'계산 과정'!$C$49*D1270-'계산 과정'!$D$49*E1270)/O1270,"")</x:f>
        <x:v>15.159108052019574</x:v>
      </x:c>
      <x:c r="Q1270" s="4" t="str">
        <x:f>IF(AND(ISNUMBER(P1270),P1270&gt;1E-9,P1270&lt;1-1E-9),'계산 과정'!$C$47*(D1270-'계산 과정'!$C$50+P1270*('계산 과정'!$C$32-D1270))+'계산 과정'!$D$47*(E1270-'계산 과정'!$D$50+P1270*('계산 과정'!$D$32-E1270))+'계산 과정'!$E$47*(0-'계산 과정'!$E$50+P1270*('계산 과정'!$E$32-0)),"")</x:f>
      </x:c>
      <x:c r="R1270" s="4" t="str">
        <x:f>IF(AND(ISNUMBER(P1270),P1270&gt;1E-9,P1270&lt;1-1E-9),'계산 과정'!$C$48*(D1270-'계산 과정'!$C$50+P1270*('계산 과정'!$C$32-D1270))+'계산 과정'!$D$48*(E1270-'계산 과정'!$D$50+P1270*('계산 과정'!$D$32-E1270))+'계산 과정'!$E$48*(0-'계산 과정'!$E$50+P1270*('계산 과정'!$E$32-0)),"")</x:f>
      </x:c>
      <x:c r="S1270" s="17" t="n">
        <x:f>IF('계산 과정'!$C$78,IF(AND(ISNUMBER(Q1270),ISNUMBER(R1270),ABS(Q1270-'계산 과정'!$C$88)&lt;='계산 과정'!$D$23/2,ABS(R1270-'계산 과정'!$C$89)&lt;='계산 과정'!$D$24/2),1,0),"")</x:f>
        <x:v>0</x:v>
      </x:c>
      <x:c r="T1270" s="4"/>
      <x:c r="U1270" s="4"/>
      <x:c r="V1270" s="4"/>
      <x:c r="W1270" s="4"/>
      <x:c r="X1270" s="4"/>
      <x:c r="Y1270" s="4"/>
      <x:c r="Z1270" s="4"/>
    </x:row>
    <x:row r="1271" ht="23" customHeight="1">
      <x:c r="A1271" s="17" t="n">
        <x:f>ROW()-6</x:f>
        <x:v>1265</x:v>
      </x:c>
      <x:c r="B1271" s="4" t="n">
        <x:f>IF('계산 과정'!$L$5,'계산 과정'!$L$11*SQRT((A1271+0.5)/'계산 과정'!$L$30),"")</x:f>
        <x:v>117.91182401348686</x:v>
      </x:c>
      <x:c r="C1271" s="4" t="n">
        <x:f>A1271*PI()*(3-SQRT(5))</x:f>
        <x:v>3035.9534856067457</x:v>
      </x:c>
      <x:c r="D1271" s="4" t="n">
        <x:f>IF('계산 과정'!$L$5,B1271*COS(C1271),"")</x:f>
        <x:v>45.462019364554735</x:v>
      </x:c>
      <x:c r="E1271" s="4" t="n">
        <x:f>IF('계산 과정'!$L$5,B1271*SIN(C1271),"")</x:f>
        <x:v>108.79523444289437</x:v>
      </x:c>
      <x:c r="F1271" s="4" t="n">
        <x:f>IF('계산 과정'!$L$7,'계산 과정'!$L$22+'계산 과정'!$C$49*D1271+'계산 과정'!$D$49*E1271,"")</x:f>
        <x:v>617.8534978208892</x:v>
      </x:c>
      <x:c r="G1271" s="4" t="n">
        <x:f>IF('계산 과정'!$L$7,IF(ABS(F1271)&gt;=1E-12*MAX(1,SQRT((D1271-'계산 과정'!$C$33)^2+(E1271-'계산 과정'!$D$33)^2+'계산 과정'!$E$33^2)),('계산 과정'!$L$23-'계산 과정'!$C$49*D1271-'계산 과정'!$D$49*E1271)/F1271,""),"")</x:f>
        <x:v>0.6994319910840524</x:v>
      </x:c>
      <x:c r="H1271" s="4" t="n">
        <x:f>IF(AND(ISNUMBER(G1271),G1271&gt;0),('계산 과정'!$D$56+'계산 과정'!$D$57*D1271+'계산 과정'!$D$58*E1271)/F1271,"")</x:f>
        <x:v>54.630794204633986</x:v>
      </x:c>
      <x:c r="I1271" s="4" t="n">
        <x:f>IF(AND(ISNUMBER(G1271),G1271&gt;0),('계산 과정'!$E$56+'계산 과정'!$E$57*D1271+'계산 과정'!$E$58*E1271)/F1271,"")</x:f>
        <x:v>184.89010188974427</x:v>
      </x:c>
      <x:c r="J1271" s="4" t="n">
        <x:f>IF('계산 과정'!$L$5,'계산 과정'!$D$6+'계산 과정'!$C$35*D1271+'계산 과정'!$D$35*E1271,"")</x:f>
        <x:v>617.8534978208892</x:v>
      </x:c>
      <x:c r="K1271" s="4" t="n">
        <x:f>IF(AND('계산 과정'!$L$6,J1271&gt;0),'계산 과정'!$D$10*('계산 과정'!$C$38*(D1271-'계산 과정'!$C$32)+'계산 과정'!$D$38*(E1271-'계산 과정'!$D$32)-'계산 과정'!$E$38*'계산 과정'!$E$32)/J1271,"")</x:f>
        <x:v>0.41623462251149823</x:v>
      </x:c>
      <x:c r="L1271" s="4" t="n">
        <x:f>IF(AND('계산 과정'!$L$6,J1271&gt;0),'계산 과정'!$D$10*('계산 과정'!$C$39*(D1271-'계산 과정'!$C$32)+'계산 과정'!$D$39*(E1271-'계산 과정'!$D$32)-'계산 과정'!$E$39*'계산 과정'!$E$32)/J1271,"")</x:f>
        <x:v>1.4086864905885277</x:v>
      </x:c>
      <x:c r="M1271" s="17" t="n">
        <x:f>IF('계산 과정'!$L$6,IF(J1271&lt;=0,0,IF(AND(ABS(K1271)&lt;='계산 과정'!$D$11/2,ABS(L1271)&lt;='계산 과정'!$D$12/2),1,0)),"")</x:f>
        <x:v>1</x:v>
      </x:c>
      <x:c r="N1271" s="17" t="n">
        <x:f>IF('계산 과정'!$C$78,IF(AND(ISNUMBER(H1271),ISNUMBER(I1271),ABS(H1271-'계산 과정'!$C$88)&lt;='계산 과정'!$D$23/2,ABS(I1271-'계산 과정'!$C$89)&lt;='계산 과정'!$D$24/2),1,0),"")</x:f>
        <x:v>1</x:v>
      </x:c>
      <x:c r="O1271" s="4" t="n">
        <x:f>IF('계산 과정'!$L$7,'계산 과정'!$C$49*('계산 과정'!$C$32-D1271)+'계산 과정'!$D$49*('계산 과정'!$D$32-E1271)+'계산 과정'!$E$49*'계산 과정'!$E$32,"")</x:f>
        <x:v>32.14650217911094</x:v>
      </x:c>
      <x:c r="P1271" s="4" t="n">
        <x:f>IF(AND('계산 과정'!$L$7,O1271&lt;&gt;0),('계산 과정'!$L$23-'계산 과정'!$C$49*D1271-'계산 과정'!$D$49*E1271)/O1271,"")</x:f>
        <x:v>13.443033390423519</x:v>
      </x:c>
      <x:c r="Q1271" s="4" t="str">
        <x:f>IF(AND(ISNUMBER(P1271),P1271&gt;1E-9,P1271&lt;1-1E-9),'계산 과정'!$C$47*(D1271-'계산 과정'!$C$50+P1271*('계산 과정'!$C$32-D1271))+'계산 과정'!$D$47*(E1271-'계산 과정'!$D$50+P1271*('계산 과정'!$D$32-E1271))+'계산 과정'!$E$47*(0-'계산 과정'!$E$50+P1271*('계산 과정'!$E$32-0)),"")</x:f>
      </x:c>
      <x:c r="R1271" s="4" t="str">
        <x:f>IF(AND(ISNUMBER(P1271),P1271&gt;1E-9,P1271&lt;1-1E-9),'계산 과정'!$C$48*(D1271-'계산 과정'!$C$50+P1271*('계산 과정'!$C$32-D1271))+'계산 과정'!$D$48*(E1271-'계산 과정'!$D$50+P1271*('계산 과정'!$D$32-E1271))+'계산 과정'!$E$48*(0-'계산 과정'!$E$50+P1271*('계산 과정'!$E$32-0)),"")</x:f>
      </x:c>
      <x:c r="S1271" s="17" t="n">
        <x:f>IF('계산 과정'!$C$78,IF(AND(ISNUMBER(Q1271),ISNUMBER(R1271),ABS(Q1271-'계산 과정'!$C$88)&lt;='계산 과정'!$D$23/2,ABS(R1271-'계산 과정'!$C$89)&lt;='계산 과정'!$D$24/2),1,0),"")</x:f>
        <x:v>0</x:v>
      </x:c>
      <x:c r="T1271" s="4"/>
      <x:c r="U1271" s="4"/>
      <x:c r="V1271" s="4"/>
      <x:c r="W1271" s="4"/>
      <x:c r="X1271" s="4"/>
      <x:c r="Y1271" s="4"/>
      <x:c r="Z1271" s="4"/>
    </x:row>
    <x:row r="1272" ht="23" customHeight="1">
      <x:c r="A1272" s="17" t="n">
        <x:f>ROW()-6</x:f>
        <x:v>1266</x:v>
      </x:c>
      <x:c r="B1272" s="4" t="n">
        <x:f>IF('계산 과정'!$L$5,'계산 과정'!$L$11*SQRT((A1272+0.5)/'계산 과정'!$L$30),"")</x:f>
        <x:v>117.95840186401519</x:v>
      </x:c>
      <x:c r="C1272" s="4" t="n">
        <x:f>A1272*PI()*(3-SQRT(5))</x:f>
        <x:v>3038.3534488364744</x:v>
      </x:c>
      <x:c r="D1272" s="4" t="n">
        <x:f>IF('계산 과정'!$L$5,B1272*COS(C1272),"")</x:f>
        <x:v>-107.0546754736475</x:v>
      </x:c>
      <x:c r="E1272" s="4" t="n">
        <x:f>IF('계산 과정'!$L$5,B1272*SIN(C1272),"")</x:f>
        <x:v>-49.53262591004555</x:v>
      </x:c>
      <x:c r="F1272" s="4" t="n">
        <x:f>IF('계산 과정'!$L$7,'계산 과정'!$L$22+'계산 과정'!$C$49*D1272+'계산 과정'!$D$49*E1272,"")</x:f>
        <x:v>725.6990869851413</x:v>
      </x:c>
      <x:c r="G1272" s="4" t="n">
        <x:f>IF('계산 과정'!$L$7,IF(ABS(F1272)&gt;=1E-12*MAX(1,SQRT((D1272-'계산 과정'!$C$33)^2+(E1272-'계산 과정'!$D$33)^2+'계산 과정'!$E$33^2)),('계산 과정'!$L$23-'계산 과정'!$C$49*D1272-'계산 과정'!$D$49*E1272)/F1272,""),"")</x:f>
        <x:v>0.4468806959123248</x:v>
      </x:c>
      <x:c r="H1272" s="4" t="n">
        <x:f>IF(AND(ISNUMBER(G1272),G1272&gt;0),('계산 과정'!$D$56+'계산 과정'!$D$57*D1272+'계산 과정'!$D$58*E1272)/F1272,"")</x:f>
        <x:v>-109.52754765698901</x:v>
      </x:c>
      <x:c r="I1272" s="4" t="n">
        <x:f>IF(AND(ISNUMBER(G1272),G1272&gt;0),('계산 과정'!$E$56+'계산 과정'!$E$57*D1272+'계산 과정'!$E$58*E1272)/F1272,"")</x:f>
        <x:v>-71.66780024709156</x:v>
      </x:c>
      <x:c r="J1272" s="4" t="n">
        <x:f>IF('계산 과정'!$L$5,'계산 과정'!$D$6+'계산 과정'!$C$35*D1272+'계산 과정'!$D$35*E1272,"")</x:f>
        <x:v>725.6990869851413</x:v>
      </x:c>
      <x:c r="K1272" s="4" t="n">
        <x:f>IF(AND('계산 과정'!$L$6,J1272&gt;0),'계산 과정'!$D$10*('계산 과정'!$C$38*(D1272-'계산 과정'!$C$32)+'계산 과정'!$D$38*(E1272-'계산 과정'!$D$32)-'계산 과정'!$E$38*'계산 과정'!$E$32)/J1272,"")</x:f>
        <x:v>-0.8344956011961058</x:v>
      </x:c>
      <x:c r="L1272" s="4" t="n">
        <x:f>IF(AND('계산 과정'!$L$6,J1272&gt;0),'계산 과정'!$D$10*('계산 과정'!$C$39*(D1272-'계산 과정'!$C$32)+'계산 과정'!$D$39*(E1272-'계산 과정'!$D$32)-'계산 과정'!$E$39*'계산 과정'!$E$32)/J1272,"")</x:f>
        <x:v>-0.5460403828349834</x:v>
      </x:c>
      <x:c r="M1272" s="17" t="n">
        <x:f>IF('계산 과정'!$L$6,IF(J1272&lt;=0,0,IF(AND(ABS(K1272)&lt;='계산 과정'!$D$11/2,ABS(L1272)&lt;='계산 과정'!$D$12/2),1,0)),"")</x:f>
        <x:v>1</x:v>
      </x:c>
      <x:c r="N1272" s="17" t="n">
        <x:f>IF('계산 과정'!$C$78,IF(AND(ISNUMBER(H1272),ISNUMBER(I1272),ABS(H1272-'계산 과정'!$C$88)&lt;='계산 과정'!$D$23/2,ABS(I1272-'계산 과정'!$C$89)&lt;='계산 과정'!$D$24/2),1,0),"")</x:f>
        <x:v>1</x:v>
      </x:c>
      <x:c r="O1272" s="4" t="n">
        <x:f>IF('계산 과정'!$L$7,'계산 과정'!$C$49*('계산 과정'!$C$32-D1272)+'계산 과정'!$D$49*('계산 과정'!$D$32-E1272)+'계산 과정'!$E$49*'계산 과정'!$E$32,"")</x:f>
        <x:v>-75.69908698514121</x:v>
      </x:c>
      <x:c r="P1272" s="4" t="n">
        <x:f>IF(AND('계산 과정'!$L$7,O1272&lt;&gt;0),('계산 과정'!$L$23-'계산 과정'!$C$49*D1272-'계산 과정'!$D$49*E1272)/O1272,"")</x:f>
        <x:v>-4.2840795831330825</x:v>
      </x:c>
      <x:c r="Q1272" s="4" t="str">
        <x:f>IF(AND(ISNUMBER(P1272),P1272&gt;1E-9,P1272&lt;1-1E-9),'계산 과정'!$C$47*(D1272-'계산 과정'!$C$50+P1272*('계산 과정'!$C$32-D1272))+'계산 과정'!$D$47*(E1272-'계산 과정'!$D$50+P1272*('계산 과정'!$D$32-E1272))+'계산 과정'!$E$47*(0-'계산 과정'!$E$50+P1272*('계산 과정'!$E$32-0)),"")</x:f>
      </x:c>
      <x:c r="R1272" s="4" t="str">
        <x:f>IF(AND(ISNUMBER(P1272),P1272&gt;1E-9,P1272&lt;1-1E-9),'계산 과정'!$C$48*(D1272-'계산 과정'!$C$50+P1272*('계산 과정'!$C$32-D1272))+'계산 과정'!$D$48*(E1272-'계산 과정'!$D$50+P1272*('계산 과정'!$D$32-E1272))+'계산 과정'!$E$48*(0-'계산 과정'!$E$50+P1272*('계산 과정'!$E$32-0)),"")</x:f>
      </x:c>
      <x:c r="S1272" s="17" t="n">
        <x:f>IF('계산 과정'!$C$78,IF(AND(ISNUMBER(Q1272),ISNUMBER(R1272),ABS(Q1272-'계산 과정'!$C$88)&lt;='계산 과정'!$D$23/2,ABS(R1272-'계산 과정'!$C$89)&lt;='계산 과정'!$D$24/2),1,0),"")</x:f>
        <x:v>0</x:v>
      </x:c>
      <x:c r="T1272" s="4"/>
      <x:c r="U1272" s="4"/>
      <x:c r="V1272" s="4"/>
      <x:c r="W1272" s="4"/>
      <x:c r="X1272" s="4"/>
      <x:c r="Y1272" s="4"/>
      <x:c r="Z1272" s="4"/>
    </x:row>
    <x:row r="1273" ht="23" customHeight="1">
      <x:c r="A1273" s="17" t="n">
        <x:f>ROW()-6</x:f>
        <x:v>1267</x:v>
      </x:c>
      <x:c r="B1273" s="4" t="n">
        <x:f>IF('계산 과정'!$L$5,'계산 과정'!$L$11*SQRT((A1273+0.5)/'계산 과정'!$L$30),"")</x:f>
        <x:v>118.00496132975724</x:v>
      </x:c>
      <x:c r="C1273" s="4" t="n">
        <x:f>A1273*PI()*(3-SQRT(5))</x:f>
        <x:v>3040.753412066203</x:v>
      </x:c>
      <x:c r="D1273" s="4" t="n">
        <x:f>IF('계산 과정'!$L$5,B1273*COS(C1273),"")</x:f>
        <x:v>112.44195855288707</x:v>
      </x:c>
      <x:c r="E1273" s="4" t="n">
        <x:f>IF('계산 과정'!$L$5,B1273*SIN(C1273),"")</x:f>
        <x:v>-35.804704372865935</x:v>
      </x:c>
      <x:c r="F1273" s="4" t="n">
        <x:f>IF('계산 과정'!$L$7,'계산 과정'!$L$22+'계산 과정'!$C$49*D1273+'계산 과정'!$D$49*E1273,"")</x:f>
        <x:v>570.4915286173568</x:v>
      </x:c>
      <x:c r="G1273" s="4" t="n">
        <x:f>IF('계산 과정'!$L$7,IF(ABS(F1273)&gt;=1E-12*MAX(1,SQRT((D1273-'계산 과정'!$C$33)^2+(E1273-'계산 과정'!$D$33)^2+'계산 과정'!$E$33^2)),('계산 과정'!$L$23-'계산 과정'!$C$49*D1273-'계산 과정'!$D$49*E1273)/F1273,""),"")</x:f>
        <x:v>0.8405181274904814</x:v>
      </x:c>
      <x:c r="H1273" s="4" t="n">
        <x:f>IF(AND(ISNUMBER(G1273),G1273&gt;0),('계산 과정'!$D$56+'계산 과정'!$D$57*D1273+'계산 과정'!$D$58*E1273)/F1273,"")</x:f>
        <x:v>146.33678286881283</x:v>
      </x:c>
      <x:c r="I1273" s="4" t="n">
        <x:f>IF(AND(ISNUMBER(G1273),G1273&gt;0),('계산 과정'!$E$56+'계산 과정'!$E$57*D1273+'계산 과정'!$E$58*E1273)/F1273,"")</x:f>
        <x:v>-65.89920744769746</x:v>
      </x:c>
      <x:c r="J1273" s="4" t="n">
        <x:f>IF('계산 과정'!$L$5,'계산 과정'!$D$6+'계산 과정'!$C$35*D1273+'계산 과정'!$D$35*E1273,"")</x:f>
        <x:v>570.4915286173568</x:v>
      </x:c>
      <x:c r="K1273" s="4" t="n">
        <x:f>IF(AND('계산 과정'!$L$6,J1273&gt;0),'계산 과정'!$D$10*('계산 과정'!$C$38*(D1273-'계산 과정'!$C$32)+'계산 과정'!$D$38*(E1273-'계산 과정'!$D$32)-'계산 과정'!$E$38*'계산 과정'!$E$32)/J1273,"")</x:f>
        <x:v>1.1149469170957176</x:v>
      </x:c>
      <x:c r="L1273" s="4" t="n">
        <x:f>IF(AND('계산 과정'!$L$6,J1273&gt;0),'계산 과정'!$D$10*('계산 과정'!$C$39*(D1273-'계산 과정'!$C$32)+'계산 과정'!$D$39*(E1273-'계산 과정'!$D$32)-'계산 과정'!$E$39*'계산 과정'!$E$32)/J1273,"")</x:f>
        <x:v>-0.5020891996015044</x:v>
      </x:c>
      <x:c r="M1273" s="17" t="n">
        <x:f>IF('계산 과정'!$L$6,IF(J1273&lt;=0,0,IF(AND(ABS(K1273)&lt;='계산 과정'!$D$11/2,ABS(L1273)&lt;='계산 과정'!$D$12/2),1,0)),"")</x:f>
        <x:v>1</x:v>
      </x:c>
      <x:c r="N1273" s="17" t="n">
        <x:f>IF('계산 과정'!$C$78,IF(AND(ISNUMBER(H1273),ISNUMBER(I1273),ABS(H1273-'계산 과정'!$C$88)&lt;='계산 과정'!$D$23/2,ABS(I1273-'계산 과정'!$C$89)&lt;='계산 과정'!$D$24/2),1,0),"")</x:f>
        <x:v>1</x:v>
      </x:c>
      <x:c r="O1273" s="4" t="n">
        <x:f>IF('계산 과정'!$L$7,'계산 과정'!$C$49*('계산 과정'!$C$32-D1273)+'계산 과정'!$D$49*('계산 과정'!$D$32-E1273)+'계산 과정'!$E$49*'계산 과정'!$E$32,"")</x:f>
        <x:v>79.50847138264325</x:v>
      </x:c>
      <x:c r="P1273" s="4" t="n">
        <x:f>IF(AND('계산 과정'!$L$7,O1273&lt;&gt;0),('계산 과정'!$L$23-'계산 과정'!$C$49*D1273-'계산 과정'!$D$49*E1273)/O1273,"")</x:f>
        <x:v>6.030910455754532</x:v>
      </x:c>
      <x:c r="Q1273" s="4" t="str">
        <x:f>IF(AND(ISNUMBER(P1273),P1273&gt;1E-9,P1273&lt;1-1E-9),'계산 과정'!$C$47*(D1273-'계산 과정'!$C$50+P1273*('계산 과정'!$C$32-D1273))+'계산 과정'!$D$47*(E1273-'계산 과정'!$D$50+P1273*('계산 과정'!$D$32-E1273))+'계산 과정'!$E$47*(0-'계산 과정'!$E$50+P1273*('계산 과정'!$E$32-0)),"")</x:f>
      </x:c>
      <x:c r="R1273" s="4" t="str">
        <x:f>IF(AND(ISNUMBER(P1273),P1273&gt;1E-9,P1273&lt;1-1E-9),'계산 과정'!$C$48*(D1273-'계산 과정'!$C$50+P1273*('계산 과정'!$C$32-D1273))+'계산 과정'!$D$48*(E1273-'계산 과정'!$D$50+P1273*('계산 과정'!$D$32-E1273))+'계산 과정'!$E$48*(0-'계산 과정'!$E$50+P1273*('계산 과정'!$E$32-0)),"")</x:f>
      </x:c>
      <x:c r="S1273" s="17" t="n">
        <x:f>IF('계산 과정'!$C$78,IF(AND(ISNUMBER(Q1273),ISNUMBER(R1273),ABS(Q1273-'계산 과정'!$C$88)&lt;='계산 과정'!$D$23/2,ABS(R1273-'계산 과정'!$C$89)&lt;='계산 과정'!$D$24/2),1,0),"")</x:f>
        <x:v>0</x:v>
      </x:c>
      <x:c r="T1273" s="4"/>
      <x:c r="U1273" s="4"/>
      <x:c r="V1273" s="4"/>
      <x:c r="W1273" s="4"/>
      <x:c r="X1273" s="4"/>
      <x:c r="Y1273" s="4"/>
      <x:c r="Z1273" s="4"/>
    </x:row>
    <x:row r="1274" ht="23" customHeight="1">
      <x:c r="A1274" s="17" t="n">
        <x:f>ROW()-6</x:f>
        <x:v>1268</x:v>
      </x:c>
      <x:c r="B1274" s="4" t="n">
        <x:f>IF('계산 과정'!$L$5,'계산 과정'!$L$11*SQRT((A1274+0.5)/'계산 과정'!$L$30),"")</x:f>
        <x:v>118.0515024324659</x:v>
      </x:c>
      <x:c r="C1274" s="4" t="n">
        <x:f>A1274*PI()*(3-SQRT(5))</x:f>
        <x:v>3043.153375295932</x:v>
      </x:c>
      <x:c r="D1274" s="4" t="n">
        <x:f>IF('계산 과정'!$L$5,B1274*COS(C1274),"")</x:f>
        <x:v>-58.74863183302967</x:v>
      </x:c>
      <x:c r="E1274" s="4" t="n">
        <x:f>IF('계산 과정'!$L$5,B1274*SIN(C1274),"")</x:f>
        <x:v>102.39509502075592</x:v>
      </x:c>
      <x:c r="F1274" s="4" t="n">
        <x:f>IF('계산 과정'!$L$7,'계산 과정'!$L$22+'계산 과정'!$C$49*D1274+'계산 과정'!$D$49*E1274,"")</x:f>
        <x:v>691.5415559545671</x:v>
      </x:c>
      <x:c r="G1274" s="4" t="n">
        <x:f>IF('계산 과정'!$L$7,IF(ABS(F1274)&gt;=1E-12*MAX(1,SQRT((D1274-'계산 과정'!$C$33)^2+(E1274-'계산 과정'!$D$33)^2+'계산 과정'!$E$33^2)),('계산 과정'!$L$23-'계산 과정'!$C$49*D1274-'계산 과정'!$D$49*E1274)/F1274,""),"")</x:f>
        <x:v>0.518346932239865</x:v>
      </x:c>
      <x:c r="H1274" s="4" t="n">
        <x:f>IF(AND(ISNUMBER(G1274),G1274&gt;0),('계산 과정'!$D$56+'계산 과정'!$D$57*D1274+'계산 과정'!$D$58*E1274)/F1274,"")</x:f>
        <x:v>-63.07449404408786</x:v>
      </x:c>
      <x:c r="I1274" s="4" t="n">
        <x:f>IF(AND(ISNUMBER(G1274),G1274&gt;0),('계산 과정'!$E$56+'계산 과정'!$E$57*D1274+'계산 과정'!$E$58*E1274)/F1274,"")</x:f>
        <x:v>155.47127840117423</x:v>
      </x:c>
      <x:c r="J1274" s="4" t="n">
        <x:f>IF('계산 과정'!$L$5,'계산 과정'!$D$6+'계산 과정'!$C$35*D1274+'계산 과정'!$D$35*E1274,"")</x:f>
        <x:v>691.5415559545671</x:v>
      </x:c>
      <x:c r="K1274" s="4" t="n">
        <x:f>IF(AND('계산 과정'!$L$6,J1274&gt;0),'계산 과정'!$D$10*('계산 과정'!$C$38*(D1274-'계산 과정'!$C$32)+'계산 과정'!$D$38*(E1274-'계산 과정'!$D$32)-'계산 과정'!$E$38*'계산 과정'!$E$32)/J1274,"")</x:f>
        <x:v>-0.48056757366923947</x:v>
      </x:c>
      <x:c r="L1274" s="4" t="n">
        <x:f>IF(AND('계산 과정'!$L$6,J1274&gt;0),'계산 과정'!$D$10*('계산 과정'!$C$39*(D1274-'계산 과정'!$C$32)+'계산 과정'!$D$39*(E1274-'계산 과정'!$D$32)-'계산 과정'!$E$39*'계산 과정'!$E$32)/J1274,"")</x:f>
        <x:v>1.184543073532756</x:v>
      </x:c>
      <x:c r="M1274" s="17" t="n">
        <x:f>IF('계산 과정'!$L$6,IF(J1274&lt;=0,0,IF(AND(ABS(K1274)&lt;='계산 과정'!$D$11/2,ABS(L1274)&lt;='계산 과정'!$D$12/2),1,0)),"")</x:f>
        <x:v>1</x:v>
      </x:c>
      <x:c r="N1274" s="17" t="n">
        <x:f>IF('계산 과정'!$C$78,IF(AND(ISNUMBER(H1274),ISNUMBER(I1274),ABS(H1274-'계산 과정'!$C$88)&lt;='계산 과정'!$D$23/2,ABS(I1274-'계산 과정'!$C$89)&lt;='계산 과정'!$D$24/2),1,0),"")</x:f>
        <x:v>1</x:v>
      </x:c>
      <x:c r="O1274" s="4" t="n">
        <x:f>IF('계산 과정'!$L$7,'계산 과정'!$C$49*('계산 과정'!$C$32-D1274)+'계산 과정'!$D$49*('계산 과정'!$D$32-E1274)+'계산 과정'!$E$49*'계산 과정'!$E$32,"")</x:f>
        <x:v>-41.541555954567</x:v>
      </x:c>
      <x:c r="P1274" s="4" t="n">
        <x:f>IF(AND('계산 과정'!$L$7,O1274&lt;&gt;0),('계산 과정'!$L$23-'계산 과정'!$C$49*D1274-'계산 과정'!$D$49*E1274)/O1274,"")</x:f>
        <x:v>-8.62891232185598</x:v>
      </x:c>
      <x:c r="Q1274" s="4" t="str">
        <x:f>IF(AND(ISNUMBER(P1274),P1274&gt;1E-9,P1274&lt;1-1E-9),'계산 과정'!$C$47*(D1274-'계산 과정'!$C$50+P1274*('계산 과정'!$C$32-D1274))+'계산 과정'!$D$47*(E1274-'계산 과정'!$D$50+P1274*('계산 과정'!$D$32-E1274))+'계산 과정'!$E$47*(0-'계산 과정'!$E$50+P1274*('계산 과정'!$E$32-0)),"")</x:f>
      </x:c>
      <x:c r="R1274" s="4" t="str">
        <x:f>IF(AND(ISNUMBER(P1274),P1274&gt;1E-9,P1274&lt;1-1E-9),'계산 과정'!$C$48*(D1274-'계산 과정'!$C$50+P1274*('계산 과정'!$C$32-D1274))+'계산 과정'!$D$48*(E1274-'계산 과정'!$D$50+P1274*('계산 과정'!$D$32-E1274))+'계산 과정'!$E$48*(0-'계산 과정'!$E$50+P1274*('계산 과정'!$E$32-0)),"")</x:f>
      </x:c>
      <x:c r="S1274" s="17" t="n">
        <x:f>IF('계산 과정'!$C$78,IF(AND(ISNUMBER(Q1274),ISNUMBER(R1274),ABS(Q1274-'계산 과정'!$C$88)&lt;='계산 과정'!$D$23/2,ABS(R1274-'계산 과정'!$C$89)&lt;='계산 과정'!$D$24/2),1,0),"")</x:f>
        <x:v>0</x:v>
      </x:c>
      <x:c r="T1274" s="4"/>
      <x:c r="U1274" s="4"/>
      <x:c r="V1274" s="4"/>
      <x:c r="W1274" s="4"/>
      <x:c r="X1274" s="4"/>
      <x:c r="Y1274" s="4"/>
      <x:c r="Z1274" s="4"/>
    </x:row>
    <x:row r="1275" ht="23" customHeight="1">
      <x:c r="A1275" s="17" t="n">
        <x:f>ROW()-6</x:f>
        <x:v>1269</x:v>
      </x:c>
      <x:c r="B1275" s="4" t="n">
        <x:f>IF('계산 과정'!$L$5,'계산 과정'!$L$11*SQRT((A1275+0.5)/'계산 과정'!$L$30),"")</x:f>
        <x:v>118.09802519385114</x:v>
      </x:c>
      <x:c r="C1275" s="4" t="n">
        <x:f>A1275*PI()*(3-SQRT(5))</x:f>
        <x:v>3045.5533385256604</x:v>
      </x:c>
      <x:c r="D1275" s="4" t="n">
        <x:f>IF('계산 과정'!$L$5,B1275*COS(C1275),"")</x:f>
        <x:v>-25.857666322660638</x:v>
      </x:c>
      <x:c r="E1275" s="4" t="n">
        <x:f>IF('계산 과정'!$L$5,B1275*SIN(C1275),"")</x:f>
        <x:v>-115.2324808681712</x:v>
      </x:c>
      <x:c r="F1275" s="4" t="n">
        <x:f>IF('계산 과정'!$L$7,'계산 과정'!$L$22+'계산 과정'!$C$49*D1275+'계산 과정'!$D$49*E1275,"")</x:f>
        <x:v>668.2841312024124</x:v>
      </x:c>
      <x:c r="G1275" s="4" t="n">
        <x:f>IF('계산 과정'!$L$7,IF(ABS(F1275)&gt;=1E-12*MAX(1,SQRT((D1275-'계산 과정'!$C$33)^2+(E1275-'계산 과정'!$D$33)^2+'계산 과정'!$E$33^2)),('계산 과정'!$L$23-'계산 과정'!$C$49*D1275-'계산 과정'!$D$49*E1275)/F1275,""),"")</x:f>
        <x:v>0.5711879887238743</x:v>
      </x:c>
      <x:c r="H1275" s="4" t="n">
        <x:f>IF(AND(ISNUMBER(G1275),G1275&gt;0),('계산 과정'!$D$56+'계산 과정'!$D$57*D1275+'계산 과정'!$D$58*E1275)/F1275,"")</x:f>
        <x:v>-28.727807329481816</x:v>
      </x:c>
      <x:c r="I1275" s="4" t="n">
        <x:f>IF(AND(ISNUMBER(G1275),G1275&gt;0),('계산 과정'!$E$56+'계산 과정'!$E$57*D1275+'계산 과정'!$E$58*E1275)/F1275,"")</x:f>
        <x:v>-181.05188985092423</x:v>
      </x:c>
      <x:c r="J1275" s="4" t="n">
        <x:f>IF('계산 과정'!$L$5,'계산 과정'!$D$6+'계산 과정'!$C$35*D1275+'계산 과정'!$D$35*E1275,"")</x:f>
        <x:v>668.2841312024124</x:v>
      </x:c>
      <x:c r="K1275" s="4" t="n">
        <x:f>IF(AND('계산 과정'!$L$6,J1275&gt;0),'계산 과정'!$D$10*('계산 과정'!$C$38*(D1275-'계산 과정'!$C$32)+'계산 과정'!$D$38*(E1275-'계산 과정'!$D$32)-'계산 과정'!$E$38*'계산 과정'!$E$32)/J1275,"")</x:f>
        <x:v>-0.21887853203414645</x:v>
      </x:c>
      <x:c r="L1275" s="4" t="n">
        <x:f>IF(AND('계산 과정'!$L$6,J1275&gt;0),'계산 과정'!$D$10*('계산 과정'!$C$39*(D1275-'계산 과정'!$C$32)+'계산 과정'!$D$39*(E1275-'계산 과정'!$D$32)-'계산 과정'!$E$39*'계산 과정'!$E$32)/J1275,"")</x:f>
        <x:v>-1.379442970292756</x:v>
      </x:c>
      <x:c r="M1275" s="17" t="n">
        <x:f>IF('계산 과정'!$L$6,IF(J1275&lt;=0,0,IF(AND(ABS(K1275)&lt;='계산 과정'!$D$11/2,ABS(L1275)&lt;='계산 과정'!$D$12/2),1,0)),"")</x:f>
        <x:v>1</x:v>
      </x:c>
      <x:c r="N1275" s="17" t="n">
        <x:f>IF('계산 과정'!$C$78,IF(AND(ISNUMBER(H1275),ISNUMBER(I1275),ABS(H1275-'계산 과정'!$C$88)&lt;='계산 과정'!$D$23/2,ABS(I1275-'계산 과정'!$C$89)&lt;='계산 과정'!$D$24/2),1,0),"")</x:f>
        <x:v>1</x:v>
      </x:c>
      <x:c r="O1275" s="4" t="n">
        <x:f>IF('계산 과정'!$L$7,'계산 과정'!$C$49*('계산 과정'!$C$32-D1275)+'계산 과정'!$D$49*('계산 과정'!$D$32-E1275)+'계산 과정'!$E$49*'계산 과정'!$E$32,"")</x:f>
        <x:v>-18.284131202412254</x:v>
      </x:c>
      <x:c r="P1275" s="4" t="n">
        <x:f>IF(AND('계산 과정'!$L$7,O1275&lt;&gt;0),('계산 과정'!$L$23-'계산 과정'!$C$49*D1275-'계산 과정'!$D$49*E1275)/O1275,"")</x:f>
        <x:v>-20.876893989211105</x:v>
      </x:c>
      <x:c r="Q1275" s="4" t="str">
        <x:f>IF(AND(ISNUMBER(P1275),P1275&gt;1E-9,P1275&lt;1-1E-9),'계산 과정'!$C$47*(D1275-'계산 과정'!$C$50+P1275*('계산 과정'!$C$32-D1275))+'계산 과정'!$D$47*(E1275-'계산 과정'!$D$50+P1275*('계산 과정'!$D$32-E1275))+'계산 과정'!$E$47*(0-'계산 과정'!$E$50+P1275*('계산 과정'!$E$32-0)),"")</x:f>
      </x:c>
      <x:c r="R1275" s="4" t="str">
        <x:f>IF(AND(ISNUMBER(P1275),P1275&gt;1E-9,P1275&lt;1-1E-9),'계산 과정'!$C$48*(D1275-'계산 과정'!$C$50+P1275*('계산 과정'!$C$32-D1275))+'계산 과정'!$D$48*(E1275-'계산 과정'!$D$50+P1275*('계산 과정'!$D$32-E1275))+'계산 과정'!$E$48*(0-'계산 과정'!$E$50+P1275*('계산 과정'!$E$32-0)),"")</x:f>
      </x:c>
      <x:c r="S1275" s="17" t="n">
        <x:f>IF('계산 과정'!$C$78,IF(AND(ISNUMBER(Q1275),ISNUMBER(R1275),ABS(Q1275-'계산 과정'!$C$88)&lt;='계산 과정'!$D$23/2,ABS(R1275-'계산 과정'!$C$89)&lt;='계산 과정'!$D$24/2),1,0),"")</x:f>
        <x:v>0</x:v>
      </x:c>
      <x:c r="T1275" s="4"/>
      <x:c r="U1275" s="4"/>
      <x:c r="V1275" s="4"/>
      <x:c r="W1275" s="4"/>
      <x:c r="X1275" s="4"/>
      <x:c r="Y1275" s="4"/>
      <x:c r="Z1275" s="4"/>
    </x:row>
    <x:row r="1276" ht="23" customHeight="1">
      <x:c r="A1276" s="17" t="n">
        <x:f>ROW()-6</x:f>
        <x:v>1270</x:v>
      </x:c>
      <x:c r="B1276" s="4" t="n">
        <x:f>IF('계산 과정'!$L$5,'계산 과정'!$L$11*SQRT((A1276+0.5)/'계산 과정'!$L$30),"")</x:f>
        <x:v>118.14452963558024</x:v>
      </x:c>
      <x:c r="C1276" s="4" t="n">
        <x:f>A1276*PI()*(3-SQRT(5))</x:f>
        <x:v>3047.953301755389</x:v>
      </x:c>
      <x:c r="D1276" s="4" t="n">
        <x:f>IF('계산 과정'!$L$5,B1276*COS(C1276),"")</x:f>
        <x:v>96.94321992805143</x:v>
      </x:c>
      <x:c r="E1276" s="4" t="n">
        <x:f>IF('계산 과정'!$L$5,B1276*SIN(C1276),"")</x:f>
        <x:v>67.52882342225391</x:v>
      </x:c>
      <x:c r="F1276" s="4" t="n">
        <x:f>IF('계산 과정'!$L$7,'계산 과정'!$L$22+'계산 과정'!$C$49*D1276+'계산 과정'!$D$49*E1276,"")</x:f>
        <x:v>581.450791798816</x:v>
      </x:c>
      <x:c r="G1276" s="4" t="n">
        <x:f>IF('계산 과정'!$L$7,IF(ABS(F1276)&gt;=1E-12*MAX(1,SQRT((D1276-'계산 과정'!$C$33)^2+(E1276-'계산 과정'!$D$33)^2+'계산 과정'!$E$33^2)),('계산 과정'!$L$23-'계산 과정'!$C$49*D1276-'계산 과정'!$D$49*E1276)/F1276,""),"")</x:f>
        <x:v>0.8058277928415026</x:v>
      </x:c>
      <x:c r="H1276" s="4" t="n">
        <x:f>IF(AND(ISNUMBER(G1276),G1276&gt;0),('계산 과정'!$D$56+'계산 과정'!$D$57*D1276+'계산 과정'!$D$58*E1276)/F1276,"")</x:f>
        <x:v>123.78806534697668</x:v>
      </x:c>
      <x:c r="I1276" s="4" t="n">
        <x:f>IF(AND(ISNUMBER(G1276),G1276&gt;0),('계산 과정'!$E$56+'계산 과정'!$E$57*D1276+'계산 과정'!$E$58*E1276)/F1276,"")</x:f>
        <x:v>121.94542615379235</x:v>
      </x:c>
      <x:c r="J1276" s="4" t="n">
        <x:f>IF('계산 과정'!$L$5,'계산 과정'!$D$6+'계산 과정'!$C$35*D1276+'계산 과정'!$D$35*E1276,"")</x:f>
        <x:v>581.450791798816</x:v>
      </x:c>
      <x:c r="K1276" s="4" t="n">
        <x:f>IF(AND('계산 과정'!$L$6,J1276&gt;0),'계산 과정'!$D$10*('계산 과정'!$C$38*(D1276-'계산 과정'!$C$32)+'계산 과정'!$D$38*(E1276-'계산 과정'!$D$32)-'계산 과정'!$E$38*'계산 과정'!$E$32)/J1276,"")</x:f>
        <x:v>0.943147164548395</x:v>
      </x:c>
      <x:c r="L1276" s="4" t="n">
        <x:f>IF(AND('계산 과정'!$L$6,J1276&gt;0),'계산 과정'!$D$10*('계산 과정'!$C$39*(D1276-'계산 과정'!$C$32)+'계산 과정'!$D$39*(E1276-'계산 과정'!$D$32)-'계산 과정'!$E$39*'계산 과정'!$E$32)/J1276,"")</x:f>
        <x:v>0.9291080087907988</x:v>
      </x:c>
      <x:c r="M1276" s="17" t="n">
        <x:f>IF('계산 과정'!$L$6,IF(J1276&lt;=0,0,IF(AND(ABS(K1276)&lt;='계산 과정'!$D$11/2,ABS(L1276)&lt;='계산 과정'!$D$12/2),1,0)),"")</x:f>
        <x:v>1</x:v>
      </x:c>
      <x:c r="N1276" s="17" t="n">
        <x:f>IF('계산 과정'!$C$78,IF(AND(ISNUMBER(H1276),ISNUMBER(I1276),ABS(H1276-'계산 과정'!$C$88)&lt;='계산 과정'!$D$23/2,ABS(I1276-'계산 과정'!$C$89)&lt;='계산 과정'!$D$24/2),1,0),"")</x:f>
        <x:v>1</x:v>
      </x:c>
      <x:c r="O1276" s="4" t="n">
        <x:f>IF('계산 과정'!$L$7,'계산 과정'!$C$49*('계산 과정'!$C$32-D1276)+'계산 과정'!$D$49*('계산 과정'!$D$32-E1276)+'계산 과정'!$E$49*'계산 과정'!$E$32,"")</x:f>
        <x:v>68.54920820118417</x:v>
      </x:c>
      <x:c r="P1276" s="4" t="n">
        <x:f>IF(AND('계산 과정'!$L$7,O1276&lt;&gt;0),('계산 과정'!$L$23-'계산 과정'!$C$49*D1276-'계산 과정'!$D$49*E1276)/O1276,"")</x:f>
        <x:v>6.83522422062185</x:v>
      </x:c>
      <x:c r="Q1276" s="4" t="str">
        <x:f>IF(AND(ISNUMBER(P1276),P1276&gt;1E-9,P1276&lt;1-1E-9),'계산 과정'!$C$47*(D1276-'계산 과정'!$C$50+P1276*('계산 과정'!$C$32-D1276))+'계산 과정'!$D$47*(E1276-'계산 과정'!$D$50+P1276*('계산 과정'!$D$32-E1276))+'계산 과정'!$E$47*(0-'계산 과정'!$E$50+P1276*('계산 과정'!$E$32-0)),"")</x:f>
      </x:c>
      <x:c r="R1276" s="4" t="str">
        <x:f>IF(AND(ISNUMBER(P1276),P1276&gt;1E-9,P1276&lt;1-1E-9),'계산 과정'!$C$48*(D1276-'계산 과정'!$C$50+P1276*('계산 과정'!$C$32-D1276))+'계산 과정'!$D$48*(E1276-'계산 과정'!$D$50+P1276*('계산 과정'!$D$32-E1276))+'계산 과정'!$E$48*(0-'계산 과정'!$E$50+P1276*('계산 과정'!$E$32-0)),"")</x:f>
      </x:c>
      <x:c r="S1276" s="17" t="n">
        <x:f>IF('계산 과정'!$C$78,IF(AND(ISNUMBER(Q1276),ISNUMBER(R1276),ABS(Q1276-'계산 과정'!$C$88)&lt;='계산 과정'!$D$23/2,ABS(R1276-'계산 과정'!$C$89)&lt;='계산 과정'!$D$24/2),1,0),"")</x:f>
        <x:v>0</x:v>
      </x:c>
      <x:c r="T1276" s="4"/>
      <x:c r="U1276" s="4"/>
      <x:c r="V1276" s="4"/>
      <x:c r="W1276" s="4"/>
      <x:c r="X1276" s="4"/>
      <x:c r="Y1276" s="4"/>
      <x:c r="Z1276" s="4"/>
    </x:row>
    <x:row r="1277" ht="23" customHeight="1">
      <x:c r="A1277" s="17" t="n">
        <x:f>ROW()-6</x:f>
        <x:v>1271</x:v>
      </x:c>
      <x:c r="B1277" s="4" t="n">
        <x:f>IF('계산 과정'!$L$5,'계산 과정'!$L$11*SQRT((A1277+0.5)/'계산 과정'!$L$30),"")</x:f>
        <x:v>118.19101577927783</x:v>
      </x:c>
      <x:c r="C1277" s="4" t="n">
        <x:f>A1277*PI()*(3-SQRT(5))</x:f>
        <x:v>3050.353264985118</x:v>
      </x:c>
      <x:c r="D1277" s="4" t="n">
        <x:f>IF('계산 과정'!$L$5,B1277*COS(C1277),"")</x:f>
        <x:v>-117.14405247899317</x:v>
      </x:c>
      <x:c r="E1277" s="4" t="n">
        <x:f>IF('계산 과정'!$L$5,B1277*SIN(C1277),"")</x:f>
        <x:v>15.696725127758162</x:v>
      </x:c>
      <x:c r="F1277" s="4" t="n">
        <x:f>IF('계산 과정'!$L$7,'계산 과정'!$L$22+'계산 과정'!$C$49*D1277+'계산 과정'!$D$49*E1277,"")</x:f>
        <x:v>732.8333538835689</x:v>
      </x:c>
      <x:c r="G1277" s="4" t="n">
        <x:f>IF('계산 과정'!$L$7,IF(ABS(F1277)&gt;=1E-12*MAX(1,SQRT((D1277-'계산 과정'!$C$33)^2+(E1277-'계산 과정'!$D$33)^2+'계산 과정'!$E$33^2)),('계산 과정'!$L$23-'계산 과정'!$C$49*D1277-'계산 과정'!$D$49*E1277)/F1277,""),"")</x:f>
        <x:v>0.4327950473810202</x:v>
      </x:c>
      <x:c r="H1277" s="4" t="n">
        <x:f>IF(AND(ISNUMBER(G1277),G1277&gt;0),('계산 과정'!$D$56+'계산 과정'!$D$57*D1277+'계산 과정'!$D$58*E1277)/F1277,"")</x:f>
        <x:v>-118.683219202337</x:v>
      </x:c>
      <x:c r="I1277" s="4" t="n">
        <x:f>IF(AND(ISNUMBER(G1277),G1277&gt;0),('계산 과정'!$E$56+'계산 과정'!$E$57*D1277+'계산 과정'!$E$58*E1277)/F1277,"")</x:f>
        <x:v>22.490190023153104</x:v>
      </x:c>
      <x:c r="J1277" s="4" t="n">
        <x:f>IF('계산 과정'!$L$5,'계산 과정'!$D$6+'계산 과정'!$C$35*D1277+'계산 과정'!$D$35*E1277,"")</x:f>
        <x:v>732.8333538835689</x:v>
      </x:c>
      <x:c r="K1277" s="4" t="n">
        <x:f>IF(AND('계산 과정'!$L$6,J1277&gt;0),'계산 과정'!$D$10*('계산 과정'!$C$38*(D1277-'계산 과정'!$C$32)+'계산 과정'!$D$38*(E1277-'계산 과정'!$D$32)-'계산 과정'!$E$38*'계산 과정'!$E$32)/J1277,"")</x:f>
        <x:v>-0.9042530986844719</x:v>
      </x:c>
      <x:c r="L1277" s="4" t="n">
        <x:f>IF(AND('계산 과정'!$L$6,J1277&gt;0),'계산 과정'!$D$10*('계산 과정'!$C$39*(D1277-'계산 과정'!$C$32)+'계산 과정'!$D$39*(E1277-'계산 과정'!$D$32)-'계산 과정'!$E$39*'계산 과정'!$E$32)/J1277,"")</x:f>
        <x:v>0.1713538287478332</x:v>
      </x:c>
      <x:c r="M1277" s="17" t="n">
        <x:f>IF('계산 과정'!$L$6,IF(J1277&lt;=0,0,IF(AND(ABS(K1277)&lt;='계산 과정'!$D$11/2,ABS(L1277)&lt;='계산 과정'!$D$12/2),1,0)),"")</x:f>
        <x:v>1</x:v>
      </x:c>
      <x:c r="N1277" s="17" t="n">
        <x:f>IF('계산 과정'!$C$78,IF(AND(ISNUMBER(H1277),ISNUMBER(I1277),ABS(H1277-'계산 과정'!$C$88)&lt;='계산 과정'!$D$23/2,ABS(I1277-'계산 과정'!$C$89)&lt;='계산 과정'!$D$24/2),1,0),"")</x:f>
        <x:v>1</x:v>
      </x:c>
      <x:c r="O1277" s="4" t="n">
        <x:f>IF('계산 과정'!$L$7,'계산 과정'!$C$49*('계산 과정'!$C$32-D1277)+'계산 과정'!$D$49*('계산 과정'!$D$32-E1277)+'계산 과정'!$E$49*'계산 과정'!$E$32,"")</x:f>
        <x:v>-82.83335388356875</x:v>
      </x:c>
      <x:c r="P1277" s="4" t="n">
        <x:f>IF(AND('계산 과정'!$L$7,O1277&lt;&gt;0),('계산 과정'!$L$23-'계산 과정'!$C$49*D1277-'계산 과정'!$D$49*E1277)/O1277,"")</x:f>
        <x:v>-3.828972645031894</x:v>
      </x:c>
      <x:c r="Q1277" s="4" t="str">
        <x:f>IF(AND(ISNUMBER(P1277),P1277&gt;1E-9,P1277&lt;1-1E-9),'계산 과정'!$C$47*(D1277-'계산 과정'!$C$50+P1277*('계산 과정'!$C$32-D1277))+'계산 과정'!$D$47*(E1277-'계산 과정'!$D$50+P1277*('계산 과정'!$D$32-E1277))+'계산 과정'!$E$47*(0-'계산 과정'!$E$50+P1277*('계산 과정'!$E$32-0)),"")</x:f>
      </x:c>
      <x:c r="R1277" s="4" t="str">
        <x:f>IF(AND(ISNUMBER(P1277),P1277&gt;1E-9,P1277&lt;1-1E-9),'계산 과정'!$C$48*(D1277-'계산 과정'!$C$50+P1277*('계산 과정'!$C$32-D1277))+'계산 과정'!$D$48*(E1277-'계산 과정'!$D$50+P1277*('계산 과정'!$D$32-E1277))+'계산 과정'!$E$48*(0-'계산 과정'!$E$50+P1277*('계산 과정'!$E$32-0)),"")</x:f>
      </x:c>
      <x:c r="S1277" s="17" t="n">
        <x:f>IF('계산 과정'!$C$78,IF(AND(ISNUMBER(Q1277),ISNUMBER(R1277),ABS(Q1277-'계산 과정'!$C$88)&lt;='계산 과정'!$D$23/2,ABS(R1277-'계산 과정'!$C$89)&lt;='계산 과정'!$D$24/2),1,0),"")</x:f>
        <x:v>0</x:v>
      </x:c>
      <x:c r="T1277" s="4"/>
      <x:c r="U1277" s="4"/>
      <x:c r="V1277" s="4"/>
      <x:c r="W1277" s="4"/>
      <x:c r="X1277" s="4"/>
      <x:c r="Y1277" s="4"/>
      <x:c r="Z1277" s="4"/>
    </x:row>
    <x:row r="1278" ht="23" customHeight="1">
      <x:c r="A1278" s="17" t="n">
        <x:f>ROW()-6</x:f>
        <x:v>1272</x:v>
      </x:c>
      <x:c r="B1278" s="4" t="n">
        <x:f>IF('계산 과정'!$L$5,'계산 과정'!$L$11*SQRT((A1278+0.5)/'계산 과정'!$L$30),"")</x:f>
        <x:v>118.23748364652599</x:v>
      </x:c>
      <x:c r="C1278" s="4" t="n">
        <x:f>A1278*PI()*(3-SQRT(5))</x:f>
        <x:v>3052.7532282148463</x:v>
      </x:c>
      <x:c r="D1278" s="4" t="n">
        <x:f>IF('계산 과정'!$L$5,B1278*COS(C1278),"")</x:f>
        <x:v>75.80518485585473</x:v>
      </x:c>
      <x:c r="E1278" s="4" t="n">
        <x:f>IF('계산 과정'!$L$5,B1278*SIN(C1278),"")</x:f>
        <x:v>-90.73960815449993</x:v>
      </x:c>
      <x:c r="F1278" s="4" t="n">
        <x:f>IF('계산 과정'!$L$7,'계산 과정'!$L$22+'계산 과정'!$C$49*D1278+'계산 과정'!$D$49*E1278,"")</x:f>
        <x:v>596.3976397393253</x:v>
      </x:c>
      <x:c r="G1278" s="4" t="n">
        <x:f>IF('계산 과정'!$L$7,IF(ABS(F1278)&gt;=1E-12*MAX(1,SQRT((D1278-'계산 과정'!$C$33)^2+(E1278-'계산 과정'!$D$33)^2+'계산 과정'!$E$33^2)),('계산 과정'!$L$23-'계산 과정'!$C$49*D1278-'계산 과정'!$D$49*E1278)/F1278,""),"")</x:f>
        <x:v>0.760570347761497</x:v>
      </x:c>
      <x:c r="H1278" s="4" t="n">
        <x:f>IF(AND(ISNUMBER(G1278),G1278&gt;0),('계산 과정'!$D$56+'계산 과정'!$D$57*D1278+'계산 과정'!$D$58*E1278)/F1278,"")</x:f>
        <x:v>94.37072604497294</x:v>
      </x:c>
      <x:c r="I1278" s="4" t="n">
        <x:f>IF(AND(ISNUMBER(G1278),G1278&gt;0),('계산 과정'!$E$56+'계산 과정'!$E$57*D1278+'계산 과정'!$E$58*E1278)/F1278,"")</x:f>
        <x:v>-159.75346348430992</x:v>
      </x:c>
      <x:c r="J1278" s="4" t="n">
        <x:f>IF('계산 과정'!$L$5,'계산 과정'!$D$6+'계산 과정'!$C$35*D1278+'계산 과정'!$D$35*E1278,"")</x:f>
        <x:v>596.3976397393253</x:v>
      </x:c>
      <x:c r="K1278" s="4" t="n">
        <x:f>IF(AND('계산 과정'!$L$6,J1278&gt;0),'계산 과정'!$D$10*('계산 과정'!$C$38*(D1278-'계산 과정'!$C$32)+'계산 과정'!$D$38*(E1278-'계산 과정'!$D$32)-'계산 과정'!$E$38*'계산 과정'!$E$32)/J1278,"")</x:f>
        <x:v>0.7190150555807473</x:v>
      </x:c>
      <x:c r="L1278" s="4" t="n">
        <x:f>IF(AND('계산 과정'!$L$6,J1278&gt;0),'계산 과정'!$D$10*('계산 과정'!$C$39*(D1278-'계산 과정'!$C$32)+'계산 과정'!$D$39*(E1278-'계산 과정'!$D$32)-'계산 과정'!$E$39*'계산 과정'!$E$32)/J1278,"")</x:f>
        <x:v>-1.2171692455947423</x:v>
      </x:c>
      <x:c r="M1278" s="17" t="n">
        <x:f>IF('계산 과정'!$L$6,IF(J1278&lt;=0,0,IF(AND(ABS(K1278)&lt;='계산 과정'!$D$11/2,ABS(L1278)&lt;='계산 과정'!$D$12/2),1,0)),"")</x:f>
        <x:v>1</x:v>
      </x:c>
      <x:c r="N1278" s="17" t="n">
        <x:f>IF('계산 과정'!$C$78,IF(AND(ISNUMBER(H1278),ISNUMBER(I1278),ABS(H1278-'계산 과정'!$C$88)&lt;='계산 과정'!$D$23/2,ABS(I1278-'계산 과정'!$C$89)&lt;='계산 과정'!$D$24/2),1,0),"")</x:f>
        <x:v>1</x:v>
      </x:c>
      <x:c r="O1278" s="4" t="n">
        <x:f>IF('계산 과정'!$L$7,'계산 과정'!$C$49*('계산 과정'!$C$32-D1278)+'계산 과정'!$D$49*('계산 과정'!$D$32-E1278)+'계산 과정'!$E$49*'계산 과정'!$E$32,"")</x:f>
        <x:v>53.6023602606748</x:v>
      </x:c>
      <x:c r="P1278" s="4" t="n">
        <x:f>IF(AND('계산 과정'!$L$7,O1278&lt;&gt;0),('계산 과정'!$L$23-'계산 과정'!$C$49*D1278-'계산 과정'!$D$49*E1278)/O1278,"")</x:f>
        <x:v>8.462357964364838</x:v>
      </x:c>
      <x:c r="Q1278" s="4" t="str">
        <x:f>IF(AND(ISNUMBER(P1278),P1278&gt;1E-9,P1278&lt;1-1E-9),'계산 과정'!$C$47*(D1278-'계산 과정'!$C$50+P1278*('계산 과정'!$C$32-D1278))+'계산 과정'!$D$47*(E1278-'계산 과정'!$D$50+P1278*('계산 과정'!$D$32-E1278))+'계산 과정'!$E$47*(0-'계산 과정'!$E$50+P1278*('계산 과정'!$E$32-0)),"")</x:f>
      </x:c>
      <x:c r="R1278" s="4" t="str">
        <x:f>IF(AND(ISNUMBER(P1278),P1278&gt;1E-9,P1278&lt;1-1E-9),'계산 과정'!$C$48*(D1278-'계산 과정'!$C$50+P1278*('계산 과정'!$C$32-D1278))+'계산 과정'!$D$48*(E1278-'계산 과정'!$D$50+P1278*('계산 과정'!$D$32-E1278))+'계산 과정'!$E$48*(0-'계산 과정'!$E$50+P1278*('계산 과정'!$E$32-0)),"")</x:f>
      </x:c>
      <x:c r="S1278" s="17" t="n">
        <x:f>IF('계산 과정'!$C$78,IF(AND(ISNUMBER(Q1278),ISNUMBER(R1278),ABS(Q1278-'계산 과정'!$C$88)&lt;='계산 과정'!$D$23/2,ABS(R1278-'계산 과정'!$C$89)&lt;='계산 과정'!$D$24/2),1,0),"")</x:f>
        <x:v>0</x:v>
      </x:c>
      <x:c r="T1278" s="4"/>
      <x:c r="U1278" s="4"/>
      <x:c r="V1278" s="4"/>
      <x:c r="W1278" s="4"/>
      <x:c r="X1278" s="4"/>
      <x:c r="Y1278" s="4"/>
      <x:c r="Z1278" s="4"/>
    </x:row>
    <x:row r="1279" ht="23" customHeight="1">
      <x:c r="A1279" s="17" t="n">
        <x:f>ROW()-6</x:f>
        <x:v>1273</x:v>
      </x:c>
      <x:c r="B1279" s="4" t="n">
        <x:f>IF('계산 과정'!$L$5,'계산 과정'!$L$11*SQRT((A1279+0.5)/'계산 과정'!$L$30),"")</x:f>
        <x:v>118.28393325886445</x:v>
      </x:c>
      <x:c r="C1279" s="4" t="n">
        <x:f>A1279*PI()*(3-SQRT(5))</x:f>
        <x:v>3055.153191444575</x:v>
      </x:c>
      <x:c r="D1279" s="4" t="n">
        <x:f>IF('계산 과정'!$L$5,B1279*COS(C1279),"")</x:f>
        <x:v>5.399460849764833</x:v>
      </x:c>
      <x:c r="E1279" s="4" t="n">
        <x:f>IF('계산 과정'!$L$5,B1279*SIN(C1279),"")</x:f>
        <x:v>118.16063087898335</x:v>
      </x:c>
      <x:c r="F1279" s="4" t="n">
        <x:f>IF('계산 과정'!$L$7,'계산 과정'!$L$22+'계산 과정'!$C$49*D1279+'계산 과정'!$D$49*E1279,"")</x:f>
        <x:v>646.18200461838</x:v>
      </x:c>
      <x:c r="G1279" s="4" t="n">
        <x:f>IF('계산 과정'!$L$7,IF(ABS(F1279)&gt;=1E-12*MAX(1,SQRT((D1279-'계산 과정'!$C$33)^2+(E1279-'계산 과정'!$D$33)^2+'계산 과정'!$E$33^2)),('계산 과정'!$L$23-'계산 과정'!$C$49*D1279-'계산 과정'!$D$49*E1279)/F1279,""),"")</x:f>
        <x:v>0.624929187899786</x:v>
      </x:c>
      <x:c r="H1279" s="4" t="n">
        <x:f>IF(AND(ISNUMBER(G1279),G1279&gt;0),('계산 과정'!$D$56+'계산 과정'!$D$57*D1279+'계산 과정'!$D$58*E1279)/F1279,"")</x:f>
        <x:v>6.203972134860795</x:v>
      </x:c>
      <x:c r="I1279" s="4" t="n">
        <x:f>IF(AND(ISNUMBER(G1279),G1279&gt;0),('계산 과정'!$E$56+'계산 과정'!$E$57*D1279+'계산 과정'!$E$58*E1279)/F1279,"")</x:f>
        <x:v>192.0026579759128</x:v>
      </x:c>
      <x:c r="J1279" s="4" t="n">
        <x:f>IF('계산 과정'!$L$5,'계산 과정'!$D$6+'계산 과정'!$C$35*D1279+'계산 과정'!$D$35*E1279,"")</x:f>
        <x:v>646.18200461838</x:v>
      </x:c>
      <x:c r="K1279" s="4" t="n">
        <x:f>IF(AND('계산 과정'!$L$6,J1279&gt;0),'계산 과정'!$D$10*('계산 과정'!$C$38*(D1279-'계산 과정'!$C$32)+'계산 과정'!$D$38*(E1279-'계산 과정'!$D$32)-'계산 과정'!$E$38*'계산 과정'!$E$32)/J1279,"")</x:f>
        <x:v>0.04726835912274979</x:v>
      </x:c>
      <x:c r="L1279" s="4" t="n">
        <x:f>IF(AND('계산 과정'!$L$6,J1279&gt;0),'계산 과정'!$D$10*('계산 과정'!$C$39*(D1279-'계산 과정'!$C$32)+'계산 과정'!$D$39*(E1279-'계산 과정'!$D$32)-'계산 과정'!$E$39*'계산 과정'!$E$32)/J1279,"")</x:f>
        <x:v>1.4628773941021929</x:v>
      </x:c>
      <x:c r="M1279" s="17" t="n">
        <x:f>IF('계산 과정'!$L$6,IF(J1279&lt;=0,0,IF(AND(ABS(K1279)&lt;='계산 과정'!$D$11/2,ABS(L1279)&lt;='계산 과정'!$D$12/2),1,0)),"")</x:f>
        <x:v>1</x:v>
      </x:c>
      <x:c r="N1279" s="17" t="n">
        <x:f>IF('계산 과정'!$C$78,IF(AND(ISNUMBER(H1279),ISNUMBER(I1279),ABS(H1279-'계산 과정'!$C$88)&lt;='계산 과정'!$D$23/2,ABS(I1279-'계산 과정'!$C$89)&lt;='계산 과정'!$D$24/2),1,0),"")</x:f>
        <x:v>1</x:v>
      </x:c>
      <x:c r="O1279" s="4" t="n">
        <x:f>IF('계산 과정'!$L$7,'계산 과정'!$C$49*('계산 과정'!$C$32-D1279)+'계산 과정'!$D$49*('계산 과정'!$D$32-E1279)+'계산 과정'!$E$49*'계산 과정'!$E$32,"")</x:f>
        <x:v>3.8179953816201078</x:v>
      </x:c>
      <x:c r="P1279" s="4" t="n">
        <x:f>IF(AND('계산 과정'!$L$7,O1279&lt;&gt;0),('계산 과정'!$L$23-'계산 과정'!$C$49*D1279-'계산 과정'!$D$49*E1279)/O1279,"")</x:f>
        <x:v>105.76702039127822</x:v>
      </x:c>
      <x:c r="Q1279" s="4" t="str">
        <x:f>IF(AND(ISNUMBER(P1279),P1279&gt;1E-9,P1279&lt;1-1E-9),'계산 과정'!$C$47*(D1279-'계산 과정'!$C$50+P1279*('계산 과정'!$C$32-D1279))+'계산 과정'!$D$47*(E1279-'계산 과정'!$D$50+P1279*('계산 과정'!$D$32-E1279))+'계산 과정'!$E$47*(0-'계산 과정'!$E$50+P1279*('계산 과정'!$E$32-0)),"")</x:f>
      </x:c>
      <x:c r="R1279" s="4" t="str">
        <x:f>IF(AND(ISNUMBER(P1279),P1279&gt;1E-9,P1279&lt;1-1E-9),'계산 과정'!$C$48*(D1279-'계산 과정'!$C$50+P1279*('계산 과정'!$C$32-D1279))+'계산 과정'!$D$48*(E1279-'계산 과정'!$D$50+P1279*('계산 과정'!$D$32-E1279))+'계산 과정'!$E$48*(0-'계산 과정'!$E$50+P1279*('계산 과정'!$E$32-0)),"")</x:f>
      </x:c>
      <x:c r="S1279" s="17" t="n">
        <x:f>IF('계산 과정'!$C$78,IF(AND(ISNUMBER(Q1279),ISNUMBER(R1279),ABS(Q1279-'계산 과정'!$C$88)&lt;='계산 과정'!$D$23/2,ABS(R1279-'계산 과정'!$C$89)&lt;='계산 과정'!$D$24/2),1,0),"")</x:f>
        <x:v>0</x:v>
      </x:c>
      <x:c r="T1279" s="4"/>
      <x:c r="U1279" s="4"/>
      <x:c r="V1279" s="4"/>
      <x:c r="W1279" s="4"/>
      <x:c r="X1279" s="4"/>
      <x:c r="Y1279" s="4"/>
      <x:c r="Z1279" s="4"/>
    </x:row>
    <x:row r="1280" ht="23" customHeight="1">
      <x:c r="A1280" s="17" t="n">
        <x:f>ROW()-6</x:f>
        <x:v>1274</x:v>
      </x:c>
      <x:c r="B1280" s="4" t="n">
        <x:f>IF('계산 과정'!$L$5,'계산 과정'!$L$11*SQRT((A1280+0.5)/'계산 과정'!$L$30),"")</x:f>
        <x:v>118.33036463779067</x:v>
      </x:c>
      <x:c r="C1280" s="4" t="n">
        <x:f>A1280*PI()*(3-SQRT(5))</x:f>
        <x:v>3057.5531546743036</x:v>
      </x:c>
      <x:c r="D1280" s="4" t="n">
        <x:f>IF('계산 과정'!$L$5,B1280*COS(C1280),"")</x:f>
        <x:v>-83.83064782618874</x:v>
      </x:c>
      <x:c r="E1280" s="4" t="n">
        <x:f>IF('계산 과정'!$L$5,B1280*SIN(C1280),"")</x:f>
        <x:v>-83.51345807924622</x:v>
      </x:c>
      <x:c r="F1280" s="4" t="n">
        <x:f>IF('계산 과정'!$L$7,'계산 과정'!$L$22+'계산 과정'!$C$49*D1280+'계산 과정'!$D$49*E1280,"")</x:f>
        <x:v>709.2772195491593</x:v>
      </x:c>
      <x:c r="G1280" s="4" t="n">
        <x:f>IF('계산 과정'!$L$7,IF(ABS(F1280)&gt;=1E-12*MAX(1,SQRT((D1280-'계산 과정'!$C$33)^2+(E1280-'계산 과정'!$D$33)^2+'계산 과정'!$E$33^2)),('계산 과정'!$L$23-'계산 과정'!$C$49*D1280-'계산 과정'!$D$49*E1280)/F1280,""),"")</x:f>
        <x:v>0.4803802674889454</x:v>
      </x:c>
      <x:c r="H1280" s="4" t="n">
        <x:f>IF(AND(ISNUMBER(G1280),G1280&gt;0),('계산 과정'!$D$56+'계산 과정'!$D$57*D1280+'계산 과정'!$D$58*E1280)/F1280,"")</x:f>
        <x:v>-87.75282613218562</x:v>
      </x:c>
      <x:c r="I1280" s="4" t="n">
        <x:f>IF(AND(ISNUMBER(G1280),G1280&gt;0),('계산 과정'!$E$56+'계산 과정'!$E$57*D1280+'계산 과정'!$E$58*E1280)/F1280,"")</x:f>
        <x:v>-123.63167541028135</x:v>
      </x:c>
      <x:c r="J1280" s="4" t="n">
        <x:f>IF('계산 과정'!$L$5,'계산 과정'!$D$6+'계산 과정'!$C$35*D1280+'계산 과정'!$D$35*E1280,"")</x:f>
        <x:v>709.2772195491593</x:v>
      </x:c>
      <x:c r="K1280" s="4" t="n">
        <x:f>IF(AND('계산 과정'!$L$6,J1280&gt;0),'계산 과정'!$D$10*('계산 과정'!$C$38*(D1280-'계산 과정'!$C$32)+'계산 과정'!$D$38*(E1280-'계산 과정'!$D$32)-'계산 과정'!$E$38*'계산 과정'!$E$32)/J1280,"")</x:f>
        <x:v>-0.6685929610071277</x:v>
      </x:c>
      <x:c r="L1280" s="4" t="n">
        <x:f>IF(AND('계산 과정'!$L$6,J1280&gt;0),'계산 과정'!$D$10*('계산 과정'!$C$39*(D1280-'계산 과정'!$C$32)+'계산 과정'!$D$39*(E1280-'계산 과정'!$D$32)-'계산 과정'!$E$39*'계산 과정'!$E$32)/J1280,"")</x:f>
        <x:v>-0.9419556221735722</x:v>
      </x:c>
      <x:c r="M1280" s="17" t="n">
        <x:f>IF('계산 과정'!$L$6,IF(J1280&lt;=0,0,IF(AND(ABS(K1280)&lt;='계산 과정'!$D$11/2,ABS(L1280)&lt;='계산 과정'!$D$12/2),1,0)),"")</x:f>
        <x:v>1</x:v>
      </x:c>
      <x:c r="N1280" s="17" t="n">
        <x:f>IF('계산 과정'!$C$78,IF(AND(ISNUMBER(H1280),ISNUMBER(I1280),ABS(H1280-'계산 과정'!$C$88)&lt;='계산 과정'!$D$23/2,ABS(I1280-'계산 과정'!$C$89)&lt;='계산 과정'!$D$24/2),1,0),"")</x:f>
        <x:v>1</x:v>
      </x:c>
      <x:c r="O1280" s="4" t="n">
        <x:f>IF('계산 과정'!$L$7,'계산 과정'!$C$49*('계산 과정'!$C$32-D1280)+'계산 과정'!$D$49*('계산 과정'!$D$32-E1280)+'계산 과정'!$E$49*'계산 과정'!$E$32,"")</x:f>
        <x:v>-59.27721954915927</x:v>
      </x:c>
      <x:c r="P1280" s="4" t="n">
        <x:f>IF(AND('계산 과정'!$L$7,O1280&lt;&gt;0),('계산 과정'!$L$23-'계산 과정'!$C$49*D1280-'계산 과정'!$D$49*E1280)/O1280,"")</x:f>
        <x:v>-5.747954830578303</x:v>
      </x:c>
      <x:c r="Q1280" s="4" t="str">
        <x:f>IF(AND(ISNUMBER(P1280),P1280&gt;1E-9,P1280&lt;1-1E-9),'계산 과정'!$C$47*(D1280-'계산 과정'!$C$50+P1280*('계산 과정'!$C$32-D1280))+'계산 과정'!$D$47*(E1280-'계산 과정'!$D$50+P1280*('계산 과정'!$D$32-E1280))+'계산 과정'!$E$47*(0-'계산 과정'!$E$50+P1280*('계산 과정'!$E$32-0)),"")</x:f>
      </x:c>
      <x:c r="R1280" s="4" t="str">
        <x:f>IF(AND(ISNUMBER(P1280),P1280&gt;1E-9,P1280&lt;1-1E-9),'계산 과정'!$C$48*(D1280-'계산 과정'!$C$50+P1280*('계산 과정'!$C$32-D1280))+'계산 과정'!$D$48*(E1280-'계산 과정'!$D$50+P1280*('계산 과정'!$D$32-E1280))+'계산 과정'!$E$48*(0-'계산 과정'!$E$50+P1280*('계산 과정'!$E$32-0)),"")</x:f>
      </x:c>
      <x:c r="S1280" s="17" t="n">
        <x:f>IF('계산 과정'!$C$78,IF(AND(ISNUMBER(Q1280),ISNUMBER(R1280),ABS(Q1280-'계산 과정'!$C$88)&lt;='계산 과정'!$D$23/2,ABS(R1280-'계산 과정'!$C$89)&lt;='계산 과정'!$D$24/2),1,0),"")</x:f>
        <x:v>0</x:v>
      </x:c>
      <x:c r="T1280" s="4"/>
      <x:c r="U1280" s="4"/>
      <x:c r="V1280" s="4"/>
      <x:c r="W1280" s="4"/>
      <x:c r="X1280" s="4"/>
      <x:c r="Y1280" s="4"/>
      <x:c r="Z1280" s="4"/>
    </x:row>
    <x:row r="1281" ht="23" customHeight="1">
      <x:c r="A1281" s="17" t="n">
        <x:f>ROW()-6</x:f>
        <x:v>1275</x:v>
      </x:c>
      <x:c r="B1281" s="4" t="n">
        <x:f>IF('계산 과정'!$L$5,'계산 과정'!$L$11*SQRT((A1281+0.5)/'계산 과정'!$L$30),"")</x:f>
        <x:v>118.37677780475991</x:v>
      </x:c>
      <x:c r="C1281" s="4" t="n">
        <x:f>A1281*PI()*(3-SQRT(5))</x:f>
        <x:v>3059.9531179040328</x:v>
      </x:c>
      <x:c r="D1281" s="4" t="n">
        <x:f>IF('계산 과정'!$L$5,B1281*COS(C1281),"")</x:f>
        <x:v>118.2730135920175</x:v>
      </x:c>
      <x:c r="E1281" s="4" t="n">
        <x:f>IF('계산 과정'!$L$5,B1281*SIN(C1281),"")</x:f>
        <x:v>4.955378825068897</x:v>
      </x:c>
      <x:c r="F1281" s="4" t="n">
        <x:f>IF('계산 과정'!$L$7,'계산 과정'!$L$22+'계산 과정'!$C$49*D1281+'계산 과정'!$D$49*E1281,"")</x:f>
        <x:v>566.3683500577157</x:v>
      </x:c>
      <x:c r="G1281" s="4" t="n">
        <x:f>IF('계산 과정'!$L$7,IF(ABS(F1281)&gt;=1E-12*MAX(1,SQRT((D1281-'계산 과정'!$C$33)^2+(E1281-'계산 과정'!$D$33)^2+'계산 과정'!$E$33^2)),('계산 과정'!$L$23-'계산 과정'!$C$49*D1281-'계산 과정'!$D$49*E1281)/F1281,""),"")</x:f>
        <x:v>0.8539171546097162</x:v>
      </x:c>
      <x:c r="H1281" s="4" t="n">
        <x:f>IF(AND(ISNUMBER(G1281),G1281&gt;0),('계산 과정'!$D$56+'계산 과정'!$D$57*D1281+'계산 과정'!$D$58*E1281)/F1281,"")</x:f>
        <x:v>155.04615049631542</x:v>
      </x:c>
      <x:c r="I1281" s="4" t="n">
        <x:f>IF(AND(ISNUMBER(G1281),G1281&gt;0),('계산 과정'!$E$56+'계산 과정'!$E$57*D1281+'계산 과정'!$E$58*E1281)/F1281,"")</x:f>
        <x:v>9.186861811384968</x:v>
      </x:c>
      <x:c r="J1281" s="4" t="n">
        <x:f>IF('계산 과정'!$L$5,'계산 과정'!$D$6+'계산 과정'!$C$35*D1281+'계산 과정'!$D$35*E1281,"")</x:f>
        <x:v>566.3683500577157</x:v>
      </x:c>
      <x:c r="K1281" s="4" t="n">
        <x:f>IF(AND('계산 과정'!$L$6,J1281&gt;0),'계산 과정'!$D$10*('계산 과정'!$C$38*(D1281-'계산 과정'!$C$32)+'계산 과정'!$D$38*(E1281-'계산 과정'!$D$32)-'계산 과정'!$E$38*'계산 과정'!$E$32)/J1281,"")</x:f>
        <x:v>1.1813040037814517</x:v>
      </x:c>
      <x:c r="L1281" s="4" t="n">
        <x:f>IF(AND('계산 과정'!$L$6,J1281&gt;0),'계산 과정'!$D$10*('계산 과정'!$C$39*(D1281-'계산 과정'!$C$32)+'계산 과정'!$D$39*(E1281-'계산 과정'!$D$32)-'계산 과정'!$E$39*'계산 과정'!$E$32)/J1281,"")</x:f>
        <x:v>0.06999513761055215</x:v>
      </x:c>
      <x:c r="M1281" s="17" t="n">
        <x:f>IF('계산 과정'!$L$6,IF(J1281&lt;=0,0,IF(AND(ABS(K1281)&lt;='계산 과정'!$D$11/2,ABS(L1281)&lt;='계산 과정'!$D$12/2),1,0)),"")</x:f>
        <x:v>1</x:v>
      </x:c>
      <x:c r="N1281" s="17" t="n">
        <x:f>IF('계산 과정'!$C$78,IF(AND(ISNUMBER(H1281),ISNUMBER(I1281),ABS(H1281-'계산 과정'!$C$88)&lt;='계산 과정'!$D$23/2,ABS(I1281-'계산 과정'!$C$89)&lt;='계산 과정'!$D$24/2),1,0),"")</x:f>
        <x:v>1</x:v>
      </x:c>
      <x:c r="O1281" s="4" t="n">
        <x:f>IF('계산 과정'!$L$7,'계산 과정'!$C$49*('계산 과정'!$C$32-D1281)+'계산 과정'!$D$49*('계산 과정'!$D$32-E1281)+'계산 과정'!$E$49*'계산 과정'!$E$32,"")</x:f>
        <x:v>83.63164994228438</x:v>
      </x:c>
      <x:c r="P1281" s="4" t="n">
        <x:f>IF(AND('계산 과정'!$L$7,O1281&lt;&gt;0),('계산 과정'!$L$23-'계산 과정'!$C$49*D1281-'계산 과정'!$D$49*E1281)/O1281,"")</x:f>
        <x:v>5.7828782557326885</x:v>
      </x:c>
      <x:c r="Q1281" s="4" t="str">
        <x:f>IF(AND(ISNUMBER(P1281),P1281&gt;1E-9,P1281&lt;1-1E-9),'계산 과정'!$C$47*(D1281-'계산 과정'!$C$50+P1281*('계산 과정'!$C$32-D1281))+'계산 과정'!$D$47*(E1281-'계산 과정'!$D$50+P1281*('계산 과정'!$D$32-E1281))+'계산 과정'!$E$47*(0-'계산 과정'!$E$50+P1281*('계산 과정'!$E$32-0)),"")</x:f>
      </x:c>
      <x:c r="R1281" s="4" t="str">
        <x:f>IF(AND(ISNUMBER(P1281),P1281&gt;1E-9,P1281&lt;1-1E-9),'계산 과정'!$C$48*(D1281-'계산 과정'!$C$50+P1281*('계산 과정'!$C$32-D1281))+'계산 과정'!$D$48*(E1281-'계산 과정'!$D$50+P1281*('계산 과정'!$D$32-E1281))+'계산 과정'!$E$48*(0-'계산 과정'!$E$50+P1281*('계산 과정'!$E$32-0)),"")</x:f>
      </x:c>
      <x:c r="S1281" s="17" t="n">
        <x:f>IF('계산 과정'!$C$78,IF(AND(ISNUMBER(Q1281),ISNUMBER(R1281),ABS(Q1281-'계산 과정'!$C$88)&lt;='계산 과정'!$D$23/2,ABS(R1281-'계산 과정'!$C$89)&lt;='계산 과정'!$D$24/2),1,0),"")</x:f>
        <x:v>0</x:v>
      </x:c>
      <x:c r="T1281" s="4"/>
      <x:c r="U1281" s="4"/>
      <x:c r="V1281" s="4"/>
      <x:c r="W1281" s="4"/>
      <x:c r="X1281" s="4"/>
      <x:c r="Y1281" s="4"/>
      <x:c r="Z1281" s="4"/>
    </x:row>
    <x:row r="1282" ht="23" customHeight="1">
      <x:c r="A1282" s="17" t="n">
        <x:f>ROW()-6</x:f>
        <x:v>1276</x:v>
      </x:c>
      <x:c r="B1282" s="4" t="n">
        <x:f>IF('계산 과정'!$L$5,'계산 과정'!$L$11*SQRT((A1282+0.5)/'계산 과정'!$L$30),"")</x:f>
        <x:v>118.42317278118544</x:v>
      </x:c>
      <x:c r="C1282" s="4" t="n">
        <x:f>A1282*PI()*(3-SQRT(5))</x:f>
        <x:v>3062.353081133761</x:v>
      </x:c>
      <x:c r="D1282" s="4" t="n">
        <x:f>IF('계산 과정'!$L$5,B1282*COS(C1282),"")</x:f>
        <x:v>-90.59364176347901</x:v>
      </x:c>
      <x:c r="E1282" s="4" t="n">
        <x:f>IF('계산 과정'!$L$5,B1282*SIN(C1282),"")</x:f>
        <x:v>76.26821043916613</x:v>
      </x:c>
      <x:c r="F1282" s="4" t="n">
        <x:f>IF('계산 과정'!$L$7,'계산 과정'!$L$22+'계산 과정'!$C$49*D1282+'계산 과정'!$D$49*E1282,"")</x:f>
        <x:v>714.0593784233408</x:v>
      </x:c>
      <x:c r="G1282" s="4" t="n">
        <x:f>IF('계산 과정'!$L$7,IF(ABS(F1282)&gt;=1E-12*MAX(1,SQRT((D1282-'계산 과정'!$C$33)^2+(E1282-'계산 과정'!$D$33)^2+'계산 과정'!$E$33^2)),('계산 과정'!$L$23-'계산 과정'!$C$49*D1282-'계산 과정'!$D$49*E1282)/F1282,""),"")</x:f>
        <x:v>0.4704659468494394</x:v>
      </x:c>
      <x:c r="H1282" s="4" t="n">
        <x:f>IF(AND(ISNUMBER(G1282),G1282&gt;0),('계산 과정'!$D$56+'계산 과정'!$D$57*D1282+'계산 과정'!$D$58*E1282)/F1282,"")</x:f>
        <x:v>-94.19713454786454</x:v>
      </x:c>
      <x:c r="I1282" s="4" t="n">
        <x:f>IF(AND(ISNUMBER(G1282),G1282&gt;0),('계산 과정'!$E$56+'계산 과정'!$E$57*D1282+'계산 과정'!$E$58*E1282)/F1282,"")</x:f>
        <x:v>112.1498062779407</x:v>
      </x:c>
      <x:c r="J1282" s="4" t="n">
        <x:f>IF('계산 과정'!$L$5,'계산 과정'!$D$6+'계산 과정'!$C$35*D1282+'계산 과정'!$D$35*E1282,"")</x:f>
        <x:v>714.0593784233408</x:v>
      </x:c>
      <x:c r="K1282" s="4" t="n">
        <x:f>IF(AND('계산 과정'!$L$6,J1282&gt;0),'계산 과정'!$D$10*('계산 과정'!$C$38*(D1282-'계산 과정'!$C$32)+'계산 과정'!$D$38*(E1282-'계산 과정'!$D$32)-'계산 과정'!$E$38*'계산 과정'!$E$32)/J1282,"")</x:f>
        <x:v>-0.7176924536980146</x:v>
      </x:c>
      <x:c r="L1282" s="4" t="n">
        <x:f>IF(AND('계산 과정'!$L$6,J1282&gt;0),'계산 과정'!$D$10*('계산 과정'!$C$39*(D1282-'계산 과정'!$C$32)+'계산 과정'!$D$39*(E1282-'계산 과정'!$D$32)-'계산 과정'!$E$39*'계산 과정'!$E$32)/J1282,"")</x:f>
        <x:v>0.8544747144985959</x:v>
      </x:c>
      <x:c r="M1282" s="17" t="n">
        <x:f>IF('계산 과정'!$L$6,IF(J1282&lt;=0,0,IF(AND(ABS(K1282)&lt;='계산 과정'!$D$11/2,ABS(L1282)&lt;='계산 과정'!$D$12/2),1,0)),"")</x:f>
        <x:v>1</x:v>
      </x:c>
      <x:c r="N1282" s="17" t="n">
        <x:f>IF('계산 과정'!$C$78,IF(AND(ISNUMBER(H1282),ISNUMBER(I1282),ABS(H1282-'계산 과정'!$C$88)&lt;='계산 과정'!$D$23/2,ABS(I1282-'계산 과정'!$C$89)&lt;='계산 과정'!$D$24/2),1,0),"")</x:f>
        <x:v>1</x:v>
      </x:c>
      <x:c r="O1282" s="4" t="n">
        <x:f>IF('계산 과정'!$L$7,'계산 과정'!$C$49*('계산 과정'!$C$32-D1282)+'계산 과정'!$D$49*('계산 과정'!$D$32-E1282)+'계산 과정'!$E$49*'계산 과정'!$E$32,"")</x:f>
        <x:v>-64.05937842334072</x:v>
      </x:c>
      <x:c r="P1282" s="4" t="n">
        <x:f>IF(AND('계산 과정'!$L$7,O1282&lt;&gt;0),('계산 과정'!$L$23-'계산 과정'!$C$49*D1282-'계산 과정'!$D$49*E1282)/O1282,"")</x:f>
        <x:v>-5.244206700798327</x:v>
      </x:c>
      <x:c r="Q1282" s="4" t="str">
        <x:f>IF(AND(ISNUMBER(P1282),P1282&gt;1E-9,P1282&lt;1-1E-9),'계산 과정'!$C$47*(D1282-'계산 과정'!$C$50+P1282*('계산 과정'!$C$32-D1282))+'계산 과정'!$D$47*(E1282-'계산 과정'!$D$50+P1282*('계산 과정'!$D$32-E1282))+'계산 과정'!$E$47*(0-'계산 과정'!$E$50+P1282*('계산 과정'!$E$32-0)),"")</x:f>
      </x:c>
      <x:c r="R1282" s="4" t="str">
        <x:f>IF(AND(ISNUMBER(P1282),P1282&gt;1E-9,P1282&lt;1-1E-9),'계산 과정'!$C$48*(D1282-'계산 과정'!$C$50+P1282*('계산 과정'!$C$32-D1282))+'계산 과정'!$D$48*(E1282-'계산 과정'!$D$50+P1282*('계산 과정'!$D$32-E1282))+'계산 과정'!$E$48*(0-'계산 과정'!$E$50+P1282*('계산 과정'!$E$32-0)),"")</x:f>
      </x:c>
      <x:c r="S1282" s="17" t="n">
        <x:f>IF('계산 과정'!$C$78,IF(AND(ISNUMBER(Q1282),ISNUMBER(R1282),ABS(Q1282-'계산 과정'!$C$88)&lt;='계산 과정'!$D$23/2,ABS(R1282-'계산 과정'!$C$89)&lt;='계산 과정'!$D$24/2),1,0),"")</x:f>
        <x:v>0</x:v>
      </x:c>
      <x:c r="T1282" s="4"/>
      <x:c r="U1282" s="4"/>
      <x:c r="V1282" s="4"/>
      <x:c r="W1282" s="4"/>
      <x:c r="X1282" s="4"/>
      <x:c r="Y1282" s="4"/>
      <x:c r="Z1282" s="4"/>
    </x:row>
    <x:row r="1283" ht="23" customHeight="1">
      <x:c r="A1283" s="17" t="n">
        <x:f>ROW()-6</x:f>
        <x:v>1277</x:v>
      </x:c>
      <x:c r="B1283" s="4" t="n">
        <x:f>IF('계산 과정'!$L$5,'계산 과정'!$L$11*SQRT((A1283+0.5)/'계산 과정'!$L$30),"")</x:f>
        <x:v>118.46954958843854</x:v>
      </x:c>
      <x:c r="C1283" s="4" t="n">
        <x:f>A1283*PI()*(3-SQRT(5))</x:f>
        <x:v>3064.7530443634896</x:v>
      </x:c>
      <x:c r="D1283" s="4" t="n">
        <x:f>IF('계산 과정'!$L$5,B1283*COS(C1283),"")</x:f>
        <x:v>15.288480997161656</x:v>
      </x:c>
      <x:c r="E1283" s="4" t="n">
        <x:f>IF('계산 과정'!$L$5,B1283*SIN(C1283),"")</x:f>
        <x:v>-117.47891950680737</x:v>
      </x:c>
      <x:c r="F1283" s="4" t="n">
        <x:f>IF('계산 과정'!$L$7,'계산 과정'!$L$22+'계산 과정'!$C$49*D1283+'계산 과정'!$D$49*E1283,"")</x:f>
        <x:v>639.1894114128653</x:v>
      </x:c>
      <x:c r="G1283" s="4" t="n">
        <x:f>IF('계산 과정'!$L$7,IF(ABS(F1283)&gt;=1E-12*MAX(1,SQRT((D1283-'계산 과정'!$C$33)^2+(E1283-'계산 과정'!$D$33)^2+'계산 과정'!$E$33^2)),('계산 과정'!$L$23-'계산 과정'!$C$49*D1283-'계산 과정'!$D$49*E1283)/F1283,""),"")</x:f>
        <x:v>0.6427055599670813</x:v>
      </x:c>
      <x:c r="H1283" s="4" t="n">
        <x:f>IF(AND(ISNUMBER(G1283),G1283&gt;0),('계산 과정'!$D$56+'계산 과정'!$D$57*D1283+'계산 과정'!$D$58*E1283)/F1283,"")</x:f>
        <x:v>17.758613978602696</x:v>
      </x:c>
      <x:c r="I1283" s="4" t="n">
        <x:f>IF(AND(ISNUMBER(G1283),G1283&gt;0),('계산 과정'!$E$56+'계산 과정'!$E$57*D1283+'계산 과정'!$E$58*E1283)/F1283,"")</x:f>
        <x:v>-192.98327425275767</x:v>
      </x:c>
      <x:c r="J1283" s="4" t="n">
        <x:f>IF('계산 과정'!$L$5,'계산 과정'!$D$6+'계산 과정'!$C$35*D1283+'계산 과정'!$D$35*E1283,"")</x:f>
        <x:v>639.1894114128653</x:v>
      </x:c>
      <x:c r="K1283" s="4" t="n">
        <x:f>IF(AND('계산 과정'!$L$6,J1283&gt;0),'계산 과정'!$D$10*('계산 과정'!$C$38*(D1283-'계산 과정'!$C$32)+'계산 과정'!$D$38*(E1283-'계산 과정'!$D$32)-'계산 과정'!$E$38*'계산 과정'!$E$32)/J1283,"")</x:f>
        <x:v>0.1353037255512591</x:v>
      </x:c>
      <x:c r="L1283" s="4" t="n">
        <x:f>IF(AND('계산 과정'!$L$6,J1283&gt;0),'계산 과정'!$D$10*('계산 과정'!$C$39*(D1283-'계산 과정'!$C$32)+'계산 과정'!$D$39*(E1283-'계산 과정'!$D$32)-'계산 과정'!$E$39*'계산 과정'!$E$32)/J1283,"")</x:f>
        <x:v>-1.470348756211487</x:v>
      </x:c>
      <x:c r="M1283" s="17" t="n">
        <x:f>IF('계산 과정'!$L$6,IF(J1283&lt;=0,0,IF(AND(ABS(K1283)&lt;='계산 과정'!$D$11/2,ABS(L1283)&lt;='계산 과정'!$D$12/2),1,0)),"")</x:f>
        <x:v>1</x:v>
      </x:c>
      <x:c r="N1283" s="17" t="n">
        <x:f>IF('계산 과정'!$C$78,IF(AND(ISNUMBER(H1283),ISNUMBER(I1283),ABS(H1283-'계산 과정'!$C$88)&lt;='계산 과정'!$D$23/2,ABS(I1283-'계산 과정'!$C$89)&lt;='계산 과정'!$D$24/2),1,0),"")</x:f>
        <x:v>1</x:v>
      </x:c>
      <x:c r="O1283" s="4" t="n">
        <x:f>IF('계산 과정'!$L$7,'계산 과정'!$C$49*('계산 과정'!$C$32-D1283)+'계산 과정'!$D$49*('계산 과정'!$D$32-E1283)+'계산 과정'!$E$49*'계산 과정'!$E$32,"")</x:f>
        <x:v>10.81058858713476</x:v>
      </x:c>
      <x:c r="P1283" s="4" t="n">
        <x:f>IF(AND('계산 과정'!$L$7,O1283&lt;&gt;0),('계산 과정'!$L$23-'계산 과정'!$C$49*D1283-'계산 과정'!$D$49*E1283)/O1283,"")</x:f>
        <x:v>38.00076057616545</x:v>
      </x:c>
      <x:c r="Q1283" s="4" t="str">
        <x:f>IF(AND(ISNUMBER(P1283),P1283&gt;1E-9,P1283&lt;1-1E-9),'계산 과정'!$C$47*(D1283-'계산 과정'!$C$50+P1283*('계산 과정'!$C$32-D1283))+'계산 과정'!$D$47*(E1283-'계산 과정'!$D$50+P1283*('계산 과정'!$D$32-E1283))+'계산 과정'!$E$47*(0-'계산 과정'!$E$50+P1283*('계산 과정'!$E$32-0)),"")</x:f>
      </x:c>
      <x:c r="R1283" s="4" t="str">
        <x:f>IF(AND(ISNUMBER(P1283),P1283&gt;1E-9,P1283&lt;1-1E-9),'계산 과정'!$C$48*(D1283-'계산 과정'!$C$50+P1283*('계산 과정'!$C$32-D1283))+'계산 과정'!$D$48*(E1283-'계산 과정'!$D$50+P1283*('계산 과정'!$D$32-E1283))+'계산 과정'!$E$48*(0-'계산 과정'!$E$50+P1283*('계산 과정'!$E$32-0)),"")</x:f>
      </x:c>
      <x:c r="S1283" s="17" t="n">
        <x:f>IF('계산 과정'!$C$78,IF(AND(ISNUMBER(Q1283),ISNUMBER(R1283),ABS(Q1283-'계산 과정'!$C$88)&lt;='계산 과정'!$D$23/2,ABS(R1283-'계산 과정'!$C$89)&lt;='계산 과정'!$D$24/2),1,0),"")</x:f>
        <x:v>0</x:v>
      </x:c>
      <x:c r="T1283" s="4"/>
      <x:c r="U1283" s="4"/>
      <x:c r="V1283" s="4"/>
      <x:c r="W1283" s="4"/>
      <x:c r="X1283" s="4"/>
      <x:c r="Y1283" s="4"/>
      <x:c r="Z1283" s="4"/>
    </x:row>
    <x:row r="1284" ht="23" customHeight="1">
      <x:c r="A1284" s="17" t="n">
        <x:f>ROW()-6</x:f>
        <x:v>1278</x:v>
      </x:c>
      <x:c r="B1284" s="4" t="n">
        <x:f>IF('계산 과정'!$L$5,'계산 과정'!$L$11*SQRT((A1284+0.5)/'계산 과정'!$L$30),"")</x:f>
        <x:v>118.51590824784873</x:v>
      </x:c>
      <x:c r="C1284" s="4" t="n">
        <x:f>A1284*PI()*(3-SQRT(5))</x:f>
        <x:v>3067.1530075932183</x:v>
      </x:c>
      <x:c r="D1284" s="4" t="n">
        <x:f>IF('계산 과정'!$L$5,B1284*COS(C1284),"")</x:f>
        <x:v>68.10926143211476</x:v>
      </x:c>
      <x:c r="E1284" s="4" t="n">
        <x:f>IF('계산 과정'!$L$5,B1284*SIN(C1284),"")</x:f>
        <x:v>96.99045837083327</x:v>
      </x:c>
      <x:c r="F1284" s="4" t="n">
        <x:f>IF('계산 과정'!$L$7,'계산 과정'!$L$22+'계산 과정'!$C$49*D1284+'계산 과정'!$D$49*E1284,"")</x:f>
        <x:v>601.8394793797443</x:v>
      </x:c>
      <x:c r="G1284" s="4" t="n">
        <x:f>IF('계산 과정'!$L$7,IF(ABS(F1284)&gt;=1E-12*MAX(1,SQRT((D1284-'계산 과정'!$C$33)^2+(E1284-'계산 과정'!$D$33)^2+'계산 과정'!$E$33^2)),('계산 과정'!$L$23-'계산 과정'!$C$49*D1284-'계산 과정'!$D$49*E1284)/F1284,""),"")</x:f>
        <x:v>0.744651250001296</x:v>
      </x:c>
      <x:c r="H1284" s="4" t="n">
        <x:f>IF(AND(ISNUMBER(G1284),G1284&gt;0),('계산 과정'!$D$56+'계산 과정'!$D$57*D1284+'계산 과정'!$D$58*E1284)/F1284,"")</x:f>
        <x:v>84.02331250084227</x:v>
      </x:c>
      <x:c r="I1284" s="4" t="n">
        <x:f>IF(AND(ISNUMBER(G1284),G1284&gt;0),('계산 과정'!$E$56+'계산 과정'!$E$57*D1284+'계산 과정'!$E$58*E1284)/F1284,"")</x:f>
        <x:v>169.2145244348729</x:v>
      </x:c>
      <x:c r="J1284" s="4" t="n">
        <x:f>IF('계산 과정'!$L$5,'계산 과정'!$D$6+'계산 과정'!$C$35*D1284+'계산 과정'!$D$35*E1284,"")</x:f>
        <x:v>601.8394793797443</x:v>
      </x:c>
      <x:c r="K1284" s="4" t="n">
        <x:f>IF(AND('계산 과정'!$L$6,J1284&gt;0),'계산 과정'!$D$10*('계산 과정'!$C$38*(D1284-'계산 과정'!$C$32)+'계산 과정'!$D$38*(E1284-'계산 과정'!$D$32)-'계산 과정'!$E$38*'계산 과정'!$E$32)/J1284,"")</x:f>
        <x:v>0.640177619054037</x:v>
      </x:c>
      <x:c r="L1284" s="4" t="n">
        <x:f>IF(AND('계산 과정'!$L$6,J1284&gt;0),'계산 과정'!$D$10*('계산 과정'!$C$39*(D1284-'계산 과정'!$C$32)+'계산 과정'!$D$39*(E1284-'계산 과정'!$D$32)-'계산 과정'!$E$39*'계산 과정'!$E$32)/J1284,"")</x:f>
        <x:v>1.2892535195037937</x:v>
      </x:c>
      <x:c r="M1284" s="17" t="n">
        <x:f>IF('계산 과정'!$L$6,IF(J1284&lt;=0,0,IF(AND(ABS(K1284)&lt;='계산 과정'!$D$11/2,ABS(L1284)&lt;='계산 과정'!$D$12/2),1,0)),"")</x:f>
        <x:v>1</x:v>
      </x:c>
      <x:c r="N1284" s="17" t="n">
        <x:f>IF('계산 과정'!$C$78,IF(AND(ISNUMBER(H1284),ISNUMBER(I1284),ABS(H1284-'계산 과정'!$C$88)&lt;='계산 과정'!$D$23/2,ABS(I1284-'계산 과정'!$C$89)&lt;='계산 과정'!$D$24/2),1,0),"")</x:f>
        <x:v>1</x:v>
      </x:c>
      <x:c r="O1284" s="4" t="n">
        <x:f>IF('계산 과정'!$L$7,'계산 과정'!$C$49*('계산 과정'!$C$32-D1284)+'계산 과정'!$D$49*('계산 과정'!$D$32-E1284)+'계산 과정'!$E$49*'계산 과정'!$E$32,"")</x:f>
        <x:v>48.16052062025585</x:v>
      </x:c>
      <x:c r="P1284" s="4" t="n">
        <x:f>IF(AND('계산 과정'!$L$7,O1284&lt;&gt;0),('계산 과정'!$L$23-'계산 과정'!$C$49*D1284-'계산 과정'!$D$49*E1284)/O1284,"")</x:f>
        <x:v>9.305558055611295</x:v>
      </x:c>
      <x:c r="Q1284" s="4" t="str">
        <x:f>IF(AND(ISNUMBER(P1284),P1284&gt;1E-9,P1284&lt;1-1E-9),'계산 과정'!$C$47*(D1284-'계산 과정'!$C$50+P1284*('계산 과정'!$C$32-D1284))+'계산 과정'!$D$47*(E1284-'계산 과정'!$D$50+P1284*('계산 과정'!$D$32-E1284))+'계산 과정'!$E$47*(0-'계산 과정'!$E$50+P1284*('계산 과정'!$E$32-0)),"")</x:f>
      </x:c>
      <x:c r="R1284" s="4" t="str">
        <x:f>IF(AND(ISNUMBER(P1284),P1284&gt;1E-9,P1284&lt;1-1E-9),'계산 과정'!$C$48*(D1284-'계산 과정'!$C$50+P1284*('계산 과정'!$C$32-D1284))+'계산 과정'!$D$48*(E1284-'계산 과정'!$D$50+P1284*('계산 과정'!$D$32-E1284))+'계산 과정'!$E$48*(0-'계산 과정'!$E$50+P1284*('계산 과정'!$E$32-0)),"")</x:f>
      </x:c>
      <x:c r="S1284" s="17" t="n">
        <x:f>IF('계산 과정'!$C$78,IF(AND(ISNUMBER(Q1284),ISNUMBER(R1284),ABS(Q1284-'계산 과정'!$C$88)&lt;='계산 과정'!$D$23/2,ABS(R1284-'계산 과정'!$C$89)&lt;='계산 과정'!$D$24/2),1,0),"")</x:f>
        <x:v>0</x:v>
      </x:c>
      <x:c r="T1284" s="4"/>
      <x:c r="U1284" s="4"/>
      <x:c r="V1284" s="4"/>
      <x:c r="W1284" s="4"/>
      <x:c r="X1284" s="4"/>
      <x:c r="Y1284" s="4"/>
      <x:c r="Z1284" s="4"/>
    </x:row>
    <x:row r="1285" ht="23" customHeight="1">
      <x:c r="A1285" s="17" t="n">
        <x:f>ROW()-6</x:f>
        <x:v>1279</x:v>
      </x:c>
      <x:c r="B1285" s="4" t="n">
        <x:f>IF('계산 과정'!$L$5,'계산 과정'!$L$11*SQRT((A1285+0.5)/'계산 과정'!$L$30),"")</x:f>
        <x:v>118.5622487807038</x:v>
      </x:c>
      <x:c r="C1285" s="4" t="n">
        <x:f>A1285*PI()*(3-SQRT(5))</x:f>
        <x:v>3069.552970822947</x:v>
      </x:c>
      <x:c r="D1285" s="4" t="n">
        <x:f>IF('계산 과정'!$L$5,B1285*COS(C1285),"")</x:f>
        <x:v>-115.78301721340965</x:v>
      </x:c>
      <x:c r="E1285" s="4" t="n">
        <x:f>IF('계산 과정'!$L$5,B1285*SIN(C1285),"")</x:f>
        <x:v>-25.52057524619658</x:v>
      </x:c>
      <x:c r="F1285" s="4" t="n">
        <x:f>IF('계산 과정'!$L$7,'계산 과정'!$L$22+'계산 과정'!$C$49*D1285+'계산 과정'!$D$49*E1285,"")</x:f>
        <x:v>731.8709566178408</x:v>
      </x:c>
      <x:c r="G1285" s="4" t="n">
        <x:f>IF('계산 과정'!$L$7,IF(ABS(F1285)&gt;=1E-12*MAX(1,SQRT((D1285-'계산 과정'!$C$33)^2+(E1285-'계산 과정'!$D$33)^2+'계산 과정'!$E$33^2)),('계산 과정'!$L$23-'계산 과정'!$C$49*D1285-'계산 과정'!$D$49*E1285)/F1285,""),"")</x:f>
        <x:v>0.4346791473353628</x:v>
      </x:c>
      <x:c r="H1285" s="4" t="n">
        <x:f>IF(AND(ISNUMBER(G1285),G1285&gt;0),('계산 과정'!$D$56+'계산 과정'!$D$57*D1285+'계산 과정'!$D$58*E1285)/F1285,"")</x:f>
        <x:v>-117.45855423201434</x:v>
      </x:c>
      <x:c r="I1285" s="4" t="n">
        <x:f>IF(AND(ISNUMBER(G1285),G1285&gt;0),('계산 과정'!$E$56+'계산 과정'!$E$57*D1285+'계산 과정'!$E$58*E1285)/F1285,"")</x:f>
        <x:v>-36.613837133721276</x:v>
      </x:c>
      <x:c r="J1285" s="4" t="n">
        <x:f>IF('계산 과정'!$L$5,'계산 과정'!$D$6+'계산 과정'!$C$35*D1285+'계산 과정'!$D$35*E1285,"")</x:f>
        <x:v>731.8709566178408</x:v>
      </x:c>
      <x:c r="K1285" s="4" t="n">
        <x:f>IF(AND('계산 과정'!$L$6,J1285&gt;0),'계산 과정'!$D$10*('계산 과정'!$C$38*(D1285-'계산 과정'!$C$32)+'계산 과정'!$D$38*(E1285-'계산 과정'!$D$32)-'계산 과정'!$E$38*'계산 과정'!$E$32)/J1285,"")</x:f>
        <x:v>-0.8949223179582032</x:v>
      </x:c>
      <x:c r="L1285" s="4" t="n">
        <x:f>IF(AND('계산 과정'!$L$6,J1285&gt;0),'계산 과정'!$D$10*('계산 과정'!$C$39*(D1285-'계산 과정'!$C$32)+'계산 과정'!$D$39*(E1285-'계산 과정'!$D$32)-'계산 과정'!$E$39*'계산 과정'!$E$32)/J1285,"")</x:f>
        <x:v>-0.27896256863787633</x:v>
      </x:c>
      <x:c r="M1285" s="17" t="n">
        <x:f>IF('계산 과정'!$L$6,IF(J1285&lt;=0,0,IF(AND(ABS(K1285)&lt;='계산 과정'!$D$11/2,ABS(L1285)&lt;='계산 과정'!$D$12/2),1,0)),"")</x:f>
        <x:v>1</x:v>
      </x:c>
      <x:c r="N1285" s="17" t="n">
        <x:f>IF('계산 과정'!$C$78,IF(AND(ISNUMBER(H1285),ISNUMBER(I1285),ABS(H1285-'계산 과정'!$C$88)&lt;='계산 과정'!$D$23/2,ABS(I1285-'계산 과정'!$C$89)&lt;='계산 과정'!$D$24/2),1,0),"")</x:f>
        <x:v>1</x:v>
      </x:c>
      <x:c r="O1285" s="4" t="n">
        <x:f>IF('계산 과정'!$L$7,'계산 과정'!$C$49*('계산 과정'!$C$32-D1285)+'계산 과정'!$D$49*('계산 과정'!$D$32-E1285)+'계산 과정'!$E$49*'계산 과정'!$E$32,"")</x:f>
        <x:v>-81.87095661784059</x:v>
      </x:c>
      <x:c r="P1285" s="4" t="n">
        <x:f>IF(AND('계산 과정'!$L$7,O1285&lt;&gt;0),('계산 과정'!$L$23-'계산 과정'!$C$49*D1285-'계산 과정'!$D$49*E1285)/O1285,"")</x:f>
        <x:v>-3.885737464472663</x:v>
      </x:c>
      <x:c r="Q1285" s="4" t="str">
        <x:f>IF(AND(ISNUMBER(P1285),P1285&gt;1E-9,P1285&lt;1-1E-9),'계산 과정'!$C$47*(D1285-'계산 과정'!$C$50+P1285*('계산 과정'!$C$32-D1285))+'계산 과정'!$D$47*(E1285-'계산 과정'!$D$50+P1285*('계산 과정'!$D$32-E1285))+'계산 과정'!$E$47*(0-'계산 과정'!$E$50+P1285*('계산 과정'!$E$32-0)),"")</x:f>
      </x:c>
      <x:c r="R1285" s="4" t="str">
        <x:f>IF(AND(ISNUMBER(P1285),P1285&gt;1E-9,P1285&lt;1-1E-9),'계산 과정'!$C$48*(D1285-'계산 과정'!$C$50+P1285*('계산 과정'!$C$32-D1285))+'계산 과정'!$D$48*(E1285-'계산 과정'!$D$50+P1285*('계산 과정'!$D$32-E1285))+'계산 과정'!$E$48*(0-'계산 과정'!$E$50+P1285*('계산 과정'!$E$32-0)),"")</x:f>
      </x:c>
      <x:c r="S1285" s="17" t="n">
        <x:f>IF('계산 과정'!$C$78,IF(AND(ISNUMBER(Q1285),ISNUMBER(R1285),ABS(Q1285-'계산 과정'!$C$88)&lt;='계산 과정'!$D$23/2,ABS(R1285-'계산 과정'!$C$89)&lt;='계산 과정'!$D$24/2),1,0),"")</x:f>
        <x:v>0</x:v>
      </x:c>
      <x:c r="T1285" s="4"/>
      <x:c r="U1285" s="4"/>
      <x:c r="V1285" s="4"/>
      <x:c r="W1285" s="4"/>
      <x:c r="X1285" s="4"/>
      <x:c r="Y1285" s="4"/>
      <x:c r="Z1285" s="4"/>
    </x:row>
    <x:row r="1286" ht="23" customHeight="1">
      <x:c r="A1286" s="17" t="n">
        <x:f>ROW()-6</x:f>
        <x:v>1280</x:v>
      </x:c>
      <x:c r="B1286" s="4" t="n">
        <x:f>IF('계산 과정'!$L$5,'계산 과정'!$L$11*SQRT((A1286+0.5)/'계산 과정'!$L$30),"")</x:f>
        <x:v>118.60857120824994</x:v>
      </x:c>
      <x:c r="C1286" s="4" t="n">
        <x:f>A1286*PI()*(3-SQRT(5))</x:f>
        <x:v>3071.9529340526756</x:v>
      </x:c>
      <x:c r="D1286" s="4" t="n">
        <x:f>IF('계산 과정'!$L$5,B1286*COS(C1286),"")</x:f>
        <x:v>102.65378569218359</x:v>
      </x:c>
      <x:c r="E1286" s="4" t="n">
        <x:f>IF('계산 과정'!$L$5,B1286*SIN(C1286),"")</x:f>
        <x:v>-59.415431052258974</x:v>
      </x:c>
      <x:c r="F1286" s="4" t="n">
        <x:f>IF('계산 과정'!$L$7,'계산 과정'!$L$22+'계산 과정'!$C$49*D1286+'계산 과정'!$D$49*E1286,"")</x:f>
        <x:v>577.4128120225864</x:v>
      </x:c>
      <x:c r="G1286" s="4" t="n">
        <x:f>IF('계산 과정'!$L$7,IF(ABS(F1286)&gt;=1E-12*MAX(1,SQRT((D1286-'계산 과정'!$C$33)^2+(E1286-'계산 과정'!$D$33)^2+'계산 과정'!$E$33^2)),('계산 과정'!$L$23-'계산 과정'!$C$49*D1286-'계산 과정'!$D$49*E1286)/F1286,""),"")</x:f>
        <x:v>0.8184563593627493</x:v>
      </x:c>
      <x:c r="H1286" s="4" t="n">
        <x:f>IF(AND(ISNUMBER(G1286),G1286&gt;0),('계산 과정'!$D$56+'계산 과정'!$D$57*D1286+'계산 과정'!$D$58*E1286)/F1286,"")</x:f>
        <x:v>131.99663358578698</x:v>
      </x:c>
      <x:c r="I1286" s="4" t="n">
        <x:f>IF(AND(ISNUMBER(G1286),G1286&gt;0),('계산 과정'!$E$56+'계산 과정'!$E$57*D1286+'계산 과정'!$E$58*E1286)/F1286,"")</x:f>
        <x:v>-108.0443684412593</x:v>
      </x:c>
      <x:c r="J1286" s="4" t="n">
        <x:f>IF('계산 과정'!$L$5,'계산 과정'!$D$6+'계산 과정'!$C$35*D1286+'계산 과정'!$D$35*E1286,"")</x:f>
        <x:v>577.4128120225864</x:v>
      </x:c>
      <x:c r="K1286" s="4" t="n">
        <x:f>IF(AND('계산 과정'!$L$6,J1286&gt;0),'계산 과정'!$D$10*('계산 과정'!$C$38*(D1286-'계산 과정'!$C$32)+'계산 과정'!$D$38*(E1286-'계산 과정'!$D$32)-'계산 과정'!$E$38*'계산 과정'!$E$32)/J1286,"")</x:f>
        <x:v>1.005688636844092</x:v>
      </x:c>
      <x:c r="L1286" s="4" t="n">
        <x:f>IF(AND('계산 과정'!$L$6,J1286&gt;0),'계산 과정'!$D$10*('계산 과정'!$C$39*(D1286-'계산 과정'!$C$32)+'계산 과정'!$D$39*(E1286-'계산 과정'!$D$32)-'계산 과정'!$E$39*'계산 과정'!$E$32)/J1286,"")</x:f>
        <x:v>-0.8231951881238804</x:v>
      </x:c>
      <x:c r="M1286" s="17" t="n">
        <x:f>IF('계산 과정'!$L$6,IF(J1286&lt;=0,0,IF(AND(ABS(K1286)&lt;='계산 과정'!$D$11/2,ABS(L1286)&lt;='계산 과정'!$D$12/2),1,0)),"")</x:f>
        <x:v>1</x:v>
      </x:c>
      <x:c r="N1286" s="17" t="n">
        <x:f>IF('계산 과정'!$C$78,IF(AND(ISNUMBER(H1286),ISNUMBER(I1286),ABS(H1286-'계산 과정'!$C$88)&lt;='계산 과정'!$D$23/2,ABS(I1286-'계산 과정'!$C$89)&lt;='계산 과정'!$D$24/2),1,0),"")</x:f>
        <x:v>1</x:v>
      </x:c>
      <x:c r="O1286" s="4" t="n">
        <x:f>IF('계산 과정'!$L$7,'계산 과정'!$C$49*('계산 과정'!$C$32-D1286)+'계산 과정'!$D$49*('계산 과정'!$D$32-E1286)+'계산 과정'!$E$49*'계산 과정'!$E$32,"")</x:f>
        <x:v>72.58718797741372</x:v>
      </x:c>
      <x:c r="P1286" s="4" t="n">
        <x:f>IF(AND('계산 과정'!$L$7,O1286&lt;&gt;0),('계산 과정'!$L$23-'계산 과정'!$C$49*D1286-'계산 과정'!$D$49*E1286)/O1286,"")</x:f>
        <x:v>6.510614354208957</x:v>
      </x:c>
      <x:c r="Q1286" s="4" t="str">
        <x:f>IF(AND(ISNUMBER(P1286),P1286&gt;1E-9,P1286&lt;1-1E-9),'계산 과정'!$C$47*(D1286-'계산 과정'!$C$50+P1286*('계산 과정'!$C$32-D1286))+'계산 과정'!$D$47*(E1286-'계산 과정'!$D$50+P1286*('계산 과정'!$D$32-E1286))+'계산 과정'!$E$47*(0-'계산 과정'!$E$50+P1286*('계산 과정'!$E$32-0)),"")</x:f>
      </x:c>
      <x:c r="R1286" s="4" t="str">
        <x:f>IF(AND(ISNUMBER(P1286),P1286&gt;1E-9,P1286&lt;1-1E-9),'계산 과정'!$C$48*(D1286-'계산 과정'!$C$50+P1286*('계산 과정'!$C$32-D1286))+'계산 과정'!$D$48*(E1286-'계산 과정'!$D$50+P1286*('계산 과정'!$D$32-E1286))+'계산 과정'!$E$48*(0-'계산 과정'!$E$50+P1286*('계산 과정'!$E$32-0)),"")</x:f>
      </x:c>
      <x:c r="S1286" s="17" t="n">
        <x:f>IF('계산 과정'!$C$78,IF(AND(ISNUMBER(Q1286),ISNUMBER(R1286),ABS(Q1286-'계산 과정'!$C$88)&lt;='계산 과정'!$D$23/2,ABS(R1286-'계산 과정'!$C$89)&lt;='계산 과정'!$D$24/2),1,0),"")</x:f>
        <x:v>0</x:v>
      </x:c>
      <x:c r="T1286" s="4"/>
      <x:c r="U1286" s="4"/>
      <x:c r="V1286" s="4"/>
      <x:c r="W1286" s="4"/>
      <x:c r="X1286" s="4"/>
      <x:c r="Y1286" s="4"/>
      <x:c r="Z1286" s="4"/>
    </x:row>
    <x:row r="1287" ht="23" customHeight="1">
      <x:c r="A1287" s="17" t="n">
        <x:f>ROW()-6</x:f>
        <x:v>1281</x:v>
      </x:c>
      <x:c r="B1287" s="4" t="n">
        <x:f>IF('계산 과정'!$L$5,'계산 과정'!$L$11*SQRT((A1287+0.5)/'계산 과정'!$L$30),"")</x:f>
        <x:v>118.65487555169193</x:v>
      </x:c>
      <x:c r="C1287" s="4" t="n">
        <x:f>A1287*PI()*(3-SQRT(5))</x:f>
        <x:v>3074.3528972824042</x:v>
      </x:c>
      <x:c r="D1287" s="4" t="n">
        <x:f>IF('계산 과정'!$L$5,B1287*COS(C1287),"")</x:f>
        <x:v>-35.573041944410896</x:v>
      </x:c>
      <x:c r="E1287" s="4" t="n">
        <x:f>IF('계산 과정'!$L$5,B1287*SIN(C1287),"")</x:f>
        <x:v>113.19690004151475</x:v>
      </x:c>
      <x:c r="F1287" s="4" t="n">
        <x:f>IF('계산 과정'!$L$7,'계산 과정'!$L$22+'계산 과정'!$C$49*D1287+'계산 과정'!$D$49*E1287,"")</x:f>
        <x:v>675.1539391863264</x:v>
      </x:c>
      <x:c r="G1287" s="4" t="n">
        <x:f>IF('계산 과정'!$L$7,IF(ABS(F1287)&gt;=1E-12*MAX(1,SQRT((D1287-'계산 과정'!$C$33)^2+(E1287-'계산 과정'!$D$33)^2+'계산 과정'!$E$33^2)),('계산 과정'!$L$23-'계산 과정'!$C$49*D1287-'계산 과정'!$D$49*E1287)/F1287,""),"")</x:f>
        <x:v>0.5552008794696893</x:v>
      </x:c>
      <x:c r="H1287" s="4" t="n">
        <x:f>IF(AND(ISNUMBER(G1287),G1287&gt;0),('계산 과정'!$D$56+'계산 과정'!$D$57*D1287+'계산 과정'!$D$58*E1287)/F1287,"")</x:f>
        <x:v>-39.11942834470207</x:v>
      </x:c>
      <x:c r="I1287" s="4" t="n">
        <x:f>IF(AND(ISNUMBER(G1287),G1287&gt;0),('계산 과정'!$E$56+'계산 과정'!$E$57*D1287+'계산 과정'!$E$58*E1287)/F1287,"")</x:f>
        <x:v>176.04391849780626</x:v>
      </x:c>
      <x:c r="J1287" s="4" t="n">
        <x:f>IF('계산 과정'!$L$5,'계산 과정'!$D$6+'계산 과정'!$C$35*D1287+'계산 과정'!$D$35*E1287,"")</x:f>
        <x:v>675.1539391863264</x:v>
      </x:c>
      <x:c r="K1287" s="4" t="n">
        <x:f>IF(AND('계산 과정'!$L$6,J1287&gt;0),'계산 과정'!$D$10*('계산 과정'!$C$38*(D1287-'계산 과정'!$C$32)+'계산 과정'!$D$38*(E1287-'계산 과정'!$D$32)-'계산 과정'!$E$38*'계산 과정'!$E$32)/J1287,"")</x:f>
        <x:v>-0.2980527873882049</x:v>
      </x:c>
      <x:c r="L1287" s="4" t="n">
        <x:f>IF(AND('계산 과정'!$L$6,J1287&gt;0),'계산 과정'!$D$10*('계산 과정'!$C$39*(D1287-'계산 과정'!$C$32)+'계산 과정'!$D$39*(E1287-'계산 과정'!$D$32)-'계산 과정'!$E$39*'계산 과정'!$E$32)/J1287,"")</x:f>
        <x:v>1.3412869980785238</x:v>
      </x:c>
      <x:c r="M1287" s="17" t="n">
        <x:f>IF('계산 과정'!$L$6,IF(J1287&lt;=0,0,IF(AND(ABS(K1287)&lt;='계산 과정'!$D$11/2,ABS(L1287)&lt;='계산 과정'!$D$12/2),1,0)),"")</x:f>
        <x:v>1</x:v>
      </x:c>
      <x:c r="N1287" s="17" t="n">
        <x:f>IF('계산 과정'!$C$78,IF(AND(ISNUMBER(H1287),ISNUMBER(I1287),ABS(H1287-'계산 과정'!$C$88)&lt;='계산 과정'!$D$23/2,ABS(I1287-'계산 과정'!$C$89)&lt;='계산 과정'!$D$24/2),1,0),"")</x:f>
        <x:v>1</x:v>
      </x:c>
      <x:c r="O1287" s="4" t="n">
        <x:f>IF('계산 과정'!$L$7,'계산 과정'!$C$49*('계산 과정'!$C$32-D1287)+'계산 과정'!$D$49*('계산 과정'!$D$32-E1287)+'계산 과정'!$E$49*'계산 과정'!$E$32,"")</x:f>
        <x:v>-25.153939186326284</x:v>
      </x:c>
      <x:c r="P1287" s="4" t="n">
        <x:f>IF(AND('계산 과정'!$L$7,O1287&lt;&gt;0),('계산 과정'!$L$23-'계산 과정'!$C$49*D1287-'계산 과정'!$D$49*E1287)/O1287,"")</x:f>
        <x:v>-14.902081858313483</x:v>
      </x:c>
      <x:c r="Q1287" s="4" t="str">
        <x:f>IF(AND(ISNUMBER(P1287),P1287&gt;1E-9,P1287&lt;1-1E-9),'계산 과정'!$C$47*(D1287-'계산 과정'!$C$50+P1287*('계산 과정'!$C$32-D1287))+'계산 과정'!$D$47*(E1287-'계산 과정'!$D$50+P1287*('계산 과정'!$D$32-E1287))+'계산 과정'!$E$47*(0-'계산 과정'!$E$50+P1287*('계산 과정'!$E$32-0)),"")</x:f>
      </x:c>
      <x:c r="R1287" s="4" t="str">
        <x:f>IF(AND(ISNUMBER(P1287),P1287&gt;1E-9,P1287&lt;1-1E-9),'계산 과정'!$C$48*(D1287-'계산 과정'!$C$50+P1287*('계산 과정'!$C$32-D1287))+'계산 과정'!$D$48*(E1287-'계산 과정'!$D$50+P1287*('계산 과정'!$D$32-E1287))+'계산 과정'!$E$48*(0-'계산 과정'!$E$50+P1287*('계산 과정'!$E$32-0)),"")</x:f>
      </x:c>
      <x:c r="S1287" s="17" t="n">
        <x:f>IF('계산 과정'!$C$78,IF(AND(ISNUMBER(Q1287),ISNUMBER(R1287),ABS(Q1287-'계산 과정'!$C$88)&lt;='계산 과정'!$D$23/2,ABS(R1287-'계산 과정'!$C$89)&lt;='계산 과정'!$D$24/2),1,0),"")</x:f>
        <x:v>0</x:v>
      </x:c>
      <x:c r="T1287" s="4"/>
      <x:c r="U1287" s="4"/>
      <x:c r="V1287" s="4"/>
      <x:c r="W1287" s="4"/>
      <x:c r="X1287" s="4"/>
      <x:c r="Y1287" s="4"/>
      <x:c r="Z1287" s="4"/>
    </x:row>
    <x:row r="1288" ht="23" customHeight="1">
      <x:c r="A1288" s="17" t="n">
        <x:f>ROW()-6</x:f>
        <x:v>1282</x:v>
      </x:c>
      <x:c r="B1288" s="4" t="n">
        <x:f>IF('계산 과정'!$L$5,'계산 과정'!$L$11*SQRT((A1288+0.5)/'계산 과정'!$L$30),"")</x:f>
        <x:v>118.70116183219312</x:v>
      </x:c>
      <x:c r="C1288" s="4" t="n">
        <x:f>A1288*PI()*(3-SQRT(5))</x:f>
        <x:v>3076.7528605121333</x:v>
      </x:c>
      <x:c r="D1288" s="4" t="n">
        <x:f>IF('계산 과정'!$L$5,B1288*COS(C1288),"")</x:f>
        <x:v>-50.2525487475635</x:v>
      </x:c>
      <x:c r="E1288" s="4" t="n">
        <x:f>IF('계산 과정'!$L$5,B1288*SIN(C1288),"")</x:f>
        <x:v>-107.53904948755245</x:v>
      </x:c>
      <x:c r="F1288" s="4" t="n">
        <x:f>IF('계산 과정'!$L$7,'계산 과정'!$L$22+'계산 과정'!$C$49*D1288+'계산 과정'!$D$49*E1288,"")</x:f>
        <x:v>685.5339179913096</x:v>
      </x:c>
      <x:c r="G1288" s="4" t="n">
        <x:f>IF('계산 과정'!$L$7,IF(ABS(F1288)&gt;=1E-12*MAX(1,SQRT((D1288-'계산 과정'!$C$33)^2+(E1288-'계산 과정'!$D$33)^2+'계산 과정'!$E$33^2)),('계산 과정'!$L$23-'계산 과정'!$C$49*D1288-'계산 과정'!$D$49*E1288)/F1288,""),"")</x:f>
        <x:v>0.5316528802493338</x:v>
      </x:c>
      <x:c r="H1288" s="4" t="n">
        <x:f>IF(AND(ISNUMBER(G1288),G1288&gt;0),('계산 과정'!$D$56+'계산 과정'!$D$57*D1288+'계산 과정'!$D$58*E1288)/F1288,"")</x:f>
        <x:v>-54.425627837933234</x:v>
      </x:c>
      <x:c r="I1288" s="4" t="n">
        <x:f>IF(AND(ISNUMBER(G1288),G1288&gt;0),('계산 과정'!$E$56+'계산 과정'!$E$57*D1288+'계산 과정'!$E$58*E1288)/F1288,"")</x:f>
        <x:v>-164.71249488688537</x:v>
      </x:c>
      <x:c r="J1288" s="4" t="n">
        <x:f>IF('계산 과정'!$L$5,'계산 과정'!$D$6+'계산 과정'!$C$35*D1288+'계산 과정'!$D$35*E1288,"")</x:f>
        <x:v>685.5339179913096</x:v>
      </x:c>
      <x:c r="K1288" s="4" t="n">
        <x:f>IF(AND('계산 과정'!$L$6,J1288&gt;0),'계산 과정'!$D$10*('계산 과정'!$C$38*(D1288-'계산 과정'!$C$32)+'계산 과정'!$D$38*(E1288-'계산 과정'!$D$32)-'계산 과정'!$E$38*'계산 과정'!$E$32)/J1288,"")</x:f>
        <x:v>-0.4146714501937761</x:v>
      </x:c>
      <x:c r="L1288" s="4" t="n">
        <x:f>IF(AND('계산 과정'!$L$6,J1288&gt;0),'계산 과정'!$D$10*('계산 과정'!$C$39*(D1288-'계산 과정'!$C$32)+'계산 과정'!$D$39*(E1288-'계산 과정'!$D$32)-'계산 과정'!$E$39*'계산 과정'!$E$32)/J1288,"")</x:f>
        <x:v>-1.254952341995317</x:v>
      </x:c>
      <x:c r="M1288" s="17" t="n">
        <x:f>IF('계산 과정'!$L$6,IF(J1288&lt;=0,0,IF(AND(ABS(K1288)&lt;='계산 과정'!$D$11/2,ABS(L1288)&lt;='계산 과정'!$D$12/2),1,0)),"")</x:f>
        <x:v>1</x:v>
      </x:c>
      <x:c r="N1288" s="17" t="n">
        <x:f>IF('계산 과정'!$C$78,IF(AND(ISNUMBER(H1288),ISNUMBER(I1288),ABS(H1288-'계산 과정'!$C$88)&lt;='계산 과정'!$D$23/2,ABS(I1288-'계산 과정'!$C$89)&lt;='계산 과정'!$D$24/2),1,0),"")</x:f>
        <x:v>1</x:v>
      </x:c>
      <x:c r="O1288" s="4" t="n">
        <x:f>IF('계산 과정'!$L$7,'계산 과정'!$C$49*('계산 과정'!$C$32-D1288)+'계산 과정'!$D$49*('계산 과정'!$D$32-E1288)+'계산 과정'!$E$49*'계산 과정'!$E$32,"")</x:f>
        <x:v>-35.53391799130958</x:v>
      </x:c>
      <x:c r="P1288" s="4" t="n">
        <x:f>IF(AND('계산 과정'!$L$7,O1288&lt;&gt;0),('계산 과정'!$L$23-'계산 과정'!$C$49*D1288-'계산 과정'!$D$49*E1288)/O1288,"")</x:f>
        <x:v>-10.256850429435524</x:v>
      </x:c>
      <x:c r="Q1288" s="4" t="str">
        <x:f>IF(AND(ISNUMBER(P1288),P1288&gt;1E-9,P1288&lt;1-1E-9),'계산 과정'!$C$47*(D1288-'계산 과정'!$C$50+P1288*('계산 과정'!$C$32-D1288))+'계산 과정'!$D$47*(E1288-'계산 과정'!$D$50+P1288*('계산 과정'!$D$32-E1288))+'계산 과정'!$E$47*(0-'계산 과정'!$E$50+P1288*('계산 과정'!$E$32-0)),"")</x:f>
      </x:c>
      <x:c r="R1288" s="4" t="str">
        <x:f>IF(AND(ISNUMBER(P1288),P1288&gt;1E-9,P1288&lt;1-1E-9),'계산 과정'!$C$48*(D1288-'계산 과정'!$C$50+P1288*('계산 과정'!$C$32-D1288))+'계산 과정'!$D$48*(E1288-'계산 과정'!$D$50+P1288*('계산 과정'!$D$32-E1288))+'계산 과정'!$E$48*(0-'계산 과정'!$E$50+P1288*('계산 과정'!$E$32-0)),"")</x:f>
      </x:c>
      <x:c r="S1288" s="17" t="n">
        <x:f>IF('계산 과정'!$C$78,IF(AND(ISNUMBER(Q1288),ISNUMBER(R1288),ABS(Q1288-'계산 과정'!$C$88)&lt;='계산 과정'!$D$23/2,ABS(R1288-'계산 과정'!$C$89)&lt;='계산 과정'!$D$24/2),1,0),"")</x:f>
        <x:v>0</x:v>
      </x:c>
      <x:c r="T1288" s="4"/>
      <x:c r="U1288" s="4"/>
      <x:c r="V1288" s="4"/>
      <x:c r="W1288" s="4"/>
      <x:c r="X1288" s="4"/>
      <x:c r="Y1288" s="4"/>
      <x:c r="Z1288" s="4"/>
    </x:row>
    <x:row r="1289" ht="23" customHeight="1">
      <x:c r="A1289" s="17" t="n">
        <x:f>ROW()-6</x:f>
        <x:v>1283</x:v>
      </x:c>
      <x:c r="B1289" s="4" t="n">
        <x:f>IF('계산 과정'!$L$5,'계산 과정'!$L$11*SQRT((A1289+0.5)/'계산 과정'!$L$30),"")</x:f>
        <x:v>118.74743007087564</x:v>
      </x:c>
      <x:c r="C1289" s="4" t="n">
        <x:f>A1289*PI()*(3-SQRT(5))</x:f>
        <x:v>3079.1528237418615</x:v>
      </x:c>
      <x:c r="D1289" s="4" t="n">
        <x:f>IF('계산 과정'!$L$5,B1289*COS(C1289),"")</x:f>
        <x:v>109.73900790929774</x:v>
      </x:c>
      <x:c r="E1289" s="4" t="n">
        <x:f>IF('계산 과정'!$L$5,B1289*SIN(C1289),"")</x:f>
        <x:v>45.36851652325199</x:v>
      </x:c>
      <x:c r="F1289" s="4" t="n">
        <x:f>IF('계산 과정'!$L$7,'계산 과정'!$L$22+'계산 과정'!$C$49*D1289+'계산 과정'!$D$49*E1289,"")</x:f>
        <x:v>572.4028033466514</x:v>
      </x:c>
      <x:c r="G1289" s="4" t="n">
        <x:f>IF('계산 과정'!$L$7,IF(ABS(F1289)&gt;=1E-12*MAX(1,SQRT((D1289-'계산 과정'!$C$33)^2+(E1289-'계산 과정'!$D$33)^2+'계산 과정'!$E$33^2)),('계산 과정'!$L$23-'계산 과정'!$C$49*D1289-'계산 과정'!$D$49*E1289)/F1289,""),"")</x:f>
        <x:v>0.8343725674664668</x:v>
      </x:c>
      <x:c r="H1289" s="4" t="n">
        <x:f>IF(AND(ISNUMBER(G1289),G1289&gt;0),('계산 과정'!$D$56+'계산 과정'!$D$57*D1289+'계산 과정'!$D$58*E1289)/F1289,"")</x:f>
        <x:v>142.3421688532033</x:v>
      </x:c>
      <x:c r="I1289" s="4" t="n">
        <x:f>IF(AND(ISNUMBER(G1289),G1289&gt;0),('계산 과정'!$E$56+'계산 과정'!$E$57*D1289+'계산 과정'!$E$58*E1289)/F1289,"")</x:f>
        <x:v>83.22276213690257</x:v>
      </x:c>
      <x:c r="J1289" s="4" t="n">
        <x:f>IF('계산 과정'!$L$5,'계산 과정'!$D$6+'계산 과정'!$C$35*D1289+'계산 과정'!$D$35*E1289,"")</x:f>
        <x:v>572.4028033466514</x:v>
      </x:c>
      <x:c r="K1289" s="4" t="n">
        <x:f>IF(AND('계산 과정'!$L$6,J1289&gt;0),'계산 과정'!$D$10*('계산 과정'!$C$38*(D1289-'계산 과정'!$C$32)+'계산 과정'!$D$38*(E1289-'계산 과정'!$D$32)-'계산 과정'!$E$38*'계산 과정'!$E$32)/J1289,"")</x:f>
        <x:v>1.0845117626910739</x:v>
      </x:c>
      <x:c r="L1289" s="4" t="n">
        <x:f>IF(AND('계산 과정'!$L$6,J1289&gt;0),'계산 과정'!$D$10*('계산 과정'!$C$39*(D1289-'계산 과정'!$C$32)+'계산 과정'!$D$39*(E1289-'계산 과정'!$D$32)-'계산 과정'!$E$39*'계산 과정'!$E$32)/J1289,"")</x:f>
        <x:v>0.6340781877097339</x:v>
      </x:c>
      <x:c r="M1289" s="17" t="n">
        <x:f>IF('계산 과정'!$L$6,IF(J1289&lt;=0,0,IF(AND(ABS(K1289)&lt;='계산 과정'!$D$11/2,ABS(L1289)&lt;='계산 과정'!$D$12/2),1,0)),"")</x:f>
        <x:v>1</x:v>
      </x:c>
      <x:c r="N1289" s="17" t="n">
        <x:f>IF('계산 과정'!$C$78,IF(AND(ISNUMBER(H1289),ISNUMBER(I1289),ABS(H1289-'계산 과정'!$C$88)&lt;='계산 과정'!$D$23/2,ABS(I1289-'계산 과정'!$C$89)&lt;='계산 과정'!$D$24/2),1,0),"")</x:f>
        <x:v>1</x:v>
      </x:c>
      <x:c r="O1289" s="4" t="n">
        <x:f>IF('계산 과정'!$L$7,'계산 과정'!$C$49*('계산 과정'!$C$32-D1289)+'계산 과정'!$D$49*('계산 과정'!$D$32-E1289)+'계산 과정'!$E$49*'계산 과정'!$E$32,"")</x:f>
        <x:v>77.59719665334873</x:v>
      </x:c>
      <x:c r="P1289" s="4" t="n">
        <x:f>IF(AND('계산 과정'!$L$7,O1289&lt;&gt;0),('계산 과정'!$L$23-'계산 과정'!$C$49*D1289-'계산 과정'!$D$49*E1289)/O1289,"")</x:f>
        <x:v>6.154825396424134</x:v>
      </x:c>
      <x:c r="Q1289" s="4" t="str">
        <x:f>IF(AND(ISNUMBER(P1289),P1289&gt;1E-9,P1289&lt;1-1E-9),'계산 과정'!$C$47*(D1289-'계산 과정'!$C$50+P1289*('계산 과정'!$C$32-D1289))+'계산 과정'!$D$47*(E1289-'계산 과정'!$D$50+P1289*('계산 과정'!$D$32-E1289))+'계산 과정'!$E$47*(0-'계산 과정'!$E$50+P1289*('계산 과정'!$E$32-0)),"")</x:f>
      </x:c>
      <x:c r="R1289" s="4" t="str">
        <x:f>IF(AND(ISNUMBER(P1289),P1289&gt;1E-9,P1289&lt;1-1E-9),'계산 과정'!$C$48*(D1289-'계산 과정'!$C$50+P1289*('계산 과정'!$C$32-D1289))+'계산 과정'!$D$48*(E1289-'계산 과정'!$D$50+P1289*('계산 과정'!$D$32-E1289))+'계산 과정'!$E$48*(0-'계산 과정'!$E$50+P1289*('계산 과정'!$E$32-0)),"")</x:f>
      </x:c>
      <x:c r="S1289" s="17" t="n">
        <x:f>IF('계산 과정'!$C$78,IF(AND(ISNUMBER(Q1289),ISNUMBER(R1289),ABS(Q1289-'계산 과정'!$C$88)&lt;='계산 과정'!$D$23/2,ABS(R1289-'계산 과정'!$C$89)&lt;='계산 과정'!$D$24/2),1,0),"")</x:f>
        <x:v>0</x:v>
      </x:c>
      <x:c r="T1289" s="4"/>
      <x:c r="U1289" s="4"/>
      <x:c r="V1289" s="4"/>
      <x:c r="W1289" s="4"/>
      <x:c r="X1289" s="4"/>
      <x:c r="Y1289" s="4"/>
      <x:c r="Z1289" s="4"/>
    </x:row>
    <x:row r="1290" ht="23" customHeight="1">
      <x:c r="A1290" s="17" t="n">
        <x:f>ROW()-6</x:f>
        <x:v>1284</x:v>
      </x:c>
      <x:c r="B1290" s="4" t="n">
        <x:f>IF('계산 과정'!$L$5,'계산 과정'!$L$11*SQRT((A1290+0.5)/'계산 과정'!$L$30),"")</x:f>
        <x:v>118.7936802888205</x:v>
      </x:c>
      <x:c r="C1290" s="4" t="n">
        <x:f>A1290*PI()*(3-SQRT(5))</x:f>
        <x:v>3081.55278697159</x:v>
      </x:c>
      <x:c r="D1290" s="4" t="n">
        <x:f>IF('계산 과정'!$L$5,B1290*COS(C1290),"")</x:f>
        <x:v>-111.60757415465177</x:v>
      </x:c>
      <x:c r="E1290" s="4" t="n">
        <x:f>IF('계산 과정'!$L$5,B1290*SIN(C1290),"")</x:f>
        <x:v>40.6901446037785</x:v>
      </x:c>
      <x:c r="F1290" s="4" t="n">
        <x:f>IF('계산 과정'!$L$7,'계산 과정'!$L$22+'계산 과정'!$C$49*D1290+'계산 과정'!$D$49*E1290,"")</x:f>
        <x:v>728.9184725165347</x:v>
      </x:c>
      <x:c r="G1290" s="4" t="n">
        <x:f>IF('계산 과정'!$L$7,IF(ABS(F1290)&gt;=1E-12*MAX(1,SQRT((D1290-'계산 과정'!$C$33)^2+(E1290-'계산 과정'!$D$33)^2+'계산 과정'!$E$33^2)),('계산 과정'!$L$23-'계산 과정'!$C$49*D1290-'계산 과정'!$D$49*E1290)/F1290,""),"")</x:f>
        <x:v>0.44049031488385265</x:v>
      </x:c>
      <x:c r="H1290" s="4" t="n">
        <x:f>IF(AND(ISNUMBER(G1290),G1290&gt;0),('계산 과정'!$D$56+'계산 과정'!$D$57*D1290+'계산 과정'!$D$58*E1290)/F1290,"")</x:f>
        <x:v>-113.68129532549591</x:v>
      </x:c>
      <x:c r="I1290" s="4" t="n">
        <x:f>IF(AND(ISNUMBER(G1290),G1290&gt;0),('계산 과정'!$E$56+'계산 과정'!$E$57*D1290+'계산 과정'!$E$58*E1290)/F1290,"")</x:f>
        <x:v>58.613759212966386</x:v>
      </x:c>
      <x:c r="J1290" s="4" t="n">
        <x:f>IF('계산 과정'!$L$5,'계산 과정'!$D$6+'계산 과정'!$C$35*D1290+'계산 과정'!$D$35*E1290,"")</x:f>
        <x:v>728.9184725165347</x:v>
      </x:c>
      <x:c r="K1290" s="4" t="n">
        <x:f>IF(AND('계산 과정'!$L$6,J1290&gt;0),'계산 과정'!$D$10*('계산 과정'!$C$38*(D1290-'계산 과정'!$C$32)+'계산 과정'!$D$38*(E1290-'계산 과정'!$D$32)-'계산 과정'!$E$38*'계산 과정'!$E$32)/J1290,"")</x:f>
        <x:v>-0.8661432024799673</x:v>
      </x:c>
      <x:c r="L1290" s="4" t="n">
        <x:f>IF(AND('계산 과정'!$L$6,J1290&gt;0),'계산 과정'!$D$10*('계산 과정'!$C$39*(D1290-'계산 과정'!$C$32)+'계산 과정'!$D$39*(E1290-'계산 과정'!$D$32)-'계산 과정'!$E$39*'계산 과정'!$E$32)/J1290,"")</x:f>
        <x:v>0.446581022574982</x:v>
      </x:c>
      <x:c r="M1290" s="17" t="n">
        <x:f>IF('계산 과정'!$L$6,IF(J1290&lt;=0,0,IF(AND(ABS(K1290)&lt;='계산 과정'!$D$11/2,ABS(L1290)&lt;='계산 과정'!$D$12/2),1,0)),"")</x:f>
        <x:v>1</x:v>
      </x:c>
      <x:c r="N1290" s="17" t="n">
        <x:f>IF('계산 과정'!$C$78,IF(AND(ISNUMBER(H1290),ISNUMBER(I1290),ABS(H1290-'계산 과정'!$C$88)&lt;='계산 과정'!$D$23/2,ABS(I1290-'계산 과정'!$C$89)&lt;='계산 과정'!$D$24/2),1,0),"")</x:f>
        <x:v>1</x:v>
      </x:c>
      <x:c r="O1290" s="4" t="n">
        <x:f>IF('계산 과정'!$L$7,'계산 과정'!$C$49*('계산 과정'!$C$32-D1290)+'계산 과정'!$D$49*('계산 과정'!$D$32-E1290)+'계산 과정'!$E$49*'계산 과정'!$E$32,"")</x:f>
        <x:v>-78.91847251653456</x:v>
      </x:c>
      <x:c r="P1290" s="4" t="n">
        <x:f>IF(AND('계산 과정'!$L$7,O1290&lt;&gt;0),('계산 과정'!$L$23-'계산 과정'!$C$49*D1290-'계산 과정'!$D$49*E1290)/O1290,"")</x:f>
        <x:v>-4.068521820619298</x:v>
      </x:c>
      <x:c r="Q1290" s="4" t="str">
        <x:f>IF(AND(ISNUMBER(P1290),P1290&gt;1E-9,P1290&lt;1-1E-9),'계산 과정'!$C$47*(D1290-'계산 과정'!$C$50+P1290*('계산 과정'!$C$32-D1290))+'계산 과정'!$D$47*(E1290-'계산 과정'!$D$50+P1290*('계산 과정'!$D$32-E1290))+'계산 과정'!$E$47*(0-'계산 과정'!$E$50+P1290*('계산 과정'!$E$32-0)),"")</x:f>
      </x:c>
      <x:c r="R1290" s="4" t="str">
        <x:f>IF(AND(ISNUMBER(P1290),P1290&gt;1E-9,P1290&lt;1-1E-9),'계산 과정'!$C$48*(D1290-'계산 과정'!$C$50+P1290*('계산 과정'!$C$32-D1290))+'계산 과정'!$D$48*(E1290-'계산 과정'!$D$50+P1290*('계산 과정'!$D$32-E1290))+'계산 과정'!$E$48*(0-'계산 과정'!$E$50+P1290*('계산 과정'!$E$32-0)),"")</x:f>
      </x:c>
      <x:c r="S1290" s="17" t="n">
        <x:f>IF('계산 과정'!$C$78,IF(AND(ISNUMBER(Q1290),ISNUMBER(R1290),ABS(Q1290-'계산 과정'!$C$88)&lt;='계산 과정'!$D$23/2,ABS(R1290-'계산 과정'!$C$89)&lt;='계산 과정'!$D$24/2),1,0),"")</x:f>
        <x:v>0</x:v>
      </x:c>
      <x:c r="T1290" s="4"/>
      <x:c r="U1290" s="4"/>
      <x:c r="V1290" s="4"/>
      <x:c r="W1290" s="4"/>
      <x:c r="X1290" s="4"/>
      <x:c r="Y1290" s="4"/>
      <x:c r="Z1290" s="4"/>
    </x:row>
    <x:row r="1291" ht="23" customHeight="1">
      <x:c r="A1291" s="17" t="n">
        <x:f>ROW()-6</x:f>
        <x:v>1285</x:v>
      </x:c>
      <x:c r="B1291" s="4" t="n">
        <x:f>IF('계산 과정'!$L$5,'계산 과정'!$L$11*SQRT((A1291+0.5)/'계산 과정'!$L$30),"")</x:f>
        <x:v>118.83991250706767</x:v>
      </x:c>
      <x:c r="C1291" s="4" t="n">
        <x:f>A1291*PI()*(3-SQRT(5))</x:f>
        <x:v>3083.952750201319</x:v>
      </x:c>
      <x:c r="D1291" s="4" t="n">
        <x:f>IF('계산 과정'!$L$5,B1291*COS(C1291),"")</x:f>
        <x:v>54.831485046493604</x:v>
      </x:c>
      <x:c r="E1291" s="4" t="n">
        <x:f>IF('계산 과정'!$L$5,B1291*SIN(C1291),"")</x:f>
        <x:v>-105.4344965003563</x:v>
      </x:c>
      <x:c r="F1291" s="4" t="n">
        <x:f>IF('계산 과정'!$L$7,'계산 과정'!$L$22+'계산 과정'!$C$49*D1291+'계산 과정'!$D$49*E1291,"")</x:f>
        <x:v>611.2282851010956</x:v>
      </x:c>
      <x:c r="G1291" s="4" t="n">
        <x:f>IF('계산 과정'!$L$7,IF(ABS(F1291)&gt;=1E-12*MAX(1,SQRT((D1291-'계산 과정'!$C$33)^2+(E1291-'계산 과정'!$D$33)^2+'계산 과정'!$E$33^2)),('계산 과정'!$L$23-'계산 과정'!$C$49*D1291-'계산 과정'!$D$49*E1291)/F1291,""),"")</x:f>
        <x:v>0.7178524384327742</x:v>
      </x:c>
      <x:c r="H1291" s="4" t="n">
        <x:f>IF(AND(ISNUMBER(G1291),G1291&gt;0),('계산 과정'!$D$56+'계산 과정'!$D$57*D1291+'계산 과정'!$D$58*E1291)/F1291,"")</x:f>
        <x:v>66.60408498130316</x:v>
      </x:c>
      <x:c r="I1291" s="4" t="n">
        <x:f>IF(AND(ISNUMBER(G1291),G1291&gt;0),('계산 과정'!$E$56+'계산 과정'!$E$57*D1291+'계산 과정'!$E$58*E1291)/F1291,"")</x:f>
        <x:v>-181.1209069080689</x:v>
      </x:c>
      <x:c r="J1291" s="4" t="n">
        <x:f>IF('계산 과정'!$L$5,'계산 과정'!$D$6+'계산 과정'!$C$35*D1291+'계산 과정'!$D$35*E1291,"")</x:f>
        <x:v>611.2282851010956</x:v>
      </x:c>
      <x:c r="K1291" s="4" t="n">
        <x:f>IF(AND('계산 과정'!$L$6,J1291&gt;0),'계산 과정'!$D$10*('계산 과정'!$C$38*(D1291-'계산 과정'!$C$32)+'계산 과정'!$D$38*(E1291-'계산 과정'!$D$32)-'계산 과정'!$E$38*'계산 과정'!$E$32)/J1291,"")</x:f>
        <x:v>0.5074596950956438</x:v>
      </x:c>
      <x:c r="L1291" s="4" t="n">
        <x:f>IF(AND('계산 과정'!$L$6,J1291&gt;0),'계산 과정'!$D$10*('계산 과정'!$C$39*(D1291-'계산 과정'!$C$32)+'계산 과정'!$D$39*(E1291-'계산 과정'!$D$32)-'계산 과정'!$E$39*'계산 과정'!$E$32)/J1291,"")</x:f>
        <x:v>-1.3799688145376676</x:v>
      </x:c>
      <x:c r="M1291" s="17" t="n">
        <x:f>IF('계산 과정'!$L$6,IF(J1291&lt;=0,0,IF(AND(ABS(K1291)&lt;='계산 과정'!$D$11/2,ABS(L1291)&lt;='계산 과정'!$D$12/2),1,0)),"")</x:f>
        <x:v>1</x:v>
      </x:c>
      <x:c r="N1291" s="17" t="n">
        <x:f>IF('계산 과정'!$C$78,IF(AND(ISNUMBER(H1291),ISNUMBER(I1291),ABS(H1291-'계산 과정'!$C$88)&lt;='계산 과정'!$D$23/2,ABS(I1291-'계산 과정'!$C$89)&lt;='계산 과정'!$D$24/2),1,0),"")</x:f>
        <x:v>1</x:v>
      </x:c>
      <x:c r="O1291" s="4" t="n">
        <x:f>IF('계산 과정'!$L$7,'계산 과정'!$C$49*('계산 과정'!$C$32-D1291)+'계산 과정'!$D$49*('계산 과정'!$D$32-E1291)+'계산 과정'!$E$49*'계산 과정'!$E$32,"")</x:f>
        <x:v>38.77171489890452</x:v>
      </x:c>
      <x:c r="P1291" s="4" t="n">
        <x:f>IF(AND('계산 과정'!$L$7,O1291&lt;&gt;0),('계산 과정'!$L$23-'계산 과정'!$C$49*D1291-'계산 과정'!$D$49*E1291)/O1291,"")</x:f>
        <x:v>11.316799270885532</x:v>
      </x:c>
      <x:c r="Q1291" s="4" t="str">
        <x:f>IF(AND(ISNUMBER(P1291),P1291&gt;1E-9,P1291&lt;1-1E-9),'계산 과정'!$C$47*(D1291-'계산 과정'!$C$50+P1291*('계산 과정'!$C$32-D1291))+'계산 과정'!$D$47*(E1291-'계산 과정'!$D$50+P1291*('계산 과정'!$D$32-E1291))+'계산 과정'!$E$47*(0-'계산 과정'!$E$50+P1291*('계산 과정'!$E$32-0)),"")</x:f>
      </x:c>
      <x:c r="R1291" s="4" t="str">
        <x:f>IF(AND(ISNUMBER(P1291),P1291&gt;1E-9,P1291&lt;1-1E-9),'계산 과정'!$C$48*(D1291-'계산 과정'!$C$50+P1291*('계산 과정'!$C$32-D1291))+'계산 과정'!$D$48*(E1291-'계산 과정'!$D$50+P1291*('계산 과정'!$D$32-E1291))+'계산 과정'!$E$48*(0-'계산 과정'!$E$50+P1291*('계산 과정'!$E$32-0)),"")</x:f>
      </x:c>
      <x:c r="S1291" s="17" t="n">
        <x:f>IF('계산 과정'!$C$78,IF(AND(ISNUMBER(Q1291),ISNUMBER(R1291),ABS(Q1291-'계산 과정'!$C$88)&lt;='계산 과정'!$D$23/2,ABS(R1291-'계산 과정'!$C$89)&lt;='계산 과정'!$D$24/2),1,0),"")</x:f>
        <x:v>0</x:v>
      </x:c>
      <x:c r="T1291" s="4"/>
      <x:c r="U1291" s="4"/>
      <x:c r="V1291" s="4"/>
      <x:c r="W1291" s="4"/>
      <x:c r="X1291" s="4"/>
      <x:c r="Y1291" s="4"/>
      <x:c r="Z1291" s="4"/>
    </x:row>
    <x:row r="1292" ht="23" customHeight="1">
      <x:c r="A1292" s="17" t="n">
        <x:f>ROW()-6</x:f>
        <x:v>1286</x:v>
      </x:c>
      <x:c r="B1292" s="4" t="n">
        <x:f>IF('계산 과정'!$L$5,'계산 과정'!$L$11*SQRT((A1292+0.5)/'계산 과정'!$L$30),"")</x:f>
        <x:v>118.88612674661624</x:v>
      </x:c>
      <x:c r="C1292" s="4" t="n">
        <x:f>A1292*PI()*(3-SQRT(5))</x:f>
        <x:v>3086.352713431048</x:v>
      </x:c>
      <x:c r="D1292" s="4" t="n">
        <x:f>IF('계산 과정'!$L$5,B1292*COS(C1292),"")</x:f>
        <x:v>30.800921602007236</x:v>
      </x:c>
      <x:c r="E1292" s="4" t="n">
        <x:f>IF('계산 과정'!$L$5,B1292*SIN(C1292),"")</x:f>
        <x:v>114.8268886684626</x:v>
      </x:c>
      <x:c r="F1292" s="4" t="n">
        <x:f>IF('계산 과정'!$L$7,'계산 과정'!$L$22+'계산 과정'!$C$49*D1292+'계산 과정'!$D$49*E1292,"")</x:f>
        <x:v>628.2204594684255</x:v>
      </x:c>
      <x:c r="G1292" s="4" t="n">
        <x:f>IF('계산 과정'!$L$7,IF(ABS(F1292)&gt;=1E-12*MAX(1,SQRT((D1292-'계산 과정'!$C$33)^2+(E1292-'계산 과정'!$D$33)^2+'계산 과정'!$E$33^2)),('계산 과정'!$L$23-'계산 과정'!$C$49*D1292-'계산 과정'!$D$49*E1292)/F1292,""),"")</x:f>
        <x:v>0.6713877814302119</x:v>
      </x:c>
      <x:c r="H1292" s="4" t="n">
        <x:f>IF(AND(ISNUMBER(G1292),G1292&gt;0),('계산 과정'!$D$56+'계산 과정'!$D$57*D1292+'계산 과정'!$D$58*E1292)/F1292,"")</x:f>
        <x:v>36.402057929637635</x:v>
      </x:c>
      <x:c r="I1292" s="4" t="n">
        <x:f>IF(AND(ISNUMBER(G1292),G1292&gt;0),('계산 과정'!$E$56+'계산 과정'!$E$57*D1292+'계산 과정'!$E$58*E1292)/F1292,"")</x:f>
        <x:v>191.92025870011565</x:v>
      </x:c>
      <x:c r="J1292" s="4" t="n">
        <x:f>IF('계산 과정'!$L$5,'계산 과정'!$D$6+'계산 과정'!$C$35*D1292+'계산 과정'!$D$35*E1292,"")</x:f>
        <x:v>628.2204594684255</x:v>
      </x:c>
      <x:c r="K1292" s="4" t="n">
        <x:f>IF(AND('계산 과정'!$L$6,J1292&gt;0),'계산 과정'!$D$10*('계산 과정'!$C$38*(D1292-'계산 과정'!$C$32)+'계산 과정'!$D$38*(E1292-'계산 과정'!$D$32)-'계산 과정'!$E$38*'계산 과정'!$E$32)/J1292,"")</x:f>
        <x:v>0.2773490127972398</x:v>
      </x:c>
      <x:c r="L1292" s="4" t="n">
        <x:f>IF(AND('계산 과정'!$L$6,J1292&gt;0),'계산 과정'!$D$10*('계산 과정'!$C$39*(D1292-'계산 과정'!$C$32)+'계산 과정'!$D$39*(E1292-'계산 과정'!$D$32)-'계산 과정'!$E$39*'계산 과정'!$E$32)/J1292,"")</x:f>
        <x:v>1.4622495900961192</x:v>
      </x:c>
      <x:c r="M1292" s="17" t="n">
        <x:f>IF('계산 과정'!$L$6,IF(J1292&lt;=0,0,IF(AND(ABS(K1292)&lt;='계산 과정'!$D$11/2,ABS(L1292)&lt;='계산 과정'!$D$12/2),1,0)),"")</x:f>
        <x:v>1</x:v>
      </x:c>
      <x:c r="N1292" s="17" t="n">
        <x:f>IF('계산 과정'!$C$78,IF(AND(ISNUMBER(H1292),ISNUMBER(I1292),ABS(H1292-'계산 과정'!$C$88)&lt;='계산 과정'!$D$23/2,ABS(I1292-'계산 과정'!$C$89)&lt;='계산 과정'!$D$24/2),1,0),"")</x:f>
        <x:v>1</x:v>
      </x:c>
      <x:c r="O1292" s="4" t="n">
        <x:f>IF('계산 과정'!$L$7,'계산 과정'!$C$49*('계산 과정'!$C$32-D1292)+'계산 과정'!$D$49*('계산 과정'!$D$32-E1292)+'계산 과정'!$E$49*'계산 과정'!$E$32,"")</x:f>
        <x:v>21.77954053157464</x:v>
      </x:c>
      <x:c r="P1292" s="4" t="n">
        <x:f>IF(AND('계산 과정'!$L$7,O1292&lt;&gt;0),('계산 과정'!$L$23-'계산 과정'!$C$49*D1292-'계산 과정'!$D$49*E1292)/O1292,"")</x:f>
        <x:v>19.36586035504764</x:v>
      </x:c>
      <x:c r="Q1292" s="4" t="str">
        <x:f>IF(AND(ISNUMBER(P1292),P1292&gt;1E-9,P1292&lt;1-1E-9),'계산 과정'!$C$47*(D1292-'계산 과정'!$C$50+P1292*('계산 과정'!$C$32-D1292))+'계산 과정'!$D$47*(E1292-'계산 과정'!$D$50+P1292*('계산 과정'!$D$32-E1292))+'계산 과정'!$E$47*(0-'계산 과정'!$E$50+P1292*('계산 과정'!$E$32-0)),"")</x:f>
      </x:c>
      <x:c r="R1292" s="4" t="str">
        <x:f>IF(AND(ISNUMBER(P1292),P1292&gt;1E-9,P1292&lt;1-1E-9),'계산 과정'!$C$48*(D1292-'계산 과정'!$C$50+P1292*('계산 과정'!$C$32-D1292))+'계산 과정'!$D$48*(E1292-'계산 과정'!$D$50+P1292*('계산 과정'!$D$32-E1292))+'계산 과정'!$E$48*(0-'계산 과정'!$E$50+P1292*('계산 과정'!$E$32-0)),"")</x:f>
      </x:c>
      <x:c r="S1292" s="17" t="n">
        <x:f>IF('계산 과정'!$C$78,IF(AND(ISNUMBER(Q1292),ISNUMBER(R1292),ABS(Q1292-'계산 과정'!$C$88)&lt;='계산 과정'!$D$23/2,ABS(R1292-'계산 과정'!$C$89)&lt;='계산 과정'!$D$24/2),1,0),"")</x:f>
        <x:v>0</x:v>
      </x:c>
      <x:c r="T1292" s="4"/>
      <x:c r="U1292" s="4"/>
      <x:c r="V1292" s="4"/>
      <x:c r="W1292" s="4"/>
      <x:c r="X1292" s="4"/>
      <x:c r="Y1292" s="4"/>
      <x:c r="Z1292" s="4"/>
    </x:row>
    <x:row r="1293" ht="23" customHeight="1">
      <x:c r="A1293" s="17" t="n">
        <x:f>ROW()-6</x:f>
        <x:v>1287</x:v>
      </x:c>
      <x:c r="B1293" s="4" t="n">
        <x:f>IF('계산 과정'!$L$5,'계산 과정'!$L$11*SQRT((A1293+0.5)/'계산 과정'!$L$30),"")</x:f>
        <x:v>118.93232302842445</x:v>
      </x:c>
      <x:c r="C1293" s="4" t="n">
        <x:f>A1293*PI()*(3-SQRT(5))</x:f>
        <x:v>3088.752676660776</x:v>
      </x:c>
      <x:c r="D1293" s="4" t="n">
        <x:f>IF('계산 과정'!$L$5,B1293*COS(C1293),"")</x:f>
        <x:v>-100.31505469153103</x:v>
      </x:c>
      <x:c r="E1293" s="4" t="n">
        <x:f>IF('계산 과정'!$L$5,B1293*SIN(C1293),"")</x:f>
        <x:v>-63.88886650405246</x:v>
      </x:c>
      <x:c r="F1293" s="4" t="n">
        <x:f>IF('계산 과정'!$L$7,'계산 과정'!$L$22+'계산 과정'!$C$49*D1293+'계산 과정'!$D$49*E1293,"")</x:f>
        <x:v>720.933455427481</x:v>
      </x:c>
      <x:c r="G1293" s="4" t="n">
        <x:f>IF('계산 과정'!$L$7,IF(ABS(F1293)&gt;=1E-12*MAX(1,SQRT((D1293-'계산 과정'!$C$33)^2+(E1293-'계산 과정'!$D$33)^2+'계산 과정'!$E$33^2)),('계산 과정'!$L$23-'계산 과정'!$C$49*D1293-'계산 과정'!$D$49*E1293)/F1293,""),"")</x:f>
        <x:v>0.4564451019649205</x:v>
      </x:c>
      <x:c r="H1293" s="4" t="n">
        <x:f>IF(AND(ISNUMBER(G1293),G1293&gt;0),('계산 과정'!$D$56+'계산 과정'!$D$57*D1293+'계산 과정'!$D$58*E1293)/F1293,"")</x:f>
        <x:v>-103.3106837228018</x:v>
      </x:c>
      <x:c r="I1293" s="4" t="n">
        <x:f>IF(AND(ISNUMBER(G1293),G1293&gt;0),('계산 과정'!$E$56+'계산 과정'!$E$57*D1293+'계산 과정'!$E$58*E1293)/F1293,"")</x:f>
        <x:v>-93.05062668991788</x:v>
      </x:c>
      <x:c r="J1293" s="4" t="n">
        <x:f>IF('계산 과정'!$L$5,'계산 과정'!$D$6+'계산 과정'!$C$35*D1293+'계산 과정'!$D$35*E1293,"")</x:f>
        <x:v>720.933455427481</x:v>
      </x:c>
      <x:c r="K1293" s="4" t="n">
        <x:f>IF(AND('계산 과정'!$L$6,J1293&gt;0),'계산 과정'!$D$10*('계산 과정'!$C$38*(D1293-'계산 과정'!$C$32)+'계산 과정'!$D$38*(E1293-'계산 과정'!$D$32)-'계산 과정'!$E$38*'계산 과정'!$E$32)/J1293,"")</x:f>
        <x:v>-0.7871290188403935</x:v>
      </x:c>
      <x:c r="L1293" s="4" t="n">
        <x:f>IF(AND('계산 과정'!$L$6,J1293&gt;0),'계산 과정'!$D$10*('계산 과정'!$C$39*(D1293-'계산 과정'!$C$32)+'계산 과정'!$D$39*(E1293-'계산 과정'!$D$32)-'계산 과정'!$E$39*'계산 과정'!$E$32)/J1293,"")</x:f>
        <x:v>-0.7089571557327076</x:v>
      </x:c>
      <x:c r="M1293" s="17" t="n">
        <x:f>IF('계산 과정'!$L$6,IF(J1293&lt;=0,0,IF(AND(ABS(K1293)&lt;='계산 과정'!$D$11/2,ABS(L1293)&lt;='계산 과정'!$D$12/2),1,0)),"")</x:f>
        <x:v>1</x:v>
      </x:c>
      <x:c r="N1293" s="17" t="n">
        <x:f>IF('계산 과정'!$C$78,IF(AND(ISNUMBER(H1293),ISNUMBER(I1293),ABS(H1293-'계산 과정'!$C$88)&lt;='계산 과정'!$D$23/2,ABS(I1293-'계산 과정'!$C$89)&lt;='계산 과정'!$D$24/2),1,0),"")</x:f>
        <x:v>1</x:v>
      </x:c>
      <x:c r="O1293" s="4" t="n">
        <x:f>IF('계산 과정'!$L$7,'계산 과정'!$C$49*('계산 과정'!$C$32-D1293)+'계산 과정'!$D$49*('계산 과정'!$D$32-E1293)+'계산 과정'!$E$49*'계산 과정'!$E$32,"")</x:f>
        <x:v>-70.93345542748085</x:v>
      </x:c>
      <x:c r="P1293" s="4" t="n">
        <x:f>IF(AND('계산 과정'!$L$7,O1293&lt;&gt;0),('계산 과정'!$L$23-'계산 과정'!$C$49*D1293-'계산 과정'!$D$49*E1293)/O1293,"")</x:f>
        <x:v>-4.639088038068888</x:v>
      </x:c>
      <x:c r="Q1293" s="4" t="str">
        <x:f>IF(AND(ISNUMBER(P1293),P1293&gt;1E-9,P1293&lt;1-1E-9),'계산 과정'!$C$47*(D1293-'계산 과정'!$C$50+P1293*('계산 과정'!$C$32-D1293))+'계산 과정'!$D$47*(E1293-'계산 과정'!$D$50+P1293*('계산 과정'!$D$32-E1293))+'계산 과정'!$E$47*(0-'계산 과정'!$E$50+P1293*('계산 과정'!$E$32-0)),"")</x:f>
      </x:c>
      <x:c r="R1293" s="4" t="str">
        <x:f>IF(AND(ISNUMBER(P1293),P1293&gt;1E-9,P1293&lt;1-1E-9),'계산 과정'!$C$48*(D1293-'계산 과정'!$C$50+P1293*('계산 과정'!$C$32-D1293))+'계산 과정'!$D$48*(E1293-'계산 과정'!$D$50+P1293*('계산 과정'!$D$32-E1293))+'계산 과정'!$E$48*(0-'계산 과정'!$E$50+P1293*('계산 과정'!$E$32-0)),"")</x:f>
      </x:c>
      <x:c r="S1293" s="17" t="n">
        <x:f>IF('계산 과정'!$C$78,IF(AND(ISNUMBER(Q1293),ISNUMBER(R1293),ABS(Q1293-'계산 과정'!$C$88)&lt;='계산 과정'!$D$23/2,ABS(R1293-'계산 과정'!$C$89)&lt;='계산 과정'!$D$24/2),1,0),"")</x:f>
        <x:v>0</x:v>
      </x:c>
      <x:c r="T1293" s="4"/>
      <x:c r="U1293" s="4"/>
      <x:c r="V1293" s="4"/>
      <x:c r="W1293" s="4"/>
      <x:c r="X1293" s="4"/>
      <x:c r="Y1293" s="4"/>
      <x:c r="Z1293" s="4"/>
    </x:row>
    <x:row r="1294" ht="23" customHeight="1">
      <x:c r="A1294" s="17" t="n">
        <x:f>ROW()-6</x:f>
        <x:v>1288</x:v>
      </x:c>
      <x:c r="B1294" s="4" t="n">
        <x:f>IF('계산 과정'!$L$5,'계산 과정'!$L$11*SQRT((A1294+0.5)/'계산 과정'!$L$30),"")</x:f>
        <x:v>118.9785013734099</x:v>
      </x:c>
      <x:c r="C1294" s="4" t="n">
        <x:f>A1294*PI()*(3-SQRT(5))</x:f>
        <x:v>3091.152639890505</x:v>
      </x:c>
      <x:c r="D1294" s="4" t="n">
        <x:f>IF('계산 과정'!$L$5,B1294*COS(C1294),"")</x:f>
        <x:v>117.17098537277847</x:v>
      </x:c>
      <x:c r="E1294" s="4" t="n">
        <x:f>IF('계산 과정'!$L$5,B1294*SIN(C1294),"")</x:f>
        <x:v>-20.660202705555335</x:v>
      </x:c>
      <x:c r="F1294" s="4" t="n">
        <x:f>IF('계산 과정'!$L$7,'계산 과정'!$L$22+'계산 과정'!$C$49*D1294+'계산 과정'!$D$49*E1294,"")</x:f>
        <x:v>567.1476016845986</x:v>
      </x:c>
      <x:c r="G1294" s="4" t="n">
        <x:f>IF('계산 과정'!$L$7,IF(ABS(F1294)&gt;=1E-12*MAX(1,SQRT((D1294-'계산 과정'!$C$33)^2+(E1294-'계산 과정'!$D$33)^2+'계산 과정'!$E$33^2)),('계산 과정'!$L$23-'계산 과정'!$C$49*D1294-'계산 과정'!$D$49*E1294)/F1294,""),"")</x:f>
        <x:v>0.8513699024401846</x:v>
      </x:c>
      <x:c r="H1294" s="4" t="n">
        <x:f>IF(AND(ISNUMBER(G1294),G1294&gt;0),('계산 과정'!$D$56+'계산 과정'!$D$57*D1294+'계산 과정'!$D$58*E1294)/F1294,"")</x:f>
        <x:v>153.39043658611996</x:v>
      </x:c>
      <x:c r="I1294" s="4" t="n">
        <x:f>IF(AND(ISNUMBER(G1294),G1294&gt;0),('계산 과정'!$E$56+'계산 과정'!$E$57*D1294+'계산 과정'!$E$58*E1294)/F1294,"")</x:f>
        <x:v>-38.24967746737842</x:v>
      </x:c>
      <x:c r="J1294" s="4" t="n">
        <x:f>IF('계산 과정'!$L$5,'계산 과정'!$D$6+'계산 과정'!$C$35*D1294+'계산 과정'!$D$35*E1294,"")</x:f>
        <x:v>567.1476016845986</x:v>
      </x:c>
      <x:c r="K1294" s="4" t="n">
        <x:f>IF(AND('계산 과정'!$L$6,J1294&gt;0),'계산 과정'!$D$10*('계산 과정'!$C$38*(D1294-'계산 과정'!$C$32)+'계산 과정'!$D$38*(E1294-'계산 과정'!$D$32)-'계산 과정'!$E$38*'계산 과정'!$E$32)/J1294,"")</x:f>
        <x:v>1.168689040656153</x:v>
      </x:c>
      <x:c r="L1294" s="4" t="n">
        <x:f>IF(AND('계산 과정'!$L$6,J1294&gt;0),'계산 과정'!$D$10*('계산 과정'!$C$39*(D1294-'계산 과정'!$C$32)+'계산 과정'!$D$39*(E1294-'계산 과정'!$D$32)-'계산 과정'!$E$39*'계산 과정'!$E$32)/J1294,"")</x:f>
        <x:v>-0.2914261140371689</x:v>
      </x:c>
      <x:c r="M1294" s="17" t="n">
        <x:f>IF('계산 과정'!$L$6,IF(J1294&lt;=0,0,IF(AND(ABS(K1294)&lt;='계산 과정'!$D$11/2,ABS(L1294)&lt;='계산 과정'!$D$12/2),1,0)),"")</x:f>
        <x:v>1</x:v>
      </x:c>
      <x:c r="N1294" s="17" t="n">
        <x:f>IF('계산 과정'!$C$78,IF(AND(ISNUMBER(H1294),ISNUMBER(I1294),ABS(H1294-'계산 과정'!$C$88)&lt;='계산 과정'!$D$23/2,ABS(I1294-'계산 과정'!$C$89)&lt;='계산 과정'!$D$24/2),1,0),"")</x:f>
        <x:v>1</x:v>
      </x:c>
      <x:c r="O1294" s="4" t="n">
        <x:f>IF('계산 과정'!$L$7,'계산 과정'!$C$49*('계산 과정'!$C$32-D1294)+'계산 과정'!$D$49*('계산 과정'!$D$32-E1294)+'계산 과정'!$E$49*'계산 과정'!$E$32,"")</x:f>
        <x:v>82.85239831540156</x:v>
      </x:c>
      <x:c r="P1294" s="4" t="n">
        <x:f>IF(AND('계산 과정'!$L$7,O1294&lt;&gt;0),('계산 과정'!$L$23-'계산 과정'!$C$49*D1294-'계산 과정'!$D$49*E1294)/O1294,"")</x:f>
        <x:v>5.827862658571263</x:v>
      </x:c>
      <x:c r="Q1294" s="4" t="str">
        <x:f>IF(AND(ISNUMBER(P1294),P1294&gt;1E-9,P1294&lt;1-1E-9),'계산 과정'!$C$47*(D1294-'계산 과정'!$C$50+P1294*('계산 과정'!$C$32-D1294))+'계산 과정'!$D$47*(E1294-'계산 과정'!$D$50+P1294*('계산 과정'!$D$32-E1294))+'계산 과정'!$E$47*(0-'계산 과정'!$E$50+P1294*('계산 과정'!$E$32-0)),"")</x:f>
      </x:c>
      <x:c r="R1294" s="4" t="str">
        <x:f>IF(AND(ISNUMBER(P1294),P1294&gt;1E-9,P1294&lt;1-1E-9),'계산 과정'!$C$48*(D1294-'계산 과정'!$C$50+P1294*('계산 과정'!$C$32-D1294))+'계산 과정'!$D$48*(E1294-'계산 과정'!$D$50+P1294*('계산 과정'!$D$32-E1294))+'계산 과정'!$E$48*(0-'계산 과정'!$E$50+P1294*('계산 과정'!$E$32-0)),"")</x:f>
      </x:c>
      <x:c r="S1294" s="17" t="n">
        <x:f>IF('계산 과정'!$C$78,IF(AND(ISNUMBER(Q1294),ISNUMBER(R1294),ABS(Q1294-'계산 과정'!$C$88)&lt;='계산 과정'!$D$23/2,ABS(R1294-'계산 과정'!$C$89)&lt;='계산 과정'!$D$24/2),1,0),"")</x:f>
        <x:v>0</x:v>
      </x:c>
      <x:c r="T1294" s="4"/>
      <x:c r="U1294" s="4"/>
      <x:c r="V1294" s="4"/>
      <x:c r="W1294" s="4"/>
      <x:c r="X1294" s="4"/>
      <x:c r="Y1294" s="4"/>
      <x:c r="Z1294" s="4"/>
    </x:row>
    <x:row r="1295" ht="23" customHeight="1">
      <x:c r="A1295" s="17" t="n">
        <x:f>ROW()-6</x:f>
        <x:v>1289</x:v>
      </x:c>
      <x:c r="B1295" s="4" t="n">
        <x:f>IF('계산 과정'!$L$5,'계산 과정'!$L$11*SQRT((A1295+0.5)/'계산 과정'!$L$30),"")</x:f>
        <x:v>119.02466180244959</x:v>
      </x:c>
      <x:c r="C1295" s="4" t="n">
        <x:f>A1295*PI()*(3-SQRT(5))</x:f>
        <x:v>3093.5526031202335</x:v>
      </x:c>
      <x:c r="D1295" s="4" t="n">
        <x:f>IF('계산 과정'!$L$5,B1295*COS(C1295),"")</x:f>
        <x:v>-72.47057733522597</x:v>
      </x:c>
      <x:c r="E1295" s="4" t="n">
        <x:f>IF('계산 과정'!$L$5,B1295*SIN(C1295),"")</x:f>
        <x:v>94.41867155328195</x:v>
      </x:c>
      <x:c r="F1295" s="4" t="n">
        <x:f>IF('계산 과정'!$L$7,'계산 과정'!$L$22+'계산 과정'!$C$49*D1295+'계산 과정'!$D$49*E1295,"")</x:f>
        <x:v>701.2444366702424</x:v>
      </x:c>
      <x:c r="G1295" s="4" t="n">
        <x:f>IF('계산 과정'!$L$7,IF(ABS(F1295)&gt;=1E-12*MAX(1,SQRT((D1295-'계산 과정'!$C$33)^2+(E1295-'계산 과정'!$D$33)^2+'계산 과정'!$E$33^2)),('계산 과정'!$L$23-'계산 과정'!$C$49*D1295-'계산 과정'!$D$49*E1295)/F1295,""),"")</x:f>
        <x:v>0.49733808226097714</x:v>
      </x:c>
      <x:c r="H1295" s="4" t="n">
        <x:f>IF(AND(ISNUMBER(G1295),G1295&gt;0),('계산 과정'!$D$56+'계산 과정'!$D$57*D1295+'계산 과정'!$D$58*E1295)/F1295,"")</x:f>
        <x:v>-76.73024653036497</x:v>
      </x:c>
      <x:c r="I1295" s="4" t="n">
        <x:f>IF(AND(ISNUMBER(G1295),G1295&gt;0),('계산 과정'!$E$56+'계산 과정'!$E$57*D1295+'계산 과정'!$E$58*E1295)/F1295,"")</x:f>
        <x:v>141.37667259322026</x:v>
      </x:c>
      <x:c r="J1295" s="4" t="n">
        <x:f>IF('계산 과정'!$L$5,'계산 과정'!$D$6+'계산 과정'!$C$35*D1295+'계산 과정'!$D$35*E1295,"")</x:f>
        <x:v>701.2444366702424</x:v>
      </x:c>
      <x:c r="K1295" s="4" t="n">
        <x:f>IF(AND('계산 과정'!$L$6,J1295&gt;0),'계산 과정'!$D$10*('계산 과정'!$C$38*(D1295-'계산 과정'!$C$32)+'계산 과정'!$D$38*(E1295-'계산 과정'!$D$32)-'계산 과정'!$E$38*'계산 과정'!$E$32)/J1295,"")</x:f>
        <x:v>-0.5846114021361126</x:v>
      </x:c>
      <x:c r="L1295" s="4" t="n">
        <x:f>IF(AND('계산 과정'!$L$6,J1295&gt;0),'계산 과정'!$D$10*('계산 과정'!$C$39*(D1295-'계산 과정'!$C$32)+'계산 과정'!$D$39*(E1295-'계산 과정'!$D$32)-'계산 과정'!$E$39*'계산 과정'!$E$32)/J1295,"")</x:f>
        <x:v>1.0771556007102496</x:v>
      </x:c>
      <x:c r="M1295" s="17" t="n">
        <x:f>IF('계산 과정'!$L$6,IF(J1295&lt;=0,0,IF(AND(ABS(K1295)&lt;='계산 과정'!$D$11/2,ABS(L1295)&lt;='계산 과정'!$D$12/2),1,0)),"")</x:f>
        <x:v>1</x:v>
      </x:c>
      <x:c r="N1295" s="17" t="n">
        <x:f>IF('계산 과정'!$C$78,IF(AND(ISNUMBER(H1295),ISNUMBER(I1295),ABS(H1295-'계산 과정'!$C$88)&lt;='계산 과정'!$D$23/2,ABS(I1295-'계산 과정'!$C$89)&lt;='계산 과정'!$D$24/2),1,0),"")</x:f>
        <x:v>1</x:v>
      </x:c>
      <x:c r="O1295" s="4" t="n">
        <x:f>IF('계산 과정'!$L$7,'계산 과정'!$C$49*('계산 과정'!$C$32-D1295)+'계산 과정'!$D$49*('계산 과정'!$D$32-E1295)+'계산 과정'!$E$49*'계산 과정'!$E$32,"")</x:f>
        <x:v>-51.24443667024224</x:v>
      </x:c>
      <x:c r="P1295" s="4" t="n">
        <x:f>IF(AND('계산 과정'!$L$7,O1295&lt;&gt;0),('계산 과정'!$L$23-'계산 과정'!$C$49*D1295-'계산 과정'!$D$49*E1295)/O1295,"")</x:f>
        <x:v>-6.805725381937524</x:v>
      </x:c>
      <x:c r="Q1295" s="4" t="str">
        <x:f>IF(AND(ISNUMBER(P1295),P1295&gt;1E-9,P1295&lt;1-1E-9),'계산 과정'!$C$47*(D1295-'계산 과정'!$C$50+P1295*('계산 과정'!$C$32-D1295))+'계산 과정'!$D$47*(E1295-'계산 과정'!$D$50+P1295*('계산 과정'!$D$32-E1295))+'계산 과정'!$E$47*(0-'계산 과정'!$E$50+P1295*('계산 과정'!$E$32-0)),"")</x:f>
      </x:c>
      <x:c r="R1295" s="4" t="str">
        <x:f>IF(AND(ISNUMBER(P1295),P1295&gt;1E-9,P1295&lt;1-1E-9),'계산 과정'!$C$48*(D1295-'계산 과정'!$C$50+P1295*('계산 과정'!$C$32-D1295))+'계산 과정'!$D$48*(E1295-'계산 과정'!$D$50+P1295*('계산 과정'!$D$32-E1295))+'계산 과정'!$E$48*(0-'계산 과정'!$E$50+P1295*('계산 과정'!$E$32-0)),"")</x:f>
      </x:c>
      <x:c r="S1295" s="17" t="n">
        <x:f>IF('계산 과정'!$C$78,IF(AND(ISNUMBER(Q1295),ISNUMBER(R1295),ABS(Q1295-'계산 과정'!$C$88)&lt;='계산 과정'!$D$23/2,ABS(R1295-'계산 과정'!$C$89)&lt;='계산 과정'!$D$24/2),1,0),"")</x:f>
        <x:v>0</x:v>
      </x:c>
      <x:c r="T1295" s="4"/>
      <x:c r="U1295" s="4"/>
      <x:c r="V1295" s="4"/>
      <x:c r="W1295" s="4"/>
      <x:c r="X1295" s="4"/>
      <x:c r="Y1295" s="4"/>
      <x:c r="Z1295" s="4"/>
    </x:row>
    <x:row r="1296" ht="23" customHeight="1">
      <x:c r="A1296" s="17" t="n">
        <x:f>ROW()-6</x:f>
        <x:v>1290</x:v>
      </x:c>
      <x:c r="B1296" s="4" t="n">
        <x:f>IF('계산 과정'!$L$5,'계산 과정'!$L$11*SQRT((A1296+0.5)/'계산 과정'!$L$30),"")</x:f>
        <x:v>119.07080433638004</x:v>
      </x:c>
      <x:c r="C1296" s="4" t="n">
        <x:f>A1296*PI()*(3-SQRT(5))</x:f>
        <x:v>3095.952566349962</x:v>
      </x:c>
      <x:c r="D1296" s="4" t="n">
        <x:f>IF('계산 과정'!$L$5,B1296*COS(C1296),"")</x:f>
        <x:v>-10.345356979433875</x:v>
      </x:c>
      <x:c r="E1296" s="4" t="n">
        <x:f>IF('계산 과정'!$L$5,B1296*SIN(C1296),"")</x:f>
        <x:v>-118.62052956499805</x:v>
      </x:c>
      <x:c r="F1296" s="4" t="n">
        <x:f>IF('계산 과정'!$L$7,'계산 과정'!$L$22+'계산 과정'!$C$49*D1296+'계산 과정'!$D$49*E1296,"")</x:f>
        <x:v>657.3152720739532</x:v>
      </x:c>
      <x:c r="G1296" s="4" t="n">
        <x:f>IF('계산 과정'!$L$7,IF(ABS(F1296)&gt;=1E-12*MAX(1,SQRT((D1296-'계산 과정'!$C$33)^2+(E1296-'계산 과정'!$D$33)^2+'계산 과정'!$E$33^2)),('계산 과정'!$L$23-'계산 과정'!$C$49*D1296-'계산 과정'!$D$49*E1296)/F1296,""),"")</x:f>
        <x:v>0.5974069744143515</x:v>
      </x:c>
      <x:c r="H1296" s="4" t="n">
        <x:f>IF(AND(ISNUMBER(G1296),G1296&gt;0),('계산 과정'!$D$56+'계산 과정'!$D$57*D1296+'계산 과정'!$D$58*E1296)/F1296,"")</x:f>
        <x:v>-11.685466630671609</x:v>
      </x:c>
      <x:c r="I1296" s="4" t="n">
        <x:f>IF(AND(ISNUMBER(G1296),G1296&gt;0),('계산 과정'!$E$56+'계산 과정'!$E$57*D1296+'계산 과정'!$E$58*E1296)/F1296,"")</x:f>
        <x:v>-189.48526123585168</x:v>
      </x:c>
      <x:c r="J1296" s="4" t="n">
        <x:f>IF('계산 과정'!$L$5,'계산 과정'!$D$6+'계산 과정'!$C$35*D1296+'계산 과정'!$D$35*E1296,"")</x:f>
        <x:v>657.3152720739532</x:v>
      </x:c>
      <x:c r="K1296" s="4" t="n">
        <x:f>IF(AND('계산 과정'!$L$6,J1296&gt;0),'계산 과정'!$D$10*('계산 과정'!$C$38*(D1296-'계산 과정'!$C$32)+'계산 과정'!$D$38*(E1296-'계산 과정'!$D$32)-'계산 과정'!$E$38*'계산 과정'!$E$32)/J1296,"")</x:f>
        <x:v>-0.08903212670987817</x:v>
      </x:c>
      <x:c r="L1296" s="4" t="n">
        <x:f>IF(AND('계산 과정'!$L$6,J1296&gt;0),'계산 과정'!$D$10*('계산 과정'!$C$39*(D1296-'계산 과정'!$C$32)+'계산 과정'!$D$39*(E1296-'계산 과정'!$D$32)-'계산 과정'!$E$39*'계산 과정'!$E$32)/J1296,"")</x:f>
        <x:v>-1.4436972284636318</x:v>
      </x:c>
      <x:c r="M1296" s="17" t="n">
        <x:f>IF('계산 과정'!$L$6,IF(J1296&lt;=0,0,IF(AND(ABS(K1296)&lt;='계산 과정'!$D$11/2,ABS(L1296)&lt;='계산 과정'!$D$12/2),1,0)),"")</x:f>
        <x:v>1</x:v>
      </x:c>
      <x:c r="N1296" s="17" t="n">
        <x:f>IF('계산 과정'!$C$78,IF(AND(ISNUMBER(H1296),ISNUMBER(I1296),ABS(H1296-'계산 과정'!$C$88)&lt;='계산 과정'!$D$23/2,ABS(I1296-'계산 과정'!$C$89)&lt;='계산 과정'!$D$24/2),1,0),"")</x:f>
        <x:v>1</x:v>
      </x:c>
      <x:c r="O1296" s="4" t="n">
        <x:f>IF('계산 과정'!$L$7,'계산 과정'!$C$49*('계산 과정'!$C$32-D1296)+'계산 과정'!$D$49*('계산 과정'!$D$32-E1296)+'계산 과정'!$E$49*'계산 과정'!$E$32,"")</x:f>
        <x:v>-7.315272073953167</x:v>
      </x:c>
      <x:c r="P1296" s="4" t="n">
        <x:f>IF(AND('계산 과정'!$L$7,O1296&lt;&gt;0),('계산 과정'!$L$23-'계산 과정'!$C$49*D1296-'계산 과정'!$D$49*E1296)/O1296,"")</x:f>
        <x:v>-53.68012617387725</x:v>
      </x:c>
      <x:c r="Q1296" s="4" t="str">
        <x:f>IF(AND(ISNUMBER(P1296),P1296&gt;1E-9,P1296&lt;1-1E-9),'계산 과정'!$C$47*(D1296-'계산 과정'!$C$50+P1296*('계산 과정'!$C$32-D1296))+'계산 과정'!$D$47*(E1296-'계산 과정'!$D$50+P1296*('계산 과정'!$D$32-E1296))+'계산 과정'!$E$47*(0-'계산 과정'!$E$50+P1296*('계산 과정'!$E$32-0)),"")</x:f>
      </x:c>
      <x:c r="R1296" s="4" t="str">
        <x:f>IF(AND(ISNUMBER(P1296),P1296&gt;1E-9,P1296&lt;1-1E-9),'계산 과정'!$C$48*(D1296-'계산 과정'!$C$50+P1296*('계산 과정'!$C$32-D1296))+'계산 과정'!$D$48*(E1296-'계산 과정'!$D$50+P1296*('계산 과정'!$D$32-E1296))+'계산 과정'!$E$48*(0-'계산 과정'!$E$50+P1296*('계산 과정'!$E$32-0)),"")</x:f>
      </x:c>
      <x:c r="S1296" s="17" t="n">
        <x:f>IF('계산 과정'!$C$78,IF(AND(ISNUMBER(Q1296),ISNUMBER(R1296),ABS(Q1296-'계산 과정'!$C$88)&lt;='계산 과정'!$D$23/2,ABS(R1296-'계산 과정'!$C$89)&lt;='계산 과정'!$D$24/2),1,0),"")</x:f>
        <x:v>0</x:v>
      </x:c>
      <x:c r="T1296" s="4"/>
      <x:c r="U1296" s="4"/>
      <x:c r="V1296" s="4"/>
      <x:c r="W1296" s="4"/>
      <x:c r="X1296" s="4"/>
      <x:c r="Y1296" s="4"/>
      <x:c r="Z1296" s="4"/>
    </x:row>
    <x:row r="1297" ht="23" customHeight="1">
      <x:c r="A1297" s="17" t="n">
        <x:f>ROW()-6</x:f>
        <x:v>1291</x:v>
      </x:c>
      <x:c r="B1297" s="4" t="n">
        <x:f>IF('계산 과정'!$L$5,'계산 과정'!$L$11*SQRT((A1297+0.5)/'계산 과정'!$L$30),"")</x:f>
        <x:v>119.11692899599745</x:v>
      </x:c>
      <x:c r="C1297" s="4" t="n">
        <x:f>A1297*PI()*(3-SQRT(5))</x:f>
        <x:v>3098.352529579691</x:v>
      </x:c>
      <x:c r="D1297" s="4" t="n">
        <x:f>IF('계산 과정'!$L$5,B1297*COS(C1297),"")</x:f>
        <x:v>87.7893546336124</x:v>
      </x:c>
      <x:c r="E1297" s="4" t="n">
        <x:f>IF('계산 과정'!$L$5,B1297*SIN(C1297),"")</x:f>
        <x:v>80.51007381968628</x:v>
      </x:c>
      <x:c r="F1297" s="4" t="n">
        <x:f>IF('계산 과정'!$L$7,'계산 과정'!$L$22+'계산 과정'!$C$49*D1297+'계산 과정'!$D$49*E1297,"")</x:f>
        <x:v>587.923552022582</x:v>
      </x:c>
      <x:c r="G1297" s="4" t="n">
        <x:f>IF('계산 과정'!$L$7,IF(ABS(F1297)&gt;=1E-12*MAX(1,SQRT((D1297-'계산 과정'!$C$33)^2+(E1297-'계산 과정'!$D$33)^2+'계산 과정'!$E$33^2)),('계산 과정'!$L$23-'계산 과정'!$C$49*D1297-'계산 과정'!$D$49*E1297)/F1297,""),"")</x:f>
        <x:v>0.7859464829870767</x:v>
      </x:c>
      <x:c r="H1297" s="4" t="n">
        <x:f>IF(AND(ISNUMBER(G1297),G1297&gt;0),('계산 과정'!$D$56+'계산 과정'!$D$57*D1297+'계산 과정'!$D$58*E1297)/F1297,"")</x:f>
        <x:v>110.86521394159979</x:v>
      </x:c>
      <x:c r="I1297" s="4" t="n">
        <x:f>IF(AND(ISNUMBER(G1297),G1297&gt;0),('계산 과정'!$E$56+'계산 과정'!$E$57*D1297+'계산 과정'!$E$58*E1297)/F1297,"")</x:f>
        <x:v>143.78668318329863</x:v>
      </x:c>
      <x:c r="J1297" s="4" t="n">
        <x:f>IF('계산 과정'!$L$5,'계산 과정'!$D$6+'계산 과정'!$C$35*D1297+'계산 과정'!$D$35*E1297,"")</x:f>
        <x:v>587.923552022582</x:v>
      </x:c>
      <x:c r="K1297" s="4" t="n">
        <x:f>IF(AND('계산 과정'!$L$6,J1297&gt;0),'계산 과정'!$D$10*('계산 과정'!$C$38*(D1297-'계산 과정'!$C$32)+'계산 과정'!$D$38*(E1297-'계산 과정'!$D$32)-'계산 과정'!$E$38*'계산 과정'!$E$32)/J1297,"")</x:f>
        <x:v>0.8446873443169518</x:v>
      </x:c>
      <x:c r="L1297" s="4" t="n">
        <x:f>IF(AND('계산 과정'!$L$6,J1297&gt;0),'계산 과정'!$D$10*('계산 과정'!$C$39*(D1297-'계산 과정'!$C$32)+'계산 과정'!$D$39*(E1297-'계산 과정'!$D$32)-'계산 과정'!$E$39*'계산 과정'!$E$32)/J1297,"")</x:f>
        <x:v>1.0955175861584658</x:v>
      </x:c>
      <x:c r="M1297" s="17" t="n">
        <x:f>IF('계산 과정'!$L$6,IF(J1297&lt;=0,0,IF(AND(ABS(K1297)&lt;='계산 과정'!$D$11/2,ABS(L1297)&lt;='계산 과정'!$D$12/2),1,0)),"")</x:f>
        <x:v>1</x:v>
      </x:c>
      <x:c r="N1297" s="17" t="n">
        <x:f>IF('계산 과정'!$C$78,IF(AND(ISNUMBER(H1297),ISNUMBER(I1297),ABS(H1297-'계산 과정'!$C$88)&lt;='계산 과정'!$D$23/2,ABS(I1297-'계산 과정'!$C$89)&lt;='계산 과정'!$D$24/2),1,0),"")</x:f>
        <x:v>1</x:v>
      </x:c>
      <x:c r="O1297" s="4" t="n">
        <x:f>IF('계산 과정'!$L$7,'계산 과정'!$C$49*('계산 과정'!$C$32-D1297)+'계산 과정'!$D$49*('계산 과정'!$D$32-E1297)+'계산 과정'!$E$49*'계산 과정'!$E$32,"")</x:f>
        <x:v>62.07644797741807</x:v>
      </x:c>
      <x:c r="P1297" s="4" t="n">
        <x:f>IF(AND('계산 과정'!$L$7,O1297&lt;&gt;0),('계산 과정'!$L$23-'계산 과정'!$C$49*D1297-'계산 과정'!$D$49*E1297)/O1297,"")</x:f>
        <x:v>7.443667655493277</x:v>
      </x:c>
      <x:c r="Q1297" s="4" t="str">
        <x:f>IF(AND(ISNUMBER(P1297),P1297&gt;1E-9,P1297&lt;1-1E-9),'계산 과정'!$C$47*(D1297-'계산 과정'!$C$50+P1297*('계산 과정'!$C$32-D1297))+'계산 과정'!$D$47*(E1297-'계산 과정'!$D$50+P1297*('계산 과정'!$D$32-E1297))+'계산 과정'!$E$47*(0-'계산 과정'!$E$50+P1297*('계산 과정'!$E$32-0)),"")</x:f>
      </x:c>
      <x:c r="R1297" s="4" t="str">
        <x:f>IF(AND(ISNUMBER(P1297),P1297&gt;1E-9,P1297&lt;1-1E-9),'계산 과정'!$C$48*(D1297-'계산 과정'!$C$50+P1297*('계산 과정'!$C$32-D1297))+'계산 과정'!$D$48*(E1297-'계산 과정'!$D$50+P1297*('계산 과정'!$D$32-E1297))+'계산 과정'!$E$48*(0-'계산 과정'!$E$50+P1297*('계산 과정'!$E$32-0)),"")</x:f>
      </x:c>
      <x:c r="S1297" s="17" t="n">
        <x:f>IF('계산 과정'!$C$78,IF(AND(ISNUMBER(Q1297),ISNUMBER(R1297),ABS(Q1297-'계산 과정'!$C$88)&lt;='계산 과정'!$D$23/2,ABS(R1297-'계산 과정'!$C$89)&lt;='계산 과정'!$D$24/2),1,0),"")</x:f>
        <x:v>0</x:v>
      </x:c>
      <x:c r="T1297" s="4"/>
      <x:c r="U1297" s="4"/>
      <x:c r="V1297" s="4"/>
      <x:c r="W1297" s="4"/>
      <x:c r="X1297" s="4"/>
      <x:c r="Y1297" s="4"/>
      <x:c r="Z1297" s="4"/>
    </x:row>
    <x:row r="1298" ht="23" customHeight="1">
      <x:c r="A1298" s="17" t="n">
        <x:f>ROW()-6</x:f>
        <x:v>1292</x:v>
      </x:c>
      <x:c r="B1298" s="4" t="n">
        <x:f>IF('계산 과정'!$L$5,'계산 과정'!$L$11*SQRT((A1298+0.5)/'계산 과정'!$L$30),"")</x:f>
        <x:v>119.16303580205775</x:v>
      </x:c>
      <x:c r="C1298" s="4" t="n">
        <x:f>A1298*PI()*(3-SQRT(5))</x:f>
        <x:v>3100.7524928094194</x:v>
      </x:c>
      <x:c r="D1298" s="4" t="n">
        <x:f>IF('계산 과정'!$L$5,B1298*COS(C1298),"")</x:f>
        <x:v>-119.16301818812849</x:v>
      </x:c>
      <x:c r="E1298" s="4" t="n">
        <x:f>IF('계산 과정'!$L$5,B1298*SIN(C1298),"")</x:f>
        <x:v>-0.0647908809573869</x:v>
      </x:c>
      <x:c r="F1298" s="4" t="n">
        <x:f>IF('계산 과정'!$L$7,'계산 과정'!$L$22+'계산 과정'!$C$49*D1298+'계산 과정'!$D$49*E1298,"")</x:f>
        <x:v>734.2609782274816</x:v>
      </x:c>
      <x:c r="G1298" s="4" t="n">
        <x:f>IF('계산 과정'!$L$7,IF(ABS(F1298)&gt;=1E-12*MAX(1,SQRT((D1298-'계산 과정'!$C$33)^2+(E1298-'계산 과정'!$D$33)^2+'계산 과정'!$E$33^2)),('계산 과정'!$L$23-'계산 과정'!$C$49*D1298-'계산 과정'!$D$49*E1298)/F1298,""),"")</x:f>
        <x:v>0.43000926255773225</x:v>
      </x:c>
      <x:c r="H1298" s="4" t="n">
        <x:f>IF(AND(ISNUMBER(G1298),G1298&gt;0),('계산 과정'!$D$56+'계산 과정'!$D$57*D1298+'계산 과정'!$D$58*E1298)/F1298,"")</x:f>
        <x:v>-120.49397933747416</x:v>
      </x:c>
      <x:c r="I1298" s="4" t="n">
        <x:f>IF(AND(ISNUMBER(G1298),G1298&gt;0),('계산 과정'!$E$56+'계산 과정'!$E$57*D1298+'계산 과정'!$E$58*E1298)/F1298,"")</x:f>
        <x:v>-0.09265155989833866</x:v>
      </x:c>
      <x:c r="J1298" s="4" t="n">
        <x:f>IF('계산 과정'!$L$5,'계산 과정'!$D$6+'계산 과정'!$C$35*D1298+'계산 과정'!$D$35*E1298,"")</x:f>
        <x:v>734.2609782274816</x:v>
      </x:c>
      <x:c r="K1298" s="4" t="n">
        <x:f>IF(AND('계산 과정'!$L$6,J1298&gt;0),'계산 과정'!$D$10*('계산 과정'!$C$38*(D1298-'계산 과정'!$C$32)+'계산 과정'!$D$38*(E1298-'계산 과정'!$D$32)-'계산 과정'!$E$38*'계산 과정'!$E$32)/J1298,"")</x:f>
        <x:v>-0.9180493663807542</x:v>
      </x:c>
      <x:c r="L1298" s="4" t="n">
        <x:f>IF(AND('계산 과정'!$L$6,J1298&gt;0),'계산 과정'!$D$10*('계산 과정'!$C$39*(D1298-'계산 과정'!$C$32)+'계산 과정'!$D$39*(E1298-'계산 과정'!$D$32)-'계산 과정'!$E$39*'계산 과정'!$E$32)/J1298,"")</x:f>
        <x:v>-0.000705916646844485</x:v>
      </x:c>
      <x:c r="M1298" s="17" t="n">
        <x:f>IF('계산 과정'!$L$6,IF(J1298&lt;=0,0,IF(AND(ABS(K1298)&lt;='계산 과정'!$D$11/2,ABS(L1298)&lt;='계산 과정'!$D$12/2),1,0)),"")</x:f>
        <x:v>1</x:v>
      </x:c>
      <x:c r="N1298" s="17" t="n">
        <x:f>IF('계산 과정'!$C$78,IF(AND(ISNUMBER(H1298),ISNUMBER(I1298),ABS(H1298-'계산 과정'!$C$88)&lt;='계산 과정'!$D$23/2,ABS(I1298-'계산 과정'!$C$89)&lt;='계산 과정'!$D$24/2),1,0),"")</x:f>
        <x:v>1</x:v>
      </x:c>
      <x:c r="O1298" s="4" t="n">
        <x:f>IF('계산 과정'!$L$7,'계산 과정'!$C$49*('계산 과정'!$C$32-D1298)+'계산 과정'!$D$49*('계산 과정'!$D$32-E1298)+'계산 과정'!$E$49*'계산 과정'!$E$32,"")</x:f>
        <x:v>-84.26097822748142</x:v>
      </x:c>
      <x:c r="P1298" s="4" t="n">
        <x:f>IF(AND('계산 과정'!$L$7,O1298&lt;&gt;0),('계산 과정'!$L$23-'계산 과정'!$C$49*D1298-'계산 과정'!$D$49*E1298)/O1298,"")</x:f>
        <x:v>-3.7471559008027433</x:v>
      </x:c>
      <x:c r="Q1298" s="4" t="str">
        <x:f>IF(AND(ISNUMBER(P1298),P1298&gt;1E-9,P1298&lt;1-1E-9),'계산 과정'!$C$47*(D1298-'계산 과정'!$C$50+P1298*('계산 과정'!$C$32-D1298))+'계산 과정'!$D$47*(E1298-'계산 과정'!$D$50+P1298*('계산 과정'!$D$32-E1298))+'계산 과정'!$E$47*(0-'계산 과정'!$E$50+P1298*('계산 과정'!$E$32-0)),"")</x:f>
      </x:c>
      <x:c r="R1298" s="4" t="str">
        <x:f>IF(AND(ISNUMBER(P1298),P1298&gt;1E-9,P1298&lt;1-1E-9),'계산 과정'!$C$48*(D1298-'계산 과정'!$C$50+P1298*('계산 과정'!$C$32-D1298))+'계산 과정'!$D$48*(E1298-'계산 과정'!$D$50+P1298*('계산 과정'!$D$32-E1298))+'계산 과정'!$E$48*(0-'계산 과정'!$E$50+P1298*('계산 과정'!$E$32-0)),"")</x:f>
      </x:c>
      <x:c r="S1298" s="17" t="n">
        <x:f>IF('계산 과정'!$C$78,IF(AND(ISNUMBER(Q1298),ISNUMBER(R1298),ABS(Q1298-'계산 과정'!$C$88)&lt;='계산 과정'!$D$23/2,ABS(R1298-'계산 과정'!$C$89)&lt;='계산 과정'!$D$24/2),1,0),"")</x:f>
        <x:v>0</x:v>
      </x:c>
      <x:c r="T1298" s="4"/>
      <x:c r="U1298" s="4"/>
      <x:c r="V1298" s="4"/>
      <x:c r="W1298" s="4"/>
      <x:c r="X1298" s="4"/>
      <x:c r="Y1298" s="4"/>
      <x:c r="Z1298" s="4"/>
    </x:row>
    <x:row r="1299" ht="23" customHeight="1">
      <x:c r="A1299" s="17" t="n">
        <x:f>ROW()-6</x:f>
        <x:v>1293</x:v>
      </x:c>
      <x:c r="B1299" s="4" t="n">
        <x:f>IF('계산 과정'!$L$5,'계산 과정'!$L$11*SQRT((A1299+0.5)/'계산 과정'!$L$30),"")</x:f>
        <x:v>119.20912477527675</x:v>
      </x:c>
      <x:c r="C1299" s="4" t="n">
        <x:f>A1299*PI()*(3-SQRT(5))</x:f>
        <x:v>3103.1524560391485</x:v>
      </x:c>
      <x:c r="D1299" s="4" t="n">
        <x:f>IF('계산 과정'!$L$5,B1299*COS(C1299),"")</x:f>
        <x:v>87.9448681378682</x:v>
      </x:c>
      <x:c r="E1299" s="4" t="n">
        <x:f>IF('계산 과정'!$L$5,B1299*SIN(C1299),"")</x:f>
        <x:v>-80.47680161326291</x:v>
      </x:c>
      <x:c r="F1299" s="4" t="n">
        <x:f>IF('계산 과정'!$L$7,'계산 과정'!$L$22+'계산 과정'!$C$49*D1299+'계산 과정'!$D$49*E1299,"")</x:f>
        <x:v>587.8135873691567</x:v>
      </x:c>
      <x:c r="G1299" s="4" t="n">
        <x:f>IF('계산 과정'!$L$7,IF(ABS(F1299)&gt;=1E-12*MAX(1,SQRT((D1299-'계산 과정'!$C$33)^2+(E1299-'계산 과정'!$D$33)^2+'계산 과정'!$E$33^2)),('계산 과정'!$L$23-'계산 과정'!$C$49*D1299-'계산 과정'!$D$49*E1299)/F1299,""),"")</x:f>
        <x:v>0.7862805871831312</x:v>
      </x:c>
      <x:c r="H1299" s="4" t="n">
        <x:f>IF(AND(ISNUMBER(G1299),G1299&gt;0),('계산 과정'!$D$56+'계산 과정'!$D$57*D1299+'계산 과정'!$D$58*E1299)/F1299,"")</x:f>
        <x:v>111.08238166903523</x:v>
      </x:c>
      <x:c r="I1299" s="4" t="n">
        <x:f>IF(AND(ISNUMBER(G1299),G1299&gt;0),('계산 과정'!$E$56+'계산 과정'!$E$57*D1299+'계산 과정'!$E$58*E1299)/F1299,"")</x:f>
        <x:v>-143.75414844035961</x:v>
      </x:c>
      <x:c r="J1299" s="4" t="n">
        <x:f>IF('계산 과정'!$L$5,'계산 과정'!$D$6+'계산 과정'!$C$35*D1299+'계산 과정'!$D$35*E1299,"")</x:f>
        <x:v>587.8135873691567</x:v>
      </x:c>
      <x:c r="K1299" s="4" t="n">
        <x:f>IF(AND('계산 과정'!$L$6,J1299&gt;0),'계산 과정'!$D$10*('계산 과정'!$C$38*(D1299-'계산 과정'!$C$32)+'계산 과정'!$D$38*(E1299-'계산 과정'!$D$32)-'계산 과정'!$E$38*'계산 과정'!$E$32)/J1299,"")</x:f>
        <x:v>0.8463419555736024</x:v>
      </x:c>
      <x:c r="L1299" s="4" t="n">
        <x:f>IF(AND('계산 과정'!$L$6,J1299&gt;0),'계산 과정'!$D$10*('계산 과정'!$C$39*(D1299-'계산 과정'!$C$32)+'계산 과정'!$D$39*(E1299-'계산 과정'!$D$32)-'계산 과정'!$E$39*'계산 과정'!$E$32)/J1299,"")</x:f>
        <x:v>-1.09526970240274</x:v>
      </x:c>
      <x:c r="M1299" s="17" t="n">
        <x:f>IF('계산 과정'!$L$6,IF(J1299&lt;=0,0,IF(AND(ABS(K1299)&lt;='계산 과정'!$D$11/2,ABS(L1299)&lt;='계산 과정'!$D$12/2),1,0)),"")</x:f>
        <x:v>1</x:v>
      </x:c>
      <x:c r="N1299" s="17" t="n">
        <x:f>IF('계산 과정'!$C$78,IF(AND(ISNUMBER(H1299),ISNUMBER(I1299),ABS(H1299-'계산 과정'!$C$88)&lt;='계산 과정'!$D$23/2,ABS(I1299-'계산 과정'!$C$89)&lt;='계산 과정'!$D$24/2),1,0),"")</x:f>
        <x:v>1</x:v>
      </x:c>
      <x:c r="O1299" s="4" t="n">
        <x:f>IF('계산 과정'!$L$7,'계산 과정'!$C$49*('계산 과정'!$C$32-D1299)+'계산 과정'!$D$49*('계산 과정'!$D$32-E1299)+'계산 과정'!$E$49*'계산 과정'!$E$32,"")</x:f>
        <x:v>62.18641263084345</x:v>
      </x:c>
      <x:c r="P1299" s="4" t="n">
        <x:f>IF(AND('계산 과정'!$L$7,O1299&lt;&gt;0),('계산 과정'!$L$23-'계산 과정'!$C$49*D1299-'계산 과정'!$D$49*E1299)/O1299,"")</x:f>
        <x:v>7.432273274461347</x:v>
      </x:c>
      <x:c r="Q1299" s="4" t="str">
        <x:f>IF(AND(ISNUMBER(P1299),P1299&gt;1E-9,P1299&lt;1-1E-9),'계산 과정'!$C$47*(D1299-'계산 과정'!$C$50+P1299*('계산 과정'!$C$32-D1299))+'계산 과정'!$D$47*(E1299-'계산 과정'!$D$50+P1299*('계산 과정'!$D$32-E1299))+'계산 과정'!$E$47*(0-'계산 과정'!$E$50+P1299*('계산 과정'!$E$32-0)),"")</x:f>
      </x:c>
      <x:c r="R1299" s="4" t="str">
        <x:f>IF(AND(ISNUMBER(P1299),P1299&gt;1E-9,P1299&lt;1-1E-9),'계산 과정'!$C$48*(D1299-'계산 과정'!$C$50+P1299*('계산 과정'!$C$32-D1299))+'계산 과정'!$D$48*(E1299-'계산 과정'!$D$50+P1299*('계산 과정'!$D$32-E1299))+'계산 과정'!$E$48*(0-'계산 과정'!$E$50+P1299*('계산 과정'!$E$32-0)),"")</x:f>
      </x:c>
      <x:c r="S1299" s="17" t="n">
        <x:f>IF('계산 과정'!$C$78,IF(AND(ISNUMBER(Q1299),ISNUMBER(R1299),ABS(Q1299-'계산 과정'!$C$88)&lt;='계산 과정'!$D$23/2,ABS(R1299-'계산 과정'!$C$89)&lt;='계산 과정'!$D$24/2),1,0),"")</x:f>
        <x:v>0</x:v>
      </x:c>
      <x:c r="T1299" s="4"/>
      <x:c r="U1299" s="4"/>
      <x:c r="V1299" s="4"/>
      <x:c r="W1299" s="4"/>
      <x:c r="X1299" s="4"/>
      <x:c r="Y1299" s="4"/>
      <x:c r="Z1299" s="4"/>
    </x:row>
    <x:row r="1300" ht="23" customHeight="1">
      <x:c r="A1300" s="17" t="n">
        <x:f>ROW()-6</x:f>
        <x:v>1294</x:v>
      </x:c>
      <x:c r="B1300" s="4" t="n">
        <x:f>IF('계산 과정'!$L$5,'계산 과정'!$L$11*SQRT((A1300+0.5)/'계산 과정'!$L$30),"")</x:f>
        <x:v>119.25519593633017</x:v>
      </x:c>
      <x:c r="C1300" s="4" t="n">
        <x:f>A1300*PI()*(3-SQRT(5))</x:f>
        <x:v>3105.5524192688767</x:v>
      </x:c>
      <x:c r="D1300" s="4" t="n">
        <x:f>IF('계산 과정'!$L$5,B1300*COS(C1300),"")</x:f>
        <x:v>-10.490563106316591</x:v>
      </x:c>
      <x:c r="E1300" s="4" t="n">
        <x:f>IF('계산 과정'!$L$5,B1300*SIN(C1300),"")</x:f>
        <x:v>118.79288633384108</x:v>
      </x:c>
      <x:c r="F1300" s="4" t="n">
        <x:f>IF('계산 과정'!$L$7,'계산 과정'!$L$22+'계산 과정'!$C$49*D1300+'계산 과정'!$D$49*E1300,"")</x:f>
        <x:v>657.4179483109418</x:v>
      </x:c>
      <x:c r="G1300" s="4" t="n">
        <x:f>IF('계산 과정'!$L$7,IF(ABS(F1300)&gt;=1E-12*MAX(1,SQRT((D1300-'계산 과정'!$C$33)^2+(E1300-'계산 과정'!$D$33)^2+'계산 과정'!$E$33^2)),('계산 과정'!$L$23-'계산 과정'!$C$49*D1300-'계산 과정'!$D$49*E1300)/F1300,""),"")</x:f>
        <x:v>0.5971574896877881</x:v>
      </x:c>
      <x:c r="H1300" s="4" t="n">
        <x:f>IF(AND(ISNUMBER(G1300),G1300&gt;0),('계산 과정'!$D$56+'계산 과정'!$D$57*D1300+'계산 과정'!$D$58*E1300)/F1300,"")</x:f>
        <x:v>-11.847631702937807</x:v>
      </x:c>
      <x:c r="I1300" s="4" t="n">
        <x:f>IF(AND(ISNUMBER(G1300),G1300&gt;0),('계산 과정'!$E$56+'계산 과정'!$E$57*D1300+'계산 과정'!$E$58*E1300)/F1300,"")</x:f>
        <x:v>189.7309481297244</x:v>
      </x:c>
      <x:c r="J1300" s="4" t="n">
        <x:f>IF('계산 과정'!$L$5,'계산 과정'!$D$6+'계산 과정'!$C$35*D1300+'계산 과정'!$D$35*E1300,"")</x:f>
        <x:v>657.4179483109418</x:v>
      </x:c>
      <x:c r="K1300" s="4" t="n">
        <x:f>IF(AND('계산 과정'!$L$6,J1300&gt;0),'계산 과정'!$D$10*('계산 과정'!$C$38*(D1300-'계산 과정'!$C$32)+'계산 과정'!$D$38*(E1300-'계산 과정'!$D$32)-'계산 과정'!$E$38*'계산 과정'!$E$32)/J1300,"")</x:f>
        <x:v>-0.0902676701176206</x:v>
      </x:c>
      <x:c r="L1300" s="4" t="n">
        <x:f>IF(AND('계산 과정'!$L$6,J1300&gt;0),'계산 과정'!$D$10*('계산 과정'!$C$39*(D1300-'계산 과정'!$C$32)+'계산 과정'!$D$39*(E1300-'계산 과정'!$D$32)-'계산 과정'!$E$39*'계산 과정'!$E$32)/J1300,"")</x:f>
        <x:v>1.445569128607424</x:v>
      </x:c>
      <x:c r="M1300" s="17" t="n">
        <x:f>IF('계산 과정'!$L$6,IF(J1300&lt;=0,0,IF(AND(ABS(K1300)&lt;='계산 과정'!$D$11/2,ABS(L1300)&lt;='계산 과정'!$D$12/2),1,0)),"")</x:f>
        <x:v>1</x:v>
      </x:c>
      <x:c r="N1300" s="17" t="n">
        <x:f>IF('계산 과정'!$C$78,IF(AND(ISNUMBER(H1300),ISNUMBER(I1300),ABS(H1300-'계산 과정'!$C$88)&lt;='계산 과정'!$D$23/2,ABS(I1300-'계산 과정'!$C$89)&lt;='계산 과정'!$D$24/2),1,0),"")</x:f>
        <x:v>1</x:v>
      </x:c>
      <x:c r="O1300" s="4" t="n">
        <x:f>IF('계산 과정'!$L$7,'계산 과정'!$C$49*('계산 과정'!$C$32-D1300)+'계산 과정'!$D$49*('계산 과정'!$D$32-E1300)+'계산 과정'!$E$49*'계산 과정'!$E$32,"")</x:f>
        <x:v>-7.417948310941767</x:v>
      </x:c>
      <x:c r="P1300" s="4" t="n">
        <x:f>IF(AND('계산 과정'!$L$7,O1300&lt;&gt;0),('계산 과정'!$L$23-'계산 과정'!$C$49*D1300-'계산 과정'!$D$49*E1300)/O1300,"")</x:f>
        <x:v>-52.92326600739237</x:v>
      </x:c>
      <x:c r="Q1300" s="4" t="str">
        <x:f>IF(AND(ISNUMBER(P1300),P1300&gt;1E-9,P1300&lt;1-1E-9),'계산 과정'!$C$47*(D1300-'계산 과정'!$C$50+P1300*('계산 과정'!$C$32-D1300))+'계산 과정'!$D$47*(E1300-'계산 과정'!$D$50+P1300*('계산 과정'!$D$32-E1300))+'계산 과정'!$E$47*(0-'계산 과정'!$E$50+P1300*('계산 과정'!$E$32-0)),"")</x:f>
      </x:c>
      <x:c r="R1300" s="4" t="str">
        <x:f>IF(AND(ISNUMBER(P1300),P1300&gt;1E-9,P1300&lt;1-1E-9),'계산 과정'!$C$48*(D1300-'계산 과정'!$C$50+P1300*('계산 과정'!$C$32-D1300))+'계산 과정'!$D$48*(E1300-'계산 과정'!$D$50+P1300*('계산 과정'!$D$32-E1300))+'계산 과정'!$E$48*(0-'계산 과정'!$E$50+P1300*('계산 과정'!$E$32-0)),"")</x:f>
      </x:c>
      <x:c r="S1300" s="17" t="n">
        <x:f>IF('계산 과정'!$C$78,IF(AND(ISNUMBER(Q1300),ISNUMBER(R1300),ABS(Q1300-'계산 과정'!$C$88)&lt;='계산 과정'!$D$23/2,ABS(R1300-'계산 과정'!$C$89)&lt;='계산 과정'!$D$24/2),1,0),"")</x:f>
        <x:v>0</x:v>
      </x:c>
      <x:c r="T1300" s="4"/>
      <x:c r="U1300" s="4"/>
      <x:c r="V1300" s="4"/>
      <x:c r="W1300" s="4"/>
      <x:c r="X1300" s="4"/>
      <x:c r="Y1300" s="4"/>
      <x:c r="Z1300" s="4"/>
    </x:row>
    <x:row r="1301" ht="23" customHeight="1">
      <x:c r="A1301" s="17" t="n">
        <x:f>ROW()-6</x:f>
        <x:v>1295</x:v>
      </x:c>
      <x:c r="B1301" s="4" t="n">
        <x:f>IF('계산 과정'!$L$5,'계산 과정'!$L$11*SQRT((A1301+0.5)/'계산 과정'!$L$30),"")</x:f>
        <x:v>119.30124930585387</x:v>
      </x:c>
      <x:c r="C1301" s="4" t="n">
        <x:f>A1301*PI()*(3-SQRT(5))</x:f>
        <x:v>3107.9523824986054</x:v>
      </x:c>
      <x:c r="D1301" s="4" t="n">
        <x:f>IF('계산 과정'!$L$5,B1301*COS(C1301),"")</x:f>
        <x:v>-72.53602778152684</x:v>
      </x:c>
      <x:c r="E1301" s="4" t="n">
        <x:f>IF('계산 과정'!$L$5,B1301*SIN(C1301),"")</x:f>
        <x:v>-94.7170140978645</x:v>
      </x:c>
      <x:c r="F1301" s="4" t="n">
        <x:f>IF('계산 과정'!$L$7,'계산 과정'!$L$22+'계산 과정'!$C$49*D1301+'계산 과정'!$D$49*E1301,"")</x:f>
        <x:v>701.2907171246534</x:v>
      </x:c>
      <x:c r="G1301" s="4" t="n">
        <x:f>IF('계산 과정'!$L$7,IF(ABS(F1301)&gt;=1E-12*MAX(1,SQRT((D1301-'계산 과정'!$C$33)^2+(E1301-'계산 과정'!$D$33)^2+'계산 과정'!$E$33^2)),('계산 과정'!$L$23-'계산 과정'!$C$49*D1301-'계산 과정'!$D$49*E1301)/F1301,""),"")</x:f>
        <x:v>0.49723926805288654</x:v>
      </x:c>
      <x:c r="H1301" s="4" t="n">
        <x:f>IF(AND(ISNUMBER(G1301),G1301&gt;0),('계산 과정'!$D$56+'계산 과정'!$D$57*D1301+'계산 과정'!$D$58*E1301)/F1301,"")</x:f>
        <x:v>-76.79447576562389</x:v>
      </x:c>
      <x:c r="I1301" s="4" t="n">
        <x:f>IF(AND(ISNUMBER(G1301),G1301&gt;0),('계산 과정'!$E$56+'계산 과정'!$E$57*D1301+'계산 과정'!$E$58*E1301)/F1301,"")</x:f>
        <x:v>-141.8140328600416</x:v>
      </x:c>
      <x:c r="J1301" s="4" t="n">
        <x:f>IF('계산 과정'!$L$5,'계산 과정'!$D$6+'계산 과정'!$C$35*D1301+'계산 과정'!$D$35*E1301,"")</x:f>
        <x:v>701.2907171246534</x:v>
      </x:c>
      <x:c r="K1301" s="4" t="n">
        <x:f>IF(AND('계산 과정'!$L$6,J1301&gt;0),'계산 과정'!$D$10*('계산 과정'!$C$38*(D1301-'계산 과정'!$C$32)+'계산 과정'!$D$38*(E1301-'계산 과정'!$D$32)-'계산 과정'!$E$38*'계산 과정'!$E$32)/J1301,"")</x:f>
        <x:v>-0.585100767738086</x:v>
      </x:c>
      <x:c r="L1301" s="4" t="n">
        <x:f>IF(AND('계산 과정'!$L$6,J1301&gt;0),'계산 과정'!$D$10*('계산 과정'!$C$39*(D1301-'계산 과정'!$C$32)+'계산 과정'!$D$39*(E1301-'계산 과정'!$D$32)-'계산 과정'!$E$39*'계산 과정'!$E$32)/J1301,"")</x:f>
        <x:v>-1.0804878694098408</x:v>
      </x:c>
      <x:c r="M1301" s="17" t="n">
        <x:f>IF('계산 과정'!$L$6,IF(J1301&lt;=0,0,IF(AND(ABS(K1301)&lt;='계산 과정'!$D$11/2,ABS(L1301)&lt;='계산 과정'!$D$12/2),1,0)),"")</x:f>
        <x:v>1</x:v>
      </x:c>
      <x:c r="N1301" s="17" t="n">
        <x:f>IF('계산 과정'!$C$78,IF(AND(ISNUMBER(H1301),ISNUMBER(I1301),ABS(H1301-'계산 과정'!$C$88)&lt;='계산 과정'!$D$23/2,ABS(I1301-'계산 과정'!$C$89)&lt;='계산 과정'!$D$24/2),1,0),"")</x:f>
        <x:v>1</x:v>
      </x:c>
      <x:c r="O1301" s="4" t="n">
        <x:f>IF('계산 과정'!$L$7,'계산 과정'!$C$49*('계산 과정'!$C$32-D1301)+'계산 과정'!$D$49*('계산 과정'!$D$32-E1301)+'계산 과정'!$E$49*'계산 과정'!$E$32,"")</x:f>
        <x:v>-51.29071712465333</x:v>
      </x:c>
      <x:c r="P1301" s="4" t="n">
        <x:f>IF(AND('계산 과정'!$L$7,O1301&lt;&gt;0),('계산 과정'!$L$23-'계산 과정'!$C$49*D1301-'계산 과정'!$D$49*E1301)/O1301,"")</x:f>
        <x:v>-6.798682148036032</x:v>
      </x:c>
      <x:c r="Q1301" s="4" t="str">
        <x:f>IF(AND(ISNUMBER(P1301),P1301&gt;1E-9,P1301&lt;1-1E-9),'계산 과정'!$C$47*(D1301-'계산 과정'!$C$50+P1301*('계산 과정'!$C$32-D1301))+'계산 과정'!$D$47*(E1301-'계산 과정'!$D$50+P1301*('계산 과정'!$D$32-E1301))+'계산 과정'!$E$47*(0-'계산 과정'!$E$50+P1301*('계산 과정'!$E$32-0)),"")</x:f>
      </x:c>
      <x:c r="R1301" s="4" t="str">
        <x:f>IF(AND(ISNUMBER(P1301),P1301&gt;1E-9,P1301&lt;1-1E-9),'계산 과정'!$C$48*(D1301-'계산 과정'!$C$50+P1301*('계산 과정'!$C$32-D1301))+'계산 과정'!$D$48*(E1301-'계산 과정'!$D$50+P1301*('계산 과정'!$D$32-E1301))+'계산 과정'!$E$48*(0-'계산 과정'!$E$50+P1301*('계산 과정'!$E$32-0)),"")</x:f>
      </x:c>
      <x:c r="S1301" s="17" t="n">
        <x:f>IF('계산 과정'!$C$78,IF(AND(ISNUMBER(Q1301),ISNUMBER(R1301),ABS(Q1301-'계산 과정'!$C$88)&lt;='계산 과정'!$D$23/2,ABS(R1301-'계산 과정'!$C$89)&lt;='계산 과정'!$D$24/2),1,0),"")</x:f>
        <x:v>0</x:v>
      </x:c>
      <x:c r="T1301" s="4"/>
      <x:c r="U1301" s="4"/>
      <x:c r="V1301" s="4"/>
      <x:c r="W1301" s="4"/>
      <x:c r="X1301" s="4"/>
      <x:c r="Y1301" s="4"/>
      <x:c r="Z1301" s="4"/>
    </x:row>
    <x:row r="1302" ht="23" customHeight="1">
      <x:c r="A1302" s="17" t="n">
        <x:f>ROW()-6</x:f>
        <x:v>1296</x:v>
      </x:c>
      <x:c r="B1302" s="4" t="n">
        <x:f>IF('계산 과정'!$L$5,'계산 과정'!$L$11*SQRT((A1302+0.5)/'계산 과정'!$L$30),"")</x:f>
        <x:v>119.3472849044439</x:v>
      </x:c>
      <x:c r="C1302" s="4" t="n">
        <x:f>A1302*PI()*(3-SQRT(5))</x:f>
        <x:v>3110.352345728334</x:v>
      </x:c>
      <x:c r="D1302" s="4" t="n">
        <x:f>IF('계산 과정'!$L$5,B1302*COS(C1302),"")</x:f>
        <x:v>117.51156065827</x:v>
      </x:c>
      <x:c r="E1302" s="4" t="n">
        <x:f>IF('계산 과정'!$L$5,B1302*SIN(C1302),"")</x:f>
        <x:v>20.85203888640711</x:v>
      </x:c>
      <x:c r="F1302" s="4" t="n">
        <x:f>IF('계산 과정'!$L$7,'계산 과정'!$L$22+'계산 과정'!$C$49*D1302+'계산 과정'!$D$49*E1302,"")</x:f>
        <x:v>566.906778590723</x:v>
      </x:c>
      <x:c r="G1302" s="4" t="n">
        <x:f>IF('계산 과정'!$L$7,IF(ABS(F1302)&gt;=1E-12*MAX(1,SQRT((D1302-'계산 과정'!$C$33)^2+(E1302-'계산 과정'!$D$33)^2+'계산 과정'!$E$33^2)),('계산 과정'!$L$23-'계산 과정'!$C$49*D1302-'계산 과정'!$D$49*E1302)/F1302,""),"")</x:f>
        <x:v>0.8521563679485389</x:v>
      </x:c>
      <x:c r="H1302" s="4" t="n">
        <x:f>IF(AND(ISNUMBER(G1302),G1302&gt;0),('계산 과정'!$D$56+'계산 과정'!$D$57*D1302+'계산 과정'!$D$58*E1302)/F1302,"")</x:f>
        <x:v>153.90163916655024</x:v>
      </x:c>
      <x:c r="I1302" s="4" t="n">
        <x:f>IF(AND(ISNUMBER(G1302),G1302&gt;0),('계산 과정'!$E$56+'계산 과정'!$E$57*D1302+'계산 과정'!$E$58*E1302)/F1302,"")</x:f>
        <x:v>38.6212366081695</x:v>
      </x:c>
      <x:c r="J1302" s="4" t="n">
        <x:f>IF('계산 과정'!$L$5,'계산 과정'!$D$6+'계산 과정'!$C$35*D1302+'계산 과정'!$D$35*E1302,"")</x:f>
        <x:v>566.906778590723</x:v>
      </x:c>
      <x:c r="K1302" s="4" t="n">
        <x:f>IF(AND('계산 과정'!$L$6,J1302&gt;0),'계산 과정'!$D$10*('계산 과정'!$C$38*(D1302-'계산 과정'!$C$32)+'계산 과정'!$D$38*(E1302-'계산 과정'!$D$32)-'계산 과정'!$E$38*'계산 과정'!$E$32)/J1302,"")</x:f>
        <x:v>1.1725839174594312</x:v>
      </x:c>
      <x:c r="L1302" s="4" t="n">
        <x:f>IF(AND('계산 과정'!$L$6,J1302&gt;0),'계산 과정'!$D$10*('계산 과정'!$C$39*(D1302-'계산 과정'!$C$32)+'계산 과정'!$D$39*(E1302-'계산 과정'!$D$32)-'계산 과정'!$E$39*'계산 과정'!$E$32)/J1302,"")</x:f>
        <x:v>0.2942570408241485</x:v>
      </x:c>
      <x:c r="M1302" s="17" t="n">
        <x:f>IF('계산 과정'!$L$6,IF(J1302&lt;=0,0,IF(AND(ABS(K1302)&lt;='계산 과정'!$D$11/2,ABS(L1302)&lt;='계산 과정'!$D$12/2),1,0)),"")</x:f>
        <x:v>1</x:v>
      </x:c>
      <x:c r="N1302" s="17" t="n">
        <x:f>IF('계산 과정'!$C$78,IF(AND(ISNUMBER(H1302),ISNUMBER(I1302),ABS(H1302-'계산 과정'!$C$88)&lt;='계산 과정'!$D$23/2,ABS(I1302-'계산 과정'!$C$89)&lt;='계산 과정'!$D$24/2),1,0),"")</x:f>
        <x:v>1</x:v>
      </x:c>
      <x:c r="O1302" s="4" t="n">
        <x:f>IF('계산 과정'!$L$7,'계산 과정'!$C$49*('계산 과정'!$C$32-D1302)+'계산 과정'!$D$49*('계산 과정'!$D$32-E1302)+'계산 과정'!$E$49*'계산 과정'!$E$32,"")</x:f>
        <x:v>83.09322140927713</x:v>
      </x:c>
      <x:c r="P1302" s="4" t="n">
        <x:f>IF(AND('계산 과정'!$L$7,O1302&lt;&gt;0),('계산 과정'!$L$23-'계산 과정'!$C$49*D1302-'계산 과정'!$D$49*E1302)/O1302,"")</x:f>
        <x:v>5.813870412242086</x:v>
      </x:c>
      <x:c r="Q1302" s="4" t="str">
        <x:f>IF(AND(ISNUMBER(P1302),P1302&gt;1E-9,P1302&lt;1-1E-9),'계산 과정'!$C$47*(D1302-'계산 과정'!$C$50+P1302*('계산 과정'!$C$32-D1302))+'계산 과정'!$D$47*(E1302-'계산 과정'!$D$50+P1302*('계산 과정'!$D$32-E1302))+'계산 과정'!$E$47*(0-'계산 과정'!$E$50+P1302*('계산 과정'!$E$32-0)),"")</x:f>
      </x:c>
      <x:c r="R1302" s="4" t="str">
        <x:f>IF(AND(ISNUMBER(P1302),P1302&gt;1E-9,P1302&lt;1-1E-9),'계산 과정'!$C$48*(D1302-'계산 과정'!$C$50+P1302*('계산 과정'!$C$32-D1302))+'계산 과정'!$D$48*(E1302-'계산 과정'!$D$50+P1302*('계산 과정'!$D$32-E1302))+'계산 과정'!$E$48*(0-'계산 과정'!$E$50+P1302*('계산 과정'!$E$32-0)),"")</x:f>
      </x:c>
      <x:c r="S1302" s="17" t="n">
        <x:f>IF('계산 과정'!$C$78,IF(AND(ISNUMBER(Q1302),ISNUMBER(R1302),ABS(Q1302-'계산 과정'!$C$88)&lt;='계산 과정'!$D$23/2,ABS(R1302-'계산 과정'!$C$89)&lt;='계산 과정'!$D$24/2),1,0),"")</x:f>
        <x:v>0</x:v>
      </x:c>
      <x:c r="T1302" s="4"/>
      <x:c r="U1302" s="4"/>
      <x:c r="V1302" s="4"/>
      <x:c r="W1302" s="4"/>
      <x:c r="X1302" s="4"/>
      <x:c r="Y1302" s="4"/>
      <x:c r="Z1302" s="4"/>
    </x:row>
    <x:row r="1303" ht="23" customHeight="1">
      <x:c r="A1303" s="17" t="n">
        <x:f>ROW()-6</x:f>
        <x:v>1297</x:v>
      </x:c>
      <x:c r="B1303" s="4" t="n">
        <x:f>IF('계산 과정'!$L$5,'계산 과정'!$L$11*SQRT((A1303+0.5)/'계산 과정'!$L$30),"")</x:f>
        <x:v>119.39330275265652</x:v>
      </x:c>
      <x:c r="C1303" s="4" t="n">
        <x:f>A1303*PI()*(3-SQRT(5))</x:f>
        <x:v>3112.7523089580627</x:v>
      </x:c>
      <x:c r="D1303" s="4" t="n">
        <x:f>IF('계산 과정'!$L$5,B1303*COS(C1303),"")</x:f>
        <x:v>-100.77355875378514</x:v>
      </x:c>
      <x:c r="E1303" s="4" t="n">
        <x:f>IF('계산 과정'!$L$5,B1303*SIN(C1303),"")</x:f>
        <x:v>64.02695212396819</x:v>
      </x:c>
      <x:c r="F1303" s="4" t="n">
        <x:f>IF('계산 과정'!$L$7,'계산 과정'!$L$22+'계산 과정'!$C$49*D1303+'계산 과정'!$D$49*E1303,"")</x:f>
        <x:v>721.2576667591024</x:v>
      </x:c>
      <x:c r="G1303" s="4" t="n">
        <x:f>IF('계산 과정'!$L$7,IF(ABS(F1303)&gt;=1E-12*MAX(1,SQRT((D1303-'계산 과정'!$C$33)^2+(E1303-'계산 과정'!$D$33)^2+'계산 과정'!$E$33^2)),('계산 과정'!$L$23-'계산 과정'!$C$49*D1303-'계산 과정'!$D$49*E1303)/F1303,""),"")</x:f>
        <x:v>0.45579041775468065</x:v>
      </x:c>
      <x:c r="H1303" s="4" t="n">
        <x:f>IF(AND(ISNUMBER(G1303),G1303&gt;0),('계산 과정'!$D$56+'계산 과정'!$D$57*D1303+'계산 과정'!$D$58*E1303)/F1303,"")</x:f>
        <x:v>-103.73622845945769</x:v>
      </x:c>
      <x:c r="I1303" s="4" t="n">
        <x:f>IF(AND(ISNUMBER(G1303),G1303&gt;0),('계산 과정'!$E$56+'계산 과정'!$E$57*D1303+'계산 과정'!$E$58*E1303)/F1303,"")</x:f>
        <x:v>93.20982338011058</x:v>
      </x:c>
      <x:c r="J1303" s="4" t="n">
        <x:f>IF('계산 과정'!$L$5,'계산 과정'!$D$6+'계산 과정'!$C$35*D1303+'계산 과정'!$D$35*E1303,"")</x:f>
        <x:v>721.2576667591024</x:v>
      </x:c>
      <x:c r="K1303" s="4" t="n">
        <x:f>IF(AND('계산 과정'!$L$6,J1303&gt;0),'계산 과정'!$D$10*('계산 과정'!$C$38*(D1303-'계산 과정'!$C$32)+'계산 과정'!$D$38*(E1303-'계산 과정'!$D$32)-'계산 과정'!$E$38*'계산 과정'!$E$32)/J1303,"")</x:f>
        <x:v>-0.7903712644530094</x:v>
      </x:c>
      <x:c r="L1303" s="4" t="n">
        <x:f>IF(AND('계산 과정'!$L$6,J1303&gt;0),'계산 과정'!$D$10*('계산 과정'!$C$39*(D1303-'계산 과정'!$C$32)+'계산 과정'!$D$39*(E1303-'계산 과정'!$D$32)-'계산 과정'!$E$39*'계산 과정'!$E$32)/J1303,"")</x:f>
        <x:v>0.7101700828960806</x:v>
      </x:c>
      <x:c r="M1303" s="17" t="n">
        <x:f>IF('계산 과정'!$L$6,IF(J1303&lt;=0,0,IF(AND(ABS(K1303)&lt;='계산 과정'!$D$11/2,ABS(L1303)&lt;='계산 과정'!$D$12/2),1,0)),"")</x:f>
        <x:v>1</x:v>
      </x:c>
      <x:c r="N1303" s="17" t="n">
        <x:f>IF('계산 과정'!$C$78,IF(AND(ISNUMBER(H1303),ISNUMBER(I1303),ABS(H1303-'계산 과정'!$C$88)&lt;='계산 과정'!$D$23/2,ABS(I1303-'계산 과정'!$C$89)&lt;='계산 과정'!$D$24/2),1,0),"")</x:f>
        <x:v>1</x:v>
      </x:c>
      <x:c r="O1303" s="4" t="n">
        <x:f>IF('계산 과정'!$L$7,'계산 과정'!$C$49*('계산 과정'!$C$32-D1303)+'계산 과정'!$D$49*('계산 과정'!$D$32-E1303)+'계산 과정'!$E$49*'계산 과정'!$E$32,"")</x:f>
        <x:v>-71.25766675910228</x:v>
      </x:c>
      <x:c r="P1303" s="4" t="n">
        <x:f>IF(AND('계산 과정'!$L$7,O1303&lt;&gt;0),('계산 과정'!$L$23-'계산 과정'!$C$49*D1303-'계산 과정'!$D$49*E1303)/O1303,"")</x:f>
        <x:v>-4.613431062123639</x:v>
      </x:c>
      <x:c r="Q1303" s="4" t="str">
        <x:f>IF(AND(ISNUMBER(P1303),P1303&gt;1E-9,P1303&lt;1-1E-9),'계산 과정'!$C$47*(D1303-'계산 과정'!$C$50+P1303*('계산 과정'!$C$32-D1303))+'계산 과정'!$D$47*(E1303-'계산 과정'!$D$50+P1303*('계산 과정'!$D$32-E1303))+'계산 과정'!$E$47*(0-'계산 과정'!$E$50+P1303*('계산 과정'!$E$32-0)),"")</x:f>
      </x:c>
      <x:c r="R1303" s="4" t="str">
        <x:f>IF(AND(ISNUMBER(P1303),P1303&gt;1E-9,P1303&lt;1-1E-9),'계산 과정'!$C$48*(D1303-'계산 과정'!$C$50+P1303*('계산 과정'!$C$32-D1303))+'계산 과정'!$D$48*(E1303-'계산 과정'!$D$50+P1303*('계산 과정'!$D$32-E1303))+'계산 과정'!$E$48*(0-'계산 과정'!$E$50+P1303*('계산 과정'!$E$32-0)),"")</x:f>
      </x:c>
      <x:c r="S1303" s="17" t="n">
        <x:f>IF('계산 과정'!$C$78,IF(AND(ISNUMBER(Q1303),ISNUMBER(R1303),ABS(Q1303-'계산 과정'!$C$88)&lt;='계산 과정'!$D$23/2,ABS(R1303-'계산 과정'!$C$89)&lt;='계산 과정'!$D$24/2),1,0),"")</x:f>
        <x:v>0</x:v>
      </x:c>
      <x:c r="T1303" s="4"/>
      <x:c r="U1303" s="4"/>
      <x:c r="V1303" s="4"/>
      <x:c r="W1303" s="4"/>
      <x:c r="X1303" s="4"/>
      <x:c r="Y1303" s="4"/>
      <x:c r="Z1303" s="4"/>
    </x:row>
    <x:row r="1304" ht="23" customHeight="1">
      <x:c r="A1304" s="17" t="n">
        <x:f>ROW()-6</x:f>
        <x:v>1298</x:v>
      </x:c>
      <x:c r="B1304" s="4" t="n">
        <x:f>IF('계산 과정'!$L$5,'계산 과정'!$L$11*SQRT((A1304+0.5)/'계산 과정'!$L$30),"")</x:f>
        <x:v>119.43930287100851</x:v>
      </x:c>
      <x:c r="C1304" s="4" t="n">
        <x:f>A1304*PI()*(3-SQRT(5))</x:f>
        <x:v>3115.1522721877914</x:v>
      </x:c>
      <x:c r="D1304" s="4" t="n">
        <x:f>IF('계산 과정'!$L$5,B1304*COS(C1304),"")</x:f>
        <x:v>31.069667207847566</x:v>
      </x:c>
      <x:c r="E1304" s="4" t="n">
        <x:f>IF('계산 과정'!$L$5,B1304*SIN(C1304),"")</x:f>
        <x:v>-115.32745921898264</x:v>
      </x:c>
      <x:c r="F1304" s="4" t="n">
        <x:f>IF('계산 과정'!$L$7,'계산 과정'!$L$22+'계산 과정'!$C$49*D1304+'계산 과정'!$D$49*E1304,"")</x:f>
        <x:v>628.0304276281216</x:v>
      </x:c>
      <x:c r="G1304" s="4" t="n">
        <x:f>IF('계산 과정'!$L$7,IF(ABS(F1304)&gt;=1E-12*MAX(1,SQRT((D1304-'계산 과정'!$C$33)^2+(E1304-'계산 과정'!$D$33)^2+'계산 과정'!$E$33^2)),('계산 과정'!$L$23-'계산 과정'!$C$49*D1304-'계산 과정'!$D$49*E1304)/F1304,""),"")</x:f>
        <x:v>0.6718935163150104</x:v>
      </x:c>
      <x:c r="H1304" s="4" t="n">
        <x:f>IF(AND(ISNUMBER(G1304),G1304&gt;0),('계산 과정'!$D$56+'계산 과정'!$D$57*D1304+'계산 과정'!$D$58*E1304)/F1304,"")</x:f>
        <x:v>36.73078560475665</x:v>
      </x:c>
      <x:c r="I1304" s="4" t="n">
        <x:f>IF(AND(ISNUMBER(G1304),G1304&gt;0),('계산 과정'!$E$56+'계산 과정'!$E$57*D1304+'계산 과정'!$E$58*E1304)/F1304,"")</x:f>
        <x:v>-192.81523132130087</x:v>
      </x:c>
      <x:c r="J1304" s="4" t="n">
        <x:f>IF('계산 과정'!$L$5,'계산 과정'!$D$6+'계산 과정'!$C$35*D1304+'계산 과정'!$D$35*E1304,"")</x:f>
        <x:v>628.0304276281216</x:v>
      </x:c>
      <x:c r="K1304" s="4" t="n">
        <x:f>IF(AND('계산 과정'!$L$6,J1304&gt;0),'계산 과정'!$D$10*('계산 과정'!$C$38*(D1304-'계산 과정'!$C$32)+'계산 과정'!$D$38*(E1304-'계산 과정'!$D$32)-'계산 과정'!$E$38*'계산 과정'!$E$32)/J1304,"")</x:f>
        <x:v>0.2798536046076704</x:v>
      </x:c>
      <x:c r="L1304" s="4" t="n">
        <x:f>IF(AND('계산 과정'!$L$6,J1304&gt;0),'계산 과정'!$D$10*('계산 과정'!$C$39*(D1304-'계산 과정'!$C$32)+'계산 과정'!$D$39*(E1304-'계산 과정'!$D$32)-'계산 과정'!$E$39*'계산 과정'!$E$32)/J1304,"")</x:f>
        <x:v>-1.4690684291146732</x:v>
      </x:c>
      <x:c r="M1304" s="17" t="n">
        <x:f>IF('계산 과정'!$L$6,IF(J1304&lt;=0,0,IF(AND(ABS(K1304)&lt;='계산 과정'!$D$11/2,ABS(L1304)&lt;='계산 과정'!$D$12/2),1,0)),"")</x:f>
        <x:v>1</x:v>
      </x:c>
      <x:c r="N1304" s="17" t="n">
        <x:f>IF('계산 과정'!$C$78,IF(AND(ISNUMBER(H1304),ISNUMBER(I1304),ABS(H1304-'계산 과정'!$C$88)&lt;='계산 과정'!$D$23/2,ABS(I1304-'계산 과정'!$C$89)&lt;='계산 과정'!$D$24/2),1,0),"")</x:f>
        <x:v>1</x:v>
      </x:c>
      <x:c r="O1304" s="4" t="n">
        <x:f>IF('계산 과정'!$L$7,'계산 과정'!$C$49*('계산 과정'!$C$32-D1304)+'계산 과정'!$D$49*('계산 과정'!$D$32-E1304)+'계산 과정'!$E$49*'계산 과정'!$E$32,"")</x:f>
        <x:v>21.969572371878428</x:v>
      </x:c>
      <x:c r="P1304" s="4" t="n">
        <x:f>IF(AND('계산 과정'!$L$7,O1304&lt;&gt;0),('계산 과정'!$L$23-'계산 과정'!$C$49*D1304-'계산 과정'!$D$49*E1304)/O1304,"")</x:f>
        <x:v>19.20699980997397</x:v>
      </x:c>
      <x:c r="Q1304" s="4" t="str">
        <x:f>IF(AND(ISNUMBER(P1304),P1304&gt;1E-9,P1304&lt;1-1E-9),'계산 과정'!$C$47*(D1304-'계산 과정'!$C$50+P1304*('계산 과정'!$C$32-D1304))+'계산 과정'!$D$47*(E1304-'계산 과정'!$D$50+P1304*('계산 과정'!$D$32-E1304))+'계산 과정'!$E$47*(0-'계산 과정'!$E$50+P1304*('계산 과정'!$E$32-0)),"")</x:f>
      </x:c>
      <x:c r="R1304" s="4" t="str">
        <x:f>IF(AND(ISNUMBER(P1304),P1304&gt;1E-9,P1304&lt;1-1E-9),'계산 과정'!$C$48*(D1304-'계산 과정'!$C$50+P1304*('계산 과정'!$C$32-D1304))+'계산 과정'!$D$48*(E1304-'계산 과정'!$D$50+P1304*('계산 과정'!$D$32-E1304))+'계산 과정'!$E$48*(0-'계산 과정'!$E$50+P1304*('계산 과정'!$E$32-0)),"")</x:f>
      </x:c>
      <x:c r="S1304" s="17" t="n">
        <x:f>IF('계산 과정'!$C$78,IF(AND(ISNUMBER(Q1304),ISNUMBER(R1304),ABS(Q1304-'계산 과정'!$C$88)&lt;='계산 과정'!$D$23/2,ABS(R1304-'계산 과정'!$C$89)&lt;='계산 과정'!$D$24/2),1,0),"")</x:f>
        <x:v>0</x:v>
      </x:c>
      <x:c r="T1304" s="4"/>
      <x:c r="U1304" s="4"/>
      <x:c r="V1304" s="4"/>
      <x:c r="W1304" s="4"/>
      <x:c r="X1304" s="4"/>
      <x:c r="Y1304" s="4"/>
      <x:c r="Z1304" s="4"/>
    </x:row>
    <x:row r="1305" ht="23" customHeight="1">
      <x:c r="A1305" s="17" t="n">
        <x:f>ROW()-6</x:f>
        <x:v>1299</x:v>
      </x:c>
      <x:c r="B1305" s="4" t="n">
        <x:f>IF('계산 과정'!$L$5,'계산 과정'!$L$11*SQRT((A1305+0.5)/'계산 과정'!$L$30),"")</x:f>
        <x:v>119.48528527997705</x:v>
      </x:c>
      <x:c r="C1305" s="4" t="n">
        <x:f>A1305*PI()*(3-SQRT(5))</x:f>
        <x:v>3117.55223541752</x:v>
      </x:c>
      <x:c r="D1305" s="4" t="n">
        <x:f>IF('계산 과정'!$L$5,B1305*COS(C1305),"")</x:f>
        <x:v>55.01394513768233</x:v>
      </x:c>
      <x:c r="E1305" s="4" t="n">
        <x:f>IF('계산 과정'!$L$5,B1305*SIN(C1305),"")</x:f>
        <x:v>106.06695639465468</x:v>
      </x:c>
      <x:c r="F1305" s="4" t="n">
        <x:f>IF('계산 과정'!$L$7,'계산 과정'!$L$22+'계산 과정'!$C$49*D1305+'계산 과정'!$D$49*E1305,"")</x:f>
        <x:v>611.0992663333201</x:v>
      </x:c>
      <x:c r="G1305" s="4" t="n">
        <x:f>IF('계산 과정'!$L$7,IF(ABS(F1305)&gt;=1E-12*MAX(1,SQRT((D1305-'계산 과정'!$C$33)^2+(E1305-'계산 과정'!$D$33)^2+'계산 과정'!$E$33^2)),('계산 과정'!$L$23-'계산 과정'!$C$49*D1305-'계산 과정'!$D$49*E1305)/F1305,""),"")</x:f>
        <x:v>0.7182151212521409</x:v>
      </x:c>
      <x:c r="H1305" s="4" t="n">
        <x:f>IF(AND(ISNUMBER(G1305),G1305&gt;0),('계산 과정'!$D$56+'계산 과정'!$D$57*D1305+'계산 과정'!$D$58*E1305)/F1305,"")</x:f>
        <x:v>66.8398288138915</x:v>
      </x:c>
      <x:c r="I1305" s="4" t="n">
        <x:f>IF(AND(ISNUMBER(G1305),G1305&gt;0),('계산 과정'!$E$56+'계산 과정'!$E$57*D1305+'계산 과정'!$E$58*E1305)/F1305,"")</x:f>
        <x:v>182.24584834248716</x:v>
      </x:c>
      <x:c r="J1305" s="4" t="n">
        <x:f>IF('계산 과정'!$L$5,'계산 과정'!$D$6+'계산 과정'!$C$35*D1305+'계산 과정'!$D$35*E1305,"")</x:f>
        <x:v>611.0992663333201</x:v>
      </x:c>
      <x:c r="K1305" s="4" t="n">
        <x:f>IF(AND('계산 과정'!$L$6,J1305&gt;0),'계산 과정'!$D$10*('계산 과정'!$C$38*(D1305-'계산 과정'!$C$32)+'계산 과정'!$D$38*(E1305-'계산 과정'!$D$32)-'계산 과정'!$E$38*'계산 과정'!$E$32)/J1305,"")</x:f>
        <x:v>0.509255838582031</x:v>
      </x:c>
      <x:c r="L1305" s="4" t="n">
        <x:f>IF(AND('계산 과정'!$L$6,J1305&gt;0),'계산 과정'!$D$10*('계산 과정'!$C$39*(D1305-'계산 과정'!$C$32)+'계산 과정'!$D$39*(E1305-'계산 과정'!$D$32)-'계산 과정'!$E$39*'계산 과정'!$E$32)/J1305,"")</x:f>
        <x:v>1.3885397968951403</x:v>
      </x:c>
      <x:c r="M1305" s="17" t="n">
        <x:f>IF('계산 과정'!$L$6,IF(J1305&lt;=0,0,IF(AND(ABS(K1305)&lt;='계산 과정'!$D$11/2,ABS(L1305)&lt;='계산 과정'!$D$12/2),1,0)),"")</x:f>
        <x:v>1</x:v>
      </x:c>
      <x:c r="N1305" s="17" t="n">
        <x:f>IF('계산 과정'!$C$78,IF(AND(ISNUMBER(H1305),ISNUMBER(I1305),ABS(H1305-'계산 과정'!$C$88)&lt;='계산 과정'!$D$23/2,ABS(I1305-'계산 과정'!$C$89)&lt;='계산 과정'!$D$24/2),1,0),"")</x:f>
        <x:v>1</x:v>
      </x:c>
      <x:c r="O1305" s="4" t="n">
        <x:f>IF('계산 과정'!$L$7,'계산 과정'!$C$49*('계산 과정'!$C$32-D1305)+'계산 과정'!$D$49*('계산 과정'!$D$32-E1305)+'계산 과정'!$E$49*'계산 과정'!$E$32,"")</x:f>
        <x:v>38.90073366667997</x:v>
      </x:c>
      <x:c r="P1305" s="4" t="n">
        <x:f>IF(AND('계산 과정'!$L$7,O1305&lt;&gt;0),('계산 과정'!$L$23-'계산 과정'!$C$49*D1305-'계산 과정'!$D$49*E1305)/O1305,"")</x:f>
        <x:v>11.28258241675827</x:v>
      </x:c>
      <x:c r="Q1305" s="4" t="str">
        <x:f>IF(AND(ISNUMBER(P1305),P1305&gt;1E-9,P1305&lt;1-1E-9),'계산 과정'!$C$47*(D1305-'계산 과정'!$C$50+P1305*('계산 과정'!$C$32-D1305))+'계산 과정'!$D$47*(E1305-'계산 과정'!$D$50+P1305*('계산 과정'!$D$32-E1305))+'계산 과정'!$E$47*(0-'계산 과정'!$E$50+P1305*('계산 과정'!$E$32-0)),"")</x:f>
      </x:c>
      <x:c r="R1305" s="4" t="str">
        <x:f>IF(AND(ISNUMBER(P1305),P1305&gt;1E-9,P1305&lt;1-1E-9),'계산 과정'!$C$48*(D1305-'계산 과정'!$C$50+P1305*('계산 과정'!$C$32-D1305))+'계산 과정'!$D$48*(E1305-'계산 과정'!$D$50+P1305*('계산 과정'!$D$32-E1305))+'계산 과정'!$E$48*(0-'계산 과정'!$E$50+P1305*('계산 과정'!$E$32-0)),"")</x:f>
      </x:c>
      <x:c r="S1305" s="17" t="n">
        <x:f>IF('계산 과정'!$C$78,IF(AND(ISNUMBER(Q1305),ISNUMBER(R1305),ABS(Q1305-'계산 과정'!$C$88)&lt;='계산 과정'!$D$23/2,ABS(R1305-'계산 과정'!$C$89)&lt;='계산 과정'!$D$24/2),1,0),"")</x:f>
        <x:v>0</x:v>
      </x:c>
      <x:c r="T1305" s="4"/>
      <x:c r="U1305" s="4"/>
      <x:c r="V1305" s="4"/>
      <x:c r="W1305" s="4"/>
      <x:c r="X1305" s="4"/>
      <x:c r="Y1305" s="4"/>
      <x:c r="Z1305" s="4"/>
    </x:row>
    <x:row r="1306" ht="23" customHeight="1">
      <x:c r="A1306" s="17" t="n">
        <x:f>ROW()-6</x:f>
        <x:v>1300</x:v>
      </x:c>
      <x:c r="B1306" s="4" t="n">
        <x:f>IF('계산 과정'!$L$5,'계산 과정'!$L$11*SQRT((A1306+0.5)/'계산 과정'!$L$30),"")</x:f>
        <x:v>119.53125</x:v>
      </x:c>
      <x:c r="C1306" s="4" t="n">
        <x:f>A1306*PI()*(3-SQRT(5))</x:f>
        <x:v>3119.9521986472487</x:v>
      </x:c>
      <x:c r="D1306" s="4" t="n">
        <x:f>IF('계산 과정'!$L$5,B1306*COS(C1306),"")</x:f>
        <x:v>-112.25593765215848</x:v>
      </x:c>
      <x:c r="E1306" s="4" t="n">
        <x:f>IF('계산 과정'!$L$5,B1306*SIN(C1306),"")</x:f>
        <x:v>-41.06487779596099</x:v>
      </x:c>
      <x:c r="F1306" s="4" t="n">
        <x:f>IF('계산 과정'!$L$7,'계산 과정'!$L$22+'계산 과정'!$C$49*D1306+'계산 과정'!$D$49*E1306,"")</x:f>
        <x:v>729.3769347422956</x:v>
      </x:c>
      <x:c r="G1306" s="4" t="n">
        <x:f>IF('계산 과정'!$L$7,IF(ABS(F1306)&gt;=1E-12*MAX(1,SQRT((D1306-'계산 과정'!$C$33)^2+(E1306-'계산 과정'!$D$33)^2+'계산 과정'!$E$33^2)),('계산 과정'!$L$23-'계산 과정'!$C$49*D1306-'계산 과정'!$D$49*E1306)/F1306,""),"")</x:f>
        <x:v>0.4395848702989044</x:v>
      </x:c>
      <x:c r="H1306" s="4" t="n">
        <x:f>IF(AND(ISNUMBER(G1306),G1306&gt;0),('계산 과정'!$D$56+'계산 과정'!$D$57*D1306+'계산 과정'!$D$58*E1306)/F1306,"")</x:f>
        <x:v>-114.26983430571225</x:v>
      </x:c>
      <x:c r="I1306" s="4" t="n">
        <x:f>IF(AND(ISNUMBER(G1306),G1306&gt;0),('계산 과정'!$E$56+'계산 과정'!$E$57*D1306+'계산 과정'!$E$58*E1306)/F1306,"")</x:f>
        <x:v>-59.11637677573886</x:v>
      </x:c>
      <x:c r="J1306" s="4" t="n">
        <x:f>IF('계산 과정'!$L$5,'계산 과정'!$D$6+'계산 과정'!$C$35*D1306+'계산 과정'!$D$35*E1306,"")</x:f>
        <x:v>729.3769347422956</x:v>
      </x:c>
      <x:c r="K1306" s="4" t="n">
        <x:f>IF(AND('계산 과정'!$L$6,J1306&gt;0),'계산 과정'!$D$10*('계산 과정'!$C$38*(D1306-'계산 과정'!$C$32)+'계산 과정'!$D$38*(E1306-'계산 과정'!$D$32)-'계산 과정'!$E$38*'계산 과정'!$E$32)/J1306,"")</x:f>
        <x:v>-0.8706273089959018</x:v>
      </x:c>
      <x:c r="L1306" s="4" t="n">
        <x:f>IF(AND('계산 과정'!$L$6,J1306&gt;0),'계산 과정'!$D$10*('계산 과정'!$C$39*(D1306-'계산 과정'!$C$32)+'계산 과정'!$D$39*(E1306-'계산 과정'!$D$32)-'계산 과정'!$E$39*'계산 과정'!$E$32)/J1306,"")</x:f>
        <x:v>-0.4504104897199151</x:v>
      </x:c>
      <x:c r="M1306" s="17" t="n">
        <x:f>IF('계산 과정'!$L$6,IF(J1306&lt;=0,0,IF(AND(ABS(K1306)&lt;='계산 과정'!$D$11/2,ABS(L1306)&lt;='계산 과정'!$D$12/2),1,0)),"")</x:f>
        <x:v>1</x:v>
      </x:c>
      <x:c r="N1306" s="17" t="n">
        <x:f>IF('계산 과정'!$C$78,IF(AND(ISNUMBER(H1306),ISNUMBER(I1306),ABS(H1306-'계산 과정'!$C$88)&lt;='계산 과정'!$D$23/2,ABS(I1306-'계산 과정'!$C$89)&lt;='계산 과정'!$D$24/2),1,0),"")</x:f>
        <x:v>1</x:v>
      </x:c>
      <x:c r="O1306" s="4" t="n">
        <x:f>IF('계산 과정'!$L$7,'계산 과정'!$C$49*('계산 과정'!$C$32-D1306)+'계산 과정'!$D$49*('계산 과정'!$D$32-E1306)+'계산 과정'!$E$49*'계산 과정'!$E$32,"")</x:f>
        <x:v>-79.37693474229536</x:v>
      </x:c>
      <x:c r="P1306" s="4" t="n">
        <x:f>IF(AND('계산 과정'!$L$7,O1306&lt;&gt;0),('계산 과정'!$L$23-'계산 과정'!$C$49*D1306-'계산 과정'!$D$49*E1306)/O1306,"")</x:f>
        <x:v>-4.03924724856959</x:v>
      </x:c>
      <x:c r="Q1306" s="4" t="str">
        <x:f>IF(AND(ISNUMBER(P1306),P1306&gt;1E-9,P1306&lt;1-1E-9),'계산 과정'!$C$47*(D1306-'계산 과정'!$C$50+P1306*('계산 과정'!$C$32-D1306))+'계산 과정'!$D$47*(E1306-'계산 과정'!$D$50+P1306*('계산 과정'!$D$32-E1306))+'계산 과정'!$E$47*(0-'계산 과정'!$E$50+P1306*('계산 과정'!$E$32-0)),"")</x:f>
      </x:c>
      <x:c r="R1306" s="4" t="str">
        <x:f>IF(AND(ISNUMBER(P1306),P1306&gt;1E-9,P1306&lt;1-1E-9),'계산 과정'!$C$48*(D1306-'계산 과정'!$C$50+P1306*('계산 과정'!$C$32-D1306))+'계산 과정'!$D$48*(E1306-'계산 과정'!$D$50+P1306*('계산 과정'!$D$32-E1306))+'계산 과정'!$E$48*(0-'계산 과정'!$E$50+P1306*('계산 과정'!$E$32-0)),"")</x:f>
      </x:c>
      <x:c r="S1306" s="17" t="n">
        <x:f>IF('계산 과정'!$C$78,IF(AND(ISNUMBER(Q1306),ISNUMBER(R1306),ABS(Q1306-'계산 과정'!$C$88)&lt;='계산 과정'!$D$23/2,ABS(R1306-'계산 과정'!$C$89)&lt;='계산 과정'!$D$24/2),1,0),"")</x:f>
        <x:v>0</x:v>
      </x:c>
      <x:c r="T1306" s="4"/>
      <x:c r="U1306" s="4"/>
      <x:c r="V1306" s="4"/>
      <x:c r="W1306" s="4"/>
      <x:c r="X1306" s="4"/>
      <x:c r="Y1306" s="4"/>
      <x:c r="Z1306" s="4"/>
    </x:row>
    <x:row r="1307" ht="23" customHeight="1">
      <x:c r="A1307" s="17" t="n">
        <x:f>ROW()-6</x:f>
        <x:v>1301</x:v>
      </x:c>
      <x:c r="B1307" s="4" t="n">
        <x:f>IF('계산 과정'!$L$5,'계산 과정'!$L$11*SQRT((A1307+0.5)/'계산 과정'!$L$30),"")</x:f>
        <x:v>119.57719705147592</x:v>
      </x:c>
      <x:c r="C1307" s="4" t="n">
        <x:f>A1307*PI()*(3-SQRT(5))</x:f>
        <x:v>3122.3521618769773</x:v>
      </x:c>
      <x:c r="D1307" s="4" t="n">
        <x:f>IF('계산 과정'!$L$5,B1307*COS(C1307),"")</x:f>
        <x:v>110.5554416690838</x:v>
      </x:c>
      <x:c r="E1307" s="4" t="n">
        <x:f>IF('계산 과정'!$L$5,B1307*SIN(C1307),"")</x:f>
        <x:v>-45.56534178563035</x:v>
      </x:c>
      <x:c r="F1307" s="4" t="n">
        <x:f>IF('계산 과정'!$L$7,'계산 과정'!$L$22+'계산 과정'!$C$49*D1307+'계산 과정'!$D$49*E1307,"")</x:f>
        <x:v>571.825497498717</x:v>
      </x:c>
      <x:c r="G1307" s="4" t="n">
        <x:f>IF('계산 과정'!$L$7,IF(ABS(F1307)&gt;=1E-12*MAX(1,SQRT((D1307-'계산 과정'!$C$33)^2+(E1307-'계산 과정'!$D$33)^2+'계산 과정'!$E$33^2)),('계산 과정'!$L$23-'계산 과정'!$C$49*D1307-'계산 과정'!$D$49*E1307)/F1307,""),"")</x:f>
        <x:v>0.8362245205799971</x:v>
      </x:c>
      <x:c r="H1307" s="4" t="n">
        <x:f>IF(AND(ISNUMBER(G1307),G1307&gt;0),('계산 과정'!$D$56+'계산 과정'!$D$57*D1307+'계산 과정'!$D$58*E1307)/F1307,"")</x:f>
        <x:v>143.545938376998</x:v>
      </x:c>
      <x:c r="I1307" s="4" t="n">
        <x:f>IF(AND(ISNUMBER(G1307),G1307&gt;0),('계산 과정'!$E$56+'계산 과정'!$E$57*D1307+'계산 과정'!$E$58*E1307)/F1307,"")</x:f>
        <x:v>-83.6681978753828</x:v>
      </x:c>
      <x:c r="J1307" s="4" t="n">
        <x:f>IF('계산 과정'!$L$5,'계산 과정'!$D$6+'계산 과정'!$C$35*D1307+'계산 과정'!$D$35*E1307,"")</x:f>
        <x:v>571.825497498717</x:v>
      </x:c>
      <x:c r="K1307" s="4" t="n">
        <x:f>IF(AND('계산 과정'!$L$6,J1307&gt;0),'계산 과정'!$D$10*('계산 과정'!$C$38*(D1307-'계산 과정'!$C$32)+'계산 과정'!$D$38*(E1307-'계산 과정'!$D$32)-'계산 과정'!$E$38*'계산 과정'!$E$32)/J1307,"")</x:f>
        <x:v>1.0936833400152237</x:v>
      </x:c>
      <x:c r="L1307" s="4" t="n">
        <x:f>IF(AND('계산 과정'!$L$6,J1307&gt;0),'계산 과정'!$D$10*('계산 과정'!$C$39*(D1307-'계산 과정'!$C$32)+'계산 과정'!$D$39*(E1307-'계산 과정'!$D$32)-'계산 과정'!$E$39*'계산 과정'!$E$32)/J1307,"")</x:f>
        <x:v>-0.6374719838124404</x:v>
      </x:c>
      <x:c r="M1307" s="17" t="n">
        <x:f>IF('계산 과정'!$L$6,IF(J1307&lt;=0,0,IF(AND(ABS(K1307)&lt;='계산 과정'!$D$11/2,ABS(L1307)&lt;='계산 과정'!$D$12/2),1,0)),"")</x:f>
        <x:v>1</x:v>
      </x:c>
      <x:c r="N1307" s="17" t="n">
        <x:f>IF('계산 과정'!$C$78,IF(AND(ISNUMBER(H1307),ISNUMBER(I1307),ABS(H1307-'계산 과정'!$C$88)&lt;='계산 과정'!$D$23/2,ABS(I1307-'계산 과정'!$C$89)&lt;='계산 과정'!$D$24/2),1,0),"")</x:f>
        <x:v>1</x:v>
      </x:c>
      <x:c r="O1307" s="4" t="n">
        <x:f>IF('계산 과정'!$L$7,'계산 과정'!$C$49*('계산 과정'!$C$32-D1307)+'계산 과정'!$D$49*('계산 과정'!$D$32-E1307)+'계산 과정'!$E$49*'계산 과정'!$E$32,"")</x:f>
        <x:v>78.17450250128306</x:v>
      </x:c>
      <x:c r="P1307" s="4" t="n">
        <x:f>IF(AND('계산 과정'!$L$7,O1307&lt;&gt;0),('계산 과정'!$L$23-'계산 과정'!$C$49*D1307-'계산 과정'!$D$49*E1307)/O1307,"")</x:f>
        <x:v>6.116757858400631</x:v>
      </x:c>
      <x:c r="Q1307" s="4" t="str">
        <x:f>IF(AND(ISNUMBER(P1307),P1307&gt;1E-9,P1307&lt;1-1E-9),'계산 과정'!$C$47*(D1307-'계산 과정'!$C$50+P1307*('계산 과정'!$C$32-D1307))+'계산 과정'!$D$47*(E1307-'계산 과정'!$D$50+P1307*('계산 과정'!$D$32-E1307))+'계산 과정'!$E$47*(0-'계산 과정'!$E$50+P1307*('계산 과정'!$E$32-0)),"")</x:f>
      </x:c>
      <x:c r="R1307" s="4" t="str">
        <x:f>IF(AND(ISNUMBER(P1307),P1307&gt;1E-9,P1307&lt;1-1E-9),'계산 과정'!$C$48*(D1307-'계산 과정'!$C$50+P1307*('계산 과정'!$C$32-D1307))+'계산 과정'!$D$48*(E1307-'계산 과정'!$D$50+P1307*('계산 과정'!$D$32-E1307))+'계산 과정'!$E$48*(0-'계산 과정'!$E$50+P1307*('계산 과정'!$E$32-0)),"")</x:f>
      </x:c>
      <x:c r="S1307" s="17" t="n">
        <x:f>IF('계산 과정'!$C$78,IF(AND(ISNUMBER(Q1307),ISNUMBER(R1307),ABS(Q1307-'계산 과정'!$C$88)&lt;='계산 과정'!$D$23/2,ABS(R1307-'계산 과정'!$C$89)&lt;='계산 과정'!$D$24/2),1,0),"")</x:f>
        <x:v>0</x:v>
      </x:c>
      <x:c r="T1307" s="4"/>
      <x:c r="U1307" s="4"/>
      <x:c r="V1307" s="4"/>
      <x:c r="W1307" s="4"/>
      <x:c r="X1307" s="4"/>
      <x:c r="Y1307" s="4"/>
      <x:c r="Z1307" s="4"/>
    </x:row>
    <x:row r="1308" ht="23" customHeight="1">
      <x:c r="A1308" s="17" t="n">
        <x:f>ROW()-6</x:f>
        <x:v>1302</x:v>
      </x:c>
      <x:c r="B1308" s="4" t="n">
        <x:f>IF('계산 과정'!$L$5,'계산 과정'!$L$11*SQRT((A1308+0.5)/'계산 과정'!$L$30),"")</x:f>
        <x:v>119.62312645476418</x:v>
      </x:c>
      <x:c r="C1308" s="4" t="n">
        <x:f>A1308*PI()*(3-SQRT(5))</x:f>
        <x:v>3124.752125106706</x:v>
      </x:c>
      <x:c r="D1308" s="4" t="n">
        <x:f>IF('계산 과정'!$L$5,B1308*COS(C1308),"")</x:f>
        <x:v>-50.760685467351315</x:v>
      </x:c>
      <x:c r="E1308" s="4" t="n">
        <x:f>IF('계산 과정'!$L$5,B1308*SIN(C1308),"")</x:f>
        <x:v>108.31918202099354</x:v>
      </x:c>
      <x:c r="F1308" s="4" t="n">
        <x:f>IF('계산 과정'!$L$7,'계산 과정'!$L$22+'계산 과정'!$C$49*D1308+'계산 과정'!$D$49*E1308,"")</x:f>
        <x:v>685.8932249116416</x:v>
      </x:c>
      <x:c r="G1308" s="4" t="n">
        <x:f>IF('계산 과정'!$L$7,IF(ABS(F1308)&gt;=1E-12*MAX(1,SQRT((D1308-'계산 과정'!$C$33)^2+(E1308-'계산 과정'!$D$33)^2+'계산 과정'!$E$33^2)),('계산 과정'!$L$23-'계산 과정'!$C$49*D1308-'계산 과정'!$D$49*E1308)/F1308,""),"")</x:f>
        <x:v>0.5308505199701653</x:v>
      </x:c>
      <x:c r="H1308" s="4" t="n">
        <x:f>IF(AND(ISNUMBER(G1308),G1308&gt;0),('계산 과정'!$D$56+'계산 과정'!$D$57*D1308+'계산 과정'!$D$58*E1308)/F1308,"")</x:f>
        <x:v>-54.94716201939267</x:v>
      </x:c>
      <x:c r="I1308" s="4" t="n">
        <x:f>IF(AND(ISNUMBER(G1308),G1308&gt;0),('계산 과정'!$E$56+'계산 과정'!$E$57*D1308+'계산 과정'!$E$58*E1308)/F1308,"")</x:f>
        <x:v>165.82047611958095</x:v>
      </x:c>
      <x:c r="J1308" s="4" t="n">
        <x:f>IF('계산 과정'!$L$5,'계산 과정'!$D$6+'계산 과정'!$C$35*D1308+'계산 과정'!$D$35*E1308,"")</x:f>
        <x:v>685.8932249116416</x:v>
      </x:c>
      <x:c r="K1308" s="4" t="n">
        <x:f>IF(AND('계산 과정'!$L$6,J1308&gt;0),'계산 과정'!$D$10*('계산 과정'!$C$38*(D1308-'계산 과정'!$C$32)+'계산 과정'!$D$38*(E1308-'계산 과정'!$D$32)-'계산 과정'!$E$38*'계산 과정'!$E$32)/J1308,"")</x:f>
        <x:v>-0.4186450439572765</x:v>
      </x:c>
      <x:c r="L1308" s="4" t="n">
        <x:f>IF(AND('계산 과정'!$L$6,J1308&gt;0),'계산 과정'!$D$10*('계산 과정'!$C$39*(D1308-'계산 과정'!$C$32)+'계산 과정'!$D$39*(E1308-'계산 과정'!$D$32)-'계산 과정'!$E$39*'계산 과정'!$E$32)/J1308,"")</x:f>
        <x:v>1.2633941037682357</x:v>
      </x:c>
      <x:c r="M1308" s="17" t="n">
        <x:f>IF('계산 과정'!$L$6,IF(J1308&lt;=0,0,IF(AND(ABS(K1308)&lt;='계산 과정'!$D$11/2,ABS(L1308)&lt;='계산 과정'!$D$12/2),1,0)),"")</x:f>
        <x:v>1</x:v>
      </x:c>
      <x:c r="N1308" s="17" t="n">
        <x:f>IF('계산 과정'!$C$78,IF(AND(ISNUMBER(H1308),ISNUMBER(I1308),ABS(H1308-'계산 과정'!$C$88)&lt;='계산 과정'!$D$23/2,ABS(I1308-'계산 과정'!$C$89)&lt;='계산 과정'!$D$24/2),1,0),"")</x:f>
        <x:v>1</x:v>
      </x:c>
      <x:c r="O1308" s="4" t="n">
        <x:f>IF('계산 과정'!$L$7,'계산 과정'!$C$49*('계산 과정'!$C$32-D1308)+'계산 과정'!$D$49*('계산 과정'!$D$32-E1308)+'계산 과정'!$E$49*'계산 과정'!$E$32,"")</x:f>
        <x:v>-35.893224911641425</x:v>
      </x:c>
      <x:c r="P1308" s="4" t="n">
        <x:f>IF(AND('계산 과정'!$L$7,O1308&lt;&gt;0),('계산 과정'!$L$23-'계산 과정'!$C$49*D1308-'계산 과정'!$D$49*E1308)/O1308,"")</x:f>
        <x:v>-10.1441644205747</x:v>
      </x:c>
      <x:c r="Q1308" s="4" t="str">
        <x:f>IF(AND(ISNUMBER(P1308),P1308&gt;1E-9,P1308&lt;1-1E-9),'계산 과정'!$C$47*(D1308-'계산 과정'!$C$50+P1308*('계산 과정'!$C$32-D1308))+'계산 과정'!$D$47*(E1308-'계산 과정'!$D$50+P1308*('계산 과정'!$D$32-E1308))+'계산 과정'!$E$47*(0-'계산 과정'!$E$50+P1308*('계산 과정'!$E$32-0)),"")</x:f>
      </x:c>
      <x:c r="R1308" s="4" t="str">
        <x:f>IF(AND(ISNUMBER(P1308),P1308&gt;1E-9,P1308&lt;1-1E-9),'계산 과정'!$C$48*(D1308-'계산 과정'!$C$50+P1308*('계산 과정'!$C$32-D1308))+'계산 과정'!$D$48*(E1308-'계산 과정'!$D$50+P1308*('계산 과정'!$D$32-E1308))+'계산 과정'!$E$48*(0-'계산 과정'!$E$50+P1308*('계산 과정'!$E$32-0)),"")</x:f>
      </x:c>
      <x:c r="S1308" s="17" t="n">
        <x:f>IF('계산 과정'!$C$78,IF(AND(ISNUMBER(Q1308),ISNUMBER(R1308),ABS(Q1308-'계산 과정'!$C$88)&lt;='계산 과정'!$D$23/2,ABS(R1308-'계산 과정'!$C$89)&lt;='계산 과정'!$D$24/2),1,0),"")</x:f>
        <x:v>0</x:v>
      </x:c>
      <x:c r="T1308" s="4"/>
      <x:c r="U1308" s="4"/>
      <x:c r="V1308" s="4"/>
      <x:c r="W1308" s="4"/>
      <x:c r="X1308" s="4"/>
      <x:c r="Y1308" s="4"/>
      <x:c r="Z1308" s="4"/>
    </x:row>
    <x:row r="1309" ht="23" customHeight="1">
      <x:c r="A1309" s="17" t="n">
        <x:f>ROW()-6</x:f>
        <x:v>1303</x:v>
      </x:c>
      <x:c r="B1309" s="4" t="n">
        <x:f>IF('계산 과정'!$L$5,'계산 과정'!$L$11*SQRT((A1309+0.5)/'계산 과정'!$L$30),"")</x:f>
        <x:v>119.6690382301851</x:v>
      </x:c>
      <x:c r="C1309" s="4" t="n">
        <x:f>A1309*PI()*(3-SQRT(5))</x:f>
        <x:v>3127.1520883364346</x:v>
      </x:c>
      <x:c r="D1309" s="4" t="n">
        <x:f>IF('계산 과정'!$L$5,B1309*COS(C1309),"")</x:f>
        <x:v>-35.75292327674235</x:v>
      </x:c>
      <x:c r="E1309" s="4" t="n">
        <x:f>IF('계산 과정'!$L$5,B1309*SIN(C1309),"")</x:f>
        <x:v>-114.20335891778699</x:v>
      </x:c>
      <x:c r="F1309" s="4" t="n">
        <x:f>IF('계산 과정'!$L$7,'계산 과정'!$L$22+'계산 과정'!$C$49*D1309+'계산 과정'!$D$49*E1309,"")</x:f>
        <x:v>675.2811344962269</x:v>
      </x:c>
      <x:c r="G1309" s="4" t="n">
        <x:f>IF('계산 과정'!$L$7,IF(ABS(F1309)&gt;=1E-12*MAX(1,SQRT((D1309-'계산 과정'!$C$33)^2+(E1309-'계산 과정'!$D$33)^2+'계산 과정'!$E$33^2)),('계산 과정'!$L$23-'계산 과정'!$C$49*D1309-'계산 과정'!$D$49*E1309)/F1309,""),"")</x:f>
        <x:v>0.5549079433165579</x:v>
      </x:c>
      <x:c r="H1309" s="4" t="n">
        <x:f>IF(AND(ISNUMBER(G1309),G1309&gt;0),('계산 과정'!$D$56+'계산 과정'!$D$57*D1309+'계산 과정'!$D$58*E1309)/F1309,"")</x:f>
        <x:v>-39.30983684423753</x:v>
      </x:c>
      <x:c r="I1309" s="4" t="n">
        <x:f>IF(AND(ISNUMBER(G1309),G1309&gt;0),('계산 과정'!$E$56+'계산 과정'!$E$57*D1309+'계산 과정'!$E$58*E1309)/F1309,"")</x:f>
        <x:v>-177.57570993469884</x:v>
      </x:c>
      <x:c r="J1309" s="4" t="n">
        <x:f>IF('계산 과정'!$L$5,'계산 과정'!$D$6+'계산 과정'!$C$35*D1309+'계산 과정'!$D$35*E1309,"")</x:f>
        <x:v>675.2811344962269</x:v>
      </x:c>
      <x:c r="K1309" s="4" t="n">
        <x:f>IF(AND('계산 과정'!$L$6,J1309&gt;0),'계산 과정'!$D$10*('계산 과정'!$C$38*(D1309-'계산 과정'!$C$32)+'계산 과정'!$D$38*(E1309-'계산 과정'!$D$32)-'계산 과정'!$E$38*'계산 과정'!$E$32)/J1309,"")</x:f>
        <x:v>-0.2995035188132372</x:v>
      </x:c>
      <x:c r="L1309" s="4" t="n">
        <x:f>IF(AND('계산 과정'!$L$6,J1309&gt;0),'계산 과정'!$D$10*('계산 과정'!$C$39*(D1309-'계산 과정'!$C$32)+'계산 과정'!$D$39*(E1309-'계산 과정'!$D$32)-'계산 과정'!$E$39*'계산 과정'!$E$32)/J1309,"")</x:f>
        <x:v>-1.3529577899786578</x:v>
      </x:c>
      <x:c r="M1309" s="17" t="n">
        <x:f>IF('계산 과정'!$L$6,IF(J1309&lt;=0,0,IF(AND(ABS(K1309)&lt;='계산 과정'!$D$11/2,ABS(L1309)&lt;='계산 과정'!$D$12/2),1,0)),"")</x:f>
        <x:v>1</x:v>
      </x:c>
      <x:c r="N1309" s="17" t="n">
        <x:f>IF('계산 과정'!$C$78,IF(AND(ISNUMBER(H1309),ISNUMBER(I1309),ABS(H1309-'계산 과정'!$C$88)&lt;='계산 과정'!$D$23/2,ABS(I1309-'계산 과정'!$C$89)&lt;='계산 과정'!$D$24/2),1,0),"")</x:f>
        <x:v>1</x:v>
      </x:c>
      <x:c r="O1309" s="4" t="n">
        <x:f>IF('계산 과정'!$L$7,'계산 과정'!$C$49*('계산 과정'!$C$32-D1309)+'계산 과정'!$D$49*('계산 과정'!$D$32-E1309)+'계산 과정'!$E$49*'계산 과정'!$E$32,"")</x:f>
        <x:v>-25.28113449622674</x:v>
      </x:c>
      <x:c r="P1309" s="4" t="n">
        <x:f>IF(AND('계산 과정'!$L$7,O1309&lt;&gt;0),('계산 과정'!$L$23-'계산 과정'!$C$49*D1309-'계산 과정'!$D$49*E1309)/O1309,"")</x:f>
        <x:v>-14.822074759330942</x:v>
      </x:c>
      <x:c r="Q1309" s="4" t="str">
        <x:f>IF(AND(ISNUMBER(P1309),P1309&gt;1E-9,P1309&lt;1-1E-9),'계산 과정'!$C$47*(D1309-'계산 과정'!$C$50+P1309*('계산 과정'!$C$32-D1309))+'계산 과정'!$D$47*(E1309-'계산 과정'!$D$50+P1309*('계산 과정'!$D$32-E1309))+'계산 과정'!$E$47*(0-'계산 과정'!$E$50+P1309*('계산 과정'!$E$32-0)),"")</x:f>
      </x:c>
      <x:c r="R1309" s="4" t="str">
        <x:f>IF(AND(ISNUMBER(P1309),P1309&gt;1E-9,P1309&lt;1-1E-9),'계산 과정'!$C$48*(D1309-'계산 과정'!$C$50+P1309*('계산 과정'!$C$32-D1309))+'계산 과정'!$D$48*(E1309-'계산 과정'!$D$50+P1309*('계산 과정'!$D$32-E1309))+'계산 과정'!$E$48*(0-'계산 과정'!$E$50+P1309*('계산 과정'!$E$32-0)),"")</x:f>
      </x:c>
      <x:c r="S1309" s="17" t="n">
        <x:f>IF('계산 과정'!$C$78,IF(AND(ISNUMBER(Q1309),ISNUMBER(R1309),ABS(Q1309-'계산 과정'!$C$88)&lt;='계산 과정'!$D$23/2,ABS(R1309-'계산 과정'!$C$89)&lt;='계산 과정'!$D$24/2),1,0),"")</x:f>
        <x:v>0</x:v>
      </x:c>
      <x:c r="T1309" s="4"/>
      <x:c r="U1309" s="4"/>
      <x:c r="V1309" s="4"/>
      <x:c r="W1309" s="4"/>
      <x:c r="X1309" s="4"/>
      <x:c r="Y1309" s="4"/>
      <x:c r="Z1309" s="4"/>
    </x:row>
    <x:row r="1310" ht="23" customHeight="1">
      <x:c r="A1310" s="17" t="n">
        <x:f>ROW()-6</x:f>
        <x:v>1304</x:v>
      </x:c>
      <x:c r="B1310" s="4" t="n">
        <x:f>IF('계산 과정'!$L$5,'계산 과정'!$L$11*SQRT((A1310+0.5)/'계산 과정'!$L$30),"")</x:f>
        <x:v>119.71493239802001</x:v>
      </x:c>
      <x:c r="C1310" s="4" t="n">
        <x:f>A1310*PI()*(3-SQRT(5))</x:f>
        <x:v>3129.5520515661633</x:v>
      </x:c>
      <x:c r="D1310" s="4" t="n">
        <x:f>IF('계산 과정'!$L$5,B1310*COS(C1310),"")</x:f>
        <x:v>103.54604907639887</x:v>
      </x:c>
      <x:c r="E1310" s="4" t="n">
        <x:f>IF('계산 과정'!$L$5,B1310*SIN(C1310),"")</x:f>
        <x:v>60.0822832433197</x:v>
      </x:c>
      <x:c r="F1310" s="4" t="n">
        <x:f>IF('계산 과정'!$L$7,'계산 과정'!$L$22+'계산 과정'!$C$49*D1310+'계산 과정'!$D$49*E1310,"")</x:f>
        <x:v>576.7818865330033</x:v>
      </x:c>
      <x:c r="G1310" s="4" t="n">
        <x:f>IF('계산 과정'!$L$7,IF(ABS(F1310)&gt;=1E-12*MAX(1,SQRT((D1310-'계산 과정'!$C$33)^2+(E1310-'계산 과정'!$D$33)^2+'계산 과정'!$E$33^2)),('계산 과정'!$L$23-'계산 과정'!$C$49*D1310-'계산 과정'!$D$49*E1310)/F1310,""),"")</x:f>
        <x:v>0.8204455176487572</x:v>
      </x:c>
      <x:c r="H1310" s="4" t="n">
        <x:f>IF(AND(ISNUMBER(G1310),G1310&gt;0),('계산 과정'!$D$56+'계산 과정'!$D$57*D1310+'계산 과정'!$D$58*E1310)/F1310,"")</x:f>
        <x:v>133.28958647169213</x:v>
      </x:c>
      <x:c r="I1310" s="4" t="n">
        <x:f>IF(AND(ISNUMBER(G1310),G1310&gt;0),('계산 과정'!$E$56+'계산 과정'!$E$57*D1310+'계산 과정'!$E$58*E1310)/F1310,"")</x:f>
        <x:v>109.3765232204044</x:v>
      </x:c>
      <x:c r="J1310" s="4" t="n">
        <x:f>IF('계산 과정'!$L$5,'계산 과정'!$D$6+'계산 과정'!$C$35*D1310+'계산 과정'!$D$35*E1310,"")</x:f>
        <x:v>576.7818865330033</x:v>
      </x:c>
      <x:c r="K1310" s="4" t="n">
        <x:f>IF(AND('계산 과정'!$L$6,J1310&gt;0),'계산 과정'!$D$10*('계산 과정'!$C$38*(D1310-'계산 과정'!$C$32)+'계산 과정'!$D$38*(E1310-'계산 과정'!$D$32)-'계산 과정'!$E$38*'계산 과정'!$E$32)/J1310,"")</x:f>
        <x:v>1.0155397064509881</x:v>
      </x:c>
      <x:c r="L1310" s="4" t="n">
        <x:f>IF(AND('계산 과정'!$L$6,J1310&gt;0),'계산 과정'!$D$10*('계산 과정'!$C$39*(D1310-'계산 과정'!$C$32)+'계산 과정'!$D$39*(E1310-'계산 과정'!$D$32)-'계산 과정'!$E$39*'계산 과정'!$E$32)/J1310,"")</x:f>
        <x:v>0.8333449388221287</x:v>
      </x:c>
      <x:c r="M1310" s="17" t="n">
        <x:f>IF('계산 과정'!$L$6,IF(J1310&lt;=0,0,IF(AND(ABS(K1310)&lt;='계산 과정'!$D$11/2,ABS(L1310)&lt;='계산 과정'!$D$12/2),1,0)),"")</x:f>
        <x:v>1</x:v>
      </x:c>
      <x:c r="N1310" s="17" t="n">
        <x:f>IF('계산 과정'!$C$78,IF(AND(ISNUMBER(H1310),ISNUMBER(I1310),ABS(H1310-'계산 과정'!$C$88)&lt;='계산 과정'!$D$23/2,ABS(I1310-'계산 과정'!$C$89)&lt;='계산 과정'!$D$24/2),1,0),"")</x:f>
        <x:v>1</x:v>
      </x:c>
      <x:c r="O1310" s="4" t="n">
        <x:f>IF('계산 과정'!$L$7,'계산 과정'!$C$49*('계산 과정'!$C$32-D1310)+'계산 과정'!$D$49*('계산 과정'!$D$32-E1310)+'계산 과정'!$E$49*'계산 과정'!$E$32,"")</x:f>
        <x:v>73.21811346699678</x:v>
      </x:c>
      <x:c r="P1310" s="4" t="n">
        <x:f>IF(AND('계산 과정'!$L$7,O1310&lt;&gt;0),('계산 과정'!$L$23-'계산 과정'!$C$49*D1310-'계산 과정'!$D$49*E1310)/O1310,"")</x:f>
        <x:v>6.463129013564393</x:v>
      </x:c>
      <x:c r="Q1310" s="4" t="str">
        <x:f>IF(AND(ISNUMBER(P1310),P1310&gt;1E-9,P1310&lt;1-1E-9),'계산 과정'!$C$47*(D1310-'계산 과정'!$C$50+P1310*('계산 과정'!$C$32-D1310))+'계산 과정'!$D$47*(E1310-'계산 과정'!$D$50+P1310*('계산 과정'!$D$32-E1310))+'계산 과정'!$E$47*(0-'계산 과정'!$E$50+P1310*('계산 과정'!$E$32-0)),"")</x:f>
      </x:c>
      <x:c r="R1310" s="4" t="str">
        <x:f>IF(AND(ISNUMBER(P1310),P1310&gt;1E-9,P1310&lt;1-1E-9),'계산 과정'!$C$48*(D1310-'계산 과정'!$C$50+P1310*('계산 과정'!$C$32-D1310))+'계산 과정'!$D$48*(E1310-'계산 과정'!$D$50+P1310*('계산 과정'!$D$32-E1310))+'계산 과정'!$E$48*(0-'계산 과정'!$E$50+P1310*('계산 과정'!$E$32-0)),"")</x:f>
      </x:c>
      <x:c r="S1310" s="17" t="n">
        <x:f>IF('계산 과정'!$C$78,IF(AND(ISNUMBER(Q1310),ISNUMBER(R1310),ABS(Q1310-'계산 과정'!$C$88)&lt;='계산 과정'!$D$23/2,ABS(R1310-'계산 과정'!$C$89)&lt;='계산 과정'!$D$24/2),1,0),"")</x:f>
        <x:v>0</x:v>
      </x:c>
      <x:c r="T1310" s="4"/>
      <x:c r="U1310" s="4"/>
      <x:c r="V1310" s="4"/>
      <x:c r="W1310" s="4"/>
      <x:c r="X1310" s="4"/>
      <x:c r="Y1310" s="4"/>
      <x:c r="Z1310" s="4"/>
    </x:row>
    <x:row r="1311" ht="23" customHeight="1">
      <x:c r="A1311" s="17" t="n">
        <x:f>ROW()-6</x:f>
        <x:v>1305</x:v>
      </x:c>
      <x:c r="B1311" s="4" t="n">
        <x:f>IF('계산 과정'!$L$5,'계산 과정'!$L$11*SQRT((A1311+0.5)/'계산 과정'!$L$30),"")</x:f>
        <x:v>119.7608089785114</x:v>
      </x:c>
      <x:c r="C1311" s="4" t="n">
        <x:f>A1311*PI()*(3-SQRT(5))</x:f>
        <x:v>3131.952014795892</x:v>
      </x:c>
      <x:c r="D1311" s="4" t="n">
        <x:f>IF('계산 과정'!$L$5,B1311*COS(C1311),"")</x:f>
        <x:v>-116.98144511888876</x:v>
      </x:c>
      <x:c r="E1311" s="4" t="n">
        <x:f>IF('계산 과정'!$L$5,B1311*SIN(C1311),"")</x:f>
        <x:v>25.65137160239032</x:v>
      </x:c>
      <x:c r="F1311" s="4" t="n">
        <x:f>IF('계산 과정'!$L$7,'계산 과정'!$L$22+'계산 과정'!$C$49*D1311+'계산 과정'!$D$49*E1311,"")</x:f>
        <x:v>732.7183731165682</x:v>
      </x:c>
      <x:c r="G1311" s="4" t="n">
        <x:f>IF('계산 과정'!$L$7,IF(ABS(F1311)&gt;=1E-12*MAX(1,SQRT((D1311-'계산 과정'!$C$33)^2+(E1311-'계산 과정'!$D$33)^2+'계산 과정'!$E$33^2)),('계산 과정'!$L$23-'계산 과정'!$C$49*D1311-'계산 과정'!$D$49*E1311)/F1311,""),"")</x:f>
        <x:v>0.4330198866638158</x:v>
      </x:c>
      <x:c r="H1311" s="4" t="n">
        <x:f>IF(AND(ISNUMBER(G1311),G1311&gt;0),('계산 과정'!$D$56+'계산 과정'!$D$57*D1311+'계산 과정'!$D$58*E1311)/F1311,"")</x:f>
        <x:v>-118.53707366851991</x:v>
      </x:c>
      <x:c r="I1311" s="4" t="n">
        <x:f>IF(AND(ISNUMBER(G1311),G1311&gt;0),('계산 과정'!$E$56+'계산 과정'!$E$57*D1311+'계산 과정'!$E$58*E1311)/F1311,"")</x:f>
        <x:v>36.7589256264288</x:v>
      </x:c>
      <x:c r="J1311" s="4" t="n">
        <x:f>IF('계산 과정'!$L$5,'계산 과정'!$D$6+'계산 과정'!$C$35*D1311+'계산 과정'!$D$35*E1311,"")</x:f>
        <x:v>732.7183731165682</x:v>
      </x:c>
      <x:c r="K1311" s="4" t="n">
        <x:f>IF(AND('계산 과정'!$L$6,J1311&gt;0),'계산 과정'!$D$10*('계산 과정'!$C$38*(D1311-'계산 과정'!$C$32)+'계산 과정'!$D$38*(E1311-'계산 과정'!$D$32)-'계산 과정'!$E$38*'계산 과정'!$E$32)/J1311,"")</x:f>
        <x:v>-0.9031396089030075</x:v>
      </x:c>
      <x:c r="L1311" s="4" t="n">
        <x:f>IF(AND('계산 과정'!$L$6,J1311&gt;0),'계산 과정'!$D$10*('계산 과정'!$C$39*(D1311-'계산 과정'!$C$32)+'계산 과정'!$D$39*(E1311-'계산 과정'!$D$32)-'계산 과정'!$E$39*'계산 과정'!$E$32)/J1311,"")</x:f>
        <x:v>0.28006800477279087</x:v>
      </x:c>
      <x:c r="M1311" s="17" t="n">
        <x:f>IF('계산 과정'!$L$6,IF(J1311&lt;=0,0,IF(AND(ABS(K1311)&lt;='계산 과정'!$D$11/2,ABS(L1311)&lt;='계산 과정'!$D$12/2),1,0)),"")</x:f>
        <x:v>1</x:v>
      </x:c>
      <x:c r="N1311" s="17" t="n">
        <x:f>IF('계산 과정'!$C$78,IF(AND(ISNUMBER(H1311),ISNUMBER(I1311),ABS(H1311-'계산 과정'!$C$88)&lt;='계산 과정'!$D$23/2,ABS(I1311-'계산 과정'!$C$89)&lt;='계산 과정'!$D$24/2),1,0),"")</x:f>
        <x:v>1</x:v>
      </x:c>
      <x:c r="O1311" s="4" t="n">
        <x:f>IF('계산 과정'!$L$7,'계산 과정'!$C$49*('계산 과정'!$C$32-D1311)+'계산 과정'!$D$49*('계산 과정'!$D$32-E1311)+'계산 과정'!$E$49*'계산 과정'!$E$32,"")</x:f>
        <x:v>-82.71837311656805</x:v>
      </x:c>
      <x:c r="P1311" s="4" t="n">
        <x:f>IF(AND('계산 과정'!$L$7,O1311&lt;&gt;0),('계산 과정'!$L$23-'계산 과정'!$C$49*D1311-'계산 과정'!$D$49*E1311)/O1311,"")</x:f>
        <x:v>-3.835685047097258</x:v>
      </x:c>
      <x:c r="Q1311" s="4" t="str">
        <x:f>IF(AND(ISNUMBER(P1311),P1311&gt;1E-9,P1311&lt;1-1E-9),'계산 과정'!$C$47*(D1311-'계산 과정'!$C$50+P1311*('계산 과정'!$C$32-D1311))+'계산 과정'!$D$47*(E1311-'계산 과정'!$D$50+P1311*('계산 과정'!$D$32-E1311))+'계산 과정'!$E$47*(0-'계산 과정'!$E$50+P1311*('계산 과정'!$E$32-0)),"")</x:f>
      </x:c>
      <x:c r="R1311" s="4" t="str">
        <x:f>IF(AND(ISNUMBER(P1311),P1311&gt;1E-9,P1311&lt;1-1E-9),'계산 과정'!$C$48*(D1311-'계산 과정'!$C$50+P1311*('계산 과정'!$C$32-D1311))+'계산 과정'!$D$48*(E1311-'계산 과정'!$D$50+P1311*('계산 과정'!$D$32-E1311))+'계산 과정'!$E$48*(0-'계산 과정'!$E$50+P1311*('계산 과정'!$E$32-0)),"")</x:f>
      </x:c>
      <x:c r="S1311" s="17" t="n">
        <x:f>IF('계산 과정'!$C$78,IF(AND(ISNUMBER(Q1311),ISNUMBER(R1311),ABS(Q1311-'계산 과정'!$C$88)&lt;='계산 과정'!$D$23/2,ABS(R1311-'계산 과정'!$C$89)&lt;='계산 과정'!$D$24/2),1,0),"")</x:f>
        <x:v>0</x:v>
      </x:c>
      <x:c r="T1311" s="4"/>
      <x:c r="U1311" s="4"/>
      <x:c r="V1311" s="4"/>
      <x:c r="W1311" s="4"/>
      <x:c r="X1311" s="4"/>
      <x:c r="Y1311" s="4"/>
      <x:c r="Z1311" s="4"/>
    </x:row>
    <x:row r="1312" ht="23" customHeight="1">
      <x:c r="A1312" s="17" t="n">
        <x:f>ROW()-6</x:f>
        <x:v>1306</x:v>
      </x:c>
      <x:c r="B1312" s="4" t="n">
        <x:f>IF('계산 과정'!$L$5,'계산 과정'!$L$11*SQRT((A1312+0.5)/'계산 과정'!$L$30),"")</x:f>
        <x:v>119.80666799186304</x:v>
      </x:c>
      <x:c r="C1312" s="4" t="n">
        <x:f>A1312*PI()*(3-SQRT(5))</x:f>
        <x:v>3134.351978025621</x:v>
      </x:c>
      <x:c r="D1312" s="4" t="n">
        <x:f>IF('계산 과정'!$L$5,B1312*COS(C1312),"")</x:f>
        <x:v>68.95761965350837</x:v>
      </x:c>
      <x:c r="E1312" s="4" t="n">
        <x:f>IF('계산 과정'!$L$5,B1312*SIN(C1312),"")</x:f>
        <x:v>-97.97185507600933</x:v>
      </x:c>
      <x:c r="F1312" s="4" t="n">
        <x:f>IF('계산 과정'!$L$7,'계산 과정'!$L$22+'계산 과정'!$C$49*D1312+'계산 과정'!$D$49*E1312,"")</x:f>
        <x:v>601.2395995285215</x:v>
      </x:c>
      <x:c r="G1312" s="4" t="n">
        <x:f>IF('계산 과정'!$L$7,IF(ABS(F1312)&gt;=1E-12*MAX(1,SQRT((D1312-'계산 과정'!$C$33)^2+(E1312-'계산 과정'!$D$33)^2+'계산 과정'!$E$33^2)),('계산 과정'!$L$23-'계산 과정'!$C$49*D1312-'계산 과정'!$D$49*E1312)/F1312,""),"")</x:f>
        <x:v>0.7463919555920573</x:v>
      </x:c>
      <x:c r="H1312" s="4" t="n">
        <x:f>IF(AND(ISNUMBER(G1312),G1312&gt;0),('계산 과정'!$D$56+'계산 과정'!$D$57*D1312+'계산 과정'!$D$58*E1312)/F1312,"")</x:f>
        <x:v>85.15477113483713</x:v>
      </x:c>
      <x:c r="I1312" s="4" t="n">
        <x:f>IF(AND(ISNUMBER(G1312),G1312&gt;0),('계산 과정'!$E$56+'계산 과정'!$E$57*D1312+'계산 과정'!$E$58*E1312)/F1312,"")</x:f>
        <x:v>-171.09725957917357</x:v>
      </x:c>
      <x:c r="J1312" s="4" t="n">
        <x:f>IF('계산 과정'!$L$5,'계산 과정'!$D$6+'계산 과정'!$C$35*D1312+'계산 과정'!$D$35*E1312,"")</x:f>
        <x:v>601.2395995285215</x:v>
      </x:c>
      <x:c r="K1312" s="4" t="n">
        <x:f>IF(AND('계산 과정'!$L$6,J1312&gt;0),'계산 과정'!$D$10*('계산 과정'!$C$38*(D1312-'계산 과정'!$C$32)+'계산 과정'!$D$38*(E1312-'계산 과정'!$D$32)-'계산 과정'!$E$38*'계산 과정'!$E$32)/J1312,"")</x:f>
        <x:v>0.6487982562654261</x:v>
      </x:c>
      <x:c r="L1312" s="4" t="n">
        <x:f>IF(AND('계산 과정'!$L$6,J1312&gt;0),'계산 과정'!$D$10*('계산 과정'!$C$39*(D1312-'계산 과정'!$C$32)+'계산 과정'!$D$39*(E1312-'계산 과정'!$D$32)-'계산 과정'!$E$39*'계산 과정'!$E$32)/J1312,"")</x:f>
        <x:v>-1.3035981682222748</x:v>
      </x:c>
      <x:c r="M1312" s="17" t="n">
        <x:f>IF('계산 과정'!$L$6,IF(J1312&lt;=0,0,IF(AND(ABS(K1312)&lt;='계산 과정'!$D$11/2,ABS(L1312)&lt;='계산 과정'!$D$12/2),1,0)),"")</x:f>
        <x:v>1</x:v>
      </x:c>
      <x:c r="N1312" s="17" t="n">
        <x:f>IF('계산 과정'!$C$78,IF(AND(ISNUMBER(H1312),ISNUMBER(I1312),ABS(H1312-'계산 과정'!$C$88)&lt;='계산 과정'!$D$23/2,ABS(I1312-'계산 과정'!$C$89)&lt;='계산 과정'!$D$24/2),1,0),"")</x:f>
        <x:v>1</x:v>
      </x:c>
      <x:c r="O1312" s="4" t="n">
        <x:f>IF('계산 과정'!$L$7,'계산 과정'!$C$49*('계산 과정'!$C$32-D1312)+'계산 과정'!$D$49*('계산 과정'!$D$32-E1312)+'계산 과정'!$E$49*'계산 과정'!$E$32,"")</x:f>
        <x:v>48.76040047147859</x:v>
      </x:c>
      <x:c r="P1312" s="4" t="n">
        <x:f>IF(AND('계산 과정'!$L$7,O1312&lt;&gt;0),('계산 과정'!$L$23-'계산 과정'!$C$49*D1312-'계산 과정'!$D$49*E1312)/O1312,"")</x:f>
        <x:v>9.203378071801765</x:v>
      </x:c>
      <x:c r="Q1312" s="4" t="str">
        <x:f>IF(AND(ISNUMBER(P1312),P1312&gt;1E-9,P1312&lt;1-1E-9),'계산 과정'!$C$47*(D1312-'계산 과정'!$C$50+P1312*('계산 과정'!$C$32-D1312))+'계산 과정'!$D$47*(E1312-'계산 과정'!$D$50+P1312*('계산 과정'!$D$32-E1312))+'계산 과정'!$E$47*(0-'계산 과정'!$E$50+P1312*('계산 과정'!$E$32-0)),"")</x:f>
      </x:c>
      <x:c r="R1312" s="4" t="str">
        <x:f>IF(AND(ISNUMBER(P1312),P1312&gt;1E-9,P1312&lt;1-1E-9),'계산 과정'!$C$48*(D1312-'계산 과정'!$C$50+P1312*('계산 과정'!$C$32-D1312))+'계산 과정'!$D$48*(E1312-'계산 과정'!$D$50+P1312*('계산 과정'!$D$32-E1312))+'계산 과정'!$E$48*(0-'계산 과정'!$E$50+P1312*('계산 과정'!$E$32-0)),"")</x:f>
      </x:c>
      <x:c r="S1312" s="17" t="n">
        <x:f>IF('계산 과정'!$C$78,IF(AND(ISNUMBER(Q1312),ISNUMBER(R1312),ABS(Q1312-'계산 과정'!$C$88)&lt;='계산 과정'!$D$23/2,ABS(R1312-'계산 과정'!$C$89)&lt;='계산 과정'!$D$24/2),1,0),"")</x:f>
        <x:v>0</x:v>
      </x:c>
      <x:c r="T1312" s="4"/>
      <x:c r="U1312" s="4"/>
      <x:c r="V1312" s="4"/>
      <x:c r="W1312" s="4"/>
      <x:c r="X1312" s="4"/>
      <x:c r="Y1312" s="4"/>
      <x:c r="Z1312" s="4"/>
    </x:row>
    <x:row r="1313" ht="23" customHeight="1">
      <x:c r="A1313" s="17" t="n">
        <x:f>ROW()-6</x:f>
        <x:v>1307</x:v>
      </x:c>
      <x:c r="B1313" s="4" t="n">
        <x:f>IF('계산 과정'!$L$5,'계산 과정'!$L$11*SQRT((A1313+0.5)/'계산 과정'!$L$30),"")</x:f>
        <x:v>119.85250945823996</x:v>
      </x:c>
      <x:c r="C1313" s="4" t="n">
        <x:f>A1313*PI()*(3-SQRT(5))</x:f>
        <x:v>3136.7519412553493</x:v>
      </x:c>
      <x:c r="D1313" s="4" t="n">
        <x:f>IF('계산 과정'!$L$5,B1313*COS(C1313),"")</x:f>
        <x:v>15.337700975352426</x:v>
      </x:c>
      <x:c r="E1313" s="4" t="n">
        <x:f>IF('계산 과정'!$L$5,B1313*SIN(C1313),"")</x:f>
        <x:v>118.86706420294972</x:v>
      </x:c>
      <x:c r="F1313" s="4" t="n">
        <x:f>IF('계산 과정'!$L$7,'계산 과정'!$L$22+'계산 과정'!$C$49*D1313+'계산 과정'!$D$49*E1313,"")</x:f>
        <x:v>639.1546076325168</x:v>
      </x:c>
      <x:c r="G1313" s="4" t="n">
        <x:f>IF('계산 과정'!$L$7,IF(ABS(F1313)&gt;=1E-12*MAX(1,SQRT((D1313-'계산 과정'!$C$33)^2+(E1313-'계산 과정'!$D$33)^2+'계산 과정'!$E$33^2)),('계산 과정'!$L$23-'계산 과정'!$C$49*D1313-'계산 과정'!$D$49*E1313)/F1313,""),"")</x:f>
        <x:v>0.642795009941788</x:v>
      </x:c>
      <x:c r="H1313" s="4" t="n">
        <x:f>IF(AND(ISNUMBER(G1313),G1313&gt;0),('계산 과정'!$D$56+'계산 과정'!$D$57*D1313+'계산 과정'!$D$58*E1313)/F1313,"")</x:f>
        <x:v>17.816756462162083</x:v>
      </x:c>
      <x:c r="I1313" s="4" t="n">
        <x:f>IF(AND(ISNUMBER(G1313),G1313&gt;0),('계산 과정'!$E$56+'계산 과정'!$E$57*D1313+'계산 과정'!$E$58*E1313)/F1313,"")</x:f>
        <x:v>195.27421991903594</x:v>
      </x:c>
      <x:c r="J1313" s="4" t="n">
        <x:f>IF('계산 과정'!$L$5,'계산 과정'!$D$6+'계산 과정'!$C$35*D1313+'계산 과정'!$D$35*E1313,"")</x:f>
        <x:v>639.1546076325168</x:v>
      </x:c>
      <x:c r="K1313" s="4" t="n">
        <x:f>IF(AND('계산 과정'!$L$6,J1313&gt;0),'계산 과정'!$D$10*('계산 과정'!$C$38*(D1313-'계산 과정'!$C$32)+'계산 과정'!$D$38*(E1313-'계산 과정'!$D$32)-'계산 과정'!$E$38*'계산 과정'!$E$32)/J1313,"")</x:f>
        <x:v>0.13574671590218873</x:v>
      </x:c>
      <x:c r="L1313" s="4" t="n">
        <x:f>IF(AND('계산 과정'!$L$6,J1313&gt;0),'계산 과정'!$D$10*('계산 과정'!$C$39*(D1313-'계산 과정'!$C$32)+'계산 과정'!$D$39*(E1313-'계산 과정'!$D$32)-'계산 과정'!$E$39*'계산 과정'!$E$32)/J1313,"")</x:f>
        <x:v>1.4878035803355119</x:v>
      </x:c>
      <x:c r="M1313" s="17" t="n">
        <x:f>IF('계산 과정'!$L$6,IF(J1313&lt;=0,0,IF(AND(ABS(K1313)&lt;='계산 과정'!$D$11/2,ABS(L1313)&lt;='계산 과정'!$D$12/2),1,0)),"")</x:f>
        <x:v>1</x:v>
      </x:c>
      <x:c r="N1313" s="17" t="n">
        <x:f>IF('계산 과정'!$C$78,IF(AND(ISNUMBER(H1313),ISNUMBER(I1313),ABS(H1313-'계산 과정'!$C$88)&lt;='계산 과정'!$D$23/2,ABS(I1313-'계산 과정'!$C$89)&lt;='계산 과정'!$D$24/2),1,0),"")</x:f>
        <x:v>1</x:v>
      </x:c>
      <x:c r="O1313" s="4" t="n">
        <x:f>IF('계산 과정'!$L$7,'계산 과정'!$C$49*('계산 과정'!$C$32-D1313)+'계산 과정'!$D$49*('계산 과정'!$D$32-E1313)+'계산 과정'!$E$49*'계산 과정'!$E$32,"")</x:f>
        <x:v>10.845392367483328</x:v>
      </x:c>
      <x:c r="P1313" s="4" t="n">
        <x:f>IF(AND('계산 과정'!$L$7,O1313&lt;&gt;0),('계산 과정'!$L$23-'계산 과정'!$C$49*D1313-'계산 과정'!$D$49*E1313)/O1313,"")</x:f>
        <x:v>37.88202200957529</x:v>
      </x:c>
      <x:c r="Q1313" s="4" t="str">
        <x:f>IF(AND(ISNUMBER(P1313),P1313&gt;1E-9,P1313&lt;1-1E-9),'계산 과정'!$C$47*(D1313-'계산 과정'!$C$50+P1313*('계산 과정'!$C$32-D1313))+'계산 과정'!$D$47*(E1313-'계산 과정'!$D$50+P1313*('계산 과정'!$D$32-E1313))+'계산 과정'!$E$47*(0-'계산 과정'!$E$50+P1313*('계산 과정'!$E$32-0)),"")</x:f>
      </x:c>
      <x:c r="R1313" s="4" t="str">
        <x:f>IF(AND(ISNUMBER(P1313),P1313&gt;1E-9,P1313&lt;1-1E-9),'계산 과정'!$C$48*(D1313-'계산 과정'!$C$50+P1313*('계산 과정'!$C$32-D1313))+'계산 과정'!$D$48*(E1313-'계산 과정'!$D$50+P1313*('계산 과정'!$D$32-E1313))+'계산 과정'!$E$48*(0-'계산 과정'!$E$50+P1313*('계산 과정'!$E$32-0)),"")</x:f>
      </x:c>
      <x:c r="S1313" s="17" t="n">
        <x:f>IF('계산 과정'!$C$78,IF(AND(ISNUMBER(Q1313),ISNUMBER(R1313),ABS(Q1313-'계산 과정'!$C$88)&lt;='계산 과정'!$D$23/2,ABS(R1313-'계산 과정'!$C$89)&lt;='계산 과정'!$D$24/2),1,0),"")</x:f>
        <x:v>0</x:v>
      </x:c>
      <x:c r="T1313" s="4"/>
      <x:c r="U1313" s="4"/>
      <x:c r="V1313" s="4"/>
      <x:c r="W1313" s="4"/>
      <x:c r="X1313" s="4"/>
      <x:c r="Y1313" s="4"/>
      <x:c r="Z1313" s="4"/>
    </x:row>
    <x:row r="1314" ht="23" customHeight="1">
      <x:c r="A1314" s="17" t="n">
        <x:f>ROW()-6</x:f>
        <x:v>1308</x:v>
      </x:c>
      <x:c r="B1314" s="4" t="n">
        <x:f>IF('계산 과정'!$L$5,'계산 과정'!$L$11*SQRT((A1314+0.5)/'계산 과정'!$L$30),"")</x:f>
        <x:v>119.89833339776871</x:v>
      </x:c>
      <x:c r="C1314" s="4" t="n">
        <x:f>A1314*PI()*(3-SQRT(5))</x:f>
        <x:v>3139.151904485078</x:v>
      </x:c>
      <x:c r="D1314" s="4" t="n">
        <x:f>IF('계산 과정'!$L$5,B1314*COS(C1314),"")</x:f>
        <x:v>-91.63811470456015</x:v>
      </x:c>
      <x:c r="E1314" s="4" t="n">
        <x:f>IF('계산 과정'!$L$5,B1314*SIN(C1314),"")</x:f>
        <x:v>-77.31795577326378</x:v>
      </x:c>
      <x:c r="F1314" s="4" t="n">
        <x:f>IF('계산 과정'!$L$7,'계산 과정'!$L$22+'계산 과정'!$C$49*D1314+'계산 과정'!$D$49*E1314,"")</x:f>
        <x:v>714.7979323227452</x:v>
      </x:c>
      <x:c r="G1314" s="4" t="n">
        <x:f>IF('계산 과정'!$L$7,IF(ABS(F1314)&gt;=1E-12*MAX(1,SQRT((D1314-'계산 과정'!$C$33)^2+(E1314-'계산 과정'!$D$33)^2+'계산 과정'!$E$33^2)),('계산 과정'!$L$23-'계산 과정'!$C$49*D1314-'계산 과정'!$D$49*E1314)/F1314,""),"")</x:f>
        <x:v>0.4689466106708106</x:v>
      </x:c>
      <x:c r="H1314" s="4" t="n">
        <x:f>IF(AND(ISNUMBER(G1314),G1314&gt;0),('계산 과정'!$D$56+'계산 과정'!$D$57*D1314+'계산 과정'!$D$58*E1314)/F1314,"")</x:f>
        <x:v>-95.1847030639732</x:v>
      </x:c>
      <x:c r="I1314" s="4" t="n">
        <x:f>IF(AND(ISNUMBER(G1314),G1314&gt;0),('계산 과정'!$E$56+'계산 과정'!$E$57*D1314+'계산 과정'!$E$58*E1314)/F1314,"")</x:f>
        <x:v>-113.57594907713147</x:v>
      </x:c>
      <x:c r="J1314" s="4" t="n">
        <x:f>IF('계산 과정'!$L$5,'계산 과정'!$D$6+'계산 과정'!$C$35*D1314+'계산 과정'!$D$35*E1314,"")</x:f>
        <x:v>714.7979323227452</x:v>
      </x:c>
      <x:c r="K1314" s="4" t="n">
        <x:f>IF(AND('계산 과정'!$L$6,J1314&gt;0),'계산 과정'!$D$10*('계산 과정'!$C$38*(D1314-'계산 과정'!$C$32)+'계산 과정'!$D$38*(E1314-'계산 과정'!$D$32)-'계산 과정'!$E$38*'계산 과정'!$E$32)/J1314,"")</x:f>
        <x:v>-0.7252167852493188</x:v>
      </x:c>
      <x:c r="L1314" s="4" t="n">
        <x:f>IF(AND('계산 과정'!$L$6,J1314&gt;0),'계산 과정'!$D$10*('계산 과정'!$C$39*(D1314-'계산 과정'!$C$32)+'계산 과정'!$D$39*(E1314-'계산 과정'!$D$32)-'계산 과정'!$E$39*'계산 과정'!$E$32)/J1314,"")</x:f>
        <x:v>-0.8653405643971921</x:v>
      </x:c>
      <x:c r="M1314" s="17" t="n">
        <x:f>IF('계산 과정'!$L$6,IF(J1314&lt;=0,0,IF(AND(ABS(K1314)&lt;='계산 과정'!$D$11/2,ABS(L1314)&lt;='계산 과정'!$D$12/2),1,0)),"")</x:f>
        <x:v>1</x:v>
      </x:c>
      <x:c r="N1314" s="17" t="n">
        <x:f>IF('계산 과정'!$C$78,IF(AND(ISNUMBER(H1314),ISNUMBER(I1314),ABS(H1314-'계산 과정'!$C$88)&lt;='계산 과정'!$D$23/2,ABS(I1314-'계산 과정'!$C$89)&lt;='계산 과정'!$D$24/2),1,0),"")</x:f>
        <x:v>1</x:v>
      </x:c>
      <x:c r="O1314" s="4" t="n">
        <x:f>IF('계산 과정'!$L$7,'계산 과정'!$C$49*('계산 과정'!$C$32-D1314)+'계산 과정'!$D$49*('계산 과정'!$D$32-E1314)+'계산 과정'!$E$49*'계산 과정'!$E$32,"")</x:f>
        <x:v>-64.79793232274505</x:v>
      </x:c>
      <x:c r="P1314" s="4" t="n">
        <x:f>IF(AND('계산 과정'!$L$7,O1314&lt;&gt;0),('계산 과정'!$L$23-'계산 과정'!$C$49*D1314-'계산 과정'!$D$49*E1314)/O1314,"")</x:f>
        <x:v>-5.173036479122248</x:v>
      </x:c>
      <x:c r="Q1314" s="4" t="str">
        <x:f>IF(AND(ISNUMBER(P1314),P1314&gt;1E-9,P1314&lt;1-1E-9),'계산 과정'!$C$47*(D1314-'계산 과정'!$C$50+P1314*('계산 과정'!$C$32-D1314))+'계산 과정'!$D$47*(E1314-'계산 과정'!$D$50+P1314*('계산 과정'!$D$32-E1314))+'계산 과정'!$E$47*(0-'계산 과정'!$E$50+P1314*('계산 과정'!$E$32-0)),"")</x:f>
      </x:c>
      <x:c r="R1314" s="4" t="str">
        <x:f>IF(AND(ISNUMBER(P1314),P1314&gt;1E-9,P1314&lt;1-1E-9),'계산 과정'!$C$48*(D1314-'계산 과정'!$C$50+P1314*('계산 과정'!$C$32-D1314))+'계산 과정'!$D$48*(E1314-'계산 과정'!$D$50+P1314*('계산 과정'!$D$32-E1314))+'계산 과정'!$E$48*(0-'계산 과정'!$E$50+P1314*('계산 과정'!$E$32-0)),"")</x:f>
      </x:c>
      <x:c r="S1314" s="17" t="n">
        <x:f>IF('계산 과정'!$C$78,IF(AND(ISNUMBER(Q1314),ISNUMBER(R1314),ABS(Q1314-'계산 과정'!$C$88)&lt;='계산 과정'!$D$23/2,ABS(R1314-'계산 과정'!$C$89)&lt;='계산 과정'!$D$24/2),1,0),"")</x:f>
        <x:v>0</x:v>
      </x:c>
      <x:c r="T1314" s="4"/>
      <x:c r="U1314" s="4"/>
      <x:c r="V1314" s="4"/>
      <x:c r="W1314" s="4"/>
      <x:c r="X1314" s="4"/>
      <x:c r="Y1314" s="4"/>
      <x:c r="Z1314" s="4"/>
    </x:row>
    <x:row r="1315" ht="23" customHeight="1">
      <x:c r="A1315" s="17" t="n">
        <x:f>ROW()-6</x:f>
        <x:v>1309</x:v>
      </x:c>
      <x:c r="B1315" s="4" t="n">
        <x:f>IF('계산 과정'!$L$5,'계산 과정'!$L$11*SQRT((A1315+0.5)/'계산 과정'!$L$30),"")</x:f>
        <x:v>119.94413983053737</x:v>
      </x:c>
      <x:c r="C1315" s="4" t="n">
        <x:f>A1315*PI()*(3-SQRT(5))</x:f>
        <x:v>3141.551867714806</x:v>
      </x:c>
      <x:c r="D1315" s="4" t="n">
        <x:f>IF('계산 과정'!$L$5,B1315*COS(C1315),"")</x:f>
        <x:v>119.84439086472653</x:v>
      </x:c>
      <x:c r="E1315" s="4" t="n">
        <x:f>IF('계산 과정'!$L$5,B1315*SIN(C1315),"")</x:f>
        <x:v>-4.890670501081799</x:v>
      </x:c>
      <x:c r="F1315" s="4" t="n">
        <x:f>IF('계산 과정'!$L$7,'계산 과정'!$L$22+'계산 과정'!$C$49*D1315+'계산 과정'!$D$49*E1315,"")</x:f>
        <x:v>565.2572185323808</x:v>
      </x:c>
      <x:c r="G1315" s="4" t="n">
        <x:f>IF('계산 과정'!$L$7,IF(ABS(F1315)&gt;=1E-12*MAX(1,SQRT((D1315-'계산 과정'!$C$33)^2+(E1315-'계산 과정'!$D$33)^2+'계산 과정'!$E$33^2)),('계산 과정'!$L$23-'계산 과정'!$C$49*D1315-'계산 과정'!$D$49*E1315)/F1315,""),"")</x:f>
        <x:v>0.8575614173069613</x:v>
      </x:c>
      <x:c r="H1315" s="4" t="n">
        <x:f>IF(AND(ISNUMBER(G1315),G1315&gt;0),('계산 과정'!$D$56+'계산 과정'!$D$57*D1315+'계산 과정'!$D$58*E1315)/F1315,"")</x:f>
        <x:v>157.41492124952484</x:v>
      </x:c>
      <x:c r="I1315" s="4" t="n">
        <x:f>IF(AND(ISNUMBER(G1315),G1315&gt;0),('계산 과정'!$E$56+'계산 과정'!$E$57*D1315+'계산 과정'!$E$58*E1315)/F1315,"")</x:f>
        <x:v>-9.084720827570854</x:v>
      </x:c>
      <x:c r="J1315" s="4" t="n">
        <x:f>IF('계산 과정'!$L$5,'계산 과정'!$D$6+'계산 과정'!$C$35*D1315+'계산 과정'!$D$35*E1315,"")</x:f>
        <x:v>565.2572185323808</x:v>
      </x:c>
      <x:c r="K1315" s="4" t="n">
        <x:f>IF(AND('계산 과정'!$L$6,J1315&gt;0),'계산 과정'!$D$10*('계산 과정'!$C$38*(D1315-'계산 과정'!$C$32)+'계산 과정'!$D$38*(E1315-'계산 과정'!$D$32)-'계산 과정'!$E$38*'계산 과정'!$E$32)/J1315,"")</x:f>
        <x:v>1.199351780948761</x:v>
      </x:c>
      <x:c r="L1315" s="4" t="n">
        <x:f>IF(AND('계산 과정'!$L$6,J1315&gt;0),'계산 과정'!$D$10*('계산 과정'!$C$39*(D1315-'계산 과정'!$C$32)+'계산 과정'!$D$39*(E1315-'계산 과정'!$D$32)-'계산 과정'!$E$39*'계산 과정'!$E$32)/J1315,"")</x:f>
        <x:v>-0.06921692059101603</x:v>
      </x:c>
      <x:c r="M1315" s="17" t="n">
        <x:f>IF('계산 과정'!$L$6,IF(J1315&lt;=0,0,IF(AND(ABS(K1315)&lt;='계산 과정'!$D$11/2,ABS(L1315)&lt;='계산 과정'!$D$12/2),1,0)),"")</x:f>
        <x:v>1</x:v>
      </x:c>
      <x:c r="N1315" s="17" t="n">
        <x:f>IF('계산 과정'!$C$78,IF(AND(ISNUMBER(H1315),ISNUMBER(I1315),ABS(H1315-'계산 과정'!$C$88)&lt;='계산 과정'!$D$23/2,ABS(I1315-'계산 과정'!$C$89)&lt;='계산 과정'!$D$24/2),1,0),"")</x:f>
        <x:v>1</x:v>
      </x:c>
      <x:c r="O1315" s="4" t="n">
        <x:f>IF('계산 과정'!$L$7,'계산 과정'!$C$49*('계산 과정'!$C$32-D1315)+'계산 과정'!$D$49*('계산 과정'!$D$32-E1315)+'계산 과정'!$E$49*'계산 과정'!$E$32,"")</x:f>
        <x:v>84.74278146761935</x:v>
      </x:c>
      <x:c r="P1315" s="4" t="n">
        <x:f>IF(AND('계산 과정'!$L$7,O1315&lt;&gt;0),('계산 과정'!$L$23-'계산 과정'!$C$49*D1315-'계산 과정'!$D$49*E1315)/O1315,"")</x:f>
        <x:v>5.720166049220864</x:v>
      </x:c>
      <x:c r="Q1315" s="4" t="str">
        <x:f>IF(AND(ISNUMBER(P1315),P1315&gt;1E-9,P1315&lt;1-1E-9),'계산 과정'!$C$47*(D1315-'계산 과정'!$C$50+P1315*('계산 과정'!$C$32-D1315))+'계산 과정'!$D$47*(E1315-'계산 과정'!$D$50+P1315*('계산 과정'!$D$32-E1315))+'계산 과정'!$E$47*(0-'계산 과정'!$E$50+P1315*('계산 과정'!$E$32-0)),"")</x:f>
      </x:c>
      <x:c r="R1315" s="4" t="str">
        <x:f>IF(AND(ISNUMBER(P1315),P1315&gt;1E-9,P1315&lt;1-1E-9),'계산 과정'!$C$48*(D1315-'계산 과정'!$C$50+P1315*('계산 과정'!$C$32-D1315))+'계산 과정'!$D$48*(E1315-'계산 과정'!$D$50+P1315*('계산 과정'!$D$32-E1315))+'계산 과정'!$E$48*(0-'계산 과정'!$E$50+P1315*('계산 과정'!$E$32-0)),"")</x:f>
      </x:c>
      <x:c r="S1315" s="17" t="n">
        <x:f>IF('계산 과정'!$C$78,IF(AND(ISNUMBER(Q1315),ISNUMBER(R1315),ABS(Q1315-'계산 과정'!$C$88)&lt;='계산 과정'!$D$23/2,ABS(R1315-'계산 과정'!$C$89)&lt;='계산 과정'!$D$24/2),1,0),"")</x:f>
        <x:v>0</x:v>
      </x:c>
      <x:c r="T1315" s="4"/>
      <x:c r="U1315" s="4"/>
      <x:c r="V1315" s="4"/>
      <x:c r="W1315" s="4"/>
      <x:c r="X1315" s="4"/>
      <x:c r="Y1315" s="4"/>
      <x:c r="Z1315" s="4"/>
    </x:row>
    <x:row r="1316" ht="23" customHeight="1">
      <x:c r="A1316" s="17" t="n">
        <x:f>ROW()-6</x:f>
        <x:v>1310</x:v>
      </x:c>
      <x:c r="B1316" s="4" t="n">
        <x:f>IF('계산 과정'!$L$5,'계산 과정'!$L$11*SQRT((A1316+0.5)/'계산 과정'!$L$30),"")</x:f>
        <x:v>119.98992877659566</x:v>
      </x:c>
      <x:c r="C1316" s="4" t="n">
        <x:f>A1316*PI()*(3-SQRT(5))</x:f>
        <x:v>3143.9518309445352</x:v>
      </x:c>
      <x:c r="D1316" s="4" t="n">
        <x:f>IF('계산 과정'!$L$5,B1316*COS(C1316),"")</x:f>
        <x:v>-85.09839768832475</x:v>
      </x:c>
      <x:c r="E1316" s="4" t="n">
        <x:f>IF('계산 과정'!$L$5,B1316*SIN(C1316),"")</x:f>
        <x:v>84.59223202334967</x:v>
      </x:c>
      <x:c r="F1316" s="4" t="n">
        <x:f>IF('계산 과정'!$L$7,'계산 과정'!$L$22+'계산 과정'!$C$49*D1316+'계산 과정'!$D$49*E1316,"")</x:f>
        <x:v>710.1736540735241</x:v>
      </x:c>
      <x:c r="G1316" s="4" t="n">
        <x:f>IF('계산 과정'!$L$7,IF(ABS(F1316)&gt;=1E-12*MAX(1,SQRT((D1316-'계산 과정'!$C$33)^2+(E1316-'계산 과정'!$D$33)^2+'계산 과정'!$E$33^2)),('계산 과정'!$L$23-'계산 과정'!$C$49*D1316-'계산 과정'!$D$49*E1316)/F1316,""),"")</x:f>
        <x:v>0.47851162033010847</x:v>
      </x:c>
      <x:c r="H1316" s="4" t="n">
        <x:f>IF(AND(ISNUMBER(G1316),G1316&gt;0),('계산 과정'!$D$56+'계산 과정'!$D$57*D1316+'계산 과정'!$D$58*E1316)/F1316,"")</x:f>
        <x:v>-88.96744678542962</x:v>
      </x:c>
      <x:c r="I1316" s="4" t="n">
        <x:f>IF(AND(ISNUMBER(G1316),G1316&gt;0),('계산 과정'!$E$56+'계산 과정'!$E$57*D1316+'계산 과정'!$E$58*E1316)/F1316,"")</x:f>
        <x:v>125.0705980361832</x:v>
      </x:c>
      <x:c r="J1316" s="4" t="n">
        <x:f>IF('계산 과정'!$L$5,'계산 과정'!$D$6+'계산 과정'!$C$35*D1316+'계산 과정'!$D$35*E1316,"")</x:f>
        <x:v>710.1736540735241</x:v>
      </x:c>
      <x:c r="K1316" s="4" t="n">
        <x:f>IF(AND('계산 과정'!$L$6,J1316&gt;0),'계산 과정'!$D$10*('계산 과정'!$C$38*(D1316-'계산 과정'!$C$32)+'계산 과정'!$D$38*(E1316-'계산 과정'!$D$32)-'계산 과정'!$E$38*'계산 과정'!$E$32)/J1316,"")</x:f>
        <x:v>-0.6778472136032724</x:v>
      </x:c>
      <x:c r="L1316" s="4" t="n">
        <x:f>IF(AND('계산 과정'!$L$6,J1316&gt;0),'계산 과정'!$D$10*('계산 과정'!$C$39*(D1316-'계산 과정'!$C$32)+'계산 과정'!$D$39*(E1316-'계산 과정'!$D$32)-'계산 과정'!$E$39*'계산 과정'!$E$32)/J1316,"")</x:f>
        <x:v>0.9529188421804434</x:v>
      </x:c>
      <x:c r="M1316" s="17" t="n">
        <x:f>IF('계산 과정'!$L$6,IF(J1316&lt;=0,0,IF(AND(ABS(K1316)&lt;='계산 과정'!$D$11/2,ABS(L1316)&lt;='계산 과정'!$D$12/2),1,0)),"")</x:f>
        <x:v>1</x:v>
      </x:c>
      <x:c r="N1316" s="17" t="n">
        <x:f>IF('계산 과정'!$C$78,IF(AND(ISNUMBER(H1316),ISNUMBER(I1316),ABS(H1316-'계산 과정'!$C$88)&lt;='계산 과정'!$D$23/2,ABS(I1316-'계산 과정'!$C$89)&lt;='계산 과정'!$D$24/2),1,0),"")</x:f>
        <x:v>1</x:v>
      </x:c>
      <x:c r="O1316" s="4" t="n">
        <x:f>IF('계산 과정'!$L$7,'계산 과정'!$C$49*('계산 과정'!$C$32-D1316)+'계산 과정'!$D$49*('계산 과정'!$D$32-E1316)+'계산 과정'!$E$49*'계산 과정'!$E$32,"")</x:f>
        <x:v>-60.17365407352395</x:v>
      </x:c>
      <x:c r="P1316" s="4" t="n">
        <x:f>IF(AND('계산 과정'!$L$7,O1316&lt;&gt;0),('계산 과정'!$L$23-'계산 과정'!$C$49*D1316-'계산 과정'!$D$49*E1316)/O1316,"")</x:f>
        <x:v>-5.647427452407241</x:v>
      </x:c>
      <x:c r="Q1316" s="4" t="str">
        <x:f>IF(AND(ISNUMBER(P1316),P1316&gt;1E-9,P1316&lt;1-1E-9),'계산 과정'!$C$47*(D1316-'계산 과정'!$C$50+P1316*('계산 과정'!$C$32-D1316))+'계산 과정'!$D$47*(E1316-'계산 과정'!$D$50+P1316*('계산 과정'!$D$32-E1316))+'계산 과정'!$E$47*(0-'계산 과정'!$E$50+P1316*('계산 과정'!$E$32-0)),"")</x:f>
      </x:c>
      <x:c r="R1316" s="4" t="str">
        <x:f>IF(AND(ISNUMBER(P1316),P1316&gt;1E-9,P1316&lt;1-1E-9),'계산 과정'!$C$48*(D1316-'계산 과정'!$C$50+P1316*('계산 과정'!$C$32-D1316))+'계산 과정'!$D$48*(E1316-'계산 과정'!$D$50+P1316*('계산 과정'!$D$32-E1316))+'계산 과정'!$E$48*(0-'계산 과정'!$E$50+P1316*('계산 과정'!$E$32-0)),"")</x:f>
      </x:c>
      <x:c r="S1316" s="17" t="n">
        <x:f>IF('계산 과정'!$C$78,IF(AND(ISNUMBER(Q1316),ISNUMBER(R1316),ABS(Q1316-'계산 과정'!$C$88)&lt;='계산 과정'!$D$23/2,ABS(R1316-'계산 과정'!$C$89)&lt;='계산 과정'!$D$24/2),1,0),"")</x:f>
        <x:v>0</x:v>
      </x:c>
      <x:c r="T1316" s="4"/>
      <x:c r="U1316" s="4"/>
      <x:c r="V1316" s="4"/>
      <x:c r="W1316" s="4"/>
      <x:c r="X1316" s="4"/>
      <x:c r="Y1316" s="4"/>
      <x:c r="Z1316" s="4"/>
    </x:row>
    <x:row r="1317" ht="23" customHeight="1">
      <x:c r="A1317" s="17" t="n">
        <x:f>ROW()-6</x:f>
        <x:v>1311</x:v>
      </x:c>
      <x:c r="B1317" s="4" t="n">
        <x:f>IF('계산 과정'!$L$5,'계산 과정'!$L$11*SQRT((A1317+0.5)/'계산 과정'!$L$30),"")</x:f>
        <x:v>120.0357002559551</x:v>
      </x:c>
      <x:c r="C1317" s="4" t="n">
        <x:f>A1317*PI()*(3-SQRT(5))</x:f>
        <x:v>3146.3517941742643</x:v>
      </x:c>
      <x:c r="D1317" s="4" t="n">
        <x:f>IF('계산 과정'!$L$5,B1317*COS(C1317),"")</x:f>
        <x:v>5.609817438701818</x:v>
      </x:c>
      <x:c r="E1317" s="4" t="n">
        <x:f>IF('계산 과정'!$L$5,B1317*SIN(C1317),"")</x:f>
        <x:v>-119.90454238368928</x:v>
      </x:c>
      <x:c r="F1317" s="4" t="n">
        <x:f>IF('계산 과정'!$L$7,'계산 과정'!$L$22+'계산 과정'!$C$49*D1317+'계산 과정'!$D$49*E1317,"")</x:f>
        <x:v>646.0332600478754</x:v>
      </x:c>
      <x:c r="G1317" s="4" t="n">
        <x:f>IF('계산 과정'!$L$7,IF(ABS(F1317)&gt;=1E-12*MAX(1,SQRT((D1317-'계산 과정'!$C$33)^2+(E1317-'계산 과정'!$D$33)^2+'계산 과정'!$E$33^2)),('계산 과정'!$L$23-'계산 과정'!$C$49*D1317-'계산 과정'!$D$49*E1317)/F1317,""),"")</x:f>
        <x:v>0.6253033163063276</x:v>
      </x:c>
      <x:c r="H1317" s="4" t="n">
        <x:f>IF(AND(ISNUMBER(G1317),G1317&gt;0),('계산 과정'!$D$56+'계산 과정'!$D$57*D1317+'계산 과정'!$D$58*E1317)/F1317,"")</x:f>
        <x:v>6.44715559911281</x:v>
      </x:c>
      <x:c r="I1317" s="4" t="n">
        <x:f>IF(AND(ISNUMBER(G1317),G1317&gt;0),('계산 과정'!$E$56+'계산 과정'!$E$57*D1317+'계산 과정'!$E$58*E1317)/F1317,"")</x:f>
        <x:v>-194.8812503764028</x:v>
      </x:c>
      <x:c r="J1317" s="4" t="n">
        <x:f>IF('계산 과정'!$L$5,'계산 과정'!$D$6+'계산 과정'!$C$35*D1317+'계산 과정'!$D$35*E1317,"")</x:f>
        <x:v>646.0332600478754</x:v>
      </x:c>
      <x:c r="K1317" s="4" t="n">
        <x:f>IF(AND('계산 과정'!$L$6,J1317&gt;0),'계산 과정'!$D$10*('계산 과정'!$C$38*(D1317-'계산 과정'!$C$32)+'계산 과정'!$D$38*(E1317-'계산 과정'!$D$32)-'계산 과정'!$E$38*'계산 과정'!$E$32)/J1317,"")</x:f>
        <x:v>0.04912118551705094</x:v>
      </x:c>
      <x:c r="L1317" s="4" t="n">
        <x:f>IF(AND('계산 과정'!$L$6,J1317&gt;0),'계산 과정'!$D$10*('계산 과정'!$C$39*(D1317-'계산 과정'!$C$32)+'계산 과정'!$D$39*(E1317-'계산 과정'!$D$32)-'계산 과정'!$E$39*'계산 과정'!$E$32)/J1317,"")</x:f>
        <x:v>-1.4848095266773547</x:v>
      </x:c>
      <x:c r="M1317" s="17" t="n">
        <x:f>IF('계산 과정'!$L$6,IF(J1317&lt;=0,0,IF(AND(ABS(K1317)&lt;='계산 과정'!$D$11/2,ABS(L1317)&lt;='계산 과정'!$D$12/2),1,0)),"")</x:f>
        <x:v>1</x:v>
      </x:c>
      <x:c r="N1317" s="17" t="n">
        <x:f>IF('계산 과정'!$C$78,IF(AND(ISNUMBER(H1317),ISNUMBER(I1317),ABS(H1317-'계산 과정'!$C$88)&lt;='계산 과정'!$D$23/2,ABS(I1317-'계산 과정'!$C$89)&lt;='계산 과정'!$D$24/2),1,0),"")</x:f>
        <x:v>1</x:v>
      </x:c>
      <x:c r="O1317" s="4" t="n">
        <x:f>IF('계산 과정'!$L$7,'계산 과정'!$C$49*('계산 과정'!$C$32-D1317)+'계산 과정'!$D$49*('계산 과정'!$D$32-E1317)+'계산 과정'!$E$49*'계산 과정'!$E$32,"")</x:f>
        <x:v>3.966739952124726</x:v>
      </x:c>
      <x:c r="P1317" s="4" t="n">
        <x:f>IF(AND('계산 과정'!$L$7,O1317&lt;&gt;0),('계산 과정'!$L$23-'계산 과정'!$C$49*D1317-'계산 과정'!$D$49*E1317)/O1317,"")</x:f>
        <x:v>101.83847311083393</x:v>
      </x:c>
      <x:c r="Q1317" s="4" t="str">
        <x:f>IF(AND(ISNUMBER(P1317),P1317&gt;1E-9,P1317&lt;1-1E-9),'계산 과정'!$C$47*(D1317-'계산 과정'!$C$50+P1317*('계산 과정'!$C$32-D1317))+'계산 과정'!$D$47*(E1317-'계산 과정'!$D$50+P1317*('계산 과정'!$D$32-E1317))+'계산 과정'!$E$47*(0-'계산 과정'!$E$50+P1317*('계산 과정'!$E$32-0)),"")</x:f>
      </x:c>
      <x:c r="R1317" s="4" t="str">
        <x:f>IF(AND(ISNUMBER(P1317),P1317&gt;1E-9,P1317&lt;1-1E-9),'계산 과정'!$C$48*(D1317-'계산 과정'!$C$50+P1317*('계산 과정'!$C$32-D1317))+'계산 과정'!$D$48*(E1317-'계산 과정'!$D$50+P1317*('계산 과정'!$D$32-E1317))+'계산 과정'!$E$48*(0-'계산 과정'!$E$50+P1317*('계산 과정'!$E$32-0)),"")</x:f>
      </x:c>
      <x:c r="S1317" s="17" t="n">
        <x:f>IF('계산 과정'!$C$78,IF(AND(ISNUMBER(Q1317),ISNUMBER(R1317),ABS(Q1317-'계산 과정'!$C$88)&lt;='계산 과정'!$D$23/2,ABS(R1317-'계산 과정'!$C$89)&lt;='계산 과정'!$D$24/2),1,0),"")</x:f>
        <x:v>0</x:v>
      </x:c>
      <x:c r="T1317" s="4"/>
      <x:c r="U1317" s="4"/>
      <x:c r="V1317" s="4"/>
      <x:c r="W1317" s="4"/>
      <x:c r="X1317" s="4"/>
      <x:c r="Y1317" s="4"/>
      <x:c r="Z1317" s="4"/>
    </x:row>
    <x:row r="1318" ht="23" customHeight="1">
      <x:c r="A1318" s="17" t="n">
        <x:f>ROW()-6</x:f>
        <x:v>1312</x:v>
      </x:c>
      <x:c r="B1318" s="4" t="n">
        <x:f>IF('계산 과정'!$L$5,'계산 과정'!$L$11*SQRT((A1318+0.5)/'계산 과정'!$L$30),"")</x:f>
        <x:v>120.08145428858906</x:v>
      </x:c>
      <x:c r="C1318" s="4" t="n">
        <x:f>A1318*PI()*(3-SQRT(5))</x:f>
        <x:v>3148.7517574039925</x:v>
      </x:c>
      <x:c r="D1318" s="4" t="n">
        <x:f>IF('계산 과정'!$L$5,B1318*COS(C1318),"")</x:f>
        <x:v>76.88714574957054</x:v>
      </x:c>
      <x:c r="E1318" s="4" t="n">
        <x:f>IF('계산 과정'!$L$5,B1318*SIN(C1318),"")</x:f>
        <x:v>92.23840026012377</x:v>
      </x:c>
      <x:c r="F1318" s="4" t="n">
        <x:f>IF('계산 과정'!$L$7,'계산 과정'!$L$22+'계산 과정'!$C$49*D1318+'계산 과정'!$D$49*E1318,"")</x:f>
        <x:v>595.6325778544002</x:v>
      </x:c>
      <x:c r="G1318" s="4" t="n">
        <x:f>IF('계산 과정'!$L$7,IF(ABS(F1318)&gt;=1E-12*MAX(1,SQRT((D1318-'계산 과정'!$C$33)^2+(E1318-'계산 과정'!$D$33)^2+'계산 과정'!$E$33^2)),('계산 과정'!$L$23-'계산 과정'!$C$49*D1318-'계산 과정'!$D$49*E1318)/F1318,""),"")</x:f>
        <x:v>0.7628317171339608</x:v>
      </x:c>
      <x:c r="H1318" s="4" t="n">
        <x:f>IF(AND(ISNUMBER(G1318),G1318&gt;0),('계산 과정'!$D$56+'계산 과정'!$D$57*D1318+'계산 과정'!$D$58*E1318)/F1318,"")</x:f>
        <x:v>95.84061613707446</x:v>
      </x:c>
      <x:c r="I1318" s="4" t="n">
        <x:f>IF(AND(ISNUMBER(G1318),G1318&gt;0),('계산 과정'!$E$56+'계산 과정'!$E$57*D1318+'계산 과정'!$E$58*E1318)/F1318,"")</x:f>
        <x:v>162.60077751624357</x:v>
      </x:c>
      <x:c r="J1318" s="4" t="n">
        <x:f>IF('계산 과정'!$L$5,'계산 과정'!$D$6+'계산 과정'!$C$35*D1318+'계산 과정'!$D$35*E1318,"")</x:f>
        <x:v>595.6325778544002</x:v>
      </x:c>
      <x:c r="K1318" s="4" t="n">
        <x:f>IF(AND('계산 과정'!$L$6,J1318&gt;0),'계산 과정'!$D$10*('계산 과정'!$C$38*(D1318-'계산 과정'!$C$32)+'계산 과정'!$D$38*(E1318-'계산 과정'!$D$32)-'계산 과정'!$E$38*'계산 과정'!$E$32)/J1318,"")</x:f>
        <x:v>0.7302142181872351</x:v>
      </x:c>
      <x:c r="L1318" s="4" t="n">
        <x:f>IF(AND('계산 과정'!$L$6,J1318&gt;0),'계산 과정'!$D$10*('계산 과정'!$C$39*(D1318-'계산 과정'!$C$32)+'계산 과정'!$D$39*(E1318-'계산 과정'!$D$32)-'계산 과정'!$E$39*'계산 과정'!$E$32)/J1318,"")</x:f>
        <x:v>1.2388630667904272</x:v>
      </x:c>
      <x:c r="M1318" s="17" t="n">
        <x:f>IF('계산 과정'!$L$6,IF(J1318&lt;=0,0,IF(AND(ABS(K1318)&lt;='계산 과정'!$D$11/2,ABS(L1318)&lt;='계산 과정'!$D$12/2),1,0)),"")</x:f>
        <x:v>1</x:v>
      </x:c>
      <x:c r="N1318" s="17" t="n">
        <x:f>IF('계산 과정'!$C$78,IF(AND(ISNUMBER(H1318),ISNUMBER(I1318),ABS(H1318-'계산 과정'!$C$88)&lt;='계산 과정'!$D$23/2,ABS(I1318-'계산 과정'!$C$89)&lt;='계산 과정'!$D$24/2),1,0),"")</x:f>
        <x:v>1</x:v>
      </x:c>
      <x:c r="O1318" s="4" t="n">
        <x:f>IF('계산 과정'!$L$7,'계산 과정'!$C$49*('계산 과정'!$C$32-D1318)+'계산 과정'!$D$49*('계산 과정'!$D$32-E1318)+'계산 과정'!$E$49*'계산 과정'!$E$32,"")</x:f>
        <x:v>54.3674221455999</x:v>
      </x:c>
      <x:c r="P1318" s="4" t="n">
        <x:f>IF(AND('계산 과정'!$L$7,O1318&lt;&gt;0),('계산 과정'!$L$23-'계산 과정'!$C$49*D1318-'계산 과정'!$D$49*E1318)/O1318,"")</x:f>
        <x:v>8.35734717987494</x:v>
      </x:c>
      <x:c r="Q1318" s="4" t="str">
        <x:f>IF(AND(ISNUMBER(P1318),P1318&gt;1E-9,P1318&lt;1-1E-9),'계산 과정'!$C$47*(D1318-'계산 과정'!$C$50+P1318*('계산 과정'!$C$32-D1318))+'계산 과정'!$D$47*(E1318-'계산 과정'!$D$50+P1318*('계산 과정'!$D$32-E1318))+'계산 과정'!$E$47*(0-'계산 과정'!$E$50+P1318*('계산 과정'!$E$32-0)),"")</x:f>
      </x:c>
      <x:c r="R1318" s="4" t="str">
        <x:f>IF(AND(ISNUMBER(P1318),P1318&gt;1E-9,P1318&lt;1-1E-9),'계산 과정'!$C$48*(D1318-'계산 과정'!$C$50+P1318*('계산 과정'!$C$32-D1318))+'계산 과정'!$D$48*(E1318-'계산 과정'!$D$50+P1318*('계산 과정'!$D$32-E1318))+'계산 과정'!$E$48*(0-'계산 과정'!$E$50+P1318*('계산 과정'!$E$32-0)),"")</x:f>
      </x:c>
      <x:c r="S1318" s="17" t="n">
        <x:f>IF('계산 과정'!$C$78,IF(AND(ISNUMBER(Q1318),ISNUMBER(R1318),ABS(Q1318-'계산 과정'!$C$88)&lt;='계산 과정'!$D$23/2,ABS(R1318-'계산 과정'!$C$89)&lt;='계산 과정'!$D$24/2),1,0),"")</x:f>
        <x:v>0</x:v>
      </x:c>
      <x:c r="T1318" s="4"/>
      <x:c r="U1318" s="4"/>
      <x:c r="V1318" s="4"/>
      <x:c r="W1318" s="4"/>
      <x:c r="X1318" s="4"/>
      <x:c r="Y1318" s="4"/>
      <x:c r="Z1318" s="4"/>
    </x:row>
    <x:row r="1319" ht="23" customHeight="1">
      <x:c r="A1319" s="17" t="n">
        <x:f>ROW()-6</x:f>
        <x:v>1313</x:v>
      </x:c>
      <x:c r="B1319" s="4" t="n">
        <x:f>IF('계산 과정'!$L$5,'계산 과정'!$L$11*SQRT((A1319+0.5)/'계산 과정'!$L$30),"")</x:f>
        <x:v>120.1271908944328</x:v>
      </x:c>
      <x:c r="C1319" s="4" t="n">
        <x:f>A1319*PI()*(3-SQRT(5))</x:f>
        <x:v>3151.151720633721</x:v>
      </x:c>
      <x:c r="D1319" s="4" t="n">
        <x:f>IF('계산 과정'!$L$5,B1319*COS(C1319),"")</x:f>
        <x:v>-119.04565736228435</x:v>
      </x:c>
      <x:c r="E1319" s="4" t="n">
        <x:f>IF('계산 과정'!$L$5,B1319*SIN(C1319),"")</x:f>
        <x:v>-16.083328491611887</x:v>
      </x:c>
      <x:c r="F1319" s="4" t="n">
        <x:f>IF('계산 과정'!$L$7,'계산 과정'!$L$22+'계산 과정'!$C$49*D1319+'계산 과정'!$D$49*E1319,"")</x:f>
        <x:v>734.1779915916815</x:v>
      </x:c>
      <x:c r="G1319" s="4" t="n">
        <x:f>IF('계산 과정'!$L$7,IF(ABS(F1319)&gt;=1E-12*MAX(1,SQRT((D1319-'계산 과정'!$C$33)^2+(E1319-'계산 과정'!$D$33)^2+'계산 과정'!$E$33^2)),('계산 과정'!$L$23-'계산 과정'!$C$49*D1319-'계산 과정'!$D$49*E1319)/F1319,""),"")</x:f>
        <x:v>0.4301709013690582</x:v>
      </x:c>
      <x:c r="H1319" s="4" t="n">
        <x:f>IF(AND(ISNUMBER(G1319),G1319&gt;0),('계산 과정'!$D$56+'계산 과정'!$D$57*D1319+'계산 과정'!$D$58*E1319)/F1319,"")</x:f>
        <x:v>-120.3889141101123</x:v>
      </x:c>
      <x:c r="I1319" s="4" t="n">
        <x:f>IF(AND(ISNUMBER(G1319),G1319&gt;0),('계산 과정'!$E$56+'계산 과정'!$E$57*D1319+'계산 과정'!$E$58*E1319)/F1319,"")</x:f>
        <x:v>-23.00190840586323</x:v>
      </x:c>
      <x:c r="J1319" s="4" t="n">
        <x:f>IF('계산 과정'!$L$5,'계산 과정'!$D$6+'계산 과정'!$C$35*D1319+'계산 과정'!$D$35*E1319,"")</x:f>
        <x:v>734.1779915916815</x:v>
      </x:c>
      <x:c r="K1319" s="4" t="n">
        <x:f>IF(AND('계산 과정'!$L$6,J1319&gt;0),'계산 과정'!$D$10*('계산 과정'!$C$38*(D1319-'계산 과정'!$C$32)+'계산 과정'!$D$38*(E1319-'계산 과정'!$D$32)-'계산 과정'!$E$38*'계산 과정'!$E$32)/J1319,"")</x:f>
        <x:v>-0.9172488694103784</x:v>
      </x:c>
      <x:c r="L1319" s="4" t="n">
        <x:f>IF(AND('계산 과정'!$L$6,J1319&gt;0),'계산 과정'!$D$10*('계산 과정'!$C$39*(D1319-'계산 과정'!$C$32)+'계산 과정'!$D$39*(E1319-'계산 과정'!$D$32)-'계산 과정'!$E$39*'계산 과정'!$E$32)/J1319,"")</x:f>
        <x:v>-0.17525263547324366</x:v>
      </x:c>
      <x:c r="M1319" s="17" t="n">
        <x:f>IF('계산 과정'!$L$6,IF(J1319&lt;=0,0,IF(AND(ABS(K1319)&lt;='계산 과정'!$D$11/2,ABS(L1319)&lt;='계산 과정'!$D$12/2),1,0)),"")</x:f>
        <x:v>1</x:v>
      </x:c>
      <x:c r="N1319" s="17" t="n">
        <x:f>IF('계산 과정'!$C$78,IF(AND(ISNUMBER(H1319),ISNUMBER(I1319),ABS(H1319-'계산 과정'!$C$88)&lt;='계산 과정'!$D$23/2,ABS(I1319-'계산 과정'!$C$89)&lt;='계산 과정'!$D$24/2),1,0),"")</x:f>
        <x:v>1</x:v>
      </x:c>
      <x:c r="O1319" s="4" t="n">
        <x:f>IF('계산 과정'!$L$7,'계산 과정'!$C$49*('계산 과정'!$C$32-D1319)+'계산 과정'!$D$49*('계산 과정'!$D$32-E1319)+'계산 과정'!$E$49*'계산 과정'!$E$32,"")</x:f>
        <x:v>-84.1779915916814</x:v>
      </x:c>
      <x:c r="P1319" s="4" t="n">
        <x:f>IF(AND('계산 과정'!$L$7,O1319&lt;&gt;0),('계산 과정'!$L$23-'계산 과정'!$C$49*D1319-'계산 과정'!$D$49*E1319)/O1319,"")</x:f>
        <x:v>-3.75183587107023</x:v>
      </x:c>
      <x:c r="Q1319" s="4" t="str">
        <x:f>IF(AND(ISNUMBER(P1319),P1319&gt;1E-9,P1319&lt;1-1E-9),'계산 과정'!$C$47*(D1319-'계산 과정'!$C$50+P1319*('계산 과정'!$C$32-D1319))+'계산 과정'!$D$47*(E1319-'계산 과정'!$D$50+P1319*('계산 과정'!$D$32-E1319))+'계산 과정'!$E$47*(0-'계산 과정'!$E$50+P1319*('계산 과정'!$E$32-0)),"")</x:f>
      </x:c>
      <x:c r="R1319" s="4" t="str">
        <x:f>IF(AND(ISNUMBER(P1319),P1319&gt;1E-9,P1319&lt;1-1E-9),'계산 과정'!$C$48*(D1319-'계산 과정'!$C$50+P1319*('계산 과정'!$C$32-D1319))+'계산 과정'!$D$48*(E1319-'계산 과정'!$D$50+P1319*('계산 과정'!$D$32-E1319))+'계산 과정'!$E$48*(0-'계산 과정'!$E$50+P1319*('계산 과정'!$E$32-0)),"")</x:f>
      </x:c>
      <x:c r="S1319" s="17" t="n">
        <x:f>IF('계산 과정'!$C$78,IF(AND(ISNUMBER(Q1319),ISNUMBER(R1319),ABS(Q1319-'계산 과정'!$C$88)&lt;='계산 과정'!$D$23/2,ABS(R1319-'계산 과정'!$C$89)&lt;='계산 과정'!$D$24/2),1,0),"")</x:f>
        <x:v>0</x:v>
      </x:c>
      <x:c r="T1319" s="4"/>
      <x:c r="U1319" s="4"/>
      <x:c r="V1319" s="4"/>
      <x:c r="W1319" s="4"/>
      <x:c r="X1319" s="4"/>
      <x:c r="Y1319" s="4"/>
      <x:c r="Z1319" s="4"/>
    </x:row>
    <x:row r="1320" ht="23" customHeight="1">
      <x:c r="A1320" s="17" t="n">
        <x:f>ROW()-6</x:f>
        <x:v>1314</x:v>
      </x:c>
      <x:c r="B1320" s="4" t="n">
        <x:f>IF('계산 과정'!$L$5,'계산 과정'!$L$11*SQRT((A1320+0.5)/'계산 과정'!$L$30),"")</x:f>
        <x:v>120.17291009338378</x:v>
      </x:c>
      <x:c r="C1320" s="4" t="n">
        <x:f>A1320*PI()*(3-SQRT(5))</x:f>
        <x:v>3153.5516838634503</x:v>
      </x:c>
      <x:c r="D1320" s="4" t="n">
        <x:f>IF('계산 과정'!$L$5,B1320*COS(C1320),"")</x:f>
        <x:v>98.68223828228066</x:v>
      </x:c>
      <x:c r="E1320" s="4" t="n">
        <x:f>IF('계산 과정'!$L$5,B1320*SIN(C1320),"")</x:f>
        <x:v>-68.58093151825572</x:v>
      </x:c>
      <x:c r="F1320" s="4" t="n">
        <x:f>IF('계산 과정'!$L$7,'계산 과정'!$L$22+'계산 과정'!$C$49*D1320+'계산 과정'!$D$49*E1320,"")</x:f>
        <x:v>580.2211201279326</x:v>
      </x:c>
      <x:c r="G1320" s="4" t="n">
        <x:f>IF('계산 과정'!$L$7,IF(ABS(F1320)&gt;=1E-12*MAX(1,SQRT((D1320-'계산 과정'!$C$33)^2+(E1320-'계산 과정'!$D$33)^2+'계산 과정'!$E$33^2)),('계산 과정'!$L$23-'계산 과정'!$C$49*D1320-'계산 과정'!$D$49*E1320)/F1320,""),"")</x:f>
        <x:v>0.8096549118523746</x:v>
      </x:c>
      <x:c r="H1320" s="4" t="n">
        <x:f>IF(AND(ISNUMBER(G1320),G1320&gt;0),('계산 과정'!$D$56+'계산 과정'!$D$57*D1320+'계산 과정'!$D$58*E1320)/F1320,"")</x:f>
        <x:v>126.27569270404344</x:v>
      </x:c>
      <x:c r="I1320" s="4" t="n">
        <x:f>IF(AND(ISNUMBER(G1320),G1320&gt;0),('계산 과정'!$E$56+'계산 과정'!$E$57*D1320+'계산 과정'!$E$58*E1320)/F1320,"")</x:f>
        <x:v>-124.10781958142282</x:v>
      </x:c>
      <x:c r="J1320" s="4" t="n">
        <x:f>IF('계산 과정'!$L$5,'계산 과정'!$D$6+'계산 과정'!$C$35*D1320+'계산 과정'!$D$35*E1320,"")</x:f>
        <x:v>580.2211201279326</x:v>
      </x:c>
      <x:c r="K1320" s="4" t="n">
        <x:f>IF(AND('계산 과정'!$L$6,J1320&gt;0),'계산 과정'!$D$10*('계산 과정'!$C$38*(D1320-'계산 과정'!$C$32)+'계산 과정'!$D$38*(E1320-'계산 과정'!$D$32)-'계산 과정'!$E$38*'계산 과정'!$E$32)/J1320,"")</x:f>
        <x:v>0.9621005158403314</x:v>
      </x:c>
      <x:c r="L1320" s="4" t="n">
        <x:f>IF(AND('계산 과정'!$L$6,J1320&gt;0),'계산 과정'!$D$10*('계산 과정'!$C$39*(D1320-'계산 과정'!$C$32)+'계산 과정'!$D$39*(E1320-'계산 과정'!$D$32)-'계산 과정'!$E$39*'계산 과정'!$E$32)/J1320,"")</x:f>
        <x:v>-0.9455833872870308</x:v>
      </x:c>
      <x:c r="M1320" s="17" t="n">
        <x:f>IF('계산 과정'!$L$6,IF(J1320&lt;=0,0,IF(AND(ABS(K1320)&lt;='계산 과정'!$D$11/2,ABS(L1320)&lt;='계산 과정'!$D$12/2),1,0)),"")</x:f>
        <x:v>1</x:v>
      </x:c>
      <x:c r="N1320" s="17" t="n">
        <x:f>IF('계산 과정'!$C$78,IF(AND(ISNUMBER(H1320),ISNUMBER(I1320),ABS(H1320-'계산 과정'!$C$88)&lt;='계산 과정'!$D$23/2,ABS(I1320-'계산 과정'!$C$89)&lt;='계산 과정'!$D$24/2),1,0),"")</x:f>
        <x:v>1</x:v>
      </x:c>
      <x:c r="O1320" s="4" t="n">
        <x:f>IF('계산 과정'!$L$7,'계산 과정'!$C$49*('계산 과정'!$C$32-D1320)+'계산 과정'!$D$49*('계산 과정'!$D$32-E1320)+'계산 과정'!$E$49*'계산 과정'!$E$32,"")</x:f>
        <x:v>69.77887987206748</x:v>
      </x:c>
      <x:c r="P1320" s="4" t="n">
        <x:f>IF(AND('계산 과정'!$L$7,O1320&lt;&gt;0),('계산 과정'!$L$23-'계산 과정'!$C$49*D1320-'계산 과정'!$D$49*E1320)/O1320,"")</x:f>
        <x:v>6.732393537032401</x:v>
      </x:c>
      <x:c r="Q1320" s="4" t="str">
        <x:f>IF(AND(ISNUMBER(P1320),P1320&gt;1E-9,P1320&lt;1-1E-9),'계산 과정'!$C$47*(D1320-'계산 과정'!$C$50+P1320*('계산 과정'!$C$32-D1320))+'계산 과정'!$D$47*(E1320-'계산 과정'!$D$50+P1320*('계산 과정'!$D$32-E1320))+'계산 과정'!$E$47*(0-'계산 과정'!$E$50+P1320*('계산 과정'!$E$32-0)),"")</x:f>
      </x:c>
      <x:c r="R1320" s="4" t="str">
        <x:f>IF(AND(ISNUMBER(P1320),P1320&gt;1E-9,P1320&lt;1-1E-9),'계산 과정'!$C$48*(D1320-'계산 과정'!$C$50+P1320*('계산 과정'!$C$32-D1320))+'계산 과정'!$D$48*(E1320-'계산 과정'!$D$50+P1320*('계산 과정'!$D$32-E1320))+'계산 과정'!$E$48*(0-'계산 과정'!$E$50+P1320*('계산 과정'!$E$32-0)),"")</x:f>
      </x:c>
      <x:c r="S1320" s="17" t="n">
        <x:f>IF('계산 과정'!$C$78,IF(AND(ISNUMBER(Q1320),ISNUMBER(R1320),ABS(Q1320-'계산 과정'!$C$88)&lt;='계산 과정'!$D$23/2,ABS(R1320-'계산 과정'!$C$89)&lt;='계산 과정'!$D$24/2),1,0),"")</x:f>
        <x:v>0</x:v>
      </x:c>
      <x:c r="T1320" s="4"/>
      <x:c r="U1320" s="4"/>
      <x:c r="V1320" s="4"/>
      <x:c r="W1320" s="4"/>
      <x:c r="X1320" s="4"/>
      <x:c r="Y1320" s="4"/>
      <x:c r="Z1320" s="4"/>
    </x:row>
    <x:row r="1321" ht="23" customHeight="1">
      <x:c r="A1321" s="17" t="n">
        <x:f>ROW()-6</x:f>
        <x:v>1315</x:v>
      </x:c>
      <x:c r="B1321" s="4" t="n">
        <x:f>IF('계산 과정'!$L$5,'계산 과정'!$L$11*SQRT((A1321+0.5)/'계산 과정'!$L$30),"")</x:f>
        <x:v>120.2186119053015</x:v>
      </x:c>
      <x:c r="C1321" s="4" t="n">
        <x:f>A1321*PI()*(3-SQRT(5))</x:f>
        <x:v>3155.9516470931785</x:v>
      </x:c>
      <x:c r="D1321" s="4" t="n">
        <x:f>IF('계산 과정'!$L$5,B1321*COS(C1321),"")</x:f>
        <x:v>-26.449512654109913</x:v>
      </x:c>
      <x:c r="E1321" s="4" t="n">
        <x:f>IF('계산 과정'!$L$5,B1321*SIN(C1321),"")</x:f>
        <x:v>117.27292069696901</x:v>
      </x:c>
      <x:c r="F1321" s="4" t="n">
        <x:f>IF('계산 과정'!$L$7,'계산 과정'!$L$22+'계산 과정'!$C$49*D1321+'계산 과정'!$D$49*E1321,"")</x:f>
        <x:v>668.7026297568005</x:v>
      </x:c>
      <x:c r="G1321" s="4" t="n">
        <x:f>IF('계산 과정'!$L$7,IF(ABS(F1321)&gt;=1E-12*MAX(1,SQRT((D1321-'계산 과정'!$C$33)^2+(E1321-'계산 과정'!$D$33)^2+'계산 과정'!$E$33^2)),('계산 과정'!$L$23-'계산 과정'!$C$49*D1321-'계산 과정'!$D$49*E1321)/F1321,""),"")</x:f>
        <x:v>0.5702046818357406</x:v>
      </x:c>
      <x:c r="H1321" s="4" t="n">
        <x:f>IF(AND(ISNUMBER(G1321),G1321&gt;0),('계산 과정'!$D$56+'계산 과정'!$D$57*D1321+'계산 과정'!$D$58*E1321)/F1321,"")</x:f>
        <x:v>-29.36695680676873</x:v>
      </x:c>
      <x:c r="I1321" s="4" t="n">
        <x:f>IF(AND(ISNUMBER(G1321),G1321&gt;0),('계산 과정'!$E$56+'계산 과정'!$E$57*D1321+'계산 과정'!$E$58*E1321)/F1321,"")</x:f>
        <x:v>184.14248913093226</x:v>
      </x:c>
      <x:c r="J1321" s="4" t="n">
        <x:f>IF('계산 과정'!$L$5,'계산 과정'!$D$6+'계산 과정'!$C$35*D1321+'계산 과정'!$D$35*E1321,"")</x:f>
        <x:v>668.7026297568005</x:v>
      </x:c>
      <x:c r="K1321" s="4" t="n">
        <x:f>IF(AND('계산 과정'!$L$6,J1321&gt;0),'계산 과정'!$D$10*('계산 과정'!$C$38*(D1321-'계산 과정'!$C$32)+'계산 과정'!$D$38*(E1321-'계산 과정'!$D$32)-'계산 과정'!$E$38*'계산 과정'!$E$32)/J1321,"")</x:f>
        <x:v>-0.223748242337285</x:v>
      </x:c>
      <x:c r="L1321" s="4" t="n">
        <x:f>IF(AND('계산 과정'!$L$6,J1321&gt;0),'계산 과정'!$D$10*('계산 과정'!$C$39*(D1321-'계산 과정'!$C$32)+'계산 과정'!$D$39*(E1321-'계산 과정'!$D$32)-'계산 과정'!$E$39*'계산 과정'!$E$32)/J1321,"")</x:f>
        <x:v>1.4029903933785315</x:v>
      </x:c>
      <x:c r="M1321" s="17" t="n">
        <x:f>IF('계산 과정'!$L$6,IF(J1321&lt;=0,0,IF(AND(ABS(K1321)&lt;='계산 과정'!$D$11/2,ABS(L1321)&lt;='계산 과정'!$D$12/2),1,0)),"")</x:f>
        <x:v>1</x:v>
      </x:c>
      <x:c r="N1321" s="17" t="n">
        <x:f>IF('계산 과정'!$C$78,IF(AND(ISNUMBER(H1321),ISNUMBER(I1321),ABS(H1321-'계산 과정'!$C$88)&lt;='계산 과정'!$D$23/2,ABS(I1321-'계산 과정'!$C$89)&lt;='계산 과정'!$D$24/2),1,0),"")</x:f>
        <x:v>1</x:v>
      </x:c>
      <x:c r="O1321" s="4" t="n">
        <x:f>IF('계산 과정'!$L$7,'계산 과정'!$C$49*('계산 과정'!$C$32-D1321)+'계산 과정'!$D$49*('계산 과정'!$D$32-E1321)+'계산 과정'!$E$49*'계산 과정'!$E$32,"")</x:f>
        <x:v>-18.702629756800434</x:v>
      </x:c>
      <x:c r="P1321" s="4" t="n">
        <x:f>IF(AND('계산 과정'!$L$7,O1321&lt;&gt;0),('계산 과정'!$L$23-'계산 과정'!$C$49*D1321-'계산 과정'!$D$49*E1321)/O1321,"")</x:f>
        <x:v>-20.38736665385554</x:v>
      </x:c>
      <x:c r="Q1321" s="4" t="str">
        <x:f>IF(AND(ISNUMBER(P1321),P1321&gt;1E-9,P1321&lt;1-1E-9),'계산 과정'!$C$47*(D1321-'계산 과정'!$C$50+P1321*('계산 과정'!$C$32-D1321))+'계산 과정'!$D$47*(E1321-'계산 과정'!$D$50+P1321*('계산 과정'!$D$32-E1321))+'계산 과정'!$E$47*(0-'계산 과정'!$E$50+P1321*('계산 과정'!$E$32-0)),"")</x:f>
      </x:c>
      <x:c r="R1321" s="4" t="str">
        <x:f>IF(AND(ISNUMBER(P1321),P1321&gt;1E-9,P1321&lt;1-1E-9),'계산 과정'!$C$48*(D1321-'계산 과정'!$C$50+P1321*('계산 과정'!$C$32-D1321))+'계산 과정'!$D$48*(E1321-'계산 과정'!$D$50+P1321*('계산 과정'!$D$32-E1321))+'계산 과정'!$E$48*(0-'계산 과정'!$E$50+P1321*('계산 과정'!$E$32-0)),"")</x:f>
      </x:c>
      <x:c r="S1321" s="17" t="n">
        <x:f>IF('계산 과정'!$C$78,IF(AND(ISNUMBER(Q1321),ISNUMBER(R1321),ABS(Q1321-'계산 과정'!$C$88)&lt;='계산 과정'!$D$23/2,ABS(R1321-'계산 과정'!$C$89)&lt;='계산 과정'!$D$24/2),1,0),"")</x:f>
        <x:v>0</x:v>
      </x:c>
      <x:c r="T1321" s="4"/>
      <x:c r="U1321" s="4"/>
      <x:c r="V1321" s="4"/>
      <x:c r="W1321" s="4"/>
      <x:c r="X1321" s="4"/>
      <x:c r="Y1321" s="4"/>
      <x:c r="Z1321" s="4"/>
    </x:row>
    <x:row r="1322" ht="23" customHeight="1">
      <x:c r="A1322" s="17" t="n">
        <x:f>ROW()-6</x:f>
        <x:v>1316</x:v>
      </x:c>
      <x:c r="B1322" s="4" t="n">
        <x:f>IF('계산 과정'!$L$5,'계산 과정'!$L$11*SQRT((A1322+0.5)/'계산 과정'!$L$30),"")</x:f>
        <x:v>120.26429635000781</x:v>
      </x:c>
      <x:c r="C1322" s="4" t="n">
        <x:f>A1322*PI()*(3-SQRT(5))</x:f>
        <x:v>3158.351610322907</x:v>
      </x:c>
      <x:c r="D1322" s="4" t="n">
        <x:f>IF('계산 과정'!$L$5,B1322*COS(C1322),"")</x:f>
        <x:v>-59.73636411605055</x:v>
      </x:c>
      <x:c r="E1322" s="4" t="n">
        <x:f>IF('계산 과정'!$L$5,B1322*SIN(C1322),"")</x:f>
        <x:v>-104.37944136062968</x:v>
      </x:c>
      <x:c r="F1322" s="4" t="n">
        <x:f>IF('계산 과정'!$L$7,'계산 과정'!$L$22+'계산 과정'!$C$49*D1322+'계산 과정'!$D$49*E1322,"")</x:f>
        <x:v>692.2399881498881</x:v>
      </x:c>
      <x:c r="G1322" s="4" t="n">
        <x:f>IF('계산 과정'!$L$7,IF(ABS(F1322)&gt;=1E-12*MAX(1,SQRT((D1322-'계산 과정'!$C$33)^2+(E1322-'계산 과정'!$D$33)^2+'계산 과정'!$E$33^2)),('계산 과정'!$L$23-'계산 과정'!$C$49*D1322-'계산 과정'!$D$49*E1322)/F1322,""),"")</x:f>
        <x:v>0.5168150034300641</x:v>
      </x:c>
      <x:c r="H1322" s="4" t="n">
        <x:f>IF(AND(ISNUMBER(G1322),G1322&gt;0),('계산 과정'!$D$56+'계산 과정'!$D$57*D1322+'계산 과정'!$D$58*E1322)/F1322,"")</x:f>
        <x:v>-64.0702477704585</x:v>
      </x:c>
      <x:c r="I1322" s="4" t="n">
        <x:f>IF(AND(ISNUMBER(G1322),G1322&gt;0),('계산 과정'!$E$56+'계산 과정'!$E$57*D1322+'계산 과정'!$E$58*E1322)/F1322,"")</x:f>
        <x:v>-158.3243027054517</x:v>
      </x:c>
      <x:c r="J1322" s="4" t="n">
        <x:f>IF('계산 과정'!$L$5,'계산 과정'!$D$6+'계산 과정'!$C$35*D1322+'계산 과정'!$D$35*E1322,"")</x:f>
        <x:v>692.2399881498881</x:v>
      </x:c>
      <x:c r="K1322" s="4" t="n">
        <x:f>IF(AND('계산 과정'!$L$6,J1322&gt;0),'계산 과정'!$D$10*('계산 과정'!$C$38*(D1322-'계산 과정'!$C$32)+'계산 과정'!$D$38*(E1322-'계산 과정'!$D$32)-'계산 과정'!$E$38*'계산 과정'!$E$32)/J1322,"")</x:f>
        <x:v>-0.4881542687273022</x:v>
      </x:c>
      <x:c r="L1322" s="4" t="n">
        <x:f>IF(AND('계산 과정'!$L$6,J1322&gt;0),'계산 과정'!$D$10*('계산 과정'!$C$39*(D1322-'계산 과정'!$C$32)+'계산 과정'!$D$39*(E1322-'계산 과정'!$D$32)-'계산 과정'!$E$39*'계산 과정'!$E$32)/J1322,"")</x:f>
        <x:v>-1.206280401565346</x:v>
      </x:c>
      <x:c r="M1322" s="17" t="n">
        <x:f>IF('계산 과정'!$L$6,IF(J1322&lt;=0,0,IF(AND(ABS(K1322)&lt;='계산 과정'!$D$11/2,ABS(L1322)&lt;='계산 과정'!$D$12/2),1,0)),"")</x:f>
        <x:v>1</x:v>
      </x:c>
      <x:c r="N1322" s="17" t="n">
        <x:f>IF('계산 과정'!$C$78,IF(AND(ISNUMBER(H1322),ISNUMBER(I1322),ABS(H1322-'계산 과정'!$C$88)&lt;='계산 과정'!$D$23/2,ABS(I1322-'계산 과정'!$C$89)&lt;='계산 과정'!$D$24/2),1,0),"")</x:f>
        <x:v>1</x:v>
      </x:c>
      <x:c r="O1322" s="4" t="n">
        <x:f>IF('계산 과정'!$L$7,'계산 과정'!$C$49*('계산 과정'!$C$32-D1322)+'계산 과정'!$D$49*('계산 과정'!$D$32-E1322)+'계산 과정'!$E$49*'계산 과정'!$E$32,"")</x:f>
        <x:v>-42.239988149888006</x:v>
      </x:c>
      <x:c r="P1322" s="4" t="n">
        <x:f>IF(AND('계산 과정'!$L$7,O1322&lt;&gt;0),('계산 과정'!$L$23-'계산 과정'!$C$49*D1322-'계산 과정'!$D$49*E1322)/O1322,"")</x:f>
        <x:v>-8.469699626349456</x:v>
      </x:c>
      <x:c r="Q1322" s="4" t="str">
        <x:f>IF(AND(ISNUMBER(P1322),P1322&gt;1E-9,P1322&lt;1-1E-9),'계산 과정'!$C$47*(D1322-'계산 과정'!$C$50+P1322*('계산 과정'!$C$32-D1322))+'계산 과정'!$D$47*(E1322-'계산 과정'!$D$50+P1322*('계산 과정'!$D$32-E1322))+'계산 과정'!$E$47*(0-'계산 과정'!$E$50+P1322*('계산 과정'!$E$32-0)),"")</x:f>
      </x:c>
      <x:c r="R1322" s="4" t="str">
        <x:f>IF(AND(ISNUMBER(P1322),P1322&gt;1E-9,P1322&lt;1-1E-9),'계산 과정'!$C$48*(D1322-'계산 과정'!$C$50+P1322*('계산 과정'!$C$32-D1322))+'계산 과정'!$D$48*(E1322-'계산 과정'!$D$50+P1322*('계산 과정'!$D$32-E1322))+'계산 과정'!$E$48*(0-'계산 과정'!$E$50+P1322*('계산 과정'!$E$32-0)),"")</x:f>
      </x:c>
      <x:c r="S1322" s="17" t="n">
        <x:f>IF('계산 과정'!$C$78,IF(AND(ISNUMBER(Q1322),ISNUMBER(R1322),ABS(Q1322-'계산 과정'!$C$88)&lt;='계산 과정'!$D$23/2,ABS(R1322-'계산 과정'!$C$89)&lt;='계산 과정'!$D$24/2),1,0),"")</x:f>
        <x:v>0</x:v>
      </x:c>
      <x:c r="T1322" s="4"/>
      <x:c r="U1322" s="4"/>
      <x:c r="V1322" s="4"/>
      <x:c r="W1322" s="4"/>
      <x:c r="X1322" s="4"/>
      <x:c r="Y1322" s="4"/>
      <x:c r="Z1322" s="4"/>
    </x:row>
    <x:row r="1323" ht="23" customHeight="1">
      <x:c r="A1323" s="17" t="n">
        <x:f>ROW()-6</x:f>
        <x:v>1317</x:v>
      </x:c>
      <x:c r="B1323" s="4" t="n">
        <x:f>IF('계산 과정'!$L$5,'계산 과정'!$L$11*SQRT((A1323+0.5)/'계산 과정'!$L$30),"")</x:f>
        <x:v>120.30996344728686</x:v>
      </x:c>
      <x:c r="C1323" s="4" t="n">
        <x:f>A1323*PI()*(3-SQRT(5))</x:f>
        <x:v>3160.7515735526363</x:v>
      </x:c>
      <x:c r="D1323" s="4" t="n">
        <x:f>IF('계산 과정'!$L$5,B1323*COS(C1323),"")</x:f>
        <x:v>114.59853450887265</x:v>
      </x:c>
      <x:c r="E1323" s="4" t="n">
        <x:f>IF('계산 과정'!$L$5,B1323*SIN(C1323),"")</x:f>
        <x:v>36.62872087728738</x:v>
      </x:c>
      <x:c r="F1323" s="4" t="n">
        <x:f>IF('계산 과정'!$L$7,'계산 과정'!$L$22+'계산 과정'!$C$49*D1323+'계산 과정'!$D$49*E1323,"")</x:f>
        <x:v>568.9665991347356</x:v>
      </x:c>
      <x:c r="G1323" s="4" t="n">
        <x:f>IF('계산 과정'!$L$7,IF(ABS(F1323)&gt;=1E-12*MAX(1,SQRT((D1323-'계산 과정'!$C$33)^2+(E1323-'계산 과정'!$D$33)^2+'계산 과정'!$E$33^2)),('계산 과정'!$L$23-'계산 과정'!$C$49*D1323-'계산 과정'!$D$49*E1323)/F1323,""),"")</x:f>
        <x:v>0.8454510363118031</x:v>
      </x:c>
      <x:c r="H1323" s="4" t="n">
        <x:f>IF(AND(ISNUMBER(G1323),G1323&gt;0),('계산 과정'!$D$56+'계산 과정'!$D$57*D1323+'계산 과정'!$D$58*E1323)/F1323,"")</x:f>
        <x:v>149.5431736026719</x:v>
      </x:c>
      <x:c r="I1323" s="4" t="n">
        <x:f>IF(AND(ISNUMBER(G1323),G1323&gt;0),('계산 과정'!$E$56+'계산 과정'!$E$57*D1323+'계산 과정'!$E$58*E1323)/F1323,"")</x:f>
        <x:v>67.59651090176577</x:v>
      </x:c>
      <x:c r="J1323" s="4" t="n">
        <x:f>IF('계산 과정'!$L$5,'계산 과정'!$D$6+'계산 과정'!$C$35*D1323+'계산 과정'!$D$35*E1323,"")</x:f>
        <x:v>568.9665991347356</x:v>
      </x:c>
      <x:c r="K1323" s="4" t="n">
        <x:f>IF(AND('계산 과정'!$L$6,J1323&gt;0),'계산 과정'!$D$10*('계산 과정'!$C$38*(D1323-'계산 과정'!$C$32)+'계산 과정'!$D$38*(E1323-'계산 과정'!$D$32)-'계산 과정'!$E$38*'계산 과정'!$E$32)/J1323,"")</x:f>
        <x:v>1.139376560782263</x:v>
      </x:c>
      <x:c r="L1323" s="4" t="n">
        <x:f>IF(AND('계산 과정'!$L$6,J1323&gt;0),'계산 과정'!$D$10*('계산 과정'!$C$39*(D1323-'계산 과정'!$C$32)+'계산 과정'!$D$39*(E1323-'계산 과정'!$D$32)-'계산 과정'!$E$39*'계산 과정'!$E$32)/J1323,"")</x:f>
        <x:v>0.5150210354420249</x:v>
      </x:c>
      <x:c r="M1323" s="17" t="n">
        <x:f>IF('계산 과정'!$L$6,IF(J1323&lt;=0,0,IF(AND(ABS(K1323)&lt;='계산 과정'!$D$11/2,ABS(L1323)&lt;='계산 과정'!$D$12/2),1,0)),"")</x:f>
        <x:v>1</x:v>
      </x:c>
      <x:c r="N1323" s="17" t="n">
        <x:f>IF('계산 과정'!$C$78,IF(AND(ISNUMBER(H1323),ISNUMBER(I1323),ABS(H1323-'계산 과정'!$C$88)&lt;='계산 과정'!$D$23/2,ABS(I1323-'계산 과정'!$C$89)&lt;='계산 과정'!$D$24/2),1,0),"")</x:f>
        <x:v>1</x:v>
      </x:c>
      <x:c r="O1323" s="4" t="n">
        <x:f>IF('계산 과정'!$L$7,'계산 과정'!$C$49*('계산 과정'!$C$32-D1323)+'계산 과정'!$D$49*('계산 과정'!$D$32-E1323)+'계산 과정'!$E$49*'계산 과정'!$E$32,"")</x:f>
        <x:v>81.03340086526455</x:v>
      </x:c>
      <x:c r="P1323" s="4" t="n">
        <x:f>IF(AND('계산 과정'!$L$7,O1323&lt;&gt;0),('계산 과정'!$L$23-'계산 과정'!$C$49*D1323-'계산 과정'!$D$49*E1323)/O1323,"")</x:f>
        <x:v>5.936236116574767</x:v>
      </x:c>
      <x:c r="Q1323" s="4" t="str">
        <x:f>IF(AND(ISNUMBER(P1323),P1323&gt;1E-9,P1323&lt;1-1E-9),'계산 과정'!$C$47*(D1323-'계산 과정'!$C$50+P1323*('계산 과정'!$C$32-D1323))+'계산 과정'!$D$47*(E1323-'계산 과정'!$D$50+P1323*('계산 과정'!$D$32-E1323))+'계산 과정'!$E$47*(0-'계산 과정'!$E$50+P1323*('계산 과정'!$E$32-0)),"")</x:f>
      </x:c>
      <x:c r="R1323" s="4" t="str">
        <x:f>IF(AND(ISNUMBER(P1323),P1323&gt;1E-9,P1323&lt;1-1E-9),'계산 과정'!$C$48*(D1323-'계산 과정'!$C$50+P1323*('계산 과정'!$C$32-D1323))+'계산 과정'!$D$48*(E1323-'계산 과정'!$D$50+P1323*('계산 과정'!$D$32-E1323))+'계산 과정'!$E$48*(0-'계산 과정'!$E$50+P1323*('계산 과정'!$E$32-0)),"")</x:f>
      </x:c>
      <x:c r="S1323" s="17" t="n">
        <x:f>IF('계산 과정'!$C$78,IF(AND(ISNUMBER(Q1323),ISNUMBER(R1323),ABS(Q1323-'계산 과정'!$C$88)&lt;='계산 과정'!$D$23/2,ABS(R1323-'계산 과정'!$C$89)&lt;='계산 과정'!$D$24/2),1,0),"")</x:f>
        <x:v>0</x:v>
      </x:c>
      <x:c r="T1323" s="4"/>
      <x:c r="U1323" s="4"/>
      <x:c r="V1323" s="4"/>
      <x:c r="W1323" s="4"/>
      <x:c r="X1323" s="4"/>
      <x:c r="Y1323" s="4"/>
      <x:c r="Z1323" s="4"/>
    </x:row>
    <x:row r="1324" ht="23" customHeight="1">
      <x:c r="A1324" s="17" t="n">
        <x:f>ROW()-6</x:f>
        <x:v>1318</x:v>
      </x:c>
      <x:c r="B1324" s="4" t="n">
        <x:f>IF('계산 과정'!$L$5,'계산 과정'!$L$11*SQRT((A1324+0.5)/'계산 과정'!$L$30),"")</x:f>
        <x:v>120.35561321688532</x:v>
      </x:c>
      <x:c r="C1324" s="4" t="n">
        <x:f>A1324*PI()*(3-SQRT(5))</x:f>
        <x:v>3163.1515367823645</x:v>
      </x:c>
      <x:c r="D1324" s="4" t="n">
        <x:f>IF('계산 과정'!$L$5,B1324*COS(C1324),"")</x:f>
        <x:v>-109.2851891242787</x:v>
      </x:c>
      <x:c r="E1324" s="4" t="n">
        <x:f>IF('계산 과정'!$L$5,B1324*SIN(C1324),"")</x:f>
        <x:v>50.42044298578837</x:v>
      </x:c>
      <x:c r="F1324" s="4" t="n">
        <x:f>IF('계산 과정'!$L$7,'계산 과정'!$L$22+'계산 과정'!$C$49*D1324+'계산 과정'!$D$49*E1324,"")</x:f>
        <x:v>727.2762983130318</x:v>
      </x:c>
      <x:c r="G1324" s="4" t="n">
        <x:f>IF('계산 과정'!$L$7,IF(ABS(F1324)&gt;=1E-12*MAX(1,SQRT((D1324-'계산 과정'!$C$33)^2+(E1324-'계산 과정'!$D$33)^2+'계산 과정'!$E$33^2)),('계산 과정'!$L$23-'계산 과정'!$C$49*D1324-'계산 과정'!$D$49*E1324)/F1324,""),"")</x:f>
        <x:v>0.4437429109618289</x:v>
      </x:c>
      <x:c r="H1324" s="4" t="n">
        <x:f>IF(AND(ISNUMBER(G1324),G1324&gt;0),('계산 과정'!$D$56+'계산 과정'!$D$57*D1324+'계산 과정'!$D$58*E1324)/F1324,"")</x:f>
        <x:v>-111.56710787481134</x:v>
      </x:c>
      <x:c r="I1324" s="4" t="n">
        <x:f>IF(AND(ISNUMBER(G1324),G1324&gt;0),('계산 과정'!$E$56+'계산 과정'!$E$57*D1324+'계산 과정'!$E$58*E1324)/F1324,"")</x:f>
        <x:v>72.79415712828703</x:v>
      </x:c>
      <x:c r="J1324" s="4" t="n">
        <x:f>IF('계산 과정'!$L$5,'계산 과정'!$D$6+'계산 과정'!$C$35*D1324+'계산 과정'!$D$35*E1324,"")</x:f>
        <x:v>727.2762983130318</x:v>
      </x:c>
      <x:c r="K1324" s="4" t="n">
        <x:f>IF(AND('계산 과정'!$L$6,J1324&gt;0),'계산 과정'!$D$10*('계산 과정'!$C$38*(D1324-'계산 과정'!$C$32)+'계산 과정'!$D$38*(E1324-'계산 과정'!$D$32)-'계산 과정'!$E$38*'계산 과정'!$E$32)/J1324,"")</x:f>
        <x:v>-0.8500351076176087</x:v>
      </x:c>
      <x:c r="L1324" s="4" t="n">
        <x:f>IF(AND('계산 과정'!$L$6,J1324&gt;0),'계산 과정'!$D$10*('계산 과정'!$C$39*(D1324-'계산 과정'!$C$32)+'계산 과정'!$D$39*(E1324-'계산 과정'!$D$32)-'계산 과정'!$E$39*'계산 과정'!$E$32)/J1324,"")</x:f>
        <x:v>0.5546221495488536</x:v>
      </x:c>
      <x:c r="M1324" s="17" t="n">
        <x:f>IF('계산 과정'!$L$6,IF(J1324&lt;=0,0,IF(AND(ABS(K1324)&lt;='계산 과정'!$D$11/2,ABS(L1324)&lt;='계산 과정'!$D$12/2),1,0)),"")</x:f>
        <x:v>1</x:v>
      </x:c>
      <x:c r="N1324" s="17" t="n">
        <x:f>IF('계산 과정'!$C$78,IF(AND(ISNUMBER(H1324),ISNUMBER(I1324),ABS(H1324-'계산 과정'!$C$88)&lt;='계산 과정'!$D$23/2,ABS(I1324-'계산 과정'!$C$89)&lt;='계산 과정'!$D$24/2),1,0),"")</x:f>
        <x:v>1</x:v>
      </x:c>
      <x:c r="O1324" s="4" t="n">
        <x:f>IF('계산 과정'!$L$7,'계산 과정'!$C$49*('계산 과정'!$C$32-D1324)+'계산 과정'!$D$49*('계산 과정'!$D$32-E1324)+'계산 과정'!$E$49*'계산 과정'!$E$32,"")</x:f>
        <x:v>-77.27629831303165</x:v>
      </x:c>
      <x:c r="P1324" s="4" t="n">
        <x:f>IF(AND('계산 과정'!$L$7,O1324&lt;&gt;0),('계산 과정'!$L$23-'계산 과정'!$C$49*D1324-'계산 과정'!$D$49*E1324)/O1324,"")</x:f>
        <x:v>-4.176231376659317</x:v>
      </x:c>
      <x:c r="Q1324" s="4" t="str">
        <x:f>IF(AND(ISNUMBER(P1324),P1324&gt;1E-9,P1324&lt;1-1E-9),'계산 과정'!$C$47*(D1324-'계산 과정'!$C$50+P1324*('계산 과정'!$C$32-D1324))+'계산 과정'!$D$47*(E1324-'계산 과정'!$D$50+P1324*('계산 과정'!$D$32-E1324))+'계산 과정'!$E$47*(0-'계산 과정'!$E$50+P1324*('계산 과정'!$E$32-0)),"")</x:f>
      </x:c>
      <x:c r="R1324" s="4" t="str">
        <x:f>IF(AND(ISNUMBER(P1324),P1324&gt;1E-9,P1324&lt;1-1E-9),'계산 과정'!$C$48*(D1324-'계산 과정'!$C$50+P1324*('계산 과정'!$C$32-D1324))+'계산 과정'!$D$48*(E1324-'계산 과정'!$D$50+P1324*('계산 과정'!$D$32-E1324))+'계산 과정'!$E$48*(0-'계산 과정'!$E$50+P1324*('계산 과정'!$E$32-0)),"")</x:f>
      </x:c>
      <x:c r="S1324" s="17" t="n">
        <x:f>IF('계산 과정'!$C$78,IF(AND(ISNUMBER(Q1324),ISNUMBER(R1324),ABS(Q1324-'계산 과정'!$C$88)&lt;='계산 과정'!$D$23/2,ABS(R1324-'계산 과정'!$C$89)&lt;='계산 과정'!$D$24/2),1,0),"")</x:f>
        <x:v>0</x:v>
      </x:c>
      <x:c r="T1324" s="4"/>
      <x:c r="U1324" s="4"/>
      <x:c r="V1324" s="4"/>
      <x:c r="W1324" s="4"/>
      <x:c r="X1324" s="4"/>
      <x:c r="Y1324" s="4"/>
      <x:c r="Z1324" s="4"/>
    </x:row>
    <x:row r="1325" ht="23" customHeight="1">
      <x:c r="A1325" s="17" t="n">
        <x:f>ROW()-6</x:f>
        <x:v>1319</x:v>
      </x:c>
      <x:c r="B1325" s="4" t="n">
        <x:f>IF('계산 과정'!$L$5,'계산 과정'!$L$11*SQRT((A1325+0.5)/'계산 과정'!$L$30),"")</x:f>
        <x:v>120.4012456785124</x:v>
      </x:c>
      <x:c r="C1325" s="4" t="n">
        <x:f>A1325*PI()*(3-SQRT(5))</x:f>
        <x:v>3165.551500012093</x:v>
      </x:c>
      <x:c r="D1325" s="4" t="n">
        <x:f>IF('계산 과정'!$L$5,B1325*COS(C1325),"")</x:f>
        <x:v>46.54261722838151</x:v>
      </x:c>
      <x:c r="E1325" s="4" t="n">
        <x:f>IF('계산 과정'!$L$5,B1325*SIN(C1325),"")</x:f>
        <x:v>-111.04163517559468</x:v>
      </x:c>
      <x:c r="F1325" s="4" t="n">
        <x:f>IF('계산 과정'!$L$7,'계산 과정'!$L$22+'계산 과정'!$C$49*D1325+'계산 과정'!$D$49*E1325,"")</x:f>
        <x:v>617.0893997436416</x:v>
      </x:c>
      <x:c r="G1325" s="4" t="n">
        <x:f>IF('계산 과정'!$L$7,IF(ABS(F1325)&gt;=1E-12*MAX(1,SQRT((D1325-'계산 과정'!$C$33)^2+(E1325-'계산 과정'!$D$33)^2+'계산 과정'!$E$33^2)),('계산 과정'!$L$23-'계산 과정'!$C$49*D1325-'계산 과정'!$D$49*E1325)/F1325,""),"")</x:f>
        <x:v>0.7015362772982378</x:v>
      </x:c>
      <x:c r="H1325" s="4" t="n">
        <x:f>IF(AND(ISNUMBER(G1325),G1325&gt;0),('계산 과정'!$D$56+'계산 과정'!$D$57*D1325+'계산 과정'!$D$58*E1325)/F1325,"")</x:f>
        <x:v>55.99858024385439</x:v>
      </x:c>
      <x:c r="I1325" s="4" t="n">
        <x:f>IF(AND(ISNUMBER(G1325),G1325&gt;0),('계산 과정'!$E$56+'계산 과정'!$E$57*D1325+'계산 과정'!$E$58*E1325)/F1325,"")</x:f>
        <x:v>-188.94137054179043</x:v>
      </x:c>
      <x:c r="J1325" s="4" t="n">
        <x:f>IF('계산 과정'!$L$5,'계산 과정'!$D$6+'계산 과정'!$C$35*D1325+'계산 과정'!$D$35*E1325,"")</x:f>
        <x:v>617.0893997436416</x:v>
      </x:c>
      <x:c r="K1325" s="4" t="n">
        <x:f>IF(AND('계산 과정'!$L$6,J1325&gt;0),'계산 과정'!$D$10*('계산 과정'!$C$38*(D1325-'계산 과정'!$C$32)+'계산 과정'!$D$38*(E1325-'계산 과정'!$D$32)-'계산 과정'!$E$38*'계산 과정'!$E$32)/J1325,"")</x:f>
        <x:v>0.42665584947698676</x:v>
      </x:c>
      <x:c r="L1325" s="4" t="n">
        <x:f>IF(AND('계산 과정'!$L$6,J1325&gt;0),'계산 과정'!$D$10*('계산 과정'!$C$39*(D1325-'계산 과정'!$C$32)+'계산 과정'!$D$39*(E1325-'계산 과정'!$D$32)-'계산 과정'!$E$39*'계산 과정'!$E$32)/J1325,"")</x:f>
        <x:v>-1.4395532993660223</x:v>
      </x:c>
      <x:c r="M1325" s="17" t="n">
        <x:f>IF('계산 과정'!$L$6,IF(J1325&lt;=0,0,IF(AND(ABS(K1325)&lt;='계산 과정'!$D$11/2,ABS(L1325)&lt;='계산 과정'!$D$12/2),1,0)),"")</x:f>
        <x:v>1</x:v>
      </x:c>
      <x:c r="N1325" s="17" t="n">
        <x:f>IF('계산 과정'!$C$78,IF(AND(ISNUMBER(H1325),ISNUMBER(I1325),ABS(H1325-'계산 과정'!$C$88)&lt;='계산 과정'!$D$23/2,ABS(I1325-'계산 과정'!$C$89)&lt;='계산 과정'!$D$24/2),1,0),"")</x:f>
        <x:v>1</x:v>
      </x:c>
      <x:c r="O1325" s="4" t="n">
        <x:f>IF('계산 과정'!$L$7,'계산 과정'!$C$49*('계산 과정'!$C$32-D1325)+'계산 과정'!$D$49*('계산 과정'!$D$32-E1325)+'계산 과정'!$E$49*'계산 과정'!$E$32,"")</x:f>
        <x:v>32.91060025635852</x:v>
      </x:c>
      <x:c r="P1325" s="4" t="n">
        <x:f>IF(AND('계산 과정'!$L$7,O1325&lt;&gt;0),('계산 과정'!$L$23-'계산 과정'!$C$49*D1325-'계산 과정'!$D$49*E1325)/O1325,"")</x:f>
        <x:v>13.154138693435637</x:v>
      </x:c>
      <x:c r="Q1325" s="4" t="str">
        <x:f>IF(AND(ISNUMBER(P1325),P1325&gt;1E-9,P1325&lt;1-1E-9),'계산 과정'!$C$47*(D1325-'계산 과정'!$C$50+P1325*('계산 과정'!$C$32-D1325))+'계산 과정'!$D$47*(E1325-'계산 과정'!$D$50+P1325*('계산 과정'!$D$32-E1325))+'계산 과정'!$E$47*(0-'계산 과정'!$E$50+P1325*('계산 과정'!$E$32-0)),"")</x:f>
      </x:c>
      <x:c r="R1325" s="4" t="str">
        <x:f>IF(AND(ISNUMBER(P1325),P1325&gt;1E-9,P1325&lt;1-1E-9),'계산 과정'!$C$48*(D1325-'계산 과정'!$C$50+P1325*('계산 과정'!$C$32-D1325))+'계산 과정'!$D$48*(E1325-'계산 과정'!$D$50+P1325*('계산 과정'!$D$32-E1325))+'계산 과정'!$E$48*(0-'계산 과정'!$E$50+P1325*('계산 과정'!$E$32-0)),"")</x:f>
      </x:c>
      <x:c r="S1325" s="17" t="n">
        <x:f>IF('계산 과정'!$C$78,IF(AND(ISNUMBER(Q1325),ISNUMBER(R1325),ABS(Q1325-'계산 과정'!$C$88)&lt;='계산 과정'!$D$23/2,ABS(R1325-'계산 과정'!$C$89)&lt;='계산 과정'!$D$24/2),1,0),"")</x:f>
        <x:v>0</x:v>
      </x:c>
      <x:c r="T1325" s="4"/>
      <x:c r="U1325" s="4"/>
      <x:c r="V1325" s="4"/>
      <x:c r="W1325" s="4"/>
      <x:c r="X1325" s="4"/>
      <x:c r="Y1325" s="4"/>
      <x:c r="Z1325" s="4"/>
    </x:row>
    <x:row r="1326" ht="23" customHeight="1">
      <x:c r="A1326" s="17" t="n">
        <x:f>ROW()-6</x:f>
        <x:v>1320</x:v>
      </x:c>
      <x:c r="B1326" s="4" t="n">
        <x:f>IF('계산 과정'!$L$5,'계산 과정'!$L$11*SQRT((A1326+0.5)/'계산 과정'!$L$30),"")</x:f>
        <x:v>120.44686085183997</x:v>
      </x:c>
      <x:c r="C1326" s="4" t="n">
        <x:f>A1326*PI()*(3-SQRT(5))</x:f>
        <x:v>3167.9514632418213</x:v>
      </x:c>
      <x:c r="D1326" s="4" t="n">
        <x:f>IF('계산 과정'!$L$5,B1326*COS(C1326),"")</x:f>
        <x:v>40.70388459068056</x:v>
      </x:c>
      <x:c r="E1326" s="4" t="n">
        <x:f>IF('계산 과정'!$L$5,B1326*SIN(C1326),"")</x:f>
        <x:v>113.36066367259438</x:v>
      </x:c>
      <x:c r="F1326" s="4" t="n">
        <x:f>IF('계산 과정'!$L$7,'계산 과정'!$L$22+'계산 과정'!$C$49*D1326+'계산 과정'!$D$49*E1326,"")</x:f>
        <x:v>621.2180071852952</x:v>
      </x:c>
      <x:c r="G1326" s="4" t="n">
        <x:f>IF('계산 과정'!$L$7,IF(ABS(F1326)&gt;=1E-12*MAX(1,SQRT((D1326-'계산 과정'!$C$33)^2+(E1326-'계산 과정'!$D$33)^2+'계산 과정'!$E$33^2)),('계산 과정'!$L$23-'계산 과정'!$C$49*D1326-'계산 과정'!$D$49*E1326)/F1326,""),"")</x:f>
        <x:v>0.6902278875615544</x:v>
      </x:c>
      <x:c r="H1326" s="4" t="n">
        <x:f>IF(AND(ISNUMBER(G1326),G1326&gt;0),('계산 과정'!$D$56+'계산 과정'!$D$57*D1326+'계산 과정'!$D$58*E1326)/F1326,"")</x:f>
        <x:v>48.6481269150103</x:v>
      </x:c>
      <x:c r="I1326" s="4" t="n">
        <x:f>IF(AND(ISNUMBER(G1326),G1326&gt;0),('계산 과정'!$E$56+'계산 과정'!$E$57*D1326+'계산 과정'!$E$58*E1326)/F1326,"")</x:f>
        <x:v>191.60535509190507</x:v>
      </x:c>
      <x:c r="J1326" s="4" t="n">
        <x:f>IF('계산 과정'!$L$5,'계산 과정'!$D$6+'계산 과정'!$C$35*D1326+'계산 과정'!$D$35*E1326,"")</x:f>
        <x:v>621.2180071852952</x:v>
      </x:c>
      <x:c r="K1326" s="4" t="n">
        <x:f>IF(AND('계산 과정'!$L$6,J1326&gt;0),'계산 과정'!$D$10*('계산 과정'!$C$38*(D1326-'계산 과정'!$C$32)+'계산 과정'!$D$38*(E1326-'계산 과정'!$D$32)-'계산 과정'!$E$38*'계산 과정'!$E$32)/J1326,"")</x:f>
        <x:v>0.37065239554293633</x:v>
      </x:c>
      <x:c r="L1326" s="4" t="n">
        <x:f>IF(AND('계산 과정'!$L$6,J1326&gt;0),'계산 과정'!$D$10*('계산 과정'!$C$39*(D1326-'계산 과정'!$C$32)+'계산 과정'!$D$39*(E1326-'계산 과정'!$D$32)-'계산 과정'!$E$39*'계산 과정'!$E$32)/J1326,"")</x:f>
        <x:v>1.4598503245097527</x:v>
      </x:c>
      <x:c r="M1326" s="17" t="n">
        <x:f>IF('계산 과정'!$L$6,IF(J1326&lt;=0,0,IF(AND(ABS(K1326)&lt;='계산 과정'!$D$11/2,ABS(L1326)&lt;='계산 과정'!$D$12/2),1,0)),"")</x:f>
        <x:v>1</x:v>
      </x:c>
      <x:c r="N1326" s="17" t="n">
        <x:f>IF('계산 과정'!$C$78,IF(AND(ISNUMBER(H1326),ISNUMBER(I1326),ABS(H1326-'계산 과정'!$C$88)&lt;='계산 과정'!$D$23/2,ABS(I1326-'계산 과정'!$C$89)&lt;='계산 과정'!$D$24/2),1,0),"")</x:f>
        <x:v>1</x:v>
      </x:c>
      <x:c r="O1326" s="4" t="n">
        <x:f>IF('계산 과정'!$L$7,'계산 과정'!$C$49*('계산 과정'!$C$32-D1326)+'계산 과정'!$D$49*('계산 과정'!$D$32-E1326)+'계산 과정'!$E$49*'계산 과정'!$E$32,"")</x:f>
        <x:v>28.78199281470495</x:v>
      </x:c>
      <x:c r="P1326" s="4" t="n">
        <x:f>IF(AND('계산 과정'!$L$7,O1326&lt;&gt;0),('계산 과정'!$L$23-'계산 과정'!$C$49*D1326-'계산 과정'!$D$49*E1326)/O1326,"")</x:f>
        <x:v>14.897578342651684</x:v>
      </x:c>
      <x:c r="Q1326" s="4" t="str">
        <x:f>IF(AND(ISNUMBER(P1326),P1326&gt;1E-9,P1326&lt;1-1E-9),'계산 과정'!$C$47*(D1326-'계산 과정'!$C$50+P1326*('계산 과정'!$C$32-D1326))+'계산 과정'!$D$47*(E1326-'계산 과정'!$D$50+P1326*('계산 과정'!$D$32-E1326))+'계산 과정'!$E$47*(0-'계산 과정'!$E$50+P1326*('계산 과정'!$E$32-0)),"")</x:f>
      </x:c>
      <x:c r="R1326" s="4" t="str">
        <x:f>IF(AND(ISNUMBER(P1326),P1326&gt;1E-9,P1326&lt;1-1E-9),'계산 과정'!$C$48*(D1326-'계산 과정'!$C$50+P1326*('계산 과정'!$C$32-D1326))+'계산 과정'!$D$48*(E1326-'계산 과정'!$D$50+P1326*('계산 과정'!$D$32-E1326))+'계산 과정'!$E$48*(0-'계산 과정'!$E$50+P1326*('계산 과정'!$E$32-0)),"")</x:f>
      </x:c>
      <x:c r="S1326" s="17" t="n">
        <x:f>IF('계산 과정'!$C$78,IF(AND(ISNUMBER(Q1326),ISNUMBER(R1326),ABS(Q1326-'계산 과정'!$C$88)&lt;='계산 과정'!$D$23/2,ABS(R1326-'계산 과정'!$C$89)&lt;='계산 과정'!$D$24/2),1,0),"")</x:f>
        <x:v>0</x:v>
      </x:c>
      <x:c r="T1326" s="4"/>
      <x:c r="U1326" s="4"/>
      <x:c r="V1326" s="4"/>
      <x:c r="W1326" s="4"/>
      <x:c r="X1326" s="4"/>
      <x:c r="Y1326" s="4"/>
      <x:c r="Z1326" s="4"/>
    </x:row>
    <x:row r="1327" ht="23" customHeight="1">
      <x:c r="A1327" s="17" t="n">
        <x:f>ROW()-6</x:f>
        <x:v>1321</x:v>
      </x:c>
      <x:c r="B1327" s="4" t="n">
        <x:f>IF('계산 과정'!$L$5,'계산 과정'!$L$11*SQRT((A1327+0.5)/'계산 과정'!$L$30),"")</x:f>
        <x:v>120.49245875650269</x:v>
      </x:c>
      <x:c r="C1327" s="4" t="n">
        <x:f>A1327*PI()*(3-SQRT(5))</x:f>
        <x:v>3170.3514264715504</x:v>
      </x:c>
      <x:c r="D1327" s="4" t="n">
        <x:f>IF('계산 과정'!$L$5,B1327*COS(C1327),"")</x:f>
        <x:v>-106.62815701937426</x:v>
      </x:c>
      <x:c r="E1327" s="4" t="n">
        <x:f>IF('계산 과정'!$L$5,B1327*SIN(C1327),"")</x:f>
        <x:v>-56.11478190137755</x:v>
      </x:c>
      <x:c r="F1327" s="4" t="n">
        <x:f>IF('계산 과정'!$L$7,'계산 과정'!$L$22+'계산 과정'!$C$49*D1327+'계산 과정'!$D$49*E1327,"")</x:f>
        <x:v>725.3974928938235</x:v>
      </x:c>
      <x:c r="G1327" s="4" t="n">
        <x:f>IF('계산 과정'!$L$7,IF(ABS(F1327)&gt;=1E-12*MAX(1,SQRT((D1327-'계산 과정'!$C$33)^2+(E1327-'계산 과정'!$D$33)^2+'계산 과정'!$E$33^2)),('계산 과정'!$L$23-'계산 과정'!$C$49*D1327-'계산 과정'!$D$49*E1327)/F1327,""),"")</x:f>
        <x:v>0.44748225667453284</x:v>
      </x:c>
      <x:c r="H1327" s="4" t="n">
        <x:f>IF(AND(ISNUMBER(G1327),G1327&gt;0),('계산 과정'!$D$56+'계산 과정'!$D$57*D1327+'계산 과정'!$D$58*E1327)/F1327,"")</x:f>
        <x:v>-109.13653316155384</x:v>
      </x:c>
      <x:c r="I1327" s="4" t="n">
        <x:f>IF(AND(ISNUMBER(G1327),G1327&gt;0),('계산 과정'!$E$56+'계산 과정'!$E$57*D1327+'계산 과정'!$E$58*E1327)/F1327,"")</x:f>
        <x:v>-81.2251511394052</x:v>
      </x:c>
      <x:c r="J1327" s="4" t="n">
        <x:f>IF('계산 과정'!$L$5,'계산 과정'!$D$6+'계산 과정'!$C$35*D1327+'계산 과정'!$D$35*E1327,"")</x:f>
        <x:v>725.3974928938235</x:v>
      </x:c>
      <x:c r="K1327" s="4" t="n">
        <x:f>IF(AND('계산 과정'!$L$6,J1327&gt;0),'계산 과정'!$D$10*('계산 과정'!$C$38*(D1327-'계산 과정'!$C$32)+'계산 과정'!$D$38*(E1327-'계산 과정'!$D$32)-'계산 과정'!$E$38*'계산 과정'!$E$32)/J1327,"")</x:f>
        <x:v>-0.8315164431356477</x:v>
      </x:c>
      <x:c r="L1327" s="4" t="n">
        <x:f>IF(AND('계산 과정'!$L$6,J1327&gt;0),'계산 과정'!$D$10*('계산 과정'!$C$39*(D1327-'계산 과정'!$C$32)+'계산 과정'!$D$39*(E1327-'계산 과정'!$D$32)-'계산 과정'!$E$39*'계산 과정'!$E$32)/J1327,"")</x:f>
        <x:v>-0.6188582943954682</x:v>
      </x:c>
      <x:c r="M1327" s="17" t="n">
        <x:f>IF('계산 과정'!$L$6,IF(J1327&lt;=0,0,IF(AND(ABS(K1327)&lt;='계산 과정'!$D$11/2,ABS(L1327)&lt;='계산 과정'!$D$12/2),1,0)),"")</x:f>
        <x:v>1</x:v>
      </x:c>
      <x:c r="N1327" s="17" t="n">
        <x:f>IF('계산 과정'!$C$78,IF(AND(ISNUMBER(H1327),ISNUMBER(I1327),ABS(H1327-'계산 과정'!$C$88)&lt;='계산 과정'!$D$23/2,ABS(I1327-'계산 과정'!$C$89)&lt;='계산 과정'!$D$24/2),1,0),"")</x:f>
        <x:v>1</x:v>
      </x:c>
      <x:c r="O1327" s="4" t="n">
        <x:f>IF('계산 과정'!$L$7,'계산 과정'!$C$49*('계산 과정'!$C$32-D1327)+'계산 과정'!$D$49*('계산 과정'!$D$32-E1327)+'계산 과정'!$E$49*'계산 과정'!$E$32,"")</x:f>
        <x:v>-75.39749289382337</x:v>
      </x:c>
      <x:c r="P1327" s="4" t="n">
        <x:f>IF(AND('계산 과정'!$L$7,O1327&lt;&gt;0),('계산 과정'!$L$23-'계산 과정'!$C$49*D1327-'계산 과정'!$D$49*E1327)/O1327,"")</x:f>
        <x:v>-4.305216190189372</x:v>
      </x:c>
      <x:c r="Q1327" s="4" t="str">
        <x:f>IF(AND(ISNUMBER(P1327),P1327&gt;1E-9,P1327&lt;1-1E-9),'계산 과정'!$C$47*(D1327-'계산 과정'!$C$50+P1327*('계산 과정'!$C$32-D1327))+'계산 과정'!$D$47*(E1327-'계산 과정'!$D$50+P1327*('계산 과정'!$D$32-E1327))+'계산 과정'!$E$47*(0-'계산 과정'!$E$50+P1327*('계산 과정'!$E$32-0)),"")</x:f>
      </x:c>
      <x:c r="R1327" s="4" t="str">
        <x:f>IF(AND(ISNUMBER(P1327),P1327&gt;1E-9,P1327&lt;1-1E-9),'계산 과정'!$C$48*(D1327-'계산 과정'!$C$50+P1327*('계산 과정'!$C$32-D1327))+'계산 과정'!$D$48*(E1327-'계산 과정'!$D$50+P1327*('계산 과정'!$D$32-E1327))+'계산 과정'!$E$48*(0-'계산 과정'!$E$50+P1327*('계산 과정'!$E$32-0)),"")</x:f>
      </x:c>
      <x:c r="S1327" s="17" t="n">
        <x:f>IF('계산 과정'!$C$78,IF(AND(ISNUMBER(Q1327),ISNUMBER(R1327),ABS(Q1327-'계산 과정'!$C$88)&lt;='계산 과정'!$D$23/2,ABS(R1327-'계산 과정'!$C$89)&lt;='계산 과정'!$D$24/2),1,0),"")</x:f>
        <x:v>0</x:v>
      </x:c>
      <x:c r="T1327" s="4"/>
      <x:c r="U1327" s="4"/>
      <x:c r="V1327" s="4"/>
      <x:c r="W1327" s="4"/>
      <x:c r="X1327" s="4"/>
      <x:c r="Y1327" s="4"/>
      <x:c r="Z1327" s="4"/>
    </x:row>
    <x:row r="1328" ht="23" customHeight="1">
      <x:c r="A1328" s="17" t="n">
        <x:f>ROW()-6</x:f>
        <x:v>1322</x:v>
      </x:c>
      <x:c r="B1328" s="4" t="n">
        <x:f>IF('계산 과정'!$L$5,'계산 과정'!$L$11*SQRT((A1328+0.5)/'계산 과정'!$L$30),"")</x:f>
        <x:v>120.53803941209803</x:v>
      </x:c>
      <x:c r="C1328" s="4" t="n">
        <x:f>A1328*PI()*(3-SQRT(5))</x:f>
        <x:v>3172.751389701279</x:v>
      </x:c>
      <x:c r="D1328" s="4" t="n">
        <x:f>IF('계산 과정'!$L$5,B1328*COS(C1328),"")</x:f>
        <x:v>116.57335648911082</x:v>
      </x:c>
      <x:c r="E1328" s="4" t="n">
        <x:f>IF('계산 과정'!$L$5,B1328*SIN(C1328),"")</x:f>
        <x:v>-30.660585483241853</x:v>
      </x:c>
      <x:c r="F1328" s="4" t="n">
        <x:f>IF('계산 과정'!$L$7,'계산 과정'!$L$22+'계산 과정'!$C$49*D1328+'계산 과정'!$D$49*E1328,"")</x:f>
        <x:v>567.5701891208729</x:v>
      </x:c>
      <x:c r="G1328" s="4" t="n">
        <x:f>IF('계산 과정'!$L$7,IF(ABS(F1328)&gt;=1E-12*MAX(1,SQRT((D1328-'계산 과정'!$C$33)^2+(E1328-'계산 과정'!$D$33)^2+'계산 과정'!$E$33^2)),('계산 과정'!$L$23-'계산 과정'!$C$49*D1328-'계산 과정'!$D$49*E1328)/F1328,""),"")</x:f>
        <x:v>0.8499914550240519</x:v>
      </x:c>
      <x:c r="H1328" s="4" t="n">
        <x:f>IF(AND(ISNUMBER(G1328),G1328&gt;0),('계산 과정'!$D$56+'계산 과정'!$D$57*D1328+'계산 과정'!$D$58*E1328)/F1328,"")</x:f>
        <x:v>152.49444576563366</x:v>
      </x:c>
      <x:c r="I1328" s="4" t="n">
        <x:f>IF(AND(ISNUMBER(G1328),G1328&gt;0),('계산 과정'!$E$56+'계산 과정'!$E$57*D1328+'계산 과정'!$E$58*E1328)/F1328,"")</x:f>
        <x:v>-56.72182115003192</x:v>
      </x:c>
      <x:c r="J1328" s="4" t="n">
        <x:f>IF('계산 과정'!$L$5,'계산 과정'!$D$6+'계산 과정'!$C$35*D1328+'계산 과정'!$D$35*E1328,"")</x:f>
        <x:v>567.5701891208729</x:v>
      </x:c>
      <x:c r="K1328" s="4" t="n">
        <x:f>IF(AND('계산 과정'!$L$6,J1328&gt;0),'계산 과정'!$D$10*('계산 과정'!$C$38*(D1328-'계산 과정'!$C$32)+'계산 과정'!$D$38*(E1328-'계산 과정'!$D$32)-'계산 과정'!$E$38*'계산 과정'!$E$32)/J1328,"")</x:f>
        <x:v>1.1618624439286382</x:v>
      </x:c>
      <x:c r="L1328" s="4" t="n">
        <x:f>IF(AND('계산 과정'!$L$6,J1328&gt;0),'계산 과정'!$D$10*('계산 과정'!$C$39*(D1328-'계산 과정'!$C$32)+'계산 과정'!$D$39*(E1328-'계산 과정'!$D$32)-'계산 과정'!$E$39*'계산 과정'!$E$32)/J1328,"")</x:f>
        <x:v>-0.4321662563811956</x:v>
      </x:c>
      <x:c r="M1328" s="17" t="n">
        <x:f>IF('계산 과정'!$L$6,IF(J1328&lt;=0,0,IF(AND(ABS(K1328)&lt;='계산 과정'!$D$11/2,ABS(L1328)&lt;='계산 과정'!$D$12/2),1,0)),"")</x:f>
        <x:v>1</x:v>
      </x:c>
      <x:c r="N1328" s="17" t="n">
        <x:f>IF('계산 과정'!$C$78,IF(AND(ISNUMBER(H1328),ISNUMBER(I1328),ABS(H1328-'계산 과정'!$C$88)&lt;='계산 과정'!$D$23/2,ABS(I1328-'계산 과정'!$C$89)&lt;='계산 과정'!$D$24/2),1,0),"")</x:f>
        <x:v>1</x:v>
      </x:c>
      <x:c r="O1328" s="4" t="n">
        <x:f>IF('계산 과정'!$L$7,'계산 과정'!$C$49*('계산 과정'!$C$32-D1328)+'계산 과정'!$D$49*('계산 과정'!$D$32-E1328)+'계산 과정'!$E$49*'계산 과정'!$E$32,"")</x:f>
        <x:v>82.42981087912719</x:v>
      </x:c>
      <x:c r="P1328" s="4" t="n">
        <x:f>IF(AND('계산 과정'!$L$7,O1328&lt;&gt;0),('계산 과정'!$L$23-'계산 과정'!$C$49*D1328-'계산 과정'!$D$49*E1328)/O1328,"")</x:f>
        <x:v>5.852613341386273</x:v>
      </x:c>
      <x:c r="Q1328" s="4" t="str">
        <x:f>IF(AND(ISNUMBER(P1328),P1328&gt;1E-9,P1328&lt;1-1E-9),'계산 과정'!$C$47*(D1328-'계산 과정'!$C$50+P1328*('계산 과정'!$C$32-D1328))+'계산 과정'!$D$47*(E1328-'계산 과정'!$D$50+P1328*('계산 과정'!$D$32-E1328))+'계산 과정'!$E$47*(0-'계산 과정'!$E$50+P1328*('계산 과정'!$E$32-0)),"")</x:f>
      </x:c>
      <x:c r="R1328" s="4" t="str">
        <x:f>IF(AND(ISNUMBER(P1328),P1328&gt;1E-9,P1328&lt;1-1E-9),'계산 과정'!$C$48*(D1328-'계산 과정'!$C$50+P1328*('계산 과정'!$C$32-D1328))+'계산 과정'!$D$48*(E1328-'계산 과정'!$D$50+P1328*('계산 과정'!$D$32-E1328))+'계산 과정'!$E$48*(0-'계산 과정'!$E$50+P1328*('계산 과정'!$E$32-0)),"")</x:f>
      </x:c>
      <x:c r="S1328" s="17" t="n">
        <x:f>IF('계산 과정'!$C$78,IF(AND(ISNUMBER(Q1328),ISNUMBER(R1328),ABS(Q1328-'계산 과정'!$C$88)&lt;='계산 과정'!$D$23/2,ABS(R1328-'계산 과정'!$C$89)&lt;='계산 과정'!$D$24/2),1,0),"")</x:f>
        <x:v>0</x:v>
      </x:c>
      <x:c r="T1328" s="4"/>
      <x:c r="U1328" s="4"/>
      <x:c r="V1328" s="4"/>
      <x:c r="W1328" s="4"/>
      <x:c r="X1328" s="4"/>
      <x:c r="Y1328" s="4"/>
      <x:c r="Z1328" s="4"/>
    </x:row>
    <x:row r="1329" ht="23" customHeight="1">
      <x:c r="A1329" s="17" t="n">
        <x:f>ROW()-6</x:f>
        <x:v>1323</x:v>
      </x:c>
      <x:c r="B1329" s="4" t="n">
        <x:f>IF('계산 과정'!$L$5,'계산 과정'!$L$11*SQRT((A1329+0.5)/'계산 과정'!$L$30),"")</x:f>
        <x:v>120.5836028381865</x:v>
      </x:c>
      <x:c r="C1329" s="4" t="n">
        <x:f>A1329*PI()*(3-SQRT(5))</x:f>
        <x:v>3175.1513529310073</x:v>
      </x:c>
      <x:c r="D1329" s="4" t="n">
        <x:f>IF('계산 과정'!$L$5,B1329*COS(C1329),"")</x:f>
        <x:v>-65.27130043224545</x:v>
      </x:c>
      <x:c r="E1329" s="4" t="n">
        <x:f>IF('계산 과정'!$L$5,B1329*SIN(C1329),"")</x:f>
        <x:v>101.39064361824049</x:v>
      </x:c>
      <x:c r="F1329" s="4" t="n">
        <x:f>IF('계산 과정'!$L$7,'계산 과정'!$L$22+'계산 과정'!$C$49*D1329+'계산 과정'!$D$49*E1329,"")</x:f>
        <x:v>696.1537791525052</x:v>
      </x:c>
      <x:c r="G1329" s="4" t="n">
        <x:f>IF('계산 과정'!$L$7,IF(ABS(F1329)&gt;=1E-12*MAX(1,SQRT((D1329-'계산 과정'!$C$33)^2+(E1329-'계산 과정'!$D$33)^2+'계산 과정'!$E$33^2)),('계산 과정'!$L$23-'계산 과정'!$C$49*D1329-'계산 과정'!$D$49*E1329)/F1329,""),"")</x:f>
        <x:v>0.5082874379828345</x:v>
      </x:c>
      <x:c r="H1329" s="4" t="n">
        <x:f>IF(AND(ISNUMBER(G1329),G1329&gt;0),('계산 과정'!$D$56+'계산 과정'!$D$57*D1329+'계산 과정'!$D$58*E1329)/F1329,"")</x:f>
        <x:v>-69.61316531115774</x:v>
      </x:c>
      <x:c r="I1329" s="4" t="n">
        <x:f>IF(AND(ISNUMBER(G1329),G1329&gt;0),('계산 과정'!$E$56+'계산 과정'!$E$57*D1329+'계산 과정'!$E$58*E1329)/F1329,"")</x:f>
        <x:v>152.92623409838657</x:v>
      </x:c>
      <x:c r="J1329" s="4" t="n">
        <x:f>IF('계산 과정'!$L$5,'계산 과정'!$D$6+'계산 과정'!$C$35*D1329+'계산 과정'!$D$35*E1329,"")</x:f>
        <x:v>696.1537791525052</x:v>
      </x:c>
      <x:c r="K1329" s="4" t="n">
        <x:f>IF(AND('계산 과정'!$L$6,J1329&gt;0),'계산 과정'!$D$10*('계산 과정'!$C$38*(D1329-'계산 과정'!$C$32)+'계산 과정'!$D$38*(E1329-'계산 과정'!$D$32)-'계산 과정'!$E$38*'계산 과정'!$E$32)/J1329,"")</x:f>
        <x:v>-0.5303860214183438</x:v>
      </x:c>
      <x:c r="L1329" s="4" t="n">
        <x:f>IF(AND('계산 과정'!$L$6,J1329&gt;0),'계산 과정'!$D$10*('계산 과정'!$C$39*(D1329-'계산 과정'!$C$32)+'계산 과정'!$D$39*(E1329-'계산 과정'!$D$32)-'계산 과정'!$E$39*'계산 과정'!$E$32)/J1329,"")</x:f>
        <x:v>1.165152259797231</x:v>
      </x:c>
      <x:c r="M1329" s="17" t="n">
        <x:f>IF('계산 과정'!$L$6,IF(J1329&lt;=0,0,IF(AND(ABS(K1329)&lt;='계산 과정'!$D$11/2,ABS(L1329)&lt;='계산 과정'!$D$12/2),1,0)),"")</x:f>
        <x:v>1</x:v>
      </x:c>
      <x:c r="N1329" s="17" t="n">
        <x:f>IF('계산 과정'!$C$78,IF(AND(ISNUMBER(H1329),ISNUMBER(I1329),ABS(H1329-'계산 과정'!$C$88)&lt;='계산 과정'!$D$23/2,ABS(I1329-'계산 과정'!$C$89)&lt;='계산 과정'!$D$24/2),1,0),"")</x:f>
        <x:v>1</x:v>
      </x:c>
      <x:c r="O1329" s="4" t="n">
        <x:f>IF('계산 과정'!$L$7,'계산 과정'!$C$49*('계산 과정'!$C$32-D1329)+'계산 과정'!$D$49*('계산 과정'!$D$32-E1329)+'계산 과정'!$E$49*'계산 과정'!$E$32,"")</x:f>
        <x:v>-46.15377915250508</x:v>
      </x:c>
      <x:c r="P1329" s="4" t="n">
        <x:f>IF(AND('계산 과정'!$L$7,O1329&lt;&gt;0),('계산 과정'!$L$23-'계산 과정'!$C$49*D1329-'계산 과정'!$D$49*E1329)/O1329,"")</x:f>
        <x:v>-7.666679248047863</x:v>
      </x:c>
      <x:c r="Q1329" s="4" t="str">
        <x:f>IF(AND(ISNUMBER(P1329),P1329&gt;1E-9,P1329&lt;1-1E-9),'계산 과정'!$C$47*(D1329-'계산 과정'!$C$50+P1329*('계산 과정'!$C$32-D1329))+'계산 과정'!$D$47*(E1329-'계산 과정'!$D$50+P1329*('계산 과정'!$D$32-E1329))+'계산 과정'!$E$47*(0-'계산 과정'!$E$50+P1329*('계산 과정'!$E$32-0)),"")</x:f>
      </x:c>
      <x:c r="R1329" s="4" t="str">
        <x:f>IF(AND(ISNUMBER(P1329),P1329&gt;1E-9,P1329&lt;1-1E-9),'계산 과정'!$C$48*(D1329-'계산 과정'!$C$50+P1329*('계산 과정'!$C$32-D1329))+'계산 과정'!$D$48*(E1329-'계산 과정'!$D$50+P1329*('계산 과정'!$D$32-E1329))+'계산 과정'!$E$48*(0-'계산 과정'!$E$50+P1329*('계산 과정'!$E$32-0)),"")</x:f>
      </x:c>
      <x:c r="S1329" s="17" t="n">
        <x:f>IF('계산 과정'!$C$78,IF(AND(ISNUMBER(Q1329),ISNUMBER(R1329),ABS(Q1329-'계산 과정'!$C$88)&lt;='계산 과정'!$D$23/2,ABS(R1329-'계산 과정'!$C$89)&lt;='계산 과정'!$D$24/2),1,0),"")</x:f>
        <x:v>0</x:v>
      </x:c>
      <x:c r="T1329" s="4"/>
      <x:c r="U1329" s="4"/>
      <x:c r="V1329" s="4"/>
      <x:c r="W1329" s="4"/>
      <x:c r="X1329" s="4"/>
      <x:c r="Y1329" s="4"/>
      <x:c r="Z1329" s="4"/>
    </x:row>
    <x:row r="1330" ht="23" customHeight="1">
      <x:c r="A1330" s="17" t="n">
        <x:f>ROW()-6</x:f>
        <x:v>1324</x:v>
      </x:c>
      <x:c r="B1330" s="4" t="n">
        <x:f>IF('계산 과정'!$L$5,'계산 과정'!$L$11*SQRT((A1330+0.5)/'계산 과정'!$L$30),"")</x:f>
        <x:v>120.6291490542916</x:v>
      </x:c>
      <x:c r="C1330" s="4" t="n">
        <x:f>A1330*PI()*(3-SQRT(5))</x:f>
        <x:v>3177.5513161607364</x:v>
      </x:c>
      <x:c r="D1330" s="4" t="n">
        <x:f>IF('계산 과정'!$L$5,B1330*COS(C1330),"")</x:f>
        <x:v>-20.367060158761905</x:v>
      </x:c>
      <x:c r="E1330" s="4" t="n">
        <x:f>IF('계산 과정'!$L$5,B1330*SIN(C1330),"")</x:f>
        <x:v>-118.89732739658984</x:v>
      </x:c>
      <x:c r="F1330" s="4" t="n">
        <x:f>IF('계산 과정'!$L$7,'계산 과정'!$L$22+'계산 과정'!$C$49*D1330+'계산 과정'!$D$49*E1330,"")</x:f>
        <x:v>664.4016863510949</x:v>
      </x:c>
      <x:c r="G1330" s="4" t="n">
        <x:f>IF('계산 과정'!$L$7,IF(ABS(F1330)&gt;=1E-12*MAX(1,SQRT((D1330-'계산 과정'!$C$33)^2+(E1330-'계산 과정'!$D$33)^2+'계산 과정'!$E$33^2)),('계산 과정'!$L$23-'계산 과정'!$C$49*D1330-'계산 과정'!$D$49*E1330)/F1330,""),"")</x:f>
        <x:v>0.5803692578906857</x:v>
      </x:c>
      <x:c r="H1330" s="4" t="n">
        <x:f>IF(AND(ISNUMBER(G1330),G1330&gt;0),('계산 과정'!$D$56+'계산 과정'!$D$57*D1330+'계산 과정'!$D$58*E1330)/F1330,"")</x:f>
        <x:v>-22.759982371054388</x:v>
      </x:c>
      <x:c r="I1330" s="4" t="n">
        <x:f>IF(AND(ISNUMBER(G1330),G1330&gt;0),('계산 과정'!$E$56+'계산 과정'!$E$57*D1330+'계산 과정'!$E$58*E1330)/F1330,"")</x:f>
        <x:v>-187.90168106293459</x:v>
      </x:c>
      <x:c r="J1330" s="4" t="n">
        <x:f>IF('계산 과정'!$L$5,'계산 과정'!$D$6+'계산 과정'!$C$35*D1330+'계산 과정'!$D$35*E1330,"")</x:f>
        <x:v>664.4016863510949</x:v>
      </x:c>
      <x:c r="K1330" s="4" t="n">
        <x:f>IF(AND('계산 과정'!$L$6,J1330&gt;0),'계산 과정'!$D$10*('계산 과정'!$C$38*(D1330-'계산 과정'!$C$32)+'계산 과정'!$D$38*(E1330-'계산 과정'!$D$32)-'계산 과정'!$E$38*'계산 과정'!$E$32)/J1330,"")</x:f>
        <x:v>-0.17340938949374674</x:v>
      </x:c>
      <x:c r="L1330" s="4" t="n">
        <x:f>IF(AND('계산 과정'!$L$6,J1330&gt;0),'계산 과정'!$D$10*('계산 과정'!$C$39*(D1330-'계산 과정'!$C$32)+'계산 과정'!$D$39*(E1330-'계산 과정'!$D$32)-'계산 과정'!$E$39*'계산 과정'!$E$32)/J1330,"")</x:f>
        <x:v>-1.4316318557175969</x:v>
      </x:c>
      <x:c r="M1330" s="17" t="n">
        <x:f>IF('계산 과정'!$L$6,IF(J1330&lt;=0,0,IF(AND(ABS(K1330)&lt;='계산 과정'!$D$11/2,ABS(L1330)&lt;='계산 과정'!$D$12/2),1,0)),"")</x:f>
        <x:v>1</x:v>
      </x:c>
      <x:c r="N1330" s="17" t="n">
        <x:f>IF('계산 과정'!$C$78,IF(AND(ISNUMBER(H1330),ISNUMBER(I1330),ABS(H1330-'계산 과정'!$C$88)&lt;='계산 과정'!$D$23/2,ABS(I1330-'계산 과정'!$C$89)&lt;='계산 과정'!$D$24/2),1,0),"")</x:f>
        <x:v>1</x:v>
      </x:c>
      <x:c r="O1330" s="4" t="n">
        <x:f>IF('계산 과정'!$L$7,'계산 과정'!$C$49*('계산 과정'!$C$32-D1330)+'계산 과정'!$D$49*('계산 과정'!$D$32-E1330)+'계산 과정'!$E$49*'계산 과정'!$E$32,"")</x:f>
        <x:v>-14.401686351094781</x:v>
      </x:c>
      <x:c r="P1330" s="4" t="n">
        <x:f>IF(AND('계산 과정'!$L$7,O1330&lt;&gt;0),('계산 과정'!$L$23-'계산 과정'!$C$49*D1330-'계산 과정'!$D$49*E1330)/O1330,"")</x:f>
        <x:v>-26.77452516660265</x:v>
      </x:c>
      <x:c r="Q1330" s="4" t="str">
        <x:f>IF(AND(ISNUMBER(P1330),P1330&gt;1E-9,P1330&lt;1-1E-9),'계산 과정'!$C$47*(D1330-'계산 과정'!$C$50+P1330*('계산 과정'!$C$32-D1330))+'계산 과정'!$D$47*(E1330-'계산 과정'!$D$50+P1330*('계산 과정'!$D$32-E1330))+'계산 과정'!$E$47*(0-'계산 과정'!$E$50+P1330*('계산 과정'!$E$32-0)),"")</x:f>
      </x:c>
      <x:c r="R1330" s="4" t="str">
        <x:f>IF(AND(ISNUMBER(P1330),P1330&gt;1E-9,P1330&lt;1-1E-9),'계산 과정'!$C$48*(D1330-'계산 과정'!$C$50+P1330*('계산 과정'!$C$32-D1330))+'계산 과정'!$D$48*(E1330-'계산 과정'!$D$50+P1330*('계산 과정'!$D$32-E1330))+'계산 과정'!$E$48*(0-'계산 과정'!$E$50+P1330*('계산 과정'!$E$32-0)),"")</x:f>
      </x:c>
      <x:c r="S1330" s="17" t="n">
        <x:f>IF('계산 과정'!$C$78,IF(AND(ISNUMBER(Q1330),ISNUMBER(R1330),ABS(Q1330-'계산 과정'!$C$88)&lt;='계산 과정'!$D$23/2,ABS(R1330-'계산 과정'!$C$89)&lt;='계산 과정'!$D$24/2),1,0),"")</x:f>
        <x:v>0</x:v>
      </x:c>
      <x:c r="T1330" s="4"/>
      <x:c r="U1330" s="4"/>
      <x:c r="V1330" s="4"/>
      <x:c r="W1330" s="4"/>
      <x:c r="X1330" s="4"/>
      <x:c r="Y1330" s="4"/>
      <x:c r="Z1330" s="4"/>
    </x:row>
    <x:row r="1331" ht="23" customHeight="1">
      <x:c r="A1331" s="17" t="n">
        <x:f>ROW()-6</x:f>
        <x:v>1325</x:v>
      </x:c>
      <x:c r="B1331" s="4" t="n">
        <x:f>IF('계산 과정'!$L$5,'계산 과정'!$L$11*SQRT((A1331+0.5)/'계산 과정'!$L$30),"")</x:f>
        <x:v>120.6746780799</x:v>
      </x:c>
      <x:c r="C1331" s="4" t="n">
        <x:f>A1331*PI()*(3-SQRT(5))</x:f>
        <x:v>3179.9512793904655</x:v>
      </x:c>
      <x:c r="D1331" s="4" t="n">
        <x:f>IF('계산 과정'!$L$5,B1331*COS(C1331),"")</x:f>
        <x:v>95.36800810899223</x:v>
      </x:c>
      <x:c r="E1331" s="4" t="n">
        <x:f>IF('계산 과정'!$L$5,B1331*SIN(C1331),"")</x:f>
        <x:v>73.94133457688393</x:v>
      </x:c>
      <x:c r="F1331" s="4" t="n">
        <x:f>IF('계산 과정'!$L$7,'계산 과정'!$L$22+'계산 과정'!$C$49*D1331+'계산 과정'!$D$49*E1331,"")</x:f>
        <x:v>582.5646347578779</x:v>
      </x:c>
      <x:c r="G1331" s="4" t="n">
        <x:f>IF('계산 과정'!$L$7,IF(ABS(F1331)&gt;=1E-12*MAX(1,SQRT((D1331-'계산 과정'!$C$33)^2+(E1331-'계산 과정'!$D$33)^2+'계산 과정'!$E$33^2)),('계산 과정'!$L$23-'계산 과정'!$C$49*D1331-'계산 과정'!$D$49*E1331)/F1331,""),"")</x:f>
        <x:v>0.8023751140272954</x:v>
      </x:c>
      <x:c r="H1331" s="4" t="n">
        <x:f>IF(AND(ISNUMBER(G1331),G1331&gt;0),('계산 과정'!$D$56+'계산 과정'!$D$57*D1331+'계산 과정'!$D$58*E1331)/F1331,"")</x:f>
        <x:v>121.54382411774199</x:v>
      </x:c>
      <x:c r="I1331" s="4" t="n">
        <x:f>IF(AND(ISNUMBER(G1331),G1331&gt;0),('계산 과정'!$E$56+'계산 과정'!$E$57*D1331+'계산 과정'!$E$58*E1331)/F1331,"")</x:f>
        <x:v>133.27002133934158</x:v>
      </x:c>
      <x:c r="J1331" s="4" t="n">
        <x:f>IF('계산 과정'!$L$5,'계산 과정'!$D$6+'계산 과정'!$C$35*D1331+'계산 과정'!$D$35*E1331,"")</x:f>
        <x:v>582.5646347578779</x:v>
      </x:c>
      <x:c r="K1331" s="4" t="n">
        <x:f>IF(AND('계산 과정'!$L$6,J1331&gt;0),'계산 과정'!$D$10*('계산 과정'!$C$38*(D1331-'계산 과정'!$C$32)+'계산 과정'!$D$38*(E1331-'계산 과정'!$D$32)-'계산 과정'!$E$38*'계산 과정'!$E$32)/J1331,"")</x:f>
        <x:v>0.9260481837542257</x:v>
      </x:c>
      <x:c r="L1331" s="4" t="n">
        <x:f>IF(AND('계산 과정'!$L$6,J1331&gt;0),'계산 과정'!$D$10*('계산 과정'!$C$39*(D1331-'계산 과정'!$C$32)+'계산 과정'!$D$39*(E1331-'계산 과정'!$D$32)-'계산 과정'!$E$39*'계산 과정'!$E$32)/J1331,"")</x:f>
        <x:v>1.015390638775936</x:v>
      </x:c>
      <x:c r="M1331" s="17" t="n">
        <x:f>IF('계산 과정'!$L$6,IF(J1331&lt;=0,0,IF(AND(ABS(K1331)&lt;='계산 과정'!$D$11/2,ABS(L1331)&lt;='계산 과정'!$D$12/2),1,0)),"")</x:f>
        <x:v>1</x:v>
      </x:c>
      <x:c r="N1331" s="17" t="n">
        <x:f>IF('계산 과정'!$C$78,IF(AND(ISNUMBER(H1331),ISNUMBER(I1331),ABS(H1331-'계산 과정'!$C$88)&lt;='계산 과정'!$D$23/2,ABS(I1331-'계산 과정'!$C$89)&lt;='계산 과정'!$D$24/2),1,0),"")</x:f>
        <x:v>1</x:v>
      </x:c>
      <x:c r="O1331" s="4" t="n">
        <x:f>IF('계산 과정'!$L$7,'계산 과정'!$C$49*('계산 과정'!$C$32-D1331)+'계산 과정'!$D$49*('계산 과정'!$D$32-E1331)+'계산 과정'!$E$49*'계산 과정'!$E$32,"")</x:f>
        <x:v>67.43536524212215</x:v>
      </x:c>
      <x:c r="P1331" s="4" t="n">
        <x:f>IF(AND('계산 과정'!$L$7,O1331&lt;&gt;0),('계산 과정'!$L$23-'계산 과정'!$C$49*D1331-'계산 과정'!$D$49*E1331)/O1331,"")</x:f>
        <x:v>6.931605746685389</x:v>
      </x:c>
      <x:c r="Q1331" s="4" t="str">
        <x:f>IF(AND(ISNUMBER(P1331),P1331&gt;1E-9,P1331&lt;1-1E-9),'계산 과정'!$C$47*(D1331-'계산 과정'!$C$50+P1331*('계산 과정'!$C$32-D1331))+'계산 과정'!$D$47*(E1331-'계산 과정'!$D$50+P1331*('계산 과정'!$D$32-E1331))+'계산 과정'!$E$47*(0-'계산 과정'!$E$50+P1331*('계산 과정'!$E$32-0)),"")</x:f>
      </x:c>
      <x:c r="R1331" s="4" t="str">
        <x:f>IF(AND(ISNUMBER(P1331),P1331&gt;1E-9,P1331&lt;1-1E-9),'계산 과정'!$C$48*(D1331-'계산 과정'!$C$50+P1331*('계산 과정'!$C$32-D1331))+'계산 과정'!$D$48*(E1331-'계산 과정'!$D$50+P1331*('계산 과정'!$D$32-E1331))+'계산 과정'!$E$48*(0-'계산 과정'!$E$50+P1331*('계산 과정'!$E$32-0)),"")</x:f>
      </x:c>
      <x:c r="S1331" s="17" t="n">
        <x:f>IF('계산 과정'!$C$78,IF(AND(ISNUMBER(Q1331),ISNUMBER(R1331),ABS(Q1331-'계산 과정'!$C$88)&lt;='계산 과정'!$D$23/2,ABS(R1331-'계산 과정'!$C$89)&lt;='계산 과정'!$D$24/2),1,0),"")</x:f>
        <x:v>0</x:v>
      </x:c>
      <x:c r="T1331" s="4"/>
      <x:c r="U1331" s="4"/>
      <x:c r="V1331" s="4"/>
      <x:c r="W1331" s="4"/>
      <x:c r="X1331" s="4"/>
      <x:c r="Y1331" s="4"/>
      <x:c r="Z1331" s="4"/>
    </x:row>
    <x:row r="1332" ht="23" customHeight="1">
      <x:c r="A1332" s="17" t="n">
        <x:f>ROW()-6</x:f>
        <x:v>1326</x:v>
      </x:c>
      <x:c r="B1332" s="4" t="n">
        <x:f>IF('계산 과정'!$L$5,'계산 과정'!$L$11*SQRT((A1332+0.5)/'계산 과정'!$L$30),"")</x:f>
        <x:v>120.72018993446167</x:v>
      </x:c>
      <x:c r="C1332" s="4" t="n">
        <x:f>A1332*PI()*(3-SQRT(5))</x:f>
        <x:v>3182.3512426201937</x:v>
      </x:c>
      <x:c r="D1332" s="4" t="n">
        <x:f>IF('계산 과정'!$L$5,B1332*COS(C1332),"")</x:f>
        <x:v>-120.31341349400432</x:v>
      </x:c>
      <x:c r="E1332" s="4" t="n">
        <x:f>IF('계산 과정'!$L$5,B1332*SIN(C1332),"")</x:f>
        <x:v>9.901857968747004</x:v>
      </x:c>
      <x:c r="F1332" s="4" t="n">
        <x:f>IF('계산 과정'!$L$7,'계산 과정'!$L$22+'계산 과정'!$C$49*D1332+'계산 과정'!$D$49*E1332,"")</x:f>
        <x:v>735.0744305493115</x:v>
      </x:c>
      <x:c r="G1332" s="4" t="n">
        <x:f>IF('계산 과정'!$L$7,IF(ABS(F1332)&gt;=1E-12*MAX(1,SQRT((D1332-'계산 과정'!$C$33)^2+(E1332-'계산 과정'!$D$33)^2+'계산 과정'!$E$33^2)),('계산 과정'!$L$23-'계산 과정'!$C$49*D1332-'계산 과정'!$D$49*E1332)/F1332,""),"")</x:f>
        <x:v>0.428426777428986</x:v>
      </x:c>
      <x:c r="H1332" s="4" t="n">
        <x:f>IF(AND(ISNUMBER(G1332),G1332&gt;0),('계산 과정'!$D$56+'계산 과정'!$D$57*D1332+'계산 과정'!$D$58*E1332)/F1332,"")</x:f>
        <x:v>-121.52259467115928</x:v>
      </x:c>
      <x:c r="I1332" s="4" t="n">
        <x:f>IF(AND(ISNUMBER(G1332),G1332&gt;0),('계산 과정'!$E$56+'계산 과정'!$E$57*D1332+'계산 과정'!$E$58*E1332)/F1332,"")</x:f>
        <x:v>14.144079068856808</x:v>
      </x:c>
      <x:c r="J1332" s="4" t="n">
        <x:f>IF('계산 과정'!$L$5,'계산 과정'!$D$6+'계산 과정'!$C$35*D1332+'계산 과정'!$D$35*E1332,"")</x:f>
        <x:v>735.0744305493115</x:v>
      </x:c>
      <x:c r="K1332" s="4" t="n">
        <x:f>IF(AND('계산 과정'!$L$6,J1332&gt;0),'계산 과정'!$D$10*('계산 과정'!$C$38*(D1332-'계산 과정'!$C$32)+'계산 과정'!$D$38*(E1332-'계산 과정'!$D$32)-'계산 과정'!$E$38*'계산 과정'!$E$32)/J1332,"")</x:f>
        <x:v>-0.9258864355897837</x:v>
      </x:c>
      <x:c r="L1332" s="4" t="n">
        <x:f>IF(AND('계산 과정'!$L$6,J1332&gt;0),'계산 과정'!$D$10*('계산 과정'!$C$39*(D1332-'계산 과정'!$C$32)+'계산 과정'!$D$39*(E1332-'계산 과정'!$D$32)-'계산 과정'!$E$39*'계산 과정'!$E$32)/J1332,"")</x:f>
        <x:v>0.10776441195319472</x:v>
      </x:c>
      <x:c r="M1332" s="17" t="n">
        <x:f>IF('계산 과정'!$L$6,IF(J1332&lt;=0,0,IF(AND(ABS(K1332)&lt;='계산 과정'!$D$11/2,ABS(L1332)&lt;='계산 과정'!$D$12/2),1,0)),"")</x:f>
        <x:v>1</x:v>
      </x:c>
      <x:c r="N1332" s="17" t="n">
        <x:f>IF('계산 과정'!$C$78,IF(AND(ISNUMBER(H1332),ISNUMBER(I1332),ABS(H1332-'계산 과정'!$C$88)&lt;='계산 과정'!$D$23/2,ABS(I1332-'계산 과정'!$C$89)&lt;='계산 과정'!$D$24/2),1,0),"")</x:f>
        <x:v>1</x:v>
      </x:c>
      <x:c r="O1332" s="4" t="n">
        <x:f>IF('계산 과정'!$L$7,'계산 과정'!$C$49*('계산 과정'!$C$32-D1332)+'계산 과정'!$D$49*('계산 과정'!$D$32-E1332)+'계산 과정'!$E$49*'계산 과정'!$E$32,"")</x:f>
        <x:v>-85.07443054931139</x:v>
      </x:c>
      <x:c r="P1332" s="4" t="n">
        <x:f>IF(AND('계산 과정'!$L$7,O1332&lt;&gt;0),('계산 과정'!$L$23-'계산 과정'!$C$49*D1332-'계산 과정'!$D$49*E1332)/O1332,"")</x:f>
        <x:v>-3.7017652356561976</x:v>
      </x:c>
      <x:c r="Q1332" s="4" t="str">
        <x:f>IF(AND(ISNUMBER(P1332),P1332&gt;1E-9,P1332&lt;1-1E-9),'계산 과정'!$C$47*(D1332-'계산 과정'!$C$50+P1332*('계산 과정'!$C$32-D1332))+'계산 과정'!$D$47*(E1332-'계산 과정'!$D$50+P1332*('계산 과정'!$D$32-E1332))+'계산 과정'!$E$47*(0-'계산 과정'!$E$50+P1332*('계산 과정'!$E$32-0)),"")</x:f>
      </x:c>
      <x:c r="R1332" s="4" t="str">
        <x:f>IF(AND(ISNUMBER(P1332),P1332&gt;1E-9,P1332&lt;1-1E-9),'계산 과정'!$C$48*(D1332-'계산 과정'!$C$50+P1332*('계산 과정'!$C$32-D1332))+'계산 과정'!$D$48*(E1332-'계산 과정'!$D$50+P1332*('계산 과정'!$D$32-E1332))+'계산 과정'!$E$48*(0-'계산 과정'!$E$50+P1332*('계산 과정'!$E$32-0)),"")</x:f>
      </x:c>
      <x:c r="S1332" s="17" t="n">
        <x:f>IF('계산 과정'!$C$78,IF(AND(ISNUMBER(Q1332),ISNUMBER(R1332),ABS(Q1332-'계산 과정'!$C$88)&lt;='계산 과정'!$D$23/2,ABS(R1332-'계산 과정'!$C$89)&lt;='계산 과정'!$D$24/2),1,0),"")</x:f>
        <x:v>0</x:v>
      </x:c>
      <x:c r="T1332" s="4"/>
      <x:c r="U1332" s="4"/>
      <x:c r="V1332" s="4"/>
      <x:c r="W1332" s="4"/>
      <x:c r="X1332" s="4"/>
      <x:c r="Y1332" s="4"/>
      <x:c r="Z1332" s="4"/>
    </x:row>
    <x:row r="1333" ht="23" customHeight="1">
      <x:c r="A1333" s="17" t="n">
        <x:f>ROW()-6</x:f>
        <x:v>1327</x:v>
      </x:c>
      <x:c r="B1333" s="4" t="n">
        <x:f>IF('계산 과정'!$L$5,'계산 과정'!$L$11*SQRT((A1333+0.5)/'계산 과정'!$L$30),"")</x:f>
        <x:v>120.76568463738985</x:v>
      </x:c>
      <x:c r="C1333" s="4" t="n">
        <x:f>A1333*PI()*(3-SQRT(5))</x:f>
        <x:v>3184.7512058499224</x:v>
      </x:c>
      <x:c r="D1333" s="4" t="n">
        <x:f>IF('계산 과정'!$L$5,B1333*COS(C1333),"")</x:f>
        <x:v>82.05767043935025</x:v>
      </x:c>
      <x:c r="E1333" s="4" t="n">
        <x:f>IF('계산 과정'!$L$5,B1333*SIN(C1333),"")</x:f>
        <x:v>-88.60524424662732</x:v>
      </x:c>
      <x:c r="F1333" s="4" t="n">
        <x:f>IF('계산 과정'!$L$7,'계산 과정'!$L$22+'계산 과정'!$C$49*D1333+'계산 과정'!$D$49*E1333,"")</x:f>
        <x:v>591.9764647839645</x:v>
      </x:c>
      <x:c r="G1333" s="4" t="n">
        <x:f>IF('계산 과정'!$L$7,IF(ABS(F1333)&gt;=1E-12*MAX(1,SQRT((D1333-'계산 과정'!$C$33)^2+(E1333-'계산 과정'!$D$33)^2+'계산 과정'!$E$33^2)),('계산 과정'!$L$23-'계산 과정'!$C$49*D1333-'계산 과정'!$D$49*E1333)/F1333,""),"")</x:f>
        <x:v>0.7737191636211184</x:v>
      </x:c>
      <x:c r="H1333" s="4" t="n">
        <x:f>IF(AND(ISNUMBER(G1333),G1333&gt;0),('계산 과정'!$D$56+'계산 과정'!$D$57*D1333+'계산 과정'!$D$58*E1333)/F1333,"")</x:f>
        <x:v>102.91745635372683</x:v>
      </x:c>
      <x:c r="I1333" s="4" t="n">
        <x:f>IF(AND(ISNUMBER(G1333),G1333&gt;0),('계산 과정'!$E$56+'계산 과정'!$E$57*D1333+'계산 과정'!$E$58*E1333)/F1333,"")</x:f>
        <x:v>-157.16081971757274</x:v>
      </x:c>
      <x:c r="J1333" s="4" t="n">
        <x:f>IF('계산 과정'!$L$5,'계산 과정'!$D$6+'계산 과정'!$C$35*D1333+'계산 과정'!$D$35*E1333,"")</x:f>
        <x:v>591.9764647839645</x:v>
      </x:c>
      <x:c r="K1333" s="4" t="n">
        <x:f>IF(AND('계산 과정'!$L$6,J1333&gt;0),'계산 과정'!$D$10*('계산 과정'!$C$38*(D1333-'계산 과정'!$C$32)+'계산 과정'!$D$38*(E1333-'계산 과정'!$D$32)-'계산 과정'!$E$38*'계산 과정'!$E$32)/J1333,"")</x:f>
        <x:v>0.7841330007903009</x:v>
      </x:c>
      <x:c r="L1333" s="4" t="n">
        <x:f>IF(AND('계산 과정'!$L$6,J1333&gt;0),'계산 과정'!$D$10*('계산 과정'!$C$39*(D1333-'계산 과정'!$C$32)+'계산 과정'!$D$39*(E1333-'계산 과정'!$D$32)-'계산 과정'!$E$39*'계산 과정'!$E$32)/J1333,"")</x:f>
        <x:v>-1.1974157692767446</x:v>
      </x:c>
      <x:c r="M1333" s="17" t="n">
        <x:f>IF('계산 과정'!$L$6,IF(J1333&lt;=0,0,IF(AND(ABS(K1333)&lt;='계산 과정'!$D$11/2,ABS(L1333)&lt;='계산 과정'!$D$12/2),1,0)),"")</x:f>
        <x:v>1</x:v>
      </x:c>
      <x:c r="N1333" s="17" t="n">
        <x:f>IF('계산 과정'!$C$78,IF(AND(ISNUMBER(H1333),ISNUMBER(I1333),ABS(H1333-'계산 과정'!$C$88)&lt;='계산 과정'!$D$23/2,ABS(I1333-'계산 과정'!$C$89)&lt;='계산 과정'!$D$24/2),1,0),"")</x:f>
        <x:v>1</x:v>
      </x:c>
      <x:c r="O1333" s="4" t="n">
        <x:f>IF('계산 과정'!$L$7,'계산 과정'!$C$49*('계산 과정'!$C$32-D1333)+'계산 과정'!$D$49*('계산 과정'!$D$32-E1333)+'계산 과정'!$E$49*'계산 과정'!$E$32,"")</x:f>
        <x:v>58.023535216035555</x:v>
      </x:c>
      <x:c r="P1333" s="4" t="n">
        <x:f>IF(AND('계산 과정'!$L$7,O1333&lt;&gt;0),('계산 과정'!$L$23-'계산 과정'!$C$49*D1333-'계산 과정'!$D$49*E1333)/O1333,"")</x:f>
        <x:v>7.893754379334245</x:v>
      </x:c>
      <x:c r="Q1333" s="4" t="str">
        <x:f>IF(AND(ISNUMBER(P1333),P1333&gt;1E-9,P1333&lt;1-1E-9),'계산 과정'!$C$47*(D1333-'계산 과정'!$C$50+P1333*('계산 과정'!$C$32-D1333))+'계산 과정'!$D$47*(E1333-'계산 과정'!$D$50+P1333*('계산 과정'!$D$32-E1333))+'계산 과정'!$E$47*(0-'계산 과정'!$E$50+P1333*('계산 과정'!$E$32-0)),"")</x:f>
      </x:c>
      <x:c r="R1333" s="4" t="str">
        <x:f>IF(AND(ISNUMBER(P1333),P1333&gt;1E-9,P1333&lt;1-1E-9),'계산 과정'!$C$48*(D1333-'계산 과정'!$C$50+P1333*('계산 과정'!$C$32-D1333))+'계산 과정'!$D$48*(E1333-'계산 과정'!$D$50+P1333*('계산 과정'!$D$32-E1333))+'계산 과정'!$E$48*(0-'계산 과정'!$E$50+P1333*('계산 과정'!$E$32-0)),"")</x:f>
      </x:c>
      <x:c r="S1333" s="17" t="n">
        <x:f>IF('계산 과정'!$C$78,IF(AND(ISNUMBER(Q1333),ISNUMBER(R1333),ABS(Q1333-'계산 과정'!$C$88)&lt;='계산 과정'!$D$23/2,ABS(R1333-'계산 과정'!$C$89)&lt;='계산 과정'!$D$24/2),1,0),"")</x:f>
        <x:v>0</x:v>
      </x:c>
      <x:c r="T1333" s="4"/>
      <x:c r="U1333" s="4"/>
      <x:c r="V1333" s="4"/>
      <x:c r="W1333" s="4"/>
      <x:c r="X1333" s="4"/>
      <x:c r="Y1333" s="4"/>
      <x:c r="Z1333" s="4"/>
    </x:row>
    <x:row r="1334" ht="23" customHeight="1">
      <x:c r="A1334" s="17" t="n">
        <x:f>ROW()-6</x:f>
        <x:v>1328</x:v>
      </x:c>
      <x:c r="B1334" s="4" t="n">
        <x:f>IF('계산 과정'!$L$5,'계산 과정'!$L$11*SQRT((A1334+0.5)/'계산 과정'!$L$30),"")</x:f>
        <x:v>120.8111622080613</x:v>
      </x:c>
      <x:c r="C1334" s="4" t="n">
        <x:f>A1334*PI()*(3-SQRT(5))</x:f>
        <x:v>3187.1511690796515</x:v>
      </x:c>
      <x:c r="D1334" s="4" t="n">
        <x:f>IF('계산 과정'!$L$5,B1334*COS(C1334),"")</x:f>
        <x:v>-0.6550364591333087</x:v>
      </x:c>
      <x:c r="E1334" s="4" t="n">
        <x:f>IF('계산 과정'!$L$5,B1334*SIN(C1334),"")</x:f>
        <x:v>120.80938639567583</x:v>
      </x:c>
      <x:c r="F1334" s="4" t="n">
        <x:f>IF('계산 과정'!$L$7,'계산 과정'!$L$22+'계산 과정'!$C$49*D1334+'계산 과정'!$D$49*E1334,"")</x:f>
        <x:v>650.4631807221776</x:v>
      </x:c>
      <x:c r="G1334" s="4" t="n">
        <x:f>IF('계산 과정'!$L$7,IF(ABS(F1334)&gt;=1E-12*MAX(1,SQRT((D1334-'계산 과정'!$C$33)^2+(E1334-'계산 과정'!$D$33)^2+'계산 과정'!$E$33^2)),('계산 과정'!$L$23-'계산 과정'!$C$49*D1334-'계산 과정'!$D$49*E1334)/F1334,""),"")</x:f>
        <x:v>0.6142343350383586</x:v>
      </x:c>
      <x:c r="H1334" s="4" t="n">
        <x:f>IF(AND(ISNUMBER(G1334),G1334&gt;0),('계산 과정'!$D$56+'계산 과정'!$D$57*D1334+'계산 과정'!$D$58*E1334)/F1334,"")</x:f>
        <x:v>-0.7476822250670382</x:v>
      </x:c>
      <x:c r="I1334" s="4" t="n">
        <x:f>IF(AND(ISNUMBER(G1334),G1334&gt;0),('계산 과정'!$E$56+'계산 과정'!$E$57*D1334+'계산 과정'!$E$58*E1334)/F1334,"")</x:f>
        <x:v>195.0146595148159</x:v>
      </x:c>
      <x:c r="J1334" s="4" t="n">
        <x:f>IF('계산 과정'!$L$5,'계산 과정'!$D$6+'계산 과정'!$C$35*D1334+'계산 과정'!$D$35*E1334,"")</x:f>
        <x:v>650.4631807221776</x:v>
      </x:c>
      <x:c r="K1334" s="4" t="n">
        <x:f>IF(AND('계산 과정'!$L$6,J1334&gt;0),'계산 과정'!$D$10*('계산 과정'!$C$38*(D1334-'계산 과정'!$C$32)+'계산 과정'!$D$38*(E1334-'계산 과정'!$D$32)-'계산 과정'!$E$38*'계산 과정'!$E$32)/J1334,"")</x:f>
        <x:v>-0.005696626476700322</x:v>
      </x:c>
      <x:c r="L1334" s="4" t="n">
        <x:f>IF(AND('계산 과정'!$L$6,J1334&gt;0),'계산 과정'!$D$10*('계산 과정'!$C$39*(D1334-'계산 과정'!$C$32)+'계산 과정'!$D$39*(E1334-'계산 과정'!$D$32)-'계산 과정'!$E$39*'계산 과정'!$E$32)/J1334,"")</x:f>
        <x:v>1.48582597725574</x:v>
      </x:c>
      <x:c r="M1334" s="17" t="n">
        <x:f>IF('계산 과정'!$L$6,IF(J1334&lt;=0,0,IF(AND(ABS(K1334)&lt;='계산 과정'!$D$11/2,ABS(L1334)&lt;='계산 과정'!$D$12/2),1,0)),"")</x:f>
        <x:v>1</x:v>
      </x:c>
      <x:c r="N1334" s="17" t="n">
        <x:f>IF('계산 과정'!$C$78,IF(AND(ISNUMBER(H1334),ISNUMBER(I1334),ABS(H1334-'계산 과정'!$C$88)&lt;='계산 과정'!$D$23/2,ABS(I1334-'계산 과정'!$C$89)&lt;='계산 과정'!$D$24/2),1,0),"")</x:f>
        <x:v>1</x:v>
      </x:c>
      <x:c r="O1334" s="4" t="n">
        <x:f>IF('계산 과정'!$L$7,'계산 과정'!$C$49*('계산 과정'!$C$32-D1334)+'계산 과정'!$D$49*('계산 과정'!$D$32-E1334)+'계산 과정'!$E$49*'계산 과정'!$E$32,"")</x:f>
        <x:v>-0.4631807221774693</x:v>
      </x:c>
      <x:c r="P1334" s="4" t="n">
        <x:f>IF(AND('계산 과정'!$L$7,O1334&lt;&gt;0),('계산 과정'!$L$23-'계산 과정'!$C$49*D1334-'계산 과정'!$D$49*E1334)/O1334,"")</x:f>
        <x:v>-862.5938001036634</x:v>
      </x:c>
      <x:c r="Q1334" s="4" t="str">
        <x:f>IF(AND(ISNUMBER(P1334),P1334&gt;1E-9,P1334&lt;1-1E-9),'계산 과정'!$C$47*(D1334-'계산 과정'!$C$50+P1334*('계산 과정'!$C$32-D1334))+'계산 과정'!$D$47*(E1334-'계산 과정'!$D$50+P1334*('계산 과정'!$D$32-E1334))+'계산 과정'!$E$47*(0-'계산 과정'!$E$50+P1334*('계산 과정'!$E$32-0)),"")</x:f>
      </x:c>
      <x:c r="R1334" s="4" t="str">
        <x:f>IF(AND(ISNUMBER(P1334),P1334&gt;1E-9,P1334&lt;1-1E-9),'계산 과정'!$C$48*(D1334-'계산 과정'!$C$50+P1334*('계산 과정'!$C$32-D1334))+'계산 과정'!$D$48*(E1334-'계산 과정'!$D$50+P1334*('계산 과정'!$D$32-E1334))+'계산 과정'!$E$48*(0-'계산 과정'!$E$50+P1334*('계산 과정'!$E$32-0)),"")</x:f>
      </x:c>
      <x:c r="S1334" s="17" t="n">
        <x:f>IF('계산 과정'!$C$78,IF(AND(ISNUMBER(Q1334),ISNUMBER(R1334),ABS(Q1334-'계산 과정'!$C$88)&lt;='계산 과정'!$D$23/2,ABS(R1334-'계산 과정'!$C$89)&lt;='계산 과정'!$D$24/2),1,0),"")</x:f>
        <x:v>0</x:v>
      </x:c>
      <x:c r="T1334" s="4"/>
      <x:c r="U1334" s="4"/>
      <x:c r="V1334" s="4"/>
      <x:c r="W1334" s="4"/>
      <x:c r="X1334" s="4"/>
      <x:c r="Y1334" s="4"/>
      <x:c r="Z1334" s="4"/>
    </x:row>
    <x:row r="1335" ht="23" customHeight="1">
      <x:c r="A1335" s="17" t="n">
        <x:f>ROW()-6</x:f>
        <x:v>1329</x:v>
      </x:c>
      <x:c r="B1335" s="4" t="n">
        <x:f>IF('계산 과정'!$L$5,'계산 과정'!$L$11*SQRT((A1335+0.5)/'계산 과정'!$L$30),"")</x:f>
        <x:v>120.85662266581629</x:v>
      </x:c>
      <x:c r="C1335" s="4" t="n">
        <x:f>A1335*PI()*(3-SQRT(5))</x:f>
        <x:v>3189.5511323093797</x:v>
      </x:c>
      <x:c r="D1335" s="4" t="n">
        <x:f>IF('계산 과정'!$L$5,B1335*COS(C1335),"")</x:f>
        <x:v>-81.15309036255584</x:v>
      </x:c>
      <x:c r="E1335" s="4" t="n">
        <x:f>IF('계산 과정'!$L$5,B1335*SIN(C1335),"")</x:f>
        <x:v>-89.55723961129186</x:v>
      </x:c>
      <x:c r="F1335" s="4" t="n">
        <x:f>IF('계산 과정'!$L$7,'계산 과정'!$L$22+'계산 과정'!$C$49*D1335+'계산 과정'!$D$49*E1335,"")</x:f>
        <x:v>707.3839005096079</x:v>
      </x:c>
      <x:c r="G1335" s="4" t="n">
        <x:f>IF('계산 과정'!$L$7,IF(ABS(F1335)&gt;=1E-12*MAX(1,SQRT((D1335-'계산 과정'!$C$33)^2+(E1335-'계산 과정'!$D$33)^2+'계산 과정'!$E$33^2)),('계산 과정'!$L$23-'계산 과정'!$C$49*D1335-'계산 과정'!$D$49*E1335)/F1335,""),"")</x:f>
        <x:v>0.4843425178938443</x:v>
      </x:c>
      <x:c r="H1335" s="4" t="n">
        <x:f>IF(AND(ISNUMBER(G1335),G1335&gt;0),('계산 과정'!$D$56+'계산 과정'!$D$57*D1335+'계산 과정'!$D$58*E1335)/F1335,"")</x:f>
        <x:v>-85.17736336900136</x:v>
      </x:c>
      <x:c r="I1335" s="4" t="n">
        <x:f>IF(AND(ISNUMBER(G1335),G1335&gt;0),('계산 과정'!$E$56+'계산 과정'!$E$57*D1335+'계산 과정'!$E$58*E1335)/F1335,"")</x:f>
        <x:v>-132.9336185402473</x:v>
      </x:c>
      <x:c r="J1335" s="4" t="n">
        <x:f>IF('계산 과정'!$L$5,'계산 과정'!$D$6+'계산 과정'!$C$35*D1335+'계산 과정'!$D$35*E1335,"")</x:f>
        <x:v>707.3839005096079</x:v>
      </x:c>
      <x:c r="K1335" s="4" t="n">
        <x:f>IF(AND('계산 과정'!$L$6,J1335&gt;0),'계산 과정'!$D$10*('계산 과정'!$C$38*(D1335-'계산 과정'!$C$32)+'계산 과정'!$D$38*(E1335-'계산 과정'!$D$32)-'계산 과정'!$E$38*'계산 과정'!$E$32)/J1335,"")</x:f>
        <x:v>-0.6489703875733426</x:v>
      </x:c>
      <x:c r="L1335" s="4" t="n">
        <x:f>IF(AND('계산 과정'!$L$6,J1335&gt;0),'계산 과정'!$D$10*('계산 과정'!$C$39*(D1335-'계산 과정'!$C$32)+'계산 과정'!$D$39*(E1335-'계산 과정'!$D$32)-'계산 과정'!$E$39*'계산 과정'!$E$32)/J1335,"")</x:f>
        <x:v>-1.0128275698304556</x:v>
      </x:c>
      <x:c r="M1335" s="17" t="n">
        <x:f>IF('계산 과정'!$L$6,IF(J1335&lt;=0,0,IF(AND(ABS(K1335)&lt;='계산 과정'!$D$11/2,ABS(L1335)&lt;='계산 과정'!$D$12/2),1,0)),"")</x:f>
        <x:v>1</x:v>
      </x:c>
      <x:c r="N1335" s="17" t="n">
        <x:f>IF('계산 과정'!$C$78,IF(AND(ISNUMBER(H1335),ISNUMBER(I1335),ABS(H1335-'계산 과정'!$C$88)&lt;='계산 과정'!$D$23/2,ABS(I1335-'계산 과정'!$C$89)&lt;='계산 과정'!$D$24/2),1,0),"")</x:f>
        <x:v>1</x:v>
      </x:c>
      <x:c r="O1335" s="4" t="n">
        <x:f>IF('계산 과정'!$L$7,'계산 과정'!$C$49*('계산 과정'!$C$32-D1335)+'계산 과정'!$D$49*('계산 과정'!$D$32-E1335)+'계산 과정'!$E$49*'계산 과정'!$E$32,"")</x:f>
        <x:v>-57.38390050960777</x:v>
      </x:c>
      <x:c r="P1335" s="4" t="n">
        <x:f>IF(AND('계산 과정'!$L$7,O1335&lt;&gt;0),('계산 과정'!$L$23-'계산 과정'!$C$49*D1335-'계산 과정'!$D$49*E1335)/O1335,"")</x:f>
        <x:v>-5.970596220328871</x:v>
      </x:c>
      <x:c r="Q1335" s="4" t="str">
        <x:f>IF(AND(ISNUMBER(P1335),P1335&gt;1E-9,P1335&lt;1-1E-9),'계산 과정'!$C$47*(D1335-'계산 과정'!$C$50+P1335*('계산 과정'!$C$32-D1335))+'계산 과정'!$D$47*(E1335-'계산 과정'!$D$50+P1335*('계산 과정'!$D$32-E1335))+'계산 과정'!$E$47*(0-'계산 과정'!$E$50+P1335*('계산 과정'!$E$32-0)),"")</x:f>
      </x:c>
      <x:c r="R1335" s="4" t="str">
        <x:f>IF(AND(ISNUMBER(P1335),P1335&gt;1E-9,P1335&lt;1-1E-9),'계산 과정'!$C$48*(D1335-'계산 과정'!$C$50+P1335*('계산 과정'!$C$32-D1335))+'계산 과정'!$D$48*(E1335-'계산 과정'!$D$50+P1335*('계산 과정'!$D$32-E1335))+'계산 과정'!$E$48*(0-'계산 과정'!$E$50+P1335*('계산 과정'!$E$32-0)),"")</x:f>
      </x:c>
      <x:c r="S1335" s="17" t="n">
        <x:f>IF('계산 과정'!$C$78,IF(AND(ISNUMBER(Q1335),ISNUMBER(R1335),ABS(Q1335-'계산 과정'!$C$88)&lt;='계산 과정'!$D$23/2,ABS(R1335-'계산 과정'!$C$89)&lt;='계산 과정'!$D$24/2),1,0),"")</x:f>
        <x:v>0</x:v>
      </x:c>
      <x:c r="T1335" s="4"/>
      <x:c r="U1335" s="4"/>
      <x:c r="V1335" s="4"/>
      <x:c r="W1335" s="4"/>
      <x:c r="X1335" s="4"/>
      <x:c r="Y1335" s="4"/>
      <x:c r="Z1335" s="4"/>
    </x:row>
    <x:row r="1336" ht="23" customHeight="1">
      <x:c r="A1336" s="17" t="n">
        <x:f>ROW()-6</x:f>
        <x:v>1330</x:v>
      </x:c>
      <x:c r="B1336" s="4" t="n">
        <x:f>IF('계산 과정'!$L$5,'계산 과정'!$L$11*SQRT((A1336+0.5)/'계산 과정'!$L$30),"")</x:f>
        <x:v>120.90206602995872</x:v>
      </x:c>
      <x:c r="C1336" s="4" t="n">
        <x:f>A1336*PI()*(3-SQRT(5))</x:f>
        <x:v>3191.9510955391083</x:v>
      </x:c>
      <x:c r="D1336" s="4" t="n">
        <x:f>IF('계산 과정'!$L$5,B1336*COS(C1336),"")</x:f>
        <x:v>120.38005648833561</x:v>
      </x:c>
      <x:c r="E1336" s="4" t="n">
        <x:f>IF('계산 과정'!$L$5,B1336*SIN(C1336),"")</x:f>
        <x:v>11.222814717245612</x:v>
      </x:c>
      <x:c r="F1336" s="4" t="n">
        <x:f>IF('계산 과정'!$L$7,'계산 과정'!$L$22+'계산 과정'!$C$49*D1336+'계산 과정'!$D$49*E1336,"")</x:f>
        <x:v>564.8784457374783</x:v>
      </x:c>
      <x:c r="G1336" s="4" t="n">
        <x:f>IF('계산 과정'!$L$7,IF(ABS(F1336)&gt;=1E-12*MAX(1,SQRT((D1336-'계산 과정'!$C$33)^2+(E1336-'계산 과정'!$D$33)^2+'계산 과정'!$E$33^2)),('계산 과정'!$L$23-'계산 과정'!$C$49*D1336-'계산 과정'!$D$49*E1336)/F1336,""),"")</x:f>
        <x:v>0.8588069839152214</x:v>
      </x:c>
      <x:c r="H1336" s="4" t="n">
        <x:f>IF(AND(ISNUMBER(G1336),G1336&gt;0),('계산 과정'!$D$56+'계산 과정'!$D$57*D1336+'계산 과정'!$D$58*E1336)/F1336,"")</x:f>
        <x:v>158.22453954489384</x:v>
      </x:c>
      <x:c r="I1336" s="4" t="n">
        <x:f>IF(AND(ISNUMBER(G1336),G1336&gt;0),('계산 과정'!$E$56+'계산 과정'!$E$57*D1336+'계산 과정'!$E$58*E1336)/F1336,"")</x:f>
        <x:v>20.861046375602672</x:v>
      </x:c>
      <x:c r="J1336" s="4" t="n">
        <x:f>IF('계산 과정'!$L$5,'계산 과정'!$D$6+'계산 과정'!$C$35*D1336+'계산 과정'!$D$35*E1336,"")</x:f>
        <x:v>564.8784457374783</x:v>
      </x:c>
      <x:c r="K1336" s="4" t="n">
        <x:f>IF(AND('계산 과정'!$L$6,J1336&gt;0),'계산 과정'!$D$10*('계산 과정'!$C$38*(D1336-'계산 과정'!$C$32)+'계산 과정'!$D$38*(E1336-'계산 과정'!$D$32)-'계산 과정'!$E$38*'계산 과정'!$E$32)/J1336,"")</x:f>
        <x:v>1.2055203012944302</x:v>
      </x:c>
      <x:c r="L1336" s="4" t="n">
        <x:f>IF(AND('계산 과정'!$L$6,J1336&gt;0),'계산 과정'!$D$10*('계산 과정'!$C$39*(D1336-'계산 과정'!$C$32)+'계산 과정'!$D$39*(E1336-'계산 과정'!$D$32)-'계산 과정'!$E$39*'계산 과정'!$E$32)/J1336,"")</x:f>
        <x:v>0.15894130571887752</x:v>
      </x:c>
      <x:c r="M1336" s="17" t="n">
        <x:f>IF('계산 과정'!$L$6,IF(J1336&lt;=0,0,IF(AND(ABS(K1336)&lt;='계산 과정'!$D$11/2,ABS(L1336)&lt;='계산 과정'!$D$12/2),1,0)),"")</x:f>
        <x:v>1</x:v>
      </x:c>
      <x:c r="N1336" s="17" t="n">
        <x:f>IF('계산 과정'!$C$78,IF(AND(ISNUMBER(H1336),ISNUMBER(I1336),ABS(H1336-'계산 과정'!$C$88)&lt;='계산 과정'!$D$23/2,ABS(I1336-'계산 과정'!$C$89)&lt;='계산 과정'!$D$24/2),1,0),"")</x:f>
        <x:v>1</x:v>
      </x:c>
      <x:c r="O1336" s="4" t="n">
        <x:f>IF('계산 과정'!$L$7,'계산 과정'!$C$49*('계산 과정'!$C$32-D1336)+'계산 과정'!$D$49*('계산 과정'!$D$32-E1336)+'계산 과정'!$E$49*'계산 과정'!$E$32,"")</x:f>
        <x:v>85.1215542625219</x:v>
      </x:c>
      <x:c r="P1336" s="4" t="n">
        <x:f>IF(AND('계산 과정'!$L$7,O1336&lt;&gt;0),('계산 과정'!$L$23-'계산 과정'!$C$49*D1336-'계산 과정'!$D$49*E1336)/O1336,"")</x:f>
        <x:v>5.699162315180088</x:v>
      </x:c>
      <x:c r="Q1336" s="4" t="str">
        <x:f>IF(AND(ISNUMBER(P1336),P1336&gt;1E-9,P1336&lt;1-1E-9),'계산 과정'!$C$47*(D1336-'계산 과정'!$C$50+P1336*('계산 과정'!$C$32-D1336))+'계산 과정'!$D$47*(E1336-'계산 과정'!$D$50+P1336*('계산 과정'!$D$32-E1336))+'계산 과정'!$E$47*(0-'계산 과정'!$E$50+P1336*('계산 과정'!$E$32-0)),"")</x:f>
      </x:c>
      <x:c r="R1336" s="4" t="str">
        <x:f>IF(AND(ISNUMBER(P1336),P1336&gt;1E-9,P1336&lt;1-1E-9),'계산 과정'!$C$48*(D1336-'계산 과정'!$C$50+P1336*('계산 과정'!$C$32-D1336))+'계산 과정'!$D$48*(E1336-'계산 과정'!$D$50+P1336*('계산 과정'!$D$32-E1336))+'계산 과정'!$E$48*(0-'계산 과정'!$E$50+P1336*('계산 과정'!$E$32-0)),"")</x:f>
      </x:c>
      <x:c r="S1336" s="17" t="n">
        <x:f>IF('계산 과정'!$C$78,IF(AND(ISNUMBER(Q1336),ISNUMBER(R1336),ABS(Q1336-'계산 과정'!$C$88)&lt;='계산 과정'!$D$23/2,ABS(R1336-'계산 과정'!$C$89)&lt;='계산 과정'!$D$24/2),1,0),"")</x:f>
        <x:v>0</x:v>
      </x:c>
      <x:c r="T1336" s="4"/>
      <x:c r="U1336" s="4"/>
      <x:c r="V1336" s="4"/>
      <x:c r="W1336" s="4"/>
      <x:c r="X1336" s="4"/>
      <x:c r="Y1336" s="4"/>
      <x:c r="Z1336" s="4"/>
    </x:row>
    <x:row r="1337" ht="23" customHeight="1">
      <x:c r="A1337" s="17" t="n">
        <x:f>ROW()-6</x:f>
        <x:v>1331</x:v>
      </x:c>
      <x:c r="B1337" s="4" t="n">
        <x:f>IF('계산 과정'!$L$5,'계산 과정'!$L$11*SQRT((A1337+0.5)/'계산 과정'!$L$30),"")</x:f>
        <x:v>120.94749231975626</x:v>
      </x:c>
      <x:c r="C1337" s="4" t="n">
        <x:f>A1337*PI()*(3-SQRT(5))</x:f>
        <x:v>3194.3510587688365</x:v>
      </x:c>
      <x:c r="D1337" s="4" t="n">
        <x:f>IF('계산 과정'!$L$5,B1337*COS(C1337),"")</x:f>
        <x:v>-96.38160927830404</x:v>
      </x:c>
      <x:c r="E1337" s="4" t="n">
        <x:f>IF('계산 과정'!$L$5,B1337*SIN(C1337),"")</x:f>
        <x:v>73.06764873295046</x:v>
      </x:c>
      <x:c r="F1337" s="4" t="n">
        <x:f>IF('계산 과정'!$L$7,'계산 과정'!$L$22+'계산 과정'!$C$49*D1337+'계산 과정'!$D$49*E1337,"")</x:f>
        <x:v>718.152089502361</x:v>
      </x:c>
      <x:c r="G1337" s="4" t="n">
        <x:f>IF('계산 과정'!$L$7,IF(ABS(F1337)&gt;=1E-12*MAX(1,SQRT((D1337-'계산 과정'!$C$33)^2+(E1337-'계산 과정'!$D$33)^2+'계산 과정'!$E$33^2)),('계산 과정'!$L$23-'계산 과정'!$C$49*D1337-'계산 과정'!$D$49*E1337)/F1337,""),"")</x:f>
        <x:v>0.46208583856880636</x:v>
      </x:c>
      <x:c r="H1337" s="4" t="n">
        <x:f>IF(AND(ISNUMBER(G1337),G1337&gt;0),('계산 과정'!$D$56+'계산 과정'!$D$57*D1337+'계산 과정'!$D$58*E1337)/F1337,"")</x:f>
        <x:v>-99.64420493027603</x:v>
      </x:c>
      <x:c r="I1337" s="4" t="n">
        <x:f>IF(AND(ISNUMBER(G1337),G1337&gt;0),('계산 과정'!$E$56+'계산 과정'!$E$57*D1337+'계산 과정'!$E$58*E1337)/F1337,"")</x:f>
        <x:v>106.83117446996684</x:v>
      </x:c>
      <x:c r="J1337" s="4" t="n">
        <x:f>IF('계산 과정'!$L$5,'계산 과정'!$D$6+'계산 과정'!$C$35*D1337+'계산 과정'!$D$35*E1337,"")</x:f>
        <x:v>718.152089502361</x:v>
      </x:c>
      <x:c r="K1337" s="4" t="n">
        <x:f>IF(AND('계산 과정'!$L$6,J1337&gt;0),'계산 과정'!$D$10*('계산 과정'!$C$38*(D1337-'계산 과정'!$C$32)+'계산 과정'!$D$38*(E1337-'계산 과정'!$D$32)-'계산 과정'!$E$38*'계산 과정'!$E$32)/J1337,"")</x:f>
        <x:v>-0.7591939423259114</x:v>
      </x:c>
      <x:c r="L1337" s="4" t="n">
        <x:f>IF(AND('계산 과정'!$L$6,J1337&gt;0),'계산 과정'!$D$10*('계산 과정'!$C$39*(D1337-'계산 과정'!$C$32)+'계산 과정'!$D$39*(E1337-'계산 과정'!$D$32)-'계산 과정'!$E$39*'계산 과정'!$E$32)/J1337,"")</x:f>
        <x:v>0.8139518054854618</x:v>
      </x:c>
      <x:c r="M1337" s="17" t="n">
        <x:f>IF('계산 과정'!$L$6,IF(J1337&lt;=0,0,IF(AND(ABS(K1337)&lt;='계산 과정'!$D$11/2,ABS(L1337)&lt;='계산 과정'!$D$12/2),1,0)),"")</x:f>
        <x:v>1</x:v>
      </x:c>
      <x:c r="N1337" s="17" t="n">
        <x:f>IF('계산 과정'!$C$78,IF(AND(ISNUMBER(H1337),ISNUMBER(I1337),ABS(H1337-'계산 과정'!$C$88)&lt;='계산 과정'!$D$23/2,ABS(I1337-'계산 과정'!$C$89)&lt;='계산 과정'!$D$24/2),1,0),"")</x:f>
        <x:v>1</x:v>
      </x:c>
      <x:c r="O1337" s="4" t="n">
        <x:f>IF('계산 과정'!$L$7,'계산 과정'!$C$49*('계산 과정'!$C$32-D1337)+'계산 과정'!$D$49*('계산 과정'!$D$32-E1337)+'계산 과정'!$E$49*'계산 과정'!$E$32,"")</x:f>
        <x:v>-68.15208950236092</x:v>
      </x:c>
      <x:c r="P1337" s="4" t="n">
        <x:f>IF(AND('계산 과정'!$L$7,O1337&lt;&gt;0),('계산 과정'!$L$23-'계산 과정'!$C$49*D1337-'계산 과정'!$D$49*E1337)/O1337,"")</x:f>
        <x:v>-4.869225770196571</x:v>
      </x:c>
      <x:c r="Q1337" s="4" t="str">
        <x:f>IF(AND(ISNUMBER(P1337),P1337&gt;1E-9,P1337&lt;1-1E-9),'계산 과정'!$C$47*(D1337-'계산 과정'!$C$50+P1337*('계산 과정'!$C$32-D1337))+'계산 과정'!$D$47*(E1337-'계산 과정'!$D$50+P1337*('계산 과정'!$D$32-E1337))+'계산 과정'!$E$47*(0-'계산 과정'!$E$50+P1337*('계산 과정'!$E$32-0)),"")</x:f>
      </x:c>
      <x:c r="R1337" s="4" t="str">
        <x:f>IF(AND(ISNUMBER(P1337),P1337&gt;1E-9,P1337&lt;1-1E-9),'계산 과정'!$C$48*(D1337-'계산 과정'!$C$50+P1337*('계산 과정'!$C$32-D1337))+'계산 과정'!$D$48*(E1337-'계산 과정'!$D$50+P1337*('계산 과정'!$D$32-E1337))+'계산 과정'!$E$48*(0-'계산 과정'!$E$50+P1337*('계산 과정'!$E$32-0)),"")</x:f>
      </x:c>
      <x:c r="S1337" s="17" t="n">
        <x:f>IF('계산 과정'!$C$78,IF(AND(ISNUMBER(Q1337),ISNUMBER(R1337),ABS(Q1337-'계산 과정'!$C$88)&lt;='계산 과정'!$D$23/2,ABS(R1337-'계산 과정'!$C$89)&lt;='계산 과정'!$D$24/2),1,0),"")</x:f>
        <x:v>0</x:v>
      </x:c>
      <x:c r="T1337" s="4"/>
      <x:c r="U1337" s="4"/>
      <x:c r="V1337" s="4"/>
      <x:c r="W1337" s="4"/>
      <x:c r="X1337" s="4"/>
      <x:c r="Y1337" s="4"/>
      <x:c r="Z1337" s="4"/>
    </x:row>
    <x:row r="1338" ht="23" customHeight="1">
      <x:c r="A1338" s="17" t="n">
        <x:f>ROW()-6</x:f>
        <x:v>1332</x:v>
      </x:c>
      <x:c r="B1338" s="4" t="n">
        <x:f>IF('계산 과정'!$L$5,'계산 과정'!$L$11*SQRT((A1338+0.5)/'계산 과정'!$L$30),"")</x:f>
        <x:v>120.99290155444038</x:v>
      </x:c>
      <x:c r="C1338" s="4" t="n">
        <x:f>A1338*PI()*(3-SQRT(5))</x:f>
        <x:v>3196.7510219985656</x:v>
      </x:c>
      <x:c r="D1338" s="4" t="n">
        <x:f>IF('계산 과정'!$L$5,B1338*COS(C1338),"")</x:f>
        <x:v>21.720463354742314</x:v>
      </x:c>
      <x:c r="E1338" s="4" t="n">
        <x:f>IF('계산 과정'!$L$5,B1338*SIN(C1338),"")</x:f>
        <x:v>-119.02732332627579</x:v>
      </x:c>
      <x:c r="F1338" s="4" t="n">
        <x:f>IF('계산 과정'!$L$7,'계산 과정'!$L$22+'계산 과정'!$C$49*D1338+'계산 과정'!$D$49*E1338,"")</x:f>
        <x:v>634.6413130713478</x:v>
      </x:c>
      <x:c r="G1338" s="4" t="n">
        <x:f>IF('계산 과정'!$L$7,IF(ABS(F1338)&gt;=1E-12*MAX(1,SQRT((D1338-'계산 과정'!$C$33)^2+(E1338-'계산 과정'!$D$33)^2+'계산 과정'!$E$33^2)),('계산 과정'!$L$23-'계산 과정'!$C$49*D1338-'계산 과정'!$D$49*E1338)/F1338,""),"")</x:f>
        <x:v>0.654477857608297</x:v>
      </x:c>
      <x:c r="H1338" s="4" t="n">
        <x:f>IF(AND(ISNUMBER(G1338),G1338&gt;0),('계산 과정'!$D$56+'계산 과정'!$D$57*D1338+'계산 과정'!$D$58*E1338)/F1338,"")</x:f>
        <x:v>25.410607445392934</x:v>
      </x:c>
      <x:c r="I1338" s="4" t="n">
        <x:f>IF(AND(ISNUMBER(G1338),G1338&gt;0),('계산 과정'!$E$56+'계산 과정'!$E$57*D1338+'계산 과정'!$E$58*E1338)/F1338,"")</x:f>
        <x:v>-196.92807089370683</x:v>
      </x:c>
      <x:c r="J1338" s="4" t="n">
        <x:f>IF('계산 과정'!$L$5,'계산 과정'!$D$6+'계산 과정'!$C$35*D1338+'계산 과정'!$D$35*E1338,"")</x:f>
        <x:v>634.6413130713478</x:v>
      </x:c>
      <x:c r="K1338" s="4" t="n">
        <x:f>IF(AND('계산 과정'!$L$6,J1338&gt;0),'계산 과정'!$D$10*('계산 과정'!$C$38*(D1338-'계산 과정'!$C$32)+'계산 과정'!$D$38*(E1338-'계산 과정'!$D$32)-'계산 과정'!$E$38*'계산 과정'!$E$32)/J1338,"")</x:f>
        <x:v>0.19360462815537582</x:v>
      </x:c>
      <x:c r="L1338" s="4" t="n">
        <x:f>IF(AND('계산 과정'!$L$6,J1338&gt;0),'계산 과정'!$D$10*('계산 과정'!$C$39*(D1338-'계산 과정'!$C$32)+'계산 과정'!$D$39*(E1338-'계산 과정'!$D$32)-'계산 과정'!$E$39*'계산 과정'!$E$32)/J1338,"")</x:f>
        <x:v>-1.500404349666338</x:v>
      </x:c>
      <x:c r="M1338" s="17" t="n">
        <x:f>IF('계산 과정'!$L$6,IF(J1338&lt;=0,0,IF(AND(ABS(K1338)&lt;='계산 과정'!$D$11/2,ABS(L1338)&lt;='계산 과정'!$D$12/2),1,0)),"")</x:f>
        <x:v>1</x:v>
      </x:c>
      <x:c r="N1338" s="17" t="n">
        <x:f>IF('계산 과정'!$C$78,IF(AND(ISNUMBER(H1338),ISNUMBER(I1338),ABS(H1338-'계산 과정'!$C$88)&lt;='계산 과정'!$D$23/2,ABS(I1338-'계산 과정'!$C$89)&lt;='계산 과정'!$D$24/2),1,0),"")</x:f>
        <x:v>1</x:v>
      </x:c>
      <x:c r="O1338" s="4" t="n">
        <x:f>IF('계산 과정'!$L$7,'계산 과정'!$C$49*('계산 과정'!$C$32-D1338)+'계산 과정'!$D$49*('계산 과정'!$D$32-E1338)+'계산 과정'!$E$49*'계산 과정'!$E$32,"")</x:f>
        <x:v>15.358686928652332</x:v>
      </x:c>
      <x:c r="P1338" s="4" t="n">
        <x:f>IF(AND('계산 과정'!$L$7,O1338&lt;&gt;0),('계산 과정'!$L$23-'계산 과정'!$C$49*D1338-'계산 과정'!$D$49*E1338)/O1338,"")</x:f>
        <x:v>27.04389306573999</x:v>
      </x:c>
      <x:c r="Q1338" s="4" t="str">
        <x:f>IF(AND(ISNUMBER(P1338),P1338&gt;1E-9,P1338&lt;1-1E-9),'계산 과정'!$C$47*(D1338-'계산 과정'!$C$50+P1338*('계산 과정'!$C$32-D1338))+'계산 과정'!$D$47*(E1338-'계산 과정'!$D$50+P1338*('계산 과정'!$D$32-E1338))+'계산 과정'!$E$47*(0-'계산 과정'!$E$50+P1338*('계산 과정'!$E$32-0)),"")</x:f>
      </x:c>
      <x:c r="R1338" s="4" t="str">
        <x:f>IF(AND(ISNUMBER(P1338),P1338&gt;1E-9,P1338&lt;1-1E-9),'계산 과정'!$C$48*(D1338-'계산 과정'!$C$50+P1338*('계산 과정'!$C$32-D1338))+'계산 과정'!$D$48*(E1338-'계산 과정'!$D$50+P1338*('계산 과정'!$D$32-E1338))+'계산 과정'!$E$48*(0-'계산 과정'!$E$50+P1338*('계산 과정'!$E$32-0)),"")</x:f>
      </x:c>
      <x:c r="S1338" s="17" t="n">
        <x:f>IF('계산 과정'!$C$78,IF(AND(ISNUMBER(Q1338),ISNUMBER(R1338),ABS(Q1338-'계산 과정'!$C$88)&lt;='계산 과정'!$D$23/2,ABS(R1338-'계산 과정'!$C$89)&lt;='계산 과정'!$D$24/2),1,0),"")</x:f>
        <x:v>0</x:v>
      </x:c>
      <x:c r="T1338" s="4"/>
      <x:c r="U1338" s="4"/>
      <x:c r="V1338" s="4"/>
      <x:c r="W1338" s="4"/>
      <x:c r="X1338" s="4"/>
      <x:c r="Y1338" s="4"/>
      <x:c r="Z1338" s="4"/>
    </x:row>
    <x:row r="1339" ht="23" customHeight="1">
      <x:c r="A1339" s="17" t="n">
        <x:f>ROW()-6</x:f>
        <x:v>1333</x:v>
      </x:c>
      <x:c r="B1339" s="4" t="n">
        <x:f>IF('계산 과정'!$L$5,'계산 과정'!$L$11*SQRT((A1339+0.5)/'계산 과정'!$L$30),"")</x:f>
        <x:v>121.03829375320647</x:v>
      </x:c>
      <x:c r="C1339" s="4" t="n">
        <x:f>A1339*PI()*(3-SQRT(5))</x:f>
        <x:v>3199.1509852282943</x:v>
      </x:c>
      <x:c r="D1339" s="4" t="n">
        <x:f>IF('계산 과정'!$L$5,B1339*COS(C1339),"")</x:f>
        <x:v>64.40996321035597</x:v>
      </x:c>
      <x:c r="E1339" s="4" t="n">
        <x:f>IF('계산 과정'!$L$5,B1339*SIN(C1339),"")</x:f>
        <x:v>102.47743748712733</x:v>
      </x:c>
      <x:c r="F1339" s="4" t="n">
        <x:f>IF('계산 과정'!$L$7,'계산 과정'!$L$22+'계산 과정'!$C$49*D1339+'계산 과정'!$D$49*E1339,"")</x:f>
        <x:v>604.4552782379812</x:v>
      </x:c>
      <x:c r="G1339" s="4" t="n">
        <x:f>IF('계산 과정'!$L$7,IF(ABS(F1339)&gt;=1E-12*MAX(1,SQRT((D1339-'계산 과정'!$C$33)^2+(E1339-'계산 과정'!$D$33)^2+'계산 과정'!$E$33^2)),('계산 과정'!$L$23-'계산 과정'!$C$49*D1339-'계산 과정'!$D$49*E1339)/F1339,""),"")</x:f>
        <x:v>0.7371012179111165</x:v>
      </x:c>
      <x:c r="H1339" s="4" t="n">
        <x:f>IF(AND(ISNUMBER(G1339),G1339&gt;0),('계산 과정'!$D$56+'계산 과정'!$D$57*D1339+'계산 과정'!$D$58*E1339)/F1339,"")</x:f>
        <x:v>79.1157916422256</x:v>
      </x:c>
      <x:c r="I1339" s="4" t="n">
        <x:f>IF(AND(ISNUMBER(G1339),G1339&gt;0),('계산 과정'!$E$56+'계산 과정'!$E$57*D1339+'계산 과정'!$E$58*E1339)/F1339,"")</x:f>
        <x:v>178.0136814672992</x:v>
      </x:c>
      <x:c r="J1339" s="4" t="n">
        <x:f>IF('계산 과정'!$L$5,'계산 과정'!$D$6+'계산 과정'!$C$35*D1339+'계산 과정'!$D$35*E1339,"")</x:f>
        <x:v>604.4552782379812</x:v>
      </x:c>
      <x:c r="K1339" s="4" t="n">
        <x:f>IF(AND('계산 과정'!$L$6,J1339&gt;0),'계산 과정'!$D$10*('계산 과정'!$C$38*(D1339-'계산 과정'!$C$32)+'계산 과정'!$D$38*(E1339-'계산 과정'!$D$32)-'계산 과정'!$E$38*'계산 과정'!$E$32)/J1339,"")</x:f>
        <x:v>0.6027869839407672</x:v>
      </x:c>
      <x:c r="L1339" s="4" t="n">
        <x:f>IF(AND('계산 과정'!$L$6,J1339&gt;0),'계산 과정'!$D$10*('계산 과정'!$C$39*(D1339-'계산 과정'!$C$32)+'계산 과정'!$D$39*(E1339-'계산 과정'!$D$32)-'계산 과정'!$E$39*'계산 과정'!$E$32)/J1339,"")</x:f>
        <x:v>1.3562947159413272</x:v>
      </x:c>
      <x:c r="M1339" s="17" t="n">
        <x:f>IF('계산 과정'!$L$6,IF(J1339&lt;=0,0,IF(AND(ABS(K1339)&lt;='계산 과정'!$D$11/2,ABS(L1339)&lt;='계산 과정'!$D$12/2),1,0)),"")</x:f>
        <x:v>1</x:v>
      </x:c>
      <x:c r="N1339" s="17" t="n">
        <x:f>IF('계산 과정'!$C$78,IF(AND(ISNUMBER(H1339),ISNUMBER(I1339),ABS(H1339-'계산 과정'!$C$88)&lt;='계산 과정'!$D$23/2,ABS(I1339-'계산 과정'!$C$89)&lt;='계산 과정'!$D$24/2),1,0),"")</x:f>
        <x:v>1</x:v>
      </x:c>
      <x:c r="O1339" s="4" t="n">
        <x:f>IF('계산 과정'!$L$7,'계산 과정'!$C$49*('계산 과정'!$C$32-D1339)+'계산 과정'!$D$49*('계산 과정'!$D$32-E1339)+'계산 과정'!$E$49*'계산 과정'!$E$32,"")</x:f>
        <x:v>45.54472176201887</x:v>
      </x:c>
      <x:c r="P1339" s="4" t="n">
        <x:f>IF(AND('계산 과정'!$L$7,O1339&lt;&gt;0),('계산 과정'!$L$23-'계산 과정'!$C$49*D1339-'계산 과정'!$D$49*E1339)/O1339,"")</x:f>
        <x:v>9.782576433117484</x:v>
      </x:c>
      <x:c r="Q1339" s="4" t="str">
        <x:f>IF(AND(ISNUMBER(P1339),P1339&gt;1E-9,P1339&lt;1-1E-9),'계산 과정'!$C$47*(D1339-'계산 과정'!$C$50+P1339*('계산 과정'!$C$32-D1339))+'계산 과정'!$D$47*(E1339-'계산 과정'!$D$50+P1339*('계산 과정'!$D$32-E1339))+'계산 과정'!$E$47*(0-'계산 과정'!$E$50+P1339*('계산 과정'!$E$32-0)),"")</x:f>
      </x:c>
      <x:c r="R1339" s="4" t="str">
        <x:f>IF(AND(ISNUMBER(P1339),P1339&gt;1E-9,P1339&lt;1-1E-9),'계산 과정'!$C$48*(D1339-'계산 과정'!$C$50+P1339*('계산 과정'!$C$32-D1339))+'계산 과정'!$D$48*(E1339-'계산 과정'!$D$50+P1339*('계산 과정'!$D$32-E1339))+'계산 과정'!$E$48*(0-'계산 과정'!$E$50+P1339*('계산 과정'!$E$32-0)),"")</x:f>
      </x:c>
      <x:c r="S1339" s="17" t="n">
        <x:f>IF('계산 과정'!$C$78,IF(AND(ISNUMBER(Q1339),ISNUMBER(R1339),ABS(Q1339-'계산 과정'!$C$88)&lt;='계산 과정'!$D$23/2,ABS(R1339-'계산 과정'!$C$89)&lt;='계산 과정'!$D$24/2),1,0),"")</x:f>
        <x:v>0</x:v>
      </x:c>
      <x:c r="T1339" s="4"/>
      <x:c r="U1339" s="4"/>
      <x:c r="V1339" s="4"/>
      <x:c r="W1339" s="4"/>
      <x:c r="X1339" s="4"/>
      <x:c r="Y1339" s="4"/>
      <x:c r="Z1339" s="4"/>
    </x:row>
    <x:row r="1340" ht="23" customHeight="1">
      <x:c r="A1340" s="17" t="n">
        <x:f>ROW()-6</x:f>
        <x:v>1334</x:v>
      </x:c>
      <x:c r="B1340" s="4" t="n">
        <x:f>IF('계산 과정'!$L$5,'계산 과정'!$L$11*SQRT((A1340+0.5)/'계산 과정'!$L$30),"")</x:f>
        <x:v>121.08366893521396</x:v>
      </x:c>
      <x:c r="C1340" s="4" t="n">
        <x:f>A1340*PI()*(3-SQRT(5))</x:f>
        <x:v>3201.5509484580225</x:v>
      </x:c>
      <x:c r="D1340" s="4" t="n">
        <x:f>IF('계산 과정'!$L$5,B1340*COS(C1340),"")</x:f>
        <x:v>-116.76017169721929</x:v>
      </x:c>
      <x:c r="E1340" s="4" t="n">
        <x:f>IF('계산 과정'!$L$5,B1340*SIN(C1340),"")</x:f>
        <x:v>-32.067385113981025</x:v>
      </x:c>
      <x:c r="F1340" s="4" t="n">
        <x:f>IF('계산 과정'!$L$7,'계산 과정'!$L$22+'계산 과정'!$C$49*D1340+'계산 과정'!$D$49*E1340,"")</x:f>
        <x:v>732.5619091796093</x:v>
      </x:c>
      <x:c r="G1340" s="4" t="n">
        <x:f>IF('계산 과정'!$L$7,IF(ABS(F1340)&gt;=1E-12*MAX(1,SQRT((D1340-'계산 과정'!$C$33)^2+(E1340-'계산 과정'!$D$33)^2+'계산 과정'!$E$33^2)),('계산 과정'!$L$23-'계산 과정'!$C$49*D1340-'계산 과정'!$D$49*E1340)/F1340,""),"")</x:f>
        <x:v>0.43332595763256</x:v>
      </x:c>
      <x:c r="H1340" s="4" t="n">
        <x:f>IF(AND(ISNUMBER(G1340),G1340&gt;0),('계산 과정'!$D$56+'계산 과정'!$D$57*D1340+'계산 과정'!$D$58*E1340)/F1340,"")</x:f>
        <x:v>-118.33812753883616</x:v>
      </x:c>
      <x:c r="I1340" s="4" t="n">
        <x:f>IF(AND(ISNUMBER(G1340),G1340&gt;0),('계산 과정'!$E$56+'계산 과정'!$E$57*D1340+'계산 과정'!$E$58*E1340)/F1340,"")</x:f>
        <x:v>-45.96301547726896</x:v>
      </x:c>
      <x:c r="J1340" s="4" t="n">
        <x:f>IF('계산 과정'!$L$5,'계산 과정'!$D$6+'계산 과정'!$C$35*D1340+'계산 과정'!$D$35*E1340,"")</x:f>
        <x:v>732.5619091796093</x:v>
      </x:c>
      <x:c r="K1340" s="4" t="n">
        <x:f>IF(AND('계산 과정'!$L$6,J1340&gt;0),'계산 과정'!$D$10*('계산 과정'!$C$38*(D1340-'계산 과정'!$C$32)+'계산 과정'!$D$38*(E1340-'계산 과정'!$D$32)-'계산 과정'!$E$38*'계산 과정'!$E$32)/J1340,"")</x:f>
        <x:v>-0.9016238288673228</x:v>
      </x:c>
      <x:c r="L1340" s="4" t="n">
        <x:f>IF(AND('계산 과정'!$L$6,J1340&gt;0),'계산 과정'!$D$10*('계산 과정'!$C$39*(D1340-'계산 과정'!$C$32)+'계산 과정'!$D$39*(E1340-'계산 과정'!$D$32)-'계산 과정'!$E$39*'계산 과정'!$E$32)/J1340,"")</x:f>
        <x:v>-0.3501944036363349</x:v>
      </x:c>
      <x:c r="M1340" s="17" t="n">
        <x:f>IF('계산 과정'!$L$6,IF(J1340&lt;=0,0,IF(AND(ABS(K1340)&lt;='계산 과정'!$D$11/2,ABS(L1340)&lt;='계산 과정'!$D$12/2),1,0)),"")</x:f>
        <x:v>1</x:v>
      </x:c>
      <x:c r="N1340" s="17" t="n">
        <x:f>IF('계산 과정'!$C$78,IF(AND(ISNUMBER(H1340),ISNUMBER(I1340),ABS(H1340-'계산 과정'!$C$88)&lt;='계산 과정'!$D$23/2,ABS(I1340-'계산 과정'!$C$89)&lt;='계산 과정'!$D$24/2),1,0),"")</x:f>
        <x:v>1</x:v>
      </x:c>
      <x:c r="O1340" s="4" t="n">
        <x:f>IF('계산 과정'!$L$7,'계산 과정'!$C$49*('계산 과정'!$C$32-D1340)+'계산 과정'!$D$49*('계산 과정'!$D$32-E1340)+'계산 과정'!$E$49*'계산 과정'!$E$32,"")</x:f>
        <x:v>-82.56190917960924</x:v>
      </x:c>
      <x:c r="P1340" s="4" t="n">
        <x:f>IF(AND('계산 과정'!$L$7,O1340&lt;&gt;0),('계산 과정'!$L$23-'계산 과정'!$C$49*D1340-'계산 과정'!$D$49*E1340)/O1340,"")</x:f>
        <x:v>-3.844849204368811</x:v>
      </x:c>
      <x:c r="Q1340" s="4" t="str">
        <x:f>IF(AND(ISNUMBER(P1340),P1340&gt;1E-9,P1340&lt;1-1E-9),'계산 과정'!$C$47*(D1340-'계산 과정'!$C$50+P1340*('계산 과정'!$C$32-D1340))+'계산 과정'!$D$47*(E1340-'계산 과정'!$D$50+P1340*('계산 과정'!$D$32-E1340))+'계산 과정'!$E$47*(0-'계산 과정'!$E$50+P1340*('계산 과정'!$E$32-0)),"")</x:f>
      </x:c>
      <x:c r="R1340" s="4" t="str">
        <x:f>IF(AND(ISNUMBER(P1340),P1340&gt;1E-9,P1340&lt;1-1E-9),'계산 과정'!$C$48*(D1340-'계산 과정'!$C$50+P1340*('계산 과정'!$C$32-D1340))+'계산 과정'!$D$48*(E1340-'계산 과정'!$D$50+P1340*('계산 과정'!$D$32-E1340))+'계산 과정'!$E$48*(0-'계산 과정'!$E$50+P1340*('계산 과정'!$E$32-0)),"")</x:f>
      </x:c>
      <x:c r="S1340" s="17" t="n">
        <x:f>IF('계산 과정'!$C$78,IF(AND(ISNUMBER(Q1340),ISNUMBER(R1340),ABS(Q1340-'계산 과정'!$C$88)&lt;='계산 과정'!$D$23/2,ABS(R1340-'계산 과정'!$C$89)&lt;='계산 과정'!$D$24/2),1,0),"")</x:f>
        <x:v>0</x:v>
      </x:c>
      <x:c r="T1340" s="4"/>
      <x:c r="U1340" s="4"/>
      <x:c r="V1340" s="4"/>
      <x:c r="W1340" s="4"/>
      <x:c r="X1340" s="4"/>
      <x:c r="Y1340" s="4"/>
      <x:c r="Z1340" s="4"/>
    </x:row>
    <x:row r="1341" ht="23" customHeight="1">
      <x:c r="A1341" s="17" t="n">
        <x:f>ROW()-6</x:f>
        <x:v>1335</x:v>
      </x:c>
      <x:c r="B1341" s="4" t="n">
        <x:f>IF('계산 과정'!$L$5,'계산 과정'!$L$11*SQRT((A1341+0.5)/'계산 과정'!$L$30),"")</x:f>
        <x:v>121.1290271195864</x:v>
      </x:c>
      <x:c r="C1341" s="4" t="n">
        <x:f>A1341*PI()*(3-SQRT(5))</x:f>
        <x:v>3203.9509116877516</x:v>
      </x:c>
      <x:c r="D1341" s="4" t="n">
        <x:f>IF('계산 과정'!$L$5,B1341*COS(C1341),"")</x:f>
        <x:v>107.79689002480218</x:v>
      </x:c>
      <x:c r="E1341" s="4" t="n">
        <x:f>IF('계산 과정'!$L$5,B1341*SIN(C1341),"")</x:f>
        <x:v>-55.24555830035752</x:v>
      </x:c>
      <x:c r="F1341" s="4" t="n">
        <x:f>IF('계산 과정'!$L$7,'계산 과정'!$L$22+'계산 과정'!$C$49*D1341+'계산 과정'!$D$49*E1341,"")</x:f>
        <x:v>573.7760880726419</x:v>
      </x:c>
      <x:c r="G1341" s="4" t="n">
        <x:f>IF('계산 과정'!$L$7,IF(ABS(F1341)&gt;=1E-12*MAX(1,SQRT((D1341-'계산 과정'!$C$33)^2+(E1341-'계산 과정'!$D$33)^2+'계산 과정'!$E$33^2)),('계산 과정'!$L$23-'계산 과정'!$C$49*D1341-'계산 과정'!$D$49*E1341)/F1341,""),"")</x:f>
        <x:v>0.8299821512726872</x:v>
      </x:c>
      <x:c r="H1341" s="4" t="n">
        <x:f>IF(AND(ISNUMBER(G1341),G1341&gt;0),('계산 과정'!$D$56+'계산 과정'!$D$57*D1341+'계산 과정'!$D$58*E1341)/F1341,"")</x:f>
        <x:v>139.48839832724656</x:v>
      </x:c>
      <x:c r="I1341" s="4" t="n">
        <x:f>IF(AND(ISNUMBER(G1341),G1341&gt;0),('계산 과정'!$E$56+'계산 과정'!$E$57*D1341+'계산 과정'!$E$58*E1341)/F1341,"")</x:f>
        <x:v>-101.09838562674892</x:v>
      </x:c>
      <x:c r="J1341" s="4" t="n">
        <x:f>IF('계산 과정'!$L$5,'계산 과정'!$D$6+'계산 과정'!$C$35*D1341+'계산 과정'!$D$35*E1341,"")</x:f>
        <x:v>573.7760880726419</x:v>
      </x:c>
      <x:c r="K1341" s="4" t="n">
        <x:f>IF(AND('계산 과정'!$L$6,J1341&gt;0),'계산 과정'!$D$10*('계산 과정'!$C$38*(D1341-'계산 과정'!$C$32)+'계산 과정'!$D$38*(E1341-'계산 과정'!$D$32)-'계산 과정'!$E$38*'계산 과정'!$E$32)/J1341,"")</x:f>
        <x:v>1.0627687491599747</x:v>
      </x:c>
      <x:c r="L1341" s="4" t="n">
        <x:f>IF(AND('계산 과정'!$L$6,J1341&gt;0),'계산 과정'!$D$10*('계산 과정'!$C$39*(D1341-'계산 과정'!$C$32)+'계산 과정'!$D$39*(E1341-'계산 과정'!$D$32)-'계산 과정'!$E$39*'계산 과정'!$E$32)/J1341,"")</x:f>
        <x:v>-0.7702734142990394</x:v>
      </x:c>
      <x:c r="M1341" s="17" t="n">
        <x:f>IF('계산 과정'!$L$6,IF(J1341&lt;=0,0,IF(AND(ABS(K1341)&lt;='계산 과정'!$D$11/2,ABS(L1341)&lt;='계산 과정'!$D$12/2),1,0)),"")</x:f>
        <x:v>1</x:v>
      </x:c>
      <x:c r="N1341" s="17" t="n">
        <x:f>IF('계산 과정'!$C$78,IF(AND(ISNUMBER(H1341),ISNUMBER(I1341),ABS(H1341-'계산 과정'!$C$88)&lt;='계산 과정'!$D$23/2,ABS(I1341-'계산 과정'!$C$89)&lt;='계산 과정'!$D$24/2),1,0),"")</x:f>
        <x:v>1</x:v>
      </x:c>
      <x:c r="O1341" s="4" t="n">
        <x:f>IF('계산 과정'!$L$7,'계산 과정'!$C$49*('계산 과정'!$C$32-D1341)+'계산 과정'!$D$49*('계산 과정'!$D$32-E1341)+'계산 과정'!$E$49*'계산 과정'!$E$32,"")</x:f>
        <x:v>76.22391192735822</x:v>
      </x:c>
      <x:c r="P1341" s="4" t="n">
        <x:f>IF(AND('계산 과정'!$L$7,O1341&lt;&gt;0),('계산 과정'!$L$23-'계산 과정'!$C$49*D1341-'계산 과정'!$D$49*E1341)/O1341,"")</x:f>
        <x:v>6.247697079378476</x:v>
      </x:c>
      <x:c r="Q1341" s="4" t="str">
        <x:f>IF(AND(ISNUMBER(P1341),P1341&gt;1E-9,P1341&lt;1-1E-9),'계산 과정'!$C$47*(D1341-'계산 과정'!$C$50+P1341*('계산 과정'!$C$32-D1341))+'계산 과정'!$D$47*(E1341-'계산 과정'!$D$50+P1341*('계산 과정'!$D$32-E1341))+'계산 과정'!$E$47*(0-'계산 과정'!$E$50+P1341*('계산 과정'!$E$32-0)),"")</x:f>
      </x:c>
      <x:c r="R1341" s="4" t="str">
        <x:f>IF(AND(ISNUMBER(P1341),P1341&gt;1E-9,P1341&lt;1-1E-9),'계산 과정'!$C$48*(D1341-'계산 과정'!$C$50+P1341*('계산 과정'!$C$32-D1341))+'계산 과정'!$D$48*(E1341-'계산 과정'!$D$50+P1341*('계산 과정'!$D$32-E1341))+'계산 과정'!$E$48*(0-'계산 과정'!$E$50+P1341*('계산 과정'!$E$32-0)),"")</x:f>
      </x:c>
      <x:c r="S1341" s="17" t="n">
        <x:f>IF('계산 과정'!$C$78,IF(AND(ISNUMBER(Q1341),ISNUMBER(R1341),ABS(Q1341-'계산 과정'!$C$88)&lt;='계산 과정'!$D$23/2,ABS(R1341-'계산 과정'!$C$89)&lt;='계산 과정'!$D$24/2),1,0),"")</x:f>
        <x:v>0</x:v>
      </x:c>
      <x:c r="T1341" s="4"/>
      <x:c r="U1341" s="4"/>
      <x:c r="V1341" s="4"/>
      <x:c r="W1341" s="4"/>
      <x:c r="X1341" s="4"/>
      <x:c r="Y1341" s="4"/>
      <x:c r="Z1341" s="4"/>
    </x:row>
    <x:row r="1342" ht="23" customHeight="1">
      <x:c r="A1342" s="17" t="n">
        <x:f>ROW()-6</x:f>
        <x:v>1336</x:v>
      </x:c>
      <x:c r="B1342" s="4" t="n">
        <x:f>IF('계산 과정'!$L$5,'계산 과정'!$L$11*SQRT((A1342+0.5)/'계산 과정'!$L$30),"")</x:f>
        <x:v>121.17436832541154</x:v>
      </x:c>
      <x:c r="C1342" s="4" t="n">
        <x:f>A1342*PI()*(3-SQRT(5))</x:f>
        <x:v>3206.3508749174807</x:v>
      </x:c>
      <x:c r="D1342" s="4" t="n">
        <x:f>IF('계산 과정'!$L$5,B1342*COS(C1342),"")</x:f>
        <x:v>-42.18401790374214</x:v>
      </x:c>
      <x:c r="E1342" s="4" t="n">
        <x:f>IF('계산 과정'!$L$5,B1342*SIN(C1342),"")</x:f>
        <x:v>113.59461330784687</x:v>
      </x:c>
      <x:c r="F1342" s="4" t="n">
        <x:f>IF('계산 과정'!$L$7,'계산 과정'!$L$22+'계산 과정'!$C$49*D1342+'계산 과정'!$D$49*E1342,"")</x:f>
        <x:v>679.8286051174308</x:v>
      </x:c>
      <x:c r="G1342" s="4" t="n">
        <x:f>IF('계산 과정'!$L$7,IF(ABS(F1342)&gt;=1E-12*MAX(1,SQRT((D1342-'계산 과정'!$C$33)^2+(E1342-'계산 과정'!$D$33)^2+'계산 과정'!$E$33^2)),('계산 과정'!$L$23-'계산 과정'!$C$49*D1342-'계산 과정'!$D$49*E1342)/F1342,""),"")</x:f>
        <x:v>0.5445069420381734</x:v>
      </x:c>
      <x:c r="H1342" s="4" t="n">
        <x:f>IF(AND(ISNUMBER(G1342),G1342&gt;0),('계산 과정'!$D$56+'계산 과정'!$D$57*D1342+'계산 과정'!$D$58*E1342)/F1342,"")</x:f>
        <x:v>-46.070487675187366</x:v>
      </x:c>
      <x:c r="I1342" s="4" t="n">
        <x:f>IF(AND(ISNUMBER(G1342),G1342&gt;0),('계산 과정'!$E$56+'계산 과정'!$E$57*D1342+'계산 과정'!$E$58*E1342)/F1342,"")</x:f>
        <x:v>175.44766883211136</x:v>
      </x:c>
      <x:c r="J1342" s="4" t="n">
        <x:f>IF('계산 과정'!$L$5,'계산 과정'!$D$6+'계산 과정'!$C$35*D1342+'계산 과정'!$D$35*E1342,"")</x:f>
        <x:v>679.8286051174308</x:v>
      </x:c>
      <x:c r="K1342" s="4" t="n">
        <x:f>IF(AND('계산 과정'!$L$6,J1342&gt;0),'계산 과정'!$D$10*('계산 과정'!$C$38*(D1342-'계산 과정'!$C$32)+'계산 과정'!$D$38*(E1342-'계산 과정'!$D$32)-'계산 과정'!$E$38*'계산 과정'!$E$32)/J1342,"")</x:f>
        <x:v>-0.3510132394299983</x:v>
      </x:c>
      <x:c r="L1342" s="4" t="n">
        <x:f>IF(AND('계산 과정'!$L$6,J1342&gt;0),'계산 과정'!$D$10*('계산 과정'!$C$39*(D1342-'계산 과정'!$C$32)+'계산 과정'!$D$39*(E1342-'계산 과정'!$D$32)-'계산 과정'!$E$39*'계산 과정'!$E$32)/J1342,"")</x:f>
        <x:v>1.3367441434827534</x:v>
      </x:c>
      <x:c r="M1342" s="17" t="n">
        <x:f>IF('계산 과정'!$L$6,IF(J1342&lt;=0,0,IF(AND(ABS(K1342)&lt;='계산 과정'!$D$11/2,ABS(L1342)&lt;='계산 과정'!$D$12/2),1,0)),"")</x:f>
        <x:v>1</x:v>
      </x:c>
      <x:c r="N1342" s="17" t="n">
        <x:f>IF('계산 과정'!$C$78,IF(AND(ISNUMBER(H1342),ISNUMBER(I1342),ABS(H1342-'계산 과정'!$C$88)&lt;='계산 과정'!$D$23/2,ABS(I1342-'계산 과정'!$C$89)&lt;='계산 과정'!$D$24/2),1,0),"")</x:f>
        <x:v>1</x:v>
      </x:c>
      <x:c r="O1342" s="4" t="n">
        <x:f>IF('계산 과정'!$L$7,'계산 과정'!$C$49*('계산 과정'!$C$32-D1342)+'계산 과정'!$D$49*('계산 과정'!$D$32-E1342)+'계산 과정'!$E$49*'계산 과정'!$E$32,"")</x:f>
        <x:v>-29.828605117430698</x:v>
      </x:c>
      <x:c r="P1342" s="4" t="n">
        <x:f>IF(AND('계산 과정'!$L$7,O1342&lt;&gt;0),('계산 과정'!$L$23-'계산 과정'!$C$49*D1342-'계산 과정'!$D$49*E1342)/O1342,"")</x:f>
        <x:v>-12.409946540418519</x:v>
      </x:c>
      <x:c r="Q1342" s="4" t="str">
        <x:f>IF(AND(ISNUMBER(P1342),P1342&gt;1E-9,P1342&lt;1-1E-9),'계산 과정'!$C$47*(D1342-'계산 과정'!$C$50+P1342*('계산 과정'!$C$32-D1342))+'계산 과정'!$D$47*(E1342-'계산 과정'!$D$50+P1342*('계산 과정'!$D$32-E1342))+'계산 과정'!$E$47*(0-'계산 과정'!$E$50+P1342*('계산 과정'!$E$32-0)),"")</x:f>
      </x:c>
      <x:c r="R1342" s="4" t="str">
        <x:f>IF(AND(ISNUMBER(P1342),P1342&gt;1E-9,P1342&lt;1-1E-9),'계산 과정'!$C$48*(D1342-'계산 과정'!$C$50+P1342*('계산 과정'!$C$32-D1342))+'계산 과정'!$D$48*(E1342-'계산 과정'!$D$50+P1342*('계산 과정'!$D$32-E1342))+'계산 과정'!$E$48*(0-'계산 과정'!$E$50+P1342*('계산 과정'!$E$32-0)),"")</x:f>
      </x:c>
      <x:c r="S1342" s="17" t="n">
        <x:f>IF('계산 과정'!$C$78,IF(AND(ISNUMBER(Q1342),ISNUMBER(R1342),ABS(Q1342-'계산 과정'!$C$88)&lt;='계산 과정'!$D$23/2,ABS(R1342-'계산 과정'!$C$89)&lt;='계산 과정'!$D$24/2),1,0),"")</x:f>
        <x:v>0</x:v>
      </x:c>
      <x:c r="T1342" s="4"/>
      <x:c r="U1342" s="4"/>
      <x:c r="V1342" s="4"/>
      <x:c r="W1342" s="4"/>
      <x:c r="X1342" s="4"/>
      <x:c r="Y1342" s="4"/>
      <x:c r="Z1342" s="4"/>
    </x:row>
    <x:row r="1343" ht="23" customHeight="1">
      <x:c r="A1343" s="17" t="n">
        <x:f>ROW()-6</x:f>
        <x:v>1337</x:v>
      </x:c>
      <x:c r="B1343" s="4" t="n">
        <x:f>IF('계산 과정'!$L$5,'계산 과정'!$L$11*SQRT((A1343+0.5)/'계산 과정'!$L$30),"")</x:f>
        <x:v>121.2196925717414</x:v>
      </x:c>
      <x:c r="C1343" s="4" t="n">
        <x:f>A1343*PI()*(3-SQRT(5))</x:f>
        <x:v>3208.750838147209</x:v>
      </x:c>
      <x:c r="D1343" s="4" t="n">
        <x:f>IF('계산 과정'!$L$5,B1343*COS(C1343),"")</x:f>
        <x:v>-45.64394316226441</x:v>
      </x:c>
      <x:c r="E1343" s="4" t="n">
        <x:f>IF('계산 과정'!$L$5,B1343*SIN(C1343),"")</x:f>
        <x:v>-112.29801565382834</x:v>
      </x:c>
      <x:c r="F1343" s="4" t="n">
        <x:f>IF('계산 과정'!$L$7,'계산 과정'!$L$22+'계산 과정'!$C$49*D1343+'계산 과정'!$D$49*E1343,"")</x:f>
        <x:v>682.2751417301305</x:v>
      </x:c>
      <x:c r="G1343" s="4" t="n">
        <x:f>IF('계산 과정'!$L$7,IF(ABS(F1343)&gt;=1E-12*MAX(1,SQRT((D1343-'계산 과정'!$C$33)^2+(E1343-'계산 과정'!$D$33)^2+'계산 과정'!$E$33^2)),('계산 과정'!$L$23-'계산 과정'!$C$49*D1343-'계산 과정'!$D$49*E1343)/F1343,""),"")</x:f>
        <x:v>0.5389685711506117</x:v>
      </x:c>
      <x:c r="H1343" s="4" t="n">
        <x:f>IF(AND(ISNUMBER(G1343),G1343&gt;0),('계산 과정'!$D$56+'계산 과정'!$D$57*D1343+'계산 과정'!$D$58*E1343)/F1343,"")</x:f>
        <x:v>-49.67042875210256</x:v>
      </x:c>
      <x:c r="I1343" s="4" t="n">
        <x:f>IF(AND(ISNUMBER(G1343),G1343&gt;0),('계산 과정'!$E$56+'계산 과정'!$E$57*D1343+'계산 과정'!$E$58*E1343)/F1343,"")</x:f>
        <x:v>-172.82311669382125</x:v>
      </x:c>
      <x:c r="J1343" s="4" t="n">
        <x:f>IF('계산 과정'!$L$5,'계산 과정'!$D$6+'계산 과정'!$C$35*D1343+'계산 과정'!$D$35*E1343,"")</x:f>
        <x:v>682.2751417301305</x:v>
      </x:c>
      <x:c r="K1343" s="4" t="n">
        <x:f>IF(AND('계산 과정'!$L$6,J1343&gt;0),'계산 과정'!$D$10*('계산 과정'!$C$38*(D1343-'계산 과정'!$C$32)+'계산 과정'!$D$38*(E1343-'계산 과정'!$D$32)-'계산 과정'!$E$38*'계산 과정'!$E$32)/J1343,"")</x:f>
        <x:v>-0.37844136192078015</x:v>
      </x:c>
      <x:c r="L1343" s="4" t="n">
        <x:f>IF(AND('계산 과정'!$L$6,J1343&gt;0),'계산 과정'!$D$10*('계산 과정'!$C$39*(D1343-'계산 과정'!$C$32)+'계산 과정'!$D$39*(E1343-'계산 과정'!$D$32)-'계산 과정'!$E$39*'계산 과정'!$E$32)/J1343,"")</x:f>
        <x:v>-1.3167475557624475</x:v>
      </x:c>
      <x:c r="M1343" s="17" t="n">
        <x:f>IF('계산 과정'!$L$6,IF(J1343&lt;=0,0,IF(AND(ABS(K1343)&lt;='계산 과정'!$D$11/2,ABS(L1343)&lt;='계산 과정'!$D$12/2),1,0)),"")</x:f>
        <x:v>1</x:v>
      </x:c>
      <x:c r="N1343" s="17" t="n">
        <x:f>IF('계산 과정'!$C$78,IF(AND(ISNUMBER(H1343),ISNUMBER(I1343),ABS(H1343-'계산 과정'!$C$88)&lt;='계산 과정'!$D$23/2,ABS(I1343-'계산 과정'!$C$89)&lt;='계산 과정'!$D$24/2),1,0),"")</x:f>
        <x:v>1</x:v>
      </x:c>
      <x:c r="O1343" s="4" t="n">
        <x:f>IF('계산 과정'!$L$7,'계산 과정'!$C$49*('계산 과정'!$C$32-D1343)+'계산 과정'!$D$49*('계산 과정'!$D$32-E1343)+'계산 과정'!$E$49*'계산 과정'!$E$32,"")</x:f>
        <x:v>-32.27514173013037</x:v>
      </x:c>
      <x:c r="P1343" s="4" t="n">
        <x:f>IF(AND('계산 과정'!$L$7,O1343&lt;&gt;0),('계산 과정'!$L$23-'계산 과정'!$C$49*D1343-'계산 과정'!$D$49*E1343)/O1343,"")</x:f>
        <x:v>-11.393438992293595</x:v>
      </x:c>
      <x:c r="Q1343" s="4" t="str">
        <x:f>IF(AND(ISNUMBER(P1343),P1343&gt;1E-9,P1343&lt;1-1E-9),'계산 과정'!$C$47*(D1343-'계산 과정'!$C$50+P1343*('계산 과정'!$C$32-D1343))+'계산 과정'!$D$47*(E1343-'계산 과정'!$D$50+P1343*('계산 과정'!$D$32-E1343))+'계산 과정'!$E$47*(0-'계산 과정'!$E$50+P1343*('계산 과정'!$E$32-0)),"")</x:f>
      </x:c>
      <x:c r="R1343" s="4" t="str">
        <x:f>IF(AND(ISNUMBER(P1343),P1343&gt;1E-9,P1343&lt;1-1E-9),'계산 과정'!$C$48*(D1343-'계산 과정'!$C$50+P1343*('계산 과정'!$C$32-D1343))+'계산 과정'!$D$48*(E1343-'계산 과정'!$D$50+P1343*('계산 과정'!$D$32-E1343))+'계산 과정'!$E$48*(0-'계산 과정'!$E$50+P1343*('계산 과정'!$E$32-0)),"")</x:f>
      </x:c>
      <x:c r="S1343" s="17" t="n">
        <x:f>IF('계산 과정'!$C$78,IF(AND(ISNUMBER(Q1343),ISNUMBER(R1343),ABS(Q1343-'계산 과정'!$C$88)&lt;='계산 과정'!$D$23/2,ABS(R1343-'계산 과정'!$C$89)&lt;='계산 과정'!$D$24/2),1,0),"")</x:f>
        <x:v>0</x:v>
      </x:c>
      <x:c r="T1343" s="4"/>
      <x:c r="U1343" s="4"/>
      <x:c r="V1343" s="4"/>
      <x:c r="W1343" s="4"/>
      <x:c r="X1343" s="4"/>
      <x:c r="Y1343" s="4"/>
      <x:c r="Z1343" s="4"/>
    </x:row>
    <x:row r="1344" ht="23" customHeight="1">
      <x:c r="A1344" s="17" t="n">
        <x:f>ROW()-6</x:f>
        <x:v>1338</x:v>
      </x:c>
      <x:c r="B1344" s="4" t="n">
        <x:f>IF('계산 과정'!$L$5,'계산 과정'!$L$11*SQRT((A1344+0.5)/'계산 과정'!$L$30),"")</x:f>
        <x:v>121.26499987759247</x:v>
      </x:c>
      <x:c r="C1344" s="4" t="n">
        <x:f>A1344*PI()*(3-SQRT(5))</x:f>
        <x:v>3211.1508013769376</x:v>
      </x:c>
      <x:c r="D1344" s="4" t="n">
        <x:f>IF('계산 과정'!$L$5,B1344*COS(C1344),"")</x:f>
        <x:v>109.55357445599122</x:v>
      </x:c>
      <x:c r="E1344" s="4" t="n">
        <x:f>IF('계산 과정'!$L$5,B1344*SIN(C1344),"")</x:f>
        <x:v>51.99244675169741</x:v>
      </x:c>
      <x:c r="F1344" s="4" t="n">
        <x:f>IF('계산 과정'!$L$7,'계산 과정'!$L$22+'계산 과정'!$C$49*D1344+'계산 과정'!$D$49*E1344,"")</x:f>
        <x:v>572.5339245989433</x:v>
      </x:c>
      <x:c r="G1344" s="4" t="n">
        <x:f>IF('계산 과정'!$L$7,IF(ABS(F1344)&gt;=1E-12*MAX(1,SQRT((D1344-'계산 과정'!$C$33)^2+(E1344-'계산 과정'!$D$33)^2+'계산 과정'!$E$33^2)),('계산 과정'!$L$23-'계산 과정'!$C$49*D1344-'계산 과정'!$D$49*E1344)/F1344,""),"")</x:f>
        <x:v>0.833952460957696</x:v>
      </x:c>
      <x:c r="H1344" s="4" t="n">
        <x:f>IF(AND(ISNUMBER(G1344),G1344&gt;0),('계산 과정'!$D$56+'계산 과정'!$D$57*D1344+'계산 과정'!$D$58*E1344)/F1344,"")</x:f>
        <x:v>142.06909962250234</x:v>
      </x:c>
      <x:c r="I1344" s="4" t="n">
        <x:f>IF(AND(ISNUMBER(G1344),G1344&gt;0),('계산 과정'!$E$56+'계산 과정'!$E$57*D1344+'계산 과정'!$E$58*E1344)/F1344,"")</x:f>
        <x:v>95.35167567148743</x:v>
      </x:c>
      <x:c r="J1344" s="4" t="n">
        <x:f>IF('계산 과정'!$L$5,'계산 과정'!$D$6+'계산 과정'!$C$35*D1344+'계산 과정'!$D$35*E1344,"")</x:f>
        <x:v>572.5339245989433</x:v>
      </x:c>
      <x:c r="K1344" s="4" t="n">
        <x:f>IF(AND('계산 과정'!$L$6,J1344&gt;0),'계산 과정'!$D$10*('계산 과정'!$C$38*(D1344-'계산 과정'!$C$32)+'계산 과정'!$D$38*(E1344-'계산 과정'!$D$32)-'계산 과정'!$E$38*'계산 과정'!$E$32)/J1344,"")</x:f>
        <x:v>1.0824312352190664</x:v>
      </x:c>
      <x:c r="L1344" s="4" t="n">
        <x:f>IF(AND('계산 과정'!$L$6,J1344&gt;0),'계산 과정'!$D$10*('계산 과정'!$C$39*(D1344-'계산 과정'!$C$32)+'계산 과정'!$D$39*(E1344-'계산 과정'!$D$32)-'계산 과정'!$E$39*'계산 과정'!$E$32)/J1344,"")</x:f>
        <x:v>0.7264889574970471</x:v>
      </x:c>
      <x:c r="M1344" s="17" t="n">
        <x:f>IF('계산 과정'!$L$6,IF(J1344&lt;=0,0,IF(AND(ABS(K1344)&lt;='계산 과정'!$D$11/2,ABS(L1344)&lt;='계산 과정'!$D$12/2),1,0)),"")</x:f>
        <x:v>1</x:v>
      </x:c>
      <x:c r="N1344" s="17" t="n">
        <x:f>IF('계산 과정'!$C$78,IF(AND(ISNUMBER(H1344),ISNUMBER(I1344),ABS(H1344-'계산 과정'!$C$88)&lt;='계산 과정'!$D$23/2,ABS(I1344-'계산 과정'!$C$89)&lt;='계산 과정'!$D$24/2),1,0),"")</x:f>
        <x:v>1</x:v>
      </x:c>
      <x:c r="O1344" s="4" t="n">
        <x:f>IF('계산 과정'!$L$7,'계산 과정'!$C$49*('계산 과정'!$C$32-D1344)+'계산 과정'!$D$49*('계산 과정'!$D$32-E1344)+'계산 과정'!$E$49*'계산 과정'!$E$32,"")</x:f>
        <x:v>77.46607540105683</x:v>
      </x:c>
      <x:c r="P1344" s="4" t="n">
        <x:f>IF(AND('계산 과정'!$L$7,O1344&lt;&gt;0),('계산 과정'!$L$23-'계산 과정'!$C$49*D1344-'계산 과정'!$D$49*E1344)/O1344,"")</x:f>
        <x:v>6.163550598492601</x:v>
      </x:c>
      <x:c r="Q1344" s="4" t="str">
        <x:f>IF(AND(ISNUMBER(P1344),P1344&gt;1E-9,P1344&lt;1-1E-9),'계산 과정'!$C$47*(D1344-'계산 과정'!$C$50+P1344*('계산 과정'!$C$32-D1344))+'계산 과정'!$D$47*(E1344-'계산 과정'!$D$50+P1344*('계산 과정'!$D$32-E1344))+'계산 과정'!$E$47*(0-'계산 과정'!$E$50+P1344*('계산 과정'!$E$32-0)),"")</x:f>
      </x:c>
      <x:c r="R1344" s="4" t="str">
        <x:f>IF(AND(ISNUMBER(P1344),P1344&gt;1E-9,P1344&lt;1-1E-9),'계산 과정'!$C$48*(D1344-'계산 과정'!$C$50+P1344*('계산 과정'!$C$32-D1344))+'계산 과정'!$D$48*(E1344-'계산 과정'!$D$50+P1344*('계산 과정'!$D$32-E1344))+'계산 과정'!$E$48*(0-'계산 과정'!$E$50+P1344*('계산 과정'!$E$32-0)),"")</x:f>
      </x:c>
      <x:c r="S1344" s="17" t="n">
        <x:f>IF('계산 과정'!$C$78,IF(AND(ISNUMBER(Q1344),ISNUMBER(R1344),ABS(Q1344-'계산 과정'!$C$88)&lt;='계산 과정'!$D$23/2,ABS(R1344-'계산 과정'!$C$89)&lt;='계산 과정'!$D$24/2),1,0),"")</x:f>
        <x:v>0</x:v>
      </x:c>
      <x:c r="T1344" s="4"/>
      <x:c r="U1344" s="4"/>
      <x:c r="V1344" s="4"/>
      <x:c r="W1344" s="4"/>
      <x:c r="X1344" s="4"/>
      <x:c r="Y1344" s="4"/>
      <x:c r="Z1344" s="4"/>
    </x:row>
    <x:row r="1345" ht="23" customHeight="1">
      <x:c r="A1345" s="17" t="n">
        <x:f>ROW()-6</x:f>
        <x:v>1339</x:v>
      </x:c>
      <x:c r="B1345" s="4" t="n">
        <x:f>IF('계산 과정'!$L$5,'계산 과정'!$L$11*SQRT((A1345+0.5)/'계산 과정'!$L$30),"")</x:f>
        <x:v>121.31029026194562</x:v>
      </x:c>
      <x:c r="C1345" s="4" t="n">
        <x:f>A1345*PI()*(3-SQRT(5))</x:f>
        <x:v>3213.5507646066667</x:v>
      </x:c>
      <x:c r="D1345" s="4" t="n">
        <x:f>IF('계산 과정'!$L$5,B1345*COS(C1345),"")</x:f>
        <x:v>-115.94507675960826</x:v>
      </x:c>
      <x:c r="E1345" s="4" t="n">
        <x:f>IF('계산 과정'!$L$5,B1345*SIN(C1345),"")</x:f>
        <x:v>35.67808429058443</x:v>
      </x:c>
      <x:c r="F1345" s="4" t="n">
        <x:f>IF('계산 과정'!$L$7,'계산 과정'!$L$22+'계산 과정'!$C$49*D1345+'계산 과정'!$D$49*E1345,"")</x:f>
        <x:v>731.9855500219138</x:v>
      </x:c>
      <x:c r="G1345" s="4" t="n">
        <x:f>IF('계산 과정'!$L$7,IF(ABS(F1345)&gt;=1E-12*MAX(1,SQRT((D1345-'계산 과정'!$C$33)^2+(E1345-'계산 과정'!$D$33)^2+'계산 과정'!$E$33^2)),('계산 과정'!$L$23-'계산 과정'!$C$49*D1345-'계산 과정'!$D$49*E1345)/F1345,""),"")</x:f>
        <x:v>0.4344545462250801</x:v>
      </x:c>
      <x:c r="H1345" s="4" t="n">
        <x:f>IF(AND(ISNUMBER(G1345),G1345&gt;0),('계산 과정'!$D$56+'계산 과정'!$D$57*D1345+'계산 과정'!$D$58*E1345)/F1345,"")</x:f>
        <x:v>-117.60454495369805</x:v>
      </x:c>
      <x:c r="I1345" s="4" t="n">
        <x:f>IF(AND(ISNUMBER(G1345),G1345&gt;0),('계산 과정'!$E$56+'계산 과정'!$E$57*D1345+'계산 과정'!$E$58*E1345)/F1345,"")</x:f>
        <x:v>51.17859021123044</x:v>
      </x:c>
      <x:c r="J1345" s="4" t="n">
        <x:f>IF('계산 과정'!$L$5,'계산 과정'!$D$6+'계산 과정'!$C$35*D1345+'계산 과정'!$D$35*E1345,"")</x:f>
        <x:v>731.9855500219138</x:v>
      </x:c>
      <x:c r="K1345" s="4" t="n">
        <x:f>IF(AND('계산 과정'!$L$6,J1345&gt;0),'계산 과정'!$D$10*('계산 과정'!$C$38*(D1345-'계산 과정'!$C$32)+'계산 과정'!$D$38*(E1345-'계산 과정'!$D$32)-'계산 과정'!$E$38*'계산 과정'!$E$32)/J1345,"")</x:f>
        <x:v>-0.8960346282186507</x:v>
      </x:c>
      <x:c r="L1345" s="4" t="n">
        <x:f>IF(AND('계산 과정'!$L$6,J1345&gt;0),'계산 과정'!$D$10*('계산 과정'!$C$39*(D1345-'계산 과정'!$C$32)+'계산 과정'!$D$39*(E1345-'계산 과정'!$D$32)-'계산 과정'!$E$39*'계산 과정'!$E$32)/J1345,"")</x:f>
        <x:v>0.3899321158950891</x:v>
      </x:c>
      <x:c r="M1345" s="17" t="n">
        <x:f>IF('계산 과정'!$L$6,IF(J1345&lt;=0,0,IF(AND(ABS(K1345)&lt;='계산 과정'!$D$11/2,ABS(L1345)&lt;='계산 과정'!$D$12/2),1,0)),"")</x:f>
        <x:v>1</x:v>
      </x:c>
      <x:c r="N1345" s="17" t="n">
        <x:f>IF('계산 과정'!$C$78,IF(AND(ISNUMBER(H1345),ISNUMBER(I1345),ABS(H1345-'계산 과정'!$C$88)&lt;='계산 과정'!$D$23/2,ABS(I1345-'계산 과정'!$C$89)&lt;='계산 과정'!$D$24/2),1,0),"")</x:f>
        <x:v>1</x:v>
      </x:c>
      <x:c r="O1345" s="4" t="n">
        <x:f>IF('계산 과정'!$L$7,'계산 과정'!$C$49*('계산 과정'!$C$32-D1345)+'계산 과정'!$D$49*('계산 과정'!$D$32-E1345)+'계산 과정'!$E$49*'계산 과정'!$E$32,"")</x:f>
        <x:v>-81.98555002191364</x:v>
      </x:c>
      <x:c r="P1345" s="4" t="n">
        <x:f>IF(AND('계산 과정'!$L$7,O1345&lt;&gt;0),('계산 과정'!$L$23-'계산 과정'!$C$49*D1345-'계산 과정'!$D$49*E1345)/O1345,"")</x:f>
        <x:v>-3.878908538066589</x:v>
      </x:c>
      <x:c r="Q1345" s="4" t="str">
        <x:f>IF(AND(ISNUMBER(P1345),P1345&gt;1E-9,P1345&lt;1-1E-9),'계산 과정'!$C$47*(D1345-'계산 과정'!$C$50+P1345*('계산 과정'!$C$32-D1345))+'계산 과정'!$D$47*(E1345-'계산 과정'!$D$50+P1345*('계산 과정'!$D$32-E1345))+'계산 과정'!$E$47*(0-'계산 과정'!$E$50+P1345*('계산 과정'!$E$32-0)),"")</x:f>
      </x:c>
      <x:c r="R1345" s="4" t="str">
        <x:f>IF(AND(ISNUMBER(P1345),P1345&gt;1E-9,P1345&lt;1-1E-9),'계산 과정'!$C$48*(D1345-'계산 과정'!$C$50+P1345*('계산 과정'!$C$32-D1345))+'계산 과정'!$D$48*(E1345-'계산 과정'!$D$50+P1345*('계산 과정'!$D$32-E1345))+'계산 과정'!$E$48*(0-'계산 과정'!$E$50+P1345*('계산 과정'!$E$32-0)),"")</x:f>
      </x:c>
      <x:c r="S1345" s="17" t="n">
        <x:f>IF('계산 과정'!$C$78,IF(AND(ISNUMBER(Q1345),ISNUMBER(R1345),ABS(Q1345-'계산 과정'!$C$88)&lt;='계산 과정'!$D$23/2,ABS(R1345-'계산 과정'!$C$89)&lt;='계산 과정'!$D$24/2),1,0),"")</x:f>
        <x:v>0</x:v>
      </x:c>
      <x:c r="T1345" s="4"/>
      <x:c r="U1345" s="4"/>
      <x:c r="V1345" s="4"/>
      <x:c r="W1345" s="4"/>
      <x:c r="X1345" s="4"/>
      <x:c r="Y1345" s="4"/>
      <x:c r="Z1345" s="4"/>
    </x:row>
    <x:row r="1346" ht="23" customHeight="1">
      <x:c r="A1346" s="17" t="n">
        <x:f>ROW()-6</x:f>
        <x:v>1340</x:v>
      </x:c>
      <x:c r="B1346" s="4" t="n">
        <x:f>IF('계산 과정'!$L$5,'계산 과정'!$L$11*SQRT((A1346+0.5)/'계산 과정'!$L$30),"")</x:f>
        <x:v>121.35556374374643</x:v>
      </x:c>
      <x:c r="C1346" s="4" t="n">
        <x:f>A1346*PI()*(3-SQRT(5))</x:f>
        <x:v>3215.950727836395</x:v>
      </x:c>
      <x:c r="D1346" s="4" t="n">
        <x:f>IF('계산 과정'!$L$5,B1346*COS(C1346),"")</x:f>
        <x:v>61.417004031378255</x:v>
      </x:c>
      <x:c r="E1346" s="4" t="n">
        <x:f>IF('계산 과정'!$L$5,B1346*SIN(C1346),"")</x:f>
        <x:v>-104.66673047044208</x:v>
      </x:c>
      <x:c r="F1346" s="4" t="n">
        <x:f>IF('계산 과정'!$L$7,'계산 과정'!$L$22+'계산 과정'!$C$49*D1346+'계산 과정'!$D$49*E1346,"")</x:f>
        <x:v>606.571619969251</x:v>
      </x:c>
      <x:c r="G1346" s="4" t="n">
        <x:f>IF('계산 과정'!$L$7,IF(ABS(F1346)&gt;=1E-12*MAX(1,SQRT((D1346-'계산 과정'!$C$33)^2+(E1346-'계산 과정'!$D$33)^2+'계산 과정'!$E$33^2)),('계산 과정'!$L$23-'계산 과정'!$C$49*D1346-'계산 과정'!$D$49*E1346)/F1346,""),"")</x:f>
        <x:v>0.7310404335323633</x:v>
      </x:c>
      <x:c r="H1346" s="4" t="n">
        <x:f>IF(AND(ISNUMBER(G1346),G1346&gt;0),('계산 과정'!$D$56+'계산 과정'!$D$57*D1346+'계산 과정'!$D$58*E1346)/F1346,"")</x:f>
        <x:v>75.17628179603604</x:v>
      </x:c>
      <x:c r="I1346" s="4" t="n">
        <x:f>IF(AND(ISNUMBER(G1346),G1346&gt;0),('계산 과정'!$E$56+'계산 과정'!$E$57*D1346+'계산 과정'!$E$58*E1346)/F1346,"")</x:f>
        <x:v>-181.18234248996907</x:v>
      </x:c>
      <x:c r="J1346" s="4" t="n">
        <x:f>IF('계산 과정'!$L$5,'계산 과정'!$D$6+'계산 과정'!$C$35*D1346+'계산 과정'!$D$35*E1346,"")</x:f>
        <x:v>606.571619969251</x:v>
      </x:c>
      <x:c r="K1346" s="4" t="n">
        <x:f>IF(AND('계산 과정'!$L$6,J1346&gt;0),'계산 과정'!$D$10*('계산 과정'!$C$38*(D1346-'계산 과정'!$C$32)+'계산 과정'!$D$38*(E1346-'계산 과정'!$D$32)-'계산 과정'!$E$38*'계산 과정'!$E$32)/J1346,"")</x:f>
        <x:v>0.5727716708269422</x:v>
      </x:c>
      <x:c r="L1346" s="4" t="n">
        <x:f>IF(AND('계산 과정'!$L$6,J1346&gt;0),'계산 과정'!$D$10*('계산 과정'!$C$39*(D1346-'계산 과정'!$C$32)+'계산 과정'!$D$39*(E1346-'계산 과정'!$D$32)-'계산 과정'!$E$39*'계산 과정'!$E$32)/J1346,"")</x:f>
        <x:v>-1.380436895161669</x:v>
      </x:c>
      <x:c r="M1346" s="17" t="n">
        <x:f>IF('계산 과정'!$L$6,IF(J1346&lt;=0,0,IF(AND(ABS(K1346)&lt;='계산 과정'!$D$11/2,ABS(L1346)&lt;='계산 과정'!$D$12/2),1,0)),"")</x:f>
        <x:v>1</x:v>
      </x:c>
      <x:c r="N1346" s="17" t="n">
        <x:f>IF('계산 과정'!$C$78,IF(AND(ISNUMBER(H1346),ISNUMBER(I1346),ABS(H1346-'계산 과정'!$C$88)&lt;='계산 과정'!$D$23/2,ABS(I1346-'계산 과정'!$C$89)&lt;='계산 과정'!$D$24/2),1,0),"")</x:f>
        <x:v>1</x:v>
      </x:c>
      <x:c r="O1346" s="4" t="n">
        <x:f>IF('계산 과정'!$L$7,'계산 과정'!$C$49*('계산 과정'!$C$32-D1346)+'계산 과정'!$D$49*('계산 과정'!$D$32-E1346)+'계산 과정'!$E$49*'계산 과정'!$E$32,"")</x:f>
        <x:v>43.428380030749224</x:v>
      </x:c>
      <x:c r="P1346" s="4" t="n">
        <x:f>IF(AND('계산 과정'!$L$7,O1346&lt;&gt;0),('계산 과정'!$L$23-'계산 과정'!$C$49*D1346-'계산 과정'!$D$49*E1346)/O1346,"")</x:f>
        <x:v>10.210566908477409</x:v>
      </x:c>
      <x:c r="Q1346" s="4" t="str">
        <x:f>IF(AND(ISNUMBER(P1346),P1346&gt;1E-9,P1346&lt;1-1E-9),'계산 과정'!$C$47*(D1346-'계산 과정'!$C$50+P1346*('계산 과정'!$C$32-D1346))+'계산 과정'!$D$47*(E1346-'계산 과정'!$D$50+P1346*('계산 과정'!$D$32-E1346))+'계산 과정'!$E$47*(0-'계산 과정'!$E$50+P1346*('계산 과정'!$E$32-0)),"")</x:f>
      </x:c>
      <x:c r="R1346" s="4" t="str">
        <x:f>IF(AND(ISNUMBER(P1346),P1346&gt;1E-9,P1346&lt;1-1E-9),'계산 과정'!$C$48*(D1346-'계산 과정'!$C$50+P1346*('계산 과정'!$C$32-D1346))+'계산 과정'!$D$48*(E1346-'계산 과정'!$D$50+P1346*('계산 과정'!$D$32-E1346))+'계산 과정'!$E$48*(0-'계산 과정'!$E$50+P1346*('계산 과정'!$E$32-0)),"")</x:f>
      </x:c>
      <x:c r="S1346" s="17" t="n">
        <x:f>IF('계산 과정'!$C$78,IF(AND(ISNUMBER(Q1346),ISNUMBER(R1346),ABS(Q1346-'계산 과정'!$C$88)&lt;='계산 과정'!$D$23/2,ABS(R1346-'계산 과정'!$C$89)&lt;='계산 과정'!$D$24/2),1,0),"")</x:f>
        <x:v>0</x:v>
      </x:c>
      <x:c r="T1346" s="4"/>
      <x:c r="U1346" s="4"/>
      <x:c r="V1346" s="4"/>
      <x:c r="W1346" s="4"/>
      <x:c r="X1346" s="4"/>
      <x:c r="Y1346" s="4"/>
      <x:c r="Z1346" s="4"/>
    </x:row>
    <x:row r="1347" ht="23" customHeight="1">
      <x:c r="A1347" s="17" t="n">
        <x:f>ROW()-6</x:f>
        <x:v>1341</x:v>
      </x:c>
      <x:c r="B1347" s="4" t="n">
        <x:f>IF('계산 과정'!$L$5,'계산 과정'!$L$11*SQRT((A1347+0.5)/'계산 과정'!$L$30),"")</x:f>
        <x:v>121.40082034190502</x:v>
      </x:c>
      <x:c r="C1347" s="4" t="n">
        <x:f>A1347*PI()*(3-SQRT(5))</x:f>
        <x:v>3218.3506910661235</x:v>
      </x:c>
      <x:c r="D1347" s="4" t="n">
        <x:f>IF('계산 과정'!$L$5,B1347*COS(C1347),"")</x:f>
        <x:v>25.423850878061774</x:v>
      </x:c>
      <x:c r="E1347" s="4" t="n">
        <x:f>IF('계산 과정'!$L$5,B1347*SIN(C1347),"")</x:f>
        <x:v>118.70883280623046</x:v>
      </x:c>
      <x:c r="F1347" s="4" t="n">
        <x:f>IF('계산 과정'!$L$7,'계산 과정'!$L$22+'계산 과정'!$C$49*D1347+'계산 과정'!$D$49*E1347,"")</x:f>
        <x:v>632.0226226402469</x:v>
      </x:c>
      <x:c r="G1347" s="4" t="n">
        <x:f>IF('계산 과정'!$L$7,IF(ABS(F1347)&gt;=1E-12*MAX(1,SQRT((D1347-'계산 과정'!$C$33)^2+(E1347-'계산 과정'!$D$33)^2+'계산 과정'!$E$33^2)),('계산 과정'!$L$23-'계산 과정'!$C$49*D1347-'계산 과정'!$D$49*E1347)/F1347,""),"")</x:f>
        <x:v>0.6613329371244194</x:v>
      </x:c>
      <x:c r="H1347" s="4" t="n">
        <x:f>IF(AND(ISNUMBER(G1347),G1347&gt;0),('계산 과정'!$D$56+'계산 과정'!$D$57*D1347+'계산 과정'!$D$58*E1347)/F1347,"")</x:f>
        <x:v>29.866409130872455</x:v>
      </x:c>
      <x:c r="I1347" s="4" t="n">
        <x:f>IF(AND(ISNUMBER(G1347),G1347&gt;0),('계산 과정'!$E$56+'계산 과정'!$E$57*D1347+'계산 과정'!$E$58*E1347)/F1347,"")</x:f>
        <x:v>197.21489386858647</x:v>
      </x:c>
      <x:c r="J1347" s="4" t="n">
        <x:f>IF('계산 과정'!$L$5,'계산 과정'!$D$6+'계산 과정'!$C$35*D1347+'계산 과정'!$D$35*E1347,"")</x:f>
        <x:v>632.0226226402469</x:v>
      </x:c>
      <x:c r="K1347" s="4" t="n">
        <x:f>IF(AND('계산 과정'!$L$6,J1347&gt;0),'계산 과정'!$D$10*('계산 과정'!$C$38*(D1347-'계산 과정'!$C$32)+'계산 과정'!$D$38*(E1347-'계산 과정'!$D$32)-'계산 과정'!$E$38*'계산 과정'!$E$32)/J1347,"")</x:f>
        <x:v>0.22755359337807693</x:v>
      </x:c>
      <x:c r="L1347" s="4" t="n">
        <x:f>IF(AND('계산 과정'!$L$6,J1347&gt;0),'계산 과정'!$D$10*('계산 과정'!$C$39*(D1347-'계산 과정'!$C$32)+'계산 과정'!$D$39*(E1347-'계산 과정'!$D$32)-'계산 과정'!$E$39*'계산 과정'!$E$32)/J1347,"")</x:f>
        <x:v>1.5025896675701826</x:v>
      </x:c>
      <x:c r="M1347" s="17" t="n">
        <x:f>IF('계산 과정'!$L$6,IF(J1347&lt;=0,0,IF(AND(ABS(K1347)&lt;='계산 과정'!$D$11/2,ABS(L1347)&lt;='계산 과정'!$D$12/2),1,0)),"")</x:f>
        <x:v>1</x:v>
      </x:c>
      <x:c r="N1347" s="17" t="n">
        <x:f>IF('계산 과정'!$C$78,IF(AND(ISNUMBER(H1347),ISNUMBER(I1347),ABS(H1347-'계산 과정'!$C$88)&lt;='계산 과정'!$D$23/2,ABS(I1347-'계산 과정'!$C$89)&lt;='계산 과정'!$D$24/2),1,0),"")</x:f>
        <x:v>1</x:v>
      </x:c>
      <x:c r="O1347" s="4" t="n">
        <x:f>IF('계산 과정'!$L$7,'계산 과정'!$C$49*('계산 과정'!$C$32-D1347)+'계산 과정'!$D$49*('계산 과정'!$D$32-E1347)+'계산 과정'!$E$49*'계산 과정'!$E$32,"")</x:f>
        <x:v>17.977377359753177</x:v>
      </x:c>
      <x:c r="P1347" s="4" t="n">
        <x:f>IF(AND('계산 과정'!$L$7,O1347&lt;&gt;0),('계산 과정'!$L$23-'계산 과정'!$C$49*D1347-'계산 과정'!$D$49*E1347)/O1347,"")</x:f>
        <x:v>23.25018655365711</x:v>
      </x:c>
      <x:c r="Q1347" s="4" t="str">
        <x:f>IF(AND(ISNUMBER(P1347),P1347&gt;1E-9,P1347&lt;1-1E-9),'계산 과정'!$C$47*(D1347-'계산 과정'!$C$50+P1347*('계산 과정'!$C$32-D1347))+'계산 과정'!$D$47*(E1347-'계산 과정'!$D$50+P1347*('계산 과정'!$D$32-E1347))+'계산 과정'!$E$47*(0-'계산 과정'!$E$50+P1347*('계산 과정'!$E$32-0)),"")</x:f>
      </x:c>
      <x:c r="R1347" s="4" t="str">
        <x:f>IF(AND(ISNUMBER(P1347),P1347&gt;1E-9,P1347&lt;1-1E-9),'계산 과정'!$C$48*(D1347-'계산 과정'!$C$50+P1347*('계산 과정'!$C$32-D1347))+'계산 과정'!$D$48*(E1347-'계산 과정'!$D$50+P1347*('계산 과정'!$D$32-E1347))+'계산 과정'!$E$48*(0-'계산 과정'!$E$50+P1347*('계산 과정'!$E$32-0)),"")</x:f>
      </x:c>
      <x:c r="S1347" s="17" t="n">
        <x:f>IF('계산 과정'!$C$78,IF(AND(ISNUMBER(Q1347),ISNUMBER(R1347),ABS(Q1347-'계산 과정'!$C$88)&lt;='계산 과정'!$D$23/2,ABS(R1347-'계산 과정'!$C$89)&lt;='계산 과정'!$D$24/2),1,0),"")</x:f>
        <x:v>0</x:v>
      </x:c>
      <x:c r="T1347" s="4"/>
      <x:c r="U1347" s="4"/>
      <x:c r="V1347" s="4"/>
      <x:c r="W1347" s="4"/>
      <x:c r="X1347" s="4"/>
      <x:c r="Y1347" s="4"/>
      <x:c r="Z1347" s="4"/>
    </x:row>
    <x:row r="1348" ht="23" customHeight="1">
      <x:c r="A1348" s="17" t="n">
        <x:f>ROW()-6</x:f>
        <x:v>1342</x:v>
      </x:c>
      <x:c r="B1348" s="4" t="n">
        <x:f>IF('계산 과정'!$L$5,'계산 과정'!$L$11*SQRT((A1348+0.5)/'계산 과정'!$L$30),"")</x:f>
        <x:v>121.44606007529639</x:v>
      </x:c>
      <x:c r="C1348" s="4" t="n">
        <x:f>A1348*PI()*(3-SQRT(5))</x:f>
        <x:v>3220.7506542958517</x:v>
      </x:c>
      <x:c r="D1348" s="4" t="n">
        <x:f>IF('계산 과정'!$L$5,B1348*COS(C1348),"")</x:f>
        <x:v>-98.97028811134064</x:v>
      </x:c>
      <x:c r="E1348" s="4" t="n">
        <x:f>IF('계산 과정'!$L$5,B1348*SIN(C1348),"")</x:f>
        <x:v>-70.38485333486692</x:v>
      </x:c>
      <x:c r="F1348" s="4" t="n">
        <x:f>IF('계산 과정'!$L$7,'계산 과정'!$L$22+'계산 과정'!$C$49*D1348+'계산 과정'!$D$49*E1348,"")</x:f>
        <x:v>719.9825618595153</x:v>
      </x:c>
      <x:c r="G1348" s="4" t="n">
        <x:f>IF('계산 과정'!$L$7,IF(ABS(F1348)&gt;=1E-12*MAX(1,SQRT((D1348-'계산 과정'!$C$33)^2+(E1348-'계산 과정'!$D$33)^2+'계산 과정'!$E$33^2)),('계산 과정'!$L$23-'계산 과정'!$C$49*D1348-'계산 과정'!$D$49*E1348)/F1348,""),"")</x:f>
        <x:v>0.45836865449649394</x:v>
      </x:c>
      <x:c r="H1348" s="4" t="n">
        <x:f>IF(AND(ISNUMBER(G1348),G1348&gt;0),('계산 과정'!$D$56+'계산 과정'!$D$57*D1348+'계산 과정'!$D$58*E1348)/F1348,"")</x:f>
        <x:v>-102.06037457727913</x:v>
      </x:c>
      <x:c r="I1348" s="4" t="n">
        <x:f>IF(AND(ISNUMBER(G1348),G1348&gt;0),('계산 과정'!$E$56+'계산 과정'!$E$57*D1348+'계산 과정'!$E$58*E1348)/F1348,"")</x:f>
        <x:v>-102.64706385490292</x:v>
      </x:c>
      <x:c r="J1348" s="4" t="n">
        <x:f>IF('계산 과정'!$L$5,'계산 과정'!$D$6+'계산 과정'!$C$35*D1348+'계산 과정'!$D$35*E1348,"")</x:f>
        <x:v>719.9825618595153</x:v>
      </x:c>
      <x:c r="K1348" s="4" t="n">
        <x:f>IF(AND('계산 과정'!$L$6,J1348&gt;0),'계산 과정'!$D$10*('계산 과정'!$C$38*(D1348-'계산 과정'!$C$32)+'계산 과정'!$D$38*(E1348-'계산 과정'!$D$32)-'계산 과정'!$E$38*'계산 과정'!$E$32)/J1348,"")</x:f>
        <x:v>-0.7776028539221259</x:v>
      </x:c>
      <x:c r="L1348" s="4" t="n">
        <x:f>IF(AND('계산 과정'!$L$6,J1348&gt;0),'계산 과정'!$D$10*('계산 과정'!$C$39*(D1348-'계산 과정'!$C$32)+'계산 과정'!$D$39*(E1348-'계산 과정'!$D$32)-'계산 과정'!$E$39*'계산 과정'!$E$32)/J1348,"")</x:f>
        <x:v>-0.7820728674659271</x:v>
      </x:c>
      <x:c r="M1348" s="17" t="n">
        <x:f>IF('계산 과정'!$L$6,IF(J1348&lt;=0,0,IF(AND(ABS(K1348)&lt;='계산 과정'!$D$11/2,ABS(L1348)&lt;='계산 과정'!$D$12/2),1,0)),"")</x:f>
        <x:v>1</x:v>
      </x:c>
      <x:c r="N1348" s="17" t="n">
        <x:f>IF('계산 과정'!$C$78,IF(AND(ISNUMBER(H1348),ISNUMBER(I1348),ABS(H1348-'계산 과정'!$C$88)&lt;='계산 과정'!$D$23/2,ABS(I1348-'계산 과정'!$C$89)&lt;='계산 과정'!$D$24/2),1,0),"")</x:f>
        <x:v>1</x:v>
      </x:c>
      <x:c r="O1348" s="4" t="n">
        <x:f>IF('계산 과정'!$L$7,'계산 과정'!$C$49*('계산 과정'!$C$32-D1348)+'계산 과정'!$D$49*('계산 과정'!$D$32-E1348)+'계산 과정'!$E$49*'계산 과정'!$E$32,"")</x:f>
        <x:v>-69.98256185951522</x:v>
      </x:c>
      <x:c r="P1348" s="4" t="n">
        <x:f>IF(AND('계산 과정'!$L$7,O1348&lt;&gt;0),('계산 과정'!$L$23-'계산 과정'!$C$49*D1348-'계산 과정'!$D$49*E1348)/O1348,"")</x:f>
        <x:v>-4.715709590668746</x:v>
      </x:c>
      <x:c r="Q1348" s="4" t="str">
        <x:f>IF(AND(ISNUMBER(P1348),P1348&gt;1E-9,P1348&lt;1-1E-9),'계산 과정'!$C$47*(D1348-'계산 과정'!$C$50+P1348*('계산 과정'!$C$32-D1348))+'계산 과정'!$D$47*(E1348-'계산 과정'!$D$50+P1348*('계산 과정'!$D$32-E1348))+'계산 과정'!$E$47*(0-'계산 과정'!$E$50+P1348*('계산 과정'!$E$32-0)),"")</x:f>
      </x:c>
      <x:c r="R1348" s="4" t="str">
        <x:f>IF(AND(ISNUMBER(P1348),P1348&gt;1E-9,P1348&lt;1-1E-9),'계산 과정'!$C$48*(D1348-'계산 과정'!$C$50+P1348*('계산 과정'!$C$32-D1348))+'계산 과정'!$D$48*(E1348-'계산 과정'!$D$50+P1348*('계산 과정'!$D$32-E1348))+'계산 과정'!$E$48*(0-'계산 과정'!$E$50+P1348*('계산 과정'!$E$32-0)),"")</x:f>
      </x:c>
      <x:c r="S1348" s="17" t="n">
        <x:f>IF('계산 과정'!$C$78,IF(AND(ISNUMBER(Q1348),ISNUMBER(R1348),ABS(Q1348-'계산 과정'!$C$88)&lt;='계산 과정'!$D$23/2,ABS(R1348-'계산 과정'!$C$89)&lt;='계산 과정'!$D$24/2),1,0),"")</x:f>
        <x:v>0</x:v>
      </x:c>
      <x:c r="T1348" s="4"/>
      <x:c r="U1348" s="4"/>
      <x:c r="V1348" s="4"/>
      <x:c r="W1348" s="4"/>
      <x:c r="X1348" s="4"/>
      <x:c r="Y1348" s="4"/>
      <x:c r="Z1348" s="4"/>
    </x:row>
    <x:row r="1349" ht="23" customHeight="1">
      <x:c r="A1349" s="17" t="n">
        <x:f>ROW()-6</x:f>
        <x:v>1343</x:v>
      </x:c>
      <x:c r="B1349" s="4" t="n">
        <x:f>IF('계산 과정'!$L$5,'계산 과정'!$L$11*SQRT((A1349+0.5)/'계산 과정'!$L$30),"")</x:f>
        <x:v>121.49128296276034</x:v>
      </x:c>
      <x:c r="C1349" s="4" t="n">
        <x:f>A1349*PI()*(3-SQRT(5))</x:f>
        <x:v>3223.150617525581</x:v>
      </x:c>
      <x:c r="D1349" s="4" t="n">
        <x:f>IF('계산 과정'!$L$5,B1349*COS(C1349),"")</x:f>
        <x:v>120.56677435467778</x:v>
      </x:c>
      <x:c r="E1349" s="4" t="n">
        <x:f>IF('계산 과정'!$L$5,B1349*SIN(C1349),"")</x:f>
        <x:v>-14.959437076498382</x:v>
      </x:c>
      <x:c r="F1349" s="4" t="n">
        <x:f>IF('계산 과정'!$L$7,'계산 과정'!$L$22+'계산 과정'!$C$49*D1349+'계산 과정'!$D$49*E1349,"")</x:f>
        <x:v>564.7464162680191</x:v>
      </x:c>
      <x:c r="G1349" s="4" t="n">
        <x:f>IF('계산 과정'!$L$7,IF(ABS(F1349)&gt;=1E-12*MAX(1,SQRT((D1349-'계산 과정'!$C$33)^2+(E1349-'계산 과정'!$D$33)^2+'계산 과정'!$E$33^2)),('계산 과정'!$L$23-'계산 과정'!$C$49*D1349-'계산 과정'!$D$49*E1349)/F1349,""),"")</x:f>
        <x:v>0.8592415458581465</x:v>
      </x:c>
      <x:c r="H1349" s="4" t="n">
        <x:f>IF(AND(ISNUMBER(G1349),G1349&gt;0),('계산 과정'!$D$56+'계산 과정'!$D$57*D1349+'계산 과정'!$D$58*E1349)/F1349,"")</x:f>
        <x:v>158.50700480779517</x:v>
      </x:c>
      <x:c r="I1349" s="4" t="n">
        <x:f>IF(AND(ISNUMBER(G1349),G1349&gt;0),('계산 과정'!$E$56+'계산 과정'!$E$57*D1349+'계산 과정'!$E$58*E1349)/F1349,"")</x:f>
        <x:v>-27.813206915276524</x:v>
      </x:c>
      <x:c r="J1349" s="4" t="n">
        <x:f>IF('계산 과정'!$L$5,'계산 과정'!$D$6+'계산 과정'!$C$35*D1349+'계산 과정'!$D$35*E1349,"")</x:f>
        <x:v>564.7464162680191</x:v>
      </x:c>
      <x:c r="K1349" s="4" t="n">
        <x:f>IF(AND('계산 과정'!$L$6,J1349&gt;0),'계산 과정'!$D$10*('계산 과정'!$C$38*(D1349-'계산 과정'!$C$32)+'계산 과정'!$D$38*(E1349-'계산 과정'!$D$32)-'계산 과정'!$E$38*'계산 과정'!$E$32)/J1349,"")</x:f>
        <x:v>1.207672417583202</x:v>
      </x:c>
      <x:c r="L1349" s="4" t="n">
        <x:f>IF(AND('계산 과정'!$L$6,J1349&gt;0),'계산 과정'!$D$10*('계산 과정'!$C$39*(D1349-'계산 과정'!$C$32)+'계산 과정'!$D$39*(E1349-'계산 과정'!$D$32)-'계산 과정'!$E$39*'계산 과정'!$E$32)/J1349,"")</x:f>
        <x:v>-0.21191014792591636</x:v>
      </x:c>
      <x:c r="M1349" s="17" t="n">
        <x:f>IF('계산 과정'!$L$6,IF(J1349&lt;=0,0,IF(AND(ABS(K1349)&lt;='계산 과정'!$D$11/2,ABS(L1349)&lt;='계산 과정'!$D$12/2),1,0)),"")</x:f>
        <x:v>1</x:v>
      </x:c>
      <x:c r="N1349" s="17" t="n">
        <x:f>IF('계산 과정'!$C$78,IF(AND(ISNUMBER(H1349),ISNUMBER(I1349),ABS(H1349-'계산 과정'!$C$88)&lt;='계산 과정'!$D$23/2,ABS(I1349-'계산 과정'!$C$89)&lt;='계산 과정'!$D$24/2),1,0),"")</x:f>
        <x:v>1</x:v>
      </x:c>
      <x:c r="O1349" s="4" t="n">
        <x:f>IF('계산 과정'!$L$7,'계산 과정'!$C$49*('계산 과정'!$C$32-D1349)+'계산 과정'!$D$49*('계산 과정'!$D$32-E1349)+'계산 과정'!$E$49*'계산 과정'!$E$32,"")</x:f>
        <x:v>85.25358373198108</x:v>
      </x:c>
      <x:c r="P1349" s="4" t="n">
        <x:f>IF(AND('계산 과정'!$L$7,O1349&lt;&gt;0),('계산 과정'!$L$23-'계산 과정'!$C$49*D1349-'계산 과정'!$D$49*E1349)/O1349,"")</x:f>
        <x:v>5.691884874394416</x:v>
      </x:c>
      <x:c r="Q1349" s="4" t="str">
        <x:f>IF(AND(ISNUMBER(P1349),P1349&gt;1E-9,P1349&lt;1-1E-9),'계산 과정'!$C$47*(D1349-'계산 과정'!$C$50+P1349*('계산 과정'!$C$32-D1349))+'계산 과정'!$D$47*(E1349-'계산 과정'!$D$50+P1349*('계산 과정'!$D$32-E1349))+'계산 과정'!$E$47*(0-'계산 과정'!$E$50+P1349*('계산 과정'!$E$32-0)),"")</x:f>
      </x:c>
      <x:c r="R1349" s="4" t="str">
        <x:f>IF(AND(ISNUMBER(P1349),P1349&gt;1E-9,P1349&lt;1-1E-9),'계산 과정'!$C$48*(D1349-'계산 과정'!$C$50+P1349*('계산 과정'!$C$32-D1349))+'계산 과정'!$D$48*(E1349-'계산 과정'!$D$50+P1349*('계산 과정'!$D$32-E1349))+'계산 과정'!$E$48*(0-'계산 과정'!$E$50+P1349*('계산 과정'!$E$32-0)),"")</x:f>
      </x:c>
      <x:c r="S1349" s="17" t="n">
        <x:f>IF('계산 과정'!$C$78,IF(AND(ISNUMBER(Q1349),ISNUMBER(R1349),ABS(Q1349-'계산 과정'!$C$88)&lt;='계산 과정'!$D$23/2,ABS(R1349-'계산 과정'!$C$89)&lt;='계산 과정'!$D$24/2),1,0),"")</x:f>
        <x:v>0</x:v>
      </x:c>
      <x:c r="T1349" s="4"/>
      <x:c r="U1349" s="4"/>
      <x:c r="V1349" s="4"/>
      <x:c r="W1349" s="4"/>
      <x:c r="X1349" s="4"/>
      <x:c r="Y1349" s="4"/>
      <x:c r="Z1349" s="4"/>
    </x:row>
    <x:row r="1350" ht="23" customHeight="1">
      <x:c r="A1350" s="17" t="n">
        <x:f>ROW()-6</x:f>
        <x:v>1344</x:v>
      </x:c>
      <x:c r="B1350" s="4" t="n">
        <x:f>IF('계산 과정'!$L$5,'계산 과정'!$L$11*SQRT((A1350+0.5)/'계산 과정'!$L$30),"")</x:f>
        <x:v>121.53648902310162</x:v>
      </x:c>
      <x:c r="C1350" s="4" t="n">
        <x:f>A1350*PI()*(3-SQRT(5))</x:f>
        <x:v>3225.5505807553095</x:v>
      </x:c>
      <x:c r="D1350" s="4" t="n">
        <x:f>IF('계산 과정'!$L$5,B1350*COS(C1350),"")</x:f>
        <x:v>-78.82655248815227</x:v>
      </x:c>
      <x:c r="E1350" s="4" t="n">
        <x:f>IF('계산 과정'!$L$5,B1350*SIN(C1350),"")</x:f>
        <x:v>92.50671752308087</x:v>
      </x:c>
      <x:c r="F1350" s="4" t="n">
        <x:f>IF('계산 과정'!$L$7,'계산 과정'!$L$22+'계산 과정'!$C$49*D1350+'계산 과정'!$D$49*E1350,"")</x:f>
        <x:v>705.7387898019298</x:v>
      </x:c>
      <x:c r="G1350" s="4" t="n">
        <x:f>IF('계산 과정'!$L$7,IF(ABS(F1350)&gt;=1E-12*MAX(1,SQRT((D1350-'계산 과정'!$C$33)^2+(E1350-'계산 과정'!$D$33)^2+'계산 과정'!$E$33^2)),('계산 과정'!$L$23-'계산 과정'!$C$49*D1350-'계산 과정'!$D$49*E1350)/F1350,""),"")</x:f>
        <x:v>0.4878025909482592</x:v>
      </x:c>
      <x:c r="H1350" s="4" t="n">
        <x:f>IF(AND(ISNUMBER(G1350),G1350&gt;0),('계산 과정'!$D$56+'계산 과정'!$D$57*D1350+'계산 과정'!$D$58*E1350)/F1350,"")</x:f>
        <x:v>-82.92831588363168</x:v>
      </x:c>
      <x:c r="I1350" s="4" t="n">
        <x:f>IF(AND(ISNUMBER(G1350),G1350&gt;0),('계산 과정'!$E$56+'계산 과정'!$E$57*D1350+'계산 과정'!$E$58*E1350)/F1350,"")</x:f>
        <x:v>137.63173401095844</x:v>
      </x:c>
      <x:c r="J1350" s="4" t="n">
        <x:f>IF('계산 과정'!$L$5,'계산 과정'!$D$6+'계산 과정'!$C$35*D1350+'계산 과정'!$D$35*E1350,"")</x:f>
        <x:v>705.7387898019298</x:v>
      </x:c>
      <x:c r="K1350" s="4" t="n">
        <x:f>IF(AND('계산 과정'!$L$6,J1350&gt;0),'계산 과정'!$D$10*('계산 과정'!$C$38*(D1350-'계산 과정'!$C$32)+'계산 과정'!$D$38*(E1350-'계산 과정'!$D$32)-'계산 과정'!$E$38*'계산 과정'!$E$32)/J1350,"")</x:f>
        <x:v>-0.6318347876848117</x:v>
      </x:c>
      <x:c r="L1350" s="4" t="n">
        <x:f>IF(AND('계산 과정'!$L$6,J1350&gt;0),'계산 과정'!$D$10*('계산 과정'!$C$39*(D1350-'계산 과정'!$C$32)+'계산 과정'!$D$39*(E1350-'계산 과정'!$D$32)-'계산 과정'!$E$39*'계산 과정'!$E$32)/J1350,"")</x:f>
        <x:v>1.048622735321588</x:v>
      </x:c>
      <x:c r="M1350" s="17" t="n">
        <x:f>IF('계산 과정'!$L$6,IF(J1350&lt;=0,0,IF(AND(ABS(K1350)&lt;='계산 과정'!$D$11/2,ABS(L1350)&lt;='계산 과정'!$D$12/2),1,0)),"")</x:f>
        <x:v>1</x:v>
      </x:c>
      <x:c r="N1350" s="17" t="n">
        <x:f>IF('계산 과정'!$C$78,IF(AND(ISNUMBER(H1350),ISNUMBER(I1350),ABS(H1350-'계산 과정'!$C$88)&lt;='계산 과정'!$D$23/2,ABS(I1350-'계산 과정'!$C$89)&lt;='계산 과정'!$D$24/2),1,0),"")</x:f>
        <x:v>1</x:v>
      </x:c>
      <x:c r="O1350" s="4" t="n">
        <x:f>IF('계산 과정'!$L$7,'계산 과정'!$C$49*('계산 과정'!$C$32-D1350)+'계산 과정'!$D$49*('계산 과정'!$D$32-E1350)+'계산 과정'!$E$49*'계산 과정'!$E$32,"")</x:f>
        <x:v>-55.73878980192967</x:v>
      </x:c>
      <x:c r="P1350" s="4" t="n">
        <x:f>IF(AND('계산 과정'!$L$7,O1350&lt;&gt;0),('계산 과정'!$L$23-'계산 과정'!$C$49*D1350-'계산 과정'!$D$49*E1350)/O1350,"")</x:f>
        <x:v>-6.176330907459923</x:v>
      </x:c>
      <x:c r="Q1350" s="4" t="str">
        <x:f>IF(AND(ISNUMBER(P1350),P1350&gt;1E-9,P1350&lt;1-1E-9),'계산 과정'!$C$47*(D1350-'계산 과정'!$C$50+P1350*('계산 과정'!$C$32-D1350))+'계산 과정'!$D$47*(E1350-'계산 과정'!$D$50+P1350*('계산 과정'!$D$32-E1350))+'계산 과정'!$E$47*(0-'계산 과정'!$E$50+P1350*('계산 과정'!$E$32-0)),"")</x:f>
      </x:c>
      <x:c r="R1350" s="4" t="str">
        <x:f>IF(AND(ISNUMBER(P1350),P1350&gt;1E-9,P1350&lt;1-1E-9),'계산 과정'!$C$48*(D1350-'계산 과정'!$C$50+P1350*('계산 과정'!$C$32-D1350))+'계산 과정'!$D$48*(E1350-'계산 과정'!$D$50+P1350*('계산 과정'!$D$32-E1350))+'계산 과정'!$E$48*(0-'계산 과정'!$E$50+P1350*('계산 과정'!$E$32-0)),"")</x:f>
      </x:c>
      <x:c r="S1350" s="17" t="n">
        <x:f>IF('계산 과정'!$C$78,IF(AND(ISNUMBER(Q1350),ISNUMBER(R1350),ABS(Q1350-'계산 과정'!$C$88)&lt;='계산 과정'!$D$23/2,ABS(R1350-'계산 과정'!$C$89)&lt;='계산 과정'!$D$24/2),1,0),"")</x:f>
        <x:v>0</x:v>
      </x:c>
      <x:c r="T1350" s="4"/>
      <x:c r="U1350" s="4"/>
      <x:c r="V1350" s="4"/>
      <x:c r="W1350" s="4"/>
      <x:c r="X1350" s="4"/>
      <x:c r="Y1350" s="4"/>
      <x:c r="Z1350" s="4"/>
    </x:row>
    <x:row r="1351" ht="23" customHeight="1">
      <x:c r="A1351" s="17" t="n">
        <x:f>ROW()-6</x:f>
        <x:v>1345</x:v>
      </x:c>
      <x:c r="B1351" s="4" t="n">
        <x:f>IF('계산 과정'!$L$5,'계산 과정'!$L$11*SQRT((A1351+0.5)/'계산 과정'!$L$30),"")</x:f>
        <x:v>121.58167827509003</x:v>
      </x:c>
      <x:c r="C1351" s="4" t="n">
        <x:f>A1351*PI()*(3-SQRT(5))</x:f>
        <x:v>3227.9505439850377</x:v>
      </x:c>
      <x:c r="D1351" s="4" t="n">
        <x:f>IF('계산 과정'!$L$5,B1351*COS(C1351),"")</x:f>
        <x:v>-4.364765557860152</x:v>
      </x:c>
      <x:c r="E1351" s="4" t="n">
        <x:f>IF('계산 과정'!$L$5,B1351*SIN(C1351),"")</x:f>
        <x:v>-121.50330577318634</x:v>
      </x:c>
      <x:c r="F1351" s="4" t="n">
        <x:f>IF('계산 과정'!$L$7,'계산 과정'!$L$22+'계산 과정'!$C$49*D1351+'계산 과정'!$D$49*E1351,"")</x:f>
        <x:v>653.0863553242524</x:v>
      </x:c>
      <x:c r="G1351" s="4" t="n">
        <x:f>IF('계산 과정'!$L$7,IF(ABS(F1351)&gt;=1E-12*MAX(1,SQRT((D1351-'계산 과정'!$C$33)^2+(E1351-'계산 과정'!$D$33)^2+'계산 과정'!$E$33^2)),('계산 과정'!$L$23-'계산 과정'!$C$49*D1351-'계산 과정'!$D$49*E1351)/F1351,""),"")</x:f>
        <x:v>0.6077506311989676</x:v>
      </x:c>
      <x:c r="H1351" s="4" t="n">
        <x:f>IF(AND(ISNUMBER(G1351),G1351&gt;0),('계산 과정'!$D$56+'계산 과정'!$D$57*D1351+'계산 과정'!$D$58*E1351)/F1351,"")</x:f>
        <x:v>-4.962089720671201</x:v>
      </x:c>
      <x:c r="I1351" s="4" t="n">
        <x:f>IF(AND(ISNUMBER(G1351),G1351&gt;0),('계산 과정'!$E$56+'계산 과정'!$E$57*D1351+'계산 과정'!$E$58*E1351)/F1351,"")</x:f>
        <x:v>-195.3470165496015</x:v>
      </x:c>
      <x:c r="J1351" s="4" t="n">
        <x:f>IF('계산 과정'!$L$5,'계산 과정'!$D$6+'계산 과정'!$C$35*D1351+'계산 과정'!$D$35*E1351,"")</x:f>
        <x:v>653.0863553242524</x:v>
      </x:c>
      <x:c r="K1351" s="4" t="n">
        <x:f>IF(AND('계산 과정'!$L$6,J1351&gt;0),'계산 과정'!$D$10*('계산 과정'!$C$38*(D1351-'계산 과정'!$C$32)+'계산 과정'!$D$38*(E1351-'계산 과정'!$D$32)-'계산 과정'!$E$38*'계산 과정'!$E$32)/J1351,"")</x:f>
        <x:v>-0.037806397871779675</x:v>
      </x:c>
      <x:c r="L1351" s="4" t="n">
        <x:f>IF(AND('계산 과정'!$L$6,J1351&gt;0),'계산 과정'!$D$10*('계산 과정'!$C$39*(D1351-'계산 과정'!$C$32)+'계산 과정'!$D$39*(E1351-'계산 과정'!$D$32)-'계산 과정'!$E$39*'계산 과정'!$E$32)/J1351,"")</x:f>
        <x:v>-1.488358221330297</x:v>
      </x:c>
      <x:c r="M1351" s="17" t="n">
        <x:f>IF('계산 과정'!$L$6,IF(J1351&lt;=0,0,IF(AND(ABS(K1351)&lt;='계산 과정'!$D$11/2,ABS(L1351)&lt;='계산 과정'!$D$12/2),1,0)),"")</x:f>
        <x:v>1</x:v>
      </x:c>
      <x:c r="N1351" s="17" t="n">
        <x:f>IF('계산 과정'!$C$78,IF(AND(ISNUMBER(H1351),ISNUMBER(I1351),ABS(H1351-'계산 과정'!$C$88)&lt;='계산 과정'!$D$23/2,ABS(I1351-'계산 과정'!$C$89)&lt;='계산 과정'!$D$24/2),1,0),"")</x:f>
        <x:v>1</x:v>
      </x:c>
      <x:c r="O1351" s="4" t="n">
        <x:f>IF('계산 과정'!$L$7,'계산 과정'!$C$49*('계산 과정'!$C$32-D1351)+'계산 과정'!$D$49*('계산 과정'!$D$32-E1351)+'계산 과정'!$E$49*'계산 과정'!$E$32,"")</x:f>
        <x:v>-3.086355324252281</x:v>
      </x:c>
      <x:c r="P1351" s="4" t="n">
        <x:f>IF(AND('계산 과정'!$L$7,O1351&lt;&gt;0),('계산 과정'!$L$23-'계산 과정'!$C$49*D1351-'계산 과정'!$D$49*E1351)/O1351,"")</x:f>
        <x:v>-128.60270544899308</x:v>
      </x:c>
      <x:c r="Q1351" s="4" t="str">
        <x:f>IF(AND(ISNUMBER(P1351),P1351&gt;1E-9,P1351&lt;1-1E-9),'계산 과정'!$C$47*(D1351-'계산 과정'!$C$50+P1351*('계산 과정'!$C$32-D1351))+'계산 과정'!$D$47*(E1351-'계산 과정'!$D$50+P1351*('계산 과정'!$D$32-E1351))+'계산 과정'!$E$47*(0-'계산 과정'!$E$50+P1351*('계산 과정'!$E$32-0)),"")</x:f>
      </x:c>
      <x:c r="R1351" s="4" t="str">
        <x:f>IF(AND(ISNUMBER(P1351),P1351&gt;1E-9,P1351&lt;1-1E-9),'계산 과정'!$C$48*(D1351-'계산 과정'!$C$50+P1351*('계산 과정'!$C$32-D1351))+'계산 과정'!$D$48*(E1351-'계산 과정'!$D$50+P1351*('계산 과정'!$D$32-E1351))+'계산 과정'!$E$48*(0-'계산 과정'!$E$50+P1351*('계산 과정'!$E$32-0)),"")</x:f>
      </x:c>
      <x:c r="S1351" s="17" t="n">
        <x:f>IF('계산 과정'!$C$78,IF(AND(ISNUMBER(Q1351),ISNUMBER(R1351),ABS(Q1351-'계산 과정'!$C$88)&lt;='계산 과정'!$D$23/2,ABS(R1351-'계산 과정'!$C$89)&lt;='계산 과정'!$D$24/2),1,0),"")</x:f>
        <x:v>0</x:v>
      </x:c>
      <x:c r="T1351" s="4"/>
      <x:c r="U1351" s="4"/>
      <x:c r="V1351" s="4"/>
      <x:c r="W1351" s="4"/>
      <x:c r="X1351" s="4"/>
      <x:c r="Y1351" s="4"/>
      <x:c r="Z1351" s="4"/>
    </x:row>
    <x:row r="1352" ht="23" customHeight="1">
      <x:c r="A1352" s="17" t="n">
        <x:f>ROW()-6</x:f>
        <x:v>1346</x:v>
      </x:c>
      <x:c r="B1352" s="4" t="n">
        <x:f>IF('계산 과정'!$L$5,'계산 과정'!$L$11*SQRT((A1352+0.5)/'계산 과정'!$L$30),"")</x:f>
        <x:v>121.62685073746052</x:v>
      </x:c>
      <x:c r="C1352" s="4" t="n">
        <x:f>A1352*PI()*(3-SQRT(5))</x:f>
        <x:v>3230.350507214767</x:v>
      </x:c>
      <x:c r="D1352" s="4" t="n">
        <x:f>IF('계산 과정'!$L$5,B1352*COS(C1352),"")</x:f>
        <x:v>85.32443572372618</x:v>
      </x:c>
      <x:c r="E1352" s="4" t="n">
        <x:f>IF('계산 과정'!$L$5,B1352*SIN(C1352),"")</x:f>
        <x:v>86.67659135395334</x:v>
      </x:c>
      <x:c r="F1352" s="4" t="n">
        <x:f>IF('계산 과정'!$L$7,'계산 과정'!$L$22+'계산 과정'!$C$49*D1352+'계산 과정'!$D$49*E1352,"")</x:f>
        <x:v>589.6665128988375</x:v>
      </x:c>
      <x:c r="G1352" s="4" t="n">
        <x:f>IF('계산 과정'!$L$7,IF(ABS(F1352)&gt;=1E-12*MAX(1,SQRT((D1352-'계산 과정'!$C$33)^2+(E1352-'계산 과정'!$D$33)^2+'계산 과정'!$E$33^2)),('계산 과정'!$L$23-'계산 과정'!$C$49*D1352-'계산 과정'!$D$49*E1352)/F1352,""),"")</x:f>
        <x:v>0.7806675078734491</x:v>
      </x:c>
      <x:c r="H1352" s="4" t="n">
        <x:f>IF(AND(ISNUMBER(G1352),G1352&gt;0),('계산 과정'!$D$56+'계산 과정'!$D$57*D1352+'계산 과정'!$D$58*E1352)/F1352,"")</x:f>
        <x:v>107.43388011774181</x:v>
      </x:c>
      <x:c r="I1352" s="4" t="n">
        <x:f>IF(AND(ISNUMBER(G1352),G1352&gt;0),('계산 과정'!$E$56+'계산 과정'!$E$57*D1352+'계산 과정'!$E$58*E1352)/F1352,"")</x:f>
        <x:v>154.34218991720945</x:v>
      </x:c>
      <x:c r="J1352" s="4" t="n">
        <x:f>IF('계산 과정'!$L$5,'계산 과정'!$D$6+'계산 과정'!$C$35*D1352+'계산 과정'!$D$35*E1352,"")</x:f>
        <x:v>589.6665128988375</x:v>
      </x:c>
      <x:c r="K1352" s="4" t="n">
        <x:f>IF(AND('계산 과정'!$L$6,J1352&gt;0),'계산 과정'!$D$10*('계산 과정'!$C$38*(D1352-'계산 과정'!$C$32)+'계산 과정'!$D$38*(E1352-'계산 과정'!$D$32)-'계산 과정'!$E$38*'계산 과정'!$E$32)/J1352,"")</x:f>
        <x:v>0.8185438485161292</x:v>
      </x:c>
      <x:c r="L1352" s="4" t="n">
        <x:f>IF(AND('계산 과정'!$L$6,J1352&gt;0),'계산 과정'!$D$10*('계산 과정'!$C$39*(D1352-'계산 과정'!$C$32)+'계산 과정'!$D$39*(E1352-'계산 과정'!$D$32)-'계산 과정'!$E$39*'계산 과정'!$E$32)/J1352,"")</x:f>
        <x:v>1.17594049460731</x:v>
      </x:c>
      <x:c r="M1352" s="17" t="n">
        <x:f>IF('계산 과정'!$L$6,IF(J1352&lt;=0,0,IF(AND(ABS(K1352)&lt;='계산 과정'!$D$11/2,ABS(L1352)&lt;='계산 과정'!$D$12/2),1,0)),"")</x:f>
        <x:v>1</x:v>
      </x:c>
      <x:c r="N1352" s="17" t="n">
        <x:f>IF('계산 과정'!$C$78,IF(AND(ISNUMBER(H1352),ISNUMBER(I1352),ABS(H1352-'계산 과정'!$C$88)&lt;='계산 과정'!$D$23/2,ABS(I1352-'계산 과정'!$C$89)&lt;='계산 과정'!$D$24/2),1,0),"")</x:f>
        <x:v>1</x:v>
      </x:c>
      <x:c r="O1352" s="4" t="n">
        <x:f>IF('계산 과정'!$L$7,'계산 과정'!$C$49*('계산 과정'!$C$32-D1352)+'계산 과정'!$D$49*('계산 과정'!$D$32-E1352)+'계산 과정'!$E$49*'계산 과정'!$E$32,"")</x:f>
        <x:v>60.33348710116263</x:v>
      </x:c>
      <x:c r="P1352" s="4" t="n">
        <x:f>IF(AND('계산 과정'!$L$7,O1352&lt;&gt;0),('계산 과정'!$L$23-'계산 과정'!$C$49*D1352-'계산 과정'!$D$49*E1352)/O1352,"")</x:f>
        <x:v>7.6298173571388315</x:v>
      </x:c>
      <x:c r="Q1352" s="4" t="str">
        <x:f>IF(AND(ISNUMBER(P1352),P1352&gt;1E-9,P1352&lt;1-1E-9),'계산 과정'!$C$47*(D1352-'계산 과정'!$C$50+P1352*('계산 과정'!$C$32-D1352))+'계산 과정'!$D$47*(E1352-'계산 과정'!$D$50+P1352*('계산 과정'!$D$32-E1352))+'계산 과정'!$E$47*(0-'계산 과정'!$E$50+P1352*('계산 과정'!$E$32-0)),"")</x:f>
      </x:c>
      <x:c r="R1352" s="4" t="str">
        <x:f>IF(AND(ISNUMBER(P1352),P1352&gt;1E-9,P1352&lt;1-1E-9),'계산 과정'!$C$48*(D1352-'계산 과정'!$C$50+P1352*('계산 과정'!$C$32-D1352))+'계산 과정'!$D$48*(E1352-'계산 과정'!$D$50+P1352*('계산 과정'!$D$32-E1352))+'계산 과정'!$E$48*(0-'계산 과정'!$E$50+P1352*('계산 과정'!$E$32-0)),"")</x:f>
      </x:c>
      <x:c r="S1352" s="17" t="n">
        <x:f>IF('계산 과정'!$C$78,IF(AND(ISNUMBER(Q1352),ISNUMBER(R1352),ABS(Q1352-'계산 과정'!$C$88)&lt;='계산 과정'!$D$23/2,ABS(R1352-'계산 과정'!$C$89)&lt;='계산 과정'!$D$24/2),1,0),"")</x:f>
        <x:v>0</x:v>
      </x:c>
      <x:c r="T1352" s="4"/>
      <x:c r="U1352" s="4"/>
      <x:c r="V1352" s="4"/>
      <x:c r="W1352" s="4"/>
      <x:c r="X1352" s="4"/>
      <x:c r="Y1352" s="4"/>
      <x:c r="Z1352" s="4"/>
    </x:row>
    <x:row r="1353" ht="23" customHeight="1">
      <x:c r="A1353" s="17" t="n">
        <x:f>ROW()-6</x:f>
        <x:v>1347</x:v>
      </x:c>
      <x:c r="B1353" s="4" t="n">
        <x:f>IF('계산 과정'!$L$5,'계산 과정'!$L$11*SQRT((A1353+0.5)/'계산 과정'!$L$30),"")</x:f>
        <x:v>121.67200642891322</x:v>
      </x:c>
      <x:c r="C1353" s="4" t="n">
        <x:f>A1353*PI()*(3-SQRT(5))</x:f>
        <x:v>3232.7504704444955</x:v>
      </x:c>
      <x:c r="D1353" s="4" t="n">
        <x:f>IF('계산 과정'!$L$5,B1353*COS(C1353),"")</x:f>
        <x:v>-121.5098751617997</x:v>
      </x:c>
      <x:c r="E1353" s="4" t="n">
        <x:f>IF('계산 과정'!$L$5,B1353*SIN(C1353),"")</x:f>
        <x:v>-6.27912307582449</x:v>
      </x:c>
      <x:c r="F1353" s="4" t="n">
        <x:f>IF('계산 과정'!$L$7,'계산 과정'!$L$22+'계산 과정'!$C$49*D1353+'계산 과정'!$D$49*E1353,"")</x:f>
        <x:v>735.9204567080394</x:v>
      </x:c>
      <x:c r="G1353" s="4" t="n">
        <x:f>IF('계산 과정'!$L$7,IF(ABS(F1353)&gt;=1E-12*MAX(1,SQRT((D1353-'계산 과정'!$C$33)^2+(E1353-'계산 과정'!$D$33)^2+'계산 과정'!$E$33^2)),('계산 과정'!$L$23-'계산 과정'!$C$49*D1353-'계산 과정'!$D$49*E1353)/F1353,""),"")</x:f>
        <x:v>0.42678463471027667</x:v>
      </x:c>
      <x:c r="H1353" s="4" t="n">
        <x:f>IF(AND(ISNUMBER(G1353),G1353&gt;0),('계산 과정'!$D$56+'계산 과정'!$D$57*D1353+'계산 과정'!$D$58*E1353)/F1353,"")</x:f>
        <x:v>-122.58998743832028</x:v>
      </x:c>
      <x:c r="I1353" s="4" t="n">
        <x:f>IF(AND(ISNUMBER(G1353),G1353&gt;0),('계산 과정'!$E$56+'계산 과정'!$E$57*D1353+'계산 과정'!$E$58*E1353)/F1353,"")</x:f>
        <x:v>-8.958956324041113</x:v>
      </x:c>
      <x:c r="J1353" s="4" t="n">
        <x:f>IF('계산 과정'!$L$5,'계산 과정'!$D$6+'계산 과정'!$C$35*D1353+'계산 과정'!$D$35*E1353,"")</x:f>
        <x:v>735.9204567080394</x:v>
      </x:c>
      <x:c r="K1353" s="4" t="n">
        <x:f>IF(AND('계산 과정'!$L$6,J1353&gt;0),'계산 과정'!$D$10*('계산 과정'!$C$38*(D1353-'계산 과정'!$C$32)+'계산 과정'!$D$38*(E1353-'계산 과정'!$D$32)-'계산 과정'!$E$38*'계산 과정'!$E$32)/J1353,"")</x:f>
        <x:v>-0.93401895191101</x:v>
      </x:c>
      <x:c r="L1353" s="4" t="n">
        <x:f>IF(AND('계산 과정'!$L$6,J1353&gt;0),'계산 과정'!$D$10*('계산 과정'!$C$39*(D1353-'계산 과정'!$C$32)+'계산 과정'!$D$39*(E1353-'계산 과정'!$D$32)-'계산 과정'!$E$39*'계산 과정'!$E$32)/J1353,"")</x:f>
        <x:v>-0.06825871484983706</x:v>
      </x:c>
      <x:c r="M1353" s="17" t="n">
        <x:f>IF('계산 과정'!$L$6,IF(J1353&lt;=0,0,IF(AND(ABS(K1353)&lt;='계산 과정'!$D$11/2,ABS(L1353)&lt;='계산 과정'!$D$12/2),1,0)),"")</x:f>
        <x:v>1</x:v>
      </x:c>
      <x:c r="N1353" s="17" t="n">
        <x:f>IF('계산 과정'!$C$78,IF(AND(ISNUMBER(H1353),ISNUMBER(I1353),ABS(H1353-'계산 과정'!$C$88)&lt;='계산 과정'!$D$23/2,ABS(I1353-'계산 과정'!$C$89)&lt;='계산 과정'!$D$24/2),1,0),"")</x:f>
        <x:v>1</x:v>
      </x:c>
      <x:c r="O1353" s="4" t="n">
        <x:f>IF('계산 과정'!$L$7,'계산 과정'!$C$49*('계산 과정'!$C$32-D1353)+'계산 과정'!$D$49*('계산 과정'!$D$32-E1353)+'계산 과정'!$E$49*'계산 과정'!$E$32,"")</x:f>
        <x:v>-85.92045670803924</x:v>
      </x:c>
      <x:c r="P1353" s="4" t="n">
        <x:f>IF(AND('계산 과정'!$L$7,O1353&lt;&gt;0),('계산 과정'!$L$23-'계산 과정'!$C$49*D1353-'계산 과정'!$D$49*E1353)/O1353,"")</x:f>
        <x:v>-3.6554687361499254</x:v>
      </x:c>
      <x:c r="Q1353" s="4" t="str">
        <x:f>IF(AND(ISNUMBER(P1353),P1353&gt;1E-9,P1353&lt;1-1E-9),'계산 과정'!$C$47*(D1353-'계산 과정'!$C$50+P1353*('계산 과정'!$C$32-D1353))+'계산 과정'!$D$47*(E1353-'계산 과정'!$D$50+P1353*('계산 과정'!$D$32-E1353))+'계산 과정'!$E$47*(0-'계산 과정'!$E$50+P1353*('계산 과정'!$E$32-0)),"")</x:f>
      </x:c>
      <x:c r="R1353" s="4" t="str">
        <x:f>IF(AND(ISNUMBER(P1353),P1353&gt;1E-9,P1353&lt;1-1E-9),'계산 과정'!$C$48*(D1353-'계산 과정'!$C$50+P1353*('계산 과정'!$C$32-D1353))+'계산 과정'!$D$48*(E1353-'계산 과정'!$D$50+P1353*('계산 과정'!$D$32-E1353))+'계산 과정'!$E$48*(0-'계산 과정'!$E$50+P1353*('계산 과정'!$E$32-0)),"")</x:f>
      </x:c>
      <x:c r="S1353" s="17" t="n">
        <x:f>IF('계산 과정'!$C$78,IF(AND(ISNUMBER(Q1353),ISNUMBER(R1353),ABS(Q1353-'계산 과정'!$C$88)&lt;='계산 과정'!$D$23/2,ABS(R1353-'계산 과정'!$C$89)&lt;='계산 과정'!$D$24/2),1,0),"")</x:f>
        <x:v>0</x:v>
      </x:c>
      <x:c r="T1353" s="4"/>
      <x:c r="U1353" s="4"/>
      <x:c r="V1353" s="4"/>
      <x:c r="W1353" s="4"/>
      <x:c r="X1353" s="4"/>
      <x:c r="Y1353" s="4"/>
      <x:c r="Z1353" s="4"/>
    </x:row>
    <x:row r="1354" ht="23" customHeight="1">
      <x:c r="A1354" s="17" t="n">
        <x:f>ROW()-6</x:f>
        <x:v>1348</x:v>
      </x:c>
      <x:c r="B1354" s="4" t="n">
        <x:f>IF('계산 과정'!$L$5,'계산 과정'!$L$11*SQRT((A1354+0.5)/'계산 과정'!$L$30),"")</x:f>
        <x:v>121.7171453681136</x:v>
      </x:c>
      <x:c r="C1354" s="4" t="n">
        <x:f>A1354*PI()*(3-SQRT(5))</x:f>
        <x:v>3235.1504336742237</x:v>
      </x:c>
      <x:c r="D1354" s="4" t="n">
        <x:f>IF('계산 과정'!$L$5,B1354*COS(C1354),"")</x:f>
        <x:v>93.87390025832828</x:v>
      </x:c>
      <x:c r="E1354" s="4" t="n">
        <x:f>IF('계산 과정'!$L$5,B1354*SIN(C1354),"")</x:f>
        <x:v>-77.47744398760155</x:v>
      </x:c>
      <x:c r="F1354" s="4" t="n">
        <x:f>IF('계산 과정'!$L$7,'계산 과정'!$L$22+'계산 과정'!$C$49*D1354+'계산 과정'!$D$49*E1354,"")</x:f>
        <x:v>583.6211285509065</x:v>
      </x:c>
      <x:c r="G1354" s="4" t="n">
        <x:f>IF('계산 과정'!$L$7,IF(ABS(F1354)&gt;=1E-12*MAX(1,SQRT((D1354-'계산 과정'!$C$33)^2+(E1354-'계산 과정'!$D$33)^2+'계산 과정'!$E$33^2)),('계산 과정'!$L$23-'계산 과정'!$C$49*D1354-'계산 과정'!$D$49*E1354)/F1354,""),"")</x:f>
        <x:v>0.7991123841028203</x:v>
      </x:c>
      <x:c r="H1354" s="4" t="n">
        <x:f>IF(AND(ISNUMBER(G1354),G1354&gt;0),('계산 과정'!$D$56+'계산 과정'!$D$57*D1354+'계산 과정'!$D$58*E1354)/F1354,"")</x:f>
        <x:v>119.42304966683318</x:v>
      </x:c>
      <x:c r="I1354" s="4" t="n">
        <x:f>IF(AND(ISNUMBER(G1354),G1354&gt;0),('계산 과정'!$E$56+'계산 과정'!$E$57*D1354+'계산 과정'!$E$58*E1354)/F1354,"")</x:f>
        <x:v>-139.39062896672655</x:v>
      </x:c>
      <x:c r="J1354" s="4" t="n">
        <x:f>IF('계산 과정'!$L$5,'계산 과정'!$D$6+'계산 과정'!$C$35*D1354+'계산 과정'!$D$35*E1354,"")</x:f>
        <x:v>583.6211285509065</x:v>
      </x:c>
      <x:c r="K1354" s="4" t="n">
        <x:f>IF(AND('계산 과정'!$L$6,J1354&gt;0),'계산 과정'!$D$10*('계산 과정'!$C$38*(D1354-'계산 과정'!$C$32)+'계산 과정'!$D$38*(E1354-'계산 과정'!$D$32)-'계산 과정'!$E$38*'계산 과정'!$E$32)/J1354,"")</x:f>
        <x:v>0.9098899022234919</x:v>
      </x:c>
      <x:c r="L1354" s="4" t="n">
        <x:f>IF(AND('계산 과정'!$L$6,J1354&gt;0),'계산 과정'!$D$10*('계산 과정'!$C$39*(D1354-'계산 과정'!$C$32)+'계산 과정'!$D$39*(E1354-'계산 과정'!$D$32)-'계산 과정'!$E$39*'계산 과정'!$E$32)/J1354,"")</x:f>
        <x:v>-1.0620238397464878</x:v>
      </x:c>
      <x:c r="M1354" s="17" t="n">
        <x:f>IF('계산 과정'!$L$6,IF(J1354&lt;=0,0,IF(AND(ABS(K1354)&lt;='계산 과정'!$D$11/2,ABS(L1354)&lt;='계산 과정'!$D$12/2),1,0)),"")</x:f>
        <x:v>1</x:v>
      </x:c>
      <x:c r="N1354" s="17" t="n">
        <x:f>IF('계산 과정'!$C$78,IF(AND(ISNUMBER(H1354),ISNUMBER(I1354),ABS(H1354-'계산 과정'!$C$88)&lt;='계산 과정'!$D$23/2,ABS(I1354-'계산 과정'!$C$89)&lt;='계산 과정'!$D$24/2),1,0),"")</x:f>
        <x:v>1</x:v>
      </x:c>
      <x:c r="O1354" s="4" t="n">
        <x:f>IF('계산 과정'!$L$7,'계산 과정'!$C$49*('계산 과정'!$C$32-D1354)+'계산 과정'!$D$49*('계산 과정'!$D$32-E1354)+'계산 과정'!$E$49*'계산 과정'!$E$32,"")</x:f>
        <x:v>66.3788714490936</x:v>
      </x:c>
      <x:c r="P1354" s="4" t="n">
        <x:f>IF(AND('계산 과정'!$L$7,O1354&lt;&gt;0),('계산 과정'!$L$23-'계산 과정'!$C$49*D1354-'계산 과정'!$D$49*E1354)/O1354,"")</x:f>
        <x:v>7.0260138695904555</x:v>
      </x:c>
      <x:c r="Q1354" s="4" t="str">
        <x:f>IF(AND(ISNUMBER(P1354),P1354&gt;1E-9,P1354&lt;1-1E-9),'계산 과정'!$C$47*(D1354-'계산 과정'!$C$50+P1354*('계산 과정'!$C$32-D1354))+'계산 과정'!$D$47*(E1354-'계산 과정'!$D$50+P1354*('계산 과정'!$D$32-E1354))+'계산 과정'!$E$47*(0-'계산 과정'!$E$50+P1354*('계산 과정'!$E$32-0)),"")</x:f>
      </x:c>
      <x:c r="R1354" s="4" t="str">
        <x:f>IF(AND(ISNUMBER(P1354),P1354&gt;1E-9,P1354&lt;1-1E-9),'계산 과정'!$C$48*(D1354-'계산 과정'!$C$50+P1354*('계산 과정'!$C$32-D1354))+'계산 과정'!$D$48*(E1354-'계산 과정'!$D$50+P1354*('계산 과정'!$D$32-E1354))+'계산 과정'!$E$48*(0-'계산 과정'!$E$50+P1354*('계산 과정'!$E$32-0)),"")</x:f>
      </x:c>
      <x:c r="S1354" s="17" t="n">
        <x:f>IF('계산 과정'!$C$78,IF(AND(ISNUMBER(Q1354),ISNUMBER(R1354),ABS(Q1354-'계산 과정'!$C$88)&lt;='계산 과정'!$D$23/2,ABS(R1354-'계산 과정'!$C$89)&lt;='계산 과정'!$D$24/2),1,0),"")</x:f>
        <x:v>0</x:v>
      </x:c>
      <x:c r="T1354" s="4"/>
      <x:c r="U1354" s="4"/>
      <x:c r="V1354" s="4"/>
      <x:c r="W1354" s="4"/>
      <x:c r="X1354" s="4"/>
      <x:c r="Y1354" s="4"/>
      <x:c r="Z1354" s="4"/>
    </x:row>
    <x:row r="1355" ht="23" customHeight="1">
      <x:c r="A1355" s="17" t="n">
        <x:f>ROW()-6</x:f>
        <x:v>1349</x:v>
      </x:c>
      <x:c r="B1355" s="4" t="n">
        <x:f>IF('계산 과정'!$L$5,'계산 과정'!$L$11*SQRT((A1355+0.5)/'계산 과정'!$L$30),"")</x:f>
        <x:v>121.76226757369254</x:v>
      </x:c>
      <x:c r="C1355" s="4" t="n">
        <x:f>A1355*PI()*(3-SQRT(5))</x:f>
        <x:v>3237.550396903953</x:v>
      </x:c>
      <x:c r="D1355" s="4" t="n">
        <x:f>IF('계산 과정'!$L$5,B1355*COS(C1355),"")</x:f>
        <x:v>-16.890690365402946</x:v>
      </x:c>
      <x:c r="E1355" s="4" t="n">
        <x:f>IF('계산 과정'!$L$5,B1355*SIN(C1355),"")</x:f>
        <x:v>120.5850504153296</x:v>
      </x:c>
      <x:c r="F1355" s="4" t="n">
        <x:f>IF('계산 과정'!$L$7,'계산 과정'!$L$22+'계산 과정'!$C$49*D1355+'계산 과정'!$D$49*E1355,"")</x:f>
        <x:v>661.9435216962987</x:v>
      </x:c>
      <x:c r="G1355" s="4" t="n">
        <x:f>IF('계산 과정'!$L$7,IF(ABS(F1355)&gt;=1E-12*MAX(1,SQRT((D1355-'계산 과정'!$C$33)^2+(E1355-'계산 과정'!$D$33)^2+'계산 과정'!$E$33^2)),('계산 과정'!$L$23-'계산 과정'!$C$49*D1355-'계산 과정'!$D$49*E1355)/F1355,""),"")</x:f>
        <x:v>0.5862380483900899</x:v>
      </x:c>
      <x:c r="H1355" s="4" t="n">
        <x:f>IF(AND(ISNUMBER(G1355),G1355&gt;0),('계산 과정'!$D$56+'계산 과정'!$D$57*D1355+'계산 과정'!$D$58*E1355)/F1355,"")</x:f>
        <x:v>-18.945268546441675</x:v>
      </x:c>
      <x:c r="I1355" s="4" t="n">
        <x:f>IF(AND(ISNUMBER(G1355),G1355&gt;0),('계산 과정'!$E$56+'계산 과정'!$E$57*D1355+'계산 과정'!$E$58*E1355)/F1355,"")</x:f>
        <x:v>191.27659503583303</x:v>
      </x:c>
      <x:c r="J1355" s="4" t="n">
        <x:f>IF('계산 과정'!$L$5,'계산 과정'!$D$6+'계산 과정'!$C$35*D1355+'계산 과정'!$D$35*E1355,"")</x:f>
        <x:v>661.9435216962987</x:v>
      </x:c>
      <x:c r="K1355" s="4" t="n">
        <x:f>IF(AND('계산 과정'!$L$6,J1355&gt;0),'계산 과정'!$D$10*('계산 과정'!$C$38*(D1355-'계산 과정'!$C$32)+'계산 과정'!$D$38*(E1355-'계산 과정'!$D$32)-'계산 과정'!$E$38*'계산 과정'!$E$32)/J1355,"")</x:f>
        <x:v>-0.14434490321098342</x:v>
      </x:c>
      <x:c r="L1355" s="4" t="n">
        <x:f>IF(AND('계산 과정'!$L$6,J1355&gt;0),'계산 과정'!$D$10*('계산 과정'!$C$39*(D1355-'계산 과정'!$C$32)+'계산 과정'!$D$39*(E1355-'계산 과정'!$D$32)-'계산 과정'!$E$39*'계산 과정'!$E$32)/J1355,"")</x:f>
        <x:v>1.4573454859872992</x:v>
      </x:c>
      <x:c r="M1355" s="17" t="n">
        <x:f>IF('계산 과정'!$L$6,IF(J1355&lt;=0,0,IF(AND(ABS(K1355)&lt;='계산 과정'!$D$11/2,ABS(L1355)&lt;='계산 과정'!$D$12/2),1,0)),"")</x:f>
        <x:v>1</x:v>
      </x:c>
      <x:c r="N1355" s="17" t="n">
        <x:f>IF('계산 과정'!$C$78,IF(AND(ISNUMBER(H1355),ISNUMBER(I1355),ABS(H1355-'계산 과정'!$C$88)&lt;='계산 과정'!$D$23/2,ABS(I1355-'계산 과정'!$C$89)&lt;='계산 과정'!$D$24/2),1,0),"")</x:f>
        <x:v>1</x:v>
      </x:c>
      <x:c r="O1355" s="4" t="n">
        <x:f>IF('계산 과정'!$L$7,'계산 과정'!$C$49*('계산 과정'!$C$32-D1355)+'계산 과정'!$D$49*('계산 과정'!$D$32-E1355)+'계산 과정'!$E$49*'계산 과정'!$E$32,"")</x:f>
        <x:v>-11.943521696298603</x:v>
      </x:c>
      <x:c r="P1355" s="4" t="n">
        <x:f>IF(AND('계산 과정'!$L$7,O1355&lt;&gt;0),('계산 과정'!$L$23-'계산 과정'!$C$49*D1355-'계산 과정'!$D$49*E1355)/O1355,"")</x:f>
        <x:v>-32.49095938126551</x:v>
      </x:c>
      <x:c r="Q1355" s="4" t="str">
        <x:f>IF(AND(ISNUMBER(P1355),P1355&gt;1E-9,P1355&lt;1-1E-9),'계산 과정'!$C$47*(D1355-'계산 과정'!$C$50+P1355*('계산 과정'!$C$32-D1355))+'계산 과정'!$D$47*(E1355-'계산 과정'!$D$50+P1355*('계산 과정'!$D$32-E1355))+'계산 과정'!$E$47*(0-'계산 과정'!$E$50+P1355*('계산 과정'!$E$32-0)),"")</x:f>
      </x:c>
      <x:c r="R1355" s="4" t="str">
        <x:f>IF(AND(ISNUMBER(P1355),P1355&gt;1E-9,P1355&lt;1-1E-9),'계산 과정'!$C$48*(D1355-'계산 과정'!$C$50+P1355*('계산 과정'!$C$32-D1355))+'계산 과정'!$D$48*(E1355-'계산 과정'!$D$50+P1355*('계산 과정'!$D$32-E1355))+'계산 과정'!$E$48*(0-'계산 과정'!$E$50+P1355*('계산 과정'!$E$32-0)),"")</x:f>
      </x:c>
      <x:c r="S1355" s="17" t="n">
        <x:f>IF('계산 과정'!$C$78,IF(AND(ISNUMBER(Q1355),ISNUMBER(R1355),ABS(Q1355-'계산 과정'!$C$88)&lt;='계산 과정'!$D$23/2,ABS(R1355-'계산 과정'!$C$89)&lt;='계산 과정'!$D$24/2),1,0),"")</x:f>
        <x:v>0</x:v>
      </x:c>
      <x:c r="T1355" s="4"/>
      <x:c r="U1355" s="4"/>
      <x:c r="V1355" s="4"/>
      <x:c r="W1355" s="4"/>
      <x:c r="X1355" s="4"/>
      <x:c r="Y1355" s="4"/>
      <x:c r="Z1355" s="4"/>
    </x:row>
    <x:row r="1356" ht="23" customHeight="1">
      <x:c r="A1356" s="17" t="n">
        <x:f>ROW()-6</x:f>
        <x:v>1350</x:v>
      </x:c>
      <x:c r="B1356" s="4" t="n">
        <x:f>IF('계산 과정'!$L$5,'계산 과정'!$L$11*SQRT((A1356+0.5)/'계산 과정'!$L$30),"")</x:f>
        <x:v>121.8073730642464</x:v>
      </x:c>
      <x:c r="C1356" s="4" t="n">
        <x:f>A1356*PI()*(3-SQRT(5))</x:f>
        <x:v>3239.950360133682</x:v>
      </x:c>
      <x:c r="D1356" s="4" t="n">
        <x:f>IF('계산 과정'!$L$5,B1356*COS(C1356),"")</x:f>
        <x:v>-69.02492183723936</x:v>
      </x:c>
      <x:c r="E1356" s="4" t="n">
        <x:f>IF('계산 과정'!$L$5,B1356*SIN(C1356),"")</x:f>
        <x:v>-100.36232509351056</x:v>
      </x:c>
      <x:c r="F1356" s="4" t="n">
        <x:f>IF('계산 과정'!$L$7,'계산 과정'!$L$22+'계산 과정'!$C$49*D1356+'계산 과정'!$D$49*E1356,"")</x:f>
        <x:v>698.8079903019834</x:v>
      </x:c>
      <x:c r="G1356" s="4" t="n">
        <x:f>IF('계산 과정'!$L$7,IF(ABS(F1356)&gt;=1E-12*MAX(1,SQRT((D1356-'계산 과정'!$C$33)^2+(E1356-'계산 과정'!$D$33)^2+'계산 과정'!$E$33^2)),('계산 과정'!$L$23-'계산 과정'!$C$49*D1356-'계산 과정'!$D$49*E1356)/F1356,""),"")</x:f>
        <x:v>0.5025586635697343</x:v>
      </x:c>
      <x:c r="H1356" s="4" t="n">
        <x:f>IF(AND(ISNUMBER(G1356),G1356&gt;0),('계산 과정'!$D$56+'계산 과정'!$D$57*D1356+'계산 과정'!$D$58*E1356)/F1356,"")</x:f>
        <x:v>-73.33686867967279</x:v>
      </x:c>
      <x:c r="I1356" s="4" t="n">
        <x:f>IF(AND(ISNUMBER(G1356),G1356&gt;0),('계산 과정'!$E$56+'계산 과정'!$E$57*D1356+'계산 과정'!$E$58*E1356)/F1356,"")</x:f>
        <x:v>-150.80028106525646</x:v>
      </x:c>
      <x:c r="J1356" s="4" t="n">
        <x:f>IF('계산 과정'!$L$5,'계산 과정'!$D$6+'계산 과정'!$C$35*D1356+'계산 과정'!$D$35*E1356,"")</x:f>
        <x:v>698.8079903019834</x:v>
      </x:c>
      <x:c r="K1356" s="4" t="n">
        <x:f>IF(AND('계산 과정'!$L$6,J1356&gt;0),'계산 과정'!$D$10*('계산 과정'!$C$38*(D1356-'계산 과정'!$C$32)+'계산 과정'!$D$38*(E1356-'계산 과정'!$D$32)-'계산 과정'!$E$38*'계산 과정'!$E$32)/J1356,"")</x:f>
        <x:v>-0.5587570947022679</x:v>
      </x:c>
      <x:c r="L1356" s="4" t="n">
        <x:f>IF(AND('계산 과정'!$L$6,J1356&gt;0),'계산 과정'!$D$10*('계산 과정'!$C$39*(D1356-'계산 과정'!$C$32)+'계산 과정'!$D$39*(E1356-'계산 과정'!$D$32)-'계산 과정'!$E$39*'계산 과정'!$E$32)/J1356,"")</x:f>
        <x:v>-1.1489545224019537</x:v>
      </x:c>
      <x:c r="M1356" s="17" t="n">
        <x:f>IF('계산 과정'!$L$6,IF(J1356&lt;=0,0,IF(AND(ABS(K1356)&lt;='계산 과정'!$D$11/2,ABS(L1356)&lt;='계산 과정'!$D$12/2),1,0)),"")</x:f>
        <x:v>1</x:v>
      </x:c>
      <x:c r="N1356" s="17" t="n">
        <x:f>IF('계산 과정'!$C$78,IF(AND(ISNUMBER(H1356),ISNUMBER(I1356),ABS(H1356-'계산 과정'!$C$88)&lt;='계산 과정'!$D$23/2,ABS(I1356-'계산 과정'!$C$89)&lt;='계산 과정'!$D$24/2),1,0),"")</x:f>
        <x:v>1</x:v>
      </x:c>
      <x:c r="O1356" s="4" t="n">
        <x:f>IF('계산 과정'!$L$7,'계산 과정'!$C$49*('계산 과정'!$C$32-D1356)+'계산 과정'!$D$49*('계산 과정'!$D$32-E1356)+'계산 과정'!$E$49*'계산 과정'!$E$32,"")</x:f>
        <x:v>-48.80799030198324</x:v>
      </x:c>
      <x:c r="P1356" s="4" t="n">
        <x:f>IF(AND('계산 과정'!$L$7,O1356&lt;&gt;0),('계산 과정'!$L$23-'계산 과정'!$C$49*D1356-'계산 과정'!$D$49*E1356)/O1356,"")</x:f>
        <x:v>-7.195379435316485</x:v>
      </x:c>
      <x:c r="Q1356" s="4" t="str">
        <x:f>IF(AND(ISNUMBER(P1356),P1356&gt;1E-9,P1356&lt;1-1E-9),'계산 과정'!$C$47*(D1356-'계산 과정'!$C$50+P1356*('계산 과정'!$C$32-D1356))+'계산 과정'!$D$47*(E1356-'계산 과정'!$D$50+P1356*('계산 과정'!$D$32-E1356))+'계산 과정'!$E$47*(0-'계산 과정'!$E$50+P1356*('계산 과정'!$E$32-0)),"")</x:f>
      </x:c>
      <x:c r="R1356" s="4" t="str">
        <x:f>IF(AND(ISNUMBER(P1356),P1356&gt;1E-9,P1356&lt;1-1E-9),'계산 과정'!$C$48*(D1356-'계산 과정'!$C$50+P1356*('계산 과정'!$C$32-D1356))+'계산 과정'!$D$48*(E1356-'계산 과정'!$D$50+P1356*('계산 과정'!$D$32-E1356))+'계산 과정'!$E$48*(0-'계산 과정'!$E$50+P1356*('계산 과정'!$E$32-0)),"")</x:f>
      </x:c>
      <x:c r="S1356" s="17" t="n">
        <x:f>IF('계산 과정'!$C$78,IF(AND(ISNUMBER(Q1356),ISNUMBER(R1356),ABS(Q1356-'계산 과정'!$C$88)&lt;='계산 과정'!$D$23/2,ABS(R1356-'계산 과정'!$C$89)&lt;='계산 과정'!$D$24/2),1,0),"")</x:f>
        <x:v>0</x:v>
      </x:c>
      <x:c r="T1356" s="4"/>
      <x:c r="U1356" s="4"/>
      <x:c r="V1356" s="4"/>
      <x:c r="W1356" s="4"/>
      <x:c r="X1356" s="4"/>
      <x:c r="Y1356" s="4"/>
      <x:c r="Z1356" s="4"/>
    </x:row>
    <x:row r="1357" ht="23" customHeight="1">
      <x:c r="A1357" s="17" t="n">
        <x:f>ROW()-6</x:f>
        <x:v>1351</x:v>
      </x:c>
      <x:c r="B1357" s="4" t="n">
        <x:f>IF('계산 과정'!$L$5,'계산 과정'!$L$11*SQRT((A1357+0.5)/'계산 과정'!$L$30),"")</x:f>
        <x:v>121.85246185833711</x:v>
      </x:c>
      <x:c r="C1357" s="4" t="n">
        <x:f>A1357*PI()*(3-SQRT(5))</x:f>
        <x:v>3242.35032336341</x:v>
      </x:c>
      <x:c r="D1357" s="4" t="n">
        <x:f>IF('계산 과정'!$L$5,B1357*COS(C1357),"")</x:f>
        <x:v>118.73454076148401</x:v>
      </x:c>
      <x:c r="E1357" s="4" t="n">
        <x:f>IF('계산 과정'!$L$5,B1357*SIN(C1357),"")</x:f>
        <x:v>27.38852480687835</x:v>
      </x:c>
      <x:c r="F1357" s="4" t="n">
        <x:f>IF('계산 과정'!$L$7,'계산 과정'!$L$22+'계산 과정'!$C$49*D1357+'계산 과정'!$D$49*E1357,"")</x:f>
        <x:v>566.0420010664841</x:v>
      </x:c>
      <x:c r="G1357" s="4" t="n">
        <x:f>IF('계산 과정'!$L$7,IF(ABS(F1357)&gt;=1E-12*MAX(1,SQRT((D1357-'계산 과정'!$C$33)^2+(E1357-'계산 과정'!$D$33)^2+'계산 과정'!$E$33^2)),('계산 과정'!$L$23-'계산 과정'!$C$49*D1357-'계산 과정'!$D$49*E1357)/F1357,""),"")</x:f>
        <x:v>0.8549860222769458</x:v>
      </x:c>
      <x:c r="H1357" s="4" t="n">
        <x:f>IF(AND(ISNUMBER(G1357),G1357&gt;0),('계산 과정'!$D$56+'계산 과정'!$D$57*D1357+'계산 과정'!$D$58*E1357)/F1357,"")</x:f>
        <x:v>155.7409144800146</x:v>
      </x:c>
      <x:c r="I1357" s="4" t="n">
        <x:f>IF(AND(ISNUMBER(G1357),G1357&gt;0),('계산 과정'!$E$56+'계산 과정'!$E$57*D1357+'계산 과정'!$E$58*E1357)/F1357,"")</x:f>
        <x:v>50.805330687544725</x:v>
      </x:c>
      <x:c r="J1357" s="4" t="n">
        <x:f>IF('계산 과정'!$L$5,'계산 과정'!$D$6+'계산 과정'!$C$35*D1357+'계산 과정'!$D$35*E1357,"")</x:f>
        <x:v>566.0420010664841</x:v>
      </x:c>
      <x:c r="K1357" s="4" t="n">
        <x:f>IF(AND('계산 과정'!$L$6,J1357&gt;0),'계산 과정'!$D$10*('계산 과정'!$C$38*(D1357-'계산 과정'!$C$32)+'계산 과정'!$D$38*(E1357-'계산 과정'!$D$32)-'계산 과정'!$E$38*'계산 과정'!$E$32)/J1357,"")</x:f>
        <x:v>1.186597443657255</x:v>
      </x:c>
      <x:c r="L1357" s="4" t="n">
        <x:f>IF(AND('계산 과정'!$L$6,J1357&gt;0),'계산 과정'!$D$10*('계산 과정'!$C$39*(D1357-'계산 과정'!$C$32)+'계산 과정'!$D$39*(E1357-'계산 과정'!$D$32)-'계산 과정'!$E$39*'계산 과정'!$E$32)/J1357,"")</x:f>
        <x:v>0.38708823380986457</x:v>
      </x:c>
      <x:c r="M1357" s="17" t="n">
        <x:f>IF('계산 과정'!$L$6,IF(J1357&lt;=0,0,IF(AND(ABS(K1357)&lt;='계산 과정'!$D$11/2,ABS(L1357)&lt;='계산 과정'!$D$12/2),1,0)),"")</x:f>
        <x:v>1</x:v>
      </x:c>
      <x:c r="N1357" s="17" t="n">
        <x:f>IF('계산 과정'!$C$78,IF(AND(ISNUMBER(H1357),ISNUMBER(I1357),ABS(H1357-'계산 과정'!$C$88)&lt;='계산 과정'!$D$23/2,ABS(I1357-'계산 과정'!$C$89)&lt;='계산 과정'!$D$24/2),1,0),"")</x:f>
        <x:v>1</x:v>
      </x:c>
      <x:c r="O1357" s="4" t="n">
        <x:f>IF('계산 과정'!$L$7,'계산 과정'!$C$49*('계산 과정'!$C$32-D1357)+'계산 과정'!$D$49*('계산 과정'!$D$32-E1357)+'계산 과정'!$E$49*'계산 과정'!$E$32,"")</x:f>
        <x:v>83.957998933516</x:v>
      </x:c>
      <x:c r="P1357" s="4" t="n">
        <x:f>IF(AND('계산 과정'!$L$7,O1357&lt;&gt;0),('계산 과정'!$L$23-'계산 과정'!$C$49*D1357-'계산 과정'!$D$49*E1357)/O1357,"")</x:f>
        <x:v>5.764286965876221</x:v>
      </x:c>
      <x:c r="Q1357" s="4" t="str">
        <x:f>IF(AND(ISNUMBER(P1357),P1357&gt;1E-9,P1357&lt;1-1E-9),'계산 과정'!$C$47*(D1357-'계산 과정'!$C$50+P1357*('계산 과정'!$C$32-D1357))+'계산 과정'!$D$47*(E1357-'계산 과정'!$D$50+P1357*('계산 과정'!$D$32-E1357))+'계산 과정'!$E$47*(0-'계산 과정'!$E$50+P1357*('계산 과정'!$E$32-0)),"")</x:f>
      </x:c>
      <x:c r="R1357" s="4" t="str">
        <x:f>IF(AND(ISNUMBER(P1357),P1357&gt;1E-9,P1357&lt;1-1E-9),'계산 과정'!$C$48*(D1357-'계산 과정'!$C$50+P1357*('계산 과정'!$C$32-D1357))+'계산 과정'!$D$48*(E1357-'계산 과정'!$D$50+P1357*('계산 과정'!$D$32-E1357))+'계산 과정'!$E$48*(0-'계산 과정'!$E$50+P1357*('계산 과정'!$E$32-0)),"")</x:f>
      </x:c>
      <x:c r="S1357" s="17" t="n">
        <x:f>IF('계산 과정'!$C$78,IF(AND(ISNUMBER(Q1357),ISNUMBER(R1357),ABS(Q1357-'계산 과정'!$C$88)&lt;='계산 과정'!$D$23/2,ABS(R1357-'계산 과정'!$C$89)&lt;='계산 과정'!$D$24/2),1,0),"")</x:f>
        <x:v>0</x:v>
      </x:c>
      <x:c r="T1357" s="4"/>
      <x:c r="U1357" s="4"/>
      <x:c r="V1357" s="4"/>
      <x:c r="W1357" s="4"/>
      <x:c r="X1357" s="4"/>
      <x:c r="Y1357" s="4"/>
      <x:c r="Z1357" s="4"/>
    </x:row>
    <x:row r="1358" ht="23" customHeight="1">
      <x:c r="A1358" s="17" t="n">
        <x:f>ROW()-6</x:f>
        <x:v>1352</x:v>
      </x:c>
      <x:c r="B1358" s="4" t="n">
        <x:f>IF('계산 과정'!$L$5,'계산 과정'!$L$11*SQRT((A1358+0.5)/'계산 과정'!$L$30),"")</x:f>
        <x:v>121.89753397449229</x:v>
      </x:c>
      <x:c r="C1358" s="4" t="n">
        <x:f>A1358*PI()*(3-SQRT(5))</x:f>
        <x:v>3244.7502865931388</x:v>
      </x:c>
      <x:c r="D1358" s="4" t="n">
        <x:f>IF('계산 과정'!$L$5,B1358*COS(C1358),"")</x:f>
        <x:v>-106.09106540080755</x:v>
      </x:c>
      <x:c r="E1358" s="4" t="n">
        <x:f>IF('계산 과정'!$L$5,B1358*SIN(C1358),"")</x:f>
        <x:v>60.030780697772684</x:v>
      </x:c>
      <x:c r="F1358" s="4" t="n">
        <x:f>IF('계산 과정'!$L$7,'계산 과정'!$L$22+'계산 과정'!$C$49*D1358+'계산 과정'!$D$49*E1358,"")</x:f>
        <x:v>725.0177117682165</x:v>
      </x:c>
      <x:c r="G1358" s="4" t="n">
        <x:f>IF('계산 과정'!$L$7,IF(ABS(F1358)&gt;=1E-12*MAX(1,SQRT((D1358-'계산 과정'!$C$33)^2+(E1358-'계산 과정'!$D$33)^2+'계산 과정'!$E$33^2)),('계산 과정'!$L$23-'계산 과정'!$C$49*D1358-'계산 과정'!$D$49*E1358)/F1358,""),"")</x:f>
        <x:v>0.44824048151761325</x:v>
      </x:c>
      <x:c r="H1358" s="4" t="n">
        <x:f>IF(AND(ISNUMBER(G1358),G1358&gt;0),('계산 과정'!$D$56+'계산 과정'!$D$57*D1358+'계산 과정'!$D$58*E1358)/F1358,"")</x:f>
        <x:v>-108.64368701355156</x:v>
      </x:c>
      <x:c r="I1358" s="4" t="n">
        <x:f>IF(AND(ISNUMBER(G1358),G1358&gt;0),('계산 과정'!$E$56+'계산 과정'!$E$57*D1358+'계산 과정'!$E$58*E1358)/F1358,"")</x:f>
        <x:v>86.93900674362055</x:v>
      </x:c>
      <x:c r="J1358" s="4" t="n">
        <x:f>IF('계산 과정'!$L$5,'계산 과정'!$D$6+'계산 과정'!$C$35*D1358+'계산 과정'!$D$35*E1358,"")</x:f>
        <x:v>725.0177117682165</x:v>
      </x:c>
      <x:c r="K1358" s="4" t="n">
        <x:f>IF(AND('계산 과정'!$L$6,J1358&gt;0),'계산 과정'!$D$10*('계산 과정'!$C$38*(D1358-'계산 과정'!$C$32)+'계산 과정'!$D$38*(E1358-'계산 과정'!$D$32)-'계산 과정'!$E$38*'계산 과정'!$E$32)/J1358,"")</x:f>
        <x:v>-0.8277614248651539</x:v>
      </x:c>
      <x:c r="L1358" s="4" t="n">
        <x:f>IF(AND('계산 과정'!$L$6,J1358&gt;0),'계산 과정'!$D$10*('계산 과정'!$C$39*(D1358-'계산 과정'!$C$32)+'계산 과정'!$D$39*(E1358-'계산 과정'!$D$32)-'계산 과정'!$E$39*'계산 과정'!$E$32)/J1358,"")</x:f>
        <x:v>0.6623924323323471</x:v>
      </x:c>
      <x:c r="M1358" s="17" t="n">
        <x:f>IF('계산 과정'!$L$6,IF(J1358&lt;=0,0,IF(AND(ABS(K1358)&lt;='계산 과정'!$D$11/2,ABS(L1358)&lt;='계산 과정'!$D$12/2),1,0)),"")</x:f>
        <x:v>1</x:v>
      </x:c>
      <x:c r="N1358" s="17" t="n">
        <x:f>IF('계산 과정'!$C$78,IF(AND(ISNUMBER(H1358),ISNUMBER(I1358),ABS(H1358-'계산 과정'!$C$88)&lt;='계산 과정'!$D$23/2,ABS(I1358-'계산 과정'!$C$89)&lt;='계산 과정'!$D$24/2),1,0),"")</x:f>
        <x:v>1</x:v>
      </x:c>
      <x:c r="O1358" s="4" t="n">
        <x:f>IF('계산 과정'!$L$7,'계산 과정'!$C$49*('계산 과정'!$C$32-D1358)+'계산 과정'!$D$49*('계산 과정'!$D$32-E1358)+'계산 과정'!$E$49*'계산 과정'!$E$32,"")</x:f>
        <x:v>-75.01771176821643</x:v>
      </x:c>
      <x:c r="P1358" s="4" t="n">
        <x:f>IF(AND('계산 과정'!$L$7,O1358&lt;&gt;0),('계산 과정'!$L$23-'계산 과정'!$C$49*D1358-'계산 과정'!$D$49*E1358)/O1358,"")</x:f>
        <x:v>-4.332074127185952</x:v>
      </x:c>
      <x:c r="Q1358" s="4" t="str">
        <x:f>IF(AND(ISNUMBER(P1358),P1358&gt;1E-9,P1358&lt;1-1E-9),'계산 과정'!$C$47*(D1358-'계산 과정'!$C$50+P1358*('계산 과정'!$C$32-D1358))+'계산 과정'!$D$47*(E1358-'계산 과정'!$D$50+P1358*('계산 과정'!$D$32-E1358))+'계산 과정'!$E$47*(0-'계산 과정'!$E$50+P1358*('계산 과정'!$E$32-0)),"")</x:f>
      </x:c>
      <x:c r="R1358" s="4" t="str">
        <x:f>IF(AND(ISNUMBER(P1358),P1358&gt;1E-9,P1358&lt;1-1E-9),'계산 과정'!$C$48*(D1358-'계산 과정'!$C$50+P1358*('계산 과정'!$C$32-D1358))+'계산 과정'!$D$48*(E1358-'계산 과정'!$D$50+P1358*('계산 과정'!$D$32-E1358))+'계산 과정'!$E$48*(0-'계산 과정'!$E$50+P1358*('계산 과정'!$E$32-0)),"")</x:f>
      </x:c>
      <x:c r="S1358" s="17" t="n">
        <x:f>IF('계산 과정'!$C$78,IF(AND(ISNUMBER(Q1358),ISNUMBER(R1358),ABS(Q1358-'계산 과정'!$C$88)&lt;='계산 과정'!$D$23/2,ABS(R1358-'계산 과정'!$C$89)&lt;='계산 과정'!$D$24/2),1,0),"")</x:f>
        <x:v>0</x:v>
      </x:c>
      <x:c r="T1358" s="4"/>
      <x:c r="U1358" s="4"/>
      <x:c r="V1358" s="4"/>
      <x:c r="W1358" s="4"/>
      <x:c r="X1358" s="4"/>
      <x:c r="Y1358" s="4"/>
      <x:c r="Z1358" s="4"/>
    </x:row>
    <x:row r="1359" ht="23" customHeight="1">
      <x:c r="A1359" s="17" t="n">
        <x:f>ROW()-6</x:f>
        <x:v>1353</x:v>
      </x:c>
      <x:c r="B1359" s="4" t="n">
        <x:f>IF('계산 과정'!$L$5,'계산 과정'!$L$11*SQRT((A1359+0.5)/'계산 과정'!$L$30),"")</x:f>
        <x:v>121.94258943120528</x:v>
      </x:c>
      <x:c r="C1359" s="4" t="n">
        <x:f>A1359*PI()*(3-SQRT(5))</x:f>
        <x:v>3247.150249822867</x:v>
      </x:c>
      <x:c r="D1359" s="4" t="n">
        <x:f>IF('계산 과정'!$L$5,B1359*COS(C1359),"")</x:f>
        <x:v>37.69196661183127</x:v>
      </x:c>
      <x:c r="E1359" s="4" t="n">
        <x:f>IF('계산 과정'!$L$5,B1359*SIN(C1359),"")</x:f>
        <x:v>-115.97116352835343</x:v>
      </x:c>
      <x:c r="F1359" s="4" t="n">
        <x:f>IF('계산 과정'!$L$7,'계산 과정'!$L$22+'계산 과정'!$C$49*D1359+'계산 과정'!$D$49*E1359,"")</x:f>
        <x:v>623.3477548125172</x:v>
      </x:c>
      <x:c r="G1359" s="4" t="n">
        <x:f>IF('계산 과정'!$L$7,IF(ABS(F1359)&gt;=1E-12*MAX(1,SQRT((D1359-'계산 과정'!$C$33)^2+(E1359-'계산 과정'!$D$33)^2+'계산 과정'!$E$33^2)),('계산 과정'!$L$23-'계산 과정'!$C$49*D1359-'계산 과정'!$D$49*E1359)/F1359,""),"")</x:f>
        <x:v>0.6844530069989679</x:v>
      </x:c>
      <x:c r="H1359" s="4" t="n">
        <x:f>IF(AND(ISNUMBER(G1359),G1359&gt;0),('계산 과정'!$D$56+'계산 과정'!$D$57*D1359+'계산 과정'!$D$58*E1359)/F1359,"")</x:f>
        <x:v>44.89445454932912</x:v>
      </x:c>
      <x:c r="I1359" s="4" t="n">
        <x:f>IF(AND(ISNUMBER(G1359),G1359&gt;0),('계산 과정'!$E$56+'계산 과정'!$E$57*D1359+'계산 과정'!$E$58*E1359)/F1359,"")</x:f>
        <x:v>-195.34797513050398</x:v>
      </x:c>
      <x:c r="J1359" s="4" t="n">
        <x:f>IF('계산 과정'!$L$5,'계산 과정'!$D$6+'계산 과정'!$C$35*D1359+'계산 과정'!$D$35*E1359,"")</x:f>
        <x:v>623.3477548125172</x:v>
      </x:c>
      <x:c r="K1359" s="4" t="n">
        <x:f>IF(AND('계산 과정'!$L$6,J1359&gt;0),'계산 과정'!$D$10*('계산 과정'!$C$38*(D1359-'계산 과정'!$C$32)+'계산 과정'!$D$38*(E1359-'계산 과정'!$D$32)-'계산 과정'!$E$38*'계산 과정'!$E$32)/J1359,"")</x:f>
        <x:v>0.3420529870425084</x:v>
      </x:c>
      <x:c r="L1359" s="4" t="n">
        <x:f>IF(AND('계산 과정'!$L$6,J1359&gt;0),'계산 과정'!$D$10*('계산 과정'!$C$39*(D1359-'계산 과정'!$C$32)+'계산 과정'!$D$39*(E1359-'계산 과정'!$D$32)-'계산 과정'!$E$39*'계산 과정'!$E$32)/J1359,"")</x:f>
        <x:v>-1.4883655248038399</x:v>
      </x:c>
      <x:c r="M1359" s="17" t="n">
        <x:f>IF('계산 과정'!$L$6,IF(J1359&lt;=0,0,IF(AND(ABS(K1359)&lt;='계산 과정'!$D$11/2,ABS(L1359)&lt;='계산 과정'!$D$12/2),1,0)),"")</x:f>
        <x:v>1</x:v>
      </x:c>
      <x:c r="N1359" s="17" t="n">
        <x:f>IF('계산 과정'!$C$78,IF(AND(ISNUMBER(H1359),ISNUMBER(I1359),ABS(H1359-'계산 과정'!$C$88)&lt;='계산 과정'!$D$23/2,ABS(I1359-'계산 과정'!$C$89)&lt;='계산 과정'!$D$24/2),1,0),"")</x:f>
        <x:v>1</x:v>
      </x:c>
      <x:c r="O1359" s="4" t="n">
        <x:f>IF('계산 과정'!$L$7,'계산 과정'!$C$49*('계산 과정'!$C$32-D1359)+'계산 과정'!$D$49*('계산 과정'!$D$32-E1359)+'계산 과정'!$E$49*'계산 과정'!$E$32,"")</x:f>
        <x:v>26.652245187482947</x:v>
      </x:c>
      <x:c r="P1359" s="4" t="n">
        <x:f>IF(AND('계산 과정'!$L$7,O1359&lt;&gt;0),('계산 과정'!$L$23-'계산 과정'!$C$49*D1359-'계산 과정'!$D$49*E1359)/O1359,"")</x:f>
        <x:v>16.008116471473002</x:v>
      </x:c>
      <x:c r="Q1359" s="4" t="str">
        <x:f>IF(AND(ISNUMBER(P1359),P1359&gt;1E-9,P1359&lt;1-1E-9),'계산 과정'!$C$47*(D1359-'계산 과정'!$C$50+P1359*('계산 과정'!$C$32-D1359))+'계산 과정'!$D$47*(E1359-'계산 과정'!$D$50+P1359*('계산 과정'!$D$32-E1359))+'계산 과정'!$E$47*(0-'계산 과정'!$E$50+P1359*('계산 과정'!$E$32-0)),"")</x:f>
      </x:c>
      <x:c r="R1359" s="4" t="str">
        <x:f>IF(AND(ISNUMBER(P1359),P1359&gt;1E-9,P1359&lt;1-1E-9),'계산 과정'!$C$48*(D1359-'계산 과정'!$C$50+P1359*('계산 과정'!$C$32-D1359))+'계산 과정'!$D$48*(E1359-'계산 과정'!$D$50+P1359*('계산 과정'!$D$32-E1359))+'계산 과정'!$E$48*(0-'계산 과정'!$E$50+P1359*('계산 과정'!$E$32-0)),"")</x:f>
      </x:c>
      <x:c r="S1359" s="17" t="n">
        <x:f>IF('계산 과정'!$C$78,IF(AND(ISNUMBER(Q1359),ISNUMBER(R1359),ABS(Q1359-'계산 과정'!$C$88)&lt;='계산 과정'!$D$23/2,ABS(R1359-'계산 과정'!$C$89)&lt;='계산 과정'!$D$24/2),1,0),"")</x:f>
        <x:v>0</x:v>
      </x:c>
      <x:c r="T1359" s="4"/>
      <x:c r="U1359" s="4"/>
      <x:c r="V1359" s="4"/>
      <x:c r="W1359" s="4"/>
      <x:c r="X1359" s="4"/>
      <x:c r="Y1359" s="4"/>
      <x:c r="Z1359" s="4"/>
    </x:row>
    <x:row r="1360" ht="23" customHeight="1">
      <x:c r="A1360" s="17" t="n">
        <x:f>ROW()-6</x:f>
        <x:v>1354</x:v>
      </x:c>
      <x:c r="B1360" s="4" t="n">
        <x:f>IF('계산 과정'!$L$5,'계산 과정'!$L$11*SQRT((A1360+0.5)/'계산 과정'!$L$30),"")</x:f>
        <x:v>121.98762824693536</x:v>
      </x:c>
      <x:c r="C1360" s="4" t="n">
        <x:f>A1360*PI()*(3-SQRT(5))</x:f>
        <x:v>3249.550213052596</x:v>
      </x:c>
      <x:c r="D1360" s="4" t="n">
        <x:f>IF('계산 과정'!$L$5,B1360*COS(C1360),"")</x:f>
        <x:v>50.56318057831204</x:v>
      </x:c>
      <x:c r="E1360" s="4" t="n">
        <x:f>IF('계산 과정'!$L$5,B1360*SIN(C1360),"")</x:f>
        <x:v>111.01507201780085</x:v>
      </x:c>
      <x:c r="F1360" s="4" t="n">
        <x:f>IF('계산 과정'!$L$7,'계산 과정'!$L$22+'계산 과정'!$C$49*D1360+'계산 과정'!$D$49*E1360,"")</x:f>
        <x:v>614.2464321347156</x:v>
      </x:c>
      <x:c r="G1360" s="4" t="n">
        <x:f>IF('계산 과정'!$L$7,IF(ABS(F1360)&gt;=1E-12*MAX(1,SQRT((D1360-'계산 과정'!$C$33)^2+(E1360-'계산 과정'!$D$33)^2+'계산 과정'!$E$33^2)),('계산 과정'!$L$23-'계산 과정'!$C$49*D1360-'계산 과정'!$D$49*E1360)/F1360,""),"")</x:f>
        <x:v>0.7094116385029576</x:v>
      </x:c>
      <x:c r="H1360" s="4" t="n">
        <x:f>IF(AND(ISNUMBER(G1360),G1360&gt;0),('계산 과정'!$D$56+'계산 과정'!$D$57*D1360+'계산 과정'!$D$58*E1360)/F1360,"")</x:f>
        <x:v>61.11756502692237</x:v>
      </x:c>
      <x:c r="I1360" s="4" t="n">
        <x:f>IF(AND(ISNUMBER(G1360),G1360&gt;0),('계산 과정'!$E$56+'계산 과정'!$E$57*D1360+'계산 과정'!$E$58*E1360)/F1360,"")</x:f>
        <x:v>189.7704561564728</x:v>
      </x:c>
      <x:c r="J1360" s="4" t="n">
        <x:f>IF('계산 과정'!$L$5,'계산 과정'!$D$6+'계산 과정'!$C$35*D1360+'계산 과정'!$D$35*E1360,"")</x:f>
        <x:v>614.2464321347156</x:v>
      </x:c>
      <x:c r="K1360" s="4" t="n">
        <x:f>IF(AND('계산 과정'!$L$6,J1360&gt;0),'계산 과정'!$D$10*('계산 과정'!$C$38*(D1360-'계산 과정'!$C$32)+'계산 과정'!$D$38*(E1360-'계산 과정'!$D$32)-'계산 과정'!$E$38*'계산 과정'!$E$32)/J1360,"")</x:f>
        <x:v>0.46565763830036144</x:v>
      </x:c>
      <x:c r="L1360" s="4" t="n">
        <x:f>IF(AND('계산 과정'!$L$6,J1360&gt;0),'계산 과정'!$D$10*('계산 과정'!$C$39*(D1360-'계산 과정'!$C$32)+'계산 과정'!$D$39*(E1360-'계산 과정'!$D$32)-'계산 과정'!$E$39*'계산 과정'!$E$32)/J1360,"")</x:f>
        <x:v>1.4458701421445546</x:v>
      </x:c>
      <x:c r="M1360" s="17" t="n">
        <x:f>IF('계산 과정'!$L$6,IF(J1360&lt;=0,0,IF(AND(ABS(K1360)&lt;='계산 과정'!$D$11/2,ABS(L1360)&lt;='계산 과정'!$D$12/2),1,0)),"")</x:f>
        <x:v>1</x:v>
      </x:c>
      <x:c r="N1360" s="17" t="n">
        <x:f>IF('계산 과정'!$C$78,IF(AND(ISNUMBER(H1360),ISNUMBER(I1360),ABS(H1360-'계산 과정'!$C$88)&lt;='계산 과정'!$D$23/2,ABS(I1360-'계산 과정'!$C$89)&lt;='계산 과정'!$D$24/2),1,0),"")</x:f>
        <x:v>1</x:v>
      </x:c>
      <x:c r="O1360" s="4" t="n">
        <x:f>IF('계산 과정'!$L$7,'계산 과정'!$C$49*('계산 과정'!$C$32-D1360)+'계산 과정'!$D$49*('계산 과정'!$D$32-E1360)+'계산 과정'!$E$49*'계산 과정'!$E$32,"")</x:f>
        <x:v>35.75356786528448</x:v>
      </x:c>
      <x:c r="P1360" s="4" t="n">
        <x:f>IF(AND('계산 과정'!$L$7,O1360&lt;&gt;0),('계산 과정'!$L$23-'계산 과정'!$C$49*D1360-'계산 과정'!$D$49*E1360)/O1360,"")</x:f>
        <x:v>12.187694652101742</x:v>
      </x:c>
      <x:c r="Q1360" s="4" t="str">
        <x:f>IF(AND(ISNUMBER(P1360),P1360&gt;1E-9,P1360&lt;1-1E-9),'계산 과정'!$C$47*(D1360-'계산 과정'!$C$50+P1360*('계산 과정'!$C$32-D1360))+'계산 과정'!$D$47*(E1360-'계산 과정'!$D$50+P1360*('계산 과정'!$D$32-E1360))+'계산 과정'!$E$47*(0-'계산 과정'!$E$50+P1360*('계산 과정'!$E$32-0)),"")</x:f>
      </x:c>
      <x:c r="R1360" s="4" t="str">
        <x:f>IF(AND(ISNUMBER(P1360),P1360&gt;1E-9,P1360&lt;1-1E-9),'계산 과정'!$C$48*(D1360-'계산 과정'!$C$50+P1360*('계산 과정'!$C$32-D1360))+'계산 과정'!$D$48*(E1360-'계산 과정'!$D$50+P1360*('계산 과정'!$D$32-E1360))+'계산 과정'!$E$48*(0-'계산 과정'!$E$50+P1360*('계산 과정'!$E$32-0)),"")</x:f>
      </x:c>
      <x:c r="S1360" s="17" t="n">
        <x:f>IF('계산 과정'!$C$78,IF(AND(ISNUMBER(Q1360),ISNUMBER(R1360),ABS(Q1360-'계산 과정'!$C$88)&lt;='계산 과정'!$D$23/2,ABS(R1360-'계산 과정'!$C$89)&lt;='계산 과정'!$D$24/2),1,0),"")</x:f>
        <x:v>0</x:v>
      </x:c>
      <x:c r="T1360" s="4"/>
      <x:c r="U1360" s="4"/>
      <x:c r="V1360" s="4"/>
      <x:c r="W1360" s="4"/>
      <x:c r="X1360" s="4"/>
      <x:c r="Y1360" s="4"/>
      <x:c r="Z1360" s="4"/>
    </x:row>
    <x:row r="1361" ht="23" customHeight="1">
      <x:c r="A1361" s="17" t="n">
        <x:f>ROW()-6</x:f>
        <x:v>1355</x:v>
      </x:c>
      <x:c r="B1361" s="4" t="n">
        <x:f>IF('계산 과정'!$L$5,'계산 과정'!$L$11*SQRT((A1361+0.5)/'계산 과정'!$L$30),"")</x:f>
        <x:v>122.03265044010762</x:v>
      </x:c>
      <x:c r="C1361" s="4" t="n">
        <x:f>A1361*PI()*(3-SQRT(5))</x:f>
        <x:v>3251.9501762823247</x:v>
      </x:c>
      <x:c r="D1361" s="4" t="n">
        <x:f>IF('계산 과정'!$L$5,B1361*COS(C1361),"")</x:f>
        <x:v>-112.31475631561908</x:v>
      </x:c>
      <x:c r="E1361" s="4" t="n">
        <x:f>IF('계산 과정'!$L$5,B1361*SIN(C1361),"")</x:f>
        <x:v>-47.7217276217092</x:v>
      </x:c>
      <x:c r="F1361" s="4" t="n">
        <x:f>IF('계산 과정'!$L$7,'계산 과정'!$L$22+'계산 과정'!$C$49*D1361+'계산 과정'!$D$49*E1361,"")</x:f>
        <x:v>729.4185258180888</x:v>
      </x:c>
      <x:c r="G1361" s="4" t="n">
        <x:f>IF('계산 과정'!$L$7,IF(ABS(F1361)&gt;=1E-12*MAX(1,SQRT((D1361-'계산 과정'!$C$33)^2+(E1361-'계산 과정'!$D$33)^2+'계산 과정'!$E$33^2)),('계산 과정'!$L$23-'계산 과정'!$C$49*D1361-'계산 과정'!$D$49*E1361)/F1361,""),"")</x:f>
        <x:v>0.4395027858969703</x:v>
      </x:c>
      <x:c r="H1361" s="4" t="n">
        <x:f>IF(AND(ISNUMBER(G1361),G1361&gt;0),('계산 과정'!$D$56+'계산 과정'!$D$57*D1361+'계산 과정'!$D$58*E1361)/F1361,"")</x:f>
        <x:v>-114.3231891669695</x:v>
      </x:c>
      <x:c r="I1361" s="4" t="n">
        <x:f>IF(AND(ISNUMBER(G1361),G1361&gt;0),('계산 과정'!$E$56+'계산 과정'!$E$57*D1361+'계산 과정'!$E$58*E1361)/F1361,"")</x:f>
        <x:v>-68.6955598592668</x:v>
      </x:c>
      <x:c r="J1361" s="4" t="n">
        <x:f>IF('계산 과정'!$L$5,'계산 과정'!$D$6+'계산 과정'!$C$35*D1361+'계산 과정'!$D$35*E1361,"")</x:f>
        <x:v>729.4185258180888</x:v>
      </x:c>
      <x:c r="K1361" s="4" t="n">
        <x:f>IF(AND('계산 과정'!$L$6,J1361&gt;0),'계산 과정'!$D$10*('계산 과정'!$C$38*(D1361-'계산 과정'!$C$32)+'계산 과정'!$D$38*(E1361-'계산 과정'!$D$32)-'계산 과정'!$E$38*'계산 과정'!$E$32)/J1361,"")</x:f>
        <x:v>-0.8710338222245287</x:v>
      </x:c>
      <x:c r="L1361" s="4" t="n">
        <x:f>IF(AND('계산 과정'!$L$6,J1361&gt;0),'계산 과정'!$D$10*('계산 과정'!$C$39*(D1361-'계산 과정'!$C$32)+'계산 과정'!$D$39*(E1361-'계산 과정'!$D$32)-'계산 과정'!$E$39*'계산 과정'!$E$32)/J1361,"")</x:f>
        <x:v>-0.5233947417848899</x:v>
      </x:c>
      <x:c r="M1361" s="17" t="n">
        <x:f>IF('계산 과정'!$L$6,IF(J1361&lt;=0,0,IF(AND(ABS(K1361)&lt;='계산 과정'!$D$11/2,ABS(L1361)&lt;='계산 과정'!$D$12/2),1,0)),"")</x:f>
        <x:v>1</x:v>
      </x:c>
      <x:c r="N1361" s="17" t="n">
        <x:f>IF('계산 과정'!$C$78,IF(AND(ISNUMBER(H1361),ISNUMBER(I1361),ABS(H1361-'계산 과정'!$C$88)&lt;='계산 과정'!$D$23/2,ABS(I1361-'계산 과정'!$C$89)&lt;='계산 과정'!$D$24/2),1,0),"")</x:f>
        <x:v>1</x:v>
      </x:c>
      <x:c r="O1361" s="4" t="n">
        <x:f>IF('계산 과정'!$L$7,'계산 과정'!$C$49*('계산 과정'!$C$32-D1361)+'계산 과정'!$D$49*('계산 과정'!$D$32-E1361)+'계산 과정'!$E$49*'계산 과정'!$E$32,"")</x:f>
        <x:v>-79.41852581808877</x:v>
      </x:c>
      <x:c r="P1361" s="4" t="n">
        <x:f>IF(AND('계산 과정'!$L$7,O1361&lt;&gt;0),('계산 과정'!$L$23-'계산 과정'!$C$49*D1361-'계산 과정'!$D$49*E1361)/O1361,"")</x:f>
        <x:v>-4.036608220558205</x:v>
      </x:c>
      <x:c r="Q1361" s="4" t="str">
        <x:f>IF(AND(ISNUMBER(P1361),P1361&gt;1E-9,P1361&lt;1-1E-9),'계산 과정'!$C$47*(D1361-'계산 과정'!$C$50+P1361*('계산 과정'!$C$32-D1361))+'계산 과정'!$D$47*(E1361-'계산 과정'!$D$50+P1361*('계산 과정'!$D$32-E1361))+'계산 과정'!$E$47*(0-'계산 과정'!$E$50+P1361*('계산 과정'!$E$32-0)),"")</x:f>
      </x:c>
      <x:c r="R1361" s="4" t="str">
        <x:f>IF(AND(ISNUMBER(P1361),P1361&gt;1E-9,P1361&lt;1-1E-9),'계산 과정'!$C$48*(D1361-'계산 과정'!$C$50+P1361*('계산 과정'!$C$32-D1361))+'계산 과정'!$D$48*(E1361-'계산 과정'!$D$50+P1361*('계산 과정'!$D$32-E1361))+'계산 과정'!$E$48*(0-'계산 과정'!$E$50+P1361*('계산 과정'!$E$32-0)),"")</x:f>
      </x:c>
      <x:c r="S1361" s="17" t="n">
        <x:f>IF('계산 과정'!$C$78,IF(AND(ISNUMBER(Q1361),ISNUMBER(R1361),ABS(Q1361-'계산 과정'!$C$88)&lt;='계산 과정'!$D$23/2,ABS(R1361-'계산 과정'!$C$89)&lt;='계산 과정'!$D$24/2),1,0),"")</x:f>
        <x:v>0</x:v>
      </x:c>
      <x:c r="T1361" s="4"/>
      <x:c r="U1361" s="4"/>
      <x:c r="V1361" s="4"/>
      <x:c r="W1361" s="4"/>
      <x:c r="X1361" s="4"/>
      <x:c r="Y1361" s="4"/>
      <x:c r="Z1361" s="4"/>
    </x:row>
    <x:row r="1362" ht="23" customHeight="1">
      <x:c r="A1362" s="17" t="n">
        <x:f>ROW()-6</x:f>
        <x:v>1356</x:v>
      </x:c>
      <x:c r="B1362" s="4" t="n">
        <x:f>IF('계산 과정'!$L$5,'계산 과정'!$L$11*SQRT((A1362+0.5)/'계산 과정'!$L$30),"")</x:f>
        <x:v>122.07765602911329</x:v>
      </x:c>
      <x:c r="C1362" s="4" t="n">
        <x:f>A1362*PI()*(3-SQRT(5))</x:f>
        <x:v>3254.350139512053</x:v>
      </x:c>
      <x:c r="D1362" s="4" t="n">
        <x:f>IF('계산 과정'!$L$5,B1362*COS(C1362),"")</x:f>
        <x:v>115.09540117567256</x:v>
      </x:c>
      <x:c r="E1362" s="4" t="n">
        <x:f>IF('계산 과정'!$L$5,B1362*SIN(C1362),"")</x:f>
        <x:v>-40.69401343899975</x:v>
      </x:c>
      <x:c r="F1362" s="4" t="n">
        <x:f>IF('계산 과정'!$L$7,'계산 과정'!$L$22+'계산 과정'!$C$49*D1362+'계산 과정'!$D$49*E1362,"")</x:f>
        <x:v>568.6152613452958</x:v>
      </x:c>
      <x:c r="G1362" s="4" t="n">
        <x:f>IF('계산 과정'!$L$7,IF(ABS(F1362)&gt;=1E-12*MAX(1,SQRT((D1362-'계산 과정'!$C$33)^2+(E1362-'계산 과정'!$D$33)^2+'계산 과정'!$E$33^2)),('계산 과정'!$L$23-'계산 과정'!$C$49*D1362-'계산 과정'!$D$49*E1362)/F1362,""),"")</x:f>
        <x:v>0.8465913094133077</x:v>
      </x:c>
      <x:c r="H1362" s="4" t="n">
        <x:f>IF(AND(ISNUMBER(G1362),G1362&gt;0),('계산 과정'!$D$56+'계산 과정'!$D$57*D1362+'계산 과정'!$D$58*E1362)/F1362,"")</x:f>
        <x:v>150.28435111864997</x:v>
      </x:c>
      <x:c r="I1362" s="4" t="n">
        <x:f>IF(AND(ISNUMBER(G1362),G1362&gt;0),('계산 과정'!$E$56+'계산 과정'!$E$57*D1362+'계산 과정'!$E$58*E1362)/F1362,"")</x:f>
        <x:v>-75.14521156160528</x:v>
      </x:c>
      <x:c r="J1362" s="4" t="n">
        <x:f>IF('계산 과정'!$L$5,'계산 과정'!$D$6+'계산 과정'!$C$35*D1362+'계산 과정'!$D$35*E1362,"")</x:f>
        <x:v>568.6152613452958</x:v>
      </x:c>
      <x:c r="K1362" s="4" t="n">
        <x:f>IF(AND('계산 과정'!$L$6,J1362&gt;0),'계산 과정'!$D$10*('계산 과정'!$C$38*(D1362-'계산 과정'!$C$32)+'계산 과정'!$D$38*(E1362-'계산 과정'!$D$32)-'계산 과정'!$E$38*'계산 과정'!$E$32)/J1362,"")</x:f>
        <x:v>1.1450236275706676</x:v>
      </x:c>
      <x:c r="L1362" s="4" t="n">
        <x:f>IF(AND('계산 과정'!$L$6,J1362&gt;0),'계산 과정'!$D$10*('계산 과정'!$C$39*(D1362-'계산 과정'!$C$32)+'계산 과정'!$D$39*(E1362-'계산 과정'!$D$32)-'계산 과정'!$E$39*'계산 과정'!$E$32)/J1362,"")</x:f>
        <x:v>-0.5725349452312783</x:v>
      </x:c>
      <x:c r="M1362" s="17" t="n">
        <x:f>IF('계산 과정'!$L$6,IF(J1362&lt;=0,0,IF(AND(ABS(K1362)&lt;='계산 과정'!$D$11/2,ABS(L1362)&lt;='계산 과정'!$D$12/2),1,0)),"")</x:f>
        <x:v>1</x:v>
      </x:c>
      <x:c r="N1362" s="17" t="n">
        <x:f>IF('계산 과정'!$C$78,IF(AND(ISNUMBER(H1362),ISNUMBER(I1362),ABS(H1362-'계산 과정'!$C$88)&lt;='계산 과정'!$D$23/2,ABS(I1362-'계산 과정'!$C$89)&lt;='계산 과정'!$D$24/2),1,0),"")</x:f>
        <x:v>1</x:v>
      </x:c>
      <x:c r="O1362" s="4" t="n">
        <x:f>IF('계산 과정'!$L$7,'계산 과정'!$C$49*('계산 과정'!$C$32-D1362)+'계산 과정'!$D$49*('계산 과정'!$D$32-E1362)+'계산 과정'!$E$49*'계산 과정'!$E$32,"")</x:f>
        <x:v>81.38473865470431</x:v>
      </x:c>
      <x:c r="P1362" s="4" t="n">
        <x:f>IF(AND('계산 과정'!$L$7,O1362&lt;&gt;0),('계산 과정'!$L$23-'계산 과정'!$C$49*D1362-'계산 과정'!$D$49*E1362)/O1362,"")</x:f>
        <x:v>5.91492639298263</x:v>
      </x:c>
      <x:c r="Q1362" s="4" t="str">
        <x:f>IF(AND(ISNUMBER(P1362),P1362&gt;1E-9,P1362&lt;1-1E-9),'계산 과정'!$C$47*(D1362-'계산 과정'!$C$50+P1362*('계산 과정'!$C$32-D1362))+'계산 과정'!$D$47*(E1362-'계산 과정'!$D$50+P1362*('계산 과정'!$D$32-E1362))+'계산 과정'!$E$47*(0-'계산 과정'!$E$50+P1362*('계산 과정'!$E$32-0)),"")</x:f>
      </x:c>
      <x:c r="R1362" s="4" t="str">
        <x:f>IF(AND(ISNUMBER(P1362),P1362&gt;1E-9,P1362&lt;1-1E-9),'계산 과정'!$C$48*(D1362-'계산 과정'!$C$50+P1362*('계산 과정'!$C$32-D1362))+'계산 과정'!$D$48*(E1362-'계산 과정'!$D$50+P1362*('계산 과정'!$D$32-E1362))+'계산 과정'!$E$48*(0-'계산 과정'!$E$50+P1362*('계산 과정'!$E$32-0)),"")</x:f>
      </x:c>
      <x:c r="S1362" s="17" t="n">
        <x:f>IF('계산 과정'!$C$78,IF(AND(ISNUMBER(Q1362),ISNUMBER(R1362),ABS(Q1362-'계산 과정'!$C$88)&lt;='계산 과정'!$D$23/2,ABS(R1362-'계산 과정'!$C$89)&lt;='계산 과정'!$D$24/2),1,0),"")</x:f>
        <x:v>0</x:v>
      </x:c>
      <x:c r="T1362" s="4"/>
      <x:c r="U1362" s="4"/>
      <x:c r="V1362" s="4"/>
      <x:c r="W1362" s="4"/>
      <x:c r="X1362" s="4"/>
      <x:c r="Y1362" s="4"/>
      <x:c r="Z1362" s="4"/>
    </x:row>
    <x:row r="1363" ht="23" customHeight="1">
      <x:c r="A1363" s="17" t="n">
        <x:f>ROW()-6</x:f>
        <x:v>1357</x:v>
      </x:c>
      <x:c r="B1363" s="4" t="n">
        <x:f>IF('계산 과정'!$L$5,'계산 과정'!$L$11*SQRT((A1363+0.5)/'계산 과정'!$L$30),"")</x:f>
        <x:v>122.12264503230963</x:v>
      </x:c>
      <x:c r="C1363" s="4" t="n">
        <x:f>A1363*PI()*(3-SQRT(5))</x:f>
        <x:v>3256.750102741782</x:v>
      </x:c>
      <x:c r="D1363" s="4" t="n">
        <x:f>IF('계산 과정'!$L$5,B1363*COS(C1363),"")</x:f>
        <x:v>-57.400501608866705</x:v>
      </x:c>
      <x:c r="E1363" s="4" t="n">
        <x:f>IF('계산 과정'!$L$5,B1363*SIN(C1363),"")</x:f>
        <x:v>107.79203516372623</x:v>
      </x:c>
      <x:c r="F1363" s="4" t="n">
        <x:f>IF('계산 과정'!$L$7,'계산 과정'!$L$22+'계산 과정'!$C$49*D1363+'계산 과정'!$D$49*E1363,"")</x:f>
        <x:v>690.588283931139</x:v>
      </x:c>
      <x:c r="G1363" s="4" t="n">
        <x:f>IF('계산 과정'!$L$7,IF(ABS(F1363)&gt;=1E-12*MAX(1,SQRT((D1363-'계산 과정'!$C$33)^2+(E1363-'계산 과정'!$D$33)^2+'계산 과정'!$E$33^2)),('계산 과정'!$L$23-'계산 과정'!$C$49*D1363-'계산 과정'!$D$49*E1363)/F1363,""),"")</x:f>
        <x:v>0.5204428230709736</x:v>
      </x:c>
      <x:c r="H1363" s="4" t="n">
        <x:f>IF(AND(ISNUMBER(G1363),G1363&gt;0),('계산 과정'!$D$56+'계산 과정'!$D$57*D1363+'계산 과정'!$D$58*E1363)/F1363,"")</x:f>
        <x:v>-61.712165003867305</x:v>
      </x:c>
      <x:c r="I1363" s="4" t="n">
        <x:f>IF(AND(ISNUMBER(G1363),G1363&gt;0),('계산 과정'!$E$56+'계산 과정'!$E$57*D1363+'계산 과정'!$E$58*E1363)/F1363,"")</x:f>
        <x:v>163.89162624890153</x:v>
      </x:c>
      <x:c r="J1363" s="4" t="n">
        <x:f>IF('계산 과정'!$L$5,'계산 과정'!$D$6+'계산 과정'!$C$35*D1363+'계산 과정'!$D$35*E1363,"")</x:f>
        <x:v>690.588283931139</x:v>
      </x:c>
      <x:c r="K1363" s="4" t="n">
        <x:f>IF(AND('계산 과정'!$L$6,J1363&gt;0),'계산 과정'!$D$10*('계산 과정'!$C$38*(D1363-'계산 과정'!$C$32)+'계산 과정'!$D$38*(E1363-'계산 과정'!$D$32)-'계산 과정'!$E$38*'계산 과정'!$E$32)/J1363,"")</x:f>
        <x:v>-0.47018792383898783</x:v>
      </x:c>
      <x:c r="L1363" s="4" t="n">
        <x:f>IF(AND('계산 과정'!$L$6,J1363&gt;0),'계산 과정'!$D$10*('계산 과정'!$C$39*(D1363-'계산 과정'!$C$32)+'계산 과정'!$D$39*(E1363-'계산 과정'!$D$32)-'계산 과정'!$E$39*'계산 과정'!$E$32)/J1363,"")</x:f>
        <x:v>1.2486981047535355</x:v>
      </x:c>
      <x:c r="M1363" s="17" t="n">
        <x:f>IF('계산 과정'!$L$6,IF(J1363&lt;=0,0,IF(AND(ABS(K1363)&lt;='계산 과정'!$D$11/2,ABS(L1363)&lt;='계산 과정'!$D$12/2),1,0)),"")</x:f>
        <x:v>1</x:v>
      </x:c>
      <x:c r="N1363" s="17" t="n">
        <x:f>IF('계산 과정'!$C$78,IF(AND(ISNUMBER(H1363),ISNUMBER(I1363),ABS(H1363-'계산 과정'!$C$88)&lt;='계산 과정'!$D$23/2,ABS(I1363-'계산 과정'!$C$89)&lt;='계산 과정'!$D$24/2),1,0),"")</x:f>
        <x:v>1</x:v>
      </x:c>
      <x:c r="O1363" s="4" t="n">
        <x:f>IF('계산 과정'!$L$7,'계산 과정'!$C$49*('계산 과정'!$C$32-D1363)+'계산 과정'!$D$49*('계산 과정'!$D$32-E1363)+'계산 과정'!$E$49*'계산 과정'!$E$32,"")</x:f>
        <x:v>-40.58828393113885</x:v>
      </x:c>
      <x:c r="P1363" s="4" t="n">
        <x:f>IF(AND('계산 과정'!$L$7,O1363&lt;&gt;0),('계산 과정'!$L$23-'계산 과정'!$C$49*D1363-'계산 과정'!$D$49*E1363)/O1363,"")</x:f>
        <x:v>-8.855060654415219</x:v>
      </x:c>
      <x:c r="Q1363" s="4" t="str">
        <x:f>IF(AND(ISNUMBER(P1363),P1363&gt;1E-9,P1363&lt;1-1E-9),'계산 과정'!$C$47*(D1363-'계산 과정'!$C$50+P1363*('계산 과정'!$C$32-D1363))+'계산 과정'!$D$47*(E1363-'계산 과정'!$D$50+P1363*('계산 과정'!$D$32-E1363))+'계산 과정'!$E$47*(0-'계산 과정'!$E$50+P1363*('계산 과정'!$E$32-0)),"")</x:f>
      </x:c>
      <x:c r="R1363" s="4" t="str">
        <x:f>IF(AND(ISNUMBER(P1363),P1363&gt;1E-9,P1363&lt;1-1E-9),'계산 과정'!$C$48*(D1363-'계산 과정'!$C$50+P1363*('계산 과정'!$C$32-D1363))+'계산 과정'!$D$48*(E1363-'계산 과정'!$D$50+P1363*('계산 과정'!$D$32-E1363))+'계산 과정'!$E$48*(0-'계산 과정'!$E$50+P1363*('계산 과정'!$E$32-0)),"")</x:f>
      </x:c>
      <x:c r="S1363" s="17" t="n">
        <x:f>IF('계산 과정'!$C$78,IF(AND(ISNUMBER(Q1363),ISNUMBER(R1363),ABS(Q1363-'계산 과정'!$C$88)&lt;='계산 과정'!$D$23/2,ABS(R1363-'계산 과정'!$C$89)&lt;='계산 과정'!$D$24/2),1,0),"")</x:f>
        <x:v>0</x:v>
      </x:c>
      <x:c r="T1363" s="4"/>
      <x:c r="U1363" s="4"/>
      <x:c r="V1363" s="4"/>
      <x:c r="W1363" s="4"/>
      <x:c r="X1363" s="4"/>
      <x:c r="Y1363" s="4"/>
      <x:c r="Z1363" s="4"/>
    </x:row>
    <x:row r="1364" ht="23" customHeight="1">
      <x:c r="A1364" s="17" t="n">
        <x:f>ROW()-6</x:f>
        <x:v>1358</x:v>
      </x:c>
      <x:c r="B1364" s="4" t="n">
        <x:f>IF('계산 과정'!$L$5,'계산 과정'!$L$11*SQRT((A1364+0.5)/'계산 과정'!$L$30),"")</x:f>
        <x:v>122.16761746802014</x:v>
      </x:c>
      <x:c r="C1364" s="4" t="n">
        <x:f>A1364*PI()*(3-SQRT(5))</x:f>
        <x:v>3259.1500659715107</x:v>
      </x:c>
      <x:c r="D1364" s="4" t="n">
        <x:f>IF('계산 과정'!$L$5,B1364*COS(C1364),"")</x:f>
        <x:v>-30.498357157626852</x:v>
      </x:c>
      <x:c r="E1364" s="4" t="n">
        <x:f>IF('계산 과정'!$L$5,B1364*SIN(C1364),"")</x:f>
        <x:v>-118.29952226656847</x:v>
      </x:c>
      <x:c r="F1364" s="4" t="n">
        <x:f>IF('계산 과정'!$L$7,'계산 과정'!$L$22+'계산 과정'!$C$49*D1364+'계산 과정'!$D$49*E1364,"")</x:f>
        <x:v>671.5655951612072</x:v>
      </x:c>
      <x:c r="G1364" s="4" t="n">
        <x:f>IF('계산 과정'!$L$7,IF(ABS(F1364)&gt;=1E-12*MAX(1,SQRT((D1364-'계산 과정'!$C$33)^2+(E1364-'계산 과정'!$D$33)^2+'계산 과정'!$E$33^2)),('계산 과정'!$L$23-'계산 과정'!$C$49*D1364-'계산 과정'!$D$49*E1364)/F1364,""),"")</x:f>
        <x:v>0.5635107092523863</x:v>
      </x:c>
      <x:c r="H1364" s="4" t="n">
        <x:f>IF(AND(ISNUMBER(G1364),G1364&gt;0),('계산 과정'!$D$56+'계산 과정'!$D$57*D1364+'계산 과정'!$D$58*E1364)/F1364,"")</x:f>
        <x:v>-33.71803898594906</x:v>
      </x:c>
      <x:c r="I1364" s="4" t="n">
        <x:f>IF(AND(ISNUMBER(G1364),G1364&gt;0),('계산 과정'!$E$56+'계산 과정'!$E$57*D1364+'계산 과정'!$E$58*E1364)/F1364,"")</x:f>
        <x:v>-184.96256996322097</x:v>
      </x:c>
      <x:c r="J1364" s="4" t="n">
        <x:f>IF('계산 과정'!$L$5,'계산 과정'!$D$6+'계산 과정'!$C$35*D1364+'계산 과정'!$D$35*E1364,"")</x:f>
        <x:v>671.5655951612072</x:v>
      </x:c>
      <x:c r="K1364" s="4" t="n">
        <x:f>IF(AND('계산 과정'!$L$6,J1364&gt;0),'계산 과정'!$D$10*('계산 과정'!$C$38*(D1364-'계산 과정'!$C$32)+'계산 과정'!$D$38*(E1364-'계산 과정'!$D$32)-'계산 과정'!$E$38*'계산 과정'!$E$32)/J1364,"")</x:f>
        <x:v>-0.2568993446548491</x:v>
      </x:c>
      <x:c r="L1364" s="4" t="n">
        <x:f>IF(AND('계산 과정'!$L$6,J1364&gt;0),'계산 과정'!$D$10*('계산 과정'!$C$39*(D1364-'계산 과정'!$C$32)+'계산 과정'!$D$39*(E1364-'계산 과정'!$D$32)-'계산 과정'!$E$39*'계산 과정'!$E$32)/J1364,"")</x:f>
        <x:v>-1.4092386282912073</x:v>
      </x:c>
      <x:c r="M1364" s="17" t="n">
        <x:f>IF('계산 과정'!$L$6,IF(J1364&lt;=0,0,IF(AND(ABS(K1364)&lt;='계산 과정'!$D$11/2,ABS(L1364)&lt;='계산 과정'!$D$12/2),1,0)),"")</x:f>
        <x:v>1</x:v>
      </x:c>
      <x:c r="N1364" s="17" t="n">
        <x:f>IF('계산 과정'!$C$78,IF(AND(ISNUMBER(H1364),ISNUMBER(I1364),ABS(H1364-'계산 과정'!$C$88)&lt;='계산 과정'!$D$23/2,ABS(I1364-'계산 과정'!$C$89)&lt;='계산 과정'!$D$24/2),1,0),"")</x:f>
        <x:v>1</x:v>
      </x:c>
      <x:c r="O1364" s="4" t="n">
        <x:f>IF('계산 과정'!$L$7,'계산 과정'!$C$49*('계산 과정'!$C$32-D1364)+'계산 과정'!$D$49*('계산 과정'!$D$32-E1364)+'계산 과정'!$E$49*'계산 과정'!$E$32,"")</x:f>
        <x:v>-21.565595161207114</x:v>
      </x:c>
      <x:c r="P1364" s="4" t="n">
        <x:f>IF(AND('계산 과정'!$L$7,O1364&lt;&gt;0),('계산 과정'!$L$23-'계산 과정'!$C$49*D1364-'계산 과정'!$D$49*E1364)/O1364,"")</x:f>
        <x:v>-17.54806218005672</x:v>
      </x:c>
      <x:c r="Q1364" s="4" t="str">
        <x:f>IF(AND(ISNUMBER(P1364),P1364&gt;1E-9,P1364&lt;1-1E-9),'계산 과정'!$C$47*(D1364-'계산 과정'!$C$50+P1364*('계산 과정'!$C$32-D1364))+'계산 과정'!$D$47*(E1364-'계산 과정'!$D$50+P1364*('계산 과정'!$D$32-E1364))+'계산 과정'!$E$47*(0-'계산 과정'!$E$50+P1364*('계산 과정'!$E$32-0)),"")</x:f>
      </x:c>
      <x:c r="R1364" s="4" t="str">
        <x:f>IF(AND(ISNUMBER(P1364),P1364&gt;1E-9,P1364&lt;1-1E-9),'계산 과정'!$C$48*(D1364-'계산 과정'!$C$50+P1364*('계산 과정'!$C$32-D1364))+'계산 과정'!$D$48*(E1364-'계산 과정'!$D$50+P1364*('계산 과정'!$D$32-E1364))+'계산 과정'!$E$48*(0-'계산 과정'!$E$50+P1364*('계산 과정'!$E$32-0)),"")</x:f>
      </x:c>
      <x:c r="S1364" s="17" t="n">
        <x:f>IF('계산 과정'!$C$78,IF(AND(ISNUMBER(Q1364),ISNUMBER(R1364),ABS(Q1364-'계산 과정'!$C$88)&lt;='계산 과정'!$D$23/2,ABS(R1364-'계산 과정'!$C$89)&lt;='계산 과정'!$D$24/2),1,0),"")</x:f>
        <x:v>0</x:v>
      </x:c>
      <x:c r="T1364" s="4"/>
      <x:c r="U1364" s="4"/>
      <x:c r="V1364" s="4"/>
      <x:c r="W1364" s="4"/>
      <x:c r="X1364" s="4"/>
      <x:c r="Y1364" s="4"/>
      <x:c r="Z1364" s="4"/>
    </x:row>
    <x:row r="1365" ht="23" customHeight="1">
      <x:c r="A1365" s="17" t="n">
        <x:f>ROW()-6</x:f>
        <x:v>1359</x:v>
      </x:c>
      <x:c r="B1365" s="4" t="n">
        <x:f>IF('계산 과정'!$L$5,'계산 과정'!$L$11*SQRT((A1365+0.5)/'계산 과정'!$L$30),"")</x:f>
        <x:v>122.2125733545346</x:v>
      </x:c>
      <x:c r="C1365" s="4" t="n">
        <x:f>A1365*PI()*(3-SQRT(5))</x:f>
        <x:v>3261.550029201239</x:v>
      </x:c>
      <x:c r="D1365" s="4" t="n">
        <x:f>IF('계산 과정'!$L$5,B1365*COS(C1365),"")</x:f>
        <x:v>102.43639972986067</x:v>
      </x:c>
      <x:c r="E1365" s="4" t="n">
        <x:f>IF('계산 과정'!$L$5,B1365*SIN(C1365),"")</x:f>
        <x:v>66.65356026741333</x:v>
      </x:c>
      <x:c r="F1365" s="4" t="n">
        <x:f>IF('계산 과정'!$L$7,'계산 과정'!$L$22+'계산 과정'!$C$49*D1365+'계산 과정'!$D$49*E1365,"")</x:f>
        <x:v>577.5665271106797</x:v>
      </x:c>
      <x:c r="G1365" s="4" t="n">
        <x:f>IF('계산 과정'!$L$7,IF(ABS(F1365)&gt;=1E-12*MAX(1,SQRT((D1365-'계산 과정'!$C$33)^2+(E1365-'계산 과정'!$D$33)^2+'계산 과정'!$E$33^2)),('계산 과정'!$L$23-'계산 과정'!$C$49*D1365-'계산 과정'!$D$49*E1365)/F1365,""),"")</x:f>
        <x:v>0.8179723905620094</x:v>
      </x:c>
      <x:c r="H1365" s="4" t="n">
        <x:f>IF(AND(ISNUMBER(G1365),G1365&gt;0),('계산 과정'!$D$56+'계산 과정'!$D$57*D1365+'계산 과정'!$D$58*E1365)/F1365,"")</x:f>
        <x:v>131.68205386530605</x:v>
      </x:c>
      <x:c r="I1365" s="4" t="n">
        <x:f>IF(AND(ISNUMBER(G1365),G1365&gt;0),('계산 과정'!$E$56+'계산 과정'!$E$57*D1365+'계산 과정'!$E$58*E1365)/F1365,"")</x:f>
        <x:v>121.17433229881837</x:v>
      </x:c>
      <x:c r="J1365" s="4" t="n">
        <x:f>IF('계산 과정'!$L$5,'계산 과정'!$D$6+'계산 과정'!$C$35*D1365+'계산 과정'!$D$35*E1365,"")</x:f>
        <x:v>577.5665271106797</x:v>
      </x:c>
      <x:c r="K1365" s="4" t="n">
        <x:f>IF(AND('계산 과정'!$L$6,J1365&gt;0),'계산 과정'!$D$10*('계산 과정'!$C$38*(D1365-'계산 과정'!$C$32)+'계산 과정'!$D$38*(E1365-'계산 과정'!$D$32)-'계산 과정'!$E$38*'계산 과정'!$E$32)/J1365,"")</x:f>
        <x:v>1.0032918389737613</x:v>
      </x:c>
      <x:c r="L1365" s="4" t="n">
        <x:f>IF(AND('계산 과정'!$L$6,J1365&gt;0),'계산 과정'!$D$10*('계산 과정'!$C$39*(D1365-'계산 과정'!$C$32)+'계산 과정'!$D$39*(E1365-'계산 과정'!$D$32)-'계산 과정'!$E$39*'계산 과정'!$E$32)/J1365,"")</x:f>
        <x:v>0.9232330079909972</x:v>
      </x:c>
      <x:c r="M1365" s="17" t="n">
        <x:f>IF('계산 과정'!$L$6,IF(J1365&lt;=0,0,IF(AND(ABS(K1365)&lt;='계산 과정'!$D$11/2,ABS(L1365)&lt;='계산 과정'!$D$12/2),1,0)),"")</x:f>
        <x:v>1</x:v>
      </x:c>
      <x:c r="N1365" s="17" t="n">
        <x:f>IF('계산 과정'!$C$78,IF(AND(ISNUMBER(H1365),ISNUMBER(I1365),ABS(H1365-'계산 과정'!$C$88)&lt;='계산 과정'!$D$23/2,ABS(I1365-'계산 과정'!$C$89)&lt;='계산 과정'!$D$24/2),1,0),"")</x:f>
        <x:v>1</x:v>
      </x:c>
      <x:c r="O1365" s="4" t="n">
        <x:f>IF('계산 과정'!$L$7,'계산 과정'!$C$49*('계산 과정'!$C$32-D1365)+'계산 과정'!$D$49*('계산 과정'!$D$32-E1365)+'계산 과정'!$E$49*'계산 과정'!$E$32,"")</x:f>
        <x:v>72.43347288932043</x:v>
      </x:c>
      <x:c r="P1365" s="4" t="n">
        <x:f>IF(AND('계산 과정'!$L$7,O1365&lt;&gt;0),('계산 과정'!$L$23-'계산 과정'!$C$49*D1365-'계산 과정'!$D$49*E1365)/O1365,"")</x:f>
        <x:v>6.522308734405247</x:v>
      </x:c>
      <x:c r="Q1365" s="4" t="str">
        <x:f>IF(AND(ISNUMBER(P1365),P1365&gt;1E-9,P1365&lt;1-1E-9),'계산 과정'!$C$47*(D1365-'계산 과정'!$C$50+P1365*('계산 과정'!$C$32-D1365))+'계산 과정'!$D$47*(E1365-'계산 과정'!$D$50+P1365*('계산 과정'!$D$32-E1365))+'계산 과정'!$E$47*(0-'계산 과정'!$E$50+P1365*('계산 과정'!$E$32-0)),"")</x:f>
      </x:c>
      <x:c r="R1365" s="4" t="str">
        <x:f>IF(AND(ISNUMBER(P1365),P1365&gt;1E-9,P1365&lt;1-1E-9),'계산 과정'!$C$48*(D1365-'계산 과정'!$C$50+P1365*('계산 과정'!$C$32-D1365))+'계산 과정'!$D$48*(E1365-'계산 과정'!$D$50+P1365*('계산 과정'!$D$32-E1365))+'계산 과정'!$E$48*(0-'계산 과정'!$E$50+P1365*('계산 과정'!$E$32-0)),"")</x:f>
      </x:c>
      <x:c r="S1365" s="17" t="n">
        <x:f>IF('계산 과정'!$C$78,IF(AND(ISNUMBER(Q1365),ISNUMBER(R1365),ABS(Q1365-'계산 과정'!$C$88)&lt;='계산 과정'!$D$23/2,ABS(R1365-'계산 과정'!$C$89)&lt;='계산 과정'!$D$24/2),1,0),"")</x:f>
        <x:v>0</x:v>
      </x:c>
      <x:c r="T1365" s="4"/>
      <x:c r="U1365" s="4"/>
      <x:c r="V1365" s="4"/>
      <x:c r="W1365" s="4"/>
      <x:c r="X1365" s="4"/>
      <x:c r="Y1365" s="4"/>
      <x:c r="Z1365" s="4"/>
    </x:row>
    <x:row r="1366" ht="23" customHeight="1">
      <x:c r="A1366" s="17" t="n">
        <x:f>ROW()-6</x:f>
        <x:v>1360</x:v>
      </x:c>
      <x:c r="B1366" s="4" t="n">
        <x:f>IF('계산 과정'!$L$5,'계산 과정'!$L$11*SQRT((A1366+0.5)/'계산 과정'!$L$30),"")</x:f>
        <x:v>122.25751271010915</x:v>
      </x:c>
      <x:c r="C1366" s="4" t="n">
        <x:f>A1366*PI()*(3-SQRT(5))</x:f>
        <x:v>3263.949992430968</x:v>
      </x:c>
      <x:c r="D1366" s="4" t="n">
        <x:f>IF('계산 과정'!$L$5,B1366*COS(C1366),"")</x:f>
        <x:v>-120.60157684930842</x:v>
      </x:c>
      <x:c r="E1366" s="4" t="n">
        <x:f>IF('계산 과정'!$L$5,B1366*SIN(C1366),"")</x:f>
        <x:v>20.053904246377016</x:v>
      </x:c>
      <x:c r="F1366" s="4" t="n">
        <x:f>IF('계산 과정'!$L$7,'계산 과정'!$L$22+'계산 과정'!$C$49*D1366+'계산 과정'!$D$49*E1366,"")</x:f>
        <x:v>735.2781928119365</x:v>
      </x:c>
      <x:c r="G1366" s="4" t="n">
        <x:f>IF('계산 과정'!$L$7,IF(ABS(F1366)&gt;=1E-12*MAX(1,SQRT((D1366-'계산 과정'!$C$33)^2+(E1366-'계산 과정'!$D$33)^2+'계산 과정'!$E$33^2)),('계산 과정'!$L$23-'계산 과정'!$C$49*D1366-'계산 과정'!$D$49*E1366)/F1366,""),"")</x:f>
        <x:v>0.4280309279736255</x:v>
      </x:c>
      <x:c r="H1366" s="4" t="n">
        <x:f>IF(AND(ISNUMBER(G1366),G1366&gt;0),('계산 과정'!$D$56+'계산 과정'!$D$57*D1366+'계산 과정'!$D$58*E1366)/F1366,"")</x:f>
        <x:v>-121.77989681714361</x:v>
      </x:c>
      <x:c r="I1366" s="4" t="n">
        <x:f>IF(AND(ISNUMBER(G1366),G1366&gt;0),('계산 과정'!$E$56+'계산 과정'!$E$57*D1366+'계산 과정'!$E$58*E1366)/F1366,"")</x:f>
        <x:v>28.637595490447996</x:v>
      </x:c>
      <x:c r="J1366" s="4" t="n">
        <x:f>IF('계산 과정'!$L$5,'계산 과정'!$D$6+'계산 과정'!$C$35*D1366+'계산 과정'!$D$35*E1366,"")</x:f>
        <x:v>735.2781928119365</x:v>
      </x:c>
      <x:c r="K1366" s="4" t="n">
        <x:f>IF(AND('계산 과정'!$L$6,J1366&gt;0),'계산 과정'!$D$10*('계산 과정'!$C$38*(D1366-'계산 과정'!$C$32)+'계산 과정'!$D$38*(E1366-'계산 과정'!$D$32)-'계산 과정'!$E$38*'계산 과정'!$E$32)/J1366,"")</x:f>
        <x:v>-0.927846832892522</x:v>
      </x:c>
      <x:c r="L1366" s="4" t="n">
        <x:f>IF(AND('계산 과정'!$L$6,J1366&gt;0),'계산 과정'!$D$10*('계산 과정'!$C$39*(D1366-'계산 과정'!$C$32)+'계산 과정'!$D$39*(E1366-'계산 과정'!$D$32)-'계산 과정'!$E$39*'계산 과정'!$E$32)/J1366,"")</x:f>
        <x:v>0.21819120373674666</x:v>
      </x:c>
      <x:c r="M1366" s="17" t="n">
        <x:f>IF('계산 과정'!$L$6,IF(J1366&lt;=0,0,IF(AND(ABS(K1366)&lt;='계산 과정'!$D$11/2,ABS(L1366)&lt;='계산 과정'!$D$12/2),1,0)),"")</x:f>
        <x:v>1</x:v>
      </x:c>
      <x:c r="N1366" s="17" t="n">
        <x:f>IF('계산 과정'!$C$78,IF(AND(ISNUMBER(H1366),ISNUMBER(I1366),ABS(H1366-'계산 과정'!$C$88)&lt;='계산 과정'!$D$23/2,ABS(I1366-'계산 과정'!$C$89)&lt;='계산 과정'!$D$24/2),1,0),"")</x:f>
        <x:v>1</x:v>
      </x:c>
      <x:c r="O1366" s="4" t="n">
        <x:f>IF('계산 과정'!$L$7,'계산 과정'!$C$49*('계산 과정'!$C$32-D1366)+'계산 과정'!$D$49*('계산 과정'!$D$32-E1366)+'계산 과정'!$E$49*'계산 과정'!$E$32,"")</x:f>
        <x:v>-85.27819281193644</x:v>
      </x:c>
      <x:c r="P1366" s="4" t="n">
        <x:f>IF(AND('계산 과정'!$L$7,O1366&lt;&gt;0),('계산 과정'!$L$23-'계산 과정'!$C$49*D1366-'계산 과정'!$D$49*E1366)/O1366,"")</x:f>
        <x:v>-3.6905309178176173</x:v>
      </x:c>
      <x:c r="Q1366" s="4" t="str">
        <x:f>IF(AND(ISNUMBER(P1366),P1366&gt;1E-9,P1366&lt;1-1E-9),'계산 과정'!$C$47*(D1366-'계산 과정'!$C$50+P1366*('계산 과정'!$C$32-D1366))+'계산 과정'!$D$47*(E1366-'계산 과정'!$D$50+P1366*('계산 과정'!$D$32-E1366))+'계산 과정'!$E$47*(0-'계산 과정'!$E$50+P1366*('계산 과정'!$E$32-0)),"")</x:f>
      </x:c>
      <x:c r="R1366" s="4" t="str">
        <x:f>IF(AND(ISNUMBER(P1366),P1366&gt;1E-9,P1366&lt;1-1E-9),'계산 과정'!$C$48*(D1366-'계산 과정'!$C$50+P1366*('계산 과정'!$C$32-D1366))+'계산 과정'!$D$48*(E1366-'계산 과정'!$D$50+P1366*('계산 과정'!$D$32-E1366))+'계산 과정'!$E$48*(0-'계산 과정'!$E$50+P1366*('계산 과정'!$E$32-0)),"")</x:f>
      </x:c>
      <x:c r="S1366" s="17" t="n">
        <x:f>IF('계산 과정'!$C$78,IF(AND(ISNUMBER(Q1366),ISNUMBER(R1366),ABS(Q1366-'계산 과정'!$C$88)&lt;='계산 과정'!$D$23/2,ABS(R1366-'계산 과정'!$C$89)&lt;='계산 과정'!$D$24/2),1,0),"")</x:f>
        <x:v>0</x:v>
      </x:c>
      <x:c r="T1366" s="4"/>
      <x:c r="U1366" s="4"/>
      <x:c r="V1366" s="4"/>
      <x:c r="W1366" s="4"/>
      <x:c r="X1366" s="4"/>
      <x:c r="Y1366" s="4"/>
      <x:c r="Z1366" s="4"/>
    </x:row>
    <x:row r="1367" ht="23" customHeight="1">
      <x:c r="A1367" s="17" t="n">
        <x:f>ROW()-6</x:f>
        <x:v>1361</x:v>
      </x:c>
      <x:c r="B1367" s="4" t="n">
        <x:f>IF('계산 과정'!$L$5,'계산 과정'!$L$11*SQRT((A1367+0.5)/'계산 과정'!$L$30),"")</x:f>
        <x:v>122.30243555296639</x:v>
      </x:c>
      <x:c r="C1367" s="4" t="n">
        <x:f>A1367*PI()*(3-SQRT(5))</x:f>
        <x:v>3266.3499556606967</x:v>
      </x:c>
      <x:c r="D1367" s="4" t="n">
        <x:f>IF('계산 과정'!$L$5,B1367*COS(C1367),"")</x:f>
        <x:v>75.40933029656365</x:v>
      </x:c>
      <x:c r="E1367" s="4" t="n">
        <x:f>IF('계산 과정'!$L$5,B1367*SIN(C1367),"")</x:f>
        <x:v>-96.28768688888141</x:v>
      </x:c>
      <x:c r="F1367" s="4" t="n">
        <x:f>IF('계산 과정'!$L$7,'계산 과정'!$L$22+'계산 과정'!$C$49*D1367+'계산 과정'!$D$49*E1367,"")</x:f>
        <x:v>596.6775511825637</x:v>
      </x:c>
      <x:c r="G1367" s="4" t="n">
        <x:f>IF('계산 과정'!$L$7,IF(ABS(F1367)&gt;=1E-12*MAX(1,SQRT((D1367-'계산 과정'!$C$33)^2+(E1367-'계산 과정'!$D$33)^2+'계산 과정'!$E$33^2)),('계산 과정'!$L$23-'계산 과정'!$C$49*D1367-'계산 과정'!$D$49*E1367)/F1367,""),"")</x:f>
        <x:v>0.7597444346933954</x:v>
      </x:c>
      <x:c r="H1367" s="4" t="n">
        <x:f>IF(AND(ISNUMBER(G1367),G1367&gt;0),('계산 과정'!$D$56+'계산 과정'!$D$57*D1367+'계산 과정'!$D$58*E1367)/F1367,"")</x:f>
        <x:v>93.8338825507069</x:v>
      </x:c>
      <x:c r="I1367" s="4" t="n">
        <x:f>IF(AND(ISNUMBER(G1367),G1367&gt;0),('계산 과정'!$E$56+'계산 과정'!$E$57*D1367+'계산 과정'!$E$58*E1367)/F1367,"")</x:f>
        <x:v>-169.44172113220927</x:v>
      </x:c>
      <x:c r="J1367" s="4" t="n">
        <x:f>IF('계산 과정'!$L$5,'계산 과정'!$D$6+'계산 과정'!$C$35*D1367+'계산 과정'!$D$35*E1367,"")</x:f>
        <x:v>596.6775511825637</x:v>
      </x:c>
      <x:c r="K1367" s="4" t="n">
        <x:f>IF(AND('계산 과정'!$L$6,J1367&gt;0),'계산 과정'!$D$10*('계산 과정'!$C$38*(D1367-'계산 과정'!$C$32)+'계산 과정'!$D$38*(E1367-'계산 과정'!$D$32)-'계산 과정'!$E$38*'계산 과정'!$E$32)/J1367,"")</x:f>
        <x:v>0.7149248194339582</x:v>
      </x:c>
      <x:c r="L1367" s="4" t="n">
        <x:f>IF(AND('계산 과정'!$L$6,J1367&gt;0),'계산 과정'!$D$10*('계산 과정'!$C$39*(D1367-'계산 과정'!$C$32)+'계산 과정'!$D$39*(E1367-'계산 과정'!$D$32)-'계산 과정'!$E$39*'계산 과정'!$E$32)/J1367,"")</x:f>
        <x:v>-1.2909845419596897</x:v>
      </x:c>
      <x:c r="M1367" s="17" t="n">
        <x:f>IF('계산 과정'!$L$6,IF(J1367&lt;=0,0,IF(AND(ABS(K1367)&lt;='계산 과정'!$D$11/2,ABS(L1367)&lt;='계산 과정'!$D$12/2),1,0)),"")</x:f>
        <x:v>1</x:v>
      </x:c>
      <x:c r="N1367" s="17" t="n">
        <x:f>IF('계산 과정'!$C$78,IF(AND(ISNUMBER(H1367),ISNUMBER(I1367),ABS(H1367-'계산 과정'!$C$88)&lt;='계산 과정'!$D$23/2,ABS(I1367-'계산 과정'!$C$89)&lt;='계산 과정'!$D$24/2),1,0),"")</x:f>
        <x:v>1</x:v>
      </x:c>
      <x:c r="O1367" s="4" t="n">
        <x:f>IF('계산 과정'!$L$7,'계산 과정'!$C$49*('계산 과정'!$C$32-D1367)+'계산 과정'!$D$49*('계산 과정'!$D$32-E1367)+'계산 과정'!$E$49*'계산 과정'!$E$32,"")</x:f>
        <x:v>53.32244881743645</x:v>
      </x:c>
      <x:c r="P1367" s="4" t="n">
        <x:f>IF(AND('계산 과정'!$L$7,O1367&lt;&gt;0),('계산 과정'!$L$23-'계산 과정'!$C$49*D1367-'계산 과정'!$D$49*E1367)/O1367,"")</x:f>
        <x:v>8.501530947490915</x:v>
      </x:c>
      <x:c r="Q1367" s="4" t="str">
        <x:f>IF(AND(ISNUMBER(P1367),P1367&gt;1E-9,P1367&lt;1-1E-9),'계산 과정'!$C$47*(D1367-'계산 과정'!$C$50+P1367*('계산 과정'!$C$32-D1367))+'계산 과정'!$D$47*(E1367-'계산 과정'!$D$50+P1367*('계산 과정'!$D$32-E1367))+'계산 과정'!$E$47*(0-'계산 과정'!$E$50+P1367*('계산 과정'!$E$32-0)),"")</x:f>
      </x:c>
      <x:c r="R1367" s="4" t="str">
        <x:f>IF(AND(ISNUMBER(P1367),P1367&gt;1E-9,P1367&lt;1-1E-9),'계산 과정'!$C$48*(D1367-'계산 과정'!$C$50+P1367*('계산 과정'!$C$32-D1367))+'계산 과정'!$D$48*(E1367-'계산 과정'!$D$50+P1367*('계산 과정'!$D$32-E1367))+'계산 과정'!$E$48*(0-'계산 과정'!$E$50+P1367*('계산 과정'!$E$32-0)),"")</x:f>
      </x:c>
      <x:c r="S1367" s="17" t="n">
        <x:f>IF('계산 과정'!$C$78,IF(AND(ISNUMBER(Q1367),ISNUMBER(R1367),ABS(Q1367-'계산 과정'!$C$88)&lt;='계산 과정'!$D$23/2,ABS(R1367-'계산 과정'!$C$89)&lt;='계산 과정'!$D$24/2),1,0),"")</x:f>
        <x:v>0</x:v>
      </x:c>
      <x:c r="T1367" s="4"/>
      <x:c r="U1367" s="4"/>
      <x:c r="V1367" s="4"/>
      <x:c r="W1367" s="4"/>
      <x:c r="X1367" s="4"/>
      <x:c r="Y1367" s="4"/>
      <x:c r="Z1367" s="4"/>
    </x:row>
    <x:row r="1368" ht="23" customHeight="1">
      <x:c r="A1368" s="17" t="n">
        <x:f>ROW()-6</x:f>
        <x:v>1362</x:v>
      </x:c>
      <x:c r="B1368" s="4" t="n">
        <x:f>IF('계산 과정'!$L$5,'계산 과정'!$L$11*SQRT((A1368+0.5)/'계산 과정'!$L$30),"")</x:f>
        <x:v>122.34734190129551</x:v>
      </x:c>
      <x:c r="C1368" s="4" t="n">
        <x:f>A1368*PI()*(3-SQRT(5))</x:f>
        <x:v>3268.7499188904253</x:v>
      </x:c>
      <x:c r="D1368" s="4" t="n">
        <x:f>IF('계산 과정'!$L$5,B1368*COS(C1368),"")</x:f>
        <x:v>9.440369664652364</x:v>
      </x:c>
      <x:c r="E1368" s="4" t="n">
        <x:f>IF('계산 과정'!$L$5,B1368*SIN(C1368),"")</x:f>
        <x:v>121.98258683479052</x:v>
      </x:c>
      <x:c r="F1368" s="4" t="n">
        <x:f>IF('계산 과정'!$L$7,'계산 과정'!$L$22+'계산 과정'!$C$49*D1368+'계산 과정'!$D$49*E1368,"")</x:f>
        <x:v>643.3246505932166</x:v>
      </x:c>
      <x:c r="G1368" s="4" t="n">
        <x:f>IF('계산 과정'!$L$7,IF(ABS(F1368)&gt;=1E-12*MAX(1,SQRT((D1368-'계산 과정'!$C$33)^2+(E1368-'계산 과정'!$D$33)^2+'계산 과정'!$E$33^2)),('계산 과정'!$L$23-'계산 과정'!$C$49*D1368-'계산 과정'!$D$49*E1368)/F1368,""),"")</x:f>
        <x:v>0.6321463805743861</x:v>
      </x:c>
      <x:c r="H1368" s="4" t="n">
        <x:f>IF(AND(ISNUMBER(G1368),G1368&gt;0),('계산 과정'!$D$56+'계산 과정'!$D$57*D1368+'계산 과정'!$D$58*E1368)/F1368,"")</x:f>
        <x:v>10.895147373350888</x:v>
      </x:c>
      <x:c r="I1368" s="4" t="n">
        <x:f>IF(AND(ISNUMBER(G1368),G1368&gt;0),('계산 과정'!$E$56+'계산 과정'!$E$57*D1368+'계산 과정'!$E$58*E1368)/F1368,"")</x:f>
        <x:v>199.09343759550413</x:v>
      </x:c>
      <x:c r="J1368" s="4" t="n">
        <x:f>IF('계산 과정'!$L$5,'계산 과정'!$D$6+'계산 과정'!$C$35*D1368+'계산 과정'!$D$35*E1368,"")</x:f>
        <x:v>643.3246505932166</x:v>
      </x:c>
      <x:c r="K1368" s="4" t="n">
        <x:f>IF(AND('계산 과정'!$L$6,J1368&gt;0),'계산 과정'!$D$10*('계산 과정'!$C$38*(D1368-'계산 과정'!$C$32)+'계산 과정'!$D$38*(E1368-'계산 과정'!$D$32)-'계산 과정'!$E$38*'계산 과정'!$E$32)/J1368,"")</x:f>
        <x:v>0.08301064665410242</x:v>
      </x:c>
      <x:c r="L1368" s="4" t="n">
        <x:f>IF(AND('계산 과정'!$L$6,J1368&gt;0),'계산 과정'!$D$10*('계산 과정'!$C$39*(D1368-'계산 과정'!$C$32)+'계산 과정'!$D$39*(E1368-'계산 과정'!$D$32)-'계산 과정'!$E$39*'계산 과정'!$E$32)/J1368,"")</x:f>
        <x:v>1.5169023816800313</x:v>
      </x:c>
      <x:c r="M1368" s="17" t="n">
        <x:f>IF('계산 과정'!$L$6,IF(J1368&lt;=0,0,IF(AND(ABS(K1368)&lt;='계산 과정'!$D$11/2,ABS(L1368)&lt;='계산 과정'!$D$12/2),1,0)),"")</x:f>
        <x:v>1</x:v>
      </x:c>
      <x:c r="N1368" s="17" t="n">
        <x:f>IF('계산 과정'!$C$78,IF(AND(ISNUMBER(H1368),ISNUMBER(I1368),ABS(H1368-'계산 과정'!$C$88)&lt;='계산 과정'!$D$23/2,ABS(I1368-'계산 과정'!$C$89)&lt;='계산 과정'!$D$24/2),1,0),"")</x:f>
        <x:v>1</x:v>
      </x:c>
      <x:c r="O1368" s="4" t="n">
        <x:f>IF('계산 과정'!$L$7,'계산 과정'!$C$49*('계산 과정'!$C$32-D1368)+'계산 과정'!$D$49*('계산 과정'!$D$32-E1368)+'계산 과정'!$E$49*'계산 과정'!$E$32,"")</x:f>
        <x:v>6.675349406783539</x:v>
      </x:c>
      <x:c r="P1368" s="4" t="n">
        <x:f>IF(AND('계산 과정'!$L$7,O1368&lt;&gt;0),('계산 과정'!$L$23-'계산 과정'!$C$49*D1368-'계산 과정'!$D$49*E1368)/O1368,"")</x:f>
        <x:v>60.921956983033276</x:v>
      </x:c>
      <x:c r="Q1368" s="4" t="str">
        <x:f>IF(AND(ISNUMBER(P1368),P1368&gt;1E-9,P1368&lt;1-1E-9),'계산 과정'!$C$47*(D1368-'계산 과정'!$C$50+P1368*('계산 과정'!$C$32-D1368))+'계산 과정'!$D$47*(E1368-'계산 과정'!$D$50+P1368*('계산 과정'!$D$32-E1368))+'계산 과정'!$E$47*(0-'계산 과정'!$E$50+P1368*('계산 과정'!$E$32-0)),"")</x:f>
      </x:c>
      <x:c r="R1368" s="4" t="str">
        <x:f>IF(AND(ISNUMBER(P1368),P1368&gt;1E-9,P1368&lt;1-1E-9),'계산 과정'!$C$48*(D1368-'계산 과정'!$C$50+P1368*('계산 과정'!$C$32-D1368))+'계산 과정'!$D$48*(E1368-'계산 과정'!$D$50+P1368*('계산 과정'!$D$32-E1368))+'계산 과정'!$E$48*(0-'계산 과정'!$E$50+P1368*('계산 과정'!$E$32-0)),"")</x:f>
      </x:c>
      <x:c r="S1368" s="17" t="n">
        <x:f>IF('계산 과정'!$C$78,IF(AND(ISNUMBER(Q1368),ISNUMBER(R1368),ABS(Q1368-'계산 과정'!$C$88)&lt;='계산 과정'!$D$23/2,ABS(R1368-'계산 과정'!$C$89)&lt;='계산 과정'!$D$24/2),1,0),"")</x:f>
        <x:v>0</x:v>
      </x:c>
      <x:c r="T1368" s="4"/>
      <x:c r="U1368" s="4"/>
      <x:c r="V1368" s="4"/>
      <x:c r="W1368" s="4"/>
      <x:c r="X1368" s="4"/>
      <x:c r="Y1368" s="4"/>
      <x:c r="Z1368" s="4"/>
    </x:row>
    <x:row r="1369" ht="23" customHeight="1">
      <x:c r="A1369" s="17" t="n">
        <x:f>ROW()-6</x:f>
        <x:v>1363</x:v>
      </x:c>
      <x:c r="B1369" s="4" t="n">
        <x:f>IF('계산 과정'!$L$5,'계산 과정'!$L$11*SQRT((A1369+0.5)/'계산 과정'!$L$30),"")</x:f>
        <x:v>122.39223177325226</x:v>
      </x:c>
      <x:c r="C1369" s="4" t="n">
        <x:f>A1369*PI()*(3-SQRT(5))</x:f>
        <x:v>3271.149882120154</x:v>
      </x:c>
      <x:c r="D1369" s="4" t="n">
        <x:f>IF('계산 과정'!$L$5,B1369*COS(C1369),"")</x:f>
        <x:v>-89.39187457531864</x:v>
      </x:c>
      <x:c r="E1369" s="4" t="n">
        <x:f>IF('계산 과정'!$L$5,B1369*SIN(C1369),"")</x:f>
        <x:v>-83.59994711928951</x:v>
      </x:c>
      <x:c r="F1369" s="4" t="n">
        <x:f>IF('계산 과정'!$L$7,'계산 과정'!$L$22+'계산 과정'!$C$49*D1369+'계산 과정'!$D$49*E1369,"")</x:f>
        <x:v>713.2096006951851</x:v>
      </x:c>
      <x:c r="G1369" s="4" t="n">
        <x:f>IF('계산 과정'!$L$7,IF(ABS(F1369)&gt;=1E-12*MAX(1,SQRT((D1369-'계산 과정'!$C$33)^2+(E1369-'계산 과정'!$D$33)^2+'계산 과정'!$E$33^2)),('계산 과정'!$L$23-'계산 과정'!$C$49*D1369-'계산 과정'!$D$49*E1369)/F1369,""),"")</x:f>
        <x:v>0.4722179832920588</x:v>
      </x:c>
      <x:c r="H1369" s="4" t="n">
        <x:f>IF(AND(ISNUMBER(G1369),G1369&gt;0),('계산 과정'!$D$56+'계산 과정'!$D$57*D1369+'계산 과정'!$D$58*E1369)/F1369,"")</x:f>
        <x:v>-93.05831086016191</x:v>
      </x:c>
      <x:c r="I1369" s="4" t="n">
        <x:f>IF(AND(ISNUMBER(G1369),G1369&gt;0),('계산 과정'!$E$56+'계산 과정'!$E$57*D1369+'계산 과정'!$E$58*E1369)/F1369,"")</x:f>
        <x:v>-123.07734555128316</x:v>
      </x:c>
      <x:c r="J1369" s="4" t="n">
        <x:f>IF('계산 과정'!$L$5,'계산 과정'!$D$6+'계산 과정'!$C$35*D1369+'계산 과정'!$D$35*E1369,"")</x:f>
        <x:v>713.2096006951851</x:v>
      </x:c>
      <x:c r="K1369" s="4" t="n">
        <x:f>IF(AND('계산 과정'!$L$6,J1369&gt;0),'계산 과정'!$D$10*('계산 과정'!$C$38*(D1369-'계산 과정'!$C$32)+'계산 과정'!$D$38*(E1369-'계산 과정'!$D$32)-'계산 과정'!$E$38*'계산 과정'!$E$32)/J1369,"")</x:f>
        <x:v>-0.7090157017917089</x:v>
      </x:c>
      <x:c r="L1369" s="4" t="n">
        <x:f>IF(AND('계산 과정'!$L$6,J1369&gt;0),'계산 과정'!$D$10*('계산 과정'!$C$39*(D1369-'계산 과정'!$C$32)+'계산 과정'!$D$39*(E1369-'계산 과정'!$D$32)-'계산 과정'!$E$39*'계산 과정'!$E$32)/J1369,"")</x:f>
        <x:v>-0.937732156581205</x:v>
      </x:c>
      <x:c r="M1369" s="17" t="n">
        <x:f>IF('계산 과정'!$L$6,IF(J1369&lt;=0,0,IF(AND(ABS(K1369)&lt;='계산 과정'!$D$11/2,ABS(L1369)&lt;='계산 과정'!$D$12/2),1,0)),"")</x:f>
        <x:v>1</x:v>
      </x:c>
      <x:c r="N1369" s="17" t="n">
        <x:f>IF('계산 과정'!$C$78,IF(AND(ISNUMBER(H1369),ISNUMBER(I1369),ABS(H1369-'계산 과정'!$C$88)&lt;='계산 과정'!$D$23/2,ABS(I1369-'계산 과정'!$C$89)&lt;='계산 과정'!$D$24/2),1,0),"")</x:f>
        <x:v>1</x:v>
      </x:c>
      <x:c r="O1369" s="4" t="n">
        <x:f>IF('계산 과정'!$L$7,'계산 과정'!$C$49*('계산 과정'!$C$32-D1369)+'계산 과정'!$D$49*('계산 과정'!$D$32-E1369)+'계산 과정'!$E$49*'계산 과정'!$E$32,"")</x:f>
        <x:v>-63.20960069518503</x:v>
      </x:c>
      <x:c r="P1369" s="4" t="n">
        <x:f>IF(AND('계산 과정'!$L$7,O1369&lt;&gt;0),('계산 과정'!$L$23-'계산 과정'!$C$49*D1369-'계산 과정'!$D$49*E1369)/O1369,"")</x:f>
        <x:v>-5.32815261607039</x:v>
      </x:c>
      <x:c r="Q1369" s="4" t="str">
        <x:f>IF(AND(ISNUMBER(P1369),P1369&gt;1E-9,P1369&lt;1-1E-9),'계산 과정'!$C$47*(D1369-'계산 과정'!$C$50+P1369*('계산 과정'!$C$32-D1369))+'계산 과정'!$D$47*(E1369-'계산 과정'!$D$50+P1369*('계산 과정'!$D$32-E1369))+'계산 과정'!$E$47*(0-'계산 과정'!$E$50+P1369*('계산 과정'!$E$32-0)),"")</x:f>
      </x:c>
      <x:c r="R1369" s="4" t="str">
        <x:f>IF(AND(ISNUMBER(P1369),P1369&gt;1E-9,P1369&lt;1-1E-9),'계산 과정'!$C$48*(D1369-'계산 과정'!$C$50+P1369*('계산 과정'!$C$32-D1369))+'계산 과정'!$D$48*(E1369-'계산 과정'!$D$50+P1369*('계산 과정'!$D$32-E1369))+'계산 과정'!$E$48*(0-'계산 과정'!$E$50+P1369*('계산 과정'!$E$32-0)),"")</x:f>
      </x:c>
      <x:c r="S1369" s="17" t="n">
        <x:f>IF('계산 과정'!$C$78,IF(AND(ISNUMBER(Q1369),ISNUMBER(R1369),ABS(Q1369-'계산 과정'!$C$88)&lt;='계산 과정'!$D$23/2,ABS(R1369-'계산 과정'!$C$89)&lt;='계산 과정'!$D$24/2),1,0),"")</x:f>
        <x:v>0</x:v>
      </x:c>
      <x:c r="T1369" s="4"/>
      <x:c r="U1369" s="4"/>
      <x:c r="V1369" s="4"/>
      <x:c r="W1369" s="4"/>
      <x:c r="X1369" s="4"/>
      <x:c r="Y1369" s="4"/>
      <x:c r="Z1369" s="4"/>
    </x:row>
    <x:row r="1370" ht="23" customHeight="1">
      <x:c r="A1370" s="17" t="n">
        <x:f>ROW()-6</x:f>
        <x:v>1364</x:v>
      </x:c>
      <x:c r="B1370" s="4" t="n">
        <x:f>IF('계산 과정'!$L$5,'계산 과정'!$L$11*SQRT((A1370+0.5)/'계산 과정'!$L$30),"")</x:f>
        <x:v>122.43710518695916</x:v>
      </x:c>
      <x:c r="C1370" s="4" t="n">
        <x:f>A1370*PI()*(3-SQRT(5))</x:f>
        <x:v>3273.549845349882</x:v>
      </x:c>
      <x:c r="D1370" s="4" t="n">
        <x:f>IF('계산 과정'!$L$5,B1370*COS(C1370),"")</x:f>
        <x:v>122.43061017805259</x:v>
      </x:c>
      <x:c r="E1370" s="4" t="n">
        <x:f>IF('계산 과정'!$L$5,B1370*SIN(C1370),"")</x:f>
        <x:v>1.2611177550989876</x:v>
      </x:c>
      <x:c r="F1370" s="4" t="n">
        <x:f>IF('계산 과정'!$L$7,'계산 과정'!$L$22+'계산 과정'!$C$49*D1370+'계산 과정'!$D$49*E1370,"")</x:f>
        <x:v>563.4284853182922</x:v>
      </x:c>
      <x:c r="G1370" s="4" t="n">
        <x:f>IF('계산 과정'!$L$7,IF(ABS(F1370)&gt;=1E-12*MAX(1,SQRT((D1370-'계산 과정'!$C$33)^2+(E1370-'계산 과정'!$D$33)^2+'계산 과정'!$E$33^2)),('계산 과정'!$L$23-'계산 과정'!$C$49*D1370-'계산 과정'!$D$49*E1370)/F1370,""),"")</x:f>
        <x:v>0.8635905485091574</x:v>
      </x:c>
      <x:c r="H1370" s="4" t="n">
        <x:f>IF(AND(ISNUMBER(G1370),G1370&gt;0),('계산 과정'!$D$56+'계산 과정'!$D$57*D1370+'계산 과정'!$D$58*E1370)/F1370,"")</x:f>
        <x:v>161.3338565309522</x:v>
      </x:c>
      <x:c r="I1370" s="4" t="n">
        <x:f>IF(AND(ISNUMBER(G1370),G1370&gt;0),('계산 과정'!$E$56+'계산 과정'!$E$57*D1370+'계산 과정'!$E$58*E1370)/F1370,"")</x:f>
        <x:v>2.3502071289595596</x:v>
      </x:c>
      <x:c r="J1370" s="4" t="n">
        <x:f>IF('계산 과정'!$L$5,'계산 과정'!$D$6+'계산 과정'!$C$35*D1370+'계산 과정'!$D$35*E1370,"")</x:f>
        <x:v>563.4284853182922</x:v>
      </x:c>
      <x:c r="K1370" s="4" t="n">
        <x:f>IF(AND('계산 과정'!$L$6,J1370&gt;0),'계산 과정'!$D$10*('계산 과정'!$C$38*(D1370-'계산 과정'!$C$32)+'계산 과정'!$D$38*(E1370-'계산 과정'!$D$32)-'계산 과정'!$E$38*'계산 과정'!$E$32)/J1370,"")</x:f>
        <x:v>1.2292103354739221</x:v>
      </x:c>
      <x:c r="L1370" s="4" t="n">
        <x:f>IF(AND('계산 과정'!$L$6,J1370&gt;0),'계산 과정'!$D$10*('계산 과정'!$C$39*(D1370-'계산 과정'!$C$32)+'계산 과정'!$D$39*(E1370-'계산 과정'!$D$32)-'계산 과정'!$E$39*'계산 과정'!$E$32)/J1370,"")</x:f>
        <x:v>0.017906340030168073</x:v>
      </x:c>
      <x:c r="M1370" s="17" t="n">
        <x:f>IF('계산 과정'!$L$6,IF(J1370&lt;=0,0,IF(AND(ABS(K1370)&lt;='계산 과정'!$D$11/2,ABS(L1370)&lt;='계산 과정'!$D$12/2),1,0)),"")</x:f>
        <x:v>1</x:v>
      </x:c>
      <x:c r="N1370" s="17" t="n">
        <x:f>IF('계산 과정'!$C$78,IF(AND(ISNUMBER(H1370),ISNUMBER(I1370),ABS(H1370-'계산 과정'!$C$88)&lt;='계산 과정'!$D$23/2,ABS(I1370-'계산 과정'!$C$89)&lt;='계산 과정'!$D$24/2),1,0),"")</x:f>
        <x:v>1</x:v>
      </x:c>
      <x:c r="O1370" s="4" t="n">
        <x:f>IF('계산 과정'!$L$7,'계산 과정'!$C$49*('계산 과정'!$C$32-D1370)+'계산 과정'!$D$49*('계산 과정'!$D$32-E1370)+'계산 과정'!$E$49*'계산 과정'!$E$32,"")</x:f>
        <x:v>86.57151468170784</x:v>
      </x:c>
      <x:c r="P1370" s="4" t="n">
        <x:f>IF(AND('계산 과정'!$L$7,O1370&lt;&gt;0),('계산 과정'!$L$23-'계산 과정'!$C$49*D1370-'계산 과정'!$D$49*E1370)/O1370,"")</x:f>
        <x:v>5.620457450359455</x:v>
      </x:c>
      <x:c r="Q1370" s="4" t="str">
        <x:f>IF(AND(ISNUMBER(P1370),P1370&gt;1E-9,P1370&lt;1-1E-9),'계산 과정'!$C$47*(D1370-'계산 과정'!$C$50+P1370*('계산 과정'!$C$32-D1370))+'계산 과정'!$D$47*(E1370-'계산 과정'!$D$50+P1370*('계산 과정'!$D$32-E1370))+'계산 과정'!$E$47*(0-'계산 과정'!$E$50+P1370*('계산 과정'!$E$32-0)),"")</x:f>
      </x:c>
      <x:c r="R1370" s="4" t="str">
        <x:f>IF(AND(ISNUMBER(P1370),P1370&gt;1E-9,P1370&lt;1-1E-9),'계산 과정'!$C$48*(D1370-'계산 과정'!$C$50+P1370*('계산 과정'!$C$32-D1370))+'계산 과정'!$D$48*(E1370-'계산 과정'!$D$50+P1370*('계산 과정'!$D$32-E1370))+'계산 과정'!$E$48*(0-'계산 과정'!$E$50+P1370*('계산 과정'!$E$32-0)),"")</x:f>
      </x:c>
      <x:c r="S1370" s="17" t="n">
        <x:f>IF('계산 과정'!$C$78,IF(AND(ISNUMBER(Q1370),ISNUMBER(R1370),ABS(Q1370-'계산 과정'!$C$88)&lt;='계산 과정'!$D$23/2,ABS(R1370-'계산 과정'!$C$89)&lt;='계산 과정'!$D$24/2),1,0),"")</x:f>
        <x:v>0</x:v>
      </x:c>
      <x:c r="T1370" s="4"/>
      <x:c r="U1370" s="4"/>
      <x:c r="V1370" s="4"/>
      <x:c r="W1370" s="4"/>
      <x:c r="X1370" s="4"/>
      <x:c r="Y1370" s="4"/>
      <x:c r="Z1370" s="4"/>
    </x:row>
    <x:row r="1371" ht="23" customHeight="1">
      <x:c r="A1371" s="17" t="n">
        <x:f>ROW()-6</x:f>
        <x:v>1365</x:v>
      </x:c>
      <x:c r="B1371" s="4" t="n">
        <x:f>IF('계산 과정'!$L$5,'계산 과정'!$L$11*SQRT((A1371+0.5)/'계산 과정'!$L$30),"")</x:f>
        <x:v>122.48196216050549</x:v>
      </x:c>
      <x:c r="C1371" s="4" t="n">
        <x:f>A1371*PI()*(3-SQRT(5))</x:f>
        <x:v>3275.9498085796113</x:v>
      </x:c>
      <x:c r="D1371" s="4" t="n">
        <x:f>IF('계산 과정'!$L$5,B1371*COS(C1371),"")</x:f>
        <x:v>-91.16178095309805</x:v>
      </x:c>
      <x:c r="E1371" s="4" t="n">
        <x:f>IF('계산 과정'!$L$5,B1371*SIN(C1371),"")</x:f>
        <x:v>81.80073806602769</x:v>
      </x:c>
      <x:c r="F1371" s="4" t="n">
        <x:f>IF('계산 과정'!$L$7,'계산 과정'!$L$22+'계산 과정'!$C$49*D1371+'계산 과정'!$D$49*E1371,"")</x:f>
        <x:v>714.4611134969782</x:v>
      </x:c>
      <x:c r="G1371" s="4" t="n">
        <x:f>IF('계산 과정'!$L$7,IF(ABS(F1371)&gt;=1E-12*MAX(1,SQRT((D1371-'계산 과정'!$C$33)^2+(E1371-'계산 과정'!$D$33)^2+'계산 과정'!$E$33^2)),('계산 과정'!$L$23-'계산 과정'!$C$49*D1371-'계산 과정'!$D$49*E1371)/F1371,""),"")</x:f>
        <x:v>0.4696391170412396</x:v>
      </x:c>
      <x:c r="H1371" s="4" t="n">
        <x:f>IF(AND(ISNUMBER(G1371),G1371&gt;0),('계산 과정'!$D$56+'계산 과정'!$D$57*D1371+'계산 과정'!$D$58*E1371)/F1371,"")</x:f>
        <x:v>-94.73457392319442</x:v>
      </x:c>
      <x:c r="I1371" s="4" t="n">
        <x:f>IF(AND(ISNUMBER(G1371),G1371&gt;0),('계산 과정'!$E$56+'계산 과정'!$E$57*D1371+'계산 과정'!$E$58*E1371)/F1371,"")</x:f>
        <x:v>120.21756446467867</x:v>
      </x:c>
      <x:c r="J1371" s="4" t="n">
        <x:f>IF('계산 과정'!$L$5,'계산 과정'!$D$6+'계산 과정'!$C$35*D1371+'계산 과정'!$D$35*E1371,"")</x:f>
        <x:v>714.4611134969782</x:v>
      </x:c>
      <x:c r="K1371" s="4" t="n">
        <x:f>IF(AND('계산 과정'!$L$6,J1371&gt;0),'계산 과정'!$D$10*('계산 과정'!$C$38*(D1371-'계산 과정'!$C$32)+'계산 과정'!$D$38*(E1371-'계산 과정'!$D$32)-'계산 과정'!$E$38*'계산 과정'!$E$32)/J1371,"")</x:f>
        <x:v>-0.7217872298910041</x:v>
      </x:c>
      <x:c r="L1371" s="4" t="n">
        <x:f>IF(AND('계산 과정'!$L$6,J1371&gt;0),'계산 과정'!$D$10*('계산 과정'!$C$39*(D1371-'계산 과정'!$C$32)+'계산 과정'!$D$39*(E1371-'계산 과정'!$D$32)-'계산 과정'!$E$39*'계산 과정'!$E$32)/J1371,"")</x:f>
        <x:v>0.9159433483023136</x:v>
      </x:c>
      <x:c r="M1371" s="17" t="n">
        <x:f>IF('계산 과정'!$L$6,IF(J1371&lt;=0,0,IF(AND(ABS(K1371)&lt;='계산 과정'!$D$11/2,ABS(L1371)&lt;='계산 과정'!$D$12/2),1,0)),"")</x:f>
        <x:v>1</x:v>
      </x:c>
      <x:c r="N1371" s="17" t="n">
        <x:f>IF('계산 과정'!$C$78,IF(AND(ISNUMBER(H1371),ISNUMBER(I1371),ABS(H1371-'계산 과정'!$C$88)&lt;='계산 과정'!$D$23/2,ABS(I1371-'계산 과정'!$C$89)&lt;='계산 과정'!$D$24/2),1,0),"")</x:f>
        <x:v>1</x:v>
      </x:c>
      <x:c r="O1371" s="4" t="n">
        <x:f>IF('계산 과정'!$L$7,'계산 과정'!$C$49*('계산 과정'!$C$32-D1371)+'계산 과정'!$D$49*('계산 과정'!$D$32-E1371)+'계산 과정'!$E$49*'계산 과정'!$E$32,"")</x:f>
        <x:v>-64.46111349697816</x:v>
      </x:c>
      <x:c r="P1371" s="4" t="n">
        <x:f>IF(AND('계산 과정'!$L$7,O1371&lt;&gt;0),('계산 과정'!$L$23-'계산 과정'!$C$49*D1371-'계산 과정'!$D$49*E1371)/O1371,"")</x:f>
        <x:v>-5.205291505222777</x:v>
      </x:c>
      <x:c r="Q1371" s="4" t="str">
        <x:f>IF(AND(ISNUMBER(P1371),P1371&gt;1E-9,P1371&lt;1-1E-9),'계산 과정'!$C$47*(D1371-'계산 과정'!$C$50+P1371*('계산 과정'!$C$32-D1371))+'계산 과정'!$D$47*(E1371-'계산 과정'!$D$50+P1371*('계산 과정'!$D$32-E1371))+'계산 과정'!$E$47*(0-'계산 과정'!$E$50+P1371*('계산 과정'!$E$32-0)),"")</x:f>
      </x:c>
      <x:c r="R1371" s="4" t="str">
        <x:f>IF(AND(ISNUMBER(P1371),P1371&gt;1E-9,P1371&lt;1-1E-9),'계산 과정'!$C$48*(D1371-'계산 과정'!$C$50+P1371*('계산 과정'!$C$32-D1371))+'계산 과정'!$D$48*(E1371-'계산 과정'!$D$50+P1371*('계산 과정'!$D$32-E1371))+'계산 과정'!$E$48*(0-'계산 과정'!$E$50+P1371*('계산 과정'!$E$32-0)),"")</x:f>
      </x:c>
      <x:c r="S1371" s="17" t="n">
        <x:f>IF('계산 과정'!$C$78,IF(AND(ISNUMBER(Q1371),ISNUMBER(R1371),ABS(Q1371-'계산 과정'!$C$88)&lt;='계산 과정'!$D$23/2,ABS(R1371-'계산 과정'!$C$89)&lt;='계산 과정'!$D$24/2),1,0),"")</x:f>
        <x:v>0</x:v>
      </x:c>
      <x:c r="T1371" s="4"/>
      <x:c r="U1371" s="4"/>
      <x:c r="V1371" s="4"/>
      <x:c r="W1371" s="4"/>
      <x:c r="X1371" s="4"/>
      <x:c r="Y1371" s="4"/>
      <x:c r="Z1371" s="4"/>
    </x:row>
    <x:row r="1372" ht="23" customHeight="1">
      <x:c r="A1372" s="17" t="n">
        <x:f>ROW()-6</x:f>
        <x:v>1366</x:v>
      </x:c>
      <x:c r="B1372" s="4" t="n">
        <x:f>IF('계산 과정'!$L$5,'계산 과정'!$L$11*SQRT((A1372+0.5)/'계산 과정'!$L$30),"")</x:f>
        <x:v>122.52680271194748</x:v>
      </x:c>
      <x:c r="C1372" s="4" t="n">
        <x:f>A1372*PI()*(3-SQRT(5))</x:f>
        <x:v>3278.34977180934</x:v>
      </x:c>
      <x:c r="D1372" s="4" t="n">
        <x:f>IF('계산 과정'!$L$5,B1372*COS(C1372),"")</x:f>
        <x:v>11.968635622651476</x:v>
      </x:c>
      <x:c r="E1372" s="4" t="n">
        <x:f>IF('계산 과정'!$L$5,B1372*SIN(C1372),"")</x:f>
        <x:v>-121.94084280561906</x:v>
      </x:c>
      <x:c r="F1372" s="4" t="n">
        <x:f>IF('계산 과정'!$L$7,'계산 과정'!$L$22+'계산 과정'!$C$49*D1372+'계산 과정'!$D$49*E1372,"")</x:f>
        <x:v>641.5368965896722</x:v>
      </x:c>
      <x:c r="G1372" s="4" t="n">
        <x:f>IF('계산 과정'!$L$7,IF(ABS(F1372)&gt;=1E-12*MAX(1,SQRT((D1372-'계산 과정'!$C$33)^2+(E1372-'계산 과정'!$D$33)^2+'계산 과정'!$E$33^2)),('계산 과정'!$L$23-'계산 과정'!$C$49*D1372-'계산 과정'!$D$49*E1372)/F1372,""),"")</x:f>
        <x:v>0.6366946399835538</x:v>
      </x:c>
      <x:c r="H1372" s="4" t="n">
        <x:f>IF(AND(ISNUMBER(G1372),G1372&gt;0),('계산 과정'!$D$56+'계산 과정'!$D$57*D1372+'계산 과정'!$D$58*E1372)/F1372,"")</x:f>
        <x:v>13.851515989309826</x:v>
      </x:c>
      <x:c r="I1372" s="4" t="n">
        <x:f>IF(AND(ISNUMBER(G1372),G1372&gt;0),('계산 과정'!$E$56+'계산 과정'!$E$57*D1372+'계산 과정'!$E$58*E1372)/F1372,"")</x:f>
        <x:v>-199.57992381503382</x:v>
      </x:c>
      <x:c r="J1372" s="4" t="n">
        <x:f>IF('계산 과정'!$L$5,'계산 과정'!$D$6+'계산 과정'!$C$35*D1372+'계산 과정'!$D$35*E1372,"")</x:f>
        <x:v>641.5368965896722</x:v>
      </x:c>
      <x:c r="K1372" s="4" t="n">
        <x:f>IF(AND('계산 과정'!$L$6,J1372&gt;0),'계산 과정'!$D$10*('계산 과정'!$C$38*(D1372-'계산 과정'!$C$32)+'계산 과정'!$D$38*(E1372-'계산 과정'!$D$32)-'계산 과정'!$E$38*'계산 과정'!$E$32)/J1372,"")</x:f>
        <x:v>0.1055353599185526</x:v>
      </x:c>
      <x:c r="L1372" s="4" t="n">
        <x:f>IF(AND('계산 과정'!$L$6,J1372&gt;0),'계산 과정'!$D$10*('계산 과정'!$C$39*(D1372-'계산 과정'!$C$32)+'계산 과정'!$D$39*(E1372-'계산 과정'!$D$32)-'계산 과정'!$E$39*'계산 과정'!$E$32)/J1372,"")</x:f>
        <x:v>-1.5206089433526386</x:v>
      </x:c>
      <x:c r="M1372" s="17" t="n">
        <x:f>IF('계산 과정'!$L$6,IF(J1372&lt;=0,0,IF(AND(ABS(K1372)&lt;='계산 과정'!$D$11/2,ABS(L1372)&lt;='계산 과정'!$D$12/2),1,0)),"")</x:f>
        <x:v>1</x:v>
      </x:c>
      <x:c r="N1372" s="17" t="n">
        <x:f>IF('계산 과정'!$C$78,IF(AND(ISNUMBER(H1372),ISNUMBER(I1372),ABS(H1372-'계산 과정'!$C$88)&lt;='계산 과정'!$D$23/2,ABS(I1372-'계산 과정'!$C$89)&lt;='계산 과정'!$D$24/2),1,0),"")</x:f>
        <x:v>1</x:v>
      </x:c>
      <x:c r="O1372" s="4" t="n">
        <x:f>IF('계산 과정'!$L$7,'계산 과정'!$C$49*('계산 과정'!$C$32-D1372)+'계산 과정'!$D$49*('계산 과정'!$D$32-E1372)+'계산 과정'!$E$49*'계산 과정'!$E$32,"")</x:f>
        <x:v>8.463103410327847</x:v>
      </x:c>
      <x:c r="P1372" s="4" t="n">
        <x:f>IF(AND('계산 과정'!$L$7,O1372&lt;&gt;0),('계산 과정'!$L$23-'계산 과정'!$C$49*D1372-'계산 과정'!$D$49*E1372)/O1372,"")</x:f>
        <x:v>48.263985869753725</x:v>
      </x:c>
      <x:c r="Q1372" s="4" t="str">
        <x:f>IF(AND(ISNUMBER(P1372),P1372&gt;1E-9,P1372&lt;1-1E-9),'계산 과정'!$C$47*(D1372-'계산 과정'!$C$50+P1372*('계산 과정'!$C$32-D1372))+'계산 과정'!$D$47*(E1372-'계산 과정'!$D$50+P1372*('계산 과정'!$D$32-E1372))+'계산 과정'!$E$47*(0-'계산 과정'!$E$50+P1372*('계산 과정'!$E$32-0)),"")</x:f>
      </x:c>
      <x:c r="R1372" s="4" t="str">
        <x:f>IF(AND(ISNUMBER(P1372),P1372&gt;1E-9,P1372&lt;1-1E-9),'계산 과정'!$C$48*(D1372-'계산 과정'!$C$50+P1372*('계산 과정'!$C$32-D1372))+'계산 과정'!$D$48*(E1372-'계산 과정'!$D$50+P1372*('계산 과정'!$D$32-E1372))+'계산 과정'!$E$48*(0-'계산 과정'!$E$50+P1372*('계산 과정'!$E$32-0)),"")</x:f>
      </x:c>
      <x:c r="S1372" s="17" t="n">
        <x:f>IF('계산 과정'!$C$78,IF(AND(ISNUMBER(Q1372),ISNUMBER(R1372),ABS(Q1372-'계산 과정'!$C$88)&lt;='계산 과정'!$D$23/2,ABS(R1372-'계산 과정'!$C$89)&lt;='계산 과정'!$D$24/2),1,0),"")</x:f>
        <x:v>0</x:v>
      </x:c>
      <x:c r="T1372" s="4"/>
      <x:c r="U1372" s="4"/>
      <x:c r="V1372" s="4"/>
      <x:c r="W1372" s="4"/>
      <x:c r="X1372" s="4"/>
      <x:c r="Y1372" s="4"/>
      <x:c r="Z1372" s="4"/>
    </x:row>
    <x:row r="1373" ht="23" customHeight="1">
      <x:c r="A1373" s="17" t="n">
        <x:f>ROW()-6</x:f>
        <x:v>1367</x:v>
      </x:c>
      <x:c r="B1373" s="4" t="n">
        <x:f>IF('계산 과정'!$L$5,'계산 과정'!$L$11*SQRT((A1373+0.5)/'계산 과정'!$L$30),"")</x:f>
        <x:v>122.57162685930828</x:v>
      </x:c>
      <x:c r="C1373" s="4" t="n">
        <x:f>A1373*PI()*(3-SQRT(5))</x:f>
        <x:v>3280.749735039068</x:v>
      </x:c>
      <x:c r="D1373" s="4" t="n">
        <x:f>IF('계산 과정'!$L$5,B1373*COS(C1373),"")</x:f>
        <x:v>73.57146127347725</x:v>
      </x:c>
      <x:c r="E1373" s="4" t="n">
        <x:f>IF('계산 과정'!$L$5,B1373*SIN(C1373),"")</x:f>
        <x:v>98.03593115293361</x:v>
      </x:c>
      <x:c r="F1373" s="4" t="n">
        <x:f>IF('계산 과정'!$L$7,'계산 과정'!$L$22+'계산 과정'!$C$49*D1373+'계산 과정'!$D$49*E1373,"")</x:f>
        <x:v>597.9771208317208</x:v>
      </x:c>
      <x:c r="G1373" s="4" t="n">
        <x:f>IF('계산 과정'!$L$7,IF(ABS(F1373)&gt;=1E-12*MAX(1,SQRT((D1373-'계산 과정'!$C$33)^2+(E1373-'계산 과정'!$D$33)^2+'계산 과정'!$E$33^2)),('계산 과정'!$L$23-'계산 과정'!$C$49*D1373-'계산 과정'!$D$49*E1373)/F1373,""),"")</x:f>
        <x:v>0.7559200233941474</x:v>
      </x:c>
      <x:c r="H1373" s="4" t="n">
        <x:f>IF(AND(ISNUMBER(G1373),G1373&gt;0),('계산 과정'!$D$56+'계산 과정'!$D$57*D1373+'계산 과정'!$D$58*E1373)/F1373,"")</x:f>
        <x:v>91.34801520619568</x:v>
      </x:c>
      <x:c r="I1373" s="4" t="n">
        <x:f>IF(AND(ISNUMBER(G1373),G1373&gt;0),('계산 과정'!$E$56+'계산 과정'!$E$57*D1373+'계산 과정'!$E$58*E1373)/F1373,"")</x:f>
        <x:v>172.14325452352622</x:v>
      </x:c>
      <x:c r="J1373" s="4" t="n">
        <x:f>IF('계산 과정'!$L$5,'계산 과정'!$D$6+'계산 과정'!$C$35*D1373+'계산 과정'!$D$35*E1373,"")</x:f>
        <x:v>597.9771208317208</x:v>
      </x:c>
      <x:c r="K1373" s="4" t="n">
        <x:f>IF(AND('계산 과정'!$L$6,J1373&gt;0),'계산 과정'!$D$10*('계산 과정'!$C$38*(D1373-'계산 과정'!$C$32)+'계산 과정'!$D$38*(E1373-'계산 과정'!$D$32)-'계산 과정'!$E$38*'계산 과정'!$E$32)/J1373,"")</x:f>
        <x:v>0.6959848777614918</x:v>
      </x:c>
      <x:c r="L1373" s="4" t="n">
        <x:f>IF(AND('계산 과정'!$L$6,J1373&gt;0),'계산 과정'!$D$10*('계산 과정'!$C$39*(D1373-'계산 과정'!$C$32)+'계산 과정'!$D$39*(E1373-'계산 과정'!$D$32)-'계산 과정'!$E$39*'계산 과정'!$E$32)/J1373,"")</x:f>
        <x:v>1.3115676535125806</x:v>
      </x:c>
      <x:c r="M1373" s="17" t="n">
        <x:f>IF('계산 과정'!$L$6,IF(J1373&lt;=0,0,IF(AND(ABS(K1373)&lt;='계산 과정'!$D$11/2,ABS(L1373)&lt;='계산 과정'!$D$12/2),1,0)),"")</x:f>
        <x:v>1</x:v>
      </x:c>
      <x:c r="N1373" s="17" t="n">
        <x:f>IF('계산 과정'!$C$78,IF(AND(ISNUMBER(H1373),ISNUMBER(I1373),ABS(H1373-'계산 과정'!$C$88)&lt;='계산 과정'!$D$23/2,ABS(I1373-'계산 과정'!$C$89)&lt;='계산 과정'!$D$24/2),1,0),"")</x:f>
        <x:v>1</x:v>
      </x:c>
      <x:c r="O1373" s="4" t="n">
        <x:f>IF('계산 과정'!$L$7,'계산 과정'!$C$49*('계산 과정'!$C$32-D1373)+'계산 과정'!$D$49*('계산 과정'!$D$32-E1373)+'계산 과정'!$E$49*'계산 과정'!$E$32,"")</x:f>
        <x:v>52.02287916827936</x:v>
      </x:c>
      <x:c r="P1373" s="4" t="n">
        <x:f>IF(AND('계산 과정'!$L$7,O1373&lt;&gt;0),('계산 과정'!$L$23-'계산 과정'!$C$49*D1373-'계산 과정'!$D$49*E1373)/O1373,"")</x:f>
        <x:v>8.68892468842627</x:v>
      </x:c>
      <x:c r="Q1373" s="4" t="str">
        <x:f>IF(AND(ISNUMBER(P1373),P1373&gt;1E-9,P1373&lt;1-1E-9),'계산 과정'!$C$47*(D1373-'계산 과정'!$C$50+P1373*('계산 과정'!$C$32-D1373))+'계산 과정'!$D$47*(E1373-'계산 과정'!$D$50+P1373*('계산 과정'!$D$32-E1373))+'계산 과정'!$E$47*(0-'계산 과정'!$E$50+P1373*('계산 과정'!$E$32-0)),"")</x:f>
      </x:c>
      <x:c r="R1373" s="4" t="str">
        <x:f>IF(AND(ISNUMBER(P1373),P1373&gt;1E-9,P1373&lt;1-1E-9),'계산 과정'!$C$48*(D1373-'계산 과정'!$C$50+P1373*('계산 과정'!$C$32-D1373))+'계산 과정'!$D$48*(E1373-'계산 과정'!$D$50+P1373*('계산 과정'!$D$32-E1373))+'계산 과정'!$E$48*(0-'계산 과정'!$E$50+P1373*('계산 과정'!$E$32-0)),"")</x:f>
      </x:c>
      <x:c r="S1373" s="17" t="n">
        <x:f>IF('계산 과정'!$C$78,IF(AND(ISNUMBER(Q1373),ISNUMBER(R1373),ABS(Q1373-'계산 과정'!$C$88)&lt;='계산 과정'!$D$23/2,ABS(R1373-'계산 과정'!$C$89)&lt;='계산 과정'!$D$24/2),1,0),"")</x:f>
        <x:v>0</x:v>
      </x:c>
      <x:c r="T1373" s="4"/>
      <x:c r="U1373" s="4"/>
      <x:c r="V1373" s="4"/>
      <x:c r="W1373" s="4"/>
      <x:c r="X1373" s="4"/>
      <x:c r="Y1373" s="4"/>
      <x:c r="Z1373" s="4"/>
    </x:row>
    <x:row r="1374" ht="23" customHeight="1">
      <x:c r="A1374" s="17" t="n">
        <x:f>ROW()-6</x:f>
        <x:v>1368</x:v>
      </x:c>
      <x:c r="B1374" s="4" t="n">
        <x:f>IF('계산 과정'!$L$5,'계산 과정'!$L$11*SQRT((A1374+0.5)/'계산 과정'!$L$30),"")</x:f>
        <x:v>122.61643462057809</x:v>
      </x:c>
      <x:c r="C1374" s="4" t="n">
        <x:f>A1374*PI()*(3-SQRT(5))</x:f>
        <x:v>3283.1496982687972</x:v>
      </x:c>
      <x:c r="D1374" s="4" t="n">
        <x:f>IF('계산 과정'!$L$5,B1374*COS(C1374),"")</x:f>
        <x:v>-120.51566591721269</x:v>
      </x:c>
      <x:c r="E1374" s="4" t="n">
        <x:f>IF('계산 과정'!$L$5,B1374*SIN(C1374),"")</x:f>
        <x:v>-22.600095300535386</x:v>
      </x:c>
      <x:c r="F1374" s="4" t="n">
        <x:f>IF('계산 과정'!$L$7,'계산 과정'!$L$22+'계산 과정'!$C$49*D1374+'계산 과정'!$D$49*E1374,"")</x:f>
        <x:v>735.2174446092736</x:v>
      </x:c>
      <x:c r="G1374" s="4" t="n">
        <x:f>IF('계산 과정'!$L$7,IF(ABS(F1374)&gt;=1E-12*MAX(1,SQRT((D1374-'계산 과정'!$C$33)^2+(E1374-'계산 과정'!$D$33)^2+'계산 과정'!$E$33^2)),('계산 과정'!$L$23-'계산 과정'!$C$49*D1374-'계산 과정'!$D$49*E1374)/F1374,""),"")</x:f>
        <x:v>0.4281489207019775</x:v>
      </x:c>
      <x:c r="H1374" s="4" t="n">
        <x:f>IF(AND(ISNUMBER(G1374),G1374&gt;0),('계산 과정'!$D$56+'계산 과정'!$D$57*D1374+'계산 과정'!$D$58*E1374)/F1374,"")</x:f>
        <x:v>-121.70320154371474</x:v>
      </x:c>
      <x:c r="I1374" s="4" t="n">
        <x:f>IF(AND(ISNUMBER(G1374),G1374&gt;0),('계산 과정'!$E$56+'계산 과정'!$E$57*D1374+'계산 과정'!$E$58*E1374)/F1374,"")</x:f>
        <x:v>-32.27630171122145</x:v>
      </x:c>
      <x:c r="J1374" s="4" t="n">
        <x:f>IF('계산 과정'!$L$5,'계산 과정'!$D$6+'계산 과정'!$C$35*D1374+'계산 과정'!$D$35*E1374,"")</x:f>
        <x:v>735.2174446092736</x:v>
      </x:c>
      <x:c r="K1374" s="4" t="n">
        <x:f>IF(AND('계산 과정'!$L$6,J1374&gt;0),'계산 과정'!$D$10*('계산 과정'!$C$38*(D1374-'계산 과정'!$C$32)+'계산 과정'!$D$38*(E1374-'계산 과정'!$D$32)-'계산 과정'!$E$38*'계산 과정'!$E$32)/J1374,"")</x:f>
        <x:v>-0.9272624879521113</x:v>
      </x:c>
      <x:c r="L1374" s="4" t="n">
        <x:f>IF(AND('계산 과정'!$L$6,J1374&gt;0),'계산 과정'!$D$10*('계산 과정'!$C$39*(D1374-'계산 과정'!$C$32)+'계산 과정'!$D$39*(E1374-'계산 과정'!$D$32)-'계산 과정'!$E$39*'계산 과정'!$E$32)/J1374,"")</x:f>
        <x:v>-0.24591467970454436</x:v>
      </x:c>
      <x:c r="M1374" s="17" t="n">
        <x:f>IF('계산 과정'!$L$6,IF(J1374&lt;=0,0,IF(AND(ABS(K1374)&lt;='계산 과정'!$D$11/2,ABS(L1374)&lt;='계산 과정'!$D$12/2),1,0)),"")</x:f>
        <x:v>1</x:v>
      </x:c>
      <x:c r="N1374" s="17" t="n">
        <x:f>IF('계산 과정'!$C$78,IF(AND(ISNUMBER(H1374),ISNUMBER(I1374),ABS(H1374-'계산 과정'!$C$88)&lt;='계산 과정'!$D$23/2,ABS(I1374-'계산 과정'!$C$89)&lt;='계산 과정'!$D$24/2),1,0),"")</x:f>
        <x:v>1</x:v>
      </x:c>
      <x:c r="O1374" s="4" t="n">
        <x:f>IF('계산 과정'!$L$7,'계산 과정'!$C$49*('계산 과정'!$C$32-D1374)+'계산 과정'!$D$49*('계산 과정'!$D$32-E1374)+'계산 과정'!$E$49*'계산 과정'!$E$32,"")</x:f>
        <x:v>-85.21744460927346</x:v>
      </x:c>
      <x:c r="P1374" s="4" t="n">
        <x:f>IF(AND('계산 과정'!$L$7,O1374&lt;&gt;0),('계산 과정'!$L$23-'계산 과정'!$C$49*D1374-'계산 과정'!$D$49*E1374)/O1374,"")</x:f>
        <x:v>-3.6938746149221124</x:v>
      </x:c>
      <x:c r="Q1374" s="4" t="str">
        <x:f>IF(AND(ISNUMBER(P1374),P1374&gt;1E-9,P1374&lt;1-1E-9),'계산 과정'!$C$47*(D1374-'계산 과정'!$C$50+P1374*('계산 과정'!$C$32-D1374))+'계산 과정'!$D$47*(E1374-'계산 과정'!$D$50+P1374*('계산 과정'!$D$32-E1374))+'계산 과정'!$E$47*(0-'계산 과정'!$E$50+P1374*('계산 과정'!$E$32-0)),"")</x:f>
      </x:c>
      <x:c r="R1374" s="4" t="str">
        <x:f>IF(AND(ISNUMBER(P1374),P1374&gt;1E-9,P1374&lt;1-1E-9),'계산 과정'!$C$48*(D1374-'계산 과정'!$C$50+P1374*('계산 과정'!$C$32-D1374))+'계산 과정'!$D$48*(E1374-'계산 과정'!$D$50+P1374*('계산 과정'!$D$32-E1374))+'계산 과정'!$E$48*(0-'계산 과정'!$E$50+P1374*('계산 과정'!$E$32-0)),"")</x:f>
      </x:c>
      <x:c r="S1374" s="17" t="n">
        <x:f>IF('계산 과정'!$C$78,IF(AND(ISNUMBER(Q1374),ISNUMBER(R1374),ABS(Q1374-'계산 과정'!$C$88)&lt;='계산 과정'!$D$23/2,ABS(R1374-'계산 과정'!$C$89)&lt;='계산 과정'!$D$24/2),1,0),"")</x:f>
        <x:v>0</x:v>
      </x:c>
      <x:c r="T1374" s="4"/>
      <x:c r="U1374" s="4"/>
      <x:c r="V1374" s="4"/>
      <x:c r="W1374" s="4"/>
      <x:c r="X1374" s="4"/>
      <x:c r="Y1374" s="4"/>
      <x:c r="Z1374" s="4"/>
    </x:row>
    <x:row r="1375" ht="23" customHeight="1">
      <x:c r="A1375" s="17" t="n">
        <x:f>ROW()-6</x:f>
        <x:v>1369</x:v>
      </x:c>
      <x:c r="B1375" s="4" t="n">
        <x:f>IF('계산 과정'!$L$5,'계산 과정'!$L$11*SQRT((A1375+0.5)/'계산 과정'!$L$30),"")</x:f>
        <x:v>122.6612260137143</x:v>
      </x:c>
      <x:c r="C1375" s="4" t="n">
        <x:f>A1375*PI()*(3-SQRT(5))</x:f>
        <x:v>3285.549661498526</x:v>
      </x:c>
      <x:c r="D1375" s="4" t="n">
        <x:f>IF('계산 과정'!$L$5,B1375*COS(C1375),"")</x:f>
        <x:v>104.16868498669247</x:v>
      </x:c>
      <x:c r="E1375" s="4" t="n">
        <x:f>IF('계산 과정'!$L$5,B1375*SIN(C1375),"")</x:f>
        <x:v>-64.76620596677509</x:v>
      </x:c>
      <x:c r="F1375" s="4" t="n">
        <x:f>IF('계산 과정'!$L$7,'계산 과정'!$L$22+'계산 과정'!$C$49*D1375+'계산 과정'!$D$49*E1375,"")</x:f>
        <x:v>576.3416164586245</x:v>
      </x:c>
      <x:c r="G1375" s="4" t="n">
        <x:f>IF('계산 과정'!$L$7,IF(ABS(F1375)&gt;=1E-12*MAX(1,SQRT((D1375-'계산 과정'!$C$33)^2+(E1375-'계산 과정'!$D$33)^2+'계산 과정'!$E$33^2)),('계산 과정'!$L$23-'계산 과정'!$C$49*D1375-'계산 과정'!$D$49*E1375)/F1375,""),"")</x:f>
        <x:v>0.8218361645508198</x:v>
      </x:c>
      <x:c r="H1375" s="4" t="n">
        <x:f>IF(AND(ISNUMBER(G1375),G1375&gt;0),('계산 과정'!$D$56+'계산 과정'!$D$57*D1375+'계산 과정'!$D$58*E1375)/F1375,"")</x:f>
        <x:v>134.19350695803277</x:v>
      </x:c>
      <x:c r="I1375" s="4" t="n">
        <x:f>IF(AND(ISNUMBER(G1375),G1375&gt;0),('계산 과정'!$E$56+'계산 과정'!$E$57*D1375+'계산 과정'!$E$58*E1375)/F1375,"")</x:f>
        <x:v>-117.99341627101794</x:v>
      </x:c>
      <x:c r="J1375" s="4" t="n">
        <x:f>IF('계산 과정'!$L$5,'계산 과정'!$D$6+'계산 과정'!$C$35*D1375+'계산 과정'!$D$35*E1375,"")</x:f>
        <x:v>576.3416164586245</x:v>
      </x:c>
      <x:c r="K1375" s="4" t="n">
        <x:f>IF(AND('계산 과정'!$L$6,J1375&gt;0),'계산 과정'!$D$10*('계산 과정'!$C$38*(D1375-'계산 과정'!$C$32)+'계산 과정'!$D$38*(E1375-'계산 과정'!$D$32)-'계산 과정'!$E$38*'계산 과정'!$E$32)/J1375,"")</x:f>
        <x:v>1.0224267196802506</x:v>
      </x:c>
      <x:c r="L1375" s="4" t="n">
        <x:f>IF(AND('계산 과정'!$L$6,J1375&gt;0),'계산 과정'!$D$10*('계산 과정'!$C$39*(D1375-'계산 과정'!$C$32)+'계산 과정'!$D$39*(E1375-'계산 과정'!$D$32)-'계산 과정'!$E$39*'계산 과정'!$E$32)/J1375,"")</x:f>
        <x:v>-0.8989974573029939</x:v>
      </x:c>
      <x:c r="M1375" s="17" t="n">
        <x:f>IF('계산 과정'!$L$6,IF(J1375&lt;=0,0,IF(AND(ABS(K1375)&lt;='계산 과정'!$D$11/2,ABS(L1375)&lt;='계산 과정'!$D$12/2),1,0)),"")</x:f>
        <x:v>1</x:v>
      </x:c>
      <x:c r="N1375" s="17" t="n">
        <x:f>IF('계산 과정'!$C$78,IF(AND(ISNUMBER(H1375),ISNUMBER(I1375),ABS(H1375-'계산 과정'!$C$88)&lt;='계산 과정'!$D$23/2,ABS(I1375-'계산 과정'!$C$89)&lt;='계산 과정'!$D$24/2),1,0),"")</x:f>
        <x:v>1</x:v>
      </x:c>
      <x:c r="O1375" s="4" t="n">
        <x:f>IF('계산 과정'!$L$7,'계산 과정'!$C$49*('계산 과정'!$C$32-D1375)+'계산 과정'!$D$49*('계산 과정'!$D$32-E1375)+'계산 과정'!$E$49*'계산 과정'!$E$32,"")</x:f>
        <x:v>73.65838354137566</x:v>
      </x:c>
      <x:c r="P1375" s="4" t="n">
        <x:f>IF(AND('계산 과정'!$L$7,O1375&lt;&gt;0),('계산 과정'!$L$23-'계산 과정'!$C$49*D1375-'계산 과정'!$D$49*E1375)/O1375,"")</x:f>
        <x:v>6.430474859325557</x:v>
      </x:c>
      <x:c r="Q1375" s="4" t="str">
        <x:f>IF(AND(ISNUMBER(P1375),P1375&gt;1E-9,P1375&lt;1-1E-9),'계산 과정'!$C$47*(D1375-'계산 과정'!$C$50+P1375*('계산 과정'!$C$32-D1375))+'계산 과정'!$D$47*(E1375-'계산 과정'!$D$50+P1375*('계산 과정'!$D$32-E1375))+'계산 과정'!$E$47*(0-'계산 과정'!$E$50+P1375*('계산 과정'!$E$32-0)),"")</x:f>
      </x:c>
      <x:c r="R1375" s="4" t="str">
        <x:f>IF(AND(ISNUMBER(P1375),P1375&gt;1E-9,P1375&lt;1-1E-9),'계산 과정'!$C$48*(D1375-'계산 과정'!$C$50+P1375*('계산 과정'!$C$32-D1375))+'계산 과정'!$D$48*(E1375-'계산 과정'!$D$50+P1375*('계산 과정'!$D$32-E1375))+'계산 과정'!$E$48*(0-'계산 과정'!$E$50+P1375*('계산 과정'!$E$32-0)),"")</x:f>
      </x:c>
      <x:c r="S1375" s="17" t="n">
        <x:f>IF('계산 과정'!$C$78,IF(AND(ISNUMBER(Q1375),ISNUMBER(R1375),ABS(Q1375-'계산 과정'!$C$88)&lt;='계산 과정'!$D$23/2,ABS(R1375-'계산 과정'!$C$89)&lt;='계산 과정'!$D$24/2),1,0),"")</x:f>
        <x:v>0</x:v>
      </x:c>
      <x:c r="T1375" s="4"/>
      <x:c r="U1375" s="4"/>
      <x:c r="V1375" s="4"/>
      <x:c r="W1375" s="4"/>
      <x:c r="X1375" s="4"/>
      <x:c r="Y1375" s="4"/>
      <x:c r="Z1375" s="4"/>
    </x:row>
    <x:row r="1376" ht="23" customHeight="1">
      <x:c r="A1376" s="17" t="n">
        <x:f>ROW()-6</x:f>
        <x:v>1370</x:v>
      </x:c>
      <x:c r="B1376" s="4" t="n">
        <x:f>IF('계산 과정'!$L$5,'계산 과정'!$L$11*SQRT((A1376+0.5)/'계산 과정'!$L$30),"")</x:f>
        <x:v>122.70600105664147</x:v>
      </x:c>
      <x:c r="C1376" s="4" t="n">
        <x:f>A1376*PI()*(3-SQRT(5))</x:f>
        <x:v>3287.949624728254</x:v>
      </x:c>
      <x:c r="D1376" s="4" t="n">
        <x:f>IF('계산 과정'!$L$5,B1376*COS(C1376),"")</x:f>
        <x:v>-33.07387140687741</x:v>
      </x:c>
      <x:c r="E1376" s="4" t="n">
        <x:f>IF('계산 과정'!$L$5,B1376*SIN(C1376),"")</x:f>
        <x:v>118.16463821919751</x:v>
      </x:c>
      <x:c r="F1376" s="4" t="n">
        <x:f>IF('계산 과정'!$L$7,'계산 과정'!$L$22+'계산 과정'!$C$49*D1376+'계산 과정'!$D$49*E1376,"")</x:f>
        <x:v>673.3867587518948</x:v>
      </x:c>
      <x:c r="G1376" s="4" t="n">
        <x:f>IF('계산 과정'!$L$7,IF(ABS(F1376)&gt;=1E-12*MAX(1,SQRT((D1376-'계산 과정'!$C$33)^2+(E1376-'계산 과정'!$D$33)^2+'계산 과정'!$E$33^2)),('계산 과정'!$L$23-'계산 과정'!$C$49*D1376-'계산 과정'!$D$49*E1376)/F1376,""),"")</x:f>
        <x:v>0.5592822198436871</x:v>
      </x:c>
      <x:c r="H1376" s="4" t="n">
        <x:f>IF(AND(ISNUMBER(G1376),G1376&gt;0),('계산 과정'!$D$56+'계산 과정'!$D$57*D1376+'계산 과정'!$D$58*E1376)/F1376,"")</x:f>
        <x:v>-36.46655710160354</x:v>
      </x:c>
      <x:c r="I1376" s="4" t="n">
        <x:f>IF(AND(ISNUMBER(G1376),G1376&gt;0),('계산 과정'!$E$56+'계산 과정'!$E$57*D1376+'계산 과정'!$E$58*E1376)/F1376,"")</x:f>
        <x:v>184.2520193894565</x:v>
      </x:c>
      <x:c r="J1376" s="4" t="n">
        <x:f>IF('계산 과정'!$L$5,'계산 과정'!$D$6+'계산 과정'!$C$35*D1376+'계산 과정'!$D$35*E1376,"")</x:f>
        <x:v>673.3867587518948</x:v>
      </x:c>
      <x:c r="K1376" s="4" t="n">
        <x:f>IF(AND('계산 과정'!$L$6,J1376&gt;0),'계산 과정'!$D$10*('계산 과정'!$C$38*(D1376-'계산 과정'!$C$32)+'계산 과정'!$D$38*(E1376-'계산 과정'!$D$32)-'계산 과정'!$E$38*'계산 과정'!$E$32)/J1376,"")</x:f>
        <x:v>-0.27784043505983574</x:v>
      </x:c>
      <x:c r="L1376" s="4" t="n">
        <x:f>IF(AND('계산 과정'!$L$6,J1376&gt;0),'계산 과정'!$D$10*('계산 과정'!$C$39*(D1376-'계산 과정'!$C$32)+'계산 과정'!$D$39*(E1376-'계산 과정'!$D$32)-'계산 과정'!$E$39*'계산 과정'!$E$32)/J1376,"")</x:f>
        <x:v>1.4038249096339543</x:v>
      </x:c>
      <x:c r="M1376" s="17" t="n">
        <x:f>IF('계산 과정'!$L$6,IF(J1376&lt;=0,0,IF(AND(ABS(K1376)&lt;='계산 과정'!$D$11/2,ABS(L1376)&lt;='계산 과정'!$D$12/2),1,0)),"")</x:f>
        <x:v>1</x:v>
      </x:c>
      <x:c r="N1376" s="17" t="n">
        <x:f>IF('계산 과정'!$C$78,IF(AND(ISNUMBER(H1376),ISNUMBER(I1376),ABS(H1376-'계산 과정'!$C$88)&lt;='계산 과정'!$D$23/2,ABS(I1376-'계산 과정'!$C$89)&lt;='계산 과정'!$D$24/2),1,0),"")</x:f>
        <x:v>1</x:v>
      </x:c>
      <x:c r="O1376" s="4" t="n">
        <x:f>IF('계산 과정'!$L$7,'계산 과정'!$C$49*('계산 과정'!$C$32-D1376)+'계산 과정'!$D$49*('계산 과정'!$D$32-E1376)+'계산 과정'!$E$49*'계산 과정'!$E$32,"")</x:f>
        <x:v>-23.386758751894774</x:v>
      </x:c>
      <x:c r="P1376" s="4" t="n">
        <x:f>IF(AND('계산 과정'!$L$7,O1376&lt;&gt;0),('계산 과정'!$L$23-'계산 과정'!$C$49*D1376-'계산 과정'!$D$49*E1376)/O1376,"")</x:f>
        <x:v>-16.10369548185433</x:v>
      </x:c>
      <x:c r="Q1376" s="4" t="str">
        <x:f>IF(AND(ISNUMBER(P1376),P1376&gt;1E-9,P1376&lt;1-1E-9),'계산 과정'!$C$47*(D1376-'계산 과정'!$C$50+P1376*('계산 과정'!$C$32-D1376))+'계산 과정'!$D$47*(E1376-'계산 과정'!$D$50+P1376*('계산 과정'!$D$32-E1376))+'계산 과정'!$E$47*(0-'계산 과정'!$E$50+P1376*('계산 과정'!$E$32-0)),"")</x:f>
      </x:c>
      <x:c r="R1376" s="4" t="str">
        <x:f>IF(AND(ISNUMBER(P1376),P1376&gt;1E-9,P1376&lt;1-1E-9),'계산 과정'!$C$48*(D1376-'계산 과정'!$C$50+P1376*('계산 과정'!$C$32-D1376))+'계산 과정'!$D$48*(E1376-'계산 과정'!$D$50+P1376*('계산 과정'!$D$32-E1376))+'계산 과정'!$E$48*(0-'계산 과정'!$E$50+P1376*('계산 과정'!$E$32-0)),"")</x:f>
      </x:c>
      <x:c r="S1376" s="17" t="n">
        <x:f>IF('계산 과정'!$C$78,IF(AND(ISNUMBER(Q1376),ISNUMBER(R1376),ABS(Q1376-'계산 과정'!$C$88)&lt;='계산 과정'!$D$23/2,ABS(R1376-'계산 과정'!$C$89)&lt;='계산 과정'!$D$24/2),1,0),"")</x:f>
        <x:v>0</x:v>
      </x:c>
      <x:c r="T1376" s="4"/>
      <x:c r="U1376" s="4"/>
      <x:c r="V1376" s="4"/>
      <x:c r="W1376" s="4"/>
      <x:c r="X1376" s="4"/>
      <x:c r="Y1376" s="4"/>
      <x:c r="Z1376" s="4"/>
    </x:row>
    <x:row r="1377" ht="23" customHeight="1">
      <x:c r="A1377" s="17" t="n">
        <x:f>ROW()-6</x:f>
        <x:v>1371</x:v>
      </x:c>
      <x:c r="B1377" s="4" t="n">
        <x:f>IF('계산 과정'!$L$5,'계산 과정'!$L$11*SQRT((A1377+0.5)/'계산 과정'!$L$30),"")</x:f>
        <x:v>122.75075976725155</x:v>
      </x:c>
      <x:c r="C1377" s="4" t="n">
        <x:f>A1377*PI()*(3-SQRT(5))</x:f>
        <x:v>3290.349587957983</x:v>
      </x:c>
      <x:c r="D1377" s="4" t="n">
        <x:f>IF('계산 과정'!$L$5,B1377*COS(C1377),"")</x:f>
        <x:v>-55.451642166890025</x:v>
      </x:c>
      <x:c r="E1377" s="4" t="n">
        <x:f>IF('계산 과정'!$L$5,B1377*SIN(C1377),"")</x:f>
        <x:v>-109.51193726910635</x:v>
      </x:c>
      <x:c r="F1377" s="4" t="n">
        <x:f>IF('계산 과정'!$L$7,'계산 과정'!$L$22+'계산 과정'!$C$49*D1377+'계산 과정'!$D$49*E1377,"")</x:f>
        <x:v>689.2102322041378</x:v>
      </x:c>
      <x:c r="G1377" s="4" t="n">
        <x:f>IF('계산 과정'!$L$7,IF(ABS(F1377)&gt;=1E-12*MAX(1,SQRT((D1377-'계산 과정'!$C$33)^2+(E1377-'계산 과정'!$D$33)^2+'계산 과정'!$E$33^2)),('계산 과정'!$L$23-'계산 과정'!$C$49*D1377-'계산 과정'!$D$49*E1377)/F1377,""),"")</x:f>
        <x:v>0.5234828952582926</x:v>
      </x:c>
      <x:c r="H1377" s="4" t="n">
        <x:f>IF(AND(ISNUMBER(G1377),G1377&gt;0),('계산 과정'!$D$56+'계산 과정'!$D$57*D1377+'계산 과정'!$D$58*E1377)/F1377,"")</x:f>
        <x:v>-59.736118082109975</x:v>
      </x:c>
      <x:c r="I1377" s="4" t="n">
        <x:f>IF(AND(ISNUMBER(G1377),G1377&gt;0),('계산 과정'!$E$56+'계산 과정'!$E$57*D1377+'계산 과정'!$E$58*E1377)/F1377,"")</x:f>
        <x:v>-166.83956325608267</x:v>
      </x:c>
      <x:c r="J1377" s="4" t="n">
        <x:f>IF('계산 과정'!$L$5,'계산 과정'!$D$6+'계산 과정'!$C$35*D1377+'계산 과정'!$D$35*E1377,"")</x:f>
        <x:v>689.2102322041378</x:v>
      </x:c>
      <x:c r="K1377" s="4" t="n">
        <x:f>IF(AND('계산 과정'!$L$6,J1377&gt;0),'계산 과정'!$D$10*('계산 과정'!$C$38*(D1377-'계산 과정'!$C$32)+'계산 과정'!$D$38*(E1377-'계산 과정'!$D$32)-'계산 과정'!$E$38*'계산 과정'!$E$32)/J1377,"")</x:f>
        <x:v>-0.4551323282446462</x:v>
      </x:c>
      <x:c r="L1377" s="4" t="n">
        <x:f>IF(AND('계산 과정'!$L$6,J1377&gt;0),'계산 과정'!$D$10*('계산 과정'!$C$39*(D1377-'계산 과정'!$C$32)+'계산 과정'!$D$39*(E1377-'계산 과정'!$D$32)-'계산 과정'!$E$39*'계산 과정'!$E$32)/J1377,"")</x:f>
        <x:v>-1.2711585771892013</x:v>
      </x:c>
      <x:c r="M1377" s="17" t="n">
        <x:f>IF('계산 과정'!$L$6,IF(J1377&lt;=0,0,IF(AND(ABS(K1377)&lt;='계산 과정'!$D$11/2,ABS(L1377)&lt;='계산 과정'!$D$12/2),1,0)),"")</x:f>
        <x:v>1</x:v>
      </x:c>
      <x:c r="N1377" s="17" t="n">
        <x:f>IF('계산 과정'!$C$78,IF(AND(ISNUMBER(H1377),ISNUMBER(I1377),ABS(H1377-'계산 과정'!$C$88)&lt;='계산 과정'!$D$23/2,ABS(I1377-'계산 과정'!$C$89)&lt;='계산 과정'!$D$24/2),1,0),"")</x:f>
        <x:v>1</x:v>
      </x:c>
      <x:c r="O1377" s="4" t="n">
        <x:f>IF('계산 과정'!$L$7,'계산 과정'!$C$49*('계산 과정'!$C$32-D1377)+'계산 과정'!$D$49*('계산 과정'!$D$32-E1377)+'계산 과정'!$E$49*'계산 과정'!$E$32,"")</x:f>
        <x:v>-39.2102322041377</x:v>
      </x:c>
      <x:c r="P1377" s="4" t="n">
        <x:f>IF(AND('계산 과정'!$L$7,O1377&lt;&gt;0),('계산 과정'!$L$23-'계산 과정'!$C$49*D1377-'계산 과정'!$D$49*E1377)/O1377,"")</x:f>
        <x:v>-9.201418801028918</x:v>
      </x:c>
      <x:c r="Q1377" s="4" t="str">
        <x:f>IF(AND(ISNUMBER(P1377),P1377&gt;1E-9,P1377&lt;1-1E-9),'계산 과정'!$C$47*(D1377-'계산 과정'!$C$50+P1377*('계산 과정'!$C$32-D1377))+'계산 과정'!$D$47*(E1377-'계산 과정'!$D$50+P1377*('계산 과정'!$D$32-E1377))+'계산 과정'!$E$47*(0-'계산 과정'!$E$50+P1377*('계산 과정'!$E$32-0)),"")</x:f>
      </x:c>
      <x:c r="R1377" s="4" t="str">
        <x:f>IF(AND(ISNUMBER(P1377),P1377&gt;1E-9,P1377&lt;1-1E-9),'계산 과정'!$C$48*(D1377-'계산 과정'!$C$50+P1377*('계산 과정'!$C$32-D1377))+'계산 과정'!$D$48*(E1377-'계산 과정'!$D$50+P1377*('계산 과정'!$D$32-E1377))+'계산 과정'!$E$48*(0-'계산 과정'!$E$50+P1377*('계산 과정'!$E$32-0)),"")</x:f>
      </x:c>
      <x:c r="S1377" s="17" t="n">
        <x:f>IF('계산 과정'!$C$78,IF(AND(ISNUMBER(Q1377),ISNUMBER(R1377),ABS(Q1377-'계산 과정'!$C$88)&lt;='계산 과정'!$D$23/2,ABS(R1377-'계산 과정'!$C$89)&lt;='계산 과정'!$D$24/2),1,0),"")</x:f>
        <x:v>0</x:v>
      </x:c>
      <x:c r="T1377" s="4"/>
      <x:c r="U1377" s="4"/>
      <x:c r="V1377" s="4"/>
      <x:c r="W1377" s="4"/>
      <x:c r="X1377" s="4"/>
      <x:c r="Y1377" s="4"/>
      <x:c r="Z1377" s="4"/>
    </x:row>
    <x:row r="1378" ht="23" customHeight="1">
      <x:c r="A1378" s="17" t="n">
        <x:f>ROW()-6</x:f>
        <x:v>1372</x:v>
      </x:c>
      <x:c r="B1378" s="4" t="n">
        <x:f>IF('계산 과정'!$L$5,'계산 과정'!$L$11*SQRT((A1378+0.5)/'계산 과정'!$L$30),"")</x:f>
        <x:v>122.79550216340377</x:v>
      </x:c>
      <x:c r="C1378" s="4" t="n">
        <x:f>A1378*PI()*(3-SQRT(5))</x:f>
        <x:v>3292.749551187712</x:v>
      </x:c>
      <x:c r="D1378" s="4" t="n">
        <x:f>IF('계산 과정'!$L$5,B1378*COS(C1378),"")</x:f>
        <x:v>114.90443306918412</x:v>
      </x:c>
      <x:c r="E1378" s="4" t="n">
        <x:f>IF('계산 과정'!$L$5,B1378*SIN(C1378),"")</x:f>
        <x:v>43.30942868027568</x:v>
      </x:c>
      <x:c r="F1378" s="4" t="n">
        <x:f>IF('계산 과정'!$L$7,'계산 과정'!$L$22+'계산 과정'!$C$49*D1378+'계산 과정'!$D$49*E1378,"")</x:f>
        <x:v>568.7502961883841</x:v>
      </x:c>
      <x:c r="G1378" s="4" t="n">
        <x:f>IF('계산 과정'!$L$7,IF(ABS(F1378)&gt;=1E-12*MAX(1,SQRT((D1378-'계산 과정'!$C$33)^2+(E1378-'계산 과정'!$D$33)^2+'계산 과정'!$E$33^2)),('계산 과정'!$L$23-'계산 과정'!$C$49*D1378-'계산 과정'!$D$49*E1378)/F1378,""),"")</x:f>
        <x:v>0.8461528847313586</x:v>
      </x:c>
      <x:c r="H1378" s="4" t="n">
        <x:f>IF(AND(ISNUMBER(G1378),G1378&gt;0),('계산 과정'!$D$56+'계산 과정'!$D$57*D1378+'계산 과정'!$D$58*E1378)/F1378,"")</x:f>
        <x:v>149.999375075383</x:v>
      </x:c>
      <x:c r="I1378" s="4" t="n">
        <x:f>IF(AND(ISNUMBER(G1378),G1378&gt;0),('계산 과정'!$E$56+'계산 과정'!$E$57*D1378+'계산 과정'!$E$58*E1378)/F1378,"")</x:f>
        <x:v>79.95582669415798</x:v>
      </x:c>
      <x:c r="J1378" s="4" t="n">
        <x:f>IF('계산 과정'!$L$5,'계산 과정'!$D$6+'계산 과정'!$C$35*D1378+'계산 과정'!$D$35*E1378,"")</x:f>
        <x:v>568.7502961883841</x:v>
      </x:c>
      <x:c r="K1378" s="4" t="n">
        <x:f>IF(AND('계산 과정'!$L$6,J1378&gt;0),'계산 과정'!$D$10*('계산 과정'!$C$38*(D1378-'계산 과정'!$C$32)+'계산 과정'!$D$38*(E1378-'계산 과정'!$D$32)-'계산 과정'!$E$38*'계산 과정'!$E$32)/J1378,"")</x:f>
        <x:v>1.1428523815267286</x:v>
      </x:c>
      <x:c r="L1378" s="4" t="n">
        <x:f>IF(AND('계산 과정'!$L$6,J1378&gt;0),'계산 과정'!$D$10*('계산 과정'!$C$39*(D1378-'계산 과정'!$C$32)+'계산 과정'!$D$39*(E1378-'계산 과정'!$D$32)-'계산 과정'!$E$39*'계산 과정'!$E$32)/J1378,"")</x:f>
        <x:v>0.6091872510031084</x:v>
      </x:c>
      <x:c r="M1378" s="17" t="n">
        <x:f>IF('계산 과정'!$L$6,IF(J1378&lt;=0,0,IF(AND(ABS(K1378)&lt;='계산 과정'!$D$11/2,ABS(L1378)&lt;='계산 과정'!$D$12/2),1,0)),"")</x:f>
        <x:v>1</x:v>
      </x:c>
      <x:c r="N1378" s="17" t="n">
        <x:f>IF('계산 과정'!$C$78,IF(AND(ISNUMBER(H1378),ISNUMBER(I1378),ABS(H1378-'계산 과정'!$C$88)&lt;='계산 과정'!$D$23/2,ABS(I1378-'계산 과정'!$C$89)&lt;='계산 과정'!$D$24/2),1,0),"")</x:f>
        <x:v>1</x:v>
      </x:c>
      <x:c r="O1378" s="4" t="n">
        <x:f>IF('계산 과정'!$L$7,'계산 과정'!$C$49*('계산 과정'!$C$32-D1378)+'계산 과정'!$D$49*('계산 과정'!$D$32-E1378)+'계산 과정'!$E$49*'계산 과정'!$E$32,"")</x:f>
        <x:v>81.24970381161597</x:v>
      </x:c>
      <x:c r="P1378" s="4" t="n">
        <x:f>IF(AND('계산 과정'!$L$7,O1378&lt;&gt;0),('계산 과정'!$L$23-'계산 과정'!$C$49*D1378-'계산 과정'!$D$49*E1378)/O1378,"")</x:f>
        <x:v>5.9230948697047845</x:v>
      </x:c>
      <x:c r="Q1378" s="4" t="str">
        <x:f>IF(AND(ISNUMBER(P1378),P1378&gt;1E-9,P1378&lt;1-1E-9),'계산 과정'!$C$47*(D1378-'계산 과정'!$C$50+P1378*('계산 과정'!$C$32-D1378))+'계산 과정'!$D$47*(E1378-'계산 과정'!$D$50+P1378*('계산 과정'!$D$32-E1378))+'계산 과정'!$E$47*(0-'계산 과정'!$E$50+P1378*('계산 과정'!$E$32-0)),"")</x:f>
      </x:c>
      <x:c r="R1378" s="4" t="str">
        <x:f>IF(AND(ISNUMBER(P1378),P1378&gt;1E-9,P1378&lt;1-1E-9),'계산 과정'!$C$48*(D1378-'계산 과정'!$C$50+P1378*('계산 과정'!$C$32-D1378))+'계산 과정'!$D$48*(E1378-'계산 과정'!$D$50+P1378*('계산 과정'!$D$32-E1378))+'계산 과정'!$E$48*(0-'계산 과정'!$E$50+P1378*('계산 과정'!$E$32-0)),"")</x:f>
      </x:c>
      <x:c r="S1378" s="17" t="n">
        <x:f>IF('계산 과정'!$C$78,IF(AND(ISNUMBER(Q1378),ISNUMBER(R1378),ABS(Q1378-'계산 과정'!$C$88)&lt;='계산 과정'!$D$23/2,ABS(R1378-'계산 과정'!$C$89)&lt;='계산 과정'!$D$24/2),1,0),"")</x:f>
        <x:v>0</x:v>
      </x:c>
      <x:c r="T1378" s="4"/>
      <x:c r="U1378" s="4"/>
      <x:c r="V1378" s="4"/>
      <x:c r="W1378" s="4"/>
      <x:c r="X1378" s="4"/>
      <x:c r="Y1378" s="4"/>
      <x:c r="Z1378" s="4"/>
    </x:row>
    <x:row r="1379" ht="23" customHeight="1">
      <x:c r="A1379" s="17" t="n">
        <x:f>ROW()-6</x:f>
        <x:v>1373</x:v>
      </x:c>
      <x:c r="B1379" s="4" t="n">
        <x:f>IF('계산 과정'!$L$5,'계산 과정'!$L$11*SQRT((A1379+0.5)/'계산 과정'!$L$30),"")</x:f>
        <x:v>122.84022826292492</x:v>
      </x:c>
      <x:c r="C1379" s="4" t="n">
        <x:f>A1379*PI()*(3-SQRT(5))</x:f>
        <x:v>3295.14951441744</x:v>
      </x:c>
      <x:c r="D1379" s="4" t="n">
        <x:f>IF('계산 과정'!$L$5,B1379*COS(C1379),"")</x:f>
        <x:v>-114.0235675773126</x:v>
      </x:c>
      <x:c r="E1379" s="4" t="n">
        <x:f>IF('계산 과정'!$L$5,B1379*SIN(C1379),"")</x:f>
        <x:v>45.69844326264871</x:v>
      </x:c>
      <x:c r="F1379" s="4" t="n">
        <x:f>IF('계산 과정'!$L$7,'계산 과정'!$L$22+'계산 과정'!$C$49*D1379+'계산 과정'!$D$49*E1379,"")</x:f>
        <x:v>730.6268378490003</x:v>
      </x:c>
      <x:c r="G1379" s="4" t="n">
        <x:f>IF('계산 과정'!$L$7,IF(ABS(F1379)&gt;=1E-12*MAX(1,SQRT((D1379-'계산 과정'!$C$33)^2+(E1379-'계산 과정'!$D$33)^2+'계산 과정'!$E$33^2)),('계산 과정'!$L$23-'계산 과정'!$C$49*D1379-'계산 과정'!$D$49*E1379)/F1379,""),"")</x:f>
        <x:v>0.43712213349738055</x:v>
      </x:c>
      <x:c r="H1379" s="4" t="n">
        <x:f>IF(AND(ISNUMBER(G1379),G1379&gt;0),('계산 과정'!$D$56+'계산 과정'!$D$57*D1379+'계산 과정'!$D$58*E1379)/F1379,"")</x:f>
        <x:v>-115.8706132267028</x:v>
      </x:c>
      <x:c r="I1379" s="4" t="n">
        <x:f>IF(AND(ISNUMBER(G1379),G1379&gt;0),('계산 과정'!$E$56+'계산 과정'!$E$57*D1379+'계산 과정'!$E$58*E1379)/F1379,"")</x:f>
        <x:v>65.67424427912671</x:v>
      </x:c>
      <x:c r="J1379" s="4" t="n">
        <x:f>IF('계산 과정'!$L$5,'계산 과정'!$D$6+'계산 과정'!$C$35*D1379+'계산 과정'!$D$35*E1379,"")</x:f>
        <x:v>730.6268378490003</x:v>
      </x:c>
      <x:c r="K1379" s="4" t="n">
        <x:f>IF(AND('계산 과정'!$L$6,J1379&gt;0),'계산 과정'!$D$10*('계산 과정'!$C$38*(D1379-'계산 과정'!$C$32)+'계산 과정'!$D$38*(E1379-'계산 과정'!$D$32)-'계산 과정'!$E$38*'계산 과정'!$E$32)/J1379,"")</x:f>
        <x:v>-0.8828237198224966</x:v>
      </x:c>
      <x:c r="L1379" s="4" t="n">
        <x:f>IF(AND('계산 과정'!$L$6,J1379&gt;0),'계산 과정'!$D$10*('계산 과정'!$C$39*(D1379-'계산 과정'!$C$32)+'계산 과정'!$D$39*(E1379-'계산 과정'!$D$32)-'계산 과정'!$E$39*'계산 과정'!$E$32)/J1379,"")</x:f>
        <x:v>0.5003751945076321</x:v>
      </x:c>
      <x:c r="M1379" s="17" t="n">
        <x:f>IF('계산 과정'!$L$6,IF(J1379&lt;=0,0,IF(AND(ABS(K1379)&lt;='계산 과정'!$D$11/2,ABS(L1379)&lt;='계산 과정'!$D$12/2),1,0)),"")</x:f>
        <x:v>1</x:v>
      </x:c>
      <x:c r="N1379" s="17" t="n">
        <x:f>IF('계산 과정'!$C$78,IF(AND(ISNUMBER(H1379),ISNUMBER(I1379),ABS(H1379-'계산 과정'!$C$88)&lt;='계산 과정'!$D$23/2,ABS(I1379-'계산 과정'!$C$89)&lt;='계산 과정'!$D$24/2),1,0),"")</x:f>
        <x:v>1</x:v>
      </x:c>
      <x:c r="O1379" s="4" t="n">
        <x:f>IF('계산 과정'!$L$7,'계산 과정'!$C$49*('계산 과정'!$C$32-D1379)+'계산 과정'!$D$49*('계산 과정'!$D$32-E1379)+'계산 과정'!$E$49*'계산 과정'!$E$32,"")</x:f>
        <x:v>-80.6268378490002</x:v>
      </x:c>
      <x:c r="P1379" s="4" t="n">
        <x:f>IF(AND('계산 과정'!$L$7,O1379&lt;&gt;0),('계산 과정'!$L$23-'계산 과정'!$C$49*D1379-'계산 과정'!$D$49*E1379)/O1379,"")</x:f>
        <x:v>-3.9611272210517434</x:v>
      </x:c>
      <x:c r="Q1379" s="4" t="str">
        <x:f>IF(AND(ISNUMBER(P1379),P1379&gt;1E-9,P1379&lt;1-1E-9),'계산 과정'!$C$47*(D1379-'계산 과정'!$C$50+P1379*('계산 과정'!$C$32-D1379))+'계산 과정'!$D$47*(E1379-'계산 과정'!$D$50+P1379*('계산 과정'!$D$32-E1379))+'계산 과정'!$E$47*(0-'계산 과정'!$E$50+P1379*('계산 과정'!$E$32-0)),"")</x:f>
      </x:c>
      <x:c r="R1379" s="4" t="str">
        <x:f>IF(AND(ISNUMBER(P1379),P1379&gt;1E-9,P1379&lt;1-1E-9),'계산 과정'!$C$48*(D1379-'계산 과정'!$C$50+P1379*('계산 과정'!$C$32-D1379))+'계산 과정'!$D$48*(E1379-'계산 과정'!$D$50+P1379*('계산 과정'!$D$32-E1379))+'계산 과정'!$E$48*(0-'계산 과정'!$E$50+P1379*('계산 과정'!$E$32-0)),"")</x:f>
      </x:c>
      <x:c r="S1379" s="17" t="n">
        <x:f>IF('계산 과정'!$C$78,IF(AND(ISNUMBER(Q1379),ISNUMBER(R1379),ABS(Q1379-'계산 과정'!$C$88)&lt;='계산 과정'!$D$23/2,ABS(R1379-'계산 과정'!$C$89)&lt;='계산 과정'!$D$24/2),1,0),"")</x:f>
        <x:v>0</x:v>
      </x:c>
      <x:c r="T1379" s="4"/>
      <x:c r="U1379" s="4"/>
      <x:c r="V1379" s="4"/>
      <x:c r="W1379" s="4"/>
      <x:c r="X1379" s="4"/>
      <x:c r="Y1379" s="4"/>
      <x:c r="Z1379" s="4"/>
    </x:row>
    <x:row r="1380" ht="23" customHeight="1">
      <x:c r="A1380" s="17" t="n">
        <x:f>ROW()-6</x:f>
        <x:v>1374</x:v>
      </x:c>
      <x:c r="B1380" s="4" t="n">
        <x:f>IF('계산 과정'!$L$5,'계산 과정'!$L$11*SQRT((A1380+0.5)/'계산 과정'!$L$30),"")</x:f>
        <x:v>122.88493808360934</x:v>
      </x:c>
      <x:c r="C1380" s="4" t="n">
        <x:f>A1380*PI()*(3-SQRT(5))</x:f>
        <x:v>3297.549477647169</x:v>
      </x:c>
      <x:c r="D1380" s="4" t="n">
        <x:f>IF('계산 과정'!$L$5,B1380*COS(C1380),"")</x:f>
        <x:v>53.22794139130339</x:v>
      </x:c>
      <x:c r="E1380" s="4" t="n">
        <x:f>IF('계산 과정'!$L$5,B1380*SIN(C1380),"")</x:f>
        <x:v>-110.75872093454525</x:v>
      </x:c>
      <x:c r="F1380" s="4" t="n">
        <x:f>IF('계산 과정'!$L$7,'계산 과정'!$L$22+'계산 과정'!$C$49*D1380+'계산 과정'!$D$49*E1380,"")</x:f>
        <x:v>612.3621616936092</x:v>
      </x:c>
      <x:c r="G1380" s="4" t="n">
        <x:f>IF('계산 과정'!$L$7,IF(ABS(F1380)&gt;=1E-12*MAX(1,SQRT((D1380-'계산 과정'!$C$33)^2+(E1380-'계산 과정'!$D$33)^2+'계산 과정'!$E$33^2)),('계산 과정'!$L$23-'계산 과정'!$C$49*D1380-'계산 과정'!$D$49*E1380)/F1380,""),"")</x:f>
        <x:v>0.7146715876369898</x:v>
      </x:c>
      <x:c r="H1380" s="4" t="n">
        <x:f>IF(AND(ISNUMBER(G1380),G1380&gt;0),('계산 과정'!$D$56+'계산 과정'!$D$57*D1380+'계산 과정'!$D$58*E1380)/F1380,"")</x:f>
        <x:v>64.53653196404323</x:v>
      </x:c>
      <x:c r="I1380" s="4" t="n">
        <x:f>IF(AND(ISNUMBER(G1380),G1380&gt;0),('계산 과정'!$E$56+'계산 과정'!$E$57*D1380+'계산 과정'!$E$58*E1380)/F1380,"")</x:f>
        <x:v>-189.91483186947903</x:v>
      </x:c>
      <x:c r="J1380" s="4" t="n">
        <x:f>IF('계산 과정'!$L$5,'계산 과정'!$D$6+'계산 과정'!$C$35*D1380+'계산 과정'!$D$35*E1380,"")</x:f>
        <x:v>612.3621616936092</x:v>
      </x:c>
      <x:c r="K1380" s="4" t="n">
        <x:f>IF(AND('계산 과정'!$L$6,J1380&gt;0),'계산 과정'!$D$10*('계산 과정'!$C$38*(D1380-'계산 과정'!$C$32)+'계산 과정'!$D$38*(E1380-'계산 과정'!$D$32)-'계산 과정'!$E$38*'계산 과정'!$E$32)/J1380,"")</x:f>
        <x:v>0.4917069102022348</x:v>
      </x:c>
      <x:c r="L1380" s="4" t="n">
        <x:f>IF(AND('계산 과정'!$L$6,J1380&gt;0),'계산 과정'!$D$10*('계산 과정'!$C$39*(D1380-'계산 과정'!$C$32)+'계산 과정'!$D$39*(E1380-'계산 과정'!$D$32)-'계산 과정'!$E$39*'계산 과정'!$E$32)/J1380,"")</x:f>
        <x:v>-1.446970147576983</x:v>
      </x:c>
      <x:c r="M1380" s="17" t="n">
        <x:f>IF('계산 과정'!$L$6,IF(J1380&lt;=0,0,IF(AND(ABS(K1380)&lt;='계산 과정'!$D$11/2,ABS(L1380)&lt;='계산 과정'!$D$12/2),1,0)),"")</x:f>
        <x:v>1</x:v>
      </x:c>
      <x:c r="N1380" s="17" t="n">
        <x:f>IF('계산 과정'!$C$78,IF(AND(ISNUMBER(H1380),ISNUMBER(I1380),ABS(H1380-'계산 과정'!$C$88)&lt;='계산 과정'!$D$23/2,ABS(I1380-'계산 과정'!$C$89)&lt;='계산 과정'!$D$24/2),1,0),"")</x:f>
        <x:v>1</x:v>
      </x:c>
      <x:c r="O1380" s="4" t="n">
        <x:f>IF('계산 과정'!$L$7,'계산 과정'!$C$49*('계산 과정'!$C$32-D1380)+'계산 과정'!$D$49*('계산 과정'!$D$32-E1380)+'계산 과정'!$E$49*'계산 과정'!$E$32,"")</x:f>
        <x:v>37.63783830639085</x:v>
      </x:c>
      <x:c r="P1380" s="4" t="n">
        <x:f>IF(AND('계산 과정'!$L$7,O1380&lt;&gt;0),('계산 과정'!$L$23-'계산 과정'!$C$49*D1380-'계산 과정'!$D$49*E1380)/O1380,"")</x:f>
        <x:v>11.627602912361747</x:v>
      </x:c>
      <x:c r="Q1380" s="4" t="str">
        <x:f>IF(AND(ISNUMBER(P1380),P1380&gt;1E-9,P1380&lt;1-1E-9),'계산 과정'!$C$47*(D1380-'계산 과정'!$C$50+P1380*('계산 과정'!$C$32-D1380))+'계산 과정'!$D$47*(E1380-'계산 과정'!$D$50+P1380*('계산 과정'!$D$32-E1380))+'계산 과정'!$E$47*(0-'계산 과정'!$E$50+P1380*('계산 과정'!$E$32-0)),"")</x:f>
      </x:c>
      <x:c r="R1380" s="4" t="str">
        <x:f>IF(AND(ISNUMBER(P1380),P1380&gt;1E-9,P1380&lt;1-1E-9),'계산 과정'!$C$48*(D1380-'계산 과정'!$C$50+P1380*('계산 과정'!$C$32-D1380))+'계산 과정'!$D$48*(E1380-'계산 과정'!$D$50+P1380*('계산 과정'!$D$32-E1380))+'계산 과정'!$E$48*(0-'계산 과정'!$E$50+P1380*('계산 과정'!$E$32-0)),"")</x:f>
      </x:c>
      <x:c r="S1380" s="17" t="n">
        <x:f>IF('계산 과정'!$C$78,IF(AND(ISNUMBER(Q1380),ISNUMBER(R1380),ABS(Q1380-'계산 과정'!$C$88)&lt;='계산 과정'!$D$23/2,ABS(R1380-'계산 과정'!$C$89)&lt;='계산 과정'!$D$24/2),1,0),"")</x:f>
        <x:v>0</x:v>
      </x:c>
      <x:c r="T1380" s="4"/>
      <x:c r="U1380" s="4"/>
      <x:c r="V1380" s="4"/>
      <x:c r="W1380" s="4"/>
      <x:c r="X1380" s="4"/>
      <x:c r="Y1380" s="4"/>
      <x:c r="Z1380" s="4"/>
    </x:row>
    <x:row r="1381" ht="23" customHeight="1">
      <x:c r="A1381" s="17" t="n">
        <x:f>ROW()-6</x:f>
        <x:v>1375</x:v>
      </x:c>
      <x:c r="B1381" s="4" t="n">
        <x:f>IF('계산 과정'!$L$5,'계산 과정'!$L$11*SQRT((A1381+0.5)/'계산 과정'!$L$30),"")</x:f>
        <x:v>122.92963164321895</x:v>
      </x:c>
      <x:c r="C1381" s="4" t="n">
        <x:f>A1381*PI()*(3-SQRT(5))</x:f>
        <x:v>3299.9494408768974</x:v>
      </x:c>
      <x:c r="D1381" s="4" t="n">
        <x:f>IF('계산 과정'!$L$5,B1381*COS(C1381),"")</x:f>
        <x:v>35.5807496728707</x:v>
      </x:c>
      <x:c r="E1381" s="4" t="n">
        <x:f>IF('계산 과정'!$L$5,B1381*SIN(C1381),"")</x:f>
        <x:v>117.66777209012675</x:v>
      </x:c>
      <x:c r="F1381" s="4" t="n">
        <x:f>IF('계산 과정'!$L$7,'계산 과정'!$L$22+'계산 과정'!$C$49*D1381+'계산 과정'!$D$49*E1381,"")</x:f>
        <x:v>624.8406106266121</x:v>
      </x:c>
      <x:c r="G1381" s="4" t="n">
        <x:f>IF('계산 과정'!$L$7,IF(ABS(F1381)&gt;=1E-12*MAX(1,SQRT((D1381-'계산 과정'!$C$33)^2+(E1381-'계산 과정'!$D$33)^2+'계산 과정'!$E$33^2)),('계산 과정'!$L$23-'계산 과정'!$C$49*D1381-'계산 과정'!$D$49*E1381)/F1381,""),"")</x:f>
        <x:v>0.6804285479252431</x:v>
      </x:c>
      <x:c r="H1381" s="4" t="n">
        <x:f>IF(AND(ISNUMBER(G1381),G1381&gt;0),('계산 과정'!$D$56+'계산 과정'!$D$57*D1381+'계산 과정'!$D$58*E1381)/F1381,"")</x:f>
        <x:v>42.27855615140792</x:v>
      </x:c>
      <x:c r="I1381" s="4" t="n">
        <x:f>IF(AND(ISNUMBER(G1381),G1381&gt;0),('계산 과정'!$E$56+'계산 과정'!$E$57*D1381+'계산 과정'!$E$58*E1381)/F1381,"")</x:f>
        <x:v>197.73228339101013</x:v>
      </x:c>
      <x:c r="J1381" s="4" t="n">
        <x:f>IF('계산 과정'!$L$5,'계산 과정'!$D$6+'계산 과정'!$C$35*D1381+'계산 과정'!$D$35*E1381,"")</x:f>
        <x:v>624.8406106266121</x:v>
      </x:c>
      <x:c r="K1381" s="4" t="n">
        <x:f>IF(AND('계산 과정'!$L$6,J1381&gt;0),'계산 과정'!$D$10*('계산 과정'!$C$38*(D1381-'계산 과정'!$C$32)+'계산 과정'!$D$38*(E1381-'계산 과정'!$D$32)-'계산 과정'!$E$38*'계산 과정'!$E$32)/J1381,"")</x:f>
        <x:v>0.32212233258215645</x:v>
      </x:c>
      <x:c r="L1381" s="4" t="n">
        <x:f>IF(AND('계산 과정'!$L$6,J1381&gt;0),'계산 과정'!$D$10*('계산 과정'!$C$39*(D1381-'계산 과정'!$C$32)+'계산 과정'!$D$39*(E1381-'계산 과정'!$D$32)-'계산 과정'!$E$39*'계산 과정'!$E$32)/J1381,"")</x:f>
        <x:v>1.5065316829791247</x:v>
      </x:c>
      <x:c r="M1381" s="17" t="n">
        <x:f>IF('계산 과정'!$L$6,IF(J1381&lt;=0,0,IF(AND(ABS(K1381)&lt;='계산 과정'!$D$11/2,ABS(L1381)&lt;='계산 과정'!$D$12/2),1,0)),"")</x:f>
        <x:v>1</x:v>
      </x:c>
      <x:c r="N1381" s="17" t="n">
        <x:f>IF('계산 과정'!$C$78,IF(AND(ISNUMBER(H1381),ISNUMBER(I1381),ABS(H1381-'계산 과정'!$C$88)&lt;='계산 과정'!$D$23/2,ABS(I1381-'계산 과정'!$C$89)&lt;='계산 과정'!$D$24/2),1,0),"")</x:f>
        <x:v>1</x:v>
      </x:c>
      <x:c r="O1381" s="4" t="n">
        <x:f>IF('계산 과정'!$L$7,'계산 과정'!$C$49*('계산 과정'!$C$32-D1381)+'계산 과정'!$D$49*('계산 과정'!$D$32-E1381)+'계산 과정'!$E$49*'계산 과정'!$E$32,"")</x:f>
        <x:v>25.159389373388024</x:v>
      </x:c>
      <x:c r="P1381" s="4" t="n">
        <x:f>IF(AND('계산 과정'!$L$7,O1381&lt;&gt;0),('계산 과정'!$L$23-'계산 과정'!$C$49*D1381-'계산 과정'!$D$49*E1381)/O1381,"")</x:f>
        <x:v>16.89863704812701</x:v>
      </x:c>
      <x:c r="Q1381" s="4" t="str">
        <x:f>IF(AND(ISNUMBER(P1381),P1381&gt;1E-9,P1381&lt;1-1E-9),'계산 과정'!$C$47*(D1381-'계산 과정'!$C$50+P1381*('계산 과정'!$C$32-D1381))+'계산 과정'!$D$47*(E1381-'계산 과정'!$D$50+P1381*('계산 과정'!$D$32-E1381))+'계산 과정'!$E$47*(0-'계산 과정'!$E$50+P1381*('계산 과정'!$E$32-0)),"")</x:f>
      </x:c>
      <x:c r="R1381" s="4" t="str">
        <x:f>IF(AND(ISNUMBER(P1381),P1381&gt;1E-9,P1381&lt;1-1E-9),'계산 과정'!$C$48*(D1381-'계산 과정'!$C$50+P1381*('계산 과정'!$C$32-D1381))+'계산 과정'!$D$48*(E1381-'계산 과정'!$D$50+P1381*('계산 과정'!$D$32-E1381))+'계산 과정'!$E$48*(0-'계산 과정'!$E$50+P1381*('계산 과정'!$E$32-0)),"")</x:f>
      </x:c>
      <x:c r="S1381" s="17" t="n">
        <x:f>IF('계산 과정'!$C$78,IF(AND(ISNUMBER(Q1381),ISNUMBER(R1381),ABS(Q1381-'계산 과정'!$C$88)&lt;='계산 과정'!$D$23/2,ABS(R1381-'계산 과정'!$C$89)&lt;='계산 과정'!$D$24/2),1,0),"")</x:f>
        <x:v>0</x:v>
      </x:c>
      <x:c r="T1381" s="4"/>
      <x:c r="U1381" s="4"/>
      <x:c r="V1381" s="4"/>
      <x:c r="W1381" s="4"/>
      <x:c r="X1381" s="4"/>
      <x:c r="Y1381" s="4"/>
      <x:c r="Z1381" s="4"/>
    </x:row>
    <x:row r="1382" ht="23" customHeight="1">
      <x:c r="A1382" s="17" t="n">
        <x:f>ROW()-6</x:f>
        <x:v>1376</x:v>
      </x:c>
      <x:c r="B1382" s="4" t="n">
        <x:f>IF('계산 과정'!$L$5,'계산 과정'!$L$11*SQRT((A1382+0.5)/'계산 과정'!$L$30),"")</x:f>
        <x:v>122.97430895948348</x:v>
      </x:c>
      <x:c r="C1382" s="4" t="n">
        <x:f>A1382*PI()*(3-SQRT(5))</x:f>
        <x:v>3302.3494041066265</x:v>
      </x:c>
      <x:c r="D1382" s="4" t="n">
        <x:f>IF('계산 과정'!$L$5,B1382*COS(C1382),"")</x:f>
        <x:v>-105.75799798721332</x:v>
      </x:c>
      <x:c r="E1382" s="4" t="n">
        <x:f>IF('계산 과정'!$L$5,B1382*SIN(C1382),"")</x:f>
        <x:v>-62.75290053694</x:v>
      </x:c>
      <x:c r="F1382" s="4" t="n">
        <x:f>IF('계산 과정'!$L$7,'계산 과정'!$L$22+'계산 과정'!$C$49*D1382+'계산 과정'!$D$49*E1382,"")</x:f>
        <x:v>724.7821975414718</x:v>
      </x:c>
      <x:c r="G1382" s="4" t="n">
        <x:f>IF('계산 과정'!$L$7,IF(ABS(F1382)&gt;=1E-12*MAX(1,SQRT((D1382-'계산 과정'!$C$33)^2+(E1382-'계산 과정'!$D$33)^2+'계산 과정'!$E$33^2)),('계산 과정'!$L$23-'계산 과정'!$C$49*D1382-'계산 과정'!$D$49*E1382)/F1382,""),"")</x:f>
        <x:v>0.44871107977223657</x:v>
      </x:c>
      <x:c r="H1382" s="4" t="n">
        <x:f>IF(AND(ISNUMBER(G1382),G1382&gt;0),('계산 과정'!$D$56+'계산 과정'!$D$57*D1382+'계산 과정'!$D$58*E1382)/F1382,"")</x:f>
        <x:v>-108.3377981480464</x:v>
      </x:c>
      <x:c r="I1382" s="4" t="n">
        <x:f>IF(AND(ISNUMBER(G1382),G1382&gt;0),('계산 과정'!$E$56+'계산 과정'!$E$57*D1382+'계산 과정'!$E$58*E1382)/F1382,"")</x:f>
        <x:v>-90.91082229571012</x:v>
      </x:c>
      <x:c r="J1382" s="4" t="n">
        <x:f>IF('계산 과정'!$L$5,'계산 과정'!$D$6+'계산 과정'!$C$35*D1382+'계산 과정'!$D$35*E1382,"")</x:f>
        <x:v>724.7821975414718</x:v>
      </x:c>
      <x:c r="K1382" s="4" t="n">
        <x:f>IF(AND('계산 과정'!$L$6,J1382&gt;0),'계산 과정'!$D$10*('계산 과정'!$C$38*(D1382-'계산 과정'!$C$32)+'계산 과정'!$D$38*(E1382-'계산 과정'!$D$32)-'계산 과정'!$E$38*'계산 과정'!$E$32)/J1382,"")</x:f>
        <x:v>-0.825430843032734</x:v>
      </x:c>
      <x:c r="L1382" s="4" t="n">
        <x:f>IF(AND('계산 과정'!$L$6,J1382&gt;0),'계산 과정'!$D$10*('계산 과정'!$C$39*(D1382-'계산 과정'!$C$32)+'계산 과정'!$D$39*(E1382-'계산 과정'!$D$32)-'계산 과정'!$E$39*'계산 과정'!$E$32)/J1382,"")</x:f>
        <x:v>-0.6926538841577913</x:v>
      </x:c>
      <x:c r="M1382" s="17" t="n">
        <x:f>IF('계산 과정'!$L$6,IF(J1382&lt;=0,0,IF(AND(ABS(K1382)&lt;='계산 과정'!$D$11/2,ABS(L1382)&lt;='계산 과정'!$D$12/2),1,0)),"")</x:f>
        <x:v>1</x:v>
      </x:c>
      <x:c r="N1382" s="17" t="n">
        <x:f>IF('계산 과정'!$C$78,IF(AND(ISNUMBER(H1382),ISNUMBER(I1382),ABS(H1382-'계산 과정'!$C$88)&lt;='계산 과정'!$D$23/2,ABS(I1382-'계산 과정'!$C$89)&lt;='계산 과정'!$D$24/2),1,0),"")</x:f>
        <x:v>1</x:v>
      </x:c>
      <x:c r="O1382" s="4" t="n">
        <x:f>IF('계산 과정'!$L$7,'계산 과정'!$C$49*('계산 과정'!$C$32-D1382)+'계산 과정'!$D$49*('계산 과정'!$D$32-E1382)+'계산 과정'!$E$49*'계산 과정'!$E$32,"")</x:f>
        <x:v>-74.7821975414717</x:v>
      </x:c>
      <x:c r="P1382" s="4" t="n">
        <x:f>IF(AND('계산 과정'!$L$7,O1382&lt;&gt;0),('계산 과정'!$L$23-'계산 과정'!$C$49*D1382-'계산 과정'!$D$49*E1382)/O1382,"")</x:f>
        <x:v>-4.348866617327919</x:v>
      </x:c>
      <x:c r="Q1382" s="4" t="str">
        <x:f>IF(AND(ISNUMBER(P1382),P1382&gt;1E-9,P1382&lt;1-1E-9),'계산 과정'!$C$47*(D1382-'계산 과정'!$C$50+P1382*('계산 과정'!$C$32-D1382))+'계산 과정'!$D$47*(E1382-'계산 과정'!$D$50+P1382*('계산 과정'!$D$32-E1382))+'계산 과정'!$E$47*(0-'계산 과정'!$E$50+P1382*('계산 과정'!$E$32-0)),"")</x:f>
      </x:c>
      <x:c r="R1382" s="4" t="str">
        <x:f>IF(AND(ISNUMBER(P1382),P1382&gt;1E-9,P1382&lt;1-1E-9),'계산 과정'!$C$48*(D1382-'계산 과정'!$C$50+P1382*('계산 과정'!$C$32-D1382))+'계산 과정'!$D$48*(E1382-'계산 과정'!$D$50+P1382*('계산 과정'!$D$32-E1382))+'계산 과정'!$E$48*(0-'계산 과정'!$E$50+P1382*('계산 과정'!$E$32-0)),"")</x:f>
      </x:c>
      <x:c r="S1382" s="17" t="n">
        <x:f>IF('계산 과정'!$C$78,IF(AND(ISNUMBER(Q1382),ISNUMBER(R1382),ABS(Q1382-'계산 과정'!$C$88)&lt;='계산 과정'!$D$23/2,ABS(R1382-'계산 과정'!$C$89)&lt;='계산 과정'!$D$24/2),1,0),"")</x:f>
        <x:v>0</x:v>
      </x:c>
      <x:c r="T1382" s="4"/>
      <x:c r="U1382" s="4"/>
      <x:c r="V1382" s="4"/>
      <x:c r="W1382" s="4"/>
      <x:c r="X1382" s="4"/>
      <x:c r="Y1382" s="4"/>
      <x:c r="Z1382" s="4"/>
    </x:row>
    <x:row r="1383" ht="23" customHeight="1">
      <x:c r="A1383" s="17" t="n">
        <x:f>ROW()-6</x:f>
        <x:v>1377</x:v>
      </x:c>
      <x:c r="B1383" s="4" t="n">
        <x:f>IF('계산 과정'!$L$5,'계산 과정'!$L$11*SQRT((A1383+0.5)/'계산 과정'!$L$30),"")</x:f>
        <x:v>123.0189700501004</x:v>
      </x:c>
      <x:c r="C1383" s="4" t="n">
        <x:f>A1383*PI()*(3-SQRT(5))</x:f>
        <x:v>3304.749367336355</x:v>
      </x:c>
      <x:c r="D1383" s="4" t="n">
        <x:f>IF('계산 과정'!$L$5,B1383*COS(C1383),"")</x:f>
        <x:v>120.41534743856153</x:v>
      </x:c>
      <x:c r="E1383" s="4" t="n">
        <x:f>IF('계산 과정'!$L$5,B1383*SIN(C1383),"")</x:f>
        <x:v>-25.175605125557848</x:v>
      </x:c>
      <x:c r="F1383" s="4" t="n">
        <x:f>IF('계산 과정'!$L$7,'계산 과정'!$L$22+'계산 과정'!$C$49*D1383+'계산 과정'!$D$49*E1383,"")</x:f>
        <x:v>564.853491267259</x:v>
      </x:c>
      <x:c r="G1383" s="4" t="n">
        <x:f>IF('계산 과정'!$L$7,IF(ABS(F1383)&gt;=1E-12*MAX(1,SQRT((D1383-'계산 과정'!$C$33)^2+(E1383-'계산 과정'!$D$33)^2+'계산 과정'!$E$33^2)),('계산 과정'!$L$23-'계산 과정'!$C$49*D1383-'계산 과정'!$D$49*E1383)/F1383,""),"")</x:f>
        <x:v>0.8588891035165706</x:v>
      </x:c>
      <x:c r="H1383" s="4" t="n">
        <x:f>IF(AND(ISNUMBER(G1383),G1383&gt;0),('계산 과정'!$D$56+'계산 과정'!$D$57*D1383+'계산 과정'!$D$58*E1383)/F1383,"")</x:f>
        <x:v>158.2779172857707</x:v>
      </x:c>
      <x:c r="I1383" s="4" t="n">
        <x:f>IF(AND(ISNUMBER(G1383),G1383&gt;0),('계산 과정'!$E$56+'계산 과정'!$E$57*D1383+'계산 과정'!$E$58*E1383)/F1383,"")</x:f>
        <x:v>-46.798658042335404</x:v>
      </x:c>
      <x:c r="J1383" s="4" t="n">
        <x:f>IF('계산 과정'!$L$5,'계산 과정'!$D$6+'계산 과정'!$C$35*D1383+'계산 과정'!$D$35*E1383,"")</x:f>
        <x:v>564.853491267259</x:v>
      </x:c>
      <x:c r="K1383" s="4" t="n">
        <x:f>IF(AND('계산 과정'!$L$6,J1383&gt;0),'계산 과정'!$D$10*('계산 과정'!$C$38*(D1383-'계산 과정'!$C$32)+'계산 과정'!$D$38*(E1383-'계산 과정'!$D$32)-'계산 과정'!$E$38*'계산 과정'!$E$32)/J1383,"")</x:f>
        <x:v>1.2059269888439683</x:v>
      </x:c>
      <x:c r="L1383" s="4" t="n">
        <x:f>IF(AND('계산 과정'!$L$6,J1383&gt;0),'계산 과정'!$D$10*('계산 과정'!$C$39*(D1383-'계산 과정'!$C$32)+'계산 과정'!$D$39*(E1383-'계산 과정'!$D$32)-'계산 과정'!$E$39*'계산 과정'!$E$32)/J1383,"")</x:f>
        <x:v>-0.35656120413207926</x:v>
      </x:c>
      <x:c r="M1383" s="17" t="n">
        <x:f>IF('계산 과정'!$L$6,IF(J1383&lt;=0,0,IF(AND(ABS(K1383)&lt;='계산 과정'!$D$11/2,ABS(L1383)&lt;='계산 과정'!$D$12/2),1,0)),"")</x:f>
        <x:v>1</x:v>
      </x:c>
      <x:c r="N1383" s="17" t="n">
        <x:f>IF('계산 과정'!$C$78,IF(AND(ISNUMBER(H1383),ISNUMBER(I1383),ABS(H1383-'계산 과정'!$C$88)&lt;='계산 과정'!$D$23/2,ABS(I1383-'계산 과정'!$C$89)&lt;='계산 과정'!$D$24/2),1,0),"")</x:f>
        <x:v>1</x:v>
      </x:c>
      <x:c r="O1383" s="4" t="n">
        <x:f>IF('계산 과정'!$L$7,'계산 과정'!$C$49*('계산 과정'!$C$32-D1383)+'계산 과정'!$D$49*('계산 과정'!$D$32-E1383)+'계산 과정'!$E$49*'계산 과정'!$E$32,"")</x:f>
        <x:v>85.14650873274113</x:v>
      </x:c>
      <x:c r="P1383" s="4" t="n">
        <x:f>IF(AND('계산 과정'!$L$7,O1383&lt;&gt;0),('계산 과정'!$L$23-'계산 과정'!$C$49*D1383-'계산 과정'!$D$49*E1383)/O1383,"")</x:f>
        <x:v>5.697785099510359</x:v>
      </x:c>
      <x:c r="Q1383" s="4" t="str">
        <x:f>IF(AND(ISNUMBER(P1383),P1383&gt;1E-9,P1383&lt;1-1E-9),'계산 과정'!$C$47*(D1383-'계산 과정'!$C$50+P1383*('계산 과정'!$C$32-D1383))+'계산 과정'!$D$47*(E1383-'계산 과정'!$D$50+P1383*('계산 과정'!$D$32-E1383))+'계산 과정'!$E$47*(0-'계산 과정'!$E$50+P1383*('계산 과정'!$E$32-0)),"")</x:f>
      </x:c>
      <x:c r="R1383" s="4" t="str">
        <x:f>IF(AND(ISNUMBER(P1383),P1383&gt;1E-9,P1383&lt;1-1E-9),'계산 과정'!$C$48*(D1383-'계산 과정'!$C$50+P1383*('계산 과정'!$C$32-D1383))+'계산 과정'!$D$48*(E1383-'계산 과정'!$D$50+P1383*('계산 과정'!$D$32-E1383))+'계산 과정'!$E$48*(0-'계산 과정'!$E$50+P1383*('계산 과정'!$E$32-0)),"")</x:f>
      </x:c>
      <x:c r="S1383" s="17" t="n">
        <x:f>IF('계산 과정'!$C$78,IF(AND(ISNUMBER(Q1383),ISNUMBER(R1383),ABS(Q1383-'계산 과정'!$C$88)&lt;='계산 과정'!$D$23/2,ABS(R1383-'계산 과정'!$C$89)&lt;='계산 과정'!$D$24/2),1,0),"")</x:f>
        <x:v>0</x:v>
      </x:c>
      <x:c r="T1383" s="4"/>
      <x:c r="U1383" s="4"/>
      <x:c r="V1383" s="4"/>
      <x:c r="W1383" s="4"/>
      <x:c r="X1383" s="4"/>
      <x:c r="Y1383" s="4"/>
      <x:c r="Z1383" s="4"/>
    </x:row>
    <x:row r="1384" ht="23" customHeight="1">
      <x:c r="A1384" s="17" t="n">
        <x:f>ROW()-6</x:f>
        <x:v>1378</x:v>
      </x:c>
      <x:c r="B1384" s="4" t="n">
        <x:f>IF('계산 과정'!$L$5,'계산 과정'!$L$11*SQRT((A1384+0.5)/'계산 과정'!$L$30),"")</x:f>
        <x:v>123.06361493273509</x:v>
      </x:c>
      <x:c r="C1384" s="4" t="n">
        <x:f>A1384*PI()*(3-SQRT(5))</x:f>
        <x:v>3307.1493305660833</x:v>
      </x:c>
      <x:c r="D1384" s="4" t="n">
        <x:f>IF('계산 과정'!$L$5,B1384*COS(C1384),"")</x:f>
        <x:v>-71.81070413778956</x:v>
      </x:c>
      <x:c r="E1384" s="4" t="n">
        <x:f>IF('계산 과정'!$L$5,B1384*SIN(C1384),"")</x:f>
        <x:v>99.93936207294577</x:v>
      </x:c>
      <x:c r="F1384" s="4" t="n">
        <x:f>IF('계산 과정'!$L$7,'계산 과정'!$L$22+'계산 과정'!$C$49*D1384+'계산 과정'!$D$49*E1384,"")</x:f>
        <x:v>700.7778358576119</x:v>
      </x:c>
      <x:c r="G1384" s="4" t="n">
        <x:f>IF('계산 과정'!$L$7,IF(ABS(F1384)&gt;=1E-12*MAX(1,SQRT((D1384-'계산 과정'!$C$33)^2+(E1384-'계산 과정'!$D$33)^2+'계산 과정'!$E$33^2)),('계산 과정'!$L$23-'계산 과정'!$C$49*D1384-'계산 과정'!$D$49*E1384)/F1384,""),"")</x:f>
        <x:v>0.498335058949189</x:v>
      </x:c>
      <x:c r="H1384" s="4" t="n">
        <x:f>IF(AND(ISNUMBER(G1384),G1384&gt;0),('계산 과정'!$D$56+'계산 과정'!$D$57*D1384+'계산 과정'!$D$58*E1384)/F1384,"")</x:f>
        <x:v>-76.08221168302724</x:v>
      </x:c>
      <x:c r="I1384" s="4" t="n">
        <x:f>IF(AND(ISNUMBER(G1384),G1384&gt;0),('계산 과정'!$E$56+'계산 과정'!$E$57*D1384+'계산 과정'!$E$58*E1384)/F1384,"")</x:f>
        <x:v>149.74264996291154</x:v>
      </x:c>
      <x:c r="J1384" s="4" t="n">
        <x:f>IF('계산 과정'!$L$5,'계산 과정'!$D$6+'계산 과정'!$C$35*D1384+'계산 과정'!$D$35*E1384,"")</x:f>
        <x:v>700.7778358576119</x:v>
      </x:c>
      <x:c r="K1384" s="4" t="n">
        <x:f>IF(AND('계산 과정'!$L$6,J1384&gt;0),'계산 과정'!$D$10*('계산 과정'!$C$38*(D1384-'계산 과정'!$C$32)+'계산 과정'!$D$38*(E1384-'계산 과정'!$D$32)-'계산 과정'!$E$38*'계산 과정'!$E$32)/J1384,"")</x:f>
        <x:v>-0.5796739937754448</x:v>
      </x:c>
      <x:c r="L1384" s="4" t="n">
        <x:f>IF(AND('계산 과정'!$L$6,J1384&gt;0),'계산 과정'!$D$10*('계산 과정'!$C$39*(D1384-'계산 과정'!$C$32)+'계산 과정'!$D$39*(E1384-'계산 과정'!$D$32)-'계산 과정'!$E$39*'계산 과정'!$E$32)/J1384,"")</x:f>
        <x:v>1.1408963806698023</x:v>
      </x:c>
      <x:c r="M1384" s="17" t="n">
        <x:f>IF('계산 과정'!$L$6,IF(J1384&lt;=0,0,IF(AND(ABS(K1384)&lt;='계산 과정'!$D$11/2,ABS(L1384)&lt;='계산 과정'!$D$12/2),1,0)),"")</x:f>
        <x:v>1</x:v>
      </x:c>
      <x:c r="N1384" s="17" t="n">
        <x:f>IF('계산 과정'!$C$78,IF(AND(ISNUMBER(H1384),ISNUMBER(I1384),ABS(H1384-'계산 과정'!$C$88)&lt;='계산 과정'!$D$23/2,ABS(I1384-'계산 과정'!$C$89)&lt;='계산 과정'!$D$24/2),1,0),"")</x:f>
        <x:v>1</x:v>
      </x:c>
      <x:c r="O1384" s="4" t="n">
        <x:f>IF('계산 과정'!$L$7,'계산 과정'!$C$49*('계산 과정'!$C$32-D1384)+'계산 과정'!$D$49*('계산 과정'!$D$32-E1384)+'계산 과정'!$E$49*'계산 과정'!$E$32,"")</x:f>
        <x:v>-50.77783585761176</x:v>
      </x:c>
      <x:c r="P1384" s="4" t="n">
        <x:f>IF(AND('계산 과정'!$L$7,O1384&lt;&gt;0),('계산 과정'!$L$23-'계산 과정'!$C$49*D1384-'계산 과정'!$D$49*E1384)/O1384,"")</x:f>
        <x:v>-6.8774526965201215</x:v>
      </x:c>
      <x:c r="Q1384" s="4" t="str">
        <x:f>IF(AND(ISNUMBER(P1384),P1384&gt;1E-9,P1384&lt;1-1E-9),'계산 과정'!$C$47*(D1384-'계산 과정'!$C$50+P1384*('계산 과정'!$C$32-D1384))+'계산 과정'!$D$47*(E1384-'계산 과정'!$D$50+P1384*('계산 과정'!$D$32-E1384))+'계산 과정'!$E$47*(0-'계산 과정'!$E$50+P1384*('계산 과정'!$E$32-0)),"")</x:f>
      </x:c>
      <x:c r="R1384" s="4" t="str">
        <x:f>IF(AND(ISNUMBER(P1384),P1384&gt;1E-9,P1384&lt;1-1E-9),'계산 과정'!$C$48*(D1384-'계산 과정'!$C$50+P1384*('계산 과정'!$C$32-D1384))+'계산 과정'!$D$48*(E1384-'계산 과정'!$D$50+P1384*('계산 과정'!$D$32-E1384))+'계산 과정'!$E$48*(0-'계산 과정'!$E$50+P1384*('계산 과정'!$E$32-0)),"")</x:f>
      </x:c>
      <x:c r="S1384" s="17" t="n">
        <x:f>IF('계산 과정'!$C$78,IF(AND(ISNUMBER(Q1384),ISNUMBER(R1384),ABS(Q1384-'계산 과정'!$C$88)&lt;='계산 과정'!$D$23/2,ABS(R1384-'계산 과정'!$C$89)&lt;='계산 과정'!$D$24/2),1,0),"")</x:f>
        <x:v>0</x:v>
      </x:c>
      <x:c r="T1384" s="4"/>
      <x:c r="U1384" s="4"/>
      <x:c r="V1384" s="4"/>
      <x:c r="W1384" s="4"/>
      <x:c r="X1384" s="4"/>
      <x:c r="Y1384" s="4"/>
      <x:c r="Z1384" s="4"/>
    </x:row>
    <x:row r="1385" ht="23" customHeight="1">
      <x:c r="A1385" s="17" t="n">
        <x:f>ROW()-6</x:f>
        <x:v>1379</x:v>
      </x:c>
      <x:c r="B1385" s="4" t="n">
        <x:f>IF('계산 과정'!$L$5,'계산 과정'!$L$11*SQRT((A1385+0.5)/'계산 과정'!$L$30),"")</x:f>
        <x:v>123.1082436250209</x:v>
      </x:c>
      <x:c r="C1385" s="4" t="n">
        <x:f>A1385*PI()*(3-SQRT(5))</x:f>
        <x:v>3309.5492937958124</x:v>
      </x:c>
      <x:c r="D1385" s="4" t="n">
        <x:f>IF('계산 과정'!$L$5,B1385*COS(C1385),"")</x:f>
        <x:v>-14.562369841012263</x:v>
      </x:c>
      <x:c r="E1385" s="4" t="n">
        <x:f>IF('계산 과정'!$L$5,B1385*SIN(C1385),"")</x:f>
        <x:v>-122.24392431957949</x:v>
      </x:c>
      <x:c r="F1385" s="4" t="n">
        <x:f>IF('계산 과정'!$L$7,'계산 과정'!$L$22+'계산 과정'!$C$49*D1385+'계산 과정'!$D$49*E1385,"")</x:f>
        <x:v>660.2971504647262</x:v>
      </x:c>
      <x:c r="G1385" s="4" t="n">
        <x:f>IF('계산 과정'!$L$7,IF(ABS(F1385)&gt;=1E-12*MAX(1,SQRT((D1385-'계산 과정'!$C$33)^2+(E1385-'계산 과정'!$D$33)^2+'계산 과정'!$E$33^2)),('계산 과정'!$L$23-'계산 과정'!$C$49*D1385-'계산 과정'!$D$49*E1385)/F1385,""),"")</x:f>
        <x:v>0.5901931414681943</x:v>
      </x:c>
      <x:c r="H1385" s="4" t="n">
        <x:f>IF(AND(ISNUMBER(G1385),G1385&gt;0),('계산 과정'!$D$56+'계산 과정'!$D$57*D1385+'계산 과정'!$D$58*E1385)/F1385,"")</x:f>
        <x:v>-16.374458045673812</x:v>
      </x:c>
      <x:c r="I1385" s="4" t="n">
        <x:f>IF(AND(ISNUMBER(G1385),G1385&gt;0),('계산 과정'!$E$56+'계산 과정'!$E$57*D1385+'계산 과정'!$E$58*E1385)/F1385,"")</x:f>
        <x:v>-194.39145003915232</x:v>
      </x:c>
      <x:c r="J1385" s="4" t="n">
        <x:f>IF('계산 과정'!$L$5,'계산 과정'!$D$6+'계산 과정'!$C$35*D1385+'계산 과정'!$D$35*E1385,"")</x:f>
        <x:v>660.2971504647262</x:v>
      </x:c>
      <x:c r="K1385" s="4" t="n">
        <x:f>IF(AND('계산 과정'!$L$6,J1385&gt;0),'계산 과정'!$D$10*('계산 과정'!$C$38*(D1385-'계산 과정'!$C$32)+'계산 과정'!$D$38*(E1385-'계산 과정'!$D$32)-'계산 과정'!$E$38*'계산 과정'!$E$32)/J1385,"")</x:f>
        <x:v>-0.12475777558608483</x:v>
      </x:c>
      <x:c r="L1385" s="4" t="n">
        <x:f>IF(AND('계산 과정'!$L$6,J1385&gt;0),'계산 과정'!$D$10*('계산 과정'!$C$39*(D1385-'계산 과정'!$C$32)+'계산 과정'!$D$39*(E1385-'계산 과정'!$D$32)-'계산 과정'!$E$39*'계산 과정'!$E$32)/J1385,"")</x:f>
        <x:v>-1.4810777145840177</x:v>
      </x:c>
      <x:c r="M1385" s="17" t="n">
        <x:f>IF('계산 과정'!$L$6,IF(J1385&lt;=0,0,IF(AND(ABS(K1385)&lt;='계산 과정'!$D$11/2,ABS(L1385)&lt;='계산 과정'!$D$12/2),1,0)),"")</x:f>
        <x:v>1</x:v>
      </x:c>
      <x:c r="N1385" s="17" t="n">
        <x:f>IF('계산 과정'!$C$78,IF(AND(ISNUMBER(H1385),ISNUMBER(I1385),ABS(H1385-'계산 과정'!$C$88)&lt;='계산 과정'!$D$23/2,ABS(I1385-'계산 과정'!$C$89)&lt;='계산 과정'!$D$24/2),1,0),"")</x:f>
        <x:v>1</x:v>
      </x:c>
      <x:c r="O1385" s="4" t="n">
        <x:f>IF('계산 과정'!$L$7,'계산 과정'!$C$49*('계산 과정'!$C$32-D1385)+'계산 과정'!$D$49*('계산 과정'!$D$32-E1385)+'계산 과정'!$E$49*'계산 과정'!$E$32,"")</x:f>
        <x:v>-10.297150464726087</x:v>
      </x:c>
      <x:c r="P1385" s="4" t="n">
        <x:f>IF(AND('계산 과정'!$L$7,O1385&lt;&gt;0),('계산 과정'!$L$23-'계산 과정'!$C$49*D1385-'계산 과정'!$D$49*E1385)/O1385,"")</x:f>
        <x:v>-37.84569827062735</x:v>
      </x:c>
      <x:c r="Q1385" s="4" t="str">
        <x:f>IF(AND(ISNUMBER(P1385),P1385&gt;1E-9,P1385&lt;1-1E-9),'계산 과정'!$C$47*(D1385-'계산 과정'!$C$50+P1385*('계산 과정'!$C$32-D1385))+'계산 과정'!$D$47*(E1385-'계산 과정'!$D$50+P1385*('계산 과정'!$D$32-E1385))+'계산 과정'!$E$47*(0-'계산 과정'!$E$50+P1385*('계산 과정'!$E$32-0)),"")</x:f>
      </x:c>
      <x:c r="R1385" s="4" t="str">
        <x:f>IF(AND(ISNUMBER(P1385),P1385&gt;1E-9,P1385&lt;1-1E-9),'계산 과정'!$C$48*(D1385-'계산 과정'!$C$50+P1385*('계산 과정'!$C$32-D1385))+'계산 과정'!$D$48*(E1385-'계산 과정'!$D$50+P1385*('계산 과정'!$D$32-E1385))+'계산 과정'!$E$48*(0-'계산 과정'!$E$50+P1385*('계산 과정'!$E$32-0)),"")</x:f>
      </x:c>
      <x:c r="S1385" s="17" t="n">
        <x:f>IF('계산 과정'!$C$78,IF(AND(ISNUMBER(Q1385),ISNUMBER(R1385),ABS(Q1385-'계산 과정'!$C$88)&lt;='계산 과정'!$D$23/2,ABS(R1385-'계산 과정'!$C$89)&lt;='계산 과정'!$D$24/2),1,0),"")</x:f>
        <x:v>0</x:v>
      </x:c>
      <x:c r="T1385" s="4"/>
      <x:c r="U1385" s="4"/>
      <x:c r="V1385" s="4"/>
      <x:c r="W1385" s="4"/>
      <x:c r="X1385" s="4"/>
      <x:c r="Y1385" s="4"/>
      <x:c r="Z1385" s="4"/>
    </x:row>
    <x:row r="1386" ht="23" customHeight="1">
      <x:c r="A1386" s="17" t="n">
        <x:f>ROW()-6</x:f>
        <x:v>1380</x:v>
      </x:c>
      <x:c r="B1386" s="4" t="n">
        <x:f>IF('계산 과정'!$L$5,'계산 과정'!$L$11*SQRT((A1386+0.5)/'계산 과정'!$L$30),"")</x:f>
        <x:v>123.15285614455924</x:v>
      </x:c>
      <x:c r="C1386" s="4" t="n">
        <x:f>A1386*PI()*(3-SQRT(5))</x:f>
        <x:v>3311.949257025541</x:v>
      </x:c>
      <x:c r="D1386" s="4" t="n">
        <x:f>IF('계산 과정'!$L$5,B1386*COS(C1386),"")</x:f>
        <x:v>93.34623769796835</x:v>
      </x:c>
      <x:c r="E1386" s="4" t="n">
        <x:f>IF('계산 과정'!$L$5,B1386*SIN(C1386),"")</x:f>
        <x:v>80.3312260842376</x:v>
      </x:c>
      <x:c r="F1386" s="4" t="n">
        <x:f>IF('계산 과정'!$L$7,'계산 과정'!$L$22+'계산 과정'!$C$49*D1386+'계산 과정'!$D$49*E1386,"")</x:f>
        <x:v>583.9942423255152</x:v>
      </x:c>
      <x:c r="G1386" s="4" t="n">
        <x:f>IF('계산 과정'!$L$7,IF(ABS(F1386)&gt;=1E-12*MAX(1,SQRT((D1386-'계산 과정'!$C$33)^2+(E1386-'계산 과정'!$D$33)^2+'계산 과정'!$E$33^2)),('계산 과정'!$L$23-'계산 과정'!$C$49*D1386-'계산 과정'!$D$49*E1386)/F1386,""),"")</x:f>
        <x:v>0.7979629316529043</x:v>
      </x:c>
      <x:c r="H1386" s="4" t="n">
        <x:f>IF(AND(ISNUMBER(G1386),G1386&gt;0),('계산 과정'!$D$56+'계산 과정'!$D$57*D1386+'계산 과정'!$D$58*E1386)/F1386,"")</x:f>
        <x:v>118.67590557438773</x:v>
      </x:c>
      <x:c r="I1386" s="4" t="n">
        <x:f>IF(AND(ISNUMBER(G1386),G1386&gt;0),('계산 과정'!$E$56+'계산 과정'!$E$57*D1386+'계산 과정'!$E$58*E1386)/F1386,"")</x:f>
        <x:v>144.4325667536881</x:v>
      </x:c>
      <x:c r="J1386" s="4" t="n">
        <x:f>IF('계산 과정'!$L$5,'계산 과정'!$D$6+'계산 과정'!$C$35*D1386+'계산 과정'!$D$35*E1386,"")</x:f>
        <x:v>583.9942423255152</x:v>
      </x:c>
      <x:c r="K1386" s="4" t="n">
        <x:f>IF(AND('계산 과정'!$L$6,J1386&gt;0),'계산 과정'!$D$10*('계산 과정'!$C$38*(D1386-'계산 과정'!$C$32)+'계산 과정'!$D$38*(E1386-'계산 과정'!$D$32)-'계산 과정'!$E$38*'계산 과정'!$E$32)/J1386,"")</x:f>
        <x:v>0.9041973758048603</x:v>
      </x:c>
      <x:c r="L1386" s="4" t="n">
        <x:f>IF(AND('계산 과정'!$L$6,J1386&gt;0),'계산 과정'!$D$10*('계산 과정'!$C$39*(D1386-'계산 과정'!$C$32)+'계산 과정'!$D$39*(E1386-'계산 과정'!$D$32)-'계산 과정'!$E$39*'계산 과정'!$E$32)/J1386,"")</x:f>
        <x:v>1.1004386038376237</x:v>
      </x:c>
      <x:c r="M1386" s="17" t="n">
        <x:f>IF('계산 과정'!$L$6,IF(J1386&lt;=0,0,IF(AND(ABS(K1386)&lt;='계산 과정'!$D$11/2,ABS(L1386)&lt;='계산 과정'!$D$12/2),1,0)),"")</x:f>
        <x:v>1</x:v>
      </x:c>
      <x:c r="N1386" s="17" t="n">
        <x:f>IF('계산 과정'!$C$78,IF(AND(ISNUMBER(H1386),ISNUMBER(I1386),ABS(H1386-'계산 과정'!$C$88)&lt;='계산 과정'!$D$23/2,ABS(I1386-'계산 과정'!$C$89)&lt;='계산 과정'!$D$24/2),1,0),"")</x:f>
        <x:v>1</x:v>
      </x:c>
      <x:c r="O1386" s="4" t="n">
        <x:f>IF('계산 과정'!$L$7,'계산 과정'!$C$49*('계산 과정'!$C$32-D1386)+'계산 과정'!$D$49*('계산 과정'!$D$32-E1386)+'계산 과정'!$E$49*'계산 과정'!$E$32,"")</x:f>
        <x:v>66.00575767448487</x:v>
      </x:c>
      <x:c r="P1386" s="4" t="n">
        <x:f>IF(AND('계산 과정'!$L$7,O1386&lt;&gt;0),('계산 과정'!$L$23-'계산 과정'!$C$49*D1386-'계산 과정'!$D$49*E1386)/O1386,"")</x:f>
        <x:v>7.060077394651642</x:v>
      </x:c>
      <x:c r="Q1386" s="4" t="str">
        <x:f>IF(AND(ISNUMBER(P1386),P1386&gt;1E-9,P1386&lt;1-1E-9),'계산 과정'!$C$47*(D1386-'계산 과정'!$C$50+P1386*('계산 과정'!$C$32-D1386))+'계산 과정'!$D$47*(E1386-'계산 과정'!$D$50+P1386*('계산 과정'!$D$32-E1386))+'계산 과정'!$E$47*(0-'계산 과정'!$E$50+P1386*('계산 과정'!$E$32-0)),"")</x:f>
      </x:c>
      <x:c r="R1386" s="4" t="str">
        <x:f>IF(AND(ISNUMBER(P1386),P1386&gt;1E-9,P1386&lt;1-1E-9),'계산 과정'!$C$48*(D1386-'계산 과정'!$C$50+P1386*('계산 과정'!$C$32-D1386))+'계산 과정'!$D$48*(E1386-'계산 과정'!$D$50+P1386*('계산 과정'!$D$32-E1386))+'계산 과정'!$E$48*(0-'계산 과정'!$E$50+P1386*('계산 과정'!$E$32-0)),"")</x:f>
      </x:c>
      <x:c r="S1386" s="17" t="n">
        <x:f>IF('계산 과정'!$C$78,IF(AND(ISNUMBER(Q1386),ISNUMBER(R1386),ABS(Q1386-'계산 과정'!$C$88)&lt;='계산 과정'!$D$23/2,ABS(R1386-'계산 과정'!$C$89)&lt;='계산 과정'!$D$24/2),1,0),"")</x:f>
        <x:v>0</x:v>
      </x:c>
      <x:c r="T1386" s="4"/>
      <x:c r="U1386" s="4"/>
      <x:c r="V1386" s="4"/>
      <x:c r="W1386" s="4"/>
      <x:c r="X1386" s="4"/>
      <x:c r="Y1386" s="4"/>
      <x:c r="Z1386" s="4"/>
    </x:row>
    <x:row r="1387" ht="23" customHeight="1">
      <x:c r="A1387" s="17" t="n">
        <x:f>ROW()-6</x:f>
        <x:v>1381</x:v>
      </x:c>
      <x:c r="B1387" s="4" t="n">
        <x:f>IF('계산 과정'!$L$5,'계산 과정'!$L$11*SQRT((A1387+0.5)/'계산 과정'!$L$30),"")</x:f>
        <x:v>123.1974525089196</x:v>
      </x:c>
      <x:c r="C1387" s="4" t="n">
        <x:f>A1387*PI()*(3-SQRT(5))</x:f>
        <x:v>3314.3492202552693</x:v>
      </x:c>
      <x:c r="D1387" s="4" t="n">
        <x:f>IF('계산 과정'!$L$5,B1387*COS(C1387),"")</x:f>
        <x:v>-123.13814900724073</x:v>
      </x:c>
      <x:c r="E1387" s="4" t="n">
        <x:f>IF('계산 과정'!$L$5,B1387*SIN(C1387),"")</x:f>
        <x:v>3.8221150895908513</x:v>
      </x:c>
      <x:c r="F1387" s="4" t="n">
        <x:f>IF('계산 과정'!$L$7,'계산 과정'!$L$22+'계산 과정'!$C$49*D1387+'계산 과정'!$D$49*E1387,"")</x:f>
        <x:v>737.0718201857794</x:v>
      </x:c>
      <x:c r="G1387" s="4" t="n">
        <x:f>IF('계산 과정'!$L$7,IF(ABS(F1387)&gt;=1E-12*MAX(1,SQRT((D1387-'계산 과정'!$C$33)^2+(E1387-'계산 과정'!$D$33)^2+'계산 과정'!$E$33^2)),('계산 과정'!$L$23-'계산 과정'!$C$49*D1387-'계산 과정'!$D$49*E1387)/F1387,""),"")</x:f>
        <x:v>0.42455588620298473</x:v>
      </x:c>
      <x:c r="H1387" s="4" t="n">
        <x:f>IF(AND(ISNUMBER(G1387),G1387&gt;0),('계산 과정'!$D$56+'계산 과정'!$D$57*D1387+'계산 과정'!$D$58*E1387)/F1387,"")</x:f>
        <x:v>-124.03867396806011</x:v>
      </x:c>
      <x:c r="I1387" s="4" t="n">
        <x:f>IF(AND(ISNUMBER(G1387),G1387&gt;0),('계산 과정'!$E$56+'계산 과정'!$E$57*D1387+'계산 과정'!$E$58*E1387)/F1387,"")</x:f>
        <x:v>5.444816548621896</x:v>
      </x:c>
      <x:c r="J1387" s="4" t="n">
        <x:f>IF('계산 과정'!$L$5,'계산 과정'!$D$6+'계산 과정'!$C$35*D1387+'계산 과정'!$D$35*E1387,"")</x:f>
        <x:v>737.0718201857794</x:v>
      </x:c>
      <x:c r="K1387" s="4" t="n">
        <x:f>IF(AND('계산 과정'!$L$6,J1387&gt;0),'계산 과정'!$D$10*('계산 과정'!$C$38*(D1387-'계산 과정'!$C$32)+'계산 과정'!$D$38*(E1387-'계산 과정'!$D$32)-'계산 과정'!$E$38*'계산 과정'!$E$32)/J1387,"")</x:f>
        <x:v>-0.9450565635661708</x:v>
      </x:c>
      <x:c r="L1387" s="4" t="n">
        <x:f>IF(AND('계산 과정'!$L$6,J1387&gt;0),'계산 과정'!$D$10*('계산 과정'!$C$39*(D1387-'계산 과정'!$C$32)+'계산 과정'!$D$39*(E1387-'계산 과정'!$D$32)-'계산 과정'!$E$39*'계산 과정'!$E$32)/J1387,"")</x:f>
        <x:v>0.04148431656092873</x:v>
      </x:c>
      <x:c r="M1387" s="17" t="n">
        <x:f>IF('계산 과정'!$L$6,IF(J1387&lt;=0,0,IF(AND(ABS(K1387)&lt;='계산 과정'!$D$11/2,ABS(L1387)&lt;='계산 과정'!$D$12/2),1,0)),"")</x:f>
        <x:v>1</x:v>
      </x:c>
      <x:c r="N1387" s="17" t="n">
        <x:f>IF('계산 과정'!$C$78,IF(AND(ISNUMBER(H1387),ISNUMBER(I1387),ABS(H1387-'계산 과정'!$C$88)&lt;='계산 과정'!$D$23/2,ABS(I1387-'계산 과정'!$C$89)&lt;='계산 과정'!$D$24/2),1,0),"")</x:f>
        <x:v>1</x:v>
      </x:c>
      <x:c r="O1387" s="4" t="n">
        <x:f>IF('계산 과정'!$L$7,'계산 과정'!$C$49*('계산 과정'!$C$32-D1387)+'계산 과정'!$D$49*('계산 과정'!$D$32-E1387)+'계산 과정'!$E$49*'계산 과정'!$E$32,"")</x:f>
        <x:v>-87.0718201857793</x:v>
      </x:c>
      <x:c r="P1387" s="4" t="n">
        <x:f>IF(AND('계산 과정'!$L$7,O1387&lt;&gt;0),('계산 과정'!$L$23-'계산 과정'!$C$49*D1387-'계산 과정'!$D$49*E1387)/O1387,"")</x:f>
        <x:v>-3.5939087887050793</x:v>
      </x:c>
      <x:c r="Q1387" s="4" t="str">
        <x:f>IF(AND(ISNUMBER(P1387),P1387&gt;1E-9,P1387&lt;1-1E-9),'계산 과정'!$C$47*(D1387-'계산 과정'!$C$50+P1387*('계산 과정'!$C$32-D1387))+'계산 과정'!$D$47*(E1387-'계산 과정'!$D$50+P1387*('계산 과정'!$D$32-E1387))+'계산 과정'!$E$47*(0-'계산 과정'!$E$50+P1387*('계산 과정'!$E$32-0)),"")</x:f>
      </x:c>
      <x:c r="R1387" s="4" t="str">
        <x:f>IF(AND(ISNUMBER(P1387),P1387&gt;1E-9,P1387&lt;1-1E-9),'계산 과정'!$C$48*(D1387-'계산 과정'!$C$50+P1387*('계산 과정'!$C$32-D1387))+'계산 과정'!$D$48*(E1387-'계산 과정'!$D$50+P1387*('계산 과정'!$D$32-E1387))+'계산 과정'!$E$48*(0-'계산 과정'!$E$50+P1387*('계산 과정'!$E$32-0)),"")</x:f>
      </x:c>
      <x:c r="S1387" s="17" t="n">
        <x:f>IF('계산 과정'!$C$78,IF(AND(ISNUMBER(Q1387),ISNUMBER(R1387),ABS(Q1387-'계산 과정'!$C$88)&lt;='계산 과정'!$D$23/2,ABS(R1387-'계산 과정'!$C$89)&lt;='계산 과정'!$D$24/2),1,0),"")</x:f>
        <x:v>0</x:v>
      </x:c>
      <x:c r="T1387" s="4"/>
      <x:c r="U1387" s="4"/>
      <x:c r="V1387" s="4"/>
      <x:c r="W1387" s="4"/>
      <x:c r="X1387" s="4"/>
      <x:c r="Y1387" s="4"/>
      <x:c r="Z1387" s="4"/>
    </x:row>
    <x:row r="1388" ht="23" customHeight="1">
      <x:c r="A1388" s="17" t="n">
        <x:f>ROW()-6</x:f>
        <x:v>1382</x:v>
      </x:c>
      <x:c r="B1388" s="4" t="n">
        <x:f>IF('계산 과정'!$L$5,'계산 과정'!$L$11*SQRT((A1388+0.5)/'계산 과정'!$L$30),"")</x:f>
        <x:v>123.24203273563974</x:v>
      </x:c>
      <x:c r="C1388" s="4" t="n">
        <x:f>A1388*PI()*(3-SQRT(5))</x:f>
        <x:v>3316.7491834849984</x:v>
      </x:c>
      <x:c r="D1388" s="4" t="n">
        <x:f>IF('계산 과정'!$L$5,B1388*COS(C1388),"")</x:f>
        <x:v>88.24835913305547</x:v>
      </x:c>
      <x:c r="E1388" s="4" t="n">
        <x:f>IF('계산 과정'!$L$5,B1388*SIN(C1388),"")</x:f>
        <x:v>-86.02805207102949</x:v>
      </x:c>
      <x:c r="F1388" s="4" t="n">
        <x:f>IF('계산 과정'!$L$7,'계산 과정'!$L$22+'계산 과정'!$C$49*D1388+'계산 과정'!$D$49*E1388,"")</x:f>
        <x:v>587.5989868284307</x:v>
      </x:c>
      <x:c r="G1388" s="4" t="n">
        <x:f>IF('계산 과정'!$L$7,IF(ABS(F1388)&gt;=1E-12*MAX(1,SQRT((D1388-'계산 과정'!$C$33)^2+(E1388-'계산 과정'!$D$33)^2+'계산 과정'!$E$33^2)),('계산 과정'!$L$23-'계산 과정'!$C$49*D1388-'계산 과정'!$D$49*E1388)/F1388,""),"")</x:f>
        <x:v>0.7869329654010837</x:v>
      </x:c>
      <x:c r="H1388" s="4" t="n">
        <x:f>IF(AND(ISNUMBER(G1388),G1388&gt;0),('계산 과정'!$D$56+'계산 과정'!$D$57*D1388+'계산 과정'!$D$58*E1388)/F1388,"")</x:f>
        <x:v>111.50642751070436</x:v>
      </x:c>
      <x:c r="I1388" s="4" t="n">
        <x:f>IF(AND(ISNUMBER(G1388),G1388&gt;0),('계산 과정'!$E$56+'계산 과정'!$E$57*D1388+'계산 과정'!$E$58*E1388)/F1388,"")</x:f>
        <x:v>-153.72636219496357</x:v>
      </x:c>
      <x:c r="J1388" s="4" t="n">
        <x:f>IF('계산 과정'!$L$5,'계산 과정'!$D$6+'계산 과정'!$C$35*D1388+'계산 과정'!$D$35*E1388,"")</x:f>
        <x:v>587.5989868284307</x:v>
      </x:c>
      <x:c r="K1388" s="4" t="n">
        <x:f>IF(AND('계산 과정'!$L$6,J1388&gt;0),'계산 과정'!$D$10*('계산 과정'!$C$38*(D1388-'계산 과정'!$C$32)+'계산 과정'!$D$38*(E1388-'계산 과정'!$D$32)-'계산 과정'!$E$38*'계산 과정'!$E$32)/J1388,"")</x:f>
        <x:v>0.8495727810339387</x:v>
      </x:c>
      <x:c r="L1388" s="4" t="n">
        <x:f>IF(AND('계산 과정'!$L$6,J1388&gt;0),'계산 과정'!$D$10*('계산 과정'!$C$39*(D1388-'계산 과정'!$C$32)+'계산 과정'!$D$39*(E1388-'계산 과정'!$D$32)-'계산 과정'!$E$39*'계산 과정'!$E$32)/J1388,"")</x:f>
        <x:v>-1.171248473866389</x:v>
      </x:c>
      <x:c r="M1388" s="17" t="n">
        <x:f>IF('계산 과정'!$L$6,IF(J1388&lt;=0,0,IF(AND(ABS(K1388)&lt;='계산 과정'!$D$11/2,ABS(L1388)&lt;='계산 과정'!$D$12/2),1,0)),"")</x:f>
        <x:v>1</x:v>
      </x:c>
      <x:c r="N1388" s="17" t="n">
        <x:f>IF('계산 과정'!$C$78,IF(AND(ISNUMBER(H1388),ISNUMBER(I1388),ABS(H1388-'계산 과정'!$C$88)&lt;='계산 과정'!$D$23/2,ABS(I1388-'계산 과정'!$C$89)&lt;='계산 과정'!$D$24/2),1,0),"")</x:f>
        <x:v>1</x:v>
      </x:c>
      <x:c r="O1388" s="4" t="n">
        <x:f>IF('계산 과정'!$L$7,'계산 과정'!$C$49*('계산 과정'!$C$32-D1388)+'계산 과정'!$D$49*('계산 과정'!$D$32-E1388)+'계산 과정'!$E$49*'계산 과정'!$E$32,"")</x:f>
        <x:v>62.401013171569446</x:v>
      </x:c>
      <x:c r="P1388" s="4" t="n">
        <x:f>IF(AND('계산 과정'!$L$7,O1388&lt;&gt;0),('계산 과정'!$L$23-'계산 과정'!$C$49*D1388-'계산 과정'!$D$49*E1388)/O1388,"")</x:f>
        <x:v>7.41015233038306</x:v>
      </x:c>
      <x:c r="Q1388" s="4" t="str">
        <x:f>IF(AND(ISNUMBER(P1388),P1388&gt;1E-9,P1388&lt;1-1E-9),'계산 과정'!$C$47*(D1388-'계산 과정'!$C$50+P1388*('계산 과정'!$C$32-D1388))+'계산 과정'!$D$47*(E1388-'계산 과정'!$D$50+P1388*('계산 과정'!$D$32-E1388))+'계산 과정'!$E$47*(0-'계산 과정'!$E$50+P1388*('계산 과정'!$E$32-0)),"")</x:f>
      </x:c>
      <x:c r="R1388" s="4" t="str">
        <x:f>IF(AND(ISNUMBER(P1388),P1388&gt;1E-9,P1388&lt;1-1E-9),'계산 과정'!$C$48*(D1388-'계산 과정'!$C$50+P1388*('계산 과정'!$C$32-D1388))+'계산 과정'!$D$48*(E1388-'계산 과정'!$D$50+P1388*('계산 과정'!$D$32-E1388))+'계산 과정'!$E$48*(0-'계산 과정'!$E$50+P1388*('계산 과정'!$E$32-0)),"")</x:f>
      </x:c>
      <x:c r="S1388" s="17" t="n">
        <x:f>IF('계산 과정'!$C$78,IF(AND(ISNUMBER(Q1388),ISNUMBER(R1388),ABS(Q1388-'계산 과정'!$C$88)&lt;='계산 과정'!$D$23/2,ABS(R1388-'계산 과정'!$C$89)&lt;='계산 과정'!$D$24/2),1,0),"")</x:f>
        <x:v>0</x:v>
      </x:c>
      <x:c r="T1388" s="4"/>
      <x:c r="U1388" s="4"/>
      <x:c r="V1388" s="4"/>
      <x:c r="W1388" s="4"/>
      <x:c r="X1388" s="4"/>
      <x:c r="Y1388" s="4"/>
      <x:c r="Z1388" s="4"/>
    </x:row>
    <x:row r="1389" ht="23" customHeight="1">
      <x:c r="A1389" s="17" t="n">
        <x:f>ROW()-6</x:f>
        <x:v>1383</x:v>
      </x:c>
      <x:c r="B1389" s="4" t="n">
        <x:f>IF('계산 과정'!$L$5,'계산 과정'!$L$11*SQRT((A1389+0.5)/'계산 과정'!$L$30),"")</x:f>
        <x:v>123.2865968422257</x:v>
      </x:c>
      <x:c r="C1389" s="4" t="n">
        <x:f>A1389*PI()*(3-SQRT(5))</x:f>
        <x:v>3319.149146714727</x:v>
      </x:c>
      <x:c r="D1389" s="4" t="n">
        <x:f>IF('계산 과정'!$L$5,B1389*COS(C1389),"")</x:f>
        <x:v>-6.9629962553256215</x:v>
      </x:c>
      <x:c r="E1389" s="4" t="n">
        <x:f>IF('계산 과정'!$L$5,B1389*SIN(C1389),"")</x:f>
        <x:v>123.08981129275412</x:v>
      </x:c>
      <x:c r="F1389" s="4" t="n">
        <x:f>IF('계산 과정'!$L$7,'계산 과정'!$L$22+'계산 과정'!$C$49*D1389+'계산 과정'!$D$49*E1389,"")</x:f>
        <x:v>654.9235818695173</x:v>
      </x:c>
      <x:c r="G1389" s="4" t="n">
        <x:f>IF('계산 과정'!$L$7,IF(ABS(F1389)&gt;=1E-12*MAX(1,SQRT((D1389-'계산 과정'!$C$33)^2+(E1389-'계산 과정'!$D$33)^2+'계산 과정'!$E$33^2)),('계산 과정'!$L$23-'계산 과정'!$C$49*D1389-'계산 과정'!$D$49*E1389)/F1389,""),"")</x:f>
        <x:v>0.6032404834205453</x:v>
      </x:c>
      <x:c r="H1389" s="4" t="n">
        <x:f>IF(AND(ISNUMBER(G1389),G1389&gt;0),('계산 과정'!$D$56+'계산 과정'!$D$57*D1389+'계산 과정'!$D$58*E1389)/F1389,"")</x:f>
        <x:v>-7.893685776645637</x:v>
      </x:c>
      <x:c r="I1389" s="4" t="n">
        <x:f>IF(AND(ISNUMBER(G1389),G1389&gt;0),('계산 과정'!$E$56+'계산 과정'!$E$57*D1389+'계산 과정'!$E$58*E1389)/F1389,"")</x:f>
        <x:v>197.34256856113882</x:v>
      </x:c>
      <x:c r="J1389" s="4" t="n">
        <x:f>IF('계산 과정'!$L$5,'계산 과정'!$D$6+'계산 과정'!$C$35*D1389+'계산 과정'!$D$35*E1389,"")</x:f>
        <x:v>654.9235818695173</x:v>
      </x:c>
      <x:c r="K1389" s="4" t="n">
        <x:f>IF(AND('계산 과정'!$L$6,J1389&gt;0),'계산 과정'!$D$10*('계산 과정'!$C$38*(D1389-'계산 과정'!$C$32)+'계산 과정'!$D$38*(E1389-'계산 과정'!$D$32)-'계산 과정'!$E$38*'계산 과정'!$E$32)/J1389,"")</x:f>
        <x:v>-0.060142367822060706</x:v>
      </x:c>
      <x:c r="L1389" s="4" t="n">
        <x:f>IF(AND('계산 과정'!$L$6,J1389&gt;0),'계산 과정'!$D$10*('계산 과정'!$C$39*(D1389-'계산 과정'!$C$32)+'계산 과정'!$D$39*(E1389-'계산 과정'!$D$32)-'계산 과정'!$E$39*'계산 과정'!$E$32)/J1389,"")</x:f>
        <x:v>1.5035624271324861</x:v>
      </x:c>
      <x:c r="M1389" s="17" t="n">
        <x:f>IF('계산 과정'!$L$6,IF(J1389&lt;=0,0,IF(AND(ABS(K1389)&lt;='계산 과정'!$D$11/2,ABS(L1389)&lt;='계산 과정'!$D$12/2),1,0)),"")</x:f>
        <x:v>1</x:v>
      </x:c>
      <x:c r="N1389" s="17" t="n">
        <x:f>IF('계산 과정'!$C$78,IF(AND(ISNUMBER(H1389),ISNUMBER(I1389),ABS(H1389-'계산 과정'!$C$88)&lt;='계산 과정'!$D$23/2,ABS(I1389-'계산 과정'!$C$89)&lt;='계산 과정'!$D$24/2),1,0),"")</x:f>
        <x:v>1</x:v>
      </x:c>
      <x:c r="O1389" s="4" t="n">
        <x:f>IF('계산 과정'!$L$7,'계산 과정'!$C$49*('계산 과정'!$C$32-D1389)+'계산 과정'!$D$49*('계산 과정'!$D$32-E1389)+'계산 과정'!$E$49*'계산 과정'!$E$32,"")</x:f>
        <x:v>-4.923581869517136</x:v>
      </x:c>
      <x:c r="P1389" s="4" t="n">
        <x:f>IF(AND('계산 과정'!$L$7,O1389&lt;&gt;0),('계산 과정'!$L$23-'계산 과정'!$C$49*D1389-'계산 과정'!$D$49*E1389)/O1389,"")</x:f>
        <x:v>-80.241667265955</x:v>
      </x:c>
      <x:c r="Q1389" s="4" t="str">
        <x:f>IF(AND(ISNUMBER(P1389),P1389&gt;1E-9,P1389&lt;1-1E-9),'계산 과정'!$C$47*(D1389-'계산 과정'!$C$50+P1389*('계산 과정'!$C$32-D1389))+'계산 과정'!$D$47*(E1389-'계산 과정'!$D$50+P1389*('계산 과정'!$D$32-E1389))+'계산 과정'!$E$47*(0-'계산 과정'!$E$50+P1389*('계산 과정'!$E$32-0)),"")</x:f>
      </x:c>
      <x:c r="R1389" s="4" t="str">
        <x:f>IF(AND(ISNUMBER(P1389),P1389&gt;1E-9,P1389&lt;1-1E-9),'계산 과정'!$C$48*(D1389-'계산 과정'!$C$50+P1389*('계산 과정'!$C$32-D1389))+'계산 과정'!$D$48*(E1389-'계산 과정'!$D$50+P1389*('계산 과정'!$D$32-E1389))+'계산 과정'!$E$48*(0-'계산 과정'!$E$50+P1389*('계산 과정'!$E$32-0)),"")</x:f>
      </x:c>
      <x:c r="S1389" s="17" t="n">
        <x:f>IF('계산 과정'!$C$78,IF(AND(ISNUMBER(Q1389),ISNUMBER(R1389),ABS(Q1389-'계산 과정'!$C$88)&lt;='계산 과정'!$D$23/2,ABS(R1389-'계산 과정'!$C$89)&lt;='계산 과정'!$D$24/2),1,0),"")</x:f>
        <x:v>0</x:v>
      </x:c>
      <x:c r="T1389" s="4"/>
      <x:c r="U1389" s="4"/>
      <x:c r="V1389" s="4"/>
      <x:c r="W1389" s="4"/>
      <x:c r="X1389" s="4"/>
      <x:c r="Y1389" s="4"/>
      <x:c r="Z1389" s="4"/>
    </x:row>
    <x:row r="1390" ht="23" customHeight="1">
      <x:c r="A1390" s="17" t="n">
        <x:f>ROW()-6</x:f>
        <x:v>1384</x:v>
      </x:c>
      <x:c r="B1390" s="4" t="n">
        <x:f>IF('계산 과정'!$L$5,'계산 과정'!$L$11*SQRT((A1390+0.5)/'계산 과정'!$L$30),"")</x:f>
        <x:v>123.3311448461519</x:v>
      </x:c>
      <x:c r="C1390" s="4" t="n">
        <x:f>A1390*PI()*(3-SQRT(5))</x:f>
        <x:v>3321.5491099444553</x:v>
      </x:c>
      <x:c r="D1390" s="4" t="n">
        <x:f>IF('계산 과정'!$L$5,B1390*COS(C1390),"")</x:f>
        <x:v>-78.03986461570224</x:v>
      </x:c>
      <x:c r="E1390" s="4" t="n">
        <x:f>IF('계산 과정'!$L$5,B1390*SIN(C1390),"")</x:f>
        <x:v>-95.50052785103004</x:v>
      </x:c>
      <x:c r="F1390" s="4" t="n">
        <x:f>IF('계산 과정'!$L$7,'계산 과정'!$L$22+'계산 과정'!$C$49*D1390+'계산 과정'!$D$49*E1390,"")</x:f>
        <x:v>705.1825174726432</x:v>
      </x:c>
      <x:c r="G1390" s="4" t="n">
        <x:f>IF('계산 과정'!$L$7,IF(ABS(F1390)&gt;=1E-12*MAX(1,SQRT((D1390-'계산 과정'!$C$33)^2+(E1390-'계산 과정'!$D$33)^2+'계산 과정'!$E$33^2)),('계산 과정'!$L$23-'계산 과정'!$C$49*D1390-'계산 과정'!$D$49*E1390)/F1390,""),"")</x:f>
        <x:v>0.48897622102597527</x:v>
      </x:c>
      <x:c r="H1390" s="4" t="n">
        <x:f>IF(AND(ISNUMBER(G1390),G1390&gt;0),('계산 과정'!$D$56+'계산 과정'!$D$57*D1390+'계산 과정'!$D$58*E1390)/F1390,"")</x:f>
        <x:v>-82.16545633311618</x:v>
      </x:c>
      <x:c r="I1390" s="4" t="n">
        <x:f>IF(AND(ISNUMBER(G1390),G1390&gt;0),('계산 과정'!$E$56+'계산 과정'!$E$57*D1390+'계산 과정'!$E$58*E1390)/F1390,"")</x:f>
        <x:v>-142.1980150656126</x:v>
      </x:c>
      <x:c r="J1390" s="4" t="n">
        <x:f>IF('계산 과정'!$L$5,'계산 과정'!$D$6+'계산 과정'!$C$35*D1390+'계산 과정'!$D$35*E1390,"")</x:f>
        <x:v>705.1825174726432</x:v>
      </x:c>
      <x:c r="K1390" s="4" t="n">
        <x:f>IF(AND('계산 과정'!$L$6,J1390&gt;0),'계산 과정'!$D$10*('계산 과정'!$C$38*(D1390-'계산 과정'!$C$32)+'계산 과정'!$D$38*(E1390-'계산 과정'!$D$32)-'계산 과정'!$E$38*'계산 과정'!$E$32)/J1390,"")</x:f>
        <x:v>-0.6260225244427883</x:v>
      </x:c>
      <x:c r="L1390" s="4" t="n">
        <x:f>IF(AND('계산 과정'!$L$6,J1390&gt;0),'계산 과정'!$D$10*('계산 과정'!$C$39*(D1390-'계산 과정'!$C$32)+'계산 과정'!$D$39*(E1390-'계산 과정'!$D$32)-'계산 과정'!$E$39*'계산 과정'!$E$32)/J1390,"")</x:f>
        <x:v>-1.0834134481189532</x:v>
      </x:c>
      <x:c r="M1390" s="17" t="n">
        <x:f>IF('계산 과정'!$L$6,IF(J1390&lt;=0,0,IF(AND(ABS(K1390)&lt;='계산 과정'!$D$11/2,ABS(L1390)&lt;='계산 과정'!$D$12/2),1,0)),"")</x:f>
        <x:v>1</x:v>
      </x:c>
      <x:c r="N1390" s="17" t="n">
        <x:f>IF('계산 과정'!$C$78,IF(AND(ISNUMBER(H1390),ISNUMBER(I1390),ABS(H1390-'계산 과정'!$C$88)&lt;='계산 과정'!$D$23/2,ABS(I1390-'계산 과정'!$C$89)&lt;='계산 과정'!$D$24/2),1,0),"")</x:f>
        <x:v>1</x:v>
      </x:c>
      <x:c r="O1390" s="4" t="n">
        <x:f>IF('계산 과정'!$L$7,'계산 과정'!$C$49*('계산 과정'!$C$32-D1390)+'계산 과정'!$D$49*('계산 과정'!$D$32-E1390)+'계산 과정'!$E$49*'계산 과정'!$E$32,"")</x:f>
        <x:v>-55.182517472642985</x:v>
      </x:c>
      <x:c r="P1390" s="4" t="n">
        <x:f>IF(AND('계산 과정'!$L$7,O1390&lt;&gt;0),('계산 과정'!$L$23-'계산 과정'!$C$49*D1390-'계산 과정'!$D$49*E1390)/O1390,"")</x:f>
        <x:v>-6.248672556454168</x:v>
      </x:c>
      <x:c r="Q1390" s="4" t="str">
        <x:f>IF(AND(ISNUMBER(P1390),P1390&gt;1E-9,P1390&lt;1-1E-9),'계산 과정'!$C$47*(D1390-'계산 과정'!$C$50+P1390*('계산 과정'!$C$32-D1390))+'계산 과정'!$D$47*(E1390-'계산 과정'!$D$50+P1390*('계산 과정'!$D$32-E1390))+'계산 과정'!$E$47*(0-'계산 과정'!$E$50+P1390*('계산 과정'!$E$32-0)),"")</x:f>
      </x:c>
      <x:c r="R1390" s="4" t="str">
        <x:f>IF(AND(ISNUMBER(P1390),P1390&gt;1E-9,P1390&lt;1-1E-9),'계산 과정'!$C$48*(D1390-'계산 과정'!$C$50+P1390*('계산 과정'!$C$32-D1390))+'계산 과정'!$D$48*(E1390-'계산 과정'!$D$50+P1390*('계산 과정'!$D$32-E1390))+'계산 과정'!$E$48*(0-'계산 과정'!$E$50+P1390*('계산 과정'!$E$32-0)),"")</x:f>
      </x:c>
      <x:c r="S1390" s="17" t="n">
        <x:f>IF('계산 과정'!$C$78,IF(AND(ISNUMBER(Q1390),ISNUMBER(R1390),ABS(Q1390-'계산 과정'!$C$88)&lt;='계산 과정'!$D$23/2,ABS(R1390-'계산 과정'!$C$89)&lt;='계산 과정'!$D$24/2),1,0),"")</x:f>
        <x:v>0</x:v>
      </x:c>
      <x:c r="T1390" s="4"/>
      <x:c r="U1390" s="4"/>
      <x:c r="V1390" s="4"/>
      <x:c r="W1390" s="4"/>
      <x:c r="X1390" s="4"/>
      <x:c r="Y1390" s="4"/>
      <x:c r="Z1390" s="4"/>
    </x:row>
    <x:row r="1391" ht="23" customHeight="1">
      <x:c r="A1391" s="17" t="n">
        <x:f>ROW()-6</x:f>
        <x:v>1385</x:v>
      </x:c>
      <x:c r="B1391" s="4" t="n">
        <x:f>IF('계산 과정'!$L$5,'계산 과정'!$L$11*SQRT((A1391+0.5)/'계산 과정'!$L$30),"")</x:f>
        <x:v>123.37567676486115</x:v>
      </x:c>
      <x:c r="C1391" s="4" t="n">
        <x:f>A1391*PI()*(3-SQRT(5))</x:f>
        <x:v>3323.9490731741844</x:v>
      </x:c>
      <x:c r="D1391" s="4" t="n">
        <x:f>IF('계산 과정'!$L$5,B1391*COS(C1391),"")</x:f>
        <x:v>122.0979177943961</x:v>
      </x:c>
      <x:c r="E1391" s="4" t="n">
        <x:f>IF('계산 과정'!$L$5,B1391*SIN(C1391),"")</x:f>
        <x:v>17.71033843438324</x:v>
      </x:c>
      <x:c r="F1391" s="4" t="n">
        <x:f>IF('계산 과정'!$L$7,'계산 과정'!$L$22+'계산 과정'!$C$49*D1391+'계산 과정'!$D$49*E1391,"")</x:f>
        <x:v>563.6637343588249</x:v>
      </x:c>
      <x:c r="G1391" s="4" t="n">
        <x:f>IF('계산 과정'!$L$7,IF(ABS(F1391)&gt;=1E-12*MAX(1,SQRT((D1391-'계산 과정'!$C$33)^2+(E1391-'계산 과정'!$D$33)^2+'계산 과정'!$E$33^2)),('계산 과정'!$L$23-'계산 과정'!$C$49*D1391-'계산 과정'!$D$49*E1391)/F1391,""),"")</x:f>
        <x:v>0.8628127658317227</x:v>
      </x:c>
      <x:c r="H1391" s="4" t="n">
        <x:f>IF(AND(ISNUMBER(G1391),G1391&gt;0),('계산 과정'!$D$56+'계산 과정'!$D$57*D1391+'계산 과정'!$D$58*E1391)/F1391,"")</x:f>
        <x:v>160.82829779061964</x:v>
      </x:c>
      <x:c r="I1391" s="4" t="n">
        <x:f>IF(AND(ISNUMBER(G1391),G1391&gt;0),('계산 과정'!$E$56+'계산 과정'!$E$57*D1391+'계산 과정'!$E$58*E1391)/F1391,"")</x:f>
        <x:v>32.99104452276931</x:v>
      </x:c>
      <x:c r="J1391" s="4" t="n">
        <x:f>IF('계산 과정'!$L$5,'계산 과정'!$D$6+'계산 과정'!$C$35*D1391+'계산 과정'!$D$35*E1391,"")</x:f>
        <x:v>563.6637343588249</x:v>
      </x:c>
      <x:c r="K1391" s="4" t="n">
        <x:f>IF(AND('계산 과정'!$L$6,J1391&gt;0),'계산 과정'!$D$10*('계산 과정'!$C$38*(D1391-'계산 과정'!$C$32)+'계산 과정'!$D$38*(E1391-'계산 과정'!$D$32)-'계산 과정'!$E$38*'계산 과정'!$E$32)/J1391,"")</x:f>
        <x:v>1.225358459357103</x:v>
      </x:c>
      <x:c r="L1391" s="4" t="n">
        <x:f>IF(AND('계산 과정'!$L$6,J1391&gt;0),'계산 과정'!$D$10*('계산 과정'!$C$39*(D1391-'계산 과정'!$C$32)+'계산 과정'!$D$39*(E1391-'계산 과정'!$D$32)-'계산 과정'!$E$39*'계산 과정'!$E$32)/J1391,"")</x:f>
        <x:v>0.25136033922109946</x:v>
      </x:c>
      <x:c r="M1391" s="17" t="n">
        <x:f>IF('계산 과정'!$L$6,IF(J1391&lt;=0,0,IF(AND(ABS(K1391)&lt;='계산 과정'!$D$11/2,ABS(L1391)&lt;='계산 과정'!$D$12/2),1,0)),"")</x:f>
        <x:v>1</x:v>
      </x:c>
      <x:c r="N1391" s="17" t="n">
        <x:f>IF('계산 과정'!$C$78,IF(AND(ISNUMBER(H1391),ISNUMBER(I1391),ABS(H1391-'계산 과정'!$C$88)&lt;='계산 과정'!$D$23/2,ABS(I1391-'계산 과정'!$C$89)&lt;='계산 과정'!$D$24/2),1,0),"")</x:f>
        <x:v>1</x:v>
      </x:c>
      <x:c r="O1391" s="4" t="n">
        <x:f>IF('계산 과정'!$L$7,'계산 과정'!$C$49*('계산 과정'!$C$32-D1391)+'계산 과정'!$D$49*('계산 과정'!$D$32-E1391)+'계산 과정'!$E$49*'계산 과정'!$E$32,"")</x:f>
        <x:v>86.3362656411752</x:v>
      </x:c>
      <x:c r="P1391" s="4" t="n">
        <x:f>IF(AND('계산 과정'!$L$7,O1391&lt;&gt;0),('계산 과정'!$L$23-'계산 과정'!$C$49*D1391-'계산 과정'!$D$49*E1391)/O1391,"")</x:f>
        <x:v>5.633047271959296</x:v>
      </x:c>
      <x:c r="Q1391" s="4" t="str">
        <x:f>IF(AND(ISNUMBER(P1391),P1391&gt;1E-9,P1391&lt;1-1E-9),'계산 과정'!$C$47*(D1391-'계산 과정'!$C$50+P1391*('계산 과정'!$C$32-D1391))+'계산 과정'!$D$47*(E1391-'계산 과정'!$D$50+P1391*('계산 과정'!$D$32-E1391))+'계산 과정'!$E$47*(0-'계산 과정'!$E$50+P1391*('계산 과정'!$E$32-0)),"")</x:f>
      </x:c>
      <x:c r="R1391" s="4" t="str">
        <x:f>IF(AND(ISNUMBER(P1391),P1391&gt;1E-9,P1391&lt;1-1E-9),'계산 과정'!$C$48*(D1391-'계산 과정'!$C$50+P1391*('계산 과정'!$C$32-D1391))+'계산 과정'!$D$48*(E1391-'계산 과정'!$D$50+P1391*('계산 과정'!$D$32-E1391))+'계산 과정'!$E$48*(0-'계산 과정'!$E$50+P1391*('계산 과정'!$E$32-0)),"")</x:f>
      </x:c>
      <x:c r="S1391" s="17" t="n">
        <x:f>IF('계산 과정'!$C$78,IF(AND(ISNUMBER(Q1391),ISNUMBER(R1391),ABS(Q1391-'계산 과정'!$C$88)&lt;='계산 과정'!$D$23/2,ABS(R1391-'계산 과정'!$C$89)&lt;='계산 과정'!$D$24/2),1,0),"")</x:f>
        <x:v>0</x:v>
      </x:c>
      <x:c r="T1391" s="4"/>
      <x:c r="U1391" s="4"/>
      <x:c r="V1391" s="4"/>
      <x:c r="W1391" s="4"/>
      <x:c r="X1391" s="4"/>
      <x:c r="Y1391" s="4"/>
      <x:c r="Z1391" s="4"/>
    </x:row>
    <x:row r="1392" ht="23" customHeight="1">
      <x:c r="A1392" s="17" t="n">
        <x:f>ROW()-6</x:f>
        <x:v>1386</x:v>
      </x:c>
      <x:c r="B1392" s="4" t="n">
        <x:f>IF('계산 과정'!$L$5,'계산 과정'!$L$11*SQRT((A1392+0.5)/'계산 과정'!$L$30),"")</x:f>
        <x:v>123.42019261576486</x:v>
      </x:c>
      <x:c r="C1392" s="4" t="n">
        <x:f>A1392*PI()*(3-SQRT(5))</x:f>
        <x:v>3326.3490364039126</x:v>
      </x:c>
      <x:c r="D1392" s="4" t="n">
        <x:f>IF('계산 과정'!$L$5,B1392*COS(C1392),"")</x:f>
        <x:v>-102.03116752391048</x:v>
      </x:c>
      <x:c r="E1392" s="4" t="n">
        <x:f>IF('계산 과정'!$L$5,B1392*SIN(C1392),"")</x:f>
        <x:v>69.44195273046554</x:v>
      </x:c>
      <x:c r="F1392" s="4" t="n">
        <x:f>IF('계산 과정'!$L$7,'계산 과정'!$L$22+'계산 과정'!$C$49*D1392+'계산 과정'!$D$49*E1392,"")</x:f>
        <x:v>722.1469304485378</x:v>
      </x:c>
      <x:c r="G1392" s="4" t="n">
        <x:f>IF('계산 과정'!$L$7,IF(ABS(F1392)&gt;=1E-12*MAX(1,SQRT((D1392-'계산 과정'!$C$33)^2+(E1392-'계산 과정'!$D$33)^2+'계산 과정'!$E$33^2)),('계산 과정'!$L$23-'계산 과정'!$C$49*D1392-'계산 과정'!$D$49*E1392)/F1392,""),"")</x:f>
        <x:v>0.45399773332530424</x:v>
      </x:c>
      <x:c r="H1392" s="4" t="n">
        <x:f>IF(AND(ISNUMBER(G1392),G1392&gt;0),('계산 과정'!$D$56+'계산 과정'!$D$57*D1392+'계산 과정'!$D$58*E1392)/F1392,"")</x:f>
        <x:v>-104.90147333855238</x:v>
      </x:c>
      <x:c r="I1392" s="4" t="n">
        <x:f>IF(AND(ISNUMBER(G1392),G1392&gt;0),('계산 과정'!$E$56+'계산 과정'!$E$57*D1392+'계산 과정'!$E$58*E1392)/F1392,"")</x:f>
        <x:v>100.96844186777983</x:v>
      </x:c>
      <x:c r="J1392" s="4" t="n">
        <x:f>IF('계산 과정'!$L$5,'계산 과정'!$D$6+'계산 과정'!$C$35*D1392+'계산 과정'!$D$35*E1392,"")</x:f>
        <x:v>722.1469304485378</x:v>
      </x:c>
      <x:c r="K1392" s="4" t="n">
        <x:f>IF(AND('계산 과정'!$L$6,J1392&gt;0),'계산 과정'!$D$10*('계산 과정'!$C$38*(D1392-'계산 과정'!$C$32)+'계산 과정'!$D$38*(E1392-'계산 과정'!$D$32)-'계산 과정'!$E$38*'계산 과정'!$E$32)/J1392,"")</x:f>
        <x:v>-0.7992493206746841</x:v>
      </x:c>
      <x:c r="L1392" s="4" t="n">
        <x:f>IF(AND('계산 과정'!$L$6,J1392&gt;0),'계산 과정'!$D$10*('계산 과정'!$C$39*(D1392-'계산 과정'!$C$32)+'계산 과정'!$D$39*(E1392-'계산 과정'!$D$32)-'계산 과정'!$E$39*'계산 과정'!$E$32)/J1392,"")</x:f>
        <x:v>0.7692833666116558</x:v>
      </x:c>
      <x:c r="M1392" s="17" t="n">
        <x:f>IF('계산 과정'!$L$6,IF(J1392&lt;=0,0,IF(AND(ABS(K1392)&lt;='계산 과정'!$D$11/2,ABS(L1392)&lt;='계산 과정'!$D$12/2),1,0)),"")</x:f>
        <x:v>1</x:v>
      </x:c>
      <x:c r="N1392" s="17" t="n">
        <x:f>IF('계산 과정'!$C$78,IF(AND(ISNUMBER(H1392),ISNUMBER(I1392),ABS(H1392-'계산 과정'!$C$88)&lt;='계산 과정'!$D$23/2,ABS(I1392-'계산 과정'!$C$89)&lt;='계산 과정'!$D$24/2),1,0),"")</x:f>
        <x:v>1</x:v>
      </x:c>
      <x:c r="O1392" s="4" t="n">
        <x:f>IF('계산 과정'!$L$7,'계산 과정'!$C$49*('계산 과정'!$C$32-D1392)+'계산 과정'!$D$49*('계산 과정'!$D$32-E1392)+'계산 과정'!$E$49*'계산 과정'!$E$32,"")</x:f>
        <x:v>-72.14693044853766</x:v>
      </x:c>
      <x:c r="P1392" s="4" t="n">
        <x:f>IF(AND('계산 과정'!$L$7,O1392&lt;&gt;0),('계산 과정'!$L$23-'계산 과정'!$C$49*D1392-'계산 과정'!$D$49*E1392)/O1392,"")</x:f>
        <x:v>-4.544241418355554</x:v>
      </x:c>
      <x:c r="Q1392" s="4" t="str">
        <x:f>IF(AND(ISNUMBER(P1392),P1392&gt;1E-9,P1392&lt;1-1E-9),'계산 과정'!$C$47*(D1392-'계산 과정'!$C$50+P1392*('계산 과정'!$C$32-D1392))+'계산 과정'!$D$47*(E1392-'계산 과정'!$D$50+P1392*('계산 과정'!$D$32-E1392))+'계산 과정'!$E$47*(0-'계산 과정'!$E$50+P1392*('계산 과정'!$E$32-0)),"")</x:f>
      </x:c>
      <x:c r="R1392" s="4" t="str">
        <x:f>IF(AND(ISNUMBER(P1392),P1392&gt;1E-9,P1392&lt;1-1E-9),'계산 과정'!$C$48*(D1392-'계산 과정'!$C$50+P1392*('계산 과정'!$C$32-D1392))+'계산 과정'!$D$48*(E1392-'계산 과정'!$D$50+P1392*('계산 과정'!$D$32-E1392))+'계산 과정'!$E$48*(0-'계산 과정'!$E$50+P1392*('계산 과정'!$E$32-0)),"")</x:f>
      </x:c>
      <x:c r="S1392" s="17" t="n">
        <x:f>IF('계산 과정'!$C$78,IF(AND(ISNUMBER(Q1392),ISNUMBER(R1392),ABS(Q1392-'계산 과정'!$C$88)&lt;='계산 과정'!$D$23/2,ABS(R1392-'계산 과정'!$C$89)&lt;='계산 과정'!$D$24/2),1,0),"")</x:f>
        <x:v>0</x:v>
      </x:c>
      <x:c r="T1392" s="4"/>
      <x:c r="U1392" s="4"/>
      <x:c r="V1392" s="4"/>
      <x:c r="W1392" s="4"/>
      <x:c r="X1392" s="4"/>
      <x:c r="Y1392" s="4"/>
      <x:c r="Z1392" s="4"/>
    </x:row>
    <x:row r="1393" ht="23" customHeight="1">
      <x:c r="A1393" s="17" t="n">
        <x:f>ROW()-6</x:f>
        <x:v>1387</x:v>
      </x:c>
      <x:c r="B1393" s="4" t="n">
        <x:f>IF('계산 과정'!$L$5,'계산 과정'!$L$11*SQRT((A1393+0.5)/'계산 과정'!$L$30),"")</x:f>
        <x:v>123.46469241624303</x:v>
      </x:c>
      <x:c r="C1393" s="4" t="n">
        <x:f>A1393*PI()*(3-SQRT(5))</x:f>
        <x:v>3328.7489996336417</x:v>
      </x:c>
      <x:c r="D1393" s="4" t="n">
        <x:f>IF('계산 과정'!$L$5,B1393*COS(C1393),"")</x:f>
        <x:v>28.337455978641554</x:v>
      </x:c>
      <x:c r="E1393" s="4" t="n">
        <x:f>IF('계산 과정'!$L$5,B1393*SIN(C1393),"")</x:f>
        <x:v>-120.16870999597212</x:v>
      </x:c>
      <x:c r="F1393" s="4" t="n">
        <x:f>IF('계산 과정'!$L$7,'계산 과정'!$L$22+'계산 과정'!$C$49*D1393+'계산 과정'!$D$49*E1393,"")</x:f>
        <x:v>629.9623927159273</x:v>
      </x:c>
      <x:c r="G1393" s="4" t="n">
        <x:f>IF('계산 과정'!$L$7,IF(ABS(F1393)&gt;=1E-12*MAX(1,SQRT((D1393-'계산 과정'!$C$33)^2+(E1393-'계산 과정'!$D$33)^2+'계산 과정'!$E$33^2)),('계산 과정'!$L$23-'계산 과정'!$C$49*D1393-'계산 과정'!$D$49*E1393)/F1393,""),"")</x:f>
        <x:v>0.6667661627755019</x:v>
      </x:c>
      <x:c r="H1393" s="4" t="n">
        <x:f>IF(AND(ISNUMBER(G1393),G1393&gt;0),('계산 과정'!$D$56+'계산 과정'!$D$57*D1393+'계산 과정'!$D$58*E1393)/F1393,"")</x:f>
        <x:v>33.39800580407622</x:v>
      </x:c>
      <x:c r="I1393" s="4" t="n">
        <x:f>IF(AND(ISNUMBER(G1393),G1393&gt;0),('계산 과정'!$E$56+'계산 과정'!$E$57*D1393+'계산 과정'!$E$58*E1393)/F1393,"")</x:f>
        <x:v>-200.29313964566856</x:v>
      </x:c>
      <x:c r="J1393" s="4" t="n">
        <x:f>IF('계산 과정'!$L$5,'계산 과정'!$D$6+'계산 과정'!$C$35*D1393+'계산 과정'!$D$35*E1393,"")</x:f>
        <x:v>629.9623927159273</x:v>
      </x:c>
      <x:c r="K1393" s="4" t="n">
        <x:f>IF(AND('계산 과정'!$L$6,J1393&gt;0),'계산 과정'!$D$10*('계산 과정'!$C$38*(D1393-'계산 과정'!$C$32)+'계산 과정'!$D$38*(E1393-'계산 과정'!$D$32)-'계산 과정'!$E$38*'계산 과정'!$E$32)/J1393,"")</x:f>
        <x:v>0.2544609966024867</x:v>
      </x:c>
      <x:c r="L1393" s="4" t="n">
        <x:f>IF(AND('계산 과정'!$L$6,J1393&gt;0),'계산 과정'!$D$10*('계산 과정'!$C$39*(D1393-'계산 과정'!$C$32)+'계산 과정'!$D$39*(E1393-'계산 과정'!$D$32)-'계산 과정'!$E$39*'계산 과정'!$E$32)/J1393,"")</x:f>
        <x:v>-1.5260429687289034</x:v>
      </x:c>
      <x:c r="M1393" s="17" t="n">
        <x:f>IF('계산 과정'!$L$6,IF(J1393&lt;=0,0,IF(AND(ABS(K1393)&lt;='계산 과정'!$D$11/2,ABS(L1393)&lt;='계산 과정'!$D$12/2),1,0)),"")</x:f>
        <x:v>1</x:v>
      </x:c>
      <x:c r="N1393" s="17" t="n">
        <x:f>IF('계산 과정'!$C$78,IF(AND(ISNUMBER(H1393),ISNUMBER(I1393),ABS(H1393-'계산 과정'!$C$88)&lt;='계산 과정'!$D$23/2,ABS(I1393-'계산 과정'!$C$89)&lt;='계산 과정'!$D$24/2),1,0),"")</x:f>
        <x:v>1</x:v>
      </x:c>
      <x:c r="O1393" s="4" t="n">
        <x:f>IF('계산 과정'!$L$7,'계산 과정'!$C$49*('계산 과정'!$C$32-D1393)+'계산 과정'!$D$49*('계산 과정'!$D$32-E1393)+'계산 과정'!$E$49*'계산 과정'!$E$32,"")</x:f>
        <x:v>20.037607284072863</x:v>
      </x:c>
      <x:c r="P1393" s="4" t="n">
        <x:f>IF(AND('계산 과정'!$L$7,O1393&lt;&gt;0),('계산 과정'!$L$23-'계산 과정'!$C$49*D1393-'계산 과정'!$D$49*E1393)/O1393,"")</x:f>
        <x:v>20.96246329859677</x:v>
      </x:c>
      <x:c r="Q1393" s="4" t="str">
        <x:f>IF(AND(ISNUMBER(P1393),P1393&gt;1E-9,P1393&lt;1-1E-9),'계산 과정'!$C$47*(D1393-'계산 과정'!$C$50+P1393*('계산 과정'!$C$32-D1393))+'계산 과정'!$D$47*(E1393-'계산 과정'!$D$50+P1393*('계산 과정'!$D$32-E1393))+'계산 과정'!$E$47*(0-'계산 과정'!$E$50+P1393*('계산 과정'!$E$32-0)),"")</x:f>
      </x:c>
      <x:c r="R1393" s="4" t="str">
        <x:f>IF(AND(ISNUMBER(P1393),P1393&gt;1E-9,P1393&lt;1-1E-9),'계산 과정'!$C$48*(D1393-'계산 과정'!$C$50+P1393*('계산 과정'!$C$32-D1393))+'계산 과정'!$D$48*(E1393-'계산 과정'!$D$50+P1393*('계산 과정'!$D$32-E1393))+'계산 과정'!$E$48*(0-'계산 과정'!$E$50+P1393*('계산 과정'!$E$32-0)),"")</x:f>
      </x:c>
      <x:c r="S1393" s="17" t="n">
        <x:f>IF('계산 과정'!$C$78,IF(AND(ISNUMBER(Q1393),ISNUMBER(R1393),ABS(Q1393-'계산 과정'!$C$88)&lt;='계산 과정'!$D$23/2,ABS(R1393-'계산 과정'!$C$89)&lt;='계산 과정'!$D$24/2),1,0),"")</x:f>
        <x:v>0</x:v>
      </x:c>
      <x:c r="T1393" s="4"/>
      <x:c r="U1393" s="4"/>
      <x:c r="V1393" s="4"/>
      <x:c r="W1393" s="4"/>
      <x:c r="X1393" s="4"/>
      <x:c r="Y1393" s="4"/>
      <x:c r="Z1393" s="4"/>
    </x:row>
    <x:row r="1394" ht="23" customHeight="1">
      <x:c r="A1394" s="17" t="n">
        <x:f>ROW()-6</x:f>
        <x:v>1388</x:v>
      </x:c>
      <x:c r="B1394" s="4" t="n">
        <x:f>IF('계산 과정'!$L$5,'계산 과정'!$L$11*SQRT((A1394+0.5)/'계산 과정'!$L$30),"")</x:f>
        <x:v>123.50917618364436</x:v>
      </x:c>
      <x:c r="C1394" s="4" t="n">
        <x:f>A1394*PI()*(3-SQRT(5))</x:f>
        <x:v>3331.1489628633703</x:v>
      </x:c>
      <x:c r="D1394" s="4" t="n">
        <x:f>IF('계산 과정'!$L$5,B1394*COS(C1394),"")</x:f>
        <x:v>60.2993569130041</x:v>
      </x:c>
      <x:c r="E1394" s="4" t="n">
        <x:f>IF('계산 과정'!$L$5,B1394*SIN(C1394),"")</x:f>
        <x:v>107.78916530635465</x:v>
      </x:c>
      <x:c r="F1394" s="4" t="n">
        <x:f>IF('계산 과정'!$L$7,'계산 과정'!$L$22+'계산 과정'!$C$49*D1394+'계산 과정'!$D$49*E1394,"")</x:f>
        <x:v>607.3619158256269</x:v>
      </x:c>
      <x:c r="G1394" s="4" t="n">
        <x:f>IF('계산 과정'!$L$7,IF(ABS(F1394)&gt;=1E-12*MAX(1,SQRT((D1394-'계산 과정'!$C$33)^2+(E1394-'계산 과정'!$D$33)^2+'계산 과정'!$E$33^2)),('계산 과정'!$L$23-'계산 과정'!$C$49*D1394-'계산 과정'!$D$49*E1394)/F1394,""),"")</x:f>
        <x:v>0.7287880136058023</x:v>
      </x:c>
      <x:c r="H1394" s="4" t="n">
        <x:f>IF(AND(ISNUMBER(G1394),G1394&gt;0),('계산 과정'!$D$56+'계산 과정'!$D$57*D1394+'계산 과정'!$D$58*E1394)/F1394,"")</x:f>
        <x:v>73.7122088437714</x:v>
      </x:c>
      <x:c r="I1394" s="4" t="n">
        <x:f>IF(AND(ISNUMBER(G1394),G1394&gt;0),('계산 과정'!$E$56+'계산 과정'!$E$57*D1394+'계산 과정'!$E$58*E1394)/F1394,"")</x:f>
        <x:v>186.34461697820032</x:v>
      </x:c>
      <x:c r="J1394" s="4" t="n">
        <x:f>IF('계산 과정'!$L$5,'계산 과정'!$D$6+'계산 과정'!$C$35*D1394+'계산 과정'!$D$35*E1394,"")</x:f>
        <x:v>607.3619158256269</x:v>
      </x:c>
      <x:c r="K1394" s="4" t="n">
        <x:f>IF(AND('계산 과정'!$L$6,J1394&gt;0),'계산 과정'!$D$10*('계산 과정'!$C$38*(D1394-'계산 과정'!$C$32)+'계산 과정'!$D$38*(E1394-'계산 과정'!$D$32)-'계산 과정'!$E$38*'계산 과정'!$E$32)/J1394,"")</x:f>
        <x:v>0.5616168292858785</x:v>
      </x:c>
      <x:c r="L1394" s="4" t="n">
        <x:f>IF(AND('계산 과정'!$L$6,J1394&gt;0),'계산 과정'!$D$10*('계산 과정'!$C$39*(D1394-'계산 과정'!$C$32)+'계산 과정'!$D$39*(E1394-'계산 과정'!$D$32)-'계산 과정'!$E$39*'계산 과정'!$E$32)/J1394,"")</x:f>
        <x:v>1.4197685103100977</x:v>
      </x:c>
      <x:c r="M1394" s="17" t="n">
        <x:f>IF('계산 과정'!$L$6,IF(J1394&lt;=0,0,IF(AND(ABS(K1394)&lt;='계산 과정'!$D$11/2,ABS(L1394)&lt;='계산 과정'!$D$12/2),1,0)),"")</x:f>
        <x:v>1</x:v>
      </x:c>
      <x:c r="N1394" s="17" t="n">
        <x:f>IF('계산 과정'!$C$78,IF(AND(ISNUMBER(H1394),ISNUMBER(I1394),ABS(H1394-'계산 과정'!$C$88)&lt;='계산 과정'!$D$23/2,ABS(I1394-'계산 과정'!$C$89)&lt;='계산 과정'!$D$24/2),1,0),"")</x:f>
        <x:v>1</x:v>
      </x:c>
      <x:c r="O1394" s="4" t="n">
        <x:f>IF('계산 과정'!$L$7,'계산 과정'!$C$49*('계산 과정'!$C$32-D1394)+'계산 과정'!$D$49*('계산 과정'!$D$32-E1394)+'계산 과정'!$E$49*'계산 과정'!$E$32,"")</x:f>
        <x:v>42.638084174373205</x:v>
      </x:c>
      <x:c r="P1394" s="4" t="n">
        <x:f>IF(AND('계산 과정'!$L$7,O1394&lt;&gt;0),('계산 과정'!$L$23-'계산 과정'!$C$49*D1394-'계산 과정'!$D$49*E1394)/O1394,"")</x:f>
        <x:v>10.381284542808144</x:v>
      </x:c>
      <x:c r="Q1394" s="4" t="str">
        <x:f>IF(AND(ISNUMBER(P1394),P1394&gt;1E-9,P1394&lt;1-1E-9),'계산 과정'!$C$47*(D1394-'계산 과정'!$C$50+P1394*('계산 과정'!$C$32-D1394))+'계산 과정'!$D$47*(E1394-'계산 과정'!$D$50+P1394*('계산 과정'!$D$32-E1394))+'계산 과정'!$E$47*(0-'계산 과정'!$E$50+P1394*('계산 과정'!$E$32-0)),"")</x:f>
      </x:c>
      <x:c r="R1394" s="4" t="str">
        <x:f>IF(AND(ISNUMBER(P1394),P1394&gt;1E-9,P1394&lt;1-1E-9),'계산 과정'!$C$48*(D1394-'계산 과정'!$C$50+P1394*('계산 과정'!$C$32-D1394))+'계산 과정'!$D$48*(E1394-'계산 과정'!$D$50+P1394*('계산 과정'!$D$32-E1394))+'계산 과정'!$E$48*(0-'계산 과정'!$E$50+P1394*('계산 과정'!$E$32-0)),"")</x:f>
      </x:c>
      <x:c r="S1394" s="17" t="n">
        <x:f>IF('계산 과정'!$C$78,IF(AND(ISNUMBER(Q1394),ISNUMBER(R1394),ABS(Q1394-'계산 과정'!$C$88)&lt;='계산 과정'!$D$23/2,ABS(R1394-'계산 과정'!$C$89)&lt;='계산 과정'!$D$24/2),1,0),"")</x:f>
        <x:v>0</x:v>
      </x:c>
      <x:c r="T1394" s="4"/>
      <x:c r="U1394" s="4"/>
      <x:c r="V1394" s="4"/>
      <x:c r="W1394" s="4"/>
      <x:c r="X1394" s="4"/>
      <x:c r="Y1394" s="4"/>
      <x:c r="Z1394" s="4"/>
    </x:row>
    <x:row r="1395" ht="23" customHeight="1">
      <x:c r="A1395" s="17" t="n">
        <x:f>ROW()-6</x:f>
        <x:v>1389</x:v>
      </x:c>
      <x:c r="B1395" s="4" t="n">
        <x:f>IF('계산 과정'!$L$5,'계산 과정'!$L$11*SQRT((A1395+0.5)/'계산 과정'!$L$30),"")</x:f>
        <x:v>123.55364393528626</x:v>
      </x:c>
      <x:c r="C1395" s="4" t="n">
        <x:f>A1395*PI()*(3-SQRT(5))</x:f>
        <x:v>3333.5489260930985</x:v>
      </x:c>
      <x:c r="D1395" s="4" t="n">
        <x:f>IF('계산 과정'!$L$5,B1395*COS(C1395),"")</x:f>
        <x:v>-117.31562679592271</x:v>
      </x:c>
      <x:c r="E1395" s="4" t="n">
        <x:f>IF('계산 과정'!$L$5,B1395*SIN(C1395),"")</x:f>
        <x:v>-38.762696489889315</x:v>
      </x:c>
      <x:c r="F1395" s="4" t="n">
        <x:f>IF('계산 과정'!$L$7,'계산 과정'!$L$22+'계산 과정'!$C$49*D1395+'계산 과정'!$D$49*E1395,"")</x:f>
        <x:v>732.9546752465471</x:v>
      </x:c>
      <x:c r="G1395" s="4" t="n">
        <x:f>IF('계산 과정'!$L$7,IF(ABS(F1395)&gt;=1E-12*MAX(1,SQRT((D1395-'계산 과정'!$C$33)^2+(E1395-'계산 과정'!$D$33)^2+'계산 과정'!$E$33^2)),('계산 과정'!$L$23-'계산 과정'!$C$49*D1395-'계산 과정'!$D$49*E1395)/F1395,""),"")</x:f>
        <x:v>0.43255788585673033</x:v>
      </x:c>
      <x:c r="H1395" s="4" t="n">
        <x:f>IF(AND(ISNUMBER(G1395),G1395&gt;0),('계산 과정'!$D$56+'계산 과정'!$D$57*D1395+'계산 과정'!$D$58*E1395)/F1395,"")</x:f>
        <x:v>-118.83737419312543</x:v>
      </x:c>
      <x:c r="I1395" s="4" t="n">
        <x:f>IF(AND(ISNUMBER(G1395),G1395&gt;0),('계산 과정'!$E$56+'계산 과정'!$E$57*D1395+'계산 과정'!$E$58*E1395)/F1395,"")</x:f>
        <x:v>-55.52980653366194</x:v>
      </x:c>
      <x:c r="J1395" s="4" t="n">
        <x:f>IF('계산 과정'!$L$5,'계산 과정'!$D$6+'계산 과정'!$C$35*D1395+'계산 과정'!$D$35*E1395,"")</x:f>
        <x:v>732.9546752465471</x:v>
      </x:c>
      <x:c r="K1395" s="4" t="n">
        <x:f>IF(AND('계산 과정'!$L$6,J1395&gt;0),'계산 과정'!$D$10*('계산 과정'!$C$38*(D1395-'계산 과정'!$C$32)+'계산 과정'!$D$38*(E1395-'계산 과정'!$D$32)-'계산 과정'!$E$38*'계산 과정'!$E$32)/J1395,"")</x:f>
        <x:v>-0.9054276129000023</x:v>
      </x:c>
      <x:c r="L1395" s="4" t="n">
        <x:f>IF(AND('계산 과정'!$L$6,J1395&gt;0),'계산 과정'!$D$10*('계산 과정'!$C$39*(D1395-'계산 과정'!$C$32)+'계산 과정'!$D$39*(E1395-'계산 과정'!$D$32)-'계산 과정'!$E$39*'계산 과정'!$E$32)/J1395,"")</x:f>
        <x:v>-0.42308424025647196</x:v>
      </x:c>
      <x:c r="M1395" s="17" t="n">
        <x:f>IF('계산 과정'!$L$6,IF(J1395&lt;=0,0,IF(AND(ABS(K1395)&lt;='계산 과정'!$D$11/2,ABS(L1395)&lt;='계산 과정'!$D$12/2),1,0)),"")</x:f>
        <x:v>1</x:v>
      </x:c>
      <x:c r="N1395" s="17" t="n">
        <x:f>IF('계산 과정'!$C$78,IF(AND(ISNUMBER(H1395),ISNUMBER(I1395),ABS(H1395-'계산 과정'!$C$88)&lt;='계산 과정'!$D$23/2,ABS(I1395-'계산 과정'!$C$89)&lt;='계산 과정'!$D$24/2),1,0),"")</x:f>
        <x:v>1</x:v>
      </x:c>
      <x:c r="O1395" s="4" t="n">
        <x:f>IF('계산 과정'!$L$7,'계산 과정'!$C$49*('계산 과정'!$C$32-D1395)+'계산 과정'!$D$49*('계산 과정'!$D$32-E1395)+'계산 과정'!$E$49*'계산 과정'!$E$32,"")</x:f>
        <x:v>-82.95467524654708</x:v>
      </x:c>
      <x:c r="P1395" s="4" t="n">
        <x:f>IF(AND('계산 과정'!$L$7,O1395&lt;&gt;0),('계산 과정'!$L$23-'계산 과정'!$C$49*D1395-'계산 과정'!$D$49*E1395)/O1395,"")</x:f>
        <x:v>-3.8219102637816613</x:v>
      </x:c>
      <x:c r="Q1395" s="4" t="str">
        <x:f>IF(AND(ISNUMBER(P1395),P1395&gt;1E-9,P1395&lt;1-1E-9),'계산 과정'!$C$47*(D1395-'계산 과정'!$C$50+P1395*('계산 과정'!$C$32-D1395))+'계산 과정'!$D$47*(E1395-'계산 과정'!$D$50+P1395*('계산 과정'!$D$32-E1395))+'계산 과정'!$E$47*(0-'계산 과정'!$E$50+P1395*('계산 과정'!$E$32-0)),"")</x:f>
      </x:c>
      <x:c r="R1395" s="4" t="str">
        <x:f>IF(AND(ISNUMBER(P1395),P1395&gt;1E-9,P1395&lt;1-1E-9),'계산 과정'!$C$48*(D1395-'계산 과정'!$C$50+P1395*('계산 과정'!$C$32-D1395))+'계산 과정'!$D$48*(E1395-'계산 과정'!$D$50+P1395*('계산 과정'!$D$32-E1395))+'계산 과정'!$E$48*(0-'계산 과정'!$E$50+P1395*('계산 과정'!$E$32-0)),"")</x:f>
      </x:c>
      <x:c r="S1395" s="17" t="n">
        <x:f>IF('계산 과정'!$C$78,IF(AND(ISNUMBER(Q1395),ISNUMBER(R1395),ABS(Q1395-'계산 과정'!$C$88)&lt;='계산 과정'!$D$23/2,ABS(R1395-'계산 과정'!$C$89)&lt;='계산 과정'!$D$24/2),1,0),"")</x:f>
        <x:v>0</x:v>
      </x:c>
      <x:c r="T1395" s="4"/>
      <x:c r="U1395" s="4"/>
      <x:c r="V1395" s="4"/>
      <x:c r="W1395" s="4"/>
      <x:c r="X1395" s="4"/>
      <x:c r="Y1395" s="4"/>
      <x:c r="Z1395" s="4"/>
    </x:row>
    <x:row r="1396" ht="23" customHeight="1">
      <x:c r="A1396" s="17" t="n">
        <x:f>ROW()-6</x:f>
        <x:v>1390</x:v>
      </x:c>
      <x:c r="B1396" s="4" t="n">
        <x:f>IF('계산 과정'!$L$5,'계산 과정'!$L$11*SQRT((A1396+0.5)/'계산 과정'!$L$30),"")</x:f>
        <x:v>123.59809568845509</x:v>
      </x:c>
      <x:c r="C1396" s="4" t="n">
        <x:f>A1396*PI()*(3-SQRT(5))</x:f>
        <x:v>3335.9488893228277</x:v>
      </x:c>
      <x:c r="D1396" s="4" t="n">
        <x:f>IF('계산 과정'!$L$5,B1396*COS(C1396),"")</x:f>
        <x:v>112.72926017294085</x:v>
      </x:c>
      <x:c r="E1396" s="4" t="n">
        <x:f>IF('계산 과정'!$L$5,B1396*SIN(C1396),"")</x:f>
        <x:v>-50.68138868138788</x:v>
      </x:c>
      <x:c r="F1396" s="4" t="n">
        <x:f>IF('계산 과정'!$L$7,'계산 과정'!$L$22+'계산 과정'!$C$49*D1396+'계산 과정'!$D$49*E1396,"")</x:f>
        <x:v>570.288375693571</x:v>
      </x:c>
      <x:c r="G1396" s="4" t="n">
        <x:f>IF('계산 과정'!$L$7,IF(ABS(F1396)&gt;=1E-12*MAX(1,SQRT((D1396-'계산 과정'!$C$33)^2+(E1396-'계산 과정'!$D$33)^2+'계산 과정'!$E$33^2)),('계산 과정'!$L$23-'계산 과정'!$C$49*D1396-'계산 과정'!$D$49*E1396)/F1396,""),"")</x:f>
        <x:v>0.8411737723445886</x:v>
      </x:c>
      <x:c r="H1396" s="4" t="n">
        <x:f>IF(AND(ISNUMBER(G1396),G1396&gt;0),('계산 과정'!$D$56+'계산 과정'!$D$57*D1396+'계산 과정'!$D$58*E1396)/F1396,"")</x:f>
        <x:v>146.76295202398254</x:v>
      </x:c>
      <x:c r="I1396" s="4" t="n">
        <x:f>IF(AND(ISNUMBER(G1396),G1396&gt;0),('계산 과정'!$E$56+'계산 과정'!$E$57*D1396+'계산 과정'!$E$58*E1396)/F1396,"")</x:f>
        <x:v>-93.31324358617326</x:v>
      </x:c>
      <x:c r="J1396" s="4" t="n">
        <x:f>IF('계산 과정'!$L$5,'계산 과정'!$D$6+'계산 과정'!$C$35*D1396+'계산 과정'!$D$35*E1396,"")</x:f>
        <x:v>570.288375693571</x:v>
      </x:c>
      <x:c r="K1396" s="4" t="n">
        <x:f>IF(AND('계산 과정'!$L$6,J1396&gt;0),'계산 과정'!$D$10*('계산 과정'!$C$38*(D1396-'계산 과정'!$C$32)+'계산 과정'!$D$38*(E1396-'계산 과정'!$D$32)-'계산 과정'!$E$38*'계산 과정'!$E$32)/J1396,"")</x:f>
        <x:v>1.1181939201827245</x:v>
      </x:c>
      <x:c r="L1396" s="4" t="n">
        <x:f>IF(AND('계산 과정'!$L$6,J1396&gt;0),'계산 과정'!$D$10*('계산 과정'!$C$39*(D1396-'계산 과정'!$C$32)+'계산 과정'!$D$39*(E1396-'계산 과정'!$D$32)-'계산 과정'!$E$39*'계산 과정'!$E$32)/J1396,"")</x:f>
        <x:v>-0.7109580463708438</x:v>
      </x:c>
      <x:c r="M1396" s="17" t="n">
        <x:f>IF('계산 과정'!$L$6,IF(J1396&lt;=0,0,IF(AND(ABS(K1396)&lt;='계산 과정'!$D$11/2,ABS(L1396)&lt;='계산 과정'!$D$12/2),1,0)),"")</x:f>
        <x:v>1</x:v>
      </x:c>
      <x:c r="N1396" s="17" t="n">
        <x:f>IF('계산 과정'!$C$78,IF(AND(ISNUMBER(H1396),ISNUMBER(I1396),ABS(H1396-'계산 과정'!$C$88)&lt;='계산 과정'!$D$23/2,ABS(I1396-'계산 과정'!$C$89)&lt;='계산 과정'!$D$24/2),1,0),"")</x:f>
        <x:v>1</x:v>
      </x:c>
      <x:c r="O1396" s="4" t="n">
        <x:f>IF('계산 과정'!$L$7,'계산 과정'!$C$49*('계산 과정'!$C$32-D1396)+'계산 과정'!$D$49*('계산 과정'!$D$32-E1396)+'계산 과정'!$E$49*'계산 과정'!$E$32,"")</x:f>
        <x:v>79.71162430642917</x:v>
      </x:c>
      <x:c r="P1396" s="4" t="n">
        <x:f>IF(AND('계산 과정'!$L$7,O1396&lt;&gt;0),('계산 과정'!$L$23-'계산 과정'!$C$49*D1396-'계산 과정'!$D$49*E1396)/O1396,"")</x:f>
        <x:v>6.018088685061932</x:v>
      </x:c>
      <x:c r="Q1396" s="4" t="str">
        <x:f>IF(AND(ISNUMBER(P1396),P1396&gt;1E-9,P1396&lt;1-1E-9),'계산 과정'!$C$47*(D1396-'계산 과정'!$C$50+P1396*('계산 과정'!$C$32-D1396))+'계산 과정'!$D$47*(E1396-'계산 과정'!$D$50+P1396*('계산 과정'!$D$32-E1396))+'계산 과정'!$E$47*(0-'계산 과정'!$E$50+P1396*('계산 과정'!$E$32-0)),"")</x:f>
      </x:c>
      <x:c r="R1396" s="4" t="str">
        <x:f>IF(AND(ISNUMBER(P1396),P1396&gt;1E-9,P1396&lt;1-1E-9),'계산 과정'!$C$48*(D1396-'계산 과정'!$C$50+P1396*('계산 과정'!$C$32-D1396))+'계산 과정'!$D$48*(E1396-'계산 과정'!$D$50+P1396*('계산 과정'!$D$32-E1396))+'계산 과정'!$E$48*(0-'계산 과정'!$E$50+P1396*('계산 과정'!$E$32-0)),"")</x:f>
      </x:c>
      <x:c r="S1396" s="17" t="n">
        <x:f>IF('계산 과정'!$C$78,IF(AND(ISNUMBER(Q1396),ISNUMBER(R1396),ABS(Q1396-'계산 과정'!$C$88)&lt;='계산 과정'!$D$23/2,ABS(R1396-'계산 과정'!$C$89)&lt;='계산 과정'!$D$24/2),1,0),"")</x:f>
        <x:v>0</x:v>
      </x:c>
      <x:c r="T1396" s="4"/>
      <x:c r="U1396" s="4"/>
      <x:c r="V1396" s="4"/>
      <x:c r="W1396" s="4"/>
      <x:c r="X1396" s="4"/>
      <x:c r="Y1396" s="4"/>
      <x:c r="Z1396" s="4"/>
    </x:row>
    <x:row r="1397" ht="23" customHeight="1">
      <x:c r="A1397" s="17" t="n">
        <x:f>ROW()-6</x:f>
        <x:v>1391</x:v>
      </x:c>
      <x:c r="B1397" s="4" t="n">
        <x:f>IF('계산 과정'!$L$5,'계산 과정'!$L$11*SQRT((A1397+0.5)/'계산 과정'!$L$30),"")</x:f>
        <x:v>123.64253146040605</x:v>
      </x:c>
      <x:c r="C1397" s="4" t="n">
        <x:f>A1397*PI()*(3-SQRT(5))</x:f>
        <x:v>3338.3488525525563</x:v>
      </x:c>
      <x:c r="D1397" s="4" t="n">
        <x:f>IF('계산 과정'!$L$5,B1397*COS(C1397),"")</x:f>
        <x:v>-48.90583816907813</x:v>
      </x:c>
      <x:c r="E1397" s="4" t="n">
        <x:f>IF('계산 과정'!$L$5,B1397*SIN(C1397),"")</x:f>
        <x:v>113.5592117748157</x:v>
      </x:c>
      <x:c r="F1397" s="4" t="n">
        <x:f>IF('계산 과정'!$L$7,'계산 과정'!$L$22+'계산 과정'!$C$49*D1397+'계산 과정'!$D$49*E1397,"")</x:f>
        <x:v>684.5816498089671</x:v>
      </x:c>
      <x:c r="G1397" s="4" t="n">
        <x:f>IF('계산 과정'!$L$7,IF(ABS(F1397)&gt;=1E-12*MAX(1,SQRT((D1397-'계산 과정'!$C$33)^2+(E1397-'계산 과정'!$D$33)^2+'계산 과정'!$E$33^2)),('계산 과정'!$L$23-'계산 과정'!$C$49*D1397-'계산 과정'!$D$49*E1397)/F1397,""),"")</x:f>
        <x:v>0.5337834432065235</x:v>
      </x:c>
      <x:c r="H1397" s="4" t="n">
        <x:f>IF(AND(ISNUMBER(G1397),G1397&gt;0),('계산 과정'!$D$56+'계산 과정'!$D$57*D1397+'계산 과정'!$D$58*E1397)/F1397,"")</x:f>
        <x:v>-53.04076191575979</x:v>
      </x:c>
      <x:c r="I1397" s="4" t="n">
        <x:f>IF(AND(ISNUMBER(G1397),G1397&gt;0),('계산 과정'!$E$56+'계산 과정'!$E$57*D1397+'계산 과정'!$E$58*E1397)/F1397,"")</x:f>
        <x:v>174.1752388437956</x:v>
      </x:c>
      <x:c r="J1397" s="4" t="n">
        <x:f>IF('계산 과정'!$L$5,'계산 과정'!$D$6+'계산 과정'!$C$35*D1397+'계산 과정'!$D$35*E1397,"")</x:f>
        <x:v>684.5816498089671</x:v>
      </x:c>
      <x:c r="K1397" s="4" t="n">
        <x:f>IF(AND('계산 과정'!$L$6,J1397&gt;0),'계산 과정'!$D$10*('계산 과정'!$C$38*(D1397-'계산 과정'!$C$32)+'계산 과정'!$D$38*(E1397-'계산 과정'!$D$32)-'계산 과정'!$E$38*'계산 과정'!$E$32)/J1397,"")</x:f>
        <x:v>-0.40412009078674027</x:v>
      </x:c>
      <x:c r="L1397" s="4" t="n">
        <x:f>IF(AND('계산 과정'!$L$6,J1397&gt;0),'계산 과정'!$D$10*('계산 과정'!$C$39*(D1397-'계산 과정'!$C$32)+'계산 과정'!$D$39*(E1397-'계산 과정'!$D$32)-'계산 과정'!$E$39*'계산 과정'!$E$32)/J1397,"")</x:f>
        <x:v>1.3270494388098713</x:v>
      </x:c>
      <x:c r="M1397" s="17" t="n">
        <x:f>IF('계산 과정'!$L$6,IF(J1397&lt;=0,0,IF(AND(ABS(K1397)&lt;='계산 과정'!$D$11/2,ABS(L1397)&lt;='계산 과정'!$D$12/2),1,0)),"")</x:f>
        <x:v>1</x:v>
      </x:c>
      <x:c r="N1397" s="17" t="n">
        <x:f>IF('계산 과정'!$C$78,IF(AND(ISNUMBER(H1397),ISNUMBER(I1397),ABS(H1397-'계산 과정'!$C$88)&lt;='계산 과정'!$D$23/2,ABS(I1397-'계산 과정'!$C$89)&lt;='계산 과정'!$D$24/2),1,0),"")</x:f>
        <x:v>1</x:v>
      </x:c>
      <x:c r="O1397" s="4" t="n">
        <x:f>IF('계산 과정'!$L$7,'계산 과정'!$C$49*('계산 과정'!$C$32-D1397)+'계산 과정'!$D$49*('계산 과정'!$D$32-E1397)+'계산 과정'!$E$49*'계산 과정'!$E$32,"")</x:f>
        <x:v>-34.581649808966915</x:v>
      </x:c>
      <x:c r="P1397" s="4" t="n">
        <x:f>IF(AND('계산 과정'!$L$7,O1397&lt;&gt;0),('계산 과정'!$L$23-'계산 과정'!$C$49*D1397-'계산 과정'!$D$49*E1397)/O1397,"")</x:f>
        <x:v>-10.5668281360099</x:v>
      </x:c>
      <x:c r="Q1397" s="4" t="str">
        <x:f>IF(AND(ISNUMBER(P1397),P1397&gt;1E-9,P1397&lt;1-1E-9),'계산 과정'!$C$47*(D1397-'계산 과정'!$C$50+P1397*('계산 과정'!$C$32-D1397))+'계산 과정'!$D$47*(E1397-'계산 과정'!$D$50+P1397*('계산 과정'!$D$32-E1397))+'계산 과정'!$E$47*(0-'계산 과정'!$E$50+P1397*('계산 과정'!$E$32-0)),"")</x:f>
      </x:c>
      <x:c r="R1397" s="4" t="str">
        <x:f>IF(AND(ISNUMBER(P1397),P1397&gt;1E-9,P1397&lt;1-1E-9),'계산 과정'!$C$48*(D1397-'계산 과정'!$C$50+P1397*('계산 과정'!$C$32-D1397))+'계산 과정'!$D$48*(E1397-'계산 과정'!$D$50+P1397*('계산 과정'!$D$32-E1397))+'계산 과정'!$E$48*(0-'계산 과정'!$E$50+P1397*('계산 과정'!$E$32-0)),"")</x:f>
      </x:c>
      <x:c r="S1397" s="17" t="n">
        <x:f>IF('계산 과정'!$C$78,IF(AND(ISNUMBER(Q1397),ISNUMBER(R1397),ABS(Q1397-'계산 과정'!$C$88)&lt;='계산 과정'!$D$23/2,ABS(R1397-'계산 과정'!$C$89)&lt;='계산 과정'!$D$24/2),1,0),"")</x:f>
        <x:v>0</x:v>
      </x:c>
      <x:c r="T1397" s="4"/>
      <x:c r="U1397" s="4"/>
      <x:c r="V1397" s="4"/>
      <x:c r="W1397" s="4"/>
      <x:c r="X1397" s="4"/>
      <x:c r="Y1397" s="4"/>
      <x:c r="Z1397" s="4"/>
    </x:row>
    <x:row r="1398" ht="23" customHeight="1">
      <x:c r="A1398" s="17" t="n">
        <x:f>ROW()-6</x:f>
        <x:v>1392</x:v>
      </x:c>
      <x:c r="B1398" s="4" t="n">
        <x:f>IF('계산 과정'!$L$5,'계산 과정'!$L$11*SQRT((A1398+0.5)/'계산 과정'!$L$30),"")</x:f>
        <x:v>123.68695126836339</x:v>
      </x:c>
      <x:c r="C1398" s="4" t="n">
        <x:f>A1398*PI()*(3-SQRT(5))</x:f>
        <x:v>3340.7488157822845</x:v>
      </x:c>
      <x:c r="D1398" s="4" t="n">
        <x:f>IF('계산 과정'!$L$5,B1398*COS(C1398),"")</x:f>
        <x:v>-40.661105015557645</x:v>
      </x:c>
      <x:c r="E1398" s="4" t="n">
        <x:f>IF('계산 과정'!$L$5,B1398*SIN(C1398),"")</x:f>
        <x:v>-116.81239854132048</x:v>
      </x:c>
      <x:c r="F1398" s="4" t="n">
        <x:f>IF('계산 과정'!$L$7,'계산 과정'!$L$22+'계산 과정'!$C$49*D1398+'계산 과정'!$D$49*E1398,"")</x:f>
        <x:v>678.7517430870391</x:v>
      </x:c>
      <x:c r="G1398" s="4" t="n">
        <x:f>IF('계산 과정'!$L$7,IF(ABS(F1398)&gt;=1E-12*MAX(1,SQRT((D1398-'계산 과정'!$C$33)^2+(E1398-'계산 과정'!$D$33)^2+'계산 과정'!$E$33^2)),('계산 과정'!$L$23-'계산 과정'!$C$49*D1398-'계산 과정'!$D$49*E1398)/F1398,""),"")</x:f>
        <x:v>0.5469573532503683</x:v>
      </x:c>
      <x:c r="H1398" s="4" t="n">
        <x:f>IF(AND(ISNUMBER(G1398),G1398&gt;0),('계산 과정'!$D$56+'계산 과정'!$D$57*D1398+'계산 과정'!$D$58*E1398)/F1398,"")</x:f>
        <x:v>-44.477720387260774</x:v>
      </x:c>
      <x:c r="I1398" s="4" t="n">
        <x:f>IF(AND(ISNUMBER(G1398),G1398&gt;0),('계산 과정'!$E$56+'계산 과정'!$E$57*D1398+'계산 과정'!$E$58*E1398)/F1398,"")</x:f>
        <x:v>-180.7037988743083</x:v>
      </x:c>
      <x:c r="J1398" s="4" t="n">
        <x:f>IF('계산 과정'!$L$5,'계산 과정'!$D$6+'계산 과정'!$C$35*D1398+'계산 과정'!$D$35*E1398,"")</x:f>
        <x:v>678.7517430870391</x:v>
      </x:c>
      <x:c r="K1398" s="4" t="n">
        <x:f>IF(AND('계산 과정'!$L$6,J1398&gt;0),'계산 과정'!$D$10*('계산 과정'!$C$38*(D1398-'계산 과정'!$C$32)+'계산 과정'!$D$38*(E1398-'계산 과정'!$D$32)-'계산 과정'!$E$38*'계산 과정'!$E$32)/J1398,"")</x:f>
        <x:v>-0.3388778696172245</x:v>
      </x:c>
      <x:c r="L1398" s="4" t="n">
        <x:f>IF(AND('계산 과정'!$L$6,J1398&gt;0),'계산 과정'!$D$10*('계산 과정'!$C$39*(D1398-'계산 과정'!$C$32)+'계산 과정'!$D$39*(E1398-'계산 과정'!$D$32)-'계산 과정'!$E$39*'계산 과정'!$E$32)/J1398,"")</x:f>
        <x:v>-1.3767908485661584</x:v>
      </x:c>
      <x:c r="M1398" s="17" t="n">
        <x:f>IF('계산 과정'!$L$6,IF(J1398&lt;=0,0,IF(AND(ABS(K1398)&lt;='계산 과정'!$D$11/2,ABS(L1398)&lt;='계산 과정'!$D$12/2),1,0)),"")</x:f>
        <x:v>1</x:v>
      </x:c>
      <x:c r="N1398" s="17" t="n">
        <x:f>IF('계산 과정'!$C$78,IF(AND(ISNUMBER(H1398),ISNUMBER(I1398),ABS(H1398-'계산 과정'!$C$88)&lt;='계산 과정'!$D$23/2,ABS(I1398-'계산 과정'!$C$89)&lt;='계산 과정'!$D$24/2),1,0),"")</x:f>
        <x:v>1</x:v>
      </x:c>
      <x:c r="O1398" s="4" t="n">
        <x:f>IF('계산 과정'!$L$7,'계산 과정'!$C$49*('계산 과정'!$C$32-D1398)+'계산 과정'!$D$49*('계산 과정'!$D$32-E1398)+'계산 과정'!$E$49*'계산 과정'!$E$32,"")</x:f>
        <x:v>-28.751743087039074</x:v>
      </x:c>
      <x:c r="P1398" s="4" t="n">
        <x:f>IF(AND('계산 과정'!$L$7,O1398&lt;&gt;0),('계산 과정'!$L$23-'계산 과정'!$C$49*D1398-'계산 과정'!$D$49*E1398)/O1398,"")</x:f>
        <x:v>-12.912199993895847</x:v>
      </x:c>
      <x:c r="Q1398" s="4" t="str">
        <x:f>IF(AND(ISNUMBER(P1398),P1398&gt;1E-9,P1398&lt;1-1E-9),'계산 과정'!$C$47*(D1398-'계산 과정'!$C$50+P1398*('계산 과정'!$C$32-D1398))+'계산 과정'!$D$47*(E1398-'계산 과정'!$D$50+P1398*('계산 과정'!$D$32-E1398))+'계산 과정'!$E$47*(0-'계산 과정'!$E$50+P1398*('계산 과정'!$E$32-0)),"")</x:f>
      </x:c>
      <x:c r="R1398" s="4" t="str">
        <x:f>IF(AND(ISNUMBER(P1398),P1398&gt;1E-9,P1398&lt;1-1E-9),'계산 과정'!$C$48*(D1398-'계산 과정'!$C$50+P1398*('계산 과정'!$C$32-D1398))+'계산 과정'!$D$48*(E1398-'계산 과정'!$D$50+P1398*('계산 과정'!$D$32-E1398))+'계산 과정'!$E$48*(0-'계산 과정'!$E$50+P1398*('계산 과정'!$E$32-0)),"")</x:f>
      </x:c>
      <x:c r="S1398" s="17" t="n">
        <x:f>IF('계산 과정'!$C$78,IF(AND(ISNUMBER(Q1398),ISNUMBER(R1398),ABS(Q1398-'계산 과정'!$C$88)&lt;='계산 과정'!$D$23/2,ABS(R1398-'계산 과정'!$C$89)&lt;='계산 과정'!$D$24/2),1,0),"")</x:f>
        <x:v>0</x:v>
      </x:c>
      <x:c r="T1398" s="4"/>
      <x:c r="U1398" s="4"/>
      <x:c r="V1398" s="4"/>
      <x:c r="W1398" s="4"/>
      <x:c r="X1398" s="4"/>
      <x:c r="Y1398" s="4"/>
      <x:c r="Z1398" s="4"/>
    </x:row>
    <x:row r="1399" ht="23" customHeight="1">
      <x:c r="A1399" s="17" t="n">
        <x:f>ROW()-6</x:f>
        <x:v>1393</x:v>
      </x:c>
      <x:c r="B1399" s="4" t="n">
        <x:f>IF('계산 과정'!$L$5,'계산 과정'!$L$11*SQRT((A1399+0.5)/'계산 과정'!$L$30),"")</x:f>
        <x:v>123.73135512952042</x:v>
      </x:c>
      <x:c r="C1399" s="4" t="n">
        <x:f>A1399*PI()*(3-SQRT(5))</x:f>
        <x:v>3343.1487790120136</x:v>
      </x:c>
      <x:c r="D1399" s="4" t="n">
        <x:f>IF('계산 과정'!$L$5,B1399*COS(C1399),"")</x:f>
        <x:v>108.92696581412169</x:v>
      </x:c>
      <x:c r="E1399" s="4" t="n">
        <x:f>IF('계산 과정'!$L$5,B1399*SIN(C1399),"")</x:f>
        <x:v>58.68870726738379</x:v>
      </x:c>
      <x:c r="F1399" s="4" t="n">
        <x:f>IF('계산 과정'!$L$7,'계산 과정'!$L$22+'계산 과정'!$C$49*D1399+'계산 과정'!$D$49*E1399,"")</x:f>
        <x:v>572.9770038187593</x:v>
      </x:c>
      <x:c r="G1399" s="4" t="n">
        <x:f>IF('계산 과정'!$L$7,IF(ABS(F1399)&gt;=1E-12*MAX(1,SQRT((D1399-'계산 과정'!$C$33)^2+(E1399-'계산 과정'!$D$33)^2+'계산 과정'!$E$33^2)),('계산 과정'!$L$23-'계산 과정'!$C$49*D1399-'계산 과정'!$D$49*E1399)/F1399,""),"")</x:f>
        <x:v>0.8325342779936937</x:v>
      </x:c>
      <x:c r="H1399" s="4" t="n">
        <x:f>IF(AND(ISNUMBER(G1399),G1399&gt;0),('계산 과정'!$D$56+'계산 과정'!$D$57*D1399+'계산 과정'!$D$58*E1399)/F1399,"")</x:f>
        <x:v>141.14728069590086</x:v>
      </x:c>
      <x:c r="I1399" s="4" t="n">
        <x:f>IF(AND(ISNUMBER(G1399),G1399&gt;0),('계산 과정'!$E$56+'계산 과정'!$E$57*D1399+'계산 과정'!$E$58*E1399)/F1399,"")</x:f>
        <x:v>107.54906779861841</x:v>
      </x:c>
      <x:c r="J1399" s="4" t="n">
        <x:f>IF('계산 과정'!$L$5,'계산 과정'!$D$6+'계산 과정'!$C$35*D1399+'계산 과정'!$D$35*E1399,"")</x:f>
        <x:v>572.9770038187593</x:v>
      </x:c>
      <x:c r="K1399" s="4" t="n">
        <x:f>IF(AND('계산 과정'!$L$6,J1399&gt;0),'계산 과정'!$D$10*('계산 과정'!$C$38*(D1399-'계산 과정'!$C$32)+'계산 과정'!$D$38*(E1399-'계산 과정'!$D$32)-'계산 과정'!$E$38*'계산 과정'!$E$32)/J1399,"")</x:f>
        <x:v>1.0754078529211502</x:v>
      </x:c>
      <x:c r="L1399" s="4" t="n">
        <x:f>IF(AND('계산 과정'!$L$6,J1399&gt;0),'계산 과정'!$D$10*('계산 과정'!$C$39*(D1399-'계산 과정'!$C$32)+'계산 과정'!$D$39*(E1399-'계산 과정'!$D$32)-'계산 과정'!$E$39*'계산 과정'!$E$32)/J1399,"")</x:f>
        <x:v>0.8194214689418545</x:v>
      </x:c>
      <x:c r="M1399" s="17" t="n">
        <x:f>IF('계산 과정'!$L$6,IF(J1399&lt;=0,0,IF(AND(ABS(K1399)&lt;='계산 과정'!$D$11/2,ABS(L1399)&lt;='계산 과정'!$D$12/2),1,0)),"")</x:f>
        <x:v>1</x:v>
      </x:c>
      <x:c r="N1399" s="17" t="n">
        <x:f>IF('계산 과정'!$C$78,IF(AND(ISNUMBER(H1399),ISNUMBER(I1399),ABS(H1399-'계산 과정'!$C$88)&lt;='계산 과정'!$D$23/2,ABS(I1399-'계산 과정'!$C$89)&lt;='계산 과정'!$D$24/2),1,0),"")</x:f>
        <x:v>1</x:v>
      </x:c>
      <x:c r="O1399" s="4" t="n">
        <x:f>IF('계산 과정'!$L$7,'계산 과정'!$C$49*('계산 과정'!$C$32-D1399)+'계산 과정'!$D$49*('계산 과정'!$D$32-E1399)+'계산 과정'!$E$49*'계산 과정'!$E$32,"")</x:f>
        <x:v>77.02299618124079</x:v>
      </x:c>
      <x:c r="P1399" s="4" t="n">
        <x:f>IF(AND('계산 과정'!$L$7,O1399&lt;&gt;0),('계산 과정'!$L$23-'계산 과정'!$C$49*D1399-'계산 과정'!$D$49*E1399)/O1399,"")</x:f>
        <x:v>6.193254220580701</x:v>
      </x:c>
      <x:c r="Q1399" s="4" t="str">
        <x:f>IF(AND(ISNUMBER(P1399),P1399&gt;1E-9,P1399&lt;1-1E-9),'계산 과정'!$C$47*(D1399-'계산 과정'!$C$50+P1399*('계산 과정'!$C$32-D1399))+'계산 과정'!$D$47*(E1399-'계산 과정'!$D$50+P1399*('계산 과정'!$D$32-E1399))+'계산 과정'!$E$47*(0-'계산 과정'!$E$50+P1399*('계산 과정'!$E$32-0)),"")</x:f>
      </x:c>
      <x:c r="R1399" s="4" t="str">
        <x:f>IF(AND(ISNUMBER(P1399),P1399&gt;1E-9,P1399&lt;1-1E-9),'계산 과정'!$C$48*(D1399-'계산 과정'!$C$50+P1399*('계산 과정'!$C$32-D1399))+'계산 과정'!$D$48*(E1399-'계산 과정'!$D$50+P1399*('계산 과정'!$D$32-E1399))+'계산 과정'!$E$48*(0-'계산 과정'!$E$50+P1399*('계산 과정'!$E$32-0)),"")</x:f>
      </x:c>
      <x:c r="S1399" s="17" t="n">
        <x:f>IF('계산 과정'!$C$78,IF(AND(ISNUMBER(Q1399),ISNUMBER(R1399),ABS(Q1399-'계산 과정'!$C$88)&lt;='계산 과정'!$D$23/2,ABS(R1399-'계산 과정'!$C$89)&lt;='계산 과정'!$D$24/2),1,0),"")</x:f>
        <x:v>0</x:v>
      </x:c>
      <x:c r="T1399" s="4"/>
      <x:c r="U1399" s="4"/>
      <x:c r="V1399" s="4"/>
      <x:c r="W1399" s="4"/>
      <x:c r="X1399" s="4"/>
      <x:c r="Y1399" s="4"/>
      <x:c r="Z1399" s="4"/>
    </x:row>
    <x:row r="1400" ht="23" customHeight="1">
      <x:c r="A1400" s="17" t="n">
        <x:f>ROW()-6</x:f>
        <x:v>1394</x:v>
      </x:c>
      <x:c r="B1400" s="4" t="n">
        <x:f>IF('계산 과정'!$L$5,'계산 과정'!$L$11*SQRT((A1400+0.5)/'계산 과정'!$L$30),"")</x:f>
        <x:v>123.77574306103962</x:v>
      </x:c>
      <x:c r="C1400" s="4" t="n">
        <x:f>A1400*PI()*(3-SQRT(5))</x:f>
        <x:v>3345.5487422417423</x:v>
      </x:c>
      <x:c r="D1400" s="4" t="n">
        <x:f>IF('계산 과정'!$L$5,B1400*COS(C1400),"")</x:f>
        <x:v>-120.0060427743136</x:v>
      </x:c>
      <x:c r="E1400" s="4" t="n">
        <x:f>IF('계산 과정'!$L$5,B1400*SIN(C1400),"")</x:f>
        <x:v>30.31475330531506</x:v>
      </x:c>
      <x:c r="F1400" s="4" t="n">
        <x:f>IF('계산 과정'!$L$7,'계산 과정'!$L$22+'계산 과정'!$C$49*D1400+'계산 과정'!$D$49*E1400,"")</x:f>
        <x:v>734.85708662908</x:v>
      </x:c>
      <x:c r="G1400" s="4" t="n">
        <x:f>IF('계산 과정'!$L$7,IF(ABS(F1400)&gt;=1E-12*MAX(1,SQRT((D1400-'계산 과정'!$C$33)^2+(E1400-'계산 과정'!$D$33)^2+'계산 과정'!$E$33^2)),('계산 과정'!$L$23-'계산 과정'!$C$49*D1400-'계산 과정'!$D$49*E1400)/F1400,""),"")</x:f>
        <x:v>0.42884925396383744</x:v>
      </x:c>
      <x:c r="H1400" s="4" t="n">
        <x:f>IF(AND(ISNUMBER(G1400),G1400&gt;0),('계산 과정'!$D$56+'계산 과정'!$D$57*D1400+'계산 과정'!$D$58*E1400)/F1400,"")</x:f>
        <x:v>-121.24798492350585</x:v>
      </x:c>
      <x:c r="I1400" s="4" t="n">
        <x:f>IF(AND(ISNUMBER(G1400),G1400&gt;0),('계산 과정'!$E$56+'계산 과정'!$E$57*D1400+'계산 과정'!$E$58*E1400)/F1400,"")</x:f>
        <x:v>43.3152126443972</x:v>
      </x:c>
      <x:c r="J1400" s="4" t="n">
        <x:f>IF('계산 과정'!$L$5,'계산 과정'!$D$6+'계산 과정'!$C$35*D1400+'계산 과정'!$D$35*E1400,"")</x:f>
        <x:v>734.85708662908</x:v>
      </x:c>
      <x:c r="K1400" s="4" t="n">
        <x:f>IF(AND('계산 과정'!$L$6,J1400&gt;0),'계산 과정'!$D$10*('계산 과정'!$C$38*(D1400-'계산 과정'!$C$32)+'계산 과정'!$D$38*(E1400-'계산 과정'!$D$32)-'계산 과정'!$E$38*'계산 과정'!$E$32)/J1400,"")</x:f>
        <x:v>-0.9237941708457584</x:v>
      </x:c>
      <x:c r="L1400" s="4" t="n">
        <x:f>IF(AND('계산 과정'!$L$6,J1400&gt;0),'계산 과정'!$D$10*('계산 과정'!$C$39*(D1400-'계산 과정'!$C$32)+'계산 과정'!$D$39*(E1400-'계산 과정'!$D$32)-'계산 과정'!$E$39*'계산 과정'!$E$32)/J1400,"")</x:f>
        <x:v>0.3300206677668358</x:v>
      </x:c>
      <x:c r="M1400" s="17" t="n">
        <x:f>IF('계산 과정'!$L$6,IF(J1400&lt;=0,0,IF(AND(ABS(K1400)&lt;='계산 과정'!$D$11/2,ABS(L1400)&lt;='계산 과정'!$D$12/2),1,0)),"")</x:f>
        <x:v>1</x:v>
      </x:c>
      <x:c r="N1400" s="17" t="n">
        <x:f>IF('계산 과정'!$C$78,IF(AND(ISNUMBER(H1400),ISNUMBER(I1400),ABS(H1400-'계산 과정'!$C$88)&lt;='계산 과정'!$D$23/2,ABS(I1400-'계산 과정'!$C$89)&lt;='계산 과정'!$D$24/2),1,0),"")</x:f>
        <x:v>1</x:v>
      </x:c>
      <x:c r="O1400" s="4" t="n">
        <x:f>IF('계산 과정'!$L$7,'계산 과정'!$C$49*('계산 과정'!$C$32-D1400)+'계산 과정'!$D$49*('계산 과정'!$D$32-E1400)+'계산 과정'!$E$49*'계산 과정'!$E$32,"")</x:f>
        <x:v>-84.85708662907996</x:v>
      </x:c>
      <x:c r="P1400" s="4" t="n">
        <x:f>IF(AND('계산 과정'!$L$7,O1400&lt;&gt;0),('계산 과정'!$L$23-'계산 과정'!$C$49*D1400-'계산 과정'!$D$49*E1400)/O1400,"")</x:f>
        <x:v>-3.7138078372693344</x:v>
      </x:c>
      <x:c r="Q1400" s="4" t="str">
        <x:f>IF(AND(ISNUMBER(P1400),P1400&gt;1E-9,P1400&lt;1-1E-9),'계산 과정'!$C$47*(D1400-'계산 과정'!$C$50+P1400*('계산 과정'!$C$32-D1400))+'계산 과정'!$D$47*(E1400-'계산 과정'!$D$50+P1400*('계산 과정'!$D$32-E1400))+'계산 과정'!$E$47*(0-'계산 과정'!$E$50+P1400*('계산 과정'!$E$32-0)),"")</x:f>
      </x:c>
      <x:c r="R1400" s="4" t="str">
        <x:f>IF(AND(ISNUMBER(P1400),P1400&gt;1E-9,P1400&lt;1-1E-9),'계산 과정'!$C$48*(D1400-'계산 과정'!$C$50+P1400*('계산 과정'!$C$32-D1400))+'계산 과정'!$D$48*(E1400-'계산 과정'!$D$50+P1400*('계산 과정'!$D$32-E1400))+'계산 과정'!$E$48*(0-'계산 과정'!$E$50+P1400*('계산 과정'!$E$32-0)),"")</x:f>
      </x:c>
      <x:c r="S1400" s="17" t="n">
        <x:f>IF('계산 과정'!$C$78,IF(AND(ISNUMBER(Q1400),ISNUMBER(R1400),ABS(Q1400-'계산 과정'!$C$88)&lt;='계산 과정'!$D$23/2,ABS(R1400-'계산 과정'!$C$89)&lt;='계산 과정'!$D$24/2),1,0),"")</x:f>
        <x:v>0</x:v>
      </x:c>
      <x:c r="T1400" s="4"/>
      <x:c r="U1400" s="4"/>
      <x:c r="V1400" s="4"/>
      <x:c r="W1400" s="4"/>
      <x:c r="X1400" s="4"/>
      <x:c r="Y1400" s="4"/>
      <x:c r="Z1400" s="4"/>
    </x:row>
    <x:row r="1401" ht="23" customHeight="1">
      <x:c r="A1401" s="17" t="n">
        <x:f>ROW()-6</x:f>
        <x:v>1395</x:v>
      </x:c>
      <x:c r="B1401" s="4" t="n">
        <x:f>IF('계산 과정'!$L$5,'계산 과정'!$L$11*SQRT((A1401+0.5)/'계산 과정'!$L$30),"")</x:f>
        <x:v>123.82011508005272</x:v>
      </x:c>
      <x:c r="C1401" s="4" t="n">
        <x:f>A1401*PI()*(3-SQRT(5))</x:f>
        <x:v>3347.9487054714705</x:v>
      </x:c>
      <x:c r="D1401" s="4" t="n">
        <x:f>IF('계산 과정'!$L$5,B1401*COS(C1401),"")</x:f>
        <x:v>68.03578070826768</x:v>
      </x:c>
      <x:c r="E1401" s="4" t="n">
        <x:f>IF('계산 과정'!$L$5,B1401*SIN(C1401),"")</x:f>
        <x:v>-103.45314611868511</x:v>
      </x:c>
      <x:c r="F1401" s="4" t="n">
        <x:f>IF('계산 과정'!$L$7,'계산 과정'!$L$22+'계산 과정'!$C$49*D1401+'계산 과정'!$D$49*E1401,"")</x:f>
        <x:v>601.891438097863</x:v>
      </x:c>
      <x:c r="G1401" s="4" t="n">
        <x:f>IF('계산 과정'!$L$7,IF(ABS(F1401)&gt;=1E-12*MAX(1,SQRT((D1401-'계산 과정'!$C$33)^2+(E1401-'계산 과정'!$D$33)^2+'계산 과정'!$E$33^2)),('계산 과정'!$L$23-'계산 과정'!$C$49*D1401-'계산 과정'!$D$49*E1401)/F1401,""),"")</x:f>
        <x:v>0.7445006417075465</x:v>
      </x:c>
      <x:c r="H1401" s="4" t="n">
        <x:f>IF(AND(ISNUMBER(G1401),G1401&gt;0),('계산 과정'!$D$56+'계산 과정'!$D$57*D1401+'계산 과정'!$D$58*E1401)/F1401,"")</x:f>
        <x:v>83.92541710990507</x:v>
      </x:c>
      <x:c r="I1401" s="4" t="n">
        <x:f>IF(AND(ISNUMBER(G1401),G1401&gt;0),('계산 과정'!$E$56+'계산 과정'!$E$57*D1401+'계산 과정'!$E$58*E1401)/F1401,"")</x:f>
        <x:v>-180.47407979071076</x:v>
      </x:c>
      <x:c r="J1401" s="4" t="n">
        <x:f>IF('계산 과정'!$L$5,'계산 과정'!$D$6+'계산 과정'!$C$35*D1401+'계산 과정'!$D$35*E1401,"")</x:f>
        <x:v>601.891438097863</x:v>
      </x:c>
      <x:c r="K1401" s="4" t="n">
        <x:f>IF(AND('계산 과정'!$L$6,J1401&gt;0),'계산 과정'!$D$10*('계산 과정'!$C$38*(D1401-'계산 과정'!$C$32)+'계산 과정'!$D$38*(E1401-'계산 과정'!$D$32)-'계산 과정'!$E$38*'계산 과정'!$E$32)/J1401,"")</x:f>
        <x:v>0.6394317494088011</x:v>
      </x:c>
      <x:c r="L1401" s="4" t="n">
        <x:f>IF(AND('계산 과정'!$L$6,J1401&gt;0),'계산 과정'!$D$10*('계산 과정'!$C$39*(D1401-'계산 과정'!$C$32)+'계산 과정'!$D$39*(E1401-'계산 과정'!$D$32)-'계산 과정'!$E$39*'계산 과정'!$E$32)/J1401,"")</x:f>
        <x:v>-1.3750406079292248</x:v>
      </x:c>
      <x:c r="M1401" s="17" t="n">
        <x:f>IF('계산 과정'!$L$6,IF(J1401&lt;=0,0,IF(AND(ABS(K1401)&lt;='계산 과정'!$D$11/2,ABS(L1401)&lt;='계산 과정'!$D$12/2),1,0)),"")</x:f>
        <x:v>1</x:v>
      </x:c>
      <x:c r="N1401" s="17" t="n">
        <x:f>IF('계산 과정'!$C$78,IF(AND(ISNUMBER(H1401),ISNUMBER(I1401),ABS(H1401-'계산 과정'!$C$88)&lt;='계산 과정'!$D$23/2,ABS(I1401-'계산 과정'!$C$89)&lt;='계산 과정'!$D$24/2),1,0),"")</x:f>
        <x:v>1</x:v>
      </x:c>
      <x:c r="O1401" s="4" t="n">
        <x:f>IF('계산 과정'!$L$7,'계산 과정'!$C$49*('계산 과정'!$C$32-D1401)+'계산 과정'!$D$49*('계산 과정'!$D$32-E1401)+'계산 과정'!$E$49*'계산 과정'!$E$32,"")</x:f>
        <x:v>48.10856190213707</x:v>
      </x:c>
      <x:c r="P1401" s="4" t="n">
        <x:f>IF(AND('계산 과정'!$L$7,O1401&lt;&gt;0),('계산 과정'!$L$23-'계산 과정'!$C$49*D1401-'계산 과정'!$D$49*E1401)/O1401,"")</x:f>
        <x:v>9.314528312313389</x:v>
      </x:c>
      <x:c r="Q1401" s="4" t="str">
        <x:f>IF(AND(ISNUMBER(P1401),P1401&gt;1E-9,P1401&lt;1-1E-9),'계산 과정'!$C$47*(D1401-'계산 과정'!$C$50+P1401*('계산 과정'!$C$32-D1401))+'계산 과정'!$D$47*(E1401-'계산 과정'!$D$50+P1401*('계산 과정'!$D$32-E1401))+'계산 과정'!$E$47*(0-'계산 과정'!$E$50+P1401*('계산 과정'!$E$32-0)),"")</x:f>
      </x:c>
      <x:c r="R1401" s="4" t="str">
        <x:f>IF(AND(ISNUMBER(P1401),P1401&gt;1E-9,P1401&lt;1-1E-9),'계산 과정'!$C$48*(D1401-'계산 과정'!$C$50+P1401*('계산 과정'!$C$32-D1401))+'계산 과정'!$D$48*(E1401-'계산 과정'!$D$50+P1401*('계산 과정'!$D$32-E1401))+'계산 과정'!$E$48*(0-'계산 과정'!$E$50+P1401*('계산 과정'!$E$32-0)),"")</x:f>
      </x:c>
      <x:c r="S1401" s="17" t="n">
        <x:f>IF('계산 과정'!$C$78,IF(AND(ISNUMBER(Q1401),ISNUMBER(R1401),ABS(Q1401-'계산 과정'!$C$88)&lt;='계산 과정'!$D$23/2,ABS(R1401-'계산 과정'!$C$89)&lt;='계산 과정'!$D$24/2),1,0),"")</x:f>
        <x:v>0</x:v>
      </x:c>
      <x:c r="T1401" s="4"/>
      <x:c r="U1401" s="4"/>
      <x:c r="V1401" s="4"/>
      <x:c r="W1401" s="4"/>
      <x:c r="X1401" s="4"/>
      <x:c r="Y1401" s="4"/>
      <x:c r="Z1401" s="4"/>
    </x:row>
    <x:row r="1402" ht="23" customHeight="1">
      <x:c r="A1402" s="17" t="n">
        <x:f>ROW()-6</x:f>
        <x:v>1396</x:v>
      </x:c>
      <x:c r="B1402" s="4" t="n">
        <x:f>IF('계산 과정'!$L$5,'계산 과정'!$L$11*SQRT((A1402+0.5)/'계산 과정'!$L$30),"")</x:f>
        <x:v>123.86447120366073</x:v>
      </x:c>
      <x:c r="C1402" s="4" t="n">
        <x:f>A1402*PI()*(3-SQRT(5))</x:f>
        <x:v>3350.3486687011996</x:v>
      </x:c>
      <x:c r="D1402" s="4" t="n">
        <x:f>IF('계산 과정'!$L$5,B1402*COS(C1402),"")</x:f>
        <x:v>19.721191023236756</x:v>
      </x:c>
      <x:c r="E1402" s="4" t="n">
        <x:f>IF('계산 과정'!$L$5,B1402*SIN(C1402),"")</x:f>
        <x:v>122.28443012578299</x:v>
      </x:c>
      <x:c r="F1402" s="4" t="n">
        <x:f>IF('계산 과정'!$L$7,'계산 과정'!$L$22+'계산 과정'!$C$49*D1402+'계산 과정'!$D$49*E1402,"")</x:f>
        <x:v>636.055012094394</x:v>
      </x:c>
      <x:c r="G1402" s="4" t="n">
        <x:f>IF('계산 과정'!$L$7,IF(ABS(F1402)&gt;=1E-12*MAX(1,SQRT((D1402-'계산 과정'!$C$33)^2+(E1402-'계산 과정'!$D$33)^2+'계산 과정'!$E$33^2)),('계산 과정'!$L$23-'계산 과정'!$C$49*D1402-'계산 과정'!$D$49*E1402)/F1402,""),"")</x:f>
        <x:v>0.6508006069201044</x:v>
      </x:c>
      <x:c r="H1402" s="4" t="n">
        <x:f>IF(AND(ISNUMBER(G1402),G1402&gt;0),('계산 과정'!$D$56+'계산 과정'!$D$57*D1402+'계산 과정'!$D$58*E1402)/F1402,"")</x:f>
        <x:v>23.020394498067756</x:v>
      </x:c>
      <x:c r="I1402" s="4" t="n">
        <x:f>IF(AND(ISNUMBER(G1402),G1402&gt;0),('계산 과정'!$E$56+'계산 과정'!$E$57*D1402+'계산 과정'!$E$58*E1402)/F1402,"")</x:f>
        <x:v>201.86721146852167</x:v>
      </x:c>
      <x:c r="J1402" s="4" t="n">
        <x:f>IF('계산 과정'!$L$5,'계산 과정'!$D$6+'계산 과정'!$C$35*D1402+'계산 과정'!$D$35*E1402,"")</x:f>
        <x:v>636.055012094394</x:v>
      </x:c>
      <x:c r="K1402" s="4" t="n">
        <x:f>IF(AND('계산 과정'!$L$6,J1402&gt;0),'계산 과정'!$D$10*('계산 과정'!$C$38*(D1402-'계산 과정'!$C$32)+'계산 과정'!$D$38*(E1402-'계산 과정'!$D$32)-'계산 과정'!$E$38*'계산 과정'!$E$32)/J1402,"")</x:f>
        <x:v>0.1753934818900413</x:v>
      </x:c>
      <x:c r="L1402" s="4" t="n">
        <x:f>IF(AND('계산 과정'!$L$6,J1402&gt;0),'계산 과정'!$D$10*('계산 과정'!$C$39*(D1402-'계산 과정'!$C$32)+'계산 과정'!$D$39*(E1402-'계산 과정'!$D$32)-'계산 과정'!$E$39*'계산 과정'!$E$32)/J1402,"")</x:f>
        <x:v>1.5380358969030223</x:v>
      </x:c>
      <x:c r="M1402" s="17" t="n">
        <x:f>IF('계산 과정'!$L$6,IF(J1402&lt;=0,0,IF(AND(ABS(K1402)&lt;='계산 과정'!$D$11/2,ABS(L1402)&lt;='계산 과정'!$D$12/2),1,0)),"")</x:f>
        <x:v>1</x:v>
      </x:c>
      <x:c r="N1402" s="17" t="n">
        <x:f>IF('계산 과정'!$C$78,IF(AND(ISNUMBER(H1402),ISNUMBER(I1402),ABS(H1402-'계산 과정'!$C$88)&lt;='계산 과정'!$D$23/2,ABS(I1402-'계산 과정'!$C$89)&lt;='계산 과정'!$D$24/2),1,0),"")</x:f>
        <x:v>1</x:v>
      </x:c>
      <x:c r="O1402" s="4" t="n">
        <x:f>IF('계산 과정'!$L$7,'계산 과정'!$C$49*('계산 과정'!$C$32-D1402)+'계산 과정'!$D$49*('계산 과정'!$D$32-E1402)+'계산 과정'!$E$49*'계산 과정'!$E$32,"")</x:f>
        <x:v>13.944987905606126</x:v>
      </x:c>
      <x:c r="P1402" s="4" t="n">
        <x:f>IF(AND('계산 과정'!$L$7,O1402&lt;&gt;0),('계산 과정'!$L$23-'계산 과정'!$C$49*D1402-'계산 과정'!$D$49*E1402)/O1402,"")</x:f>
        <x:v>29.684141048210797</x:v>
      </x:c>
      <x:c r="Q1402" s="4" t="str">
        <x:f>IF(AND(ISNUMBER(P1402),P1402&gt;1E-9,P1402&lt;1-1E-9),'계산 과정'!$C$47*(D1402-'계산 과정'!$C$50+P1402*('계산 과정'!$C$32-D1402))+'계산 과정'!$D$47*(E1402-'계산 과정'!$D$50+P1402*('계산 과정'!$D$32-E1402))+'계산 과정'!$E$47*(0-'계산 과정'!$E$50+P1402*('계산 과정'!$E$32-0)),"")</x:f>
      </x:c>
      <x:c r="R1402" s="4" t="str">
        <x:f>IF(AND(ISNUMBER(P1402),P1402&gt;1E-9,P1402&lt;1-1E-9),'계산 과정'!$C$48*(D1402-'계산 과정'!$C$50+P1402*('계산 과정'!$C$32-D1402))+'계산 과정'!$D$48*(E1402-'계산 과정'!$D$50+P1402*('계산 과정'!$D$32-E1402))+'계산 과정'!$E$48*(0-'계산 과정'!$E$50+P1402*('계산 과정'!$E$32-0)),"")</x:f>
      </x:c>
      <x:c r="S1402" s="17" t="n">
        <x:f>IF('계산 과정'!$C$78,IF(AND(ISNUMBER(Q1402),ISNUMBER(R1402),ABS(Q1402-'계산 과정'!$C$88)&lt;='계산 과정'!$D$23/2,ABS(R1402-'계산 과정'!$C$89)&lt;='계산 과정'!$D$24/2),1,0),"")</x:f>
        <x:v>0</x:v>
      </x:c>
      <x:c r="T1402" s="4"/>
      <x:c r="U1402" s="4"/>
      <x:c r="V1402" s="4"/>
      <x:c r="W1402" s="4"/>
      <x:c r="X1402" s="4"/>
      <x:c r="Y1402" s="4"/>
      <x:c r="Z1402" s="4"/>
    </x:row>
    <x:row r="1403" ht="23" customHeight="1">
      <x:c r="A1403" s="17" t="n">
        <x:f>ROW()-6</x:f>
        <x:v>1397</x:v>
      </x:c>
      <x:c r="B1403" s="4" t="n">
        <x:f>IF('계산 과정'!$L$5,'계산 과정'!$L$11*SQRT((A1403+0.5)/'계산 과정'!$L$30),"")</x:f>
        <x:v>123.90881144893409</x:v>
      </x:c>
      <x:c r="C1403" s="4" t="n">
        <x:f>A1403*PI()*(3-SQRT(5))</x:f>
        <x:v>3352.748631930928</x:v>
      </x:c>
      <x:c r="D1403" s="4" t="n">
        <x:f>IF('계산 과정'!$L$5,B1403*COS(C1403),"")</x:f>
        <x:v>-97.1785131092912</x:v>
      </x:c>
      <x:c r="E1403" s="4" t="n">
        <x:f>IF('계산 과정'!$L$5,B1403*SIN(C1403),"")</x:f>
        <x:v>-76.8747692325305</x:v>
      </x:c>
      <x:c r="F1403" s="4" t="n">
        <x:f>IF('계산 과정'!$L$7,'계산 과정'!$L$22+'계산 과정'!$C$49*D1403+'계산 과정'!$D$49*E1403,"")</x:f>
        <x:v>718.7155856052057</x:v>
      </x:c>
      <x:c r="G1403" s="4" t="n">
        <x:f>IF('계산 과정'!$L$7,IF(ABS(F1403)&gt;=1E-12*MAX(1,SQRT((D1403-'계산 과정'!$C$33)^2+(E1403-'계산 과정'!$D$33)^2+'계산 과정'!$E$33^2)),('계산 과정'!$L$23-'계산 과정'!$C$49*D1403-'계산 과정'!$D$49*E1403)/F1403,""),"")</x:f>
        <x:v>0.46093951631204877</x:v>
      </x:c>
      <x:c r="H1403" s="4" t="n">
        <x:f>IF(AND(ISNUMBER(G1403),G1403&gt;0),('계산 과정'!$D$56+'계산 과정'!$D$57*D1403+'계산 과정'!$D$58*E1403)/F1403,"")</x:f>
        <x:v>-100.38931439716839</x:v>
      </x:c>
      <x:c r="I1403" s="4" t="n">
        <x:f>IF(AND(ISNUMBER(G1403),G1403&gt;0),('계산 과정'!$E$56+'계산 과정'!$E$57*D1403+'계산 과정'!$E$58*E1403)/F1403,"")</x:f>
        <x:v>-112.30938817917345</x:v>
      </x:c>
      <x:c r="J1403" s="4" t="n">
        <x:f>IF('계산 과정'!$L$5,'계산 과정'!$D$6+'계산 과정'!$C$35*D1403+'계산 과정'!$D$35*E1403,"")</x:f>
        <x:v>718.7155856052057</x:v>
      </x:c>
      <x:c r="K1403" s="4" t="n">
        <x:f>IF(AND('계산 과정'!$L$6,J1403&gt;0),'계산 과정'!$D$10*('계산 과정'!$C$38*(D1403-'계산 과정'!$C$32)+'계산 과정'!$D$38*(E1403-'계산 과정'!$D$32)-'계산 과정'!$E$38*'계산 과정'!$E$32)/J1403,"")</x:f>
        <x:v>-0.7648709668355677</x:v>
      </x:c>
      <x:c r="L1403" s="4" t="n">
        <x:f>IF(AND('계산 과정'!$L$6,J1403&gt;0),'계산 과정'!$D$10*('계산 과정'!$C$39*(D1403-'계산 과정'!$C$32)+'계산 과정'!$D$39*(E1403-'계산 과정'!$D$32)-'계산 과정'!$E$39*'계산 과정'!$E$32)/J1403,"")</x:f>
        <x:v>-0.8556905766032264</x:v>
      </x:c>
      <x:c r="M1403" s="17" t="n">
        <x:f>IF('계산 과정'!$L$6,IF(J1403&lt;=0,0,IF(AND(ABS(K1403)&lt;='계산 과정'!$D$11/2,ABS(L1403)&lt;='계산 과정'!$D$12/2),1,0)),"")</x:f>
        <x:v>1</x:v>
      </x:c>
      <x:c r="N1403" s="17" t="n">
        <x:f>IF('계산 과정'!$C$78,IF(AND(ISNUMBER(H1403),ISNUMBER(I1403),ABS(H1403-'계산 과정'!$C$88)&lt;='계산 과정'!$D$23/2,ABS(I1403-'계산 과정'!$C$89)&lt;='계산 과정'!$D$24/2),1,0),"")</x:f>
        <x:v>1</x:v>
      </x:c>
      <x:c r="O1403" s="4" t="n">
        <x:f>IF('계산 과정'!$L$7,'계산 과정'!$C$49*('계산 과정'!$C$32-D1403)+'계산 과정'!$D$49*('계산 과정'!$D$32-E1403)+'계산 과정'!$E$49*'계산 과정'!$E$32,"")</x:f>
        <x:v>-68.71558560520549</x:v>
      </x:c>
      <x:c r="P1403" s="4" t="n">
        <x:f>IF(AND('계산 과정'!$L$7,O1403&lt;&gt;0),('계산 과정'!$L$23-'계산 과정'!$C$49*D1403-'계산 과정'!$D$49*E1403)/O1403,"")</x:f>
        <x:v>-4.821095701608897</x:v>
      </x:c>
      <x:c r="Q1403" s="4" t="str">
        <x:f>IF(AND(ISNUMBER(P1403),P1403&gt;1E-9,P1403&lt;1-1E-9),'계산 과정'!$C$47*(D1403-'계산 과정'!$C$50+P1403*('계산 과정'!$C$32-D1403))+'계산 과정'!$D$47*(E1403-'계산 과정'!$D$50+P1403*('계산 과정'!$D$32-E1403))+'계산 과정'!$E$47*(0-'계산 과정'!$E$50+P1403*('계산 과정'!$E$32-0)),"")</x:f>
      </x:c>
      <x:c r="R1403" s="4" t="str">
        <x:f>IF(AND(ISNUMBER(P1403),P1403&gt;1E-9,P1403&lt;1-1E-9),'계산 과정'!$C$48*(D1403-'계산 과정'!$C$50+P1403*('계산 과정'!$C$32-D1403))+'계산 과정'!$D$48*(E1403-'계산 과정'!$D$50+P1403*('계산 과정'!$D$32-E1403))+'계산 과정'!$E$48*(0-'계산 과정'!$E$50+P1403*('계산 과정'!$E$32-0)),"")</x:f>
      </x:c>
      <x:c r="S1403" s="17" t="n">
        <x:f>IF('계산 과정'!$C$78,IF(AND(ISNUMBER(Q1403),ISNUMBER(R1403),ABS(Q1403-'계산 과정'!$C$88)&lt;='계산 과정'!$D$23/2,ABS(R1403-'계산 과정'!$C$89)&lt;='계산 과정'!$D$24/2),1,0),"")</x:f>
        <x:v>0</x:v>
      </x:c>
      <x:c r="T1403" s="4"/>
      <x:c r="U1403" s="4"/>
      <x:c r="V1403" s="4"/>
      <x:c r="W1403" s="4"/>
      <x:c r="X1403" s="4"/>
      <x:c r="Y1403" s="4"/>
      <x:c r="Z1403" s="4"/>
    </x:row>
    <x:row r="1404" ht="23" customHeight="1">
      <x:c r="A1404" s="17" t="n">
        <x:f>ROW()-6</x:f>
        <x:v>1398</x:v>
      </x:c>
      <x:c r="B1404" s="4" t="n">
        <x:f>IF('계산 과정'!$L$5,'계산 과정'!$L$11*SQRT((A1404+0.5)/'계산 과정'!$L$30),"")</x:f>
        <x:v>123.95313583291268</x:v>
      </x:c>
      <x:c r="C1404" s="4" t="n">
        <x:f>A1404*PI()*(3-SQRT(5))</x:f>
        <x:v>3355.1485951606564</x:v>
      </x:c>
      <x:c r="D1404" s="4" t="n">
        <x:f>IF('계산 과정'!$L$5,B1404*COS(C1404),"")</x:f>
        <x:v>123.62878007253511</x:v>
      </x:c>
      <x:c r="E1404" s="4" t="n">
        <x:f>IF('계산 과정'!$L$5,B1404*SIN(C1404),"")</x:f>
        <x:v>-8.96128453901827</x:v>
      </x:c>
      <x:c r="F1404" s="4" t="n">
        <x:f>IF('계산 과정'!$L$7,'계산 과정'!$L$22+'계산 과정'!$C$49*D1404+'계산 과정'!$D$49*E1404,"")</x:f>
        <x:v>562.5812512608901</x:v>
      </x:c>
      <x:c r="G1404" s="4" t="n">
        <x:f>IF('계산 과정'!$L$7,IF(ABS(F1404)&gt;=1E-12*MAX(1,SQRT((D1404-'계산 과정'!$C$33)^2+(E1404-'계산 과정'!$D$33)^2+'계산 과정'!$E$33^2)),('계산 과정'!$L$23-'계산 과정'!$C$49*D1404-'계산 과정'!$D$49*E1404)/F1404,""),"")</x:f>
        <x:v>0.8663970717948357</x:v>
      </x:c>
      <x:c r="H1404" s="4" t="n">
        <x:f>IF(AND(ISNUMBER(G1404),G1404&gt;0),('계산 과정'!$D$56+'계산 과정'!$D$57*D1404+'계산 과정'!$D$58*E1404)/F1404,"")</x:f>
        <x:v>163.1580966666431</x:v>
      </x:c>
      <x:c r="I1404" s="4" t="n">
        <x:f>IF(AND(ISNUMBER(G1404),G1404&gt;0),('계산 과정'!$E$56+'계산 과정'!$E$57*D1404+'계산 과정'!$E$58*E1404)/F1404,"")</x:f>
        <x:v>-16.72531522314403</x:v>
      </x:c>
      <x:c r="J1404" s="4" t="n">
        <x:f>IF('계산 과정'!$L$5,'계산 과정'!$D$6+'계산 과정'!$C$35*D1404+'계산 과정'!$D$35*E1404,"")</x:f>
        <x:v>562.5812512608901</x:v>
      </x:c>
      <x:c r="K1404" s="4" t="n">
        <x:f>IF(AND('계산 과정'!$L$6,J1404&gt;0),'계산 과정'!$D$10*('계산 과정'!$C$38*(D1404-'계산 과정'!$C$32)+'계산 과정'!$D$38*(E1404-'계산 과정'!$D$32)-'계산 과정'!$E$38*'계산 과정'!$E$32)/J1404,"")</x:f>
        <x:v>1.2431093079363291</x:v>
      </x:c>
      <x:c r="L1404" s="4" t="n">
        <x:f>IF(AND('계산 과정'!$L$6,J1404&gt;0),'계산 과정'!$D$10*('계산 과정'!$C$39*(D1404-'계산 과정'!$C$32)+'계산 과정'!$D$39*(E1404-'계산 과정'!$D$32)-'계산 과정'!$E$39*'계산 과정'!$E$32)/J1404,"")</x:f>
        <x:v>-0.12743097312871643</x:v>
      </x:c>
      <x:c r="M1404" s="17" t="n">
        <x:f>IF('계산 과정'!$L$6,IF(J1404&lt;=0,0,IF(AND(ABS(K1404)&lt;='계산 과정'!$D$11/2,ABS(L1404)&lt;='계산 과정'!$D$12/2),1,0)),"")</x:f>
        <x:v>1</x:v>
      </x:c>
      <x:c r="N1404" s="17" t="n">
        <x:f>IF('계산 과정'!$C$78,IF(AND(ISNUMBER(H1404),ISNUMBER(I1404),ABS(H1404-'계산 과정'!$C$88)&lt;='계산 과정'!$D$23/2,ABS(I1404-'계산 과정'!$C$89)&lt;='계산 과정'!$D$24/2),1,0),"")</x:f>
        <x:v>1</x:v>
      </x:c>
      <x:c r="O1404" s="4" t="n">
        <x:f>IF('계산 과정'!$L$7,'계산 과정'!$C$49*('계산 과정'!$C$32-D1404)+'계산 과정'!$D$49*('계산 과정'!$D$32-E1404)+'계산 과정'!$E$49*'계산 과정'!$E$32,"")</x:f>
        <x:v>87.41874873910999</x:v>
      </x:c>
      <x:c r="P1404" s="4" t="n">
        <x:f>IF(AND('계산 과정'!$L$7,O1404&lt;&gt;0),('계산 과정'!$L$23-'계산 과정'!$C$49*D1404-'계산 과정'!$D$49*E1404)/O1404,"")</x:f>
        <x:v>5.575677480739841</x:v>
      </x:c>
      <x:c r="Q1404" s="4" t="str">
        <x:f>IF(AND(ISNUMBER(P1404),P1404&gt;1E-9,P1404&lt;1-1E-9),'계산 과정'!$C$47*(D1404-'계산 과정'!$C$50+P1404*('계산 과정'!$C$32-D1404))+'계산 과정'!$D$47*(E1404-'계산 과정'!$D$50+P1404*('계산 과정'!$D$32-E1404))+'계산 과정'!$E$47*(0-'계산 과정'!$E$50+P1404*('계산 과정'!$E$32-0)),"")</x:f>
      </x:c>
      <x:c r="R1404" s="4" t="str">
        <x:f>IF(AND(ISNUMBER(P1404),P1404&gt;1E-9,P1404&lt;1-1E-9),'계산 과정'!$C$48*(D1404-'계산 과정'!$C$50+P1404*('계산 과정'!$C$32-D1404))+'계산 과정'!$D$48*(E1404-'계산 과정'!$D$50+P1404*('계산 과정'!$D$32-E1404))+'계산 과정'!$E$48*(0-'계산 과정'!$E$50+P1404*('계산 과정'!$E$32-0)),"")</x:f>
      </x:c>
      <x:c r="S1404" s="17" t="n">
        <x:f>IF('계산 과정'!$C$78,IF(AND(ISNUMBER(Q1404),ISNUMBER(R1404),ABS(Q1404-'계산 과정'!$C$88)&lt;='계산 과정'!$D$23/2,ABS(R1404-'계산 과정'!$C$89)&lt;='계산 과정'!$D$24/2),1,0),"")</x:f>
        <x:v>0</x:v>
      </x:c>
      <x:c r="T1404" s="4"/>
      <x:c r="U1404" s="4"/>
      <x:c r="V1404" s="4"/>
      <x:c r="W1404" s="4"/>
      <x:c r="X1404" s="4"/>
      <x:c r="Y1404" s="4"/>
      <x:c r="Z1404" s="4"/>
    </x:row>
    <x:row r="1405" ht="23" customHeight="1">
      <x:c r="A1405" s="17" t="n">
        <x:f>ROW()-6</x:f>
        <x:v>1399</x:v>
      </x:c>
      <x:c r="B1405" s="4" t="n">
        <x:f>IF('계산 과정'!$L$5,'계산 과정'!$L$11*SQRT((A1405+0.5)/'계산 과정'!$L$30),"")</x:f>
        <x:v>123.99744437260593</x:v>
      </x:c>
      <x:c r="C1405" s="4" t="n">
        <x:f>A1405*PI()*(3-SQRT(5))</x:f>
        <x:v>3357.5485583903856</x:v>
      </x:c>
      <x:c r="D1405" s="4" t="n">
        <x:f>IF('계산 과정'!$L$5,B1405*COS(C1405),"")</x:f>
        <x:v>-85.13717656328478</x:v>
      </x:c>
      <x:c r="E1405" s="4" t="n">
        <x:f>IF('계산 과정'!$L$5,B1405*SIN(C1405),"")</x:f>
        <x:v>90.15002705362642</x:v>
      </x:c>
      <x:c r="F1405" s="4" t="n">
        <x:f>IF('계산 과정'!$L$7,'계산 과정'!$L$22+'계산 과정'!$C$49*D1405+'계산 과정'!$D$49*E1405,"")</x:f>
        <x:v>710.2010748789751</x:v>
      </x:c>
      <x:c r="G1405" s="4" t="n">
        <x:f>IF('계산 과정'!$L$7,IF(ABS(F1405)&gt;=1E-12*MAX(1,SQRT((D1405-'계산 과정'!$C$33)^2+(E1405-'계산 과정'!$D$33)^2+'계산 과정'!$E$33^2)),('계산 과정'!$L$23-'계산 과정'!$C$49*D1405-'계산 과정'!$D$49*E1405)/F1405,""),"")</x:f>
        <x:v>0.47845453511729735</x:v>
      </x:c>
      <x:c r="H1405" s="4" t="n">
        <x:f>IF(AND(ISNUMBER(G1405),G1405&gt;0),('계산 과정'!$D$56+'계산 과정'!$D$57*D1405+'계산 과정'!$D$58*E1405)/F1405,"")</x:f>
        <x:v>-89.00455217375684</x:v>
      </x:c>
      <x:c r="I1405" s="4" t="n">
        <x:f>IF(AND(ISNUMBER(G1405),G1405&gt;0),('계산 과정'!$E$56+'계산 과정'!$E$57*D1405+'계산 과정'!$E$58*E1405)/F1405,"")</x:f>
        <x:v>133.28271633838102</x:v>
      </x:c>
      <x:c r="J1405" s="4" t="n">
        <x:f>IF('계산 과정'!$L$5,'계산 과정'!$D$6+'계산 과정'!$C$35*D1405+'계산 과정'!$D$35*E1405,"")</x:f>
        <x:v>710.2010748789751</x:v>
      </x:c>
      <x:c r="K1405" s="4" t="n">
        <x:f>IF(AND('계산 과정'!$L$6,J1405&gt;0),'계산 과정'!$D$10*('계산 과정'!$C$38*(D1405-'계산 과정'!$C$32)+'계산 과정'!$D$38*(E1405-'계산 과정'!$D$32)-'계산 과정'!$E$38*'계산 과정'!$E$32)/J1405,"")</x:f>
        <x:v>-0.6781299213238606</x:v>
      </x:c>
      <x:c r="L1405" s="4" t="n">
        <x:f>IF(AND('계산 과정'!$L$6,J1405&gt;0),'계산 과정'!$D$10*('계산 과정'!$C$39*(D1405-'계산 과정'!$C$32)+'계산 과정'!$D$39*(E1405-'계산 과정'!$D$32)-'계산 과정'!$E$39*'계산 과정'!$E$32)/J1405,"")</x:f>
        <x:v>1.015487362578141</x:v>
      </x:c>
      <x:c r="M1405" s="17" t="n">
        <x:f>IF('계산 과정'!$L$6,IF(J1405&lt;=0,0,IF(AND(ABS(K1405)&lt;='계산 과정'!$D$11/2,ABS(L1405)&lt;='계산 과정'!$D$12/2),1,0)),"")</x:f>
        <x:v>1</x:v>
      </x:c>
      <x:c r="N1405" s="17" t="n">
        <x:f>IF('계산 과정'!$C$78,IF(AND(ISNUMBER(H1405),ISNUMBER(I1405),ABS(H1405-'계산 과정'!$C$88)&lt;='계산 과정'!$D$23/2,ABS(I1405-'계산 과정'!$C$89)&lt;='계산 과정'!$D$24/2),1,0),"")</x:f>
        <x:v>1</x:v>
      </x:c>
      <x:c r="O1405" s="4" t="n">
        <x:f>IF('계산 과정'!$L$7,'계산 과정'!$C$49*('계산 과정'!$C$32-D1405)+'계산 과정'!$D$49*('계산 과정'!$D$32-E1405)+'계산 과정'!$E$49*'계산 과정'!$E$32,"")</x:f>
        <x:v>-60.201074878974964</x:v>
      </x:c>
      <x:c r="P1405" s="4" t="n">
        <x:f>IF(AND('계산 과정'!$L$7,O1405&lt;&gt;0),('계산 과정'!$L$23-'계산 과정'!$C$49*D1405-'계산 과정'!$D$49*E1405)/O1405,"")</x:f>
        <x:v>-5.6443996357895365</x:v>
      </x:c>
      <x:c r="Q1405" s="4" t="str">
        <x:f>IF(AND(ISNUMBER(P1405),P1405&gt;1E-9,P1405&lt;1-1E-9),'계산 과정'!$C$47*(D1405-'계산 과정'!$C$50+P1405*('계산 과정'!$C$32-D1405))+'계산 과정'!$D$47*(E1405-'계산 과정'!$D$50+P1405*('계산 과정'!$D$32-E1405))+'계산 과정'!$E$47*(0-'계산 과정'!$E$50+P1405*('계산 과정'!$E$32-0)),"")</x:f>
      </x:c>
      <x:c r="R1405" s="4" t="str">
        <x:f>IF(AND(ISNUMBER(P1405),P1405&gt;1E-9,P1405&lt;1-1E-9),'계산 과정'!$C$48*(D1405-'계산 과정'!$C$50+P1405*('계산 과정'!$C$32-D1405))+'계산 과정'!$D$48*(E1405-'계산 과정'!$D$50+P1405*('계산 과정'!$D$32-E1405))+'계산 과정'!$E$48*(0-'계산 과정'!$E$50+P1405*('계산 과정'!$E$32-0)),"")</x:f>
      </x:c>
      <x:c r="S1405" s="17" t="n">
        <x:f>IF('계산 과정'!$C$78,IF(AND(ISNUMBER(Q1405),ISNUMBER(R1405),ABS(Q1405-'계산 과정'!$C$88)&lt;='계산 과정'!$D$23/2,ABS(R1405-'계산 과정'!$C$89)&lt;='계산 과정'!$D$24/2),1,0),"")</x:f>
        <x:v>0</x:v>
      </x:c>
      <x:c r="T1405" s="4"/>
      <x:c r="U1405" s="4"/>
      <x:c r="V1405" s="4"/>
      <x:c r="W1405" s="4"/>
      <x:c r="X1405" s="4"/>
      <x:c r="Y1405" s="4"/>
      <x:c r="Z1405" s="4"/>
    </x:row>
    <x:row r="1406" ht="23" customHeight="1">
      <x:c r="A1406" s="17" t="n">
        <x:f>ROW()-6</x:f>
        <x:v>1400</x:v>
      </x:c>
      <x:c r="B1406" s="4" t="n">
        <x:f>IF('계산 과정'!$L$5,'계산 과정'!$L$11*SQRT((A1406+0.5)/'계산 과정'!$L$30),"")</x:f>
        <x:v>124.04173708499289</x:v>
      </x:c>
      <x:c r="C1406" s="4" t="n">
        <x:f>A1406*PI()*(3-SQRT(5))</x:f>
        <x:v>3359.9485216201138</x:v>
      </x:c>
      <x:c r="D1406" s="4" t="n">
        <x:f>IF('계산 과정'!$L$5,B1406*COS(C1406),"")</x:f>
        <x:v>1.8827083388380512</x:v>
      </x:c>
      <x:c r="E1406" s="4" t="n">
        <x:f>IF('계산 과정'!$L$5,B1406*SIN(C1406),"")</x:f>
        <x:v>-124.02744836677633</x:v>
      </x:c>
      <x:c r="F1406" s="4" t="n">
        <x:f>IF('계산 과정'!$L$7,'계산 과정'!$L$22+'계산 과정'!$C$49*D1406+'계산 과정'!$D$49*E1406,"")</x:f>
        <x:v>648.6687241666111</x:v>
      </x:c>
      <x:c r="G1406" s="4" t="n">
        <x:f>IF('계산 과정'!$L$7,IF(ABS(F1406)&gt;=1E-12*MAX(1,SQRT((D1406-'계산 과정'!$C$33)^2+(E1406-'계산 과정'!$D$33)^2+'계산 과정'!$E$33^2)),('계산 과정'!$L$23-'계산 과정'!$C$49*D1406-'계산 과정'!$D$49*E1406)/F1406,""),"")</x:f>
        <x:v>0.6186999016316171</x:v>
      </x:c>
      <x:c r="H1406" s="4" t="n">
        <x:f>IF(AND(ISNUMBER(G1406),G1406&gt;0),('계산 과정'!$D$56+'계산 과정'!$D$57*D1406+'계산 과정'!$D$58*E1406)/F1406,"")</x:f>
        <x:v>2.1549360605509613</x:v>
      </x:c>
      <x:c r="I1406" s="4" t="n">
        <x:f>IF(AND(ISNUMBER(G1406),G1406&gt;0),('계산 과정'!$E$56+'계산 과정'!$E$57*D1406+'계산 과정'!$E$58*E1406)/F1406,"")</x:f>
        <x:v>-200.7632184709213</x:v>
      </x:c>
      <x:c r="J1406" s="4" t="n">
        <x:f>IF('계산 과정'!$L$5,'계산 과정'!$D$6+'계산 과정'!$C$35*D1406+'계산 과정'!$D$35*E1406,"")</x:f>
        <x:v>648.6687241666111</x:v>
      </x:c>
      <x:c r="K1406" s="4" t="n">
        <x:f>IF(AND('계산 과정'!$L$6,J1406&gt;0),'계산 과정'!$D$10*('계산 과정'!$C$38*(D1406-'계산 과정'!$C$32)+'계산 과정'!$D$38*(E1406-'계산 과정'!$D$32)-'계산 과정'!$E$38*'계산 과정'!$E$32)/J1406,"")</x:f>
        <x:v>0.01641856046134114</x:v>
      </x:c>
      <x:c r="L1406" s="4" t="n">
        <x:f>IF(AND('계산 과정'!$L$6,J1406&gt;0),'계산 과정'!$D$10*('계산 과정'!$C$39*(D1406-'계산 과정'!$C$32)+'계산 과정'!$D$39*(E1406-'계산 과정'!$D$32)-'계산 과정'!$E$39*'계산 과정'!$E$32)/J1406,"")</x:f>
        <x:v>-1.52962452168321</x:v>
      </x:c>
      <x:c r="M1406" s="17" t="n">
        <x:f>IF('계산 과정'!$L$6,IF(J1406&lt;=0,0,IF(AND(ABS(K1406)&lt;='계산 과정'!$D$11/2,ABS(L1406)&lt;='계산 과정'!$D$12/2),1,0)),"")</x:f>
        <x:v>1</x:v>
      </x:c>
      <x:c r="N1406" s="17" t="n">
        <x:f>IF('계산 과정'!$C$78,IF(AND(ISNUMBER(H1406),ISNUMBER(I1406),ABS(H1406-'계산 과정'!$C$88)&lt;='계산 과정'!$D$23/2,ABS(I1406-'계산 과정'!$C$89)&lt;='계산 과정'!$D$24/2),1,0),"")</x:f>
        <x:v>1</x:v>
      </x:c>
      <x:c r="O1406" s="4" t="n">
        <x:f>IF('계산 과정'!$L$7,'계산 과정'!$C$49*('계산 과정'!$C$32-D1406)+'계산 과정'!$D$49*('계산 과정'!$D$32-E1406)+'계산 과정'!$E$49*'계산 과정'!$E$32,"")</x:f>
        <x:v>1.3312758333889292</x:v>
      </x:c>
      <x:c r="P1406" s="4" t="n">
        <x:f>IF(AND('계산 과정'!$L$7,O1406&lt;&gt;0),('계산 과정'!$L$23-'계산 과정'!$C$49*D1406-'계산 과정'!$D$49*E1406)/O1406,"")</x:f>
        <x:v>301.46365296194847</x:v>
      </x:c>
      <x:c r="Q1406" s="4" t="str">
        <x:f>IF(AND(ISNUMBER(P1406),P1406&gt;1E-9,P1406&lt;1-1E-9),'계산 과정'!$C$47*(D1406-'계산 과정'!$C$50+P1406*('계산 과정'!$C$32-D1406))+'계산 과정'!$D$47*(E1406-'계산 과정'!$D$50+P1406*('계산 과정'!$D$32-E1406))+'계산 과정'!$E$47*(0-'계산 과정'!$E$50+P1406*('계산 과정'!$E$32-0)),"")</x:f>
      </x:c>
      <x:c r="R1406" s="4" t="str">
        <x:f>IF(AND(ISNUMBER(P1406),P1406&gt;1E-9,P1406&lt;1-1E-9),'계산 과정'!$C$48*(D1406-'계산 과정'!$C$50+P1406*('계산 과정'!$C$32-D1406))+'계산 과정'!$D$48*(E1406-'계산 과정'!$D$50+P1406*('계산 과정'!$D$32-E1406))+'계산 과정'!$E$48*(0-'계산 과정'!$E$50+P1406*('계산 과정'!$E$32-0)),"")</x:f>
      </x:c>
      <x:c r="S1406" s="17" t="n">
        <x:f>IF('계산 과정'!$C$78,IF(AND(ISNUMBER(Q1406),ISNUMBER(R1406),ABS(Q1406-'계산 과정'!$C$88)&lt;='계산 과정'!$D$23/2,ABS(R1406-'계산 과정'!$C$89)&lt;='계산 과정'!$D$24/2),1,0),"")</x:f>
        <x:v>0</x:v>
      </x:c>
      <x:c r="T1406" s="4"/>
      <x:c r="U1406" s="4"/>
      <x:c r="V1406" s="4"/>
      <x:c r="W1406" s="4"/>
      <x:c r="X1406" s="4"/>
      <x:c r="Y1406" s="4"/>
      <x:c r="Z1406" s="4"/>
    </x:row>
    <x:row r="1407" ht="23" customHeight="1">
      <x:c r="A1407" s="17" t="n">
        <x:f>ROW()-6</x:f>
        <x:v>1401</x:v>
      </x:c>
      <x:c r="B1407" s="4" t="n">
        <x:f>IF('계산 과정'!$L$5,'계산 과정'!$L$11*SQRT((A1407+0.5)/'계산 과정'!$L$30),"")</x:f>
        <x:v>124.08601398702233</x:v>
      </x:c>
      <x:c r="C1407" s="4" t="n">
        <x:f>A1407*PI()*(3-SQRT(5))</x:f>
        <x:v>3362.348484849843</x:v>
      </x:c>
      <x:c r="D1407" s="4" t="n">
        <x:f>IF('계산 과정'!$L$5,B1407*COS(C1407),"")</x:f>
        <x:v>82.42049669219074</x:v>
      </x:c>
      <x:c r="E1407" s="4" t="n">
        <x:f>IF('계산 과정'!$L$5,B1407*SIN(C1407),"")</x:f>
        <x:v>92.75883026537191</x:v>
      </x:c>
      <x:c r="F1407" s="4" t="n">
        <x:f>IF('계산 과정'!$L$7,'계산 과정'!$L$22+'계산 과정'!$C$49*D1407+'계산 과정'!$D$49*E1407,"")</x:f>
        <x:v>591.7199078801885</x:v>
      </x:c>
      <x:c r="G1407" s="4" t="n">
        <x:f>IF('계산 과정'!$L$7,IF(ABS(F1407)&gt;=1E-12*MAX(1,SQRT((D1407-'계산 과정'!$C$33)^2+(E1407-'계산 과정'!$D$33)^2+'계산 과정'!$E$33^2)),('계산 과정'!$L$23-'계산 과정'!$C$49*D1407-'계산 과정'!$D$49*E1407)/F1407,""),"")</x:f>
        <x:v>0.7744882097369015</x:v>
      </x:c>
      <x:c r="H1407" s="4" t="n">
        <x:f>IF(AND(ISNUMBER(G1407),G1407&gt;0),('계산 과정'!$D$56+'계산 과정'!$D$57*D1407+'계산 과정'!$D$58*E1407)/F1407,"")</x:f>
        <x:v>103.41733632898587</x:v>
      </x:c>
      <x:c r="I1407" s="4" t="n">
        <x:f>IF(AND(ISNUMBER(G1407),G1407&gt;0),('계산 과정'!$E$56+'계산 과정'!$E$57*D1407+'계산 과정'!$E$58*E1407)/F1407,"")</x:f>
        <x:v>164.59945065488893</x:v>
      </x:c>
      <x:c r="J1407" s="4" t="n">
        <x:f>IF('계산 과정'!$L$5,'계산 과정'!$D$6+'계산 과정'!$C$35*D1407+'계산 과정'!$D$35*E1407,"")</x:f>
        <x:v>591.7199078801885</x:v>
      </x:c>
      <x:c r="K1407" s="4" t="n">
        <x:f>IF(AND('계산 과정'!$L$6,J1407&gt;0),'계산 과정'!$D$10*('계산 과정'!$C$38*(D1407-'계산 과정'!$C$32)+'계산 과정'!$D$38*(E1407-'계산 과정'!$D$32)-'계산 과정'!$E$38*'계산 과정'!$E$32)/J1407,"")</x:f>
        <x:v>0.7879416101256078</x:v>
      </x:c>
      <x:c r="L1407" s="4" t="n">
        <x:f>IF(AND('계산 과정'!$L$6,J1407&gt;0),'계산 과정'!$D$10*('계산 과정'!$C$39*(D1407-'계산 과정'!$C$32)+'계산 과정'!$D$39*(E1407-'계산 과정'!$D$32)-'계산 과정'!$E$39*'계산 과정'!$E$32)/J1407,"")</x:f>
        <x:v>1.2540910526086775</x:v>
      </x:c>
      <x:c r="M1407" s="17" t="n">
        <x:f>IF('계산 과정'!$L$6,IF(J1407&lt;=0,0,IF(AND(ABS(K1407)&lt;='계산 과정'!$D$11/2,ABS(L1407)&lt;='계산 과정'!$D$12/2),1,0)),"")</x:f>
        <x:v>1</x:v>
      </x:c>
      <x:c r="N1407" s="17" t="n">
        <x:f>IF('계산 과정'!$C$78,IF(AND(ISNUMBER(H1407),ISNUMBER(I1407),ABS(H1407-'계산 과정'!$C$88)&lt;='계산 과정'!$D$23/2,ABS(I1407-'계산 과정'!$C$89)&lt;='계산 과정'!$D$24/2),1,0),"")</x:f>
        <x:v>1</x:v>
      </x:c>
      <x:c r="O1407" s="4" t="n">
        <x:f>IF('계산 과정'!$L$7,'계산 과정'!$C$49*('계산 과정'!$C$32-D1407)+'계산 과정'!$D$49*('계산 과정'!$D$32-E1407)+'계산 과정'!$E$49*'계산 과정'!$E$32,"")</x:f>
        <x:v>58.28009211981157</x:v>
      </x:c>
      <x:c r="P1407" s="4" t="n">
        <x:f>IF(AND('계산 과정'!$L$7,O1407&lt;&gt;0),('계산 과정'!$L$23-'계산 과정'!$C$49*D1407-'계산 과정'!$D$49*E1407)/O1407,"")</x:f>
        <x:v>7.863407133566026</x:v>
      </x:c>
      <x:c r="Q1407" s="4" t="str">
        <x:f>IF(AND(ISNUMBER(P1407),P1407&gt;1E-9,P1407&lt;1-1E-9),'계산 과정'!$C$47*(D1407-'계산 과정'!$C$50+P1407*('계산 과정'!$C$32-D1407))+'계산 과정'!$D$47*(E1407-'계산 과정'!$D$50+P1407*('계산 과정'!$D$32-E1407))+'계산 과정'!$E$47*(0-'계산 과정'!$E$50+P1407*('계산 과정'!$E$32-0)),"")</x:f>
      </x:c>
      <x:c r="R1407" s="4" t="str">
        <x:f>IF(AND(ISNUMBER(P1407),P1407&gt;1E-9,P1407&lt;1-1E-9),'계산 과정'!$C$48*(D1407-'계산 과정'!$C$50+P1407*('계산 과정'!$C$32-D1407))+'계산 과정'!$D$48*(E1407-'계산 과정'!$D$50+P1407*('계산 과정'!$D$32-E1407))+'계산 과정'!$E$48*(0-'계산 과정'!$E$50+P1407*('계산 과정'!$E$32-0)),"")</x:f>
      </x:c>
      <x:c r="S1407" s="17" t="n">
        <x:f>IF('계산 과정'!$C$78,IF(AND(ISNUMBER(Q1407),ISNUMBER(R1407),ABS(Q1407-'계산 과정'!$C$88)&lt;='계산 과정'!$D$23/2,ABS(R1407-'계산 과정'!$C$89)&lt;='계산 과정'!$D$24/2),1,0),"")</x:f>
        <x:v>0</x:v>
      </x:c>
      <x:c r="T1407" s="4"/>
      <x:c r="U1407" s="4"/>
      <x:c r="V1407" s="4"/>
      <x:c r="W1407" s="4"/>
      <x:c r="X1407" s="4"/>
      <x:c r="Y1407" s="4"/>
      <x:c r="Z1407" s="4"/>
    </x:row>
    <x:row r="1408" ht="23" customHeight="1">
      <x:c r="A1408" s="17" t="n">
        <x:f>ROW()-6</x:f>
        <x:v>1402</x:v>
      </x:c>
      <x:c r="B1408" s="4" t="n">
        <x:f>IF('계산 과정'!$L$5,'계산 과정'!$L$11*SQRT((A1408+0.5)/'계산 과정'!$L$30),"")</x:f>
        <x:v>124.13027509561276</x:v>
      </x:c>
      <x:c r="C1408" s="4" t="n">
        <x:f>A1408*PI()*(3-SQRT(5))</x:f>
        <x:v>3364.7484480795715</x:v>
      </x:c>
      <x:c r="D1408" s="4" t="n">
        <x:f>IF('계산 과정'!$L$5,B1408*COS(C1408),"")</x:f>
        <x:v>-123.47602655120068</x:v>
      </x:c>
      <x:c r="E1408" s="4" t="n">
        <x:f>IF('계산 과정'!$L$5,B1408*SIN(C1408),"")</x:f>
        <x:v>-12.727767378440218</x:v>
      </x:c>
      <x:c r="F1408" s="4" t="n">
        <x:f>IF('계산 과정'!$L$7,'계산 과정'!$L$22+'계산 과정'!$C$49*D1408+'계산 과정'!$D$49*E1408,"")</x:f>
        <x:v>737.3107356883241</x:v>
      </x:c>
      <x:c r="G1408" s="4" t="n">
        <x:f>IF('계산 과정'!$L$7,IF(ABS(F1408)&gt;=1E-12*MAX(1,SQRT((D1408-'계산 과정'!$C$33)^2+(E1408-'계산 과정'!$D$33)^2+'계산 과정'!$E$33^2)),('계산 과정'!$L$23-'계산 과정'!$C$49*D1408-'계산 과정'!$D$49*E1408)/F1408,""),"")</x:f>
        <x:v>0.4240942782689329</x:v>
      </x:c>
      <x:c r="H1408" s="4" t="n">
        <x:f>IF(AND(ISNUMBER(G1408),G1408&gt;0),('계산 과정'!$D$56+'계산 과정'!$D$57*D1408+'계산 과정'!$D$58*E1408)/F1408,"")</x:f>
        <x:v>-124.33871912519375</x:v>
      </x:c>
      <x:c r="I1408" s="4" t="n">
        <x:f>IF(AND(ISNUMBER(G1408),G1408&gt;0),('계산 과정'!$E$56+'계산 과정'!$E$57*D1408+'계산 과정'!$E$58*E1408)/F1408,"")</x:f>
        <x:v>-18.125540698774692</x:v>
      </x:c>
      <x:c r="J1408" s="4" t="n">
        <x:f>IF('계산 과정'!$L$5,'계산 과정'!$D$6+'계산 과정'!$C$35*D1408+'계산 과정'!$D$35*E1408,"")</x:f>
        <x:v>737.3107356883241</x:v>
      </x:c>
      <x:c r="K1408" s="4" t="n">
        <x:f>IF(AND('계산 과정'!$L$6,J1408&gt;0),'계산 과정'!$D$10*('계산 과정'!$C$38*(D1408-'계산 과정'!$C$32)+'계산 과정'!$D$38*(E1408-'계산 과정'!$D$32)-'계산 과정'!$E$38*'계산 과정'!$E$32)/J1408,"")</x:f>
        <x:v>-0.9473426219062372</x:v>
      </x:c>
      <x:c r="L1408" s="4" t="n">
        <x:f>IF(AND('계산 과정'!$L$6,J1408&gt;0),'계산 과정'!$D$10*('계산 과정'!$C$39*(D1408-'계산 과정'!$C$32)+'계산 과정'!$D$39*(E1408-'계산 과정'!$D$32)-'계산 과정'!$E$39*'계산 과정'!$E$32)/J1408,"")</x:f>
        <x:v>-0.13809935770495002</x:v>
      </x:c>
      <x:c r="M1408" s="17" t="n">
        <x:f>IF('계산 과정'!$L$6,IF(J1408&lt;=0,0,IF(AND(ABS(K1408)&lt;='계산 과정'!$D$11/2,ABS(L1408)&lt;='계산 과정'!$D$12/2),1,0)),"")</x:f>
        <x:v>1</x:v>
      </x:c>
      <x:c r="N1408" s="17" t="n">
        <x:f>IF('계산 과정'!$C$78,IF(AND(ISNUMBER(H1408),ISNUMBER(I1408),ABS(H1408-'계산 과정'!$C$88)&lt;='계산 과정'!$D$23/2,ABS(I1408-'계산 과정'!$C$89)&lt;='계산 과정'!$D$24/2),1,0),"")</x:f>
        <x:v>1</x:v>
      </x:c>
      <x:c r="O1408" s="4" t="n">
        <x:f>IF('계산 과정'!$L$7,'계산 과정'!$C$49*('계산 과정'!$C$32-D1408)+'계산 과정'!$D$49*('계산 과정'!$D$32-E1408)+'계산 과정'!$E$49*'계산 과정'!$E$32,"")</x:f>
        <x:v>-87.31073568832409</x:v>
      </x:c>
      <x:c r="P1408" s="4" t="n">
        <x:f>IF(AND('계산 과정'!$L$7,O1408&lt;&gt;0),('계산 과정'!$L$23-'계산 과정'!$C$49*D1408-'계산 과정'!$D$49*E1408)/O1408,"")</x:f>
        <x:v>-3.581338100596158</x:v>
      </x:c>
      <x:c r="Q1408" s="4" t="str">
        <x:f>IF(AND(ISNUMBER(P1408),P1408&gt;1E-9,P1408&lt;1-1E-9),'계산 과정'!$C$47*(D1408-'계산 과정'!$C$50+P1408*('계산 과정'!$C$32-D1408))+'계산 과정'!$D$47*(E1408-'계산 과정'!$D$50+P1408*('계산 과정'!$D$32-E1408))+'계산 과정'!$E$47*(0-'계산 과정'!$E$50+P1408*('계산 과정'!$E$32-0)),"")</x:f>
      </x:c>
      <x:c r="R1408" s="4" t="str">
        <x:f>IF(AND(ISNUMBER(P1408),P1408&gt;1E-9,P1408&lt;1-1E-9),'계산 과정'!$C$48*(D1408-'계산 과정'!$C$50+P1408*('계산 과정'!$C$32-D1408))+'계산 과정'!$D$48*(E1408-'계산 과정'!$D$50+P1408*('계산 과정'!$D$32-E1408))+'계산 과정'!$E$48*(0-'계산 과정'!$E$50+P1408*('계산 과정'!$E$32-0)),"")</x:f>
      </x:c>
      <x:c r="S1408" s="17" t="n">
        <x:f>IF('계산 과정'!$C$78,IF(AND(ISNUMBER(Q1408),ISNUMBER(R1408),ABS(Q1408-'계산 과정'!$C$88)&lt;='계산 과정'!$D$23/2,ABS(R1408-'계산 과정'!$C$89)&lt;='계산 과정'!$D$24/2),1,0),"")</x:f>
        <x:v>0</x:v>
      </x:c>
      <x:c r="T1408" s="4"/>
      <x:c r="U1408" s="4"/>
      <x:c r="V1408" s="4"/>
      <x:c r="W1408" s="4"/>
      <x:c r="X1408" s="4"/>
      <x:c r="Y1408" s="4"/>
      <x:c r="Z1408" s="4"/>
    </x:row>
    <x:row r="1409" ht="23" customHeight="1">
      <x:c r="A1409" s="17" t="n">
        <x:f>ROW()-6</x:f>
        <x:v>1403</x:v>
      </x:c>
      <x:c r="B1409" s="4" t="n">
        <x:f>IF('계산 과정'!$L$5,'계산 과정'!$L$11*SQRT((A1409+0.5)/'계산 과정'!$L$30),"")</x:f>
        <x:v>124.17452042765255</x:v>
      </x:c>
      <x:c r="C1409" s="4" t="n">
        <x:f>A1409*PI()*(3-SQRT(5))</x:f>
        <x:v>3367.1484113092997</x:v>
      </x:c>
      <x:c r="D1409" s="4" t="n">
        <x:f>IF('계산 과정'!$L$5,B1409*COS(C1409),"")</x:f>
        <x:v>99.68038018449022</x:v>
      </x:c>
      <x:c r="E1409" s="4" t="n">
        <x:f>IF('계산 과정'!$L$5,B1409*SIN(C1409),"")</x:f>
        <x:v>-74.04818248757353</x:v>
      </x:c>
      <x:c r="F1409" s="4" t="n">
        <x:f>IF('계산 과정'!$L$7,'계산 과정'!$L$22+'계산 과정'!$C$49*D1409+'계산 과정'!$D$49*E1409,"")</x:f>
        <x:v>579.5153272202938</x:v>
      </x:c>
      <x:c r="G1409" s="4" t="n">
        <x:f>IF('계산 과정'!$L$7,IF(ABS(F1409)&gt;=1E-12*MAX(1,SQRT((D1409-'계산 과정'!$C$33)^2+(E1409-'계산 과정'!$D$33)^2+'계산 과정'!$E$33^2)),('계산 과정'!$L$23-'계산 과정'!$C$49*D1409-'계산 과정'!$D$49*E1409)/F1409,""),"")</x:f>
        <x:v>0.811858894287465</x:v>
      </x:c>
      <x:c r="H1409" s="4" t="n">
        <x:f>IF(AND(ISNUMBER(G1409),G1409&gt;0),('계산 과정'!$D$56+'계산 과정'!$D$57*D1409+'계산 과정'!$D$58*E1409)/F1409,"")</x:f>
        <x:v>127.70828128685216</x:v>
      </x:c>
      <x:c r="I1409" s="4" t="n">
        <x:f>IF(AND(ISNUMBER(G1409),G1409&gt;0),('계산 과정'!$E$56+'계산 과정'!$E$57*D1409+'계산 과정'!$E$58*E1409)/F1409,"")</x:f>
        <x:v>-134.1648580459314</x:v>
      </x:c>
      <x:c r="J1409" s="4" t="n">
        <x:f>IF('계산 과정'!$L$5,'계산 과정'!$D$6+'계산 과정'!$C$35*D1409+'계산 과정'!$D$35*E1409,"")</x:f>
        <x:v>579.5153272202938</x:v>
      </x:c>
      <x:c r="K1409" s="4" t="n">
        <x:f>IF(AND('계산 과정'!$L$6,J1409&gt;0),'계산 과정'!$D$10*('계산 과정'!$C$38*(D1409-'계산 과정'!$C$32)+'계산 과정'!$D$38*(E1409-'계산 과정'!$D$32)-'계산 과정'!$E$38*'계산 과정'!$E$32)/J1409,"")</x:f>
        <x:v>0.9730154764712555</x:v>
      </x:c>
      <x:c r="L1409" s="4" t="n">
        <x:f>IF(AND('계산 과정'!$L$6,J1409&gt;0),'계산 과정'!$D$10*('계산 과정'!$C$39*(D1409-'계산 과정'!$C$32)+'계산 과정'!$D$39*(E1409-'계산 과정'!$D$32)-'계산 과정'!$E$39*'계산 과정'!$E$32)/J1409,"")</x:f>
        <x:v>-1.0222084422547155</x:v>
      </x:c>
      <x:c r="M1409" s="17" t="n">
        <x:f>IF('계산 과정'!$L$6,IF(J1409&lt;=0,0,IF(AND(ABS(K1409)&lt;='계산 과정'!$D$11/2,ABS(L1409)&lt;='계산 과정'!$D$12/2),1,0)),"")</x:f>
        <x:v>1</x:v>
      </x:c>
      <x:c r="N1409" s="17" t="n">
        <x:f>IF('계산 과정'!$C$78,IF(AND(ISNUMBER(H1409),ISNUMBER(I1409),ABS(H1409-'계산 과정'!$C$88)&lt;='계산 과정'!$D$23/2,ABS(I1409-'계산 과정'!$C$89)&lt;='계산 과정'!$D$24/2),1,0),"")</x:f>
        <x:v>1</x:v>
      </x:c>
      <x:c r="O1409" s="4" t="n">
        <x:f>IF('계산 과정'!$L$7,'계산 과정'!$C$49*('계산 과정'!$C$32-D1409)+'계산 과정'!$D$49*('계산 과정'!$D$32-E1409)+'계산 과정'!$E$49*'계산 과정'!$E$32,"")</x:f>
        <x:v>70.4846727797063</x:v>
      </x:c>
      <x:c r="P1409" s="4" t="n">
        <x:f>IF(AND('계산 과정'!$L$7,O1409&lt;&gt;0),('계산 과정'!$L$23-'계산 과정'!$C$49*D1409-'계산 과정'!$D$49*E1409)/O1409,"")</x:f>
        <x:v>6.674992650532195</x:v>
      </x:c>
      <x:c r="Q1409" s="4" t="str">
        <x:f>IF(AND(ISNUMBER(P1409),P1409&gt;1E-9,P1409&lt;1-1E-9),'계산 과정'!$C$47*(D1409-'계산 과정'!$C$50+P1409*('계산 과정'!$C$32-D1409))+'계산 과정'!$D$47*(E1409-'계산 과정'!$D$50+P1409*('계산 과정'!$D$32-E1409))+'계산 과정'!$E$47*(0-'계산 과정'!$E$50+P1409*('계산 과정'!$E$32-0)),"")</x:f>
      </x:c>
      <x:c r="R1409" s="4" t="str">
        <x:f>IF(AND(ISNUMBER(P1409),P1409&gt;1E-9,P1409&lt;1-1E-9),'계산 과정'!$C$48*(D1409-'계산 과정'!$C$50+P1409*('계산 과정'!$C$32-D1409))+'계산 과정'!$D$48*(E1409-'계산 과정'!$D$50+P1409*('계산 과정'!$D$32-E1409))+'계산 과정'!$E$48*(0-'계산 과정'!$E$50+P1409*('계산 과정'!$E$32-0)),"")</x:f>
      </x:c>
      <x:c r="S1409" s="17" t="n">
        <x:f>IF('계산 과정'!$C$78,IF(AND(ISNUMBER(Q1409),ISNUMBER(R1409),ABS(Q1409-'계산 과정'!$C$88)&lt;='계산 과정'!$D$23/2,ABS(R1409-'계산 과정'!$C$89)&lt;='계산 과정'!$D$24/2),1,0),"")</x:f>
        <x:v>0</x:v>
      </x:c>
      <x:c r="T1409" s="4"/>
      <x:c r="U1409" s="4"/>
      <x:c r="V1409" s="4"/>
      <x:c r="W1409" s="4"/>
      <x:c r="X1409" s="4"/>
      <x:c r="Y1409" s="4"/>
      <x:c r="Z1409" s="4"/>
    </x:row>
    <x:row r="1410" ht="23" customHeight="1">
      <x:c r="A1410" s="17" t="n">
        <x:f>ROW()-6</x:f>
        <x:v>1404</x:v>
      </x:c>
      <x:c r="B1410" s="4" t="n">
        <x:f>IF('계산 과정'!$L$5,'계산 과정'!$L$11*SQRT((A1410+0.5)/'계산 과정'!$L$30),"")</x:f>
        <x:v>124.21875</x:v>
      </x:c>
      <x:c r="C1410" s="4" t="n">
        <x:f>A1410*PI()*(3-SQRT(5))</x:f>
        <x:v>3369.548374539029</x:v>
      </x:c>
      <x:c r="D1410" s="4" t="n">
        <x:f>IF('계산 과정'!$L$5,B1410*COS(C1410),"")</x:f>
        <x:v>-23.490745686144997</x:v>
      </x:c>
      <x:c r="E1410" s="4" t="n">
        <x:f>IF('계산 과정'!$L$5,B1410*SIN(C1410),"")</x:f>
        <x:v>121.97738609542081</x:v>
      </x:c>
      <x:c r="F1410" s="4" t="n">
        <x:f>IF('계산 과정'!$L$7,'계산 과정'!$L$22+'계산 과정'!$C$49*D1410+'계산 과정'!$D$49*E1410,"")</x:f>
        <x:v>666.6104655698018</x:v>
      </x:c>
      <x:c r="G1410" s="4" t="n">
        <x:f>IF('계산 과정'!$L$7,IF(ABS(F1410)&gt;=1E-12*MAX(1,SQRT((D1410-'계산 과정'!$C$33)^2+(E1410-'계산 과정'!$D$33)^2+'계산 과정'!$E$33^2)),('계산 과정'!$L$23-'계산 과정'!$C$49*D1410-'계산 과정'!$D$49*E1410)/F1410,""),"")</x:f>
        <x:v>0.5751327862854456</x:v>
      </x:c>
      <x:c r="H1410" s="4" t="n">
        <x:f>IF(AND(ISNUMBER(G1410),G1410&gt;0),('계산 과정'!$D$56+'계산 과정'!$D$57*D1410+'계산 과정'!$D$58*E1410)/F1410,"")</x:f>
        <x:v>-26.16368891446043</x:v>
      </x:c>
      <x:c r="I1410" s="4" t="n">
        <x:f>IF(AND(ISNUMBER(G1410),G1410&gt;0),('계산 과정'!$E$56+'계산 과정'!$E$57*D1410+'계산 과정'!$E$58*E1410)/F1410,"")</x:f>
        <x:v>192.13058002429574</x:v>
      </x:c>
      <x:c r="J1410" s="4" t="n">
        <x:f>IF('계산 과정'!$L$5,'계산 과정'!$D$6+'계산 과정'!$C$35*D1410+'계산 과정'!$D$35*E1410,"")</x:f>
        <x:v>666.6104655698018</x:v>
      </x:c>
      <x:c r="K1410" s="4" t="n">
        <x:f>IF(AND('계산 과정'!$L$6,J1410&gt;0),'계산 과정'!$D$10*('계산 과정'!$C$38*(D1410-'계산 과정'!$C$32)+'계산 과정'!$D$38*(E1410-'계산 과정'!$D$32)-'계산 과정'!$E$38*'계산 과정'!$E$32)/J1410,"")</x:f>
        <x:v>-0.19934239172922139</x:v>
      </x:c>
      <x:c r="L1410" s="4" t="n">
        <x:f>IF(AND('계산 과정'!$L$6,J1410&gt;0),'계산 과정'!$D$10*('계산 과정'!$C$39*(D1410-'계산 과정'!$C$32)+'계산 과정'!$D$39*(E1410-'계산 과정'!$D$32)-'계산 과정'!$E$39*'계산 과정'!$E$32)/J1410,"")</x:f>
        <x:v>1.4638520382803486</x:v>
      </x:c>
      <x:c r="M1410" s="17" t="n">
        <x:f>IF('계산 과정'!$L$6,IF(J1410&lt;=0,0,IF(AND(ABS(K1410)&lt;='계산 과정'!$D$11/2,ABS(L1410)&lt;='계산 과정'!$D$12/2),1,0)),"")</x:f>
        <x:v>1</x:v>
      </x:c>
      <x:c r="N1410" s="17" t="n">
        <x:f>IF('계산 과정'!$C$78,IF(AND(ISNUMBER(H1410),ISNUMBER(I1410),ABS(H1410-'계산 과정'!$C$88)&lt;='계산 과정'!$D$23/2,ABS(I1410-'계산 과정'!$C$89)&lt;='계산 과정'!$D$24/2),1,0),"")</x:f>
        <x:v>1</x:v>
      </x:c>
      <x:c r="O1410" s="4" t="n">
        <x:f>IF('계산 과정'!$L$7,'계산 과정'!$C$49*('계산 과정'!$C$32-D1410)+'계산 과정'!$D$49*('계산 과정'!$D$32-E1410)+'계산 과정'!$E$49*'계산 과정'!$E$32,"")</x:f>
        <x:v>-16.610465569801647</x:v>
      </x:c>
      <x:c r="P1410" s="4" t="n">
        <x:f>IF(AND('계산 과정'!$L$7,O1410&lt;&gt;0),('계산 과정'!$L$23-'계산 과정'!$C$49*D1410-'계산 과정'!$D$49*E1410)/O1410,"")</x:f>
        <x:v>-23.08120340270369</x:v>
      </x:c>
      <x:c r="Q1410" s="4" t="str">
        <x:f>IF(AND(ISNUMBER(P1410),P1410&gt;1E-9,P1410&lt;1-1E-9),'계산 과정'!$C$47*(D1410-'계산 과정'!$C$50+P1410*('계산 과정'!$C$32-D1410))+'계산 과정'!$D$47*(E1410-'계산 과정'!$D$50+P1410*('계산 과정'!$D$32-E1410))+'계산 과정'!$E$47*(0-'계산 과정'!$E$50+P1410*('계산 과정'!$E$32-0)),"")</x:f>
      </x:c>
      <x:c r="R1410" s="4" t="str">
        <x:f>IF(AND(ISNUMBER(P1410),P1410&gt;1E-9,P1410&lt;1-1E-9),'계산 과정'!$C$48*(D1410-'계산 과정'!$C$50+P1410*('계산 과정'!$C$32-D1410))+'계산 과정'!$D$48*(E1410-'계산 과정'!$D$50+P1410*('계산 과정'!$D$32-E1410))+'계산 과정'!$E$48*(0-'계산 과정'!$E$50+P1410*('계산 과정'!$E$32-0)),"")</x:f>
      </x:c>
      <x:c r="S1410" s="17" t="n">
        <x:f>IF('계산 과정'!$C$78,IF(AND(ISNUMBER(Q1410),ISNUMBER(R1410),ABS(Q1410-'계산 과정'!$C$88)&lt;='계산 과정'!$D$23/2,ABS(R1410-'계산 과정'!$C$89)&lt;='계산 과정'!$D$24/2),1,0),"")</x:f>
        <x:v>0</x:v>
      </x:c>
      <x:c r="T1410" s="4"/>
      <x:c r="U1410" s="4"/>
      <x:c r="V1410" s="4"/>
      <x:c r="W1410" s="4"/>
      <x:c r="X1410" s="4"/>
      <x:c r="Y1410" s="4"/>
      <x:c r="Z1410" s="4"/>
    </x:row>
    <x:row r="1411" ht="23" customHeight="1">
      <x:c r="A1411" s="17" t="n">
        <x:f>ROW()-6</x:f>
        <x:v>1405</x:v>
      </x:c>
      <x:c r="B1411" s="4" t="n">
        <x:f>IF('계산 과정'!$L$5,'계산 과정'!$L$11*SQRT((A1411+0.5)/'계산 과정'!$L$30),"")</x:f>
        <x:v>124.26296382948341</x:v>
      </x:c>
      <x:c r="C1411" s="4" t="n">
        <x:f>A1411*PI()*(3-SQRT(5))</x:f>
        <x:v>3371.9483377687575</x:v>
      </x:c>
      <x:c r="D1411" s="4" t="n">
        <x:f>IF('계산 과정'!$L$5,B1411*COS(C1411),"")</x:f>
        <x:v>-65.09635747795546</x:v>
      </x:c>
      <x:c r="E1411" s="4" t="n">
        <x:f>IF('계산 과정'!$L$5,B1411*SIN(C1411),"")</x:f>
        <x:v>-105.84776059411806</x:v>
      </x:c>
      <x:c r="F1411" s="4" t="n">
        <x:f>IF('계산 과정'!$L$7,'계산 과정'!$L$22+'계산 과정'!$C$49*D1411+'계산 과정'!$D$49*E1411,"")</x:f>
        <x:v>696.0300758032059</x:v>
      </x:c>
      <x:c r="G1411" s="4" t="n">
        <x:f>IF('계산 과정'!$L$7,IF(ABS(F1411)&gt;=1E-12*MAX(1,SQRT((D1411-'계산 과정'!$C$33)^2+(E1411-'계산 과정'!$D$33)^2+'계산 과정'!$E$33^2)),('계산 과정'!$L$23-'계산 과정'!$C$49*D1411-'계산 과정'!$D$49*E1411)/F1411,""),"")</x:f>
        <x:v>0.5085555014103654</x:v>
      </x:c>
      <x:c r="H1411" s="4" t="n">
        <x:f>IF(AND(ISNUMBER(G1411),G1411&gt;0),('계산 과정'!$D$56+'계산 과정'!$D$57*D1411+'계산 과정'!$D$58*E1411)/F1411,"")</x:f>
        <x:v>-69.43892408326258</x:v>
      </x:c>
      <x:c r="I1411" s="4" t="n">
        <x:f>IF(AND(ISNUMBER(G1411),G1411&gt;0),('계산 과정'!$E$56+'계산 과정'!$E$57*D1411+'계산 과정'!$E$58*E1411)/F1411,"")</x:f>
        <x:v>-159.67722155622408</x:v>
      </x:c>
      <x:c r="J1411" s="4" t="n">
        <x:f>IF('계산 과정'!$L$5,'계산 과정'!$D$6+'계산 과정'!$C$35*D1411+'계산 과정'!$D$35*E1411,"")</x:f>
        <x:v>696.0300758032059</x:v>
      </x:c>
      <x:c r="K1411" s="4" t="n">
        <x:f>IF(AND('계산 과정'!$L$6,J1411&gt;0),'계산 과정'!$D$10*('계산 과정'!$C$38*(D1411-'계산 과정'!$C$32)+'계산 과정'!$D$38*(E1411-'계산 과정'!$D$32)-'계산 과정'!$E$38*'계산 과정'!$E$32)/J1411,"")</x:f>
        <x:v>-0.5290584692058092</x:v>
      </x:c>
      <x:c r="L1411" s="4" t="n">
        <x:f>IF(AND('계산 과정'!$L$6,J1411&gt;0),'계산 과정'!$D$10*('계산 과정'!$C$39*(D1411-'계산 과정'!$C$32)+'계산 과정'!$D$39*(E1411-'계산 과정'!$D$32)-'계산 과정'!$E$39*'계산 과정'!$E$32)/J1411,"")</x:f>
        <x:v>-1.2165883547140883</x:v>
      </x:c>
      <x:c r="M1411" s="17" t="n">
        <x:f>IF('계산 과정'!$L$6,IF(J1411&lt;=0,0,IF(AND(ABS(K1411)&lt;='계산 과정'!$D$11/2,ABS(L1411)&lt;='계산 과정'!$D$12/2),1,0)),"")</x:f>
        <x:v>1</x:v>
      </x:c>
      <x:c r="N1411" s="17" t="n">
        <x:f>IF('계산 과정'!$C$78,IF(AND(ISNUMBER(H1411),ISNUMBER(I1411),ABS(H1411-'계산 과정'!$C$88)&lt;='계산 과정'!$D$23/2,ABS(I1411-'계산 과정'!$C$89)&lt;='계산 과정'!$D$24/2),1,0),"")</x:f>
        <x:v>1</x:v>
      </x:c>
      <x:c r="O1411" s="4" t="n">
        <x:f>IF('계산 과정'!$L$7,'계산 과정'!$C$49*('계산 과정'!$C$32-D1411)+'계산 과정'!$D$49*('계산 과정'!$D$32-E1411)+'계산 과정'!$E$49*'계산 과정'!$E$32,"")</x:f>
        <x:v>-46.03007580320582</x:v>
      </x:c>
      <x:c r="P1411" s="4" t="n">
        <x:f>IF(AND('계산 과정'!$L$7,O1411&lt;&gt;0),('계산 과정'!$L$23-'계산 과정'!$C$49*D1411-'계산 과정'!$D$49*E1411)/O1411,"")</x:f>
        <x:v>-7.689970481694089</x:v>
      </x:c>
      <x:c r="Q1411" s="4" t="str">
        <x:f>IF(AND(ISNUMBER(P1411),P1411&gt;1E-9,P1411&lt;1-1E-9),'계산 과정'!$C$47*(D1411-'계산 과정'!$C$50+P1411*('계산 과정'!$C$32-D1411))+'계산 과정'!$D$47*(E1411-'계산 과정'!$D$50+P1411*('계산 과정'!$D$32-E1411))+'계산 과정'!$E$47*(0-'계산 과정'!$E$50+P1411*('계산 과정'!$E$32-0)),"")</x:f>
      </x:c>
      <x:c r="R1411" s="4" t="str">
        <x:f>IF(AND(ISNUMBER(P1411),P1411&gt;1E-9,P1411&lt;1-1E-9),'계산 과정'!$C$48*(D1411-'계산 과정'!$C$50+P1411*('계산 과정'!$C$32-D1411))+'계산 과정'!$D$48*(E1411-'계산 과정'!$D$50+P1411*('계산 과정'!$D$32-E1411))+'계산 과정'!$E$48*(0-'계산 과정'!$E$50+P1411*('계산 과정'!$E$32-0)),"")</x:f>
      </x:c>
      <x:c r="S1411" s="17" t="n">
        <x:f>IF('계산 과정'!$C$78,IF(AND(ISNUMBER(Q1411),ISNUMBER(R1411),ABS(Q1411-'계산 과정'!$C$88)&lt;='계산 과정'!$D$23/2,ABS(R1411-'계산 과정'!$C$89)&lt;='계산 과정'!$D$24/2),1,0),"")</x:f>
        <x:v>0</x:v>
      </x:c>
      <x:c r="T1411" s="4"/>
      <x:c r="U1411" s="4"/>
      <x:c r="V1411" s="4"/>
      <x:c r="W1411" s="4"/>
      <x:c r="X1411" s="4"/>
      <x:c r="Y1411" s="4"/>
      <x:c r="Z1411" s="4"/>
    </x:row>
    <x:row r="1412" ht="23" customHeight="1">
      <x:c r="A1412" s="17" t="n">
        <x:f>ROW()-6</x:f>
        <x:v>1406</x:v>
      </x:c>
      <x:c r="B1412" s="4" t="n">
        <x:f>IF('계산 과정'!$L$5,'계산 과정'!$L$11*SQRT((A1412+0.5)/'계산 과정'!$L$30),"")</x:f>
        <x:v>124.30716193290111</x:v>
      </x:c>
      <x:c r="C1412" s="4" t="n">
        <x:f>A1412*PI()*(3-SQRT(5))</x:f>
        <x:v>3374.3483009984857</x:v>
      </x:c>
      <x:c r="D1412" s="4" t="n">
        <x:f>IF('계산 과정'!$L$5,B1412*COS(C1412),"")</x:f>
        <x:v>119.54166673623682</x:v>
      </x:c>
      <x:c r="E1412" s="4" t="n">
        <x:f>IF('계산 과정'!$L$5,B1412*SIN(C1412),"")</x:f>
        <x:v>34.0890073445237</x:v>
      </x:c>
      <x:c r="F1412" s="4" t="n">
        <x:f>IF('계산 과정'!$L$7,'계산 과정'!$L$22+'계산 과정'!$C$49*D1412+'계산 과정'!$D$49*E1412,"")</x:f>
        <x:v>565.4712768164646</x:v>
      </x:c>
      <x:c r="G1412" s="4" t="n">
        <x:f>IF('계산 과정'!$L$7,IF(ABS(F1412)&gt;=1E-12*MAX(1,SQRT((D1412-'계산 과정'!$C$33)^2+(E1412-'계산 과정'!$D$33)^2+'계산 과정'!$E$33^2)),('계산 과정'!$L$23-'계산 과정'!$C$49*D1412-'계산 과정'!$D$49*E1412)/F1412,""),"")</x:f>
        <x:v>0.856858240282997</x:v>
      </x:c>
      <x:c r="H1412" s="4" t="n">
        <x:f>IF(AND(ISNUMBER(G1412),G1412&gt;0),('계산 과정'!$D$56+'계산 과정'!$D$57*D1412+'계산 과정'!$D$58*E1412)/F1412,"")</x:f>
        <x:v>156.95785618394802</x:v>
      </x:c>
      <x:c r="I1412" s="4" t="n">
        <x:f>IF(AND(ISNUMBER(G1412),G1412&gt;0),('계산 과정'!$E$56+'계산 과정'!$E$57*D1412+'계산 과정'!$E$58*E1412)/F1412,"")</x:f>
        <x:v>63.29845419074644</x:v>
      </x:c>
      <x:c r="J1412" s="4" t="n">
        <x:f>IF('계산 과정'!$L$5,'계산 과정'!$D$6+'계산 과정'!$C$35*D1412+'계산 과정'!$D$35*E1412,"")</x:f>
        <x:v>565.4712768164646</x:v>
      </x:c>
      <x:c r="K1412" s="4" t="n">
        <x:f>IF(AND('계산 과정'!$L$6,J1412&gt;0),'계산 과정'!$D$10*('계산 과정'!$C$38*(D1412-'계산 과정'!$C$32)+'계산 과정'!$D$38*(E1412-'계산 과정'!$D$32)-'계산 과정'!$E$38*'계산 과정'!$E$32)/J1412,"")</x:f>
        <x:v>1.1958693804491287</x:v>
      </x:c>
      <x:c r="L1412" s="4" t="n">
        <x:f>IF(AND('계산 과정'!$L$6,J1412&gt;0),'계산 과정'!$D$10*('계산 과정'!$C$39*(D1412-'계산 과정'!$C$32)+'계산 과정'!$D$39*(E1412-'계산 과정'!$D$32)-'계산 과정'!$E$39*'계산 과정'!$E$32)/J1412,"")</x:f>
        <x:v>0.48227393669140145</x:v>
      </x:c>
      <x:c r="M1412" s="17" t="n">
        <x:f>IF('계산 과정'!$L$6,IF(J1412&lt;=0,0,IF(AND(ABS(K1412)&lt;='계산 과정'!$D$11/2,ABS(L1412)&lt;='계산 과정'!$D$12/2),1,0)),"")</x:f>
        <x:v>1</x:v>
      </x:c>
      <x:c r="N1412" s="17" t="n">
        <x:f>IF('계산 과정'!$C$78,IF(AND(ISNUMBER(H1412),ISNUMBER(I1412),ABS(H1412-'계산 과정'!$C$88)&lt;='계산 과정'!$D$23/2,ABS(I1412-'계산 과정'!$C$89)&lt;='계산 과정'!$D$24/2),1,0),"")</x:f>
        <x:v>1</x:v>
      </x:c>
      <x:c r="O1412" s="4" t="n">
        <x:f>IF('계산 과정'!$L$7,'계산 과정'!$C$49*('계산 과정'!$C$32-D1412)+'계산 과정'!$D$49*('계산 과정'!$D$32-E1412)+'계산 과정'!$E$49*'계산 과정'!$E$32,"")</x:f>
        <x:v>84.5287231835355</x:v>
      </x:c>
      <x:c r="P1412" s="4" t="n">
        <x:f>IF(AND('계산 과정'!$L$7,O1412&lt;&gt;0),('계산 과정'!$L$23-'계산 과정'!$C$49*D1412-'계산 과정'!$D$49*E1412)/O1412,"")</x:f>
        <x:v>5.732119271830097</x:v>
      </x:c>
      <x:c r="Q1412" s="4" t="str">
        <x:f>IF(AND(ISNUMBER(P1412),P1412&gt;1E-9,P1412&lt;1-1E-9),'계산 과정'!$C$47*(D1412-'계산 과정'!$C$50+P1412*('계산 과정'!$C$32-D1412))+'계산 과정'!$D$47*(E1412-'계산 과정'!$D$50+P1412*('계산 과정'!$D$32-E1412))+'계산 과정'!$E$47*(0-'계산 과정'!$E$50+P1412*('계산 과정'!$E$32-0)),"")</x:f>
      </x:c>
      <x:c r="R1412" s="4" t="str">
        <x:f>IF(AND(ISNUMBER(P1412),P1412&gt;1E-9,P1412&lt;1-1E-9),'계산 과정'!$C$48*(D1412-'계산 과정'!$C$50+P1412*('계산 과정'!$C$32-D1412))+'계산 과정'!$D$48*(E1412-'계산 과정'!$D$50+P1412*('계산 과정'!$D$32-E1412))+'계산 과정'!$E$48*(0-'계산 과정'!$E$50+P1412*('계산 과정'!$E$32-0)),"")</x:f>
      </x:c>
      <x:c r="S1412" s="17" t="n">
        <x:f>IF('계산 과정'!$C$78,IF(AND(ISNUMBER(Q1412),ISNUMBER(R1412),ABS(Q1412-'계산 과정'!$C$88)&lt;='계산 과정'!$D$23/2,ABS(R1412-'계산 과정'!$C$89)&lt;='계산 과정'!$D$24/2),1,0),"")</x:f>
        <x:v>0</x:v>
      </x:c>
      <x:c r="T1412" s="4"/>
      <x:c r="U1412" s="4"/>
      <x:c r="V1412" s="4"/>
      <x:c r="W1412" s="4"/>
      <x:c r="X1412" s="4"/>
      <x:c r="Y1412" s="4"/>
      <x:c r="Z1412" s="4"/>
    </x:row>
    <x:row r="1413" ht="23" customHeight="1">
      <x:c r="A1413" s="17" t="n">
        <x:f>ROW()-6</x:f>
        <x:v>1407</x:v>
      </x:c>
      <x:c r="B1413" s="4" t="n">
        <x:f>IF('계산 과정'!$L$5,'계산 과정'!$L$11*SQRT((A1413+0.5)/'계산 과정'!$L$30),"")</x:f>
        <x:v>124.35134432702165</x:v>
      </x:c>
      <x:c r="C1413" s="4" t="n">
        <x:f>A1413*PI()*(3-SQRT(5))</x:f>
        <x:v>3376.748264228215</x:v>
      </x:c>
      <x:c r="D1413" s="4" t="n">
        <x:f>IF('계산 과정'!$L$5,B1413*COS(C1413),"")</x:f>
        <x:v>-111.21261245166411</x:v>
      </x:c>
      <x:c r="E1413" s="4" t="n">
        <x:f>IF('계산 과정'!$L$5,B1413*SIN(C1413),"")</x:f>
        <x:v>55.63282904556863</x:v>
      </x:c>
      <x:c r="F1413" s="4" t="n">
        <x:f>IF('계산 과정'!$L$7,'계산 과정'!$L$22+'계산 과정'!$C$49*D1413+'계산 과정'!$D$49*E1413,"")</x:f>
        <x:v>728.6391924180432</x:v>
      </x:c>
      <x:c r="G1413" s="4" t="n">
        <x:f>IF('계산 과정'!$L$7,IF(ABS(F1413)&gt;=1E-12*MAX(1,SQRT((D1413-'계산 과정'!$C$33)^2+(E1413-'계산 과정'!$D$33)^2+'계산 과정'!$E$33^2)),('계산 과정'!$L$23-'계산 과정'!$C$49*D1413-'계산 과정'!$D$49*E1413)/F1413,""),"")</x:f>
        <x:v>0.44104244038190854</x:v>
      </x:c>
      <x:c r="H1413" s="4" t="n">
        <x:f>IF(AND(ISNUMBER(G1413),G1413&gt;0),('계산 과정'!$D$56+'계산 과정'!$D$57*D1413+'계산 과정'!$D$58*E1413)/F1413,"")</x:f>
        <x:v>-113.32241375175954</x:v>
      </x:c>
      <x:c r="I1413" s="4" t="n">
        <x:f>IF(AND(ISNUMBER(G1413),G1413&gt;0),('계산 과정'!$E$56+'계산 과정'!$E$57*D1413+'계산 과정'!$E$58*E1413)/F1413,"")</x:f>
        <x:v>80.16926773317574</x:v>
      </x:c>
      <x:c r="J1413" s="4" t="n">
        <x:f>IF('계산 과정'!$L$5,'계산 과정'!$D$6+'계산 과정'!$C$35*D1413+'계산 과정'!$D$35*E1413,"")</x:f>
        <x:v>728.6391924180432</x:v>
      </x:c>
      <x:c r="K1413" s="4" t="n">
        <x:f>IF(AND('계산 과정'!$L$6,J1413&gt;0),'계산 과정'!$D$10*('계산 과정'!$C$38*(D1413-'계산 과정'!$C$32)+'계산 과정'!$D$38*(E1413-'계산 과정'!$D$32)-'계산 과정'!$E$38*'계산 과정'!$E$32)/J1413,"")</x:f>
        <x:v>-0.8634088666800713</x:v>
      </x:c>
      <x:c r="L1413" s="4" t="n">
        <x:f>IF(AND('계산 과정'!$L$6,J1413&gt;0),'계산 과정'!$D$10*('계산 과정'!$C$39*(D1413-'계산 과정'!$C$32)+'계산 과정'!$D$39*(E1413-'계산 과정'!$D$32)-'계산 과정'!$E$39*'계산 과정'!$E$32)/J1413,"")</x:f>
        <x:v>0.6108134684432437</x:v>
      </x:c>
      <x:c r="M1413" s="17" t="n">
        <x:f>IF('계산 과정'!$L$6,IF(J1413&lt;=0,0,IF(AND(ABS(K1413)&lt;='계산 과정'!$D$11/2,ABS(L1413)&lt;='계산 과정'!$D$12/2),1,0)),"")</x:f>
        <x:v>1</x:v>
      </x:c>
      <x:c r="N1413" s="17" t="n">
        <x:f>IF('계산 과정'!$C$78,IF(AND(ISNUMBER(H1413),ISNUMBER(I1413),ABS(H1413-'계산 과정'!$C$88)&lt;='계산 과정'!$D$23/2,ABS(I1413-'계산 과정'!$C$89)&lt;='계산 과정'!$D$24/2),1,0),"")</x:f>
        <x:v>1</x:v>
      </x:c>
      <x:c r="O1413" s="4" t="n">
        <x:f>IF('계산 과정'!$L$7,'계산 과정'!$C$49*('계산 과정'!$C$32-D1413)+'계산 과정'!$D$49*('계산 과정'!$D$32-E1413)+'계산 과정'!$E$49*'계산 과정'!$E$32,"")</x:f>
        <x:v>-78.63919241804302</x:v>
      </x:c>
      <x:c r="P1413" s="4" t="n">
        <x:f>IF(AND('계산 과정'!$L$7,O1413&lt;&gt;0),('계산 과정'!$L$23-'계산 과정'!$C$49*D1413-'계산 과정'!$D$49*E1413)/O1413,"")</x:f>
        <x:v>-4.086522225121727</x:v>
      </x:c>
      <x:c r="Q1413" s="4" t="str">
        <x:f>IF(AND(ISNUMBER(P1413),P1413&gt;1E-9,P1413&lt;1-1E-9),'계산 과정'!$C$47*(D1413-'계산 과정'!$C$50+P1413*('계산 과정'!$C$32-D1413))+'계산 과정'!$D$47*(E1413-'계산 과정'!$D$50+P1413*('계산 과정'!$D$32-E1413))+'계산 과정'!$E$47*(0-'계산 과정'!$E$50+P1413*('계산 과정'!$E$32-0)),"")</x:f>
      </x:c>
      <x:c r="R1413" s="4" t="str">
        <x:f>IF(AND(ISNUMBER(P1413),P1413&gt;1E-9,P1413&lt;1-1E-9),'계산 과정'!$C$48*(D1413-'계산 과정'!$C$50+P1413*('계산 과정'!$C$32-D1413))+'계산 과정'!$D$48*(E1413-'계산 과정'!$D$50+P1413*('계산 과정'!$D$32-E1413))+'계산 과정'!$E$48*(0-'계산 과정'!$E$50+P1413*('계산 과정'!$E$32-0)),"")</x:f>
      </x:c>
      <x:c r="S1413" s="17" t="n">
        <x:f>IF('계산 과정'!$C$78,IF(AND(ISNUMBER(Q1413),ISNUMBER(R1413),ABS(Q1413-'계산 과정'!$C$88)&lt;='계산 과정'!$D$23/2,ABS(R1413-'계산 과정'!$C$89)&lt;='계산 과정'!$D$24/2),1,0),"")</x:f>
        <x:v>0</x:v>
      </x:c>
      <x:c r="T1413" s="4"/>
      <x:c r="U1413" s="4"/>
      <x:c r="V1413" s="4"/>
      <x:c r="W1413" s="4"/>
      <x:c r="X1413" s="4"/>
      <x:c r="Y1413" s="4"/>
      <x:c r="Z1413" s="4"/>
    </x:row>
    <x:row r="1414" ht="23" customHeight="1">
      <x:c r="A1414" s="17" t="n">
        <x:f>ROW()-6</x:f>
        <x:v>1408</x:v>
      </x:c>
      <x:c r="B1414" s="4" t="n">
        <x:f>IF('계산 과정'!$L$5,'계산 과정'!$L$11*SQRT((A1414+0.5)/'계산 과정'!$L$30),"")</x:f>
        <x:v>124.39551102858374</x:v>
      </x:c>
      <x:c r="C1414" s="4" t="n">
        <x:f>A1414*PI()*(3-SQRT(5))</x:f>
        <x:v>3379.148227457943</x:v>
      </x:c>
      <x:c r="D1414" s="4" t="n">
        <x:f>IF('계산 과정'!$L$5,B1414*COS(C1414),"")</x:f>
        <x:v>44.44106203500019</x:v>
      </x:c>
      <x:c r="E1414" s="4" t="n">
        <x:f>IF('계산 과정'!$L$5,B1414*SIN(C1414),"")</x:f>
        <x:v>-116.18620903215563</x:v>
      </x:c>
      <x:c r="F1414" s="4" t="n">
        <x:f>IF('계산 과정'!$L$7,'계산 과정'!$L$22+'계산 과정'!$C$49*D1414+'계산 과정'!$D$49*E1414,"")</x:f>
        <x:v>618.5754236719193</x:v>
      </x:c>
      <x:c r="G1414" s="4" t="n">
        <x:f>IF('계산 과정'!$L$7,IF(ABS(F1414)&gt;=1E-12*MAX(1,SQRT((D1414-'계산 과정'!$C$33)^2+(E1414-'계산 과정'!$D$33)^2+'계산 과정'!$E$33^2)),('계산 과정'!$L$23-'계산 과정'!$C$49*D1414-'계산 과정'!$D$49*E1414)/F1414,""),"")</x:f>
        <x:v>0.6974486211674974</x:v>
      </x:c>
      <x:c r="H1414" s="4" t="n">
        <x:f>IF(AND(ISNUMBER(G1414),G1414&gt;0),('계산 과정'!$D$56+'계산 과정'!$D$57*D1414+'계산 과정'!$D$58*E1414)/F1414,"")</x:f>
        <x:v>53.3416037588732</x:v>
      </x:c>
      <x:c r="I1414" s="4" t="n">
        <x:f>IF(AND(ISNUMBER(G1414),G1414&gt;0),('계산 과정'!$E$56+'계산 과정'!$E$57*D1414+'계산 과정'!$E$58*E1414)/F1414,"")</x:f>
        <x:v>-197.22012032031122</x:v>
      </x:c>
      <x:c r="J1414" s="4" t="n">
        <x:f>IF('계산 과정'!$L$5,'계산 과정'!$D$6+'계산 과정'!$C$35*D1414+'계산 과정'!$D$35*E1414,"")</x:f>
        <x:v>618.5754236719193</x:v>
      </x:c>
      <x:c r="K1414" s="4" t="n">
        <x:f>IF(AND('계산 과정'!$L$6,J1414&gt;0),'계산 과정'!$D$10*('계산 과정'!$C$38*(D1414-'계산 과정'!$C$32)+'계산 과정'!$D$38*(E1414-'계산 과정'!$D$32)-'계산 과정'!$E$38*'계산 과정'!$E$32)/J1414,"")</x:f>
        <x:v>0.4064122191152251</x:v>
      </x:c>
      <x:c r="L1414" s="4" t="n">
        <x:f>IF(AND('계산 과정'!$L$6,J1414&gt;0),'계산 과정'!$D$10*('계산 과정'!$C$39*(D1414-'계산 과정'!$C$32)+'계산 과정'!$D$39*(E1414-'계산 과정'!$D$32)-'계산 과정'!$E$39*'계산 과정'!$E$32)/J1414,"")</x:f>
        <x:v>-1.502629488154752</x:v>
      </x:c>
      <x:c r="M1414" s="17" t="n">
        <x:f>IF('계산 과정'!$L$6,IF(J1414&lt;=0,0,IF(AND(ABS(K1414)&lt;='계산 과정'!$D$11/2,ABS(L1414)&lt;='계산 과정'!$D$12/2),1,0)),"")</x:f>
        <x:v>1</x:v>
      </x:c>
      <x:c r="N1414" s="17" t="n">
        <x:f>IF('계산 과정'!$C$78,IF(AND(ISNUMBER(H1414),ISNUMBER(I1414),ABS(H1414-'계산 과정'!$C$88)&lt;='계산 과정'!$D$23/2,ABS(I1414-'계산 과정'!$C$89)&lt;='계산 과정'!$D$24/2),1,0),"")</x:f>
        <x:v>1</x:v>
      </x:c>
      <x:c r="O1414" s="4" t="n">
        <x:f>IF('계산 과정'!$L$7,'계산 과정'!$C$49*('계산 과정'!$C$32-D1414)+'계산 과정'!$D$49*('계산 과정'!$D$32-E1414)+'계산 과정'!$E$49*'계산 과정'!$E$32,"")</x:f>
        <x:v>31.424576328080775</x:v>
      </x:c>
      <x:c r="P1414" s="4" t="n">
        <x:f>IF(AND('계산 과정'!$L$7,O1414&lt;&gt;0),('계산 과정'!$L$23-'계산 과정'!$C$49*D1414-'계산 과정'!$D$49*E1414)/O1414,"")</x:f>
        <x:v>13.728890783566834</x:v>
      </x:c>
      <x:c r="Q1414" s="4" t="str">
        <x:f>IF(AND(ISNUMBER(P1414),P1414&gt;1E-9,P1414&lt;1-1E-9),'계산 과정'!$C$47*(D1414-'계산 과정'!$C$50+P1414*('계산 과정'!$C$32-D1414))+'계산 과정'!$D$47*(E1414-'계산 과정'!$D$50+P1414*('계산 과정'!$D$32-E1414))+'계산 과정'!$E$47*(0-'계산 과정'!$E$50+P1414*('계산 과정'!$E$32-0)),"")</x:f>
      </x:c>
      <x:c r="R1414" s="4" t="str">
        <x:f>IF(AND(ISNUMBER(P1414),P1414&gt;1E-9,P1414&lt;1-1E-9),'계산 과정'!$C$48*(D1414-'계산 과정'!$C$50+P1414*('계산 과정'!$C$32-D1414))+'계산 과정'!$D$48*(E1414-'계산 과정'!$D$50+P1414*('계산 과정'!$D$32-E1414))+'계산 과정'!$E$48*(0-'계산 과정'!$E$50+P1414*('계산 과정'!$E$32-0)),"")</x:f>
      </x:c>
      <x:c r="S1414" s="17" t="n">
        <x:f>IF('계산 과정'!$C$78,IF(AND(ISNUMBER(Q1414),ISNUMBER(R1414),ABS(Q1414-'계산 과정'!$C$88)&lt;='계산 과정'!$D$23/2,ABS(R1414-'계산 과정'!$C$89)&lt;='계산 과정'!$D$24/2),1,0),"")</x:f>
        <x:v>0</x:v>
      </x:c>
      <x:c r="T1414" s="4"/>
      <x:c r="U1414" s="4"/>
      <x:c r="V1414" s="4"/>
      <x:c r="W1414" s="4"/>
      <x:c r="X1414" s="4"/>
      <x:c r="Y1414" s="4"/>
      <x:c r="Z1414" s="4"/>
    </x:row>
    <x:row r="1415" ht="23" customHeight="1">
      <x:c r="A1415" s="17" t="n">
        <x:f>ROW()-6</x:f>
        <x:v>1409</x:v>
      </x:c>
      <x:c r="B1415" s="4" t="n">
        <x:f>IF('계산 과정'!$L$5,'계산 과정'!$L$11*SQRT((A1415+0.5)/'계산 과정'!$L$30),"")</x:f>
        <x:v>124.4396620542964</x:v>
      </x:c>
      <x:c r="C1415" s="4" t="n">
        <x:f>A1415*PI()*(3-SQRT(5))</x:f>
        <x:v>3381.5481906876716</x:v>
      </x:c>
      <x:c r="D1415" s="4" t="n">
        <x:f>IF('계산 과정'!$L$5,B1415*COS(C1415),"")</x:f>
        <x:v>45.72942521382692</x:v>
      </x:c>
      <x:c r="E1415" s="4" t="n">
        <x:f>IF('계산 과정'!$L$5,B1415*SIN(C1415),"")</x:f>
        <x:v>115.73266246743185</x:v>
      </x:c>
      <x:c r="F1415" s="4" t="n">
        <x:f>IF('계산 과정'!$L$7,'계산 과정'!$L$22+'계산 과정'!$C$49*D1415+'계산 과정'!$D$49*E1415,"")</x:f>
        <x:v>617.6644133315399</x:v>
      </x:c>
      <x:c r="G1415" s="4" t="n">
        <x:f>IF('계산 과정'!$L$7,IF(ABS(F1415)&gt;=1E-12*MAX(1,SQRT((D1415-'계산 과정'!$C$33)^2+(E1415-'계산 과정'!$D$33)^2+'계산 과정'!$E$33^2)),('계산 과정'!$L$23-'계산 과정'!$C$49*D1415-'계산 과정'!$D$49*E1415)/F1415,""),"")</x:f>
        <x:v>0.6999522351248008</x:v>
      </x:c>
      <x:c r="H1415" s="4" t="n">
        <x:f>IF(AND(ISNUMBER(G1415),G1415&gt;0),('계산 과정'!$D$56+'계산 과정'!$D$57*D1415+'계산 과정'!$D$58*E1415)/F1415,"")</x:f>
        <x:v>54.968952831120355</x:v>
      </x:c>
      <x:c r="I1415" s="4" t="n">
        <x:f>IF(AND(ISNUMBER(G1415),G1415&gt;0),('계산 과정'!$E$56+'계산 과정'!$E$57*D1415+'계산 과정'!$E$58*E1415)/F1415,"")</x:f>
        <x:v>196.73999823845492</x:v>
      </x:c>
      <x:c r="J1415" s="4" t="n">
        <x:f>IF('계산 과정'!$L$5,'계산 과정'!$D$6+'계산 과정'!$C$35*D1415+'계산 과정'!$D$35*E1415,"")</x:f>
        <x:v>617.6644133315399</x:v>
      </x:c>
      <x:c r="K1415" s="4" t="n">
        <x:f>IF(AND('계산 과정'!$L$6,J1415&gt;0),'계산 과정'!$D$10*('계산 과정'!$C$38*(D1415-'계산 과정'!$C$32)+'계산 과정'!$D$38*(E1415-'계산 과정'!$D$32)-'계산 과정'!$E$38*'계산 과정'!$E$32)/J1415,"")</x:f>
        <x:v>0.4188110691894893</x:v>
      </x:c>
      <x:c r="L1415" s="4" t="n">
        <x:f>IF(AND('계산 과정'!$L$6,J1415&gt;0),'계산 과정'!$D$10*('계산 과정'!$C$39*(D1415-'계산 과정'!$C$32)+'계산 과정'!$D$39*(E1415-'계산 과정'!$D$32)-'계산 과정'!$E$39*'계산 과정'!$E$32)/J1415,"")</x:f>
        <x:v>1.4989714151501325</x:v>
      </x:c>
      <x:c r="M1415" s="17" t="n">
        <x:f>IF('계산 과정'!$L$6,IF(J1415&lt;=0,0,IF(AND(ABS(K1415)&lt;='계산 과정'!$D$11/2,ABS(L1415)&lt;='계산 과정'!$D$12/2),1,0)),"")</x:f>
        <x:v>1</x:v>
      </x:c>
      <x:c r="N1415" s="17" t="n">
        <x:f>IF('계산 과정'!$C$78,IF(AND(ISNUMBER(H1415),ISNUMBER(I1415),ABS(H1415-'계산 과정'!$C$88)&lt;='계산 과정'!$D$23/2,ABS(I1415-'계산 과정'!$C$89)&lt;='계산 과정'!$D$24/2),1,0),"")</x:f>
        <x:v>1</x:v>
      </x:c>
      <x:c r="O1415" s="4" t="n">
        <x:f>IF('계산 과정'!$L$7,'계산 과정'!$C$49*('계산 과정'!$C$32-D1415)+'계산 과정'!$D$49*('계산 과정'!$D$32-E1415)+'계산 과정'!$E$49*'계산 과정'!$E$32,"")</x:f>
        <x:v>32.33558666846022</x:v>
      </x:c>
      <x:c r="P1415" s="4" t="n">
        <x:f>IF(AND('계산 과정'!$L$7,O1415&lt;&gt;0),('계산 과정'!$L$23-'계산 과정'!$C$49*D1415-'계산 과정'!$D$49*E1415)/O1415,"")</x:f>
        <x:v>13.370271926754787</x:v>
      </x:c>
      <x:c r="Q1415" s="4" t="str">
        <x:f>IF(AND(ISNUMBER(P1415),P1415&gt;1E-9,P1415&lt;1-1E-9),'계산 과정'!$C$47*(D1415-'계산 과정'!$C$50+P1415*('계산 과정'!$C$32-D1415))+'계산 과정'!$D$47*(E1415-'계산 과정'!$D$50+P1415*('계산 과정'!$D$32-E1415))+'계산 과정'!$E$47*(0-'계산 과정'!$E$50+P1415*('계산 과정'!$E$32-0)),"")</x:f>
      </x:c>
      <x:c r="R1415" s="4" t="str">
        <x:f>IF(AND(ISNUMBER(P1415),P1415&gt;1E-9,P1415&lt;1-1E-9),'계산 과정'!$C$48*(D1415-'계산 과정'!$C$50+P1415*('계산 과정'!$C$32-D1415))+'계산 과정'!$D$48*(E1415-'계산 과정'!$D$50+P1415*('계산 과정'!$D$32-E1415))+'계산 과정'!$E$48*(0-'계산 과정'!$E$50+P1415*('계산 과정'!$E$32-0)),"")</x:f>
      </x:c>
      <x:c r="S1415" s="17" t="n">
        <x:f>IF('계산 과정'!$C$78,IF(AND(ISNUMBER(Q1415),ISNUMBER(R1415),ABS(Q1415-'계산 과정'!$C$88)&lt;='계산 과정'!$D$23/2,ABS(R1415-'계산 과정'!$C$89)&lt;='계산 과정'!$D$24/2),1,0),"")</x:f>
        <x:v>0</x:v>
      </x:c>
      <x:c r="T1415" s="4"/>
      <x:c r="U1415" s="4"/>
      <x:c r="V1415" s="4"/>
      <x:c r="W1415" s="4"/>
      <x:c r="X1415" s="4"/>
      <x:c r="Y1415" s="4"/>
      <x:c r="Z1415" s="4"/>
    </x:row>
    <x:row r="1416" ht="23" customHeight="1">
      <x:c r="A1416" s="17" t="n">
        <x:f>ROW()-6</x:f>
        <x:v>1410</x:v>
      </x:c>
      <x:c r="B1416" s="4" t="n">
        <x:f>IF('계산 과정'!$L$5,'계산 과정'!$L$11*SQRT((A1416+0.5)/'계산 과정'!$L$30),"")</x:f>
        <x:v>124.48379742083908</x:v>
      </x:c>
      <x:c r="C1416" s="4" t="n">
        <x:f>A1416*PI()*(3-SQRT(5))</x:f>
        <x:v>3383.9481539174008</x:v>
      </x:c>
      <x:c r="D1416" s="4" t="n">
        <x:f>IF('계산 과정'!$L$5,B1416*COS(C1416),"")</x:f>
        <x:v>-111.93543157096238</x:v>
      </x:c>
      <x:c r="E1416" s="4" t="n">
        <x:f>IF('계산 과정'!$L$5,B1416*SIN(C1416),"")</x:f>
        <x:v>-54.46719177022901</x:v>
      </x:c>
      <x:c r="F1416" s="4" t="n">
        <x:f>IF('계산 과정'!$L$7,'계산 과정'!$L$22+'계산 과정'!$C$49*D1416+'계산 과정'!$D$49*E1416,"")</x:f>
        <x:v>729.1503027188703</x:v>
      </x:c>
      <x:c r="G1416" s="4" t="n">
        <x:f>IF('계산 과정'!$L$7,IF(ABS(F1416)&gt;=1E-12*MAX(1,SQRT((D1416-'계산 과정'!$C$33)^2+(E1416-'계산 과정'!$D$33)^2+'계산 과정'!$E$33^2)),('계산 과정'!$L$23-'계산 과정'!$C$49*D1416-'계산 과정'!$D$49*E1416)/F1416,""),"")</x:f>
        <x:v>0.44003231718445285</x:v>
      </x:c>
      <x:c r="H1416" s="4" t="n">
        <x:f>IF(AND(ISNUMBER(G1416),G1416&gt;0),('계산 과정'!$D$56+'계산 과정'!$D$57*D1416+'계산 과정'!$D$58*E1416)/F1416,"")</x:f>
        <x:v>-113.97899383010576</x:v>
      </x:c>
      <x:c r="I1416" s="4" t="n">
        <x:f>IF(AND(ISNUMBER(G1416),G1416&gt;0),('계산 과정'!$E$56+'계산 과정'!$E$57*D1416+'계산 과정'!$E$58*E1416)/F1416,"")</x:f>
        <x:v>-78.43451637541283</x:v>
      </x:c>
      <x:c r="J1416" s="4" t="n">
        <x:f>IF('계산 과정'!$L$5,'계산 과정'!$D$6+'계산 과정'!$C$35*D1416+'계산 과정'!$D$35*E1416,"")</x:f>
        <x:v>729.1503027188703</x:v>
      </x:c>
      <x:c r="K1416" s="4" t="n">
        <x:f>IF(AND('계산 과정'!$L$6,J1416&gt;0),'계산 과정'!$D$10*('계산 과정'!$C$38*(D1416-'계산 과정'!$C$32)+'계산 과정'!$D$38*(E1416-'계산 과정'!$D$32)-'계산 과정'!$E$38*'계산 과정'!$E$32)/J1416,"")</x:f>
        <x:v>-0.8684113815627095</x:v>
      </x:c>
      <x:c r="L1416" s="4" t="n">
        <x:f>IF(AND('계산 과정'!$L$6,J1416&gt;0),'계산 과정'!$D$10*('계산 과정'!$C$39*(D1416-'계산 과정'!$C$32)+'계산 과정'!$D$39*(E1416-'계산 과정'!$D$32)-'계산 과정'!$E$39*'계산 과정'!$E$32)/J1416,"")</x:f>
        <x:v>-0.5975963152412407</x:v>
      </x:c>
      <x:c r="M1416" s="17" t="n">
        <x:f>IF('계산 과정'!$L$6,IF(J1416&lt;=0,0,IF(AND(ABS(K1416)&lt;='계산 과정'!$D$11/2,ABS(L1416)&lt;='계산 과정'!$D$12/2),1,0)),"")</x:f>
        <x:v>1</x:v>
      </x:c>
      <x:c r="N1416" s="17" t="n">
        <x:f>IF('계산 과정'!$C$78,IF(AND(ISNUMBER(H1416),ISNUMBER(I1416),ABS(H1416-'계산 과정'!$C$88)&lt;='계산 과정'!$D$23/2,ABS(I1416-'계산 과정'!$C$89)&lt;='계산 과정'!$D$24/2),1,0),"")</x:f>
        <x:v>1</x:v>
      </x:c>
      <x:c r="O1416" s="4" t="n">
        <x:f>IF('계산 과정'!$L$7,'계산 과정'!$C$49*('계산 과정'!$C$32-D1416)+'계산 과정'!$D$49*('계산 과정'!$D$32-E1416)+'계산 과정'!$E$49*'계산 과정'!$E$32,"")</x:f>
        <x:v>-79.15030271887014</x:v>
      </x:c>
      <x:c r="P1416" s="4" t="n">
        <x:f>IF(AND('계산 과정'!$L$7,O1416&lt;&gt;0),('계산 과정'!$L$23-'계산 과정'!$C$49*D1416-'계산 과정'!$D$49*E1416)/O1416,"")</x:f>
        <x:v>-4.053676186441626</x:v>
      </x:c>
      <x:c r="Q1416" s="4" t="str">
        <x:f>IF(AND(ISNUMBER(P1416),P1416&gt;1E-9,P1416&lt;1-1E-9),'계산 과정'!$C$47*(D1416-'계산 과정'!$C$50+P1416*('계산 과정'!$C$32-D1416))+'계산 과정'!$D$47*(E1416-'계산 과정'!$D$50+P1416*('계산 과정'!$D$32-E1416))+'계산 과정'!$E$47*(0-'계산 과정'!$E$50+P1416*('계산 과정'!$E$32-0)),"")</x:f>
      </x:c>
      <x:c r="R1416" s="4" t="str">
        <x:f>IF(AND(ISNUMBER(P1416),P1416&gt;1E-9,P1416&lt;1-1E-9),'계산 과정'!$C$48*(D1416-'계산 과정'!$C$50+P1416*('계산 과정'!$C$32-D1416))+'계산 과정'!$D$48*(E1416-'계산 과정'!$D$50+P1416*('계산 과정'!$D$32-E1416))+'계산 과정'!$E$48*(0-'계산 과정'!$E$50+P1416*('계산 과정'!$E$32-0)),"")</x:f>
      </x:c>
      <x:c r="S1416" s="17" t="n">
        <x:f>IF('계산 과정'!$C$78,IF(AND(ISNUMBER(Q1416),ISNUMBER(R1416),ABS(Q1416-'계산 과정'!$C$88)&lt;='계산 과정'!$D$23/2,ABS(R1416-'계산 과정'!$C$89)&lt;='계산 과정'!$D$24/2),1,0),"")</x:f>
        <x:v>0</x:v>
      </x:c>
      <x:c r="T1416" s="4"/>
      <x:c r="U1416" s="4"/>
      <x:c r="V1416" s="4"/>
      <x:c r="W1416" s="4"/>
      <x:c r="X1416" s="4"/>
      <x:c r="Y1416" s="4"/>
      <x:c r="Z1416" s="4"/>
    </x:row>
    <x:row r="1417" ht="23" customHeight="1">
      <x:c r="A1417" s="17" t="n">
        <x:f>ROW()-6</x:f>
        <x:v>1411</x:v>
      </x:c>
      <x:c r="B1417" s="4" t="n">
        <x:f>IF('계산 과정'!$L$5,'계산 과정'!$L$11*SQRT((A1417+0.5)/'계산 과정'!$L$30),"")</x:f>
        <x:v>124.52791714486155</x:v>
      </x:c>
      <x:c r="C1417" s="4" t="n">
        <x:f>A1417*PI()*(3-SQRT(5))</x:f>
        <x:v>3386.348117147129</x:v>
      </x:c>
      <x:c r="D1417" s="4" t="n">
        <x:f>IF('계산 과정'!$L$5,B1417*COS(C1417),"")</x:f>
        <x:v>119.37205601497838</x:v>
      </x:c>
      <x:c r="E1417" s="4" t="n">
        <x:f>IF('계산 과정'!$L$5,B1417*SIN(C1417),"")</x:f>
        <x:v>-35.46144936680343</x:v>
      </x:c>
      <x:c r="F1417" s="4" t="n">
        <x:f>IF('계산 과정'!$L$7,'계산 과정'!$L$22+'계산 과정'!$C$49*D1417+'계산 과정'!$D$49*E1417,"")</x:f>
        <x:v>565.5912097076284</x:v>
      </x:c>
      <x:c r="G1417" s="4" t="n">
        <x:f>IF('계산 과정'!$L$7,IF(ABS(F1417)&gt;=1E-12*MAX(1,SQRT((D1417-'계산 과정'!$C$33)^2+(E1417-'계산 과정'!$D$33)^2+'계산 과정'!$E$33^2)),('계산 과정'!$L$23-'계산 과정'!$C$49*D1417-'계산 과정'!$D$49*E1417)/F1417,""),"")</x:f>
        <x:v>0.8564644958728715</x:v>
      </x:c>
      <x:c r="H1417" s="4" t="n">
        <x:f>IF(AND(ISNUMBER(G1417),G1417&gt;0),('계산 과정'!$D$56+'계산 과정'!$D$57*D1417+'계산 과정'!$D$58*E1417)/F1417,"")</x:f>
        <x:v>156.70192231736652</x:v>
      </x:c>
      <x:c r="I1417" s="4" t="n">
        <x:f>IF(AND(ISNUMBER(G1417),G1417&gt;0),('계산 과정'!$E$56+'계산 과정'!$E$57*D1417+'계산 과정'!$E$58*E1417)/F1417,"")</x:f>
        <x:v>-65.83292172166408</x:v>
      </x:c>
      <x:c r="J1417" s="4" t="n">
        <x:f>IF('계산 과정'!$L$5,'계산 과정'!$D$6+'계산 과정'!$C$35*D1417+'계산 과정'!$D$35*E1417,"")</x:f>
        <x:v>565.5912097076284</x:v>
      </x:c>
      <x:c r="K1417" s="4" t="n">
        <x:f>IF(AND('계산 과정'!$L$6,J1417&gt;0),'계산 과정'!$D$10*('계산 과정'!$C$38*(D1417-'계산 과정'!$C$32)+'계산 과정'!$D$38*(E1417-'계산 과정'!$D$32)-'계산 과정'!$E$38*'계산 과정'!$E$32)/J1417,"")</x:f>
        <x:v>1.1939194081323172</x:v>
      </x:c>
      <x:c r="L1417" s="4" t="n">
        <x:f>IF(AND('계산 과정'!$L$6,J1417&gt;0),'계산 과정'!$D$10*('계산 과정'!$C$39*(D1417-'계산 과정'!$C$32)+'계산 과정'!$D$39*(E1417-'계산 과정'!$D$32)-'계산 과정'!$E$39*'계산 과정'!$E$32)/J1417,"")</x:f>
        <x:v>-0.501584165498393</x:v>
      </x:c>
      <x:c r="M1417" s="17" t="n">
        <x:f>IF('계산 과정'!$L$6,IF(J1417&lt;=0,0,IF(AND(ABS(K1417)&lt;='계산 과정'!$D$11/2,ABS(L1417)&lt;='계산 과정'!$D$12/2),1,0)),"")</x:f>
        <x:v>1</x:v>
      </x:c>
      <x:c r="N1417" s="17" t="n">
        <x:f>IF('계산 과정'!$C$78,IF(AND(ISNUMBER(H1417),ISNUMBER(I1417),ABS(H1417-'계산 과정'!$C$88)&lt;='계산 과정'!$D$23/2,ABS(I1417-'계산 과정'!$C$89)&lt;='계산 과정'!$D$24/2),1,0),"")</x:f>
        <x:v>1</x:v>
      </x:c>
      <x:c r="O1417" s="4" t="n">
        <x:f>IF('계산 과정'!$L$7,'계산 과정'!$C$49*('계산 과정'!$C$32-D1417)+'계산 과정'!$D$49*('계산 과정'!$D$32-E1417)+'계산 과정'!$E$49*'계산 과정'!$E$32,"")</x:f>
        <x:v>84.40879029237172</x:v>
      </x:c>
      <x:c r="P1417" s="4" t="n">
        <x:f>IF(AND('계산 과정'!$L$7,O1417&lt;&gt;0),('계산 과정'!$L$23-'계산 과정'!$C$49*D1417-'계산 과정'!$D$49*E1417)/O1417,"")</x:f>
        <x:v>5.738842940581144</x:v>
      </x:c>
      <x:c r="Q1417" s="4" t="str">
        <x:f>IF(AND(ISNUMBER(P1417),P1417&gt;1E-9,P1417&lt;1-1E-9),'계산 과정'!$C$47*(D1417-'계산 과정'!$C$50+P1417*('계산 과정'!$C$32-D1417))+'계산 과정'!$D$47*(E1417-'계산 과정'!$D$50+P1417*('계산 과정'!$D$32-E1417))+'계산 과정'!$E$47*(0-'계산 과정'!$E$50+P1417*('계산 과정'!$E$32-0)),"")</x:f>
      </x:c>
      <x:c r="R1417" s="4" t="str">
        <x:f>IF(AND(ISNUMBER(P1417),P1417&gt;1E-9,P1417&lt;1-1E-9),'계산 과정'!$C$48*(D1417-'계산 과정'!$C$50+P1417*('계산 과정'!$C$32-D1417))+'계산 과정'!$D$48*(E1417-'계산 과정'!$D$50+P1417*('계산 과정'!$D$32-E1417))+'계산 과정'!$E$48*(0-'계산 과정'!$E$50+P1417*('계산 과정'!$E$32-0)),"")</x:f>
      </x:c>
      <x:c r="S1417" s="17" t="n">
        <x:f>IF('계산 과정'!$C$78,IF(AND(ISNUMBER(Q1417),ISNUMBER(R1417),ABS(Q1417-'계산 과정'!$C$88)&lt;='계산 과정'!$D$23/2,ABS(R1417-'계산 과정'!$C$89)&lt;='계산 과정'!$D$24/2),1,0),"")</x:f>
        <x:v>0</x:v>
      </x:c>
      <x:c r="T1417" s="4"/>
      <x:c r="U1417" s="4"/>
      <x:c r="V1417" s="4"/>
      <x:c r="W1417" s="4"/>
      <x:c r="X1417" s="4"/>
      <x:c r="Y1417" s="4"/>
      <x:c r="Z1417" s="4"/>
    </x:row>
    <x:row r="1418" ht="23" customHeight="1">
      <x:c r="A1418" s="17" t="n">
        <x:f>ROW()-6</x:f>
        <x:v>1412</x:v>
      </x:c>
      <x:c r="B1418" s="4" t="n">
        <x:f>IF('계산 과정'!$L$5,'계산 과정'!$L$11*SQRT((A1418+0.5)/'계산 과정'!$L$30),"")</x:f>
        <x:v>124.57202124298418</x:v>
      </x:c>
      <x:c r="C1418" s="4" t="n">
        <x:f>A1418*PI()*(3-SQRT(5))</x:f>
        <x:v>3388.748080376858</x:v>
      </x:c>
      <x:c r="D1418" s="4" t="n">
        <x:f>IF('계산 과정'!$L$5,B1418*COS(C1418),"")</x:f>
        <x:v>-64.09006491541193</x:v>
      </x:c>
      <x:c r="E1418" s="4" t="n">
        <x:f>IF('계산 과정'!$L$5,B1418*SIN(C1418),"")</x:f>
        <x:v>106.82065369440868</x:v>
      </x:c>
      <x:c r="F1418" s="4" t="n">
        <x:f>IF('계산 과정'!$L$7,'계산 과정'!$L$22+'계산 과정'!$C$49*D1418+'계산 과정'!$D$49*E1418,"")</x:f>
        <x:v>695.3185195083738</x:v>
      </x:c>
      <x:c r="G1418" s="4" t="n">
        <x:f>IF('계산 과정'!$L$7,IF(ABS(F1418)&gt;=1E-12*MAX(1,SQRT((D1418-'계산 과정'!$C$33)^2+(E1418-'계산 과정'!$D$33)^2+'계산 과정'!$E$33^2)),('계산 과정'!$L$23-'계산 과정'!$C$49*D1418-'계산 과정'!$D$49*E1418)/F1418,""),"")</x:f>
        <x:v>0.5100992862126043</x:v>
      </x:c>
      <x:c r="H1418" s="4" t="n">
        <x:f>IF(AND(ISNUMBER(G1418),G1418&gt;0),('계산 과정'!$D$56+'계산 과정'!$D$57*D1418+'계산 과정'!$D$58*E1418)/F1418,"")</x:f>
        <x:v>-68.4354639618074</x:v>
      </x:c>
      <x:c r="I1418" s="4" t="n">
        <x:f>IF(AND(ISNUMBER(G1418),G1418&gt;0),('계산 과정'!$E$56+'계산 과정'!$E$57*D1418+'계산 과정'!$E$58*E1418)/F1418,"")</x:f>
        <x:v>161.3097928966903</x:v>
      </x:c>
      <x:c r="J1418" s="4" t="n">
        <x:f>IF('계산 과정'!$L$5,'계산 과정'!$D$6+'계산 과정'!$C$35*D1418+'계산 과정'!$D$35*E1418,"")</x:f>
        <x:v>695.3185195083738</x:v>
      </x:c>
      <x:c r="K1418" s="4" t="n">
        <x:f>IF(AND('계산 과정'!$L$6,J1418&gt;0),'계산 과정'!$D$10*('계산 과정'!$C$38*(D1418-'계산 과정'!$C$32)+'계산 과정'!$D$38*(E1418-'계산 과정'!$D$32)-'계산 과정'!$E$38*'계산 과정'!$E$32)/J1418,"")</x:f>
        <x:v>-0.5214130587566268</x:v>
      </x:c>
      <x:c r="L1418" s="4" t="n">
        <x:f>IF(AND('계산 과정'!$L$6,J1418&gt;0),'계산 과정'!$D$10*('계산 과정'!$C$39*(D1418-'계산 과정'!$C$32)+'계산 과정'!$D$39*(E1418-'계산 과정'!$D$32)-'계산 과정'!$E$39*'계산 과정'!$E$32)/J1418,"")</x:f>
        <x:v>1.229026993498593</x:v>
      </x:c>
      <x:c r="M1418" s="17" t="n">
        <x:f>IF('계산 과정'!$L$6,IF(J1418&lt;=0,0,IF(AND(ABS(K1418)&lt;='계산 과정'!$D$11/2,ABS(L1418)&lt;='계산 과정'!$D$12/2),1,0)),"")</x:f>
        <x:v>1</x:v>
      </x:c>
      <x:c r="N1418" s="17" t="n">
        <x:f>IF('계산 과정'!$C$78,IF(AND(ISNUMBER(H1418),ISNUMBER(I1418),ABS(H1418-'계산 과정'!$C$88)&lt;='계산 과정'!$D$23/2,ABS(I1418-'계산 과정'!$C$89)&lt;='계산 과정'!$D$24/2),1,0),"")</x:f>
        <x:v>1</x:v>
      </x:c>
      <x:c r="O1418" s="4" t="n">
        <x:f>IF('계산 과정'!$L$7,'계산 과정'!$C$49*('계산 과정'!$C$32-D1418)+'계산 과정'!$D$49*('계산 과정'!$D$32-E1418)+'계산 과정'!$E$49*'계산 과정'!$E$32,"")</x:f>
        <x:v>-45.3185195083737</x:v>
      </x:c>
      <x:c r="P1418" s="4" t="n">
        <x:f>IF(AND('계산 과정'!$L$7,O1418&lt;&gt;0),('계산 과정'!$L$23-'계산 과정'!$C$49*D1418-'계산 과정'!$D$49*E1418)/O1418,"")</x:f>
        <x:v>-7.826413667950697</x:v>
      </x:c>
      <x:c r="Q1418" s="4" t="str">
        <x:f>IF(AND(ISNUMBER(P1418),P1418&gt;1E-9,P1418&lt;1-1E-9),'계산 과정'!$C$47*(D1418-'계산 과정'!$C$50+P1418*('계산 과정'!$C$32-D1418))+'계산 과정'!$D$47*(E1418-'계산 과정'!$D$50+P1418*('계산 과정'!$D$32-E1418))+'계산 과정'!$E$47*(0-'계산 과정'!$E$50+P1418*('계산 과정'!$E$32-0)),"")</x:f>
      </x:c>
      <x:c r="R1418" s="4" t="str">
        <x:f>IF(AND(ISNUMBER(P1418),P1418&gt;1E-9,P1418&lt;1-1E-9),'계산 과정'!$C$48*(D1418-'계산 과정'!$C$50+P1418*('계산 과정'!$C$32-D1418))+'계산 과정'!$D$48*(E1418-'계산 과정'!$D$50+P1418*('계산 과정'!$D$32-E1418))+'계산 과정'!$E$48*(0-'계산 과정'!$E$50+P1418*('계산 과정'!$E$32-0)),"")</x:f>
      </x:c>
      <x:c r="S1418" s="17" t="n">
        <x:f>IF('계산 과정'!$C$78,IF(AND(ISNUMBER(Q1418),ISNUMBER(R1418),ABS(Q1418-'계산 과정'!$C$88)&lt;='계산 과정'!$D$23/2,ABS(R1418-'계산 과정'!$C$89)&lt;='계산 과정'!$D$24/2),1,0),"")</x:f>
        <x:v>0</x:v>
      </x:c>
      <x:c r="T1418" s="4"/>
      <x:c r="U1418" s="4"/>
      <x:c r="V1418" s="4"/>
      <x:c r="W1418" s="4"/>
      <x:c r="X1418" s="4"/>
      <x:c r="Y1418" s="4"/>
      <x:c r="Z1418" s="4"/>
    </x:row>
    <x:row r="1419" ht="23" customHeight="1">
      <x:c r="A1419" s="17" t="n">
        <x:f>ROW()-6</x:f>
        <x:v>1413</x:v>
      </x:c>
      <x:c r="B1419" s="4" t="n">
        <x:f>IF('계산 과정'!$L$5,'계산 과정'!$L$11*SQRT((A1419+0.5)/'계산 과정'!$L$30),"")</x:f>
        <x:v>124.61610973179792</x:v>
      </x:c>
      <x:c r="C1419" s="4" t="n">
        <x:f>A1419*PI()*(3-SQRT(5))</x:f>
        <x:v>3391.1480436065867</x:v>
      </x:c>
      <x:c r="D1419" s="4" t="n">
        <x:f>IF('계산 과정'!$L$5,B1419*COS(C1419),"")</x:f>
        <x:v>-24.907107531172183</x:v>
      </x:c>
      <x:c r="E1419" s="4" t="n">
        <x:f>IF('계산 과정'!$L$5,B1419*SIN(C1419),"")</x:f>
        <x:v>-122.1016412629991</x:v>
      </x:c>
      <x:c r="F1419" s="4" t="n">
        <x:f>IF('계산 과정'!$L$7,'계산 과정'!$L$22+'계산 과정'!$C$49*D1419+'계산 과정'!$D$49*E1419,"")</x:f>
        <x:v>667.6119846350343</x:v>
      </x:c>
      <x:c r="G1419" s="4" t="n">
        <x:f>IF('계산 과정'!$L$7,IF(ABS(F1419)&gt;=1E-12*MAX(1,SQRT((D1419-'계산 과정'!$C$33)^2+(E1419-'계산 과정'!$D$33)^2+'계산 과정'!$E$33^2)),('계산 과정'!$L$23-'계산 과정'!$C$49*D1419-'계산 과정'!$D$49*E1419)/F1419,""),"")</x:f>
        <x:v>0.5727698486030129</x:v>
      </x:c>
      <x:c r="H1419" s="4" t="n">
        <x:f>IF(AND(ISNUMBER(G1419),G1419&gt;0),('계산 과정'!$D$56+'계산 과정'!$D$57*D1419+'계산 과정'!$D$58*E1419)/F1419,"")</x:f>
        <x:v>-27.699598408041727</x:v>
      </x:c>
      <x:c r="I1419" s="4" t="n">
        <x:f>IF(AND(ISNUMBER(G1419),G1419&gt;0),('계산 과정'!$E$56+'계산 과정'!$E$57*D1419+'계산 과정'!$E$58*E1419)/F1419,"")</x:f>
        <x:v>-192.0377798433865</x:v>
      </x:c>
      <x:c r="J1419" s="4" t="n">
        <x:f>IF('계산 과정'!$L$5,'계산 과정'!$D$6+'계산 과정'!$C$35*D1419+'계산 과정'!$D$35*E1419,"")</x:f>
        <x:v>667.6119846350343</x:v>
      </x:c>
      <x:c r="K1419" s="4" t="n">
        <x:f>IF(AND('계산 과정'!$L$6,J1419&gt;0),'계산 과정'!$D$10*('계산 과정'!$C$38*(D1419-'계산 과정'!$C$32)+'계산 과정'!$D$38*(E1419-'계산 과정'!$D$32)-'계산 과정'!$E$38*'계산 과정'!$E$32)/J1419,"")</x:f>
        <x:v>-0.21104455929936478</x:v>
      </x:c>
      <x:c r="L1419" s="4" t="n">
        <x:f>IF(AND('계산 과정'!$L$6,J1419&gt;0),'계산 과정'!$D$10*('계산 과정'!$C$39*(D1419-'계산 과정'!$C$32)+'계산 과정'!$D$39*(E1419-'계산 과정'!$D$32)-'계산 과정'!$E$39*'계산 과정'!$E$32)/J1419,"")</x:f>
        <x:v>-1.4631449892829447</x:v>
      </x:c>
      <x:c r="M1419" s="17" t="n">
        <x:f>IF('계산 과정'!$L$6,IF(J1419&lt;=0,0,IF(AND(ABS(K1419)&lt;='계산 과정'!$D$11/2,ABS(L1419)&lt;='계산 과정'!$D$12/2),1,0)),"")</x:f>
        <x:v>1</x:v>
      </x:c>
      <x:c r="N1419" s="17" t="n">
        <x:f>IF('계산 과정'!$C$78,IF(AND(ISNUMBER(H1419),ISNUMBER(I1419),ABS(H1419-'계산 과정'!$C$88)&lt;='계산 과정'!$D$23/2,ABS(I1419-'계산 과정'!$C$89)&lt;='계산 과정'!$D$24/2),1,0),"")</x:f>
        <x:v>1</x:v>
      </x:c>
      <x:c r="O1419" s="4" t="n">
        <x:f>IF('계산 과정'!$L$7,'계산 과정'!$C$49*('계산 과정'!$C$32-D1419)+'계산 과정'!$D$49*('계산 과정'!$D$32-E1419)+'계산 과정'!$E$49*'계산 과정'!$E$32,"")</x:f>
        <x:v>-17.611984635034275</x:v>
      </x:c>
      <x:c r="P1419" s="4" t="n">
        <x:f>IF(AND('계산 과정'!$L$7,O1419&lt;&gt;0),('계산 과정'!$L$23-'계산 과정'!$C$49*D1419-'계산 과정'!$D$49*E1419)/O1419,"")</x:f>
        <x:v>-21.711807231781712</x:v>
      </x:c>
      <x:c r="Q1419" s="4" t="str">
        <x:f>IF(AND(ISNUMBER(P1419),P1419&gt;1E-9,P1419&lt;1-1E-9),'계산 과정'!$C$47*(D1419-'계산 과정'!$C$50+P1419*('계산 과정'!$C$32-D1419))+'계산 과정'!$D$47*(E1419-'계산 과정'!$D$50+P1419*('계산 과정'!$D$32-E1419))+'계산 과정'!$E$47*(0-'계산 과정'!$E$50+P1419*('계산 과정'!$E$32-0)),"")</x:f>
      </x:c>
      <x:c r="R1419" s="4" t="str">
        <x:f>IF(AND(ISNUMBER(P1419),P1419&gt;1E-9,P1419&lt;1-1E-9),'계산 과정'!$C$48*(D1419-'계산 과정'!$C$50+P1419*('계산 과정'!$C$32-D1419))+'계산 과정'!$D$48*(E1419-'계산 과정'!$D$50+P1419*('계산 과정'!$D$32-E1419))+'계산 과정'!$E$48*(0-'계산 과정'!$E$50+P1419*('계산 과정'!$E$32-0)),"")</x:f>
      </x:c>
      <x:c r="S1419" s="17" t="n">
        <x:f>IF('계산 과정'!$C$78,IF(AND(ISNUMBER(Q1419),ISNUMBER(R1419),ABS(Q1419-'계산 과정'!$C$88)&lt;='계산 과정'!$D$23/2,ABS(R1419-'계산 과정'!$C$89)&lt;='계산 과정'!$D$24/2),1,0),"")</x:f>
        <x:v>0</x:v>
      </x:c>
      <x:c r="T1419" s="4"/>
      <x:c r="U1419" s="4"/>
      <x:c r="V1419" s="4"/>
      <x:c r="W1419" s="4"/>
      <x:c r="X1419" s="4"/>
      <x:c r="Y1419" s="4"/>
      <x:c r="Z1419" s="4"/>
    </x:row>
    <x:row r="1420" ht="23" customHeight="1">
      <x:c r="A1420" s="17" t="n">
        <x:f>ROW()-6</x:f>
        <x:v>1414</x:v>
      </x:c>
      <x:c r="B1420" s="4" t="n">
        <x:f>IF('계산 과정'!$L$5,'계산 과정'!$L$11*SQRT((A1420+0.5)/'계산 과정'!$L$30),"")</x:f>
        <x:v>124.66018262786437</x:v>
      </x:c>
      <x:c r="C1420" s="4" t="n">
        <x:f>A1420*PI()*(3-SQRT(5))</x:f>
        <x:v>3393.548006836315</x:v>
      </x:c>
      <x:c r="D1420" s="4" t="n">
        <x:f>IF('계산 과정'!$L$5,B1420*COS(C1420),"")</x:f>
        <x:v>100.87986502353222</x:v>
      </x:c>
      <x:c r="E1420" s="4" t="n">
        <x:f>IF('계산 과정'!$L$5,B1420*SIN(C1420),"")</x:f>
        <x:v>73.23533276804592</x:v>
      </x:c>
      <x:c r="F1420" s="4" t="n">
        <x:f>IF('계산 과정'!$L$7,'계산 과정'!$L$22+'계산 과정'!$C$49*D1420+'계산 과정'!$D$49*E1420,"")</x:f>
        <x:v>578.6671633566767</x:v>
      </x:c>
      <x:c r="G1420" s="4" t="n">
        <x:f>IF('계산 과정'!$L$7,IF(ABS(F1420)&gt;=1E-12*MAX(1,SQRT((D1420-'계산 과정'!$C$33)^2+(E1420-'계산 과정'!$D$33)^2+'계산 과정'!$E$33^2)),('계산 과정'!$L$23-'계산 과정'!$C$49*D1420-'계산 과정'!$D$49*E1420)/F1420,""),"")</x:f>
        <x:v>0.8145145715704017</x:v>
      </x:c>
      <x:c r="H1420" s="4" t="n">
        <x:f>IF(AND(ISNUMBER(G1420),G1420&gt;0),('계산 과정'!$D$56+'계산 과정'!$D$57*D1420+'계산 과정'!$D$58*E1420)/F1420,"")</x:f>
        <x:v>129.43447152076104</x:v>
      </x:c>
      <x:c r="I1420" s="4" t="n">
        <x:f>IF(AND(ISNUMBER(G1420),G1420&gt;0),('계산 과정'!$E$56+'계산 과정'!$E$57*D1420+'계산 과정'!$E$58*E1420)/F1420,"")</x:f>
        <x:v>132.88657846142667</x:v>
      </x:c>
      <x:c r="J1420" s="4" t="n">
        <x:f>IF('계산 과정'!$L$5,'계산 과정'!$D$6+'계산 과정'!$C$35*D1420+'계산 과정'!$D$35*E1420,"")</x:f>
        <x:v>578.6671633566767</x:v>
      </x:c>
      <x:c r="K1420" s="4" t="n">
        <x:f>IF(AND('계산 과정'!$L$6,J1420&gt;0),'계산 과정'!$D$10*('계산 과정'!$C$38*(D1420-'계산 과정'!$C$32)+'계산 과정'!$D$38*(E1420-'계산 과정'!$D$32)-'계산 과정'!$E$38*'계산 과정'!$E$32)/J1420,"")</x:f>
        <x:v>0.9861674020629421</x:v>
      </x:c>
      <x:c r="L1420" s="4" t="n">
        <x:f>IF(AND('계산 과정'!$L$6,J1420&gt;0),'계산 과정'!$D$10*('계산 과정'!$C$39*(D1420-'계산 과정'!$C$32)+'계산 과정'!$D$39*(E1420-'계산 과정'!$D$32)-'계산 과정'!$E$39*'계산 과정'!$E$32)/J1420,"")</x:f>
        <x:v>1.0124691692299175</x:v>
      </x:c>
      <x:c r="M1420" s="17" t="n">
        <x:f>IF('계산 과정'!$L$6,IF(J1420&lt;=0,0,IF(AND(ABS(K1420)&lt;='계산 과정'!$D$11/2,ABS(L1420)&lt;='계산 과정'!$D$12/2),1,0)),"")</x:f>
        <x:v>1</x:v>
      </x:c>
      <x:c r="N1420" s="17" t="n">
        <x:f>IF('계산 과정'!$C$78,IF(AND(ISNUMBER(H1420),ISNUMBER(I1420),ABS(H1420-'계산 과정'!$C$88)&lt;='계산 과정'!$D$23/2,ABS(I1420-'계산 과정'!$C$89)&lt;='계산 과정'!$D$24/2),1,0),"")</x:f>
        <x:v>1</x:v>
      </x:c>
      <x:c r="O1420" s="4" t="n">
        <x:f>IF('계산 과정'!$L$7,'계산 과정'!$C$49*('계산 과정'!$C$32-D1420)+'계산 과정'!$D$49*('계산 과정'!$D$32-E1420)+'계산 과정'!$E$49*'계산 과정'!$E$32,"")</x:f>
        <x:v>71.33283664332333</x:v>
      </x:c>
      <x:c r="P1420" s="4" t="n">
        <x:f>IF(AND('계산 과정'!$L$7,O1420&lt;&gt;0),('계산 과정'!$L$23-'계산 과정'!$C$49*D1420-'계산 과정'!$D$49*E1420)/O1420,"")</x:f>
        <x:v>6.607515680332045</x:v>
      </x:c>
      <x:c r="Q1420" s="4" t="str">
        <x:f>IF(AND(ISNUMBER(P1420),P1420&gt;1E-9,P1420&lt;1-1E-9),'계산 과정'!$C$47*(D1420-'계산 과정'!$C$50+P1420*('계산 과정'!$C$32-D1420))+'계산 과정'!$D$47*(E1420-'계산 과정'!$D$50+P1420*('계산 과정'!$D$32-E1420))+'계산 과정'!$E$47*(0-'계산 과정'!$E$50+P1420*('계산 과정'!$E$32-0)),"")</x:f>
      </x:c>
      <x:c r="R1420" s="4" t="str">
        <x:f>IF(AND(ISNUMBER(P1420),P1420&gt;1E-9,P1420&lt;1-1E-9),'계산 과정'!$C$48*(D1420-'계산 과정'!$C$50+P1420*('계산 과정'!$C$32-D1420))+'계산 과정'!$D$48*(E1420-'계산 과정'!$D$50+P1420*('계산 과정'!$D$32-E1420))+'계산 과정'!$E$48*(0-'계산 과정'!$E$50+P1420*('계산 과정'!$E$32-0)),"")</x:f>
      </x:c>
      <x:c r="S1420" s="17" t="n">
        <x:f>IF('계산 과정'!$C$78,IF(AND(ISNUMBER(Q1420),ISNUMBER(R1420),ABS(Q1420-'계산 과정'!$C$88)&lt;='계산 과정'!$D$23/2,ABS(R1420-'계산 과정'!$C$89)&lt;='계산 과정'!$D$24/2),1,0),"")</x:f>
        <x:v>0</x:v>
      </x:c>
      <x:c r="T1420" s="4"/>
      <x:c r="U1420" s="4"/>
      <x:c r="V1420" s="4"/>
      <x:c r="W1420" s="4"/>
      <x:c r="X1420" s="4"/>
      <x:c r="Y1420" s="4"/>
      <x:c r="Z1420" s="4"/>
    </x:row>
    <x:row r="1421" ht="23" customHeight="1">
      <x:c r="A1421" s="17" t="n">
        <x:f>ROW()-6</x:f>
        <x:v>1415</x:v>
      </x:c>
      <x:c r="B1421" s="4" t="n">
        <x:f>IF('계산 과정'!$L$5,'계산 과정'!$L$11*SQRT((A1421+0.5)/'계산 과정'!$L$30),"")</x:f>
        <x:v>124.70423994771589</x:v>
      </x:c>
      <x:c r="C1421" s="4" t="n">
        <x:f>A1421*PI()*(3-SQRT(5))</x:f>
        <x:v>3395.947970066044</x:v>
      </x:c>
      <x:c r="D1421" s="4" t="n">
        <x:f>IF('계산 과정'!$L$5,B1421*COS(C1421),"")</x:f>
        <x:v>-123.89920227941423</x:v>
      </x:c>
      <x:c r="E1421" s="4" t="n">
        <x:f>IF('계산 과정'!$L$5,B1421*SIN(C1421),"")</x:f>
        <x:v>14.146912577035907</x:v>
      </x:c>
      <x:c r="F1421" s="4" t="n">
        <x:f>IF('계산 과정'!$L$7,'계산 과정'!$L$22+'계산 과정'!$C$49*D1421+'계산 과정'!$D$49*E1421,"")</x:f>
        <x:v>737.6099661153776</x:v>
      </x:c>
      <x:c r="G1421" s="4" t="n">
        <x:f>IF('계산 과정'!$L$7,IF(ABS(F1421)&gt;=1E-12*MAX(1,SQRT((D1421-'계산 과정'!$C$33)^2+(E1421-'계산 과정'!$D$33)^2+'계산 과정'!$E$33^2)),('계산 과정'!$L$23-'계산 과정'!$C$49*D1421-'계산 과정'!$D$49*E1421)/F1421,""),"")</x:f>
        <x:v>0.42351655784943415</x:v>
      </x:c>
      <x:c r="H1421" s="4" t="n">
        <x:f>IF(AND(ISNUMBER(G1421),G1421&gt;0),('계산 과정'!$D$56+'계산 과정'!$D$57*D1421+'계산 과정'!$D$58*E1421)/F1421,"")</x:f>
        <x:v>-124.71423739786793</x:v>
      </x:c>
      <x:c r="I1421" s="4" t="n">
        <x:f>IF(AND(ISNUMBER(G1421),G1421&gt;0),('계산 과정'!$E$56+'계산 과정'!$E$57*D1421+'계산 과정'!$E$58*E1421)/F1421,"")</x:f>
        <x:v>20.138364295859024</x:v>
      </x:c>
      <x:c r="J1421" s="4" t="n">
        <x:f>IF('계산 과정'!$L$5,'계산 과정'!$D$6+'계산 과정'!$C$35*D1421+'계산 과정'!$D$35*E1421,"")</x:f>
        <x:v>737.6099661153776</x:v>
      </x:c>
      <x:c r="K1421" s="4" t="n">
        <x:f>IF(AND('계산 과정'!$L$6,J1421&gt;0),'계산 과정'!$D$10*('계산 과정'!$C$38*(D1421-'계산 과정'!$C$32)+'계산 과정'!$D$38*(E1421-'계산 과정'!$D$32)-'계산 과정'!$E$38*'계산 과정'!$E$32)/J1421,"")</x:f>
        <x:v>-0.9502037135075639</x:v>
      </x:c>
      <x:c r="L1421" s="4" t="n">
        <x:f>IF(AND('계산 과정'!$L$6,J1421&gt;0),'계산 과정'!$D$10*('계산 과정'!$C$39*(D1421-'계산 과정'!$C$32)+'계산 과정'!$D$39*(E1421-'계산 과정'!$D$32)-'계산 과정'!$E$39*'계산 과정'!$E$32)/J1421,"")</x:f>
        <x:v>0.15343515653987827</x:v>
      </x:c>
      <x:c r="M1421" s="17" t="n">
        <x:f>IF('계산 과정'!$L$6,IF(J1421&lt;=0,0,IF(AND(ABS(K1421)&lt;='계산 과정'!$D$11/2,ABS(L1421)&lt;='계산 과정'!$D$12/2),1,0)),"")</x:f>
        <x:v>1</x:v>
      </x:c>
      <x:c r="N1421" s="17" t="n">
        <x:f>IF('계산 과정'!$C$78,IF(AND(ISNUMBER(H1421),ISNUMBER(I1421),ABS(H1421-'계산 과정'!$C$88)&lt;='계산 과정'!$D$23/2,ABS(I1421-'계산 과정'!$C$89)&lt;='계산 과정'!$D$24/2),1,0),"")</x:f>
        <x:v>1</x:v>
      </x:c>
      <x:c r="O1421" s="4" t="n">
        <x:f>IF('계산 과정'!$L$7,'계산 과정'!$C$49*('계산 과정'!$C$32-D1421)+'계산 과정'!$D$49*('계산 과정'!$D$32-E1421)+'계산 과정'!$E$49*'계산 과정'!$E$32,"")</x:f>
        <x:v>-87.6099661153774</x:v>
      </x:c>
      <x:c r="P1421" s="4" t="n">
        <x:f>IF(AND('계산 과정'!$L$7,O1421&lt;&gt;0),('계산 과정'!$L$23-'계산 과정'!$C$49*D1421-'계산 과정'!$D$49*E1421)/O1421,"")</x:f>
        <x:v>-3.5656906141616624</x:v>
      </x:c>
      <x:c r="Q1421" s="4" t="str">
        <x:f>IF(AND(ISNUMBER(P1421),P1421&gt;1E-9,P1421&lt;1-1E-9),'계산 과정'!$C$47*(D1421-'계산 과정'!$C$50+P1421*('계산 과정'!$C$32-D1421))+'계산 과정'!$D$47*(E1421-'계산 과정'!$D$50+P1421*('계산 과정'!$D$32-E1421))+'계산 과정'!$E$47*(0-'계산 과정'!$E$50+P1421*('계산 과정'!$E$32-0)),"")</x:f>
      </x:c>
      <x:c r="R1421" s="4" t="str">
        <x:f>IF(AND(ISNUMBER(P1421),P1421&gt;1E-9,P1421&lt;1-1E-9),'계산 과정'!$C$48*(D1421-'계산 과정'!$C$50+P1421*('계산 과정'!$C$32-D1421))+'계산 과정'!$D$48*(E1421-'계산 과정'!$D$50+P1421*('계산 과정'!$D$32-E1421))+'계산 과정'!$E$48*(0-'계산 과정'!$E$50+P1421*('계산 과정'!$E$32-0)),"")</x:f>
      </x:c>
      <x:c r="S1421" s="17" t="n">
        <x:f>IF('계산 과정'!$C$78,IF(AND(ISNUMBER(Q1421),ISNUMBER(R1421),ABS(Q1421-'계산 과정'!$C$88)&lt;='계산 과정'!$D$23/2,ABS(R1421-'계산 과정'!$C$89)&lt;='계산 과정'!$D$24/2),1,0),"")</x:f>
        <x:v>0</x:v>
      </x:c>
      <x:c r="T1421" s="4"/>
      <x:c r="U1421" s="4"/>
      <x:c r="V1421" s="4"/>
      <x:c r="W1421" s="4"/>
      <x:c r="X1421" s="4"/>
      <x:c r="Y1421" s="4"/>
      <x:c r="Z1421" s="4"/>
    </x:row>
    <x:row r="1422" ht="23" customHeight="1">
      <x:c r="A1422" s="17" t="n">
        <x:f>ROW()-6</x:f>
        <x:v>1416</x:v>
      </x:c>
      <x:c r="B1422" s="4" t="n">
        <x:f>IF('계산 과정'!$L$5,'계산 과정'!$L$11*SQRT((A1422+0.5)/'계산 과정'!$L$30),"")</x:f>
        <x:v>124.7482817078556</x:v>
      </x:c>
      <x:c r="C1422" s="4" t="n">
        <x:f>A1422*PI()*(3-SQRT(5))</x:f>
        <x:v>3398.3479332957727</x:v>
      </x:c>
      <x:c r="D1422" s="4" t="n">
        <x:f>IF('계산 과정'!$L$5,B1422*COS(C1422),"")</x:f>
        <x:v>81.83220409249424</x:v>
      </x:c>
      <x:c r="E1422" s="4" t="n">
        <x:f>IF('계산 과정'!$L$5,B1422*SIN(C1422),"")</x:f>
        <x:v>-94.1574434786059</x:v>
      </x:c>
      <x:c r="F1422" s="4" t="n">
        <x:f>IF('계산 과정'!$L$7,'계산 과정'!$L$22+'계산 과정'!$C$49*D1422+'계산 과정'!$D$49*E1422,"")</x:f>
        <x:v>592.1358935667558</x:v>
      </x:c>
      <x:c r="G1422" s="4" t="n">
        <x:f>IF('계산 과정'!$L$7,IF(ABS(F1422)&gt;=1E-12*MAX(1,SQRT((D1422-'계산 과정'!$C$33)^2+(E1422-'계산 과정'!$D$33)^2+'계산 과정'!$E$33^2)),('계산 과정'!$L$23-'계산 과정'!$C$49*D1422-'계산 과정'!$D$49*E1422)/F1422,""),"")</x:f>
        <x:v>0.7732416011386849</x:v>
      </x:c>
      <x:c r="H1422" s="4" t="n">
        <x:f>IF(AND(ISNUMBER(G1422),G1422&gt;0),('계산 과정'!$D$56+'계산 과정'!$D$57*D1422+'계산 과정'!$D$58*E1422)/F1422,"")</x:f>
        <x:v>102.60704074014517</x:v>
      </x:c>
      <x:c r="I1422" s="4" t="n">
        <x:f>IF(AND(ISNUMBER(G1422),G1422&gt;0),('계산 과정'!$E$56+'계산 과정'!$E$57*D1422+'계산 과정'!$E$58*E1422)/F1422,"")</x:f>
        <x:v>-166.96389583312836</x:v>
      </x:c>
      <x:c r="J1422" s="4" t="n">
        <x:f>IF('계산 과정'!$L$5,'계산 과정'!$D$6+'계산 과정'!$C$35*D1422+'계산 과정'!$D$35*E1422,"")</x:f>
        <x:v>592.1358935667558</x:v>
      </x:c>
      <x:c r="K1422" s="4" t="n">
        <x:f>IF(AND('계산 과정'!$L$6,J1422&gt;0),'계산 과정'!$D$10*('계산 과정'!$C$38*(D1422-'계산 과정'!$C$32)+'계산 과정'!$D$38*(E1422-'계산 과정'!$D$32)-'계산 과정'!$E$38*'계산 과정'!$E$32)/J1422,"")</x:f>
        <x:v>0.7817679294487258</x:v>
      </x:c>
      <x:c r="L1422" s="4" t="n">
        <x:f>IF(AND('계산 과정'!$L$6,J1422&gt;0),'계산 과정'!$D$10*('계산 과정'!$C$39*(D1422-'계산 과정'!$C$32)+'계산 과정'!$D$39*(E1422-'계산 과정'!$D$32)-'계산 과정'!$E$39*'계산 과정'!$E$32)/J1422,"")</x:f>
        <x:v>-1.272105873014311</x:v>
      </x:c>
      <x:c r="M1422" s="17" t="n">
        <x:f>IF('계산 과정'!$L$6,IF(J1422&lt;=0,0,IF(AND(ABS(K1422)&lt;='계산 과정'!$D$11/2,ABS(L1422)&lt;='계산 과정'!$D$12/2),1,0)),"")</x:f>
        <x:v>1</x:v>
      </x:c>
      <x:c r="N1422" s="17" t="n">
        <x:f>IF('계산 과정'!$C$78,IF(AND(ISNUMBER(H1422),ISNUMBER(I1422),ABS(H1422-'계산 과정'!$C$88)&lt;='계산 과정'!$D$23/2,ABS(I1422-'계산 과정'!$C$89)&lt;='계산 과정'!$D$24/2),1,0),"")</x:f>
        <x:v>1</x:v>
      </x:c>
      <x:c r="O1422" s="4" t="n">
        <x:f>IF('계산 과정'!$L$7,'계산 과정'!$C$49*('계산 과정'!$C$32-D1422)+'계산 과정'!$D$49*('계산 과정'!$D$32-E1422)+'계산 과정'!$E$49*'계산 과정'!$E$32,"")</x:f>
        <x:v>57.86410643324433</x:v>
      </x:c>
      <x:c r="P1422" s="4" t="n">
        <x:f>IF(AND('계산 과정'!$L$7,O1422&lt;&gt;0),('계산 과정'!$L$23-'계산 과정'!$C$49*D1422-'계산 과정'!$D$49*E1422)/O1422,"")</x:f>
        <x:v>7.912748241631711</x:v>
      </x:c>
      <x:c r="Q1422" s="4" t="str">
        <x:f>IF(AND(ISNUMBER(P1422),P1422&gt;1E-9,P1422&lt;1-1E-9),'계산 과정'!$C$47*(D1422-'계산 과정'!$C$50+P1422*('계산 과정'!$C$32-D1422))+'계산 과정'!$D$47*(E1422-'계산 과정'!$D$50+P1422*('계산 과정'!$D$32-E1422))+'계산 과정'!$E$47*(0-'계산 과정'!$E$50+P1422*('계산 과정'!$E$32-0)),"")</x:f>
      </x:c>
      <x:c r="R1422" s="4" t="str">
        <x:f>IF(AND(ISNUMBER(P1422),P1422&gt;1E-9,P1422&lt;1-1E-9),'계산 과정'!$C$48*(D1422-'계산 과정'!$C$50+P1422*('계산 과정'!$C$32-D1422))+'계산 과정'!$D$48*(E1422-'계산 과정'!$D$50+P1422*('계산 과정'!$D$32-E1422))+'계산 과정'!$E$48*(0-'계산 과정'!$E$50+P1422*('계산 과정'!$E$32-0)),"")</x:f>
      </x:c>
      <x:c r="S1422" s="17" t="n">
        <x:f>IF('계산 과정'!$C$78,IF(AND(ISNUMBER(Q1422),ISNUMBER(R1422),ABS(Q1422-'계산 과정'!$C$88)&lt;='계산 과정'!$D$23/2,ABS(R1422-'계산 과정'!$C$89)&lt;='계산 과정'!$D$24/2),1,0),"")</x:f>
        <x:v>0</x:v>
      </x:c>
      <x:c r="T1422" s="4"/>
      <x:c r="U1422" s="4"/>
      <x:c r="V1422" s="4"/>
      <x:c r="W1422" s="4"/>
      <x:c r="X1422" s="4"/>
      <x:c r="Y1422" s="4"/>
      <x:c r="Z1422" s="4"/>
    </x:row>
    <x:row r="1423" ht="23" customHeight="1">
      <x:c r="A1423" s="17" t="n">
        <x:f>ROW()-6</x:f>
        <x:v>1417</x:v>
      </x:c>
      <x:c r="B1423" s="4" t="n">
        <x:f>IF('계산 과정'!$L$5,'계산 과정'!$L$11*SQRT((A1423+0.5)/'계산 과정'!$L$30),"")</x:f>
        <x:v>124.79230792475754</x:v>
      </x:c>
      <x:c r="C1423" s="4" t="n">
        <x:f>A1423*PI()*(3-SQRT(5))</x:f>
        <x:v>3400.747896525501</x:v>
      </x:c>
      <x:c r="D1423" s="4" t="n">
        <x:f>IF('계산 과정'!$L$5,B1423*COS(C1423),"")</x:f>
        <x:v>3.2630698777089617</x:v>
      </x:c>
      <x:c r="E1423" s="4" t="n">
        <x:f>IF('계산 과정'!$L$5,B1423*SIN(C1423),"")</x:f>
        <x:v>124.74963924661543</x:v>
      </x:c>
      <x:c r="F1423" s="4" t="n">
        <x:f>IF('계산 과정'!$L$7,'계산 과정'!$L$22+'계산 과정'!$C$49*D1423+'계산 과정'!$D$49*E1423,"")</x:f>
        <x:v>647.6926611619864</x:v>
      </x:c>
      <x:c r="G1423" s="4" t="n">
        <x:f>IF('계산 과정'!$L$7,IF(ABS(F1423)&gt;=1E-12*MAX(1,SQRT((D1423-'계산 과정'!$C$33)^2+(E1423-'계산 과정'!$D$33)^2+'계산 과정'!$E$33^2)),('계산 과정'!$L$23-'계산 과정'!$C$49*D1423-'계산 과정'!$D$49*E1423)/F1423,""),"")</x:f>
        <x:v>0.621139257802085</x:v>
      </x:c>
      <x:c r="H1423" s="4" t="n">
        <x:f>IF(AND(ISNUMBER(G1423),G1423&gt;0),('계산 과정'!$D$56+'계산 과정'!$D$57*D1423+'계산 과정'!$D$58*E1423)/F1423,"")</x:f>
        <x:v>3.7405175713551237</x:v>
      </x:c>
      <x:c r="I1423" s="4" t="n">
        <x:f>IF(AND(ISNUMBER(G1423),G1423&gt;0),('계산 과정'!$E$56+'계산 과정'!$E$57*D1423+'계산 과정'!$E$58*E1423)/F1423,"")</x:f>
        <x:v>202.23653757933602</x:v>
      </x:c>
      <x:c r="J1423" s="4" t="n">
        <x:f>IF('계산 과정'!$L$5,'계산 과정'!$D$6+'계산 과정'!$C$35*D1423+'계산 과정'!$D$35*E1423,"")</x:f>
        <x:v>647.6926611619864</x:v>
      </x:c>
      <x:c r="K1423" s="4" t="n">
        <x:f>IF(AND('계산 과정'!$L$6,J1423&gt;0),'계산 과정'!$D$10*('계산 과정'!$C$38*(D1423-'계산 과정'!$C$32)+'계산 과정'!$D$38*(E1423-'계산 과정'!$D$32)-'계산 과정'!$E$38*'계산 과정'!$E$32)/J1423,"")</x:f>
        <x:v>0.02849918149604041</x:v>
      </x:c>
      <x:c r="L1423" s="4" t="n">
        <x:f>IF(AND('계산 과정'!$L$6,J1423&gt;0),'계산 과정'!$D$10*('계산 과정'!$C$39*(D1423-'계산 과정'!$C$32)+'계산 과정'!$D$39*(E1423-'계산 과정'!$D$32)-'계산 과정'!$E$39*'계산 과정'!$E$32)/J1423,"")</x:f>
        <x:v>1.5408498101282744</x:v>
      </x:c>
      <x:c r="M1423" s="17" t="n">
        <x:f>IF('계산 과정'!$L$6,IF(J1423&lt;=0,0,IF(AND(ABS(K1423)&lt;='계산 과정'!$D$11/2,ABS(L1423)&lt;='계산 과정'!$D$12/2),1,0)),"")</x:f>
        <x:v>1</x:v>
      </x:c>
      <x:c r="N1423" s="17" t="n">
        <x:f>IF('계산 과정'!$C$78,IF(AND(ISNUMBER(H1423),ISNUMBER(I1423),ABS(H1423-'계산 과정'!$C$88)&lt;='계산 과정'!$D$23/2,ABS(I1423-'계산 과정'!$C$89)&lt;='계산 과정'!$D$24/2),1,0),"")</x:f>
        <x:v>1</x:v>
      </x:c>
      <x:c r="O1423" s="4" t="n">
        <x:f>IF('계산 과정'!$L$7,'계산 과정'!$C$49*('계산 과정'!$C$32-D1423)+'계산 과정'!$D$49*('계산 과정'!$D$32-E1423)+'계산 과정'!$E$49*'계산 과정'!$E$32,"")</x:f>
        <x:v>2.3073388380136635</x:v>
      </x:c>
      <x:c r="P1423" s="4" t="n">
        <x:f>IF(AND('계산 과정'!$L$7,O1423&lt;&gt;0),('계산 과정'!$L$23-'계산 과정'!$C$49*D1423-'계산 과정'!$D$49*E1423)/O1423,"")</x:f>
        <x:v>174.35988690085543</x:v>
      </x:c>
      <x:c r="Q1423" s="4" t="str">
        <x:f>IF(AND(ISNUMBER(P1423),P1423&gt;1E-9,P1423&lt;1-1E-9),'계산 과정'!$C$47*(D1423-'계산 과정'!$C$50+P1423*('계산 과정'!$C$32-D1423))+'계산 과정'!$D$47*(E1423-'계산 과정'!$D$50+P1423*('계산 과정'!$D$32-E1423))+'계산 과정'!$E$47*(0-'계산 과정'!$E$50+P1423*('계산 과정'!$E$32-0)),"")</x:f>
      </x:c>
      <x:c r="R1423" s="4" t="str">
        <x:f>IF(AND(ISNUMBER(P1423),P1423&gt;1E-9,P1423&lt;1-1E-9),'계산 과정'!$C$48*(D1423-'계산 과정'!$C$50+P1423*('계산 과정'!$C$32-D1423))+'계산 과정'!$D$48*(E1423-'계산 과정'!$D$50+P1423*('계산 과정'!$D$32-E1423))+'계산 과정'!$E$48*(0-'계산 과정'!$E$50+P1423*('계산 과정'!$E$32-0)),"")</x:f>
      </x:c>
      <x:c r="S1423" s="17" t="n">
        <x:f>IF('계산 과정'!$C$78,IF(AND(ISNUMBER(Q1423),ISNUMBER(R1423),ABS(Q1423-'계산 과정'!$C$88)&lt;='계산 과정'!$D$23/2,ABS(R1423-'계산 과정'!$C$89)&lt;='계산 과정'!$D$24/2),1,0),"")</x:f>
        <x:v>0</x:v>
      </x:c>
      <x:c r="T1423" s="4"/>
      <x:c r="U1423" s="4"/>
      <x:c r="V1423" s="4"/>
      <x:c r="W1423" s="4"/>
      <x:c r="X1423" s="4"/>
      <x:c r="Y1423" s="4"/>
      <x:c r="Z1423" s="4"/>
    </x:row>
    <x:row r="1424" ht="23" customHeight="1">
      <x:c r="A1424" s="17" t="n">
        <x:f>ROW()-6</x:f>
        <x:v>1418</x:v>
      </x:c>
      <x:c r="B1424" s="4" t="n">
        <x:f>IF('계산 과정'!$L$5,'계산 과정'!$L$11*SQRT((A1424+0.5)/'계산 과정'!$L$30),"")</x:f>
        <x:v>124.83631861486664</x:v>
      </x:c>
      <x:c r="C1424" s="4" t="n">
        <x:f>A1424*PI()*(3-SQRT(5))</x:f>
        <x:v>3403.14785975523</x:v>
      </x:c>
      <x:c r="D1424" s="4" t="n">
        <x:f>IF('계산 과정'!$L$5,B1424*COS(C1424),"")</x:f>
        <x:v>-86.70382388572241</x:v>
      </x:c>
      <x:c r="E1424" s="4" t="n">
        <x:f>IF('계산 과정'!$L$5,B1424*SIN(C1424),"")</x:f>
        <x:v>-89.81399316869354</x:v>
      </x:c>
      <x:c r="F1424" s="4" t="n">
        <x:f>IF('계산 과정'!$L$7,'계산 과정'!$L$22+'계산 과정'!$C$49*D1424+'계산 과정'!$D$49*E1424,"")</x:f>
        <x:v>711.3088618243985</x:v>
      </x:c>
      <x:c r="G1424" s="4" t="n">
        <x:f>IF('계산 과정'!$L$7,IF(ABS(F1424)&gt;=1E-12*MAX(1,SQRT((D1424-'계산 과정'!$C$33)^2+(E1424-'계산 과정'!$D$33)^2+'계산 과정'!$E$33^2)),('계산 과정'!$L$23-'계산 과정'!$C$49*D1424-'계산 과정'!$D$49*E1424)/F1424,""),"")</x:f>
        <x:v>0.4761520014061269</x:v>
      </x:c>
      <x:c r="H1424" s="4" t="n">
        <x:f>IF(AND(ISNUMBER(G1424),G1424&gt;0),('계산 과정'!$D$56+'계산 과정'!$D$57*D1424+'계산 과정'!$D$58*E1424)/F1424,"")</x:f>
        <x:v>-90.50119908601762</x:v>
      </x:c>
      <x:c r="I1424" s="4" t="n">
        <x:f>IF(AND(ISNUMBER(G1424),G1424&gt;0),('계산 과정'!$E$56+'계산 과정'!$E$57*D1424+'계산 과정'!$E$58*E1424)/F1424,"")</x:f>
        <x:v>-132.5791057702432</x:v>
      </x:c>
      <x:c r="J1424" s="4" t="n">
        <x:f>IF('계산 과정'!$L$5,'계산 과정'!$D$6+'계산 과정'!$C$35*D1424+'계산 과정'!$D$35*E1424,"")</x:f>
        <x:v>711.3088618243985</x:v>
      </x:c>
      <x:c r="K1424" s="4" t="n">
        <x:f>IF(AND('계산 과정'!$L$6,J1424&gt;0),'계산 과정'!$D$10*('계산 과정'!$C$38*(D1424-'계산 과정'!$C$32)+'계산 과정'!$D$38*(E1424-'계산 과정'!$D$32)-'계산 과정'!$E$38*'계산 과정'!$E$32)/J1424,"")</x:f>
        <x:v>-0.6895329454172757</x:v>
      </x:c>
      <x:c r="L1424" s="4" t="n">
        <x:f>IF(AND('계산 과정'!$L$6,J1424&gt;0),'계산 과정'!$D$10*('계산 과정'!$C$39*(D1424-'계산 과정'!$C$32)+'계산 과정'!$D$39*(E1424-'계산 과정'!$D$32)-'계산 과정'!$E$39*'계산 과정'!$E$32)/J1424,"")</x:f>
        <x:v>-1.0101265201542338</x:v>
      </x:c>
      <x:c r="M1424" s="17" t="n">
        <x:f>IF('계산 과정'!$L$6,IF(J1424&lt;=0,0,IF(AND(ABS(K1424)&lt;='계산 과정'!$D$11/2,ABS(L1424)&lt;='계산 과정'!$D$12/2),1,0)),"")</x:f>
        <x:v>1</x:v>
      </x:c>
      <x:c r="N1424" s="17" t="n">
        <x:f>IF('계산 과정'!$C$78,IF(AND(ISNUMBER(H1424),ISNUMBER(I1424),ABS(H1424-'계산 과정'!$C$88)&lt;='계산 과정'!$D$23/2,ABS(I1424-'계산 과정'!$C$89)&lt;='계산 과정'!$D$24/2),1,0),"")</x:f>
        <x:v>1</x:v>
      </x:c>
      <x:c r="O1424" s="4" t="n">
        <x:f>IF('계산 과정'!$L$7,'계산 과정'!$C$49*('계산 과정'!$C$32-D1424)+'계산 과정'!$D$49*('계산 과정'!$D$32-E1424)+'계산 과정'!$E$49*'계산 과정'!$E$32,"")</x:f>
        <x:v>-61.30886182439832</x:v>
      </x:c>
      <x:c r="P1424" s="4" t="n">
        <x:f>IF(AND('계산 과정'!$L$7,O1424&lt;&gt;0),('계산 과정'!$L$23-'계산 과정'!$C$49*D1424-'계산 과정'!$D$49*E1424)/O1424,"")</x:f>
        <x:v>-5.524342290771688</x:v>
      </x:c>
      <x:c r="Q1424" s="4" t="str">
        <x:f>IF(AND(ISNUMBER(P1424),P1424&gt;1E-9,P1424&lt;1-1E-9),'계산 과정'!$C$47*(D1424-'계산 과정'!$C$50+P1424*('계산 과정'!$C$32-D1424))+'계산 과정'!$D$47*(E1424-'계산 과정'!$D$50+P1424*('계산 과정'!$D$32-E1424))+'계산 과정'!$E$47*(0-'계산 과정'!$E$50+P1424*('계산 과정'!$E$32-0)),"")</x:f>
      </x:c>
      <x:c r="R1424" s="4" t="str">
        <x:f>IF(AND(ISNUMBER(P1424),P1424&gt;1E-9,P1424&lt;1-1E-9),'계산 과정'!$C$48*(D1424-'계산 과정'!$C$50+P1424*('계산 과정'!$C$32-D1424))+'계산 과정'!$D$48*(E1424-'계산 과정'!$D$50+P1424*('계산 과정'!$D$32-E1424))+'계산 과정'!$E$48*(0-'계산 과정'!$E$50+P1424*('계산 과정'!$E$32-0)),"")</x:f>
      </x:c>
      <x:c r="S1424" s="17" t="n">
        <x:f>IF('계산 과정'!$C$78,IF(AND(ISNUMBER(Q1424),ISNUMBER(R1424),ABS(Q1424-'계산 과정'!$C$88)&lt;='계산 과정'!$D$23/2,ABS(R1424-'계산 과정'!$C$89)&lt;='계산 과정'!$D$24/2),1,0),"")</x:f>
        <x:v>0</x:v>
      </x:c>
      <x:c r="T1424" s="4"/>
      <x:c r="U1424" s="4"/>
      <x:c r="V1424" s="4"/>
      <x:c r="W1424" s="4"/>
      <x:c r="X1424" s="4"/>
      <x:c r="Y1424" s="4"/>
      <x:c r="Z1424" s="4"/>
    </x:row>
    <x:row r="1425" ht="23" customHeight="1">
      <x:c r="A1425" s="17" t="n">
        <x:f>ROW()-6</x:f>
        <x:v>1419</x:v>
      </x:c>
      <x:c r="B1425" s="4" t="n">
        <x:f>IF('계산 과정'!$L$5,'계산 과정'!$L$11*SQRT((A1425+0.5)/'계산 과정'!$L$30),"")</x:f>
        <x:v>124.88031379459895</x:v>
      </x:c>
      <x:c r="C1425" s="4" t="n">
        <x:f>A1425*PI()*(3-SQRT(5))</x:f>
        <x:v>3405.5478229849587</x:v>
      </x:c>
      <x:c r="D1425" s="4" t="n">
        <x:f>IF('계산 과정'!$L$5,B1425*COS(C1425),"")</x:f>
        <x:v>124.64509433024526</x:v>
      </x:c>
      <x:c r="E1425" s="4" t="n">
        <x:f>IF('계산 과정'!$L$5,B1425*SIN(C1425),"")</x:f>
        <x:v>7.661150882325832</x:v>
      </x:c>
      <x:c r="F1425" s="4" t="n">
        <x:f>IF('계산 과정'!$L$7,'계산 과정'!$L$22+'계산 과정'!$C$49*D1425+'계산 과정'!$D$49*E1425,"")</x:f>
        <x:v>561.8626085574467</x:v>
      </x:c>
      <x:c r="G1425" s="4" t="n">
        <x:f>IF('계산 과정'!$L$7,IF(ABS(F1425)&gt;=1E-12*MAX(1,SQRT((D1425-'계산 과정'!$C$33)^2+(E1425-'계산 과정'!$D$33)^2+'계산 과정'!$E$33^2)),('계산 과정'!$L$23-'계산 과정'!$C$49*D1425-'계산 과정'!$D$49*E1425)/F1425,""),"")</x:f>
        <x:v>0.8687842615044643</x:v>
      </x:c>
      <x:c r="H1425" s="4" t="n">
        <x:f>IF(AND(ISNUMBER(G1425),G1425&gt;0),('계산 과정'!$D$56+'계산 과정'!$D$57*D1425+'계산 과정'!$D$58*E1425)/F1425,"")</x:f>
        <x:v>164.7097699779018</x:v>
      </x:c>
      <x:c r="I1425" s="4" t="n">
        <x:f>IF(AND(ISNUMBER(G1425),G1425&gt;0),('계산 과정'!$E$56+'계산 과정'!$E$57*D1425+'계산 과정'!$E$58*E1425)/F1425,"")</x:f>
        <x:v>14.317038193901556</x:v>
      </x:c>
      <x:c r="J1425" s="4" t="n">
        <x:f>IF('계산 과정'!$L$5,'계산 과정'!$D$6+'계산 과정'!$C$35*D1425+'계산 과정'!$D$35*E1425,"")</x:f>
        <x:v>561.8626085574467</x:v>
      </x:c>
      <x:c r="K1425" s="4" t="n">
        <x:f>IF(AND('계산 과정'!$L$6,J1425&gt;0),'계산 과정'!$D$10*('계산 과정'!$C$38*(D1425-'계산 과정'!$C$32)+'계산 과정'!$D$38*(E1425-'계산 과정'!$D$32)-'계산 과정'!$E$38*'계산 과정'!$E$32)/J1425,"")</x:f>
        <x:v>1.2549315807840142</x:v>
      </x:c>
      <x:c r="L1425" s="4" t="n">
        <x:f>IF(AND('계산 과정'!$L$6,J1425&gt;0),'계산 과정'!$D$10*('계산 과정'!$C$39*(D1425-'계산 과정'!$C$32)+'계산 과정'!$D$39*(E1425-'계산 과정'!$D$32)-'계산 과정'!$E$39*'계산 과정'!$E$32)/J1425,"")</x:f>
        <x:v>0.10908219576305947</x:v>
      </x:c>
      <x:c r="M1425" s="17" t="n">
        <x:f>IF('계산 과정'!$L$6,IF(J1425&lt;=0,0,IF(AND(ABS(K1425)&lt;='계산 과정'!$D$11/2,ABS(L1425)&lt;='계산 과정'!$D$12/2),1,0)),"")</x:f>
        <x:v>1</x:v>
      </x:c>
      <x:c r="N1425" s="17" t="n">
        <x:f>IF('계산 과정'!$C$78,IF(AND(ISNUMBER(H1425),ISNUMBER(I1425),ABS(H1425-'계산 과정'!$C$88)&lt;='계산 과정'!$D$23/2,ABS(I1425-'계산 과정'!$C$89)&lt;='계산 과정'!$D$24/2),1,0),"")</x:f>
        <x:v>1</x:v>
      </x:c>
      <x:c r="O1425" s="4" t="n">
        <x:f>IF('계산 과정'!$L$7,'계산 과정'!$C$49*('계산 과정'!$C$32-D1425)+'계산 과정'!$D$49*('계산 과정'!$D$32-E1425)+'계산 과정'!$E$49*'계산 과정'!$E$32,"")</x:f>
        <x:v>88.1373914425534</x:v>
      </x:c>
      <x:c r="P1425" s="4" t="n">
        <x:f>IF(AND('계산 과정'!$L$7,O1425&lt;&gt;0),('계산 과정'!$L$23-'계산 과정'!$C$49*D1425-'계산 과정'!$D$49*E1425)/O1425,"")</x:f>
        <x:v>5.538368942547089</x:v>
      </x:c>
      <x:c r="Q1425" s="4" t="str">
        <x:f>IF(AND(ISNUMBER(P1425),P1425&gt;1E-9,P1425&lt;1-1E-9),'계산 과정'!$C$47*(D1425-'계산 과정'!$C$50+P1425*('계산 과정'!$C$32-D1425))+'계산 과정'!$D$47*(E1425-'계산 과정'!$D$50+P1425*('계산 과정'!$D$32-E1425))+'계산 과정'!$E$47*(0-'계산 과정'!$E$50+P1425*('계산 과정'!$E$32-0)),"")</x:f>
      </x:c>
      <x:c r="R1425" s="4" t="str">
        <x:f>IF(AND(ISNUMBER(P1425),P1425&gt;1E-9,P1425&lt;1-1E-9),'계산 과정'!$C$48*(D1425-'계산 과정'!$C$50+P1425*('계산 과정'!$C$32-D1425))+'계산 과정'!$D$48*(E1425-'계산 과정'!$D$50+P1425*('계산 과정'!$D$32-E1425))+'계산 과정'!$E$48*(0-'계산 과정'!$E$50+P1425*('계산 과정'!$E$32-0)),"")</x:f>
      </x:c>
      <x:c r="S1425" s="17" t="n">
        <x:f>IF('계산 과정'!$C$78,IF(AND(ISNUMBER(Q1425),ISNUMBER(R1425),ABS(Q1425-'계산 과정'!$C$88)&lt;='계산 과정'!$D$23/2,ABS(R1425-'계산 과정'!$C$89)&lt;='계산 과정'!$D$24/2),1,0),"")</x:f>
        <x:v>0</x:v>
      </x:c>
      <x:c r="T1425" s="4"/>
      <x:c r="U1425" s="4"/>
      <x:c r="V1425" s="4"/>
      <x:c r="W1425" s="4"/>
      <x:c r="X1425" s="4"/>
      <x:c r="Y1425" s="4"/>
      <x:c r="Z1425" s="4"/>
    </x:row>
    <x:row r="1426" ht="23" customHeight="1">
      <x:c r="A1426" s="17" t="n">
        <x:f>ROW()-6</x:f>
        <x:v>1420</x:v>
      </x:c>
      <x:c r="B1426" s="4" t="n">
        <x:f>IF('계산 과정'!$L$5,'계산 과정'!$L$11*SQRT((A1426+0.5)/'계산 과정'!$L$30),"")</x:f>
        <x:v>124.92429348034152</x:v>
      </x:c>
      <x:c r="C1426" s="4" t="n">
        <x:f>A1426*PI()*(3-SQRT(5))</x:f>
        <x:v>3407.947786214687</x:v>
      </x:c>
      <x:c r="D1426" s="4" t="n">
        <x:f>IF('계산 과정'!$L$5,B1426*COS(C1426),"")</x:f>
        <x:v>-97.11863711288972</x:v>
      </x:c>
      <x:c r="E1426" s="4" t="n">
        <x:f>IF('계산 과정'!$L$5,B1426*SIN(C1426),"")</x:f>
        <x:v>78.57511964290822</x:v>
      </x:c>
      <x:c r="F1426" s="4" t="n">
        <x:f>IF('계산 과정'!$L$7,'계산 과정'!$L$22+'계산 과정'!$C$49*D1426+'계산 과정'!$D$49*E1426,"")</x:f>
        <x:v>718.6732468821198</x:v>
      </x:c>
      <x:c r="G1426" s="4" t="n">
        <x:f>IF('계산 과정'!$L$7,IF(ABS(F1426)&gt;=1E-12*MAX(1,SQRT((D1426-'계산 과정'!$C$33)^2+(E1426-'계산 과정'!$D$33)^2+'계산 과정'!$E$33^2)),('계산 과정'!$L$23-'계산 과정'!$C$49*D1426-'계산 과정'!$D$49*E1426)/F1426,""),"")</x:f>
        <x:v>0.4610255836784001</x:v>
      </x:c>
      <x:c r="H1426" s="4" t="n">
        <x:f>IF(AND(ISNUMBER(G1426),G1426&gt;0),('계산 과정'!$D$56+'계산 과정'!$D$57*D1426+'계산 과정'!$D$58*E1426)/F1426,"")</x:f>
        <x:v>-100.33337060904012</x:v>
      </x:c>
      <x:c r="I1426" s="4" t="n">
        <x:f>IF(AND(ISNUMBER(G1426),G1426&gt;0),('계산 과정'!$E$56+'계산 과정'!$E$57*D1426+'계산 과정'!$E$58*E1426)/F1426,"")</x:f>
        <x:v>114.8002600388801</x:v>
      </x:c>
      <x:c r="J1426" s="4" t="n">
        <x:f>IF('계산 과정'!$L$5,'계산 과정'!$D$6+'계산 과정'!$C$35*D1426+'계산 과정'!$D$35*E1426,"")</x:f>
        <x:v>718.6732468821198</x:v>
      </x:c>
      <x:c r="K1426" s="4" t="n">
        <x:f>IF(AND('계산 과정'!$L$6,J1426&gt;0),'계산 과정'!$D$10*('계산 과정'!$C$38*(D1426-'계산 과정'!$C$32)+'계산 과정'!$D$38*(E1426-'계산 과정'!$D$32)-'계산 과정'!$E$38*'계산 과정'!$E$32)/J1426,"")</x:f>
        <x:v>-0.7644447284498285</x:v>
      </x:c>
      <x:c r="L1426" s="4" t="n">
        <x:f>IF(AND('계산 과정'!$L$6,J1426&gt;0),'계산 과정'!$D$10*('계산 과정'!$C$39*(D1426-'계산 과정'!$C$32)+'계산 과정'!$D$39*(E1426-'계산 과정'!$D$32)-'계산 과정'!$E$39*'계산 과정'!$E$32)/J1426,"")</x:f>
        <x:v>0.874668647915277</x:v>
      </x:c>
      <x:c r="M1426" s="17" t="n">
        <x:f>IF('계산 과정'!$L$6,IF(J1426&lt;=0,0,IF(AND(ABS(K1426)&lt;='계산 과정'!$D$11/2,ABS(L1426)&lt;='계산 과정'!$D$12/2),1,0)),"")</x:f>
        <x:v>1</x:v>
      </x:c>
      <x:c r="N1426" s="17" t="n">
        <x:f>IF('계산 과정'!$C$78,IF(AND(ISNUMBER(H1426),ISNUMBER(I1426),ABS(H1426-'계산 과정'!$C$88)&lt;='계산 과정'!$D$23/2,ABS(I1426-'계산 과정'!$C$89)&lt;='계산 과정'!$D$24/2),1,0),"")</x:f>
        <x:v>1</x:v>
      </x:c>
      <x:c r="O1426" s="4" t="n">
        <x:f>IF('계산 과정'!$L$7,'계산 과정'!$C$49*('계산 과정'!$C$32-D1426)+'계산 과정'!$D$49*('계산 과정'!$D$32-E1426)+'계산 과정'!$E$49*'계산 과정'!$E$32,"")</x:f>
        <x:v>-68.67324688211971</x:v>
      </x:c>
      <x:c r="P1426" s="4" t="n">
        <x:f>IF(AND('계산 과정'!$L$7,O1426&lt;&gt;0),('계산 과정'!$L$23-'계산 과정'!$C$49*D1426-'계산 과정'!$D$49*E1426)/O1426,"")</x:f>
        <x:v>-4.824684548360082</x:v>
      </x:c>
      <x:c r="Q1426" s="4" t="str">
        <x:f>IF(AND(ISNUMBER(P1426),P1426&gt;1E-9,P1426&lt;1-1E-9),'계산 과정'!$C$47*(D1426-'계산 과정'!$C$50+P1426*('계산 과정'!$C$32-D1426))+'계산 과정'!$D$47*(E1426-'계산 과정'!$D$50+P1426*('계산 과정'!$D$32-E1426))+'계산 과정'!$E$47*(0-'계산 과정'!$E$50+P1426*('계산 과정'!$E$32-0)),"")</x:f>
      </x:c>
      <x:c r="R1426" s="4" t="str">
        <x:f>IF(AND(ISNUMBER(P1426),P1426&gt;1E-9,P1426&lt;1-1E-9),'계산 과정'!$C$48*(D1426-'계산 과정'!$C$50+P1426*('계산 과정'!$C$32-D1426))+'계산 과정'!$D$48*(E1426-'계산 과정'!$D$50+P1426*('계산 과정'!$D$32-E1426))+'계산 과정'!$E$48*(0-'계산 과정'!$E$50+P1426*('계산 과정'!$E$32-0)),"")</x:f>
      </x:c>
      <x:c r="S1426" s="17" t="n">
        <x:f>IF('계산 과정'!$C$78,IF(AND(ISNUMBER(Q1426),ISNUMBER(R1426),ABS(Q1426-'계산 과정'!$C$88)&lt;='계산 과정'!$D$23/2,ABS(R1426-'계산 과정'!$C$89)&lt;='계산 과정'!$D$24/2),1,0),"")</x:f>
        <x:v>0</x:v>
      </x:c>
      <x:c r="T1426" s="4"/>
      <x:c r="U1426" s="4"/>
      <x:c r="V1426" s="4"/>
      <x:c r="W1426" s="4"/>
      <x:c r="X1426" s="4"/>
      <x:c r="Y1426" s="4"/>
      <x:c r="Z1426" s="4"/>
    </x:row>
    <x:row r="1427" ht="23" customHeight="1">
      <x:c r="A1427" s="17" t="n">
        <x:f>ROW()-6</x:f>
        <x:v>1421</x:v>
      </x:c>
      <x:c r="B1427" s="4" t="n">
        <x:f>IF('계산 과정'!$L$5,'계산 과정'!$L$11*SQRT((A1427+0.5)/'계산 과정'!$L$30),"")</x:f>
        <x:v>124.96825768845264</x:v>
      </x:c>
      <x:c r="C1427" s="4" t="n">
        <x:f>A1427*PI()*(3-SQRT(5))</x:f>
        <x:v>3410.347749444416</x:v>
      </x:c>
      <x:c r="D1427" s="4" t="n">
        <x:f>IF('계산 과정'!$L$5,B1427*COS(C1427),"")</x:f>
        <x:v>18.542052949137048</x:v>
      </x:c>
      <x:c r="E1427" s="4" t="n">
        <x:f>IF('계산 과정'!$L$5,B1427*SIN(C1427),"")</x:f>
        <x:v>-123.5850221593171</x:v>
      </x:c>
      <x:c r="F1427" s="4" t="n">
        <x:f>IF('계산 과정'!$L$7,'계산 과정'!$L$22+'계산 과정'!$C$49*D1427+'계산 과정'!$D$49*E1427,"")</x:f>
        <x:v>636.8887886225451</x:v>
      </x:c>
      <x:c r="G1427" s="4" t="n">
        <x:f>IF('계산 과정'!$L$7,IF(ABS(F1427)&gt;=1E-12*MAX(1,SQRT((D1427-'계산 과정'!$C$33)^2+(E1427-'계산 과정'!$D$33)^2+'계산 과정'!$E$33^2)),('계산 과정'!$L$23-'계산 과정'!$C$49*D1427-'계산 과정'!$D$49*E1427)/F1427,""),"")</x:f>
        <x:v>0.648639477970599</x:v>
      </x:c>
      <x:c r="H1427" s="4" t="n">
        <x:f>IF(AND(ISNUMBER(G1427),G1427&gt;0),('계산 과정'!$D$56+'계산 과정'!$D$57*D1427+'계산 과정'!$D$58*E1427)/F1427,"")</x:f>
        <x:v>21.615660680889196</x:v>
      </x:c>
      <x:c r="I1427" s="4" t="n">
        <x:f>IF(AND(ISNUMBER(G1427),G1427&gt;0),('계산 과정'!$E$56+'계산 과정'!$E$57*D1427+'계산 과정'!$E$58*E1427)/F1427,"")</x:f>
        <x:v>-203.74714641772147</x:v>
      </x:c>
      <x:c r="J1427" s="4" t="n">
        <x:f>IF('계산 과정'!$L$5,'계산 과정'!$D$6+'계산 과정'!$C$35*D1427+'계산 과정'!$D$35*E1427,"")</x:f>
        <x:v>636.8887886225451</x:v>
      </x:c>
      <x:c r="K1427" s="4" t="n">
        <x:f>IF(AND('계산 과정'!$L$6,J1427&gt;0),'계산 과정'!$D$10*('계산 과정'!$C$38*(D1427-'계산 과정'!$C$32)+'계산 과정'!$D$38*(E1427-'계산 과정'!$D$32)-'계산 과정'!$E$38*'계산 과정'!$E$32)/J1427,"")</x:f>
        <x:v>0.16469074804487083</x:v>
      </x:c>
      <x:c r="L1427" s="4" t="n">
        <x:f>IF(AND('계산 과정'!$L$6,J1427&gt;0),'계산 과정'!$D$10*('계산 과정'!$C$39*(D1427-'계산 과정'!$C$32)+'계산 과정'!$D$39*(E1427-'계산 과정'!$D$32)-'계산 과정'!$E$39*'계산 과정'!$E$32)/J1427,"")</x:f>
        <x:v>-1.5523592108016875</x:v>
      </x:c>
      <x:c r="M1427" s="17" t="n">
        <x:f>IF('계산 과정'!$L$6,IF(J1427&lt;=0,0,IF(AND(ABS(K1427)&lt;='계산 과정'!$D$11/2,ABS(L1427)&lt;='계산 과정'!$D$12/2),1,0)),"")</x:f>
        <x:v>1</x:v>
      </x:c>
      <x:c r="N1427" s="17" t="n">
        <x:f>IF('계산 과정'!$C$78,IF(AND(ISNUMBER(H1427),ISNUMBER(I1427),ABS(H1427-'계산 과정'!$C$88)&lt;='계산 과정'!$D$23/2,ABS(I1427-'계산 과정'!$C$89)&lt;='계산 과정'!$D$24/2),1,0),"")</x:f>
        <x:v>1</x:v>
      </x:c>
      <x:c r="O1427" s="4" t="n">
        <x:f>IF('계산 과정'!$L$7,'계산 과정'!$C$49*('계산 과정'!$C$32-D1427)+'계산 과정'!$D$49*('계산 과정'!$D$32-E1427)+'계산 과정'!$E$49*'계산 과정'!$E$32,"")</x:f>
        <x:v>13.111211377454936</x:v>
      </x:c>
      <x:c r="P1427" s="4" t="n">
        <x:f>IF(AND('계산 과정'!$L$7,O1427&lt;&gt;0),('계산 과정'!$L$23-'계산 과정'!$C$49*D1427-'계산 과정'!$D$49*E1427)/O1427,"")</x:f>
        <x:v>31.508241266540036</x:v>
      </x:c>
      <x:c r="Q1427" s="4" t="str">
        <x:f>IF(AND(ISNUMBER(P1427),P1427&gt;1E-9,P1427&lt;1-1E-9),'계산 과정'!$C$47*(D1427-'계산 과정'!$C$50+P1427*('계산 과정'!$C$32-D1427))+'계산 과정'!$D$47*(E1427-'계산 과정'!$D$50+P1427*('계산 과정'!$D$32-E1427))+'계산 과정'!$E$47*(0-'계산 과정'!$E$50+P1427*('계산 과정'!$E$32-0)),"")</x:f>
      </x:c>
      <x:c r="R1427" s="4" t="str">
        <x:f>IF(AND(ISNUMBER(P1427),P1427&gt;1E-9,P1427&lt;1-1E-9),'계산 과정'!$C$48*(D1427-'계산 과정'!$C$50+P1427*('계산 과정'!$C$32-D1427))+'계산 과정'!$D$48*(E1427-'계산 과정'!$D$50+P1427*('계산 과정'!$D$32-E1427))+'계산 과정'!$E$48*(0-'계산 과정'!$E$50+P1427*('계산 과정'!$E$32-0)),"")</x:f>
      </x:c>
      <x:c r="S1427" s="17" t="n">
        <x:f>IF('계산 과정'!$C$78,IF(AND(ISNUMBER(Q1427),ISNUMBER(R1427),ABS(Q1427-'계산 과정'!$C$88)&lt;='계산 과정'!$D$23/2,ABS(R1427-'계산 과정'!$C$89)&lt;='계산 과정'!$D$24/2),1,0),"")</x:f>
        <x:v>0</x:v>
      </x:c>
      <x:c r="T1427" s="4"/>
      <x:c r="U1427" s="4"/>
      <x:c r="V1427" s="4"/>
      <x:c r="W1427" s="4"/>
      <x:c r="X1427" s="4"/>
      <x:c r="Y1427" s="4"/>
      <x:c r="Z1427" s="4"/>
    </x:row>
    <x:row r="1428" ht="23" customHeight="1">
      <x:c r="A1428" s="17" t="n">
        <x:f>ROW()-6</x:f>
        <x:v>1422</x:v>
      </x:c>
      <x:c r="B1428" s="4" t="n">
        <x:f>IF('계산 과정'!$L$5,'계산 과정'!$L$11*SQRT((A1428+0.5)/'계산 과정'!$L$30),"")</x:f>
        <x:v>125.01220643526175</x:v>
      </x:c>
      <x:c r="C1428" s="4" t="n">
        <x:f>A1428*PI()*(3-SQRT(5))</x:f>
        <x:v>3412.747712674144</x:v>
      </x:c>
      <x:c r="D1428" s="4" t="n">
        <x:f>IF('계산 과정'!$L$5,B1428*COS(C1428),"")</x:f>
        <x:v>69.83270028434562</x:v>
      </x:c>
      <x:c r="E1428" s="4" t="n">
        <x:f>IF('계산 과정'!$L$5,B1428*SIN(C1428),"")</x:f>
        <x:v>103.68917845565781</x:v>
      </x:c>
      <x:c r="F1428" s="4" t="n">
        <x:f>IF('계산 과정'!$L$7,'계산 과정'!$L$22+'계산 과정'!$C$49*D1428+'계산 과정'!$D$49*E1428,"")</x:f>
        <x:v>600.6208240803714</x:v>
      </x:c>
      <x:c r="G1428" s="4" t="n">
        <x:f>IF('계산 과정'!$L$7,IF(ABS(F1428)&gt;=1E-12*MAX(1,SQRT((D1428-'계산 과정'!$C$33)^2+(E1428-'계산 과정'!$D$33)^2+'계산 과정'!$E$33^2)),('계산 과정'!$L$23-'계산 과정'!$C$49*D1428-'계산 과정'!$D$49*E1428)/F1428,""),"")</x:f>
        <x:v>0.7481911347440983</x:v>
      </x:c>
      <x:c r="H1428" s="4" t="n">
        <x:f>IF(AND(ISNUMBER(G1428),G1428&gt;0),('계산 과정'!$D$56+'계산 과정'!$D$57*D1428+'계산 과정'!$D$58*E1428)/F1428,"")</x:f>
        <x:v>86.32423758366376</x:v>
      </x:c>
      <x:c r="I1428" s="4" t="n">
        <x:f>IF(AND(ISNUMBER(G1428),G1428&gt;0),('계산 과정'!$E$56+'계산 과정'!$E$57*D1428+'계산 과정'!$E$58*E1428)/F1428,"")</x:f>
        <x:v>181.26850254507974</x:v>
      </x:c>
      <x:c r="J1428" s="4" t="n">
        <x:f>IF('계산 과정'!$L$5,'계산 과정'!$D$6+'계산 과정'!$C$35*D1428+'계산 과정'!$D$35*E1428,"")</x:f>
        <x:v>600.6208240803714</x:v>
      </x:c>
      <x:c r="K1428" s="4" t="n">
        <x:f>IF(AND('계산 과정'!$L$6,J1428&gt;0),'계산 과정'!$D$10*('계산 과정'!$C$38*(D1428-'계산 과정'!$C$32)+'계산 과정'!$D$38*(E1428-'계산 과정'!$D$32)-'계산 과정'!$E$38*'계산 과정'!$E$32)/J1428,"")</x:f>
        <x:v>0.6577084768279153</x:v>
      </x:c>
      <x:c r="L1428" s="4" t="n">
        <x:f>IF(AND('계산 과정'!$L$6,J1428&gt;0),'계산 과정'!$D$10*('계산 과정'!$C$39*(D1428-'계산 과정'!$C$32)+'계산 과정'!$D$39*(E1428-'계산 과정'!$D$32)-'계산 과정'!$E$39*'계산 과정'!$E$32)/J1428,"")</x:f>
        <x:v>1.3810933527244171</x:v>
      </x:c>
      <x:c r="M1428" s="17" t="n">
        <x:f>IF('계산 과정'!$L$6,IF(J1428&lt;=0,0,IF(AND(ABS(K1428)&lt;='계산 과정'!$D$11/2,ABS(L1428)&lt;='계산 과정'!$D$12/2),1,0)),"")</x:f>
        <x:v>1</x:v>
      </x:c>
      <x:c r="N1428" s="17" t="n">
        <x:f>IF('계산 과정'!$C$78,IF(AND(ISNUMBER(H1428),ISNUMBER(I1428),ABS(H1428-'계산 과정'!$C$88)&lt;='계산 과정'!$D$23/2,ABS(I1428-'계산 과정'!$C$89)&lt;='계산 과정'!$D$24/2),1,0),"")</x:f>
        <x:v>1</x:v>
      </x:c>
      <x:c r="O1428" s="4" t="n">
        <x:f>IF('계산 과정'!$L$7,'계산 과정'!$C$49*('계산 과정'!$C$32-D1428)+'계산 과정'!$D$49*('계산 과정'!$D$32-E1428)+'계산 과정'!$E$49*'계산 과정'!$E$32,"")</x:f>
        <x:v>49.37917591962861</x:v>
      </x:c>
      <x:c r="P1428" s="4" t="n">
        <x:f>IF(AND('계산 과정'!$L$7,O1428&lt;&gt;0),('계산 과정'!$L$23-'계산 과정'!$C$49*D1428-'계산 과정'!$D$49*E1428)/O1428,"")</x:f>
        <x:v>9.10058071141274</x:v>
      </x:c>
      <x:c r="Q1428" s="4" t="str">
        <x:f>IF(AND(ISNUMBER(P1428),P1428&gt;1E-9,P1428&lt;1-1E-9),'계산 과정'!$C$47*(D1428-'계산 과정'!$C$50+P1428*('계산 과정'!$C$32-D1428))+'계산 과정'!$D$47*(E1428-'계산 과정'!$D$50+P1428*('계산 과정'!$D$32-E1428))+'계산 과정'!$E$47*(0-'계산 과정'!$E$50+P1428*('계산 과정'!$E$32-0)),"")</x:f>
      </x:c>
      <x:c r="R1428" s="4" t="str">
        <x:f>IF(AND(ISNUMBER(P1428),P1428&gt;1E-9,P1428&lt;1-1E-9),'계산 과정'!$C$48*(D1428-'계산 과정'!$C$50+P1428*('계산 과정'!$C$32-D1428))+'계산 과정'!$D$48*(E1428-'계산 과정'!$D$50+P1428*('계산 과정'!$D$32-E1428))+'계산 과정'!$E$48*(0-'계산 과정'!$E$50+P1428*('계산 과정'!$E$32-0)),"")</x:f>
      </x:c>
      <x:c r="S1428" s="17" t="n">
        <x:f>IF('계산 과정'!$C$78,IF(AND(ISNUMBER(Q1428),ISNUMBER(R1428),ABS(Q1428-'계산 과정'!$C$88)&lt;='계산 과정'!$D$23/2,ABS(R1428-'계산 과정'!$C$89)&lt;='계산 과정'!$D$24/2),1,0),"")</x:f>
        <x:v>0</x:v>
      </x:c>
      <x:c r="T1428" s="4"/>
      <x:c r="U1428" s="4"/>
      <x:c r="V1428" s="4"/>
      <x:c r="W1428" s="4"/>
      <x:c r="X1428" s="4"/>
      <x:c r="Y1428" s="4"/>
      <x:c r="Z1428" s="4"/>
    </x:row>
    <x:row r="1429" ht="23" customHeight="1">
      <x:c r="A1429" s="17" t="n">
        <x:f>ROW()-6</x:f>
        <x:v>1423</x:v>
      </x:c>
      <x:c r="B1429" s="4" t="n">
        <x:f>IF('계산 과정'!$L$5,'계산 과정'!$L$11*SQRT((A1429+0.5)/'계산 과정'!$L$30),"")</x:f>
        <x:v>125.05613973706969</x:v>
      </x:c>
      <x:c r="C1429" s="4" t="n">
        <x:f>A1429*PI()*(3-SQRT(5))</x:f>
        <x:v>3415.147675903873</x:v>
      </x:c>
      <x:c r="D1429" s="4" t="n">
        <x:f>IF('계산 과정'!$L$5,B1429*COS(C1429),"")</x:f>
        <x:v>-121.57620429903307</x:v>
      </x:c>
      <x:c r="E1429" s="4" t="n">
        <x:f>IF('계산 과정'!$L$5,B1429*SIN(C1429),"")</x:f>
        <x:v>-29.296153914418063</x:v>
      </x:c>
      <x:c r="F1429" s="4" t="n">
        <x:f>IF('계산 과정'!$L$7,'계산 과정'!$L$22+'계산 과정'!$C$49*D1429+'계산 과정'!$D$49*E1429,"")</x:f>
        <x:v>735.9673584907673</x:v>
      </x:c>
      <x:c r="G1429" s="4" t="n">
        <x:f>IF('계산 과정'!$L$7,IF(ABS(F1429)&gt;=1E-12*MAX(1,SQRT((D1429-'계산 과정'!$C$33)^2+(E1429-'계산 과정'!$D$33)^2+'계산 과정'!$E$33^2)),('계산 과정'!$L$23-'계산 과정'!$C$49*D1429-'계산 과정'!$D$49*E1429)/F1429,""),"")</x:f>
        <x:v>0.42669370847263216</x:v>
      </x:c>
      <x:c r="H1429" s="4" t="n">
        <x:f>IF(AND(ISNUMBER(G1429),G1429&gt;0),('계산 과정'!$D$56+'계산 과정'!$D$57*D1429+'계산 과정'!$D$58*E1429)/F1429,"")</x:f>
        <x:v>-122.64908949278926</x:v>
      </x:c>
      <x:c r="I1429" s="4" t="n">
        <x:f>IF(AND(ISNUMBER(G1429),G1429&gt;0),('계산 과정'!$E$56+'계산 과정'!$E$57*D1429+'계산 과정'!$E$58*E1429)/F1429,"")</x:f>
        <x:v>-41.79663847214613</x:v>
      </x:c>
      <x:c r="J1429" s="4" t="n">
        <x:f>IF('계산 과정'!$L$5,'계산 과정'!$D$6+'계산 과정'!$C$35*D1429+'계산 과정'!$D$35*E1429,"")</x:f>
        <x:v>735.9673584907673</x:v>
      </x:c>
      <x:c r="K1429" s="4" t="n">
        <x:f>IF(AND('계산 과정'!$L$6,J1429&gt;0),'계산 과정'!$D$10*('계산 과정'!$C$38*(D1429-'계산 과정'!$C$32)+'계산 과정'!$D$38*(E1429-'계산 과정'!$D$32)-'계산 과정'!$E$38*'계산 과정'!$E$32)/J1429,"")</x:f>
        <x:v>-0.9344692532783934</x:v>
      </x:c>
      <x:c r="L1429" s="4" t="n">
        <x:f>IF(AND('계산 과정'!$L$6,J1429&gt;0),'계산 과정'!$D$10*('계산 과정'!$C$39*(D1429-'계산 과정'!$C$32)+'계산 과정'!$D$39*(E1429-'계산 과정'!$D$32)-'계산 과정'!$E$39*'계산 과정'!$E$32)/J1429,"")</x:f>
        <x:v>-0.31845057883539907</x:v>
      </x:c>
      <x:c r="M1429" s="17" t="n">
        <x:f>IF('계산 과정'!$L$6,IF(J1429&lt;=0,0,IF(AND(ABS(K1429)&lt;='계산 과정'!$D$11/2,ABS(L1429)&lt;='계산 과정'!$D$12/2),1,0)),"")</x:f>
        <x:v>1</x:v>
      </x:c>
      <x:c r="N1429" s="17" t="n">
        <x:f>IF('계산 과정'!$C$78,IF(AND(ISNUMBER(H1429),ISNUMBER(I1429),ABS(H1429-'계산 과정'!$C$88)&lt;='계산 과정'!$D$23/2,ABS(I1429-'계산 과정'!$C$89)&lt;='계산 과정'!$D$24/2),1,0),"")</x:f>
        <x:v>1</x:v>
      </x:c>
      <x:c r="O1429" s="4" t="n">
        <x:f>IF('계산 과정'!$L$7,'계산 과정'!$C$49*('계산 과정'!$C$32-D1429)+'계산 과정'!$D$49*('계산 과정'!$D$32-E1429)+'계산 과정'!$E$49*'계산 과정'!$E$32,"")</x:f>
        <x:v>-85.96735849076725</x:v>
      </x:c>
      <x:c r="P1429" s="4" t="n">
        <x:f>IF(AND('계산 과정'!$L$7,O1429&lt;&gt;0),('계산 과정'!$L$23-'계산 과정'!$C$49*D1429-'계산 과정'!$D$49*E1429)/O1429,"")</x:f>
        <x:v>-3.6529288211520328</x:v>
      </x:c>
      <x:c r="Q1429" s="4" t="str">
        <x:f>IF(AND(ISNUMBER(P1429),P1429&gt;1E-9,P1429&lt;1-1E-9),'계산 과정'!$C$47*(D1429-'계산 과정'!$C$50+P1429*('계산 과정'!$C$32-D1429))+'계산 과정'!$D$47*(E1429-'계산 과정'!$D$50+P1429*('계산 과정'!$D$32-E1429))+'계산 과정'!$E$47*(0-'계산 과정'!$E$50+P1429*('계산 과정'!$E$32-0)),"")</x:f>
      </x:c>
      <x:c r="R1429" s="4" t="str">
        <x:f>IF(AND(ISNUMBER(P1429),P1429&gt;1E-9,P1429&lt;1-1E-9),'계산 과정'!$C$48*(D1429-'계산 과정'!$C$50+P1429*('계산 과정'!$C$32-D1429))+'계산 과정'!$D$48*(E1429-'계산 과정'!$D$50+P1429*('계산 과정'!$D$32-E1429))+'계산 과정'!$E$48*(0-'계산 과정'!$E$50+P1429*('계산 과정'!$E$32-0)),"")</x:f>
      </x:c>
      <x:c r="S1429" s="17" t="n">
        <x:f>IF('계산 과정'!$C$78,IF(AND(ISNUMBER(Q1429),ISNUMBER(R1429),ABS(Q1429-'계산 과정'!$C$88)&lt;='계산 과정'!$D$23/2,ABS(R1429-'계산 과정'!$C$89)&lt;='계산 과정'!$D$24/2),1,0),"")</x:f>
        <x:v>0</x:v>
      </x:c>
      <x:c r="T1429" s="4"/>
      <x:c r="U1429" s="4"/>
      <x:c r="V1429" s="4"/>
      <x:c r="W1429" s="4"/>
      <x:c r="X1429" s="4"/>
      <x:c r="Y1429" s="4"/>
      <x:c r="Z1429" s="4"/>
    </x:row>
    <x:row r="1430" ht="23" customHeight="1">
      <x:c r="A1430" s="17" t="n">
        <x:f>ROW()-6</x:f>
        <x:v>1424</x:v>
      </x:c>
      <x:c r="B1430" s="4" t="n">
        <x:f>IF('계산 과정'!$L$5,'계산 과정'!$L$11*SQRT((A1430+0.5)/'계산 과정'!$L$30),"")</x:f>
        <x:v>125.10005761014861</x:v>
      </x:c>
      <x:c r="C1430" s="4" t="n">
        <x:f>A1430*PI()*(3-SQRT(5))</x:f>
        <x:v>3417.547639133602</x:v>
      </x:c>
      <x:c r="D1430" s="4" t="n">
        <x:f>IF('계산 과정'!$L$5,B1430*COS(C1430),"")</x:f>
        <x:v>109.47420922531857</x:v>
      </x:c>
      <x:c r="E1430" s="4" t="n">
        <x:f>IF('계산 과정'!$L$5,B1430*SIN(C1430),"")</x:f>
        <x:v>-60.542728122819796</x:v>
      </x:c>
      <x:c r="F1430" s="4" t="n">
        <x:f>IF('계산 과정'!$L$7,'계산 과정'!$L$22+'계산 과정'!$C$49*D1430+'계산 과정'!$D$49*E1430,"")</x:f>
        <x:v>572.5900442917423</x:v>
      </x:c>
      <x:c r="G1430" s="4" t="n">
        <x:f>IF('계산 과정'!$L$7,IF(ABS(F1430)&gt;=1E-12*MAX(1,SQRT((D1430-'계산 과정'!$C$33)^2+(E1430-'계산 과정'!$D$33)^2+'계산 과정'!$E$33^2)),('계산 과정'!$L$23-'계산 과정'!$C$49*D1430-'계산 과정'!$D$49*E1430)/F1430,""),"")</x:f>
        <x:v>0.8337727148203976</x:v>
      </x:c>
      <x:c r="H1430" s="4" t="n">
        <x:f>IF(AND(ISNUMBER(G1430),G1430&gt;0),('계산 과정'!$D$56+'계산 과정'!$D$57*D1430+'계산 과정'!$D$58*E1430)/F1430,"")</x:f>
        <x:v>141.95226463325832</x:v>
      </x:c>
      <x:c r="I1430" s="4" t="n">
        <x:f>IF(AND(ISNUMBER(G1430),G1430&gt;0),('계산 과정'!$E$56+'계산 과정'!$E$57*D1430+'계산 과정'!$E$58*E1430)/F1430,"")</x:f>
        <x:v>-111.0216029124165</x:v>
      </x:c>
      <x:c r="J1430" s="4" t="n">
        <x:f>IF('계산 과정'!$L$5,'계산 과정'!$D$6+'계산 과정'!$C$35*D1430+'계산 과정'!$D$35*E1430,"")</x:f>
        <x:v>572.5900442917423</x:v>
      </x:c>
      <x:c r="K1430" s="4" t="n">
        <x:f>IF(AND('계산 과정'!$L$6,J1430&gt;0),'계산 과정'!$D$10*('계산 과정'!$C$38*(D1430-'계산 과정'!$C$32)+'계산 과정'!$D$38*(E1430-'계산 과정'!$D$32)-'계산 과정'!$E$38*'계산 과정'!$E$32)/J1430,"")</x:f>
        <x:v>1.0815410638724452</x:v>
      </x:c>
      <x:c r="L1430" s="4" t="n">
        <x:f>IF(AND('계산 과정'!$L$6,J1430&gt;0),'계산 과정'!$D$10*('계산 과정'!$C$39*(D1430-'계산 과정'!$C$32)+'계산 과정'!$D$39*(E1430-'계산 과정'!$D$32)-'계산 과정'!$E$39*'계산 과정'!$E$32)/J1430,"")</x:f>
        <x:v>-0.8458788793326971</x:v>
      </x:c>
      <x:c r="M1430" s="17" t="n">
        <x:f>IF('계산 과정'!$L$6,IF(J1430&lt;=0,0,IF(AND(ABS(K1430)&lt;='계산 과정'!$D$11/2,ABS(L1430)&lt;='계산 과정'!$D$12/2),1,0)),"")</x:f>
        <x:v>1</x:v>
      </x:c>
      <x:c r="N1430" s="17" t="n">
        <x:f>IF('계산 과정'!$C$78,IF(AND(ISNUMBER(H1430),ISNUMBER(I1430),ABS(H1430-'계산 과정'!$C$88)&lt;='계산 과정'!$D$23/2,ABS(I1430-'계산 과정'!$C$89)&lt;='계산 과정'!$D$24/2),1,0),"")</x:f>
        <x:v>1</x:v>
      </x:c>
      <x:c r="O1430" s="4" t="n">
        <x:f>IF('계산 과정'!$L$7,'계산 과정'!$C$49*('계산 과정'!$C$32-D1430)+'계산 과정'!$D$49*('계산 과정'!$D$32-E1430)+'계산 과정'!$E$49*'계산 과정'!$E$32,"")</x:f>
        <x:v>77.40995570825777</x:v>
      </x:c>
      <x:c r="P1430" s="4" t="n">
        <x:f>IF(AND('계산 과정'!$L$7,O1430&lt;&gt;0),('계산 과정'!$L$23-'계산 과정'!$C$49*D1430-'계산 과정'!$D$49*E1430)/O1430,"")</x:f>
        <x:v>6.167294004243043</x:v>
      </x:c>
      <x:c r="Q1430" s="4" t="str">
        <x:f>IF(AND(ISNUMBER(P1430),P1430&gt;1E-9,P1430&lt;1-1E-9),'계산 과정'!$C$47*(D1430-'계산 과정'!$C$50+P1430*('계산 과정'!$C$32-D1430))+'계산 과정'!$D$47*(E1430-'계산 과정'!$D$50+P1430*('계산 과정'!$D$32-E1430))+'계산 과정'!$E$47*(0-'계산 과정'!$E$50+P1430*('계산 과정'!$E$32-0)),"")</x:f>
      </x:c>
      <x:c r="R1430" s="4" t="str">
        <x:f>IF(AND(ISNUMBER(P1430),P1430&gt;1E-9,P1430&lt;1-1E-9),'계산 과정'!$C$48*(D1430-'계산 과정'!$C$50+P1430*('계산 과정'!$C$32-D1430))+'계산 과정'!$D$48*(E1430-'계산 과정'!$D$50+P1430*('계산 과정'!$D$32-E1430))+'계산 과정'!$E$48*(0-'계산 과정'!$E$50+P1430*('계산 과정'!$E$32-0)),"")</x:f>
      </x:c>
      <x:c r="S1430" s="17" t="n">
        <x:f>IF('계산 과정'!$C$78,IF(AND(ISNUMBER(Q1430),ISNUMBER(R1430),ABS(Q1430-'계산 과정'!$C$88)&lt;='계산 과정'!$D$23/2,ABS(R1430-'계산 과정'!$C$89)&lt;='계산 과정'!$D$24/2),1,0),"")</x:f>
        <x:v>0</x:v>
      </x:c>
      <x:c r="T1430" s="4"/>
      <x:c r="U1430" s="4"/>
      <x:c r="V1430" s="4"/>
      <x:c r="W1430" s="4"/>
      <x:c r="X1430" s="4"/>
      <x:c r="Y1430" s="4"/>
      <x:c r="Z1430" s="4"/>
    </x:row>
    <x:row r="1431" ht="23" customHeight="1">
      <x:c r="A1431" s="17" t="n">
        <x:f>ROW()-6</x:f>
        <x:v>1425</x:v>
      </x:c>
      <x:c r="B1431" s="4" t="n">
        <x:f>IF('계산 과정'!$L$5,'계산 과정'!$L$11*SQRT((A1431+0.5)/'계산 과정'!$L$30),"")</x:f>
        <x:v>125.14396007074214</x:v>
      </x:c>
      <x:c r="C1431" s="4" t="n">
        <x:f>A1431*PI()*(3-SQRT(5))</x:f>
        <x:v>3419.94760236333</x:v>
      </x:c>
      <x:c r="D1431" s="4" t="n">
        <x:f>IF('계산 과정'!$L$5,B1431*COS(C1431),"")</x:f>
        <x:v>-39.84082638554254</x:v>
      </x:c>
      <x:c r="E1431" s="4" t="n">
        <x:f>IF('계산 과정'!$L$5,B1431*SIN(C1431),"")</x:f>
        <x:v>118.63270752665372</x:v>
      </x:c>
      <x:c r="F1431" s="4" t="n">
        <x:f>IF('계산 과정'!$L$7,'계산 과정'!$L$22+'계산 과정'!$C$49*D1431+'계산 과정'!$D$49*E1431,"")</x:f>
        <x:v>678.171718505293</x:v>
      </x:c>
      <x:c r="G1431" s="4" t="n">
        <x:f>IF('계산 과정'!$L$7,IF(ABS(F1431)&gt;=1E-12*MAX(1,SQRT((D1431-'계산 과정'!$C$33)^2+(E1431-'계산 과정'!$D$33)^2+'계산 과정'!$E$33^2)),('계산 과정'!$L$23-'계산 과정'!$C$49*D1431-'계산 과정'!$D$49*E1431)/F1431,""),"")</x:f>
        <x:v>0.548280430086683</x:v>
      </x:c>
      <x:c r="H1431" s="4" t="n">
        <x:f>IF(AND(ISNUMBER(G1431),G1431&gt;0),('계산 과정'!$D$56+'계산 과정'!$D$57*D1431+'계산 과정'!$D$58*E1431)/F1431,"")</x:f>
        <x:v>-43.617720443656225</x:v>
      </x:c>
      <x:c r="I1431" s="4" t="n">
        <x:f>IF(AND(ISNUMBER(G1431),G1431&gt;0),('계산 과정'!$E$56+'계산 과정'!$E$57*D1431+'계산 과정'!$E$58*E1431)/F1431,"")</x:f>
        <x:v>183.6766994317151</x:v>
      </x:c>
      <x:c r="J1431" s="4" t="n">
        <x:f>IF('계산 과정'!$L$5,'계산 과정'!$D$6+'계산 과정'!$C$35*D1431+'계산 과정'!$D$35*E1431,"")</x:f>
        <x:v>678.171718505293</x:v>
      </x:c>
      <x:c r="K1431" s="4" t="n">
        <x:f>IF(AND('계산 과정'!$L$6,J1431&gt;0),'계산 과정'!$D$10*('계산 과정'!$C$38*(D1431-'계산 과정'!$C$32)+'계산 과정'!$D$38*(E1431-'계산 과정'!$D$32)-'계산 과정'!$E$38*'계산 과정'!$E$32)/J1431,"")</x:f>
        <x:v>-0.33232548909452236</x:v>
      </x:c>
      <x:c r="L1431" s="4" t="n">
        <x:f>IF(AND('계산 과정'!$L$6,J1431&gt;0),'계산 과정'!$D$10*('계산 과정'!$C$39*(D1431-'계산 과정'!$C$32)+'계산 과정'!$D$39*(E1431-'계산 과정'!$D$32)-'계산 과정'!$E$39*'계산 과정'!$E$32)/J1431,"")</x:f>
        <x:v>1.399441519479734</x:v>
      </x:c>
      <x:c r="M1431" s="17" t="n">
        <x:f>IF('계산 과정'!$L$6,IF(J1431&lt;=0,0,IF(AND(ABS(K1431)&lt;='계산 과정'!$D$11/2,ABS(L1431)&lt;='계산 과정'!$D$12/2),1,0)),"")</x:f>
        <x:v>1</x:v>
      </x:c>
      <x:c r="N1431" s="17" t="n">
        <x:f>IF('계산 과정'!$C$78,IF(AND(ISNUMBER(H1431),ISNUMBER(I1431),ABS(H1431-'계산 과정'!$C$88)&lt;='계산 과정'!$D$23/2,ABS(I1431-'계산 과정'!$C$89)&lt;='계산 과정'!$D$24/2),1,0),"")</x:f>
        <x:v>1</x:v>
      </x:c>
      <x:c r="O1431" s="4" t="n">
        <x:f>IF('계산 과정'!$L$7,'계산 과정'!$C$49*('계산 과정'!$C$32-D1431)+'계산 과정'!$D$49*('계산 과정'!$D$32-E1431)+'계산 과정'!$E$49*'계산 과정'!$E$32,"")</x:f>
        <x:v>-28.171718505292915</x:v>
      </x:c>
      <x:c r="P1431" s="4" t="n">
        <x:f>IF(AND('계산 과정'!$L$7,O1431&lt;&gt;0),('계산 과정'!$L$23-'계산 과정'!$C$49*D1431-'계산 과정'!$D$49*E1431)/O1431,"")</x:f>
        <x:v>-13.198636832355389</x:v>
      </x:c>
      <x:c r="Q1431" s="4" t="str">
        <x:f>IF(AND(ISNUMBER(P1431),P1431&gt;1E-9,P1431&lt;1-1E-9),'계산 과정'!$C$47*(D1431-'계산 과정'!$C$50+P1431*('계산 과정'!$C$32-D1431))+'계산 과정'!$D$47*(E1431-'계산 과정'!$D$50+P1431*('계산 과정'!$D$32-E1431))+'계산 과정'!$E$47*(0-'계산 과정'!$E$50+P1431*('계산 과정'!$E$32-0)),"")</x:f>
      </x:c>
      <x:c r="R1431" s="4" t="str">
        <x:f>IF(AND(ISNUMBER(P1431),P1431&gt;1E-9,P1431&lt;1-1E-9),'계산 과정'!$C$48*(D1431-'계산 과정'!$C$50+P1431*('계산 과정'!$C$32-D1431))+'계산 과정'!$D$48*(E1431-'계산 과정'!$D$50+P1431*('계산 과정'!$D$32-E1431))+'계산 과정'!$E$48*(0-'계산 과정'!$E$50+P1431*('계산 과정'!$E$32-0)),"")</x:f>
      </x:c>
      <x:c r="S1431" s="17" t="n">
        <x:f>IF('계산 과정'!$C$78,IF(AND(ISNUMBER(Q1431),ISNUMBER(R1431),ABS(Q1431-'계산 과정'!$C$88)&lt;='계산 과정'!$D$23/2,ABS(R1431-'계산 과정'!$C$89)&lt;='계산 과정'!$D$24/2),1,0),"")</x:f>
        <x:v>0</x:v>
      </x:c>
      <x:c r="T1431" s="4"/>
      <x:c r="U1431" s="4"/>
      <x:c r="V1431" s="4"/>
      <x:c r="W1431" s="4"/>
      <x:c r="X1431" s="4"/>
      <x:c r="Y1431" s="4"/>
      <x:c r="Z1431" s="4"/>
    </x:row>
    <x:row r="1432" ht="23" customHeight="1">
      <x:c r="A1432" s="17" t="n">
        <x:f>ROW()-6</x:f>
        <x:v>1426</x:v>
      </x:c>
      <x:c r="B1432" s="4" t="n">
        <x:f>IF('계산 과정'!$L$5,'계산 과정'!$L$11*SQRT((A1432+0.5)/'계산 과정'!$L$30),"")</x:f>
        <x:v>125.1878471350654</x:v>
      </x:c>
      <x:c r="C1432" s="4" t="n">
        <x:f>A1432*PI()*(3-SQRT(5))</x:f>
        <x:v>3422.3475655930592</x:v>
      </x:c>
      <x:c r="D1432" s="4" t="n">
        <x:f>IF('계산 과정'!$L$5,B1432*COS(C1432),"")</x:f>
        <x:v>-50.77565746886821</x:v>
      </x:c>
      <x:c r="E1432" s="4" t="n">
        <x:f>IF('계산 과정'!$L$5,B1432*SIN(C1432),"")</x:f>
        <x:v>-114.42827307495587</x:v>
      </x:c>
      <x:c r="F1432" s="4" t="n">
        <x:f>IF('계산 과정'!$L$7,'계산 과정'!$L$22+'계산 과정'!$C$49*D1432+'계산 과정'!$D$49*E1432,"")</x:f>
        <x:v>685.9038117154421</x:v>
      </x:c>
      <x:c r="G1432" s="4" t="n">
        <x:f>IF('계산 과정'!$L$7,IF(ABS(F1432)&gt;=1E-12*MAX(1,SQRT((D1432-'계산 과정'!$C$33)^2+(E1432-'계산 과정'!$D$33)^2+'계산 과정'!$E$33^2)),('계산 과정'!$L$23-'계산 과정'!$C$49*D1432-'계산 과정'!$D$49*E1432)/F1432,""),"")</x:f>
        <x:v>0.5308268915636365</x:v>
      </x:c>
      <x:c r="H1432" s="4" t="n">
        <x:f>IF(AND(ISNUMBER(G1432),G1432&gt;0),('계산 과정'!$D$56+'계산 과정'!$D$57*D1432+'계산 과정'!$D$58*E1432)/F1432,"")</x:f>
        <x:v>-54.962520483636396</x:v>
      </x:c>
      <x:c r="I1432" s="4" t="n">
        <x:f>IF(AND(ISNUMBER(G1432),G1432&gt;0),('계산 과정'!$E$56+'계산 과정'!$E$57*D1432+'계산 과정'!$E$58*E1432)/F1432,"")</x:f>
        <x:v>-175.16987757832965</x:v>
      </x:c>
      <x:c r="J1432" s="4" t="n">
        <x:f>IF('계산 과정'!$L$5,'계산 과정'!$D$6+'계산 과정'!$C$35*D1432+'계산 과정'!$D$35*E1432,"")</x:f>
        <x:v>685.9038117154421</x:v>
      </x:c>
      <x:c r="K1432" s="4" t="n">
        <x:f>IF(AND('계산 과정'!$L$6,J1432&gt;0),'계산 과정'!$D$10*('계산 과정'!$C$38*(D1432-'계산 과정'!$C$32)+'계산 과정'!$D$38*(E1432-'계산 과정'!$D$32)-'계산 과정'!$E$38*'계산 과정'!$E$32)/J1432,"")</x:f>
        <x:v>-0.41876206082770506</x:v>
      </x:c>
      <x:c r="L1432" s="4" t="n">
        <x:f>IF(AND('계산 과정'!$L$6,J1432&gt;0),'계산 과정'!$D$10*('계산 과정'!$C$39*(D1432-'계산 과정'!$C$32)+'계산 과정'!$D$39*(E1432-'계산 과정'!$D$32)-'계산 과정'!$E$39*'계산 과정'!$E$32)/J1432,"")</x:f>
        <x:v>-1.3346276386920355</x:v>
      </x:c>
      <x:c r="M1432" s="17" t="n">
        <x:f>IF('계산 과정'!$L$6,IF(J1432&lt;=0,0,IF(AND(ABS(K1432)&lt;='계산 과정'!$D$11/2,ABS(L1432)&lt;='계산 과정'!$D$12/2),1,0)),"")</x:f>
        <x:v>1</x:v>
      </x:c>
      <x:c r="N1432" s="17" t="n">
        <x:f>IF('계산 과정'!$C$78,IF(AND(ISNUMBER(H1432),ISNUMBER(I1432),ABS(H1432-'계산 과정'!$C$88)&lt;='계산 과정'!$D$23/2,ABS(I1432-'계산 과정'!$C$89)&lt;='계산 과정'!$D$24/2),1,0),"")</x:f>
        <x:v>1</x:v>
      </x:c>
      <x:c r="O1432" s="4" t="n">
        <x:f>IF('계산 과정'!$L$7,'계산 과정'!$C$49*('계산 과정'!$C$32-D1432)+'계산 과정'!$D$49*('계산 과정'!$D$32-E1432)+'계산 과정'!$E$49*'계산 과정'!$E$32,"")</x:f>
        <x:v>-35.903811715441975</x:v>
      </x:c>
      <x:c r="P1432" s="4" t="n">
        <x:f>IF(AND('계산 과정'!$L$7,O1432&lt;&gt;0),('계산 과정'!$L$23-'계산 과정'!$C$49*D1432-'계산 과정'!$D$49*E1432)/O1432,"")</x:f>
        <x:v>-10.140878388351249</x:v>
      </x:c>
      <x:c r="Q1432" s="4" t="str">
        <x:f>IF(AND(ISNUMBER(P1432),P1432&gt;1E-9,P1432&lt;1-1E-9),'계산 과정'!$C$47*(D1432-'계산 과정'!$C$50+P1432*('계산 과정'!$C$32-D1432))+'계산 과정'!$D$47*(E1432-'계산 과정'!$D$50+P1432*('계산 과정'!$D$32-E1432))+'계산 과정'!$E$47*(0-'계산 과정'!$E$50+P1432*('계산 과정'!$E$32-0)),"")</x:f>
      </x:c>
      <x:c r="R1432" s="4" t="str">
        <x:f>IF(AND(ISNUMBER(P1432),P1432&gt;1E-9,P1432&lt;1-1E-9),'계산 과정'!$C$48*(D1432-'계산 과정'!$C$50+P1432*('계산 과정'!$C$32-D1432))+'계산 과정'!$D$48*(E1432-'계산 과정'!$D$50+P1432*('계산 과정'!$D$32-E1432))+'계산 과정'!$E$48*(0-'계산 과정'!$E$50+P1432*('계산 과정'!$E$32-0)),"")</x:f>
      </x:c>
      <x:c r="S1432" s="17" t="n">
        <x:f>IF('계산 과정'!$C$78,IF(AND(ISNUMBER(Q1432),ISNUMBER(R1432),ABS(Q1432-'계산 과정'!$C$88)&lt;='계산 과정'!$D$23/2,ABS(R1432-'계산 과정'!$C$89)&lt;='계산 과정'!$D$24/2),1,0),"")</x:f>
        <x:v>0</x:v>
      </x:c>
      <x:c r="T1432" s="4"/>
      <x:c r="U1432" s="4"/>
      <x:c r="V1432" s="4"/>
      <x:c r="W1432" s="4"/>
      <x:c r="X1432" s="4"/>
      <x:c r="Y1432" s="4"/>
      <x:c r="Z1432" s="4"/>
    </x:row>
    <x:row r="1433" ht="23" customHeight="1">
      <x:c r="A1433" s="17" t="n">
        <x:f>ROW()-6</x:f>
        <x:v>1427</x:v>
      </x:c>
      <x:c r="B1433" s="4" t="n">
        <x:f>IF('계산 과정'!$L$5,'계산 과정'!$L$11*SQRT((A1433+0.5)/'계산 과정'!$L$30),"")</x:f>
        <x:v>125.23171881930512</x:v>
      </x:c>
      <x:c r="C1433" s="4" t="n">
        <x:f>A1433*PI()*(3-SQRT(5))</x:f>
        <x:v>3424.747528822788</x:v>
      </x:c>
      <x:c r="D1433" s="4" t="n">
        <x:f>IF('계산 과정'!$L$5,B1433*COS(C1433),"")</x:f>
        <x:v>114.77578615219974</x:v>
      </x:c>
      <x:c r="E1433" s="4" t="n">
        <x:f>IF('계산 과정'!$L$5,B1433*SIN(C1433),"")</x:f>
        <x:v>50.094932993088364</x:v>
      </x:c>
      <x:c r="F1433" s="4" t="n">
        <x:f>IF('계산 과정'!$L$7,'계산 과정'!$L$22+'계산 과정'!$C$49*D1433+'계산 과정'!$D$49*E1433,"")</x:f>
        <x:v>568.8412632957625</x:v>
      </x:c>
      <x:c r="G1433" s="4" t="n">
        <x:f>IF('계산 과정'!$L$7,IF(ABS(F1433)&gt;=1E-12*MAX(1,SQRT((D1433-'계산 과정'!$C$33)^2+(E1433-'계산 과정'!$D$33)^2+'계산 과정'!$E$33^2)),('계산 과정'!$L$23-'계산 과정'!$C$49*D1433-'계산 과정'!$D$49*E1433)/F1433,""),"")</x:f>
        <x:v>0.8458576544122196</x:v>
      </x:c>
      <x:c r="H1433" s="4" t="n">
        <x:f>IF(AND(ISNUMBER(G1433),G1433&gt;0),('계산 과정'!$D$56+'계산 과정'!$D$57*D1433+'계산 과정'!$D$58*E1433)/F1433,"")</x:f>
        <x:v>149.80747536794263</x:v>
      </x:c>
      <x:c r="I1433" s="4" t="n">
        <x:f>IF(AND(ISNUMBER(G1433),G1433&gt;0),('계산 과정'!$E$56+'계산 과정'!$E$57*D1433+'계산 과정'!$E$58*E1433)/F1433,"")</x:f>
        <x:v>92.46811551255941</x:v>
      </x:c>
      <x:c r="J1433" s="4" t="n">
        <x:f>IF('계산 과정'!$L$5,'계산 과정'!$D$6+'계산 과정'!$C$35*D1433+'계산 과정'!$D$35*E1433,"")</x:f>
        <x:v>568.8412632957625</x:v>
      </x:c>
      <x:c r="K1433" s="4" t="n">
        <x:f>IF(AND('계산 과정'!$L$6,J1433&gt;0),'계산 과정'!$D$10*('계산 과정'!$C$38*(D1433-'계산 과정'!$C$32)+'계산 과정'!$D$38*(E1433-'계산 과정'!$D$32)-'계산 과정'!$E$38*'계산 과정'!$E$32)/J1433,"")</x:f>
        <x:v>1.141390288517659</x:v>
      </x:c>
      <x:c r="L1433" s="4" t="n">
        <x:f>IF(AND('계산 과정'!$L$6,J1433&gt;0),'계산 과정'!$D$10*('계산 과정'!$C$39*(D1433-'계산 과정'!$C$32)+'계산 과정'!$D$39*(E1433-'계산 과정'!$D$32)-'계산 과정'!$E$39*'계산 과정'!$E$32)/J1433,"")</x:f>
        <x:v>0.7045189753337859</x:v>
      </x:c>
      <x:c r="M1433" s="17" t="n">
        <x:f>IF('계산 과정'!$L$6,IF(J1433&lt;=0,0,IF(AND(ABS(K1433)&lt;='계산 과정'!$D$11/2,ABS(L1433)&lt;='계산 과정'!$D$12/2),1,0)),"")</x:f>
        <x:v>1</x:v>
      </x:c>
      <x:c r="N1433" s="17" t="n">
        <x:f>IF('계산 과정'!$C$78,IF(AND(ISNUMBER(H1433),ISNUMBER(I1433),ABS(H1433-'계산 과정'!$C$88)&lt;='계산 과정'!$D$23/2,ABS(I1433-'계산 과정'!$C$89)&lt;='계산 과정'!$D$24/2),1,0),"")</x:f>
        <x:v>1</x:v>
      </x:c>
      <x:c r="O1433" s="4" t="n">
        <x:f>IF('계산 과정'!$L$7,'계산 과정'!$C$49*('계산 과정'!$C$32-D1433)+'계산 과정'!$D$49*('계산 과정'!$D$32-E1433)+'계산 과정'!$E$49*'계산 과정'!$E$32,"")</x:f>
        <x:v>81.15873670423761</x:v>
      </x:c>
      <x:c r="P1433" s="4" t="n">
        <x:f>IF(AND('계산 과정'!$L$7,O1433&lt;&gt;0),('계산 과정'!$L$23-'계산 과정'!$C$49*D1433-'계산 과정'!$D$49*E1433)/O1433,"")</x:f>
        <x:v>5.928612941052769</x:v>
      </x:c>
      <x:c r="Q1433" s="4" t="str">
        <x:f>IF(AND(ISNUMBER(P1433),P1433&gt;1E-9,P1433&lt;1-1E-9),'계산 과정'!$C$47*(D1433-'계산 과정'!$C$50+P1433*('계산 과정'!$C$32-D1433))+'계산 과정'!$D$47*(E1433-'계산 과정'!$D$50+P1433*('계산 과정'!$D$32-E1433))+'계산 과정'!$E$47*(0-'계산 과정'!$E$50+P1433*('계산 과정'!$E$32-0)),"")</x:f>
      </x:c>
      <x:c r="R1433" s="4" t="str">
        <x:f>IF(AND(ISNUMBER(P1433),P1433&gt;1E-9,P1433&lt;1-1E-9),'계산 과정'!$C$48*(D1433-'계산 과정'!$C$50+P1433*('계산 과정'!$C$32-D1433))+'계산 과정'!$D$48*(E1433-'계산 과정'!$D$50+P1433*('계산 과정'!$D$32-E1433))+'계산 과정'!$E$48*(0-'계산 과정'!$E$50+P1433*('계산 과정'!$E$32-0)),"")</x:f>
      </x:c>
      <x:c r="S1433" s="17" t="n">
        <x:f>IF('계산 과정'!$C$78,IF(AND(ISNUMBER(Q1433),ISNUMBER(R1433),ABS(Q1433-'계산 과정'!$C$88)&lt;='계산 과정'!$D$23/2,ABS(R1433-'계산 과정'!$C$89)&lt;='계산 과정'!$D$24/2),1,0),"")</x:f>
        <x:v>0</x:v>
      </x:c>
      <x:c r="T1433" s="4"/>
      <x:c r="U1433" s="4"/>
      <x:c r="V1433" s="4"/>
      <x:c r="W1433" s="4"/>
      <x:c r="X1433" s="4"/>
      <x:c r="Y1433" s="4"/>
      <x:c r="Z1433" s="4"/>
    </x:row>
    <x:row r="1434" ht="23" customHeight="1">
      <x:c r="A1434" s="17" t="n">
        <x:f>ROW()-6</x:f>
        <x:v>1428</x:v>
      </x:c>
      <x:c r="B1434" s="4" t="n">
        <x:f>IF('계산 과정'!$L$5,'계산 과정'!$L$11*SQRT((A1434+0.5)/'계산 과정'!$L$30),"")</x:f>
        <x:v>125.27557513961969</x:v>
      </x:c>
      <x:c r="C1434" s="4" t="n">
        <x:f>A1434*PI()*(3-SQRT(5))</x:f>
        <x:v>3427.147492052516</x:v>
      </x:c>
      <x:c r="D1434" s="4" t="n">
        <x:f>IF('계산 과정'!$L$5,B1434*COS(C1434),"")</x:f>
        <x:v>-118.51222230811598</x:v>
      </x:c>
      <x:c r="E1434" s="4" t="n">
        <x:f>IF('계산 과정'!$L$5,B1434*SIN(C1434),"")</x:f>
        <x:v>40.60570021750885</x:v>
      </x:c>
      <x:c r="F1434" s="4" t="n">
        <x:f>IF('계산 과정'!$L$7,'계산 과정'!$L$22+'계산 과정'!$C$49*D1434+'계산 과정'!$D$49*E1434,"")</x:f>
        <x:v>733.8007960475564</x:v>
      </x:c>
      <x:c r="G1434" s="4" t="n">
        <x:f>IF('계산 과정'!$L$7,IF(ABS(F1434)&gt;=1E-12*MAX(1,SQRT((D1434-'계산 과정'!$C$33)^2+(E1434-'계산 과정'!$D$33)^2+'계산 과정'!$E$33^2)),('계산 과정'!$L$23-'계산 과정'!$C$49*D1434-'계산 과정'!$D$49*E1434)/F1434,""),"")</x:f>
        <x:v>0.4309060519633876</x:v>
      </x:c>
      <x:c r="H1434" s="4" t="n">
        <x:f>IF(AND(ISNUMBER(G1434),G1434&gt;0),('계산 과정'!$D$56+'계산 과정'!$D$57*D1434+'계산 과정'!$D$58*E1434)/F1434,"")</x:f>
        <x:v>-119.91106622379817</x:v>
      </x:c>
      <x:c r="I1434" s="4" t="n">
        <x:f>IF(AND(ISNUMBER(G1434),G1434&gt;0),('계산 과정'!$E$56+'계산 과정'!$E$57*D1434+'계산 과정'!$E$58*E1434)/F1434,"")</x:f>
        <x:v>58.102942185444455</x:v>
      </x:c>
      <x:c r="J1434" s="4" t="n">
        <x:f>IF('계산 과정'!$L$5,'계산 과정'!$D$6+'계산 과정'!$C$35*D1434+'계산 과정'!$D$35*E1434,"")</x:f>
        <x:v>733.8007960475564</x:v>
      </x:c>
      <x:c r="K1434" s="4" t="n">
        <x:f>IF(AND('계산 과정'!$L$6,J1434&gt;0),'계산 과정'!$D$10*('계산 과정'!$C$38*(D1434-'계산 과정'!$C$32)+'계산 과정'!$D$38*(E1434-'계산 과정'!$D$32)-'계산 과정'!$E$38*'계산 과정'!$E$32)/J1434,"")</x:f>
        <x:v>-0.91360812360989</x:v>
      </x:c>
      <x:c r="L1434" s="4" t="n">
        <x:f>IF(AND('계산 과정'!$L$6,J1434&gt;0),'계산 과정'!$D$10*('계산 과정'!$C$39*(D1434-'계산 과정'!$C$32)+'계산 과정'!$D$39*(E1434-'계산 과정'!$D$32)-'계산 과정'!$E$39*'계산 과정'!$E$32)/J1434,"")</x:f>
        <x:v>0.44268908331767204</x:v>
      </x:c>
      <x:c r="M1434" s="17" t="n">
        <x:f>IF('계산 과정'!$L$6,IF(J1434&lt;=0,0,IF(AND(ABS(K1434)&lt;='계산 과정'!$D$11/2,ABS(L1434)&lt;='계산 과정'!$D$12/2),1,0)),"")</x:f>
        <x:v>1</x:v>
      </x:c>
      <x:c r="N1434" s="17" t="n">
        <x:f>IF('계산 과정'!$C$78,IF(AND(ISNUMBER(H1434),ISNUMBER(I1434),ABS(H1434-'계산 과정'!$C$88)&lt;='계산 과정'!$D$23/2,ABS(I1434-'계산 과정'!$C$89)&lt;='계산 과정'!$D$24/2),1,0),"")</x:f>
        <x:v>1</x:v>
      </x:c>
      <x:c r="O1434" s="4" t="n">
        <x:f>IF('계산 과정'!$L$7,'계산 과정'!$C$49*('계산 과정'!$C$32-D1434)+'계산 과정'!$D$49*('계산 과정'!$D$32-E1434)+'계산 과정'!$E$49*'계산 과정'!$E$32,"")</x:f>
        <x:v>-83.80079604755628</x:v>
      </x:c>
      <x:c r="P1434" s="4" t="n">
        <x:f>IF(AND('계산 과정'!$L$7,O1434&lt;&gt;0),('계산 과정'!$L$23-'계산 과정'!$C$49*D1434-'계산 과정'!$D$49*E1434)/O1434,"")</x:f>
        <x:v>-3.7732243470933504</x:v>
      </x:c>
      <x:c r="Q1434" s="4" t="str">
        <x:f>IF(AND(ISNUMBER(P1434),P1434&gt;1E-9,P1434&lt;1-1E-9),'계산 과정'!$C$47*(D1434-'계산 과정'!$C$50+P1434*('계산 과정'!$C$32-D1434))+'계산 과정'!$D$47*(E1434-'계산 과정'!$D$50+P1434*('계산 과정'!$D$32-E1434))+'계산 과정'!$E$47*(0-'계산 과정'!$E$50+P1434*('계산 과정'!$E$32-0)),"")</x:f>
      </x:c>
      <x:c r="R1434" s="4" t="str">
        <x:f>IF(AND(ISNUMBER(P1434),P1434&gt;1E-9,P1434&lt;1-1E-9),'계산 과정'!$C$48*(D1434-'계산 과정'!$C$50+P1434*('계산 과정'!$C$32-D1434))+'계산 과정'!$D$48*(E1434-'계산 과정'!$D$50+P1434*('계산 과정'!$D$32-E1434))+'계산 과정'!$E$48*(0-'계산 과정'!$E$50+P1434*('계산 과정'!$E$32-0)),"")</x:f>
      </x:c>
      <x:c r="S1434" s="17" t="n">
        <x:f>IF('계산 과정'!$C$78,IF(AND(ISNUMBER(Q1434),ISNUMBER(R1434),ABS(Q1434-'계산 과정'!$C$88)&lt;='계산 과정'!$D$23/2,ABS(R1434-'계산 과정'!$C$89)&lt;='계산 과정'!$D$24/2),1,0),"")</x:f>
        <x:v>0</x:v>
      </x:c>
      <x:c r="T1434" s="4"/>
      <x:c r="U1434" s="4"/>
      <x:c r="V1434" s="4"/>
      <x:c r="W1434" s="4"/>
      <x:c r="X1434" s="4"/>
      <x:c r="Y1434" s="4"/>
      <x:c r="Z1434" s="4"/>
    </x:row>
    <x:row r="1435" ht="23" customHeight="1">
      <x:c r="A1435" s="17" t="n">
        <x:f>ROW()-6</x:f>
        <x:v>1429</x:v>
      </x:c>
      <x:c r="B1435" s="4" t="n">
        <x:f>IF('계산 과정'!$L$5,'계산 과정'!$L$11*SQRT((A1435+0.5)/'계산 과정'!$L$30),"")</x:f>
        <x:v>125.31941611213922</x:v>
      </x:c>
      <x:c r="C1435" s="4" t="n">
        <x:f>A1435*PI()*(3-SQRT(5))</x:f>
        <x:v>3429.547455282245</x:v>
      </x:c>
      <x:c r="D1435" s="4" t="n">
        <x:f>IF('계산 과정'!$L$5,B1435*COS(C1435),"")</x:f>
        <x:v>59.97945085492575</x:v>
      </x:c>
      <x:c r="E1435" s="4" t="n">
        <x:f>IF('계산 과정'!$L$5,B1435*SIN(C1435),"")</x:f>
        <x:v>-110.03372905536304</x:v>
      </x:c>
      <x:c r="F1435" s="4" t="n">
        <x:f>IF('계산 과정'!$L$7,'계산 과정'!$L$22+'계산 과정'!$C$49*D1435+'계산 과정'!$D$49*E1435,"")</x:f>
        <x:v>607.5881235686368</x:v>
      </x:c>
      <x:c r="G1435" s="4" t="n">
        <x:f>IF('계산 과정'!$L$7,IF(ABS(F1435)&gt;=1E-12*MAX(1,SQRT((D1435-'계산 과정'!$C$33)^2+(E1435-'계산 과정'!$D$33)^2+'계산 과정'!$E$33^2)),('계산 과정'!$L$23-'계산 과정'!$C$49*D1435-'계산 과정'!$D$49*E1435)/F1435,""),"")</x:f>
        <x:v>0.7281443781897521</x:v>
      </x:c>
      <x:c r="H1435" s="4" t="n">
        <x:f>IF(AND(ISNUMBER(G1435),G1435&gt;0),('계산 과정'!$D$56+'계산 과정'!$D$57*D1435+'계산 과정'!$D$58*E1435)/F1435,"")</x:f>
        <x:v>73.29384582333877</x:v>
      </x:c>
      <x:c r="I1435" s="4" t="n">
        <x:f>IF(AND(ISNUMBER(G1435),G1435&gt;0),('계산 과정'!$E$56+'계산 과정'!$E$57*D1435+'계산 과정'!$E$58*E1435)/F1435,"")</x:f>
        <x:v>-190.15417027828002</x:v>
      </x:c>
      <x:c r="J1435" s="4" t="n">
        <x:f>IF('계산 과정'!$L$5,'계산 과정'!$D$6+'계산 과정'!$C$35*D1435+'계산 과정'!$D$35*E1435,"")</x:f>
        <x:v>607.5881235686368</x:v>
      </x:c>
      <x:c r="K1435" s="4" t="n">
        <x:f>IF(AND('계산 과정'!$L$6,J1435&gt;0),'계산 과정'!$D$10*('계산 과정'!$C$38*(D1435-'계산 과정'!$C$32)+'계산 과정'!$D$38*(E1435-'계산 과정'!$D$32)-'계산 과정'!$E$38*'계산 과정'!$E$32)/J1435,"")</x:f>
        <x:v>0.5584293015111536</x:v>
      </x:c>
      <x:c r="L1435" s="4" t="n">
        <x:f>IF(AND('계산 과정'!$L$6,J1435&gt;0),'계산 과정'!$D$10*('계산 과정'!$C$39*(D1435-'계산 과정'!$C$32)+'계산 과정'!$D$39*(E1435-'계산 과정'!$D$32)-'계산 과정'!$E$39*'계산 과정'!$E$32)/J1435,"")</x:f>
        <x:v>-1.4487936783107047</x:v>
      </x:c>
      <x:c r="M1435" s="17" t="n">
        <x:f>IF('계산 과정'!$L$6,IF(J1435&lt;=0,0,IF(AND(ABS(K1435)&lt;='계산 과정'!$D$11/2,ABS(L1435)&lt;='계산 과정'!$D$12/2),1,0)),"")</x:f>
        <x:v>1</x:v>
      </x:c>
      <x:c r="N1435" s="17" t="n">
        <x:f>IF('계산 과정'!$C$78,IF(AND(ISNUMBER(H1435),ISNUMBER(I1435),ABS(H1435-'계산 과정'!$C$88)&lt;='계산 과정'!$D$23/2,ABS(I1435-'계산 과정'!$C$89)&lt;='계산 과정'!$D$24/2),1,0),"")</x:f>
        <x:v>1</x:v>
      </x:c>
      <x:c r="O1435" s="4" t="n">
        <x:f>IF('계산 과정'!$L$7,'계산 과정'!$C$49*('계산 과정'!$C$32-D1435)+'계산 과정'!$D$49*('계산 과정'!$D$32-E1435)+'계산 과정'!$E$49*'계산 과정'!$E$32,"")</x:f>
        <x:v>42.411876431363396</x:v>
      </x:c>
      <x:c r="P1435" s="4" t="n">
        <x:f>IF(AND('계산 과정'!$L$7,O1435&lt;&gt;0),('계산 과정'!$L$23-'계산 과정'!$C$49*D1435-'계산 과정'!$D$49*E1435)/O1435,"")</x:f>
        <x:v>10.431320508710188</x:v>
      </x:c>
      <x:c r="Q1435" s="4" t="str">
        <x:f>IF(AND(ISNUMBER(P1435),P1435&gt;1E-9,P1435&lt;1-1E-9),'계산 과정'!$C$47*(D1435-'계산 과정'!$C$50+P1435*('계산 과정'!$C$32-D1435))+'계산 과정'!$D$47*(E1435-'계산 과정'!$D$50+P1435*('계산 과정'!$D$32-E1435))+'계산 과정'!$E$47*(0-'계산 과정'!$E$50+P1435*('계산 과정'!$E$32-0)),"")</x:f>
      </x:c>
      <x:c r="R1435" s="4" t="str">
        <x:f>IF(AND(ISNUMBER(P1435),P1435&gt;1E-9,P1435&lt;1-1E-9),'계산 과정'!$C$48*(D1435-'계산 과정'!$C$50+P1435*('계산 과정'!$C$32-D1435))+'계산 과정'!$D$48*(E1435-'계산 과정'!$D$50+P1435*('계산 과정'!$D$32-E1435))+'계산 과정'!$E$48*(0-'계산 과정'!$E$50+P1435*('계산 과정'!$E$32-0)),"")</x:f>
      </x:c>
      <x:c r="S1435" s="17" t="n">
        <x:f>IF('계산 과정'!$C$78,IF(AND(ISNUMBER(Q1435),ISNUMBER(R1435),ABS(Q1435-'계산 과정'!$C$88)&lt;='계산 과정'!$D$23/2,ABS(R1435-'계산 과정'!$C$89)&lt;='계산 과정'!$D$24/2),1,0),"")</x:f>
        <x:v>0</x:v>
      </x:c>
      <x:c r="T1435" s="4"/>
      <x:c r="U1435" s="4"/>
      <x:c r="V1435" s="4"/>
      <x:c r="W1435" s="4"/>
      <x:c r="X1435" s="4"/>
      <x:c r="Y1435" s="4"/>
      <x:c r="Z1435" s="4"/>
    </x:row>
    <x:row r="1436" ht="23" customHeight="1">
      <x:c r="A1436" s="17" t="n">
        <x:f>ROW()-6</x:f>
        <x:v>1430</x:v>
      </x:c>
      <x:c r="B1436" s="4" t="n">
        <x:f>IF('계산 과정'!$L$5,'계산 과정'!$L$11*SQRT((A1436+0.5)/'계산 과정'!$L$30),"")</x:f>
        <x:v>125.36324175296562</x:v>
      </x:c>
      <x:c r="C1436" s="4" t="n">
        <x:f>A1436*PI()*(3-SQRT(5))</x:f>
        <x:v>3431.947418511974</x:v>
      </x:c>
      <x:c r="D1436" s="4" t="n">
        <x:f>IF('계산 과정'!$L$5,B1436*COS(C1436),"")</x:f>
        <x:v>30.11026185730869</x:v>
      </x:c>
      <x:c r="E1436" s="4" t="n">
        <x:f>IF('계산 과정'!$L$5,B1436*SIN(C1436),"")</x:f>
        <x:v>121.69352699998798</x:v>
      </x:c>
      <x:c r="F1436" s="4" t="n">
        <x:f>IF('계산 과정'!$L$7,'계산 과정'!$L$22+'계산 과정'!$C$49*D1436+'계산 과정'!$D$49*E1436,"")</x:f>
        <x:v>628.7088296573944</x:v>
      </x:c>
      <x:c r="G1436" s="4" t="n">
        <x:f>IF('계산 과정'!$L$7,IF(ABS(F1436)&gt;=1E-12*MAX(1,SQRT((D1436-'계산 과정'!$C$33)^2+(E1436-'계산 과정'!$D$33)^2+'계산 과정'!$E$33^2)),('계산 과정'!$L$23-'계산 과정'!$C$49*D1436-'계산 과정'!$D$49*E1436)/F1436,""),"")</x:f>
        <x:v>0.6700894761923131</x:v>
      </x:c>
      <x:c r="H1436" s="4" t="n">
        <x:f>IF(AND(ISNUMBER(G1436),G1436&gt;0),('계산 과정'!$D$56+'계산 과정'!$D$57*D1436+'계산 과정'!$D$58*E1436)/F1436,"")</x:f>
        <x:v>35.55815952500343</x:v>
      </x:c>
      <x:c r="I1436" s="4" t="n">
        <x:f>IF(AND(ISNUMBER(G1436),G1436&gt;0),('계산 과정'!$E$56+'계산 과정'!$E$57*D1436+'계산 과정'!$E$58*E1436)/F1436,"")</x:f>
        <x:v>203.23907876340505</x:v>
      </x:c>
      <x:c r="J1436" s="4" t="n">
        <x:f>IF('계산 과정'!$L$5,'계산 과정'!$D$6+'계산 과정'!$C$35*D1436+'계산 과정'!$D$35*E1436,"")</x:f>
        <x:v>628.7088296573944</x:v>
      </x:c>
      <x:c r="K1436" s="4" t="n">
        <x:f>IF(AND('계산 과정'!$L$6,J1436&gt;0),'계산 과정'!$D$10*('계산 과정'!$C$38*(D1436-'계산 과정'!$C$32)+'계산 과정'!$D$38*(E1436-'계산 과정'!$D$32)-'계산 과정'!$E$38*'계산 과정'!$E$32)/J1436,"")</x:f>
        <x:v>0.2709193106666933</x:v>
      </x:c>
      <x:c r="L1436" s="4" t="n">
        <x:f>IF(AND('계산 과정'!$L$6,J1436&gt;0),'계산 과정'!$D$10*('계산 과정'!$C$39*(D1436-'계산 과정'!$C$32)+'계산 과정'!$D$39*(E1436-'계산 과정'!$D$32)-'계산 과정'!$E$39*'계산 과정'!$E$32)/J1436,"")</x:f>
        <x:v>1.5484882191497527</x:v>
      </x:c>
      <x:c r="M1436" s="17" t="n">
        <x:f>IF('계산 과정'!$L$6,IF(J1436&lt;=0,0,IF(AND(ABS(K1436)&lt;='계산 과정'!$D$11/2,ABS(L1436)&lt;='계산 과정'!$D$12/2),1,0)),"")</x:f>
        <x:v>1</x:v>
      </x:c>
      <x:c r="N1436" s="17" t="n">
        <x:f>IF('계산 과정'!$C$78,IF(AND(ISNUMBER(H1436),ISNUMBER(I1436),ABS(H1436-'계산 과정'!$C$88)&lt;='계산 과정'!$D$23/2,ABS(I1436-'계산 과정'!$C$89)&lt;='계산 과정'!$D$24/2),1,0),"")</x:f>
        <x:v>1</x:v>
      </x:c>
      <x:c r="O1436" s="4" t="n">
        <x:f>IF('계산 과정'!$L$7,'계산 과정'!$C$49*('계산 과정'!$C$32-D1436)+'계산 과정'!$D$49*('계산 과정'!$D$32-E1436)+'계산 과정'!$E$49*'계산 과정'!$E$32,"")</x:f>
        <x:v>21.29117034260571</x:v>
      </x:c>
      <x:c r="P1436" s="4" t="n">
        <x:f>IF(AND('계산 과정'!$L$7,O1436&lt;&gt;0),('계산 과정'!$L$23-'계산 과정'!$C$49*D1436-'계산 과정'!$D$49*E1436)/O1436,"")</x:f>
        <x:v>19.78713070082206</x:v>
      </x:c>
      <x:c r="Q1436" s="4" t="str">
        <x:f>IF(AND(ISNUMBER(P1436),P1436&gt;1E-9,P1436&lt;1-1E-9),'계산 과정'!$C$47*(D1436-'계산 과정'!$C$50+P1436*('계산 과정'!$C$32-D1436))+'계산 과정'!$D$47*(E1436-'계산 과정'!$D$50+P1436*('계산 과정'!$D$32-E1436))+'계산 과정'!$E$47*(0-'계산 과정'!$E$50+P1436*('계산 과정'!$E$32-0)),"")</x:f>
      </x:c>
      <x:c r="R1436" s="4" t="str">
        <x:f>IF(AND(ISNUMBER(P1436),P1436&gt;1E-9,P1436&lt;1-1E-9),'계산 과정'!$C$48*(D1436-'계산 과정'!$C$50+P1436*('계산 과정'!$C$32-D1436))+'계산 과정'!$D$48*(E1436-'계산 과정'!$D$50+P1436*('계산 과정'!$D$32-E1436))+'계산 과정'!$E$48*(0-'계산 과정'!$E$50+P1436*('계산 과정'!$E$32-0)),"")</x:f>
      </x:c>
      <x:c r="S1436" s="17" t="n">
        <x:f>IF('계산 과정'!$C$78,IF(AND(ISNUMBER(Q1436),ISNUMBER(R1436),ABS(Q1436-'계산 과정'!$C$88)&lt;='계산 과정'!$D$23/2,ABS(R1436-'계산 과정'!$C$89)&lt;='계산 과정'!$D$24/2),1,0),"")</x:f>
        <x:v>0</x:v>
      </x:c>
      <x:c r="T1436" s="4"/>
      <x:c r="U1436" s="4"/>
      <x:c r="V1436" s="4"/>
      <x:c r="W1436" s="4"/>
      <x:c r="X1436" s="4"/>
      <x:c r="Y1436" s="4"/>
      <x:c r="Z1436" s="4"/>
    </x:row>
    <x:row r="1437" ht="23" customHeight="1">
      <x:c r="A1437" s="17" t="n">
        <x:f>ROW()-6</x:f>
        <x:v>1431</x:v>
      </x:c>
      <x:c r="B1437" s="4" t="n">
        <x:f>IF('계산 과정'!$L$5,'계산 과정'!$L$11*SQRT((A1437+0.5)/'계산 과정'!$L$30),"")</x:f>
        <x:v>125.40705207817261</x:v>
      </x:c>
      <x:c r="C1437" s="4" t="n">
        <x:f>A1437*PI()*(3-SQRT(5))</x:f>
        <x:v>3434.347381741702</x:v>
      </x:c>
      <x:c r="D1437" s="4" t="n">
        <x:f>IF('계산 과정'!$L$5,B1437*COS(C1437),"")</x:f>
        <x:v>-104.44165253528205</x:v>
      </x:c>
      <x:c r="E1437" s="4" t="n">
        <x:f>IF('계산 과정'!$L$5,B1437*SIN(C1437),"")</x:f>
        <x:v>-69.41808068966549</x:v>
      </x:c>
      <x:c r="F1437" s="4" t="n">
        <x:f>IF('계산 과정'!$L$7,'계산 과정'!$L$22+'계산 과정'!$C$49*D1437+'계산 과정'!$D$49*E1437,"")</x:f>
        <x:v>723.8514007460271</x:v>
      </x:c>
      <x:c r="G1437" s="4" t="n">
        <x:f>IF('계산 과정'!$L$7,IF(ABS(F1437)&gt;=1E-12*MAX(1,SQRT((D1437-'계산 과정'!$C$33)^2+(E1437-'계산 과정'!$D$33)^2+'계산 과정'!$E$33^2)),('계산 과정'!$L$23-'계산 과정'!$C$49*D1437-'계산 과정'!$D$49*E1437)/F1437,""),"")</x:f>
        <x:v>0.45057396990298354</x:v>
      </x:c>
      <x:c r="H1437" s="4" t="n">
        <x:f>IF(AND(ISNUMBER(G1437),G1437&gt;0),('계산 과정'!$D$56+'계산 과정'!$D$57*D1437+'계산 과정'!$D$58*E1437)/F1437,"")</x:f>
        <x:v>-107.12691956306082</x:v>
      </x:c>
      <x:c r="I1437" s="4" t="n">
        <x:f>IF(AND(ISNUMBER(G1437),G1437&gt;0),('계산 과정'!$E$56+'계산 과정'!$E$57*D1437+'계산 과정'!$E$58*E1437)/F1437,"")</x:f>
        <x:v>-100.6960608890537</x:v>
      </x:c>
      <x:c r="J1437" s="4" t="n">
        <x:f>IF('계산 과정'!$L$5,'계산 과정'!$D$6+'계산 과정'!$C$35*D1437+'계산 과정'!$D$35*E1437,"")</x:f>
        <x:v>723.8514007460271</x:v>
      </x:c>
      <x:c r="K1437" s="4" t="n">
        <x:f>IF(AND('계산 과정'!$L$6,J1437&gt;0),'계산 과정'!$D$10*('계산 과정'!$C$38*(D1437-'계산 과정'!$C$32)+'계산 과정'!$D$38*(E1437-'계산 과정'!$D$32)-'계산 과정'!$E$38*'계산 과정'!$E$32)/J1437,"")</x:f>
        <x:v>-0.8162051014328437</x:v>
      </x:c>
      <x:c r="L1437" s="4" t="n">
        <x:f>IF(AND('계산 과정'!$L$6,J1437&gt;0),'계산 과정'!$D$10*('계산 과정'!$C$39*(D1437-'계산 과정'!$C$32)+'계산 과정'!$D$39*(E1437-'계산 과정'!$D$32)-'계산 과정'!$E$39*'계산 과정'!$E$32)/J1437,"")</x:f>
        <x:v>-0.7672080829642187</x:v>
      </x:c>
      <x:c r="M1437" s="17" t="n">
        <x:f>IF('계산 과정'!$L$6,IF(J1437&lt;=0,0,IF(AND(ABS(K1437)&lt;='계산 과정'!$D$11/2,ABS(L1437)&lt;='계산 과정'!$D$12/2),1,0)),"")</x:f>
        <x:v>1</x:v>
      </x:c>
      <x:c r="N1437" s="17" t="n">
        <x:f>IF('계산 과정'!$C$78,IF(AND(ISNUMBER(H1437),ISNUMBER(I1437),ABS(H1437-'계산 과정'!$C$88)&lt;='계산 과정'!$D$23/2,ABS(I1437-'계산 과정'!$C$89)&lt;='계산 과정'!$D$24/2),1,0),"")</x:f>
        <x:v>1</x:v>
      </x:c>
      <x:c r="O1437" s="4" t="n">
        <x:f>IF('계산 과정'!$L$7,'계산 과정'!$C$49*('계산 과정'!$C$32-D1437)+'계산 과정'!$D$49*('계산 과정'!$D$32-E1437)+'계산 과정'!$E$49*'계산 과정'!$E$32,"")</x:f>
        <x:v>-73.85140074602702</x:v>
      </x:c>
      <x:c r="P1437" s="4" t="n">
        <x:f>IF(AND('계산 과정'!$L$7,O1437&lt;&gt;0),('계산 과정'!$L$23-'계산 과정'!$C$49*D1437-'계산 과정'!$D$49*E1437)/O1437,"")</x:f>
        <x:v>-4.416281830260595</x:v>
      </x:c>
      <x:c r="Q1437" s="4" t="str">
        <x:f>IF(AND(ISNUMBER(P1437),P1437&gt;1E-9,P1437&lt;1-1E-9),'계산 과정'!$C$47*(D1437-'계산 과정'!$C$50+P1437*('계산 과정'!$C$32-D1437))+'계산 과정'!$D$47*(E1437-'계산 과정'!$D$50+P1437*('계산 과정'!$D$32-E1437))+'계산 과정'!$E$47*(0-'계산 과정'!$E$50+P1437*('계산 과정'!$E$32-0)),"")</x:f>
      </x:c>
      <x:c r="R1437" s="4" t="str">
        <x:f>IF(AND(ISNUMBER(P1437),P1437&gt;1E-9,P1437&lt;1-1E-9),'계산 과정'!$C$48*(D1437-'계산 과정'!$C$50+P1437*('계산 과정'!$C$32-D1437))+'계산 과정'!$D$48*(E1437-'계산 과정'!$D$50+P1437*('계산 과정'!$D$32-E1437))+'계산 과정'!$E$48*(0-'계산 과정'!$E$50+P1437*('계산 과정'!$E$32-0)),"")</x:f>
      </x:c>
      <x:c r="S1437" s="17" t="n">
        <x:f>IF('계산 과정'!$C$78,IF(AND(ISNUMBER(Q1437),ISNUMBER(R1437),ABS(Q1437-'계산 과정'!$C$88)&lt;='계산 과정'!$D$23/2,ABS(R1437-'계산 과정'!$C$89)&lt;='계산 과정'!$D$24/2),1,0),"")</x:f>
        <x:v>0</x:v>
      </x:c>
      <x:c r="T1437" s="4"/>
      <x:c r="U1437" s="4"/>
      <x:c r="V1437" s="4"/>
      <x:c r="W1437" s="4"/>
      <x:c r="X1437" s="4"/>
      <x:c r="Y1437" s="4"/>
      <x:c r="Z1437" s="4"/>
    </x:row>
    <x:row r="1438" ht="23" customHeight="1">
      <x:c r="A1438" s="17" t="n">
        <x:f>ROW()-6</x:f>
        <x:v>1432</x:v>
      </x:c>
      <x:c r="B1438" s="4" t="n">
        <x:f>IF('계산 과정'!$L$5,'계산 과정'!$L$11*SQRT((A1438+0.5)/'계산 과정'!$L$30),"")</x:f>
        <x:v>125.45084710380596</x:v>
      </x:c>
      <x:c r="C1438" s="4" t="n">
        <x:f>A1438*PI()*(3-SQRT(5))</x:f>
        <x:v>3436.747344971431</x:v>
      </x:c>
      <x:c r="D1438" s="4" t="n">
        <x:f>IF('계산 과정'!$L$5,B1438*COS(C1438),"")</x:f>
        <x:v>123.94653377496034</x:v>
      </x:c>
      <x:c r="E1438" s="4" t="n">
        <x:f>IF('계산 과정'!$L$5,B1438*SIN(C1438),"")</x:f>
        <x:v>-19.369352189351</x:v>
      </x:c>
      <x:c r="F1438" s="4" t="n">
        <x:f>IF('계산 과정'!$L$7,'계산 과정'!$L$22+'계산 과정'!$C$49*D1438+'계산 과정'!$D$49*E1438,"")</x:f>
        <x:v>562.3565654631581</x:v>
      </x:c>
      <x:c r="G1438" s="4" t="n">
        <x:f>IF('계산 과정'!$L$7,IF(ABS(F1438)&gt;=1E-12*MAX(1,SQRT((D1438-'계산 과정'!$C$33)^2+(E1438-'계산 과정'!$D$33)^2+'계산 과정'!$E$33^2)),('계산 과정'!$L$23-'계산 과정'!$C$49*D1438-'계산 과정'!$D$49*E1438)/F1438,""),"")</x:f>
        <x:v>0.8671427782393146</x:v>
      </x:c>
      <x:c r="H1438" s="4" t="n">
        <x:f>IF(AND(ISNUMBER(G1438),G1438&gt;0),('계산 과정'!$D$56+'계산 과정'!$D$57*D1438+'계산 과정'!$D$58*E1438)/F1438,"")</x:f>
        <x:v>163.6428058555544</x:v>
      </x:c>
      <x:c r="I1438" s="4" t="n">
        <x:f>IF(AND(ISNUMBER(G1438),G1438&gt;0),('계산 과정'!$E$56+'계산 과정'!$E$57*D1438+'계산 과정'!$E$58*E1438)/F1438,"")</x:f>
        <x:v>-36.16534605952059</x:v>
      </x:c>
      <x:c r="J1438" s="4" t="n">
        <x:f>IF('계산 과정'!$L$5,'계산 과정'!$D$6+'계산 과정'!$C$35*D1438+'계산 과정'!$D$35*E1438,"")</x:f>
        <x:v>562.3565654631581</x:v>
      </x:c>
      <x:c r="K1438" s="4" t="n">
        <x:f>IF(AND('계산 과정'!$L$6,J1438&gt;0),'계산 과정'!$D$10*('계산 과정'!$C$38*(D1438-'계산 과정'!$C$32)+'계산 과정'!$D$38*(E1438-'계산 과정'!$D$32)-'계산 과정'!$E$38*'계산 과정'!$E$32)/J1438,"")</x:f>
        <x:v>1.2468023303280347</x:v>
      </x:c>
      <x:c r="L1438" s="4" t="n">
        <x:f>IF(AND('계산 과정'!$L$6,J1438&gt;0),'계산 과정'!$D$10*('계산 과정'!$C$39*(D1438-'계산 과정'!$C$32)+'계산 과정'!$D$39*(E1438-'계산 과정'!$D$32)-'계산 과정'!$E$39*'계산 과정'!$E$32)/J1438,"")</x:f>
        <x:v>-0.27554549378682347</x:v>
      </x:c>
      <x:c r="M1438" s="17" t="n">
        <x:f>IF('계산 과정'!$L$6,IF(J1438&lt;=0,0,IF(AND(ABS(K1438)&lt;='계산 과정'!$D$11/2,ABS(L1438)&lt;='계산 과정'!$D$12/2),1,0)),"")</x:f>
        <x:v>1</x:v>
      </x:c>
      <x:c r="N1438" s="17" t="n">
        <x:f>IF('계산 과정'!$C$78,IF(AND(ISNUMBER(H1438),ISNUMBER(I1438),ABS(H1438-'계산 과정'!$C$88)&lt;='계산 과정'!$D$23/2,ABS(I1438-'계산 과정'!$C$89)&lt;='계산 과정'!$D$24/2),1,0),"")</x:f>
        <x:v>1</x:v>
      </x:c>
      <x:c r="O1438" s="4" t="n">
        <x:f>IF('계산 과정'!$L$7,'계산 과정'!$C$49*('계산 과정'!$C$32-D1438)+'계산 과정'!$D$49*('계산 과정'!$D$32-E1438)+'계산 과정'!$E$49*'계산 과정'!$E$32,"")</x:f>
        <x:v>87.64343453684202</x:v>
      </x:c>
      <x:c r="P1438" s="4" t="n">
        <x:f>IF(AND('계산 과정'!$L$7,O1438&lt;&gt;0),('계산 과정'!$L$23-'계산 과정'!$C$49*D1438-'계산 과정'!$D$49*E1438)/O1438,"")</x:f>
        <x:v>5.563947112682523</x:v>
      </x:c>
      <x:c r="Q1438" s="4" t="str">
        <x:f>IF(AND(ISNUMBER(P1438),P1438&gt;1E-9,P1438&lt;1-1E-9),'계산 과정'!$C$47*(D1438-'계산 과정'!$C$50+P1438*('계산 과정'!$C$32-D1438))+'계산 과정'!$D$47*(E1438-'계산 과정'!$D$50+P1438*('계산 과정'!$D$32-E1438))+'계산 과정'!$E$47*(0-'계산 과정'!$E$50+P1438*('계산 과정'!$E$32-0)),"")</x:f>
      </x:c>
      <x:c r="R1438" s="4" t="str">
        <x:f>IF(AND(ISNUMBER(P1438),P1438&gt;1E-9,P1438&lt;1-1E-9),'계산 과정'!$C$48*(D1438-'계산 과정'!$C$50+P1438*('계산 과정'!$C$32-D1438))+'계산 과정'!$D$48*(E1438-'계산 과정'!$D$50+P1438*('계산 과정'!$D$32-E1438))+'계산 과정'!$E$48*(0-'계산 과정'!$E$50+P1438*('계산 과정'!$E$32-0)),"")</x:f>
      </x:c>
      <x:c r="S1438" s="17" t="n">
        <x:f>IF('계산 과정'!$C$78,IF(AND(ISNUMBER(Q1438),ISNUMBER(R1438),ABS(Q1438-'계산 과정'!$C$88)&lt;='계산 과정'!$D$23/2,ABS(R1438-'계산 과정'!$C$89)&lt;='계산 과정'!$D$24/2),1,0),"")</x:f>
        <x:v>0</x:v>
      </x:c>
      <x:c r="T1438" s="4"/>
      <x:c r="U1438" s="4"/>
      <x:c r="V1438" s="4"/>
      <x:c r="W1438" s="4"/>
      <x:c r="X1438" s="4"/>
      <x:c r="Y1438" s="4"/>
      <x:c r="Z1438" s="4"/>
    </x:row>
    <x:row r="1439" ht="23" customHeight="1">
      <x:c r="A1439" s="17" t="n">
        <x:f>ROW()-6</x:f>
        <x:v>1433</x:v>
      </x:c>
      <x:c r="B1439" s="4" t="n">
        <x:f>IF('계산 과정'!$L$5,'계산 과정'!$L$11*SQRT((A1439+0.5)/'계산 과정'!$L$30),"")</x:f>
        <x:v>125.49462684588333</x:v>
      </x:c>
      <x:c r="C1439" s="4" t="n">
        <x:f>A1439*PI()*(3-SQRT(5))</x:f>
        <x:v>3439.1473082011594</x:v>
      </x:c>
      <x:c r="D1439" s="4" t="n">
        <x:f>IF('계산 과정'!$L$5,B1439*COS(C1439),"")</x:f>
        <x:v>-78.33783588301905</x:v>
      </x:c>
      <x:c r="E1439" s="4" t="n">
        <x:f>IF('계산 과정'!$L$5,B1439*SIN(C1439),"")</x:f>
        <x:v>98.04124048762681</x:v>
      </x:c>
      <x:c r="F1439" s="4" t="n">
        <x:f>IF('계산 과정'!$L$7,'계산 과정'!$L$22+'계산 과정'!$C$49*D1439+'계산 과정'!$D$49*E1439,"")</x:f>
        <x:v>705.3932149763616</x:v>
      </x:c>
      <x:c r="G1439" s="4" t="n">
        <x:f>IF('계산 과정'!$L$7,IF(ABS(F1439)&gt;=1E-12*MAX(1,SQRT((D1439-'계산 과정'!$C$33)^2+(E1439-'계산 과정'!$D$33)^2+'계산 과정'!$E$33^2)),('계산 과정'!$L$23-'계산 과정'!$C$49*D1439-'계산 과정'!$D$49*E1439)/F1439,""),"")</x:f>
        <x:v>0.48853147111031753</x:v>
      </x:c>
      <x:c r="H1439" s="4" t="n">
        <x:f>IF(AND(ISNUMBER(G1439),G1439&gt;0),('계산 과정'!$D$56+'계산 과정'!$D$57*D1439+'계산 과정'!$D$58*E1439)/F1439,"")</x:f>
        <x:v>-82.45454377829377</x:v>
      </x:c>
      <x:c r="I1439" s="4" t="n">
        <x:f>IF(AND(ISNUMBER(G1439),G1439&gt;0),('계산 과정'!$E$56+'계산 과정'!$E$57*D1439+'계산 과정'!$E$58*E1439)/F1439,"")</x:f>
        <x:v>145.93747193252756</x:v>
      </x:c>
      <x:c r="J1439" s="4" t="n">
        <x:f>IF('계산 과정'!$L$5,'계산 과정'!$D$6+'계산 과정'!$C$35*D1439+'계산 과정'!$D$35*E1439,"")</x:f>
        <x:v>705.3932149763616</x:v>
      </x:c>
      <x:c r="K1439" s="4" t="n">
        <x:f>IF(AND('계산 과정'!$L$6,J1439&gt;0),'계산 과정'!$D$10*('계산 과정'!$C$38*(D1439-'계산 과정'!$C$32)+'계산 과정'!$D$38*(E1439-'계산 과정'!$D$32)-'계산 과정'!$E$38*'계산 과정'!$E$32)/J1439,"")</x:f>
        <x:v>-0.6282250954536657</x:v>
      </x:c>
      <x:c r="L1439" s="4" t="n">
        <x:f>IF(AND('계산 과정'!$L$6,J1439&gt;0),'계산 과정'!$D$10*('계산 과정'!$C$39*(D1439-'계산 과정'!$C$32)+'계산 과정'!$D$39*(E1439-'계산 과정'!$D$32)-'계산 과정'!$E$39*'계산 과정'!$E$32)/J1439,"")</x:f>
        <x:v>1.1119045480573528</x:v>
      </x:c>
      <x:c r="M1439" s="17" t="n">
        <x:f>IF('계산 과정'!$L$6,IF(J1439&lt;=0,0,IF(AND(ABS(K1439)&lt;='계산 과정'!$D$11/2,ABS(L1439)&lt;='계산 과정'!$D$12/2),1,0)),"")</x:f>
        <x:v>1</x:v>
      </x:c>
      <x:c r="N1439" s="17" t="n">
        <x:f>IF('계산 과정'!$C$78,IF(AND(ISNUMBER(H1439),ISNUMBER(I1439),ABS(H1439-'계산 과정'!$C$88)&lt;='계산 과정'!$D$23/2,ABS(I1439-'계산 과정'!$C$89)&lt;='계산 과정'!$D$24/2),1,0),"")</x:f>
        <x:v>1</x:v>
      </x:c>
      <x:c r="O1439" s="4" t="n">
        <x:f>IF('계산 과정'!$L$7,'계산 과정'!$C$49*('계산 과정'!$C$32-D1439)+'계산 과정'!$D$49*('계산 과정'!$D$32-E1439)+'계산 과정'!$E$49*'계산 과정'!$E$32,"")</x:f>
        <x:v>-55.39321497636149</x:v>
      </x:c>
      <x:c r="P1439" s="4" t="n">
        <x:f>IF(AND('계산 과정'!$L$7,O1439&lt;&gt;0),('계산 과정'!$L$23-'계산 과정'!$C$49*D1439-'계산 과정'!$D$49*E1439)/O1439,"")</x:f>
        <x:v>-6.221100998934544</x:v>
      </x:c>
      <x:c r="Q1439" s="4" t="str">
        <x:f>IF(AND(ISNUMBER(P1439),P1439&gt;1E-9,P1439&lt;1-1E-9),'계산 과정'!$C$47*(D1439-'계산 과정'!$C$50+P1439*('계산 과정'!$C$32-D1439))+'계산 과정'!$D$47*(E1439-'계산 과정'!$D$50+P1439*('계산 과정'!$D$32-E1439))+'계산 과정'!$E$47*(0-'계산 과정'!$E$50+P1439*('계산 과정'!$E$32-0)),"")</x:f>
      </x:c>
      <x:c r="R1439" s="4" t="str">
        <x:f>IF(AND(ISNUMBER(P1439),P1439&gt;1E-9,P1439&lt;1-1E-9),'계산 과정'!$C$48*(D1439-'계산 과정'!$C$50+P1439*('계산 과정'!$C$32-D1439))+'계산 과정'!$D$48*(E1439-'계산 과정'!$D$50+P1439*('계산 과정'!$D$32-E1439))+'계산 과정'!$E$48*(0-'계산 과정'!$E$50+P1439*('계산 과정'!$E$32-0)),"")</x:f>
      </x:c>
      <x:c r="S1439" s="17" t="n">
        <x:f>IF('계산 과정'!$C$78,IF(AND(ISNUMBER(Q1439),ISNUMBER(R1439),ABS(Q1439-'계산 과정'!$C$88)&lt;='계산 과정'!$D$23/2,ABS(R1439-'계산 과정'!$C$89)&lt;='계산 과정'!$D$24/2),1,0),"")</x:f>
        <x:v>0</x:v>
      </x:c>
      <x:c r="T1439" s="4"/>
      <x:c r="U1439" s="4"/>
      <x:c r="V1439" s="4"/>
      <x:c r="W1439" s="4"/>
      <x:c r="X1439" s="4"/>
      <x:c r="Y1439" s="4"/>
      <x:c r="Z1439" s="4"/>
    </x:row>
    <x:row r="1440" ht="23" customHeight="1">
      <x:c r="A1440" s="17" t="n">
        <x:f>ROW()-6</x:f>
        <x:v>1434</x:v>
      </x:c>
      <x:c r="B1440" s="4" t="n">
        <x:f>IF('계산 과정'!$L$5,'계산 과정'!$L$11*SQRT((A1440+0.5)/'계산 과정'!$L$30),"")</x:f>
        <x:v>125.53839132039448</x:v>
      </x:c>
      <x:c r="C1440" s="4" t="n">
        <x:f>A1440*PI()*(3-SQRT(5))</x:f>
        <x:v>3441.547271430888</x:v>
      </x:c>
      <x:c r="D1440" s="4" t="n">
        <x:f>IF('계산 과정'!$L$5,B1440*COS(C1440),"")</x:f>
        <x:v>-8.464975241761586</x:v>
      </x:c>
      <x:c r="E1440" s="4" t="n">
        <x:f>IF('계산 과정'!$L$5,B1440*SIN(C1440),"")</x:f>
        <x:v>-125.25267218494326</x:v>
      </x:c>
      <x:c r="F1440" s="4" t="n">
        <x:f>IF('계산 과정'!$L$7,'계산 과정'!$L$22+'계산 과정'!$C$49*D1440+'계산 과정'!$D$49*E1440,"")</x:f>
        <x:v>655.9856413960258</x:v>
      </x:c>
      <x:c r="G1440" s="4" t="n">
        <x:f>IF('계산 과정'!$L$7,IF(ABS(F1440)&gt;=1E-12*MAX(1,SQRT((D1440-'계산 과정'!$C$33)^2+(E1440-'계산 과정'!$D$33)^2+'계산 과정'!$E$33^2)),('계산 과정'!$L$23-'계산 과정'!$C$49*D1440-'계산 과정'!$D$49*E1440)/F1440,""),"")</x:f>
        <x:v>0.6006447911961281</x:v>
      </x:c>
      <x:c r="H1440" s="4" t="n">
        <x:f>IF(AND(ISNUMBER(G1440),G1440&gt;0),('계산 과정'!$D$56+'계산 과정'!$D$57*D1440+'계산 과정'!$D$58*E1440)/F1440,"")</x:f>
        <x:v>-9.580885722516816</x:v>
      </x:c>
      <x:c r="I1440" s="4" t="n">
        <x:f>IF(AND(ISNUMBER(G1440),G1440&gt;0),('계산 과정'!$E$56+'계산 과정'!$E$57*D1440+'계산 과정'!$E$58*E1440)/F1440,"")</x:f>
        <x:v>-200.48503731622563</x:v>
      </x:c>
      <x:c r="J1440" s="4" t="n">
        <x:f>IF('계산 과정'!$L$5,'계산 과정'!$D$6+'계산 과정'!$C$35*D1440+'계산 과정'!$D$35*E1440,"")</x:f>
        <x:v>655.9856413960258</x:v>
      </x:c>
      <x:c r="K1440" s="4" t="n">
        <x:f>IF(AND('계산 과정'!$L$6,J1440&gt;0),'계산 과정'!$D$10*('계산 과정'!$C$38*(D1440-'계산 과정'!$C$32)+'계산 과정'!$D$38*(E1440-'계산 과정'!$D$32)-'계산 과정'!$E$38*'계산 과정'!$E$32)/J1440,"")</x:f>
        <x:v>-0.07299722455250841</x:v>
      </x:c>
      <x:c r="L1440" s="4" t="n">
        <x:f>IF(AND('계산 과정'!$L$6,J1440&gt;0),'계산 과정'!$D$10*('계산 과정'!$C$39*(D1440-'계산 과정'!$C$32)+'계산 과정'!$D$39*(E1440-'계산 과정'!$D$32)-'계산 과정'!$E$39*'계산 과정'!$E$32)/J1440,"")</x:f>
        <x:v>-1.5275050462188617</x:v>
      </x:c>
      <x:c r="M1440" s="17" t="n">
        <x:f>IF('계산 과정'!$L$6,IF(J1440&lt;=0,0,IF(AND(ABS(K1440)&lt;='계산 과정'!$D$11/2,ABS(L1440)&lt;='계산 과정'!$D$12/2),1,0)),"")</x:f>
        <x:v>1</x:v>
      </x:c>
      <x:c r="N1440" s="17" t="n">
        <x:f>IF('계산 과정'!$C$78,IF(AND(ISNUMBER(H1440),ISNUMBER(I1440),ABS(H1440-'계산 과정'!$C$88)&lt;='계산 과정'!$D$23/2,ABS(I1440-'계산 과정'!$C$89)&lt;='계산 과정'!$D$24/2),1,0),"")</x:f>
        <x:v>1</x:v>
      </x:c>
      <x:c r="O1440" s="4" t="n">
        <x:f>IF('계산 과정'!$L$7,'계산 과정'!$C$49*('계산 과정'!$C$32-D1440)+'계산 과정'!$D$49*('계산 과정'!$D$32-E1440)+'계산 과정'!$E$49*'계산 과정'!$E$32,"")</x:f>
        <x:v>-5.9856413960257555</x:v>
      </x:c>
      <x:c r="P1440" s="4" t="n">
        <x:f>IF(AND('계산 과정'!$L$7,O1440&lt;&gt;0),('계산 과정'!$L$23-'계산 과정'!$C$49*D1440-'계산 과정'!$D$49*E1440)/O1440,"")</x:f>
        <x:v>-65.82658942207682</x:v>
      </x:c>
      <x:c r="Q1440" s="4" t="str">
        <x:f>IF(AND(ISNUMBER(P1440),P1440&gt;1E-9,P1440&lt;1-1E-9),'계산 과정'!$C$47*(D1440-'계산 과정'!$C$50+P1440*('계산 과정'!$C$32-D1440))+'계산 과정'!$D$47*(E1440-'계산 과정'!$D$50+P1440*('계산 과정'!$D$32-E1440))+'계산 과정'!$E$47*(0-'계산 과정'!$E$50+P1440*('계산 과정'!$E$32-0)),"")</x:f>
      </x:c>
      <x:c r="R1440" s="4" t="str">
        <x:f>IF(AND(ISNUMBER(P1440),P1440&gt;1E-9,P1440&lt;1-1E-9),'계산 과정'!$C$48*(D1440-'계산 과정'!$C$50+P1440*('계산 과정'!$C$32-D1440))+'계산 과정'!$D$48*(E1440-'계산 과정'!$D$50+P1440*('계산 과정'!$D$32-E1440))+'계산 과정'!$E$48*(0-'계산 과정'!$E$50+P1440*('계산 과정'!$E$32-0)),"")</x:f>
      </x:c>
      <x:c r="S1440" s="17" t="n">
        <x:f>IF('계산 과정'!$C$78,IF(AND(ISNUMBER(Q1440),ISNUMBER(R1440),ABS(Q1440-'계산 과정'!$C$88)&lt;='계산 과정'!$D$23/2,ABS(R1440-'계산 과정'!$C$89)&lt;='계산 과정'!$D$24/2),1,0),"")</x:f>
        <x:v>0</x:v>
      </x:c>
      <x:c r="T1440" s="4"/>
      <x:c r="U1440" s="4"/>
      <x:c r="V1440" s="4"/>
      <x:c r="W1440" s="4"/>
      <x:c r="X1440" s="4"/>
      <x:c r="Y1440" s="4"/>
      <x:c r="Z1440" s="4"/>
    </x:row>
    <x:row r="1441" ht="23" customHeight="1">
      <x:c r="A1441" s="17" t="n">
        <x:f>ROW()-6</x:f>
        <x:v>1435</x:v>
      </x:c>
      <x:c r="B1441" s="4" t="n">
        <x:f>IF('계산 과정'!$L$5,'계산 과정'!$L$11*SQRT((A1441+0.5)/'계산 과정'!$L$30),"")</x:f>
        <x:v>125.58214054330138</x:v>
      </x:c>
      <x:c r="C1441" s="4" t="n">
        <x:f>A1441*PI()*(3-SQRT(5))</x:f>
        <x:v>3443.947234660617</x:v>
      </x:c>
      <x:c r="D1441" s="4" t="n">
        <x:f>IF('계산 과정'!$L$5,B1441*COS(C1441),"")</x:f>
        <x:v>90.88043382983192</x:v>
      </x:c>
      <x:c r="E1441" s="4" t="n">
        <x:f>IF('계산 과정'!$L$5,B1441*SIN(C1441),"")</x:f>
        <x:v>86.66960695848944</x:v>
      </x:c>
      <x:c r="F1441" s="4" t="n">
        <x:f>IF('계산 과정'!$L$7,'계산 과정'!$L$22+'계산 과정'!$C$49*D1441+'계산 과정'!$D$49*E1441,"")</x:f>
        <x:v>585.7378289617506</x:v>
      </x:c>
      <x:c r="G1441" s="4" t="n">
        <x:f>IF('계산 과정'!$L$7,IF(ABS(F1441)&gt;=1E-12*MAX(1,SQRT((D1441-'계산 과정'!$C$33)^2+(E1441-'계산 과정'!$D$33)^2+'계산 과정'!$E$33^2)),('계산 과정'!$L$23-'계산 과정'!$C$49*D1441-'계산 과정'!$D$49*E1441)/F1441,""),"")</x:f>
        <x:v>0.7926108714220784</x:v>
      </x:c>
      <x:c r="H1441" s="4" t="n">
        <x:f>IF(AND(ISNUMBER(G1441),G1441&gt;0),('계산 과정'!$D$56+'계산 과정'!$D$57*D1441+'계산 과정'!$D$58*E1441)/F1441,"")</x:f>
        <x:v>115.19706642435092</x:v>
      </x:c>
      <x:c r="I1441" s="4" t="n">
        <x:f>IF(AND(ISNUMBER(G1441),G1441&gt;0),('계산 과정'!$E$56+'계산 과정'!$E$57*D1441+'계산 과정'!$E$58*E1441)/F1441,"")</x:f>
        <x:v>155.36487965566678</x:v>
      </x:c>
      <x:c r="J1441" s="4" t="n">
        <x:f>IF('계산 과정'!$L$5,'계산 과정'!$D$6+'계산 과정'!$C$35*D1441+'계산 과정'!$D$35*E1441,"")</x:f>
        <x:v>585.7378289617506</x:v>
      </x:c>
      <x:c r="K1441" s="4" t="n">
        <x:f>IF(AND('계산 과정'!$L$6,J1441&gt;0),'계산 과정'!$D$10*('계산 과정'!$C$38*(D1441-'계산 과정'!$C$32)+'계산 과정'!$D$38*(E1441-'계산 과정'!$D$32)-'계산 과정'!$E$38*'계산 과정'!$E$32)/J1441,"")</x:f>
        <x:v>0.8776919346617227</x:v>
      </x:c>
      <x:c r="L1441" s="4" t="n">
        <x:f>IF(AND('계산 과정'!$L$6,J1441&gt;0),'계산 과정'!$D$10*('계산 과정'!$C$39*(D1441-'계산 과정'!$C$32)+'계산 과정'!$D$39*(E1441-'계산 과정'!$D$32)-'계산 과정'!$E$39*'계산 과정'!$E$32)/J1441,"")</x:f>
        <x:v>1.1837324164241279</x:v>
      </x:c>
      <x:c r="M1441" s="17" t="n">
        <x:f>IF('계산 과정'!$L$6,IF(J1441&lt;=0,0,IF(AND(ABS(K1441)&lt;='계산 과정'!$D$11/2,ABS(L1441)&lt;='계산 과정'!$D$12/2),1,0)),"")</x:f>
        <x:v>1</x:v>
      </x:c>
      <x:c r="N1441" s="17" t="n">
        <x:f>IF('계산 과정'!$C$78,IF(AND(ISNUMBER(H1441),ISNUMBER(I1441),ABS(H1441-'계산 과정'!$C$88)&lt;='계산 과정'!$D$23/2,ABS(I1441-'계산 과정'!$C$89)&lt;='계산 과정'!$D$24/2),1,0),"")</x:f>
        <x:v>1</x:v>
      </x:c>
      <x:c r="O1441" s="4" t="n">
        <x:f>IF('계산 과정'!$L$7,'계산 과정'!$C$49*('계산 과정'!$C$32-D1441)+'계산 과정'!$D$49*('계산 과정'!$D$32-E1441)+'계산 과정'!$E$49*'계산 과정'!$E$32,"")</x:f>
        <x:v>64.26217103824956</x:v>
      </x:c>
      <x:c r="P1441" s="4" t="n">
        <x:f>IF(AND('계산 과정'!$L$7,O1441&lt;&gt;0),('계산 과정'!$L$23-'계산 과정'!$C$49*D1441-'계산 과정'!$D$49*E1441)/O1441,"")</x:f>
        <x:v>7.224501810900778</x:v>
      </x:c>
      <x:c r="Q1441" s="4" t="str">
        <x:f>IF(AND(ISNUMBER(P1441),P1441&gt;1E-9,P1441&lt;1-1E-9),'계산 과정'!$C$47*(D1441-'계산 과정'!$C$50+P1441*('계산 과정'!$C$32-D1441))+'계산 과정'!$D$47*(E1441-'계산 과정'!$D$50+P1441*('계산 과정'!$D$32-E1441))+'계산 과정'!$E$47*(0-'계산 과정'!$E$50+P1441*('계산 과정'!$E$32-0)),"")</x:f>
      </x:c>
      <x:c r="R1441" s="4" t="str">
        <x:f>IF(AND(ISNUMBER(P1441),P1441&gt;1E-9,P1441&lt;1-1E-9),'계산 과정'!$C$48*(D1441-'계산 과정'!$C$50+P1441*('계산 과정'!$C$32-D1441))+'계산 과정'!$D$48*(E1441-'계산 과정'!$D$50+P1441*('계산 과정'!$D$32-E1441))+'계산 과정'!$E$48*(0-'계산 과정'!$E$50+P1441*('계산 과정'!$E$32-0)),"")</x:f>
      </x:c>
      <x:c r="S1441" s="17" t="n">
        <x:f>IF('계산 과정'!$C$78,IF(AND(ISNUMBER(Q1441),ISNUMBER(R1441),ABS(Q1441-'계산 과정'!$C$88)&lt;='계산 과정'!$D$23/2,ABS(R1441-'계산 과정'!$C$89)&lt;='계산 과정'!$D$24/2),1,0),"")</x:f>
        <x:v>0</x:v>
      </x:c>
      <x:c r="T1441" s="4"/>
      <x:c r="U1441" s="4"/>
      <x:c r="V1441" s="4"/>
      <x:c r="W1441" s="4"/>
      <x:c r="X1441" s="4"/>
      <x:c r="Y1441" s="4"/>
      <x:c r="Z1441" s="4"/>
    </x:row>
    <x:row r="1442" ht="23" customHeight="1">
      <x:c r="A1442" s="17" t="n">
        <x:f>ROW()-6</x:f>
        <x:v>1436</x:v>
      </x:c>
      <x:c r="B1442" s="4" t="n">
        <x:f>IF('계산 과정'!$L$5,'계산 과정'!$L$11*SQRT((A1442+0.5)/'계산 과정'!$L$30),"")</x:f>
        <x:v>125.62587453053808</x:v>
      </x:c>
      <x:c r="C1442" s="4" t="n">
        <x:f>A1442*PI()*(3-SQRT(5))</x:f>
        <x:v>3446.3471978903453</x:v>
      </x:c>
      <x:c r="D1442" s="4" t="n">
        <x:f>IF('계산 과정'!$L$5,B1442*COS(C1442),"")</x:f>
        <x:v>-125.60060703118793</x:v>
      </x:c>
      <x:c r="E1442" s="4" t="n">
        <x:f>IF('계산 과정'!$L$5,B1442*SIN(C1442),"")</x:f>
        <x:v>-2.519496965586468</x:v>
      </x:c>
      <x:c r="F1442" s="4" t="n">
        <x:f>IF('계산 과정'!$L$7,'계산 과정'!$L$22+'계산 과정'!$C$49*D1442+'계산 과정'!$D$49*E1442,"")</x:f>
        <x:v>738.8130409528998</x:v>
      </x:c>
      <x:c r="G1442" s="4" t="n">
        <x:f>IF('계산 과정'!$L$7,IF(ABS(F1442)&gt;=1E-12*MAX(1,SQRT((D1442-'계산 과정'!$C$33)^2+(E1442-'계산 과정'!$D$33)^2+'계산 과정'!$E$33^2)),('계산 과정'!$L$23-'계산 과정'!$C$49*D1442-'계산 과정'!$D$49*E1442)/F1442,""),"")</x:f>
        <x:v>0.4211985195141389</x:v>
      </x:c>
      <x:c r="H1442" s="4" t="n">
        <x:f>IF(AND(ISNUMBER(G1442),G1442&gt;0),('계산 과정'!$D$56+'계산 과정'!$D$57*D1442+'계산 과정'!$D$58*E1442)/F1442,"")</x:f>
        <x:v>-126.22096231580984</x:v>
      </x:c>
      <x:c r="I1442" s="4" t="n">
        <x:f>IF(AND(ISNUMBER(G1442),G1442&gt;0),('계산 과정'!$E$56+'계산 과정'!$E$57*D1442+'계산 과정'!$E$58*E1442)/F1442,"")</x:f>
        <x:v>-3.5807053574118535</x:v>
      </x:c>
      <x:c r="J1442" s="4" t="n">
        <x:f>IF('계산 과정'!$L$5,'계산 과정'!$D$6+'계산 과정'!$C$35*D1442+'계산 과정'!$D$35*E1442,"")</x:f>
        <x:v>738.8130409528998</x:v>
      </x:c>
      <x:c r="K1442" s="4" t="n">
        <x:f>IF(AND('계산 과정'!$L$6,J1442&gt;0),'계산 과정'!$D$10*('계산 과정'!$C$38*(D1442-'계산 과정'!$C$32)+'계산 과정'!$D$38*(E1442-'계산 과정'!$D$32)-'계산 과정'!$E$38*'계산 과정'!$E$32)/J1442,"")</x:f>
        <x:v>-0.9616835224061688</x:v>
      </x:c>
      <x:c r="L1442" s="4" t="n">
        <x:f>IF(AND('계산 과정'!$L$6,J1442&gt;0),'계산 과정'!$D$10*('계산 과정'!$C$39*(D1442-'계산 과정'!$C$32)+'계산 과정'!$D$39*(E1442-'계산 과정'!$D$32)-'계산 과정'!$E$39*'계산 과정'!$E$32)/J1442,"")</x:f>
        <x:v>-0.027281564627899834</x:v>
      </x:c>
      <x:c r="M1442" s="17" t="n">
        <x:f>IF('계산 과정'!$L$6,IF(J1442&lt;=0,0,IF(AND(ABS(K1442)&lt;='계산 과정'!$D$11/2,ABS(L1442)&lt;='계산 과정'!$D$12/2),1,0)),"")</x:f>
        <x:v>1</x:v>
      </x:c>
      <x:c r="N1442" s="17" t="n">
        <x:f>IF('계산 과정'!$C$78,IF(AND(ISNUMBER(H1442),ISNUMBER(I1442),ABS(H1442-'계산 과정'!$C$88)&lt;='계산 과정'!$D$23/2,ABS(I1442-'계산 과정'!$C$89)&lt;='계산 과정'!$D$24/2),1,0),"")</x:f>
        <x:v>1</x:v>
      </x:c>
      <x:c r="O1442" s="4" t="n">
        <x:f>IF('계산 과정'!$L$7,'계산 과정'!$C$49*('계산 과정'!$C$32-D1442)+'계산 과정'!$D$49*('계산 과정'!$D$32-E1442)+'계산 과정'!$E$49*'계산 과정'!$E$32,"")</x:f>
        <x:v>-88.8130409528996</x:v>
      </x:c>
      <x:c r="P1442" s="4" t="n">
        <x:f>IF(AND('계산 과정'!$L$7,O1442&lt;&gt;0),('계산 과정'!$L$23-'계산 과정'!$C$49*D1442-'계산 과정'!$D$49*E1442)/O1442,"")</x:f>
        <x:v>-3.5038430810192915</x:v>
      </x:c>
      <x:c r="Q1442" s="4" t="str">
        <x:f>IF(AND(ISNUMBER(P1442),P1442&gt;1E-9,P1442&lt;1-1E-9),'계산 과정'!$C$47*(D1442-'계산 과정'!$C$50+P1442*('계산 과정'!$C$32-D1442))+'계산 과정'!$D$47*(E1442-'계산 과정'!$D$50+P1442*('계산 과정'!$D$32-E1442))+'계산 과정'!$E$47*(0-'계산 과정'!$E$50+P1442*('계산 과정'!$E$32-0)),"")</x:f>
      </x:c>
      <x:c r="R1442" s="4" t="str">
        <x:f>IF(AND(ISNUMBER(P1442),P1442&gt;1E-9,P1442&lt;1-1E-9),'계산 과정'!$C$48*(D1442-'계산 과정'!$C$50+P1442*('계산 과정'!$C$32-D1442))+'계산 과정'!$D$48*(E1442-'계산 과정'!$D$50+P1442*('계산 과정'!$D$32-E1442))+'계산 과정'!$E$48*(0-'계산 과정'!$E$50+P1442*('계산 과정'!$E$32-0)),"")</x:f>
      </x:c>
      <x:c r="S1442" s="17" t="n">
        <x:f>IF('계산 과정'!$C$78,IF(AND(ISNUMBER(Q1442),ISNUMBER(R1442),ABS(Q1442-'계산 과정'!$C$88)&lt;='계산 과정'!$D$23/2,ABS(R1442-'계산 과정'!$C$89)&lt;='계산 과정'!$D$24/2),1,0),"")</x:f>
        <x:v>0</x:v>
      </x:c>
      <x:c r="T1442" s="4"/>
      <x:c r="U1442" s="4"/>
      <x:c r="V1442" s="4"/>
      <x:c r="W1442" s="4"/>
      <x:c r="X1442" s="4"/>
      <x:c r="Y1442" s="4"/>
      <x:c r="Z1442" s="4"/>
    </x:row>
    <x:row r="1443" ht="23" customHeight="1">
      <x:c r="A1443" s="17" t="n">
        <x:f>ROW()-6</x:f>
        <x:v>1437</x:v>
      </x:c>
      <x:c r="B1443" s="4" t="n">
        <x:f>IF('계산 과정'!$L$5,'계산 과정'!$L$11*SQRT((A1443+0.5)/'계산 과정'!$L$30),"")</x:f>
        <x:v>125.66959329801102</x:v>
      </x:c>
      <x:c r="C1443" s="4" t="n">
        <x:f>A1443*PI()*(3-SQRT(5))</x:f>
        <x:v>3448.747161120074</x:v>
      </x:c>
      <x:c r="D1443" s="4" t="n">
        <x:f>IF('계산 과정'!$L$5,B1443*COS(C1443),"")</x:f>
        <x:v>94.34869708661485</x:v>
      </x:c>
      <x:c r="E1443" s="4" t="n">
        <x:f>IF('계산 과정'!$L$5,B1443*SIN(C1443),"")</x:f>
        <x:v>-83.01307148724044</x:v>
      </x:c>
      <x:c r="F1443" s="4" t="n">
        <x:f>IF('계산 과정'!$L$7,'계산 과정'!$L$22+'계산 과정'!$C$49*D1443+'계산 과정'!$D$49*E1443,"")</x:f>
        <x:v>583.2853964939392</x:v>
      </x:c>
      <x:c r="G1443" s="4" t="n">
        <x:f>IF('계산 과정'!$L$7,IF(ABS(F1443)&gt;=1E-12*MAX(1,SQRT((D1443-'계산 과정'!$C$33)^2+(E1443-'계산 과정'!$D$33)^2+'계산 과정'!$E$33^2)),('계산 과정'!$L$23-'계산 과정'!$C$49*D1443-'계산 과정'!$D$49*E1443)/F1443,""),"")</x:f>
        <x:v>0.8001479315467662</x:v>
      </x:c>
      <x:c r="H1443" s="4" t="n">
        <x:f>IF(AND(ISNUMBER(G1443),G1443&gt;0),('계산 과정'!$D$56+'계산 과정'!$D$57*D1443+'계산 과정'!$D$58*E1443)/F1443,"")</x:f>
        <x:v>120.09615550539792</x:v>
      </x:c>
      <x:c r="I1443" s="4" t="n">
        <x:f>IF(AND(ISNUMBER(G1443),G1443&gt;0),('계산 과정'!$E$56+'계산 과정'!$E$57*D1443+'계산 과정'!$E$58*E1443)/F1443,"")</x:f>
        <x:v>-149.4358089290997</x:v>
      </x:c>
      <x:c r="J1443" s="4" t="n">
        <x:f>IF('계산 과정'!$L$5,'계산 과정'!$D$6+'계산 과정'!$C$35*D1443+'계산 과정'!$D$35*E1443,"")</x:f>
        <x:v>583.2853964939392</x:v>
      </x:c>
      <x:c r="K1443" s="4" t="n">
        <x:f>IF(AND('계산 과정'!$L$6,J1443&gt;0),'계산 과정'!$D$10*('계산 과정'!$C$38*(D1443-'계산 과정'!$C$32)+'계산 과정'!$D$38*(E1443-'계산 과정'!$D$32)-'계산 과정'!$E$38*'계산 과정'!$E$32)/J1443,"")</x:f>
        <x:v>0.9150183276601754</x:v>
      </x:c>
      <x:c r="L1443" s="4" t="n">
        <x:f>IF(AND('계산 과정'!$L$6,J1443&gt;0),'계산 과정'!$D$10*('계산 과정'!$C$39*(D1443-'계산 과정'!$C$32)+'계산 과정'!$D$39*(E1443-'계산 과정'!$D$32)-'계산 과정'!$E$39*'계산 과정'!$E$32)/J1443,"")</x:f>
        <x:v>-1.138558544221712</x:v>
      </x:c>
      <x:c r="M1443" s="17" t="n">
        <x:f>IF('계산 과정'!$L$6,IF(J1443&lt;=0,0,IF(AND(ABS(K1443)&lt;='계산 과정'!$D$11/2,ABS(L1443)&lt;='계산 과정'!$D$12/2),1,0)),"")</x:f>
        <x:v>1</x:v>
      </x:c>
      <x:c r="N1443" s="17" t="n">
        <x:f>IF('계산 과정'!$C$78,IF(AND(ISNUMBER(H1443),ISNUMBER(I1443),ABS(H1443-'계산 과정'!$C$88)&lt;='계산 과정'!$D$23/2,ABS(I1443-'계산 과정'!$C$89)&lt;='계산 과정'!$D$24/2),1,0),"")</x:f>
        <x:v>1</x:v>
      </x:c>
      <x:c r="O1443" s="4" t="n">
        <x:f>IF('계산 과정'!$L$7,'계산 과정'!$C$49*('계산 과정'!$C$32-D1443)+'계산 과정'!$D$49*('계산 과정'!$D$32-E1443)+'계산 과정'!$E$49*'계산 과정'!$E$32,"")</x:f>
        <x:v>66.71460350606094</x:v>
      </x:c>
      <x:c r="P1443" s="4" t="n">
        <x:f>IF(AND('계산 과정'!$L$7,O1443&lt;&gt;0),('계산 과정'!$L$23-'계산 과정'!$C$49*D1443-'계산 과정'!$D$49*E1443)/O1443,"")</x:f>
        <x:v>6.995688784445228</x:v>
      </x:c>
      <x:c r="Q1443" s="4" t="str">
        <x:f>IF(AND(ISNUMBER(P1443),P1443&gt;1E-9,P1443&lt;1-1E-9),'계산 과정'!$C$47*(D1443-'계산 과정'!$C$50+P1443*('계산 과정'!$C$32-D1443))+'계산 과정'!$D$47*(E1443-'계산 과정'!$D$50+P1443*('계산 과정'!$D$32-E1443))+'계산 과정'!$E$47*(0-'계산 과정'!$E$50+P1443*('계산 과정'!$E$32-0)),"")</x:f>
      </x:c>
      <x:c r="R1443" s="4" t="str">
        <x:f>IF(AND(ISNUMBER(P1443),P1443&gt;1E-9,P1443&lt;1-1E-9),'계산 과정'!$C$48*(D1443-'계산 과정'!$C$50+P1443*('계산 과정'!$C$32-D1443))+'계산 과정'!$D$48*(E1443-'계산 과정'!$D$50+P1443*('계산 과정'!$D$32-E1443))+'계산 과정'!$E$48*(0-'계산 과정'!$E$50+P1443*('계산 과정'!$E$32-0)),"")</x:f>
      </x:c>
      <x:c r="S1443" s="17" t="n">
        <x:f>IF('계산 과정'!$C$78,IF(AND(ISNUMBER(Q1443),ISNUMBER(R1443),ABS(Q1443-'계산 과정'!$C$88)&lt;='계산 과정'!$D$23/2,ABS(R1443-'계산 과정'!$C$89)&lt;='계산 과정'!$D$24/2),1,0),"")</x:f>
        <x:v>0</x:v>
      </x:c>
      <x:c r="T1443" s="4"/>
      <x:c r="U1443" s="4"/>
      <x:c r="V1443" s="4"/>
      <x:c r="W1443" s="4"/>
      <x:c r="X1443" s="4"/>
      <x:c r="Y1443" s="4"/>
      <x:c r="Z1443" s="4"/>
    </x:row>
    <x:row r="1444" ht="23" customHeight="1">
      <x:c r="A1444" s="17" t="n">
        <x:f>ROW()-6</x:f>
        <x:v>1438</x:v>
      </x:c>
      <x:c r="B1444" s="4" t="n">
        <x:f>IF('계산 과정'!$L$5,'계산 과정'!$L$11*SQRT((A1444+0.5)/'계산 과정'!$L$30),"")</x:f>
        <x:v>125.71329686159893</x:v>
      </x:c>
      <x:c r="C1444" s="4" t="n">
        <x:f>A1444*PI()*(3-SQRT(5))</x:f>
        <x:v>3451.147124349803</x:v>
      </x:c>
      <x:c r="D1444" s="4" t="n">
        <x:f>IF('계산 과정'!$L$5,B1444*COS(C1444),"")</x:f>
        <x:v>-13.499962022981855</x:v>
      </x:c>
      <x:c r="E1444" s="4" t="n">
        <x:f>IF('계산 과정'!$L$5,B1444*SIN(C1444),"")</x:f>
        <x:v>124.98633538587548</x:v>
      </x:c>
      <x:c r="F1444" s="4" t="n">
        <x:f>IF('계산 과정'!$L$7,'계산 과정'!$L$22+'계산 과정'!$C$49*D1444+'계산 과정'!$D$49*E1444,"")</x:f>
        <x:v>659.5459146922113</x:v>
      </x:c>
      <x:c r="G1444" s="4" t="n">
        <x:f>IF('계산 과정'!$L$7,IF(ABS(F1444)&gt;=1E-12*MAX(1,SQRT((D1444-'계산 과정'!$C$33)^2+(E1444-'계산 과정'!$D$33)^2+'계산 과정'!$E$33^2)),('계산 과정'!$L$23-'계산 과정'!$C$49*D1444-'계산 과정'!$D$49*E1444)/F1444,""),"")</x:f>
        <x:v>0.5920044027412419</x:v>
      </x:c>
      <x:c r="H1444" s="4" t="n">
        <x:f>IF(AND(ISNUMBER(G1444),G1444&gt;0),('계산 과정'!$D$56+'계산 과정'!$D$57*D1444+'계산 과정'!$D$58*E1444)/F1444,"")</x:f>
        <x:v>-15.197138218192864</x:v>
      </x:c>
      <x:c r="I1444" s="4" t="n">
        <x:f>IF(AND(ISNUMBER(G1444),G1444&gt;0),('계산 과정'!$E$56+'계산 과정'!$E$57*D1444+'계산 과정'!$E$58*E1444)/F1444,"")</x:f>
        <x:v>198.97879621680724</x:v>
      </x:c>
      <x:c r="J1444" s="4" t="n">
        <x:f>IF('계산 과정'!$L$5,'계산 과정'!$D$6+'계산 과정'!$C$35*D1444+'계산 과정'!$D$35*E1444,"")</x:f>
        <x:v>659.5459146922113</x:v>
      </x:c>
      <x:c r="K1444" s="4" t="n">
        <x:f>IF(AND('계산 과정'!$L$6,J1444&gt;0),'계산 과정'!$D$10*('계산 과정'!$C$38*(D1444-'계산 과정'!$C$32)+'계산 과정'!$D$38*(E1444-'계산 과정'!$D$32)-'계산 과정'!$E$38*'계산 과정'!$E$32)/J1444,"")</x:f>
        <x:v>-0.11578771975765845</x:v>
      </x:c>
      <x:c r="L1444" s="4" t="n">
        <x:f>IF(AND('계산 과정'!$L$6,J1444&gt;0),'계산 과정'!$D$10*('계산 과정'!$C$39*(D1444-'계산 과정'!$C$32)+'계산 과정'!$D$39*(E1444-'계산 과정'!$D$32)-'계산 과정'!$E$39*'계산 과정'!$E$32)/J1444,"")</x:f>
        <x:v>1.5160289235566267</x:v>
      </x:c>
      <x:c r="M1444" s="17" t="n">
        <x:f>IF('계산 과정'!$L$6,IF(J1444&lt;=0,0,IF(AND(ABS(K1444)&lt;='계산 과정'!$D$11/2,ABS(L1444)&lt;='계산 과정'!$D$12/2),1,0)),"")</x:f>
        <x:v>1</x:v>
      </x:c>
      <x:c r="N1444" s="17" t="n">
        <x:f>IF('계산 과정'!$C$78,IF(AND(ISNUMBER(H1444),ISNUMBER(I1444),ABS(H1444-'계산 과정'!$C$88)&lt;='계산 과정'!$D$23/2,ABS(I1444-'계산 과정'!$C$89)&lt;='계산 과정'!$D$24/2),1,0),"")</x:f>
        <x:v>1</x:v>
      </x:c>
      <x:c r="O1444" s="4" t="n">
        <x:f>IF('계산 과정'!$L$7,'계산 과정'!$C$49*('계산 과정'!$C$32-D1444)+'계산 과정'!$D$49*('계산 과정'!$D$32-E1444)+'계산 과정'!$E$49*'계산 과정'!$E$32,"")</x:f>
        <x:v>-9.545914692211227</x:v>
      </x:c>
      <x:c r="P1444" s="4" t="n">
        <x:f>IF(AND('계산 과정'!$L$7,O1444&lt;&gt;0),('계산 과정'!$L$23-'계산 과정'!$C$49*D1444-'계산 과정'!$D$49*E1444)/O1444,"")</x:f>
        <x:v>-40.90274194743966</x:v>
      </x:c>
      <x:c r="Q1444" s="4" t="str">
        <x:f>IF(AND(ISNUMBER(P1444),P1444&gt;1E-9,P1444&lt;1-1E-9),'계산 과정'!$C$47*(D1444-'계산 과정'!$C$50+P1444*('계산 과정'!$C$32-D1444))+'계산 과정'!$D$47*(E1444-'계산 과정'!$D$50+P1444*('계산 과정'!$D$32-E1444))+'계산 과정'!$E$47*(0-'계산 과정'!$E$50+P1444*('계산 과정'!$E$32-0)),"")</x:f>
      </x:c>
      <x:c r="R1444" s="4" t="str">
        <x:f>IF(AND(ISNUMBER(P1444),P1444&gt;1E-9,P1444&lt;1-1E-9),'계산 과정'!$C$48*(D1444-'계산 과정'!$C$50+P1444*('계산 과정'!$C$32-D1444))+'계산 과정'!$D$48*(E1444-'계산 과정'!$D$50+P1444*('계산 과정'!$D$32-E1444))+'계산 과정'!$E$48*(0-'계산 과정'!$E$50+P1444*('계산 과정'!$E$32-0)),"")</x:f>
      </x:c>
      <x:c r="S1444" s="17" t="n">
        <x:f>IF('계산 과정'!$C$78,IF(AND(ISNUMBER(Q1444),ISNUMBER(R1444),ABS(Q1444-'계산 과정'!$C$88)&lt;='계산 과정'!$D$23/2,ABS(R1444-'계산 과정'!$C$89)&lt;='계산 과정'!$D$24/2),1,0),"")</x:f>
        <x:v>0</x:v>
      </x:c>
      <x:c r="T1444" s="4"/>
      <x:c r="U1444" s="4"/>
      <x:c r="V1444" s="4"/>
      <x:c r="W1444" s="4"/>
      <x:c r="X1444" s="4"/>
      <x:c r="Y1444" s="4"/>
      <x:c r="Z1444" s="4"/>
    </x:row>
    <x:row r="1445" ht="23" customHeight="1">
      <x:c r="A1445" s="17" t="n">
        <x:f>ROW()-6</x:f>
        <x:v>1439</x:v>
      </x:c>
      <x:c r="B1445" s="4" t="n">
        <x:f>IF('계산 과정'!$L$5,'계산 과정'!$L$11*SQRT((A1445+0.5)/'계산 과정'!$L$30),"")</x:f>
        <x:v>125.75698523715292</x:v>
      </x:c>
      <x:c r="C1445" s="4" t="n">
        <x:f>A1445*PI()*(3-SQRT(5))</x:f>
        <x:v>3453.5470875795313</x:v>
      </x:c>
      <x:c r="D1445" s="4" t="n">
        <x:f>IF('계산 과정'!$L$5,B1445*COS(C1445),"")</x:f>
        <x:v>-74.49848562773958</x:v>
      </x:c>
      <x:c r="E1445" s="4" t="n">
        <x:f>IF('계산 과정'!$L$5,B1445*SIN(C1445),"")</x:f>
        <x:v>-101.31532448307598</x:v>
      </x:c>
      <x:c r="F1445" s="4" t="n">
        <x:f>IF('계산 과정'!$L$7,'계산 과정'!$L$22+'계산 과정'!$C$49*D1445+'계산 과정'!$D$49*E1445,"")</x:f>
        <x:v>702.6783843755032</x:v>
      </x:c>
      <x:c r="G1445" s="4" t="n">
        <x:f>IF('계산 과정'!$L$7,IF(ABS(F1445)&gt;=1E-12*MAX(1,SQRT((D1445-'계산 과정'!$C$33)^2+(E1445-'계산 과정'!$D$33)^2+'계산 과정'!$E$33^2)),('계산 과정'!$L$23-'계산 과정'!$C$49*D1445-'계산 과정'!$D$49*E1445)/F1445,""),"")</x:f>
        <x:v>0.49428248164083577</x:v>
      </x:c>
      <x:c r="H1445" s="4" t="n">
        <x:f>IF(AND(ISNUMBER(G1445),G1445&gt;0),('계산 과정'!$D$56+'계산 과정'!$D$57*D1445+'계산 과정'!$D$58*E1445)/F1445,"")</x:f>
        <x:v>-78.71638693345687</x:v>
      </x:c>
      <x:c r="I1445" s="4" t="n">
        <x:f>IF(AND(ISNUMBER(G1445),G1445&gt;0),('계산 과정'!$E$56+'계산 과정'!$E$57*D1445+'계산 과정'!$E$58*E1445)/F1445,"")</x:f>
        <x:v>-151.3937144968173</x:v>
      </x:c>
      <x:c r="J1445" s="4" t="n">
        <x:f>IF('계산 과정'!$L$5,'계산 과정'!$D$6+'계산 과정'!$C$35*D1445+'계산 과정'!$D$35*E1445,"")</x:f>
        <x:v>702.6783843755032</x:v>
      </x:c>
      <x:c r="K1445" s="4" t="n">
        <x:f>IF(AND('계산 과정'!$L$6,J1445&gt;0),'계산 과정'!$D$10*('계산 과정'!$C$38*(D1445-'계산 과정'!$C$32)+'계산 과정'!$D$38*(E1445-'계산 과정'!$D$32)-'계산 과정'!$E$38*'계산 과정'!$E$32)/J1445,"")</x:f>
        <x:v>-0.5997439004453846</x:v>
      </x:c>
      <x:c r="L1445" s="4" t="n">
        <x:f>IF(AND('계산 과정'!$L$6,J1445&gt;0),'계산 과정'!$D$10*('계산 과정'!$C$39*(D1445-'계산 과정'!$C$32)+'계산 과정'!$D$39*(E1445-'계산 과정'!$D$32)-'계산 과정'!$E$39*'계산 과정'!$E$32)/J1445,"")</x:f>
        <x:v>-1.153475919975751</x:v>
      </x:c>
      <x:c r="M1445" s="17" t="n">
        <x:f>IF('계산 과정'!$L$6,IF(J1445&lt;=0,0,IF(AND(ABS(K1445)&lt;='계산 과정'!$D$11/2,ABS(L1445)&lt;='계산 과정'!$D$12/2),1,0)),"")</x:f>
        <x:v>1</x:v>
      </x:c>
      <x:c r="N1445" s="17" t="n">
        <x:f>IF('계산 과정'!$C$78,IF(AND(ISNUMBER(H1445),ISNUMBER(I1445),ABS(H1445-'계산 과정'!$C$88)&lt;='계산 과정'!$D$23/2,ABS(I1445-'계산 과정'!$C$89)&lt;='계산 과정'!$D$24/2),1,0),"")</x:f>
        <x:v>1</x:v>
      </x:c>
      <x:c r="O1445" s="4" t="n">
        <x:f>IF('계산 과정'!$L$7,'계산 과정'!$C$49*('계산 과정'!$C$32-D1445)+'계산 과정'!$D$49*('계산 과정'!$D$32-E1445)+'계산 과정'!$E$49*'계산 과정'!$E$32,"")</x:f>
        <x:v>-52.67838437550307</x:v>
      </x:c>
      <x:c r="P1445" s="4" t="n">
        <x:f>IF(AND('계산 과정'!$L$7,O1445&lt;&gt;0),('계산 과정'!$L$23-'계산 과정'!$C$49*D1445-'계산 과정'!$D$49*E1445)/O1445,"")</x:f>
        <x:v>-6.59324730137341</x:v>
      </x:c>
      <x:c r="Q1445" s="4" t="str">
        <x:f>IF(AND(ISNUMBER(P1445),P1445&gt;1E-9,P1445&lt;1-1E-9),'계산 과정'!$C$47*(D1445-'계산 과정'!$C$50+P1445*('계산 과정'!$C$32-D1445))+'계산 과정'!$D$47*(E1445-'계산 과정'!$D$50+P1445*('계산 과정'!$D$32-E1445))+'계산 과정'!$E$47*(0-'계산 과정'!$E$50+P1445*('계산 과정'!$E$32-0)),"")</x:f>
      </x:c>
      <x:c r="R1445" s="4" t="str">
        <x:f>IF(AND(ISNUMBER(P1445),P1445&gt;1E-9,P1445&lt;1-1E-9),'계산 과정'!$C$48*(D1445-'계산 과정'!$C$50+P1445*('계산 과정'!$C$32-D1445))+'계산 과정'!$D$48*(E1445-'계산 과정'!$D$50+P1445*('계산 과정'!$D$32-E1445))+'계산 과정'!$E$48*(0-'계산 과정'!$E$50+P1445*('계산 과정'!$E$32-0)),"")</x:f>
      </x:c>
      <x:c r="S1445" s="17" t="n">
        <x:f>IF('계산 과정'!$C$78,IF(AND(ISNUMBER(Q1445),ISNUMBER(R1445),ABS(Q1445-'계산 과정'!$C$88)&lt;='계산 과정'!$D$23/2,ABS(R1445-'계산 과정'!$C$89)&lt;='계산 과정'!$D$24/2),1,0),"")</x:f>
        <x:v>0</x:v>
      </x:c>
      <x:c r="T1445" s="4"/>
      <x:c r="U1445" s="4"/>
      <x:c r="V1445" s="4"/>
      <x:c r="W1445" s="4"/>
      <x:c r="X1445" s="4"/>
      <x:c r="Y1445" s="4"/>
      <x:c r="Z1445" s="4"/>
    </x:row>
    <x:row r="1446" ht="23" customHeight="1">
      <x:c r="A1446" s="17" t="n">
        <x:f>ROW()-6</x:f>
        <x:v>1440</x:v>
      </x:c>
      <x:c r="B1446" s="4" t="n">
        <x:f>IF('계산 과정'!$L$5,'계산 과정'!$L$11*SQRT((A1446+0.5)/'계산 과정'!$L$30),"")</x:f>
        <x:v>125.80065844049665</x:v>
      </x:c>
      <x:c r="C1446" s="4" t="n">
        <x:f>A1446*PI()*(3-SQRT(5))</x:f>
        <x:v>3455.9470508092604</x:v>
      </x:c>
      <x:c r="D1446" s="4" t="n">
        <x:f>IF('계산 과정'!$L$5,B1446*COS(C1446),"")</x:f>
        <x:v>123.41322749225655</x:v>
      </x:c>
      <x:c r="E1446" s="4" t="n">
        <x:f>IF('계산 과정'!$L$5,B1446*SIN(C1446),"")</x:f>
        <x:v>24.392231222400135</x:v>
      </x:c>
      <x:c r="F1446" s="4" t="n">
        <x:f>IF('계산 과정'!$L$7,'계산 과정'!$L$22+'계산 과정'!$C$49*D1446+'계산 과정'!$D$49*E1446,"")</x:f>
        <x:v>562.7336699521073</x:v>
      </x:c>
      <x:c r="G1446" s="4" t="n">
        <x:f>IF('계산 과정'!$L$7,IF(ABS(F1446)&gt;=1E-12*MAX(1,SQRT((D1446-'계산 과정'!$C$33)^2+(E1446-'계산 과정'!$D$33)^2+'계산 과정'!$E$33^2)),('계산 과정'!$L$23-'계산 과정'!$C$49*D1446-'계산 과정'!$D$49*E1446)/F1446,""),"")</x:f>
        <x:v>0.8658915505968614</x:v>
      </x:c>
      <x:c r="H1446" s="4" t="n">
        <x:f>IF(AND(ISNUMBER(G1446),G1446&gt;0),('계산 과정'!$D$56+'계산 과정'!$D$57*D1446+'계산 과정'!$D$58*E1446)/F1446,"")</x:f>
        <x:v>162.82950788795983</x:v>
      </x:c>
      <x:c r="I1446" s="4" t="n">
        <x:f>IF(AND(ISNUMBER(G1446),G1446&gt;0),('계산 과정'!$E$56+'계산 과정'!$E$57*D1446+'계산 과정'!$E$58*E1446)/F1446,"")</x:f>
        <x:v>45.51325813808136</x:v>
      </x:c>
      <x:c r="J1446" s="4" t="n">
        <x:f>IF('계산 과정'!$L$5,'계산 과정'!$D$6+'계산 과정'!$C$35*D1446+'계산 과정'!$D$35*E1446,"")</x:f>
        <x:v>562.7336699521073</x:v>
      </x:c>
      <x:c r="K1446" s="4" t="n">
        <x:f>IF(AND('계산 과정'!$L$6,J1446&gt;0),'계산 과정'!$D$10*('계산 과정'!$C$38*(D1446-'계산 과정'!$C$32)+'계산 과정'!$D$38*(E1446-'계산 과정'!$D$32)-'계산 과정'!$E$38*'계산 과정'!$E$32)/J1446,"")</x:f>
        <x:v>1.240605774384457</x:v>
      </x:c>
      <x:c r="L1446" s="4" t="n">
        <x:f>IF(AND('계산 과정'!$L$6,J1446&gt;0),'계산 과정'!$D$10*('계산 과정'!$C$39*(D1446-'계산 과정'!$C$32)+'계산 과정'!$D$39*(E1446-'계산 과정'!$D$32)-'계산 과정'!$E$39*'계산 과정'!$E$32)/J1446,"")</x:f>
        <x:v>0.34676768105204847</x:v>
      </x:c>
      <x:c r="M1446" s="17" t="n">
        <x:f>IF('계산 과정'!$L$6,IF(J1446&lt;=0,0,IF(AND(ABS(K1446)&lt;='계산 과정'!$D$11/2,ABS(L1446)&lt;='계산 과정'!$D$12/2),1,0)),"")</x:f>
        <x:v>1</x:v>
      </x:c>
      <x:c r="N1446" s="17" t="n">
        <x:f>IF('계산 과정'!$C$78,IF(AND(ISNUMBER(H1446),ISNUMBER(I1446),ABS(H1446-'계산 과정'!$C$88)&lt;='계산 과정'!$D$23/2,ABS(I1446-'계산 과정'!$C$89)&lt;='계산 과정'!$D$24/2),1,0),"")</x:f>
        <x:v>1</x:v>
      </x:c>
      <x:c r="O1446" s="4" t="n">
        <x:f>IF('계산 과정'!$L$7,'계산 과정'!$C$49*('계산 과정'!$C$32-D1446)+'계산 과정'!$D$49*('계산 과정'!$D$32-E1446)+'계산 과정'!$E$49*'계산 과정'!$E$32,"")</x:f>
        <x:v>87.26633004789278</x:v>
      </x:c>
      <x:c r="P1446" s="4" t="n">
        <x:f>IF(AND('계산 과정'!$L$7,O1446&lt;&gt;0),('계산 과정'!$L$23-'계산 과정'!$C$49*D1446-'계산 과정'!$D$49*E1446)/O1446,"")</x:f>
        <x:v>5.583669323328657</x:v>
      </x:c>
      <x:c r="Q1446" s="4" t="str">
        <x:f>IF(AND(ISNUMBER(P1446),P1446&gt;1E-9,P1446&lt;1-1E-9),'계산 과정'!$C$47*(D1446-'계산 과정'!$C$50+P1446*('계산 과정'!$C$32-D1446))+'계산 과정'!$D$47*(E1446-'계산 과정'!$D$50+P1446*('계산 과정'!$D$32-E1446))+'계산 과정'!$E$47*(0-'계산 과정'!$E$50+P1446*('계산 과정'!$E$32-0)),"")</x:f>
      </x:c>
      <x:c r="R1446" s="4" t="str">
        <x:f>IF(AND(ISNUMBER(P1446),P1446&gt;1E-9,P1446&lt;1-1E-9),'계산 과정'!$C$48*(D1446-'계산 과정'!$C$50+P1446*('계산 과정'!$C$32-D1446))+'계산 과정'!$D$48*(E1446-'계산 과정'!$D$50+P1446*('계산 과정'!$D$32-E1446))+'계산 과정'!$E$48*(0-'계산 과정'!$E$50+P1446*('계산 과정'!$E$32-0)),"")</x:f>
      </x:c>
      <x:c r="S1446" s="17" t="n">
        <x:f>IF('계산 과정'!$C$78,IF(AND(ISNUMBER(Q1446),ISNUMBER(R1446),ABS(Q1446-'계산 과정'!$C$88)&lt;='계산 과정'!$D$23/2,ABS(R1446-'계산 과정'!$C$89)&lt;='계산 과정'!$D$24/2),1,0),"")</x:f>
        <x:v>0</x:v>
      </x:c>
      <x:c r="T1446" s="4"/>
      <x:c r="U1446" s="4"/>
      <x:c r="V1446" s="4"/>
      <x:c r="W1446" s="4"/>
      <x:c r="X1446" s="4"/>
      <x:c r="Y1446" s="4"/>
      <x:c r="Z1446" s="4"/>
    </x:row>
    <x:row r="1447" ht="23" customHeight="1">
      <x:c r="A1447" s="17" t="n">
        <x:f>ROW()-6</x:f>
        <x:v>1441</x:v>
      </x:c>
      <x:c r="B1447" s="4" t="n">
        <x:f>IF('계산 과정'!$L$5,'계산 과정'!$L$11*SQRT((A1447+0.5)/'계산 과정'!$L$30),"")</x:f>
        <x:v>125.84431648742624</x:v>
      </x:c>
      <x:c r="C1447" s="4" t="n">
        <x:f>A1447*PI()*(3-SQRT(5))</x:f>
        <x:v>3458.347014038989</x:v>
      </x:c>
      <x:c r="D1447" s="4" t="n">
        <x:f>IF('계산 과정'!$L$5,B1447*COS(C1447),"")</x:f>
        <x:v>-107.51508779311133</x:v>
      </x:c>
      <x:c r="E1447" s="4" t="n">
        <x:f>IF('계산 과정'!$L$5,B1447*SIN(C1447),"")</x:f>
        <x:v>65.40105418895831</x:v>
      </x:c>
      <x:c r="F1447" s="4" t="n">
        <x:f>IF('계산 과정'!$L$7,'계산 과정'!$L$22+'계산 과정'!$C$49*D1447+'계산 과정'!$D$49*E1447,"")</x:f>
        <x:v>726.024647658376</x:v>
      </x:c>
      <x:c r="G1447" s="4" t="n">
        <x:f>IF('계산 과정'!$L$7,IF(ABS(F1447)&gt;=1E-12*MAX(1,SQRT((D1447-'계산 과정'!$C$33)^2+(E1447-'계산 과정'!$D$33)^2+'계산 과정'!$E$33^2)),('계산 과정'!$L$23-'계산 과정'!$C$49*D1447-'계산 과정'!$D$49*E1447)/F1447,""),"")</x:f>
        <x:v>0.44623189224571275</x:v>
      </x:c>
      <x:c r="H1447" s="4" t="n">
        <x:f>IF(AND(ISNUMBER(G1447),G1447&gt;0),('계산 과정'!$D$56+'계산 과정'!$D$57*D1447+'계산 과정'!$D$58*E1447)/F1447,"")</x:f>
        <x:v>-109.94927004028688</x:v>
      </x:c>
      <x:c r="I1447" s="4" t="n">
        <x:f>IF(AND(ISNUMBER(G1447),G1447&gt;0),('계산 과정'!$E$56+'계산 과정'!$E$57*D1447+'계산 과정'!$E$58*E1447)/F1447,"")</x:f>
        <x:v>94.58509035456157</x:v>
      </x:c>
      <x:c r="J1447" s="4" t="n">
        <x:f>IF('계산 과정'!$L$5,'계산 과정'!$D$6+'계산 과정'!$C$35*D1447+'계산 과정'!$D$35*E1447,"")</x:f>
        <x:v>726.024647658376</x:v>
      </x:c>
      <x:c r="K1447" s="4" t="n">
        <x:f>IF(AND('계산 과정'!$L$6,J1447&gt;0),'계산 과정'!$D$10*('계산 과정'!$C$38*(D1447-'계산 과정'!$C$32)+'계산 과정'!$D$38*(E1447-'계산 과정'!$D$32)-'계산 과정'!$E$38*'계산 과정'!$E$32)/J1447,"")</x:f>
        <x:v>-0.8377087241164703</x:v>
      </x:c>
      <x:c r="L1447" s="4" t="n">
        <x:f>IF(AND('계산 과정'!$L$6,J1447&gt;0),'계산 과정'!$D$10*('계산 과정'!$C$39*(D1447-'계산 과정'!$C$32)+'계산 과정'!$D$39*(E1447-'계산 과정'!$D$32)-'계산 과정'!$E$39*'계산 과정'!$E$32)/J1447,"")</x:f>
        <x:v>0.7206483074633263</x:v>
      </x:c>
      <x:c r="M1447" s="17" t="n">
        <x:f>IF('계산 과정'!$L$6,IF(J1447&lt;=0,0,IF(AND(ABS(K1447)&lt;='계산 과정'!$D$11/2,ABS(L1447)&lt;='계산 과정'!$D$12/2),1,0)),"")</x:f>
        <x:v>1</x:v>
      </x:c>
      <x:c r="N1447" s="17" t="n">
        <x:f>IF('계산 과정'!$C$78,IF(AND(ISNUMBER(H1447),ISNUMBER(I1447),ABS(H1447-'계산 과정'!$C$88)&lt;='계산 과정'!$D$23/2,ABS(I1447-'계산 과정'!$C$89)&lt;='계산 과정'!$D$24/2),1,0),"")</x:f>
        <x:v>1</x:v>
      </x:c>
      <x:c r="O1447" s="4" t="n">
        <x:f>IF('계산 과정'!$L$7,'계산 과정'!$C$49*('계산 과정'!$C$32-D1447)+'계산 과정'!$D$49*('계산 과정'!$D$32-E1447)+'계산 과정'!$E$49*'계산 과정'!$E$32,"")</x:f>
        <x:v>-76.0246476583759</x:v>
      </x:c>
      <x:c r="P1447" s="4" t="n">
        <x:f>IF(AND('계산 과정'!$L$7,O1447&lt;&gt;0),('계산 과정'!$L$23-'계산 과정'!$C$49*D1447-'계산 과정'!$D$49*E1447)/O1447,"")</x:f>
        <x:v>-4.261451546575244</x:v>
      </x:c>
      <x:c r="Q1447" s="4" t="str">
        <x:f>IF(AND(ISNUMBER(P1447),P1447&gt;1E-9,P1447&lt;1-1E-9),'계산 과정'!$C$47*(D1447-'계산 과정'!$C$50+P1447*('계산 과정'!$C$32-D1447))+'계산 과정'!$D$47*(E1447-'계산 과정'!$D$50+P1447*('계산 과정'!$D$32-E1447))+'계산 과정'!$E$47*(0-'계산 과정'!$E$50+P1447*('계산 과정'!$E$32-0)),"")</x:f>
      </x:c>
      <x:c r="R1447" s="4" t="str">
        <x:f>IF(AND(ISNUMBER(P1447),P1447&gt;1E-9,P1447&lt;1-1E-9),'계산 과정'!$C$48*(D1447-'계산 과정'!$C$50+P1447*('계산 과정'!$C$32-D1447))+'계산 과정'!$D$48*(E1447-'계산 과정'!$D$50+P1447*('계산 과정'!$D$32-E1447))+'계산 과정'!$E$48*(0-'계산 과정'!$E$50+P1447*('계산 과정'!$E$32-0)),"")</x:f>
      </x:c>
      <x:c r="S1447" s="17" t="n">
        <x:f>IF('계산 과정'!$C$78,IF(AND(ISNUMBER(Q1447),ISNUMBER(R1447),ABS(Q1447-'계산 과정'!$C$88)&lt;='계산 과정'!$D$23/2,ABS(R1447-'계산 과정'!$C$89)&lt;='계산 과정'!$D$24/2),1,0),"")</x:f>
        <x:v>0</x:v>
      </x:c>
      <x:c r="T1447" s="4"/>
      <x:c r="U1447" s="4"/>
      <x:c r="V1447" s="4"/>
      <x:c r="W1447" s="4"/>
      <x:c r="X1447" s="4"/>
      <x:c r="Y1447" s="4"/>
      <x:c r="Z1447" s="4"/>
    </x:row>
    <x:row r="1448" ht="23" customHeight="1">
      <x:c r="A1448" s="17" t="n">
        <x:f>ROW()-6</x:f>
        <x:v>1442</x:v>
      </x:c>
      <x:c r="B1448" s="4" t="n">
        <x:f>IF('계산 과정'!$L$5,'계산 과정'!$L$11*SQRT((A1448+0.5)/'계산 과정'!$L$30),"")</x:f>
        <x:v>125.88795939371047</x:v>
      </x:c>
      <x:c r="C1448" s="4" t="n">
        <x:f>A1448*PI()*(3-SQRT(5))</x:f>
        <x:v>3460.7469772687173</x:v>
      </x:c>
      <x:c r="D1448" s="4" t="n">
        <x:f>IF('계산 과정'!$L$5,B1448*COS(C1448),"")</x:f>
        <x:v>35.11267520468255</x:v>
      </x:c>
      <x:c r="E1448" s="4" t="n">
        <x:f>IF('계산 과정'!$L$5,B1448*SIN(C1448),"")</x:f>
        <x:v>-120.89201115161815</x:v>
      </x:c>
      <x:c r="F1448" s="4" t="n">
        <x:f>IF('계산 과정'!$L$7,'계산 과정'!$L$22+'계산 과정'!$C$49*D1448+'계산 과정'!$D$49*E1448,"")</x:f>
        <x:v>625.1715892571682</x:v>
      </x:c>
      <x:c r="G1448" s="4" t="n">
        <x:f>IF('계산 과정'!$L$7,IF(ABS(F1448)&gt;=1E-12*MAX(1,SQRT((D1448-'계산 과정'!$C$33)^2+(E1448-'계산 과정'!$D$33)^2+'계산 과정'!$E$33^2)),('계산 과정'!$L$23-'계산 과정'!$C$49*D1448-'계산 과정'!$D$49*E1448)/F1448,""),"")</x:f>
        <x:v>0.6795388946698856</x:v>
      </x:c>
      <x:c r="H1448" s="4" t="n">
        <x:f>IF(AND(ISNUMBER(G1448),G1448&gt;0),('계산 과정'!$D$56+'계산 과정'!$D$57*D1448+'계산 과정'!$D$58*E1448)/F1448,"")</x:f>
        <x:v>41.700281535425496</x:v>
      </x:c>
      <x:c r="I1448" s="4" t="n">
        <x:f>IF(AND(ISNUMBER(G1448),G1448&gt;0),('계산 과정'!$E$56+'계산 과정'!$E$57*D1448+'계산 과정'!$E$58*E1448)/F1448,"")</x:f>
        <x:v>-203.04283478400825</x:v>
      </x:c>
      <x:c r="J1448" s="4" t="n">
        <x:f>IF('계산 과정'!$L$5,'계산 과정'!$D$6+'계산 과정'!$C$35*D1448+'계산 과정'!$D$35*E1448,"")</x:f>
        <x:v>625.1715892571682</x:v>
      </x:c>
      <x:c r="K1448" s="4" t="n">
        <x:f>IF(AND('계산 과정'!$L$6,J1448&gt;0),'계산 과정'!$D$10*('계산 과정'!$C$38*(D1448-'계산 과정'!$C$32)+'계산 과정'!$D$38*(E1448-'계산 과정'!$D$32)-'계산 과정'!$E$38*'계산 과정'!$E$32)/J1448,"")</x:f>
        <x:v>0.3177164307461002</x:v>
      </x:c>
      <x:c r="L1448" s="4" t="n">
        <x:f>IF(AND('계산 과정'!$L$6,J1448&gt;0),'계산 과정'!$D$10*('계산 과정'!$C$39*(D1448-'계산 과정'!$C$32)+'계산 과정'!$D$39*(E1448-'계산 과정'!$D$32)-'계산 과정'!$E$39*'계산 과정'!$E$32)/J1448,"")</x:f>
        <x:v>-1.546993026925777</x:v>
      </x:c>
      <x:c r="M1448" s="17" t="n">
        <x:f>IF('계산 과정'!$L$6,IF(J1448&lt;=0,0,IF(AND(ABS(K1448)&lt;='계산 과정'!$D$11/2,ABS(L1448)&lt;='계산 과정'!$D$12/2),1,0)),"")</x:f>
        <x:v>1</x:v>
      </x:c>
      <x:c r="N1448" s="17" t="n">
        <x:f>IF('계산 과정'!$C$78,IF(AND(ISNUMBER(H1448),ISNUMBER(I1448),ABS(H1448-'계산 과정'!$C$88)&lt;='계산 과정'!$D$23/2,ABS(I1448-'계산 과정'!$C$89)&lt;='계산 과정'!$D$24/2),1,0),"")</x:f>
        <x:v>1</x:v>
      </x:c>
      <x:c r="O1448" s="4" t="n">
        <x:f>IF('계산 과정'!$L$7,'계산 과정'!$C$49*('계산 과정'!$C$32-D1448)+'계산 과정'!$D$49*('계산 과정'!$D$32-E1448)+'계산 과정'!$E$49*'계산 과정'!$E$32,"")</x:f>
        <x:v>24.828410742831863</x:v>
      </x:c>
      <x:c r="P1448" s="4" t="n">
        <x:f>IF(AND('계산 과정'!$L$7,O1448&lt;&gt;0),('계산 과정'!$L$23-'계산 과정'!$C$49*D1448-'계산 과정'!$D$49*E1448)/O1448,"")</x:f>
        <x:v>17.110576071224486</x:v>
      </x:c>
      <x:c r="Q1448" s="4" t="str">
        <x:f>IF(AND(ISNUMBER(P1448),P1448&gt;1E-9,P1448&lt;1-1E-9),'계산 과정'!$C$47*(D1448-'계산 과정'!$C$50+P1448*('계산 과정'!$C$32-D1448))+'계산 과정'!$D$47*(E1448-'계산 과정'!$D$50+P1448*('계산 과정'!$D$32-E1448))+'계산 과정'!$E$47*(0-'계산 과정'!$E$50+P1448*('계산 과정'!$E$32-0)),"")</x:f>
      </x:c>
      <x:c r="R1448" s="4" t="str">
        <x:f>IF(AND(ISNUMBER(P1448),P1448&gt;1E-9,P1448&lt;1-1E-9),'계산 과정'!$C$48*(D1448-'계산 과정'!$C$50+P1448*('계산 과정'!$C$32-D1448))+'계산 과정'!$D$48*(E1448-'계산 과정'!$D$50+P1448*('계산 과정'!$D$32-E1448))+'계산 과정'!$E$48*(0-'계산 과정'!$E$50+P1448*('계산 과정'!$E$32-0)),"")</x:f>
      </x:c>
      <x:c r="S1448" s="17" t="n">
        <x:f>IF('계산 과정'!$C$78,IF(AND(ISNUMBER(Q1448),ISNUMBER(R1448),ABS(Q1448-'계산 과정'!$C$88)&lt;='계산 과정'!$D$23/2,ABS(R1448-'계산 과정'!$C$89)&lt;='계산 과정'!$D$24/2),1,0),"")</x:f>
        <x:v>0</x:v>
      </x:c>
      <x:c r="T1448" s="4"/>
      <x:c r="U1448" s="4"/>
      <x:c r="V1448" s="4"/>
      <x:c r="W1448" s="4"/>
      <x:c r="X1448" s="4"/>
      <x:c r="Y1448" s="4"/>
      <x:c r="Z1448" s="4"/>
    </x:row>
    <x:row r="1449" ht="23" customHeight="1">
      <x:c r="A1449" s="17" t="n">
        <x:f>ROW()-6</x:f>
        <x:v>1443</x:v>
      </x:c>
      <x:c r="B1449" s="4" t="n">
        <x:f>IF('계산 과정'!$L$5,'계산 과정'!$L$11*SQRT((A1449+0.5)/'계산 과정'!$L$30),"")</x:f>
        <x:v>125.93158717509083</x:v>
      </x:c>
      <x:c r="C1449" s="4" t="n">
        <x:f>A1449*PI()*(3-SQRT(5))</x:f>
        <x:v>3463.1469404984464</x:v>
      </x:c>
      <x:c r="D1449" s="4" t="n">
        <x:f>IF('계산 과정'!$L$5,B1449*COS(C1449),"")</x:f>
        <x:v>55.789714071908435</x:v>
      </x:c>
      <x:c r="E1449" s="4" t="n">
        <x:f>IF('계산 과정'!$L$5,B1449*SIN(C1449),"")</x:f>
        <x:v>112.899390840749</x:v>
      </x:c>
      <x:c r="F1449" s="4" t="n">
        <x:f>IF('계산 과정'!$L$7,'계산 과정'!$L$22+'계산 과정'!$C$49*D1449+'계산 과정'!$D$49*E1449,"")</x:f>
        <x:v>610.550714859295</x:v>
      </x:c>
      <x:c r="G1449" s="4" t="n">
        <x:f>IF('계산 과정'!$L$7,IF(ABS(F1449)&gt;=1E-12*MAX(1,SQRT((D1449-'계산 과정'!$C$33)^2+(E1449-'계산 과정'!$D$33)^2+'계산 과정'!$E$33^2)),('계산 과정'!$L$23-'계산 과정'!$C$49*D1449-'계산 과정'!$D$49*E1449)/F1449,""),"")</x:f>
        <x:v>0.7197588577747857</x:v>
      </x:c>
      <x:c r="H1449" s="4" t="n">
        <x:f>IF(AND(ISNUMBER(G1449),G1449&gt;0),('계산 과정'!$D$56+'계산 과정'!$D$57*D1449+'계산 과정'!$D$58*E1449)/F1449,"")</x:f>
        <x:v>67.84325755361057</x:v>
      </x:c>
      <x:c r="I1449" s="4" t="n">
        <x:f>IF(AND(ISNUMBER(G1449),G1449&gt;0),('계산 과정'!$E$56+'계산 과정'!$E$57*D1449+'계산 과정'!$E$58*E1449)/F1449,"")</x:f>
        <x:v>194.1597274357556</x:v>
      </x:c>
      <x:c r="J1449" s="4" t="n">
        <x:f>IF('계산 과정'!$L$5,'계산 과정'!$D$6+'계산 과정'!$C$35*D1449+'계산 과정'!$D$35*E1449,"")</x:f>
        <x:v>610.550714859295</x:v>
      </x:c>
      <x:c r="K1449" s="4" t="n">
        <x:f>IF(AND('계산 과정'!$L$6,J1449&gt;0),'계산 과정'!$D$10*('계산 과정'!$C$38*(D1449-'계산 과정'!$C$32)+'계산 과정'!$D$38*(E1449-'계산 과정'!$D$32)-'계산 과정'!$E$38*'계산 과정'!$E$32)/J1449,"")</x:f>
        <x:v>0.5169010099322716</x:v>
      </x:c>
      <x:c r="L1449" s="4" t="n">
        <x:f>IF(AND('계산 과정'!$L$6,J1449&gt;0),'계산 과정'!$D$10*('계산 과정'!$C$39*(D1449-'계산 과정'!$C$32)+'계산 과정'!$D$39*(E1449-'계산 과정'!$D$32)-'계산 과정'!$E$39*'계산 과정'!$E$32)/J1449,"")</x:f>
        <x:v>1.4793122090343285</x:v>
      </x:c>
      <x:c r="M1449" s="17" t="n">
        <x:f>IF('계산 과정'!$L$6,IF(J1449&lt;=0,0,IF(AND(ABS(K1449)&lt;='계산 과정'!$D$11/2,ABS(L1449)&lt;='계산 과정'!$D$12/2),1,0)),"")</x:f>
        <x:v>1</x:v>
      </x:c>
      <x:c r="N1449" s="17" t="n">
        <x:f>IF('계산 과정'!$C$78,IF(AND(ISNUMBER(H1449),ISNUMBER(I1449),ABS(H1449-'계산 과정'!$C$88)&lt;='계산 과정'!$D$23/2,ABS(I1449-'계산 과정'!$C$89)&lt;='계산 과정'!$D$24/2),1,0),"")</x:f>
        <x:v>1</x:v>
      </x:c>
      <x:c r="O1449" s="4" t="n">
        <x:f>IF('계산 과정'!$L$7,'계산 과정'!$C$49*('계산 과정'!$C$32-D1449)+'계산 과정'!$D$49*('계산 과정'!$D$32-E1449)+'계산 과정'!$E$49*'계산 과정'!$E$32,"")</x:f>
        <x:v>39.449285140705115</x:v>
      </x:c>
      <x:c r="P1449" s="4" t="n">
        <x:f>IF(AND('계산 과정'!$L$7,O1449&lt;&gt;0),('계산 과정'!$L$23-'계산 과정'!$C$49*D1449-'계산 과정'!$D$49*E1449)/O1449,"")</x:f>
        <x:v>11.139600719589879</x:v>
      </x:c>
      <x:c r="Q1449" s="4" t="str">
        <x:f>IF(AND(ISNUMBER(P1449),P1449&gt;1E-9,P1449&lt;1-1E-9),'계산 과정'!$C$47*(D1449-'계산 과정'!$C$50+P1449*('계산 과정'!$C$32-D1449))+'계산 과정'!$D$47*(E1449-'계산 과정'!$D$50+P1449*('계산 과정'!$D$32-E1449))+'계산 과정'!$E$47*(0-'계산 과정'!$E$50+P1449*('계산 과정'!$E$32-0)),"")</x:f>
      </x:c>
      <x:c r="R1449" s="4" t="str">
        <x:f>IF(AND(ISNUMBER(P1449),P1449&gt;1E-9,P1449&lt;1-1E-9),'계산 과정'!$C$48*(D1449-'계산 과정'!$C$50+P1449*('계산 과정'!$C$32-D1449))+'계산 과정'!$D$48*(E1449-'계산 과정'!$D$50+P1449*('계산 과정'!$D$32-E1449))+'계산 과정'!$E$48*(0-'계산 과정'!$E$50+P1449*('계산 과정'!$E$32-0)),"")</x:f>
      </x:c>
      <x:c r="S1449" s="17" t="n">
        <x:f>IF('계산 과정'!$C$78,IF(AND(ISNUMBER(Q1449),ISNUMBER(R1449),ABS(Q1449-'계산 과정'!$C$88)&lt;='계산 과정'!$D$23/2,ABS(R1449-'계산 과정'!$C$89)&lt;='계산 과정'!$D$24/2),1,0),"")</x:f>
        <x:v>0</x:v>
      </x:c>
      <x:c r="T1449" s="4"/>
      <x:c r="U1449" s="4"/>
      <x:c r="V1449" s="4"/>
      <x:c r="W1449" s="4"/>
      <x:c r="X1449" s="4"/>
      <x:c r="Y1449" s="4"/>
      <x:c r="Z1449" s="4"/>
    </x:row>
    <x:row r="1450" ht="23" customHeight="1">
      <x:c r="A1450" s="17" t="n">
        <x:f>ROW()-6</x:f>
        <x:v>1444</x:v>
      </x:c>
      <x:c r="B1450" s="4" t="n">
        <x:f>IF('계산 과정'!$L$5,'계산 과정'!$L$11*SQRT((A1450+0.5)/'계산 과정'!$L$30),"")</x:f>
        <x:v>125.97519984728146</x:v>
      </x:c>
      <x:c r="C1450" s="4" t="n">
        <x:f>A1450*PI()*(3-SQRT(5))</x:f>
        <x:v>3465.5469037281746</x:v>
      </x:c>
      <x:c r="D1450" s="4" t="n">
        <x:f>IF('계산 과정'!$L$5,B1450*COS(C1450),"")</x:f>
        <x:v>-117.4406996387872</x:v>
      </x:c>
      <x:c r="E1450" s="4" t="n">
        <x:f>IF('계산 과정'!$L$5,B1450*SIN(C1450),"")</x:f>
        <x:v>-45.57886620918376</x:v>
      </x:c>
      <x:c r="F1450" s="4" t="n">
        <x:f>IF('계산 과정'!$L$7,'계산 과정'!$L$22+'계산 과정'!$C$49*D1450+'계산 과정'!$D$49*E1450,"")</x:f>
        <x:v>733.0431151018789</x:v>
      </x:c>
      <x:c r="G1450" s="4" t="n">
        <x:f>IF('계산 과정'!$L$7,IF(ABS(F1450)&gt;=1E-12*MAX(1,SQRT((D1450-'계산 과정'!$C$33)^2+(E1450-'계산 과정'!$D$33)^2+'계산 과정'!$E$33^2)),('계산 과정'!$L$23-'계산 과정'!$C$49*D1450-'계산 과정'!$D$49*E1450)/F1450,""),"")</x:f>
        <x:v>0.43238505125864274</x:v>
      </x:c>
      <x:c r="H1450" s="4" t="n">
        <x:f>IF(AND(ISNUMBER(G1450),G1450&gt;0),('계산 과정'!$D$56+'계산 과정'!$D$57*D1450+'계산 과정'!$D$58*E1450)/F1450,"")</x:f>
        <x:v>-118.94971668188238</x:v>
      </x:c>
      <x:c r="I1450" s="4" t="n">
        <x:f>IF(AND(ISNUMBER(G1450),G1450&gt;0),('계산 과정'!$E$56+'계산 과정'!$E$57*D1450+'계산 과정'!$E$58*E1450)/F1450,"")</x:f>
        <x:v>-65.2864866113525</x:v>
      </x:c>
      <x:c r="J1450" s="4" t="n">
        <x:f>IF('계산 과정'!$L$5,'계산 과정'!$D$6+'계산 과정'!$C$35*D1450+'계산 과정'!$D$35*E1450,"")</x:f>
        <x:v>733.0431151018789</x:v>
      </x:c>
      <x:c r="K1450" s="4" t="n">
        <x:f>IF(AND('계산 과정'!$L$6,J1450&gt;0),'계산 과정'!$D$10*('계산 과정'!$C$38*(D1450-'계산 과정'!$C$32)+'계산 과정'!$D$38*(E1450-'계산 과정'!$D$32)-'계산 과정'!$E$38*'계산 과정'!$E$32)/J1450,"")</x:f>
        <x:v>-0.9062835556714841</x:v>
      </x:c>
      <x:c r="L1450" s="4" t="n">
        <x:f>IF(AND('계산 과정'!$L$6,J1450&gt;0),'계산 과정'!$D$10*('계산 과정'!$C$39*(D1450-'계산 과정'!$C$32)+'계산 과정'!$D$39*(E1450-'계산 과정'!$D$32)-'계산 과정'!$E$39*'계산 과정'!$E$32)/J1450,"")</x:f>
        <x:v>-0.4974208503722095</x:v>
      </x:c>
      <x:c r="M1450" s="17" t="n">
        <x:f>IF('계산 과정'!$L$6,IF(J1450&lt;=0,0,IF(AND(ABS(K1450)&lt;='계산 과정'!$D$11/2,ABS(L1450)&lt;='계산 과정'!$D$12/2),1,0)),"")</x:f>
        <x:v>1</x:v>
      </x:c>
      <x:c r="N1450" s="17" t="n">
        <x:f>IF('계산 과정'!$C$78,IF(AND(ISNUMBER(H1450),ISNUMBER(I1450),ABS(H1450-'계산 과정'!$C$88)&lt;='계산 과정'!$D$23/2,ABS(I1450-'계산 과정'!$C$89)&lt;='계산 과정'!$D$24/2),1,0),"")</x:f>
        <x:v>1</x:v>
      </x:c>
      <x:c r="O1450" s="4" t="n">
        <x:f>IF('계산 과정'!$L$7,'계산 과정'!$C$49*('계산 과정'!$C$32-D1450)+'계산 과정'!$D$49*('계산 과정'!$D$32-E1450)+'계산 과정'!$E$49*'계산 과정'!$E$32,"")</x:f>
        <x:v>-83.04311510187887</x:v>
      </x:c>
      <x:c r="P1450" s="4" t="n">
        <x:f>IF(AND('계산 과정'!$L$7,O1450&lt;&gt;0),('계산 과정'!$L$23-'계산 과정'!$C$49*D1450-'계산 과정'!$D$49*E1450)/O1450,"")</x:f>
        <x:v>-3.816774991030531</x:v>
      </x:c>
      <x:c r="Q1450" s="4" t="str">
        <x:f>IF(AND(ISNUMBER(P1450),P1450&gt;1E-9,P1450&lt;1-1E-9),'계산 과정'!$C$47*(D1450-'계산 과정'!$C$50+P1450*('계산 과정'!$C$32-D1450))+'계산 과정'!$D$47*(E1450-'계산 과정'!$D$50+P1450*('계산 과정'!$D$32-E1450))+'계산 과정'!$E$47*(0-'계산 과정'!$E$50+P1450*('계산 과정'!$E$32-0)),"")</x:f>
      </x:c>
      <x:c r="R1450" s="4" t="str">
        <x:f>IF(AND(ISNUMBER(P1450),P1450&gt;1E-9,P1450&lt;1-1E-9),'계산 과정'!$C$48*(D1450-'계산 과정'!$C$50+P1450*('계산 과정'!$C$32-D1450))+'계산 과정'!$D$48*(E1450-'계산 과정'!$D$50+P1450*('계산 과정'!$D$32-E1450))+'계산 과정'!$E$48*(0-'계산 과정'!$E$50+P1450*('계산 과정'!$E$32-0)),"")</x:f>
      </x:c>
      <x:c r="S1450" s="17" t="n">
        <x:f>IF('계산 과정'!$C$78,IF(AND(ISNUMBER(Q1450),ISNUMBER(R1450),ABS(Q1450-'계산 과정'!$C$88)&lt;='계산 과정'!$D$23/2,ABS(R1450-'계산 과정'!$C$89)&lt;='계산 과정'!$D$24/2),1,0),"")</x:f>
        <x:v>0</x:v>
      </x:c>
      <x:c r="T1450" s="4"/>
      <x:c r="U1450" s="4"/>
      <x:c r="V1450" s="4"/>
      <x:c r="W1450" s="4"/>
      <x:c r="X1450" s="4"/>
      <x:c r="Y1450" s="4"/>
      <x:c r="Z1450" s="4"/>
    </x:row>
    <x:row r="1451" ht="23" customHeight="1">
      <x:c r="A1451" s="17" t="n">
        <x:f>ROW()-6</x:f>
        <x:v>1445</x:v>
      </x:c>
      <x:c r="B1451" s="4" t="n">
        <x:f>IF('계산 과정'!$L$5,'계산 과정'!$L$11*SQRT((A1451+0.5)/'계산 과정'!$L$30),"")</x:f>
        <x:v>126.01879742596935</x:v>
      </x:c>
      <x:c r="C1451" s="4" t="n">
        <x:f>A1451*PI()*(3-SQRT(5))</x:f>
        <x:v>3467.9468669579032</x:v>
      </x:c>
      <x:c r="D1451" s="4" t="n">
        <x:f>IF('계산 과정'!$L$5,B1451*COS(C1451),"")</x:f>
        <x:v>117.42582342665901</x:v>
      </x:c>
      <x:c r="E1451" s="4" t="n">
        <x:f>IF('계산 과정'!$L$5,B1451*SIN(C1451),"")</x:f>
        <x:v>-45.737438682753115</x:v>
      </x:c>
      <x:c r="F1451" s="4" t="n">
        <x:f>IF('계산 과정'!$L$7,'계산 과정'!$L$22+'계산 과정'!$C$49*D1451+'계산 과정'!$D$49*E1451,"")</x:f>
        <x:v>566.9674039685952</x:v>
      </x:c>
      <x:c r="G1451" s="4" t="n">
        <x:f>IF('계산 과정'!$L$7,IF(ABS(F1451)&gt;=1E-12*MAX(1,SQRT((D1451-'계산 과정'!$C$33)^2+(E1451-'계산 과정'!$D$33)^2+'계산 과정'!$E$33^2)),('계산 과정'!$L$23-'계산 과정'!$C$49*D1451-'계산 과정'!$D$49*E1451)/F1451,""),"")</x:f>
        <x:v>0.8519583183271684</x:v>
      </x:c>
      <x:c r="H1451" s="4" t="n">
        <x:f>IF(AND(ISNUMBER(G1451),G1451&gt;0),('계산 과정'!$D$56+'계산 과정'!$D$57*D1451+'계산 과정'!$D$58*E1451)/F1451,"")</x:f>
        <x:v>153.77290691265935</x:v>
      </x:c>
      <x:c r="I1451" s="4" t="n">
        <x:f>IF(AND(ISNUMBER(G1451),G1451&gt;0),('계산 과정'!$E$56+'계산 과정'!$E$57*D1451+'계산 과정'!$E$58*E1451)/F1451,"")</x:f>
        <x:v>-84.70383002750343</x:v>
      </x:c>
      <x:c r="J1451" s="4" t="n">
        <x:f>IF('계산 과정'!$L$5,'계산 과정'!$D$6+'계산 과정'!$C$35*D1451+'계산 과정'!$D$35*E1451,"")</x:f>
        <x:v>566.9674039685952</x:v>
      </x:c>
      <x:c r="K1451" s="4" t="n">
        <x:f>IF(AND('계산 과정'!$L$6,J1451&gt;0),'계산 과정'!$D$10*('계산 과정'!$C$38*(D1451-'계산 과정'!$C$32)+'계산 과정'!$D$38*(E1451-'계산 과정'!$D$32)-'계산 과정'!$E$38*'계산 과정'!$E$32)/J1451,"")</x:f>
        <x:v>1.1716031002869292</x:v>
      </x:c>
      <x:c r="L1451" s="4" t="n">
        <x:f>IF(AND('계산 과정'!$L$6,J1451&gt;0),'계산 과정'!$D$10*('계산 과정'!$C$39*(D1451-'계산 과정'!$C$32)+'계산 과정'!$D$39*(E1451-'계산 과정'!$D$32)-'계산 과정'!$E$39*'계산 과정'!$E$32)/J1451,"")</x:f>
        <x:v>-0.6453625144952643</x:v>
      </x:c>
      <x:c r="M1451" s="17" t="n">
        <x:f>IF('계산 과정'!$L$6,IF(J1451&lt;=0,0,IF(AND(ABS(K1451)&lt;='계산 과정'!$D$11/2,ABS(L1451)&lt;='계산 과정'!$D$12/2),1,0)),"")</x:f>
        <x:v>1</x:v>
      </x:c>
      <x:c r="N1451" s="17" t="n">
        <x:f>IF('계산 과정'!$C$78,IF(AND(ISNUMBER(H1451),ISNUMBER(I1451),ABS(H1451-'계산 과정'!$C$88)&lt;='계산 과정'!$D$23/2,ABS(I1451-'계산 과정'!$C$89)&lt;='계산 과정'!$D$24/2),1,0),"")</x:f>
        <x:v>1</x:v>
      </x:c>
      <x:c r="O1451" s="4" t="n">
        <x:f>IF('계산 과정'!$L$7,'계산 과정'!$C$49*('계산 과정'!$C$32-D1451)+'계산 과정'!$D$49*('계산 과정'!$D$32-E1451)+'계산 과정'!$E$49*'계산 과정'!$E$32,"")</x:f>
        <x:v>83.03259603140484</x:v>
      </x:c>
      <x:c r="P1451" s="4" t="n">
        <x:f>IF(AND('계산 과정'!$L$7,O1451&lt;&gt;0),('계산 과정'!$L$23-'계산 과정'!$C$49*D1451-'계산 과정'!$D$49*E1451)/O1451,"")</x:f>
        <x:v>5.817385209161842</x:v>
      </x:c>
      <x:c r="Q1451" s="4" t="str">
        <x:f>IF(AND(ISNUMBER(P1451),P1451&gt;1E-9,P1451&lt;1-1E-9),'계산 과정'!$C$47*(D1451-'계산 과정'!$C$50+P1451*('계산 과정'!$C$32-D1451))+'계산 과정'!$D$47*(E1451-'계산 과정'!$D$50+P1451*('계산 과정'!$D$32-E1451))+'계산 과정'!$E$47*(0-'계산 과정'!$E$50+P1451*('계산 과정'!$E$32-0)),"")</x:f>
      </x:c>
      <x:c r="R1451" s="4" t="str">
        <x:f>IF(AND(ISNUMBER(P1451),P1451&gt;1E-9,P1451&lt;1-1E-9),'계산 과정'!$C$48*(D1451-'계산 과정'!$C$50+P1451*('계산 과정'!$C$32-D1451))+'계산 과정'!$D$48*(E1451-'계산 과정'!$D$50+P1451*('계산 과정'!$D$32-E1451))+'계산 과정'!$E$48*(0-'계산 과정'!$E$50+P1451*('계산 과정'!$E$32-0)),"")</x:f>
      </x:c>
      <x:c r="S1451" s="17" t="n">
        <x:f>IF('계산 과정'!$C$78,IF(AND(ISNUMBER(Q1451),ISNUMBER(R1451),ABS(Q1451-'계산 과정'!$C$88)&lt;='계산 과정'!$D$23/2,ABS(R1451-'계산 과정'!$C$89)&lt;='계산 과정'!$D$24/2),1,0),"")</x:f>
        <x:v>0</x:v>
      </x:c>
      <x:c r="T1451" s="4"/>
      <x:c r="U1451" s="4"/>
      <x:c r="V1451" s="4"/>
      <x:c r="W1451" s="4"/>
      <x:c r="X1451" s="4"/>
      <x:c r="Y1451" s="4"/>
      <x:c r="Z1451" s="4"/>
    </x:row>
    <x:row r="1452" ht="23" customHeight="1">
      <x:c r="A1452" s="17" t="n">
        <x:f>ROW()-6</x:f>
        <x:v>1446</x:v>
      </x:c>
      <x:c r="B1452" s="4" t="n">
        <x:f>IF('계산 과정'!$L$5,'계산 과정'!$L$11*SQRT((A1452+0.5)/'계산 과정'!$L$30),"")</x:f>
        <x:v>126.06237992681442</x:v>
      </x:c>
      <x:c r="C1452" s="4" t="n">
        <x:f>A1452*PI()*(3-SQRT(5))</x:f>
        <x:v>3470.3468301876323</x:v>
      </x:c>
      <x:c r="D1452" s="4" t="n">
        <x:f>IF('계산 과정'!$L$5,B1452*COS(C1452),"")</x:f>
        <x:v>-55.71021199244954</x:v>
      </x:c>
      <x:c r="E1452" s="4" t="n">
        <x:f>IF('계산 과정'!$L$5,B1452*SIN(C1452),"")</x:f>
        <x:v>113.08446362152864</x:v>
      </x:c>
      <x:c r="F1452" s="4" t="n">
        <x:f>IF('계산 과정'!$L$7,'계산 과정'!$L$22+'계산 과정'!$C$49*D1452+'계산 과정'!$D$49*E1452,"")</x:f>
        <x:v>689.3930686812012</x:v>
      </x:c>
      <x:c r="G1452" s="4" t="n">
        <x:f>IF('계산 과정'!$L$7,IF(ABS(F1452)&gt;=1E-12*MAX(1,SQRT((D1452-'계산 과정'!$C$33)^2+(E1452-'계산 과정'!$D$33)^2+'계산 과정'!$E$33^2)),('계산 과정'!$L$23-'계산 과정'!$C$49*D1452-'계산 과정'!$D$49*E1452)/F1452,""),"")</x:f>
        <x:v>0.5230788467436068</x:v>
      </x:c>
      <x:c r="H1452" s="4" t="n">
        <x:f>IF(AND(ISNUMBER(G1452),G1452&gt;0),('계산 과정'!$D$56+'계산 과정'!$D$57*D1452+'계산 과정'!$D$58*E1452)/F1452,"")</x:f>
        <x:v>-59.99874961665573</x:v>
      </x:c>
      <x:c r="I1452" s="4" t="n">
        <x:f>IF(AND(ISNUMBER(G1452),G1452&gt;0),('계산 과정'!$E$56+'계산 과정'!$E$57*D1452+'계산 과정'!$E$58*E1452)/F1452,"")</x:f>
        <x:v>172.2365544372972</x:v>
      </x:c>
      <x:c r="J1452" s="4" t="n">
        <x:f>IF('계산 과정'!$L$5,'계산 과정'!$D$6+'계산 과정'!$C$35*D1452+'계산 과정'!$D$35*E1452,"")</x:f>
        <x:v>689.3930686812012</x:v>
      </x:c>
      <x:c r="K1452" s="4" t="n">
        <x:f>IF(AND('계산 과정'!$L$6,J1452&gt;0),'계산 과정'!$D$10*('계산 과정'!$C$38*(D1452-'계산 과정'!$C$32)+'계산 과정'!$D$38*(E1452-'계산 과정'!$D$32)-'계산 과정'!$E$38*'계산 과정'!$E$32)/J1452,"")</x:f>
        <x:v>-0.4571333304126144</x:v>
      </x:c>
      <x:c r="L1452" s="4" t="n">
        <x:f>IF(AND('계산 과정'!$L$6,J1452&gt;0),'계산 과정'!$D$10*('계산 과정'!$C$39*(D1452-'계산 과정'!$C$32)+'계산 과정'!$D$39*(E1452-'계산 과정'!$D$32)-'계산 과정'!$E$39*'계산 과정'!$E$32)/J1452,"")</x:f>
        <x:v>1.3122785099984549</x:v>
      </x:c>
      <x:c r="M1452" s="17" t="n">
        <x:f>IF('계산 과정'!$L$6,IF(J1452&lt;=0,0,IF(AND(ABS(K1452)&lt;='계산 과정'!$D$11/2,ABS(L1452)&lt;='계산 과정'!$D$12/2),1,0)),"")</x:f>
        <x:v>1</x:v>
      </x:c>
      <x:c r="N1452" s="17" t="n">
        <x:f>IF('계산 과정'!$C$78,IF(AND(ISNUMBER(H1452),ISNUMBER(I1452),ABS(H1452-'계산 과정'!$C$88)&lt;='계산 과정'!$D$23/2,ABS(I1452-'계산 과정'!$C$89)&lt;='계산 과정'!$D$24/2),1,0),"")</x:f>
        <x:v>1</x:v>
      </x:c>
      <x:c r="O1452" s="4" t="n">
        <x:f>IF('계산 과정'!$L$7,'계산 과정'!$C$49*('계산 과정'!$C$32-D1452)+'계산 과정'!$D$49*('계산 과정'!$D$32-E1452)+'계산 과정'!$E$49*'계산 과정'!$E$32,"")</x:f>
        <x:v>-39.3930686812011</x:v>
      </x:c>
      <x:c r="P1452" s="4" t="n">
        <x:f>IF(AND('계산 과정'!$L$7,O1452&lt;&gt;0),('계산 과정'!$L$23-'계산 과정'!$C$49*D1452-'계산 과정'!$D$49*E1452)/O1452,"")</x:f>
        <x:v>-9.15407058630305</x:v>
      </x:c>
      <x:c r="Q1452" s="4" t="str">
        <x:f>IF(AND(ISNUMBER(P1452),P1452&gt;1E-9,P1452&lt;1-1E-9),'계산 과정'!$C$47*(D1452-'계산 과정'!$C$50+P1452*('계산 과정'!$C$32-D1452))+'계산 과정'!$D$47*(E1452-'계산 과정'!$D$50+P1452*('계산 과정'!$D$32-E1452))+'계산 과정'!$E$47*(0-'계산 과정'!$E$50+P1452*('계산 과정'!$E$32-0)),"")</x:f>
      </x:c>
      <x:c r="R1452" s="4" t="str">
        <x:f>IF(AND(ISNUMBER(P1452),P1452&gt;1E-9,P1452&lt;1-1E-9),'계산 과정'!$C$48*(D1452-'계산 과정'!$C$50+P1452*('계산 과정'!$C$32-D1452))+'계산 과정'!$D$48*(E1452-'계산 과정'!$D$50+P1452*('계산 과정'!$D$32-E1452))+'계산 과정'!$E$48*(0-'계산 과정'!$E$50+P1452*('계산 과정'!$E$32-0)),"")</x:f>
      </x:c>
      <x:c r="S1452" s="17" t="n">
        <x:f>IF('계산 과정'!$C$78,IF(AND(ISNUMBER(Q1452),ISNUMBER(R1452),ABS(Q1452-'계산 과정'!$C$88)&lt;='계산 과정'!$D$23/2,ABS(R1452-'계산 과정'!$C$89)&lt;='계산 과정'!$D$24/2),1,0),"")</x:f>
        <x:v>0</x:v>
      </x:c>
      <x:c r="T1452" s="4"/>
      <x:c r="U1452" s="4"/>
      <x:c r="V1452" s="4"/>
      <x:c r="W1452" s="4"/>
      <x:c r="X1452" s="4"/>
      <x:c r="Y1452" s="4"/>
      <x:c r="Z1452" s="4"/>
    </x:row>
    <x:row r="1453" ht="23" customHeight="1">
      <x:c r="A1453" s="17" t="n">
        <x:f>ROW()-6</x:f>
        <x:v>1447</x:v>
      </x:c>
      <x:c r="B1453" s="4" t="n">
        <x:f>IF('계산 과정'!$L$5,'계산 과정'!$L$11*SQRT((A1453+0.5)/'계산 과정'!$L$30),"")</x:f>
        <x:v>126.10594736544942</x:v>
      </x:c>
      <x:c r="C1453" s="4" t="n">
        <x:f>A1453*PI()*(3-SQRT(5))</x:f>
        <x:v>3472.7467934173605</x:v>
      </x:c>
      <x:c r="D1453" s="4" t="n">
        <x:f>IF('계산 과정'!$L$5,B1453*COS(C1453),"")</x:f>
        <x:v>-35.32068378331739</x:v>
      </x:c>
      <x:c r="E1453" s="4" t="n">
        <x:f>IF('계산 과정'!$L$5,B1453*SIN(C1453),"")</x:f>
        <x:v>-121.05849519144206</x:v>
      </x:c>
      <x:c r="F1453" s="4" t="n">
        <x:f>IF('계산 과정'!$L$7,'계산 과정'!$L$22+'계산 과정'!$C$49*D1453+'계산 과정'!$D$49*E1453,"")</x:f>
        <x:v>674.9754950193294</x:v>
      </x:c>
      <x:c r="G1453" s="4" t="n">
        <x:f>IF('계산 과정'!$L$7,IF(ABS(F1453)&gt;=1E-12*MAX(1,SQRT((D1453-'계산 과정'!$C$33)^2+(E1453-'계산 과정'!$D$33)^2+'계산 과정'!$E$33^2)),('계산 과정'!$L$23-'계산 과정'!$C$49*D1453-'계산 과정'!$D$49*E1453)/F1453,""),"")</x:f>
        <x:v>0.5556120299892234</x:v>
      </x:c>
      <x:c r="H1453" s="4" t="n">
        <x:f>IF(AND(ISNUMBER(G1453),G1453&gt;0),('계산 과정'!$D$56+'계산 과정'!$D$57*D1453+'계산 과정'!$D$58*E1453)/F1453,"")</x:f>
        <x:v>-38.85218050700494</x:v>
      </x:c>
      <x:c r="I1453" s="4" t="n">
        <x:f>IF(AND(ISNUMBER(G1453),G1453&gt;0),('계산 과정'!$E$56+'계산 과정'!$E$57*D1453+'계산 과정'!$E$58*E1453)/F1453,"")</x:f>
        <x:v>-188.32005145219983</x:v>
      </x:c>
      <x:c r="J1453" s="4" t="n">
        <x:f>IF('계산 과정'!$L$5,'계산 과정'!$D$6+'계산 과정'!$C$35*D1453+'계산 과정'!$D$35*E1453,"")</x:f>
        <x:v>674.9754950193294</x:v>
      </x:c>
      <x:c r="K1453" s="4" t="n">
        <x:f>IF(AND('계산 과정'!$L$6,J1453&gt;0),'계산 과정'!$D$10*('계산 과정'!$C$38*(D1453-'계산 과정'!$C$32)+'계산 과정'!$D$38*(E1453-'계산 과정'!$D$32)-'계산 과정'!$E$38*'계산 과정'!$E$32)/J1453,"")</x:f>
        <x:v>-0.29601661338670354</x:v>
      </x:c>
      <x:c r="L1453" s="4" t="n">
        <x:f>IF(AND('계산 과정'!$L$6,J1453&gt;0),'계산 과정'!$D$10*('계산 과정'!$C$39*(D1453-'계산 과정'!$C$32)+'계산 과정'!$D$39*(E1453-'계산 과정'!$D$32)-'계산 과정'!$E$39*'계산 과정'!$E$32)/J1453,"")</x:f>
        <x:v>-1.4348194396358083</x:v>
      </x:c>
      <x:c r="M1453" s="17" t="n">
        <x:f>IF('계산 과정'!$L$6,IF(J1453&lt;=0,0,IF(AND(ABS(K1453)&lt;='계산 과정'!$D$11/2,ABS(L1453)&lt;='계산 과정'!$D$12/2),1,0)),"")</x:f>
        <x:v>1</x:v>
      </x:c>
      <x:c r="N1453" s="17" t="n">
        <x:f>IF('계산 과정'!$C$78,IF(AND(ISNUMBER(H1453),ISNUMBER(I1453),ABS(H1453-'계산 과정'!$C$88)&lt;='계산 과정'!$D$23/2,ABS(I1453-'계산 과정'!$C$89)&lt;='계산 과정'!$D$24/2),1,0),"")</x:f>
        <x:v>1</x:v>
      </x:c>
      <x:c r="O1453" s="4" t="n">
        <x:f>IF('계산 과정'!$L$7,'계산 과정'!$C$49*('계산 과정'!$C$32-D1453)+'계산 과정'!$D$49*('계산 과정'!$D$32-E1453)+'계산 과정'!$E$49*'계산 과정'!$E$32,"")</x:f>
        <x:v>-24.975495019329344</x:v>
      </x:c>
      <x:c r="P1453" s="4" t="n">
        <x:f>IF(AND('계산 과정'!$L$7,O1453&lt;&gt;0),('계산 과정'!$L$23-'계산 과정'!$C$49*D1453-'계산 과정'!$D$49*E1453)/O1453,"")</x:f>
        <x:v>-15.015698575360647</x:v>
      </x:c>
      <x:c r="Q1453" s="4" t="str">
        <x:f>IF(AND(ISNUMBER(P1453),P1453&gt;1E-9,P1453&lt;1-1E-9),'계산 과정'!$C$47*(D1453-'계산 과정'!$C$50+P1453*('계산 과정'!$C$32-D1453))+'계산 과정'!$D$47*(E1453-'계산 과정'!$D$50+P1453*('계산 과정'!$D$32-E1453))+'계산 과정'!$E$47*(0-'계산 과정'!$E$50+P1453*('계산 과정'!$E$32-0)),"")</x:f>
      </x:c>
      <x:c r="R1453" s="4" t="str">
        <x:f>IF(AND(ISNUMBER(P1453),P1453&gt;1E-9,P1453&lt;1-1E-9),'계산 과정'!$C$48*(D1453-'계산 과정'!$C$50+P1453*('계산 과정'!$C$32-D1453))+'계산 과정'!$D$48*(E1453-'계산 과정'!$D$50+P1453*('계산 과정'!$D$32-E1453))+'계산 과정'!$E$48*(0-'계산 과정'!$E$50+P1453*('계산 과정'!$E$32-0)),"")</x:f>
      </x:c>
      <x:c r="S1453" s="17" t="n">
        <x:f>IF('계산 과정'!$C$78,IF(AND(ISNUMBER(Q1453),ISNUMBER(R1453),ABS(Q1453-'계산 과정'!$C$88)&lt;='계산 과정'!$D$23/2,ABS(R1453-'계산 과정'!$C$89)&lt;='계산 과정'!$D$24/2),1,0),"")</x:f>
        <x:v>0</x:v>
      </x:c>
      <x:c r="T1453" s="4"/>
      <x:c r="U1453" s="4"/>
      <x:c r="V1453" s="4"/>
      <x:c r="W1453" s="4"/>
      <x:c r="X1453" s="4"/>
      <x:c r="Y1453" s="4"/>
      <x:c r="Z1453" s="4"/>
    </x:row>
    <x:row r="1454" ht="23" customHeight="1">
      <x:c r="A1454" s="17" t="n">
        <x:f>ROW()-6</x:f>
        <x:v>1448</x:v>
      </x:c>
      <x:c r="B1454" s="4" t="n">
        <x:f>IF('계산 과정'!$L$5,'계산 과정'!$L$11*SQRT((A1454+0.5)/'계산 과정'!$L$30),"")</x:f>
        <x:v>126.1494997574802</x:v>
      </x:c>
      <x:c r="C1454" s="4" t="n">
        <x:f>A1454*PI()*(3-SQRT(5))</x:f>
        <x:v>3475.146756647089</x:v>
      </x:c>
      <x:c r="D1454" s="4" t="n">
        <x:f>IF('계산 과정'!$L$5,B1454*COS(C1454),"")</x:f>
        <x:v>107.85544798945992</x:v>
      </x:c>
      <x:c r="E1454" s="4" t="n">
        <x:f>IF('계산 과정'!$L$5,B1454*SIN(C1454),"")</x:f>
        <x:v>65.42857654003643</x:v>
      </x:c>
      <x:c r="F1454" s="4" t="n">
        <x:f>IF('계산 과정'!$L$7,'계산 과정'!$L$22+'계산 과정'!$C$49*D1454+'계산 과정'!$D$49*E1454,"")</x:f>
        <x:v>573.73468133874</x:v>
      </x:c>
      <x:c r="G1454" s="4" t="n">
        <x:f>IF('계산 과정'!$L$7,IF(ABS(F1454)&gt;=1E-12*MAX(1,SQRT((D1454-'계산 과정'!$C$33)^2+(E1454-'계산 과정'!$D$33)^2+'계산 과정'!$E$33^2)),('계산 과정'!$L$23-'계산 과정'!$C$49*D1454-'계산 과정'!$D$49*E1454)/F1454,""),"")</x:f>
        <x:v>0.8301142220476423</x:v>
      </x:c>
      <x:c r="H1454" s="4" t="n">
        <x:f>IF(AND(ISNUMBER(G1454),G1454&gt;0),('계산 과정'!$D$56+'계산 과정'!$D$57*D1454+'계산 과정'!$D$58*E1454)/F1454,"")</x:f>
        <x:v>139.57424433096745</x:v>
      </x:c>
      <x:c r="I1454" s="4" t="n">
        <x:f>IF(AND(ISNUMBER(G1454),G1454&gt;0),('계산 과정'!$E$56+'계산 과정'!$E$57*D1454+'계산 과정'!$E$58*E1454)/F1454,"")</x:f>
        <x:v>119.74176845425337</x:v>
      </x:c>
      <x:c r="J1454" s="4" t="n">
        <x:f>IF('계산 과정'!$L$5,'계산 과정'!$D$6+'계산 과정'!$C$35*D1454+'계산 과정'!$D$35*E1454,"")</x:f>
        <x:v>573.73468133874</x:v>
      </x:c>
      <x:c r="K1454" s="4" t="n">
        <x:f>IF(AND('계산 과정'!$L$6,J1454&gt;0),'계산 과정'!$D$10*('계산 과정'!$C$38*(D1454-'계산 과정'!$C$32)+'계산 과정'!$D$38*(E1454-'계산 과정'!$D$32)-'계산 과정'!$E$38*'계산 과정'!$E$32)/J1454,"")</x:f>
        <x:v>1.0634228139502289</x:v>
      </x:c>
      <x:c r="L1454" s="4" t="n">
        <x:f>IF(AND('계산 과정'!$L$6,J1454&gt;0),'계산 과정'!$D$10*('계산 과정'!$C$39*(D1454-'계산 과정'!$C$32)+'계산 과정'!$D$39*(E1454-'계산 과정'!$D$32)-'계산 과정'!$E$39*'계산 과정'!$E$32)/J1454,"")</x:f>
        <x:v>0.9123182358419306</x:v>
      </x:c>
      <x:c r="M1454" s="17" t="n">
        <x:f>IF('계산 과정'!$L$6,IF(J1454&lt;=0,0,IF(AND(ABS(K1454)&lt;='계산 과정'!$D$11/2,ABS(L1454)&lt;='계산 과정'!$D$12/2),1,0)),"")</x:f>
        <x:v>1</x:v>
      </x:c>
      <x:c r="N1454" s="17" t="n">
        <x:f>IF('계산 과정'!$C$78,IF(AND(ISNUMBER(H1454),ISNUMBER(I1454),ABS(H1454-'계산 과정'!$C$88)&lt;='계산 과정'!$D$23/2,ABS(I1454-'계산 과정'!$C$89)&lt;='계산 과정'!$D$24/2),1,0),"")</x:f>
        <x:v>1</x:v>
      </x:c>
      <x:c r="O1454" s="4" t="n">
        <x:f>IF('계산 과정'!$L$7,'계산 과정'!$C$49*('계산 과정'!$C$32-D1454)+'계산 과정'!$D$49*('계산 과정'!$D$32-E1454)+'계산 과정'!$E$49*'계산 과정'!$E$32,"")</x:f>
        <x:v>76.26531866126018</x:v>
      </x:c>
      <x:c r="P1454" s="4" t="n">
        <x:f>IF(AND('계산 과정'!$L$7,O1454&lt;&gt;0),('계산 과정'!$L$23-'계산 과정'!$C$49*D1454-'계산 과정'!$D$49*E1454)/O1454,"")</x:f>
        <x:v>6.244847946897576</x:v>
      </x:c>
      <x:c r="Q1454" s="4" t="str">
        <x:f>IF(AND(ISNUMBER(P1454),P1454&gt;1E-9,P1454&lt;1-1E-9),'계산 과정'!$C$47*(D1454-'계산 과정'!$C$50+P1454*('계산 과정'!$C$32-D1454))+'계산 과정'!$D$47*(E1454-'계산 과정'!$D$50+P1454*('계산 과정'!$D$32-E1454))+'계산 과정'!$E$47*(0-'계산 과정'!$E$50+P1454*('계산 과정'!$E$32-0)),"")</x:f>
      </x:c>
      <x:c r="R1454" s="4" t="str">
        <x:f>IF(AND(ISNUMBER(P1454),P1454&gt;1E-9,P1454&lt;1-1E-9),'계산 과정'!$C$48*(D1454-'계산 과정'!$C$50+P1454*('계산 과정'!$C$32-D1454))+'계산 과정'!$D$48*(E1454-'계산 과정'!$D$50+P1454*('계산 과정'!$D$32-E1454))+'계산 과정'!$E$48*(0-'계산 과정'!$E$50+P1454*('계산 과정'!$E$32-0)),"")</x:f>
      </x:c>
      <x:c r="S1454" s="17" t="n">
        <x:f>IF('계산 과정'!$C$78,IF(AND(ISNUMBER(Q1454),ISNUMBER(R1454),ABS(Q1454-'계산 과정'!$C$88)&lt;='계산 과정'!$D$23/2,ABS(R1454-'계산 과정'!$C$89)&lt;='계산 과정'!$D$24/2),1,0),"")</x:f>
        <x:v>0</x:v>
      </x:c>
      <x:c r="T1454" s="4"/>
      <x:c r="U1454" s="4"/>
      <x:c r="V1454" s="4"/>
      <x:c r="W1454" s="4"/>
      <x:c r="X1454" s="4"/>
      <x:c r="Y1454" s="4"/>
      <x:c r="Z1454" s="4"/>
    </x:row>
    <x:row r="1455" ht="23" customHeight="1">
      <x:c r="A1455" s="17" t="n">
        <x:f>ROW()-6</x:f>
        <x:v>1449</x:v>
      </x:c>
      <x:c r="B1455" s="4" t="n">
        <x:f>IF('계산 과정'!$L$5,'계산 과정'!$L$11*SQRT((A1455+0.5)/'계산 과정'!$L$30),"")</x:f>
        <x:v>126.19303711848566</x:v>
      </x:c>
      <x:c r="C1455" s="4" t="n">
        <x:f>A1455*PI()*(3-SQRT(5))</x:f>
        <x:v>3477.5467198768183</x:v>
      </x:c>
      <x:c r="D1455" s="4" t="n">
        <x:f>IF('계산 과정'!$L$5,B1455*COS(C1455),"")</x:f>
        <x:v>-123.76831991768252</x:v>
      </x:c>
      <x:c r="E1455" s="4" t="n">
        <x:f>IF('계산 과정'!$L$5,B1455*SIN(C1455),"")</x:f>
        <x:v>24.618805859377005</x:v>
      </x:c>
      <x:c r="F1455" s="4" t="n">
        <x:f>IF('계산 과정'!$L$7,'계산 과정'!$L$22+'계산 과정'!$C$49*D1455+'계산 과정'!$D$49*E1455,"")</x:f>
        <x:v>737.5174183098593</x:v>
      </x:c>
      <x:c r="G1455" s="4" t="n">
        <x:f>IF('계산 과정'!$L$7,IF(ABS(F1455)&gt;=1E-12*MAX(1,SQRT((D1455-'계산 과정'!$C$33)^2+(E1455-'계산 과정'!$D$33)^2+'계산 과정'!$E$33^2)),('계산 과정'!$L$23-'계산 과정'!$C$49*D1455-'계산 과정'!$D$49*E1455)/F1455,""),"")</x:f>
        <x:v>0.42369518865906264</x:v>
      </x:c>
      <x:c r="H1455" s="4" t="n">
        <x:f>IF(AND(ISNUMBER(G1455),G1455&gt;0),('계산 과정'!$D$56+'계산 과정'!$D$57*D1455+'계산 과정'!$D$58*E1455)/F1455,"")</x:f>
        <x:v>-124.59812737160944</x:v>
      </x:c>
      <x:c r="I1455" s="4" t="n">
        <x:f>IF(AND(ISNUMBER(G1455),G1455&gt;0),('계산 과정'!$E$56+'계산 과정'!$E$57*D1455+'계산 과정'!$E$58*E1455)/F1455,"")</x:f>
        <x:v>35.049675452526586</x:v>
      </x:c>
      <x:c r="J1455" s="4" t="n">
        <x:f>IF('계산 과정'!$L$5,'계산 과정'!$D$6+'계산 과정'!$C$35*D1455+'계산 과정'!$D$35*E1455,"")</x:f>
        <x:v>737.5174183098593</x:v>
      </x:c>
      <x:c r="K1455" s="4" t="n">
        <x:f>IF(AND('계산 과정'!$L$6,J1455&gt;0),'계산 과정'!$D$10*('계산 과정'!$C$38*(D1455-'계산 과정'!$C$32)+'계산 과정'!$D$38*(E1455-'계산 과정'!$D$32)-'계산 과정'!$E$38*'계산 과정'!$E$32)/J1455,"")</x:f>
        <x:v>-0.9493190656884519</x:v>
      </x:c>
      <x:c r="L1455" s="4" t="n">
        <x:f>IF(AND('계산 과정'!$L$6,J1455&gt;0),'계산 과정'!$D$10*('계산 과정'!$C$39*(D1455-'계산 과정'!$C$32)+'계산 과정'!$D$39*(E1455-'계산 과정'!$D$32)-'계산 과정'!$E$39*'계산 과정'!$E$32)/J1455,"")</x:f>
        <x:v>0.26704514630496445</x:v>
      </x:c>
      <x:c r="M1455" s="17" t="n">
        <x:f>IF('계산 과정'!$L$6,IF(J1455&lt;=0,0,IF(AND(ABS(K1455)&lt;='계산 과정'!$D$11/2,ABS(L1455)&lt;='계산 과정'!$D$12/2),1,0)),"")</x:f>
        <x:v>1</x:v>
      </x:c>
      <x:c r="N1455" s="17" t="n">
        <x:f>IF('계산 과정'!$C$78,IF(AND(ISNUMBER(H1455),ISNUMBER(I1455),ABS(H1455-'계산 과정'!$C$88)&lt;='계산 과정'!$D$23/2,ABS(I1455-'계산 과정'!$C$89)&lt;='계산 과정'!$D$24/2),1,0),"")</x:f>
        <x:v>1</x:v>
      </x:c>
      <x:c r="O1455" s="4" t="n">
        <x:f>IF('계산 과정'!$L$7,'계산 과정'!$C$49*('계산 과정'!$C$32-D1455)+'계산 과정'!$D$49*('계산 과정'!$D$32-E1455)+'계산 과정'!$E$49*'계산 과정'!$E$32,"")</x:f>
        <x:v>-87.51741830985924</x:v>
      </x:c>
      <x:c r="P1455" s="4" t="n">
        <x:f>IF(AND('계산 과정'!$L$7,O1455&lt;&gt;0),('계산 과정'!$L$23-'계산 과정'!$C$49*D1455-'계산 과정'!$D$49*E1455)/O1455,"")</x:f>
        <x:v>-3.5705187347252685</x:v>
      </x:c>
      <x:c r="Q1455" s="4" t="str">
        <x:f>IF(AND(ISNUMBER(P1455),P1455&gt;1E-9,P1455&lt;1-1E-9),'계산 과정'!$C$47*(D1455-'계산 과정'!$C$50+P1455*('계산 과정'!$C$32-D1455))+'계산 과정'!$D$47*(E1455-'계산 과정'!$D$50+P1455*('계산 과정'!$D$32-E1455))+'계산 과정'!$E$47*(0-'계산 과정'!$E$50+P1455*('계산 과정'!$E$32-0)),"")</x:f>
      </x:c>
      <x:c r="R1455" s="4" t="str">
        <x:f>IF(AND(ISNUMBER(P1455),P1455&gt;1E-9,P1455&lt;1-1E-9),'계산 과정'!$C$48*(D1455-'계산 과정'!$C$50+P1455*('계산 과정'!$C$32-D1455))+'계산 과정'!$D$48*(E1455-'계산 과정'!$D$50+P1455*('계산 과정'!$D$32-E1455))+'계산 과정'!$E$48*(0-'계산 과정'!$E$50+P1455*('계산 과정'!$E$32-0)),"")</x:f>
      </x:c>
      <x:c r="S1455" s="17" t="n">
        <x:f>IF('계산 과정'!$C$78,IF(AND(ISNUMBER(Q1455),ISNUMBER(R1455),ABS(Q1455-'계산 과정'!$C$88)&lt;='계산 과정'!$D$23/2,ABS(R1455-'계산 과정'!$C$89)&lt;='계산 과정'!$D$24/2),1,0),"")</x:f>
        <x:v>0</x:v>
      </x:c>
      <x:c r="T1455" s="4"/>
      <x:c r="U1455" s="4"/>
      <x:c r="V1455" s="4"/>
      <x:c r="W1455" s="4"/>
      <x:c r="X1455" s="4"/>
      <x:c r="Y1455" s="4"/>
      <x:c r="Z1455" s="4"/>
    </x:row>
    <x:row r="1456" ht="23" customHeight="1">
      <x:c r="A1456" s="17" t="n">
        <x:f>ROW()-6</x:f>
        <x:v>1450</x:v>
      </x:c>
      <x:c r="B1456" s="4" t="n">
        <x:f>IF('계산 과정'!$L$5,'계산 과정'!$L$11*SQRT((A1456+0.5)/'계산 과정'!$L$30),"")</x:f>
        <x:v>126.23655946401779</x:v>
      </x:c>
      <x:c r="C1456" s="4" t="n">
        <x:f>A1456*PI()*(3-SQRT(5))</x:f>
        <x:v>3479.9466831065465</x:v>
      </x:c>
      <x:c r="D1456" s="4" t="n">
        <x:f>IF('계산 과정'!$L$5,B1456*COS(C1456),"")</x:f>
        <x:v>74.65888279015081</x:v>
      </x:c>
      <x:c r="E1456" s="4" t="n">
        <x:f>IF('계산 과정'!$L$5,B1456*SIN(C1456),"")</x:f>
        <x:v>-101.79253492196283</x:v>
      </x:c>
      <x:c r="F1456" s="4" t="n">
        <x:f>IF('계산 과정'!$L$7,'계산 과정'!$L$22+'계산 과정'!$C$49*D1456+'계산 과정'!$D$49*E1456,"")</x:f>
        <x:v>597.2081977032727</x:v>
      </x:c>
      <x:c r="G1456" s="4" t="n">
        <x:f>IF('계산 과정'!$L$7,IF(ABS(F1456)&gt;=1E-12*MAX(1,SQRT((D1456-'계산 과정'!$C$33)^2+(E1456-'계산 과정'!$D$33)^2+'계산 과정'!$E$33^2)),('계산 과정'!$L$23-'계산 과정'!$C$49*D1456-'계산 과정'!$D$49*E1456)/F1456,""),"")</x:f>
        <x:v>0.7581808220953126</x:v>
      </x:c>
      <x:c r="H1456" s="4" t="n">
        <x:f>IF(AND(ISNUMBER(G1456),G1456&gt;0),('계산 과정'!$D$56+'계산 과정'!$D$57*D1456+'계산 과정'!$D$58*E1456)/F1456,"")</x:f>
        <x:v>92.81753436195307</x:v>
      </x:c>
      <x:c r="I1456" s="4" t="n">
        <x:f>IF(AND(ISNUMBER(G1456),G1456&gt;0),('계산 과정'!$E$56+'계산 과정'!$E$57*D1456+'계산 과정'!$E$58*E1456)/F1456,"")</x:f>
        <x:v>-178.9696827322624</x:v>
      </x:c>
      <x:c r="J1456" s="4" t="n">
        <x:f>IF('계산 과정'!$L$5,'계산 과정'!$D$6+'계산 과정'!$C$35*D1456+'계산 과정'!$D$35*E1456,"")</x:f>
        <x:v>597.2081977032727</x:v>
      </x:c>
      <x:c r="K1456" s="4" t="n">
        <x:f>IF(AND('계산 과정'!$L$6,J1456&gt;0),'계산 과정'!$D$10*('계산 과정'!$C$38*(D1456-'계산 과정'!$C$32)+'계산 과정'!$D$38*(E1456-'계산 과정'!$D$32)-'계산 과정'!$E$38*'계산 과정'!$E$32)/J1456,"")</x:f>
        <x:v>0.7071812141863097</x:v>
      </x:c>
      <x:c r="L1456" s="4" t="n">
        <x:f>IF(AND('계산 과정'!$L$6,J1456&gt;0),'계산 과정'!$D$10*('계산 과정'!$C$39*(D1456-'계산 과정'!$C$32)+'계산 과정'!$D$39*(E1456-'계산 과정'!$D$32)-'계산 과정'!$E$39*'계산 과정'!$E$32)/J1456,"")</x:f>
        <x:v>-1.3635785351029517</x:v>
      </x:c>
      <x:c r="M1456" s="17" t="n">
        <x:f>IF('계산 과정'!$L$6,IF(J1456&lt;=0,0,IF(AND(ABS(K1456)&lt;='계산 과정'!$D$11/2,ABS(L1456)&lt;='계산 과정'!$D$12/2),1,0)),"")</x:f>
        <x:v>1</x:v>
      </x:c>
      <x:c r="N1456" s="17" t="n">
        <x:f>IF('계산 과정'!$C$78,IF(AND(ISNUMBER(H1456),ISNUMBER(I1456),ABS(H1456-'계산 과정'!$C$88)&lt;='계산 과정'!$D$23/2,ABS(I1456-'계산 과정'!$C$89)&lt;='계산 과정'!$D$24/2),1,0),"")</x:f>
        <x:v>1</x:v>
      </x:c>
      <x:c r="O1456" s="4" t="n">
        <x:f>IF('계산 과정'!$L$7,'계산 과정'!$C$49*('계산 과정'!$C$32-D1456)+'계산 과정'!$D$49*('계산 과정'!$D$32-E1456)+'계산 과정'!$E$49*'계산 과정'!$E$32,"")</x:f>
        <x:v>52.79180229672738</x:v>
      </x:c>
      <x:c r="P1456" s="4" t="n">
        <x:f>IF(AND('계산 과정'!$L$7,O1456&lt;&gt;0),('계산 과정'!$L$23-'계산 과정'!$C$49*D1456-'계산 과정'!$D$49*E1456)/O1456,"")</x:f>
        <x:v>8.576933966976844</x:v>
      </x:c>
      <x:c r="Q1456" s="4" t="str">
        <x:f>IF(AND(ISNUMBER(P1456),P1456&gt;1E-9,P1456&lt;1-1E-9),'계산 과정'!$C$47*(D1456-'계산 과정'!$C$50+P1456*('계산 과정'!$C$32-D1456))+'계산 과정'!$D$47*(E1456-'계산 과정'!$D$50+P1456*('계산 과정'!$D$32-E1456))+'계산 과정'!$E$47*(0-'계산 과정'!$E$50+P1456*('계산 과정'!$E$32-0)),"")</x:f>
      </x:c>
      <x:c r="R1456" s="4" t="str">
        <x:f>IF(AND(ISNUMBER(P1456),P1456&gt;1E-9,P1456&lt;1-1E-9),'계산 과정'!$C$48*(D1456-'계산 과정'!$C$50+P1456*('계산 과정'!$C$32-D1456))+'계산 과정'!$D$48*(E1456-'계산 과정'!$D$50+P1456*('계산 과정'!$D$32-E1456))+'계산 과정'!$E$48*(0-'계산 과정'!$E$50+P1456*('계산 과정'!$E$32-0)),"")</x:f>
      </x:c>
      <x:c r="S1456" s="17" t="n">
        <x:f>IF('계산 과정'!$C$78,IF(AND(ISNUMBER(Q1456),ISNUMBER(R1456),ABS(Q1456-'계산 과정'!$C$88)&lt;='계산 과정'!$D$23/2,ABS(R1456-'계산 과정'!$C$89)&lt;='계산 과정'!$D$24/2),1,0),"")</x:f>
        <x:v>0</x:v>
      </x:c>
      <x:c r="T1456" s="4"/>
      <x:c r="U1456" s="4"/>
      <x:c r="V1456" s="4"/>
      <x:c r="W1456" s="4"/>
      <x:c r="X1456" s="4"/>
      <x:c r="Y1456" s="4"/>
      <x:c r="Z1456" s="4"/>
    </x:row>
    <x:row r="1457" ht="23" customHeight="1">
      <x:c r="A1457" s="17" t="n">
        <x:f>ROW()-6</x:f>
        <x:v>1451</x:v>
      </x:c>
      <x:c r="B1457" s="4" t="n">
        <x:f>IF('계산 과정'!$L$5,'계산 과정'!$L$11*SQRT((A1457+0.5)/'계산 과정'!$L$30),"")</x:f>
        <x:v>126.28006680960182</x:v>
      </x:c>
      <x:c r="C1457" s="4" t="n">
        <x:f>A1457*PI()*(3-SQRT(5))</x:f>
        <x:v>3482.3466463362756</x:v>
      </x:c>
      <x:c r="D1457" s="4" t="n">
        <x:f>IF('계산 과정'!$L$5,B1457*COS(C1457),"")</x:f>
        <x:v>13.713457431994641</x:v>
      </x:c>
      <x:c r="E1457" s="4" t="n">
        <x:f>IF('계산 과정'!$L$5,B1457*SIN(C1457),"")</x:f>
        <x:v>125.53324802098594</x:v>
      </x:c>
      <x:c r="F1457" s="4" t="n">
        <x:f>IF('계산 과정'!$L$7,'계산 과정'!$L$22+'계산 과정'!$C$49*D1457+'계산 과정'!$D$49*E1457,"")</x:f>
        <x:v>640.3031212563235</x:v>
      </x:c>
      <x:c r="G1457" s="4" t="n">
        <x:f>IF('계산 과정'!$L$7,IF(ABS(F1457)&gt;=1E-12*MAX(1,SQRT((D1457-'계산 과정'!$C$33)^2+(E1457-'계산 과정'!$D$33)^2+'계산 과정'!$E$33^2)),('계산 과정'!$L$23-'계산 과정'!$C$49*D1457-'계산 과정'!$D$49*E1457)/F1457,""),"")</x:f>
        <x:v>0.6398483236186948</x:v>
      </x:c>
      <x:c r="H1457" s="4" t="n">
        <x:f>IF(AND(ISNUMBER(G1457),G1457&gt;0),('계산 과정'!$D$56+'계산 과정'!$D$57*D1457+'계산 과정'!$D$58*E1457)/F1457,"")</x:f>
        <x:v>15.901410352151503</x:v>
      </x:c>
      <x:c r="I1457" s="4" t="n">
        <x:f>IF(AND(ISNUMBER(G1457),G1457&gt;0),('계산 과정'!$E$56+'계산 과정'!$E$57*D1457+'계산 과정'!$E$58*E1457)/F1457,"")</x:f>
        <x:v>205.85548632562364</x:v>
      </x:c>
      <x:c r="J1457" s="4" t="n">
        <x:f>IF('계산 과정'!$L$5,'계산 과정'!$D$6+'계산 과정'!$C$35*D1457+'계산 과정'!$D$35*E1457,"")</x:f>
        <x:v>640.3031212563235</x:v>
      </x:c>
      <x:c r="K1457" s="4" t="n">
        <x:f>IF(AND('계산 과정'!$L$6,J1457&gt;0),'계산 과정'!$D$10*('계산 과정'!$C$38*(D1457-'계산 과정'!$C$32)+'계산 과정'!$D$38*(E1457-'계산 과정'!$D$32)-'계산 과정'!$E$38*'계산 과정'!$E$32)/J1457,"")</x:f>
        <x:v>0.12115360268305968</x:v>
      </x:c>
      <x:c r="L1457" s="4" t="n">
        <x:f>IF(AND('계산 과정'!$L$6,J1457&gt;0),'계산 과정'!$D$10*('계산 과정'!$C$39*(D1457-'계산 과정'!$C$32)+'계산 과정'!$D$39*(E1457-'계산 과정'!$D$32)-'계산 과정'!$E$39*'계산 과정'!$E$32)/J1457,"")</x:f>
        <x:v>1.5684227529571324</x:v>
      </x:c>
      <x:c r="M1457" s="17" t="n">
        <x:f>IF('계산 과정'!$L$6,IF(J1457&lt;=0,0,IF(AND(ABS(K1457)&lt;='계산 과정'!$D$11/2,ABS(L1457)&lt;='계산 과정'!$D$12/2),1,0)),"")</x:f>
        <x:v>1</x:v>
      </x:c>
      <x:c r="N1457" s="17" t="n">
        <x:f>IF('계산 과정'!$C$78,IF(AND(ISNUMBER(H1457),ISNUMBER(I1457),ABS(H1457-'계산 과정'!$C$88)&lt;='계산 과정'!$D$23/2,ABS(I1457-'계산 과정'!$C$89)&lt;='계산 과정'!$D$24/2),1,0),"")</x:f>
        <x:v>1</x:v>
      </x:c>
      <x:c r="O1457" s="4" t="n">
        <x:f>IF('계산 과정'!$L$7,'계산 과정'!$C$49*('계산 과정'!$C$32-D1457)+'계산 과정'!$D$49*('계산 과정'!$D$32-E1457)+'계산 과정'!$E$49*'계산 과정'!$E$32,"")</x:f>
        <x:v>9.696878743676564</x:v>
      </x:c>
      <x:c r="P1457" s="4" t="n">
        <x:f>IF(AND('계산 과정'!$L$7,O1457&lt;&gt;0),('계산 과정'!$L$23-'계산 과정'!$C$49*D1457-'계산 과정'!$D$49*E1457)/O1457,"")</x:f>
        <x:v>42.25038691041115</x:v>
      </x:c>
      <x:c r="Q1457" s="4" t="str">
        <x:f>IF(AND(ISNUMBER(P1457),P1457&gt;1E-9,P1457&lt;1-1E-9),'계산 과정'!$C$47*(D1457-'계산 과정'!$C$50+P1457*('계산 과정'!$C$32-D1457))+'계산 과정'!$D$47*(E1457-'계산 과정'!$D$50+P1457*('계산 과정'!$D$32-E1457))+'계산 과정'!$E$47*(0-'계산 과정'!$E$50+P1457*('계산 과정'!$E$32-0)),"")</x:f>
      </x:c>
      <x:c r="R1457" s="4" t="str">
        <x:f>IF(AND(ISNUMBER(P1457),P1457&gt;1E-9,P1457&lt;1-1E-9),'계산 과정'!$C$48*(D1457-'계산 과정'!$C$50+P1457*('계산 과정'!$C$32-D1457))+'계산 과정'!$D$48*(E1457-'계산 과정'!$D$50+P1457*('계산 과정'!$D$32-E1457))+'계산 과정'!$E$48*(0-'계산 과정'!$E$50+P1457*('계산 과정'!$E$32-0)),"")</x:f>
      </x:c>
      <x:c r="S1457" s="17" t="n">
        <x:f>IF('계산 과정'!$C$78,IF(AND(ISNUMBER(Q1457),ISNUMBER(R1457),ABS(Q1457-'계산 과정'!$C$88)&lt;='계산 과정'!$D$23/2,ABS(R1457-'계산 과정'!$C$89)&lt;='계산 과정'!$D$24/2),1,0),"")</x:f>
        <x:v>0</x:v>
      </x:c>
      <x:c r="T1457" s="4"/>
      <x:c r="U1457" s="4"/>
      <x:c r="V1457" s="4"/>
      <x:c r="W1457" s="4"/>
      <x:c r="X1457" s="4"/>
      <x:c r="Y1457" s="4"/>
      <x:c r="Z1457" s="4"/>
    </x:row>
    <x:row r="1458" ht="23" customHeight="1">
      <x:c r="A1458" s="17" t="n">
        <x:f>ROW()-6</x:f>
        <x:v>1452</x:v>
      </x:c>
      <x:c r="B1458" s="4" t="n">
        <x:f>IF('계산 과정'!$L$5,'계산 과정'!$L$11*SQRT((A1458+0.5)/'계산 과정'!$L$30),"")</x:f>
        <x:v>126.32355917073625</x:v>
      </x:c>
      <x:c r="C1458" s="4" t="n">
        <x:f>A1458*PI()*(3-SQRT(5))</x:f>
        <x:v>3484.7466095660043</x:v>
      </x:c>
      <x:c r="D1458" s="4" t="n">
        <x:f>IF('계산 과정'!$L$5,B1458*COS(C1458),"")</x:f>
        <x:v>-94.94105494018537</x:v>
      </x:c>
      <x:c r="E1458" s="4" t="n">
        <x:f>IF('계산 과정'!$L$5,B1458*SIN(C1458),"")</x:f>
        <x:v>-83.32969271758539</x:v>
      </x:c>
      <x:c r="F1458" s="4" t="n">
        <x:f>IF('계산 과정'!$L$7,'계산 과정'!$L$22+'계산 과정'!$C$49*D1458+'계산 과정'!$D$49*E1458,"")</x:f>
        <x:v>717.1334637612097</x:v>
      </x:c>
      <x:c r="G1458" s="4" t="n">
        <x:f>IF('계산 과정'!$L$7,IF(ABS(F1458)&gt;=1E-12*MAX(1,SQRT((D1458-'계산 과정'!$C$33)^2+(E1458-'계산 과정'!$D$33)^2+'계산 과정'!$E$33^2)),('계산 과정'!$L$23-'계산 과정'!$C$49*D1458-'계산 과정'!$D$49*E1458)/F1458,""),"")</x:f>
        <x:v>0.46416260439580864</x:v>
      </x:c>
      <x:c r="H1458" s="4" t="n">
        <x:f>IF(AND(ISNUMBER(G1458),G1458&gt;0),('계산 과정'!$D$56+'계산 과정'!$D$57*D1458+'계산 과정'!$D$58*E1458)/F1458,"")</x:f>
        <x:v>-98.29430714272448</x:v>
      </x:c>
      <x:c r="I1458" s="4" t="n">
        <x:f>IF(AND(ISNUMBER(G1458),G1458&gt;0),('계산 과정'!$E$56+'계산 과정'!$E$57*D1458+'계산 과정'!$E$58*E1458)/F1458,"")</x:f>
        <x:v>-122.00821991288228</x:v>
      </x:c>
      <x:c r="J1458" s="4" t="n">
        <x:f>IF('계산 과정'!$L$5,'계산 과정'!$D$6+'계산 과정'!$C$35*D1458+'계산 과정'!$D$35*E1458,"")</x:f>
        <x:v>717.1334637612097</x:v>
      </x:c>
      <x:c r="K1458" s="4" t="n">
        <x:f>IF(AND('계산 과정'!$L$6,J1458&gt;0),'계산 과정'!$D$10*('계산 과정'!$C$38*(D1458-'계산 과정'!$C$32)+'계산 과정'!$D$38*(E1458-'계산 과정'!$D$32)-'계산 과정'!$E$38*'계산 과정'!$E$32)/J1458,"")</x:f>
        <x:v>-0.7489090068017096</x:v>
      </x:c>
      <x:c r="L1458" s="4" t="n">
        <x:f>IF(AND('계산 과정'!$L$6,J1458&gt;0),'계산 과정'!$D$10*('계산 과정'!$C$39*(D1458-'계산 과정'!$C$32)+'계산 과정'!$D$39*(E1458-'계산 과정'!$D$32)-'계산 과정'!$E$39*'계산 과정'!$E$32)/J1458,"")</x:f>
        <x:v>-0.929586437431484</x:v>
      </x:c>
      <x:c r="M1458" s="17" t="n">
        <x:f>IF('계산 과정'!$L$6,IF(J1458&lt;=0,0,IF(AND(ABS(K1458)&lt;='계산 과정'!$D$11/2,ABS(L1458)&lt;='계산 과정'!$D$12/2),1,0)),"")</x:f>
        <x:v>1</x:v>
      </x:c>
      <x:c r="N1458" s="17" t="n">
        <x:f>IF('계산 과정'!$C$78,IF(AND(ISNUMBER(H1458),ISNUMBER(I1458),ABS(H1458-'계산 과정'!$C$88)&lt;='계산 과정'!$D$23/2,ABS(I1458-'계산 과정'!$C$89)&lt;='계산 과정'!$D$24/2),1,0),"")</x:f>
        <x:v>1</x:v>
      </x:c>
      <x:c r="O1458" s="4" t="n">
        <x:f>IF('계산 과정'!$L$7,'계산 과정'!$C$49*('계산 과정'!$C$32-D1458)+'계산 과정'!$D$49*('계산 과정'!$D$32-E1458)+'계산 과정'!$E$49*'계산 과정'!$E$32,"")</x:f>
        <x:v>-67.13346376120955</x:v>
      </x:c>
      <x:c r="P1458" s="4" t="n">
        <x:f>IF(AND('계산 과정'!$L$7,O1458&lt;&gt;0),('계산 과정'!$L$23-'계산 과정'!$C$49*D1458-'계산 과정'!$D$49*E1458)/O1458,"")</x:f>
        <x:v>-4.958280380449016</x:v>
      </x:c>
      <x:c r="Q1458" s="4" t="str">
        <x:f>IF(AND(ISNUMBER(P1458),P1458&gt;1E-9,P1458&lt;1-1E-9),'계산 과정'!$C$47*(D1458-'계산 과정'!$C$50+P1458*('계산 과정'!$C$32-D1458))+'계산 과정'!$D$47*(E1458-'계산 과정'!$D$50+P1458*('계산 과정'!$D$32-E1458))+'계산 과정'!$E$47*(0-'계산 과정'!$E$50+P1458*('계산 과정'!$E$32-0)),"")</x:f>
      </x:c>
      <x:c r="R1458" s="4" t="str">
        <x:f>IF(AND(ISNUMBER(P1458),P1458&gt;1E-9,P1458&lt;1-1E-9),'계산 과정'!$C$48*(D1458-'계산 과정'!$C$50+P1458*('계산 과정'!$C$32-D1458))+'계산 과정'!$D$48*(E1458-'계산 과정'!$D$50+P1458*('계산 과정'!$D$32-E1458))+'계산 과정'!$E$48*(0-'계산 과정'!$E$50+P1458*('계산 과정'!$E$32-0)),"")</x:f>
      </x:c>
      <x:c r="S1458" s="17" t="n">
        <x:f>IF('계산 과정'!$C$78,IF(AND(ISNUMBER(Q1458),ISNUMBER(R1458),ABS(Q1458-'계산 과정'!$C$88)&lt;='계산 과정'!$D$23/2,ABS(R1458-'계산 과정'!$C$89)&lt;='계산 과정'!$D$24/2),1,0),"")</x:f>
        <x:v>0</x:v>
      </x:c>
      <x:c r="T1458" s="4"/>
      <x:c r="U1458" s="4"/>
      <x:c r="V1458" s="4"/>
      <x:c r="W1458" s="4"/>
      <x:c r="X1458" s="4"/>
      <x:c r="Y1458" s="4"/>
      <x:c r="Z1458" s="4"/>
    </x:row>
    <x:row r="1459" ht="23" customHeight="1">
      <x:c r="A1459" s="17" t="n">
        <x:f>ROW()-6</x:f>
        <x:v>1453</x:v>
      </x:c>
      <x:c r="B1459" s="4" t="n">
        <x:f>IF('계산 과정'!$L$5,'계산 과정'!$L$11*SQRT((A1459+0.5)/'계산 과정'!$L$30),"")</x:f>
        <x:v>126.36703656289285</x:v>
      </x:c>
      <x:c r="C1459" s="4" t="n">
        <x:f>A1459*PI()*(3-SQRT(5))</x:f>
        <x:v>3487.1465727957325</x:v>
      </x:c>
      <x:c r="D1459" s="4" t="n">
        <x:f>IF('계산 과정'!$L$5,B1459*COS(C1459),"")</x:f>
        <x:v>126.33844537451374</x:v>
      </x:c>
      <x:c r="E1459" s="4" t="n">
        <x:f>IF('계산 과정'!$L$5,B1459*SIN(C1459),"")</x:f>
        <x:v>-2.6879639206105077</x:v>
      </x:c>
      <x:c r="F1459" s="4" t="n">
        <x:f>IF('계산 과정'!$L$7,'계산 과정'!$L$22+'계산 과정'!$C$49*D1459+'계산 과정'!$D$49*E1459,"")</x:f>
        <x:v>560.6652285511151</x:v>
      </x:c>
      <x:c r="G1459" s="4" t="n">
        <x:f>IF('계산 과정'!$L$7,IF(ABS(F1459)&gt;=1E-12*MAX(1,SQRT((D1459-'계산 과정'!$C$33)^2+(E1459-'계산 과정'!$D$33)^2+'계산 과정'!$E$33^2)),('계산 과정'!$L$23-'계산 과정'!$C$49*D1459-'계산 과정'!$D$49*E1459)/F1459,""),"")</x:f>
        <x:v>0.8727753149833026</x:v>
      </x:c>
      <x:c r="H1459" s="4" t="n">
        <x:f>IF(AND(ISNUMBER(G1459),G1459&gt;0),('계산 과정'!$D$56+'계산 과정'!$D$57*D1459+'계산 과정'!$D$58*E1459)/F1459,"")</x:f>
        <x:v>167.30395473914666</x:v>
      </x:c>
      <x:c r="I1459" s="4" t="n">
        <x:f>IF(AND(ISNUMBER(G1459),G1459&gt;0),('계산 과정'!$E$56+'계산 과정'!$E$57*D1459+'계산 과정'!$E$58*E1459)/F1459,"")</x:f>
        <x:v>-5.033952478085097</x:v>
      </x:c>
      <x:c r="J1459" s="4" t="n">
        <x:f>IF('계산 과정'!$L$5,'계산 과정'!$D$6+'계산 과정'!$C$35*D1459+'계산 과정'!$D$35*E1459,"")</x:f>
        <x:v>560.6652285511151</x:v>
      </x:c>
      <x:c r="K1459" s="4" t="n">
        <x:f>IF(AND('계산 과정'!$L$6,J1459&gt;0),'계산 과정'!$D$10*('계산 과정'!$C$38*(D1459-'계산 과정'!$C$32)+'계산 과정'!$D$38*(E1459-'계산 과정'!$D$32)-'계산 과정'!$E$38*'계산 과정'!$E$32)/J1459,"")</x:f>
        <x:v>1.274696798012547</x:v>
      </x:c>
      <x:c r="L1459" s="4" t="n">
        <x:f>IF(AND('계산 과정'!$L$6,J1459&gt;0),'계산 과정'!$D$10*('계산 과정'!$C$39*(D1459-'계산 과정'!$C$32)+'계산 과정'!$D$39*(E1459-'계산 과정'!$D$32)-'계산 과정'!$E$39*'계산 과정'!$E$32)/J1459,"")</x:f>
        <x:v>-0.03835392364255312</x:v>
      </x:c>
      <x:c r="M1459" s="17" t="n">
        <x:f>IF('계산 과정'!$L$6,IF(J1459&lt;=0,0,IF(AND(ABS(K1459)&lt;='계산 과정'!$D$11/2,ABS(L1459)&lt;='계산 과정'!$D$12/2),1,0)),"")</x:f>
        <x:v>1</x:v>
      </x:c>
      <x:c r="N1459" s="17" t="n">
        <x:f>IF('계산 과정'!$C$78,IF(AND(ISNUMBER(H1459),ISNUMBER(I1459),ABS(H1459-'계산 과정'!$C$88)&lt;='계산 과정'!$D$23/2,ABS(I1459-'계산 과정'!$C$89)&lt;='계산 과정'!$D$24/2),1,0),"")</x:f>
        <x:v>1</x:v>
      </x:c>
      <x:c r="O1459" s="4" t="n">
        <x:f>IF('계산 과정'!$L$7,'계산 과정'!$C$49*('계산 과정'!$C$32-D1459)+'계산 과정'!$D$49*('계산 과정'!$D$32-E1459)+'계산 과정'!$E$49*'계산 과정'!$E$32,"")</x:f>
        <x:v>89.334771448885</x:v>
      </x:c>
      <x:c r="P1459" s="4" t="n">
        <x:f>IF(AND('계산 과정'!$L$7,O1459&lt;&gt;0),('계산 과정'!$L$23-'계산 과정'!$C$49*D1459-'계산 과정'!$D$49*E1459)/O1459,"")</x:f>
        <x:v>5.4775398594809115</x:v>
      </x:c>
      <x:c r="Q1459" s="4" t="str">
        <x:f>IF(AND(ISNUMBER(P1459),P1459&gt;1E-9,P1459&lt;1-1E-9),'계산 과정'!$C$47*(D1459-'계산 과정'!$C$50+P1459*('계산 과정'!$C$32-D1459))+'계산 과정'!$D$47*(E1459-'계산 과정'!$D$50+P1459*('계산 과정'!$D$32-E1459))+'계산 과정'!$E$47*(0-'계산 과정'!$E$50+P1459*('계산 과정'!$E$32-0)),"")</x:f>
      </x:c>
      <x:c r="R1459" s="4" t="str">
        <x:f>IF(AND(ISNUMBER(P1459),P1459&gt;1E-9,P1459&lt;1-1E-9),'계산 과정'!$C$48*(D1459-'계산 과정'!$C$50+P1459*('계산 과정'!$C$32-D1459))+'계산 과정'!$D$48*(E1459-'계산 과정'!$D$50+P1459*('계산 과정'!$D$32-E1459))+'계산 과정'!$E$48*(0-'계산 과정'!$E$50+P1459*('계산 과정'!$E$32-0)),"")</x:f>
      </x:c>
      <x:c r="S1459" s="17" t="n">
        <x:f>IF('계산 과정'!$C$78,IF(AND(ISNUMBER(Q1459),ISNUMBER(R1459),ABS(Q1459-'계산 과정'!$C$88)&lt;='계산 과정'!$D$23/2,ABS(R1459-'계산 과정'!$C$89)&lt;='계산 과정'!$D$24/2),1,0),"")</x:f>
        <x:v>0</x:v>
      </x:c>
      <x:c r="T1459" s="4"/>
      <x:c r="U1459" s="4"/>
      <x:c r="V1459" s="4"/>
      <x:c r="W1459" s="4"/>
      <x:c r="X1459" s="4"/>
      <x:c r="Y1459" s="4"/>
      <x:c r="Z1459" s="4"/>
    </x:row>
    <x:row r="1460" ht="23" customHeight="1">
      <x:c r="A1460" s="17" t="n">
        <x:f>ROW()-6</x:f>
        <x:v>1454</x:v>
      </x:c>
      <x:c r="B1460" s="4" t="n">
        <x:f>IF('계산 과정'!$L$5,'계산 과정'!$L$11*SQRT((A1460+0.5)/'계산 과정'!$L$30),"")</x:f>
        <x:v>126.41049900151687</x:v>
      </x:c>
      <x:c r="C1460" s="4" t="n">
        <x:f>A1460*PI()*(3-SQRT(5))</x:f>
        <x:v>3489.5465360254616</x:v>
      </x:c>
      <x:c r="D1460" s="4" t="n">
        <x:f>IF('계산 과정'!$L$5,B1460*COS(C1460),"")</x:f>
        <x:v>-91.37376029673489</x:v>
      </x:c>
      <x:c r="E1460" s="4" t="n">
        <x:f>IF('계산 과정'!$L$5,B1460*SIN(C1460),"")</x:f>
        <x:v>87.35244808846133</x:v>
      </x:c>
      <x:c r="F1460" s="4" t="n">
        <x:f>IF('계산 과정'!$L$7,'계산 과정'!$L$22+'계산 과정'!$C$49*D1460+'계산 과정'!$D$49*E1460,"")</x:f>
        <x:v>714.6110055283353</x:v>
      </x:c>
      <x:c r="G1460" s="4" t="n">
        <x:f>IF('계산 과정'!$L$7,IF(ABS(F1460)&gt;=1E-12*MAX(1,SQRT((D1460-'계산 과정'!$C$33)^2+(E1460-'계산 과정'!$D$33)^2+'계산 과정'!$E$33^2)),('계산 과정'!$L$23-'계산 과정'!$C$49*D1460-'계산 과정'!$D$49*E1460)/F1460,""),"")</x:f>
        <x:v>0.46933085535633556</x:v>
      </x:c>
      <x:c r="H1460" s="4" t="n">
        <x:f>IF(AND(ISNUMBER(G1460),G1460&gt;0),('계산 과정'!$D$56+'계산 과정'!$D$57*D1460+'계산 과정'!$D$58*E1460)/F1460,"")</x:f>
        <x:v>-94.93494401838205</x:v>
      </x:c>
      <x:c r="I1460" s="4" t="n">
        <x:f>IF(AND(ISNUMBER(G1460),G1460&gt;0),('계산 과정'!$E$56+'계산 과정'!$E$57*D1460+'계산 과정'!$E$58*E1460)/F1460,"")</x:f>
        <x:v>128.3496472672888</x:v>
      </x:c>
      <x:c r="J1460" s="4" t="n">
        <x:f>IF('계산 과정'!$L$5,'계산 과정'!$D$6+'계산 과정'!$C$35*D1460+'계산 과정'!$D$35*E1460,"")</x:f>
        <x:v>714.6110055283353</x:v>
      </x:c>
      <x:c r="K1460" s="4" t="n">
        <x:f>IF(AND('계산 과정'!$L$6,J1460&gt;0),'계산 과정'!$D$10*('계산 과정'!$C$38*(D1460-'계산 과정'!$C$32)+'계산 과정'!$D$38*(E1460-'계산 과정'!$D$32)-'계산 과정'!$E$38*'계산 과정'!$E$32)/J1460,"")</x:f>
        <x:v>-0.7233138591876715</x:v>
      </x:c>
      <x:c r="L1460" s="4" t="n">
        <x:f>IF(AND('계산 과정'!$L$6,J1460&gt;0),'계산 과정'!$D$10*('계산 과정'!$C$39*(D1460-'계산 과정'!$C$32)+'계산 과정'!$D$39*(E1460-'계산 과정'!$D$32)-'계산 과정'!$E$39*'계산 과정'!$E$32)/J1460,"")</x:f>
        <x:v>0.9779020744174384</x:v>
      </x:c>
      <x:c r="M1460" s="17" t="n">
        <x:f>IF('계산 과정'!$L$6,IF(J1460&lt;=0,0,IF(AND(ABS(K1460)&lt;='계산 과정'!$D$11/2,ABS(L1460)&lt;='계산 과정'!$D$12/2),1,0)),"")</x:f>
        <x:v>1</x:v>
      </x:c>
      <x:c r="N1460" s="17" t="n">
        <x:f>IF('계산 과정'!$C$78,IF(AND(ISNUMBER(H1460),ISNUMBER(I1460),ABS(H1460-'계산 과정'!$C$88)&lt;='계산 과정'!$D$23/2,ABS(I1460-'계산 과정'!$C$89)&lt;='계산 과정'!$D$24/2),1,0),"")</x:f>
        <x:v>1</x:v>
      </x:c>
      <x:c r="O1460" s="4" t="n">
        <x:f>IF('계산 과정'!$L$7,'계산 과정'!$C$49*('계산 과정'!$C$32-D1460)+'계산 과정'!$D$49*('계산 과정'!$D$32-E1460)+'계산 과정'!$E$49*'계산 과정'!$E$32,"")</x:f>
        <x:v>-64.61100552833523</x:v>
      </x:c>
      <x:c r="P1460" s="4" t="n">
        <x:f>IF(AND('계산 과정'!$L$7,O1460&lt;&gt;0),('계산 과정'!$L$23-'계산 과정'!$C$49*D1460-'계산 과정'!$D$49*E1460)/O1460,"")</x:f>
        <x:v>-5.190895757296015</x:v>
      </x:c>
      <x:c r="Q1460" s="4" t="str">
        <x:f>IF(AND(ISNUMBER(P1460),P1460&gt;1E-9,P1460&lt;1-1E-9),'계산 과정'!$C$47*(D1460-'계산 과정'!$C$50+P1460*('계산 과정'!$C$32-D1460))+'계산 과정'!$D$47*(E1460-'계산 과정'!$D$50+P1460*('계산 과정'!$D$32-E1460))+'계산 과정'!$E$47*(0-'계산 과정'!$E$50+P1460*('계산 과정'!$E$32-0)),"")</x:f>
      </x:c>
      <x:c r="R1460" s="4" t="str">
        <x:f>IF(AND(ISNUMBER(P1460),P1460&gt;1E-9,P1460&lt;1-1E-9),'계산 과정'!$C$48*(D1460-'계산 과정'!$C$50+P1460*('계산 과정'!$C$32-D1460))+'계산 과정'!$D$48*(E1460-'계산 과정'!$D$50+P1460*('계산 과정'!$D$32-E1460))+'계산 과정'!$E$48*(0-'계산 과정'!$E$50+P1460*('계산 과정'!$E$32-0)),"")</x:f>
      </x:c>
      <x:c r="S1460" s="17" t="n">
        <x:f>IF('계산 과정'!$C$78,IF(AND(ISNUMBER(Q1460),ISNUMBER(R1460),ABS(Q1460-'계산 과정'!$C$88)&lt;='계산 과정'!$D$23/2,ABS(R1460-'계산 과정'!$C$89)&lt;='계산 과정'!$D$24/2),1,0),"")</x:f>
        <x:v>0</x:v>
      </x:c>
      <x:c r="T1460" s="4"/>
      <x:c r="U1460" s="4"/>
      <x:c r="V1460" s="4"/>
      <x:c r="W1460" s="4"/>
      <x:c r="X1460" s="4"/>
      <x:c r="Y1460" s="4"/>
      <x:c r="Z1460" s="4"/>
    </x:row>
    <x:row r="1461" ht="23" customHeight="1">
      <x:c r="A1461" s="17" t="n">
        <x:f>ROW()-6</x:f>
        <x:v>1455</x:v>
      </x:c>
      <x:c r="B1461" s="4" t="n">
        <x:f>IF('계산 과정'!$L$5,'계산 과정'!$L$11*SQRT((A1461+0.5)/'계산 과정'!$L$30),"")</x:f>
        <x:v>126.45394650202697</x:v>
      </x:c>
      <x:c r="C1461" s="4" t="n">
        <x:f>A1461*PI()*(3-SQRT(5))</x:f>
        <x:v>3491.94649925519</x:v>
      </x:c>
      <x:c r="D1461" s="4" t="n">
        <x:f>IF('계산 과정'!$L$5,B1461*COS(C1461),"")</x:f>
        <x:v>8.373313184982292</x:v>
      </x:c>
      <x:c r="E1461" s="4" t="n">
        <x:f>IF('계산 과정'!$L$5,B1461*SIN(C1461),"")</x:f>
        <x:v>-126.1764170209461</x:v>
      </x:c>
      <x:c r="F1461" s="4" t="n">
        <x:f>IF('계산 과정'!$L$7,'계산 과정'!$L$22+'계산 과정'!$C$49*D1461+'계산 과정'!$D$49*E1461,"")</x:f>
        <x:v>644.0791734659003</x:v>
      </x:c>
      <x:c r="G1461" s="4" t="n">
        <x:f>IF('계산 과정'!$L$7,IF(ABS(F1461)&gt;=1E-12*MAX(1,SQRT((D1461-'계산 과정'!$C$33)^2+(E1461-'계산 과정'!$D$33)^2+'계산 과정'!$E$33^2)),('계산 과정'!$L$23-'계산 과정'!$C$49*D1461-'계산 과정'!$D$49*E1461)/F1461,""),"")</x:f>
        <x:v>0.6302343613282358</x:v>
      </x:c>
      <x:c r="H1461" s="4" t="n">
        <x:f>IF(AND(ISNUMBER(G1461),G1461&gt;0),('계산 과정'!$D$56+'계산 과정'!$D$57*D1461+'계산 과정'!$D$58*E1461)/F1461,"")</x:f>
        <x:v>9.652334863353195</x:v>
      </x:c>
      <x:c r="I1461" s="4" t="n">
        <x:f>IF(AND(ISNUMBER(G1461),G1461&gt;0),('계산 과정'!$E$56+'계산 과정'!$E$57*D1461+'계산 과정'!$E$58*E1461)/F1461,"")</x:f>
        <x:v>-205.69713061682722</x:v>
      </x:c>
      <x:c r="J1461" s="4" t="n">
        <x:f>IF('계산 과정'!$L$5,'계산 과정'!$D$6+'계산 과정'!$C$35*D1461+'계산 과정'!$D$35*E1461,"")</x:f>
        <x:v>644.0791734659003</x:v>
      </x:c>
      <x:c r="K1461" s="4" t="n">
        <x:f>IF(AND('계산 과정'!$L$6,J1461&gt;0),'계산 과정'!$D$10*('계산 과정'!$C$38*(D1461-'계산 과정'!$C$32)+'계산 과정'!$D$38*(E1461-'계산 과정'!$D$32)-'계산 과정'!$E$38*'계산 과정'!$E$32)/J1461,"")</x:f>
        <x:v>0.07354159895888247</x:v>
      </x:c>
      <x:c r="L1461" s="4" t="n">
        <x:f>IF(AND('계산 과정'!$L$6,J1461&gt;0),'계산 과정'!$D$10*('계산 과정'!$C$39*(D1461-'계산 과정'!$C$32)+'계산 과정'!$D$39*(E1461-'계산 과정'!$D$32)-'계산 과정'!$E$39*'계산 과정'!$E$32)/J1461,"")</x:f>
        <x:v>-1.5672162332710644</x:v>
      </x:c>
      <x:c r="M1461" s="17" t="n">
        <x:f>IF('계산 과정'!$L$6,IF(J1461&lt;=0,0,IF(AND(ABS(K1461)&lt;='계산 과정'!$D$11/2,ABS(L1461)&lt;='계산 과정'!$D$12/2),1,0)),"")</x:f>
        <x:v>1</x:v>
      </x:c>
      <x:c r="N1461" s="17" t="n">
        <x:f>IF('계산 과정'!$C$78,IF(AND(ISNUMBER(H1461),ISNUMBER(I1461),ABS(H1461-'계산 과정'!$C$88)&lt;='계산 과정'!$D$23/2,ABS(I1461-'계산 과정'!$C$89)&lt;='계산 과정'!$D$24/2),1,0),"")</x:f>
        <x:v>1</x:v>
      </x:c>
      <x:c r="O1461" s="4" t="n">
        <x:f>IF('계산 과정'!$L$7,'계산 과정'!$C$49*('계산 과정'!$C$32-D1461)+'계산 과정'!$D$49*('계산 과정'!$D$32-E1461)+'계산 과정'!$E$49*'계산 과정'!$E$32,"")</x:f>
        <x:v>5.920826534099831</x:v>
      </x:c>
      <x:c r="P1461" s="4" t="n">
        <x:f>IF(AND('계산 과정'!$L$7,O1461&lt;&gt;0),('계산 과정'!$L$23-'계산 과정'!$C$49*D1461-'계산 과정'!$D$49*E1461)/O1461,"")</x:f>
        <x:v>68.55813528673386</x:v>
      </x:c>
      <x:c r="Q1461" s="4" t="str">
        <x:f>IF(AND(ISNUMBER(P1461),P1461&gt;1E-9,P1461&lt;1-1E-9),'계산 과정'!$C$47*(D1461-'계산 과정'!$C$50+P1461*('계산 과정'!$C$32-D1461))+'계산 과정'!$D$47*(E1461-'계산 과정'!$D$50+P1461*('계산 과정'!$D$32-E1461))+'계산 과정'!$E$47*(0-'계산 과정'!$E$50+P1461*('계산 과정'!$E$32-0)),"")</x:f>
      </x:c>
      <x:c r="R1461" s="4" t="str">
        <x:f>IF(AND(ISNUMBER(P1461),P1461&gt;1E-9,P1461&lt;1-1E-9),'계산 과정'!$C$48*(D1461-'계산 과정'!$C$50+P1461*('계산 과정'!$C$32-D1461))+'계산 과정'!$D$48*(E1461-'계산 과정'!$D$50+P1461*('계산 과정'!$D$32-E1461))+'계산 과정'!$E$48*(0-'계산 과정'!$E$50+P1461*('계산 과정'!$E$32-0)),"")</x:f>
      </x:c>
      <x:c r="S1461" s="17" t="n">
        <x:f>IF('계산 과정'!$C$78,IF(AND(ISNUMBER(Q1461),ISNUMBER(R1461),ABS(Q1461-'계산 과정'!$C$88)&lt;='계산 과정'!$D$23/2,ABS(R1461-'계산 과정'!$C$89)&lt;='계산 과정'!$D$24/2),1,0),"")</x:f>
        <x:v>0</x:v>
      </x:c>
      <x:c r="T1461" s="4"/>
      <x:c r="U1461" s="4"/>
      <x:c r="V1461" s="4"/>
      <x:c r="W1461" s="4"/>
      <x:c r="X1461" s="4"/>
      <x:c r="Y1461" s="4"/>
      <x:c r="Z1461" s="4"/>
    </x:row>
    <x:row r="1462" ht="23" customHeight="1">
      <x:c r="A1462" s="17" t="n">
        <x:f>ROW()-6</x:f>
        <x:v>1456</x:v>
      </x:c>
      <x:c r="B1462" s="4" t="n">
        <x:f>IF('계산 과정'!$L$5,'계산 과정'!$L$11*SQRT((A1462+0.5)/'계산 과정'!$L$30),"")</x:f>
        <x:v>126.49737907981533</x:v>
      </x:c>
      <x:c r="C1462" s="4" t="n">
        <x:f>A1462*PI()*(3-SQRT(5))</x:f>
        <x:v>3494.3464624849184</x:v>
      </x:c>
      <x:c r="D1462" s="4" t="n">
        <x:f>IF('계산 과정'!$L$5,B1462*COS(C1462),"")</x:f>
        <x:v>79.08387777689103</x:v>
      </x:c>
      <x:c r="E1462" s="4" t="n">
        <x:f>IF('계산 과정'!$L$5,B1462*SIN(C1462),"")</x:f>
        <x:v>98.72855306258803</x:v>
      </x:c>
      <x:c r="F1462" s="4" t="n">
        <x:f>IF('계산 과정'!$L$7,'계산 과정'!$L$22+'계산 과정'!$C$49*D1462+'계산 과정'!$D$49*E1462,"")</x:f>
        <x:v>594.0792537414322</x:v>
      </x:c>
      <x:c r="G1462" s="4" t="n">
        <x:f>IF('계산 과정'!$L$7,IF(ABS(F1462)&gt;=1E-12*MAX(1,SQRT((D1462-'계산 과정'!$C$33)^2+(E1462-'계산 과정'!$D$33)^2+'계산 과정'!$E$33^2)),('계산 과정'!$L$23-'계산 과정'!$C$49*D1462-'계산 과정'!$D$49*E1462)/F1462,""),"")</x:f>
        <x:v>0.7674409489764866</x:v>
      </x:c>
      <x:c r="H1462" s="4" t="n">
        <x:f>IF(AND(ISNUMBER(G1462),G1462&gt;0),('계산 과정'!$D$56+'계산 과정'!$D$57*D1462+'계산 과정'!$D$58*E1462)/F1462,"")</x:f>
        <x:v>98.83661683471621</x:v>
      </x:c>
      <x:c r="I1462" s="4" t="n">
        <x:f>IF(AND(ISNUMBER(G1462),G1462&gt;0),('계산 과정'!$E$56+'계산 과정'!$E$57*D1462+'계산 과정'!$E$58*E1462)/F1462,"")</x:f>
        <x:v>174.49688751601602</x:v>
      </x:c>
      <x:c r="J1462" s="4" t="n">
        <x:f>IF('계산 과정'!$L$5,'계산 과정'!$D$6+'계산 과정'!$C$35*D1462+'계산 과정'!$D$35*E1462,"")</x:f>
        <x:v>594.0792537414322</x:v>
      </x:c>
      <x:c r="K1462" s="4" t="n">
        <x:f>IF(AND('계산 과정'!$L$6,J1462&gt;0),'계산 과정'!$D$10*('계산 과정'!$C$38*(D1462-'계산 과정'!$C$32)+'계산 과정'!$D$38*(E1462-'계산 과정'!$D$32)-'계산 과정'!$E$38*'계산 과정'!$E$32)/J1462,"")</x:f>
        <x:v>0.7530408901692672</x:v>
      </x:c>
      <x:c r="L1462" s="4" t="n">
        <x:f>IF(AND('계산 과정'!$L$6,J1462&gt;0),'계산 과정'!$D$10*('계산 과정'!$C$39*(D1462-'계산 과정'!$C$32)+'계산 과정'!$D$39*(E1462-'계산 과정'!$D$32)-'계산 과정'!$E$39*'계산 과정'!$E$32)/J1462,"")</x:f>
        <x:v>1.329500095360122</x:v>
      </x:c>
      <x:c r="M1462" s="17" t="n">
        <x:f>IF('계산 과정'!$L$6,IF(J1462&lt;=0,0,IF(AND(ABS(K1462)&lt;='계산 과정'!$D$11/2,ABS(L1462)&lt;='계산 과정'!$D$12/2),1,0)),"")</x:f>
        <x:v>1</x:v>
      </x:c>
      <x:c r="N1462" s="17" t="n">
        <x:f>IF('계산 과정'!$C$78,IF(AND(ISNUMBER(H1462),ISNUMBER(I1462),ABS(H1462-'계산 과정'!$C$88)&lt;='계산 과정'!$D$23/2,ABS(I1462-'계산 과정'!$C$89)&lt;='계산 과정'!$D$24/2),1,0),"")</x:f>
        <x:v>1</x:v>
      </x:c>
      <x:c r="O1462" s="4" t="n">
        <x:f>IF('계산 과정'!$L$7,'계산 과정'!$C$49*('계산 과정'!$C$32-D1462)+'계산 과정'!$D$49*('계산 과정'!$D$32-E1462)+'계산 과정'!$E$49*'계산 과정'!$E$32,"")</x:f>
        <x:v>55.920746258567874</x:v>
      </x:c>
      <x:c r="P1462" s="4" t="n">
        <x:f>IF(AND('계산 과정'!$L$7,O1462&lt;&gt;0),('계산 과정'!$L$23-'계산 과정'!$C$49*D1462-'계산 과정'!$D$49*E1462)/O1462,"")</x:f>
        <x:v>8.152980365291782</x:v>
      </x:c>
      <x:c r="Q1462" s="4" t="str">
        <x:f>IF(AND(ISNUMBER(P1462),P1462&gt;1E-9,P1462&lt;1-1E-9),'계산 과정'!$C$47*(D1462-'계산 과정'!$C$50+P1462*('계산 과정'!$C$32-D1462))+'계산 과정'!$D$47*(E1462-'계산 과정'!$D$50+P1462*('계산 과정'!$D$32-E1462))+'계산 과정'!$E$47*(0-'계산 과정'!$E$50+P1462*('계산 과정'!$E$32-0)),"")</x:f>
      </x:c>
      <x:c r="R1462" s="4" t="str">
        <x:f>IF(AND(ISNUMBER(P1462),P1462&gt;1E-9,P1462&lt;1-1E-9),'계산 과정'!$C$48*(D1462-'계산 과정'!$C$50+P1462*('계산 과정'!$C$32-D1462))+'계산 과정'!$D$48*(E1462-'계산 과정'!$D$50+P1462*('계산 과정'!$D$32-E1462))+'계산 과정'!$E$48*(0-'계산 과정'!$E$50+P1462*('계산 과정'!$E$32-0)),"")</x:f>
      </x:c>
      <x:c r="S1462" s="17" t="n">
        <x:f>IF('계산 과정'!$C$78,IF(AND(ISNUMBER(Q1462),ISNUMBER(R1462),ABS(Q1462-'계산 과정'!$C$88)&lt;='계산 과정'!$D$23/2,ABS(R1462-'계산 과정'!$C$89)&lt;='계산 과정'!$D$24/2),1,0),"")</x:f>
        <x:v>0</x:v>
      </x:c>
      <x:c r="T1462" s="4"/>
      <x:c r="U1462" s="4"/>
      <x:c r="V1462" s="4"/>
      <x:c r="W1462" s="4"/>
      <x:c r="X1462" s="4"/>
      <x:c r="Y1462" s="4"/>
      <x:c r="Z1462" s="4"/>
    </x:row>
    <x:row r="1463" ht="23" customHeight="1">
      <x:c r="A1463" s="17" t="n">
        <x:f>ROW()-6</x:f>
        <x:v>1457</x:v>
      </x:c>
      <x:c r="B1463" s="4" t="n">
        <x:f>IF('계산 과정'!$L$5,'계산 과정'!$L$11*SQRT((A1463+0.5)/'계산 과정'!$L$30),"")</x:f>
        <x:v>126.5407967502477</x:v>
      </x:c>
      <x:c r="C1463" s="4" t="n">
        <x:f>A1463*PI()*(3-SQRT(5))</x:f>
        <x:v>3496.7464257146476</x:v>
      </x:c>
      <x:c r="D1463" s="4" t="n">
        <x:f>IF('계산 과정'!$L$5,B1463*COS(C1463),"")</x:f>
        <x:v>-125.0470747471167</x:v>
      </x:c>
      <x:c r="E1463" s="4" t="n">
        <x:f>IF('계산 과정'!$L$5,B1463*SIN(C1463),"")</x:f>
        <x:v>-19.38562197548756</x:v>
      </x:c>
      <x:c r="F1463" s="4" t="n">
        <x:f>IF('계산 과정'!$L$7,'계산 과정'!$L$22+'계산 과정'!$C$49*D1463+'계산 과정'!$D$49*E1463,"")</x:f>
        <x:v>738.4216345212272</x:v>
      </x:c>
      <x:c r="G1463" s="4" t="n">
        <x:f>IF('계산 과정'!$L$7,IF(ABS(F1463)&gt;=1E-12*MAX(1,SQRT((D1463-'계산 과정'!$C$33)^2+(E1463-'계산 과정'!$D$33)^2+'계산 과정'!$E$33^2)),('계산 과정'!$L$23-'계산 과정'!$C$49*D1463-'계산 과정'!$D$49*E1463)/F1463,""),"")</x:f>
        <x:v>0.42195183742252046</x:v>
      </x:c>
      <x:c r="H1463" s="4" t="n">
        <x:f>IF(AND(ISNUMBER(G1463),G1463&gt;0),('계산 과정'!$D$56+'계산 과정'!$D$57*D1463+'계산 과정'!$D$58*E1463)/F1463,"")</x:f>
        <x:v>-125.73130567536185</x:v>
      </x:c>
      <x:c r="I1463" s="4" t="n">
        <x:f>IF(AND(ISNUMBER(G1463),G1463&gt;0),('계산 과정'!$E$56+'계산 과정'!$E$57*D1463+'계산 과정'!$E$58*E1463)/F1463,"")</x:f>
        <x:v>-27.565420787622926</x:v>
      </x:c>
      <x:c r="J1463" s="4" t="n">
        <x:f>IF('계산 과정'!$L$5,'계산 과정'!$D$6+'계산 과정'!$C$35*D1463+'계산 과정'!$D$35*E1463,"")</x:f>
        <x:v>738.4216345212272</x:v>
      </x:c>
      <x:c r="K1463" s="4" t="n">
        <x:f>IF(AND('계산 과정'!$L$6,J1463&gt;0),'계산 과정'!$D$10*('계산 과정'!$C$38*(D1463-'계산 과정'!$C$32)+'계산 과정'!$D$38*(E1463-'계산 과정'!$D$32)-'계산 과정'!$E$38*'계산 과정'!$E$32)/J1463,"")</x:f>
        <x:v>-0.9579528051456127</x:v>
      </x:c>
      <x:c r="L1463" s="4" t="n">
        <x:f>IF(AND('계산 과정'!$L$6,J1463&gt;0),'계산 과정'!$D$10*('계산 과정'!$C$39*(D1463-'계산 과정'!$C$32)+'계산 과정'!$D$39*(E1463-'계산 과정'!$D$32)-'계산 과정'!$E$39*'계산 과정'!$E$32)/J1463,"")</x:f>
        <x:v>-0.21002225361998422</x:v>
      </x:c>
      <x:c r="M1463" s="17" t="n">
        <x:f>IF('계산 과정'!$L$6,IF(J1463&lt;=0,0,IF(AND(ABS(K1463)&lt;='계산 과정'!$D$11/2,ABS(L1463)&lt;='계산 과정'!$D$12/2),1,0)),"")</x:f>
        <x:v>1</x:v>
      </x:c>
      <x:c r="N1463" s="17" t="n">
        <x:f>IF('계산 과정'!$C$78,IF(AND(ISNUMBER(H1463),ISNUMBER(I1463),ABS(H1463-'계산 과정'!$C$88)&lt;='계산 과정'!$D$23/2,ABS(I1463-'계산 과정'!$C$89)&lt;='계산 과정'!$D$24/2),1,0),"")</x:f>
        <x:v>1</x:v>
      </x:c>
      <x:c r="O1463" s="4" t="n">
        <x:f>IF('계산 과정'!$L$7,'계산 과정'!$C$49*('계산 과정'!$C$32-D1463)+'계산 과정'!$D$49*('계산 과정'!$D$32-E1463)+'계산 과정'!$E$49*'계산 과정'!$E$32,"")</x:f>
        <x:v>-88.42163452122713</x:v>
      </x:c>
      <x:c r="P1463" s="4" t="n">
        <x:f>IF(AND('계산 과정'!$L$7,O1463&lt;&gt;0),('계산 과정'!$L$23-'계산 과정'!$C$49*D1463-'계산 과정'!$D$49*E1463)/O1463,"")</x:f>
        <x:v>-3.5237797532907282</x:v>
      </x:c>
      <x:c r="Q1463" s="4" t="str">
        <x:f>IF(AND(ISNUMBER(P1463),P1463&gt;1E-9,P1463&lt;1-1E-9),'계산 과정'!$C$47*(D1463-'계산 과정'!$C$50+P1463*('계산 과정'!$C$32-D1463))+'계산 과정'!$D$47*(E1463-'계산 과정'!$D$50+P1463*('계산 과정'!$D$32-E1463))+'계산 과정'!$E$47*(0-'계산 과정'!$E$50+P1463*('계산 과정'!$E$32-0)),"")</x:f>
      </x:c>
      <x:c r="R1463" s="4" t="str">
        <x:f>IF(AND(ISNUMBER(P1463),P1463&gt;1E-9,P1463&lt;1-1E-9),'계산 과정'!$C$48*(D1463-'계산 과정'!$C$50+P1463*('계산 과정'!$C$32-D1463))+'계산 과정'!$D$48*(E1463-'계산 과정'!$D$50+P1463*('계산 과정'!$D$32-E1463))+'계산 과정'!$E$48*(0-'계산 과정'!$E$50+P1463*('계산 과정'!$E$32-0)),"")</x:f>
      </x:c>
      <x:c r="S1463" s="17" t="n">
        <x:f>IF('계산 과정'!$C$78,IF(AND(ISNUMBER(Q1463),ISNUMBER(R1463),ABS(Q1463-'계산 과정'!$C$88)&lt;='계산 과정'!$D$23/2,ABS(R1463-'계산 과정'!$C$89)&lt;='계산 과정'!$D$24/2),1,0),"")</x:f>
        <x:v>0</x:v>
      </x:c>
      <x:c r="T1463" s="4"/>
      <x:c r="U1463" s="4"/>
      <x:c r="V1463" s="4"/>
      <x:c r="W1463" s="4"/>
      <x:c r="X1463" s="4"/>
      <x:c r="Y1463" s="4"/>
      <x:c r="Z1463" s="4"/>
    </x:row>
    <x:row r="1464" ht="23" customHeight="1">
      <x:c r="A1464" s="17" t="n">
        <x:f>ROW()-6</x:f>
        <x:v>1458</x:v>
      </x:c>
      <x:c r="B1464" s="4" t="n">
        <x:f>IF('계산 과정'!$L$5,'계산 과정'!$L$11*SQRT((A1464+0.5)/'계산 과정'!$L$30),"")</x:f>
        <x:v>126.58419952866353</x:v>
      </x:c>
      <x:c r="C1464" s="4" t="n">
        <x:f>A1464*PI()*(3-SQRT(5))</x:f>
        <x:v>3499.1463889443758</x:v>
      </x:c>
      <x:c r="D1464" s="4" t="n">
        <x:f>IF('계산 과정'!$L$5,B1464*COS(C1464),"")</x:f>
        <x:v>105.3367382239154</x:v>
      </x:c>
      <x:c r="E1464" s="4" t="n">
        <x:f>IF('계산 과정'!$L$5,B1464*SIN(C1464),"")</x:f>
        <x:v>-70.19780018390048</x:v>
      </x:c>
      <x:c r="F1464" s="4" t="n">
        <x:f>IF('계산 과정'!$L$7,'계산 과정'!$L$22+'계산 과정'!$C$49*D1464+'계산 과정'!$D$49*E1464,"")</x:f>
        <x:v>575.5156780937972</x:v>
      </x:c>
      <x:c r="G1464" s="4" t="n">
        <x:f>IF('계산 과정'!$L$7,IF(ABS(F1464)&gt;=1E-12*MAX(1,SQRT((D1464-'계산 과정'!$C$33)^2+(E1464-'계산 과정'!$D$33)^2+'계산 과정'!$E$33^2)),('계산 과정'!$L$23-'계산 과정'!$C$49*D1464-'계산 과정'!$D$49*E1464)/F1464,""),"")</x:f>
        <x:v>0.8244507316947005</x:v>
      </x:c>
      <x:c r="H1464" s="4" t="n">
        <x:f>IF(AND(ISNUMBER(G1464),G1464&gt;0),('계산 과정'!$D$56+'계산 과정'!$D$57*D1464+'계산 과정'!$D$58*E1464)/F1464,"")</x:f>
        <x:v>135.8929756015552</x:v>
      </x:c>
      <x:c r="I1464" s="4" t="n">
        <x:f>IF(AND(ISNUMBER(G1464),G1464&gt;0),('계산 과정'!$E$56+'계산 과정'!$E$57*D1464+'계산 과정'!$E$58*E1464)/F1464,"")</x:f>
        <x:v>-128.07242790887562</x:v>
      </x:c>
      <x:c r="J1464" s="4" t="n">
        <x:f>IF('계산 과정'!$L$5,'계산 과정'!$D$6+'계산 과정'!$C$35*D1464+'계산 과정'!$D$35*E1464,"")</x:f>
        <x:v>575.5156780937972</x:v>
      </x:c>
      <x:c r="K1464" s="4" t="n">
        <x:f>IF(AND('계산 과정'!$L$6,J1464&gt;0),'계산 과정'!$D$10*('계산 과정'!$C$38*(D1464-'계산 과정'!$C$32)+'계산 과정'!$D$38*(E1464-'계산 과정'!$D$32)-'계산 과정'!$E$38*'계산 과정'!$E$32)/J1464,"")</x:f>
        <x:v>1.0353750522023262</x:v>
      </x:c>
      <x:c r="L1464" s="4" t="n">
        <x:f>IF(AND('계산 과정'!$L$6,J1464&gt;0),'계산 과정'!$D$10*('계산 과정'!$C$39*(D1464-'계산 과정'!$C$32)+'계산 과정'!$D$39*(E1464-'계산 과정'!$D$32)-'계산 과정'!$E$39*'계산 과정'!$E$32)/J1464,"")</x:f>
        <x:v>-0.9757899269247666</x:v>
      </x:c>
      <x:c r="M1464" s="17" t="n">
        <x:f>IF('계산 과정'!$L$6,IF(J1464&lt;=0,0,IF(AND(ABS(K1464)&lt;='계산 과정'!$D$11/2,ABS(L1464)&lt;='계산 과정'!$D$12/2),1,0)),"")</x:f>
        <x:v>1</x:v>
      </x:c>
      <x:c r="N1464" s="17" t="n">
        <x:f>IF('계산 과정'!$C$78,IF(AND(ISNUMBER(H1464),ISNUMBER(I1464),ABS(H1464-'계산 과정'!$C$88)&lt;='계산 과정'!$D$23/2,ABS(I1464-'계산 과정'!$C$89)&lt;='계산 과정'!$D$24/2),1,0),"")</x:f>
        <x:v>1</x:v>
      </x:c>
      <x:c r="O1464" s="4" t="n">
        <x:f>IF('계산 과정'!$L$7,'계산 과정'!$C$49*('계산 과정'!$C$32-D1464)+'계산 과정'!$D$49*('계산 과정'!$D$32-E1464)+'계산 과정'!$E$49*'계산 과정'!$E$32,"")</x:f>
        <x:v>74.4843219062029</x:v>
      </x:c>
      <x:c r="P1464" s="4" t="n">
        <x:f>IF(AND('계산 과정'!$L$7,O1464&lt;&gt;0),('계산 과정'!$L$23-'계산 과정'!$C$49*D1464-'계산 과정'!$D$49*E1464)/O1464,"")</x:f>
        <x:v>6.370257656419488</x:v>
      </x:c>
      <x:c r="Q1464" s="4" t="str">
        <x:f>IF(AND(ISNUMBER(P1464),P1464&gt;1E-9,P1464&lt;1-1E-9),'계산 과정'!$C$47*(D1464-'계산 과정'!$C$50+P1464*('계산 과정'!$C$32-D1464))+'계산 과정'!$D$47*(E1464-'계산 과정'!$D$50+P1464*('계산 과정'!$D$32-E1464))+'계산 과정'!$E$47*(0-'계산 과정'!$E$50+P1464*('계산 과정'!$E$32-0)),"")</x:f>
      </x:c>
      <x:c r="R1464" s="4" t="str">
        <x:f>IF(AND(ISNUMBER(P1464),P1464&gt;1E-9,P1464&lt;1-1E-9),'계산 과정'!$C$48*(D1464-'계산 과정'!$C$50+P1464*('계산 과정'!$C$32-D1464))+'계산 과정'!$D$48*(E1464-'계산 과정'!$D$50+P1464*('계산 과정'!$D$32-E1464))+'계산 과정'!$E$48*(0-'계산 과정'!$E$50+P1464*('계산 과정'!$E$32-0)),"")</x:f>
      </x:c>
      <x:c r="S1464" s="17" t="n">
        <x:f>IF('계산 과정'!$C$78,IF(AND(ISNUMBER(Q1464),ISNUMBER(R1464),ABS(Q1464-'계산 과정'!$C$88)&lt;='계산 과정'!$D$23/2,ABS(R1464-'계산 과정'!$C$89)&lt;='계산 과정'!$D$24/2),1,0),"")</x:f>
        <x:v>0</x:v>
      </x:c>
      <x:c r="T1464" s="4"/>
      <x:c r="U1464" s="4"/>
      <x:c r="V1464" s="4"/>
      <x:c r="W1464" s="4"/>
      <x:c r="X1464" s="4"/>
      <x:c r="Y1464" s="4"/>
      <x:c r="Z1464" s="4"/>
    </x:row>
    <x:row r="1465" ht="23" customHeight="1">
      <x:c r="A1465" s="17" t="n">
        <x:f>ROW()-6</x:f>
        <x:v>1459</x:v>
      </x:c>
      <x:c r="B1465" s="4" t="n">
        <x:f>IF('계산 과정'!$L$5,'계산 과정'!$L$11*SQRT((A1465+0.5)/'계산 과정'!$L$30),"")</x:f>
        <x:v>126.62758743037593</x:v>
      </x:c>
      <x:c r="C1465" s="4" t="n">
        <x:f>A1465*PI()*(3-SQRT(5))</x:f>
        <x:v>3501.5463521741044</x:v>
      </x:c>
      <x:c r="D1465" s="4" t="n">
        <x:f>IF('계산 과정'!$L$5,B1465*COS(C1465),"")</x:f>
        <x:v>-30.26446965355889</x:v>
      </x:c>
      <x:c r="E1465" s="4" t="n">
        <x:f>IF('계산 과정'!$L$5,B1465*SIN(C1465),"")</x:f>
        <x:v>122.95774792596973</x:v>
      </x:c>
      <x:c r="F1465" s="4" t="n">
        <x:f>IF('계산 과정'!$L$7,'계산 과정'!$L$22+'계산 과정'!$C$49*D1465+'계산 과정'!$D$49*E1465,"")</x:f>
        <x:v>671.4002117210459</x:v>
      </x:c>
      <x:c r="G1465" s="4" t="n">
        <x:f>IF('계산 과정'!$L$7,IF(ABS(F1465)&gt;=1E-12*MAX(1,SQRT((D1465-'계산 과정'!$C$33)^2+(E1465-'계산 과정'!$D$33)^2+'계산 과정'!$E$33^2)),('계산 과정'!$L$23-'계산 과정'!$C$49*D1465-'계산 과정'!$D$49*E1465)/F1465,""),"")</x:f>
        <x:v>0.5638958428512606</x:v>
      </x:c>
      <x:c r="H1465" s="4" t="n">
        <x:f>IF(AND(ISNUMBER(G1465),G1465&gt;0),('계산 과정'!$D$56+'계산 과정'!$D$57*D1465+'계산 과정'!$D$58*E1465)/F1465,"")</x:f>
        <x:v>-33.46770214668074</x:v>
      </x:c>
      <x:c r="I1465" s="4" t="n">
        <x:f>IF(AND(ISNUMBER(G1465),G1465&gt;0),('계산 과정'!$E$56+'계산 과정'!$E$57*D1465+'계산 과정'!$E$58*E1465)/F1465,"")</x:f>
        <x:v>192.29311082777727</x:v>
      </x:c>
      <x:c r="J1465" s="4" t="n">
        <x:f>IF('계산 과정'!$L$5,'계산 과정'!$D$6+'계산 과정'!$C$35*D1465+'계산 과정'!$D$35*E1465,"")</x:f>
        <x:v>671.4002117210459</x:v>
      </x:c>
      <x:c r="K1465" s="4" t="n">
        <x:f>IF(AND('계산 과정'!$L$6,J1465&gt;0),'계산 과정'!$D$10*('계산 과정'!$C$38*(D1465-'계산 과정'!$C$32)+'계산 과정'!$D$38*(E1465-'계산 과정'!$D$32)-'계산 과정'!$E$38*'계산 과정'!$E$32)/J1465,"")</x:f>
        <x:v>-0.25499201635566143</x:v>
      </x:c>
      <x:c r="L1465" s="4" t="n">
        <x:f>IF(AND('계산 과정'!$L$6,J1465&gt;0),'계산 과정'!$D$10*('계산 과정'!$C$39*(D1465-'계산 과정'!$C$32)+'계산 과정'!$D$39*(E1465-'계산 과정'!$D$32)-'계산 과정'!$E$39*'계산 과정'!$E$32)/J1465,"")</x:f>
        <x:v>1.4650903682116363</x:v>
      </x:c>
      <x:c r="M1465" s="17" t="n">
        <x:f>IF('계산 과정'!$L$6,IF(J1465&lt;=0,0,IF(AND(ABS(K1465)&lt;='계산 과정'!$D$11/2,ABS(L1465)&lt;='계산 과정'!$D$12/2),1,0)),"")</x:f>
        <x:v>1</x:v>
      </x:c>
      <x:c r="N1465" s="17" t="n">
        <x:f>IF('계산 과정'!$C$78,IF(AND(ISNUMBER(H1465),ISNUMBER(I1465),ABS(H1465-'계산 과정'!$C$88)&lt;='계산 과정'!$D$23/2,ABS(I1465-'계산 과정'!$C$89)&lt;='계산 과정'!$D$24/2),1,0),"")</x:f>
        <x:v>1</x:v>
      </x:c>
      <x:c r="O1465" s="4" t="n">
        <x:f>IF('계산 과정'!$L$7,'계산 과정'!$C$49*('계산 과정'!$C$32-D1465)+'계산 과정'!$D$49*('계산 과정'!$D$32-E1465)+'계산 과정'!$E$49*'계산 과정'!$E$32,"")</x:f>
        <x:v>-21.40021172104582</x:v>
      </x:c>
      <x:c r="P1465" s="4" t="n">
        <x:f>IF(AND('계산 과정'!$L$7,O1465&lt;&gt;0),('계산 과정'!$L$23-'계산 과정'!$C$49*D1465-'계산 과정'!$D$49*E1465)/O1465,"")</x:f>
        <x:v>-17.69140386151525</x:v>
      </x:c>
      <x:c r="Q1465" s="4" t="str">
        <x:f>IF(AND(ISNUMBER(P1465),P1465&gt;1E-9,P1465&lt;1-1E-9),'계산 과정'!$C$47*(D1465-'계산 과정'!$C$50+P1465*('계산 과정'!$C$32-D1465))+'계산 과정'!$D$47*(E1465-'계산 과정'!$D$50+P1465*('계산 과정'!$D$32-E1465))+'계산 과정'!$E$47*(0-'계산 과정'!$E$50+P1465*('계산 과정'!$E$32-0)),"")</x:f>
      </x:c>
      <x:c r="R1465" s="4" t="str">
        <x:f>IF(AND(ISNUMBER(P1465),P1465&gt;1E-9,P1465&lt;1-1E-9),'계산 과정'!$C$48*(D1465-'계산 과정'!$C$50+P1465*('계산 과정'!$C$32-D1465))+'계산 과정'!$D$48*(E1465-'계산 과정'!$D$50+P1465*('계산 과정'!$D$32-E1465))+'계산 과정'!$E$48*(0-'계산 과정'!$E$50+P1465*('계산 과정'!$E$32-0)),"")</x:f>
      </x:c>
      <x:c r="S1465" s="17" t="n">
        <x:f>IF('계산 과정'!$C$78,IF(AND(ISNUMBER(Q1465),ISNUMBER(R1465),ABS(Q1465-'계산 과정'!$C$88)&lt;='계산 과정'!$D$23/2,ABS(R1465-'계산 과정'!$C$89)&lt;='계산 과정'!$D$24/2),1,0),"")</x:f>
        <x:v>0</x:v>
      </x:c>
      <x:c r="T1465" s="4"/>
      <x:c r="U1465" s="4"/>
      <x:c r="V1465" s="4"/>
      <x:c r="W1465" s="4"/>
      <x:c r="X1465" s="4"/>
      <x:c r="Y1465" s="4"/>
      <x:c r="Z1465" s="4"/>
    </x:row>
    <x:row r="1466" ht="23" customHeight="1">
      <x:c r="A1466" s="17" t="n">
        <x:f>ROW()-6</x:f>
        <x:v>1460</x:v>
      </x:c>
      <x:c r="B1466" s="4" t="n">
        <x:f>IF('계산 과정'!$L$5,'계산 과정'!$L$11*SQRT((A1466+0.5)/'계산 과정'!$L$30),"")</x:f>
        <x:v>126.67096047067182</x:v>
      </x:c>
      <x:c r="C1466" s="4" t="n">
        <x:f>A1466*PI()*(3-SQRT(5))</x:f>
        <x:v>3503.9463154038335</x:v>
      </x:c>
      <x:c r="D1466" s="4" t="n">
        <x:f>IF('계산 과정'!$L$5,B1466*COS(C1466),"")</x:f>
        <x:v>-60.76149246249329</x:v>
      </x:c>
      <x:c r="E1466" s="4" t="n">
        <x:f>IF('계산 과정'!$L$5,B1466*SIN(C1466),"")</x:f>
        <x:v>-111.14662954985579</x:v>
      </x:c>
      <x:c r="F1466" s="4" t="n">
        <x:f>IF('계산 과정'!$L$7,'계산 과정'!$L$22+'계산 과정'!$C$49*D1466+'계산 과정'!$D$49*E1466,"")</x:f>
        <x:v>692.9648633552442</x:v>
      </x:c>
      <x:c r="G1466" s="4" t="n">
        <x:f>IF('계산 과정'!$L$7,IF(ABS(F1466)&gt;=1E-12*MAX(1,SQRT((D1466-'계산 과정'!$C$33)^2+(E1466-'계산 과정'!$D$33)^2+'계산 과정'!$E$33^2)),('계산 과정'!$L$23-'계산 과정'!$C$49*D1466-'계산 과정'!$D$49*E1466)/F1466,""),"")</x:f>
        <x:v>0.5152283406059562</x:v>
      </x:c>
      <x:c r="H1466" s="4" t="n">
        <x:f>IF(AND(ISNUMBER(G1466),G1466&gt;0),('계산 과정'!$D$56+'계산 과정'!$D$57*D1466+'계산 과정'!$D$58*E1466)/F1466,"")</x:f>
        <x:v>-65.1015786061286</x:v>
      </x:c>
      <x:c r="I1466" s="4" t="n">
        <x:f>IF(AND(ISNUMBER(G1466),G1466&gt;0),('계산 과정'!$E$56+'계산 과정'!$E$57*D1466+'계산 과정'!$E$58*E1466)/F1466,"")</x:f>
        <x:v>-168.41252305677293</x:v>
      </x:c>
      <x:c r="J1466" s="4" t="n">
        <x:f>IF('계산 과정'!$L$5,'계산 과정'!$D$6+'계산 과정'!$C$35*D1466+'계산 과정'!$D$35*E1466,"")</x:f>
        <x:v>692.9648633552442</x:v>
      </x:c>
      <x:c r="K1466" s="4" t="n">
        <x:f>IF(AND('계산 과정'!$L$6,J1466&gt;0),'계산 과정'!$D$10*('계산 과정'!$C$38*(D1466-'계산 과정'!$C$32)+'계산 과정'!$D$38*(E1466-'계산 과정'!$D$32)-'계산 과정'!$E$38*'계산 과정'!$E$32)/J1466,"")</x:f>
        <x:v>-0.4960120274752645</x:v>
      </x:c>
      <x:c r="L1466" s="4" t="n">
        <x:f>IF(AND('계산 과정'!$L$6,J1466&gt;0),'계산 과정'!$D$10*('계산 과정'!$C$39*(D1466-'계산 과정'!$C$32)+'계산 과정'!$D$39*(E1466-'계산 과정'!$D$32)-'계산 과정'!$E$39*'계산 과정'!$E$32)/J1466,"")</x:f>
        <x:v>-1.283143032813508</x:v>
      </x:c>
      <x:c r="M1466" s="17" t="n">
        <x:f>IF('계산 과정'!$L$6,IF(J1466&lt;=0,0,IF(AND(ABS(K1466)&lt;='계산 과정'!$D$11/2,ABS(L1466)&lt;='계산 과정'!$D$12/2),1,0)),"")</x:f>
        <x:v>1</x:v>
      </x:c>
      <x:c r="N1466" s="17" t="n">
        <x:f>IF('계산 과정'!$C$78,IF(AND(ISNUMBER(H1466),ISNUMBER(I1466),ABS(H1466-'계산 과정'!$C$88)&lt;='계산 과정'!$D$23/2,ABS(I1466-'계산 과정'!$C$89)&lt;='계산 과정'!$D$24/2),1,0),"")</x:f>
        <x:v>1</x:v>
      </x:c>
      <x:c r="O1466" s="4" t="n">
        <x:f>IF('계산 과정'!$L$7,'계산 과정'!$C$49*('계산 과정'!$C$32-D1466)+'계산 과정'!$D$49*('계산 과정'!$D$32-E1466)+'계산 과정'!$E$49*'계산 과정'!$E$32,"")</x:f>
        <x:v>-42.96486335524418</x:v>
      </x:c>
      <x:c r="P1466" s="4" t="n">
        <x:f>IF(AND('계산 과정'!$L$7,O1466&lt;&gt;0),('계산 과정'!$L$23-'계산 과정'!$C$49*D1466-'계산 과정'!$D$49*E1466)/O1466,"")</x:f>
        <x:v>-8.3099330188182</x:v>
      </x:c>
      <x:c r="Q1466" s="4" t="str">
        <x:f>IF(AND(ISNUMBER(P1466),P1466&gt;1E-9,P1466&lt;1-1E-9),'계산 과정'!$C$47*(D1466-'계산 과정'!$C$50+P1466*('계산 과정'!$C$32-D1466))+'계산 과정'!$D$47*(E1466-'계산 과정'!$D$50+P1466*('계산 과정'!$D$32-E1466))+'계산 과정'!$E$47*(0-'계산 과정'!$E$50+P1466*('계산 과정'!$E$32-0)),"")</x:f>
      </x:c>
      <x:c r="R1466" s="4" t="str">
        <x:f>IF(AND(ISNUMBER(P1466),P1466&gt;1E-9,P1466&lt;1-1E-9),'계산 과정'!$C$48*(D1466-'계산 과정'!$C$50+P1466*('계산 과정'!$C$32-D1466))+'계산 과정'!$D$48*(E1466-'계산 과정'!$D$50+P1466*('계산 과정'!$D$32-E1466))+'계산 과정'!$E$48*(0-'계산 과정'!$E$50+P1466*('계산 과정'!$E$32-0)),"")</x:f>
      </x:c>
      <x:c r="S1466" s="17" t="n">
        <x:f>IF('계산 과정'!$C$78,IF(AND(ISNUMBER(Q1466),ISNUMBER(R1466),ABS(Q1466-'계산 과정'!$C$88)&lt;='계산 과정'!$D$23/2,ABS(R1466-'계산 과정'!$C$89)&lt;='계산 과정'!$D$24/2),1,0),"")</x:f>
        <x:v>0</x:v>
      </x:c>
      <x:c r="T1466" s="4"/>
      <x:c r="U1466" s="4"/>
      <x:c r="V1466" s="4"/>
      <x:c r="W1466" s="4"/>
      <x:c r="X1466" s="4"/>
      <x:c r="Y1466" s="4"/>
      <x:c r="Z1466" s="4"/>
    </x:row>
    <x:row r="1467" ht="23" customHeight="1">
      <x:c r="A1467" s="17" t="n">
        <x:f>ROW()-6</x:f>
        <x:v>1461</x:v>
      </x:c>
      <x:c r="B1467" s="4" t="n">
        <x:f>IF('계산 과정'!$L$5,'계산 과정'!$L$11*SQRT((A1467+0.5)/'계산 과정'!$L$30),"")</x:f>
        <x:v>126.71431866481191</x:v>
      </x:c>
      <x:c r="C1467" s="4" t="n">
        <x:f>A1467*PI()*(3-SQRT(5))</x:f>
        <x:v>3506.3462786335617</x:v>
      </x:c>
      <x:c r="D1467" s="4" t="n">
        <x:f>IF('계산 과정'!$L$5,B1467*COS(C1467),"")</x:f>
        <x:v>119.92313746486428</x:v>
      </x:c>
      <x:c r="E1467" s="4" t="n">
        <x:f>IF('계산 과정'!$L$5,B1467*SIN(C1467),"")</x:f>
        <x:v>40.92627096707887</x:v>
      </x:c>
      <x:c r="F1467" s="4" t="n">
        <x:f>IF('계산 과정'!$L$7,'계산 과정'!$L$22+'계산 과정'!$C$49*D1467+'계산 과정'!$D$49*E1467,"")</x:f>
        <x:v>565.201536277428</x:v>
      </x:c>
      <x:c r="G1467" s="4" t="n">
        <x:f>IF('계산 과정'!$L$7,IF(ABS(F1467)&gt;=1E-12*MAX(1,SQRT((D1467-'계산 과정'!$C$33)^2+(E1467-'계산 과정'!$D$33)^2+'계산 과정'!$E$33^2)),('계산 과정'!$L$23-'계산 과정'!$C$49*D1467-'계산 과정'!$D$49*E1467)/F1467,""),"")</x:f>
        <x:v>0.8577444196553099</x:v>
      </x:c>
      <x:c r="H1467" s="4" t="n">
        <x:f>IF(AND(ISNUMBER(G1467),G1467&gt;0),('계산 과정'!$D$56+'계산 과정'!$D$57*D1467+'계산 과정'!$D$58*E1467)/F1467,"")</x:f>
        <x:v>157.53387277595138</x:v>
      </x:c>
      <x:c r="I1467" s="4" t="n">
        <x:f>IF(AND(ISNUMBER(G1467),G1467&gt;0),('계산 과정'!$E$56+'계산 과정'!$E$57*D1467+'계산 과정'!$E$58*E1467)/F1467,"")</x:f>
        <x:v>76.03055150639189</x:v>
      </x:c>
      <x:c r="J1467" s="4" t="n">
        <x:f>IF('계산 과정'!$L$5,'계산 과정'!$D$6+'계산 과정'!$C$35*D1467+'계산 과정'!$D$35*E1467,"")</x:f>
        <x:v>565.201536277428</x:v>
      </x:c>
      <x:c r="K1467" s="4" t="n">
        <x:f>IF(AND('계산 과정'!$L$6,J1467&gt;0),'계산 과정'!$D$10*('계산 과정'!$C$38*(D1467-'계산 과정'!$C$32)+'계산 과정'!$D$38*(E1467-'계산 과정'!$D$32)-'계산 과정'!$E$38*'계산 과정'!$E$32)/J1467,"")</x:f>
        <x:v>1.2002580782929635</x:v>
      </x:c>
      <x:c r="L1467" s="4" t="n">
        <x:f>IF(AND('계산 과정'!$L$6,J1467&gt;0),'계산 과정'!$D$10*('계산 과정'!$C$39*(D1467-'계산 과정'!$C$32)+'계산 과정'!$D$39*(E1467-'계산 과정'!$D$32)-'계산 과정'!$E$39*'계산 과정'!$E$32)/J1467,"")</x:f>
        <x:v>0.5792803924296526</x:v>
      </x:c>
      <x:c r="M1467" s="17" t="n">
        <x:f>IF('계산 과정'!$L$6,IF(J1467&lt;=0,0,IF(AND(ABS(K1467)&lt;='계산 과정'!$D$11/2,ABS(L1467)&lt;='계산 과정'!$D$12/2),1,0)),"")</x:f>
        <x:v>1</x:v>
      </x:c>
      <x:c r="N1467" s="17" t="n">
        <x:f>IF('계산 과정'!$C$78,IF(AND(ISNUMBER(H1467),ISNUMBER(I1467),ABS(H1467-'계산 과정'!$C$88)&lt;='계산 과정'!$D$23/2,ABS(I1467-'계산 과정'!$C$89)&lt;='계산 과정'!$D$24/2),1,0),"")</x:f>
        <x:v>1</x:v>
      </x:c>
      <x:c r="O1467" s="4" t="n">
        <x:f>IF('계산 과정'!$L$7,'계산 과정'!$C$49*('계산 과정'!$C$32-D1467)+'계산 과정'!$D$49*('계산 과정'!$D$32-E1467)+'계산 과정'!$E$49*'계산 과정'!$E$32,"")</x:f>
        <x:v>84.79846372257217</x:v>
      </x:c>
      <x:c r="P1467" s="4" t="n">
        <x:f>IF(AND('계산 과정'!$L$7,O1467&lt;&gt;0),('계산 과정'!$L$23-'계산 과정'!$C$49*D1467-'계산 과정'!$D$49*E1467)/O1467,"")</x:f>
        <x:v>5.717066588713746</x:v>
      </x:c>
      <x:c r="Q1467" s="4" t="str">
        <x:f>IF(AND(ISNUMBER(P1467),P1467&gt;1E-9,P1467&lt;1-1E-9),'계산 과정'!$C$47*(D1467-'계산 과정'!$C$50+P1467*('계산 과정'!$C$32-D1467))+'계산 과정'!$D$47*(E1467-'계산 과정'!$D$50+P1467*('계산 과정'!$D$32-E1467))+'계산 과정'!$E$47*(0-'계산 과정'!$E$50+P1467*('계산 과정'!$E$32-0)),"")</x:f>
      </x:c>
      <x:c r="R1467" s="4" t="str">
        <x:f>IF(AND(ISNUMBER(P1467),P1467&gt;1E-9,P1467&lt;1-1E-9),'계산 과정'!$C$48*(D1467-'계산 과정'!$C$50+P1467*('계산 과정'!$C$32-D1467))+'계산 과정'!$D$48*(E1467-'계산 과정'!$D$50+P1467*('계산 과정'!$D$32-E1467))+'계산 과정'!$E$48*(0-'계산 과정'!$E$50+P1467*('계산 과정'!$E$32-0)),"")</x:f>
      </x:c>
      <x:c r="S1467" s="17" t="n">
        <x:f>IF('계산 과정'!$C$78,IF(AND(ISNUMBER(Q1467),ISNUMBER(R1467),ABS(Q1467-'계산 과정'!$C$88)&lt;='계산 과정'!$D$23/2,ABS(R1467-'계산 과정'!$C$89)&lt;='계산 과정'!$D$24/2),1,0),"")</x:f>
        <x:v>0</x:v>
      </x:c>
      <x:c r="T1467" s="4"/>
      <x:c r="U1467" s="4"/>
      <x:c r="V1467" s="4"/>
      <x:c r="W1467" s="4"/>
      <x:c r="X1467" s="4"/>
      <x:c r="Y1467" s="4"/>
      <x:c r="Z1467" s="4"/>
    </x:row>
    <x:row r="1468" ht="23" customHeight="1">
      <x:c r="A1468" s="17" t="n">
        <x:f>ROW()-6</x:f>
        <x:v>1462</x:v>
      </x:c>
      <x:c r="B1468" s="4" t="n">
        <x:f>IF('계산 과정'!$L$5,'계산 과정'!$L$11*SQRT((A1468+0.5)/'계산 과정'!$L$30),"")</x:f>
        <x:v>126.75766202803086</x:v>
      </x:c>
      <x:c r="C1468" s="4" t="n">
        <x:f>A1468*PI()*(3-SQRT(5))</x:f>
        <x:v>3508.7462418632904</x:v>
      </x:c>
      <x:c r="D1468" s="4" t="n">
        <x:f>IF('계산 과정'!$L$5,B1468*COS(C1468),"")</x:f>
        <x:v>-116.11259154723959</x:v>
      </x:c>
      <x:c r="E1468" s="4" t="n">
        <x:f>IF('계산 과정'!$L$5,B1468*SIN(C1468),"")</x:f>
        <x:v>50.84654331413696</x:v>
      </x:c>
      <x:c r="F1468" s="4" t="n">
        <x:f>IF('계산 과정'!$L$7,'계산 과정'!$L$22+'계산 과정'!$C$49*D1468+'계산 과정'!$D$49*E1468,"")</x:f>
        <x:v>732.1040008641969</x:v>
      </x:c>
      <x:c r="G1468" s="4" t="n">
        <x:f>IF('계산 과정'!$L$7,IF(ABS(F1468)&gt;=1E-12*MAX(1,SQRT((D1468-'계산 과정'!$C$33)^2+(E1468-'계산 과정'!$D$33)^2+'계산 과정'!$E$33^2)),('계산 과정'!$L$23-'계산 과정'!$C$49*D1468-'계산 과정'!$D$49*E1468)/F1468,""),"")</x:f>
        <x:v>0.4342224585039139</x:v>
      </x:c>
      <x:c r="H1468" s="4" t="n">
        <x:f>IF(AND(ISNUMBER(G1468),G1468&gt;0),('계산 과정'!$D$56+'계산 과정'!$D$57*D1468+'계산 과정'!$D$58*E1468)/F1468,"")</x:f>
        <x:v>-117.75540197245608</x:v>
      </x:c>
      <x:c r="I1468" s="4" t="n">
        <x:f>IF(AND(ISNUMBER(G1468),G1468&gt;0),('계산 과정'!$E$56+'계산 과정'!$E$57*D1468+'계산 과정'!$E$58*E1468)/F1468,"")</x:f>
        <x:v>72.92525435842725</x:v>
      </x:c>
      <x:c r="J1468" s="4" t="n">
        <x:f>IF('계산 과정'!$L$5,'계산 과정'!$D$6+'계산 과정'!$C$35*D1468+'계산 과정'!$D$35*E1468,"")</x:f>
        <x:v>732.1040008641969</x:v>
      </x:c>
      <x:c r="K1468" s="4" t="n">
        <x:f>IF(AND('계산 과정'!$L$6,J1468&gt;0),'계산 과정'!$D$10*('계산 과정'!$C$38*(D1468-'계산 과정'!$C$32)+'계산 과정'!$D$38*(E1468-'계산 과정'!$D$32)-'계산 과정'!$E$38*'계산 과정'!$E$32)/J1468,"")</x:f>
        <x:v>-0.8971840150282359</x:v>
      </x:c>
      <x:c r="L1468" s="4" t="n">
        <x:f>IF(AND('계산 과정'!$L$6,J1468&gt;0),'계산 과정'!$D$10*('계산 과정'!$C$39*(D1468-'계산 과정'!$C$32)+'계산 과정'!$D$39*(E1468-'계산 과정'!$D$32)-'계산 과정'!$E$39*'계산 과정'!$E$32)/J1468,"")</x:f>
        <x:v>0.5556209855880172</x:v>
      </x:c>
      <x:c r="M1468" s="17" t="n">
        <x:f>IF('계산 과정'!$L$6,IF(J1468&lt;=0,0,IF(AND(ABS(K1468)&lt;='계산 과정'!$D$11/2,ABS(L1468)&lt;='계산 과정'!$D$12/2),1,0)),"")</x:f>
        <x:v>1</x:v>
      </x:c>
      <x:c r="N1468" s="17" t="n">
        <x:f>IF('계산 과정'!$C$78,IF(AND(ISNUMBER(H1468),ISNUMBER(I1468),ABS(H1468-'계산 과정'!$C$88)&lt;='계산 과정'!$D$23/2,ABS(I1468-'계산 과정'!$C$89)&lt;='계산 과정'!$D$24/2),1,0),"")</x:f>
        <x:v>1</x:v>
      </x:c>
      <x:c r="O1468" s="4" t="n">
        <x:f>IF('계산 과정'!$L$7,'계산 과정'!$C$49*('계산 과정'!$C$32-D1468)+'계산 과정'!$D$49*('계산 과정'!$D$32-E1468)+'계산 과정'!$E$49*'계산 과정'!$E$32,"")</x:f>
        <x:v>-82.10400086419679</x:v>
      </x:c>
      <x:c r="P1468" s="4" t="n">
        <x:f>IF(AND('계산 과정'!$L$7,O1468&lt;&gt;0),('계산 과정'!$L$23-'계산 과정'!$C$49*D1468-'계산 과정'!$D$49*E1468)/O1468,"")</x:f>
        <x:v>-3.8718697723587847</x:v>
      </x:c>
      <x:c r="Q1468" s="4" t="str">
        <x:f>IF(AND(ISNUMBER(P1468),P1468&gt;1E-9,P1468&lt;1-1E-9),'계산 과정'!$C$47*(D1468-'계산 과정'!$C$50+P1468*('계산 과정'!$C$32-D1468))+'계산 과정'!$D$47*(E1468-'계산 과정'!$D$50+P1468*('계산 과정'!$D$32-E1468))+'계산 과정'!$E$47*(0-'계산 과정'!$E$50+P1468*('계산 과정'!$E$32-0)),"")</x:f>
      </x:c>
      <x:c r="R1468" s="4" t="str">
        <x:f>IF(AND(ISNUMBER(P1468),P1468&gt;1E-9,P1468&lt;1-1E-9),'계산 과정'!$C$48*(D1468-'계산 과정'!$C$50+P1468*('계산 과정'!$C$32-D1468))+'계산 과정'!$D$48*(E1468-'계산 과정'!$D$50+P1468*('계산 과정'!$D$32-E1468))+'계산 과정'!$E$48*(0-'계산 과정'!$E$50+P1468*('계산 과정'!$E$32-0)),"")</x:f>
      </x:c>
      <x:c r="S1468" s="17" t="n">
        <x:f>IF('계산 과정'!$C$78,IF(AND(ISNUMBER(Q1468),ISNUMBER(R1468),ABS(Q1468-'계산 과정'!$C$88)&lt;='계산 과정'!$D$23/2,ABS(R1468-'계산 과정'!$C$89)&lt;='계산 과정'!$D$24/2),1,0),"")</x:f>
        <x:v>0</x:v>
      </x:c>
      <x:c r="T1468" s="4"/>
      <x:c r="U1468" s="4"/>
      <x:c r="V1468" s="4"/>
      <x:c r="W1468" s="4"/>
      <x:c r="X1468" s="4"/>
      <x:c r="Y1468" s="4"/>
      <x:c r="Z1468" s="4"/>
    </x:row>
    <x:row r="1469" ht="23" customHeight="1">
      <x:c r="A1469" s="17" t="n">
        <x:f>ROW()-6</x:f>
        <x:v>1463</x:v>
      </x:c>
      <x:c r="B1469" s="4" t="n">
        <x:f>IF('계산 과정'!$L$5,'계산 과정'!$L$11*SQRT((A1469+0.5)/'계산 과정'!$L$30),"")</x:f>
        <x:v>126.8009905755373</x:v>
      </x:c>
      <x:c r="C1469" s="4" t="n">
        <x:f>A1469*PI()*(3-SQRT(5))</x:f>
        <x:v>3511.1462050930195</x:v>
      </x:c>
      <x:c r="D1469" s="4" t="n">
        <x:f>IF('계산 과정'!$L$5,B1469*COS(C1469),"")</x:f>
        <x:v>51.28899056515667</x:v>
      </x:c>
      <x:c r="E1469" s="4" t="n">
        <x:f>IF('계산 과정'!$L$5,B1469*SIN(C1469),"")</x:f>
        <x:v>-115.96521313628828</x:v>
      </x:c>
      <x:c r="F1469" s="4" t="n">
        <x:f>IF('계산 과정'!$L$7,'계산 과정'!$L$22+'계산 과정'!$C$49*D1469+'계산 과정'!$D$49*E1469,"")</x:f>
        <x:v>613.7332069711649</x:v>
      </x:c>
      <x:c r="G1469" s="4" t="n">
        <x:f>IF('계산 과정'!$L$7,IF(ABS(F1469)&gt;=1E-12*MAX(1,SQRT((D1469-'계산 과정'!$C$33)^2+(E1469-'계산 과정'!$D$33)^2+'계산 과정'!$E$33^2)),('계산 과정'!$L$23-'계산 과정'!$C$49*D1469-'계산 과정'!$D$49*E1469)/F1469,""),"")</x:f>
        <x:v>0.71084110827546</x:v>
      </x:c>
      <x:c r="H1469" s="4" t="n">
        <x:f>IF(AND(ISNUMBER(G1469),G1469&gt;0),('계산 과정'!$D$56+'계산 과정'!$D$57*D1469+'계산 과정'!$D$58*E1469)/F1469,"")</x:f>
        <x:v>62.046720379048935</x:v>
      </x:c>
      <x:c r="I1469" s="4" t="n">
        <x:f>IF(AND(ISNUMBER(G1469),G1469&gt;0),('계산 과정'!$E$56+'계산 과정'!$E$57*D1469+'계산 과정'!$E$58*E1469)/F1469,"")</x:f>
        <x:v>-198.39805376348738</x:v>
      </x:c>
      <x:c r="J1469" s="4" t="n">
        <x:f>IF('계산 과정'!$L$5,'계산 과정'!$D$6+'계산 과정'!$C$35*D1469+'계산 과정'!$D$35*E1469,"")</x:f>
        <x:v>613.7332069711649</x:v>
      </x:c>
      <x:c r="K1469" s="4" t="n">
        <x:f>IF(AND('계산 과정'!$L$6,J1469&gt;0),'계산 과정'!$D$10*('계산 과정'!$C$38*(D1469-'계산 과정'!$C$32)+'계산 과정'!$D$38*(E1469-'계산 과정'!$D$32)-'계산 과정'!$E$38*'계산 과정'!$E$32)/J1469,"")</x:f>
        <x:v>0.4727369171737069</x:v>
      </x:c>
      <x:c r="L1469" s="4" t="n">
        <x:f>IF(AND('계산 과정'!$L$6,J1469&gt;0),'계산 과정'!$D$10*('계산 과정'!$C$39*(D1469-'계산 과정'!$C$32)+'계산 과정'!$D$39*(E1469-'계산 과정'!$D$32)-'계산 과정'!$E$39*'계산 과정'!$E$32)/J1469,"")</x:f>
        <x:v>-1.51160421915038</x:v>
      </x:c>
      <x:c r="M1469" s="17" t="n">
        <x:f>IF('계산 과정'!$L$6,IF(J1469&lt;=0,0,IF(AND(ABS(K1469)&lt;='계산 과정'!$D$11/2,ABS(L1469)&lt;='계산 과정'!$D$12/2),1,0)),"")</x:f>
        <x:v>1</x:v>
      </x:c>
      <x:c r="N1469" s="17" t="n">
        <x:f>IF('계산 과정'!$C$78,IF(AND(ISNUMBER(H1469),ISNUMBER(I1469),ABS(H1469-'계산 과정'!$C$88)&lt;='계산 과정'!$D$23/2,ABS(I1469-'계산 과정'!$C$89)&lt;='계산 과정'!$D$24/2),1,0),"")</x:f>
        <x:v>1</x:v>
      </x:c>
      <x:c r="O1469" s="4" t="n">
        <x:f>IF('계산 과정'!$L$7,'계산 과정'!$C$49*('계산 과정'!$C$32-D1469)+'계산 과정'!$D$49*('계산 과정'!$D$32-E1469)+'계산 과정'!$E$49*'계산 과정'!$E$32,"")</x:f>
        <x:v>36.26679302883525</x:v>
      </x:c>
      <x:c r="P1469" s="4" t="n">
        <x:f>IF(AND('계산 과정'!$L$7,O1469&lt;&gt;0),('계산 과정'!$L$23-'계산 과정'!$C$49*D1469-'계산 과정'!$D$49*E1469)/O1469,"")</x:f>
        <x:v>12.029373335601115</x:v>
      </x:c>
      <x:c r="Q1469" s="4" t="str">
        <x:f>IF(AND(ISNUMBER(P1469),P1469&gt;1E-9,P1469&lt;1-1E-9),'계산 과정'!$C$47*(D1469-'계산 과정'!$C$50+P1469*('계산 과정'!$C$32-D1469))+'계산 과정'!$D$47*(E1469-'계산 과정'!$D$50+P1469*('계산 과정'!$D$32-E1469))+'계산 과정'!$E$47*(0-'계산 과정'!$E$50+P1469*('계산 과정'!$E$32-0)),"")</x:f>
      </x:c>
      <x:c r="R1469" s="4" t="str">
        <x:f>IF(AND(ISNUMBER(P1469),P1469&gt;1E-9,P1469&lt;1-1E-9),'계산 과정'!$C$48*(D1469-'계산 과정'!$C$50+P1469*('계산 과정'!$C$32-D1469))+'계산 과정'!$D$48*(E1469-'계산 과정'!$D$50+P1469*('계산 과정'!$D$32-E1469))+'계산 과정'!$E$48*(0-'계산 과정'!$E$50+P1469*('계산 과정'!$E$32-0)),"")</x:f>
      </x:c>
      <x:c r="S1469" s="17" t="n">
        <x:f>IF('계산 과정'!$C$78,IF(AND(ISNUMBER(Q1469),ISNUMBER(R1469),ABS(Q1469-'계산 과정'!$C$88)&lt;='계산 과정'!$D$23/2,ABS(R1469-'계산 과정'!$C$89)&lt;='계산 과정'!$D$24/2),1,0),"")</x:f>
        <x:v>0</x:v>
      </x:c>
      <x:c r="T1469" s="4"/>
      <x:c r="U1469" s="4"/>
      <x:c r="V1469" s="4"/>
      <x:c r="W1469" s="4"/>
      <x:c r="X1469" s="4"/>
      <x:c r="Y1469" s="4"/>
      <x:c r="Z1469" s="4"/>
    </x:row>
    <x:row r="1470" ht="23" customHeight="1">
      <x:c r="A1470" s="17" t="n">
        <x:f>ROW()-6</x:f>
        <x:v>1464</x:v>
      </x:c>
      <x:c r="B1470" s="4" t="n">
        <x:f>IF('계산 과정'!$L$5,'계산 과정'!$L$11*SQRT((A1470+0.5)/'계산 과정'!$L$30),"")</x:f>
        <x:v>126.84430432251384</x:v>
      </x:c>
      <x:c r="C1470" s="4" t="n">
        <x:f>A1470*PI()*(3-SQRT(5))</x:f>
        <x:v>3513.5461683227477</x:v>
      </x:c>
      <x:c r="D1470" s="4" t="n">
        <x:f>IF('계산 과정'!$L$5,B1470*COS(C1470),"")</x:f>
        <x:v>40.528309787783186</x:v>
      </x:c>
      <x:c r="E1470" s="4" t="n">
        <x:f>IF('계산 과정'!$L$5,B1470*SIN(C1470),"")</x:f>
        <x:v>120.19539776883298</x:v>
      </x:c>
      <x:c r="F1470" s="4" t="n">
        <x:f>IF('계산 과정'!$L$7,'계산 과정'!$L$22+'계산 과정'!$C$49*D1470+'계산 과정'!$D$49*E1470,"")</x:f>
        <x:v>621.3421573190294</x:v>
      </x:c>
      <x:c r="G1470" s="4" t="n">
        <x:f>IF('계산 과정'!$L$7,IF(ABS(F1470)&gt;=1E-12*MAX(1,SQRT((D1470-'계산 과정'!$C$33)^2+(E1470-'계산 과정'!$D$33)^2+'계산 과정'!$E$33^2)),('계산 과정'!$L$23-'계산 과정'!$C$49*D1470-'계산 과정'!$D$49*E1470)/F1470,""),"")</x:f>
        <x:v>0.6898901637876075</x:v>
      </x:c>
      <x:c r="H1470" s="4" t="n">
        <x:f>IF(AND(ISNUMBER(G1470),G1470&gt;0),('계산 과정'!$D$56+'계산 과정'!$D$57*D1470+'계산 과정'!$D$58*E1470)/F1470,"")</x:f>
        <x:v>48.428606461944824</x:v>
      </x:c>
      <x:c r="I1470" s="4" t="n">
        <x:f>IF(AND(ISNUMBER(G1470),G1470&gt;0),('계산 과정'!$E$56+'계산 과정'!$E$57*D1470+'계산 과정'!$E$58*E1470)/F1470,"")</x:f>
        <x:v>203.11702042208978</x:v>
      </x:c>
      <x:c r="J1470" s="4" t="n">
        <x:f>IF('계산 과정'!$L$5,'계산 과정'!$D$6+'계산 과정'!$C$35*D1470+'계산 과정'!$D$35*E1470,"")</x:f>
        <x:v>621.3421573190294</x:v>
      </x:c>
      <x:c r="K1470" s="4" t="n">
        <x:f>IF(AND('계산 과정'!$L$6,J1470&gt;0),'계산 과정'!$D$10*('계산 과정'!$C$38*(D1470-'계산 과정'!$C$32)+'계산 과정'!$D$38*(E1470-'계산 과정'!$D$32)-'계산 과정'!$E$38*'계산 과정'!$E$32)/J1470,"")</x:f>
        <x:v>0.36897985875767597</x:v>
      </x:c>
      <x:c r="L1470" s="4" t="n">
        <x:f>IF(AND('계산 과정'!$L$6,J1470&gt;0),'계산 과정'!$D$10*('계산 과정'!$C$39*(D1470-'계산 과정'!$C$32)+'계산 과정'!$D$39*(E1470-'계산 과정'!$D$32)-'계산 과정'!$E$39*'계산 과정'!$E$32)/J1470,"")</x:f>
        <x:v>1.54755825083497</x:v>
      </x:c>
      <x:c r="M1470" s="17" t="n">
        <x:f>IF('계산 과정'!$L$6,IF(J1470&lt;=0,0,IF(AND(ABS(K1470)&lt;='계산 과정'!$D$11/2,ABS(L1470)&lt;='계산 과정'!$D$12/2),1,0)),"")</x:f>
        <x:v>1</x:v>
      </x:c>
      <x:c r="N1470" s="17" t="n">
        <x:f>IF('계산 과정'!$C$78,IF(AND(ISNUMBER(H1470),ISNUMBER(I1470),ABS(H1470-'계산 과정'!$C$88)&lt;='계산 과정'!$D$23/2,ABS(I1470-'계산 과정'!$C$89)&lt;='계산 과정'!$D$24/2),1,0),"")</x:f>
        <x:v>1</x:v>
      </x:c>
      <x:c r="O1470" s="4" t="n">
        <x:f>IF('계산 과정'!$L$7,'계산 과정'!$C$49*('계산 과정'!$C$32-D1470)+'계산 과정'!$D$49*('계산 과정'!$D$32-E1470)+'계산 과정'!$E$49*'계산 과정'!$E$32,"")</x:f>
        <x:v>28.65784268097076</x:v>
      </x:c>
      <x:c r="P1470" s="4" t="n">
        <x:f>IF(AND('계산 과정'!$L$7,O1470&lt;&gt;0),('계산 과정'!$L$23-'계산 과정'!$C$49*D1470-'계산 과정'!$D$49*E1470)/O1470,"")</x:f>
        <x:v>14.957784766039136</x:v>
      </x:c>
      <x:c r="Q1470" s="4" t="str">
        <x:f>IF(AND(ISNUMBER(P1470),P1470&gt;1E-9,P1470&lt;1-1E-9),'계산 과정'!$C$47*(D1470-'계산 과정'!$C$50+P1470*('계산 과정'!$C$32-D1470))+'계산 과정'!$D$47*(E1470-'계산 과정'!$D$50+P1470*('계산 과정'!$D$32-E1470))+'계산 과정'!$E$47*(0-'계산 과정'!$E$50+P1470*('계산 과정'!$E$32-0)),"")</x:f>
      </x:c>
      <x:c r="R1470" s="4" t="str">
        <x:f>IF(AND(ISNUMBER(P1470),P1470&gt;1E-9,P1470&lt;1-1E-9),'계산 과정'!$C$48*(D1470-'계산 과정'!$C$50+P1470*('계산 과정'!$C$32-D1470))+'계산 과정'!$D$48*(E1470-'계산 과정'!$D$50+P1470*('계산 과정'!$D$32-E1470))+'계산 과정'!$E$48*(0-'계산 과정'!$E$50+P1470*('계산 과정'!$E$32-0)),"")</x:f>
      </x:c>
      <x:c r="S1470" s="17" t="n">
        <x:f>IF('계산 과정'!$C$78,IF(AND(ISNUMBER(Q1470),ISNUMBER(R1470),ABS(Q1470-'계산 과정'!$C$88)&lt;='계산 과정'!$D$23/2,ABS(R1470-'계산 과정'!$C$89)&lt;='계산 과정'!$D$24/2),1,0),"")</x:f>
        <x:v>0</x:v>
      </x:c>
      <x:c r="T1470" s="4"/>
      <x:c r="U1470" s="4"/>
      <x:c r="V1470" s="4"/>
      <x:c r="W1470" s="4"/>
      <x:c r="X1470" s="4"/>
      <x:c r="Y1470" s="4"/>
      <x:c r="Z1470" s="4"/>
    </x:row>
    <x:row r="1471" ht="23" customHeight="1">
      <x:c r="A1471" s="17" t="n">
        <x:f>ROW()-6</x:f>
        <x:v>1465</x:v>
      </x:c>
      <x:c r="B1471" s="4" t="n">
        <x:f>IF('계산 과정'!$L$5,'계산 과정'!$L$11*SQRT((A1471+0.5)/'계산 과정'!$L$30),"")</x:f>
        <x:v>126.88760328411716</x:v>
      </x:c>
      <x:c r="C1471" s="4" t="n">
        <x:f>A1471*PI()*(3-SQRT(5))</x:f>
        <x:v>3515.946131552477</x:v>
      </x:c>
      <x:c r="D1471" s="4" t="n">
        <x:f>IF('계산 과정'!$L$5,B1471*COS(C1471),"")</x:f>
        <x:v>-111.11305500150345</x:v>
      </x:c>
      <x:c r="E1471" s="4" t="n">
        <x:f>IF('계산 과정'!$L$5,B1471*SIN(C1471),"")</x:f>
        <x:v>-61.27277434081446</x:v>
      </x:c>
      <x:c r="F1471" s="4" t="n">
        <x:f>IF('계산 과정'!$L$7,'계산 과정'!$L$22+'계산 과정'!$C$49*D1471+'계산 과정'!$D$49*E1471,"")</x:f>
        <x:v>728.5687946699169</x:v>
      </x:c>
      <x:c r="G1471" s="4" t="n">
        <x:f>IF('계산 과정'!$L$7,IF(ABS(F1471)&gt;=1E-12*MAX(1,SQRT((D1471-'계산 과정'!$C$33)^2+(E1471-'계산 과정'!$D$33)^2+'계산 과정'!$E$33^2)),('계산 과정'!$L$23-'계산 과정'!$C$49*D1471-'계산 과정'!$D$49*E1471)/F1471,""),"")</x:f>
        <x:v>0.44118168068906893</x:v>
      </x:c>
      <x:c r="H1471" s="4" t="n">
        <x:f>IF(AND(ISNUMBER(G1471),G1471&gt;0),('계산 과정'!$D$56+'계산 과정'!$D$57*D1471+'계산 과정'!$D$58*E1471)/F1471,"")</x:f>
        <x:v>-113.23190755210535</x:v>
      </x:c>
      <x:c r="I1471" s="4" t="n">
        <x:f>IF(AND(ISNUMBER(G1471),G1471&gt;0),('계산 과정'!$E$56+'계산 과정'!$E$57*D1471+'계산 과정'!$E$58*E1471)/F1471,"")</x:f>
        <x:v>-88.30519990497703</x:v>
      </x:c>
      <x:c r="J1471" s="4" t="n">
        <x:f>IF('계산 과정'!$L$5,'계산 과정'!$D$6+'계산 과정'!$C$35*D1471+'계산 과정'!$D$35*E1471,"")</x:f>
        <x:v>728.5687946699169</x:v>
      </x:c>
      <x:c r="K1471" s="4" t="n">
        <x:f>IF(AND('계산 과정'!$L$6,J1471&gt;0),'계산 과정'!$D$10*('계산 과정'!$C$38*(D1471-'계산 과정'!$C$32)+'계산 과정'!$D$38*(E1471-'계산 과정'!$D$32)-'계산 과정'!$E$38*'계산 과정'!$E$32)/J1471,"")</x:f>
        <x:v>-0.8627192956350871</x:v>
      </x:c>
      <x:c r="L1471" s="4" t="n">
        <x:f>IF(AND('계산 과정'!$L$6,J1471&gt;0),'계산 과정'!$D$10*('계산 과정'!$C$39*(D1471-'계산 과정'!$C$32)+'계산 과정'!$D$39*(E1471-'계산 과정'!$D$32)-'계산 과정'!$E$39*'계산 과정'!$E$32)/J1471,"")</x:f>
        <x:v>-0.6728015230855393</x:v>
      </x:c>
      <x:c r="M1471" s="17" t="n">
        <x:f>IF('계산 과정'!$L$6,IF(J1471&lt;=0,0,IF(AND(ABS(K1471)&lt;='계산 과정'!$D$11/2,ABS(L1471)&lt;='계산 과정'!$D$12/2),1,0)),"")</x:f>
        <x:v>1</x:v>
      </x:c>
      <x:c r="N1471" s="17" t="n">
        <x:f>IF('계산 과정'!$C$78,IF(AND(ISNUMBER(H1471),ISNUMBER(I1471),ABS(H1471-'계산 과정'!$C$88)&lt;='계산 과정'!$D$23/2,ABS(I1471-'계산 과정'!$C$89)&lt;='계산 과정'!$D$24/2),1,0),"")</x:f>
        <x:v>1</x:v>
      </x:c>
      <x:c r="O1471" s="4" t="n">
        <x:f>IF('계산 과정'!$L$7,'계산 과정'!$C$49*('계산 과정'!$C$32-D1471)+'계산 과정'!$D$49*('계산 과정'!$D$32-E1471)+'계산 과정'!$E$49*'계산 과정'!$E$32,"")</x:f>
        <x:v>-78.56879466991677</x:v>
      </x:c>
      <x:c r="P1471" s="4" t="n">
        <x:f>IF(AND('계산 과정'!$L$7,O1471&lt;&gt;0),('계산 과정'!$L$23-'계산 과정'!$C$49*D1471-'계산 과정'!$D$49*E1471)/O1471,"")</x:f>
        <x:v>-4.091079756033931</x:v>
      </x:c>
      <x:c r="Q1471" s="4" t="str">
        <x:f>IF(AND(ISNUMBER(P1471),P1471&gt;1E-9,P1471&lt;1-1E-9),'계산 과정'!$C$47*(D1471-'계산 과정'!$C$50+P1471*('계산 과정'!$C$32-D1471))+'계산 과정'!$D$47*(E1471-'계산 과정'!$D$50+P1471*('계산 과정'!$D$32-E1471))+'계산 과정'!$E$47*(0-'계산 과정'!$E$50+P1471*('계산 과정'!$E$32-0)),"")</x:f>
      </x:c>
      <x:c r="R1471" s="4" t="str">
        <x:f>IF(AND(ISNUMBER(P1471),P1471&gt;1E-9,P1471&lt;1-1E-9),'계산 과정'!$C$48*(D1471-'계산 과정'!$C$50+P1471*('계산 과정'!$C$32-D1471))+'계산 과정'!$D$48*(E1471-'계산 과정'!$D$50+P1471*('계산 과정'!$D$32-E1471))+'계산 과정'!$E$48*(0-'계산 과정'!$E$50+P1471*('계산 과정'!$E$32-0)),"")</x:f>
      </x:c>
      <x:c r="S1471" s="17" t="n">
        <x:f>IF('계산 과정'!$C$78,IF(AND(ISNUMBER(Q1471),ISNUMBER(R1471),ABS(Q1471-'계산 과정'!$C$88)&lt;='계산 과정'!$D$23/2,ABS(R1471-'계산 과정'!$C$89)&lt;='계산 과정'!$D$24/2),1,0),"")</x:f>
        <x:v>0</x:v>
      </x:c>
      <x:c r="T1471" s="4"/>
      <x:c r="U1471" s="4"/>
      <x:c r="V1471" s="4"/>
      <x:c r="W1471" s="4"/>
      <x:c r="X1471" s="4"/>
      <x:c r="Y1471" s="4"/>
      <x:c r="Z1471" s="4"/>
    </x:row>
    <x:row r="1472" ht="23" customHeight="1">
      <x:c r="A1472" s="17" t="n">
        <x:f>ROW()-6</x:f>
        <x:v>1466</x:v>
      </x:c>
      <x:c r="B1472" s="4" t="n">
        <x:f>IF('계산 과정'!$L$5,'계산 과정'!$L$11*SQRT((A1472+0.5)/'계산 과정'!$L$30),"")</x:f>
        <x:v>126.93088747547817</x:v>
      </x:c>
      <x:c r="C1472" s="4" t="n">
        <x:f>A1472*PI()*(3-SQRT(5))</x:f>
        <x:v>3518.346094782205</x:v>
      </x:c>
      <x:c r="D1472" s="4" t="n">
        <x:f>IF('계산 과정'!$L$5,B1472*COS(C1472),"")</x:f>
        <x:v>123.36254043968836</x:v>
      </x:c>
      <x:c r="E1472" s="4" t="n">
        <x:f>IF('계산 과정'!$L$5,B1472*SIN(C1472),"")</x:f>
        <x:v>-29.88534442797601</x:v>
      </x:c>
      <x:c r="F1472" s="4" t="n">
        <x:f>IF('계산 과정'!$L$7,'계산 과정'!$L$22+'계산 과정'!$C$49*D1472+'계산 과정'!$D$49*E1472,"")</x:f>
        <x:v>562.7695111106966</x:v>
      </x:c>
      <x:c r="G1472" s="4" t="n">
        <x:f>IF('계산 과정'!$L$7,IF(ABS(F1472)&gt;=1E-12*MAX(1,SQRT((D1472-'계산 과정'!$C$33)^2+(E1472-'계산 과정'!$D$33)^2+'계산 과정'!$E$33^2)),('계산 과정'!$L$23-'계산 과정'!$C$49*D1472-'계산 과정'!$D$49*E1472)/F1472,""),"")</x:f>
        <x:v>0.8657727173735701</x:v>
      </x:c>
      <x:c r="H1472" s="4" t="n">
        <x:f>IF(AND(ISNUMBER(G1472),G1472&gt;0),('계산 과정'!$D$56+'계산 과정'!$D$57*D1472+'계산 과정'!$D$58*E1472)/F1472,"")</x:f>
        <x:v>162.75226629282042</x:v>
      </x:c>
      <x:c r="I1472" s="4" t="n">
        <x:f>IF(AND(ISNUMBER(G1472),G1472&gt;0),('계산 과정'!$E$56+'계산 과정'!$E$57*D1472+'계산 과정'!$E$58*E1472)/F1472,"")</x:f>
        <x:v>-55.75926028302988</x:v>
      </x:c>
      <x:c r="J1472" s="4" t="n">
        <x:f>IF('계산 과정'!$L$5,'계산 과정'!$D$6+'계산 과정'!$C$35*D1472+'계산 과정'!$D$35*E1472,"")</x:f>
        <x:v>562.7695111106966</x:v>
      </x:c>
      <x:c r="K1472" s="4" t="n">
        <x:f>IF(AND('계산 과정'!$L$6,J1472&gt;0),'계산 과정'!$D$10*('계산 과정'!$C$38*(D1472-'계산 과정'!$C$32)+'계산 과정'!$D$38*(E1472-'계산 과정'!$D$32)-'계산 과정'!$E$38*'계산 과정'!$E$32)/J1472,"")</x:f>
        <x:v>1.2400172669929184</x:v>
      </x:c>
      <x:c r="L1472" s="4" t="n">
        <x:f>IF(AND('계산 과정'!$L$6,J1472&gt;0),'계산 과정'!$D$10*('계산 과정'!$C$39*(D1472-'계산 과정'!$C$32)+'계산 과정'!$D$39*(E1472-'계산 과정'!$D$32)-'계산 과정'!$E$39*'계산 과정'!$E$32)/J1472,"")</x:f>
        <x:v>-0.42483245929927527</x:v>
      </x:c>
      <x:c r="M1472" s="17" t="n">
        <x:f>IF('계산 과정'!$L$6,IF(J1472&lt;=0,0,IF(AND(ABS(K1472)&lt;='계산 과정'!$D$11/2,ABS(L1472)&lt;='계산 과정'!$D$12/2),1,0)),"")</x:f>
        <x:v>1</x:v>
      </x:c>
      <x:c r="N1472" s="17" t="n">
        <x:f>IF('계산 과정'!$C$78,IF(AND(ISNUMBER(H1472),ISNUMBER(I1472),ABS(H1472-'계산 과정'!$C$88)&lt;='계산 과정'!$D$23/2,ABS(I1472-'계산 과정'!$C$89)&lt;='계산 과정'!$D$24/2),1,0),"")</x:f>
        <x:v>1</x:v>
      </x:c>
      <x:c r="O1472" s="4" t="n">
        <x:f>IF('계산 과정'!$L$7,'계산 과정'!$C$49*('계산 과정'!$C$32-D1472)+'계산 과정'!$D$49*('계산 과정'!$D$32-E1472)+'계산 과정'!$E$49*'계산 과정'!$E$32,"")</x:f>
        <x:v>87.23048888930344</x:v>
      </x:c>
      <x:c r="P1472" s="4" t="n">
        <x:f>IF(AND('계산 과정'!$L$7,O1472&lt;&gt;0),('계산 과정'!$L$23-'계산 과정'!$C$49*D1472-'계산 과정'!$D$49*E1472)/O1472,"")</x:f>
        <x:v>5.585552655879354</x:v>
      </x:c>
      <x:c r="Q1472" s="4" t="str">
        <x:f>IF(AND(ISNUMBER(P1472),P1472&gt;1E-9,P1472&lt;1-1E-9),'계산 과정'!$C$47*(D1472-'계산 과정'!$C$50+P1472*('계산 과정'!$C$32-D1472))+'계산 과정'!$D$47*(E1472-'계산 과정'!$D$50+P1472*('계산 과정'!$D$32-E1472))+'계산 과정'!$E$47*(0-'계산 과정'!$E$50+P1472*('계산 과정'!$E$32-0)),"")</x:f>
      </x:c>
      <x:c r="R1472" s="4" t="str">
        <x:f>IF(AND(ISNUMBER(P1472),P1472&gt;1E-9,P1472&lt;1-1E-9),'계산 과정'!$C$48*(D1472-'계산 과정'!$C$50+P1472*('계산 과정'!$C$32-D1472))+'계산 과정'!$D$48*(E1472-'계산 과정'!$D$50+P1472*('계산 과정'!$D$32-E1472))+'계산 과정'!$E$48*(0-'계산 과정'!$E$50+P1472*('계산 과정'!$E$32-0)),"")</x:f>
      </x:c>
      <x:c r="S1472" s="17" t="n">
        <x:f>IF('계산 과정'!$C$78,IF(AND(ISNUMBER(Q1472),ISNUMBER(R1472),ABS(Q1472-'계산 과정'!$C$88)&lt;='계산 과정'!$D$23/2,ABS(R1472-'계산 과정'!$C$89)&lt;='계산 과정'!$D$24/2),1,0),"")</x:f>
        <x:v>0</x:v>
      </x:c>
      <x:c r="T1472" s="4"/>
      <x:c r="U1472" s="4"/>
      <x:c r="V1472" s="4"/>
      <x:c r="W1472" s="4"/>
      <x:c r="X1472" s="4"/>
      <x:c r="Y1472" s="4"/>
      <x:c r="Z1472" s="4"/>
    </x:row>
    <x:row r="1473" ht="23" customHeight="1">
      <x:c r="A1473" s="17" t="n">
        <x:f>ROW()-6</x:f>
        <x:v>1467</x:v>
      </x:c>
      <x:c r="B1473" s="4" t="n">
        <x:f>IF('계산 과정'!$L$5,'계산 과정'!$L$11*SQRT((A1473+0.5)/'계산 과정'!$L$30),"")</x:f>
        <x:v>126.97415691170191</x:v>
      </x:c>
      <x:c r="C1473" s="4" t="n">
        <x:f>A1473*PI()*(3-SQRT(5))</x:f>
        <x:v>3520.7460580119337</x:v>
      </x:c>
      <x:c r="D1473" s="4" t="n">
        <x:f>IF('계산 과정'!$L$5,B1473*COS(C1473),"")</x:f>
        <x:v>-70.80056490011047</x:v>
      </x:c>
      <x:c r="E1473" s="4" t="n">
        <x:f>IF('계산 과정'!$L$5,B1473*SIN(C1473),"")</x:f>
        <x:v>105.40264006780258</x:v>
      </x:c>
      <x:c r="F1473" s="4" t="n">
        <x:f>IF('계산 과정'!$L$7,'계산 과정'!$L$22+'계산 과정'!$C$49*D1473+'계산 과정'!$D$49*E1473,"")</x:f>
        <x:v>700.0635595527064</x:v>
      </x:c>
      <x:c r="G1473" s="4" t="n">
        <x:f>IF('계산 과정'!$L$7,IF(ABS(F1473)&gt;=1E-12*MAX(1,SQRT((D1473-'계산 과정'!$C$33)^2+(E1473-'계산 과정'!$D$33)^2+'계산 과정'!$E$33^2)),('계산 과정'!$L$23-'계산 과정'!$C$49*D1473-'계산 과정'!$D$49*E1473)/F1473,""),"")</x:f>
        <x:v>0.49986381332414953</x:v>
      </x:c>
      <x:c r="H1473" s="4" t="n">
        <x:f>IF(AND(ISNUMBER(G1473),G1473&gt;0),('계산 과정'!$D$56+'계산 과정'!$D$57*D1473+'계산 과정'!$D$58*E1473)/F1473,"")</x:f>
        <x:v>-75.08852133930296</x:v>
      </x:c>
      <x:c r="I1473" s="4" t="n">
        <x:f>IF(AND(ISNUMBER(G1473),G1473&gt;0),('계산 과정'!$E$56+'계산 과정'!$E$57*D1473+'계산 과정'!$E$58*E1473)/F1473,"")</x:f>
        <x:v>158.08960566652718</x:v>
      </x:c>
      <x:c r="J1473" s="4" t="n">
        <x:f>IF('계산 과정'!$L$5,'계산 과정'!$D$6+'계산 과정'!$C$35*D1473+'계산 과정'!$D$35*E1473,"")</x:f>
        <x:v>700.0635595527064</x:v>
      </x:c>
      <x:c r="K1473" s="4" t="n">
        <x:f>IF(AND('계산 과정'!$L$6,J1473&gt;0),'계산 과정'!$D$10*('계산 과정'!$C$38*(D1473-'계산 과정'!$C$32)+'계산 과정'!$D$38*(E1473-'계산 과정'!$D$32)-'계산 과정'!$E$38*'계산 과정'!$E$32)/J1473,"")</x:f>
        <x:v>-0.5721030197280214</x:v>
      </x:c>
      <x:c r="L1473" s="4" t="n">
        <x:f>IF(AND('계산 과정'!$L$6,J1473&gt;0),'계산 과정'!$D$10*('계산 과정'!$C$39*(D1473-'계산 과정'!$C$32)+'계산 과정'!$D$39*(E1473-'계산 과정'!$D$32)-'계산 과정'!$E$39*'계산 과정'!$E$32)/J1473,"")</x:f>
        <x:v>1.2044922336497308</x:v>
      </x:c>
      <x:c r="M1473" s="17" t="n">
        <x:f>IF('계산 과정'!$L$6,IF(J1473&lt;=0,0,IF(AND(ABS(K1473)&lt;='계산 과정'!$D$11/2,ABS(L1473)&lt;='계산 과정'!$D$12/2),1,0)),"")</x:f>
        <x:v>1</x:v>
      </x:c>
      <x:c r="N1473" s="17" t="n">
        <x:f>IF('계산 과정'!$C$78,IF(AND(ISNUMBER(H1473),ISNUMBER(I1473),ABS(H1473-'계산 과정'!$C$88)&lt;='계산 과정'!$D$23/2,ABS(I1473-'계산 과정'!$C$89)&lt;='계산 과정'!$D$24/2),1,0),"")</x:f>
        <x:v>1</x:v>
      </x:c>
      <x:c r="O1473" s="4" t="n">
        <x:f>IF('계산 과정'!$L$7,'계산 과정'!$C$49*('계산 과정'!$C$32-D1473)+'계산 과정'!$D$49*('계산 과정'!$D$32-E1473)+'계산 과정'!$E$49*'계산 과정'!$E$32,"")</x:f>
        <x:v>-50.06355955270624</x:v>
      </x:c>
      <x:c r="P1473" s="4" t="n">
        <x:f>IF(AND('계산 과정'!$L$7,O1473&lt;&gt;0),('계산 과정'!$L$23-'계산 과정'!$C$49*D1473-'계산 과정'!$D$49*E1473)/O1473,"")</x:f>
        <x:v>-6.989843382568219</x:v>
      </x:c>
      <x:c r="Q1473" s="4" t="str">
        <x:f>IF(AND(ISNUMBER(P1473),P1473&gt;1E-9,P1473&lt;1-1E-9),'계산 과정'!$C$47*(D1473-'계산 과정'!$C$50+P1473*('계산 과정'!$C$32-D1473))+'계산 과정'!$D$47*(E1473-'계산 과정'!$D$50+P1473*('계산 과정'!$D$32-E1473))+'계산 과정'!$E$47*(0-'계산 과정'!$E$50+P1473*('계산 과정'!$E$32-0)),"")</x:f>
      </x:c>
      <x:c r="R1473" s="4" t="str">
        <x:f>IF(AND(ISNUMBER(P1473),P1473&gt;1E-9,P1473&lt;1-1E-9),'계산 과정'!$C$48*(D1473-'계산 과정'!$C$50+P1473*('계산 과정'!$C$32-D1473))+'계산 과정'!$D$48*(E1473-'계산 과정'!$D$50+P1473*('계산 과정'!$D$32-E1473))+'계산 과정'!$E$48*(0-'계산 과정'!$E$50+P1473*('계산 과정'!$E$32-0)),"")</x:f>
      </x:c>
      <x:c r="S1473" s="17" t="n">
        <x:f>IF('계산 과정'!$C$78,IF(AND(ISNUMBER(Q1473),ISNUMBER(R1473),ABS(Q1473-'계산 과정'!$C$88)&lt;='계산 과정'!$D$23/2,ABS(R1473-'계산 과정'!$C$89)&lt;='계산 과정'!$D$24/2),1,0),"")</x:f>
        <x:v>0</x:v>
      </x:c>
      <x:c r="T1473" s="4"/>
      <x:c r="U1473" s="4"/>
      <x:c r="V1473" s="4"/>
      <x:c r="W1473" s="4"/>
      <x:c r="X1473" s="4"/>
      <x:c r="Y1473" s="4"/>
      <x:c r="Z1473" s="4"/>
    </x:row>
    <x:row r="1474" ht="23" customHeight="1">
      <x:c r="A1474" s="17" t="n">
        <x:f>ROW()-6</x:f>
        <x:v>1468</x:v>
      </x:c>
      <x:c r="B1474" s="4" t="n">
        <x:f>IF('계산 과정'!$L$5,'계산 과정'!$L$11*SQRT((A1474+0.5)/'계산 과정'!$L$30),"")</x:f>
        <x:v>127.01741160786777</x:v>
      </x:c>
      <x:c r="C1474" s="4" t="n">
        <x:f>A1474*PI()*(3-SQRT(5))</x:f>
        <x:v>3523.1460212416628</x:v>
      </x:c>
      <x:c r="D1474" s="4" t="n">
        <x:f>IF('계산 과정'!$L$5,B1474*COS(C1474),"")</x:f>
        <x:v>-18.998797125894995</x:v>
      </x:c>
      <x:c r="E1474" s="4" t="n">
        <x:f>IF('계산 과정'!$L$5,B1474*SIN(C1474),"")</x:f>
        <x:v>-125.58848896030075</x:v>
      </x:c>
      <x:c r="F1474" s="4" t="n">
        <x:f>IF('계산 과정'!$L$7,'계산 과정'!$L$22+'계산 과정'!$C$49*D1474+'계산 과정'!$D$49*E1474,"")</x:f>
        <x:v>663.4341782821078</x:v>
      </x:c>
      <x:c r="G1474" s="4" t="n">
        <x:f>IF('계산 과정'!$L$7,IF(ABS(F1474)&gt;=1E-12*MAX(1,SQRT((D1474-'계산 과정'!$C$33)^2+(E1474-'계산 과정'!$D$33)^2+'계산 과정'!$E$33^2)),('계산 과정'!$L$23-'계산 과정'!$C$49*D1474-'계산 과정'!$D$49*E1474)/F1474,""),"")</x:f>
        <x:v>0.5826739628019515</x:v>
      </x:c>
      <x:c r="H1474" s="4" t="n">
        <x:f>IF(AND(ISNUMBER(G1474),G1474&gt;0),('계산 과정'!$D$56+'계산 과정'!$D$57*D1474+'계산 과정'!$D$58*E1474)/F1474,"")</x:f>
        <x:v>-21.261924178731647</x:v>
      </x:c>
      <x:c r="I1474" s="4" t="n">
        <x:f>IF(AND(ISNUMBER(G1474),G1474&gt;0),('계산 과정'!$E$56+'계산 과정'!$E$57*D1474+'계산 과정'!$E$58*E1474)/F1474,"")</x:f>
        <x:v>-198.76563150510833</x:v>
      </x:c>
      <x:c r="J1474" s="4" t="n">
        <x:f>IF('계산 과정'!$L$5,'계산 과정'!$D$6+'계산 과정'!$C$35*D1474+'계산 과정'!$D$35*E1474,"")</x:f>
        <x:v>663.4341782821078</x:v>
      </x:c>
      <x:c r="K1474" s="4" t="n">
        <x:f>IF(AND('계산 과정'!$L$6,J1474&gt;0),'계산 과정'!$D$10*('계산 과정'!$C$38*(D1474-'계산 과정'!$C$32)+'계산 과정'!$D$38*(E1474-'계산 과정'!$D$32)-'계산 과정'!$E$38*'계산 과정'!$E$32)/J1474,"")</x:f>
        <x:v>-0.16199561279033542</x:v>
      </x:c>
      <x:c r="L1474" s="4" t="n">
        <x:f>IF(AND('계산 과정'!$L$6,J1474&gt;0),'계산 과정'!$D$10*('계산 과정'!$C$39*(D1474-'계산 과정'!$C$32)+'계산 과정'!$D$39*(E1474-'계산 과정'!$D$32)-'계산 과정'!$E$39*'계산 과정'!$E$32)/J1474,"")</x:f>
        <x:v>-1.514404811467492</x:v>
      </x:c>
      <x:c r="M1474" s="17" t="n">
        <x:f>IF('계산 과정'!$L$6,IF(J1474&lt;=0,0,IF(AND(ABS(K1474)&lt;='계산 과정'!$D$11/2,ABS(L1474)&lt;='계산 과정'!$D$12/2),1,0)),"")</x:f>
        <x:v>1</x:v>
      </x:c>
      <x:c r="N1474" s="17" t="n">
        <x:f>IF('계산 과정'!$C$78,IF(AND(ISNUMBER(H1474),ISNUMBER(I1474),ABS(H1474-'계산 과정'!$C$88)&lt;='계산 과정'!$D$23/2,ABS(I1474-'계산 과정'!$C$89)&lt;='계산 과정'!$D$24/2),1,0),"")</x:f>
        <x:v>1</x:v>
      </x:c>
      <x:c r="O1474" s="4" t="n">
        <x:f>IF('계산 과정'!$L$7,'계산 과정'!$C$49*('계산 과정'!$C$32-D1474)+'계산 과정'!$D$49*('계산 과정'!$D$32-E1474)+'계산 과정'!$E$49*'계산 과정'!$E$32,"")</x:f>
        <x:v>-13.434178282107723</x:v>
      </x:c>
      <x:c r="P1474" s="4" t="n">
        <x:f>IF(AND('계산 과정'!$L$7,O1474&lt;&gt;0),('계산 과정'!$L$23-'계산 과정'!$C$49*D1474-'계산 과정'!$D$49*E1474)/O1474,"")</x:f>
        <x:v>-28.774802120405003</x:v>
      </x:c>
      <x:c r="Q1474" s="4" t="str">
        <x:f>IF(AND(ISNUMBER(P1474),P1474&gt;1E-9,P1474&lt;1-1E-9),'계산 과정'!$C$47*(D1474-'계산 과정'!$C$50+P1474*('계산 과정'!$C$32-D1474))+'계산 과정'!$D$47*(E1474-'계산 과정'!$D$50+P1474*('계산 과정'!$D$32-E1474))+'계산 과정'!$E$47*(0-'계산 과정'!$E$50+P1474*('계산 과정'!$E$32-0)),"")</x:f>
      </x:c>
      <x:c r="R1474" s="4" t="str">
        <x:f>IF(AND(ISNUMBER(P1474),P1474&gt;1E-9,P1474&lt;1-1E-9),'계산 과정'!$C$48*(D1474-'계산 과정'!$C$50+P1474*('계산 과정'!$C$32-D1474))+'계산 과정'!$D$48*(E1474-'계산 과정'!$D$50+P1474*('계산 과정'!$D$32-E1474))+'계산 과정'!$E$48*(0-'계산 과정'!$E$50+P1474*('계산 과정'!$E$32-0)),"")</x:f>
      </x:c>
      <x:c r="S1474" s="17" t="n">
        <x:f>IF('계산 과정'!$C$78,IF(AND(ISNUMBER(Q1474),ISNUMBER(R1474),ABS(Q1474-'계산 과정'!$C$88)&lt;='계산 과정'!$D$23/2,ABS(R1474-'계산 과정'!$C$89)&lt;='계산 과정'!$D$24/2),1,0),"")</x:f>
        <x:v>0</x:v>
      </x:c>
      <x:c r="T1474" s="4"/>
      <x:c r="U1474" s="4"/>
      <x:c r="V1474" s="4"/>
      <x:c r="W1474" s="4"/>
      <x:c r="X1474" s="4"/>
      <x:c r="Y1474" s="4"/>
      <x:c r="Z1474" s="4"/>
    </x:row>
    <x:row r="1475" ht="23" customHeight="1">
      <x:c r="A1475" s="17" t="n">
        <x:f>ROW()-6</x:f>
        <x:v>1469</x:v>
      </x:c>
      <x:c r="B1475" s="4" t="n">
        <x:f>IF('계산 과정'!$L$5,'계산 과정'!$L$11*SQRT((A1475+0.5)/'계산 과정'!$L$30),"")</x:f>
        <x:v>127.06065157902938</x:v>
      </x:c>
      <x:c r="C1475" s="4" t="n">
        <x:f>A1475*PI()*(3-SQRT(5))</x:f>
        <x:v>3525.545984471391</x:v>
      </x:c>
      <x:c r="D1475" s="4" t="n">
        <x:f>IF('계산 과정'!$L$5,B1475*COS(C1475),"")</x:f>
        <x:v>98.87657574225233</x:v>
      </x:c>
      <x:c r="E1475" s="4" t="n">
        <x:f>IF('계산 과정'!$L$5,B1475*SIN(C1475),"")</x:f>
        <x:v>79.79869641274938</x:v>
      </x:c>
      <x:c r="F1475" s="4" t="n">
        <x:f>IF('계산 과정'!$L$7,'계산 과정'!$L$22+'계산 과정'!$C$49*D1475+'계산 과정'!$D$49*E1475,"")</x:f>
        <x:v>580.0837027921481</x:v>
      </x:c>
      <x:c r="G1475" s="4" t="n">
        <x:f>IF('계산 과정'!$L$7,IF(ABS(F1475)&gt;=1E-12*MAX(1,SQRT((D1475-'계산 과정'!$C$33)^2+(E1475-'계산 과정'!$D$33)^2+'계산 과정'!$E$33^2)),('계산 과정'!$L$23-'계산 과정'!$C$49*D1475-'계산 과정'!$D$49*E1475)/F1475,""),"")</x:f>
        <x:v>0.8100836050831605</x:v>
      </x:c>
      <x:c r="H1475" s="4" t="n">
        <x:f>IF(AND(ISNUMBER(G1475),G1475&gt;0),('계산 과정'!$D$56+'계산 과정'!$D$57*D1475+'계산 과정'!$D$58*E1475)/F1475,"")</x:f>
        <x:v>126.55434330405419</x:v>
      </x:c>
      <x:c r="I1475" s="4" t="n">
        <x:f>IF(AND(ISNUMBER(G1475),G1475&gt;0),('계산 과정'!$E$56+'계산 과정'!$E$57*D1475+'계산 과정'!$E$58*E1475)/F1475,"")</x:f>
        <x:v>144.44231208372605</x:v>
      </x:c>
      <x:c r="J1475" s="4" t="n">
        <x:f>IF('계산 과정'!$L$5,'계산 과정'!$D$6+'계산 과정'!$C$35*D1475+'계산 과정'!$D$35*E1475,"")</x:f>
        <x:v>580.0837027921481</x:v>
      </x:c>
      <x:c r="K1475" s="4" t="n">
        <x:f>IF(AND('계산 과정'!$L$6,J1475&gt;0),'계산 과정'!$D$10*('계산 과정'!$C$38*(D1475-'계산 과정'!$C$32)+'계산 과정'!$D$38*(E1475-'계산 과정'!$D$32)-'계산 과정'!$E$38*'계산 과정'!$E$32)/J1475,"")</x:f>
        <x:v>0.96422356803089</x:v>
      </x:c>
      <x:c r="L1475" s="4" t="n">
        <x:f>IF(AND('계산 과정'!$L$6,J1475&gt;0),'계산 과정'!$D$10*('계산 과정'!$C$39*(D1475-'계산 과정'!$C$32)+'계산 과정'!$D$39*(E1475-'계산 과정'!$D$32)-'계산 과정'!$E$39*'계산 과정'!$E$32)/J1475,"")</x:f>
        <x:v>1.100512853971246</x:v>
      </x:c>
      <x:c r="M1475" s="17" t="n">
        <x:f>IF('계산 과정'!$L$6,IF(J1475&lt;=0,0,IF(AND(ABS(K1475)&lt;='계산 과정'!$D$11/2,ABS(L1475)&lt;='계산 과정'!$D$12/2),1,0)),"")</x:f>
        <x:v>1</x:v>
      </x:c>
      <x:c r="N1475" s="17" t="n">
        <x:f>IF('계산 과정'!$C$78,IF(AND(ISNUMBER(H1475),ISNUMBER(I1475),ABS(H1475-'계산 과정'!$C$88)&lt;='계산 과정'!$D$23/2,ABS(I1475-'계산 과정'!$C$89)&lt;='계산 과정'!$D$24/2),1,0),"")</x:f>
        <x:v>1</x:v>
      </x:c>
      <x:c r="O1475" s="4" t="n">
        <x:f>IF('계산 과정'!$L$7,'계산 과정'!$C$49*('계산 과정'!$C$32-D1475)+'계산 과정'!$D$49*('계산 과정'!$D$32-E1475)+'계산 과정'!$E$49*'계산 과정'!$E$32,"")</x:f>
        <x:v>69.91629720785201</x:v>
      </x:c>
      <x:c r="P1475" s="4" t="n">
        <x:f>IF(AND('계산 과정'!$L$7,O1475&lt;&gt;0),('계산 과정'!$L$23-'계산 과정'!$C$49*D1475-'계산 과정'!$D$49*E1475)/O1475,"")</x:f>
        <x:v>6.72112677550489</x:v>
      </x:c>
      <x:c r="Q1475" s="4" t="str">
        <x:f>IF(AND(ISNUMBER(P1475),P1475&gt;1E-9,P1475&lt;1-1E-9),'계산 과정'!$C$47*(D1475-'계산 과정'!$C$50+P1475*('계산 과정'!$C$32-D1475))+'계산 과정'!$D$47*(E1475-'계산 과정'!$D$50+P1475*('계산 과정'!$D$32-E1475))+'계산 과정'!$E$47*(0-'계산 과정'!$E$50+P1475*('계산 과정'!$E$32-0)),"")</x:f>
      </x:c>
      <x:c r="R1475" s="4" t="str">
        <x:f>IF(AND(ISNUMBER(P1475),P1475&gt;1E-9,P1475&lt;1-1E-9),'계산 과정'!$C$48*(D1475-'계산 과정'!$C$50+P1475*('계산 과정'!$C$32-D1475))+'계산 과정'!$D$48*(E1475-'계산 과정'!$D$50+P1475*('계산 과정'!$D$32-E1475))+'계산 과정'!$E$48*(0-'계산 과정'!$E$50+P1475*('계산 과정'!$E$32-0)),"")</x:f>
      </x:c>
      <x:c r="S1475" s="17" t="n">
        <x:f>IF('계산 과정'!$C$78,IF(AND(ISNUMBER(Q1475),ISNUMBER(R1475),ABS(Q1475-'계산 과정'!$C$88)&lt;='계산 과정'!$D$23/2,ABS(R1475-'계산 과정'!$C$89)&lt;='계산 과정'!$D$24/2),1,0),"")</x:f>
        <x:v>0</x:v>
      </x:c>
      <x:c r="T1475" s="4"/>
      <x:c r="U1475" s="4"/>
      <x:c r="V1475" s="4"/>
      <x:c r="W1475" s="4"/>
      <x:c r="X1475" s="4"/>
      <x:c r="Y1475" s="4"/>
      <x:c r="Z1475" s="4"/>
    </x:row>
    <x:row r="1476" ht="23" customHeight="1">
      <x:c r="A1476" s="17" t="n">
        <x:f>ROW()-6</x:f>
        <x:v>1470</x:v>
      </x:c>
      <x:c r="B1476" s="4" t="n">
        <x:f>IF('계산 과정'!$L$5,'계산 과정'!$L$11*SQRT((A1476+0.5)/'계산 과정'!$L$30),"")</x:f>
        <x:v>127.10387684021482</x:v>
      </x:c>
      <x:c r="C1476" s="4" t="n">
        <x:f>A1476*PI()*(3-SQRT(5))</x:f>
        <x:v>3527.9459477011196</x:v>
      </x:c>
      <x:c r="D1476" s="4" t="n">
        <x:f>IF('계산 과정'!$L$5,B1476*COS(C1476),"")</x:f>
        <x:v>-126.85489523278633</x:v>
      </x:c>
      <x:c r="E1476" s="4" t="n">
        <x:f>IF('계산 과정'!$L$5,B1476*SIN(C1476),"")</x:f>
        <x:v>7.951796230494242</x:v>
      </x:c>
      <x:c r="F1476" s="4" t="n">
        <x:f>IF('계산 과정'!$L$7,'계산 과정'!$L$22+'계산 과정'!$C$49*D1476+'계산 과정'!$D$49*E1476,"")</x:f>
        <x:v>739.6999566458122</x:v>
      </x:c>
      <x:c r="G1476" s="4" t="n">
        <x:f>IF('계산 과정'!$L$7,IF(ABS(F1476)&gt;=1E-12*MAX(1,SQRT((D1476-'계산 과정'!$C$33)^2+(E1476-'계산 과정'!$D$33)^2+'계산 과정'!$E$33^2)),('계산 과정'!$L$23-'계산 과정'!$C$49*D1476-'계산 과정'!$D$49*E1476)/F1476,""),"")</x:f>
        <x:v>0.41949447281469504</x:v>
      </x:c>
      <x:c r="H1476" s="4" t="n">
        <x:f>IF(AND(ISNUMBER(G1476),G1476&gt;0),('계산 과정'!$D$56+'계산 과정'!$D$57*D1476+'계산 과정'!$D$58*E1476)/F1476,"")</x:f>
        <x:v>-127.3285926704484</x:v>
      </x:c>
      <x:c r="I1476" s="4" t="n">
        <x:f>IF(AND(ISNUMBER(G1476),G1476&gt;0),('계산 과정'!$E$56+'계산 과정'!$E$57*D1476+'계산 과정'!$E$58*E1476)/F1476,"")</x:f>
        <x:v>11.287530798135304</x:v>
      </x:c>
      <x:c r="J1476" s="4" t="n">
        <x:f>IF('계산 과정'!$L$5,'계산 과정'!$D$6+'계산 과정'!$C$35*D1476+'계산 과정'!$D$35*E1476,"")</x:f>
        <x:v>739.6999566458122</x:v>
      </x:c>
      <x:c r="K1476" s="4" t="n">
        <x:f>IF(AND('계산 과정'!$L$6,J1476&gt;0),'계산 과정'!$D$10*('계산 과정'!$C$38*(D1476-'계산 과정'!$C$32)+'계산 과정'!$D$38*(E1476-'계산 과정'!$D$32)-'계산 과정'!$E$38*'계산 과정'!$E$32)/J1476,"")</x:f>
        <x:v>-0.9701226108224632</x:v>
      </x:c>
      <x:c r="L1476" s="4" t="n">
        <x:f>IF(AND('계산 과정'!$L$6,J1476&gt;0),'계산 과정'!$D$10*('계산 과정'!$C$39*(D1476-'계산 과정'!$C$32)+'계산 과정'!$D$39*(E1476-'계산 과정'!$D$32)-'계산 과정'!$E$39*'계산 과정'!$E$32)/J1476,"")</x:f>
        <x:v>0.08600023465245946</x:v>
      </x:c>
      <x:c r="M1476" s="17" t="n">
        <x:f>IF('계산 과정'!$L$6,IF(J1476&lt;=0,0,IF(AND(ABS(K1476)&lt;='계산 과정'!$D$11/2,ABS(L1476)&lt;='계산 과정'!$D$12/2),1,0)),"")</x:f>
        <x:v>1</x:v>
      </x:c>
      <x:c r="N1476" s="17" t="n">
        <x:f>IF('계산 과정'!$C$78,IF(AND(ISNUMBER(H1476),ISNUMBER(I1476),ABS(H1476-'계산 과정'!$C$88)&lt;='계산 과정'!$D$23/2,ABS(I1476-'계산 과정'!$C$89)&lt;='계산 과정'!$D$24/2),1,0),"")</x:f>
        <x:v>1</x:v>
      </x:c>
      <x:c r="O1476" s="4" t="n">
        <x:f>IF('계산 과정'!$L$7,'계산 과정'!$C$49*('계산 과정'!$C$32-D1476)+'계산 과정'!$D$49*('계산 과정'!$D$32-E1476)+'계산 과정'!$E$49*'계산 과정'!$E$32,"")</x:f>
        <x:v>-89.69995664581216</x:v>
      </x:c>
      <x:c r="P1476" s="4" t="n">
        <x:f>IF(AND('계산 과정'!$L$7,O1476&lt;&gt;0),('계산 과정'!$L$23-'계산 과정'!$C$49*D1476-'계산 과정'!$D$49*E1476)/O1476,"")</x:f>
        <x:v>-3.4593109624281495</x:v>
      </x:c>
      <x:c r="Q1476" s="4" t="str">
        <x:f>IF(AND(ISNUMBER(P1476),P1476&gt;1E-9,P1476&lt;1-1E-9),'계산 과정'!$C$47*(D1476-'계산 과정'!$C$50+P1476*('계산 과정'!$C$32-D1476))+'계산 과정'!$D$47*(E1476-'계산 과정'!$D$50+P1476*('계산 과정'!$D$32-E1476))+'계산 과정'!$E$47*(0-'계산 과정'!$E$50+P1476*('계산 과정'!$E$32-0)),"")</x:f>
      </x:c>
      <x:c r="R1476" s="4" t="str">
        <x:f>IF(AND(ISNUMBER(P1476),P1476&gt;1E-9,P1476&lt;1-1E-9),'계산 과정'!$C$48*(D1476-'계산 과정'!$C$50+P1476*('계산 과정'!$C$32-D1476))+'계산 과정'!$D$48*(E1476-'계산 과정'!$D$50+P1476*('계산 과정'!$D$32-E1476))+'계산 과정'!$E$48*(0-'계산 과정'!$E$50+P1476*('계산 과정'!$E$32-0)),"")</x:f>
      </x:c>
      <x:c r="S1476" s="17" t="n">
        <x:f>IF('계산 과정'!$C$78,IF(AND(ISNUMBER(Q1476),ISNUMBER(R1476),ABS(Q1476-'계산 과정'!$C$88)&lt;='계산 과정'!$D$23/2,ABS(R1476-'계산 과정'!$C$89)&lt;='계산 과정'!$D$24/2),1,0),"")</x:f>
        <x:v>0</x:v>
      </x:c>
      <x:c r="T1476" s="4"/>
      <x:c r="U1476" s="4"/>
      <x:c r="V1476" s="4"/>
      <x:c r="W1476" s="4"/>
      <x:c r="X1476" s="4"/>
      <x:c r="Y1476" s="4"/>
      <x:c r="Z1476" s="4"/>
    </x:row>
    <x:row r="1477" ht="23" customHeight="1">
      <x:c r="A1477" s="17" t="n">
        <x:f>ROW()-6</x:f>
        <x:v>1471</x:v>
      </x:c>
      <x:c r="B1477" s="4" t="n">
        <x:f>IF('계산 과정'!$L$5,'계산 과정'!$L$11*SQRT((A1477+0.5)/'계산 과정'!$L$30),"")</x:f>
        <x:v>127.14708740642666</x:v>
      </x:c>
      <x:c r="C1477" s="4" t="n">
        <x:f>A1477*PI()*(3-SQRT(5))</x:f>
        <x:v>3530.3459109308487</x:v>
      </x:c>
      <x:c r="D1477" s="4" t="n">
        <x:f>IF('계산 과정'!$L$5,B1477*COS(C1477),"")</x:f>
        <x:v>88.1974642515088</x:v>
      </x:c>
      <x:c r="E1477" s="4" t="n">
        <x:f>IF('계산 과정'!$L$5,B1477*SIN(C1477),"")</x:f>
        <x:v>-91.58378205523796</x:v>
      </x:c>
      <x:c r="F1477" s="4" t="n">
        <x:f>IF('계산 과정'!$L$7,'계산 과정'!$L$22+'계산 과정'!$C$49*D1477+'계산 과정'!$D$49*E1477,"")</x:f>
        <x:v>587.6349749443</x:v>
      </x:c>
      <x:c r="G1477" s="4" t="n">
        <x:f>IF('계산 과정'!$L$7,IF(ABS(F1477)&gt;=1E-12*MAX(1,SQRT((D1477-'계산 과정'!$C$33)^2+(E1477-'계산 과정'!$D$33)^2+'계산 과정'!$E$33^2)),('계산 과정'!$L$23-'계산 과정'!$C$49*D1477-'계산 과정'!$D$49*E1477)/F1477,""),"")</x:f>
        <x:v>0.7868235295210705</x:v>
      </x:c>
      <x:c r="H1477" s="4" t="n">
        <x:f>IF(AND(ISNUMBER(G1477),G1477&gt;0),('계산 과정'!$D$56+'계산 과정'!$D$57*D1477+'계산 과정'!$D$58*E1477)/F1477,"")</x:f>
        <x:v>111.43529418869575</x:v>
      </x:c>
      <x:c r="I1477" s="4" t="n">
        <x:f>IF(AND(ISNUMBER(G1477),G1477&gt;0),('계산 과정'!$E$56+'계산 과정'!$E$57*D1477+'계산 과정'!$E$58*E1477)/F1477,"")</x:f>
        <x:v>-163.6440566988288</x:v>
      </x:c>
      <x:c r="J1477" s="4" t="n">
        <x:f>IF('계산 과정'!$L$5,'계산 과정'!$D$6+'계산 과정'!$C$35*D1477+'계산 과정'!$D$35*E1477,"")</x:f>
        <x:v>587.6349749443</x:v>
      </x:c>
      <x:c r="K1477" s="4" t="n">
        <x:f>IF(AND('계산 과정'!$L$6,J1477&gt;0),'계산 과정'!$D$10*('계산 과정'!$C$38*(D1477-'계산 과정'!$C$32)+'계산 과정'!$D$38*(E1477-'계산 과정'!$D$32)-'계산 과정'!$E$38*'계산 과정'!$E$32)/J1477,"")</x:f>
        <x:v>0.8490308128662537</x:v>
      </x:c>
      <x:c r="L1477" s="4" t="n">
        <x:f>IF(AND('계산 과정'!$L$6,J1477&gt;0),'계산 과정'!$D$10*('계산 과정'!$C$39*(D1477-'계산 과정'!$C$32)+'계산 과정'!$D$39*(E1477-'계산 과정'!$D$32)-'계산 과정'!$E$39*'계산 과정'!$E$32)/J1477,"")</x:f>
        <x:v>-1.246811860562505</x:v>
      </x:c>
      <x:c r="M1477" s="17" t="n">
        <x:f>IF('계산 과정'!$L$6,IF(J1477&lt;=0,0,IF(AND(ABS(K1477)&lt;='계산 과정'!$D$11/2,ABS(L1477)&lt;='계산 과정'!$D$12/2),1,0)),"")</x:f>
        <x:v>1</x:v>
      </x:c>
      <x:c r="N1477" s="17" t="n">
        <x:f>IF('계산 과정'!$C$78,IF(AND(ISNUMBER(H1477),ISNUMBER(I1477),ABS(H1477-'계산 과정'!$C$88)&lt;='계산 과정'!$D$23/2,ABS(I1477-'계산 과정'!$C$89)&lt;='계산 과정'!$D$24/2),1,0),"")</x:f>
        <x:v>1</x:v>
      </x:c>
      <x:c r="O1477" s="4" t="n">
        <x:f>IF('계산 과정'!$L$7,'계산 과정'!$C$49*('계산 과정'!$C$32-D1477)+'계산 과정'!$D$49*('계산 과정'!$D$32-E1477)+'계산 과정'!$E$49*'계산 과정'!$E$32,"")</x:f>
        <x:v>62.36502505570007</x:v>
      </x:c>
      <x:c r="P1477" s="4" t="n">
        <x:f>IF(AND('계산 과정'!$L$7,O1477&lt;&gt;0),('계산 과정'!$L$23-'계산 과정'!$C$49*D1477-'계산 과정'!$D$49*E1477)/O1477,"")</x:f>
        <x:v>7.413851347654361</x:v>
      </x:c>
      <x:c r="Q1477" s="4" t="str">
        <x:f>IF(AND(ISNUMBER(P1477),P1477&gt;1E-9,P1477&lt;1-1E-9),'계산 과정'!$C$47*(D1477-'계산 과정'!$C$50+P1477*('계산 과정'!$C$32-D1477))+'계산 과정'!$D$47*(E1477-'계산 과정'!$D$50+P1477*('계산 과정'!$D$32-E1477))+'계산 과정'!$E$47*(0-'계산 과정'!$E$50+P1477*('계산 과정'!$E$32-0)),"")</x:f>
      </x:c>
      <x:c r="R1477" s="4" t="str">
        <x:f>IF(AND(ISNUMBER(P1477),P1477&gt;1E-9,P1477&lt;1-1E-9),'계산 과정'!$C$48*(D1477-'계산 과정'!$C$50+P1477*('계산 과정'!$C$32-D1477))+'계산 과정'!$D$48*(E1477-'계산 과정'!$D$50+P1477*('계산 과정'!$D$32-E1477))+'계산 과정'!$E$48*(0-'계산 과정'!$E$50+P1477*('계산 과정'!$E$32-0)),"")</x:f>
      </x:c>
      <x:c r="S1477" s="17" t="n">
        <x:f>IF('계산 과정'!$C$78,IF(AND(ISNUMBER(Q1477),ISNUMBER(R1477),ABS(Q1477-'계산 과정'!$C$88)&lt;='계산 과정'!$D$23/2,ABS(R1477-'계산 과정'!$C$89)&lt;='계산 과정'!$D$24/2),1,0),"")</x:f>
        <x:v>0</x:v>
      </x:c>
      <x:c r="T1477" s="4"/>
      <x:c r="U1477" s="4"/>
      <x:c r="V1477" s="4"/>
      <x:c r="W1477" s="4"/>
      <x:c r="X1477" s="4"/>
      <x:c r="Y1477" s="4"/>
      <x:c r="Z1477" s="4"/>
    </x:row>
    <x:row r="1478" ht="23" customHeight="1">
      <x:c r="A1478" s="17" t="n">
        <x:f>ROW()-6</x:f>
        <x:v>1472</x:v>
      </x:c>
      <x:c r="B1478" s="4" t="n">
        <x:f>IF('계산 과정'!$L$5,'계산 과정'!$L$11*SQRT((A1478+0.5)/'계산 과정'!$L$30),"")</x:f>
        <x:v>127.1902832926419</x:v>
      </x:c>
      <x:c r="C1478" s="4" t="n">
        <x:f>A1478*PI()*(3-SQRT(5))</x:f>
        <x:v>3532.745874160577</x:v>
      </x:c>
      <x:c r="D1478" s="4" t="n">
        <x:f>IF('계산 과정'!$L$5,B1478*COS(C1478),"")</x:f>
        <x:v>-3.171186360753408</x:v>
      </x:c>
      <x:c r="E1478" s="4" t="n">
        <x:f>IF('계산 과정'!$L$5,B1478*SIN(C1478),"")</x:f>
        <x:v>127.15074416269796</x:v>
      </x:c>
      <x:c r="F1478" s="4" t="n">
        <x:f>IF('계산 과정'!$L$7,'계산 과정'!$L$22+'계산 과정'!$C$49*D1478+'계산 과정'!$D$49*E1478,"")</x:f>
        <x:v>652.2423673800951</x:v>
      </x:c>
      <x:c r="G1478" s="4" t="n">
        <x:f>IF('계산 과정'!$L$7,IF(ABS(F1478)&gt;=1E-12*MAX(1,SQRT((D1478-'계산 과정'!$C$33)^2+(E1478-'계산 과정'!$D$33)^2+'계산 과정'!$E$33^2)),('계산 과정'!$L$23-'계산 과정'!$C$49*D1478-'계산 과정'!$D$49*E1478)/F1478,""),"")</x:f>
        <x:v>0.6098310267969932</x:v>
      </x:c>
      <x:c r="H1478" s="4" t="n">
        <x:f>IF(AND(ISNUMBER(G1478),G1478&gt;0),('계산 과정'!$D$56+'계산 과정'!$D$57*D1478+'계산 과정'!$D$58*E1478)/F1478,"")</x:f>
        <x:v>-3.6098325819545707</x:v>
      </x:c>
      <x:c r="I1478" s="4" t="n">
        <x:f>IF(AND(ISNUMBER(G1478),G1478&gt;0),('계산 과정'!$E$56+'계산 과정'!$E$57*D1478+'계산 과정'!$E$58*E1478)/F1478,"")</x:f>
        <x:v>204.6912130334378</x:v>
      </x:c>
      <x:c r="J1478" s="4" t="n">
        <x:f>IF('계산 과정'!$L$5,'계산 과정'!$D$6+'계산 과정'!$C$35*D1478+'계산 과정'!$D$35*E1478,"")</x:f>
        <x:v>652.2423673800951</x:v>
      </x:c>
      <x:c r="K1478" s="4" t="n">
        <x:f>IF(AND('계산 과정'!$L$6,J1478&gt;0),'계산 과정'!$D$10*('계산 과정'!$C$38*(D1478-'계산 과정'!$C$32)+'계산 과정'!$D$38*(E1478-'계산 과정'!$D$32)-'계산 과정'!$E$38*'계산 과정'!$E$32)/J1478,"")</x:f>
        <x:v>-0.02750348633870037</x:v>
      </x:c>
      <x:c r="L1478" s="4" t="n">
        <x:f>IF(AND('계산 과정'!$L$6,J1478&gt;0),'계산 과정'!$D$10*('계산 과정'!$C$39*(D1478-'계산 과정'!$C$32)+'계산 과정'!$D$39*(E1478-'계산 과정'!$D$32)-'계산 과정'!$E$39*'계산 과정'!$E$32)/J1478,"")</x:f>
        <x:v>1.5595520993023835</x:v>
      </x:c>
      <x:c r="M1478" s="17" t="n">
        <x:f>IF('계산 과정'!$L$6,IF(J1478&lt;=0,0,IF(AND(ABS(K1478)&lt;='계산 과정'!$D$11/2,ABS(L1478)&lt;='계산 과정'!$D$12/2),1,0)),"")</x:f>
        <x:v>1</x:v>
      </x:c>
      <x:c r="N1478" s="17" t="n">
        <x:f>IF('계산 과정'!$C$78,IF(AND(ISNUMBER(H1478),ISNUMBER(I1478),ABS(H1478-'계산 과정'!$C$88)&lt;='계산 과정'!$D$23/2,ABS(I1478-'계산 과정'!$C$89)&lt;='계산 과정'!$D$24/2),1,0),"")</x:f>
        <x:v>1</x:v>
      </x:c>
      <x:c r="O1478" s="4" t="n">
        <x:f>IF('계산 과정'!$L$7,'계산 과정'!$C$49*('계산 과정'!$C$32-D1478)+'계산 과정'!$D$49*('계산 과정'!$D$32-E1478)+'계산 과정'!$E$49*'계산 과정'!$E$32,"")</x:f>
        <x:v>-2.2423673800948904</x:v>
      </x:c>
      <x:c r="P1478" s="4" t="n">
        <x:f>IF(AND('계산 과정'!$L$7,O1478&lt;&gt;0),('계산 과정'!$L$23-'계산 과정'!$C$49*D1478-'계산 과정'!$D$49*E1478)/O1478,"")</x:f>
        <x:v>-177.3829017273133</x:v>
      </x:c>
      <x:c r="Q1478" s="4" t="str">
        <x:f>IF(AND(ISNUMBER(P1478),P1478&gt;1E-9,P1478&lt;1-1E-9),'계산 과정'!$C$47*(D1478-'계산 과정'!$C$50+P1478*('계산 과정'!$C$32-D1478))+'계산 과정'!$D$47*(E1478-'계산 과정'!$D$50+P1478*('계산 과정'!$D$32-E1478))+'계산 과정'!$E$47*(0-'계산 과정'!$E$50+P1478*('계산 과정'!$E$32-0)),"")</x:f>
      </x:c>
      <x:c r="R1478" s="4" t="str">
        <x:f>IF(AND(ISNUMBER(P1478),P1478&gt;1E-9,P1478&lt;1-1E-9),'계산 과정'!$C$48*(D1478-'계산 과정'!$C$50+P1478*('계산 과정'!$C$32-D1478))+'계산 과정'!$D$48*(E1478-'계산 과정'!$D$50+P1478*('계산 과정'!$D$32-E1478))+'계산 과정'!$E$48*(0-'계산 과정'!$E$50+P1478*('계산 과정'!$E$32-0)),"")</x:f>
      </x:c>
      <x:c r="S1478" s="17" t="n">
        <x:f>IF('계산 과정'!$C$78,IF(AND(ISNUMBER(Q1478),ISNUMBER(R1478),ABS(Q1478-'계산 과정'!$C$88)&lt;='계산 과정'!$D$23/2,ABS(R1478-'계산 과정'!$C$89)&lt;='계산 과정'!$D$24/2),1,0),"")</x:f>
        <x:v>0</x:v>
      </x:c>
      <x:c r="T1478" s="4"/>
      <x:c r="U1478" s="4"/>
      <x:c r="V1478" s="4"/>
      <x:c r="W1478" s="4"/>
      <x:c r="X1478" s="4"/>
      <x:c r="Y1478" s="4"/>
      <x:c r="Z1478" s="4"/>
    </x:row>
    <x:row r="1479" ht="23" customHeight="1">
      <x:c r="A1479" s="17" t="n">
        <x:f>ROW()-6</x:f>
        <x:v>1473</x:v>
      </x:c>
      <x:c r="B1479" s="4" t="n">
        <x:f>IF('계산 과정'!$L$5,'계산 과정'!$L$11*SQRT((A1479+0.5)/'계산 과정'!$L$30),"")</x:f>
        <x:v>127.23346451381217</x:v>
      </x:c>
      <x:c r="C1479" s="4" t="n">
        <x:f>A1479*PI()*(3-SQRT(5))</x:f>
        <x:v>3535.1458373903056</x:v>
      </x:c>
      <x:c r="D1479" s="4" t="n">
        <x:f>IF('계산 과정'!$L$5,B1479*COS(C1479),"")</x:f>
        <x:v>-83.5791250226859</x:v>
      </x:c>
      <x:c r="E1479" s="4" t="n">
        <x:f>IF('계산 과정'!$L$5,B1479*SIN(C1479),"")</x:f>
        <x:v>-95.9316650154147</x:v>
      </x:c>
      <x:c r="F1479" s="4" t="n">
        <x:f>IF('계산 과정'!$L$7,'계산 과정'!$L$22+'계산 과정'!$C$49*D1479+'계산 과정'!$D$49*E1479,"")</x:f>
        <x:v>709.0993660691795</x:v>
      </x:c>
      <x:c r="G1479" s="4" t="n">
        <x:f>IF('계산 과정'!$L$7,IF(ABS(F1479)&gt;=1E-12*MAX(1,SQRT((D1479-'계산 과정'!$C$33)^2+(E1479-'계산 과정'!$D$33)^2+'계산 과정'!$E$33^2)),('계산 과정'!$L$23-'계산 과정'!$C$49*D1479-'계산 과정'!$D$49*E1479)/F1479,""),"")</x:f>
        <x:v>0.480751570574049</x:v>
      </x:c>
      <x:c r="H1479" s="4" t="n">
        <x:f>IF(AND(ISNUMBER(G1479),G1479&gt;0),('계산 과정'!$D$56+'계산 과정'!$D$57*D1479+'계산 과정'!$D$58*E1479)/F1479,"")</x:f>
        <x:v>-87.51147912686827</x:v>
      </x:c>
      <x:c r="I1479" s="4" t="n">
        <x:f>IF(AND(ISNUMBER(G1479),G1479&gt;0),('계산 과정'!$E$56+'계산 과정'!$E$57*D1479+'계산 과정'!$E$58*E1479)/F1479,"")</x:f>
        <x:v>-142.05096363935886</x:v>
      </x:c>
      <x:c r="J1479" s="4" t="n">
        <x:f>IF('계산 과정'!$L$5,'계산 과정'!$D$6+'계산 과정'!$C$35*D1479+'계산 과정'!$D$35*E1479,"")</x:f>
        <x:v>709.0993660691795</x:v>
      </x:c>
      <x:c r="K1479" s="4" t="n">
        <x:f>IF(AND('계산 과정'!$L$6,J1479&gt;0),'계산 과정'!$D$10*('계산 과정'!$C$38*(D1479-'계산 과정'!$C$32)+'계산 과정'!$D$38*(E1479-'계산 과정'!$D$32)-'계산 과정'!$E$38*'계산 과정'!$E$32)/J1479,"")</x:f>
        <x:v>-0.6667541266808998</x:v>
      </x:c>
      <x:c r="L1479" s="4" t="n">
        <x:f>IF(AND('계산 과정'!$L$6,J1479&gt;0),'계산 과정'!$D$10*('계산 과정'!$C$39*(D1479-'계산 과정'!$C$32)+'계산 과정'!$D$39*(E1479-'계산 과정'!$D$32)-'계산 과정'!$E$39*'계산 과정'!$E$32)/J1479,"")</x:f>
        <x:v>-1.082293056299877</x:v>
      </x:c>
      <x:c r="M1479" s="17" t="n">
        <x:f>IF('계산 과정'!$L$6,IF(J1479&lt;=0,0,IF(AND(ABS(K1479)&lt;='계산 과정'!$D$11/2,ABS(L1479)&lt;='계산 과정'!$D$12/2),1,0)),"")</x:f>
        <x:v>1</x:v>
      </x:c>
      <x:c r="N1479" s="17" t="n">
        <x:f>IF('계산 과정'!$C$78,IF(AND(ISNUMBER(H1479),ISNUMBER(I1479),ABS(H1479-'계산 과정'!$C$88)&lt;='계산 과정'!$D$23/2,ABS(I1479-'계산 과정'!$C$89)&lt;='계산 과정'!$D$24/2),1,0),"")</x:f>
        <x:v>1</x:v>
      </x:c>
      <x:c r="O1479" s="4" t="n">
        <x:f>IF('계산 과정'!$L$7,'계산 과정'!$C$49*('계산 과정'!$C$32-D1479)+'계산 과정'!$D$49*('계산 과정'!$D$32-E1479)+'계산 과정'!$E$49*'계산 과정'!$E$32,"")</x:f>
        <x:v>-59.099366069179325</x:v>
      </x:c>
      <x:c r="P1479" s="4" t="n">
        <x:f>IF(AND('계산 과정'!$L$7,O1479&lt;&gt;0),('계산 과정'!$L$23-'계산 과정'!$C$49*D1479-'계산 과정'!$D$49*E1479)/O1479,"")</x:f>
        <x:v>-5.768262108459439</x:v>
      </x:c>
      <x:c r="Q1479" s="4" t="str">
        <x:f>IF(AND(ISNUMBER(P1479),P1479&gt;1E-9,P1479&lt;1-1E-9),'계산 과정'!$C$47*(D1479-'계산 과정'!$C$50+P1479*('계산 과정'!$C$32-D1479))+'계산 과정'!$D$47*(E1479-'계산 과정'!$D$50+P1479*('계산 과정'!$D$32-E1479))+'계산 과정'!$E$47*(0-'계산 과정'!$E$50+P1479*('계산 과정'!$E$32-0)),"")</x:f>
      </x:c>
      <x:c r="R1479" s="4" t="str">
        <x:f>IF(AND(ISNUMBER(P1479),P1479&gt;1E-9,P1479&lt;1-1E-9),'계산 과정'!$C$48*(D1479-'계산 과정'!$C$50+P1479*('계산 과정'!$C$32-D1479))+'계산 과정'!$D$48*(E1479-'계산 과정'!$D$50+P1479*('계산 과정'!$D$32-E1479))+'계산 과정'!$E$48*(0-'계산 과정'!$E$50+P1479*('계산 과정'!$E$32-0)),"")</x:f>
      </x:c>
      <x:c r="S1479" s="17" t="n">
        <x:f>IF('계산 과정'!$C$78,IF(AND(ISNUMBER(Q1479),ISNUMBER(R1479),ABS(Q1479-'계산 과정'!$C$88)&lt;='계산 과정'!$D$23/2,ABS(R1479-'계산 과정'!$C$89)&lt;='계산 과정'!$D$24/2),1,0),"")</x:f>
        <x:v>0</x:v>
      </x:c>
      <x:c r="T1479" s="4"/>
      <x:c r="U1479" s="4"/>
      <x:c r="V1479" s="4"/>
      <x:c r="W1479" s="4"/>
      <x:c r="X1479" s="4"/>
      <x:c r="Y1479" s="4"/>
      <x:c r="Z1479" s="4"/>
    </x:row>
    <x:row r="1480" ht="23" customHeight="1">
      <x:c r="A1480" s="17" t="n">
        <x:f>ROW()-6</x:f>
        <x:v>1474</x:v>
      </x:c>
      <x:c r="B1480" s="4" t="n">
        <x:f>IF('계산 과정'!$L$5,'계산 과정'!$L$11*SQRT((A1480+0.5)/'계산 과정'!$L$30),"")</x:f>
        <x:v>127.27663108486372</x:v>
      </x:c>
      <x:c r="C1480" s="4" t="n">
        <x:f>A1480*PI()*(3-SQRT(5))</x:f>
        <x:v>3537.5458006200347</x:v>
      </x:c>
      <x:c r="D1480" s="4" t="n">
        <x:f>IF('계산 과정'!$L$5,B1480*COS(C1480),"")</x:f>
        <x:v>126.4724481069609</x:v>
      </x:c>
      <x:c r="E1480" s="4" t="n">
        <x:f>IF('계산 과정'!$L$5,B1480*SIN(C1480),"")</x:f>
        <x:v>14.284981279112042</x:v>
      </x:c>
      <x:c r="F1480" s="4" t="n">
        <x:f>IF('계산 과정'!$L$7,'계산 과정'!$L$22+'계산 과정'!$C$49*D1480+'계산 과정'!$D$49*E1480,"")</x:f>
        <x:v>560.5704743103042</x:v>
      </x:c>
      <x:c r="G1480" s="4" t="n">
        <x:f>IF('계산 과정'!$L$7,IF(ABS(F1480)&gt;=1E-12*MAX(1,SQRT((D1480-'계산 과정'!$C$33)^2+(E1480-'계산 과정'!$D$33)^2+'계산 과정'!$E$33^2)),('계산 과정'!$L$23-'계산 과정'!$C$49*D1480-'계산 과정'!$D$49*E1480)/F1480,""),"")</x:f>
        <x:v>0.8730918735808616</x:v>
      </x:c>
      <x:c r="H1480" s="4" t="n">
        <x:f>IF(AND(ISNUMBER(G1480),G1480&gt;0),('계산 과정'!$D$56+'계산 과정'!$D$57*D1480+'계산 과정'!$D$58*E1480)/F1480,"")</x:f>
        <x:v>167.50971782756</x:v>
      </x:c>
      <x:c r="I1480" s="4" t="n">
        <x:f>IF(AND(ISNUMBER(G1480),G1480&gt;0),('계산 과정'!$E$56+'계산 과정'!$E$57*D1480+'계산 과정'!$E$58*E1480)/F1480,"")</x:f>
        <x:v>26.757082348159507</x:v>
      </x:c>
      <x:c r="J1480" s="4" t="n">
        <x:f>IF('계산 과정'!$L$5,'계산 과정'!$D$6+'계산 과정'!$C$35*D1480+'계산 과정'!$D$35*E1480,"")</x:f>
        <x:v>560.5704743103042</x:v>
      </x:c>
      <x:c r="K1480" s="4" t="n">
        <x:f>IF(AND('계산 과정'!$L$6,J1480&gt;0),'계산 과정'!$D$10*('계산 과정'!$C$38*(D1480-'계산 과정'!$C$32)+'계산 과정'!$D$38*(E1480-'계산 과정'!$D$32)-'계산 과정'!$E$38*'계산 과정'!$E$32)/J1480,"")</x:f>
        <x:v>1.2762645167814102</x:v>
      </x:c>
      <x:c r="L1480" s="4" t="n">
        <x:f>IF(AND('계산 과정'!$L$6,J1480&gt;0),'계산 과정'!$D$10*('계산 과정'!$C$39*(D1480-'계산 과정'!$C$32)+'계산 과정'!$D$39*(E1480-'계산 과정'!$D$32)-'계산 과정'!$E$39*'계산 과정'!$E$32)/J1480,"")</x:f>
        <x:v>0.20386348455740577</x:v>
      </x:c>
      <x:c r="M1480" s="17" t="n">
        <x:f>IF('계산 과정'!$L$6,IF(J1480&lt;=0,0,IF(AND(ABS(K1480)&lt;='계산 과정'!$D$11/2,ABS(L1480)&lt;='계산 과정'!$D$12/2),1,0)),"")</x:f>
        <x:v>1</x:v>
      </x:c>
      <x:c r="N1480" s="17" t="n">
        <x:f>IF('계산 과정'!$C$78,IF(AND(ISNUMBER(H1480),ISNUMBER(I1480),ABS(H1480-'계산 과정'!$C$88)&lt;='계산 과정'!$D$23/2,ABS(I1480-'계산 과정'!$C$89)&lt;='계산 과정'!$D$24/2),1,0),"")</x:f>
        <x:v>1</x:v>
      </x:c>
      <x:c r="O1480" s="4" t="n">
        <x:f>IF('계산 과정'!$L$7,'계산 과정'!$C$49*('계산 과정'!$C$32-D1480)+'계산 과정'!$D$49*('계산 과정'!$D$32-E1480)+'계산 과정'!$E$49*'계산 과정'!$E$32,"")</x:f>
        <x:v>89.42952568969588</x:v>
      </x:c>
      <x:c r="P1480" s="4" t="n">
        <x:f>IF(AND('계산 과정'!$L$7,O1480&lt;&gt;0),('계산 과정'!$L$23-'계산 과정'!$C$49*D1480-'계산 과정'!$D$49*E1480)/O1480,"")</x:f>
        <x:v>5.472795722834613</x:v>
      </x:c>
      <x:c r="Q1480" s="4" t="str">
        <x:f>IF(AND(ISNUMBER(P1480),P1480&gt;1E-9,P1480&lt;1-1E-9),'계산 과정'!$C$47*(D1480-'계산 과정'!$C$50+P1480*('계산 과정'!$C$32-D1480))+'계산 과정'!$D$47*(E1480-'계산 과정'!$D$50+P1480*('계산 과정'!$D$32-E1480))+'계산 과정'!$E$47*(0-'계산 과정'!$E$50+P1480*('계산 과정'!$E$32-0)),"")</x:f>
      </x:c>
      <x:c r="R1480" s="4" t="str">
        <x:f>IF(AND(ISNUMBER(P1480),P1480&gt;1E-9,P1480&lt;1-1E-9),'계산 과정'!$C$48*(D1480-'계산 과정'!$C$50+P1480*('계산 과정'!$C$32-D1480))+'계산 과정'!$D$48*(E1480-'계산 과정'!$D$50+P1480*('계산 과정'!$D$32-E1480))+'계산 과정'!$E$48*(0-'계산 과정'!$E$50+P1480*('계산 과정'!$E$32-0)),"")</x:f>
      </x:c>
      <x:c r="S1480" s="17" t="n">
        <x:f>IF('계산 과정'!$C$78,IF(AND(ISNUMBER(Q1480),ISNUMBER(R1480),ABS(Q1480-'계산 과정'!$C$88)&lt;='계산 과정'!$D$23/2,ABS(R1480-'계산 과정'!$C$89)&lt;='계산 과정'!$D$24/2),1,0),"")</x:f>
        <x:v>0</x:v>
      </x:c>
      <x:c r="T1480" s="4"/>
      <x:c r="U1480" s="4"/>
      <x:c r="V1480" s="4"/>
      <x:c r="W1480" s="4"/>
      <x:c r="X1480" s="4"/>
      <x:c r="Y1480" s="4"/>
      <x:c r="Z1480" s="4"/>
    </x:row>
    <x:row r="1481" ht="23" customHeight="1">
      <x:c r="A1481" s="17" t="n">
        <x:f>ROW()-6</x:f>
        <x:v>1475</x:v>
      </x:c>
      <x:c r="B1481" s="4" t="n">
        <x:f>IF('계산 과정'!$L$5,'계산 과정'!$L$11*SQRT((A1481+0.5)/'계산 과정'!$L$30),"")</x:f>
        <x:v>127.31978302069754</x:v>
      </x:c>
      <x:c r="C1481" s="4" t="n">
        <x:f>A1481*PI()*(3-SQRT(5))</x:f>
        <x:v>3539.945763849763</x:v>
      </x:c>
      <x:c r="D1481" s="4" t="n">
        <x:f>IF('계산 과정'!$L$5,B1481*COS(C1481),"")</x:f>
        <x:v>-102.9411027527795</x:v>
      </x:c>
      <x:c r="E1481" s="4" t="n">
        <x:f>IF('계산 과정'!$L$5,B1481*SIN(C1481),"")</x:f>
        <x:v>74.9230038938589</x:v>
      </x:c>
      <x:c r="F1481" s="4" t="n">
        <x:f>IF('계산 과정'!$L$7,'계산 과정'!$L$22+'계산 과정'!$C$49*D1481+'계산 과정'!$D$49*E1481,"")</x:f>
        <x:v>722.7903518193116</x:v>
      </x:c>
      <x:c r="G1481" s="4" t="n">
        <x:f>IF('계산 과정'!$L$7,IF(ABS(F1481)&gt;=1E-12*MAX(1,SQRT((D1481-'계산 과정'!$C$33)^2+(E1481-'계산 과정'!$D$33)^2+'계산 과정'!$E$33^2)),('계산 과정'!$L$23-'계산 과정'!$C$49*D1481-'계산 과정'!$D$49*E1481)/F1481,""),"")</x:f>
        <x:v>0.45270339782079255</x:v>
      </x:c>
      <x:c r="H1481" s="4" t="n">
        <x:f>IF(AND(ISNUMBER(G1481),G1481&gt;0),('계산 과정'!$D$56+'계산 과정'!$D$57*D1481+'계산 과정'!$D$58*E1481)/F1481,"")</x:f>
        <x:v>-105.74279141648493</x:v>
      </x:c>
      <x:c r="I1481" s="4" t="n">
        <x:f>IF(AND(ISNUMBER(G1481),G1481&gt;0),('계산 과정'!$E$56+'계산 과정'!$E$57*D1481+'계산 과정'!$E$58*E1481)/F1481,"")</x:f>
        <x:v>108.8409023315493</x:v>
      </x:c>
      <x:c r="J1481" s="4" t="n">
        <x:f>IF('계산 과정'!$L$5,'계산 과정'!$D$6+'계산 과정'!$C$35*D1481+'계산 과정'!$D$35*E1481,"")</x:f>
        <x:v>722.7903518193116</x:v>
      </x:c>
      <x:c r="K1481" s="4" t="n">
        <x:f>IF(AND('계산 과정'!$L$6,J1481&gt;0),'계산 과정'!$D$10*('계산 과정'!$C$38*(D1481-'계산 과정'!$C$32)+'계산 과정'!$D$38*(E1481-'계산 과정'!$D$32)-'계산 과정'!$E$38*'계산 과정'!$E$32)/J1481,"")</x:f>
        <x:v>-0.8056593631732178</x:v>
      </x:c>
      <x:c r="L1481" s="4" t="n">
        <x:f>IF(AND('계산 과정'!$L$6,J1481&gt;0),'계산 과정'!$D$10*('계산 과정'!$C$39*(D1481-'계산 과정'!$C$32)+'계산 과정'!$D$39*(E1481-'계산 과정'!$D$32)-'계산 과정'!$E$39*'계산 과정'!$E$32)/J1481,"")</x:f>
        <x:v>0.8292640177641851</x:v>
      </x:c>
      <x:c r="M1481" s="17" t="n">
        <x:f>IF('계산 과정'!$L$6,IF(J1481&lt;=0,0,IF(AND(ABS(K1481)&lt;='계산 과정'!$D$11/2,ABS(L1481)&lt;='계산 과정'!$D$12/2),1,0)),"")</x:f>
        <x:v>1</x:v>
      </x:c>
      <x:c r="N1481" s="17" t="n">
        <x:f>IF('계산 과정'!$C$78,IF(AND(ISNUMBER(H1481),ISNUMBER(I1481),ABS(H1481-'계산 과정'!$C$88)&lt;='계산 과정'!$D$23/2,ABS(I1481-'계산 과정'!$C$89)&lt;='계산 과정'!$D$24/2),1,0),"")</x:f>
        <x:v>1</x:v>
      </x:c>
      <x:c r="O1481" s="4" t="n">
        <x:f>IF('계산 과정'!$L$7,'계산 과정'!$C$49*('계산 과정'!$C$32-D1481)+'계산 과정'!$D$49*('계산 과정'!$D$32-E1481)+'계산 과정'!$E$49*'계산 과정'!$E$32,"")</x:f>
        <x:v>-72.79035181931147</x:v>
      </x:c>
      <x:c r="P1481" s="4" t="n">
        <x:f>IF(AND('계산 과정'!$L$7,O1481&lt;&gt;0),('계산 과정'!$L$23-'계산 과정'!$C$49*D1481-'계산 과정'!$D$49*E1481)/O1481,"")</x:f>
        <x:v>-4.495233777588074</x:v>
      </x:c>
      <x:c r="Q1481" s="4" t="str">
        <x:f>IF(AND(ISNUMBER(P1481),P1481&gt;1E-9,P1481&lt;1-1E-9),'계산 과정'!$C$47*(D1481-'계산 과정'!$C$50+P1481*('계산 과정'!$C$32-D1481))+'계산 과정'!$D$47*(E1481-'계산 과정'!$D$50+P1481*('계산 과정'!$D$32-E1481))+'계산 과정'!$E$47*(0-'계산 과정'!$E$50+P1481*('계산 과정'!$E$32-0)),"")</x:f>
      </x:c>
      <x:c r="R1481" s="4" t="str">
        <x:f>IF(AND(ISNUMBER(P1481),P1481&gt;1E-9,P1481&lt;1-1E-9),'계산 과정'!$C$48*(D1481-'계산 과정'!$C$50+P1481*('계산 과정'!$C$32-D1481))+'계산 과정'!$D$48*(E1481-'계산 과정'!$D$50+P1481*('계산 과정'!$D$32-E1481))+'계산 과정'!$E$48*(0-'계산 과정'!$E$50+P1481*('계산 과정'!$E$32-0)),"")</x:f>
      </x:c>
      <x:c r="S1481" s="17" t="n">
        <x:f>IF('계산 과정'!$C$78,IF(AND(ISNUMBER(Q1481),ISNUMBER(R1481),ABS(Q1481-'계산 과정'!$C$88)&lt;='계산 과정'!$D$23/2,ABS(R1481-'계산 과정'!$C$89)&lt;='계산 과정'!$D$24/2),1,0),"")</x:f>
        <x:v>0</x:v>
      </x:c>
      <x:c r="T1481" s="4"/>
      <x:c r="U1481" s="4"/>
      <x:c r="V1481" s="4"/>
      <x:c r="W1481" s="4"/>
      <x:c r="X1481" s="4"/>
      <x:c r="Y1481" s="4"/>
      <x:c r="Z1481" s="4"/>
    </x:row>
    <x:row r="1482" ht="23" customHeight="1">
      <x:c r="A1482" s="17" t="n">
        <x:f>ROW()-6</x:f>
        <x:v>1476</x:v>
      </x:c>
      <x:c r="B1482" s="4" t="n">
        <x:f>IF('계산 과정'!$L$5,'계산 과정'!$L$11*SQRT((A1482+0.5)/'계산 과정'!$L$30),"")</x:f>
        <x:v>127.3629203361893</x:v>
      </x:c>
      <x:c r="C1482" s="4" t="n">
        <x:f>A1482*PI()*(3-SQRT(5))</x:f>
        <x:v>3542.345727079492</x:v>
      </x:c>
      <x:c r="D1482" s="4" t="n">
        <x:f>IF('계산 과정'!$L$5,B1482*COS(C1482),"")</x:f>
        <x:v>25.304373988811598</x:v>
      </x:c>
      <x:c r="E1482" s="4" t="n">
        <x:f>IF('계산 과정'!$L$5,B1482*SIN(C1482),"")</x:f>
        <x:v>-124.82388446766451</x:v>
      </x:c>
      <x:c r="F1482" s="4" t="n">
        <x:f>IF('계산 과정'!$L$7,'계산 과정'!$L$22+'계산 과정'!$C$49*D1482+'계산 과정'!$D$49*E1482,"")</x:f>
        <x:v>632.1071055588309</x:v>
      </x:c>
      <x:c r="G1482" s="4" t="n">
        <x:f>IF('계산 과정'!$L$7,IF(ABS(F1482)&gt;=1E-12*MAX(1,SQRT((D1482-'계산 과정'!$C$33)^2+(E1482-'계산 과정'!$D$33)^2+'계산 과정'!$E$33^2)),('계산 과정'!$L$23-'계산 과정'!$C$49*D1482-'계산 과정'!$D$49*E1482)/F1482,""),"")</x:f>
        <x:v>0.6611108952362116</x:v>
      </x:c>
      <x:c r="H1482" s="4" t="n">
        <x:f>IF(AND(ISNUMBER(G1482),G1482&gt;0),('계산 과정'!$D$56+'계산 과정'!$D$57*D1482+'계산 과정'!$D$58*E1482)/F1482,"")</x:f>
        <x:v>29.72208190353744</x:v>
      </x:c>
      <x:c r="I1482" s="4" t="n">
        <x:f>IF(AND(ISNUMBER(G1482),G1482&gt;0),('계산 과정'!$E$56+'계산 과정'!$E$57*D1482+'계산 과정'!$E$58*E1482)/F1482,"")</x:f>
        <x:v>-207.34631447494363</x:v>
      </x:c>
      <x:c r="J1482" s="4" t="n">
        <x:f>IF('계산 과정'!$L$5,'계산 과정'!$D$6+'계산 과정'!$C$35*D1482+'계산 과정'!$D$35*E1482,"")</x:f>
        <x:v>632.1071055588309</x:v>
      </x:c>
      <x:c r="K1482" s="4" t="n">
        <x:f>IF(AND('계산 과정'!$L$6,J1482&gt;0),'계산 과정'!$D$10*('계산 과정'!$C$38*(D1482-'계산 과정'!$C$32)+'계산 과정'!$D$38*(E1482-'계산 과정'!$D$32)-'계산 과정'!$E$38*'계산 과정'!$E$32)/J1482,"")</x:f>
        <x:v>0.22645395736028617</x:v>
      </x:c>
      <x:c r="L1482" s="4" t="n">
        <x:f>IF(AND('계산 과정'!$L$6,J1482&gt;0),'계산 과정'!$D$10*('계산 과정'!$C$39*(D1482-'계산 과정'!$C$32)+'계산 과정'!$D$39*(E1482-'계산 과정'!$D$32)-'계산 과정'!$E$39*'계산 과정'!$E$32)/J1482,"")</x:f>
        <x:v>-1.5797814436186182</x:v>
      </x:c>
      <x:c r="M1482" s="17" t="n">
        <x:f>IF('계산 과정'!$L$6,IF(J1482&lt;=0,0,IF(AND(ABS(K1482)&lt;='계산 과정'!$D$11/2,ABS(L1482)&lt;='계산 과정'!$D$12/2),1,0)),"")</x:f>
        <x:v>1</x:v>
      </x:c>
      <x:c r="N1482" s="17" t="n">
        <x:f>IF('계산 과정'!$C$78,IF(AND(ISNUMBER(H1482),ISNUMBER(I1482),ABS(H1482-'계산 과정'!$C$88)&lt;='계산 과정'!$D$23/2,ABS(I1482-'계산 과정'!$C$89)&lt;='계산 과정'!$D$24/2),1,0),"")</x:f>
        <x:v>1</x:v>
      </x:c>
      <x:c r="O1482" s="4" t="n">
        <x:f>IF('계산 과정'!$L$7,'계산 과정'!$C$49*('계산 과정'!$C$32-D1482)+'계산 과정'!$D$49*('계산 과정'!$D$32-E1482)+'계산 과정'!$E$49*'계산 과정'!$E$32,"")</x:f>
        <x:v>17.89289444116929</x:v>
      </x:c>
      <x:c r="P1482" s="4" t="n">
        <x:f>IF(AND('계산 과정'!$L$7,O1482&lt;&gt;0),('계산 과정'!$L$23-'계산 과정'!$C$49*D1482-'계산 과정'!$D$49*E1482)/O1482,"")</x:f>
        <x:v>23.35524282084012</x:v>
      </x:c>
      <x:c r="Q1482" s="4" t="str">
        <x:f>IF(AND(ISNUMBER(P1482),P1482&gt;1E-9,P1482&lt;1-1E-9),'계산 과정'!$C$47*(D1482-'계산 과정'!$C$50+P1482*('계산 과정'!$C$32-D1482))+'계산 과정'!$D$47*(E1482-'계산 과정'!$D$50+P1482*('계산 과정'!$D$32-E1482))+'계산 과정'!$E$47*(0-'계산 과정'!$E$50+P1482*('계산 과정'!$E$32-0)),"")</x:f>
      </x:c>
      <x:c r="R1482" s="4" t="str">
        <x:f>IF(AND(ISNUMBER(P1482),P1482&gt;1E-9,P1482&lt;1-1E-9),'계산 과정'!$C$48*(D1482-'계산 과정'!$C$50+P1482*('계산 과정'!$C$32-D1482))+'계산 과정'!$D$48*(E1482-'계산 과정'!$D$50+P1482*('계산 과정'!$D$32-E1482))+'계산 과정'!$E$48*(0-'계산 과정'!$E$50+P1482*('계산 과정'!$E$32-0)),"")</x:f>
      </x:c>
      <x:c r="S1482" s="17" t="n">
        <x:f>IF('계산 과정'!$C$78,IF(AND(ISNUMBER(Q1482),ISNUMBER(R1482),ABS(Q1482-'계산 과정'!$C$88)&lt;='계산 과정'!$D$23/2,ABS(R1482-'계산 과정'!$C$89)&lt;='계산 과정'!$D$24/2),1,0),"")</x:f>
        <x:v>0</x:v>
      </x:c>
      <x:c r="T1482" s="4"/>
      <x:c r="U1482" s="4"/>
      <x:c r="V1482" s="4"/>
      <x:c r="W1482" s="4"/>
      <x:c r="X1482" s="4"/>
      <x:c r="Y1482" s="4"/>
      <x:c r="Z1482" s="4"/>
    </x:row>
    <x:row r="1483" ht="23" customHeight="1">
      <x:c r="A1483" s="17" t="n">
        <x:f>ROW()-6</x:f>
        <x:v>1477</x:v>
      </x:c>
      <x:c r="B1483" s="4" t="n">
        <x:f>IF('계산 과정'!$L$5,'계산 과정'!$L$11*SQRT((A1483+0.5)/'계산 과정'!$L$30),"")</x:f>
        <x:v>127.40604304618952</x:v>
      </x:c>
      <x:c r="C1483" s="4" t="n">
        <x:f>A1483*PI()*(3-SQRT(5))</x:f>
        <x:v>3544.74569030922</x:v>
      </x:c>
      <x:c r="D1483" s="4" t="n">
        <x:f>IF('계산 과정'!$L$5,B1483*COS(C1483),"")</x:f>
        <x:v>65.68089539092493</x:v>
      </x:c>
      <x:c r="E1483" s="4" t="n">
        <x:f>IF('계산 과정'!$L$5,B1483*SIN(C1483),"")</x:f>
        <x:v>109.17105745266862</x:v>
      </x:c>
      <x:c r="F1483" s="4" t="n">
        <x:f>IF('계산 과정'!$L$7,'계산 과정'!$L$22+'계산 과정'!$C$49*D1483+'계산 과정'!$D$49*E1483,"")</x:f>
        <x:v>603.5565934746727</x:v>
      </x:c>
      <x:c r="G1483" s="4" t="n">
        <x:f>IF('계산 과정'!$L$7,IF(ABS(F1483)&gt;=1E-12*MAX(1,SQRT((D1483-'계산 과정'!$C$33)^2+(E1483-'계산 과정'!$D$33)^2+'계산 과정'!$E$33^2)),('계산 과정'!$L$23-'계산 과정'!$C$49*D1483-'계산 과정'!$D$49*E1483)/F1483,""),"")</x:f>
        <x:v>0.7396877299528027</x:v>
      </x:c>
      <x:c r="H1483" s="4" t="n">
        <x:f>IF(AND(ISNUMBER(G1483),G1483&gt;0),('계산 과정'!$D$56+'계산 과정'!$D$57*D1483+'계산 과정'!$D$58*E1483)/F1483,"")</x:f>
        <x:v>80.7970244693217</x:v>
      </x:c>
      <x:c r="I1483" s="4" t="n">
        <x:f>IF(AND(ISNUMBER(G1483),G1483&gt;0),('계산 과정'!$E$56+'계산 과정'!$E$57*D1483+'계산 과정'!$E$58*E1483)/F1483,"")</x:f>
        <x:v>189.9235491163801</x:v>
      </x:c>
      <x:c r="J1483" s="4" t="n">
        <x:f>IF('계산 과정'!$L$5,'계산 과정'!$D$6+'계산 과정'!$C$35*D1483+'계산 과정'!$D$35*E1483,"")</x:f>
        <x:v>603.5565934746727</x:v>
      </x:c>
      <x:c r="K1483" s="4" t="n">
        <x:f>IF(AND('계산 과정'!$L$6,J1483&gt;0),'계산 과정'!$D$10*('계산 과정'!$C$38*(D1483-'계산 과정'!$C$32)+'계산 과정'!$D$38*(E1483-'계산 과정'!$D$32)-'계산 과정'!$E$38*'계산 과정'!$E$32)/J1483,"")</x:f>
        <x:v>0.6155963769091188</x:v>
      </x:c>
      <x:c r="L1483" s="4" t="n">
        <x:f>IF(AND('계산 과정'!$L$6,J1483&gt;0),'계산 과정'!$D$10*('계산 과정'!$C$39*(D1483-'계산 과정'!$C$32)+'계산 과정'!$D$39*(E1483-'계산 과정'!$D$32)-'계산 과정'!$E$39*'계산 과정'!$E$32)/J1483,"")</x:f>
        <x:v>1.4470365646962293</x:v>
      </x:c>
      <x:c r="M1483" s="17" t="n">
        <x:f>IF('계산 과정'!$L$6,IF(J1483&lt;=0,0,IF(AND(ABS(K1483)&lt;='계산 과정'!$D$11/2,ABS(L1483)&lt;='계산 과정'!$D$12/2),1,0)),"")</x:f>
        <x:v>1</x:v>
      </x:c>
      <x:c r="N1483" s="17" t="n">
        <x:f>IF('계산 과정'!$C$78,IF(AND(ISNUMBER(H1483),ISNUMBER(I1483),ABS(H1483-'계산 과정'!$C$88)&lt;='계산 과정'!$D$23/2,ABS(I1483-'계산 과정'!$C$89)&lt;='계산 과정'!$D$24/2),1,0),"")</x:f>
        <x:v>1</x:v>
      </x:c>
      <x:c r="O1483" s="4" t="n">
        <x:f>IF('계산 과정'!$L$7,'계산 과정'!$C$49*('계산 과정'!$C$32-D1483)+'계산 과정'!$D$49*('계산 과정'!$D$32-E1483)+'계산 과정'!$E$49*'계산 과정'!$E$32,"")</x:f>
        <x:v>46.44340652532742</x:v>
      </x:c>
      <x:c r="P1483" s="4" t="n">
        <x:f>IF(AND('계산 과정'!$L$7,O1483&lt;&gt;0),('계산 과정'!$L$23-'계산 과정'!$C$49*D1483-'계산 과정'!$D$49*E1483)/O1483,"")</x:f>
        <x:v>9.612632662547353</x:v>
      </x:c>
      <x:c r="Q1483" s="4" t="str">
        <x:f>IF(AND(ISNUMBER(P1483),P1483&gt;1E-9,P1483&lt;1-1E-9),'계산 과정'!$C$47*(D1483-'계산 과정'!$C$50+P1483*('계산 과정'!$C$32-D1483))+'계산 과정'!$D$47*(E1483-'계산 과정'!$D$50+P1483*('계산 과정'!$D$32-E1483))+'계산 과정'!$E$47*(0-'계산 과정'!$E$50+P1483*('계산 과정'!$E$32-0)),"")</x:f>
      </x:c>
      <x:c r="R1483" s="4" t="str">
        <x:f>IF(AND(ISNUMBER(P1483),P1483&gt;1E-9,P1483&lt;1-1E-9),'계산 과정'!$C$48*(D1483-'계산 과정'!$C$50+P1483*('계산 과정'!$C$32-D1483))+'계산 과정'!$D$48*(E1483-'계산 과정'!$D$50+P1483*('계산 과정'!$D$32-E1483))+'계산 과정'!$E$48*(0-'계산 과정'!$E$50+P1483*('계산 과정'!$E$32-0)),"")</x:f>
      </x:c>
      <x:c r="S1483" s="17" t="n">
        <x:f>IF('계산 과정'!$C$78,IF(AND(ISNUMBER(Q1483),ISNUMBER(R1483),ABS(Q1483-'계산 과정'!$C$88)&lt;='계산 과정'!$D$23/2,ABS(R1483-'계산 과정'!$C$89)&lt;='계산 과정'!$D$24/2),1,0),"")</x:f>
        <x:v>0</x:v>
      </x:c>
      <x:c r="T1483" s="4"/>
      <x:c r="U1483" s="4"/>
      <x:c r="V1483" s="4"/>
      <x:c r="W1483" s="4"/>
      <x:c r="X1483" s="4"/>
      <x:c r="Y1483" s="4"/>
      <x:c r="Z1483" s="4"/>
    </x:row>
    <x:row r="1484" ht="23" customHeight="1">
      <x:c r="A1484" s="17" t="n">
        <x:f>ROW()-6</x:f>
        <x:v>1478</x:v>
      </x:c>
      <x:c r="B1484" s="4" t="n">
        <x:f>IF('계산 과정'!$L$5,'계산 과정'!$L$11*SQRT((A1484+0.5)/'계산 과정'!$L$30),"")</x:f>
        <x:v>127.44915116552366</x:v>
      </x:c>
      <x:c r="C1484" s="4" t="n">
        <x:f>A1484*PI()*(3-SQRT(5))</x:f>
        <x:v>3547.145653538949</x:v>
      </x:c>
      <x:c r="D1484" s="4" t="n">
        <x:f>IF('계산 과정'!$L$5,B1484*COS(C1484),"")</x:f>
        <x:v>-122.21637606617517</x:v>
      </x:c>
      <x:c r="E1484" s="4" t="n">
        <x:f>IF('계산 과정'!$L$5,B1484*SIN(C1484),"")</x:f>
        <x:v>-36.144758320726766</x:v>
      </x:c>
      <x:c r="F1484" s="4" t="n">
        <x:f>IF('계산 과정'!$L$7,'계산 과정'!$L$22+'계산 과정'!$C$49*D1484+'계산 과정'!$D$49*E1484,"")</x:f>
        <x:v>736.4200282884377</x:v>
      </x:c>
      <x:c r="G1484" s="4" t="n">
        <x:f>IF('계산 과정'!$L$7,IF(ABS(F1484)&gt;=1E-12*MAX(1,SQRT((D1484-'계산 과정'!$C$33)^2+(E1484-'계산 과정'!$D$33)^2+'계산 과정'!$E$33^2)),('계산 과정'!$L$23-'계산 과정'!$C$49*D1484-'계산 과정'!$D$49*E1484)/F1484,""),"")</x:f>
        <x:v>0.4258167345616253</x:v>
      </x:c>
      <x:c r="H1484" s="4" t="n">
        <x:f>IF(AND(ISNUMBER(G1484),G1484&gt;0),('계산 과정'!$D$56+'계산 과정'!$D$57*D1484+'계산 과정'!$D$58*E1484)/F1484,"")</x:f>
        <x:v>-123.2191225349437</x:v>
      </x:c>
      <x:c r="I1484" s="4" t="n">
        <x:f>IF(AND(ISNUMBER(G1484),G1484&gt;0),('계산 과정'!$E$56+'계산 과정'!$E$57*D1484+'계산 과정'!$E$58*E1484)/F1484,"")</x:f>
        <x:v>-51.53580128037777</x:v>
      </x:c>
      <x:c r="J1484" s="4" t="n">
        <x:f>IF('계산 과정'!$L$5,'계산 과정'!$D$6+'계산 과정'!$C$35*D1484+'계산 과정'!$D$35*E1484,"")</x:f>
        <x:v>736.4200282884377</x:v>
      </x:c>
      <x:c r="K1484" s="4" t="n">
        <x:f>IF(AND('계산 과정'!$L$6,J1484&gt;0),'계산 과정'!$D$10*('계산 과정'!$C$38*(D1484-'계산 과정'!$C$32)+'계산 과정'!$D$38*(E1484-'계산 과정'!$D$32)-'계산 과정'!$E$38*'계산 과정'!$E$32)/J1484,"")</x:f>
        <x:v>-0.9388123621709985</x:v>
      </x:c>
      <x:c r="L1484" s="4" t="n">
        <x:f>IF(AND('계산 과정'!$L$6,J1484&gt;0),'계산 과정'!$D$10*('계산 과정'!$C$39*(D1484-'계산 과정'!$C$32)+'계산 과정'!$D$39*(E1484-'계산 과정'!$D$32)-'계산 과정'!$E$39*'계산 과정'!$E$32)/J1484,"")</x:f>
        <x:v>-0.3926537240409735</x:v>
      </x:c>
      <x:c r="M1484" s="17" t="n">
        <x:f>IF('계산 과정'!$L$6,IF(J1484&lt;=0,0,IF(AND(ABS(K1484)&lt;='계산 과정'!$D$11/2,ABS(L1484)&lt;='계산 과정'!$D$12/2),1,0)),"")</x:f>
        <x:v>1</x:v>
      </x:c>
      <x:c r="N1484" s="17" t="n">
        <x:f>IF('계산 과정'!$C$78,IF(AND(ISNUMBER(H1484),ISNUMBER(I1484),ABS(H1484-'계산 과정'!$C$88)&lt;='계산 과정'!$D$23/2,ABS(I1484-'계산 과정'!$C$89)&lt;='계산 과정'!$D$24/2),1,0),"")</x:f>
        <x:v>1</x:v>
      </x:c>
      <x:c r="O1484" s="4" t="n">
        <x:f>IF('계산 과정'!$L$7,'계산 과정'!$C$49*('계산 과정'!$C$32-D1484)+'계산 과정'!$D$49*('계산 과정'!$D$32-E1484)+'계산 과정'!$E$49*'계산 과정'!$E$32,"")</x:f>
        <x:v>-86.4200282884376</x:v>
      </x:c>
      <x:c r="P1484" s="4" t="n">
        <x:f>IF(AND('계산 과정'!$L$7,O1484&lt;&gt;0),('계산 과정'!$L$23-'계산 과정'!$C$49*D1484-'계산 과정'!$D$49*E1484)/O1484,"")</x:f>
        <x:v>-3.6285566890229437</x:v>
      </x:c>
      <x:c r="Q1484" s="4" t="str">
        <x:f>IF(AND(ISNUMBER(P1484),P1484&gt;1E-9,P1484&lt;1-1E-9),'계산 과정'!$C$47*(D1484-'계산 과정'!$C$50+P1484*('계산 과정'!$C$32-D1484))+'계산 과정'!$D$47*(E1484-'계산 과정'!$D$50+P1484*('계산 과정'!$D$32-E1484))+'계산 과정'!$E$47*(0-'계산 과정'!$E$50+P1484*('계산 과정'!$E$32-0)),"")</x:f>
      </x:c>
      <x:c r="R1484" s="4" t="str">
        <x:f>IF(AND(ISNUMBER(P1484),P1484&gt;1E-9,P1484&lt;1-1E-9),'계산 과정'!$C$48*(D1484-'계산 과정'!$C$50+P1484*('계산 과정'!$C$32-D1484))+'계산 과정'!$D$48*(E1484-'계산 과정'!$D$50+P1484*('계산 과정'!$D$32-E1484))+'계산 과정'!$E$48*(0-'계산 과정'!$E$50+P1484*('계산 과정'!$E$32-0)),"")</x:f>
      </x:c>
      <x:c r="S1484" s="17" t="n">
        <x:f>IF('계산 과정'!$C$78,IF(AND(ISNUMBER(Q1484),ISNUMBER(R1484),ABS(Q1484-'계산 과정'!$C$88)&lt;='계산 과정'!$D$23/2,ABS(R1484-'계산 과정'!$C$89)&lt;='계산 과정'!$D$24/2),1,0),"")</x:f>
        <x:v>0</x:v>
      </x:c>
      <x:c r="T1484" s="4"/>
      <x:c r="U1484" s="4"/>
      <x:c r="V1484" s="4"/>
      <x:c r="W1484" s="4"/>
      <x:c r="X1484" s="4"/>
      <x:c r="Y1484" s="4"/>
      <x:c r="Z1484" s="4"/>
    </x:row>
    <x:row r="1485" ht="23" customHeight="1">
      <x:c r="A1485" s="17" t="n">
        <x:f>ROW()-6</x:f>
        <x:v>1479</x:v>
      </x:c>
      <x:c r="B1485" s="4" t="n">
        <x:f>IF('계산 과정'!$L$5,'계산 과정'!$L$11*SQRT((A1485+0.5)/'계산 과정'!$L$30),"")</x:f>
        <x:v>127.492244708992</x:v>
      </x:c>
      <x:c r="C1485" s="4" t="n">
        <x:f>A1485*PI()*(3-SQRT(5))</x:f>
        <x:v>3549.545616768678</x:v>
      </x:c>
      <x:c r="D1485" s="4" t="n">
        <x:f>IF('계산 과정'!$L$5,B1485*COS(C1485),"")</x:f>
        <x:v>114.5727121602538</x:v>
      </x:c>
      <x:c r="E1485" s="4" t="n">
        <x:f>IF('계산 과정'!$L$5,B1485*SIN(C1485),"")</x:f>
        <x:v>-55.92285837813667</x:v>
      </x:c>
      <x:c r="F1485" s="4" t="n">
        <x:f>IF('계산 과정'!$L$7,'계산 과정'!$L$22+'계산 과정'!$C$49*D1485+'계산 과정'!$D$49*E1485,"")</x:f>
        <x:v>568.9848582925501</x:v>
      </x:c>
      <x:c r="G1485" s="4" t="n">
        <x:f>IF('계산 과정'!$L$7,IF(ABS(F1485)&gt;=1E-12*MAX(1,SQRT((D1485-'계산 과정'!$C$33)^2+(E1485-'계산 과정'!$D$33)^2+'계산 과정'!$E$33^2)),('계산 과정'!$L$23-'계산 과정'!$C$49*D1485-'계산 과정'!$D$49*E1485)/F1485,""),"")</x:f>
        <x:v>0.8453918143813423</x:v>
      </x:c>
      <x:c r="H1485" s="4" t="n">
        <x:f>IF(AND(ISNUMBER(G1485),G1485&gt;0),('계산 과정'!$D$56+'계산 과정'!$D$57*D1485+'계산 과정'!$D$58*E1485)/F1485,"")</x:f>
        <x:v>149.50467934787238</x:v>
      </x:c>
      <x:c r="I1485" s="4" t="n">
        <x:f>IF(AND(ISNUMBER(G1485),G1485&gt;0),('계산 과정'!$E$56+'계산 과정'!$E$57*D1485+'계산 과정'!$E$58*E1485)/F1485,"")</x:f>
        <x:v>-103.19958508782047</x:v>
      </x:c>
      <x:c r="J1485" s="4" t="n">
        <x:f>IF('계산 과정'!$L$5,'계산 과정'!$D$6+'계산 과정'!$C$35*D1485+'계산 과정'!$D$35*E1485,"")</x:f>
        <x:v>568.9848582925501</x:v>
      </x:c>
      <x:c r="K1485" s="4" t="n">
        <x:f>IF(AND('계산 과정'!$L$6,J1485&gt;0),'계산 과정'!$D$10*('계산 과정'!$C$38*(D1485-'계산 과정'!$C$32)+'계산 과정'!$D$38*(E1485-'계산 과정'!$D$32)-'계산 과정'!$E$38*'계산 과정'!$E$32)/J1485,"")</x:f>
        <x:v>1.1390832712218857</x:v>
      </x:c>
      <x:c r="L1485" s="4" t="n">
        <x:f>IF(AND('계산 과정'!$L$6,J1485&gt;0),'계산 과정'!$D$10*('계산 과정'!$C$39*(D1485-'계산 과정'!$C$32)+'계산 과정'!$D$39*(E1485-'계산 과정'!$D$32)-'계산 과정'!$E$39*'계산 과정'!$E$32)/J1485,"")</x:f>
        <x:v>-0.7862825530500607</x:v>
      </x:c>
      <x:c r="M1485" s="17" t="n">
        <x:f>IF('계산 과정'!$L$6,IF(J1485&lt;=0,0,IF(AND(ABS(K1485)&lt;='계산 과정'!$D$11/2,ABS(L1485)&lt;='계산 과정'!$D$12/2),1,0)),"")</x:f>
        <x:v>1</x:v>
      </x:c>
      <x:c r="N1485" s="17" t="n">
        <x:f>IF('계산 과정'!$C$78,IF(AND(ISNUMBER(H1485),ISNUMBER(I1485),ABS(H1485-'계산 과정'!$C$88)&lt;='계산 과정'!$D$23/2,ABS(I1485-'계산 과정'!$C$89)&lt;='계산 과정'!$D$24/2),1,0),"")</x:f>
        <x:v>1</x:v>
      </x:c>
      <x:c r="O1485" s="4" t="n">
        <x:f>IF('계산 과정'!$L$7,'계산 과정'!$C$49*('계산 과정'!$C$32-D1485)+'계산 과정'!$D$49*('계산 과정'!$D$32-E1485)+'계산 과정'!$E$49*'계산 과정'!$E$32,"")</x:f>
        <x:v>81.01514170744997</x:v>
      </x:c>
      <x:c r="P1485" s="4" t="n">
        <x:f>IF(AND('계산 과정'!$L$7,O1485&lt;&gt;0),('계산 과정'!$L$23-'계산 과정'!$C$49*D1485-'계산 과정'!$D$49*E1485)/O1485,"")</x:f>
        <x:v>5.937348643348936</x:v>
      </x:c>
      <x:c r="Q1485" s="4" t="str">
        <x:f>IF(AND(ISNUMBER(P1485),P1485&gt;1E-9,P1485&lt;1-1E-9),'계산 과정'!$C$47*(D1485-'계산 과정'!$C$50+P1485*('계산 과정'!$C$32-D1485))+'계산 과정'!$D$47*(E1485-'계산 과정'!$D$50+P1485*('계산 과정'!$D$32-E1485))+'계산 과정'!$E$47*(0-'계산 과정'!$E$50+P1485*('계산 과정'!$E$32-0)),"")</x:f>
      </x:c>
      <x:c r="R1485" s="4" t="str">
        <x:f>IF(AND(ISNUMBER(P1485),P1485&gt;1E-9,P1485&lt;1-1E-9),'계산 과정'!$C$48*(D1485-'계산 과정'!$C$50+P1485*('계산 과정'!$C$32-D1485))+'계산 과정'!$D$48*(E1485-'계산 과정'!$D$50+P1485*('계산 과정'!$D$32-E1485))+'계산 과정'!$E$48*(0-'계산 과정'!$E$50+P1485*('계산 과정'!$E$32-0)),"")</x:f>
      </x:c>
      <x:c r="S1485" s="17" t="n">
        <x:f>IF('계산 과정'!$C$78,IF(AND(ISNUMBER(Q1485),ISNUMBER(R1485),ABS(Q1485-'계산 과정'!$C$88)&lt;='계산 과정'!$D$23/2,ABS(R1485-'계산 과정'!$C$89)&lt;='계산 과정'!$D$24/2),1,0),"")</x:f>
        <x:v>0</x:v>
      </x:c>
      <x:c r="T1485" s="4"/>
      <x:c r="U1485" s="4"/>
      <x:c r="V1485" s="4"/>
      <x:c r="W1485" s="4"/>
      <x:c r="X1485" s="4"/>
      <x:c r="Y1485" s="4"/>
      <x:c r="Z1485" s="4"/>
    </x:row>
    <x:row r="1486" ht="23" customHeight="1">
      <x:c r="A1486" s="17" t="n">
        <x:f>ROW()-6</x:f>
        <x:v>1480</x:v>
      </x:c>
      <x:c r="B1486" s="4" t="n">
        <x:f>IF('계산 과정'!$L$5,'계산 과정'!$L$11*SQRT((A1486+0.5)/'계산 과정'!$L$30),"")</x:f>
        <x:v>127.53532369136991</x:v>
      </x:c>
      <x:c r="C1486" s="4" t="n">
        <x:f>A1486*PI()*(3-SQRT(5))</x:f>
        <x:v>3551.945579998406</x:v>
      </x:c>
      <x:c r="D1486" s="4" t="n">
        <x:f>IF('계산 과정'!$L$5,B1486*COS(C1486),"")</x:f>
        <x:v>-46.72278622178666</x:v>
      </x:c>
      <x:c r="E1486" s="4" t="n">
        <x:f>IF('계산 과정'!$L$5,B1486*SIN(C1486),"")</x:f>
        <x:v>118.668614371011</x:v>
      </x:c>
      <x:c r="F1486" s="4" t="n">
        <x:f>IF('계산 과정'!$L$7,'계산 과정'!$L$22+'계산 과정'!$C$49*D1486+'계산 과정'!$D$49*E1486,"")</x:f>
        <x:v>683.0379989733548</x:v>
      </x:c>
      <x:c r="G1486" s="4" t="n">
        <x:f>IF('계산 과정'!$L$7,IF(ABS(F1486)&gt;=1E-12*MAX(1,SQRT((D1486-'계산 과정'!$C$33)^2+(E1486-'계산 과정'!$D$33)^2+'계산 과정'!$E$33^2)),('계산 과정'!$L$23-'계산 과정'!$C$49*D1486-'계산 과정'!$D$49*E1486)/F1486,""),"")</x:f>
        <x:v>0.5372497600107318</x:v>
      </x:c>
      <x:c r="H1486" s="4" t="n">
        <x:f>IF(AND(ISNUMBER(G1486),G1486&gt;0),('계산 과정'!$D$56+'계산 과정'!$D$57*D1486+'계산 과정'!$D$58*E1486)/F1486,"")</x:f>
        <x:v>-50.78765599302449</x:v>
      </x:c>
      <x:c r="I1486" s="4" t="n">
        <x:f>IF(AND(ISNUMBER(G1486),G1486&gt;0),('계산 과정'!$E$56+'계산 과정'!$E$57*D1486+'계산 과정'!$E$58*E1486)/F1486,"")</x:f>
        <x:v>182.42329896264272</x:v>
      </x:c>
      <x:c r="J1486" s="4" t="n">
        <x:f>IF('계산 과정'!$L$5,'계산 과정'!$D$6+'계산 과정'!$C$35*D1486+'계산 과정'!$D$35*E1486,"")</x:f>
        <x:v>683.0379989733548</x:v>
      </x:c>
      <x:c r="K1486" s="4" t="n">
        <x:f>IF(AND('계산 과정'!$L$6,J1486&gt;0),'계산 과정'!$D$10*('계산 과정'!$C$38*(D1486-'계산 과정'!$C$32)+'계산 과정'!$D$38*(E1486-'계산 과정'!$D$32)-'계산 과정'!$E$38*'계산 과정'!$E$32)/J1486,"")</x:f>
        <x:v>-0.3869535694706623</x:v>
      </x:c>
      <x:c r="L1486" s="4" t="n">
        <x:f>IF(AND('계산 과정'!$L$6,J1486&gt;0),'계산 과정'!$D$10*('계산 과정'!$C$39*(D1486-'계산 과정'!$C$32)+'계산 과정'!$D$39*(E1486-'계산 과정'!$D$32)-'계산 과정'!$E$39*'계산 과정'!$E$32)/J1486,"")</x:f>
        <x:v>1.3898918016201351</x:v>
      </x:c>
      <x:c r="M1486" s="17" t="n">
        <x:f>IF('계산 과정'!$L$6,IF(J1486&lt;=0,0,IF(AND(ABS(K1486)&lt;='계산 과정'!$D$11/2,ABS(L1486)&lt;='계산 과정'!$D$12/2),1,0)),"")</x:f>
        <x:v>1</x:v>
      </x:c>
      <x:c r="N1486" s="17" t="n">
        <x:f>IF('계산 과정'!$C$78,IF(AND(ISNUMBER(H1486),ISNUMBER(I1486),ABS(H1486-'계산 과정'!$C$88)&lt;='계산 과정'!$D$23/2,ABS(I1486-'계산 과정'!$C$89)&lt;='계산 과정'!$D$24/2),1,0),"")</x:f>
        <x:v>1</x:v>
      </x:c>
      <x:c r="O1486" s="4" t="n">
        <x:f>IF('계산 과정'!$L$7,'계산 과정'!$C$49*('계산 과정'!$C$32-D1486)+'계산 과정'!$D$49*('계산 과정'!$D$32-E1486)+'계산 과정'!$E$49*'계산 과정'!$E$32,"")</x:f>
        <x:v>-33.03799897335466</x:v>
      </x:c>
      <x:c r="P1486" s="4" t="n">
        <x:f>IF(AND('계산 과정'!$L$7,O1486&lt;&gt;0),('계산 과정'!$L$23-'계산 과정'!$C$49*D1486-'계산 과정'!$D$49*E1486)/O1486,"")</x:f>
        <x:v>-11.107270792114326</x:v>
      </x:c>
      <x:c r="Q1486" s="4" t="str">
        <x:f>IF(AND(ISNUMBER(P1486),P1486&gt;1E-9,P1486&lt;1-1E-9),'계산 과정'!$C$47*(D1486-'계산 과정'!$C$50+P1486*('계산 과정'!$C$32-D1486))+'계산 과정'!$D$47*(E1486-'계산 과정'!$D$50+P1486*('계산 과정'!$D$32-E1486))+'계산 과정'!$E$47*(0-'계산 과정'!$E$50+P1486*('계산 과정'!$E$32-0)),"")</x:f>
      </x:c>
      <x:c r="R1486" s="4" t="str">
        <x:f>IF(AND(ISNUMBER(P1486),P1486&gt;1E-9,P1486&lt;1-1E-9),'계산 과정'!$C$48*(D1486-'계산 과정'!$C$50+P1486*('계산 과정'!$C$32-D1486))+'계산 과정'!$D$48*(E1486-'계산 과정'!$D$50+P1486*('계산 과정'!$D$32-E1486))+'계산 과정'!$E$48*(0-'계산 과정'!$E$50+P1486*('계산 과정'!$E$32-0)),"")</x:f>
      </x:c>
      <x:c r="S1486" s="17" t="n">
        <x:f>IF('계산 과정'!$C$78,IF(AND(ISNUMBER(Q1486),ISNUMBER(R1486),ABS(Q1486-'계산 과정'!$C$88)&lt;='계산 과정'!$D$23/2,ABS(R1486-'계산 과정'!$C$89)&lt;='계산 과정'!$D$24/2),1,0),"")</x:f>
        <x:v>0</x:v>
      </x:c>
      <x:c r="T1486" s="4"/>
      <x:c r="U1486" s="4"/>
      <x:c r="V1486" s="4"/>
      <x:c r="W1486" s="4"/>
      <x:c r="X1486" s="4"/>
      <x:c r="Y1486" s="4"/>
      <x:c r="Z1486" s="4"/>
    </x:row>
    <x:row r="1487" ht="23" customHeight="1">
      <x:c r="A1487" s="17" t="n">
        <x:f>ROW()-6</x:f>
        <x:v>1481</x:v>
      </x:c>
      <x:c r="B1487" s="4" t="n">
        <x:f>IF('계산 과정'!$L$5,'계산 과정'!$L$11*SQRT((A1487+0.5)/'계산 과정'!$L$30),"")</x:f>
        <x:v>127.57838812740778</x:v>
      </x:c>
      <x:c r="C1487" s="4" t="n">
        <x:f>A1487*PI()*(3-SQRT(5))</x:f>
        <x:v>3554.345543228135</x:v>
      </x:c>
      <x:c r="D1487" s="4" t="n">
        <x:f>IF('계산 과정'!$L$5,B1487*COS(C1487),"")</x:f>
        <x:v>-45.72300270943419</x:v>
      </x:c>
      <x:c r="E1487" s="4" t="n">
        <x:f>IF('계산 과정'!$L$5,B1487*SIN(C1487),"")</x:f>
        <x:v>-119.10353538170298</x:v>
      </x:c>
      <x:c r="F1487" s="4" t="n">
        <x:f>IF('계산 과정'!$L$7,'계산 과정'!$L$22+'계산 과정'!$C$49*D1487+'계산 과정'!$D$49*E1487,"")</x:f>
        <x:v>682.3310452720518</x:v>
      </x:c>
      <x:c r="G1487" s="4" t="n">
        <x:f>IF('계산 과정'!$L$7,IF(ABS(F1487)&gt;=1E-12*MAX(1,SQRT((D1487-'계산 과정'!$C$33)^2+(E1487-'계산 과정'!$D$33)^2+'계산 과정'!$E$33^2)),('계산 과정'!$L$23-'계산 과정'!$C$49*D1487-'계산 과정'!$D$49*E1487)/F1487,""),"")</x:f>
        <x:v>0.5388424830960976</x:v>
      </x:c>
      <x:c r="H1487" s="4" t="n">
        <x:f>IF(AND(ISNUMBER(G1487),G1487&gt;0),('계산 과정'!$D$56+'계산 과정'!$D$57*D1487+'계산 과정'!$D$58*E1487)/F1487,"")</x:f>
        <x:v>-49.75238598753666</x:v>
      </x:c>
      <x:c r="I1487" s="4" t="n">
        <x:f>IF(AND(ISNUMBER(G1487),G1487&gt;0),('계산 과정'!$E$56+'계산 과정'!$E$57*D1487+'계산 과정'!$E$58*E1487)/F1487,"")</x:f>
        <x:v>-183.28158013230373</x:v>
      </x:c>
      <x:c r="J1487" s="4" t="n">
        <x:f>IF('계산 과정'!$L$5,'계산 과정'!$D$6+'계산 과정'!$C$35*D1487+'계산 과정'!$D$35*E1487,"")</x:f>
        <x:v>682.3310452720518</x:v>
      </x:c>
      <x:c r="K1487" s="4" t="n">
        <x:f>IF(AND('계산 과정'!$L$6,J1487&gt;0),'계산 과정'!$D$10*('계산 과정'!$C$38*(D1487-'계산 과정'!$C$32)+'계산 과정'!$D$38*(E1487-'계산 과정'!$D$32)-'계산 과정'!$E$38*'계산 과정'!$E$32)/J1487,"")</x:f>
        <x:v>-0.379065798000278</x:v>
      </x:c>
      <x:c r="L1487" s="4" t="n">
        <x:f>IF(AND('계산 과정'!$L$6,J1487&gt;0),'계산 과정'!$D$10*('계산 과정'!$C$39*(D1487-'계산 과정'!$C$32)+'계산 과정'!$D$39*(E1487-'계산 과정'!$D$32)-'계산 과정'!$E$39*'계산 과정'!$E$32)/J1487,"")</x:f>
        <x:v>-1.3964310867223142</x:v>
      </x:c>
      <x:c r="M1487" s="17" t="n">
        <x:f>IF('계산 과정'!$L$6,IF(J1487&lt;=0,0,IF(AND(ABS(K1487)&lt;='계산 과정'!$D$11/2,ABS(L1487)&lt;='계산 과정'!$D$12/2),1,0)),"")</x:f>
        <x:v>1</x:v>
      </x:c>
      <x:c r="N1487" s="17" t="n">
        <x:f>IF('계산 과정'!$C$78,IF(AND(ISNUMBER(H1487),ISNUMBER(I1487),ABS(H1487-'계산 과정'!$C$88)&lt;='계산 과정'!$D$23/2,ABS(I1487-'계산 과정'!$C$89)&lt;='계산 과정'!$D$24/2),1,0),"")</x:f>
        <x:v>1</x:v>
      </x:c>
      <x:c r="O1487" s="4" t="n">
        <x:f>IF('계산 과정'!$L$7,'계산 과정'!$C$49*('계산 과정'!$C$32-D1487)+'계산 과정'!$D$49*('계산 과정'!$D$32-E1487)+'계산 과정'!$E$49*'계산 과정'!$E$32,"")</x:f>
        <x:v>-32.331045272051654</x:v>
      </x:c>
      <x:c r="P1487" s="4" t="n">
        <x:f>IF(AND('계산 과정'!$L$7,O1487&lt;&gt;0),('계산 과정'!$L$23-'계산 과정'!$C$49*D1487-'계산 과정'!$D$49*E1487)/O1487,"")</x:f>
        <x:v>-11.372009523174217</x:v>
      </x:c>
      <x:c r="Q1487" s="4" t="str">
        <x:f>IF(AND(ISNUMBER(P1487),P1487&gt;1E-9,P1487&lt;1-1E-9),'계산 과정'!$C$47*(D1487-'계산 과정'!$C$50+P1487*('계산 과정'!$C$32-D1487))+'계산 과정'!$D$47*(E1487-'계산 과정'!$D$50+P1487*('계산 과정'!$D$32-E1487))+'계산 과정'!$E$47*(0-'계산 과정'!$E$50+P1487*('계산 과정'!$E$32-0)),"")</x:f>
      </x:c>
      <x:c r="R1487" s="4" t="str">
        <x:f>IF(AND(ISNUMBER(P1487),P1487&gt;1E-9,P1487&lt;1-1E-9),'계산 과정'!$C$48*(D1487-'계산 과정'!$C$50+P1487*('계산 과정'!$C$32-D1487))+'계산 과정'!$D$48*(E1487-'계산 과정'!$D$50+P1487*('계산 과정'!$D$32-E1487))+'계산 과정'!$E$48*(0-'계산 과정'!$E$50+P1487*('계산 과정'!$E$32-0)),"")</x:f>
      </x:c>
      <x:c r="S1487" s="17" t="n">
        <x:f>IF('계산 과정'!$C$78,IF(AND(ISNUMBER(Q1487),ISNUMBER(R1487),ABS(Q1487-'계산 과정'!$C$88)&lt;='계산 과정'!$D$23/2,ABS(R1487-'계산 과정'!$C$89)&lt;='계산 과정'!$D$24/2),1,0),"")</x:f>
        <x:v>0</x:v>
      </x:c>
      <x:c r="T1487" s="4"/>
      <x:c r="U1487" s="4"/>
      <x:c r="V1487" s="4"/>
      <x:c r="W1487" s="4"/>
      <x:c r="X1487" s="4"/>
      <x:c r="Y1487" s="4"/>
      <x:c r="Z1487" s="4"/>
    </x:row>
    <x:row r="1488" ht="23" customHeight="1">
      <x:c r="A1488" s="17" t="n">
        <x:f>ROW()-6</x:f>
        <x:v>1482</x:v>
      </x:c>
      <x:c r="B1488" s="4" t="n">
        <x:f>IF('계산 과정'!$L$5,'계산 과정'!$L$11*SQRT((A1488+0.5)/'계산 과정'!$L$30),"")</x:f>
        <x:v>127.62143803183108</x:v>
      </x:c>
      <x:c r="C1488" s="4" t="n">
        <x:f>A1488*PI()*(3-SQRT(5))</x:f>
        <x:v>3556.745506457864</x:v>
      </x:c>
      <x:c r="D1488" s="4" t="n">
        <x:f>IF('계산 과정'!$L$5,B1488*COS(C1488),"")</x:f>
        <x:v>114.20652609173047</x:v>
      </x:c>
      <x:c r="E1488" s="4" t="n">
        <x:f>IF('계산 과정'!$L$5,B1488*SIN(C1488),"")</x:f>
        <x:v>56.9570087291405</x:v>
      </x:c>
      <x:c r="F1488" s="4" t="n">
        <x:f>IF('계산 과정'!$L$7,'계산 과정'!$L$22+'계산 과정'!$C$49*D1488+'계산 과정'!$D$49*E1488,"")</x:f>
        <x:v>569.243790944779</x:v>
      </x:c>
      <x:c r="G1488" s="4" t="n">
        <x:f>IF('계산 과정'!$L$7,IF(ABS(F1488)&gt;=1E-12*MAX(1,SQRT((D1488-'계산 과정'!$C$33)^2+(E1488-'계산 과정'!$D$33)^2+'계산 과정'!$E$33^2)),('계산 과정'!$L$23-'계산 과정'!$C$49*D1488-'계산 과정'!$D$49*E1488)/F1488,""),"")</x:f>
        <x:v>0.8445523986433048</x:v>
      </x:c>
      <x:c r="H1488" s="4" t="n">
        <x:f>IF(AND(ISNUMBER(G1488),G1488&gt;0),('계산 과정'!$D$56+'계산 과정'!$D$57*D1488+'계산 과정'!$D$58*E1488)/F1488,"")</x:f>
        <x:v>148.95905911814793</x:v>
      </x:c>
      <x:c r="I1488" s="4" t="n">
        <x:f>IF(AND(ISNUMBER(G1488),G1488&gt;0),('계산 과정'!$E$56+'계산 과정'!$E$57*D1488+'계산 과정'!$E$58*E1488)/F1488,"")</x:f>
        <x:v>105.06018707088376</x:v>
      </x:c>
      <x:c r="J1488" s="4" t="n">
        <x:f>IF('계산 과정'!$L$5,'계산 과정'!$D$6+'계산 과정'!$C$35*D1488+'계산 과정'!$D$35*E1488,"")</x:f>
        <x:v>569.243790944779</x:v>
      </x:c>
      <x:c r="K1488" s="4" t="n">
        <x:f>IF(AND('계산 과정'!$L$6,J1488&gt;0),'계산 과정'!$D$10*('계산 과정'!$C$38*(D1488-'계산 과정'!$C$32)+'계산 과정'!$D$38*(E1488-'계산 과정'!$D$32)-'계산 과정'!$E$38*'계산 과정'!$E$32)/J1488,"")</x:f>
        <x:v>1.1349261647096993</x:v>
      </x:c>
      <x:c r="L1488" s="4" t="n">
        <x:f>IF(AND('계산 과정'!$L$6,J1488&gt;0),'계산 과정'!$D$10*('계산 과정'!$C$39*(D1488-'계산 과정'!$C$32)+'계산 과정'!$D$39*(E1488-'계산 과정'!$D$32)-'계산 과정'!$E$39*'계산 과정'!$E$32)/J1488,"")</x:f>
        <x:v>0.8004585681591143</x:v>
      </x:c>
      <x:c r="M1488" s="17" t="n">
        <x:f>IF('계산 과정'!$L$6,IF(J1488&lt;=0,0,IF(AND(ABS(K1488)&lt;='계산 과정'!$D$11/2,ABS(L1488)&lt;='계산 과정'!$D$12/2),1,0)),"")</x:f>
        <x:v>1</x:v>
      </x:c>
      <x:c r="N1488" s="17" t="n">
        <x:f>IF('계산 과정'!$C$78,IF(AND(ISNUMBER(H1488),ISNUMBER(I1488),ABS(H1488-'계산 과정'!$C$88)&lt;='계산 과정'!$D$23/2,ABS(I1488-'계산 과정'!$C$89)&lt;='계산 과정'!$D$24/2),1,0),"")</x:f>
        <x:v>1</x:v>
      </x:c>
      <x:c r="O1488" s="4" t="n">
        <x:f>IF('계산 과정'!$L$7,'계산 과정'!$C$49*('계산 과정'!$C$32-D1488)+'계산 과정'!$D$49*('계산 과정'!$D$32-E1488)+'계산 과정'!$E$49*'계산 과정'!$E$32,"")</x:f>
        <x:v>80.75620905522106</x:v>
      </x:c>
      <x:c r="P1488" s="4" t="n">
        <x:f>IF(AND('계산 과정'!$L$7,O1488&lt;&gt;0),('계산 과정'!$L$23-'계산 과정'!$C$49*D1488-'계산 과정'!$D$49*E1488)/O1488,"")</x:f>
        <x:v>5.95317951002975</x:v>
      </x:c>
      <x:c r="Q1488" s="4" t="str">
        <x:f>IF(AND(ISNUMBER(P1488),P1488&gt;1E-9,P1488&lt;1-1E-9),'계산 과정'!$C$47*(D1488-'계산 과정'!$C$50+P1488*('계산 과정'!$C$32-D1488))+'계산 과정'!$D$47*(E1488-'계산 과정'!$D$50+P1488*('계산 과정'!$D$32-E1488))+'계산 과정'!$E$47*(0-'계산 과정'!$E$50+P1488*('계산 과정'!$E$32-0)),"")</x:f>
      </x:c>
      <x:c r="R1488" s="4" t="str">
        <x:f>IF(AND(ISNUMBER(P1488),P1488&gt;1E-9,P1488&lt;1-1E-9),'계산 과정'!$C$48*(D1488-'계산 과정'!$C$50+P1488*('계산 과정'!$C$32-D1488))+'계산 과정'!$D$48*(E1488-'계산 과정'!$D$50+P1488*('계산 과정'!$D$32-E1488))+'계산 과정'!$E$48*(0-'계산 과정'!$E$50+P1488*('계산 과정'!$E$32-0)),"")</x:f>
      </x:c>
      <x:c r="S1488" s="17" t="n">
        <x:f>IF('계산 과정'!$C$78,IF(AND(ISNUMBER(Q1488),ISNUMBER(R1488),ABS(Q1488-'계산 과정'!$C$88)&lt;='계산 과정'!$D$23/2,ABS(R1488-'계산 과정'!$C$89)&lt;='계산 과정'!$D$24/2),1,0),"")</x:f>
        <x:v>0</x:v>
      </x:c>
      <x:c r="T1488" s="4"/>
      <x:c r="U1488" s="4"/>
      <x:c r="V1488" s="4"/>
      <x:c r="W1488" s="4"/>
      <x:c r="X1488" s="4"/>
      <x:c r="Y1488" s="4"/>
      <x:c r="Z1488" s="4"/>
    </x:row>
    <x:row r="1489" ht="23" customHeight="1">
      <x:c r="A1489" s="17" t="n">
        <x:f>ROW()-6</x:f>
        <x:v>1483</x:v>
      </x:c>
      <x:c r="B1489" s="4" t="n">
        <x:f>IF('계산 과정'!$L$5,'계산 과정'!$L$11*SQRT((A1489+0.5)/'계산 과정'!$L$30),"")</x:f>
        <x:v>127.66447341934052</x:v>
      </x:c>
      <x:c r="C1489" s="4" t="n">
        <x:f>A1489*PI()*(3-SQRT(5))</x:f>
        <x:v>3559.145469687592</x:v>
      </x:c>
      <x:c r="D1489" s="4" t="n">
        <x:f>IF('계산 과정'!$L$5,B1489*COS(C1489),"")</x:f>
        <x:v>-122.72761578482165</x:v>
      </x:c>
      <x:c r="E1489" s="4" t="n">
        <x:f>IF('계산 과정'!$L$5,B1489*SIN(C1489),"")</x:f>
        <x:v>35.1589262806858</x:v>
      </x:c>
      <x:c r="F1489" s="4" t="n">
        <x:f>IF('계산 과정'!$L$7,'계산 과정'!$L$22+'계산 과정'!$C$49*D1489+'계산 과정'!$D$49*E1489,"")</x:f>
        <x:v>736.7815293603046</x:v>
      </x:c>
      <x:c r="G1489" s="4" t="n">
        <x:f>IF('계산 과정'!$L$7,IF(ABS(F1489)&gt;=1E-12*MAX(1,SQRT((D1489-'계산 과정'!$C$33)^2+(E1489-'계산 과정'!$D$33)^2+'계산 과정'!$E$33^2)),('계산 과정'!$L$23-'계산 과정'!$C$49*D1489-'계산 과정'!$D$49*E1489)/F1489,""),"")</x:f>
        <x:v>0.42511715910093584</x:v>
      </x:c>
      <x:c r="H1489" s="4" t="n">
        <x:f>IF(AND(ISNUMBER(G1489),G1489&gt;0),('계산 과정'!$D$56+'계산 과정'!$D$57*D1489+'계산 과정'!$D$58*E1489)/F1489,"")</x:f>
        <x:v>-123.67384658439181</x:v>
      </x:c>
      <x:c r="I1489" s="4" t="n">
        <x:f>IF(AND(ISNUMBER(G1489),G1489&gt;0),('계산 과정'!$E$56+'계산 과정'!$E$57*D1489+'계산 과정'!$E$58*E1489)/F1489,"")</x:f>
        <x:v>50.105589138170174</x:v>
      </x:c>
      <x:c r="J1489" s="4" t="n">
        <x:f>IF('계산 과정'!$L$5,'계산 과정'!$D$6+'계산 과정'!$C$35*D1489+'계산 과정'!$D$35*E1489,"")</x:f>
        <x:v>736.7815293603046</x:v>
      </x:c>
      <x:c r="K1489" s="4" t="n">
        <x:f>IF(AND('계산 과정'!$L$6,J1489&gt;0),'계산 과정'!$D$10*('계산 과정'!$C$38*(D1489-'계산 과정'!$C$32)+'계산 과정'!$D$38*(E1489-'계산 과정'!$D$32)-'계산 과정'!$E$38*'계산 과정'!$E$32)/J1489,"")</x:f>
        <x:v>-0.9422769263572698</x:v>
      </x:c>
      <x:c r="L1489" s="4" t="n">
        <x:f>IF(AND('계산 과정'!$L$6,J1489&gt;0),'계산 과정'!$D$10*('계산 과정'!$C$39*(D1489-'계산 과정'!$C$32)+'계산 과정'!$D$39*(E1489-'계산 과정'!$D$32)-'계산 과정'!$E$39*'계산 과정'!$E$32)/J1489,"")</x:f>
        <x:v>0.3817568696241537</x:v>
      </x:c>
      <x:c r="M1489" s="17" t="n">
        <x:f>IF('계산 과정'!$L$6,IF(J1489&lt;=0,0,IF(AND(ABS(K1489)&lt;='계산 과정'!$D$11/2,ABS(L1489)&lt;='계산 과정'!$D$12/2),1,0)),"")</x:f>
        <x:v>1</x:v>
      </x:c>
      <x:c r="N1489" s="17" t="n">
        <x:f>IF('계산 과정'!$C$78,IF(AND(ISNUMBER(H1489),ISNUMBER(I1489),ABS(H1489-'계산 과정'!$C$88)&lt;='계산 과정'!$D$23/2,ABS(I1489-'계산 과정'!$C$89)&lt;='계산 과정'!$D$24/2),1,0),"")</x:f>
        <x:v>1</x:v>
      </x:c>
      <x:c r="O1489" s="4" t="n">
        <x:f>IF('계산 과정'!$L$7,'계산 과정'!$C$49*('계산 과정'!$C$32-D1489)+'계산 과정'!$D$49*('계산 과정'!$D$32-E1489)+'계산 과정'!$E$49*'계산 과정'!$E$32,"")</x:f>
        <x:v>-86.78152936030443</x:v>
      </x:c>
      <x:c r="P1489" s="4" t="n">
        <x:f>IF(AND('계산 과정'!$L$7,O1489&lt;&gt;0),('계산 과정'!$L$23-'계산 과정'!$C$49*D1489-'계산 과정'!$D$49*E1489)/O1489,"")</x:f>
        <x:v>-3.6092757635009796</x:v>
      </x:c>
      <x:c r="Q1489" s="4" t="str">
        <x:f>IF(AND(ISNUMBER(P1489),P1489&gt;1E-9,P1489&lt;1-1E-9),'계산 과정'!$C$47*(D1489-'계산 과정'!$C$50+P1489*('계산 과정'!$C$32-D1489))+'계산 과정'!$D$47*(E1489-'계산 과정'!$D$50+P1489*('계산 과정'!$D$32-E1489))+'계산 과정'!$E$47*(0-'계산 과정'!$E$50+P1489*('계산 과정'!$E$32-0)),"")</x:f>
      </x:c>
      <x:c r="R1489" s="4" t="str">
        <x:f>IF(AND(ISNUMBER(P1489),P1489&gt;1E-9,P1489&lt;1-1E-9),'계산 과정'!$C$48*(D1489-'계산 과정'!$C$50+P1489*('계산 과정'!$C$32-D1489))+'계산 과정'!$D$48*(E1489-'계산 과정'!$D$50+P1489*('계산 과정'!$D$32-E1489))+'계산 과정'!$E$48*(0-'계산 과정'!$E$50+P1489*('계산 과정'!$E$32-0)),"")</x:f>
      </x:c>
      <x:c r="S1489" s="17" t="n">
        <x:f>IF('계산 과정'!$C$78,IF(AND(ISNUMBER(Q1489),ISNUMBER(R1489),ABS(Q1489-'계산 과정'!$C$88)&lt;='계산 과정'!$D$23/2,ABS(R1489-'계산 과정'!$C$89)&lt;='계산 과정'!$D$24/2),1,0),"")</x:f>
        <x:v>0</x:v>
      </x:c>
      <x:c r="T1489" s="4"/>
      <x:c r="U1489" s="4"/>
      <x:c r="V1489" s="4"/>
      <x:c r="W1489" s="4"/>
      <x:c r="X1489" s="4"/>
      <x:c r="Y1489" s="4"/>
      <x:c r="Z1489" s="4"/>
    </x:row>
    <x:row r="1490" ht="23" customHeight="1">
      <x:c r="A1490" s="17" t="n">
        <x:f>ROW()-6</x:f>
        <x:v>1484</x:v>
      </x:c>
      <x:c r="B1490" s="4" t="n">
        <x:f>IF('계산 과정'!$L$5,'계산 과정'!$L$11*SQRT((A1490+0.5)/'계산 과정'!$L$30),"")</x:f>
        <x:v>127.70749430461198</x:v>
      </x:c>
      <x:c r="C1490" s="4" t="n">
        <x:f>A1490*PI()*(3-SQRT(5))</x:f>
        <x:v>3561.545432917321</x:v>
      </x:c>
      <x:c r="D1490" s="4" t="n">
        <x:f>IF('계산 과정'!$L$5,B1490*COS(C1490),"")</x:f>
        <x:v>66.76850323914772</x:v>
      </x:c>
      <x:c r="E1490" s="4" t="n">
        <x:f>IF('계산 과정'!$L$5,B1490*SIN(C1490),"")</x:f>
        <x:v>-108.86308408623385</x:v>
      </x:c>
      <x:c r="F1490" s="4" t="n">
        <x:f>IF('계산 과정'!$L$7,'계산 과정'!$L$22+'계산 과정'!$C$49*D1490+'계산 과정'!$D$49*E1490,"")</x:f>
        <x:v>602.7875385899226</x:v>
      </x:c>
      <x:c r="G1490" s="4" t="n">
        <x:f>IF('계산 과정'!$L$7,IF(ABS(F1490)&gt;=1E-12*MAX(1,SQRT((D1490-'계산 과정'!$C$33)^2+(E1490-'계산 과정'!$D$33)^2+'계산 과정'!$E$33^2)),('계산 과정'!$L$23-'계산 과정'!$C$49*D1490-'계산 과정'!$D$49*E1490)/F1490,""),"")</x:f>
        <x:v>0.7419072770751433</x:v>
      </x:c>
      <x:c r="H1490" s="4" t="n">
        <x:f>IF(AND(ISNUMBER(G1490),G1490&gt;0),('계산 과정'!$D$56+'계산 과정'!$D$57*D1490+'계산 과정'!$D$58*E1490)/F1490,"")</x:f>
        <x:v>82.23973009884295</x:v>
      </x:c>
      <x:c r="I1490" s="4" t="n">
        <x:f>IF(AND(ISNUMBER(G1490),G1490&gt;0),('계산 과정'!$E$56+'계산 과정'!$E$57*D1490+'계산 과정'!$E$58*E1490)/F1490,"")</x:f>
        <x:v>-189.629398374654</x:v>
      </x:c>
      <x:c r="J1490" s="4" t="n">
        <x:f>IF('계산 과정'!$L$5,'계산 과정'!$D$6+'계산 과정'!$C$35*D1490+'계산 과정'!$D$35*E1490,"")</x:f>
        <x:v>602.7875385899226</x:v>
      </x:c>
      <x:c r="K1490" s="4" t="n">
        <x:f>IF(AND('계산 과정'!$L$6,J1490&gt;0),'계산 과정'!$D$10*('계산 과정'!$C$38*(D1490-'계산 과정'!$C$32)+'계산 과정'!$D$38*(E1490-'계산 과정'!$D$32)-'계산 과정'!$E$38*'계산 과정'!$E$32)/J1490,"")</x:f>
        <x:v>0.6265884198007089</x:v>
      </x:c>
      <x:c r="L1490" s="4" t="n">
        <x:f>IF(AND('계산 과정'!$L$6,J1490&gt;0),'계산 과정'!$D$10*('계산 과정'!$C$39*(D1490-'계산 과정'!$C$32)+'계산 과정'!$D$39*(E1490-'계산 과정'!$D$32)-'계산 과정'!$E$39*'계산 과정'!$E$32)/J1490,"")</x:f>
        <x:v>-1.4447954161878398</x:v>
      </x:c>
      <x:c r="M1490" s="17" t="n">
        <x:f>IF('계산 과정'!$L$6,IF(J1490&lt;=0,0,IF(AND(ABS(K1490)&lt;='계산 과정'!$D$11/2,ABS(L1490)&lt;='계산 과정'!$D$12/2),1,0)),"")</x:f>
        <x:v>1</x:v>
      </x:c>
      <x:c r="N1490" s="17" t="n">
        <x:f>IF('계산 과정'!$C$78,IF(AND(ISNUMBER(H1490),ISNUMBER(I1490),ABS(H1490-'계산 과정'!$C$88)&lt;='계산 과정'!$D$23/2,ABS(I1490-'계산 과정'!$C$89)&lt;='계산 과정'!$D$24/2),1,0),"")</x:f>
        <x:v>1</x:v>
      </x:c>
      <x:c r="O1490" s="4" t="n">
        <x:f>IF('계산 과정'!$L$7,'계산 과정'!$C$49*('계산 과정'!$C$32-D1490)+'계산 과정'!$D$49*('계산 과정'!$D$32-E1490)+'계산 과정'!$E$49*'계산 과정'!$E$32,"")</x:f>
        <x:v>47.212461410077424</x:v>
      </x:c>
      <x:c r="P1490" s="4" t="n">
        <x:f>IF(AND('계산 과정'!$L$7,O1490&lt;&gt;0),('계산 과정'!$L$23-'계산 과정'!$C$49*D1490-'계산 과정'!$D$49*E1490)/O1490,"")</x:f>
        <x:v>9.47233946405981</x:v>
      </x:c>
      <x:c r="Q1490" s="4" t="str">
        <x:f>IF(AND(ISNUMBER(P1490),P1490&gt;1E-9,P1490&lt;1-1E-9),'계산 과정'!$C$47*(D1490-'계산 과정'!$C$50+P1490*('계산 과정'!$C$32-D1490))+'계산 과정'!$D$47*(E1490-'계산 과정'!$D$50+P1490*('계산 과정'!$D$32-E1490))+'계산 과정'!$E$47*(0-'계산 과정'!$E$50+P1490*('계산 과정'!$E$32-0)),"")</x:f>
      </x:c>
      <x:c r="R1490" s="4" t="str">
        <x:f>IF(AND(ISNUMBER(P1490),P1490&gt;1E-9,P1490&lt;1-1E-9),'계산 과정'!$C$48*(D1490-'계산 과정'!$C$50+P1490*('계산 과정'!$C$32-D1490))+'계산 과정'!$D$48*(E1490-'계산 과정'!$D$50+P1490*('계산 과정'!$D$32-E1490))+'계산 과정'!$E$48*(0-'계산 과정'!$E$50+P1490*('계산 과정'!$E$32-0)),"")</x:f>
      </x:c>
      <x:c r="S1490" s="17" t="n">
        <x:f>IF('계산 과정'!$C$78,IF(AND(ISNUMBER(Q1490),ISNUMBER(R1490),ABS(Q1490-'계산 과정'!$C$88)&lt;='계산 과정'!$D$23/2,ABS(R1490-'계산 과정'!$C$89)&lt;='계산 과정'!$D$24/2),1,0),"")</x:f>
        <x:v>0</x:v>
      </x:c>
      <x:c r="T1490" s="4"/>
      <x:c r="U1490" s="4"/>
      <x:c r="V1490" s="4"/>
      <x:c r="W1490" s="4"/>
      <x:c r="X1490" s="4"/>
      <x:c r="Y1490" s="4"/>
      <x:c r="Z1490" s="4"/>
    </x:row>
    <x:row r="1491" ht="23" customHeight="1">
      <x:c r="A1491" s="17" t="n">
        <x:f>ROW()-6</x:f>
        <x:v>1485</x:v>
      </x:c>
      <x:c r="B1491" s="4" t="n">
        <x:f>IF('계산 과정'!$L$5,'계산 과정'!$L$11*SQRT((A1491+0.5)/'계산 과정'!$L$30),"")</x:f>
        <x:v>127.75050070229666</x:v>
      </x:c>
      <x:c r="C1491" s="4" t="n">
        <x:f>A1491*PI()*(3-SQRT(5))</x:f>
        <x:v>3563.94539614705</x:v>
      </x:c>
      <x:c r="D1491" s="4" t="n">
        <x:f>IF('계산 과정'!$L$5,B1491*COS(C1491),"")</x:f>
        <x:v>24.311124565400373</x:v>
      </x:c>
      <x:c r="E1491" s="4" t="n">
        <x:f>IF('계산 과정'!$L$5,B1491*SIN(C1491),"")</x:f>
        <x:v>125.41594656204245</x:v>
      </x:c>
      <x:c r="F1491" s="4" t="n">
        <x:f>IF('계산 과정'!$L$7,'계산 과정'!$L$22+'계산 과정'!$C$49*D1491+'계산 과정'!$D$49*E1491,"")</x:f>
        <x:v>632.8094389615345</x:v>
      </x:c>
      <x:c r="G1491" s="4" t="n">
        <x:f>IF('계산 과정'!$L$7,IF(ABS(F1491)&gt;=1E-12*MAX(1,SQRT((D1491-'계산 과정'!$C$33)^2+(E1491-'계산 과정'!$D$33)^2+'계산 과정'!$E$33^2)),('계산 과정'!$L$23-'계산 과정'!$C$49*D1491-'계산 과정'!$D$49*E1491)/F1491,""),"")</x:f>
        <x:v>0.6592672854613102</x:v>
      </x:c>
      <x:c r="H1491" s="4" t="n">
        <x:f>IF(AND(ISNUMBER(G1491),G1491&gt;0),('계산 과정'!$D$56+'계산 과정'!$D$57*D1491+'계산 과정'!$D$58*E1491)/F1491,"")</x:f>
        <x:v>28.52373554985144</x:v>
      </x:c>
      <x:c r="I1491" s="4" t="n">
        <x:f>IF(AND(ISNUMBER(G1491),G1491&gt;0),('계산 과정'!$E$56+'계산 과정'!$E$57*D1491+'계산 과정'!$E$58*E1491)/F1491,"")</x:f>
        <x:v>208.0985772055609</x:v>
      </x:c>
      <x:c r="J1491" s="4" t="n">
        <x:f>IF('계산 과정'!$L$5,'계산 과정'!$D$6+'계산 과정'!$C$35*D1491+'계산 과정'!$D$35*E1491,"")</x:f>
        <x:v>632.8094389615345</x:v>
      </x:c>
      <x:c r="K1491" s="4" t="n">
        <x:f>IF(AND('계산 과정'!$L$6,J1491&gt;0),'계산 과정'!$D$10*('계산 과정'!$C$38*(D1491-'계산 과정'!$C$32)+'계산 과정'!$D$38*(E1491-'계산 과정'!$D$32)-'계산 과정'!$E$38*'계산 과정'!$E$32)/J1491,"")</x:f>
        <x:v>0.21732369942743998</x:v>
      </x:c>
      <x:c r="L1491" s="4" t="n">
        <x:f>IF(AND('계산 과정'!$L$6,J1491&gt;0),'계산 과정'!$D$10*('계산 과정'!$C$39*(D1491-'계산 과정'!$C$32)+'계산 과정'!$D$39*(E1491-'계산 과정'!$D$32)-'계산 과정'!$E$39*'계산 과정'!$E$32)/J1491,"")</x:f>
        <x:v>1.5855129691852259</x:v>
      </x:c>
      <x:c r="M1491" s="17" t="n">
        <x:f>IF('계산 과정'!$L$6,IF(J1491&lt;=0,0,IF(AND(ABS(K1491)&lt;='계산 과정'!$D$11/2,ABS(L1491)&lt;='계산 과정'!$D$12/2),1,0)),"")</x:f>
        <x:v>1</x:v>
      </x:c>
      <x:c r="N1491" s="17" t="n">
        <x:f>IF('계산 과정'!$C$78,IF(AND(ISNUMBER(H1491),ISNUMBER(I1491),ABS(H1491-'계산 과정'!$C$88)&lt;='계산 과정'!$D$23/2,ABS(I1491-'계산 과정'!$C$89)&lt;='계산 과정'!$D$24/2),1,0),"")</x:f>
        <x:v>1</x:v>
      </x:c>
      <x:c r="O1491" s="4" t="n">
        <x:f>IF('계산 과정'!$L$7,'계산 과정'!$C$49*('계산 과정'!$C$32-D1491)+'계산 과정'!$D$49*('계산 과정'!$D$32-E1491)+'계산 과정'!$E$49*'계산 과정'!$E$32,"")</x:f>
        <x:v>17.190561038465546</x:v>
      </x:c>
      <x:c r="P1491" s="4" t="n">
        <x:f>IF(AND('계산 과정'!$L$7,O1491&lt;&gt;0),('계산 과정'!$L$23-'계산 과정'!$C$49*D1491-'계산 과정'!$D$49*E1491)/O1491,"")</x:f>
        <x:v>24.268583212901614</x:v>
      </x:c>
      <x:c r="Q1491" s="4" t="str">
        <x:f>IF(AND(ISNUMBER(P1491),P1491&gt;1E-9,P1491&lt;1-1E-9),'계산 과정'!$C$47*(D1491-'계산 과정'!$C$50+P1491*('계산 과정'!$C$32-D1491))+'계산 과정'!$D$47*(E1491-'계산 과정'!$D$50+P1491*('계산 과정'!$D$32-E1491))+'계산 과정'!$E$47*(0-'계산 과정'!$E$50+P1491*('계산 과정'!$E$32-0)),"")</x:f>
      </x:c>
      <x:c r="R1491" s="4" t="str">
        <x:f>IF(AND(ISNUMBER(P1491),P1491&gt;1E-9,P1491&lt;1-1E-9),'계산 과정'!$C$48*(D1491-'계산 과정'!$C$50+P1491*('계산 과정'!$C$32-D1491))+'계산 과정'!$D$48*(E1491-'계산 과정'!$D$50+P1491*('계산 과정'!$D$32-E1491))+'계산 과정'!$E$48*(0-'계산 과정'!$E$50+P1491*('계산 과정'!$E$32-0)),"")</x:f>
      </x:c>
      <x:c r="S1491" s="17" t="n">
        <x:f>IF('계산 과정'!$C$78,IF(AND(ISNUMBER(Q1491),ISNUMBER(R1491),ABS(Q1491-'계산 과정'!$C$88)&lt;='계산 과정'!$D$23/2,ABS(R1491-'계산 과정'!$C$89)&lt;='계산 과정'!$D$24/2),1,0),"")</x:f>
        <x:v>0</x:v>
      </x:c>
      <x:c r="T1491" s="4"/>
      <x:c r="U1491" s="4"/>
      <x:c r="V1491" s="4"/>
      <x:c r="W1491" s="4"/>
      <x:c r="X1491" s="4"/>
      <x:c r="Y1491" s="4"/>
      <x:c r="Z1491" s="4"/>
    </x:row>
    <x:row r="1492" ht="23" customHeight="1">
      <x:c r="A1492" s="17" t="n">
        <x:f>ROW()-6</x:f>
        <x:v>1486</x:v>
      </x:c>
      <x:c r="B1492" s="4" t="n">
        <x:f>IF('계산 과정'!$L$5,'계산 과정'!$L$11*SQRT((A1492+0.5)/'계산 과정'!$L$30),"")</x:f>
        <x:v>127.79349262702111</x:v>
      </x:c>
      <x:c r="C1492" s="4" t="n">
        <x:f>A1492*PI()*(3-SQRT(5))</x:f>
        <x:v>3566.345359376778</x:v>
      </x:c>
      <x:c r="D1492" s="4" t="n">
        <x:f>IF('계산 과정'!$L$5,B1492*COS(C1492),"")</x:f>
        <x:v>-102.6780639572961</x:v>
      </x:c>
      <x:c r="E1492" s="4" t="n">
        <x:f>IF('계산 과정'!$L$5,B1492*SIN(C1492),"")</x:f>
        <x:v>-76.0814822397271</x:v>
      </x:c>
      <x:c r="F1492" s="4" t="n">
        <x:f>IF('계산 과정'!$L$7,'계산 과정'!$L$22+'계산 과정'!$C$49*D1492+'계산 과정'!$D$49*E1492,"")</x:f>
        <x:v>722.6043553033101</x:v>
      </x:c>
      <x:c r="G1492" s="4" t="n">
        <x:f>IF('계산 과정'!$L$7,IF(ABS(F1492)&gt;=1E-12*MAX(1,SQRT((D1492-'계산 과정'!$C$33)^2+(E1492-'계산 과정'!$D$33)^2+'계산 과정'!$E$33^2)),('계산 과정'!$L$23-'계산 과정'!$C$49*D1492-'계산 과정'!$D$49*E1492)/F1492,""),"")</x:f>
        <x:v>0.453077319966148</x:v>
      </x:c>
      <x:c r="H1492" s="4" t="n">
        <x:f>IF(AND(ISNUMBER(G1492),G1492&gt;0),('계산 과정'!$D$56+'계산 과정'!$D$57*D1492+'계산 과정'!$D$58*E1492)/F1492,"")</x:f>
        <x:v>-105.49974202200396</x:v>
      </x:c>
      <x:c r="I1492" s="4" t="n">
        <x:f>IF(AND(ISNUMBER(G1492),G1492&gt;0),('계산 과정'!$E$56+'계산 과정'!$E$57*D1492+'계산 과정'!$E$58*E1492)/F1492,"")</x:f>
        <x:v>-110.55227631195473</x:v>
      </x:c>
      <x:c r="J1492" s="4" t="n">
        <x:f>IF('계산 과정'!$L$5,'계산 과정'!$D$6+'계산 과정'!$C$35*D1492+'계산 과정'!$D$35*E1492,"")</x:f>
        <x:v>722.6043553033101</x:v>
      </x:c>
      <x:c r="K1492" s="4" t="n">
        <x:f>IF(AND('계산 과정'!$L$6,J1492&gt;0),'계산 과정'!$D$10*('계산 과정'!$C$38*(D1492-'계산 과정'!$C$32)+'계산 과정'!$D$38*(E1492-'계산 과정'!$D$32)-'계산 과정'!$E$38*'계산 과정'!$E$32)/J1492,"")</x:f>
        <x:v>-0.8038075582628865</x:v>
      </x:c>
      <x:c r="L1492" s="4" t="n">
        <x:f>IF(AND('계산 과정'!$L$6,J1492&gt;0),'계산 과정'!$D$10*('계산 과정'!$C$39*(D1492-'계산 과정'!$C$32)+'계산 과정'!$D$39*(E1492-'계산 과정'!$D$32)-'계산 과정'!$E$39*'계산 과정'!$E$32)/J1492,"")</x:f>
        <x:v>-0.8423030576148932</x:v>
      </x:c>
      <x:c r="M1492" s="17" t="n">
        <x:f>IF('계산 과정'!$L$6,IF(J1492&lt;=0,0,IF(AND(ABS(K1492)&lt;='계산 과정'!$D$11/2,ABS(L1492)&lt;='계산 과정'!$D$12/2),1,0)),"")</x:f>
        <x:v>1</x:v>
      </x:c>
      <x:c r="N1492" s="17" t="n">
        <x:f>IF('계산 과정'!$C$78,IF(AND(ISNUMBER(H1492),ISNUMBER(I1492),ABS(H1492-'계산 과정'!$C$88)&lt;='계산 과정'!$D$23/2,ABS(I1492-'계산 과정'!$C$89)&lt;='계산 과정'!$D$24/2),1,0),"")</x:f>
        <x:v>1</x:v>
      </x:c>
      <x:c r="O1492" s="4" t="n">
        <x:f>IF('계산 과정'!$L$7,'계산 과정'!$C$49*('계산 과정'!$C$32-D1492)+'계산 과정'!$D$49*('계산 과정'!$D$32-E1492)+'계산 과정'!$E$49*'계산 과정'!$E$32,"")</x:f>
        <x:v>-72.60435530331</x:v>
      </x:c>
      <x:c r="P1492" s="4" t="n">
        <x:f>IF(AND('계산 과정'!$L$7,O1492&lt;&gt;0),('계산 과정'!$L$23-'계산 과정'!$C$49*D1492-'계산 과정'!$D$49*E1492)/O1492,"")</x:f>
        <x:v>-4.509311367465087</x:v>
      </x:c>
      <x:c r="Q1492" s="4" t="str">
        <x:f>IF(AND(ISNUMBER(P1492),P1492&gt;1E-9,P1492&lt;1-1E-9),'계산 과정'!$C$47*(D1492-'계산 과정'!$C$50+P1492*('계산 과정'!$C$32-D1492))+'계산 과정'!$D$47*(E1492-'계산 과정'!$D$50+P1492*('계산 과정'!$D$32-E1492))+'계산 과정'!$E$47*(0-'계산 과정'!$E$50+P1492*('계산 과정'!$E$32-0)),"")</x:f>
      </x:c>
      <x:c r="R1492" s="4" t="str">
        <x:f>IF(AND(ISNUMBER(P1492),P1492&gt;1E-9,P1492&lt;1-1E-9),'계산 과정'!$C$48*(D1492-'계산 과정'!$C$50+P1492*('계산 과정'!$C$32-D1492))+'계산 과정'!$D$48*(E1492-'계산 과정'!$D$50+P1492*('계산 과정'!$D$32-E1492))+'계산 과정'!$E$48*(0-'계산 과정'!$E$50+P1492*('계산 과정'!$E$32-0)),"")</x:f>
      </x:c>
      <x:c r="S1492" s="17" t="n">
        <x:f>IF('계산 과정'!$C$78,IF(AND(ISNUMBER(Q1492),ISNUMBER(R1492),ABS(Q1492-'계산 과정'!$C$88)&lt;='계산 과정'!$D$23/2,ABS(R1492-'계산 과정'!$C$89)&lt;='계산 과정'!$D$24/2),1,0),"")</x:f>
        <x:v>0</x:v>
      </x:c>
      <x:c r="T1492" s="4"/>
      <x:c r="U1492" s="4"/>
      <x:c r="V1492" s="4"/>
      <x:c r="W1492" s="4"/>
      <x:c r="X1492" s="4"/>
      <x:c r="Y1492" s="4"/>
      <x:c r="Z1492" s="4"/>
    </x:row>
    <x:row r="1493" ht="23" customHeight="1">
      <x:c r="A1493" s="17" t="n">
        <x:f>ROW()-6</x:f>
        <x:v>1487</x:v>
      </x:c>
      <x:c r="B1493" s="4" t="n">
        <x:f>IF('계산 과정'!$L$5,'계산 과정'!$L$11*SQRT((A1493+0.5)/'계산 과정'!$L$30),"")</x:f>
        <x:v>127.83647009338728</x:v>
      </x:c>
      <x:c r="C1493" s="4" t="n">
        <x:f>A1493*PI()*(3-SQRT(5))</x:f>
        <x:v>3568.7453226065068</x:v>
      </x:c>
      <x:c r="D1493" s="4" t="n">
        <x:f>IF('계산 과정'!$L$5,B1493*COS(C1493),"")</x:f>
        <x:v>127.14665720691711</x:v>
      </x:c>
      <x:c r="E1493" s="4" t="n">
        <x:f>IF('계산 과정'!$L$5,B1493*SIN(C1493),"")</x:f>
        <x:v>-13.26237712645117</x:v>
      </x:c>
      <x:c r="F1493" s="4" t="n">
        <x:f>IF('계산 과정'!$L$7,'계산 과정'!$L$22+'계산 과정'!$C$49*D1493+'계산 과정'!$D$49*E1493,"")</x:f>
        <x:v>560.0937364837876</x:v>
      </x:c>
      <x:c r="G1493" s="4" t="n">
        <x:f>IF('계산 과정'!$L$7,IF(ABS(F1493)&gt;=1E-12*MAX(1,SQRT((D1493-'계산 과정'!$C$33)^2+(E1493-'계산 과정'!$D$33)^2+'계산 과정'!$E$33^2)),('계산 과정'!$L$23-'계산 과정'!$C$49*D1493-'계산 과정'!$D$49*E1493)/F1493,""),"")</x:f>
        <x:v>0.8746862026913478</x:v>
      </x:c>
      <x:c r="H1493" s="4" t="n">
        <x:f>IF(AND(ISNUMBER(G1493),G1493&gt;0),('계산 과정'!$D$56+'계산 과정'!$D$57*D1493+'계산 과정'!$D$58*E1493)/F1493,"")</x:f>
        <x:v>168.54603174937597</x:v>
      </x:c>
      <x:c r="I1493" s="4" t="n">
        <x:f>IF(AND(ISNUMBER(G1493),G1493&gt;0),('계산 과정'!$E$56+'계산 과정'!$E$57*D1493+'계산 과정'!$E$58*E1493)/F1493,"")</x:f>
        <x:v>-24.862795413847333</x:v>
      </x:c>
      <x:c r="J1493" s="4" t="n">
        <x:f>IF('계산 과정'!$L$5,'계산 과정'!$D$6+'계산 과정'!$C$35*D1493+'계산 과정'!$D$35*E1493,"")</x:f>
        <x:v>560.0937364837876</x:v>
      </x:c>
      <x:c r="K1493" s="4" t="n">
        <x:f>IF(AND('계산 과정'!$L$6,J1493&gt;0),'계산 과정'!$D$10*('계산 과정'!$C$38*(D1493-'계산 과정'!$C$32)+'계산 과정'!$D$38*(E1493-'계산 과정'!$D$32)-'계산 과정'!$E$38*'계산 과정'!$E$32)/J1493,"")</x:f>
        <x:v>1.2841602419000082</x:v>
      </x:c>
      <x:c r="L1493" s="4" t="n">
        <x:f>IF(AND('계산 과정'!$L$6,J1493&gt;0),'계산 과정'!$D$10*('계산 과정'!$C$39*(D1493-'계산 과정'!$C$32)+'계산 과정'!$D$39*(E1493-'계산 과정'!$D$32)-'계산 과정'!$E$39*'계산 과정'!$E$32)/J1493,"")</x:f>
        <x:v>-0.18943082220074156</x:v>
      </x:c>
      <x:c r="M1493" s="17" t="n">
        <x:f>IF('계산 과정'!$L$6,IF(J1493&lt;=0,0,IF(AND(ABS(K1493)&lt;='계산 과정'!$D$11/2,ABS(L1493)&lt;='계산 과정'!$D$12/2),1,0)),"")</x:f>
        <x:v>1</x:v>
      </x:c>
      <x:c r="N1493" s="17" t="n">
        <x:f>IF('계산 과정'!$C$78,IF(AND(ISNUMBER(H1493),ISNUMBER(I1493),ABS(H1493-'계산 과정'!$C$88)&lt;='계산 과정'!$D$23/2,ABS(I1493-'계산 과정'!$C$89)&lt;='계산 과정'!$D$24/2),1,0),"")</x:f>
        <x:v>1</x:v>
      </x:c>
      <x:c r="O1493" s="4" t="n">
        <x:f>IF('계산 과정'!$L$7,'계산 과정'!$C$49*('계산 과정'!$C$32-D1493)+'계산 과정'!$D$49*('계산 과정'!$D$32-E1493)+'계산 과정'!$E$49*'계산 과정'!$E$32,"")</x:f>
        <x:v>89.90626351621259</x:v>
      </x:c>
      <x:c r="P1493" s="4" t="n">
        <x:f>IF(AND('계산 과정'!$L$7,O1493&lt;&gt;0),('계산 과정'!$L$23-'계산 과정'!$C$49*D1493-'계산 과정'!$D$49*E1493)/O1493,"")</x:f>
        <x:v>5.449078232773725</x:v>
      </x:c>
      <x:c r="Q1493" s="4" t="str">
        <x:f>IF(AND(ISNUMBER(P1493),P1493&gt;1E-9,P1493&lt;1-1E-9),'계산 과정'!$C$47*(D1493-'계산 과정'!$C$50+P1493*('계산 과정'!$C$32-D1493))+'계산 과정'!$D$47*(E1493-'계산 과정'!$D$50+P1493*('계산 과정'!$D$32-E1493))+'계산 과정'!$E$47*(0-'계산 과정'!$E$50+P1493*('계산 과정'!$E$32-0)),"")</x:f>
      </x:c>
      <x:c r="R1493" s="4" t="str">
        <x:f>IF(AND(ISNUMBER(P1493),P1493&gt;1E-9,P1493&lt;1-1E-9),'계산 과정'!$C$48*(D1493-'계산 과정'!$C$50+P1493*('계산 과정'!$C$32-D1493))+'계산 과정'!$D$48*(E1493-'계산 과정'!$D$50+P1493*('계산 과정'!$D$32-E1493))+'계산 과정'!$E$48*(0-'계산 과정'!$E$50+P1493*('계산 과정'!$E$32-0)),"")</x:f>
      </x:c>
      <x:c r="S1493" s="17" t="n">
        <x:f>IF('계산 과정'!$C$78,IF(AND(ISNUMBER(Q1493),ISNUMBER(R1493),ABS(Q1493-'계산 과정'!$C$88)&lt;='계산 과정'!$D$23/2,ABS(R1493-'계산 과정'!$C$89)&lt;='계산 과정'!$D$24/2),1,0),"")</x:f>
        <x:v>0</x:v>
      </x:c>
      <x:c r="T1493" s="4"/>
      <x:c r="U1493" s="4"/>
      <x:c r="V1493" s="4"/>
      <x:c r="W1493" s="4"/>
      <x:c r="X1493" s="4"/>
      <x:c r="Y1493" s="4"/>
      <x:c r="Z1493" s="4"/>
    </x:row>
    <x:row r="1494" ht="23" customHeight="1">
      <x:c r="A1494" s="17" t="n">
        <x:f>ROW()-6</x:f>
        <x:v>1488</x:v>
      </x:c>
      <x:c r="B1494" s="4" t="n">
        <x:f>IF('계산 과정'!$L$5,'계산 과정'!$L$11*SQRT((A1494+0.5)/'계산 과정'!$L$30),"")</x:f>
        <x:v>127.87943311597257</x:v>
      </x:c>
      <x:c r="C1494" s="4" t="n">
        <x:f>A1494*PI()*(3-SQRT(5))</x:f>
        <x:v>3571.1452858362354</x:v>
      </x:c>
      <x:c r="D1494" s="4" t="n">
        <x:f>IF('계산 과정'!$L$5,B1494*COS(C1494),"")</x:f>
        <x:v>-84.82387880862618</x:v>
      </x:c>
      <x:c r="E1494" s="4" t="n">
        <x:f>IF('계산 과정'!$L$5,B1494*SIN(C1494),"")</x:f>
        <x:v>95.69774813401828</x:v>
      </x:c>
      <x:c r="F1494" s="4" t="n">
        <x:f>IF('계산 과정'!$L$7,'계산 과정'!$L$22+'계산 과정'!$C$49*D1494+'계산 과정'!$D$49*E1494,"")</x:f>
        <x:v>709.9795399121255</x:v>
      </x:c>
      <x:c r="G1494" s="4" t="n">
        <x:f>IF('계산 과정'!$L$7,IF(ABS(F1494)&gt;=1E-12*MAX(1,SQRT((D1494-'계산 과정'!$C$33)^2+(E1494-'계산 과정'!$D$33)^2+'계산 과정'!$E$33^2)),('계산 과정'!$L$23-'계산 과정'!$C$49*D1494-'계산 과정'!$D$49*E1494)/F1494,""),"")</x:f>
        <x:v>0.4789158573921145</x:v>
      </x:c>
      <x:c r="H1494" s="4" t="n">
        <x:f>IF(AND(ISNUMBER(G1494),G1494&gt;0),('계산 과정'!$D$56+'계산 과정'!$D$57*D1494+'계산 과정'!$D$58*E1494)/F1494,"")</x:f>
        <x:v>-88.7046926951257</x:v>
      </x:c>
      <x:c r="I1494" s="4" t="n">
        <x:f>IF(AND(ISNUMBER(G1494),G1494&gt;0),('계산 과정'!$E$56+'계산 과정'!$E$57*D1494+'계산 과정'!$E$58*E1494)/F1494,"")</x:f>
        <x:v>141.52891723211627</x:v>
      </x:c>
      <x:c r="J1494" s="4" t="n">
        <x:f>IF('계산 과정'!$L$5,'계산 과정'!$D$6+'계산 과정'!$C$35*D1494+'계산 과정'!$D$35*E1494,"")</x:f>
        <x:v>709.9795399121255</x:v>
      </x:c>
      <x:c r="K1494" s="4" t="n">
        <x:f>IF(AND('계산 과정'!$L$6,J1494&gt;0),'계산 과정'!$D$10*('계산 과정'!$C$38*(D1494-'계산 과정'!$C$32)+'계산 과정'!$D$38*(E1494-'계산 과정'!$D$32)-'계산 과정'!$E$38*'계산 과정'!$E$32)/J1494,"")</x:f>
        <x:v>-0.6758452776771473</x:v>
      </x:c>
      <x:c r="L1494" s="4" t="n">
        <x:f>IF(AND('계산 과정'!$L$6,J1494&gt;0),'계산 과정'!$D$10*('계산 과정'!$C$39*(D1494-'계산 과정'!$C$32)+'계산 과정'!$D$39*(E1494-'계산 과정'!$D$32)-'계산 과정'!$E$39*'계산 과정'!$E$32)/J1494,"")</x:f>
        <x:v>1.078315559863743</x:v>
      </x:c>
      <x:c r="M1494" s="17" t="n">
        <x:f>IF('계산 과정'!$L$6,IF(J1494&lt;=0,0,IF(AND(ABS(K1494)&lt;='계산 과정'!$D$11/2,ABS(L1494)&lt;='계산 과정'!$D$12/2),1,0)),"")</x:f>
        <x:v>1</x:v>
      </x:c>
      <x:c r="N1494" s="17" t="n">
        <x:f>IF('계산 과정'!$C$78,IF(AND(ISNUMBER(H1494),ISNUMBER(I1494),ABS(H1494-'계산 과정'!$C$88)&lt;='계산 과정'!$D$23/2,ABS(I1494-'계산 과정'!$C$89)&lt;='계산 과정'!$D$24/2),1,0),"")</x:f>
        <x:v>1</x:v>
      </x:c>
      <x:c r="O1494" s="4" t="n">
        <x:f>IF('계산 과정'!$L$7,'계산 과정'!$C$49*('계산 과정'!$C$32-D1494)+'계산 과정'!$D$49*('계산 과정'!$D$32-E1494)+'계산 과정'!$E$49*'계산 과정'!$E$32,"")</x:f>
        <x:v>-59.97953991212535</x:v>
      </x:c>
      <x:c r="P1494" s="4" t="n">
        <x:f>IF(AND('계산 과정'!$L$7,O1494&lt;&gt;0),('계산 과정'!$L$23-'계산 과정'!$C$49*D1494-'계산 과정'!$D$49*E1494)/O1494,"")</x:f>
        <x:v>-5.668940785241613</x:v>
      </x:c>
      <x:c r="Q1494" s="4" t="str">
        <x:f>IF(AND(ISNUMBER(P1494),P1494&gt;1E-9,P1494&lt;1-1E-9),'계산 과정'!$C$47*(D1494-'계산 과정'!$C$50+P1494*('계산 과정'!$C$32-D1494))+'계산 과정'!$D$47*(E1494-'계산 과정'!$D$50+P1494*('계산 과정'!$D$32-E1494))+'계산 과정'!$E$47*(0-'계산 과정'!$E$50+P1494*('계산 과정'!$E$32-0)),"")</x:f>
      </x:c>
      <x:c r="R1494" s="4" t="str">
        <x:f>IF(AND(ISNUMBER(P1494),P1494&gt;1E-9,P1494&lt;1-1E-9),'계산 과정'!$C$48*(D1494-'계산 과정'!$C$50+P1494*('계산 과정'!$C$32-D1494))+'계산 과정'!$D$48*(E1494-'계산 과정'!$D$50+P1494*('계산 과정'!$D$32-E1494))+'계산 과정'!$E$48*(0-'계산 과정'!$E$50+P1494*('계산 과정'!$E$32-0)),"")</x:f>
      </x:c>
      <x:c r="S1494" s="17" t="n">
        <x:f>IF('계산 과정'!$C$78,IF(AND(ISNUMBER(Q1494),ISNUMBER(R1494),ABS(Q1494-'계산 과정'!$C$88)&lt;='계산 과정'!$D$23/2,ABS(R1494-'계산 과정'!$C$89)&lt;='계산 과정'!$D$24/2),1,0),"")</x:f>
        <x:v>0</x:v>
      </x:c>
      <x:c r="T1494" s="4"/>
      <x:c r="U1494" s="4"/>
      <x:c r="V1494" s="4"/>
      <x:c r="W1494" s="4"/>
      <x:c r="X1494" s="4"/>
      <x:c r="Y1494" s="4"/>
      <x:c r="Z1494" s="4"/>
    </x:row>
    <x:row r="1495" ht="23" customHeight="1">
      <x:c r="A1495" s="17" t="n">
        <x:f>ROW()-6</x:f>
        <x:v>1489</x:v>
      </x:c>
      <x:c r="B1495" s="4" t="n">
        <x:f>IF('계산 과정'!$L$5,'계산 과정'!$L$11*SQRT((A1495+0.5)/'계산 과정'!$L$30),"")</x:f>
        <x:v>127.9223817093299</x:v>
      </x:c>
      <x:c r="C1495" s="4" t="n">
        <x:f>A1495*PI()*(3-SQRT(5))</x:f>
        <x:v>3573.545249065964</x:v>
      </x:c>
      <x:c r="D1495" s="4" t="n">
        <x:f>IF('계산 과정'!$L$5,B1495*COS(C1495),"")</x:f>
        <x:v>-2.0971157803973317</x:v>
      </x:c>
      <x:c r="E1495" s="4" t="n">
        <x:f>IF('계산 과정'!$L$5,B1495*SIN(C1495),"")</x:f>
        <x:v>-127.90519085475425</x:v>
      </x:c>
      <x:c r="F1495" s="4" t="n">
        <x:f>IF('계산 과정'!$L$7,'계산 과정'!$L$22+'계산 과정'!$C$49*D1495+'계산 과정'!$D$49*E1495,"")</x:f>
        <x:v>651.4828847892522</x:v>
      </x:c>
      <x:c r="G1495" s="4" t="n">
        <x:f>IF('계산 과정'!$L$7,IF(ABS(F1495)&gt;=1E-12*MAX(1,SQRT((D1495-'계산 과정'!$C$33)^2+(E1495-'계산 과정'!$D$33)^2+'계산 과정'!$E$33^2)),('계산 과정'!$L$23-'계산 과정'!$C$49*D1495-'계산 과정'!$D$49*E1495)/F1495,""),"")</x:f>
        <x:v>0.6117077278855357</x:v>
      </x:c>
      <x:c r="H1495" s="4" t="n">
        <x:f>IF(AND(ISNUMBER(G1495),G1495&gt;0),('계산 과정'!$D$56+'계산 과정'!$D$57*D1495+'계산 과정'!$D$58*E1495)/F1495,"")</x:f>
        <x:v>-2.3899768744019148</x:v>
      </x:c>
      <x:c r="I1495" s="4" t="n">
        <x:f>IF(AND(ISNUMBER(G1495),G1495&gt;0),('계산 과정'!$E$56+'계산 과정'!$E$57*D1495+'계산 과정'!$E$58*E1495)/F1495,"")</x:f>
        <x:v>-206.1457845372818</x:v>
      </x:c>
      <x:c r="J1495" s="4" t="n">
        <x:f>IF('계산 과정'!$L$5,'계산 과정'!$D$6+'계산 과정'!$C$35*D1495+'계산 과정'!$D$35*E1495,"")</x:f>
        <x:v>651.4828847892522</x:v>
      </x:c>
      <x:c r="K1495" s="4" t="n">
        <x:f>IF(AND('계산 과정'!$L$6,J1495&gt;0),'계산 과정'!$D$10*('계산 과정'!$C$38*(D1495-'계산 과정'!$C$32)+'계산 과정'!$D$38*(E1495-'계산 과정'!$D$32)-'계산 과정'!$E$38*'계산 과정'!$E$32)/J1495,"")</x:f>
        <x:v>-0.018209347614490203</x:v>
      </x:c>
      <x:c r="L1495" s="4" t="n">
        <x:f>IF(AND('계산 과정'!$L$6,J1495&gt;0),'계산 과정'!$D$10*('계산 과정'!$C$39*(D1495-'계산 과정'!$C$32)+'계산 과정'!$D$39*(E1495-'계산 과정'!$D$32)-'계산 과정'!$E$39*'계산 과정'!$E$32)/J1495,"")</x:f>
        <x:v>-1.5706345488554803</x:v>
      </x:c>
      <x:c r="M1495" s="17" t="n">
        <x:f>IF('계산 과정'!$L$6,IF(J1495&lt;=0,0,IF(AND(ABS(K1495)&lt;='계산 과정'!$D$11/2,ABS(L1495)&lt;='계산 과정'!$D$12/2),1,0)),"")</x:f>
        <x:v>1</x:v>
      </x:c>
      <x:c r="N1495" s="17" t="n">
        <x:f>IF('계산 과정'!$C$78,IF(AND(ISNUMBER(H1495),ISNUMBER(I1495),ABS(H1495-'계산 과정'!$C$88)&lt;='계산 과정'!$D$23/2,ABS(I1495-'계산 과정'!$C$89)&lt;='계산 과정'!$D$24/2),1,0),"")</x:f>
        <x:v>1</x:v>
      </x:c>
      <x:c r="O1495" s="4" t="n">
        <x:f>IF('계산 과정'!$L$7,'계산 과정'!$C$49*('계산 과정'!$C$32-D1495)+'계산 과정'!$D$49*('계산 과정'!$D$32-E1495)+'계산 과정'!$E$49*'계산 과정'!$E$32,"")</x:f>
        <x:v>-1.4828847892521821</x:v>
      </x:c>
      <x:c r="P1495" s="4" t="n">
        <x:f>IF(AND('계산 과정'!$L$7,O1495&lt;&gt;0),('계산 과정'!$L$23-'계산 과정'!$C$49*D1495-'계산 과정'!$D$49*E1495)/O1495,"")</x:f>
        <x:v>-268.7444891869986</x:v>
      </x:c>
      <x:c r="Q1495" s="4" t="str">
        <x:f>IF(AND(ISNUMBER(P1495),P1495&gt;1E-9,P1495&lt;1-1E-9),'계산 과정'!$C$47*(D1495-'계산 과정'!$C$50+P1495*('계산 과정'!$C$32-D1495))+'계산 과정'!$D$47*(E1495-'계산 과정'!$D$50+P1495*('계산 과정'!$D$32-E1495))+'계산 과정'!$E$47*(0-'계산 과정'!$E$50+P1495*('계산 과정'!$E$32-0)),"")</x:f>
      </x:c>
      <x:c r="R1495" s="4" t="str">
        <x:f>IF(AND(ISNUMBER(P1495),P1495&gt;1E-9,P1495&lt;1-1E-9),'계산 과정'!$C$48*(D1495-'계산 과정'!$C$50+P1495*('계산 과정'!$C$32-D1495))+'계산 과정'!$D$48*(E1495-'계산 과정'!$D$50+P1495*('계산 과정'!$D$32-E1495))+'계산 과정'!$E$48*(0-'계산 과정'!$E$50+P1495*('계산 과정'!$E$32-0)),"")</x:f>
      </x:c>
      <x:c r="S1495" s="17" t="n">
        <x:f>IF('계산 과정'!$C$78,IF(AND(ISNUMBER(Q1495),ISNUMBER(R1495),ABS(Q1495-'계산 과정'!$C$88)&lt;='계산 과정'!$D$23/2,ABS(R1495-'계산 과정'!$C$89)&lt;='계산 과정'!$D$24/2),1,0),"")</x:f>
        <x:v>0</x:v>
      </x:c>
      <x:c r="T1495" s="4"/>
      <x:c r="U1495" s="4"/>
      <x:c r="V1495" s="4"/>
      <x:c r="W1495" s="4"/>
      <x:c r="X1495" s="4"/>
      <x:c r="Y1495" s="4"/>
      <x:c r="Z1495" s="4"/>
    </x:row>
    <x:row r="1496" ht="23" customHeight="1">
      <x:c r="A1496" s="17" t="n">
        <x:f>ROW()-6</x:f>
        <x:v>1490</x:v>
      </x:c>
      <x:c r="B1496" s="4" t="n">
        <x:f>IF('계산 과정'!$L$5,'계산 과정'!$L$11*SQRT((A1496+0.5)/'계산 과정'!$L$30),"")</x:f>
        <x:v>127.9653158879878</x:v>
      </x:c>
      <x:c r="C1496" s="4" t="n">
        <x:f>A1496*PI()*(3-SQRT(5))</x:f>
        <x:v>3575.945212295693</x:v>
      </x:c>
      <x:c r="D1496" s="4" t="n">
        <x:f>IF('계산 과정'!$L$5,B1496*COS(C1496),"")</x:f>
        <x:v>87.97457963758437</x:v>
      </x:c>
      <x:c r="E1496" s="4" t="n">
        <x:f>IF('계산 과정'!$L$5,B1496*SIN(C1496),"")</x:f>
        <x:v>92.92790435548855</x:v>
      </x:c>
      <x:c r="F1496" s="4" t="n">
        <x:f>IF('계산 과정'!$L$7,'계산 과정'!$L$22+'계산 과정'!$C$49*D1496+'계산 과정'!$D$49*E1496,"")</x:f>
        <x:v>587.7925781662282</x:v>
      </x:c>
      <x:c r="G1496" s="4" t="n">
        <x:f>IF('계산 과정'!$L$7,IF(ABS(F1496)&gt;=1E-12*MAX(1,SQRT((D1496-'계산 과정'!$C$33)^2+(E1496-'계산 과정'!$D$33)^2+'계산 과정'!$E$33^2)),('계산 과정'!$L$23-'계산 과정'!$C$49*D1496-'계산 과정'!$D$49*E1496)/F1496,""),"")</x:f>
        <x:v>0.7863444333981694</x:v>
      </x:c>
      <x:c r="H1496" s="4" t="n">
        <x:f>IF(AND(ISNUMBER(G1496),G1496&gt;0),('계산 과정'!$D$56+'계산 과정'!$D$57*D1496+'계산 과정'!$D$58*E1496)/F1496,"")</x:f>
        <x:v>111.12388170881003</x:v>
      </x:c>
      <x:c r="I1496" s="4" t="n">
        <x:f>IF(AND(ISNUMBER(G1496),G1496&gt;0),('계산 과정'!$E$56+'계산 과정'!$E$57*D1496+'계산 과정'!$E$58*E1496)/F1496,"")</x:f>
        <x:v>166.00124465278446</x:v>
      </x:c>
      <x:c r="J1496" s="4" t="n">
        <x:f>IF('계산 과정'!$L$5,'계산 과정'!$D$6+'계산 과정'!$C$35*D1496+'계산 과정'!$D$35*E1496,"")</x:f>
        <x:v>587.7925781662282</x:v>
      </x:c>
      <x:c r="K1496" s="4" t="n">
        <x:f>IF(AND('계산 과정'!$L$6,J1496&gt;0),'계산 과정'!$D$10*('계산 과정'!$C$38*(D1496-'계산 과정'!$C$32)+'계산 과정'!$D$38*(E1496-'계산 과정'!$D$32)-'계산 과정'!$E$38*'계산 과정'!$E$32)/J1496,"")</x:f>
        <x:v>0.8466581463528392</x:v>
      </x:c>
      <x:c r="L1496" s="4" t="n">
        <x:f>IF(AND('계산 과정'!$L$6,J1496&gt;0),'계산 과정'!$D$10*('계산 과정'!$C$39*(D1496-'계산 과정'!$C$32)+'계산 과정'!$D$39*(E1496-'계산 과정'!$D$32)-'계산 과정'!$E$39*'계산 과정'!$E$32)/J1496,"")</x:f>
        <x:v>1.2647713878307387</x:v>
      </x:c>
      <x:c r="M1496" s="17" t="n">
        <x:f>IF('계산 과정'!$L$6,IF(J1496&lt;=0,0,IF(AND(ABS(K1496)&lt;='계산 과정'!$D$11/2,ABS(L1496)&lt;='계산 과정'!$D$12/2),1,0)),"")</x:f>
        <x:v>1</x:v>
      </x:c>
      <x:c r="N1496" s="17" t="n">
        <x:f>IF('계산 과정'!$C$78,IF(AND(ISNUMBER(H1496),ISNUMBER(I1496),ABS(H1496-'계산 과정'!$C$88)&lt;='계산 과정'!$D$23/2,ABS(I1496-'계산 과정'!$C$89)&lt;='계산 과정'!$D$24/2),1,0),"")</x:f>
        <x:v>1</x:v>
      </x:c>
      <x:c r="O1496" s="4" t="n">
        <x:f>IF('계산 과정'!$L$7,'계산 과정'!$C$49*('계산 과정'!$C$32-D1496)+'계산 과정'!$D$49*('계산 과정'!$D$32-E1496)+'계산 과정'!$E$49*'계산 과정'!$E$32,"")</x:f>
        <x:v>62.207421833772</x:v>
      </x:c>
      <x:c r="P1496" s="4" t="n">
        <x:f>IF(AND('계산 과정'!$L$7,O1496&lt;&gt;0),('계산 과정'!$L$23-'계산 과정'!$C$49*D1496-'계산 과정'!$D$49*E1496)/O1496,"")</x:f>
        <x:v>7.430100914145947</x:v>
      </x:c>
      <x:c r="Q1496" s="4" t="str">
        <x:f>IF(AND(ISNUMBER(P1496),P1496&gt;1E-9,P1496&lt;1-1E-9),'계산 과정'!$C$47*(D1496-'계산 과정'!$C$50+P1496*('계산 과정'!$C$32-D1496))+'계산 과정'!$D$47*(E1496-'계산 과정'!$D$50+P1496*('계산 과정'!$D$32-E1496))+'계산 과정'!$E$47*(0-'계산 과정'!$E$50+P1496*('계산 과정'!$E$32-0)),"")</x:f>
      </x:c>
      <x:c r="R1496" s="4" t="str">
        <x:f>IF(AND(ISNUMBER(P1496),P1496&gt;1E-9,P1496&lt;1-1E-9),'계산 과정'!$C$48*(D1496-'계산 과정'!$C$50+P1496*('계산 과정'!$C$32-D1496))+'계산 과정'!$D$48*(E1496-'계산 과정'!$D$50+P1496*('계산 과정'!$D$32-E1496))+'계산 과정'!$E$48*(0-'계산 과정'!$E$50+P1496*('계산 과정'!$E$32-0)),"")</x:f>
      </x:c>
      <x:c r="S1496" s="17" t="n">
        <x:f>IF('계산 과정'!$C$78,IF(AND(ISNUMBER(Q1496),ISNUMBER(R1496),ABS(Q1496-'계산 과정'!$C$88)&lt;='계산 과정'!$D$23/2,ABS(R1496-'계산 과정'!$C$89)&lt;='계산 과정'!$D$24/2),1,0),"")</x:f>
        <x:v>0</x:v>
      </x:c>
      <x:c r="T1496" s="4"/>
      <x:c r="U1496" s="4"/>
      <x:c r="V1496" s="4"/>
      <x:c r="W1496" s="4"/>
      <x:c r="X1496" s="4"/>
      <x:c r="Y1496" s="4"/>
      <x:c r="Z1496" s="4"/>
    </x:row>
    <x:row r="1497" ht="23" customHeight="1">
      <x:c r="A1497" s="17" t="n">
        <x:f>ROW()-6</x:f>
        <x:v>1491</x:v>
      </x:c>
      <x:c r="B1497" s="4" t="n">
        <x:f>IF('계산 과정'!$L$5,'계산 과정'!$L$11*SQRT((A1497+0.5)/'계산 과정'!$L$30),"")</x:f>
        <x:v>128.0082356664504</x:v>
      </x:c>
      <x:c r="C1497" s="4" t="n">
        <x:f>A1497*PI()*(3-SQRT(5))</x:f>
        <x:v>3578.3451755254214</x:v>
      </x:c>
      <x:c r="D1497" s="4" t="n">
        <x:f>IF('계산 과정'!$L$5,B1497*COS(C1497),"")</x:f>
        <x:v>-127.68442575347429</x:v>
      </x:c>
      <x:c r="E1497" s="4" t="n">
        <x:f>IF('계산 과정'!$L$5,B1497*SIN(C1497),"")</x:f>
        <x:v>-9.099220760208594</x:v>
      </x:c>
      <x:c r="F1497" s="4" t="n">
        <x:f>IF('계산 과정'!$L$7,'계산 과정'!$L$22+'계산 과정'!$C$49*D1497+'계산 과정'!$D$49*E1497,"")</x:f>
        <x:v>740.2865233021919</x:v>
      </x:c>
      <x:c r="G1497" s="4" t="n">
        <x:f>IF('계산 과정'!$L$7,IF(ABS(F1497)&gt;=1E-12*MAX(1,SQRT((D1497-'계산 과정'!$C$33)^2+(E1497-'계산 과정'!$D$33)^2+'계산 과정'!$E$33^2)),('계산 과정'!$L$23-'계산 과정'!$C$49*D1497-'계산 과정'!$D$49*E1497)/F1497,""),"")</x:f>
        <x:v>0.41836973516182757</x:v>
      </x:c>
      <x:c r="H1497" s="4" t="n">
        <x:f>IF(AND(ISNUMBER(G1497),G1497&gt;0),('계산 과정'!$D$56+'계산 과정'!$D$57*D1497+'계산 과정'!$D$58*E1497)/F1497,"")</x:f>
        <x:v>-128.05967214481225</x:v>
      </x:c>
      <x:c r="I1497" s="4" t="n">
        <x:f>IF(AND(ISNUMBER(G1497),G1497&gt;0),('계산 과정'!$E$56+'계산 과정'!$E$57*D1497+'계산 과정'!$E$58*E1497)/F1497,"")</x:f>
        <x:v>-12.906059339836068</x:v>
      </x:c>
      <x:c r="J1497" s="4" t="n">
        <x:f>IF('계산 과정'!$L$5,'계산 과정'!$D$6+'계산 과정'!$C$35*D1497+'계산 과정'!$D$35*E1497,"")</x:f>
        <x:v>740.2865233021919</x:v>
      </x:c>
      <x:c r="K1497" s="4" t="n">
        <x:f>IF(AND('계산 과정'!$L$6,J1497&gt;0),'계산 과정'!$D$10*('계산 과정'!$C$38*(D1497-'계산 과정'!$C$32)+'계산 과정'!$D$38*(E1497-'계산 과정'!$D$32)-'계산 과정'!$E$38*'계산 과정'!$E$32)/J1497,"")</x:f>
        <x:v>-0.9756927401509498</x:v>
      </x:c>
      <x:c r="L1497" s="4" t="n">
        <x:f>IF(AND('계산 과정'!$L$6,J1497&gt;0),'계산 과정'!$D$10*('계산 과정'!$C$39*(D1497-'계산 과정'!$C$32)+'계산 과정'!$D$39*(E1497-'계산 과정'!$D$32)-'계산 과정'!$E$39*'계산 과정'!$E$32)/J1497,"")</x:f>
        <x:v>-0.09833188068446527</x:v>
      </x:c>
      <x:c r="M1497" s="17" t="n">
        <x:f>IF('계산 과정'!$L$6,IF(J1497&lt;=0,0,IF(AND(ABS(K1497)&lt;='계산 과정'!$D$11/2,ABS(L1497)&lt;='계산 과정'!$D$12/2),1,0)),"")</x:f>
        <x:v>1</x:v>
      </x:c>
      <x:c r="N1497" s="17" t="n">
        <x:f>IF('계산 과정'!$C$78,IF(AND(ISNUMBER(H1497),ISNUMBER(I1497),ABS(H1497-'계산 과정'!$C$88)&lt;='계산 과정'!$D$23/2,ABS(I1497-'계산 과정'!$C$89)&lt;='계산 과정'!$D$24/2),1,0),"")</x:f>
        <x:v>1</x:v>
      </x:c>
      <x:c r="O1497" s="4" t="n">
        <x:f>IF('계산 과정'!$L$7,'계산 과정'!$C$49*('계산 과정'!$C$32-D1497)+'계산 과정'!$D$49*('계산 과정'!$D$32-E1497)+'계산 과정'!$E$49*'계산 과정'!$E$32,"")</x:f>
        <x:v>-90.28652330219182</x:v>
      </x:c>
      <x:c r="P1497" s="4" t="n">
        <x:f>IF(AND('계산 과정'!$L$7,O1497&lt;&gt;0),('계산 과정'!$L$23-'계산 과정'!$C$49*D1497-'계산 과정'!$D$49*E1497)/O1497,"")</x:f>
        <x:v>-3.430340048217245</x:v>
      </x:c>
      <x:c r="Q1497" s="4" t="str">
        <x:f>IF(AND(ISNUMBER(P1497),P1497&gt;1E-9,P1497&lt;1-1E-9),'계산 과정'!$C$47*(D1497-'계산 과정'!$C$50+P1497*('계산 과정'!$C$32-D1497))+'계산 과정'!$D$47*(E1497-'계산 과정'!$D$50+P1497*('계산 과정'!$D$32-E1497))+'계산 과정'!$E$47*(0-'계산 과정'!$E$50+P1497*('계산 과정'!$E$32-0)),"")</x:f>
      </x:c>
      <x:c r="R1497" s="4" t="str">
        <x:f>IF(AND(ISNUMBER(P1497),P1497&gt;1E-9,P1497&lt;1-1E-9),'계산 과정'!$C$48*(D1497-'계산 과정'!$C$50+P1497*('계산 과정'!$C$32-D1497))+'계산 과정'!$D$48*(E1497-'계산 과정'!$D$50+P1497*('계산 과정'!$D$32-E1497))+'계산 과정'!$E$48*(0-'계산 과정'!$E$50+P1497*('계산 과정'!$E$32-0)),"")</x:f>
      </x:c>
      <x:c r="S1497" s="17" t="n">
        <x:f>IF('계산 과정'!$C$78,IF(AND(ISNUMBER(Q1497),ISNUMBER(R1497),ABS(Q1497-'계산 과정'!$C$88)&lt;='계산 과정'!$D$23/2,ABS(R1497-'계산 과정'!$C$89)&lt;='계산 과정'!$D$24/2),1,0),"")</x:f>
        <x:v>0</x:v>
      </x:c>
      <x:c r="T1497" s="4"/>
      <x:c r="U1497" s="4"/>
      <x:c r="V1497" s="4"/>
      <x:c r="W1497" s="4"/>
      <x:c r="X1497" s="4"/>
      <x:c r="Y1497" s="4"/>
      <x:c r="Z1497" s="4"/>
    </x:row>
    <x:row r="1498" ht="23" customHeight="1">
      <x:c r="A1498" s="17" t="n">
        <x:f>ROW()-6</x:f>
        <x:v>1492</x:v>
      </x:c>
      <x:c r="B1498" s="4" t="n">
        <x:f>IF('계산 과정'!$L$5,'계산 과정'!$L$11*SQRT((A1498+0.5)/'계산 과정'!$L$30),"")</x:f>
        <x:v>128.0511410591975</x:v>
      </x:c>
      <x:c r="C1498" s="4" t="n">
        <x:f>A1498*PI()*(3-SQRT(5))</x:f>
        <x:v>3580.74513875515</x:v>
      </x:c>
      <x:c r="D1498" s="4" t="n">
        <x:f>IF('계산 과정'!$L$5,B1498*COS(C1498),"")</x:f>
        <x:v>100.33057428942219</x:v>
      </x:c>
      <x:c r="E1498" s="4" t="n">
        <x:f>IF('계산 과정'!$L$5,B1498*SIN(C1498),"")</x:f>
        <x:v>-79.56676812160487</x:v>
      </x:c>
      <x:c r="F1498" s="4" t="n">
        <x:f>IF('계산 과정'!$L$7,'계산 과정'!$L$22+'계산 과정'!$C$49*D1498+'계산 과정'!$D$49*E1498,"")</x:f>
        <x:v>579.0555705596089</x:v>
      </x:c>
      <x:c r="G1498" s="4" t="n">
        <x:f>IF('계산 과정'!$L$7,IF(ABS(F1498)&gt;=1E-12*MAX(1,SQRT((D1498-'계산 과정'!$C$33)^2+(E1498-'계산 과정'!$D$33)^2+'계산 과정'!$E$33^2)),('계산 과정'!$L$23-'계산 과정'!$C$49*D1498-'계산 과정'!$D$49*E1498)/F1498,""),"")</x:f>
        <x:v>0.8132974681260083</x:v>
      </x:c>
      <x:c r="H1498" s="4" t="n">
        <x:f>IF(AND(ISNUMBER(G1498),G1498&gt;0),('계산 과정'!$D$56+'계산 과정'!$D$57*D1498+'계산 과정'!$D$58*E1498)/F1498,"")</x:f>
        <x:v>128.64335428190535</x:v>
      </x:c>
      <x:c r="I1498" s="4" t="n">
        <x:f>IF(AND(ISNUMBER(G1498),G1498&gt;0),('계산 과정'!$E$56+'계산 과정'!$E$57*D1498+'계산 과정'!$E$58*E1498)/F1498,"")</x:f>
        <x:v>-144.2782191818753</x:v>
      </x:c>
      <x:c r="J1498" s="4" t="n">
        <x:f>IF('계산 과정'!$L$5,'계산 과정'!$D$6+'계산 과정'!$C$35*D1498+'계산 과정'!$D$35*E1498,"")</x:f>
        <x:v>579.0555705596089</x:v>
      </x:c>
      <x:c r="K1498" s="4" t="n">
        <x:f>IF(AND('계산 과정'!$L$6,J1498&gt;0),'계산 과정'!$D$10*('계산 과정'!$C$38*(D1498-'계산 과정'!$C$32)+'계산 과정'!$D$38*(E1498-'계산 과정'!$D$32)-'계산 과정'!$E$38*'계산 과정'!$E$32)/J1498,"")</x:f>
        <x:v>0.9801398421478513</x:v>
      </x:c>
      <x:c r="L1498" s="4" t="n">
        <x:f>IF(AND('계산 과정'!$L$6,J1498&gt;0),'계산 과정'!$D$10*('계산 과정'!$C$39*(D1498-'계산 과정'!$C$32)+'계산 과정'!$D$39*(E1498-'계산 과정'!$D$32)-'계산 과정'!$E$39*'계산 과정'!$E$32)/J1498,"")</x:f>
        <x:v>-1.0992626223380975</x:v>
      </x:c>
      <x:c r="M1498" s="17" t="n">
        <x:f>IF('계산 과정'!$L$6,IF(J1498&lt;=0,0,IF(AND(ABS(K1498)&lt;='계산 과정'!$D$11/2,ABS(L1498)&lt;='계산 과정'!$D$12/2),1,0)),"")</x:f>
        <x:v>1</x:v>
      </x:c>
      <x:c r="N1498" s="17" t="n">
        <x:f>IF('계산 과정'!$C$78,IF(AND(ISNUMBER(H1498),ISNUMBER(I1498),ABS(H1498-'계산 과정'!$C$88)&lt;='계산 과정'!$D$23/2,ABS(I1498-'계산 과정'!$C$89)&lt;='계산 과정'!$D$24/2),1,0),"")</x:f>
        <x:v>1</x:v>
      </x:c>
      <x:c r="O1498" s="4" t="n">
        <x:f>IF('계산 과정'!$L$7,'계산 과정'!$C$49*('계산 과정'!$C$32-D1498)+'계산 과정'!$D$49*('계산 과정'!$D$32-E1498)+'계산 과정'!$E$49*'계산 과정'!$E$32,"")</x:f>
        <x:v>70.94442944039122</x:v>
      </x:c>
      <x:c r="P1498" s="4" t="n">
        <x:f>IF(AND('계산 과정'!$L$7,O1498&lt;&gt;0),('계산 과정'!$L$23-'계산 과정'!$C$49*D1498-'계산 과정'!$D$49*E1498)/O1498,"")</x:f>
        <x:v>6.6382157578148835</x:v>
      </x:c>
      <x:c r="Q1498" s="4" t="str">
        <x:f>IF(AND(ISNUMBER(P1498),P1498&gt;1E-9,P1498&lt;1-1E-9),'계산 과정'!$C$47*(D1498-'계산 과정'!$C$50+P1498*('계산 과정'!$C$32-D1498))+'계산 과정'!$D$47*(E1498-'계산 과정'!$D$50+P1498*('계산 과정'!$D$32-E1498))+'계산 과정'!$E$47*(0-'계산 과정'!$E$50+P1498*('계산 과정'!$E$32-0)),"")</x:f>
      </x:c>
      <x:c r="R1498" s="4" t="str">
        <x:f>IF(AND(ISNUMBER(P1498),P1498&gt;1E-9,P1498&lt;1-1E-9),'계산 과정'!$C$48*(D1498-'계산 과정'!$C$50+P1498*('계산 과정'!$C$32-D1498))+'계산 과정'!$D$48*(E1498-'계산 과정'!$D$50+P1498*('계산 과정'!$D$32-E1498))+'계산 과정'!$E$48*(0-'계산 과정'!$E$50+P1498*('계산 과정'!$E$32-0)),"")</x:f>
      </x:c>
      <x:c r="S1498" s="17" t="n">
        <x:f>IF('계산 과정'!$C$78,IF(AND(ISNUMBER(Q1498),ISNUMBER(R1498),ABS(Q1498-'계산 과정'!$C$88)&lt;='계산 과정'!$D$23/2,ABS(R1498-'계산 과정'!$C$89)&lt;='계산 과정'!$D$24/2),1,0),"")</x:f>
        <x:v>0</x:v>
      </x:c>
      <x:c r="T1498" s="4"/>
      <x:c r="U1498" s="4"/>
      <x:c r="V1498" s="4"/>
      <x:c r="W1498" s="4"/>
      <x:c r="X1498" s="4"/>
      <x:c r="Y1498" s="4"/>
      <x:c r="Z1498" s="4"/>
    </x:row>
    <x:row r="1499" ht="23" customHeight="1">
      <x:c r="A1499" s="17" t="n">
        <x:f>ROW()-6</x:f>
        <x:v>1493</x:v>
      </x:c>
      <x:c r="B1499" s="4" t="n">
        <x:f>IF('계산 과정'!$L$5,'계산 과정'!$L$11*SQRT((A1499+0.5)/'계산 과정'!$L$30),"")</x:f>
        <x:v>128.09403208068477</x:v>
      </x:c>
      <x:c r="C1499" s="4" t="n">
        <x:f>A1499*PI()*(3-SQRT(5))</x:f>
        <x:v>3583.145101984879</x:v>
      </x:c>
      <x:c r="D1499" s="4" t="n">
        <x:f>IF('계산 과정'!$L$5,B1499*COS(C1499),"")</x:f>
        <x:v>-20.24084083454059</x:v>
      </x:c>
      <x:c r="E1499" s="4" t="n">
        <x:f>IF('계산 과정'!$L$5,B1499*SIN(C1499),"")</x:f>
        <x:v>126.48473985820698</x:v>
      </x:c>
      <x:c r="F1499" s="4" t="n">
        <x:f>IF('계산 과정'!$L$7,'계산 과정'!$L$22+'계산 과정'!$C$49*D1499+'계산 과정'!$D$49*E1499,"")</x:f>
        <x:v>664.3124358110213</x:v>
      </x:c>
      <x:c r="G1499" s="4" t="n">
        <x:f>IF('계산 과정'!$L$7,IF(ABS(F1499)&gt;=1E-12*MAX(1,SQRT((D1499-'계산 과정'!$C$33)^2+(E1499-'계산 과정'!$D$33)^2+'계산 과정'!$E$33^2)),('계산 과정'!$L$23-'계산 과정'!$C$49*D1499-'계산 과정'!$D$49*E1499)/F1499,""),"")</x:f>
        <x:v>0.5805815808913991</x:v>
      </x:c>
      <x:c r="H1499" s="4" t="n">
        <x:f>IF(AND(ISNUMBER(G1499),G1499&gt;0),('계산 과정'!$D$56+'계산 과정'!$D$57*D1499+'계산 과정'!$D$58*E1499)/F1499,"")</x:f>
        <x:v>-22.621972420590726</x:v>
      </x:c>
      <x:c r="I1499" s="4" t="n">
        <x:f>IF(AND(ISNUMBER(G1499),G1499&gt;0),('계산 과정'!$E$56+'계산 과정'!$E$57*D1499+'계산 과정'!$E$58*E1499)/F1499,"")</x:f>
        <x:v>199.91945008372213</x:v>
      </x:c>
      <x:c r="J1499" s="4" t="n">
        <x:f>IF('계산 과정'!$L$5,'계산 과정'!$D$6+'계산 과정'!$C$35*D1499+'계산 과정'!$D$35*E1499,"")</x:f>
        <x:v>664.3124358110213</x:v>
      </x:c>
      <x:c r="K1499" s="4" t="n">
        <x:f>IF(AND('계산 과정'!$L$6,J1499&gt;0),'계산 과정'!$D$10*('계산 과정'!$C$38*(D1499-'계산 과정'!$C$32)+'계산 과정'!$D$38*(E1499-'계산 과정'!$D$32)-'계산 과정'!$E$38*'계산 과정'!$E$32)/J1499,"")</x:f>
        <x:v>-0.17235788510926145</x:v>
      </x:c>
      <x:c r="L1499" s="4" t="n">
        <x:f>IF(AND('계산 과정'!$L$6,J1499&gt;0),'계산 과정'!$D$10*('계산 과정'!$C$39*(D1499-'계산 과정'!$C$32)+'계산 과정'!$D$39*(E1499-'계산 과정'!$D$32)-'계산 과정'!$E$39*'계산 과정'!$E$32)/J1499,"")</x:f>
        <x:v>1.5231958101616925</x:v>
      </x:c>
      <x:c r="M1499" s="17" t="n">
        <x:f>IF('계산 과정'!$L$6,IF(J1499&lt;=0,0,IF(AND(ABS(K1499)&lt;='계산 과정'!$D$11/2,ABS(L1499)&lt;='계산 과정'!$D$12/2),1,0)),"")</x:f>
        <x:v>1</x:v>
      </x:c>
      <x:c r="N1499" s="17" t="n">
        <x:f>IF('계산 과정'!$C$78,IF(AND(ISNUMBER(H1499),ISNUMBER(I1499),ABS(H1499-'계산 과정'!$C$88)&lt;='계산 과정'!$D$23/2,ABS(I1499-'계산 과정'!$C$89)&lt;='계산 과정'!$D$24/2),1,0),"")</x:f>
        <x:v>1</x:v>
      </x:c>
      <x:c r="O1499" s="4" t="n">
        <x:f>IF('계산 과정'!$L$7,'계산 과정'!$C$49*('계산 과정'!$C$32-D1499)+'계산 과정'!$D$49*('계산 과정'!$D$32-E1499)+'계산 과정'!$E$49*'계산 과정'!$E$32,"")</x:f>
        <x:v>-14.31243581102109</x:v>
      </x:c>
      <x:c r="P1499" s="4" t="n">
        <x:f>IF(AND('계산 과정'!$L$7,O1499&lt;&gt;0),('계산 과정'!$L$23-'계산 과정'!$C$49*D1499-'계산 과정'!$D$49*E1499)/O1499,"")</x:f>
        <x:v>-26.947723593770498</x:v>
      </x:c>
      <x:c r="Q1499" s="4" t="str">
        <x:f>IF(AND(ISNUMBER(P1499),P1499&gt;1E-9,P1499&lt;1-1E-9),'계산 과정'!$C$47*(D1499-'계산 과정'!$C$50+P1499*('계산 과정'!$C$32-D1499))+'계산 과정'!$D$47*(E1499-'계산 과정'!$D$50+P1499*('계산 과정'!$D$32-E1499))+'계산 과정'!$E$47*(0-'계산 과정'!$E$50+P1499*('계산 과정'!$E$32-0)),"")</x:f>
      </x:c>
      <x:c r="R1499" s="4" t="str">
        <x:f>IF(AND(ISNUMBER(P1499),P1499&gt;1E-9,P1499&lt;1-1E-9),'계산 과정'!$C$48*(D1499-'계산 과정'!$C$50+P1499*('계산 과정'!$C$32-D1499))+'계산 과정'!$D$48*(E1499-'계산 과정'!$D$50+P1499*('계산 과정'!$D$32-E1499))+'계산 과정'!$E$48*(0-'계산 과정'!$E$50+P1499*('계산 과정'!$E$32-0)),"")</x:f>
      </x:c>
      <x:c r="S1499" s="17" t="n">
        <x:f>IF('계산 과정'!$C$78,IF(AND(ISNUMBER(Q1499),ISNUMBER(R1499),ABS(Q1499-'계산 과정'!$C$88)&lt;='계산 과정'!$D$23/2,ABS(R1499-'계산 과정'!$C$89)&lt;='계산 과정'!$D$24/2),1,0),"")</x:f>
        <x:v>0</x:v>
      </x:c>
      <x:c r="T1499" s="4"/>
      <x:c r="U1499" s="4"/>
      <x:c r="V1499" s="4"/>
      <x:c r="W1499" s="4"/>
      <x:c r="X1499" s="4"/>
      <x:c r="Y1499" s="4"/>
      <x:c r="Z1499" s="4"/>
    </x:row>
    <x:row r="1500" ht="23" customHeight="1">
      <x:c r="A1500" s="17" t="n">
        <x:f>ROW()-6</x:f>
        <x:v>1494</x:v>
      </x:c>
      <x:c r="B1500" s="4" t="n">
        <x:f>IF('계산 과정'!$L$5,'계산 과정'!$L$11*SQRT((A1500+0.5)/'계산 과정'!$L$30),"")</x:f>
        <x:v>128.13690874534353</x:v>
      </x:c>
      <x:c r="C1500" s="4" t="n">
        <x:f>A1500*PI()*(3-SQRT(5))</x:f>
        <x:v>3585.5450652146073</x:v>
      </x:c>
      <x:c r="D1500" s="4" t="n">
        <x:f>IF('계산 과정'!$L$5,B1500*COS(C1500),"")</x:f>
        <x:v>-70.53785114517613</x:v>
      </x:c>
      <x:c r="E1500" s="4" t="n">
        <x:f>IF('계산 과정'!$L$5,B1500*SIN(C1500),"")</x:f>
        <x:v>-106.9741975367587</x:v>
      </x:c>
      <x:c r="F1500" s="4" t="n">
        <x:f>IF('계산 과정'!$L$7,'계산 과정'!$L$22+'계산 과정'!$C$49*D1500+'계산 과정'!$D$49*E1500,"")</x:f>
        <x:v>699.8777928750814</x:v>
      </x:c>
      <x:c r="G1500" s="4" t="n">
        <x:f>IF('계산 과정'!$L$7,IF(ABS(F1500)&gt;=1E-12*MAX(1,SQRT((D1500-'계산 과정'!$C$33)^2+(E1500-'계산 과정'!$D$33)^2+'계산 과정'!$E$33^2)),('계산 과정'!$L$23-'계산 과정'!$C$49*D1500-'계산 과정'!$D$49*E1500)/F1500,""),"")</x:f>
        <x:v>0.5002619181366292</x:v>
      </x:c>
      <x:c r="H1500" s="4" t="n">
        <x:f>IF(AND(ISNUMBER(G1500),G1500&gt;0),('계산 과정'!$D$56+'계산 과정'!$D$57*D1500+'계산 과정'!$D$58*E1500)/F1500,"")</x:f>
        <x:v>-74.82975321119112</x:v>
      </x:c>
      <x:c r="I1500" s="4" t="n">
        <x:f>IF(AND(ISNUMBER(G1500),G1500&gt;0),('계산 과정'!$E$56+'계산 과정'!$E$57*D1500+'계산 과정'!$E$58*E1500)/F1500,"")</x:f>
        <x:v>-160.48931478762427</x:v>
      </x:c>
      <x:c r="J1500" s="4" t="n">
        <x:f>IF('계산 과정'!$L$5,'계산 과정'!$D$6+'계산 과정'!$C$35*D1500+'계산 과정'!$D$35*E1500,"")</x:f>
        <x:v>699.8777928750814</x:v>
      </x:c>
      <x:c r="K1500" s="4" t="n">
        <x:f>IF(AND('계산 과정'!$L$6,J1500&gt;0),'계산 과정'!$D$10*('계산 과정'!$C$38*(D1500-'계산 과정'!$C$32)+'계산 과정'!$D$38*(E1500-'계산 과정'!$D$32)-'계산 과정'!$E$38*'계산 과정'!$E$32)/J1500,"")</x:f>
        <x:v>-0.5701314530376455</x:v>
      </x:c>
      <x:c r="L1500" s="4" t="n">
        <x:f>IF(AND('계산 과정'!$L$6,J1500&gt;0),'계산 과정'!$D$10*('계산 과정'!$C$39*(D1500-'계산 과정'!$C$32)+'계산 과정'!$D$39*(E1500-'계산 과정'!$D$32)-'계산 과정'!$E$39*'계산 과정'!$E$32)/J1500,"")</x:f>
        <x:v>-1.2227757317152326</x:v>
      </x:c>
      <x:c r="M1500" s="17" t="n">
        <x:f>IF('계산 과정'!$L$6,IF(J1500&lt;=0,0,IF(AND(ABS(K1500)&lt;='계산 과정'!$D$11/2,ABS(L1500)&lt;='계산 과정'!$D$12/2),1,0)),"")</x:f>
        <x:v>1</x:v>
      </x:c>
      <x:c r="N1500" s="17" t="n">
        <x:f>IF('계산 과정'!$C$78,IF(AND(ISNUMBER(H1500),ISNUMBER(I1500),ABS(H1500-'계산 과정'!$C$88)&lt;='계산 과정'!$D$23/2,ABS(I1500-'계산 과정'!$C$89)&lt;='계산 과정'!$D$24/2),1,0),"")</x:f>
        <x:v>1</x:v>
      </x:c>
      <x:c r="O1500" s="4" t="n">
        <x:f>IF('계산 과정'!$L$7,'계산 과정'!$C$49*('계산 과정'!$C$32-D1500)+'계산 과정'!$D$49*('계산 과정'!$D$32-E1500)+'계산 과정'!$E$49*'계산 과정'!$E$32,"")</x:f>
        <x:v>-49.877792875081184</x:v>
      </x:c>
      <x:c r="P1500" s="4" t="n">
        <x:f>IF(AND('계산 과정'!$L$7,O1500&lt;&gt;0),('계산 과정'!$L$23-'계산 과정'!$C$49*D1500-'계산 과정'!$D$49*E1500)/O1500,"")</x:f>
        <x:v>-7.019601047740804</x:v>
      </x:c>
      <x:c r="Q1500" s="4" t="str">
        <x:f>IF(AND(ISNUMBER(P1500),P1500&gt;1E-9,P1500&lt;1-1E-9),'계산 과정'!$C$47*(D1500-'계산 과정'!$C$50+P1500*('계산 과정'!$C$32-D1500))+'계산 과정'!$D$47*(E1500-'계산 과정'!$D$50+P1500*('계산 과정'!$D$32-E1500))+'계산 과정'!$E$47*(0-'계산 과정'!$E$50+P1500*('계산 과정'!$E$32-0)),"")</x:f>
      </x:c>
      <x:c r="R1500" s="4" t="str">
        <x:f>IF(AND(ISNUMBER(P1500),P1500&gt;1E-9,P1500&lt;1-1E-9),'계산 과정'!$C$48*(D1500-'계산 과정'!$C$50+P1500*('계산 과정'!$C$32-D1500))+'계산 과정'!$D$48*(E1500-'계산 과정'!$D$50+P1500*('계산 과정'!$D$32-E1500))+'계산 과정'!$E$48*(0-'계산 과정'!$E$50+P1500*('계산 과정'!$E$32-0)),"")</x:f>
      </x:c>
      <x:c r="S1500" s="17" t="n">
        <x:f>IF('계산 과정'!$C$78,IF(AND(ISNUMBER(Q1500),ISNUMBER(R1500),ABS(Q1500-'계산 과정'!$C$88)&lt;='계산 과정'!$D$23/2,ABS(R1500-'계산 과정'!$C$89)&lt;='계산 과정'!$D$24/2),1,0),"")</x:f>
        <x:v>0</x:v>
      </x:c>
      <x:c r="T1500" s="4"/>
      <x:c r="U1500" s="4"/>
      <x:c r="V1500" s="4"/>
      <x:c r="W1500" s="4"/>
      <x:c r="X1500" s="4"/>
      <x:c r="Y1500" s="4"/>
      <x:c r="Z1500" s="4"/>
    </x:row>
    <x:row r="1501" ht="23" customHeight="1">
      <x:c r="A1501" s="17" t="n">
        <x:f>ROW()-6</x:f>
        <x:v>1495</x:v>
      </x:c>
      <x:c r="B1501" s="4" t="n">
        <x:f>IF('계산 과정'!$L$5,'계산 과정'!$L$11*SQRT((A1501+0.5)/'계산 과정'!$L$30),"")</x:f>
        <x:v>128.1797710675811</x:v>
      </x:c>
      <x:c r="C1501" s="4" t="n">
        <x:f>A1501*PI()*(3-SQRT(5))</x:f>
        <x:v>3587.945028444336</x:v>
      </x:c>
      <x:c r="D1501" s="4" t="n">
        <x:f>IF('계산 과정'!$L$5,B1501*COS(C1501),"")</x:f>
        <x:v>124.31401797782782</x:v>
      </x:c>
      <x:c r="E1501" s="4" t="n">
        <x:f>IF('계산 과정'!$L$5,B1501*SIN(C1501),"")</x:f>
        <x:v>31.242257363158025</x:v>
      </x:c>
      <x:c r="F1501" s="4" t="n">
        <x:f>IF('계산 과정'!$L$7,'계산 과정'!$L$22+'계산 과정'!$C$49*D1501+'계산 과정'!$D$49*E1501,"")</x:f>
        <x:v>562.0967148913315</x:v>
      </x:c>
      <x:c r="G1501" s="4" t="n">
        <x:f>IF('계산 과정'!$L$7,IF(ABS(F1501)&gt;=1E-12*MAX(1,SQRT((D1501-'계산 과정'!$C$33)^2+(E1501-'계산 과정'!$D$33)^2+'계산 과정'!$E$33^2)),('계산 과정'!$L$23-'계산 과정'!$C$49*D1501-'계산 과정'!$D$49*E1501)/F1501,""),"")</x:f>
        <x:v>0.8680059359588915</x:v>
      </x:c>
      <x:c r="H1501" s="4" t="n">
        <x:f>IF(AND(ISNUMBER(G1501),G1501&gt;0),('계산 과정'!$D$56+'계산 과정'!$D$57*D1501+'계산 과정'!$D$58*E1501)/F1501,"")</x:f>
        <x:v>164.2038583732794</x:v>
      </x:c>
      <x:c r="I1501" s="4" t="n">
        <x:f>IF(AND(ISNUMBER(G1501),G1501&gt;0),('계산 과정'!$E$56+'계산 과정'!$E$57*D1501+'계산 과정'!$E$58*E1501)/F1501,"")</x:f>
        <x:v>58.36072220713457</x:v>
      </x:c>
      <x:c r="J1501" s="4" t="n">
        <x:f>IF('계산 과정'!$L$5,'계산 과정'!$D$6+'계산 과정'!$C$35*D1501+'계산 과정'!$D$35*E1501,"")</x:f>
        <x:v>562.0967148913315</x:v>
      </x:c>
      <x:c r="K1501" s="4" t="n">
        <x:f>IF(AND('계산 과정'!$L$6,J1501&gt;0),'계산 과정'!$D$10*('계산 과정'!$C$38*(D1501-'계산 과정'!$C$32)+'계산 과정'!$D$38*(E1501-'계산 과정'!$D$32)-'계산 과정'!$E$38*'계산 과정'!$E$32)/J1501,"")</x:f>
        <x:v>1.2510770161773672</x:v>
      </x:c>
      <x:c r="L1501" s="4" t="n">
        <x:f>IF(AND('계산 과정'!$L$6,J1501&gt;0),'계산 과정'!$D$10*('계산 과정'!$C$39*(D1501-'계산 과정'!$C$32)+'계산 과정'!$D$39*(E1501-'계산 과정'!$D$32)-'계산 과정'!$E$39*'계산 과정'!$E$32)/J1501,"")</x:f>
        <x:v>0.4446531215781682</x:v>
      </x:c>
      <x:c r="M1501" s="17" t="n">
        <x:f>IF('계산 과정'!$L$6,IF(J1501&lt;=0,0,IF(AND(ABS(K1501)&lt;='계산 과정'!$D$11/2,ABS(L1501)&lt;='계산 과정'!$D$12/2),1,0)),"")</x:f>
        <x:v>1</x:v>
      </x:c>
      <x:c r="N1501" s="17" t="n">
        <x:f>IF('계산 과정'!$C$78,IF(AND(ISNUMBER(H1501),ISNUMBER(I1501),ABS(H1501-'계산 과정'!$C$88)&lt;='계산 과정'!$D$23/2,ABS(I1501-'계산 과정'!$C$89)&lt;='계산 과정'!$D$24/2),1,0),"")</x:f>
        <x:v>1</x:v>
      </x:c>
      <x:c r="O1501" s="4" t="n">
        <x:f>IF('계산 과정'!$L$7,'계산 과정'!$C$49*('계산 과정'!$C$32-D1501)+'계산 과정'!$D$49*('계산 과정'!$D$32-E1501)+'계산 과정'!$E$49*'계산 과정'!$E$32,"")</x:f>
        <x:v>87.90328510866851</x:v>
      </x:c>
      <x:c r="P1501" s="4" t="n">
        <x:f>IF(AND('계산 과정'!$L$7,O1501&lt;&gt;0),('계산 과정'!$L$23-'계산 과정'!$C$49*D1501-'계산 과정'!$D$49*E1501)/O1501,"")</x:f>
        <x:v>5.550455645719141</x:v>
      </x:c>
      <x:c r="Q1501" s="4" t="str">
        <x:f>IF(AND(ISNUMBER(P1501),P1501&gt;1E-9,P1501&lt;1-1E-9),'계산 과정'!$C$47*(D1501-'계산 과정'!$C$50+P1501*('계산 과정'!$C$32-D1501))+'계산 과정'!$D$47*(E1501-'계산 과정'!$D$50+P1501*('계산 과정'!$D$32-E1501))+'계산 과정'!$E$47*(0-'계산 과정'!$E$50+P1501*('계산 과정'!$E$32-0)),"")</x:f>
      </x:c>
      <x:c r="R1501" s="4" t="str">
        <x:f>IF(AND(ISNUMBER(P1501),P1501&gt;1E-9,P1501&lt;1-1E-9),'계산 과정'!$C$48*(D1501-'계산 과정'!$C$50+P1501*('계산 과정'!$C$32-D1501))+'계산 과정'!$D$48*(E1501-'계산 과정'!$D$50+P1501*('계산 과정'!$D$32-E1501))+'계산 과정'!$E$48*(0-'계산 과정'!$E$50+P1501*('계산 과정'!$E$32-0)),"")</x:f>
      </x:c>
      <x:c r="S1501" s="17" t="n">
        <x:f>IF('계산 과정'!$C$78,IF(AND(ISNUMBER(Q1501),ISNUMBER(R1501),ABS(Q1501-'계산 과정'!$C$88)&lt;='계산 과정'!$D$23/2,ABS(R1501-'계산 과정'!$C$89)&lt;='계산 과정'!$D$24/2),1,0),"")</x:f>
        <x:v>0</x:v>
      </x:c>
      <x:c r="T1501" s="4"/>
      <x:c r="U1501" s="4"/>
      <x:c r="V1501" s="4"/>
      <x:c r="W1501" s="4"/>
      <x:c r="X1501" s="4"/>
      <x:c r="Y1501" s="4"/>
      <x:c r="Z1501" s="4"/>
    </x:row>
    <x:row r="1502" ht="23" customHeight="1">
      <x:c r="A1502" s="17" t="n">
        <x:f>ROW()-6</x:f>
        <x:v>1496</x:v>
      </x:c>
      <x:c r="B1502" s="4" t="n">
        <x:f>IF('계산 과정'!$L$5,'계산 과정'!$L$11*SQRT((A1502+0.5)/'계산 과정'!$L$30),"")</x:f>
        <x:v>128.2226190617806</x:v>
      </x:c>
      <x:c r="C1502" s="4" t="n">
        <x:f>A1502*PI()*(3-SQRT(5))</x:f>
        <x:v>3590.344991674065</x:v>
      </x:c>
      <x:c r="D1502" s="4" t="n">
        <x:f>IF('계산 과정'!$L$5,B1502*COS(C1502),"")</x:f>
        <x:v>-112.80682610309258</x:v>
      </x:c>
      <x:c r="E1502" s="4" t="n">
        <x:f>IF('계산 과정'!$L$5,B1502*SIN(C1502),"")</x:f>
        <x:v>60.95621398683754</x:v>
      </x:c>
      <x:c r="F1502" s="4" t="n">
        <x:f>IF('계산 과정'!$L$7,'계산 과정'!$L$22+'계산 과정'!$C$49*D1502+'계산 과정'!$D$49*E1502,"")</x:f>
        <x:v>729.7664717016283</x:v>
      </x:c>
      <x:c r="G1502" s="4" t="n">
        <x:f>IF('계산 과정'!$L$7,IF(ABS(F1502)&gt;=1E-12*MAX(1,SQRT((D1502-'계산 과정'!$C$33)^2+(E1502-'계산 과정'!$D$33)^2+'계산 과정'!$E$33^2)),('계산 과정'!$L$23-'계산 과정'!$C$49*D1502-'계산 과정'!$D$49*E1502)/F1502,""),"")</x:f>
        <x:v>0.43881644432316697</x:v>
      </x:c>
      <x:c r="H1502" s="4" t="n">
        <x:f>IF(AND(ISNUMBER(G1502),G1502&gt;0),('계산 과정'!$D$56+'계산 과정'!$D$57*D1502+'계산 과정'!$D$58*E1502)/F1502,"")</x:f>
        <x:v>-114.76931118994162</x:v>
      </x:c>
      <x:c r="I1502" s="4" t="n">
        <x:f>IF(AND(ISNUMBER(G1502),G1502&gt;0),('계산 과정'!$E$56+'계산 과정'!$E$57*D1502+'계산 과정'!$E$58*E1502)/F1502,"")</x:f>
        <x:v>87.70480306794369</x:v>
      </x:c>
      <x:c r="J1502" s="4" t="n">
        <x:f>IF('계산 과정'!$L$5,'계산 과정'!$D$6+'계산 과정'!$C$35*D1502+'계산 과정'!$D$35*E1502,"")</x:f>
        <x:v>729.7664717016283</x:v>
      </x:c>
      <x:c r="K1502" s="4" t="n">
        <x:f>IF(AND('계산 과정'!$L$6,J1502&gt;0),'계산 과정'!$D$10*('계산 과정'!$C$38*(D1502-'계산 과정'!$C$32)+'계산 과정'!$D$38*(E1502-'계산 과정'!$D$32)-'계산 과정'!$E$38*'계산 과정'!$E$32)/J1502,"")</x:f>
        <x:v>-0.8744328471614591</x:v>
      </x:c>
      <x:c r="L1502" s="4" t="n">
        <x:f>IF(AND('계산 과정'!$L$6,J1502&gt;0),'계산 과정'!$D$10*('계산 과정'!$C$39*(D1502-'계산 과정'!$C$32)+'계산 과정'!$D$39*(E1502-'계산 과정'!$D$32)-'계산 과정'!$E$39*'계산 과정'!$E$32)/J1502,"")</x:f>
        <x:v>0.6682270709938567</x:v>
      </x:c>
      <x:c r="M1502" s="17" t="n">
        <x:f>IF('계산 과정'!$L$6,IF(J1502&lt;=0,0,IF(AND(ABS(K1502)&lt;='계산 과정'!$D$11/2,ABS(L1502)&lt;='계산 과정'!$D$12/2),1,0)),"")</x:f>
        <x:v>1</x:v>
      </x:c>
      <x:c r="N1502" s="17" t="n">
        <x:f>IF('계산 과정'!$C$78,IF(AND(ISNUMBER(H1502),ISNUMBER(I1502),ABS(H1502-'계산 과정'!$C$88)&lt;='계산 과정'!$D$23/2,ABS(I1502-'계산 과정'!$C$89)&lt;='계산 과정'!$D$24/2),1,0),"")</x:f>
        <x:v>1</x:v>
      </x:c>
      <x:c r="O1502" s="4" t="n">
        <x:f>IF('계산 과정'!$L$7,'계산 과정'!$C$49*('계산 과정'!$C$32-D1502)+'계산 과정'!$D$49*('계산 과정'!$D$32-E1502)+'계산 과정'!$E$49*'계산 과정'!$E$32,"")</x:f>
        <x:v>-79.76647170162829</x:v>
      </x:c>
      <x:c r="P1502" s="4" t="n">
        <x:f>IF(AND('계산 과정'!$L$7,O1502&lt;&gt;0),('계산 과정'!$L$23-'계산 과정'!$C$49*D1502-'계산 과정'!$D$49*E1502)/O1502,"")</x:f>
        <x:v>-4.014638249216112</x:v>
      </x:c>
      <x:c r="Q1502" s="4" t="str">
        <x:f>IF(AND(ISNUMBER(P1502),P1502&gt;1E-9,P1502&lt;1-1E-9),'계산 과정'!$C$47*(D1502-'계산 과정'!$C$50+P1502*('계산 과정'!$C$32-D1502))+'계산 과정'!$D$47*(E1502-'계산 과정'!$D$50+P1502*('계산 과정'!$D$32-E1502))+'계산 과정'!$E$47*(0-'계산 과정'!$E$50+P1502*('계산 과정'!$E$32-0)),"")</x:f>
      </x:c>
      <x:c r="R1502" s="4" t="str">
        <x:f>IF(AND(ISNUMBER(P1502),P1502&gt;1E-9,P1502&lt;1-1E-9),'계산 과정'!$C$48*(D1502-'계산 과정'!$C$50+P1502*('계산 과정'!$C$32-D1502))+'계산 과정'!$D$48*(E1502-'계산 과정'!$D$50+P1502*('계산 과정'!$D$32-E1502))+'계산 과정'!$E$48*(0-'계산 과정'!$E$50+P1502*('계산 과정'!$E$32-0)),"")</x:f>
      </x:c>
      <x:c r="S1502" s="17" t="n">
        <x:f>IF('계산 과정'!$C$78,IF(AND(ISNUMBER(Q1502),ISNUMBER(R1502),ABS(Q1502-'계산 과정'!$C$88)&lt;='계산 과정'!$D$23/2,ABS(R1502-'계산 과정'!$C$89)&lt;='계산 과정'!$D$24/2),1,0),"")</x:f>
        <x:v>0</x:v>
      </x:c>
      <x:c r="T1502" s="4"/>
      <x:c r="U1502" s="4"/>
      <x:c r="V1502" s="4"/>
      <x:c r="W1502" s="4"/>
      <x:c r="X1502" s="4"/>
      <x:c r="Y1502" s="4"/>
      <x:c r="Z1502" s="4"/>
    </x:row>
    <x:row r="1503" ht="23" customHeight="1">
      <x:c r="A1503" s="17" t="n">
        <x:f>ROW()-6</x:f>
        <x:v>1497</x:v>
      </x:c>
      <x:c r="B1503" s="4" t="n">
        <x:f>IF('계산 과정'!$L$5,'계산 과정'!$L$11*SQRT((A1503+0.5)/'계산 과정'!$L$30),"")</x:f>
        <x:v>128.2654527423012</x:v>
      </x:c>
      <x:c r="C1503" s="4" t="n">
        <x:f>A1503*PI()*(3-SQRT(5))</x:f>
        <x:v>3592.7449549037933</x:v>
      </x:c>
      <x:c r="D1503" s="4" t="n">
        <x:f>IF('계산 과정'!$L$5,B1503*COS(C1503),"")</x:f>
        <x:v>42.018943920559586</x:v>
      </x:c>
      <x:c r="E1503" s="4" t="n">
        <x:f>IF('계산 과정'!$L$5,B1503*SIN(C1503),"")</x:f>
        <x:v>-121.18760134183846</x:v>
      </x:c>
      <x:c r="F1503" s="4" t="n">
        <x:f>IF('계산 과정'!$L$7,'계산 과정'!$L$22+'계산 과정'!$C$49*D1503+'계산 과정'!$D$49*E1503,"")</x:f>
        <x:v>620.288119815475</x:v>
      </x:c>
      <x:c r="G1503" s="4" t="n">
        <x:f>IF('계산 과정'!$L$7,IF(ABS(F1503)&gt;=1E-12*MAX(1,SQRT((D1503-'계산 과정'!$C$33)^2+(E1503-'계산 과정'!$D$33)^2+'계산 과정'!$E$33^2)),('계산 과정'!$L$23-'계산 과정'!$C$49*D1503-'계산 과정'!$D$49*E1503)/F1503,""),"")</x:f>
        <x:v>0.6927617448361848</x:v>
      </x:c>
      <x:c r="H1503" s="4" t="n">
        <x:f>IF(AND(ISNUMBER(G1503),G1503&gt;0),('계산 과정'!$D$56+'계산 과정'!$D$57*D1503+'계산 과정'!$D$58*E1503)/F1503,"")</x:f>
        <x:v>50.295134143519995</x:v>
      </x:c>
      <x:c r="I1503" s="4" t="n">
        <x:f>IF(AND(ISNUMBER(G1503),G1503&gt;0),('계산 과정'!$E$56+'계산 과정'!$E$57*D1503+'계산 과정'!$E$58*E1503)/F1503,"")</x:f>
        <x:v>-205.14173549992245</x:v>
      </x:c>
      <x:c r="J1503" s="4" t="n">
        <x:f>IF('계산 과정'!$L$5,'계산 과정'!$D$6+'계산 과정'!$C$35*D1503+'계산 과정'!$D$35*E1503,"")</x:f>
        <x:v>620.288119815475</x:v>
      </x:c>
      <x:c r="K1503" s="4" t="n">
        <x:f>IF(AND('계산 과정'!$L$6,J1503&gt;0),'계산 과정'!$D$10*('계산 과정'!$C$38*(D1503-'계산 과정'!$C$32)+'계산 과정'!$D$38*(E1503-'계산 과정'!$D$32)-'계산 과정'!$E$38*'계산 과정'!$E$32)/J1503,"")</x:f>
        <x:v>0.3832010220458675</x:v>
      </x:c>
      <x:c r="L1503" s="4" t="n">
        <x:f>IF(AND('계산 과정'!$L$6,J1503&gt;0),'계산 과정'!$D$10*('계산 과정'!$C$39*(D1503-'계산 과정'!$C$32)+'계산 과정'!$D$39*(E1503-'계산 과정'!$D$32)-'계산 과정'!$E$39*'계산 과정'!$E$32)/J1503,"")</x:f>
        <x:v>-1.5629846514279804</x:v>
      </x:c>
      <x:c r="M1503" s="17" t="n">
        <x:f>IF('계산 과정'!$L$6,IF(J1503&lt;=0,0,IF(AND(ABS(K1503)&lt;='계산 과정'!$D$11/2,ABS(L1503)&lt;='계산 과정'!$D$12/2),1,0)),"")</x:f>
        <x:v>1</x:v>
      </x:c>
      <x:c r="N1503" s="17" t="n">
        <x:f>IF('계산 과정'!$C$78,IF(AND(ISNUMBER(H1503),ISNUMBER(I1503),ABS(H1503-'계산 과정'!$C$88)&lt;='계산 과정'!$D$23/2,ABS(I1503-'계산 과정'!$C$89)&lt;='계산 과정'!$D$24/2),1,0),"")</x:f>
        <x:v>1</x:v>
      </x:c>
      <x:c r="O1503" s="4" t="n">
        <x:f>IF('계산 과정'!$L$7,'계산 과정'!$C$49*('계산 과정'!$C$32-D1503)+'계산 과정'!$D$49*('계산 과정'!$D$32-E1503)+'계산 과정'!$E$49*'계산 과정'!$E$32,"")</x:f>
        <x:v>29.711880184525057</x:v>
      </x:c>
      <x:c r="P1503" s="4" t="n">
        <x:f>IF(AND('계산 과정'!$L$7,O1503&lt;&gt;0),('계산 과정'!$L$23-'계산 과정'!$C$49*D1503-'계산 과정'!$D$49*E1503)/O1503,"")</x:f>
        <x:v>14.462628333037411</x:v>
      </x:c>
      <x:c r="Q1503" s="4" t="str">
        <x:f>IF(AND(ISNUMBER(P1503),P1503&gt;1E-9,P1503&lt;1-1E-9),'계산 과정'!$C$47*(D1503-'계산 과정'!$C$50+P1503*('계산 과정'!$C$32-D1503))+'계산 과정'!$D$47*(E1503-'계산 과정'!$D$50+P1503*('계산 과정'!$D$32-E1503))+'계산 과정'!$E$47*(0-'계산 과정'!$E$50+P1503*('계산 과정'!$E$32-0)),"")</x:f>
      </x:c>
      <x:c r="R1503" s="4" t="str">
        <x:f>IF(AND(ISNUMBER(P1503),P1503&gt;1E-9,P1503&lt;1-1E-9),'계산 과정'!$C$48*(D1503-'계산 과정'!$C$50+P1503*('계산 과정'!$C$32-D1503))+'계산 과정'!$D$48*(E1503-'계산 과정'!$D$50+P1503*('계산 과정'!$D$32-E1503))+'계산 과정'!$E$48*(0-'계산 과정'!$E$50+P1503*('계산 과정'!$E$32-0)),"")</x:f>
      </x:c>
      <x:c r="S1503" s="17" t="n">
        <x:f>IF('계산 과정'!$C$78,IF(AND(ISNUMBER(Q1503),ISNUMBER(R1503),ABS(Q1503-'계산 과정'!$C$88)&lt;='계산 과정'!$D$23/2,ABS(R1503-'계산 과정'!$C$89)&lt;='계산 과정'!$D$24/2),1,0),"")</x:f>
        <x:v>0</x:v>
      </x:c>
      <x:c r="T1503" s="4"/>
      <x:c r="U1503" s="4"/>
      <x:c r="V1503" s="4"/>
      <x:c r="W1503" s="4"/>
      <x:c r="X1503" s="4"/>
      <x:c r="Y1503" s="4"/>
      <x:c r="Z1503" s="4"/>
    </x:row>
    <x:row r="1504" ht="23" customHeight="1">
      <x:c r="A1504" s="17" t="n">
        <x:f>ROW()-6</x:f>
        <x:v>1498</x:v>
      </x:c>
      <x:c r="B1504" s="4" t="n">
        <x:f>IF('계산 과정'!$L$5,'계산 과정'!$L$11*SQRT((A1504+0.5)/'계산 과정'!$L$30),"")</x:f>
        <x:v>128.30827212347808</x:v>
      </x:c>
      <x:c r="C1504" s="4" t="n">
        <x:f>A1504*PI()*(3-SQRT(5))</x:f>
        <x:v>3595.144918133522</x:v>
      </x:c>
      <x:c r="D1504" s="4" t="n">
        <x:f>IF('계산 과정'!$L$5,B1504*COS(C1504),"")</x:f>
        <x:v>50.89457162764123</x:v>
      </x:c>
      <x:c r="E1504" s="4" t="n">
        <x:f>IF('계산 과정'!$L$5,B1504*SIN(C1504),"")</x:f>
        <x:v>117.78266117791445</x:v>
      </x:c>
      <x:c r="F1504" s="4" t="n">
        <x:f>IF('계산 과정'!$L$7,'계산 과정'!$L$22+'계산 과정'!$C$49*D1504+'계산 과정'!$D$49*E1504,"")</x:f>
        <x:v>614.0121032765104</x:v>
      </x:c>
      <x:c r="G1504" s="4" t="n">
        <x:f>IF('계산 과정'!$L$7,IF(ABS(F1504)&gt;=1E-12*MAX(1,SQRT((D1504-'계산 과정'!$C$33)^2+(E1504-'계산 과정'!$D$33)^2+'계산 과정'!$E$33^2)),('계산 과정'!$L$23-'계산 과정'!$C$49*D1504-'계산 과정'!$D$49*E1504)/F1504,""),"")</x:f>
        <x:v>0.7100640107857117</x:v>
      </x:c>
      <x:c r="H1504" s="4" t="n">
        <x:f>IF(AND(ISNUMBER(G1504),G1504&gt;0),('계산 과정'!$D$56+'계산 과정'!$D$57*D1504+'계산 과정'!$D$58*E1504)/F1504,"")</x:f>
        <x:v>61.54160701071246</x:v>
      </x:c>
      <x:c r="I1504" s="4" t="n">
        <x:f>IF(AND(ISNUMBER(G1504),G1504&gt;0),('계산 과정'!$E$56+'계산 과정'!$E$57*D1504+'계산 과정'!$E$58*E1504)/F1504,"")</x:f>
        <x:v>201.4158899749189</x:v>
      </x:c>
      <x:c r="J1504" s="4" t="n">
        <x:f>IF('계산 과정'!$L$5,'계산 과정'!$D$6+'계산 과정'!$C$35*D1504+'계산 과정'!$D$35*E1504,"")</x:f>
        <x:v>614.0121032765104</x:v>
      </x:c>
      <x:c r="K1504" s="4" t="n">
        <x:f>IF(AND('계산 과정'!$L$6,J1504&gt;0),'계산 과정'!$D$10*('계산 과정'!$C$38*(D1504-'계산 과정'!$C$32)+'계산 과정'!$D$38*(E1504-'계산 과정'!$D$32)-'계산 과정'!$E$38*'계산 과정'!$E$32)/J1504,"")</x:f>
        <x:v>0.4688884343673333</x:v>
      </x:c>
      <x:c r="L1504" s="4" t="n">
        <x:f>IF(AND('계산 과정'!$L$6,J1504&gt;0),'계산 과정'!$D$10*('계산 과정'!$C$39*(D1504-'계산 과정'!$C$32)+'계산 과정'!$D$39*(E1504-'계산 과정'!$D$32)-'계산 과정'!$E$39*'계산 과정'!$E$32)/J1504,"")</x:f>
        <x:v>1.5345972569517632</x:v>
      </x:c>
      <x:c r="M1504" s="17" t="n">
        <x:f>IF('계산 과정'!$L$6,IF(J1504&lt;=0,0,IF(AND(ABS(K1504)&lt;='계산 과정'!$D$11/2,ABS(L1504)&lt;='계산 과정'!$D$12/2),1,0)),"")</x:f>
        <x:v>1</x:v>
      </x:c>
      <x:c r="N1504" s="17" t="n">
        <x:f>IF('계산 과정'!$C$78,IF(AND(ISNUMBER(H1504),ISNUMBER(I1504),ABS(H1504-'계산 과정'!$C$88)&lt;='계산 과정'!$D$23/2,ABS(I1504-'계산 과정'!$C$89)&lt;='계산 과정'!$D$24/2),1,0),"")</x:f>
        <x:v>1</x:v>
      </x:c>
      <x:c r="O1504" s="4" t="n">
        <x:f>IF('계산 과정'!$L$7,'계산 과정'!$C$49*('계산 과정'!$C$32-D1504)+'계산 과정'!$D$49*('계산 과정'!$D$32-E1504)+'계산 과정'!$E$49*'계산 과정'!$E$32,"")</x:f>
        <x:v>35.987896723489655</x:v>
      </x:c>
      <x:c r="P1504" s="4" t="n">
        <x:f>IF(AND('계산 과정'!$L$7,O1504&lt;&gt;0),('계산 과정'!$L$23-'계산 과정'!$C$49*D1504-'계산 과정'!$D$49*E1504)/O1504,"")</x:f>
        <x:v>12.114847946613006</x:v>
      </x:c>
      <x:c r="Q1504" s="4" t="str">
        <x:f>IF(AND(ISNUMBER(P1504),P1504&gt;1E-9,P1504&lt;1-1E-9),'계산 과정'!$C$47*(D1504-'계산 과정'!$C$50+P1504*('계산 과정'!$C$32-D1504))+'계산 과정'!$D$47*(E1504-'계산 과정'!$D$50+P1504*('계산 과정'!$D$32-E1504))+'계산 과정'!$E$47*(0-'계산 과정'!$E$50+P1504*('계산 과정'!$E$32-0)),"")</x:f>
      </x:c>
      <x:c r="R1504" s="4" t="str">
        <x:f>IF(AND(ISNUMBER(P1504),P1504&gt;1E-9,P1504&lt;1-1E-9),'계산 과정'!$C$48*(D1504-'계산 과정'!$C$50+P1504*('계산 과정'!$C$32-D1504))+'계산 과정'!$D$48*(E1504-'계산 과정'!$D$50+P1504*('계산 과정'!$D$32-E1504))+'계산 과정'!$E$48*(0-'계산 과정'!$E$50+P1504*('계산 과정'!$E$32-0)),"")</x:f>
      </x:c>
      <x:c r="S1504" s="17" t="n">
        <x:f>IF('계산 과정'!$C$78,IF(AND(ISNUMBER(Q1504),ISNUMBER(R1504),ABS(Q1504-'계산 과정'!$C$88)&lt;='계산 과정'!$D$23/2,ABS(R1504-'계산 과정'!$C$89)&lt;='계산 과정'!$D$24/2),1,0),"")</x:f>
        <x:v>0</x:v>
      </x:c>
      <x:c r="T1504" s="4"/>
      <x:c r="U1504" s="4"/>
      <x:c r="V1504" s="4"/>
      <x:c r="W1504" s="4"/>
      <x:c r="X1504" s="4"/>
      <x:c r="Y1504" s="4"/>
      <x:c r="Z1504" s="4"/>
    </x:row>
    <x:row r="1505" ht="23" customHeight="1">
      <x:c r="A1505" s="17" t="n">
        <x:f>ROW()-6</x:f>
        <x:v>1499</x:v>
      </x:c>
      <x:c r="B1505" s="4" t="n">
        <x:f>IF('계산 과정'!$L$5,'계산 과정'!$L$11*SQRT((A1505+0.5)/'계산 과정'!$L$30),"")</x:f>
        <x:v>128.3510772196225</x:v>
      </x:c>
      <x:c r="C1505" s="4" t="n">
        <x:f>A1505*PI()*(3-SQRT(5))</x:f>
        <x:v>3597.54488136325</x:v>
      </x:c>
      <x:c r="D1505" s="4" t="n">
        <x:f>IF('계산 과정'!$L$5,B1505*COS(C1505),"")</x:f>
        <x:v>-117.12817989819698</x:v>
      </x:c>
      <x:c r="E1505" s="4" t="n">
        <x:f>IF('계산 과정'!$L$5,B1505*SIN(C1505),"")</x:f>
        <x:v>-52.487984312346256</x:v>
      </x:c>
      <x:c r="F1505" s="4" t="n">
        <x:f>IF('계산 과정'!$L$7,'계산 과정'!$L$22+'계산 과정'!$C$49*D1505+'계산 과정'!$D$49*E1505,"")</x:f>
        <x:v>732.8221302740529</x:v>
      </x:c>
      <x:c r="G1505" s="4" t="n">
        <x:f>IF('계산 과정'!$L$7,IF(ABS(F1505)&gt;=1E-12*MAX(1,SQRT((D1505-'계산 과정'!$C$33)^2+(E1505-'계산 과정'!$D$33)^2+'계산 과정'!$E$33^2)),('계산 과정'!$L$23-'계산 과정'!$C$49*D1505-'계산 과정'!$D$49*E1505)/F1505,""),"")</x:f>
        <x:v>0.43281699149469227</x:v>
      </x:c>
      <x:c r="H1505" s="4" t="n">
        <x:f>IF(AND(ISNUMBER(G1505),G1505&gt;0),('계산 과정'!$D$56+'계산 과정'!$D$57*D1505+'계산 과정'!$D$58*E1505)/F1505,"")</x:f>
        <x:v>-118.66895552845014</x:v>
      </x:c>
      <x:c r="I1505" s="4" t="n">
        <x:f>IF(AND(ISNUMBER(G1505),G1505&gt;0),('계산 과정'!$E$56+'계산 과정'!$E$57*D1505+'계산 과정'!$E$58*E1505)/F1505,"")</x:f>
        <x:v>-75.20567577203657</x:v>
      </x:c>
      <x:c r="J1505" s="4" t="n">
        <x:f>IF('계산 과정'!$L$5,'계산 과정'!$D$6+'계산 과정'!$C$35*D1505+'계산 과정'!$D$35*E1505,"")</x:f>
        <x:v>732.8221302740529</x:v>
      </x:c>
      <x:c r="K1505" s="4" t="n">
        <x:f>IF(AND('계산 과정'!$L$6,J1505&gt;0),'계산 과정'!$D$10*('계산 과정'!$C$38*(D1505-'계산 과정'!$C$32)+'계산 과정'!$D$38*(E1505-'계산 과정'!$D$32)-'계산 과정'!$E$38*'계산 과정'!$E$32)/J1505,"")</x:f>
        <x:v>-0.9041444230739049</x:v>
      </x:c>
      <x:c r="L1505" s="4" t="n">
        <x:f>IF(AND('계산 과정'!$L$6,J1505&gt;0),'계산 과정'!$D$10*('계산 과정'!$C$39*(D1505-'계산 과정'!$C$32)+'계산 과정'!$D$39*(E1505-'계산 과정'!$D$32)-'계산 과정'!$E$39*'계산 과정'!$E$32)/J1505,"")</x:f>
        <x:v>-0.5729956249298024</x:v>
      </x:c>
      <x:c r="M1505" s="17" t="n">
        <x:f>IF('계산 과정'!$L$6,IF(J1505&lt;=0,0,IF(AND(ABS(K1505)&lt;='계산 과정'!$D$11/2,ABS(L1505)&lt;='계산 과정'!$D$12/2),1,0)),"")</x:f>
        <x:v>1</x:v>
      </x:c>
      <x:c r="N1505" s="17" t="n">
        <x:f>IF('계산 과정'!$C$78,IF(AND(ISNUMBER(H1505),ISNUMBER(I1505),ABS(H1505-'계산 과정'!$C$88)&lt;='계산 과정'!$D$23/2,ABS(I1505-'계산 과정'!$C$89)&lt;='계산 과정'!$D$24/2),1,0),"")</x:f>
        <x:v>1</x:v>
      </x:c>
      <x:c r="O1505" s="4" t="n">
        <x:f>IF('계산 과정'!$L$7,'계산 과정'!$C$49*('계산 과정'!$C$32-D1505)+'계산 과정'!$D$49*('계산 과정'!$D$32-E1505)+'계산 과정'!$E$49*'계산 과정'!$E$32,"")</x:f>
        <x:v>-82.82213027405282</x:v>
      </x:c>
      <x:c r="P1505" s="4" t="n">
        <x:f>IF(AND('계산 과정'!$L$7,O1505&lt;&gt;0),('계산 과정'!$L$23-'계산 과정'!$C$49*D1505-'계산 과정'!$D$49*E1505)/O1505,"")</x:f>
        <x:v>-3.8296270414251232</x:v>
      </x:c>
      <x:c r="Q1505" s="4" t="str">
        <x:f>IF(AND(ISNUMBER(P1505),P1505&gt;1E-9,P1505&lt;1-1E-9),'계산 과정'!$C$47*(D1505-'계산 과정'!$C$50+P1505*('계산 과정'!$C$32-D1505))+'계산 과정'!$D$47*(E1505-'계산 과정'!$D$50+P1505*('계산 과정'!$D$32-E1505))+'계산 과정'!$E$47*(0-'계산 과정'!$E$50+P1505*('계산 과정'!$E$32-0)),"")</x:f>
      </x:c>
      <x:c r="R1505" s="4" t="str">
        <x:f>IF(AND(ISNUMBER(P1505),P1505&gt;1E-9,P1505&lt;1-1E-9),'계산 과정'!$C$48*(D1505-'계산 과정'!$C$50+P1505*('계산 과정'!$C$32-D1505))+'계산 과정'!$D$48*(E1505-'계산 과정'!$D$50+P1505*('계산 과정'!$D$32-E1505))+'계산 과정'!$E$48*(0-'계산 과정'!$E$50+P1505*('계산 과정'!$E$32-0)),"")</x:f>
      </x:c>
      <x:c r="S1505" s="17" t="n">
        <x:f>IF('계산 과정'!$C$78,IF(AND(ISNUMBER(Q1505),ISNUMBER(R1505),ABS(Q1505-'계산 과정'!$C$88)&lt;='계산 과정'!$D$23/2,ABS(R1505-'계산 과정'!$C$89)&lt;='계산 과정'!$D$24/2),1,0),"")</x:f>
        <x:v>0</x:v>
      </x:c>
      <x:c r="T1505" s="4"/>
      <x:c r="U1505" s="4"/>
      <x:c r="V1505" s="4"/>
      <x:c r="W1505" s="4"/>
      <x:c r="X1505" s="4"/>
      <x:c r="Y1505" s="4"/>
      <x:c r="Z1505" s="4"/>
    </x:row>
    <x:row r="1506" ht="23" customHeight="1">
      <x:c r="A1506" s="17" t="n">
        <x:f>ROW()-6</x:f>
        <x:v>1500</x:v>
      </x:c>
      <x:c r="B1506" s="4" t="n">
        <x:f>IF('계산 과정'!$L$5,'계산 과정'!$L$11*SQRT((A1506+0.5)/'계산 과정'!$L$30),"")</x:f>
        <x:v>128.39386804502192</x:v>
      </x:c>
      <x:c r="C1506" s="4" t="n">
        <x:f>A1506*PI()*(3-SQRT(5))</x:f>
        <x:v>3599.9448445929793</x:v>
      </x:c>
      <x:c r="D1506" s="4" t="n">
        <x:f>IF('계산 과정'!$L$5,B1506*COS(C1506),"")</x:f>
        <x:v>121.86241260757323</x:v>
      </x:c>
      <x:c r="E1506" s="4" t="n">
        <x:f>IF('계산 과정'!$L$5,B1506*SIN(C1506),"")</x:f>
        <x:v>-40.42941682765258</x:v>
      </x:c>
      <x:c r="F1506" s="4" t="n">
        <x:f>IF('계산 과정'!$L$7,'계산 과정'!$L$22+'계산 과정'!$C$49*D1506+'계산 과정'!$D$49*E1506,"")</x:f>
        <x:v>563.830261673432</x:v>
      </x:c>
      <x:c r="G1506" s="4" t="n">
        <x:f>IF('계산 과정'!$L$7,IF(ABS(F1506)&gt;=1E-12*MAX(1,SQRT((D1506-'계산 과정'!$C$33)^2+(E1506-'계산 과정'!$D$33)^2+'계산 과정'!$E$33^2)),('계산 과정'!$L$23-'계산 과정'!$C$49*D1506-'계산 과정'!$D$49*E1506)/F1506,""),"")</x:f>
        <x:v>0.8622625839266418</x:v>
      </x:c>
      <x:c r="H1506" s="4" t="n">
        <x:f>IF(AND(ISNUMBER(G1506),G1506&gt;0),('계산 과정'!$D$56+'계산 과정'!$D$57*D1506+'계산 과정'!$D$58*E1506)/F1506,"")</x:f>
        <x:v>160.4706795523171</x:v>
      </x:c>
      <x:c r="I1506" s="4" t="n">
        <x:f>IF(AND(ISNUMBER(G1506),G1506&gt;0),('계산 과정'!$E$56+'계산 과정'!$E$57*D1506+'계산 과정'!$E$58*E1506)/F1506,"")</x:f>
        <x:v>-75.29019024811154</x:v>
      </x:c>
      <x:c r="J1506" s="4" t="n">
        <x:f>IF('계산 과정'!$L$5,'계산 과정'!$D$6+'계산 과정'!$C$35*D1506+'계산 과정'!$D$35*E1506,"")</x:f>
        <x:v>563.830261673432</x:v>
      </x:c>
      <x:c r="K1506" s="4" t="n">
        <x:f>IF(AND('계산 과정'!$L$6,J1506&gt;0),'계산 과정'!$D$10*('계산 과정'!$C$38*(D1506-'계산 과정'!$C$32)+'계산 과정'!$D$38*(E1506-'계산 과정'!$D$32)-'계산 과정'!$E$38*'계산 과정'!$E$32)/J1506,"")</x:f>
        <x:v>1.2226337489700356</x:v>
      </x:c>
      <x:c r="L1506" s="4" t="n">
        <x:f>IF(AND('계산 과정'!$L$6,J1506&gt;0),'계산 과정'!$D$10*('계산 과정'!$C$39*(D1506-'계산 과정'!$C$32)+'계산 과정'!$D$39*(E1506-'계산 과정'!$D$32)-'계산 과정'!$E$39*'계산 과정'!$E$32)/J1506,"")</x:f>
        <x:v>-0.5736395447475165</x:v>
      </x:c>
      <x:c r="M1506" s="17" t="n">
        <x:f>IF('계산 과정'!$L$6,IF(J1506&lt;=0,0,IF(AND(ABS(K1506)&lt;='계산 과정'!$D$11/2,ABS(L1506)&lt;='계산 과정'!$D$12/2),1,0)),"")</x:f>
        <x:v>1</x:v>
      </x:c>
      <x:c r="N1506" s="17" t="n">
        <x:f>IF('계산 과정'!$C$78,IF(AND(ISNUMBER(H1506),ISNUMBER(I1506),ABS(H1506-'계산 과정'!$C$88)&lt;='계산 과정'!$D$23/2,ABS(I1506-'계산 과정'!$C$89)&lt;='계산 과정'!$D$24/2),1,0),"")</x:f>
        <x:v>1</x:v>
      </x:c>
      <x:c r="O1506" s="4" t="n">
        <x:f>IF('계산 과정'!$L$7,'계산 과정'!$C$49*('계산 과정'!$C$32-D1506)+'계산 과정'!$D$49*('계산 과정'!$D$32-E1506)+'계산 과정'!$E$49*'계산 과정'!$E$32,"")</x:f>
        <x:v>86.16973832656817</x:v>
      </x:c>
      <x:c r="P1506" s="4" t="n">
        <x:f>IF(AND('계산 과정'!$L$7,O1506&lt;&gt;0),('계산 과정'!$L$23-'계산 과정'!$C$49*D1506-'계산 과정'!$D$49*E1506)/O1506,"")</x:f>
        <x:v>5.64200086675522</x:v>
      </x:c>
      <x:c r="Q1506" s="4" t="str">
        <x:f>IF(AND(ISNUMBER(P1506),P1506&gt;1E-9,P1506&lt;1-1E-9),'계산 과정'!$C$47*(D1506-'계산 과정'!$C$50+P1506*('계산 과정'!$C$32-D1506))+'계산 과정'!$D$47*(E1506-'계산 과정'!$D$50+P1506*('계산 과정'!$D$32-E1506))+'계산 과정'!$E$47*(0-'계산 과정'!$E$50+P1506*('계산 과정'!$E$32-0)),"")</x:f>
      </x:c>
      <x:c r="R1506" s="4" t="str">
        <x:f>IF(AND(ISNUMBER(P1506),P1506&gt;1E-9,P1506&lt;1-1E-9),'계산 과정'!$C$48*(D1506-'계산 과정'!$C$50+P1506*('계산 과정'!$C$32-D1506))+'계산 과정'!$D$48*(E1506-'계산 과정'!$D$50+P1506*('계산 과정'!$D$32-E1506))+'계산 과정'!$E$48*(0-'계산 과정'!$E$50+P1506*('계산 과정'!$E$32-0)),"")</x:f>
      </x:c>
      <x:c r="S1506" s="17" t="n">
        <x:f>IF('계산 과정'!$C$78,IF(AND(ISNUMBER(Q1506),ISNUMBER(R1506),ABS(Q1506-'계산 과정'!$C$88)&lt;='계산 과정'!$D$23/2,ABS(R1506-'계산 과정'!$C$89)&lt;='계산 과정'!$D$24/2),1,0),"")</x:f>
        <x:v>0</x:v>
      </x:c>
      <x:c r="T1506" s="4"/>
      <x:c r="U1506" s="4"/>
      <x:c r="V1506" s="4"/>
      <x:c r="W1506" s="4"/>
      <x:c r="X1506" s="4"/>
      <x:c r="Y1506" s="4"/>
      <x:c r="Z1506" s="4"/>
    </x:row>
    <x:row r="1507" ht="23" customHeight="1">
      <x:c r="A1507" s="17" t="n">
        <x:f>ROW()-6</x:f>
        <x:v>1501</x:v>
      </x:c>
      <x:c r="B1507" s="4" t="n">
        <x:f>IF('계산 과정'!$L$5,'계산 과정'!$L$11*SQRT((A1507+0.5)/'계산 과정'!$L$30),"")</x:f>
        <x:v>128.4366446139399</x:v>
      </x:c>
      <x:c r="C1507" s="4" t="n">
        <x:f>A1507*PI()*(3-SQRT(5))</x:f>
        <x:v>3602.3448078227084</x:v>
      </x:c>
      <x:c r="D1507" s="4" t="n">
        <x:f>IF('계산 과정'!$L$5,B1507*COS(C1507),"")</x:f>
        <x:v>-62.568710666422774</x:v>
      </x:c>
      <x:c r="E1507" s="4" t="n">
        <x:f>IF('계산 과정'!$L$5,B1507*SIN(C1507),"")</x:f>
        <x:v>112.16562809180435</x:v>
      </x:c>
      <x:c r="F1507" s="4" t="n">
        <x:f>IF('계산 과정'!$L$7,'계산 과정'!$L$22+'계산 과정'!$C$49*D1507+'계산 과정'!$D$49*E1507,"")</x:f>
        <x:v>694.2427596023266</x:v>
      </x:c>
      <x:c r="G1507" s="4" t="n">
        <x:f>IF('계산 과정'!$L$7,IF(ABS(F1507)&gt;=1E-12*MAX(1,SQRT((D1507-'계산 과정'!$C$33)^2+(E1507-'계산 과정'!$D$33)^2+'계산 과정'!$E$33^2)),('계산 과정'!$L$23-'계산 과정'!$C$49*D1507-'계산 과정'!$D$49*E1507)/F1507,""),"")</x:f>
        <x:v>0.5124392519433071</x:v>
      </x:c>
      <x:c r="H1507" s="4" t="n">
        <x:f>IF(AND(ISNUMBER(G1507),G1507&gt;0),('계산 과정'!$D$56+'계산 과정'!$D$57*D1507+'계산 과정'!$D$58*E1507)/F1507,"")</x:f>
        <x:v>-66.91448623685055</x:v>
      </x:c>
      <x:c r="I1507" s="4" t="n">
        <x:f>IF(AND(ISNUMBER(G1507),G1507&gt;0),('계산 과정'!$E$56+'계산 과정'!$E$57*D1507+'계산 과정'!$E$58*E1507)/F1507,"")</x:f>
        <x:v>169.64369864491977</x:v>
      </x:c>
      <x:c r="J1507" s="4" t="n">
        <x:f>IF('계산 과정'!$L$5,'계산 과정'!$D$6+'계산 과정'!$C$35*D1507+'계산 과정'!$D$35*E1507,"")</x:f>
        <x:v>694.2427596023266</x:v>
      </x:c>
      <x:c r="K1507" s="4" t="n">
        <x:f>IF(AND('계산 과정'!$L$6,J1507&gt;0),'계산 과정'!$D$10*('계산 과정'!$C$38*(D1507-'계산 과정'!$C$32)+'계산 과정'!$D$38*(E1507-'계산 과정'!$D$32)-'계산 과정'!$E$38*'계산 과정'!$E$32)/J1507,"")</x:f>
        <x:v>-0.5098246570426704</x:v>
      </x:c>
      <x:c r="L1507" s="4" t="n">
        <x:f>IF(AND('계산 과정'!$L$6,J1507&gt;0),'계산 과정'!$D$10*('계산 과정'!$C$39*(D1507-'계산 과정'!$C$32)+'계산 과정'!$D$39*(E1507-'계산 과정'!$D$32)-'계산 과정'!$E$39*'계산 과정'!$E$32)/J1507,"")</x:f>
        <x:v>1.2925234182470078</x:v>
      </x:c>
      <x:c r="M1507" s="17" t="n">
        <x:f>IF('계산 과정'!$L$6,IF(J1507&lt;=0,0,IF(AND(ABS(K1507)&lt;='계산 과정'!$D$11/2,ABS(L1507)&lt;='계산 과정'!$D$12/2),1,0)),"")</x:f>
        <x:v>1</x:v>
      </x:c>
      <x:c r="N1507" s="17" t="n">
        <x:f>IF('계산 과정'!$C$78,IF(AND(ISNUMBER(H1507),ISNUMBER(I1507),ABS(H1507-'계산 과정'!$C$88)&lt;='계산 과정'!$D$23/2,ABS(I1507-'계산 과정'!$C$89)&lt;='계산 과정'!$D$24/2),1,0),"")</x:f>
        <x:v>1</x:v>
      </x:c>
      <x:c r="O1507" s="4" t="n">
        <x:f>IF('계산 과정'!$L$7,'계산 과정'!$C$49*('계산 과정'!$C$32-D1507)+'계산 과정'!$D$49*('계산 과정'!$D$32-E1507)+'계산 과정'!$E$49*'계산 과정'!$E$32,"")</x:f>
        <x:v>-44.242759602326544</x:v>
      </x:c>
      <x:c r="P1507" s="4" t="n">
        <x:f>IF(AND('계산 과정'!$L$7,O1507&lt;&gt;0),('계산 과정'!$L$23-'계산 과정'!$C$49*D1507-'계산 과정'!$D$49*E1507)/O1507,"")</x:f>
        <x:v>-8.041027358948144</x:v>
      </x:c>
      <x:c r="Q1507" s="4" t="str">
        <x:f>IF(AND(ISNUMBER(P1507),P1507&gt;1E-9,P1507&lt;1-1E-9),'계산 과정'!$C$47*(D1507-'계산 과정'!$C$50+P1507*('계산 과정'!$C$32-D1507))+'계산 과정'!$D$47*(E1507-'계산 과정'!$D$50+P1507*('계산 과정'!$D$32-E1507))+'계산 과정'!$E$47*(0-'계산 과정'!$E$50+P1507*('계산 과정'!$E$32-0)),"")</x:f>
      </x:c>
      <x:c r="R1507" s="4" t="str">
        <x:f>IF(AND(ISNUMBER(P1507),P1507&gt;1E-9,P1507&lt;1-1E-9),'계산 과정'!$C$48*(D1507-'계산 과정'!$C$50+P1507*('계산 과정'!$C$32-D1507))+'계산 과정'!$D$48*(E1507-'계산 과정'!$D$50+P1507*('계산 과정'!$D$32-E1507))+'계산 과정'!$E$48*(0-'계산 과정'!$E$50+P1507*('계산 과정'!$E$32-0)),"")</x:f>
      </x:c>
      <x:c r="S1507" s="17" t="n">
        <x:f>IF('계산 과정'!$C$78,IF(AND(ISNUMBER(Q1507),ISNUMBER(R1507),ABS(Q1507-'계산 과정'!$C$88)&lt;='계산 과정'!$D$23/2,ABS(R1507-'계산 과정'!$C$89)&lt;='계산 과정'!$D$24/2),1,0),"")</x:f>
        <x:v>0</x:v>
      </x:c>
      <x:c r="T1507" s="4"/>
      <x:c r="U1507" s="4"/>
      <x:c r="V1507" s="4"/>
      <x:c r="W1507" s="4"/>
      <x:c r="X1507" s="4"/>
      <x:c r="Y1507" s="4"/>
      <x:c r="Z1507" s="4"/>
    </x:row>
    <x:row r="1508" ht="23" customHeight="1">
      <x:c r="A1508" s="17" t="n">
        <x:f>ROW()-6</x:f>
        <x:v>1502</x:v>
      </x:c>
      <x:c r="B1508" s="4" t="n">
        <x:f>IF('계산 과정'!$L$5,'계산 과정'!$L$11*SQRT((A1508+0.5)/'계산 과정'!$L$30),"")</x:f>
        <x:v>128.47940694061637</x:v>
      </x:c>
      <x:c r="C1508" s="4" t="n">
        <x:f>A1508*PI()*(3-SQRT(5))</x:f>
        <x:v>3604.7447710524366</x:v>
      </x:c>
      <x:c r="D1508" s="4" t="n">
        <x:f>IF('계산 과정'!$L$5,B1508*COS(C1508),"")</x:f>
        <x:v>-29.640438487324463</x:v>
      </x:c>
      <x:c r="E1508" s="4" t="n">
        <x:f>IF('계산 과정'!$L$5,B1508*SIN(C1508),"")</x:f>
        <x:v>-125.01360891555622</x:v>
      </x:c>
      <x:c r="F1508" s="4" t="n">
        <x:f>IF('계산 과정'!$L$7,'계산 과정'!$L$22+'계산 과정'!$C$49*D1508+'계산 과정'!$D$49*E1508,"")</x:f>
        <x:v>670.9589550517298</x:v>
      </x:c>
      <x:c r="G1508" s="4" t="n">
        <x:f>IF('계산 과정'!$L$7,IF(ABS(F1508)&gt;=1E-12*MAX(1,SQRT((D1508-'계산 과정'!$C$33)^2+(E1508-'계산 과정'!$D$33)^2+'계산 과정'!$E$33^2)),('계산 과정'!$L$23-'계산 과정'!$C$49*D1508-'계산 과정'!$D$49*E1508)/F1508,""),"")</x:f>
        <x:v>0.564924340146927</x:v>
      </x:c>
      <x:c r="H1508" s="4" t="n">
        <x:f>IF(AND(ISNUMBER(G1508),G1508&gt;0),('계산 과정'!$D$56+'계산 과정'!$D$57*D1508+'계산 과정'!$D$58*E1508)/F1508,"")</x:f>
        <x:v>-32.79917890449757</x:v>
      </x:c>
      <x:c r="I1508" s="4" t="n">
        <x:f>IF(AND(ISNUMBER(G1508),G1508&gt;0),('계산 과정'!$E$56+'계산 과정'!$E$57*D1508+'계산 과정'!$E$58*E1508)/F1508,"")</x:f>
        <x:v>-195.6368394415628</x:v>
      </x:c>
      <x:c r="J1508" s="4" t="n">
        <x:f>IF('계산 과정'!$L$5,'계산 과정'!$D$6+'계산 과정'!$C$35*D1508+'계산 과정'!$D$35*E1508,"")</x:f>
        <x:v>670.9589550517298</x:v>
      </x:c>
      <x:c r="K1508" s="4" t="n">
        <x:f>IF(AND('계산 과정'!$L$6,J1508&gt;0),'계산 과정'!$D$10*('계산 과정'!$C$38*(D1508-'계산 과정'!$C$32)+'계산 과정'!$D$38*(E1508-'계산 과정'!$D$32)-'계산 과정'!$E$38*'계산 과정'!$E$32)/J1508,"")</x:f>
        <x:v>-0.24989850593902804</x:v>
      </x:c>
      <x:c r="L1508" s="4" t="n">
        <x:f>IF(AND('계산 과정'!$L$6,J1508&gt;0),'계산 과정'!$D$10*('계산 과정'!$C$39*(D1508-'계산 과정'!$C$32)+'계산 과정'!$D$39*(E1508-'계산 과정'!$D$32)-'계산 과정'!$E$39*'계산 과정'!$E$32)/J1508,"")</x:f>
        <x:v>-1.4905663957452404</x:v>
      </x:c>
      <x:c r="M1508" s="17" t="n">
        <x:f>IF('계산 과정'!$L$6,IF(J1508&lt;=0,0,IF(AND(ABS(K1508)&lt;='계산 과정'!$D$11/2,ABS(L1508)&lt;='계산 과정'!$D$12/2),1,0)),"")</x:f>
        <x:v>1</x:v>
      </x:c>
      <x:c r="N1508" s="17" t="n">
        <x:f>IF('계산 과정'!$C$78,IF(AND(ISNUMBER(H1508),ISNUMBER(I1508),ABS(H1508-'계산 과정'!$C$88)&lt;='계산 과정'!$D$23/2,ABS(I1508-'계산 과정'!$C$89)&lt;='계산 과정'!$D$24/2),1,0),"")</x:f>
        <x:v>1</x:v>
      </x:c>
      <x:c r="O1508" s="4" t="n">
        <x:f>IF('계산 과정'!$L$7,'계산 과정'!$C$49*('계산 과정'!$C$32-D1508)+'계산 과정'!$D$49*('계산 과정'!$D$32-E1508)+'계산 과정'!$E$49*'계산 과정'!$E$32,"")</x:f>
        <x:v>-20.95895505172973</x:v>
      </x:c>
      <x:c r="P1508" s="4" t="n">
        <x:f>IF(AND('계산 과정'!$L$7,O1508&lt;&gt;0),('계산 과정'!$L$23-'계산 과정'!$C$49*D1508-'계산 과정'!$D$49*E1508)/O1508,"")</x:f>
        <x:v>-18.08492093297314</x:v>
      </x:c>
      <x:c r="Q1508" s="4" t="str">
        <x:f>IF(AND(ISNUMBER(P1508),P1508&gt;1E-9,P1508&lt;1-1E-9),'계산 과정'!$C$47*(D1508-'계산 과정'!$C$50+P1508*('계산 과정'!$C$32-D1508))+'계산 과정'!$D$47*(E1508-'계산 과정'!$D$50+P1508*('계산 과정'!$D$32-E1508))+'계산 과정'!$E$47*(0-'계산 과정'!$E$50+P1508*('계산 과정'!$E$32-0)),"")</x:f>
      </x:c>
      <x:c r="R1508" s="4" t="str">
        <x:f>IF(AND(ISNUMBER(P1508),P1508&gt;1E-9,P1508&lt;1-1E-9),'계산 과정'!$C$48*(D1508-'계산 과정'!$C$50+P1508*('계산 과정'!$C$32-D1508))+'계산 과정'!$D$48*(E1508-'계산 과정'!$D$50+P1508*('계산 과정'!$D$32-E1508))+'계산 과정'!$E$48*(0-'계산 과정'!$E$50+P1508*('계산 과정'!$E$32-0)),"")</x:f>
      </x:c>
      <x:c r="S1508" s="17" t="n">
        <x:f>IF('계산 과정'!$C$78,IF(AND(ISNUMBER(Q1508),ISNUMBER(R1508),ABS(Q1508-'계산 과정'!$C$88)&lt;='계산 과정'!$D$23/2,ABS(R1508-'계산 과정'!$C$89)&lt;='계산 과정'!$D$24/2),1,0),"")</x:f>
        <x:v>0</x:v>
      </x:c>
      <x:c r="T1508" s="4"/>
      <x:c r="U1508" s="4"/>
      <x:c r="V1508" s="4"/>
      <x:c r="W1508" s="4"/>
      <x:c r="X1508" s="4"/>
      <x:c r="Y1508" s="4"/>
      <x:c r="Z1508" s="4"/>
    </x:row>
    <x:row r="1509" ht="23" customHeight="1">
      <x:c r="A1509" s="17" t="n">
        <x:f>ROW()-6</x:f>
        <x:v>1503</x:v>
      </x:c>
      <x:c r="B1509" s="4" t="n">
        <x:f>IF('계산 과정'!$L$5,'계산 과정'!$L$11*SQRT((A1509+0.5)/'계산 과정'!$L$30),"")</x:f>
        <x:v>128.52215503926746</x:v>
      </x:c>
      <x:c r="C1509" s="4" t="n">
        <x:f>A1509*PI()*(3-SQRT(5))</x:f>
        <x:v>3607.1447342821652</x:v>
      </x:c>
      <x:c r="D1509" s="4" t="n">
        <x:f>IF('계산 과정'!$L$5,B1509*COS(C1509),"")</x:f>
        <x:v>106.33678530954167</x:v>
      </x:c>
      <x:c r="E1509" s="4" t="n">
        <x:f>IF('계산 과정'!$L$5,B1509*SIN(C1509),"")</x:f>
        <x:v>72.18332512408905</x:v>
      </x:c>
      <x:c r="F1509" s="4" t="n">
        <x:f>IF('계산 과정'!$L$7,'계산 과정'!$L$22+'계산 과정'!$C$49*D1509+'계산 과정'!$D$49*E1509,"")</x:f>
        <x:v>574.808538018045</x:v>
      </x:c>
      <x:c r="G1509" s="4" t="n">
        <x:f>IF('계산 과정'!$L$7,IF(ABS(F1509)&gt;=1E-12*MAX(1,SQRT((D1509-'계산 과정'!$C$33)^2+(E1509-'계산 과정'!$D$33)^2+'계산 과정'!$E$33^2)),('계산 과정'!$L$23-'계산 과정'!$C$49*D1509-'계산 과정'!$D$49*E1509)/F1509,""),"")</x:f>
        <x:v>0.8266952046683711</x:v>
      </x:c>
      <x:c r="H1509" s="4" t="n">
        <x:f>IF(AND(ISNUMBER(G1509),G1509&gt;0),('계산 과정'!$D$56+'계산 과정'!$D$57*D1509+'계산 과정'!$D$58*E1509)/F1509,"")</x:f>
        <x:v>137.3518830344412</x:v>
      </x:c>
      <x:c r="I1509" s="4" t="n">
        <x:f>IF(AND(ISNUMBER(G1509),G1509&gt;0),('계산 과정'!$E$56+'계산 과정'!$E$57*D1509+'계산 과정'!$E$58*E1509)/F1509,"")</x:f>
        <x:v>131.85693386119144</x:v>
      </x:c>
      <x:c r="J1509" s="4" t="n">
        <x:f>IF('계산 과정'!$L$5,'계산 과정'!$D$6+'계산 과정'!$C$35*D1509+'계산 과정'!$D$35*E1509,"")</x:f>
        <x:v>574.808538018045</x:v>
      </x:c>
      <x:c r="K1509" s="4" t="n">
        <x:f>IF(AND('계산 과정'!$L$6,J1509&gt;0),'계산 과정'!$D$10*('계산 과정'!$C$38*(D1509-'계산 과정'!$C$32)+'계산 과정'!$D$38*(E1509-'계산 과정'!$D$32)-'계산 과정'!$E$38*'계산 과정'!$E$32)/J1509,"")</x:f>
        <x:v>1.0464905374052669</x:v>
      </x:c>
      <x:c r="L1509" s="4" t="n">
        <x:f>IF(AND('계산 과정'!$L$6,J1509&gt;0),'계산 과정'!$D$10*('계산 과정'!$C$39*(D1509-'계산 과정'!$C$32)+'계산 과정'!$D$39*(E1509-'계산 과정'!$D$32)-'계산 과정'!$E$39*'계산 과정'!$E$32)/J1509,"")</x:f>
        <x:v>1.00462425799003</x:v>
      </x:c>
      <x:c r="M1509" s="17" t="n">
        <x:f>IF('계산 과정'!$L$6,IF(J1509&lt;=0,0,IF(AND(ABS(K1509)&lt;='계산 과정'!$D$11/2,ABS(L1509)&lt;='계산 과정'!$D$12/2),1,0)),"")</x:f>
        <x:v>1</x:v>
      </x:c>
      <x:c r="N1509" s="17" t="n">
        <x:f>IF('계산 과정'!$C$78,IF(AND(ISNUMBER(H1509),ISNUMBER(I1509),ABS(H1509-'계산 과정'!$C$88)&lt;='계산 과정'!$D$23/2,ABS(I1509-'계산 과정'!$C$89)&lt;='계산 과정'!$D$24/2),1,0),"")</x:f>
        <x:v>1</x:v>
      </x:c>
      <x:c r="O1509" s="4" t="n">
        <x:f>IF('계산 과정'!$L$7,'계산 과정'!$C$49*('계산 과정'!$C$32-D1509)+'계산 과정'!$D$49*('계산 과정'!$D$32-E1509)+'계산 과정'!$E$49*'계산 과정'!$E$32,"")</x:f>
        <x:v>75.19146198195506</x:v>
      </x:c>
      <x:c r="P1509" s="4" t="n">
        <x:f>IF(AND('계산 과정'!$L$7,O1509&lt;&gt;0),('계산 과정'!$L$23-'계산 과정'!$C$49*D1509-'계산 과정'!$D$49*E1509)/O1509,"")</x:f>
        <x:v>6.319752927479912</x:v>
      </x:c>
      <x:c r="Q1509" s="4" t="str">
        <x:f>IF(AND(ISNUMBER(P1509),P1509&gt;1E-9,P1509&lt;1-1E-9),'계산 과정'!$C$47*(D1509-'계산 과정'!$C$50+P1509*('계산 과정'!$C$32-D1509))+'계산 과정'!$D$47*(E1509-'계산 과정'!$D$50+P1509*('계산 과정'!$D$32-E1509))+'계산 과정'!$E$47*(0-'계산 과정'!$E$50+P1509*('계산 과정'!$E$32-0)),"")</x:f>
      </x:c>
      <x:c r="R1509" s="4" t="str">
        <x:f>IF(AND(ISNUMBER(P1509),P1509&gt;1E-9,P1509&lt;1-1E-9),'계산 과정'!$C$48*(D1509-'계산 과정'!$C$50+P1509*('계산 과정'!$C$32-D1509))+'계산 과정'!$D$48*(E1509-'계산 과정'!$D$50+P1509*('계산 과정'!$D$32-E1509))+'계산 과정'!$E$48*(0-'계산 과정'!$E$50+P1509*('계산 과정'!$E$32-0)),"")</x:f>
      </x:c>
      <x:c r="S1509" s="17" t="n">
        <x:f>IF('계산 과정'!$C$78,IF(AND(ISNUMBER(Q1509),ISNUMBER(R1509),ABS(Q1509-'계산 과정'!$C$88)&lt;='계산 과정'!$D$23/2,ABS(R1509-'계산 과정'!$C$89)&lt;='계산 과정'!$D$24/2),1,0),"")</x:f>
        <x:v>0</x:v>
      </x:c>
      <x:c r="T1509" s="4"/>
      <x:c r="U1509" s="4"/>
      <x:c r="V1509" s="4"/>
      <x:c r="W1509" s="4"/>
      <x:c r="X1509" s="4"/>
      <x:c r="Y1509" s="4"/>
      <x:c r="Z1509" s="4"/>
    </x:row>
    <x:row r="1510" ht="23" customHeight="1">
      <x:c r="A1510" s="17" t="n">
        <x:f>ROW()-6</x:f>
        <x:v>1504</x:v>
      </x:c>
      <x:c r="B1510" s="4" t="n">
        <x:f>IF('계산 과정'!$L$5,'계산 과정'!$L$11*SQRT((A1510+0.5)/'계산 과정'!$L$30),"")</x:f>
        <x:v>128.56488892408572</x:v>
      </x:c>
      <x:c r="C1510" s="4" t="n">
        <x:f>A1510*PI()*(3-SQRT(5))</x:f>
        <x:v>3609.5446975118944</x:v>
      </x:c>
      <x:c r="D1510" s="4" t="n">
        <x:f>IF('계산 과정'!$L$5,B1510*COS(C1510),"")</x:f>
        <x:v>-127.21085542650954</x:v>
      </x:c>
      <x:c r="E1510" s="4" t="n">
        <x:f>IF('계산 과정'!$L$5,B1510*SIN(C1510),"")</x:f>
        <x:v>18.609914715500082</x:v>
      </x:c>
      <x:c r="F1510" s="4" t="n">
        <x:f>IF('계산 과정'!$L$7,'계산 과정'!$L$22+'계산 과정'!$C$49*D1510+'계산 과정'!$D$49*E1510,"")</x:f>
        <x:v>739.9516585126264</x:v>
      </x:c>
      <x:c r="G1510" s="4" t="n">
        <x:f>IF('계산 과정'!$L$7,IF(ABS(F1510)&gt;=1E-12*MAX(1,SQRT((D1510-'계산 과정'!$C$33)^2+(E1510-'계산 과정'!$D$33)^2+'계산 과정'!$E$33^2)),('계산 과정'!$L$23-'계산 과정'!$C$49*D1510-'계산 과정'!$D$49*E1510)/F1510,""),"")</x:f>
        <x:v>0.41901161774621926</x:v>
      </x:c>
      <x:c r="H1510" s="4" t="n">
        <x:f>IF(AND(ISNUMBER(G1510),G1510&gt;0),('계산 과정'!$D$56+'계산 과정'!$D$57*D1510+'계산 과정'!$D$58*E1510)/F1510,"")</x:f>
        <x:v>-127.64244846495761</x:v>
      </x:c>
      <x:c r="I1510" s="4" t="n">
        <x:f>IF(AND(ISNUMBER(G1510),G1510&gt;0),('계산 과정'!$E$56+'계산 과정'!$E$57*D1510+'계산 과정'!$E$58*E1510)/F1510,"")</x:f>
        <x:v>26.407685186560943</x:v>
      </x:c>
      <x:c r="J1510" s="4" t="n">
        <x:f>IF('계산 과정'!$L$5,'계산 과정'!$D$6+'계산 과정'!$C$35*D1510+'계산 과정'!$D$35*E1510,"")</x:f>
        <x:v>739.9516585126264</x:v>
      </x:c>
      <x:c r="K1510" s="4" t="n">
        <x:f>IF(AND('계산 과정'!$L$6,J1510&gt;0),'계산 과정'!$D$10*('계산 과정'!$C$38*(D1510-'계산 과정'!$C$32)+'계산 과정'!$D$38*(E1510-'계산 과정'!$D$32)-'계산 과정'!$E$38*'계산 과정'!$E$32)/J1510,"")</x:f>
        <x:v>-0.9725138930663427</x:v>
      </x:c>
      <x:c r="L1510" s="4" t="n">
        <x:f>IF(AND('계산 과정'!$L$6,J1510&gt;0),'계산 과정'!$D$10*('계산 과정'!$C$39*(D1510-'계산 과정'!$C$32)+'계산 과정'!$D$39*(E1510-'계산 과정'!$D$32)-'계산 과정'!$E$39*'계산 과정'!$E$32)/J1510,"")</x:f>
        <x:v>0.20120141094522623</x:v>
      </x:c>
      <x:c r="M1510" s="17" t="n">
        <x:f>IF('계산 과정'!$L$6,IF(J1510&lt;=0,0,IF(AND(ABS(K1510)&lt;='계산 과정'!$D$11/2,ABS(L1510)&lt;='계산 과정'!$D$12/2),1,0)),"")</x:f>
        <x:v>1</x:v>
      </x:c>
      <x:c r="N1510" s="17" t="n">
        <x:f>IF('계산 과정'!$C$78,IF(AND(ISNUMBER(H1510),ISNUMBER(I1510),ABS(H1510-'계산 과정'!$C$88)&lt;='계산 과정'!$D$23/2,ABS(I1510-'계산 과정'!$C$89)&lt;='계산 과정'!$D$24/2),1,0),"")</x:f>
        <x:v>1</x:v>
      </x:c>
      <x:c r="O1510" s="4" t="n">
        <x:f>IF('계산 과정'!$L$7,'계산 과정'!$C$49*('계산 과정'!$C$32-D1510)+'계산 과정'!$D$49*('계산 과정'!$D$32-E1510)+'계산 과정'!$E$49*'계산 과정'!$E$32,"")</x:f>
        <x:v>-89.9516585126263</x:v>
      </x:c>
      <x:c r="P1510" s="4" t="n">
        <x:f>IF(AND('계산 과정'!$L$7,O1510&lt;&gt;0),('계산 과정'!$L$23-'계산 과정'!$C$49*D1510-'계산 과정'!$D$49*E1510)/O1510,"")</x:f>
        <x:v>-3.446832961327254</x:v>
      </x:c>
      <x:c r="Q1510" s="4" t="str">
        <x:f>IF(AND(ISNUMBER(P1510),P1510&gt;1E-9,P1510&lt;1-1E-9),'계산 과정'!$C$47*(D1510-'계산 과정'!$C$50+P1510*('계산 과정'!$C$32-D1510))+'계산 과정'!$D$47*(E1510-'계산 과정'!$D$50+P1510*('계산 과정'!$D$32-E1510))+'계산 과정'!$E$47*(0-'계산 과정'!$E$50+P1510*('계산 과정'!$E$32-0)),"")</x:f>
      </x:c>
      <x:c r="R1510" s="4" t="str">
        <x:f>IF(AND(ISNUMBER(P1510),P1510&gt;1E-9,P1510&lt;1-1E-9),'계산 과정'!$C$48*(D1510-'계산 과정'!$C$50+P1510*('계산 과정'!$C$32-D1510))+'계산 과정'!$D$48*(E1510-'계산 과정'!$D$50+P1510*('계산 과정'!$D$32-E1510))+'계산 과정'!$E$48*(0-'계산 과정'!$E$50+P1510*('계산 과정'!$E$32-0)),"")</x:f>
      </x:c>
      <x:c r="S1510" s="17" t="n">
        <x:f>IF('계산 과정'!$C$78,IF(AND(ISNUMBER(Q1510),ISNUMBER(R1510),ABS(Q1510-'계산 과정'!$C$88)&lt;='계산 과정'!$D$23/2,ABS(R1510-'계산 과정'!$C$89)&lt;='계산 과정'!$D$24/2),1,0),"")</x:f>
        <x:v>0</x:v>
      </x:c>
      <x:c r="T1510" s="4"/>
      <x:c r="U1510" s="4"/>
      <x:c r="V1510" s="4"/>
      <x:c r="W1510" s="4"/>
      <x:c r="X1510" s="4"/>
      <x:c r="Y1510" s="4"/>
      <x:c r="Z1510" s="4"/>
    </x:row>
    <x:row r="1511" ht="23" customHeight="1">
      <x:c r="A1511" s="17" t="n">
        <x:f>ROW()-6</x:f>
        <x:v>1505</x:v>
      </x:c>
      <x:c r="B1511" s="4" t="n">
        <x:f>IF('계산 과정'!$L$5,'계산 과정'!$L$11*SQRT((A1511+0.5)/'계산 과정'!$L$30),"")</x:f>
        <x:v>128.60760860924015</x:v>
      </x:c>
      <x:c r="C1511" s="4" t="n">
        <x:f>A1511*PI()*(3-SQRT(5))</x:f>
        <x:v>3611.9446607416226</x:v>
      </x:c>
      <x:c r="D1511" s="4" t="n">
        <x:f>IF('계산 과정'!$L$5,B1511*COS(C1511),"")</x:f>
        <x:v>81.2575003422478</x:v>
      </x:c>
      <x:c r="E1511" s="4" t="n">
        <x:f>IF('계산 과정'!$L$5,B1511*SIN(C1511),"")</x:f>
        <x:v>-99.68518260161387</x:v>
      </x:c>
      <x:c r="F1511" s="4" t="n">
        <x:f>IF('계산 과정'!$L$7,'계산 과정'!$L$22+'계산 과정'!$C$49*D1511+'계산 과정'!$D$49*E1511,"")</x:f>
        <x:v>592.5422704857284</x:v>
      </x:c>
      <x:c r="G1511" s="4" t="n">
        <x:f>IF('계산 과정'!$L$7,IF(ABS(F1511)&gt;=1E-12*MAX(1,SQRT((D1511-'계산 과정'!$C$33)^2+(E1511-'계산 과정'!$D$33)^2+'계산 과정'!$E$33^2)),('계산 과정'!$L$23-'계산 과정'!$C$49*D1511-'계산 과정'!$D$49*E1511)/F1511,""),"")</x:f>
        <x:v>0.7720254778435923</x:v>
      </x:c>
      <x:c r="H1511" s="4" t="n">
        <x:f>IF(AND(ISNUMBER(G1511),G1511&gt;0),('계산 과정'!$D$56+'계산 과정'!$D$57*D1511+'계산 과정'!$D$58*E1511)/F1511,"")</x:f>
        <x:v>101.81656059833496</x:v>
      </x:c>
      <x:c r="I1511" s="4" t="n">
        <x:f>IF(AND(ISNUMBER(G1511),G1511&gt;0),('계산 과정'!$E$56+'계산 과정'!$E$57*D1511+'계산 과정'!$E$58*E1511)/F1511,"")</x:f>
        <x:v>-176.64468333355057</x:v>
      </x:c>
      <x:c r="J1511" s="4" t="n">
        <x:f>IF('계산 과정'!$L$5,'계산 과정'!$D$6+'계산 과정'!$C$35*D1511+'계산 과정'!$D$35*E1511,"")</x:f>
        <x:v>592.5422704857284</x:v>
      </x:c>
      <x:c r="K1511" s="4" t="n">
        <x:f>IF(AND('계산 과정'!$L$6,J1511&gt;0),'계산 과정'!$D$10*('계산 과정'!$C$38*(D1511-'계산 과정'!$C$32)+'계산 과정'!$D$38*(E1511-'계산 과정'!$D$32)-'계산 과정'!$E$38*'계산 과정'!$E$32)/J1511,"")</x:f>
        <x:v>0.7757452236063627</x:v>
      </x:c>
      <x:c r="L1511" s="4" t="n">
        <x:f>IF(AND('계산 과정'!$L$6,J1511&gt;0),'계산 과정'!$D$10*('계산 과정'!$C$39*(D1511-'계산 과정'!$C$32)+'계산 과정'!$D$39*(E1511-'계산 과정'!$D$32)-'계산 과정'!$E$39*'계산 과정'!$E$32)/J1511,"")</x:f>
        <x:v>-1.3458642539699093</x:v>
      </x:c>
      <x:c r="M1511" s="17" t="n">
        <x:f>IF('계산 과정'!$L$6,IF(J1511&lt;=0,0,IF(AND(ABS(K1511)&lt;='계산 과정'!$D$11/2,ABS(L1511)&lt;='계산 과정'!$D$12/2),1,0)),"")</x:f>
        <x:v>1</x:v>
      </x:c>
      <x:c r="N1511" s="17" t="n">
        <x:f>IF('계산 과정'!$C$78,IF(AND(ISNUMBER(H1511),ISNUMBER(I1511),ABS(H1511-'계산 과정'!$C$88)&lt;='계산 과정'!$D$23/2,ABS(I1511-'계산 과정'!$C$89)&lt;='계산 과정'!$D$24/2),1,0),"")</x:f>
        <x:v>1</x:v>
      </x:c>
      <x:c r="O1511" s="4" t="n">
        <x:f>IF('계산 과정'!$L$7,'계산 과정'!$C$49*('계산 과정'!$C$32-D1511)+'계산 과정'!$D$49*('계산 과정'!$D$32-E1511)+'계산 과정'!$E$49*'계산 과정'!$E$32,"")</x:f>
        <x:v>57.457729514271705</x:v>
      </x:c>
      <x:c r="P1511" s="4" t="n">
        <x:f>IF(AND('계산 과정'!$L$7,O1511&lt;&gt;0),('계산 과정'!$L$23-'계산 과정'!$C$49*D1511-'계산 과정'!$D$49*E1511)/O1511,"")</x:f>
        <x:v>7.96163951101906</x:v>
      </x:c>
      <x:c r="Q1511" s="4" t="str">
        <x:f>IF(AND(ISNUMBER(P1511),P1511&gt;1E-9,P1511&lt;1-1E-9),'계산 과정'!$C$47*(D1511-'계산 과정'!$C$50+P1511*('계산 과정'!$C$32-D1511))+'계산 과정'!$D$47*(E1511-'계산 과정'!$D$50+P1511*('계산 과정'!$D$32-E1511))+'계산 과정'!$E$47*(0-'계산 과정'!$E$50+P1511*('계산 과정'!$E$32-0)),"")</x:f>
      </x:c>
      <x:c r="R1511" s="4" t="str">
        <x:f>IF(AND(ISNUMBER(P1511),P1511&gt;1E-9,P1511&lt;1-1E-9),'계산 과정'!$C$48*(D1511-'계산 과정'!$C$50+P1511*('계산 과정'!$C$32-D1511))+'계산 과정'!$D$48*(E1511-'계산 과정'!$D$50+P1511*('계산 과정'!$D$32-E1511))+'계산 과정'!$E$48*(0-'계산 과정'!$E$50+P1511*('계산 과정'!$E$32-0)),"")</x:f>
      </x:c>
      <x:c r="S1511" s="17" t="n">
        <x:f>IF('계산 과정'!$C$78,IF(AND(ISNUMBER(Q1511),ISNUMBER(R1511),ABS(Q1511-'계산 과정'!$C$88)&lt;='계산 과정'!$D$23/2,ABS(R1511-'계산 과정'!$C$89)&lt;='계산 과정'!$D$24/2),1,0),"")</x:f>
        <x:v>0</x:v>
      </x:c>
      <x:c r="T1511" s="4"/>
      <x:c r="U1511" s="4"/>
      <x:c r="V1511" s="4"/>
      <x:c r="W1511" s="4"/>
      <x:c r="X1511" s="4"/>
      <x:c r="Y1511" s="4"/>
      <x:c r="Z1511" s="4"/>
    </x:row>
    <x:row r="1512" ht="23" customHeight="1">
      <x:c r="A1512" s="17" t="n">
        <x:f>ROW()-6</x:f>
        <x:v>1506</x:v>
      </x:c>
      <x:c r="B1512" s="4" t="n">
        <x:f>IF('계산 과정'!$L$5,'계산 과정'!$L$11*SQRT((A1512+0.5)/'계산 과정'!$L$30),"")</x:f>
        <x:v>128.65031410887616</x:v>
      </x:c>
      <x:c r="C1512" s="4" t="n">
        <x:f>A1512*PI()*(3-SQRT(5))</x:f>
        <x:v>3614.344623971351</x:v>
      </x:c>
      <x:c r="D1512" s="4" t="n">
        <x:f>IF('계산 과정'!$L$5,B1512*COS(C1512),"")</x:f>
        <x:v>7.422085229065198</x:v>
      </x:c>
      <x:c r="E1512" s="4" t="n">
        <x:f>IF('계산 과정'!$L$5,B1512*SIN(C1512),"")</x:f>
        <x:v>128.4360384439079</x:v>
      </x:c>
      <x:c r="F1512" s="4" t="n">
        <x:f>IF('계산 과정'!$L$7,'계산 과정'!$L$22+'계산 과정'!$C$49*D1512+'계산 과정'!$D$49*E1512,"")</x:f>
        <x:v>644.7517932039835</x:v>
      </x:c>
      <x:c r="G1512" s="4" t="n">
        <x:f>IF('계산 과정'!$L$7,IF(ABS(F1512)&gt;=1E-12*MAX(1,SQRT((D1512-'계산 과정'!$C$33)^2+(E1512-'계산 과정'!$D$33)^2+'계산 과정'!$E$33^2)),('계산 과정'!$L$23-'계산 과정'!$C$49*D1512-'계산 과정'!$D$49*E1512)/F1512,""),"")</x:f>
        <x:v>0.6285336637564124</x:v>
      </x:c>
      <x:c r="H1512" s="4" t="n">
        <x:f>IF(AND(ISNUMBER(G1512),G1512&gt;0),('계산 과정'!$D$56+'계산 과정'!$D$57*D1512+'계산 과정'!$D$58*E1512)/F1512,"")</x:f>
        <x:v>8.54688144166796</x:v>
      </x:c>
      <x:c r="I1512" s="4" t="n">
        <x:f>IF(AND(ISNUMBER(G1512),G1512&gt;0),('계산 과정'!$E$56+'계산 과정'!$E$57*D1512+'계산 과정'!$E$58*E1512)/F1512,"")</x:f>
        <x:v>209.16241224541676</x:v>
      </x:c>
      <x:c r="J1512" s="4" t="n">
        <x:f>IF('계산 과정'!$L$5,'계산 과정'!$D$6+'계산 과정'!$C$35*D1512+'계산 과정'!$D$35*E1512,"")</x:f>
        <x:v>644.7517932039835</x:v>
      </x:c>
      <x:c r="K1512" s="4" t="n">
        <x:f>IF(AND('계산 과정'!$L$6,J1512&gt;0),'계산 과정'!$D$10*('계산 과정'!$C$38*(D1512-'계산 과정'!$C$32)+'계산 과정'!$D$38*(E1512-'계산 과정'!$D$32)-'계산 과정'!$E$38*'계산 과정'!$E$32)/J1512,"")</x:f>
        <x:v>0.06511909669842349</x:v>
      </x:c>
      <x:c r="L1512" s="4" t="n">
        <x:f>IF(AND('계산 과정'!$L$6,J1512&gt;0),'계산 과정'!$D$10*('계산 과정'!$C$39*(D1512-'계산 과정'!$C$32)+'계산 과정'!$D$39*(E1512-'계산 과정'!$D$32)-'계산 과정'!$E$39*'계산 과정'!$E$32)/J1512,"")</x:f>
        <x:v>1.5936183790126992</x:v>
      </x:c>
      <x:c r="M1512" s="17" t="n">
        <x:f>IF('계산 과정'!$L$6,IF(J1512&lt;=0,0,IF(AND(ABS(K1512)&lt;='계산 과정'!$D$11/2,ABS(L1512)&lt;='계산 과정'!$D$12/2),1,0)),"")</x:f>
        <x:v>1</x:v>
      </x:c>
      <x:c r="N1512" s="17" t="n">
        <x:f>IF('계산 과정'!$C$78,IF(AND(ISNUMBER(H1512),ISNUMBER(I1512),ABS(H1512-'계산 과정'!$C$88)&lt;='계산 과정'!$D$23/2,ABS(I1512-'계산 과정'!$C$89)&lt;='계산 과정'!$D$24/2),1,0),"")</x:f>
        <x:v>1</x:v>
      </x:c>
      <x:c r="O1512" s="4" t="n">
        <x:f>IF('계산 과정'!$L$7,'계산 과정'!$C$49*('계산 과정'!$C$32-D1512)+'계산 과정'!$D$49*('계산 과정'!$D$32-E1512)+'계산 과정'!$E$49*'계산 과정'!$E$32,"")</x:f>
        <x:v>5.248206796016632</x:v>
      </x:c>
      <x:c r="P1512" s="4" t="n">
        <x:f>IF(AND('계산 과정'!$L$7,O1512&lt;&gt;0),('계산 과정'!$L$23-'계산 과정'!$C$49*D1512-'계산 과정'!$D$49*E1512)/O1512,"")</x:f>
        <x:v>77.21650890426008</x:v>
      </x:c>
      <x:c r="Q1512" s="4" t="str">
        <x:f>IF(AND(ISNUMBER(P1512),P1512&gt;1E-9,P1512&lt;1-1E-9),'계산 과정'!$C$47*(D1512-'계산 과정'!$C$50+P1512*('계산 과정'!$C$32-D1512))+'계산 과정'!$D$47*(E1512-'계산 과정'!$D$50+P1512*('계산 과정'!$D$32-E1512))+'계산 과정'!$E$47*(0-'계산 과정'!$E$50+P1512*('계산 과정'!$E$32-0)),"")</x:f>
      </x:c>
      <x:c r="R1512" s="4" t="str">
        <x:f>IF(AND(ISNUMBER(P1512),P1512&gt;1E-9,P1512&lt;1-1E-9),'계산 과정'!$C$48*(D1512-'계산 과정'!$C$50+P1512*('계산 과정'!$C$32-D1512))+'계산 과정'!$D$48*(E1512-'계산 과정'!$D$50+P1512*('계산 과정'!$D$32-E1512))+'계산 과정'!$E$48*(0-'계산 과정'!$E$50+P1512*('계산 과정'!$E$32-0)),"")</x:f>
      </x:c>
      <x:c r="S1512" s="17" t="n">
        <x:f>IF('계산 과정'!$C$78,IF(AND(ISNUMBER(Q1512),ISNUMBER(R1512),ABS(Q1512-'계산 과정'!$C$88)&lt;='계산 과정'!$D$23/2,ABS(R1512-'계산 과정'!$C$89)&lt;='계산 과정'!$D$24/2),1,0),"")</x:f>
        <x:v>0</x:v>
      </x:c>
      <x:c r="T1512" s="4"/>
      <x:c r="U1512" s="4"/>
      <x:c r="V1512" s="4"/>
      <x:c r="W1512" s="4"/>
      <x:c r="X1512" s="4"/>
      <x:c r="Y1512" s="4"/>
      <x:c r="Z1512" s="4"/>
    </x:row>
    <x:row r="1513" ht="23" customHeight="1">
      <x:c r="A1513" s="17" t="n">
        <x:f>ROW()-6</x:f>
        <x:v>1507</x:v>
      </x:c>
      <x:c r="B1513" s="4" t="n">
        <x:f>IF('계산 과정'!$L$5,'계산 과정'!$L$11*SQRT((A1513+0.5)/'계산 과정'!$L$30),"")</x:f>
        <x:v>128.69300543711574</x:v>
      </x:c>
      <x:c r="C1513" s="4" t="n">
        <x:f>A1513*PI()*(3-SQRT(5))</x:f>
        <x:v>3616.7445872010803</x:v>
      </x:c>
      <x:c r="D1513" s="4" t="n">
        <x:f>IF('계산 과정'!$L$5,B1513*COS(C1513),"")</x:f>
        <x:v>-92.26071770670174</x:v>
      </x:c>
      <x:c r="E1513" s="4" t="n">
        <x:f>IF('계산 과정'!$L$5,B1513*SIN(C1513),"")</x:f>
        <x:v>-89.7209541672501</x:v>
      </x:c>
      <x:c r="F1513" s="4" t="n">
        <x:f>IF('계산 과정'!$L$7,'계산 과정'!$L$22+'계산 과정'!$C$49*D1513+'계산 과정'!$D$49*E1513,"")</x:f>
        <x:v>715.2381791275466</x:v>
      </x:c>
      <x:c r="G1513" s="4" t="n">
        <x:f>IF('계산 과정'!$L$7,IF(ABS(F1513)&gt;=1E-12*MAX(1,SQRT((D1513-'계산 과정'!$C$33)^2+(E1513-'계산 과정'!$D$33)^2+'계산 과정'!$E$33^2)),('계산 과정'!$L$23-'계산 과정'!$C$49*D1513-'계산 과정'!$D$49*E1513)/F1513,""),"")</x:f>
        <x:v>0.46804243766852416</x:v>
      </x:c>
      <x:c r="H1513" s="4" t="n">
        <x:f>IF(AND(ISNUMBER(G1513),G1513&gt;0),('계산 과정'!$D$56+'계산 과정'!$D$57*D1513+'계산 과정'!$D$58*E1513)/F1513,"")</x:f>
        <x:v>-95.77241551545944</x:v>
      </x:c>
      <x:c r="I1513" s="4" t="n">
        <x:f>IF(AND(ISNUMBER(G1513),G1513&gt;0),('계산 과정'!$E$56+'계산 과정'!$E$57*D1513+'계산 과정'!$E$58*E1513)/F1513,"")</x:f>
        <x:v>-131.71416826563578</x:v>
      </x:c>
      <x:c r="J1513" s="4" t="n">
        <x:f>IF('계산 과정'!$L$5,'계산 과정'!$D$6+'계산 과정'!$C$35*D1513+'계산 과정'!$D$35*E1513,"")</x:f>
        <x:v>715.2381791275466</x:v>
      </x:c>
      <x:c r="K1513" s="4" t="n">
        <x:f>IF(AND('계산 과정'!$L$6,J1513&gt;0),'계산 과정'!$D$10*('계산 과정'!$C$38*(D1513-'계산 과정'!$C$32)+'계산 과정'!$D$38*(E1513-'계산 과정'!$D$32)-'계산 과정'!$E$38*'계산 과정'!$E$32)/J1513,"")</x:f>
        <x:v>-0.7296945944034995</x:v>
      </x:c>
      <x:c r="L1513" s="4" t="n">
        <x:f>IF(AND('계산 과정'!$L$6,J1513&gt;0),'계산 과정'!$D$10*('계산 과정'!$C$39*(D1513-'계산 과정'!$C$32)+'계산 과정'!$D$39*(E1513-'계산 과정'!$D$32)-'계산 과정'!$E$39*'계산 과정'!$E$32)/J1513,"")</x:f>
        <x:v>-1.0035365201191297</x:v>
      </x:c>
      <x:c r="M1513" s="17" t="n">
        <x:f>IF('계산 과정'!$L$6,IF(J1513&lt;=0,0,IF(AND(ABS(K1513)&lt;='계산 과정'!$D$11/2,ABS(L1513)&lt;='계산 과정'!$D$12/2),1,0)),"")</x:f>
        <x:v>1</x:v>
      </x:c>
      <x:c r="N1513" s="17" t="n">
        <x:f>IF('계산 과정'!$C$78,IF(AND(ISNUMBER(H1513),ISNUMBER(I1513),ABS(H1513-'계산 과정'!$C$88)&lt;='계산 과정'!$D$23/2,ABS(I1513-'계산 과정'!$C$89)&lt;='계산 과정'!$D$24/2),1,0),"")</x:f>
        <x:v>1</x:v>
      </x:c>
      <x:c r="O1513" s="4" t="n">
        <x:f>IF('계산 과정'!$L$7,'계산 과정'!$C$49*('계산 과정'!$C$32-D1513)+'계산 과정'!$D$49*('계산 과정'!$D$32-E1513)+'계산 과정'!$E$49*'계산 과정'!$E$32,"")</x:f>
        <x:v>-65.23817912754646</x:v>
      </x:c>
      <x:c r="P1513" s="4" t="n">
        <x:f>IF(AND('계산 과정'!$L$7,O1513&lt;&gt;0),('계산 과정'!$L$23-'계산 과정'!$C$49*D1513-'계산 과정'!$D$49*E1513)/O1513,"")</x:f>
        <x:v>-5.131378976993889</x:v>
      </x:c>
      <x:c r="Q1513" s="4" t="str">
        <x:f>IF(AND(ISNUMBER(P1513),P1513&gt;1E-9,P1513&lt;1-1E-9),'계산 과정'!$C$47*(D1513-'계산 과정'!$C$50+P1513*('계산 과정'!$C$32-D1513))+'계산 과정'!$D$47*(E1513-'계산 과정'!$D$50+P1513*('계산 과정'!$D$32-E1513))+'계산 과정'!$E$47*(0-'계산 과정'!$E$50+P1513*('계산 과정'!$E$32-0)),"")</x:f>
      </x:c>
      <x:c r="R1513" s="4" t="str">
        <x:f>IF(AND(ISNUMBER(P1513),P1513&gt;1E-9,P1513&lt;1-1E-9),'계산 과정'!$C$48*(D1513-'계산 과정'!$C$50+P1513*('계산 과정'!$C$32-D1513))+'계산 과정'!$D$48*(E1513-'계산 과정'!$D$50+P1513*('계산 과정'!$D$32-E1513))+'계산 과정'!$E$48*(0-'계산 과정'!$E$50+P1513*('계산 과정'!$E$32-0)),"")</x:f>
      </x:c>
      <x:c r="S1513" s="17" t="n">
        <x:f>IF('계산 과정'!$C$78,IF(AND(ISNUMBER(Q1513),ISNUMBER(R1513),ABS(Q1513-'계산 과정'!$C$88)&lt;='계산 과정'!$D$23/2,ABS(R1513-'계산 과정'!$C$89)&lt;='계산 과정'!$D$24/2),1,0),"")</x:f>
        <x:v>0</x:v>
      </x:c>
      <x:c r="T1513" s="4"/>
      <x:c r="U1513" s="4"/>
      <x:c r="V1513" s="4"/>
      <x:c r="W1513" s="4"/>
      <x:c r="X1513" s="4"/>
      <x:c r="Y1513" s="4"/>
      <x:c r="Z1513" s="4"/>
    </x:row>
    <x:row r="1514" ht="23" customHeight="1">
      <x:c r="A1514" s="17" t="n">
        <x:f>ROW()-6</x:f>
        <x:v>1508</x:v>
      </x:c>
      <x:c r="B1514" s="4" t="n">
        <x:f>IF('계산 과정'!$L$5,'계산 과정'!$L$11*SQRT((A1514+0.5)/'계산 과정'!$L$30),"")</x:f>
        <x:v>128.73568260805743</x:v>
      </x:c>
      <x:c r="C1514" s="4" t="n">
        <x:f>A1514*PI()*(3-SQRT(5))</x:f>
        <x:v>3619.1445504308085</x:v>
      </x:c>
      <x:c r="D1514" s="4" t="n">
        <x:f>IF('계산 과정'!$L$5,B1514*COS(C1514),"")</x:f>
        <x:v>128.6784738436155</x:v>
      </x:c>
      <x:c r="E1514" s="4" t="n">
        <x:f>IF('계산 과정'!$L$5,B1514*SIN(C1514),"")</x:f>
        <x:v>3.8374921290427917</x:v>
      </x:c>
      <x:c r="F1514" s="4" t="n">
        <x:f>IF('계산 과정'!$L$7,'계산 과정'!$L$22+'계산 과정'!$C$49*D1514+'계산 과정'!$D$49*E1514,"")</x:f>
        <x:v>559.0105785524437</x:v>
      </x:c>
      <x:c r="G1514" s="4" t="n">
        <x:f>IF('계산 과정'!$L$7,IF(ABS(F1514)&gt;=1E-12*MAX(1,SQRT((D1514-'계산 과정'!$C$33)^2+(E1514-'계산 과정'!$D$33)^2+'계산 과정'!$E$33^2)),('계산 과정'!$L$23-'계산 과정'!$C$49*D1514-'계산 과정'!$D$49*E1514)/F1514,""),"")</x:f>
        <x:v>0.8783186585108497</x:v>
      </x:c>
      <x:c r="H1514" s="4" t="n">
        <x:f>IF(AND(ISNUMBER(G1514),G1514&gt;0),('계산 과정'!$D$56+'계산 과정'!$D$57*D1514+'계산 과정'!$D$58*E1514)/F1514,"")</x:f>
        <x:v>170.9071280320522</x:v>
      </x:c>
      <x:c r="I1514" s="4" t="n">
        <x:f>IF(AND(ISNUMBER(G1514),G1514&gt;0),('계산 과정'!$E$56+'계산 과정'!$E$57*D1514+'계산 과정'!$E$58*E1514)/F1514,"")</x:f>
        <x:v>7.208033067869601</x:v>
      </x:c>
      <x:c r="J1514" s="4" t="n">
        <x:f>IF('계산 과정'!$L$5,'계산 과정'!$D$6+'계산 과정'!$C$35*D1514+'계산 과정'!$D$35*E1514,"")</x:f>
        <x:v>559.0105785524437</x:v>
      </x:c>
      <x:c r="K1514" s="4" t="n">
        <x:f>IF(AND('계산 과정'!$L$6,J1514&gt;0),'계산 과정'!$D$10*('계산 과정'!$C$38*(D1514-'계산 과정'!$C$32)+'계산 과정'!$D$38*(E1514-'계산 과정'!$D$32)-'계산 과정'!$E$38*'계산 과정'!$E$32)/J1514,"")</x:f>
        <x:v>1.3021495469108748</x:v>
      </x:c>
      <x:c r="L1514" s="4" t="n">
        <x:f>IF(AND('계산 과정'!$L$6,J1514&gt;0),'계산 과정'!$D$10*('계산 과정'!$C$39*(D1514-'계산 과정'!$C$32)+'계산 과정'!$D$39*(E1514-'계산 과정'!$D$32)-'계산 과정'!$E$39*'계산 과정'!$E$32)/J1514,"")</x:f>
        <x:v>0.05491834718376839</x:v>
      </x:c>
      <x:c r="M1514" s="17" t="n">
        <x:f>IF('계산 과정'!$L$6,IF(J1514&lt;=0,0,IF(AND(ABS(K1514)&lt;='계산 과정'!$D$11/2,ABS(L1514)&lt;='계산 과정'!$D$12/2),1,0)),"")</x:f>
        <x:v>1</x:v>
      </x:c>
      <x:c r="N1514" s="17" t="n">
        <x:f>IF('계산 과정'!$C$78,IF(AND(ISNUMBER(H1514),ISNUMBER(I1514),ABS(H1514-'계산 과정'!$C$88)&lt;='계산 과정'!$D$23/2,ABS(I1514-'계산 과정'!$C$89)&lt;='계산 과정'!$D$24/2),1,0),"")</x:f>
        <x:v>1</x:v>
      </x:c>
      <x:c r="O1514" s="4" t="n">
        <x:f>IF('계산 과정'!$L$7,'계산 과정'!$C$49*('계산 과정'!$C$32-D1514)+'계산 과정'!$D$49*('계산 과정'!$D$32-E1514)+'계산 과정'!$E$49*'계산 과정'!$E$32,"")</x:f>
        <x:v>90.98942144755642</x:v>
      </x:c>
      <x:c r="P1514" s="4" t="n">
        <x:f>IF(AND('계산 과정'!$L$7,O1514&lt;&gt;0),('계산 과정'!$L$23-'계산 과정'!$C$49*D1514-'계산 과정'!$D$49*E1514)/O1514,"")</x:f>
        <x:v>5.396115434479907</x:v>
      </x:c>
      <x:c r="Q1514" s="4" t="str">
        <x:f>IF(AND(ISNUMBER(P1514),P1514&gt;1E-9,P1514&lt;1-1E-9),'계산 과정'!$C$47*(D1514-'계산 과정'!$C$50+P1514*('계산 과정'!$C$32-D1514))+'계산 과정'!$D$47*(E1514-'계산 과정'!$D$50+P1514*('계산 과정'!$D$32-E1514))+'계산 과정'!$E$47*(0-'계산 과정'!$E$50+P1514*('계산 과정'!$E$32-0)),"")</x:f>
      </x:c>
      <x:c r="R1514" s="4" t="str">
        <x:f>IF(AND(ISNUMBER(P1514),P1514&gt;1E-9,P1514&lt;1-1E-9),'계산 과정'!$C$48*(D1514-'계산 과정'!$C$50+P1514*('계산 과정'!$C$32-D1514))+'계산 과정'!$D$48*(E1514-'계산 과정'!$D$50+P1514*('계산 과정'!$D$32-E1514))+'계산 과정'!$E$48*(0-'계산 과정'!$E$50+P1514*('계산 과정'!$E$32-0)),"")</x:f>
      </x:c>
      <x:c r="S1514" s="17" t="n">
        <x:f>IF('계산 과정'!$C$78,IF(AND(ISNUMBER(Q1514),ISNUMBER(R1514),ABS(Q1514-'계산 과정'!$C$88)&lt;='계산 과정'!$D$23/2,ABS(R1514-'계산 과정'!$C$89)&lt;='계산 과정'!$D$24/2),1,0),"")</x:f>
        <x:v>0</x:v>
      </x:c>
      <x:c r="T1514" s="4"/>
      <x:c r="U1514" s="4"/>
      <x:c r="V1514" s="4"/>
      <x:c r="W1514" s="4"/>
      <x:c r="X1514" s="4"/>
      <x:c r="Y1514" s="4"/>
      <x:c r="Z1514" s="4"/>
    </x:row>
    <x:row r="1515" ht="23" customHeight="1">
      <x:c r="A1515" s="17" t="n">
        <x:f>ROW()-6</x:f>
        <x:v>1509</x:v>
      </x:c>
      <x:c r="B1515" s="4" t="n">
        <x:f>IF('계산 과정'!$L$5,'계산 과정'!$L$11*SQRT((A1515+0.5)/'계산 과정'!$L$30),"")</x:f>
        <x:v>128.77834563577645</x:v>
      </x:c>
      <x:c r="C1515" s="4" t="n">
        <x:f>A1515*PI()*(3-SQRT(5))</x:f>
        <x:v>3621.544513660537</x:v>
      </x:c>
      <x:c r="D1515" s="4" t="n">
        <x:f>IF('계산 과정'!$L$5,B1515*COS(C1515),"")</x:f>
        <x:v>-97.50799403926695</x:v>
      </x:c>
      <x:c r="E1515" s="4" t="n">
        <x:f>IF('계산 과정'!$L$5,B1515*SIN(C1515),"")</x:f>
        <x:v>84.11928080485343</x:v>
      </x:c>
      <x:c r="F1515" s="4" t="n">
        <x:f>IF('계산 과정'!$L$7,'계산 과정'!$L$22+'계산 과정'!$C$49*D1515+'계산 과정'!$D$49*E1515,"")</x:f>
        <x:v>718.9485638050631</x:v>
      </x:c>
      <x:c r="G1515" s="4" t="n">
        <x:f>IF('계산 과정'!$L$7,IF(ABS(F1515)&gt;=1E-12*MAX(1,SQRT((D1515-'계산 과정'!$C$33)^2+(E1515-'계산 과정'!$D$33)^2+'계산 과정'!$E$33^2)),('계산 과정'!$L$23-'계산 과정'!$C$49*D1515-'계산 과정'!$D$49*E1515)/F1515,""),"")</x:f>
        <x:v>0.46046609293276053</x:v>
      </x:c>
      <x:c r="H1515" s="4" t="n">
        <x:f>IF(AND(ISNUMBER(G1515),G1515&gt;0),('계산 과정'!$D$56+'계산 과정'!$D$57*D1515+'계산 과정'!$D$58*E1515)/F1515,"")</x:f>
        <x:v>-100.6970395937058</x:v>
      </x:c>
      <x:c r="I1515" s="4" t="n">
        <x:f>IF(AND(ISNUMBER(G1515),G1515&gt;0),('계산 과정'!$E$56+'계산 과정'!$E$57*D1515+'계산 과정'!$E$58*E1515)/F1515,"")</x:f>
        <x:v>122.85335737737805</x:v>
      </x:c>
      <x:c r="J1515" s="4" t="n">
        <x:f>IF('계산 과정'!$L$5,'계산 과정'!$D$6+'계산 과정'!$C$35*D1515+'계산 과정'!$D$35*E1515,"")</x:f>
        <x:v>718.9485638050631</x:v>
      </x:c>
      <x:c r="K1515" s="4" t="n">
        <x:f>IF(AND('계산 과정'!$L$6,J1515&gt;0),'계산 과정'!$D$10*('계산 과정'!$C$38*(D1515-'계산 과정'!$C$32)+'계산 과정'!$D$38*(E1515-'계산 과정'!$D$32)-'계산 과정'!$E$38*'계산 과정'!$E$32)/J1515,"")</x:f>
        <x:v>-0.7672155397615668</x:v>
      </x:c>
      <x:c r="L1515" s="4" t="n">
        <x:f>IF(AND('계산 과정'!$L$6,J1515&gt;0),'계산 과정'!$D$10*('계산 과정'!$C$39*(D1515-'계산 과정'!$C$32)+'계산 과정'!$D$39*(E1515-'계산 과정'!$D$32)-'계산 과정'!$E$39*'계산 과정'!$E$32)/J1515,"")</x:f>
        <x:v>0.9360255800181184</x:v>
      </x:c>
      <x:c r="M1515" s="17" t="n">
        <x:f>IF('계산 과정'!$L$6,IF(J1515&lt;=0,0,IF(AND(ABS(K1515)&lt;='계산 과정'!$D$11/2,ABS(L1515)&lt;='계산 과정'!$D$12/2),1,0)),"")</x:f>
        <x:v>1</x:v>
      </x:c>
      <x:c r="N1515" s="17" t="n">
        <x:f>IF('계산 과정'!$C$78,IF(AND(ISNUMBER(H1515),ISNUMBER(I1515),ABS(H1515-'계산 과정'!$C$88)&lt;='계산 과정'!$D$23/2,ABS(I1515-'계산 과정'!$C$89)&lt;='계산 과정'!$D$24/2),1,0),"")</x:f>
        <x:v>1</x:v>
      </x:c>
      <x:c r="O1515" s="4" t="n">
        <x:f>IF('계산 과정'!$L$7,'계산 과정'!$C$49*('계산 과정'!$C$32-D1515)+'계산 과정'!$D$49*('계산 과정'!$D$32-E1515)+'계산 과정'!$E$49*'계산 과정'!$E$32,"")</x:f>
        <x:v>-68.94856380506297</x:v>
      </x:c>
      <x:c r="P1515" s="4" t="n">
        <x:f>IF(AND('계산 과정'!$L$7,O1515&lt;&gt;0),('계산 과정'!$L$23-'계산 과정'!$C$49*D1515-'계산 과정'!$D$49*E1515)/O1515,"")</x:f>
        <x:v>-4.801426134573487</x:v>
      </x:c>
      <x:c r="Q1515" s="4" t="str">
        <x:f>IF(AND(ISNUMBER(P1515),P1515&gt;1E-9,P1515&lt;1-1E-9),'계산 과정'!$C$47*(D1515-'계산 과정'!$C$50+P1515*('계산 과정'!$C$32-D1515))+'계산 과정'!$D$47*(E1515-'계산 과정'!$D$50+P1515*('계산 과정'!$D$32-E1515))+'계산 과정'!$E$47*(0-'계산 과정'!$E$50+P1515*('계산 과정'!$E$32-0)),"")</x:f>
      </x:c>
      <x:c r="R1515" s="4" t="str">
        <x:f>IF(AND(ISNUMBER(P1515),P1515&gt;1E-9,P1515&lt;1-1E-9),'계산 과정'!$C$48*(D1515-'계산 과정'!$C$50+P1515*('계산 과정'!$C$32-D1515))+'계산 과정'!$D$48*(E1515-'계산 과정'!$D$50+P1515*('계산 과정'!$D$32-E1515))+'계산 과정'!$E$48*(0-'계산 과정'!$E$50+P1515*('계산 과정'!$E$32-0)),"")</x:f>
      </x:c>
      <x:c r="S1515" s="17" t="n">
        <x:f>IF('계산 과정'!$C$78,IF(AND(ISNUMBER(Q1515),ISNUMBER(R1515),ABS(Q1515-'계산 과정'!$C$88)&lt;='계산 과정'!$D$23/2,ABS(R1515-'계산 과정'!$C$89)&lt;='계산 과정'!$D$24/2),1,0),"")</x:f>
        <x:v>0</x:v>
      </x:c>
      <x:c r="T1515" s="4"/>
      <x:c r="U1515" s="4"/>
      <x:c r="V1515" s="4"/>
      <x:c r="W1515" s="4"/>
      <x:c r="X1515" s="4"/>
      <x:c r="Y1515" s="4"/>
      <x:c r="Z1515" s="4"/>
    </x:row>
    <x:row r="1516" ht="23" customHeight="1">
      <x:c r="A1516" s="17" t="n">
        <x:f>ROW()-6</x:f>
        <x:v>1510</x:v>
      </x:c>
      <x:c r="B1516" s="4" t="n">
        <x:f>IF('계산 과정'!$L$5,'계산 과정'!$L$11*SQRT((A1516+0.5)/'계산 과정'!$L$30),"")</x:f>
        <x:v>128.82099453432465</x:v>
      </x:c>
      <x:c r="C1516" s="4" t="n">
        <x:f>A1516*PI()*(3-SQRT(5))</x:f>
        <x:v>3623.9444768902654</x:v>
      </x:c>
      <x:c r="D1516" s="4" t="n">
        <x:f>IF('계산 과정'!$L$5,B1516*COS(C1516),"")</x:f>
        <x:v>15.082595834850377</x:v>
      </x:c>
      <x:c r="E1516" s="4" t="n">
        <x:f>IF('계산 과정'!$L$5,B1516*SIN(C1516),"")</x:f>
        <x:v>-127.9349988693284</x:v>
      </x:c>
      <x:c r="F1516" s="4" t="n">
        <x:f>IF('계산 과정'!$L$7,'계산 과정'!$L$22+'계산 과정'!$C$49*D1516+'계산 과정'!$D$49*E1516,"")</x:f>
        <x:v>639.3349942072813</x:v>
      </x:c>
      <x:c r="G1516" s="4" t="n">
        <x:f>IF('계산 과정'!$L$7,IF(ABS(F1516)&gt;=1E-12*MAX(1,SQRT((D1516-'계산 과정'!$C$33)^2+(E1516-'계산 과정'!$D$33)^2+'계산 과정'!$E$33^2)),('계산 과정'!$L$23-'계산 과정'!$C$49*D1516-'계산 과정'!$D$49*E1516)/F1516,""),"")</x:f>
        <x:v>0.6423314999390998</x:v>
      </x:c>
      <x:c r="H1516" s="4" t="n">
        <x:f>IF(AND(ISNUMBER(G1516),G1516&gt;0),('계산 과정'!$D$56+'계산 과정'!$D$57*D1516+'계산 과정'!$D$58*E1516)/F1516,"")</x:f>
        <x:v>17.515474960414743</x:v>
      </x:c>
      <x:c r="I1516" s="4" t="n">
        <x:f>IF(AND(ISNUMBER(G1516),G1516&gt;0),('계산 과정'!$E$56+'계산 과정'!$E$57*D1516+'계산 과정'!$E$58*E1516)/F1516,"")</x:f>
        <x:v>-210.11167858777114</x:v>
      </x:c>
      <x:c r="J1516" s="4" t="n">
        <x:f>IF('계산 과정'!$L$5,'계산 과정'!$D$6+'계산 과정'!$C$35*D1516+'계산 과정'!$D$35*E1516,"")</x:f>
        <x:v>639.3349942072813</x:v>
      </x:c>
      <x:c r="K1516" s="4" t="n">
        <x:f>IF(AND('계산 과정'!$L$6,J1516&gt;0),'계산 과정'!$D$10*('계산 과정'!$C$38*(D1516-'계산 과정'!$C$32)+'계산 과정'!$D$38*(E1516-'계산 과정'!$D$32)-'계산 과정'!$E$38*'계산 과정'!$E$32)/J1516,"")</x:f>
        <x:v>0.13345123779363746</x:v>
      </x:c>
      <x:c r="L1516" s="4" t="n">
        <x:f>IF(AND('계산 과정'!$L$6,J1516&gt;0),'계산 과정'!$D$10*('계산 과정'!$C$39*(D1516-'계산 과정'!$C$32)+'계산 과정'!$D$39*(E1516-'계산 과정'!$D$32)-'계산 과정'!$E$39*'계산 과정'!$E$32)/J1516,"")</x:f>
        <x:v>-1.6008508844782563</x:v>
      </x:c>
      <x:c r="M1516" s="17" t="n">
        <x:f>IF('계산 과정'!$L$6,IF(J1516&lt;=0,0,IF(AND(ABS(K1516)&lt;='계산 과정'!$D$11/2,ABS(L1516)&lt;='계산 과정'!$D$12/2),1,0)),"")</x:f>
        <x:v>1</x:v>
      </x:c>
      <x:c r="N1516" s="17" t="n">
        <x:f>IF('계산 과정'!$C$78,IF(AND(ISNUMBER(H1516),ISNUMBER(I1516),ABS(H1516-'계산 과정'!$C$88)&lt;='계산 과정'!$D$23/2,ABS(I1516-'계산 과정'!$C$89)&lt;='계산 과정'!$D$24/2),1,0),"")</x:f>
        <x:v>1</x:v>
      </x:c>
      <x:c r="O1516" s="4" t="n">
        <x:f>IF('계산 과정'!$L$7,'계산 과정'!$C$49*('계산 과정'!$C$32-D1516)+'계산 과정'!$D$49*('계산 과정'!$D$32-E1516)+'계산 과정'!$E$49*'계산 과정'!$E$32,"")</x:f>
        <x:v>10.66500579271883</x:v>
      </x:c>
      <x:c r="P1516" s="4" t="n">
        <x:f>IF(AND('계산 과정'!$L$7,O1516&lt;&gt;0),('계산 과정'!$L$23-'계산 과정'!$C$49*D1516-'계산 과정'!$D$49*E1516)/O1516,"")</x:f>
        <x:v>38.50583991928877</x:v>
      </x:c>
      <x:c r="Q1516" s="4" t="str">
        <x:f>IF(AND(ISNUMBER(P1516),P1516&gt;1E-9,P1516&lt;1-1E-9),'계산 과정'!$C$47*(D1516-'계산 과정'!$C$50+P1516*('계산 과정'!$C$32-D1516))+'계산 과정'!$D$47*(E1516-'계산 과정'!$D$50+P1516*('계산 과정'!$D$32-E1516))+'계산 과정'!$E$47*(0-'계산 과정'!$E$50+P1516*('계산 과정'!$E$32-0)),"")</x:f>
      </x:c>
      <x:c r="R1516" s="4" t="str">
        <x:f>IF(AND(ISNUMBER(P1516),P1516&gt;1E-9,P1516&lt;1-1E-9),'계산 과정'!$C$48*(D1516-'계산 과정'!$C$50+P1516*('계산 과정'!$C$32-D1516))+'계산 과정'!$D$48*(E1516-'계산 과정'!$D$50+P1516*('계산 과정'!$D$32-E1516))+'계산 과정'!$E$48*(0-'계산 과정'!$E$50+P1516*('계산 과정'!$E$32-0)),"")</x:f>
      </x:c>
      <x:c r="S1516" s="17" t="n">
        <x:f>IF('계산 과정'!$C$78,IF(AND(ISNUMBER(Q1516),ISNUMBER(R1516),ABS(Q1516-'계산 과정'!$C$88)&lt;='계산 과정'!$D$23/2,ABS(R1516-'계산 과정'!$C$89)&lt;='계산 과정'!$D$24/2),1,0),"")</x:f>
        <x:v>0</x:v>
      </x:c>
      <x:c r="T1516" s="4"/>
      <x:c r="U1516" s="4"/>
      <x:c r="V1516" s="4"/>
      <x:c r="W1516" s="4"/>
      <x:c r="X1516" s="4"/>
      <x:c r="Y1516" s="4"/>
      <x:c r="Z1516" s="4"/>
    </x:row>
    <x:row r="1517" ht="23" customHeight="1">
      <x:c r="A1517" s="17" t="n">
        <x:f>ROW()-6</x:f>
        <x:v>1511</x:v>
      </x:c>
      <x:c r="B1517" s="4" t="n">
        <x:f>IF('계산 과정'!$L$5,'계산 과정'!$L$11*SQRT((A1517+0.5)/'계산 과정'!$L$30),"")</x:f>
        <x:v>128.8636293177307</x:v>
      </x:c>
      <x:c r="C1517" s="4" t="n">
        <x:f>A1517*PI()*(3-SQRT(5))</x:f>
        <x:v>3626.3444401199945</x:v>
      </x:c>
      <x:c r="D1517" s="4" t="n">
        <x:f>IF('계산 과정'!$L$5,B1517*COS(C1517),"")</x:f>
        <x:v>75.32233380451972</x:v>
      </x:c>
      <x:c r="E1517" s="4" t="n">
        <x:f>IF('계산 과정'!$L$5,B1517*SIN(C1517),"")</x:f>
        <x:v>104.55802690935789</x:v>
      </x:c>
      <x:c r="F1517" s="4" t="n">
        <x:f>IF('계산 과정'!$L$7,'계산 과정'!$L$22+'계산 과정'!$C$49*D1517+'계산 과정'!$D$49*E1517,"")</x:f>
        <x:v>596.7390669920273</x:v>
      </x:c>
      <x:c r="G1517" s="4" t="n">
        <x:f>IF('계산 과정'!$L$7,IF(ABS(F1517)&gt;=1E-12*MAX(1,SQRT((D1517-'계산 과정'!$C$33)^2+(E1517-'계산 과정'!$D$33)^2+'계산 과정'!$E$33^2)),('계산 과정'!$L$23-'계산 과정'!$C$49*D1517-'계산 과정'!$D$49*E1517)/F1517,""),"")</x:f>
        <x:v>0.7595630285992795</x:v>
      </x:c>
      <x:c r="H1517" s="4" t="n">
        <x:f>IF(AND(ISNUMBER(G1517),G1517&gt;0),('계산 과정'!$D$56+'계산 과정'!$D$57*D1517+'계산 과정'!$D$58*E1517)/F1517,"")</x:f>
        <x:v>93.71596858953153</x:v>
      </x:c>
      <x:c r="I1517" s="4" t="n">
        <x:f>IF(AND(ISNUMBER(G1517),G1517&gt;0),('계산 과정'!$E$56+'계산 과정'!$E$57*D1517+'계산 과정'!$E$58*E1517)/F1517,"")</x:f>
        <x:v>183.97643849299476</x:v>
      </x:c>
      <x:c r="J1517" s="4" t="n">
        <x:f>IF('계산 과정'!$L$5,'계산 과정'!$D$6+'계산 과정'!$C$35*D1517+'계산 과정'!$D$35*E1517,"")</x:f>
        <x:v>596.7390669920273</x:v>
      </x:c>
      <x:c r="K1517" s="4" t="n">
        <x:f>IF(AND('계산 과정'!$L$6,J1517&gt;0),'계산 과정'!$D$10*('계산 과정'!$C$38*(D1517-'계산 과정'!$C$32)+'계산 과정'!$D$38*(E1517-'계산 과정'!$D$32)-'계산 과정'!$E$38*'계산 과정'!$E$32)/J1517,"")</x:f>
        <x:v>0.7140264273488122</x:v>
      </x:c>
      <x:c r="L1517" s="4" t="n">
        <x:f>IF(AND('계산 과정'!$L$6,J1517&gt;0),'계산 과정'!$D$10*('계산 과정'!$C$39*(D1517-'계산 과정'!$C$32)+'계산 과정'!$D$39*(E1517-'계산 과정'!$D$32)-'계산 과정'!$E$39*'계산 과정'!$E$32)/J1517,"")</x:f>
        <x:v>1.4017252456609124</x:v>
      </x:c>
      <x:c r="M1517" s="17" t="n">
        <x:f>IF('계산 과정'!$L$6,IF(J1517&lt;=0,0,IF(AND(ABS(K1517)&lt;='계산 과정'!$D$11/2,ABS(L1517)&lt;='계산 과정'!$D$12/2),1,0)),"")</x:f>
        <x:v>1</x:v>
      </x:c>
      <x:c r="N1517" s="17" t="n">
        <x:f>IF('계산 과정'!$C$78,IF(AND(ISNUMBER(H1517),ISNUMBER(I1517),ABS(H1517-'계산 과정'!$C$88)&lt;='계산 과정'!$D$23/2,ABS(I1517-'계산 과정'!$C$89)&lt;='계산 과정'!$D$24/2),1,0),"")</x:f>
        <x:v>1</x:v>
      </x:c>
      <x:c r="O1517" s="4" t="n">
        <x:f>IF('계산 과정'!$L$7,'계산 과정'!$C$49*('계산 과정'!$C$32-D1517)+'계산 과정'!$D$49*('계산 과정'!$D$32-E1517)+'계산 과정'!$E$49*'계산 과정'!$E$32,"")</x:f>
        <x:v>53.26093300797271</x:v>
      </x:c>
      <x:c r="P1517" s="4" t="n">
        <x:f>IF(AND('계산 과정'!$L$7,O1517&lt;&gt;0),('계산 과정'!$L$23-'계산 과정'!$C$49*D1517-'계산 과정'!$D$49*E1517)/O1517,"")</x:f>
        <x:v>8.510195135712761</x:v>
      </x:c>
      <x:c r="Q1517" s="4" t="str">
        <x:f>IF(AND(ISNUMBER(P1517),P1517&gt;1E-9,P1517&lt;1-1E-9),'계산 과정'!$C$47*(D1517-'계산 과정'!$C$50+P1517*('계산 과정'!$C$32-D1517))+'계산 과정'!$D$47*(E1517-'계산 과정'!$D$50+P1517*('계산 과정'!$D$32-E1517))+'계산 과정'!$E$47*(0-'계산 과정'!$E$50+P1517*('계산 과정'!$E$32-0)),"")</x:f>
      </x:c>
      <x:c r="R1517" s="4" t="str">
        <x:f>IF(AND(ISNUMBER(P1517),P1517&gt;1E-9,P1517&lt;1-1E-9),'계산 과정'!$C$48*(D1517-'계산 과정'!$C$50+P1517*('계산 과정'!$C$32-D1517))+'계산 과정'!$D$48*(E1517-'계산 과정'!$D$50+P1517*('계산 과정'!$D$32-E1517))+'계산 과정'!$E$48*(0-'계산 과정'!$E$50+P1517*('계산 과정'!$E$32-0)),"")</x:f>
      </x:c>
      <x:c r="S1517" s="17" t="n">
        <x:f>IF('계산 과정'!$C$78,IF(AND(ISNUMBER(Q1517),ISNUMBER(R1517),ABS(Q1517-'계산 과정'!$C$88)&lt;='계산 과정'!$D$23/2,ABS(R1517-'계산 과정'!$C$89)&lt;='계산 과정'!$D$24/2),1,0),"")</x:f>
        <x:v>0</x:v>
      </x:c>
      <x:c r="T1517" s="4"/>
      <x:c r="U1517" s="4"/>
      <x:c r="V1517" s="4"/>
      <x:c r="W1517" s="4"/>
      <x:c r="X1517" s="4"/>
      <x:c r="Y1517" s="4"/>
      <x:c r="Z1517" s="4"/>
    </x:row>
    <x:row r="1518" ht="23" customHeight="1">
      <x:c r="A1518" s="17" t="n">
        <x:f>ROW()-6</x:f>
        <x:v>1512</x:v>
      </x:c>
      <x:c r="B1518" s="4" t="n">
        <x:f>IF('계산 과정'!$L$5,'계산 과정'!$L$11*SQRT((A1518+0.5)/'계산 과정'!$L$30),"")</x:f>
        <x:v>128.90625</x:v>
      </x:c>
      <x:c r="C1518" s="4" t="n">
        <x:f>A1518*PI()*(3-SQRT(5))</x:f>
        <x:v>3628.744403349723</x:v>
      </x:c>
      <x:c r="D1518" s="4" t="n">
        <x:f>IF('계산 과정'!$L$5,B1518*COS(C1518),"")</x:f>
        <x:v>-126.21000635076614</x:v>
      </x:c>
      <x:c r="E1518" s="4" t="n">
        <x:f>IF('계산 과정'!$L$5,B1518*SIN(C1518),"")</x:f>
        <x:v>-26.227001086705904</x:v>
      </x:c>
      <x:c r="F1518" s="4" t="n">
        <x:f>IF('계산 과정'!$L$7,'계산 과정'!$L$22+'계산 과정'!$C$49*D1518+'계산 과정'!$D$49*E1518,"")</x:f>
        <x:v>739.243951344224</x:v>
      </x:c>
      <x:c r="G1518" s="4" t="n">
        <x:f>IF('계산 과정'!$L$7,IF(ABS(F1518)&gt;=1E-12*MAX(1,SQRT((D1518-'계산 과정'!$C$33)^2+(E1518-'계산 과정'!$D$33)^2+'계산 과정'!$E$33^2)),('계산 과정'!$L$23-'계산 과정'!$C$49*D1518-'계산 과정'!$D$49*E1518)/F1518,""),"")</x:f>
        <x:v>0.4203700931075655</x:v>
      </x:c>
      <x:c r="H1518" s="4" t="n">
        <x:f>IF(AND(ISNUMBER(G1518),G1518&gt;0),('계산 과정'!$D$56+'계산 과정'!$D$57*D1518+'계산 과정'!$D$58*E1518)/F1518,"")</x:f>
        <x:v>-126.75943948008256</x:v>
      </x:c>
      <x:c r="I1518" s="4" t="n">
        <x:f>IF(AND(ISNUMBER(G1518),G1518&gt;0),('계산 과정'!$E$56+'계산 과정'!$E$57*D1518+'계산 과정'!$E$58*E1518)/F1518,"")</x:f>
        <x:v>-37.252047975456684</x:v>
      </x:c>
      <x:c r="J1518" s="4" t="n">
        <x:f>IF('계산 과정'!$L$5,'계산 과정'!$D$6+'계산 과정'!$C$35*D1518+'계산 과정'!$D$35*E1518,"")</x:f>
        <x:v>739.243951344224</x:v>
      </x:c>
      <x:c r="K1518" s="4" t="n">
        <x:f>IF(AND('계산 과정'!$L$6,J1518&gt;0),'계산 과정'!$D$10*('계산 과정'!$C$38*(D1518-'계산 과정'!$C$32)+'계산 과정'!$D$38*(E1518-'계산 과정'!$D$32)-'계산 과정'!$E$38*'계산 과정'!$E$32)/J1518,"")</x:f>
        <x:v>-0.9657862055625326</x:v>
      </x:c>
      <x:c r="L1518" s="4" t="n">
        <x:f>IF(AND('계산 과정'!$L$6,J1518&gt;0),'계산 과정'!$D$10*('계산 과정'!$C$39*(D1518-'계산 과정'!$C$32)+'계산 과정'!$D$39*(E1518-'계산 과정'!$D$32)-'계산 과정'!$E$39*'계산 과정'!$E$32)/J1518,"")</x:f>
        <x:v>-0.2838251274320509</x:v>
      </x:c>
      <x:c r="M1518" s="17" t="n">
        <x:f>IF('계산 과정'!$L$6,IF(J1518&lt;=0,0,IF(AND(ABS(K1518)&lt;='계산 과정'!$D$11/2,ABS(L1518)&lt;='계산 과정'!$D$12/2),1,0)),"")</x:f>
        <x:v>1</x:v>
      </x:c>
      <x:c r="N1518" s="17" t="n">
        <x:f>IF('계산 과정'!$C$78,IF(AND(ISNUMBER(H1518),ISNUMBER(I1518),ABS(H1518-'계산 과정'!$C$88)&lt;='계산 과정'!$D$23/2,ABS(I1518-'계산 과정'!$C$89)&lt;='계산 과정'!$D$24/2),1,0),"")</x:f>
        <x:v>1</x:v>
      </x:c>
      <x:c r="O1518" s="4" t="n">
        <x:f>IF('계산 과정'!$L$7,'계산 과정'!$C$49*('계산 과정'!$C$32-D1518)+'계산 과정'!$D$49*('계산 과정'!$D$32-E1518)+'계산 과정'!$E$49*'계산 과정'!$E$32,"")</x:f>
        <x:v>-89.24395134422383</x:v>
      </x:c>
      <x:c r="P1518" s="4" t="n">
        <x:f>IF(AND('계산 과정'!$L$7,O1518&lt;&gt;0),('계산 과정'!$L$23-'계산 과정'!$C$49*D1518-'계산 과정'!$D$49*E1518)/O1518,"")</x:f>
        <x:v>-3.4820964779691956</x:v>
      </x:c>
      <x:c r="Q1518" s="4" t="str">
        <x:f>IF(AND(ISNUMBER(P1518),P1518&gt;1E-9,P1518&lt;1-1E-9),'계산 과정'!$C$47*(D1518-'계산 과정'!$C$50+P1518*('계산 과정'!$C$32-D1518))+'계산 과정'!$D$47*(E1518-'계산 과정'!$D$50+P1518*('계산 과정'!$D$32-E1518))+'계산 과정'!$E$47*(0-'계산 과정'!$E$50+P1518*('계산 과정'!$E$32-0)),"")</x:f>
      </x:c>
      <x:c r="R1518" s="4" t="str">
        <x:f>IF(AND(ISNUMBER(P1518),P1518&gt;1E-9,P1518&lt;1-1E-9),'계산 과정'!$C$48*(D1518-'계산 과정'!$C$50+P1518*('계산 과정'!$C$32-D1518))+'계산 과정'!$D$48*(E1518-'계산 과정'!$D$50+P1518*('계산 과정'!$D$32-E1518))+'계산 과정'!$E$48*(0-'계산 과정'!$E$50+P1518*('계산 과정'!$E$32-0)),"")</x:f>
      </x:c>
      <x:c r="S1518" s="17" t="n">
        <x:f>IF('계산 과정'!$C$78,IF(AND(ISNUMBER(Q1518),ISNUMBER(R1518),ABS(Q1518-'계산 과정'!$C$88)&lt;='계산 과정'!$D$23/2,ABS(R1518-'계산 과정'!$C$89)&lt;='계산 과정'!$D$24/2),1,0),"")</x:f>
        <x:v>0</x:v>
      </x:c>
      <x:c r="T1518" s="4"/>
      <x:c r="U1518" s="4"/>
      <x:c r="V1518" s="4"/>
      <x:c r="W1518" s="4"/>
      <x:c r="X1518" s="4"/>
      <x:c r="Y1518" s="4"/>
      <x:c r="Z1518" s="4"/>
    </x:row>
    <x:row r="1519" ht="23" customHeight="1">
      <x:c r="A1519" s="17" t="n">
        <x:f>ROW()-6</x:f>
        <x:v>1513</x:v>
      </x:c>
      <x:c r="B1519" s="4" t="n">
        <x:f>IF('계산 과정'!$L$5,'계산 과정'!$L$11*SQRT((A1519+0.5)/'계산 과정'!$L$30),"")</x:f>
        <x:v>128.94885659511488</x:v>
      </x:c>
      <x:c r="C1519" s="4" t="n">
        <x:f>A1519*PI()*(3-SQRT(5))</x:f>
        <x:v>3631.144366579452</x:v>
      </x:c>
      <x:c r="D1519" s="4" t="n">
        <x:f>IF('계산 과정'!$L$5,B1519*COS(C1519),"")</x:f>
        <x:v>110.81603071004133</x:v>
      </x:c>
      <x:c r="E1519" s="4" t="n">
        <x:f>IF('계산 과정'!$L$5,B1519*SIN(C1519),"")</x:f>
        <x:v>-65.93644633174188</x:v>
      </x:c>
      <x:c r="F1519" s="4" t="n">
        <x:f>IF('계산 과정'!$L$7,'계산 과정'!$L$22+'계산 과정'!$C$49*D1519+'계산 과정'!$D$49*E1519,"")</x:f>
        <x:v>571.6412332207531</x:v>
      </x:c>
      <x:c r="G1519" s="4" t="n">
        <x:f>IF('계산 과정'!$L$7,IF(ABS(F1519)&gt;=1E-12*MAX(1,SQRT((D1519-'계산 과정'!$C$33)^2+(E1519-'계산 과정'!$D$33)^2+'계산 과정'!$E$33^2)),('계산 과정'!$L$23-'계산 과정'!$C$49*D1519-'계산 과정'!$D$49*E1519)/F1519,""),"")</x:f>
        <x:v>0.8368164138266722</x:v>
      </x:c>
      <x:c r="H1519" s="4" t="n">
        <x:f>IF(AND(ISNUMBER(G1519),G1519&gt;0),('계산 과정'!$D$56+'계산 과정'!$D$57*D1519+'계산 과정'!$D$58*E1519)/F1519,"")</x:f>
        <x:v>143.93066898733684</x:v>
      </x:c>
      <x:c r="I1519" s="4" t="n">
        <x:f>IF(AND(ISNUMBER(G1519),G1519&gt;0),('계산 과정'!$E$56+'계산 과정'!$E$57*D1519+'계산 과정'!$E$58*E1519)/F1519,"")</x:f>
        <x:v>-121.11314689154496</x:v>
      </x:c>
      <x:c r="J1519" s="4" t="n">
        <x:f>IF('계산 과정'!$L$5,'계산 과정'!$D$6+'계산 과정'!$C$35*D1519+'계산 과정'!$D$35*E1519,"")</x:f>
        <x:v>571.6412332207531</x:v>
      </x:c>
      <x:c r="K1519" s="4" t="n">
        <x:f>IF(AND('계산 과정'!$L$6,J1519&gt;0),'계산 과정'!$D$10*('계산 과정'!$C$38*(D1519-'계산 과정'!$C$32)+'계산 과정'!$D$38*(E1519-'계산 과정'!$D$32)-'계산 과정'!$E$38*'계산 과정'!$E$32)/J1519,"")</x:f>
        <x:v>1.0966146208559004</x:v>
      </x:c>
      <x:c r="L1519" s="4" t="n">
        <x:f>IF(AND('계산 과정'!$L$6,J1519&gt;0),'계산 과정'!$D$10*('계산 과정'!$C$39*(D1519-'계산 과정'!$C$32)+'계산 과정'!$D$39*(E1519-'계산 과정'!$D$32)-'계산 과정'!$E$39*'계산 과정'!$E$32)/J1519,"")</x:f>
        <x:v>-0.9227668334593901</x:v>
      </x:c>
      <x:c r="M1519" s="17" t="n">
        <x:f>IF('계산 과정'!$L$6,IF(J1519&lt;=0,0,IF(AND(ABS(K1519)&lt;='계산 과정'!$D$11/2,ABS(L1519)&lt;='계산 과정'!$D$12/2),1,0)),"")</x:f>
        <x:v>1</x:v>
      </x:c>
      <x:c r="N1519" s="17" t="n">
        <x:f>IF('계산 과정'!$C$78,IF(AND(ISNUMBER(H1519),ISNUMBER(I1519),ABS(H1519-'계산 과정'!$C$88)&lt;='계산 과정'!$D$23/2,ABS(I1519-'계산 과정'!$C$89)&lt;='계산 과정'!$D$24/2),1,0),"")</x:f>
        <x:v>1</x:v>
      </x:c>
      <x:c r="O1519" s="4" t="n">
        <x:f>IF('계산 과정'!$L$7,'계산 과정'!$C$49*('계산 과정'!$C$32-D1519)+'계산 과정'!$D$49*('계산 과정'!$D$32-E1519)+'계산 과정'!$E$49*'계산 과정'!$E$32,"")</x:f>
        <x:v>78.35876677924702</x:v>
      </x:c>
      <x:c r="P1519" s="4" t="n">
        <x:f>IF(AND('계산 과정'!$L$7,O1519&lt;&gt;0),('계산 과정'!$L$23-'계산 과정'!$C$49*D1519-'계산 과정'!$D$49*E1519)/O1519,"")</x:f>
        <x:v>6.104725564746103</x:v>
      </x:c>
      <x:c r="Q1519" s="4" t="str">
        <x:f>IF(AND(ISNUMBER(P1519),P1519&gt;1E-9,P1519&lt;1-1E-9),'계산 과정'!$C$47*(D1519-'계산 과정'!$C$50+P1519*('계산 과정'!$C$32-D1519))+'계산 과정'!$D$47*(E1519-'계산 과정'!$D$50+P1519*('계산 과정'!$D$32-E1519))+'계산 과정'!$E$47*(0-'계산 과정'!$E$50+P1519*('계산 과정'!$E$32-0)),"")</x:f>
      </x:c>
      <x:c r="R1519" s="4" t="str">
        <x:f>IF(AND(ISNUMBER(P1519),P1519&gt;1E-9,P1519&lt;1-1E-9),'계산 과정'!$C$48*(D1519-'계산 과정'!$C$50+P1519*('계산 과정'!$C$32-D1519))+'계산 과정'!$D$48*(E1519-'계산 과정'!$D$50+P1519*('계산 과정'!$D$32-E1519))+'계산 과정'!$E$48*(0-'계산 과정'!$E$50+P1519*('계산 과정'!$E$32-0)),"")</x:f>
      </x:c>
      <x:c r="S1519" s="17" t="n">
        <x:f>IF('계산 과정'!$C$78,IF(AND(ISNUMBER(Q1519),ISNUMBER(R1519),ABS(Q1519-'계산 과정'!$C$88)&lt;='계산 과정'!$D$23/2,ABS(R1519-'계산 과정'!$C$89)&lt;='계산 과정'!$D$24/2),1,0),"")</x:f>
        <x:v>0</x:v>
      </x:c>
      <x:c r="T1519" s="4"/>
      <x:c r="U1519" s="4"/>
      <x:c r="V1519" s="4"/>
      <x:c r="W1519" s="4"/>
      <x:c r="X1519" s="4"/>
      <x:c r="Y1519" s="4"/>
      <x:c r="Z1519" s="4"/>
    </x:row>
    <x:row r="1520" ht="23" customHeight="1">
      <x:c r="A1520" s="17" t="n">
        <x:f>ROW()-6</x:f>
        <x:v>1514</x:v>
      </x:c>
      <x:c r="B1520" s="4" t="n">
        <x:f>IF('계산 과정'!$L$5,'계산 과정'!$L$11*SQRT((A1520+0.5)/'계산 과정'!$L$30),"")</x:f>
        <x:v>128.9914491170345</x:v>
      </x:c>
      <x:c r="C1520" s="4" t="n">
        <x:f>A1520*PI()*(3-SQRT(5))</x:f>
        <x:v>3633.5443298091805</x:v>
      </x:c>
      <x:c r="D1520" s="4" t="n">
        <x:f>IF('계산 과정'!$L$5,B1520*COS(C1520),"")</x:f>
        <x:v>-37.185141105117324</x:v>
      </x:c>
      <x:c r="E1520" s="4" t="n">
        <x:f>IF('계산 과정'!$L$5,B1520*SIN(C1520),"")</x:f>
        <x:v>123.51542100606311</x:v>
      </x:c>
      <x:c r="F1520" s="4" t="n">
        <x:f>IF('계산 과정'!$L$7,'계산 과정'!$L$22+'계산 과정'!$C$49*D1520+'계산 과정'!$D$49*E1520,"")</x:f>
        <x:v>676.2938654348071</x:v>
      </x:c>
      <x:c r="G1520" s="4" t="n">
        <x:f>IF('계산 과정'!$L$7,IF(ABS(F1520)&gt;=1E-12*MAX(1,SQRT((D1520-'계산 과정'!$C$33)^2+(E1520-'계산 과정'!$D$33)^2+'계산 과정'!$E$33^2)),('계산 과정'!$L$23-'계산 과정'!$C$49*D1520-'계산 과정'!$D$49*E1520)/F1520,""),"")</x:f>
        <x:v>0.5525795126426696</x:v>
      </x:c>
      <x:c r="H1520" s="4" t="n">
        <x:f>IF(AND(ISNUMBER(G1520),G1520&gt;0),('계산 과정'!$D$56+'계산 과정'!$D$57*D1520+'계산 과정'!$D$58*E1520)/F1520,"")</x:f>
        <x:v>-40.82331678226484</x:v>
      </x:c>
      <x:c r="I1520" s="4" t="n">
        <x:f>IF(AND(ISNUMBER(G1520),G1520&gt;0),('계산 과정'!$E$56+'계산 과정'!$E$57*D1520+'계산 과정'!$E$58*E1520)/F1520,"")</x:f>
        <x:v>191.7675121494476</x:v>
      </x:c>
      <x:c r="J1520" s="4" t="n">
        <x:f>IF('계산 과정'!$L$5,'계산 과정'!$D$6+'계산 과정'!$C$35*D1520+'계산 과정'!$D$35*E1520,"")</x:f>
        <x:v>676.2938654348071</x:v>
      </x:c>
      <x:c r="K1520" s="4" t="n">
        <x:f>IF(AND('계산 과정'!$L$6,J1520&gt;0),'계산 과정'!$D$10*('계산 과정'!$C$38*(D1520-'계산 과정'!$C$32)+'계산 과정'!$D$38*(E1520-'계산 과정'!$D$32)-'계산 과정'!$E$38*'계산 과정'!$E$32)/J1520,"")</x:f>
        <x:v>-0.3110347945315411</x:v>
      </x:c>
      <x:c r="L1520" s="4" t="n">
        <x:f>IF(AND('계산 과정'!$L$6,J1520&gt;0),'계산 과정'!$D$10*('계산 과정'!$C$39*(D1520-'계산 과정'!$C$32)+'계산 과정'!$D$39*(E1520-'계산 과정'!$D$32)-'계산 과정'!$E$39*'계산 과정'!$E$32)/J1520,"")</x:f>
        <x:v>1.4610858068529342</x:v>
      </x:c>
      <x:c r="M1520" s="17" t="n">
        <x:f>IF('계산 과정'!$L$6,IF(J1520&lt;=0,0,IF(AND(ABS(K1520)&lt;='계산 과정'!$D$11/2,ABS(L1520)&lt;='계산 과정'!$D$12/2),1,0)),"")</x:f>
        <x:v>1</x:v>
      </x:c>
      <x:c r="N1520" s="17" t="n">
        <x:f>IF('계산 과정'!$C$78,IF(AND(ISNUMBER(H1520),ISNUMBER(I1520),ABS(H1520-'계산 과정'!$C$88)&lt;='계산 과정'!$D$23/2,ABS(I1520-'계산 과정'!$C$89)&lt;='계산 과정'!$D$24/2),1,0),"")</x:f>
        <x:v>1</x:v>
      </x:c>
      <x:c r="O1520" s="4" t="n">
        <x:f>IF('계산 과정'!$L$7,'계산 과정'!$C$49*('계산 과정'!$C$32-D1520)+'계산 과정'!$D$49*('계산 과정'!$D$32-E1520)+'계산 과정'!$E$49*'계산 과정'!$E$32,"")</x:f>
        <x:v>-26.293865434807003</x:v>
      </x:c>
      <x:c r="P1520" s="4" t="n">
        <x:f>IF(AND('계산 과정'!$L$7,O1520&lt;&gt;0),('계산 과정'!$L$23-'계산 과정'!$C$49*D1520-'계산 과정'!$D$49*E1520)/O1520,"")</x:f>
        <x:v>-14.21267388363874</x:v>
      </x:c>
      <x:c r="Q1520" s="4" t="str">
        <x:f>IF(AND(ISNUMBER(P1520),P1520&gt;1E-9,P1520&lt;1-1E-9),'계산 과정'!$C$47*(D1520-'계산 과정'!$C$50+P1520*('계산 과정'!$C$32-D1520))+'계산 과정'!$D$47*(E1520-'계산 과정'!$D$50+P1520*('계산 과정'!$D$32-E1520))+'계산 과정'!$E$47*(0-'계산 과정'!$E$50+P1520*('계산 과정'!$E$32-0)),"")</x:f>
      </x:c>
      <x:c r="R1520" s="4" t="str">
        <x:f>IF(AND(ISNUMBER(P1520),P1520&gt;1E-9,P1520&lt;1-1E-9),'계산 과정'!$C$48*(D1520-'계산 과정'!$C$50+P1520*('계산 과정'!$C$32-D1520))+'계산 과정'!$D$48*(E1520-'계산 과정'!$D$50+P1520*('계산 과정'!$D$32-E1520))+'계산 과정'!$E$48*(0-'계산 과정'!$E$50+P1520*('계산 과정'!$E$32-0)),"")</x:f>
      </x:c>
      <x:c r="S1520" s="17" t="n">
        <x:f>IF('계산 과정'!$C$78,IF(AND(ISNUMBER(Q1520),ISNUMBER(R1520),ABS(Q1520-'계산 과정'!$C$88)&lt;='계산 과정'!$D$23/2,ABS(R1520-'계산 과정'!$C$89)&lt;='계산 과정'!$D$24/2),1,0),"")</x:f>
        <x:v>0</x:v>
      </x:c>
      <x:c r="T1520" s="4"/>
      <x:c r="U1520" s="4"/>
      <x:c r="V1520" s="4"/>
      <x:c r="W1520" s="4"/>
      <x:c r="X1520" s="4"/>
      <x:c r="Y1520" s="4"/>
      <x:c r="Z1520" s="4"/>
    </x:row>
    <x:row r="1521" ht="23" customHeight="1">
      <x:c r="A1521" s="17" t="n">
        <x:f>ROW()-6</x:f>
        <x:v>1515</x:v>
      </x:c>
      <x:c r="B1521" s="4" t="n">
        <x:f>IF('계산 과정'!$L$5,'계산 과정'!$L$11*SQRT((A1521+0.5)/'계산 과정'!$L$30),"")</x:f>
        <x:v>129.03402757969502</x:v>
      </x:c>
      <x:c r="C1521" s="4" t="n">
        <x:f>A1521*PI()*(3-SQRT(5))</x:f>
        <x:v>3635.9442930389096</x:v>
      </x:c>
      <x:c r="D1521" s="4" t="n">
        <x:f>IF('계산 과정'!$L$5,B1521*COS(C1521),"")</x:f>
        <x:v>-56.03279192331692</x:v>
      </x:c>
      <x:c r="E1521" s="4" t="n">
        <x:f>IF('계산 과정'!$L$5,B1521*SIN(C1521),"")</x:f>
        <x:v>-116.23298371252355</x:v>
      </x:c>
      <x:c r="F1521" s="4" t="n">
        <x:f>IF('계산 과정'!$L$7,'계산 과정'!$L$22+'계산 과정'!$C$49*D1521+'계산 과정'!$D$49*E1521,"")</x:f>
        <x:v>689.6211671377922</x:v>
      </x:c>
      <x:c r="G1521" s="4" t="n">
        <x:f>IF('계산 과정'!$L$7,IF(ABS(F1521)&gt;=1E-12*MAX(1,SQRT((D1521-'계산 과정'!$C$33)^2+(E1521-'계산 과정'!$D$33)^2+'계산 과정'!$E$33^2)),('계산 과정'!$L$23-'계산 과정'!$C$49*D1521-'계산 과정'!$D$49*E1521)/F1521,""),"")</x:f>
        <x:v>0.5225750745991835</x:v>
      </x:c>
      <x:c r="H1521" s="4" t="n">
        <x:f>IF(AND(ISNUMBER(G1521),G1521&gt;0),('계산 과정'!$D$56+'계산 과정'!$D$57*D1521+'계산 과정'!$D$58*E1521)/F1521,"")</x:f>
        <x:v>-60.32620151053081</x:v>
      </x:c>
      <x:c r="I1521" s="4" t="n">
        <x:f>IF(AND(ISNUMBER(G1521),G1521&gt;0),('계산 과정'!$E$56+'계산 과정'!$E$57*D1521+'계산 과정'!$E$58*E1521)/F1521,"")</x:f>
        <x:v>-176.9734438469812</x:v>
      </x:c>
      <x:c r="J1521" s="4" t="n">
        <x:f>IF('계산 과정'!$L$5,'계산 과정'!$D$6+'계산 과정'!$C$35*D1521+'계산 과정'!$D$35*E1521,"")</x:f>
        <x:v>689.6211671377922</x:v>
      </x:c>
      <x:c r="K1521" s="4" t="n">
        <x:f>IF(AND('계산 과정'!$L$6,J1521&gt;0),'계산 과정'!$D$10*('계산 과정'!$C$38*(D1521-'계산 과정'!$C$32)+'계산 과정'!$D$38*(E1521-'계산 과정'!$D$32)-'계산 과정'!$E$38*'계산 과정'!$E$32)/J1521,"")</x:f>
        <x:v>-0.4596282019849958</x:v>
      </x:c>
      <x:c r="L1521" s="4" t="n">
        <x:f>IF(AND('계산 과정'!$L$6,J1521&gt;0),'계산 과정'!$D$10*('계산 과정'!$C$39*(D1521-'계산 과정'!$C$32)+'계산 과정'!$D$39*(E1521-'계산 과정'!$D$32)-'계산 과정'!$E$39*'계산 과정'!$E$32)/J1521,"")</x:f>
        <x:v>-1.3483690959769998</x:v>
      </x:c>
      <x:c r="M1521" s="17" t="n">
        <x:f>IF('계산 과정'!$L$6,IF(J1521&lt;=0,0,IF(AND(ABS(K1521)&lt;='계산 과정'!$D$11/2,ABS(L1521)&lt;='계산 과정'!$D$12/2),1,0)),"")</x:f>
        <x:v>1</x:v>
      </x:c>
      <x:c r="N1521" s="17" t="n">
        <x:f>IF('계산 과정'!$C$78,IF(AND(ISNUMBER(H1521),ISNUMBER(I1521),ABS(H1521-'계산 과정'!$C$88)&lt;='계산 과정'!$D$23/2,ABS(I1521-'계산 과정'!$C$89)&lt;='계산 과정'!$D$24/2),1,0),"")</x:f>
        <x:v>1</x:v>
      </x:c>
      <x:c r="O1521" s="4" t="n">
        <x:f>IF('계산 과정'!$L$7,'계산 과정'!$C$49*('계산 과정'!$C$32-D1521)+'계산 과정'!$D$49*('계산 과정'!$D$32-E1521)+'계산 과정'!$E$49*'계산 과정'!$E$32,"")</x:f>
        <x:v>-39.6211671377921</x:v>
      </x:c>
      <x:c r="P1521" s="4" t="n">
        <x:f>IF(AND('계산 과정'!$L$7,O1521&lt;&gt;0),('계산 과정'!$L$23-'계산 과정'!$C$49*D1521-'계산 과정'!$D$49*E1521)/O1521,"")</x:f>
        <x:v>-9.095613756376839</x:v>
      </x:c>
      <x:c r="Q1521" s="4" t="str">
        <x:f>IF(AND(ISNUMBER(P1521),P1521&gt;1E-9,P1521&lt;1-1E-9),'계산 과정'!$C$47*(D1521-'계산 과정'!$C$50+P1521*('계산 과정'!$C$32-D1521))+'계산 과정'!$D$47*(E1521-'계산 과정'!$D$50+P1521*('계산 과정'!$D$32-E1521))+'계산 과정'!$E$47*(0-'계산 과정'!$E$50+P1521*('계산 과정'!$E$32-0)),"")</x:f>
      </x:c>
      <x:c r="R1521" s="4" t="str">
        <x:f>IF(AND(ISNUMBER(P1521),P1521&gt;1E-9,P1521&lt;1-1E-9),'계산 과정'!$C$48*(D1521-'계산 과정'!$C$50+P1521*('계산 과정'!$C$32-D1521))+'계산 과정'!$D$48*(E1521-'계산 과정'!$D$50+P1521*('계산 과정'!$D$32-E1521))+'계산 과정'!$E$48*(0-'계산 과정'!$E$50+P1521*('계산 과정'!$E$32-0)),"")</x:f>
      </x:c>
      <x:c r="S1521" s="17" t="n">
        <x:f>IF('계산 과정'!$C$78,IF(AND(ISNUMBER(Q1521),ISNUMBER(R1521),ABS(Q1521-'계산 과정'!$C$88)&lt;='계산 과정'!$D$23/2,ABS(R1521-'계산 과정'!$C$89)&lt;='계산 과정'!$D$24/2),1,0),"")</x:f>
        <x:v>0</x:v>
      </x:c>
      <x:c r="T1521" s="4"/>
      <x:c r="U1521" s="4"/>
      <x:c r="V1521" s="4"/>
      <x:c r="W1521" s="4"/>
      <x:c r="X1521" s="4"/>
      <x:c r="Y1521" s="4"/>
      <x:c r="Z1521" s="4"/>
    </x:row>
    <x:row r="1522" ht="23" customHeight="1">
      <x:c r="A1522" s="17" t="n">
        <x:f>ROW()-6</x:f>
        <x:v>1516</x:v>
      </x:c>
      <x:c r="B1522" s="4" t="n">
        <x:f>IF('계산 과정'!$L$5,'계산 과정'!$L$11*SQRT((A1522+0.5)/'계산 과정'!$L$30),"")</x:f>
        <x:v>129.07659199700967</x:v>
      </x:c>
      <x:c r="C1522" s="4" t="n">
        <x:f>A1522*PI()*(3-SQRT(5))</x:f>
        <x:v>3638.3442562686378</x:v>
      </x:c>
      <x:c r="D1522" s="4" t="n">
        <x:f>IF('계산 과정'!$L$5,B1522*COS(C1522),"")</x:f>
        <x:v>119.87061793370607</x:v>
      </x:c>
      <x:c r="E1522" s="4" t="n">
        <x:f>IF('계산 과정'!$L$5,B1522*SIN(C1522),"")</x:f>
        <x:v>47.872764258542325</x:v>
      </x:c>
      <x:c r="F1522" s="4" t="n">
        <x:f>IF('계산 과정'!$L$7,'계산 과정'!$L$22+'계산 과정'!$C$49*D1522+'계산 과정'!$D$49*E1522,"")</x:f>
        <x:v>565.2386731940546</x:v>
      </x:c>
      <x:c r="G1522" s="4" t="n">
        <x:f>IF('계산 과정'!$L$7,IF(ABS(F1522)&gt;=1E-12*MAX(1,SQRT((D1522-'계산 과정'!$C$33)^2+(E1522-'계산 과정'!$D$33)^2+'계산 과정'!$E$33^2)),('계산 과정'!$L$23-'계산 과정'!$C$49*D1522-'계산 과정'!$D$49*E1522)/F1522,""),"")</x:f>
        <x:v>0.857622363428625</x:v>
      </x:c>
      <x:c r="H1522" s="4" t="n">
        <x:f>IF(AND(ISNUMBER(G1522),G1522&gt;0),('계산 과정'!$D$56+'계산 과정'!$D$57*D1522+'계산 과정'!$D$58*E1522)/F1522,"")</x:f>
        <x:v>157.45453622860617</x:v>
      </x:c>
      <x:c r="I1522" s="4" t="n">
        <x:f>IF(AND(ISNUMBER(G1522),G1522&gt;0),('계산 과정'!$E$56+'계산 과정'!$E$57*D1522+'계산 과정'!$E$58*E1522)/F1522,"")</x:f>
        <x:v>88.9295174858148</x:v>
      </x:c>
      <x:c r="J1522" s="4" t="n">
        <x:f>IF('계산 과정'!$L$5,'계산 과정'!$D$6+'계산 과정'!$C$35*D1522+'계산 과정'!$D$35*E1522,"")</x:f>
        <x:v>565.2386731940546</x:v>
      </x:c>
      <x:c r="K1522" s="4" t="n">
        <x:f>IF(AND('계산 과정'!$L$6,J1522&gt;0),'계산 과정'!$D$10*('계산 과정'!$C$38*(D1522-'계산 과정'!$C$32)+'계산 과정'!$D$38*(E1522-'계산 과정'!$D$32)-'계산 과정'!$E$38*'계산 과정'!$E$32)/J1522,"")</x:f>
        <x:v>1.1996536093608097</x:v>
      </x:c>
      <x:c r="L1522" s="4" t="n">
        <x:f>IF(AND('계산 과정'!$L$6,J1522&gt;0),'계산 과정'!$D$10*('계산 과정'!$C$39*(D1522-'계산 과정'!$C$32)+'계산 과정'!$D$39*(E1522-'계산 과정'!$D$32)-'계산 과정'!$E$39*'계산 과정'!$E$32)/J1522,"")</x:f>
        <x:v>0.6775582284633509</x:v>
      </x:c>
      <x:c r="M1522" s="17" t="n">
        <x:f>IF('계산 과정'!$L$6,IF(J1522&lt;=0,0,IF(AND(ABS(K1522)&lt;='계산 과정'!$D$11/2,ABS(L1522)&lt;='계산 과정'!$D$12/2),1,0)),"")</x:f>
        <x:v>1</x:v>
      </x:c>
      <x:c r="N1522" s="17" t="n">
        <x:f>IF('계산 과정'!$C$78,IF(AND(ISNUMBER(H1522),ISNUMBER(I1522),ABS(H1522-'계산 과정'!$C$88)&lt;='계산 과정'!$D$23/2,ABS(I1522-'계산 과정'!$C$89)&lt;='계산 과정'!$D$24/2),1,0),"")</x:f>
        <x:v>1</x:v>
      </x:c>
      <x:c r="O1522" s="4" t="n">
        <x:f>IF('계산 과정'!$L$7,'계산 과정'!$C$49*('계산 과정'!$C$32-D1522)+'계산 과정'!$D$49*('계산 과정'!$D$32-E1522)+'계산 과정'!$E$49*'계산 과정'!$E$32,"")</x:f>
        <x:v>84.76132680594543</x:v>
      </x:c>
      <x:c r="P1522" s="4" t="n">
        <x:f>IF(AND('계산 과정'!$L$7,O1522&lt;&gt;0),('계산 과정'!$L$23-'계산 과정'!$C$49*D1522-'계산 과정'!$D$49*E1522)/O1522,"")</x:f>
        <x:v>5.71913330139073</x:v>
      </x:c>
      <x:c r="Q1522" s="4" t="str">
        <x:f>IF(AND(ISNUMBER(P1522),P1522&gt;1E-9,P1522&lt;1-1E-9),'계산 과정'!$C$47*(D1522-'계산 과정'!$C$50+P1522*('계산 과정'!$C$32-D1522))+'계산 과정'!$D$47*(E1522-'계산 과정'!$D$50+P1522*('계산 과정'!$D$32-E1522))+'계산 과정'!$E$47*(0-'계산 과정'!$E$50+P1522*('계산 과정'!$E$32-0)),"")</x:f>
      </x:c>
      <x:c r="R1522" s="4" t="str">
        <x:f>IF(AND(ISNUMBER(P1522),P1522&gt;1E-9,P1522&lt;1-1E-9),'계산 과정'!$C$48*(D1522-'계산 과정'!$C$50+P1522*('계산 과정'!$C$32-D1522))+'계산 과정'!$D$48*(E1522-'계산 과정'!$D$50+P1522*('계산 과정'!$D$32-E1522))+'계산 과정'!$E$48*(0-'계산 과정'!$E$50+P1522*('계산 과정'!$E$32-0)),"")</x:f>
      </x:c>
      <x:c r="S1522" s="17" t="n">
        <x:f>IF('계산 과정'!$C$78,IF(AND(ISNUMBER(Q1522),ISNUMBER(R1522),ABS(Q1522-'계산 과정'!$C$88)&lt;='계산 과정'!$D$23/2,ABS(R1522-'계산 과정'!$C$89)&lt;='계산 과정'!$D$24/2),1,0),"")</x:f>
        <x:v>0</x:v>
      </x:c>
      <x:c r="T1522" s="4"/>
      <x:c r="U1522" s="4"/>
      <x:c r="V1522" s="4"/>
      <x:c r="W1522" s="4"/>
      <x:c r="X1522" s="4"/>
      <x:c r="Y1522" s="4"/>
      <x:c r="Z1522" s="4"/>
    </x:row>
    <x:row r="1523" ht="23" customHeight="1">
      <x:c r="A1523" s="17" t="n">
        <x:f>ROW()-6</x:f>
        <x:v>1517</x:v>
      </x:c>
      <x:c r="B1523" s="4" t="n">
        <x:f>IF('계산 과정'!$L$5,'계산 과정'!$L$11*SQRT((A1523+0.5)/'계산 과정'!$L$30),"")</x:f>
        <x:v>129.11914238286863</x:v>
      </x:c>
      <x:c r="C1523" s="4" t="n">
        <x:f>A1523*PI()*(3-SQRT(5))</x:f>
        <x:v>3640.7442194983664</x:v>
      </x:c>
      <x:c r="D1523" s="4" t="n">
        <x:f>IF('계산 과정'!$L$5,B1523*COS(C1523),"")</x:f>
        <x:v>-120.76624841963351</x:v>
      </x:c>
      <x:c r="E1523" s="4" t="n">
        <x:f>IF('계산 과정'!$L$5,B1523*SIN(C1523),"")</x:f>
        <x:v>45.686608238463805</x:v>
      </x:c>
      <x:c r="F1523" s="4" t="n">
        <x:f>IF('계산 과정'!$L$7,'계산 과정'!$L$22+'계산 과정'!$C$49*D1523+'계산 과정'!$D$49*E1523,"")</x:f>
        <x:v>735.394633195982</x:v>
      </x:c>
      <x:c r="G1523" s="4" t="n">
        <x:f>IF('계산 과정'!$L$7,IF(ABS(F1523)&gt;=1E-12*MAX(1,SQRT((D1523-'계산 과정'!$C$33)^2+(E1523-'계산 과정'!$D$33)^2+'계산 과정'!$E$33^2)),('계산 과정'!$L$23-'계산 과정'!$C$49*D1523-'계산 과정'!$D$49*E1523)/F1523,""),"")</x:f>
        <x:v>0.4278048174444264</x:v>
      </x:c>
      <x:c r="H1523" s="4" t="n">
        <x:f>IF(AND(ISNUMBER(G1523),G1523&gt;0),('계산 과정'!$D$56+'계산 과정'!$D$57*D1523+'계산 과정'!$D$58*E1523)/F1523,"")</x:f>
        <x:v>-121.92686866112301</x:v>
      </x:c>
      <x:c r="I1523" s="4" t="n">
        <x:f>IF(AND(ISNUMBER(G1523),G1523&gt;0),('계산 과정'!$E$56+'계산 과정'!$E$57*D1523+'계산 과정'!$E$58*E1523)/F1523,"")</x:f>
        <x:v>65.23155933557484</x:v>
      </x:c>
      <x:c r="J1523" s="4" t="n">
        <x:f>IF('계산 과정'!$L$5,'계산 과정'!$D$6+'계산 과정'!$C$35*D1523+'계산 과정'!$D$35*E1523,"")</x:f>
        <x:v>735.394633195982</x:v>
      </x:c>
      <x:c r="K1523" s="4" t="n">
        <x:f>IF(AND('계산 과정'!$L$6,J1523&gt;0),'계산 과정'!$D$10*('계산 과정'!$C$38*(D1523-'계산 과정'!$C$32)+'계산 과정'!$D$38*(E1523-'계산 과정'!$D$32)-'계산 과정'!$E$38*'계산 과정'!$E$32)/J1523,"")</x:f>
        <x:v>-0.9289666183704598</x:v>
      </x:c>
      <x:c r="L1523" s="4" t="n">
        <x:f>IF(AND('계산 과정'!$L$6,J1523&gt;0),'계산 과정'!$D$10*('계산 과정'!$C$39*(D1523-'계산 과정'!$C$32)+'계산 과정'!$D$39*(E1523-'계산 과정'!$D$32)-'계산 과정'!$E$39*'계산 과정'!$E$32)/J1523,"")</x:f>
        <x:v>0.49700235684247496</x:v>
      </x:c>
      <x:c r="M1523" s="17" t="n">
        <x:f>IF('계산 과정'!$L$6,IF(J1523&lt;=0,0,IF(AND(ABS(K1523)&lt;='계산 과정'!$D$11/2,ABS(L1523)&lt;='계산 과정'!$D$12/2),1,0)),"")</x:f>
        <x:v>1</x:v>
      </x:c>
      <x:c r="N1523" s="17" t="n">
        <x:f>IF('계산 과정'!$C$78,IF(AND(ISNUMBER(H1523),ISNUMBER(I1523),ABS(H1523-'계산 과정'!$C$88)&lt;='계산 과정'!$D$23/2,ABS(I1523-'계산 과정'!$C$89)&lt;='계산 과정'!$D$24/2),1,0),"")</x:f>
        <x:v>1</x:v>
      </x:c>
      <x:c r="O1523" s="4" t="n">
        <x:f>IF('계산 과정'!$L$7,'계산 과정'!$C$49*('계산 과정'!$C$32-D1523)+'계산 과정'!$D$49*('계산 과정'!$D$32-E1523)+'계산 과정'!$E$49*'계산 과정'!$E$32,"")</x:f>
        <x:v>-85.3946331959819</x:v>
      </x:c>
      <x:c r="P1523" s="4" t="n">
        <x:f>IF(AND('계산 과정'!$L$7,O1523&lt;&gt;0),('계산 과정'!$L$23-'계산 과정'!$C$49*D1523-'계산 과정'!$D$49*E1523)/O1523,"")</x:f>
        <x:v>-3.6841351151657764</x:v>
      </x:c>
      <x:c r="Q1523" s="4" t="str">
        <x:f>IF(AND(ISNUMBER(P1523),P1523&gt;1E-9,P1523&lt;1-1E-9),'계산 과정'!$C$47*(D1523-'계산 과정'!$C$50+P1523*('계산 과정'!$C$32-D1523))+'계산 과정'!$D$47*(E1523-'계산 과정'!$D$50+P1523*('계산 과정'!$D$32-E1523))+'계산 과정'!$E$47*(0-'계산 과정'!$E$50+P1523*('계산 과정'!$E$32-0)),"")</x:f>
      </x:c>
      <x:c r="R1523" s="4" t="str">
        <x:f>IF(AND(ISNUMBER(P1523),P1523&gt;1E-9,P1523&lt;1-1E-9),'계산 과정'!$C$48*(D1523-'계산 과정'!$C$50+P1523*('계산 과정'!$C$32-D1523))+'계산 과정'!$D$48*(E1523-'계산 과정'!$D$50+P1523*('계산 과정'!$D$32-E1523))+'계산 과정'!$E$48*(0-'계산 과정'!$E$50+P1523*('계산 과정'!$E$32-0)),"")</x:f>
      </x:c>
      <x:c r="S1523" s="17" t="n">
        <x:f>IF('계산 과정'!$C$78,IF(AND(ISNUMBER(Q1523),ISNUMBER(R1523),ABS(Q1523-'계산 과정'!$C$88)&lt;='계산 과정'!$D$23/2,ABS(R1523-'계산 과정'!$C$89)&lt;='계산 과정'!$D$24/2),1,0),"")</x:f>
        <x:v>0</x:v>
      </x:c>
      <x:c r="T1523" s="4"/>
      <x:c r="U1523" s="4"/>
      <x:c r="V1523" s="4"/>
      <x:c r="W1523" s="4"/>
      <x:c r="X1523" s="4"/>
      <x:c r="Y1523" s="4"/>
      <x:c r="Z1523" s="4"/>
    </x:row>
    <x:row r="1524" ht="23" customHeight="1">
      <x:c r="A1524" s="17" t="n">
        <x:f>ROW()-6</x:f>
        <x:v>1518</x:v>
      </x:c>
      <x:c r="B1524" s="4" t="n">
        <x:f>IF('계산 과정'!$L$5,'계산 과정'!$L$11*SQRT((A1524+0.5)/'계산 과정'!$L$30),"")</x:f>
        <x:v>129.16167875113928</x:v>
      </x:c>
      <x:c r="C1524" s="4" t="n">
        <x:f>A1524*PI()*(3-SQRT(5))</x:f>
        <x:v>3643.1441827280955</x:v>
      </x:c>
      <x:c r="D1524" s="4" t="n">
        <x:f>IF('계산 과정'!$L$5,B1524*COS(C1524),"")</x:f>
        <x:v>58.20758196550288</x:v>
      </x:c>
      <x:c r="E1524" s="4" t="n">
        <x:f>IF('계산 과정'!$L$5,B1524*SIN(C1524),"")</x:f>
        <x:v>-115.30228384356387</x:v>
      </x:c>
      <x:c r="F1524" s="4" t="n">
        <x:f>IF('계산 과정'!$L$7,'계산 과정'!$L$22+'계산 과정'!$C$49*D1524+'계산 과정'!$D$49*E1524,"")</x:f>
        <x:v>608.8410240757212</x:v>
      </x:c>
      <x:c r="G1524" s="4" t="n">
        <x:f>IF('계산 과정'!$L$7,IF(ABS(F1524)&gt;=1E-12*MAX(1,SQRT((D1524-'계산 과정'!$C$33)^2+(E1524-'계산 과정'!$D$33)^2+'계산 과정'!$E$33^2)),('계산 과정'!$L$23-'계산 과정'!$C$49*D1524-'계산 과정'!$D$49*E1524)/F1524,""),"")</x:f>
        <x:v>0.7245881247801925</x:v>
      </x:c>
      <x:c r="H1524" s="4" t="n">
        <x:f>IF(AND(ISNUMBER(G1524),G1524&gt;0),('계산 과정'!$D$56+'계산 과정'!$D$57*D1524+'계산 과정'!$D$58*E1524)/F1524,"")</x:f>
        <x:v>70.9822811071251</x:v>
      </x:c>
      <x:c r="I1524" s="4" t="n">
        <x:f>IF(AND(ISNUMBER(G1524),G1524&gt;0),('계산 과정'!$E$56+'계산 과정'!$E$57*D1524+'계산 과정'!$E$58*E1524)/F1524,"")</x:f>
        <x:v>-198.8489494766453</x:v>
      </x:c>
      <x:c r="J1524" s="4" t="n">
        <x:f>IF('계산 과정'!$L$5,'계산 과정'!$D$6+'계산 과정'!$C$35*D1524+'계산 과정'!$D$35*E1524,"")</x:f>
        <x:v>608.8410240757212</x:v>
      </x:c>
      <x:c r="K1524" s="4" t="n">
        <x:f>IF(AND('계산 과정'!$L$6,J1524&gt;0),'계산 과정'!$D$10*('계산 과정'!$C$38*(D1524-'계산 과정'!$C$32)+'계산 과정'!$D$38*(E1524-'계산 과정'!$D$32)-'계산 과정'!$E$38*'계산 과정'!$E$32)/J1524,"")</x:f>
        <x:v>0.5408173798638111</x:v>
      </x:c>
      <x:c r="L1524" s="4" t="n">
        <x:f>IF(AND('계산 과정'!$L$6,J1524&gt;0),'계산 과정'!$D$10*('계산 과정'!$C$39*(D1524-'계산 과정'!$C$32)+'계산 과정'!$D$39*(E1524-'계산 과정'!$D$32)-'계산 과정'!$E$39*'계산 과정'!$E$32)/J1524,"")</x:f>
        <x:v>-1.5150396150601546</x:v>
      </x:c>
      <x:c r="M1524" s="17" t="n">
        <x:f>IF('계산 과정'!$L$6,IF(J1524&lt;=0,0,IF(AND(ABS(K1524)&lt;='계산 과정'!$D$11/2,ABS(L1524)&lt;='계산 과정'!$D$12/2),1,0)),"")</x:f>
        <x:v>1</x:v>
      </x:c>
      <x:c r="N1524" s="17" t="n">
        <x:f>IF('계산 과정'!$C$78,IF(AND(ISNUMBER(H1524),ISNUMBER(I1524),ABS(H1524-'계산 과정'!$C$88)&lt;='계산 과정'!$D$23/2,ABS(I1524-'계산 과정'!$C$89)&lt;='계산 과정'!$D$24/2),1,0),"")</x:f>
        <x:v>1</x:v>
      </x:c>
      <x:c r="O1524" s="4" t="n">
        <x:f>IF('계산 과정'!$L$7,'계산 과정'!$C$49*('계산 과정'!$C$32-D1524)+'계산 과정'!$D$49*('계산 과정'!$D$32-E1524)+'계산 과정'!$E$49*'계산 과정'!$E$32,"")</x:f>
        <x:v>41.15897592427899</x:v>
      </x:c>
      <x:c r="P1524" s="4" t="n">
        <x:f>IF(AND('계산 과정'!$L$7,O1524&lt;&gt;0),('계산 과정'!$L$23-'계산 과정'!$C$49*D1524-'계산 과정'!$D$49*E1524)/O1524,"")</x:f>
        <x:v>10.718414781161904</x:v>
      </x:c>
      <x:c r="Q1524" s="4" t="str">
        <x:f>IF(AND(ISNUMBER(P1524),P1524&gt;1E-9,P1524&lt;1-1E-9),'계산 과정'!$C$47*(D1524-'계산 과정'!$C$50+P1524*('계산 과정'!$C$32-D1524))+'계산 과정'!$D$47*(E1524-'계산 과정'!$D$50+P1524*('계산 과정'!$D$32-E1524))+'계산 과정'!$E$47*(0-'계산 과정'!$E$50+P1524*('계산 과정'!$E$32-0)),"")</x:f>
      </x:c>
      <x:c r="R1524" s="4" t="str">
        <x:f>IF(AND(ISNUMBER(P1524),P1524&gt;1E-9,P1524&lt;1-1E-9),'계산 과정'!$C$48*(D1524-'계산 과정'!$C$50+P1524*('계산 과정'!$C$32-D1524))+'계산 과정'!$D$48*(E1524-'계산 과정'!$D$50+P1524*('계산 과정'!$D$32-E1524))+'계산 과정'!$E$48*(0-'계산 과정'!$E$50+P1524*('계산 과정'!$E$32-0)),"")</x:f>
      </x:c>
      <x:c r="S1524" s="17" t="n">
        <x:f>IF('계산 과정'!$C$78,IF(AND(ISNUMBER(Q1524),ISNUMBER(R1524),ABS(Q1524-'계산 과정'!$C$88)&lt;='계산 과정'!$D$23/2,ABS(R1524-'계산 과정'!$C$89)&lt;='계산 과정'!$D$24/2),1,0),"")</x:f>
        <x:v>0</x:v>
      </x:c>
      <x:c r="T1524" s="4"/>
      <x:c r="U1524" s="4"/>
      <x:c r="V1524" s="4"/>
      <x:c r="W1524" s="4"/>
      <x:c r="X1524" s="4"/>
      <x:c r="Y1524" s="4"/>
      <x:c r="Z1524" s="4"/>
    </x:row>
    <x:row r="1525" ht="23" customHeight="1">
      <x:c r="A1525" s="17" t="n">
        <x:f>ROW()-6</x:f>
        <x:v>1519</x:v>
      </x:c>
      <x:c r="B1525" s="4" t="n">
        <x:f>IF('계산 과정'!$L$5,'계산 과정'!$L$11*SQRT((A1525+0.5)/'계산 과정'!$L$30),"")</x:f>
        <x:v>129.2042011156661</x:v>
      </x:c>
      <x:c r="C1525" s="4" t="n">
        <x:f>A1525*PI()*(3-SQRT(5))</x:f>
        <x:v>3645.5441459578237</x:v>
      </x:c>
      <x:c r="D1525" s="4" t="n">
        <x:f>IF('계산 과정'!$L$5,B1525*COS(C1525),"")</x:f>
        <x:v>34.976625382046805</x:v>
      </x:c>
      <x:c r="E1525" s="4" t="n">
        <x:f>IF('계산 과정'!$L$5,B1525*SIN(C1525),"")</x:f>
        <x:v>124.37990698992122</x:v>
      </x:c>
      <x:c r="F1525" s="4" t="n">
        <x:f>IF('계산 과정'!$L$7,'계산 과정'!$L$22+'계산 과정'!$C$49*D1525+'계산 과정'!$D$49*E1525,"")</x:f>
        <x:v>625.2677910093332</x:v>
      </x:c>
      <x:c r="G1525" s="4" t="n">
        <x:f>IF('계산 과정'!$L$7,IF(ABS(F1525)&gt;=1E-12*MAX(1,SQRT((D1525-'계산 과정'!$C$33)^2+(E1525-'계산 과정'!$D$33)^2+'계산 과정'!$E$33^2)),('계산 과정'!$L$23-'계산 과정'!$C$49*D1525-'계산 과정'!$D$49*E1525)/F1525,""),"")</x:f>
        <x:v>0.6792804860538978</x:v>
      </x:c>
      <x:c r="H1525" s="4" t="n">
        <x:f>IF(AND(ISNUMBER(G1525),G1525&gt;0),('계산 과정'!$D$56+'계산 과정'!$D$57*D1525+'계산 과정'!$D$58*E1525)/F1525,"")</x:f>
        <x:v>41.53231593503344</x:v>
      </x:c>
      <x:c r="I1525" s="4" t="n">
        <x:f>IF(AND(ISNUMBER(G1525),G1525&gt;0),('계산 과정'!$E$56+'계산 과정'!$E$57*D1525+'계산 과정'!$E$58*E1525)/F1525,"")</x:f>
        <x:v>208.86875066537348</x:v>
      </x:c>
      <x:c r="J1525" s="4" t="n">
        <x:f>IF('계산 과정'!$L$5,'계산 과정'!$D$6+'계산 과정'!$C$35*D1525+'계산 과정'!$D$35*E1525,"")</x:f>
        <x:v>625.2677910093332</x:v>
      </x:c>
      <x:c r="K1525" s="4" t="n">
        <x:f>IF(AND('계산 과정'!$L$6,J1525&gt;0),'계산 과정'!$D$10*('계산 과정'!$C$38*(D1525-'계산 과정'!$C$32)+'계산 과정'!$D$38*(E1525-'계산 과정'!$D$32)-'계산 과정'!$E$38*'계산 과정'!$E$32)/J1525,"")</x:f>
        <x:v>0.3164366928383511</x:v>
      </x:c>
      <x:c r="L1525" s="4" t="n">
        <x:f>IF(AND('계산 과정'!$L$6,J1525&gt;0),'계산 과정'!$D$10*('계산 과정'!$C$39*(D1525-'계산 과정'!$C$32)+'계산 과정'!$D$39*(E1525-'계산 과정'!$D$32)-'계산 과정'!$E$39*'계산 과정'!$E$32)/J1525,"")</x:f>
        <x:v>1.5913809574504647</x:v>
      </x:c>
      <x:c r="M1525" s="17" t="n">
        <x:f>IF('계산 과정'!$L$6,IF(J1525&lt;=0,0,IF(AND(ABS(K1525)&lt;='계산 과정'!$D$11/2,ABS(L1525)&lt;='계산 과정'!$D$12/2),1,0)),"")</x:f>
        <x:v>1</x:v>
      </x:c>
      <x:c r="N1525" s="17" t="n">
        <x:f>IF('계산 과정'!$C$78,IF(AND(ISNUMBER(H1525),ISNUMBER(I1525),ABS(H1525-'계산 과정'!$C$88)&lt;='계산 과정'!$D$23/2,ABS(I1525-'계산 과정'!$C$89)&lt;='계산 과정'!$D$24/2),1,0),"")</x:f>
        <x:v>1</x:v>
      </x:c>
      <x:c r="O1525" s="4" t="n">
        <x:f>IF('계산 과정'!$L$7,'계산 과정'!$C$49*('계산 과정'!$C$32-D1525)+'계산 과정'!$D$49*('계산 과정'!$D$32-E1525)+'계산 과정'!$E$49*'계산 과정'!$E$32,"")</x:f>
        <x:v>24.73220899066689</x:v>
      </x:c>
      <x:c r="P1525" s="4" t="n">
        <x:f>IF(AND('계산 과정'!$L$7,O1525&lt;&gt;0),('계산 과정'!$L$23-'계산 과정'!$C$49*D1525-'계산 과정'!$D$49*E1525)/O1525,"")</x:f>
        <x:v>17.173241951454745</x:v>
      </x:c>
      <x:c r="Q1525" s="4" t="str">
        <x:f>IF(AND(ISNUMBER(P1525),P1525&gt;1E-9,P1525&lt;1-1E-9),'계산 과정'!$C$47*(D1525-'계산 과정'!$C$50+P1525*('계산 과정'!$C$32-D1525))+'계산 과정'!$D$47*(E1525-'계산 과정'!$D$50+P1525*('계산 과정'!$D$32-E1525))+'계산 과정'!$E$47*(0-'계산 과정'!$E$50+P1525*('계산 과정'!$E$32-0)),"")</x:f>
      </x:c>
      <x:c r="R1525" s="4" t="str">
        <x:f>IF(AND(ISNUMBER(P1525),P1525&gt;1E-9,P1525&lt;1-1E-9),'계산 과정'!$C$48*(D1525-'계산 과정'!$C$50+P1525*('계산 과정'!$C$32-D1525))+'계산 과정'!$D$48*(E1525-'계산 과정'!$D$50+P1525*('계산 과정'!$D$32-E1525))+'계산 과정'!$E$48*(0-'계산 과정'!$E$50+P1525*('계산 과정'!$E$32-0)),"")</x:f>
      </x:c>
      <x:c r="S1525" s="17" t="n">
        <x:f>IF('계산 과정'!$C$78,IF(AND(ISNUMBER(Q1525),ISNUMBER(R1525),ABS(Q1525-'계산 과정'!$C$88)&lt;='계산 과정'!$D$23/2,ABS(R1525-'계산 과정'!$C$89)&lt;='계산 과정'!$D$24/2),1,0),"")</x:f>
        <x:v>0</x:v>
      </x:c>
      <x:c r="T1525" s="4"/>
      <x:c r="U1525" s="4"/>
      <x:c r="V1525" s="4"/>
      <x:c r="W1525" s="4"/>
      <x:c r="X1525" s="4"/>
      <x:c r="Y1525" s="4"/>
      <x:c r="Z1525" s="4"/>
    </x:row>
    <x:row r="1526" ht="23" customHeight="1">
      <x:c r="A1526" s="17" t="n">
        <x:f>ROW()-6</x:f>
        <x:v>1520</x:v>
      </x:c>
      <x:c r="B1526" s="4" t="n">
        <x:f>IF('계산 과정'!$L$5,'계산 과정'!$L$11*SQRT((A1526+0.5)/'계산 과정'!$L$30),"")</x:f>
        <x:v>129.24670949027097</x:v>
      </x:c>
      <x:c r="C1526" s="4" t="n">
        <x:f>A1526*PI()*(3-SQRT(5))</x:f>
        <x:v>3647.9441091875524</x:v>
      </x:c>
      <x:c r="D1526" s="4" t="n">
        <x:f>IF('계산 과정'!$L$5,B1526*COS(C1526),"")</x:f>
        <x:v>-109.84422201656896</x:v>
      </x:c>
      <x:c r="E1526" s="4" t="n">
        <x:f>IF('계산 과정'!$L$5,B1526*SIN(C1526),"")</x:f>
        <x:v>-68.10990239045427</x:v>
      </x:c>
      <x:c r="F1526" s="4" t="n">
        <x:f>IF('계산 과정'!$L$7,'계산 과정'!$L$22+'계산 과정'!$C$49*D1526+'계산 과정'!$D$49*E1526,"")</x:f>
        <x:v>727.6715942620766</x:v>
      </x:c>
      <x:c r="G1526" s="4" t="n">
        <x:f>IF('계산 과정'!$L$7,IF(ABS(F1526)&gt;=1E-12*MAX(1,SQRT((D1526-'계산 과정'!$C$33)^2+(E1526-'계산 과정'!$D$33)^2+'계산 과정'!$E$33^2)),('계산 과정'!$L$23-'계산 과정'!$C$49*D1526-'계산 과정'!$D$49*E1526)/F1526,""),"")</x:f>
        <x:v>0.4429586207288921</x:v>
      </x:c>
      <x:c r="H1526" s="4" t="n">
        <x:f>IF(AND(ISNUMBER(G1526),G1526&gt;0),('계산 과정'!$D$56+'계산 과정'!$D$57*D1526+'계산 과정'!$D$58*E1526)/F1526,"")</x:f>
        <x:v>-112.07689652622027</x:v>
      </x:c>
      <x:c r="I1526" s="4" t="n">
        <x:f>IF(AND(ISNUMBER(G1526),G1526&gt;0),('계산 과정'!$E$56+'계산 과정'!$E$57*D1526+'계산 과정'!$E$58*E1526)/F1526,"")</x:f>
        <x:v>-98.27977081130935</x:v>
      </x:c>
      <x:c r="J1526" s="4" t="n">
        <x:f>IF('계산 과정'!$L$5,'계산 과정'!$D$6+'계산 과정'!$C$35*D1526+'계산 과정'!$D$35*E1526,"")</x:f>
        <x:v>727.6715942620766</x:v>
      </x:c>
      <x:c r="K1526" s="4" t="n">
        <x:f>IF(AND('계산 과정'!$L$6,J1526&gt;0),'계산 과정'!$D$10*('계산 과정'!$C$38*(D1526-'계산 과정'!$C$32)+'계산 과정'!$D$38*(E1526-'계산 과정'!$D$32)-'계산 과정'!$E$38*'계산 과정'!$E$32)/J1526,"")</x:f>
        <x:v>-0.8539192116283443</x:v>
      </x:c>
      <x:c r="L1526" s="4" t="n">
        <x:f>IF(AND('계산 과정'!$L$6,J1526&gt;0),'계산 과정'!$D$10*('계산 과정'!$C$39*(D1526-'계산 과정'!$C$32)+'계산 과정'!$D$39*(E1526-'계산 과정'!$D$32)-'계산 과정'!$E$39*'계산 과정'!$E$32)/J1526,"")</x:f>
        <x:v>-0.7487982538004522</x:v>
      </x:c>
      <x:c r="M1526" s="17" t="n">
        <x:f>IF('계산 과정'!$L$6,IF(J1526&lt;=0,0,IF(AND(ABS(K1526)&lt;='계산 과정'!$D$11/2,ABS(L1526)&lt;='계산 과정'!$D$12/2),1,0)),"")</x:f>
        <x:v>1</x:v>
      </x:c>
      <x:c r="N1526" s="17" t="n">
        <x:f>IF('계산 과정'!$C$78,IF(AND(ISNUMBER(H1526),ISNUMBER(I1526),ABS(H1526-'계산 과정'!$C$88)&lt;='계산 과정'!$D$23/2,ABS(I1526-'계산 과정'!$C$89)&lt;='계산 과정'!$D$24/2),1,0),"")</x:f>
        <x:v>1</x:v>
      </x:c>
      <x:c r="O1526" s="4" t="n">
        <x:f>IF('계산 과정'!$L$7,'계산 과정'!$C$49*('계산 과정'!$C$32-D1526)+'계산 과정'!$D$49*('계산 과정'!$D$32-E1526)+'계산 과정'!$E$49*'계산 과정'!$E$32,"")</x:f>
        <x:v>-77.6715942620765</x:v>
      </x:c>
      <x:c r="P1526" s="4" t="n">
        <x:f>IF(AND('계산 과정'!$L$7,O1526&lt;&gt;0),('계산 과정'!$L$23-'계산 과정'!$C$49*D1526-'계산 과정'!$D$49*E1526)/O1526,"")</x:f>
        <x:v>-4.149887855402264</x:v>
      </x:c>
      <x:c r="Q1526" s="4" t="str">
        <x:f>IF(AND(ISNUMBER(P1526),P1526&gt;1E-9,P1526&lt;1-1E-9),'계산 과정'!$C$47*(D1526-'계산 과정'!$C$50+P1526*('계산 과정'!$C$32-D1526))+'계산 과정'!$D$47*(E1526-'계산 과정'!$D$50+P1526*('계산 과정'!$D$32-E1526))+'계산 과정'!$E$47*(0-'계산 과정'!$E$50+P1526*('계산 과정'!$E$32-0)),"")</x:f>
      </x:c>
      <x:c r="R1526" s="4" t="str">
        <x:f>IF(AND(ISNUMBER(P1526),P1526&gt;1E-9,P1526&lt;1-1E-9),'계산 과정'!$C$48*(D1526-'계산 과정'!$C$50+P1526*('계산 과정'!$C$32-D1526))+'계산 과정'!$D$48*(E1526-'계산 과정'!$D$50+P1526*('계산 과정'!$D$32-E1526))+'계산 과정'!$E$48*(0-'계산 과정'!$E$50+P1526*('계산 과정'!$E$32-0)),"")</x:f>
      </x:c>
      <x:c r="S1526" s="17" t="n">
        <x:f>IF('계산 과정'!$C$78,IF(AND(ISNUMBER(Q1526),ISNUMBER(R1526),ABS(Q1526-'계산 과정'!$C$88)&lt;='계산 과정'!$D$23/2,ABS(R1526-'계산 과정'!$C$89)&lt;='계산 과정'!$D$24/2),1,0),"")</x:f>
        <x:v>0</x:v>
      </x:c>
      <x:c r="T1526" s="4"/>
      <x:c r="U1526" s="4"/>
      <x:c r="V1526" s="4"/>
      <x:c r="W1526" s="4"/>
      <x:c r="X1526" s="4"/>
      <x:c r="Y1526" s="4"/>
      <x:c r="Z1526" s="4"/>
    </x:row>
    <x:row r="1527" ht="23" customHeight="1">
      <x:c r="A1527" s="17" t="n">
        <x:f>ROW()-6</x:f>
        <x:v>1521</x:v>
      </x:c>
      <x:c r="B1527" s="4" t="n">
        <x:f>IF('계산 과정'!$L$5,'계산 과정'!$L$11*SQRT((A1527+0.5)/'계산 과정'!$L$30),"")</x:f>
        <x:v>129.28920388875284</x:v>
      </x:c>
      <x:c r="C1527" s="4" t="n">
        <x:f>A1527*PI()*(3-SQRT(5))</x:f>
        <x:v>3650.3440724172806</x:v>
      </x:c>
      <x:c r="D1527" s="4" t="n">
        <x:f>IF('계산 과정'!$L$5,B1527*COS(C1527),"")</x:f>
        <x:v>127.04504555464943</x:v>
      </x:c>
      <x:c r="E1527" s="4" t="n">
        <x:f>IF('계산 과정'!$L$5,B1527*SIN(C1527),"")</x:f>
        <x:v>-23.984466685847917</x:v>
      </x:c>
      <x:c r="F1527" s="4" t="n">
        <x:f>IF('계산 과정'!$L$7,'계산 과정'!$L$22+'계산 과정'!$C$49*D1527+'계산 과정'!$D$49*E1527,"")</x:f>
        <x:v>560.1655867721536</x:v>
      </x:c>
      <x:c r="G1527" s="4" t="n">
        <x:f>IF('계산 과정'!$L$7,IF(ABS(F1527)&gt;=1E-12*MAX(1,SQRT((D1527-'계산 과정'!$C$33)^2+(E1527-'계산 과정'!$D$33)^2+'계산 과정'!$E$33^2)),('계산 과정'!$L$23-'계산 과정'!$C$49*D1527-'계산 과정'!$D$49*E1527)/F1527,""),"")</x:f>
        <x:v>0.8744457438923069</x:v>
      </x:c>
      <x:c r="H1527" s="4" t="n">
        <x:f>IF(AND(ISNUMBER(G1527),G1527&gt;0),('계산 과정'!$D$56+'계산 과정'!$D$57*D1527+'계산 과정'!$D$58*E1527)/F1527,"")</x:f>
        <x:v>168.38973352999946</x:v>
      </x:c>
      <x:c r="I1527" s="4" t="n">
        <x:f>IF(AND(ISNUMBER(G1527),G1527&gt;0),('계산 과정'!$E$56+'계산 과정'!$E$57*D1527+'계산 과정'!$E$58*E1527)/F1527,"")</x:f>
        <x:v>-44.95758149881445</x:v>
      </x:c>
      <x:c r="J1527" s="4" t="n">
        <x:f>IF('계산 과정'!$L$5,'계산 과정'!$D$6+'계산 과정'!$C$35*D1527+'계산 과정'!$D$35*E1527,"")</x:f>
        <x:v>560.1655867721536</x:v>
      </x:c>
      <x:c r="K1527" s="4" t="n">
        <x:f>IF(AND('계산 과정'!$L$6,J1527&gt;0),'계산 과정'!$D$10*('계산 과정'!$C$38*(D1527-'계산 과정'!$C$32)+'계산 과정'!$D$38*(E1527-'계산 과정'!$D$32)-'계산 과정'!$E$38*'계산 과정'!$E$32)/J1527,"")</x:f>
        <x:v>1.2829693983238064</x:v>
      </x:c>
      <x:c r="L1527" s="4" t="n">
        <x:f>IF(AND('계산 과정'!$L$6,J1527&gt;0),'계산 과정'!$D$10*('계산 과정'!$C$39*(D1527-'계산 과정'!$C$32)+'계산 과정'!$D$39*(E1527-'계산 과정'!$D$32)-'계산 과정'!$E$39*'계산 과정'!$E$32)/J1527,"")</x:f>
        <x:v>-0.34253395427668154</x:v>
      </x:c>
      <x:c r="M1527" s="17" t="n">
        <x:f>IF('계산 과정'!$L$6,IF(J1527&lt;=0,0,IF(AND(ABS(K1527)&lt;='계산 과정'!$D$11/2,ABS(L1527)&lt;='계산 과정'!$D$12/2),1,0)),"")</x:f>
        <x:v>1</x:v>
      </x:c>
      <x:c r="N1527" s="17" t="n">
        <x:f>IF('계산 과정'!$C$78,IF(AND(ISNUMBER(H1527),ISNUMBER(I1527),ABS(H1527-'계산 과정'!$C$88)&lt;='계산 과정'!$D$23/2,ABS(I1527-'계산 과정'!$C$89)&lt;='계산 과정'!$D$24/2),1,0),"")</x:f>
        <x:v>1</x:v>
      </x:c>
      <x:c r="O1527" s="4" t="n">
        <x:f>IF('계산 과정'!$L$7,'계산 과정'!$C$49*('계산 과정'!$C$32-D1527)+'계산 과정'!$D$49*('계산 과정'!$D$32-E1527)+'계산 과정'!$E$49*'계산 과정'!$E$32,"")</x:f>
        <x:v>89.83441322784657</x:v>
      </x:c>
      <x:c r="P1527" s="4" t="n">
        <x:f>IF(AND('계산 과정'!$L$7,O1527&lt;&gt;0),('계산 과정'!$L$23-'계산 과정'!$C$49*D1527-'계산 과정'!$D$49*E1527)/O1527,"")</x:f>
        <x:v>5.4526366414336325</x:v>
      </x:c>
      <x:c r="Q1527" s="4" t="str">
        <x:f>IF(AND(ISNUMBER(P1527),P1527&gt;1E-9,P1527&lt;1-1E-9),'계산 과정'!$C$47*(D1527-'계산 과정'!$C$50+P1527*('계산 과정'!$C$32-D1527))+'계산 과정'!$D$47*(E1527-'계산 과정'!$D$50+P1527*('계산 과정'!$D$32-E1527))+'계산 과정'!$E$47*(0-'계산 과정'!$E$50+P1527*('계산 과정'!$E$32-0)),"")</x:f>
      </x:c>
      <x:c r="R1527" s="4" t="str">
        <x:f>IF(AND(ISNUMBER(P1527),P1527&gt;1E-9,P1527&lt;1-1E-9),'계산 과정'!$C$48*(D1527-'계산 과정'!$C$50+P1527*('계산 과정'!$C$32-D1527))+'계산 과정'!$D$48*(E1527-'계산 과정'!$D$50+P1527*('계산 과정'!$D$32-E1527))+'계산 과정'!$E$48*(0-'계산 과정'!$E$50+P1527*('계산 과정'!$E$32-0)),"")</x:f>
      </x:c>
      <x:c r="S1527" s="17" t="n">
        <x:f>IF('계산 과정'!$C$78,IF(AND(ISNUMBER(Q1527),ISNUMBER(R1527),ABS(Q1527-'계산 과정'!$C$88)&lt;='계산 과정'!$D$23/2,ABS(R1527-'계산 과정'!$C$89)&lt;='계산 과정'!$D$24/2),1,0),"")</x:f>
        <x:v>0</x:v>
      </x:c>
      <x:c r="T1527" s="4"/>
      <x:c r="U1527" s="4"/>
      <x:c r="V1527" s="4"/>
      <x:c r="W1527" s="4"/>
      <x:c r="X1527" s="4"/>
      <x:c r="Y1527" s="4"/>
      <x:c r="Z1527" s="4"/>
    </x:row>
    <x:row r="1528" ht="23" customHeight="1">
      <x:c r="A1528" s="17" t="n">
        <x:f>ROW()-6</x:f>
        <x:v>1522</x:v>
      </x:c>
      <x:c r="B1528" s="4" t="n">
        <x:f>IF('계산 과정'!$L$5,'계산 과정'!$L$11*SQRT((A1528+0.5)/'계산 과정'!$L$30),"")</x:f>
        <x:v>129.33168432488807</x:v>
      </x:c>
      <x:c r="C1528" s="4" t="n">
        <x:f>A1528*PI()*(3-SQRT(5))</x:f>
        <x:v>3652.7440356470097</x:v>
      </x:c>
      <x:c r="D1528" s="4" t="n">
        <x:f>IF('계산 과정'!$L$5,B1528*COS(C1528),"")</x:f>
        <x:v>-77.50324505317847</x:v>
      </x:c>
      <x:c r="E1528" s="4" t="n">
        <x:f>IF('계산 과정'!$L$5,B1528*SIN(C1528),"")</x:f>
        <x:v>103.53710241521861</x:v>
      </x:c>
      <x:c r="F1528" s="4" t="n">
        <x:f>IF('계산 과정'!$L$7,'계산 과정'!$L$22+'계산 과정'!$C$49*D1528+'계산 과정'!$D$49*E1528,"")</x:f>
        <x:v>704.8030701410653</x:v>
      </x:c>
      <x:c r="G1528" s="4" t="n">
        <x:f>IF('계산 과정'!$L$7,IF(ABS(F1528)&gt;=1E-12*MAX(1,SQRT((D1528-'계산 과정'!$C$33)^2+(E1528-'계산 과정'!$D$33)^2+'계산 과정'!$E$33^2)),('계산 과정'!$L$23-'계산 과정'!$C$49*D1528-'계산 과정'!$D$49*E1528)/F1528,""),"")</x:f>
        <x:v>0.4897778464413387</x:v>
      </x:c>
      <x:c r="H1528" s="4" t="n">
        <x:f>IF(AND(ISNUMBER(G1528),G1528&gt;0),('계산 과정'!$D$56+'계산 과정'!$D$57*D1528+'계산 과정'!$D$58*E1528)/F1528,"")</x:f>
        <x:v>-81.64439981312994</x:v>
      </x:c>
      <x:c r="I1528" s="4" t="n">
        <x:f>IF(AND(ISNUMBER(G1528),G1528&gt;0),('계산 과정'!$E$56+'계산 과정'!$E$57*D1528+'계산 과정'!$E$58*E1528)/F1528,"")</x:f>
        <x:v>154.2472814629207</x:v>
      </x:c>
      <x:c r="J1528" s="4" t="n">
        <x:f>IF('계산 과정'!$L$5,'계산 과정'!$D$6+'계산 과정'!$C$35*D1528+'계산 과정'!$D$35*E1528,"")</x:f>
        <x:v>704.8030701410653</x:v>
      </x:c>
      <x:c r="K1528" s="4" t="n">
        <x:f>IF(AND('계산 과정'!$L$6,J1528&gt;0),'계산 과정'!$D$10*('계산 과정'!$C$38*(D1528-'계산 과정'!$C$32)+'계산 과정'!$D$38*(E1528-'계산 과정'!$D$32)-'계산 과정'!$E$38*'계산 과정'!$E$32)/J1528,"")</x:f>
        <x:v>-0.6220525700047984</x:v>
      </x:c>
      <x:c r="L1528" s="4" t="n">
        <x:f>IF(AND('계산 과정'!$L$6,J1528&gt;0),'계산 과정'!$D$10*('계산 과정'!$C$39*(D1528-'계산 과정'!$C$32)+'계산 과정'!$D$39*(E1528-'계산 과정'!$D$32)-'계산 과정'!$E$39*'계산 과정'!$E$32)/J1528,"")</x:f>
        <x:v>1.175217382574634</x:v>
      </x:c>
      <x:c r="M1528" s="17" t="n">
        <x:f>IF('계산 과정'!$L$6,IF(J1528&lt;=0,0,IF(AND(ABS(K1528)&lt;='계산 과정'!$D$11/2,ABS(L1528)&lt;='계산 과정'!$D$12/2),1,0)),"")</x:f>
        <x:v>1</x:v>
      </x:c>
      <x:c r="N1528" s="17" t="n">
        <x:f>IF('계산 과정'!$C$78,IF(AND(ISNUMBER(H1528),ISNUMBER(I1528),ABS(H1528-'계산 과정'!$C$88)&lt;='계산 과정'!$D$23/2,ABS(I1528-'계산 과정'!$C$89)&lt;='계산 과정'!$D$24/2),1,0),"")</x:f>
        <x:v>1</x:v>
      </x:c>
      <x:c r="O1528" s="4" t="n">
        <x:f>IF('계산 과정'!$L$7,'계산 과정'!$C$49*('계산 과정'!$C$32-D1528)+'계산 과정'!$D$49*('계산 과정'!$D$32-E1528)+'계산 과정'!$E$49*'계산 과정'!$E$32,"")</x:f>
        <x:v>-54.80307014106512</x:v>
      </x:c>
      <x:c r="P1528" s="4" t="n">
        <x:f>IF(AND('계산 과정'!$L$7,O1528&lt;&gt;0),('계산 과정'!$L$23-'계산 과정'!$C$49*D1528-'계산 과정'!$D$49*E1528)/O1528,"")</x:f>
        <x:v>-6.298861158150176</x:v>
      </x:c>
      <x:c r="Q1528" s="4" t="str">
        <x:f>IF(AND(ISNUMBER(P1528),P1528&gt;1E-9,P1528&lt;1-1E-9),'계산 과정'!$C$47*(D1528-'계산 과정'!$C$50+P1528*('계산 과정'!$C$32-D1528))+'계산 과정'!$D$47*(E1528-'계산 과정'!$D$50+P1528*('계산 과정'!$D$32-E1528))+'계산 과정'!$E$47*(0-'계산 과정'!$E$50+P1528*('계산 과정'!$E$32-0)),"")</x:f>
      </x:c>
      <x:c r="R1528" s="4" t="str">
        <x:f>IF(AND(ISNUMBER(P1528),P1528&gt;1E-9,P1528&lt;1-1E-9),'계산 과정'!$C$48*(D1528-'계산 과정'!$C$50+P1528*('계산 과정'!$C$32-D1528))+'계산 과정'!$D$48*(E1528-'계산 과정'!$D$50+P1528*('계산 과정'!$D$32-E1528))+'계산 과정'!$E$48*(0-'계산 과정'!$E$50+P1528*('계산 과정'!$E$32-0)),"")</x:f>
      </x:c>
      <x:c r="S1528" s="17" t="n">
        <x:f>IF('계산 과정'!$C$78,IF(AND(ISNUMBER(Q1528),ISNUMBER(R1528),ABS(Q1528-'계산 과정'!$C$88)&lt;='계산 과정'!$D$23/2,ABS(R1528-'계산 과정'!$C$89)&lt;='계산 과정'!$D$24/2),1,0),"")</x:f>
        <x:v>0</x:v>
      </x:c>
      <x:c r="T1528" s="4"/>
      <x:c r="U1528" s="4"/>
      <x:c r="V1528" s="4"/>
      <x:c r="W1528" s="4"/>
      <x:c r="X1528" s="4"/>
      <x:c r="Y1528" s="4"/>
      <x:c r="Z1528" s="4"/>
    </x:row>
    <x:row r="1529" ht="23" customHeight="1">
      <x:c r="A1529" s="17" t="n">
        <x:f>ROW()-6</x:f>
        <x:v>1523</x:v>
      </x:c>
      <x:c r="B1529" s="4" t="n">
        <x:f>IF('계산 과정'!$L$5,'계산 과정'!$L$11*SQRT((A1529+0.5)/'계산 과정'!$L$30),"")</x:f>
        <x:v>129.37415081243046</x:v>
      </x:c>
      <x:c r="C1529" s="4" t="n">
        <x:f>A1529*PI()*(3-SQRT(5))</x:f>
        <x:v>3655.1439988767384</x:v>
      </x:c>
      <x:c r="D1529" s="4" t="n">
        <x:f>IF('계산 과정'!$L$5,B1529*COS(C1529),"")</x:f>
        <x:v>-12.794026507244814</x:v>
      </x:c>
      <x:c r="E1529" s="4" t="n">
        <x:f>IF('계산 과정'!$L$5,B1529*SIN(C1529),"")</x:f>
        <x:v>-128.73998518008855</x:v>
      </x:c>
      <x:c r="F1529" s="4" t="n">
        <x:f>IF('계산 과정'!$L$7,'계산 과정'!$L$22+'계산 과정'!$C$49*D1529+'계산 과정'!$D$49*E1529,"")</x:f>
        <x:v>659.0467429019533</x:v>
      </x:c>
      <x:c r="G1529" s="4" t="n">
        <x:f>IF('계산 과정'!$L$7,IF(ABS(F1529)&gt;=1E-12*MAX(1,SQRT((D1529-'계산 과정'!$C$33)^2+(E1529-'계산 과정'!$D$33)^2+'계산 과정'!$E$33^2)),('계산 과정'!$L$23-'계산 과정'!$C$49*D1529-'계산 과정'!$D$49*E1529)/F1529,""),"")</x:f>
        <x:v>0.5932102105179649</x:v>
      </x:c>
      <x:c r="H1529" s="4" t="n">
        <x:f>IF(AND(ISNUMBER(G1529),G1529&gt;0),('계산 과정'!$D$56+'계산 과정'!$D$57*D1529+'계산 과정'!$D$58*E1529)/F1529,"")</x:f>
        <x:v>-14.413363163322956</x:v>
      </x:c>
      <x:c r="I1529" s="4" t="n">
        <x:f>IF(AND(ISNUMBER(G1529),G1529&gt;0),('계산 과정'!$E$56+'계산 과정'!$E$57*D1529+'계산 과정'!$E$58*E1529)/F1529,"")</x:f>
        <x:v>-205.10985889084856</x:v>
      </x:c>
      <x:c r="J1529" s="4" t="n">
        <x:f>IF('계산 과정'!$L$5,'계산 과정'!$D$6+'계산 과정'!$C$35*D1529+'계산 과정'!$D$35*E1529,"")</x:f>
        <x:v>659.0467429019533</x:v>
      </x:c>
      <x:c r="K1529" s="4" t="n">
        <x:f>IF(AND('계산 과정'!$L$6,J1529&gt;0),'계산 과정'!$D$10*('계산 과정'!$C$38*(D1529-'계산 과정'!$C$32)+'계산 과정'!$D$38*(E1529-'계산 과정'!$D$32)-'계산 과정'!$E$38*'계산 과정'!$E$32)/J1529,"")</x:f>
        <x:v>-0.10981610029198392</x:v>
      </x:c>
      <x:c r="L1529" s="4" t="n">
        <x:f>IF(AND('계산 과정'!$L$6,J1529&gt;0),'계산 과정'!$D$10*('계산 과정'!$C$39*(D1529-'계산 과정'!$C$32)+'계산 과정'!$D$39*(E1529-'계산 과정'!$D$32)-'계산 과정'!$E$39*'계산 과정'!$E$32)/J1529,"")</x:f>
        <x:v>-1.5627417820255127</x:v>
      </x:c>
      <x:c r="M1529" s="17" t="n">
        <x:f>IF('계산 과정'!$L$6,IF(J1529&lt;=0,0,IF(AND(ABS(K1529)&lt;='계산 과정'!$D$11/2,ABS(L1529)&lt;='계산 과정'!$D$12/2),1,0)),"")</x:f>
        <x:v>1</x:v>
      </x:c>
      <x:c r="N1529" s="17" t="n">
        <x:f>IF('계산 과정'!$C$78,IF(AND(ISNUMBER(H1529),ISNUMBER(I1529),ABS(H1529-'계산 과정'!$C$88)&lt;='계산 과정'!$D$23/2,ABS(I1529-'계산 과정'!$C$89)&lt;='계산 과정'!$D$24/2),1,0),"")</x:f>
        <x:v>1</x:v>
      </x:c>
      <x:c r="O1529" s="4" t="n">
        <x:f>IF('계산 과정'!$L$7,'계산 과정'!$C$49*('계산 과정'!$C$32-D1529)+'계산 과정'!$D$49*('계산 과정'!$D$32-E1529)+'계산 과정'!$E$49*'계산 과정'!$E$32,"")</x:f>
        <x:v>-9.046742901953166</x:v>
      </x:c>
      <x:c r="P1529" s="4" t="n">
        <x:f>IF(AND('계산 과정'!$L$7,O1529&lt;&gt;0),('계산 과정'!$L$23-'계산 과정'!$C$49*D1529-'계산 과정'!$D$49*E1529)/O1529,"")</x:f>
        <x:v>-43.21480795189184</x:v>
      </x:c>
      <x:c r="Q1529" s="4" t="str">
        <x:f>IF(AND(ISNUMBER(P1529),P1529&gt;1E-9,P1529&lt;1-1E-9),'계산 과정'!$C$47*(D1529-'계산 과정'!$C$50+P1529*('계산 과정'!$C$32-D1529))+'계산 과정'!$D$47*(E1529-'계산 과정'!$D$50+P1529*('계산 과정'!$D$32-E1529))+'계산 과정'!$E$47*(0-'계산 과정'!$E$50+P1529*('계산 과정'!$E$32-0)),"")</x:f>
      </x:c>
      <x:c r="R1529" s="4" t="str">
        <x:f>IF(AND(ISNUMBER(P1529),P1529&gt;1E-9,P1529&lt;1-1E-9),'계산 과정'!$C$48*(D1529-'계산 과정'!$C$50+P1529*('계산 과정'!$C$32-D1529))+'계산 과정'!$D$48*(E1529-'계산 과정'!$D$50+P1529*('계산 과정'!$D$32-E1529))+'계산 과정'!$E$48*(0-'계산 과정'!$E$50+P1529*('계산 과정'!$E$32-0)),"")</x:f>
      </x:c>
      <x:c r="S1529" s="17" t="n">
        <x:f>IF('계산 과정'!$C$78,IF(AND(ISNUMBER(Q1529),ISNUMBER(R1529),ABS(Q1529-'계산 과정'!$C$88)&lt;='계산 과정'!$D$23/2,ABS(R1529-'계산 과정'!$C$89)&lt;='계산 과정'!$D$24/2),1,0),"")</x:f>
        <x:v>0</x:v>
      </x:c>
      <x:c r="T1529" s="4"/>
      <x:c r="U1529" s="4"/>
      <x:c r="V1529" s="4"/>
      <x:c r="W1529" s="4"/>
      <x:c r="X1529" s="4"/>
      <x:c r="Y1529" s="4"/>
      <x:c r="Z1529" s="4"/>
    </x:row>
    <x:row r="1530" ht="23" customHeight="1">
      <x:c r="A1530" s="17" t="n">
        <x:f>ROW()-6</x:f>
        <x:v>1524</x:v>
      </x:c>
      <x:c r="B1530" s="4" t="n">
        <x:f>IF('계산 과정'!$L$5,'계산 과정'!$L$11*SQRT((A1530+0.5)/'계산 과정'!$L$30),"")</x:f>
        <x:v>129.41660336511114</x:v>
      </x:c>
      <x:c r="C1530" s="4" t="n">
        <x:f>A1530*PI()*(3-SQRT(5))</x:f>
        <x:v>3657.5439621064666</x:v>
      </x:c>
      <x:c r="D1530" s="4" t="n">
        <x:f>IF('계산 과정'!$L$5,B1530*COS(C1530),"")</x:f>
        <x:v>96.42815879133111</x:v>
      </x:c>
      <x:c r="E1530" s="4" t="n">
        <x:f>IF('계산 과정'!$L$5,B1530*SIN(C1530),"")</x:f>
        <x:v>86.31493160905782</x:v>
      </x:c>
      <x:c r="F1530" s="4" t="n">
        <x:f>IF('계산 과정'!$L$7,'계산 과정'!$L$22+'계산 과정'!$C$49*D1530+'계산 과정'!$D$49*E1530,"")</x:f>
        <x:v>581.8149950213166</x:v>
      </x:c>
      <x:c r="G1530" s="4" t="n">
        <x:f>IF('계산 과정'!$L$7,IF(ABS(F1530)&gt;=1E-12*MAX(1,SQRT((D1530-'계산 과정'!$C$33)^2+(E1530-'계산 과정'!$D$33)^2+'계산 과정'!$E$33^2)),('계산 과정'!$L$23-'계산 과정'!$C$49*D1530-'계산 과정'!$D$49*E1530)/F1530,""),"")</x:f>
        <x:v>0.8046973848818214</x:v>
      </x:c>
      <x:c r="H1530" s="4" t="n">
        <x:f>IF(AND(ISNUMBER(G1530),G1530&gt;0),('계산 과정'!$D$56+'계산 과정'!$D$57*D1530+'계산 과정'!$D$58*E1530)/F1530,"")</x:f>
        <x:v>123.05330017318386</x:v>
      </x:c>
      <x:c r="I1530" s="4" t="n">
        <x:f>IF(AND(ISNUMBER(G1530),G1530&gt;0),('계산 과정'!$E$56+'계산 과정'!$E$57*D1530+'계산 과정'!$E$58*E1530)/F1530,"")</x:f>
        <x:v>155.77233135111993</x:v>
      </x:c>
      <x:c r="J1530" s="4" t="n">
        <x:f>IF('계산 과정'!$L$5,'계산 과정'!$D$6+'계산 과정'!$C$35*D1530+'계산 과정'!$D$35*E1530,"")</x:f>
        <x:v>581.8149950213166</x:v>
      </x:c>
      <x:c r="K1530" s="4" t="n">
        <x:f>IF(AND('계산 과정'!$L$6,J1530&gt;0),'계산 과정'!$D$10*('계산 과정'!$C$38*(D1530-'계산 과정'!$C$32)+'계산 과정'!$D$38*(E1530-'계산 과정'!$D$32)-'계산 과정'!$E$38*'계산 과정'!$E$32)/J1530,"")</x:f>
        <x:v>0.9375489537004491</x:v>
      </x:c>
      <x:c r="L1530" s="4" t="n">
        <x:f>IF(AND('계산 과정'!$L$6,J1530&gt;0),'계산 과정'!$D$10*('계산 과정'!$C$39*(D1530-'계산 과정'!$C$32)+'계산 과정'!$D$39*(E1530-'계산 과정'!$D$32)-'계산 과정'!$E$39*'계산 과정'!$E$32)/J1530,"")</x:f>
        <x:v>1.186836810294247</x:v>
      </x:c>
      <x:c r="M1530" s="17" t="n">
        <x:f>IF('계산 과정'!$L$6,IF(J1530&lt;=0,0,IF(AND(ABS(K1530)&lt;='계산 과정'!$D$11/2,ABS(L1530)&lt;='계산 과정'!$D$12/2),1,0)),"")</x:f>
        <x:v>1</x:v>
      </x:c>
      <x:c r="N1530" s="17" t="n">
        <x:f>IF('계산 과정'!$C$78,IF(AND(ISNUMBER(H1530),ISNUMBER(I1530),ABS(H1530-'계산 과정'!$C$88)&lt;='계산 과정'!$D$23/2,ABS(I1530-'계산 과정'!$C$89)&lt;='계산 과정'!$D$24/2),1,0),"")</x:f>
        <x:v>1</x:v>
      </x:c>
      <x:c r="O1530" s="4" t="n">
        <x:f>IF('계산 과정'!$L$7,'계산 과정'!$C$49*('계산 과정'!$C$32-D1530)+'계산 과정'!$D$49*('계산 과정'!$D$32-E1530)+'계산 과정'!$E$49*'계산 과정'!$E$32,"")</x:f>
        <x:v>68.18500497868354</x:v>
      </x:c>
      <x:c r="P1530" s="4" t="n">
        <x:f>IF(AND('계산 과정'!$L$7,O1530&lt;&gt;0),('계산 과정'!$L$23-'계산 과정'!$C$49*D1530-'계산 과정'!$D$49*E1530)/O1530,"")</x:f>
        <x:v>6.86639247331654</x:v>
      </x:c>
      <x:c r="Q1530" s="4" t="str">
        <x:f>IF(AND(ISNUMBER(P1530),P1530&gt;1E-9,P1530&lt;1-1E-9),'계산 과정'!$C$47*(D1530-'계산 과정'!$C$50+P1530*('계산 과정'!$C$32-D1530))+'계산 과정'!$D$47*(E1530-'계산 과정'!$D$50+P1530*('계산 과정'!$D$32-E1530))+'계산 과정'!$E$47*(0-'계산 과정'!$E$50+P1530*('계산 과정'!$E$32-0)),"")</x:f>
      </x:c>
      <x:c r="R1530" s="4" t="str">
        <x:f>IF(AND(ISNUMBER(P1530),P1530&gt;1E-9,P1530&lt;1-1E-9),'계산 과정'!$C$48*(D1530-'계산 과정'!$C$50+P1530*('계산 과정'!$C$32-D1530))+'계산 과정'!$D$48*(E1530-'계산 과정'!$D$50+P1530*('계산 과정'!$D$32-E1530))+'계산 과정'!$E$48*(0-'계산 과정'!$E$50+P1530*('계산 과정'!$E$32-0)),"")</x:f>
      </x:c>
      <x:c r="S1530" s="17" t="n">
        <x:f>IF('계산 과정'!$C$78,IF(AND(ISNUMBER(Q1530),ISNUMBER(R1530),ABS(Q1530-'계산 과정'!$C$88)&lt;='계산 과정'!$D$23/2,ABS(R1530-'계산 과정'!$C$89)&lt;='계산 과정'!$D$24/2),1,0),"")</x:f>
        <x:v>0</x:v>
      </x:c>
      <x:c r="T1530" s="4"/>
      <x:c r="U1530" s="4"/>
      <x:c r="V1530" s="4"/>
      <x:c r="W1530" s="4"/>
      <x:c r="X1530" s="4"/>
      <x:c r="Y1530" s="4"/>
      <x:c r="Z1530" s="4"/>
    </x:row>
    <x:row r="1531" ht="23" customHeight="1">
      <x:c r="A1531" s="17" t="n">
        <x:f>ROW()-6</x:f>
        <x:v>1525</x:v>
      </x:c>
      <x:c r="B1531" s="4" t="n">
        <x:f>IF('계산 과정'!$L$5,'계산 과정'!$L$11*SQRT((A1531+0.5)/'계산 과정'!$L$30),"")</x:f>
        <x:v>129.45904199663883</x:v>
      </x:c>
      <x:c r="C1531" s="4" t="n">
        <x:f>A1531*PI()*(3-SQRT(5))</x:f>
        <x:v>3659.9439253361957</x:v>
      </x:c>
      <x:c r="D1531" s="4" t="n">
        <x:f>IF('계산 과정'!$L$5,B1531*COS(C1531),"")</x:f>
        <x:v>-129.4504576323316</x:v>
      </x:c>
      <x:c r="E1531" s="4" t="n">
        <x:f>IF('계산 과정'!$L$5,B1531*SIN(C1531),"")</x:f>
        <x:v>1.4908297915648407</x:v>
      </x:c>
      <x:c r="F1531" s="4" t="n">
        <x:f>IF('계산 과정'!$L$7,'계산 과정'!$L$22+'계산 과정'!$C$49*D1531+'계산 과정'!$D$49*E1531,"")</x:f>
        <x:v>741.5352964195235</x:v>
      </x:c>
      <x:c r="G1531" s="4" t="n">
        <x:f>IF('계산 과정'!$L$7,IF(ABS(F1531)&gt;=1E-12*MAX(1,SQRT((D1531-'계산 과정'!$C$33)^2+(E1531-'계산 과정'!$D$33)^2+'계산 과정'!$E$33^2)),('계산 과정'!$L$23-'계산 과정'!$C$49*D1531-'계산 과정'!$D$49*E1531)/F1531,""),"")</x:f>
        <x:v>0.4159811475864833</x:v>
      </x:c>
      <x:c r="H1531" s="4" t="n">
        <x:f>IF(AND(ISNUMBER(G1531),G1531&gt;0),('계산 과정'!$D$56+'계산 과정'!$D$57*D1531+'계산 과정'!$D$58*E1531)/F1531,"")</x:f>
        <x:v>-129.61225406878597</x:v>
      </x:c>
      <x:c r="I1531" s="4" t="n">
        <x:f>IF(AND(ISNUMBER(G1531),G1531&gt;0),('계산 과정'!$E$56+'계산 과정'!$E$57*D1531+'계산 과정'!$E$58*E1531)/F1531,"")</x:f>
        <x:v>2.110986879116101</x:v>
      </x:c>
      <x:c r="J1531" s="4" t="n">
        <x:f>IF('계산 과정'!$L$5,'계산 과정'!$D$6+'계산 과정'!$C$35*D1531+'계산 과정'!$D$35*E1531,"")</x:f>
        <x:v>741.5352964195235</x:v>
      </x:c>
      <x:c r="K1531" s="4" t="n">
        <x:f>IF(AND('계산 과정'!$L$6,J1531&gt;0),'계산 과정'!$D$10*('계산 과정'!$C$38*(D1531-'계산 과정'!$C$32)+'계산 과정'!$D$38*(E1531-'계산 과정'!$D$32)-'계산 과정'!$E$38*'계산 과정'!$E$32)/J1531,"")</x:f>
        <x:v>-0.9875219357621774</x:v>
      </x:c>
      <x:c r="L1531" s="4" t="n">
        <x:f>IF(AND('계산 과정'!$L$6,J1531&gt;0),'계산 과정'!$D$10*('계산 과정'!$C$39*(D1531-'계산 과정'!$C$32)+'계산 과정'!$D$39*(E1531-'계산 과정'!$D$32)-'계산 과정'!$E$39*'계산 과정'!$E$32)/J1531,"")</x:f>
        <x:v>0.016083709555170293</x:v>
      </x:c>
      <x:c r="M1531" s="17" t="n">
        <x:f>IF('계산 과정'!$L$6,IF(J1531&lt;=0,0,IF(AND(ABS(K1531)&lt;='계산 과정'!$D$11/2,ABS(L1531)&lt;='계산 과정'!$D$12/2),1,0)),"")</x:f>
        <x:v>1</x:v>
      </x:c>
      <x:c r="N1531" s="17" t="n">
        <x:f>IF('계산 과정'!$C$78,IF(AND(ISNUMBER(H1531),ISNUMBER(I1531),ABS(H1531-'계산 과정'!$C$88)&lt;='계산 과정'!$D$23/2,ABS(I1531-'계산 과정'!$C$89)&lt;='계산 과정'!$D$24/2),1,0),"")</x:f>
        <x:v>1</x:v>
      </x:c>
      <x:c r="O1531" s="4" t="n">
        <x:f>IF('계산 과정'!$L$7,'계산 과정'!$C$49*('계산 과정'!$C$32-D1531)+'계산 과정'!$D$49*('계산 과정'!$D$32-E1531)+'계산 과정'!$E$49*'계산 과정'!$E$32,"")</x:f>
        <x:v>-91.53529641952338</x:v>
      </x:c>
      <x:c r="P1531" s="4" t="n">
        <x:f>IF(AND('계산 과정'!$L$7,O1531&lt;&gt;0),('계산 과정'!$L$23-'계산 과정'!$C$49*D1531-'계산 과정'!$D$49*E1531)/O1531,"")</x:f>
        <x:v>-3.3698989968495328</x:v>
      </x:c>
      <x:c r="Q1531" s="4" t="str">
        <x:f>IF(AND(ISNUMBER(P1531),P1531&gt;1E-9,P1531&lt;1-1E-9),'계산 과정'!$C$47*(D1531-'계산 과정'!$C$50+P1531*('계산 과정'!$C$32-D1531))+'계산 과정'!$D$47*(E1531-'계산 과정'!$D$50+P1531*('계산 과정'!$D$32-E1531))+'계산 과정'!$E$47*(0-'계산 과정'!$E$50+P1531*('계산 과정'!$E$32-0)),"")</x:f>
      </x:c>
      <x:c r="R1531" s="4" t="str">
        <x:f>IF(AND(ISNUMBER(P1531),P1531&gt;1E-9,P1531&lt;1-1E-9),'계산 과정'!$C$48*(D1531-'계산 과정'!$C$50+P1531*('계산 과정'!$C$32-D1531))+'계산 과정'!$D$48*(E1531-'계산 과정'!$D$50+P1531*('계산 과정'!$D$32-E1531))+'계산 과정'!$E$48*(0-'계산 과정'!$E$50+P1531*('계산 과정'!$E$32-0)),"")</x:f>
      </x:c>
      <x:c r="S1531" s="17" t="n">
        <x:f>IF('계산 과정'!$C$78,IF(AND(ISNUMBER(Q1531),ISNUMBER(R1531),ABS(Q1531-'계산 과정'!$C$88)&lt;='계산 과정'!$D$23/2,ABS(R1531-'계산 과정'!$C$89)&lt;='계산 과정'!$D$24/2),1,0),"")</x:f>
        <x:v>0</x:v>
      </x:c>
      <x:c r="T1531" s="4"/>
      <x:c r="U1531" s="4"/>
      <x:c r="V1531" s="4"/>
      <x:c r="W1531" s="4"/>
      <x:c r="X1531" s="4"/>
      <x:c r="Y1531" s="4"/>
      <x:c r="Z1531" s="4"/>
    </x:row>
    <x:row r="1532" ht="23" customHeight="1">
      <x:c r="A1532" s="17" t="n">
        <x:f>ROW()-6</x:f>
        <x:v>1526</x:v>
      </x:c>
      <x:c r="B1532" s="4" t="n">
        <x:f>IF('계산 과정'!$L$5,'계산 과정'!$L$11*SQRT((A1532+0.5)/'계산 과정'!$L$30),"")</x:f>
        <x:v>129.50146672069974</x:v>
      </x:c>
      <x:c r="C1532" s="4" t="n">
        <x:f>A1532*PI()*(3-SQRT(5))</x:f>
        <x:v>3662.3438885659248</x:v>
      </x:c>
      <x:c r="D1532" s="4" t="n">
        <x:f>IF('계산 과정'!$L$5,B1532*COS(C1532),"")</x:f>
        <x:v>94.4766482382639</x:v>
      </x:c>
      <x:c r="E1532" s="4" t="n">
        <x:f>IF('계산 과정'!$L$5,B1532*SIN(C1532),"")</x:f>
        <x:v>-88.5708350444764</x:v>
      </x:c>
      <x:c r="F1532" s="4" t="n">
        <x:f>IF('계산 과정'!$L$7,'계산 과정'!$L$22+'계산 과정'!$C$49*D1532+'계산 과정'!$D$49*E1532,"")</x:f>
        <x:v>583.1949213669475</x:v>
      </x:c>
      <x:c r="G1532" s="4" t="n">
        <x:f>IF('계산 과정'!$L$7,IF(ABS(F1532)&gt;=1E-12*MAX(1,SQRT((D1532-'계산 과정'!$C$33)^2+(E1532-'계산 과정'!$D$33)^2+'계산 과정'!$E$33^2)),('계산 과정'!$L$23-'계산 과정'!$C$49*D1532-'계산 과정'!$D$49*E1532)/F1532,""),"")</x:f>
        <x:v>0.8004272011472777</x:v>
      </x:c>
      <x:c r="H1532" s="4" t="n">
        <x:f>IF(AND(ISNUMBER(G1532),G1532&gt;0),('계산 과정'!$D$56+'계산 과정'!$D$57*D1532+'계산 과정'!$D$58*E1532)/F1532,"")</x:f>
        <x:v>120.27768074573042</x:v>
      </x:c>
      <x:c r="I1532" s="4" t="n">
        <x:f>IF(AND(ISNUMBER(G1532),G1532&gt;0),('계산 과정'!$E$56+'계산 과정'!$E$57*D1532+'계산 과정'!$E$58*E1532)/F1532,"")</x:f>
        <x:v>-159.46534064240387</x:v>
      </x:c>
      <x:c r="J1532" s="4" t="n">
        <x:f>IF('계산 과정'!$L$5,'계산 과정'!$D$6+'계산 과정'!$C$35*D1532+'계산 과정'!$D$35*E1532,"")</x:f>
        <x:v>583.1949213669475</x:v>
      </x:c>
      <x:c r="K1532" s="4" t="n">
        <x:f>IF(AND('계산 과정'!$L$6,J1532&gt;0),'계산 과정'!$D$10*('계산 과정'!$C$38*(D1532-'계산 과정'!$C$32)+'계산 과정'!$D$38*(E1532-'계산 과정'!$D$32)-'계산 과정'!$E$38*'계산 과정'!$E$32)/J1532,"")</x:f>
        <x:v>0.916401377110328</x:v>
      </x:c>
      <x:c r="L1532" s="4" t="n">
        <x:f>IF(AND('계산 과정'!$L$6,J1532&gt;0),'계산 과정'!$D$10*('계산 과정'!$C$39*(D1532-'계산 과정'!$C$32)+'계산 과정'!$D$39*(E1532-'계산 과정'!$D$32)-'계산 과정'!$E$39*'계산 과정'!$E$32)/J1532,"")</x:f>
        <x:v>-1.2149740239421247</x:v>
      </x:c>
      <x:c r="M1532" s="17" t="n">
        <x:f>IF('계산 과정'!$L$6,IF(J1532&lt;=0,0,IF(AND(ABS(K1532)&lt;='계산 과정'!$D$11/2,ABS(L1532)&lt;='계산 과정'!$D$12/2),1,0)),"")</x:f>
        <x:v>1</x:v>
      </x:c>
      <x:c r="N1532" s="17" t="n">
        <x:f>IF('계산 과정'!$C$78,IF(AND(ISNUMBER(H1532),ISNUMBER(I1532),ABS(H1532-'계산 과정'!$C$88)&lt;='계산 과정'!$D$23/2,ABS(I1532-'계산 과정'!$C$89)&lt;='계산 과정'!$D$24/2),1,0),"")</x:f>
        <x:v>1</x:v>
      </x:c>
      <x:c r="O1532" s="4" t="n">
        <x:f>IF('계산 과정'!$L$7,'계산 과정'!$C$49*('계산 과정'!$C$32-D1532)+'계산 과정'!$D$49*('계산 과정'!$D$32-E1532)+'계산 과정'!$E$49*'계산 과정'!$E$32,"")</x:f>
        <x:v>66.80507863305263</x:v>
      </x:c>
      <x:c r="P1532" s="4" t="n">
        <x:f>IF(AND('계산 과정'!$L$7,O1532&lt;&gt;0),('계산 과정'!$L$23-'계산 과정'!$C$49*D1532-'계산 과정'!$D$49*E1532)/O1532,"")</x:f>
        <x:v>6.987568732567811</x:v>
      </x:c>
      <x:c r="Q1532" s="4" t="str">
        <x:f>IF(AND(ISNUMBER(P1532),P1532&gt;1E-9,P1532&lt;1-1E-9),'계산 과정'!$C$47*(D1532-'계산 과정'!$C$50+P1532*('계산 과정'!$C$32-D1532))+'계산 과정'!$D$47*(E1532-'계산 과정'!$D$50+P1532*('계산 과정'!$D$32-E1532))+'계산 과정'!$E$47*(0-'계산 과정'!$E$50+P1532*('계산 과정'!$E$32-0)),"")</x:f>
      </x:c>
      <x:c r="R1532" s="4" t="str">
        <x:f>IF(AND(ISNUMBER(P1532),P1532&gt;1E-9,P1532&lt;1-1E-9),'계산 과정'!$C$48*(D1532-'계산 과정'!$C$50+P1532*('계산 과정'!$C$32-D1532))+'계산 과정'!$D$48*(E1532-'계산 과정'!$D$50+P1532*('계산 과정'!$D$32-E1532))+'계산 과정'!$E$48*(0-'계산 과정'!$E$50+P1532*('계산 과정'!$E$32-0)),"")</x:f>
      </x:c>
      <x:c r="S1532" s="17" t="n">
        <x:f>IF('계산 과정'!$C$78,IF(AND(ISNUMBER(Q1532),ISNUMBER(R1532),ABS(Q1532-'계산 과정'!$C$88)&lt;='계산 과정'!$D$23/2,ABS(R1532-'계산 과정'!$C$89)&lt;='계산 과정'!$D$24/2),1,0),"")</x:f>
        <x:v>0</x:v>
      </x:c>
      <x:c r="T1532" s="4"/>
      <x:c r="U1532" s="4"/>
      <x:c r="V1532" s="4"/>
      <x:c r="W1532" s="4"/>
      <x:c r="X1532" s="4"/>
      <x:c r="Y1532" s="4"/>
      <x:c r="Z1532" s="4"/>
    </x:row>
    <x:row r="1533" ht="23" customHeight="1">
      <x:c r="A1533" s="17" t="n">
        <x:f>ROW()-6</x:f>
        <x:v>1527</x:v>
      </x:c>
      <x:c r="B1533" s="4" t="n">
        <x:f>IF('계산 과정'!$L$5,'계산 과정'!$L$11*SQRT((A1533+0.5)/'계산 과정'!$L$30),"")</x:f>
        <x:v>129.5438775509576</x:v>
      </x:c>
      <x:c r="C1533" s="4" t="n">
        <x:f>A1533*PI()*(3-SQRT(5))</x:f>
        <x:v>3664.743851795653</x:v>
      </x:c>
      <x:c r="D1533" s="4" t="n">
        <x:f>IF('계산 과정'!$L$5,B1533*COS(C1533),"")</x:f>
        <x:v>-9.838621714173177</x:v>
      </x:c>
      <x:c r="E1533" s="4" t="n">
        <x:f>IF('계산 과정'!$L$5,B1533*SIN(C1533),"")</x:f>
        <x:v>129.16972452437489</x:v>
      </x:c>
      <x:c r="F1533" s="4" t="n">
        <x:f>IF('계산 과정'!$L$7,'계산 과정'!$L$22+'계산 과정'!$C$49*D1533+'계산 과정'!$D$49*E1533,"")</x:f>
        <x:v>656.956956131621</x:v>
      </x:c>
      <x:c r="G1533" s="4" t="n">
        <x:f>IF('계산 과정'!$L$7,IF(ABS(F1533)&gt;=1E-12*MAX(1,SQRT((D1533-'계산 과정'!$C$33)^2+(E1533-'계산 과정'!$D$33)^2+'계산 과정'!$E$33^2)),('계산 과정'!$L$23-'계산 과정'!$C$49*D1533-'계산 과정'!$D$49*E1533)/F1533,""),"")</x:f>
        <x:v>0.5982782284287632</x:v>
      </x:c>
      <x:c r="H1533" s="4" t="n">
        <x:f>IF(AND(ISNUMBER(G1533),G1533&gt;0),('계산 과정'!$D$56+'계산 과정'!$D$57*D1533+'계산 과정'!$D$58*E1533)/F1533,"")</x:f>
        <x:v>-11.119151521304058</x:v>
      </x:c>
      <x:c r="I1533" s="4" t="n">
        <x:f>IF(AND(ISNUMBER(G1533),G1533&gt;0),('계산 과정'!$E$56+'계산 과정'!$E$57*D1533+'계산 과정'!$E$58*E1533)/F1533,"")</x:f>
        <x:v>206.44915847944927</x:v>
      </x:c>
      <x:c r="J1533" s="4" t="n">
        <x:f>IF('계산 과정'!$L$5,'계산 과정'!$D$6+'계산 과정'!$C$35*D1533+'계산 과정'!$D$35*E1533,"")</x:f>
        <x:v>656.956956131621</x:v>
      </x:c>
      <x:c r="K1533" s="4" t="n">
        <x:f>IF(AND('계산 과정'!$L$6,J1533&gt;0),'계산 과정'!$D$10*('계산 과정'!$C$38*(D1533-'계산 과정'!$C$32)+'계산 과정'!$D$38*(E1533-'계산 과정'!$D$32)-'계산 과정'!$E$38*'계산 과정'!$E$32)/J1533,"")</x:f>
        <x:v>-0.08471734492422088</x:v>
      </x:c>
      <x:c r="L1533" s="4" t="n">
        <x:f>IF(AND('계산 과정'!$L$6,J1533&gt;0),'계산 과정'!$D$10*('계산 과정'!$C$39*(D1533-'계산 과정'!$C$32)+'계산 과정'!$D$39*(E1533-'계산 과정'!$D$32)-'계산 과정'!$E$39*'계산 과정'!$E$32)/J1533,"")</x:f>
        <x:v>1.5729459693672325</x:v>
      </x:c>
      <x:c r="M1533" s="17" t="n">
        <x:f>IF('계산 과정'!$L$6,IF(J1533&lt;=0,0,IF(AND(ABS(K1533)&lt;='계산 과정'!$D$11/2,ABS(L1533)&lt;='계산 과정'!$D$12/2),1,0)),"")</x:f>
        <x:v>1</x:v>
      </x:c>
      <x:c r="N1533" s="17" t="n">
        <x:f>IF('계산 과정'!$C$78,IF(AND(ISNUMBER(H1533),ISNUMBER(I1533),ABS(H1533-'계산 과정'!$C$88)&lt;='계산 과정'!$D$23/2,ABS(I1533-'계산 과정'!$C$89)&lt;='계산 과정'!$D$24/2),1,0),"")</x:f>
        <x:v>1</x:v>
      </x:c>
      <x:c r="O1533" s="4" t="n">
        <x:f>IF('계산 과정'!$L$7,'계산 과정'!$C$49*('계산 과정'!$C$32-D1533)+'계산 과정'!$D$49*('계산 과정'!$D$32-E1533)+'계산 과정'!$E$49*'계산 과정'!$E$32,"")</x:f>
        <x:v>-6.956956131620984</x:v>
      </x:c>
      <x:c r="P1533" s="4" t="n">
        <x:f>IF(AND('계산 과정'!$L$7,O1533&lt;&gt;0),('계산 과정'!$L$23-'계산 과정'!$C$49*D1533-'계산 과정'!$D$49*E1533)/O1533,"")</x:f>
        <x:v>-56.496409698762776</x:v>
      </x:c>
      <x:c r="Q1533" s="4" t="str">
        <x:f>IF(AND(ISNUMBER(P1533),P1533&gt;1E-9,P1533&lt;1-1E-9),'계산 과정'!$C$47*(D1533-'계산 과정'!$C$50+P1533*('계산 과정'!$C$32-D1533))+'계산 과정'!$D$47*(E1533-'계산 과정'!$D$50+P1533*('계산 과정'!$D$32-E1533))+'계산 과정'!$E$47*(0-'계산 과정'!$E$50+P1533*('계산 과정'!$E$32-0)),"")</x:f>
      </x:c>
      <x:c r="R1533" s="4" t="str">
        <x:f>IF(AND(ISNUMBER(P1533),P1533&gt;1E-9,P1533&lt;1-1E-9),'계산 과정'!$C$48*(D1533-'계산 과정'!$C$50+P1533*('계산 과정'!$C$32-D1533))+'계산 과정'!$D$48*(E1533-'계산 과정'!$D$50+P1533*('계산 과정'!$D$32-E1533))+'계산 과정'!$E$48*(0-'계산 과정'!$E$50+P1533*('계산 과정'!$E$32-0)),"")</x:f>
      </x:c>
      <x:c r="S1533" s="17" t="n">
        <x:f>IF('계산 과정'!$C$78,IF(AND(ISNUMBER(Q1533),ISNUMBER(R1533),ABS(Q1533-'계산 과정'!$C$88)&lt;='계산 과정'!$D$23/2,ABS(R1533-'계산 과정'!$C$89)&lt;='계산 과정'!$D$24/2),1,0),"")</x:f>
        <x:v>0</x:v>
      </x:c>
      <x:c r="T1533" s="4"/>
      <x:c r="U1533" s="4"/>
      <x:c r="V1533" s="4"/>
      <x:c r="W1533" s="4"/>
      <x:c r="X1533" s="4"/>
      <x:c r="Y1533" s="4"/>
      <x:c r="Z1533" s="4"/>
    </x:row>
    <x:row r="1534" ht="23" customHeight="1">
      <x:c r="A1534" s="17" t="n">
        <x:f>ROW()-6</x:f>
        <x:v>1528</x:v>
      </x:c>
      <x:c r="B1534" s="4" t="n">
        <x:f>IF('계산 과정'!$L$5,'계산 과정'!$L$11*SQRT((A1534+0.5)/'계산 과정'!$L$30),"")</x:f>
        <x:v>129.58627450105394</x:v>
      </x:c>
      <x:c r="C1534" s="4" t="n">
        <x:f>A1534*PI()*(3-SQRT(5))</x:f>
        <x:v>3667.1438150253816</x:v>
      </x:c>
      <x:c r="D1534" s="4" t="n">
        <x:f>IF('계산 과정'!$L$5,B1534*COS(C1534),"")</x:f>
        <x:v>-80.02438347983617</x:v>
      </x:c>
      <x:c r="E1534" s="4" t="n">
        <x:f>IF('계산 과정'!$L$5,B1534*SIN(C1534),"")</x:f>
        <x:v>-101.92497528935007</x:v>
      </x:c>
      <x:c r="F1534" s="4" t="n">
        <x:f>IF('계산 과정'!$L$7,'계산 과정'!$L$22+'계산 과정'!$C$49*D1534+'계산 과정'!$D$49*E1534,"")</x:f>
        <x:v>706.5857842188649</x:v>
      </x:c>
      <x:c r="G1534" s="4" t="n">
        <x:f>IF('계산 과정'!$L$7,IF(ABS(F1534)&gt;=1E-12*MAX(1,SQRT((D1534-'계산 과정'!$C$33)^2+(E1534-'계산 과정'!$D$33)^2+'계산 과정'!$E$33^2)),('계산 과정'!$L$23-'계산 과정'!$C$49*D1534-'계산 과정'!$D$49*E1534)/F1534,""),"")</x:f>
        <x:v>0.4860191408475359</x:v>
      </x:c>
      <x:c r="H1534" s="4" t="n">
        <x:f>IF(AND(ISNUMBER(G1534),G1534&gt;0),('계산 과정'!$D$56+'계산 과정'!$D$57*D1534+'계산 과정'!$D$58*E1534)/F1534,"")</x:f>
        <x:v>-84.08755844910178</x:v>
      </x:c>
      <x:c r="I1534" s="4" t="n">
        <x:f>IF(AND(ISNUMBER(G1534),G1534&gt;0),('계산 과정'!$E$56+'계산 과정'!$E$57*D1534+'계산 과정'!$E$58*E1534)/F1534,"")</x:f>
        <x:v>-151.46246421038634</x:v>
      </x:c>
      <x:c r="J1534" s="4" t="n">
        <x:f>IF('계산 과정'!$L$5,'계산 과정'!$D$6+'계산 과정'!$C$35*D1534+'계산 과정'!$D$35*E1534,"")</x:f>
        <x:v>706.5857842188649</x:v>
      </x:c>
      <x:c r="K1534" s="4" t="n">
        <x:f>IF(AND('계산 과정'!$L$6,J1534&gt;0),'계산 과정'!$D$10*('계산 과정'!$C$38*(D1534-'계산 과정'!$C$32)+'계산 과정'!$D$38*(E1534-'계산 과정'!$D$32)-'계산 과정'!$E$38*'계산 과정'!$E$32)/J1534,"")</x:f>
        <x:v>-0.6406671119931555</x:v>
      </x:c>
      <x:c r="L1534" s="4" t="n">
        <x:f>IF(AND('계산 과정'!$L$6,J1534&gt;0),'계산 과정'!$D$10*('계산 과정'!$C$39*(D1534-'계산 과정'!$C$32)+'계산 과정'!$D$39*(E1534-'계산 과정'!$D$32)-'계산 과정'!$E$39*'계산 과정'!$E$32)/J1534,"")</x:f>
        <x:v>-1.153999727317229</x:v>
      </x:c>
      <x:c r="M1534" s="17" t="n">
        <x:f>IF('계산 과정'!$L$6,IF(J1534&lt;=0,0,IF(AND(ABS(K1534)&lt;='계산 과정'!$D$11/2,ABS(L1534)&lt;='계산 과정'!$D$12/2),1,0)),"")</x:f>
        <x:v>1</x:v>
      </x:c>
      <x:c r="N1534" s="17" t="n">
        <x:f>IF('계산 과정'!$C$78,IF(AND(ISNUMBER(H1534),ISNUMBER(I1534),ABS(H1534-'계산 과정'!$C$88)&lt;='계산 과정'!$D$23/2,ABS(I1534-'계산 과정'!$C$89)&lt;='계산 과정'!$D$24/2),1,0),"")</x:f>
        <x:v>1</x:v>
      </x:c>
      <x:c r="O1534" s="4" t="n">
        <x:f>IF('계산 과정'!$L$7,'계산 과정'!$C$49*('계산 과정'!$C$32-D1534)+'계산 과정'!$D$49*('계산 과정'!$D$32-E1534)+'계산 과정'!$E$49*'계산 과정'!$E$32,"")</x:f>
        <x:v>-56.585784218864774</x:v>
      </x:c>
      <x:c r="P1534" s="4" t="n">
        <x:f>IF(AND('계산 과정'!$L$7,O1534&lt;&gt;0),('계산 과정'!$L$23-'계산 과정'!$C$49*D1534-'계산 과정'!$D$49*E1534)/O1534,"")</x:f>
        <x:v>-6.068913253068364</x:v>
      </x:c>
      <x:c r="Q1534" s="4" t="str">
        <x:f>IF(AND(ISNUMBER(P1534),P1534&gt;1E-9,P1534&lt;1-1E-9),'계산 과정'!$C$47*(D1534-'계산 과정'!$C$50+P1534*('계산 과정'!$C$32-D1534))+'계산 과정'!$D$47*(E1534-'계산 과정'!$D$50+P1534*('계산 과정'!$D$32-E1534))+'계산 과정'!$E$47*(0-'계산 과정'!$E$50+P1534*('계산 과정'!$E$32-0)),"")</x:f>
      </x:c>
      <x:c r="R1534" s="4" t="str">
        <x:f>IF(AND(ISNUMBER(P1534),P1534&gt;1E-9,P1534&lt;1-1E-9),'계산 과정'!$C$48*(D1534-'계산 과정'!$C$50+P1534*('계산 과정'!$C$32-D1534))+'계산 과정'!$D$48*(E1534-'계산 과정'!$D$50+P1534*('계산 과정'!$D$32-E1534))+'계산 과정'!$E$48*(0-'계산 과정'!$E$50+P1534*('계산 과정'!$E$32-0)),"")</x:f>
      </x:c>
      <x:c r="S1534" s="17" t="n">
        <x:f>IF('계산 과정'!$C$78,IF(AND(ISNUMBER(Q1534),ISNUMBER(R1534),ABS(Q1534-'계산 과정'!$C$88)&lt;='계산 과정'!$D$23/2,ABS(R1534-'계산 과정'!$C$89)&lt;='계산 과정'!$D$24/2),1,0),"")</x:f>
        <x:v>0</x:v>
      </x:c>
      <x:c r="T1534" s="4"/>
      <x:c r="U1534" s="4"/>
      <x:c r="V1534" s="4"/>
      <x:c r="W1534" s="4"/>
      <x:c r="X1534" s="4"/>
      <x:c r="Y1534" s="4"/>
      <x:c r="Z1534" s="4"/>
    </x:row>
    <x:row r="1535" ht="23" customHeight="1">
      <x:c r="A1535" s="17" t="n">
        <x:f>ROW()-6</x:f>
        <x:v>1529</x:v>
      </x:c>
      <x:c r="B1535" s="4" t="n">
        <x:f>IF('계산 과정'!$L$5,'계산 과정'!$L$11*SQRT((A1535+0.5)/'계산 과정'!$L$30),"")</x:f>
        <x:v>129.62865758460782</x:v>
      </x:c>
      <x:c r="C1535" s="4" t="n">
        <x:f>A1535*PI()*(3-SQRT(5))</x:f>
        <x:v>3669.5437782551107</x:v>
      </x:c>
      <x:c r="D1535" s="4" t="n">
        <x:f>IF('계산 과정'!$L$5,B1535*COS(C1535),"")</x:f>
        <x:v>127.89863885689357</x:v>
      </x:c>
      <x:c r="E1535" s="4" t="n">
        <x:f>IF('계산 과정'!$L$5,B1535*SIN(C1535),"")</x:f>
        <x:v>21.107511595197987</x:v>
      </x:c>
      <x:c r="F1535" s="4" t="n">
        <x:f>IF('계산 과정'!$L$7,'계산 과정'!$L$22+'계산 과정'!$C$49*D1535+'계산 과정'!$D$49*E1535,"")</x:f>
        <x:v>559.5620051597613</x:v>
      </x:c>
      <x:c r="G1535" s="4" t="n">
        <x:f>IF('계산 과정'!$L$7,IF(ABS(F1535)&gt;=1E-12*MAX(1,SQRT((D1535-'계산 과정'!$C$33)^2+(E1535-'계산 과정'!$D$33)^2+'계산 과정'!$E$33^2)),('계산 과정'!$L$23-'계산 과정'!$C$49*D1535-'계산 과정'!$D$49*E1535)/F1535,""),"")</x:f>
        <x:v>0.876467648478408</x:v>
      </x:c>
      <x:c r="H1535" s="4" t="n">
        <x:f>IF(AND(ISNUMBER(G1535),G1535&gt;0),('계산 과정'!$D$56+'계산 과정'!$D$57*D1535+'계산 과정'!$D$58*E1535)/F1535,"")</x:f>
        <x:v>169.70397151096503</x:v>
      </x:c>
      <x:c r="I1535" s="4" t="n">
        <x:f>IF(AND(ISNUMBER(G1535),G1535&gt;0),('계산 과정'!$E$56+'계산 과정'!$E$57*D1535+'계산 과정'!$E$58*E1535)/F1535,"")</x:f>
        <x:v>39.607562648271895</x:v>
      </x:c>
      <x:c r="J1535" s="4" t="n">
        <x:f>IF('계산 과정'!$L$5,'계산 과정'!$D$6+'계산 과정'!$C$35*D1535+'계산 과정'!$D$35*E1535,"")</x:f>
        <x:v>559.5620051597613</x:v>
      </x:c>
      <x:c r="K1535" s="4" t="n">
        <x:f>IF(AND('계산 과정'!$L$6,J1535&gt;0),'계산 과정'!$D$10*('계산 과정'!$C$38*(D1535-'계산 과정'!$C$32)+'계산 과정'!$D$38*(E1535-'계산 과정'!$D$32)-'계산 과정'!$E$38*'계산 과정'!$E$32)/J1535,"")</x:f>
        <x:v>1.292982640083544</x:v>
      </x:c>
      <x:c r="L1535" s="4" t="n">
        <x:f>IF(AND('계산 과정'!$L$6,J1535&gt;0),'계산 과정'!$D$10*('계산 과정'!$C$39*(D1535-'계산 과정'!$C$32)+'계산 과정'!$D$39*(E1535-'계산 과정'!$D$32)-'계산 과정'!$E$39*'계산 과정'!$E$32)/J1535,"")</x:f>
        <x:v>0.3017719058915954</x:v>
      </x:c>
      <x:c r="M1535" s="17" t="n">
        <x:f>IF('계산 과정'!$L$6,IF(J1535&lt;=0,0,IF(AND(ABS(K1535)&lt;='계산 과정'!$D$11/2,ABS(L1535)&lt;='계산 과정'!$D$12/2),1,0)),"")</x:f>
        <x:v>1</x:v>
      </x:c>
      <x:c r="N1535" s="17" t="n">
        <x:f>IF('계산 과정'!$C$78,IF(AND(ISNUMBER(H1535),ISNUMBER(I1535),ABS(H1535-'계산 과정'!$C$88)&lt;='계산 과정'!$D$23/2,ABS(I1535-'계산 과정'!$C$89)&lt;='계산 과정'!$D$24/2),1,0),"")</x:f>
        <x:v>1</x:v>
      </x:c>
      <x:c r="O1535" s="4" t="n">
        <x:f>IF('계산 과정'!$L$7,'계산 과정'!$C$49*('계산 과정'!$C$32-D1535)+'계산 과정'!$D$49*('계산 과정'!$D$32-E1535)+'계산 과정'!$E$49*'계산 과정'!$E$32,"")</x:f>
        <x:v>90.43799484023882</x:v>
      </x:c>
      <x:c r="P1535" s="4" t="n">
        <x:f>IF(AND('계산 과정'!$L$7,O1535&lt;&gt;0),('계산 과정'!$L$23-'계산 과정'!$C$49*D1535-'계산 과정'!$D$49*E1535)/O1535,"")</x:f>
        <x:v>5.422919821548574</x:v>
      </x:c>
      <x:c r="Q1535" s="4" t="str">
        <x:f>IF(AND(ISNUMBER(P1535),P1535&gt;1E-9,P1535&lt;1-1E-9),'계산 과정'!$C$47*(D1535-'계산 과정'!$C$50+P1535*('계산 과정'!$C$32-D1535))+'계산 과정'!$D$47*(E1535-'계산 과정'!$D$50+P1535*('계산 과정'!$D$32-E1535))+'계산 과정'!$E$47*(0-'계산 과정'!$E$50+P1535*('계산 과정'!$E$32-0)),"")</x:f>
      </x:c>
      <x:c r="R1535" s="4" t="str">
        <x:f>IF(AND(ISNUMBER(P1535),P1535&gt;1E-9,P1535&lt;1-1E-9),'계산 과정'!$C$48*(D1535-'계산 과정'!$C$50+P1535*('계산 과정'!$C$32-D1535))+'계산 과정'!$D$48*(E1535-'계산 과정'!$D$50+P1535*('계산 과정'!$D$32-E1535))+'계산 과정'!$E$48*(0-'계산 과정'!$E$50+P1535*('계산 과정'!$E$32-0)),"")</x:f>
      </x:c>
      <x:c r="S1535" s="17" t="n">
        <x:f>IF('계산 과정'!$C$78,IF(AND(ISNUMBER(Q1535),ISNUMBER(R1535),ABS(Q1535-'계산 과정'!$C$88)&lt;='계산 과정'!$D$23/2,ABS(R1535-'계산 과정'!$C$89)&lt;='계산 과정'!$D$24/2),1,0),"")</x:f>
        <x:v>0</x:v>
      </x:c>
      <x:c r="T1535" s="4"/>
      <x:c r="U1535" s="4"/>
      <x:c r="V1535" s="4"/>
      <x:c r="W1535" s="4"/>
      <x:c r="X1535" s="4"/>
      <x:c r="Y1535" s="4"/>
      <x:c r="Z1535" s="4"/>
    </x:row>
    <x:row r="1536" ht="23" customHeight="1">
      <x:c r="A1536" s="17" t="n">
        <x:f>ROW()-6</x:f>
        <x:v>1530</x:v>
      </x:c>
      <x:c r="B1536" s="4" t="n">
        <x:f>IF('계산 과정'!$L$5,'계산 과정'!$L$11*SQRT((A1536+0.5)/'계산 과정'!$L$30),"")</x:f>
        <x:v>129.67102681521612</x:v>
      </x:c>
      <x:c r="C1536" s="4" t="n">
        <x:f>A1536*PI()*(3-SQRT(5))</x:f>
        <x:v>3671.943741484839</x:v>
      </x:c>
      <x:c r="D1536" s="4" t="n">
        <x:f>IF('계산 과정'!$L$5,B1536*COS(C1536),"")</x:f>
        <x:v>-108.6018800734127</x:v>
      </x:c>
      <x:c r="E1536" s="4" t="n">
        <x:f>IF('계산 과정'!$L$5,B1536*SIN(C1536),"")</x:f>
        <x:v>70.8534179827098</x:v>
      </x:c>
      <x:c r="F1536" s="4" t="n">
        <x:f>IF('계산 과정'!$L$7,'계산 과정'!$L$22+'계산 과정'!$C$49*D1536+'계산 과정'!$D$49*E1536,"")</x:f>
        <x:v>726.7931258495183</x:v>
      </x:c>
      <x:c r="G1536" s="4" t="n">
        <x:f>IF('계산 과정'!$L$7,IF(ABS(F1536)&gt;=1E-12*MAX(1,SQRT((D1536-'계산 과정'!$C$33)^2+(E1536-'계산 과정'!$D$33)^2+'계산 과정'!$E$33^2)),('계산 과정'!$L$23-'계산 과정'!$C$49*D1536-'계산 과정'!$D$49*E1536)/F1536,""),"")</x:f>
        <x:v>0.4447027120306051</x:v>
      </x:c>
      <x:c r="H1536" s="4" t="n">
        <x:f>IF(AND(ISNUMBER(G1536),G1536&gt;0),('계산 과정'!$D$56+'계산 과정'!$D$57*D1536+'계산 과정'!$D$58*E1536)/F1536,"")</x:f>
        <x:v>-110.94323718010679</x:v>
      </x:c>
      <x:c r="I1536" s="4" t="n">
        <x:f>IF(AND(ISNUMBER(G1536),G1536&gt;0),('계산 과정'!$E$56+'계산 과정'!$E$57*D1536+'계산 과정'!$E$58*E1536)/F1536,"")</x:f>
        <x:v>102.3621251162589</x:v>
      </x:c>
      <x:c r="J1536" s="4" t="n">
        <x:f>IF('계산 과정'!$L$5,'계산 과정'!$D$6+'계산 과정'!$C$35*D1536+'계산 과정'!$D$35*E1536,"")</x:f>
        <x:v>726.7931258495183</x:v>
      </x:c>
      <x:c r="K1536" s="4" t="n">
        <x:f>IF(AND('계산 과정'!$L$6,J1536&gt;0),'계산 과정'!$D$10*('계산 과정'!$C$38*(D1536-'계산 과정'!$C$32)+'계산 과정'!$D$38*(E1536-'계산 과정'!$D$32)-'계산 과정'!$E$38*'계산 과정'!$E$32)/J1536,"")</x:f>
        <x:v>-0.8452818070865266</x:v>
      </x:c>
      <x:c r="L1536" s="4" t="n">
        <x:f>IF(AND('계산 과정'!$L$6,J1536&gt;0),'계산 과정'!$D$10*('계산 과정'!$C$39*(D1536-'계산 과정'!$C$32)+'계산 과정'!$D$39*(E1536-'계산 과정'!$D$32)-'계산 과정'!$E$39*'계산 과정'!$E$32)/J1536,"")</x:f>
        <x:v>0.7799019056476868</x:v>
      </x:c>
      <x:c r="M1536" s="17" t="n">
        <x:f>IF('계산 과정'!$L$6,IF(J1536&lt;=0,0,IF(AND(ABS(K1536)&lt;='계산 과정'!$D$11/2,ABS(L1536)&lt;='계산 과정'!$D$12/2),1,0)),"")</x:f>
        <x:v>1</x:v>
      </x:c>
      <x:c r="N1536" s="17" t="n">
        <x:f>IF('계산 과정'!$C$78,IF(AND(ISNUMBER(H1536),ISNUMBER(I1536),ABS(H1536-'계산 과정'!$C$88)&lt;='계산 과정'!$D$23/2,ABS(I1536-'계산 과정'!$C$89)&lt;='계산 과정'!$D$24/2),1,0),"")</x:f>
        <x:v>1</x:v>
      </x:c>
      <x:c r="O1536" s="4" t="n">
        <x:f>IF('계산 과정'!$L$7,'계산 과정'!$C$49*('계산 과정'!$C$32-D1536)+'계산 과정'!$D$49*('계산 과정'!$D$32-E1536)+'계산 과정'!$E$49*'계산 과정'!$E$32,"")</x:f>
        <x:v>-76.79312584951816</x:v>
      </x:c>
      <x:c r="P1536" s="4" t="n">
        <x:f>IF(AND('계산 과정'!$L$7,O1536&lt;&gt;0),('계산 과정'!$L$23-'계산 과정'!$C$49*D1536-'계산 과정'!$D$49*E1536)/O1536,"")</x:f>
        <x:v>-4.208799558229074</x:v>
      </x:c>
      <x:c r="Q1536" s="4" t="str">
        <x:f>IF(AND(ISNUMBER(P1536),P1536&gt;1E-9,P1536&lt;1-1E-9),'계산 과정'!$C$47*(D1536-'계산 과정'!$C$50+P1536*('계산 과정'!$C$32-D1536))+'계산 과정'!$D$47*(E1536-'계산 과정'!$D$50+P1536*('계산 과정'!$D$32-E1536))+'계산 과정'!$E$47*(0-'계산 과정'!$E$50+P1536*('계산 과정'!$E$32-0)),"")</x:f>
      </x:c>
      <x:c r="R1536" s="4" t="str">
        <x:f>IF(AND(ISNUMBER(P1536),P1536&gt;1E-9,P1536&lt;1-1E-9),'계산 과정'!$C$48*(D1536-'계산 과정'!$C$50+P1536*('계산 과정'!$C$32-D1536))+'계산 과정'!$D$48*(E1536-'계산 과정'!$D$50+P1536*('계산 과정'!$D$32-E1536))+'계산 과정'!$E$48*(0-'계산 과정'!$E$50+P1536*('계산 과정'!$E$32-0)),"")</x:f>
      </x:c>
      <x:c r="S1536" s="17" t="n">
        <x:f>IF('계산 과정'!$C$78,IF(AND(ISNUMBER(Q1536),ISNUMBER(R1536),ABS(Q1536-'계산 과정'!$C$88)&lt;='계산 과정'!$D$23/2,ABS(R1536-'계산 과정'!$C$89)&lt;='계산 과정'!$D$24/2),1,0),"")</x:f>
        <x:v>0</x:v>
      </x:c>
      <x:c r="T1536" s="4"/>
      <x:c r="U1536" s="4"/>
      <x:c r="V1536" s="4"/>
      <x:c r="W1536" s="4"/>
      <x:c r="X1536" s="4"/>
      <x:c r="Y1536" s="4"/>
      <x:c r="Z1536" s="4"/>
    </x:row>
    <x:row r="1537" ht="23" customHeight="1">
      <x:c r="A1537" s="17" t="n">
        <x:f>ROW()-6</x:f>
        <x:v>1531</x:v>
      </x:c>
      <x:c r="B1537" s="4" t="n">
        <x:f>IF('계산 과정'!$L$5,'계산 과정'!$L$11*SQRT((A1537+0.5)/'계산 과정'!$L$30),"")</x:f>
        <x:v>129.71338220645353</x:v>
      </x:c>
      <x:c r="C1537" s="4" t="n">
        <x:f>A1537*PI()*(3-SQRT(5))</x:f>
        <x:v>3674.3437047145676</x:v>
      </x:c>
      <x:c r="D1537" s="4" t="n">
        <x:f>IF('계산 과정'!$L$5,B1537*COS(C1537),"")</x:f>
        <x:v>32.2293741819179</x:v>
      </x:c>
      <x:c r="E1537" s="4" t="n">
        <x:f>IF('계산 과정'!$L$5,B1537*SIN(C1537),"")</x:f>
        <x:v>-125.64564840566274</x:v>
      </x:c>
      <x:c r="F1537" s="4" t="n">
        <x:f>IF('계산 과정'!$L$7,'계산 과정'!$L$22+'계산 과정'!$C$49*D1537+'계산 과정'!$D$49*E1537,"")</x:f>
        <x:v>627.2103909625672</x:v>
      </x:c>
      <x:c r="G1537" s="4" t="n">
        <x:f>IF('계산 과정'!$L$7,IF(ABS(F1537)&gt;=1E-12*MAX(1,SQRT((D1537-'계산 과정'!$C$33)^2+(E1537-'계산 과정'!$D$33)^2+'계산 과정'!$E$33^2)),('계산 과정'!$L$23-'계산 과정'!$C$49*D1537-'계산 과정'!$D$49*E1537)/F1537,""),"")</x:f>
        <x:v>0.6740794080094656</x:v>
      </x:c>
      <x:c r="H1537" s="4" t="n">
        <x:f>IF(AND(ISNUMBER(G1537),G1537&gt;0),('계산 과정'!$D$56+'계산 과정'!$D$57*D1537+'계산 과정'!$D$58*E1537)/F1537,"")</x:f>
        <x:v>38.151615206152535</x:v>
      </x:c>
      <x:c r="I1537" s="4" t="n">
        <x:f>IF(AND(ISNUMBER(G1537),G1537&gt;0),('계산 과정'!$E$56+'계산 과정'!$E$57*D1537+'계산 과정'!$E$58*E1537)/F1537,"")</x:f>
        <x:v>-210.3407927019173</x:v>
      </x:c>
      <x:c r="J1537" s="4" t="n">
        <x:f>IF('계산 과정'!$L$5,'계산 과정'!$D$6+'계산 과정'!$C$35*D1537+'계산 과정'!$D$35*E1537,"")</x:f>
        <x:v>627.2103909625672</x:v>
      </x:c>
      <x:c r="K1537" s="4" t="n">
        <x:f>IF(AND('계산 과정'!$L$6,J1537&gt;0),'계산 과정'!$D$10*('계산 과정'!$C$38*(D1537-'계산 과정'!$C$32)+'계산 과정'!$D$38*(E1537-'계산 과정'!$D$32)-'계산 과정'!$E$38*'계산 과정'!$E$32)/J1537,"")</x:f>
        <x:v>0.2906789729992584</x:v>
      </x:c>
      <x:c r="L1537" s="4" t="n">
        <x:f>IF(AND('계산 과정'!$L$6,J1537&gt;0),'계산 과정'!$D$10*('계산 과정'!$C$39*(D1537-'계산 과정'!$C$32)+'계산 과정'!$D$39*(E1537-'계산 과정'!$D$32)-'계산 과정'!$E$39*'계산 과정'!$E$32)/J1537,"")</x:f>
        <x:v>-1.6025965158241322</x:v>
      </x:c>
      <x:c r="M1537" s="17" t="n">
        <x:f>IF('계산 과정'!$L$6,IF(J1537&lt;=0,0,IF(AND(ABS(K1537)&lt;='계산 과정'!$D$11/2,ABS(L1537)&lt;='계산 과정'!$D$12/2),1,0)),"")</x:f>
        <x:v>1</x:v>
      </x:c>
      <x:c r="N1537" s="17" t="n">
        <x:f>IF('계산 과정'!$C$78,IF(AND(ISNUMBER(H1537),ISNUMBER(I1537),ABS(H1537-'계산 과정'!$C$88)&lt;='계산 과정'!$D$23/2,ABS(I1537-'계산 과정'!$C$89)&lt;='계산 과정'!$D$24/2),1,0),"")</x:f>
        <x:v>1</x:v>
      </x:c>
      <x:c r="O1537" s="4" t="n">
        <x:f>IF('계산 과정'!$L$7,'계산 과정'!$C$49*('계산 과정'!$C$32-D1537)+'계산 과정'!$D$49*('계산 과정'!$D$32-E1537)+'계산 과정'!$E$49*'계산 과정'!$E$32,"")</x:f>
        <x:v>22.789609037432854</x:v>
      </x:c>
      <x:c r="P1537" s="4" t="n">
        <x:f>IF(AND('계산 과정'!$L$7,O1537&lt;&gt;0),('계산 과정'!$L$23-'계산 과정'!$C$49*D1537-'계산 과정'!$D$49*E1537)/O1537,"")</x:f>
        <x:v>18.551858802973925</x:v>
      </x:c>
      <x:c r="Q1537" s="4" t="str">
        <x:f>IF(AND(ISNUMBER(P1537),P1537&gt;1E-9,P1537&lt;1-1E-9),'계산 과정'!$C$47*(D1537-'계산 과정'!$C$50+P1537*('계산 과정'!$C$32-D1537))+'계산 과정'!$D$47*(E1537-'계산 과정'!$D$50+P1537*('계산 과정'!$D$32-E1537))+'계산 과정'!$E$47*(0-'계산 과정'!$E$50+P1537*('계산 과정'!$E$32-0)),"")</x:f>
      </x:c>
      <x:c r="R1537" s="4" t="str">
        <x:f>IF(AND(ISNUMBER(P1537),P1537&gt;1E-9,P1537&lt;1-1E-9),'계산 과정'!$C$48*(D1537-'계산 과정'!$C$50+P1537*('계산 과정'!$C$32-D1537))+'계산 과정'!$D$48*(E1537-'계산 과정'!$D$50+P1537*('계산 과정'!$D$32-E1537))+'계산 과정'!$E$48*(0-'계산 과정'!$E$50+P1537*('계산 과정'!$E$32-0)),"")</x:f>
      </x:c>
      <x:c r="S1537" s="17" t="n">
        <x:f>IF('계산 과정'!$C$78,IF(AND(ISNUMBER(Q1537),ISNUMBER(R1537),ABS(Q1537-'계산 과정'!$C$88)&lt;='계산 과정'!$D$23/2,ABS(R1537-'계산 과정'!$C$89)&lt;='계산 과정'!$D$24/2),1,0),"")</x:f>
        <x:v>0</x:v>
      </x:c>
      <x:c r="T1537" s="4"/>
      <x:c r="U1537" s="4"/>
      <x:c r="V1537" s="4"/>
      <x:c r="W1537" s="4"/>
      <x:c r="X1537" s="4"/>
      <x:c r="Y1537" s="4"/>
      <x:c r="Z1537" s="4"/>
    </x:row>
    <x:row r="1538" ht="23" customHeight="1">
      <x:c r="A1538" s="17" t="n">
        <x:f>ROW()-6</x:f>
        <x:v>1532</x:v>
      </x:c>
      <x:c r="B1538" s="4" t="n">
        <x:f>IF('계산 과정'!$L$5,'계산 과정'!$L$11*SQRT((A1538+0.5)/'계산 과정'!$L$30),"")</x:f>
        <x:v>129.7557237718726</x:v>
      </x:c>
      <x:c r="C1538" s="4" t="n">
        <x:f>A1538*PI()*(3-SQRT(5))</x:f>
        <x:v>3676.743667944296</x:v>
      </x:c>
      <x:c r="D1538" s="4" t="n">
        <x:f>IF('계산 과정'!$L$5,B1538*COS(C1538),"")</x:f>
        <x:v>61.12742548220547</x:v>
      </x:c>
      <x:c r="E1538" s="4" t="n">
        <x:f>IF('계산 과정'!$L$5,B1538*SIN(C1538),"")</x:f>
        <x:v>114.45516897667802</x:v>
      </x:c>
      <x:c r="F1538" s="4" t="n">
        <x:f>IF('계산 과정'!$L$7,'계산 과정'!$L$22+'계산 과정'!$C$49*D1538+'계산 과정'!$D$49*E1538,"")</x:f>
        <x:v>606.7763829250572</x:v>
      </x:c>
      <x:c r="G1538" s="4" t="n">
        <x:f>IF('계산 과정'!$L$7,IF(ABS(F1538)&gt;=1E-12*MAX(1,SQRT((D1538-'계산 과정'!$C$33)^2+(E1538-'계산 과정'!$D$33)^2+'계산 과정'!$E$33^2)),('계산 과정'!$L$23-'계산 과정'!$C$49*D1538-'계산 과정'!$D$49*E1538)/F1538,""),"")</x:f>
        <x:v>0.7304562760638713</x:v>
      </x:c>
      <x:c r="H1538" s="4" t="n">
        <x:f>IF(AND(ISNUMBER(G1538),G1538&gt;0),('계산 과정'!$D$56+'계산 과정'!$D$57*D1538+'계산 과정'!$D$58*E1538)/F1538,"")</x:f>
        <x:v>74.79657944151627</x:v>
      </x:c>
      <x:c r="I1538" s="4" t="n">
        <x:f>IF(AND(ISNUMBER(G1538),G1538&gt;0),('계산 과정'!$E$56+'계산 과정'!$E$57*D1538+'계산 과정'!$E$58*E1538)/F1538,"")</x:f>
        <x:v>198.05966548364339</x:v>
      </x:c>
      <x:c r="J1538" s="4" t="n">
        <x:f>IF('계산 과정'!$L$5,'계산 과정'!$D$6+'계산 과정'!$C$35*D1538+'계산 과정'!$D$35*E1538,"")</x:f>
        <x:v>606.7763829250572</x:v>
      </x:c>
      <x:c r="K1538" s="4" t="n">
        <x:f>IF(AND('계산 과정'!$L$6,J1538&gt;0),'계산 과정'!$D$10*('계산 과정'!$C$38*(D1538-'계산 과정'!$C$32)+'계산 과정'!$D$38*(E1538-'계산 과정'!$D$32)-'계산 과정'!$E$38*'계산 과정'!$E$32)/J1538,"")</x:f>
        <x:v>0.5698787005067916</x:v>
      </x:c>
      <x:c r="L1538" s="4" t="n">
        <x:f>IF(AND('계산 과정'!$L$6,J1538&gt;0),'계산 과정'!$D$10*('계산 과정'!$C$39*(D1538-'계산 과정'!$C$32)+'계산 과정'!$D$39*(E1538-'계산 과정'!$D$32)-'계산 과정'!$E$39*'계산 과정'!$E$32)/J1538,"")</x:f>
        <x:v>1.509026022732521</x:v>
      </x:c>
      <x:c r="M1538" s="17" t="n">
        <x:f>IF('계산 과정'!$L$6,IF(J1538&lt;=0,0,IF(AND(ABS(K1538)&lt;='계산 과정'!$D$11/2,ABS(L1538)&lt;='계산 과정'!$D$12/2),1,0)),"")</x:f>
        <x:v>1</x:v>
      </x:c>
      <x:c r="N1538" s="17" t="n">
        <x:f>IF('계산 과정'!$C$78,IF(AND(ISNUMBER(H1538),ISNUMBER(I1538),ABS(H1538-'계산 과정'!$C$88)&lt;='계산 과정'!$D$23/2,ABS(I1538-'계산 과정'!$C$89)&lt;='계산 과정'!$D$24/2),1,0),"")</x:f>
        <x:v>1</x:v>
      </x:c>
      <x:c r="O1538" s="4" t="n">
        <x:f>IF('계산 과정'!$L$7,'계산 과정'!$C$49*('계산 과정'!$C$32-D1538)+'계산 과정'!$D$49*('계산 과정'!$D$32-E1538)+'계산 과정'!$E$49*'계산 과정'!$E$32,"")</x:f>
        <x:v>43.22361707494298</x:v>
      </x:c>
      <x:c r="P1538" s="4" t="n">
        <x:f>IF(AND('계산 과정'!$L$7,O1538&lt;&gt;0),('계산 과정'!$L$23-'계산 과정'!$C$49*D1538-'계산 과정'!$D$49*E1538)/O1538,"")</x:f>
        <x:v>10.254200066284655</x:v>
      </x:c>
      <x:c r="Q1538" s="4" t="str">
        <x:f>IF(AND(ISNUMBER(P1538),P1538&gt;1E-9,P1538&lt;1-1E-9),'계산 과정'!$C$47*(D1538-'계산 과정'!$C$50+P1538*('계산 과정'!$C$32-D1538))+'계산 과정'!$D$47*(E1538-'계산 과정'!$D$50+P1538*('계산 과정'!$D$32-E1538))+'계산 과정'!$E$47*(0-'계산 과정'!$E$50+P1538*('계산 과정'!$E$32-0)),"")</x:f>
      </x:c>
      <x:c r="R1538" s="4" t="str">
        <x:f>IF(AND(ISNUMBER(P1538),P1538&gt;1E-9,P1538&lt;1-1E-9),'계산 과정'!$C$48*(D1538-'계산 과정'!$C$50+P1538*('계산 과정'!$C$32-D1538))+'계산 과정'!$D$48*(E1538-'계산 과정'!$D$50+P1538*('계산 과정'!$D$32-E1538))+'계산 과정'!$E$48*(0-'계산 과정'!$E$50+P1538*('계산 과정'!$E$32-0)),"")</x:f>
      </x:c>
      <x:c r="S1538" s="17" t="n">
        <x:f>IF('계산 과정'!$C$78,IF(AND(ISNUMBER(Q1538),ISNUMBER(R1538),ABS(Q1538-'계산 과정'!$C$88)&lt;='계산 과정'!$D$23/2,ABS(R1538-'계산 과정'!$C$89)&lt;='계산 과정'!$D$24/2),1,0),"")</x:f>
        <x:v>0</x:v>
      </x:c>
      <x:c r="T1538" s="4"/>
      <x:c r="U1538" s="4"/>
      <x:c r="V1538" s="4"/>
      <x:c r="W1538" s="4"/>
      <x:c r="X1538" s="4"/>
      <x:c r="Y1538" s="4"/>
      <x:c r="Z1538" s="4"/>
    </x:row>
    <x:row r="1539" ht="23" customHeight="1">
      <x:c r="A1539" s="17" t="n">
        <x:f>ROW()-6</x:f>
        <x:v>1533</x:v>
      </x:c>
      <x:c r="B1539" s="4" t="n">
        <x:f>IF('계산 과정'!$L$5,'계산 과정'!$L$11*SQRT((A1539+0.5)/'계산 과정'!$L$30),"")</x:f>
        <x:v>129.79805152500364</x:v>
      </x:c>
      <x:c r="C1539" s="4" t="n">
        <x:f>A1539*PI()*(3-SQRT(5))</x:f>
        <x:v>3679.143631174025</x:v>
      </x:c>
      <x:c r="D1539" s="4" t="n">
        <x:f>IF('계산 과정'!$L$5,B1539*COS(C1539),"")</x:f>
        <x:v>-122.4267408535813</x:v>
      </x:c>
      <x:c r="E1539" s="4" t="n">
        <x:f>IF('계산 과정'!$L$5,B1539*SIN(C1539),"")</x:f>
        <x:v>-43.118758141411604</x:v>
      </x:c>
      <x:c r="F1539" s="4" t="n">
        <x:f>IF('계산 과정'!$L$7,'계산 과정'!$L$22+'계산 과정'!$C$49*D1539+'계산 과정'!$D$49*E1539,"")</x:f>
        <x:v>736.5687786561355</x:v>
      </x:c>
      <x:c r="G1539" s="4" t="n">
        <x:f>IF('계산 과정'!$L$7,IF(ABS(F1539)&gt;=1E-12*MAX(1,SQRT((D1539-'계산 과정'!$C$33)^2+(E1539-'계산 과정'!$D$33)^2+'계산 과정'!$E$33^2)),('계산 과정'!$L$23-'계산 과정'!$C$49*D1539-'계산 과정'!$D$49*E1539)/F1539,""),"")</x:f>
        <x:v>0.4255287902858408</x:v>
      </x:c>
      <x:c r="H1539" s="4" t="n">
        <x:f>IF(AND(ISNUMBER(G1539),G1539&gt;0),('계산 과정'!$D$56+'계산 과정'!$D$57*D1539+'계산 과정'!$D$58*E1539)/F1539,"")</x:f>
        <x:v>-123.40628631420364</x:v>
      </x:c>
      <x:c r="I1539" s="4" t="n">
        <x:f>IF(AND(ISNUMBER(G1539),G1539&gt;0),('계산 과정'!$E$56+'계산 과정'!$E$57*D1539+'계산 과정'!$E$58*E1539)/F1539,"")</x:f>
        <x:v>-61.46703113195423</x:v>
      </x:c>
      <x:c r="J1539" s="4" t="n">
        <x:f>IF('계산 과정'!$L$5,'계산 과정'!$D$6+'계산 과정'!$C$35*D1539+'계산 과정'!$D$35*E1539,"")</x:f>
        <x:v>736.5687786561355</x:v>
      </x:c>
      <x:c r="K1539" s="4" t="n">
        <x:f>IF(AND('계산 과정'!$L$6,J1539&gt;0),'계산 과정'!$D$10*('계산 과정'!$C$38*(D1539-'계산 과정'!$C$32)+'계산 과정'!$D$38*(E1539-'계산 과정'!$D$32)-'계산 과정'!$E$38*'계산 과정'!$E$32)/J1539,"")</x:f>
        <x:v>-0.9402383719177403</x:v>
      </x:c>
      <x:c r="L1539" s="4" t="n">
        <x:f>IF(AND('계산 과정'!$L$6,J1539&gt;0),'계산 과정'!$D$10*('계산 과정'!$C$39*(D1539-'계산 과정'!$C$32)+'계산 과정'!$D$39*(E1539-'계산 과정'!$D$32)-'계산 과정'!$E$39*'계산 과정'!$E$32)/J1539,"")</x:f>
        <x:v>-0.46832023719584176</x:v>
      </x:c>
      <x:c r="M1539" s="17" t="n">
        <x:f>IF('계산 과정'!$L$6,IF(J1539&lt;=0,0,IF(AND(ABS(K1539)&lt;='계산 과정'!$D$11/2,ABS(L1539)&lt;='계산 과정'!$D$12/2),1,0)),"")</x:f>
        <x:v>1</x:v>
      </x:c>
      <x:c r="N1539" s="17" t="n">
        <x:f>IF('계산 과정'!$C$78,IF(AND(ISNUMBER(H1539),ISNUMBER(I1539),ABS(H1539-'계산 과정'!$C$88)&lt;='계산 과정'!$D$23/2,ABS(I1539-'계산 과정'!$C$89)&lt;='계산 과정'!$D$24/2),1,0),"")</x:f>
        <x:v>1</x:v>
      </x:c>
      <x:c r="O1539" s="4" t="n">
        <x:f>IF('계산 과정'!$L$7,'계산 과정'!$C$49*('계산 과정'!$C$32-D1539)+'계산 과정'!$D$49*('계산 과정'!$D$32-E1539)+'계산 과정'!$E$49*'계산 과정'!$E$32,"")</x:f>
        <x:v>-86.5687786561353</x:v>
      </x:c>
      <x:c r="P1539" s="4" t="n">
        <x:f>IF(AND('계산 과정'!$L$7,O1539&lt;&gt;0),('계산 과정'!$L$23-'계산 과정'!$C$49*D1539-'계산 과정'!$D$49*E1539)/O1539,"")</x:f>
        <x:v>-3.6206034809485104</x:v>
      </x:c>
      <x:c r="Q1539" s="4" t="str">
        <x:f>IF(AND(ISNUMBER(P1539),P1539&gt;1E-9,P1539&lt;1-1E-9),'계산 과정'!$C$47*(D1539-'계산 과정'!$C$50+P1539*('계산 과정'!$C$32-D1539))+'계산 과정'!$D$47*(E1539-'계산 과정'!$D$50+P1539*('계산 과정'!$D$32-E1539))+'계산 과정'!$E$47*(0-'계산 과정'!$E$50+P1539*('계산 과정'!$E$32-0)),"")</x:f>
      </x:c>
      <x:c r="R1539" s="4" t="str">
        <x:f>IF(AND(ISNUMBER(P1539),P1539&gt;1E-9,P1539&lt;1-1E-9),'계산 과정'!$C$48*(D1539-'계산 과정'!$C$50+P1539*('계산 과정'!$C$32-D1539))+'계산 과정'!$D$48*(E1539-'계산 과정'!$D$50+P1539*('계산 과정'!$D$32-E1539))+'계산 과정'!$E$48*(0-'계산 과정'!$E$50+P1539*('계산 과정'!$E$32-0)),"")</x:f>
      </x:c>
      <x:c r="S1539" s="17" t="n">
        <x:f>IF('계산 과정'!$C$78,IF(AND(ISNUMBER(Q1539),ISNUMBER(R1539),ABS(Q1539-'계산 과정'!$C$88)&lt;='계산 과정'!$D$23/2,ABS(R1539-'계산 과정'!$C$89)&lt;='계산 과정'!$D$24/2),1,0),"")</x:f>
        <x:v>0</x:v>
      </x:c>
      <x:c r="T1539" s="4"/>
      <x:c r="U1539" s="4"/>
      <x:c r="V1539" s="4"/>
      <x:c r="W1539" s="4"/>
      <x:c r="X1539" s="4"/>
      <x:c r="Y1539" s="4"/>
      <x:c r="Z1539" s="4"/>
    </x:row>
    <x:row r="1540" ht="23" customHeight="1">
      <x:c r="A1540" s="17" t="n">
        <x:f>ROW()-6</x:f>
        <x:v>1534</x:v>
      </x:c>
      <x:c r="B1540" s="4" t="n">
        <x:f>IF('계산 과정'!$L$5,'계산 과정'!$L$11*SQRT((A1540+0.5)/'계산 과정'!$L$30),"")</x:f>
        <x:v>129.84036547935506</x:v>
      </x:c>
      <x:c r="C1540" s="4" t="n">
        <x:f>A1540*PI()*(3-SQRT(5))</x:f>
        <x:v>3681.5435944037536</x:v>
      </x:c>
      <x:c r="D1540" s="4" t="n">
        <x:f>IF('계산 과정'!$L$5,B1540*COS(C1540),"")</x:f>
        <x:v>119.43889537214024</x:v>
      </x:c>
      <x:c r="E1540" s="4" t="n">
        <x:f>IF('계산 과정'!$L$5,B1540*SIN(C1540),"")</x:f>
        <x:v>-50.92023939550396</x:v>
      </x:c>
      <x:c r="F1540" s="4" t="n">
        <x:f>IF('계산 과정'!$L$7,'계산 과정'!$L$22+'계산 과정'!$C$49*D1540+'계산 과정'!$D$49*E1540,"")</x:f>
        <x:v>565.5439471449291</x:v>
      </x:c>
      <x:c r="G1540" s="4" t="n">
        <x:f>IF('계산 과정'!$L$7,IF(ABS(F1540)&gt;=1E-12*MAX(1,SQRT((D1540-'계산 과정'!$C$33)^2+(E1540-'계산 과정'!$D$33)^2+'계산 과정'!$E$33^2)),('계산 과정'!$L$23-'계산 과정'!$C$49*D1540-'계산 과정'!$D$49*E1540)/F1540,""),"")</x:f>
        <x:v>0.8566196407914551</x:v>
      </x:c>
      <x:c r="H1540" s="4" t="n">
        <x:f>IF(AND(ISNUMBER(G1540),G1540&gt;0),('계산 과정'!$D$56+'계산 과정'!$D$57*D1540+'계산 과정'!$D$58*E1540)/F1540,"")</x:f>
        <x:v>156.8027665144458</x:v>
      </x:c>
      <x:c r="I1540" s="4" t="n">
        <x:f>IF(AND(ISNUMBER(G1540),G1540&gt;0),('계산 과정'!$E$56+'계산 과정'!$E$57*D1540+'계산 과정'!$E$58*E1540)/F1540,"")</x:f>
        <x:v>-94.53951657549547</x:v>
      </x:c>
      <x:c r="J1540" s="4" t="n">
        <x:f>IF('계산 과정'!$L$5,'계산 과정'!$D$6+'계산 과정'!$C$35*D1540+'계산 과정'!$D$35*E1540,"")</x:f>
        <x:v>565.5439471449291</x:v>
      </x:c>
      <x:c r="K1540" s="4" t="n">
        <x:f>IF(AND('계산 과정'!$L$6,J1540&gt;0),'계산 과정'!$D$10*('계산 과정'!$C$38*(D1540-'계산 과정'!$C$32)+'계산 과정'!$D$38*(E1540-'계산 과정'!$D$32)-'계산 과정'!$E$38*'계산 과정'!$E$32)/J1540,"")</x:f>
        <x:v>1.1946877448719688</x:v>
      </x:c>
      <x:c r="L1540" s="4" t="n">
        <x:f>IF(AND('계산 과정'!$L$6,J1540&gt;0),'계산 과정'!$D$10*('계산 과정'!$C$39*(D1540-'계산 과정'!$C$32)+'계산 과정'!$D$39*(E1540-'계산 과정'!$D$32)-'계산 과정'!$E$39*'계산 과정'!$E$32)/J1540,"")</x:f>
        <x:v>-0.7203010786704417</x:v>
      </x:c>
      <x:c r="M1540" s="17" t="n">
        <x:f>IF('계산 과정'!$L$6,IF(J1540&lt;=0,0,IF(AND(ABS(K1540)&lt;='계산 과정'!$D$11/2,ABS(L1540)&lt;='계산 과정'!$D$12/2),1,0)),"")</x:f>
        <x:v>1</x:v>
      </x:c>
      <x:c r="N1540" s="17" t="n">
        <x:f>IF('계산 과정'!$C$78,IF(AND(ISNUMBER(H1540),ISNUMBER(I1540),ABS(H1540-'계산 과정'!$C$88)&lt;='계산 과정'!$D$23/2,ABS(I1540-'계산 과정'!$C$89)&lt;='계산 과정'!$D$24/2),1,0),"")</x:f>
        <x:v>1</x:v>
      </x:c>
      <x:c r="O1540" s="4" t="n">
        <x:f>IF('계산 과정'!$L$7,'계산 과정'!$C$49*('계산 과정'!$C$32-D1540)+'계산 과정'!$D$49*('계산 과정'!$D$32-E1540)+'계산 과정'!$E$49*'계산 과정'!$E$32,"")</x:f>
        <x:v>84.456052855071</x:v>
      </x:c>
      <x:c r="P1540" s="4" t="n">
        <x:f>IF(AND('계산 과정'!$L$7,O1540&lt;&gt;0),('계산 과정'!$L$23-'계산 과정'!$C$49*D1540-'계산 과정'!$D$49*E1540)/O1540,"")</x:f>
        <x:v>5.736191030457123</x:v>
      </x:c>
      <x:c r="Q1540" s="4" t="str">
        <x:f>IF(AND(ISNUMBER(P1540),P1540&gt;1E-9,P1540&lt;1-1E-9),'계산 과정'!$C$47*(D1540-'계산 과정'!$C$50+P1540*('계산 과정'!$C$32-D1540))+'계산 과정'!$D$47*(E1540-'계산 과정'!$D$50+P1540*('계산 과정'!$D$32-E1540))+'계산 과정'!$E$47*(0-'계산 과정'!$E$50+P1540*('계산 과정'!$E$32-0)),"")</x:f>
      </x:c>
      <x:c r="R1540" s="4" t="str">
        <x:f>IF(AND(ISNUMBER(P1540),P1540&gt;1E-9,P1540&lt;1-1E-9),'계산 과정'!$C$48*(D1540-'계산 과정'!$C$50+P1540*('계산 과정'!$C$32-D1540))+'계산 과정'!$D$48*(E1540-'계산 과정'!$D$50+P1540*('계산 과정'!$D$32-E1540))+'계산 과정'!$E$48*(0-'계산 과정'!$E$50+P1540*('계산 과정'!$E$32-0)),"")</x:f>
      </x:c>
      <x:c r="S1540" s="17" t="n">
        <x:f>IF('계산 과정'!$C$78,IF(AND(ISNUMBER(Q1540),ISNUMBER(R1540),ABS(Q1540-'계산 과정'!$C$88)&lt;='계산 과정'!$D$23/2,ABS(R1540-'계산 과정'!$C$89)&lt;='계산 과정'!$D$24/2),1,0),"")</x:f>
        <x:v>0</x:v>
      </x:c>
      <x:c r="T1540" s="4"/>
      <x:c r="U1540" s="4"/>
      <x:c r="V1540" s="4"/>
      <x:c r="W1540" s="4"/>
      <x:c r="X1540" s="4"/>
      <x:c r="Y1540" s="4"/>
      <x:c r="Z1540" s="4"/>
    </x:row>
    <x:row r="1541" ht="23" customHeight="1">
      <x:c r="A1541" s="17" t="n">
        <x:f>ROW()-6</x:f>
        <x:v>1535</x:v>
      </x:c>
      <x:c r="B1541" s="4" t="n">
        <x:f>IF('계산 과정'!$L$5,'계산 과정'!$L$11*SQRT((A1541+0.5)/'계산 과정'!$L$30),"")</x:f>
        <x:v>129.88266564841322</x:v>
      </x:c>
      <x:c r="C1541" s="4" t="n">
        <x:f>A1541*PI()*(3-SQRT(5))</x:f>
        <x:v>3683.9435576334818</x:v>
      </x:c>
      <x:c r="D1541" s="4" t="n">
        <x:f>IF('계산 과정'!$L$5,B1541*COS(C1541),"")</x:f>
        <x:v>-53.69188315155371</x:v>
      </x:c>
      <x:c r="E1541" s="4" t="n">
        <x:f>IF('계산 과정'!$L$5,B1541*SIN(C1541),"")</x:f>
        <x:v>118.26533101284333</x:v>
      </x:c>
      <x:c r="F1541" s="4" t="n">
        <x:f>IF('계산 과정'!$L$7,'계산 과정'!$L$22+'계산 과정'!$C$49*D1541+'계산 과정'!$D$49*E1541,"")</x:f>
        <x:v>687.9658946711394</x:v>
      </x:c>
      <x:c r="G1541" s="4" t="n">
        <x:f>IF('계산 과정'!$L$7,IF(ABS(F1541)&gt;=1E-12*MAX(1,SQRT((D1541-'계산 과정'!$C$33)^2+(E1541-'계산 과정'!$D$33)^2+'계산 과정'!$E$33^2)),('계산 과정'!$L$23-'계산 과정'!$C$49*D1541-'계산 과정'!$D$49*E1541)/F1541,""),"")</x:f>
        <x:v>0.526238448930553</x:v>
      </x:c>
      <x:c r="H1541" s="4" t="n">
        <x:f>IF(AND(ISNUMBER(G1541),G1541&gt;0),('계산 과정'!$D$56+'계산 과정'!$D$57*D1541+'계산 과정'!$D$58*E1541)/F1541,"")</x:f>
        <x:v>-57.94500819514062</x:v>
      </x:c>
      <x:c r="I1541" s="4" t="n">
        <x:f>IF(AND(ISNUMBER(G1541),G1541&gt;0),('계산 과정'!$E$56+'계산 과정'!$E$57*D1541+'계산 과정'!$E$58*E1541)/F1541,"")</x:f>
        <x:v>180.50109536730045</x:v>
      </x:c>
      <x:c r="J1541" s="4" t="n">
        <x:f>IF('계산 과정'!$L$5,'계산 과정'!$D$6+'계산 과정'!$C$35*D1541+'계산 과정'!$D$35*E1541,"")</x:f>
        <x:v>687.9658946711394</x:v>
      </x:c>
      <x:c r="K1541" s="4" t="n">
        <x:f>IF(AND('계산 과정'!$L$6,J1541&gt;0),'계산 과정'!$D$10*('계산 과정'!$C$38*(D1541-'계산 과정'!$C$32)+'계산 과정'!$D$38*(E1541-'계산 과정'!$D$32)-'계산 과정'!$E$38*'계산 과정'!$E$32)/J1541,"")</x:f>
        <x:v>-0.44148577672488015</x:v>
      </x:c>
      <x:c r="L1541" s="4" t="n">
        <x:f>IF(AND('계산 과정'!$L$6,J1541&gt;0),'계산 과정'!$D$10*('계산 과정'!$C$39*(D1541-'계산 과정'!$C$32)+'계산 과정'!$D$39*(E1541-'계산 과정'!$D$32)-'계산 과정'!$E$39*'계산 과정'!$E$32)/J1541,"")</x:f>
        <x:v>1.3752464408937177</x:v>
      </x:c>
      <x:c r="M1541" s="17" t="n">
        <x:f>IF('계산 과정'!$L$6,IF(J1541&lt;=0,0,IF(AND(ABS(K1541)&lt;='계산 과정'!$D$11/2,ABS(L1541)&lt;='계산 과정'!$D$12/2),1,0)),"")</x:f>
        <x:v>1</x:v>
      </x:c>
      <x:c r="N1541" s="17" t="n">
        <x:f>IF('계산 과정'!$C$78,IF(AND(ISNUMBER(H1541),ISNUMBER(I1541),ABS(H1541-'계산 과정'!$C$88)&lt;='계산 과정'!$D$23/2,ABS(I1541-'계산 과정'!$C$89)&lt;='계산 과정'!$D$24/2),1,0),"")</x:f>
        <x:v>1</x:v>
      </x:c>
      <x:c r="O1541" s="4" t="n">
        <x:f>IF('계산 과정'!$L$7,'계산 과정'!$C$49*('계산 과정'!$C$32-D1541)+'계산 과정'!$D$49*('계산 과정'!$D$32-E1541)+'계산 과정'!$E$49*'계산 과정'!$E$32,"")</x:f>
        <x:v>-37.96589467113927</x:v>
      </x:c>
      <x:c r="P1541" s="4" t="n">
        <x:f>IF(AND('계산 과정'!$L$7,O1541&lt;&gt;0),('계산 과정'!$L$23-'계산 과정'!$C$49*D1541-'계산 과정'!$D$49*E1541)/O1541,"")</x:f>
        <x:v>-9.535771735785538</x:v>
      </x:c>
      <x:c r="Q1541" s="4" t="str">
        <x:f>IF(AND(ISNUMBER(P1541),P1541&gt;1E-9,P1541&lt;1-1E-9),'계산 과정'!$C$47*(D1541-'계산 과정'!$C$50+P1541*('계산 과정'!$C$32-D1541))+'계산 과정'!$D$47*(E1541-'계산 과정'!$D$50+P1541*('계산 과정'!$D$32-E1541))+'계산 과정'!$E$47*(0-'계산 과정'!$E$50+P1541*('계산 과정'!$E$32-0)),"")</x:f>
      </x:c>
      <x:c r="R1541" s="4" t="str">
        <x:f>IF(AND(ISNUMBER(P1541),P1541&gt;1E-9,P1541&lt;1-1E-9),'계산 과정'!$C$48*(D1541-'계산 과정'!$C$50+P1541*('계산 과정'!$C$32-D1541))+'계산 과정'!$D$48*(E1541-'계산 과정'!$D$50+P1541*('계산 과정'!$D$32-E1541))+'계산 과정'!$E$48*(0-'계산 과정'!$E$50+P1541*('계산 과정'!$E$32-0)),"")</x:f>
      </x:c>
      <x:c r="S1541" s="17" t="n">
        <x:f>IF('계산 과정'!$C$78,IF(AND(ISNUMBER(Q1541),ISNUMBER(R1541),ABS(Q1541-'계산 과정'!$C$88)&lt;='계산 과정'!$D$23/2,ABS(R1541-'계산 과정'!$C$89)&lt;='계산 과정'!$D$24/2),1,0),"")</x:f>
        <x:v>0</x:v>
      </x:c>
      <x:c r="T1541" s="4"/>
      <x:c r="U1541" s="4"/>
      <x:c r="V1541" s="4"/>
      <x:c r="W1541" s="4"/>
      <x:c r="X1541" s="4"/>
      <x:c r="Y1541" s="4"/>
      <x:c r="Z1541" s="4"/>
    </x:row>
    <x:row r="1542" ht="23" customHeight="1">
      <x:c r="A1542" s="17" t="n">
        <x:f>ROW()-6</x:f>
        <x:v>1536</x:v>
      </x:c>
      <x:c r="B1542" s="4" t="n">
        <x:f>IF('계산 과정'!$L$5,'계산 과정'!$L$11*SQRT((A1542+0.5)/'계산 과정'!$L$30),"")</x:f>
        <x:v>129.9249520456425</x:v>
      </x:c>
      <x:c r="C1542" s="4" t="n">
        <x:f>A1542*PI()*(3-SQRT(5))</x:f>
        <x:v>3686.343520863211</x:v>
      </x:c>
      <x:c r="D1542" s="4" t="n">
        <x:f>IF('계산 과정'!$L$5,B1542*COS(C1542),"")</x:f>
        <x:v>-40.30947904560439</x:v>
      </x:c>
      <x:c r="E1542" s="4" t="n">
        <x:f>IF('계산 과정'!$L$5,B1542*SIN(C1542),"")</x:f>
        <x:v>-123.51372014126399</x:v>
      </x:c>
      <x:c r="F1542" s="4" t="n">
        <x:f>IF('계산 과정'!$L$7,'계산 과정'!$L$22+'계산 과정'!$C$49*D1542+'계산 과정'!$D$49*E1542,"")</x:f>
        <x:v>678.5031059792439</x:v>
      </x:c>
      <x:c r="G1542" s="4" t="n">
        <x:f>IF('계산 과정'!$L$7,IF(ABS(F1542)&gt;=1E-12*MAX(1,SQRT((D1542-'계산 과정'!$C$33)^2+(E1542-'계산 과정'!$D$33)^2+'계산 과정'!$E$33^2)),('계산 과정'!$L$23-'계산 과정'!$C$49*D1542-'계산 과정'!$D$49*E1542)/F1542,""),"")</x:f>
        <x:v>0.5475242349621913</x:v>
      </x:c>
      <x:c r="H1542" s="4" t="n">
        <x:f>IF(AND(ISNUMBER(G1542),G1542&gt;0),('계산 과정'!$D$56+'계산 과정'!$D$57*D1542+'계산 과정'!$D$58*E1542)/F1542,"")</x:f>
        <x:v>-44.10924727457581</x:v>
      </x:c>
      <x:c r="I1542" s="4" t="n">
        <x:f>IF(AND(ISNUMBER(G1542),G1542&gt;0),('계산 과정'!$E$56+'계산 과정'!$E$57*D1542+'계산 과정'!$E$58*E1542)/F1542,"")</x:f>
        <x:v>-191.14047526894376</x:v>
      </x:c>
      <x:c r="J1542" s="4" t="n">
        <x:f>IF('계산 과정'!$L$5,'계산 과정'!$D$6+'계산 과정'!$C$35*D1542+'계산 과정'!$D$35*E1542,"")</x:f>
        <x:v>678.5031059792439</x:v>
      </x:c>
      <x:c r="K1542" s="4" t="n">
        <x:f>IF(AND('계산 과정'!$L$6,J1542&gt;0),'계산 과정'!$D$10*('계산 과정'!$C$38*(D1542-'계산 과정'!$C$32)+'계산 과정'!$D$38*(E1542-'계산 과정'!$D$32)-'계산 과정'!$E$38*'계산 과정'!$E$32)/J1542,"")</x:f>
        <x:v>-0.33607045542533864</x:v>
      </x:c>
      <x:c r="L1542" s="4" t="n">
        <x:f>IF(AND('계산 과정'!$L$6,J1542&gt;0),'계산 과정'!$D$10*('계산 과정'!$C$39*(D1542-'계산 과정'!$C$32)+'계산 과정'!$D$39*(E1542-'계산 과정'!$D$32)-'계산 과정'!$E$39*'계산 과정'!$E$32)/J1542,"")</x:f>
        <x:v>-1.4563083830014762</x:v>
      </x:c>
      <x:c r="M1542" s="17" t="n">
        <x:f>IF('계산 과정'!$L$6,IF(J1542&lt;=0,0,IF(AND(ABS(K1542)&lt;='계산 과정'!$D$11/2,ABS(L1542)&lt;='계산 과정'!$D$12/2),1,0)),"")</x:f>
        <x:v>1</x:v>
      </x:c>
      <x:c r="N1542" s="17" t="n">
        <x:f>IF('계산 과정'!$C$78,IF(AND(ISNUMBER(H1542),ISNUMBER(I1542),ABS(H1542-'계산 과정'!$C$88)&lt;='계산 과정'!$D$23/2,ABS(I1542-'계산 과정'!$C$89)&lt;='계산 과정'!$D$24/2),1,0),"")</x:f>
        <x:v>1</x:v>
      </x:c>
      <x:c r="O1542" s="4" t="n">
        <x:f>IF('계산 과정'!$L$7,'계산 과정'!$C$49*('계산 과정'!$C$32-D1542)+'계산 과정'!$D$49*('계산 과정'!$D$32-E1542)+'계산 과정'!$E$49*'계산 과정'!$E$32,"")</x:f>
        <x:v>-28.5031059792438</x:v>
      </x:c>
      <x:c r="P1542" s="4" t="n">
        <x:f>IF(AND('계산 과정'!$L$7,O1542&lt;&gt;0),('계산 과정'!$L$23-'계산 과정'!$C$49*D1542-'계산 과정'!$D$49*E1542)/O1542,"")</x:f>
        <x:v>-13.033558317864841</x:v>
      </x:c>
      <x:c r="Q1542" s="4" t="str">
        <x:f>IF(AND(ISNUMBER(P1542),P1542&gt;1E-9,P1542&lt;1-1E-9),'계산 과정'!$C$47*(D1542-'계산 과정'!$C$50+P1542*('계산 과정'!$C$32-D1542))+'계산 과정'!$D$47*(E1542-'계산 과정'!$D$50+P1542*('계산 과정'!$D$32-E1542))+'계산 과정'!$E$47*(0-'계산 과정'!$E$50+P1542*('계산 과정'!$E$32-0)),"")</x:f>
      </x:c>
      <x:c r="R1542" s="4" t="str">
        <x:f>IF(AND(ISNUMBER(P1542),P1542&gt;1E-9,P1542&lt;1-1E-9),'계산 과정'!$C$48*(D1542-'계산 과정'!$C$50+P1542*('계산 과정'!$C$32-D1542))+'계산 과정'!$D$48*(E1542-'계산 과정'!$D$50+P1542*('계산 과정'!$D$32-E1542))+'계산 과정'!$E$48*(0-'계산 과정'!$E$50+P1542*('계산 과정'!$E$32-0)),"")</x:f>
      </x:c>
      <x:c r="S1542" s="17" t="n">
        <x:f>IF('계산 과정'!$C$78,IF(AND(ISNUMBER(Q1542),ISNUMBER(R1542),ABS(Q1542-'계산 과정'!$C$88)&lt;='계산 과정'!$D$23/2,ABS(R1542-'계산 과정'!$C$89)&lt;='계산 과정'!$D$24/2),1,0),"")</x:f>
        <x:v>0</x:v>
      </x:c>
      <x:c r="T1542" s="4"/>
      <x:c r="U1542" s="4"/>
      <x:c r="V1542" s="4"/>
      <x:c r="W1542" s="4"/>
      <x:c r="X1542" s="4"/>
      <x:c r="Y1542" s="4"/>
      <x:c r="Z1542" s="4"/>
    </x:row>
    <x:row r="1543" ht="23" customHeight="1">
      <x:c r="A1543" s="17" t="n">
        <x:f>ROW()-6</x:f>
        <x:v>1537</x:v>
      </x:c>
      <x:c r="B1543" s="4" t="n">
        <x:f>IF('계산 과정'!$L$5,'계산 과정'!$L$11*SQRT((A1543+0.5)/'계산 과정'!$L$30),"")</x:f>
        <x:v>129.96722468448536</x:v>
      </x:c>
      <x:c r="C1543" s="4" t="n">
        <x:f>A1543*PI()*(3-SQRT(5))</x:f>
        <x:v>3688.7434840929395</x:v>
      </x:c>
      <x:c r="D1543" s="4" t="n">
        <x:f>IF('계산 과정'!$L$5,B1543*COS(C1543),"")</x:f>
        <x:v>113.1920909267944</x:v>
      </x:c>
      <x:c r="E1543" s="4" t="n">
        <x:f>IF('계산 과정'!$L$5,B1543*SIN(C1543),"")</x:f>
        <x:v>63.86728461276405</x:v>
      </x:c>
      <x:c r="F1543" s="4" t="n">
        <x:f>IF('계산 과정'!$L$7,'계산 과정'!$L$22+'계산 과정'!$C$49*D1543+'계산 과정'!$D$49*E1543,"")</x:f>
        <x:v>569.9611049289795</x:v>
      </x:c>
      <x:c r="G1543" s="4" t="n">
        <x:f>IF('계산 과정'!$L$7,IF(ABS(F1543)&gt;=1E-12*MAX(1,SQRT((D1543-'계산 과정'!$C$33)^2+(E1543-'계산 과정'!$D$33)^2+'계산 과정'!$E$33^2)),('계산 과정'!$L$23-'계산 과정'!$C$49*D1543-'계산 과정'!$D$49*E1543)/F1543,""),"")</x:f>
        <x:v>0.8422309714113497</x:v>
      </x:c>
      <x:c r="H1543" s="4" t="n">
        <x:f>IF(AND(ISNUMBER(G1543),G1543&gt;0),('계산 과정'!$D$56+'계산 과정'!$D$57*D1543+'계산 과정'!$D$58*E1543)/F1543,"")</x:f>
        <x:v>147.45013141737726</x:v>
      </x:c>
      <x:c r="I1543" s="4" t="n">
        <x:f>IF(AND(ISNUMBER(G1543),G1543&gt;0),('계산 과정'!$E$56+'계산 과정'!$E$57*D1543+'계산 과정'!$E$58*E1543)/F1543,"")</x:f>
        <x:v>117.65828977357747</x:v>
      </x:c>
      <x:c r="J1543" s="4" t="n">
        <x:f>IF('계산 과정'!$L$5,'계산 과정'!$D$6+'계산 과정'!$C$35*D1543+'계산 과정'!$D$35*E1543,"")</x:f>
        <x:v>569.9611049289795</x:v>
      </x:c>
      <x:c r="K1543" s="4" t="n">
        <x:f>IF(AND('계산 과정'!$L$6,J1543&gt;0),'계산 과정'!$D$10*('계산 과정'!$C$38*(D1543-'계산 과정'!$C$32)+'계산 과정'!$D$38*(E1543-'계산 과정'!$D$32)-'계산 과정'!$E$38*'계산 과정'!$E$32)/J1543,"")</x:f>
        <x:v>1.1234295727038281</x:v>
      </x:c>
      <x:c r="L1543" s="4" t="n">
        <x:f>IF(AND('계산 과정'!$L$6,J1543&gt;0),'계산 과정'!$D$10*('계산 과정'!$C$39*(D1543-'계산 과정'!$C$32)+'계산 과정'!$D$39*(E1543-'계산 과정'!$D$32)-'계산 과정'!$E$39*'계산 과정'!$E$32)/J1543,"")</x:f>
        <x:v>0.8964441125605902</x:v>
      </x:c>
      <x:c r="M1543" s="17" t="n">
        <x:f>IF('계산 과정'!$L$6,IF(J1543&lt;=0,0,IF(AND(ABS(K1543)&lt;='계산 과정'!$D$11/2,ABS(L1543)&lt;='계산 과정'!$D$12/2),1,0)),"")</x:f>
        <x:v>1</x:v>
      </x:c>
      <x:c r="N1543" s="17" t="n">
        <x:f>IF('계산 과정'!$C$78,IF(AND(ISNUMBER(H1543),ISNUMBER(I1543),ABS(H1543-'계산 과정'!$C$88)&lt;='계산 과정'!$D$23/2,ABS(I1543-'계산 과정'!$C$89)&lt;='계산 과정'!$D$24/2),1,0),"")</x:f>
        <x:v>1</x:v>
      </x:c>
      <x:c r="O1543" s="4" t="n">
        <x:f>IF('계산 과정'!$L$7,'계산 과정'!$C$49*('계산 과정'!$C$32-D1543)+'계산 과정'!$D$49*('계산 과정'!$D$32-E1543)+'계산 과정'!$E$49*'계산 과정'!$E$32,"")</x:f>
        <x:v>80.03889507102073</x:v>
      </x:c>
      <x:c r="P1543" s="4" t="n">
        <x:f>IF(AND('계산 과정'!$L$7,O1543&lt;&gt;0),('계산 과정'!$L$23-'계산 과정'!$C$49*D1543-'계산 과정'!$D$49*E1543)/O1543,"")</x:f>
        <x:v>5.9975702393826</x:v>
      </x:c>
      <x:c r="Q1543" s="4" t="str">
        <x:f>IF(AND(ISNUMBER(P1543),P1543&gt;1E-9,P1543&lt;1-1E-9),'계산 과정'!$C$47*(D1543-'계산 과정'!$C$50+P1543*('계산 과정'!$C$32-D1543))+'계산 과정'!$D$47*(E1543-'계산 과정'!$D$50+P1543*('계산 과정'!$D$32-E1543))+'계산 과정'!$E$47*(0-'계산 과정'!$E$50+P1543*('계산 과정'!$E$32-0)),"")</x:f>
      </x:c>
      <x:c r="R1543" s="4" t="str">
        <x:f>IF(AND(ISNUMBER(P1543),P1543&gt;1E-9,P1543&lt;1-1E-9),'계산 과정'!$C$48*(D1543-'계산 과정'!$C$50+P1543*('계산 과정'!$C$32-D1543))+'계산 과정'!$D$48*(E1543-'계산 과정'!$D$50+P1543*('계산 과정'!$D$32-E1543))+'계산 과정'!$E$48*(0-'계산 과정'!$E$50+P1543*('계산 과정'!$E$32-0)),"")</x:f>
      </x:c>
      <x:c r="S1543" s="17" t="n">
        <x:f>IF('계산 과정'!$C$78,IF(AND(ISNUMBER(Q1543),ISNUMBER(R1543),ABS(Q1543-'계산 과정'!$C$88)&lt;='계산 과정'!$D$23/2,ABS(R1543-'계산 과정'!$C$89)&lt;='계산 과정'!$D$24/2),1,0),"")</x:f>
        <x:v>0</x:v>
      </x:c>
      <x:c r="T1543" s="4"/>
      <x:c r="U1543" s="4"/>
      <x:c r="V1543" s="4"/>
      <x:c r="W1543" s="4"/>
      <x:c r="X1543" s="4"/>
      <x:c r="Y1543" s="4"/>
      <x:c r="Z1543" s="4"/>
    </x:row>
    <x:row r="1544" ht="23" customHeight="1">
      <x:c r="A1544" s="17" t="n">
        <x:f>ROW()-6</x:f>
        <x:v>1538</x:v>
      </x:c>
      <x:c r="B1544" s="4" t="n">
        <x:f>IF('계산 과정'!$L$5,'계산 과정'!$L$11*SQRT((A1544+0.5)/'계산 과정'!$L$30),"")</x:f>
        <x:v>130.00948357836248</x:v>
      </x:c>
      <x:c r="C1544" s="4" t="n">
        <x:f>A1544*PI()*(3-SQRT(5))</x:f>
        <x:v>3691.1434473226677</x:v>
      </x:c>
      <x:c r="D1544" s="4" t="n">
        <x:f>IF('계산 과정'!$L$5,B1544*COS(C1544),"")</x:f>
        <x:v>-126.64722197933358</x:v>
      </x:c>
      <x:c r="E1544" s="4" t="n">
        <x:f>IF('계산 과정'!$L$5,B1544*SIN(C1544),"")</x:f>
        <x:v>29.375959307398112</x:v>
      </x:c>
      <x:c r="F1544" s="4" t="n">
        <x:f>IF('계산 과정'!$L$7,'계산 과정'!$L$22+'계산 과정'!$C$49*D1544+'계산 과정'!$D$49*E1544,"")</x:f>
        <x:v>739.5531094800248</x:v>
      </x:c>
      <x:c r="G1544" s="4" t="n">
        <x:f>IF('계산 과정'!$L$7,IF(ABS(F1544)&gt;=1E-12*MAX(1,SQRT((D1544-'계산 과정'!$C$33)^2+(E1544-'계산 과정'!$D$33)^2+'계산 과정'!$E$33^2)),('계산 과정'!$L$23-'계산 과정'!$C$49*D1544-'계산 과정'!$D$49*E1544)/F1544,""),"")</x:f>
        <x:v>0.419776330517018</x:v>
      </x:c>
      <x:c r="H1544" s="4" t="n">
        <x:f>IF(AND(ISNUMBER(G1544),G1544&gt;0),('계산 과정'!$D$56+'계산 과정'!$D$57*D1544+'계산 과정'!$D$58*E1544)/F1544,"")</x:f>
        <x:v>-127.14538516393843</x:v>
      </x:c>
      <x:c r="I1544" s="4" t="n">
        <x:f>IF(AND(ISNUMBER(G1544),G1544&gt;0),('계산 과정'!$E$56+'계산 과정'!$E$57*D1544+'계산 과정'!$E$58*E1544)/F1544,"")</x:f>
        <x:v>41.70729171087493</x:v>
      </x:c>
      <x:c r="J1544" s="4" t="n">
        <x:f>IF('계산 과정'!$L$5,'계산 과정'!$D$6+'계산 과정'!$C$35*D1544+'계산 과정'!$D$35*E1544,"")</x:f>
        <x:v>739.5531094800248</x:v>
      </x:c>
      <x:c r="K1544" s="4" t="n">
        <x:f>IF(AND('계산 과정'!$L$6,J1544&gt;0),'계산 과정'!$D$10*('계산 과정'!$C$38*(D1544-'계산 과정'!$C$32)+'계산 과정'!$D$38*(E1544-'계산 과정'!$D$32)-'계산 과정'!$E$38*'계산 과정'!$E$32)/J1544,"")</x:f>
        <x:v>-0.9687267441061969</x:v>
      </x:c>
      <x:c r="L1544" s="4" t="n">
        <x:f>IF(AND('계산 과정'!$L$6,J1544&gt;0),'계산 과정'!$D$10*('계산 과정'!$C$39*(D1544-'계산 과정'!$C$32)+'계산 과정'!$D$39*(E1544-'계산 과정'!$D$32)-'계산 과정'!$E$39*'계산 과정'!$E$32)/J1544,"")</x:f>
        <x:v>0.31776984160666616</x:v>
      </x:c>
      <x:c r="M1544" s="17" t="n">
        <x:f>IF('계산 과정'!$L$6,IF(J1544&lt;=0,0,IF(AND(ABS(K1544)&lt;='계산 과정'!$D$11/2,ABS(L1544)&lt;='계산 과정'!$D$12/2),1,0)),"")</x:f>
        <x:v>1</x:v>
      </x:c>
      <x:c r="N1544" s="17" t="n">
        <x:f>IF('계산 과정'!$C$78,IF(AND(ISNUMBER(H1544),ISNUMBER(I1544),ABS(H1544-'계산 과정'!$C$88)&lt;='계산 과정'!$D$23/2,ABS(I1544-'계산 과정'!$C$89)&lt;='계산 과정'!$D$24/2),1,0),"")</x:f>
        <x:v>1</x:v>
      </x:c>
      <x:c r="O1544" s="4" t="n">
        <x:f>IF('계산 과정'!$L$7,'계산 과정'!$C$49*('계산 과정'!$C$32-D1544)+'계산 과정'!$D$49*('계산 과정'!$D$32-E1544)+'계산 과정'!$E$49*'계산 과정'!$E$32,"")</x:f>
        <x:v>-89.55310948002466</x:v>
      </x:c>
      <x:c r="P1544" s="4" t="n">
        <x:f>IF(AND('계산 과정'!$L$7,O1544&lt;&gt;0),('계산 과정'!$L$23-'계산 과정'!$C$49*D1544-'계산 과정'!$D$49*E1544)/O1544,"")</x:f>
        <x:v>-3.4666232398018773</x:v>
      </x:c>
      <x:c r="Q1544" s="4" t="str">
        <x:f>IF(AND(ISNUMBER(P1544),P1544&gt;1E-9,P1544&lt;1-1E-9),'계산 과정'!$C$47*(D1544-'계산 과정'!$C$50+P1544*('계산 과정'!$C$32-D1544))+'계산 과정'!$D$47*(E1544-'계산 과정'!$D$50+P1544*('계산 과정'!$D$32-E1544))+'계산 과정'!$E$47*(0-'계산 과정'!$E$50+P1544*('계산 과정'!$E$32-0)),"")</x:f>
      </x:c>
      <x:c r="R1544" s="4" t="str">
        <x:f>IF(AND(ISNUMBER(P1544),P1544&gt;1E-9,P1544&lt;1-1E-9),'계산 과정'!$C$48*(D1544-'계산 과정'!$C$50+P1544*('계산 과정'!$C$32-D1544))+'계산 과정'!$D$48*(E1544-'계산 과정'!$D$50+P1544*('계산 과정'!$D$32-E1544))+'계산 과정'!$E$48*(0-'계산 과정'!$E$50+P1544*('계산 과정'!$E$32-0)),"")</x:f>
      </x:c>
      <x:c r="S1544" s="17" t="n">
        <x:f>IF('계산 과정'!$C$78,IF(AND(ISNUMBER(Q1544),ISNUMBER(R1544),ABS(Q1544-'계산 과정'!$C$88)&lt;='계산 과정'!$D$23/2,ABS(R1544-'계산 과정'!$C$89)&lt;='계산 과정'!$D$24/2),1,0),"")</x:f>
        <x:v>0</x:v>
      </x:c>
      <x:c r="T1544" s="4"/>
      <x:c r="U1544" s="4"/>
      <x:c r="V1544" s="4"/>
      <x:c r="W1544" s="4"/>
      <x:c r="X1544" s="4"/>
      <x:c r="Y1544" s="4"/>
      <x:c r="Z1544" s="4"/>
    </x:row>
    <x:row r="1545" ht="23" customHeight="1">
      <x:c r="A1545" s="17" t="n">
        <x:f>ROW()-6</x:f>
        <x:v>1539</x:v>
      </x:c>
      <x:c r="B1545" s="4" t="n">
        <x:f>IF('계산 과정'!$L$5,'계산 과정'!$L$11*SQRT((A1545+0.5)/'계산 과정'!$L$30),"")</x:f>
        <x:v>130.05172874067264</x:v>
      </x:c>
      <x:c r="C1545" s="4" t="n">
        <x:f>A1545*PI()*(3-SQRT(5))</x:f>
        <x:v>3693.543410552397</x:v>
      </x:c>
      <x:c r="D1545" s="4" t="n">
        <x:f>IF('계산 과정'!$L$5,B1545*COS(C1545),"")</x:f>
        <x:v>73.56644143287961</x:v>
      </x:c>
      <x:c r="E1545" s="4" t="n">
        <x:f>IF('계산 과정'!$L$5,B1545*SIN(C1545),"")</x:f>
        <x:v>-107.24472408160781</x:v>
      </x:c>
      <x:c r="F1545" s="4" t="n">
        <x:f>IF('계산 과정'!$L$7,'계산 과정'!$L$22+'계산 과정'!$C$49*D1545+'계산 과정'!$D$49*E1545,"")</x:f>
        <x:v>597.9806703950478</x:v>
      </x:c>
      <x:c r="G1545" s="4" t="n">
        <x:f>IF('계산 과정'!$L$7,IF(ABS(F1545)&gt;=1E-12*MAX(1,SQRT((D1545-'계산 과정'!$C$33)^2+(E1545-'계산 과정'!$D$33)^2+'계산 과정'!$E$33^2)),('계산 과정'!$L$23-'계산 과정'!$C$49*D1545-'계산 과정'!$D$49*E1545)/F1545,""),"")</x:f>
        <x:v>0.7559096003995108</x:v>
      </x:c>
      <x:c r="H1545" s="4" t="n">
        <x:f>IF(AND(ISNUMBER(G1545),G1545&gt;0),('계산 과정'!$D$56+'계산 과정'!$D$57*D1545+'계산 과정'!$D$58*E1545)/F1545,"")</x:f>
        <x:v>91.34124025968191</x:v>
      </x:c>
      <x:c r="I1545" s="4" t="n">
        <x:f>IF(AND(ISNUMBER(G1545),G1545&gt;0),('계산 과정'!$E$56+'계산 과정'!$E$57*D1545+'계산 과정'!$E$58*E1545)/F1545,"")</x:f>
        <x:v>-188.31204060709177</x:v>
      </x:c>
      <x:c r="J1545" s="4" t="n">
        <x:f>IF('계산 과정'!$L$5,'계산 과정'!$D$6+'계산 과정'!$C$35*D1545+'계산 과정'!$D$35*E1545,"")</x:f>
        <x:v>597.9806703950478</x:v>
      </x:c>
      <x:c r="K1545" s="4" t="n">
        <x:f>IF(AND('계산 과정'!$L$6,J1545&gt;0),'계산 과정'!$D$10*('계산 과정'!$C$38*(D1545-'계산 과정'!$C$32)+'계산 과정'!$D$38*(E1545-'계산 과정'!$D$32)-'계산 과정'!$E$38*'계산 과정'!$E$32)/J1545,"")</x:f>
        <x:v>0.695933259121387</x:v>
      </x:c>
      <x:c r="L1545" s="4" t="n">
        <x:f>IF(AND('계산 과정'!$L$6,J1545&gt;0),'계산 과정'!$D$10*('계산 과정'!$C$39*(D1545-'계산 과정'!$C$32)+'계산 과정'!$D$39*(E1545-'계산 과정'!$D$32)-'계산 과정'!$E$39*'계산 과정'!$E$32)/J1545,"")</x:f>
        <x:v>-1.4347584046254611</x:v>
      </x:c>
      <x:c r="M1545" s="17" t="n">
        <x:f>IF('계산 과정'!$L$6,IF(J1545&lt;=0,0,IF(AND(ABS(K1545)&lt;='계산 과정'!$D$11/2,ABS(L1545)&lt;='계산 과정'!$D$12/2),1,0)),"")</x:f>
        <x:v>1</x:v>
      </x:c>
      <x:c r="N1545" s="17" t="n">
        <x:f>IF('계산 과정'!$C$78,IF(AND(ISNUMBER(H1545),ISNUMBER(I1545),ABS(H1545-'계산 과정'!$C$88)&lt;='계산 과정'!$D$23/2,ABS(I1545-'계산 과정'!$C$89)&lt;='계산 과정'!$D$24/2),1,0),"")</x:f>
        <x:v>1</x:v>
      </x:c>
      <x:c r="O1545" s="4" t="n">
        <x:f>IF('계산 과정'!$L$7,'계산 과정'!$C$49*('계산 과정'!$C$32-D1545)+'계산 과정'!$D$49*('계산 과정'!$D$32-E1545)+'계산 과정'!$E$49*'계산 과정'!$E$32,"")</x:f>
        <x:v>52.019329604952304</x:v>
      </x:c>
      <x:c r="P1545" s="4" t="n">
        <x:f>IF(AND('계산 과정'!$L$7,O1545&lt;&gt;0),('계산 과정'!$L$23-'계산 과정'!$C$49*D1545-'계산 과정'!$D$49*E1545)/O1545,"")</x:f>
        <x:v>8.689449345804706</x:v>
      </x:c>
      <x:c r="Q1545" s="4" t="str">
        <x:f>IF(AND(ISNUMBER(P1545),P1545&gt;1E-9,P1545&lt;1-1E-9),'계산 과정'!$C$47*(D1545-'계산 과정'!$C$50+P1545*('계산 과정'!$C$32-D1545))+'계산 과정'!$D$47*(E1545-'계산 과정'!$D$50+P1545*('계산 과정'!$D$32-E1545))+'계산 과정'!$E$47*(0-'계산 과정'!$E$50+P1545*('계산 과정'!$E$32-0)),"")</x:f>
      </x:c>
      <x:c r="R1545" s="4" t="str">
        <x:f>IF(AND(ISNUMBER(P1545),P1545&gt;1E-9,P1545&lt;1-1E-9),'계산 과정'!$C$48*(D1545-'계산 과정'!$C$50+P1545*('계산 과정'!$C$32-D1545))+'계산 과정'!$D$48*(E1545-'계산 과정'!$D$50+P1545*('계산 과정'!$D$32-E1545))+'계산 과정'!$E$48*(0-'계산 과정'!$E$50+P1545*('계산 과정'!$E$32-0)),"")</x:f>
      </x:c>
      <x:c r="S1545" s="17" t="n">
        <x:f>IF('계산 과정'!$C$78,IF(AND(ISNUMBER(Q1545),ISNUMBER(R1545),ABS(Q1545-'계산 과정'!$C$88)&lt;='계산 과정'!$D$23/2,ABS(R1545-'계산 과정'!$C$89)&lt;='계산 과정'!$D$24/2),1,0),"")</x:f>
        <x:v>0</x:v>
      </x:c>
      <x:c r="T1545" s="4"/>
      <x:c r="U1545" s="4"/>
      <x:c r="V1545" s="4"/>
      <x:c r="W1545" s="4"/>
      <x:c r="X1545" s="4"/>
      <x:c r="Y1545" s="4"/>
      <x:c r="Z1545" s="4"/>
    </x:row>
    <x:row r="1546" ht="23" customHeight="1">
      <x:c r="A1546" s="17" t="n">
        <x:f>ROW()-6</x:f>
        <x:v>1540</x:v>
      </x:c>
      <x:c r="B1546" s="4" t="n">
        <x:f>IF('계산 과정'!$L$5,'계산 과정'!$L$11*SQRT((A1546+0.5)/'계산 과정'!$L$30),"")</x:f>
        <x:v>130.09396018479296</x:v>
      </x:c>
      <x:c r="C1546" s="4" t="n">
        <x:f>A1546*PI()*(3-SQRT(5))</x:f>
        <x:v>3695.943373782126</x:v>
      </x:c>
      <x:c r="D1546" s="4" t="n">
        <x:f>IF('계산 과정'!$L$5,B1546*COS(C1546),"")</x:f>
        <x:v>18.20307497440425</x:v>
      </x:c>
      <x:c r="E1546" s="4" t="n">
        <x:f>IF('계산 과정'!$L$5,B1546*SIN(C1546),"")</x:f>
        <x:v>128.8141550375529</x:v>
      </x:c>
      <x:c r="F1546" s="4" t="n">
        <x:f>IF('계산 과정'!$L$7,'계산 과정'!$L$22+'계산 과정'!$C$49*D1546+'계산 과정'!$D$49*E1546,"")</x:f>
        <x:v>637.1284822471516</x:v>
      </x:c>
      <x:c r="G1546" s="4" t="n">
        <x:f>IF('계산 과정'!$L$7,IF(ABS(F1546)&gt;=1E-12*MAX(1,SQRT((D1546-'계산 과정'!$C$33)^2+(E1546-'계산 과정'!$D$33)^2+'계산 과정'!$E$33^2)),('계산 과정'!$L$23-'계산 과정'!$C$49*D1546-'계산 과정'!$D$49*E1546)/F1546,""),"")</x:f>
        <x:v>0.6480192445590423</x:v>
      </x:c>
      <x:c r="H1546" s="4" t="n">
        <x:f>IF(AND(ISNUMBER(G1546),G1546&gt;0),('계산 과정'!$D$56+'계산 과정'!$D$57*D1546+'계산 과정'!$D$58*E1546)/F1546,"")</x:f>
        <x:v>21.212508963377385</x:v>
      </x:c>
      <x:c r="I1546" s="4" t="n">
        <x:f>IF(AND(ISNUMBER(G1546),G1546&gt;0),('계산 과정'!$E$56+'계산 과정'!$E$57*D1546+'계산 과정'!$E$58*E1546)/F1546,"")</x:f>
        <x:v>212.28820647349926</x:v>
      </x:c>
      <x:c r="J1546" s="4" t="n">
        <x:f>IF('계산 과정'!$L$5,'계산 과정'!$D$6+'계산 과정'!$C$35*D1546+'계산 과정'!$D$35*E1546,"")</x:f>
        <x:v>637.1284822471516</x:v>
      </x:c>
      <x:c r="K1546" s="4" t="n">
        <x:f>IF(AND('계산 과정'!$L$6,J1546&gt;0),'계산 과정'!$D$10*('계산 과정'!$C$38*(D1546-'계산 과정'!$C$32)+'계산 과정'!$D$38*(E1546-'계산 과정'!$D$32)-'계산 과정'!$E$38*'계산 과정'!$E$32)/J1546,"")</x:f>
        <x:v>0.1616191159114482</x:v>
      </x:c>
      <x:c r="L1546" s="4" t="n">
        <x:f>IF(AND('계산 과정'!$L$6,J1546&gt;0),'계산 과정'!$D$10*('계산 과정'!$C$39*(D1546-'계산 과정'!$C$32)+'계산 과정'!$D$39*(E1546-'계산 과정'!$D$32)-'계산 과정'!$E$39*'계산 과정'!$E$32)/J1546,"")</x:f>
        <x:v>1.6174339540838039</x:v>
      </x:c>
      <x:c r="M1546" s="17" t="n">
        <x:f>IF('계산 과정'!$L$6,IF(J1546&lt;=0,0,IF(AND(ABS(K1546)&lt;='계산 과정'!$D$11/2,ABS(L1546)&lt;='계산 과정'!$D$12/2),1,0)),"")</x:f>
        <x:v>1</x:v>
      </x:c>
      <x:c r="N1546" s="17" t="n">
        <x:f>IF('계산 과정'!$C$78,IF(AND(ISNUMBER(H1546),ISNUMBER(I1546),ABS(H1546-'계산 과정'!$C$88)&lt;='계산 과정'!$D$23/2,ABS(I1546-'계산 과정'!$C$89)&lt;='계산 과정'!$D$24/2),1,0),"")</x:f>
        <x:v>1</x:v>
      </x:c>
      <x:c r="O1546" s="4" t="n">
        <x:f>IF('계산 과정'!$L$7,'계산 과정'!$C$49*('계산 과정'!$C$32-D1546)+'계산 과정'!$D$49*('계산 과정'!$D$32-E1546)+'계산 과정'!$E$49*'계산 과정'!$E$32,"")</x:f>
        <x:v>12.87151775284849</x:v>
      </x:c>
      <x:c r="P1546" s="4" t="n">
        <x:f>IF(AND('계산 과정'!$L$7,O1546&lt;&gt;0),('계산 과정'!$L$23-'계산 과정'!$C$49*D1546-'계산 과정'!$D$49*E1546)/O1546,"")</x:f>
        <x:v>32.07636625925324</x:v>
      </x:c>
      <x:c r="Q1546" s="4" t="str">
        <x:f>IF(AND(ISNUMBER(P1546),P1546&gt;1E-9,P1546&lt;1-1E-9),'계산 과정'!$C$47*(D1546-'계산 과정'!$C$50+P1546*('계산 과정'!$C$32-D1546))+'계산 과정'!$D$47*(E1546-'계산 과정'!$D$50+P1546*('계산 과정'!$D$32-E1546))+'계산 과정'!$E$47*(0-'계산 과정'!$E$50+P1546*('계산 과정'!$E$32-0)),"")</x:f>
      </x:c>
      <x:c r="R1546" s="4" t="str">
        <x:f>IF(AND(ISNUMBER(P1546),P1546&gt;1E-9,P1546&lt;1-1E-9),'계산 과정'!$C$48*(D1546-'계산 과정'!$C$50+P1546*('계산 과정'!$C$32-D1546))+'계산 과정'!$D$48*(E1546-'계산 과정'!$D$50+P1546*('계산 과정'!$D$32-E1546))+'계산 과정'!$E$48*(0-'계산 과정'!$E$50+P1546*('계산 과정'!$E$32-0)),"")</x:f>
      </x:c>
      <x:c r="S1546" s="17" t="n">
        <x:f>IF('계산 과정'!$C$78,IF(AND(ISNUMBER(Q1546),ISNUMBER(R1546),ABS(Q1546-'계산 과정'!$C$88)&lt;='계산 과정'!$D$23/2,ABS(R1546-'계산 과정'!$C$89)&lt;='계산 과정'!$D$24/2),1,0),"")</x:f>
        <x:v>0</x:v>
      </x:c>
      <x:c r="T1546" s="4"/>
      <x:c r="U1546" s="4"/>
      <x:c r="V1546" s="4"/>
      <x:c r="W1546" s="4"/>
      <x:c r="X1546" s="4"/>
      <x:c r="Y1546" s="4"/>
      <x:c r="Z1546" s="4"/>
    </x:row>
    <x:row r="1547" ht="23" customHeight="1">
      <x:c r="A1547" s="17" t="n">
        <x:f>ROW()-6</x:f>
        <x:v>1541</x:v>
      </x:c>
      <x:c r="B1547" s="4" t="n">
        <x:f>IF('계산 과정'!$L$5,'계산 과정'!$L$11*SQRT((A1547+0.5)/'계산 과정'!$L$30),"")</x:f>
        <x:v>130.13617792407882</x:v>
      </x:c>
      <x:c r="C1547" s="4" t="n">
        <x:f>A1547*PI()*(3-SQRT(5))</x:f>
        <x:v>3698.343337011854</x:v>
      </x:c>
      <x:c r="D1547" s="4" t="n">
        <x:f>IF('계산 과정'!$L$5,B1547*COS(C1547),"")</x:f>
        <x:v>-100.4676853867909</x:v>
      </x:c>
      <x:c r="E1547" s="4" t="n">
        <x:f>IF('계산 과정'!$L$5,B1547*SIN(C1547),"")</x:f>
        <x:v>-82.71438204876044</x:v>
      </x:c>
      <x:c r="F1547" s="4" t="n">
        <x:f>IF('계산 과정'!$L$7,'계산 과정'!$L$22+'계산 과정'!$C$49*D1547+'계산 과정'!$D$49*E1547,"")</x:f>
        <x:v>721.0413816271165</x:v>
      </x:c>
      <x:c r="G1547" s="4" t="n">
        <x:f>IF('계산 과정'!$L$7,IF(ABS(F1547)&gt;=1E-12*MAX(1,SQRT((D1547-'계산 과정'!$C$33)^2+(E1547-'계산 과정'!$D$33)^2+'계산 과정'!$E$33^2)),('계산 과정'!$L$23-'계산 과정'!$C$49*D1547-'계산 과정'!$D$49*E1547)/F1547,""),"")</x:f>
        <x:v>0.4562270997963375</x:v>
      </x:c>
      <x:c r="H1547" s="4" t="n">
        <x:f>IF(AND(ISNUMBER(G1547),G1547&gt;0),('계산 과정'!$D$56+'계산 과정'!$D$57*D1547+'계산 과정'!$D$58*E1547)/F1547,"")</x:f>
        <x:v>-103.45238513238074</x:v>
      </x:c>
      <x:c r="I1547" s="4" t="n">
        <x:f>IF(AND(ISNUMBER(G1547),G1547&gt;0),('계산 과정'!$E$56+'계산 과정'!$E$57*D1547+'계산 과정'!$E$58*E1547)/F1547,"")</x:f>
        <x:v>-120.45092468231266</x:v>
      </x:c>
      <x:c r="J1547" s="4" t="n">
        <x:f>IF('계산 과정'!$L$5,'계산 과정'!$D$6+'계산 과정'!$C$35*D1547+'계산 과정'!$D$35*E1547,"")</x:f>
        <x:v>721.0413816271165</x:v>
      </x:c>
      <x:c r="K1547" s="4" t="n">
        <x:f>IF(AND('계산 과정'!$L$6,J1547&gt;0),'계산 과정'!$D$10*('계산 과정'!$C$38*(D1547-'계산 과정'!$C$32)+'계산 과정'!$D$38*(E1547-'계산 과정'!$D$32)-'계산 과정'!$E$38*'계산 과정'!$E$32)/J1547,"")</x:f>
        <x:v>-0.7882086486276616</x:v>
      </x:c>
      <x:c r="L1547" s="4" t="n">
        <x:f>IF(AND('계산 과정'!$L$6,J1547&gt;0),'계산 과정'!$D$10*('계산 과정'!$C$39*(D1547-'계산 과정'!$C$32)+'계산 과정'!$D$39*(E1547-'계산 과정'!$D$32)-'계산 과정'!$E$39*'계산 과정'!$E$32)/J1547,"")</x:f>
        <x:v>-0.9177213309128583</x:v>
      </x:c>
      <x:c r="M1547" s="17" t="n">
        <x:f>IF('계산 과정'!$L$6,IF(J1547&lt;=0,0,IF(AND(ABS(K1547)&lt;='계산 과정'!$D$11/2,ABS(L1547)&lt;='계산 과정'!$D$12/2),1,0)),"")</x:f>
        <x:v>1</x:v>
      </x:c>
      <x:c r="N1547" s="17" t="n">
        <x:f>IF('계산 과정'!$C$78,IF(AND(ISNUMBER(H1547),ISNUMBER(I1547),ABS(H1547-'계산 과정'!$C$88)&lt;='계산 과정'!$D$23/2,ABS(I1547-'계산 과정'!$C$89)&lt;='계산 과정'!$D$24/2),1,0),"")</x:f>
        <x:v>1</x:v>
      </x:c>
      <x:c r="O1547" s="4" t="n">
        <x:f>IF('계산 과정'!$L$7,'계산 과정'!$C$49*('계산 과정'!$C$32-D1547)+'계산 과정'!$D$49*('계산 과정'!$D$32-E1547)+'계산 과정'!$E$49*'계산 과정'!$E$32,"")</x:f>
        <x:v>-71.04138162711632</x:v>
      </x:c>
      <x:c r="P1547" s="4" t="n">
        <x:f>IF(AND('계산 과정'!$L$7,O1547&lt;&gt;0),('계산 과정'!$L$23-'계산 과정'!$C$49*D1547-'계산 과정'!$D$49*E1547)/O1547,"")</x:f>
        <x:v>-4.630521124990633</x:v>
      </x:c>
      <x:c r="Q1547" s="4" t="str">
        <x:f>IF(AND(ISNUMBER(P1547),P1547&gt;1E-9,P1547&lt;1-1E-9),'계산 과정'!$C$47*(D1547-'계산 과정'!$C$50+P1547*('계산 과정'!$C$32-D1547))+'계산 과정'!$D$47*(E1547-'계산 과정'!$D$50+P1547*('계산 과정'!$D$32-E1547))+'계산 과정'!$E$47*(0-'계산 과정'!$E$50+P1547*('계산 과정'!$E$32-0)),"")</x:f>
      </x:c>
      <x:c r="R1547" s="4" t="str">
        <x:f>IF(AND(ISNUMBER(P1547),P1547&gt;1E-9,P1547&lt;1-1E-9),'계산 과정'!$C$48*(D1547-'계산 과정'!$C$50+P1547*('계산 과정'!$C$32-D1547))+'계산 과정'!$D$48*(E1547-'계산 과정'!$D$50+P1547*('계산 과정'!$D$32-E1547))+'계산 과정'!$E$48*(0-'계산 과정'!$E$50+P1547*('계산 과정'!$E$32-0)),"")</x:f>
      </x:c>
      <x:c r="S1547" s="17" t="n">
        <x:f>IF('계산 과정'!$C$78,IF(AND(ISNUMBER(Q1547),ISNUMBER(R1547),ABS(Q1547-'계산 과정'!$C$88)&lt;='계산 과정'!$D$23/2,ABS(R1547-'계산 과정'!$C$89)&lt;='계산 과정'!$D$24/2),1,0),"")</x:f>
        <x:v>0</x:v>
      </x:c>
      <x:c r="T1547" s="4"/>
      <x:c r="U1547" s="4"/>
      <x:c r="V1547" s="4"/>
      <x:c r="W1547" s="4"/>
      <x:c r="X1547" s="4"/>
      <x:c r="Y1547" s="4"/>
      <x:c r="Z1547" s="4"/>
    </x:row>
    <x:row r="1548" ht="23" customHeight="1">
      <x:c r="A1548" s="17" t="n">
        <x:f>ROW()-6</x:f>
        <x:v>1542</x:v>
      </x:c>
      <x:c r="B1548" s="4" t="n">
        <x:f>IF('계산 과정'!$L$5,'계산 과정'!$L$11*SQRT((A1548+0.5)/'계산 과정'!$L$30),"")</x:f>
        <x:v>130.1783819718639</x:v>
      </x:c>
      <x:c r="C1548" s="4" t="n">
        <x:f>A1548*PI()*(3-SQRT(5))</x:f>
        <x:v>3700.743300241583</x:v>
      </x:c>
      <x:c r="D1548" s="4" t="n">
        <x:f>IF('계산 과정'!$L$5,B1548*COS(C1548),"")</x:f>
        <x:v>129.99665185714076</x:v>
      </x:c>
      <x:c r="E1548" s="4" t="n">
        <x:f>IF('계산 과정'!$L$5,B1548*SIN(C1548),"")</x:f>
        <x:v>-6.8761645374321745</x:v>
      </x:c>
      <x:c r="F1548" s="4" t="n">
        <x:f>IF('계산 과정'!$L$7,'계산 과정'!$L$22+'계산 과정'!$C$49*D1548+'계산 과정'!$D$49*E1548,"")</x:f>
        <x:v>558.0784859402689</x:v>
      </x:c>
      <x:c r="G1548" s="4" t="n">
        <x:f>IF('계산 과정'!$L$7,IF(ABS(F1548)&gt;=1E-12*MAX(1,SQRT((D1548-'계산 과정'!$C$33)^2+(E1548-'계산 과정'!$D$33)^2+'계산 과정'!$E$33^2)),('계산 과정'!$L$23-'계산 과정'!$C$49*D1548-'계산 과정'!$D$49*E1548)/F1548,""),"")</x:f>
        <x:v>0.8814557924248334</x:v>
      </x:c>
      <x:c r="H1548" s="4" t="n">
        <x:f>IF(AND(ISNUMBER(G1548),G1548&gt;0),('계산 과정'!$D$56+'계산 과정'!$D$57*D1548+'계산 과정'!$D$58*E1548)/F1548,"")</x:f>
        <x:v>172.94626507614163</x:v>
      </x:c>
      <x:c r="I1548" s="4" t="n">
        <x:f>IF(AND(ISNUMBER(G1548),G1548&gt;0),('계산 과정'!$E$56+'계산 과정'!$E$57*D1548+'계산 과정'!$E$58*E1548)/F1548,"")</x:f>
        <x:v>-12.93719959861799</x:v>
      </x:c>
      <x:c r="J1548" s="4" t="n">
        <x:f>IF('계산 과정'!$L$5,'계산 과정'!$D$6+'계산 과정'!$C$35*D1548+'계산 과정'!$D$35*E1548,"")</x:f>
        <x:v>558.0784859402689</x:v>
      </x:c>
      <x:c r="K1548" s="4" t="n">
        <x:f>IF(AND('계산 과정'!$L$6,J1548&gt;0),'계산 과정'!$D$10*('계산 과정'!$C$38*(D1548-'계산 과정'!$C$32)+'계산 과정'!$D$38*(E1548-'계산 과정'!$D$32)-'계산 과정'!$E$38*'계산 과정'!$E$32)/J1548,"")</x:f>
        <x:v>1.317685829151556</x:v>
      </x:c>
      <x:c r="L1548" s="4" t="n">
        <x:f>IF(AND('계산 과정'!$L$6,J1548&gt;0),'계산 과정'!$D$10*('계산 과정'!$C$39*(D1548-'계산 과정'!$C$32)+'계산 과정'!$D$39*(E1548-'계산 과정'!$D$32)-'계산 과정'!$E$39*'계산 과정'!$E$32)/J1548,"")</x:f>
        <x:v>-0.09856913979899422</x:v>
      </x:c>
      <x:c r="M1548" s="17" t="n">
        <x:f>IF('계산 과정'!$L$6,IF(J1548&lt;=0,0,IF(AND(ABS(K1548)&lt;='계산 과정'!$D$11/2,ABS(L1548)&lt;='계산 과정'!$D$12/2),1,0)),"")</x:f>
        <x:v>1</x:v>
      </x:c>
      <x:c r="N1548" s="17" t="n">
        <x:f>IF('계산 과정'!$C$78,IF(AND(ISNUMBER(H1548),ISNUMBER(I1548),ABS(H1548-'계산 과정'!$C$88)&lt;='계산 과정'!$D$23/2,ABS(I1548-'계산 과정'!$C$89)&lt;='계산 과정'!$D$24/2),1,0),"")</x:f>
        <x:v>1</x:v>
      </x:c>
      <x:c r="O1548" s="4" t="n">
        <x:f>IF('계산 과정'!$L$7,'계산 과정'!$C$49*('계산 과정'!$C$32-D1548)+'계산 과정'!$D$49*('계산 과정'!$D$32-E1548)+'계산 과정'!$E$49*'계산 과정'!$E$32,"")</x:f>
        <x:v>91.92151405973112</x:v>
      </x:c>
      <x:c r="P1548" s="4" t="n">
        <x:f>IF(AND('계산 과정'!$L$7,O1548&lt;&gt;0),('계산 과정'!$L$23-'계산 과정'!$C$49*D1548-'계산 과정'!$D$49*E1548)/O1548,"")</x:f>
        <x:v>5.35153841939633</x:v>
      </x:c>
      <x:c r="Q1548" s="4" t="str">
        <x:f>IF(AND(ISNUMBER(P1548),P1548&gt;1E-9,P1548&lt;1-1E-9),'계산 과정'!$C$47*(D1548-'계산 과정'!$C$50+P1548*('계산 과정'!$C$32-D1548))+'계산 과정'!$D$47*(E1548-'계산 과정'!$D$50+P1548*('계산 과정'!$D$32-E1548))+'계산 과정'!$E$47*(0-'계산 과정'!$E$50+P1548*('계산 과정'!$E$32-0)),"")</x:f>
      </x:c>
      <x:c r="R1548" s="4" t="str">
        <x:f>IF(AND(ISNUMBER(P1548),P1548&gt;1E-9,P1548&lt;1-1E-9),'계산 과정'!$C$48*(D1548-'계산 과정'!$C$50+P1548*('계산 과정'!$C$32-D1548))+'계산 과정'!$D$48*(E1548-'계산 과정'!$D$50+P1548*('계산 과정'!$D$32-E1548))+'계산 과정'!$E$48*(0-'계산 과정'!$E$50+P1548*('계산 과정'!$E$32-0)),"")</x:f>
      </x:c>
      <x:c r="S1548" s="17" t="n">
        <x:f>IF('계산 과정'!$C$78,IF(AND(ISNUMBER(Q1548),ISNUMBER(R1548),ABS(Q1548-'계산 과정'!$C$88)&lt;='계산 과정'!$D$23/2,ABS(R1548-'계산 과정'!$C$89)&lt;='계산 과정'!$D$24/2),1,0),"")</x:f>
        <x:v>0</x:v>
      </x:c>
      <x:c r="T1548" s="4"/>
      <x:c r="U1548" s="4"/>
      <x:c r="V1548" s="4"/>
      <x:c r="W1548" s="4"/>
      <x:c r="X1548" s="4"/>
      <x:c r="Y1548" s="4"/>
      <x:c r="Z1548" s="4"/>
    </x:row>
    <x:row r="1549" ht="23" customHeight="1">
      <x:c r="A1549" s="17" t="n">
        <x:f>ROW()-6</x:f>
        <x:v>1543</x:v>
      </x:c>
      <x:c r="B1549" s="4" t="n">
        <x:f>IF('계산 과정'!$L$5,'계산 과정'!$L$11*SQRT((A1549+0.5)/'계산 과정'!$L$30),"")</x:f>
        <x:v>130.22057234146033</x:v>
      </x:c>
      <x:c r="C1549" s="4" t="n">
        <x:f>A1549*PI()*(3-SQRT(5))</x:f>
        <x:v>3703.143263471311</x:v>
      </x:c>
      <x:c r="D1549" s="4" t="n">
        <x:f>IF('계산 과정'!$L$5,B1549*COS(C1549),"")</x:f>
        <x:v>-91.2402640047405</x:v>
      </x:c>
      <x:c r="E1549" s="4" t="n">
        <x:f>IF('계산 과정'!$L$5,B1549*SIN(C1549),"")</x:f>
        <x:v>92.91184900368069</x:v>
      </x:c>
      <x:c r="F1549" s="4" t="n">
        <x:f>IF('계산 과정'!$L$7,'계산 과정'!$L$22+'계산 과정'!$C$49*D1549+'계산 과정'!$D$49*E1549,"")</x:f>
        <x:v>714.5166093950029</x:v>
      </x:c>
      <x:c r="G1549" s="4" t="n">
        <x:f>IF('계산 과정'!$L$7,IF(ABS(F1549)&gt;=1E-12*MAX(1,SQRT((D1549-'계산 과정'!$C$33)^2+(E1549-'계산 과정'!$D$33)^2+'계산 과정'!$E$33^2)),('계산 과정'!$L$23-'계산 과정'!$C$49*D1549-'계산 과정'!$D$49*E1549)/F1549,""),"")</x:f>
        <x:v>0.46952497141957045</x:v>
      </x:c>
      <x:c r="H1549" s="4" t="n">
        <x:f>IF(AND(ISNUMBER(G1549),G1549&gt;0),('계산 과정'!$D$56+'계산 과정'!$D$57*D1549+'계산 과정'!$D$58*E1549)/F1549,"")</x:f>
        <x:v>-94.80876857727931</x:v>
      </x:c>
      <x:c r="I1549" s="4" t="n">
        <x:f>IF(AND(ISNUMBER(G1549),G1549&gt;0),('계산 과정'!$E$56+'계산 과정'!$E$57*D1549+'계산 과정'!$E$58*E1549)/F1549,"")</x:f>
        <x:v>136.5362822516733</x:v>
      </x:c>
      <x:c r="J1549" s="4" t="n">
        <x:f>IF('계산 과정'!$L$5,'계산 과정'!$D$6+'계산 과정'!$C$35*D1549+'계산 과정'!$D$35*E1549,"")</x:f>
        <x:v>714.5166093950029</x:v>
      </x:c>
      <x:c r="K1549" s="4" t="n">
        <x:f>IF(AND('계산 과정'!$L$6,J1549&gt;0),'계산 과정'!$D$10*('계산 과정'!$C$38*(D1549-'계산 과정'!$C$32)+'계산 과정'!$D$38*(E1549-'계산 과정'!$D$32)-'계산 과정'!$E$38*'계산 과정'!$E$32)/J1549,"")</x:f>
        <x:v>-0.7223525224935559</x:v>
      </x:c>
      <x:c r="L1549" s="4" t="n">
        <x:f>IF(AND('계산 과정'!$L$6,J1549&gt;0),'계산 과정'!$D$10*('계산 과정'!$C$39*(D1549-'계산 과정'!$C$32)+'계산 과정'!$D$39*(E1549-'계산 과정'!$D$32)-'계산 과정'!$E$39*'계산 과정'!$E$32)/J1549,"")</x:f>
        <x:v>1.040276436203225</x:v>
      </x:c>
      <x:c r="M1549" s="17" t="n">
        <x:f>IF('계산 과정'!$L$6,IF(J1549&lt;=0,0,IF(AND(ABS(K1549)&lt;='계산 과정'!$D$11/2,ABS(L1549)&lt;='계산 과정'!$D$12/2),1,0)),"")</x:f>
        <x:v>1</x:v>
      </x:c>
      <x:c r="N1549" s="17" t="n">
        <x:f>IF('계산 과정'!$C$78,IF(AND(ISNUMBER(H1549),ISNUMBER(I1549),ABS(H1549-'계산 과정'!$C$88)&lt;='계산 과정'!$D$23/2,ABS(I1549-'계산 과정'!$C$89)&lt;='계산 과정'!$D$24/2),1,0),"")</x:f>
        <x:v>1</x:v>
      </x:c>
      <x:c r="O1549" s="4" t="n">
        <x:f>IF('계산 과정'!$L$7,'계산 과정'!$C$49*('계산 과정'!$C$32-D1549)+'계산 과정'!$D$49*('계산 과정'!$D$32-E1549)+'계산 과정'!$E$49*'계산 과정'!$E$32,"")</x:f>
        <x:v>-64.51660939500277</x:v>
      </x:c>
      <x:c r="P1549" s="4" t="n">
        <x:f>IF(AND('계산 과정'!$L$7,O1549&lt;&gt;0),('계산 과정'!$L$23-'계산 과정'!$C$49*D1549-'계산 과정'!$D$49*E1549)/O1549,"")</x:f>
        <x:v>-5.199953837483941</x:v>
      </x:c>
      <x:c r="Q1549" s="4" t="str">
        <x:f>IF(AND(ISNUMBER(P1549),P1549&gt;1E-9,P1549&lt;1-1E-9),'계산 과정'!$C$47*(D1549-'계산 과정'!$C$50+P1549*('계산 과정'!$C$32-D1549))+'계산 과정'!$D$47*(E1549-'계산 과정'!$D$50+P1549*('계산 과정'!$D$32-E1549))+'계산 과정'!$E$47*(0-'계산 과정'!$E$50+P1549*('계산 과정'!$E$32-0)),"")</x:f>
      </x:c>
      <x:c r="R1549" s="4" t="str">
        <x:f>IF(AND(ISNUMBER(P1549),P1549&gt;1E-9,P1549&lt;1-1E-9),'계산 과정'!$C$48*(D1549-'계산 과정'!$C$50+P1549*('계산 과정'!$C$32-D1549))+'계산 과정'!$D$48*(E1549-'계산 과정'!$D$50+P1549*('계산 과정'!$D$32-E1549))+'계산 과정'!$E$48*(0-'계산 과정'!$E$50+P1549*('계산 과정'!$E$32-0)),"")</x:f>
      </x:c>
      <x:c r="S1549" s="17" t="n">
        <x:f>IF('계산 과정'!$C$78,IF(AND(ISNUMBER(Q1549),ISNUMBER(R1549),ABS(Q1549-'계산 과정'!$C$88)&lt;='계산 과정'!$D$23/2,ABS(R1549-'계산 과정'!$C$89)&lt;='계산 과정'!$D$24/2),1,0),"")</x:f>
        <x:v>0</x:v>
      </x:c>
      <x:c r="T1549" s="4"/>
      <x:c r="U1549" s="4"/>
      <x:c r="V1549" s="4"/>
      <x:c r="W1549" s="4"/>
      <x:c r="X1549" s="4"/>
      <x:c r="Y1549" s="4"/>
      <x:c r="Z1549" s="4"/>
    </x:row>
    <x:row r="1550" ht="23" customHeight="1">
      <x:c r="A1550" s="17" t="n">
        <x:f>ROW()-6</x:f>
        <x:v>1544</x:v>
      </x:c>
      <x:c r="B1550" s="4" t="n">
        <x:f>IF('계산 과정'!$L$5,'계산 과정'!$L$11*SQRT((A1550+0.5)/'계산 과정'!$L$30),"")</x:f>
        <x:v>130.26274904615863</x:v>
      </x:c>
      <x:c r="C1550" s="4" t="n">
        <x:f>A1550*PI()*(3-SQRT(5))</x:f>
        <x:v>3705.54322670104</x:v>
      </x:c>
      <x:c r="D1550" s="4" t="n">
        <x:f>IF('계산 과정'!$L$5,B1550*COS(C1550),"")</x:f>
        <x:v>4.518141772909725</x:v>
      </x:c>
      <x:c r="E1550" s="4" t="n">
        <x:f>IF('계산 과정'!$L$5,B1550*SIN(C1550),"")</x:f>
        <x:v>-130.1843699680664</x:v>
      </x:c>
      <x:c r="F1550" s="4" t="n">
        <x:f>IF('계산 과정'!$L$7,'계산 과정'!$L$22+'계산 과정'!$C$49*D1550+'계산 과정'!$D$49*E1550,"")</x:f>
        <x:v>646.8051913140133</x:v>
      </x:c>
      <x:c r="G1550" s="4" t="n">
        <x:f>IF('계산 과정'!$L$7,IF(ABS(F1550)&gt;=1E-12*MAX(1,SQRT((D1550-'계산 과정'!$C$33)^2+(E1550-'계산 과정'!$D$33)^2+'계산 과정'!$E$33^2)),('계산 과정'!$L$23-'계산 과정'!$C$49*D1550-'계산 과정'!$D$49*E1550)/F1550,""),"")</x:f>
        <x:v>0.623363594016428</x:v>
      </x:c>
      <x:c r="H1550" s="4" t="n">
        <x:f>IF(AND(ISNUMBER(G1550),G1550&gt;0),('계산 과정'!$D$56+'계산 과정'!$D$57*D1550+'계산 과정'!$D$58*E1550)/F1550,"")</x:f>
        <x:v>5.186336110678121</x:v>
      </x:c>
      <x:c r="I1550" s="4" t="n">
        <x:f>IF(AND(ISNUMBER(G1550),G1550&gt;0),('계산 과정'!$E$56+'계산 과정'!$E$57*D1550+'계산 과정'!$E$58*E1550)/F1550,"")</x:f>
        <x:v>-211.33656671612462</x:v>
      </x:c>
      <x:c r="J1550" s="4" t="n">
        <x:f>IF('계산 과정'!$L$5,'계산 과정'!$D$6+'계산 과정'!$C$35*D1550+'계산 과정'!$D$35*E1550,"")</x:f>
        <x:v>646.8051913140133</x:v>
      </x:c>
      <x:c r="K1550" s="4" t="n">
        <x:f>IF(AND('계산 과정'!$L$6,J1550&gt;0),'계산 과정'!$D$10*('계산 과정'!$C$38*(D1550-'계산 과정'!$C$32)+'계산 과정'!$D$38*(E1550-'계산 과정'!$D$32)-'계산 과정'!$E$38*'계산 과정'!$E$32)/J1550,"")</x:f>
        <x:v>0.0395149417956438</x:v>
      </x:c>
      <x:c r="L1550" s="4" t="n">
        <x:f>IF(AND('계산 과정'!$L$6,J1550&gt;0),'계산 과정'!$D$10*('계산 과정'!$C$39*(D1550-'계산 과정'!$C$32)+'계산 과정'!$D$39*(E1550-'계산 과정'!$D$32)-'계산 과정'!$E$39*'계산 과정'!$E$32)/J1550,"")</x:f>
        <x:v>-1.6101833654561875</x:v>
      </x:c>
      <x:c r="M1550" s="17" t="n">
        <x:f>IF('계산 과정'!$L$6,IF(J1550&lt;=0,0,IF(AND(ABS(K1550)&lt;='계산 과정'!$D$11/2,ABS(L1550)&lt;='계산 과정'!$D$12/2),1,0)),"")</x:f>
        <x:v>1</x:v>
      </x:c>
      <x:c r="N1550" s="17" t="n">
        <x:f>IF('계산 과정'!$C$78,IF(AND(ISNUMBER(H1550),ISNUMBER(I1550),ABS(H1550-'계산 과정'!$C$88)&lt;='계산 과정'!$D$23/2,ABS(I1550-'계산 과정'!$C$89)&lt;='계산 과정'!$D$24/2),1,0),"")</x:f>
        <x:v>1</x:v>
      </x:c>
      <x:c r="O1550" s="4" t="n">
        <x:f>IF('계산 과정'!$L$7,'계산 과정'!$C$49*('계산 과정'!$C$32-D1550)+'계산 과정'!$D$49*('계산 과정'!$D$32-E1550)+'계산 과정'!$E$49*'계산 과정'!$E$32,"")</x:f>
        <x:v>3.1948086859868</x:v>
      </x:c>
      <x:c r="P1550" s="4" t="n">
        <x:f>IF(AND('계산 과정'!$L$7,O1550&lt;&gt;0),('계산 과정'!$L$23-'계산 과정'!$C$49*D1550-'계산 과정'!$D$49*E1550)/O1550,"")</x:f>
        <x:v>126.2031152145342</x:v>
      </x:c>
      <x:c r="Q1550" s="4" t="str">
        <x:f>IF(AND(ISNUMBER(P1550),P1550&gt;1E-9,P1550&lt;1-1E-9),'계산 과정'!$C$47*(D1550-'계산 과정'!$C$50+P1550*('계산 과정'!$C$32-D1550))+'계산 과정'!$D$47*(E1550-'계산 과정'!$D$50+P1550*('계산 과정'!$D$32-E1550))+'계산 과정'!$E$47*(0-'계산 과정'!$E$50+P1550*('계산 과정'!$E$32-0)),"")</x:f>
      </x:c>
      <x:c r="R1550" s="4" t="str">
        <x:f>IF(AND(ISNUMBER(P1550),P1550&gt;1E-9,P1550&lt;1-1E-9),'계산 과정'!$C$48*(D1550-'계산 과정'!$C$50+P1550*('계산 과정'!$C$32-D1550))+'계산 과정'!$D$48*(E1550-'계산 과정'!$D$50+P1550*('계산 과정'!$D$32-E1550))+'계산 과정'!$E$48*(0-'계산 과정'!$E$50+P1550*('계산 과정'!$E$32-0)),"")</x:f>
      </x:c>
      <x:c r="S1550" s="17" t="n">
        <x:f>IF('계산 과정'!$C$78,IF(AND(ISNUMBER(Q1550),ISNUMBER(R1550),ABS(Q1550-'계산 과정'!$C$88)&lt;='계산 과정'!$D$23/2,ABS(R1550-'계산 과정'!$C$89)&lt;='계산 과정'!$D$24/2),1,0),"")</x:f>
        <x:v>0</x:v>
      </x:c>
      <x:c r="T1550" s="4"/>
      <x:c r="U1550" s="4"/>
      <x:c r="V1550" s="4"/>
      <x:c r="W1550" s="4"/>
      <x:c r="X1550" s="4"/>
      <x:c r="Y1550" s="4"/>
      <x:c r="Z1550" s="4"/>
    </x:row>
    <x:row r="1551" ht="23" customHeight="1">
      <x:c r="A1551" s="17" t="n">
        <x:f>ROW()-6</x:f>
        <x:v>1545</x:v>
      </x:c>
      <x:c r="B1551" s="4" t="n">
        <x:f>IF('계산 과정'!$L$5,'계산 과정'!$L$11*SQRT((A1551+0.5)/'계산 과정'!$L$30),"")</x:f>
        <x:v>130.30491209922786</x:v>
      </x:c>
      <x:c r="C1551" s="4" t="n">
        <x:f>A1551*PI()*(3-SQRT(5))</x:f>
        <x:v>3707.9431899307688</x:v>
      </x:c>
      <x:c r="D1551" s="4" t="n">
        <x:f>IF('계산 과정'!$L$5,B1551*COS(C1551),"")</x:f>
        <x:v>84.63412650228909</x:v>
      </x:c>
      <x:c r="E1551" s="4" t="n">
        <x:f>IF('계산 과정'!$L$5,B1551*SIN(C1551),"")</x:f>
        <x:v>99.07792260832898</x:v>
      </x:c>
      <x:c r="F1551" s="4" t="n">
        <x:f>IF('계산 과정'!$L$7,'계산 과정'!$L$22+'계산 과정'!$C$49*D1551+'계산 과정'!$D$49*E1551,"")</x:f>
        <x:v>590.1546352304313</x:v>
      </x:c>
      <x:c r="G1551" s="4" t="n">
        <x:f>IF('계산 과정'!$L$7,IF(ABS(F1551)&gt;=1E-12*MAX(1,SQRT((D1551-'계산 과정'!$C$33)^2+(E1551-'계산 과정'!$D$33)^2+'계산 과정'!$E$33^2)),('계산 과정'!$L$23-'계산 과정'!$C$49*D1551-'계산 과정'!$D$49*E1551)/F1551,""),"")</x:f>
        <x:v>0.7791947013853715</x:v>
      </x:c>
      <x:c r="H1551" s="4" t="n">
        <x:f>IF(AND(ISNUMBER(G1551),G1551&gt;0),('계산 과정'!$D$56+'계산 과정'!$D$57*D1551+'계산 과정'!$D$58*E1551)/F1551,"")</x:f>
        <x:v>106.47655590049135</x:v>
      </x:c>
      <x:c r="I1551" s="4" t="n">
        <x:f>IF(AND(ISNUMBER(G1551),G1551&gt;0),('계산 과정'!$E$56+'계산 과정'!$E$57*D1551+'계산 과정'!$E$58*E1551)/F1551,"")</x:f>
        <x:v>176.2789149290088</x:v>
      </x:c>
      <x:c r="J1551" s="4" t="n">
        <x:f>IF('계산 과정'!$L$5,'계산 과정'!$D$6+'계산 과정'!$C$35*D1551+'계산 과정'!$D$35*E1551,"")</x:f>
        <x:v>590.1546352304313</x:v>
      </x:c>
      <x:c r="K1551" s="4" t="n">
        <x:f>IF(AND('계산 과정'!$L$6,J1551&gt;0),'계산 과정'!$D$10*('계산 과정'!$C$38*(D1551-'계산 과정'!$C$32)+'계산 과정'!$D$38*(E1551-'계산 과정'!$D$32)-'계산 과정'!$E$38*'계산 과정'!$E$32)/J1551,"")</x:f>
        <x:v>0.8112499497180302</x:v>
      </x:c>
      <x:c r="L1551" s="4" t="n">
        <x:f>IF(AND('계산 과정'!$L$6,J1551&gt;0),'계산 과정'!$D$10*('계산 과정'!$C$39*(D1551-'계산 과정'!$C$32)+'계산 과정'!$D$39*(E1551-'계산 과정'!$D$32)-'계산 과정'!$E$39*'계산 과정'!$E$32)/J1551,"")</x:f>
        <x:v>1.3430774470781623</x:v>
      </x:c>
      <x:c r="M1551" s="17" t="n">
        <x:f>IF('계산 과정'!$L$6,IF(J1551&lt;=0,0,IF(AND(ABS(K1551)&lt;='계산 과정'!$D$11/2,ABS(L1551)&lt;='계산 과정'!$D$12/2),1,0)),"")</x:f>
        <x:v>1</x:v>
      </x:c>
      <x:c r="N1551" s="17" t="n">
        <x:f>IF('계산 과정'!$C$78,IF(AND(ISNUMBER(H1551),ISNUMBER(I1551),ABS(H1551-'계산 과정'!$C$88)&lt;='계산 과정'!$D$23/2,ABS(I1551-'계산 과정'!$C$89)&lt;='계산 과정'!$D$24/2),1,0),"")</x:f>
        <x:v>1</x:v>
      </x:c>
      <x:c r="O1551" s="4" t="n">
        <x:f>IF('계산 과정'!$L$7,'계산 과정'!$C$49*('계산 과정'!$C$32-D1551)+'계산 과정'!$D$49*('계산 과정'!$D$32-E1551)+'계산 과정'!$E$49*'계산 과정'!$E$32,"")</x:f>
        <x:v>59.84536476956879</x:v>
      </x:c>
      <x:c r="P1551" s="4" t="n">
        <x:f>IF(AND('계산 과정'!$L$7,O1551&lt;&gt;0),('계산 과정'!$L$23-'계산 과정'!$C$49*D1551-'계산 과정'!$D$49*E1551)/O1551,"")</x:f>
        <x:v>7.683892754938957</x:v>
      </x:c>
      <x:c r="Q1551" s="4" t="str">
        <x:f>IF(AND(ISNUMBER(P1551),P1551&gt;1E-9,P1551&lt;1-1E-9),'계산 과정'!$C$47*(D1551-'계산 과정'!$C$50+P1551*('계산 과정'!$C$32-D1551))+'계산 과정'!$D$47*(E1551-'계산 과정'!$D$50+P1551*('계산 과정'!$D$32-E1551))+'계산 과정'!$E$47*(0-'계산 과정'!$E$50+P1551*('계산 과정'!$E$32-0)),"")</x:f>
      </x:c>
      <x:c r="R1551" s="4" t="str">
        <x:f>IF(AND(ISNUMBER(P1551),P1551&gt;1E-9,P1551&lt;1-1E-9),'계산 과정'!$C$48*(D1551-'계산 과정'!$C$50+P1551*('계산 과정'!$C$32-D1551))+'계산 과정'!$D$48*(E1551-'계산 과정'!$D$50+P1551*('계산 과정'!$D$32-E1551))+'계산 과정'!$E$48*(0-'계산 과정'!$E$50+P1551*('계산 과정'!$E$32-0)),"")</x:f>
      </x:c>
      <x:c r="S1551" s="17" t="n">
        <x:f>IF('계산 과정'!$C$78,IF(AND(ISNUMBER(Q1551),ISNUMBER(R1551),ABS(Q1551-'계산 과정'!$C$88)&lt;='계산 과정'!$D$23/2,ABS(R1551-'계산 과정'!$C$89)&lt;='계산 과정'!$D$24/2),1,0),"")</x:f>
        <x:v>0</x:v>
      </x:c>
      <x:c r="T1551" s="4"/>
      <x:c r="U1551" s="4"/>
      <x:c r="V1551" s="4"/>
      <x:c r="W1551" s="4"/>
      <x:c r="X1551" s="4"/>
      <x:c r="Y1551" s="4"/>
      <x:c r="Z1551" s="4"/>
    </x:row>
    <x:row r="1552" ht="23" customHeight="1">
      <x:c r="A1552" s="17" t="n">
        <x:f>ROW()-6</x:f>
        <x:v>1546</x:v>
      </x:c>
      <x:c r="B1552" s="4" t="n">
        <x:f>IF('계산 과정'!$L$5,'계산 과정'!$L$11*SQRT((A1552+0.5)/'계산 과정'!$L$30),"")</x:f>
        <x:v>130.3470615139156</x:v>
      </x:c>
      <x:c r="C1552" s="4" t="n">
        <x:f>A1552*PI()*(3-SQRT(5))</x:f>
        <x:v>3710.343153160497</x:v>
      </x:c>
      <x:c r="D1552" s="4" t="n">
        <x:f>IF('계산 과정'!$L$5,B1552*COS(C1552),"")</x:f>
        <x:v>-129.37458095413194</x:v>
      </x:c>
      <x:c r="E1552" s="4" t="n">
        <x:f>IF('계산 과정'!$L$5,B1552*SIN(C1552),"")</x:f>
        <x:v>-15.892584693977787</x:v>
      </x:c>
      <x:c r="F1552" s="4" t="n">
        <x:f>IF('계산 과정'!$L$7,'계산 과정'!$L$22+'계산 과정'!$C$49*D1552+'계산 과정'!$D$49*E1552,"")</x:f>
        <x:v>741.4816435058347</x:v>
      </x:c>
      <x:c r="G1552" s="4" t="n">
        <x:f>IF('계산 과정'!$L$7,IF(ABS(F1552)&gt;=1E-12*MAX(1,SQRT((D1552-'계산 과정'!$C$33)^2+(E1552-'계산 과정'!$D$33)^2+'계산 과정'!$E$33^2)),('계산 과정'!$L$23-'계산 과정'!$C$49*D1552-'계산 과정'!$D$49*E1552)/F1552,""),"")</x:f>
        <x:v>0.41608360664930966</x:v>
      </x:c>
      <x:c r="H1552" s="4" t="n">
        <x:f>IF(AND(ISNUMBER(G1552),G1552&gt;0),('계산 과정'!$D$56+'계산 과정'!$D$57*D1552+'계산 과정'!$D$58*E1552)/F1552,"")</x:f>
        <x:v>-129.54565567794887</x:v>
      </x:c>
      <x:c r="I1552" s="4" t="n">
        <x:f>IF(AND(ISNUMBER(G1552),G1552&gt;0),('계산 과정'!$E$56+'계산 과정'!$E$57*D1552+'계산 과정'!$E$58*E1552)/F1552,"")</x:f>
        <x:v>-22.50522865242768</x:v>
      </x:c>
      <x:c r="J1552" s="4" t="n">
        <x:f>IF('계산 과정'!$L$5,'계산 과정'!$D$6+'계산 과정'!$C$35*D1552+'계산 과정'!$D$35*E1552,"")</x:f>
        <x:v>741.4816435058347</x:v>
      </x:c>
      <x:c r="K1552" s="4" t="n">
        <x:f>IF(AND('계산 과정'!$L$6,J1552&gt;0),'계산 과정'!$D$10*('계산 과정'!$C$38*(D1552-'계산 과정'!$C$32)+'계산 과정'!$D$38*(E1552-'계산 과정'!$D$32)-'계산 과정'!$E$38*'계산 과정'!$E$32)/J1552,"")</x:f>
        <x:v>-0.9870145194510379</x:v>
      </x:c>
      <x:c r="L1552" s="4" t="n">
        <x:f>IF(AND('계산 과정'!$L$6,J1552&gt;0),'계산 과정'!$D$10*('계산 과정'!$C$39*(D1552-'계산 과정'!$C$32)+'계산 과정'!$D$39*(E1552-'계산 과정'!$D$32)-'계산 과정'!$E$39*'계산 과정'!$E$32)/J1552,"")</x:f>
        <x:v>-0.17146840878040137</x:v>
      </x:c>
      <x:c r="M1552" s="17" t="n">
        <x:f>IF('계산 과정'!$L$6,IF(J1552&lt;=0,0,IF(AND(ABS(K1552)&lt;='계산 과정'!$D$11/2,ABS(L1552)&lt;='계산 과정'!$D$12/2),1,0)),"")</x:f>
        <x:v>1</x:v>
      </x:c>
      <x:c r="N1552" s="17" t="n">
        <x:f>IF('계산 과정'!$C$78,IF(AND(ISNUMBER(H1552),ISNUMBER(I1552),ABS(H1552-'계산 과정'!$C$88)&lt;='계산 과정'!$D$23/2,ABS(I1552-'계산 과정'!$C$89)&lt;='계산 과정'!$D$24/2),1,0),"")</x:f>
        <x:v>1</x:v>
      </x:c>
      <x:c r="O1552" s="4" t="n">
        <x:f>IF('계산 과정'!$L$7,'계산 과정'!$C$49*('계산 과정'!$C$32-D1552)+'계산 과정'!$D$49*('계산 과정'!$D$32-E1552)+'계산 과정'!$E$49*'계산 과정'!$E$32,"")</x:f>
        <x:v>-91.48164350583454</x:v>
      </x:c>
      <x:c r="P1552" s="4" t="n">
        <x:f>IF(AND('계산 과정'!$L$7,O1552&lt;&gt;0),('계산 과정'!$L$23-'계산 과정'!$C$49*D1552-'계산 과정'!$D$49*E1552)/O1552,"")</x:f>
        <x:v>-3.372461891488521</x:v>
      </x:c>
      <x:c r="Q1552" s="4" t="str">
        <x:f>IF(AND(ISNUMBER(P1552),P1552&gt;1E-9,P1552&lt;1-1E-9),'계산 과정'!$C$47*(D1552-'계산 과정'!$C$50+P1552*('계산 과정'!$C$32-D1552))+'계산 과정'!$D$47*(E1552-'계산 과정'!$D$50+P1552*('계산 과정'!$D$32-E1552))+'계산 과정'!$E$47*(0-'계산 과정'!$E$50+P1552*('계산 과정'!$E$32-0)),"")</x:f>
      </x:c>
      <x:c r="R1552" s="4" t="str">
        <x:f>IF(AND(ISNUMBER(P1552),P1552&gt;1E-9,P1552&lt;1-1E-9),'계산 과정'!$C$48*(D1552-'계산 과정'!$C$50+P1552*('계산 과정'!$C$32-D1552))+'계산 과정'!$D$48*(E1552-'계산 과정'!$D$50+P1552*('계산 과정'!$D$32-E1552))+'계산 과정'!$E$48*(0-'계산 과정'!$E$50+P1552*('계산 과정'!$E$32-0)),"")</x:f>
      </x:c>
      <x:c r="S1552" s="17" t="n">
        <x:f>IF('계산 과정'!$C$78,IF(AND(ISNUMBER(Q1552),ISNUMBER(R1552),ABS(Q1552-'계산 과정'!$C$88)&lt;='계산 과정'!$D$23/2,ABS(R1552-'계산 과정'!$C$89)&lt;='계산 과정'!$D$24/2),1,0),"")</x:f>
        <x:v>0</x:v>
      </x:c>
      <x:c r="T1552" s="4"/>
      <x:c r="U1552" s="4"/>
      <x:c r="V1552" s="4"/>
      <x:c r="W1552" s="4"/>
      <x:c r="X1552" s="4"/>
      <x:c r="Y1552" s="4"/>
      <x:c r="Z1552" s="4"/>
    </x:row>
    <x:row r="1553" ht="23" customHeight="1">
      <x:c r="A1553" s="17" t="n">
        <x:f>ROW()-6</x:f>
        <x:v>1547</x:v>
      </x:c>
      <x:c r="B1553" s="4" t="n">
        <x:f>IF('계산 과정'!$L$5,'계산 과정'!$L$11*SQRT((A1553+0.5)/'계산 과정'!$L$30),"")</x:f>
        <x:v>130.38919730344804</x:v>
      </x:c>
      <x:c r="C1553" s="4" t="n">
        <x:f>A1553*PI()*(3-SQRT(5))</x:f>
        <x:v>3712.743116390226</x:v>
      </x:c>
      <x:c r="D1553" s="4" t="n">
        <x:f>IF('계산 과정'!$L$5,B1553*COS(C1553),"")</x:f>
        <x:v>106.16638441241278</x:v>
      </x:c>
      <x:c r="E1553" s="4" t="n">
        <x:f>IF('계산 과정'!$L$5,B1553*SIN(C1553),"")</x:f>
        <x:v>-75.69703821308534</x:v>
      </x:c>
      <x:c r="F1553" s="4" t="n">
        <x:f>IF('계산 과정'!$L$7,'계산 과정'!$L$22+'계산 과정'!$C$49*D1553+'계산 과정'!$D$49*E1553,"")</x:f>
        <x:v>574.9290296479252</x:v>
      </x:c>
      <x:c r="G1553" s="4" t="n">
        <x:f>IF('계산 과정'!$L$7,IF(ABS(F1553)&gt;=1E-12*MAX(1,SQRT((D1553-'계산 과정'!$C$33)^2+(E1553-'계산 과정'!$D$33)^2+'계산 과정'!$E$33^2)),('계산 과정'!$L$23-'계산 과정'!$C$49*D1553-'계산 과정'!$D$49*E1553)/F1553,""),"")</x:f>
        <x:v>0.8263123722296621</x:v>
      </x:c>
      <x:c r="H1553" s="4" t="n">
        <x:f>IF(AND(ISNUMBER(G1553),G1553&gt;0),('계산 과정'!$D$56+'계산 과정'!$D$57*D1553+'계산 과정'!$D$58*E1553)/F1553,"")</x:f>
        <x:v>137.10304194928037</x:v>
      </x:c>
      <x:c r="I1553" s="4" t="n">
        <x:f>IF(AND(ISNUMBER(G1553),G1553&gt;0),('계산 과정'!$E$56+'계산 과정'!$E$57*D1553+'계산 과정'!$E$58*E1553)/F1553,"")</x:f>
        <x:v>-138.24643742969928</x:v>
      </x:c>
      <x:c r="J1553" s="4" t="n">
        <x:f>IF('계산 과정'!$L$5,'계산 과정'!$D$6+'계산 과정'!$C$35*D1553+'계산 과정'!$D$35*E1553,"")</x:f>
        <x:v>574.9290296479252</x:v>
      </x:c>
      <x:c r="K1553" s="4" t="n">
        <x:f>IF(AND('계산 과정'!$L$6,J1553&gt;0),'계산 과정'!$D$10*('계산 과정'!$C$38*(D1553-'계산 과정'!$C$32)+'계산 과정'!$D$38*(E1553-'계산 과정'!$D$32)-'계산 과정'!$E$38*'계산 과정'!$E$32)/J1553,"")</x:f>
        <x:v>1.0445946053278512</x:v>
      </x:c>
      <x:c r="L1553" s="4" t="n">
        <x:f>IF(AND('계산 과정'!$L$6,J1553&gt;0),'계산 과정'!$D$10*('계산 과정'!$C$39*(D1553-'계산 과정'!$C$32)+'계산 과정'!$D$39*(E1553-'계산 과정'!$D$32)-'계산 과정'!$E$39*'계산 과정'!$E$32)/J1553,"")</x:f>
        <x:v>-1.0533061899405658</x:v>
      </x:c>
      <x:c r="M1553" s="17" t="n">
        <x:f>IF('계산 과정'!$L$6,IF(J1553&lt;=0,0,IF(AND(ABS(K1553)&lt;='계산 과정'!$D$11/2,ABS(L1553)&lt;='계산 과정'!$D$12/2),1,0)),"")</x:f>
        <x:v>1</x:v>
      </x:c>
      <x:c r="N1553" s="17" t="n">
        <x:f>IF('계산 과정'!$C$78,IF(AND(ISNUMBER(H1553),ISNUMBER(I1553),ABS(H1553-'계산 과정'!$C$88)&lt;='계산 과정'!$D$23/2,ABS(I1553-'계산 과정'!$C$89)&lt;='계산 과정'!$D$24/2),1,0),"")</x:f>
        <x:v>1</x:v>
      </x:c>
      <x:c r="O1553" s="4" t="n">
        <x:f>IF('계산 과정'!$L$7,'계산 과정'!$C$49*('계산 과정'!$C$32-D1553)+'계산 과정'!$D$49*('계산 과정'!$D$32-E1553)+'계산 과정'!$E$49*'계산 과정'!$E$32,"")</x:f>
        <x:v>75.07097035207494</x:v>
      </x:c>
      <x:c r="P1553" s="4" t="n">
        <x:f>IF(AND('계산 과정'!$L$7,O1553&lt;&gt;0),('계산 과정'!$L$23-'계산 과정'!$C$49*D1553-'계산 과정'!$D$49*E1553)/O1553,"")</x:f>
        <x:v>6.328291323850512</x:v>
      </x:c>
      <x:c r="Q1553" s="4" t="str">
        <x:f>IF(AND(ISNUMBER(P1553),P1553&gt;1E-9,P1553&lt;1-1E-9),'계산 과정'!$C$47*(D1553-'계산 과정'!$C$50+P1553*('계산 과정'!$C$32-D1553))+'계산 과정'!$D$47*(E1553-'계산 과정'!$D$50+P1553*('계산 과정'!$D$32-E1553))+'계산 과정'!$E$47*(0-'계산 과정'!$E$50+P1553*('계산 과정'!$E$32-0)),"")</x:f>
      </x:c>
      <x:c r="R1553" s="4" t="str">
        <x:f>IF(AND(ISNUMBER(P1553),P1553&gt;1E-9,P1553&lt;1-1E-9),'계산 과정'!$C$48*(D1553-'계산 과정'!$C$50+P1553*('계산 과정'!$C$32-D1553))+'계산 과정'!$D$48*(E1553-'계산 과정'!$D$50+P1553*('계산 과정'!$D$32-E1553))+'계산 과정'!$E$48*(0-'계산 과정'!$E$50+P1553*('계산 과정'!$E$32-0)),"")</x:f>
      </x:c>
      <x:c r="S1553" s="17" t="n">
        <x:f>IF('계산 과정'!$C$78,IF(AND(ISNUMBER(Q1553),ISNUMBER(R1553),ABS(Q1553-'계산 과정'!$C$88)&lt;='계산 과정'!$D$23/2,ABS(R1553-'계산 과정'!$C$89)&lt;='계산 과정'!$D$24/2),1,0),"")</x:f>
        <x:v>0</x:v>
      </x:c>
      <x:c r="T1553" s="4"/>
      <x:c r="U1553" s="4"/>
      <x:c r="V1553" s="4"/>
      <x:c r="W1553" s="4"/>
      <x:c r="X1553" s="4"/>
      <x:c r="Y1553" s="4"/>
      <x:c r="Z1553" s="4"/>
    </x:row>
    <x:row r="1554" ht="23" customHeight="1">
      <x:c r="A1554" s="17" t="n">
        <x:f>ROW()-6</x:f>
        <x:v>1548</x:v>
      </x:c>
      <x:c r="B1554" s="4" t="n">
        <x:f>IF('계산 과정'!$L$5,'계산 과정'!$L$11*SQRT((A1554+0.5)/'계산 과정'!$L$30),"")</x:f>
        <x:v>130.43131948102993</x:v>
      </x:c>
      <x:c r="C1554" s="4" t="n">
        <x:f>A1554*PI()*(3-SQRT(5))</x:f>
        <x:v>3715.1430796199547</x:v>
      </x:c>
      <x:c r="D1554" s="4" t="n">
        <x:f>IF('계산 과정'!$L$5,B1554*COS(C1554),"")</x:f>
        <x:v>-27.15994432206042</x:v>
      </x:c>
      <x:c r="E1554" s="4" t="n">
        <x:f>IF('계산 과정'!$L$5,B1554*SIN(C1554),"")</x:f>
        <x:v>127.5722012273249</x:v>
      </x:c>
      <x:c r="F1554" s="4" t="n">
        <x:f>IF('계산 과정'!$L$7,'계산 과정'!$L$22+'계산 과정'!$C$49*D1554+'계산 과정'!$D$49*E1554,"")</x:f>
        <x:v>669.2049808067779</x:v>
      </x:c>
      <x:c r="G1554" s="4" t="n">
        <x:f>IF('계산 과정'!$L$7,IF(ABS(F1554)&gt;=1E-12*MAX(1,SQRT((D1554-'계산 과정'!$C$33)^2+(E1554-'계산 과정'!$D$33)^2+'계산 과정'!$E$33^2)),('계산 과정'!$L$23-'계산 과정'!$C$49*D1554-'계산 과정'!$D$49*E1554)/F1554,""),"")</x:f>
        <x:v>0.5690259787578753</x:v>
      </x:c>
      <x:c r="H1554" s="4" t="n">
        <x:f>IF(AND(ISNUMBER(G1554),G1554&gt;0),('계산 과정'!$D$56+'계산 과정'!$D$57*D1554+'계산 과정'!$D$58*E1554)/F1554,"")</x:f>
        <x:v>-30.133113807381164</x:v>
      </x:c>
      <x:c r="I1554" s="4" t="n">
        <x:f>IF(AND(ISNUMBER(G1554),G1554&gt;0),('계산 과정'!$E$56+'계산 과정'!$E$57*D1554+'계산 과정'!$E$58*E1554)/F1554,"")</x:f>
        <x:v>200.1640978930001</x:v>
      </x:c>
      <x:c r="J1554" s="4" t="n">
        <x:f>IF('계산 과정'!$L$5,'계산 과정'!$D$6+'계산 과정'!$C$35*D1554+'계산 과정'!$D$35*E1554,"")</x:f>
        <x:v>669.2049808067779</x:v>
      </x:c>
      <x:c r="K1554" s="4" t="n">
        <x:f>IF(AND('계산 과정'!$L$6,J1554&gt;0),'계산 과정'!$D$10*('계산 과정'!$C$38*(D1554-'계산 과정'!$C$32)+'계산 과정'!$D$38*(E1554-'계산 과정'!$D$32)-'계산 과정'!$E$38*'계산 과정'!$E$32)/J1554,"")</x:f>
        <x:v>-0.2295856290086176</x:v>
      </x:c>
      <x:c r="L1554" s="4" t="n">
        <x:f>IF(AND('계산 과정'!$L$6,J1554&gt;0),'계산 과정'!$D$10*('계산 과정'!$C$39*(D1554-'계산 과정'!$C$32)+'계산 과정'!$D$39*(E1554-'계산 과정'!$D$32)-'계산 과정'!$E$39*'계산 과정'!$E$32)/J1554,"")</x:f>
        <x:v>1.5250597934704768</x:v>
      </x:c>
      <x:c r="M1554" s="17" t="n">
        <x:f>IF('계산 과정'!$L$6,IF(J1554&lt;=0,0,IF(AND(ABS(K1554)&lt;='계산 과정'!$D$11/2,ABS(L1554)&lt;='계산 과정'!$D$12/2),1,0)),"")</x:f>
        <x:v>1</x:v>
      </x:c>
      <x:c r="N1554" s="17" t="n">
        <x:f>IF('계산 과정'!$C$78,IF(AND(ISNUMBER(H1554),ISNUMBER(I1554),ABS(H1554-'계산 과정'!$C$88)&lt;='계산 과정'!$D$23/2,ABS(I1554-'계산 과정'!$C$89)&lt;='계산 과정'!$D$24/2),1,0),"")</x:f>
        <x:v>1</x:v>
      </x:c>
      <x:c r="O1554" s="4" t="n">
        <x:f>IF('계산 과정'!$L$7,'계산 과정'!$C$49*('계산 과정'!$C$32-D1554)+'계산 과정'!$D$49*('계산 과정'!$D$32-E1554)+'계산 과정'!$E$49*'계산 과정'!$E$32,"")</x:f>
        <x:v>-19.204980806777883</x:v>
      </x:c>
      <x:c r="P1554" s="4" t="n">
        <x:f>IF(AND('계산 과정'!$L$7,O1554&lt;&gt;0),('계산 과정'!$L$23-'계산 과정'!$C$49*D1554-'계산 과정'!$D$49*E1554)/O1554,"")</x:f>
        <x:v>-19.827930213751145</x:v>
      </x:c>
      <x:c r="Q1554" s="4" t="str">
        <x:f>IF(AND(ISNUMBER(P1554),P1554&gt;1E-9,P1554&lt;1-1E-9),'계산 과정'!$C$47*(D1554-'계산 과정'!$C$50+P1554*('계산 과정'!$C$32-D1554))+'계산 과정'!$D$47*(E1554-'계산 과정'!$D$50+P1554*('계산 과정'!$D$32-E1554))+'계산 과정'!$E$47*(0-'계산 과정'!$E$50+P1554*('계산 과정'!$E$32-0)),"")</x:f>
      </x:c>
      <x:c r="R1554" s="4" t="str">
        <x:f>IF(AND(ISNUMBER(P1554),P1554&gt;1E-9,P1554&lt;1-1E-9),'계산 과정'!$C$48*(D1554-'계산 과정'!$C$50+P1554*('계산 과정'!$C$32-D1554))+'계산 과정'!$D$48*(E1554-'계산 과정'!$D$50+P1554*('계산 과정'!$D$32-E1554))+'계산 과정'!$E$48*(0-'계산 과정'!$E$50+P1554*('계산 과정'!$E$32-0)),"")</x:f>
      </x:c>
      <x:c r="S1554" s="17" t="n">
        <x:f>IF('계산 과정'!$C$78,IF(AND(ISNUMBER(Q1554),ISNUMBER(R1554),ABS(Q1554-'계산 과정'!$C$88)&lt;='계산 과정'!$D$23/2,ABS(R1554-'계산 과정'!$C$89)&lt;='계산 과정'!$D$24/2),1,0),"")</x:f>
        <x:v>0</x:v>
      </x:c>
      <x:c r="T1554" s="4"/>
      <x:c r="U1554" s="4"/>
      <x:c r="V1554" s="4"/>
      <x:c r="W1554" s="4"/>
      <x:c r="X1554" s="4"/>
      <x:c r="Y1554" s="4"/>
      <x:c r="Z1554" s="4"/>
    </x:row>
    <x:row r="1555" ht="23" customHeight="1">
      <x:c r="A1555" s="17" t="n">
        <x:f>ROW()-6</x:f>
        <x:v>1549</x:v>
      </x:c>
      <x:c r="B1555" s="4" t="n">
        <x:f>IF('계산 과정'!$L$5,'계산 과정'!$L$11*SQRT((A1555+0.5)/'계산 과정'!$L$30),"")</x:f>
        <x:v>130.47342805984482</x:v>
      </x:c>
      <x:c r="C1555" s="4" t="n">
        <x:f>A1555*PI()*(3-SQRT(5))</x:f>
        <x:v>3717.543042849683</x:v>
      </x:c>
      <x:c r="D1555" s="4" t="n">
        <x:f>IF('계산 과정'!$L$5,B1555*COS(C1555),"")</x:f>
        <x:v>-66.16824100071611</x:v>
      </x:c>
      <x:c r="E1555" s="4" t="n">
        <x:f>IF('계산 과정'!$L$5,B1555*SIN(C1555),"")</x:f>
        <x:v>-112.45034154042688</x:v>
      </x:c>
      <x:c r="F1555" s="4" t="n">
        <x:f>IF('계산 과정'!$L$7,'계산 과정'!$L$22+'계산 과정'!$C$49*D1555+'계산 과정'!$D$49*E1555,"")</x:f>
        <x:v>696.7880119107921</x:v>
      </x:c>
      <x:c r="G1555" s="4" t="n">
        <x:f>IF('계산 과정'!$L$7,IF(ABS(F1555)&gt;=1E-12*MAX(1,SQRT((D1555-'계산 과정'!$C$33)^2+(E1555-'계산 과정'!$D$33)^2+'계산 과정'!$E$33^2)),('계산 과정'!$L$23-'계산 과정'!$C$49*D1555-'계산 과정'!$D$49*E1555)/F1555,""),"")</x:f>
        <x:v>0.5069145594520198</x:v>
      </x:c>
      <x:c r="H1555" s="4" t="n">
        <x:f>IF(AND(ISNUMBER(G1555),G1555&gt;0),('계산 과정'!$D$56+'계산 과정'!$D$57*D1555+'계산 과정'!$D$58*E1555)/F1555,"")</x:f>
        <x:v>-70.50553635618726</x:v>
      </x:c>
      <x:c r="I1555" s="4" t="n">
        <x:f>IF(AND(ISNUMBER(G1555),G1555&gt;0),('계산 과정'!$E$56+'계산 과정'!$E$57*D1555+'계산 과정'!$E$58*E1555)/F1555,"")</x:f>
        <x:v>-169.45305688262152</x:v>
      </x:c>
      <x:c r="J1555" s="4" t="n">
        <x:f>IF('계산 과정'!$L$5,'계산 과정'!$D$6+'계산 과정'!$C$35*D1555+'계산 과정'!$D$35*E1555,"")</x:f>
        <x:v>696.7880119107921</x:v>
      </x:c>
      <x:c r="K1555" s="4" t="n">
        <x:f>IF(AND('계산 과정'!$L$6,J1555&gt;0),'계산 과정'!$D$10*('계산 과정'!$C$38*(D1555-'계산 과정'!$C$32)+'계산 과정'!$D$38*(E1555-'계산 과정'!$D$32)-'계산 과정'!$E$38*'계산 과정'!$E$32)/J1555,"")</x:f>
        <x:v>-0.5371850389042827</x:v>
      </x:c>
      <x:c r="L1555" s="4" t="n">
        <x:f>IF(AND('계산 과정'!$L$6,J1555&gt;0),'계산 과정'!$D$10*('계산 과정'!$C$39*(D1555-'계산 과정'!$C$32)+'계산 과정'!$D$39*(E1555-'계산 과정'!$D$32)-'계산 과정'!$E$39*'계산 과정'!$E$32)/J1555,"")</x:f>
        <x:v>-1.2910709095818784</x:v>
      </x:c>
      <x:c r="M1555" s="17" t="n">
        <x:f>IF('계산 과정'!$L$6,IF(J1555&lt;=0,0,IF(AND(ABS(K1555)&lt;='계산 과정'!$D$11/2,ABS(L1555)&lt;='계산 과정'!$D$12/2),1,0)),"")</x:f>
        <x:v>1</x:v>
      </x:c>
      <x:c r="N1555" s="17" t="n">
        <x:f>IF('계산 과정'!$C$78,IF(AND(ISNUMBER(H1555),ISNUMBER(I1555),ABS(H1555-'계산 과정'!$C$88)&lt;='계산 과정'!$D$23/2,ABS(I1555-'계산 과정'!$C$89)&lt;='계산 과정'!$D$24/2),1,0),"")</x:f>
        <x:v>1</x:v>
      </x:c>
      <x:c r="O1555" s="4" t="n">
        <x:f>IF('계산 과정'!$L$7,'계산 과정'!$C$49*('계산 과정'!$C$32-D1555)+'계산 과정'!$D$49*('계산 과정'!$D$32-E1555)+'계산 과정'!$E$49*'계산 과정'!$E$32,"")</x:f>
        <x:v>-46.788011910791965</x:v>
      </x:c>
      <x:c r="P1555" s="4" t="n">
        <x:f>IF(AND('계산 과정'!$L$7,O1555&lt;&gt;0),('계산 과정'!$L$23-'계산 과정'!$C$49*D1555-'계산 과정'!$D$49*E1555)/O1555,"")</x:f>
        <x:v>-7.549198473375126</x:v>
      </x:c>
      <x:c r="Q1555" s="4" t="str">
        <x:f>IF(AND(ISNUMBER(P1555),P1555&gt;1E-9,P1555&lt;1-1E-9),'계산 과정'!$C$47*(D1555-'계산 과정'!$C$50+P1555*('계산 과정'!$C$32-D1555))+'계산 과정'!$D$47*(E1555-'계산 과정'!$D$50+P1555*('계산 과정'!$D$32-E1555))+'계산 과정'!$E$47*(0-'계산 과정'!$E$50+P1555*('계산 과정'!$E$32-0)),"")</x:f>
      </x:c>
      <x:c r="R1555" s="4" t="str">
        <x:f>IF(AND(ISNUMBER(P1555),P1555&gt;1E-9,P1555&lt;1-1E-9),'계산 과정'!$C$48*(D1555-'계산 과정'!$C$50+P1555*('계산 과정'!$C$32-D1555))+'계산 과정'!$D$48*(E1555-'계산 과정'!$D$50+P1555*('계산 과정'!$D$32-E1555))+'계산 과정'!$E$48*(0-'계산 과정'!$E$50+P1555*('계산 과정'!$E$32-0)),"")</x:f>
      </x:c>
      <x:c r="S1555" s="17" t="n">
        <x:f>IF('계산 과정'!$C$78,IF(AND(ISNUMBER(Q1555),ISNUMBER(R1555),ABS(Q1555-'계산 과정'!$C$88)&lt;='계산 과정'!$D$23/2,ABS(R1555-'계산 과정'!$C$89)&lt;='계산 과정'!$D$24/2),1,0),"")</x:f>
        <x:v>0</x:v>
      </x:c>
      <x:c r="T1555" s="4"/>
      <x:c r="U1555" s="4"/>
      <x:c r="V1555" s="4"/>
      <x:c r="W1555" s="4"/>
      <x:c r="X1555" s="4"/>
      <x:c r="Y1555" s="4"/>
      <x:c r="Z1555" s="4"/>
    </x:row>
    <x:row r="1556" ht="23" customHeight="1">
      <x:c r="A1556" s="17" t="n">
        <x:f>ROW()-6</x:f>
        <x:v>1550</x:v>
      </x:c>
      <x:c r="B1556" s="4" t="n">
        <x:f>IF('계산 과정'!$L$5,'계산 과정'!$L$11*SQRT((A1556+0.5)/'계산 과정'!$L$30),"")</x:f>
        <x:v>130.5155230530549</x:v>
      </x:c>
      <x:c r="C1556" s="4" t="n">
        <x:f>A1556*PI()*(3-SQRT(5))</x:f>
        <x:v>3719.943006079412</x:v>
      </x:c>
      <x:c r="D1556" s="4" t="n">
        <x:f>IF('계산 과정'!$L$5,B1556*COS(C1556),"")</x:f>
        <x:v>124.7897642000837</x:v>
      </x:c>
      <x:c r="E1556" s="4" t="n">
        <x:f>IF('계산 과정'!$L$5,B1556*SIN(C1556),"")</x:f>
        <x:v>38.233709062815386</x:v>
      </x:c>
      <x:c r="F1556" s="4" t="n">
        <x:f>IF('계산 과정'!$L$7,'계산 과정'!$L$22+'계산 과정'!$C$49*D1556+'계산 과정'!$D$49*E1556,"")</x:f>
        <x:v>561.7603115114506</x:v>
      </x:c>
      <x:c r="G1556" s="4" t="n">
        <x:f>IF('계산 과정'!$L$7,IF(ABS(F1556)&gt;=1E-12*MAX(1,SQRT((D1556-'계산 과정'!$C$33)^2+(E1556-'계산 과정'!$D$33)^2+'계산 과정'!$E$33^2)),('계산 과정'!$L$23-'계산 과정'!$C$49*D1556-'계산 과정'!$D$49*E1556)/F1556,""),"")</x:f>
        <x:v>0.8691245687594243</x:v>
      </x:c>
      <x:c r="H1556" s="4" t="n">
        <x:f>IF(AND(ISNUMBER(G1556),G1556&gt;0),('계산 과정'!$D$56+'계산 과정'!$D$57*D1556+'계산 과정'!$D$58*E1556)/F1556,"")</x:f>
        <x:v>164.93096969362583</x:v>
      </x:c>
      <x:c r="I1556" s="4" t="n">
        <x:f>IF(AND(ISNUMBER(G1556),G1556&gt;0),('계산 과정'!$E$56+'계산 과정'!$E$57*D1556+'계산 과정'!$E$58*E1556)/F1556,"")</x:f>
        <x:v>71.4635649641081</x:v>
      </x:c>
      <x:c r="J1556" s="4" t="n">
        <x:f>IF('계산 과정'!$L$5,'계산 과정'!$D$6+'계산 과정'!$C$35*D1556+'계산 과정'!$D$35*E1556,"")</x:f>
        <x:v>561.7603115114506</x:v>
      </x:c>
      <x:c r="K1556" s="4" t="n">
        <x:f>IF(AND('계산 과정'!$L$6,J1556&gt;0),'계산 과정'!$D$10*('계산 과정'!$C$38*(D1556-'계산 과정'!$C$32)+'계산 과정'!$D$38*(E1556-'계산 과정'!$D$32)-'계산 과정'!$E$38*'계산 과정'!$E$32)/J1556,"")</x:f>
        <x:v>1.2566169119514359</x:v>
      </x:c>
      <x:c r="L1556" s="4" t="n">
        <x:f>IF(AND('계산 과정'!$L$6,J1556&gt;0),'계산 과정'!$D$10*('계산 과정'!$C$39*(D1556-'계산 과정'!$C$32)+'계산 과정'!$D$39*(E1556-'계산 과정'!$D$32)-'계산 과정'!$E$39*'계산 과정'!$E$32)/J1556,"")</x:f>
        <x:v>0.5444843044884426</x:v>
      </x:c>
      <x:c r="M1556" s="17" t="n">
        <x:f>IF('계산 과정'!$L$6,IF(J1556&lt;=0,0,IF(AND(ABS(K1556)&lt;='계산 과정'!$D$11/2,ABS(L1556)&lt;='계산 과정'!$D$12/2),1,0)),"")</x:f>
        <x:v>1</x:v>
      </x:c>
      <x:c r="N1556" s="17" t="n">
        <x:f>IF('계산 과정'!$C$78,IF(AND(ISNUMBER(H1556),ISNUMBER(I1556),ABS(H1556-'계산 과정'!$C$88)&lt;='계산 과정'!$D$23/2,ABS(I1556-'계산 과정'!$C$89)&lt;='계산 과정'!$D$24/2),1,0),"")</x:f>
        <x:v>1</x:v>
      </x:c>
      <x:c r="O1556" s="4" t="n">
        <x:f>IF('계산 과정'!$L$7,'계산 과정'!$C$49*('계산 과정'!$C$32-D1556)+'계산 과정'!$D$49*('계산 과정'!$D$32-E1556)+'계산 과정'!$E$49*'계산 과정'!$E$32,"")</x:f>
        <x:v>88.23968848854955</x:v>
      </x:c>
      <x:c r="P1556" s="4" t="n">
        <x:f>IF(AND('계산 과정'!$L$7,O1556&lt;&gt;0),('계산 과정'!$L$23-'계산 과정'!$C$49*D1556-'계산 과정'!$D$49*E1556)/O1556,"")</x:f>
        <x:v>5.533107571565215</x:v>
      </x:c>
      <x:c r="Q1556" s="4" t="str">
        <x:f>IF(AND(ISNUMBER(P1556),P1556&gt;1E-9,P1556&lt;1-1E-9),'계산 과정'!$C$47*(D1556-'계산 과정'!$C$50+P1556*('계산 과정'!$C$32-D1556))+'계산 과정'!$D$47*(E1556-'계산 과정'!$D$50+P1556*('계산 과정'!$D$32-E1556))+'계산 과정'!$E$47*(0-'계산 과정'!$E$50+P1556*('계산 과정'!$E$32-0)),"")</x:f>
      </x:c>
      <x:c r="R1556" s="4" t="str">
        <x:f>IF(AND(ISNUMBER(P1556),P1556&gt;1E-9,P1556&lt;1-1E-9),'계산 과정'!$C$48*(D1556-'계산 과정'!$C$50+P1556*('계산 과정'!$C$32-D1556))+'계산 과정'!$D$48*(E1556-'계산 과정'!$D$50+P1556*('계산 과정'!$D$32-E1556))+'계산 과정'!$E$48*(0-'계산 과정'!$E$50+P1556*('계산 과정'!$E$32-0)),"")</x:f>
      </x:c>
      <x:c r="S1556" s="17" t="n">
        <x:f>IF('계산 과정'!$C$78,IF(AND(ISNUMBER(Q1556),ISNUMBER(R1556),ABS(Q1556-'계산 과정'!$C$88)&lt;='계산 과정'!$D$23/2,ABS(R1556-'계산 과정'!$C$89)&lt;='계산 과정'!$D$24/2),1,0),"")</x:f>
        <x:v>0</x:v>
      </x:c>
      <x:c r="T1556" s="4"/>
      <x:c r="U1556" s="4"/>
      <x:c r="V1556" s="4"/>
      <x:c r="W1556" s="4"/>
      <x:c r="X1556" s="4"/>
      <x:c r="Y1556" s="4"/>
      <x:c r="Z1556" s="4"/>
    </x:row>
    <x:row r="1557" ht="23" customHeight="1">
      <x:c r="A1557" s="17" t="n">
        <x:f>ROW()-6</x:f>
        <x:v>1551</x:v>
      </x:c>
      <x:c r="B1557" s="4" t="n">
        <x:f>IF('계산 과정'!$L$5,'계산 과정'!$L$11*SQRT((A1557+0.5)/'계산 과정'!$L$30),"")</x:f>
        <x:v>130.55760447380115</x:v>
      </x:c>
      <x:c r="C1557" s="4" t="n">
        <x:f>A1557*PI()*(3-SQRT(5))</x:f>
        <x:v>3722.342969309141</x:v>
      </x:c>
      <x:c r="D1557" s="4" t="n">
        <x:f>IF('계산 과정'!$L$5,B1557*COS(C1557),"")</x:f>
        <x:v>-117.88058316359214</x:v>
      </x:c>
      <x:c r="E1557" s="4" t="n">
        <x:f>IF('계산 과정'!$L$5,B1557*SIN(C1557),"")</x:f>
        <x:v>56.12001602769674</x:v>
      </x:c>
      <x:c r="F1557" s="4" t="n">
        <x:f>IF('계산 과정'!$L$7,'계산 과정'!$L$22+'계산 과정'!$C$49*D1557+'계산 과정'!$D$49*E1557,"")</x:f>
        <x:v>733.3541597252008</x:v>
      </x:c>
      <x:c r="G1557" s="4" t="n">
        <x:f>IF('계산 과정'!$L$7,IF(ABS(F1557)&gt;=1E-12*MAX(1,SQRT((D1557-'계산 과정'!$C$33)^2+(E1557-'계산 과정'!$D$33)^2+'계산 과정'!$E$33^2)),('계산 과정'!$L$23-'계산 과정'!$C$49*D1557-'계산 과정'!$D$49*E1557)/F1557,""),"")</x:f>
        <x:v>0.431777519873142</x:v>
      </x:c>
      <x:c r="H1557" s="4" t="n">
        <x:f>IF(AND(ISNUMBER(G1557),G1557&gt;0),('계산 과정'!$D$56+'계산 과정'!$D$57*D1557+'계산 과정'!$D$58*E1557)/F1557,"")</x:f>
        <x:v>-119.34461208245781</x:v>
      </x:c>
      <x:c r="I1557" s="4" t="n">
        <x:f>IF(AND(ISNUMBER(G1557),G1557&gt;0),('계산 과정'!$E$56+'계산 과정'!$E$57*D1557+'계산 과정'!$E$58*E1557)/F1557,"")</x:f>
        <x:v>80.35137736337661</x:v>
      </x:c>
      <x:c r="J1557" s="4" t="n">
        <x:f>IF('계산 과정'!$L$5,'계산 과정'!$D$6+'계산 과정'!$C$35*D1557+'계산 과정'!$D$35*E1557,"")</x:f>
        <x:v>733.3541597252008</x:v>
      </x:c>
      <x:c r="K1557" s="4" t="n">
        <x:f>IF(AND('계산 과정'!$L$6,J1557&gt;0),'계산 과정'!$D$10*('계산 과정'!$C$38*(D1557-'계산 과정'!$C$32)+'계산 과정'!$D$38*(E1557-'계산 과정'!$D$32)-'계산 과정'!$E$38*'계산 과정'!$E$32)/J1557,"")</x:f>
        <x:v>-0.9092922825330115</x:v>
      </x:c>
      <x:c r="L1557" s="4" t="n">
        <x:f>IF(AND('계산 과정'!$L$6,J1557&gt;0),'계산 과정'!$D$10*('계산 과정'!$C$39*(D1557-'계산 과정'!$C$32)+'계산 과정'!$D$39*(E1557-'계산 과정'!$D$32)-'계산 과정'!$E$39*'계산 과정'!$E$32)/J1557,"")</x:f>
        <x:v>0.6122009703876313</x:v>
      </x:c>
      <x:c r="M1557" s="17" t="n">
        <x:f>IF('계산 과정'!$L$6,IF(J1557&lt;=0,0,IF(AND(ABS(K1557)&lt;='계산 과정'!$D$11/2,ABS(L1557)&lt;='계산 과정'!$D$12/2),1,0)),"")</x:f>
        <x:v>1</x:v>
      </x:c>
      <x:c r="N1557" s="17" t="n">
        <x:f>IF('계산 과정'!$C$78,IF(AND(ISNUMBER(H1557),ISNUMBER(I1557),ABS(H1557-'계산 과정'!$C$88)&lt;='계산 과정'!$D$23/2,ABS(I1557-'계산 과정'!$C$89)&lt;='계산 과정'!$D$24/2),1,0),"")</x:f>
        <x:v>1</x:v>
      </x:c>
      <x:c r="O1557" s="4" t="n">
        <x:f>IF('계산 과정'!$L$7,'계산 과정'!$C$49*('계산 과정'!$C$32-D1557)+'계산 과정'!$D$49*('계산 과정'!$D$32-E1557)+'계산 과정'!$E$49*'계산 과정'!$E$32,"")</x:f>
        <x:v>-83.35415972520065</x:v>
      </x:c>
      <x:c r="P1557" s="4" t="n">
        <x:f>IF(AND('계산 과정'!$L$7,O1557&lt;&gt;0),('계산 과정'!$L$23-'계산 과정'!$C$49*D1557-'계산 과정'!$D$49*E1557)/O1557,"")</x:f>
        <x:v>-3.798800699553654</x:v>
      </x:c>
      <x:c r="Q1557" s="4" t="str">
        <x:f>IF(AND(ISNUMBER(P1557),P1557&gt;1E-9,P1557&lt;1-1E-9),'계산 과정'!$C$47*(D1557-'계산 과정'!$C$50+P1557*('계산 과정'!$C$32-D1557))+'계산 과정'!$D$47*(E1557-'계산 과정'!$D$50+P1557*('계산 과정'!$D$32-E1557))+'계산 과정'!$E$47*(0-'계산 과정'!$E$50+P1557*('계산 과정'!$E$32-0)),"")</x:f>
      </x:c>
      <x:c r="R1557" s="4" t="str">
        <x:f>IF(AND(ISNUMBER(P1557),P1557&gt;1E-9,P1557&lt;1-1E-9),'계산 과정'!$C$48*(D1557-'계산 과정'!$C$50+P1557*('계산 과정'!$C$32-D1557))+'계산 과정'!$D$48*(E1557-'계산 과정'!$D$50+P1557*('계산 과정'!$D$32-E1557))+'계산 과정'!$E$48*(0-'계산 과정'!$E$50+P1557*('계산 과정'!$E$32-0)),"")</x:f>
      </x:c>
      <x:c r="S1557" s="17" t="n">
        <x:f>IF('계산 과정'!$C$78,IF(AND(ISNUMBER(Q1557),ISNUMBER(R1557),ABS(Q1557-'계산 과정'!$C$88)&lt;='계산 과정'!$D$23/2,ABS(R1557-'계산 과정'!$C$89)&lt;='계산 과정'!$D$24/2),1,0),"")</x:f>
        <x:v>0</x:v>
      </x:c>
      <x:c r="T1557" s="4"/>
      <x:c r="U1557" s="4"/>
      <x:c r="V1557" s="4"/>
      <x:c r="W1557" s="4"/>
      <x:c r="X1557" s="4"/>
      <x:c r="Y1557" s="4"/>
      <x:c r="Z1557" s="4"/>
    </x:row>
    <x:row r="1558" ht="23" customHeight="1">
      <x:c r="A1558" s="17" t="n">
        <x:f>ROW()-6</x:f>
        <x:v>1552</x:v>
      </x:c>
      <x:c r="B1558" s="4" t="n">
        <x:f>IF('계산 과정'!$L$5,'계산 과정'!$L$11*SQRT((A1558+0.5)/'계산 과정'!$L$30),"")</x:f>
        <x:v>130.59967233520342</x:v>
      </x:c>
      <x:c r="C1558" s="4" t="n">
        <x:f>A1558*PI()*(3-SQRT(5))</x:f>
        <x:v>3724.7429325388694</x:v>
      </x:c>
      <x:c r="D1558" s="4" t="n">
        <x:f>IF('계산 과정'!$L$5,B1558*COS(C1558),"")</x:f>
        <x:v>49.028740011956444</x:v>
      </x:c>
      <x:c r="E1558" s="4" t="n">
        <x:f>IF('계산 과정'!$L$5,B1558*SIN(C1558),"")</x:f>
        <x:v>-121.04733399337005</x:v>
      </x:c>
      <x:c r="F1558" s="4" t="n">
        <x:f>IF('계산 과정'!$L$7,'계산 과정'!$L$22+'계산 과정'!$C$49*D1558+'계산 과정'!$D$49*E1558,"")</x:f>
        <x:v>615.3314454645134</x:v>
      </x:c>
      <x:c r="G1558" s="4" t="n">
        <x:f>IF('계산 과정'!$L$7,IF(ABS(F1558)&gt;=1E-12*MAX(1,SQRT((D1558-'계산 과정'!$C$33)^2+(E1558-'계산 과정'!$D$33)^2+'계산 과정'!$E$33^2)),('계산 과정'!$L$23-'계산 과정'!$C$49*D1558-'계산 과정'!$D$49*E1558)/F1558,""),"")</x:f>
        <x:v>0.7063974346498016</x:v>
      </x:c>
      <x:c r="H1558" s="4" t="n">
        <x:f>IF(AND(ISNUMBER(G1558),G1558&gt;0),('계산 과정'!$D$56+'계산 과정'!$D$57*D1558+'계산 과정'!$D$58*E1558)/F1558,"")</x:f>
        <x:v>59.15833252237099</x:v>
      </x:c>
      <x:c r="I1558" s="4" t="n">
        <x:f>IF(AND(ISNUMBER(G1558),G1558&gt;0),('계산 과정'!$E$56+'계산 과정'!$E$57*D1558+'계산 과정'!$E$58*E1558)/F1558,"")</x:f>
        <x:v>-206.55486019748437</x:v>
      </x:c>
      <x:c r="J1558" s="4" t="n">
        <x:f>IF('계산 과정'!$L$5,'계산 과정'!$D$6+'계산 과정'!$C$35*D1558+'계산 과정'!$D$35*E1558,"")</x:f>
        <x:v>615.3314454645134</x:v>
      </x:c>
      <x:c r="K1558" s="4" t="n">
        <x:f>IF(AND('계산 과정'!$L$6,J1558&gt;0),'계산 과정'!$D$10*('계산 과정'!$C$38*(D1558-'계산 과정'!$C$32)+'계산 과정'!$D$38*(E1558-'계산 과정'!$D$32)-'계산 과정'!$E$38*'계산 과정'!$E$32)/J1558,"")</x:f>
        <x:v>0.4507301525513984</x:v>
      </x:c>
      <x:c r="L1558" s="4" t="n">
        <x:f>IF(AND('계산 과정'!$L$6,J1558&gt;0),'계산 과정'!$D$10*('계산 과정'!$C$39*(D1558-'계산 과정'!$C$32)+'계산 과정'!$D$39*(E1558-'계산 과정'!$D$32)-'계산 과정'!$E$39*'계산 과정'!$E$32)/J1558,"")</x:f>
        <x:v>-1.573751315790357</x:v>
      </x:c>
      <x:c r="M1558" s="17" t="n">
        <x:f>IF('계산 과정'!$L$6,IF(J1558&lt;=0,0,IF(AND(ABS(K1558)&lt;='계산 과정'!$D$11/2,ABS(L1558)&lt;='계산 과정'!$D$12/2),1,0)),"")</x:f>
        <x:v>1</x:v>
      </x:c>
      <x:c r="N1558" s="17" t="n">
        <x:f>IF('계산 과정'!$C$78,IF(AND(ISNUMBER(H1558),ISNUMBER(I1558),ABS(H1558-'계산 과정'!$C$88)&lt;='계산 과정'!$D$23/2,ABS(I1558-'계산 과정'!$C$89)&lt;='계산 과정'!$D$24/2),1,0),"")</x:f>
        <x:v>1</x:v>
      </x:c>
      <x:c r="O1558" s="4" t="n">
        <x:f>IF('계산 과정'!$L$7,'계산 과정'!$C$49*('계산 과정'!$C$32-D1558)+'계산 과정'!$D$49*('계산 과정'!$D$32-E1558)+'계산 과정'!$E$49*'계산 과정'!$E$32,"")</x:f>
        <x:v>34.66855453548669</x:v>
      </x:c>
      <x:c r="P1558" s="4" t="n">
        <x:f>IF(AND('계산 과정'!$L$7,O1558&lt;&gt;0),('계산 과정'!$L$23-'계산 과정'!$C$49*D1558-'계산 과정'!$D$49*E1558)/O1558,"")</x:f>
        <x:v>12.537833213973785</x:v>
      </x:c>
      <x:c r="Q1558" s="4" t="str">
        <x:f>IF(AND(ISNUMBER(P1558),P1558&gt;1E-9,P1558&lt;1-1E-9),'계산 과정'!$C$47*(D1558-'계산 과정'!$C$50+P1558*('계산 과정'!$C$32-D1558))+'계산 과정'!$D$47*(E1558-'계산 과정'!$D$50+P1558*('계산 과정'!$D$32-E1558))+'계산 과정'!$E$47*(0-'계산 과정'!$E$50+P1558*('계산 과정'!$E$32-0)),"")</x:f>
      </x:c>
      <x:c r="R1558" s="4" t="str">
        <x:f>IF(AND(ISNUMBER(P1558),P1558&gt;1E-9,P1558&lt;1-1E-9),'계산 과정'!$C$48*(D1558-'계산 과정'!$C$50+P1558*('계산 과정'!$C$32-D1558))+'계산 과정'!$D$48*(E1558-'계산 과정'!$D$50+P1558*('계산 과정'!$D$32-E1558))+'계산 과정'!$E$48*(0-'계산 과정'!$E$50+P1558*('계산 과정'!$E$32-0)),"")</x:f>
      </x:c>
      <x:c r="S1558" s="17" t="n">
        <x:f>IF('계산 과정'!$C$78,IF(AND(ISNUMBER(Q1558),ISNUMBER(R1558),ABS(Q1558-'계산 과정'!$C$88)&lt;='계산 과정'!$D$23/2,ABS(R1558-'계산 과정'!$C$89)&lt;='계산 과정'!$D$24/2),1,0),"")</x:f>
        <x:v>0</x:v>
      </x:c>
      <x:c r="T1558" s="4"/>
      <x:c r="U1558" s="4"/>
      <x:c r="V1558" s="4"/>
      <x:c r="W1558" s="4"/>
      <x:c r="X1558" s="4"/>
      <x:c r="Y1558" s="4"/>
      <x:c r="Z1558" s="4"/>
    </x:row>
    <x:row r="1559" ht="23" customHeight="1">
      <x:c r="A1559" s="17" t="n">
        <x:f>ROW()-6</x:f>
        <x:v>1553</x:v>
      </x:c>
      <x:c r="B1559" s="4" t="n">
        <x:f>IF('계산 과정'!$L$5,'계산 과정'!$L$11*SQRT((A1559+0.5)/'계산 과정'!$L$30),"")</x:f>
        <x:v>130.64172665036045</x:v>
      </x:c>
      <x:c r="C1559" s="4" t="n">
        <x:f>A1559*PI()*(3-SQRT(5))</x:f>
        <x:v>3727.142895768598</x:v>
      </x:c>
      <x:c r="D1559" s="4" t="n">
        <x:f>IF('계산 과정'!$L$5,B1559*COS(C1559),"")</x:f>
        <x:v>45.62872038726326</x:v>
      </x:c>
      <x:c r="E1559" s="4" t="n">
        <x:f>IF('계산 과정'!$L$5,B1559*SIN(C1559),"")</x:f>
        <x:v>122.41438076471428</x:v>
      </x:c>
      <x:c r="F1559" s="4" t="n">
        <x:f>IF('계산 과정'!$L$7,'계산 과정'!$L$22+'계산 과정'!$C$49*D1559+'계산 과정'!$D$49*E1559,"")</x:f>
        <x:v>617.7356223973013</x:v>
      </x:c>
      <x:c r="G1559" s="4" t="n">
        <x:f>IF('계산 과정'!$L$7,IF(ABS(F1559)&gt;=1E-12*MAX(1,SQRT((D1559-'계산 과정'!$C$33)^2+(E1559-'계산 과정'!$D$33)^2+'계산 과정'!$E$33^2)),('계산 과정'!$L$23-'계산 과정'!$C$49*D1559-'계산 과정'!$D$49*E1559)/F1559,""),"")</x:f>
        <x:v>0.6997562742539795</x:v>
      </x:c>
      <x:c r="H1559" s="4" t="n">
        <x:f>IF(AND(ISNUMBER(G1559),G1559&gt;0),('계산 과정'!$D$56+'계산 과정'!$D$57*D1559+'계산 과정'!$D$58*E1559)/F1559,"")</x:f>
        <x:v>54.84157826508662</x:v>
      </x:c>
      <x:c r="I1559" s="4" t="n">
        <x:f>IF(AND(ISNUMBER(G1559),G1559&gt;0),('계산 과정'!$E$56+'계산 과정'!$E$57*D1559+'계산 과정'!$E$58*E1559)/F1559,"")</x:f>
        <x:v>208.07461176373874</x:v>
      </x:c>
      <x:c r="J1559" s="4" t="n">
        <x:f>IF('계산 과정'!$L$5,'계산 과정'!$D$6+'계산 과정'!$C$35*D1559+'계산 과정'!$D$35*E1559,"")</x:f>
        <x:v>617.7356223973013</x:v>
      </x:c>
      <x:c r="K1559" s="4" t="n">
        <x:f>IF(AND('계산 과정'!$L$6,J1559&gt;0),'계산 과정'!$D$10*('계산 과정'!$C$38*(D1559-'계산 과정'!$C$32)+'계산 과정'!$D$38*(E1559-'계산 과정'!$D$32)-'계산 과정'!$E$38*'계산 과정'!$E$32)/J1559,"")</x:f>
        <x:v>0.4178405963054222</x:v>
      </x:c>
      <x:c r="L1559" s="4" t="n">
        <x:f>IF(AND('계산 과정'!$L$6,J1559&gt;0),'계산 과정'!$D$10*('계산 과정'!$C$39*(D1559-'계산 과정'!$C$32)+'계산 과정'!$D$39*(E1559-'계산 과정'!$D$32)-'계산 과정'!$E$39*'계산 과정'!$E$32)/J1559,"")</x:f>
        <x:v>1.5853303753427714</x:v>
      </x:c>
      <x:c r="M1559" s="17" t="n">
        <x:f>IF('계산 과정'!$L$6,IF(J1559&lt;=0,0,IF(AND(ABS(K1559)&lt;='계산 과정'!$D$11/2,ABS(L1559)&lt;='계산 과정'!$D$12/2),1,0)),"")</x:f>
        <x:v>1</x:v>
      </x:c>
      <x:c r="N1559" s="17" t="n">
        <x:f>IF('계산 과정'!$C$78,IF(AND(ISNUMBER(H1559),ISNUMBER(I1559),ABS(H1559-'계산 과정'!$C$88)&lt;='계산 과정'!$D$23/2,ABS(I1559-'계산 과정'!$C$89)&lt;='계산 과정'!$D$24/2),1,0),"")</x:f>
        <x:v>1</x:v>
      </x:c>
      <x:c r="O1559" s="4" t="n">
        <x:f>IF('계산 과정'!$L$7,'계산 과정'!$C$49*('계산 과정'!$C$32-D1559)+'계산 과정'!$D$49*('계산 과정'!$D$32-E1559)+'계산 과정'!$E$49*'계산 과정'!$E$32,"")</x:f>
        <x:v>32.2643776026988</x:v>
      </x:c>
      <x:c r="P1559" s="4" t="n">
        <x:f>IF(AND('계산 과정'!$L$7,O1559&lt;&gt;0),('계산 과정'!$L$23-'계산 과정'!$C$49*D1559-'계산 과정'!$D$49*E1559)/O1559,"")</x:f>
        <x:v>13.39757372435851</x:v>
      </x:c>
      <x:c r="Q1559" s="4" t="str">
        <x:f>IF(AND(ISNUMBER(P1559),P1559&gt;1E-9,P1559&lt;1-1E-9),'계산 과정'!$C$47*(D1559-'계산 과정'!$C$50+P1559*('계산 과정'!$C$32-D1559))+'계산 과정'!$D$47*(E1559-'계산 과정'!$D$50+P1559*('계산 과정'!$D$32-E1559))+'계산 과정'!$E$47*(0-'계산 과정'!$E$50+P1559*('계산 과정'!$E$32-0)),"")</x:f>
      </x:c>
      <x:c r="R1559" s="4" t="str">
        <x:f>IF(AND(ISNUMBER(P1559),P1559&gt;1E-9,P1559&lt;1-1E-9),'계산 과정'!$C$48*(D1559-'계산 과정'!$C$50+P1559*('계산 과정'!$C$32-D1559))+'계산 과정'!$D$48*(E1559-'계산 과정'!$D$50+P1559*('계산 과정'!$D$32-E1559))+'계산 과정'!$E$48*(0-'계산 과정'!$E$50+P1559*('계산 과정'!$E$32-0)),"")</x:f>
      </x:c>
      <x:c r="S1559" s="17" t="n">
        <x:f>IF('계산 과정'!$C$78,IF(AND(ISNUMBER(Q1559),ISNUMBER(R1559),ABS(Q1559-'계산 과정'!$C$88)&lt;='계산 과정'!$D$23/2,ABS(R1559-'계산 과정'!$C$89)&lt;='계산 과정'!$D$24/2),1,0),"")</x:f>
        <x:v>0</x:v>
      </x:c>
      <x:c r="T1559" s="4"/>
      <x:c r="U1559" s="4"/>
      <x:c r="V1559" s="4"/>
      <x:c r="W1559" s="4"/>
      <x:c r="X1559" s="4"/>
      <x:c r="Y1559" s="4"/>
      <x:c r="Z1559" s="4"/>
    </x:row>
    <x:row r="1560" ht="23" customHeight="1">
      <x:c r="A1560" s="17" t="n">
        <x:f>ROW()-6</x:f>
        <x:v>1554</x:v>
      </x:c>
      <x:c r="B1560" s="4" t="n">
        <x:f>IF('계산 과정'!$L$5,'계산 과정'!$L$11*SQRT((A1560+0.5)/'계산 과정'!$L$30),"")</x:f>
        <x:v>130.68376743234984</x:v>
      </x:c>
      <x:c r="C1560" s="4" t="n">
        <x:f>A1560*PI()*(3-SQRT(5))</x:f>
        <x:v>3729.542858998326</x:v>
      </x:c>
      <x:c r="D1560" s="4" t="n">
        <x:f>IF('계산 과정'!$L$5,B1560*COS(C1560),"")</x:f>
        <x:v>-116.37236126772635</x:v>
      </x:c>
      <x:c r="E1560" s="4" t="n">
        <x:f>IF('계산 과정'!$L$5,B1560*SIN(C1560),"")</x:f>
        <x:v>-59.461925660764535</x:v>
      </x:c>
      <x:c r="F1560" s="4" t="n">
        <x:f>IF('계산 과정'!$L$7,'계산 과정'!$L$22+'계산 과정'!$C$49*D1560+'계산 과정'!$D$49*E1560,"")</x:f>
        <x:v>732.2876857951001</x:v>
      </x:c>
      <x:c r="G1560" s="4" t="n">
        <x:f>IF('계산 과정'!$L$7,IF(ABS(F1560)&gt;=1E-12*MAX(1,SQRT((D1560-'계산 과정'!$C$33)^2+(E1560-'계산 과정'!$D$33)^2+'계산 과정'!$E$33^2)),('계산 과정'!$L$23-'계산 과정'!$C$49*D1560-'계산 과정'!$D$49*E1560)/F1560,""),"")</x:f>
        <x:v>0.4338627022792766</x:v>
      </x:c>
      <x:c r="H1560" s="4" t="n">
        <x:f>IF(AND(ISNUMBER(G1560),G1560&gt;0),('계산 과정'!$D$56+'계산 과정'!$D$57*D1560+'계산 과정'!$D$58*E1560)/F1560,"")</x:f>
        <x:v>-117.98924351847032</x:v>
      </x:c>
      <x:c r="I1560" s="4" t="n">
        <x:f>IF(AND(ISNUMBER(G1560),G1560&gt;0),('계산 과정'!$E$56+'계산 과정'!$E$57*D1560+'계산 과정'!$E$58*E1560)/F1560,"")</x:f>
        <x:v>-85.2602374106733</x:v>
      </x:c>
      <x:c r="J1560" s="4" t="n">
        <x:f>IF('계산 과정'!$L$5,'계산 과정'!$D$6+'계산 과정'!$C$35*D1560+'계산 과정'!$D$35*E1560,"")</x:f>
        <x:v>732.2876857951001</x:v>
      </x:c>
      <x:c r="K1560" s="4" t="n">
        <x:f>IF(AND('계산 과정'!$L$6,J1560&gt;0),'계산 과정'!$D$10*('계산 과정'!$C$38*(D1560-'계산 과정'!$C$32)+'계산 과정'!$D$38*(E1560-'계산 과정'!$D$32)-'계산 과정'!$E$38*'계산 과정'!$E$32)/J1560,"")</x:f>
        <x:v>-0.8989656649026296</x:v>
      </x:c>
      <x:c r="L1560" s="4" t="n">
        <x:f>IF(AND('계산 과정'!$L$6,J1560&gt;0),'계산 과정'!$D$10*('계산 과정'!$C$39*(D1560-'계산 과정'!$C$32)+'계산 과정'!$D$39*(E1560-'계산 과정'!$D$32)-'계산 과정'!$E$39*'계산 과정'!$E$32)/J1560,"")</x:f>
        <x:v>-0.6496018088432252</x:v>
      </x:c>
      <x:c r="M1560" s="17" t="n">
        <x:f>IF('계산 과정'!$L$6,IF(J1560&lt;=0,0,IF(AND(ABS(K1560)&lt;='계산 과정'!$D$11/2,ABS(L1560)&lt;='계산 과정'!$D$12/2),1,0)),"")</x:f>
        <x:v>1</x:v>
      </x:c>
      <x:c r="N1560" s="17" t="n">
        <x:f>IF('계산 과정'!$C$78,IF(AND(ISNUMBER(H1560),ISNUMBER(I1560),ABS(H1560-'계산 과정'!$C$88)&lt;='계산 과정'!$D$23/2,ABS(I1560-'계산 과정'!$C$89)&lt;='계산 과정'!$D$24/2),1,0),"")</x:f>
        <x:v>1</x:v>
      </x:c>
      <x:c r="O1560" s="4" t="n">
        <x:f>IF('계산 과정'!$L$7,'계산 과정'!$C$49*('계산 과정'!$C$32-D1560)+'계산 과정'!$D$49*('계산 과정'!$D$32-E1560)+'계산 과정'!$E$49*'계산 과정'!$E$32,"")</x:f>
        <x:v>-82.28768579509989</x:v>
      </x:c>
      <x:c r="P1560" s="4" t="n">
        <x:f>IF(AND('계산 과정'!$L$7,O1560&lt;&gt;0),('계산 과정'!$L$23-'계산 과정'!$C$49*D1560-'계산 과정'!$D$49*E1560)/O1560,"")</x:f>
        <x:v>-3.8609946450070085</x:v>
      </x:c>
      <x:c r="Q1560" s="4" t="str">
        <x:f>IF(AND(ISNUMBER(P1560),P1560&gt;1E-9,P1560&lt;1-1E-9),'계산 과정'!$C$47*(D1560-'계산 과정'!$C$50+P1560*('계산 과정'!$C$32-D1560))+'계산 과정'!$D$47*(E1560-'계산 과정'!$D$50+P1560*('계산 과정'!$D$32-E1560))+'계산 과정'!$E$47*(0-'계산 과정'!$E$50+P1560*('계산 과정'!$E$32-0)),"")</x:f>
      </x:c>
      <x:c r="R1560" s="4" t="str">
        <x:f>IF(AND(ISNUMBER(P1560),P1560&gt;1E-9,P1560&lt;1-1E-9),'계산 과정'!$C$48*(D1560-'계산 과정'!$C$50+P1560*('계산 과정'!$C$32-D1560))+'계산 과정'!$D$48*(E1560-'계산 과정'!$D$50+P1560*('계산 과정'!$D$32-E1560))+'계산 과정'!$E$48*(0-'계산 과정'!$E$50+P1560*('계산 과정'!$E$32-0)),"")</x:f>
      </x:c>
      <x:c r="S1560" s="17" t="n">
        <x:f>IF('계산 과정'!$C$78,IF(AND(ISNUMBER(Q1560),ISNUMBER(R1560),ABS(Q1560-'계산 과정'!$C$88)&lt;='계산 과정'!$D$23/2,ABS(R1560-'계산 과정'!$C$89)&lt;='계산 과정'!$D$24/2),1,0),"")</x:f>
        <x:v>0</x:v>
      </x:c>
      <x:c r="T1560" s="4"/>
      <x:c r="U1560" s="4"/>
      <x:c r="V1560" s="4"/>
      <x:c r="W1560" s="4"/>
      <x:c r="X1560" s="4"/>
      <x:c r="Y1560" s="4"/>
      <x:c r="Z1560" s="4"/>
    </x:row>
    <x:row r="1561" ht="23" customHeight="1">
      <x:c r="A1561" s="17" t="n">
        <x:f>ROW()-6</x:f>
        <x:v>1555</x:v>
      </x:c>
      <x:c r="B1561" s="4" t="n">
        <x:f>IF('계산 과정'!$L$5,'계산 과정'!$L$11*SQRT((A1561+0.5)/'계산 과정'!$L$30),"")</x:f>
        <x:v>130.7257946942282</x:v>
      </x:c>
      <x:c r="C1561" s="4" t="n">
        <x:f>A1561*PI()*(3-SQRT(5))</x:f>
        <x:v>3731.9428222280553</x:v>
      </x:c>
      <x:c r="D1561" s="4" t="n">
        <x:f>IF('계산 과정'!$L$5,B1561*COS(C1561),"")</x:f>
        <x:v>126.0158241745791</x:v>
      </x:c>
      <x:c r="E1561" s="4" t="n">
        <x:f>IF('계산 과정'!$L$5,B1561*SIN(C1561),"")</x:f>
        <x:v>-34.77420676362108</x:v>
      </x:c>
      <x:c r="F1561" s="4" t="n">
        <x:f>IF('계산 과정'!$L$7,'계산 과정'!$L$22+'계산 과정'!$C$49*D1561+'계산 과정'!$D$49*E1561,"")</x:f>
        <x:v>560.8933561893434</x:v>
      </x:c>
      <x:c r="G1561" s="4" t="n">
        <x:f>IF('계산 과정'!$L$7,IF(ABS(F1561)&gt;=1E-12*MAX(1,SQRT((D1561-'계산 과정'!$C$33)^2+(E1561-'계산 과정'!$D$33)^2+'계산 과정'!$E$33^2)),('계산 과정'!$L$23-'계산 과정'!$C$49*D1561-'계산 과정'!$D$49*E1561)/F1561,""),"")</x:f>
        <x:v>0.8720136161597651</x:v>
      </x:c>
      <x:c r="H1561" s="4" t="n">
        <x:f>IF(AND(ISNUMBER(G1561),G1561&gt;0),('계산 과정'!$D$56+'계산 과정'!$D$57*D1561+'계산 과정'!$D$58*E1561)/F1561,"")</x:f>
        <x:v>166.80885050384722</x:v>
      </x:c>
      <x:c r="I1561" s="4" t="n">
        <x:f>IF(AND(ISNUMBER(G1561),G1561&gt;0),('계산 과정'!$E$56+'계산 과정'!$E$57*D1561+'계산 과정'!$E$58*E1561)/F1561,"")</x:f>
        <x:v>-65.09778855265367</x:v>
      </x:c>
      <x:c r="J1561" s="4" t="n">
        <x:f>IF('계산 과정'!$L$5,'계산 과정'!$D$6+'계산 과정'!$C$35*D1561+'계산 과정'!$D$35*E1561,"")</x:f>
        <x:v>560.8933561893434</x:v>
      </x:c>
      <x:c r="K1561" s="4" t="n">
        <x:f>IF(AND('계산 과정'!$L$6,J1561&gt;0),'계산 과정'!$D$10*('계산 과정'!$C$38*(D1561-'계산 과정'!$C$32)+'계산 과정'!$D$38*(E1561-'계산 과정'!$D$32)-'계산 과정'!$E$38*'계산 과정'!$E$32)/J1561,"")</x:f>
        <x:v>1.2709245752674085</x:v>
      </x:c>
      <x:c r="L1561" s="4" t="n">
        <x:f>IF(AND('계산 과정'!$L$6,J1561&gt;0),'계산 과정'!$D$10*('계산 과정'!$C$39*(D1561-'계산 과정'!$C$32)+'계산 과정'!$D$39*(E1561-'계산 과정'!$D$32)-'계산 과정'!$E$39*'계산 과정'!$E$32)/J1561,"")</x:f>
        <x:v>-0.4959831508773613</x:v>
      </x:c>
      <x:c r="M1561" s="17" t="n">
        <x:f>IF('계산 과정'!$L$6,IF(J1561&lt;=0,0,IF(AND(ABS(K1561)&lt;='계산 과정'!$D$11/2,ABS(L1561)&lt;='계산 과정'!$D$12/2),1,0)),"")</x:f>
        <x:v>1</x:v>
      </x:c>
      <x:c r="N1561" s="17" t="n">
        <x:f>IF('계산 과정'!$C$78,IF(AND(ISNUMBER(H1561),ISNUMBER(I1561),ABS(H1561-'계산 과정'!$C$88)&lt;='계산 과정'!$D$23/2,ABS(I1561-'계산 과정'!$C$89)&lt;='계산 과정'!$D$24/2),1,0),"")</x:f>
        <x:v>1</x:v>
      </x:c>
      <x:c r="O1561" s="4" t="n">
        <x:f>IF('계산 과정'!$L$7,'계산 과정'!$C$49*('계산 과정'!$C$32-D1561)+'계산 과정'!$D$49*('계산 과정'!$D$32-E1561)+'계산 과정'!$E$49*'계산 과정'!$E$32,"")</x:f>
        <x:v>89.10664381065666</x:v>
      </x:c>
      <x:c r="P1561" s="4" t="n">
        <x:f>IF(AND('계산 과정'!$L$7,O1561&lt;&gt;0),('계산 과정'!$L$23-'계산 과정'!$C$49*D1561-'계산 과정'!$D$49*E1561)/O1561,"")</x:f>
        <x:v>5.489003096671026</x:v>
      </x:c>
      <x:c r="Q1561" s="4" t="str">
        <x:f>IF(AND(ISNUMBER(P1561),P1561&gt;1E-9,P1561&lt;1-1E-9),'계산 과정'!$C$47*(D1561-'계산 과정'!$C$50+P1561*('계산 과정'!$C$32-D1561))+'계산 과정'!$D$47*(E1561-'계산 과정'!$D$50+P1561*('계산 과정'!$D$32-E1561))+'계산 과정'!$E$47*(0-'계산 과정'!$E$50+P1561*('계산 과정'!$E$32-0)),"")</x:f>
      </x:c>
      <x:c r="R1561" s="4" t="str">
        <x:f>IF(AND(ISNUMBER(P1561),P1561&gt;1E-9,P1561&lt;1-1E-9),'계산 과정'!$C$48*(D1561-'계산 과정'!$C$50+P1561*('계산 과정'!$C$32-D1561))+'계산 과정'!$D$48*(E1561-'계산 과정'!$D$50+P1561*('계산 과정'!$D$32-E1561))+'계산 과정'!$E$48*(0-'계산 과정'!$E$50+P1561*('계산 과정'!$E$32-0)),"")</x:f>
      </x:c>
      <x:c r="S1561" s="17" t="n">
        <x:f>IF('계산 과정'!$C$78,IF(AND(ISNUMBER(Q1561),ISNUMBER(R1561),ABS(Q1561-'계산 과정'!$C$88)&lt;='계산 과정'!$D$23/2,ABS(R1561-'계산 과정'!$C$89)&lt;='계산 과정'!$D$24/2),1,0),"")</x:f>
        <x:v>0</x:v>
      </x:c>
      <x:c r="T1561" s="4"/>
      <x:c r="U1561" s="4"/>
      <x:c r="V1561" s="4"/>
      <x:c r="W1561" s="4"/>
      <x:c r="X1561" s="4"/>
      <x:c r="Y1561" s="4"/>
      <x:c r="Z1561" s="4"/>
    </x:row>
    <x:row r="1562" ht="23" customHeight="1">
      <x:c r="A1562" s="17" t="n">
        <x:f>ROW()-6</x:f>
        <x:v>1556</x:v>
      </x:c>
      <x:c r="B1562" s="4" t="n">
        <x:f>IF('계산 과정'!$L$5,'계산 과정'!$L$11*SQRT((A1562+0.5)/'계산 과정'!$L$30),"")</x:f>
        <x:v>130.76780844903115</x:v>
      </x:c>
      <x:c r="C1562" s="4" t="n">
        <x:f>A1562*PI()*(3-SQRT(5))</x:f>
        <x:v>3734.342785457784</x:v>
      </x:c>
      <x:c r="D1562" s="4" t="n">
        <x:f>IF('계산 과정'!$L$5,B1562*COS(C1562),"")</x:f>
        <x:v>-69.45282189247506</x:v>
      </x:c>
      <x:c r="E1562" s="4" t="n">
        <x:f>IF('계산 과정'!$L$5,B1562*SIN(C1562),"")</x:f>
        <x:v>110.799482208784</x:v>
      </x:c>
      <x:c r="F1562" s="4" t="n">
        <x:f>IF('계산 과정'!$L$7,'계산 과정'!$L$22+'계산 과정'!$C$49*D1562+'계산 과정'!$D$49*E1562,"")</x:f>
        <x:v>699.1105613327106</x:v>
      </x:c>
      <x:c r="G1562" s="4" t="n">
        <x:f>IF('계산 과정'!$L$7,IF(ABS(F1562)&gt;=1E-12*MAX(1,SQRT((D1562-'계산 과정'!$C$33)^2+(E1562-'계산 과정'!$D$33)^2+'계산 과정'!$E$33^2)),('계산 과정'!$L$23-'계산 과정'!$C$49*D1562-'계산 과정'!$D$49*E1562)/F1562,""),"")</x:f>
        <x:v>0.5019083648205668</x:v>
      </x:c>
      <x:c r="H1562" s="4" t="n">
        <x:f>IF(AND(ISNUMBER(G1562),G1562&gt;0),('계산 과정'!$D$56+'계산 과정'!$D$57*D1562+'계산 과정'!$D$58*E1562)/F1562,"")</x:f>
        <x:v>-73.75956286663168</x:v>
      </x:c>
      <x:c r="I1562" s="4" t="n">
        <x:f>IF(AND(ISNUMBER(G1562),G1562&gt;0),('계산 과정'!$E$56+'계산 과정'!$E$57*D1562+'계산 과정'!$E$58*E1562)/F1562,"")</x:f>
        <x:v>166.41066914716026</x:v>
      </x:c>
      <x:c r="J1562" s="4" t="n">
        <x:f>IF('계산 과정'!$L$5,'계산 과정'!$D$6+'계산 과정'!$C$35*D1562+'계산 과정'!$D$35*E1562,"")</x:f>
        <x:v>699.1105613327106</x:v>
      </x:c>
      <x:c r="K1562" s="4" t="n">
        <x:f>IF(AND('계산 과정'!$L$6,J1562&gt;0),'계산 과정'!$D$10*('계산 과정'!$C$38*(D1562-'계산 과정'!$C$32)+'계산 과정'!$D$38*(E1562-'계산 과정'!$D$32)-'계산 과정'!$E$38*'계산 과정'!$E$32)/J1562,"")</x:f>
        <x:v>-0.5619776218410025</x:v>
      </x:c>
      <x:c r="L1562" s="4" t="n">
        <x:f>IF(AND('계산 과정'!$L$6,J1562&gt;0),'계산 과정'!$D$10*('계산 과정'!$C$39*(D1562-'계산 과정'!$C$32)+'계산 과정'!$D$39*(E1562-'계산 과정'!$D$32)-'계산 과정'!$E$39*'계산 과정'!$E$32)/J1562,"")</x:f>
        <x:v>1.2678908125497925</x:v>
      </x:c>
      <x:c r="M1562" s="17" t="n">
        <x:f>IF('계산 과정'!$L$6,IF(J1562&lt;=0,0,IF(AND(ABS(K1562)&lt;='계산 과정'!$D$11/2,ABS(L1562)&lt;='계산 과정'!$D$12/2),1,0)),"")</x:f>
        <x:v>1</x:v>
      </x:c>
      <x:c r="N1562" s="17" t="n">
        <x:f>IF('계산 과정'!$C$78,IF(AND(ISNUMBER(H1562),ISNUMBER(I1562),ABS(H1562-'계산 과정'!$C$88)&lt;='계산 과정'!$D$23/2,ABS(I1562-'계산 과정'!$C$89)&lt;='계산 과정'!$D$24/2),1,0),"")</x:f>
        <x:v>1</x:v>
      </x:c>
      <x:c r="O1562" s="4" t="n">
        <x:f>IF('계산 과정'!$L$7,'계산 과정'!$C$49*('계산 과정'!$C$32-D1562)+'계산 과정'!$D$49*('계산 과정'!$D$32-E1562)+'계산 과정'!$E$49*'계산 과정'!$E$32,"")</x:f>
        <x:v>-49.11056133271052</x:v>
      </x:c>
      <x:c r="P1562" s="4" t="n">
        <x:f>IF(AND('계산 과정'!$L$7,O1562&lt;&gt;0),('계산 과정'!$L$23-'계산 과정'!$C$49*D1562-'계산 과정'!$D$49*E1562)/O1562,"")</x:f>
        <x:v>-7.1448875587088105</x:v>
      </x:c>
      <x:c r="Q1562" s="4" t="str">
        <x:f>IF(AND(ISNUMBER(P1562),P1562&gt;1E-9,P1562&lt;1-1E-9),'계산 과정'!$C$47*(D1562-'계산 과정'!$C$50+P1562*('계산 과정'!$C$32-D1562))+'계산 과정'!$D$47*(E1562-'계산 과정'!$D$50+P1562*('계산 과정'!$D$32-E1562))+'계산 과정'!$E$47*(0-'계산 과정'!$E$50+P1562*('계산 과정'!$E$32-0)),"")</x:f>
      </x:c>
      <x:c r="R1562" s="4" t="str">
        <x:f>IF(AND(ISNUMBER(P1562),P1562&gt;1E-9,P1562&lt;1-1E-9),'계산 과정'!$C$48*(D1562-'계산 과정'!$C$50+P1562*('계산 과정'!$C$32-D1562))+'계산 과정'!$D$48*(E1562-'계산 과정'!$D$50+P1562*('계산 과정'!$D$32-E1562))+'계산 과정'!$E$48*(0-'계산 과정'!$E$50+P1562*('계산 과정'!$E$32-0)),"")</x:f>
      </x:c>
      <x:c r="S1562" s="17" t="n">
        <x:f>IF('계산 과정'!$C$78,IF(AND(ISNUMBER(Q1562),ISNUMBER(R1562),ABS(Q1562-'계산 과정'!$C$88)&lt;='계산 과정'!$D$23/2,ABS(R1562-'계산 과정'!$C$89)&lt;='계산 과정'!$D$24/2),1,0),"")</x:f>
        <x:v>0</x:v>
      </x:c>
      <x:c r="T1562" s="4"/>
      <x:c r="U1562" s="4"/>
      <x:c r="V1562" s="4"/>
      <x:c r="W1562" s="4"/>
      <x:c r="X1562" s="4"/>
      <x:c r="Y1562" s="4"/>
      <x:c r="Z1562" s="4"/>
    </x:row>
    <x:row r="1563" ht="23" customHeight="1">
      <x:c r="A1563" s="17" t="n">
        <x:f>ROW()-6</x:f>
        <x:v>1557</x:v>
      </x:c>
      <x:c r="B1563" s="4" t="n">
        <x:f>IF('계산 과정'!$L$5,'계산 과정'!$L$11*SQRT((A1563+0.5)/'계산 과정'!$L$30),"")</x:f>
        <x:v>130.80980870977336</x:v>
      </x:c>
      <x:c r="C1563" s="4" t="n">
        <x:f>A1563*PI()*(3-SQRT(5))</x:f>
        <x:v>3736.742748687512</x:v>
      </x:c>
      <x:c r="D1563" s="4" t="n">
        <x:f>IF('계산 과정'!$L$5,B1563*COS(C1563),"")</x:f>
        <x:v>-23.639215534806453</x:v>
      </x:c>
      <x:c r="E1563" s="4" t="n">
        <x:f>IF('계산 과정'!$L$5,B1563*SIN(C1563),"")</x:f>
        <x:v>-128.65610573768532</x:v>
      </x:c>
      <x:c r="F1563" s="4" t="n">
        <x:f>IF('계산 과정'!$L$7,'계산 과정'!$L$22+'계산 과정'!$C$49*D1563+'계산 과정'!$D$49*E1563,"")</x:f>
        <x:v>666.7154496065921</x:v>
      </x:c>
      <x:c r="G1563" s="4" t="n">
        <x:f>IF('계산 과정'!$L$7,IF(ABS(F1563)&gt;=1E-12*MAX(1,SQRT((D1563-'계산 과정'!$C$33)^2+(E1563-'계산 과정'!$D$33)^2+'계산 과정'!$E$33^2)),('계산 과정'!$L$23-'계산 과정'!$C$49*D1563-'계산 과정'!$D$49*E1563)/F1563,""),"")</x:f>
        <x:v>0.5748847587371377</x:v>
      </x:c>
      <x:c r="H1563" s="4" t="n">
        <x:f>IF(AND(ISNUMBER(G1563),G1563&gt;0),('계산 과정'!$D$56+'계산 과정'!$D$57*D1563+'계산 과정'!$D$58*E1563)/F1563,"")</x:f>
        <x:v>-26.324906820860576</x:v>
      </x:c>
      <x:c r="I1563" s="4" t="n">
        <x:f>IF(AND(ISNUMBER(G1563),G1563&gt;0),('계산 과정'!$E$56+'계산 과정'!$E$57*D1563+'계산 과정'!$E$58*E1563)/F1563,"")</x:f>
        <x:v>-202.6185400447542</x:v>
      </x:c>
      <x:c r="J1563" s="4" t="n">
        <x:f>IF('계산 과정'!$L$5,'계산 과정'!$D$6+'계산 과정'!$C$35*D1563+'계산 과정'!$D$35*E1563,"")</x:f>
        <x:v>666.7154496065921</x:v>
      </x:c>
      <x:c r="K1563" s="4" t="n">
        <x:f>IF(AND('계산 과정'!$L$6,J1563&gt;0),'계산 과정'!$D$10*('계산 과정'!$C$38*(D1563-'계산 과정'!$C$32)+'계산 과정'!$D$38*(E1563-'계산 과정'!$D$32)-'계산 과정'!$E$38*'계산 과정'!$E$32)/J1563,"")</x:f>
        <x:v>-0.20057071863512724</x:v>
      </x:c>
      <x:c r="L1563" s="4" t="n">
        <x:f>IF(AND('계산 과정'!$L$6,J1563&gt;0),'계산 과정'!$D$10*('계산 과정'!$C$39*(D1563-'계산 과정'!$C$32)+'계산 과정'!$D$39*(E1563-'계산 과정'!$D$32)-'계산 과정'!$E$39*'계산 과정'!$E$32)/J1563,"")</x:f>
        <x:v>-1.5437603051028892</x:v>
      </x:c>
      <x:c r="M1563" s="17" t="n">
        <x:f>IF('계산 과정'!$L$6,IF(J1563&lt;=0,0,IF(AND(ABS(K1563)&lt;='계산 과정'!$D$11/2,ABS(L1563)&lt;='계산 과정'!$D$12/2),1,0)),"")</x:f>
        <x:v>1</x:v>
      </x:c>
      <x:c r="N1563" s="17" t="n">
        <x:f>IF('계산 과정'!$C$78,IF(AND(ISNUMBER(H1563),ISNUMBER(I1563),ABS(H1563-'계산 과정'!$C$88)&lt;='계산 과정'!$D$23/2,ABS(I1563-'계산 과정'!$C$89)&lt;='계산 과정'!$D$24/2),1,0),"")</x:f>
        <x:v>1</x:v>
      </x:c>
      <x:c r="O1563" s="4" t="n">
        <x:f>IF('계산 과정'!$L$7,'계산 과정'!$C$49*('계산 과정'!$C$32-D1563)+'계산 과정'!$D$49*('계산 과정'!$D$32-E1563)+'계산 과정'!$E$49*'계산 과정'!$E$32,"")</x:f>
        <x:v>-16.715449606591903</x:v>
      </x:c>
      <x:c r="P1563" s="4" t="n">
        <x:f>IF(AND('계산 과정'!$L$7,O1563&lt;&gt;0),('계산 과정'!$L$23-'계산 과정'!$C$49*D1563-'계산 과정'!$D$49*E1563)/O1563,"")</x:f>
        <x:v>-22.929957579020545</x:v>
      </x:c>
      <x:c r="Q1563" s="4" t="str">
        <x:f>IF(AND(ISNUMBER(P1563),P1563&gt;1E-9,P1563&lt;1-1E-9),'계산 과정'!$C$47*(D1563-'계산 과정'!$C$50+P1563*('계산 과정'!$C$32-D1563))+'계산 과정'!$D$47*(E1563-'계산 과정'!$D$50+P1563*('계산 과정'!$D$32-E1563))+'계산 과정'!$E$47*(0-'계산 과정'!$E$50+P1563*('계산 과정'!$E$32-0)),"")</x:f>
      </x:c>
      <x:c r="R1563" s="4" t="str">
        <x:f>IF(AND(ISNUMBER(P1563),P1563&gt;1E-9,P1563&lt;1-1E-9),'계산 과정'!$C$48*(D1563-'계산 과정'!$C$50+P1563*('계산 과정'!$C$32-D1563))+'계산 과정'!$D$48*(E1563-'계산 과정'!$D$50+P1563*('계산 과정'!$D$32-E1563))+'계산 과정'!$E$48*(0-'계산 과정'!$E$50+P1563*('계산 과정'!$E$32-0)),"")</x:f>
      </x:c>
      <x:c r="S1563" s="17" t="n">
        <x:f>IF('계산 과정'!$C$78,IF(AND(ISNUMBER(Q1563),ISNUMBER(R1563),ABS(Q1563-'계산 과정'!$C$88)&lt;='계산 과정'!$D$23/2,ABS(R1563-'계산 과정'!$C$89)&lt;='계산 과정'!$D$24/2),1,0),"")</x:f>
        <x:v>0</x:v>
      </x:c>
      <x:c r="T1563" s="4"/>
      <x:c r="U1563" s="4"/>
      <x:c r="V1563" s="4"/>
      <x:c r="W1563" s="4"/>
      <x:c r="X1563" s="4"/>
      <x:c r="Y1563" s="4"/>
      <x:c r="Z1563" s="4"/>
    </x:row>
    <x:row r="1564" ht="23" customHeight="1">
      <x:c r="A1564" s="17" t="n">
        <x:f>ROW()-6</x:f>
        <x:v>1558</x:v>
      </x:c>
      <x:c r="B1564" s="4" t="n">
        <x:f>IF('계산 과정'!$L$5,'계산 과정'!$L$11*SQRT((A1564+0.5)/'계산 과정'!$L$30),"")</x:f>
        <x:v>130.85179548944868</x:v>
      </x:c>
      <x:c r="C1564" s="4" t="n">
        <x:f>A1564*PI()*(3-SQRT(5))</x:f>
        <x:v>3739.1427119172413</x:v>
      </x:c>
      <x:c r="D1564" s="4" t="n">
        <x:f>IF('계산 과정'!$L$5,B1564*COS(C1564),"")</x:f>
        <x:v>104.37026213719805</x:v>
      </x:c>
      <x:c r="E1564" s="4" t="n">
        <x:f>IF('계산 과정'!$L$5,B1564*SIN(C1564),"")</x:f>
        <x:v>78.92427233890133</x:v>
      </x:c>
      <x:c r="F1564" s="4" t="n">
        <x:f>IF('계산 과정'!$L$7,'계산 과정'!$L$22+'계산 과정'!$C$49*D1564+'계산 과정'!$D$49*E1564,"")</x:f>
        <x:v>576.1990798885697</x:v>
      </x:c>
      <x:c r="G1564" s="4" t="n">
        <x:f>IF('계산 과정'!$L$7,IF(ABS(F1564)&gt;=1E-12*MAX(1,SQRT((D1564-'계산 과정'!$C$33)^2+(E1564-'계산 과정'!$D$33)^2+'계산 과정'!$E$33^2)),('계산 과정'!$L$23-'계산 과정'!$C$49*D1564-'계산 과정'!$D$49*E1564)/F1564,""),"")</x:f>
        <x:v>0.8222868391304233</x:v>
      </x:c>
      <x:c r="H1564" s="4" t="n">
        <x:f>IF(AND(ISNUMBER(G1564),G1564&gt;0),('계산 과정'!$D$56+'계산 과정'!$D$57*D1564+'계산 과정'!$D$58*E1564)/F1564,"")</x:f>
        <x:v>134.48644543477516</x:v>
      </x:c>
      <x:c r="I1564" s="4" t="n">
        <x:f>IF(AND(ISNUMBER(G1564),G1564&gt;0),('계산 과정'!$E$56+'계산 과정'!$E$57*D1564+'계산 과정'!$E$58*E1564)/F1564,"")</x:f>
        <x:v>143.8226627711252</x:v>
      </x:c>
      <x:c r="J1564" s="4" t="n">
        <x:f>IF('계산 과정'!$L$5,'계산 과정'!$D$6+'계산 과정'!$C$35*D1564+'계산 과정'!$D$35*E1564,"")</x:f>
        <x:v>576.1990798885697</x:v>
      </x:c>
      <x:c r="K1564" s="4" t="n">
        <x:f>IF(AND('계산 과정'!$L$6,J1564&gt;0),'계산 과정'!$D$10*('계산 과정'!$C$38*(D1564-'계산 과정'!$C$32)+'계산 과정'!$D$38*(E1564-'계산 과정'!$D$32)-'계산 과정'!$E$38*'계산 과정'!$E$32)/J1564,"")</x:f>
        <x:v>1.0246586318840019</x:v>
      </x:c>
      <x:c r="L1564" s="4" t="n">
        <x:f>IF(AND('계산 과정'!$L$6,J1564&gt;0),'계산 과정'!$D$10*('계산 과정'!$C$39*(D1564-'계산 과정'!$C$32)+'계산 과정'!$D$39*(E1564-'계산 과정'!$D$32)-'계산 과정'!$E$39*'계산 과정'!$E$32)/J1564,"")</x:f>
        <x:v>1.0957917163514301</x:v>
      </x:c>
      <x:c r="M1564" s="17" t="n">
        <x:f>IF('계산 과정'!$L$6,IF(J1564&lt;=0,0,IF(AND(ABS(K1564)&lt;='계산 과정'!$D$11/2,ABS(L1564)&lt;='계산 과정'!$D$12/2),1,0)),"")</x:f>
        <x:v>1</x:v>
      </x:c>
      <x:c r="N1564" s="17" t="n">
        <x:f>IF('계산 과정'!$C$78,IF(AND(ISNUMBER(H1564),ISNUMBER(I1564),ABS(H1564-'계산 과정'!$C$88)&lt;='계산 과정'!$D$23/2,ABS(I1564-'계산 과정'!$C$89)&lt;='계산 과정'!$D$24/2),1,0),"")</x:f>
        <x:v>1</x:v>
      </x:c>
      <x:c r="O1564" s="4" t="n">
        <x:f>IF('계산 과정'!$L$7,'계산 과정'!$C$49*('계산 과정'!$C$32-D1564)+'계산 과정'!$D$49*('계산 과정'!$D$32-E1564)+'계산 과정'!$E$49*'계산 과정'!$E$32,"")</x:f>
        <x:v>73.8009201114304</x:v>
      </x:c>
      <x:c r="P1564" s="4" t="n">
        <x:f>IF(AND('계산 과정'!$L$7,O1564&lt;&gt;0),('계산 과정'!$L$23-'계산 과정'!$C$49*D1564-'계산 과정'!$D$49*E1564)/O1564,"")</x:f>
        <x:v>6.419986626129439</x:v>
      </x:c>
      <x:c r="Q1564" s="4" t="str">
        <x:f>IF(AND(ISNUMBER(P1564),P1564&gt;1E-9,P1564&lt;1-1E-9),'계산 과정'!$C$47*(D1564-'계산 과정'!$C$50+P1564*('계산 과정'!$C$32-D1564))+'계산 과정'!$D$47*(E1564-'계산 과정'!$D$50+P1564*('계산 과정'!$D$32-E1564))+'계산 과정'!$E$47*(0-'계산 과정'!$E$50+P1564*('계산 과정'!$E$32-0)),"")</x:f>
      </x:c>
      <x:c r="R1564" s="4" t="str">
        <x:f>IF(AND(ISNUMBER(P1564),P1564&gt;1E-9,P1564&lt;1-1E-9),'계산 과정'!$C$48*(D1564-'계산 과정'!$C$50+P1564*('계산 과정'!$C$32-D1564))+'계산 과정'!$D$48*(E1564-'계산 과정'!$D$50+P1564*('계산 과정'!$D$32-E1564))+'계산 과정'!$E$48*(0-'계산 과정'!$E$50+P1564*('계산 과정'!$E$32-0)),"")</x:f>
      </x:c>
      <x:c r="S1564" s="17" t="n">
        <x:f>IF('계산 과정'!$C$78,IF(AND(ISNUMBER(Q1564),ISNUMBER(R1564),ABS(Q1564-'계산 과정'!$C$88)&lt;='계산 과정'!$D$23/2,ABS(R1564-'계산 과정'!$C$89)&lt;='계산 과정'!$D$24/2),1,0),"")</x:f>
        <x:v>0</x:v>
      </x:c>
      <x:c r="T1564" s="4"/>
      <x:c r="U1564" s="4"/>
      <x:c r="V1564" s="4"/>
      <x:c r="W1564" s="4"/>
      <x:c r="X1564" s="4"/>
      <x:c r="Y1564" s="4"/>
      <x:c r="Z1564" s="4"/>
    </x:row>
    <x:row r="1565" ht="23" customHeight="1">
      <x:c r="A1565" s="17" t="n">
        <x:f>ROW()-6</x:f>
        <x:v>1559</x:v>
      </x:c>
      <x:c r="B1565" s="4" t="n">
        <x:f>IF('계산 과정'!$L$5,'계산 과정'!$L$11*SQRT((A1565+0.5)/'계산 과정'!$L$30),"")</x:f>
        <x:v>130.89376880103</x:v>
      </x:c>
      <x:c r="C1565" s="4" t="n">
        <x:f>A1565*PI()*(3-SQRT(5))</x:f>
        <x:v>3741.54267514697</x:v>
      </x:c>
      <x:c r="D1565" s="4" t="n">
        <x:f>IF('계산 과정'!$L$5,B1565*COS(C1565),"")</x:f>
        <x:v>-130.31375036223818</x:v>
      </x:c>
      <x:c r="E1565" s="4" t="n">
        <x:f>IF('계산 과정'!$L$5,B1565*SIN(C1565),"")</x:f>
        <x:v>12.308743943464265</x:v>
      </x:c>
      <x:c r="F1565" s="4" t="n">
        <x:f>IF('계산 과정'!$L$7,'계산 과정'!$L$22+'계산 과정'!$C$49*D1565+'계산 과정'!$D$49*E1565,"")</x:f>
        <x:v>742.1457365629896</x:v>
      </x:c>
      <x:c r="G1565" s="4" t="n">
        <x:f>IF('계산 과정'!$L$7,IF(ABS(F1565)&gt;=1E-12*MAX(1,SQRT((D1565-'계산 과정'!$C$33)^2+(E1565-'계산 과정'!$D$33)^2+'계산 과정'!$E$33^2)),('계산 과정'!$L$23-'계산 과정'!$C$49*D1565-'계산 과정'!$D$49*E1565)/F1565,""),"")</x:f>
        <x:v>0.41481645486874175</x:v>
      </x:c>
      <x:c r="H1565" s="4" t="n">
        <x:f>IF(AND(ISNUMBER(G1565),G1565&gt;0),('계산 과정'!$D$56+'계산 과정'!$D$57*D1565+'계산 과정'!$D$58*E1565)/F1565,"")</x:f>
        <x:v>-130.369304335318</x:v>
      </x:c>
      <x:c r="I1565" s="4" t="n">
        <x:f>IF(AND(ISNUMBER(G1565),G1565&gt;0),('계산 과정'!$E$56+'계산 과정'!$E$57*D1565+'계산 과정'!$E$58*E1565)/F1565,"")</x:f>
        <x:v>17.41461346997921</x:v>
      </x:c>
      <x:c r="J1565" s="4" t="n">
        <x:f>IF('계산 과정'!$L$5,'계산 과정'!$D$6+'계산 과정'!$C$35*D1565+'계산 과정'!$D$35*E1565,"")</x:f>
        <x:v>742.1457365629896</x:v>
      </x:c>
      <x:c r="K1565" s="4" t="n">
        <x:f>IF(AND('계산 과정'!$L$6,J1565&gt;0),'계산 과정'!$D$10*('계산 과정'!$C$38*(D1565-'계산 과정'!$C$32)+'계산 과정'!$D$38*(E1565-'계산 과정'!$D$32)-'계산 과정'!$E$38*'계산 과정'!$E$32)/J1565,"")</x:f>
        <x:v>-0.9932899377928981</x:v>
      </x:c>
      <x:c r="L1565" s="4" t="n">
        <x:f>IF(AND('계산 과정'!$L$6,J1565&gt;0),'계산 과정'!$D$10*('계산 과정'!$C$39*(D1565-'계산 과정'!$C$32)+'계산 과정'!$D$39*(E1565-'계산 과정'!$D$32)-'계산 과정'!$E$39*'계산 과정'!$E$32)/J1565,"")</x:f>
        <x:v>0.13268276929507966</x:v>
      </x:c>
      <x:c r="M1565" s="17" t="n">
        <x:f>IF('계산 과정'!$L$6,IF(J1565&lt;=0,0,IF(AND(ABS(K1565)&lt;='계산 과정'!$D$11/2,ABS(L1565)&lt;='계산 과정'!$D$12/2),1,0)),"")</x:f>
        <x:v>1</x:v>
      </x:c>
      <x:c r="N1565" s="17" t="n">
        <x:f>IF('계산 과정'!$C$78,IF(AND(ISNUMBER(H1565),ISNUMBER(I1565),ABS(H1565-'계산 과정'!$C$88)&lt;='계산 과정'!$D$23/2,ABS(I1565-'계산 과정'!$C$89)&lt;='계산 과정'!$D$24/2),1,0),"")</x:f>
        <x:v>1</x:v>
      </x:c>
      <x:c r="O1565" s="4" t="n">
        <x:f>IF('계산 과정'!$L$7,'계산 과정'!$C$49*('계산 과정'!$C$32-D1565)+'계산 과정'!$D$49*('계산 과정'!$D$32-E1565)+'계산 과정'!$E$49*'계산 과정'!$E$32,"")</x:f>
        <x:v>-92.14573656298944</x:v>
      </x:c>
      <x:c r="P1565" s="4" t="n">
        <x:f>IF(AND('계산 과정'!$L$7,O1565&lt;&gt;0),('계산 과정'!$L$23-'계산 과정'!$C$49*D1565-'계산 과정'!$D$49*E1565)/O1565,"")</x:f>
        <x:v>-3.3409496187223584</x:v>
      </x:c>
      <x:c r="Q1565" s="4" t="str">
        <x:f>IF(AND(ISNUMBER(P1565),P1565&gt;1E-9,P1565&lt;1-1E-9),'계산 과정'!$C$47*(D1565-'계산 과정'!$C$50+P1565*('계산 과정'!$C$32-D1565))+'계산 과정'!$D$47*(E1565-'계산 과정'!$D$50+P1565*('계산 과정'!$D$32-E1565))+'계산 과정'!$E$47*(0-'계산 과정'!$E$50+P1565*('계산 과정'!$E$32-0)),"")</x:f>
      </x:c>
      <x:c r="R1565" s="4" t="str">
        <x:f>IF(AND(ISNUMBER(P1565),P1565&gt;1E-9,P1565&lt;1-1E-9),'계산 과정'!$C$48*(D1565-'계산 과정'!$C$50+P1565*('계산 과정'!$C$32-D1565))+'계산 과정'!$D$48*(E1565-'계산 과정'!$D$50+P1565*('계산 과정'!$D$32-E1565))+'계산 과정'!$E$48*(0-'계산 과정'!$E$50+P1565*('계산 과정'!$E$32-0)),"")</x:f>
      </x:c>
      <x:c r="S1565" s="17" t="n">
        <x:f>IF('계산 과정'!$C$78,IF(AND(ISNUMBER(Q1565),ISNUMBER(R1565),ABS(Q1565-'계산 과정'!$C$88)&lt;='계산 과정'!$D$23/2,ABS(R1565-'계산 과정'!$C$89)&lt;='계산 과정'!$D$24/2),1,0),"")</x:f>
        <x:v>0</x:v>
      </x:c>
      <x:c r="T1565" s="4"/>
      <x:c r="U1565" s="4"/>
      <x:c r="V1565" s="4"/>
      <x:c r="W1565" s="4"/>
      <x:c r="X1565" s="4"/>
      <x:c r="Y1565" s="4"/>
      <x:c r="Z1565" s="4"/>
    </x:row>
    <x:row r="1566" ht="23" customHeight="1">
      <x:c r="A1566" s="17" t="n">
        <x:f>ROW()-6</x:f>
        <x:v>1560</x:v>
      </x:c>
      <x:c r="B1566" s="4" t="n">
        <x:f>IF('계산 과정'!$L$5,'계산 과정'!$L$11*SQRT((A1566+0.5)/'계산 과정'!$L$30),"")</x:f>
        <x:v>130.93572865746958</x:v>
      </x:c>
      <x:c r="C1566" s="4" t="n">
        <x:f>A1566*PI()*(3-SQRT(5))</x:f>
        <x:v>3743.942638376698</x:v>
      </x:c>
      <x:c r="D1566" s="4" t="n">
        <x:f>IF('계산 과정'!$L$5,B1566*COS(C1566),"")</x:f>
        <x:v>87.80300431445085</x:v>
      </x:c>
      <x:c r="E1566" s="4" t="n">
        <x:f>IF('계산 과정'!$L$5,B1566*SIN(C1566),"")</x:f>
        <x:v>-97.13288563827922</x:v>
      </x:c>
      <x:c r="F1566" s="4" t="n">
        <x:f>IF('계산 과정'!$L$7,'계산 과정'!$L$22+'계산 과정'!$C$49*D1566+'계산 과정'!$D$49*E1566,"")</x:f>
        <x:v>587.9139002407002</x:v>
      </x:c>
      <x:c r="G1566" s="4" t="n">
        <x:f>IF('계산 과정'!$L$7,IF(ABS(F1566)&gt;=1E-12*MAX(1,SQRT((D1566-'계산 과정'!$C$33)^2+(E1566-'계산 과정'!$D$33)^2+'계산 과정'!$E$33^2)),('계산 과정'!$L$23-'계산 과정'!$C$49*D1566-'계산 과정'!$D$49*E1566)/F1566,""),"")</x:f>
        <x:v>0.7859758028686095</x:v>
      </x:c>
      <x:c r="H1566" s="4" t="n">
        <x:f>IF(AND(ISNUMBER(G1566),G1566&gt;0),('계산 과정'!$D$56+'계산 과정'!$D$57*D1566+'계산 과정'!$D$58*E1566)/F1566,"")</x:f>
        <x:v>110.88427186459609</x:v>
      </x:c>
      <x:c r="I1566" s="4" t="n">
        <x:f>IF(AND(ISNUMBER(G1566),G1566&gt;0),('계산 과정'!$E$56+'계산 과정'!$E$57*D1566+'계산 과정'!$E$58*E1566)/F1566,"")</x:f>
        <x:v>-173.47698341277055</x:v>
      </x:c>
      <x:c r="J1566" s="4" t="n">
        <x:f>IF('계산 과정'!$L$5,'계산 과정'!$D$6+'계산 과정'!$C$35*D1566+'계산 과정'!$D$35*E1566,"")</x:f>
        <x:v>587.9139002407002</x:v>
      </x:c>
      <x:c r="K1566" s="4" t="n">
        <x:f>IF(AND('계산 과정'!$L$6,J1566&gt;0),'계산 과정'!$D$10*('계산 과정'!$C$38*(D1566-'계산 과정'!$C$32)+'계산 과정'!$D$38*(E1566-'계산 과정'!$D$32)-'계산 과정'!$E$38*'계산 과정'!$E$32)/J1566,"")</x:f>
        <x:v>0.8448325475397804</x:v>
      </x:c>
      <x:c r="L1566" s="4" t="n">
        <x:f>IF(AND('계산 과정'!$L$6,J1566&gt;0),'계산 과정'!$D$10*('계산 과정'!$C$39*(D1566-'계산 과정'!$C$32)+'계산 과정'!$D$39*(E1566-'계산 과정'!$D$32)-'계산 과정'!$E$39*'계산 과정'!$E$32)/J1566,"")</x:f>
        <x:v>-1.3217293974306328</x:v>
      </x:c>
      <x:c r="M1566" s="17" t="n">
        <x:f>IF('계산 과정'!$L$6,IF(J1566&lt;=0,0,IF(AND(ABS(K1566)&lt;='계산 과정'!$D$11/2,ABS(L1566)&lt;='계산 과정'!$D$12/2),1,0)),"")</x:f>
        <x:v>1</x:v>
      </x:c>
      <x:c r="N1566" s="17" t="n">
        <x:f>IF('계산 과정'!$C$78,IF(AND(ISNUMBER(H1566),ISNUMBER(I1566),ABS(H1566-'계산 과정'!$C$88)&lt;='계산 과정'!$D$23/2,ABS(I1566-'계산 과정'!$C$89)&lt;='계산 과정'!$D$24/2),1,0),"")</x:f>
        <x:v>1</x:v>
      </x:c>
      <x:c r="O1566" s="4" t="n">
        <x:f>IF('계산 과정'!$L$7,'계산 과정'!$C$49*('계산 과정'!$C$32-D1566)+'계산 과정'!$D$49*('계산 과정'!$D$32-E1566)+'계산 과정'!$E$49*'계산 과정'!$E$32,"")</x:f>
        <x:v>62.0860997593</x:v>
      </x:c>
      <x:c r="P1566" s="4" t="n">
        <x:f>IF(AND('계산 과정'!$L$7,O1566&lt;&gt;0),('계산 과정'!$L$23-'계산 과정'!$C$49*D1566-'계산 과정'!$D$49*E1566)/O1566,"")</x:f>
        <x:v>7.442665935704603</x:v>
      </x:c>
      <x:c r="Q1566" s="4" t="str">
        <x:f>IF(AND(ISNUMBER(P1566),P1566&gt;1E-9,P1566&lt;1-1E-9),'계산 과정'!$C$47*(D1566-'계산 과정'!$C$50+P1566*('계산 과정'!$C$32-D1566))+'계산 과정'!$D$47*(E1566-'계산 과정'!$D$50+P1566*('계산 과정'!$D$32-E1566))+'계산 과정'!$E$47*(0-'계산 과정'!$E$50+P1566*('계산 과정'!$E$32-0)),"")</x:f>
      </x:c>
      <x:c r="R1566" s="4" t="str">
        <x:f>IF(AND(ISNUMBER(P1566),P1566&gt;1E-9,P1566&lt;1-1E-9),'계산 과정'!$C$48*(D1566-'계산 과정'!$C$50+P1566*('계산 과정'!$C$32-D1566))+'계산 과정'!$D$48*(E1566-'계산 과정'!$D$50+P1566*('계산 과정'!$D$32-E1566))+'계산 과정'!$E$48*(0-'계산 과정'!$E$50+P1566*('계산 과정'!$E$32-0)),"")</x:f>
      </x:c>
      <x:c r="S1566" s="17" t="n">
        <x:f>IF('계산 과정'!$C$78,IF(AND(ISNUMBER(Q1566),ISNUMBER(R1566),ABS(Q1566-'계산 과정'!$C$88)&lt;='계산 과정'!$D$23/2,ABS(R1566-'계산 과정'!$C$89)&lt;='계산 과정'!$D$24/2),1,0),"")</x:f>
        <x:v>0</x:v>
      </x:c>
      <x:c r="T1566" s="4"/>
      <x:c r="U1566" s="4"/>
      <x:c r="V1566" s="4"/>
      <x:c r="W1566" s="4"/>
      <x:c r="X1566" s="4"/>
      <x:c r="Y1566" s="4"/>
      <x:c r="Z1566" s="4"/>
    </x:row>
    <x:row r="1567" ht="23" customHeight="1">
      <x:c r="A1567" s="17" t="n">
        <x:f>ROW()-6</x:f>
        <x:v>1561</x:v>
      </x:c>
      <x:c r="B1567" s="4" t="n">
        <x:f>IF('계산 과정'!$L$5,'계산 과정'!$L$11*SQRT((A1567+0.5)/'계산 과정'!$L$30),"")</x:f>
        <x:v>130.97767507169877</x:v>
      </x:c>
      <x:c r="C1567" s="4" t="n">
        <x:f>A1567*PI()*(3-SQRT(5))</x:f>
        <x:v>3746.3426016064273</x:v>
      </x:c>
      <x:c r="D1567" s="4" t="n">
        <x:f>IF('계산 과정'!$L$5,B1567*COS(C1567),"")</x:f>
        <x:v>0.8693971487984783</x:v>
      </x:c>
      <x:c r="E1567" s="4" t="n">
        <x:f>IF('계산 과정'!$L$5,B1567*SIN(C1567),"")</x:f>
        <x:v>130.9747896191674</x:v>
      </x:c>
      <x:c r="F1567" s="4" t="n">
        <x:f>IF('계산 과정'!$L$7,'계산 과정'!$L$22+'계산 과정'!$C$49*D1567+'계산 과정'!$D$49*E1567,"")</x:f>
        <x:v>649.3852433805404</x:v>
      </x:c>
      <x:c r="G1567" s="4" t="n">
        <x:f>IF('계산 과정'!$L$7,IF(ABS(F1567)&gt;=1E-12*MAX(1,SQRT((D1567-'계산 과정'!$C$33)^2+(E1567-'계산 과정'!$D$33)^2+'계산 과정'!$E$33^2)),('계산 과정'!$L$23-'계산 과정'!$C$49*D1567-'계산 과정'!$D$49*E1567)/F1567,""),"")</x:f>
        <x:v>0.6169138592277789</x:v>
      </x:c>
      <x:c r="H1567" s="4" t="n">
        <x:f>IF(AND(ISNUMBER(G1567),G1567&gt;0),('계산 과정'!$D$56+'계산 과정'!$D$57*D1567+'계산 과정'!$D$58*E1567)/F1567,"")</x:f>
        <x:v>0.9940084980562185</x:v>
      </x:c>
      <x:c r="I1567" s="4" t="n">
        <x:f>IF(AND(ISNUMBER(G1567),G1567&gt;0),('계산 과정'!$E$56+'계산 과정'!$E$57*D1567+'계산 과정'!$E$58*E1567)/F1567,"")</x:f>
        <x:v>211.7749525446744</x:v>
      </x:c>
      <x:c r="J1567" s="4" t="n">
        <x:f>IF('계산 과정'!$L$5,'계산 과정'!$D$6+'계산 과정'!$C$35*D1567+'계산 과정'!$D$35*E1567,"")</x:f>
        <x:v>649.3852433805404</x:v>
      </x:c>
      <x:c r="K1567" s="4" t="n">
        <x:f>IF(AND('계산 과정'!$L$6,J1567&gt;0),'계산 과정'!$D$10*('계산 과정'!$C$38*(D1567-'계산 과정'!$C$32)+'계산 과정'!$D$38*(E1567-'계산 과정'!$D$32)-'계산 과정'!$E$38*'계산 과정'!$E$32)/J1567,"")</x:f>
        <x:v>0.00757339808042956</x:v>
      </x:c>
      <x:c r="L1567" s="4" t="n">
        <x:f>IF(AND('계산 과정'!$L$6,J1567&gt;0),'계산 과정'!$D$10*('계산 과정'!$C$39*(D1567-'계산 과정'!$C$32)+'계산 과정'!$D$39*(E1567-'계산 과정'!$D$32)-'계산 과정'!$E$39*'계산 과정'!$E$32)/J1567,"")</x:f>
        <x:v>1.613523447959424</x:v>
      </x:c>
      <x:c r="M1567" s="17" t="n">
        <x:f>IF('계산 과정'!$L$6,IF(J1567&lt;=0,0,IF(AND(ABS(K1567)&lt;='계산 과정'!$D$11/2,ABS(L1567)&lt;='계산 과정'!$D$12/2),1,0)),"")</x:f>
        <x:v>1</x:v>
      </x:c>
      <x:c r="N1567" s="17" t="n">
        <x:f>IF('계산 과정'!$C$78,IF(AND(ISNUMBER(H1567),ISNUMBER(I1567),ABS(H1567-'계산 과정'!$C$88)&lt;='계산 과정'!$D$23/2,ABS(I1567-'계산 과정'!$C$89)&lt;='계산 과정'!$D$24/2),1,0),"")</x:f>
        <x:v>1</x:v>
      </x:c>
      <x:c r="O1567" s="4" t="n">
        <x:f>IF('계산 과정'!$L$7,'계산 과정'!$C$49*('계산 과정'!$C$32-D1567)+'계산 과정'!$D$49*('계산 과정'!$D$32-E1567)+'계산 과정'!$E$49*'계산 과정'!$E$32,"")</x:f>
        <x:v>0.6147566194597971</x:v>
      </x:c>
      <x:c r="P1567" s="4" t="n">
        <x:f>IF(AND('계산 과정'!$L$7,O1567&lt;&gt;0),('계산 과정'!$L$23-'계산 과정'!$C$49*D1567-'계산 과정'!$D$49*E1567)/O1567,"")</x:f>
        <x:v>651.6639983014586</x:v>
      </x:c>
      <x:c r="Q1567" s="4" t="str">
        <x:f>IF(AND(ISNUMBER(P1567),P1567&gt;1E-9,P1567&lt;1-1E-9),'계산 과정'!$C$47*(D1567-'계산 과정'!$C$50+P1567*('계산 과정'!$C$32-D1567))+'계산 과정'!$D$47*(E1567-'계산 과정'!$D$50+P1567*('계산 과정'!$D$32-E1567))+'계산 과정'!$E$47*(0-'계산 과정'!$E$50+P1567*('계산 과정'!$E$32-0)),"")</x:f>
      </x:c>
      <x:c r="R1567" s="4" t="str">
        <x:f>IF(AND(ISNUMBER(P1567),P1567&gt;1E-9,P1567&lt;1-1E-9),'계산 과정'!$C$48*(D1567-'계산 과정'!$C$50+P1567*('계산 과정'!$C$32-D1567))+'계산 과정'!$D$48*(E1567-'계산 과정'!$D$50+P1567*('계산 과정'!$D$32-E1567))+'계산 과정'!$E$48*(0-'계산 과정'!$E$50+P1567*('계산 과정'!$E$32-0)),"")</x:f>
      </x:c>
      <x:c r="S1567" s="17" t="n">
        <x:f>IF('계산 과정'!$C$78,IF(AND(ISNUMBER(Q1567),ISNUMBER(R1567),ABS(Q1567-'계산 과정'!$C$88)&lt;='계산 과정'!$D$23/2,ABS(R1567-'계산 과정'!$C$89)&lt;='계산 과정'!$D$24/2),1,0),"")</x:f>
        <x:v>0</x:v>
      </x:c>
      <x:c r="T1567" s="4"/>
      <x:c r="U1567" s="4"/>
      <x:c r="V1567" s="4"/>
      <x:c r="W1567" s="4"/>
      <x:c r="X1567" s="4"/>
      <x:c r="Y1567" s="4"/>
      <x:c r="Z1567" s="4"/>
    </x:row>
    <x:row r="1568" ht="23" customHeight="1">
      <x:c r="A1568" s="17" t="n">
        <x:f>ROW()-6</x:f>
        <x:v>1562</x:v>
      </x:c>
      <x:c r="B1568" s="4" t="n">
        <x:f>IF('계산 과정'!$L$5,'계산 과정'!$L$11*SQRT((A1568+0.5)/'계산 과정'!$L$30),"")</x:f>
        <x:v>131.0196080566283</x:v>
      </x:c>
      <x:c r="C1568" s="4" t="n">
        <x:f>A1568*PI()*(3-SQRT(5))</x:f>
        <x:v>3748.742564836156</x:v>
      </x:c>
      <x:c r="D1568" s="4" t="n">
        <x:f>IF('계산 과정'!$L$5,B1568*COS(C1568),"")</x:f>
        <x:v>-89.14179552099411</x:v>
      </x:c>
      <x:c r="E1568" s="4" t="n">
        <x:f>IF('계산 과정'!$L$5,B1568*SIN(C1568),"")</x:f>
        <x:v>-96.02019572259668</x:v>
      </x:c>
      <x:c r="F1568" s="4" t="n">
        <x:f>IF('계산 과정'!$L$7,'계산 과정'!$L$22+'계산 과정'!$C$49*D1568+'계산 과정'!$D$49*E1568,"")</x:f>
        <x:v>713.0327681000396</x:v>
      </x:c>
      <x:c r="G1568" s="4" t="n">
        <x:f>IF('계산 과정'!$L$7,IF(ABS(F1568)&gt;=1E-12*MAX(1,SQRT((D1568-'계산 과정'!$C$33)^2+(E1568-'계산 과정'!$D$33)^2+'계산 과정'!$E$33^2)),('계산 과정'!$L$23-'계산 과정'!$C$49*D1568-'계산 과정'!$D$49*E1568)/F1568,""),"")</x:f>
        <x:v>0.47258309431956347</x:v>
      </x:c>
      <x:c r="H1568" s="4" t="n">
        <x:f>IF(AND(ISNUMBER(G1568),G1568&gt;0),('계산 과정'!$D$56+'계산 과정'!$D$57*D1568+'계산 과정'!$D$58*E1568)/F1568,"")</x:f>
        <x:v>-92.82098869228383</x:v>
      </x:c>
      <x:c r="I1568" s="4" t="n">
        <x:f>IF(AND(ISNUMBER(G1568),G1568&gt;0),('계산 과정'!$E$56+'계산 과정'!$E$57*D1568+'계산 과정'!$E$58*E1568)/F1568,"")</x:f>
        <x:v>-141.39771693435154</x:v>
      </x:c>
      <x:c r="J1568" s="4" t="n">
        <x:f>IF('계산 과정'!$L$5,'계산 과정'!$D$6+'계산 과정'!$C$35*D1568+'계산 과정'!$D$35*E1568,"")</x:f>
        <x:v>713.0327681000396</x:v>
      </x:c>
      <x:c r="K1568" s="4" t="n">
        <x:f>IF(AND('계산 과정'!$L$6,J1568&gt;0),'계산 과정'!$D$10*('계산 과정'!$C$38*(D1568-'계산 과정'!$C$32)+'계산 과정'!$D$38*(E1568-'계산 과정'!$D$32)-'계산 과정'!$E$38*'계산 과정'!$E$32)/J1568,"")</x:f>
        <x:v>-0.7072075328935903</x:v>
      </x:c>
      <x:c r="L1568" s="4" t="n">
        <x:f>IF(AND('계산 과정'!$L$6,J1568&gt;0),'계산 과정'!$D$10*('계산 과정'!$C$39*(D1568-'계산 과정'!$C$32)+'계산 과정'!$D$39*(E1568-'계산 과정'!$D$32)-'계산 과정'!$E$39*'계산 과정'!$E$32)/J1568,"")</x:f>
        <x:v>-1.0773159385474402</x:v>
      </x:c>
      <x:c r="M1568" s="17" t="n">
        <x:f>IF('계산 과정'!$L$6,IF(J1568&lt;=0,0,IF(AND(ABS(K1568)&lt;='계산 과정'!$D$11/2,ABS(L1568)&lt;='계산 과정'!$D$12/2),1,0)),"")</x:f>
        <x:v>1</x:v>
      </x:c>
      <x:c r="N1568" s="17" t="n">
        <x:f>IF('계산 과정'!$C$78,IF(AND(ISNUMBER(H1568),ISNUMBER(I1568),ABS(H1568-'계산 과정'!$C$88)&lt;='계산 과정'!$D$23/2,ABS(I1568-'계산 과정'!$C$89)&lt;='계산 과정'!$D$24/2),1,0),"")</x:f>
        <x:v>1</x:v>
      </x:c>
      <x:c r="O1568" s="4" t="n">
        <x:f>IF('계산 과정'!$L$7,'계산 과정'!$C$49*('계산 과정'!$C$32-D1568)+'계산 과정'!$D$49*('계산 과정'!$D$32-E1568)+'계산 과정'!$E$49*'계산 과정'!$E$32,"")</x:f>
        <x:v>-63.03276810003945</x:v>
      </x:c>
      <x:c r="P1568" s="4" t="n">
        <x:f>IF(AND('계산 과정'!$L$7,O1568&lt;&gt;0),('계산 과정'!$L$23-'계산 과정'!$C$49*D1568-'계산 과정'!$D$49*E1568)/O1568,"")</x:f>
        <x:v>-5.345905662355793</x:v>
      </x:c>
      <x:c r="Q1568" s="4" t="str">
        <x:f>IF(AND(ISNUMBER(P1568),P1568&gt;1E-9,P1568&lt;1-1E-9),'계산 과정'!$C$47*(D1568-'계산 과정'!$C$50+P1568*('계산 과정'!$C$32-D1568))+'계산 과정'!$D$47*(E1568-'계산 과정'!$D$50+P1568*('계산 과정'!$D$32-E1568))+'계산 과정'!$E$47*(0-'계산 과정'!$E$50+P1568*('계산 과정'!$E$32-0)),"")</x:f>
      </x:c>
      <x:c r="R1568" s="4" t="str">
        <x:f>IF(AND(ISNUMBER(P1568),P1568&gt;1E-9,P1568&lt;1-1E-9),'계산 과정'!$C$48*(D1568-'계산 과정'!$C$50+P1568*('계산 과정'!$C$32-D1568))+'계산 과정'!$D$48*(E1568-'계산 과정'!$D$50+P1568*('계산 과정'!$D$32-E1568))+'계산 과정'!$E$48*(0-'계산 과정'!$E$50+P1568*('계산 과정'!$E$32-0)),"")</x:f>
      </x:c>
      <x:c r="S1568" s="17" t="n">
        <x:f>IF('계산 과정'!$C$78,IF(AND(ISNUMBER(Q1568),ISNUMBER(R1568),ABS(Q1568-'계산 과정'!$C$88)&lt;='계산 과정'!$D$23/2,ABS(R1568-'계산 과정'!$C$89)&lt;='계산 과정'!$D$24/2),1,0),"")</x:f>
        <x:v>0</x:v>
      </x:c>
      <x:c r="T1568" s="4"/>
      <x:c r="U1568" s="4"/>
      <x:c r="V1568" s="4"/>
      <x:c r="W1568" s="4"/>
      <x:c r="X1568" s="4"/>
      <x:c r="Y1568" s="4"/>
      <x:c r="Z1568" s="4"/>
    </x:row>
    <x:row r="1569" ht="23" customHeight="1">
      <x:c r="A1569" s="17" t="n">
        <x:f>ROW()-6</x:f>
        <x:v>1563</x:v>
      </x:c>
      <x:c r="B1569" s="4" t="n">
        <x:f>IF('계산 과정'!$L$5,'계산 과정'!$L$11*SQRT((A1569+0.5)/'계산 과정'!$L$30),"")</x:f>
        <x:v>131.06152762514827</x:v>
      </x:c>
      <x:c r="C1569" s="4" t="n">
        <x:f>A1569*PI()*(3-SQRT(5))</x:f>
        <x:v>3751.142528065884</x:v>
      </x:c>
      <x:c r="D1569" s="4" t="n">
        <x:f>IF('계산 과정'!$L$5,B1569*COS(C1569),"")</x:f>
        <x:v>130.6328784835132</x:v>
      </x:c>
      <x:c r="E1569" s="4" t="n">
        <x:f>IF('계산 과정'!$L$5,B1569*SIN(C1569),"")</x:f>
        <x:v>10.591273886987116</x:v>
      </x:c>
      <x:c r="F1569" s="4" t="n">
        <x:f>IF('계산 과정'!$L$7,'계산 과정'!$L$22+'계산 과정'!$C$49*D1569+'계산 과정'!$D$49*E1569,"")</x:f>
        <x:v>557.6286057783896</x:v>
      </x:c>
      <x:c r="G1569" s="4" t="n">
        <x:f>IF('계산 과정'!$L$7,IF(ABS(F1569)&gt;=1E-12*MAX(1,SQRT((D1569-'계산 과정'!$C$33)^2+(E1569-'계산 과정'!$D$33)^2+'계산 과정'!$E$33^2)),('계산 과정'!$L$23-'계산 과정'!$C$49*D1569-'계산 과정'!$D$49*E1569)/F1569,""),"")</x:f>
        <x:v>0.882973701706556</x:v>
      </x:c>
      <x:c r="H1569" s="4" t="n">
        <x:f>IF(AND(ISNUMBER(G1569),G1569&gt;0),('계산 과정'!$D$56+'계산 과정'!$D$57*D1569+'계산 과정'!$D$58*E1569)/F1569,"")</x:f>
        <x:v>173.93290610926127</x:v>
      </x:c>
      <x:c r="I1569" s="4" t="n">
        <x:f>IF(AND(ISNUMBER(G1569),G1569&gt;0),('계산 과정'!$E$56+'계산 과정'!$E$57*D1569+'계산 과정'!$E$58*E1569)/F1569,"")</x:f>
        <x:v>19.94309019676811</x:v>
      </x:c>
      <x:c r="J1569" s="4" t="n">
        <x:f>IF('계산 과정'!$L$5,'계산 과정'!$D$6+'계산 과정'!$C$35*D1569+'계산 과정'!$D$35*E1569,"")</x:f>
        <x:v>557.6286057783896</x:v>
      </x:c>
      <x:c r="K1569" s="4" t="n">
        <x:f>IF(AND('계산 과정'!$L$6,J1569&gt;0),'계산 과정'!$D$10*('계산 과정'!$C$38*(D1569-'계산 과정'!$C$32)+'계산 과정'!$D$38*(E1569-'계산 과정'!$D$32)-'계산 과정'!$E$38*'계산 과정'!$E$32)/J1569,"")</x:f>
        <x:v>1.3252030941658006</x:v>
      </x:c>
      <x:c r="L1569" s="4" t="n">
        <x:f>IF(AND('계산 과정'!$L$6,J1569&gt;0),'계산 과정'!$D$10*('계산 과정'!$C$39*(D1569-'계산 과정'!$C$32)+'계산 과정'!$D$39*(E1569-'계산 과정'!$D$32)-'계산 과정'!$E$39*'계산 과정'!$E$32)/J1569,"")</x:f>
        <x:v>0.151947353880138</x:v>
      </x:c>
      <x:c r="M1569" s="17" t="n">
        <x:f>IF('계산 과정'!$L$6,IF(J1569&lt;=0,0,IF(AND(ABS(K1569)&lt;='계산 과정'!$D$11/2,ABS(L1569)&lt;='계산 과정'!$D$12/2),1,0)),"")</x:f>
        <x:v>1</x:v>
      </x:c>
      <x:c r="N1569" s="17" t="n">
        <x:f>IF('계산 과정'!$C$78,IF(AND(ISNUMBER(H1569),ISNUMBER(I1569),ABS(H1569-'계산 과정'!$C$88)&lt;='계산 과정'!$D$23/2,ABS(I1569-'계산 과정'!$C$89)&lt;='계산 과정'!$D$24/2),1,0),"")</x:f>
        <x:v>1</x:v>
      </x:c>
      <x:c r="O1569" s="4" t="n">
        <x:f>IF('계산 과정'!$L$7,'계산 과정'!$C$49*('계산 과정'!$C$32-D1569)+'계산 과정'!$D$49*('계산 과정'!$D$32-E1569)+'계산 과정'!$E$49*'계산 과정'!$E$32,"")</x:f>
        <x:v>92.37139422161053</x:v>
      </x:c>
      <x:c r="P1569" s="4" t="n">
        <x:f>IF(AND('계산 과정'!$L$7,O1569&lt;&gt;0),('계산 과정'!$L$23-'계산 과정'!$C$49*D1569-'계산 과정'!$D$49*E1569)/O1569,"")</x:f>
        <x:v>5.330344944673563</x:v>
      </x:c>
      <x:c r="Q1569" s="4" t="str">
        <x:f>IF(AND(ISNUMBER(P1569),P1569&gt;1E-9,P1569&lt;1-1E-9),'계산 과정'!$C$47*(D1569-'계산 과정'!$C$50+P1569*('계산 과정'!$C$32-D1569))+'계산 과정'!$D$47*(E1569-'계산 과정'!$D$50+P1569*('계산 과정'!$D$32-E1569))+'계산 과정'!$E$47*(0-'계산 과정'!$E$50+P1569*('계산 과정'!$E$32-0)),"")</x:f>
      </x:c>
      <x:c r="R1569" s="4" t="str">
        <x:f>IF(AND(ISNUMBER(P1569),P1569&gt;1E-9,P1569&lt;1-1E-9),'계산 과정'!$C$48*(D1569-'계산 과정'!$C$50+P1569*('계산 과정'!$C$32-D1569))+'계산 과정'!$D$48*(E1569-'계산 과정'!$D$50+P1569*('계산 과정'!$D$32-E1569))+'계산 과정'!$E$48*(0-'계산 과정'!$E$50+P1569*('계산 과정'!$E$32-0)),"")</x:f>
      </x:c>
      <x:c r="S1569" s="17" t="n">
        <x:f>IF('계산 과정'!$C$78,IF(AND(ISNUMBER(Q1569),ISNUMBER(R1569),ABS(Q1569-'계산 과정'!$C$88)&lt;='계산 과정'!$D$23/2,ABS(R1569-'계산 과정'!$C$89)&lt;='계산 과정'!$D$24/2),1,0),"")</x:f>
        <x:v>0</x:v>
      </x:c>
      <x:c r="T1569" s="4"/>
      <x:c r="U1569" s="4"/>
      <x:c r="V1569" s="4"/>
      <x:c r="W1569" s="4"/>
      <x:c r="X1569" s="4"/>
      <x:c r="Y1569" s="4"/>
      <x:c r="Z1569" s="4"/>
    </x:row>
    <x:row r="1570" ht="23" customHeight="1">
      <x:c r="A1570" s="17" t="n">
        <x:f>ROW()-6</x:f>
        <x:v>1564</x:v>
      </x:c>
      <x:c r="B1570" s="4" t="n">
        <x:f>IF('계산 과정'!$L$5,'계산 과정'!$L$11*SQRT((A1570+0.5)/'계산 과정'!$L$30),"")</x:f>
        <x:v>131.1034337901281</x:v>
      </x:c>
      <x:c r="C1570" s="4" t="n">
        <x:f>A1570*PI()*(3-SQRT(5))</x:f>
        <x:v>3753.542491295613</x:v>
      </x:c>
      <x:c r="D1570" s="4" t="n">
        <x:f>IF('계산 과정'!$L$5,B1570*COS(C1570),"")</x:f>
        <x:v>-103.51200854847265</x:v>
      </x:c>
      <x:c r="E1570" s="4" t="n">
        <x:f>IF('계산 과정'!$L$5,B1570*SIN(C1570),"")</x:f>
        <x:v>80.45728331122936</x:v>
      </x:c>
      <x:c r="F1570" s="4" t="n">
        <x:f>IF('계산 과정'!$L$7,'계산 과정'!$L$22+'계산 과정'!$C$49*D1570+'계산 과정'!$D$49*E1570,"")</x:f>
        <x:v>723.1940431788648</x:v>
      </x:c>
      <x:c r="G1570" s="4" t="n">
        <x:f>IF('계산 과정'!$L$7,IF(ABS(F1570)&gt;=1E-12*MAX(1,SQRT((D1570-'계산 과정'!$C$33)^2+(E1570-'계산 과정'!$D$33)^2+'계산 과정'!$E$33^2)),('계산 과정'!$L$23-'계산 과정'!$C$49*D1570-'계산 과정'!$D$49*E1570)/F1570,""),"")</x:f>
        <x:v>0.45189248985601427</x:v>
      </x:c>
      <x:c r="H1570" s="4" t="n">
        <x:f>IF(AND(ISNUMBER(G1570),G1570&gt;0),('계산 과정'!$D$56+'계산 과정'!$D$57*D1570+'계산 과정'!$D$58*E1570)/F1570,"")</x:f>
        <x:v>-106.2698815935909</x:v>
      </x:c>
      <x:c r="I1570" s="4" t="n">
        <x:f>IF(AND(ISNUMBER(G1570),G1570&gt;0),('계산 과정'!$E$56+'계산 과정'!$E$57*D1570+'계산 과정'!$E$58*E1570)/F1570,"")</x:f>
        <x:v>116.81532539379154</x:v>
      </x:c>
      <x:c r="J1570" s="4" t="n">
        <x:f>IF('계산 과정'!$L$5,'계산 과정'!$D$6+'계산 과정'!$C$35*D1570+'계산 과정'!$D$35*E1570,"")</x:f>
        <x:v>723.1940431788648</x:v>
      </x:c>
      <x:c r="K1570" s="4" t="n">
        <x:f>IF(AND('계산 과정'!$L$6,J1570&gt;0),'계산 과정'!$D$10*('계산 과정'!$C$38*(D1570-'계산 과정'!$C$32)+'계산 과정'!$D$38*(E1570-'계산 과정'!$D$32)-'계산 과정'!$E$38*'계산 과정'!$E$32)/J1570,"")</x:f>
        <x:v>-0.8096752883321201</x:v>
      </x:c>
      <x:c r="L1570" s="4" t="n">
        <x:f>IF(AND('계산 과정'!$L$6,J1570&gt;0),'계산 과정'!$D$10*('계산 과정'!$C$39*(D1570-'계산 과정'!$C$32)+'계산 과정'!$D$39*(E1570-'계산 과정'!$D$32)-'계산 과정'!$E$39*'계산 과정'!$E$32)/J1570,"")</x:f>
        <x:v>0.8900215268098404</x:v>
      </x:c>
      <x:c r="M1570" s="17" t="n">
        <x:f>IF('계산 과정'!$L$6,IF(J1570&lt;=0,0,IF(AND(ABS(K1570)&lt;='계산 과정'!$D$11/2,ABS(L1570)&lt;='계산 과정'!$D$12/2),1,0)),"")</x:f>
        <x:v>1</x:v>
      </x:c>
      <x:c r="N1570" s="17" t="n">
        <x:f>IF('계산 과정'!$C$78,IF(AND(ISNUMBER(H1570),ISNUMBER(I1570),ABS(H1570-'계산 과정'!$C$88)&lt;='계산 과정'!$D$23/2,ABS(I1570-'계산 과정'!$C$89)&lt;='계산 과정'!$D$24/2),1,0),"")</x:f>
        <x:v>1</x:v>
      </x:c>
      <x:c r="O1570" s="4" t="n">
        <x:f>IF('계산 과정'!$L$7,'계산 과정'!$C$49*('계산 과정'!$C$32-D1570)+'계산 과정'!$D$49*('계산 과정'!$D$32-E1570)+'계산 과정'!$E$49*'계산 과정'!$E$32,"")</x:f>
        <x:v>-73.19404317886477</x:v>
      </x:c>
      <x:c r="P1570" s="4" t="n">
        <x:f>IF(AND('계산 과정'!$L$7,O1570&lt;&gt;0),('계산 과정'!$L$23-'계산 과정'!$C$49*D1570-'계산 과정'!$D$49*E1570)/O1570,"")</x:f>
        <x:v>-4.464925595413785</x:v>
      </x:c>
      <x:c r="Q1570" s="4" t="str">
        <x:f>IF(AND(ISNUMBER(P1570),P1570&gt;1E-9,P1570&lt;1-1E-9),'계산 과정'!$C$47*(D1570-'계산 과정'!$C$50+P1570*('계산 과정'!$C$32-D1570))+'계산 과정'!$D$47*(E1570-'계산 과정'!$D$50+P1570*('계산 과정'!$D$32-E1570))+'계산 과정'!$E$47*(0-'계산 과정'!$E$50+P1570*('계산 과정'!$E$32-0)),"")</x:f>
      </x:c>
      <x:c r="R1570" s="4" t="str">
        <x:f>IF(AND(ISNUMBER(P1570),P1570&gt;1E-9,P1570&lt;1-1E-9),'계산 과정'!$C$48*(D1570-'계산 과정'!$C$50+P1570*('계산 과정'!$C$32-D1570))+'계산 과정'!$D$48*(E1570-'계산 과정'!$D$50+P1570*('계산 과정'!$D$32-E1570))+'계산 과정'!$E$48*(0-'계산 과정'!$E$50+P1570*('계산 과정'!$E$32-0)),"")</x:f>
      </x:c>
      <x:c r="S1570" s="17" t="n">
        <x:f>IF('계산 과정'!$C$78,IF(AND(ISNUMBER(Q1570),ISNUMBER(R1570),ABS(Q1570-'계산 과정'!$C$88)&lt;='계산 과정'!$D$23/2,ABS(R1570-'계산 과정'!$C$89)&lt;='계산 과정'!$D$24/2),1,0),"")</x:f>
        <x:v>0</x:v>
      </x:c>
      <x:c r="T1570" s="4"/>
      <x:c r="U1570" s="4"/>
      <x:c r="V1570" s="4"/>
      <x:c r="W1570" s="4"/>
      <x:c r="X1570" s="4"/>
      <x:c r="Y1570" s="4"/>
      <x:c r="Z1570" s="4"/>
    </x:row>
    <x:row r="1571" ht="23" customHeight="1">
      <x:c r="A1571" s="17" t="n">
        <x:f>ROW()-6</x:f>
        <x:v>1565</x:v>
      </x:c>
      <x:c r="B1571" s="4" t="n">
        <x:f>IF('계산 과정'!$L$5,'계산 과정'!$L$11*SQRT((A1571+0.5)/'계산 과정'!$L$30),"")</x:f>
        <x:v>131.1453265644167</x:v>
      </x:c>
      <x:c r="C1571" s="4" t="n">
        <x:f>A1571*PI()*(3-SQRT(5))</x:f>
        <x:v>3755.9424545253414</x:v>
      </x:c>
      <x:c r="D1571" s="4" t="n">
        <x:f>IF('계산 과정'!$L$5,B1571*COS(C1571),"")</x:f>
        <x:v>21.985442612945555</x:v>
      </x:c>
      <x:c r="E1571" s="4" t="n">
        <x:f>IF('계산 과정'!$L$5,B1571*SIN(C1571),"")</x:f>
        <x:v>-129.28935374886976</x:v>
      </x:c>
      <x:c r="F1571" s="4" t="n">
        <x:f>IF('계산 과정'!$L$7,'계산 과정'!$L$22+'계산 과정'!$C$49*D1571+'계산 과정'!$D$49*E1571,"")</x:f>
        <x:v>634.4539444409985</x:v>
      </x:c>
      <x:c r="G1571" s="4" t="n">
        <x:f>IF('계산 과정'!$L$7,IF(ABS(F1571)&gt;=1E-12*MAX(1,SQRT((D1571-'계산 과정'!$C$33)^2+(E1571-'계산 과정'!$D$33)^2+'계산 과정'!$E$33^2)),('계산 과정'!$L$23-'계산 과정'!$C$49*D1571-'계산 과정'!$D$49*E1571)/F1571,""),"")</x:f>
        <x:v>0.6549664624201033</x:v>
      </x:c>
      <x:c r="H1571" s="4" t="n">
        <x:f>IF(AND(ISNUMBER(G1571),G1571&gt;0),('계산 과정'!$D$56+'계산 과정'!$D$57*D1571+'계산 과정'!$D$58*E1571)/F1571,"")</x:f>
        <x:v>25.728200573066967</x:v>
      </x:c>
      <x:c r="I1571" s="4" t="n">
        <x:f>IF(AND(ISNUMBER(G1571),G1571&gt;0),('계산 과정'!$E$56+'계산 과정'!$E$57*D1571+'계산 과정'!$E$58*E1571)/F1571,"")</x:f>
        <x:v>-213.96954440234828</x:v>
      </x:c>
      <x:c r="J1571" s="4" t="n">
        <x:f>IF('계산 과정'!$L$5,'계산 과정'!$D$6+'계산 과정'!$C$35*D1571+'계산 과정'!$D$35*E1571,"")</x:f>
        <x:v>634.4539444409985</x:v>
      </x:c>
      <x:c r="K1571" s="4" t="n">
        <x:f>IF(AND('계산 과정'!$L$6,J1571&gt;0),'계산 과정'!$D$10*('계산 과정'!$C$38*(D1571-'계산 과정'!$C$32)+'계산 과정'!$D$38*(E1571-'계산 과정'!$D$32)-'계산 과정'!$E$38*'계산 과정'!$E$32)/J1571,"")</x:f>
        <x:v>0.19602438531860644</x:v>
      </x:c>
      <x:c r="L1571" s="4" t="n">
        <x:f>IF(AND('계산 과정'!$L$6,J1571&gt;0),'계산 과정'!$D$10*('계산 과정'!$C$39*(D1571-'계산 과정'!$C$32)+'계산 과정'!$D$39*(E1571-'계산 과정'!$D$32)-'계산 과정'!$E$39*'계산 과정'!$E$32)/J1571,"")</x:f>
        <x:v>-1.6302441478274157</x:v>
      </x:c>
      <x:c r="M1571" s="17" t="n">
        <x:f>IF('계산 과정'!$L$6,IF(J1571&lt;=0,0,IF(AND(ABS(K1571)&lt;='계산 과정'!$D$11/2,ABS(L1571)&lt;='계산 과정'!$D$12/2),1,0)),"")</x:f>
        <x:v>1</x:v>
      </x:c>
      <x:c r="N1571" s="17" t="n">
        <x:f>IF('계산 과정'!$C$78,IF(AND(ISNUMBER(H1571),ISNUMBER(I1571),ABS(H1571-'계산 과정'!$C$88)&lt;='계산 과정'!$D$23/2,ABS(I1571-'계산 과정'!$C$89)&lt;='계산 과정'!$D$24/2),1,0),"")</x:f>
        <x:v>1</x:v>
      </x:c>
      <x:c r="O1571" s="4" t="n">
        <x:f>IF('계산 과정'!$L$7,'계산 과정'!$C$49*('계산 과정'!$C$32-D1571)+'계산 과정'!$D$49*('계산 과정'!$D$32-E1571)+'계산 과정'!$E$49*'계산 과정'!$E$32,"")</x:f>
        <x:v>15.546055559001616</x:v>
      </x:c>
      <x:c r="P1571" s="4" t="n">
        <x:f>IF(AND('계산 과정'!$L$7,O1571&lt;&gt;0),('계산 과정'!$L$23-'계산 과정'!$C$49*D1571-'계산 과정'!$D$49*E1571)/O1571,"")</x:f>
        <x:v>26.729999386782605</x:v>
      </x:c>
      <x:c r="Q1571" s="4" t="str">
        <x:f>IF(AND(ISNUMBER(P1571),P1571&gt;1E-9,P1571&lt;1-1E-9),'계산 과정'!$C$47*(D1571-'계산 과정'!$C$50+P1571*('계산 과정'!$C$32-D1571))+'계산 과정'!$D$47*(E1571-'계산 과정'!$D$50+P1571*('계산 과정'!$D$32-E1571))+'계산 과정'!$E$47*(0-'계산 과정'!$E$50+P1571*('계산 과정'!$E$32-0)),"")</x:f>
      </x:c>
      <x:c r="R1571" s="4" t="str">
        <x:f>IF(AND(ISNUMBER(P1571),P1571&gt;1E-9,P1571&lt;1-1E-9),'계산 과정'!$C$48*(D1571-'계산 과정'!$C$50+P1571*('계산 과정'!$C$32-D1571))+'계산 과정'!$D$48*(E1571-'계산 과정'!$D$50+P1571*('계산 과정'!$D$32-E1571))+'계산 과정'!$E$48*(0-'계산 과정'!$E$50+P1571*('계산 과정'!$E$32-0)),"")</x:f>
      </x:c>
      <x:c r="S1571" s="17" t="n">
        <x:f>IF('계산 과정'!$C$78,IF(AND(ISNUMBER(Q1571),ISNUMBER(R1571),ABS(Q1571-'계산 과정'!$C$88)&lt;='계산 과정'!$D$23/2,ABS(R1571-'계산 과정'!$C$89)&lt;='계산 과정'!$D$24/2),1,0),"")</x:f>
        <x:v>0</x:v>
      </x:c>
      <x:c r="T1571" s="4"/>
      <x:c r="U1571" s="4"/>
      <x:c r="V1571" s="4"/>
      <x:c r="W1571" s="4"/>
      <x:c r="X1571" s="4"/>
      <x:c r="Y1571" s="4"/>
      <x:c r="Z1571" s="4"/>
    </x:row>
    <x:row r="1572" ht="23" customHeight="1">
      <x:c r="A1572" s="17" t="n">
        <x:f>ROW()-6</x:f>
        <x:v>1566</x:v>
      </x:c>
      <x:c r="B1572" s="4" t="n">
        <x:f>IF('계산 과정'!$L$5,'계산 과정'!$L$11*SQRT((A1572+0.5)/'계산 과정'!$L$30),"")</x:f>
        <x:v>131.18720596084248</x:v>
      </x:c>
      <x:c r="C1572" s="4" t="n">
        <x:f>A1572*PI()*(3-SQRT(5))</x:f>
        <x:v>3758.3424177550705</x:v>
      </x:c>
      <x:c r="D1572" s="4" t="n">
        <x:f>IF('계산 과정'!$L$5,B1572*COS(C1572),"")</x:f>
        <x:v>71.14503435810049</x:v>
      </x:c>
      <x:c r="E1572" s="4" t="n">
        <x:f>IF('계산 과정'!$L$5,B1572*SIN(C1572),"")</x:f>
        <x:v>110.22008480307572</x:v>
      </x:c>
      <x:c r="F1572" s="4" t="n">
        <x:f>IF('계산 과정'!$L$7,'계산 과정'!$L$22+'계산 과정'!$C$49*D1572+'계산 과정'!$D$49*E1572,"")</x:f>
        <x:v>599.6928637576373</x:v>
      </x:c>
      <x:c r="G1572" s="4" t="n">
        <x:f>IF('계산 과정'!$L$7,IF(ABS(F1572)&gt;=1E-12*MAX(1,SQRT((D1572-'계산 과정'!$C$33)^2+(E1572-'계산 과정'!$D$33)^2+'계산 과정'!$E$33^2)),('계산 과정'!$L$23-'계산 과정'!$C$49*D1572-'계산 과정'!$D$49*E1572)/F1572,""),"")</x:f>
        <x:v>0.7508962728366767</x:v>
      </x:c>
      <x:c r="H1572" s="4" t="n">
        <x:f>IF(AND(ISNUMBER(G1572),G1572&gt;0),('계산 과정'!$D$56+'계산 과정'!$D$57*D1572+'계산 과정'!$D$58*E1572)/F1572,"")</x:f>
        <x:v>88.08257734383976</x:v>
      </x:c>
      <x:c r="I1572" s="4" t="n">
        <x:f>IF(AND(ISNUMBER(G1572),G1572&gt;0),('계산 과정'!$E$56+'계산 과정'!$E$57*D1572+'계산 과정'!$E$58*E1572)/F1572,"")</x:f>
        <x:v>192.98393567344772</x:v>
      </x:c>
      <x:c r="J1572" s="4" t="n">
        <x:f>IF('계산 과정'!$L$5,'계산 과정'!$D$6+'계산 과정'!$C$35*D1572+'계산 과정'!$D$35*E1572,"")</x:f>
        <x:v>599.6928637576373</x:v>
      </x:c>
      <x:c r="K1572" s="4" t="n">
        <x:f>IF(AND('계산 과정'!$L$6,J1572&gt;0),'계산 과정'!$D$10*('계산 과정'!$C$38*(D1572-'계산 과정'!$C$32)+'계산 과정'!$D$38*(E1572-'계산 과정'!$D$32)-'계산 과정'!$E$38*'계산 과정'!$E$32)/J1572,"")</x:f>
        <x:v>0.6711053511911611</x:v>
      </x:c>
      <x:c r="L1572" s="4" t="n">
        <x:f>IF(AND('계산 과정'!$L$6,J1572&gt;0),'계산 과정'!$D$10*('계산 과정'!$C$39*(D1572-'계산 과정'!$C$32)+'계산 과정'!$D$39*(E1572-'계산 과정'!$D$32)-'계산 과정'!$E$39*'계산 과정'!$E$32)/J1572,"")</x:f>
        <x:v>1.4703537956072206</x:v>
      </x:c>
      <x:c r="M1572" s="17" t="n">
        <x:f>IF('계산 과정'!$L$6,IF(J1572&lt;=0,0,IF(AND(ABS(K1572)&lt;='계산 과정'!$D$11/2,ABS(L1572)&lt;='계산 과정'!$D$12/2),1,0)),"")</x:f>
        <x:v>1</x:v>
      </x:c>
      <x:c r="N1572" s="17" t="n">
        <x:f>IF('계산 과정'!$C$78,IF(AND(ISNUMBER(H1572),ISNUMBER(I1572),ABS(H1572-'계산 과정'!$C$88)&lt;='계산 과정'!$D$23/2,ABS(I1572-'계산 과정'!$C$89)&lt;='계산 과정'!$D$24/2),1,0),"")</x:f>
        <x:v>1</x:v>
      </x:c>
      <x:c r="O1572" s="4" t="n">
        <x:f>IF('계산 과정'!$L$7,'계산 과정'!$C$49*('계산 과정'!$C$32-D1572)+'계산 과정'!$D$49*('계산 과정'!$D$32-E1572)+'계산 과정'!$E$49*'계산 과정'!$E$32,"")</x:f>
        <x:v>50.307136242362844</x:v>
      </x:c>
      <x:c r="P1572" s="4" t="n">
        <x:f>IF(AND('계산 과정'!$L$7,O1572&lt;&gt;0),('계산 과정'!$L$23-'계산 과정'!$C$49*D1572-'계산 과정'!$D$49*E1572)/O1572,"")</x:f>
        <x:v>8.95115822282021</x:v>
      </x:c>
      <x:c r="Q1572" s="4" t="str">
        <x:f>IF(AND(ISNUMBER(P1572),P1572&gt;1E-9,P1572&lt;1-1E-9),'계산 과정'!$C$47*(D1572-'계산 과정'!$C$50+P1572*('계산 과정'!$C$32-D1572))+'계산 과정'!$D$47*(E1572-'계산 과정'!$D$50+P1572*('계산 과정'!$D$32-E1572))+'계산 과정'!$E$47*(0-'계산 과정'!$E$50+P1572*('계산 과정'!$E$32-0)),"")</x:f>
      </x:c>
      <x:c r="R1572" s="4" t="str">
        <x:f>IF(AND(ISNUMBER(P1572),P1572&gt;1E-9,P1572&lt;1-1E-9),'계산 과정'!$C$48*(D1572-'계산 과정'!$C$50+P1572*('계산 과정'!$C$32-D1572))+'계산 과정'!$D$48*(E1572-'계산 과정'!$D$50+P1572*('계산 과정'!$D$32-E1572))+'계산 과정'!$E$48*(0-'계산 과정'!$E$50+P1572*('계산 과정'!$E$32-0)),"")</x:f>
      </x:c>
      <x:c r="S1572" s="17" t="n">
        <x:f>IF('계산 과정'!$C$78,IF(AND(ISNUMBER(Q1572),ISNUMBER(R1572),ABS(Q1572-'계산 과정'!$C$88)&lt;='계산 과정'!$D$23/2,ABS(R1572-'계산 과정'!$C$89)&lt;='계산 과정'!$D$24/2),1,0),"")</x:f>
        <x:v>0</x:v>
      </x:c>
      <x:c r="T1572" s="4"/>
      <x:c r="U1572" s="4"/>
      <x:c r="V1572" s="4"/>
      <x:c r="W1572" s="4"/>
      <x:c r="X1572" s="4"/>
      <x:c r="Y1572" s="4"/>
      <x:c r="Z1572" s="4"/>
    </x:row>
    <x:row r="1573" ht="23" customHeight="1">
      <x:c r="A1573" s="17" t="n">
        <x:f>ROW()-6</x:f>
        <x:v>1567</x:v>
      </x:c>
      <x:c r="B1573" s="4" t="n">
        <x:f>IF('계산 과정'!$L$5,'계산 과정'!$L$11*SQRT((A1573+0.5)/'계산 과정'!$L$30),"")</x:f>
        <x:v>131.2290719922133</x:v>
      </x:c>
      <x:c r="C1573" s="4" t="n">
        <x:f>A1573*PI()*(3-SQRT(5))</x:f>
        <x:v>3760.742380984799</x:v>
      </x:c>
      <x:c r="D1573" s="4" t="n">
        <x:f>IF('계산 과정'!$L$5,B1573*COS(C1573),"")</x:f>
        <x:v>-126.9532335926129</x:v>
      </x:c>
      <x:c r="E1573" s="4" t="n">
        <x:f>IF('계산 과정'!$L$5,B1573*SIN(C1573),"")</x:f>
        <x:v>-33.225680073054434</x:v>
      </x:c>
      <x:c r="F1573" s="4" t="n">
        <x:f>IF('계산 과정'!$L$7,'계산 과정'!$L$22+'계산 과정'!$C$49*D1573+'계산 과정'!$D$49*E1573,"")</x:f>
        <x:v>739.7694923668964</x:v>
      </x:c>
      <x:c r="G1573" s="4" t="n">
        <x:f>IF('계산 과정'!$L$7,IF(ABS(F1573)&gt;=1E-12*MAX(1,SQRT((D1573-'계산 과정'!$C$33)^2+(E1573-'계산 과정'!$D$33)^2+'계산 과정'!$E$33^2)),('계산 과정'!$L$23-'계산 과정'!$C$49*D1573-'계산 과정'!$D$49*E1573)/F1573,""),"")</x:f>
        <x:v>0.41936104534470525</x:v>
      </x:c>
      <x:c r="H1573" s="4" t="n">
        <x:f>IF(AND(ISNUMBER(G1573),G1573&gt;0),('계산 과정'!$D$56+'계산 과정'!$D$57*D1573+'계산 과정'!$D$58*E1573)/F1573,"")</x:f>
        <x:v>-127.41532052594172</x:v>
      </x:c>
      <x:c r="I1573" s="4" t="n">
        <x:f>IF(AND(ISNUMBER(G1573),G1573&gt;0),('계산 과정'!$E$56+'계산 과정'!$E$57*D1573+'계산 과정'!$E$58*E1573)/F1573,"")</x:f>
        <x:v>-47.15923600077928</x:v>
      </x:c>
      <x:c r="J1573" s="4" t="n">
        <x:f>IF('계산 과정'!$L$5,'계산 과정'!$D$6+'계산 과정'!$C$35*D1573+'계산 과정'!$D$35*E1573,"")</x:f>
        <x:v>739.7694923668964</x:v>
      </x:c>
      <x:c r="K1573" s="4" t="n">
        <x:f>IF(AND('계산 과정'!$L$6,J1573&gt;0),'계산 과정'!$D$10*('계산 과정'!$C$38*(D1573-'계산 과정'!$C$32)+'계산 과정'!$D$38*(E1573-'계산 과정'!$D$32)-'계산 과정'!$E$38*'계산 과정'!$E$32)/J1573,"")</x:f>
        <x:v>-0.9707833944833649</x:v>
      </x:c>
      <x:c r="L1573" s="4" t="n">
        <x:f>IF(AND('계산 과정'!$L$6,J1573&gt;0),'계산 과정'!$D$10*('계산 과정'!$C$39*(D1573-'계산 과정'!$C$32)+'계산 과정'!$D$39*(E1573-'계산 과정'!$D$32)-'계산 과정'!$E$39*'계산 과정'!$E$32)/J1573,"")</x:f>
        <x:v>-0.3593084647678421</x:v>
      </x:c>
      <x:c r="M1573" s="17" t="n">
        <x:f>IF('계산 과정'!$L$6,IF(J1573&lt;=0,0,IF(AND(ABS(K1573)&lt;='계산 과정'!$D$11/2,ABS(L1573)&lt;='계산 과정'!$D$12/2),1,0)),"")</x:f>
        <x:v>1</x:v>
      </x:c>
      <x:c r="N1573" s="17" t="n">
        <x:f>IF('계산 과정'!$C$78,IF(AND(ISNUMBER(H1573),ISNUMBER(I1573),ABS(H1573-'계산 과정'!$C$88)&lt;='계산 과정'!$D$23/2,ABS(I1573-'계산 과정'!$C$89)&lt;='계산 과정'!$D$24/2),1,0),"")</x:f>
        <x:v>1</x:v>
      </x:c>
      <x:c r="O1573" s="4" t="n">
        <x:f>IF('계산 과정'!$L$7,'계산 과정'!$C$49*('계산 과정'!$C$32-D1573)+'계산 과정'!$D$49*('계산 과정'!$D$32-E1573)+'계산 과정'!$E$49*'계산 과정'!$E$32,"")</x:f>
        <x:v>-89.76949236689632</x:v>
      </x:c>
      <x:c r="P1573" s="4" t="n">
        <x:f>IF(AND('계산 과정'!$L$7,O1573&lt;&gt;0),('계산 과정'!$L$23-'계산 과정'!$C$49*D1573-'계산 과정'!$D$49*E1573)/O1573,"")</x:f>
        <x:v>-3.455856766630277</x:v>
      </x:c>
      <x:c r="Q1573" s="4" t="str">
        <x:f>IF(AND(ISNUMBER(P1573),P1573&gt;1E-9,P1573&lt;1-1E-9),'계산 과정'!$C$47*(D1573-'계산 과정'!$C$50+P1573*('계산 과정'!$C$32-D1573))+'계산 과정'!$D$47*(E1573-'계산 과정'!$D$50+P1573*('계산 과정'!$D$32-E1573))+'계산 과정'!$E$47*(0-'계산 과정'!$E$50+P1573*('계산 과정'!$E$32-0)),"")</x:f>
      </x:c>
      <x:c r="R1573" s="4" t="str">
        <x:f>IF(AND(ISNUMBER(P1573),P1573&gt;1E-9,P1573&lt;1-1E-9),'계산 과정'!$C$48*(D1573-'계산 과정'!$C$50+P1573*('계산 과정'!$C$32-D1573))+'계산 과정'!$D$48*(E1573-'계산 과정'!$D$50+P1573*('계산 과정'!$D$32-E1573))+'계산 과정'!$E$48*(0-'계산 과정'!$E$50+P1573*('계산 과정'!$E$32-0)),"")</x:f>
      </x:c>
      <x:c r="S1573" s="17" t="n">
        <x:f>IF('계산 과정'!$C$78,IF(AND(ISNUMBER(Q1573),ISNUMBER(R1573),ABS(Q1573-'계산 과정'!$C$88)&lt;='계산 과정'!$D$23/2,ABS(R1573-'계산 과정'!$C$89)&lt;='계산 과정'!$D$24/2),1,0),"")</x:f>
        <x:v>0</x:v>
      </x:c>
      <x:c r="T1573" s="4"/>
      <x:c r="U1573" s="4"/>
      <x:c r="V1573" s="4"/>
      <x:c r="W1573" s="4"/>
      <x:c r="X1573" s="4"/>
      <x:c r="Y1573" s="4"/>
      <x:c r="Z1573" s="4"/>
    </x:row>
    <x:row r="1574" ht="23" customHeight="1">
      <x:c r="A1574" s="17" t="n">
        <x:f>ROW()-6</x:f>
        <x:v>1568</x:v>
      </x:c>
      <x:c r="B1574" s="4" t="n">
        <x:f>IF('계산 과정'!$L$5,'계산 과정'!$L$11*SQRT((A1574+0.5)/'계산 과정'!$L$30),"")</x:f>
        <x:v>131.2709246713167</x:v>
      </x:c>
      <x:c r="C1574" s="4" t="n">
        <x:f>A1574*PI()*(3-SQRT(5))</x:f>
        <x:v>3763.1423442145274</x:v>
      </x:c>
      <x:c r="D1574" s="4" t="n">
        <x:f>IF('계산 과정'!$L$5,B1574*COS(C1574),"")</x:f>
        <x:v>116.09200106474789</x:v>
      </x:c>
      <x:c r="E1574" s="4" t="n">
        <x:f>IF('계산 과정'!$L$5,B1574*SIN(C1574),"")</x:f>
        <x:v>-61.275630986919055</x:v>
      </x:c>
      <x:c r="F1574" s="4" t="n">
        <x:f>IF('계산 과정'!$L$7,'계산 과정'!$L$22+'계산 과정'!$C$49*D1574+'계산 과정'!$D$49*E1574,"")</x:f>
        <x:v>567.9105588056009</x:v>
      </x:c>
      <x:c r="G1574" s="4" t="n">
        <x:f>IF('계산 과정'!$L$7,IF(ABS(F1574)&gt;=1E-12*MAX(1,SQRT((D1574-'계산 과정'!$C$33)^2+(E1574-'계산 과정'!$D$33)^2+'계산 과정'!$E$33^2)),('계산 과정'!$L$23-'계산 과정'!$C$49*D1574-'계산 과정'!$D$49*E1574)/F1574,""),"")</x:f>
        <x:v>0.8488826871053495</x:v>
      </x:c>
      <x:c r="H1574" s="4" t="n">
        <x:f>IF(AND(ISNUMBER(G1574),G1574&gt;0),('계산 과정'!$D$56+'계산 과정'!$D$57*D1574+'계산 과정'!$D$58*E1574)/F1574,"")</x:f>
        <x:v>151.77374661847713</x:v>
      </x:c>
      <x:c r="I1574" s="4" t="n">
        <x:f>IF(AND(ISNUMBER(G1574),G1574&gt;0),('계산 과정'!$E$56+'계산 과정'!$E$57*D1574+'계산 과정'!$E$58*E1574)/F1574,"")</x:f>
        <x:v>-113.29145327317073</x:v>
      </x:c>
      <x:c r="J1574" s="4" t="n">
        <x:f>IF('계산 과정'!$L$5,'계산 과정'!$D$6+'계산 과정'!$C$35*D1574+'계산 과정'!$D$35*E1574,"")</x:f>
        <x:v>567.9105588056009</x:v>
      </x:c>
      <x:c r="K1574" s="4" t="n">
        <x:f>IF(AND('계산 과정'!$L$6,J1574&gt;0),'계산 과정'!$D$10*('계산 과정'!$C$38*(D1574-'계산 과정'!$C$32)+'계산 과정'!$D$38*(E1574-'계산 과정'!$D$32)-'계산 과정'!$E$38*'계산 과정'!$E$32)/J1574,"")</x:f>
        <x:v>1.1563714028074459</x:v>
      </x:c>
      <x:c r="L1574" s="4" t="n">
        <x:f>IF(AND('계산 과정'!$L$6,J1574&gt;0),'계산 과정'!$D$10*('계산 과정'!$C$39*(D1574-'계산 과정'!$C$32)+'계산 과정'!$D$39*(E1574-'계산 과정'!$D$32)-'계산 과정'!$E$39*'계산 과정'!$E$32)/J1574,"")</x:f>
        <x:v>-0.863172977319396</x:v>
      </x:c>
      <x:c r="M1574" s="17" t="n">
        <x:f>IF('계산 과정'!$L$6,IF(J1574&lt;=0,0,IF(AND(ABS(K1574)&lt;='계산 과정'!$D$11/2,ABS(L1574)&lt;='계산 과정'!$D$12/2),1,0)),"")</x:f>
        <x:v>1</x:v>
      </x:c>
      <x:c r="N1574" s="17" t="n">
        <x:f>IF('계산 과정'!$C$78,IF(AND(ISNUMBER(H1574),ISNUMBER(I1574),ABS(H1574-'계산 과정'!$C$88)&lt;='계산 과정'!$D$23/2,ABS(I1574-'계산 과정'!$C$89)&lt;='계산 과정'!$D$24/2),1,0),"")</x:f>
        <x:v>1</x:v>
      </x:c>
      <x:c r="O1574" s="4" t="n">
        <x:f>IF('계산 과정'!$L$7,'계산 과정'!$C$49*('계산 과정'!$C$32-D1574)+'계산 과정'!$D$49*('계산 과정'!$D$32-E1574)+'계산 과정'!$E$49*'계산 과정'!$E$32,"")</x:f>
        <x:v>82.08944119439923</x:v>
      </x:c>
      <x:c r="P1574" s="4" t="n">
        <x:f>IF(AND('계산 과정'!$L$7,O1574&lt;&gt;0),('계산 과정'!$L$23-'계산 과정'!$C$49*D1574-'계산 과정'!$D$49*E1574)/O1574,"")</x:f>
        <x:v>5.872733864185337</x:v>
      </x:c>
      <x:c r="Q1574" s="4" t="str">
        <x:f>IF(AND(ISNUMBER(P1574),P1574&gt;1E-9,P1574&lt;1-1E-9),'계산 과정'!$C$47*(D1574-'계산 과정'!$C$50+P1574*('계산 과정'!$C$32-D1574))+'계산 과정'!$D$47*(E1574-'계산 과정'!$D$50+P1574*('계산 과정'!$D$32-E1574))+'계산 과정'!$E$47*(0-'계산 과정'!$E$50+P1574*('계산 과정'!$E$32-0)),"")</x:f>
      </x:c>
      <x:c r="R1574" s="4" t="str">
        <x:f>IF(AND(ISNUMBER(P1574),P1574&gt;1E-9,P1574&lt;1-1E-9),'계산 과정'!$C$48*(D1574-'계산 과정'!$C$50+P1574*('계산 과정'!$C$32-D1574))+'계산 과정'!$D$48*(E1574-'계산 과정'!$D$50+P1574*('계산 과정'!$D$32-E1574))+'계산 과정'!$E$48*(0-'계산 과정'!$E$50+P1574*('계산 과정'!$E$32-0)),"")</x:f>
      </x:c>
      <x:c r="S1574" s="17" t="n">
        <x:f>IF('계산 과정'!$C$78,IF(AND(ISNUMBER(Q1574),ISNUMBER(R1574),ABS(Q1574-'계산 과정'!$C$88)&lt;='계산 과정'!$D$23/2,ABS(R1574-'계산 과정'!$C$89)&lt;='계산 과정'!$D$24/2),1,0),"")</x:f>
        <x:v>0</x:v>
      </x:c>
      <x:c r="T1574" s="4"/>
      <x:c r="U1574" s="4"/>
      <x:c r="V1574" s="4"/>
      <x:c r="W1574" s="4"/>
      <x:c r="X1574" s="4"/>
      <x:c r="Y1574" s="4"/>
      <x:c r="Z1574" s="4"/>
    </x:row>
    <x:row r="1575" ht="23" customHeight="1">
      <x:c r="A1575" s="17" t="n">
        <x:f>ROW()-6</x:f>
        <x:v>1569</x:v>
      </x:c>
      <x:c r="B1575" s="4" t="n">
        <x:f>IF('계산 과정'!$L$5,'계산 과정'!$L$11*SQRT((A1575+0.5)/'계산 과정'!$L$30),"")</x:f>
        <x:v>131.31276401091975</x:v>
      </x:c>
      <x:c r="C1575" s="4" t="n">
        <x:f>A1575*PI()*(3-SQRT(5))</x:f>
        <x:v>3765.5423074442565</x:v>
      </x:c>
      <x:c r="D1575" s="4" t="n">
        <x:f>IF('계산 과정'!$L$5,B1575*COS(C1575),"")</x:f>
        <x:v>-44.22562589874025</x:v>
      </x:c>
      <x:c r="E1575" s="4" t="n">
        <x:f>IF('계산 과정'!$L$5,B1575*SIN(C1575),"")</x:f>
        <x:v>123.64115822027945</x:v>
      </x:c>
      <x:c r="F1575" s="4" t="n">
        <x:f>IF('계산 과정'!$L$7,'계산 과정'!$L$22+'계산 과정'!$C$49*D1575+'계산 과정'!$D$49*E1575,"")</x:f>
        <x:v>681.2722399752187</x:v>
      </x:c>
      <x:c r="G1575" s="4" t="n">
        <x:f>IF('계산 과정'!$L$7,IF(ABS(F1575)&gt;=1E-12*MAX(1,SQRT((D1575-'계산 과정'!$C$33)^2+(E1575-'계산 과정'!$D$33)^2+'계산 과정'!$E$33^2)),('계산 과정'!$L$23-'계산 과정'!$C$49*D1575-'계산 과정'!$D$49*E1575)/F1575,""),"")</x:f>
        <x:v>0.541234088795683</x:v>
      </x:c>
      <x:c r="H1575" s="4" t="n">
        <x:f>IF(AND(ISNUMBER(G1575),G1575&gt;0),('계산 과정'!$D$56+'계산 과정'!$D$57*D1575+'계산 과정'!$D$58*E1575)/F1575,"")</x:f>
        <x:v>-48.19784228280613</x:v>
      </x:c>
      <x:c r="I1575" s="4" t="n">
        <x:f>IF(AND(ISNUMBER(G1575),G1575&gt;0),('계산 과정'!$E$56+'계산 과정'!$E$57*D1575+'계산 과정'!$E$58*E1575)/F1575,"")</x:f>
        <x:v>190.55996782727527</x:v>
      </x:c>
      <x:c r="J1575" s="4" t="n">
        <x:f>IF('계산 과정'!$L$5,'계산 과정'!$D$6+'계산 과정'!$C$35*D1575+'계산 과정'!$D$35*E1575,"")</x:f>
        <x:v>681.2722399752187</x:v>
      </x:c>
      <x:c r="K1575" s="4" t="n">
        <x:f>IF(AND('계산 과정'!$L$6,J1575&gt;0),'계산 과정'!$D$10*('계산 과정'!$C$38*(D1575-'계산 과정'!$C$32)+'계산 과정'!$D$38*(E1575-'계산 과정'!$D$32)-'계산 과정'!$E$38*'계산 과정'!$E$32)/J1575,"")</x:f>
        <x:v>-0.3672216554880456</x:v>
      </x:c>
      <x:c r="L1575" s="4" t="n">
        <x:f>IF(AND('계산 과정'!$L$6,J1575&gt;0),'계산 과정'!$D$10*('계산 과정'!$C$39*(D1575-'계산 과정'!$C$32)+'계산 과정'!$D$39*(E1575-'계산 과정'!$D$32)-'계산 과정'!$E$39*'계산 과정'!$E$32)/J1575,"")</x:f>
        <x:v>1.4518854691601926</x:v>
      </x:c>
      <x:c r="M1575" s="17" t="n">
        <x:f>IF('계산 과정'!$L$6,IF(J1575&lt;=0,0,IF(AND(ABS(K1575)&lt;='계산 과정'!$D$11/2,ABS(L1575)&lt;='계산 과정'!$D$12/2),1,0)),"")</x:f>
        <x:v>1</x:v>
      </x:c>
      <x:c r="N1575" s="17" t="n">
        <x:f>IF('계산 과정'!$C$78,IF(AND(ISNUMBER(H1575),ISNUMBER(I1575),ABS(H1575-'계산 과정'!$C$88)&lt;='계산 과정'!$D$23/2,ABS(I1575-'계산 과정'!$C$89)&lt;='계산 과정'!$D$24/2),1,0),"")</x:f>
        <x:v>1</x:v>
      </x:c>
      <x:c r="O1575" s="4" t="n">
        <x:f>IF('계산 과정'!$L$7,'계산 과정'!$C$49*('계산 과정'!$C$32-D1575)+'계산 과정'!$D$49*('계산 과정'!$D$32-E1575)+'계산 과정'!$E$49*'계산 과정'!$E$32,"")</x:f>
        <x:v>-31.272239975218497</x:v>
      </x:c>
      <x:c r="P1575" s="4" t="n">
        <x:f>IF(AND('계산 과정'!$L$7,O1575&lt;&gt;0),('계산 과정'!$L$23-'계산 과정'!$C$49*D1575-'계산 과정'!$D$49*E1575)/O1575,"")</x:f>
        <x:v>-11.790896984577298</x:v>
      </x:c>
      <x:c r="Q1575" s="4" t="str">
        <x:f>IF(AND(ISNUMBER(P1575),P1575&gt;1E-9,P1575&lt;1-1E-9),'계산 과정'!$C$47*(D1575-'계산 과정'!$C$50+P1575*('계산 과정'!$C$32-D1575))+'계산 과정'!$D$47*(E1575-'계산 과정'!$D$50+P1575*('계산 과정'!$D$32-E1575))+'계산 과정'!$E$47*(0-'계산 과정'!$E$50+P1575*('계산 과정'!$E$32-0)),"")</x:f>
      </x:c>
      <x:c r="R1575" s="4" t="str">
        <x:f>IF(AND(ISNUMBER(P1575),P1575&gt;1E-9,P1575&lt;1-1E-9),'계산 과정'!$C$48*(D1575-'계산 과정'!$C$50+P1575*('계산 과정'!$C$32-D1575))+'계산 과정'!$D$48*(E1575-'계산 과정'!$D$50+P1575*('계산 과정'!$D$32-E1575))+'계산 과정'!$E$48*(0-'계산 과정'!$E$50+P1575*('계산 과정'!$E$32-0)),"")</x:f>
      </x:c>
      <x:c r="S1575" s="17" t="n">
        <x:f>IF('계산 과정'!$C$78,IF(AND(ISNUMBER(Q1575),ISNUMBER(R1575),ABS(Q1575-'계산 과정'!$C$88)&lt;='계산 과정'!$D$23/2,ABS(R1575-'계산 과정'!$C$89)&lt;='계산 과정'!$D$24/2),1,0),"")</x:f>
        <x:v>0</x:v>
      </x:c>
      <x:c r="T1575" s="4"/>
      <x:c r="U1575" s="4"/>
      <x:c r="V1575" s="4"/>
      <x:c r="W1575" s="4"/>
      <x:c r="X1575" s="4"/>
      <x:c r="Y1575" s="4"/>
      <x:c r="Z1575" s="4"/>
    </x:row>
    <x:row r="1576" ht="23" customHeight="1">
      <x:c r="A1576" s="17" t="n">
        <x:f>ROW()-6</x:f>
        <x:v>1570</x:v>
      </x:c>
      <x:c r="B1576" s="4" t="n">
        <x:f>IF('계산 과정'!$L$5,'계산 과정'!$L$11*SQRT((A1576+0.5)/'계산 과정'!$L$30),"")</x:f>
        <x:v>131.35459002376925</x:v>
      </x:c>
      <x:c r="C1576" s="4" t="n">
        <x:f>A1576*PI()*(3-SQRT(5))</x:f>
        <x:v>3767.942270673985</x:v>
      </x:c>
      <x:c r="D1576" s="4" t="n">
        <x:f>IF('계산 과정'!$L$5,B1576*COS(C1576),"")</x:f>
        <x:v>-50.924017456104174</x:v>
      </x:c>
      <x:c r="E1576" s="4" t="n">
        <x:f>IF('계산 과정'!$L$5,B1576*SIN(C1576),"")</x:f>
        <x:v>-121.08167807906733</x:v>
      </x:c>
      <x:c r="F1576" s="4" t="n">
        <x:f>IF('계산 과정'!$L$7,'계산 과정'!$L$22+'계산 과정'!$C$49*D1576+'계산 과정'!$D$49*E1576,"")</x:f>
        <x:v>686.0087180684734</x:v>
      </x:c>
      <x:c r="G1576" s="4" t="n">
        <x:f>IF('계산 과정'!$L$7,IF(ABS(F1576)&gt;=1E-12*MAX(1,SQRT((D1576-'계산 과정'!$C$33)^2+(E1576-'계산 과정'!$D$33)^2+'계산 과정'!$E$33^2)),('계산 과정'!$L$23-'계산 과정'!$C$49*D1576-'계산 과정'!$D$49*E1576)/F1576,""),"")</x:f>
        <x:v>0.5305927932758358</x:v>
      </x:c>
      <x:c r="H1576" s="4" t="n">
        <x:f>IF(AND(ISNUMBER(G1576),G1576&gt;0),('계산 과정'!$D$56+'계산 과정'!$D$57*D1576+'계산 과정'!$D$58*E1576)/F1576,"")</x:f>
        <x:v>-55.11468437070685</x:v>
      </x:c>
      <x:c r="I1576" s="4" t="n">
        <x:f>IF(AND(ISNUMBER(G1576),G1576&gt;0),('계산 과정'!$E$56+'계산 과정'!$E$57*D1576+'계산 과정'!$E$58*E1576)/F1576,"")</x:f>
        <x:v>-185.3267438655652</x:v>
      </x:c>
      <x:c r="J1576" s="4" t="n">
        <x:f>IF('계산 과정'!$L$5,'계산 과정'!$D$6+'계산 과정'!$C$35*D1576+'계산 과정'!$D$35*E1576,"")</x:f>
        <x:v>686.0087180684734</x:v>
      </x:c>
      <x:c r="K1576" s="4" t="n">
        <x:f>IF(AND('계산 과정'!$L$6,J1576&gt;0),'계산 과정'!$D$10*('계산 과정'!$C$38*(D1576-'계산 과정'!$C$32)+'계산 과정'!$D$38*(E1576-'계산 과정'!$D$32)-'계산 과정'!$E$38*'계산 과정'!$E$32)/J1576,"")</x:f>
        <x:v>-0.41992140472919437</x:v>
      </x:c>
      <x:c r="L1576" s="4" t="n">
        <x:f>IF(AND('계산 과정'!$L$6,J1576&gt;0),'계산 과정'!$D$10*('계산 과정'!$C$39*(D1576-'계산 과정'!$C$32)+'계산 과정'!$D$39*(E1576-'계산 과정'!$D$32)-'계산 과정'!$E$39*'계산 과정'!$E$32)/J1576,"")</x:f>
        <x:v>-1.4120132865947825</x:v>
      </x:c>
      <x:c r="M1576" s="17" t="n">
        <x:f>IF('계산 과정'!$L$6,IF(J1576&lt;=0,0,IF(AND(ABS(K1576)&lt;='계산 과정'!$D$11/2,ABS(L1576)&lt;='계산 과정'!$D$12/2),1,0)),"")</x:f>
        <x:v>1</x:v>
      </x:c>
      <x:c r="N1576" s="17" t="n">
        <x:f>IF('계산 과정'!$C$78,IF(AND(ISNUMBER(H1576),ISNUMBER(I1576),ABS(H1576-'계산 과정'!$C$88)&lt;='계산 과정'!$D$23/2,ABS(I1576-'계산 과정'!$C$89)&lt;='계산 과정'!$D$24/2),1,0),"")</x:f>
        <x:v>1</x:v>
      </x:c>
      <x:c r="O1576" s="4" t="n">
        <x:f>IF('계산 과정'!$L$7,'계산 과정'!$C$49*('계산 과정'!$C$32-D1576)+'계산 과정'!$D$49*('계산 과정'!$D$32-E1576)+'계산 과정'!$E$49*'계산 과정'!$E$32,"")</x:f>
        <x:v>-36.008718068473286</x:v>
      </x:c>
      <x:c r="P1576" s="4" t="n">
        <x:f>IF(AND('계산 과정'!$L$7,O1576&lt;&gt;0),('계산 과정'!$L$23-'계산 과정'!$C$49*D1576-'계산 과정'!$D$49*E1576)/O1576,"")</x:f>
        <x:v>-10.108421000696826</x:v>
      </x:c>
      <x:c r="Q1576" s="4" t="str">
        <x:f>IF(AND(ISNUMBER(P1576),P1576&gt;1E-9,P1576&lt;1-1E-9),'계산 과정'!$C$47*(D1576-'계산 과정'!$C$50+P1576*('계산 과정'!$C$32-D1576))+'계산 과정'!$D$47*(E1576-'계산 과정'!$D$50+P1576*('계산 과정'!$D$32-E1576))+'계산 과정'!$E$47*(0-'계산 과정'!$E$50+P1576*('계산 과정'!$E$32-0)),"")</x:f>
      </x:c>
      <x:c r="R1576" s="4" t="str">
        <x:f>IF(AND(ISNUMBER(P1576),P1576&gt;1E-9,P1576&lt;1-1E-9),'계산 과정'!$C$48*(D1576-'계산 과정'!$C$50+P1576*('계산 과정'!$C$32-D1576))+'계산 과정'!$D$48*(E1576-'계산 과정'!$D$50+P1576*('계산 과정'!$D$32-E1576))+'계산 과정'!$E$48*(0-'계산 과정'!$E$50+P1576*('계산 과정'!$E$32-0)),"")</x:f>
      </x:c>
      <x:c r="S1576" s="17" t="n">
        <x:f>IF('계산 과정'!$C$78,IF(AND(ISNUMBER(Q1576),ISNUMBER(R1576),ABS(Q1576-'계산 과정'!$C$88)&lt;='계산 과정'!$D$23/2,ABS(R1576-'계산 과정'!$C$89)&lt;='계산 과정'!$D$24/2),1,0),"")</x:f>
        <x:v>0</x:v>
      </x:c>
      <x:c r="T1576" s="4"/>
      <x:c r="U1576" s="4"/>
      <x:c r="V1576" s="4"/>
      <x:c r="W1576" s="4"/>
      <x:c r="X1576" s="4"/>
      <x:c r="Y1576" s="4"/>
      <x:c r="Z1576" s="4"/>
    </x:row>
    <x:row r="1577" ht="23" customHeight="1">
      <x:c r="A1577" s="17" t="n">
        <x:f>ROW()-6</x:f>
        <x:v>1571</x:v>
      </x:c>
      <x:c r="B1577" s="4" t="n">
        <x:f>IF('계산 과정'!$L$5,'계산 과정'!$L$11*SQRT((A1577+0.5)/'계산 과정'!$L$30),"")</x:f>
        <x:v>131.3964027225917</x:v>
      </x:c>
      <x:c r="C1577" s="4" t="n">
        <x:f>A1577*PI()*(3-SQRT(5))</x:f>
        <x:v>3770.3422339037133</x:v>
      </x:c>
      <x:c r="D1577" s="4" t="n">
        <x:f>IF('계산 과정'!$L$5,B1577*COS(C1577),"")</x:f>
        <x:v>119.37727196940563</x:v>
      </x:c>
      <x:c r="E1577" s="4" t="n">
        <x:f>IF('계산 과정'!$L$5,B1577*SIN(C1577),"")</x:f>
        <x:v>54.900651959517404</x:v>
      </x:c>
      <x:c r="F1577" s="4" t="n">
        <x:f>IF('계산 과정'!$L$7,'계산 과정'!$L$22+'계산 과정'!$C$49*D1577+'계산 과정'!$D$49*E1577,"")</x:f>
        <x:v>565.5875214708825</x:v>
      </x:c>
      <x:c r="G1577" s="4" t="n">
        <x:f>IF('계산 과정'!$L$7,IF(ABS(F1577)&gt;=1E-12*MAX(1,SQRT((D1577-'계산 과정'!$C$33)^2+(E1577-'계산 과정'!$D$33)^2+'계산 과정'!$E$33^2)),('계산 과정'!$L$23-'계산 과정'!$C$49*D1577-'계산 과정'!$D$49*E1577)/F1577,""),"")</x:f>
        <x:v>0.8564766020108454</x:v>
      </x:c>
      <x:c r="H1577" s="4" t="n">
        <x:f>IF(AND(ISNUMBER(G1577),G1577&gt;0),('계산 과정'!$D$56+'계산 과정'!$D$57*D1577+'계산 과정'!$D$58*E1577)/F1577,"")</x:f>
        <x:v>156.70979130704936</x:v>
      </x:c>
      <x:c r="I1577" s="4" t="n">
        <x:f>IF(AND(ISNUMBER(G1577),G1577&gt;0),('계산 과정'!$E$56+'계산 과정'!$E$57*D1577+'계산 과정'!$E$58*E1577)/F1577,"")</x:f>
        <x:v>101.92177579798494</x:v>
      </x:c>
      <x:c r="J1577" s="4" t="n">
        <x:f>IF('계산 과정'!$L$5,'계산 과정'!$D$6+'계산 과정'!$C$35*D1577+'계산 과정'!$D$35*E1577,"")</x:f>
        <x:v>565.5875214708825</x:v>
      </x:c>
      <x:c r="K1577" s="4" t="n">
        <x:f>IF(AND('계산 과정'!$L$6,J1577&gt;0),'계산 과정'!$D$10*('계산 과정'!$C$38*(D1577-'계산 과정'!$C$32)+'계산 과정'!$D$38*(E1577-'계산 과정'!$D$32)-'계산 과정'!$E$38*'계산 과정'!$E$32)/J1577,"")</x:f>
        <x:v>1.1939793623394246</x:v>
      </x:c>
      <x:c r="L1577" s="4" t="n">
        <x:f>IF(AND('계산 과정'!$L$6,J1577&gt;0),'계산 과정'!$D$10*('계산 과정'!$C$39*(D1577-'계산 과정'!$C$32)+'계산 과정'!$D$39*(E1577-'계산 과정'!$D$32)-'계산 과정'!$E$39*'계산 과정'!$E$32)/J1577,"")</x:f>
        <x:v>0.7765468632227424</x:v>
      </x:c>
      <x:c r="M1577" s="17" t="n">
        <x:f>IF('계산 과정'!$L$6,IF(J1577&lt;=0,0,IF(AND(ABS(K1577)&lt;='계산 과정'!$D$11/2,ABS(L1577)&lt;='계산 과정'!$D$12/2),1,0)),"")</x:f>
        <x:v>1</x:v>
      </x:c>
      <x:c r="N1577" s="17" t="n">
        <x:f>IF('계산 과정'!$C$78,IF(AND(ISNUMBER(H1577),ISNUMBER(I1577),ABS(H1577-'계산 과정'!$C$88)&lt;='계산 과정'!$D$23/2,ABS(I1577-'계산 과정'!$C$89)&lt;='계산 과정'!$D$24/2),1,0),"")</x:f>
        <x:v>1</x:v>
      </x:c>
      <x:c r="O1577" s="4" t="n">
        <x:f>IF('계산 과정'!$L$7,'계산 과정'!$C$49*('계산 과정'!$C$32-D1577)+'계산 과정'!$D$49*('계산 과정'!$D$32-E1577)+'계산 과정'!$E$49*'계산 과정'!$E$32,"")</x:f>
        <x:v>84.41247852911758</x:v>
      </x:c>
      <x:c r="P1577" s="4" t="n">
        <x:f>IF(AND('계산 과정'!$L$7,O1577&lt;&gt;0),('계산 과정'!$L$23-'계산 과정'!$C$49*D1577-'계산 과정'!$D$49*E1577)/O1577,"")</x:f>
        <x:v>5.738635886186215</x:v>
      </x:c>
      <x:c r="Q1577" s="4" t="str">
        <x:f>IF(AND(ISNUMBER(P1577),P1577&gt;1E-9,P1577&lt;1-1E-9),'계산 과정'!$C$47*(D1577-'계산 과정'!$C$50+P1577*('계산 과정'!$C$32-D1577))+'계산 과정'!$D$47*(E1577-'계산 과정'!$D$50+P1577*('계산 과정'!$D$32-E1577))+'계산 과정'!$E$47*(0-'계산 과정'!$E$50+P1577*('계산 과정'!$E$32-0)),"")</x:f>
      </x:c>
      <x:c r="R1577" s="4" t="str">
        <x:f>IF(AND(ISNUMBER(P1577),P1577&gt;1E-9,P1577&lt;1-1E-9),'계산 과정'!$C$48*(D1577-'계산 과정'!$C$50+P1577*('계산 과정'!$C$32-D1577))+'계산 과정'!$D$48*(E1577-'계산 과정'!$D$50+P1577*('계산 과정'!$D$32-E1577))+'계산 과정'!$E$48*(0-'계산 과정'!$E$50+P1577*('계산 과정'!$E$32-0)),"")</x:f>
      </x:c>
      <x:c r="S1577" s="17" t="n">
        <x:f>IF('계산 과정'!$C$78,IF(AND(ISNUMBER(Q1577),ISNUMBER(R1577),ABS(Q1577-'계산 과정'!$C$88)&lt;='계산 과정'!$D$23/2,ABS(R1577-'계산 과정'!$C$89)&lt;='계산 과정'!$D$24/2),1,0),"")</x:f>
        <x:v>0</x:v>
      </x:c>
      <x:c r="T1577" s="4"/>
      <x:c r="U1577" s="4"/>
      <x:c r="V1577" s="4"/>
      <x:c r="W1577" s="4"/>
      <x:c r="X1577" s="4"/>
      <x:c r="Y1577" s="4"/>
      <x:c r="Z1577" s="4"/>
    </x:row>
    <x:row r="1578" ht="23" customHeight="1">
      <x:c r="A1578" s="17" t="n">
        <x:f>ROW()-6</x:f>
        <x:v>1572</x:v>
      </x:c>
      <x:c r="B1578" s="4" t="n">
        <x:f>IF('계산 과정'!$L$5,'계산 과정'!$L$11*SQRT((A1578+0.5)/'계산 과정'!$L$30),"")</x:f>
        <x:v>131.4382021200933</x:v>
      </x:c>
      <x:c r="C1578" s="4" t="n">
        <x:f>A1578*PI()*(3-SQRT(5))</x:f>
        <x:v>3772.7421971334425</x:v>
      </x:c>
      <x:c r="D1578" s="4" t="n">
        <x:f>IF('계산 과정'!$L$5,B1578*COS(C1578),"")</x:f>
        <x:v>-125.1497422166435</x:v>
      </x:c>
      <x:c r="E1578" s="4" t="n">
        <x:f>IF('계산 과정'!$L$5,B1578*SIN(C1578),"")</x:f>
        <x:v>40.168930775789626</x:v>
      </x:c>
      <x:c r="F1578" s="4" t="n">
        <x:f>IF('계산 과정'!$L$7,'계산 과정'!$L$22+'계산 과정'!$C$49*D1578+'계산 과정'!$D$49*E1578,"")</x:f>
        <x:v>738.4942313851369</x:v>
      </x:c>
      <x:c r="G1578" s="4" t="n">
        <x:f>IF('계산 과정'!$L$7,IF(ABS(F1578)&gt;=1E-12*MAX(1,SQRT((D1578-'계산 과정'!$C$33)^2+(E1578-'계산 과정'!$D$33)^2+'계산 과정'!$E$33^2)),('계산 과정'!$L$23-'계산 과정'!$C$49*D1578-'계산 과정'!$D$49*E1578)/F1578,""),"")</x:f>
        <x:v>0.42181205400967803</x:v>
      </x:c>
      <x:c r="H1578" s="4" t="n">
        <x:f>IF(AND(ISNUMBER(G1578),G1578&gt;0),('계산 과정'!$D$56+'계산 과정'!$D$57*D1578+'계산 과정'!$D$58*E1578)/F1578,"")</x:f>
        <x:v>-125.82216489370946</x:v>
      </x:c>
      <x:c r="I1578" s="4" t="n">
        <x:f>IF(AND(ISNUMBER(G1578),G1578&gt;0),('계산 과정'!$E$56+'계산 과정'!$E$57*D1578+'계산 과정'!$E$58*E1578)/F1578,"")</x:f>
        <x:v>57.11266997369802</x:v>
      </x:c>
      <x:c r="J1578" s="4" t="n">
        <x:f>IF('계산 과정'!$L$5,'계산 과정'!$D$6+'계산 과정'!$C$35*D1578+'계산 과정'!$D$35*E1578,"")</x:f>
        <x:v>738.4942313851369</x:v>
      </x:c>
      <x:c r="K1578" s="4" t="n">
        <x:f>IF(AND('계산 과정'!$L$6,J1578&gt;0),'계산 과정'!$D$10*('계산 과정'!$C$38*(D1578-'계산 과정'!$C$32)+'계산 과정'!$D$38*(E1578-'계산 과정'!$D$32)-'계산 과정'!$E$38*'계산 과정'!$E$32)/J1578,"")</x:f>
        <x:v>-0.9586450658568328</x:v>
      </x:c>
      <x:c r="L1578" s="4" t="n">
        <x:f>IF(AND('계산 과정'!$L$6,J1578&gt;0),'계산 과정'!$D$10*('계산 과정'!$C$39*(D1578-'계산 과정'!$C$32)+'계산 과정'!$D$39*(E1578-'계산 과정'!$D$32)-'계산 과정'!$E$39*'계산 과정'!$E$32)/J1578,"")</x:f>
        <x:v>0.43514415218055635</x:v>
      </x:c>
      <x:c r="M1578" s="17" t="n">
        <x:f>IF('계산 과정'!$L$6,IF(J1578&lt;=0,0,IF(AND(ABS(K1578)&lt;='계산 과정'!$D$11/2,ABS(L1578)&lt;='계산 과정'!$D$12/2),1,0)),"")</x:f>
        <x:v>1</x:v>
      </x:c>
      <x:c r="N1578" s="17" t="n">
        <x:f>IF('계산 과정'!$C$78,IF(AND(ISNUMBER(H1578),ISNUMBER(I1578),ABS(H1578-'계산 과정'!$C$88)&lt;='계산 과정'!$D$23/2,ABS(I1578-'계산 과정'!$C$89)&lt;='계산 과정'!$D$24/2),1,0),"")</x:f>
        <x:v>1</x:v>
      </x:c>
      <x:c r="O1578" s="4" t="n">
        <x:f>IF('계산 과정'!$L$7,'계산 과정'!$C$49*('계산 과정'!$C$32-D1578)+'계산 과정'!$D$49*('계산 과정'!$D$32-E1578)+'계산 과정'!$E$49*'계산 과정'!$E$32,"")</x:f>
        <x:v>-88.49423138513686</x:v>
      </x:c>
      <x:c r="P1578" s="4" t="n">
        <x:f>IF(AND('계산 과정'!$L$7,O1578&lt;&gt;0),('계산 과정'!$L$23-'계산 과정'!$C$49*D1578-'계산 과정'!$D$49*E1578)/O1578,"")</x:f>
        <x:v>-3.520068638815053</x:v>
      </x:c>
      <x:c r="Q1578" s="4" t="str">
        <x:f>IF(AND(ISNUMBER(P1578),P1578&gt;1E-9,P1578&lt;1-1E-9),'계산 과정'!$C$47*(D1578-'계산 과정'!$C$50+P1578*('계산 과정'!$C$32-D1578))+'계산 과정'!$D$47*(E1578-'계산 과정'!$D$50+P1578*('계산 과정'!$D$32-E1578))+'계산 과정'!$E$47*(0-'계산 과정'!$E$50+P1578*('계산 과정'!$E$32-0)),"")</x:f>
      </x:c>
      <x:c r="R1578" s="4" t="str">
        <x:f>IF(AND(ISNUMBER(P1578),P1578&gt;1E-9,P1578&lt;1-1E-9),'계산 과정'!$C$48*(D1578-'계산 과정'!$C$50+P1578*('계산 과정'!$C$32-D1578))+'계산 과정'!$D$48*(E1578-'계산 과정'!$D$50+P1578*('계산 과정'!$D$32-E1578))+'계산 과정'!$E$48*(0-'계산 과정'!$E$50+P1578*('계산 과정'!$E$32-0)),"")</x:f>
      </x:c>
      <x:c r="S1578" s="17" t="n">
        <x:f>IF('계산 과정'!$C$78,IF(AND(ISNUMBER(Q1578),ISNUMBER(R1578),ABS(Q1578-'계산 과정'!$C$88)&lt;='계산 과정'!$D$23/2,ABS(R1578-'계산 과정'!$C$89)&lt;='계산 과정'!$D$24/2),1,0),"")</x:f>
        <x:v>0</x:v>
      </x:c>
      <x:c r="T1578" s="4"/>
      <x:c r="U1578" s="4"/>
      <x:c r="V1578" s="4"/>
      <x:c r="W1578" s="4"/>
      <x:c r="X1578" s="4"/>
      <x:c r="Y1578" s="4"/>
      <x:c r="Z1578" s="4"/>
    </x:row>
    <x:row r="1579" ht="23" customHeight="1">
      <x:c r="A1579" s="17" t="n">
        <x:f>ROW()-6</x:f>
        <x:v>1573</x:v>
      </x:c>
      <x:c r="B1579" s="4" t="n">
        <x:f>IF('계산 과정'!$L$5,'계산 과정'!$L$11*SQRT((A1579+0.5)/'계산 과정'!$L$30),"")</x:f>
        <x:v>131.47998822896014</x:v>
      </x:c>
      <x:c r="C1579" s="4" t="n">
        <x:f>A1579*PI()*(3-SQRT(5))</x:f>
        <x:v>3775.142160363171</x:v>
      </x:c>
      <x:c r="D1579" s="4" t="n">
        <x:f>IF('계산 과정'!$L$5,B1579*COS(C1579),"")</x:f>
        <x:v>65.1685135703979</x:v>
      </x:c>
      <x:c r="E1579" s="4" t="n">
        <x:f>IF('계산 과정'!$L$5,B1579*SIN(C1579),"")</x:f>
        <x:v>-114.19304770305573</x:v>
      </x:c>
      <x:c r="F1579" s="4" t="n">
        <x:f>IF('계산 과정'!$L$7,'계산 과정'!$L$22+'계산 과정'!$C$49*D1579+'계산 과정'!$D$49*E1579,"")</x:f>
        <x:v>603.918902134524</x:v>
      </x:c>
      <x:c r="G1579" s="4" t="n">
        <x:f>IF('계산 과정'!$L$7,IF(ABS(F1579)&gt;=1E-12*MAX(1,SQRT((D1579-'계산 과정'!$C$33)^2+(E1579-'계산 과정'!$D$33)^2+'계산 과정'!$E$33^2)),('계산 과정'!$L$23-'계산 과정'!$C$49*D1579-'계산 과정'!$D$49*E1579)/F1579,""),"")</x:f>
        <x:v>0.7386440402657086</x:v>
      </x:c>
      <x:c r="H1579" s="4" t="n">
        <x:f>IF(AND(ISNUMBER(G1579),G1579&gt;0),('계산 과정'!$D$56+'계산 과정'!$D$57*D1579+'계산 과정'!$D$58*E1579)/F1579,"")</x:f>
        <x:v>80.11862617271045</x:v>
      </x:c>
      <x:c r="I1579" s="4" t="n">
        <x:f>IF(AND(ISNUMBER(G1579),G1579&gt;0),('계산 과정'!$E$56+'계산 과정'!$E$57*D1579+'계산 과정'!$E$58*E1579)/F1579,"")</x:f>
        <x:v>-198.5410618286956</x:v>
      </x:c>
      <x:c r="J1579" s="4" t="n">
        <x:f>IF('계산 과정'!$L$5,'계산 과정'!$D$6+'계산 과정'!$C$35*D1579+'계산 과정'!$D$35*E1579,"")</x:f>
        <x:v>603.918902134524</x:v>
      </x:c>
      <x:c r="K1579" s="4" t="n">
        <x:f>IF(AND('계산 과정'!$L$6,J1579&gt;0),'계산 과정'!$D$10*('계산 과정'!$C$38*(D1579-'계산 과정'!$C$32)+'계산 과정'!$D$38*(E1579-'계산 과정'!$D$32)-'계산 과정'!$E$38*'계산 과정'!$E$32)/J1579,"")</x:f>
        <x:v>0.6104276279825565</x:v>
      </x:c>
      <x:c r="L1579" s="4" t="n">
        <x:f>IF(AND('계산 과정'!$L$6,J1579&gt;0),'계산 과정'!$D$10*('계산 과정'!$C$39*(D1579-'계산 과정'!$C$32)+'계산 과정'!$D$39*(E1579-'계산 과정'!$D$32)-'계산 과정'!$E$39*'계산 과정'!$E$32)/J1579,"")</x:f>
        <x:v>-1.5126938044091094</x:v>
      </x:c>
      <x:c r="M1579" s="17" t="n">
        <x:f>IF('계산 과정'!$L$6,IF(J1579&lt;=0,0,IF(AND(ABS(K1579)&lt;='계산 과정'!$D$11/2,ABS(L1579)&lt;='계산 과정'!$D$12/2),1,0)),"")</x:f>
        <x:v>1</x:v>
      </x:c>
      <x:c r="N1579" s="17" t="n">
        <x:f>IF('계산 과정'!$C$78,IF(AND(ISNUMBER(H1579),ISNUMBER(I1579),ABS(H1579-'계산 과정'!$C$88)&lt;='계산 과정'!$D$23/2,ABS(I1579-'계산 과정'!$C$89)&lt;='계산 과정'!$D$24/2),1,0),"")</x:f>
        <x:v>1</x:v>
      </x:c>
      <x:c r="O1579" s="4" t="n">
        <x:f>IF('계산 과정'!$L$7,'계산 과정'!$C$49*('계산 과정'!$C$32-D1579)+'계산 과정'!$D$49*('계산 과정'!$D$32-E1579)+'계산 과정'!$E$49*'계산 과정'!$E$32,"")</x:f>
        <x:v>46.08109786547601</x:v>
      </x:c>
      <x:c r="P1579" s="4" t="n">
        <x:f>IF(AND('계산 과정'!$L$7,O1579&lt;&gt;0),('계산 과정'!$L$23-'계산 과정'!$C$49*D1579-'계산 과정'!$D$49*E1579)/O1579,"")</x:f>
        <x:v>9.680348744461666</x:v>
      </x:c>
      <x:c r="Q1579" s="4" t="str">
        <x:f>IF(AND(ISNUMBER(P1579),P1579&gt;1E-9,P1579&lt;1-1E-9),'계산 과정'!$C$47*(D1579-'계산 과정'!$C$50+P1579*('계산 과정'!$C$32-D1579))+'계산 과정'!$D$47*(E1579-'계산 과정'!$D$50+P1579*('계산 과정'!$D$32-E1579))+'계산 과정'!$E$47*(0-'계산 과정'!$E$50+P1579*('계산 과정'!$E$32-0)),"")</x:f>
      </x:c>
      <x:c r="R1579" s="4" t="str">
        <x:f>IF(AND(ISNUMBER(P1579),P1579&gt;1E-9,P1579&lt;1-1E-9),'계산 과정'!$C$48*(D1579-'계산 과정'!$C$50+P1579*('계산 과정'!$C$32-D1579))+'계산 과정'!$D$48*(E1579-'계산 과정'!$D$50+P1579*('계산 과정'!$D$32-E1579))+'계산 과정'!$E$48*(0-'계산 과정'!$E$50+P1579*('계산 과정'!$E$32-0)),"")</x:f>
      </x:c>
      <x:c r="S1579" s="17" t="n">
        <x:f>IF('계산 과정'!$C$78,IF(AND(ISNUMBER(Q1579),ISNUMBER(R1579),ABS(Q1579-'계산 과정'!$C$88)&lt;='계산 과정'!$D$23/2,ABS(R1579-'계산 과정'!$C$89)&lt;='계산 과정'!$D$24/2),1,0),"")</x:f>
        <x:v>0</x:v>
      </x:c>
      <x:c r="T1579" s="4"/>
      <x:c r="U1579" s="4"/>
      <x:c r="V1579" s="4"/>
      <x:c r="W1579" s="4"/>
      <x:c r="X1579" s="4"/>
      <x:c r="Y1579" s="4"/>
      <x:c r="Z1579" s="4"/>
    </x:row>
    <x:row r="1580" ht="23" customHeight="1">
      <x:c r="A1580" s="17" t="n">
        <x:f>ROW()-6</x:f>
        <x:v>1574</x:v>
      </x:c>
      <x:c r="B1580" s="4" t="n">
        <x:f>IF('계산 과정'!$L$5,'계산 과정'!$L$11*SQRT((A1580+0.5)/'계산 과정'!$L$30),"")</x:f>
        <x:v>131.52176106185811</x:v>
      </x:c>
      <x:c r="C1580" s="4" t="n">
        <x:f>A1580*PI()*(3-SQRT(5))</x:f>
        <x:v>3777.5421235928993</x:v>
      </x:c>
      <x:c r="D1580" s="4" t="n">
        <x:f>IF('계산 과정'!$L$5,B1580*COS(C1580),"")</x:f>
        <x:v>29.092301709773274</x:v>
      </x:c>
      <x:c r="E1580" s="4" t="n">
        <x:f>IF('계산 과정'!$L$5,B1580*SIN(C1580),"")</x:f>
        <x:v>128.26383595558033</x:v>
      </x:c>
      <x:c r="F1580" s="4" t="n">
        <x:f>IF('계산 과정'!$L$7,'계산 과정'!$L$22+'계산 과정'!$C$49*D1580+'계산 과정'!$D$49*E1580,"")</x:f>
        <x:v>629.4286361806943</x:v>
      </x:c>
      <x:c r="G1580" s="4" t="n">
        <x:f>IF('계산 과정'!$L$7,IF(ABS(F1580)&gt;=1E-12*MAX(1,SQRT((D1580-'계산 과정'!$C$33)^2+(E1580-'계산 과정'!$D$33)^2+'계산 과정'!$E$33^2)),('계산 과정'!$L$23-'계산 과정'!$C$49*D1580-'계산 과정'!$D$49*E1580)/F1580,""),"")</x:f>
        <x:v>0.6681795832666396</x:v>
      </x:c>
      <x:c r="H1580" s="4" t="n">
        <x:f>IF(AND(ISNUMBER(G1580),G1580&gt;0),('계산 과정'!$D$56+'계산 과정'!$D$57*D1580+'계산 과정'!$D$58*E1580)/F1580,"")</x:f>
        <x:v>34.31672912331566</x:v>
      </x:c>
      <x:c r="I1580" s="4" t="n">
        <x:f>IF(AND(ISNUMBER(G1580),G1580&gt;0),('계산 과정'!$E$56+'계산 과정'!$E$57*D1580+'계산 과정'!$E$58*E1580)/F1580,"")</x:f>
        <x:v>213.96711241256062</x:v>
      </x:c>
      <x:c r="J1580" s="4" t="n">
        <x:f>IF('계산 과정'!$L$5,'계산 과정'!$D$6+'계산 과정'!$C$35*D1580+'계산 과정'!$D$35*E1580,"")</x:f>
        <x:v>629.4286361806943</x:v>
      </x:c>
      <x:c r="K1580" s="4" t="n">
        <x:f>IF(AND('계산 과정'!$L$6,J1580&gt;0),'계산 과정'!$D$10*('계산 과정'!$C$38*(D1580-'계산 과정'!$C$32)+'계산 과정'!$D$38*(E1580-'계산 과정'!$D$32)-'계산 과정'!$E$38*'계산 과정'!$E$32)/J1580,"")</x:f>
        <x:v>0.2614607933205015</x:v>
      </x:c>
      <x:c r="L1580" s="4" t="n">
        <x:f>IF(AND('계산 과정'!$L$6,J1580&gt;0),'계산 과정'!$D$10*('계산 과정'!$C$39*(D1580-'계산 과정'!$C$32)+'계산 과정'!$D$39*(E1580-'계산 과정'!$D$32)-'계산 과정'!$E$39*'계산 과정'!$E$32)/J1580,"")</x:f>
        <x:v>1.6302256183814143</x:v>
      </x:c>
      <x:c r="M1580" s="17" t="n">
        <x:f>IF('계산 과정'!$L$6,IF(J1580&lt;=0,0,IF(AND(ABS(K1580)&lt;='계산 과정'!$D$11/2,ABS(L1580)&lt;='계산 과정'!$D$12/2),1,0)),"")</x:f>
        <x:v>1</x:v>
      </x:c>
      <x:c r="N1580" s="17" t="n">
        <x:f>IF('계산 과정'!$C$78,IF(AND(ISNUMBER(H1580),ISNUMBER(I1580),ABS(H1580-'계산 과정'!$C$88)&lt;='계산 과정'!$D$23/2,ABS(I1580-'계산 과정'!$C$89)&lt;='계산 과정'!$D$24/2),1,0),"")</x:f>
        <x:v>1</x:v>
      </x:c>
      <x:c r="O1580" s="4" t="n">
        <x:f>IF('계산 과정'!$L$7,'계산 과정'!$C$49*('계산 과정'!$C$32-D1580)+'계산 과정'!$D$49*('계산 과정'!$D$32-E1580)+'계산 과정'!$E$49*'계산 과정'!$E$32,"")</x:f>
        <x:v>20.57136381930576</x:v>
      </x:c>
      <x:c r="P1580" s="4" t="n">
        <x:f>IF(AND('계산 과정'!$L$7,O1580&lt;&gt;0),('계산 과정'!$L$23-'계산 과정'!$C$49*D1580-'계산 과정'!$D$49*E1580)/O1580,"")</x:f>
        <x:v>20.444505649382805</x:v>
      </x:c>
      <x:c r="Q1580" s="4" t="str">
        <x:f>IF(AND(ISNUMBER(P1580),P1580&gt;1E-9,P1580&lt;1-1E-9),'계산 과정'!$C$47*(D1580-'계산 과정'!$C$50+P1580*('계산 과정'!$C$32-D1580))+'계산 과정'!$D$47*(E1580-'계산 과정'!$D$50+P1580*('계산 과정'!$D$32-E1580))+'계산 과정'!$E$47*(0-'계산 과정'!$E$50+P1580*('계산 과정'!$E$32-0)),"")</x:f>
      </x:c>
      <x:c r="R1580" s="4" t="str">
        <x:f>IF(AND(ISNUMBER(P1580),P1580&gt;1E-9,P1580&lt;1-1E-9),'계산 과정'!$C$48*(D1580-'계산 과정'!$C$50+P1580*('계산 과정'!$C$32-D1580))+'계산 과정'!$D$48*(E1580-'계산 과정'!$D$50+P1580*('계산 과정'!$D$32-E1580))+'계산 과정'!$E$48*(0-'계산 과정'!$E$50+P1580*('계산 과정'!$E$32-0)),"")</x:f>
      </x:c>
      <x:c r="S1580" s="17" t="n">
        <x:f>IF('계산 과정'!$C$78,IF(AND(ISNUMBER(Q1580),ISNUMBER(R1580),ABS(Q1580-'계산 과정'!$C$88)&lt;='계산 과정'!$D$23/2,ABS(R1580-'계산 과정'!$C$89)&lt;='계산 과정'!$D$24/2),1,0),"")</x:f>
        <x:v>0</x:v>
      </x:c>
      <x:c r="T1580" s="4"/>
      <x:c r="U1580" s="4"/>
      <x:c r="V1580" s="4"/>
      <x:c r="W1580" s="4"/>
      <x:c r="X1580" s="4"/>
      <x:c r="Y1580" s="4"/>
      <x:c r="Z1580" s="4"/>
    </x:row>
    <x:row r="1581" ht="23" customHeight="1">
      <x:c r="A1581" s="17" t="n">
        <x:f>ROW()-6</x:f>
        <x:v>1575</x:v>
      </x:c>
      <x:c r="B1581" s="4" t="n">
        <x:f>IF('계산 과정'!$L$5,'계산 과정'!$L$11*SQRT((A1581+0.5)/'계산 과정'!$L$30),"")</x:f>
        <x:v>131.56352063143302</x:v>
      </x:c>
      <x:c r="C1581" s="4" t="n">
        <x:f>A1581*PI()*(3-SQRT(5))</x:f>
        <x:v>3779.9420868226284</x:v>
      </x:c>
      <x:c r="D1581" s="4" t="n">
        <x:f>IF('계산 과정'!$L$5,B1581*COS(C1581),"")</x:f>
        <x:v>-108.12705476744664</x:v>
      </x:c>
      <x:c r="E1581" s="4" t="n">
        <x:f>IF('계산 과정'!$L$5,B1581*SIN(C1581),"")</x:f>
        <x:v>-74.94998324386134</x:v>
      </x:c>
      <x:c r="F1581" s="4" t="n">
        <x:f>IF('계산 과정'!$L$7,'계산 과정'!$L$22+'계산 과정'!$C$49*D1581+'계산 과정'!$D$49*E1581,"")</x:f>
        <x:v>726.4573736557907</x:v>
      </x:c>
      <x:c r="G1581" s="4" t="n">
        <x:f>IF('계산 과정'!$L$7,IF(ABS(F1581)&gt;=1E-12*MAX(1,SQRT((D1581-'계산 과정'!$C$33)^2+(E1581-'계산 과정'!$D$33)^2+'계산 과정'!$E$33^2)),('계산 과정'!$L$23-'계산 과정'!$C$49*D1581-'계산 과정'!$D$49*E1581)/F1581,""),"")</x:f>
        <x:v>0.44537042100079216</x:v>
      </x:c>
      <x:c r="H1581" s="4" t="n">
        <x:f>IF(AND(ISNUMBER(G1581),G1581&gt;0),('계산 과정'!$D$56+'계산 과정'!$D$57*D1581+'계산 과정'!$D$58*E1581)/F1581,"")</x:f>
        <x:v>-110.50922634948526</x:v>
      </x:c>
      <x:c r="I1581" s="4" t="n">
        <x:f>IF(AND(ISNUMBER(G1581),G1581&gt;0),('계산 과정'!$E$56+'계산 과정'!$E$57*D1581+'계산 과정'!$E$58*E1581)/F1581,"")</x:f>
        <x:v>-108.3304888351822</x:v>
      </x:c>
      <x:c r="J1581" s="4" t="n">
        <x:f>IF('계산 과정'!$L$5,'계산 과정'!$D$6+'계산 과정'!$C$35*D1581+'계산 과정'!$D$35*E1581,"")</x:f>
        <x:v>726.4573736557907</x:v>
      </x:c>
      <x:c r="K1581" s="4" t="n">
        <x:f>IF(AND('계산 과정'!$L$6,J1581&gt;0),'계산 과정'!$D$10*('계산 과정'!$C$38*(D1581-'계산 과정'!$C$32)+'계산 과정'!$D$38*(E1581-'계산 과정'!$D$32)-'계산 과정'!$E$38*'계산 과정'!$E$32)/J1581,"")</x:f>
        <x:v>-0.8419750579008396</x:v>
      </x:c>
      <x:c r="L1581" s="4" t="n">
        <x:f>IF(AND('계산 과정'!$L$6,J1581&gt;0),'계산 과정'!$D$10*('계산 과정'!$C$39*(D1581-'계산 과정'!$C$32)+'계산 과정'!$D$39*(E1581-'계산 과정'!$D$32)-'계산 과정'!$E$39*'계산 과정'!$E$32)/J1581,"")</x:f>
        <x:v>-0.8253751530299596</x:v>
      </x:c>
      <x:c r="M1581" s="17" t="n">
        <x:f>IF('계산 과정'!$L$6,IF(J1581&lt;=0,0,IF(AND(ABS(K1581)&lt;='계산 과정'!$D$11/2,ABS(L1581)&lt;='계산 과정'!$D$12/2),1,0)),"")</x:f>
        <x:v>1</x:v>
      </x:c>
      <x:c r="N1581" s="17" t="n">
        <x:f>IF('계산 과정'!$C$78,IF(AND(ISNUMBER(H1581),ISNUMBER(I1581),ABS(H1581-'계산 과정'!$C$88)&lt;='계산 과정'!$D$23/2,ABS(I1581-'계산 과정'!$C$89)&lt;='계산 과정'!$D$24/2),1,0),"")</x:f>
        <x:v>1</x:v>
      </x:c>
      <x:c r="O1581" s="4" t="n">
        <x:f>IF('계산 과정'!$L$7,'계산 과정'!$C$49*('계산 과정'!$C$32-D1581)+'계산 과정'!$D$49*('계산 과정'!$D$32-E1581)+'계산 과정'!$E$49*'계산 과정'!$E$32,"")</x:f>
        <x:v>-76.45737365579066</x:v>
      </x:c>
      <x:c r="P1581" s="4" t="n">
        <x:f>IF(AND('계산 과정'!$L$7,O1581&lt;&gt;0),('계산 과정'!$L$23-'계산 과정'!$C$49*D1581-'계산 과정'!$D$49*E1581)/O1581,"")</x:f>
        <x:v>-4.231673295512225</x:v>
      </x:c>
      <x:c r="Q1581" s="4" t="str">
        <x:f>IF(AND(ISNUMBER(P1581),P1581&gt;1E-9,P1581&lt;1-1E-9),'계산 과정'!$C$47*(D1581-'계산 과정'!$C$50+P1581*('계산 과정'!$C$32-D1581))+'계산 과정'!$D$47*(E1581-'계산 과정'!$D$50+P1581*('계산 과정'!$D$32-E1581))+'계산 과정'!$E$47*(0-'계산 과정'!$E$50+P1581*('계산 과정'!$E$32-0)),"")</x:f>
      </x:c>
      <x:c r="R1581" s="4" t="str">
        <x:f>IF(AND(ISNUMBER(P1581),P1581&gt;1E-9,P1581&lt;1-1E-9),'계산 과정'!$C$48*(D1581-'계산 과정'!$C$50+P1581*('계산 과정'!$C$32-D1581))+'계산 과정'!$D$48*(E1581-'계산 과정'!$D$50+P1581*('계산 과정'!$D$32-E1581))+'계산 과정'!$E$48*(0-'계산 과정'!$E$50+P1581*('계산 과정'!$E$32-0)),"")</x:f>
      </x:c>
      <x:c r="S1581" s="17" t="n">
        <x:f>IF('계산 과정'!$C$78,IF(AND(ISNUMBER(Q1581),ISNUMBER(R1581),ABS(Q1581-'계산 과정'!$C$88)&lt;='계산 과정'!$D$23/2,ABS(R1581-'계산 과정'!$C$89)&lt;='계산 과정'!$D$24/2),1,0),"")</x:f>
        <x:v>0</x:v>
      </x:c>
      <x:c r="T1581" s="4"/>
      <x:c r="U1581" s="4"/>
      <x:c r="V1581" s="4"/>
      <x:c r="W1581" s="4"/>
      <x:c r="X1581" s="4"/>
      <x:c r="Y1581" s="4"/>
      <x:c r="Z1581" s="4"/>
    </x:row>
    <x:row r="1582" ht="23" customHeight="1">
      <x:c r="A1582" s="17" t="n">
        <x:f>ROW()-6</x:f>
        <x:v>1576</x:v>
      </x:c>
      <x:c r="B1582" s="4" t="n">
        <x:f>IF('계산 과정'!$L$5,'계산 과정'!$L$11*SQRT((A1582+0.5)/'계산 과정'!$L$30),"")</x:f>
        <x:v>131.60526695031052</x:v>
      </x:c>
      <x:c r="C1582" s="4" t="n">
        <x:f>A1582*PI()*(3-SQRT(5))</x:f>
        <x:v>3782.3420500523566</x:v>
      </x:c>
      <x:c r="D1582" s="4" t="n">
        <x:f>IF('계산 과정'!$L$5,B1582*COS(C1582),"")</x:f>
        <x:v>130.39887494105955</x:v>
      </x:c>
      <x:c r="E1582" s="4" t="n">
        <x:f>IF('계산 과정'!$L$5,B1582*SIN(C1582),"")</x:f>
        <x:v>-17.778630520048782</x:v>
      </x:c>
      <x:c r="F1582" s="4" t="n">
        <x:f>IF('계산 과정'!$L$7,'계산 과정'!$L$22+'계산 과정'!$C$49*D1582+'계산 과정'!$D$49*E1582,"")</x:f>
        <x:v>557.7940712700803</x:v>
      </x:c>
      <x:c r="G1582" s="4" t="n">
        <x:f>IF('계산 과정'!$L$7,IF(ABS(F1582)&gt;=1E-12*MAX(1,SQRT((D1582-'계산 과정'!$C$33)^2+(E1582-'계산 과정'!$D$33)^2+'계산 과정'!$E$33^2)),('계산 과정'!$L$23-'계산 과정'!$C$49*D1582-'계산 과정'!$D$49*E1582)/F1582,""),"")</x:f>
        <x:v>0.8824151314645237</x:v>
      </x:c>
      <x:c r="H1582" s="4" t="n">
        <x:f>IF(AND(ISNUMBER(G1582),G1582&gt;0),('계산 과정'!$D$56+'계산 과정'!$D$57*D1582+'계산 과정'!$D$58*E1582)/F1582,"")</x:f>
        <x:v>173.56983545194032</x:v>
      </x:c>
      <x:c r="I1582" s="4" t="n">
        <x:f>IF(AND(ISNUMBER(G1582),G1582&gt;0),('계산 과정'!$E$56+'계산 과정'!$E$57*D1582+'계산 과정'!$E$58*E1582)/F1582,"")</x:f>
        <x:v>-33.46676310765682</x:v>
      </x:c>
      <x:c r="J1582" s="4" t="n">
        <x:f>IF('계산 과정'!$L$5,'계산 과정'!$D$6+'계산 과정'!$C$35*D1582+'계산 과정'!$D$35*E1582,"")</x:f>
        <x:v>557.7940712700803</x:v>
      </x:c>
      <x:c r="K1582" s="4" t="n">
        <x:f>IF(AND('계산 과정'!$L$6,J1582&gt;0),'계산 과정'!$D$10*('계산 과정'!$C$38*(D1582-'계산 과정'!$C$32)+'계산 과정'!$D$38*(E1582-'계산 과정'!$D$32)-'계산 과정'!$E$38*'계산 과정'!$E$32)/J1582,"")</x:f>
        <x:v>1.3224368415385936</x:v>
      </x:c>
      <x:c r="L1582" s="4" t="n">
        <x:f>IF(AND('계산 과정'!$L$6,J1582&gt;0),'계산 과정'!$D$10*('계산 과정'!$C$39*(D1582-'계산 과정'!$C$32)+'계산 과정'!$D$39*(E1582-'계산 과정'!$D$32)-'계산 과정'!$E$39*'계산 과정'!$E$32)/J1582,"")</x:f>
        <x:v>-0.25498486177262336</x:v>
      </x:c>
      <x:c r="M1582" s="17" t="n">
        <x:f>IF('계산 과정'!$L$6,IF(J1582&lt;=0,0,IF(AND(ABS(K1582)&lt;='계산 과정'!$D$11/2,ABS(L1582)&lt;='계산 과정'!$D$12/2),1,0)),"")</x:f>
        <x:v>1</x:v>
      </x:c>
      <x:c r="N1582" s="17" t="n">
        <x:f>IF('계산 과정'!$C$78,IF(AND(ISNUMBER(H1582),ISNUMBER(I1582),ABS(H1582-'계산 과정'!$C$88)&lt;='계산 과정'!$D$23/2,ABS(I1582-'계산 과정'!$C$89)&lt;='계산 과정'!$D$24/2),1,0),"")</x:f>
        <x:v>1</x:v>
      </x:c>
      <x:c r="O1582" s="4" t="n">
        <x:f>IF('계산 과정'!$L$7,'계산 과정'!$C$49*('계산 과정'!$C$32-D1582)+'계산 과정'!$D$49*('계산 과정'!$D$32-E1582)+'계산 과정'!$E$49*'계산 과정'!$E$32,"")</x:f>
        <x:v>92.20592872991986</x:v>
      </x:c>
      <x:c r="P1582" s="4" t="n">
        <x:f>IF(AND('계산 과정'!$L$7,O1582&lt;&gt;0),('계산 과정'!$L$23-'계산 과정'!$C$49*D1582-'계산 과정'!$D$49*E1582)/O1582,"")</x:f>
        <x:v>5.338115840377671</x:v>
      </x:c>
      <x:c r="Q1582" s="4" t="str">
        <x:f>IF(AND(ISNUMBER(P1582),P1582&gt;1E-9,P1582&lt;1-1E-9),'계산 과정'!$C$47*(D1582-'계산 과정'!$C$50+P1582*('계산 과정'!$C$32-D1582))+'계산 과정'!$D$47*(E1582-'계산 과정'!$D$50+P1582*('계산 과정'!$D$32-E1582))+'계산 과정'!$E$47*(0-'계산 과정'!$E$50+P1582*('계산 과정'!$E$32-0)),"")</x:f>
      </x:c>
      <x:c r="R1582" s="4" t="str">
        <x:f>IF(AND(ISNUMBER(P1582),P1582&gt;1E-9,P1582&lt;1-1E-9),'계산 과정'!$C$48*(D1582-'계산 과정'!$C$50+P1582*('계산 과정'!$C$32-D1582))+'계산 과정'!$D$48*(E1582-'계산 과정'!$D$50+P1582*('계산 과정'!$D$32-E1582))+'계산 과정'!$E$48*(0-'계산 과정'!$E$50+P1582*('계산 과정'!$E$32-0)),"")</x:f>
      </x:c>
      <x:c r="S1582" s="17" t="n">
        <x:f>IF('계산 과정'!$C$78,IF(AND(ISNUMBER(Q1582),ISNUMBER(R1582),ABS(Q1582-'계산 과정'!$C$88)&lt;='계산 과정'!$D$23/2,ABS(R1582-'계산 과정'!$C$89)&lt;='계산 과정'!$D$24/2),1,0),"")</x:f>
        <x:v>0</x:v>
      </x:c>
      <x:c r="T1582" s="4"/>
      <x:c r="U1582" s="4"/>
      <x:c r="V1582" s="4"/>
      <x:c r="W1582" s="4"/>
      <x:c r="X1582" s="4"/>
      <x:c r="Y1582" s="4"/>
      <x:c r="Z1582" s="4"/>
    </x:row>
    <x:row r="1583" ht="23" customHeight="1">
      <x:c r="A1583" s="17" t="n">
        <x:f>ROW()-6</x:f>
        <x:v>1577</x:v>
      </x:c>
      <x:c r="B1583" s="4" t="n">
        <x:f>IF('계산 과정'!$L$5,'계산 과정'!$L$11*SQRT((A1583+0.5)/'계산 과정'!$L$30),"")</x:f>
        <x:v>131.6470000310964</x:v>
      </x:c>
      <x:c r="C1583" s="4" t="n">
        <x:f>A1583*PI()*(3-SQRT(5))</x:f>
        <x:v>3784.7420132820857</x:v>
      </x:c>
      <x:c r="D1583" s="4" t="n">
        <x:f>IF('계산 과정'!$L$5,B1583*COS(C1583),"")</x:f>
        <x:v>-84.16946210364824</x:v>
      </x:c>
      <x:c r="E1583" s="4" t="n">
        <x:f>IF('계산 과정'!$L$5,B1583*SIN(C1583),"")</x:f>
        <x:v>101.22467222159834</x:v>
      </x:c>
      <x:c r="F1583" s="4" t="n">
        <x:f>IF('계산 과정'!$L$7,'계산 과정'!$L$22+'계산 과정'!$C$49*D1583+'계산 과정'!$D$49*E1583,"")</x:f>
        <x:v>709.5167974223139</x:v>
      </x:c>
      <x:c r="G1583" s="4" t="n">
        <x:f>IF('계산 과정'!$L$7,IF(ABS(F1583)&gt;=1E-12*MAX(1,SQRT((D1583-'계산 과정'!$C$33)^2+(E1583-'계산 과정'!$D$33)^2+'계산 과정'!$E$33^2)),('계산 과정'!$L$23-'계산 과정'!$C$49*D1583-'계산 과정'!$D$49*E1583)/F1583,""),"")</x:f>
        <x:v>0.4798803972149317</x:v>
      </x:c>
      <x:c r="H1583" s="4" t="n">
        <x:f>IF(AND(ISNUMBER(G1583),G1583&gt;0),('계산 과정'!$D$56+'계산 과정'!$D$57*D1583+'계산 과정'!$D$58*E1583)/F1583,"")</x:f>
        <x:v>-88.0777418102945</x:v>
      </x:c>
      <x:c r="I1583" s="4" t="n">
        <x:f>IF(AND(ISNUMBER(G1583),G1583&gt;0),('계산 과정'!$E$56+'계산 과정'!$E$57*D1583+'계산 과정'!$E$58*E1583)/F1583,"")</x:f>
        <x:v>149.8004081352502</x:v>
      </x:c>
      <x:c r="J1583" s="4" t="n">
        <x:f>IF('계산 과정'!$L$5,'계산 과정'!$D$6+'계산 과정'!$C$35*D1583+'계산 과정'!$D$35*E1583,"")</x:f>
        <x:v>709.5167974223139</x:v>
      </x:c>
      <x:c r="K1583" s="4" t="n">
        <x:f>IF(AND('계산 과정'!$L$6,J1583&gt;0),'계산 과정'!$D$10*('계산 과정'!$C$38*(D1583-'계산 과정'!$C$32)+'계산 과정'!$D$38*(E1583-'계산 과정'!$D$32)-'계산 과정'!$E$38*'계산 과정'!$E$32)/J1583,"")</x:f>
        <x:v>-0.6710685090308142</x:v>
      </x:c>
      <x:c r="L1583" s="4" t="n">
        <x:f>IF(AND('계산 과정'!$L$6,J1583&gt;0),'계산 과정'!$D$10*('계산 과정'!$C$39*(D1583-'계산 과정'!$C$32)+'계산 과정'!$D$39*(E1583-'계산 과정'!$D$32)-'계산 과정'!$E$39*'계산 과정'!$E$32)/J1583,"")</x:f>
        <x:v>1.1413364429352397</x:v>
      </x:c>
      <x:c r="M1583" s="17" t="n">
        <x:f>IF('계산 과정'!$L$6,IF(J1583&lt;=0,0,IF(AND(ABS(K1583)&lt;='계산 과정'!$D$11/2,ABS(L1583)&lt;='계산 과정'!$D$12/2),1,0)),"")</x:f>
        <x:v>1</x:v>
      </x:c>
      <x:c r="N1583" s="17" t="n">
        <x:f>IF('계산 과정'!$C$78,IF(AND(ISNUMBER(H1583),ISNUMBER(I1583),ABS(H1583-'계산 과정'!$C$88)&lt;='계산 과정'!$D$23/2,ABS(I1583-'계산 과정'!$C$89)&lt;='계산 과정'!$D$24/2),1,0),"")</x:f>
        <x:v>1</x:v>
      </x:c>
      <x:c r="O1583" s="4" t="n">
        <x:f>IF('계산 과정'!$L$7,'계산 과정'!$C$49*('계산 과정'!$C$32-D1583)+'계산 과정'!$D$49*('계산 과정'!$D$32-E1583)+'계산 과정'!$E$49*'계산 과정'!$E$32,"")</x:f>
        <x:v>-59.51679742231369</x:v>
      </x:c>
      <x:c r="P1583" s="4" t="n">
        <x:f>IF(AND('계산 과정'!$L$7,O1583&lt;&gt;0),('계산 과정'!$L$23-'계산 과정'!$C$49*D1583-'계산 과정'!$D$49*E1583)/O1583,"")</x:f>
        <x:v>-5.720791731479057</x:v>
      </x:c>
      <x:c r="Q1583" s="4" t="str">
        <x:f>IF(AND(ISNUMBER(P1583),P1583&gt;1E-9,P1583&lt;1-1E-9),'계산 과정'!$C$47*(D1583-'계산 과정'!$C$50+P1583*('계산 과정'!$C$32-D1583))+'계산 과정'!$D$47*(E1583-'계산 과정'!$D$50+P1583*('계산 과정'!$D$32-E1583))+'계산 과정'!$E$47*(0-'계산 과정'!$E$50+P1583*('계산 과정'!$E$32-0)),"")</x:f>
      </x:c>
      <x:c r="R1583" s="4" t="str">
        <x:f>IF(AND(ISNUMBER(P1583),P1583&gt;1E-9,P1583&lt;1-1E-9),'계산 과정'!$C$48*(D1583-'계산 과정'!$C$50+P1583*('계산 과정'!$C$32-D1583))+'계산 과정'!$D$48*(E1583-'계산 과정'!$D$50+P1583*('계산 과정'!$D$32-E1583))+'계산 과정'!$E$48*(0-'계산 과정'!$E$50+P1583*('계산 과정'!$E$32-0)),"")</x:f>
      </x:c>
      <x:c r="S1583" s="17" t="n">
        <x:f>IF('계산 과정'!$C$78,IF(AND(ISNUMBER(Q1583),ISNUMBER(R1583),ABS(Q1583-'계산 과정'!$C$88)&lt;='계산 과정'!$D$23/2,ABS(R1583-'계산 과정'!$C$89)&lt;='계산 과정'!$D$24/2),1,0),"")</x:f>
        <x:v>0</x:v>
      </x:c>
      <x:c r="T1583" s="4"/>
      <x:c r="U1583" s="4"/>
      <x:c r="V1583" s="4"/>
      <x:c r="W1583" s="4"/>
      <x:c r="X1583" s="4"/>
      <x:c r="Y1583" s="4"/>
      <x:c r="Z1583" s="4"/>
    </x:row>
    <x:row r="1584" ht="23" customHeight="1">
      <x:c r="A1584" s="17" t="n">
        <x:f>ROW()-6</x:f>
        <x:v>1578</x:v>
      </x:c>
      <x:c r="B1584" s="4" t="n">
        <x:f>IF('계산 과정'!$L$5,'계산 과정'!$L$11*SQRT((A1584+0.5)/'계산 과정'!$L$30),"")</x:f>
        <x:v>131.68871988637636</x:v>
      </x:c>
      <x:c r="C1584" s="4" t="n">
        <x:f>A1584*PI()*(3-SQRT(5))</x:f>
        <x:v>3787.1419765118144</x:v>
      </x:c>
      <x:c r="D1584" s="4" t="n">
        <x:f>IF('계산 과정'!$L$5,B1584*COS(C1584),"")</x:f>
        <x:v>-6.314342210942187</x:v>
      </x:c>
      <x:c r="E1584" s="4" t="n">
        <x:f>IF('계산 과정'!$L$5,B1584*SIN(C1584),"")</x:f>
        <x:v>-131.53724958260153</x:v>
      </x:c>
      <x:c r="F1584" s="4" t="n">
        <x:f>IF('계산 과정'!$L$7,'계산 과정'!$L$22+'계산 과정'!$C$49*D1584+'계산 과정'!$D$49*E1584,"")</x:f>
        <x:v>654.4649141960897</x:v>
      </x:c>
      <x:c r="G1584" s="4" t="n">
        <x:f>IF('계산 과정'!$L$7,IF(ABS(F1584)&gt;=1E-12*MAX(1,SQRT((D1584-'계산 과정'!$C$33)^2+(E1584-'계산 과정'!$D$33)^2+'계산 과정'!$E$33^2)),('계산 과정'!$L$23-'계산 과정'!$C$49*D1584-'계산 과정'!$D$49*E1584)/F1584,""),"")</x:f>
        <x:v>0.6043640800664842</x:v>
      </x:c>
      <x:c r="H1584" s="4" t="n">
        <x:f>IF(AND(ISNUMBER(G1584),G1584&gt;0),('계산 과정'!$D$56+'계산 과정'!$D$57*D1584+'계산 과정'!$D$58*E1584)/F1584,"")</x:f>
        <x:v>-7.163347956785317</x:v>
      </x:c>
      <x:c r="I1584" s="4" t="n">
        <x:f>IF(AND(ISNUMBER(G1584),G1584&gt;0),('계산 과정'!$E$56+'계산 과정'!$E$57*D1584+'계산 과정'!$E$58*E1584)/F1584,"")</x:f>
        <x:v>-211.03363842106603</x:v>
      </x:c>
      <x:c r="J1584" s="4" t="n">
        <x:f>IF('계산 과정'!$L$5,'계산 과정'!$D$6+'계산 과정'!$C$35*D1584+'계산 과정'!$D$35*E1584,"")</x:f>
        <x:v>654.4649141960897</x:v>
      </x:c>
      <x:c r="K1584" s="4" t="n">
        <x:f>IF(AND('계산 과정'!$L$6,J1584&gt;0),'계산 과정'!$D$10*('계산 과정'!$C$38*(D1584-'계산 과정'!$C$32)+'계산 과정'!$D$38*(E1584-'계산 과정'!$D$32)-'계산 과정'!$E$38*'계산 과정'!$E$32)/J1584,"")</x:f>
        <x:v>-0.05457788919455412</x:v>
      </x:c>
      <x:c r="L1584" s="4" t="n">
        <x:f>IF(AND('계산 과정'!$L$6,J1584&gt;0),'계산 과정'!$D$10*('계산 과정'!$C$39*(D1584-'계산 과정'!$C$32)+'계산 과정'!$D$39*(E1584-'계산 과정'!$D$32)-'계산 과정'!$E$39*'계산 과정'!$E$32)/J1584,"")</x:f>
        <x:v>-1.6078753403509793</x:v>
      </x:c>
      <x:c r="M1584" s="17" t="n">
        <x:f>IF('계산 과정'!$L$6,IF(J1584&lt;=0,0,IF(AND(ABS(K1584)&lt;='계산 과정'!$D$11/2,ABS(L1584)&lt;='계산 과정'!$D$12/2),1,0)),"")</x:f>
        <x:v>1</x:v>
      </x:c>
      <x:c r="N1584" s="17" t="n">
        <x:f>IF('계산 과정'!$C$78,IF(AND(ISNUMBER(H1584),ISNUMBER(I1584),ABS(H1584-'계산 과정'!$C$88)&lt;='계산 과정'!$D$23/2,ABS(I1584-'계산 과정'!$C$89)&lt;='계산 과정'!$D$24/2),1,0),"")</x:f>
        <x:v>1</x:v>
      </x:c>
      <x:c r="O1584" s="4" t="n">
        <x:f>IF('계산 과정'!$L$7,'계산 과정'!$C$49*('계산 과정'!$C$32-D1584)+'계산 과정'!$D$49*('계산 과정'!$D$32-E1584)+'계산 과정'!$E$49*'계산 과정'!$E$32,"")</x:f>
        <x:v>-4.46491419608958</x:v>
      </x:c>
      <x:c r="P1584" s="4" t="n">
        <x:f>IF(AND('계산 과정'!$L$7,O1584&lt;&gt;0),('계산 과정'!$L$23-'계산 과정'!$C$49*D1584-'계산 과정'!$D$49*E1584)/O1584,"")</x:f>
        <x:v>-88.58738789433494</x:v>
      </x:c>
      <x:c r="Q1584" s="4" t="str">
        <x:f>IF(AND(ISNUMBER(P1584),P1584&gt;1E-9,P1584&lt;1-1E-9),'계산 과정'!$C$47*(D1584-'계산 과정'!$C$50+P1584*('계산 과정'!$C$32-D1584))+'계산 과정'!$D$47*(E1584-'계산 과정'!$D$50+P1584*('계산 과정'!$D$32-E1584))+'계산 과정'!$E$47*(0-'계산 과정'!$E$50+P1584*('계산 과정'!$E$32-0)),"")</x:f>
      </x:c>
      <x:c r="R1584" s="4" t="str">
        <x:f>IF(AND(ISNUMBER(P1584),P1584&gt;1E-9,P1584&lt;1-1E-9),'계산 과정'!$C$48*(D1584-'계산 과정'!$C$50+P1584*('계산 과정'!$C$32-D1584))+'계산 과정'!$D$48*(E1584-'계산 과정'!$D$50+P1584*('계산 과정'!$D$32-E1584))+'계산 과정'!$E$48*(0-'계산 과정'!$E$50+P1584*('계산 과정'!$E$32-0)),"")</x:f>
      </x:c>
      <x:c r="S1584" s="17" t="n">
        <x:f>IF('계산 과정'!$C$78,IF(AND(ISNUMBER(Q1584),ISNUMBER(R1584),ABS(Q1584-'계산 과정'!$C$88)&lt;='계산 과정'!$D$23/2,ABS(R1584-'계산 과정'!$C$89)&lt;='계산 과정'!$D$24/2),1,0),"")</x:f>
        <x:v>0</x:v>
      </x:c>
      <x:c r="T1584" s="4"/>
      <x:c r="U1584" s="4"/>
      <x:c r="V1584" s="4"/>
      <x:c r="W1584" s="4"/>
      <x:c r="X1584" s="4"/>
      <x:c r="Y1584" s="4"/>
      <x:c r="Z1584" s="4"/>
    </x:row>
    <x:row r="1585" ht="23" customHeight="1">
      <x:c r="A1585" s="17" t="n">
        <x:f>ROW()-6</x:f>
        <x:v>1579</x:v>
      </x:c>
      <x:c r="B1585" s="4" t="n">
        <x:f>IF('계산 과정'!$L$5,'계산 과정'!$L$11*SQRT((A1585+0.5)/'계산 과정'!$L$30),"")</x:f>
        <x:v>131.7304265287162</x:v>
      </x:c>
      <x:c r="C1585" s="4" t="n">
        <x:f>A1585*PI()*(3-SQRT(5))</x:f>
        <x:v>3789.5419397415426</x:v>
      </x:c>
      <x:c r="D1585" s="4" t="n">
        <x:f>IF('계산 과정'!$L$5,B1585*COS(C1585),"")</x:f>
        <x:v>93.53774947077086</x:v>
      </x:c>
      <x:c r="E1585" s="4" t="n">
        <x:f>IF('계산 과정'!$L$5,B1585*SIN(C1585),"")</x:f>
        <x:v>92.75556423946117</x:v>
      </x:c>
      <x:c r="F1585" s="4" t="n">
        <x:f>IF('계산 과정'!$L$7,'계산 과정'!$L$22+'계산 과정'!$C$49*D1585+'계산 과정'!$D$49*E1585,"")</x:f>
        <x:v>583.8588230522895</x:v>
      </x:c>
      <x:c r="G1585" s="4" t="n">
        <x:f>IF('계산 과정'!$L$7,IF(ABS(F1585)&gt;=1E-12*MAX(1,SQRT((D1585-'계산 과정'!$C$33)^2+(E1585-'계산 과정'!$D$33)^2+'계산 과정'!$E$33^2)),('계산 과정'!$L$23-'계산 과정'!$C$49*D1585-'계산 과정'!$D$49*E1585)/F1585,""),"")</x:f>
        <x:v>0.7983799482738374</x:v>
      </x:c>
      <x:c r="H1585" s="4" t="n">
        <x:f>IF(AND(ISNUMBER(G1585),G1585&gt;0),('계산 과정'!$D$56+'계산 과정'!$D$57*D1585+'계산 과정'!$D$58*E1585)/F1585,"")</x:f>
        <x:v>118.9469663779942</x:v>
      </x:c>
      <x:c r="I1585" s="4" t="n">
        <x:f>IF(AND(ISNUMBER(G1585),G1585&gt;0),('계산 과정'!$E$56+'계산 과정'!$E$57*D1585+'계산 과정'!$E$58*E1585)/F1585,"")</x:f>
        <x:v>166.80974681907276</x:v>
      </x:c>
      <x:c r="J1585" s="4" t="n">
        <x:f>IF('계산 과정'!$L$5,'계산 과정'!$D$6+'계산 과정'!$C$35*D1585+'계산 과정'!$D$35*E1585,"")</x:f>
        <x:v>583.8588230522895</x:v>
      </x:c>
      <x:c r="K1585" s="4" t="n">
        <x:f>IF(AND('계산 과정'!$L$6,J1585&gt;0),'계산 과정'!$D$10*('계산 과정'!$C$38*(D1585-'계산 과정'!$C$32)+'계산 과정'!$D$38*(E1585-'계산 과정'!$D$32)-'계산 과정'!$E$38*'계산 과정'!$E$32)/J1585,"")</x:f>
        <x:v>0.9062626009751943</x:v>
      </x:c>
      <x:c r="L1585" s="4" t="n">
        <x:f>IF(AND('계산 과정'!$L$6,J1585&gt;0),'계산 과정'!$D$10*('계산 과정'!$C$39*(D1585-'계산 과정'!$C$32)+'계산 과정'!$D$39*(E1585-'계산 과정'!$D$32)-'계산 과정'!$E$39*'계산 과정'!$E$32)/J1585,"")</x:f>
        <x:v>1.2709314043357927</x:v>
      </x:c>
      <x:c r="M1585" s="17" t="n">
        <x:f>IF('계산 과정'!$L$6,IF(J1585&lt;=0,0,IF(AND(ABS(K1585)&lt;='계산 과정'!$D$11/2,ABS(L1585)&lt;='계산 과정'!$D$12/2),1,0)),"")</x:f>
        <x:v>1</x:v>
      </x:c>
      <x:c r="N1585" s="17" t="n">
        <x:f>IF('계산 과정'!$C$78,IF(AND(ISNUMBER(H1585),ISNUMBER(I1585),ABS(H1585-'계산 과정'!$C$88)&lt;='계산 과정'!$D$23/2,ABS(I1585-'계산 과정'!$C$89)&lt;='계산 과정'!$D$24/2),1,0),"")</x:f>
        <x:v>1</x:v>
      </x:c>
      <x:c r="O1585" s="4" t="n">
        <x:f>IF('계산 과정'!$L$7,'계산 과정'!$C$49*('계산 과정'!$C$32-D1585)+'계산 과정'!$D$49*('계산 과정'!$D$32-E1585)+'계산 과정'!$E$49*'계산 과정'!$E$32,"")</x:f>
        <x:v>66.14117694771056</x:v>
      </x:c>
      <x:c r="P1585" s="4" t="n">
        <x:f>IF(AND('계산 과정'!$L$7,O1585&lt;&gt;0),('계산 과정'!$L$23-'계산 과정'!$C$49*D1585-'계산 과정'!$D$49*E1585)/O1585,"")</x:f>
        <x:v>7.0476698247481915</x:v>
      </x:c>
      <x:c r="Q1585" s="4" t="str">
        <x:f>IF(AND(ISNUMBER(P1585),P1585&gt;1E-9,P1585&lt;1-1E-9),'계산 과정'!$C$47*(D1585-'계산 과정'!$C$50+P1585*('계산 과정'!$C$32-D1585))+'계산 과정'!$D$47*(E1585-'계산 과정'!$D$50+P1585*('계산 과정'!$D$32-E1585))+'계산 과정'!$E$47*(0-'계산 과정'!$E$50+P1585*('계산 과정'!$E$32-0)),"")</x:f>
      </x:c>
      <x:c r="R1585" s="4" t="str">
        <x:f>IF(AND(ISNUMBER(P1585),P1585&gt;1E-9,P1585&lt;1-1E-9),'계산 과정'!$C$48*(D1585-'계산 과정'!$C$50+P1585*('계산 과정'!$C$32-D1585))+'계산 과정'!$D$48*(E1585-'계산 과정'!$D$50+P1585*('계산 과정'!$D$32-E1585))+'계산 과정'!$E$48*(0-'계산 과정'!$E$50+P1585*('계산 과정'!$E$32-0)),"")</x:f>
      </x:c>
      <x:c r="S1585" s="17" t="n">
        <x:f>IF('계산 과정'!$C$78,IF(AND(ISNUMBER(Q1585),ISNUMBER(R1585),ABS(Q1585-'계산 과정'!$C$88)&lt;='계산 과정'!$D$23/2,ABS(R1585-'계산 과정'!$C$89)&lt;='계산 과정'!$D$24/2),1,0),"")</x:f>
        <x:v>0</x:v>
      </x:c>
      <x:c r="T1585" s="4"/>
      <x:c r="U1585" s="4"/>
      <x:c r="V1585" s="4"/>
      <x:c r="W1585" s="4"/>
      <x:c r="X1585" s="4"/>
      <x:c r="Y1585" s="4"/>
      <x:c r="Z1585" s="4"/>
    </x:row>
    <x:row r="1586" ht="23" customHeight="1">
      <x:c r="A1586" s="17" t="n">
        <x:f>ROW()-6</x:f>
        <x:v>1580</x:v>
      </x:c>
      <x:c r="B1586" s="4" t="n">
        <x:f>IF('계산 과정'!$L$5,'계산 과정'!$L$11*SQRT((A1586+0.5)/'계산 과정'!$L$30),"")</x:f>
        <x:v>131.77211997066183</x:v>
      </x:c>
      <x:c r="C1586" s="4" t="n">
        <x:f>A1586*PI()*(3-SQRT(5))</x:f>
        <x:v>3791.9419029712717</x:v>
      </x:c>
      <x:c r="D1586" s="4" t="n">
        <x:f>IF('계산 과정'!$L$5,B1586*COS(C1586),"")</x:f>
        <x:v>-131.668969572316</x:v>
      </x:c>
      <x:c r="E1586" s="4" t="n">
        <x:f>IF('계산 과정'!$L$5,B1586*SIN(C1586),"")</x:f>
        <x:v>-5.212873806934243</x:v>
      </x:c>
      <x:c r="F1586" s="4" t="n">
        <x:f>IF('계산 과정'!$L$7,'계산 과정'!$L$22+'계산 과정'!$C$49*D1586+'계산 과정'!$D$49*E1586,"")</x:f>
        <x:v>743.1040212564299</x:v>
      </x:c>
      <x:c r="G1586" s="4" t="n">
        <x:f>IF('계산 과정'!$L$7,IF(ABS(F1586)&gt;=1E-12*MAX(1,SQRT((D1586-'계산 과정'!$C$33)^2+(E1586-'계산 과정'!$D$33)^2+'계산 과정'!$E$33^2)),('계산 과정'!$L$23-'계산 과정'!$C$49*D1586-'계산 과정'!$D$49*E1586)/F1586,""),"")</x:f>
        <x:v>0.41299194993545413</x:v>
      </x:c>
      <x:c r="H1586" s="4" t="n">
        <x:f>IF(AND(ISNUMBER(G1586),G1586&gt;0),('계산 과정'!$D$56+'계산 과정'!$D$57*D1586+'계산 과정'!$D$58*E1586)/F1586,"")</x:f>
        <x:v>-131.5552325419549</x:v>
      </x:c>
      <x:c r="I1586" s="4" t="n">
        <x:f>IF(AND(ISNUMBER(G1586),G1586&gt;0),('계산 과정'!$E$56+'계산 과정'!$E$57*D1586+'계산 과정'!$E$58*E1586)/F1586,"")</x:f>
        <x:v>-7.365748725227471</x:v>
      </x:c>
      <x:c r="J1586" s="4" t="n">
        <x:f>IF('계산 과정'!$L$5,'계산 과정'!$D$6+'계산 과정'!$C$35*D1586+'계산 과정'!$D$35*E1586,"")</x:f>
        <x:v>743.1040212564299</x:v>
      </x:c>
      <x:c r="K1586" s="4" t="n">
        <x:f>IF(AND('계산 과정'!$L$6,J1586&gt;0),'계산 과정'!$D$10*('계산 과정'!$C$38*(D1586-'계산 과정'!$C$32)+'계산 과정'!$D$38*(E1586-'계산 과정'!$D$32)-'계산 과정'!$E$38*'계산 과정'!$E$32)/J1586,"")</x:f>
        <x:v>-1.002325581272036</x:v>
      </x:c>
      <x:c r="L1586" s="4" t="n">
        <x:f>IF(AND('계산 과정'!$L$6,J1586&gt;0),'계산 과정'!$D$10*('계산 과정'!$C$39*(D1586-'계산 과정'!$C$32)+'계산 과정'!$D$39*(E1586-'계산 과정'!$D$32)-'계산 과정'!$E$39*'계산 과정'!$E$32)/J1586,"")</x:f>
        <x:v>-0.056119990287447394</x:v>
      </x:c>
      <x:c r="M1586" s="17" t="n">
        <x:f>IF('계산 과정'!$L$6,IF(J1586&lt;=0,0,IF(AND(ABS(K1586)&lt;='계산 과정'!$D$11/2,ABS(L1586)&lt;='계산 과정'!$D$12/2),1,0)),"")</x:f>
        <x:v>1</x:v>
      </x:c>
      <x:c r="N1586" s="17" t="n">
        <x:f>IF('계산 과정'!$C$78,IF(AND(ISNUMBER(H1586),ISNUMBER(I1586),ABS(H1586-'계산 과정'!$C$88)&lt;='계산 과정'!$D$23/2,ABS(I1586-'계산 과정'!$C$89)&lt;='계산 과정'!$D$24/2),1,0),"")</x:f>
        <x:v>1</x:v>
      </x:c>
      <x:c r="O1586" s="4" t="n">
        <x:f>IF('계산 과정'!$L$7,'계산 과정'!$C$49*('계산 과정'!$C$32-D1586)+'계산 과정'!$D$49*('계산 과정'!$D$32-E1586)+'계산 과정'!$E$49*'계산 과정'!$E$32,"")</x:f>
        <x:v>-93.10402125642969</x:v>
      </x:c>
      <x:c r="P1586" s="4" t="n">
        <x:f>IF(AND('계산 과정'!$L$7,O1586&lt;&gt;0),('계산 과정'!$L$23-'계산 과정'!$C$49*D1586-'계산 과정'!$D$49*E1586)/O1586,"")</x:f>
        <x:v>-3.296269856038857</x:v>
      </x:c>
      <x:c r="Q1586" s="4" t="str">
        <x:f>IF(AND(ISNUMBER(P1586),P1586&gt;1E-9,P1586&lt;1-1E-9),'계산 과정'!$C$47*(D1586-'계산 과정'!$C$50+P1586*('계산 과정'!$C$32-D1586))+'계산 과정'!$D$47*(E1586-'계산 과정'!$D$50+P1586*('계산 과정'!$D$32-E1586))+'계산 과정'!$E$47*(0-'계산 과정'!$E$50+P1586*('계산 과정'!$E$32-0)),"")</x:f>
      </x:c>
      <x:c r="R1586" s="4" t="str">
        <x:f>IF(AND(ISNUMBER(P1586),P1586&gt;1E-9,P1586&lt;1-1E-9),'계산 과정'!$C$48*(D1586-'계산 과정'!$C$50+P1586*('계산 과정'!$C$32-D1586))+'계산 과정'!$D$48*(E1586-'계산 과정'!$D$50+P1586*('계산 과정'!$D$32-E1586))+'계산 과정'!$E$48*(0-'계산 과정'!$E$50+P1586*('계산 과정'!$E$32-0)),"")</x:f>
      </x:c>
      <x:c r="S1586" s="17" t="n">
        <x:f>IF('계산 과정'!$C$78,IF(AND(ISNUMBER(Q1586),ISNUMBER(R1586),ABS(Q1586-'계산 과정'!$C$88)&lt;='계산 과정'!$D$23/2,ABS(R1586-'계산 과정'!$C$89)&lt;='계산 과정'!$D$24/2),1,0),"")</x:f>
        <x:v>0</x:v>
      </x:c>
      <x:c r="T1586" s="4"/>
      <x:c r="U1586" s="4"/>
      <x:c r="V1586" s="4"/>
      <x:c r="W1586" s="4"/>
      <x:c r="X1586" s="4"/>
      <x:c r="Y1586" s="4"/>
      <x:c r="Z1586" s="4"/>
    </x:row>
    <x:row r="1587" ht="23" customHeight="1">
      <x:c r="A1587" s="17" t="n">
        <x:f>ROW()-6</x:f>
        <x:v>1581</x:v>
      </x:c>
      <x:c r="B1587" s="4" t="n">
        <x:f>IF('계산 과정'!$L$5,'계산 과정'!$L$11*SQRT((A1587+0.5)/'계산 과정'!$L$30),"")</x:f>
        <x:v>131.81380022473937</x:v>
      </x:c>
      <x:c r="C1587" s="4" t="n">
        <x:f>A1587*PI()*(3-SQRT(5))</x:f>
        <x:v>3794.3418662010004</x:v>
      </x:c>
      <x:c r="D1587" s="4" t="n">
        <x:f>IF('계산 과정'!$L$5,B1587*COS(C1587),"")</x:f>
        <x:v>100.64166948665917</x:v>
      </x:c>
      <x:c r="E1587" s="4" t="n">
        <x:f>IF('계산 과정'!$L$5,B1587*SIN(C1587),"")</x:f>
        <x:v>-85.12421684001303</x:v>
      </x:c>
      <x:c r="F1587" s="4" t="n">
        <x:f>IF('계산 과정'!$L$7,'계산 과정'!$L$22+'계산 과정'!$C$49*D1587+'계산 과정'!$D$49*E1587,"")</x:f>
        <x:v>578.8355930360481</x:v>
      </x:c>
      <x:c r="G1587" s="4" t="n">
        <x:f>IF('계산 과정'!$L$7,IF(ABS(F1587)&gt;=1E-12*MAX(1,SQRT((D1587-'계산 과정'!$C$33)^2+(E1587-'계산 과정'!$D$33)^2+'계산 과정'!$E$33^2)),('계산 과정'!$L$23-'계산 과정'!$C$49*D1587-'계산 과정'!$D$49*E1587)/F1587,""),"")</x:f>
        <x:v>0.8139865838115613</x:v>
      </x:c>
      <x:c r="H1587" s="4" t="n">
        <x:f>IF(AND(ISNUMBER(G1587),G1587&gt;0),('계산 과정'!$D$56+'계산 과정'!$D$57*D1587+'계산 과정'!$D$58*E1587)/F1587,"")</x:f>
        <x:v>129.09127947751477</x:v>
      </x:c>
      <x:c r="I1587" s="4" t="n">
        <x:f>IF(AND(ISNUMBER(G1587),G1587&gt;0),('계산 과정'!$E$56+'계산 과정'!$E$57*D1587+'계산 과정'!$E$58*E1587)/F1587,"")</x:f>
        <x:v>-154.4141873052498</x:v>
      </x:c>
      <x:c r="J1587" s="4" t="n">
        <x:f>IF('계산 과정'!$L$5,'계산 과정'!$D$6+'계산 과정'!$C$35*D1587+'계산 과정'!$D$35*E1587,"")</x:f>
        <x:v>578.8355930360481</x:v>
      </x:c>
      <x:c r="K1587" s="4" t="n">
        <x:f>IF(AND('계산 과정'!$L$6,J1587&gt;0),'계산 과정'!$D$10*('계산 과정'!$C$38*(D1587-'계산 과정'!$C$32)+'계산 과정'!$D$38*(E1587-'계산 과정'!$D$32)-'계산 과정'!$E$38*'계산 과정'!$E$32)/J1587,"")</x:f>
        <x:v>0.9835526055429706</x:v>
      </x:c>
      <x:c r="L1587" s="4" t="n">
        <x:f>IF(AND('계산 과정'!$L$6,J1587&gt;0),'계산 과정'!$D$10*('계산 과정'!$C$39*(D1587-'계산 과정'!$C$32)+'계산 과정'!$D$39*(E1587-'계산 과정'!$D$32)-'계산 과정'!$E$39*'계산 과정'!$E$32)/J1587,"")</x:f>
        <x:v>-1.1764890461352366</x:v>
      </x:c>
      <x:c r="M1587" s="17" t="n">
        <x:f>IF('계산 과정'!$L$6,IF(J1587&lt;=0,0,IF(AND(ABS(K1587)&lt;='계산 과정'!$D$11/2,ABS(L1587)&lt;='계산 과정'!$D$12/2),1,0)),"")</x:f>
        <x:v>1</x:v>
      </x:c>
      <x:c r="N1587" s="17" t="n">
        <x:f>IF('계산 과정'!$C$78,IF(AND(ISNUMBER(H1587),ISNUMBER(I1587),ABS(H1587-'계산 과정'!$C$88)&lt;='계산 과정'!$D$23/2,ABS(I1587-'계산 과정'!$C$89)&lt;='계산 과정'!$D$24/2),1,0),"")</x:f>
        <x:v>1</x:v>
      </x:c>
      <x:c r="O1587" s="4" t="n">
        <x:f>IF('계산 과정'!$L$7,'계산 과정'!$C$49*('계산 과정'!$C$32-D1587)+'계산 과정'!$D$49*('계산 과정'!$D$32-E1587)+'계산 과정'!$E$49*'계산 과정'!$E$32,"")</x:f>
        <x:v>71.16440696395205</x:v>
      </x:c>
      <x:c r="P1587" s="4" t="n">
        <x:f>IF(AND('계산 과정'!$L$7,O1587&lt;&gt;0),('계산 과정'!$L$23-'계산 과정'!$C$49*D1587-'계산 과정'!$D$49*E1587)/O1587,"")</x:f>
        <x:v>6.620787372016151</x:v>
      </x:c>
      <x:c r="Q1587" s="4" t="str">
        <x:f>IF(AND(ISNUMBER(P1587),P1587&gt;1E-9,P1587&lt;1-1E-9),'계산 과정'!$C$47*(D1587-'계산 과정'!$C$50+P1587*('계산 과정'!$C$32-D1587))+'계산 과정'!$D$47*(E1587-'계산 과정'!$D$50+P1587*('계산 과정'!$D$32-E1587))+'계산 과정'!$E$47*(0-'계산 과정'!$E$50+P1587*('계산 과정'!$E$32-0)),"")</x:f>
      </x:c>
      <x:c r="R1587" s="4" t="str">
        <x:f>IF(AND(ISNUMBER(P1587),P1587&gt;1E-9,P1587&lt;1-1E-9),'계산 과정'!$C$48*(D1587-'계산 과정'!$C$50+P1587*('계산 과정'!$C$32-D1587))+'계산 과정'!$D$48*(E1587-'계산 과정'!$D$50+P1587*('계산 과정'!$D$32-E1587))+'계산 과정'!$E$48*(0-'계산 과정'!$E$50+P1587*('계산 과정'!$E$32-0)),"")</x:f>
      </x:c>
      <x:c r="S1587" s="17" t="n">
        <x:f>IF('계산 과정'!$C$78,IF(AND(ISNUMBER(Q1587),ISNUMBER(R1587),ABS(Q1587-'계산 과정'!$C$88)&lt;='계산 과정'!$D$23/2,ABS(R1587-'계산 과정'!$C$89)&lt;='계산 과정'!$D$24/2),1,0),"")</x:f>
        <x:v>0</x:v>
      </x:c>
      <x:c r="T1587" s="4"/>
      <x:c r="U1587" s="4"/>
      <x:c r="V1587" s="4"/>
      <x:c r="W1587" s="4"/>
      <x:c r="X1587" s="4"/>
      <x:c r="Y1587" s="4"/>
      <x:c r="Z1587" s="4"/>
    </x:row>
    <x:row r="1588" ht="23" customHeight="1">
      <x:c r="A1588" s="17" t="n">
        <x:f>ROW()-6</x:f>
        <x:v>1582</x:v>
      </x:c>
      <x:c r="B1588" s="4" t="n">
        <x:f>IF('계산 과정'!$L$5,'계산 과정'!$L$11*SQRT((A1588+0.5)/'계산 과정'!$L$30),"")</x:f>
        <x:v>131.85546730345504</x:v>
      </x:c>
      <x:c r="C1588" s="4" t="n">
        <x:f>A1588*PI()*(3-SQRT(5))</x:f>
        <x:v>3796.7418294307286</x:v>
      </x:c>
      <x:c r="D1588" s="4" t="n">
        <x:f>IF('계산 과정'!$L$5,B1588*COS(C1588),"")</x:f>
        <x:v>-16.71473458654196</x:v>
      </x:c>
      <x:c r="E1588" s="4" t="n">
        <x:f>IF('계산 과정'!$L$5,B1588*SIN(C1588),"")</x:f>
        <x:v>130.7917501431721</x:v>
      </x:c>
      <x:c r="F1588" s="4" t="n">
        <x:f>IF('계산 과정'!$L$7,'계산 과정'!$L$22+'계산 과정'!$C$49*D1588+'계산 과정'!$D$49*E1588,"")</x:f>
        <x:v>661.8191021718771</x:v>
      </x:c>
      <x:c r="G1588" s="4" t="n">
        <x:f>IF('계산 과정'!$L$7,IF(ABS(F1588)&gt;=1E-12*MAX(1,SQRT((D1588-'계산 과정'!$C$33)^2+(E1588-'계산 과정'!$D$33)^2+'계산 과정'!$E$33^2)),('계산 과정'!$L$23-'계산 과정'!$C$49*D1588-'계산 과정'!$D$49*E1588)/F1588,""),"")</x:f>
        <x:v>0.58653625523083</x:v>
      </x:c>
      <x:c r="H1588" s="4" t="n">
        <x:f>IF(AND(ISNUMBER(G1588),G1588&gt;0),('계산 과정'!$D$56+'계산 과정'!$D$57*D1588+'계산 과정'!$D$58*E1588)/F1588,"")</x:f>
        <x:v>-18.75143409996065</x:v>
      </x:c>
      <x:c r="I1588" s="4" t="n">
        <x:f>IF(AND(ISNUMBER(G1588),G1588&gt;0),('계산 과정'!$E$56+'계산 과정'!$E$57*D1588+'계산 과정'!$E$58*E1588)/F1588,"")</x:f>
        <x:v>207.50585348723465</x:v>
      </x:c>
      <x:c r="J1588" s="4" t="n">
        <x:f>IF('계산 과정'!$L$5,'계산 과정'!$D$6+'계산 과정'!$C$35*D1588+'계산 과정'!$D$35*E1588,"")</x:f>
        <x:v>661.8191021718771</x:v>
      </x:c>
      <x:c r="K1588" s="4" t="n">
        <x:f>IF(AND('계산 과정'!$L$6,J1588&gt;0),'계산 과정'!$D$10*('계산 과정'!$C$38*(D1588-'계산 과정'!$C$32)+'계산 과정'!$D$38*(E1588-'계산 과정'!$D$32)-'계산 과정'!$E$38*'계산 과정'!$E$32)/J1588,"")</x:f>
        <x:v>-0.14286806933303267</x:v>
      </x:c>
      <x:c r="L1588" s="4" t="n">
        <x:f>IF(AND('계산 과정'!$L$6,J1588&gt;0),'계산 과정'!$D$10*('계산 과정'!$C$39*(D1588-'계산 과정'!$C$32)+'계산 과정'!$D$39*(E1588-'계산 과정'!$D$32)-'계산 과정'!$E$39*'계산 과정'!$E$32)/J1588,"")</x:f>
        <x:v>1.580996978950359</x:v>
      </x:c>
      <x:c r="M1588" s="17" t="n">
        <x:f>IF('계산 과정'!$L$6,IF(J1588&lt;=0,0,IF(AND(ABS(K1588)&lt;='계산 과정'!$D$11/2,ABS(L1588)&lt;='계산 과정'!$D$12/2),1,0)),"")</x:f>
        <x:v>1</x:v>
      </x:c>
      <x:c r="N1588" s="17" t="n">
        <x:f>IF('계산 과정'!$C$78,IF(AND(ISNUMBER(H1588),ISNUMBER(I1588),ABS(H1588-'계산 과정'!$C$88)&lt;='계산 과정'!$D$23/2,ABS(I1588-'계산 과정'!$C$89)&lt;='계산 과정'!$D$24/2),1,0),"")</x:f>
        <x:v>1</x:v>
      </x:c>
      <x:c r="O1588" s="4" t="n">
        <x:f>IF('계산 과정'!$L$7,'계산 과정'!$C$49*('계산 과정'!$C$32-D1588)+'계산 과정'!$D$49*('계산 과정'!$D$32-E1588)+'계산 과정'!$E$49*'계산 과정'!$E$32,"")</x:f>
        <x:v>-11.819102171877034</x:v>
      </x:c>
      <x:c r="P1588" s="4" t="n">
        <x:f>IF(AND('계산 과정'!$L$7,O1588&lt;&gt;0),('계산 과정'!$L$23-'계산 과정'!$C$49*D1588-'계산 과정'!$D$49*E1588)/O1588,"")</x:f>
        <x:v>-32.84351824555506</x:v>
      </x:c>
      <x:c r="Q1588" s="4" t="str">
        <x:f>IF(AND(ISNUMBER(P1588),P1588&gt;1E-9,P1588&lt;1-1E-9),'계산 과정'!$C$47*(D1588-'계산 과정'!$C$50+P1588*('계산 과정'!$C$32-D1588))+'계산 과정'!$D$47*(E1588-'계산 과정'!$D$50+P1588*('계산 과정'!$D$32-E1588))+'계산 과정'!$E$47*(0-'계산 과정'!$E$50+P1588*('계산 과정'!$E$32-0)),"")</x:f>
      </x:c>
      <x:c r="R1588" s="4" t="str">
        <x:f>IF(AND(ISNUMBER(P1588),P1588&gt;1E-9,P1588&lt;1-1E-9),'계산 과정'!$C$48*(D1588-'계산 과정'!$C$50+P1588*('계산 과정'!$C$32-D1588))+'계산 과정'!$D$48*(E1588-'계산 과정'!$D$50+P1588*('계산 과정'!$D$32-E1588))+'계산 과정'!$E$48*(0-'계산 과정'!$E$50+P1588*('계산 과정'!$E$32-0)),"")</x:f>
      </x:c>
      <x:c r="S1588" s="17" t="n">
        <x:f>IF('계산 과정'!$C$78,IF(AND(ISNUMBER(Q1588),ISNUMBER(R1588),ABS(Q1588-'계산 과정'!$C$88)&lt;='계산 과정'!$D$23/2,ABS(R1588-'계산 과정'!$C$89)&lt;='계산 과정'!$D$24/2),1,0),"")</x:f>
        <x:v>0</x:v>
      </x:c>
      <x:c r="T1588" s="4"/>
      <x:c r="U1588" s="4"/>
      <x:c r="V1588" s="4"/>
      <x:c r="W1588" s="4"/>
      <x:c r="X1588" s="4"/>
      <x:c r="Y1588" s="4"/>
      <x:c r="Z1588" s="4"/>
    </x:row>
    <x:row r="1589" ht="23" customHeight="1">
      <x:c r="A1589" s="17" t="n">
        <x:f>ROW()-6</x:f>
        <x:v>1583</x:v>
      </x:c>
      <x:c r="B1589" s="4" t="n">
        <x:f>IF('계산 과정'!$L$5,'계산 과정'!$L$11*SQRT((A1589+0.5)/'계산 과정'!$L$30),"")</x:f>
        <x:v>131.89712121929537</x:v>
      </x:c>
      <x:c r="C1589" s="4" t="n">
        <x:f>A1589*PI()*(3-SQRT(5))</x:f>
        <x:v>3799.1417926604577</x:v>
      </x:c>
      <x:c r="D1589" s="4" t="n">
        <x:f>IF('계산 과정'!$L$5,B1589*COS(C1589),"")</x:f>
        <x:v>-76.04764901335858</x:v>
      </x:c>
      <x:c r="E1589" s="4" t="n">
        <x:f>IF('계산 과정'!$L$5,B1589*SIN(C1589),"")</x:f>
        <x:v>-107.76644034892551</x:v>
      </x:c>
      <x:c r="F1589" s="4" t="n">
        <x:f>IF('계산 과정'!$L$7,'계산 과정'!$L$22+'계산 과정'!$C$49*D1589+'계산 과정'!$D$49*E1589,"")</x:f>
        <x:v>703.7738083106403</x:v>
      </x:c>
      <x:c r="G1589" s="4" t="n">
        <x:f>IF('계산 과정'!$L$7,IF(ABS(F1589)&gt;=1E-12*MAX(1,SQRT((D1589-'계산 과정'!$C$33)^2+(E1589-'계산 과정'!$D$33)^2+'계산 과정'!$E$33^2)),('계산 과정'!$L$23-'계산 과정'!$C$49*D1589-'계산 과정'!$D$49*E1589)/F1589,""),"")</x:f>
        <x:v>0.49195663095285025</x:v>
      </x:c>
      <x:c r="H1589" s="4" t="n">
        <x:f>IF(AND(ISNUMBER(G1589),G1589&gt;0),('계산 과정'!$D$56+'계산 과정'!$D$57*D1589+'계산 과정'!$D$58*E1589)/F1589,"")</x:f>
        <x:v>-80.22818988064742</x:v>
      </x:c>
      <x:c r="I1589" s="4" t="n">
        <x:f>IF(AND(ISNUMBER(G1589),G1589&gt;0),('계산 과정'!$E$56+'계산 과정'!$E$57*D1589+'계산 과정'!$E$58*E1589)/F1589,"")</x:f>
        <x:v>-160.7828552727642</x:v>
      </x:c>
      <x:c r="J1589" s="4" t="n">
        <x:f>IF('계산 과정'!$L$5,'계산 과정'!$D$6+'계산 과정'!$C$35*D1589+'계산 과정'!$D$35*E1589,"")</x:f>
        <x:v>703.7738083106403</x:v>
      </x:c>
      <x:c r="K1589" s="4" t="n">
        <x:f>IF(AND('계산 과정'!$L$6,J1589&gt;0),'계산 과정'!$D$10*('계산 과정'!$C$38*(D1589-'계산 과정'!$C$32)+'계산 과정'!$D$38*(E1589-'계산 과정'!$D$32)-'계산 과정'!$E$38*'계산 과정'!$E$32)/J1589,"")</x:f>
        <x:v>-0.6112623990906464</x:v>
      </x:c>
      <x:c r="L1589" s="4" t="n">
        <x:f>IF(AND('계산 과정'!$L$6,J1589&gt;0),'계산 과정'!$D$10*('계산 과정'!$C$39*(D1589-'계산 과정'!$C$32)+'계산 과정'!$D$39*(E1589-'계산 과정'!$D$32)-'계산 과정'!$E$39*'계산 과정'!$E$32)/J1589,"")</x:f>
        <x:v>-1.225012230649632</x:v>
      </x:c>
      <x:c r="M1589" s="17" t="n">
        <x:f>IF('계산 과정'!$L$6,IF(J1589&lt;=0,0,IF(AND(ABS(K1589)&lt;='계산 과정'!$D$11/2,ABS(L1589)&lt;='계산 과정'!$D$12/2),1,0)),"")</x:f>
        <x:v>1</x:v>
      </x:c>
      <x:c r="N1589" s="17" t="n">
        <x:f>IF('계산 과정'!$C$78,IF(AND(ISNUMBER(H1589),ISNUMBER(I1589),ABS(H1589-'계산 과정'!$C$88)&lt;='계산 과정'!$D$23/2,ABS(I1589-'계산 과정'!$C$89)&lt;='계산 과정'!$D$24/2),1,0),"")</x:f>
        <x:v>1</x:v>
      </x:c>
      <x:c r="O1589" s="4" t="n">
        <x:f>IF('계산 과정'!$L$7,'계산 과정'!$C$49*('계산 과정'!$C$32-D1589)+'계산 과정'!$D$49*('계산 과정'!$D$32-E1589)+'계산 과정'!$E$49*'계산 과정'!$E$32,"")</x:f>
        <x:v>-53.77380831064022</x:v>
      </x:c>
      <x:c r="P1589" s="4" t="n">
        <x:f>IF(AND('계산 과정'!$L$7,O1589&lt;&gt;0),('계산 과정'!$L$23-'계산 과정'!$C$49*D1589-'계산 과정'!$D$49*E1589)/O1589,"")</x:f>
        <x:v>-6.438565587344721</x:v>
      </x:c>
      <x:c r="Q1589" s="4" t="str">
        <x:f>IF(AND(ISNUMBER(P1589),P1589&gt;1E-9,P1589&lt;1-1E-9),'계산 과정'!$C$47*(D1589-'계산 과정'!$C$50+P1589*('계산 과정'!$C$32-D1589))+'계산 과정'!$D$47*(E1589-'계산 과정'!$D$50+P1589*('계산 과정'!$D$32-E1589))+'계산 과정'!$E$47*(0-'계산 과정'!$E$50+P1589*('계산 과정'!$E$32-0)),"")</x:f>
      </x:c>
      <x:c r="R1589" s="4" t="str">
        <x:f>IF(AND(ISNUMBER(P1589),P1589&gt;1E-9,P1589&lt;1-1E-9),'계산 과정'!$C$48*(D1589-'계산 과정'!$C$50+P1589*('계산 과정'!$C$32-D1589))+'계산 과정'!$D$48*(E1589-'계산 과정'!$D$50+P1589*('계산 과정'!$D$32-E1589))+'계산 과정'!$E$48*(0-'계산 과정'!$E$50+P1589*('계산 과정'!$E$32-0)),"")</x:f>
      </x:c>
      <x:c r="S1589" s="17" t="n">
        <x:f>IF('계산 과정'!$C$78,IF(AND(ISNUMBER(Q1589),ISNUMBER(R1589),ABS(Q1589-'계산 과정'!$C$88)&lt;='계산 과정'!$D$23/2,ABS(R1589-'계산 과정'!$C$89)&lt;='계산 과정'!$D$24/2),1,0),"")</x:f>
        <x:v>0</x:v>
      </x:c>
      <x:c r="T1589" s="4"/>
      <x:c r="U1589" s="4"/>
      <x:c r="V1589" s="4"/>
      <x:c r="W1589" s="4"/>
      <x:c r="X1589" s="4"/>
      <x:c r="Y1589" s="4"/>
      <x:c r="Z1589" s="4"/>
    </x:row>
    <x:row r="1590" ht="23" customHeight="1">
      <x:c r="A1590" s="17" t="n">
        <x:f>ROW()-6</x:f>
        <x:v>1584</x:v>
      </x:c>
      <x:c r="B1590" s="4" t="n">
        <x:f>IF('계산 과정'!$L$5,'계산 과정'!$L$11*SQRT((A1590+0.5)/'계산 과정'!$L$30),"")</x:f>
        <x:v>131.93876198472722</x:v>
      </x:c>
      <x:c r="C1590" s="4" t="n">
        <x:f>A1590*PI()*(3-SQRT(5))</x:f>
        <x:v>3801.5417558901863</x:v>
      </x:c>
      <x:c r="D1590" s="4" t="n">
        <x:f>IF('계산 과정'!$L$5,B1590*COS(C1590),"")</x:f>
        <x:v>128.91103933197627</x:v>
      </x:c>
      <x:c r="E1590" s="4" t="n">
        <x:f>IF('계산 과정'!$L$5,B1590*SIN(C1590),"")</x:f>
        <x:v>28.103039914076273</x:v>
      </x:c>
      <x:c r="F1590" s="4" t="n">
        <x:f>IF('계산 과정'!$L$7,'계산 과정'!$L$22+'계산 과정'!$C$49*D1590+'계산 과정'!$D$49*E1590,"")</x:f>
        <x:v>558.8461299185539</x:v>
      </x:c>
      <x:c r="G1590" s="4" t="n">
        <x:f>IF('계산 과정'!$L$7,IF(ABS(F1590)&gt;=1E-12*MAX(1,SQRT((D1590-'계산 과정'!$C$33)^2+(E1590-'계산 과정'!$D$33)^2+'계산 과정'!$E$33^2)),('계산 과정'!$L$23-'계산 과정'!$C$49*D1590-'계산 과정'!$D$49*E1590)/F1590,""),"")</x:f>
        <x:v>0.8788713812029563</x:v>
      </x:c>
      <x:c r="H1590" s="4" t="n">
        <x:f>IF(AND(ISNUMBER(G1590),G1590&gt;0),('계산 과정'!$D$56+'계산 과정'!$D$57*D1590+'계산 과정'!$D$58*E1590)/F1590,"")</x:f>
        <x:v>171.26639778192148</x:v>
      </x:c>
      <x:c r="I1590" s="4" t="n">
        <x:f>IF(AND(ISNUMBER(G1590),G1590&gt;0),('계산 과정'!$E$56+'계산 과정'!$E$57*D1590+'계산 과정'!$E$58*E1590)/F1590,"")</x:f>
        <x:v>52.801997419362294</x:v>
      </x:c>
      <x:c r="J1590" s="4" t="n">
        <x:f>IF('계산 과정'!$L$5,'계산 과정'!$D$6+'계산 과정'!$C$35*D1590+'계산 과정'!$D$35*E1590,"")</x:f>
        <x:v>558.8461299185539</x:v>
      </x:c>
      <x:c r="K1590" s="4" t="n">
        <x:f>IF(AND('계산 과정'!$L$6,J1590&gt;0),'계산 과정'!$D$10*('계산 과정'!$C$38*(D1590-'계산 과정'!$C$32)+'계산 과정'!$D$38*(E1590-'계산 과정'!$D$32)-'계산 과정'!$E$38*'계산 과정'!$E$32)/J1590,"")</x:f>
        <x:v>1.304886840243212</x:v>
      </x:c>
      <x:c r="L1590" s="4" t="n">
        <x:f>IF(AND('계산 과정'!$L$6,J1590&gt;0),'계산 과정'!$D$10*('계산 과정'!$C$39*(D1590-'계산 과정'!$C$32)+'계산 과정'!$D$39*(E1590-'계산 과정'!$D$32)-'계산 과정'!$E$39*'계산 과정'!$E$32)/J1590,"")</x:f>
        <x:v>0.40230093271895084</x:v>
      </x:c>
      <x:c r="M1590" s="17" t="n">
        <x:f>IF('계산 과정'!$L$6,IF(J1590&lt;=0,0,IF(AND(ABS(K1590)&lt;='계산 과정'!$D$11/2,ABS(L1590)&lt;='계산 과정'!$D$12/2),1,0)),"")</x:f>
        <x:v>1</x:v>
      </x:c>
      <x:c r="N1590" s="17" t="n">
        <x:f>IF('계산 과정'!$C$78,IF(AND(ISNUMBER(H1590),ISNUMBER(I1590),ABS(H1590-'계산 과정'!$C$88)&lt;='계산 과정'!$D$23/2,ABS(I1590-'계산 과정'!$C$89)&lt;='계산 과정'!$D$24/2),1,0),"")</x:f>
        <x:v>1</x:v>
      </x:c>
      <x:c r="O1590" s="4" t="n">
        <x:f>IF('계산 과정'!$L$7,'계산 과정'!$C$49*('계산 과정'!$C$32-D1590)+'계산 과정'!$D$49*('계산 과정'!$D$32-E1590)+'계산 과정'!$E$49*'계산 과정'!$E$32,"")</x:f>
        <x:v>91.15387008144626</x:v>
      </x:c>
      <x:c r="P1590" s="4" t="n">
        <x:f>IF(AND('계산 과정'!$L$7,O1590&lt;&gt;0),('계산 과정'!$L$23-'계산 과정'!$C$49*D1590-'계산 과정'!$D$49*E1590)/O1590,"")</x:f>
        <x:v>5.3881845021237025</x:v>
      </x:c>
      <x:c r="Q1590" s="4" t="str">
        <x:f>IF(AND(ISNUMBER(P1590),P1590&gt;1E-9,P1590&lt;1-1E-9),'계산 과정'!$C$47*(D1590-'계산 과정'!$C$50+P1590*('계산 과정'!$C$32-D1590))+'계산 과정'!$D$47*(E1590-'계산 과정'!$D$50+P1590*('계산 과정'!$D$32-E1590))+'계산 과정'!$E$47*(0-'계산 과정'!$E$50+P1590*('계산 과정'!$E$32-0)),"")</x:f>
      </x:c>
      <x:c r="R1590" s="4" t="str">
        <x:f>IF(AND(ISNUMBER(P1590),P1590&gt;1E-9,P1590&lt;1-1E-9),'계산 과정'!$C$48*(D1590-'계산 과정'!$C$50+P1590*('계산 과정'!$C$32-D1590))+'계산 과정'!$D$48*(E1590-'계산 과정'!$D$50+P1590*('계산 과정'!$D$32-E1590))+'계산 과정'!$E$48*(0-'계산 과정'!$E$50+P1590*('계산 과정'!$E$32-0)),"")</x:f>
      </x:c>
      <x:c r="S1590" s="17" t="n">
        <x:f>IF('계산 과정'!$C$78,IF(AND(ISNUMBER(Q1590),ISNUMBER(R1590),ABS(Q1590-'계산 과정'!$C$88)&lt;='계산 과정'!$D$23/2,ABS(R1590-'계산 과정'!$C$89)&lt;='계산 과정'!$D$24/2),1,0),"")</x:f>
        <x:v>0</x:v>
      </x:c>
      <x:c r="T1590" s="4"/>
      <x:c r="U1590" s="4"/>
      <x:c r="V1590" s="4"/>
      <x:c r="W1590" s="4"/>
      <x:c r="X1590" s="4"/>
      <x:c r="Y1590" s="4"/>
      <x:c r="Z1590" s="4"/>
    </x:row>
    <x:row r="1591" ht="23" customHeight="1">
      <x:c r="A1591" s="17" t="n">
        <x:f>ROW()-6</x:f>
        <x:v>1585</x:v>
      </x:c>
      <x:c r="B1591" s="4" t="n">
        <x:f>IF('계산 과정'!$L$5,'계산 과정'!$L$11*SQRT((A1591+0.5)/'계산 과정'!$L$30),"")</x:f>
        <x:v>131.98038961219768</x:v>
      </x:c>
      <x:c r="C1591" s="4" t="n">
        <x:f>A1591*PI()*(3-SQRT(5))</x:f>
        <x:v>3803.9417191199145</x:v>
      </x:c>
      <x:c r="D1591" s="4" t="n">
        <x:f>IF('계산 과정'!$L$5,B1591*COS(C1591),"")</x:f>
        <x:v>-114.07429905443071</x:v>
      </x:c>
      <x:c r="E1591" s="4" t="n">
        <x:f>IF('계산 과정'!$L$5,B1591*SIN(C1591),"")</x:f>
        <x:v>66.37678462706526</x:v>
      </x:c>
      <x:c r="F1591" s="4" t="n">
        <x:f>IF('계산 과정'!$L$7,'계산 과정'!$L$22+'계산 과정'!$C$49*D1591+'계산 과정'!$D$49*E1591,"")</x:f>
        <x:v>730.6627104204902</x:v>
      </x:c>
      <x:c r="G1591" s="4" t="n">
        <x:f>IF('계산 과정'!$L$7,IF(ABS(F1591)&gt;=1E-12*MAX(1,SQRT((D1591-'계산 과정'!$C$33)^2+(E1591-'계산 과정'!$D$33)^2+'계산 과정'!$E$33^2)),('계산 과정'!$L$23-'계산 과정'!$C$49*D1591-'계산 과정'!$D$49*E1591)/F1591,""),"")</x:f>
        <x:v>0.43705157663750765</x:v>
      </x:c>
      <x:c r="H1591" s="4" t="n">
        <x:f>IF(AND(ISNUMBER(G1591),G1591&gt;0),('계산 과정'!$D$56+'계산 과정'!$D$57*D1591+'계산 과정'!$D$58*E1591)/F1591,"")</x:f>
        <x:v>-115.91647518562017</x:v>
      </x:c>
      <x:c r="I1591" s="4" t="n">
        <x:f>IF(AND(ISNUMBER(G1591),G1591&gt;0),('계산 과정'!$E$56+'계산 과정'!$E$57*D1591+'계산 과정'!$E$58*E1591)/F1591,"")</x:f>
        <x:v>95.38686300045241</x:v>
      </x:c>
      <x:c r="J1591" s="4" t="n">
        <x:f>IF('계산 과정'!$L$5,'계산 과정'!$D$6+'계산 과정'!$C$35*D1591+'계산 과정'!$D$35*E1591,"")</x:f>
        <x:v>730.6627104204902</x:v>
      </x:c>
      <x:c r="K1591" s="4" t="n">
        <x:f>IF(AND('계산 과정'!$L$6,J1591&gt;0),'계산 과정'!$D$10*('계산 과정'!$C$38*(D1591-'계산 과정'!$C$32)+'계산 과정'!$D$38*(E1591-'계산 과정'!$D$32)-'계산 과정'!$E$38*'계산 과정'!$E$32)/J1591,"")</x:f>
        <x:v>-0.8831731442713912</x:v>
      </x:c>
      <x:c r="L1591" s="4" t="n">
        <x:f>IF(AND('계산 과정'!$L$6,J1591&gt;0),'계산 과정'!$D$10*('계산 과정'!$C$39*(D1591-'계산 과정'!$C$32)+'계산 과정'!$D$39*(E1591-'계산 과정'!$D$32)-'계산 과정'!$E$39*'계산 과정'!$E$32)/J1591,"")</x:f>
        <x:v>0.7267570514320184</x:v>
      </x:c>
      <x:c r="M1591" s="17" t="n">
        <x:f>IF('계산 과정'!$L$6,IF(J1591&lt;=0,0,IF(AND(ABS(K1591)&lt;='계산 과정'!$D$11/2,ABS(L1591)&lt;='계산 과정'!$D$12/2),1,0)),"")</x:f>
        <x:v>1</x:v>
      </x:c>
      <x:c r="N1591" s="17" t="n">
        <x:f>IF('계산 과정'!$C$78,IF(AND(ISNUMBER(H1591),ISNUMBER(I1591),ABS(H1591-'계산 과정'!$C$88)&lt;='계산 과정'!$D$23/2,ABS(I1591-'계산 과정'!$C$89)&lt;='계산 과정'!$D$24/2),1,0),"")</x:f>
        <x:v>1</x:v>
      </x:c>
      <x:c r="O1591" s="4" t="n">
        <x:f>IF('계산 과정'!$L$7,'계산 과정'!$C$49*('계산 과정'!$C$32-D1591)+'계산 과정'!$D$49*('계산 과정'!$D$32-E1591)+'계산 과정'!$E$49*'계산 과정'!$E$32,"")</x:f>
        <x:v>-80.66271042049004</x:v>
      </x:c>
      <x:c r="P1591" s="4" t="n">
        <x:f>IF(AND('계산 과정'!$L$7,O1591&lt;&gt;0),('계산 과정'!$L$23-'계산 과정'!$C$49*D1591-'계산 과정'!$D$49*E1591)/O1591,"")</x:f>
        <x:v>-3.958920893121779</x:v>
      </x:c>
      <x:c r="Q1591" s="4" t="str">
        <x:f>IF(AND(ISNUMBER(P1591),P1591&gt;1E-9,P1591&lt;1-1E-9),'계산 과정'!$C$47*(D1591-'계산 과정'!$C$50+P1591*('계산 과정'!$C$32-D1591))+'계산 과정'!$D$47*(E1591-'계산 과정'!$D$50+P1591*('계산 과정'!$D$32-E1591))+'계산 과정'!$E$47*(0-'계산 과정'!$E$50+P1591*('계산 과정'!$E$32-0)),"")</x:f>
      </x:c>
      <x:c r="R1591" s="4" t="str">
        <x:f>IF(AND(ISNUMBER(P1591),P1591&gt;1E-9,P1591&lt;1-1E-9),'계산 과정'!$C$48*(D1591-'계산 과정'!$C$50+P1591*('계산 과정'!$C$32-D1591))+'계산 과정'!$D$48*(E1591-'계산 과정'!$D$50+P1591*('계산 과정'!$D$32-E1591))+'계산 과정'!$E$48*(0-'계산 과정'!$E$50+P1591*('계산 과정'!$E$32-0)),"")</x:f>
      </x:c>
      <x:c r="S1591" s="17" t="n">
        <x:f>IF('계산 과정'!$C$78,IF(AND(ISNUMBER(Q1591),ISNUMBER(R1591),ABS(Q1591-'계산 과정'!$C$88)&lt;='계산 과정'!$D$23/2,ABS(R1591-'계산 과정'!$C$89)&lt;='계산 과정'!$D$24/2),1,0),"")</x:f>
        <x:v>0</x:v>
      </x:c>
      <x:c r="T1591" s="4"/>
      <x:c r="U1591" s="4"/>
      <x:c r="V1591" s="4"/>
      <x:c r="W1591" s="4"/>
      <x:c r="X1591" s="4"/>
      <x:c r="Y1591" s="4"/>
      <x:c r="Z1591" s="4"/>
    </x:row>
    <x:row r="1592" ht="23" customHeight="1">
      <x:c r="A1592" s="17" t="n">
        <x:f>ROW()-6</x:f>
        <x:v>1586</x:v>
      </x:c>
      <x:c r="B1592" s="4" t="n">
        <x:f>IF('계산 과정'!$L$5,'계산 과정'!$L$11*SQRT((A1592+0.5)/'계산 과정'!$L$30),"")</x:f>
        <x:v>132.02200411413432</x:v>
      </x:c>
      <x:c r="C1592" s="4" t="n">
        <x:f>A1592*PI()*(3-SQRT(5))</x:f>
        <x:v>3806.3416823496436</x:v>
      </x:c>
      <x:c r="D1592" s="4" t="n">
        <x:f>IF('계산 과정'!$L$5,B1592*COS(C1592),"")</x:f>
        <x:v>39.29034879654273</x:v>
      </x:c>
      <x:c r="E1592" s="4" t="n">
        <x:f>IF('계산 과정'!$L$5,B1592*SIN(C1592),"")</x:f>
        <x:v>-126.03998596381432</x:v>
      </x:c>
      <x:c r="F1592" s="4" t="n">
        <x:f>IF('계산 과정'!$L$7,'계산 과정'!$L$22+'계산 과정'!$C$49*D1592+'계산 과정'!$D$49*E1592,"")</x:f>
        <x:v>622.21752793078</x:v>
      </x:c>
      <x:c r="G1592" s="4" t="n">
        <x:f>IF('계산 과정'!$L$7,IF(ABS(F1592)&gt;=1E-12*MAX(1,SQRT((D1592-'계산 과정'!$C$33)^2+(E1592-'계산 과정'!$D$33)^2+'계산 과정'!$E$33^2)),('계산 과정'!$L$23-'계산 과정'!$C$49*D1592-'계산 과정'!$D$49*E1592)/F1592,""),"")</x:f>
        <x:v>0.6875127312659212</x:v>
      </x:c>
      <x:c r="H1592" s="4" t="n">
        <x:f>IF(AND(ISNUMBER(G1592),G1592&gt;0),('계산 과정'!$D$56+'계산 과정'!$D$57*D1592+'계산 과정'!$D$58*E1592)/F1592,"")</x:f>
        <x:v>46.883275322848625</x:v>
      </x:c>
      <x:c r="I1592" s="4" t="n">
        <x:f>IF(AND(ISNUMBER(G1592),G1592&gt;0),('계산 과정'!$E$56+'계산 과정'!$E$57*D1592+'계산 과정'!$E$58*E1592)/F1592,"")</x:f>
        <x:v>-212.69408096251465</x:v>
      </x:c>
      <x:c r="J1592" s="4" t="n">
        <x:f>IF('계산 과정'!$L$5,'계산 과정'!$D$6+'계산 과정'!$C$35*D1592+'계산 과정'!$D$35*E1592,"")</x:f>
        <x:v>622.21752793078</x:v>
      </x:c>
      <x:c r="K1592" s="4" t="n">
        <x:f>IF(AND('계산 과정'!$L$6,J1592&gt;0),'계산 과정'!$D$10*('계산 과정'!$C$38*(D1592-'계산 과정'!$C$32)+'계산 과정'!$D$38*(E1592-'계산 과정'!$D$32)-'계산 과정'!$E$38*'계산 과정'!$E$32)/J1592,"")</x:f>
        <x:v>0.35720590722170487</x:v>
      </x:c>
      <x:c r="L1592" s="4" t="n">
        <x:f>IF(AND('계산 과정'!$L$6,J1592&gt;0),'계산 과정'!$D$10*('계산 과정'!$C$39*(D1592-'계산 과정'!$C$32)+'계산 과정'!$D$39*(E1592-'계산 과정'!$D$32)-'계산 과정'!$E$39*'계산 과정'!$E$32)/J1592,"")</x:f>
        <x:v>-1.6205263311429687</x:v>
      </x:c>
      <x:c r="M1592" s="17" t="n">
        <x:f>IF('계산 과정'!$L$6,IF(J1592&lt;=0,0,IF(AND(ABS(K1592)&lt;='계산 과정'!$D$11/2,ABS(L1592)&lt;='계산 과정'!$D$12/2),1,0)),"")</x:f>
        <x:v>1</x:v>
      </x:c>
      <x:c r="N1592" s="17" t="n">
        <x:f>IF('계산 과정'!$C$78,IF(AND(ISNUMBER(H1592),ISNUMBER(I1592),ABS(H1592-'계산 과정'!$C$88)&lt;='계산 과정'!$D$23/2,ABS(I1592-'계산 과정'!$C$89)&lt;='계산 과정'!$D$24/2),1,0),"")</x:f>
        <x:v>1</x:v>
      </x:c>
      <x:c r="O1592" s="4" t="n">
        <x:f>IF('계산 과정'!$L$7,'계산 과정'!$C$49*('계산 과정'!$C$32-D1592)+'계산 과정'!$D$49*('계산 과정'!$D$32-E1592)+'계산 과정'!$E$49*'계산 과정'!$E$32,"")</x:f>
        <x:v>27.782472069220205</x:v>
      </x:c>
      <x:c r="P1592" s="4" t="n">
        <x:f>IF(AND('계산 과정'!$L$7,O1592&lt;&gt;0),('계산 과정'!$L$23-'계산 과정'!$C$49*D1592-'계산 과정'!$D$49*E1592)/O1592,"")</x:f>
        <x:v>15.397566890498346</x:v>
      </x:c>
      <x:c r="Q1592" s="4" t="str">
        <x:f>IF(AND(ISNUMBER(P1592),P1592&gt;1E-9,P1592&lt;1-1E-9),'계산 과정'!$C$47*(D1592-'계산 과정'!$C$50+P1592*('계산 과정'!$C$32-D1592))+'계산 과정'!$D$47*(E1592-'계산 과정'!$D$50+P1592*('계산 과정'!$D$32-E1592))+'계산 과정'!$E$47*(0-'계산 과정'!$E$50+P1592*('계산 과정'!$E$32-0)),"")</x:f>
      </x:c>
      <x:c r="R1592" s="4" t="str">
        <x:f>IF(AND(ISNUMBER(P1592),P1592&gt;1E-9,P1592&lt;1-1E-9),'계산 과정'!$C$48*(D1592-'계산 과정'!$C$50+P1592*('계산 과정'!$C$32-D1592))+'계산 과정'!$D$48*(E1592-'계산 과정'!$D$50+P1592*('계산 과정'!$D$32-E1592))+'계산 과정'!$E$48*(0-'계산 과정'!$E$50+P1592*('계산 과정'!$E$32-0)),"")</x:f>
      </x:c>
      <x:c r="S1592" s="17" t="n">
        <x:f>IF('계산 과정'!$C$78,IF(AND(ISNUMBER(Q1592),ISNUMBER(R1592),ABS(Q1592-'계산 과정'!$C$88)&lt;='계산 과정'!$D$23/2,ABS(R1592-'계산 과정'!$C$89)&lt;='계산 과정'!$D$24/2),1,0),"")</x:f>
        <x:v>0</x:v>
      </x:c>
      <x:c r="T1592" s="4"/>
      <x:c r="U1592" s="4"/>
      <x:c r="V1592" s="4"/>
      <x:c r="W1592" s="4"/>
      <x:c r="X1592" s="4"/>
      <x:c r="Y1592" s="4"/>
      <x:c r="Z1592" s="4"/>
    </x:row>
    <x:row r="1593" ht="23" customHeight="1">
      <x:c r="A1593" s="17" t="n">
        <x:f>ROW()-6</x:f>
        <x:v>1587</x:v>
      </x:c>
      <x:c r="B1593" s="4" t="n">
        <x:f>IF('계산 과정'!$L$5,'계산 과정'!$L$11*SQRT((A1593+0.5)/'계산 과정'!$L$30),"")</x:f>
        <x:v>132.06360550294505</x:v>
      </x:c>
      <x:c r="C1593" s="4" t="n">
        <x:f>A1593*PI()*(3-SQRT(5))</x:f>
        <x:v>3808.741645579372</x:v>
      </x:c>
      <x:c r="D1593" s="4" t="n">
        <x:f>IF('계산 과정'!$L$5,B1593*COS(C1593),"")</x:f>
        <x:v>56.185005648487866</x:v>
      </x:c>
      <x:c r="E1593" s="4" t="n">
        <x:f>IF('계산 과정'!$L$5,B1593*SIN(C1593),"")</x:f>
        <x:v>119.51586103407733</x:v>
      </x:c>
      <x:c r="F1593" s="4" t="n">
        <x:f>IF('계산 과정'!$L$7,'계산 과정'!$L$22+'계산 과정'!$C$49*D1593+'계산 과정'!$D$49*E1593,"")</x:f>
        <x:v>610.2712015049498</x:v>
      </x:c>
      <x:c r="G1593" s="4" t="n">
        <x:f>IF('계산 과정'!$L$7,IF(ABS(F1593)&gt;=1E-12*MAX(1,SQRT((D1593-'계산 과정'!$C$33)^2+(E1593-'계산 과정'!$D$33)^2+'계산 과정'!$E$33^2)),('계산 과정'!$L$23-'계산 과정'!$C$49*D1593-'계산 과정'!$D$49*E1593)/F1593,""),"")</x:f>
        <x:v>0.7205465330998151</x:v>
      </x:c>
      <x:c r="H1593" s="4" t="n">
        <x:f>IF(AND(ISNUMBER(G1593),G1593&gt;0),('계산 과정'!$D$56+'계산 과정'!$D$57*D1593+'계산 과정'!$D$58*E1593)/F1593,"")</x:f>
        <x:v>68.35524651487975</x:v>
      </x:c>
      <x:c r="I1593" s="4" t="n">
        <x:f>IF(AND(ISNUMBER(G1593),G1593&gt;0),('계산 과정'!$E$56+'계산 과정'!$E$57*D1593+'계산 과정'!$E$58*E1593)/F1593,"")</x:f>
        <x:v>205.63260035262104</x:v>
      </x:c>
      <x:c r="J1593" s="4" t="n">
        <x:f>IF('계산 과정'!$L$5,'계산 과정'!$D$6+'계산 과정'!$C$35*D1593+'계산 과정'!$D$35*E1593,"")</x:f>
        <x:v>610.2712015049498</x:v>
      </x:c>
      <x:c r="K1593" s="4" t="n">
        <x:f>IF(AND('계산 과정'!$L$6,J1593&gt;0),'계산 과정'!$D$10*('계산 과정'!$C$38*(D1593-'계산 과정'!$C$32)+'계산 과정'!$D$38*(E1593-'계산 과정'!$D$32)-'계산 과정'!$E$38*'계산 과정'!$E$32)/J1593,"")</x:f>
        <x:v>0.5208018782086081</x:v>
      </x:c>
      <x:c r="L1593" s="4" t="n">
        <x:f>IF(AND('계산 과정'!$L$6,J1593&gt;0),'계산 과정'!$D$10*('계산 과정'!$C$39*(D1593-'계산 과정'!$C$32)+'계산 과정'!$D$39*(E1593-'계산 과정'!$D$32)-'계산 과정'!$E$39*'계산 과정'!$E$32)/J1593,"")</x:f>
        <x:v>1.5667245741152078</x:v>
      </x:c>
      <x:c r="M1593" s="17" t="n">
        <x:f>IF('계산 과정'!$L$6,IF(J1593&lt;=0,0,IF(AND(ABS(K1593)&lt;='계산 과정'!$D$11/2,ABS(L1593)&lt;='계산 과정'!$D$12/2),1,0)),"")</x:f>
        <x:v>1</x:v>
      </x:c>
      <x:c r="N1593" s="17" t="n">
        <x:f>IF('계산 과정'!$C$78,IF(AND(ISNUMBER(H1593),ISNUMBER(I1593),ABS(H1593-'계산 과정'!$C$88)&lt;='계산 과정'!$D$23/2,ABS(I1593-'계산 과정'!$C$89)&lt;='계산 과정'!$D$24/2),1,0),"")</x:f>
        <x:v>1</x:v>
      </x:c>
      <x:c r="O1593" s="4" t="n">
        <x:f>IF('계산 과정'!$L$7,'계산 과정'!$C$49*('계산 과정'!$C$32-D1593)+'계산 과정'!$D$49*('계산 과정'!$D$32-E1593)+'계산 과정'!$E$49*'계산 과정'!$E$32,"")</x:f>
        <x:v>39.72879849505034</x:v>
      </x:c>
      <x:c r="P1593" s="4" t="n">
        <x:f>IF(AND('계산 과정'!$L$7,O1593&lt;&gt;0),('계산 과정'!$L$23-'계산 과정'!$C$49*D1593-'계산 과정'!$D$49*E1593)/O1593,"")</x:f>
        <x:v>11.068263203324268</x:v>
      </x:c>
      <x:c r="Q1593" s="4" t="str">
        <x:f>IF(AND(ISNUMBER(P1593),P1593&gt;1E-9,P1593&lt;1-1E-9),'계산 과정'!$C$47*(D1593-'계산 과정'!$C$50+P1593*('계산 과정'!$C$32-D1593))+'계산 과정'!$D$47*(E1593-'계산 과정'!$D$50+P1593*('계산 과정'!$D$32-E1593))+'계산 과정'!$E$47*(0-'계산 과정'!$E$50+P1593*('계산 과정'!$E$32-0)),"")</x:f>
      </x:c>
      <x:c r="R1593" s="4" t="str">
        <x:f>IF(AND(ISNUMBER(P1593),P1593&gt;1E-9,P1593&lt;1-1E-9),'계산 과정'!$C$48*(D1593-'계산 과정'!$C$50+P1593*('계산 과정'!$C$32-D1593))+'계산 과정'!$D$48*(E1593-'계산 과정'!$D$50+P1593*('계산 과정'!$D$32-E1593))+'계산 과정'!$E$48*(0-'계산 과정'!$E$50+P1593*('계산 과정'!$E$32-0)),"")</x:f>
      </x:c>
      <x:c r="S1593" s="17" t="n">
        <x:f>IF('계산 과정'!$C$78,IF(AND(ISNUMBER(Q1593),ISNUMBER(R1593),ABS(Q1593-'계산 과정'!$C$88)&lt;='계산 과정'!$D$23/2,ABS(R1593-'계산 과정'!$C$89)&lt;='계산 과정'!$D$24/2),1,0),"")</x:f>
        <x:v>0</x:v>
      </x:c>
      <x:c r="T1593" s="4"/>
      <x:c r="U1593" s="4"/>
      <x:c r="V1593" s="4"/>
      <x:c r="W1593" s="4"/>
      <x:c r="X1593" s="4"/>
      <x:c r="Y1593" s="4"/>
      <x:c r="Z1593" s="4"/>
    </x:row>
    <x:row r="1594" ht="23" customHeight="1">
      <x:c r="A1594" s="17" t="n">
        <x:f>ROW()-6</x:f>
        <x:v>1588</x:v>
      </x:c>
      <x:c r="B1594" s="4" t="n">
        <x:f>IF('계산 과정'!$L$5,'계산 과정'!$L$11*SQRT((A1594+0.5)/'계산 과정'!$L$30),"")</x:f>
        <x:v>132.1051937910183</x:v>
      </x:c>
      <x:c r="C1594" s="4" t="n">
        <x:f>A1594*PI()*(3-SQRT(5))</x:f>
        <x:v>3811.1416088091005</x:v>
      </x:c>
      <x:c r="D1594" s="4" t="n">
        <x:f>IF('계산 과정'!$L$5,B1594*COS(C1594),"")</x:f>
        <x:v>-122.19934852870668</x:v>
      </x:c>
      <x:c r="E1594" s="4" t="n">
        <x:f>IF('계산 과정'!$L$5,B1594*SIN(C1594),"")</x:f>
        <x:v>-50.190650979262834</x:v>
      </x:c>
      <x:c r="F1594" s="4" t="n">
        <x:f>IF('계산 과정'!$L$7,'계산 과정'!$L$22+'계산 과정'!$C$49*D1594+'계산 과정'!$D$49*E1594,"")</x:f>
        <x:v>736.4079880012268</x:v>
      </x:c>
      <x:c r="G1594" s="4" t="n">
        <x:f>IF('계산 과정'!$L$7,IF(ABS(F1594)&gt;=1E-12*MAX(1,SQRT((D1594-'계산 과정'!$C$33)^2+(E1594-'계산 과정'!$D$33)^2+'계산 과정'!$E$33^2)),('계산 과정'!$L$23-'계산 과정'!$C$49*D1594-'계산 과정'!$D$49*E1594)/F1594,""),"")</x:f>
        <x:v>0.4258400466973896</x:v>
      </x:c>
      <x:c r="H1594" s="4" t="n">
        <x:f>IF(AND(ISNUMBER(G1594),G1594&gt;0),('계산 과정'!$D$56+'계산 과정'!$D$57*D1594+'계산 과정'!$D$58*E1594)/F1594,"")</x:f>
        <x:v>-123.2039696466969</x:v>
      </x:c>
      <x:c r="I1594" s="4" t="n">
        <x:f>IF(AND(ISNUMBER(G1594),G1594&gt;0),('계산 과정'!$E$56+'계산 과정'!$E$57*D1594+'계산 과정'!$E$58*E1594)/F1594,"")</x:f>
        <x:v>-71.5638401360445</x:v>
      </x:c>
      <x:c r="J1594" s="4" t="n">
        <x:f>IF('계산 과정'!$L$5,'계산 과정'!$D$6+'계산 과정'!$C$35*D1594+'계산 과정'!$D$35*E1594,"")</x:f>
        <x:v>736.4079880012268</x:v>
      </x:c>
      <x:c r="K1594" s="4" t="n">
        <x:f>IF(AND('계산 과정'!$L$6,J1594&gt;0),'계산 과정'!$D$10*('계산 과정'!$C$38*(D1594-'계산 과정'!$C$32)+'계산 과정'!$D$38*(E1594-'계산 과정'!$D$32)-'계산 과정'!$E$38*'계산 과정'!$E$32)/J1594,"")</x:f>
        <x:v>-0.93869691159388</x:v>
      </x:c>
      <x:c r="L1594" s="4" t="n">
        <x:f>IF(AND('계산 과정'!$L$6,J1594&gt;0),'계산 과정'!$D$10*('계산 과정'!$C$39*(D1594-'계산 과정'!$C$32)+'계산 과정'!$D$39*(E1594-'계산 과정'!$D$32)-'계산 과정'!$E$39*'계산 과정'!$E$32)/J1594,"")</x:f>
        <x:v>-0.5452483057984343</x:v>
      </x:c>
      <x:c r="M1594" s="17" t="n">
        <x:f>IF('계산 과정'!$L$6,IF(J1594&lt;=0,0,IF(AND(ABS(K1594)&lt;='계산 과정'!$D$11/2,ABS(L1594)&lt;='계산 과정'!$D$12/2),1,0)),"")</x:f>
        <x:v>1</x:v>
      </x:c>
      <x:c r="N1594" s="17" t="n">
        <x:f>IF('계산 과정'!$C$78,IF(AND(ISNUMBER(H1594),ISNUMBER(I1594),ABS(H1594-'계산 과정'!$C$88)&lt;='계산 과정'!$D$23/2,ABS(I1594-'계산 과정'!$C$89)&lt;='계산 과정'!$D$24/2),1,0),"")</x:f>
        <x:v>1</x:v>
      </x:c>
      <x:c r="O1594" s="4" t="n">
        <x:f>IF('계산 과정'!$L$7,'계산 과정'!$C$49*('계산 과정'!$C$32-D1594)+'계산 과정'!$D$49*('계산 과정'!$D$32-E1594)+'계산 과정'!$E$49*'계산 과정'!$E$32,"")</x:f>
        <x:v>-86.40798800122673</x:v>
      </x:c>
      <x:c r="P1594" s="4" t="n">
        <x:f>IF(AND('계산 과정'!$L$7,O1594&lt;&gt;0),('계산 과정'!$L$23-'계산 과정'!$C$49*D1594-'계산 과정'!$D$49*E1594)/O1594,"")</x:f>
        <x:v>-3.6292016427268403</x:v>
      </x:c>
      <x:c r="Q1594" s="4" t="str">
        <x:f>IF(AND(ISNUMBER(P1594),P1594&gt;1E-9,P1594&lt;1-1E-9),'계산 과정'!$C$47*(D1594-'계산 과정'!$C$50+P1594*('계산 과정'!$C$32-D1594))+'계산 과정'!$D$47*(E1594-'계산 과정'!$D$50+P1594*('계산 과정'!$D$32-E1594))+'계산 과정'!$E$47*(0-'계산 과정'!$E$50+P1594*('계산 과정'!$E$32-0)),"")</x:f>
      </x:c>
      <x:c r="R1594" s="4" t="str">
        <x:f>IF(AND(ISNUMBER(P1594),P1594&gt;1E-9,P1594&lt;1-1E-9),'계산 과정'!$C$48*(D1594-'계산 과정'!$C$50+P1594*('계산 과정'!$C$32-D1594))+'계산 과정'!$D$48*(E1594-'계산 과정'!$D$50+P1594*('계산 과정'!$D$32-E1594))+'계산 과정'!$E$48*(0-'계산 과정'!$E$50+P1594*('계산 과정'!$E$32-0)),"")</x:f>
      </x:c>
      <x:c r="S1594" s="17" t="n">
        <x:f>IF('계산 과정'!$C$78,IF(AND(ISNUMBER(Q1594),ISNUMBER(R1594),ABS(Q1594-'계산 과정'!$C$88)&lt;='계산 과정'!$D$23/2,ABS(R1594-'계산 과정'!$C$89)&lt;='계산 과정'!$D$24/2),1,0),"")</x:f>
        <x:v>0</x:v>
      </x:c>
      <x:c r="T1594" s="4"/>
      <x:c r="U1594" s="4"/>
      <x:c r="V1594" s="4"/>
      <x:c r="W1594" s="4"/>
      <x:c r="X1594" s="4"/>
      <x:c r="Y1594" s="4"/>
      <x:c r="Z1594" s="4"/>
    </x:row>
    <x:row r="1595" ht="23" customHeight="1">
      <x:c r="A1595" s="17" t="n">
        <x:f>ROW()-6</x:f>
        <x:v>1589</x:v>
      </x:c>
      <x:c r="B1595" s="4" t="n">
        <x:f>IF('계산 과정'!$L$5,'계산 과정'!$L$11*SQRT((A1595+0.5)/'계산 과정'!$L$30),"")</x:f>
        <x:v>132.14676899072296</x:v>
      </x:c>
      <x:c r="C1595" s="4" t="n">
        <x:f>A1595*PI()*(3-SQRT(5))</x:f>
        <x:v>3813.5415720388296</x:v>
      </x:c>
      <x:c r="D1595" s="4" t="n">
        <x:f>IF('계산 과정'!$L$5,B1595*COS(C1595),"")</x:f>
        <x:v>124.04832144188516</x:v>
      </x:c>
      <x:c r="E1595" s="4" t="n">
        <x:f>IF('계산 과정'!$L$5,B1595*SIN(C1595),"")</x:f>
        <x:v>-45.54978048397419</x:v>
      </x:c>
      <x:c r="F1595" s="4" t="n">
        <x:f>IF('계산 과정'!$L$7,'계산 과정'!$L$22+'계산 과정'!$C$49*D1595+'계산 과정'!$D$49*E1595,"")</x:f>
        <x:v>562.2845907136344</x:v>
      </x:c>
      <x:c r="G1595" s="4" t="n">
        <x:f>IF('계산 과정'!$L$7,IF(ABS(F1595)&gt;=1E-12*MAX(1,SQRT((D1595-'계산 과정'!$C$33)^2+(E1595-'계산 과정'!$D$33)^2+'계산 과정'!$E$33^2)),('계산 과정'!$L$23-'계산 과정'!$C$49*D1595-'계산 과정'!$D$49*E1595)/F1595,""),"")</x:f>
        <x:v>0.8673817802251562</x:v>
      </x:c>
      <x:c r="H1595" s="4" t="n">
        <x:f>IF(AND(ISNUMBER(G1595),G1595&gt;0),('계산 과정'!$D$56+'계산 과정'!$D$57*D1595+'계산 과정'!$D$58*E1595)/F1595,"")</x:f>
        <x:v>163.7981571463515</x:v>
      </x:c>
      <x:c r="I1595" s="4" t="n">
        <x:f>IF(AND(ISNUMBER(G1595),G1595&gt;0),('계산 과정'!$E$56+'계산 과정'!$E$57*D1595+'계산 과정'!$E$58*E1595)/F1595,"")</x:f>
        <x:v>-85.0588301690288</x:v>
      </x:c>
      <x:c r="J1595" s="4" t="n">
        <x:f>IF('계산 과정'!$L$5,'계산 과정'!$D$6+'계산 과정'!$C$35*D1595+'계산 과정'!$D$35*E1595,"")</x:f>
        <x:v>562.2845907136344</x:v>
      </x:c>
      <x:c r="K1595" s="4" t="n">
        <x:f>IF(AND('계산 과정'!$L$6,J1595&gt;0),'계산 과정'!$D$10*('계산 과정'!$C$38*(D1595-'계산 과정'!$C$32)+'계산 과정'!$D$38*(E1595-'계산 과정'!$D$32)-'계산 과정'!$E$38*'계산 과정'!$E$32)/J1595,"")</x:f>
        <x:v>1.2479859592102978</x:v>
      </x:c>
      <x:c r="L1595" s="4" t="n">
        <x:f>IF(AND('계산 과정'!$L$6,J1595&gt;0),'계산 과정'!$D$10*('계산 과정'!$C$39*(D1595-'계산 과정'!$C$32)+'계산 과정'!$D$39*(E1595-'계산 과정'!$D$32)-'계산 과정'!$E$39*'계산 과정'!$E$32)/J1595,"")</x:f>
        <x:v>-0.6480672774783146</x:v>
      </x:c>
      <x:c r="M1595" s="17" t="n">
        <x:f>IF('계산 과정'!$L$6,IF(J1595&lt;=0,0,IF(AND(ABS(K1595)&lt;='계산 과정'!$D$11/2,ABS(L1595)&lt;='계산 과정'!$D$12/2),1,0)),"")</x:f>
        <x:v>1</x:v>
      </x:c>
      <x:c r="N1595" s="17" t="n">
        <x:f>IF('계산 과정'!$C$78,IF(AND(ISNUMBER(H1595),ISNUMBER(I1595),ABS(H1595-'계산 과정'!$C$88)&lt;='계산 과정'!$D$23/2,ABS(I1595-'계산 과정'!$C$89)&lt;='계산 과정'!$D$24/2),1,0),"")</x:f>
        <x:v>1</x:v>
      </x:c>
      <x:c r="O1595" s="4" t="n">
        <x:f>IF('계산 과정'!$L$7,'계산 과정'!$C$49*('계산 과정'!$C$32-D1595)+'계산 과정'!$D$49*('계산 과정'!$D$32-E1595)+'계산 과정'!$E$49*'계산 과정'!$E$32,"")</x:f>
        <x:v>87.71540928636571</x:v>
      </x:c>
      <x:c r="P1595" s="4" t="n">
        <x:f>IF(AND('계산 과정'!$L$7,O1595&lt;&gt;0),('계산 과정'!$L$23-'계산 과정'!$C$49*D1595-'계산 과정'!$D$49*E1595)/O1595,"")</x:f>
        <x:v>5.560202172620712</x:v>
      </x:c>
      <x:c r="Q1595" s="4" t="str">
        <x:f>IF(AND(ISNUMBER(P1595),P1595&gt;1E-9,P1595&lt;1-1E-9),'계산 과정'!$C$47*(D1595-'계산 과정'!$C$50+P1595*('계산 과정'!$C$32-D1595))+'계산 과정'!$D$47*(E1595-'계산 과정'!$D$50+P1595*('계산 과정'!$D$32-E1595))+'계산 과정'!$E$47*(0-'계산 과정'!$E$50+P1595*('계산 과정'!$E$32-0)),"")</x:f>
      </x:c>
      <x:c r="R1595" s="4" t="str">
        <x:f>IF(AND(ISNUMBER(P1595),P1595&gt;1E-9,P1595&lt;1-1E-9),'계산 과정'!$C$48*(D1595-'계산 과정'!$C$50+P1595*('계산 과정'!$C$32-D1595))+'계산 과정'!$D$48*(E1595-'계산 과정'!$D$50+P1595*('계산 과정'!$D$32-E1595))+'계산 과정'!$E$48*(0-'계산 과정'!$E$50+P1595*('계산 과정'!$E$32-0)),"")</x:f>
      </x:c>
      <x:c r="S1595" s="17" t="n">
        <x:f>IF('계산 과정'!$C$78,IF(AND(ISNUMBER(Q1595),ISNUMBER(R1595),ABS(Q1595-'계산 과정'!$C$88)&lt;='계산 과정'!$D$23/2,ABS(R1595-'계산 과정'!$C$89)&lt;='계산 과정'!$D$24/2),1,0),"")</x:f>
        <x:v>0</x:v>
      </x:c>
      <x:c r="T1595" s="4"/>
      <x:c r="U1595" s="4"/>
      <x:c r="V1595" s="4"/>
      <x:c r="W1595" s="4"/>
      <x:c r="X1595" s="4"/>
      <x:c r="Y1595" s="4"/>
      <x:c r="Z1595" s="4"/>
    </x:row>
    <x:row r="1596" ht="23" customHeight="1">
      <x:c r="A1596" s="17" t="n">
        <x:f>ROW()-6</x:f>
        <x:v>1590</x:v>
      </x:c>
      <x:c r="B1596" s="4" t="n">
        <x:f>IF('계산 과정'!$L$5,'계산 과정'!$L$11*SQRT((A1596+0.5)/'계산 과정'!$L$30),"")</x:f>
        <x:v>132.1883311144085</x:v>
      </x:c>
      <x:c r="C1596" s="4" t="n">
        <x:f>A1596*PI()*(3-SQRT(5))</x:f>
        <x:v>3815.941535268558</x:v>
      </x:c>
      <x:c r="D1596" s="4" t="n">
        <x:f>IF('계산 과정'!$L$5,B1596*COS(C1596),"")</x:f>
        <x:v>-60.72002833360138</x:v>
      </x:c>
      <x:c r="E1596" s="4" t="n">
        <x:f>IF('계산 과정'!$L$5,B1596*SIN(C1596),"")</x:f>
        <x:v>117.41734557542657</x:v>
      </x:c>
      <x:c r="F1596" s="4" t="n">
        <x:f>IF('계산 과정'!$L$7,'계산 과정'!$L$22+'계산 과정'!$C$49*D1596+'계산 과정'!$D$49*E1596,"")</x:f>
        <x:v>692.9355437885288</x:v>
      </x:c>
      <x:c r="G1596" s="4" t="n">
        <x:f>IF('계산 과정'!$L$7,IF(ABS(F1596)&gt;=1E-12*MAX(1,SQRT((D1596-'계산 과정'!$C$33)^2+(E1596-'계산 과정'!$D$33)^2+'계산 과정'!$E$33^2)),('계산 과정'!$L$23-'계산 과정'!$C$49*D1596-'계산 과정'!$D$49*E1596)/F1596,""),"")</x:f>
        <x:v>0.5152924531180358</x:v>
      </x:c>
      <x:c r="H1596" s="4" t="n">
        <x:f>IF(AND(ISNUMBER(G1596),G1596&gt;0),('계산 과정'!$D$56+'계산 과정'!$D$57*D1596+'계산 과정'!$D$58*E1596)/F1596,"")</x:f>
        <x:v>-65.05990547327683</x:v>
      </x:c>
      <x:c r="I1596" s="4" t="n">
        <x:f>IF(AND(ISNUMBER(G1596),G1596&gt;0),('계산 과정'!$E$56+'계산 과정'!$E$57*D1596+'계산 과정'!$E$58*E1596)/F1596,"")</x:f>
        <x:v>177.9216176155963</x:v>
      </x:c>
      <x:c r="J1596" s="4" t="n">
        <x:f>IF('계산 과정'!$L$5,'계산 과정'!$D$6+'계산 과정'!$C$35*D1596+'계산 과정'!$D$35*E1596,"")</x:f>
        <x:v>692.9355437885288</x:v>
      </x:c>
      <x:c r="K1596" s="4" t="n">
        <x:f>IF(AND('계산 과정'!$L$6,J1596&gt;0),'계산 과정'!$D$10*('계산 과정'!$C$38*(D1596-'계산 과정'!$C$32)+'계산 과정'!$D$38*(E1596-'계산 과정'!$D$32)-'계산 과정'!$E$38*'계산 과정'!$E$32)/J1596,"")</x:f>
        <x:v>-0.49569451789163205</x:v>
      </x:c>
      <x:c r="L1596" s="4" t="n">
        <x:f>IF(AND('계산 과정'!$L$6,J1596&gt;0),'계산 과정'!$D$10*('계산 과정'!$C$39*(D1596-'계산 과정'!$C$32)+'계산 과정'!$D$39*(E1596-'계산 과정'!$D$32)-'계산 과정'!$E$39*'계산 과정'!$E$32)/J1596,"")</x:f>
        <x:v>1.3555932770712098</x:v>
      </x:c>
      <x:c r="M1596" s="17" t="n">
        <x:f>IF('계산 과정'!$L$6,IF(J1596&lt;=0,0,IF(AND(ABS(K1596)&lt;='계산 과정'!$D$11/2,ABS(L1596)&lt;='계산 과정'!$D$12/2),1,0)),"")</x:f>
        <x:v>1</x:v>
      </x:c>
      <x:c r="N1596" s="17" t="n">
        <x:f>IF('계산 과정'!$C$78,IF(AND(ISNUMBER(H1596),ISNUMBER(I1596),ABS(H1596-'계산 과정'!$C$88)&lt;='계산 과정'!$D$23/2,ABS(I1596-'계산 과정'!$C$89)&lt;='계산 과정'!$D$24/2),1,0),"")</x:f>
        <x:v>1</x:v>
      </x:c>
      <x:c r="O1596" s="4" t="n">
        <x:f>IF('계산 과정'!$L$7,'계산 과정'!$C$49*('계산 과정'!$C$32-D1596)+'계산 과정'!$D$49*('계산 과정'!$D$32-E1596)+'계산 과정'!$E$49*'계산 과정'!$E$32,"")</x:f>
        <x:v>-42.93554378852872</x:v>
      </x:c>
      <x:c r="P1596" s="4" t="n">
        <x:f>IF(AND('계산 과정'!$L$7,O1596&lt;&gt;0),('계산 과정'!$L$23-'계산 과정'!$C$49*D1596-'계산 과정'!$D$49*E1596)/O1596,"")</x:f>
        <x:v>-8.316290530058913</x:v>
      </x:c>
      <x:c r="Q1596" s="4" t="str">
        <x:f>IF(AND(ISNUMBER(P1596),P1596&gt;1E-9,P1596&lt;1-1E-9),'계산 과정'!$C$47*(D1596-'계산 과정'!$C$50+P1596*('계산 과정'!$C$32-D1596))+'계산 과정'!$D$47*(E1596-'계산 과정'!$D$50+P1596*('계산 과정'!$D$32-E1596))+'계산 과정'!$E$47*(0-'계산 과정'!$E$50+P1596*('계산 과정'!$E$32-0)),"")</x:f>
      </x:c>
      <x:c r="R1596" s="4" t="str">
        <x:f>IF(AND(ISNUMBER(P1596),P1596&gt;1E-9,P1596&lt;1-1E-9),'계산 과정'!$C$48*(D1596-'계산 과정'!$C$50+P1596*('계산 과정'!$C$32-D1596))+'계산 과정'!$D$48*(E1596-'계산 과정'!$D$50+P1596*('계산 과정'!$D$32-E1596))+'계산 과정'!$E$48*(0-'계산 과정'!$E$50+P1596*('계산 과정'!$E$32-0)),"")</x:f>
      </x:c>
      <x:c r="S1596" s="17" t="n">
        <x:f>IF('계산 과정'!$C$78,IF(AND(ISNUMBER(Q1596),ISNUMBER(R1596),ABS(Q1596-'계산 과정'!$C$88)&lt;='계산 과정'!$D$23/2,ABS(R1596-'계산 과정'!$C$89)&lt;='계산 과정'!$D$24/2),1,0),"")</x:f>
        <x:v>0</x:v>
      </x:c>
      <x:c r="T1596" s="4"/>
      <x:c r="U1596" s="4"/>
      <x:c r="V1596" s="4"/>
      <x:c r="W1596" s="4"/>
      <x:c r="X1596" s="4"/>
      <x:c r="Y1596" s="4"/>
      <x:c r="Z1596" s="4"/>
    </x:row>
    <x:row r="1597" ht="23" customHeight="1">
      <x:c r="A1597" s="17" t="n">
        <x:f>ROW()-6</x:f>
        <x:v>1591</x:v>
      </x:c>
      <x:c r="B1597" s="4" t="n">
        <x:f>IF('계산 과정'!$L$5,'계산 과정'!$L$11*SQRT((A1597+0.5)/'계산 과정'!$L$30),"")</x:f>
        <x:v>132.22988017440497</x:v>
      </x:c>
      <x:c r="C1597" s="4" t="n">
        <x:f>A1597*PI()*(3-SQRT(5))</x:f>
        <x:v>3818.341498498287</x:v>
      </x:c>
      <x:c r="D1597" s="4" t="n">
        <x:f>IF('계산 과정'!$L$5,B1597*COS(C1597),"")</x:f>
        <x:v>-34.552075042236964</x:v>
      </x:c>
      <x:c r="E1597" s="4" t="n">
        <x:f>IF('계산 과정'!$L$5,B1597*SIN(C1597),"")</x:f>
        <x:v>-127.6357916934475</x:v>
      </x:c>
      <x:c r="F1597" s="4" t="n">
        <x:f>IF('계산 과정'!$L$7,'계산 과정'!$L$22+'계산 과정'!$C$49*D1597+'계산 과정'!$D$49*E1597,"")</x:f>
        <x:v>674.4320065664322</x:v>
      </x:c>
      <x:c r="G1597" s="4" t="n">
        <x:f>IF('계산 과정'!$L$7,IF(ABS(F1597)&gt;=1E-12*MAX(1,SQRT((D1597-'계산 과정'!$C$33)^2+(E1597-'계산 과정'!$D$33)^2+'계산 과정'!$E$33^2)),('계산 과정'!$L$23-'계산 과정'!$C$49*D1597-'계산 과정'!$D$49*E1597)/F1597,""),"")</x:f>
        <x:v>0.5568656139936236</x:v>
      </x:c>
      <x:c r="H1597" s="4" t="n">
        <x:f>IF(AND(ISNUMBER(G1597),G1597&gt;0),('계산 과정'!$D$56+'계산 과정'!$D$57*D1597+'계산 과정'!$D$58*E1597)/F1597,"")</x:f>
        <x:v>-38.037350904144866</x:v>
      </x:c>
      <x:c r="I1597" s="4" t="n">
        <x:f>IF(AND(ISNUMBER(G1597),G1597&gt;0),('계산 과정'!$E$56+'계산 과정'!$E$57*D1597+'계산 과정'!$E$58*E1597)/F1597,"")</x:f>
        <x:v>-198.71177520238138</x:v>
      </x:c>
      <x:c r="J1597" s="4" t="n">
        <x:f>IF('계산 과정'!$L$5,'계산 과정'!$D$6+'계산 과정'!$C$35*D1597+'계산 과정'!$D$35*E1597,"")</x:f>
        <x:v>674.4320065664322</x:v>
      </x:c>
      <x:c r="K1597" s="4" t="n">
        <x:f>IF(AND('계산 과정'!$L$6,J1597&gt;0),'계산 과정'!$D$10*('계산 과정'!$C$38*(D1597-'계산 과정'!$C$32)+'계산 과정'!$D$38*(E1597-'계산 과정'!$D$32)-'계산 과정'!$E$38*'계산 과정'!$E$32)/J1597,"")</x:f>
        <x:v>-0.2898083878411028</x:v>
      </x:c>
      <x:c r="L1597" s="4" t="n">
        <x:f>IF(AND('계산 과정'!$L$6,J1597&gt;0),'계산 과정'!$D$10*('계산 과정'!$C$39*(D1597-'계산 과정'!$C$32)+'계산 과정'!$D$39*(E1597-'계산 과정'!$D$32)-'계산 과정'!$E$39*'계산 과정'!$E$32)/J1597,"")</x:f>
        <x:v>-1.5139944777324297</x:v>
      </x:c>
      <x:c r="M1597" s="17" t="n">
        <x:f>IF('계산 과정'!$L$6,IF(J1597&lt;=0,0,IF(AND(ABS(K1597)&lt;='계산 과정'!$D$11/2,ABS(L1597)&lt;='계산 과정'!$D$12/2),1,0)),"")</x:f>
        <x:v>1</x:v>
      </x:c>
      <x:c r="N1597" s="17" t="n">
        <x:f>IF('계산 과정'!$C$78,IF(AND(ISNUMBER(H1597),ISNUMBER(I1597),ABS(H1597-'계산 과정'!$C$88)&lt;='계산 과정'!$D$23/2,ABS(I1597-'계산 과정'!$C$89)&lt;='계산 과정'!$D$24/2),1,0),"")</x:f>
        <x:v>1</x:v>
      </x:c>
      <x:c r="O1597" s="4" t="n">
        <x:f>IF('계산 과정'!$L$7,'계산 과정'!$C$49*('계산 과정'!$C$32-D1597)+'계산 과정'!$D$49*('계산 과정'!$D$32-E1597)+'계산 과정'!$E$49*'계산 과정'!$E$32,"")</x:f>
        <x:v>-24.432006566432108</x:v>
      </x:c>
      <x:c r="P1597" s="4" t="n">
        <x:f>IF(AND('계산 과정'!$L$7,O1597&lt;&gt;0),('계산 과정'!$L$23-'계산 과정'!$C$49*D1597-'계산 과정'!$D$49*E1597)/O1597,"")</x:f>
        <x:v>-15.371966785142089</x:v>
      </x:c>
      <x:c r="Q1597" s="4" t="str">
        <x:f>IF(AND(ISNUMBER(P1597),P1597&gt;1E-9,P1597&lt;1-1E-9),'계산 과정'!$C$47*(D1597-'계산 과정'!$C$50+P1597*('계산 과정'!$C$32-D1597))+'계산 과정'!$D$47*(E1597-'계산 과정'!$D$50+P1597*('계산 과정'!$D$32-E1597))+'계산 과정'!$E$47*(0-'계산 과정'!$E$50+P1597*('계산 과정'!$E$32-0)),"")</x:f>
      </x:c>
      <x:c r="R1597" s="4" t="str">
        <x:f>IF(AND(ISNUMBER(P1597),P1597&gt;1E-9,P1597&lt;1-1E-9),'계산 과정'!$C$48*(D1597-'계산 과정'!$C$50+P1597*('계산 과정'!$C$32-D1597))+'계산 과정'!$D$48*(E1597-'계산 과정'!$D$50+P1597*('계산 과정'!$D$32-E1597))+'계산 과정'!$E$48*(0-'계산 과정'!$E$50+P1597*('계산 과정'!$E$32-0)),"")</x:f>
      </x:c>
      <x:c r="S1597" s="17" t="n">
        <x:f>IF('계산 과정'!$C$78,IF(AND(ISNUMBER(Q1597),ISNUMBER(R1597),ABS(Q1597-'계산 과정'!$C$88)&lt;='계산 과정'!$D$23/2,ABS(R1597-'계산 과정'!$C$89)&lt;='계산 과정'!$D$24/2),1,0),"")</x:f>
        <x:v>0</x:v>
      </x:c>
      <x:c r="T1597" s="4"/>
      <x:c r="U1597" s="4"/>
      <x:c r="V1597" s="4"/>
      <x:c r="W1597" s="4"/>
      <x:c r="X1597" s="4"/>
      <x:c r="Y1597" s="4"/>
      <x:c r="Z1597" s="4"/>
    </x:row>
    <x:row r="1598" ht="23" customHeight="1">
      <x:c r="A1598" s="17" t="n">
        <x:f>ROW()-6</x:f>
        <x:v>1592</x:v>
      </x:c>
      <x:c r="B1598" s="4" t="n">
        <x:f>IF('계산 과정'!$L$5,'계산 과정'!$L$11*SQRT((A1598+0.5)/'계산 과정'!$L$30),"")</x:f>
        <x:v>132.2714161830231</x:v>
      </x:c>
      <x:c r="C1598" s="4" t="n">
        <x:f>A1598*PI()*(3-SQRT(5))</x:f>
        <x:v>3820.7414617280156</x:v>
      </x:c>
      <x:c r="D1598" s="4" t="n">
        <x:f>IF('계산 과정'!$L$5,B1598*COS(C1598),"")</x:f>
        <x:v>111.72944869695901</x:v>
      </x:c>
      <x:c r="E1598" s="4" t="n">
        <x:f>IF('계산 과정'!$L$5,B1598*SIN(C1598),"")</x:f>
        <x:v>70.79730102861342</x:v>
      </x:c>
      <x:c r="F1598" s="4" t="n">
        <x:f>IF('계산 과정'!$L$7,'계산 과정'!$L$22+'계산 과정'!$C$49*D1598+'계산 과정'!$D$49*E1598,"")</x:f>
        <x:v>570.9953491681458</x:v>
      </x:c>
      <x:c r="G1598" s="4" t="n">
        <x:f>IF('계산 과정'!$L$7,IF(ABS(F1598)&gt;=1E-12*MAX(1,SQRT((D1598-'계산 과정'!$C$33)^2+(E1598-'계산 과정'!$D$33)^2+'계산 과정'!$E$33^2)),('계산 과정'!$L$23-'계산 과정'!$C$49*D1598-'계산 과정'!$D$49*E1598)/F1598,""),"")</x:f>
        <x:v>0.8388941372809634</x:v>
      </x:c>
      <x:c r="H1598" s="4" t="n">
        <x:f>IF(AND(ISNUMBER(G1598),G1598&gt;0),('계산 과정'!$D$56+'계산 과정'!$D$57*D1598+'계산 과정'!$D$58*E1598)/F1598,"")</x:f>
        <x:v>145.28118923262616</x:v>
      </x:c>
      <x:c r="I1598" s="4" t="n">
        <x:f>IF(AND(ISNUMBER(G1598),G1598&gt;0),('계산 과정'!$E$56+'계산 과정'!$E$57*D1598+'계산 과정'!$E$58*E1598)/F1598,"")</x:f>
        <x:v>130.18874179683274</x:v>
      </x:c>
      <x:c r="J1598" s="4" t="n">
        <x:f>IF('계산 과정'!$L$5,'계산 과정'!$D$6+'계산 과정'!$C$35*D1598+'계산 과정'!$D$35*E1598,"")</x:f>
        <x:v>570.9953491681458</x:v>
      </x:c>
      <x:c r="K1598" s="4" t="n">
        <x:f>IF(AND('계산 과정'!$L$6,J1598&gt;0),'계산 과정'!$D$10*('계산 과정'!$C$38*(D1598-'계산 과정'!$C$32)+'계산 과정'!$D$38*(E1598-'계산 과정'!$D$32)-'계산 과정'!$E$38*'계산 과정'!$E$32)/J1598,"")</x:f>
        <x:v>1.106904298915248</x:v>
      </x:c>
      <x:c r="L1598" s="4" t="n">
        <x:f>IF(AND('계산 과정'!$L$6,J1598&gt;0),'계산 과정'!$D$10*('계산 과정'!$C$39*(D1598-'계산 과정'!$C$32)+'계산 과정'!$D$39*(E1598-'계산 과정'!$D$32)-'계산 과정'!$E$39*'계산 과정'!$E$32)/J1598,"")</x:f>
        <x:v>0.9919142232139637</x:v>
      </x:c>
      <x:c r="M1598" s="17" t="n">
        <x:f>IF('계산 과정'!$L$6,IF(J1598&lt;=0,0,IF(AND(ABS(K1598)&lt;='계산 과정'!$D$11/2,ABS(L1598)&lt;='계산 과정'!$D$12/2),1,0)),"")</x:f>
        <x:v>1</x:v>
      </x:c>
      <x:c r="N1598" s="17" t="n">
        <x:f>IF('계산 과정'!$C$78,IF(AND(ISNUMBER(H1598),ISNUMBER(I1598),ABS(H1598-'계산 과정'!$C$88)&lt;='계산 과정'!$D$23/2,ABS(I1598-'계산 과정'!$C$89)&lt;='계산 과정'!$D$24/2),1,0),"")</x:f>
        <x:v>1</x:v>
      </x:c>
      <x:c r="O1598" s="4" t="n">
        <x:f>IF('계산 과정'!$L$7,'계산 과정'!$C$49*('계산 과정'!$C$32-D1598)+'계산 과정'!$D$49*('계산 과정'!$D$32-E1598)+'계산 과정'!$E$49*'계산 과정'!$E$32,"")</x:f>
        <x:v>79.00465083185429</x:v>
      </x:c>
      <x:c r="P1598" s="4" t="n">
        <x:f>IF(AND('계산 과정'!$L$7,O1598&lt;&gt;0),('계산 과정'!$L$23-'계산 과정'!$C$49*D1598-'계산 과정'!$D$49*E1598)/O1598,"")</x:f>
        <x:v>6.06299307431053</x:v>
      </x:c>
      <x:c r="Q1598" s="4" t="str">
        <x:f>IF(AND(ISNUMBER(P1598),P1598&gt;1E-9,P1598&lt;1-1E-9),'계산 과정'!$C$47*(D1598-'계산 과정'!$C$50+P1598*('계산 과정'!$C$32-D1598))+'계산 과정'!$D$47*(E1598-'계산 과정'!$D$50+P1598*('계산 과정'!$D$32-E1598))+'계산 과정'!$E$47*(0-'계산 과정'!$E$50+P1598*('계산 과정'!$E$32-0)),"")</x:f>
      </x:c>
      <x:c r="R1598" s="4" t="str">
        <x:f>IF(AND(ISNUMBER(P1598),P1598&gt;1E-9,P1598&lt;1-1E-9),'계산 과정'!$C$48*(D1598-'계산 과정'!$C$50+P1598*('계산 과정'!$C$32-D1598))+'계산 과정'!$D$48*(E1598-'계산 과정'!$D$50+P1598*('계산 과정'!$D$32-E1598))+'계산 과정'!$E$48*(0-'계산 과정'!$E$50+P1598*('계산 과정'!$E$32-0)),"")</x:f>
      </x:c>
      <x:c r="S1598" s="17" t="n">
        <x:f>IF('계산 과정'!$C$78,IF(AND(ISNUMBER(Q1598),ISNUMBER(R1598),ABS(Q1598-'계산 과정'!$C$88)&lt;='계산 과정'!$D$23/2,ABS(R1598-'계산 과정'!$C$89)&lt;='계산 과정'!$D$24/2),1,0),"")</x:f>
        <x:v>0</x:v>
      </x:c>
      <x:c r="T1598" s="4"/>
      <x:c r="U1598" s="4"/>
      <x:c r="V1598" s="4"/>
      <x:c r="W1598" s="4"/>
      <x:c r="X1598" s="4"/>
      <x:c r="Y1598" s="4"/>
      <x:c r="Z1598" s="4"/>
    </x:row>
    <x:row r="1599" ht="23" customHeight="1">
      <x:c r="A1599" s="17" t="n">
        <x:f>ROW()-6</x:f>
        <x:v>1593</x:v>
      </x:c>
      <x:c r="B1599" s="4" t="n">
        <x:f>IF('계산 과정'!$L$5,'계산 과정'!$L$11*SQRT((A1599+0.5)/'계산 과정'!$L$30),"")</x:f>
        <x:v>132.31293915255415</x:v>
      </x:c>
      <x:c r="C1599" s="4" t="n">
        <x:f>A1599*PI()*(3-SQRT(5))</x:f>
        <x:v>3823.1414249577438</x:v>
      </x:c>
      <x:c r="D1599" s="4" t="n">
        <x:f>IF('계산 과정'!$L$5,B1599*COS(C1599),"")</x:f>
        <x:v>-130.2495833777815</x:v>
      </x:c>
      <x:c r="E1599" s="4" t="n">
        <x:f>IF('계산 과정'!$L$5,B1599*SIN(C1599),"")</x:f>
        <x:v>23.27573623114513</x:v>
      </x:c>
      <x:c r="F1599" s="4" t="n">
        <x:f>IF('계산 과정'!$L$7,'계산 과정'!$L$22+'계산 과정'!$C$49*D1599+'계산 과정'!$D$49*E1599,"")</x:f>
        <x:v>742.1003636531519</x:v>
      </x:c>
      <x:c r="G1599" s="4" t="n">
        <x:f>IF('계산 과정'!$L$7,IF(ABS(F1599)&gt;=1E-12*MAX(1,SQRT((D1599-'계산 과정'!$C$33)^2+(E1599-'계산 과정'!$D$33)^2+'계산 과정'!$E$33^2)),('계산 과정'!$L$23-'계산 과정'!$C$49*D1599-'계산 과정'!$D$49*E1599)/F1599,""),"")</x:f>
        <x:v>0.4149029584504507</x:v>
      </x:c>
      <x:c r="H1599" s="4" t="n">
        <x:f>IF(AND(ISNUMBER(G1599),G1599&gt;0),('계산 과정'!$D$56+'계산 과정'!$D$57*D1599+'계산 과정'!$D$58*E1599)/F1599,"")</x:f>
        <x:v>-130.31307700720714</x:v>
      </x:c>
      <x:c r="I1599" s="4" t="n">
        <x:f>IF(AND(ISNUMBER(G1599),G1599&gt;0),('계산 과정'!$E$56+'계산 과정'!$E$57*D1599+'계산 과정'!$E$58*E1599)/F1599,"")</x:f>
        <x:v>32.93290805355959</x:v>
      </x:c>
      <x:c r="J1599" s="4" t="n">
        <x:f>IF('계산 과정'!$L$5,'계산 과정'!$D$6+'계산 과정'!$C$35*D1599+'계산 과정'!$D$35*E1599,"")</x:f>
        <x:v>742.1003636531519</x:v>
      </x:c>
      <x:c r="K1599" s="4" t="n">
        <x:f>IF(AND('계산 과정'!$L$6,J1599&gt;0),'계산 과정'!$D$10*('계산 과정'!$C$38*(D1599-'계산 과정'!$C$32)+'계산 과정'!$D$38*(E1599-'계산 과정'!$D$32)-'계산 과정'!$E$38*'계산 과정'!$E$32)/J1599,"")</x:f>
        <x:v>-0.9928615391025297</x:v>
      </x:c>
      <x:c r="L1599" s="4" t="n">
        <x:f>IF(AND('계산 과정'!$L$6,J1599&gt;0),'계산 과정'!$D$10*('계산 과정'!$C$39*(D1599-'계산 과정'!$C$32)+'계산 과정'!$D$39*(E1599-'계산 과정'!$D$32)-'계산 과정'!$E$39*'계산 과정'!$E$32)/J1599,"")</x:f>
        <x:v>0.2509173946937874</x:v>
      </x:c>
      <x:c r="M1599" s="17" t="n">
        <x:f>IF('계산 과정'!$L$6,IF(J1599&lt;=0,0,IF(AND(ABS(K1599)&lt;='계산 과정'!$D$11/2,ABS(L1599)&lt;='계산 과정'!$D$12/2),1,0)),"")</x:f>
        <x:v>1</x:v>
      </x:c>
      <x:c r="N1599" s="17" t="n">
        <x:f>IF('계산 과정'!$C$78,IF(AND(ISNUMBER(H1599),ISNUMBER(I1599),ABS(H1599-'계산 과정'!$C$88)&lt;='계산 과정'!$D$23/2,ABS(I1599-'계산 과정'!$C$89)&lt;='계산 과정'!$D$24/2),1,0),"")</x:f>
        <x:v>1</x:v>
      </x:c>
      <x:c r="O1599" s="4" t="n">
        <x:f>IF('계산 과정'!$L$7,'계산 과정'!$C$49*('계산 과정'!$C$32-D1599)+'계산 과정'!$D$49*('계산 과정'!$D$32-E1599)+'계산 과정'!$E$49*'계산 과정'!$E$32,"")</x:f>
        <x:v>-92.10036365315182</x:v>
      </x:c>
      <x:c r="P1599" s="4" t="n">
        <x:f>IF(AND('계산 과정'!$L$7,O1599&lt;&gt;0),('계산 과정'!$L$23-'계산 과정'!$C$49*D1599-'계산 과정'!$D$49*E1599)/O1599,"")</x:f>
        <x:v>-3.3430881717947623</x:v>
      </x:c>
      <x:c r="Q1599" s="4" t="str">
        <x:f>IF(AND(ISNUMBER(P1599),P1599&gt;1E-9,P1599&lt;1-1E-9),'계산 과정'!$C$47*(D1599-'계산 과정'!$C$50+P1599*('계산 과정'!$C$32-D1599))+'계산 과정'!$D$47*(E1599-'계산 과정'!$D$50+P1599*('계산 과정'!$D$32-E1599))+'계산 과정'!$E$47*(0-'계산 과정'!$E$50+P1599*('계산 과정'!$E$32-0)),"")</x:f>
      </x:c>
      <x:c r="R1599" s="4" t="str">
        <x:f>IF(AND(ISNUMBER(P1599),P1599&gt;1E-9,P1599&lt;1-1E-9),'계산 과정'!$C$48*(D1599-'계산 과정'!$C$50+P1599*('계산 과정'!$C$32-D1599))+'계산 과정'!$D$48*(E1599-'계산 과정'!$D$50+P1599*('계산 과정'!$D$32-E1599))+'계산 과정'!$E$48*(0-'계산 과정'!$E$50+P1599*('계산 과정'!$E$32-0)),"")</x:f>
      </x:c>
      <x:c r="S1599" s="17" t="n">
        <x:f>IF('계산 과정'!$C$78,IF(AND(ISNUMBER(Q1599),ISNUMBER(R1599),ABS(Q1599-'계산 과정'!$C$88)&lt;='계산 과정'!$D$23/2,ABS(R1599-'계산 과정'!$C$89)&lt;='계산 과정'!$D$24/2),1,0),"")</x:f>
        <x:v>0</x:v>
      </x:c>
      <x:c r="T1599" s="4"/>
      <x:c r="U1599" s="4"/>
      <x:c r="V1599" s="4"/>
      <x:c r="W1599" s="4"/>
      <x:c r="X1599" s="4"/>
      <x:c r="Y1599" s="4"/>
      <x:c r="Z1599" s="4"/>
    </x:row>
    <x:row r="1600" ht="23" customHeight="1">
      <x:c r="A1600" s="17" t="n">
        <x:f>ROW()-6</x:f>
        <x:v>1594</x:v>
      </x:c>
      <x:c r="B1600" s="4" t="n">
        <x:f>IF('계산 과정'!$L$5,'계산 과정'!$L$11*SQRT((A1600+0.5)/'계산 과정'!$L$30),"")</x:f>
        <x:v>132.3544490952703</x:v>
      </x:c>
      <x:c r="C1600" s="4" t="n">
        <x:f>A1600*PI()*(3-SQRT(5))</x:f>
        <x:v>3825.541388187473</x:v>
      </x:c>
      <x:c r="D1600" s="4" t="n">
        <x:f>IF('계산 과정'!$L$5,B1600*COS(C1600),"")</x:f>
        <x:v>80.3446535106519</x:v>
      </x:c>
      <x:c r="E1600" s="4" t="n">
        <x:f>IF('계산 과정'!$L$5,B1600*SIN(C1600),"")</x:f>
        <x:v>-105.17811962364506</x:v>
      </x:c>
      <x:c r="F1600" s="4" t="n">
        <x:f>IF('계산 과정'!$L$7,'계산 과정'!$L$22+'계산 과정'!$C$49*D1600+'계산 과정'!$D$49*E1600,"")</x:f>
        <x:v>593.1877506705345</x:v>
      </x:c>
      <x:c r="G1600" s="4" t="n">
        <x:f>IF('계산 과정'!$L$7,IF(ABS(F1600)&gt;=1E-12*MAX(1,SQRT((D1600-'계산 과정'!$C$33)^2+(E1600-'계산 과정'!$D$33)^2+'계산 과정'!$E$33^2)),('계산 과정'!$L$23-'계산 과정'!$C$49*D1600-'계산 과정'!$D$49*E1600)/F1600,""),"")</x:f>
        <x:v>0.7700972395554169</x:v>
      </x:c>
      <x:c r="H1600" s="4" t="n">
        <x:f>IF(AND(ISNUMBER(G1600),G1600&gt;0),('계산 과정'!$D$56+'계산 과정'!$D$57*D1600+'계산 과정'!$D$58*E1600)/F1600,"")</x:f>
        <x:v>100.56320571102088</x:v>
      </x:c>
      <x:c r="I1600" s="4" t="n">
        <x:f>IF(AND(ISNUMBER(G1600),G1600&gt;0),('계산 과정'!$E$56+'계산 과정'!$E$57*D1600+'계산 과정'!$E$58*E1600)/F1600,"")</x:f>
        <x:v>-186.17549920744355</x:v>
      </x:c>
      <x:c r="J1600" s="4" t="n">
        <x:f>IF('계산 과정'!$L$5,'계산 과정'!$D$6+'계산 과정'!$C$35*D1600+'계산 과정'!$D$35*E1600,"")</x:f>
        <x:v>593.1877506705345</x:v>
      </x:c>
      <x:c r="K1600" s="4" t="n">
        <x:f>IF(AND('계산 과정'!$L$6,J1600&gt;0),'계산 과정'!$D$10*('계산 과정'!$C$38*(D1600-'계산 과정'!$C$32)+'계산 과정'!$D$38*(E1600-'계산 과정'!$D$32)-'계산 과정'!$E$38*'계산 과정'!$E$32)/J1600,"")</x:f>
        <x:v>0.7661958530363501</x:v>
      </x:c>
      <x:c r="L1600" s="4" t="n">
        <x:f>IF(AND('계산 과정'!$L$6,J1600&gt;0),'계산 과정'!$D$10*('계산 과정'!$C$39*(D1600-'계산 과정'!$C$32)+'계산 과정'!$D$39*(E1600-'계산 과정'!$D$32)-'계산 과정'!$E$39*'계산 과정'!$E$32)/J1600,"")</x:f>
        <x:v>-1.4184799939614747</x:v>
      </x:c>
      <x:c r="M1600" s="17" t="n">
        <x:f>IF('계산 과정'!$L$6,IF(J1600&lt;=0,0,IF(AND(ABS(K1600)&lt;='계산 과정'!$D$11/2,ABS(L1600)&lt;='계산 과정'!$D$12/2),1,0)),"")</x:f>
        <x:v>1</x:v>
      </x:c>
      <x:c r="N1600" s="17" t="n">
        <x:f>IF('계산 과정'!$C$78,IF(AND(ISNUMBER(H1600),ISNUMBER(I1600),ABS(H1600-'계산 과정'!$C$88)&lt;='계산 과정'!$D$23/2,ABS(I1600-'계산 과정'!$C$89)&lt;='계산 과정'!$D$24/2),1,0),"")</x:f>
        <x:v>1</x:v>
      </x:c>
      <x:c r="O1600" s="4" t="n">
        <x:f>IF('계산 과정'!$L$7,'계산 과정'!$C$49*('계산 과정'!$C$32-D1600)+'계산 과정'!$D$49*('계산 과정'!$D$32-E1600)+'계산 과정'!$E$49*'계산 과정'!$E$32,"")</x:f>
        <x:v>56.8122493294656</x:v>
      </x:c>
      <x:c r="P1600" s="4" t="n">
        <x:f>IF(AND('계산 과정'!$L$7,O1600&lt;&gt;0),('계산 과정'!$L$23-'계산 과정'!$C$49*D1600-'계산 과정'!$D$49*E1600)/O1600,"")</x:f>
        <x:v>8.04073513583875</x:v>
      </x:c>
      <x:c r="Q1600" s="4" t="str">
        <x:f>IF(AND(ISNUMBER(P1600),P1600&gt;1E-9,P1600&lt;1-1E-9),'계산 과정'!$C$47*(D1600-'계산 과정'!$C$50+P1600*('계산 과정'!$C$32-D1600))+'계산 과정'!$D$47*(E1600-'계산 과정'!$D$50+P1600*('계산 과정'!$D$32-E1600))+'계산 과정'!$E$47*(0-'계산 과정'!$E$50+P1600*('계산 과정'!$E$32-0)),"")</x:f>
      </x:c>
      <x:c r="R1600" s="4" t="str">
        <x:f>IF(AND(ISNUMBER(P1600),P1600&gt;1E-9,P1600&lt;1-1E-9),'계산 과정'!$C$48*(D1600-'계산 과정'!$C$50+P1600*('계산 과정'!$C$32-D1600))+'계산 과정'!$D$48*(E1600-'계산 과정'!$D$50+P1600*('계산 과정'!$D$32-E1600))+'계산 과정'!$E$48*(0-'계산 과정'!$E$50+P1600*('계산 과정'!$E$32-0)),"")</x:f>
      </x:c>
      <x:c r="S1600" s="17" t="n">
        <x:f>IF('계산 과정'!$C$78,IF(AND(ISNUMBER(Q1600),ISNUMBER(R1600),ABS(Q1600-'계산 과정'!$C$88)&lt;='계산 과정'!$D$23/2,ABS(R1600-'계산 과정'!$C$89)&lt;='계산 과정'!$D$24/2),1,0),"")</x:f>
        <x:v>0</x:v>
      </x:c>
      <x:c r="T1600" s="4"/>
      <x:c r="U1600" s="4"/>
      <x:c r="V1600" s="4"/>
      <x:c r="W1600" s="4"/>
      <x:c r="X1600" s="4"/>
      <x:c r="Y1600" s="4"/>
      <x:c r="Z1600" s="4"/>
    </x:row>
    <x:row r="1601" ht="23" customHeight="1">
      <x:c r="A1601" s="17" t="n">
        <x:f>ROW()-6</x:f>
        <x:v>1595</x:v>
      </x:c>
      <x:c r="B1601" s="4" t="n">
        <x:f>IF('계산 과정'!$L$5,'계산 과정'!$L$11*SQRT((A1601+0.5)/'계산 과정'!$L$30),"")</x:f>
        <x:v>132.39594602342436</x:v>
      </x:c>
      <x:c r="C1601" s="4" t="n">
        <x:f>A1601*PI()*(3-SQRT(5))</x:f>
        <x:v>3827.9413514172015</x:v>
      </x:c>
      <x:c r="D1601" s="4" t="n">
        <x:f>IF('계산 과정'!$L$5,B1601*COS(C1601),"")</x:f>
        <x:v>11.806852583470373</x:v>
      </x:c>
      <x:c r="E1601" s="4" t="n">
        <x:f>IF('계산 과정'!$L$5,B1601*SIN(C1601),"")</x:f>
        <x:v>131.86843729835314</x:v>
      </x:c>
      <x:c r="F1601" s="4" t="n">
        <x:f>IF('계산 과정'!$L$7,'계산 과정'!$L$22+'계산 과정'!$C$49*D1601+'계산 과정'!$D$49*E1601,"")</x:f>
        <x:v>641.6512944737582</x:v>
      </x:c>
      <x:c r="G1601" s="4" t="n">
        <x:f>IF('계산 과정'!$L$7,IF(ABS(F1601)&gt;=1E-12*MAX(1,SQRT((D1601-'계산 과정'!$C$33)^2+(E1601-'계산 과정'!$D$33)^2+'계산 과정'!$E$33^2)),('계산 과정'!$L$23-'계산 과정'!$C$49*D1601-'계산 과정'!$D$49*E1601)/F1601,""),"")</x:f>
        <x:v>0.6364028391170684</x:v>
      </x:c>
      <x:c r="H1601" s="4" t="n">
        <x:f>IF(AND(ISNUMBER(G1601),G1601&gt;0),('계산 과정'!$D$56+'계산 과정'!$D$57*D1601+'계산 과정'!$D$58*E1601)/F1601,"")</x:f>
        <x:v>13.661845426094343</x:v>
      </x:c>
      <x:c r="I1601" s="4" t="n">
        <x:f>IF(AND(ISNUMBER(G1601),G1601&gt;0),('계산 과정'!$E$56+'계산 과정'!$E$57*D1601+'계산 과정'!$E$58*E1601)/F1601,"")</x:f>
        <x:v>215.7898851849562</x:v>
      </x:c>
      <x:c r="J1601" s="4" t="n">
        <x:f>IF('계산 과정'!$L$5,'계산 과정'!$D$6+'계산 과정'!$C$35*D1601+'계산 과정'!$D$35*E1601,"")</x:f>
        <x:v>641.6512944737582</x:v>
      </x:c>
      <x:c r="K1601" s="4" t="n">
        <x:f>IF(AND('계산 과정'!$L$6,J1601&gt;0),'계산 과정'!$D$10*('계산 과정'!$C$38*(D1601-'계산 과정'!$C$32)+'계산 과정'!$D$38*(E1601-'계산 과정'!$D$32)-'계산 과정'!$E$38*'계산 과정'!$E$32)/J1601,"")</x:f>
        <x:v>0.10409025086548164</x:v>
      </x:c>
      <x:c r="L1601" s="4" t="n">
        <x:f>IF(AND('계산 과정'!$L$6,J1601&gt;0),'계산 과정'!$D$10*('계산 과정'!$C$39*(D1601-'계산 과정'!$C$32)+'계산 과정'!$D$39*(E1601-'계산 과정'!$D$32)-'계산 과정'!$E$39*'계산 과정'!$E$32)/J1601,"")</x:f>
        <x:v>1.6441134109329996</x:v>
      </x:c>
      <x:c r="M1601" s="17" t="n">
        <x:f>IF('계산 과정'!$L$6,IF(J1601&lt;=0,0,IF(AND(ABS(K1601)&lt;='계산 과정'!$D$11/2,ABS(L1601)&lt;='계산 과정'!$D$12/2),1,0)),"")</x:f>
        <x:v>1</x:v>
      </x:c>
      <x:c r="N1601" s="17" t="n">
        <x:f>IF('계산 과정'!$C$78,IF(AND(ISNUMBER(H1601),ISNUMBER(I1601),ABS(H1601-'계산 과정'!$C$88)&lt;='계산 과정'!$D$23/2,ABS(I1601-'계산 과정'!$C$89)&lt;='계산 과정'!$D$24/2),1,0),"")</x:f>
        <x:v>1</x:v>
      </x:c>
      <x:c r="O1601" s="4" t="n">
        <x:f>IF('계산 과정'!$L$7,'계산 과정'!$C$49*('계산 과정'!$C$32-D1601)+'계산 과정'!$D$49*('계산 과정'!$D$32-E1601)+'계산 과정'!$E$49*'계산 과정'!$E$32,"")</x:f>
        <x:v>8.348705526241929</x:v>
      </x:c>
      <x:c r="P1601" s="4" t="n">
        <x:f>IF(AND('계산 과정'!$L$7,O1601&lt;&gt;0),('계산 과정'!$L$23-'계산 과정'!$C$49*D1601-'계산 과정'!$D$49*E1601)/O1601,"")</x:f>
        <x:v>48.91161920164828</x:v>
      </x:c>
      <x:c r="Q1601" s="4" t="str">
        <x:f>IF(AND(ISNUMBER(P1601),P1601&gt;1E-9,P1601&lt;1-1E-9),'계산 과정'!$C$47*(D1601-'계산 과정'!$C$50+P1601*('계산 과정'!$C$32-D1601))+'계산 과정'!$D$47*(E1601-'계산 과정'!$D$50+P1601*('계산 과정'!$D$32-E1601))+'계산 과정'!$E$47*(0-'계산 과정'!$E$50+P1601*('계산 과정'!$E$32-0)),"")</x:f>
      </x:c>
      <x:c r="R1601" s="4" t="str">
        <x:f>IF(AND(ISNUMBER(P1601),P1601&gt;1E-9,P1601&lt;1-1E-9),'계산 과정'!$C$48*(D1601-'계산 과정'!$C$50+P1601*('계산 과정'!$C$32-D1601))+'계산 과정'!$D$48*(E1601-'계산 과정'!$D$50+P1601*('계산 과정'!$D$32-E1601))+'계산 과정'!$E$48*(0-'계산 과정'!$E$50+P1601*('계산 과정'!$E$32-0)),"")</x:f>
      </x:c>
      <x:c r="S1601" s="17" t="n">
        <x:f>IF('계산 과정'!$C$78,IF(AND(ISNUMBER(Q1601),ISNUMBER(R1601),ABS(Q1601-'계산 과정'!$C$88)&lt;='계산 과정'!$D$23/2,ABS(R1601-'계산 과정'!$C$89)&lt;='계산 과정'!$D$24/2),1,0),"")</x:f>
        <x:v>0</x:v>
      </x:c>
      <x:c r="T1601" s="4"/>
      <x:c r="U1601" s="4"/>
      <x:c r="V1601" s="4"/>
      <x:c r="W1601" s="4"/>
      <x:c r="X1601" s="4"/>
      <x:c r="Y1601" s="4"/>
      <x:c r="Z1601" s="4"/>
    </x:row>
    <x:row r="1602" ht="23" customHeight="1">
      <x:c r="A1602" s="17" t="n">
        <x:f>ROW()-6</x:f>
        <x:v>1596</x:v>
      </x:c>
      <x:c r="B1602" s="4" t="n">
        <x:f>IF('계산 과정'!$L$5,'계산 과정'!$L$11*SQRT((A1602+0.5)/'계산 과정'!$L$30),"")</x:f>
        <x:v>132.43742994925</x:v>
      </x:c>
      <x:c r="C1602" s="4" t="n">
        <x:f>A1602*PI()*(3-SQRT(5))</x:f>
        <x:v>3830.3413146469297</x:v>
      </x:c>
      <x:c r="D1602" s="4" t="n">
        <x:f>IF('계산 과정'!$L$5,B1602*COS(C1602),"")</x:f>
        <x:v>-97.8124933708625</x:v>
      </x:c>
      <x:c r="E1602" s="4" t="n">
        <x:f>IF('계산 과정'!$L$5,B1602*SIN(C1602),"")</x:f>
        <x:v>-89.28823546323157</x:v>
      </x:c>
      <x:c r="F1602" s="4" t="n">
        <x:f>IF('계산 과정'!$L$7,'계산 과정'!$L$22+'계산 과정'!$C$49*D1602+'계산 과정'!$D$49*E1602,"")</x:f>
        <x:v>719.1638773473011</x:v>
      </x:c>
      <x:c r="G1602" s="4" t="n">
        <x:f>IF('계산 과정'!$L$7,IF(ABS(F1602)&gt;=1E-12*MAX(1,SQRT((D1602-'계산 과정'!$C$33)^2+(E1602-'계산 과정'!$D$33)^2+'계산 과정'!$E$33^2)),('계산 과정'!$L$23-'계산 과정'!$C$49*D1602-'계산 과정'!$D$49*E1602)/F1602,""),"")</x:f>
        <x:v>0.4600288377567251</x:v>
      </x:c>
      <x:c r="H1602" s="4" t="n">
        <x:f>IF(AND(ISNUMBER(G1602),G1602&gt;0),('계산 과정'!$D$56+'계산 과정'!$D$57*D1602+'계산 과정'!$D$58*E1602)/F1602,"")</x:f>
        <x:v>-100.98125545812883</x:v>
      </x:c>
      <x:c r="I1602" s="4" t="n">
        <x:f>IF(AND(ISNUMBER(G1602),G1602&gt;0),('계산 과정'!$E$56+'계산 과정'!$E$57*D1602+'계산 과정'!$E$58*E1602)/F1602,"")</x:f>
        <x:v>-130.3633986487308</x:v>
      </x:c>
      <x:c r="J1602" s="4" t="n">
        <x:f>IF('계산 과정'!$L$5,'계산 과정'!$D$6+'계산 과정'!$C$35*D1602+'계산 과정'!$D$35*E1602,"")</x:f>
        <x:v>719.1638773473011</x:v>
      </x:c>
      <x:c r="K1602" s="4" t="n">
        <x:f>IF(AND('계산 과정'!$L$6,J1602&gt;0),'계산 과정'!$D$10*('계산 과정'!$C$38*(D1602-'계산 과정'!$C$32)+'계산 과정'!$D$38*(E1602-'계산 과정'!$D$32)-'계산 과정'!$E$38*'계산 과정'!$E$32)/J1602,"")</x:f>
        <x:v>-0.7693809939666948</x:v>
      </x:c>
      <x:c r="L1602" s="4" t="n">
        <x:f>IF(AND('계산 과정'!$L$6,J1602&gt;0),'계산 과정'!$D$10*('계산 과정'!$C$39*(D1602-'계산 과정'!$C$32)+'계산 과정'!$D$39*(E1602-'계산 과정'!$D$32)-'계산 과정'!$E$39*'계산 과정'!$E$32)/J1602,"")</x:f>
        <x:v>-0.993244942085568</x:v>
      </x:c>
      <x:c r="M1602" s="17" t="n">
        <x:f>IF('계산 과정'!$L$6,IF(J1602&lt;=0,0,IF(AND(ABS(K1602)&lt;='계산 과정'!$D$11/2,ABS(L1602)&lt;='계산 과정'!$D$12/2),1,0)),"")</x:f>
        <x:v>1</x:v>
      </x:c>
      <x:c r="N1602" s="17" t="n">
        <x:f>IF('계산 과정'!$C$78,IF(AND(ISNUMBER(H1602),ISNUMBER(I1602),ABS(H1602-'계산 과정'!$C$88)&lt;='계산 과정'!$D$23/2,ABS(I1602-'계산 과정'!$C$89)&lt;='계산 과정'!$D$24/2),1,0),"")</x:f>
        <x:v>1</x:v>
      </x:c>
      <x:c r="O1602" s="4" t="n">
        <x:f>IF('계산 과정'!$L$7,'계산 과정'!$C$49*('계산 과정'!$C$32-D1602)+'계산 과정'!$D$49*('계산 과정'!$D$32-E1602)+'계산 과정'!$E$49*'계산 과정'!$E$32,"")</x:f>
        <x:v>-69.16387734730097</x:v>
      </x:c>
      <x:c r="P1602" s="4" t="n">
        <x:f>IF(AND('계산 과정'!$L$7,O1602&lt;&gt;0),('계산 과정'!$L$23-'계산 과정'!$C$49*D1602-'계산 과정'!$D$49*E1602)/O1602,"")</x:f>
        <x:v>-4.783365758854602</x:v>
      </x:c>
      <x:c r="Q1602" s="4" t="str">
        <x:f>IF(AND(ISNUMBER(P1602),P1602&gt;1E-9,P1602&lt;1-1E-9),'계산 과정'!$C$47*(D1602-'계산 과정'!$C$50+P1602*('계산 과정'!$C$32-D1602))+'계산 과정'!$D$47*(E1602-'계산 과정'!$D$50+P1602*('계산 과정'!$D$32-E1602))+'계산 과정'!$E$47*(0-'계산 과정'!$E$50+P1602*('계산 과정'!$E$32-0)),"")</x:f>
      </x:c>
      <x:c r="R1602" s="4" t="str">
        <x:f>IF(AND(ISNUMBER(P1602),P1602&gt;1E-9,P1602&lt;1-1E-9),'계산 과정'!$C$48*(D1602-'계산 과정'!$C$50+P1602*('계산 과정'!$C$32-D1602))+'계산 과정'!$D$48*(E1602-'계산 과정'!$D$50+P1602*('계산 과정'!$D$32-E1602))+'계산 과정'!$E$48*(0-'계산 과정'!$E$50+P1602*('계산 과정'!$E$32-0)),"")</x:f>
      </x:c>
      <x:c r="S1602" s="17" t="n">
        <x:f>IF('계산 과정'!$C$78,IF(AND(ISNUMBER(Q1602),ISNUMBER(R1602),ABS(Q1602-'계산 과정'!$C$88)&lt;='계산 과정'!$D$23/2,ABS(R1602-'계산 과정'!$C$89)&lt;='계산 과정'!$D$24/2),1,0),"")</x:f>
        <x:v>0</x:v>
      </x:c>
      <x:c r="T1602" s="4"/>
      <x:c r="U1602" s="4"/>
      <x:c r="V1602" s="4"/>
      <x:c r="W1602" s="4"/>
      <x:c r="X1602" s="4"/>
      <x:c r="Y1602" s="4"/>
      <x:c r="Z1602" s="4"/>
    </x:row>
    <x:row r="1603" ht="23" customHeight="1">
      <x:c r="A1603" s="17" t="n">
        <x:f>ROW()-6</x:f>
        <x:v>1597</x:v>
      </x:c>
      <x:c r="B1603" s="4" t="n">
        <x:f>IF('계산 과정'!$L$5,'계산 과정'!$L$11*SQRT((A1603+0.5)/'계산 과정'!$L$30),"")</x:f>
        <x:v>132.4789008849617</x:v>
      </x:c>
      <x:c r="C1603" s="4" t="n">
        <x:f>A1603*PI()*(3-SQRT(5))</x:f>
        <x:v>3832.741277876659</x:v>
      </x:c>
      <x:c r="D1603" s="4" t="n">
        <x:f>IF('계산 과정'!$L$5,B1603*COS(C1603),"")</x:f>
        <x:v>132.4786958175844</x:v>
      </x:c>
      <x:c r="E1603" s="4" t="n">
        <x:f>IF('계산 과정'!$L$5,B1603*SIN(C1603),"")</x:f>
        <x:v>-0.2330968885543815</x:v>
      </x:c>
      <x:c r="F1603" s="4" t="n">
        <x:f>IF('계산 과정'!$L$7,'계산 과정'!$L$22+'계산 과정'!$C$49*D1603+'계산 과정'!$D$49*E1603,"")</x:f>
        <x:v>556.3234158246362</x:v>
      </x:c>
      <x:c r="G1603" s="4" t="n">
        <x:f>IF('계산 과정'!$L$7,IF(ABS(F1603)&gt;=1E-12*MAX(1,SQRT((D1603-'계산 과정'!$C$33)^2+(E1603-'계산 과정'!$D$33)^2+'계산 과정'!$E$33^2)),('계산 과정'!$L$23-'계산 과정'!$C$49*D1603-'계산 과정'!$D$49*E1603)/F1603,""),"")</x:f>
        <x:v>0.887391344913262</x:v>
      </x:c>
      <x:c r="H1603" s="4" t="n">
        <x:f>IF(AND(ISNUMBER(G1603),G1603&gt;0),('계산 과정'!$D$56+'계산 과정'!$D$57*D1603+'계산 과정'!$D$58*E1603)/F1603,"")</x:f>
        <x:v>176.80437419362028</x:v>
      </x:c>
      <x:c r="I1603" s="4" t="n">
        <x:f>IF(AND(ISNUMBER(G1603),G1603&gt;0),('계산 과정'!$E$56+'계산 과정'!$E$57*D1603+'계산 과정'!$E$58*E1603)/F1603,"")</x:f>
        <x:v>-0.4399450499837508</x:v>
      </x:c>
      <x:c r="J1603" s="4" t="n">
        <x:f>IF('계산 과정'!$L$5,'계산 과정'!$D$6+'계산 과정'!$C$35*D1603+'계산 과정'!$D$35*E1603,"")</x:f>
        <x:v>556.3234158246362</x:v>
      </x:c>
      <x:c r="K1603" s="4" t="n">
        <x:f>IF(AND('계산 과정'!$L$6,J1603&gt;0),'계산 과정'!$D$10*('계산 과정'!$C$38*(D1603-'계산 과정'!$C$32)+'계산 과정'!$D$38*(E1603-'계산 과정'!$D$32)-'계산 과정'!$E$38*'계산 과정'!$E$32)/J1603,"")</x:f>
        <x:v>1.3470809462371076</x:v>
      </x:c>
      <x:c r="L1603" s="4" t="n">
        <x:f>IF(AND('계산 과정'!$L$6,J1603&gt;0),'계산 과정'!$D$10*('계산 과정'!$C$39*(D1603-'계산 과정'!$C$32)+'계산 과정'!$D$39*(E1603-'계산 과정'!$D$32)-'계산 과정'!$E$39*'계산 과정'!$E$32)/J1603,"")</x:f>
        <x:v>-0.0033519622855904827</x:v>
      </x:c>
      <x:c r="M1603" s="17" t="n">
        <x:f>IF('계산 과정'!$L$6,IF(J1603&lt;=0,0,IF(AND(ABS(K1603)&lt;='계산 과정'!$D$11/2,ABS(L1603)&lt;='계산 과정'!$D$12/2),1,0)),"")</x:f>
        <x:v>1</x:v>
      </x:c>
      <x:c r="N1603" s="17" t="n">
        <x:f>IF('계산 과정'!$C$78,IF(AND(ISNUMBER(H1603),ISNUMBER(I1603),ABS(H1603-'계산 과정'!$C$88)&lt;='계산 과정'!$D$23/2,ABS(I1603-'계산 과정'!$C$89)&lt;='계산 과정'!$D$24/2),1,0),"")</x:f>
        <x:v>1</x:v>
      </x:c>
      <x:c r="O1603" s="4" t="n">
        <x:f>IF('계산 과정'!$L$7,'계산 과정'!$C$49*('계산 과정'!$C$32-D1603)+'계산 과정'!$D$49*('계산 과정'!$D$32-E1603)+'계산 과정'!$E$49*'계산 과정'!$E$32,"")</x:f>
        <x:v>93.67658417536393</x:v>
      </x:c>
      <x:c r="P1603" s="4" t="n">
        <x:f>IF(AND('계산 과정'!$L$7,O1603&lt;&gt;0),('계산 과정'!$L$23-'계산 과정'!$C$49*D1603-'계산 과정'!$D$49*E1603)/O1603,"")</x:f>
        <x:v>5.270010520998439</x:v>
      </x:c>
      <x:c r="Q1603" s="4" t="str">
        <x:f>IF(AND(ISNUMBER(P1603),P1603&gt;1E-9,P1603&lt;1-1E-9),'계산 과정'!$C$47*(D1603-'계산 과정'!$C$50+P1603*('계산 과정'!$C$32-D1603))+'계산 과정'!$D$47*(E1603-'계산 과정'!$D$50+P1603*('계산 과정'!$D$32-E1603))+'계산 과정'!$E$47*(0-'계산 과정'!$E$50+P1603*('계산 과정'!$E$32-0)),"")</x:f>
      </x:c>
      <x:c r="R1603" s="4" t="str">
        <x:f>IF(AND(ISNUMBER(P1603),P1603&gt;1E-9,P1603&lt;1-1E-9),'계산 과정'!$C$48*(D1603-'계산 과정'!$C$50+P1603*('계산 과정'!$C$32-D1603))+'계산 과정'!$D$48*(E1603-'계산 과정'!$D$50+P1603*('계산 과정'!$D$32-E1603))+'계산 과정'!$E$48*(0-'계산 과정'!$E$50+P1603*('계산 과정'!$E$32-0)),"")</x:f>
      </x:c>
      <x:c r="S1603" s="17" t="n">
        <x:f>IF('계산 과정'!$C$78,IF(AND(ISNUMBER(Q1603),ISNUMBER(R1603),ABS(Q1603-'계산 과정'!$C$88)&lt;='계산 과정'!$D$23/2,ABS(R1603-'계산 과정'!$C$89)&lt;='계산 과정'!$D$24/2),1,0),"")</x:f>
        <x:v>0</x:v>
      </x:c>
      <x:c r="T1603" s="4"/>
      <x:c r="U1603" s="4"/>
      <x:c r="V1603" s="4"/>
      <x:c r="W1603" s="4"/>
      <x:c r="X1603" s="4"/>
      <x:c r="Y1603" s="4"/>
      <x:c r="Z1603" s="4"/>
    </x:row>
    <x:row r="1604" ht="23" customHeight="1">
      <x:c r="A1604" s="17" t="n">
        <x:f>ROW()-6</x:f>
        <x:v>1598</x:v>
      </x:c>
      <x:c r="B1604" s="4" t="n">
        <x:f>IF('계산 과정'!$L$5,'계산 과정'!$L$11*SQRT((A1604+0.5)/'계산 과정'!$L$30),"")</x:f>
        <x:v>132.5203588427548</x:v>
      </x:c>
      <x:c r="C1604" s="4" t="n">
        <x:f>A1604*PI()*(3-SQRT(5))</x:f>
        <x:v>3835.141241106387</x:v>
      </x:c>
      <x:c r="D1604" s="4" t="n">
        <x:f>IF('계산 과정'!$L$5,B1604*COS(C1604),"")</x:f>
        <x:v>-97.55873310503318</x:v>
      </x:c>
      <x:c r="E1604" s="4" t="n">
        <x:f>IF('계산 과정'!$L$5,B1604*SIN(C1604),"")</x:f>
        <x:v>89.68800980484181</x:v>
      </x:c>
      <x:c r="F1604" s="4" t="n">
        <x:f>IF('계산 과정'!$L$7,'계산 과정'!$L$22+'계산 과정'!$C$49*D1604+'계산 과정'!$D$49*E1604,"")</x:f>
        <x:v>718.9844417425375</x:v>
      </x:c>
      <x:c r="G1604" s="4" t="n">
        <x:f>IF('계산 과정'!$L$7,IF(ABS(F1604)&gt;=1E-12*MAX(1,SQRT((D1604-'계산 과정'!$C$33)^2+(E1604-'계산 과정'!$D$33)^2+'계산 과정'!$E$33^2)),('계산 과정'!$L$23-'계산 과정'!$C$49*D1604-'계산 과정'!$D$49*E1604)/F1604,""),"")</x:f>
        <x:v>0.4603932144278534</x:v>
      </x:c>
      <x:c r="H1604" s="4" t="n">
        <x:f>IF(AND(ISNUMBER(G1604),G1604&gt;0),('계산 과정'!$D$56+'계산 과정'!$D$57*D1604+'계산 과정'!$D$58*E1604)/F1604,"")</x:f>
        <x:v>-100.74441062189544</x:v>
      </x:c>
      <x:c r="I1604" s="4" t="n">
        <x:f>IF(AND(ISNUMBER(G1604),G1604&gt;0),('계산 과정'!$E$56+'계산 과정'!$E$57*D1604+'계산 과정'!$E$58*E1604)/F1604,"")</x:f>
        <x:v>130.97976093452976</x:v>
      </x:c>
      <x:c r="J1604" s="4" t="n">
        <x:f>IF('계산 과정'!$L$5,'계산 과정'!$D$6+'계산 과정'!$C$35*D1604+'계산 과정'!$D$35*E1604,"")</x:f>
        <x:v>718.9844417425375</x:v>
      </x:c>
      <x:c r="K1604" s="4" t="n">
        <x:f>IF(AND('계산 과정'!$L$6,J1604&gt;0),'계산 과정'!$D$10*('계산 과정'!$C$38*(D1604-'계산 과정'!$C$32)+'계산 과정'!$D$38*(E1604-'계산 과정'!$D$32)-'계산 과정'!$E$38*'계산 과정'!$E$32)/J1604,"")</x:f>
        <x:v>-0.7675764618811074</x:v>
      </x:c>
      <x:c r="L1604" s="4" t="n">
        <x:f>IF(AND('계산 과정'!$L$6,J1604&gt;0),'계산 과정'!$D$10*('계산 과정'!$C$39*(D1604-'계산 과정'!$C$32)+'계산 과정'!$D$39*(E1604-'계산 과정'!$D$32)-'계산 과정'!$E$39*'계산 과정'!$E$32)/J1604,"")</x:f>
        <x:v>0.9979410356916554</x:v>
      </x:c>
      <x:c r="M1604" s="17" t="n">
        <x:f>IF('계산 과정'!$L$6,IF(J1604&lt;=0,0,IF(AND(ABS(K1604)&lt;='계산 과정'!$D$11/2,ABS(L1604)&lt;='계산 과정'!$D$12/2),1,0)),"")</x:f>
        <x:v>1</x:v>
      </x:c>
      <x:c r="N1604" s="17" t="n">
        <x:f>IF('계산 과정'!$C$78,IF(AND(ISNUMBER(H1604),ISNUMBER(I1604),ABS(H1604-'계산 과정'!$C$88)&lt;='계산 과정'!$D$23/2,ABS(I1604-'계산 과정'!$C$89)&lt;='계산 과정'!$D$24/2),1,0),"")</x:f>
        <x:v>1</x:v>
      </x:c>
      <x:c r="O1604" s="4" t="n">
        <x:f>IF('계산 과정'!$L$7,'계산 과정'!$C$49*('계산 과정'!$C$32-D1604)+'계산 과정'!$D$49*('계산 과정'!$D$32-E1604)+'계산 과정'!$E$49*'계산 과정'!$E$32,"")</x:f>
        <x:v>-68.98444174253734</x:v>
      </x:c>
      <x:c r="P1604" s="4" t="n">
        <x:f>IF(AND('계산 과정'!$L$7,O1604&lt;&gt;0),('계산 과정'!$L$23-'계산 과정'!$C$49*D1604-'계산 과정'!$D$49*E1604)/O1604,"")</x:f>
        <x:v>-4.798408886062652</x:v>
      </x:c>
      <x:c r="Q1604" s="4" t="str">
        <x:f>IF(AND(ISNUMBER(P1604),P1604&gt;1E-9,P1604&lt;1-1E-9),'계산 과정'!$C$47*(D1604-'계산 과정'!$C$50+P1604*('계산 과정'!$C$32-D1604))+'계산 과정'!$D$47*(E1604-'계산 과정'!$D$50+P1604*('계산 과정'!$D$32-E1604))+'계산 과정'!$E$47*(0-'계산 과정'!$E$50+P1604*('계산 과정'!$E$32-0)),"")</x:f>
      </x:c>
      <x:c r="R1604" s="4" t="str">
        <x:f>IF(AND(ISNUMBER(P1604),P1604&gt;1E-9,P1604&lt;1-1E-9),'계산 과정'!$C$48*(D1604-'계산 과정'!$C$50+P1604*('계산 과정'!$C$32-D1604))+'계산 과정'!$D$48*(E1604-'계산 과정'!$D$50+P1604*('계산 과정'!$D$32-E1604))+'계산 과정'!$E$48*(0-'계산 과정'!$E$50+P1604*('계산 과정'!$E$32-0)),"")</x:f>
      </x:c>
      <x:c r="S1604" s="17" t="n">
        <x:f>IF('계산 과정'!$C$78,IF(AND(ISNUMBER(Q1604),ISNUMBER(R1604),ABS(Q1604-'계산 과정'!$C$88)&lt;='계산 과정'!$D$23/2,ABS(R1604-'계산 과정'!$C$89)&lt;='계산 과정'!$D$24/2),1,0),"")</x:f>
        <x:v>0</x:v>
      </x:c>
      <x:c r="T1604" s="4"/>
      <x:c r="U1604" s="4"/>
      <x:c r="V1604" s="4"/>
      <x:c r="W1604" s="4"/>
      <x:c r="X1604" s="4"/>
      <x:c r="Y1604" s="4"/>
      <x:c r="Z1604" s="4"/>
    </x:row>
    <x:row r="1605" ht="23" customHeight="1">
      <x:c r="A1605" s="17" t="n">
        <x:f>ROW()-6</x:f>
        <x:v>1599</x:v>
      </x:c>
      <x:c r="B1605" s="4" t="n">
        <x:f>IF('계산 과정'!$L$5,'계산 과정'!$L$11*SQRT((A1605+0.5)/'계산 과정'!$L$30),"")</x:f>
        <x:v>132.5618038348057</x:v>
      </x:c>
      <x:c r="C1605" s="4" t="n">
        <x:f>A1605*PI()*(3-SQRT(5))</x:f>
        <x:v>3837.5412043361157</x:v>
      </x:c>
      <x:c r="D1605" s="4" t="n">
        <x:f>IF('계산 과정'!$L$5,B1605*COS(C1605),"")</x:f>
        <x:v>11.356944151126868</x:v>
      </x:c>
      <x:c r="E1605" s="4" t="n">
        <x:f>IF('계산 과정'!$L$5,B1605*SIN(C1605),"")</x:f>
        <x:v>-132.07441711204214</x:v>
      </x:c>
      <x:c r="F1605" s="4" t="n">
        <x:f>IF('계산 과정'!$L$7,'계산 과정'!$L$22+'계산 과정'!$C$49*D1605+'계산 과정'!$D$49*E1605,"")</x:f>
        <x:v>641.9694277771813</x:v>
      </x:c>
      <x:c r="G1605" s="4" t="n">
        <x:f>IF('계산 과정'!$L$7,IF(ABS(F1605)&gt;=1E-12*MAX(1,SQRT((D1605-'계산 과정'!$C$33)^2+(E1605-'계산 과정'!$D$33)^2+'계산 과정'!$E$33^2)),('계산 과정'!$L$23-'계산 과정'!$C$49*D1605-'계산 과정'!$D$49*E1605)/F1605,""),"")</x:f>
        <x:v>0.6355919060439128</x:v>
      </x:c>
      <x:c r="H1605" s="4" t="n">
        <x:f>IF(AND(ISNUMBER(G1605),G1605&gt;0),('계산 과정'!$D$56+'계산 과정'!$D$57*D1605+'계산 과정'!$D$58*E1605)/F1605,"")</x:f>
        <x:v>13.13473892854324</x:v>
      </x:c>
      <x:c r="I1605" s="4" t="n">
        <x:f>IF(AND(ISNUMBER(G1605),G1605&gt;0),('계산 과정'!$E$56+'계산 과정'!$E$57*D1605+'계산 과정'!$E$58*E1605)/F1605,"")</x:f>
        <x:v>-216.0198476239238</x:v>
      </x:c>
      <x:c r="J1605" s="4" t="n">
        <x:f>IF('계산 과정'!$L$5,'계산 과정'!$D$6+'계산 과정'!$C$35*D1605+'계산 과정'!$D$35*E1605,"")</x:f>
        <x:v>641.9694277771813</x:v>
      </x:c>
      <x:c r="K1605" s="4" t="n">
        <x:f>IF(AND('계산 과정'!$L$6,J1605&gt;0),'계산 과정'!$D$10*('계산 과정'!$C$38*(D1605-'계산 과정'!$C$32)+'계산 과정'!$D$38*(E1605-'계산 과정'!$D$32)-'계산 과정'!$E$38*'계산 과정'!$E$32)/J1605,"")</x:f>
        <x:v>0.10007420136033027</x:v>
      </x:c>
      <x:c r="L1605" s="4" t="n">
        <x:f>IF(AND('계산 과정'!$L$6,J1605&gt;0),'계산 과정'!$D$10*('계산 과정'!$C$39*(D1605-'계산 과정'!$C$32)+'계산 과정'!$D$39*(E1605-'계산 과정'!$D$32)-'계산 과정'!$E$39*'계산 과정'!$E$32)/J1605,"")</x:f>
        <x:v>-1.645865505706086</x:v>
      </x:c>
      <x:c r="M1605" s="17" t="n">
        <x:f>IF('계산 과정'!$L$6,IF(J1605&lt;=0,0,IF(AND(ABS(K1605)&lt;='계산 과정'!$D$11/2,ABS(L1605)&lt;='계산 과정'!$D$12/2),1,0)),"")</x:f>
        <x:v>1</x:v>
      </x:c>
      <x:c r="N1605" s="17" t="n">
        <x:f>IF('계산 과정'!$C$78,IF(AND(ISNUMBER(H1605),ISNUMBER(I1605),ABS(H1605-'계산 과정'!$C$88)&lt;='계산 과정'!$D$23/2,ABS(I1605-'계산 과정'!$C$89)&lt;='계산 과정'!$D$24/2),1,0),"")</x:f>
        <x:v>1</x:v>
      </x:c>
      <x:c r="O1605" s="4" t="n">
        <x:f>IF('계산 과정'!$L$7,'계산 과정'!$C$49*('계산 과정'!$C$32-D1605)+'계산 과정'!$D$49*('계산 과정'!$D$32-E1605)+'계산 과정'!$E$49*'계산 과정'!$E$32,"")</x:f>
        <x:v>8.030572222818819</x:v>
      </x:c>
      <x:c r="P1605" s="4" t="n">
        <x:f>IF(AND('계산 과정'!$L$7,O1605&lt;&gt;0),('계산 과정'!$L$23-'계산 과정'!$C$49*D1605-'계산 과정'!$D$49*E1605)/O1605,"")</x:f>
        <x:v>50.80965103126805</x:v>
      </x:c>
      <x:c r="Q1605" s="4" t="str">
        <x:f>IF(AND(ISNUMBER(P1605),P1605&gt;1E-9,P1605&lt;1-1E-9),'계산 과정'!$C$47*(D1605-'계산 과정'!$C$50+P1605*('계산 과정'!$C$32-D1605))+'계산 과정'!$D$47*(E1605-'계산 과정'!$D$50+P1605*('계산 과정'!$D$32-E1605))+'계산 과정'!$E$47*(0-'계산 과정'!$E$50+P1605*('계산 과정'!$E$32-0)),"")</x:f>
      </x:c>
      <x:c r="R1605" s="4" t="str">
        <x:f>IF(AND(ISNUMBER(P1605),P1605&gt;1E-9,P1605&lt;1-1E-9),'계산 과정'!$C$48*(D1605-'계산 과정'!$C$50+P1605*('계산 과정'!$C$32-D1605))+'계산 과정'!$D$48*(E1605-'계산 과정'!$D$50+P1605*('계산 과정'!$D$32-E1605))+'계산 과정'!$E$48*(0-'계산 과정'!$E$50+P1605*('계산 과정'!$E$32-0)),"")</x:f>
      </x:c>
      <x:c r="S1605" s="17" t="n">
        <x:f>IF('계산 과정'!$C$78,IF(AND(ISNUMBER(Q1605),ISNUMBER(R1605),ABS(Q1605-'계산 과정'!$C$88)&lt;='계산 과정'!$D$23/2,ABS(R1605-'계산 과정'!$C$89)&lt;='계산 과정'!$D$24/2),1,0),"")</x:f>
        <x:v>0</x:v>
      </x:c>
      <x:c r="T1605" s="4"/>
      <x:c r="U1605" s="4"/>
      <x:c r="V1605" s="4"/>
      <x:c r="W1605" s="4"/>
      <x:c r="X1605" s="4"/>
      <x:c r="Y1605" s="4"/>
      <x:c r="Z1605" s="4"/>
    </x:row>
    <x:row r="1606" ht="23" customHeight="1">
      <x:c r="A1606" s="17" t="n">
        <x:f>ROW()-6</x:f>
        <x:v>1600</x:v>
      </x:c>
      <x:c r="B1606" s="4" t="n">
        <x:f>IF('계산 과정'!$L$5,'계산 과정'!$L$11*SQRT((A1606+0.5)/'계산 과정'!$L$30),"")</x:f>
        <x:v>132.6032358732716</x:v>
      </x:c>
      <x:c r="C1606" s="4" t="n">
        <x:f>A1606*PI()*(3-SQRT(5))</x:f>
        <x:v>3839.941167565845</x:v>
      </x:c>
      <x:c r="D1606" s="4" t="n">
        <x:f>IF('계산 과정'!$L$5,B1606*COS(C1606),"")</x:f>
        <x:v>80.86599638884017</x:v>
      </x:c>
      <x:c r="E1606" s="4" t="n">
        <x:f>IF('계산 과정'!$L$5,B1606*SIN(C1606),"")</x:f>
        <x:v>105.09190640626227</x:v>
      </x:c>
      <x:c r="F1606" s="4" t="n">
        <x:f>IF('계산 과정'!$L$7,'계산 과정'!$L$22+'계산 과정'!$C$49*D1606+'계산 과정'!$D$49*E1606,"")</x:f>
        <x:v>592.8191055860442</x:v>
      </x:c>
      <x:c r="G1606" s="4" t="n">
        <x:f>IF('계산 과정'!$L$7,IF(ABS(F1606)&gt;=1E-12*MAX(1,SQRT((D1606-'계산 과정'!$C$33)^2+(E1606-'계산 과정'!$D$33)^2+'계산 과정'!$E$33^2)),('계산 과정'!$L$23-'계산 과정'!$C$49*D1606-'계산 과정'!$D$49*E1606)/F1606,""),"")</x:f>
        <x:v>0.7711979760874941</x:v>
      </x:c>
      <x:c r="H1606" s="4" t="n">
        <x:f>IF(AND(ISNUMBER(G1606),G1606&gt;0),('계산 과정'!$D$56+'계산 과정'!$D$57*D1606+'계산 과정'!$D$58*E1606)/F1606,"")</x:f>
        <x:v>101.27868445687103</x:v>
      </x:c>
      <x:c r="I1606" s="4" t="n">
        <x:f>IF(AND(ISNUMBER(G1606),G1606&gt;0),('계산 과정'!$E$56+'계산 과정'!$E$57*D1606+'계산 과정'!$E$58*E1606)/F1606,"")</x:f>
        <x:v>186.13857192994809</x:v>
      </x:c>
      <x:c r="J1606" s="4" t="n">
        <x:f>IF('계산 과정'!$L$5,'계산 과정'!$D$6+'계산 과정'!$C$35*D1606+'계산 과정'!$D$35*E1606,"")</x:f>
        <x:v>592.8191055860442</x:v>
      </x:c>
      <x:c r="K1606" s="4" t="n">
        <x:f>IF(AND('계산 과정'!$L$6,J1606&gt;0),'계산 과정'!$D$10*('계산 과정'!$C$38*(D1606-'계산 과정'!$C$32)+'계산 과정'!$D$38*(E1606-'계산 과정'!$D$32)-'계산 과정'!$E$38*'계산 과정'!$E$32)/J1606,"")</x:f>
        <x:v>0.7716471196713997</x:v>
      </x:c>
      <x:c r="L1606" s="4" t="n">
        <x:f>IF(AND('계산 과정'!$L$6,J1606&gt;0),'계산 과정'!$D$10*('계산 과정'!$C$39*(D1606-'계산 과정'!$C$32)+'계산 과정'!$D$39*(E1606-'계산 과정'!$D$32)-'계산 과정'!$E$39*'계산 과정'!$E$32)/J1606,"")</x:f>
        <x:v>1.418198643275795</x:v>
      </x:c>
      <x:c r="M1606" s="17" t="n">
        <x:f>IF('계산 과정'!$L$6,IF(J1606&lt;=0,0,IF(AND(ABS(K1606)&lt;='계산 과정'!$D$11/2,ABS(L1606)&lt;='계산 과정'!$D$12/2),1,0)),"")</x:f>
        <x:v>1</x:v>
      </x:c>
      <x:c r="N1606" s="17" t="n">
        <x:f>IF('계산 과정'!$C$78,IF(AND(ISNUMBER(H1606),ISNUMBER(I1606),ABS(H1606-'계산 과정'!$C$88)&lt;='계산 과정'!$D$23/2,ABS(I1606-'계산 과정'!$C$89)&lt;='계산 과정'!$D$24/2),1,0),"")</x:f>
        <x:v>1</x:v>
      </x:c>
      <x:c r="O1606" s="4" t="n">
        <x:f>IF('계산 과정'!$L$7,'계산 과정'!$C$49*('계산 과정'!$C$32-D1606)+'계산 과정'!$D$49*('계산 과정'!$D$32-E1606)+'계산 과정'!$E$49*'계산 과정'!$E$32,"")</x:f>
        <x:v>57.180894413955855</x:v>
      </x:c>
      <x:c r="P1606" s="4" t="n">
        <x:f>IF(AND('계산 과정'!$L$7,O1606&lt;&gt;0),('계산 과정'!$L$23-'계산 과정'!$C$49*D1606-'계산 과정'!$D$49*E1606)/O1606,"")</x:f>
        <x:v>7.995343533877531</x:v>
      </x:c>
      <x:c r="Q1606" s="4" t="str">
        <x:f>IF(AND(ISNUMBER(P1606),P1606&gt;1E-9,P1606&lt;1-1E-9),'계산 과정'!$C$47*(D1606-'계산 과정'!$C$50+P1606*('계산 과정'!$C$32-D1606))+'계산 과정'!$D$47*(E1606-'계산 과정'!$D$50+P1606*('계산 과정'!$D$32-E1606))+'계산 과정'!$E$47*(0-'계산 과정'!$E$50+P1606*('계산 과정'!$E$32-0)),"")</x:f>
      </x:c>
      <x:c r="R1606" s="4" t="str">
        <x:f>IF(AND(ISNUMBER(P1606),P1606&gt;1E-9,P1606&lt;1-1E-9),'계산 과정'!$C$48*(D1606-'계산 과정'!$C$50+P1606*('계산 과정'!$C$32-D1606))+'계산 과정'!$D$48*(E1606-'계산 과정'!$D$50+P1606*('계산 과정'!$D$32-E1606))+'계산 과정'!$E$48*(0-'계산 과정'!$E$50+P1606*('계산 과정'!$E$32-0)),"")</x:f>
      </x:c>
      <x:c r="S1606" s="17" t="n">
        <x:f>IF('계산 과정'!$C$78,IF(AND(ISNUMBER(Q1606),ISNUMBER(R1606),ABS(Q1606-'계산 과정'!$C$88)&lt;='계산 과정'!$D$23/2,ABS(R1606-'계산 과정'!$C$89)&lt;='계산 과정'!$D$24/2),1,0),"")</x:f>
        <x:v>0</x:v>
      </x:c>
      <x:c r="T1606" s="4"/>
      <x:c r="U1606" s="4"/>
      <x:c r="V1606" s="4"/>
      <x:c r="W1606" s="4"/>
      <x:c r="X1606" s="4"/>
      <x:c r="Y1606" s="4"/>
      <x:c r="Z1606" s="4"/>
    </x:row>
    <x:row r="1607" ht="23" customHeight="1">
      <x:c r="A1607" s="17" t="n">
        <x:f>ROW()-6</x:f>
        <x:v>1601</x:v>
      </x:c>
      <x:c r="B1607" s="4" t="n">
        <x:f>IF('계산 과정'!$L$5,'계산 과정'!$L$11*SQRT((A1607+0.5)/'계산 과정'!$L$30),"")</x:f>
        <x:v>132.64465497029082</x:v>
      </x:c>
      <x:c r="C1607" s="4" t="n">
        <x:f>A1607*PI()*(3-SQRT(5))</x:f>
        <x:v>3842.341130795573</x:v>
      </x:c>
      <x:c r="D1607" s="4" t="n">
        <x:f>IF('계산 과정'!$L$5,B1607*COS(C1607),"")</x:f>
        <x:v>-130.65743038891145</x:v>
      </x:c>
      <x:c r="E1607" s="4" t="n">
        <x:f>IF('계산 과정'!$L$5,B1607*SIN(C1607),"")</x:f>
        <x:v>-22.87444811037543</x:v>
      </x:c>
      <x:c r="F1607" s="4" t="n">
        <x:f>IF('계산 과정'!$L$7,'계산 과정'!$L$22+'계산 과정'!$C$49*D1607+'계산 과정'!$D$49*E1607,"")</x:f>
        <x:v>742.3887550404086</x:v>
      </x:c>
      <x:c r="G1607" s="4" t="n">
        <x:f>IF('계산 과정'!$L$7,IF(ABS(F1607)&gt;=1E-12*MAX(1,SQRT((D1607-'계산 과정'!$C$33)^2+(E1607-'계산 과정'!$D$33)^2+'계산 과정'!$E$33^2)),('계산 과정'!$L$23-'계산 과정'!$C$49*D1607-'계산 과정'!$D$49*E1607)/F1607,""),"")</x:f>
        <x:v>0.41435331943147224</x:v>
      </x:c>
      <x:c r="H1607" s="4" t="n">
        <x:f>IF(AND(ISNUMBER(G1607),G1607&gt;0),('계산 과정'!$D$56+'계산 과정'!$D$57*D1607+'계산 과정'!$D$58*E1607)/F1607,"")</x:f>
        <x:v>-130.67034236954316</x:v>
      </x:c>
      <x:c r="I1607" s="4" t="n">
        <x:f>IF(AND(ISNUMBER(G1607),G1607&gt;0),('계산 과정'!$E$56+'계산 과정'!$E$57*D1607+'계산 과정'!$E$58*E1607)/F1607,"")</x:f>
        <x:v>-32.35255161507246</x:v>
      </x:c>
      <x:c r="J1607" s="4" t="n">
        <x:f>IF('계산 과정'!$L$5,'계산 과정'!$D$6+'계산 과정'!$C$35*D1607+'계산 과정'!$D$35*E1607,"")</x:f>
        <x:v>742.3887550404086</x:v>
      </x:c>
      <x:c r="K1607" s="4" t="n">
        <x:f>IF(AND('계산 과정'!$L$6,J1607&gt;0),'계산 과정'!$D$10*('계산 과정'!$C$38*(D1607-'계산 과정'!$C$32)+'계산 과정'!$D$38*(E1607-'계산 과정'!$D$32)-'계산 과정'!$E$38*'계산 과정'!$E$32)/J1607,"")</x:f>
        <x:v>-0.9955835609108034</x:v>
      </x:c>
      <x:c r="L1607" s="4" t="n">
        <x:f>IF(AND('계산 과정'!$L$6,J1607&gt;0),'계산 과정'!$D$10*('계산 과정'!$C$39*(D1607-'계산 과정'!$C$32)+'계산 과정'!$D$39*(E1607-'계산 과정'!$D$32)-'계산 과정'!$E$39*'계산 과정'!$E$32)/J1607,"")</x:f>
        <x:v>-0.246495631352933</x:v>
      </x:c>
      <x:c r="M1607" s="17" t="n">
        <x:f>IF('계산 과정'!$L$6,IF(J1607&lt;=0,0,IF(AND(ABS(K1607)&lt;='계산 과정'!$D$11/2,ABS(L1607)&lt;='계산 과정'!$D$12/2),1,0)),"")</x:f>
        <x:v>1</x:v>
      </x:c>
      <x:c r="N1607" s="17" t="n">
        <x:f>IF('계산 과정'!$C$78,IF(AND(ISNUMBER(H1607),ISNUMBER(I1607),ABS(H1607-'계산 과정'!$C$88)&lt;='계산 과정'!$D$23/2,ABS(I1607-'계산 과정'!$C$89)&lt;='계산 과정'!$D$24/2),1,0),"")</x:f>
        <x:v>1</x:v>
      </x:c>
      <x:c r="O1607" s="4" t="n">
        <x:f>IF('계산 과정'!$L$7,'계산 과정'!$C$49*('계산 과정'!$C$32-D1607)+'계산 과정'!$D$49*('계산 과정'!$D$32-E1607)+'계산 과정'!$E$49*'계산 과정'!$E$32,"")</x:f>
        <x:v>-92.3887550404084</x:v>
      </x:c>
      <x:c r="P1607" s="4" t="n">
        <x:f>IF(AND('계산 과정'!$L$7,O1607&lt;&gt;0),('계산 과정'!$L$23-'계산 과정'!$C$49*D1607-'계산 과정'!$D$49*E1607)/O1607,"")</x:f>
        <x:v>-3.329531227312787</x:v>
      </x:c>
      <x:c r="Q1607" s="4" t="str">
        <x:f>IF(AND(ISNUMBER(P1607),P1607&gt;1E-9,P1607&lt;1-1E-9),'계산 과정'!$C$47*(D1607-'계산 과정'!$C$50+P1607*('계산 과정'!$C$32-D1607))+'계산 과정'!$D$47*(E1607-'계산 과정'!$D$50+P1607*('계산 과정'!$D$32-E1607))+'계산 과정'!$E$47*(0-'계산 과정'!$E$50+P1607*('계산 과정'!$E$32-0)),"")</x:f>
      </x:c>
      <x:c r="R1607" s="4" t="str">
        <x:f>IF(AND(ISNUMBER(P1607),P1607&gt;1E-9,P1607&lt;1-1E-9),'계산 과정'!$C$48*(D1607-'계산 과정'!$C$50+P1607*('계산 과정'!$C$32-D1607))+'계산 과정'!$D$48*(E1607-'계산 과정'!$D$50+P1607*('계산 과정'!$D$32-E1607))+'계산 과정'!$E$48*(0-'계산 과정'!$E$50+P1607*('계산 과정'!$E$32-0)),"")</x:f>
      </x:c>
      <x:c r="S1607" s="17" t="n">
        <x:f>IF('계산 과정'!$C$78,IF(AND(ISNUMBER(Q1607),ISNUMBER(R1607),ABS(Q1607-'계산 과정'!$C$88)&lt;='계산 과정'!$D$23/2,ABS(R1607-'계산 과정'!$C$89)&lt;='계산 과정'!$D$24/2),1,0),"")</x:f>
        <x:v>0</x:v>
      </x:c>
      <x:c r="T1607" s="4"/>
      <x:c r="U1607" s="4"/>
      <x:c r="V1607" s="4"/>
      <x:c r="W1607" s="4"/>
      <x:c r="X1607" s="4"/>
      <x:c r="Y1607" s="4"/>
      <x:c r="Z1607" s="4"/>
    </x:row>
    <x:row r="1608" ht="23" customHeight="1">
      <x:c r="A1608" s="17" t="n">
        <x:f>ROW()-6</x:f>
        <x:v>1602</x:v>
      </x:c>
      <x:c r="B1608" s="4" t="n">
        <x:f>IF('계산 과정'!$L$5,'계산 과정'!$L$11*SQRT((A1608+0.5)/'계산 과정'!$L$30),"")</x:f>
        <x:v>132.68606113798276</x:v>
      </x:c>
      <x:c r="C1608" s="4" t="n">
        <x:f>A1608*PI()*(3-SQRT(5))</x:f>
        <x:v>3844.741094025302</x:v>
      </x:c>
      <x:c r="D1608" s="4" t="n">
        <x:f>IF('계산 과정'!$L$5,B1608*COS(C1608),"")</x:f>
        <x:v>111.82908805988531</x:v>
      </x:c>
      <x:c r="E1608" s="4" t="n">
        <x:f>IF('계산 과정'!$L$5,B1608*SIN(C1608),"")</x:f>
        <x:v>-71.41320524949792</x:v>
      </x:c>
      <x:c r="F1608" s="4" t="n">
        <x:f>IF('계산 과정'!$L$7,'계산 과정'!$L$22+'계산 과정'!$C$49*D1608+'계산 과정'!$D$49*E1608,"")</x:f>
        <x:v>570.9248934989475</x:v>
      </x:c>
      <x:c r="G1608" s="4" t="n">
        <x:f>IF('계산 과정'!$L$7,IF(ABS(F1608)&gt;=1E-12*MAX(1,SQRT((D1608-'계산 과정'!$C$33)^2+(E1608-'계산 과정'!$D$33)^2+'계산 과정'!$E$33^2)),('계산 과정'!$L$23-'계산 과정'!$C$49*D1608-'계산 과정'!$D$49*E1608)/F1608,""),"")</x:f>
        <x:v>0.8391210682109372</x:v>
      </x:c>
      <x:c r="H1608" s="4" t="n">
        <x:f>IF(AND(ISNUMBER(G1608),G1608&gt;0),('계산 과정'!$D$56+'계산 과정'!$D$57*D1608+'계산 과정'!$D$58*E1608)/F1608,"")</x:f>
        <x:v>145.42869433710916</x:v>
      </x:c>
      <x:c r="I1608" s="4" t="n">
        <x:f>IF(AND(ISNUMBER(G1608),G1608&gt;0),('계산 과정'!$E$56+'계산 과정'!$E$57*D1608+'계산 과정'!$E$58*E1608)/F1608,"")</x:f>
        <x:v>-131.33753032282354</x:v>
      </x:c>
      <x:c r="J1608" s="4" t="n">
        <x:f>IF('계산 과정'!$L$5,'계산 과정'!$D$6+'계산 과정'!$C$35*D1608+'계산 과정'!$D$35*E1608,"")</x:f>
        <x:v>570.9248934989475</x:v>
      </x:c>
      <x:c r="K1608" s="4" t="n">
        <x:f>IF(AND('계산 과정'!$L$6,J1608&gt;0),'계산 과정'!$D$10*('계산 과정'!$C$38*(D1608-'계산 과정'!$C$32)+'계산 과정'!$D$38*(E1608-'계산 과정'!$D$32)-'계산 과정'!$E$38*'계산 과정'!$E$32)/J1608,"")</x:f>
        <x:v>1.1080281473303564</x:v>
      </x:c>
      <x:c r="L1608" s="4" t="n">
        <x:f>IF(AND('계산 과정'!$L$6,J1608&gt;0),'계산 과정'!$D$10*('계산 과정'!$C$39*(D1608-'계산 과정'!$C$32)+'계산 과정'!$D$39*(E1608-'계산 과정'!$D$32)-'계산 과정'!$E$39*'계산 과정'!$E$32)/J1608,"")</x:f>
        <x:v>-1.0006668976977031</x:v>
      </x:c>
      <x:c r="M1608" s="17" t="n">
        <x:f>IF('계산 과정'!$L$6,IF(J1608&lt;=0,0,IF(AND(ABS(K1608)&lt;='계산 과정'!$D$11/2,ABS(L1608)&lt;='계산 과정'!$D$12/2),1,0)),"")</x:f>
        <x:v>1</x:v>
      </x:c>
      <x:c r="N1608" s="17" t="n">
        <x:f>IF('계산 과정'!$C$78,IF(AND(ISNUMBER(H1608),ISNUMBER(I1608),ABS(H1608-'계산 과정'!$C$88)&lt;='계산 과정'!$D$23/2,ABS(I1608-'계산 과정'!$C$89)&lt;='계산 과정'!$D$24/2),1,0),"")</x:f>
        <x:v>1</x:v>
      </x:c>
      <x:c r="O1608" s="4" t="n">
        <x:f>IF('계산 과정'!$L$7,'계산 과정'!$C$49*('계산 과정'!$C$32-D1608)+'계산 과정'!$D$49*('계산 과정'!$D$32-E1608)+'계산 과정'!$E$49*'계산 과정'!$E$32,"")</x:f>
        <x:v>79.07510650105257</x:v>
      </x:c>
      <x:c r="P1608" s="4" t="n">
        <x:f>IF(AND('계산 과정'!$L$7,O1608&lt;&gt;0),('계산 과정'!$L$23-'계산 과정'!$C$49*D1608-'계산 과정'!$D$49*E1608)/O1608,"")</x:f>
        <x:v>6.058481963532676</x:v>
      </x:c>
      <x:c r="Q1608" s="4" t="str">
        <x:f>IF(AND(ISNUMBER(P1608),P1608&gt;1E-9,P1608&lt;1-1E-9),'계산 과정'!$C$47*(D1608-'계산 과정'!$C$50+P1608*('계산 과정'!$C$32-D1608))+'계산 과정'!$D$47*(E1608-'계산 과정'!$D$50+P1608*('계산 과정'!$D$32-E1608))+'계산 과정'!$E$47*(0-'계산 과정'!$E$50+P1608*('계산 과정'!$E$32-0)),"")</x:f>
      </x:c>
      <x:c r="R1608" s="4" t="str">
        <x:f>IF(AND(ISNUMBER(P1608),P1608&gt;1E-9,P1608&lt;1-1E-9),'계산 과정'!$C$48*(D1608-'계산 과정'!$C$50+P1608*('계산 과정'!$C$32-D1608))+'계산 과정'!$D$48*(E1608-'계산 과정'!$D$50+P1608*('계산 과정'!$D$32-E1608))+'계산 과정'!$E$48*(0-'계산 과정'!$E$50+P1608*('계산 과정'!$E$32-0)),"")</x:f>
      </x:c>
      <x:c r="S1608" s="17" t="n">
        <x:f>IF('계산 과정'!$C$78,IF(AND(ISNUMBER(Q1608),ISNUMBER(R1608),ABS(Q1608-'계산 과정'!$C$88)&lt;='계산 과정'!$D$23/2,ABS(R1608-'계산 과정'!$C$89)&lt;='계산 과정'!$D$24/2),1,0),"")</x:f>
        <x:v>0</x:v>
      </x:c>
      <x:c r="T1608" s="4"/>
      <x:c r="U1608" s="4"/>
      <x:c r="V1608" s="4"/>
      <x:c r="W1608" s="4"/>
      <x:c r="X1608" s="4"/>
      <x:c r="Y1608" s="4"/>
      <x:c r="Z1608" s="4"/>
    </x:row>
    <x:row r="1609" ht="23" customHeight="1">
      <x:c r="A1609" s="17" t="n">
        <x:f>ROW()-6</x:f>
        <x:v>1603</x:v>
      </x:c>
      <x:c r="B1609" s="4" t="n">
        <x:f>IF('계산 과정'!$L$5,'계산 과정'!$L$11*SQRT((A1609+0.5)/'계산 과정'!$L$30),"")</x:f>
        <x:v>132.72745438844782</x:v>
      </x:c>
      <x:c r="C1609" s="4" t="n">
        <x:f>A1609*PI()*(3-SQRT(5))</x:f>
        <x:v>3847.141057255031</x:v>
      </x:c>
      <x:c r="D1609" s="4" t="n">
        <x:f>IF('계산 과정'!$L$5,B1609*COS(C1609),"")</x:f>
        <x:v>-34.23103768599497</x:v>
      </x:c>
      <x:c r="E1609" s="4" t="n">
        <x:f>IF('계산 과정'!$L$5,B1609*SIN(C1609),"")</x:f>
        <x:v>128.23733156681595</x:v>
      </x:c>
      <x:c r="F1609" s="4" t="n">
        <x:f>IF('계산 과정'!$L$7,'계산 과정'!$L$22+'계산 과정'!$C$49*D1609+'계산 과정'!$D$49*E1609,"")</x:f>
        <x:v>674.2049988748194</x:v>
      </x:c>
      <x:c r="G1609" s="4" t="n">
        <x:f>IF('계산 과정'!$L$7,IF(ABS(F1609)&gt;=1E-12*MAX(1,SQRT((D1609-'계산 과정'!$C$33)^2+(E1609-'계산 과정'!$D$33)^2+'계산 과정'!$E$33^2)),('계산 과정'!$L$23-'계산 과정'!$C$49*D1609-'계산 과정'!$D$49*E1609)/F1609,""),"")</x:f>
        <x:v>0.5573898172697398</x:v>
      </x:c>
      <x:c r="H1609" s="4" t="n">
        <x:f>IF(AND(ISNUMBER(G1609),G1609&gt;0),('계산 과정'!$D$56+'계산 과정'!$D$57*D1609+'계산 과정'!$D$58*E1609)/F1609,"")</x:f>
        <x:v>-37.69661877466921</x:v>
      </x:c>
      <x:c r="I1609" s="4" t="n">
        <x:f>IF(AND(ISNUMBER(G1609),G1609&gt;0),('계산 과정'!$E$56+'계산 과정'!$E$57*D1609+'계산 과정'!$E$58*E1609)/F1609,"")</x:f>
        <x:v>199.71551437600255</x:v>
      </x:c>
      <x:c r="J1609" s="4" t="n">
        <x:f>IF('계산 과정'!$L$5,'계산 과정'!$D$6+'계산 과정'!$C$35*D1609+'계산 과정'!$D$35*E1609,"")</x:f>
        <x:v>674.2049988748194</x:v>
      </x:c>
      <x:c r="K1609" s="4" t="n">
        <x:f>IF(AND('계산 과정'!$L$6,J1609&gt;0),'계산 과정'!$D$10*('계산 과정'!$C$38*(D1609-'계산 과정'!$C$32)+'계산 과정'!$D$38*(E1609-'계산 과정'!$D$32)-'계산 과정'!$E$38*'계산 과정'!$E$32)/J1609,"")</x:f>
        <x:v>-0.2872123335212882</x:v>
      </x:c>
      <x:c r="L1609" s="4" t="n">
        <x:f>IF(AND('계산 과정'!$L$6,J1609&gt;0),'계산 과정'!$D$10*('계산 과정'!$C$39*(D1609-'계산 과정'!$C$32)+'계산 과정'!$D$39*(E1609-'계산 과정'!$D$32)-'계산 과정'!$E$39*'계산 과정'!$E$32)/J1609,"")</x:f>
        <x:v>1.5216420142933527</x:v>
      </x:c>
      <x:c r="M1609" s="17" t="n">
        <x:f>IF('계산 과정'!$L$6,IF(J1609&lt;=0,0,IF(AND(ABS(K1609)&lt;='계산 과정'!$D$11/2,ABS(L1609)&lt;='계산 과정'!$D$12/2),1,0)),"")</x:f>
        <x:v>1</x:v>
      </x:c>
      <x:c r="N1609" s="17" t="n">
        <x:f>IF('계산 과정'!$C$78,IF(AND(ISNUMBER(H1609),ISNUMBER(I1609),ABS(H1609-'계산 과정'!$C$88)&lt;='계산 과정'!$D$23/2,ABS(I1609-'계산 과정'!$C$89)&lt;='계산 과정'!$D$24/2),1,0),"")</x:f>
        <x:v>1</x:v>
      </x:c>
      <x:c r="O1609" s="4" t="n">
        <x:f>IF('계산 과정'!$L$7,'계산 과정'!$C$49*('계산 과정'!$C$32-D1609)+'계산 과정'!$D$49*('계산 과정'!$D$32-E1609)+'계산 과정'!$E$49*'계산 과정'!$E$32,"")</x:f>
        <x:v>-24.204998874819182</x:v>
      </x:c>
      <x:c r="P1609" s="4" t="n">
        <x:f>IF(AND('계산 과정'!$L$7,O1609&lt;&gt;0),('계산 과정'!$L$23-'계산 과정'!$C$49*D1609-'계산 과정'!$D$49*E1609)/O1609,"")</x:f>
        <x:v>-15.525512026200744</x:v>
      </x:c>
      <x:c r="Q1609" s="4" t="str">
        <x:f>IF(AND(ISNUMBER(P1609),P1609&gt;1E-9,P1609&lt;1-1E-9),'계산 과정'!$C$47*(D1609-'계산 과정'!$C$50+P1609*('계산 과정'!$C$32-D1609))+'계산 과정'!$D$47*(E1609-'계산 과정'!$D$50+P1609*('계산 과정'!$D$32-E1609))+'계산 과정'!$E$47*(0-'계산 과정'!$E$50+P1609*('계산 과정'!$E$32-0)),"")</x:f>
      </x:c>
      <x:c r="R1609" s="4" t="str">
        <x:f>IF(AND(ISNUMBER(P1609),P1609&gt;1E-9,P1609&lt;1-1E-9),'계산 과정'!$C$48*(D1609-'계산 과정'!$C$50+P1609*('계산 과정'!$C$32-D1609))+'계산 과정'!$D$48*(E1609-'계산 과정'!$D$50+P1609*('계산 과정'!$D$32-E1609))+'계산 과정'!$E$48*(0-'계산 과정'!$E$50+P1609*('계산 과정'!$E$32-0)),"")</x:f>
      </x:c>
      <x:c r="S1609" s="17" t="n">
        <x:f>IF('계산 과정'!$C$78,IF(AND(ISNUMBER(Q1609),ISNUMBER(R1609),ABS(Q1609-'계산 과정'!$C$88)&lt;='계산 과정'!$D$23/2,ABS(R1609-'계산 과정'!$C$89)&lt;='계산 과정'!$D$24/2),1,0),"")</x:f>
        <x:v>0</x:v>
      </x:c>
      <x:c r="T1609" s="4"/>
      <x:c r="U1609" s="4"/>
      <x:c r="V1609" s="4"/>
      <x:c r="W1609" s="4"/>
      <x:c r="X1609" s="4"/>
      <x:c r="Y1609" s="4"/>
      <x:c r="Z1609" s="4"/>
    </x:row>
    <x:row r="1610" ht="23" customHeight="1">
      <x:c r="A1610" s="17" t="n">
        <x:f>ROW()-6</x:f>
        <x:v>1604</x:v>
      </x:c>
      <x:c r="B1610" s="4" t="n">
        <x:f>IF('계산 과정'!$L$5,'계산 과정'!$L$11*SQRT((A1610+0.5)/'계산 과정'!$L$30),"")</x:f>
        <x:v>132.76883473376762</x:v>
      </x:c>
      <x:c r="C1610" s="4" t="n">
        <x:f>A1610*PI()*(3-SQRT(5))</x:f>
        <x:v>3849.541020484759</x:v>
      </x:c>
      <x:c r="D1610" s="4" t="n">
        <x:f>IF('계산 과정'!$L$5,B1610*COS(C1610),"")</x:f>
        <x:v>-61.401308057830576</x:v>
      </x:c>
      <x:c r="E1610" s="4" t="n">
        <x:f>IF('계산 과정'!$L$5,B1610*SIN(C1610),"")</x:f>
        <x:v>-117.71764033206702</x:v>
      </x:c>
      <x:c r="F1610" s="4" t="n">
        <x:f>IF('계산 과정'!$L$7,'계산 과정'!$L$22+'계산 과정'!$C$49*D1610+'계산 과정'!$D$49*E1610,"")</x:f>
        <x:v>693.4172813014162</x:v>
      </x:c>
      <x:c r="G1610" s="4" t="n">
        <x:f>IF('계산 과정'!$L$7,IF(ABS(F1610)&gt;=1E-12*MAX(1,SQRT((D1610-'계산 과정'!$C$33)^2+(E1610-'계산 과정'!$D$33)^2+'계산 과정'!$E$33^2)),('계산 과정'!$L$23-'계산 과정'!$C$49*D1610-'계산 과정'!$D$49*E1610)/F1610,""),"")</x:f>
        <x:v>0.514239734592919</x:v>
      </x:c>
      <x:c r="H1610" s="4" t="n">
        <x:f>IF(AND(ISNUMBER(G1610),G1610&gt;0),('계산 과정'!$D$56+'계산 과정'!$D$57*D1610+'계산 과정'!$D$58*E1610)/F1610,"")</x:f>
        <x:v>-65.74417251460271</x:v>
      </x:c>
      <x:c r="I1610" s="4" t="n">
        <x:f>IF(AND(ISNUMBER(G1610),G1610&gt;0),('계산 과정'!$E$56+'계산 과정'!$E$57*D1610+'계산 과정'!$E$58*E1610)/F1610,"")</x:f>
        <x:v>-178.25272845333387</x:v>
      </x:c>
      <x:c r="J1610" s="4" t="n">
        <x:f>IF('계산 과정'!$L$5,'계산 과정'!$D$6+'계산 과정'!$C$35*D1610+'계산 과정'!$D$35*E1610,"")</x:f>
        <x:v>693.4172813014162</x:v>
      </x:c>
      <x:c r="K1610" s="4" t="n">
        <x:f>IF(AND('계산 과정'!$L$6,J1610&gt;0),'계산 과정'!$D$10*('계산 과정'!$C$38*(D1610-'계산 과정'!$C$32)+'계산 과정'!$D$38*(E1610-'계산 과정'!$D$32)-'계산 과정'!$E$38*'계산 과정'!$E$32)/J1610,"")</x:f>
        <x:v>-0.5009079810636381</x:v>
      </x:c>
      <x:c r="L1610" s="4" t="n">
        <x:f>IF(AND('계산 과정'!$L$6,J1610&gt;0),'계산 과정'!$D$10*('계산 과정'!$C$39*(D1610-'계산 과정'!$C$32)+'계산 과정'!$D$39*(E1610-'계산 과정'!$D$32)-'계산 과정'!$E$39*'계산 과정'!$E$32)/J1610,"")</x:f>
        <x:v>-1.3581160263111152</x:v>
      </x:c>
      <x:c r="M1610" s="17" t="n">
        <x:f>IF('계산 과정'!$L$6,IF(J1610&lt;=0,0,IF(AND(ABS(K1610)&lt;='계산 과정'!$D$11/2,ABS(L1610)&lt;='계산 과정'!$D$12/2),1,0)),"")</x:f>
        <x:v>1</x:v>
      </x:c>
      <x:c r="N1610" s="17" t="n">
        <x:f>IF('계산 과정'!$C$78,IF(AND(ISNUMBER(H1610),ISNUMBER(I1610),ABS(H1610-'계산 과정'!$C$88)&lt;='계산 과정'!$D$23/2,ABS(I1610-'계산 과정'!$C$89)&lt;='계산 과정'!$D$24/2),1,0),"")</x:f>
        <x:v>1</x:v>
      </x:c>
      <x:c r="O1610" s="4" t="n">
        <x:f>IF('계산 과정'!$L$7,'계산 과정'!$C$49*('계산 과정'!$C$32-D1610)+'계산 과정'!$D$49*('계산 과정'!$D$32-E1610)+'계산 과정'!$E$49*'계산 과정'!$E$32,"")</x:f>
        <x:v>-43.41728130141604</x:v>
      </x:c>
      <x:c r="P1610" s="4" t="n">
        <x:f>IF(AND('계산 과정'!$L$7,O1610&lt;&gt;0),('계산 과정'!$L$23-'계산 과정'!$C$49*D1610-'계산 과정'!$D$49*E1610)/O1610,"")</x:f>
        <x:v>-8.212921399271353</x:v>
      </x:c>
      <x:c r="Q1610" s="4" t="str">
        <x:f>IF(AND(ISNUMBER(P1610),P1610&gt;1E-9,P1610&lt;1-1E-9),'계산 과정'!$C$47*(D1610-'계산 과정'!$C$50+P1610*('계산 과정'!$C$32-D1610))+'계산 과정'!$D$47*(E1610-'계산 과정'!$D$50+P1610*('계산 과정'!$D$32-E1610))+'계산 과정'!$E$47*(0-'계산 과정'!$E$50+P1610*('계산 과정'!$E$32-0)),"")</x:f>
      </x:c>
      <x:c r="R1610" s="4" t="str">
        <x:f>IF(AND(ISNUMBER(P1610),P1610&gt;1E-9,P1610&lt;1-1E-9),'계산 과정'!$C$48*(D1610-'계산 과정'!$C$50+P1610*('계산 과정'!$C$32-D1610))+'계산 과정'!$D$48*(E1610-'계산 과정'!$D$50+P1610*('계산 과정'!$D$32-E1610))+'계산 과정'!$E$48*(0-'계산 과정'!$E$50+P1610*('계산 과정'!$E$32-0)),"")</x:f>
      </x:c>
      <x:c r="S1610" s="17" t="n">
        <x:f>IF('계산 과정'!$C$78,IF(AND(ISNUMBER(Q1610),ISNUMBER(R1610),ABS(Q1610-'계산 과정'!$C$88)&lt;='계산 과정'!$D$23/2,ABS(R1610-'계산 과정'!$C$89)&lt;='계산 과정'!$D$24/2),1,0),"")</x:f>
        <x:v>0</x:v>
      </x:c>
      <x:c r="T1610" s="4"/>
      <x:c r="U1610" s="4"/>
      <x:c r="V1610" s="4"/>
      <x:c r="W1610" s="4"/>
      <x:c r="X1610" s="4"/>
      <x:c r="Y1610" s="4"/>
      <x:c r="Z1610" s="4"/>
    </x:row>
    <x:row r="1611" ht="23" customHeight="1">
      <x:c r="A1611" s="17" t="n">
        <x:f>ROW()-6</x:f>
        <x:v>1605</x:v>
      </x:c>
      <x:c r="B1611" s="4" t="n">
        <x:f>IF('계산 과정'!$L$5,'계산 과정'!$L$11*SQRT((A1611+0.5)/'계산 과정'!$L$30),"")</x:f>
        <x:v>132.8102021860049</x:v>
      </x:c>
      <x:c r="C1611" s="4" t="n">
        <x:f>A1611*PI()*(3-SQRT(5))</x:f>
        <x:v>3851.940983714488</x:v>
      </x:c>
      <x:c r="D1611" s="4" t="n">
        <x:f>IF('계산 과정'!$L$5,B1611*COS(C1611),"")</x:f>
        <x:v>124.83141937996514</x:v>
      </x:c>
      <x:c r="E1611" s="4" t="n">
        <x:f>IF('계산 과정'!$L$5,B1611*SIN(C1611),"")</x:f>
        <x:v>45.33945897637906</x:v>
      </x:c>
      <x:c r="F1611" s="4" t="n">
        <x:f>IF('계산 과정'!$L$7,'계산 과정'!$L$22+'계산 과정'!$C$49*D1611+'계산 과정'!$D$49*E1611,"")</x:f>
        <x:v>561.7308568512849</x:v>
      </x:c>
      <x:c r="G1611" s="4" t="n">
        <x:f>IF('계산 과정'!$L$7,IF(ABS(F1611)&gt;=1E-12*MAX(1,SQRT((D1611-'계산 과정'!$C$33)^2+(E1611-'계산 과정'!$D$33)^2+'계산 과정'!$E$33^2)),('계산 과정'!$L$23-'계산 과정'!$C$49*D1611-'계산 과정'!$D$49*E1611)/F1611,""),"")</x:f>
        <x:v>0.8692225773133586</x:v>
      </x:c>
      <x:c r="H1611" s="4" t="n">
        <x:f>IF(AND(ISNUMBER(G1611),G1611&gt;0),('계산 과정'!$D$56+'계산 과정'!$D$57*D1611+'계산 과정'!$D$58*E1611)/F1611,"")</x:f>
        <x:v>164.99467525368303</x:v>
      </x:c>
      <x:c r="I1611" s="4" t="n">
        <x:f>IF(AND(ISNUMBER(G1611),G1611&gt;0),('계산 과정'!$E$56+'계산 과정'!$E$57*D1611+'계산 과정'!$E$58*E1611)/F1611,"")</x:f>
        <x:v>84.74954036182056</x:v>
      </x:c>
      <x:c r="J1611" s="4" t="n">
        <x:f>IF('계산 과정'!$L$5,'계산 과정'!$D$6+'계산 과정'!$C$35*D1611+'계산 과정'!$D$35*E1611,"")</x:f>
        <x:v>561.7308568512849</x:v>
      </x:c>
      <x:c r="K1611" s="4" t="n">
        <x:f>IF(AND('계산 과정'!$L$6,J1611&gt;0),'계산 과정'!$D$10*('계산 과정'!$C$38*(D1611-'계산 과정'!$C$32)+'계산 과정'!$D$38*(E1611-'계산 과정'!$D$32)-'계산 과정'!$E$38*'계산 과정'!$E$32)/J1611,"")</x:f>
        <x:v>1.25710228764711</x:v>
      </x:c>
      <x:c r="L1611" s="4" t="n">
        <x:f>IF(AND('계산 과정'!$L$6,J1611&gt;0),'계산 과정'!$D$10*('계산 과정'!$C$39*(D1611-'계산 과정'!$C$32)+'계산 과정'!$D$39*(E1611-'계산 과정'!$D$32)-'계산 과정'!$E$39*'계산 과정'!$E$32)/J1611,"")</x:f>
        <x:v>0.6457107837091091</x:v>
      </x:c>
      <x:c r="M1611" s="17" t="n">
        <x:f>IF('계산 과정'!$L$6,IF(J1611&lt;=0,0,IF(AND(ABS(K1611)&lt;='계산 과정'!$D$11/2,ABS(L1611)&lt;='계산 과정'!$D$12/2),1,0)),"")</x:f>
        <x:v>1</x:v>
      </x:c>
      <x:c r="N1611" s="17" t="n">
        <x:f>IF('계산 과정'!$C$78,IF(AND(ISNUMBER(H1611),ISNUMBER(I1611),ABS(H1611-'계산 과정'!$C$88)&lt;='계산 과정'!$D$23/2,ABS(I1611-'계산 과정'!$C$89)&lt;='계산 과정'!$D$24/2),1,0),"")</x:f>
        <x:v>1</x:v>
      </x:c>
      <x:c r="O1611" s="4" t="n">
        <x:f>IF('계산 과정'!$L$7,'계산 과정'!$C$49*('계산 과정'!$C$32-D1611)+'계산 과정'!$D$49*('계산 과정'!$D$32-E1611)+'계산 과정'!$E$49*'계산 과정'!$E$32,"")</x:f>
        <x:v>88.26914314871527</x:v>
      </x:c>
      <x:c r="P1611" s="4" t="n">
        <x:f>IF(AND('계산 과정'!$L$7,O1611&lt;&gt;0),('계산 과정'!$L$23-'계산 과정'!$C$49*D1611-'계산 과정'!$D$49*E1611)/O1611,"")</x:f>
        <x:v>5.531594912234307</x:v>
      </x:c>
      <x:c r="Q1611" s="4" t="str">
        <x:f>IF(AND(ISNUMBER(P1611),P1611&gt;1E-9,P1611&lt;1-1E-9),'계산 과정'!$C$47*(D1611-'계산 과정'!$C$50+P1611*('계산 과정'!$C$32-D1611))+'계산 과정'!$D$47*(E1611-'계산 과정'!$D$50+P1611*('계산 과정'!$D$32-E1611))+'계산 과정'!$E$47*(0-'계산 과정'!$E$50+P1611*('계산 과정'!$E$32-0)),"")</x:f>
      </x:c>
      <x:c r="R1611" s="4" t="str">
        <x:f>IF(AND(ISNUMBER(P1611),P1611&gt;1E-9,P1611&lt;1-1E-9),'계산 과정'!$C$48*(D1611-'계산 과정'!$C$50+P1611*('계산 과정'!$C$32-D1611))+'계산 과정'!$D$48*(E1611-'계산 과정'!$D$50+P1611*('계산 과정'!$D$32-E1611))+'계산 과정'!$E$48*(0-'계산 과정'!$E$50+P1611*('계산 과정'!$E$32-0)),"")</x:f>
      </x:c>
      <x:c r="S1611" s="17" t="n">
        <x:f>IF('계산 과정'!$C$78,IF(AND(ISNUMBER(Q1611),ISNUMBER(R1611),ABS(Q1611-'계산 과정'!$C$88)&lt;='계산 과정'!$D$23/2,ABS(R1611-'계산 과정'!$C$89)&lt;='계산 과정'!$D$24/2),1,0),"")</x:f>
        <x:v>0</x:v>
      </x:c>
      <x:c r="T1611" s="4"/>
      <x:c r="U1611" s="4"/>
      <x:c r="V1611" s="4"/>
      <x:c r="W1611" s="4"/>
      <x:c r="X1611" s="4"/>
      <x:c r="Y1611" s="4"/>
      <x:c r="Z1611" s="4"/>
    </x:row>
    <x:row r="1612" ht="23" customHeight="1">
      <x:c r="A1612" s="17" t="n">
        <x:f>ROW()-6</x:f>
        <x:v>1606</x:v>
      </x:c>
      <x:c r="B1612" s="4" t="n">
        <x:f>IF('계산 과정'!$L$5,'계산 과정'!$L$11*SQRT((A1612+0.5)/'계산 과정'!$L$30),"")</x:f>
        <x:v>132.85155675720364</x:v>
      </x:c>
      <x:c r="C1612" s="4" t="n">
        <x:f>A1612*PI()*(3-SQRT(5))</x:f>
        <x:v>3854.3409469442167</x:v>
      </x:c>
      <x:c r="D1612" s="4" t="n">
        <x:f>IF('계산 과정'!$L$5,B1612*COS(C1612),"")</x:f>
        <x:v>-122.71136623432389</x:v>
      </x:c>
      <x:c r="E1612" s="4" t="n">
        <x:f>IF('계산 과정'!$L$5,B1612*SIN(C1612),"")</x:f>
        <x:v>50.9063525477728</x:v>
      </x:c>
      <x:c r="F1612" s="4" t="n">
        <x:f>IF('계산 과정'!$L$7,'계산 과정'!$L$22+'계산 과정'!$C$49*D1612+'계산 과정'!$D$49*E1612,"")</x:f>
        <x:v>736.7700391929563</x:v>
      </x:c>
      <x:c r="G1612" s="4" t="n">
        <x:f>IF('계산 과정'!$L$7,IF(ABS(F1612)&gt;=1E-12*MAX(1,SQRT((D1612-'계산 과정'!$C$33)^2+(E1612-'계산 과정'!$D$33)^2+'계산 과정'!$E$33^2)),('계산 과정'!$L$23-'계산 과정'!$C$49*D1612-'계산 과정'!$D$49*E1612)/F1612,""),"")</x:f>
        <x:v>0.4251393842645253</x:v>
      </x:c>
      <x:c r="H1612" s="4" t="n">
        <x:f>IF(AND(ISNUMBER(G1612),G1612&gt;0),('계산 과정'!$D$56+'계산 과정'!$D$57*D1612+'계산 과정'!$D$58*E1612)/F1612,"")</x:f>
        <x:v>-123.65940022805869</x:v>
      </x:c>
      <x:c r="I1612" s="4" t="n">
        <x:f>IF(AND(ISNUMBER(G1612),G1612&gt;0),('계산 과정'!$E$56+'계산 과정'!$E$57*D1612+'계산 과정'!$E$58*E1612)/F1612,"")</x:f>
        <x:v>72.54864792508577</x:v>
      </x:c>
      <x:c r="J1612" s="4" t="n">
        <x:f>IF('계산 과정'!$L$5,'계산 과정'!$D$6+'계산 과정'!$C$35*D1612+'계산 과정'!$D$35*E1612,"")</x:f>
        <x:v>736.7700391929563</x:v>
      </x:c>
      <x:c r="K1612" s="4" t="n">
        <x:f>IF(AND('계산 과정'!$L$6,J1612&gt;0),'계산 과정'!$D$10*('계산 과정'!$C$38*(D1612-'계산 과정'!$C$32)+'계산 과정'!$D$38*(E1612-'계산 과정'!$D$32)-'계산 과정'!$E$38*'계산 과정'!$E$32)/J1612,"")</x:f>
        <x:v>-0.9421668588804466</x:v>
      </x:c>
      <x:c r="L1612" s="4" t="n">
        <x:f>IF(AND('계산 과정'!$L$6,J1612&gt;0),'계산 과정'!$D$10*('계산 과정'!$C$39*(D1612-'계산 과정'!$C$32)+'계산 과정'!$D$39*(E1612-'계산 과정'!$D$32)-'계산 과정'!$E$39*'계산 과정'!$E$32)/J1612,"")</x:f>
        <x:v>0.5527516032387487</x:v>
      </x:c>
      <x:c r="M1612" s="17" t="n">
        <x:f>IF('계산 과정'!$L$6,IF(J1612&lt;=0,0,IF(AND(ABS(K1612)&lt;='계산 과정'!$D$11/2,ABS(L1612)&lt;='계산 과정'!$D$12/2),1,0)),"")</x:f>
        <x:v>1</x:v>
      </x:c>
      <x:c r="N1612" s="17" t="n">
        <x:f>IF('계산 과정'!$C$78,IF(AND(ISNUMBER(H1612),ISNUMBER(I1612),ABS(H1612-'계산 과정'!$C$88)&lt;='계산 과정'!$D$23/2,ABS(I1612-'계산 과정'!$C$89)&lt;='계산 과정'!$D$24/2),1,0),"")</x:f>
        <x:v>1</x:v>
      </x:c>
      <x:c r="O1612" s="4" t="n">
        <x:f>IF('계산 과정'!$L$7,'계산 과정'!$C$49*('계산 과정'!$C$32-D1612)+'계산 과정'!$D$49*('계산 과정'!$D$32-E1612)+'계산 과정'!$E$49*'계산 과정'!$E$32,"")</x:f>
        <x:v>-86.77003919295623</x:v>
      </x:c>
      <x:c r="P1612" s="4" t="n">
        <x:f>IF(AND('계산 과정'!$L$7,O1612&lt;&gt;0),('계산 과정'!$L$23-'계산 과정'!$C$49*D1612-'계산 과정'!$D$49*E1612)/O1612,"")</x:f>
        <x:v>-3.609886127981268</x:v>
      </x:c>
      <x:c r="Q1612" s="4" t="str">
        <x:f>IF(AND(ISNUMBER(P1612),P1612&gt;1E-9,P1612&lt;1-1E-9),'계산 과정'!$C$47*(D1612-'계산 과정'!$C$50+P1612*('계산 과정'!$C$32-D1612))+'계산 과정'!$D$47*(E1612-'계산 과정'!$D$50+P1612*('계산 과정'!$D$32-E1612))+'계산 과정'!$E$47*(0-'계산 과정'!$E$50+P1612*('계산 과정'!$E$32-0)),"")</x:f>
      </x:c>
      <x:c r="R1612" s="4" t="str">
        <x:f>IF(AND(ISNUMBER(P1612),P1612&gt;1E-9,P1612&lt;1-1E-9),'계산 과정'!$C$48*(D1612-'계산 과정'!$C$50+P1612*('계산 과정'!$C$32-D1612))+'계산 과정'!$D$48*(E1612-'계산 과정'!$D$50+P1612*('계산 과정'!$D$32-E1612))+'계산 과정'!$E$48*(0-'계산 과정'!$E$50+P1612*('계산 과정'!$E$32-0)),"")</x:f>
      </x:c>
      <x:c r="S1612" s="17" t="n">
        <x:f>IF('계산 과정'!$C$78,IF(AND(ISNUMBER(Q1612),ISNUMBER(R1612),ABS(Q1612-'계산 과정'!$C$88)&lt;='계산 과정'!$D$23/2,ABS(R1612-'계산 과정'!$C$89)&lt;='계산 과정'!$D$24/2),1,0),"")</x:f>
        <x:v>0</x:v>
      </x:c>
      <x:c r="T1612" s="4"/>
      <x:c r="U1612" s="4"/>
      <x:c r="V1612" s="4"/>
      <x:c r="W1612" s="4"/>
      <x:c r="X1612" s="4"/>
      <x:c r="Y1612" s="4"/>
      <x:c r="Z1612" s="4"/>
    </x:row>
    <x:row r="1613" ht="23" customHeight="1">
      <x:c r="A1613" s="17" t="n">
        <x:f>ROW()-6</x:f>
        <x:v>1607</x:v>
      </x:c>
      <x:c r="B1613" s="4" t="n">
        <x:f>IF('계산 과정'!$L$5,'계산 과정'!$L$11*SQRT((A1613+0.5)/'계산 과정'!$L$30),"")</x:f>
        <x:v>132.89289845938907</x:v>
      </x:c>
      <x:c r="C1613" s="4" t="n">
        <x:f>A1613*PI()*(3-SQRT(5))</x:f>
        <x:v>3856.740910173945</x:v>
      </x:c>
      <x:c r="D1613" s="4" t="n">
        <x:f>IF('계산 과정'!$L$5,B1613*COS(C1613),"")</x:f>
        <x:v>56.11425198926519</x:v>
      </x:c>
      <x:c r="E1613" s="4" t="n">
        <x:f>IF('계산 과정'!$L$5,B1613*SIN(C1613),"")</x:f>
        <x:v>-120.46457232158649</x:v>
      </x:c>
      <x:c r="F1613" s="4" t="n">
        <x:f>IF('계산 과정'!$L$7,'계산 과정'!$L$22+'계산 과정'!$C$49*D1613+'계산 과정'!$D$49*E1613,"")</x:f>
        <x:v>610.3212318971798</x:v>
      </x:c>
      <x:c r="G1613" s="4" t="n">
        <x:f>IF('계산 과정'!$L$7,IF(ABS(F1613)&gt;=1E-12*MAX(1,SQRT((D1613-'계산 과정'!$C$33)^2+(E1613-'계산 과정'!$D$33)^2+'계산 과정'!$E$33^2)),('계산 과정'!$L$23-'계산 과정'!$C$49*D1613-'계산 과정'!$D$49*E1613)/F1613,""),"")</x:f>
        <x:v>0.7204054932450594</x:v>
      </x:c>
      <x:c r="H1613" s="4" t="n">
        <x:f>IF(AND(ISNUMBER(G1613),G1613&gt;0),('계산 과정'!$D$56+'계산 과정'!$D$57*D1613+'계산 과정'!$D$58*E1613)/F1613,"")</x:f>
        <x:v>68.26357060928851</x:v>
      </x:c>
      <x:c r="I1613" s="4" t="n">
        <x:f>IF(AND(ISNUMBER(G1613),G1613&gt;0),('계산 과정'!$E$56+'계산 과정'!$E$57*D1613+'계산 과정'!$E$58*E1613)/F1613,"")</x:f>
        <x:v>-207.24791196347417</x:v>
      </x:c>
      <x:c r="J1613" s="4" t="n">
        <x:f>IF('계산 과정'!$L$5,'계산 과정'!$D$6+'계산 과정'!$C$35*D1613+'계산 과정'!$D$35*E1613,"")</x:f>
        <x:v>610.3212318971798</x:v>
      </x:c>
      <x:c r="K1613" s="4" t="n">
        <x:f>IF(AND('계산 과정'!$L$6,J1613&gt;0),'계산 과정'!$D$10*('계산 과정'!$C$38*(D1613-'계산 과정'!$C$32)+'계산 과정'!$D$38*(E1613-'계산 과정'!$D$32)-'계산 과정'!$E$38*'계산 과정'!$E$32)/J1613,"")</x:f>
        <x:v>0.5201033951183893</x:v>
      </x:c>
      <x:c r="L1613" s="4" t="n">
        <x:f>IF(AND('계산 과정'!$L$6,J1613&gt;0),'계산 과정'!$D$10*('계산 과정'!$C$39*(D1613-'계산 과정'!$C$32)+'계산 과정'!$D$39*(E1613-'계산 과정'!$D$32)-'계산 과정'!$E$39*'계산 과정'!$E$32)/J1613,"")</x:f>
        <x:v>-1.5790317101978983</x:v>
      </x:c>
      <x:c r="M1613" s="17" t="n">
        <x:f>IF('계산 과정'!$L$6,IF(J1613&lt;=0,0,IF(AND(ABS(K1613)&lt;='계산 과정'!$D$11/2,ABS(L1613)&lt;='계산 과정'!$D$12/2),1,0)),"")</x:f>
        <x:v>1</x:v>
      </x:c>
      <x:c r="N1613" s="17" t="n">
        <x:f>IF('계산 과정'!$C$78,IF(AND(ISNUMBER(H1613),ISNUMBER(I1613),ABS(H1613-'계산 과정'!$C$88)&lt;='계산 과정'!$D$23/2,ABS(I1613-'계산 과정'!$C$89)&lt;='계산 과정'!$D$24/2),1,0),"")</x:f>
        <x:v>1</x:v>
      </x:c>
      <x:c r="O1613" s="4" t="n">
        <x:f>IF('계산 과정'!$L$7,'계산 과정'!$C$49*('계산 과정'!$C$32-D1613)+'계산 과정'!$D$49*('계산 과정'!$D$32-E1613)+'계산 과정'!$E$49*'계산 과정'!$E$32,"")</x:f>
        <x:v>39.67876810282024</x:v>
      </x:c>
      <x:c r="P1613" s="4" t="n">
        <x:f>IF(AND('계산 과정'!$L$7,O1613&lt;&gt;0),('계산 과정'!$L$23-'계산 과정'!$C$49*D1613-'계산 과정'!$D$49*E1613)/O1613,"")</x:f>
        <x:v>11.080958132658587</x:v>
      </x:c>
      <x:c r="Q1613" s="4" t="str">
        <x:f>IF(AND(ISNUMBER(P1613),P1613&gt;1E-9,P1613&lt;1-1E-9),'계산 과정'!$C$47*(D1613-'계산 과정'!$C$50+P1613*('계산 과정'!$C$32-D1613))+'계산 과정'!$D$47*(E1613-'계산 과정'!$D$50+P1613*('계산 과정'!$D$32-E1613))+'계산 과정'!$E$47*(0-'계산 과정'!$E$50+P1613*('계산 과정'!$E$32-0)),"")</x:f>
      </x:c>
      <x:c r="R1613" s="4" t="str">
        <x:f>IF(AND(ISNUMBER(P1613),P1613&gt;1E-9,P1613&lt;1-1E-9),'계산 과정'!$C$48*(D1613-'계산 과정'!$C$50+P1613*('계산 과정'!$C$32-D1613))+'계산 과정'!$D$48*(E1613-'계산 과정'!$D$50+P1613*('계산 과정'!$D$32-E1613))+'계산 과정'!$E$48*(0-'계산 과정'!$E$50+P1613*('계산 과정'!$E$32-0)),"")</x:f>
      </x:c>
      <x:c r="S1613" s="17" t="n">
        <x:f>IF('계산 과정'!$C$78,IF(AND(ISNUMBER(Q1613),ISNUMBER(R1613),ABS(Q1613-'계산 과정'!$C$88)&lt;='계산 과정'!$D$23/2,ABS(R1613-'계산 과정'!$C$89)&lt;='계산 과정'!$D$24/2),1,0),"")</x:f>
        <x:v>0</x:v>
      </x:c>
      <x:c r="T1613" s="4"/>
      <x:c r="U1613" s="4"/>
      <x:c r="V1613" s="4"/>
      <x:c r="W1613" s="4"/>
      <x:c r="X1613" s="4"/>
      <x:c r="Y1613" s="4"/>
      <x:c r="Z1613" s="4"/>
    </x:row>
    <x:row r="1614" ht="23" customHeight="1">
      <x:c r="A1614" s="17" t="n">
        <x:f>ROW()-6</x:f>
        <x:v>1608</x:v>
      </x:c>
      <x:c r="B1614" s="4" t="n">
        <x:f>IF('계산 과정'!$L$5,'계산 과정'!$L$11*SQRT((A1614+0.5)/'계산 과정'!$L$30),"")</x:f>
        <x:v>132.9342273045678</x:v>
      </x:c>
      <x:c r="C1614" s="4" t="n">
        <x:f>A1614*PI()*(3-SQRT(5))</x:f>
        <x:v>3859.140873403674</x:v>
      </x:c>
      <x:c r="D1614" s="4" t="n">
        <x:f>IF('계산 과정'!$L$5,B1614*COS(C1614),"")</x:f>
        <x:v>40.00818479444533</x:v>
      </x:c>
      <x:c r="E1614" s="4" t="n">
        <x:f>IF('계산 과정'!$L$5,B1614*SIN(C1614),"")</x:f>
        <x:v>126.7708718062474</x:v>
      </x:c>
      <x:c r="F1614" s="4" t="n">
        <x:f>IF('계산 과정'!$L$7,'계산 과정'!$L$22+'계산 과정'!$C$49*D1614+'계산 과정'!$D$49*E1614,"")</x:f>
        <x:v>621.7099412288832</x:v>
      </x:c>
      <x:c r="G1614" s="4" t="n">
        <x:f>IF('계산 과정'!$L$7,IF(ABS(F1614)&gt;=1E-12*MAX(1,SQRT((D1614-'계산 과정'!$C$33)^2+(E1614-'계산 과정'!$D$33)^2+'계산 과정'!$E$33^2)),('계산 과정'!$L$23-'계산 과정'!$C$49*D1614-'계산 과정'!$D$49*E1614)/F1614,""),"")</x:f>
        <x:v>0.6888904782904886</x:v>
      </x:c>
      <x:c r="H1614" s="4" t="n">
        <x:f>IF(AND(ISNUMBER(G1614),G1614&gt;0),('계산 과정'!$D$56+'계산 과정'!$D$57*D1614+'계산 과정'!$D$58*E1614)/F1614,"")</x:f>
        <x:v>47.7788108888174</x:v>
      </x:c>
      <x:c r="I1614" s="4" t="n">
        <x:f>IF(AND(ISNUMBER(G1614),G1614&gt;0),('계산 과정'!$E$56+'계산 과정'!$E$57*D1614+'계산 과정'!$E$58*E1614)/F1614,"")</x:f>
        <x:v>214.1021183181554</x:v>
      </x:c>
      <x:c r="J1614" s="4" t="n">
        <x:f>IF('계산 과정'!$L$5,'계산 과정'!$D$6+'계산 과정'!$C$35*D1614+'계산 과정'!$D$35*E1614,"")</x:f>
        <x:v>621.7099412288832</x:v>
      </x:c>
      <x:c r="K1614" s="4" t="n">
        <x:f>IF(AND('계산 과정'!$L$6,J1614&gt;0),'계산 과정'!$D$10*('계산 과정'!$C$38*(D1614-'계산 과정'!$C$32)+'계산 과정'!$D$38*(E1614-'계산 과정'!$D$32)-'계산 과정'!$E$38*'계산 과정'!$E$32)/J1614,"")</x:f>
        <x:v>0.3640290353433717</x:v>
      </x:c>
      <x:c r="L1614" s="4" t="n">
        <x:f>IF(AND('계산 과정'!$L$6,J1614&gt;0),'계산 과정'!$D$10*('계산 과정'!$C$39*(D1614-'계산 과정'!$C$32)+'계산 과정'!$D$39*(E1614-'계산 과정'!$D$32)-'계산 과정'!$E$39*'계산 과정'!$E$32)/J1614,"")</x:f>
        <x:v>1.6312542348049934</x:v>
      </x:c>
      <x:c r="M1614" s="17" t="n">
        <x:f>IF('계산 과정'!$L$6,IF(J1614&lt;=0,0,IF(AND(ABS(K1614)&lt;='계산 과정'!$D$11/2,ABS(L1614)&lt;='계산 과정'!$D$12/2),1,0)),"")</x:f>
        <x:v>1</x:v>
      </x:c>
      <x:c r="N1614" s="17" t="n">
        <x:f>IF('계산 과정'!$C$78,IF(AND(ISNUMBER(H1614),ISNUMBER(I1614),ABS(H1614-'계산 과정'!$C$88)&lt;='계산 과정'!$D$23/2,ABS(I1614-'계산 과정'!$C$89)&lt;='계산 과정'!$D$24/2),1,0),"")</x:f>
        <x:v>1</x:v>
      </x:c>
      <x:c r="O1614" s="4" t="n">
        <x:f>IF('계산 과정'!$L$7,'계산 과정'!$C$49*('계산 과정'!$C$32-D1614)+'계산 과정'!$D$49*('계산 과정'!$D$32-E1614)+'계산 과정'!$E$49*'계산 과정'!$E$32,"")</x:f>
        <x:v>28.290058771116946</x:v>
      </x:c>
      <x:c r="P1614" s="4" t="n">
        <x:f>IF(AND('계산 과정'!$L$7,O1614&lt;&gt;0),('계산 과정'!$L$23-'계산 과정'!$C$49*D1614-'계산 과정'!$D$49*E1614)/O1614,"")</x:f>
        <x:v>15.139242453903432</x:v>
      </x:c>
      <x:c r="Q1614" s="4" t="str">
        <x:f>IF(AND(ISNUMBER(P1614),P1614&gt;1E-9,P1614&lt;1-1E-9),'계산 과정'!$C$47*(D1614-'계산 과정'!$C$50+P1614*('계산 과정'!$C$32-D1614))+'계산 과정'!$D$47*(E1614-'계산 과정'!$D$50+P1614*('계산 과정'!$D$32-E1614))+'계산 과정'!$E$47*(0-'계산 과정'!$E$50+P1614*('계산 과정'!$E$32-0)),"")</x:f>
      </x:c>
      <x:c r="R1614" s="4" t="str">
        <x:f>IF(AND(ISNUMBER(P1614),P1614&gt;1E-9,P1614&lt;1-1E-9),'계산 과정'!$C$48*(D1614-'계산 과정'!$C$50+P1614*('계산 과정'!$C$32-D1614))+'계산 과정'!$D$48*(E1614-'계산 과정'!$D$50+P1614*('계산 과정'!$D$32-E1614))+'계산 과정'!$E$48*(0-'계산 과정'!$E$50+P1614*('계산 과정'!$E$32-0)),"")</x:f>
      </x:c>
      <x:c r="S1614" s="17" t="n">
        <x:f>IF('계산 과정'!$C$78,IF(AND(ISNUMBER(Q1614),ISNUMBER(R1614),ABS(Q1614-'계산 과정'!$C$88)&lt;='계산 과정'!$D$23/2,ABS(R1614-'계산 과정'!$C$89)&lt;='계산 과정'!$D$24/2),1,0),"")</x:f>
        <x:v>0</x:v>
      </x:c>
      <x:c r="T1614" s="4"/>
      <x:c r="U1614" s="4"/>
      <x:c r="V1614" s="4"/>
      <x:c r="W1614" s="4"/>
      <x:c r="X1614" s="4"/>
      <x:c r="Y1614" s="4"/>
      <x:c r="Z1614" s="4"/>
    </x:row>
    <x:row r="1615" ht="23" customHeight="1">
      <x:c r="A1615" s="17" t="n">
        <x:f>ROW()-6</x:f>
        <x:v>1609</x:v>
      </x:c>
      <x:c r="B1615" s="4" t="n">
        <x:f>IF('계산 과정'!$L$5,'계산 과정'!$L$11*SQRT((A1615+0.5)/'계산 과정'!$L$30),"")</x:f>
        <x:v>132.97554330472764</x:v>
      </x:c>
      <x:c r="C1615" s="4" t="n">
        <x:f>A1615*PI()*(3-SQRT(5))</x:f>
        <x:v>3861.5408366334023</x:v>
      </x:c>
      <x:c r="D1615" s="4" t="n">
        <x:f>IF('계산 과정'!$L$5,B1615*COS(C1615),"")</x:f>
        <x:v>-115.16906729731599</x:v>
      </x:c>
      <x:c r="E1615" s="4" t="n">
        <x:f>IF('계산 과정'!$L$5,B1615*SIN(C1615),"")</x:f>
        <x:v>-66.47240822366673</x:v>
      </x:c>
      <x:c r="F1615" s="4" t="n">
        <x:f>IF('계산 과정'!$L$7,'계산 과정'!$L$22+'계산 과정'!$C$49*D1615+'계산 과정'!$D$49*E1615,"")</x:f>
        <x:v>731.436828468862</x:v>
      </x:c>
      <x:c r="G1615" s="4" t="n">
        <x:f>IF('계산 과정'!$L$7,IF(ABS(F1615)&gt;=1E-12*MAX(1,SQRT((D1615-'계산 과정'!$C$33)^2+(E1615-'계산 과정'!$D$33)^2+'계산 과정'!$E$33^2)),('계산 과정'!$L$23-'계산 과정'!$C$49*D1615-'계산 과정'!$D$49*E1615)/F1615,""),"")</x:f>
        <x:v>0.43553066940585367</x:v>
      </x:c>
      <x:c r="H1615" s="4" t="n">
        <x:f>IF(AND(ISNUMBER(G1615),G1615&gt;0),('계산 과정'!$D$56+'계산 과정'!$D$57*D1615+'계산 과정'!$D$58*E1615)/F1615,"")</x:f>
        <x:v>-116.90506488619525</x:v>
      </x:c>
      <x:c r="I1615" s="4" t="n">
        <x:f>IF(AND(ISNUMBER(G1615),G1615&gt;0),('계산 과정'!$E$56+'계산 과정'!$E$57*D1615+'계산 과정'!$E$58*E1615)/F1615,"")</x:f>
        <x:v>-95.42318067433946</x:v>
      </x:c>
      <x:c r="J1615" s="4" t="n">
        <x:f>IF('계산 과정'!$L$5,'계산 과정'!$D$6+'계산 과정'!$C$35*D1615+'계산 과정'!$D$35*E1615,"")</x:f>
        <x:v>731.436828468862</x:v>
      </x:c>
      <x:c r="K1615" s="4" t="n">
        <x:f>IF(AND('계산 과정'!$L$6,J1615&gt;0),'계산 과정'!$D$10*('계산 과정'!$C$38*(D1615-'계산 과정'!$C$32)+'계산 과정'!$D$38*(E1615-'계산 과정'!$D$32)-'계산 과정'!$E$38*'계산 과정'!$E$32)/J1615,"")</x:f>
        <x:v>-0.8907052562757727</x:v>
      </x:c>
      <x:c r="L1615" s="4" t="n">
        <x:f>IF(AND('계산 과정'!$L$6,J1615&gt;0),'계산 과정'!$D$10*('계산 과정'!$C$39*(D1615-'계산 과정'!$C$32)+'계산 과정'!$D$39*(E1615-'계산 과정'!$D$32)-'계산 과정'!$E$39*'계산 과정'!$E$32)/J1615,"")</x:f>
        <x:v>-0.727033757518777</x:v>
      </x:c>
      <x:c r="M1615" s="17" t="n">
        <x:f>IF('계산 과정'!$L$6,IF(J1615&lt;=0,0,IF(AND(ABS(K1615)&lt;='계산 과정'!$D$11/2,ABS(L1615)&lt;='계산 과정'!$D$12/2),1,0)),"")</x:f>
        <x:v>1</x:v>
      </x:c>
      <x:c r="N1615" s="17" t="n">
        <x:f>IF('계산 과정'!$C$78,IF(AND(ISNUMBER(H1615),ISNUMBER(I1615),ABS(H1615-'계산 과정'!$C$88)&lt;='계산 과정'!$D$23/2,ABS(I1615-'계산 과정'!$C$89)&lt;='계산 과정'!$D$24/2),1,0),"")</x:f>
        <x:v>1</x:v>
      </x:c>
      <x:c r="O1615" s="4" t="n">
        <x:f>IF('계산 과정'!$L$7,'계산 과정'!$C$49*('계산 과정'!$C$32-D1615)+'계산 과정'!$D$49*('계산 과정'!$D$32-E1615)+'계산 과정'!$E$49*'계산 과정'!$E$32,"")</x:f>
        <x:v>-81.4368284688619</x:v>
      </x:c>
      <x:c r="P1615" s="4" t="n">
        <x:f>IF(AND('계산 과정'!$L$7,O1615&lt;&gt;0),('계산 과정'!$L$23-'계산 과정'!$C$49*D1615-'계산 과정'!$D$49*E1615)/O1615,"")</x:f>
        <x:v>-3.9117826359476107</x:v>
      </x:c>
      <x:c r="Q1615" s="4" t="str">
        <x:f>IF(AND(ISNUMBER(P1615),P1615&gt;1E-9,P1615&lt;1-1E-9),'계산 과정'!$C$47*(D1615-'계산 과정'!$C$50+P1615*('계산 과정'!$C$32-D1615))+'계산 과정'!$D$47*(E1615-'계산 과정'!$D$50+P1615*('계산 과정'!$D$32-E1615))+'계산 과정'!$E$47*(0-'계산 과정'!$E$50+P1615*('계산 과정'!$E$32-0)),"")</x:f>
      </x:c>
      <x:c r="R1615" s="4" t="str">
        <x:f>IF(AND(ISNUMBER(P1615),P1615&gt;1E-9,P1615&lt;1-1E-9),'계산 과정'!$C$48*(D1615-'계산 과정'!$C$50+P1615*('계산 과정'!$C$32-D1615))+'계산 과정'!$D$48*(E1615-'계산 과정'!$D$50+P1615*('계산 과정'!$D$32-E1615))+'계산 과정'!$E$48*(0-'계산 과정'!$E$50+P1615*('계산 과정'!$E$32-0)),"")</x:f>
      </x:c>
      <x:c r="S1615" s="17" t="n">
        <x:f>IF('계산 과정'!$C$78,IF(AND(ISNUMBER(Q1615),ISNUMBER(R1615),ABS(Q1615-'계산 과정'!$C$88)&lt;='계산 과정'!$D$23/2,ABS(R1615-'계산 과정'!$C$89)&lt;='계산 과정'!$D$24/2),1,0),"")</x:f>
        <x:v>0</x:v>
      </x:c>
      <x:c r="T1615" s="4"/>
      <x:c r="U1615" s="4"/>
      <x:c r="V1615" s="4"/>
      <x:c r="W1615" s="4"/>
      <x:c r="X1615" s="4"/>
      <x:c r="Y1615" s="4"/>
      <x:c r="Z1615" s="4"/>
    </x:row>
    <x:row r="1616" ht="23" customHeight="1">
      <x:c r="A1616" s="17" t="n">
        <x:f>ROW()-6</x:f>
        <x:v>1610</x:v>
      </x:c>
      <x:c r="B1616" s="4" t="n">
        <x:f>IF('계산 과정'!$L$5,'계산 과정'!$L$11*SQRT((A1616+0.5)/'계산 과정'!$L$30),"")</x:f>
        <x:v>133.0168464718379</x:v>
      </x:c>
      <x:c r="C1616" s="4" t="n">
        <x:f>A1616*PI()*(3-SQRT(5))</x:f>
        <x:v>3863.940799863131</x:v>
      </x:c>
      <x:c r="D1616" s="4" t="n">
        <x:f>IF('계산 과정'!$L$5,B1616*COS(C1616),"")</x:f>
        <x:v>129.86387666956696</x:v>
      </x:c>
      <x:c r="E1616" s="4" t="n">
        <x:f>IF('계산 과정'!$L$5,B1616*SIN(C1616),"")</x:f>
        <x:v>-28.789841640134085</x:v>
      </x:c>
      <x:c r="F1616" s="4" t="n">
        <x:f>IF('계산 과정'!$L$7,'계산 과정'!$L$22+'계산 과정'!$C$49*D1616+'계산 과정'!$D$49*E1616,"")</x:f>
        <x:v>558.1723721757758</x:v>
      </x:c>
      <x:c r="G1616" s="4" t="n">
        <x:f>IF('계산 과정'!$L$7,IF(ABS(F1616)&gt;=1E-12*MAX(1,SQRT((D1616-'계산 과정'!$C$33)^2+(E1616-'계산 과정'!$D$33)^2+'계산 과정'!$E$33^2)),('계산 과정'!$L$23-'계산 과정'!$C$49*D1616-'계산 과정'!$D$49*E1616)/F1616,""),"")</x:f>
        <x:v>0.8811393260240786</x:v>
      </x:c>
      <x:c r="H1616" s="4" t="n">
        <x:f>IF(AND(ISNUMBER(G1616),G1616&gt;0),('계산 과정'!$D$56+'계산 과정'!$D$57*D1616+'계산 과정'!$D$58*E1616)/F1616,"")</x:f>
        <x:v>172.7405619156511</x:v>
      </x:c>
      <x:c r="I1616" s="4" t="n">
        <x:f>IF(AND(ISNUMBER(G1616),G1616&gt;0),('계산 과정'!$E$56+'계산 과정'!$E$57*D1616+'계산 과정'!$E$58*E1616)/F1616,"")</x:f>
        <x:v>-54.15770329926179</x:v>
      </x:c>
      <x:c r="J1616" s="4" t="n">
        <x:f>IF('계산 과정'!$L$5,'계산 과정'!$D$6+'계산 과정'!$C$35*D1616+'계산 과정'!$D$35*E1616,"")</x:f>
        <x:v>558.1723721757758</x:v>
      </x:c>
      <x:c r="K1616" s="4" t="n">
        <x:f>IF(AND('계산 과정'!$L$6,J1616&gt;0),'계산 과정'!$D$10*('계산 과정'!$C$38*(D1616-'계산 과정'!$C$32)+'계산 과정'!$D$38*(E1616-'계산 과정'!$D$32)-'계산 과정'!$E$38*'계산 과정'!$E$32)/J1616,"")</x:f>
        <x:v>1.3161185669763897</x:v>
      </x:c>
      <x:c r="L1616" s="4" t="n">
        <x:f>IF(AND('계산 과정'!$L$6,J1616&gt;0),'계산 과정'!$D$10*('계산 과정'!$C$39*(D1616-'계산 과정'!$C$32)+'계산 과정'!$D$39*(E1616-'계산 과정'!$D$32)-'계산 과정'!$E$39*'계산 과정'!$E$32)/J1616,"")</x:f>
        <x:v>-0.4126301203753279</x:v>
      </x:c>
      <x:c r="M1616" s="17" t="n">
        <x:f>IF('계산 과정'!$L$6,IF(J1616&lt;=0,0,IF(AND(ABS(K1616)&lt;='계산 과정'!$D$11/2,ABS(L1616)&lt;='계산 과정'!$D$12/2),1,0)),"")</x:f>
        <x:v>1</x:v>
      </x:c>
      <x:c r="N1616" s="17" t="n">
        <x:f>IF('계산 과정'!$C$78,IF(AND(ISNUMBER(H1616),ISNUMBER(I1616),ABS(H1616-'계산 과정'!$C$88)&lt;='계산 과정'!$D$23/2,ABS(I1616-'계산 과정'!$C$89)&lt;='계산 과정'!$D$24/2),1,0),"")</x:f>
        <x:v>1</x:v>
      </x:c>
      <x:c r="O1616" s="4" t="n">
        <x:f>IF('계산 과정'!$L$7,'계산 과정'!$C$49*('계산 과정'!$C$32-D1616)+'계산 과정'!$D$49*('계산 과정'!$D$32-E1616)+'계산 과정'!$E$49*'계산 과정'!$E$32,"")</x:f>
        <x:v>91.82762782422438</x:v>
      </x:c>
      <x:c r="P1616" s="4" t="n">
        <x:f>IF(AND('계산 과정'!$L$7,O1616&lt;&gt;0),('계산 과정'!$L$23-'계산 과정'!$C$49*D1616-'계산 과정'!$D$49*E1616)/O1616,"")</x:f>
        <x:v>5.355987511358523</x:v>
      </x:c>
      <x:c r="Q1616" s="4" t="str">
        <x:f>IF(AND(ISNUMBER(P1616),P1616&gt;1E-9,P1616&lt;1-1E-9),'계산 과정'!$C$47*(D1616-'계산 과정'!$C$50+P1616*('계산 과정'!$C$32-D1616))+'계산 과정'!$D$47*(E1616-'계산 과정'!$D$50+P1616*('계산 과정'!$D$32-E1616))+'계산 과정'!$E$47*(0-'계산 과정'!$E$50+P1616*('계산 과정'!$E$32-0)),"")</x:f>
      </x:c>
      <x:c r="R1616" s="4" t="str">
        <x:f>IF(AND(ISNUMBER(P1616),P1616&gt;1E-9,P1616&lt;1-1E-9),'계산 과정'!$C$48*(D1616-'계산 과정'!$C$50+P1616*('계산 과정'!$C$32-D1616))+'계산 과정'!$D$48*(E1616-'계산 과정'!$D$50+P1616*('계산 과정'!$D$32-E1616))+'계산 과정'!$E$48*(0-'계산 과정'!$E$50+P1616*('계산 과정'!$E$32-0)),"")</x:f>
      </x:c>
      <x:c r="S1616" s="17" t="n">
        <x:f>IF('계산 과정'!$C$78,IF(AND(ISNUMBER(Q1616),ISNUMBER(R1616),ABS(Q1616-'계산 과정'!$C$88)&lt;='계산 과정'!$D$23/2,ABS(R1616-'계산 과정'!$C$89)&lt;='계산 과정'!$D$24/2),1,0),"")</x:f>
        <x:v>0</x:v>
      </x:c>
      <x:c r="T1616" s="4"/>
      <x:c r="U1616" s="4"/>
      <x:c r="V1616" s="4"/>
      <x:c r="W1616" s="4"/>
      <x:c r="X1616" s="4"/>
      <x:c r="Y1616" s="4"/>
      <x:c r="Z1616" s="4"/>
    </x:row>
    <x:row r="1617" ht="23" customHeight="1">
      <x:c r="A1617" s="17" t="n">
        <x:f>ROW()-6</x:f>
        <x:v>1611</x:v>
      </x:c>
      <x:c r="B1617" s="4" t="n">
        <x:f>IF('계산 과정'!$L$5,'계산 과정'!$L$11*SQRT((A1617+0.5)/'계산 과정'!$L$30),"")</x:f>
        <x:v>133.0581368178493</x:v>
      </x:c>
      <x:c r="C1617" s="4" t="n">
        <x:f>A1617*PI()*(3-SQRT(5))</x:f>
        <x:v>3866.34076309286</x:v>
      </x:c>
      <x:c r="D1617" s="4" t="n">
        <x:f>IF('계산 과정'!$L$5,B1617*COS(C1617),"")</x:f>
        <x:v>-76.33401026532421</x:v>
      </x:c>
      <x:c r="E1617" s="4" t="n">
        <x:f>IF('계산 과정'!$L$5,B1617*SIN(C1617),"")</x:f>
        <x:v>108.98434130759739</x:v>
      </x:c>
      <x:c r="F1617" s="4" t="n">
        <x:f>IF('계산 과정'!$L$7,'계산 과정'!$L$22+'계산 과정'!$C$49*D1617+'계산 과정'!$D$49*E1617,"")</x:f>
        <x:v>703.9762962937742</x:v>
      </x:c>
      <x:c r="G1617" s="4" t="n">
        <x:f>IF('계산 과정'!$L$7,IF(ABS(F1617)&gt;=1E-12*MAX(1,SQRT((D1617-'계산 과정'!$C$33)^2+(E1617-'계산 과정'!$D$33)^2+'계산 과정'!$E$33^2)),('계산 과정'!$L$23-'계산 과정'!$C$49*D1617-'계산 과정'!$D$49*E1617)/F1617,""),"")</x:f>
        <x:v>0.49152749251350875</x:v>
      </x:c>
      <x:c r="H1617" s="4" t="n">
        <x:f>IF(AND(ISNUMBER(G1617),G1617&gt;0),('계산 과정'!$D$56+'계산 과정'!$D$57*D1617+'계산 과정'!$D$58*E1617)/F1617,"")</x:f>
        <x:v>-80.50712986621947</x:v>
      </x:c>
      <x:c r="I1617" s="4" t="n">
        <x:f>IF(AND(ISNUMBER(G1617),G1617&gt;0),('계산 과정'!$E$56+'계산 과정'!$E$57*D1617+'계산 과정'!$E$58*E1617)/F1617,"")</x:f>
        <x:v>162.55314131375715</x:v>
      </x:c>
      <x:c r="J1617" s="4" t="n">
        <x:f>IF('계산 과정'!$L$5,'계산 과정'!$D$6+'계산 과정'!$C$35*D1617+'계산 과정'!$D$35*E1617,"")</x:f>
        <x:v>703.9762962937742</x:v>
      </x:c>
      <x:c r="K1617" s="4" t="n">
        <x:f>IF(AND('계산 과정'!$L$6,J1617&gt;0),'계산 과정'!$D$10*('계산 과정'!$C$38*(D1617-'계산 과정'!$C$32)+'계산 과정'!$D$38*(E1617-'계산 과정'!$D$32)-'계산 과정'!$E$38*'계산 과정'!$E$32)/J1617,"")</x:f>
        <x:v>-0.613387656123576</x:v>
      </x:c>
      <x:c r="L1617" s="4" t="n">
        <x:f>IF(AND('계산 과정'!$L$6,J1617&gt;0),'계산 과정'!$D$10*('계산 과정'!$C$39*(D1617-'계산 과정'!$C$32)+'계산 과정'!$D$39*(E1617-'계산 과정'!$D$32)-'계산 과정'!$E$39*'계산 과정'!$E$32)/J1617,"")</x:f>
        <x:v>1.2385001242952927</x:v>
      </x:c>
      <x:c r="M1617" s="17" t="n">
        <x:f>IF('계산 과정'!$L$6,IF(J1617&lt;=0,0,IF(AND(ABS(K1617)&lt;='계산 과정'!$D$11/2,ABS(L1617)&lt;='계산 과정'!$D$12/2),1,0)),"")</x:f>
        <x:v>1</x:v>
      </x:c>
      <x:c r="N1617" s="17" t="n">
        <x:f>IF('계산 과정'!$C$78,IF(AND(ISNUMBER(H1617),ISNUMBER(I1617),ABS(H1617-'계산 과정'!$C$88)&lt;='계산 과정'!$D$23/2,ABS(I1617-'계산 과정'!$C$89)&lt;='계산 과정'!$D$24/2),1,0),"")</x:f>
        <x:v>1</x:v>
      </x:c>
      <x:c r="O1617" s="4" t="n">
        <x:f>IF('계산 과정'!$L$7,'계산 과정'!$C$49*('계산 과정'!$C$32-D1617)+'계산 과정'!$D$49*('계산 과정'!$D$32-E1617)+'계산 과정'!$E$49*'계산 과정'!$E$32,"")</x:f>
        <x:v>-53.97629629377417</x:v>
      </x:c>
      <x:c r="P1617" s="4" t="n">
        <x:f>IF(AND('계산 과정'!$L$7,O1617&lt;&gt;0),('계산 과정'!$L$23-'계산 과정'!$C$49*D1617-'계산 과정'!$D$49*E1617)/O1617,"")</x:f>
        <x:v>-6.410660372526105</x:v>
      </x:c>
      <x:c r="Q1617" s="4" t="str">
        <x:f>IF(AND(ISNUMBER(P1617),P1617&gt;1E-9,P1617&lt;1-1E-9),'계산 과정'!$C$47*(D1617-'계산 과정'!$C$50+P1617*('계산 과정'!$C$32-D1617))+'계산 과정'!$D$47*(E1617-'계산 과정'!$D$50+P1617*('계산 과정'!$D$32-E1617))+'계산 과정'!$E$47*(0-'계산 과정'!$E$50+P1617*('계산 과정'!$E$32-0)),"")</x:f>
      </x:c>
      <x:c r="R1617" s="4" t="str">
        <x:f>IF(AND(ISNUMBER(P1617),P1617&gt;1E-9,P1617&lt;1-1E-9),'계산 과정'!$C$48*(D1617-'계산 과정'!$C$50+P1617*('계산 과정'!$C$32-D1617))+'계산 과정'!$D$48*(E1617-'계산 과정'!$D$50+P1617*('계산 과정'!$D$32-E1617))+'계산 과정'!$E$48*(0-'계산 과정'!$E$50+P1617*('계산 과정'!$E$32-0)),"")</x:f>
      </x:c>
      <x:c r="S1617" s="17" t="n">
        <x:f>IF('계산 과정'!$C$78,IF(AND(ISNUMBER(Q1617),ISNUMBER(R1617),ABS(Q1617-'계산 과정'!$C$88)&lt;='계산 과정'!$D$23/2,ABS(R1617-'계산 과정'!$C$89)&lt;='계산 과정'!$D$24/2),1,0),"")</x:f>
        <x:v>0</x:v>
      </x:c>
      <x:c r="T1617" s="4"/>
      <x:c r="U1617" s="4"/>
      <x:c r="V1617" s="4"/>
      <x:c r="W1617" s="4"/>
      <x:c r="X1617" s="4"/>
      <x:c r="Y1617" s="4"/>
      <x:c r="Z1617" s="4"/>
    </x:row>
    <x:row r="1618" ht="23" customHeight="1">
      <x:c r="A1618" s="17" t="n">
        <x:f>ROW()-6</x:f>
        <x:v>1612</x:v>
      </x:c>
      <x:c r="B1618" s="4" t="n">
        <x:f>IF('계산 과정'!$L$5,'계산 과정'!$L$11*SQRT((A1618+0.5)/'계산 과정'!$L$30),"")</x:f>
        <x:v>133.09941435469392</x:v>
      </x:c>
      <x:c r="C1618" s="4" t="n">
        <x:f>A1618*PI()*(3-SQRT(5))</x:f>
        <x:v>3868.740726322588</x:v>
      </x:c>
      <x:c r="D1618" s="4" t="n">
        <x:f>IF('계산 과정'!$L$5,B1618*COS(C1618),"")</x:f>
        <x:v>-17.336917893474176</x:v>
      </x:c>
      <x:c r="E1618" s="4" t="n">
        <x:f>IF('계산 과정'!$L$5,B1618*SIN(C1618),"")</x:f>
        <x:v>-131.9654704061537</x:v>
      </x:c>
      <x:c r="F1618" s="4" t="n">
        <x:f>IF('계산 과정'!$L$7,'계산 과정'!$L$22+'계산 과정'!$C$49*D1618+'계산 과정'!$D$49*E1618,"")</x:f>
        <x:v>662.25905220735</x:v>
      </x:c>
      <x:c r="G1618" s="4" t="n">
        <x:f>IF('계산 과정'!$L$7,IF(ABS(F1618)&gt;=1E-12*MAX(1,SQRT((D1618-'계산 과정'!$C$33)^2+(E1618-'계산 과정'!$D$33)^2+'계산 과정'!$E$33^2)),('계산 과정'!$L$23-'계산 과정'!$C$49*D1618-'계산 과정'!$D$49*E1618)/F1618,""),"")</x:f>
        <x:v>0.5854822920128998</x:v>
      </x:c>
      <x:c r="H1618" s="4" t="n">
        <x:f>IF(AND(ISNUMBER(G1618),G1618&gt;0),('계산 과정'!$D$56+'계산 과정'!$D$57*D1618+'계산 과정'!$D$58*E1618)/F1618,"")</x:f>
        <x:v>-19.43651019161517</x:v>
      </x:c>
      <x:c r="I1618" s="4" t="n">
        <x:f>IF(AND(ISNUMBER(G1618),G1618&gt;0),('계산 과정'!$E$56+'계산 과정'!$E$57*D1618+'계산 과정'!$E$58*E1618)/F1618,"")</x:f>
        <x:v>-209.2289164861091</x:v>
      </x:c>
      <x:c r="J1618" s="4" t="n">
        <x:f>IF('계산 과정'!$L$5,'계산 과정'!$D$6+'계산 과정'!$C$35*D1618+'계산 과정'!$D$35*E1618,"")</x:f>
        <x:v>662.25905220735</x:v>
      </x:c>
      <x:c r="K1618" s="4" t="n">
        <x:f>IF(AND('계산 과정'!$L$6,J1618&gt;0),'계산 과정'!$D$10*('계산 과정'!$C$38*(D1618-'계산 과정'!$C$32)+'계산 과정'!$D$38*(E1618-'계산 과정'!$D$32)-'계산 과정'!$E$38*'계산 과정'!$E$32)/J1618,"")</x:f>
        <x:v>-0.14808769669801908</x:v>
      </x:c>
      <x:c r="L1618" s="4" t="n">
        <x:f>IF(AND('계산 과정'!$L$6,J1618&gt;0),'계산 과정'!$D$10*('계산 과정'!$C$39*(D1618-'계산 과정'!$C$32)+'계산 과정'!$D$39*(E1618-'계산 과정'!$D$32)-'계산 과정'!$E$39*'계산 과정'!$E$32)/J1618,"")</x:f>
        <x:v>-1.5941250779894027</x:v>
      </x:c>
      <x:c r="M1618" s="17" t="n">
        <x:f>IF('계산 과정'!$L$6,IF(J1618&lt;=0,0,IF(AND(ABS(K1618)&lt;='계산 과정'!$D$11/2,ABS(L1618)&lt;='계산 과정'!$D$12/2),1,0)),"")</x:f>
        <x:v>1</x:v>
      </x:c>
      <x:c r="N1618" s="17" t="n">
        <x:f>IF('계산 과정'!$C$78,IF(AND(ISNUMBER(H1618),ISNUMBER(I1618),ABS(H1618-'계산 과정'!$C$88)&lt;='계산 과정'!$D$23/2,ABS(I1618-'계산 과정'!$C$89)&lt;='계산 과정'!$D$24/2),1,0),"")</x:f>
        <x:v>1</x:v>
      </x:c>
      <x:c r="O1618" s="4" t="n">
        <x:f>IF('계산 과정'!$L$7,'계산 과정'!$C$49*('계산 과정'!$C$32-D1618)+'계산 과정'!$D$49*('계산 과정'!$D$32-E1618)+'계산 과정'!$E$49*'계산 과정'!$E$32,"")</x:f>
        <x:v>-12.25905220734984</x:v>
      </x:c>
      <x:c r="P1618" s="4" t="n">
        <x:f>IF(AND('계산 과정'!$L$7,O1618&lt;&gt;0),('계산 과정'!$L$23-'계산 과정'!$C$49*D1618-'계산 과정'!$D$49*E1618)/O1618,"")</x:f>
        <x:v>-31.62894987592779</x:v>
      </x:c>
      <x:c r="Q1618" s="4" t="str">
        <x:f>IF(AND(ISNUMBER(P1618),P1618&gt;1E-9,P1618&lt;1-1E-9),'계산 과정'!$C$47*(D1618-'계산 과정'!$C$50+P1618*('계산 과정'!$C$32-D1618))+'계산 과정'!$D$47*(E1618-'계산 과정'!$D$50+P1618*('계산 과정'!$D$32-E1618))+'계산 과정'!$E$47*(0-'계산 과정'!$E$50+P1618*('계산 과정'!$E$32-0)),"")</x:f>
      </x:c>
      <x:c r="R1618" s="4" t="str">
        <x:f>IF(AND(ISNUMBER(P1618),P1618&gt;1E-9,P1618&lt;1-1E-9),'계산 과정'!$C$48*(D1618-'계산 과정'!$C$50+P1618*('계산 과정'!$C$32-D1618))+'계산 과정'!$D$48*(E1618-'계산 과정'!$D$50+P1618*('계산 과정'!$D$32-E1618))+'계산 과정'!$E$48*(0-'계산 과정'!$E$50+P1618*('계산 과정'!$E$32-0)),"")</x:f>
      </x:c>
      <x:c r="S1618" s="17" t="n">
        <x:f>IF('계산 과정'!$C$78,IF(AND(ISNUMBER(Q1618),ISNUMBER(R1618),ABS(Q1618-'계산 과정'!$C$88)&lt;='계산 과정'!$D$23/2,ABS(R1618-'계산 과정'!$C$89)&lt;='계산 과정'!$D$24/2),1,0),"")</x:f>
        <x:v>0</x:v>
      </x:c>
      <x:c r="T1618" s="4"/>
      <x:c r="U1618" s="4"/>
      <x:c r="V1618" s="4"/>
      <x:c r="W1618" s="4"/>
      <x:c r="X1618" s="4"/>
      <x:c r="Y1618" s="4"/>
      <x:c r="Z1618" s="4"/>
    </x:row>
    <x:row r="1619" ht="23" customHeight="1">
      <x:c r="A1619" s="17" t="n">
        <x:f>ROW()-6</x:f>
        <x:v>1613</x:v>
      </x:c>
      <x:c r="B1619" s="4" t="n">
        <x:f>IF('계산 과정'!$L$5,'계산 과정'!$L$11*SQRT((A1619+0.5)/'계산 과정'!$L$30),"")</x:f>
        <x:v>133.14067909428545</x:v>
      </x:c>
      <x:c r="C1619" s="4" t="n">
        <x:f>A1619*PI()*(3-SQRT(5))</x:f>
        <x:v>3871.140689552317</x:v>
      </x:c>
      <x:c r="D1619" s="4" t="n">
        <x:f>IF('계산 과정'!$L$5,B1619*COS(C1619),"")</x:f>
        <x:v>101.9566979166199</x:v>
      </x:c>
      <x:c r="E1619" s="4" t="n">
        <x:f>IF('계산 과정'!$L$5,B1619*SIN(C1619),"")</x:f>
        <x:v>85.6228484671388</x:v>
      </x:c>
      <x:c r="F1619" s="4" t="n">
        <x:f>IF('계산 과정'!$L$7,'계산 과정'!$L$22+'계산 과정'!$C$49*D1619+'계산 과정'!$D$49*E1619,"")</x:f>
        <x:v>577.9057275157697</x:v>
      </x:c>
      <x:c r="G1619" s="4" t="n">
        <x:f>IF('계산 과정'!$L$7,IF(ABS(F1619)&gt;=1E-12*MAX(1,SQRT((D1619-'계산 과정'!$C$33)^2+(E1619-'계산 과정'!$D$33)^2+'계산 과정'!$E$33^2)),('계산 과정'!$L$23-'계산 과정'!$C$49*D1619-'계산 과정'!$D$49*E1619)/F1619,""),"")</x:f>
        <x:v>0.8169053359509192</x:v>
      </x:c>
      <x:c r="H1619" s="4" t="n">
        <x:f>IF(AND(ISNUMBER(G1619),G1619&gt;0),('계산 과정'!$D$56+'계산 과정'!$D$57*D1619+'계산 과정'!$D$58*E1619)/F1619,"")</x:f>
        <x:v>130.98846836809741</x:v>
      </x:c>
      <x:c r="I1619" s="4" t="n">
        <x:f>IF(AND(ISNUMBER(G1619),G1619&gt;0),('계산 과정'!$E$56+'계산 과정'!$E$57*D1619+'계산 과정'!$E$58*E1619)/F1619,"")</x:f>
        <x:v>155.56861025926148</x:v>
      </x:c>
      <x:c r="J1619" s="4" t="n">
        <x:f>IF('계산 과정'!$L$5,'계산 과정'!$D$6+'계산 과정'!$C$35*D1619+'계산 과정'!$D$35*E1619,"")</x:f>
        <x:v>577.9057275157697</x:v>
      </x:c>
      <x:c r="K1619" s="4" t="n">
        <x:f>IF(AND('계산 과정'!$L$6,J1619&gt;0),'계산 과정'!$D$10*('계산 과정'!$C$38*(D1619-'계산 과정'!$C$32)+'계산 과정'!$D$38*(E1619-'계산 과정'!$D$32)-'계산 과정'!$E$38*'계산 과정'!$E$32)/J1619,"")</x:f>
        <x:v>0.9980073780426475</x:v>
      </x:c>
      <x:c r="L1619" s="4" t="n">
        <x:f>IF(AND('계산 과정'!$L$6,J1619&gt;0),'계산 과정'!$D$10*('계산 과정'!$C$39*(D1619-'계산 과정'!$C$32)+'계산 과정'!$D$39*(E1619-'계산 과정'!$D$32)-'계산 과정'!$E$39*'계산 과정'!$E$32)/J1619,"")</x:f>
        <x:v>1.185284649594373</x:v>
      </x:c>
      <x:c r="M1619" s="17" t="n">
        <x:f>IF('계산 과정'!$L$6,IF(J1619&lt;=0,0,IF(AND(ABS(K1619)&lt;='계산 과정'!$D$11/2,ABS(L1619)&lt;='계산 과정'!$D$12/2),1,0)),"")</x:f>
        <x:v>1</x:v>
      </x:c>
      <x:c r="N1619" s="17" t="n">
        <x:f>IF('계산 과정'!$C$78,IF(AND(ISNUMBER(H1619),ISNUMBER(I1619),ABS(H1619-'계산 과정'!$C$88)&lt;='계산 과정'!$D$23/2,ABS(I1619-'계산 과정'!$C$89)&lt;='계산 과정'!$D$24/2),1,0),"")</x:f>
        <x:v>1</x:v>
      </x:c>
      <x:c r="O1619" s="4" t="n">
        <x:f>IF('계산 과정'!$L$7,'계산 과정'!$C$49*('계산 과정'!$C$32-D1619)+'계산 과정'!$D$49*('계산 과정'!$D$32-E1619)+'계산 과정'!$E$49*'계산 과정'!$E$32,"")</x:f>
        <x:v>72.09427248423037</x:v>
      </x:c>
      <x:c r="P1619" s="4" t="n">
        <x:f>IF(AND('계산 과정'!$L$7,O1619&lt;&gt;0),('계산 과정'!$L$23-'계산 과정'!$C$49*D1619-'계산 과정'!$D$49*E1619)/O1619,"")</x:f>
        <x:v>6.548290955949301</x:v>
      </x:c>
      <x:c r="Q1619" s="4" t="str">
        <x:f>IF(AND(ISNUMBER(P1619),P1619&gt;1E-9,P1619&lt;1-1E-9),'계산 과정'!$C$47*(D1619-'계산 과정'!$C$50+P1619*('계산 과정'!$C$32-D1619))+'계산 과정'!$D$47*(E1619-'계산 과정'!$D$50+P1619*('계산 과정'!$D$32-E1619))+'계산 과정'!$E$47*(0-'계산 과정'!$E$50+P1619*('계산 과정'!$E$32-0)),"")</x:f>
      </x:c>
      <x:c r="R1619" s="4" t="str">
        <x:f>IF(AND(ISNUMBER(P1619),P1619&gt;1E-9,P1619&lt;1-1E-9),'계산 과정'!$C$48*(D1619-'계산 과정'!$C$50+P1619*('계산 과정'!$C$32-D1619))+'계산 과정'!$D$48*(E1619-'계산 과정'!$D$50+P1619*('계산 과정'!$D$32-E1619))+'계산 과정'!$E$48*(0-'계산 과정'!$E$50+P1619*('계산 과정'!$E$32-0)),"")</x:f>
      </x:c>
      <x:c r="S1619" s="17" t="n">
        <x:f>IF('계산 과정'!$C$78,IF(AND(ISNUMBER(Q1619),ISNUMBER(R1619),ABS(Q1619-'계산 과정'!$C$88)&lt;='계산 과정'!$D$23/2,ABS(R1619-'계산 과정'!$C$89)&lt;='계산 과정'!$D$24/2),1,0),"")</x:f>
        <x:v>0</x:v>
      </x:c>
      <x:c r="T1619" s="4"/>
      <x:c r="U1619" s="4"/>
      <x:c r="V1619" s="4"/>
      <x:c r="W1619" s="4"/>
      <x:c r="X1619" s="4"/>
      <x:c r="Y1619" s="4"/>
      <x:c r="Z1619" s="4"/>
    </x:row>
    <x:row r="1620" ht="23" customHeight="1">
      <x:c r="A1620" s="17" t="n">
        <x:f>ROW()-6</x:f>
        <x:v>1614</x:v>
      </x:c>
      <x:c r="B1620" s="4" t="n">
        <x:f>IF('계산 과정'!$L$5,'계산 과정'!$L$11*SQRT((A1620+0.5)/'계산 과정'!$L$30),"")</x:f>
        <x:v>133.18193104851912</x:v>
      </x:c>
      <x:c r="C1620" s="4" t="n">
        <x:f>A1620*PI()*(3-SQRT(5))</x:f>
        <x:v>3873.540652782046</x:v>
      </x:c>
      <x:c r="D1620" s="4" t="n">
        <x:f>IF('계산 과정'!$L$5,B1620*COS(C1620),"")</x:f>
        <x:v>-133.05831272645307</x:v>
      </x:c>
      <x:c r="E1620" s="4" t="n">
        <x:f>IF('계산 과정'!$L$5,B1620*SIN(C1620),"")</x:f>
        <x:v>5.736913124836292</x:v>
      </x:c>
      <x:c r="F1620" s="4" t="n">
        <x:f>IF('계산 과정'!$L$7,'계산 과정'!$L$22+'계산 과정'!$C$49*D1620+'계산 과정'!$D$49*E1620,"")</x:f>
        <x:v>744.0864352221153</x:v>
      </x:c>
      <x:c r="G1620" s="4" t="n">
        <x:f>IF('계산 과정'!$L$7,IF(ABS(F1620)&gt;=1E-12*MAX(1,SQRT((D1620-'계산 과정'!$C$33)^2+(E1620-'계산 과정'!$D$33)^2+'계산 과정'!$E$33^2)),('계산 과정'!$L$23-'계산 과정'!$C$49*D1620-'계산 과정'!$D$49*E1620)/F1620,""),"")</x:f>
        <x:v>0.4111263830344754</x:v>
      </x:c>
      <x:c r="H1620" s="4" t="n">
        <x:f>IF(AND(ISNUMBER(G1620),G1620&gt;0),('계산 과정'!$D$56+'계산 과정'!$D$57*D1620+'계산 과정'!$D$58*E1620)/F1620,"")</x:f>
        <x:v>-132.76785102759112</x:v>
      </x:c>
      <x:c r="I1620" s="4" t="n">
        <x:f>IF(AND(ISNUMBER(G1620),G1620&gt;0),('계산 과정'!$E$56+'계산 과정'!$E$57*D1620+'계산 과정'!$E$58*E1620)/F1620,"")</x:f>
        <x:v>8.095509467633246</x:v>
      </x:c>
      <x:c r="J1620" s="4" t="n">
        <x:f>IF('계산 과정'!$L$5,'계산 과정'!$D$6+'계산 과정'!$C$35*D1620+'계산 과정'!$D$35*E1620,"")</x:f>
        <x:v>744.0864352221153</x:v>
      </x:c>
      <x:c r="K1620" s="4" t="n">
        <x:f>IF(AND('계산 과정'!$L$6,J1620&gt;0),'계산 과정'!$D$10*('계산 과정'!$C$38*(D1620-'계산 과정'!$C$32)+'계산 과정'!$D$38*(E1620-'계산 과정'!$D$32)-'계산 과정'!$E$38*'계산 과정'!$E$32)/J1620,"")</x:f>
        <x:v>-1.011564579257836</x:v>
      </x:c>
      <x:c r="L1620" s="4" t="n">
        <x:f>IF(AND('계산 과정'!$L$6,J1620&gt;0),'계산 과정'!$D$10*('계산 과정'!$C$39*(D1620-'계산 과정'!$C$32)+'계산 과정'!$D$39*(E1620-'계산 과정'!$D$32)-'계산 과정'!$E$39*'계산 과정'!$E$32)/J1620,"")</x:f>
        <x:v>0.06168007213434855</x:v>
      </x:c>
      <x:c r="M1620" s="17" t="n">
        <x:f>IF('계산 과정'!$L$6,IF(J1620&lt;=0,0,IF(AND(ABS(K1620)&lt;='계산 과정'!$D$11/2,ABS(L1620)&lt;='계산 과정'!$D$12/2),1,0)),"")</x:f>
        <x:v>1</x:v>
      </x:c>
      <x:c r="N1620" s="17" t="n">
        <x:f>IF('계산 과정'!$C$78,IF(AND(ISNUMBER(H1620),ISNUMBER(I1620),ABS(H1620-'계산 과정'!$C$88)&lt;='계산 과정'!$D$23/2,ABS(I1620-'계산 과정'!$C$89)&lt;='계산 과정'!$D$24/2),1,0),"")</x:f>
        <x:v>1</x:v>
      </x:c>
      <x:c r="O1620" s="4" t="n">
        <x:f>IF('계산 과정'!$L$7,'계산 과정'!$C$49*('계산 과정'!$C$32-D1620)+'계산 과정'!$D$49*('계산 과정'!$D$32-E1620)+'계산 과정'!$E$49*'계산 과정'!$E$32,"")</x:f>
        <x:v>-94.08643522211514</x:v>
      </x:c>
      <x:c r="P1620" s="4" t="n">
        <x:f>IF(AND('계산 과정'!$L$7,O1620&lt;&gt;0),('계산 과정'!$L$23-'계산 과정'!$C$49*D1620-'계산 과정'!$D$49*E1620)/O1620,"")</x:f>
        <x:v>-3.251409877052918</x:v>
      </x:c>
      <x:c r="Q1620" s="4" t="str">
        <x:f>IF(AND(ISNUMBER(P1620),P1620&gt;1E-9,P1620&lt;1-1E-9),'계산 과정'!$C$47*(D1620-'계산 과정'!$C$50+P1620*('계산 과정'!$C$32-D1620))+'계산 과정'!$D$47*(E1620-'계산 과정'!$D$50+P1620*('계산 과정'!$D$32-E1620))+'계산 과정'!$E$47*(0-'계산 과정'!$E$50+P1620*('계산 과정'!$E$32-0)),"")</x:f>
      </x:c>
      <x:c r="R1620" s="4" t="str">
        <x:f>IF(AND(ISNUMBER(P1620),P1620&gt;1E-9,P1620&lt;1-1E-9),'계산 과정'!$C$48*(D1620-'계산 과정'!$C$50+P1620*('계산 과정'!$C$32-D1620))+'계산 과정'!$D$48*(E1620-'계산 과정'!$D$50+P1620*('계산 과정'!$D$32-E1620))+'계산 과정'!$E$48*(0-'계산 과정'!$E$50+P1620*('계산 과정'!$E$32-0)),"")</x:f>
      </x:c>
      <x:c r="S1620" s="17" t="n">
        <x:f>IF('계산 과정'!$C$78,IF(AND(ISNUMBER(Q1620),ISNUMBER(R1620),ABS(Q1620-'계산 과정'!$C$88)&lt;='계산 과정'!$D$23/2,ABS(R1620-'계산 과정'!$C$89)&lt;='계산 과정'!$D$24/2),1,0),"")</x:f>
        <x:v>0</x:v>
      </x:c>
      <x:c r="T1620" s="4"/>
      <x:c r="U1620" s="4"/>
      <x:c r="V1620" s="4"/>
      <x:c r="W1620" s="4"/>
      <x:c r="X1620" s="4"/>
      <x:c r="Y1620" s="4"/>
      <x:c r="Z1620" s="4"/>
    </x:row>
    <x:row r="1621" ht="23" customHeight="1">
      <x:c r="A1621" s="17" t="n">
        <x:f>ROW()-6</x:f>
        <x:v>1615</x:v>
      </x:c>
      <x:c r="B1621" s="4" t="n">
        <x:f>IF('계산 과정'!$L$5,'계산 과정'!$L$11*SQRT((A1621+0.5)/'계산 과정'!$L$30),"")</x:f>
        <x:v>133.2231702292717</x:v>
      </x:c>
      <x:c r="C1621" s="4" t="n">
        <x:f>A1621*PI()*(3-SQRT(5))</x:f>
        <x:v>3875.940616011774</x:v>
      </x:c>
      <x:c r="D1621" s="4" t="n">
        <x:f>IF('계산 과정'!$L$5,B1621*COS(C1621),"")</x:f>
        <x:v>94.26700995563385</x:v>
      </x:c>
      <x:c r="E1621" s="4" t="n">
        <x:f>IF('계산 과정'!$L$5,B1621*SIN(C1621),"")</x:f>
        <x:v>-94.13896069089529</x:v>
      </x:c>
      <x:c r="F1621" s="4" t="n">
        <x:f>IF('계산 과정'!$L$7,'계산 과정'!$L$22+'계산 과정'!$C$49*D1621+'계산 과정'!$D$49*E1621,"")</x:f>
        <x:v>583.3431580181915</x:v>
      </x:c>
      <x:c r="G1621" s="4" t="n">
        <x:f>IF('계산 과정'!$L$7,IF(ABS(F1621)&gt;=1E-12*MAX(1,SQRT((D1621-'계산 과정'!$C$33)^2+(E1621-'계산 과정'!$D$33)^2+'계산 과정'!$E$33^2)),('계산 과정'!$L$23-'계산 과정'!$C$49*D1621-'계산 과정'!$D$49*E1621)/F1621,""),"")</x:f>
        <x:v>0.7999696843401665</x:v>
      </x:c>
      <x:c r="H1621" s="4" t="n">
        <x:f>IF(AND(ISNUMBER(G1621),G1621&gt;0),('계산 과정'!$D$56+'계산 과정'!$D$57*D1621+'계산 과정'!$D$58*E1621)/F1621,"")</x:f>
        <x:v>119.98029482110807</x:v>
      </x:c>
      <x:c r="I1621" s="4" t="n">
        <x:f>IF(AND(ISNUMBER(G1621),G1621&gt;0),('계산 과정'!$E$56+'계산 과정'!$E$57*D1621+'계산 과정'!$E$58*E1621)/F1621,"")</x:f>
        <x:v>-169.44727535890212</x:v>
      </x:c>
      <x:c r="J1621" s="4" t="n">
        <x:f>IF('계산 과정'!$L$5,'계산 과정'!$D$6+'계산 과정'!$C$35*D1621+'계산 과정'!$D$35*E1621,"")</x:f>
        <x:v>583.3431580181915</x:v>
      </x:c>
      <x:c r="K1621" s="4" t="n">
        <x:f>IF(AND('계산 과정'!$L$6,J1621&gt;0),'계산 과정'!$D$10*('계산 과정'!$C$38*(D1621-'계산 과정'!$C$32)+'계산 과정'!$D$38*(E1621-'계산 과정'!$D$32)-'계산 과정'!$E$38*'계산 과정'!$E$32)/J1621,"")</x:f>
        <x:v>0.9141355795893958</x:v>
      </x:c>
      <x:c r="L1621" s="4" t="n">
        <x:f>IF(AND('계산 과정'!$L$6,J1621&gt;0),'계산 과정'!$D$10*('계산 과정'!$C$39*(D1621-'계산 과정'!$C$32)+'계산 과정'!$D$39*(E1621-'계산 과정'!$D$32)-'계산 과정'!$E$39*'계산 과정'!$E$32)/J1621,"")</x:f>
        <x:v>-1.2910268598773496</x:v>
      </x:c>
      <x:c r="M1621" s="17" t="n">
        <x:f>IF('계산 과정'!$L$6,IF(J1621&lt;=0,0,IF(AND(ABS(K1621)&lt;='계산 과정'!$D$11/2,ABS(L1621)&lt;='계산 과정'!$D$12/2),1,0)),"")</x:f>
        <x:v>1</x:v>
      </x:c>
      <x:c r="N1621" s="17" t="n">
        <x:f>IF('계산 과정'!$C$78,IF(AND(ISNUMBER(H1621),ISNUMBER(I1621),ABS(H1621-'계산 과정'!$C$88)&lt;='계산 과정'!$D$23/2,ABS(I1621-'계산 과정'!$C$89)&lt;='계산 과정'!$D$24/2),1,0),"")</x:f>
        <x:v>1</x:v>
      </x:c>
      <x:c r="O1621" s="4" t="n">
        <x:f>IF('계산 과정'!$L$7,'계산 과정'!$C$49*('계산 과정'!$C$32-D1621)+'계산 과정'!$D$49*('계산 과정'!$D$32-E1621)+'계산 과정'!$E$49*'계산 과정'!$E$32,"")</x:f>
        <x:v>66.65684198180861</x:v>
      </x:c>
      <x:c r="P1621" s="4" t="n">
        <x:f>IF(AND('계산 과정'!$L$7,O1621&lt;&gt;0),('계산 과정'!$L$23-'계산 과정'!$C$49*D1621-'계산 과정'!$D$49*E1621)/O1621,"")</x:f>
        <x:v>7.000884351964413</x:v>
      </x:c>
      <x:c r="Q1621" s="4" t="str">
        <x:f>IF(AND(ISNUMBER(P1621),P1621&gt;1E-9,P1621&lt;1-1E-9),'계산 과정'!$C$47*(D1621-'계산 과정'!$C$50+P1621*('계산 과정'!$C$32-D1621))+'계산 과정'!$D$47*(E1621-'계산 과정'!$D$50+P1621*('계산 과정'!$D$32-E1621))+'계산 과정'!$E$47*(0-'계산 과정'!$E$50+P1621*('계산 과정'!$E$32-0)),"")</x:f>
      </x:c>
      <x:c r="R1621" s="4" t="str">
        <x:f>IF(AND(ISNUMBER(P1621),P1621&gt;1E-9,P1621&lt;1-1E-9),'계산 과정'!$C$48*(D1621-'계산 과정'!$C$50+P1621*('계산 과정'!$C$32-D1621))+'계산 과정'!$D$48*(E1621-'계산 과정'!$D$50+P1621*('계산 과정'!$D$32-E1621))+'계산 과정'!$E$48*(0-'계산 과정'!$E$50+P1621*('계산 과정'!$E$32-0)),"")</x:f>
      </x:c>
      <x:c r="S1621" s="17" t="n">
        <x:f>IF('계산 과정'!$C$78,IF(AND(ISNUMBER(Q1621),ISNUMBER(R1621),ABS(Q1621-'계산 과정'!$C$88)&lt;='계산 과정'!$D$23/2,ABS(R1621-'계산 과정'!$C$89)&lt;='계산 과정'!$D$24/2),1,0),"")</x:f>
        <x:v>0</x:v>
      </x:c>
      <x:c r="T1621" s="4"/>
      <x:c r="U1621" s="4"/>
      <x:c r="V1621" s="4"/>
      <x:c r="W1621" s="4"/>
      <x:c r="X1621" s="4"/>
      <x:c r="Y1621" s="4"/>
      <x:c r="Z1621" s="4"/>
    </x:row>
    <x:row r="1622" ht="23" customHeight="1">
      <x:c r="A1622" s="17" t="n">
        <x:f>ROW()-6</x:f>
        <x:v>1616</x:v>
      </x:c>
      <x:c r="B1622" s="4" t="n">
        <x:f>IF('계산 과정'!$L$5,'계산 과정'!$L$11*SQRT((A1622+0.5)/'계산 과정'!$L$30),"")</x:f>
        <x:v>133.26439664840157</x:v>
      </x:c>
      <x:c r="C1622" s="4" t="n">
        <x:f>A1622*PI()*(3-SQRT(5))</x:f>
        <x:v>3878.3405792415033</x:v>
      </x:c>
      <x:c r="D1622" s="4" t="n">
        <x:f>IF('계산 과정'!$L$5,B1622*COS(C1622),"")</x:f>
        <x:v>-5.9214369567007825</x:v>
      </x:c>
      <x:c r="E1622" s="4" t="n">
        <x:f>IF('계산 과정'!$L$5,B1622*SIN(C1622),"")</x:f>
        <x:v>133.13277582334985</x:v>
      </x:c>
      <x:c r="F1622" s="4" t="n">
        <x:f>IF('계산 과정'!$L$7,'계산 과정'!$L$22+'계산 과정'!$C$49*D1622+'계산 과정'!$D$49*E1622,"")</x:f>
        <x:v>654.1870882264518</x:v>
      </x:c>
      <x:c r="G1622" s="4" t="n">
        <x:f>IF('계산 과정'!$L$7,IF(ABS(F1622)&gt;=1E-12*MAX(1,SQRT((D1622-'계산 과정'!$C$33)^2+(E1622-'계산 과정'!$D$33)^2+'계산 과정'!$E$33^2)),('계산 과정'!$L$23-'계산 과정'!$C$49*D1622-'계산 과정'!$D$49*E1622)/F1622,""),"")</x:f>
        <x:v>0.6050454356209101</x:v>
      </x:c>
      <x:c r="H1622" s="4" t="n">
        <x:f>IF(AND(ISNUMBER(G1622),G1622&gt;0),('계산 과정'!$D$56+'계산 과정'!$D$57*D1622+'계산 과정'!$D$58*E1622)/F1622,"")</x:f>
        <x:v>-6.720466846408556</x:v>
      </x:c>
      <x:c r="I1622" s="4" t="n">
        <x:f>IF(AND(ISNUMBER(G1622),G1622&gt;0),('계산 과정'!$E$56+'계산 과정'!$E$57*D1622+'계산 과정'!$E$58*E1622)/F1622,"")</x:f>
        <x:v>213.6841541668095</x:v>
      </x:c>
      <x:c r="J1622" s="4" t="n">
        <x:f>IF('계산 과정'!$L$5,'계산 과정'!$D$6+'계산 과정'!$C$35*D1622+'계산 과정'!$D$35*E1622,"")</x:f>
        <x:v>654.1870882264518</x:v>
      </x:c>
      <x:c r="K1622" s="4" t="n">
        <x:f>IF(AND('계산 과정'!$L$6,J1622&gt;0),'계산 과정'!$D$10*('계산 과정'!$C$38*(D1622-'계산 과정'!$C$32)+'계산 과정'!$D$38*(E1622-'계산 과정'!$D$32)-'계산 과정'!$E$38*'계산 과정'!$E$32)/J1622,"")</x:f>
        <x:v>-0.051203556925016616</x:v>
      </x:c>
      <x:c r="L1622" s="4" t="n">
        <x:f>IF(AND('계산 과정'!$L$6,J1622&gt;0),'계산 과정'!$D$10*('계산 과정'!$C$39*(D1622-'계산 과정'!$C$32)+'계산 과정'!$D$39*(E1622-'계산 과정'!$D$32)-'계산 과정'!$E$39*'계산 과정'!$E$32)/J1622,"")</x:f>
        <x:v>1.6280697460328344</x:v>
      </x:c>
      <x:c r="M1622" s="17" t="n">
        <x:f>IF('계산 과정'!$L$6,IF(J1622&lt;=0,0,IF(AND(ABS(K1622)&lt;='계산 과정'!$D$11/2,ABS(L1622)&lt;='계산 과정'!$D$12/2),1,0)),"")</x:f>
        <x:v>1</x:v>
      </x:c>
      <x:c r="N1622" s="17" t="n">
        <x:f>IF('계산 과정'!$C$78,IF(AND(ISNUMBER(H1622),ISNUMBER(I1622),ABS(H1622-'계산 과정'!$C$88)&lt;='계산 과정'!$D$23/2,ABS(I1622-'계산 과정'!$C$89)&lt;='계산 과정'!$D$24/2),1,0),"")</x:f>
        <x:v>1</x:v>
      </x:c>
      <x:c r="O1622" s="4" t="n">
        <x:f>IF('계산 과정'!$L$7,'계산 과정'!$C$49*('계산 과정'!$C$32-D1622)+'계산 과정'!$D$49*('계산 과정'!$D$32-E1622)+'계산 과정'!$E$49*'계산 과정'!$E$32,"")</x:f>
        <x:v>-4.187088226451635</x:v>
      </x:c>
      <x:c r="P1622" s="4" t="n">
        <x:f>IF(AND('계산 과정'!$L$7,O1622&lt;&gt;0),('계산 과정'!$L$23-'계산 과정'!$C$49*D1622-'계산 과정'!$D$49*E1622)/O1622,"")</x:f>
        <x:v>-94.53178208021221</x:v>
      </x:c>
      <x:c r="Q1622" s="4" t="str">
        <x:f>IF(AND(ISNUMBER(P1622),P1622&gt;1E-9,P1622&lt;1-1E-9),'계산 과정'!$C$47*(D1622-'계산 과정'!$C$50+P1622*('계산 과정'!$C$32-D1622))+'계산 과정'!$D$47*(E1622-'계산 과정'!$D$50+P1622*('계산 과정'!$D$32-E1622))+'계산 과정'!$E$47*(0-'계산 과정'!$E$50+P1622*('계산 과정'!$E$32-0)),"")</x:f>
      </x:c>
      <x:c r="R1622" s="4" t="str">
        <x:f>IF(AND(ISNUMBER(P1622),P1622&gt;1E-9,P1622&lt;1-1E-9),'계산 과정'!$C$48*(D1622-'계산 과정'!$C$50+P1622*('계산 과정'!$C$32-D1622))+'계산 과정'!$D$48*(E1622-'계산 과정'!$D$50+P1622*('계산 과정'!$D$32-E1622))+'계산 과정'!$E$48*(0-'계산 과정'!$E$50+P1622*('계산 과정'!$E$32-0)),"")</x:f>
      </x:c>
      <x:c r="S1622" s="17" t="n">
        <x:f>IF('계산 과정'!$C$78,IF(AND(ISNUMBER(Q1622),ISNUMBER(R1622),ABS(Q1622-'계산 과정'!$C$88)&lt;='계산 과정'!$D$23/2,ABS(R1622-'계산 과정'!$C$89)&lt;='계산 과정'!$D$24/2),1,0),"")</x:f>
        <x:v>0</x:v>
      </x:c>
      <x:c r="T1622" s="4"/>
      <x:c r="U1622" s="4"/>
      <x:c r="V1622" s="4"/>
      <x:c r="W1622" s="4"/>
      <x:c r="X1622" s="4"/>
      <x:c r="Y1622" s="4"/>
      <x:c r="Z1622" s="4"/>
    </x:row>
    <x:row r="1623" ht="23" customHeight="1">
      <x:c r="A1623" s="17" t="n">
        <x:f>ROW()-6</x:f>
        <x:v>1617</x:v>
      </x:c>
      <x:c r="B1623" s="4" t="n">
        <x:f>IF('계산 과정'!$L$5,'계산 과정'!$L$11*SQRT((A1623+0.5)/'계산 과정'!$L$30),"")</x:f>
        <x:v>133.3056103177488</x:v>
      </x:c>
      <x:c r="C1623" s="4" t="n">
        <x:f>A1623*PI()*(3-SQRT(5))</x:f>
        <x:v>3880.740542471232</x:v>
      </x:c>
      <x:c r="D1623" s="4" t="n">
        <x:f>IF('계산 과정'!$L$5,B1623*COS(C1623),"")</x:f>
        <x:v>-85.59007620161096</x:v>
      </x:c>
      <x:c r="E1623" s="4" t="n">
        <x:f>IF('계산 과정'!$L$5,B1623*SIN(C1623),"")</x:f>
        <x:v>-102.19943540935012</x:v>
      </x:c>
      <x:c r="F1623" s="4" t="n">
        <x:f>IF('계산 과정'!$L$7,'계산 과정'!$L$22+'계산 과정'!$C$49*D1623+'계산 과정'!$D$49*E1623,"")</x:f>
        <x:v>710.5213232844325</x:v>
      </x:c>
      <x:c r="G1623" s="4" t="n">
        <x:f>IF('계산 과정'!$L$7,IF(ABS(F1623)&gt;=1E-12*MAX(1,SQRT((D1623-'계산 과정'!$C$33)^2+(E1623-'계산 과정'!$D$33)^2+'계산 과정'!$E$33^2)),('계산 과정'!$L$23-'계산 과정'!$C$49*D1623-'계산 과정'!$D$49*E1623)/F1623,""),"")</x:f>
        <x:v>0.47778816143941266</x:v>
      </x:c>
      <x:c r="H1623" s="4" t="n">
        <x:f>IF(AND(ISNUMBER(G1623),G1623&gt;0),('계산 과정'!$D$56+'계산 과정'!$D$57*D1623+'계산 과정'!$D$58*E1623)/F1623,"")</x:f>
        <x:v>-89.43769506438187</x:v>
      </x:c>
      <x:c r="I1623" s="4" t="n">
        <x:f>IF(AND(ISNUMBER(G1623),G1623&gt;0),('계산 과정'!$E$56+'계산 과정'!$E$57*D1623+'계산 과정'!$E$58*E1623)/F1623,"")</x:f>
        <x:v>-151.0291157537295</x:v>
      </x:c>
      <x:c r="J1623" s="4" t="n">
        <x:f>IF('계산 과정'!$L$5,'계산 과정'!$D$6+'계산 과정'!$C$35*D1623+'계산 과정'!$D$35*E1623,"")</x:f>
        <x:v>710.5213232844325</x:v>
      </x:c>
      <x:c r="K1623" s="4" t="n">
        <x:f>IF(AND('계산 과정'!$L$6,J1623&gt;0),'계산 과정'!$D$10*('계산 과정'!$C$38*(D1623-'계산 과정'!$C$32)+'계산 과정'!$D$38*(E1623-'계산 과정'!$D$32)-'계산 과정'!$E$38*'계산 과정'!$E$32)/J1623,"")</x:f>
        <x:v>-0.6814300576333843</x:v>
      </x:c>
      <x:c r="L1623" s="4" t="n">
        <x:f>IF(AND('계산 과정'!$L$6,J1623&gt;0),'계산 과정'!$D$10*('계산 과정'!$C$39*(D1623-'계산 과정'!$C$32)+'계산 과정'!$D$39*(E1623-'계산 과정'!$D$32)-'계산 과정'!$E$39*'계산 과정'!$E$32)/J1623,"")</x:f>
        <x:v>-1.15069802479032</x:v>
      </x:c>
      <x:c r="M1623" s="17" t="n">
        <x:f>IF('계산 과정'!$L$6,IF(J1623&lt;=0,0,IF(AND(ABS(K1623)&lt;='계산 과정'!$D$11/2,ABS(L1623)&lt;='계산 과정'!$D$12/2),1,0)),"")</x:f>
        <x:v>1</x:v>
      </x:c>
      <x:c r="N1623" s="17" t="n">
        <x:f>IF('계산 과정'!$C$78,IF(AND(ISNUMBER(H1623),ISNUMBER(I1623),ABS(H1623-'계산 과정'!$C$88)&lt;='계산 과정'!$D$23/2,ABS(I1623-'계산 과정'!$C$89)&lt;='계산 과정'!$D$24/2),1,0),"")</x:f>
        <x:v>1</x:v>
      </x:c>
      <x:c r="O1623" s="4" t="n">
        <x:f>IF('계산 과정'!$L$7,'계산 과정'!$C$49*('계산 과정'!$C$32-D1623)+'계산 과정'!$D$49*('계산 과정'!$D$32-E1623)+'계산 과정'!$E$49*'계산 과정'!$E$32,"")</x:f>
        <x:v>-60.5213232844323</x:v>
      </x:c>
      <x:c r="P1623" s="4" t="n">
        <x:f>IF(AND('계산 과정'!$L$7,O1623&lt;&gt;0),('계산 과정'!$L$23-'계산 과정'!$C$49*D1623-'계산 과정'!$D$49*E1623)/O1623,"")</x:f>
        <x:v>-5.609240814516204</x:v>
      </x:c>
      <x:c r="Q1623" s="4" t="str">
        <x:f>IF(AND(ISNUMBER(P1623),P1623&gt;1E-9,P1623&lt;1-1E-9),'계산 과정'!$C$47*(D1623-'계산 과정'!$C$50+P1623*('계산 과정'!$C$32-D1623))+'계산 과정'!$D$47*(E1623-'계산 과정'!$D$50+P1623*('계산 과정'!$D$32-E1623))+'계산 과정'!$E$47*(0-'계산 과정'!$E$50+P1623*('계산 과정'!$E$32-0)),"")</x:f>
      </x:c>
      <x:c r="R1623" s="4" t="str">
        <x:f>IF(AND(ISNUMBER(P1623),P1623&gt;1E-9,P1623&lt;1-1E-9),'계산 과정'!$C$48*(D1623-'계산 과정'!$C$50+P1623*('계산 과정'!$C$32-D1623))+'계산 과정'!$D$48*(E1623-'계산 과정'!$D$50+P1623*('계산 과정'!$D$32-E1623))+'계산 과정'!$E$48*(0-'계산 과정'!$E$50+P1623*('계산 과정'!$E$32-0)),"")</x:f>
      </x:c>
      <x:c r="S1623" s="17" t="n">
        <x:f>IF('계산 과정'!$C$78,IF(AND(ISNUMBER(Q1623),ISNUMBER(R1623),ABS(Q1623-'계산 과정'!$C$88)&lt;='계산 과정'!$D$23/2,ABS(R1623-'계산 과정'!$C$89)&lt;='계산 과정'!$D$24/2),1,0),"")</x:f>
        <x:v>0</x:v>
      </x:c>
      <x:c r="T1623" s="4"/>
      <x:c r="U1623" s="4"/>
      <x:c r="V1623" s="4"/>
      <x:c r="W1623" s="4"/>
      <x:c r="X1623" s="4"/>
      <x:c r="Y1623" s="4"/>
      <x:c r="Z1623" s="4"/>
    </x:row>
    <x:row r="1624" ht="23" customHeight="1">
      <x:c r="A1624" s="17" t="n">
        <x:f>ROW()-6</x:f>
        <x:v>1618</x:v>
      </x:c>
      <x:c r="B1624" s="4" t="n">
        <x:f>IF('계산 과정'!$L$5,'계산 과정'!$L$11*SQRT((A1624+0.5)/'계산 과정'!$L$30),"")</x:f>
        <x:v>133.34681124913524</x:v>
      </x:c>
      <x:c r="C1624" s="4" t="n">
        <x:f>A1624*PI()*(3-SQRT(5))</x:f>
        <x:v>3883.14050570096</x:v>
      </x:c>
      <x:c r="D1624" s="4" t="n">
        <x:f>IF('계산 과정'!$L$5,B1624*COS(C1624),"")</x:f>
        <x:v>132.1870277478573</x:v>
      </x:c>
      <x:c r="E1624" s="4" t="n">
        <x:f>IF('계산 과정'!$L$5,B1624*SIN(C1624),"")</x:f>
        <x:v>17.548839434552658</x:v>
      </x:c>
      <x:c r="F1624" s="4" t="n">
        <x:f>IF('계산 과정'!$L$7,'계산 과정'!$L$22+'계산 과정'!$C$49*D1624+'계산 과정'!$D$49*E1624,"")</x:f>
        <x:v>556.5296562945958</x:v>
      </x:c>
      <x:c r="G1624" s="4" t="n">
        <x:f>IF('계산 과정'!$L$7,IF(ABS(F1624)&gt;=1E-12*MAX(1,SQRT((D1624-'계산 과정'!$C$33)^2+(E1624-'계산 과정'!$D$33)^2+'계산 과정'!$E$33^2)),('계산 과정'!$L$23-'계산 과정'!$C$49*D1624-'계산 과정'!$D$49*E1624)/F1624,""),"")</x:f>
        <x:v>0.8866919096296793</x:v>
      </x:c>
      <x:c r="H1624" s="4" t="n">
        <x:f>IF(AND(ISNUMBER(G1624),G1624&gt;0),('계산 과정'!$D$56+'계산 과정'!$D$57*D1624+'계산 과정'!$D$58*E1624)/F1624,"")</x:f>
        <x:v>176.34974125929145</x:v>
      </x:c>
      <x:c r="I1624" s="4" t="n">
        <x:f>IF(AND(ISNUMBER(G1624),G1624&gt;0),('계산 과정'!$E$56+'계산 과정'!$E$57*D1624+'계산 과정'!$E$58*E1624)/F1624,"")</x:f>
        <x:v>33.10925338456077</x:v>
      </x:c>
      <x:c r="J1624" s="4" t="n">
        <x:f>IF('계산 과정'!$L$5,'계산 과정'!$D$6+'계산 과정'!$C$35*D1624+'계산 과정'!$D$35*E1624,"")</x:f>
        <x:v>556.5296562945958</x:v>
      </x:c>
      <x:c r="K1624" s="4" t="n">
        <x:f>IF(AND('계산 과정'!$L$6,J1624&gt;0),'계산 과정'!$D$10*('계산 과정'!$C$38*(D1624-'계산 과정'!$C$32)+'계산 과정'!$D$38*(E1624-'계산 과정'!$D$32)-'계산 과정'!$E$38*'계산 과정'!$E$32)/J1624,"")</x:f>
        <x:v>1.3436170762612694</x:v>
      </x:c>
      <x:c r="L1624" s="4" t="n">
        <x:f>IF(AND('계산 과정'!$L$6,J1624&gt;0),'계산 과정'!$D$10*('계산 과정'!$C$39*(D1624-'계산 과정'!$C$32)+'계산 과정'!$D$39*(E1624-'계산 과정'!$D$32)-'계산 과정'!$E$39*'계산 과정'!$E$32)/J1624,"")</x:f>
        <x:v>0.2522609781680821</x:v>
      </x:c>
      <x:c r="M1624" s="17" t="n">
        <x:f>IF('계산 과정'!$L$6,IF(J1624&lt;=0,0,IF(AND(ABS(K1624)&lt;='계산 과정'!$D$11/2,ABS(L1624)&lt;='계산 과정'!$D$12/2),1,0)),"")</x:f>
        <x:v>1</x:v>
      </x:c>
      <x:c r="N1624" s="17" t="n">
        <x:f>IF('계산 과정'!$C$78,IF(AND(ISNUMBER(H1624),ISNUMBER(I1624),ABS(H1624-'계산 과정'!$C$88)&lt;='계산 과정'!$D$23/2,ABS(I1624-'계산 과정'!$C$89)&lt;='계산 과정'!$D$24/2),1,0),"")</x:f>
        <x:v>1</x:v>
      </x:c>
      <x:c r="O1624" s="4" t="n">
        <x:f>IF('계산 과정'!$L$7,'계산 과정'!$C$49*('계산 과정'!$C$32-D1624)+'계산 과정'!$D$49*('계산 과정'!$D$32-E1624)+'계산 과정'!$E$49*'계산 과정'!$E$32,"")</x:f>
        <x:v>93.47034370540433</x:v>
      </x:c>
      <x:c r="P1624" s="4" t="n">
        <x:f>IF(AND('계산 과정'!$L$7,O1624&lt;&gt;0),('계산 과정'!$L$23-'계산 과정'!$C$49*D1624-'계산 과정'!$D$49*E1624)/O1624,"")</x:f>
        <x:v>5.27943221499968</x:v>
      </x:c>
      <x:c r="Q1624" s="4" t="str">
        <x:f>IF(AND(ISNUMBER(P1624),P1624&gt;1E-9,P1624&lt;1-1E-9),'계산 과정'!$C$47*(D1624-'계산 과정'!$C$50+P1624*('계산 과정'!$C$32-D1624))+'계산 과정'!$D$47*(E1624-'계산 과정'!$D$50+P1624*('계산 과정'!$D$32-E1624))+'계산 과정'!$E$47*(0-'계산 과정'!$E$50+P1624*('계산 과정'!$E$32-0)),"")</x:f>
      </x:c>
      <x:c r="R1624" s="4" t="str">
        <x:f>IF(AND(ISNUMBER(P1624),P1624&gt;1E-9,P1624&lt;1-1E-9),'계산 과정'!$C$48*(D1624-'계산 과정'!$C$50+P1624*('계산 과정'!$C$32-D1624))+'계산 과정'!$D$48*(E1624-'계산 과정'!$D$50+P1624*('계산 과정'!$D$32-E1624))+'계산 과정'!$E$48*(0-'계산 과정'!$E$50+P1624*('계산 과정'!$E$32-0)),"")</x:f>
      </x:c>
      <x:c r="S1624" s="17" t="n">
        <x:f>IF('계산 과정'!$C$78,IF(AND(ISNUMBER(Q1624),ISNUMBER(R1624),ABS(Q1624-'계산 과정'!$C$88)&lt;='계산 과정'!$D$23/2,ABS(R1624-'계산 과정'!$C$89)&lt;='계산 과정'!$D$24/2),1,0),"")</x:f>
        <x:v>0</x:v>
      </x:c>
      <x:c r="T1624" s="4"/>
      <x:c r="U1624" s="4"/>
      <x:c r="V1624" s="4"/>
      <x:c r="W1624" s="4"/>
      <x:c r="X1624" s="4"/>
      <x:c r="Y1624" s="4"/>
      <x:c r="Z1624" s="4"/>
    </x:row>
    <x:row r="1625" ht="23" customHeight="1">
      <x:c r="A1625" s="17" t="n">
        <x:f>ROW()-6</x:f>
        <x:v>1619</x:v>
      </x:c>
      <x:c r="B1625" s="4" t="n">
        <x:f>IF('계산 과정'!$L$5,'계산 과정'!$L$11*SQRT((A1625+0.5)/'계산 과정'!$L$30),"")</x:f>
        <x:v>133.38799945436432</x:v>
      </x:c>
      <x:c r="C1625" s="4" t="n">
        <x:f>A1625*PI()*(3-SQRT(5))</x:f>
        <x:v>3885.5404689306893</x:v>
      </x:c>
      <x:c r="D1625" s="4" t="n">
        <x:f>IF('계산 과정'!$L$5,B1625*COS(C1625),"")</x:f>
        <x:v>-109.35843929954505</x:v>
      </x:c>
      <x:c r="E1625" s="4" t="n">
        <x:f>IF('계산 과정'!$L$5,B1625*SIN(C1625),"")</x:f>
        <x:v>76.37466957313278</x:v>
      </x:c>
      <x:c r="F1625" s="4" t="n">
        <x:f>IF('계산 과정'!$L$7,'계산 과정'!$L$22+'계산 과정'!$C$49*D1625+'계산 과정'!$D$49*E1625,"")</x:f>
        <x:v>727.3280940086858</x:v>
      </x:c>
      <x:c r="G1625" s="4" t="n">
        <x:f>IF('계산 과정'!$L$7,IF(ABS(F1625)&gt;=1E-12*MAX(1,SQRT((D1625-'계산 과정'!$C$33)^2+(E1625-'계산 과정'!$D$33)^2+'계산 과정'!$E$33^2)),('계산 과정'!$L$23-'계산 과정'!$C$49*D1625-'계산 과정'!$D$49*E1625)/F1625,""),"")</x:f>
        <x:v>0.4436400967449236</x:v>
      </x:c>
      <x:c r="H1625" s="4" t="n">
        <x:f>IF(AND(ISNUMBER(G1625),G1625&gt;0),('계산 과정'!$D$56+'계산 과정'!$D$57*D1625+'계산 과정'!$D$58*E1625)/F1625,"")</x:f>
        <x:v>-111.63393711579978</x:v>
      </x:c>
      <x:c r="I1625" s="4" t="n">
        <x:f>IF(AND(ISNUMBER(G1625),G1625&gt;0),('계산 과정'!$E$56+'계산 과정'!$E$57*D1625+'계산 과정'!$E$58*E1625)/F1625,"")</x:f>
        <x:v>110.25753537141897</x:v>
      </x:c>
      <x:c r="J1625" s="4" t="n">
        <x:f>IF('계산 과정'!$L$5,'계산 과정'!$D$6+'계산 과정'!$C$35*D1625+'계산 과정'!$D$35*E1625,"")</x:f>
        <x:v>727.3280940086858</x:v>
      </x:c>
      <x:c r="K1625" s="4" t="n">
        <x:f>IF(AND('계산 과정'!$L$6,J1625&gt;0),'계산 과정'!$D$10*('계산 과정'!$C$38*(D1625-'계산 과정'!$C$32)+'계산 과정'!$D$38*(E1625-'계산 과정'!$D$32)-'계산 과정'!$E$38*'계산 과정'!$E$32)/J1625,"")</x:f>
        <x:v>-0.8505442827870443</x:v>
      </x:c>
      <x:c r="L1625" s="4" t="n">
        <x:f>IF(AND('계산 과정'!$L$6,J1625&gt;0),'계산 과정'!$D$10*('계산 과정'!$C$39*(D1625-'계산 과정'!$C$32)+'계산 과정'!$D$39*(E1625-'계산 과정'!$D$32)-'계산 과정'!$E$39*'계산 과정'!$E$32)/J1625,"")</x:f>
        <x:v>0.8400574123536684</x:v>
      </x:c>
      <x:c r="M1625" s="17" t="n">
        <x:f>IF('계산 과정'!$L$6,IF(J1625&lt;=0,0,IF(AND(ABS(K1625)&lt;='계산 과정'!$D$11/2,ABS(L1625)&lt;='계산 과정'!$D$12/2),1,0)),"")</x:f>
        <x:v>1</x:v>
      </x:c>
      <x:c r="N1625" s="17" t="n">
        <x:f>IF('계산 과정'!$C$78,IF(AND(ISNUMBER(H1625),ISNUMBER(I1625),ABS(H1625-'계산 과정'!$C$88)&lt;='계산 과정'!$D$23/2,ABS(I1625-'계산 과정'!$C$89)&lt;='계산 과정'!$D$24/2),1,0),"")</x:f>
        <x:v>1</x:v>
      </x:c>
      <x:c r="O1625" s="4" t="n">
        <x:f>IF('계산 과정'!$L$7,'계산 과정'!$C$49*('계산 과정'!$C$32-D1625)+'계산 과정'!$D$49*('계산 과정'!$D$32-E1625)+'계산 과정'!$E$49*'계산 과정'!$E$32,"")</x:f>
        <x:v>-77.32809400868558</x:v>
      </x:c>
      <x:c r="P1625" s="4" t="n">
        <x:f>IF(AND('계산 과정'!$L$7,O1625&lt;&gt;0),('계산 과정'!$L$23-'계산 과정'!$C$49*D1625-'계산 과정'!$D$49*E1625)/O1625,"")</x:f>
        <x:v>-4.172764247300229</x:v>
      </x:c>
      <x:c r="Q1625" s="4" t="str">
        <x:f>IF(AND(ISNUMBER(P1625),P1625&gt;1E-9,P1625&lt;1-1E-9),'계산 과정'!$C$47*(D1625-'계산 과정'!$C$50+P1625*('계산 과정'!$C$32-D1625))+'계산 과정'!$D$47*(E1625-'계산 과정'!$D$50+P1625*('계산 과정'!$D$32-E1625))+'계산 과정'!$E$47*(0-'계산 과정'!$E$50+P1625*('계산 과정'!$E$32-0)),"")</x:f>
      </x:c>
      <x:c r="R1625" s="4" t="str">
        <x:f>IF(AND(ISNUMBER(P1625),P1625&gt;1E-9,P1625&lt;1-1E-9),'계산 과정'!$C$48*(D1625-'계산 과정'!$C$50+P1625*('계산 과정'!$C$32-D1625))+'계산 과정'!$D$48*(E1625-'계산 과정'!$D$50+P1625*('계산 과정'!$D$32-E1625))+'계산 과정'!$E$48*(0-'계산 과정'!$E$50+P1625*('계산 과정'!$E$32-0)),"")</x:f>
      </x:c>
      <x:c r="S1625" s="17" t="n">
        <x:f>IF('계산 과정'!$C$78,IF(AND(ISNUMBER(Q1625),ISNUMBER(R1625),ABS(Q1625-'계산 과정'!$C$88)&lt;='계산 과정'!$D$23/2,ABS(R1625-'계산 과정'!$C$89)&lt;='계산 과정'!$D$24/2),1,0),"")</x:f>
        <x:v>0</x:v>
      </x:c>
      <x:c r="T1625" s="4"/>
      <x:c r="U1625" s="4"/>
      <x:c r="V1625" s="4"/>
      <x:c r="W1625" s="4"/>
      <x:c r="X1625" s="4"/>
      <x:c r="Y1625" s="4"/>
      <x:c r="Z1625" s="4"/>
    </x:row>
    <x:row r="1626" ht="23" customHeight="1">
      <x:c r="A1626" s="17" t="n">
        <x:f>ROW()-6</x:f>
        <x:v>1620</x:v>
      </x:c>
      <x:c r="B1626" s="4" t="n">
        <x:f>IF('계산 과정'!$L$5,'계산 과정'!$L$11*SQRT((A1626+0.5)/'계산 과정'!$L$30),"")</x:f>
        <x:v>133.4291749452214</x:v>
      </x:c>
      <x:c r="C1626" s="4" t="n">
        <x:f>A1626*PI()*(3-SQRT(5))</x:f>
        <x:v>3887.9404321604175</x:v>
      </x:c>
      <x:c r="D1626" s="4" t="n">
        <x:f>IF('계산 과정'!$L$5,B1626*COS(C1626),"")</x:f>
        <x:v>29.05612822785717</x:v>
      </x:c>
      <x:c r="E1626" s="4" t="n">
        <x:f>IF('계산 과정'!$L$5,B1626*SIN(C1626),"")</x:f>
        <x:v>-130.22705609422653</x:v>
      </x:c>
      <x:c r="F1626" s="4" t="n">
        <x:f>IF('계산 과정'!$L$7,'계산 과정'!$L$22+'계산 과정'!$C$49*D1626+'계산 과정'!$D$49*E1626,"")</x:f>
        <x:v>629.4542146950563</x:v>
      </x:c>
      <x:c r="G1626" s="4" t="n">
        <x:f>IF('계산 과정'!$L$7,IF(ABS(F1626)&gt;=1E-12*MAX(1,SQRT((D1626-'계산 과정'!$C$33)^2+(E1626-'계산 과정'!$D$33)^2+'계산 과정'!$E$33^2)),('계산 과정'!$L$23-'계산 과정'!$C$49*D1626-'계산 과정'!$D$49*E1626)/F1626,""),"")</x:f>
        <x:v>0.6681117950869233</x:v>
      </x:c>
      <x:c r="H1626" s="4" t="n">
        <x:f>IF(AND(ISNUMBER(G1626),G1626&gt;0),('계산 과정'!$D$56+'계산 과정'!$D$57*D1626+'계산 과정'!$D$58*E1626)/F1626,"")</x:f>
        <x:v>34.272666806500006</x:v>
      </x:c>
      <x:c r="I1626" s="4" t="n">
        <x:f>IF(AND(ISNUMBER(G1626),G1626&gt;0),('계산 과정'!$E$56+'계산 과정'!$E$57*D1626+'계산 과정'!$E$58*E1626)/F1626,"")</x:f>
        <x:v>-217.2332883102257</x:v>
      </x:c>
      <x:c r="J1626" s="4" t="n">
        <x:f>IF('계산 과정'!$L$5,'계산 과정'!$D$6+'계산 과정'!$C$35*D1626+'계산 과정'!$D$35*E1626,"")</x:f>
        <x:v>629.4542146950563</x:v>
      </x:c>
      <x:c r="K1626" s="4" t="n">
        <x:f>IF(AND('계산 과정'!$L$6,J1626&gt;0),'계산 과정'!$D$10*('계산 과정'!$C$38*(D1626-'계산 과정'!$C$32)+'계산 과정'!$D$38*(E1626-'계산 과정'!$D$32)-'계산 과정'!$E$38*'계산 과정'!$E$32)/J1626,"")</x:f>
        <x:v>0.26112508043047755</x:v>
      </x:c>
      <x:c r="L1626" s="4" t="n">
        <x:f>IF(AND('계산 과정'!$L$6,J1626&gt;0),'계산 과정'!$D$10*('계산 과정'!$C$39*(D1626-'계산 과정'!$C$32)+'계산 과정'!$D$39*(E1626-'계산 과정'!$D$32)-'계산 과정'!$E$39*'계산 과정'!$E$32)/J1626,"")</x:f>
        <x:v>-1.6551107680779098</x:v>
      </x:c>
      <x:c r="M1626" s="17" t="n">
        <x:f>IF('계산 과정'!$L$6,IF(J1626&lt;=0,0,IF(AND(ABS(K1626)&lt;='계산 과정'!$D$11/2,ABS(L1626)&lt;='계산 과정'!$D$12/2),1,0)),"")</x:f>
        <x:v>1</x:v>
      </x:c>
      <x:c r="N1626" s="17" t="n">
        <x:f>IF('계산 과정'!$C$78,IF(AND(ISNUMBER(H1626),ISNUMBER(I1626),ABS(H1626-'계산 과정'!$C$88)&lt;='계산 과정'!$D$23/2,ABS(I1626-'계산 과정'!$C$89)&lt;='계산 과정'!$D$24/2),1,0),"")</x:f>
        <x:v>1</x:v>
      </x:c>
      <x:c r="O1626" s="4" t="n">
        <x:f>IF('계산 과정'!$L$7,'계산 과정'!$C$49*('계산 과정'!$C$32-D1626)+'계산 과정'!$D$49*('계산 과정'!$D$32-E1626)+'계산 과정'!$E$49*'계산 과정'!$E$32,"")</x:f>
        <x:v>20.545785304943763</x:v>
      </x:c>
      <x:c r="P1626" s="4" t="n">
        <x:f>IF(AND('계산 과정'!$L$7,O1626&lt;&gt;0),('계산 과정'!$L$23-'계산 과정'!$C$49*D1626-'계산 과정'!$D$49*E1626)/O1626,"")</x:f>
        <x:v>20.468713123550025</x:v>
      </x:c>
      <x:c r="Q1626" s="4" t="str">
        <x:f>IF(AND(ISNUMBER(P1626),P1626&gt;1E-9,P1626&lt;1-1E-9),'계산 과정'!$C$47*(D1626-'계산 과정'!$C$50+P1626*('계산 과정'!$C$32-D1626))+'계산 과정'!$D$47*(E1626-'계산 과정'!$D$50+P1626*('계산 과정'!$D$32-E1626))+'계산 과정'!$E$47*(0-'계산 과정'!$E$50+P1626*('계산 과정'!$E$32-0)),"")</x:f>
      </x:c>
      <x:c r="R1626" s="4" t="str">
        <x:f>IF(AND(ISNUMBER(P1626),P1626&gt;1E-9,P1626&lt;1-1E-9),'계산 과정'!$C$48*(D1626-'계산 과정'!$C$50+P1626*('계산 과정'!$C$32-D1626))+'계산 과정'!$D$48*(E1626-'계산 과정'!$D$50+P1626*('계산 과정'!$D$32-E1626))+'계산 과정'!$E$48*(0-'계산 과정'!$E$50+P1626*('계산 과정'!$E$32-0)),"")</x:f>
      </x:c>
      <x:c r="S1626" s="17" t="n">
        <x:f>IF('계산 과정'!$C$78,IF(AND(ISNUMBER(Q1626),ISNUMBER(R1626),ABS(Q1626-'계산 과정'!$C$88)&lt;='계산 과정'!$D$23/2,ABS(R1626-'계산 과정'!$C$89)&lt;='계산 과정'!$D$24/2),1,0),"")</x:f>
        <x:v>0</x:v>
      </x:c>
      <x:c r="T1626" s="4"/>
      <x:c r="U1626" s="4"/>
      <x:c r="V1626" s="4"/>
      <x:c r="W1626" s="4"/>
      <x:c r="X1626" s="4"/>
      <x:c r="Y1626" s="4"/>
      <x:c r="Z1626" s="4"/>
    </x:row>
    <x:row r="1627" ht="23" customHeight="1">
      <x:c r="A1627" s="17" t="n">
        <x:f>ROW()-6</x:f>
        <x:v>1621</x:v>
      </x:c>
      <x:c r="B1627" s="4" t="n">
        <x:f>IF('계산 과정'!$L$5,'계산 과정'!$L$11*SQRT((A1627+0.5)/'계산 과정'!$L$30),"")</x:f>
        <x:v>133.47033773347357</x:v>
      </x:c>
      <x:c r="C1627" s="4" t="n">
        <x:f>A1627*PI()*(3-SQRT(5))</x:f>
        <x:v>3890.340395390146</x:v>
      </x:c>
      <x:c r="D1627" s="4" t="n">
        <x:f>IF('계산 과정'!$L$5,B1627*COS(C1627),"")</x:f>
        <x:v>66.56255592882867</x:v>
      </x:c>
      <x:c r="E1627" s="4" t="n">
        <x:f>IF('계산 과정'!$L$5,B1627*SIN(C1627),"")</x:f>
        <x:v>115.68818955670909</x:v>
      </x:c>
      <x:c r="F1627" s="4" t="n">
        <x:f>IF('계산 과정'!$L$7,'계산 과정'!$L$22+'계산 과정'!$C$49*D1627+'계산 과정'!$D$49*E1627,"")</x:f>
        <x:v>602.9331653296164</x:v>
      </x:c>
      <x:c r="G1627" s="4" t="n">
        <x:f>IF('계산 과정'!$L$7,IF(ABS(F1627)&gt;=1E-12*MAX(1,SQRT((D1627-'계산 과정'!$C$33)^2+(E1627-'계산 과정'!$D$33)^2+'계산 과정'!$E$33^2)),('계산 과정'!$L$23-'계산 과정'!$C$49*D1627-'계산 과정'!$D$49*E1627)/F1627,""),"")</x:f>
        <x:v>0.7414865533661222</x:v>
      </x:c>
      <x:c r="H1627" s="4" t="n">
        <x:f>IF(AND(ISNUMBER(G1627),G1627&gt;0),('계산 과정'!$D$56+'계산 과정'!$D$57*D1627+'계산 과정'!$D$58*E1627)/F1627,"")</x:f>
        <x:v>81.96625968797932</x:v>
      </x:c>
      <x:c r="I1627" s="4" t="n">
        <x:f>IF(AND(ISNUMBER(G1627),G1627&gt;0),('계산 과정'!$E$56+'계산 과정'!$E$57*D1627+'계산 과정'!$E$58*E1627)/F1627,"")</x:f>
        <x:v>201.46942649627994</x:v>
      </x:c>
      <x:c r="J1627" s="4" t="n">
        <x:f>IF('계산 과정'!$L$5,'계산 과정'!$D$6+'계산 과정'!$C$35*D1627+'계산 과정'!$D$35*E1627,"")</x:f>
        <x:v>602.9331653296164</x:v>
      </x:c>
      <x:c r="K1627" s="4" t="n">
        <x:f>IF(AND('계산 과정'!$L$6,J1627&gt;0),'계산 과정'!$D$10*('계산 과정'!$C$38*(D1627-'계산 과정'!$C$32)+'계산 과정'!$D$38*(E1627-'계산 과정'!$D$32)-'계산 과정'!$E$38*'계산 과정'!$E$32)/J1627,"")</x:f>
        <x:v>0.6245048357179382</x:v>
      </x:c>
      <x:c r="L1627" s="4" t="n">
        <x:f>IF(AND('계산 과정'!$L$6,J1627&gt;0),'계산 과정'!$D$10*('계산 과정'!$C$39*(D1627-'계산 과정'!$C$32)+'계산 과정'!$D$39*(E1627-'계산 과정'!$D$32)-'계산 과정'!$E$39*'계산 과정'!$E$32)/J1627,"")</x:f>
        <x:v>1.535005154257371</x:v>
      </x:c>
      <x:c r="M1627" s="17" t="n">
        <x:f>IF('계산 과정'!$L$6,IF(J1627&lt;=0,0,IF(AND(ABS(K1627)&lt;='계산 과정'!$D$11/2,ABS(L1627)&lt;='계산 과정'!$D$12/2),1,0)),"")</x:f>
        <x:v>1</x:v>
      </x:c>
      <x:c r="N1627" s="17" t="n">
        <x:f>IF('계산 과정'!$C$78,IF(AND(ISNUMBER(H1627),ISNUMBER(I1627),ABS(H1627-'계산 과정'!$C$88)&lt;='계산 과정'!$D$23/2,ABS(I1627-'계산 과정'!$C$89)&lt;='계산 과정'!$D$24/2),1,0),"")</x:f>
        <x:v>1</x:v>
      </x:c>
      <x:c r="O1627" s="4" t="n">
        <x:f>IF('계산 과정'!$L$7,'계산 과정'!$C$49*('계산 과정'!$C$32-D1627)+'계산 과정'!$D$49*('계산 과정'!$D$32-E1627)+'계산 과정'!$E$49*'계산 과정'!$E$32,"")</x:f>
        <x:v>47.066834670383685</x:v>
      </x:c>
      <x:c r="P1627" s="4" t="n">
        <x:f>IF(AND('계산 과정'!$L$7,O1627&lt;&gt;0),('계산 과정'!$L$23-'계산 과정'!$C$49*D1627-'계산 과정'!$D$49*E1627)/O1627,"")</x:f>
        <x:v>9.498553233954688</x:v>
      </x:c>
      <x:c r="Q1627" s="4" t="str">
        <x:f>IF(AND(ISNUMBER(P1627),P1627&gt;1E-9,P1627&lt;1-1E-9),'계산 과정'!$C$47*(D1627-'계산 과정'!$C$50+P1627*('계산 과정'!$C$32-D1627))+'계산 과정'!$D$47*(E1627-'계산 과정'!$D$50+P1627*('계산 과정'!$D$32-E1627))+'계산 과정'!$E$47*(0-'계산 과정'!$E$50+P1627*('계산 과정'!$E$32-0)),"")</x:f>
      </x:c>
      <x:c r="R1627" s="4" t="str">
        <x:f>IF(AND(ISNUMBER(P1627),P1627&gt;1E-9,P1627&lt;1-1E-9),'계산 과정'!$C$48*(D1627-'계산 과정'!$C$50+P1627*('계산 과정'!$C$32-D1627))+'계산 과정'!$D$48*(E1627-'계산 과정'!$D$50+P1627*('계산 과정'!$D$32-E1627))+'계산 과정'!$E$48*(0-'계산 과정'!$E$50+P1627*('계산 과정'!$E$32-0)),"")</x:f>
      </x:c>
      <x:c r="S1627" s="17" t="n">
        <x:f>IF('계산 과정'!$C$78,IF(AND(ISNUMBER(Q1627),ISNUMBER(R1627),ABS(Q1627-'계산 과정'!$C$88)&lt;='계산 과정'!$D$23/2,ABS(R1627-'계산 과정'!$C$89)&lt;='계산 과정'!$D$24/2),1,0),"")</x:f>
        <x:v>0</x:v>
      </x:c>
      <x:c r="T1627" s="4"/>
      <x:c r="U1627" s="4"/>
      <x:c r="V1627" s="4"/>
      <x:c r="W1627" s="4"/>
      <x:c r="X1627" s="4"/>
      <x:c r="Y1627" s="4"/>
      <x:c r="Z1627" s="4"/>
    </x:row>
    <x:row r="1628" ht="23" customHeight="1">
      <x:c r="A1628" s="17" t="n">
        <x:f>ROW()-6</x:f>
        <x:v>1622</x:v>
      </x:c>
      <x:c r="B1628" s="4" t="n">
        <x:f>IF('계산 과정'!$L$5,'계산 과정'!$L$11*SQRT((A1628+0.5)/'계산 과정'!$L$30),"")</x:f>
        <x:v>133.5114878308698</x:v>
      </x:c>
      <x:c r="C1628" s="4" t="n">
        <x:f>A1628*PI()*(3-SQRT(5))</x:f>
        <x:v>3892.740358619875</x:v>
      </x:c>
      <x:c r="D1628" s="4" t="n">
        <x:f>IF('계산 과정'!$L$5,B1628*COS(C1628),"")</x:f>
        <x:v>-127.26663173938857</x:v>
      </x:c>
      <x:c r="E1628" s="4" t="n">
        <x:f>IF('계산 과정'!$L$5,B1628*SIN(C1628),"")</x:f>
        <x:v>-40.35494800545962</x:v>
      </x:c>
      <x:c r="F1628" s="4" t="n">
        <x:f>IF('계산 과정'!$L$7,'계산 과정'!$L$22+'계산 과정'!$C$49*D1628+'계산 과정'!$D$49*E1628,"")</x:f>
        <x:v>739.9910983216928</x:v>
      </x:c>
      <x:c r="G1628" s="4" t="n">
        <x:f>IF('계산 과정'!$L$7,IF(ABS(F1628)&gt;=1E-12*MAX(1,SQRT((D1628-'계산 과정'!$C$33)^2+(E1628-'계산 과정'!$D$33)^2+'계산 과정'!$E$33^2)),('계산 과정'!$L$23-'계산 과정'!$C$49*D1628-'계산 과정'!$D$49*E1628)/F1628,""),"")</x:f>
        <x:v>0.4189359877185152</x:v>
      </x:c>
      <x:c r="H1628" s="4" t="n">
        <x:f>IF(AND(ISNUMBER(G1628),G1628&gt;0),('계산 과정'!$D$56+'계산 과정'!$D$57*D1628+'계산 과정'!$D$58*E1628)/F1628,"")</x:f>
        <x:v>-127.69160798296527</x:v>
      </x:c>
      <x:c r="I1628" s="4" t="n">
        <x:f>IF(AND(ISNUMBER(G1628),G1628&gt;0),('계산 과정'!$E$56+'계산 과정'!$E$57*D1628+'계산 과정'!$E$58*E1628)/F1628,"")</x:f>
        <x:v>-57.261088007456166</x:v>
      </x:c>
      <x:c r="J1628" s="4" t="n">
        <x:f>IF('계산 과정'!$L$5,'계산 과정'!$D$6+'계산 과정'!$C$35*D1628+'계산 과정'!$D$35*E1628,"")</x:f>
        <x:v>739.9910983216928</x:v>
      </x:c>
      <x:c r="K1628" s="4" t="n">
        <x:f>IF(AND('계산 과정'!$L$6,J1628&gt;0),'계산 과정'!$D$10*('계산 과정'!$C$38*(D1628-'계산 과정'!$C$32)+'계산 과정'!$D$38*(E1628-'계산 과정'!$D$32)-'계산 과정'!$E$38*'계산 과정'!$E$32)/J1628,"")</x:f>
        <x:v>-0.9728884417749721</x:v>
      </x:c>
      <x:c r="L1628" s="4" t="n">
        <x:f>IF(AND('계산 과정'!$L$6,J1628&gt;0),'계산 과정'!$D$10*('계산 과정'!$C$39*(D1628-'계산 과정'!$C$32)+'계산 과정'!$D$39*(E1628-'계산 과정'!$D$32)-'계산 과정'!$E$39*'계산 과정'!$E$32)/J1628,"")</x:f>
        <x:v>-0.4362749562472851</x:v>
      </x:c>
      <x:c r="M1628" s="17" t="n">
        <x:f>IF('계산 과정'!$L$6,IF(J1628&lt;=0,0,IF(AND(ABS(K1628)&lt;='계산 과정'!$D$11/2,ABS(L1628)&lt;='계산 과정'!$D$12/2),1,0)),"")</x:f>
        <x:v>1</x:v>
      </x:c>
      <x:c r="N1628" s="17" t="n">
        <x:f>IF('계산 과정'!$C$78,IF(AND(ISNUMBER(H1628),ISNUMBER(I1628),ABS(H1628-'계산 과정'!$C$88)&lt;='계산 과정'!$D$23/2,ABS(I1628-'계산 과정'!$C$89)&lt;='계산 과정'!$D$24/2),1,0),"")</x:f>
        <x:v>1</x:v>
      </x:c>
      <x:c r="O1628" s="4" t="n">
        <x:f>IF('계산 과정'!$L$7,'계산 과정'!$C$49*('계산 과정'!$C$32-D1628)+'계산 과정'!$D$49*('계산 과정'!$D$32-E1628)+'계산 과정'!$E$49*'계산 과정'!$E$32,"")</x:f>
        <x:v>-89.99109832169262</x:v>
      </x:c>
      <x:c r="P1628" s="4" t="n">
        <x:f>IF(AND('계산 과정'!$L$7,O1628&lt;&gt;0),('계산 과정'!$L$23-'계산 과정'!$C$49*D1628-'계산 과정'!$D$49*E1628)/O1628,"")</x:f>
        <x:v>-3.4448840769796307</x:v>
      </x:c>
      <x:c r="Q1628" s="4" t="str">
        <x:f>IF(AND(ISNUMBER(P1628),P1628&gt;1E-9,P1628&lt;1-1E-9),'계산 과정'!$C$47*(D1628-'계산 과정'!$C$50+P1628*('계산 과정'!$C$32-D1628))+'계산 과정'!$D$47*(E1628-'계산 과정'!$D$50+P1628*('계산 과정'!$D$32-E1628))+'계산 과정'!$E$47*(0-'계산 과정'!$E$50+P1628*('계산 과정'!$E$32-0)),"")</x:f>
      </x:c>
      <x:c r="R1628" s="4" t="str">
        <x:f>IF(AND(ISNUMBER(P1628),P1628&gt;1E-9,P1628&lt;1-1E-9),'계산 과정'!$C$48*(D1628-'계산 과정'!$C$50+P1628*('계산 과정'!$C$32-D1628))+'계산 과정'!$D$48*(E1628-'계산 과정'!$D$50+P1628*('계산 과정'!$D$32-E1628))+'계산 과정'!$E$48*(0-'계산 과정'!$E$50+P1628*('계산 과정'!$E$32-0)),"")</x:f>
      </x:c>
      <x:c r="S1628" s="17" t="n">
        <x:f>IF('계산 과정'!$C$78,IF(AND(ISNUMBER(Q1628),ISNUMBER(R1628),ABS(Q1628-'계산 과정'!$C$88)&lt;='계산 과정'!$D$23/2,ABS(R1628-'계산 과정'!$C$89)&lt;='계산 과정'!$D$24/2),1,0),"")</x:f>
        <x:v>0</x:v>
      </x:c>
      <x:c r="T1628" s="4"/>
      <x:c r="U1628" s="4"/>
      <x:c r="V1628" s="4"/>
      <x:c r="W1628" s="4"/>
      <x:c r="X1628" s="4"/>
      <x:c r="Y1628" s="4"/>
      <x:c r="Z1628" s="4"/>
    </x:row>
    <x:row r="1629" ht="23" customHeight="1">
      <x:c r="A1629" s="17" t="n">
        <x:f>ROW()-6</x:f>
        <x:v>1623</x:v>
      </x:c>
      <x:c r="B1629" s="4" t="n">
        <x:f>IF('계산 과정'!$L$5,'계산 과정'!$L$11*SQRT((A1629+0.5)/'계산 과정'!$L$30),"")</x:f>
        <x:v>133.55262524914102</x:v>
      </x:c>
      <x:c r="C1629" s="4" t="n">
        <x:f>A1629*PI()*(3-SQRT(5))</x:f>
        <x:v>3895.1403218496034</x:v>
      </x:c>
      <x:c r="D1629" s="4" t="n">
        <x:f>IF('계산 과정'!$L$5,B1629*COS(C1629),"")</x:f>
        <x:v>121.13914293295296</x:v>
      </x:c>
      <x:c r="E1629" s="4" t="n">
        <x:f>IF('계산 과정'!$L$5,B1629*SIN(C1629),"")</x:f>
        <x:v>-56.22821142813537</x:v>
      </x:c>
      <x:c r="F1629" s="4" t="n">
        <x:f>IF('계산 과정'!$L$7,'계산 과정'!$L$22+'계산 과정'!$C$49*D1629+'계산 과정'!$D$49*E1629,"")</x:f>
        <x:v>564.3416905649825</x:v>
      </x:c>
      <x:c r="G1629" s="4" t="n">
        <x:f>IF('계산 과정'!$L$7,IF(ABS(F1629)&gt;=1E-12*MAX(1,SQRT((D1629-'계산 과정'!$C$33)^2+(E1629-'계산 과정'!$D$33)^2+'계산 과정'!$E$33^2)),('계산 과정'!$L$23-'계산 과정'!$C$49*D1629-'계산 과정'!$D$49*E1629)/F1629,""),"")</x:f>
        <x:v>0.8605749274855233</x:v>
      </x:c>
      <x:c r="H1629" s="4" t="n">
        <x:f>IF(AND(ISNUMBER(G1629),G1629&gt;0),('계산 과정'!$D$56+'계산 과정'!$D$57*D1629+'계산 과정'!$D$58*E1629)/F1629,"")</x:f>
        <x:v>159.37370286559008</x:v>
      </x:c>
      <x:c r="I1629" s="4" t="n">
        <x:f>IF(AND(ISNUMBER(G1629),G1629&gt;0),('계산 과정'!$E$56+'계산 과정'!$E$57*D1629+'계산 과정'!$E$58*E1629)/F1629,"")</x:f>
        <x:v>-104.61680040054364</x:v>
      </x:c>
      <x:c r="J1629" s="4" t="n">
        <x:f>IF('계산 과정'!$L$5,'계산 과정'!$D$6+'계산 과정'!$C$35*D1629+'계산 과정'!$D$35*E1629,"")</x:f>
        <x:v>564.3416905649825</x:v>
      </x:c>
      <x:c r="K1629" s="4" t="n">
        <x:f>IF(AND('계산 과정'!$L$6,J1629&gt;0),'계산 과정'!$D$10*('계산 과정'!$C$38*(D1629-'계산 과정'!$C$32)+'계산 과정'!$D$38*(E1629-'계산 과정'!$D$32)-'계산 과정'!$E$38*'계산 과정'!$E$32)/J1629,"")</x:f>
        <x:v>1.2142758313568776</x:v>
      </x:c>
      <x:c r="L1629" s="4" t="n">
        <x:f>IF(AND('계산 과정'!$L$6,J1629&gt;0),'계산 과정'!$D$10*('계산 과정'!$C$39*(D1629-'계산 과정'!$C$32)+'계산 과정'!$D$39*(E1629-'계산 과정'!$D$32)-'계산 과정'!$E$39*'계산 과정'!$E$32)/J1629,"")</x:f>
        <x:v>-0.7970803840041419</x:v>
      </x:c>
      <x:c r="M1629" s="17" t="n">
        <x:f>IF('계산 과정'!$L$6,IF(J1629&lt;=0,0,IF(AND(ABS(K1629)&lt;='계산 과정'!$D$11/2,ABS(L1629)&lt;='계산 과정'!$D$12/2),1,0)),"")</x:f>
        <x:v>1</x:v>
      </x:c>
      <x:c r="N1629" s="17" t="n">
        <x:f>IF('계산 과정'!$C$78,IF(AND(ISNUMBER(H1629),ISNUMBER(I1629),ABS(H1629-'계산 과정'!$C$88)&lt;='계산 과정'!$D$23/2,ABS(I1629-'계산 과정'!$C$89)&lt;='계산 과정'!$D$24/2),1,0),"")</x:f>
        <x:v>1</x:v>
      </x:c>
      <x:c r="O1629" s="4" t="n">
        <x:f>IF('계산 과정'!$L$7,'계산 과정'!$C$49*('계산 과정'!$C$32-D1629)+'계산 과정'!$D$49*('계산 과정'!$D$32-E1629)+'계산 과정'!$E$49*'계산 과정'!$E$32,"")</x:f>
        <x:v>85.65830943501757</x:v>
      </x:c>
      <x:c r="P1629" s="4" t="n">
        <x:f>IF(AND('계산 과정'!$L$7,O1629&lt;&gt;0),('계산 과정'!$L$23-'계산 과정'!$C$49*D1629-'계산 과정'!$D$49*E1629)/O1629,"")</x:f>
        <x:v>5.669716255647672</x:v>
      </x:c>
      <x:c r="Q1629" s="4" t="str">
        <x:f>IF(AND(ISNUMBER(P1629),P1629&gt;1E-9,P1629&lt;1-1E-9),'계산 과정'!$C$47*(D1629-'계산 과정'!$C$50+P1629*('계산 과정'!$C$32-D1629))+'계산 과정'!$D$47*(E1629-'계산 과정'!$D$50+P1629*('계산 과정'!$D$32-E1629))+'계산 과정'!$E$47*(0-'계산 과정'!$E$50+P1629*('계산 과정'!$E$32-0)),"")</x:f>
      </x:c>
      <x:c r="R1629" s="4" t="str">
        <x:f>IF(AND(ISNUMBER(P1629),P1629&gt;1E-9,P1629&lt;1-1E-9),'계산 과정'!$C$48*(D1629-'계산 과정'!$C$50+P1629*('계산 과정'!$C$32-D1629))+'계산 과정'!$D$48*(E1629-'계산 과정'!$D$50+P1629*('계산 과정'!$D$32-E1629))+'계산 과정'!$E$48*(0-'계산 과정'!$E$50+P1629*('계산 과정'!$E$32-0)),"")</x:f>
      </x:c>
      <x:c r="S1629" s="17" t="n">
        <x:f>IF('계산 과정'!$C$78,IF(AND(ISNUMBER(Q1629),ISNUMBER(R1629),ABS(Q1629-'계산 과정'!$C$88)&lt;='계산 과정'!$D$23/2,ABS(R1629-'계산 과정'!$C$89)&lt;='계산 과정'!$D$24/2),1,0),"")</x:f>
        <x:v>0</x:v>
      </x:c>
      <x:c r="T1629" s="4"/>
      <x:c r="U1629" s="4"/>
      <x:c r="V1629" s="4"/>
      <x:c r="W1629" s="4"/>
      <x:c r="X1629" s="4"/>
      <x:c r="Y1629" s="4"/>
      <x:c r="Z1629" s="4"/>
    </x:row>
    <x:row r="1630" ht="23" customHeight="1">
      <x:c r="A1630" s="17" t="n">
        <x:f>ROW()-6</x:f>
        <x:v>1624</x:v>
      </x:c>
      <x:c r="B1630" s="4" t="n">
        <x:f>IF('계산 과정'!$L$5,'계산 과정'!$L$11*SQRT((A1630+0.5)/'계산 과정'!$L$30),"")</x:f>
        <x:v>133.59375</x:v>
      </x:c>
      <x:c r="C1630" s="4" t="n">
        <x:f>A1630*PI()*(3-SQRT(5))</x:f>
        <x:v>3897.540285079332</x:v>
      </x:c>
      <x:c r="D1630" s="4" t="n">
        <x:f>IF('계산 과정'!$L$5,B1630*COS(C1630),"")</x:f>
        <x:v>-51.35843272438272</x:v>
      </x:c>
      <x:c r="E1630" s="4" t="n">
        <x:f>IF('계산 과정'!$L$5,B1630*SIN(C1630),"")</x:f>
        <x:v>123.32721284111447</x:v>
      </x:c>
      <x:c r="F1630" s="4" t="n">
        <x:f>IF('계산 과정'!$L$7,'계산 과정'!$L$22+'계산 과정'!$C$49*D1630+'계산 과정'!$D$49*E1630,"")</x:f>
        <x:v>686.3158960505241</x:v>
      </x:c>
      <x:c r="G1630" s="4" t="n">
        <x:f>IF('계산 과정'!$L$7,IF(ABS(F1630)&gt;=1E-12*MAX(1,SQRT((D1630-'계산 과정'!$C$33)^2+(E1630-'계산 과정'!$D$33)^2+'계산 과정'!$E$33^2)),('계산 과정'!$L$23-'계산 과정'!$C$49*D1630-'계산 과정'!$D$49*E1630)/F1630,""),"")</x:f>
        <x:v>0.5299077378832893</x:v>
      </x:c>
      <x:c r="H1630" s="4" t="n">
        <x:f>IF(AND(ISNUMBER(G1630),G1630&gt;0),('계산 과정'!$D$56+'계산 과정'!$D$57*D1630+'계산 과정'!$D$58*E1630)/F1630,"")</x:f>
        <x:v>-55.55997037586216</x:v>
      </x:c>
      <x:c r="I1630" s="4" t="n">
        <x:f>IF(AND(ISNUMBER(G1630),G1630&gt;0),('계산 과정'!$E$56+'계산 과정'!$E$57*D1630+'계산 과정'!$E$58*E1630)/F1630,"")</x:f>
        <x:v>188.6792572172004</x:v>
      </x:c>
      <x:c r="J1630" s="4" t="n">
        <x:f>IF('계산 과정'!$L$5,'계산 과정'!$D$6+'계산 과정'!$C$35*D1630+'계산 과정'!$D$35*E1630,"")</x:f>
        <x:v>686.3158960505241</x:v>
      </x:c>
      <x:c r="K1630" s="4" t="n">
        <x:f>IF(AND('계산 과정'!$L$6,J1630&gt;0),'계산 과정'!$D$10*('계산 과정'!$C$38*(D1630-'계산 과정'!$C$32)+'계산 과정'!$D$38*(E1630-'계산 과정'!$D$32)-'계산 과정'!$E$38*'계산 과정'!$E$32)/J1630,"")</x:f>
        <x:v>-0.4233140600065682</x:v>
      </x:c>
      <x:c r="L1630" s="4" t="n">
        <x:f>IF(AND('계산 과정'!$L$6,J1630&gt;0),'계산 과정'!$D$10*('계산 과정'!$C$39*(D1630-'계산 과정'!$C$32)+'계산 과정'!$D$39*(E1630-'계산 과정'!$D$32)-'계산 과정'!$E$39*'계산 과정'!$E$32)/J1630,"")</x:f>
        <x:v>1.437556245464384</x:v>
      </x:c>
      <x:c r="M1630" s="17" t="n">
        <x:f>IF('계산 과정'!$L$6,IF(J1630&lt;=0,0,IF(AND(ABS(K1630)&lt;='계산 과정'!$D$11/2,ABS(L1630)&lt;='계산 과정'!$D$12/2),1,0)),"")</x:f>
        <x:v>1</x:v>
      </x:c>
      <x:c r="N1630" s="17" t="n">
        <x:f>IF('계산 과정'!$C$78,IF(AND(ISNUMBER(H1630),ISNUMBER(I1630),ABS(H1630-'계산 과정'!$C$88)&lt;='계산 과정'!$D$23/2,ABS(I1630-'계산 과정'!$C$89)&lt;='계산 과정'!$D$24/2),1,0),"")</x:f>
        <x:v>1</x:v>
      </x:c>
      <x:c r="O1630" s="4" t="n">
        <x:f>IF('계산 과정'!$L$7,'계산 과정'!$C$49*('계산 과정'!$C$32-D1630)+'계산 과정'!$D$49*('계산 과정'!$D$32-E1630)+'계산 과정'!$E$49*'계산 과정'!$E$32,"")</x:f>
        <x:v>-36.31589605052403</x:v>
      </x:c>
      <x:c r="P1630" s="4" t="n">
        <x:f>IF(AND('계산 과정'!$L$7,O1630&lt;&gt;0),('계산 과정'!$L$23-'계산 과정'!$C$49*D1630-'계산 과정'!$D$49*E1630)/O1630,"")</x:f>
        <x:v>-10.014460429215488</x:v>
      </x:c>
      <x:c r="Q1630" s="4" t="str">
        <x:f>IF(AND(ISNUMBER(P1630),P1630&gt;1E-9,P1630&lt;1-1E-9),'계산 과정'!$C$47*(D1630-'계산 과정'!$C$50+P1630*('계산 과정'!$C$32-D1630))+'계산 과정'!$D$47*(E1630-'계산 과정'!$D$50+P1630*('계산 과정'!$D$32-E1630))+'계산 과정'!$E$47*(0-'계산 과정'!$E$50+P1630*('계산 과정'!$E$32-0)),"")</x:f>
      </x:c>
      <x:c r="R1630" s="4" t="str">
        <x:f>IF(AND(ISNUMBER(P1630),P1630&gt;1E-9,P1630&lt;1-1E-9),'계산 과정'!$C$48*(D1630-'계산 과정'!$C$50+P1630*('계산 과정'!$C$32-D1630))+'계산 과정'!$D$48*(E1630-'계산 과정'!$D$50+P1630*('계산 과정'!$D$32-E1630))+'계산 과정'!$E$48*(0-'계산 과정'!$E$50+P1630*('계산 과정'!$E$32-0)),"")</x:f>
      </x:c>
      <x:c r="S1630" s="17" t="n">
        <x:f>IF('계산 과정'!$C$78,IF(AND(ISNUMBER(Q1630),ISNUMBER(R1630),ABS(Q1630-'계산 과정'!$C$88)&lt;='계산 과정'!$D$23/2,ABS(R1630-'계산 과정'!$C$89)&lt;='계산 과정'!$D$24/2),1,0),"")</x:f>
        <x:v>0</x:v>
      </x:c>
      <x:c r="T1630" s="4"/>
      <x:c r="U1630" s="4"/>
      <x:c r="V1630" s="4"/>
      <x:c r="W1630" s="4"/>
      <x:c r="X1630" s="4"/>
      <x:c r="Y1630" s="4"/>
      <x:c r="Z1630" s="4"/>
    </x:row>
    <x:row r="1631" ht="23" customHeight="1">
      <x:c r="A1631" s="17" t="n">
        <x:f>ROW()-6</x:f>
        <x:v>1625</x:v>
      </x:c>
      <x:c r="B1631" s="4" t="n">
        <x:f>IF('계산 과정'!$L$5,'계산 과정'!$L$11*SQRT((A1631+0.5)/'계산 과정'!$L$30),"")</x:f>
        <x:v>133.63486209514156</x:v>
      </x:c>
      <x:c r="C1631" s="4" t="n">
        <x:f>A1631*PI()*(3-SQRT(5))</x:f>
        <x:v>3899.940248309061</x:v>
      </x:c>
      <x:c r="D1631" s="4" t="n">
        <x:f>IF('계산 과정'!$L$5,B1631*COS(C1631),"")</x:f>
        <x:v>-45.45020790312916</x:v>
      </x:c>
      <x:c r="E1631" s="4" t="n">
        <x:f>IF('계산 과정'!$L$5,B1631*SIN(C1631),"")</x:f>
        <x:v>-125.66843266608299</x:v>
      </x:c>
      <x:c r="F1631" s="4" t="n">
        <x:f>IF('계산 과정'!$L$7,'계산 과정'!$L$22+'계산 과정'!$C$49*D1631+'계산 과정'!$D$49*E1631,"")</x:f>
        <x:v>682.1381502146411</x:v>
      </x:c>
      <x:c r="G1631" s="4" t="n">
        <x:f>IF('계산 과정'!$L$7,IF(ABS(F1631)&gt;=1E-12*MAX(1,SQRT((D1631-'계산 과정'!$C$33)^2+(E1631-'계산 과정'!$D$33)^2+'계산 과정'!$E$33^2)),('계산 과정'!$L$23-'계산 과정'!$C$49*D1631-'계산 과정'!$D$49*E1631)/F1631,""),"")</x:f>
        <x:v>0.5392776370440618</x:v>
      </x:c>
      <x:c r="H1631" s="4" t="n">
        <x:f>IF(AND(ISNUMBER(G1631),G1631&gt;0),('계산 과정'!$D$56+'계산 과정'!$D$57*D1631+'계산 과정'!$D$58*E1631)/F1631,"")</x:f>
        <x:v>-49.46953592135989</x:v>
      </x:c>
      <x:c r="I1631" s="4" t="n">
        <x:f>IF(AND(ISNUMBER(G1631),G1631&gt;0),('계산 과정'!$E$56+'계산 과정'!$E$57*D1631+'계산 과정'!$E$58*E1631)/F1631,"")</x:f>
        <x:v>-193.43860808527901</x:v>
      </x:c>
      <x:c r="J1631" s="4" t="n">
        <x:f>IF('계산 과정'!$L$5,'계산 과정'!$D$6+'계산 과정'!$C$35*D1631+'계산 과정'!$D$35*E1631,"")</x:f>
        <x:v>682.1381502146411</x:v>
      </x:c>
      <x:c r="K1631" s="4" t="n">
        <x:f>IF(AND('계산 과정'!$L$6,J1631&gt;0),'계산 과정'!$D$10*('계산 과정'!$C$38*(D1631-'계산 과정'!$C$32)+'계산 과정'!$D$38*(E1631-'계산 과정'!$D$32)-'계산 과정'!$E$38*'계산 과정'!$E$32)/J1631,"")</x:f>
        <x:v>-0.37691074987702666</x:v>
      </x:c>
      <x:c r="L1631" s="4" t="n">
        <x:f>IF(AND('계산 과정'!$L$6,J1631&gt;0),'계산 과정'!$D$10*('계산 과정'!$C$39*(D1631-'계산 과정'!$C$32)+'계산 과정'!$D$39*(E1631-'계산 과정'!$D$32)-'계산 과정'!$E$39*'계산 과정'!$E$32)/J1631,"")</x:f>
        <x:v>-1.4738179663640305</x:v>
      </x:c>
      <x:c r="M1631" s="17" t="n">
        <x:f>IF('계산 과정'!$L$6,IF(J1631&lt;=0,0,IF(AND(ABS(K1631)&lt;='계산 과정'!$D$11/2,ABS(L1631)&lt;='계산 과정'!$D$12/2),1,0)),"")</x:f>
        <x:v>1</x:v>
      </x:c>
      <x:c r="N1631" s="17" t="n">
        <x:f>IF('계산 과정'!$C$78,IF(AND(ISNUMBER(H1631),ISNUMBER(I1631),ABS(H1631-'계산 과정'!$C$88)&lt;='계산 과정'!$D$23/2,ABS(I1631-'계산 과정'!$C$89)&lt;='계산 과정'!$D$24/2),1,0),"")</x:f>
        <x:v>1</x:v>
      </x:c>
      <x:c r="O1631" s="4" t="n">
        <x:f>IF('계산 과정'!$L$7,'계산 과정'!$C$49*('계산 과정'!$C$32-D1631)+'계산 과정'!$D$49*('계산 과정'!$D$32-E1631)+'계산 과정'!$E$49*'계산 과정'!$E$32,"")</x:f>
        <x:v>-32.138150214640916</x:v>
      </x:c>
      <x:c r="P1631" s="4" t="n">
        <x:f>IF(AND('계산 과정'!$L$7,O1631&lt;&gt;0),('계산 과정'!$L$23-'계산 과정'!$C$49*D1631-'계산 과정'!$D$49*E1631)/O1631,"")</x:f>
        <x:v>-11.446267047995038</x:v>
      </x:c>
      <x:c r="Q1631" s="4" t="str">
        <x:f>IF(AND(ISNUMBER(P1631),P1631&gt;1E-9,P1631&lt;1-1E-9),'계산 과정'!$C$47*(D1631-'계산 과정'!$C$50+P1631*('계산 과정'!$C$32-D1631))+'계산 과정'!$D$47*(E1631-'계산 과정'!$D$50+P1631*('계산 과정'!$D$32-E1631))+'계산 과정'!$E$47*(0-'계산 과정'!$E$50+P1631*('계산 과정'!$E$32-0)),"")</x:f>
      </x:c>
      <x:c r="R1631" s="4" t="str">
        <x:f>IF(AND(ISNUMBER(P1631),P1631&gt;1E-9,P1631&lt;1-1E-9),'계산 과정'!$C$48*(D1631-'계산 과정'!$C$50+P1631*('계산 과정'!$C$32-D1631))+'계산 과정'!$D$48*(E1631-'계산 과정'!$D$50+P1631*('계산 과정'!$D$32-E1631))+'계산 과정'!$E$48*(0-'계산 과정'!$E$50+P1631*('계산 과정'!$E$32-0)),"")</x:f>
      </x:c>
      <x:c r="S1631" s="17" t="n">
        <x:f>IF('계산 과정'!$C$78,IF(AND(ISNUMBER(Q1631),ISNUMBER(R1631),ABS(Q1631-'계산 과정'!$C$88)&lt;='계산 과정'!$D$23/2,ABS(R1631-'계산 과정'!$C$89)&lt;='계산 과정'!$D$24/2),1,0),"")</x:f>
        <x:v>0</x:v>
      </x:c>
      <x:c r="T1631" s="4"/>
      <x:c r="U1631" s="4"/>
      <x:c r="V1631" s="4"/>
      <x:c r="W1631" s="4"/>
      <x:c r="X1631" s="4"/>
      <x:c r="Y1631" s="4"/>
      <x:c r="Z1631" s="4"/>
    </x:row>
    <x:row r="1632" ht="23" customHeight="1">
      <x:c r="A1632" s="17" t="n">
        <x:f>ROW()-6</x:f>
        <x:v>1626</x:v>
      </x:c>
      <x:c r="B1632" s="4" t="n">
        <x:f>IF('계산 과정'!$L$5,'계산 과정'!$L$11*SQRT((A1632+0.5)/'계산 과정'!$L$30),"")</x:f>
        <x:v>133.6759615462425</x:v>
      </x:c>
      <x:c r="C1632" s="4" t="n">
        <x:f>A1632*PI()*(3-SQRT(5))</x:f>
        <x:v>3902.3402115387894</x:v>
      </x:c>
      <x:c r="D1632" s="4" t="n">
        <x:f>IF('계산 과정'!$L$5,B1632*COS(C1632),"")</x:f>
        <x:v>118.43778975762487</x:v>
      </x:c>
      <x:c r="E1632" s="4" t="n">
        <x:f>IF('계산 과정'!$L$5,B1632*SIN(C1632),"")</x:f>
        <x:v>61.98187358124269</x:v>
      </x:c>
      <x:c r="F1632" s="4" t="n">
        <x:f>IF('계산 과정'!$L$7,'계산 과정'!$L$22+'계산 과정'!$C$49*D1632+'계산 과정'!$D$49*E1632,"")</x:f>
        <x:v>566.2518357136369</x:v>
      </x:c>
      <x:c r="G1632" s="4" t="n">
        <x:f>IF('계산 과정'!$L$7,IF(ABS(F1632)&gt;=1E-12*MAX(1,SQRT((D1632-'계산 과정'!$C$33)^2+(E1632-'계산 과정'!$D$33)^2+'계산 과정'!$E$33^2)),('계산 과정'!$L$23-'계산 과정'!$C$49*D1632-'계산 과정'!$D$49*E1632)/F1632,""),"")</x:f>
        <x:v>0.8542986243509554</x:v>
      </x:c>
      <x:c r="H1632" s="4" t="n">
        <x:f>IF(AND(ISNUMBER(G1632),G1632&gt;0),('계산 과정'!$D$56+'계산 과정'!$D$57*D1632+'계산 과정'!$D$58*E1632)/F1632,"")</x:f>
        <x:v>155.29410582812093</x:v>
      </x:c>
      <x:c r="I1632" s="4" t="n">
        <x:f>IF(AND(ISNUMBER(G1632),G1632&gt;0),('계산 과정'!$E$56+'계산 과정'!$E$57*D1632+'계산 과정'!$E$58*E1632)/F1632,"")</x:f>
        <x:v>114.93290291639315</x:v>
      </x:c>
      <x:c r="J1632" s="4" t="n">
        <x:f>IF('계산 과정'!$L$5,'계산 과정'!$D$6+'계산 과정'!$C$35*D1632+'계산 과정'!$D$35*E1632,"")</x:f>
        <x:v>566.2518357136369</x:v>
      </x:c>
      <x:c r="K1632" s="4" t="n">
        <x:f>IF(AND('계산 과정'!$L$6,J1632&gt;0),'계산 과정'!$D$10*('계산 과정'!$C$38*(D1632-'계산 과정'!$C$32)+'계산 과정'!$D$38*(E1632-'계산 과정'!$D$32)-'계산 과정'!$E$38*'계산 과정'!$E$32)/J1632,"")</x:f>
        <x:v>1.1831931872618744</x:v>
      </x:c>
      <x:c r="L1632" s="4" t="n">
        <x:f>IF(AND('계산 과정'!$L$6,J1632&gt;0),'계산 과정'!$D$10*('계산 과정'!$C$39*(D1632-'계산 과정'!$C$32)+'계산 과정'!$D$39*(E1632-'계산 과정'!$D$32)-'계산 과정'!$E$39*'계산 과정'!$E$32)/J1632,"")</x:f>
        <x:v>0.8756792603153762</x:v>
      </x:c>
      <x:c r="M1632" s="17" t="n">
        <x:f>IF('계산 과정'!$L$6,IF(J1632&lt;=0,0,IF(AND(ABS(K1632)&lt;='계산 과정'!$D$11/2,ABS(L1632)&lt;='계산 과정'!$D$12/2),1,0)),"")</x:f>
        <x:v>1</x:v>
      </x:c>
      <x:c r="N1632" s="17" t="n">
        <x:f>IF('계산 과정'!$C$78,IF(AND(ISNUMBER(H1632),ISNUMBER(I1632),ABS(H1632-'계산 과정'!$C$88)&lt;='계산 과정'!$D$23/2,ABS(I1632-'계산 과정'!$C$89)&lt;='계산 과정'!$D$24/2),1,0),"")</x:f>
        <x:v>1</x:v>
      </x:c>
      <x:c r="O1632" s="4" t="n">
        <x:f>IF('계산 과정'!$L$7,'계산 과정'!$C$49*('계산 과정'!$C$32-D1632)+'계산 과정'!$D$49*('계산 과정'!$D$32-E1632)+'계산 과정'!$E$49*'계산 과정'!$E$32,"")</x:f>
        <x:v>83.74816428636325</x:v>
      </x:c>
      <x:c r="P1632" s="4" t="n">
        <x:f>IF(AND('계산 과정'!$L$7,O1632&lt;&gt;0),('계산 과정'!$L$23-'계산 과정'!$C$49*D1632-'계산 과정'!$D$49*E1632)/O1632,"")</x:f>
        <x:v>5.776224092891933</x:v>
      </x:c>
      <x:c r="Q1632" s="4" t="str">
        <x:f>IF(AND(ISNUMBER(P1632),P1632&gt;1E-9,P1632&lt;1-1E-9),'계산 과정'!$C$47*(D1632-'계산 과정'!$C$50+P1632*('계산 과정'!$C$32-D1632))+'계산 과정'!$D$47*(E1632-'계산 과정'!$D$50+P1632*('계산 과정'!$D$32-E1632))+'계산 과정'!$E$47*(0-'계산 과정'!$E$50+P1632*('계산 과정'!$E$32-0)),"")</x:f>
      </x:c>
      <x:c r="R1632" s="4" t="str">
        <x:f>IF(AND(ISNUMBER(P1632),P1632&gt;1E-9,P1632&lt;1-1E-9),'계산 과정'!$C$48*(D1632-'계산 과정'!$C$50+P1632*('계산 과정'!$C$32-D1632))+'계산 과정'!$D$48*(E1632-'계산 과정'!$D$50+P1632*('계산 과정'!$D$32-E1632))+'계산 과정'!$E$48*(0-'계산 과정'!$E$50+P1632*('계산 과정'!$E$32-0)),"")</x:f>
      </x:c>
      <x:c r="S1632" s="17" t="n">
        <x:f>IF('계산 과정'!$C$78,IF(AND(ISNUMBER(Q1632),ISNUMBER(R1632),ABS(Q1632-'계산 과정'!$C$88)&lt;='계산 과정'!$D$23/2,ABS(R1632-'계산 과정'!$C$89)&lt;='계산 과정'!$D$24/2),1,0),"")</x:f>
        <x:v>0</x:v>
      </x:c>
      <x:c r="T1632" s="4"/>
      <x:c r="U1632" s="4"/>
      <x:c r="V1632" s="4"/>
      <x:c r="W1632" s="4"/>
      <x:c r="X1632" s="4"/>
      <x:c r="Y1632" s="4"/>
      <x:c r="Z1632" s="4"/>
    </x:row>
    <x:row r="1633" ht="23" customHeight="1">
      <x:c r="A1633" s="17" t="n">
        <x:f>ROW()-6</x:f>
        <x:v>1627</x:v>
      </x:c>
      <x:c r="B1633" s="4" t="n">
        <x:f>IF('계산 과정'!$L$5,'계산 과정'!$L$11*SQRT((A1633+0.5)/'계산 과정'!$L$30),"")</x:f>
        <x:v>133.71704836496167</x:v>
      </x:c>
      <x:c r="C1633" s="4" t="n">
        <x:f>A1633*PI()*(3-SQRT(5))</x:f>
        <x:v>3904.7401747685185</x:v>
      </x:c>
      <x:c r="D1633" s="4" t="n">
        <x:f>IF('계산 과정'!$L$5,B1633*COS(C1633),"")</x:f>
        <x:v>-129.24020541315014</x:v>
      </x:c>
      <x:c r="E1633" s="4" t="n">
        <x:f>IF('계산 과정'!$L$5,B1633*SIN(C1633),"")</x:f>
        <x:v>34.310615386557224</x:v>
      </x:c>
      <x:c r="F1633" s="4" t="n">
        <x:f>IF('계산 과정'!$L$7,'계산 과정'!$L$22+'계산 과정'!$C$49*D1633+'계산 과정'!$D$49*E1633,"")</x:f>
        <x:v>741.3866256495808</x:v>
      </x:c>
      <x:c r="G1633" s="4" t="n">
        <x:f>IF('계산 과정'!$L$7,IF(ABS(F1633)&gt;=1E-12*MAX(1,SQRT((D1633-'계산 과정'!$C$33)^2+(E1633-'계산 과정'!$D$33)^2+'계산 과정'!$E$33^2)),('계산 과정'!$L$23-'계산 과정'!$C$49*D1633-'계산 과정'!$D$49*E1633)/F1633,""),"")</x:f>
        <x:v>0.41626509525987393</x:v>
      </x:c>
      <x:c r="H1633" s="4" t="n">
        <x:f>IF(AND(ISNUMBER(G1633),G1633&gt;0),('계산 과정'!$D$56+'계산 과정'!$D$57*D1633+'계산 과정'!$D$58*E1633)/F1633,"")</x:f>
        <x:v>-129.42768808108212</x:v>
      </x:c>
      <x:c r="I1633" s="4" t="n">
        <x:f>IF(AND(ISNUMBER(G1633),G1633&gt;0),('계산 과정'!$E$56+'계산 과정'!$E$57*D1633+'계산 과정'!$E$58*E1633)/F1633,"")</x:f>
        <x:v>48.59292696886737</x:v>
      </x:c>
      <x:c r="J1633" s="4" t="n">
        <x:f>IF('계산 과정'!$L$5,'계산 과정'!$D$6+'계산 과정'!$C$35*D1633+'계산 과정'!$D$35*E1633,"")</x:f>
        <x:v>741.3866256495808</x:v>
      </x:c>
      <x:c r="K1633" s="4" t="n">
        <x:f>IF(AND('계산 과정'!$L$6,J1633&gt;0),'계산 과정'!$D$10*('계산 과정'!$C$38*(D1633-'계산 과정'!$C$32)+'계산 과정'!$D$38*(E1633-'계산 과정'!$D$32)-'계산 과정'!$E$38*'계산 과정'!$E$32)/J1633,"")</x:f>
        <x:v>-0.9861157187130059</x:v>
      </x:c>
      <x:c r="L1633" s="4" t="n">
        <x:f>IF(AND('계산 과정'!$L$6,J1633&gt;0),'계산 과정'!$D$10*('계산 과정'!$C$39*(D1633-'계산 과정'!$C$32)+'계산 과정'!$D$39*(E1633-'계산 과정'!$D$32)-'계산 과정'!$E$39*'계산 과정'!$E$32)/J1633,"")</x:f>
        <x:v>0.3702318245247037</x:v>
      </x:c>
      <x:c r="M1633" s="17" t="n">
        <x:f>IF('계산 과정'!$L$6,IF(J1633&lt;=0,0,IF(AND(ABS(K1633)&lt;='계산 과정'!$D$11/2,ABS(L1633)&lt;='계산 과정'!$D$12/2),1,0)),"")</x:f>
        <x:v>1</x:v>
      </x:c>
      <x:c r="N1633" s="17" t="n">
        <x:f>IF('계산 과정'!$C$78,IF(AND(ISNUMBER(H1633),ISNUMBER(I1633),ABS(H1633-'계산 과정'!$C$88)&lt;='계산 과정'!$D$23/2,ABS(I1633-'계산 과정'!$C$89)&lt;='계산 과정'!$D$24/2),1,0),"")</x:f>
        <x:v>1</x:v>
      </x:c>
      <x:c r="O1633" s="4" t="n">
        <x:f>IF('계산 과정'!$L$7,'계산 과정'!$C$49*('계산 과정'!$C$32-D1633)+'계산 과정'!$D$49*('계산 과정'!$D$32-E1633)+'계산 과정'!$E$49*'계산 과정'!$E$32,"")</x:f>
        <x:v>-91.38662564958071</x:v>
      </x:c>
      <x:c r="P1633" s="4" t="n">
        <x:f>IF(AND('계산 과정'!$L$7,O1633&lt;&gt;0),('계산 과정'!$L$23-'계산 과정'!$C$49*D1633-'계산 과정'!$D$49*E1633)/O1633,"")</x:f>
        <x:v>-3.3770080923415207</x:v>
      </x:c>
      <x:c r="Q1633" s="4" t="str">
        <x:f>IF(AND(ISNUMBER(P1633),P1633&gt;1E-9,P1633&lt;1-1E-9),'계산 과정'!$C$47*(D1633-'계산 과정'!$C$50+P1633*('계산 과정'!$C$32-D1633))+'계산 과정'!$D$47*(E1633-'계산 과정'!$D$50+P1633*('계산 과정'!$D$32-E1633))+'계산 과정'!$E$47*(0-'계산 과정'!$E$50+P1633*('계산 과정'!$E$32-0)),"")</x:f>
      </x:c>
      <x:c r="R1633" s="4" t="str">
        <x:f>IF(AND(ISNUMBER(P1633),P1633&gt;1E-9,P1633&lt;1-1E-9),'계산 과정'!$C$48*(D1633-'계산 과정'!$C$50+P1633*('계산 과정'!$C$32-D1633))+'계산 과정'!$D$48*(E1633-'계산 과정'!$D$50+P1633*('계산 과정'!$D$32-E1633))+'계산 과정'!$E$48*(0-'계산 과정'!$E$50+P1633*('계산 과정'!$E$32-0)),"")</x:f>
      </x:c>
      <x:c r="S1633" s="17" t="n">
        <x:f>IF('계산 과정'!$C$78,IF(AND(ISNUMBER(Q1633),ISNUMBER(R1633),ABS(Q1633-'계산 과정'!$C$88)&lt;='계산 과정'!$D$23/2,ABS(R1633-'계산 과정'!$C$89)&lt;='계산 과정'!$D$24/2),1,0),"")</x:f>
        <x:v>0</x:v>
      </x:c>
      <x:c r="T1633" s="4"/>
      <x:c r="U1633" s="4"/>
      <x:c r="V1633" s="4"/>
      <x:c r="W1633" s="4"/>
      <x:c r="X1633" s="4"/>
      <x:c r="Y1633" s="4"/>
      <x:c r="Z1633" s="4"/>
    </x:row>
    <x:row r="1634" ht="23" customHeight="1">
      <x:c r="A1634" s="17" t="n">
        <x:f>ROW()-6</x:f>
        <x:v>1628</x:v>
      </x:c>
      <x:c r="B1634" s="4" t="n">
        <x:f>IF('계산 과정'!$L$5,'계산 과정'!$L$11*SQRT((A1634+0.5)/'계산 과정'!$L$30),"")</x:f>
        <x:v>133.7581225629401</x:v>
      </x:c>
      <x:c r="C1634" s="4" t="n">
        <x:f>A1634*PI()*(3-SQRT(5))</x:f>
        <x:v>3907.140137998247</x:v>
      </x:c>
      <x:c r="D1634" s="4" t="n">
        <x:f>IF('계산 과정'!$L$5,B1634*COS(C1634),"")</x:f>
        <x:v>72.14337123794394</x:v>
      </x:c>
      <x:c r="E1634" s="4" t="n">
        <x:f>IF('계산 과정'!$L$5,B1634*SIN(C1634),"")</x:f>
        <x:v>-112.63467200638846</x:v>
      </x:c>
      <x:c r="F1634" s="4" t="n">
        <x:f>IF('계산 과정'!$L$7,'계산 과정'!$L$22+'계산 과정'!$C$49*D1634+'계산 과정'!$D$49*E1634,"")</x:f>
        <x:v>598.9869329799914</x:v>
      </x:c>
      <x:c r="G1634" s="4" t="n">
        <x:f>IF('계산 과정'!$L$7,IF(ABS(F1634)&gt;=1E-12*MAX(1,SQRT((D1634-'계산 과정'!$C$33)^2+(E1634-'계산 과정'!$D$33)^2+'계산 과정'!$E$33^2)),('계산 과정'!$L$23-'계산 과정'!$C$49*D1634-'계산 과정'!$D$49*E1634)/F1634,""),"")</x:f>
        <x:v>0.7529597762278303</x:v>
      </x:c>
      <x:c r="H1634" s="4" t="n">
        <x:f>IF(AND(ISNUMBER(G1634),G1634&gt;0),('계산 과정'!$D$56+'계산 과정'!$D$57*D1634+'계산 과정'!$D$58*E1634)/F1634,"")</x:f>
        <x:v>89.42385454808965</x:v>
      </x:c>
      <x:c r="I1634" s="4" t="n">
        <x:f>IF(AND(ISNUMBER(G1634),G1634&gt;0),('계산 과정'!$E$56+'계산 과정'!$E$57*D1634+'계산 과정'!$E$58*E1634)/F1634,"")</x:f>
        <x:v>-197.44404943581375</x:v>
      </x:c>
      <x:c r="J1634" s="4" t="n">
        <x:f>IF('계산 과정'!$L$5,'계산 과정'!$D$6+'계산 과정'!$C$35*D1634+'계산 과정'!$D$35*E1634,"")</x:f>
        <x:v>598.9869329799914</x:v>
      </x:c>
      <x:c r="K1634" s="4" t="n">
        <x:f>IF(AND('계산 과정'!$L$6,J1634&gt;0),'계산 과정'!$D$10*('계산 과정'!$C$38*(D1634-'계산 과정'!$C$32)+'계산 과정'!$D$38*(E1634-'계산 과정'!$D$32)-'계산 과정'!$E$38*'계산 과정'!$E$32)/J1634,"")</x:f>
        <x:v>0.6813246060806838</x:v>
      </x:c>
      <x:c r="L1634" s="4" t="n">
        <x:f>IF(AND('계산 과정'!$L$6,J1634&gt;0),'계산 과정'!$D$10*('계산 과정'!$C$39*(D1634-'계산 과정'!$C$32)+'계산 과정'!$D$39*(E1634-'계산 과정'!$D$32)-'계산 과정'!$E$39*'계산 과정'!$E$32)/J1634,"")</x:f>
        <x:v>-1.5043356147490572</x:v>
      </x:c>
      <x:c r="M1634" s="17" t="n">
        <x:f>IF('계산 과정'!$L$6,IF(J1634&lt;=0,0,IF(AND(ABS(K1634)&lt;='계산 과정'!$D$11/2,ABS(L1634)&lt;='계산 과정'!$D$12/2),1,0)),"")</x:f>
        <x:v>1</x:v>
      </x:c>
      <x:c r="N1634" s="17" t="n">
        <x:f>IF('계산 과정'!$C$78,IF(AND(ISNUMBER(H1634),ISNUMBER(I1634),ABS(H1634-'계산 과정'!$C$88)&lt;='계산 과정'!$D$23/2,ABS(I1634-'계산 과정'!$C$89)&lt;='계산 과정'!$D$24/2),1,0),"")</x:f>
        <x:v>1</x:v>
      </x:c>
      <x:c r="O1634" s="4" t="n">
        <x:f>IF('계산 과정'!$L$7,'계산 과정'!$C$49*('계산 과정'!$C$32-D1634)+'계산 과정'!$D$49*('계산 과정'!$D$32-E1634)+'계산 과정'!$E$49*'계산 과정'!$E$32,"")</x:f>
        <x:v>51.013067020008805</x:v>
      </x:c>
      <x:c r="P1634" s="4" t="n">
        <x:f>IF(AND('계산 과정'!$L$7,O1634&lt;&gt;0),('계산 과정'!$L$23-'계산 과정'!$C$49*D1634-'계산 과정'!$D$49*E1634)/O1634,"")</x:f>
        <x:v>8.841128231774581</x:v>
      </x:c>
      <x:c r="Q1634" s="4" t="str">
        <x:f>IF(AND(ISNUMBER(P1634),P1634&gt;1E-9,P1634&lt;1-1E-9),'계산 과정'!$C$47*(D1634-'계산 과정'!$C$50+P1634*('계산 과정'!$C$32-D1634))+'계산 과정'!$D$47*(E1634-'계산 과정'!$D$50+P1634*('계산 과정'!$D$32-E1634))+'계산 과정'!$E$47*(0-'계산 과정'!$E$50+P1634*('계산 과정'!$E$32-0)),"")</x:f>
      </x:c>
      <x:c r="R1634" s="4" t="str">
        <x:f>IF(AND(ISNUMBER(P1634),P1634&gt;1E-9,P1634&lt;1-1E-9),'계산 과정'!$C$48*(D1634-'계산 과정'!$C$50+P1634*('계산 과정'!$C$32-D1634))+'계산 과정'!$D$48*(E1634-'계산 과정'!$D$50+P1634*('계산 과정'!$D$32-E1634))+'계산 과정'!$E$48*(0-'계산 과정'!$E$50+P1634*('계산 과정'!$E$32-0)),"")</x:f>
      </x:c>
      <x:c r="S1634" s="17" t="n">
        <x:f>IF('계산 과정'!$C$78,IF(AND(ISNUMBER(Q1634),ISNUMBER(R1634),ABS(Q1634-'계산 과정'!$C$88)&lt;='계산 과정'!$D$23/2,ABS(R1634-'계산 과정'!$C$89)&lt;='계산 과정'!$D$24/2),1,0),"")</x:f>
        <x:v>0</x:v>
      </x:c>
      <x:c r="T1634" s="4"/>
      <x:c r="U1634" s="4"/>
      <x:c r="V1634" s="4"/>
      <x:c r="W1634" s="4"/>
      <x:c r="X1634" s="4"/>
      <x:c r="Y1634" s="4"/>
      <x:c r="Z1634" s="4"/>
    </x:row>
    <x:row r="1635" ht="23" customHeight="1">
      <x:c r="A1635" s="17" t="n">
        <x:f>ROW()-6</x:f>
        <x:v>1629</x:v>
      </x:c>
      <x:c r="B1635" s="4" t="n">
        <x:f>IF('계산 과정'!$L$5,'계산 과정'!$L$11*SQRT((A1635+0.5)/'계산 과정'!$L$30),"")</x:f>
        <x:v>133.79918415180077</x:v>
      </x:c>
      <x:c r="C1635" s="4" t="n">
        <x:f>A1635*PI()*(3-SQRT(5))</x:f>
        <x:v>3909.5401012279754</x:v>
      </x:c>
      <x:c r="D1635" s="4" t="n">
        <x:f>IF('계산 과정'!$L$5,B1635*COS(C1635),"")</x:f>
        <x:v>22.89437707525808</x:v>
      </x:c>
      <x:c r="E1635" s="4" t="n">
        <x:f>IF('계산 과정'!$L$5,B1635*SIN(C1635),"")</x:f>
        <x:v>131.82590480638999</x:v>
      </x:c>
      <x:c r="F1635" s="4" t="n">
        <x:f>IF('계산 과정'!$L$7,'계산 과정'!$L$22+'계산 과정'!$C$49*D1635+'계산 과정'!$D$49*E1635,"")</x:f>
        <x:v>633.8112307190431</x:v>
      </x:c>
      <x:c r="G1635" s="4" t="n">
        <x:f>IF('계산 과정'!$L$7,IF(ABS(F1635)&gt;=1E-12*MAX(1,SQRT((D1635-'계산 과정'!$C$33)^2+(E1635-'계산 과정'!$D$33)^2+'계산 과정'!$E$33^2)),('계산 과정'!$L$23-'계산 과정'!$C$49*D1635-'계산 과정'!$D$49*E1635)/F1635,""),"")</x:f>
        <x:v>0.6566446744858102</x:v>
      </x:c>
      <x:c r="H1635" s="4" t="n">
        <x:f>IF(AND(ISNUMBER(G1635),G1635&gt;0),('계산 과정'!$D$56+'계산 과정'!$D$57*D1635+'계산 과정'!$D$58*E1635)/F1635,"")</x:f>
        <x:v>26.819038415776497</x:v>
      </x:c>
      <x:c r="I1635" s="4" t="n">
        <x:f>IF(AND(ISNUMBER(G1635),G1635&gt;0),('계산 과정'!$E$56+'계산 과정'!$E$57*D1635+'계산 과정'!$E$58*E1635)/F1635,"")</x:f>
        <x:v>218.38868315677934</x:v>
      </x:c>
      <x:c r="J1635" s="4" t="n">
        <x:f>IF('계산 과정'!$L$5,'계산 과정'!$D$6+'계산 과정'!$C$35*D1635+'계산 과정'!$D$35*E1635,"")</x:f>
        <x:v>633.8112307190431</x:v>
      </x:c>
      <x:c r="K1635" s="4" t="n">
        <x:f>IF(AND('계산 과정'!$L$6,J1635&gt;0),'계산 과정'!$D$10*('계산 과정'!$C$38*(D1635-'계산 과정'!$C$32)+'계산 과정'!$D$38*(E1635-'계산 과정'!$D$32)-'계산 과정'!$E$38*'계산 과정'!$E$32)/J1635,"")</x:f>
        <x:v>0.2043355307868693</x:v>
      </x:c>
      <x:c r="L1635" s="4" t="n">
        <x:f>IF(AND('계산 과정'!$L$6,J1635&gt;0),'계산 과정'!$D$10*('계산 과정'!$C$39*(D1635-'계산 과정'!$C$32)+'계산 과정'!$D$39*(E1635-'계산 과정'!$D$32)-'계산 과정'!$E$39*'계산 과정'!$E$32)/J1635,"")</x:f>
        <x:v>1.6639137764326046</x:v>
      </x:c>
      <x:c r="M1635" s="17" t="n">
        <x:f>IF('계산 과정'!$L$6,IF(J1635&lt;=0,0,IF(AND(ABS(K1635)&lt;='계산 과정'!$D$11/2,ABS(L1635)&lt;='계산 과정'!$D$12/2),1,0)),"")</x:f>
        <x:v>1</x:v>
      </x:c>
      <x:c r="N1635" s="17" t="n">
        <x:f>IF('계산 과정'!$C$78,IF(AND(ISNUMBER(H1635),ISNUMBER(I1635),ABS(H1635-'계산 과정'!$C$88)&lt;='계산 과정'!$D$23/2,ABS(I1635-'계산 과정'!$C$89)&lt;='계산 과정'!$D$24/2),1,0),"")</x:f>
        <x:v>1</x:v>
      </x:c>
      <x:c r="O1635" s="4" t="n">
        <x:f>IF('계산 과정'!$L$7,'계산 과정'!$C$49*('계산 과정'!$C$32-D1635)+'계산 과정'!$D$49*('계산 과정'!$D$32-E1635)+'계산 과정'!$E$49*'계산 과정'!$E$32,"")</x:f>
        <x:v>16.188769280956933</x:v>
      </x:c>
      <x:c r="P1635" s="4" t="n">
        <x:f>IF(AND('계산 과정'!$L$7,O1635&lt;&gt;0),('계산 과정'!$L$23-'계산 과정'!$C$49*D1635-'계산 과정'!$D$49*E1635)/O1635,"")</x:f>
        <x:v>25.70848728880986</x:v>
      </x:c>
      <x:c r="Q1635" s="4" t="str">
        <x:f>IF(AND(ISNUMBER(P1635),P1635&gt;1E-9,P1635&lt;1-1E-9),'계산 과정'!$C$47*(D1635-'계산 과정'!$C$50+P1635*('계산 과정'!$C$32-D1635))+'계산 과정'!$D$47*(E1635-'계산 과정'!$D$50+P1635*('계산 과정'!$D$32-E1635))+'계산 과정'!$E$47*(0-'계산 과정'!$E$50+P1635*('계산 과정'!$E$32-0)),"")</x:f>
      </x:c>
      <x:c r="R1635" s="4" t="str">
        <x:f>IF(AND(ISNUMBER(P1635),P1635&gt;1E-9,P1635&lt;1-1E-9),'계산 과정'!$C$48*(D1635-'계산 과정'!$C$50+P1635*('계산 과정'!$C$32-D1635))+'계산 과정'!$D$48*(E1635-'계산 과정'!$D$50+P1635*('계산 과정'!$D$32-E1635))+'계산 과정'!$E$48*(0-'계산 과정'!$E$50+P1635*('계산 과정'!$E$32-0)),"")</x:f>
      </x:c>
      <x:c r="S1635" s="17" t="n">
        <x:f>IF('계산 과정'!$C$78,IF(AND(ISNUMBER(Q1635),ISNUMBER(R1635),ABS(Q1635-'계산 과정'!$C$88)&lt;='계산 과정'!$D$23/2,ABS(R1635-'계산 과정'!$C$89)&lt;='계산 과정'!$D$24/2),1,0),"")</x:f>
        <x:v>0</x:v>
      </x:c>
      <x:c r="T1635" s="4"/>
      <x:c r="U1635" s="4"/>
      <x:c r="V1635" s="4"/>
      <x:c r="W1635" s="4"/>
      <x:c r="X1635" s="4"/>
      <x:c r="Y1635" s="4"/>
      <x:c r="Z1635" s="4"/>
    </x:row>
    <x:row r="1636" ht="23" customHeight="1">
      <x:c r="A1636" s="17" t="n">
        <x:f>ROW()-6</x:f>
        <x:v>1630</x:v>
      </x:c>
      <x:c r="B1636" s="4" t="n">
        <x:f>IF('계산 과정'!$L$5,'계산 과정'!$L$11*SQRT((A1636+0.5)/'계산 과정'!$L$30),"")</x:f>
        <x:v>133.84023314314908</x:v>
      </x:c>
      <x:c r="C1636" s="4" t="n">
        <x:f>A1636*PI()*(3-SQRT(5))</x:f>
        <x:v>3911.9400644577045</x:v>
      </x:c>
      <x:c r="D1636" s="4" t="n">
        <x:f>IF('계산 과정'!$L$5,B1636*COS(C1636),"")</x:f>
        <x:v>-105.96121882490351</x:v>
      </x:c>
      <x:c r="E1636" s="4" t="n">
        <x:f>IF('계산 과정'!$L$5,B1636*SIN(C1636),"")</x:f>
        <x:v>-81.76446730061548</x:v>
      </x:c>
      <x:c r="F1636" s="4" t="n">
        <x:f>IF('계산 과정'!$L$7,'계산 과정'!$L$22+'계산 과정'!$C$49*D1636+'계산 과정'!$D$49*E1636,"")</x:f>
        <x:v>724.925896373881</x:v>
      </x:c>
      <x:c r="G1636" s="4" t="n">
        <x:f>IF('계산 과정'!$L$7,IF(ABS(F1636)&gt;=1E-12*MAX(1,SQRT((D1636-'계산 과정'!$C$33)^2+(E1636-'계산 과정'!$D$33)^2+'계산 과정'!$E$33^2)),('계산 과정'!$L$23-'계산 과정'!$C$49*D1636-'계산 과정'!$D$49*E1636)/F1636,""),"")</x:f>
        <x:v>0.44842390822587186</x:v>
      </x:c>
      <x:c r="H1636" s="4" t="n">
        <x:f>IF(AND(ISNUMBER(G1636),G1636&gt;0),('계산 과정'!$D$56+'계산 과정'!$D$57*D1636+'계산 과정'!$D$58*E1636)/F1636,"")</x:f>
        <x:v>-108.52445965318341</x:v>
      </x:c>
      <x:c r="I1636" s="4" t="n">
        <x:f>IF(AND(ISNUMBER(G1636),G1636&gt;0),('계산 과정'!$E$56+'계산 과정'!$E$57*D1636+'계산 과정'!$E$58*E1636)/F1636,"")</x:f>
        <x:v>-118.42960928156397</x:v>
      </x:c>
      <x:c r="J1636" s="4" t="n">
        <x:f>IF('계산 과정'!$L$5,'계산 과정'!$D$6+'계산 과정'!$C$35*D1636+'계산 과정'!$D$35*E1636,"")</x:f>
        <x:v>724.925896373881</x:v>
      </x:c>
      <x:c r="K1636" s="4" t="n">
        <x:f>IF(AND('계산 과정'!$L$6,J1636&gt;0),'계산 과정'!$D$10*('계산 과정'!$C$38*(D1636-'계산 과정'!$C$32)+'계산 과정'!$D$38*(E1636-'계산 과정'!$D$32)-'계산 과정'!$E$38*'계산 과정'!$E$32)/J1636,"")</x:f>
        <x:v>-0.8268530259290159</x:v>
      </x:c>
      <x:c r="L1636" s="4" t="n">
        <x:f>IF(AND('계산 과정'!$L$6,J1636&gt;0),'계산 과정'!$D$10*('계산 과정'!$C$39*(D1636-'계산 과정'!$C$32)+'계산 과정'!$D$39*(E1636-'계산 과정'!$D$32)-'계산 과정'!$E$39*'계산 과정'!$E$32)/J1636,"")</x:f>
        <x:v>-0.9023208326214398</x:v>
      </x:c>
      <x:c r="M1636" s="17" t="n">
        <x:f>IF('계산 과정'!$L$6,IF(J1636&lt;=0,0,IF(AND(ABS(K1636)&lt;='계산 과정'!$D$11/2,ABS(L1636)&lt;='계산 과정'!$D$12/2),1,0)),"")</x:f>
        <x:v>1</x:v>
      </x:c>
      <x:c r="N1636" s="17" t="n">
        <x:f>IF('계산 과정'!$C$78,IF(AND(ISNUMBER(H1636),ISNUMBER(I1636),ABS(H1636-'계산 과정'!$C$88)&lt;='계산 과정'!$D$23/2,ABS(I1636-'계산 과정'!$C$89)&lt;='계산 과정'!$D$24/2),1,0),"")</x:f>
        <x:v>1</x:v>
      </x:c>
      <x:c r="O1636" s="4" t="n">
        <x:f>IF('계산 과정'!$L$7,'계산 과정'!$C$49*('계산 과정'!$C$32-D1636)+'계산 과정'!$D$49*('계산 과정'!$D$32-E1636)+'계산 과정'!$E$49*'계산 과정'!$E$32,"")</x:f>
        <x:v>-74.92589637388085</x:v>
      </x:c>
      <x:c r="P1636" s="4" t="n">
        <x:f>IF(AND('계산 과정'!$L$7,O1636&lt;&gt;0),('계산 과정'!$L$23-'계산 과정'!$C$49*D1636-'계산 과정'!$D$49*E1636)/O1636,"")</x:f>
        <x:v>-4.338608136284371</x:v>
      </x:c>
      <x:c r="Q1636" s="4" t="str">
        <x:f>IF(AND(ISNUMBER(P1636),P1636&gt;1E-9,P1636&lt;1-1E-9),'계산 과정'!$C$47*(D1636-'계산 과정'!$C$50+P1636*('계산 과정'!$C$32-D1636))+'계산 과정'!$D$47*(E1636-'계산 과정'!$D$50+P1636*('계산 과정'!$D$32-E1636))+'계산 과정'!$E$47*(0-'계산 과정'!$E$50+P1636*('계산 과정'!$E$32-0)),"")</x:f>
      </x:c>
      <x:c r="R1636" s="4" t="str">
        <x:f>IF(AND(ISNUMBER(P1636),P1636&gt;1E-9,P1636&lt;1-1E-9),'계산 과정'!$C$48*(D1636-'계산 과정'!$C$50+P1636*('계산 과정'!$C$32-D1636))+'계산 과정'!$D$48*(E1636-'계산 과정'!$D$50+P1636*('계산 과정'!$D$32-E1636))+'계산 과정'!$E$48*(0-'계산 과정'!$E$50+P1636*('계산 과정'!$E$32-0)),"")</x:f>
      </x:c>
      <x:c r="S1636" s="17" t="n">
        <x:f>IF('계산 과정'!$C$78,IF(AND(ISNUMBER(Q1636),ISNUMBER(R1636),ABS(Q1636-'계산 과정'!$C$88)&lt;='계산 과정'!$D$23/2,ABS(R1636-'계산 과정'!$C$89)&lt;='계산 과정'!$D$24/2),1,0),"")</x:f>
        <x:v>0</x:v>
      </x:c>
      <x:c r="T1636" s="4"/>
      <x:c r="U1636" s="4"/>
      <x:c r="V1636" s="4"/>
      <x:c r="W1636" s="4"/>
      <x:c r="X1636" s="4"/>
      <x:c r="Y1636" s="4"/>
      <x:c r="Z1636" s="4"/>
    </x:row>
    <x:row r="1637" ht="23" customHeight="1">
      <x:c r="A1637" s="17" t="n">
        <x:f>ROW()-6</x:f>
        <x:v>1631</x:v>
      </x:c>
      <x:c r="B1637" s="4" t="n">
        <x:f>IF('계산 과정'!$L$5,'계산 과정'!$L$11*SQRT((A1637+0.5)/'계산 과정'!$L$30),"")</x:f>
        <x:v>133.8812695485724</x:v>
      </x:c>
      <x:c r="C1637" s="4" t="n">
        <x:f>A1637*PI()*(3-SQRT(5))</x:f>
        <x:v>3914.3400276874327</x:v>
      </x:c>
      <x:c r="D1637" s="4" t="n">
        <x:f>IF('계산 과정'!$L$5,B1637*COS(C1637),"")</x:f>
        <x:v>133.40449939072784</x:v>
      </x:c>
      <x:c r="E1637" s="4" t="n">
        <x:f>IF('계산 과정'!$L$5,B1637*SIN(C1637),"")</x:f>
        <x:v>-11.288661490486483</x:v>
      </x:c>
      <x:c r="F1637" s="4" t="n">
        <x:f>IF('계산 과정'!$L$7,'계산 과정'!$L$22+'계산 과정'!$C$49*D1637+'계산 과정'!$D$49*E1637,"")</x:f>
        <x:v>555.6687738400198</x:v>
      </x:c>
      <x:c r="G1637" s="4" t="n">
        <x:f>IF('계산 과정'!$L$7,IF(ABS(F1637)&gt;=1E-12*MAX(1,SQRT((D1637-'계산 과정'!$C$33)^2+(E1637-'계산 과정'!$D$33)^2+'계산 과정'!$E$33^2)),('계산 과정'!$L$23-'계산 과정'!$C$49*D1637-'계산 과정'!$D$49*E1637)/F1637,""),"")</x:f>
        <x:v>0.8896149098748909</x:v>
      </x:c>
      <x:c r="H1637" s="4" t="n">
        <x:f>IF(AND(ISNUMBER(G1637),G1637&gt;0),('계산 과정'!$D$56+'계산 과정'!$D$57*D1637+'계산 과정'!$D$58*E1637)/F1637,"")</x:f>
        <x:v>178.24969141867905</x:v>
      </x:c>
      <x:c r="I1637" s="4" t="n">
        <x:f>IF(AND(ISNUMBER(G1637),G1637&gt;0),('계산 과정'!$E$56+'계산 과정'!$E$57*D1637+'계산 과정'!$E$58*E1637)/F1637,"")</x:f>
        <x:v>-21.331223064953768</x:v>
      </x:c>
      <x:c r="J1637" s="4" t="n">
        <x:f>IF('계산 과정'!$L$5,'계산 과정'!$D$6+'계산 과정'!$C$35*D1637+'계산 과정'!$D$35*E1637,"")</x:f>
        <x:v>555.6687738400198</x:v>
      </x:c>
      <x:c r="K1637" s="4" t="n">
        <x:f>IF(AND('계산 과정'!$L$6,J1637&gt;0),'계산 과정'!$D$10*('계산 과정'!$C$38*(D1637-'계산 과정'!$C$32)+'계산 과정'!$D$38*(E1637-'계산 과정'!$D$32)-'계산 과정'!$E$38*'계산 과정'!$E$32)/J1637,"")</x:f>
        <x:v>1.35809288699946</x:v>
      </x:c>
      <x:c r="L1637" s="4" t="n">
        <x:f>IF(AND('계산 과정'!$L$6,J1637&gt;0),'계산 과정'!$D$10*('계산 과정'!$C$39*(D1637-'계산 과정'!$C$32)+'계산 과정'!$D$39*(E1637-'계산 과정'!$D$32)-'계산 과정'!$E$39*'계산 과정'!$E$32)/J1637,"")</x:f>
        <x:v>-0.16252360430440965</x:v>
      </x:c>
      <x:c r="M1637" s="17" t="n">
        <x:f>IF('계산 과정'!$L$6,IF(J1637&lt;=0,0,IF(AND(ABS(K1637)&lt;='계산 과정'!$D$11/2,ABS(L1637)&lt;='계산 과정'!$D$12/2),1,0)),"")</x:f>
        <x:v>1</x:v>
      </x:c>
      <x:c r="N1637" s="17" t="n">
        <x:f>IF('계산 과정'!$C$78,IF(AND(ISNUMBER(H1637),ISNUMBER(I1637),ABS(H1637-'계산 과정'!$C$88)&lt;='계산 과정'!$D$23/2,ABS(I1637-'계산 과정'!$C$89)&lt;='계산 과정'!$D$24/2),1,0),"")</x:f>
        <x:v>1</x:v>
      </x:c>
      <x:c r="O1637" s="4" t="n">
        <x:f>IF('계산 과정'!$L$7,'계산 과정'!$C$49*('계산 과정'!$C$32-D1637)+'계산 과정'!$D$49*('계산 과정'!$D$32-E1637)+'계산 과정'!$E$49*'계산 과정'!$E$32,"")</x:f>
        <x:v>94.33122615998042</x:v>
      </x:c>
      <x:c r="P1637" s="4" t="n">
        <x:f>IF(AND('계산 과정'!$L$7,O1637&lt;&gt;0),('계산 과정'!$L$23-'계산 과정'!$C$49*D1637-'계산 과정'!$D$49*E1637)/O1637,"")</x:f>
        <x:v>5.240377405055909</x:v>
      </x:c>
      <x:c r="Q1637" s="4" t="str">
        <x:f>IF(AND(ISNUMBER(P1637),P1637&gt;1E-9,P1637&lt;1-1E-9),'계산 과정'!$C$47*(D1637-'계산 과정'!$C$50+P1637*('계산 과정'!$C$32-D1637))+'계산 과정'!$D$47*(E1637-'계산 과정'!$D$50+P1637*('계산 과정'!$D$32-E1637))+'계산 과정'!$E$47*(0-'계산 과정'!$E$50+P1637*('계산 과정'!$E$32-0)),"")</x:f>
      </x:c>
      <x:c r="R1637" s="4" t="str">
        <x:f>IF(AND(ISNUMBER(P1637),P1637&gt;1E-9,P1637&lt;1-1E-9),'계산 과정'!$C$48*(D1637-'계산 과정'!$C$50+P1637*('계산 과정'!$C$32-D1637))+'계산 과정'!$D$48*(E1637-'계산 과정'!$D$50+P1637*('계산 과정'!$D$32-E1637))+'계산 과정'!$E$48*(0-'계산 과정'!$E$50+P1637*('계산 과정'!$E$32-0)),"")</x:f>
      </x:c>
      <x:c r="S1637" s="17" t="n">
        <x:f>IF('계산 과정'!$C$78,IF(AND(ISNUMBER(Q1637),ISNUMBER(R1637),ABS(Q1637-'계산 과정'!$C$88)&lt;='계산 과정'!$D$23/2,ABS(R1637-'계산 과정'!$C$89)&lt;='계산 과정'!$D$24/2),1,0),"")</x:f>
        <x:v>0</x:v>
      </x:c>
      <x:c r="T1637" s="4"/>
      <x:c r="U1637" s="4"/>
      <x:c r="V1637" s="4"/>
      <x:c r="W1637" s="4"/>
      <x:c r="X1637" s="4"/>
      <x:c r="Y1637" s="4"/>
      <x:c r="Z1637" s="4"/>
    </x:row>
    <x:row r="1638" ht="23" customHeight="1">
      <x:c r="A1638" s="17" t="n">
        <x:f>ROW()-6</x:f>
        <x:v>1632</x:v>
      </x:c>
      <x:c r="B1638" s="4" t="n">
        <x:f>IF('계산 과정'!$L$5,'계산 과정'!$L$11*SQRT((A1638+0.5)/'계산 과정'!$L$30),"")</x:f>
        <x:v>133.9222933796405</x:v>
      </x:c>
      <x:c r="C1638" s="4" t="n">
        <x:f>A1638*PI()*(3-SQRT(5))</x:f>
        <x:v>3916.7399909171613</x:v>
      </x:c>
      <x:c r="D1638" s="4" t="n">
        <x:f>IF('계산 과정'!$L$5,B1638*COS(C1638),"")</x:f>
        <x:v>-90.77075018166897</x:v>
      </x:c>
      <x:c r="E1638" s="4" t="n">
        <x:f>IF('계산 과정'!$L$5,B1638*SIN(C1638),"")</x:f>
        <x:v>98.46751533129871</x:v>
      </x:c>
      <x:c r="F1638" s="4" t="n">
        <x:f>IF('계산 과정'!$L$7,'계산 과정'!$L$22+'계산 과정'!$C$49*D1638+'계산 과정'!$D$49*E1638,"")</x:f>
        <x:v>714.1846129868482</x:v>
      </x:c>
      <x:c r="G1638" s="4" t="n">
        <x:f>IF('계산 과정'!$L$7,IF(ABS(F1638)&gt;=1E-12*MAX(1,SQRT((D1638-'계산 과정'!$C$33)^2+(E1638-'계산 과정'!$D$33)^2+'계산 과정'!$E$33^2)),('계산 과정'!$L$23-'계산 과정'!$C$49*D1638-'계산 과정'!$D$49*E1638)/F1638,""),"")</x:f>
        <x:v>0.4702080959273425</x:v>
      </x:c>
      <x:c r="H1638" s="4" t="n">
        <x:f>IF(AND(ISNUMBER(G1638),G1638&gt;0),('계산 과정'!$D$56+'계산 과정'!$D$57*D1638+'계산 과정'!$D$58*E1638)/F1638,"")</x:f>
        <x:v>-94.36473764722754</x:v>
      </x:c>
      <x:c r="I1638" s="4" t="n">
        <x:f>IF(AND(ISNUMBER(G1638),G1638&gt;0),('계산 과정'!$E$56+'계산 과정'!$E$57*D1638+'계산 과정'!$E$58*E1638)/F1638,"")</x:f>
        <x:v>144.7677382259251</x:v>
      </x:c>
      <x:c r="J1638" s="4" t="n">
        <x:f>IF('계산 과정'!$L$5,'계산 과정'!$D$6+'계산 과정'!$C$35*D1638+'계산 과정'!$D$35*E1638,"")</x:f>
        <x:v>714.1846129868482</x:v>
      </x:c>
      <x:c r="K1638" s="4" t="n">
        <x:f>IF(AND('계산 과정'!$L$6,J1638&gt;0),'계산 과정'!$D$10*('계산 과정'!$C$38*(D1638-'계산 과정'!$C$32)+'계산 과정'!$D$38*(E1638-'계산 과정'!$D$32)-'계산 과정'!$E$38*'계산 과정'!$E$32)/J1638,"")</x:f>
        <x:v>-0.7189694296931611</x:v>
      </x:c>
      <x:c r="L1638" s="4" t="n">
        <x:f>IF(AND('계산 과정'!$L$6,J1638&gt;0),'계산 과정'!$D$10*('계산 과정'!$C$39*(D1638-'계산 과정'!$C$32)+'계산 과정'!$D$39*(E1638-'계산 과정'!$D$32)-'계산 과정'!$E$39*'계산 과정'!$E$32)/J1638,"")</x:f>
        <x:v>1.1029922912451435</x:v>
      </x:c>
      <x:c r="M1638" s="17" t="n">
        <x:f>IF('계산 과정'!$L$6,IF(J1638&lt;=0,0,IF(AND(ABS(K1638)&lt;='계산 과정'!$D$11/2,ABS(L1638)&lt;='계산 과정'!$D$12/2),1,0)),"")</x:f>
        <x:v>1</x:v>
      </x:c>
      <x:c r="N1638" s="17" t="n">
        <x:f>IF('계산 과정'!$C$78,IF(AND(ISNUMBER(H1638),ISNUMBER(I1638),ABS(H1638-'계산 과정'!$C$88)&lt;='계산 과정'!$D$23/2,ABS(I1638-'계산 과정'!$C$89)&lt;='계산 과정'!$D$24/2),1,0),"")</x:f>
        <x:v>1</x:v>
      </x:c>
      <x:c r="O1638" s="4" t="n">
        <x:f>IF('계산 과정'!$L$7,'계산 과정'!$C$49*('계산 과정'!$C$32-D1638)+'계산 과정'!$D$49*('계산 과정'!$D$32-E1638)+'계산 과정'!$E$49*'계산 과정'!$E$32,"")</x:f>
        <x:v>-64.18461298684804</x:v>
      </x:c>
      <x:c r="P1638" s="4" t="n">
        <x:f>IF(AND('계산 과정'!$L$7,O1638&lt;&gt;0),('계산 과정'!$L$23-'계산 과정'!$C$49*D1638-'계산 과정'!$D$49*E1638)/O1638,"")</x:f>
        <x:v>-5.232023243358392</x:v>
      </x:c>
      <x:c r="Q1638" s="4" t="str">
        <x:f>IF(AND(ISNUMBER(P1638),P1638&gt;1E-9,P1638&lt;1-1E-9),'계산 과정'!$C$47*(D1638-'계산 과정'!$C$50+P1638*('계산 과정'!$C$32-D1638))+'계산 과정'!$D$47*(E1638-'계산 과정'!$D$50+P1638*('계산 과정'!$D$32-E1638))+'계산 과정'!$E$47*(0-'계산 과정'!$E$50+P1638*('계산 과정'!$E$32-0)),"")</x:f>
      </x:c>
      <x:c r="R1638" s="4" t="str">
        <x:f>IF(AND(ISNUMBER(P1638),P1638&gt;1E-9,P1638&lt;1-1E-9),'계산 과정'!$C$48*(D1638-'계산 과정'!$C$50+P1638*('계산 과정'!$C$32-D1638))+'계산 과정'!$D$48*(E1638-'계산 과정'!$D$50+P1638*('계산 과정'!$D$32-E1638))+'계산 과정'!$E$48*(0-'계산 과정'!$E$50+P1638*('계산 과정'!$E$32-0)),"")</x:f>
      </x:c>
      <x:c r="S1638" s="17" t="n">
        <x:f>IF('계산 과정'!$C$78,IF(AND(ISNUMBER(Q1638),ISNUMBER(R1638),ABS(Q1638-'계산 과정'!$C$88)&lt;='계산 과정'!$D$23/2,ABS(R1638-'계산 과정'!$C$89)&lt;='계산 과정'!$D$24/2),1,0),"")</x:f>
        <x:v>0</x:v>
      </x:c>
      <x:c r="T1638" s="4"/>
      <x:c r="U1638" s="4"/>
      <x:c r="V1638" s="4"/>
      <x:c r="W1638" s="4"/>
      <x:c r="X1638" s="4"/>
      <x:c r="Y1638" s="4"/>
      <x:c r="Z1638" s="4"/>
    </x:row>
    <x:row r="1639" ht="23" customHeight="1">
      <x:c r="A1639" s="17" t="n">
        <x:f>ROW()-6</x:f>
        <x:v>1633</x:v>
      </x:c>
      <x:c r="B1639" s="4" t="n">
        <x:f>IF('계산 과정'!$L$5,'계산 과정'!$L$11*SQRT((A1639+0.5)/'계산 과정'!$L$30),"")</x:f>
        <x:v>133.96330464790535</x:v>
      </x:c>
      <x:c r="C1639" s="4" t="n">
        <x:f>A1639*PI()*(3-SQRT(5))</x:f>
        <x:v>3919.1399541468904</x:v>
      </x:c>
      <x:c r="D1639" s="4" t="n">
        <x:f>IF('계산 과정'!$L$5,B1639*COS(C1639),"")</x:f>
        <x:v>0.41780322298039446</x:v>
      </x:c>
      <x:c r="E1639" s="4" t="n">
        <x:f>IF('계산 과정'!$L$5,B1639*SIN(C1639),"")</x:f>
        <x:v>-133.96265312636342</x:v>
      </x:c>
      <x:c r="F1639" s="4" t="n">
        <x:f>IF('계산 과정'!$L$7,'계산 과정'!$L$22+'계산 과정'!$C$49*D1639+'계산 과정'!$D$49*E1639,"")</x:f>
        <x:v>649.704568507829</x:v>
      </x:c>
      <x:c r="G1639" s="4" t="n">
        <x:f>IF('계산 과정'!$L$7,IF(ABS(F1639)&gt;=1E-12*MAX(1,SQRT((D1639-'계산 과정'!$C$33)^2+(E1639-'계산 과정'!$D$33)^2+'계산 과정'!$E$33^2)),('계산 과정'!$L$23-'계산 과정'!$C$49*D1639-'계산 과정'!$D$49*E1639)/F1639,""),"")</x:f>
        <x:v>0.6161191576835087</x:v>
      </x:c>
      <x:c r="H1639" s="4" t="n">
        <x:f>IF(AND(ISNUMBER(G1639),G1639&gt;0),('계산 과정'!$D$56+'계산 과정'!$D$57*D1639+'계산 과정'!$D$58*E1639)/F1639,"")</x:f>
        <x:v>0.4774524942805169</x:v>
      </x:c>
      <x:c r="I1639" s="4" t="n">
        <x:f>IF(AND(ISNUMBER(G1639),G1639&gt;0),('계산 과정'!$E$56+'계산 과정'!$E$57*D1639+'계산 과정'!$E$58*E1639)/F1639,"")</x:f>
        <x:v>-216.49961013162653</x:v>
      </x:c>
      <x:c r="J1639" s="4" t="n">
        <x:f>IF('계산 과정'!$L$5,'계산 과정'!$D$6+'계산 과정'!$C$35*D1639+'계산 과정'!$D$35*E1639,"")</x:f>
        <x:v>649.704568507829</x:v>
      </x:c>
      <x:c r="K1639" s="4" t="n">
        <x:f>IF(AND('계산 과정'!$L$6,J1639&gt;0),'계산 과정'!$D$10*('계산 과정'!$C$38*(D1639-'계산 과정'!$C$32)+'계산 과정'!$D$38*(E1639-'계산 과정'!$D$32)-'계산 과정'!$E$38*'계산 과정'!$E$32)/J1639,"")</x:f>
        <x:v>0.0036377332897577267</x:v>
      </x:c>
      <x:c r="L1639" s="4" t="n">
        <x:f>IF(AND('계산 과정'!$L$6,J1639&gt;0),'계산 과정'!$D$10*('계산 과정'!$C$39*(D1639-'계산 과정'!$C$32)+'계산 과정'!$D$39*(E1639-'계산 과정'!$D$32)-'계산 과정'!$E$39*'계산 과정'!$E$32)/J1639,"")</x:f>
        <x:v>-1.6495208390981067</x:v>
      </x:c>
      <x:c r="M1639" s="17" t="n">
        <x:f>IF('계산 과정'!$L$6,IF(J1639&lt;=0,0,IF(AND(ABS(K1639)&lt;='계산 과정'!$D$11/2,ABS(L1639)&lt;='계산 과정'!$D$12/2),1,0)),"")</x:f>
        <x:v>1</x:v>
      </x:c>
      <x:c r="N1639" s="17" t="n">
        <x:f>IF('계산 과정'!$C$78,IF(AND(ISNUMBER(H1639),ISNUMBER(I1639),ABS(H1639-'계산 과정'!$C$88)&lt;='계산 과정'!$D$23/2,ABS(I1639-'계산 과정'!$C$89)&lt;='계산 과정'!$D$24/2),1,0),"")</x:f>
        <x:v>1</x:v>
      </x:c>
      <x:c r="O1639" s="4" t="n">
        <x:f>IF('계산 과정'!$L$7,'계산 과정'!$C$49*('계산 과정'!$C$32-D1639)+'계산 과정'!$D$49*('계산 과정'!$D$32-E1639)+'계산 과정'!$E$49*'계산 과정'!$E$32,"")</x:f>
        <x:v>0.29543149217113296</x:v>
      </x:c>
      <x:c r="P1639" s="4" t="n">
        <x:f>IF(AND('계산 과정'!$L$7,O1639&lt;&gt;0),('계산 과정'!$L$23-'계산 과정'!$C$49*D1639-'계산 과정'!$D$49*E1639)/O1639,"")</x:f>
        <x:v>1354.9517979630084</x:v>
      </x:c>
      <x:c r="Q1639" s="4" t="str">
        <x:f>IF(AND(ISNUMBER(P1639),P1639&gt;1E-9,P1639&lt;1-1E-9),'계산 과정'!$C$47*(D1639-'계산 과정'!$C$50+P1639*('계산 과정'!$C$32-D1639))+'계산 과정'!$D$47*(E1639-'계산 과정'!$D$50+P1639*('계산 과정'!$D$32-E1639))+'계산 과정'!$E$47*(0-'계산 과정'!$E$50+P1639*('계산 과정'!$E$32-0)),"")</x:f>
      </x:c>
      <x:c r="R1639" s="4" t="str">
        <x:f>IF(AND(ISNUMBER(P1639),P1639&gt;1E-9,P1639&lt;1-1E-9),'계산 과정'!$C$48*(D1639-'계산 과정'!$C$50+P1639*('계산 과정'!$C$32-D1639))+'계산 과정'!$D$48*(E1639-'계산 과정'!$D$50+P1639*('계산 과정'!$D$32-E1639))+'계산 과정'!$E$48*(0-'계산 과정'!$E$50+P1639*('계산 과정'!$E$32-0)),"")</x:f>
      </x:c>
      <x:c r="S1639" s="17" t="n">
        <x:f>IF('계산 과정'!$C$78,IF(AND(ISNUMBER(Q1639),ISNUMBER(R1639),ABS(Q1639-'계산 과정'!$C$88)&lt;='계산 과정'!$D$23/2,ABS(R1639-'계산 과정'!$C$89)&lt;='계산 과정'!$D$24/2),1,0),"")</x:f>
        <x:v>0</x:v>
      </x:c>
      <x:c r="T1639" s="4"/>
      <x:c r="U1639" s="4"/>
      <x:c r="V1639" s="4"/>
      <x:c r="W1639" s="4"/>
      <x:c r="X1639" s="4"/>
      <x:c r="Y1639" s="4"/>
      <x:c r="Z1639" s="4"/>
    </x:row>
    <x:row r="1640" ht="23" customHeight="1">
      <x:c r="A1640" s="17" t="n">
        <x:f>ROW()-6</x:f>
        <x:v>1634</x:v>
      </x:c>
      <x:c r="B1640" s="4" t="n">
        <x:f>IF('계산 과정'!$L$5,'계산 과정'!$L$11*SQRT((A1640+0.5)/'계산 과정'!$L$30),"")</x:f>
        <x:v>134.00430336490132</x:v>
      </x:c>
      <x:c r="C1640" s="4" t="n">
        <x:f>A1640*PI()*(3-SQRT(5))</x:f>
        <x:v>3921.5399173766186</x:v>
      </x:c>
      <x:c r="D1640" s="4" t="n">
        <x:f>IF('계산 과정'!$L$5,B1640*COS(C1640),"")</x:f>
        <x:v>90.20999670270666</x:v>
      </x:c>
      <x:c r="E1640" s="4" t="n">
        <x:f>IF('계산 과정'!$L$5,B1640*SIN(C1640),"")</x:f>
        <x:v>99.09243066556675</x:v>
      </x:c>
      <x:c r="F1640" s="4" t="n">
        <x:f>IF('계산 과정'!$L$7,'계산 과정'!$L$22+'계산 과정'!$C$49*D1640+'계산 과정'!$D$49*E1640,"")</x:f>
        <x:v>586.2118996007</x:v>
      </x:c>
      <x:c r="G1640" s="4" t="n">
        <x:f>IF('계산 과정'!$L$7,IF(ABS(F1640)&gt;=1E-12*MAX(1,SQRT((D1640-'계산 과정'!$C$33)^2+(E1640-'계산 과정'!$D$33)^2+'계산 과정'!$E$33^2)),('계산 과정'!$L$23-'계산 과정'!$C$49*D1640-'계산 과정'!$D$49*E1640)/F1640,""),"")</x:f>
        <x:v>0.7911611837207854</x:v>
      </x:c>
      <x:c r="H1640" s="4" t="n">
        <x:f>IF(AND(ISNUMBER(G1640),G1640&gt;0),('계산 과정'!$D$56+'계산 과정'!$D$57*D1640+'계산 과정'!$D$58*E1640)/F1640,"")</x:f>
        <x:v>114.25476941851034</x:v>
      </x:c>
      <x:c r="I1640" s="4" t="n">
        <x:f>IF(AND(ISNUMBER(G1640),G1640&gt;0),('계산 과정'!$E$56+'계산 과정'!$E$57*D1640+'계산 과정'!$E$58*E1640)/F1640,"")</x:f>
        <x:v>177.4905154087064</x:v>
      </x:c>
      <x:c r="J1640" s="4" t="n">
        <x:f>IF('계산 과정'!$L$5,'계산 과정'!$D$6+'계산 과정'!$C$35*D1640+'계산 과정'!$D$35*E1640,"")</x:f>
        <x:v>586.2118996007</x:v>
      </x:c>
      <x:c r="K1640" s="4" t="n">
        <x:f>IF(AND('계산 과정'!$L$6,J1640&gt;0),'계산 과정'!$D$10*('계산 과정'!$C$38*(D1640-'계산 과정'!$C$32)+'계산 과정'!$D$38*(E1640-'계산 과정'!$D$32)-'계산 과정'!$E$38*'계산 과정'!$E$32)/J1640,"")</x:f>
        <x:v>0.870512528902937</x:v>
      </x:c>
      <x:c r="L1640" s="4" t="n">
        <x:f>IF(AND('계산 과정'!$L$6,J1640&gt;0),'계산 과정'!$D$10*('계산 과정'!$C$39*(D1640-'계산 과정'!$C$32)+'계산 과정'!$D$39*(E1640-'계산 과정'!$D$32)-'계산 과정'!$E$39*'계산 과정'!$E$32)/J1640,"")</x:f>
        <x:v>1.3523086888282392</x:v>
      </x:c>
      <x:c r="M1640" s="17" t="n">
        <x:f>IF('계산 과정'!$L$6,IF(J1640&lt;=0,0,IF(AND(ABS(K1640)&lt;='계산 과정'!$D$11/2,ABS(L1640)&lt;='계산 과정'!$D$12/2),1,0)),"")</x:f>
        <x:v>1</x:v>
      </x:c>
      <x:c r="N1640" s="17" t="n">
        <x:f>IF('계산 과정'!$C$78,IF(AND(ISNUMBER(H1640),ISNUMBER(I1640),ABS(H1640-'계산 과정'!$C$88)&lt;='계산 과정'!$D$23/2,ABS(I1640-'계산 과정'!$C$89)&lt;='계산 과정'!$D$24/2),1,0),"")</x:f>
        <x:v>1</x:v>
      </x:c>
      <x:c r="O1640" s="4" t="n">
        <x:f>IF('계산 과정'!$L$7,'계산 과정'!$C$49*('계산 과정'!$C$32-D1640)+'계산 과정'!$D$49*('계산 과정'!$D$32-E1640)+'계산 과정'!$E$49*'계산 과정'!$E$32,"")</x:f>
        <x:v>63.788100399300106</x:v>
      </x:c>
      <x:c r="P1640" s="4" t="n">
        <x:f>IF(AND('계산 과정'!$L$7,O1640&lt;&gt;0),('계산 과정'!$L$23-'계산 과정'!$C$49*D1640-'계산 과정'!$D$49*E1640)/O1640,"")</x:f>
        <x:v>7.270762062141433</x:v>
      </x:c>
      <x:c r="Q1640" s="4" t="str">
        <x:f>IF(AND(ISNUMBER(P1640),P1640&gt;1E-9,P1640&lt;1-1E-9),'계산 과정'!$C$47*(D1640-'계산 과정'!$C$50+P1640*('계산 과정'!$C$32-D1640))+'계산 과정'!$D$47*(E1640-'계산 과정'!$D$50+P1640*('계산 과정'!$D$32-E1640))+'계산 과정'!$E$47*(0-'계산 과정'!$E$50+P1640*('계산 과정'!$E$32-0)),"")</x:f>
      </x:c>
      <x:c r="R1640" s="4" t="str">
        <x:f>IF(AND(ISNUMBER(P1640),P1640&gt;1E-9,P1640&lt;1-1E-9),'계산 과정'!$C$48*(D1640-'계산 과정'!$C$50+P1640*('계산 과정'!$C$32-D1640))+'계산 과정'!$D$48*(E1640-'계산 과정'!$D$50+P1640*('계산 과정'!$D$32-E1640))+'계산 과정'!$E$48*(0-'계산 과정'!$E$50+P1640*('계산 과정'!$E$32-0)),"")</x:f>
      </x:c>
      <x:c r="S1640" s="17" t="n">
        <x:f>IF('계산 과정'!$C$78,IF(AND(ISNUMBER(Q1640),ISNUMBER(R1640),ABS(Q1640-'계산 과정'!$C$88)&lt;='계산 과정'!$D$23/2,ABS(R1640-'계산 과정'!$C$89)&lt;='계산 과정'!$D$24/2),1,0),"")</x:f>
        <x:v>0</x:v>
      </x:c>
      <x:c r="T1640" s="4"/>
      <x:c r="U1640" s="4"/>
      <x:c r="V1640" s="4"/>
      <x:c r="W1640" s="4"/>
      <x:c r="X1640" s="4"/>
      <x:c r="Y1640" s="4"/>
      <x:c r="Z1640" s="4"/>
    </x:row>
    <x:row r="1641" ht="23" customHeight="1">
      <x:c r="A1641" s="17" t="n">
        <x:f>ROW()-6</x:f>
        <x:v>1635</x:v>
      </x:c>
      <x:c r="B1641" s="4" t="n">
        <x:f>IF('계산 과정'!$L$5,'계산 과정'!$L$11*SQRT((A1641+0.5)/'계산 과정'!$L$30),"")</x:f>
        <x:v>134.04528954214504</x:v>
      </x:c>
      <x:c r="C1641" s="4" t="n">
        <x:f>A1641*PI()*(3-SQRT(5))</x:f>
        <x:v>3923.9398806063473</x:v>
      </x:c>
      <x:c r="D1641" s="4" t="n">
        <x:f>IF('계산 과정'!$L$5,B1641*COS(C1641),"")</x:f>
        <x:v>-133.49483707838527</x:v>
      </x:c>
      <x:c r="E1641" s="4" t="n">
        <x:f>IF('계산 과정'!$L$5,B1641*SIN(C1641),"")</x:f>
        <x:v>-12.135407774478333</x:v>
      </x:c>
      <x:c r="F1641" s="4" t="n">
        <x:f>IF('계산 과정'!$L$7,'계산 과정'!$L$22+'계산 과정'!$C$49*D1641+'계산 과정'!$D$49*E1641,"")</x:f>
        <x:v>744.3951045515196</x:v>
      </x:c>
      <x:c r="G1641" s="4" t="n">
        <x:f>IF('계산 과정'!$L$7,IF(ABS(F1641)&gt;=1E-12*MAX(1,SQRT((D1641-'계산 과정'!$C$33)^2+(E1641-'계산 과정'!$D$33)^2+'계산 과정'!$E$33^2)),('계산 과정'!$L$23-'계산 과정'!$C$49*D1641-'계산 과정'!$D$49*E1641)/F1641,""),"")</x:f>
        <x:v>0.4105412482966289</x:v>
      </x:c>
      <x:c r="H1641" s="4" t="n">
        <x:f>IF(AND(ISNUMBER(G1641),G1641&gt;0),('계산 과정'!$D$56+'계산 과정'!$D$57*D1641+'계산 과정'!$D$58*E1641)/F1641,"")</x:f>
        <x:v>-133.14818860719137</x:v>
      </x:c>
      <x:c r="I1641" s="4" t="n">
        <x:f>IF(AND(ISNUMBER(G1641),G1641&gt;0),('계산 과정'!$E$56+'계산 과정'!$E$57*D1641+'계산 과정'!$E$58*E1641)/F1641,"")</x:f>
        <x:v>-17.117493230801283</x:v>
      </x:c>
      <x:c r="J1641" s="4" t="n">
        <x:f>IF('계산 과정'!$L$5,'계산 과정'!$D$6+'계산 과정'!$C$35*D1641+'계산 과정'!$D$35*E1641,"")</x:f>
        <x:v>744.3951045515196</x:v>
      </x:c>
      <x:c r="K1641" s="4" t="n">
        <x:f>IF(AND('계산 과정'!$L$6,J1641&gt;0),'계산 과정'!$D$10*('계산 과정'!$C$38*(D1641-'계산 과정'!$C$32)+'계산 과정'!$D$38*(E1641-'계산 과정'!$D$32)-'계산 과정'!$E$38*'계산 과정'!$E$32)/J1641,"")</x:f>
        <x:v>-1.0144623893881242</x:v>
      </x:c>
      <x:c r="L1641" s="4" t="n">
        <x:f>IF(AND('계산 과정'!$L$6,J1641&gt;0),'계산 과정'!$D$10*('계산 과정'!$C$39*(D1641-'계산 과정'!$C$32)+'계산 과정'!$D$39*(E1641-'계산 과정'!$D$32)-'계산 과정'!$E$39*'계산 과정'!$E$32)/J1641,"")</x:f>
        <x:v>-0.13041899604420024</x:v>
      </x:c>
      <x:c r="M1641" s="17" t="n">
        <x:f>IF('계산 과정'!$L$6,IF(J1641&lt;=0,0,IF(AND(ABS(K1641)&lt;='계산 과정'!$D$11/2,ABS(L1641)&lt;='계산 과정'!$D$12/2),1,0)),"")</x:f>
        <x:v>1</x:v>
      </x:c>
      <x:c r="N1641" s="17" t="n">
        <x:f>IF('계산 과정'!$C$78,IF(AND(ISNUMBER(H1641),ISNUMBER(I1641),ABS(H1641-'계산 과정'!$C$88)&lt;='계산 과정'!$D$23/2,ABS(I1641-'계산 과정'!$C$89)&lt;='계산 과정'!$D$24/2),1,0),"")</x:f>
        <x:v>1</x:v>
      </x:c>
      <x:c r="O1641" s="4" t="n">
        <x:f>IF('계산 과정'!$L$7,'계산 과정'!$C$49*('계산 과정'!$C$32-D1641)+'계산 과정'!$D$49*('계산 과정'!$D$32-E1641)+'계산 과정'!$E$49*'계산 과정'!$E$32,"")</x:f>
        <x:v>-94.39510455151952</x:v>
      </x:c>
      <x:c r="P1641" s="4" t="n">
        <x:f>IF(AND('계산 과정'!$L$7,O1641&lt;&gt;0),('계산 과정'!$L$23-'계산 과정'!$C$49*D1641-'계산 과정'!$D$49*E1641)/O1641,"")</x:f>
        <x:v>-3.237507886668906</x:v>
      </x:c>
      <x:c r="Q1641" s="4" t="str">
        <x:f>IF(AND(ISNUMBER(P1641),P1641&gt;1E-9,P1641&lt;1-1E-9),'계산 과정'!$C$47*(D1641-'계산 과정'!$C$50+P1641*('계산 과정'!$C$32-D1641))+'계산 과정'!$D$47*(E1641-'계산 과정'!$D$50+P1641*('계산 과정'!$D$32-E1641))+'계산 과정'!$E$47*(0-'계산 과정'!$E$50+P1641*('계산 과정'!$E$32-0)),"")</x:f>
      </x:c>
      <x:c r="R1641" s="4" t="str">
        <x:f>IF(AND(ISNUMBER(P1641),P1641&gt;1E-9,P1641&lt;1-1E-9),'계산 과정'!$C$48*(D1641-'계산 과정'!$C$50+P1641*('계산 과정'!$C$32-D1641))+'계산 과정'!$D$48*(E1641-'계산 과정'!$D$50+P1641*('계산 과정'!$D$32-E1641))+'계산 과정'!$E$48*(0-'계산 과정'!$E$50+P1641*('계산 과정'!$E$32-0)),"")</x:f>
      </x:c>
      <x:c r="S1641" s="17" t="n">
        <x:f>IF('계산 과정'!$C$78,IF(AND(ISNUMBER(Q1641),ISNUMBER(R1641),ABS(Q1641-'계산 과정'!$C$88)&lt;='계산 과정'!$D$23/2,ABS(R1641-'계산 과정'!$C$89)&lt;='계산 과정'!$D$24/2),1,0),"")</x:f>
        <x:v>0</x:v>
      </x:c>
      <x:c r="T1641" s="4"/>
      <x:c r="U1641" s="4"/>
      <x:c r="V1641" s="4"/>
      <x:c r="W1641" s="4"/>
      <x:c r="X1641" s="4"/>
      <x:c r="Y1641" s="4"/>
      <x:c r="Z1641" s="4"/>
    </x:row>
    <x:row r="1642" ht="23" customHeight="1">
      <x:c r="A1642" s="17" t="n">
        <x:f>ROW()-6</x:f>
        <x:v>1636</x:v>
      </x:c>
      <x:c r="B1642" s="4" t="n">
        <x:f>IF('계산 과정'!$L$5,'계산 과정'!$L$11*SQRT((A1642+0.5)/'계산 과정'!$L$30),"")</x:f>
        <x:v>134.08626319113566</x:v>
      </x:c>
      <x:c r="C1642" s="4" t="n">
        <x:f>A1642*PI()*(3-SQRT(5))</x:f>
        <x:v>3926.3398438360764</x:v>
      </x:c>
      <x:c r="D1642" s="4" t="n">
        <x:f>IF('계산 과정'!$L$5,B1642*COS(C1642),"")</x:f>
        <x:v>106.66488272609458</x:v>
      </x:c>
      <x:c r="E1642" s="4" t="n">
        <x:f>IF('계산 과정'!$L$5,B1642*SIN(C1642),"")</x:f>
        <x:v>-81.25102319104045</x:v>
      </x:c>
      <x:c r="F1642" s="4" t="n">
        <x:f>IF('계산 과정'!$L$7,'계산 과정'!$L$22+'계산 과정'!$C$49*D1642+'계산 과정'!$D$49*E1642,"")</x:f>
        <x:v>574.5765381099106</x:v>
      </x:c>
      <x:c r="G1642" s="4" t="n">
        <x:f>IF('계산 과정'!$L$7,IF(ABS(F1642)&gt;=1E-12*MAX(1,SQRT((D1642-'계산 과정'!$C$33)^2+(E1642-'계산 과정'!$D$33)^2+'계산 과정'!$E$33^2)),('계산 과정'!$L$23-'계산 과정'!$C$49*D1642-'계산 과정'!$D$49*E1642)/F1642,""),"")</x:f>
        <x:v>0.8274327793717634</x:v>
      </x:c>
      <x:c r="H1642" s="4" t="n">
        <x:f>IF(AND(ISNUMBER(G1642),G1642&gt;0),('계산 과정'!$D$56+'계산 과정'!$D$57*D1642+'계산 과정'!$D$58*E1642)/F1642,"")</x:f>
        <x:v>137.8313065916461</x:v>
      </x:c>
      <x:c r="I1642" s="4" t="n">
        <x:f>IF(AND(ISNUMBER(G1642),G1642&gt;0),('계산 과정'!$E$56+'계산 과정'!$E$57*D1642+'계산 과정'!$E$58*E1642)/F1642,"")</x:f>
        <x:v>-148.48078313680264</x:v>
      </x:c>
      <x:c r="J1642" s="4" t="n">
        <x:f>IF('계산 과정'!$L$5,'계산 과정'!$D$6+'계산 과정'!$C$35*D1642+'계산 과정'!$D$35*E1642,"")</x:f>
        <x:v>574.5765381099106</x:v>
      </x:c>
      <x:c r="K1642" s="4" t="n">
        <x:f>IF(AND('계산 과정'!$L$6,J1642&gt;0),'계산 과정'!$D$10*('계산 과정'!$C$38*(D1642-'계산 과정'!$C$32)+'계산 과정'!$D$38*(E1642-'계산 과정'!$D$32)-'계산 과정'!$E$38*'계산 과정'!$E$32)/J1642,"")</x:f>
        <x:v>1.050143288317304</x:v>
      </x:c>
      <x:c r="L1642" s="4" t="n">
        <x:f>IF(AND('계산 과정'!$L$6,J1642&gt;0),'계산 과정'!$D$10*('계산 과정'!$C$39*(D1642-'계산 과정'!$C$32)+'계산 과정'!$D$39*(E1642-'계산 과정'!$D$32)-'계산 과정'!$E$39*'계산 과정'!$E$32)/J1642,"")</x:f>
        <x:v>-1.131282157232782</x:v>
      </x:c>
      <x:c r="M1642" s="17" t="n">
        <x:f>IF('계산 과정'!$L$6,IF(J1642&lt;=0,0,IF(AND(ABS(K1642)&lt;='계산 과정'!$D$11/2,ABS(L1642)&lt;='계산 과정'!$D$12/2),1,0)),"")</x:f>
        <x:v>1</x:v>
      </x:c>
      <x:c r="N1642" s="17" t="n">
        <x:f>IF('계산 과정'!$C$78,IF(AND(ISNUMBER(H1642),ISNUMBER(I1642),ABS(H1642-'계산 과정'!$C$88)&lt;='계산 과정'!$D$23/2,ABS(I1642-'계산 과정'!$C$89)&lt;='계산 과정'!$D$24/2),1,0),"")</x:f>
        <x:v>1</x:v>
      </x:c>
      <x:c r="O1642" s="4" t="n">
        <x:f>IF('계산 과정'!$L$7,'계산 과정'!$C$49*('계산 과정'!$C$32-D1642)+'계산 과정'!$D$49*('계산 과정'!$D$32-E1642)+'계산 과정'!$E$49*'계산 과정'!$E$32,"")</x:f>
        <x:v>75.42346189008941</x:v>
      </x:c>
      <x:c r="P1642" s="4" t="n">
        <x:f>IF(AND('계산 과정'!$L$7,O1642&lt;&gt;0),('계산 과정'!$L$23-'계산 과정'!$C$49*D1642-'계산 과정'!$D$49*E1642)/O1642,"")</x:f>
        <x:v>6.303389555134695</x:v>
      </x:c>
      <x:c r="Q1642" s="4" t="str">
        <x:f>IF(AND(ISNUMBER(P1642),P1642&gt;1E-9,P1642&lt;1-1E-9),'계산 과정'!$C$47*(D1642-'계산 과정'!$C$50+P1642*('계산 과정'!$C$32-D1642))+'계산 과정'!$D$47*(E1642-'계산 과정'!$D$50+P1642*('계산 과정'!$D$32-E1642))+'계산 과정'!$E$47*(0-'계산 과정'!$E$50+P1642*('계산 과정'!$E$32-0)),"")</x:f>
      </x:c>
      <x:c r="R1642" s="4" t="str">
        <x:f>IF(AND(ISNUMBER(P1642),P1642&gt;1E-9,P1642&lt;1-1E-9),'계산 과정'!$C$48*(D1642-'계산 과정'!$C$50+P1642*('계산 과정'!$C$32-D1642))+'계산 과정'!$D$48*(E1642-'계산 과정'!$D$50+P1642*('계산 과정'!$D$32-E1642))+'계산 과정'!$E$48*(0-'계산 과정'!$E$50+P1642*('계산 과정'!$E$32-0)),"")</x:f>
      </x:c>
      <x:c r="S1642" s="17" t="n">
        <x:f>IF('계산 과정'!$C$78,IF(AND(ISNUMBER(Q1642),ISNUMBER(R1642),ABS(Q1642-'계산 과정'!$C$88)&lt;='계산 과정'!$D$23/2,ABS(R1642-'계산 과정'!$C$89)&lt;='계산 과정'!$D$24/2),1,0),"")</x:f>
        <x:v>0</x:v>
      </x:c>
      <x:c r="T1642" s="4"/>
      <x:c r="U1642" s="4"/>
      <x:c r="V1642" s="4"/>
      <x:c r="W1642" s="4"/>
      <x:c r="X1642" s="4"/>
      <x:c r="Y1642" s="4"/>
      <x:c r="Z1642" s="4"/>
    </x:row>
    <x:row r="1643" ht="23" customHeight="1">
      <x:c r="A1643" s="17" t="n">
        <x:f>ROW()-6</x:f>
        <x:v>1637</x:v>
      </x:c>
      <x:c r="B1643" s="4" t="n">
        <x:f>IF('계산 과정'!$L$5,'계산 과정'!$L$11*SQRT((A1643+0.5)/'계산 과정'!$L$30),"")</x:f>
        <x:v>134.12722432335465</x:v>
      </x:c>
      <x:c r="C1643" s="4" t="n">
        <x:f>A1643*PI()*(3-SQRT(5))</x:f>
        <x:v>3928.7398070658046</x:v>
      </x:c>
      <x:c r="D1643" s="4" t="n">
        <x:f>IF('계산 과정'!$L$5,B1643*COS(C1643),"")</x:f>
        <x:v>-23.774347793143136</x:v>
      </x:c>
      <x:c r="E1643" s="4" t="n">
        <x:f>IF('계산 과정'!$L$5,B1643*SIN(C1643),"")</x:f>
        <x:v>132.00338136463841</x:v>
      </x:c>
      <x:c r="F1643" s="4" t="n">
        <x:f>IF('계산 과정'!$L$7,'계산 과정'!$L$22+'계산 과정'!$C$49*D1643+'계산 과정'!$D$49*E1643,"")</x:f>
        <x:v>666.811002542819</x:v>
      </x:c>
      <x:c r="G1643" s="4" t="n">
        <x:f>IF('계산 과정'!$L$7,IF(ABS(F1643)&gt;=1E-12*MAX(1,SQRT((D1643-'계산 과정'!$C$33)^2+(E1643-'계산 과정'!$D$33)^2+'계산 과정'!$E$33^2)),('계산 과정'!$L$23-'계산 과정'!$C$49*D1643-'계산 과정'!$D$49*E1643)/F1643,""),"")</x:f>
        <x:v>0.5746590803030049</x:v>
      </x:c>
      <x:c r="H1643" s="4" t="n">
        <x:f>IF(AND(ISNUMBER(G1643),G1643&gt;0),('계산 과정'!$D$56+'계산 과정'!$D$57*D1643+'계산 과정'!$D$58*E1643)/F1643,"")</x:f>
        <x:v>-26.471597803046873</x:v>
      </x:c>
      <x:c r="I1643" s="4" t="n">
        <x:f>IF(AND(ISNUMBER(G1643),G1643&gt;0),('계산 과정'!$E$56+'계산 과정'!$E$57*D1643+'계산 과정'!$E$58*E1643)/F1643,"")</x:f>
        <x:v>207.86032309652836</x:v>
      </x:c>
      <x:c r="J1643" s="4" t="n">
        <x:f>IF('계산 과정'!$L$5,'계산 과정'!$D$6+'계산 과정'!$C$35*D1643+'계산 과정'!$D$35*E1643,"")</x:f>
        <x:v>666.811002542819</x:v>
      </x:c>
      <x:c r="K1643" s="4" t="n">
        <x:f>IF(AND('계산 과정'!$L$6,J1643&gt;0),'계산 과정'!$D$10*('계산 과정'!$C$38*(D1643-'계산 과정'!$C$32)+'계산 과정'!$D$38*(E1643-'계산 과정'!$D$32)-'계산 과정'!$E$38*'계산 과정'!$E$32)/J1643,"")</x:f>
        <x:v>-0.20168836421368935</x:v>
      </x:c>
      <x:c r="L1643" s="4" t="n">
        <x:f>IF(AND('계산 과정'!$L$6,J1643&gt;0),'계산 과정'!$D$10*('계산 과정'!$C$39*(D1643-'계산 과정'!$C$32)+'계산 과정'!$D$39*(E1643-'계산 과정'!$D$32)-'계산 과정'!$E$39*'계산 과정'!$E$32)/J1643,"")</x:f>
        <x:v>1.5836976997830732</x:v>
      </x:c>
      <x:c r="M1643" s="17" t="n">
        <x:f>IF('계산 과정'!$L$6,IF(J1643&lt;=0,0,IF(AND(ABS(K1643)&lt;='계산 과정'!$D$11/2,ABS(L1643)&lt;='계산 과정'!$D$12/2),1,0)),"")</x:f>
        <x:v>1</x:v>
      </x:c>
      <x:c r="N1643" s="17" t="n">
        <x:f>IF('계산 과정'!$C$78,IF(AND(ISNUMBER(H1643),ISNUMBER(I1643),ABS(H1643-'계산 과정'!$C$88)&lt;='계산 과정'!$D$23/2,ABS(I1643-'계산 과정'!$C$89)&lt;='계산 과정'!$D$24/2),1,0),"")</x:f>
        <x:v>1</x:v>
      </x:c>
      <x:c r="O1643" s="4" t="n">
        <x:f>IF('계산 과정'!$L$7,'계산 과정'!$C$49*('계산 과정'!$C$32-D1643)+'계산 과정'!$D$49*('계산 과정'!$D$32-E1643)+'계산 과정'!$E$49*'계산 과정'!$E$32,"")</x:f>
        <x:v>-16.811002542818812</x:v>
      </x:c>
      <x:c r="P1643" s="4" t="n">
        <x:f>IF(AND('계산 과정'!$L$7,O1643&lt;&gt;0),('계산 과정'!$L$23-'계산 과정'!$C$49*D1643-'계산 과정'!$D$49*E1643)/O1643,"")</x:f>
        <x:v>-22.7939408420867</x:v>
      </x:c>
      <x:c r="Q1643" s="4" t="str">
        <x:f>IF(AND(ISNUMBER(P1643),P1643&gt;1E-9,P1643&lt;1-1E-9),'계산 과정'!$C$47*(D1643-'계산 과정'!$C$50+P1643*('계산 과정'!$C$32-D1643))+'계산 과정'!$D$47*(E1643-'계산 과정'!$D$50+P1643*('계산 과정'!$D$32-E1643))+'계산 과정'!$E$47*(0-'계산 과정'!$E$50+P1643*('계산 과정'!$E$32-0)),"")</x:f>
      </x:c>
      <x:c r="R1643" s="4" t="str">
        <x:f>IF(AND(ISNUMBER(P1643),P1643&gt;1E-9,P1643&lt;1-1E-9),'계산 과정'!$C$48*(D1643-'계산 과정'!$C$50+P1643*('계산 과정'!$C$32-D1643))+'계산 과정'!$D$48*(E1643-'계산 과정'!$D$50+P1643*('계산 과정'!$D$32-E1643))+'계산 과정'!$E$48*(0-'계산 과정'!$E$50+P1643*('계산 과정'!$E$32-0)),"")</x:f>
      </x:c>
      <x:c r="S1643" s="17" t="n">
        <x:f>IF('계산 과정'!$C$78,IF(AND(ISNUMBER(Q1643),ISNUMBER(R1643),ABS(Q1643-'계산 과정'!$C$88)&lt;='계산 과정'!$D$23/2,ABS(R1643-'계산 과정'!$C$89)&lt;='계산 과정'!$D$24/2),1,0),"")</x:f>
        <x:v>0</x:v>
      </x:c>
      <x:c r="T1643" s="4"/>
      <x:c r="U1643" s="4"/>
      <x:c r="V1643" s="4"/>
      <x:c r="W1643" s="4"/>
      <x:c r="X1643" s="4"/>
      <x:c r="Y1643" s="4"/>
      <x:c r="Z1643" s="4"/>
    </x:row>
    <x:row r="1644" ht="23" customHeight="1">
      <x:c r="A1644" s="17" t="n">
        <x:f>ROW()-6</x:f>
        <x:v>1638</x:v>
      </x:c>
      <x:c r="B1644" s="4" t="n">
        <x:f>IF('계산 과정'!$L$5,'계산 과정'!$L$11*SQRT((A1644+0.5)/'계산 과정'!$L$30),"")</x:f>
        <x:v>134.16817295026604</x:v>
      </x:c>
      <x:c r="C1644" s="4" t="n">
        <x:f>A1644*PI()*(3-SQRT(5))</x:f>
        <x:v>3931.1397702955333</x:v>
      </x:c>
      <x:c r="D1644" s="4" t="n">
        <x:f>IF('계산 과정'!$L$5,B1644*COS(C1644),"")</x:f>
        <x:v>-71.65840917605072</x:v>
      </x:c>
      <x:c r="E1644" s="4" t="n">
        <x:f>IF('계산 과정'!$L$5,B1644*SIN(C1644),"")</x:f>
        <x:v>-113.42914540438973</x:v>
      </x:c>
      <x:c r="F1644" s="4" t="n">
        <x:f>IF('계산 과정'!$L$7,'계산 과정'!$L$22+'계산 과정'!$C$49*D1644+'계산 과정'!$D$49*E1644,"")</x:f>
        <x:v>700.6701470574258</x:v>
      </x:c>
      <x:c r="G1644" s="4" t="n">
        <x:f>IF('계산 과정'!$L$7,IF(ABS(F1644)&gt;=1E-12*MAX(1,SQRT((D1644-'계산 과정'!$C$33)^2+(E1644-'계산 과정'!$D$33)^2+'계산 과정'!$E$33^2)),('계산 과정'!$L$23-'계산 과정'!$C$49*D1644-'계산 과정'!$D$49*E1644)/F1644,""),"")</x:f>
        <x:v>0.4985653440633082</x:v>
      </x:c>
      <x:c r="H1644" s="4" t="n">
        <x:f>IF(AND(ISNUMBER(G1644),G1644&gt;0),('계산 과정'!$D$56+'계산 과정'!$D$57*D1644+'계산 과정'!$D$58*E1644)/F1644,"")</x:f>
        <x:v>-75.93252635884983</x:v>
      </x:c>
      <x:c r="I1644" s="4" t="n">
        <x:f>IF(AND(ISNUMBER(G1644),G1644&gt;0),('계산 과정'!$E$56+'계산 과정'!$E$57*D1644+'계산 과정'!$E$58*E1644)/F1644,"")</x:f>
        <x:v>-169.9809863097363</x:v>
      </x:c>
      <x:c r="J1644" s="4" t="n">
        <x:f>IF('계산 과정'!$L$5,'계산 과정'!$D$6+'계산 과정'!$C$35*D1644+'계산 과정'!$D$35*E1644,"")</x:f>
        <x:v>700.6701470574258</x:v>
      </x:c>
      <x:c r="K1644" s="4" t="n">
        <x:f>IF(AND('계산 과정'!$L$6,J1644&gt;0),'계산 과정'!$D$10*('계산 과정'!$C$38*(D1644-'계산 과정'!$C$32)+'계산 과정'!$D$38*(E1644-'계산 과정'!$D$32)-'계산 과정'!$E$38*'계산 과정'!$E$32)/J1644,"")</x:f>
        <x:v>-0.5785335341626642</x:v>
      </x:c>
      <x:c r="L1644" s="4" t="n">
        <x:f>IF(AND('계산 과정'!$L$6,J1644&gt;0),'계산 과정'!$D$10*('계산 과정'!$C$39*(D1644-'계산 과정'!$C$32)+'계산 과정'!$D$39*(E1644-'계산 과정'!$D$32)-'계산 과정'!$E$39*'계산 과정'!$E$32)/J1644,"")</x:f>
        <x:v>-1.2950932290265624</x:v>
      </x:c>
      <x:c r="M1644" s="17" t="n">
        <x:f>IF('계산 과정'!$L$6,IF(J1644&lt;=0,0,IF(AND(ABS(K1644)&lt;='계산 과정'!$D$11/2,ABS(L1644)&lt;='계산 과정'!$D$12/2),1,0)),"")</x:f>
        <x:v>1</x:v>
      </x:c>
      <x:c r="N1644" s="17" t="n">
        <x:f>IF('계산 과정'!$C$78,IF(AND(ISNUMBER(H1644),ISNUMBER(I1644),ABS(H1644-'계산 과정'!$C$88)&lt;='계산 과정'!$D$23/2,ABS(I1644-'계산 과정'!$C$89)&lt;='계산 과정'!$D$24/2),1,0),"")</x:f>
        <x:v>1</x:v>
      </x:c>
      <x:c r="O1644" s="4" t="n">
        <x:f>IF('계산 과정'!$L$7,'계산 과정'!$C$49*('계산 과정'!$C$32-D1644)+'계산 과정'!$D$49*('계산 과정'!$D$32-E1644)+'계산 과정'!$E$49*'계산 과정'!$E$32,"")</x:f>
        <x:v>-50.67014705742565</x:v>
      </x:c>
      <x:c r="P1644" s="4" t="n">
        <x:f>IF(AND('계산 과정'!$L$7,O1644&lt;&gt;0),('계산 과정'!$L$23-'계산 과정'!$C$49*D1644-'계산 과정'!$D$49*E1644)/O1644,"")</x:f>
        <x:v>-6.894194574700378</x:v>
      </x:c>
      <x:c r="Q1644" s="4" t="str">
        <x:f>IF(AND(ISNUMBER(P1644),P1644&gt;1E-9,P1644&lt;1-1E-9),'계산 과정'!$C$47*(D1644-'계산 과정'!$C$50+P1644*('계산 과정'!$C$32-D1644))+'계산 과정'!$D$47*(E1644-'계산 과정'!$D$50+P1644*('계산 과정'!$D$32-E1644))+'계산 과정'!$E$47*(0-'계산 과정'!$E$50+P1644*('계산 과정'!$E$32-0)),"")</x:f>
      </x:c>
      <x:c r="R1644" s="4" t="str">
        <x:f>IF(AND(ISNUMBER(P1644),P1644&gt;1E-9,P1644&lt;1-1E-9),'계산 과정'!$C$48*(D1644-'계산 과정'!$C$50+P1644*('계산 과정'!$C$32-D1644))+'계산 과정'!$D$48*(E1644-'계산 과정'!$D$50+P1644*('계산 과정'!$D$32-E1644))+'계산 과정'!$E$48*(0-'계산 과정'!$E$50+P1644*('계산 과정'!$E$32-0)),"")</x:f>
      </x:c>
      <x:c r="S1644" s="17" t="n">
        <x:f>IF('계산 과정'!$C$78,IF(AND(ISNUMBER(Q1644),ISNUMBER(R1644),ABS(Q1644-'계산 과정'!$C$88)&lt;='계산 과정'!$D$23/2,ABS(R1644-'계산 과정'!$C$89)&lt;='계산 과정'!$D$24/2),1,0),"")</x:f>
        <x:v>0</x:v>
      </x:c>
      <x:c r="T1644" s="4"/>
      <x:c r="U1644" s="4"/>
      <x:c r="V1644" s="4"/>
      <x:c r="W1644" s="4"/>
      <x:c r="X1644" s="4"/>
      <x:c r="Y1644" s="4"/>
      <x:c r="Z1644" s="4"/>
    </x:row>
    <x:row r="1645" ht="23" customHeight="1">
      <x:c r="A1645" s="17" t="n">
        <x:f>ROW()-6</x:f>
        <x:v>1639</x:v>
      </x:c>
      <x:c r="B1645" s="4" t="n">
        <x:f>IF('계산 과정'!$L$5,'계산 과정'!$L$11*SQRT((A1645+0.5)/'계산 과정'!$L$30),"")</x:f>
        <x:v>134.20910908331632</x:v>
      </x:c>
      <x:c r="C1645" s="4" t="n">
        <x:f>A1645*PI()*(3-SQRT(5))</x:f>
        <x:v>3933.5397335252624</x:v>
      </x:c>
      <x:c r="D1645" s="4" t="n">
        <x:f>IF('계산 과정'!$L$5,B1645*COS(C1645),"")</x:f>
        <x:v>129.49846689058043</x:v>
      </x:c>
      <x:c r="E1645" s="4" t="n">
        <x:f>IF('계산 과정'!$L$5,B1645*SIN(C1645),"")</x:f>
        <x:v>35.24531222626272</x:v>
      </x:c>
      <x:c r="F1645" s="4" t="n">
        <x:f>IF('계산 과정'!$L$7,'계산 과정'!$L$22+'계산 과정'!$C$49*D1645+'계산 과정'!$D$49*E1645,"")</x:f>
        <x:v>558.430755908409</x:v>
      </x:c>
      <x:c r="G1645" s="4" t="n">
        <x:f>IF('계산 과정'!$L$7,IF(ABS(F1645)&gt;=1E-12*MAX(1,SQRT((D1645-'계산 과정'!$C$33)^2+(E1645-'계산 과정'!$D$33)^2+'계산 과정'!$E$33^2)),('계산 과정'!$L$23-'계산 과정'!$C$49*D1645-'계산 과정'!$D$49*E1645)/F1645,""),"")</x:f>
        <x:v>0.8802689301951983</x:v>
      </x:c>
      <x:c r="H1645" s="4" t="n">
        <x:f>IF(AND(ISNUMBER(G1645),G1645&gt;0),('계산 과정'!$D$56+'계산 과정'!$D$57*D1645+'계산 과정'!$D$58*E1645)/F1645,"")</x:f>
        <x:v>172.17480462687877</x:v>
      </x:c>
      <x:c r="I1645" s="4" t="n">
        <x:f>IF(AND(ISNUMBER(G1645),G1645&gt;0),('계산 과정'!$E$56+'계산 과정'!$E$57*D1645+'계산 과정'!$E$58*E1645)/F1645,"")</x:f>
        <x:v>66.27066551407074</x:v>
      </x:c>
      <x:c r="J1645" s="4" t="n">
        <x:f>IF('계산 과정'!$L$5,'계산 과정'!$D$6+'계산 과정'!$C$35*D1645+'계산 과정'!$D$35*E1645,"")</x:f>
        <x:v>558.430755908409</x:v>
      </x:c>
      <x:c r="K1645" s="4" t="n">
        <x:f>IF(AND('계산 과정'!$L$6,J1645&gt;0),'계산 과정'!$D$10*('계산 과정'!$C$38*(D1645-'계산 과정'!$C$32)+'계산 과정'!$D$38*(E1645-'계산 과정'!$D$32)-'계산 과정'!$E$38*'계산 과정'!$E$32)/J1645,"")</x:f>
        <x:v>1.3118080352524102</x:v>
      </x:c>
      <x:c r="L1645" s="4" t="n">
        <x:f>IF(AND('계산 과정'!$L$6,J1645&gt;0),'계산 과정'!$D$10*('계산 과정'!$C$39*(D1645-'계산 과정'!$C$32)+'계산 과정'!$D$39*(E1645-'계산 과정'!$D$32)-'계산 과정'!$E$39*'계산 과정'!$E$32)/J1645,"")</x:f>
        <x:v>0.5049193562976818</x:v>
      </x:c>
      <x:c r="M1645" s="17" t="n">
        <x:f>IF('계산 과정'!$L$6,IF(J1645&lt;=0,0,IF(AND(ABS(K1645)&lt;='계산 과정'!$D$11/2,ABS(L1645)&lt;='계산 과정'!$D$12/2),1,0)),"")</x:f>
        <x:v>1</x:v>
      </x:c>
      <x:c r="N1645" s="17" t="n">
        <x:f>IF('계산 과정'!$C$78,IF(AND(ISNUMBER(H1645),ISNUMBER(I1645),ABS(H1645-'계산 과정'!$C$88)&lt;='계산 과정'!$D$23/2,ABS(I1645-'계산 과정'!$C$89)&lt;='계산 과정'!$D$24/2),1,0),"")</x:f>
        <x:v>1</x:v>
      </x:c>
      <x:c r="O1645" s="4" t="n">
        <x:f>IF('계산 과정'!$L$7,'계산 과정'!$C$49*('계산 과정'!$C$32-D1645)+'계산 과정'!$D$49*('계산 과정'!$D$32-E1645)+'계산 과정'!$E$49*'계산 과정'!$E$32,"")</x:f>
        <x:v>91.56924409159112</x:v>
      </x:c>
      <x:c r="P1645" s="4" t="n">
        <x:f>IF(AND('계산 과정'!$L$7,O1645&lt;&gt;0),('계산 과정'!$L$23-'계산 과정'!$C$49*D1645-'계산 과정'!$D$49*E1645)/O1645,"")</x:f>
        <x:v>5.368278934353814</x:v>
      </x:c>
      <x:c r="Q1645" s="4" t="str">
        <x:f>IF(AND(ISNUMBER(P1645),P1645&gt;1E-9,P1645&lt;1-1E-9),'계산 과정'!$C$47*(D1645-'계산 과정'!$C$50+P1645*('계산 과정'!$C$32-D1645))+'계산 과정'!$D$47*(E1645-'계산 과정'!$D$50+P1645*('계산 과정'!$D$32-E1645))+'계산 과정'!$E$47*(0-'계산 과정'!$E$50+P1645*('계산 과정'!$E$32-0)),"")</x:f>
      </x:c>
      <x:c r="R1645" s="4" t="str">
        <x:f>IF(AND(ISNUMBER(P1645),P1645&gt;1E-9,P1645&lt;1-1E-9),'계산 과정'!$C$48*(D1645-'계산 과정'!$C$50+P1645*('계산 과정'!$C$32-D1645))+'계산 과정'!$D$48*(E1645-'계산 과정'!$D$50+P1645*('계산 과정'!$D$32-E1645))+'계산 과정'!$E$48*(0-'계산 과정'!$E$50+P1645*('계산 과정'!$E$32-0)),"")</x:f>
      </x:c>
      <x:c r="S1645" s="17" t="n">
        <x:f>IF('계산 과정'!$C$78,IF(AND(ISNUMBER(Q1645),ISNUMBER(R1645),ABS(Q1645-'계산 과정'!$C$88)&lt;='계산 과정'!$D$23/2,ABS(R1645-'계산 과정'!$C$89)&lt;='계산 과정'!$D$24/2),1,0),"")</x:f>
        <x:v>0</x:v>
      </x:c>
      <x:c r="T1645" s="4"/>
      <x:c r="U1645" s="4"/>
      <x:c r="V1645" s="4"/>
      <x:c r="W1645" s="4"/>
      <x:c r="X1645" s="4"/>
      <x:c r="Y1645" s="4"/>
      <x:c r="Z1645" s="4"/>
    </x:row>
    <x:row r="1646" ht="23" customHeight="1">
      <x:c r="A1646" s="17" t="n">
        <x:f>ROW()-6</x:f>
        <x:v>1640</x:v>
      </x:c>
      <x:c r="B1646" s="4" t="n">
        <x:f>IF('계산 과정'!$L$5,'계산 과정'!$L$11*SQRT((A1646+0.5)/'계산 과정'!$L$30),"")</x:f>
        <x:v>134.25003273393455</x:v>
      </x:c>
      <x:c r="C1646" s="4" t="n">
        <x:f>A1646*PI()*(3-SQRT(5))</x:f>
        <x:v>3935.9396967549906</x:v>
      </x:c>
      <x:c r="D1646" s="4" t="n">
        <x:f>IF('계산 과정'!$L$5,B1646*COS(C1646),"")</x:f>
        <x:v>-119.33238185041502</x:v>
      </x:c>
      <x:c r="E1646" s="4" t="n">
        <x:f>IF('계산 과정'!$L$5,B1646*SIN(C1646),"")</x:f>
        <x:v>61.504909811894194</x:v>
      </x:c>
      <x:c r="F1646" s="4" t="n">
        <x:f>IF('계산 과정'!$L$7,'계산 과정'!$L$22+'계산 과정'!$C$49*D1646+'계산 과정'!$D$49*E1646,"")</x:f>
        <x:v>734.380736421571</x:v>
      </x:c>
      <x:c r="G1646" s="4" t="n">
        <x:f>IF('계산 과정'!$L$7,IF(ABS(F1646)&gt;=1E-12*MAX(1,SQRT((D1646-'계산 과정'!$C$33)^2+(E1646-'계산 과정'!$D$33)^2+'계산 과정'!$E$33^2)),('계산 과정'!$L$23-'계산 과정'!$C$49*D1646-'계산 과정'!$D$49*E1646)/F1646,""),"")</x:f>
        <x:v>0.42977606563640575</x:v>
      </x:c>
      <x:c r="H1646" s="4" t="n">
        <x:f>IF(AND(ISNUMBER(G1646),G1646&gt;0),('계산 과정'!$D$56+'계산 과정'!$D$57*D1646+'계산 과정'!$D$58*E1646)/F1646,"")</x:f>
        <x:v>-120.6455573363364</x:v>
      </x:c>
      <x:c r="I1646" s="4" t="n">
        <x:f>IF(AND(ISNUMBER(G1646),G1646&gt;0),('계산 과정'!$E$56+'계산 과정'!$E$57*D1646+'계산 과정'!$E$58*E1646)/F1646,"")</x:f>
        <x:v>87.93824796817205</x:v>
      </x:c>
      <x:c r="J1646" s="4" t="n">
        <x:f>IF('계산 과정'!$L$5,'계산 과정'!$D$6+'계산 과정'!$C$35*D1646+'계산 과정'!$D$35*E1646,"")</x:f>
        <x:v>734.380736421571</x:v>
      </x:c>
      <x:c r="K1646" s="4" t="n">
        <x:f>IF(AND('계산 과정'!$L$6,J1646&gt;0),'계산 과정'!$D$10*('계산 과정'!$C$38*(D1646-'계산 과정'!$C$32)+'계산 과정'!$D$38*(E1646-'계산 과정'!$D$32)-'계산 과정'!$E$38*'계산 과정'!$E$32)/J1646,"")</x:f>
        <x:v>-0.9192042463720856</x:v>
      </x:c>
      <x:c r="L1646" s="4" t="n">
        <x:f>IF(AND('계산 과정'!$L$6,J1646&gt;0),'계산 과정'!$D$10*('계산 과정'!$C$39*(D1646-'계산 과정'!$C$32)+'계산 과정'!$D$39*(E1646-'계산 과정'!$D$32)-'계산 과정'!$E$39*'계산 과정'!$E$32)/J1646,"")</x:f>
        <x:v>0.6700056988051203</x:v>
      </x:c>
      <x:c r="M1646" s="17" t="n">
        <x:f>IF('계산 과정'!$L$6,IF(J1646&lt;=0,0,IF(AND(ABS(K1646)&lt;='계산 과정'!$D$11/2,ABS(L1646)&lt;='계산 과정'!$D$12/2),1,0)),"")</x:f>
        <x:v>1</x:v>
      </x:c>
      <x:c r="N1646" s="17" t="n">
        <x:f>IF('계산 과정'!$C$78,IF(AND(ISNUMBER(H1646),ISNUMBER(I1646),ABS(H1646-'계산 과정'!$C$88)&lt;='계산 과정'!$D$23/2,ABS(I1646-'계산 과정'!$C$89)&lt;='계산 과정'!$D$24/2),1,0),"")</x:f>
        <x:v>1</x:v>
      </x:c>
      <x:c r="O1646" s="4" t="n">
        <x:f>IF('계산 과정'!$L$7,'계산 과정'!$C$49*('계산 과정'!$C$32-D1646)+'계산 과정'!$D$49*('계산 과정'!$D$32-E1646)+'계산 과정'!$E$49*'계산 과정'!$E$32,"")</x:f>
        <x:v>-84.38073642157082</x:v>
      </x:c>
      <x:c r="P1646" s="4" t="n">
        <x:f>IF(AND('계산 과정'!$L$7,O1646&lt;&gt;0),('계산 과정'!$L$23-'계산 과정'!$C$49*D1646-'계산 과정'!$D$49*E1646)/O1646,"")</x:f>
        <x:v>-3.7404184528750473</x:v>
      </x:c>
      <x:c r="Q1646" s="4" t="str">
        <x:f>IF(AND(ISNUMBER(P1646),P1646&gt;1E-9,P1646&lt;1-1E-9),'계산 과정'!$C$47*(D1646-'계산 과정'!$C$50+P1646*('계산 과정'!$C$32-D1646))+'계산 과정'!$D$47*(E1646-'계산 과정'!$D$50+P1646*('계산 과정'!$D$32-E1646))+'계산 과정'!$E$47*(0-'계산 과정'!$E$50+P1646*('계산 과정'!$E$32-0)),"")</x:f>
      </x:c>
      <x:c r="R1646" s="4" t="str">
        <x:f>IF(AND(ISNUMBER(P1646),P1646&gt;1E-9,P1646&lt;1-1E-9),'계산 과정'!$C$48*(D1646-'계산 과정'!$C$50+P1646*('계산 과정'!$C$32-D1646))+'계산 과정'!$D$48*(E1646-'계산 과정'!$D$50+P1646*('계산 과정'!$D$32-E1646))+'계산 과정'!$E$48*(0-'계산 과정'!$E$50+P1646*('계산 과정'!$E$32-0)),"")</x:f>
      </x:c>
      <x:c r="S1646" s="17" t="n">
        <x:f>IF('계산 과정'!$C$78,IF(AND(ISNUMBER(Q1646),ISNUMBER(R1646),ABS(Q1646-'계산 과정'!$C$88)&lt;='계산 과정'!$D$23/2,ABS(R1646-'계산 과정'!$C$89)&lt;='계산 과정'!$D$24/2),1,0),"")</x:f>
        <x:v>0</x:v>
      </x:c>
      <x:c r="T1646" s="4"/>
      <x:c r="U1646" s="4"/>
      <x:c r="V1646" s="4"/>
      <x:c r="W1646" s="4"/>
      <x:c r="X1646" s="4"/>
      <x:c r="Y1646" s="4"/>
      <x:c r="Z1646" s="4"/>
    </x:row>
    <x:row r="1647" ht="23" customHeight="1">
      <x:c r="A1647" s="17" t="n">
        <x:f>ROW()-6</x:f>
        <x:v>1641</x:v>
      </x:c>
      <x:c r="B1647" s="4" t="n">
        <x:f>IF('계산 과정'!$L$5,'계산 과정'!$L$11*SQRT((A1647+0.5)/'계산 과정'!$L$30),"")</x:f>
        <x:v>134.29094391353237</x:v>
      </x:c>
      <x:c r="C1647" s="4" t="n">
        <x:f>A1647*PI()*(3-SQRT(5))</x:f>
        <x:v>3938.3396599847197</x:v>
      </x:c>
      <x:c r="D1647" s="4" t="n">
        <x:f>IF('계산 과정'!$L$5,B1647*COS(C1647),"")</x:f>
        <x:v>46.46016879405153</x:v>
      </x:c>
      <x:c r="E1647" s="4" t="n">
        <x:f>IF('계산 과정'!$L$5,B1647*SIN(C1647),"")</x:f>
        <x:v>-125.99805686126965</x:v>
      </x:c>
      <x:c r="F1647" s="4" t="n">
        <x:f>IF('계산 과정'!$L$7,'계산 과정'!$L$22+'계산 과정'!$C$49*D1647+'계산 과정'!$D$49*E1647,"")</x:f>
        <x:v>617.1476995906545</x:v>
      </x:c>
      <x:c r="G1647" s="4" t="n">
        <x:f>IF('계산 과정'!$L$7,IF(ABS(F1647)&gt;=1E-12*MAX(1,SQRT((D1647-'계산 과정'!$C$33)^2+(E1647-'계산 과정'!$D$33)^2+'계산 과정'!$E$33^2)),('계산 과정'!$L$23-'계산 과정'!$C$49*D1647-'계산 과정'!$D$49*E1647)/F1647,""),"")</x:f>
        <x:v>0.7013755389454589</x:v>
      </x:c>
      <x:c r="H1647" s="4" t="n">
        <x:f>IF(AND(ISNUMBER(G1647),G1647&gt;0),('계산 과정'!$D$56+'계산 과정'!$D$57*D1647+'계산 과정'!$D$58*E1647)/F1647,"")</x:f>
        <x:v>55.89410031454816</x:v>
      </x:c>
      <x:c r="I1647" s="4" t="n">
        <x:f>IF(AND(ISNUMBER(G1647),G1647&gt;0),('계산 과정'!$E$56+'계산 과정'!$E$57*D1647+'계산 과정'!$E$58*E1647)/F1647,"")</x:f>
        <x:v>-214.37001189842323</x:v>
      </x:c>
      <x:c r="J1647" s="4" t="n">
        <x:f>IF('계산 과정'!$L$5,'계산 과정'!$D$6+'계산 과정'!$C$35*D1647+'계산 과정'!$D$35*E1647,"")</x:f>
        <x:v>617.1476995906545</x:v>
      </x:c>
      <x:c r="K1647" s="4" t="n">
        <x:f>IF(AND('계산 과정'!$L$6,J1647&gt;0),'계산 과정'!$D$10*('계산 과정'!$C$38*(D1647-'계산 과정'!$C$32)+'계산 과정'!$D$38*(E1647-'계산 과정'!$D$32)-'계산 과정'!$E$38*'계산 과정'!$E$32)/J1647,"")</x:f>
        <x:v>0.4258598119203675</x:v>
      </x:c>
      <x:c r="L1647" s="4" t="n">
        <x:f>IF(AND('계산 과정'!$L$6,J1647&gt;0),'계산 과정'!$D$10*('계산 과정'!$C$39*(D1647-'계산 과정'!$C$32)+'계산 과정'!$D$39*(E1647-'계산 과정'!$D$32)-'계산 과정'!$E$39*'계산 과정'!$E$32)/J1647,"")</x:f>
        <x:v>-1.6332953287498913</x:v>
      </x:c>
      <x:c r="M1647" s="17" t="n">
        <x:f>IF('계산 과정'!$L$6,IF(J1647&lt;=0,0,IF(AND(ABS(K1647)&lt;='계산 과정'!$D$11/2,ABS(L1647)&lt;='계산 과정'!$D$12/2),1,0)),"")</x:f>
        <x:v>1</x:v>
      </x:c>
      <x:c r="N1647" s="17" t="n">
        <x:f>IF('계산 과정'!$C$78,IF(AND(ISNUMBER(H1647),ISNUMBER(I1647),ABS(H1647-'계산 과정'!$C$88)&lt;='계산 과정'!$D$23/2,ABS(I1647-'계산 과정'!$C$89)&lt;='계산 과정'!$D$24/2),1,0),"")</x:f>
        <x:v>1</x:v>
      </x:c>
      <x:c r="O1647" s="4" t="n">
        <x:f>IF('계산 과정'!$L$7,'계산 과정'!$C$49*('계산 과정'!$C$32-D1647)+'계산 과정'!$D$49*('계산 과정'!$D$32-E1647)+'계산 과정'!$E$49*'계산 과정'!$E$32,"")</x:f>
        <x:v>32.85230040934556</x:v>
      </x:c>
      <x:c r="P1647" s="4" t="n">
        <x:f>IF(AND('계산 과정'!$L$7,O1647&lt;&gt;0),('계산 과정'!$L$23-'계산 과정'!$C$49*D1647-'계산 과정'!$D$49*E1647)/O1647,"")</x:f>
        <x:v>13.175707485196716</x:v>
      </x:c>
      <x:c r="Q1647" s="4" t="str">
        <x:f>IF(AND(ISNUMBER(P1647),P1647&gt;1E-9,P1647&lt;1-1E-9),'계산 과정'!$C$47*(D1647-'계산 과정'!$C$50+P1647*('계산 과정'!$C$32-D1647))+'계산 과정'!$D$47*(E1647-'계산 과정'!$D$50+P1647*('계산 과정'!$D$32-E1647))+'계산 과정'!$E$47*(0-'계산 과정'!$E$50+P1647*('계산 과정'!$E$32-0)),"")</x:f>
      </x:c>
      <x:c r="R1647" s="4" t="str">
        <x:f>IF(AND(ISNUMBER(P1647),P1647&gt;1E-9,P1647&lt;1-1E-9),'계산 과정'!$C$48*(D1647-'계산 과정'!$C$50+P1647*('계산 과정'!$C$32-D1647))+'계산 과정'!$D$48*(E1647-'계산 과정'!$D$50+P1647*('계산 과정'!$D$32-E1647))+'계산 과정'!$E$48*(0-'계산 과정'!$E$50+P1647*('계산 과정'!$E$32-0)),"")</x:f>
      </x:c>
      <x:c r="S1647" s="17" t="n">
        <x:f>IF('계산 과정'!$C$78,IF(AND(ISNUMBER(Q1647),ISNUMBER(R1647),ABS(Q1647-'계산 과정'!$C$88)&lt;='계산 과정'!$D$23/2,ABS(R1647-'계산 과정'!$C$89)&lt;='계산 과정'!$D$24/2),1,0),"")</x:f>
        <x:v>0</x:v>
      </x:c>
      <x:c r="T1647" s="4"/>
      <x:c r="U1647" s="4"/>
      <x:c r="V1647" s="4"/>
      <x:c r="W1647" s="4"/>
      <x:c r="X1647" s="4"/>
      <x:c r="Y1647" s="4"/>
      <x:c r="Z1647" s="4"/>
    </x:row>
    <x:row r="1648" ht="23" customHeight="1">
      <x:c r="A1648" s="17" t="n">
        <x:f>ROW()-6</x:f>
        <x:v>1642</x:v>
      </x:c>
      <x:c r="B1648" s="4" t="n">
        <x:f>IF('계산 과정'!$L$5,'계산 과정'!$L$11*SQRT((A1648+0.5)/'계산 과정'!$L$30),"")</x:f>
        <x:v>134.33184263350407</x:v>
      </x:c>
      <x:c r="C1648" s="4" t="n">
        <x:f>A1648*PI()*(3-SQRT(5))</x:f>
        <x:v>3940.739623214448</x:v>
      </x:c>
      <x:c r="D1648" s="4" t="n">
        <x:f>IF('계산 과정'!$L$5,B1648*COS(C1648),"")</x:f>
        <x:v>50.86766915506678</x:v>
      </x:c>
      <x:c r="E1648" s="4" t="n">
        <x:f>IF('계산 과정'!$L$5,B1648*SIN(C1648),"")</x:f>
        <x:v>124.32829195337307</x:v>
      </x:c>
      <x:c r="F1648" s="4" t="n">
        <x:f>IF('계산 과정'!$L$7,'계산 과정'!$L$22+'계산 과정'!$C$49*D1648+'계산 과정'!$D$49*E1648,"")</x:f>
        <x:v>614.0311261972985</x:v>
      </x:c>
      <x:c r="G1648" s="4" t="n">
        <x:f>IF('계산 과정'!$L$7,IF(ABS(F1648)&gt;=1E-12*MAX(1,SQRT((D1648-'계산 과정'!$C$33)^2+(E1648-'계산 과정'!$D$33)^2+'계산 과정'!$E$33^2)),('계산 과정'!$L$23-'계산 과정'!$C$49*D1648-'계산 과정'!$D$49*E1648)/F1648,""),"")</x:f>
        <x:v>0.7100110323440142</x:v>
      </x:c>
      <x:c r="H1648" s="4" t="n">
        <x:f>IF(AND(ISNUMBER(G1648),G1648&gt;0),('계산 과정'!$D$56+'계산 과정'!$D$57*D1648+'계산 과정'!$D$58*E1648)/F1648,"")</x:f>
        <x:v>61.507171023609054</x:v>
      </x:c>
      <x:c r="I1648" s="4" t="n">
        <x:f>IF(AND(ISNUMBER(G1648),G1648&gt;0),('계산 과정'!$E$56+'계산 과정'!$E$57*D1648+'계산 과정'!$E$58*E1648)/F1648,"")</x:f>
        <x:v>212.60275087275545</x:v>
      </x:c>
      <x:c r="J1648" s="4" t="n">
        <x:f>IF('계산 과정'!$L$5,'계산 과정'!$D$6+'계산 과정'!$C$35*D1648+'계산 과정'!$D$35*E1648,"")</x:f>
        <x:v>614.0311261972985</x:v>
      </x:c>
      <x:c r="K1648" s="4" t="n">
        <x:f>IF(AND('계산 과정'!$L$6,J1648&gt;0),'계산 과정'!$D$10*('계산 과정'!$C$38*(D1648-'계산 과정'!$C$32)+'계산 과정'!$D$38*(E1648-'계산 과정'!$D$32)-'계산 과정'!$E$38*'계산 과정'!$E$32)/J1648,"")</x:f>
        <x:v>0.4686260649417844</x:v>
      </x:c>
      <x:c r="L1648" s="4" t="n">
        <x:f>IF(AND('계산 과정'!$L$6,J1648&gt;0),'계산 과정'!$D$10*('계산 과정'!$C$39*(D1648-'계산 과정'!$C$32)+'계산 과정'!$D$39*(E1648-'계산 과정'!$D$32)-'계산 과정'!$E$39*'계산 과정'!$E$32)/J1648,"")</x:f>
        <x:v>1.6198304828400416</x:v>
      </x:c>
      <x:c r="M1648" s="17" t="n">
        <x:f>IF('계산 과정'!$L$6,IF(J1648&lt;=0,0,IF(AND(ABS(K1648)&lt;='계산 과정'!$D$11/2,ABS(L1648)&lt;='계산 과정'!$D$12/2),1,0)),"")</x:f>
        <x:v>1</x:v>
      </x:c>
      <x:c r="N1648" s="17" t="n">
        <x:f>IF('계산 과정'!$C$78,IF(AND(ISNUMBER(H1648),ISNUMBER(I1648),ABS(H1648-'계산 과정'!$C$88)&lt;='계산 과정'!$D$23/2,ABS(I1648-'계산 과정'!$C$89)&lt;='계산 과정'!$D$24/2),1,0),"")</x:f>
        <x:v>1</x:v>
      </x:c>
      <x:c r="O1648" s="4" t="n">
        <x:f>IF('계산 과정'!$L$7,'계산 과정'!$C$49*('계산 과정'!$C$32-D1648)+'계산 과정'!$D$49*('계산 과정'!$D$32-E1648)+'계산 과정'!$E$49*'계산 과정'!$E$32,"")</x:f>
        <x:v>35.96887380270158</x:v>
      </x:c>
      <x:c r="P1648" s="4" t="n">
        <x:f>IF(AND('계산 과정'!$L$7,O1648&lt;&gt;0),('계산 과정'!$L$23-'계산 과정'!$C$49*D1648-'계산 과정'!$D$49*E1648)/O1648,"")</x:f>
        <x:v>12.120726275559853</x:v>
      </x:c>
      <x:c r="Q1648" s="4" t="str">
        <x:f>IF(AND(ISNUMBER(P1648),P1648&gt;1E-9,P1648&lt;1-1E-9),'계산 과정'!$C$47*(D1648-'계산 과정'!$C$50+P1648*('계산 과정'!$C$32-D1648))+'계산 과정'!$D$47*(E1648-'계산 과정'!$D$50+P1648*('계산 과정'!$D$32-E1648))+'계산 과정'!$E$47*(0-'계산 과정'!$E$50+P1648*('계산 과정'!$E$32-0)),"")</x:f>
      </x:c>
      <x:c r="R1648" s="4" t="str">
        <x:f>IF(AND(ISNUMBER(P1648),P1648&gt;1E-9,P1648&lt;1-1E-9),'계산 과정'!$C$48*(D1648-'계산 과정'!$C$50+P1648*('계산 과정'!$C$32-D1648))+'계산 과정'!$D$48*(E1648-'계산 과정'!$D$50+P1648*('계산 과정'!$D$32-E1648))+'계산 과정'!$E$48*(0-'계산 과정'!$E$50+P1648*('계산 과정'!$E$32-0)),"")</x:f>
      </x:c>
      <x:c r="S1648" s="17" t="n">
        <x:f>IF('계산 과정'!$C$78,IF(AND(ISNUMBER(Q1648),ISNUMBER(R1648),ABS(Q1648-'계산 과정'!$C$88)&lt;='계산 과정'!$D$23/2,ABS(R1648-'계산 과정'!$C$89)&lt;='계산 과정'!$D$24/2),1,0),"")</x:f>
        <x:v>0</x:v>
      </x:c>
      <x:c r="T1648" s="4"/>
      <x:c r="U1648" s="4"/>
      <x:c r="V1648" s="4"/>
      <x:c r="W1648" s="4"/>
      <x:c r="X1648" s="4"/>
      <x:c r="Y1648" s="4"/>
      <x:c r="Z1648" s="4"/>
    </x:row>
    <x:row r="1649" ht="23" customHeight="1">
      <x:c r="A1649" s="17" t="n">
        <x:f>ROW()-6</x:f>
        <x:v>1643</x:v>
      </x:c>
      <x:c r="B1649" s="4" t="n">
        <x:f>IF('계산 과정'!$L$5,'계산 과정'!$L$11*SQRT((A1649+0.5)/'계산 과정'!$L$30),"")</x:f>
        <x:v>134.37272890522652</x:v>
      </x:c>
      <x:c r="C1649" s="4" t="n">
        <x:f>A1649*PI()*(3-SQRT(5))</x:f>
        <x:v>3943.1395864441765</x:v>
      </x:c>
      <x:c r="D1649" s="4" t="n">
        <x:f>IF('계산 과정'!$L$5,B1649*COS(C1649),"")</x:f>
        <x:v>-121.52776852242819</x:v>
      </x:c>
      <x:c r="E1649" s="4" t="n">
        <x:f>IF('계산 과정'!$L$5,B1649*SIN(C1649),"")</x:f>
        <x:v>-57.332641238622614</x:v>
      </x:c>
      <x:c r="F1649" s="4" t="n">
        <x:f>IF('계산 과정'!$L$7,'계산 과정'!$L$22+'계산 과정'!$C$49*D1649+'계산 과정'!$D$49*E1649,"")</x:f>
        <x:v>735.933109224678</x:v>
      </x:c>
      <x:c r="G1649" s="4" t="n">
        <x:f>IF('계산 과정'!$L$7,IF(ABS(F1649)&gt;=1E-12*MAX(1,SQRT((D1649-'계산 과정'!$C$33)^2+(E1649-'계산 과정'!$D$33)^2+'계산 과정'!$E$33^2)),('계산 과정'!$L$23-'계산 과정'!$C$49*D1649-'계산 과정'!$D$49*E1649)/F1649,""),"")</x:f>
        <x:v>0.42676010474131065</x:v>
      </x:c>
      <x:c r="H1649" s="4" t="n">
        <x:f>IF(AND(ISNUMBER(G1649),G1649&gt;0),('계산 과정'!$D$56+'계산 과정'!$D$57*D1649+'계산 과정'!$D$58*E1649)/F1649,"")</x:f>
        <x:v>-122.60593191814824</x:v>
      </x:c>
      <x:c r="I1649" s="4" t="n">
        <x:f>IF(AND(ISNUMBER(G1649),G1649&gt;0),('계산 과정'!$E$56+'계산 과정'!$E$57*D1649+'계산 과정'!$E$58*E1649)/F1649,"")</x:f>
        <x:v>-81.79992521871318</x:v>
      </x:c>
      <x:c r="J1649" s="4" t="n">
        <x:f>IF('계산 과정'!$L$5,'계산 과정'!$D$6+'계산 과정'!$C$35*D1649+'계산 과정'!$D$35*E1649,"")</x:f>
        <x:v>735.933109224678</x:v>
      </x:c>
      <x:c r="K1649" s="4" t="n">
        <x:f>IF(AND('계산 과정'!$L$6,J1649&gt;0),'계산 과정'!$D$10*('계산 과정'!$C$38*(D1649-'계산 과정'!$C$32)+'계산 과정'!$D$38*(E1649-'계산 과정'!$D$32)-'계산 과정'!$E$38*'계산 과정'!$E$32)/J1649,"")</x:f>
        <x:v>-0.9341404336620811</x:v>
      </x:c>
      <x:c r="L1649" s="4" t="n">
        <x:f>IF(AND('계산 과정'!$L$6,J1649&gt;0),'계산 과정'!$D$10*('계산 과정'!$C$39*(D1649-'계산 과정'!$C$32)+'계산 과정'!$D$39*(E1649-'계산 과정'!$D$32)-'계산 과정'!$E$39*'계산 과정'!$E$32)/J1649,"")</x:f>
        <x:v>-0.62323752547591</x:v>
      </x:c>
      <x:c r="M1649" s="17" t="n">
        <x:f>IF('계산 과정'!$L$6,IF(J1649&lt;=0,0,IF(AND(ABS(K1649)&lt;='계산 과정'!$D$11/2,ABS(L1649)&lt;='계산 과정'!$D$12/2),1,0)),"")</x:f>
        <x:v>1</x:v>
      </x:c>
      <x:c r="N1649" s="17" t="n">
        <x:f>IF('계산 과정'!$C$78,IF(AND(ISNUMBER(H1649),ISNUMBER(I1649),ABS(H1649-'계산 과정'!$C$88)&lt;='계산 과정'!$D$23/2,ABS(I1649-'계산 과정'!$C$89)&lt;='계산 과정'!$D$24/2),1,0),"")</x:f>
        <x:v>1</x:v>
      </x:c>
      <x:c r="O1649" s="4" t="n">
        <x:f>IF('계산 과정'!$L$7,'계산 과정'!$C$49*('계산 과정'!$C$32-D1649)+'계산 과정'!$D$49*('계산 과정'!$D$32-E1649)+'계산 과정'!$E$49*'계산 과정'!$E$32,"")</x:f>
        <x:v>-85.93310922467793</x:v>
      </x:c>
      <x:c r="P1649" s="4" t="n">
        <x:f>IF(AND('계산 과정'!$L$7,O1649&lt;&gt;0),('계산 과정'!$L$23-'계산 과정'!$C$49*D1649-'계산 과정'!$D$49*E1649)/O1649,"")</x:f>
        <x:v>-3.6547832797969972</x:v>
      </x:c>
      <x:c r="Q1649" s="4" t="str">
        <x:f>IF(AND(ISNUMBER(P1649),P1649&gt;1E-9,P1649&lt;1-1E-9),'계산 과정'!$C$47*(D1649-'계산 과정'!$C$50+P1649*('계산 과정'!$C$32-D1649))+'계산 과정'!$D$47*(E1649-'계산 과정'!$D$50+P1649*('계산 과정'!$D$32-E1649))+'계산 과정'!$E$47*(0-'계산 과정'!$E$50+P1649*('계산 과정'!$E$32-0)),"")</x:f>
      </x:c>
      <x:c r="R1649" s="4" t="str">
        <x:f>IF(AND(ISNUMBER(P1649),P1649&gt;1E-9,P1649&lt;1-1E-9),'계산 과정'!$C$48*(D1649-'계산 과정'!$C$50+P1649*('계산 과정'!$C$32-D1649))+'계산 과정'!$D$48*(E1649-'계산 과정'!$D$50+P1649*('계산 과정'!$D$32-E1649))+'계산 과정'!$E$48*(0-'계산 과정'!$E$50+P1649*('계산 과정'!$E$32-0)),"")</x:f>
      </x:c>
      <x:c r="S1649" s="17" t="n">
        <x:f>IF('계산 과정'!$C$78,IF(AND(ISNUMBER(Q1649),ISNUMBER(R1649),ABS(Q1649-'계산 과정'!$C$88)&lt;='계산 과정'!$D$23/2,ABS(R1649-'계산 과정'!$C$89)&lt;='계산 과정'!$D$24/2),1,0),"")</x:f>
        <x:v>0</x:v>
      </x:c>
      <x:c r="T1649" s="4"/>
      <x:c r="U1649" s="4"/>
      <x:c r="V1649" s="4"/>
      <x:c r="W1649" s="4"/>
      <x:c r="X1649" s="4"/>
      <x:c r="Y1649" s="4"/>
      <x:c r="Z1649" s="4"/>
    </x:row>
    <x:row r="1650" ht="23" customHeight="1">
      <x:c r="A1650" s="17" t="n">
        <x:f>ROW()-6</x:f>
        <x:v>1644</x:v>
      </x:c>
      <x:c r="B1650" s="4" t="n">
        <x:f>IF('계산 과정'!$L$5,'계산 과정'!$L$11*SQRT((A1650+0.5)/'계산 과정'!$L$30),"")</x:f>
        <x:v>134.4136027400594</x:v>
      </x:c>
      <x:c r="C1650" s="4" t="n">
        <x:f>A1650*PI()*(3-SQRT(5))</x:f>
        <x:v>3945.5395496739056</x:v>
      </x:c>
      <x:c r="D1650" s="4" t="n">
        <x:f>IF('계산 과정'!$L$5,B1650*COS(C1650),"")</x:f>
        <x:v>128.37747534057564</x:v>
      </x:c>
      <x:c r="E1650" s="4" t="n">
        <x:f>IF('계산 과정'!$L$5,B1650*SIN(C1650),"")</x:f>
        <x:v>-39.82763395862716</x:v>
      </x:c>
      <x:c r="F1650" s="4" t="n">
        <x:f>IF('계산 과정'!$L$7,'계산 과정'!$L$22+'계산 과정'!$C$49*D1650+'계산 과정'!$D$49*E1650,"")</x:f>
        <x:v>559.2234166350702</x:v>
      </x:c>
      <x:c r="G1650" s="4" t="n">
        <x:f>IF('계산 과정'!$L$7,IF(ABS(F1650)&gt;=1E-12*MAX(1,SQRT((D1650-'계산 과정'!$C$33)^2+(E1650-'계산 과정'!$D$33)^2+'계산 과정'!$E$33^2)),('계산 과정'!$L$23-'계산 과정'!$C$49*D1650-'계산 과정'!$D$49*E1650)/F1650,""),"")</x:f>
        <x:v>0.8776037783217393</x:v>
      </x:c>
      <x:c r="H1650" s="4" t="n">
        <x:f>IF(AND(ISNUMBER(G1650),G1650&gt;0),('계산 과정'!$D$56+'계산 과정'!$D$57*D1650+'계산 과정'!$D$58*E1650)/F1650,"")</x:f>
        <x:v>170.4424559091305</x:v>
      </x:c>
      <x:c r="I1650" s="4" t="n">
        <x:f>IF(AND(ISNUMBER(G1650),G1650&gt;0),('계산 과정'!$E$56+'계산 과정'!$E$57*D1650+'계산 과정'!$E$58*E1650)/F1650,"")</x:f>
        <x:v>-74.78051600233357</x:v>
      </x:c>
      <x:c r="J1650" s="4" t="n">
        <x:f>IF('계산 과정'!$L$5,'계산 과정'!$D$6+'계산 과정'!$C$35*D1650+'계산 과정'!$D$35*E1650,"")</x:f>
        <x:v>559.2234166350702</x:v>
      </x:c>
      <x:c r="K1650" s="4" t="n">
        <x:f>IF(AND('계산 과정'!$L$6,J1650&gt;0),'계산 과정'!$D$10*('계산 과정'!$C$38*(D1650-'계산 과정'!$C$32)+'계산 과정'!$D$38*(E1650-'계산 과정'!$D$32)-'계산 과정'!$E$38*'계산 과정'!$E$32)/J1650,"")</x:f>
        <x:v>1.2986091878790902</x:v>
      </x:c>
      <x:c r="L1650" s="4" t="n">
        <x:f>IF(AND('계산 과정'!$L$6,J1650&gt;0),'계산 과정'!$D$10*('계산 과정'!$C$39*(D1650-'계산 과정'!$C$32)+'계산 과정'!$D$39*(E1650-'계산 과정'!$D$32)-'계산 과정'!$E$39*'계산 과정'!$E$32)/J1650,"")</x:f>
        <x:v>-0.5697563123987319</x:v>
      </x:c>
      <x:c r="M1650" s="17" t="n">
        <x:f>IF('계산 과정'!$L$6,IF(J1650&lt;=0,0,IF(AND(ABS(K1650)&lt;='계산 과정'!$D$11/2,ABS(L1650)&lt;='계산 과정'!$D$12/2),1,0)),"")</x:f>
        <x:v>1</x:v>
      </x:c>
      <x:c r="N1650" s="17" t="n">
        <x:f>IF('계산 과정'!$C$78,IF(AND(ISNUMBER(H1650),ISNUMBER(I1650),ABS(H1650-'계산 과정'!$C$88)&lt;='계산 과정'!$D$23/2,ABS(I1650-'계산 과정'!$C$89)&lt;='계산 과정'!$D$24/2),1,0),"")</x:f>
        <x:v>1</x:v>
      </x:c>
      <x:c r="O1650" s="4" t="n">
        <x:f>IF('계산 과정'!$L$7,'계산 과정'!$C$49*('계산 과정'!$C$32-D1650)+'계산 과정'!$D$49*('계산 과정'!$D$32-E1650)+'계산 과정'!$E$49*'계산 과정'!$E$32,"")</x:f>
        <x:v>90.77658336492993</x:v>
      </x:c>
      <x:c r="P1650" s="4" t="n">
        <x:f>IF(AND('계산 과정'!$L$7,O1650&lt;&gt;0),('계산 과정'!$L$23-'계산 과정'!$C$49*D1650-'계산 과정'!$D$49*E1650)/O1650,"")</x:f>
        <x:v>5.4064227267946885</x:v>
      </x:c>
      <x:c r="Q1650" s="4" t="str">
        <x:f>IF(AND(ISNUMBER(P1650),P1650&gt;1E-9,P1650&lt;1-1E-9),'계산 과정'!$C$47*(D1650-'계산 과정'!$C$50+P1650*('계산 과정'!$C$32-D1650))+'계산 과정'!$D$47*(E1650-'계산 과정'!$D$50+P1650*('계산 과정'!$D$32-E1650))+'계산 과정'!$E$47*(0-'계산 과정'!$E$50+P1650*('계산 과정'!$E$32-0)),"")</x:f>
      </x:c>
      <x:c r="R1650" s="4" t="str">
        <x:f>IF(AND(ISNUMBER(P1650),P1650&gt;1E-9,P1650&lt;1-1E-9),'계산 과정'!$C$48*(D1650-'계산 과정'!$C$50+P1650*('계산 과정'!$C$32-D1650))+'계산 과정'!$D$48*(E1650-'계산 과정'!$D$50+P1650*('계산 과정'!$D$32-E1650))+'계산 과정'!$E$48*(0-'계산 과정'!$E$50+P1650*('계산 과정'!$E$32-0)),"")</x:f>
      </x:c>
      <x:c r="S1650" s="17" t="n">
        <x:f>IF('계산 과정'!$C$78,IF(AND(ISNUMBER(Q1650),ISNUMBER(R1650),ABS(Q1650-'계산 과정'!$C$88)&lt;='계산 과정'!$D$23/2,ABS(R1650-'계산 과정'!$C$89)&lt;='계산 과정'!$D$24/2),1,0),"")</x:f>
        <x:v>0</x:v>
      </x:c>
      <x:c r="T1650" s="4"/>
      <x:c r="U1650" s="4"/>
      <x:c r="V1650" s="4"/>
      <x:c r="W1650" s="4"/>
      <x:c r="X1650" s="4"/>
      <x:c r="Y1650" s="4"/>
      <x:c r="Z1650" s="4"/>
    </x:row>
    <x:row r="1651" ht="23" customHeight="1">
      <x:c r="A1651" s="17" t="n">
        <x:f>ROW()-6</x:f>
        <x:v>1645</x:v>
      </x:c>
      <x:c r="B1651" s="4" t="n">
        <x:f>IF('계산 과정'!$L$5,'계산 과정'!$L$11*SQRT((A1651+0.5)/'계산 과정'!$L$30),"")</x:f>
        <x:v>134.454464149345</x:v>
      </x:c>
      <x:c r="C1651" s="4" t="n">
        <x:f>A1651*PI()*(3-SQRT(5))</x:f>
        <x:v>3947.939512903634</x:v>
      </x:c>
      <x:c r="D1651" s="4" t="n">
        <x:f>IF('계산 과정'!$L$5,B1651*COS(C1651),"")</x:f>
        <x:v>-67.77897316152342</x:v>
      </x:c>
      <x:c r="E1651" s="4" t="n">
        <x:f>IF('계산 과정'!$L$5,B1651*SIN(C1651),"")</x:f>
        <x:v>116.12068604196664</x:v>
      </x:c>
      <x:c r="F1651" s="4" t="n">
        <x:f>IF('계산 과정'!$L$7,'계산 과정'!$L$22+'계산 과정'!$C$49*D1651+'계산 과정'!$D$49*E1651,"")</x:f>
        <x:v>697.9269715443742</x:v>
      </x:c>
      <x:c r="G1651" s="4" t="n">
        <x:f>IF('계산 과정'!$L$7,IF(ABS(F1651)&gt;=1E-12*MAX(1,SQRT((D1651-'계산 과정'!$C$33)^2+(E1651-'계산 과정'!$D$33)^2+'계산 과정'!$E$33^2)),('계산 과정'!$L$23-'계산 과정'!$C$49*D1651-'계산 과정'!$D$49*E1651)/F1651,""),"")</x:f>
        <x:v>0.504455398358596</x:v>
      </x:c>
      <x:c r="H1651" s="4" t="n">
        <x:f>IF(AND(ISNUMBER(G1651),G1651&gt;0),('계산 과정'!$D$56+'계산 과정'!$D$57*D1651+'계산 과정'!$D$58*E1651)/F1651,"")</x:f>
        <x:v>-72.10399106691274</x:v>
      </x:c>
      <x:c r="I1651" s="4" t="n">
        <x:f>IF(AND(ISNUMBER(G1651),G1651&gt;0),('계산 과정'!$E$56+'계산 과정'!$E$57*D1651+'계산 과정'!$E$58*E1651)/F1651,"")</x:f>
        <x:v>174.69839297694037</x:v>
      </x:c>
      <x:c r="J1651" s="4" t="n">
        <x:f>IF('계산 과정'!$L$5,'계산 과정'!$D$6+'계산 과정'!$C$35*D1651+'계산 과정'!$D$35*E1651,"")</x:f>
        <x:v>697.9269715443742</x:v>
      </x:c>
      <x:c r="K1651" s="4" t="n">
        <x:f>IF(AND('계산 과정'!$L$6,J1651&gt;0),'계산 과정'!$D$10*('계산 과정'!$C$38*(D1651-'계산 과정'!$C$32)+'계산 과정'!$D$38*(E1651-'계산 과정'!$D$32)-'계산 과정'!$E$38*'계산 과정'!$E$32)/J1651,"")</x:f>
        <x:v>-0.5493637414621908</x:v>
      </x:c>
      <x:c r="L1651" s="4" t="n">
        <x:f>IF(AND('계산 과정'!$L$6,J1651&gt;0),'계산 과정'!$D$10*('계산 과정'!$C$39*(D1651-'계산 과정'!$C$32)+'계산 과정'!$D$39*(E1651-'계산 과정'!$D$32)-'계산 과정'!$E$39*'계산 과정'!$E$32)/J1651,"")</x:f>
        <x:v>1.3310353750624029</x:v>
      </x:c>
      <x:c r="M1651" s="17" t="n">
        <x:f>IF('계산 과정'!$L$6,IF(J1651&lt;=0,0,IF(AND(ABS(K1651)&lt;='계산 과정'!$D$11/2,ABS(L1651)&lt;='계산 과정'!$D$12/2),1,0)),"")</x:f>
        <x:v>1</x:v>
      </x:c>
      <x:c r="N1651" s="17" t="n">
        <x:f>IF('계산 과정'!$C$78,IF(AND(ISNUMBER(H1651),ISNUMBER(I1651),ABS(H1651-'계산 과정'!$C$88)&lt;='계산 과정'!$D$23/2,ABS(I1651-'계산 과정'!$C$89)&lt;='계산 과정'!$D$24/2),1,0),"")</x:f>
        <x:v>1</x:v>
      </x:c>
      <x:c r="O1651" s="4" t="n">
        <x:f>IF('계산 과정'!$L$7,'계산 과정'!$C$49*('계산 과정'!$C$32-D1651)+'계산 과정'!$D$49*('계산 과정'!$D$32-E1651)+'계산 과정'!$E$49*'계산 과정'!$E$32,"")</x:f>
        <x:v>-47.926971544374055</x:v>
      </x:c>
      <x:c r="P1651" s="4" t="n">
        <x:f>IF(AND('계산 과정'!$L$7,O1651&lt;&gt;0),('계산 과정'!$L$23-'계산 과정'!$C$49*D1651-'계산 과정'!$D$49*E1651)/O1651,"")</x:f>
        <x:v>-7.346031203529156</x:v>
      </x:c>
      <x:c r="Q1651" s="4" t="str">
        <x:f>IF(AND(ISNUMBER(P1651),P1651&gt;1E-9,P1651&lt;1-1E-9),'계산 과정'!$C$47*(D1651-'계산 과정'!$C$50+P1651*('계산 과정'!$C$32-D1651))+'계산 과정'!$D$47*(E1651-'계산 과정'!$D$50+P1651*('계산 과정'!$D$32-E1651))+'계산 과정'!$E$47*(0-'계산 과정'!$E$50+P1651*('계산 과정'!$E$32-0)),"")</x:f>
      </x:c>
      <x:c r="R1651" s="4" t="str">
        <x:f>IF(AND(ISNUMBER(P1651),P1651&gt;1E-9,P1651&lt;1-1E-9),'계산 과정'!$C$48*(D1651-'계산 과정'!$C$50+P1651*('계산 과정'!$C$32-D1651))+'계산 과정'!$D$48*(E1651-'계산 과정'!$D$50+P1651*('계산 과정'!$D$32-E1651))+'계산 과정'!$E$48*(0-'계산 과정'!$E$50+P1651*('계산 과정'!$E$32-0)),"")</x:f>
      </x:c>
      <x:c r="S1651" s="17" t="n">
        <x:f>IF('계산 과정'!$C$78,IF(AND(ISNUMBER(Q1651),ISNUMBER(R1651),ABS(Q1651-'계산 과정'!$C$88)&lt;='계산 과정'!$D$23/2,ABS(R1651-'계산 과정'!$C$89)&lt;='계산 과정'!$D$24/2),1,0),"")</x:f>
        <x:v>0</x:v>
      </x:c>
      <x:c r="T1651" s="4"/>
      <x:c r="U1651" s="4"/>
      <x:c r="V1651" s="4"/>
      <x:c r="W1651" s="4"/>
      <x:c r="X1651" s="4"/>
      <x:c r="Y1651" s="4"/>
      <x:c r="Z1651" s="4"/>
    </x:row>
    <x:row r="1652" ht="23" customHeight="1">
      <x:c r="A1652" s="17" t="n">
        <x:f>ROW()-6</x:f>
        <x:v>1646</x:v>
      </x:c>
      <x:c r="B1652" s="4" t="n">
        <x:f>IF('계산 과정'!$L$5,'계산 과정'!$L$11*SQRT((A1652+0.5)/'계산 과정'!$L$30),"")</x:f>
        <x:v>134.4953131444085</x:v>
      </x:c>
      <x:c r="C1652" s="4" t="n">
        <x:f>A1652*PI()*(3-SQRT(5))</x:f>
        <x:v>3950.3394761333625</x:v>
      </x:c>
      <x:c r="D1652" s="4" t="n">
        <x:f>IF('계산 과정'!$L$5,B1652*COS(C1652),"")</x:f>
        <x:v>-28.468937589277292</x:v>
      </x:c>
      <x:c r="E1652" s="4" t="n">
        <x:f>IF('계산 과정'!$L$5,B1652*SIN(C1652),"")</x:f>
        <x:v>-131.44774189901602</x:v>
      </x:c>
      <x:c r="F1652" s="4" t="n">
        <x:f>IF('계산 과정'!$L$7,'계산 과정'!$L$22+'계산 과정'!$C$49*D1652+'계산 과정'!$D$49*E1652,"")</x:f>
        <x:v>670.1305788225545</x:v>
      </x:c>
      <x:c r="G1652" s="4" t="n">
        <x:f>IF('계산 과정'!$L$7,IF(ABS(F1652)&gt;=1E-12*MAX(1,SQRT((D1652-'계산 과정'!$C$33)^2+(E1652-'계산 과정'!$D$33)^2+'계산 과정'!$E$33^2)),('계산 과정'!$L$23-'계산 과정'!$C$49*D1652-'계산 과정'!$D$49*E1652)/F1652,""),"")</x:f>
        <x:v>0.5668588080921344</x:v>
      </x:c>
      <x:c r="H1652" s="4" t="n">
        <x:f>IF(AND(ISNUMBER(G1652),G1652&gt;0),('계산 과정'!$D$56+'계산 과정'!$D$57*D1652+'계산 과정'!$D$58*E1652)/F1652,"")</x:f>
        <x:v>-31.541774740112746</x:v>
      </x:c>
      <x:c r="I1652" s="4" t="n">
        <x:f>IF(AND(ISNUMBER(G1652),G1652&gt;0),('계산 과정'!$E$56+'계산 과정'!$E$57*D1652+'계산 과정'!$E$58*E1652)/F1652,"")</x:f>
        <x:v>-205.96005219829476</x:v>
      </x:c>
      <x:c r="J1652" s="4" t="n">
        <x:f>IF('계산 과정'!$L$5,'계산 과정'!$D$6+'계산 과정'!$C$35*D1652+'계산 과정'!$D$35*E1652,"")</x:f>
        <x:v>670.1305788225545</x:v>
      </x:c>
      <x:c r="K1652" s="4" t="n">
        <x:f>IF(AND('계산 과정'!$L$6,J1652&gt;0),'계산 과정'!$D$10*('계산 과정'!$C$38*(D1652-'계산 과정'!$C$32)+'계산 과정'!$D$38*(E1652-'계산 과정'!$D$32)-'계산 과정'!$E$38*'계산 과정'!$E$32)/J1652,"")</x:f>
        <x:v>-0.24031828373419153</x:v>
      </x:c>
      <x:c r="L1652" s="4" t="n">
        <x:f>IF(AND('계산 과정'!$L$6,J1652&gt;0),'계산 과정'!$D$10*('계산 과정'!$C$39*(D1652-'계산 과정'!$C$32)+'계산 과정'!$D$39*(E1652-'계산 과정'!$D$32)-'계산 과정'!$E$39*'계산 과정'!$E$32)/J1652,"")</x:f>
        <x:v>-1.5692194453203412</x:v>
      </x:c>
      <x:c r="M1652" s="17" t="n">
        <x:f>IF('계산 과정'!$L$6,IF(J1652&lt;=0,0,IF(AND(ABS(K1652)&lt;='계산 과정'!$D$11/2,ABS(L1652)&lt;='계산 과정'!$D$12/2),1,0)),"")</x:f>
        <x:v>1</x:v>
      </x:c>
      <x:c r="N1652" s="17" t="n">
        <x:f>IF('계산 과정'!$C$78,IF(AND(ISNUMBER(H1652),ISNUMBER(I1652),ABS(H1652-'계산 과정'!$C$88)&lt;='계산 과정'!$D$23/2,ABS(I1652-'계산 과정'!$C$89)&lt;='계산 과정'!$D$24/2),1,0),"")</x:f>
        <x:v>1</x:v>
      </x:c>
      <x:c r="O1652" s="4" t="n">
        <x:f>IF('계산 과정'!$L$7,'계산 과정'!$C$49*('계산 과정'!$C$32-D1652)+'계산 과정'!$D$49*('계산 과정'!$D$32-E1652)+'계산 과정'!$E$49*'계산 과정'!$E$32,"")</x:f>
        <x:v>-20.13057882255447</x:v>
      </x:c>
      <x:c r="P1652" s="4" t="n">
        <x:f>IF(AND('계산 과정'!$L$7,O1652&lt;&gt;0),('계산 과정'!$L$23-'계산 과정'!$C$49*D1652-'계산 과정'!$D$49*E1652)/O1652,"")</x:f>
        <x:v>-18.870268188803223</x:v>
      </x:c>
      <x:c r="Q1652" s="4" t="str">
        <x:f>IF(AND(ISNUMBER(P1652),P1652&gt;1E-9,P1652&lt;1-1E-9),'계산 과정'!$C$47*(D1652-'계산 과정'!$C$50+P1652*('계산 과정'!$C$32-D1652))+'계산 과정'!$D$47*(E1652-'계산 과정'!$D$50+P1652*('계산 과정'!$D$32-E1652))+'계산 과정'!$E$47*(0-'계산 과정'!$E$50+P1652*('계산 과정'!$E$32-0)),"")</x:f>
      </x:c>
      <x:c r="R1652" s="4" t="str">
        <x:f>IF(AND(ISNUMBER(P1652),P1652&gt;1E-9,P1652&lt;1-1E-9),'계산 과정'!$C$48*(D1652-'계산 과정'!$C$50+P1652*('계산 과정'!$C$32-D1652))+'계산 과정'!$D$48*(E1652-'계산 과정'!$D$50+P1652*('계산 과정'!$D$32-E1652))+'계산 과정'!$E$48*(0-'계산 과정'!$E$50+P1652*('계산 과정'!$E$32-0)),"")</x:f>
      </x:c>
      <x:c r="S1652" s="17" t="n">
        <x:f>IF('계산 과정'!$C$78,IF(AND(ISNUMBER(Q1652),ISNUMBER(R1652),ABS(Q1652-'계산 과정'!$C$88)&lt;='계산 과정'!$D$23/2,ABS(R1652-'계산 과정'!$C$89)&lt;='계산 과정'!$D$24/2),1,0),"")</x:f>
        <x:v>0</x:v>
      </x:c>
      <x:c r="T1652" s="4"/>
      <x:c r="U1652" s="4"/>
      <x:c r="V1652" s="4"/>
      <x:c r="W1652" s="4"/>
      <x:c r="X1652" s="4"/>
      <x:c r="Y1652" s="4"/>
      <x:c r="Z1652" s="4"/>
    </x:row>
    <x:row r="1653" ht="23" customHeight="1">
      <x:c r="A1653" s="17" t="n">
        <x:f>ROW()-6</x:f>
        <x:v>1647</x:v>
      </x:c>
      <x:c r="B1653" s="4" t="n">
        <x:f>IF('계산 과정'!$L$5,'계산 과정'!$L$11*SQRT((A1653+0.5)/'계산 과정'!$L$30),"")</x:f>
        <x:v>134.5361497365578</x:v>
      </x:c>
      <x:c r="C1653" s="4" t="n">
        <x:f>A1653*PI()*(3-SQRT(5))</x:f>
        <x:v>3952.7394393630916</x:v>
      </x:c>
      <x:c r="D1653" s="4" t="n">
        <x:f>IF('계산 과정'!$L$5,B1653*COS(C1653),"")</x:f>
        <x:v>109.8171158960894</x:v>
      </x:c>
      <x:c r="E1653" s="4" t="n">
        <x:f>IF('계산 과정'!$L$5,B1653*SIN(C1653),"")</x:f>
        <x:v>77.71857334127003</x:v>
      </x:c>
      <x:c r="F1653" s="4" t="n">
        <x:f>IF('계산 과정'!$L$7,'계산 과정'!$L$22+'계산 과정'!$C$49*D1653+'계산 과정'!$D$49*E1653,"")</x:f>
        <x:v>572.3475726595262</x:v>
      </x:c>
      <x:c r="G1653" s="4" t="n">
        <x:f>IF('계산 과정'!$L$7,IF(ABS(F1653)&gt;=1E-12*MAX(1,SQRT((D1653-'계산 과정'!$C$33)^2+(E1653-'계산 과정'!$D$33)^2+'계산 과정'!$E$33^2)),('계산 과정'!$L$23-'계산 과정'!$C$49*D1653-'계산 과정'!$D$49*E1653)/F1653,""),"")</x:f>
        <x:v>0.8345495816833245</x:v>
      </x:c>
      <x:c r="H1653" s="4" t="n">
        <x:f>IF(AND(ISNUMBER(G1653),G1653&gt;0),('계산 과정'!$D$56+'계산 과정'!$D$57*D1653+'계산 과정'!$D$58*E1653)/F1653,"")</x:f>
        <x:v>142.4572280941609</x:v>
      </x:c>
      <x:c r="I1653" s="4" t="n">
        <x:f>IF(AND(ISNUMBER(G1653),G1653&gt;0),('계산 과정'!$E$56+'계산 과정'!$E$57*D1653+'계산 과정'!$E$58*E1653)/F1653,"")</x:f>
        <x:v>142.5785762122517</x:v>
      </x:c>
      <x:c r="J1653" s="4" t="n">
        <x:f>IF('계산 과정'!$L$5,'계산 과정'!$D$6+'계산 과정'!$C$35*D1653+'계산 과정'!$D$35*E1653,"")</x:f>
        <x:v>572.3475726595262</x:v>
      </x:c>
      <x:c r="K1653" s="4" t="n">
        <x:f>IF(AND('계산 과정'!$L$6,J1653&gt;0),'계산 과정'!$D$10*('계산 과정'!$C$38*(D1653-'계산 과정'!$C$32)+'계산 과정'!$D$38*(E1653-'계산 과정'!$D$32)-'계산 과정'!$E$38*'계산 과정'!$E$32)/J1653,"")</x:f>
        <x:v>1.0853884045269409</x:v>
      </x:c>
      <x:c r="L1653" s="4" t="n">
        <x:f>IF(AND('계산 과정'!$L$6,J1653&gt;0),'계산 과정'!$D$10*('계산 과정'!$C$39*(D1653-'계산 과정'!$C$32)+'계산 과정'!$D$39*(E1653-'계산 과정'!$D$32)-'계산 과정'!$E$39*'계산 과정'!$E$32)/J1653,"")</x:f>
        <x:v>1.0863129616171558</x:v>
      </x:c>
      <x:c r="M1653" s="17" t="n">
        <x:f>IF('계산 과정'!$L$6,IF(J1653&lt;=0,0,IF(AND(ABS(K1653)&lt;='계산 과정'!$D$11/2,ABS(L1653)&lt;='계산 과정'!$D$12/2),1,0)),"")</x:f>
        <x:v>1</x:v>
      </x:c>
      <x:c r="N1653" s="17" t="n">
        <x:f>IF('계산 과정'!$C$78,IF(AND(ISNUMBER(H1653),ISNUMBER(I1653),ABS(H1653-'계산 과정'!$C$88)&lt;='계산 과정'!$D$23/2,ABS(I1653-'계산 과정'!$C$89)&lt;='계산 과정'!$D$24/2),1,0),"")</x:f>
        <x:v>1</x:v>
      </x:c>
      <x:c r="O1653" s="4" t="n">
        <x:f>IF('계산 과정'!$L$7,'계산 과정'!$C$49*('계산 과정'!$C$32-D1653)+'계산 과정'!$D$49*('계산 과정'!$D$32-E1653)+'계산 과정'!$E$49*'계산 과정'!$E$32,"")</x:f>
        <x:v>77.6524273404739</x:v>
      </x:c>
      <x:c r="P1653" s="4" t="n">
        <x:f>IF(AND('계산 과정'!$L$7,O1653&lt;&gt;0),('계산 과정'!$L$23-'계산 과정'!$C$49*D1653-'계산 과정'!$D$49*E1653)/O1653,"")</x:f>
        <x:v>6.1511590004284695</x:v>
      </x:c>
      <x:c r="Q1653" s="4" t="str">
        <x:f>IF(AND(ISNUMBER(P1653),P1653&gt;1E-9,P1653&lt;1-1E-9),'계산 과정'!$C$47*(D1653-'계산 과정'!$C$50+P1653*('계산 과정'!$C$32-D1653))+'계산 과정'!$D$47*(E1653-'계산 과정'!$D$50+P1653*('계산 과정'!$D$32-E1653))+'계산 과정'!$E$47*(0-'계산 과정'!$E$50+P1653*('계산 과정'!$E$32-0)),"")</x:f>
      </x:c>
      <x:c r="R1653" s="4" t="str">
        <x:f>IF(AND(ISNUMBER(P1653),P1653&gt;1E-9,P1653&lt;1-1E-9),'계산 과정'!$C$48*(D1653-'계산 과정'!$C$50+P1653*('계산 과정'!$C$32-D1653))+'계산 과정'!$D$48*(E1653-'계산 과정'!$D$50+P1653*('계산 과정'!$D$32-E1653))+'계산 과정'!$E$48*(0-'계산 과정'!$E$50+P1653*('계산 과정'!$E$32-0)),"")</x:f>
      </x:c>
      <x:c r="S1653" s="17" t="n">
        <x:f>IF('계산 과정'!$C$78,IF(AND(ISNUMBER(Q1653),ISNUMBER(R1653),ABS(Q1653-'계산 과정'!$C$88)&lt;='계산 과정'!$D$23/2,ABS(R1653-'계산 과정'!$C$89)&lt;='계산 과정'!$D$24/2),1,0),"")</x:f>
        <x:v>0</x:v>
      </x:c>
      <x:c r="T1653" s="4"/>
      <x:c r="U1653" s="4"/>
      <x:c r="V1653" s="4"/>
      <x:c r="W1653" s="4"/>
      <x:c r="X1653" s="4"/>
      <x:c r="Y1653" s="4"/>
      <x:c r="Z1653" s="4"/>
    </x:row>
    <x:row r="1654" ht="23" customHeight="1">
      <x:c r="A1654" s="17" t="n">
        <x:f>ROW()-6</x:f>
        <x:v>1648</x:v>
      </x:c>
      <x:c r="B1654" s="4" t="n">
        <x:f>IF('계산 과정'!$L$5,'계산 과정'!$L$11*SQRT((A1654+0.5)/'계산 과정'!$L$30),"")</x:f>
        <x:v>134.57697393708366</x:v>
      </x:c>
      <x:c r="C1654" s="4" t="n">
        <x:f>A1654*PI()*(3-SQRT(5))</x:f>
        <x:v>3955.13940259282</x:v>
      </x:c>
      <x:c r="D1654" s="4" t="n">
        <x:f>IF('계산 과정'!$L$5,B1654*COS(C1654),"")</x:f>
        <x:v>-133.5143673746189</x:v>
      </x:c>
      <x:c r="E1654" s="4" t="n">
        <x:f>IF('계산 과정'!$L$5,B1654*SIN(C1654),"")</x:f>
        <x:v>16.87825875550546</x:v>
      </x:c>
      <x:c r="F1654" s="4" t="n">
        <x:f>IF('계산 과정'!$L$7,'계산 과정'!$L$22+'계산 과정'!$C$49*D1654+'계산 과정'!$D$49*E1654,"")</x:f>
        <x:v>744.408914556425</x:v>
      </x:c>
      <x:c r="G1654" s="4" t="n">
        <x:f>IF('계산 과정'!$L$7,IF(ABS(F1654)&gt;=1E-12*MAX(1,SQRT((D1654-'계산 과정'!$C$33)^2+(E1654-'계산 과정'!$D$33)^2+'계산 과정'!$E$33^2)),('계산 과정'!$L$23-'계산 과정'!$C$49*D1654-'계산 과정'!$D$49*E1654)/F1654,""),"")</x:f>
        <x:v>0.4105150804456302</x:v>
      </x:c>
      <x:c r="H1654" s="4" t="n">
        <x:f>IF(AND(ISNUMBER(G1654),G1654&gt;0),('계산 과정'!$D$56+'계산 과정'!$D$57*D1654+'계산 과정'!$D$58*E1654)/F1654,"")</x:f>
        <x:v>-133.16519771034052</x:v>
      </x:c>
      <x:c r="I1654" s="4" t="n">
        <x:f>IF(AND(ISNUMBER(G1654),G1654&gt;0),('계산 과정'!$E$56+'계산 과정'!$E$57*D1654+'계산 과정'!$E$58*E1654)/F1654,"")</x:f>
        <x:v>23.807038506303943</x:v>
      </x:c>
      <x:c r="J1654" s="4" t="n">
        <x:f>IF('계산 과정'!$L$5,'계산 과정'!$D$6+'계산 과정'!$C$35*D1654+'계산 과정'!$D$35*E1654,"")</x:f>
        <x:v>744.408914556425</x:v>
      </x:c>
      <x:c r="K1654" s="4" t="n">
        <x:f>IF(AND('계산 과정'!$L$6,J1654&gt;0),'계산 과정'!$D$10*('계산 과정'!$C$38*(D1654-'계산 과정'!$C$32)+'계산 과정'!$D$38*(E1654-'계산 과정'!$D$32)-'계산 과정'!$E$38*'계산 과정'!$E$32)/J1654,"")</x:f>
        <x:v>-1.0145919825549745</x:v>
      </x:c>
      <x:c r="L1654" s="4" t="n">
        <x:f>IF(AND('계산 과정'!$L$6,J1654&gt;0),'계산 과정'!$D$10*('계산 과정'!$C$39*(D1654-'계산 과정'!$C$32)+'계산 과정'!$D$39*(E1654-'계산 과정'!$D$32)-'계산 과정'!$E$39*'계산 과정'!$E$32)/J1654,"")</x:f>
        <x:v>0.18138696004803007</x:v>
      </x:c>
      <x:c r="M1654" s="17" t="n">
        <x:f>IF('계산 과정'!$L$6,IF(J1654&lt;=0,0,IF(AND(ABS(K1654)&lt;='계산 과정'!$D$11/2,ABS(L1654)&lt;='계산 과정'!$D$12/2),1,0)),"")</x:f>
        <x:v>1</x:v>
      </x:c>
      <x:c r="N1654" s="17" t="n">
        <x:f>IF('계산 과정'!$C$78,IF(AND(ISNUMBER(H1654),ISNUMBER(I1654),ABS(H1654-'계산 과정'!$C$88)&lt;='계산 과정'!$D$23/2,ABS(I1654-'계산 과정'!$C$89)&lt;='계산 과정'!$D$24/2),1,0),"")</x:f>
        <x:v>1</x:v>
      </x:c>
      <x:c r="O1654" s="4" t="n">
        <x:f>IF('계산 과정'!$L$7,'계산 과정'!$C$49*('계산 과정'!$C$32-D1654)+'계산 과정'!$D$49*('계산 과정'!$D$32-E1654)+'계산 과정'!$E$49*'계산 과정'!$E$32,"")</x:f>
        <x:v>-94.40891455642486</x:v>
      </x:c>
      <x:c r="P1654" s="4" t="n">
        <x:f>IF(AND('계산 과정'!$L$7,O1654&lt;&gt;0),('계산 과정'!$L$23-'계산 과정'!$C$49*D1654-'계산 과정'!$D$49*E1654)/O1654,"")</x:f>
        <x:v>-3.2368880299003338</x:v>
      </x:c>
      <x:c r="Q1654" s="4" t="str">
        <x:f>IF(AND(ISNUMBER(P1654),P1654&gt;1E-9,P1654&lt;1-1E-9),'계산 과정'!$C$47*(D1654-'계산 과정'!$C$50+P1654*('계산 과정'!$C$32-D1654))+'계산 과정'!$D$47*(E1654-'계산 과정'!$D$50+P1654*('계산 과정'!$D$32-E1654))+'계산 과정'!$E$47*(0-'계산 과정'!$E$50+P1654*('계산 과정'!$E$32-0)),"")</x:f>
      </x:c>
      <x:c r="R1654" s="4" t="str">
        <x:f>IF(AND(ISNUMBER(P1654),P1654&gt;1E-9,P1654&lt;1-1E-9),'계산 과정'!$C$48*(D1654-'계산 과정'!$C$50+P1654*('계산 과정'!$C$32-D1654))+'계산 과정'!$D$48*(E1654-'계산 과정'!$D$50+P1654*('계산 과정'!$D$32-E1654))+'계산 과정'!$E$48*(0-'계산 과정'!$E$50+P1654*('계산 과정'!$E$32-0)),"")</x:f>
      </x:c>
      <x:c r="S1654" s="17" t="n">
        <x:f>IF('계산 과정'!$C$78,IF(AND(ISNUMBER(Q1654),ISNUMBER(R1654),ABS(Q1654-'계산 과정'!$C$88)&lt;='계산 과정'!$D$23/2,ABS(R1654-'계산 과정'!$C$89)&lt;='계산 과정'!$D$24/2),1,0),"")</x:f>
        <x:v>0</x:v>
      </x:c>
      <x:c r="T1654" s="4"/>
      <x:c r="U1654" s="4"/>
      <x:c r="V1654" s="4"/>
      <x:c r="W1654" s="4"/>
      <x:c r="X1654" s="4"/>
      <x:c r="Y1654" s="4"/>
      <x:c r="Z1654" s="4"/>
    </x:row>
    <x:row r="1655" ht="23" customHeight="1">
      <x:c r="A1655" s="17" t="n">
        <x:f>ROW()-6</x:f>
        <x:v>1649</x:v>
      </x:c>
      <x:c r="B1655" s="4" t="n">
        <x:f>IF('계산 과정'!$L$5,'계산 과정'!$L$11*SQRT((A1655+0.5)/'계산 과정'!$L$30),"")</x:f>
        <x:v>134.6177857572598</x:v>
      </x:c>
      <x:c r="C1655" s="4" t="n">
        <x:f>A1655*PI()*(3-SQRT(5))</x:f>
        <x:v>3957.5393658225485</x:v>
      </x:c>
      <x:c r="D1655" s="4" t="n">
        <x:f>IF('계산 과정'!$L$5,B1655*COS(C1655),"")</x:f>
        <x:v>87.07463755859928</x:v>
      </x:c>
      <x:c r="E1655" s="4" t="n">
        <x:f>IF('계산 과정'!$L$5,B1655*SIN(C1655),"")</x:f>
        <x:v>-102.66428656658591</x:v>
      </x:c>
      <x:c r="F1655" s="4" t="n">
        <x:f>IF('계산 과정'!$L$7,'계산 과정'!$L$22+'계산 과정'!$C$49*D1655+'계산 과정'!$D$49*E1655,"")</x:f>
        <x:v>588.4289333129536</x:v>
      </x:c>
      <x:c r="G1655" s="4" t="n">
        <x:f>IF('계산 과정'!$L$7,IF(ABS(F1655)&gt;=1E-12*MAX(1,SQRT((D1655-'계산 과정'!$C$33)^2+(E1655-'계산 과정'!$D$33)^2+'계산 과정'!$E$33^2)),('계산 과정'!$L$23-'계산 과정'!$C$49*D1655-'계산 과정'!$D$49*E1655)/F1655,""),"")</x:f>
        <x:v>0.7844125952276408</x:v>
      </x:c>
      <x:c r="H1655" s="4" t="n">
        <x:f>IF(AND(ISNUMBER(G1655),G1655&gt;0),('계산 과정'!$D$56+'계산 과정'!$D$57*D1655+'계산 과정'!$D$58*E1655)/F1655,"")</x:f>
        <x:v>109.86818689796651</x:v>
      </x:c>
      <x:c r="I1655" s="4" t="n">
        <x:f>IF(AND(ISNUMBER(G1655),G1655&gt;0),('계산 과정'!$E$56+'계산 과정'!$E$57*D1655+'계산 과정'!$E$58*E1655)/F1655,"")</x:f>
        <x:v>-183.1954460294758</x:v>
      </x:c>
      <x:c r="J1655" s="4" t="n">
        <x:f>IF('계산 과정'!$L$5,'계산 과정'!$D$6+'계산 과정'!$C$35*D1655+'계산 과정'!$D$35*E1655,"")</x:f>
        <x:v>588.4289333129536</x:v>
      </x:c>
      <x:c r="K1655" s="4" t="n">
        <x:f>IF(AND('계산 과정'!$L$6,J1655&gt;0),'계산 과정'!$D$10*('계산 과정'!$C$38*(D1655-'계산 과정'!$C$32)+'계산 과정'!$D$38*(E1655-'계산 과정'!$D$32)-'계산 과정'!$E$38*'계산 과정'!$E$32)/J1655,"")</x:f>
        <x:v>0.8370909477940317</x:v>
      </x:c>
      <x:c r="L1655" s="4" t="n">
        <x:f>IF(AND('계산 과정'!$L$6,J1655&gt;0),'계산 과정'!$D$10*('계산 과정'!$C$39*(D1655-'계산 과정'!$C$32)+'계산 과정'!$D$39*(E1655-'계산 과정'!$D$32)-'계산 과정'!$E$39*'계산 과정'!$E$32)/J1655,"")</x:f>
        <x:v>-1.3957748268912442</x:v>
      </x:c>
      <x:c r="M1655" s="17" t="n">
        <x:f>IF('계산 과정'!$L$6,IF(J1655&lt;=0,0,IF(AND(ABS(K1655)&lt;='계산 과정'!$D$11/2,ABS(L1655)&lt;='계산 과정'!$D$12/2),1,0)),"")</x:f>
        <x:v>1</x:v>
      </x:c>
      <x:c r="N1655" s="17" t="n">
        <x:f>IF('계산 과정'!$C$78,IF(AND(ISNUMBER(H1655),ISNUMBER(I1655),ABS(H1655-'계산 과정'!$C$88)&lt;='계산 과정'!$D$23/2,ABS(I1655-'계산 과정'!$C$89)&lt;='계산 과정'!$D$24/2),1,0),"")</x:f>
        <x:v>1</x:v>
      </x:c>
      <x:c r="O1655" s="4" t="n">
        <x:f>IF('계산 과정'!$L$7,'계산 과정'!$C$49*('계산 과정'!$C$32-D1655)+'계산 과정'!$D$49*('계산 과정'!$D$32-E1655)+'계산 과정'!$E$49*'계산 과정'!$E$32,"")</x:f>
        <x:v>61.57106668704654</x:v>
      </x:c>
      <x:c r="P1655" s="4" t="n">
        <x:f>IF(AND('계산 과정'!$L$7,O1655&lt;&gt;0),('계산 과정'!$L$23-'계산 과정'!$C$49*D1655-'계산 과정'!$D$49*E1655)/O1655,"")</x:f>
        <x:v>7.496557904918557</x:v>
      </x:c>
      <x:c r="Q1655" s="4" t="str">
        <x:f>IF(AND(ISNUMBER(P1655),P1655&gt;1E-9,P1655&lt;1-1E-9),'계산 과정'!$C$47*(D1655-'계산 과정'!$C$50+P1655*('계산 과정'!$C$32-D1655))+'계산 과정'!$D$47*(E1655-'계산 과정'!$D$50+P1655*('계산 과정'!$D$32-E1655))+'계산 과정'!$E$47*(0-'계산 과정'!$E$50+P1655*('계산 과정'!$E$32-0)),"")</x:f>
      </x:c>
      <x:c r="R1655" s="4" t="str">
        <x:f>IF(AND(ISNUMBER(P1655),P1655&gt;1E-9,P1655&lt;1-1E-9),'계산 과정'!$C$48*(D1655-'계산 과정'!$C$50+P1655*('계산 과정'!$C$32-D1655))+'계산 과정'!$D$48*(E1655-'계산 과정'!$D$50+P1655*('계산 과정'!$D$32-E1655))+'계산 과정'!$E$48*(0-'계산 과정'!$E$50+P1655*('계산 과정'!$E$32-0)),"")</x:f>
      </x:c>
      <x:c r="S1655" s="17" t="n">
        <x:f>IF('계산 과정'!$C$78,IF(AND(ISNUMBER(Q1655),ISNUMBER(R1655),ABS(Q1655-'계산 과정'!$C$88)&lt;='계산 과정'!$D$23/2,ABS(R1655-'계산 과정'!$C$89)&lt;='계산 과정'!$D$24/2),1,0),"")</x:f>
        <x:v>0</x:v>
      </x:c>
      <x:c r="T1655" s="4"/>
      <x:c r="U1655" s="4"/>
      <x:c r="V1655" s="4"/>
      <x:c r="W1655" s="4"/>
      <x:c r="X1655" s="4"/>
      <x:c r="Y1655" s="4"/>
      <x:c r="Z1655" s="4"/>
    </x:row>
    <x:row r="1656" ht="23" customHeight="1">
      <x:c r="A1656" s="17" t="n">
        <x:f>ROW()-6</x:f>
        <x:v>1650</x:v>
      </x:c>
      <x:c r="B1656" s="4" t="n">
        <x:f>IF('계산 과정'!$L$5,'계산 과정'!$L$11*SQRT((A1656+0.5)/'계산 과정'!$L$30),"")</x:f>
        <x:v>134.65858520834274</x:v>
      </x:c>
      <x:c r="C1656" s="4" t="n">
        <x:f>A1656*PI()*(3-SQRT(5))</x:f>
        <x:v>3959.9393290522776</x:v>
      </x:c>
      <x:c r="D1656" s="4" t="n">
        <x:f>IF('계산 과정'!$L$5,B1656*COS(C1656),"")</x:f>
        <x:v>5.1441599375193165</x:v>
      </x:c>
      <x:c r="E1656" s="4" t="n">
        <x:f>IF('계산 과정'!$L$5,B1656*SIN(C1656),"")</x:f>
        <x:v>134.56029202127098</x:v>
      </x:c>
      <x:c r="F1656" s="4" t="n">
        <x:f>IF('계산 과정'!$L$7,'계산 과정'!$L$22+'계산 과정'!$C$49*D1656+'계산 과정'!$D$49*E1656,"")</x:f>
        <x:v>646.3625296246719</x:v>
      </x:c>
      <x:c r="G1656" s="4" t="n">
        <x:f>IF('계산 과정'!$L$7,IF(ABS(F1656)&gt;=1E-12*MAX(1,SQRT((D1656-'계산 과정'!$C$33)^2+(E1656-'계산 과정'!$D$33)^2+'계산 과정'!$E$33^2)),('계산 과정'!$L$23-'계산 과정'!$C$49*D1656-'계산 과정'!$D$49*E1656)/F1656,""),"")</x:f>
        <x:v>0.6244753553546973</x:v>
      </x:c>
      <x:c r="H1656" s="4" t="n">
        <x:f>IF(AND(ISNUMBER(G1656),G1656&gt;0),('계산 과정'!$D$56+'계산 과정'!$D$57*D1656+'계산 과정'!$D$58*E1656)/F1656,"")</x:f>
        <x:v>5.908980980553147</x:v>
      </x:c>
      <x:c r="I1656" s="4" t="n">
        <x:f>IF(AND(ISNUMBER(G1656),G1656&gt;0),('계산 과정'!$E$56+'계산 과정'!$E$57*D1656+'계산 과정'!$E$58*E1656)/F1656,"")</x:f>
        <x:v>218.58987819788604</x:v>
      </x:c>
      <x:c r="J1656" s="4" t="n">
        <x:f>IF('계산 과정'!$L$5,'계산 과정'!$D$6+'계산 과정'!$C$35*D1656+'계산 과정'!$D$35*E1656,"")</x:f>
        <x:v>646.3625296246719</x:v>
      </x:c>
      <x:c r="K1656" s="4" t="n">
        <x:f>IF(AND('계산 과정'!$L$6,J1656&gt;0),'계산 과정'!$D$10*('계산 과정'!$C$38*(D1656-'계산 과정'!$C$32)+'계산 과정'!$D$38*(E1656-'계산 과정'!$D$32)-'계산 과정'!$E$38*'계산 과정'!$E$32)/J1656,"")</x:f>
        <x:v>0.04502080747088184</x:v>
      </x:c>
      <x:c r="L1656" s="4" t="n">
        <x:f>IF(AND('계산 과정'!$L$6,J1656&gt;0),'계산 과정'!$D$10*('계산 과정'!$C$39*(D1656-'계산 과정'!$C$32)+'계산 과정'!$D$39*(E1656-'계산 과정'!$D$32)-'계산 과정'!$E$39*'계산 과정'!$E$32)/J1656,"")</x:f>
        <x:v>1.6654466910315127</x:v>
      </x:c>
      <x:c r="M1656" s="17" t="n">
        <x:f>IF('계산 과정'!$L$6,IF(J1656&lt;=0,0,IF(AND(ABS(K1656)&lt;='계산 과정'!$D$11/2,ABS(L1656)&lt;='계산 과정'!$D$12/2),1,0)),"")</x:f>
        <x:v>1</x:v>
      </x:c>
      <x:c r="N1656" s="17" t="n">
        <x:f>IF('계산 과정'!$C$78,IF(AND(ISNUMBER(H1656),ISNUMBER(I1656),ABS(H1656-'계산 과정'!$C$88)&lt;='계산 과정'!$D$23/2,ABS(I1656-'계산 과정'!$C$89)&lt;='계산 과정'!$D$24/2),1,0),"")</x:f>
        <x:v>1</x:v>
      </x:c>
      <x:c r="O1656" s="4" t="n">
        <x:f>IF('계산 과정'!$L$7,'계산 과정'!$C$49*('계산 과정'!$C$32-D1656)+'계산 과정'!$D$49*('계산 과정'!$D$32-E1656)+'계산 과정'!$E$49*'계산 과정'!$E$32,"")</x:f>
        <x:v>3.637470375328178</x:v>
      </x:c>
      <x:c r="P1656" s="4" t="n">
        <x:f>IF(AND('계산 과정'!$L$7,O1656&lt;&gt;0),('계산 과정'!$L$23-'계산 과정'!$C$49*D1656-'계산 과정'!$D$49*E1656)/O1656,"")</x:f>
        <x:v>110.96653133261911</x:v>
      </x:c>
      <x:c r="Q1656" s="4" t="str">
        <x:f>IF(AND(ISNUMBER(P1656),P1656&gt;1E-9,P1656&lt;1-1E-9),'계산 과정'!$C$47*(D1656-'계산 과정'!$C$50+P1656*('계산 과정'!$C$32-D1656))+'계산 과정'!$D$47*(E1656-'계산 과정'!$D$50+P1656*('계산 과정'!$D$32-E1656))+'계산 과정'!$E$47*(0-'계산 과정'!$E$50+P1656*('계산 과정'!$E$32-0)),"")</x:f>
      </x:c>
      <x:c r="R1656" s="4" t="str">
        <x:f>IF(AND(ISNUMBER(P1656),P1656&gt;1E-9,P1656&lt;1-1E-9),'계산 과정'!$C$48*(D1656-'계산 과정'!$C$50+P1656*('계산 과정'!$C$32-D1656))+'계산 과정'!$D$48*(E1656-'계산 과정'!$D$50+P1656*('계산 과정'!$D$32-E1656))+'계산 과정'!$E$48*(0-'계산 과정'!$E$50+P1656*('계산 과정'!$E$32-0)),"")</x:f>
      </x:c>
      <x:c r="S1656" s="17" t="n">
        <x:f>IF('계산 과정'!$C$78,IF(AND(ISNUMBER(Q1656),ISNUMBER(R1656),ABS(Q1656-'계산 과정'!$C$88)&lt;='계산 과정'!$D$23/2,ABS(R1656-'계산 과정'!$C$89)&lt;='계산 과정'!$D$24/2),1,0),"")</x:f>
        <x:v>0</x:v>
      </x:c>
      <x:c r="T1656" s="4"/>
      <x:c r="U1656" s="4"/>
      <x:c r="V1656" s="4"/>
      <x:c r="W1656" s="4"/>
      <x:c r="X1656" s="4"/>
      <x:c r="Y1656" s="4"/>
      <x:c r="Z1656" s="4"/>
    </x:row>
    <x:row r="1657" ht="23" customHeight="1">
      <x:c r="A1657" s="17" t="n">
        <x:f>ROW()-6</x:f>
        <x:v>1651</x:v>
      </x:c>
      <x:c r="B1657" s="4" t="n">
        <x:f>IF('계산 과정'!$L$5,'계산 과정'!$L$11*SQRT((A1657+0.5)/'계산 과정'!$L$30),"")</x:f>
        <x:v>134.699372301572</x:v>
      </x:c>
      <x:c r="C1657" s="4" t="n">
        <x:f>A1657*PI()*(3-SQRT(5))</x:f>
        <x:v>3962.3392922820058</x:v>
      </x:c>
      <x:c r="D1657" s="4" t="n">
        <x:f>IF('계산 과정'!$L$5,B1657*COS(C1657),"")</x:f>
        <x:v>-94.71599478511101</x:v>
      </x:c>
      <x:c r="E1657" s="4" t="n">
        <x:f>IF('계산 과정'!$L$5,B1657*SIN(C1657),"")</x:f>
        <x:v>-95.77474213123378</x:v>
      </x:c>
      <x:c r="F1657" s="4" t="n">
        <x:f>IF('계산 과정'!$L$7,'계산 과정'!$L$22+'계산 과정'!$C$49*D1657+'계산 과정'!$D$49*E1657,"")</x:f>
        <x:v>716.9743221993816</x:v>
      </x:c>
      <x:c r="G1657" s="4" t="n">
        <x:f>IF('계산 과정'!$L$7,IF(ABS(F1657)&gt;=1E-12*MAX(1,SQRT((D1657-'계산 과정'!$C$33)^2+(E1657-'계산 과정'!$D$33)^2+'계산 과정'!$E$33^2)),('계산 과정'!$L$23-'계산 과정'!$C$49*D1657-'계산 과정'!$D$49*E1657)/F1657,""),"")</x:f>
        <x:v>0.46448759389183264</x:v>
      </x:c>
      <x:c r="H1657" s="4" t="n">
        <x:f>IF(AND(ISNUMBER(G1657),G1657&gt;0),('계산 과정'!$D$56+'계산 과정'!$D$57*D1657+'계산 과정'!$D$58*E1657)/F1657,"")</x:f>
        <x:v>-98.08306397030894</x:v>
      </x:c>
      <x:c r="I1657" s="4" t="n">
        <x:f>IF(AND(ISNUMBER(G1657),G1657&gt;0),('계산 과정'!$E$56+'계산 과정'!$E$57*D1657+'계산 과정'!$E$58*E1657)/F1657,"")</x:f>
        <x:v>-140.2609216593813</x:v>
      </x:c>
      <x:c r="J1657" s="4" t="n">
        <x:f>IF('계산 과정'!$L$5,'계산 과정'!$D$6+'계산 과정'!$C$35*D1657+'계산 과정'!$D$35*E1657,"")</x:f>
        <x:v>716.9743221993816</x:v>
      </x:c>
      <x:c r="K1657" s="4" t="n">
        <x:f>IF(AND('계산 과정'!$L$6,J1657&gt;0),'계산 과정'!$D$10*('계산 과정'!$C$38*(D1657-'계산 과정'!$C$32)+'계산 과정'!$D$38*(E1657-'계산 과정'!$D$32)-'계산 과정'!$E$38*'계산 과정'!$E$32)/J1657,"")</x:f>
        <x:v>-0.7472995350118762</x:v>
      </x:c>
      <x:c r="L1657" s="4" t="n">
        <x:f>IF(AND('계산 과정'!$L$6,J1657&gt;0),'계산 과정'!$D$10*('계산 과정'!$C$39*(D1657-'계산 과정'!$C$32)+'계산 과정'!$D$39*(E1657-'계산 과정'!$D$32)-'계산 과정'!$E$39*'계산 과정'!$E$32)/J1657,"")</x:f>
        <x:v>-1.0686546412143336</x:v>
      </x:c>
      <x:c r="M1657" s="17" t="n">
        <x:f>IF('계산 과정'!$L$6,IF(J1657&lt;=0,0,IF(AND(ABS(K1657)&lt;='계산 과정'!$D$11/2,ABS(L1657)&lt;='계산 과정'!$D$12/2),1,0)),"")</x:f>
        <x:v>1</x:v>
      </x:c>
      <x:c r="N1657" s="17" t="n">
        <x:f>IF('계산 과정'!$C$78,IF(AND(ISNUMBER(H1657),ISNUMBER(I1657),ABS(H1657-'계산 과정'!$C$88)&lt;='계산 과정'!$D$23/2,ABS(I1657-'계산 과정'!$C$89)&lt;='계산 과정'!$D$24/2),1,0),"")</x:f>
        <x:v>1</x:v>
      </x:c>
      <x:c r="O1657" s="4" t="n">
        <x:f>IF('계산 과정'!$L$7,'계산 과정'!$C$49*('계산 과정'!$C$32-D1657)+'계산 과정'!$D$49*('계산 과정'!$D$32-E1657)+'계산 과정'!$E$49*'계산 과정'!$E$32,"")</x:f>
        <x:v>-66.9743221993815</x:v>
      </x:c>
      <x:c r="P1657" s="4" t="n">
        <x:f>IF(AND('계산 과정'!$L$7,O1657&lt;&gt;0),('계산 과정'!$L$23-'계산 과정'!$C$49*D1657-'계산 과정'!$D$49*E1657)/O1657,"")</x:f>
        <x:v>-4.972438195181821</x:v>
      </x:c>
      <x:c r="Q1657" s="4" t="str">
        <x:f>IF(AND(ISNUMBER(P1657),P1657&gt;1E-9,P1657&lt;1-1E-9),'계산 과정'!$C$47*(D1657-'계산 과정'!$C$50+P1657*('계산 과정'!$C$32-D1657))+'계산 과정'!$D$47*(E1657-'계산 과정'!$D$50+P1657*('계산 과정'!$D$32-E1657))+'계산 과정'!$E$47*(0-'계산 과정'!$E$50+P1657*('계산 과정'!$E$32-0)),"")</x:f>
      </x:c>
      <x:c r="R1657" s="4" t="str">
        <x:f>IF(AND(ISNUMBER(P1657),P1657&gt;1E-9,P1657&lt;1-1E-9),'계산 과정'!$C$48*(D1657-'계산 과정'!$C$50+P1657*('계산 과정'!$C$32-D1657))+'계산 과정'!$D$48*(E1657-'계산 과정'!$D$50+P1657*('계산 과정'!$D$32-E1657))+'계산 과정'!$E$48*(0-'계산 과정'!$E$50+P1657*('계산 과정'!$E$32-0)),"")</x:f>
      </x:c>
      <x:c r="S1657" s="17" t="n">
        <x:f>IF('계산 과정'!$C$78,IF(AND(ISNUMBER(Q1657),ISNUMBER(R1657),ABS(Q1657-'계산 과정'!$C$88)&lt;='계산 과정'!$D$23/2,ABS(R1657-'계산 과정'!$C$89)&lt;='계산 과정'!$D$24/2),1,0),"")</x:f>
        <x:v>0</x:v>
      </x:c>
      <x:c r="T1657" s="4"/>
      <x:c r="U1657" s="4"/>
      <x:c r="V1657" s="4"/>
      <x:c r="W1657" s="4"/>
      <x:c r="X1657" s="4"/>
      <x:c r="Y1657" s="4"/>
      <x:c r="Z1657" s="4"/>
    </x:row>
    <x:row r="1658" ht="23" customHeight="1">
      <x:c r="A1658" s="17" t="n">
        <x:f>ROW()-6</x:f>
        <x:v>1652</x:v>
      </x:c>
      <x:c r="B1658" s="4" t="n">
        <x:f>IF('계산 과정'!$L$5,'계산 과정'!$L$11*SQRT((A1658+0.5)/'계산 과정'!$L$30),"")</x:f>
        <x:v>134.7401470481701</x:v>
      </x:c>
      <x:c r="C1658" s="4" t="n">
        <x:f>A1658*PI()*(3-SQRT(5))</x:f>
        <x:v>3964.739255511735</x:v>
      </x:c>
      <x:c r="D1658" s="4" t="n">
        <x:f>IF('계산 과정'!$L$5,B1658*COS(C1658),"")</x:f>
        <x:v>134.5762607075138</x:v>
      </x:c>
      <x:c r="E1658" s="4" t="n">
        <x:f>IF('계산 과정'!$L$5,B1658*SIN(C1658),"")</x:f>
        <x:v>6.643589432360634</x:v>
      </x:c>
      <x:c r="F1658" s="4" t="n">
        <x:f>IF('계산 과정'!$L$7,'계산 과정'!$L$22+'계산 과정'!$C$49*D1658+'계산 과정'!$D$49*E1658,"")</x:f>
        <x:v>554.8402134669883</x:v>
      </x:c>
      <x:c r="G1658" s="4" t="n">
        <x:f>IF('계산 과정'!$L$7,IF(ABS(F1658)&gt;=1E-12*MAX(1,SQRT((D1658-'계산 과정'!$C$33)^2+(E1658-'계산 과정'!$D$33)^2+'계산 과정'!$E$33^2)),('계산 과정'!$L$23-'계산 과정'!$C$49*D1658-'계산 과정'!$D$49*E1658)/F1658,""),"")</x:f>
        <x:v>0.8924367313590051</x:v>
      </x:c>
      <x:c r="H1658" s="4" t="n">
        <x:f>IF(AND(ISNUMBER(G1658),G1658&gt;0),('계산 과정'!$D$56+'계산 과정'!$D$57*D1658+'계산 과정'!$D$58*E1658)/F1658,"")</x:f>
        <x:v>180.0838753833533</x:v>
      </x:c>
      <x:c r="I1658" s="4" t="n">
        <x:f>IF(AND(ISNUMBER(G1658),G1658&gt;0),('계산 과정'!$E$56+'계산 과정'!$E$57*D1658+'계산 과정'!$E$58*E1658)/F1658,"")</x:f>
        <x:v>12.572572669867785</x:v>
      </x:c>
      <x:c r="J1658" s="4" t="n">
        <x:f>IF('계산 과정'!$L$5,'계산 과정'!$D$6+'계산 과정'!$C$35*D1658+'계산 과정'!$D$35*E1658,"")</x:f>
        <x:v>554.8402134669883</x:v>
      </x:c>
      <x:c r="K1658" s="4" t="n">
        <x:f>IF(AND('계산 과정'!$L$6,J1658&gt;0),'계산 과정'!$D$10*('계산 과정'!$C$38*(D1658-'계산 과정'!$C$32)+'계산 과정'!$D$38*(E1658-'계산 과정'!$D$32)-'계산 과정'!$E$38*'계산 과정'!$E$32)/J1658,"")</x:f>
        <x:v>1.3720676219684071</x:v>
      </x:c>
      <x:c r="L1658" s="4" t="n">
        <x:f>IF(AND('계산 과정'!$L$6,J1658&gt;0),'계산 과정'!$D$10*('계산 과정'!$C$39*(D1658-'계산 과정'!$C$32)+'계산 과정'!$D$39*(E1658-'계산 과정'!$D$32)-'계산 과정'!$E$39*'계산 과정'!$E$32)/J1658,"")</x:f>
        <x:v>0.09579102986565932</x:v>
      </x:c>
      <x:c r="M1658" s="17" t="n">
        <x:f>IF('계산 과정'!$L$6,IF(J1658&lt;=0,0,IF(AND(ABS(K1658)&lt;='계산 과정'!$D$11/2,ABS(L1658)&lt;='계산 과정'!$D$12/2),1,0)),"")</x:f>
        <x:v>1</x:v>
      </x:c>
      <x:c r="N1658" s="17" t="n">
        <x:f>IF('계산 과정'!$C$78,IF(AND(ISNUMBER(H1658),ISNUMBER(I1658),ABS(H1658-'계산 과정'!$C$88)&lt;='계산 과정'!$D$23/2,ABS(I1658-'계산 과정'!$C$89)&lt;='계산 과정'!$D$24/2),1,0),"")</x:f>
        <x:v>1</x:v>
      </x:c>
      <x:c r="O1658" s="4" t="n">
        <x:f>IF('계산 과정'!$L$7,'계산 과정'!$C$49*('계산 과정'!$C$32-D1658)+'계산 과정'!$D$49*('계산 과정'!$D$32-E1658)+'계산 과정'!$E$49*'계산 과정'!$E$32,"")</x:f>
        <x:v>95.15978653301187</x:v>
      </x:c>
      <x:c r="P1658" s="4" t="n">
        <x:f>IF(AND('계산 과정'!$L$7,O1658&lt;&gt;0),('계산 과정'!$L$23-'계산 과정'!$C$49*D1658-'계산 과정'!$D$49*E1658)/O1658,"")</x:f>
        <x:v>5.20345625577077</x:v>
      </x:c>
      <x:c r="Q1658" s="4" t="str">
        <x:f>IF(AND(ISNUMBER(P1658),P1658&gt;1E-9,P1658&lt;1-1E-9),'계산 과정'!$C$47*(D1658-'계산 과정'!$C$50+P1658*('계산 과정'!$C$32-D1658))+'계산 과정'!$D$47*(E1658-'계산 과정'!$D$50+P1658*('계산 과정'!$D$32-E1658))+'계산 과정'!$E$47*(0-'계산 과정'!$E$50+P1658*('계산 과정'!$E$32-0)),"")</x:f>
      </x:c>
      <x:c r="R1658" s="4" t="str">
        <x:f>IF(AND(ISNUMBER(P1658),P1658&gt;1E-9,P1658&lt;1-1E-9),'계산 과정'!$C$48*(D1658-'계산 과정'!$C$50+P1658*('계산 과정'!$C$32-D1658))+'계산 과정'!$D$48*(E1658-'계산 과정'!$D$50+P1658*('계산 과정'!$D$32-E1658))+'계산 과정'!$E$48*(0-'계산 과정'!$E$50+P1658*('계산 과정'!$E$32-0)),"")</x:f>
      </x:c>
      <x:c r="S1658" s="17" t="n">
        <x:f>IF('계산 과정'!$C$78,IF(AND(ISNUMBER(Q1658),ISNUMBER(R1658),ABS(Q1658-'계산 과정'!$C$88)&lt;='계산 과정'!$D$23/2,ABS(R1658-'계산 과정'!$C$89)&lt;='계산 과정'!$D$24/2),1,0),"")</x:f>
        <x:v>0</x:v>
      </x:c>
      <x:c r="T1658" s="4"/>
      <x:c r="U1658" s="4"/>
      <x:c r="V1658" s="4"/>
      <x:c r="W1658" s="4"/>
      <x:c r="X1658" s="4"/>
      <x:c r="Y1658" s="4"/>
      <x:c r="Z1658" s="4"/>
    </x:row>
    <x:row r="1659" ht="23" customHeight="1">
      <x:c r="A1659" s="17" t="n">
        <x:f>ROW()-6</x:f>
        <x:v>1653</x:v>
      </x:c>
      <x:c r="B1659" s="4" t="n">
        <x:f>IF('계산 과정'!$L$5,'계산 과정'!$L$11*SQRT((A1659+0.5)/'계산 과정'!$L$30),"")</x:f>
        <x:v>134.78090945934258</x:v>
      </x:c>
      <x:c r="C1659" s="4" t="n">
        <x:f>A1659*PI()*(3-SQRT(5))</x:f>
        <x:v>3967.139218741463</x:v>
      </x:c>
      <x:c r="D1659" s="4" t="n">
        <x:f>IF('계산 과정'!$L$5,B1659*COS(C1659),"")</x:f>
        <x:v>-103.75140456955835</x:v>
      </x:c>
      <x:c r="E1659" s="4" t="n">
        <x:f>IF('계산 과정'!$L$5,B1659*SIN(C1659),"")</x:f>
        <x:v>86.0322009745847</x:v>
      </x:c>
      <x:c r="F1659" s="4" t="n">
        <x:f>IF('계산 과정'!$L$7,'계산 과정'!$L$22+'계산 과정'!$C$49*D1659+'계산 과정'!$D$49*E1659,"")</x:f>
        <x:v>723.3633217287636</x:v>
      </x:c>
      <x:c r="G1659" s="4" t="n">
        <x:f>IF('계산 과정'!$L$7,IF(ABS(F1659)&gt;=1E-12*MAX(1,SQRT((D1659-'계산 과정'!$C$33)^2+(E1659-'계산 과정'!$D$33)^2+'계산 과정'!$E$33^2)),('계산 과정'!$L$23-'계산 과정'!$C$49*D1659-'계산 과정'!$D$49*E1659)/F1659,""),"")</x:f>
        <x:v>0.45155272386580014</x:v>
      </x:c>
      <x:c r="H1659" s="4" t="n">
        <x:f>IF(AND(ISNUMBER(G1659),G1659&gt;0),('계산 과정'!$D$56+'계산 과정'!$D$57*D1659+'계산 과정'!$D$58*E1659)/F1659,"")</x:f>
        <x:v>-106.49072948723007</x:v>
      </x:c>
      <x:c r="I1659" s="4" t="n">
        <x:f>IF(AND(ISNUMBER(G1659),G1659&gt;0),('계산 과정'!$E$56+'계산 과정'!$E$57*D1659+'계산 과정'!$E$58*E1659)/F1659,"")</x:f>
        <x:v>124.88027566482837</x:v>
      </x:c>
      <x:c r="J1659" s="4" t="n">
        <x:f>IF('계산 과정'!$L$5,'계산 과정'!$D$6+'계산 과정'!$C$35*D1659+'계산 과정'!$D$35*E1659,"")</x:f>
        <x:v>723.3633217287636</x:v>
      </x:c>
      <x:c r="K1659" s="4" t="n">
        <x:f>IF(AND('계산 과정'!$L$6,J1659&gt;0),'계산 과정'!$D$10*('계산 과정'!$C$38*(D1659-'계산 과정'!$C$32)+'계산 과정'!$D$38*(E1659-'계산 과정'!$D$32)-'계산 과정'!$E$38*'계산 과정'!$E$32)/J1659,"")</x:f>
        <x:v>-0.8113579389503233</x:v>
      </x:c>
      <x:c r="L1659" s="4" t="n">
        <x:f>IF(AND('계산 과정'!$L$6,J1659&gt;0),'계산 과정'!$D$10*('계산 과정'!$C$39*(D1659-'계산 과정'!$C$32)+'계산 과정'!$D$39*(E1659-'계산 과정'!$D$32)-'계산 과정'!$E$39*'계산 과정'!$E$32)/J1659,"")</x:f>
        <x:v>0.951468766970121</x:v>
      </x:c>
      <x:c r="M1659" s="17" t="n">
        <x:f>IF('계산 과정'!$L$6,IF(J1659&lt;=0,0,IF(AND(ABS(K1659)&lt;='계산 과정'!$D$11/2,ABS(L1659)&lt;='계산 과정'!$D$12/2),1,0)),"")</x:f>
        <x:v>1</x:v>
      </x:c>
      <x:c r="N1659" s="17" t="n">
        <x:f>IF('계산 과정'!$C$78,IF(AND(ISNUMBER(H1659),ISNUMBER(I1659),ABS(H1659-'계산 과정'!$C$88)&lt;='계산 과정'!$D$23/2,ABS(I1659-'계산 과정'!$C$89)&lt;='계산 과정'!$D$24/2),1,0),"")</x:f>
        <x:v>1</x:v>
      </x:c>
      <x:c r="O1659" s="4" t="n">
        <x:f>IF('계산 과정'!$L$7,'계산 과정'!$C$49*('계산 과정'!$C$32-D1659)+'계산 과정'!$D$49*('계산 과정'!$D$32-E1659)+'계산 과정'!$E$49*'계산 과정'!$E$32,"")</x:f>
        <x:v>-73.36332172876354</x:v>
      </x:c>
      <x:c r="P1659" s="4" t="n">
        <x:f>IF(AND('계산 과정'!$L$7,O1659&lt;&gt;0),('계산 과정'!$L$23-'계산 과정'!$C$49*D1659-'계산 과정'!$D$49*E1659)/O1659,"")</x:f>
        <x:v>-4.452315824505149</x:v>
      </x:c>
      <x:c r="Q1659" s="4" t="str">
        <x:f>IF(AND(ISNUMBER(P1659),P1659&gt;1E-9,P1659&lt;1-1E-9),'계산 과정'!$C$47*(D1659-'계산 과정'!$C$50+P1659*('계산 과정'!$C$32-D1659))+'계산 과정'!$D$47*(E1659-'계산 과정'!$D$50+P1659*('계산 과정'!$D$32-E1659))+'계산 과정'!$E$47*(0-'계산 과정'!$E$50+P1659*('계산 과정'!$E$32-0)),"")</x:f>
      </x:c>
      <x:c r="R1659" s="4" t="str">
        <x:f>IF(AND(ISNUMBER(P1659),P1659&gt;1E-9,P1659&lt;1-1E-9),'계산 과정'!$C$48*(D1659-'계산 과정'!$C$50+P1659*('계산 과정'!$C$32-D1659))+'계산 과정'!$D$48*(E1659-'계산 과정'!$D$50+P1659*('계산 과정'!$D$32-E1659))+'계산 과정'!$E$48*(0-'계산 과정'!$E$50+P1659*('계산 과정'!$E$32-0)),"")</x:f>
      </x:c>
      <x:c r="S1659" s="17" t="n">
        <x:f>IF('계산 과정'!$C$78,IF(AND(ISNUMBER(Q1659),ISNUMBER(R1659),ABS(Q1659-'계산 과정'!$C$88)&lt;='계산 과정'!$D$23/2,ABS(R1659-'계산 과정'!$C$89)&lt;='계산 과정'!$D$24/2),1,0),"")</x:f>
        <x:v>0</x:v>
      </x:c>
      <x:c r="T1659" s="4"/>
      <x:c r="U1659" s="4"/>
      <x:c r="V1659" s="4"/>
      <x:c r="W1659" s="4"/>
      <x:c r="X1659" s="4"/>
      <x:c r="Y1659" s="4"/>
      <x:c r="Z1659" s="4"/>
    </x:row>
    <x:row r="1660" ht="23" customHeight="1">
      <x:c r="A1660" s="17" t="n">
        <x:f>ROW()-6</x:f>
        <x:v>1654</x:v>
      </x:c>
      <x:c r="B1660" s="4" t="n">
        <x:f>IF('계산 과정'!$L$5,'계산 과정'!$L$11*SQRT((A1660+0.5)/'계산 과정'!$L$30),"")</x:f>
        <x:v>134.82165954627803</x:v>
      </x:c>
      <x:c r="C1660" s="4" t="n">
        <x:f>A1660*PI()*(3-SQRT(5))</x:f>
        <x:v>3969.5391819711917</x:v>
      </x:c>
      <x:c r="D1660" s="4" t="n">
        <x:f>IF('계산 과정'!$L$5,B1660*COS(C1660),"")</x:f>
        <x:v>18.394699865041833</x:v>
      </x:c>
      <x:c r="E1660" s="4" t="n">
        <x:f>IF('계산 과정'!$L$5,B1660*SIN(C1660),"")</x:f>
        <x:v>-133.56090333509852</x:v>
      </x:c>
      <x:c r="F1660" s="4" t="n">
        <x:f>IF('계산 과정'!$L$7,'계산 과정'!$L$22+'계산 과정'!$C$49*D1660+'계산 과정'!$D$49*E1660,"")</x:f>
        <x:v>636.9929829875376</x:v>
      </x:c>
      <x:c r="G1660" s="4" t="n">
        <x:f>IF('계산 과정'!$L$7,IF(ABS(F1660)&gt;=1E-12*MAX(1,SQRT((D1660-'계산 과정'!$C$33)^2+(E1660-'계산 과정'!$D$33)^2+'계산 과정'!$E$33^2)),('계산 과정'!$L$23-'계산 과정'!$C$49*D1660-'계산 과정'!$D$49*E1660)/F1660,""),"")</x:f>
        <x:v>0.648369806328844</x:v>
      </x:c>
      <x:c r="H1660" s="4" t="n">
        <x:f>IF(AND(ISNUMBER(G1660),G1660&gt;0),('계산 과정'!$D$56+'계산 과정'!$D$57*D1660+'계산 과정'!$D$58*E1660)/F1660,"")</x:f>
        <x:v>21.440374113748433</x:v>
      </x:c>
      <x:c r="I1660" s="4" t="n">
        <x:f>IF(AND(ISNUMBER(G1660),G1660&gt;0),('계산 과정'!$E$56+'계산 과정'!$E$57*D1660+'계산 과정'!$E$58*E1660)/F1660,"")</x:f>
        <x:v>-220.1577603635818</x:v>
      </x:c>
      <x:c r="J1660" s="4" t="n">
        <x:f>IF('계산 과정'!$L$5,'계산 과정'!$D$6+'계산 과정'!$C$35*D1660+'계산 과정'!$D$35*E1660,"")</x:f>
        <x:v>636.9929829875376</x:v>
      </x:c>
      <x:c r="K1660" s="4" t="n">
        <x:f>IF(AND('계산 과정'!$L$6,J1660&gt;0),'계산 과정'!$D$10*('계산 과정'!$C$38*(D1660-'계산 과정'!$C$32)+'계산 과정'!$D$38*(E1660-'계산 과정'!$D$32)-'계산 과정'!$E$38*'계산 과정'!$E$32)/J1660,"")</x:f>
        <x:v>0.1633552313428463</x:v>
      </x:c>
      <x:c r="L1660" s="4" t="n">
        <x:f>IF(AND('계산 과정'!$L$6,J1660&gt;0),'계산 과정'!$D$10*('계산 과정'!$C$39*(D1660-'계산 과정'!$C$32)+'계산 과정'!$D$39*(E1660-'계산 과정'!$D$32)-'계산 과정'!$E$39*'계산 과정'!$E$32)/J1660,"")</x:f>
        <x:v>-1.6773924599130041</x:v>
      </x:c>
      <x:c r="M1660" s="17" t="n">
        <x:f>IF('계산 과정'!$L$6,IF(J1660&lt;=0,0,IF(AND(ABS(K1660)&lt;='계산 과정'!$D$11/2,ABS(L1660)&lt;='계산 과정'!$D$12/2),1,0)),"")</x:f>
        <x:v>1</x:v>
      </x:c>
      <x:c r="N1660" s="17" t="n">
        <x:f>IF('계산 과정'!$C$78,IF(AND(ISNUMBER(H1660),ISNUMBER(I1660),ABS(H1660-'계산 과정'!$C$88)&lt;='계산 과정'!$D$23/2,ABS(I1660-'계산 과정'!$C$89)&lt;='계산 과정'!$D$24/2),1,0),"")</x:f>
        <x:v>1</x:v>
      </x:c>
      <x:c r="O1660" s="4" t="n">
        <x:f>IF('계산 과정'!$L$7,'계산 과정'!$C$49*('계산 과정'!$C$32-D1660)+'계산 과정'!$D$49*('계산 과정'!$D$32-E1660)+'계산 과정'!$E$49*'계산 과정'!$E$32,"")</x:f>
        <x:v>13.007017012462484</x:v>
      </x:c>
      <x:c r="P1660" s="4" t="n">
        <x:f>IF(AND('계산 과정'!$L$7,O1660&lt;&gt;0),('계산 과정'!$L$23-'계산 과정'!$C$49*D1660-'계산 과정'!$D$49*E1660)/O1660,"")</x:f>
        <x:v>31.75263141554637</x:v>
      </x:c>
      <x:c r="Q1660" s="4" t="str">
        <x:f>IF(AND(ISNUMBER(P1660),P1660&gt;1E-9,P1660&lt;1-1E-9),'계산 과정'!$C$47*(D1660-'계산 과정'!$C$50+P1660*('계산 과정'!$C$32-D1660))+'계산 과정'!$D$47*(E1660-'계산 과정'!$D$50+P1660*('계산 과정'!$D$32-E1660))+'계산 과정'!$E$47*(0-'계산 과정'!$E$50+P1660*('계산 과정'!$E$32-0)),"")</x:f>
      </x:c>
      <x:c r="R1660" s="4" t="str">
        <x:f>IF(AND(ISNUMBER(P1660),P1660&gt;1E-9,P1660&lt;1-1E-9),'계산 과정'!$C$48*(D1660-'계산 과정'!$C$50+P1660*('계산 과정'!$C$32-D1660))+'계산 과정'!$D$48*(E1660-'계산 과정'!$D$50+P1660*('계산 과정'!$D$32-E1660))+'계산 과정'!$E$48*(0-'계산 과정'!$E$50+P1660*('계산 과정'!$E$32-0)),"")</x:f>
      </x:c>
      <x:c r="S1660" s="17" t="n">
        <x:f>IF('계산 과정'!$C$78,IF(AND(ISNUMBER(Q1660),ISNUMBER(R1660),ABS(Q1660-'계산 과정'!$C$88)&lt;='계산 과정'!$D$23/2,ABS(R1660-'계산 과정'!$C$89)&lt;='계산 과정'!$D$24/2),1,0),"")</x:f>
        <x:v>0</x:v>
      </x:c>
      <x:c r="T1660" s="4"/>
      <x:c r="U1660" s="4"/>
      <x:c r="V1660" s="4"/>
      <x:c r="W1660" s="4"/>
      <x:c r="X1660" s="4"/>
      <x:c r="Y1660" s="4"/>
      <x:c r="Z1660" s="4"/>
    </x:row>
    <x:row r="1661" ht="23" customHeight="1">
      <x:c r="A1661" s="17" t="n">
        <x:f>ROW()-6</x:f>
        <x:v>1655</x:v>
      </x:c>
      <x:c r="B1661" s="4" t="n">
        <x:f>IF('계산 과정'!$L$5,'계산 과정'!$L$11*SQRT((A1661+0.5)/'계산 과정'!$L$30),"")</x:f>
        <x:v>134.86239732014815</x:v>
      </x:c>
      <x:c r="C1661" s="4" t="n">
        <x:f>A1661*PI()*(3-SQRT(5))</x:f>
        <x:v>3971.939145200921</x:v>
      </x:c>
      <x:c r="D1661" s="4" t="n">
        <x:f>IF('계산 과정'!$L$5,B1661*COS(C1661),"")</x:f>
        <x:v>76.67857692844915</x:v>
      </x:c>
      <x:c r="E1661" s="4" t="n">
        <x:f>IF('계산 과정'!$L$5,B1661*SIN(C1661),"")</x:f>
        <x:v>110.94260701446225</x:v>
      </x:c>
      <x:c r="F1661" s="4" t="n">
        <x:f>IF('계산 과정'!$L$7,'계산 과정'!$L$22+'계산 과정'!$C$49*D1661+'계산 과정'!$D$49*E1661,"")</x:f>
        <x:v>595.7800582821593</x:v>
      </x:c>
      <x:c r="G1661" s="4" t="n">
        <x:f>IF('계산 과정'!$L$7,IF(ABS(F1661)&gt;=1E-12*MAX(1,SQRT((D1661-'계산 과정'!$C$33)^2+(E1661-'계산 과정'!$D$33)^2+'계산 과정'!$E$33^2)),('계산 과정'!$L$23-'계산 과정'!$C$49*D1661-'계산 과정'!$D$49*E1661)/F1661,""),"")</x:f>
        <x:v>0.7623953427167645</x:v>
      </x:c>
      <x:c r="H1661" s="4" t="n">
        <x:f>IF(AND(ISNUMBER(G1661),G1661&gt;0),('계산 과정'!$D$56+'계산 과정'!$D$57*D1661+'계산 과정'!$D$58*E1661)/F1661,"")</x:f>
        <x:v>95.55697276589683</x:v>
      </x:c>
      <x:c r="I1661" s="4" t="n">
        <x:f>IF(AND(ISNUMBER(G1661),G1661&gt;0),('계산 과정'!$E$56+'계산 과정'!$E$57*D1661+'계산 과정'!$E$58*E1661)/F1661,"")</x:f>
        <x:v>195.52473391114452</x:v>
      </x:c>
      <x:c r="J1661" s="4" t="n">
        <x:f>IF('계산 과정'!$L$5,'계산 과정'!$D$6+'계산 과정'!$C$35*D1661+'계산 과정'!$D$35*E1661,"")</x:f>
        <x:v>595.7800582821593</x:v>
      </x:c>
      <x:c r="K1661" s="4" t="n">
        <x:f>IF(AND('계산 과정'!$L$6,J1661&gt;0),'계산 과정'!$D$10*('계산 과정'!$C$38*(D1661-'계산 과정'!$C$32)+'계산 과정'!$D$38*(E1661-'계산 과정'!$D$32)-'계산 과정'!$E$38*'계산 과정'!$E$32)/J1661,"")</x:f>
        <x:v>0.7280531258354053</x:v>
      </x:c>
      <x:c r="L1661" s="4" t="n">
        <x:f>IF(AND('계산 과정'!$L$6,J1661&gt;0),'계산 과정'!$D$10*('계산 과정'!$C$39*(D1661-'계산 과정'!$C$32)+'계산 과정'!$D$39*(E1661-'계산 과정'!$D$32)-'계산 과정'!$E$39*'계산 과정'!$E$32)/J1661,"")</x:f>
        <x:v>1.4897122583706248</x:v>
      </x:c>
      <x:c r="M1661" s="17" t="n">
        <x:f>IF('계산 과정'!$L$6,IF(J1661&lt;=0,0,IF(AND(ABS(K1661)&lt;='계산 과정'!$D$11/2,ABS(L1661)&lt;='계산 과정'!$D$12/2),1,0)),"")</x:f>
        <x:v>1</x:v>
      </x:c>
      <x:c r="N1661" s="17" t="n">
        <x:f>IF('계산 과정'!$C$78,IF(AND(ISNUMBER(H1661),ISNUMBER(I1661),ABS(H1661-'계산 과정'!$C$88)&lt;='계산 과정'!$D$23/2,ABS(I1661-'계산 과정'!$C$89)&lt;='계산 과정'!$D$24/2),1,0),"")</x:f>
        <x:v>1</x:v>
      </x:c>
      <x:c r="O1661" s="4" t="n">
        <x:f>IF('계산 과정'!$L$7,'계산 과정'!$C$49*('계산 과정'!$C$32-D1661)+'계산 과정'!$D$49*('계산 과정'!$D$32-E1661)+'계산 과정'!$E$49*'계산 과정'!$E$32,"")</x:f>
        <x:v>54.21994171784087</x:v>
      </x:c>
      <x:c r="P1661" s="4" t="n">
        <x:f>IF(AND('계산 과정'!$L$7,O1661&lt;&gt;0),('계산 과정'!$L$23-'계산 과정'!$C$49*D1661-'계산 과정'!$D$49*E1661)/O1661,"")</x:f>
        <x:v>8.377359460871228</x:v>
      </x:c>
      <x:c r="Q1661" s="4" t="str">
        <x:f>IF(AND(ISNUMBER(P1661),P1661&gt;1E-9,P1661&lt;1-1E-9),'계산 과정'!$C$47*(D1661-'계산 과정'!$C$50+P1661*('계산 과정'!$C$32-D1661))+'계산 과정'!$D$47*(E1661-'계산 과정'!$D$50+P1661*('계산 과정'!$D$32-E1661))+'계산 과정'!$E$47*(0-'계산 과정'!$E$50+P1661*('계산 과정'!$E$32-0)),"")</x:f>
      </x:c>
      <x:c r="R1661" s="4" t="str">
        <x:f>IF(AND(ISNUMBER(P1661),P1661&gt;1E-9,P1661&lt;1-1E-9),'계산 과정'!$C$48*(D1661-'계산 과정'!$C$50+P1661*('계산 과정'!$C$32-D1661))+'계산 과정'!$D$48*(E1661-'계산 과정'!$D$50+P1661*('계산 과정'!$D$32-E1661))+'계산 과정'!$E$48*(0-'계산 과정'!$E$50+P1661*('계산 과정'!$E$32-0)),"")</x:f>
      </x:c>
      <x:c r="S1661" s="17" t="n">
        <x:f>IF('계산 과정'!$C$78,IF(AND(ISNUMBER(Q1661),ISNUMBER(R1661),ABS(Q1661-'계산 과정'!$C$88)&lt;='계산 과정'!$D$23/2,ABS(R1661-'계산 과정'!$C$89)&lt;='계산 과정'!$D$24/2),1,0),"")</x:f>
        <x:v>0</x:v>
      </x:c>
      <x:c r="T1661" s="4"/>
      <x:c r="U1661" s="4"/>
      <x:c r="V1661" s="4"/>
      <x:c r="W1661" s="4"/>
      <x:c r="X1661" s="4"/>
      <x:c r="Y1661" s="4"/>
      <x:c r="Z1661" s="4"/>
    </x:row>
    <x:row r="1662" ht="23" customHeight="1">
      <x:c r="A1662" s="17" t="n">
        <x:f>ROW()-6</x:f>
        <x:v>1656</x:v>
      </x:c>
      <x:c r="B1662" s="4" t="n">
        <x:f>IF('계산 과정'!$L$5,'계산 과정'!$L$11*SQRT((A1662+0.5)/'계산 과정'!$L$30),"")</x:f>
        <x:v>134.90312279210775</x:v>
      </x:c>
      <x:c r="C1662" s="4" t="n">
        <x:f>A1662*PI()*(3-SQRT(5))</x:f>
        <x:v>3974.339108430649</x:v>
      </x:c>
      <x:c r="D1662" s="4" t="n">
        <x:f>IF('계산 과정'!$L$5,B1662*COS(C1662),"")</x:f>
        <x:v>-131.52075488046256</x:v>
      </x:c>
      <x:c r="E1662" s="4" t="n">
        <x:f>IF('계산 과정'!$L$5,B1662*SIN(C1662),"")</x:f>
        <x:v>-30.01905352831408</x:v>
      </x:c>
      <x:c r="F1662" s="4" t="n">
        <x:f>IF('계산 과정'!$L$7,'계산 과정'!$L$22+'계산 과정'!$C$49*D1662+'계산 과정'!$D$49*E1662,"")</x:f>
        <x:v>742.9992176427488</x:v>
      </x:c>
      <x:c r="G1662" s="4" t="n">
        <x:f>IF('계산 과정'!$L$7,IF(ABS(F1662)&gt;=1E-12*MAX(1,SQRT((D1662-'계산 과정'!$C$33)^2+(E1662-'계산 과정'!$D$33)^2+'계산 과정'!$E$33^2)),('계산 과정'!$L$23-'계산 과정'!$C$49*D1662-'계산 과정'!$D$49*E1662)/F1662,""),"")</x:f>
        <x:v>0.41319125924687616</x:v>
      </x:c>
      <x:c r="H1662" s="4" t="n">
        <x:f>IF(AND(ISNUMBER(G1662),G1662&gt;0),('계산 과정'!$D$56+'계산 과정'!$D$57*D1662+'계산 과정'!$D$58*E1662)/F1662,"")</x:f>
        <x:v>-131.4256814895306</x:v>
      </x:c>
      <x:c r="I1662" s="4" t="n">
        <x:f>IF(AND(ISNUMBER(G1662),G1662&gt;0),('계산 과정'!$E$56+'계산 과정'!$E$57*D1662+'계산 과정'!$E$58*E1662)/F1662,"")</x:f>
        <x:v>-42.422664057077554</x:v>
      </x:c>
      <x:c r="J1662" s="4" t="n">
        <x:f>IF('계산 과정'!$L$5,'계산 과정'!$D$6+'계산 과정'!$C$35*D1662+'계산 과정'!$D$35*E1662,"")</x:f>
        <x:v>742.9992176427488</x:v>
      </x:c>
      <x:c r="K1662" s="4" t="n">
        <x:f>IF(AND('계산 과정'!$L$6,J1662&gt;0),'계산 과정'!$D$10*('계산 과정'!$C$38*(D1662-'계산 과정'!$C$32)+'계산 과정'!$D$38*(E1662-'계산 과정'!$D$32)-'계산 과정'!$E$38*'계산 과정'!$E$32)/J1662,"")</x:f>
        <x:v>-1.0013385256345175</x:v>
      </x:c>
      <x:c r="L1662" s="4" t="n">
        <x:f>IF(AND('계산 과정'!$L$6,J1662&gt;0),'계산 과정'!$D$10*('계산 과정'!$C$39*(D1662-'계산 과정'!$C$32)+'계산 과정'!$D$39*(E1662-'계산 과정'!$D$32)-'계산 과정'!$E$39*'계산 과정'!$E$32)/J1662,"")</x:f>
        <x:v>-0.32322029757773374</x:v>
      </x:c>
      <x:c r="M1662" s="17" t="n">
        <x:f>IF('계산 과정'!$L$6,IF(J1662&lt;=0,0,IF(AND(ABS(K1662)&lt;='계산 과정'!$D$11/2,ABS(L1662)&lt;='계산 과정'!$D$12/2),1,0)),"")</x:f>
        <x:v>1</x:v>
      </x:c>
      <x:c r="N1662" s="17" t="n">
        <x:f>IF('계산 과정'!$C$78,IF(AND(ISNUMBER(H1662),ISNUMBER(I1662),ABS(H1662-'계산 과정'!$C$88)&lt;='계산 과정'!$D$23/2,ABS(I1662-'계산 과정'!$C$89)&lt;='계산 과정'!$D$24/2),1,0),"")</x:f>
        <x:v>1</x:v>
      </x:c>
      <x:c r="O1662" s="4" t="n">
        <x:f>IF('계산 과정'!$L$7,'계산 과정'!$C$49*('계산 과정'!$C$32-D1662)+'계산 과정'!$D$49*('계산 과정'!$D$32-E1662)+'계산 과정'!$E$49*'계산 과정'!$E$32,"")</x:f>
        <x:v>-92.99921764274865</x:v>
      </x:c>
      <x:c r="P1662" s="4" t="n">
        <x:f>IF(AND('계산 과정'!$L$7,O1662&lt;&gt;0),('계산 과정'!$L$23-'계산 과정'!$C$49*D1662-'계산 과정'!$D$49*E1662)/O1662,"")</x:f>
        <x:v>-3.3011114516745477</x:v>
      </x:c>
      <x:c r="Q1662" s="4" t="str">
        <x:f>IF(AND(ISNUMBER(P1662),P1662&gt;1E-9,P1662&lt;1-1E-9),'계산 과정'!$C$47*(D1662-'계산 과정'!$C$50+P1662*('계산 과정'!$C$32-D1662))+'계산 과정'!$D$47*(E1662-'계산 과정'!$D$50+P1662*('계산 과정'!$D$32-E1662))+'계산 과정'!$E$47*(0-'계산 과정'!$E$50+P1662*('계산 과정'!$E$32-0)),"")</x:f>
      </x:c>
      <x:c r="R1662" s="4" t="str">
        <x:f>IF(AND(ISNUMBER(P1662),P1662&gt;1E-9,P1662&lt;1-1E-9),'계산 과정'!$C$48*(D1662-'계산 과정'!$C$50+P1662*('계산 과정'!$C$32-D1662))+'계산 과정'!$D$48*(E1662-'계산 과정'!$D$50+P1662*('계산 과정'!$D$32-E1662))+'계산 과정'!$E$48*(0-'계산 과정'!$E$50+P1662*('계산 과정'!$E$32-0)),"")</x:f>
      </x:c>
      <x:c r="S1662" s="17" t="n">
        <x:f>IF('계산 과정'!$C$78,IF(AND(ISNUMBER(Q1662),ISNUMBER(R1662),ABS(Q1662-'계산 과정'!$C$88)&lt;='계산 과정'!$D$23/2,ABS(R1662-'계산 과정'!$C$89)&lt;='계산 과정'!$D$24/2),1,0),"")</x:f>
        <x:v>0</x:v>
      </x:c>
      <x:c r="T1662" s="4"/>
      <x:c r="U1662" s="4"/>
      <x:c r="V1662" s="4"/>
      <x:c r="W1662" s="4"/>
      <x:c r="X1662" s="4"/>
      <x:c r="Y1662" s="4"/>
      <x:c r="Z1662" s="4"/>
    </x:row>
    <x:row r="1663" ht="23" customHeight="1">
      <x:c r="A1663" s="17" t="n">
        <x:f>ROW()-6</x:f>
        <x:v>1657</x:v>
      </x:c>
      <x:c r="B1663" s="4" t="n">
        <x:f>IF('계산 과정'!$L$5,'계산 과정'!$L$11*SQRT((A1663+0.5)/'계산 과정'!$L$30),"")</x:f>
        <x:v>134.94383597329482</x:v>
      </x:c>
      <x:c r="C1663" s="4" t="n">
        <x:f>A1663*PI()*(3-SQRT(5))</x:f>
        <x:v>3976.7390716603777</x:v>
      </x:c>
      <x:c r="D1663" s="4" t="n">
        <x:f>IF('계산 과정'!$L$5,B1663*COS(C1663),"")</x:f>
        <x:v>117.2922783959113</x:v>
      </x:c>
      <x:c r="E1663" s="4" t="n">
        <x:f>IF('계산 과정'!$L$5,B1663*SIN(C1663),"")</x:f>
        <x:v>-66.72600914099041</x:v>
      </x:c>
      <x:c r="F1663" s="4" t="n">
        <x:f>IF('계산 과정'!$L$7,'계산 과정'!$L$22+'계산 과정'!$C$49*D1663+'계산 과정'!$D$49*E1663,"")</x:f>
        <x:v>567.0618345654308</x:v>
      </x:c>
      <x:c r="G1663" s="4" t="n">
        <x:f>IF('계산 과정'!$L$7,IF(ABS(F1663)&gt;=1E-12*MAX(1,SQRT((D1663-'계산 과정'!$C$33)^2+(E1663-'계산 과정'!$D$33)^2+'계산 과정'!$E$33^2)),('계산 과정'!$L$23-'계산 과정'!$C$49*D1663-'계산 과정'!$D$49*E1663)/F1663,""),"")</x:f>
        <x:v>0.8516499189275718</x:v>
      </x:c>
      <x:c r="H1663" s="4" t="n">
        <x:f>IF(AND(ISNUMBER(G1663),G1663&gt;0),('계산 과정'!$D$56+'계산 과정'!$D$57*D1663+'계산 과정'!$D$58*E1663)/F1663,"")</x:f>
        <x:v>153.57244730292163</x:v>
      </x:c>
      <x:c r="I1663" s="4" t="n">
        <x:f>IF(AND(ISNUMBER(G1663),G1663&gt;0),('계산 과정'!$E$56+'계산 과정'!$E$57*D1663+'계산 과정'!$E$58*E1663)/F1663,"")</x:f>
        <x:v>-123.55320941627531</x:v>
      </x:c>
      <x:c r="J1663" s="4" t="n">
        <x:f>IF('계산 과정'!$L$5,'계산 과정'!$D$6+'계산 과정'!$C$35*D1663+'계산 과정'!$D$35*E1663,"")</x:f>
        <x:v>567.0618345654308</x:v>
      </x:c>
      <x:c r="K1663" s="4" t="n">
        <x:f>IF(AND('계산 과정'!$L$6,J1663&gt;0),'계산 과정'!$D$10*('계산 과정'!$C$38*(D1663-'계산 과정'!$C$32)+'계산 과정'!$D$38*(E1663-'계산 과정'!$D$32)-'계산 과정'!$E$38*'계산 과정'!$E$32)/J1663,"")</x:f>
        <x:v>1.1700757889746416</x:v>
      </x:c>
      <x:c r="L1663" s="4" t="n">
        <x:f>IF(AND('계산 과정'!$L$6,J1663&gt;0),'계산 과정'!$D$10*('계산 과정'!$C$39*(D1663-'계산 과정'!$C$32)+'계산 과정'!$D$39*(E1663-'계산 과정'!$D$32)-'계산 과정'!$E$39*'계산 과정'!$E$32)/J1663,"")</x:f>
        <x:v>-0.9413577860287643</x:v>
      </x:c>
      <x:c r="M1663" s="17" t="n">
        <x:f>IF('계산 과정'!$L$6,IF(J1663&lt;=0,0,IF(AND(ABS(K1663)&lt;='계산 과정'!$D$11/2,ABS(L1663)&lt;='계산 과정'!$D$12/2),1,0)),"")</x:f>
        <x:v>1</x:v>
      </x:c>
      <x:c r="N1663" s="17" t="n">
        <x:f>IF('계산 과정'!$C$78,IF(AND(ISNUMBER(H1663),ISNUMBER(I1663),ABS(H1663-'계산 과정'!$C$88)&lt;='계산 과정'!$D$23/2,ABS(I1663-'계산 과정'!$C$89)&lt;='계산 과정'!$D$24/2),1,0),"")</x:f>
        <x:v>1</x:v>
      </x:c>
      <x:c r="O1663" s="4" t="n">
        <x:f>IF('계산 과정'!$L$7,'계산 과정'!$C$49*('계산 과정'!$C$32-D1663)+'계산 과정'!$D$49*('계산 과정'!$D$32-E1663)+'계산 과정'!$E$49*'계산 과정'!$E$32,"")</x:f>
        <x:v>82.93816543456938</x:v>
      </x:c>
      <x:c r="P1663" s="4" t="n">
        <x:f>IF(AND('계산 과정'!$L$7,O1663&lt;&gt;0),('계산 과정'!$L$23-'계산 과정'!$C$49*D1663-'계산 과정'!$D$49*E1663)/O1663,"")</x:f>
        <x:v>5.822870121422727</x:v>
      </x:c>
      <x:c r="Q1663" s="4" t="str">
        <x:f>IF(AND(ISNUMBER(P1663),P1663&gt;1E-9,P1663&lt;1-1E-9),'계산 과정'!$C$47*(D1663-'계산 과정'!$C$50+P1663*('계산 과정'!$C$32-D1663))+'계산 과정'!$D$47*(E1663-'계산 과정'!$D$50+P1663*('계산 과정'!$D$32-E1663))+'계산 과정'!$E$47*(0-'계산 과정'!$E$50+P1663*('계산 과정'!$E$32-0)),"")</x:f>
      </x:c>
      <x:c r="R1663" s="4" t="str">
        <x:f>IF(AND(ISNUMBER(P1663),P1663&gt;1E-9,P1663&lt;1-1E-9),'계산 과정'!$C$48*(D1663-'계산 과정'!$C$50+P1663*('계산 과정'!$C$32-D1663))+'계산 과정'!$D$48*(E1663-'계산 과정'!$D$50+P1663*('계산 과정'!$D$32-E1663))+'계산 과정'!$E$48*(0-'계산 과정'!$E$50+P1663*('계산 과정'!$E$32-0)),"")</x:f>
      </x:c>
      <x:c r="S1663" s="17" t="n">
        <x:f>IF('계산 과정'!$C$78,IF(AND(ISNUMBER(Q1663),ISNUMBER(R1663),ABS(Q1663-'계산 과정'!$C$88)&lt;='계산 과정'!$D$23/2,ABS(R1663-'계산 과정'!$C$89)&lt;='계산 과정'!$D$24/2),1,0),"")</x:f>
        <x:v>0</x:v>
      </x:c>
      <x:c r="T1663" s="4"/>
      <x:c r="U1663" s="4"/>
      <x:c r="V1663" s="4"/>
      <x:c r="W1663" s="4"/>
      <x:c r="X1663" s="4"/>
      <x:c r="Y1663" s="4"/>
      <x:c r="Z1663" s="4"/>
    </x:row>
    <x:row r="1664" ht="23" customHeight="1">
      <x:c r="A1664" s="17" t="n">
        <x:f>ROW()-6</x:f>
        <x:v>1658</x:v>
      </x:c>
      <x:c r="B1664" s="4" t="n">
        <x:f>IF('계산 과정'!$L$5,'계산 과정'!$L$11*SQRT((A1664+0.5)/'계산 과정'!$L$30),"")</x:f>
        <x:v>134.98453687483058</x:v>
      </x:c>
      <x:c r="C1664" s="4" t="n">
        <x:f>A1664*PI()*(3-SQRT(5))</x:f>
        <x:v>3979.139034890107</x:v>
      </x:c>
      <x:c r="D1664" s="4" t="n">
        <x:f>IF('계산 과정'!$L$5,B1664*COS(C1664),"")</x:f>
        <x:v>-41.42739547854804</x:v>
      </x:c>
      <x:c r="E1664" s="4" t="n">
        <x:f>IF('계산 과정'!$L$5,B1664*SIN(C1664),"")</x:f>
        <x:v>128.47021483276376</x:v>
      </x:c>
      <x:c r="F1664" s="4" t="n">
        <x:f>IF('계산 과정'!$L$7,'계산 과정'!$L$22+'계산 과정'!$C$49*D1664+'계산 과정'!$D$49*E1664,"")</x:f>
        <x:v>679.2935922697783</x:v>
      </x:c>
      <x:c r="G1664" s="4" t="n">
        <x:f>IF('계산 과정'!$L$7,IF(ABS(F1664)&gt;=1E-12*MAX(1,SQRT((D1664-'계산 과정'!$C$33)^2+(E1664-'계산 과정'!$D$33)^2+'계산 과정'!$E$33^2)),('계산 과정'!$L$23-'계산 과정'!$C$49*D1664-'계산 과정'!$D$49*E1664)/F1664,""),"")</x:f>
        <x:v>0.5457233984668554</x:v>
      </x:c>
      <x:c r="H1664" s="4" t="n">
        <x:f>IF(AND(ISNUMBER(G1664),G1664&gt;0),('계산 과정'!$D$56+'계산 과정'!$D$57*D1664+'계산 과정'!$D$58*E1664)/F1664,"")</x:f>
        <x:v>-45.279790996544136</x:v>
      </x:c>
      <x:c r="I1664" s="4" t="n">
        <x:f>IF(AND(ISNUMBER(G1664),G1664&gt;0),('계산 과정'!$E$56+'계산 과정'!$E$57*D1664+'계산 과정'!$E$58*E1664)/F1664,"")</x:f>
        <x:v>198.57941707306657</x:v>
      </x:c>
      <x:c r="J1664" s="4" t="n">
        <x:f>IF('계산 과정'!$L$5,'계산 과정'!$D$6+'계산 과정'!$C$35*D1664+'계산 과정'!$D$35*E1664,"")</x:f>
        <x:v>679.2935922697783</x:v>
      </x:c>
      <x:c r="K1664" s="4" t="n">
        <x:f>IF(AND('계산 과정'!$L$6,J1664&gt;0),'계산 과정'!$D$10*('계산 과정'!$C$38*(D1664-'계산 과정'!$C$32)+'계산 과정'!$D$38*(E1664-'계산 과정'!$D$32)-'계산 과정'!$E$38*'계산 과정'!$E$32)/J1664,"")</x:f>
        <x:v>-0.3449888837831924</x:v>
      </x:c>
      <x:c r="L1664" s="4" t="n">
        <x:f>IF(AND('계산 과정'!$L$6,J1664&gt;0),'계산 과정'!$D$10*('계산 과정'!$C$39*(D1664-'계산 과정'!$C$32)+'계산 과정'!$D$39*(E1664-'계산 과정'!$D$32)-'계산 과정'!$E$39*'계산 과정'!$E$32)/J1664,"")</x:f>
        <x:v>1.5129860348424122</x:v>
      </x:c>
      <x:c r="M1664" s="17" t="n">
        <x:f>IF('계산 과정'!$L$6,IF(J1664&lt;=0,0,IF(AND(ABS(K1664)&lt;='계산 과정'!$D$11/2,ABS(L1664)&lt;='계산 과정'!$D$12/2),1,0)),"")</x:f>
        <x:v>1</x:v>
      </x:c>
      <x:c r="N1664" s="17" t="n">
        <x:f>IF('계산 과정'!$C$78,IF(AND(ISNUMBER(H1664),ISNUMBER(I1664),ABS(H1664-'계산 과정'!$C$88)&lt;='계산 과정'!$D$23/2,ABS(I1664-'계산 과정'!$C$89)&lt;='계산 과정'!$D$24/2),1,0),"")</x:f>
        <x:v>1</x:v>
      </x:c>
      <x:c r="O1664" s="4" t="n">
        <x:f>IF('계산 과정'!$L$7,'계산 과정'!$C$49*('계산 과정'!$C$32-D1664)+'계산 과정'!$D$49*('계산 과정'!$D$32-E1664)+'계산 과정'!$E$49*'계산 과정'!$E$32,"")</x:f>
        <x:v>-29.293592269778117</x:v>
      </x:c>
      <x:c r="P1664" s="4" t="n">
        <x:f>IF(AND('계산 과정'!$L$7,O1664&lt;&gt;0),('계산 과정'!$L$23-'계산 과정'!$C$49*D1664-'계산 과정'!$D$49*E1664)/O1664,"")</x:f>
        <x:v>-12.65486336794124</x:v>
      </x:c>
      <x:c r="Q1664" s="4" t="str">
        <x:f>IF(AND(ISNUMBER(P1664),P1664&gt;1E-9,P1664&lt;1-1E-9),'계산 과정'!$C$47*(D1664-'계산 과정'!$C$50+P1664*('계산 과정'!$C$32-D1664))+'계산 과정'!$D$47*(E1664-'계산 과정'!$D$50+P1664*('계산 과정'!$D$32-E1664))+'계산 과정'!$E$47*(0-'계산 과정'!$E$50+P1664*('계산 과정'!$E$32-0)),"")</x:f>
      </x:c>
      <x:c r="R1664" s="4" t="str">
        <x:f>IF(AND(ISNUMBER(P1664),P1664&gt;1E-9,P1664&lt;1-1E-9),'계산 과정'!$C$48*(D1664-'계산 과정'!$C$50+P1664*('계산 과정'!$C$32-D1664))+'계산 과정'!$D$48*(E1664-'계산 과정'!$D$50+P1664*('계산 과정'!$D$32-E1664))+'계산 과정'!$E$48*(0-'계산 과정'!$E$50+P1664*('계산 과정'!$E$32-0)),"")</x:f>
      </x:c>
      <x:c r="S1664" s="17" t="n">
        <x:f>IF('계산 과정'!$C$78,IF(AND(ISNUMBER(Q1664),ISNUMBER(R1664),ABS(Q1664-'계산 과정'!$C$88)&lt;='계산 과정'!$D$23/2,ABS(R1664-'계산 과정'!$C$89)&lt;='계산 과정'!$D$24/2),1,0),"")</x:f>
        <x:v>0</x:v>
      </x:c>
      <x:c r="T1664" s="4"/>
      <x:c r="U1664" s="4"/>
      <x:c r="V1664" s="4"/>
      <x:c r="W1664" s="4"/>
      <x:c r="X1664" s="4"/>
      <x:c r="Y1664" s="4"/>
      <x:c r="Z1664" s="4"/>
    </x:row>
    <x:row r="1665" ht="23" customHeight="1">
      <x:c r="A1665" s="17" t="n">
        <x:f>ROW()-6</x:f>
        <x:v>1659</x:v>
      </x:c>
      <x:c r="B1665" s="4" t="n">
        <x:f>IF('계산 과정'!$L$5,'계산 과정'!$L$11*SQRT((A1665+0.5)/'계산 과정'!$L$30),"")</x:f>
        <x:v>135.02522550781947</x:v>
      </x:c>
      <x:c r="C1665" s="4" t="n">
        <x:f>A1665*PI()*(3-SQRT(5))</x:f>
        <x:v>3981.538998119835</x:v>
      </x:c>
      <x:c r="D1665" s="4" t="n">
        <x:f>IF('계산 과정'!$L$5,B1665*COS(C1665),"")</x:f>
        <x:v>-56.250061543897935</x:v>
      </x:c>
      <x:c r="E1665" s="4" t="n">
        <x:f>IF('계산 과정'!$L$5,B1665*SIN(C1665),"")</x:f>
        <x:v>-122.75073156501021</x:v>
      </x:c>
      <x:c r="F1665" s="4" t="n">
        <x:f>IF('계산 과정'!$L$7,'계산 과정'!$L$22+'계산 과정'!$C$49*D1665+'계산 과정'!$D$49*E1665,"")</x:f>
        <x:v>689.7747999598508</x:v>
      </x:c>
      <x:c r="G1665" s="4" t="n">
        <x:f>IF('계산 과정'!$L$7,IF(ABS(F1665)&gt;=1E-12*MAX(1,SQRT((D1665-'계산 과정'!$C$33)^2+(E1665-'계산 과정'!$D$33)^2+'계산 과정'!$E$33^2)),('계산 과정'!$L$23-'계산 과정'!$C$49*D1665-'계산 과정'!$D$49*E1665)/F1665,""),"")</x:f>
        <x:v>0.5222359530402045</x:v>
      </x:c>
      <x:c r="H1665" s="4" t="n">
        <x:f>IF(AND(ISNUMBER(G1665),G1665&gt;0),('계산 과정'!$D$56+'계산 과정'!$D$57*D1665+'계산 과정'!$D$58*E1665)/F1665,"")</x:f>
        <x:v>-60.5466305238672</x:v>
      </x:c>
      <x:c r="I1665" s="4" t="n">
        <x:f>IF(AND(ISNUMBER(G1665),G1665&gt;0),('계산 과정'!$E$56+'계산 과정'!$E$57*D1665+'계산 과정'!$E$58*E1665)/F1665,"")</x:f>
        <x:v>-186.85557685024563</x:v>
      </x:c>
      <x:c r="J1665" s="4" t="n">
        <x:f>IF('계산 과정'!$L$5,'계산 과정'!$D$6+'계산 과정'!$C$35*D1665+'계산 과정'!$D$35*E1665,"")</x:f>
        <x:v>689.7747999598508</x:v>
      </x:c>
      <x:c r="K1665" s="4" t="n">
        <x:f>IF(AND('계산 과정'!$L$6,J1665&gt;0),'계산 과정'!$D$10*('계산 과정'!$C$38*(D1665-'계산 과정'!$C$32)+'계산 과정'!$D$38*(E1665-'계산 과정'!$D$32)-'계산 과정'!$E$38*'계산 과정'!$E$32)/J1665,"")</x:f>
        <x:v>-0.461307661134225</x:v>
      </x:c>
      <x:c r="L1665" s="4" t="n">
        <x:f>IF(AND('계산 과정'!$L$6,J1665&gt;0),'계산 과정'!$D$10*('계산 과정'!$C$39*(D1665-'계산 과정'!$C$32)+'계산 과정'!$D$39*(E1665-'계산 과정'!$D$32)-'계산 과정'!$E$39*'계산 과정'!$E$32)/J1665,"")</x:f>
        <x:v>-1.4236615379066335</x:v>
      </x:c>
      <x:c r="M1665" s="17" t="n">
        <x:f>IF('계산 과정'!$L$6,IF(J1665&lt;=0,0,IF(AND(ABS(K1665)&lt;='계산 과정'!$D$11/2,ABS(L1665)&lt;='계산 과정'!$D$12/2),1,0)),"")</x:f>
        <x:v>1</x:v>
      </x:c>
      <x:c r="N1665" s="17" t="n">
        <x:f>IF('계산 과정'!$C$78,IF(AND(ISNUMBER(H1665),ISNUMBER(I1665),ABS(H1665-'계산 과정'!$C$88)&lt;='계산 과정'!$D$23/2,ABS(I1665-'계산 과정'!$C$89)&lt;='계산 과정'!$D$24/2),1,0),"")</x:f>
        <x:v>1</x:v>
      </x:c>
      <x:c r="O1665" s="4" t="n">
        <x:f>IF('계산 과정'!$L$7,'계산 과정'!$C$49*('계산 과정'!$C$32-D1665)+'계산 과정'!$D$49*('계산 과정'!$D$32-E1665)+'계산 과정'!$E$49*'계산 과정'!$E$32,"")</x:f>
        <x:v>-39.774799959850725</x:v>
      </x:c>
      <x:c r="P1665" s="4" t="n">
        <x:f>IF(AND('계산 과정'!$L$7,O1665&lt;&gt;0),('계산 과정'!$L$23-'계산 과정'!$C$49*D1665-'계산 과정'!$D$49*E1665)/O1665,"")</x:f>
        <x:v>-9.056618773790587</x:v>
      </x:c>
      <x:c r="Q1665" s="4" t="str">
        <x:f>IF(AND(ISNUMBER(P1665),P1665&gt;1E-9,P1665&lt;1-1E-9),'계산 과정'!$C$47*(D1665-'계산 과정'!$C$50+P1665*('계산 과정'!$C$32-D1665))+'계산 과정'!$D$47*(E1665-'계산 과정'!$D$50+P1665*('계산 과정'!$D$32-E1665))+'계산 과정'!$E$47*(0-'계산 과정'!$E$50+P1665*('계산 과정'!$E$32-0)),"")</x:f>
      </x:c>
      <x:c r="R1665" s="4" t="str">
        <x:f>IF(AND(ISNUMBER(P1665),P1665&gt;1E-9,P1665&lt;1-1E-9),'계산 과정'!$C$48*(D1665-'계산 과정'!$C$50+P1665*('계산 과정'!$C$32-D1665))+'계산 과정'!$D$48*(E1665-'계산 과정'!$D$50+P1665*('계산 과정'!$D$32-E1665))+'계산 과정'!$E$48*(0-'계산 과정'!$E$50+P1665*('계산 과정'!$E$32-0)),"")</x:f>
      </x:c>
      <x:c r="S1665" s="17" t="n">
        <x:f>IF('계산 과정'!$C$78,IF(AND(ISNUMBER(Q1665),ISNUMBER(R1665),ABS(Q1665-'계산 과정'!$C$88)&lt;='계산 과정'!$D$23/2,ABS(R1665-'계산 과정'!$C$89)&lt;='계산 과정'!$D$24/2),1,0),"")</x:f>
        <x:v>0</x:v>
      </x:c>
      <x:c r="T1665" s="4"/>
      <x:c r="U1665" s="4"/>
      <x:c r="V1665" s="4"/>
      <x:c r="W1665" s="4"/>
      <x:c r="X1665" s="4"/>
      <x:c r="Y1665" s="4"/>
      <x:c r="Z1665" s="4"/>
    </x:row>
    <x:row r="1666" ht="23" customHeight="1">
      <x:c r="A1666" s="17" t="n">
        <x:f>ROW()-6</x:f>
        <x:v>1660</x:v>
      </x:c>
      <x:c r="B1666" s="4" t="n">
        <x:f>IF('계산 과정'!$L$5,'계산 과정'!$L$11*SQRT((A1666+0.5)/'계산 과정'!$L$30),"")</x:f>
        <x:v>135.06590188334914</x:v>
      </x:c>
      <x:c r="C1666" s="4" t="n">
        <x:f>A1666*PI()*(3-SQRT(5))</x:f>
        <x:v>3983.9389613495637</x:v>
      </x:c>
      <x:c r="D1666" s="4" t="n">
        <x:f>IF('계산 과정'!$L$5,B1666*COS(C1666),"")</x:f>
        <x:v>124.43144626663069</x:v>
      </x:c>
      <x:c r="E1666" s="4" t="n">
        <x:f>IF('계산 과정'!$L$5,B1666*SIN(C1666),"")</x:f>
        <x:v>52.53201910794121</x:v>
      </x:c>
      <x:c r="F1666" s="4" t="n">
        <x:f>IF('계산 과정'!$L$7,'계산 과정'!$L$22+'계산 과정'!$C$49*D1666+'계산 과정'!$D$49*E1666,"")</x:f>
        <x:v>562.0136805520159</x:v>
      </x:c>
      <x:c r="G1666" s="4" t="n">
        <x:f>IF('계산 과정'!$L$7,IF(ABS(F1666)&gt;=1E-12*MAX(1,SQRT((D1666-'계산 과정'!$C$33)^2+(E1666-'계산 과정'!$D$33)^2+'계산 과정'!$E$33^2)),('계산 과정'!$L$23-'계산 과정'!$C$49*D1666-'계산 과정'!$D$49*E1666)/F1666,""),"")</x:f>
        <x:v>0.8682819232597303</x:v>
      </x:c>
      <x:c r="H1666" s="4" t="n">
        <x:f>IF(AND(ISNUMBER(G1666),G1666&gt;0),('계산 과정'!$D$56+'계산 과정'!$D$57*D1666+'계산 과정'!$D$58*E1666)/F1666,"")</x:f>
        <x:v>164.38325011882463</x:v>
      </x:c>
      <x:c r="I1666" s="4" t="n">
        <x:f>IF(AND(ISNUMBER(G1666),G1666&gt;0),('계산 과정'!$E$56+'계산 과정'!$E$57*D1666+'계산 과정'!$E$58*E1666)/F1666,"")</x:f>
        <x:v>98.1446216917013</x:v>
      </x:c>
      <x:c r="J1666" s="4" t="n">
        <x:f>IF('계산 과정'!$L$5,'계산 과정'!$D$6+'계산 과정'!$C$35*D1666+'계산 과정'!$D$35*E1666,"")</x:f>
        <x:v>562.0136805520159</x:v>
      </x:c>
      <x:c r="K1666" s="4" t="n">
        <x:f>IF(AND('계산 과정'!$L$6,J1666&gt;0),'계산 과정'!$D$10*('계산 과정'!$C$38*(D1666-'계산 과정'!$C$32)+'계산 과정'!$D$38*(E1666-'계산 과정'!$D$32)-'계산 과정'!$E$38*'계산 과정'!$E$32)/J1666,"")</x:f>
        <x:v>1.252443810429141</x:v>
      </x:c>
      <x:c r="L1666" s="4" t="n">
        <x:f>IF(AND('계산 과정'!$L$6,J1666&gt;0),'계산 과정'!$D$10*('계산 과정'!$C$39*(D1666-'계산 과정'!$C$32)+'계산 과정'!$D$39*(E1666-'계산 과정'!$D$32)-'계산 과정'!$E$39*'계산 과정'!$E$32)/J1666,"")</x:f>
        <x:v>0.7477685462224861</x:v>
      </x:c>
      <x:c r="M1666" s="17" t="n">
        <x:f>IF('계산 과정'!$L$6,IF(J1666&lt;=0,0,IF(AND(ABS(K1666)&lt;='계산 과정'!$D$11/2,ABS(L1666)&lt;='계산 과정'!$D$12/2),1,0)),"")</x:f>
        <x:v>1</x:v>
      </x:c>
      <x:c r="N1666" s="17" t="n">
        <x:f>IF('계산 과정'!$C$78,IF(AND(ISNUMBER(H1666),ISNUMBER(I1666),ABS(H1666-'계산 과정'!$C$88)&lt;='계산 과정'!$D$23/2,ABS(I1666-'계산 과정'!$C$89)&lt;='계산 과정'!$D$24/2),1,0),"")</x:f>
        <x:v>1</x:v>
      </x:c>
      <x:c r="O1666" s="4" t="n">
        <x:f>IF('계산 과정'!$L$7,'계산 과정'!$C$49*('계산 과정'!$C$32-D1666)+'계산 과정'!$D$49*('계산 과정'!$D$32-E1666)+'계산 과정'!$E$49*'계산 과정'!$E$32,"")</x:f>
        <x:v>87.98631944798419</x:v>
      </x:c>
      <x:c r="P1666" s="4" t="n">
        <x:f>IF(AND('계산 과정'!$L$7,O1666&lt;&gt;0),('계산 과정'!$L$23-'계산 과정'!$C$49*D1666-'계산 과정'!$D$49*E1666)/O1666,"")</x:f>
        <x:v>5.546161295409932</x:v>
      </x:c>
      <x:c r="Q1666" s="4" t="str">
        <x:f>IF(AND(ISNUMBER(P1666),P1666&gt;1E-9,P1666&lt;1-1E-9),'계산 과정'!$C$47*(D1666-'계산 과정'!$C$50+P1666*('계산 과정'!$C$32-D1666))+'계산 과정'!$D$47*(E1666-'계산 과정'!$D$50+P1666*('계산 과정'!$D$32-E1666))+'계산 과정'!$E$47*(0-'계산 과정'!$E$50+P1666*('계산 과정'!$E$32-0)),"")</x:f>
      </x:c>
      <x:c r="R1666" s="4" t="str">
        <x:f>IF(AND(ISNUMBER(P1666),P1666&gt;1E-9,P1666&lt;1-1E-9),'계산 과정'!$C$48*(D1666-'계산 과정'!$C$50+P1666*('계산 과정'!$C$32-D1666))+'계산 과정'!$D$48*(E1666-'계산 과정'!$D$50+P1666*('계산 과정'!$D$32-E1666))+'계산 과정'!$E$48*(0-'계산 과정'!$E$50+P1666*('계산 과정'!$E$32-0)),"")</x:f>
      </x:c>
      <x:c r="S1666" s="17" t="n">
        <x:f>IF('계산 과정'!$C$78,IF(AND(ISNUMBER(Q1666),ISNUMBER(R1666),ABS(Q1666-'계산 과정'!$C$88)&lt;='계산 과정'!$D$23/2,ABS(R1666-'계산 과정'!$C$89)&lt;='계산 과정'!$D$24/2),1,0),"")</x:f>
        <x:v>0</x:v>
      </x:c>
      <x:c r="T1666" s="4"/>
      <x:c r="U1666" s="4"/>
      <x:c r="V1666" s="4"/>
      <x:c r="W1666" s="4"/>
      <x:c r="X1666" s="4"/>
      <x:c r="Y1666" s="4"/>
      <x:c r="Z1666" s="4"/>
    </x:row>
    <x:row r="1667" ht="23" customHeight="1">
      <x:c r="A1667" s="17" t="n">
        <x:f>ROW()-6</x:f>
        <x:v>1661</x:v>
      </x:c>
      <x:c r="B1667" s="4" t="n">
        <x:f>IF('계산 과정'!$L$5,'계산 과정'!$L$11*SQRT((A1667+0.5)/'계산 과정'!$L$30),"")</x:f>
        <x:v>135.10656601249067</x:v>
      </x:c>
      <x:c r="C1667" s="4" t="n">
        <x:f>A1667*PI()*(3-SQRT(5))</x:f>
        <x:v>3986.338924579293</x:v>
      </x:c>
      <x:c r="D1667" s="4" t="n">
        <x:f>IF('계산 과정'!$L$5,B1667*COS(C1667),"")</x:f>
        <x:v>-127.27505199094257</x:v>
      </x:c>
      <x:c r="E1667" s="4" t="n">
        <x:f>IF('계산 과정'!$L$5,B1667*SIN(C1667),"")</x:f>
        <x:v>45.330401723240485</x:v>
      </x:c>
      <x:c r="F1667" s="4" t="n">
        <x:f>IF('계산 과정'!$L$7,'계산 과정'!$L$22+'계산 과정'!$C$49*D1667+'계산 과정'!$D$49*E1667,"")</x:f>
        <x:v>739.9970523386659</x:v>
      </x:c>
      <x:c r="G1667" s="4" t="n">
        <x:f>IF('계산 과정'!$L$7,IF(ABS(F1667)&gt;=1E-12*MAX(1,SQRT((D1667-'계산 과정'!$C$33)^2+(E1667-'계산 과정'!$D$33)^2+'계산 과정'!$E$33^2)),('계산 과정'!$L$23-'계산 과정'!$C$49*D1667-'계산 과정'!$D$49*E1667)/F1667,""),"")</x:f>
        <x:v>0.41892457095823493</x:v>
      </x:c>
      <x:c r="H1667" s="4" t="n">
        <x:f>IF(AND(ISNUMBER(G1667),G1667&gt;0),('계산 과정'!$D$56+'계산 과정'!$D$57*D1667+'계산 과정'!$D$58*E1667)/F1667,"")</x:f>
        <x:v>-127.69902887714744</x:v>
      </x:c>
      <x:c r="I1667" s="4" t="n">
        <x:f>IF(AND(ISNUMBER(G1667),G1667&gt;0),('계산 과정'!$E$56+'계산 과정'!$E$57*D1667+'계산 과정'!$E$58*E1667)/F1667,"")</x:f>
        <x:v>64.32042081651343</x:v>
      </x:c>
      <x:c r="J1667" s="4" t="n">
        <x:f>IF('계산 과정'!$L$5,'계산 과정'!$D$6+'계산 과정'!$C$35*D1667+'계산 과정'!$D$35*E1667,"")</x:f>
        <x:v>739.9970523386659</x:v>
      </x:c>
      <x:c r="K1667" s="4" t="n">
        <x:f>IF(AND('계산 과정'!$L$6,J1667&gt;0),'계산 과정'!$D$10*('계산 과정'!$C$38*(D1667-'계산 과정'!$C$32)+'계산 과정'!$D$38*(E1667-'계산 과정'!$D$32)-'계산 과정'!$E$38*'계산 과정'!$E$32)/J1667,"")</x:f>
        <x:v>-0.9729449819211221</x:v>
      </x:c>
      <x:c r="L1667" s="4" t="n">
        <x:f>IF(AND('계산 과정'!$L$6,J1667&gt;0),'계산 과정'!$D$10*('계산 과정'!$C$39*(D1667-'계산 과정'!$C$32)+'계산 과정'!$D$39*(E1667-'계산 과정'!$D$32)-'계산 과정'!$E$39*'계산 과정'!$E$32)/J1667,"")</x:f>
        <x:v>0.4900603490781976</x:v>
      </x:c>
      <x:c r="M1667" s="17" t="n">
        <x:f>IF('계산 과정'!$L$6,IF(J1667&lt;=0,0,IF(AND(ABS(K1667)&lt;='계산 과정'!$D$11/2,ABS(L1667)&lt;='계산 과정'!$D$12/2),1,0)),"")</x:f>
        <x:v>1</x:v>
      </x:c>
      <x:c r="N1667" s="17" t="n">
        <x:f>IF('계산 과정'!$C$78,IF(AND(ISNUMBER(H1667),ISNUMBER(I1667),ABS(H1667-'계산 과정'!$C$88)&lt;='계산 과정'!$D$23/2,ABS(I1667-'계산 과정'!$C$89)&lt;='계산 과정'!$D$24/2),1,0),"")</x:f>
        <x:v>1</x:v>
      </x:c>
      <x:c r="O1667" s="4" t="n">
        <x:f>IF('계산 과정'!$L$7,'계산 과정'!$C$49*('계산 과정'!$C$32-D1667)+'계산 과정'!$D$49*('계산 과정'!$D$32-E1667)+'계산 과정'!$E$49*'계산 과정'!$E$32,"")</x:f>
        <x:v>-89.99705233866575</x:v>
      </x:c>
      <x:c r="P1667" s="4" t="n">
        <x:f>IF(AND('계산 과정'!$L$7,O1667&lt;&gt;0),('계산 과정'!$L$23-'계산 과정'!$C$49*D1667-'계산 과정'!$D$49*E1667)/O1667,"")</x:f>
        <x:v>-3.4445900127347446</x:v>
      </x:c>
      <x:c r="Q1667" s="4" t="str">
        <x:f>IF(AND(ISNUMBER(P1667),P1667&gt;1E-9,P1667&lt;1-1E-9),'계산 과정'!$C$47*(D1667-'계산 과정'!$C$50+P1667*('계산 과정'!$C$32-D1667))+'계산 과정'!$D$47*(E1667-'계산 과정'!$D$50+P1667*('계산 과정'!$D$32-E1667))+'계산 과정'!$E$47*(0-'계산 과정'!$E$50+P1667*('계산 과정'!$E$32-0)),"")</x:f>
      </x:c>
      <x:c r="R1667" s="4" t="str">
        <x:f>IF(AND(ISNUMBER(P1667),P1667&gt;1E-9,P1667&lt;1-1E-9),'계산 과정'!$C$48*(D1667-'계산 과정'!$C$50+P1667*('계산 과정'!$C$32-D1667))+'계산 과정'!$D$48*(E1667-'계산 과정'!$D$50+P1667*('계산 과정'!$D$32-E1667))+'계산 과정'!$E$48*(0-'계산 과정'!$E$50+P1667*('계산 과정'!$E$32-0)),"")</x:f>
      </x:c>
      <x:c r="S1667" s="17" t="n">
        <x:f>IF('계산 과정'!$C$78,IF(AND(ISNUMBER(Q1667),ISNUMBER(R1667),ABS(Q1667-'계산 과정'!$C$88)&lt;='계산 과정'!$D$23/2,ABS(R1667-'계산 과정'!$C$89)&lt;='계산 과정'!$D$24/2),1,0),"")</x:f>
        <x:v>0</x:v>
      </x:c>
      <x:c r="T1667" s="4"/>
      <x:c r="U1667" s="4"/>
      <x:c r="V1667" s="4"/>
      <x:c r="W1667" s="4"/>
      <x:c r="X1667" s="4"/>
      <x:c r="Y1667" s="4"/>
      <x:c r="Z1667" s="4"/>
    </x:row>
    <x:row r="1668" ht="23" customHeight="1">
      <x:c r="A1668" s="17" t="n">
        <x:f>ROW()-6</x:f>
        <x:v>1662</x:v>
      </x:c>
      <x:c r="B1668" s="4" t="n">
        <x:f>IF('계산 과정'!$L$5,'계산 과정'!$L$11*SQRT((A1668+0.5)/'계산 과정'!$L$30),"")</x:f>
        <x:v>135.14721790629838</x:v>
      </x:c>
      <x:c r="C1668" s="4" t="n">
        <x:f>A1668*PI()*(3-SQRT(5))</x:f>
        <x:v>3988.738887809021</x:v>
      </x:c>
      <x:c r="D1668" s="4" t="n">
        <x:f>IF('계산 과정'!$L$5,B1668*COS(C1668),"")</x:f>
        <x:v>63.24744054275134</x:v>
      </x:c>
      <x:c r="E1668" s="4" t="n">
        <x:f>IF('계산 과정'!$L$5,B1668*SIN(C1668),"")</x:f>
        <x:v>-119.43421525092226</x:v>
      </x:c>
      <x:c r="F1668" s="4" t="n">
        <x:f>IF('계산 과정'!$L$7,'계산 과정'!$L$22+'계산 과정'!$C$49*D1668+'계산 과정'!$D$49*E1668,"")</x:f>
        <x:v>605.2773058995275</x:v>
      </x:c>
      <x:c r="G1668" s="4" t="n">
        <x:f>IF('계산 과정'!$L$7,IF(ABS(F1668)&gt;=1E-12*MAX(1,SQRT((D1668-'계산 과정'!$C$33)^2+(E1668-'계산 과정'!$D$33)^2+'계산 과정'!$E$33^2)),('계산 과정'!$L$23-'계산 과정'!$C$49*D1668-'계산 과정'!$D$49*E1668)/F1668,""),"")</x:f>
        <x:v>0.7347420591617122</x:v>
      </x:c>
      <x:c r="H1668" s="4" t="n">
        <x:f>IF(AND(ISNUMBER(G1668),G1668&gt;0),('계산 과정'!$D$56+'계산 과정'!$D$57*D1668+'계산 과정'!$D$58*E1668)/F1668,"")</x:f>
        <x:v>77.58233845511283</x:v>
      </x:c>
      <x:c r="I1668" s="4" t="n">
        <x:f>IF(AND(ISNUMBER(G1668),G1668&gt;0),('계산 과정'!$E$56+'계산 과정'!$E$57*D1668+'계산 과정'!$E$58*E1668)/F1668,"")</x:f>
        <x:v>-207.18755649874808</x:v>
      </x:c>
      <x:c r="J1668" s="4" t="n">
        <x:f>IF('계산 과정'!$L$5,'계산 과정'!$D$6+'계산 과정'!$C$35*D1668+'계산 과정'!$D$35*E1668,"")</x:f>
        <x:v>605.2773058995275</x:v>
      </x:c>
      <x:c r="K1668" s="4" t="n">
        <x:f>IF(AND('계산 과정'!$L$6,J1668&gt;0),'계산 과정'!$D$10*('계산 과정'!$C$38*(D1668-'계산 과정'!$C$32)+'계산 과정'!$D$38*(E1668-'계산 과정'!$D$32)-'계산 과정'!$E$38*'계산 과정'!$E$32)/J1668,"")</x:f>
        <x:v>0.5911035310865747</x:v>
      </x:c>
      <x:c r="L1668" s="4" t="n">
        <x:f>IF(AND('계산 과정'!$L$6,J1668&gt;0),'계산 과정'!$D$10*('계산 과정'!$C$39*(D1668-'계산 과정'!$C$32)+'계산 과정'!$D$39*(E1668-'계산 과정'!$D$32)-'계산 과정'!$E$39*'계산 과정'!$E$32)/J1668,"")</x:f>
        <x:v>-1.5785718590380806</x:v>
      </x:c>
      <x:c r="M1668" s="17" t="n">
        <x:f>IF('계산 과정'!$L$6,IF(J1668&lt;=0,0,IF(AND(ABS(K1668)&lt;='계산 과정'!$D$11/2,ABS(L1668)&lt;='계산 과정'!$D$12/2),1,0)),"")</x:f>
        <x:v>1</x:v>
      </x:c>
      <x:c r="N1668" s="17" t="n">
        <x:f>IF('계산 과정'!$C$78,IF(AND(ISNUMBER(H1668),ISNUMBER(I1668),ABS(H1668-'계산 과정'!$C$88)&lt;='계산 과정'!$D$23/2,ABS(I1668-'계산 과정'!$C$89)&lt;='계산 과정'!$D$24/2),1,0),"")</x:f>
        <x:v>1</x:v>
      </x:c>
      <x:c r="O1668" s="4" t="n">
        <x:f>IF('계산 과정'!$L$7,'계산 과정'!$C$49*('계산 과정'!$C$32-D1668)+'계산 과정'!$D$49*('계산 과정'!$D$32-E1668)+'계산 과정'!$E$49*'계산 과정'!$E$32,"")</x:f>
        <x:v>44.72269410047255</x:v>
      </x:c>
      <x:c r="P1668" s="4" t="n">
        <x:f>IF(AND('계산 과정'!$L$7,O1668&lt;&gt;0),('계산 과정'!$L$23-'계산 과정'!$C$49*D1668-'계산 과정'!$D$49*E1668)/O1668,"")</x:f>
        <x:v>9.944005007868553</x:v>
      </x:c>
      <x:c r="Q1668" s="4" t="str">
        <x:f>IF(AND(ISNUMBER(P1668),P1668&gt;1E-9,P1668&lt;1-1E-9),'계산 과정'!$C$47*(D1668-'계산 과정'!$C$50+P1668*('계산 과정'!$C$32-D1668))+'계산 과정'!$D$47*(E1668-'계산 과정'!$D$50+P1668*('계산 과정'!$D$32-E1668))+'계산 과정'!$E$47*(0-'계산 과정'!$E$50+P1668*('계산 과정'!$E$32-0)),"")</x:f>
      </x:c>
      <x:c r="R1668" s="4" t="str">
        <x:f>IF(AND(ISNUMBER(P1668),P1668&gt;1E-9,P1668&lt;1-1E-9),'계산 과정'!$C$48*(D1668-'계산 과정'!$C$50+P1668*('계산 과정'!$C$32-D1668))+'계산 과정'!$D$48*(E1668-'계산 과정'!$D$50+P1668*('계산 과정'!$D$32-E1668))+'계산 과정'!$E$48*(0-'계산 과정'!$E$50+P1668*('계산 과정'!$E$32-0)),"")</x:f>
      </x:c>
      <x:c r="S1668" s="17" t="n">
        <x:f>IF('계산 과정'!$C$78,IF(AND(ISNUMBER(Q1668),ISNUMBER(R1668),ABS(Q1668-'계산 과정'!$C$88)&lt;='계산 과정'!$D$23/2,ABS(R1668-'계산 과정'!$C$89)&lt;='계산 과정'!$D$24/2),1,0),"")</x:f>
        <x:v>0</x:v>
      </x:c>
      <x:c r="T1668" s="4"/>
      <x:c r="U1668" s="4"/>
      <x:c r="V1668" s="4"/>
      <x:c r="W1668" s="4"/>
      <x:c r="X1668" s="4"/>
      <x:c r="Y1668" s="4"/>
      <x:c r="Z1668" s="4"/>
    </x:row>
    <x:row r="1669" ht="23" customHeight="1">
      <x:c r="A1669" s="17" t="n">
        <x:f>ROW()-6</x:f>
        <x:v>1663</x:v>
      </x:c>
      <x:c r="B1669" s="4" t="n">
        <x:f>IF('계산 과정'!$L$5,'계산 과정'!$L$11*SQRT((A1669+0.5)/'계산 과정'!$L$30),"")</x:f>
        <x:v>135.18785757581006</x:v>
      </x:c>
      <x:c r="C1669" s="4" t="n">
        <x:f>A1669*PI()*(3-SQRT(5))</x:f>
        <x:v>3991.1388510387496</x:v>
      </x:c>
      <x:c r="D1669" s="4" t="n">
        <x:f>IF('계산 과정'!$L$5,B1669*COS(C1669),"")</x:f>
        <x:v>34.05019497301566</x:v>
      </x:c>
      <x:c r="E1669" s="4" t="n">
        <x:f>IF('계산 과정'!$L$5,B1669*SIN(C1669),"")</x:f>
        <x:v>130.82943498401696</x:v>
      </x:c>
      <x:c r="F1669" s="4" t="n">
        <x:f>IF('계산 과정'!$L$7,'계산 과정'!$L$22+'계산 과정'!$C$49*D1669+'계산 과정'!$D$49*E1669,"")</x:f>
        <x:v>625.9228762338565</x:v>
      </x:c>
      <x:c r="G1669" s="4" t="n">
        <x:f>IF('계산 과정'!$L$7,IF(ABS(F1669)&gt;=1E-12*MAX(1,SQRT((D1669-'계산 과정'!$C$33)^2+(E1669-'계산 과정'!$D$33)^2+'계산 과정'!$E$33^2)),('계산 과정'!$L$23-'계산 과정'!$C$49*D1669-'계산 과정'!$D$49*E1669)/F1669,""),"")</x:f>
        <x:v>0.6775229662762802</x:v>
      </x:c>
      <x:c r="H1669" s="4" t="n">
        <x:f>IF(AND(ISNUMBER(G1669),G1669&gt;0),('계산 과정'!$D$56+'계산 과정'!$D$57*D1669+'계산 과정'!$D$58*E1669)/F1669,"")</x:f>
        <x:v>40.389928079582</x:v>
      </x:c>
      <x:c r="I1669" s="4" t="n">
        <x:f>IF(AND(ISNUMBER(G1669),G1669&gt;0),('계산 과정'!$E$56+'계산 과정'!$E$57*D1669+'계산 과정'!$E$58*E1669)/F1669,"")</x:f>
        <x:v>219.46938185063786</x:v>
      </x:c>
      <x:c r="J1669" s="4" t="n">
        <x:f>IF('계산 과정'!$L$5,'계산 과정'!$D$6+'계산 과정'!$C$35*D1669+'계산 과정'!$D$35*E1669,"")</x:f>
        <x:v>625.9228762338565</x:v>
      </x:c>
      <x:c r="K1669" s="4" t="n">
        <x:f>IF(AND('계산 과정'!$L$6,J1669&gt;0),'계산 과정'!$D$10*('계산 과정'!$C$38*(D1669-'계산 과정'!$C$32)+'계산 과정'!$D$38*(E1669-'계산 과정'!$D$32)-'계산 과정'!$E$38*'계산 과정'!$E$32)/J1669,"")</x:f>
        <x:v>0.3077327853682447</x:v>
      </x:c>
      <x:c r="L1669" s="4" t="n">
        <x:f>IF(AND('계산 과정'!$L$6,J1669&gt;0),'계산 과정'!$D$10*('계산 과정'!$C$39*(D1669-'계산 과정'!$C$32)+'계산 과정'!$D$39*(E1669-'계산 과정'!$D$32)-'계산 과정'!$E$39*'계산 과정'!$E$32)/J1669,"")</x:f>
        <x:v>1.6721476712429553</x:v>
      </x:c>
      <x:c r="M1669" s="17" t="n">
        <x:f>IF('계산 과정'!$L$6,IF(J1669&lt;=0,0,IF(AND(ABS(K1669)&lt;='계산 과정'!$D$11/2,ABS(L1669)&lt;='계산 과정'!$D$12/2),1,0)),"")</x:f>
        <x:v>1</x:v>
      </x:c>
      <x:c r="N1669" s="17" t="n">
        <x:f>IF('계산 과정'!$C$78,IF(AND(ISNUMBER(H1669),ISNUMBER(I1669),ABS(H1669-'계산 과정'!$C$88)&lt;='계산 과정'!$D$23/2,ABS(I1669-'계산 과정'!$C$89)&lt;='계산 과정'!$D$24/2),1,0),"")</x:f>
        <x:v>1</x:v>
      </x:c>
      <x:c r="O1669" s="4" t="n">
        <x:f>IF('계산 과정'!$L$7,'계산 과정'!$C$49*('계산 과정'!$C$32-D1669)+'계산 과정'!$D$49*('계산 과정'!$D$32-E1669)+'계산 과정'!$E$49*'계산 과정'!$E$32,"")</x:f>
        <x:v>24.077123766143586</x:v>
      </x:c>
      <x:c r="P1669" s="4" t="n">
        <x:f>IF(AND('계산 과정'!$L$7,O1669&lt;&gt;0),('계산 과정'!$L$23-'계산 과정'!$C$49*D1669-'계산 과정'!$D$49*E1669)/O1669,"")</x:f>
        <x:v>17.613280053096126</x:v>
      </x:c>
      <x:c r="Q1669" s="4" t="str">
        <x:f>IF(AND(ISNUMBER(P1669),P1669&gt;1E-9,P1669&lt;1-1E-9),'계산 과정'!$C$47*(D1669-'계산 과정'!$C$50+P1669*('계산 과정'!$C$32-D1669))+'계산 과정'!$D$47*(E1669-'계산 과정'!$D$50+P1669*('계산 과정'!$D$32-E1669))+'계산 과정'!$E$47*(0-'계산 과정'!$E$50+P1669*('계산 과정'!$E$32-0)),"")</x:f>
      </x:c>
      <x:c r="R1669" s="4" t="str">
        <x:f>IF(AND(ISNUMBER(P1669),P1669&gt;1E-9,P1669&lt;1-1E-9),'계산 과정'!$C$48*(D1669-'계산 과정'!$C$50+P1669*('계산 과정'!$C$32-D1669))+'계산 과정'!$D$48*(E1669-'계산 과정'!$D$50+P1669*('계산 과정'!$D$32-E1669))+'계산 과정'!$E$48*(0-'계산 과정'!$E$50+P1669*('계산 과정'!$E$32-0)),"")</x:f>
      </x:c>
      <x:c r="S1669" s="17" t="n">
        <x:f>IF('계산 과정'!$C$78,IF(AND(ISNUMBER(Q1669),ISNUMBER(R1669),ABS(Q1669-'계산 과정'!$C$88)&lt;='계산 과정'!$D$23/2,ABS(R1669-'계산 과정'!$C$89)&lt;='계산 과정'!$D$24/2),1,0),"")</x:f>
        <x:v>0</x:v>
      </x:c>
      <x:c r="T1669" s="4"/>
      <x:c r="U1669" s="4"/>
      <x:c r="V1669" s="4"/>
      <x:c r="W1669" s="4"/>
      <x:c r="X1669" s="4"/>
      <x:c r="Y1669" s="4"/>
      <x:c r="Z1669" s="4"/>
    </x:row>
    <x:row r="1670" ht="23" customHeight="1">
      <x:c r="A1670" s="17" t="n">
        <x:f>ROW()-6</x:f>
        <x:v>1664</x:v>
      </x:c>
      <x:c r="B1670" s="4" t="n">
        <x:f>IF('계산 과정'!$L$5,'계산 과정'!$L$11*SQRT((A1670+0.5)/'계산 과정'!$L$30),"")</x:f>
        <x:v>135.22848503204676</x:v>
      </x:c>
      <x:c r="C1670" s="4" t="n">
        <x:f>A1670*PI()*(3-SQRT(5))</x:f>
        <x:v>3993.5388142684787</x:v>
      </x:c>
      <x:c r="D1670" s="4" t="n">
        <x:f>IF('계산 과정'!$L$5,B1670*COS(C1670),"")</x:f>
        <x:v>-113.5156717543067</x:v>
      </x:c>
      <x:c r="E1670" s="4" t="n">
        <x:f>IF('계산 과정'!$L$5,B1670*SIN(C1670),"")</x:f>
        <x:v>-73.49105680442344</x:v>
      </x:c>
      <x:c r="F1670" s="4" t="n">
        <x:f>IF('계산 과정'!$L$7,'계산 과정'!$L$22+'계산 과정'!$C$49*D1670+'계산 과정'!$D$49*E1670,"")</x:f>
        <x:v>730.2677012684164</x:v>
      </x:c>
      <x:c r="G1670" s="4" t="n">
        <x:f>IF('계산 과정'!$L$7,IF(ABS(F1670)&gt;=1E-12*MAX(1,SQRT((D1670-'계산 과정'!$C$33)^2+(E1670-'계산 과정'!$D$33)^2+'계산 과정'!$E$33^2)),('계산 과정'!$L$23-'계산 과정'!$C$49*D1670-'계산 과정'!$D$49*E1670)/F1670,""),"")</x:f>
        <x:v>0.4378288923037869</x:v>
      </x:c>
      <x:c r="H1670" s="4" t="n">
        <x:f>IF(AND(ISNUMBER(G1670),G1670&gt;0),('계산 과정'!$D$56+'계산 과정'!$D$57*D1670+'계산 과정'!$D$58*E1670)/F1670,"")</x:f>
        <x:v>-115.4112200025387</x:v>
      </x:c>
      <x:c r="I1670" s="4" t="n">
        <x:f>IF(AND(ISNUMBER(G1670),G1670&gt;0),('계산 과정'!$E$56+'계산 과정'!$E$57*D1670+'계산 과정'!$E$58*E1670)/F1670,"")</x:f>
        <x:v>-105.66756479933883</x:v>
      </x:c>
      <x:c r="J1670" s="4" t="n">
        <x:f>IF('계산 과정'!$L$5,'계산 과정'!$D$6+'계산 과정'!$C$35*D1670+'계산 과정'!$D$35*E1670,"")</x:f>
        <x:v>730.2677012684164</x:v>
      </x:c>
      <x:c r="K1670" s="4" t="n">
        <x:f>IF(AND('계산 과정'!$L$6,J1670&gt;0),'계산 과정'!$D$10*('계산 과정'!$C$38*(D1670-'계산 과정'!$C$32)+'계산 과정'!$D$38*(E1670-'계산 과정'!$D$32)-'계산 과정'!$E$38*'계산 과정'!$E$32)/J1670,"")</x:f>
        <x:v>-0.8793235809717224</x:v>
      </x:c>
      <x:c r="L1670" s="4" t="n">
        <x:f>IF(AND('계산 과정'!$L$6,J1670&gt;0),'계산 과정'!$D$10*('계산 과정'!$C$39*(D1670-'계산 과정'!$C$32)+'계산 과정'!$D$39*(E1670-'계산 과정'!$D$32)-'계산 과정'!$E$39*'계산 과정'!$E$32)/J1670,"")</x:f>
        <x:v>-0.8050862079949626</x:v>
      </x:c>
      <x:c r="M1670" s="17" t="n">
        <x:f>IF('계산 과정'!$L$6,IF(J1670&lt;=0,0,IF(AND(ABS(K1670)&lt;='계산 과정'!$D$11/2,ABS(L1670)&lt;='계산 과정'!$D$12/2),1,0)),"")</x:f>
        <x:v>1</x:v>
      </x:c>
      <x:c r="N1670" s="17" t="n">
        <x:f>IF('계산 과정'!$C$78,IF(AND(ISNUMBER(H1670),ISNUMBER(I1670),ABS(H1670-'계산 과정'!$C$88)&lt;='계산 과정'!$D$23/2,ABS(I1670-'계산 과정'!$C$89)&lt;='계산 과정'!$D$24/2),1,0),"")</x:f>
        <x:v>1</x:v>
      </x:c>
      <x:c r="O1670" s="4" t="n">
        <x:f>IF('계산 과정'!$L$7,'계산 과정'!$C$49*('계산 과정'!$C$32-D1670)+'계산 과정'!$D$49*('계산 과정'!$D$32-E1670)+'계산 과정'!$E$49*'계산 과정'!$E$32,"")</x:f>
        <x:v>-80.26770126841637</x:v>
      </x:c>
      <x:c r="P1670" s="4" t="n">
        <x:f>IF(AND('계산 과정'!$L$7,O1670&lt;&gt;0),('계산 과정'!$L$23-'계산 과정'!$C$49*D1670-'계산 과정'!$D$49*E1670)/O1670,"")</x:f>
        <x:v>-3.9833244714756937</x:v>
      </x:c>
      <x:c r="Q1670" s="4" t="str">
        <x:f>IF(AND(ISNUMBER(P1670),P1670&gt;1E-9,P1670&lt;1-1E-9),'계산 과정'!$C$47*(D1670-'계산 과정'!$C$50+P1670*('계산 과정'!$C$32-D1670))+'계산 과정'!$D$47*(E1670-'계산 과정'!$D$50+P1670*('계산 과정'!$D$32-E1670))+'계산 과정'!$E$47*(0-'계산 과정'!$E$50+P1670*('계산 과정'!$E$32-0)),"")</x:f>
      </x:c>
      <x:c r="R1670" s="4" t="str">
        <x:f>IF(AND(ISNUMBER(P1670),P1670&gt;1E-9,P1670&lt;1-1E-9),'계산 과정'!$C$48*(D1670-'계산 과정'!$C$50+P1670*('계산 과정'!$C$32-D1670))+'계산 과정'!$D$48*(E1670-'계산 과정'!$D$50+P1670*('계산 과정'!$D$32-E1670))+'계산 과정'!$E$48*(0-'계산 과정'!$E$50+P1670*('계산 과정'!$E$32-0)),"")</x:f>
      </x:c>
      <x:c r="S1670" s="17" t="n">
        <x:f>IF('계산 과정'!$C$78,IF(AND(ISNUMBER(Q1670),ISNUMBER(R1670),ABS(Q1670-'계산 과정'!$C$88)&lt;='계산 과정'!$D$23/2,ABS(R1670-'계산 과정'!$C$89)&lt;='계산 과정'!$D$24/2),1,0),"")</x:f>
        <x:v>0</x:v>
      </x:c>
      <x:c r="T1670" s="4"/>
      <x:c r="U1670" s="4"/>
      <x:c r="V1670" s="4"/>
      <x:c r="W1670" s="4"/>
      <x:c r="X1670" s="4"/>
      <x:c r="Y1670" s="4"/>
      <x:c r="Z1670" s="4"/>
    </x:row>
    <x:row r="1671" ht="23" customHeight="1">
      <x:c r="A1671" s="17" t="n">
        <x:f>ROW()-6</x:f>
        <x:v>1665</x:v>
      </x:c>
      <x:c r="B1671" s="4" t="n">
        <x:f>IF('계산 과정'!$L$5,'계산 과정'!$L$11*SQRT((A1671+0.5)/'계산 과정'!$L$30),"")</x:f>
        <x:v>135.2691002860132</x:v>
      </x:c>
      <x:c r="C1671" s="4" t="n">
        <x:f>A1671*PI()*(3-SQRT(5))</x:f>
        <x:v>3995.938777498207</x:v>
      </x:c>
      <x:c r="D1671" s="4" t="n">
        <x:f>IF('계산 과정'!$L$5,B1671*COS(C1671),"")</x:f>
        <x:v>133.38546879595214</x:v>
      </x:c>
      <x:c r="E1671" s="4" t="n">
        <x:f>IF('계산 과정'!$L$5,B1671*SIN(C1671),"")</x:f>
        <x:v>-22.495470794619486</x:v>
      </x:c>
      <x:c r="F1671" s="4" t="n">
        <x:f>IF('계산 과정'!$L$7,'계산 과정'!$L$22+'계산 과정'!$C$49*D1671+'계산 과정'!$D$49*E1671,"")</x:f>
        <x:v>555.6822305026357</x:v>
      </x:c>
      <x:c r="G1671" s="4" t="n">
        <x:f>IF('계산 과정'!$L$7,IF(ABS(F1671)&gt;=1E-12*MAX(1,SQRT((D1671-'계산 과정'!$C$33)^2+(E1671-'계산 과정'!$D$33)^2+'계산 과정'!$E$33^2)),('계산 과정'!$L$23-'계산 과정'!$C$49*D1671-'계산 과정'!$D$49*E1671)/F1671,""),"")</x:f>
        <x:v>0.8895691500702393</x:v>
      </x:c>
      <x:c r="H1671" s="4" t="n">
        <x:f>IF(AND(ISNUMBER(G1671),G1671&gt;0),('계산 과정'!$D$56+'계산 과정'!$D$57*D1671+'계산 과정'!$D$58*E1671)/F1671,"")</x:f>
        <x:v>178.2199475456555</x:v>
      </x:c>
      <x:c r="I1671" s="4" t="n">
        <x:f>IF(AND(ISNUMBER(G1671),G1671&gt;0),('계산 과정'!$E$56+'계산 과정'!$E$57*D1671+'계산 과정'!$E$58*E1671)/F1671,"")</x:f>
        <x:v>-42.50674762981903</x:v>
      </x:c>
      <x:c r="J1671" s="4" t="n">
        <x:f>IF('계산 과정'!$L$5,'계산 과정'!$D$6+'계산 과정'!$C$35*D1671+'계산 과정'!$D$35*E1671,"")</x:f>
        <x:v>555.6822305026357</x:v>
      </x:c>
      <x:c r="K1671" s="4" t="n">
        <x:f>IF(AND('계산 과정'!$L$6,J1671&gt;0),'계산 과정'!$D$10*('계산 과정'!$C$38*(D1671-'계산 과정'!$C$32)+'계산 과정'!$D$38*(E1671-'계산 과정'!$D$32)-'계산 과정'!$E$38*'계산 과정'!$E$32)/J1671,"")</x:f>
        <x:v>1.3578662670145187</x:v>
      </x:c>
      <x:c r="L1671" s="4" t="n">
        <x:f>IF(AND('계산 과정'!$L$6,J1671&gt;0),'계산 과정'!$D$10*('계산 과정'!$C$39*(D1671-'계산 과정'!$C$32)+'계산 과정'!$D$39*(E1671-'계산 과정'!$D$32)-'계산 과정'!$E$39*'계산 과정'!$E$32)/J1671,"")</x:f>
        <x:v>-0.3238609343224307</x:v>
      </x:c>
      <x:c r="M1671" s="17" t="n">
        <x:f>IF('계산 과정'!$L$6,IF(J1671&lt;=0,0,IF(AND(ABS(K1671)&lt;='계산 과정'!$D$11/2,ABS(L1671)&lt;='계산 과정'!$D$12/2),1,0)),"")</x:f>
        <x:v>1</x:v>
      </x:c>
      <x:c r="N1671" s="17" t="n">
        <x:f>IF('계산 과정'!$C$78,IF(AND(ISNUMBER(H1671),ISNUMBER(I1671),ABS(H1671-'계산 과정'!$C$88)&lt;='계산 과정'!$D$23/2,ABS(I1671-'계산 과정'!$C$89)&lt;='계산 과정'!$D$24/2),1,0),"")</x:f>
        <x:v>1</x:v>
      </x:c>
      <x:c r="O1671" s="4" t="n">
        <x:f>IF('계산 과정'!$L$7,'계산 과정'!$C$49*('계산 과정'!$C$32-D1671)+'계산 과정'!$D$49*('계산 과정'!$D$32-E1671)+'계산 과정'!$E$49*'계산 과정'!$E$32,"")</x:f>
        <x:v>94.31776949736451</x:v>
      </x:c>
      <x:c r="P1671" s="4" t="n">
        <x:f>IF(AND('계산 과정'!$L$7,O1671&lt;&gt;0),('계산 과정'!$L$23-'계산 과정'!$C$49*D1671-'계산 과정'!$D$49*E1671)/O1671,"")</x:f>
        <x:v>5.2409823952757595</x:v>
      </x:c>
      <x:c r="Q1671" s="4" t="str">
        <x:f>IF(AND(ISNUMBER(P1671),P1671&gt;1E-9,P1671&lt;1-1E-9),'계산 과정'!$C$47*(D1671-'계산 과정'!$C$50+P1671*('계산 과정'!$C$32-D1671))+'계산 과정'!$D$47*(E1671-'계산 과정'!$D$50+P1671*('계산 과정'!$D$32-E1671))+'계산 과정'!$E$47*(0-'계산 과정'!$E$50+P1671*('계산 과정'!$E$32-0)),"")</x:f>
      </x:c>
      <x:c r="R1671" s="4" t="str">
        <x:f>IF(AND(ISNUMBER(P1671),P1671&gt;1E-9,P1671&lt;1-1E-9),'계산 과정'!$C$48*(D1671-'계산 과정'!$C$50+P1671*('계산 과정'!$C$32-D1671))+'계산 과정'!$D$48*(E1671-'계산 과정'!$D$50+P1671*('계산 과정'!$D$32-E1671))+'계산 과정'!$E$48*(0-'계산 과정'!$E$50+P1671*('계산 과정'!$E$32-0)),"")</x:f>
      </x:c>
      <x:c r="S1671" s="17" t="n">
        <x:f>IF('계산 과정'!$C$78,IF(AND(ISNUMBER(Q1671),ISNUMBER(R1671),ABS(Q1671-'계산 과정'!$C$88)&lt;='계산 과정'!$D$23/2,ABS(R1671-'계산 과정'!$C$89)&lt;='계산 과정'!$D$24/2),1,0),"")</x:f>
        <x:v>0</x:v>
      </x:c>
      <x:c r="T1671" s="4"/>
      <x:c r="U1671" s="4"/>
      <x:c r="V1671" s="4"/>
      <x:c r="W1671" s="4"/>
      <x:c r="X1671" s="4"/>
      <x:c r="Y1671" s="4"/>
      <x:c r="Z1671" s="4"/>
    </x:row>
    <x:row r="1672" ht="23" customHeight="1">
      <x:c r="A1672" s="17" t="n">
        <x:f>ROW()-6</x:f>
        <x:v>1666</x:v>
      </x:c>
      <x:c r="B1672" s="4" t="n">
        <x:f>IF('계산 과정'!$L$5,'계산 과정'!$L$11*SQRT((A1672+0.5)/'계산 과정'!$L$30),"")</x:f>
        <x:v>135.30970334869744</x:v>
      </x:c>
      <x:c r="C1672" s="4" t="n">
        <x:f>A1672*PI()*(3-SQRT(5))</x:f>
        <x:v>3998.338740727936</x:v>
      </x:c>
      <x:c r="D1672" s="4" t="n">
        <x:f>IF('계산 과정'!$L$5,B1672*COS(C1672),"")</x:f>
        <x:v>-83.18378266716762</x:v>
      </x:c>
      <x:c r="E1672" s="4" t="n">
        <x:f>IF('계산 과정'!$L$5,B1672*SIN(C1672),"")</x:f>
        <x:v>106.72007365764853</x:v>
      </x:c>
      <x:c r="F1672" s="4" t="n">
        <x:f>IF('계산 과정'!$L$7,'계산 과정'!$L$22+'계산 과정'!$C$49*D1672+'계산 과정'!$D$49*E1672,"")</x:f>
        <x:v>708.8198168087022</x:v>
      </x:c>
      <x:c r="G1672" s="4" t="n">
        <x:f>IF('계산 과정'!$L$7,IF(ABS(F1672)&gt;=1E-12*MAX(1,SQRT((D1672-'계산 과정'!$C$33)^2+(E1672-'계산 과정'!$D$33)^2+'계산 과정'!$E$33^2)),('계산 과정'!$L$23-'계산 과정'!$C$49*D1672-'계산 과정'!$D$49*E1672)/F1672,""),"")</x:f>
        <x:v>0.481335559617087</x:v>
      </x:c>
      <x:c r="H1672" s="4" t="n">
        <x:f>IF(AND(ISNUMBER(G1672),G1672&gt;0),('계산 과정'!$D$56+'계산 과정'!$D$57*D1672+'계산 과정'!$D$58*E1672)/F1672,"")</x:f>
        <x:v>-87.13188624889357</x:v>
      </x:c>
      <x:c r="I1672" s="4" t="n">
        <x:f>IF(AND(ISNUMBER(G1672),G1672&gt;0),('계산 과정'!$E$56+'계산 과정'!$E$57*D1672+'계산 과정'!$E$58*E1672)/F1672,"")</x:f>
        <x:v>158.08824003402955</x:v>
      </x:c>
      <x:c r="J1672" s="4" t="n">
        <x:f>IF('계산 과정'!$L$5,'계산 과정'!$D$6+'계산 과정'!$C$35*D1672+'계산 과정'!$D$35*E1672,"")</x:f>
        <x:v>708.8198168087022</x:v>
      </x:c>
      <x:c r="K1672" s="4" t="n">
        <x:f>IF(AND('계산 과정'!$L$6,J1672&gt;0),'계산 과정'!$D$10*('계산 과정'!$C$38*(D1672-'계산 과정'!$C$32)+'계산 과정'!$D$38*(E1672-'계산 과정'!$D$32)-'계산 과정'!$E$38*'계산 과정'!$E$32)/J1672,"")</x:f>
        <x:v>-0.6638619904677597</x:v>
      </x:c>
      <x:c r="L1672" s="4" t="n">
        <x:f>IF(AND('계산 과정'!$L$6,J1672&gt;0),'계산 과정'!$D$10*('계산 과정'!$C$39*(D1672-'계산 과정'!$C$32)+'계산 과정'!$D$39*(E1672-'계산 과정'!$D$32)-'계산 과정'!$E$39*'계산 과정'!$E$32)/J1672,"")</x:f>
        <x:v>1.2044818288307013</x:v>
      </x:c>
      <x:c r="M1672" s="17" t="n">
        <x:f>IF('계산 과정'!$L$6,IF(J1672&lt;=0,0,IF(AND(ABS(K1672)&lt;='계산 과정'!$D$11/2,ABS(L1672)&lt;='계산 과정'!$D$12/2),1,0)),"")</x:f>
        <x:v>1</x:v>
      </x:c>
      <x:c r="N1672" s="17" t="n">
        <x:f>IF('계산 과정'!$C$78,IF(AND(ISNUMBER(H1672),ISNUMBER(I1672),ABS(H1672-'계산 과정'!$C$88)&lt;='계산 과정'!$D$23/2,ABS(I1672-'계산 과정'!$C$89)&lt;='계산 과정'!$D$24/2),1,0),"")</x:f>
        <x:v>1</x:v>
      </x:c>
      <x:c r="O1672" s="4" t="n">
        <x:f>IF('계산 과정'!$L$7,'계산 과정'!$C$49*('계산 과정'!$C$32-D1672)+'계산 과정'!$D$49*('계산 과정'!$D$32-E1672)+'계산 과정'!$E$49*'계산 과정'!$E$32,"")</x:f>
        <x:v>-58.819816808702114</x:v>
      </x:c>
      <x:c r="P1672" s="4" t="n">
        <x:f>IF(AND('계산 과정'!$L$7,O1672&lt;&gt;0),('계산 과정'!$L$23-'계산 과정'!$C$49*D1672-'계산 과정'!$D$49*E1672)/O1672,"")</x:f>
        <x:v>-5.800429204002923</x:v>
      </x:c>
      <x:c r="Q1672" s="4" t="str">
        <x:f>IF(AND(ISNUMBER(P1672),P1672&gt;1E-9,P1672&lt;1-1E-9),'계산 과정'!$C$47*(D1672-'계산 과정'!$C$50+P1672*('계산 과정'!$C$32-D1672))+'계산 과정'!$D$47*(E1672-'계산 과정'!$D$50+P1672*('계산 과정'!$D$32-E1672))+'계산 과정'!$E$47*(0-'계산 과정'!$E$50+P1672*('계산 과정'!$E$32-0)),"")</x:f>
      </x:c>
      <x:c r="R1672" s="4" t="str">
        <x:f>IF(AND(ISNUMBER(P1672),P1672&gt;1E-9,P1672&lt;1-1E-9),'계산 과정'!$C$48*(D1672-'계산 과정'!$C$50+P1672*('계산 과정'!$C$32-D1672))+'계산 과정'!$D$48*(E1672-'계산 과정'!$D$50+P1672*('계산 과정'!$D$32-E1672))+'계산 과정'!$E$48*(0-'계산 과정'!$E$50+P1672*('계산 과정'!$E$32-0)),"")</x:f>
      </x:c>
      <x:c r="S1672" s="17" t="n">
        <x:f>IF('계산 과정'!$C$78,IF(AND(ISNUMBER(Q1672),ISNUMBER(R1672),ABS(Q1672-'계산 과정'!$C$88)&lt;='계산 과정'!$D$23/2,ABS(R1672-'계산 과정'!$C$89)&lt;='계산 과정'!$D$24/2),1,0),"")</x:f>
        <x:v>0</x:v>
      </x:c>
      <x:c r="T1672" s="4"/>
      <x:c r="U1672" s="4"/>
      <x:c r="V1672" s="4"/>
      <x:c r="W1672" s="4"/>
      <x:c r="X1672" s="4"/>
      <x:c r="Y1672" s="4"/>
      <x:c r="Z1672" s="4"/>
    </x:row>
    <x:row r="1673" ht="23" customHeight="1">
      <x:c r="A1673" s="17" t="n">
        <x:f>ROW()-6</x:f>
        <x:v>1667</x:v>
      </x:c>
      <x:c r="B1673" s="4" t="n">
        <x:f>IF('계산 과정'!$L$5,'계산 과정'!$L$11*SQRT((A1673+0.5)/'계산 과정'!$L$30),"")</x:f>
        <x:v>135.35029423107105</x:v>
      </x:c>
      <x:c r="C1673" s="4" t="n">
        <x:f>A1673*PI()*(3-SQRT(5))</x:f>
        <x:v>4000.7387039576643</x:v>
      </x:c>
      <x:c r="D1673" s="4" t="n">
        <x:f>IF('계산 과정'!$L$5,B1673*COS(C1673),"")</x:f>
        <x:v>-10.754466670327096</x:v>
      </x:c>
      <x:c r="E1673" s="4" t="n">
        <x:f>IF('계산 과정'!$L$5,B1673*SIN(C1673),"")</x:f>
        <x:v>-134.92236136042953</x:v>
      </x:c>
      <x:c r="F1673" s="4" t="n">
        <x:f>IF('계산 과정'!$L$7,'계산 과정'!$L$22+'계산 과정'!$C$49*D1673+'계산 과정'!$D$49*E1673,"")</x:f>
        <x:v>657.604556310633</x:v>
      </x:c>
      <x:c r="G1673" s="4" t="n">
        <x:f>IF('계산 과정'!$L$7,IF(ABS(F1673)&gt;=1E-12*MAX(1,SQRT((D1673-'계산 과정'!$C$33)^2+(E1673-'계산 과정'!$D$33)^2+'계산 과정'!$E$33^2)),('계산 과정'!$L$23-'계산 과정'!$C$49*D1673-'계산 과정'!$D$49*E1673)/F1673,""),"")</x:f>
        <x:v>0.5967042653883483</x:v>
      </x:c>
      <x:c r="H1673" s="4" t="n">
        <x:f>IF(AND(ISNUMBER(G1673),G1673&gt;0),('계산 과정'!$D$56+'계산 과정'!$D$57*D1673+'계산 과정'!$D$58*E1673)/F1673,"")</x:f>
        <x:v>-12.142227497573709</x:v>
      </x:c>
      <x:c r="I1673" s="4" t="n">
        <x:f>IF(AND(ISNUMBER(G1673),G1673&gt;0),('계산 과정'!$E$56+'계산 과정'!$E$57*D1673+'계산 과정'!$E$58*E1673)/F1673,"")</x:f>
        <x:v>-215.4311098804659</x:v>
      </x:c>
      <x:c r="J1673" s="4" t="n">
        <x:f>IF('계산 과정'!$L$5,'계산 과정'!$D$6+'계산 과정'!$C$35*D1673+'계산 과정'!$D$35*E1673,"")</x:f>
        <x:v>657.604556310633</x:v>
      </x:c>
      <x:c r="K1673" s="4" t="n">
        <x:f>IF(AND('계산 과정'!$L$6,J1673&gt;0),'계산 과정'!$D$10*('계산 과정'!$C$38*(D1673-'계산 과정'!$C$32)+'계산 과정'!$D$38*(E1673-'계산 과정'!$D$32)-'계산 과정'!$E$38*'계산 과정'!$E$32)/J1673,"")</x:f>
        <x:v>-0.09251220950532227</x:v>
      </x:c>
      <x:c r="L1673" s="4" t="n">
        <x:f>IF(AND('계산 과정'!$L$6,J1673&gt;0),'계산 과정'!$D$10*('계산 과정'!$C$39*(D1673-'계산 과정'!$C$32)+'계산 과정'!$D$39*(E1673-'계산 과정'!$D$32)-'계산 과정'!$E$39*'계산 과정'!$E$32)/J1673,"")</x:f>
        <x:v>-1.6413798848035497</x:v>
      </x:c>
      <x:c r="M1673" s="17" t="n">
        <x:f>IF('계산 과정'!$L$6,IF(J1673&lt;=0,0,IF(AND(ABS(K1673)&lt;='계산 과정'!$D$11/2,ABS(L1673)&lt;='계산 과정'!$D$12/2),1,0)),"")</x:f>
        <x:v>1</x:v>
      </x:c>
      <x:c r="N1673" s="17" t="n">
        <x:f>IF('계산 과정'!$C$78,IF(AND(ISNUMBER(H1673),ISNUMBER(I1673),ABS(H1673-'계산 과정'!$C$88)&lt;='계산 과정'!$D$23/2,ABS(I1673-'계산 과정'!$C$89)&lt;='계산 과정'!$D$24/2),1,0),"")</x:f>
        <x:v>1</x:v>
      </x:c>
      <x:c r="O1673" s="4" t="n">
        <x:f>IF('계산 과정'!$L$7,'계산 과정'!$C$49*('계산 과정'!$C$32-D1673)+'계산 과정'!$D$49*('계산 과정'!$D$32-E1673)+'계산 과정'!$E$49*'계산 과정'!$E$32,"")</x:f>
        <x:v>-7.604556310632859</x:v>
      </x:c>
      <x:c r="P1673" s="4" t="n">
        <x:f>IF(AND('계산 과정'!$L$7,O1673&lt;&gt;0),('계산 과정'!$L$23-'계산 과정'!$C$49*D1673-'계산 과정'!$D$49*E1673)/O1673,"")</x:f>
        <x:v>-51.600044455021134</x:v>
      </x:c>
      <x:c r="Q1673" s="4" t="str">
        <x:f>IF(AND(ISNUMBER(P1673),P1673&gt;1E-9,P1673&lt;1-1E-9),'계산 과정'!$C$47*(D1673-'계산 과정'!$C$50+P1673*('계산 과정'!$C$32-D1673))+'계산 과정'!$D$47*(E1673-'계산 과정'!$D$50+P1673*('계산 과정'!$D$32-E1673))+'계산 과정'!$E$47*(0-'계산 과정'!$E$50+P1673*('계산 과정'!$E$32-0)),"")</x:f>
      </x:c>
      <x:c r="R1673" s="4" t="str">
        <x:f>IF(AND(ISNUMBER(P1673),P1673&gt;1E-9,P1673&lt;1-1E-9),'계산 과정'!$C$48*(D1673-'계산 과정'!$C$50+P1673*('계산 과정'!$C$32-D1673))+'계산 과정'!$D$48*(E1673-'계산 과정'!$D$50+P1673*('계산 과정'!$D$32-E1673))+'계산 과정'!$E$48*(0-'계산 과정'!$E$50+P1673*('계산 과정'!$E$32-0)),"")</x:f>
      </x:c>
      <x:c r="S1673" s="17" t="n">
        <x:f>IF('계산 과정'!$C$78,IF(AND(ISNUMBER(Q1673),ISNUMBER(R1673),ABS(Q1673-'계산 과정'!$C$88)&lt;='계산 과정'!$D$23/2,ABS(R1673-'계산 과정'!$C$89)&lt;='계산 과정'!$D$24/2),1,0),"")</x:f>
        <x:v>0</x:v>
      </x:c>
      <x:c r="T1673" s="4"/>
      <x:c r="U1673" s="4"/>
      <x:c r="V1673" s="4"/>
      <x:c r="W1673" s="4"/>
      <x:c r="X1673" s="4"/>
      <x:c r="Y1673" s="4"/>
      <x:c r="Z1673" s="4"/>
    </x:row>
    <x:row r="1674" ht="23" customHeight="1">
      <x:c r="A1674" s="17" t="n">
        <x:f>ROW()-6</x:f>
        <x:v>1668</x:v>
      </x:c>
      <x:c r="B1674" s="4" t="n">
        <x:f>IF('계산 과정'!$L$5,'계산 과정'!$L$11*SQRT((A1674+0.5)/'계산 과정'!$L$30),"")</x:f>
        <x:v>135.39087294408918</x:v>
      </x:c>
      <x:c r="C1674" s="4" t="n">
        <x:f>A1674*PI()*(3-SQRT(5))</x:f>
        <x:v>4003.138667187393</x:v>
      </x:c>
      <x:c r="D1674" s="4" t="n">
        <x:f>IF('계산 과정'!$L$5,B1674*COS(C1674),"")</x:f>
        <x:v>99.09845592203499</x:v>
      </x:c>
      <x:c r="E1674" s="4" t="n">
        <x:f>IF('계산 과정'!$L$5,B1674*SIN(C1674),"")</x:f>
        <x:v>92.2506613007787</x:v>
      </x:c>
      <x:c r="F1674" s="4" t="n">
        <x:f>IF('계산 과정'!$L$7,'계산 과정'!$L$22+'계산 과정'!$C$49*D1674+'계산 과정'!$D$49*E1674,"")</x:f>
        <x:v>579.9268098124129</x:v>
      </x:c>
      <x:c r="G1674" s="4" t="n">
        <x:f>IF('계산 과정'!$L$7,IF(ABS(F1674)&gt;=1E-12*MAX(1,SQRT((D1674-'계산 과정'!$C$33)^2+(E1674-'계산 과정'!$D$33)^2+'계산 과정'!$E$33^2)),('계산 과정'!$L$23-'계산 과정'!$C$49*D1674-'계산 과정'!$D$49*E1674)/F1674,""),"")</x:f>
        <x:v>0.8105733037926635</x:v>
      </x:c>
      <x:c r="H1674" s="4" t="n">
        <x:f>IF(AND(ISNUMBER(G1674),G1674&gt;0),('계산 과정'!$D$56+'계산 과정'!$D$57*D1674+'계산 과정'!$D$58*E1674)/F1674,"")</x:f>
        <x:v>126.87264746523117</x:v>
      </x:c>
      <x:c r="I1674" s="4" t="n">
        <x:f>IF(AND(ISNUMBER(G1674),G1674&gt;0),('계산 과정'!$E$56+'계산 과정'!$E$57*D1674+'계산 과정'!$E$58*E1674)/F1674,"")</x:f>
        <x:v>167.02658460840888</x:v>
      </x:c>
      <x:c r="J1674" s="4" t="n">
        <x:f>IF('계산 과정'!$L$5,'계산 과정'!$D$6+'계산 과정'!$C$35*D1674+'계산 과정'!$D$35*E1674,"")</x:f>
        <x:v>579.9268098124129</x:v>
      </x:c>
      <x:c r="K1674" s="4" t="n">
        <x:f>IF(AND('계산 과정'!$L$6,J1674&gt;0),'계산 과정'!$D$10*('계산 과정'!$C$38*(D1674-'계산 과정'!$C$32)+'계산 과정'!$D$38*(E1674-'계산 과정'!$D$32)-'계산 과정'!$E$38*'계산 과정'!$E$32)/J1674,"")</x:f>
        <x:v>0.9666487425922383</x:v>
      </x:c>
      <x:c r="L1674" s="4" t="n">
        <x:f>IF(AND('계산 과정'!$L$6,J1674&gt;0),'계산 과정'!$D$10*('계산 과정'!$C$39*(D1674-'계산 과정'!$C$32)+'계산 과정'!$D$39*(E1674-'계산 과정'!$D$32)-'계산 과정'!$E$39*'계산 과정'!$E$32)/J1674,"")</x:f>
        <x:v>1.2725835017783536</x:v>
      </x:c>
      <x:c r="M1674" s="17" t="n">
        <x:f>IF('계산 과정'!$L$6,IF(J1674&lt;=0,0,IF(AND(ABS(K1674)&lt;='계산 과정'!$D$11/2,ABS(L1674)&lt;='계산 과정'!$D$12/2),1,0)),"")</x:f>
        <x:v>1</x:v>
      </x:c>
      <x:c r="N1674" s="17" t="n">
        <x:f>IF('계산 과정'!$C$78,IF(AND(ISNUMBER(H1674),ISNUMBER(I1674),ABS(H1674-'계산 과정'!$C$88)&lt;='계산 과정'!$D$23/2,ABS(I1674-'계산 과정'!$C$89)&lt;='계산 과정'!$D$24/2),1,0),"")</x:f>
        <x:v>1</x:v>
      </x:c>
      <x:c r="O1674" s="4" t="n">
        <x:f>IF('계산 과정'!$L$7,'계산 과정'!$C$49*('계산 과정'!$C$32-D1674)+'계산 과정'!$D$49*('계산 과정'!$D$32-E1674)+'계산 과정'!$E$49*'계산 과정'!$E$32,"")</x:f>
        <x:v>70.07319018758722</x:v>
      </x:c>
      <x:c r="P1674" s="4" t="n">
        <x:f>IF(AND('계산 과정'!$L$7,O1674&lt;&gt;0),('계산 과정'!$L$23-'계산 과정'!$C$49*D1674-'계산 과정'!$D$49*E1674)/O1674,"")</x:f>
        <x:v>6.7083172455712745</x:v>
      </x:c>
      <x:c r="Q1674" s="4" t="str">
        <x:f>IF(AND(ISNUMBER(P1674),P1674&gt;1E-9,P1674&lt;1-1E-9),'계산 과정'!$C$47*(D1674-'계산 과정'!$C$50+P1674*('계산 과정'!$C$32-D1674))+'계산 과정'!$D$47*(E1674-'계산 과정'!$D$50+P1674*('계산 과정'!$D$32-E1674))+'계산 과정'!$E$47*(0-'계산 과정'!$E$50+P1674*('계산 과정'!$E$32-0)),"")</x:f>
      </x:c>
      <x:c r="R1674" s="4" t="str">
        <x:f>IF(AND(ISNUMBER(P1674),P1674&gt;1E-9,P1674&lt;1-1E-9),'계산 과정'!$C$48*(D1674-'계산 과정'!$C$50+P1674*('계산 과정'!$C$32-D1674))+'계산 과정'!$D$48*(E1674-'계산 과정'!$D$50+P1674*('계산 과정'!$D$32-E1674))+'계산 과정'!$E$48*(0-'계산 과정'!$E$50+P1674*('계산 과정'!$E$32-0)),"")</x:f>
      </x:c>
      <x:c r="S1674" s="17" t="n">
        <x:f>IF('계산 과정'!$C$78,IF(AND(ISNUMBER(Q1674),ISNUMBER(R1674),ABS(Q1674-'계산 과정'!$C$88)&lt;='계산 과정'!$D$23/2,ABS(R1674-'계산 과정'!$C$89)&lt;='계산 과정'!$D$24/2),1,0),"")</x:f>
        <x:v>0</x:v>
      </x:c>
      <x:c r="T1674" s="4"/>
      <x:c r="U1674" s="4"/>
      <x:c r="V1674" s="4"/>
      <x:c r="W1674" s="4"/>
      <x:c r="X1674" s="4"/>
      <x:c r="Y1674" s="4"/>
      <x:c r="Z1674" s="4"/>
    </x:row>
    <x:row r="1675" ht="23" customHeight="1">
      <x:c r="A1675" s="17" t="n">
        <x:f>ROW()-6</x:f>
        <x:v>1669</x:v>
      </x:c>
      <x:c r="B1675" s="4" t="n">
        <x:f>IF('계산 과정'!$L$5,'계산 과정'!$L$11*SQRT((A1675+0.5)/'계산 과정'!$L$30),"")</x:f>
        <x:v>135.43143949869062</x:v>
      </x:c>
      <x:c r="C1675" s="4" t="n">
        <x:f>A1675*PI()*(3-SQRT(5))</x:f>
        <x:v>4005.538630417122</x:v>
      </x:c>
      <x:c r="D1675" s="4" t="n">
        <x:f>IF('계산 과정'!$L$5,B1675*COS(C1675),"")</x:f>
        <x:v>-135.4271088678302</x:v>
      </x:c>
      <x:c r="E1675" s="4" t="n">
        <x:f>IF('계산 과정'!$L$5,B1675*SIN(C1675),"")</x:f>
        <x:v>-1.0830458846978173</x:v>
      </x:c>
      <x:c r="F1675" s="4" t="n">
        <x:f>IF('계산 과정'!$L$7,'계산 과정'!$L$22+'계산 과정'!$C$49*D1675+'계산 과정'!$D$49*E1675,"")</x:f>
        <x:v>745.7614270369315</x:v>
      </x:c>
      <x:c r="G1675" s="4" t="n">
        <x:f>IF('계산 과정'!$L$7,IF(ABS(F1675)&gt;=1E-12*MAX(1,SQRT((D1675-'계산 과정'!$C$33)^2+(E1675-'계산 과정'!$D$33)^2+'계산 과정'!$E$33^2)),('계산 과정'!$L$23-'계산 과정'!$C$49*D1675-'계산 과정'!$D$49*E1675)/F1675,""),"")</x:f>
        <x:v>0.407956971134687</x:v>
      </x:c>
      <x:c r="H1675" s="4" t="n">
        <x:f>IF(AND(ISNUMBER(G1675),G1675&gt;0),('계산 과정'!$D$56+'계산 과정'!$D$57*D1675+'계산 과정'!$D$58*E1675)/F1675,"")</x:f>
        <x:v>-134.82796876245362</x:v>
      </x:c>
      <x:c r="I1675" s="4" t="n">
        <x:f>IF(AND(ISNUMBER(G1675),G1675&gt;0),('계산 과정'!$E$56+'계산 과정'!$E$57*D1675+'계산 과정'!$E$58*E1675)/F1675,"")</x:f>
        <x:v>-1.5248820034190262</x:v>
      </x:c>
      <x:c r="J1675" s="4" t="n">
        <x:f>IF('계산 과정'!$L$5,'계산 과정'!$D$6+'계산 과정'!$C$35*D1675+'계산 과정'!$D$35*E1675,"")</x:f>
        <x:v>745.7614270369315</x:v>
      </x:c>
      <x:c r="K1675" s="4" t="n">
        <x:f>IF(AND('계산 과정'!$L$6,J1675&gt;0),'계산 과정'!$D$10*('계산 과정'!$C$38*(D1675-'계산 과정'!$C$32)+'계산 과정'!$D$38*(E1675-'계산 과정'!$D$32)-'계산 과정'!$E$38*'계산 과정'!$E$32)/J1675,"")</x:f>
        <x:v>-1.0272607143805983</x:v>
      </x:c>
      <x:c r="L1675" s="4" t="n">
        <x:f>IF(AND('계산 과정'!$L$6,J1675&gt;0),'계산 과정'!$D$10*('계산 과정'!$C$39*(D1675-'계산 과정'!$C$32)+'계산 과정'!$D$39*(E1675-'계산 과정'!$D$32)-'계산 과정'!$E$39*'계산 과정'!$E$32)/J1675,"")</x:f>
        <x:v>-0.011618148597478296</x:v>
      </x:c>
      <x:c r="M1675" s="17" t="n">
        <x:f>IF('계산 과정'!$L$6,IF(J1675&lt;=0,0,IF(AND(ABS(K1675)&lt;='계산 과정'!$D$11/2,ABS(L1675)&lt;='계산 과정'!$D$12/2),1,0)),"")</x:f>
        <x:v>1</x:v>
      </x:c>
      <x:c r="N1675" s="17" t="n">
        <x:f>IF('계산 과정'!$C$78,IF(AND(ISNUMBER(H1675),ISNUMBER(I1675),ABS(H1675-'계산 과정'!$C$88)&lt;='계산 과정'!$D$23/2,ABS(I1675-'계산 과정'!$C$89)&lt;='계산 과정'!$D$24/2),1,0),"")</x:f>
        <x:v>1</x:v>
      </x:c>
      <x:c r="O1675" s="4" t="n">
        <x:f>IF('계산 과정'!$L$7,'계산 과정'!$C$49*('계산 과정'!$C$32-D1675)+'계산 과정'!$D$49*('계산 과정'!$D$32-E1675)+'계산 과정'!$E$49*'계산 과정'!$E$32,"")</x:f>
        <x:v>-95.76142703693148</x:v>
      </x:c>
      <x:c r="P1675" s="4" t="n">
        <x:f>IF(AND('계산 과정'!$L$7,O1675&lt;&gt;0),('계산 과정'!$L$23-'계산 과정'!$C$49*D1675-'계산 과정'!$D$49*E1675)/O1675,"")</x:f>
        <x:v>-3.177047192976097</x:v>
      </x:c>
      <x:c r="Q1675" s="4" t="str">
        <x:f>IF(AND(ISNUMBER(P1675),P1675&gt;1E-9,P1675&lt;1-1E-9),'계산 과정'!$C$47*(D1675-'계산 과정'!$C$50+P1675*('계산 과정'!$C$32-D1675))+'계산 과정'!$D$47*(E1675-'계산 과정'!$D$50+P1675*('계산 과정'!$D$32-E1675))+'계산 과정'!$E$47*(0-'계산 과정'!$E$50+P1675*('계산 과정'!$E$32-0)),"")</x:f>
      </x:c>
      <x:c r="R1675" s="4" t="str">
        <x:f>IF(AND(ISNUMBER(P1675),P1675&gt;1E-9,P1675&lt;1-1E-9),'계산 과정'!$C$48*(D1675-'계산 과정'!$C$50+P1675*('계산 과정'!$C$32-D1675))+'계산 과정'!$D$48*(E1675-'계산 과정'!$D$50+P1675*('계산 과정'!$D$32-E1675))+'계산 과정'!$E$48*(0-'계산 과정'!$E$50+P1675*('계산 과정'!$E$32-0)),"")</x:f>
      </x:c>
      <x:c r="S1675" s="17" t="n">
        <x:f>IF('계산 과정'!$C$78,IF(AND(ISNUMBER(Q1675),ISNUMBER(R1675),ABS(Q1675-'계산 과정'!$C$88)&lt;='계산 과정'!$D$23/2,ABS(R1675-'계산 과정'!$C$89)&lt;='계산 과정'!$D$24/2),1,0),"")</x:f>
        <x:v>0</x:v>
      </x:c>
      <x:c r="T1675" s="4"/>
      <x:c r="U1675" s="4"/>
      <x:c r="V1675" s="4"/>
      <x:c r="W1675" s="4"/>
      <x:c r="X1675" s="4"/>
      <x:c r="Y1675" s="4"/>
      <x:c r="Z1675" s="4"/>
    </x:row>
    <x:row r="1676" ht="23" customHeight="1">
      <x:c r="A1676" s="17" t="n">
        <x:f>ROW()-6</x:f>
        <x:v>1670</x:v>
      </x:c>
      <x:c r="B1676" s="4" t="n">
        <x:f>IF('계산 과정'!$L$5,'계산 과정'!$L$11*SQRT((A1676+0.5)/'계산 과정'!$L$30),"")</x:f>
        <x:v>135.47199390579775</x:v>
      </x:c>
      <x:c r="C1676" s="4" t="n">
        <x:f>A1676*PI()*(3-SQRT(5))</x:f>
        <x:v>4007.93859364685</x:v>
      </x:c>
      <x:c r="D1676" s="4" t="n">
        <x:f>IF('계산 과정'!$L$5,B1676*COS(C1676),"")</x:f>
        <x:v>100.62144398285052</x:v>
      </x:c>
      <x:c r="E1676" s="4" t="n">
        <x:f>IF('계산 과정'!$L$5,B1676*SIN(C1676),"")</x:f>
        <x:v>-90.70824738478072</x:v>
      </x:c>
      <x:c r="F1676" s="4" t="n">
        <x:f>IF('계산 과정'!$L$7,'계산 과정'!$L$22+'계산 과정'!$C$49*D1676+'계산 과정'!$D$49*E1676,"")</x:f>
        <x:v>578.8498946269441</x:v>
      </x:c>
      <x:c r="G1676" s="4" t="n">
        <x:f>IF('계산 과정'!$L$7,IF(ABS(F1676)&gt;=1E-12*MAX(1,SQRT((D1676-'계산 과정'!$C$33)^2+(E1676-'계산 과정'!$D$33)^2+'계산 과정'!$E$33^2)),('계산 과정'!$L$23-'계산 과정'!$C$49*D1676-'계산 과정'!$D$49*E1676)/F1676,""),"")</x:f>
        <x:v>0.8139417658125371</x:v>
      </x:c>
      <x:c r="H1676" s="4" t="n">
        <x:f>IF(AND(ISNUMBER(G1676),G1676&gt;0),('계산 과정'!$D$56+'계산 과정'!$D$57*D1676+'계산 과정'!$D$58*E1676)/F1676,"")</x:f>
        <x:v>129.06214777814907</x:v>
      </x:c>
      <x:c r="I1676" s="4" t="n">
        <x:f>IF(AND(ISNUMBER(G1676),G1676&gt;0),('계산 과정'!$E$56+'계산 과정'!$E$57*D1676+'계산 과정'!$E$58*E1676)/F1676,"")</x:f>
        <x:v>-164.5394784349096</x:v>
      </x:c>
      <x:c r="J1676" s="4" t="n">
        <x:f>IF('계산 과정'!$L$5,'계산 과정'!$D$6+'계산 과정'!$C$35*D1676+'계산 과정'!$D$35*E1676,"")</x:f>
        <x:v>578.8498946269441</x:v>
      </x:c>
      <x:c r="K1676" s="4" t="n">
        <x:f>IF(AND('계산 과정'!$L$6,J1676&gt;0),'계산 과정'!$D$10*('계산 과정'!$C$38*(D1676-'계산 과정'!$C$32)+'계산 과정'!$D$38*(E1676-'계산 과정'!$D$32)-'계산 과정'!$E$38*'계산 과정'!$E$32)/J1676,"")</x:f>
        <x:v>0.9833306497382794</x:v>
      </x:c>
      <x:c r="L1676" s="4" t="n">
        <x:f>IF(AND('계산 과정'!$L$6,J1676&gt;0),'계산 과정'!$D$10*('계산 과정'!$C$39*(D1676-'계산 과정'!$C$32)+'계산 과정'!$D$39*(E1676-'계산 과정'!$D$32)-'계산 과정'!$E$39*'계산 과정'!$E$32)/J1676,"")</x:f>
        <x:v>-1.253634121408835</x:v>
      </x:c>
      <x:c r="M1676" s="17" t="n">
        <x:f>IF('계산 과정'!$L$6,IF(J1676&lt;=0,0,IF(AND(ABS(K1676)&lt;='계산 과정'!$D$11/2,ABS(L1676)&lt;='계산 과정'!$D$12/2),1,0)),"")</x:f>
        <x:v>1</x:v>
      </x:c>
      <x:c r="N1676" s="17" t="n">
        <x:f>IF('계산 과정'!$C$78,IF(AND(ISNUMBER(H1676),ISNUMBER(I1676),ABS(H1676-'계산 과정'!$C$88)&lt;='계산 과정'!$D$23/2,ABS(I1676-'계산 과정'!$C$89)&lt;='계산 과정'!$D$24/2),1,0),"")</x:f>
        <x:v>1</x:v>
      </x:c>
      <x:c r="O1676" s="4" t="n">
        <x:f>IF('계산 과정'!$L$7,'계산 과정'!$C$49*('계산 과정'!$C$32-D1676)+'계산 과정'!$D$49*('계산 과정'!$D$32-E1676)+'계산 과정'!$E$49*'계산 과정'!$E$32,"")</x:f>
        <x:v>71.15010537305602</x:v>
      </x:c>
      <x:c r="P1676" s="4" t="n">
        <x:f>IF(AND('계산 과정'!$L$7,O1676&lt;&gt;0),('계산 과정'!$L$23-'계산 과정'!$C$49*D1676-'계산 과정'!$D$49*E1676)/O1676,"")</x:f>
        <x:v>6.621917183435075</x:v>
      </x:c>
      <x:c r="Q1676" s="4" t="str">
        <x:f>IF(AND(ISNUMBER(P1676),P1676&gt;1E-9,P1676&lt;1-1E-9),'계산 과정'!$C$47*(D1676-'계산 과정'!$C$50+P1676*('계산 과정'!$C$32-D1676))+'계산 과정'!$D$47*(E1676-'계산 과정'!$D$50+P1676*('계산 과정'!$D$32-E1676))+'계산 과정'!$E$47*(0-'계산 과정'!$E$50+P1676*('계산 과정'!$E$32-0)),"")</x:f>
      </x:c>
      <x:c r="R1676" s="4" t="str">
        <x:f>IF(AND(ISNUMBER(P1676),P1676&gt;1E-9,P1676&lt;1-1E-9),'계산 과정'!$C$48*(D1676-'계산 과정'!$C$50+P1676*('계산 과정'!$C$32-D1676))+'계산 과정'!$D$48*(E1676-'계산 과정'!$D$50+P1676*('계산 과정'!$D$32-E1676))+'계산 과정'!$E$48*(0-'계산 과정'!$E$50+P1676*('계산 과정'!$E$32-0)),"")</x:f>
      </x:c>
      <x:c r="S1676" s="17" t="n">
        <x:f>IF('계산 과정'!$C$78,IF(AND(ISNUMBER(Q1676),ISNUMBER(R1676),ABS(Q1676-'계산 과정'!$C$88)&lt;='계산 과정'!$D$23/2,ABS(R1676-'계산 과정'!$C$89)&lt;='계산 과정'!$D$24/2),1,0),"")</x:f>
        <x:v>0</x:v>
      </x:c>
      <x:c r="T1676" s="4"/>
      <x:c r="U1676" s="4"/>
      <x:c r="V1676" s="4"/>
      <x:c r="W1676" s="4"/>
      <x:c r="X1676" s="4"/>
      <x:c r="Y1676" s="4"/>
      <x:c r="Z1676" s="4"/>
    </x:row>
    <x:row r="1677" ht="23" customHeight="1">
      <x:c r="A1677" s="17" t="n">
        <x:f>ROW()-6</x:f>
        <x:v>1671</x:v>
      </x:c>
      <x:c r="B1677" s="4" t="n">
        <x:f>IF('계산 과정'!$L$5,'계산 과정'!$L$11*SQRT((A1677+0.5)/'계산 과정'!$L$30),"")</x:f>
        <x:v>135.51253617631653</x:v>
      </x:c>
      <x:c r="C1677" s="4" t="n">
        <x:f>A1677*PI()*(3-SQRT(5))</x:f>
        <x:v>4010.338556876579</x:v>
      </x:c>
      <x:c r="D1677" s="4" t="n">
        <x:f>IF('계산 과정'!$L$5,B1677*COS(C1677),"")</x:f>
        <x:v>-12.926447841728697</x:v>
      </x:c>
      <x:c r="E1677" s="4" t="n">
        <x:f>IF('계산 과정'!$L$5,B1677*SIN(C1677),"")</x:f>
        <x:v>134.8946048110619</x:v>
      </x:c>
      <x:c r="F1677" s="4" t="n">
        <x:f>IF('계산 과정'!$L$7,'계산 과정'!$L$22+'계산 과정'!$C$49*D1677+'계산 과정'!$D$49*E1677,"")</x:f>
        <x:v>659.1403789255405</x:v>
      </x:c>
      <x:c r="G1677" s="4" t="n">
        <x:f>IF('계산 과정'!$L$7,IF(ABS(F1677)&gt;=1E-12*MAX(1,SQRT((D1677-'계산 과정'!$C$33)^2+(E1677-'계산 과정'!$D$33)^2+'계산 과정'!$E$33^2)),('계산 과정'!$L$23-'계산 과정'!$C$49*D1677-'계산 과정'!$D$49*E1677)/F1677,""),"")</x:f>
        <x:v>0.5929838826011488</x:v>
      </x:c>
      <x:c r="H1677" s="4" t="n">
        <x:f>IF(AND(ISNUMBER(G1677),G1677&gt;0),('계산 과정'!$D$56+'계산 과정'!$D$57*D1677+'계산 과정'!$D$58*E1677)/F1677,"")</x:f>
        <x:v>-14.560476309253456</x:v>
      </x:c>
      <x:c r="I1677" s="4" t="n">
        <x:f>IF(AND(ISNUMBER(G1677),G1677&gt;0),('계산 과정'!$E$56+'계산 과정'!$E$57*D1677+'계산 과정'!$E$58*E1677)/F1677,"")</x:f>
        <x:v>214.884931313873</x:v>
      </x:c>
      <x:c r="J1677" s="4" t="n">
        <x:f>IF('계산 과정'!$L$5,'계산 과정'!$D$6+'계산 과정'!$C$35*D1677+'계산 과정'!$D$35*E1677,"")</x:f>
        <x:v>659.1403789255405</x:v>
      </x:c>
      <x:c r="K1677" s="4" t="n">
        <x:f>IF(AND('계산 과정'!$L$6,J1677&gt;0),'계산 과정'!$D$10*('계산 과정'!$C$38*(D1677-'계산 과정'!$C$32)+'계산 과정'!$D$38*(E1677-'계산 과정'!$D$32)-'계산 과정'!$E$38*'계산 과정'!$E$32)/J1677,"")</x:f>
        <x:v>-0.11093696235621593</x:v>
      </x:c>
      <x:c r="L1677" s="4" t="n">
        <x:f>IF(AND('계산 과정'!$L$6,J1677&gt;0),'계산 과정'!$D$10*('계산 과정'!$C$39*(D1677-'계산 과정'!$C$32)+'계산 과정'!$D$39*(E1677-'계산 과정'!$D$32)-'계산 과정'!$E$39*'계산 과정'!$E$32)/J1677,"")</x:f>
        <x:v>1.6372185242961752</x:v>
      </x:c>
      <x:c r="M1677" s="17" t="n">
        <x:f>IF('계산 과정'!$L$6,IF(J1677&lt;=0,0,IF(AND(ABS(K1677)&lt;='계산 과정'!$D$11/2,ABS(L1677)&lt;='계산 과정'!$D$12/2),1,0)),"")</x:f>
        <x:v>1</x:v>
      </x:c>
      <x:c r="N1677" s="17" t="n">
        <x:f>IF('계산 과정'!$C$78,IF(AND(ISNUMBER(H1677),ISNUMBER(I1677),ABS(H1677-'계산 과정'!$C$88)&lt;='계산 과정'!$D$23/2,ABS(I1677-'계산 과정'!$C$89)&lt;='계산 과정'!$D$24/2),1,0),"")</x:f>
        <x:v>1</x:v>
      </x:c>
      <x:c r="O1677" s="4" t="n">
        <x:f>IF('계산 과정'!$L$7,'계산 과정'!$C$49*('계산 과정'!$C$32-D1677)+'계산 과정'!$D$49*('계산 과정'!$D$32-E1677)+'계산 과정'!$E$49*'계산 과정'!$E$32,"")</x:f>
        <x:v>-9.14037892554046</x:v>
      </x:c>
      <x:c r="P1677" s="4" t="n">
        <x:f>IF(AND('계산 과정'!$L$7,O1677&lt;&gt;0),('계산 과정'!$L$23-'계산 과정'!$C$49*D1677-'계산 과정'!$D$49*E1677)/O1677,"")</x:f>
        <x:v>-42.76186187230179</x:v>
      </x:c>
      <x:c r="Q1677" s="4" t="str">
        <x:f>IF(AND(ISNUMBER(P1677),P1677&gt;1E-9,P1677&lt;1-1E-9),'계산 과정'!$C$47*(D1677-'계산 과정'!$C$50+P1677*('계산 과정'!$C$32-D1677))+'계산 과정'!$D$47*(E1677-'계산 과정'!$D$50+P1677*('계산 과정'!$D$32-E1677))+'계산 과정'!$E$47*(0-'계산 과정'!$E$50+P1677*('계산 과정'!$E$32-0)),"")</x:f>
      </x:c>
      <x:c r="R1677" s="4" t="str">
        <x:f>IF(AND(ISNUMBER(P1677),P1677&gt;1E-9,P1677&lt;1-1E-9),'계산 과정'!$C$48*(D1677-'계산 과정'!$C$50+P1677*('계산 과정'!$C$32-D1677))+'계산 과정'!$D$48*(E1677-'계산 과정'!$D$50+P1677*('계산 과정'!$D$32-E1677))+'계산 과정'!$E$48*(0-'계산 과정'!$E$50+P1677*('계산 과정'!$E$32-0)),"")</x:f>
      </x:c>
      <x:c r="S1677" s="17" t="n">
        <x:f>IF('계산 과정'!$C$78,IF(AND(ISNUMBER(Q1677),ISNUMBER(R1677),ABS(Q1677-'계산 과정'!$C$88)&lt;='계산 과정'!$D$23/2,ABS(R1677-'계산 과정'!$C$89)&lt;='계산 과정'!$D$24/2),1,0),"")</x:f>
        <x:v>0</x:v>
      </x:c>
      <x:c r="T1677" s="4"/>
      <x:c r="U1677" s="4"/>
      <x:c r="V1677" s="4"/>
      <x:c r="W1677" s="4"/>
      <x:c r="X1677" s="4"/>
      <x:c r="Y1677" s="4"/>
      <x:c r="Z1677" s="4"/>
    </x:row>
    <x:row r="1678" ht="23" customHeight="1">
      <x:c r="A1678" s="17" t="n">
        <x:f>ROW()-6</x:f>
        <x:v>1672</x:v>
      </x:c>
      <x:c r="B1678" s="4" t="n">
        <x:f>IF('계산 과정'!$L$5,'계산 과정'!$L$11*SQRT((A1678+0.5)/'계산 과정'!$L$30),"")</x:f>
        <x:v>135.55306632113675</x:v>
      </x:c>
      <x:c r="C1678" s="4" t="n">
        <x:f>A1678*PI()*(3-SQRT(5))</x:f>
        <x:v>4012.738520106308</x:v>
      </x:c>
      <x:c r="D1678" s="4" t="n">
        <x:f>IF('계산 과정'!$L$5,B1678*COS(C1678),"")</x:f>
        <x:v>-81.61283806038728</x:v>
      </x:c>
      <x:c r="E1678" s="4" t="n">
        <x:f>IF('계산 과정'!$L$5,B1678*SIN(C1678),"")</x:f>
        <x:v>-108.23113439667672</x:v>
      </x:c>
      <x:c r="F1678" s="4" t="n">
        <x:f>IF('계산 과정'!$L$7,'계산 과정'!$L$22+'계산 과정'!$C$49*D1678+'계산 과정'!$D$49*E1678,"")</x:f>
        <x:v>707.7089912243794</x:v>
      </x:c>
      <x:c r="G1678" s="4" t="n">
        <x:f>IF('계산 과정'!$L$7,IF(ABS(F1678)&gt;=1E-12*MAX(1,SQRT((D1678-'계산 과정'!$C$33)^2+(E1678-'계산 과정'!$D$33)^2+'계산 과정'!$E$33^2)),('계산 과정'!$L$23-'계산 과정'!$C$49*D1678-'계산 과정'!$D$49*E1678)/F1678,""),"")</x:f>
        <x:v>0.48366067553195335</x:v>
      </x:c>
      <x:c r="H1678" s="4" t="n">
        <x:f>IF(AND(ISNUMBER(G1678),G1678&gt;0),('계산 과정'!$D$56+'계산 과정'!$D$57*D1678+'계산 과정'!$D$58*E1678)/F1678,"")</x:f>
        <x:v>-85.62056090423044</x:v>
      </x:c>
      <x:c r="I1678" s="4" t="n">
        <x:f>IF(AND(ISNUMBER(G1678),G1678&gt;0),('계산 과정'!$E$56+'계산 과정'!$E$57*D1678+'계산 과정'!$E$58*E1678)/F1678,"")</x:f>
        <x:v>-160.57827797256303</x:v>
      </x:c>
      <x:c r="J1678" s="4" t="n">
        <x:f>IF('계산 과정'!$L$5,'계산 과정'!$D$6+'계산 과정'!$C$35*D1678+'계산 과정'!$D$35*E1678,"")</x:f>
        <x:v>707.7089912243794</x:v>
      </x:c>
      <x:c r="K1678" s="4" t="n">
        <x:f>IF(AND('계산 과정'!$L$6,J1678&gt;0),'계산 과정'!$D$10*('계산 과정'!$C$38*(D1678-'계산 과정'!$C$32)+'계산 과정'!$D$38*(E1678-'계산 과정'!$D$32)-'계산 과정'!$E$38*'계산 과정'!$E$32)/J1678,"")</x:f>
        <x:v>-0.6523471306988978</x:v>
      </x:c>
      <x:c r="L1678" s="4" t="n">
        <x:f>IF(AND('계산 과정'!$L$6,J1678&gt;0),'계산 과정'!$D$10*('계산 과정'!$C$39*(D1678-'계산 과정'!$C$32)+'계산 과정'!$D$39*(E1678-'계산 과정'!$D$32)-'계산 과정'!$E$39*'계산 과정'!$E$32)/J1678,"")</x:f>
        <x:v>-1.223453546457623</x:v>
      </x:c>
      <x:c r="M1678" s="17" t="n">
        <x:f>IF('계산 과정'!$L$6,IF(J1678&lt;=0,0,IF(AND(ABS(K1678)&lt;='계산 과정'!$D$11/2,ABS(L1678)&lt;='계산 과정'!$D$12/2),1,0)),"")</x:f>
        <x:v>1</x:v>
      </x:c>
      <x:c r="N1678" s="17" t="n">
        <x:f>IF('계산 과정'!$C$78,IF(AND(ISNUMBER(H1678),ISNUMBER(I1678),ABS(H1678-'계산 과정'!$C$88)&lt;='계산 과정'!$D$23/2,ABS(I1678-'계산 과정'!$C$89)&lt;='계산 과정'!$D$24/2),1,0),"")</x:f>
        <x:v>1</x:v>
      </x:c>
      <x:c r="O1678" s="4" t="n">
        <x:f>IF('계산 과정'!$L$7,'계산 과정'!$C$49*('계산 과정'!$C$32-D1678)+'계산 과정'!$D$49*('계산 과정'!$D$32-E1678)+'계산 과정'!$E$49*'계산 과정'!$E$32,"")</x:f>
        <x:v>-57.708991224379304</x:v>
      </x:c>
      <x:c r="P1678" s="4" t="n">
        <x:f>IF(AND('계산 과정'!$L$7,O1678&lt;&gt;0),('계산 과정'!$L$23-'계산 과정'!$C$49*D1678-'계산 과정'!$D$49*E1678)/O1678,"")</x:f>
        <x:v>-5.9313289231612645</x:v>
      </x:c>
      <x:c r="Q1678" s="4" t="str">
        <x:f>IF(AND(ISNUMBER(P1678),P1678&gt;1E-9,P1678&lt;1-1E-9),'계산 과정'!$C$47*(D1678-'계산 과정'!$C$50+P1678*('계산 과정'!$C$32-D1678))+'계산 과정'!$D$47*(E1678-'계산 과정'!$D$50+P1678*('계산 과정'!$D$32-E1678))+'계산 과정'!$E$47*(0-'계산 과정'!$E$50+P1678*('계산 과정'!$E$32-0)),"")</x:f>
      </x:c>
      <x:c r="R1678" s="4" t="str">
        <x:f>IF(AND(ISNUMBER(P1678),P1678&gt;1E-9,P1678&lt;1-1E-9),'계산 과정'!$C$48*(D1678-'계산 과정'!$C$50+P1678*('계산 과정'!$C$32-D1678))+'계산 과정'!$D$48*(E1678-'계산 과정'!$D$50+P1678*('계산 과정'!$D$32-E1678))+'계산 과정'!$E$48*(0-'계산 과정'!$E$50+P1678*('계산 과정'!$E$32-0)),"")</x:f>
      </x:c>
      <x:c r="S1678" s="17" t="n">
        <x:f>IF('계산 과정'!$C$78,IF(AND(ISNUMBER(Q1678),ISNUMBER(R1678),ABS(Q1678-'계산 과정'!$C$88)&lt;='계산 과정'!$D$23/2,ABS(R1678-'계산 과정'!$C$89)&lt;='계산 과정'!$D$24/2),1,0),"")</x:f>
        <x:v>0</x:v>
      </x:c>
      <x:c r="T1678" s="4"/>
      <x:c r="U1678" s="4"/>
      <x:c r="V1678" s="4"/>
      <x:c r="W1678" s="4"/>
      <x:c r="X1678" s="4"/>
      <x:c r="Y1678" s="4"/>
      <x:c r="Z1678" s="4"/>
    </x:row>
    <x:row r="1679" ht="23" customHeight="1">
      <x:c r="A1679" s="17" t="n">
        <x:f>ROW()-6</x:f>
        <x:v>1673</x:v>
      </x:c>
      <x:c r="B1679" s="4" t="n">
        <x:f>IF('계산 과정'!$L$5,'계산 과정'!$L$11*SQRT((A1679+0.5)/'계산 과정'!$L$30),"")</x:f>
        <x:v>135.59358435113182</x:v>
      </x:c>
      <x:c r="C1679" s="4" t="n">
        <x:f>A1679*PI()*(3-SQRT(5))</x:f>
        <x:v>4015.138483336036</x:v>
      </x:c>
      <x:c r="D1679" s="4" t="n">
        <x:f>IF('계산 과정'!$L$5,B1679*COS(C1679),"")</x:f>
        <x:v>133.32768859503145</x:v>
      </x:c>
      <x:c r="E1679" s="4" t="n">
        <x:f>IF('계산 과정'!$L$5,B1679*SIN(C1679),"")</x:f>
        <x:v>24.684966499750818</x:v>
      </x:c>
      <x:c r="F1679" s="4" t="n">
        <x:f>IF('계산 과정'!$L$7,'계산 과정'!$L$22+'계산 과정'!$C$49*D1679+'계산 과정'!$D$49*E1679,"")</x:f>
        <x:v>555.7230872745249</x:v>
      </x:c>
      <x:c r="G1679" s="4" t="n">
        <x:f>IF('계산 과정'!$L$7,IF(ABS(F1679)&gt;=1E-12*MAX(1,SQRT((D1679-'계산 과정'!$C$33)^2+(E1679-'계산 과정'!$D$33)^2+'계산 과정'!$E$33^2)),('계산 과정'!$L$23-'계산 과정'!$C$49*D1679-'계산 과정'!$D$49*E1679)/F1679,""),"")</x:f>
        <x:v>0.8894302289105802</x:v>
      </x:c>
      <x:c r="H1679" s="4" t="n">
        <x:f>IF(AND(ISNUMBER(G1679),G1679&gt;0),('계산 과정'!$D$56+'계산 과정'!$D$57*D1679+'계산 과정'!$D$58*E1679)/F1679,"")</x:f>
        <x:v>178.12964879187703</x:v>
      </x:c>
      <x:c r="I1679" s="4" t="n">
        <x:f>IF(AND(ISNUMBER(G1679),G1679&gt;0),('계산 과정'!$E$56+'계산 과정'!$E$57*D1679+'계산 과정'!$E$58*E1679)/F1679,"")</x:f>
        <x:v>46.640521904274195</x:v>
      </x:c>
      <x:c r="J1679" s="4" t="n">
        <x:f>IF('계산 과정'!$L$5,'계산 과정'!$D$6+'계산 과정'!$C$35*D1679+'계산 과정'!$D$35*E1679,"")</x:f>
        <x:v>555.7230872745249</x:v>
      </x:c>
      <x:c r="K1679" s="4" t="n">
        <x:f>IF(AND('계산 과정'!$L$6,J1679&gt;0),'계산 과정'!$D$10*('계산 과정'!$C$38*(D1679-'계산 과정'!$C$32)+'계산 과정'!$D$38*(E1679-'계산 과정'!$D$32)-'계산 과정'!$E$38*'계산 과정'!$E$32)/J1679,"")</x:f>
        <x:v>1.3571782765095397</x:v>
      </x:c>
      <x:c r="L1679" s="4" t="n">
        <x:f>IF(AND('계산 과정'!$L$6,J1679&gt;0),'계산 과정'!$D$10*('계산 과정'!$C$39*(D1679-'계산 과정'!$C$32)+'계산 과정'!$D$39*(E1679-'계산 과정'!$D$32)-'계산 과정'!$E$39*'계산 과정'!$E$32)/J1679,"")</x:f>
        <x:v>0.3553563573658986</x:v>
      </x:c>
      <x:c r="M1679" s="17" t="n">
        <x:f>IF('계산 과정'!$L$6,IF(J1679&lt;=0,0,IF(AND(ABS(K1679)&lt;='계산 과정'!$D$11/2,ABS(L1679)&lt;='계산 과정'!$D$12/2),1,0)),"")</x:f>
        <x:v>1</x:v>
      </x:c>
      <x:c r="N1679" s="17" t="n">
        <x:f>IF('계산 과정'!$C$78,IF(AND(ISNUMBER(H1679),ISNUMBER(I1679),ABS(H1679-'계산 과정'!$C$88)&lt;='계산 과정'!$D$23/2,ABS(I1679-'계산 과정'!$C$89)&lt;='계산 과정'!$D$24/2),1,0),"")</x:f>
        <x:v>1</x:v>
      </x:c>
      <x:c r="O1679" s="4" t="n">
        <x:f>IF('계산 과정'!$L$7,'계산 과정'!$C$49*('계산 과정'!$C$32-D1679)+'계산 과정'!$D$49*('계산 과정'!$D$32-E1679)+'계산 과정'!$E$49*'계산 과정'!$E$32,"")</x:f>
        <x:v>94.27691272547514</x:v>
      </x:c>
      <x:c r="P1679" s="4" t="n">
        <x:f>IF(AND('계산 과정'!$L$7,O1679&lt;&gt;0),('계산 과정'!$L$23-'계산 과정'!$C$49*D1679-'계산 과정'!$D$49*E1679)/O1679,"")</x:f>
        <x:v>5.242820309196585</x:v>
      </x:c>
      <x:c r="Q1679" s="4" t="str">
        <x:f>IF(AND(ISNUMBER(P1679),P1679&gt;1E-9,P1679&lt;1-1E-9),'계산 과정'!$C$47*(D1679-'계산 과정'!$C$50+P1679*('계산 과정'!$C$32-D1679))+'계산 과정'!$D$47*(E1679-'계산 과정'!$D$50+P1679*('계산 과정'!$D$32-E1679))+'계산 과정'!$E$47*(0-'계산 과정'!$E$50+P1679*('계산 과정'!$E$32-0)),"")</x:f>
      </x:c>
      <x:c r="R1679" s="4" t="str">
        <x:f>IF(AND(ISNUMBER(P1679),P1679&gt;1E-9,P1679&lt;1-1E-9),'계산 과정'!$C$48*(D1679-'계산 과정'!$C$50+P1679*('계산 과정'!$C$32-D1679))+'계산 과정'!$D$48*(E1679-'계산 과정'!$D$50+P1679*('계산 과정'!$D$32-E1679))+'계산 과정'!$E$48*(0-'계산 과정'!$E$50+P1679*('계산 과정'!$E$32-0)),"")</x:f>
      </x:c>
      <x:c r="S1679" s="17" t="n">
        <x:f>IF('계산 과정'!$C$78,IF(AND(ISNUMBER(Q1679),ISNUMBER(R1679),ABS(Q1679-'계산 과정'!$C$88)&lt;='계산 과정'!$D$23/2,ABS(R1679-'계산 과정'!$C$89)&lt;='계산 과정'!$D$24/2),1,0),"")</x:f>
        <x:v>0</x:v>
      </x:c>
      <x:c r="T1679" s="4"/>
      <x:c r="U1679" s="4"/>
      <x:c r="V1679" s="4"/>
      <x:c r="W1679" s="4"/>
      <x:c r="X1679" s="4"/>
      <x:c r="Y1679" s="4"/>
      <x:c r="Z1679" s="4"/>
    </x:row>
    <x:row r="1680" ht="23" customHeight="1">
      <x:c r="A1680" s="17" t="n">
        <x:f>ROW()-6</x:f>
        <x:v>1674</x:v>
      </x:c>
      <x:c r="B1680" s="4" t="n">
        <x:f>IF('계산 과정'!$L$5,'계산 과정'!$L$11*SQRT((A1680+0.5)/'계산 과정'!$L$30),"")</x:f>
        <x:v>135.63409027715895</x:v>
      </x:c>
      <x:c r="C1680" s="4" t="n">
        <x:f>A1680*PI()*(3-SQRT(5))</x:f>
        <x:v>4017.538446565765</x:v>
      </x:c>
      <x:c r="D1680" s="4" t="n">
        <x:f>IF('계산 과정'!$L$5,B1680*COS(C1680),"")</x:f>
        <x:v>-115.0204932977565</x:v>
      </x:c>
      <x:c r="E1680" s="4" t="n">
        <x:f>IF('계산 과정'!$L$5,B1680*SIN(C1680),"")</x:f>
        <x:v>71.88110020619645</x:v>
      </x:c>
      <x:c r="F1680" s="4" t="n">
        <x:f>IF('계산 과정'!$L$7,'계산 과정'!$L$22+'계산 과정'!$C$49*D1680+'계산 과정'!$D$49*E1680,"")</x:f>
        <x:v>731.3317707862655</x:v>
      </x:c>
      <x:c r="G1680" s="4" t="n">
        <x:f>IF('계산 과정'!$L$7,IF(ABS(F1680)&gt;=1E-12*MAX(1,SQRT((D1680-'계산 과정'!$C$33)^2+(E1680-'계산 과정'!$D$33)^2+'계산 과정'!$E$33^2)),('계산 과정'!$L$23-'계산 과정'!$C$49*D1680-'계산 과정'!$D$49*E1680)/F1680,""),"")</x:f>
        <x:v>0.4357368870644437</x:v>
      </x:c>
      <x:c r="H1680" s="4" t="n">
        <x:f>IF(AND(ISNUMBER(G1680),G1680&gt;0),('계산 과정'!$D$56+'계산 과정'!$D$57*D1680+'계산 과정'!$D$58*E1680)/F1680,"")</x:f>
        <x:v>-116.77102340811176</x:v>
      </x:c>
      <x:c r="I1680" s="4" t="n">
        <x:f>IF(AND(ISNUMBER(G1680),G1680&gt;0),('계산 과정'!$E$56+'계산 과정'!$E$57*D1680+'계산 과정'!$E$58*E1680)/F1680,"")</x:f>
        <x:v>103.20234704881183</x:v>
      </x:c>
      <x:c r="J1680" s="4" t="n">
        <x:f>IF('계산 과정'!$L$5,'계산 과정'!$D$6+'계산 과정'!$C$35*D1680+'계산 과정'!$D$35*E1680,"")</x:f>
        <x:v>731.3317707862655</x:v>
      </x:c>
      <x:c r="K1680" s="4" t="n">
        <x:f>IF(AND('계산 과정'!$L$6,J1680&gt;0),'계산 과정'!$D$10*('계산 과정'!$C$38*(D1680-'계산 과정'!$C$32)+'계산 과정'!$D$38*(E1680-'계산 과정'!$D$32)-'계산 과정'!$E$38*'계산 과정'!$E$32)/J1680,"")</x:f>
        <x:v>-0.8896839878713266</x:v>
      </x:c>
      <x:c r="L1680" s="4" t="n">
        <x:f>IF(AND('계산 과정'!$L$6,J1680&gt;0),'계산 과정'!$D$10*('계산 과정'!$C$39*(D1680-'계산 과정'!$C$32)+'계산 과정'!$D$39*(E1680-'계산 과정'!$D$32)-'계산 과정'!$E$39*'계산 과정'!$E$32)/J1680,"")</x:f>
        <x:v>0.7863035965623758</x:v>
      </x:c>
      <x:c r="M1680" s="17" t="n">
        <x:f>IF('계산 과정'!$L$6,IF(J1680&lt;=0,0,IF(AND(ABS(K1680)&lt;='계산 과정'!$D$11/2,ABS(L1680)&lt;='계산 과정'!$D$12/2),1,0)),"")</x:f>
        <x:v>1</x:v>
      </x:c>
      <x:c r="N1680" s="17" t="n">
        <x:f>IF('계산 과정'!$C$78,IF(AND(ISNUMBER(H1680),ISNUMBER(I1680),ABS(H1680-'계산 과정'!$C$88)&lt;='계산 과정'!$D$23/2,ABS(I1680-'계산 과정'!$C$89)&lt;='계산 과정'!$D$24/2),1,0),"")</x:f>
        <x:v>1</x:v>
      </x:c>
      <x:c r="O1680" s="4" t="n">
        <x:f>IF('계산 과정'!$L$7,'계산 과정'!$C$49*('계산 과정'!$C$32-D1680)+'계산 과정'!$D$49*('계산 과정'!$D$32-E1680)+'계산 과정'!$E$49*'계산 과정'!$E$32,"")</x:f>
        <x:v>-81.33177078626534</x:v>
      </x:c>
      <x:c r="P1680" s="4" t="n">
        <x:f>IF(AND('계산 과정'!$L$7,O1680&lt;&gt;0),('계산 과정'!$L$23-'계산 과정'!$C$49*D1680-'계산 과정'!$D$49*E1680)/O1680,"")</x:f>
        <x:v>-3.918127272196915</x:v>
      </x:c>
      <x:c r="Q1680" s="4" t="str">
        <x:f>IF(AND(ISNUMBER(P1680),P1680&gt;1E-9,P1680&lt;1-1E-9),'계산 과정'!$C$47*(D1680-'계산 과정'!$C$50+P1680*('계산 과정'!$C$32-D1680))+'계산 과정'!$D$47*(E1680-'계산 과정'!$D$50+P1680*('계산 과정'!$D$32-E1680))+'계산 과정'!$E$47*(0-'계산 과정'!$E$50+P1680*('계산 과정'!$E$32-0)),"")</x:f>
      </x:c>
      <x:c r="R1680" s="4" t="str">
        <x:f>IF(AND(ISNUMBER(P1680),P1680&gt;1E-9,P1680&lt;1-1E-9),'계산 과정'!$C$48*(D1680-'계산 과정'!$C$50+P1680*('계산 과정'!$C$32-D1680))+'계산 과정'!$D$48*(E1680-'계산 과정'!$D$50+P1680*('계산 과정'!$D$32-E1680))+'계산 과정'!$E$48*(0-'계산 과정'!$E$50+P1680*('계산 과정'!$E$32-0)),"")</x:f>
      </x:c>
      <x:c r="S1680" s="17" t="n">
        <x:f>IF('계산 과정'!$C$78,IF(AND(ISNUMBER(Q1680),ISNUMBER(R1680),ABS(Q1680-'계산 과정'!$C$88)&lt;='계산 과정'!$D$23/2,ABS(R1680-'계산 과정'!$C$89)&lt;='계산 과정'!$D$24/2),1,0),"")</x:f>
        <x:v>0</x:v>
      </x:c>
      <x:c r="T1680" s="4"/>
      <x:c r="U1680" s="4"/>
      <x:c r="V1680" s="4"/>
      <x:c r="W1680" s="4"/>
      <x:c r="X1680" s="4"/>
      <x:c r="Y1680" s="4"/>
      <x:c r="Z1680" s="4"/>
    </x:row>
    <x:row r="1681" ht="23" customHeight="1">
      <x:c r="A1681" s="17" t="n">
        <x:f>ROW()-6</x:f>
        <x:v>1675</x:v>
      </x:c>
      <x:c r="B1681" s="4" t="n">
        <x:f>IF('계산 과정'!$L$5,'계산 과정'!$L$11*SQRT((A1681+0.5)/'계산 과정'!$L$30),"")</x:f>
        <x:v>135.6745841100591</x:v>
      </x:c>
      <x:c r="C1681" s="4" t="n">
        <x:f>A1681*PI()*(3-SQRT(5))</x:f>
        <x:v>4019.938409795494</x:v>
      </x:c>
      <x:c r="D1681" s="4" t="n">
        <x:f>IF('계산 과정'!$L$5,B1681*COS(C1681),"")</x:f>
        <x:v>36.26837133302272</x:v>
      </x:c>
      <x:c r="E1681" s="4" t="n">
        <x:f>IF('계산 과정'!$L$5,B1681*SIN(C1681),"")</x:f>
        <x:v>-130.73713326475945</x:v>
      </x:c>
      <x:c r="F1681" s="4" t="n">
        <x:f>IF('계산 과정'!$L$7,'계산 과정'!$L$22+'계산 과정'!$C$49*D1681+'계산 과정'!$D$49*E1681,"")</x:f>
        <x:v>624.3543886878278</x:v>
      </x:c>
      <x:c r="G1681" s="4" t="n">
        <x:f>IF('계산 과정'!$L$7,IF(ABS(F1681)&gt;=1E-12*MAX(1,SQRT((D1681-'계산 과정'!$C$33)^2+(E1681-'계산 과정'!$D$33)^2+'계산 과정'!$E$33^2)),('계산 과정'!$L$23-'계산 과정'!$C$49*D1681-'계산 과정'!$D$49*E1681)/F1681,""),"")</x:f>
        <x:v>0.6817371976942914</x:v>
      </x:c>
      <x:c r="H1681" s="4" t="n">
        <x:f>IF(AND(ISNUMBER(G1681),G1681&gt;0),('계산 과정'!$D$56+'계산 과정'!$D$57*D1681+'계산 과정'!$D$58*E1681)/F1681,"")</x:f>
        <x:v>43.1291785012893</x:v>
      </x:c>
      <x:c r="I1681" s="4" t="n">
        <x:f>IF(AND(ISNUMBER(G1681),G1681&gt;0),('계산 과정'!$E$56+'계산 과정'!$E$57*D1681+'계산 과정'!$E$58*E1681)/F1681,"")</x:f>
        <x:v>-219.8655001312617</x:v>
      </x:c>
      <x:c r="J1681" s="4" t="n">
        <x:f>IF('계산 과정'!$L$5,'계산 과정'!$D$6+'계산 과정'!$C$35*D1681+'계산 과정'!$D$35*E1681,"")</x:f>
        <x:v>624.3543886878278</x:v>
      </x:c>
      <x:c r="K1681" s="4" t="n">
        <x:f>IF(AND('계산 과정'!$L$6,J1681&gt;0),'계산 과정'!$D$10*('계산 과정'!$C$38*(D1681-'계산 과정'!$C$32)+'계산 과정'!$D$38*(E1681-'계산 과정'!$D$32)-'계산 과정'!$E$38*'계산 과정'!$E$32)/J1681,"")</x:f>
        <x:v>0.32860326477172885</x:v>
      </x:c>
      <x:c r="L1681" s="4" t="n">
        <x:f>IF(AND('계산 과정'!$L$6,J1681&gt;0),'계산 과정'!$D$10*('계산 과정'!$C$39*(D1681-'계산 과정'!$C$32)+'계산 과정'!$D$39*(E1681-'계산 과정'!$D$32)-'계산 과정'!$E$39*'계산 과정'!$E$32)/J1681,"")</x:f>
        <x:v>-1.6751657152858033</x:v>
      </x:c>
      <x:c r="M1681" s="17" t="n">
        <x:f>IF('계산 과정'!$L$6,IF(J1681&lt;=0,0,IF(AND(ABS(K1681)&lt;='계산 과정'!$D$11/2,ABS(L1681)&lt;='계산 과정'!$D$12/2),1,0)),"")</x:f>
        <x:v>1</x:v>
      </x:c>
      <x:c r="N1681" s="17" t="n">
        <x:f>IF('계산 과정'!$C$78,IF(AND(ISNUMBER(H1681),ISNUMBER(I1681),ABS(H1681-'계산 과정'!$C$88)&lt;='계산 과정'!$D$23/2,ABS(I1681-'계산 과정'!$C$89)&lt;='계산 과정'!$D$24/2),1,0),"")</x:f>
        <x:v>1</x:v>
      </x:c>
      <x:c r="O1681" s="4" t="n">
        <x:f>IF('계산 과정'!$L$7,'계산 과정'!$C$49*('계산 과정'!$C$32-D1681)+'계산 과정'!$D$49*('계산 과정'!$D$32-E1681)+'계산 과정'!$E$49*'계산 과정'!$E$32,"")</x:f>
        <x:v>25.645611312172264</x:v>
      </x:c>
      <x:c r="P1681" s="4" t="n">
        <x:f>IF(AND('계산 과정'!$L$7,O1681&lt;&gt;0),('계산 과정'!$L$23-'계산 과정'!$C$49*D1681-'계산 과정'!$D$49*E1681)/O1681,"")</x:f>
        <x:v>16.59721057653816</x:v>
      </x:c>
      <x:c r="Q1681" s="4" t="str">
        <x:f>IF(AND(ISNUMBER(P1681),P1681&gt;1E-9,P1681&lt;1-1E-9),'계산 과정'!$C$47*(D1681-'계산 과정'!$C$50+P1681*('계산 과정'!$C$32-D1681))+'계산 과정'!$D$47*(E1681-'계산 과정'!$D$50+P1681*('계산 과정'!$D$32-E1681))+'계산 과정'!$E$47*(0-'계산 과정'!$E$50+P1681*('계산 과정'!$E$32-0)),"")</x:f>
      </x:c>
      <x:c r="R1681" s="4" t="str">
        <x:f>IF(AND(ISNUMBER(P1681),P1681&gt;1E-9,P1681&lt;1-1E-9),'계산 과정'!$C$48*(D1681-'계산 과정'!$C$50+P1681*('계산 과정'!$C$32-D1681))+'계산 과정'!$D$48*(E1681-'계산 과정'!$D$50+P1681*('계산 과정'!$D$32-E1681))+'계산 과정'!$E$48*(0-'계산 과정'!$E$50+P1681*('계산 과정'!$E$32-0)),"")</x:f>
      </x:c>
      <x:c r="S1681" s="17" t="n">
        <x:f>IF('계산 과정'!$C$78,IF(AND(ISNUMBER(Q1681),ISNUMBER(R1681),ABS(Q1681-'계산 과정'!$C$88)&lt;='계산 과정'!$D$23/2,ABS(R1681-'계산 과정'!$C$89)&lt;='계산 과정'!$D$24/2),1,0),"")</x:f>
        <x:v>0</x:v>
      </x:c>
      <x:c r="T1681" s="4"/>
      <x:c r="U1681" s="4"/>
      <x:c r="V1681" s="4"/>
      <x:c r="W1681" s="4"/>
      <x:c r="X1681" s="4"/>
      <x:c r="Y1681" s="4"/>
      <x:c r="Z1681" s="4"/>
    </x:row>
    <x:row r="1682" ht="23" customHeight="1">
      <x:c r="A1682" s="17" t="n">
        <x:f>ROW()-6</x:f>
        <x:v>1676</x:v>
      </x:c>
      <x:c r="B1682" s="4" t="n">
        <x:f>IF('계산 과정'!$L$5,'계산 과정'!$L$11*SQRT((A1682+0.5)/'계산 과정'!$L$30),"")</x:f>
        <x:v>135.71506586065712</x:v>
      </x:c>
      <x:c r="C1682" s="4" t="n">
        <x:f>A1682*PI()*(3-SQRT(5))</x:f>
        <x:v>4022.338373025222</x:v>
      </x:c>
      <x:c r="D1682" s="4" t="n">
        <x:f>IF('계산 과정'!$L$5,B1682*COS(C1682),"")</x:f>
        <x:v>61.5868667708834</x:v>
      </x:c>
      <x:c r="E1682" s="4" t="n">
        <x:f>IF('계산 과정'!$L$5,B1682*SIN(C1682),"")</x:f>
        <x:v>120.93649963062417</x:v>
      </x:c>
      <x:c r="F1682" s="4" t="n">
        <x:f>IF('계산 과정'!$L$7,'계산 과정'!$L$22+'계산 과정'!$C$49*D1682+'계산 과정'!$D$49*E1682,"")</x:f>
        <x:v>606.4515088742759</x:v>
      </x:c>
      <x:c r="G1682" s="4" t="n">
        <x:f>IF('계산 과정'!$L$7,IF(ABS(F1682)&gt;=1E-12*MAX(1,SQRT((D1682-'계산 과정'!$C$33)^2+(E1682-'계산 과정'!$D$33)^2+'계산 과정'!$E$33^2)),('계산 과정'!$L$23-'계산 과정'!$C$49*D1682-'계산 과정'!$D$49*E1682)/F1682,""),"")</x:f>
        <x:v>0.7313832757198674</x:v>
      </x:c>
      <x:c r="H1682" s="4" t="n">
        <x:f>IF(AND(ISNUMBER(G1682),G1682&gt;0),('계산 과정'!$D$56+'계산 과정'!$D$57*D1682+'계산 과정'!$D$58*E1682)/F1682,"")</x:f>
        <x:v>75.39912921791367</x:v>
      </x:c>
      <x:c r="I1682" s="4" t="n">
        <x:f>IF(AND(ISNUMBER(G1682),G1682&gt;0),('계산 과정'!$E$56+'계산 과정'!$E$57*D1682+'계산 과정'!$E$58*E1682)/F1682,"")</x:f>
        <x:v>209.38743288456462</x:v>
      </x:c>
      <x:c r="J1682" s="4" t="n">
        <x:f>IF('계산 과정'!$L$5,'계산 과정'!$D$6+'계산 과정'!$C$35*D1682+'계산 과정'!$D$35*E1682,"")</x:f>
        <x:v>606.4515088742759</x:v>
      </x:c>
      <x:c r="K1682" s="4" t="n">
        <x:f>IF(AND('계산 과정'!$L$6,J1682&gt;0),'계산 과정'!$D$10*('계산 과정'!$C$38*(D1682-'계산 과정'!$C$32)+'계산 과정'!$D$38*(E1682-'계산 과정'!$D$32)-'계산 과정'!$E$38*'계산 과정'!$E$32)/J1682,"")</x:f>
        <x:v>0.5744695559460092</x:v>
      </x:c>
      <x:c r="L1682" s="4" t="n">
        <x:f>IF(AND('계산 과정'!$L$6,J1682&gt;0),'계산 과정'!$D$10*('계산 과정'!$C$39*(D1682-'계산 과정'!$C$32)+'계산 과정'!$D$39*(E1682-'계산 과정'!$D$32)-'계산 과정'!$E$39*'계산 과정'!$E$32)/J1682,"")</x:f>
        <x:v>1.595332821977635</x:v>
      </x:c>
      <x:c r="M1682" s="17" t="n">
        <x:f>IF('계산 과정'!$L$6,IF(J1682&lt;=0,0,IF(AND(ABS(K1682)&lt;='계산 과정'!$D$11/2,ABS(L1682)&lt;='계산 과정'!$D$12/2),1,0)),"")</x:f>
        <x:v>1</x:v>
      </x:c>
      <x:c r="N1682" s="17" t="n">
        <x:f>IF('계산 과정'!$C$78,IF(AND(ISNUMBER(H1682),ISNUMBER(I1682),ABS(H1682-'계산 과정'!$C$88)&lt;='계산 과정'!$D$23/2,ABS(I1682-'계산 과정'!$C$89)&lt;='계산 과정'!$D$24/2),1,0),"")</x:f>
        <x:v>1</x:v>
      </x:c>
      <x:c r="O1682" s="4" t="n">
        <x:f>IF('계산 과정'!$L$7,'계산 과정'!$C$49*('계산 과정'!$C$32-D1682)+'계산 과정'!$D$49*('계산 과정'!$D$32-E1682)+'계산 과정'!$E$49*'계산 과정'!$E$32,"")</x:f>
        <x:v>43.54849112572418</x:v>
      </x:c>
      <x:c r="P1682" s="4" t="n">
        <x:f>IF(AND('계산 과정'!$L$7,O1682&lt;&gt;0),('계산 과정'!$L$23-'계산 과정'!$C$49*D1682-'계산 과정'!$D$49*E1682)/O1682,"")</x:f>
        <x:v>10.185163243548503</x:v>
      </x:c>
      <x:c r="Q1682" s="4" t="str">
        <x:f>IF(AND(ISNUMBER(P1682),P1682&gt;1E-9,P1682&lt;1-1E-9),'계산 과정'!$C$47*(D1682-'계산 과정'!$C$50+P1682*('계산 과정'!$C$32-D1682))+'계산 과정'!$D$47*(E1682-'계산 과정'!$D$50+P1682*('계산 과정'!$D$32-E1682))+'계산 과정'!$E$47*(0-'계산 과정'!$E$50+P1682*('계산 과정'!$E$32-0)),"")</x:f>
      </x:c>
      <x:c r="R1682" s="4" t="str">
        <x:f>IF(AND(ISNUMBER(P1682),P1682&gt;1E-9,P1682&lt;1-1E-9),'계산 과정'!$C$48*(D1682-'계산 과정'!$C$50+P1682*('계산 과정'!$C$32-D1682))+'계산 과정'!$D$48*(E1682-'계산 과정'!$D$50+P1682*('계산 과정'!$D$32-E1682))+'계산 과정'!$E$48*(0-'계산 과정'!$E$50+P1682*('계산 과정'!$E$32-0)),"")</x:f>
      </x:c>
      <x:c r="S1682" s="17" t="n">
        <x:f>IF('계산 과정'!$C$78,IF(AND(ISNUMBER(Q1682),ISNUMBER(R1682),ABS(Q1682-'계산 과정'!$C$88)&lt;='계산 과정'!$D$23/2,ABS(R1682-'계산 과정'!$C$89)&lt;='계산 과정'!$D$24/2),1,0),"")</x:f>
        <x:v>0</x:v>
      </x:c>
      <x:c r="T1682" s="4"/>
      <x:c r="U1682" s="4"/>
      <x:c r="V1682" s="4"/>
      <x:c r="W1682" s="4"/>
      <x:c r="X1682" s="4"/>
      <x:c r="Y1682" s="4"/>
      <x:c r="Z1682" s="4"/>
    </x:row>
    <x:row r="1683" ht="23" customHeight="1">
      <x:c r="A1683" s="17" t="n">
        <x:f>ROW()-6</x:f>
        <x:v>1677</x:v>
      </x:c>
      <x:c r="B1683" s="4" t="n">
        <x:f>IF('계산 과정'!$L$5,'계산 과정'!$L$11*SQRT((A1683+0.5)/'계산 과정'!$L$30),"")</x:f>
        <x:v>135.7555355397617</x:v>
      </x:c>
      <x:c r="C1683" s="4" t="n">
        <x:f>A1683*PI()*(3-SQRT(5))</x:f>
        <x:v>4024.7383362549513</x:v>
      </x:c>
      <x:c r="D1683" s="4" t="n">
        <x:f>IF('계산 과정'!$L$5,B1683*COS(C1683),"")</x:f>
        <x:v>-127.14157237378659</x:v>
      </x:c>
      <x:c r="E1683" s="4" t="n">
        <x:f>IF('계산 과정'!$L$5,B1683*SIN(C1683),"")</x:f>
        <x:v>-47.587666511488976</x:v>
      </x:c>
      <x:c r="F1683" s="4" t="n">
        <x:f>IF('계산 과정'!$L$7,'계산 과정'!$L$22+'계산 과정'!$C$49*D1683+'계산 과정'!$D$49*E1683,"")</x:f>
        <x:v>739.9026679962247</x:v>
      </x:c>
      <x:c r="G1683" s="4" t="n">
        <x:f>IF('계산 과정'!$L$7,IF(ABS(F1683)&gt;=1E-12*MAX(1,SQRT((D1683-'계산 과정'!$C$33)^2+(E1683-'계산 과정'!$D$33)^2+'계산 과정'!$E$33^2)),('계산 과정'!$L$23-'계산 과정'!$C$49*D1683-'계산 과정'!$D$49*E1683)/F1683,""),"")</x:f>
        <x:v>0.4191055734986991</x:v>
      </x:c>
      <x:c r="H1683" s="4" t="n">
        <x:f>IF(AND(ISNUMBER(G1683),G1683&gt;0),('계산 과정'!$D$56+'계산 과정'!$D$57*D1683+'계산 과정'!$D$58*E1683)/F1683,"")</x:f>
        <x:v>-127.58137722584573</x:v>
      </x:c>
      <x:c r="I1683" s="4" t="n">
        <x:f>IF(AND(ISNUMBER(G1683),G1683&gt;0),('계산 과정'!$E$56+'계산 과정'!$E$57*D1683+'계산 과정'!$E$58*E1683)/F1683,"")</x:f>
        <x:v>-67.53192277625139</x:v>
      </x:c>
      <x:c r="J1683" s="4" t="n">
        <x:f>IF('계산 과정'!$L$5,'계산 과정'!$D$6+'계산 과정'!$C$35*D1683+'계산 과정'!$D$35*E1683,"")</x:f>
        <x:v>739.9026679962247</x:v>
      </x:c>
      <x:c r="K1683" s="4" t="n">
        <x:f>IF(AND('계산 과정'!$L$6,J1683&gt;0),'계산 과정'!$D$10*('계산 과정'!$C$38*(D1683-'계산 과정'!$C$32)+'계산 과정'!$D$38*(E1683-'계산 과정'!$D$32)-'계산 과정'!$E$38*'계산 과정'!$E$32)/J1683,"")</x:f>
        <x:v>-0.9720485883873955</x:v>
      </x:c>
      <x:c r="L1683" s="4" t="n">
        <x:f>IF(AND('계산 과정'!$L$6,J1683&gt;0),'계산 과정'!$D$10*('계산 과정'!$C$39*(D1683-'계산 과정'!$C$32)+'계산 과정'!$D$39*(E1683-'계산 과정'!$D$32)-'계산 과정'!$E$39*'계산 과정'!$E$32)/J1683,"")</x:f>
        <x:v>-0.5145289354381058</x:v>
      </x:c>
      <x:c r="M1683" s="17" t="n">
        <x:f>IF('계산 과정'!$L$6,IF(J1683&lt;=0,0,IF(AND(ABS(K1683)&lt;='계산 과정'!$D$11/2,ABS(L1683)&lt;='계산 과정'!$D$12/2),1,0)),"")</x:f>
        <x:v>1</x:v>
      </x:c>
      <x:c r="N1683" s="17" t="n">
        <x:f>IF('계산 과정'!$C$78,IF(AND(ISNUMBER(H1683),ISNUMBER(I1683),ABS(H1683-'계산 과정'!$C$88)&lt;='계산 과정'!$D$23/2,ABS(I1683-'계산 과정'!$C$89)&lt;='계산 과정'!$D$24/2),1,0),"")</x:f>
        <x:v>1</x:v>
      </x:c>
      <x:c r="O1683" s="4" t="n">
        <x:f>IF('계산 과정'!$L$7,'계산 과정'!$C$49*('계산 과정'!$C$32-D1683)+'계산 과정'!$D$49*('계산 과정'!$D$32-E1683)+'계산 과정'!$E$49*'계산 과정'!$E$32,"")</x:f>
        <x:v>-89.90266799622464</x:v>
      </x:c>
      <x:c r="P1683" s="4" t="n">
        <x:f>IF(AND('계산 과정'!$L$7,O1683&lt;&gt;0),('계산 과정'!$L$23-'계산 과정'!$C$49*D1683-'계산 과정'!$D$49*E1683)/O1683,"")</x:f>
        <x:v>-3.449256166867011</x:v>
      </x:c>
      <x:c r="Q1683" s="4" t="str">
        <x:f>IF(AND(ISNUMBER(P1683),P1683&gt;1E-9,P1683&lt;1-1E-9),'계산 과정'!$C$47*(D1683-'계산 과정'!$C$50+P1683*('계산 과정'!$C$32-D1683))+'계산 과정'!$D$47*(E1683-'계산 과정'!$D$50+P1683*('계산 과정'!$D$32-E1683))+'계산 과정'!$E$47*(0-'계산 과정'!$E$50+P1683*('계산 과정'!$E$32-0)),"")</x:f>
      </x:c>
      <x:c r="R1683" s="4" t="str">
        <x:f>IF(AND(ISNUMBER(P1683),P1683&gt;1E-9,P1683&lt;1-1E-9),'계산 과정'!$C$48*(D1683-'계산 과정'!$C$50+P1683*('계산 과정'!$C$32-D1683))+'계산 과정'!$D$48*(E1683-'계산 과정'!$D$50+P1683*('계산 과정'!$D$32-E1683))+'계산 과정'!$E$48*(0-'계산 과정'!$E$50+P1683*('계산 과정'!$E$32-0)),"")</x:f>
      </x:c>
      <x:c r="S1683" s="17" t="n">
        <x:f>IF('계산 과정'!$C$78,IF(AND(ISNUMBER(Q1683),ISNUMBER(R1683),ABS(Q1683-'계산 과정'!$C$88)&lt;='계산 과정'!$D$23/2,ABS(R1683-'계산 과정'!$C$89)&lt;='계산 과정'!$D$24/2),1,0),"")</x:f>
        <x:v>0</x:v>
      </x:c>
      <x:c r="T1683" s="4"/>
      <x:c r="U1683" s="4"/>
      <x:c r="V1683" s="4"/>
      <x:c r="W1683" s="4"/>
      <x:c r="X1683" s="4"/>
      <x:c r="Y1683" s="4"/>
      <x:c r="Z1683" s="4"/>
    </x:row>
    <x:row r="1684" ht="23" customHeight="1">
      <x:c r="A1684" s="17" t="n">
        <x:f>ROW()-6</x:f>
        <x:v>1678</x:v>
      </x:c>
      <x:c r="B1684" s="4" t="n">
        <x:f>IF('계산 과정'!$L$5,'계산 과정'!$L$11*SQRT((A1684+0.5)/'계산 과정'!$L$30),"")</x:f>
        <x:v>135.7959931581654</x:v>
      </x:c>
      <x:c r="C1684" s="4" t="n">
        <x:f>A1684*PI()*(3-SQRT(5))</x:f>
        <x:v>4027.1382994846795</x:v>
      </x:c>
      <x:c r="D1684" s="4" t="n">
        <x:f>IF('계산 과정'!$L$5,B1684*COS(C1684),"")</x:f>
        <x:v>125.93276450604996</x:v>
      </x:c>
      <x:c r="E1684" s="4" t="n">
        <x:f>IF('계산 과정'!$L$5,B1684*SIN(C1684),"")</x:f>
        <x:v>-50.80837117716202</x:v>
      </x:c>
      <x:c r="F1684" s="4" t="n">
        <x:f>IF('계산 과정'!$L$7,'계산 과정'!$L$22+'계산 과정'!$C$49*D1684+'계산 과정'!$D$49*E1684,"")</x:f>
        <x:v>560.9520882442035</x:v>
      </x:c>
      <x:c r="G1684" s="4" t="n">
        <x:f>IF('계산 과정'!$L$7,IF(ABS(F1684)&gt;=1E-12*MAX(1,SQRT((D1684-'계산 과정'!$C$33)^2+(E1684-'계산 과정'!$D$33)^2+'계산 과정'!$E$33^2)),('계산 과정'!$L$23-'계산 과정'!$C$49*D1684-'계산 과정'!$D$49*E1684)/F1684,""),"")</x:f>
        <x:v>0.8718176150953119</x:v>
      </x:c>
      <x:c r="H1684" s="4" t="n">
        <x:f>IF(AND(ISNUMBER(G1684),G1684&gt;0),('계산 과정'!$D$56+'계산 과정'!$D$57*D1684+'계산 과정'!$D$58*E1684)/F1684,"")</x:f>
        <x:v>166.6814498119527</x:v>
      </x:c>
      <x:c r="I1684" s="4" t="n">
        <x:f>IF(AND(ISNUMBER(G1684),G1684&gt;0),('계산 과정'!$E$56+'계산 과정'!$E$57*D1684+'계산 과정'!$E$58*E1684)/F1684,"")</x:f>
        <x:v>-95.1040041637128</x:v>
      </x:c>
      <x:c r="J1684" s="4" t="n">
        <x:f>IF('계산 과정'!$L$5,'계산 과정'!$D$6+'계산 과정'!$C$35*D1684+'계산 과정'!$D$35*E1684,"")</x:f>
        <x:v>560.9520882442035</x:v>
      </x:c>
      <x:c r="K1684" s="4" t="n">
        <x:f>IF(AND('계산 과정'!$L$6,J1684&gt;0),'계산 과정'!$D$10*('계산 과정'!$C$38*(D1684-'계산 과정'!$C$32)+'계산 과정'!$D$38*(E1684-'계산 과정'!$D$32)-'계산 과정'!$E$38*'계산 과정'!$E$32)/J1684,"")</x:f>
        <x:v>1.2699539033291645</x:v>
      </x:c>
      <x:c r="L1684" s="4" t="n">
        <x:f>IF(AND('계산 과정'!$L$6,J1684&gt;0),'계산 과정'!$D$10*('계산 과정'!$C$39*(D1684-'계산 과정'!$C$32)+'계산 과정'!$D$39*(E1684-'계산 과정'!$D$32)-'계산 과정'!$E$39*'계산 과정'!$E$32)/J1684,"")</x:f>
        <x:v>-0.7246019364854309</x:v>
      </x:c>
      <x:c r="M1684" s="17" t="n">
        <x:f>IF('계산 과정'!$L$6,IF(J1684&lt;=0,0,IF(AND(ABS(K1684)&lt;='계산 과정'!$D$11/2,ABS(L1684)&lt;='계산 과정'!$D$12/2),1,0)),"")</x:f>
        <x:v>1</x:v>
      </x:c>
      <x:c r="N1684" s="17" t="n">
        <x:f>IF('계산 과정'!$C$78,IF(AND(ISNUMBER(H1684),ISNUMBER(I1684),ABS(H1684-'계산 과정'!$C$88)&lt;='계산 과정'!$D$23/2,ABS(I1684-'계산 과정'!$C$89)&lt;='계산 과정'!$D$24/2),1,0),"")</x:f>
        <x:v>1</x:v>
      </x:c>
      <x:c r="O1684" s="4" t="n">
        <x:f>IF('계산 과정'!$L$7,'계산 과정'!$C$49*('계산 과정'!$C$32-D1684)+'계산 과정'!$D$49*('계산 과정'!$D$32-E1684)+'계산 과정'!$E$49*'계산 과정'!$E$32,"")</x:f>
        <x:v>89.0479117557966</x:v>
      </x:c>
      <x:c r="P1684" s="4" t="n">
        <x:f>IF(AND('계산 과정'!$L$7,O1684&lt;&gt;0),('계산 과정'!$L$23-'계산 과정'!$C$49*D1684-'계산 과정'!$D$49*E1684)/O1684,"")</x:f>
        <x:v>5.491963844103977</x:v>
      </x:c>
      <x:c r="Q1684" s="4" t="str">
        <x:f>IF(AND(ISNUMBER(P1684),P1684&gt;1E-9,P1684&lt;1-1E-9),'계산 과정'!$C$47*(D1684-'계산 과정'!$C$50+P1684*('계산 과정'!$C$32-D1684))+'계산 과정'!$D$47*(E1684-'계산 과정'!$D$50+P1684*('계산 과정'!$D$32-E1684))+'계산 과정'!$E$47*(0-'계산 과정'!$E$50+P1684*('계산 과정'!$E$32-0)),"")</x:f>
      </x:c>
      <x:c r="R1684" s="4" t="str">
        <x:f>IF(AND(ISNUMBER(P1684),P1684&gt;1E-9,P1684&lt;1-1E-9),'계산 과정'!$C$48*(D1684-'계산 과정'!$C$50+P1684*('계산 과정'!$C$32-D1684))+'계산 과정'!$D$48*(E1684-'계산 과정'!$D$50+P1684*('계산 과정'!$D$32-E1684))+'계산 과정'!$E$48*(0-'계산 과정'!$E$50+P1684*('계산 과정'!$E$32-0)),"")</x:f>
      </x:c>
      <x:c r="S1684" s="17" t="n">
        <x:f>IF('계산 과정'!$C$78,IF(AND(ISNUMBER(Q1684),ISNUMBER(R1684),ABS(Q1684-'계산 과정'!$C$88)&lt;='계산 과정'!$D$23/2,ABS(R1684-'계산 과정'!$C$89)&lt;='계산 과정'!$D$24/2),1,0),"")</x:f>
        <x:v>0</x:v>
      </x:c>
      <x:c r="T1684" s="4"/>
      <x:c r="U1684" s="4"/>
      <x:c r="V1684" s="4"/>
      <x:c r="W1684" s="4"/>
      <x:c r="X1684" s="4"/>
      <x:c r="Y1684" s="4"/>
      <x:c r="Z1684" s="4"/>
    </x:row>
    <x:row r="1685" ht="23" customHeight="1">
      <x:c r="A1685" s="17" t="n">
        <x:f>ROW()-6</x:f>
        <x:v>1679</x:v>
      </x:c>
      <x:c r="B1685" s="4" t="n">
        <x:f>IF('계산 과정'!$L$5,'계산 과정'!$L$11*SQRT((A1685+0.5)/'계산 과정'!$L$30),"")</x:f>
        <x:v>135.8364387266447</x:v>
      </x:c>
      <x:c r="C1685" s="4" t="n">
        <x:f>A1685*PI()*(3-SQRT(5))</x:f>
        <x:v>4029.538262714408</x:v>
      </x:c>
      <x:c r="D1685" s="4" t="n">
        <x:f>IF('계산 과정'!$L$5,B1685*COS(C1685),"")</x:f>
        <x:v>-58.55577477755169</x:v>
      </x:c>
      <x:c r="E1685" s="4" t="n">
        <x:f>IF('계산 과정'!$L$5,B1685*SIN(C1685),"")</x:f>
        <x:v>122.56736648120551</x:v>
      </x:c>
      <x:c r="F1685" s="4" t="n">
        <x:f>IF('계산 과정'!$L$7,'계산 과정'!$L$22+'계산 과정'!$C$49*D1685+'계산 과정'!$D$49*E1685,"")</x:f>
        <x:v>691.4051854228389</x:v>
      </x:c>
      <x:c r="G1685" s="4" t="n">
        <x:f>IF('계산 과정'!$L$7,IF(ABS(F1685)&gt;=1E-12*MAX(1,SQRT((D1685-'계산 과정'!$C$33)^2+(E1685-'계산 과정'!$D$33)^2+'계산 과정'!$E$33^2)),('계산 과정'!$L$23-'계산 과정'!$C$49*D1685-'계산 과정'!$D$49*E1685)/F1685,""),"")</x:f>
        <x:v>0.518646406098122</x:v>
      </x:c>
      <x:c r="H1685" s="4" t="n">
        <x:f>IF(AND(ISNUMBER(G1685),G1685&gt;0),('계산 과정'!$D$56+'계산 과정'!$D$57*D1685+'계산 과정'!$D$58*E1685)/F1685,"")</x:f>
        <x:v>-62.87983603622092</x:v>
      </x:c>
      <x:c r="I1685" s="4" t="n">
        <x:f>IF(AND(ISNUMBER(G1685),G1685&gt;0),('계산 과정'!$E$56+'계산 과정'!$E$57*D1685+'계산 과정'!$E$58*E1685)/F1685,"")</x:f>
        <x:v>186.13649061159418</x:v>
      </x:c>
      <x:c r="J1685" s="4" t="n">
        <x:f>IF('계산 과정'!$L$5,'계산 과정'!$D$6+'계산 과정'!$C$35*D1685+'계산 과정'!$D$35*E1685,"")</x:f>
        <x:v>691.4051854228389</x:v>
      </x:c>
      <x:c r="K1685" s="4" t="n">
        <x:f>IF(AND('계산 과정'!$L$6,J1685&gt;0),'계산 과정'!$D$10*('계산 과정'!$C$38*(D1685-'계산 과정'!$C$32)+'계산 과정'!$D$38*(E1685-'계산 과정'!$D$32)-'계산 과정'!$E$38*'계산 과정'!$E$32)/J1685,"")</x:f>
        <x:v>-0.4790844650378734</x:v>
      </x:c>
      <x:c r="L1685" s="4" t="n">
        <x:f>IF(AND('계산 과정'!$L$6,J1685&gt;0),'계산 과정'!$D$10*('계산 과정'!$C$39*(D1685-'계산 과정'!$C$32)+'계산 과정'!$D$39*(E1685-'계산 과정'!$D$32)-'계산 과정'!$E$39*'계산 과정'!$E$32)/J1685,"")</x:f>
        <x:v>1.418182785612146</x:v>
      </x:c>
      <x:c r="M1685" s="17" t="n">
        <x:f>IF('계산 과정'!$L$6,IF(J1685&lt;=0,0,IF(AND(ABS(K1685)&lt;='계산 과정'!$D$11/2,ABS(L1685)&lt;='계산 과정'!$D$12/2),1,0)),"")</x:f>
        <x:v>1</x:v>
      </x:c>
      <x:c r="N1685" s="17" t="n">
        <x:f>IF('계산 과정'!$C$78,IF(AND(ISNUMBER(H1685),ISNUMBER(I1685),ABS(H1685-'계산 과정'!$C$88)&lt;='계산 과정'!$D$23/2,ABS(I1685-'계산 과정'!$C$89)&lt;='계산 과정'!$D$24/2),1,0),"")</x:f>
        <x:v>1</x:v>
      </x:c>
      <x:c r="O1685" s="4" t="n">
        <x:f>IF('계산 과정'!$L$7,'계산 과정'!$C$49*('계산 과정'!$C$32-D1685)+'계산 과정'!$D$49*('계산 과정'!$D$32-E1685)+'계산 과정'!$E$49*'계산 과정'!$E$32,"")</x:f>
        <x:v>-41.40518542283894</x:v>
      </x:c>
      <x:c r="P1685" s="4" t="n">
        <x:f>IF(AND('계산 과정'!$L$7,O1685&lt;&gt;0),('계산 과정'!$L$23-'계산 과정'!$C$49*D1685-'계산 과정'!$D$49*E1685)/O1685,"")</x:f>
        <x:v>-8.660625738421679</x:v>
      </x:c>
      <x:c r="Q1685" s="4" t="str">
        <x:f>IF(AND(ISNUMBER(P1685),P1685&gt;1E-9,P1685&lt;1-1E-9),'계산 과정'!$C$47*(D1685-'계산 과정'!$C$50+P1685*('계산 과정'!$C$32-D1685))+'계산 과정'!$D$47*(E1685-'계산 과정'!$D$50+P1685*('계산 과정'!$D$32-E1685))+'계산 과정'!$E$47*(0-'계산 과정'!$E$50+P1685*('계산 과정'!$E$32-0)),"")</x:f>
      </x:c>
      <x:c r="R1685" s="4" t="str">
        <x:f>IF(AND(ISNUMBER(P1685),P1685&gt;1E-9,P1685&lt;1-1E-9),'계산 과정'!$C$48*(D1685-'계산 과정'!$C$50+P1685*('계산 과정'!$C$32-D1685))+'계산 과정'!$D$48*(E1685-'계산 과정'!$D$50+P1685*('계산 과정'!$D$32-E1685))+'계산 과정'!$E$48*(0-'계산 과정'!$E$50+P1685*('계산 과정'!$E$32-0)),"")</x:f>
      </x:c>
      <x:c r="S1685" s="17" t="n">
        <x:f>IF('계산 과정'!$C$78,IF(AND(ISNUMBER(Q1685),ISNUMBER(R1685),ABS(Q1685-'계산 과정'!$C$88)&lt;='계산 과정'!$D$23/2,ABS(R1685-'계산 과정'!$C$89)&lt;='계산 과정'!$D$24/2),1,0),"")</x:f>
        <x:v>0</x:v>
      </x:c>
      <x:c r="T1685" s="4"/>
      <x:c r="U1685" s="4"/>
      <x:c r="V1685" s="4"/>
      <x:c r="W1685" s="4"/>
      <x:c r="X1685" s="4"/>
      <x:c r="Y1685" s="4"/>
      <x:c r="Z1685" s="4"/>
    </x:row>
    <x:row r="1686" ht="23" customHeight="1">
      <x:c r="A1686" s="17" t="n">
        <x:f>ROW()-6</x:f>
        <x:v>1680</x:v>
      </x:c>
      <x:c r="B1686" s="4" t="n">
        <x:f>IF('계산 과정'!$L$5,'계산 과정'!$L$11*SQRT((A1686+0.5)/'계산 과정'!$L$30),"")</x:f>
        <x:v>135.8768722559601</x:v>
      </x:c>
      <x:c r="C1686" s="4" t="n">
        <x:f>A1686*PI()*(3-SQRT(5))</x:f>
        <x:v>4031.9382259441372</x:v>
      </x:c>
      <x:c r="D1686" s="4" t="n">
        <x:f>IF('계산 과정'!$L$5,B1686*COS(C1686),"")</x:f>
        <x:v>-39.627652688183545</x:v>
      </x:c>
      <x:c r="E1686" s="4" t="n">
        <x:f>IF('계산 과정'!$L$5,B1686*SIN(C1686),"")</x:f>
        <x:v>-129.96989480832553</x:v>
      </x:c>
      <x:c r="F1686" s="4" t="n">
        <x:f>IF('계산 과정'!$L$7,'계산 과정'!$L$22+'계산 과정'!$C$49*D1686+'계산 과정'!$D$49*E1686,"")</x:f>
        <x:v>678.0209819383199</x:v>
      </x:c>
      <x:c r="G1686" s="4" t="n">
        <x:f>IF('계산 과정'!$L$7,IF(ABS(F1686)&gt;=1E-12*MAX(1,SQRT((D1686-'계산 과정'!$C$33)^2+(E1686-'계산 과정'!$D$33)^2+'계산 과정'!$E$33^2)),('계산 과정'!$L$23-'계산 과정'!$C$49*D1686-'계산 과정'!$D$49*E1686)/F1686,""),"")</x:f>
        <x:v>0.5486246413765398</x:v>
      </x:c>
      <x:c r="H1686" s="4" t="n">
        <x:f>IF(AND(ISNUMBER(G1686),G1686&gt;0),('계산 과정'!$D$56+'계산 과정'!$D$57*D1686+'계산 과정'!$D$58*E1686)/F1686,"")</x:f>
        <x:v>-43.39398310524928</x:v>
      </x:c>
      <x:c r="I1686" s="4" t="n">
        <x:f>IF(AND(ISNUMBER(G1686),G1686&gt;0),('계산 과정'!$E$56+'계산 과정'!$E$57*D1686+'계산 과정'!$E$58*E1686)/F1686,"")</x:f>
        <x:v>-201.2745817372897</x:v>
      </x:c>
      <x:c r="J1686" s="4" t="n">
        <x:f>IF('계산 과정'!$L$5,'계산 과정'!$D$6+'계산 과정'!$C$35*D1686+'계산 과정'!$D$35*E1686,"")</x:f>
        <x:v>678.0209819383199</x:v>
      </x:c>
      <x:c r="K1686" s="4" t="n">
        <x:f>IF(AND('계산 과정'!$L$6,J1686&gt;0),'계산 과정'!$D$10*('계산 과정'!$C$38*(D1686-'계산 과정'!$C$32)+'계산 과정'!$D$38*(E1686-'계산 과정'!$D$32)-'계산 과정'!$E$38*'계산 과정'!$E$32)/J1686,"")</x:f>
        <x:v>-0.33062082365904105</x:v>
      </x:c>
      <x:c r="L1686" s="4" t="n">
        <x:f>IF(AND('계산 과정'!$L$6,J1686&gt;0),'계산 과정'!$D$10*('계산 과정'!$C$39*(D1686-'계산 과정'!$C$32)+'계산 과정'!$D$39*(E1686-'계산 과정'!$D$32)-'계산 과정'!$E$39*'계산 과정'!$E$32)/J1686,"")</x:f>
        <x:v>-1.5335206227603027</x:v>
      </x:c>
      <x:c r="M1686" s="17" t="n">
        <x:f>IF('계산 과정'!$L$6,IF(J1686&lt;=0,0,IF(AND(ABS(K1686)&lt;='계산 과정'!$D$11/2,ABS(L1686)&lt;='계산 과정'!$D$12/2),1,0)),"")</x:f>
        <x:v>1</x:v>
      </x:c>
      <x:c r="N1686" s="17" t="n">
        <x:f>IF('계산 과정'!$C$78,IF(AND(ISNUMBER(H1686),ISNUMBER(I1686),ABS(H1686-'계산 과정'!$C$88)&lt;='계산 과정'!$D$23/2,ABS(I1686-'계산 과정'!$C$89)&lt;='계산 과정'!$D$24/2),1,0),"")</x:f>
        <x:v>1</x:v>
      </x:c>
      <x:c r="O1686" s="4" t="n">
        <x:f>IF('계산 과정'!$L$7,'계산 과정'!$C$49*('계산 과정'!$C$32-D1686)+'계산 과정'!$D$49*('계산 과정'!$D$32-E1686)+'계산 과정'!$E$49*'계산 과정'!$E$32,"")</x:f>
        <x:v>-28.02098193831978</x:v>
      </x:c>
      <x:c r="P1686" s="4" t="n">
        <x:f>IF(AND('계산 과정'!$L$7,O1686&lt;&gt;0),('계산 과정'!$L$23-'계산 과정'!$C$49*D1686-'계산 과정'!$D$49*E1686)/O1686,"")</x:f>
        <x:v>-13.275017231033734</x:v>
      </x:c>
      <x:c r="Q1686" s="4" t="str">
        <x:f>IF(AND(ISNUMBER(P1686),P1686&gt;1E-9,P1686&lt;1-1E-9),'계산 과정'!$C$47*(D1686-'계산 과정'!$C$50+P1686*('계산 과정'!$C$32-D1686))+'계산 과정'!$D$47*(E1686-'계산 과정'!$D$50+P1686*('계산 과정'!$D$32-E1686))+'계산 과정'!$E$47*(0-'계산 과정'!$E$50+P1686*('계산 과정'!$E$32-0)),"")</x:f>
      </x:c>
      <x:c r="R1686" s="4" t="str">
        <x:f>IF(AND(ISNUMBER(P1686),P1686&gt;1E-9,P1686&lt;1-1E-9),'계산 과정'!$C$48*(D1686-'계산 과정'!$C$50+P1686*('계산 과정'!$C$32-D1686))+'계산 과정'!$D$48*(E1686-'계산 과정'!$D$50+P1686*('계산 과정'!$D$32-E1686))+'계산 과정'!$E$48*(0-'계산 과정'!$E$50+P1686*('계산 과정'!$E$32-0)),"")</x:f>
      </x:c>
      <x:c r="S1686" s="17" t="n">
        <x:f>IF('계산 과정'!$C$78,IF(AND(ISNUMBER(Q1686),ISNUMBER(R1686),ABS(Q1686-'계산 과정'!$C$88)&lt;='계산 과정'!$D$23/2,ABS(R1686-'계산 과정'!$C$89)&lt;='계산 과정'!$D$24/2),1,0),"")</x:f>
        <x:v>0</x:v>
      </x:c>
      <x:c r="T1686" s="4"/>
      <x:c r="U1686" s="4"/>
      <x:c r="V1686" s="4"/>
      <x:c r="W1686" s="4"/>
      <x:c r="X1686" s="4"/>
      <x:c r="Y1686" s="4"/>
      <x:c r="Z1686" s="4"/>
    </x:row>
    <x:row r="1687" ht="23" customHeight="1">
      <x:c r="A1687" s="17" t="n">
        <x:f>ROW()-6</x:f>
        <x:v>1681</x:v>
      </x:c>
      <x:c r="B1687" s="4" t="n">
        <x:f>IF('계산 과정'!$L$5,'계산 과정'!$L$11*SQRT((A1687+0.5)/'계산 과정'!$L$30),"")</x:f>
        <x:v>135.91729375685605</x:v>
      </x:c>
      <x:c r="C1687" s="4" t="n">
        <x:f>A1687*PI()*(3-SQRT(5))</x:f>
        <x:v>4034.3381891738654</x:v>
      </x:c>
      <x:c r="D1687" s="4" t="n">
        <x:f>IF('계산 과정'!$L$5,B1687*COS(C1687),"")</x:f>
        <x:v>117.04841022970717</x:v>
      </x:c>
      <x:c r="E1687" s="4" t="n">
        <x:f>IF('계산 과정'!$L$5,B1687*SIN(C1687),"")</x:f>
        <x:v>69.08820742272651</x:v>
      </x:c>
      <x:c r="F1687" s="4" t="n">
        <x:f>IF('계산 과정'!$L$7,'계산 과정'!$L$22+'계산 과정'!$C$49*D1687+'계산 과정'!$D$49*E1687,"")</x:f>
        <x:v>567.2342753994692</x:v>
      </x:c>
      <x:c r="G1687" s="4" t="n">
        <x:f>IF('계산 과정'!$L$7,IF(ABS(F1687)&gt;=1E-12*MAX(1,SQRT((D1687-'계산 과정'!$C$33)^2+(E1687-'계산 과정'!$D$33)^2+'계산 과정'!$E$33^2)),('계산 과정'!$L$23-'계산 과정'!$C$49*D1687-'계산 과정'!$D$49*E1687)/F1687,""),"")</x:f>
        <x:v>0.8510870120825258</x:v>
      </x:c>
      <x:c r="H1687" s="4" t="n">
        <x:f>IF(AND(ISNUMBER(G1687),G1687&gt;0),('계산 과정'!$D$56+'계산 과정'!$D$57*D1687+'계산 과정'!$D$58*E1687)/F1687,"")</x:f>
        <x:v>153.20655785364167</x:v>
      </x:c>
      <x:c r="I1687" s="4" t="n">
        <x:f>IF(AND(ISNUMBER(G1687),G1687&gt;0),('계산 과정'!$E$56+'계산 과정'!$E$57*D1687+'계산 과정'!$E$58*E1687)/F1687,"")</x:f>
        <x:v>127.8882834482726</x:v>
      </x:c>
      <x:c r="J1687" s="4" t="n">
        <x:f>IF('계산 과정'!$L$5,'계산 과정'!$D$6+'계산 과정'!$C$35*D1687+'계산 과정'!$D$35*E1687,"")</x:f>
        <x:v>567.2342753994692</x:v>
      </x:c>
      <x:c r="K1687" s="4" t="n">
        <x:f>IF(AND('계산 과정'!$L$6,J1687&gt;0),'계산 과정'!$D$10*('계산 과정'!$C$38*(D1687-'계산 과정'!$C$32)+'계산 과정'!$D$38*(E1687-'계산 과정'!$D$32)-'계산 과정'!$E$38*'계산 과정'!$E$32)/J1687,"")</x:f>
        <x:v>1.167288059837271</x:v>
      </x:c>
      <x:c r="L1687" s="4" t="n">
        <x:f>IF(AND('계산 과정'!$L$6,J1687&gt;0),'계산 과정'!$D$10*('계산 과정'!$C$39*(D1687-'계산 과정'!$C$32)+'계산 과정'!$D$39*(E1687-'계산 과정'!$D$32)-'계산 과정'!$E$39*'계산 과정'!$E$32)/J1687,"")</x:f>
        <x:v>0.9743869215106484</x:v>
      </x:c>
      <x:c r="M1687" s="17" t="n">
        <x:f>IF('계산 과정'!$L$6,IF(J1687&lt;=0,0,IF(AND(ABS(K1687)&lt;='계산 과정'!$D$11/2,ABS(L1687)&lt;='계산 과정'!$D$12/2),1,0)),"")</x:f>
        <x:v>1</x:v>
      </x:c>
      <x:c r="N1687" s="17" t="n">
        <x:f>IF('계산 과정'!$C$78,IF(AND(ISNUMBER(H1687),ISNUMBER(I1687),ABS(H1687-'계산 과정'!$C$88)&lt;='계산 과정'!$D$23/2,ABS(I1687-'계산 과정'!$C$89)&lt;='계산 과정'!$D$24/2),1,0),"")</x:f>
        <x:v>1</x:v>
      </x:c>
      <x:c r="O1687" s="4" t="n">
        <x:f>IF('계산 과정'!$L$7,'계산 과정'!$C$49*('계산 과정'!$C$32-D1687)+'계산 과정'!$D$49*('계산 과정'!$D$32-E1687)+'계산 과정'!$E$49*'계산 과정'!$E$32,"")</x:f>
        <x:v>82.76572460053092</x:v>
      </x:c>
      <x:c r="P1687" s="4" t="n">
        <x:f>IF(AND('계산 과정'!$L$7,O1687&lt;&gt;0),('계산 과정'!$L$23-'계산 과정'!$C$49*D1687-'계산 과정'!$D$49*E1687)/O1687,"")</x:f>
        <x:v>5.8329184808155965</x:v>
      </x:c>
      <x:c r="Q1687" s="4" t="str">
        <x:f>IF(AND(ISNUMBER(P1687),P1687&gt;1E-9,P1687&lt;1-1E-9),'계산 과정'!$C$47*(D1687-'계산 과정'!$C$50+P1687*('계산 과정'!$C$32-D1687))+'계산 과정'!$D$47*(E1687-'계산 과정'!$D$50+P1687*('계산 과정'!$D$32-E1687))+'계산 과정'!$E$47*(0-'계산 과정'!$E$50+P1687*('계산 과정'!$E$32-0)),"")</x:f>
      </x:c>
      <x:c r="R1687" s="4" t="str">
        <x:f>IF(AND(ISNUMBER(P1687),P1687&gt;1E-9,P1687&lt;1-1E-9),'계산 과정'!$C$48*(D1687-'계산 과정'!$C$50+P1687*('계산 과정'!$C$32-D1687))+'계산 과정'!$D$48*(E1687-'계산 과정'!$D$50+P1687*('계산 과정'!$D$32-E1687))+'계산 과정'!$E$48*(0-'계산 과정'!$E$50+P1687*('계산 과정'!$E$32-0)),"")</x:f>
      </x:c>
      <x:c r="S1687" s="17" t="n">
        <x:f>IF('계산 과정'!$C$78,IF(AND(ISNUMBER(Q1687),ISNUMBER(R1687),ABS(Q1687-'계산 과정'!$C$88)&lt;='계산 과정'!$D$23/2,ABS(R1687-'계산 과정'!$C$89)&lt;='계산 과정'!$D$24/2),1,0),"")</x:f>
        <x:v>0</x:v>
      </x:c>
      <x:c r="T1687" s="4"/>
      <x:c r="U1687" s="4"/>
      <x:c r="V1687" s="4"/>
      <x:c r="W1687" s="4"/>
      <x:c r="X1687" s="4"/>
      <x:c r="Y1687" s="4"/>
      <x:c r="Z1687" s="4"/>
    </x:row>
    <x:row r="1688" ht="23" customHeight="1">
      <x:c r="A1688" s="17" t="n">
        <x:f>ROW()-6</x:f>
        <x:v>1682</x:v>
      </x:c>
      <x:c r="B1688" s="4" t="n">
        <x:f>IF('계산 과정'!$L$5,'계산 과정'!$L$11*SQRT((A1688+0.5)/'계산 과정'!$L$30),"")</x:f>
        <x:v>135.95770324006102</x:v>
      </x:c>
      <x:c r="C1688" s="4" t="n">
        <x:f>A1688*PI()*(3-SQRT(5))</x:f>
        <x:v>4036.738152403594</x:v>
      </x:c>
      <x:c r="D1688" s="4" t="n">
        <x:f>IF('계산 과정'!$L$5,B1688*COS(C1688),"")</x:f>
        <x:v>-133.01580358278417</x:v>
      </x:c>
      <x:c r="E1688" s="4" t="n">
        <x:f>IF('계산 과정'!$L$5,B1688*SIN(C1688),"")</x:f>
        <x:v>28.129931879382205</x:v>
      </x:c>
      <x:c r="F1688" s="4" t="n">
        <x:f>IF('계산 과정'!$L$7,'계산 과정'!$L$22+'계산 과정'!$C$49*D1688+'계산 과정'!$D$49*E1688,"")</x:f>
        <x:v>744.0563767183645</x:v>
      </x:c>
      <x:c r="G1688" s="4" t="n">
        <x:f>IF('계산 과정'!$L$7,IF(ABS(F1688)&gt;=1E-12*MAX(1,SQRT((D1688-'계산 과정'!$C$33)^2+(E1688-'계산 과정'!$D$33)^2+'계산 과정'!$E$33^2)),('계산 과정'!$L$23-'계산 과정'!$C$49*D1688-'계산 과정'!$D$49*E1688)/F1688,""),"")</x:f>
        <x:v>0.41118338993476466</x:v>
      </x:c>
      <x:c r="H1688" s="4" t="n">
        <x:f>IF(AND(ISNUMBER(G1688),G1688&gt;0),('계산 과정'!$D$56+'계산 과정'!$D$57*D1688+'계산 과정'!$D$58*E1688)/F1688,"")</x:f>
        <x:v>-132.7307965424031</x:v>
      </x:c>
      <x:c r="I1688" s="4" t="n">
        <x:f>IF(AND(ISNUMBER(G1688),G1688&gt;0),('계산 과정'!$E$56+'계산 과정'!$E$57*D1688+'계산 과정'!$E$58*E1688)/F1688,"")</x:f>
        <x:v>39.696492628180586</x:v>
      </x:c>
      <x:c r="J1688" s="4" t="n">
        <x:f>IF('계산 과정'!$L$5,'계산 과정'!$D$6+'계산 과정'!$C$35*D1688+'계산 과정'!$D$35*E1688,"")</x:f>
        <x:v>744.0563767183645</x:v>
      </x:c>
      <x:c r="K1688" s="4" t="n">
        <x:f>IF(AND('계산 과정'!$L$6,J1688&gt;0),'계산 과정'!$D$10*('계산 과정'!$C$38*(D1688-'계산 과정'!$C$32)+'계산 과정'!$D$38*(E1688-'계산 과정'!$D$32)-'계산 과정'!$E$38*'계산 과정'!$E$32)/J1688,"")</x:f>
        <x:v>-1.0112822593706894</x:v>
      </x:c>
      <x:c r="L1688" s="4" t="n">
        <x:f>IF(AND('계산 과정'!$L$6,J1688&gt;0),'계산 과정'!$D$10*('계산 과정'!$C$39*(D1688-'계산 과정'!$C$32)+'계산 과정'!$D$39*(E1688-'계산 과정'!$D$32)-'계산 과정'!$E$39*'계산 과정'!$E$32)/J1688,"")</x:f>
        <x:v>0.3024494676432807</x:v>
      </x:c>
      <x:c r="M1688" s="17" t="n">
        <x:f>IF('계산 과정'!$L$6,IF(J1688&lt;=0,0,IF(AND(ABS(K1688)&lt;='계산 과정'!$D$11/2,ABS(L1688)&lt;='계산 과정'!$D$12/2),1,0)),"")</x:f>
        <x:v>1</x:v>
      </x:c>
      <x:c r="N1688" s="17" t="n">
        <x:f>IF('계산 과정'!$C$78,IF(AND(ISNUMBER(H1688),ISNUMBER(I1688),ABS(H1688-'계산 과정'!$C$88)&lt;='계산 과정'!$D$23/2,ABS(I1688-'계산 과정'!$C$89)&lt;='계산 과정'!$D$24/2),1,0),"")</x:f>
        <x:v>1</x:v>
      </x:c>
      <x:c r="O1688" s="4" t="n">
        <x:f>IF('계산 과정'!$L$7,'계산 과정'!$C$49*('계산 과정'!$C$32-D1688)+'계산 과정'!$D$49*('계산 과정'!$D$32-E1688)+'계산 과정'!$E$49*'계산 과정'!$E$32,"")</x:f>
        <x:v>-94.05637671836445</x:v>
      </x:c>
      <x:c r="P1688" s="4" t="n">
        <x:f>IF(AND('계산 과정'!$L$7,O1688&lt;&gt;0),('계산 과정'!$L$23-'계산 과정'!$C$49*D1688-'계산 과정'!$D$49*E1688)/O1688,"")</x:f>
        <x:v>-3.2527685411243374</x:v>
      </x:c>
      <x:c r="Q1688" s="4" t="str">
        <x:f>IF(AND(ISNUMBER(P1688),P1688&gt;1E-9,P1688&lt;1-1E-9),'계산 과정'!$C$47*(D1688-'계산 과정'!$C$50+P1688*('계산 과정'!$C$32-D1688))+'계산 과정'!$D$47*(E1688-'계산 과정'!$D$50+P1688*('계산 과정'!$D$32-E1688))+'계산 과정'!$E$47*(0-'계산 과정'!$E$50+P1688*('계산 과정'!$E$32-0)),"")</x:f>
      </x:c>
      <x:c r="R1688" s="4" t="str">
        <x:f>IF(AND(ISNUMBER(P1688),P1688&gt;1E-9,P1688&lt;1-1E-9),'계산 과정'!$C$48*(D1688-'계산 과정'!$C$50+P1688*('계산 과정'!$C$32-D1688))+'계산 과정'!$D$48*(E1688-'계산 과정'!$D$50+P1688*('계산 과정'!$D$32-E1688))+'계산 과정'!$E$48*(0-'계산 과정'!$E$50+P1688*('계산 과정'!$E$32-0)),"")</x:f>
      </x:c>
      <x:c r="S1688" s="17" t="n">
        <x:f>IF('계산 과정'!$C$78,IF(AND(ISNUMBER(Q1688),ISNUMBER(R1688),ABS(Q1688-'계산 과정'!$C$88)&lt;='계산 과정'!$D$23/2,ABS(R1688-'계산 과정'!$C$89)&lt;='계산 과정'!$D$24/2),1,0),"")</x:f>
        <x:v>0</x:v>
      </x:c>
      <x:c r="T1688" s="4"/>
      <x:c r="U1688" s="4"/>
      <x:c r="V1688" s="4"/>
      <x:c r="W1688" s="4"/>
      <x:c r="X1688" s="4"/>
      <x:c r="Y1688" s="4"/>
      <x:c r="Z1688" s="4"/>
    </x:row>
    <x:row r="1689" ht="23" customHeight="1">
      <x:c r="A1689" s="17" t="n">
        <x:f>ROW()-6</x:f>
        <x:v>1683</x:v>
      </x:c>
      <x:c r="B1689" s="4" t="n">
        <x:f>IF('계산 과정'!$L$5,'계산 과정'!$L$11*SQRT((A1689+0.5)/'계산 과정'!$L$30),"")</x:f>
        <x:v>135.99810071628758</x:v>
      </x:c>
      <x:c r="C1689" s="4" t="n">
        <x:f>A1689*PI()*(3-SQRT(5))</x:f>
        <x:v>4039.138115633323</x:v>
      </x:c>
      <x:c r="D1689" s="4" t="n">
        <x:f>IF('계산 과정'!$L$5,B1689*COS(C1689),"")</x:f>
        <x:v>79.10371520859786</x:v>
      </x:c>
      <x:c r="E1689" s="4" t="n">
        <x:f>IF('계산 과정'!$L$5,B1689*SIN(C1689),"")</x:f>
        <x:v>-110.62588141404588</x:v>
      </x:c>
      <x:c r="F1689" s="4" t="n">
        <x:f>IF('계산 과정'!$L$7,'계산 과정'!$L$22+'계산 과정'!$C$49*D1689+'계산 과정'!$D$49*E1689,"")</x:f>
        <x:v>594.065226558951</x:v>
      </x:c>
      <x:c r="G1689" s="4" t="n">
        <x:f>IF('계산 과정'!$L$7,IF(ABS(F1689)&gt;=1E-12*MAX(1,SQRT((D1689-'계산 과정'!$C$33)^2+(E1689-'계산 과정'!$D$33)^2+'계산 과정'!$E$33^2)),('계산 과정'!$L$23-'계산 과정'!$C$49*D1689-'계산 과정'!$D$49*E1689)/F1689,""),"")</x:f>
        <x:v>0.7674826821323888</x:v>
      </x:c>
      <x:c r="H1689" s="4" t="n">
        <x:f>IF(AND(ISNUMBER(G1689),G1689&gt;0),('계산 과정'!$D$56+'계산 과정'!$D$57*D1689+'계산 과정'!$D$58*E1689)/F1689,"")</x:f>
        <x:v>98.86374338605266</x:v>
      </x:c>
      <x:c r="I1689" s="4" t="n">
        <x:f>IF(AND(ISNUMBER(G1689),G1689&gt;0),('계산 과정'!$E$56+'계산 과정'!$E$57*D1689+'계산 과정'!$E$58*E1689)/F1689,"")</x:f>
        <x:v>-195.5293295949574</x:v>
      </x:c>
      <x:c r="J1689" s="4" t="n">
        <x:f>IF('계산 과정'!$L$5,'계산 과정'!$D$6+'계산 과정'!$C$35*D1689+'계산 과정'!$D$35*E1689,"")</x:f>
        <x:v>594.065226558951</x:v>
      </x:c>
      <x:c r="K1689" s="4" t="n">
        <x:f>IF(AND('계산 과정'!$L$6,J1689&gt;0),'계산 과정'!$D$10*('계산 과정'!$C$38*(D1689-'계산 과정'!$C$32)+'계산 과정'!$D$38*(E1689-'계산 과정'!$D$32)-'계산 과정'!$E$38*'계산 과정'!$E$32)/J1689,"")</x:f>
        <x:v>0.7532475686556404</x:v>
      </x:c>
      <x:c r="L1689" s="4" t="n">
        <x:f>IF(AND('계산 과정'!$L$6,J1689&gt;0),'계산 과정'!$D$10*('계산 과정'!$C$39*(D1689-'계산 과정'!$C$32)+'계산 과정'!$D$39*(E1689-'계산 과정'!$D$32)-'계산 과정'!$E$39*'계산 과정'!$E$32)/J1689,"")</x:f>
        <x:v>-1.4897472731044372</x:v>
      </x:c>
      <x:c r="M1689" s="17" t="n">
        <x:f>IF('계산 과정'!$L$6,IF(J1689&lt;=0,0,IF(AND(ABS(K1689)&lt;='계산 과정'!$D$11/2,ABS(L1689)&lt;='계산 과정'!$D$12/2),1,0)),"")</x:f>
        <x:v>1</x:v>
      </x:c>
      <x:c r="N1689" s="17" t="n">
        <x:f>IF('계산 과정'!$C$78,IF(AND(ISNUMBER(H1689),ISNUMBER(I1689),ABS(H1689-'계산 과정'!$C$88)&lt;='계산 과정'!$D$23/2,ABS(I1689-'계산 과정'!$C$89)&lt;='계산 과정'!$D$24/2),1,0),"")</x:f>
        <x:v>1</x:v>
      </x:c>
      <x:c r="O1689" s="4" t="n">
        <x:f>IF('계산 과정'!$L$7,'계산 과정'!$C$49*('계산 과정'!$C$32-D1689)+'계산 과정'!$D$49*('계산 과정'!$D$32-E1689)+'계산 과정'!$E$49*'계산 과정'!$E$32,"")</x:f>
        <x:v>55.93477344104912</x:v>
      </x:c>
      <x:c r="P1689" s="4" t="n">
        <x:f>IF(AND('계산 과정'!$L$7,O1689&lt;&gt;0),('계산 과정'!$L$23-'계산 과정'!$C$49*D1689-'계산 과정'!$D$49*E1689)/O1689,"")</x:f>
        <x:v>8.151186558779372</x:v>
      </x:c>
      <x:c r="Q1689" s="4" t="str">
        <x:f>IF(AND(ISNUMBER(P1689),P1689&gt;1E-9,P1689&lt;1-1E-9),'계산 과정'!$C$47*(D1689-'계산 과정'!$C$50+P1689*('계산 과정'!$C$32-D1689))+'계산 과정'!$D$47*(E1689-'계산 과정'!$D$50+P1689*('계산 과정'!$D$32-E1689))+'계산 과정'!$E$47*(0-'계산 과정'!$E$50+P1689*('계산 과정'!$E$32-0)),"")</x:f>
      </x:c>
      <x:c r="R1689" s="4" t="str">
        <x:f>IF(AND(ISNUMBER(P1689),P1689&gt;1E-9,P1689&lt;1-1E-9),'계산 과정'!$C$48*(D1689-'계산 과정'!$C$50+P1689*('계산 과정'!$C$32-D1689))+'계산 과정'!$D$48*(E1689-'계산 과정'!$D$50+P1689*('계산 과정'!$D$32-E1689))+'계산 과정'!$E$48*(0-'계산 과정'!$E$50+P1689*('계산 과정'!$E$32-0)),"")</x:f>
      </x:c>
      <x:c r="S1689" s="17" t="n">
        <x:f>IF('계산 과정'!$C$78,IF(AND(ISNUMBER(Q1689),ISNUMBER(R1689),ABS(Q1689-'계산 과정'!$C$88)&lt;='계산 과정'!$D$23/2,ABS(R1689-'계산 과정'!$C$89)&lt;='계산 과정'!$D$24/2),1,0),"")</x:f>
        <x:v>0</x:v>
      </x:c>
      <x:c r="T1689" s="4"/>
      <x:c r="U1689" s="4"/>
      <x:c r="V1689" s="4"/>
      <x:c r="W1689" s="4"/>
      <x:c r="X1689" s="4"/>
      <x:c r="Y1689" s="4"/>
      <x:c r="Z1689" s="4"/>
    </x:row>
    <x:row r="1690" ht="23" customHeight="1">
      <x:c r="A1690" s="17" t="n">
        <x:f>ROW()-6</x:f>
        <x:v>1684</x:v>
      </x:c>
      <x:c r="B1690" s="4" t="n">
        <x:f>IF('계산 과정'!$L$5,'계산 과정'!$L$11*SQRT((A1690+0.5)/'계산 과정'!$L$30),"")</x:f>
        <x:v>136.03848619623236</x:v>
      </x:c>
      <x:c r="C1690" s="4" t="n">
        <x:f>A1690*PI()*(3-SQRT(5))</x:f>
        <x:v>4041.5380788630514</x:v>
      </x:c>
      <x:c r="D1690" s="4" t="n">
        <x:f>IF('계산 과정'!$L$5,B1690*COS(C1690),"")</x:f>
        <x:v>16.40296096920044</x:v>
      </x:c>
      <x:c r="E1690" s="4" t="n">
        <x:f>IF('계산 과정'!$L$5,B1690*SIN(C1690),"")</x:f>
        <x:v>135.04596476017113</x:v>
      </x:c>
      <x:c r="F1690" s="4" t="n">
        <x:f>IF('계산 과정'!$L$7,'계산 과정'!$L$22+'계산 과정'!$C$49*D1690+'계산 과정'!$D$49*E1690,"")</x:f>
        <x:v>638.4013550671401</x:v>
      </x:c>
      <x:c r="G1690" s="4" t="n">
        <x:f>IF('계산 과정'!$L$7,IF(ABS(F1690)&gt;=1E-12*MAX(1,SQRT((D1690-'계산 과정'!$C$33)^2+(E1690-'계산 과정'!$D$33)^2+'계산 과정'!$E$33^2)),('계산 과정'!$L$23-'계산 과정'!$C$49*D1690-'계산 과정'!$D$49*E1690)/F1690,""),"")</x:f>
        <x:v>0.6447333509960554</x:v>
      </x:c>
      <x:c r="H1690" s="4" t="n">
        <x:f>IF(AND(ISNUMBER(G1690),G1690&gt;0),('계산 과정'!$D$56+'계산 과정'!$D$57*D1690+'계산 과정'!$D$58*E1690)/F1690,"")</x:f>
        <x:v>19.07667814743596</x:v>
      </x:c>
      <x:c r="I1690" s="4" t="n">
        <x:f>IF(AND(ISNUMBER(G1690),G1690&gt;0),('계산 과정'!$E$56+'계산 과정'!$E$57*D1690+'계산 과정'!$E$58*E1690)/F1690,"")</x:f>
        <x:v>222.11460215849146</x:v>
      </x:c>
      <x:c r="J1690" s="4" t="n">
        <x:f>IF('계산 과정'!$L$5,'계산 과정'!$D$6+'계산 과정'!$C$35*D1690+'계산 과정'!$D$35*E1690,"")</x:f>
        <x:v>638.4013550671401</x:v>
      </x:c>
      <x:c r="K1690" s="4" t="n">
        <x:f>IF(AND('계산 과정'!$L$6,J1690&gt;0),'계산 과정'!$D$10*('계산 과정'!$C$38*(D1690-'계산 과정'!$C$32)+'계산 과정'!$D$38*(E1690-'계산 과정'!$D$32)-'계산 과정'!$E$38*'계산 과정'!$E$32)/J1690,"")</x:f>
        <x:v>0.14534611921856042</x:v>
      </x:c>
      <x:c r="L1690" s="4" t="n">
        <x:f>IF(AND('계산 과정'!$L$6,J1690&gt;0),'계산 과정'!$D$10*('계산 과정'!$C$39*(D1690-'계산 과정'!$C$32)+'계산 과정'!$D$39*(E1690-'계산 과정'!$D$32)-'계산 과정'!$E$39*'계산 과정'!$E$32)/J1690,"")</x:f>
        <x:v>1.6923017307313637</x:v>
      </x:c>
      <x:c r="M1690" s="17" t="n">
        <x:f>IF('계산 과정'!$L$6,IF(J1690&lt;=0,0,IF(AND(ABS(K1690)&lt;='계산 과정'!$D$11/2,ABS(L1690)&lt;='계산 과정'!$D$12/2),1,0)),"")</x:f>
        <x:v>1</x:v>
      </x:c>
      <x:c r="N1690" s="17" t="n">
        <x:f>IF('계산 과정'!$C$78,IF(AND(ISNUMBER(H1690),ISNUMBER(I1690),ABS(H1690-'계산 과정'!$C$88)&lt;='계산 과정'!$D$23/2,ABS(I1690-'계산 과정'!$C$89)&lt;='계산 과정'!$D$24/2),1,0),"")</x:f>
        <x:v>1</x:v>
      </x:c>
      <x:c r="O1690" s="4" t="n">
        <x:f>IF('계산 과정'!$L$7,'계산 과정'!$C$49*('계산 과정'!$C$32-D1690)+'계산 과정'!$D$49*('계산 과정'!$D$32-E1690)+'계산 과정'!$E$49*'계산 과정'!$E$32,"")</x:f>
        <x:v>11.598644932859997</x:v>
      </x:c>
      <x:c r="P1690" s="4" t="n">
        <x:f>IF(AND('계산 과정'!$L$7,O1690&lt;&gt;0),('계산 과정'!$L$23-'계산 과정'!$C$49*D1690-'계산 과정'!$D$49*E1690)/O1690,"")</x:f>
        <x:v>35.48678723380558</x:v>
      </x:c>
      <x:c r="Q1690" s="4" t="str">
        <x:f>IF(AND(ISNUMBER(P1690),P1690&gt;1E-9,P1690&lt;1-1E-9),'계산 과정'!$C$47*(D1690-'계산 과정'!$C$50+P1690*('계산 과정'!$C$32-D1690))+'계산 과정'!$D$47*(E1690-'계산 과정'!$D$50+P1690*('계산 과정'!$D$32-E1690))+'계산 과정'!$E$47*(0-'계산 과정'!$E$50+P1690*('계산 과정'!$E$32-0)),"")</x:f>
      </x:c>
      <x:c r="R1690" s="4" t="str">
        <x:f>IF(AND(ISNUMBER(P1690),P1690&gt;1E-9,P1690&lt;1-1E-9),'계산 과정'!$C$48*(D1690-'계산 과정'!$C$50+P1690*('계산 과정'!$C$32-D1690))+'계산 과정'!$D$48*(E1690-'계산 과정'!$D$50+P1690*('계산 과정'!$D$32-E1690))+'계산 과정'!$E$48*(0-'계산 과정'!$E$50+P1690*('계산 과정'!$E$32-0)),"")</x:f>
      </x:c>
      <x:c r="S1690" s="17" t="n">
        <x:f>IF('계산 과정'!$C$78,IF(AND(ISNUMBER(Q1690),ISNUMBER(R1690),ABS(Q1690-'계산 과정'!$C$88)&lt;='계산 과정'!$D$23/2,ABS(R1690-'계산 과정'!$C$89)&lt;='계산 과정'!$D$24/2),1,0),"")</x:f>
        <x:v>0</x:v>
      </x:c>
      <x:c r="T1690" s="4"/>
      <x:c r="U1690" s="4"/>
      <x:c r="V1690" s="4"/>
      <x:c r="W1690" s="4"/>
      <x:c r="X1690" s="4"/>
      <x:c r="Y1690" s="4"/>
      <x:c r="Z1690" s="4"/>
    </x:row>
    <x:row r="1691" ht="23" customHeight="1">
      <x:c r="A1691" s="17" t="n">
        <x:f>ROW()-6</x:f>
        <x:v>1685</x:v>
      </x:c>
      <x:c r="B1691" s="4" t="n">
        <x:f>IF('계산 과정'!$L$5,'계산 과정'!$L$11*SQRT((A1691+0.5)/'계산 과정'!$L$30),"")</x:f>
        <x:v>136.0788596905761</x:v>
      </x:c>
      <x:c r="C1691" s="4" t="n">
        <x:f>A1691*PI()*(3-SQRT(5))</x:f>
        <x:v>4043.93804209278</x:v>
      </x:c>
      <x:c r="D1691" s="4" t="n">
        <x:f>IF('계산 과정'!$L$5,B1691*COS(C1691),"")</x:f>
        <x:v>-103.34793389574354</x:v>
      </x:c>
      <x:c r="E1691" s="4" t="n">
        <x:f>IF('계산 과정'!$L$5,B1691*SIN(C1691),"")</x:f>
        <x:v>-88.52491521695191</x:v>
      </x:c>
      <x:c r="F1691" s="4" t="n">
        <x:f>IF('계산 과정'!$L$7,'계산 과정'!$L$22+'계산 과정'!$C$49*D1691+'계산 과정'!$D$49*E1691,"")</x:f>
        <x:v>723.0780248792993</x:v>
      </x:c>
      <x:c r="G1691" s="4" t="n">
        <x:f>IF('계산 과정'!$L$7,IF(ABS(F1691)&gt;=1E-12*MAX(1,SQRT((D1691-'계산 과정'!$C$33)^2+(E1691-'계산 과정'!$D$33)^2+'계산 과정'!$E$33^2)),('계산 과정'!$L$23-'계산 과정'!$C$49*D1691-'계산 과정'!$D$49*E1691)/F1691,""),"")</x:f>
        <x:v>0.45212544687037415</x:v>
      </x:c>
      <x:c r="H1691" s="4" t="n">
        <x:f>IF(AND(ISNUMBER(G1691),G1691&gt;0),('계산 과정'!$D$56+'계산 과정'!$D$57*D1691+'계산 과정'!$D$58*E1691)/F1691,"")</x:f>
        <x:v>-106.11845953425696</x:v>
      </x:c>
      <x:c r="I1691" s="4" t="n">
        <x:f>IF(AND(ISNUMBER(G1691),G1691&gt;0),('계산 과정'!$E$56+'계산 과정'!$E$57*D1691+'계산 과정'!$E$58*E1691)/F1691,"")</x:f>
        <x:v>-128.54928206857826</x:v>
      </x:c>
      <x:c r="J1691" s="4" t="n">
        <x:f>IF('계산 과정'!$L$5,'계산 과정'!$D$6+'계산 과정'!$C$35*D1691+'계산 과정'!$D$35*E1691,"")</x:f>
        <x:v>723.0780248792993</x:v>
      </x:c>
      <x:c r="K1691" s="4" t="n">
        <x:f>IF(AND('계산 과정'!$L$6,J1691&gt;0),'계산 과정'!$D$10*('계산 과정'!$C$38*(D1691-'계산 과정'!$C$32)+'계산 과정'!$D$38*(E1691-'계산 과정'!$D$32)-'계산 과정'!$E$38*'계산 과정'!$E$32)/J1691,"")</x:f>
        <x:v>-0.8085215964514803</x:v>
      </x:c>
      <x:c r="L1691" s="4" t="n">
        <x:f>IF(AND('계산 과정'!$L$6,J1691&gt;0),'계산 과정'!$D$10*('계산 과정'!$C$39*(D1691-'계산 과정'!$C$32)+'계산 과정'!$D$39*(E1691-'계산 과정'!$D$32)-'계산 과정'!$E$39*'계산 과정'!$E$32)/J1691,"")</x:f>
        <x:v>-0.9794231014748821</x:v>
      </x:c>
      <x:c r="M1691" s="17" t="n">
        <x:f>IF('계산 과정'!$L$6,IF(J1691&lt;=0,0,IF(AND(ABS(K1691)&lt;='계산 과정'!$D$11/2,ABS(L1691)&lt;='계산 과정'!$D$12/2),1,0)),"")</x:f>
        <x:v>1</x:v>
      </x:c>
      <x:c r="N1691" s="17" t="n">
        <x:f>IF('계산 과정'!$C$78,IF(AND(ISNUMBER(H1691),ISNUMBER(I1691),ABS(H1691-'계산 과정'!$C$88)&lt;='계산 과정'!$D$23/2,ABS(I1691-'계산 과정'!$C$89)&lt;='계산 과정'!$D$24/2),1,0),"")</x:f>
        <x:v>1</x:v>
      </x:c>
      <x:c r="O1691" s="4" t="n">
        <x:f>IF('계산 과정'!$L$7,'계산 과정'!$C$49*('계산 과정'!$C$32-D1691)+'계산 과정'!$D$49*('계산 과정'!$D$32-E1691)+'계산 과정'!$E$49*'계산 과정'!$E$32,"")</x:f>
        <x:v>-73.07802487929916</x:v>
      </x:c>
      <x:c r="P1691" s="4" t="n">
        <x:f>IF(AND('계산 과정'!$L$7,O1691&lt;&gt;0),('계산 과정'!$L$23-'계산 과정'!$C$49*D1691-'계산 과정'!$D$49*E1691)/O1691,"")</x:f>
        <x:v>-4.473601683415338</x:v>
      </x:c>
      <x:c r="Q1691" s="4" t="str">
        <x:f>IF(AND(ISNUMBER(P1691),P1691&gt;1E-9,P1691&lt;1-1E-9),'계산 과정'!$C$47*(D1691-'계산 과정'!$C$50+P1691*('계산 과정'!$C$32-D1691))+'계산 과정'!$D$47*(E1691-'계산 과정'!$D$50+P1691*('계산 과정'!$D$32-E1691))+'계산 과정'!$E$47*(0-'계산 과정'!$E$50+P1691*('계산 과정'!$E$32-0)),"")</x:f>
      </x:c>
      <x:c r="R1691" s="4" t="str">
        <x:f>IF(AND(ISNUMBER(P1691),P1691&gt;1E-9,P1691&lt;1-1E-9),'계산 과정'!$C$48*(D1691-'계산 과정'!$C$50+P1691*('계산 과정'!$C$32-D1691))+'계산 과정'!$D$48*(E1691-'계산 과정'!$D$50+P1691*('계산 과정'!$D$32-E1691))+'계산 과정'!$E$48*(0-'계산 과정'!$E$50+P1691*('계산 과정'!$E$32-0)),"")</x:f>
      </x:c>
      <x:c r="S1691" s="17" t="n">
        <x:f>IF('계산 과정'!$C$78,IF(AND(ISNUMBER(Q1691),ISNUMBER(R1691),ABS(Q1691-'계산 과정'!$C$88)&lt;='계산 과정'!$D$23/2,ABS(R1691-'계산 과정'!$C$89)&lt;='계산 과정'!$D$24/2),1,0),"")</x:f>
        <x:v>0</x:v>
      </x:c>
      <x:c r="T1691" s="4"/>
      <x:c r="U1691" s="4"/>
      <x:c r="V1691" s="4"/>
      <x:c r="W1691" s="4"/>
      <x:c r="X1691" s="4"/>
      <x:c r="Y1691" s="4"/>
      <x:c r="Z1691" s="4"/>
    </x:row>
    <x:row r="1692" ht="23" customHeight="1">
      <x:c r="A1692" s="17" t="n">
        <x:f>ROW()-6</x:f>
        <x:v>1686</x:v>
      </x:c>
      <x:c r="B1692" s="4" t="n">
        <x:f>IF('계산 과정'!$L$5,'계산 과정'!$L$11*SQRT((A1692+0.5)/'계산 과정'!$L$30),"")</x:f>
        <x:v>136.11922120998378</x:v>
      </x:c>
      <x:c r="C1692" s="4" t="n">
        <x:f>A1692*PI()*(3-SQRT(5))</x:f>
        <x:v>4046.338005322509</x:v>
      </x:c>
      <x:c r="D1692" s="4" t="n">
        <x:f>IF('계산 과정'!$L$5,B1692*COS(C1692),"")</x:f>
        <x:v>136.043610197331</x:v>
      </x:c>
      <x:c r="E1692" s="4" t="n">
        <x:f>IF('계산 과정'!$L$5,B1692*SIN(C1692),"")</x:f>
        <x:v>-4.536353964271125</x:v>
      </x:c>
      <x:c r="F1692" s="4" t="n">
        <x:f>IF('계산 과정'!$L$7,'계산 과정'!$L$22+'계산 과정'!$C$49*D1692+'계산 과정'!$D$49*E1692,"")</x:f>
        <x:v>553.802640692368</x:v>
      </x:c>
      <x:c r="G1692" s="4" t="n">
        <x:f>IF('계산 과정'!$L$7,IF(ABS(F1692)&gt;=1E-12*MAX(1,SQRT((D1692-'계산 과정'!$C$33)^2+(E1692-'계산 과정'!$D$33)^2+'계산 과정'!$E$33^2)),('계산 과정'!$L$23-'계산 과정'!$C$49*D1692-'계산 과정'!$D$49*E1692)/F1692,""),"")</x:f>
        <x:v>0.8959822919718885</x:v>
      </x:c>
      <x:c r="H1692" s="4" t="n">
        <x:f>IF(AND(ISNUMBER(G1692),G1692&gt;0),('계산 과정'!$D$56+'계산 과정'!$D$57*D1692+'계산 과정'!$D$58*E1692)/F1692,"")</x:f>
        <x:v>182.3884897817275</x:v>
      </x:c>
      <x:c r="I1692" s="4" t="n">
        <x:f>IF(AND(ISNUMBER(G1692),G1692&gt;0),('계산 과정'!$E$56+'계산 과정'!$E$57*D1692+'계산 과정'!$E$58*E1692)/F1692,"")</x:f>
        <x:v>-8.600846786374529</x:v>
      </x:c>
      <x:c r="J1692" s="4" t="n">
        <x:f>IF('계산 과정'!$L$5,'계산 과정'!$D$6+'계산 과정'!$C$35*D1692+'계산 과정'!$D$35*E1692,"")</x:f>
        <x:v>553.802640692368</x:v>
      </x:c>
      <x:c r="K1692" s="4" t="n">
        <x:f>IF(AND('계산 과정'!$L$6,J1692&gt;0),'계산 과정'!$D$10*('계산 과정'!$C$38*(D1692-'계산 과정'!$C$32)+'계산 과정'!$D$38*(E1692-'계산 과정'!$D$32)-'계산 과정'!$E$38*'계산 과정'!$E$32)/J1692,"")</x:f>
        <x:v>1.389626588813162</x:v>
      </x:c>
      <x:c r="L1692" s="4" t="n">
        <x:f>IF(AND('계산 과정'!$L$6,J1692&gt;0),'계산 과정'!$D$10*('계산 과정'!$C$39*(D1692-'계산 과정'!$C$32)+'계산 과정'!$D$39*(E1692-'계산 과정'!$D$32)-'계산 과정'!$E$39*'계산 과정'!$E$32)/J1692,"")</x:f>
        <x:v>-0.06553026122952023</x:v>
      </x:c>
      <x:c r="M1692" s="17" t="n">
        <x:f>IF('계산 과정'!$L$6,IF(J1692&lt;=0,0,IF(AND(ABS(K1692)&lt;='계산 과정'!$D$11/2,ABS(L1692)&lt;='계산 과정'!$D$12/2),1,0)),"")</x:f>
        <x:v>1</x:v>
      </x:c>
      <x:c r="N1692" s="17" t="n">
        <x:f>IF('계산 과정'!$C$78,IF(AND(ISNUMBER(H1692),ISNUMBER(I1692),ABS(H1692-'계산 과정'!$C$88)&lt;='계산 과정'!$D$23/2,ABS(I1692-'계산 과정'!$C$89)&lt;='계산 과정'!$D$24/2),1,0),"")</x:f>
        <x:v>1</x:v>
      </x:c>
      <x:c r="O1692" s="4" t="n">
        <x:f>IF('계산 과정'!$L$7,'계산 과정'!$C$49*('계산 과정'!$C$32-D1692)+'계산 과정'!$D$49*('계산 과정'!$D$32-E1692)+'계산 과정'!$E$49*'계산 과정'!$E$32,"")</x:f>
        <x:v>96.19735930763218</x:v>
      </x:c>
      <x:c r="P1692" s="4" t="n">
        <x:f>IF(AND('계산 과정'!$L$7,O1692&lt;&gt;0),('계산 과정'!$L$23-'계산 과정'!$C$49*D1692-'계산 과정'!$D$49*E1692)/O1692,"")</x:f>
        <x:v>5.158118298453795</x:v>
      </x:c>
      <x:c r="Q1692" s="4" t="str">
        <x:f>IF(AND(ISNUMBER(P1692),P1692&gt;1E-9,P1692&lt;1-1E-9),'계산 과정'!$C$47*(D1692-'계산 과정'!$C$50+P1692*('계산 과정'!$C$32-D1692))+'계산 과정'!$D$47*(E1692-'계산 과정'!$D$50+P1692*('계산 과정'!$D$32-E1692))+'계산 과정'!$E$47*(0-'계산 과정'!$E$50+P1692*('계산 과정'!$E$32-0)),"")</x:f>
      </x:c>
      <x:c r="R1692" s="4" t="str">
        <x:f>IF(AND(ISNUMBER(P1692),P1692&gt;1E-9,P1692&lt;1-1E-9),'계산 과정'!$C$48*(D1692-'계산 과정'!$C$50+P1692*('계산 과정'!$C$32-D1692))+'계산 과정'!$D$48*(E1692-'계산 과정'!$D$50+P1692*('계산 과정'!$D$32-E1692))+'계산 과정'!$E$48*(0-'계산 과정'!$E$50+P1692*('계산 과정'!$E$32-0)),"")</x:f>
      </x:c>
      <x:c r="S1692" s="17" t="n">
        <x:f>IF('계산 과정'!$C$78,IF(AND(ISNUMBER(Q1692),ISNUMBER(R1692),ABS(Q1692-'계산 과정'!$C$88)&lt;='계산 과정'!$D$23/2,ABS(R1692-'계산 과정'!$C$89)&lt;='계산 과정'!$D$24/2),1,0),"")</x:f>
        <x:v>0</x:v>
      </x:c>
      <x:c r="T1692" s="4"/>
      <x:c r="U1692" s="4"/>
      <x:c r="V1692" s="4"/>
      <x:c r="W1692" s="4"/>
      <x:c r="X1692" s="4"/>
      <x:c r="Y1692" s="4"/>
      <x:c r="Z1692" s="4"/>
    </x:row>
    <x:row r="1693" ht="23" customHeight="1">
      <x:c r="A1693" s="17" t="n">
        <x:f>ROW()-6</x:f>
        <x:v>1687</x:v>
      </x:c>
      <x:c r="B1693" s="4" t="n">
        <x:f>IF('계산 과정'!$L$5,'계산 과정'!$L$11*SQRT((A1693+0.5)/'계산 과정'!$L$30),"")</x:f>
        <x:v>136.1595707651045</x:v>
      </x:c>
      <x:c r="C1693" s="4" t="n">
        <x:f>A1693*PI()*(3-SQRT(5))</x:f>
        <x:v>4048.7379685522374</x:v>
      </x:c>
      <x:c r="D1693" s="4" t="n">
        <x:f>IF('계산 과정'!$L$5,B1693*COS(C1693),"")</x:f>
        <x:v>-97.27888879253946</x:v>
      </x:c>
      <x:c r="E1693" s="4" t="n">
        <x:f>IF('계산 과정'!$L$5,B1693*SIN(C1693),"")</x:f>
        <x:v>95.26933665259897</x:v>
      </x:c>
      <x:c r="F1693" s="4" t="n">
        <x:f>IF('계산 과정'!$L$7,'계산 과정'!$L$22+'계산 과정'!$C$49*D1693+'계산 과정'!$D$49*E1693,"")</x:f>
        <x:v>718.7865619314966</x:v>
      </x:c>
      <x:c r="G1693" s="4" t="n">
        <x:f>IF('계산 과정'!$L$7,IF(ABS(F1693)&gt;=1E-12*MAX(1,SQRT((D1693-'계산 과정'!$C$33)^2+(E1693-'계산 과정'!$D$33)^2+'계산 과정'!$E$33^2)),('계산 과정'!$L$23-'계산 과정'!$C$49*D1693-'계산 과정'!$D$49*E1693)/F1693,""),"")</x:f>
        <x:v>0.4607952563532613</x:v>
      </x:c>
      <x:c r="H1693" s="4" t="n">
        <x:f>IF(AND(ISNUMBER(G1693),G1693&gt;0),('계산 과정'!$D$56+'계산 과정'!$D$57*D1693+'계산 과정'!$D$58*E1693)/F1693,"")</x:f>
        <x:v>-100.48308337038033</x:v>
      </x:c>
      <x:c r="I1693" s="4" t="n">
        <x:f>IF(AND(ISNUMBER(G1693),G1693&gt;0),('계산 과정'!$E$56+'계산 과정'!$E$57*D1693+'계산 과정'!$E$58*E1693)/F1693,"")</x:f>
        <x:v>139.16899505803846</x:v>
      </x:c>
      <x:c r="J1693" s="4" t="n">
        <x:f>IF('계산 과정'!$L$5,'계산 과정'!$D$6+'계산 과정'!$C$35*D1693+'계산 과정'!$D$35*E1693,"")</x:f>
        <x:v>718.7865619314966</x:v>
      </x:c>
      <x:c r="K1693" s="4" t="n">
        <x:f>IF(AND('계산 과정'!$L$6,J1693&gt;0),'계산 과정'!$D$10*('계산 과정'!$C$38*(D1693-'계산 과정'!$C$32)+'계산 과정'!$D$38*(E1693-'계산 과정'!$D$32)-'계산 과정'!$E$38*'계산 과정'!$E$32)/J1693,"")</x:f>
        <x:v>-0.765585397107658</x:v>
      </x:c>
      <x:c r="L1693" s="4" t="n">
        <x:f>IF(AND('계산 과정'!$L$6,J1693&gt;0),'계산 과정'!$D$10*('계산 과정'!$C$39*(D1693-'계산 과정'!$C$32)+'계산 과정'!$D$39*(E1693-'계산 과정'!$D$32)-'계산 과정'!$E$39*'계산 과정'!$E$32)/J1693,"")</x:f>
        <x:v>1.0603352004421978</x:v>
      </x:c>
      <x:c r="M1693" s="17" t="n">
        <x:f>IF('계산 과정'!$L$6,IF(J1693&lt;=0,0,IF(AND(ABS(K1693)&lt;='계산 과정'!$D$11/2,ABS(L1693)&lt;='계산 과정'!$D$12/2),1,0)),"")</x:f>
        <x:v>1</x:v>
      </x:c>
      <x:c r="N1693" s="17" t="n">
        <x:f>IF('계산 과정'!$C$78,IF(AND(ISNUMBER(H1693),ISNUMBER(I1693),ABS(H1693-'계산 과정'!$C$88)&lt;='계산 과정'!$D$23/2,ABS(I1693-'계산 과정'!$C$89)&lt;='계산 과정'!$D$24/2),1,0),"")</x:f>
        <x:v>1</x:v>
      </x:c>
      <x:c r="O1693" s="4" t="n">
        <x:f>IF('계산 과정'!$L$7,'계산 과정'!$C$49*('계산 과정'!$C$32-D1693)+'계산 과정'!$D$49*('계산 과정'!$D$32-E1693)+'계산 과정'!$E$49*'계산 과정'!$E$32,"")</x:f>
        <x:v>-68.78656193149652</x:v>
      </x:c>
      <x:c r="P1693" s="4" t="n">
        <x:f>IF(AND('계산 과정'!$L$7,O1693&lt;&gt;0),('계산 과정'!$L$23-'계산 과정'!$C$49*D1693-'계산 과정'!$D$49*E1693)/O1693,"")</x:f>
        <x:v>-4.815089296051076</x:v>
      </x:c>
      <x:c r="Q1693" s="4" t="str">
        <x:f>IF(AND(ISNUMBER(P1693),P1693&gt;1E-9,P1693&lt;1-1E-9),'계산 과정'!$C$47*(D1693-'계산 과정'!$C$50+P1693*('계산 과정'!$C$32-D1693))+'계산 과정'!$D$47*(E1693-'계산 과정'!$D$50+P1693*('계산 과정'!$D$32-E1693))+'계산 과정'!$E$47*(0-'계산 과정'!$E$50+P1693*('계산 과정'!$E$32-0)),"")</x:f>
      </x:c>
      <x:c r="R1693" s="4" t="str">
        <x:f>IF(AND(ISNUMBER(P1693),P1693&gt;1E-9,P1693&lt;1-1E-9),'계산 과정'!$C$48*(D1693-'계산 과정'!$C$50+P1693*('계산 과정'!$C$32-D1693))+'계산 과정'!$D$48*(E1693-'계산 과정'!$D$50+P1693*('계산 과정'!$D$32-E1693))+'계산 과정'!$E$48*(0-'계산 과정'!$E$50+P1693*('계산 과정'!$E$32-0)),"")</x:f>
      </x:c>
      <x:c r="S1693" s="17" t="n">
        <x:f>IF('계산 과정'!$C$78,IF(AND(ISNUMBER(Q1693),ISNUMBER(R1693),ABS(Q1693-'계산 과정'!$C$88)&lt;='계산 과정'!$D$23/2,ABS(R1693-'계산 과정'!$C$89)&lt;='계산 과정'!$D$24/2),1,0),"")</x:f>
        <x:v>0</x:v>
      </x:c>
      <x:c r="T1693" s="4"/>
      <x:c r="U1693" s="4"/>
      <x:c r="V1693" s="4"/>
      <x:c r="W1693" s="4"/>
      <x:c r="X1693" s="4"/>
      <x:c r="Y1693" s="4"/>
      <x:c r="Z1693" s="4"/>
    </x:row>
    <x:row r="1694" ht="23" customHeight="1">
      <x:c r="A1694" s="17" t="n">
        <x:f>ROW()-6</x:f>
        <x:v>1688</x:v>
      </x:c>
      <x:c r="B1694" s="4" t="n">
        <x:f>IF('계산 과정'!$L$5,'계산 과정'!$L$11*SQRT((A1694+0.5)/'계산 과정'!$L$30),"")</x:f>
        <x:v>136.1999083665716</x:v>
      </x:c>
      <x:c r="C1694" s="4" t="n">
        <x:f>A1694*PI()*(3-SQRT(5))</x:f>
        <x:v>4051.137931781966</x:v>
      </x:c>
      <x:c r="D1694" s="4" t="n">
        <x:f>IF('계산 과정'!$L$5,B1694*COS(C1694),"")</x:f>
        <x:v>7.379098268329927</x:v>
      </x:c>
      <x:c r="E1694" s="4" t="n">
        <x:f>IF('계산 과정'!$L$5,B1694*SIN(C1694),"")</x:f>
        <x:v>-135.99986745511495</x:v>
      </x:c>
      <x:c r="F1694" s="4" t="n">
        <x:f>IF('계산 과정'!$L$7,'계산 과정'!$L$22+'계산 과정'!$C$49*D1694+'계산 과정'!$D$49*E1694,"")</x:f>
        <x:v>644.782189575422</x:v>
      </x:c>
      <x:c r="G1694" s="4" t="n">
        <x:f>IF('계산 과정'!$L$7,IF(ABS(F1694)&gt;=1E-12*MAX(1,SQRT((D1694-'계산 과정'!$C$33)^2+(E1694-'계산 과정'!$D$33)^2+'계산 과정'!$E$33^2)),('계산 과정'!$L$23-'계산 과정'!$C$49*D1694-'계산 과정'!$D$49*E1694)/F1694,""),"")</x:f>
        <x:v>0.6284568912975201</x:v>
      </x:c>
      <x:c r="H1694" s="4" t="n">
        <x:f>IF(AND(ISNUMBER(G1694),G1694&gt;0),('계산 과정'!$D$56+'계산 과정'!$D$57*D1694+'계산 과정'!$D$58*E1694)/F1694,"")</x:f>
        <x:v>8.496979343387975</x:v>
      </x:c>
      <x:c r="I1694" s="4" t="n">
        <x:f>IF(AND(ISNUMBER(G1694),G1694&gt;0),('계산 과정'!$E$56+'계산 과정'!$E$57*D1694+'계산 과정'!$E$58*E1694)/F1694,"")</x:f>
        <x:v>-221.4699213728313</x:v>
      </x:c>
      <x:c r="J1694" s="4" t="n">
        <x:f>IF('계산 과정'!$L$5,'계산 과정'!$D$6+'계산 과정'!$C$35*D1694+'계산 과정'!$D$35*E1694,"")</x:f>
        <x:v>644.782189575422</x:v>
      </x:c>
      <x:c r="K1694" s="4" t="n">
        <x:f>IF(AND('계산 과정'!$L$6,J1694&gt;0),'계산 과정'!$D$10*('계산 과정'!$C$38*(D1694-'계산 과정'!$C$32)+'계산 과정'!$D$38*(E1694-'계산 과정'!$D$32)-'계산 과정'!$E$38*'계산 과정'!$E$32)/J1694,"")</x:f>
        <x:v>0.0647388902353382</x:v>
      </x:c>
      <x:c r="L1694" s="4" t="n">
        <x:f>IF(AND('계산 과정'!$L$6,J1694&gt;0),'계산 과정'!$D$10*('계산 과정'!$C$39*(D1694-'계산 과정'!$C$32)+'계산 과정'!$D$39*(E1694-'계산 과정'!$D$32)-'계산 과정'!$E$39*'계산 과정'!$E$32)/J1694,"")</x:f>
        <x:v>-1.6873898771263336</x:v>
      </x:c>
      <x:c r="M1694" s="17" t="n">
        <x:f>IF('계산 과정'!$L$6,IF(J1694&lt;=0,0,IF(AND(ABS(K1694)&lt;='계산 과정'!$D$11/2,ABS(L1694)&lt;='계산 과정'!$D$12/2),1,0)),"")</x:f>
        <x:v>1</x:v>
      </x:c>
      <x:c r="N1694" s="17" t="n">
        <x:f>IF('계산 과정'!$C$78,IF(AND(ISNUMBER(H1694),ISNUMBER(I1694),ABS(H1694-'계산 과정'!$C$88)&lt;='계산 과정'!$D$23/2,ABS(I1694-'계산 과정'!$C$89)&lt;='계산 과정'!$D$24/2),1,0),"")</x:f>
        <x:v>1</x:v>
      </x:c>
      <x:c r="O1694" s="4" t="n">
        <x:f>IF('계산 과정'!$L$7,'계산 과정'!$C$49*('계산 과정'!$C$32-D1694)+'계산 과정'!$D$49*('계산 과정'!$D$32-E1694)+'계산 과정'!$E$49*'계산 과정'!$E$32,"")</x:f>
        <x:v>5.21781042457809</x:v>
      </x:c>
      <x:c r="P1694" s="4" t="n">
        <x:f>IF(AND('계산 과정'!$L$7,O1694&lt;&gt;0),('계산 과정'!$L$23-'계산 과정'!$C$49*D1694-'계산 과정'!$D$49*E1694)/O1694,"")</x:f>
        <x:v>77.66050842242772</x:v>
      </x:c>
      <x:c r="Q1694" s="4" t="str">
        <x:f>IF(AND(ISNUMBER(P1694),P1694&gt;1E-9,P1694&lt;1-1E-9),'계산 과정'!$C$47*(D1694-'계산 과정'!$C$50+P1694*('계산 과정'!$C$32-D1694))+'계산 과정'!$D$47*(E1694-'계산 과정'!$D$50+P1694*('계산 과정'!$D$32-E1694))+'계산 과정'!$E$47*(0-'계산 과정'!$E$50+P1694*('계산 과정'!$E$32-0)),"")</x:f>
      </x:c>
      <x:c r="R1694" s="4" t="str">
        <x:f>IF(AND(ISNUMBER(P1694),P1694&gt;1E-9,P1694&lt;1-1E-9),'계산 과정'!$C$48*(D1694-'계산 과정'!$C$50+P1694*('계산 과정'!$C$32-D1694))+'계산 과정'!$D$48*(E1694-'계산 과정'!$D$50+P1694*('계산 과정'!$D$32-E1694))+'계산 과정'!$E$48*(0-'계산 과정'!$E$50+P1694*('계산 과정'!$E$32-0)),"")</x:f>
      </x:c>
      <x:c r="S1694" s="17" t="n">
        <x:f>IF('계산 과정'!$C$78,IF(AND(ISNUMBER(Q1694),ISNUMBER(R1694),ABS(Q1694-'계산 과정'!$C$88)&lt;='계산 과정'!$D$23/2,ABS(R1694-'계산 과정'!$C$89)&lt;='계산 과정'!$D$24/2),1,0),"")</x:f>
        <x:v>0</x:v>
      </x:c>
      <x:c r="T1694" s="4"/>
      <x:c r="U1694" s="4"/>
      <x:c r="V1694" s="4"/>
      <x:c r="W1694" s="4"/>
      <x:c r="X1694" s="4"/>
      <x:c r="Y1694" s="4"/>
      <x:c r="Z1694" s="4"/>
    </x:row>
    <x:row r="1695" ht="23" customHeight="1">
      <x:c r="A1695" s="17" t="n">
        <x:f>ROW()-6</x:f>
        <x:v>1689</x:v>
      </x:c>
      <x:c r="B1695" s="4" t="n">
        <x:f>IF('계산 과정'!$L$5,'계산 과정'!$L$11*SQRT((A1695+0.5)/'계산 과정'!$L$30),"")</x:f>
        <x:v>136.2402340250027</x:v>
      </x:c>
      <x:c r="C1695" s="4" t="n">
        <x:f>A1695*PI()*(3-SQRT(5))</x:f>
        <x:v>4053.537895011694</x:v>
      </x:c>
      <x:c r="D1695" s="4" t="n">
        <x:f>IF('계산 과정'!$L$5,B1695*COS(C1695),"")</x:f>
        <x:v>86.4510616691086</x:v>
      </x:c>
      <x:c r="E1695" s="4" t="n">
        <x:f>IF('계산 과정'!$L$5,B1695*SIN(C1695),"")</x:f>
        <x:v>105.29774595627147</x:v>
      </x:c>
      <x:c r="F1695" s="4" t="n">
        <x:f>IF('계산 과정'!$L$7,'계산 과정'!$L$22+'계산 과정'!$C$49*D1695+'계산 과정'!$D$49*E1695,"")</x:f>
        <x:v>588.8698680529969</x:v>
      </x:c>
      <x:c r="G1695" s="4" t="n">
        <x:f>IF('계산 과정'!$L$7,IF(ABS(F1695)&gt;=1E-12*MAX(1,SQRT((D1695-'계산 과정'!$C$33)^2+(E1695-'계산 과정'!$D$33)^2+'계산 과정'!$E$33^2)),('계산 과정'!$L$23-'계산 과정'!$C$49*D1695-'계산 과정'!$D$49*E1695)/F1695,""),"")</x:f>
        <x:v>0.7830764604608745</x:v>
      </x:c>
      <x:c r="H1695" s="4" t="n">
        <x:f>IF(AND(ISNUMBER(G1695),G1695&gt;0),('계산 과정'!$D$56+'계산 과정'!$D$57*D1695+'계산 과정'!$D$58*E1695)/F1695,"")</x:f>
        <x:v>108.99969929956842</x:v>
      </x:c>
      <x:c r="I1695" s="4" t="n">
        <x:f>IF(AND(ISNUMBER(G1695),G1695&gt;0),('계산 과정'!$E$56+'계산 과정'!$E$57*D1695+'계산 과정'!$E$58*E1695)/F1695,"")</x:f>
        <x:v>187.7539321542169</x:v>
      </x:c>
      <x:c r="J1695" s="4" t="n">
        <x:f>IF('계산 과정'!$L$5,'계산 과정'!$D$6+'계산 과정'!$C$35*D1695+'계산 과정'!$D$35*E1695,"")</x:f>
        <x:v>588.8698680529969</x:v>
      </x:c>
      <x:c r="K1695" s="4" t="n">
        <x:f>IF(AND('계산 과정'!$L$6,J1695&gt;0),'계산 과정'!$D$10*('계산 과정'!$C$38*(D1695-'계산 과정'!$C$32)+'계산 과정'!$D$38*(E1695-'계산 과정'!$D$32)-'계산 과정'!$E$38*'계산 과정'!$E$32)/J1695,"")</x:f>
        <x:v>0.8304738994252843</x:v>
      </x:c>
      <x:c r="L1695" s="4" t="n">
        <x:f>IF(AND('계산 과정'!$L$6,J1695&gt;0),'계산 과정'!$D$10*('계산 과정'!$C$39*(D1695-'계산 과정'!$C$32)+'계산 과정'!$D$39*(E1695-'계산 과정'!$D$32)-'계산 과정'!$E$39*'계산 과정'!$E$32)/J1695,"")</x:f>
        <x:v>1.4305061497464144</x:v>
      </x:c>
      <x:c r="M1695" s="17" t="n">
        <x:f>IF('계산 과정'!$L$6,IF(J1695&lt;=0,0,IF(AND(ABS(K1695)&lt;='계산 과정'!$D$11/2,ABS(L1695)&lt;='계산 과정'!$D$12/2),1,0)),"")</x:f>
        <x:v>1</x:v>
      </x:c>
      <x:c r="N1695" s="17" t="n">
        <x:f>IF('계산 과정'!$C$78,IF(AND(ISNUMBER(H1695),ISNUMBER(I1695),ABS(H1695-'계산 과정'!$C$88)&lt;='계산 과정'!$D$23/2,ABS(I1695-'계산 과정'!$C$89)&lt;='계산 과정'!$D$24/2),1,0),"")</x:f>
        <x:v>1</x:v>
      </x:c>
      <x:c r="O1695" s="4" t="n">
        <x:f>IF('계산 과정'!$L$7,'계산 과정'!$C$49*('계산 과정'!$C$32-D1695)+'계산 과정'!$D$49*('계산 과정'!$D$32-E1695)+'계산 과정'!$E$49*'계산 과정'!$E$32,"")</x:f>
        <x:v>61.13013194700318</x:v>
      </x:c>
      <x:c r="P1695" s="4" t="n">
        <x:f>IF(AND('계산 과정'!$L$7,O1695&lt;&gt;0),('계산 과정'!$L$23-'계산 과정'!$C$49*D1695-'계산 과정'!$D$49*E1695)/O1695,"")</x:f>
        <x:v>7.543417906357216</x:v>
      </x:c>
      <x:c r="Q1695" s="4" t="str">
        <x:f>IF(AND(ISNUMBER(P1695),P1695&gt;1E-9,P1695&lt;1-1E-9),'계산 과정'!$C$47*(D1695-'계산 과정'!$C$50+P1695*('계산 과정'!$C$32-D1695))+'계산 과정'!$D$47*(E1695-'계산 과정'!$D$50+P1695*('계산 과정'!$D$32-E1695))+'계산 과정'!$E$47*(0-'계산 과정'!$E$50+P1695*('계산 과정'!$E$32-0)),"")</x:f>
      </x:c>
      <x:c r="R1695" s="4" t="str">
        <x:f>IF(AND(ISNUMBER(P1695),P1695&gt;1E-9,P1695&lt;1-1E-9),'계산 과정'!$C$48*(D1695-'계산 과정'!$C$50+P1695*('계산 과정'!$C$32-D1695))+'계산 과정'!$D$48*(E1695-'계산 과정'!$D$50+P1695*('계산 과정'!$D$32-E1695))+'계산 과정'!$E$48*(0-'계산 과정'!$E$50+P1695*('계산 과정'!$E$32-0)),"")</x:f>
      </x:c>
      <x:c r="S1695" s="17" t="n">
        <x:f>IF('계산 과정'!$C$78,IF(AND(ISNUMBER(Q1695),ISNUMBER(R1695),ABS(Q1695-'계산 과정'!$C$88)&lt;='계산 과정'!$D$23/2,ABS(R1695-'계산 과정'!$C$89)&lt;='계산 과정'!$D$24/2),1,0),"")</x:f>
        <x:v>0</x:v>
      </x:c>
      <x:c r="T1695" s="4"/>
      <x:c r="U1695" s="4"/>
      <x:c r="V1695" s="4"/>
      <x:c r="W1695" s="4"/>
      <x:c r="X1695" s="4"/>
      <x:c r="Y1695" s="4"/>
      <x:c r="Z1695" s="4"/>
    </x:row>
    <x:row r="1696" ht="23" customHeight="1">
      <x:c r="A1696" s="17" t="n">
        <x:f>ROW()-6</x:f>
        <x:v>1690</x:v>
      </x:c>
      <x:c r="B1696" s="4" t="n">
        <x:f>IF('계산 과정'!$L$5,'계산 과정'!$L$11*SQRT((A1696+0.5)/'계산 과정'!$L$30),"")</x:f>
        <x:v>136.28054775099966</x:v>
      </x:c>
      <x:c r="C1696" s="4" t="n">
        <x:f>A1696*PI()*(3-SQRT(5))</x:f>
        <x:v>4055.9378582414233</x:v>
      </x:c>
      <x:c r="D1696" s="4" t="n">
        <x:f>IF('계산 과정'!$L$5,B1696*COS(C1696),"")</x:f>
        <x:v>-134.91383718625505</x:v>
      </x:c>
      <x:c r="E1696" s="4" t="n">
        <x:f>IF('계산 과정'!$L$5,B1696*SIN(C1696),"")</x:f>
        <x:v>-19.252122765896893</x:v>
      </x:c>
      <x:c r="F1696" s="4" t="n">
        <x:f>IF('계산 과정'!$L$7,'계산 과정'!$L$22+'계산 과정'!$C$49*D1696+'계산 과정'!$D$49*E1696,"")</x:f>
        <x:v>745.3984891502987</x:v>
      </x:c>
      <x:c r="G1696" s="4" t="n">
        <x:f>IF('계산 과정'!$L$7,IF(ABS(F1696)&gt;=1E-12*MAX(1,SQRT((D1696-'계산 과정'!$C$33)^2+(E1696-'계산 과정'!$D$33)^2+'계산 과정'!$E$33^2)),('계산 과정'!$L$23-'계산 과정'!$C$49*D1696-'계산 과정'!$D$49*E1696)/F1696,""),"")</x:f>
        <x:v>0.4086425117347975</x:v>
      </x:c>
      <x:c r="H1696" s="4" t="n">
        <x:f>IF(AND(ISNUMBER(G1696),G1696&gt;0),('계산 과정'!$D$56+'계산 과정'!$D$57*D1696+'계산 과정'!$D$58*E1696)/F1696,"")</x:f>
        <x:v>-134.3823673723818</x:v>
      </x:c>
      <x:c r="I1696" s="4" t="n">
        <x:f>IF(AND(ISNUMBER(G1696),G1696&gt;0),('계산 과정'!$E$56+'계산 과정'!$E$57*D1696+'계산 과정'!$E$58*E1696)/F1696,"")</x:f>
        <x:v>-27.119358569179674</x:v>
      </x:c>
      <x:c r="J1696" s="4" t="n">
        <x:f>IF('계산 과정'!$L$5,'계산 과정'!$D$6+'계산 과정'!$C$35*D1696+'계산 과정'!$D$35*E1696,"")</x:f>
        <x:v>745.3984891502987</x:v>
      </x:c>
      <x:c r="K1696" s="4" t="n">
        <x:f>IF(AND('계산 과정'!$L$6,J1696&gt;0),'계산 과정'!$D$10*('계산 과정'!$C$38*(D1696-'계산 과정'!$C$32)+'계산 과정'!$D$38*(E1696-'계산 과정'!$D$32)-'계산 과정'!$E$38*'계산 과정'!$E$32)/J1696,"")</x:f>
        <x:v>-1.023865656170527</x:v>
      </x:c>
      <x:c r="L1696" s="4" t="n">
        <x:f>IF(AND('계산 과정'!$L$6,J1696&gt;0),'계산 과정'!$D$10*('계산 과정'!$C$39*(D1696-'계산 과정'!$C$32)+'계산 과정'!$D$39*(E1696-'계산 과정'!$D$32)-'계산 과정'!$E$39*'계산 과정'!$E$32)/J1696,"")</x:f>
        <x:v>-0.20662368433660705</x:v>
      </x:c>
      <x:c r="M1696" s="17" t="n">
        <x:f>IF('계산 과정'!$L$6,IF(J1696&lt;=0,0,IF(AND(ABS(K1696)&lt;='계산 과정'!$D$11/2,ABS(L1696)&lt;='계산 과정'!$D$12/2),1,0)),"")</x:f>
        <x:v>1</x:v>
      </x:c>
      <x:c r="N1696" s="17" t="n">
        <x:f>IF('계산 과정'!$C$78,IF(AND(ISNUMBER(H1696),ISNUMBER(I1696),ABS(H1696-'계산 과정'!$C$88)&lt;='계산 과정'!$D$23/2,ABS(I1696-'계산 과정'!$C$89)&lt;='계산 과정'!$D$24/2),1,0),"")</x:f>
        <x:v>1</x:v>
      </x:c>
      <x:c r="O1696" s="4" t="n">
        <x:f>IF('계산 과정'!$L$7,'계산 과정'!$C$49*('계산 과정'!$C$32-D1696)+'계산 과정'!$D$49*('계산 과정'!$D$32-E1696)+'계산 과정'!$E$49*'계산 과정'!$E$32,"")</x:f>
        <x:v>-95.39848915029859</x:v>
      </x:c>
      <x:c r="P1696" s="4" t="n">
        <x:f>IF(AND('계산 과정'!$L$7,O1696&lt;&gt;0),('계산 과정'!$L$23-'계산 과정'!$C$49*D1696-'계산 과정'!$D$49*E1696)/O1696,"")</x:f>
        <x:v>-3.192938520963441</x:v>
      </x:c>
      <x:c r="Q1696" s="4" t="str">
        <x:f>IF(AND(ISNUMBER(P1696),P1696&gt;1E-9,P1696&lt;1-1E-9),'계산 과정'!$C$47*(D1696-'계산 과정'!$C$50+P1696*('계산 과정'!$C$32-D1696))+'계산 과정'!$D$47*(E1696-'계산 과정'!$D$50+P1696*('계산 과정'!$D$32-E1696))+'계산 과정'!$E$47*(0-'계산 과정'!$E$50+P1696*('계산 과정'!$E$32-0)),"")</x:f>
      </x:c>
      <x:c r="R1696" s="4" t="str">
        <x:f>IF(AND(ISNUMBER(P1696),P1696&gt;1E-9,P1696&lt;1-1E-9),'계산 과정'!$C$48*(D1696-'계산 과정'!$C$50+P1696*('계산 과정'!$C$32-D1696))+'계산 과정'!$D$48*(E1696-'계산 과정'!$D$50+P1696*('계산 과정'!$D$32-E1696))+'계산 과정'!$E$48*(0-'계산 과정'!$E$50+P1696*('계산 과정'!$E$32-0)),"")</x:f>
      </x:c>
      <x:c r="S1696" s="17" t="n">
        <x:f>IF('계산 과정'!$C$78,IF(AND(ISNUMBER(Q1696),ISNUMBER(R1696),ABS(Q1696-'계산 과정'!$C$88)&lt;='계산 과정'!$D$23/2,ABS(R1696-'계산 과정'!$C$89)&lt;='계산 과정'!$D$24/2),1,0),"")</x:f>
        <x:v>0</x:v>
      </x:c>
      <x:c r="T1696" s="4"/>
      <x:c r="U1696" s="4"/>
      <x:c r="V1696" s="4"/>
      <x:c r="W1696" s="4"/>
      <x:c r="X1696" s="4"/>
      <x:c r="Y1696" s="4"/>
      <x:c r="Z1696" s="4"/>
    </x:row>
    <x:row r="1697" ht="23" customHeight="1">
      <x:c r="A1697" s="17" t="n">
        <x:f>ROW()-6</x:f>
        <x:v>1691</x:v>
      </x:c>
      <x:c r="B1697" s="4" t="n">
        <x:f>IF('계산 과정'!$L$5,'계산 과정'!$L$11*SQRT((A1697+0.5)/'계산 과정'!$L$30),"")</x:f>
        <x:v>136.32084955514875</x:v>
      </x:c>
      <x:c r="C1697" s="4" t="n">
        <x:f>A1697*PI()*(3-SQRT(5))</x:f>
        <x:v>4058.3378214711524</x:v>
      </x:c>
      <x:c r="D1697" s="4" t="n">
        <x:f>IF('계산 과정'!$L$5,B1697*COS(C1697),"")</x:f>
        <x:v>112.51915192189126</x:v>
      </x:c>
      <x:c r="E1697" s="4" t="n">
        <x:f>IF('계산 과정'!$L$5,B1697*SIN(C1697),"")</x:f>
        <x:v>-76.9598237667931</x:v>
      </x:c>
      <x:c r="F1697" s="4" t="n">
        <x:f>IF('계산 과정'!$L$7,'계산 과정'!$L$22+'계산 과정'!$C$49*D1697+'계산 과정'!$D$49*E1697,"")</x:f>
        <x:v>570.4369446626713</x:v>
      </x:c>
      <x:c r="G1697" s="4" t="n">
        <x:f>IF('계산 과정'!$L$7,IF(ABS(F1697)&gt;=1E-12*MAX(1,SQRT((D1697-'계산 과정'!$C$33)^2+(E1697-'계산 과정'!$D$33)^2+'계산 과정'!$E$33^2)),('계산 과정'!$L$23-'계산 과정'!$C$49*D1697-'계산 과정'!$D$49*E1697)/F1697,""),"")</x:f>
        <x:v>0.840694242938488</x:v>
      </x:c>
      <x:c r="H1697" s="4" t="n">
        <x:f>IF(AND(ISNUMBER(G1697),G1697&gt;0),('계산 과정'!$D$56+'계산 과정'!$D$57*D1697+'계산 과정'!$D$58*E1697)/F1697,"")</x:f>
        <x:v>146.45125791001712</x:v>
      </x:c>
      <x:c r="I1697" s="4" t="n">
        <x:f>IF(AND(ISNUMBER(G1697),G1697&gt;0),('계산 과정'!$E$56+'계산 과정'!$E$57*D1697+'계산 과정'!$E$58*E1697)/F1697,"")</x:f>
        <x:v>-141.6595045450967</x:v>
      </x:c>
      <x:c r="J1697" s="4" t="n">
        <x:f>IF('계산 과정'!$L$5,'계산 과정'!$D$6+'계산 과정'!$C$35*D1697+'계산 과정'!$D$35*E1697,"")</x:f>
        <x:v>570.4369446626713</x:v>
      </x:c>
      <x:c r="K1697" s="4" t="n">
        <x:f>IF(AND('계산 과정'!$L$6,J1697&gt;0),'계산 과정'!$D$10*('계산 과정'!$C$38*(D1697-'계산 과정'!$C$32)+'계산 과정'!$D$38*(E1697-'계산 과정'!$D$32)-'계산 과정'!$E$38*'계산 과정'!$E$32)/J1697,"")</x:f>
        <x:v>1.1158191078858457</x:v>
      </x:c>
      <x:c r="L1697" s="4" t="n">
        <x:f>IF(AND('계산 과정'!$L$6,J1697&gt;0),'계산 과정'!$D$10*('계산 과정'!$C$39*(D1697-'계산 과정'!$C$32)+'계산 과정'!$D$39*(E1697-'계산 과정'!$D$32)-'계산 과정'!$E$39*'계산 과정'!$E$32)/J1697,"")</x:f>
        <x:v>-1.0793105108197842</x:v>
      </x:c>
      <x:c r="M1697" s="17" t="n">
        <x:f>IF('계산 과정'!$L$6,IF(J1697&lt;=0,0,IF(AND(ABS(K1697)&lt;='계산 과정'!$D$11/2,ABS(L1697)&lt;='계산 과정'!$D$12/2),1,0)),"")</x:f>
        <x:v>1</x:v>
      </x:c>
      <x:c r="N1697" s="17" t="n">
        <x:f>IF('계산 과정'!$C$78,IF(AND(ISNUMBER(H1697),ISNUMBER(I1697),ABS(H1697-'계산 과정'!$C$88)&lt;='계산 과정'!$D$23/2,ABS(I1697-'계산 과정'!$C$89)&lt;='계산 과정'!$D$24/2),1,0),"")</x:f>
        <x:v>1</x:v>
      </x:c>
      <x:c r="O1697" s="4" t="n">
        <x:f>IF('계산 과정'!$L$7,'계산 과정'!$C$49*('계산 과정'!$C$32-D1697)+'계산 과정'!$D$49*('계산 과정'!$D$32-E1697)+'계산 과정'!$E$49*'계산 과정'!$E$32,"")</x:f>
        <x:v>79.56305533732876</x:v>
      </x:c>
      <x:c r="P1697" s="4" t="n">
        <x:f>IF(AND('계산 과정'!$L$7,O1697&lt;&gt;0),('계산 과정'!$L$23-'계산 과정'!$C$49*D1697-'계산 과정'!$D$49*E1697)/O1697,"")</x:f>
        <x:v>6.027459017305122</x:v>
      </x:c>
      <x:c r="Q1697" s="4" t="str">
        <x:f>IF(AND(ISNUMBER(P1697),P1697&gt;1E-9,P1697&lt;1-1E-9),'계산 과정'!$C$47*(D1697-'계산 과정'!$C$50+P1697*('계산 과정'!$C$32-D1697))+'계산 과정'!$D$47*(E1697-'계산 과정'!$D$50+P1697*('계산 과정'!$D$32-E1697))+'계산 과정'!$E$47*(0-'계산 과정'!$E$50+P1697*('계산 과정'!$E$32-0)),"")</x:f>
      </x:c>
      <x:c r="R1697" s="4" t="str">
        <x:f>IF(AND(ISNUMBER(P1697),P1697&gt;1E-9,P1697&lt;1-1E-9),'계산 과정'!$C$48*(D1697-'계산 과정'!$C$50+P1697*('계산 과정'!$C$32-D1697))+'계산 과정'!$D$48*(E1697-'계산 과정'!$D$50+P1697*('계산 과정'!$D$32-E1697))+'계산 과정'!$E$48*(0-'계산 과정'!$E$50+P1697*('계산 과정'!$E$32-0)),"")</x:f>
      </x:c>
      <x:c r="S1697" s="17" t="n">
        <x:f>IF('계산 과정'!$C$78,IF(AND(ISNUMBER(Q1697),ISNUMBER(R1697),ABS(Q1697-'계산 과정'!$C$88)&lt;='계산 과정'!$D$23/2,ABS(R1697-'계산 과정'!$C$89)&lt;='계산 과정'!$D$24/2),1,0),"")</x:f>
        <x:v>0</x:v>
      </x:c>
      <x:c r="T1697" s="4"/>
      <x:c r="U1697" s="4"/>
      <x:c r="V1697" s="4"/>
      <x:c r="W1697" s="4"/>
      <x:c r="X1697" s="4"/>
      <x:c r="Y1697" s="4"/>
      <x:c r="Z1697" s="4"/>
    </x:row>
    <x:row r="1698" ht="23" customHeight="1">
      <x:c r="A1698" s="17" t="n">
        <x:f>ROW()-6</x:f>
        <x:v>1692</x:v>
      </x:c>
      <x:c r="B1698" s="4" t="n">
        <x:f>IF('계산 과정'!$L$5,'계산 과정'!$L$11*SQRT((A1698+0.5)/'계산 과정'!$L$30),"")</x:f>
        <x:v>136.36113944802054</x:v>
      </x:c>
      <x:c r="C1698" s="4" t="n">
        <x:f>A1698*PI()*(3-SQRT(5))</x:f>
        <x:v>4060.7377847008806</x:v>
      </x:c>
      <x:c r="D1698" s="4" t="n">
        <x:f>IF('계산 과정'!$L$5,B1698*COS(C1698),"")</x:f>
        <x:v>-30.991663752658027</x:v>
      </x:c>
      <x:c r="E1698" s="4" t="n">
        <x:f>IF('계산 과정'!$L$5,B1698*SIN(C1698),"")</x:f>
        <x:v>132.792609468316</x:v>
      </x:c>
      <x:c r="F1698" s="4" t="n">
        <x:f>IF('계산 과정'!$L$7,'계산 과정'!$L$22+'계산 과정'!$C$49*D1698+'계산 과정'!$D$49*E1698,"")</x:f>
        <x:v>671.9144155997578</x:v>
      </x:c>
      <x:c r="G1698" s="4" t="n">
        <x:f>IF('계산 과정'!$L$7,IF(ABS(F1698)&gt;=1E-12*MAX(1,SQRT((D1698-'계산 과정'!$C$33)^2+(E1698-'계산 과정'!$D$33)^2+'계산 과정'!$E$33^2)),('계산 과정'!$L$23-'계산 과정'!$C$49*D1698-'계산 과정'!$D$49*E1698)/F1698,""),"")</x:f>
        <x:v>0.5626990218133049</x:v>
      </x:c>
      <x:c r="H1698" s="4" t="n">
        <x:f>IF(AND(ISNUMBER(G1698),G1698&gt;0),('계산 과정'!$D$56+'계산 과정'!$D$57*D1698+'계산 과정'!$D$58*E1698)/F1698,"")</x:f>
        <x:v>-34.24563582135188</x:v>
      </x:c>
      <x:c r="I1698" s="4" t="n">
        <x:f>IF(AND(ISNUMBER(G1698),G1698&gt;0),('계산 과정'!$E$56+'계산 과정'!$E$57*D1698+'계산 과정'!$E$58*E1698)/F1698,"")</x:f>
        <x:v>207.51488092017362</x:v>
      </x:c>
      <x:c r="J1698" s="4" t="n">
        <x:f>IF('계산 과정'!$L$5,'계산 과정'!$D$6+'계산 과정'!$C$35*D1698+'계산 과정'!$D$35*E1698,"")</x:f>
        <x:v>671.9144155997578</x:v>
      </x:c>
      <x:c r="K1698" s="4" t="n">
        <x:f>IF(AND('계산 과정'!$L$6,J1698&gt;0),'계산 과정'!$D$10*('계산 과정'!$C$38*(D1698-'계산 과정'!$C$32)+'계산 과정'!$D$38*(E1698-'계산 과정'!$D$32)-'계산 과정'!$E$38*'계산 과정'!$E$32)/J1698,"")</x:f>
        <x:v>-0.2609191300674422</x:v>
      </x:c>
      <x:c r="L1698" s="4" t="n">
        <x:f>IF(AND('계산 과정'!$L$6,J1698&gt;0),'계산 과정'!$D$10*('계산 과정'!$C$39*(D1698-'계산 과정'!$C$32)+'계산 과정'!$D$39*(E1698-'계산 과정'!$D$32)-'계산 과정'!$E$39*'계산 과정'!$E$32)/J1698,"")</x:f>
        <x:v>1.581065759391799</x:v>
      </x:c>
      <x:c r="M1698" s="17" t="n">
        <x:f>IF('계산 과정'!$L$6,IF(J1698&lt;=0,0,IF(AND(ABS(K1698)&lt;='계산 과정'!$D$11/2,ABS(L1698)&lt;='계산 과정'!$D$12/2),1,0)),"")</x:f>
        <x:v>1</x:v>
      </x:c>
      <x:c r="N1698" s="17" t="n">
        <x:f>IF('계산 과정'!$C$78,IF(AND(ISNUMBER(H1698),ISNUMBER(I1698),ABS(H1698-'계산 과정'!$C$88)&lt;='계산 과정'!$D$23/2,ABS(I1698-'계산 과정'!$C$89)&lt;='계산 과정'!$D$24/2),1,0),"")</x:f>
        <x:v>1</x:v>
      </x:c>
      <x:c r="O1698" s="4" t="n">
        <x:f>IF('계산 과정'!$L$7,'계산 과정'!$C$49*('계산 과정'!$C$32-D1698)+'계산 과정'!$D$49*('계산 과정'!$D$32-E1698)+'계산 과정'!$E$49*'계산 과정'!$E$32,"")</x:f>
        <x:v>-21.914415599757717</x:v>
      </x:c>
      <x:c r="P1698" s="4" t="n">
        <x:f>IF(AND('계산 과정'!$L$7,O1698&lt;&gt;0),('계산 과정'!$L$23-'계산 과정'!$C$49*D1698-'계산 과정'!$D$49*E1698)/O1698,"")</x:f>
        <x:v>-17.25282532309108</x:v>
      </x:c>
      <x:c r="Q1698" s="4" t="str">
        <x:f>IF(AND(ISNUMBER(P1698),P1698&gt;1E-9,P1698&lt;1-1E-9),'계산 과정'!$C$47*(D1698-'계산 과정'!$C$50+P1698*('계산 과정'!$C$32-D1698))+'계산 과정'!$D$47*(E1698-'계산 과정'!$D$50+P1698*('계산 과정'!$D$32-E1698))+'계산 과정'!$E$47*(0-'계산 과정'!$E$50+P1698*('계산 과정'!$E$32-0)),"")</x:f>
      </x:c>
      <x:c r="R1698" s="4" t="str">
        <x:f>IF(AND(ISNUMBER(P1698),P1698&gt;1E-9,P1698&lt;1-1E-9),'계산 과정'!$C$48*(D1698-'계산 과정'!$C$50+P1698*('계산 과정'!$C$32-D1698))+'계산 과정'!$D$48*(E1698-'계산 과정'!$D$50+P1698*('계산 과정'!$D$32-E1698))+'계산 과정'!$E$48*(0-'계산 과정'!$E$50+P1698*('계산 과정'!$E$32-0)),"")</x:f>
      </x:c>
      <x:c r="S1698" s="17" t="n">
        <x:f>IF('계산 과정'!$C$78,IF(AND(ISNUMBER(Q1698),ISNUMBER(R1698),ABS(Q1698-'계산 과정'!$C$88)&lt;='계산 과정'!$D$23/2,ABS(R1698-'계산 과정'!$C$89)&lt;='계산 과정'!$D$24/2),1,0),"")</x:f>
        <x:v>0</x:v>
      </x:c>
      <x:c r="T1698" s="4"/>
      <x:c r="U1698" s="4"/>
      <x:c r="V1698" s="4"/>
      <x:c r="W1698" s="4"/>
      <x:c r="X1698" s="4"/>
      <x:c r="Y1698" s="4"/>
      <x:c r="Z1698" s="4"/>
    </x:row>
    <x:row r="1699" ht="23" customHeight="1">
      <x:c r="A1699" s="17" t="n">
        <x:f>ROW()-6</x:f>
        <x:v>1693</x:v>
      </x:c>
      <x:c r="B1699" s="4" t="n">
        <x:f>IF('계산 과정'!$L$5,'계산 과정'!$L$11*SQRT((A1699+0.5)/'계산 과정'!$L$30),"")</x:f>
        <x:v>136.40141744016995</x:v>
      </x:c>
      <x:c r="C1699" s="4" t="n">
        <x:f>A1699*PI()*(3-SQRT(5))</x:f>
        <x:v>4063.1377479306093</x:v>
      </x:c>
      <x:c r="D1699" s="4" t="n">
        <x:f>IF('계산 과정'!$L$5,B1699*COS(C1699),"")</x:f>
        <x:v>-66.86757584952755</x:v>
      </x:c>
      <x:c r="E1699" s="4" t="n">
        <x:f>IF('계산 과정'!$L$5,B1699*SIN(C1699),"")</x:f>
        <x:v>-118.88681163062276</x:v>
      </x:c>
      <x:c r="F1699" s="4" t="n">
        <x:f>IF('계산 과정'!$L$7,'계산 과정'!$L$22+'계산 과정'!$C$49*D1699+'계산 과정'!$D$49*E1699,"")</x:f>
        <x:v>697.2825163247068</x:v>
      </x:c>
      <x:c r="G1699" s="4" t="n">
        <x:f>IF('계산 과정'!$L$7,IF(ABS(F1699)&gt;=1E-12*MAX(1,SQRT((D1699-'계산 과정'!$C$33)^2+(E1699-'계산 과정'!$D$33)^2+'계산 과정'!$E$33^2)),('계산 과정'!$L$23-'계산 과정'!$C$49*D1699-'계산 과정'!$D$49*E1699)/F1699,""),"")</x:f>
        <x:v>0.5058458736846367</x:v>
      </x:c>
      <x:c r="H1699" s="4" t="n">
        <x:f>IF(AND(ISNUMBER(G1699),G1699&gt;0),('계산 과정'!$D$56+'계산 과정'!$D$57*D1699+'계산 과정'!$D$58*E1699)/F1699,"")</x:f>
        <x:v>-71.20018210498625</x:v>
      </x:c>
      <x:c r="I1699" s="4" t="n">
        <x:f>IF(AND(ISNUMBER(G1699),G1699&gt;0),('계산 과정'!$E$56+'계산 과정'!$E$57*D1699+'계산 과정'!$E$58*E1699)/F1699,"")</x:f>
        <x:v>-179.02521472949596</x:v>
      </x:c>
      <x:c r="J1699" s="4" t="n">
        <x:f>IF('계산 과정'!$L$5,'계산 과정'!$D$6+'계산 과정'!$C$35*D1699+'계산 과정'!$D$35*E1699,"")</x:f>
        <x:v>697.2825163247068</x:v>
      </x:c>
      <x:c r="K1699" s="4" t="n">
        <x:f>IF(AND('계산 과정'!$L$6,J1699&gt;0),'계산 과정'!$D$10*('계산 과정'!$C$38*(D1699-'계산 과정'!$C$32)+'계산 과정'!$D$38*(E1699-'계산 과정'!$D$32)-'계산 과정'!$E$38*'계산 과정'!$E$32)/J1699,"")</x:f>
        <x:v>-0.542477577942751</x:v>
      </x:c>
      <x:c r="L1699" s="4" t="n">
        <x:f>IF(AND('계산 과정'!$L$6,J1699&gt;0),'계산 과정'!$D$10*('계산 과정'!$C$39*(D1699-'계산 과정'!$C$32)+'계산 과정'!$D$39*(E1699-'계산 과정'!$D$32)-'계산 과정'!$E$39*'계산 과정'!$E$32)/J1699,"")</x:f>
        <x:v>-1.3640016360342548</x:v>
      </x:c>
      <x:c r="M1699" s="17" t="n">
        <x:f>IF('계산 과정'!$L$6,IF(J1699&lt;=0,0,IF(AND(ABS(K1699)&lt;='계산 과정'!$D$11/2,ABS(L1699)&lt;='계산 과정'!$D$12/2),1,0)),"")</x:f>
        <x:v>1</x:v>
      </x:c>
      <x:c r="N1699" s="17" t="n">
        <x:f>IF('계산 과정'!$C$78,IF(AND(ISNUMBER(H1699),ISNUMBER(I1699),ABS(H1699-'계산 과정'!$C$88)&lt;='계산 과정'!$D$23/2,ABS(I1699-'계산 과정'!$C$89)&lt;='계산 과정'!$D$24/2),1,0),"")</x:f>
        <x:v>1</x:v>
      </x:c>
      <x:c r="O1699" s="4" t="n">
        <x:f>IF('계산 과정'!$L$7,'계산 과정'!$C$49*('계산 과정'!$C$32-D1699)+'계산 과정'!$D$49*('계산 과정'!$D$32-E1699)+'계산 과정'!$E$49*'계산 과정'!$E$32,"")</x:f>
        <x:v>-47.28251632470659</x:v>
      </x:c>
      <x:c r="P1699" s="4" t="n">
        <x:f>IF(AND('계산 과정'!$L$7,O1699&lt;&gt;0),('계산 과정'!$L$23-'계산 과정'!$C$49*D1699-'계산 과정'!$D$49*E1699)/O1699,"")</x:f>
        <x:v>-7.4597866419175185</x:v>
      </x:c>
      <x:c r="Q1699" s="4" t="str">
        <x:f>IF(AND(ISNUMBER(P1699),P1699&gt;1E-9,P1699&lt;1-1E-9),'계산 과정'!$C$47*(D1699-'계산 과정'!$C$50+P1699*('계산 과정'!$C$32-D1699))+'계산 과정'!$D$47*(E1699-'계산 과정'!$D$50+P1699*('계산 과정'!$D$32-E1699))+'계산 과정'!$E$47*(0-'계산 과정'!$E$50+P1699*('계산 과정'!$E$32-0)),"")</x:f>
      </x:c>
      <x:c r="R1699" s="4" t="str">
        <x:f>IF(AND(ISNUMBER(P1699),P1699&gt;1E-9,P1699&lt;1-1E-9),'계산 과정'!$C$48*(D1699-'계산 과정'!$C$50+P1699*('계산 과정'!$C$32-D1699))+'계산 과정'!$D$48*(E1699-'계산 과정'!$D$50+P1699*('계산 과정'!$D$32-E1699))+'계산 과정'!$E$48*(0-'계산 과정'!$E$50+P1699*('계산 과정'!$E$32-0)),"")</x:f>
      </x:c>
      <x:c r="S1699" s="17" t="n">
        <x:f>IF('계산 과정'!$C$78,IF(AND(ISNUMBER(Q1699),ISNUMBER(R1699),ABS(Q1699-'계산 과정'!$C$88)&lt;='계산 과정'!$D$23/2,ABS(R1699-'계산 과정'!$C$89)&lt;='계산 과정'!$D$24/2),1,0),"")</x:f>
        <x:v>0</x:v>
      </x:c>
      <x:c r="T1699" s="4"/>
      <x:c r="U1699" s="4"/>
      <x:c r="V1699" s="4"/>
      <x:c r="W1699" s="4"/>
      <x:c r="X1699" s="4"/>
      <x:c r="Y1699" s="4"/>
      <x:c r="Z1699" s="4"/>
    </x:row>
    <x:row r="1700" ht="23" customHeight="1">
      <x:c r="A1700" s="17" t="n">
        <x:f>ROW()-6</x:f>
        <x:v>1694</x:v>
      </x:c>
      <x:c r="B1700" s="4" t="n">
        <x:f>IF('계산 과정'!$L$5,'계산 과정'!$L$11*SQRT((A1700+0.5)/'계산 과정'!$L$30),"")</x:f>
        <x:v>136.44168354213642</x:v>
      </x:c>
      <x:c r="C1700" s="4" t="n">
        <x:f>A1700*PI()*(3-SQRT(5))</x:f>
        <x:v>4065.5377111603384</x:v>
      </x:c>
      <x:c r="D1700" s="4" t="n">
        <x:f>IF('계산 과정'!$L$5,B1700*COS(C1700),"")</x:f>
        <x:v>129.65121888443653</x:v>
      </x:c>
      <x:c r="E1700" s="4" t="n">
        <x:f>IF('계산 과정'!$L$5,B1700*SIN(C1700),"")</x:f>
        <x:v>42.50758108375995</x:v>
      </x:c>
      <x:c r="F1700" s="4" t="n">
        <x:f>IF('계산 과정'!$L$7,'계산 과정'!$L$22+'계산 과정'!$C$49*D1700+'계산 과정'!$D$49*E1700,"")</x:f>
        <x:v>558.3227439377135</x:v>
      </x:c>
      <x:c r="G1700" s="4" t="n">
        <x:f>IF('계산 과정'!$L$7,IF(ABS(F1700)&gt;=1E-12*MAX(1,SQRT((D1700-'계산 과정'!$C$33)^2+(E1700-'계산 과정'!$D$33)^2+'계산 과정'!$E$33^2)),('계산 과정'!$L$23-'계산 과정'!$C$49*D1700-'계산 과정'!$D$49*E1700)/F1700,""),"")</x:f>
        <x:v>0.880632683158503</x:v>
      </x:c>
      <x:c r="H1700" s="4" t="n">
        <x:f>IF(AND(ISNUMBER(G1700),G1700&gt;0),('계산 과정'!$D$56+'계산 과정'!$D$57*D1700+'계산 과정'!$D$58*E1700)/F1700,"")</x:f>
        <x:v>172.4112440530268</x:v>
      </x:c>
      <x:c r="I1700" s="4" t="n">
        <x:f>IF(AND(ISNUMBER(G1700),G1700&gt;0),('계산 과정'!$E$56+'계산 과정'!$E$57*D1700+'계산 과정'!$E$58*E1700)/F1700,"")</x:f>
        <x:v>79.9411462681291</x:v>
      </x:c>
      <x:c r="J1700" s="4" t="n">
        <x:f>IF('계산 과정'!$L$5,'계산 과정'!$D$6+'계산 과정'!$C$35*D1700+'계산 과정'!$D$35*E1700,"")</x:f>
        <x:v>558.3227439377135</x:v>
      </x:c>
      <x:c r="K1700" s="4" t="n">
        <x:f>IF(AND('계산 과정'!$L$6,J1700&gt;0),'계산 과정'!$D$10*('계산 과정'!$C$38*(D1700-'계산 과정'!$C$32)+'계산 과정'!$D$38*(E1700-'계산 과정'!$D$32)-'계산 과정'!$E$38*'계산 과정'!$E$32)/J1700,"")</x:f>
        <x:v>1.3136094784992522</x:v>
      </x:c>
      <x:c r="L1700" s="4" t="n">
        <x:f>IF(AND('계산 과정'!$L$6,J1700&gt;0),'계산 과정'!$D$10*('계산 과정'!$C$39*(D1700-'계산 과정'!$C$32)+'계산 과정'!$D$39*(E1700-'계산 과정'!$D$32)-'계산 과정'!$E$39*'계산 과정'!$E$32)/J1700,"")</x:f>
        <x:v>0.6090754001381266</x:v>
      </x:c>
      <x:c r="M1700" s="17" t="n">
        <x:f>IF('계산 과정'!$L$6,IF(J1700&lt;=0,0,IF(AND(ABS(K1700)&lt;='계산 과정'!$D$11/2,ABS(L1700)&lt;='계산 과정'!$D$12/2),1,0)),"")</x:f>
        <x:v>1</x:v>
      </x:c>
      <x:c r="N1700" s="17" t="n">
        <x:f>IF('계산 과정'!$C$78,IF(AND(ISNUMBER(H1700),ISNUMBER(I1700),ABS(H1700-'계산 과정'!$C$88)&lt;='계산 과정'!$D$23/2,ABS(I1700-'계산 과정'!$C$89)&lt;='계산 과정'!$D$24/2),1,0),"")</x:f>
        <x:v>1</x:v>
      </x:c>
      <x:c r="O1700" s="4" t="n">
        <x:f>IF('계산 과정'!$L$7,'계산 과정'!$C$49*('계산 과정'!$C$32-D1700)+'계산 과정'!$D$49*('계산 과정'!$D$32-E1700)+'계산 과정'!$E$49*'계산 과정'!$E$32,"")</x:f>
        <x:v>91.67725606228652</x:v>
      </x:c>
      <x:c r="P1700" s="4" t="n">
        <x:f>IF(AND('계산 과정'!$L$7,O1700&lt;&gt;0),('계산 과정'!$L$23-'계산 과정'!$C$49*D1700-'계산 과정'!$D$49*E1700)/O1700,"")</x:f>
        <x:v>5.363132331624712</x:v>
      </x:c>
      <x:c r="Q1700" s="4" t="str">
        <x:f>IF(AND(ISNUMBER(P1700),P1700&gt;1E-9,P1700&lt;1-1E-9),'계산 과정'!$C$47*(D1700-'계산 과정'!$C$50+P1700*('계산 과정'!$C$32-D1700))+'계산 과정'!$D$47*(E1700-'계산 과정'!$D$50+P1700*('계산 과정'!$D$32-E1700))+'계산 과정'!$E$47*(0-'계산 과정'!$E$50+P1700*('계산 과정'!$E$32-0)),"")</x:f>
      </x:c>
      <x:c r="R1700" s="4" t="str">
        <x:f>IF(AND(ISNUMBER(P1700),P1700&gt;1E-9,P1700&lt;1-1E-9),'계산 과정'!$C$48*(D1700-'계산 과정'!$C$50+P1700*('계산 과정'!$C$32-D1700))+'계산 과정'!$D$48*(E1700-'계산 과정'!$D$50+P1700*('계산 과정'!$D$32-E1700))+'계산 과정'!$E$48*(0-'계산 과정'!$E$50+P1700*('계산 과정'!$E$32-0)),"")</x:f>
      </x:c>
      <x:c r="S1700" s="17" t="n">
        <x:f>IF('계산 과정'!$C$78,IF(AND(ISNUMBER(Q1700),ISNUMBER(R1700),ABS(Q1700-'계산 과정'!$C$88)&lt;='계산 과정'!$D$23/2,ABS(R1700-'계산 과정'!$C$89)&lt;='계산 과정'!$D$24/2),1,0),"")</x:f>
        <x:v>0</x:v>
      </x:c>
      <x:c r="T1700" s="4"/>
      <x:c r="U1700" s="4"/>
      <x:c r="V1700" s="4"/>
      <x:c r="W1700" s="4"/>
      <x:c r="X1700" s="4"/>
      <x:c r="Y1700" s="4"/>
      <x:c r="Z1700" s="4"/>
    </x:row>
    <x:row r="1701" ht="23" customHeight="1">
      <x:c r="A1701" s="17" t="n">
        <x:f>ROW()-6</x:f>
        <x:v>1695</x:v>
      </x:c>
      <x:c r="B1701" s="4" t="n">
        <x:f>IF('계산 과정'!$L$5,'계산 과정'!$L$11*SQRT((A1701+0.5)/'계산 과정'!$L$30),"")</x:f>
        <x:v>136.48193776444376</x:v>
      </x:c>
      <x:c r="C1701" s="4" t="n">
        <x:f>A1701*PI()*(3-SQRT(5))</x:f>
        <x:v>4067.9376743900666</x:v>
      </x:c>
      <x:c r="D1701" s="4" t="n">
        <x:f>IF('계산 과정'!$L$5,B1701*COS(C1701),"")</x:f>
        <x:v>-124.35090854014565</x:v>
      </x:c>
      <x:c r="E1701" s="4" t="n">
        <x:f>IF('계산 과정'!$L$5,B1701*SIN(C1701),"")</x:f>
        <x:v>56.25096337999759</x:v>
      </x:c>
      <x:c r="F1701" s="4" t="n">
        <x:f>IF('계산 과정'!$L$7,'계산 과정'!$L$22+'계산 과정'!$C$49*D1701+'계산 과정'!$D$49*E1701,"")</x:f>
        <x:v>737.9293706754452</x:v>
      </x:c>
      <x:c r="G1701" s="4" t="n">
        <x:f>IF('계산 과정'!$L$7,IF(ABS(F1701)&gt;=1E-12*MAX(1,SQRT((D1701-'계산 과정'!$C$33)^2+(E1701-'계산 과정'!$D$33)^2+'계산 과정'!$E$33^2)),('계산 과정'!$L$23-'계산 과정'!$C$49*D1701-'계산 과정'!$D$49*E1701)/F1701,""),"")</x:f>
        <x:v>0.42290040446405974</x:v>
      </x:c>
      <x:c r="H1701" s="4" t="n">
        <x:f>IF(AND(ISNUMBER(G1701),G1701&gt;0),('계산 과정'!$D$56+'계산 과정'!$D$57*D1701+'계산 과정'!$D$58*E1701)/F1701,"")</x:f>
        <x:v>-125.11473709836127</x:v>
      </x:c>
      <x:c r="I1701" s="4" t="n">
        <x:f>IF(AND(ISNUMBER(G1701),G1701&gt;0),('계산 과정'!$E$56+'계산 과정'!$E$57*D1701+'계산 과정'!$E$58*E1701)/F1701,"")</x:f>
        <x:v>80.03951854489158</x:v>
      </x:c>
      <x:c r="J1701" s="4" t="n">
        <x:f>IF('계산 과정'!$L$5,'계산 과정'!$D$6+'계산 과정'!$C$35*D1701+'계산 과정'!$D$35*E1701,"")</x:f>
        <x:v>737.9293706754452</x:v>
      </x:c>
      <x:c r="K1701" s="4" t="n">
        <x:f>IF(AND('계산 과정'!$L$6,J1701&gt;0),'계산 과정'!$D$10*('계산 과정'!$C$38*(D1701-'계산 과정'!$C$32)+'계산 과정'!$D$38*(E1701-'계산 과정'!$D$32)-'계산 과정'!$E$38*'계산 과정'!$E$32)/J1701,"")</x:f>
        <x:v>-0.9532551397970368</x:v>
      </x:c>
      <x:c r="L1701" s="4" t="n">
        <x:f>IF(AND('계산 과정'!$L$6,J1701&gt;0),'계산 과정'!$D$10*('계산 과정'!$C$39*(D1701-'계산 과정'!$C$32)+'계산 과정'!$D$39*(E1701-'계산 과정'!$D$32)-'계산 과정'!$E$39*'계산 과정'!$E$32)/J1701,"")</x:f>
        <x:v>0.609824903199174</x:v>
      </x:c>
      <x:c r="M1701" s="17" t="n">
        <x:f>IF('계산 과정'!$L$6,IF(J1701&lt;=0,0,IF(AND(ABS(K1701)&lt;='계산 과정'!$D$11/2,ABS(L1701)&lt;='계산 과정'!$D$12/2),1,0)),"")</x:f>
        <x:v>1</x:v>
      </x:c>
      <x:c r="N1701" s="17" t="n">
        <x:f>IF('계산 과정'!$C$78,IF(AND(ISNUMBER(H1701),ISNUMBER(I1701),ABS(H1701-'계산 과정'!$C$88)&lt;='계산 과정'!$D$23/2,ABS(I1701-'계산 과정'!$C$89)&lt;='계산 과정'!$D$24/2),1,0),"")</x:f>
        <x:v>1</x:v>
      </x:c>
      <x:c r="O1701" s="4" t="n">
        <x:f>IF('계산 과정'!$L$7,'계산 과정'!$C$49*('계산 과정'!$C$32-D1701)+'계산 과정'!$D$49*('계산 과정'!$D$32-E1701)+'계산 과정'!$E$49*'계산 과정'!$E$32,"")</x:f>
        <x:v>-87.929370675445</x:v>
      </x:c>
      <x:c r="P1701" s="4" t="n">
        <x:f>IF(AND('계산 과정'!$L$7,O1701&lt;&gt;0),('계산 과정'!$L$23-'계산 과정'!$C$49*D1701-'계산 과정'!$D$49*E1701)/O1701,"")</x:f>
        <x:v>-3.5491056847937057</x:v>
      </x:c>
      <x:c r="Q1701" s="4" t="str">
        <x:f>IF(AND(ISNUMBER(P1701),P1701&gt;1E-9,P1701&lt;1-1E-9),'계산 과정'!$C$47*(D1701-'계산 과정'!$C$50+P1701*('계산 과정'!$C$32-D1701))+'계산 과정'!$D$47*(E1701-'계산 과정'!$D$50+P1701*('계산 과정'!$D$32-E1701))+'계산 과정'!$E$47*(0-'계산 과정'!$E$50+P1701*('계산 과정'!$E$32-0)),"")</x:f>
      </x:c>
      <x:c r="R1701" s="4" t="str">
        <x:f>IF(AND(ISNUMBER(P1701),P1701&gt;1E-9,P1701&lt;1-1E-9),'계산 과정'!$C$48*(D1701-'계산 과정'!$C$50+P1701*('계산 과정'!$C$32-D1701))+'계산 과정'!$D$48*(E1701-'계산 과정'!$D$50+P1701*('계산 과정'!$D$32-E1701))+'계산 과정'!$E$48*(0-'계산 과정'!$E$50+P1701*('계산 과정'!$E$32-0)),"")</x:f>
      </x:c>
      <x:c r="S1701" s="17" t="n">
        <x:f>IF('계산 과정'!$C$78,IF(AND(ISNUMBER(Q1701),ISNUMBER(R1701),ABS(Q1701-'계산 과정'!$C$88)&lt;='계산 과정'!$D$23/2,ABS(R1701-'계산 과정'!$C$89)&lt;='계산 과정'!$D$24/2),1,0),"")</x:f>
        <x:v>0</x:v>
      </x:c>
      <x:c r="T1701" s="4"/>
      <x:c r="U1701" s="4"/>
      <x:c r="V1701" s="4"/>
      <x:c r="W1701" s="4"/>
      <x:c r="X1701" s="4"/>
      <x:c r="Y1701" s="4"/>
      <x:c r="Z1701" s="4"/>
    </x:row>
    <x:row r="1702" ht="23" customHeight="1">
      <x:c r="A1702" s="17" t="n">
        <x:f>ROW()-6</x:f>
        <x:v>1696</x:v>
      </x:c>
      <x:c r="B1702" s="4" t="n">
        <x:f>IF('계산 과정'!$L$5,'계산 과정'!$L$11*SQRT((A1702+0.5)/'계산 과정'!$L$30),"")</x:f>
        <x:v>136.5221801176003</x:v>
      </x:c>
      <x:c r="C1702" s="4" t="n">
        <x:f>A1702*PI()*(3-SQRT(5))</x:f>
        <x:v>4070.3376376197953</x:v>
      </x:c>
      <x:c r="D1702" s="4" t="n">
        <x:f>IF('계산 과정'!$L$5,B1702*COS(C1702),"")</x:f>
        <x:v>53.711342490599435</x:v>
      </x:c>
      <x:c r="E1702" s="4" t="n">
        <x:f>IF('계산 과정'!$L$5,B1702*SIN(C1702),"")</x:f>
        <x:v>-125.51253862431446</x:v>
      </x:c>
      <x:c r="F1702" s="4" t="n">
        <x:f>IF('계산 과정'!$L$7,'계산 과정'!$L$22+'계산 과정'!$C$49*D1702+'계산 과정'!$D$49*E1702,"")</x:f>
        <x:v>612.020345498264</x:v>
      </x:c>
      <x:c r="G1702" s="4" t="n">
        <x:f>IF('계산 과정'!$L$7,IF(ABS(F1702)&gt;=1E-12*MAX(1,SQRT((D1702-'계산 과정'!$C$33)^2+(E1702-'계산 과정'!$D$33)^2+'계산 과정'!$E$33^2)),('계산 과정'!$L$23-'계산 과정'!$C$49*D1702-'계산 과정'!$D$49*E1702)/F1702,""),"")</x:f>
        <x:v>0.7156292396540571</x:v>
      </x:c>
      <x:c r="H1702" s="4" t="n">
        <x:f>IF(AND(ISNUMBER(G1702),G1702&gt;0),('계산 과정'!$D$56+'계산 과정'!$D$57*D1702+'계산 과정'!$D$58*E1702)/F1702,"")</x:f>
        <x:v>65.15900577513703</x:v>
      </x:c>
      <x:c r="I1702" s="4" t="n">
        <x:f>IF(AND(ISNUMBER(G1702),G1702&gt;0),('계산 과정'!$E$56+'계산 과정'!$E$57*D1702+'계산 과정'!$E$58*E1702)/F1702,"")</x:f>
        <x:v>-215.3329812070831</x:v>
      </x:c>
      <x:c r="J1702" s="4" t="n">
        <x:f>IF('계산 과정'!$L$5,'계산 과정'!$D$6+'계산 과정'!$C$35*D1702+'계산 과정'!$D$35*E1702,"")</x:f>
        <x:v>612.020345498264</x:v>
      </x:c>
      <x:c r="K1702" s="4" t="n">
        <x:f>IF(AND('계산 과정'!$L$6,J1702&gt;0),'계산 과정'!$D$10*('계산 과정'!$C$38*(D1702-'계산 과정'!$C$32)+'계산 과정'!$D$38*(E1702-'계산 과정'!$D$32)-'계산 과정'!$E$38*'계산 과정'!$E$32)/J1702,"")</x:f>
        <x:v>0.49644956781056904</x:v>
      </x:c>
      <x:c r="L1702" s="4" t="n">
        <x:f>IF(AND('계산 과정'!$L$6,J1702&gt;0),'계산 과정'!$D$10*('계산 과정'!$C$39*(D1702-'계산 과정'!$C$32)+'계산 과정'!$D$39*(E1702-'계산 과정'!$D$32)-'계산 과정'!$E$39*'계산 과정'!$E$32)/J1702,"")</x:f>
        <x:v>-1.6406322377682523</x:v>
      </x:c>
      <x:c r="M1702" s="17" t="n">
        <x:f>IF('계산 과정'!$L$6,IF(J1702&lt;=0,0,IF(AND(ABS(K1702)&lt;='계산 과정'!$D$11/2,ABS(L1702)&lt;='계산 과정'!$D$12/2),1,0)),"")</x:f>
        <x:v>1</x:v>
      </x:c>
      <x:c r="N1702" s="17" t="n">
        <x:f>IF('계산 과정'!$C$78,IF(AND(ISNUMBER(H1702),ISNUMBER(I1702),ABS(H1702-'계산 과정'!$C$88)&lt;='계산 과정'!$D$23/2,ABS(I1702-'계산 과정'!$C$89)&lt;='계산 과정'!$D$24/2),1,0),"")</x:f>
        <x:v>1</x:v>
      </x:c>
      <x:c r="O1702" s="4" t="n">
        <x:f>IF('계산 과정'!$L$7,'계산 과정'!$C$49*('계산 과정'!$C$32-D1702)+'계산 과정'!$D$49*('계산 과정'!$D$32-E1702)+'계산 과정'!$E$49*'계산 과정'!$E$32,"")</x:f>
        <x:v>37.97965450173615</x:v>
      </x:c>
      <x:c r="P1702" s="4" t="n">
        <x:f>IF(AND('계산 과정'!$L$7,O1702&lt;&gt;0),('계산 과정'!$L$23-'계산 과정'!$C$49*D1702-'계산 과정'!$D$49*E1702)/O1702,"")</x:f>
        <x:v>11.531954680675538</x:v>
      </x:c>
      <x:c r="Q1702" s="4" t="str">
        <x:f>IF(AND(ISNUMBER(P1702),P1702&gt;1E-9,P1702&lt;1-1E-9),'계산 과정'!$C$47*(D1702-'계산 과정'!$C$50+P1702*('계산 과정'!$C$32-D1702))+'계산 과정'!$D$47*(E1702-'계산 과정'!$D$50+P1702*('계산 과정'!$D$32-E1702))+'계산 과정'!$E$47*(0-'계산 과정'!$E$50+P1702*('계산 과정'!$E$32-0)),"")</x:f>
      </x:c>
      <x:c r="R1702" s="4" t="str">
        <x:f>IF(AND(ISNUMBER(P1702),P1702&gt;1E-9,P1702&lt;1-1E-9),'계산 과정'!$C$48*(D1702-'계산 과정'!$C$50+P1702*('계산 과정'!$C$32-D1702))+'계산 과정'!$D$48*(E1702-'계산 과정'!$D$50+P1702*('계산 과정'!$D$32-E1702))+'계산 과정'!$E$48*(0-'계산 과정'!$E$50+P1702*('계산 과정'!$E$32-0)),"")</x:f>
      </x:c>
      <x:c r="S1702" s="17" t="n">
        <x:f>IF('계산 과정'!$C$78,IF(AND(ISNUMBER(Q1702),ISNUMBER(R1702),ABS(Q1702-'계산 과정'!$C$88)&lt;='계산 과정'!$D$23/2,ABS(R1702-'계산 과정'!$C$89)&lt;='계산 과정'!$D$24/2),1,0),"")</x:f>
        <x:v>0</x:v>
      </x:c>
      <x:c r="T1702" s="4"/>
      <x:c r="U1702" s="4"/>
      <x:c r="V1702" s="4"/>
      <x:c r="W1702" s="4"/>
      <x:c r="X1702" s="4"/>
      <x:c r="Y1702" s="4"/>
      <x:c r="Z1702" s="4"/>
    </x:row>
    <x:row r="1703" ht="23" customHeight="1">
      <x:c r="A1703" s="17" t="n">
        <x:f>ROW()-6</x:f>
        <x:v>1697</x:v>
      </x:c>
      <x:c r="B1703" s="4" t="n">
        <x:f>IF('계산 과정'!$L$5,'계산 과정'!$L$11*SQRT((A1703+0.5)/'계산 과정'!$L$30),"")</x:f>
        <x:v>136.5624106120989</x:v>
      </x:c>
      <x:c r="C1703" s="4" t="n">
        <x:f>A1703*PI()*(3-SQRT(5))</x:f>
        <x:v>4072.7376008495244</x:v>
      </x:c>
      <x:c r="D1703" s="4" t="n">
        <x:f>IF('계산 과정'!$L$5,B1703*COS(C1703),"")</x:f>
        <x:v>45.19074222710075</x:v>
      </x:c>
      <x:c r="E1703" s="4" t="n">
        <x:f>IF('계산 과정'!$L$5,B1703*SIN(C1703),"")</x:f>
        <x:v>128.8684942456892</x:v>
      </x:c>
      <x:c r="F1703" s="4" t="n">
        <x:f>IF('계산 과정'!$L$7,'계산 과정'!$L$22+'계산 과정'!$C$49*D1703+'계산 과정'!$D$49*E1703,"")</x:f>
        <x:v>618.0453197243638</x:v>
      </x:c>
      <x:c r="G1703" s="4" t="n">
        <x:f>IF('계산 과정'!$L$7,IF(ABS(F1703)&gt;=1E-12*MAX(1,SQRT((D1703-'계산 과정'!$C$33)^2+(E1703-'계산 과정'!$D$33)^2+'계산 과정'!$E$33^2)),('계산 과정'!$L$23-'계산 과정'!$C$49*D1703-'계산 과정'!$D$49*E1703)/F1703,""),"")</x:f>
        <x:v>0.698904540638346</x:v>
      </x:c>
      <x:c r="H1703" s="4" t="n">
        <x:f>IF(AND(ISNUMBER(G1703),G1703&gt;0),('계산 과정'!$D$56+'계산 과정'!$D$57*D1703+'계산 과정'!$D$58*E1703)/F1703,"")</x:f>
        <x:v>54.28795141492483</x:v>
      </x:c>
      <x:c r="I1703" s="4" t="n">
        <x:f>IF(AND(ISNUMBER(G1703),G1703&gt;0),('계산 과정'!$E$56+'계산 과정'!$E$57*D1703+'계산 과정'!$E$58*E1703)/F1703,"")</x:f>
        <x:v>218.93527001922794</x:v>
      </x:c>
      <x:c r="J1703" s="4" t="n">
        <x:f>IF('계산 과정'!$L$5,'계산 과정'!$D$6+'계산 과정'!$C$35*D1703+'계산 과정'!$D$35*E1703,"")</x:f>
        <x:v>618.0453197243638</x:v>
      </x:c>
      <x:c r="K1703" s="4" t="n">
        <x:f>IF(AND('계산 과정'!$L$6,J1703&gt;0),'계산 과정'!$D$10*('계산 과정'!$C$38*(D1703-'계산 과정'!$C$32)+'계산 과정'!$D$38*(E1703-'계산 과정'!$D$32)-'계산 과정'!$E$38*'계산 과정'!$E$32)/J1703,"")</x:f>
        <x:v>0.4136224869708571</x:v>
      </x:c>
      <x:c r="L1703" s="4" t="n">
        <x:f>IF(AND('계산 과정'!$L$6,J1703&gt;0),'계산 과정'!$D$10*('계산 과정'!$C$39*(D1703-'계산 과정'!$C$32)+'계산 과정'!$D$39*(E1703-'계산 과정'!$D$32)-'계산 과정'!$E$39*'계산 과정'!$E$32)/J1703,"")</x:f>
        <x:v>1.668078247765546</x:v>
      </x:c>
      <x:c r="M1703" s="17" t="n">
        <x:f>IF('계산 과정'!$L$6,IF(J1703&lt;=0,0,IF(AND(ABS(K1703)&lt;='계산 과정'!$D$11/2,ABS(L1703)&lt;='계산 과정'!$D$12/2),1,0)),"")</x:f>
        <x:v>1</x:v>
      </x:c>
      <x:c r="N1703" s="17" t="n">
        <x:f>IF('계산 과정'!$C$78,IF(AND(ISNUMBER(H1703),ISNUMBER(I1703),ABS(H1703-'계산 과정'!$C$88)&lt;='계산 과정'!$D$23/2,ABS(I1703-'계산 과정'!$C$89)&lt;='계산 과정'!$D$24/2),1,0),"")</x:f>
        <x:v>1</x:v>
      </x:c>
      <x:c r="O1703" s="4" t="n">
        <x:f>IF('계산 과정'!$L$7,'계산 과정'!$C$49*('계산 과정'!$C$32-D1703)+'계산 과정'!$D$49*('계산 과정'!$D$32-E1703)+'계산 과정'!$E$49*'계산 과정'!$E$32,"")</x:f>
        <x:v>31.95468027563635</x:v>
      </x:c>
      <x:c r="P1703" s="4" t="n">
        <x:f>IF(AND('계산 과정'!$L$7,O1703&lt;&gt;0),('계산 과정'!$L$23-'계산 과정'!$C$49*D1703-'계산 과정'!$D$49*E1703)/O1703,"")</x:f>
        <x:v>13.517728124633354</x:v>
      </x:c>
      <x:c r="Q1703" s="4" t="str">
        <x:f>IF(AND(ISNUMBER(P1703),P1703&gt;1E-9,P1703&lt;1-1E-9),'계산 과정'!$C$47*(D1703-'계산 과정'!$C$50+P1703*('계산 과정'!$C$32-D1703))+'계산 과정'!$D$47*(E1703-'계산 과정'!$D$50+P1703*('계산 과정'!$D$32-E1703))+'계산 과정'!$E$47*(0-'계산 과정'!$E$50+P1703*('계산 과정'!$E$32-0)),"")</x:f>
      </x:c>
      <x:c r="R1703" s="4" t="str">
        <x:f>IF(AND(ISNUMBER(P1703),P1703&gt;1E-9,P1703&lt;1-1E-9),'계산 과정'!$C$48*(D1703-'계산 과정'!$C$50+P1703*('계산 과정'!$C$32-D1703))+'계산 과정'!$D$48*(E1703-'계산 과정'!$D$50+P1703*('계산 과정'!$D$32-E1703))+'계산 과정'!$E$48*(0-'계산 과정'!$E$50+P1703*('계산 과정'!$E$32-0)),"")</x:f>
      </x:c>
      <x:c r="S1703" s="17" t="n">
        <x:f>IF('계산 과정'!$C$78,IF(AND(ISNUMBER(Q1703),ISNUMBER(R1703),ABS(Q1703-'계산 과정'!$C$88)&lt;='계산 과정'!$D$23/2,ABS(R1703-'계산 과정'!$C$89)&lt;='계산 과정'!$D$24/2),1,0),"")</x:f>
        <x:v>0</x:v>
      </x:c>
      <x:c r="T1703" s="4"/>
      <x:c r="U1703" s="4"/>
      <x:c r="V1703" s="4"/>
      <x:c r="W1703" s="4"/>
      <x:c r="X1703" s="4"/>
      <x:c r="Y1703" s="4"/>
      <x:c r="Z1703" s="4"/>
    </x:row>
    <x:row r="1704" ht="23" customHeight="1">
      <x:c r="A1704" s="17" t="n">
        <x:f>ROW()-6</x:f>
        <x:v>1698</x:v>
      </x:c>
      <x:c r="B1704" s="4" t="n">
        <x:f>IF('계산 과정'!$L$5,'계산 과정'!$L$11*SQRT((A1704+0.5)/'계산 과정'!$L$30),"")</x:f>
        <x:v>136.60262925841693</x:v>
      </x:c>
      <x:c r="C1704" s="4" t="n">
        <x:f>A1704*PI()*(3-SQRT(5))</x:f>
        <x:v>4075.1375640792526</x:v>
      </x:c>
      <x:c r="D1704" s="4" t="n">
        <x:f>IF('계산 과정'!$L$5,B1704*COS(C1704),"")</x:f>
        <x:v>-120.40711434554946</x:v>
      </x:c>
      <x:c r="E1704" s="4" t="n">
        <x:f>IF('계산 과정'!$L$5,B1704*SIN(C1704),"")</x:f>
        <x:v>-64.51670431206388</x:v>
      </x:c>
      <x:c r="F1704" s="4" t="n">
        <x:f>IF('계산 과정'!$L$7,'계산 과정'!$L$22+'계산 과정'!$C$49*D1704+'계산 과정'!$D$49*E1704,"")</x:f>
        <x:v>735.140687056842</x:v>
      </x:c>
      <x:c r="G1704" s="4" t="n">
        <x:f>IF('계산 과정'!$L$7,IF(ABS(F1704)&gt;=1E-12*MAX(1,SQRT((D1704-'계산 과정'!$C$33)^2+(E1704-'계산 과정'!$D$33)^2+'계산 과정'!$E$33^2)),('계산 과정'!$L$23-'계산 과정'!$C$49*D1704-'계산 과정'!$D$49*E1704)/F1704,""),"")</x:f>
        <x:v>0.42829803667064975</x:v>
      </x:c>
      <x:c r="H1704" s="4" t="n">
        <x:f>IF(AND(ISNUMBER(G1704),G1704&gt;0),('계산 과정'!$D$56+'계산 과정'!$D$57*D1704+'계산 과정'!$D$58*E1704)/F1704,"")</x:f>
        <x:v>-121.60627616407784</x:v>
      </x:c>
      <x:c r="I1704" s="4" t="n">
        <x:f>IF(AND(ISNUMBER(G1704),G1704&gt;0),('계산 과정'!$E$56+'계산 과정'!$E$57*D1704+'계산 과정'!$E$58*E1704)/F1704,"")</x:f>
        <x:v>-92.14908210138168</x:v>
      </x:c>
      <x:c r="J1704" s="4" t="n">
        <x:f>IF('계산 과정'!$L$5,'계산 과정'!$D$6+'계산 과정'!$C$35*D1704+'계산 과정'!$D$35*E1704,"")</x:f>
        <x:v>735.140687056842</x:v>
      </x:c>
      <x:c r="K1704" s="4" t="n">
        <x:f>IF(AND('계산 과정'!$L$6,J1704&gt;0),'계산 과정'!$D$10*('계산 과정'!$C$38*(D1704-'계산 과정'!$C$32)+'계산 과정'!$D$38*(E1704-'계산 과정'!$D$32)-'계산 과정'!$E$38*'계산 과정'!$E$32)/J1704,"")</x:f>
        <x:v>-0.9265240088691631</x:v>
      </x:c>
      <x:c r="L1704" s="4" t="n">
        <x:f>IF(AND('계산 과정'!$L$6,J1704&gt;0),'계산 과정'!$D$10*('계산 과정'!$C$39*(D1704-'계산 과정'!$C$32)+'계산 과정'!$D$39*(E1704-'계산 과정'!$D$32)-'계산 과정'!$E$39*'계산 과정'!$E$32)/J1704,"")</x:f>
        <x:v>-0.7020882445819557</x:v>
      </x:c>
      <x:c r="M1704" s="17" t="n">
        <x:f>IF('계산 과정'!$L$6,IF(J1704&lt;=0,0,IF(AND(ABS(K1704)&lt;='계산 과정'!$D$11/2,ABS(L1704)&lt;='계산 과정'!$D$12/2),1,0)),"")</x:f>
        <x:v>1</x:v>
      </x:c>
      <x:c r="N1704" s="17" t="n">
        <x:f>IF('계산 과정'!$C$78,IF(AND(ISNUMBER(H1704),ISNUMBER(I1704),ABS(H1704-'계산 과정'!$C$88)&lt;='계산 과정'!$D$23/2,ABS(I1704-'계산 과정'!$C$89)&lt;='계산 과정'!$D$24/2),1,0),"")</x:f>
        <x:v>1</x:v>
      </x:c>
      <x:c r="O1704" s="4" t="n">
        <x:f>IF('계산 과정'!$L$7,'계산 과정'!$C$49*('계산 과정'!$C$32-D1704)+'계산 과정'!$D$49*('계산 과정'!$D$32-E1704)+'계산 과정'!$E$49*'계산 과정'!$E$32,"")</x:f>
        <x:v>-85.1406870568419</x:v>
      </x:c>
      <x:c r="P1704" s="4" t="n">
        <x:f>IF(AND('계산 과정'!$L$7,O1704&lt;&gt;0),('계산 과정'!$L$23-'계산 과정'!$C$49*D1704-'계산 과정'!$D$49*E1704)/O1704,"")</x:f>
        <x:v>-3.6981063205767954</x:v>
      </x:c>
      <x:c r="Q1704" s="4" t="str">
        <x:f>IF(AND(ISNUMBER(P1704),P1704&gt;1E-9,P1704&lt;1-1E-9),'계산 과정'!$C$47*(D1704-'계산 과정'!$C$50+P1704*('계산 과정'!$C$32-D1704))+'계산 과정'!$D$47*(E1704-'계산 과정'!$D$50+P1704*('계산 과정'!$D$32-E1704))+'계산 과정'!$E$47*(0-'계산 과정'!$E$50+P1704*('계산 과정'!$E$32-0)),"")</x:f>
      </x:c>
      <x:c r="R1704" s="4" t="str">
        <x:f>IF(AND(ISNUMBER(P1704),P1704&gt;1E-9,P1704&lt;1-1E-9),'계산 과정'!$C$48*(D1704-'계산 과정'!$C$50+P1704*('계산 과정'!$C$32-D1704))+'계산 과정'!$D$48*(E1704-'계산 과정'!$D$50+P1704*('계산 과정'!$D$32-E1704))+'계산 과정'!$E$48*(0-'계산 과정'!$E$50+P1704*('계산 과정'!$E$32-0)),"")</x:f>
      </x:c>
      <x:c r="S1704" s="17" t="n">
        <x:f>IF('계산 과정'!$C$78,IF(AND(ISNUMBER(Q1704),ISNUMBER(R1704),ABS(Q1704-'계산 과정'!$C$88)&lt;='계산 과정'!$D$23/2,ABS(R1704-'계산 과정'!$C$89)&lt;='계산 과정'!$D$24/2),1,0),"")</x:f>
        <x:v>0</x:v>
      </x:c>
      <x:c r="T1704" s="4"/>
      <x:c r="U1704" s="4"/>
      <x:c r="V1704" s="4"/>
      <x:c r="W1704" s="4"/>
      <x:c r="X1704" s="4"/>
      <x:c r="Y1704" s="4"/>
      <x:c r="Z1704" s="4"/>
    </x:row>
    <x:row r="1705" ht="23" customHeight="1">
      <x:c r="A1705" s="17" t="n">
        <x:f>ROW()-6</x:f>
        <x:v>1699</x:v>
      </x:c>
      <x:c r="B1705" s="4" t="n">
        <x:f>IF('계산 과정'!$L$5,'계산 과정'!$L$11*SQRT((A1705+0.5)/'계산 과정'!$L$30),"")</x:f>
        <x:v>136.64283606701633</x:v>
      </x:c>
      <x:c r="C1705" s="4" t="n">
        <x:f>A1705*PI()*(3-SQRT(5))</x:f>
        <x:v>4077.537527308981</x:v>
      </x:c>
      <x:c r="D1705" s="4" t="n">
        <x:f>IF('계산 과정'!$L$5,B1705*COS(C1705),"")</x:f>
        <x:v>132.40382588875116</x:v>
      </x:c>
      <x:c r="E1705" s="4" t="n">
        <x:f>IF('계산 과정'!$L$5,B1705*SIN(C1705),"")</x:f>
        <x:v>-33.77116430416294</x:v>
      </x:c>
      <x:c r="F1705" s="4" t="n">
        <x:f>IF('계산 과정'!$L$7,'계산 과정'!$L$22+'계산 과정'!$C$49*D1705+'계산 과정'!$D$49*E1705,"")</x:f>
        <x:v>556.3763568590211</x:v>
      </x:c>
      <x:c r="G1705" s="4" t="n">
        <x:f>IF('계산 과정'!$L$7,IF(ABS(F1705)&gt;=1E-12*MAX(1,SQRT((D1705-'계산 과정'!$C$33)^2+(E1705-'계산 과정'!$D$33)^2+'계산 과정'!$E$33^2)),('계산 과정'!$L$23-'계산 과정'!$C$49*D1705-'계산 과정'!$D$49*E1705)/F1705,""),"")</x:f>
        <x:v>0.8872117534391509</x:v>
      </x:c>
      <x:c r="H1705" s="4" t="n">
        <x:f>IF(AND(ISNUMBER(G1705),G1705&gt;0),('계산 과정'!$D$56+'계산 과정'!$D$57*D1705+'계산 과정'!$D$58*E1705)/F1705,"")</x:f>
        <x:v>176.68763973544804</x:v>
      </x:c>
      <x:c r="I1705" s="4" t="n">
        <x:f>IF(AND(ISNUMBER(G1705),G1705&gt;0),('계산 과정'!$E$56+'계산 과정'!$E$57*D1705+'계산 과정'!$E$58*E1705)/F1705,"")</x:f>
        <x:v>-63.733338202141</x:v>
      </x:c>
      <x:c r="J1705" s="4" t="n">
        <x:f>IF('계산 과정'!$L$5,'계산 과정'!$D$6+'계산 과정'!$C$35*D1705+'계산 과정'!$D$35*E1705,"")</x:f>
        <x:v>556.3763568590211</x:v>
      </x:c>
      <x:c r="K1705" s="4" t="n">
        <x:f>IF(AND('계산 과정'!$L$6,J1705&gt;0),'계산 과정'!$D$10*('계산 과정'!$C$38*(D1705-'계산 과정'!$C$32)+'계산 과정'!$D$38*(E1705-'계산 과정'!$D$32)-'계산 과정'!$E$38*'계산 과정'!$E$32)/J1705,"")</x:f>
        <x:v>1.3461915408415097</x:v>
      </x:c>
      <x:c r="L1705" s="4" t="n">
        <x:f>IF(AND('계산 과정'!$L$6,J1705&gt;0),'계산 과정'!$D$10*('계산 과정'!$C$39*(D1705-'계산 과정'!$C$32)+'계산 과정'!$D$39*(E1705-'계산 과정'!$D$32)-'계산 과정'!$E$39*'계산 과정'!$E$32)/J1705,"")</x:f>
        <x:v>-0.48558733868297904</x:v>
      </x:c>
      <x:c r="M1705" s="17" t="n">
        <x:f>IF('계산 과정'!$L$6,IF(J1705&lt;=0,0,IF(AND(ABS(K1705)&lt;='계산 과정'!$D$11/2,ABS(L1705)&lt;='계산 과정'!$D$12/2),1,0)),"")</x:f>
        <x:v>1</x:v>
      </x:c>
      <x:c r="N1705" s="17" t="n">
        <x:f>IF('계산 과정'!$C$78,IF(AND(ISNUMBER(H1705),ISNUMBER(I1705),ABS(H1705-'계산 과정'!$C$88)&lt;='계산 과정'!$D$23/2,ABS(I1705-'계산 과정'!$C$89)&lt;='계산 과정'!$D$24/2),1,0),"")</x:f>
        <x:v>1</x:v>
      </x:c>
      <x:c r="O1705" s="4" t="n">
        <x:f>IF('계산 과정'!$L$7,'계산 과정'!$C$49*('계산 과정'!$C$32-D1705)+'계산 과정'!$D$49*('계산 과정'!$D$32-E1705)+'계산 과정'!$E$49*'계산 과정'!$E$32,"")</x:f>
        <x:v>93.623643140979</x:v>
      </x:c>
      <x:c r="P1705" s="4" t="n">
        <x:f>IF(AND('계산 과정'!$L$7,O1705&lt;&gt;0),('계산 과정'!$L$23-'계산 과정'!$C$49*D1705-'계산 과정'!$D$49*E1705)/O1705,"")</x:f>
        <x:v>5.2724250689291985</x:v>
      </x:c>
      <x:c r="Q1705" s="4" t="str">
        <x:f>IF(AND(ISNUMBER(P1705),P1705&gt;1E-9,P1705&lt;1-1E-9),'계산 과정'!$C$47*(D1705-'계산 과정'!$C$50+P1705*('계산 과정'!$C$32-D1705))+'계산 과정'!$D$47*(E1705-'계산 과정'!$D$50+P1705*('계산 과정'!$D$32-E1705))+'계산 과정'!$E$47*(0-'계산 과정'!$E$50+P1705*('계산 과정'!$E$32-0)),"")</x:f>
      </x:c>
      <x:c r="R1705" s="4" t="str">
        <x:f>IF(AND(ISNUMBER(P1705),P1705&gt;1E-9,P1705&lt;1-1E-9),'계산 과정'!$C$48*(D1705-'계산 과정'!$C$50+P1705*('계산 과정'!$C$32-D1705))+'계산 과정'!$D$48*(E1705-'계산 과정'!$D$50+P1705*('계산 과정'!$D$32-E1705))+'계산 과정'!$E$48*(0-'계산 과정'!$E$50+P1705*('계산 과정'!$E$32-0)),"")</x:f>
      </x:c>
      <x:c r="S1705" s="17" t="n">
        <x:f>IF('계산 과정'!$C$78,IF(AND(ISNUMBER(Q1705),ISNUMBER(R1705),ABS(Q1705-'계산 과정'!$C$88)&lt;='계산 과정'!$D$23/2,ABS(R1705-'계산 과정'!$C$89)&lt;='계산 과정'!$D$24/2),1,0),"")</x:f>
        <x:v>0</x:v>
      </x:c>
      <x:c r="T1705" s="4"/>
      <x:c r="U1705" s="4"/>
      <x:c r="V1705" s="4"/>
      <x:c r="W1705" s="4"/>
      <x:c r="X1705" s="4"/>
      <x:c r="Y1705" s="4"/>
      <x:c r="Z1705" s="4"/>
    </x:row>
    <x:row r="1706" ht="23" customHeight="1">
      <x:c r="A1706" s="17" t="n">
        <x:f>ROW()-6</x:f>
        <x:v>1700</x:v>
      </x:c>
      <x:c r="B1706" s="4" t="n">
        <x:f>IF('계산 과정'!$L$5,'계산 과정'!$L$11*SQRT((A1706+0.5)/'계산 과정'!$L$30),"")</x:f>
        <x:v>136.68303104834376</x:v>
      </x:c>
      <x:c r="C1706" s="4" t="n">
        <x:f>A1706*PI()*(3-SQRT(5))</x:f>
        <x:v>4079.9374905387094</x:v>
      </x:c>
      <x:c r="D1706" s="4" t="n">
        <x:f>IF('계산 과정'!$L$5,B1706*COS(C1706),"")</x:f>
        <x:v>-74.84037547449157</x:v>
      </x:c>
      <x:c r="E1706" s="4" t="n">
        <x:f>IF('계산 과정'!$L$5,B1706*SIN(C1706),"")</x:f>
        <x:v>114.37293899957116</x:v>
      </x:c>
      <x:c r="F1706" s="4" t="n">
        <x:f>IF('계산 과정'!$L$7,'계산 과정'!$L$22+'계산 과정'!$C$49*D1706+'계산 과정'!$D$49*E1706,"")</x:f>
        <x:v>702.9201370045604</x:v>
      </x:c>
      <x:c r="G1706" s="4" t="n">
        <x:f>IF('계산 과정'!$L$7,IF(ABS(F1706)&gt;=1E-12*MAX(1,SQRT((D1706-'계산 과정'!$C$33)^2+(E1706-'계산 과정'!$D$33)^2+'계산 과정'!$E$33^2)),('계산 과정'!$L$23-'계산 과정'!$C$49*D1706-'계산 과정'!$D$49*E1706)/F1706,""),"")</x:f>
        <x:v>0.49376855879317033</x:v>
      </x:c>
      <x:c r="H1706" s="4" t="n">
        <x:f>IF(AND(ISNUMBER(G1706),G1706&gt;0),('계산 과정'!$D$56+'계산 과정'!$D$57*D1706+'계산 과정'!$D$58*E1706)/F1706,"")</x:f>
        <x:v>-79.05043678443938</x:v>
      </x:c>
      <x:c r="I1706" s="4" t="n">
        <x:f>IF(AND(ISNUMBER(G1706),G1706&gt;0),('계산 과정'!$E$56+'계산 과정'!$E$57*D1706+'계산 과정'!$E$58*E1706)/F1706,"")</x:f>
        <x:v>170.8467002543286</x:v>
      </x:c>
      <x:c r="J1706" s="4" t="n">
        <x:f>IF('계산 과정'!$L$5,'계산 과정'!$D$6+'계산 과정'!$C$35*D1706+'계산 과정'!$D$35*E1706,"")</x:f>
        <x:v>702.9201370045604</x:v>
      </x:c>
      <x:c r="K1706" s="4" t="n">
        <x:f>IF(AND('계산 과정'!$L$6,J1706&gt;0),'계산 과정'!$D$10*('계산 과정'!$C$38*(D1706-'계산 과정'!$C$32)+'계산 과정'!$D$38*(E1706-'계산 과정'!$D$32)-'계산 과정'!$E$38*'계산 과정'!$E$32)/J1706,"")</x:f>
        <x:v>-0.6022890421671565</x:v>
      </x:c>
      <x:c r="L1706" s="4" t="n">
        <x:f>IF(AND('계산 과정'!$L$6,J1706&gt;0),'계산 과정'!$D$10*('계산 과정'!$C$39*(D1706-'계산 과정'!$C$32)+'계산 과정'!$D$39*(E1706-'계산 과정'!$D$32)-'계산 과정'!$E$39*'계산 과정'!$E$32)/J1706,"")</x:f>
        <x:v>1.3016891447948846</x:v>
      </x:c>
      <x:c r="M1706" s="17" t="n">
        <x:f>IF('계산 과정'!$L$6,IF(J1706&lt;=0,0,IF(AND(ABS(K1706)&lt;='계산 과정'!$D$11/2,ABS(L1706)&lt;='계산 과정'!$D$12/2),1,0)),"")</x:f>
        <x:v>1</x:v>
      </x:c>
      <x:c r="N1706" s="17" t="n">
        <x:f>IF('계산 과정'!$C$78,IF(AND(ISNUMBER(H1706),ISNUMBER(I1706),ABS(H1706-'계산 과정'!$C$88)&lt;='계산 과정'!$D$23/2,ABS(I1706-'계산 과정'!$C$89)&lt;='계산 과정'!$D$24/2),1,0),"")</x:f>
        <x:v>1</x:v>
      </x:c>
      <x:c r="O1706" s="4" t="n">
        <x:f>IF('계산 과정'!$L$7,'계산 과정'!$C$49*('계산 과정'!$C$32-D1706)+'계산 과정'!$D$49*('계산 과정'!$D$32-E1706)+'계산 과정'!$E$49*'계산 과정'!$E$32,"")</x:f>
        <x:v>-52.920137004560274</x:v>
      </x:c>
      <x:c r="P1706" s="4" t="n">
        <x:f>IF(AND('계산 과정'!$L$7,O1706&lt;&gt;0),('계산 과정'!$L$23-'계산 과정'!$C$49*D1706-'계산 과정'!$D$49*E1706)/O1706,"")</x:f>
        <x:v>-6.558559418799894</x:v>
      </x:c>
      <x:c r="Q1706" s="4" t="str">
        <x:f>IF(AND(ISNUMBER(P1706),P1706&gt;1E-9,P1706&lt;1-1E-9),'계산 과정'!$C$47*(D1706-'계산 과정'!$C$50+P1706*('계산 과정'!$C$32-D1706))+'계산 과정'!$D$47*(E1706-'계산 과정'!$D$50+P1706*('계산 과정'!$D$32-E1706))+'계산 과정'!$E$47*(0-'계산 과정'!$E$50+P1706*('계산 과정'!$E$32-0)),"")</x:f>
      </x:c>
      <x:c r="R1706" s="4" t="str">
        <x:f>IF(AND(ISNUMBER(P1706),P1706&gt;1E-9,P1706&lt;1-1E-9),'계산 과정'!$C$48*(D1706-'계산 과정'!$C$50+P1706*('계산 과정'!$C$32-D1706))+'계산 과정'!$D$48*(E1706-'계산 과정'!$D$50+P1706*('계산 과정'!$D$32-E1706))+'계산 과정'!$E$48*(0-'계산 과정'!$E$50+P1706*('계산 과정'!$E$32-0)),"")</x:f>
      </x:c>
      <x:c r="S1706" s="17" t="n">
        <x:f>IF('계산 과정'!$C$78,IF(AND(ISNUMBER(Q1706),ISNUMBER(R1706),ABS(Q1706-'계산 과정'!$C$88)&lt;='계산 과정'!$D$23/2,ABS(R1706-'계산 과정'!$C$89)&lt;='계산 과정'!$D$24/2),1,0),"")</x:f>
        <x:v>0</x:v>
      </x:c>
      <x:c r="T1706" s="4"/>
      <x:c r="U1706" s="4"/>
      <x:c r="V1706" s="4"/>
      <x:c r="W1706" s="4"/>
      <x:c r="X1706" s="4"/>
      <x:c r="Y1706" s="4"/>
      <x:c r="Z1706" s="4"/>
    </x:row>
    <x:row r="1707" ht="23" customHeight="1">
      <x:c r="A1707" s="17" t="n">
        <x:f>ROW()-6</x:f>
        <x:v>1701</x:v>
      </x:c>
      <x:c r="B1707" s="4" t="n">
        <x:f>IF('계산 과정'!$L$5,'계산 과정'!$L$11*SQRT((A1707+0.5)/'계산 과정'!$L$30),"")</x:f>
        <x:v>136.72321421283038</x:v>
      </x:c>
      <x:c r="C1707" s="4" t="n">
        <x:f>A1707*PI()*(3-SQRT(5))</x:f>
        <x:v>4082.3374537684385</x:v>
      </x:c>
      <x:c r="D1707" s="4" t="n">
        <x:f>IF('계산 과정'!$L$5,B1707*COS(C1707),"")</x:f>
        <x:v>-22.079335672690366</x:v>
      </x:c>
      <x:c r="E1707" s="4" t="n">
        <x:f>IF('계산 과정'!$L$5,B1707*SIN(C1707),"")</x:f>
        <x:v>-134.92864870345426</x:v>
      </x:c>
      <x:c r="F1707" s="4" t="n">
        <x:f>IF('계산 과정'!$L$7,'계산 과정'!$L$22+'계산 과정'!$C$49*D1707+'계산 과정'!$D$49*E1707,"")</x:f>
        <x:v>665.6124479782534</x:v>
      </x:c>
      <x:c r="G1707" s="4" t="n">
        <x:f>IF('계산 과정'!$L$7,IF(ABS(F1707)&gt;=1E-12*MAX(1,SQRT((D1707-'계산 과정'!$C$33)^2+(E1707-'계산 과정'!$D$33)^2+'계산 과정'!$E$33^2)),('계산 과정'!$L$23-'계산 과정'!$C$49*D1707-'계산 과정'!$D$49*E1707)/F1707,""),"")</x:f>
        <x:v>0.577494536331606</x:v>
      </x:c>
      <x:c r="H1707" s="4" t="n">
        <x:f>IF(AND(ISNUMBER(G1707),G1707&gt;0),('계산 과정'!$D$56+'계산 과정'!$D$57*D1707+'계산 과정'!$D$58*E1707)/F1707,"")</x:f>
        <x:v>-24.62855138445628</x:v>
      </x:c>
      <x:c r="I1707" s="4" t="n">
        <x:f>IF(AND(ISNUMBER(G1707),G1707&gt;0),('계산 과정'!$E$56+'계산 과정'!$E$57*D1707+'계산 과정'!$E$58*E1707)/F1707,"")</x:f>
        <x:v>-212.8492061243057</x:v>
      </x:c>
      <x:c r="J1707" s="4" t="n">
        <x:f>IF('계산 과정'!$L$5,'계산 과정'!$D$6+'계산 과정'!$C$35*D1707+'계산 과정'!$D$35*E1707,"")</x:f>
        <x:v>665.6124479782534</x:v>
      </x:c>
      <x:c r="K1707" s="4" t="n">
        <x:f>IF(AND('계산 과정'!$L$6,J1707&gt;0),'계산 과정'!$D$10*('계산 과정'!$C$38*(D1707-'계산 과정'!$C$32)+'계산 과정'!$D$38*(E1707-'계산 과정'!$D$32)-'계산 과정'!$E$38*'계산 과정'!$E$32)/J1707,"")</x:f>
        <x:v>-0.1876461057863325</x:v>
      </x:c>
      <x:c r="L1707" s="4" t="n">
        <x:f>IF(AND('계산 과정'!$L$6,J1707&gt;0),'계산 과정'!$D$10*('계산 과정'!$C$39*(D1707-'계산 과정'!$C$32)+'계산 과정'!$D$39*(E1707-'계산 과정'!$D$32)-'계산 과정'!$E$39*'계산 과정'!$E$32)/J1707,"")</x:f>
        <x:v>-1.6217082371375673</x:v>
      </x:c>
      <x:c r="M1707" s="17" t="n">
        <x:f>IF('계산 과정'!$L$6,IF(J1707&lt;=0,0,IF(AND(ABS(K1707)&lt;='계산 과정'!$D$11/2,ABS(L1707)&lt;='계산 과정'!$D$12/2),1,0)),"")</x:f>
        <x:v>1</x:v>
      </x:c>
      <x:c r="N1707" s="17" t="n">
        <x:f>IF('계산 과정'!$C$78,IF(AND(ISNUMBER(H1707),ISNUMBER(I1707),ABS(H1707-'계산 과정'!$C$88)&lt;='계산 과정'!$D$23/2,ABS(I1707-'계산 과정'!$C$89)&lt;='계산 과정'!$D$24/2),1,0),"")</x:f>
        <x:v>1</x:v>
      </x:c>
      <x:c r="O1707" s="4" t="n">
        <x:f>IF('계산 과정'!$L$7,'계산 과정'!$C$49*('계산 과정'!$C$32-D1707)+'계산 과정'!$D$49*('계산 과정'!$D$32-E1707)+'계산 과정'!$E$49*'계산 과정'!$E$32,"")</x:f>
        <x:v>-15.612447978253272</x:v>
      </x:c>
      <x:c r="P1707" s="4" t="n">
        <x:f>IF(AND('계산 과정'!$L$7,O1707&lt;&gt;0),('계산 과정'!$L$23-'계산 과정'!$C$49*D1707-'계산 과정'!$D$49*E1707)/O1707,"")</x:f>
        <x:v>-24.62058176636769</x:v>
      </x:c>
      <x:c r="Q1707" s="4" t="str">
        <x:f>IF(AND(ISNUMBER(P1707),P1707&gt;1E-9,P1707&lt;1-1E-9),'계산 과정'!$C$47*(D1707-'계산 과정'!$C$50+P1707*('계산 과정'!$C$32-D1707))+'계산 과정'!$D$47*(E1707-'계산 과정'!$D$50+P1707*('계산 과정'!$D$32-E1707))+'계산 과정'!$E$47*(0-'계산 과정'!$E$50+P1707*('계산 과정'!$E$32-0)),"")</x:f>
      </x:c>
      <x:c r="R1707" s="4" t="str">
        <x:f>IF(AND(ISNUMBER(P1707),P1707&gt;1E-9,P1707&lt;1-1E-9),'계산 과정'!$C$48*(D1707-'계산 과정'!$C$50+P1707*('계산 과정'!$C$32-D1707))+'계산 과정'!$D$48*(E1707-'계산 과정'!$D$50+P1707*('계산 과정'!$D$32-E1707))+'계산 과정'!$E$48*(0-'계산 과정'!$E$50+P1707*('계산 과정'!$E$32-0)),"")</x:f>
      </x:c>
      <x:c r="S1707" s="17" t="n">
        <x:f>IF('계산 과정'!$C$78,IF(AND(ISNUMBER(Q1707),ISNUMBER(R1707),ABS(Q1707-'계산 과정'!$C$88)&lt;='계산 과정'!$D$23/2,ABS(R1707-'계산 과정'!$C$89)&lt;='계산 과정'!$D$24/2),1,0),"")</x:f>
        <x:v>0</x:v>
      </x:c>
      <x:c r="T1707" s="4"/>
      <x:c r="U1707" s="4"/>
      <x:c r="V1707" s="4"/>
      <x:c r="W1707" s="4"/>
      <x:c r="X1707" s="4"/>
      <x:c r="Y1707" s="4"/>
      <x:c r="Z1707" s="4"/>
    </x:row>
    <x:row r="1708" ht="23" customHeight="1">
      <x:c r="A1708" s="17" t="n">
        <x:f>ROW()-6</x:f>
        <x:v>1702</x:v>
      </x:c>
      <x:c r="B1708" s="4" t="n">
        <x:f>IF('계산 과정'!$L$5,'계산 과정'!$L$11*SQRT((A1708+0.5)/'계산 과정'!$L$30),"")</x:f>
        <x:v>136.7633855708921</x:v>
      </x:c>
      <x:c r="C1708" s="4" t="n">
        <x:f>A1708*PI()*(3-SQRT(5))</x:f>
        <x:v>4084.7374169981676</x:v>
      </x:c>
      <x:c r="D1708" s="4" t="n">
        <x:f>IF('계산 과정'!$L$5,B1708*COS(C1708),"")</x:f>
        <x:v>107.4551702790359</x:v>
      </x:c>
      <x:c r="E1708" s="4" t="n">
        <x:f>IF('계산 과정'!$L$5,B1708*SIN(C1708),"")</x:f>
        <x:v>84.60265961017949</x:v>
      </x:c>
      <x:c r="F1708" s="4" t="n">
        <x:f>IF('계산 과정'!$L$7,'계산 과정'!$L$22+'계산 과정'!$C$49*D1708+'계산 과정'!$D$49*E1708,"")</x:f>
        <x:v>574.0177204221386</x:v>
      </x:c>
      <x:c r="G1708" s="4" t="n">
        <x:f>IF('계산 과정'!$L$7,IF(ABS(F1708)&gt;=1E-12*MAX(1,SQRT((D1708-'계산 과정'!$C$33)^2+(E1708-'계산 과정'!$D$33)^2+'계산 과정'!$E$33^2)),('계산 과정'!$L$23-'계산 과정'!$C$49*D1708-'계산 과정'!$D$49*E1708)/F1708,""),"")</x:f>
        <x:v>0.8292118215929277</x:v>
      </x:c>
      <x:c r="H1708" s="4" t="n">
        <x:f>IF(AND(ISNUMBER(G1708),G1708&gt;0),('계산 과정'!$D$56+'계산 과정'!$D$57*D1708+'계산 과정'!$D$58*E1708)/F1708,"")</x:f>
        <x:v>138.98768403540296</x:v>
      </x:c>
      <x:c r="I1708" s="4" t="n">
        <x:f>IF(AND(ISNUMBER(G1708),G1708&gt;0),('계산 과정'!$E$56+'계산 과정'!$E$57*D1708+'계산 과정'!$E$58*E1708)/F1708,"")</x:f>
        <x:v>154.75618509714283</x:v>
      </x:c>
      <x:c r="J1708" s="4" t="n">
        <x:f>IF('계산 과정'!$L$5,'계산 과정'!$D$6+'계산 과정'!$C$35*D1708+'계산 과정'!$D$35*E1708,"")</x:f>
        <x:v>574.0177204221386</x:v>
      </x:c>
      <x:c r="K1708" s="4" t="n">
        <x:f>IF(AND('계산 과정'!$L$6,J1708&gt;0),'계산 과정'!$D$10*('계산 과정'!$C$38*(D1708-'계산 과정'!$C$32)+'계산 과정'!$D$38*(E1708-'계산 과정'!$D$32)-'계산 과정'!$E$38*'계산 과정'!$E$32)/J1708,"")</x:f>
        <x:v>1.0589537831268803</x:v>
      </x:c>
      <x:c r="L1708" s="4" t="n">
        <x:f>IF(AND('계산 과정'!$L$6,J1708&gt;0),'계산 과정'!$D$10*('계산 과정'!$C$39*(D1708-'계산 과정'!$C$32)+'계산 과정'!$D$39*(E1708-'계산 과정'!$D$32)-'계산 과정'!$E$39*'계산 과정'!$E$32)/J1708,"")</x:f>
        <x:v>1.1790947435972787</x:v>
      </x:c>
      <x:c r="M1708" s="17" t="n">
        <x:f>IF('계산 과정'!$L$6,IF(J1708&lt;=0,0,IF(AND(ABS(K1708)&lt;='계산 과정'!$D$11/2,ABS(L1708)&lt;='계산 과정'!$D$12/2),1,0)),"")</x:f>
        <x:v>1</x:v>
      </x:c>
      <x:c r="N1708" s="17" t="n">
        <x:f>IF('계산 과정'!$C$78,IF(AND(ISNUMBER(H1708),ISNUMBER(I1708),ABS(H1708-'계산 과정'!$C$88)&lt;='계산 과정'!$D$23/2,ABS(I1708-'계산 과정'!$C$89)&lt;='계산 과정'!$D$24/2),1,0),"")</x:f>
        <x:v>1</x:v>
      </x:c>
      <x:c r="O1708" s="4" t="n">
        <x:f>IF('계산 과정'!$L$7,'계산 과정'!$C$49*('계산 과정'!$C$32-D1708)+'계산 과정'!$D$49*('계산 과정'!$D$32-E1708)+'계산 과정'!$E$49*'계산 과정'!$E$32,"")</x:f>
        <x:v>75.98227957786153</x:v>
      </x:c>
      <x:c r="P1708" s="4" t="n">
        <x:f>IF(AND('계산 과정'!$L$7,O1708&lt;&gt;0),('계산 과정'!$L$23-'계산 과정'!$C$49*D1708-'계산 과정'!$D$49*E1708)/O1708,"")</x:f>
        <x:v>6.264385356984543</x:v>
      </x:c>
      <x:c r="Q1708" s="4" t="str">
        <x:f>IF(AND(ISNUMBER(P1708),P1708&gt;1E-9,P1708&lt;1-1E-9),'계산 과정'!$C$47*(D1708-'계산 과정'!$C$50+P1708*('계산 과정'!$C$32-D1708))+'계산 과정'!$D$47*(E1708-'계산 과정'!$D$50+P1708*('계산 과정'!$D$32-E1708))+'계산 과정'!$E$47*(0-'계산 과정'!$E$50+P1708*('계산 과정'!$E$32-0)),"")</x:f>
      </x:c>
      <x:c r="R1708" s="4" t="str">
        <x:f>IF(AND(ISNUMBER(P1708),P1708&gt;1E-9,P1708&lt;1-1E-9),'계산 과정'!$C$48*(D1708-'계산 과정'!$C$50+P1708*('계산 과정'!$C$32-D1708))+'계산 과정'!$D$48*(E1708-'계산 과정'!$D$50+P1708*('계산 과정'!$D$32-E1708))+'계산 과정'!$E$48*(0-'계산 과정'!$E$50+P1708*('계산 과정'!$E$32-0)),"")</x:f>
      </x:c>
      <x:c r="S1708" s="17" t="n">
        <x:f>IF('계산 과정'!$C$78,IF(AND(ISNUMBER(Q1708),ISNUMBER(R1708),ABS(Q1708-'계산 과정'!$C$88)&lt;='계산 과정'!$D$23/2,ABS(R1708-'계산 과정'!$C$89)&lt;='계산 과정'!$D$24/2),1,0),"")</x:f>
        <x:v>0</x:v>
      </x:c>
      <x:c r="T1708" s="4"/>
      <x:c r="U1708" s="4"/>
      <x:c r="V1708" s="4"/>
      <x:c r="W1708" s="4"/>
      <x:c r="X1708" s="4"/>
      <x:c r="Y1708" s="4"/>
      <x:c r="Z1708" s="4"/>
    </x:row>
    <x:row r="1709" ht="23" customHeight="1">
      <x:c r="A1709" s="17" t="n">
        <x:f>ROW()-6</x:f>
        <x:v>1703</x:v>
      </x:c>
      <x:c r="B1709" s="4" t="n">
        <x:f>IF('계산 과정'!$L$5,'계산 과정'!$L$11*SQRT((A1709+0.5)/'계산 과정'!$L$30),"")</x:f>
        <x:v>136.80354513292957</x:v>
      </x:c>
      <x:c r="C1709" s="4" t="n">
        <x:f>A1709*PI()*(3-SQRT(5))</x:f>
        <x:v>4087.137380227896</x:v>
      </x:c>
      <x:c r="D1709" s="4" t="n">
        <x:f>IF('계산 과정'!$L$5,B1709*COS(C1709),"")</x:f>
        <x:v>-136.42242146848093</x:v>
      </x:c>
      <x:c r="E1709" s="4" t="n">
        <x:f>IF('계산 과정'!$L$5,B1709*SIN(C1709),"")</x:f>
        <x:v>10.204552004554083</x:v>
      </x:c>
      <x:c r="F1709" s="4" t="n">
        <x:f>IF('계산 과정'!$L$7,'계산 과정'!$L$22+'계산 과정'!$C$49*D1709+'계산 과정'!$D$49*E1709,"")</x:f>
        <x:v>746.465219326252</x:v>
      </x:c>
      <x:c r="G1709" s="4" t="n">
        <x:f>IF('계산 과정'!$L$7,IF(ABS(F1709)&gt;=1E-12*MAX(1,SQRT((D1709-'계산 과정'!$C$33)^2+(E1709-'계산 과정'!$D$33)^2+'계산 과정'!$E$33^2)),('계산 과정'!$L$23-'계산 과정'!$C$49*D1709-'계산 과정'!$D$49*E1709)/F1709,""),"")</x:f>
        <x:v>0.40662950237348455</x:v>
      </x:c>
      <x:c r="H1709" s="4" t="n">
        <x:f>IF(AND(ISNUMBER(G1709),G1709&gt;0),('계산 과정'!$D$56+'계산 과정'!$D$57*D1709+'계산 과정'!$D$58*E1709)/F1709,"")</x:f>
        <x:v>-135.69082345723518</x:v>
      </x:c>
      <x:c r="I1709" s="4" t="n">
        <x:f>IF(AND(ISNUMBER(G1709),G1709&gt;0),('계산 과정'!$E$56+'계산 과정'!$E$57*D1709+'계산 과정'!$E$58*E1709)/F1709,"")</x:f>
        <x:v>14.354023908110253</x:v>
      </x:c>
      <x:c r="J1709" s="4" t="n">
        <x:f>IF('계산 과정'!$L$5,'계산 과정'!$D$6+'계산 과정'!$C$35*D1709+'계산 과정'!$D$35*E1709,"")</x:f>
        <x:v>746.465219326252</x:v>
      </x:c>
      <x:c r="K1709" s="4" t="n">
        <x:f>IF(AND('계산 과정'!$L$6,J1709&gt;0),'계산 과정'!$D$10*('계산 과정'!$C$38*(D1709-'계산 과정'!$C$32)+'계산 과정'!$D$38*(E1709-'계산 과정'!$D$32)-'계산 과정'!$E$38*'계산 과정'!$E$32)/J1709,"")</x:f>
        <x:v>-1.0338348453884576</x:v>
      </x:c>
      <x:c r="L1709" s="4" t="n">
        <x:f>IF(AND('계산 과정'!$L$6,J1709&gt;0),'계산 과정'!$D$10*('계산 과정'!$C$39*(D1709-'계산 과정'!$C$32)+'계산 과정'!$D$39*(E1709-'계산 과정'!$D$32)-'계산 과정'!$E$39*'계산 과정'!$E$32)/J1709,"")</x:f>
        <x:v>0.10936399168084003</x:v>
      </x:c>
      <x:c r="M1709" s="17" t="n">
        <x:f>IF('계산 과정'!$L$6,IF(J1709&lt;=0,0,IF(AND(ABS(K1709)&lt;='계산 과정'!$D$11/2,ABS(L1709)&lt;='계산 과정'!$D$12/2),1,0)),"")</x:f>
        <x:v>1</x:v>
      </x:c>
      <x:c r="N1709" s="17" t="n">
        <x:f>IF('계산 과정'!$C$78,IF(AND(ISNUMBER(H1709),ISNUMBER(I1709),ABS(H1709-'계산 과정'!$C$88)&lt;='계산 과정'!$D$23/2,ABS(I1709-'계산 과정'!$C$89)&lt;='계산 과정'!$D$24/2),1,0),"")</x:f>
        <x:v>1</x:v>
      </x:c>
      <x:c r="O1709" s="4" t="n">
        <x:f>IF('계산 과정'!$L$7,'계산 과정'!$C$49*('계산 과정'!$C$32-D1709)+'계산 과정'!$D$49*('계산 과정'!$D$32-E1709)+'계산 과정'!$E$49*'계산 과정'!$E$32,"")</x:f>
        <x:v>-96.465219326252</x:v>
      </x:c>
      <x:c r="P1709" s="4" t="n">
        <x:f>IF(AND('계산 과정'!$L$7,O1709&lt;&gt;0),('계산 과정'!$L$23-'계산 과정'!$C$49*D1709-'계산 과정'!$D$49*E1709)/O1709,"")</x:f>
        <x:v>-3.1465722339486155</x:v>
      </x:c>
      <x:c r="Q1709" s="4" t="str">
        <x:f>IF(AND(ISNUMBER(P1709),P1709&gt;1E-9,P1709&lt;1-1E-9),'계산 과정'!$C$47*(D1709-'계산 과정'!$C$50+P1709*('계산 과정'!$C$32-D1709))+'계산 과정'!$D$47*(E1709-'계산 과정'!$D$50+P1709*('계산 과정'!$D$32-E1709))+'계산 과정'!$E$47*(0-'계산 과정'!$E$50+P1709*('계산 과정'!$E$32-0)),"")</x:f>
      </x:c>
      <x:c r="R1709" s="4" t="str">
        <x:f>IF(AND(ISNUMBER(P1709),P1709&gt;1E-9,P1709&lt;1-1E-9),'계산 과정'!$C$48*(D1709-'계산 과정'!$C$50+P1709*('계산 과정'!$C$32-D1709))+'계산 과정'!$D$48*(E1709-'계산 과정'!$D$50+P1709*('계산 과정'!$D$32-E1709))+'계산 과정'!$E$48*(0-'계산 과정'!$E$50+P1709*('계산 과정'!$E$32-0)),"")</x:f>
      </x:c>
      <x:c r="S1709" s="17" t="n">
        <x:f>IF('계산 과정'!$C$78,IF(AND(ISNUMBER(Q1709),ISNUMBER(R1709),ABS(Q1709-'계산 과정'!$C$88)&lt;='계산 과정'!$D$23/2,ABS(R1709-'계산 과정'!$C$89)&lt;='계산 과정'!$D$24/2),1,0),"")</x:f>
        <x:v>0</x:v>
      </x:c>
      <x:c r="T1709" s="4"/>
      <x:c r="U1709" s="4"/>
      <x:c r="V1709" s="4"/>
      <x:c r="W1709" s="4"/>
      <x:c r="X1709" s="4"/>
      <x:c r="Y1709" s="4"/>
      <x:c r="Z1709" s="4"/>
    </x:row>
    <x:row r="1710" ht="23" customHeight="1">
      <x:c r="A1710" s="17" t="n">
        <x:f>ROW()-6</x:f>
        <x:v>1704</x:v>
      </x:c>
      <x:c r="B1710" s="4" t="n">
        <x:f>IF('계산 과정'!$L$5,'계산 과정'!$L$11*SQRT((A1710+0.5)/'계산 과정'!$L$30),"")</x:f>
        <x:v>136.84369290932813</x:v>
      </x:c>
      <x:c r="C1710" s="4" t="n">
        <x:f>A1710*PI()*(3-SQRT(5))</x:f>
        <x:v>4089.5373434576245</x:v>
      </x:c>
      <x:c r="D1710" s="4" t="n">
        <x:f>IF('계산 과정'!$L$5,B1710*COS(C1710),"")</x:f>
        <x:v>93.72807036085393</x:v>
      </x:c>
      <x:c r="E1710" s="4" t="n">
        <x:f>IF('계산 과정'!$L$5,B1710*SIN(C1710),"")</x:f>
        <x:v>-99.70579278804875</x:v>
      </x:c>
      <x:c r="F1710" s="4" t="n">
        <x:f>IF('계산 과정'!$L$7,'계산 과정'!$L$22+'계산 과정'!$C$49*D1710+'계산 과정'!$D$49*E1710,"")</x:f>
        <x:v>583.7242458603104</x:v>
      </x:c>
      <x:c r="G1710" s="4" t="n">
        <x:f>IF('계산 과정'!$L$7,IF(ABS(F1710)&gt;=1E-12*MAX(1,SQRT((D1710-'계산 과정'!$C$33)^2+(E1710-'계산 과정'!$D$33)^2+'계산 과정'!$E$33^2)),('계산 과정'!$L$23-'계산 과정'!$C$49*D1710-'계산 과정'!$D$49*E1710)/F1710,""),"")</x:f>
        <x:v>0.7987945634371901</x:v>
      </x:c>
      <x:c r="H1710" s="4" t="n">
        <x:f>IF(AND(ISNUMBER(G1710),G1710&gt;0),('계산 과정'!$D$56+'계산 과정'!$D$57*D1710+'계산 과정'!$D$58*E1710)/F1710,"")</x:f>
        <x:v>119.21646623417352</x:v>
      </x:c>
      <x:c r="I1710" s="4" t="n">
        <x:f>IF(AND(ISNUMBER(G1710),G1710&gt;0),('계산 과정'!$E$56+'계산 과정'!$E$57*D1710+'계산 과정'!$E$58*E1710)/F1710,"")</x:f>
        <x:v>-179.3502380103371</x:v>
      </x:c>
      <x:c r="J1710" s="4" t="n">
        <x:f>IF('계산 과정'!$L$5,'계산 과정'!$D$6+'계산 과정'!$C$35*D1710+'계산 과정'!$D$35*E1710,"")</x:f>
        <x:v>583.7242458603104</x:v>
      </x:c>
      <x:c r="K1710" s="4" t="n">
        <x:f>IF(AND('계산 과정'!$L$6,J1710&gt;0),'계산 과정'!$D$10*('계산 과정'!$C$38*(D1710-'계산 과정'!$C$32)+'계산 과정'!$D$38*(E1710-'계산 과정'!$D$32)-'계산 과정'!$E$38*'계산 과정'!$E$32)/J1710,"")</x:f>
        <x:v>0.9083159332127517</x:v>
      </x:c>
      <x:c r="L1710" s="4" t="n">
        <x:f>IF(AND('계산 과정'!$L$6,J1710&gt;0),'계산 과정'!$D$10*('계산 과정'!$C$39*(D1710-'계산 과정'!$C$32)+'계산 과정'!$D$39*(E1710-'계산 과정'!$D$32)-'계산 과정'!$E$39*'계산 과정'!$E$32)/J1710,"")</x:f>
        <x:v>-1.3664780038882827</x:v>
      </x:c>
      <x:c r="M1710" s="17" t="n">
        <x:f>IF('계산 과정'!$L$6,IF(J1710&lt;=0,0,IF(AND(ABS(K1710)&lt;='계산 과정'!$D$11/2,ABS(L1710)&lt;='계산 과정'!$D$12/2),1,0)),"")</x:f>
        <x:v>1</x:v>
      </x:c>
      <x:c r="N1710" s="17" t="n">
        <x:f>IF('계산 과정'!$C$78,IF(AND(ISNUMBER(H1710),ISNUMBER(I1710),ABS(H1710-'계산 과정'!$C$88)&lt;='계산 과정'!$D$23/2,ABS(I1710-'계산 과정'!$C$89)&lt;='계산 과정'!$D$24/2),1,0),"")</x:f>
        <x:v>1</x:v>
      </x:c>
      <x:c r="O1710" s="4" t="n">
        <x:f>IF('계산 과정'!$L$7,'계산 과정'!$C$49*('계산 과정'!$C$32-D1710)+'계산 과정'!$D$49*('계산 과정'!$D$32-E1710)+'계산 과정'!$E$49*'계산 과정'!$E$32,"")</x:f>
        <x:v>66.27575413968981</x:v>
      </x:c>
      <x:c r="P1710" s="4" t="n">
        <x:f>IF(AND('계산 과정'!$L$7,O1710&lt;&gt;0),('계산 과정'!$L$23-'계산 과정'!$C$49*D1710-'계산 과정'!$D$49*E1710)/O1710,"")</x:f>
        <x:v>7.035389641239199</x:v>
      </x:c>
      <x:c r="Q1710" s="4" t="str">
        <x:f>IF(AND(ISNUMBER(P1710),P1710&gt;1E-9,P1710&lt;1-1E-9),'계산 과정'!$C$47*(D1710-'계산 과정'!$C$50+P1710*('계산 과정'!$C$32-D1710))+'계산 과정'!$D$47*(E1710-'계산 과정'!$D$50+P1710*('계산 과정'!$D$32-E1710))+'계산 과정'!$E$47*(0-'계산 과정'!$E$50+P1710*('계산 과정'!$E$32-0)),"")</x:f>
      </x:c>
      <x:c r="R1710" s="4" t="str">
        <x:f>IF(AND(ISNUMBER(P1710),P1710&gt;1E-9,P1710&lt;1-1E-9),'계산 과정'!$C$48*(D1710-'계산 과정'!$C$50+P1710*('계산 과정'!$C$32-D1710))+'계산 과정'!$D$48*(E1710-'계산 과정'!$D$50+P1710*('계산 과정'!$D$32-E1710))+'계산 과정'!$E$48*(0-'계산 과정'!$E$50+P1710*('계산 과정'!$E$32-0)),"")</x:f>
      </x:c>
      <x:c r="S1710" s="17" t="n">
        <x:f>IF('계산 과정'!$C$78,IF(AND(ISNUMBER(Q1710),ISNUMBER(R1710),ABS(Q1710-'계산 과정'!$C$88)&lt;='계산 과정'!$D$23/2,ABS(R1710-'계산 과정'!$C$89)&lt;='계산 과정'!$D$24/2),1,0),"")</x:f>
        <x:v>0</x:v>
      </x:c>
      <x:c r="T1710" s="4"/>
      <x:c r="U1710" s="4"/>
      <x:c r="V1710" s="4"/>
      <x:c r="W1710" s="4"/>
      <x:c r="X1710" s="4"/>
      <x:c r="Y1710" s="4"/>
      <x:c r="Z1710" s="4"/>
    </x:row>
    <x:row r="1711" ht="23" customHeight="1">
      <x:c r="A1711" s="17" t="n">
        <x:f>ROW()-6</x:f>
        <x:v>1705</x:v>
      </x:c>
      <x:c r="B1711" s="4" t="n">
        <x:f>IF('계산 과정'!$L$5,'계산 과정'!$L$11*SQRT((A1711+0.5)/'계산 과정'!$L$30),"")</x:f>
        <x:v>136.88382891045785</x:v>
      </x:c>
      <x:c r="C1711" s="4" t="n">
        <x:f>A1711*PI()*(3-SQRT(5))</x:f>
        <x:v>4091.9373066873536</x:v>
      </x:c>
      <x:c r="D1711" s="4" t="n">
        <x:f>IF('계산 과정'!$L$5,B1711*COS(C1711),"")</x:f>
        <x:v>-1.7623835287689222</x:v>
      </x:c>
      <x:c r="E1711" s="4" t="n">
        <x:f>IF('계산 과정'!$L$5,B1711*SIN(C1711),"")</x:f>
        <x:v>136.87248306904138</x:v>
      </x:c>
      <x:c r="F1711" s="4" t="n">
        <x:f>IF('계산 과정'!$L$7,'계산 과정'!$L$22+'계산 과정'!$C$49*D1711+'계산 과정'!$D$49*E1711,"")</x:f>
        <x:v>651.246193344244</x:v>
      </x:c>
      <x:c r="G1711" s="4" t="n">
        <x:f>IF('계산 과정'!$L$7,IF(ABS(F1711)&gt;=1E-12*MAX(1,SQRT((D1711-'계산 과정'!$C$33)^2+(E1711-'계산 과정'!$D$33)^2+'계산 과정'!$E$33^2)),('계산 과정'!$L$23-'계산 과정'!$C$49*D1711-'계산 과정'!$D$49*E1711)/F1711,""),"")</x:f>
        <x:v>0.6122934931997025</x:v>
      </x:c>
      <x:c r="H1711" s="4" t="n">
        <x:f>IF(AND(ISNUMBER(G1711),G1711&gt;0),('계산 과정'!$D$56+'계산 과정'!$D$57*D1711+'계산 과정'!$D$58*E1711)/F1711,"")</x:f>
        <x:v>-2.0092294201934626</x:v>
      </x:c>
      <x:c r="I1711" s="4" t="n">
        <x:f>IF(AND(ISNUMBER(G1711),G1711&gt;0),('계산 과정'!$E$56+'계산 과정'!$E$57*D1711+'계산 과정'!$E$58*E1711)/F1711,"")</x:f>
        <x:v>220.67861385030184</x:v>
      </x:c>
      <x:c r="J1711" s="4" t="n">
        <x:f>IF('계산 과정'!$L$5,'계산 과정'!$D$6+'계산 과정'!$C$35*D1711+'계산 과정'!$D$35*E1711,"")</x:f>
        <x:v>651.246193344244</x:v>
      </x:c>
      <x:c r="K1711" s="4" t="n">
        <x:f>IF(AND('계산 과정'!$L$6,J1711&gt;0),'계산 과정'!$D$10*('계산 과정'!$C$38*(D1711-'계산 과정'!$C$32)+'계산 과정'!$D$38*(E1711-'계산 과정'!$D$32)-'계산 과정'!$E$38*'계산 과정'!$E$32)/J1711,"")</x:f>
        <x:v>-0.015308414630044506</x:v>
      </x:c>
      <x:c r="L1711" s="4" t="n">
        <x:f>IF(AND('계산 과정'!$L$6,J1711&gt;0),'계산 과정'!$D$10*('계산 과정'!$C$39*(D1711-'계산 과정'!$C$32)+'계산 과정'!$D$39*(E1711-'계산 과정'!$D$32)-'계산 과정'!$E$39*'계산 과정'!$E$32)/J1711,"")</x:f>
        <x:v>1.6813608674308713</x:v>
      </x:c>
      <x:c r="M1711" s="17" t="n">
        <x:f>IF('계산 과정'!$L$6,IF(J1711&lt;=0,0,IF(AND(ABS(K1711)&lt;='계산 과정'!$D$11/2,ABS(L1711)&lt;='계산 과정'!$D$12/2),1,0)),"")</x:f>
        <x:v>1</x:v>
      </x:c>
      <x:c r="N1711" s="17" t="n">
        <x:f>IF('계산 과정'!$C$78,IF(AND(ISNUMBER(H1711),ISNUMBER(I1711),ABS(H1711-'계산 과정'!$C$88)&lt;='계산 과정'!$D$23/2,ABS(I1711-'계산 과정'!$C$89)&lt;='계산 과정'!$D$24/2),1,0),"")</x:f>
        <x:v>1</x:v>
      </x:c>
      <x:c r="O1711" s="4" t="n">
        <x:f>IF('계산 과정'!$L$7,'계산 과정'!$C$49*('계산 과정'!$C$32-D1711)+'계산 과정'!$D$49*('계산 과정'!$D$32-E1711)+'계산 과정'!$E$49*'계산 과정'!$E$32,"")</x:f>
        <x:v>-1.2461933442438635</x:v>
      </x:c>
      <x:c r="P1711" s="4" t="n">
        <x:f>IF(AND('계산 과정'!$L$7,O1711&lt;&gt;0),('계산 과정'!$L$23-'계산 과정'!$C$49*D1711-'계산 과정'!$D$49*E1711)/O1711,"")</x:f>
        <x:v>-319.9774806193518</x:v>
      </x:c>
      <x:c r="Q1711" s="4" t="str">
        <x:f>IF(AND(ISNUMBER(P1711),P1711&gt;1E-9,P1711&lt;1-1E-9),'계산 과정'!$C$47*(D1711-'계산 과정'!$C$50+P1711*('계산 과정'!$C$32-D1711))+'계산 과정'!$D$47*(E1711-'계산 과정'!$D$50+P1711*('계산 과정'!$D$32-E1711))+'계산 과정'!$E$47*(0-'계산 과정'!$E$50+P1711*('계산 과정'!$E$32-0)),"")</x:f>
      </x:c>
      <x:c r="R1711" s="4" t="str">
        <x:f>IF(AND(ISNUMBER(P1711),P1711&gt;1E-9,P1711&lt;1-1E-9),'계산 과정'!$C$48*(D1711-'계산 과정'!$C$50+P1711*('계산 과정'!$C$32-D1711))+'계산 과정'!$D$48*(E1711-'계산 과정'!$D$50+P1711*('계산 과정'!$D$32-E1711))+'계산 과정'!$E$48*(0-'계산 과정'!$E$50+P1711*('계산 과정'!$E$32-0)),"")</x:f>
      </x:c>
      <x:c r="S1711" s="17" t="n">
        <x:f>IF('계산 과정'!$C$78,IF(AND(ISNUMBER(Q1711),ISNUMBER(R1711),ABS(Q1711-'계산 과정'!$C$88)&lt;='계산 과정'!$D$23/2,ABS(R1711-'계산 과정'!$C$89)&lt;='계산 과정'!$D$24/2),1,0),"")</x:f>
        <x:v>0</x:v>
      </x:c>
      <x:c r="T1711" s="4"/>
      <x:c r="U1711" s="4"/>
      <x:c r="V1711" s="4"/>
      <x:c r="W1711" s="4"/>
      <x:c r="X1711" s="4"/>
      <x:c r="Y1711" s="4"/>
      <x:c r="Z1711" s="4"/>
    </x:row>
    <x:row r="1712" ht="23" customHeight="1">
      <x:c r="A1712" s="17" t="n">
        <x:f>ROW()-6</x:f>
        <x:v>1706</x:v>
      </x:c>
      <x:c r="B1712" s="4" t="n">
        <x:f>IF('계산 과정'!$L$5,'계산 과정'!$L$11*SQRT((A1712+0.5)/'계산 과정'!$L$30),"")</x:f>
        <x:v>136.9239531466737</x:v>
      </x:c>
      <x:c r="C1712" s="4" t="n">
        <x:f>A1712*PI()*(3-SQRT(5))</x:f>
        <x:v>4094.337269917082</x:v>
      </x:c>
      <x:c r="D1712" s="4" t="n">
        <x:f>IF('계산 과정'!$L$5,B1712*COS(C1712),"")</x:f>
        <x:v>-91.1832274595752</x:v>
      </x:c>
      <x:c r="E1712" s="4" t="n">
        <x:f>IF('계산 과정'!$L$5,B1712*SIN(C1712),"")</x:f>
        <x:v>-102.14591511836323</x:v>
      </x:c>
      <x:c r="F1712" s="4" t="n">
        <x:f>IF('계산 과정'!$L$7,'계산 과정'!$L$22+'계산 과정'!$C$49*D1712+'계산 과정'!$D$49*E1712,"")</x:f>
        <x:v>714.476278467141</x:v>
      </x:c>
      <x:c r="G1712" s="4" t="n">
        <x:f>IF('계산 과정'!$L$7,IF(ABS(F1712)&gt;=1E-12*MAX(1,SQRT((D1712-'계산 과정'!$C$33)^2+(E1712-'계산 과정'!$D$33)^2+'계산 과정'!$E$33^2)),('계산 과정'!$L$23-'계산 과정'!$C$49*D1712-'계산 과정'!$D$49*E1712)/F1712,""),"")</x:f>
        <x:v>0.46960792351665154</x:v>
      </x:c>
      <x:c r="H1712" s="4" t="n">
        <x:f>IF(AND(ISNUMBER(G1712),G1712&gt;0),('계산 과정'!$D$56+'계산 과정'!$D$57*D1712+'계산 과정'!$D$58*E1712)/F1712,"")</x:f>
        <x:v>-94.75484971417666</x:v>
      </x:c>
      <x:c r="I1712" s="4" t="n">
        <x:f>IF(AND(ISNUMBER(G1712),G1712&gt;0),('계산 과정'!$E$56+'계산 과정'!$E$57*D1712+'계산 과정'!$E$58*E1712)/F1712,"")</x:f>
        <x:v>-150.11444621280594</x:v>
      </x:c>
      <x:c r="J1712" s="4" t="n">
        <x:f>IF('계산 과정'!$L$5,'계산 과정'!$D$6+'계산 과정'!$C$35*D1712+'계산 과정'!$D$35*E1712,"")</x:f>
        <x:v>714.476278467141</x:v>
      </x:c>
      <x:c r="K1712" s="4" t="n">
        <x:f>IF(AND('계산 과정'!$L$6,J1712&gt;0),'계산 과정'!$D$10*('계산 과정'!$C$38*(D1712-'계산 과정'!$C$32)+'계산 과정'!$D$38*(E1712-'계산 과정'!$D$32)-'계산 과정'!$E$38*'계산 과정'!$E$32)/J1712,"")</x:f>
        <x:v>-0.7219417121080114</x:v>
      </x:c>
      <x:c r="L1712" s="4" t="n">
        <x:f>IF(AND('계산 과정'!$L$6,J1712&gt;0),'계산 과정'!$D$10*('계산 과정'!$C$39*(D1712-'계산 과정'!$C$32)+'계산 과정'!$D$39*(E1712-'계산 과정'!$D$32)-'계산 과정'!$E$39*'계산 과정'!$E$32)/J1712,"")</x:f>
        <x:v>-1.143729114002331</x:v>
      </x:c>
      <x:c r="M1712" s="17" t="n">
        <x:f>IF('계산 과정'!$L$6,IF(J1712&lt;=0,0,IF(AND(ABS(K1712)&lt;='계산 과정'!$D$11/2,ABS(L1712)&lt;='계산 과정'!$D$12/2),1,0)),"")</x:f>
        <x:v>1</x:v>
      </x:c>
      <x:c r="N1712" s="17" t="n">
        <x:f>IF('계산 과정'!$C$78,IF(AND(ISNUMBER(H1712),ISNUMBER(I1712),ABS(H1712-'계산 과정'!$C$88)&lt;='계산 과정'!$D$23/2,ABS(I1712-'계산 과정'!$C$89)&lt;='계산 과정'!$D$24/2),1,0),"")</x:f>
        <x:v>1</x:v>
      </x:c>
      <x:c r="O1712" s="4" t="n">
        <x:f>IF('계산 과정'!$L$7,'계산 과정'!$C$49*('계산 과정'!$C$32-D1712)+'계산 과정'!$D$49*('계산 과정'!$D$32-E1712)+'계산 과정'!$E$49*'계산 과정'!$E$32,"")</x:f>
        <x:v>-64.4762784671409</x:v>
      </x:c>
      <x:c r="P1712" s="4" t="n">
        <x:f>IF(AND('계산 과정'!$L$7,O1712&lt;&gt;0),('계산 과정'!$L$23-'계산 과정'!$C$49*D1712-'계산 과정'!$D$49*E1712)/O1712,"")</x:f>
        <x:v>-5.2038320062758</x:v>
      </x:c>
      <x:c r="Q1712" s="4" t="str">
        <x:f>IF(AND(ISNUMBER(P1712),P1712&gt;1E-9,P1712&lt;1-1E-9),'계산 과정'!$C$47*(D1712-'계산 과정'!$C$50+P1712*('계산 과정'!$C$32-D1712))+'계산 과정'!$D$47*(E1712-'계산 과정'!$D$50+P1712*('계산 과정'!$D$32-E1712))+'계산 과정'!$E$47*(0-'계산 과정'!$E$50+P1712*('계산 과정'!$E$32-0)),"")</x:f>
      </x:c>
      <x:c r="R1712" s="4" t="str">
        <x:f>IF(AND(ISNUMBER(P1712),P1712&gt;1E-9,P1712&lt;1-1E-9),'계산 과정'!$C$48*(D1712-'계산 과정'!$C$50+P1712*('계산 과정'!$C$32-D1712))+'계산 과정'!$D$48*(E1712-'계산 과정'!$D$50+P1712*('계산 과정'!$D$32-E1712))+'계산 과정'!$E$48*(0-'계산 과정'!$E$50+P1712*('계산 과정'!$E$32-0)),"")</x:f>
      </x:c>
      <x:c r="S1712" s="17" t="n">
        <x:f>IF('계산 과정'!$C$78,IF(AND(ISNUMBER(Q1712),ISNUMBER(R1712),ABS(Q1712-'계산 과정'!$C$88)&lt;='계산 과정'!$D$23/2,ABS(R1712-'계산 과정'!$C$89)&lt;='계산 과정'!$D$24/2),1,0),"")</x:f>
        <x:v>0</x:v>
      </x:c>
      <x:c r="T1712" s="4"/>
      <x:c r="U1712" s="4"/>
      <x:c r="V1712" s="4"/>
      <x:c r="W1712" s="4"/>
      <x:c r="X1712" s="4"/>
      <x:c r="Y1712" s="4"/>
      <x:c r="Z1712" s="4"/>
    </x:row>
    <x:row r="1713" ht="23" customHeight="1">
      <x:c r="A1713" s="17" t="n">
        <x:f>ROW()-6</x:f>
        <x:v>1707</x:v>
      </x:c>
      <x:c r="B1713" s="4" t="n">
        <x:f>IF('계산 과정'!$L$5,'계산 과정'!$L$11*SQRT((A1713+0.5)/'계산 과정'!$L$30),"")</x:f>
        <x:v>136.96406562831544</x:v>
      </x:c>
      <x:c r="C1713" s="4" t="n">
        <x:f>A1713*PI()*(3-SQRT(5))</x:f>
        <x:v>4096.7372331468105</x:v>
      </x:c>
      <x:c r="D1713" s="4" t="n">
        <x:f>IF('계산 과정'!$L$5,B1713*COS(C1713),"")</x:f>
        <x:v>136.27415882190647</x:v>
      </x:c>
      <x:c r="E1713" s="4" t="n">
        <x:f>IF('계산 과정'!$L$5,B1713*SIN(C1713),"")</x:f>
        <x:v>13.72985472681013</x:v>
      </x:c>
      <x:c r="F1713" s="4" t="n">
        <x:f>IF('계산 과정'!$L$7,'계산 과정'!$L$22+'계산 과정'!$C$49*D1713+'계산 과정'!$D$49*E1713,"")</x:f>
        <x:v>553.6396181965374</x:v>
      </x:c>
      <x:c r="G1713" s="4" t="n">
        <x:f>IF('계산 과정'!$L$7,IF(ABS(F1713)&gt;=1E-12*MAX(1,SQRT((D1713-'계산 과정'!$C$33)^2+(E1713-'계산 과정'!$D$33)^2+'계산 과정'!$E$33^2)),('계산 과정'!$L$23-'계산 과정'!$C$49*D1713-'계산 과정'!$D$49*E1713)/F1713,""),"")</x:f>
        <x:v>0.8965405752939792</x:v>
      </x:c>
      <x:c r="H1713" s="4" t="n">
        <x:f>IF(AND(ISNUMBER(G1713),G1713&gt;0),('계산 과정'!$D$56+'계산 과정'!$D$57*D1713+'계산 과정'!$D$58*E1713)/F1713,"")</x:f>
        <x:v>182.75137394108643</x:v>
      </x:c>
      <x:c r="I1713" s="4" t="n">
        <x:f>IF(AND(ISNUMBER(G1713),G1713&gt;0),('계산 과정'!$E$56+'계산 과정'!$E$57*D1713+'계산 과정'!$E$58*E1713)/F1713,"")</x:f>
        <x:v>26.03922658228724</x:v>
      </x:c>
      <x:c r="J1713" s="4" t="n">
        <x:f>IF('계산 과정'!$L$5,'계산 과정'!$D$6+'계산 과정'!$C$35*D1713+'계산 과정'!$D$35*E1713,"")</x:f>
        <x:v>553.6396181965374</x:v>
      </x:c>
      <x:c r="K1713" s="4" t="n">
        <x:f>IF(AND('계산 과정'!$L$6,J1713&gt;0),'계산 과정'!$D$10*('계산 과정'!$C$38*(D1713-'계산 과정'!$C$32)+'계산 과정'!$D$38*(E1713-'계산 과정'!$D$32)-'계산 과정'!$E$38*'계산 과정'!$E$32)/J1713,"")</x:f>
        <x:v>1.3923914205035164</x:v>
      </x:c>
      <x:c r="L1713" s="4" t="n">
        <x:f>IF(AND('계산 과정'!$L$6,J1713&gt;0),'계산 과정'!$D$10*('계산 과정'!$C$39*(D1713-'계산 과정'!$C$32)+'계산 과정'!$D$39*(E1713-'계산 과정'!$D$32)-'계산 과정'!$E$39*'계산 과정'!$E$32)/J1713,"")</x:f>
        <x:v>0.1983941072936171</x:v>
      </x:c>
      <x:c r="M1713" s="17" t="n">
        <x:f>IF('계산 과정'!$L$6,IF(J1713&lt;=0,0,IF(AND(ABS(K1713)&lt;='계산 과정'!$D$11/2,ABS(L1713)&lt;='계산 과정'!$D$12/2),1,0)),"")</x:f>
        <x:v>1</x:v>
      </x:c>
      <x:c r="N1713" s="17" t="n">
        <x:f>IF('계산 과정'!$C$78,IF(AND(ISNUMBER(H1713),ISNUMBER(I1713),ABS(H1713-'계산 과정'!$C$88)&lt;='계산 과정'!$D$23/2,ABS(I1713-'계산 과정'!$C$89)&lt;='계산 과정'!$D$24/2),1,0),"")</x:f>
        <x:v>1</x:v>
      </x:c>
      <x:c r="O1713" s="4" t="n">
        <x:f>IF('계산 과정'!$L$7,'계산 과정'!$C$49*('계산 과정'!$C$32-D1713)+'계산 과정'!$D$49*('계산 과정'!$D$32-E1713)+'계산 과정'!$E$49*'계산 과정'!$E$32,"")</x:f>
        <x:v>96.36038180346273</x:v>
      </x:c>
      <x:c r="P1713" s="4" t="n">
        <x:f>IF(AND('계산 과정'!$L$7,O1713&lt;&gt;0),('계산 과정'!$L$23-'계산 과정'!$C$49*D1713-'계산 과정'!$D$49*E1713)/O1713,"")</x:f>
        <x:v>5.151083593834679</x:v>
      </x:c>
      <x:c r="Q1713" s="4" t="str">
        <x:f>IF(AND(ISNUMBER(P1713),P1713&gt;1E-9,P1713&lt;1-1E-9),'계산 과정'!$C$47*(D1713-'계산 과정'!$C$50+P1713*('계산 과정'!$C$32-D1713))+'계산 과정'!$D$47*(E1713-'계산 과정'!$D$50+P1713*('계산 과정'!$D$32-E1713))+'계산 과정'!$E$47*(0-'계산 과정'!$E$50+P1713*('계산 과정'!$E$32-0)),"")</x:f>
      </x:c>
      <x:c r="R1713" s="4" t="str">
        <x:f>IF(AND(ISNUMBER(P1713),P1713&gt;1E-9,P1713&lt;1-1E-9),'계산 과정'!$C$48*(D1713-'계산 과정'!$C$50+P1713*('계산 과정'!$C$32-D1713))+'계산 과정'!$D$48*(E1713-'계산 과정'!$D$50+P1713*('계산 과정'!$D$32-E1713))+'계산 과정'!$E$48*(0-'계산 과정'!$E$50+P1713*('계산 과정'!$E$32-0)),"")</x:f>
      </x:c>
      <x:c r="S1713" s="17" t="n">
        <x:f>IF('계산 과정'!$C$78,IF(AND(ISNUMBER(Q1713),ISNUMBER(R1713),ABS(Q1713-'계산 과정'!$C$88)&lt;='계산 과정'!$D$23/2,ABS(R1713-'계산 과정'!$C$89)&lt;='계산 과정'!$D$24/2),1,0),"")</x:f>
        <x:v>0</x:v>
      </x:c>
      <x:c r="T1713" s="4"/>
      <x:c r="U1713" s="4"/>
      <x:c r="V1713" s="4"/>
      <x:c r="W1713" s="4"/>
      <x:c r="X1713" s="4"/>
      <x:c r="Y1713" s="4"/>
      <x:c r="Z1713" s="4"/>
    </x:row>
    <x:row r="1714" ht="23" customHeight="1">
      <x:c r="A1714" s="17" t="n">
        <x:f>ROW()-6</x:f>
        <x:v>1708</x:v>
      </x:c>
      <x:c r="B1714" s="4" t="n">
        <x:f>IF('계산 과정'!$L$5,'계산 과정'!$L$11*SQRT((A1714+0.5)/'계산 과정'!$L$30),"")</x:f>
        <x:v>137.00416636570765</x:v>
      </x:c>
      <x:c r="C1714" s="4" t="n">
        <x:f>A1714*PI()*(3-SQRT(5))</x:f>
        <x:v>4099.13719637654</x:v>
      </x:c>
      <x:c r="D1714" s="4" t="n">
        <x:f>IF('계산 과정'!$L$5,B1714*COS(C1714),"")</x:f>
        <x:v>-109.79084268464271</x:v>
      </x:c>
      <x:c r="E1714" s="4" t="n">
        <x:f>IF('계산 과정'!$L$5,B1714*SIN(C1714),"")</x:f>
        <x:v>81.95189115669346</x:v>
      </x:c>
      <x:c r="F1714" s="4" t="n">
        <x:f>IF('계산 과정'!$L$7,'계산 과정'!$L$22+'계산 과정'!$C$49*D1714+'계산 과정'!$D$49*E1714,"")</x:f>
        <x:v>727.6338493744963</x:v>
      </x:c>
      <x:c r="G1714" s="4" t="n">
        <x:f>IF('계산 과정'!$L$7,IF(ABS(F1714)&gt;=1E-12*MAX(1,SQRT((D1714-'계산 과정'!$C$33)^2+(E1714-'계산 과정'!$D$33)^2+'계산 과정'!$E$33^2)),('계산 과정'!$L$23-'계산 과정'!$C$49*D1714-'계산 과정'!$D$49*E1714)/F1714,""),"")</x:f>
        <x:v>0.44303347198954907</x:v>
      </x:c>
      <x:c r="H1714" s="4" t="n">
        <x:f>IF(AND(ISNUMBER(G1714),G1714&gt;0),('계산 과정'!$D$56+'계산 과정'!$D$57*D1714+'계산 과정'!$D$58*E1714)/F1714,"")</x:f>
        <x:v>-112.02824320679323</x:v>
      </x:c>
      <x:c r="I1714" s="4" t="n">
        <x:f>IF(AND(ISNUMBER(G1714),G1714&gt;0),('계산 과정'!$E$56+'계산 과정'!$E$57*D1714+'계산 과정'!$E$58*E1714)/F1714,"")</x:f>
        <x:v>118.259322031953</x:v>
      </x:c>
      <x:c r="J1714" s="4" t="n">
        <x:f>IF('계산 과정'!$L$5,'계산 과정'!$D$6+'계산 과정'!$C$35*D1714+'계산 과정'!$D$35*E1714,"")</x:f>
        <x:v>727.6338493744963</x:v>
      </x:c>
      <x:c r="K1714" s="4" t="n">
        <x:f>IF(AND('계산 과정'!$L$6,J1714&gt;0),'계산 과정'!$D$10*('계산 과정'!$C$38*(D1714-'계산 과정'!$C$32)+'계산 과정'!$D$38*(E1714-'계산 과정'!$D$32)-'계산 과정'!$E$38*'계산 과정'!$E$32)/J1714,"")</x:f>
        <x:v>-0.8535485196708046</x:v>
      </x:c>
      <x:c r="L1714" s="4" t="n">
        <x:f>IF(AND('계산 과정'!$L$6,J1714&gt;0),'계산 과정'!$D$10*('계산 과정'!$C$39*(D1714-'계산 과정'!$C$32)+'계산 과정'!$D$39*(E1714-'계산 과정'!$D$32)-'계산 과정'!$E$39*'계산 과정'!$E$32)/J1714,"")</x:f>
        <x:v>0.9010234059577371</x:v>
      </x:c>
      <x:c r="M1714" s="17" t="n">
        <x:f>IF('계산 과정'!$L$6,IF(J1714&lt;=0,0,IF(AND(ABS(K1714)&lt;='계산 과정'!$D$11/2,ABS(L1714)&lt;='계산 과정'!$D$12/2),1,0)),"")</x:f>
        <x:v>1</x:v>
      </x:c>
      <x:c r="N1714" s="17" t="n">
        <x:f>IF('계산 과정'!$C$78,IF(AND(ISNUMBER(H1714),ISNUMBER(I1714),ABS(H1714-'계산 과정'!$C$88)&lt;='계산 과정'!$D$23/2,ABS(I1714-'계산 과정'!$C$89)&lt;='계산 과정'!$D$24/2),1,0),"")</x:f>
        <x:v>1</x:v>
      </x:c>
      <x:c r="O1714" s="4" t="n">
        <x:f>IF('계산 과정'!$L$7,'계산 과정'!$C$49*('계산 과정'!$C$32-D1714)+'계산 과정'!$D$49*('계산 과정'!$D$32-E1714)+'계산 과정'!$E$49*'계산 과정'!$E$32,"")</x:f>
        <x:v>-77.63384937449621</x:v>
      </x:c>
      <x:c r="P1714" s="4" t="n">
        <x:f>IF(AND('계산 과정'!$L$7,O1714&lt;&gt;0),('계산 과정'!$L$23-'계산 과정'!$C$49*D1714-'계산 과정'!$D$49*E1714)/O1714,"")</x:f>
        <x:v>-4.152391685106953</x:v>
      </x:c>
      <x:c r="Q1714" s="4" t="str">
        <x:f>IF(AND(ISNUMBER(P1714),P1714&gt;1E-9,P1714&lt;1-1E-9),'계산 과정'!$C$47*(D1714-'계산 과정'!$C$50+P1714*('계산 과정'!$C$32-D1714))+'계산 과정'!$D$47*(E1714-'계산 과정'!$D$50+P1714*('계산 과정'!$D$32-E1714))+'계산 과정'!$E$47*(0-'계산 과정'!$E$50+P1714*('계산 과정'!$E$32-0)),"")</x:f>
      </x:c>
      <x:c r="R1714" s="4" t="str">
        <x:f>IF(AND(ISNUMBER(P1714),P1714&gt;1E-9,P1714&lt;1-1E-9),'계산 과정'!$C$48*(D1714-'계산 과정'!$C$50+P1714*('계산 과정'!$C$32-D1714))+'계산 과정'!$D$48*(E1714-'계산 과정'!$D$50+P1714*('계산 과정'!$D$32-E1714))+'계산 과정'!$E$48*(0-'계산 과정'!$E$50+P1714*('계산 과정'!$E$32-0)),"")</x:f>
      </x:c>
      <x:c r="S1714" s="17" t="n">
        <x:f>IF('계산 과정'!$C$78,IF(AND(ISNUMBER(Q1714),ISNUMBER(R1714),ABS(Q1714-'계산 과정'!$C$88)&lt;='계산 과정'!$D$23/2,ABS(R1714-'계산 과정'!$C$89)&lt;='계산 과정'!$D$24/2),1,0),"")</x:f>
        <x:v>0</x:v>
      </x:c>
      <x:c r="T1714" s="4"/>
      <x:c r="U1714" s="4"/>
      <x:c r="V1714" s="4"/>
      <x:c r="W1714" s="4"/>
      <x:c r="X1714" s="4"/>
      <x:c r="Y1714" s="4"/>
      <x:c r="Z1714" s="4"/>
    </x:row>
    <x:row r="1715" ht="23" customHeight="1">
      <x:c r="A1715" s="17" t="n">
        <x:f>ROW()-6</x:f>
        <x:v>1709</x:v>
      </x:c>
      <x:c r="B1715" s="4" t="n">
        <x:f>IF('계산 과정'!$L$5,'계산 과정'!$L$11*SQRT((A1715+0.5)/'계산 과정'!$L$30),"")</x:f>
        <x:v>137.04425536915986</x:v>
      </x:c>
      <x:c r="C1715" s="4" t="n">
        <x:f>A1715*PI()*(3-SQRT(5))</x:f>
        <x:v>4101.537159606268</x:v>
      </x:c>
      <x:c r="D1715" s="4" t="n">
        <x:f>IF('계산 과정'!$L$5,B1715*COS(C1715),"")</x:f>
        <x:v>25.606133879962538</x:v>
      </x:c>
      <x:c r="E1715" s="4" t="n">
        <x:f>IF('계산 과정'!$L$5,B1715*SIN(C1715),"")</x:f>
        <x:v>-134.63080567763433</x:v>
      </x:c>
      <x:c r="F1715" s="4" t="n">
        <x:f>IF('계산 과정'!$L$7,'계산 과정'!$L$22+'계산 과정'!$C$49*D1715+'계산 과정'!$D$49*E1715,"")</x:f>
        <x:v>631.8937290935079</x:v>
      </x:c>
      <x:c r="G1715" s="4" t="n">
        <x:f>IF('계산 과정'!$L$7,IF(ABS(F1715)&gt;=1E-12*MAX(1,SQRT((D1715-'계산 과정'!$C$33)^2+(E1715-'계산 과정'!$D$33)^2+'계산 과정'!$E$33^2)),('계산 과정'!$L$23-'계산 과정'!$C$49*D1715-'계산 과정'!$D$49*E1715)/F1715,""),"")</x:f>
        <x:v>0.6616718154590526</x:v>
      </x:c>
      <x:c r="H1715" s="4" t="n">
        <x:f>IF(AND(ISNUMBER(G1715),G1715&gt;0),('계산 과정'!$D$56+'계산 과정'!$D$57*D1715+'계산 과정'!$D$58*E1715)/F1715,"")</x:f>
        <x:v>30.086680048384064</x:v>
      </x:c>
      <x:c r="I1715" s="4" t="n">
        <x:f>IF(AND(ISNUMBER(G1715),G1715&gt;0),('계산 과정'!$E$56+'계산 과정'!$E$57*D1715+'계산 과정'!$E$58*E1715)/F1715,"")</x:f>
        <x:v>-223.71221528706957</x:v>
      </x:c>
      <x:c r="J1715" s="4" t="n">
        <x:f>IF('계산 과정'!$L$5,'계산 과정'!$D$6+'계산 과정'!$C$35*D1715+'계산 과정'!$D$35*E1715,"")</x:f>
        <x:v>631.8937290935079</x:v>
      </x:c>
      <x:c r="K1715" s="4" t="n">
        <x:f>IF(AND('계산 과정'!$L$6,J1715&gt;0),'계산 과정'!$D$10*('계산 과정'!$C$38*(D1715-'계산 과정'!$C$32)+'계산 과정'!$D$38*(E1715-'계산 과정'!$D$32)-'계산 과정'!$E$38*'계산 과정'!$E$32)/J1715,"")</x:f>
        <x:v>0.22923184798768897</x:v>
      </x:c>
      <x:c r="L1715" s="4" t="n">
        <x:f>IF(AND('계산 과정'!$L$6,J1715&gt;0),'계산 과정'!$D$10*('계산 과정'!$C$39*(D1715-'계산 과정'!$C$32)+'계산 과정'!$D$39*(E1715-'계산 과정'!$D$32)-'계산 과정'!$E$39*'계산 과정'!$E$32)/J1715,"")</x:f>
        <x:v>-1.7044740212348157</x:v>
      </x:c>
      <x:c r="M1715" s="17" t="n">
        <x:f>IF('계산 과정'!$L$6,IF(J1715&lt;=0,0,IF(AND(ABS(K1715)&lt;='계산 과정'!$D$11/2,ABS(L1715)&lt;='계산 과정'!$D$12/2),1,0)),"")</x:f>
        <x:v>1</x:v>
      </x:c>
      <x:c r="N1715" s="17" t="n">
        <x:f>IF('계산 과정'!$C$78,IF(AND(ISNUMBER(H1715),ISNUMBER(I1715),ABS(H1715-'계산 과정'!$C$88)&lt;='계산 과정'!$D$23/2,ABS(I1715-'계산 과정'!$C$89)&lt;='계산 과정'!$D$24/2),1,0),"")</x:f>
        <x:v>1</x:v>
      </x:c>
      <x:c r="O1715" s="4" t="n">
        <x:f>IF('계산 과정'!$L$7,'계산 과정'!$C$49*('계산 과정'!$C$32-D1715)+'계산 과정'!$D$49*('계산 과정'!$D$32-E1715)+'계산 과정'!$E$49*'계산 과정'!$E$32,"")</x:f>
        <x:v>18.106270906492227</x:v>
      </x:c>
      <x:c r="P1715" s="4" t="n">
        <x:f>IF(AND('계산 과정'!$L$7,O1715&lt;&gt;0),('계산 과정'!$L$23-'계산 과정'!$C$49*D1715-'계산 과정'!$D$49*E1715)/O1715,"")</x:f>
        <x:v>23.091793614806402</x:v>
      </x:c>
      <x:c r="Q1715" s="4" t="str">
        <x:f>IF(AND(ISNUMBER(P1715),P1715&gt;1E-9,P1715&lt;1-1E-9),'계산 과정'!$C$47*(D1715-'계산 과정'!$C$50+P1715*('계산 과정'!$C$32-D1715))+'계산 과정'!$D$47*(E1715-'계산 과정'!$D$50+P1715*('계산 과정'!$D$32-E1715))+'계산 과정'!$E$47*(0-'계산 과정'!$E$50+P1715*('계산 과정'!$E$32-0)),"")</x:f>
      </x:c>
      <x:c r="R1715" s="4" t="str">
        <x:f>IF(AND(ISNUMBER(P1715),P1715&gt;1E-9,P1715&lt;1-1E-9),'계산 과정'!$C$48*(D1715-'계산 과정'!$C$50+P1715*('계산 과정'!$C$32-D1715))+'계산 과정'!$D$48*(E1715-'계산 과정'!$D$50+P1715*('계산 과정'!$D$32-E1715))+'계산 과정'!$E$48*(0-'계산 과정'!$E$50+P1715*('계산 과정'!$E$32-0)),"")</x:f>
      </x:c>
      <x:c r="S1715" s="17" t="n">
        <x:f>IF('계산 과정'!$C$78,IF(AND(ISNUMBER(Q1715),ISNUMBER(R1715),ABS(Q1715-'계산 과정'!$C$88)&lt;='계산 과정'!$D$23/2,ABS(R1715-'계산 과정'!$C$89)&lt;='계산 과정'!$D$24/2),1,0),"")</x:f>
        <x:v>0</x:v>
      </x:c>
      <x:c r="T1715" s="4"/>
      <x:c r="U1715" s="4"/>
      <x:c r="V1715" s="4"/>
      <x:c r="W1715" s="4"/>
      <x:c r="X1715" s="4"/>
      <x:c r="Y1715" s="4"/>
      <x:c r="Z1715" s="4"/>
    </x:row>
    <x:row r="1716" ht="23" customHeight="1">
      <x:c r="A1716" s="17" t="n">
        <x:f>ROW()-6</x:f>
        <x:v>1710</x:v>
      </x:c>
      <x:c r="B1716" s="4" t="n">
        <x:f>IF('계산 과정'!$L$5,'계산 과정'!$L$11*SQRT((A1716+0.5)/'계산 과정'!$L$30),"")</x:f>
        <x:v>137.0843326489665</x:v>
      </x:c>
      <x:c r="C1716" s="4" t="n">
        <x:f>A1716*PI()*(3-SQRT(5))</x:f>
        <x:v>4103.937122835997</x:v>
      </x:c>
      <x:c r="D1716" s="4" t="n">
        <x:f>IF('계산 과정'!$L$5,B1716*COS(C1716),"")</x:f>
        <x:v>72.0817097756707</x:v>
      </x:c>
      <x:c r="E1716" s="4" t="n">
        <x:f>IF('계산 과정'!$L$5,B1716*SIN(C1716),"")</x:f>
        <x:v>116.60335061064275</x:v>
      </x:c>
      <x:c r="F1716" s="4" t="n">
        <x:f>IF('계산 과정'!$L$7,'계산 과정'!$L$22+'계산 과정'!$C$49*D1716+'계산 과정'!$D$49*E1716,"")</x:f>
        <x:v>599.0305342181026</x:v>
      </x:c>
      <x:c r="G1716" s="4" t="n">
        <x:f>IF('계산 과정'!$L$7,IF(ABS(F1716)&gt;=1E-12*MAX(1,SQRT((D1716-'계산 과정'!$C$33)^2+(E1716-'계산 과정'!$D$33)^2+'계산 과정'!$E$33^2)),('계산 과정'!$L$23-'계산 과정'!$C$49*D1716-'계산 과정'!$D$49*E1716)/F1716,""),"")</x:f>
        <x:v>0.7528321847074706</x:v>
      </x:c>
      <x:c r="H1716" s="4" t="n">
        <x:f>IF(AND(ISNUMBER(G1716),G1716&gt;0),('계산 과정'!$D$56+'계산 과정'!$D$57*D1716+'계산 과정'!$D$58*E1716)/F1716,"")</x:f>
        <x:v>89.3409200598558</x:v>
      </x:c>
      <x:c r="I1716" s="4" t="n">
        <x:f>IF(AND(ISNUMBER(G1716),G1716&gt;0),('계산 과정'!$E$56+'계산 과정'!$E$57*D1716+'계산 과정'!$E$58*E1716)/F1716,"")</x:f>
        <x:v>204.3861057950641</x:v>
      </x:c>
      <x:c r="J1716" s="4" t="n">
        <x:f>IF('계산 과정'!$L$5,'계산 과정'!$D$6+'계산 과정'!$C$35*D1716+'계산 과정'!$D$35*E1716,"")</x:f>
        <x:v>599.0305342181026</x:v>
      </x:c>
      <x:c r="K1716" s="4" t="n">
        <x:f>IF(AND('계산 과정'!$L$6,J1716&gt;0),'계산 과정'!$D$10*('계산 과정'!$C$38*(D1716-'계산 과정'!$C$32)+'계산 과정'!$D$38*(E1716-'계산 과정'!$D$32)-'계산 과정'!$E$38*'계산 과정'!$E$32)/J1716,"")</x:f>
        <x:v>0.6806927242655684</x:v>
      </x:c>
      <x:c r="L1716" s="4" t="n">
        <x:f>IF(AND('계산 과정'!$L$6,J1716&gt;0),'계산 과정'!$D$10*('계산 과정'!$C$39*(D1716-'계산 과정'!$C$32)+'계산 과정'!$D$39*(E1716-'계산 과정'!$D$32)-'계산 과정'!$E$39*'계산 과정'!$E$32)/J1716,"")</x:f>
        <x:v>1.5572274727242978</x:v>
      </x:c>
      <x:c r="M1716" s="17" t="n">
        <x:f>IF('계산 과정'!$L$6,IF(J1716&lt;=0,0,IF(AND(ABS(K1716)&lt;='계산 과정'!$D$11/2,ABS(L1716)&lt;='계산 과정'!$D$12/2),1,0)),"")</x:f>
        <x:v>1</x:v>
      </x:c>
      <x:c r="N1716" s="17" t="n">
        <x:f>IF('계산 과정'!$C$78,IF(AND(ISNUMBER(H1716),ISNUMBER(I1716),ABS(H1716-'계산 과정'!$C$88)&lt;='계산 과정'!$D$23/2,ABS(I1716-'계산 과정'!$C$89)&lt;='계산 과정'!$D$24/2),1,0),"")</x:f>
        <x:v>1</x:v>
      </x:c>
      <x:c r="O1716" s="4" t="n">
        <x:f>IF('계산 과정'!$L$7,'계산 과정'!$C$49*('계산 과정'!$C$32-D1716)+'계산 과정'!$D$49*('계산 과정'!$D$32-E1716)+'계산 과정'!$E$49*'계산 과정'!$E$32,"")</x:f>
        <x:v>50.9694657818975</x:v>
      </x:c>
      <x:c r="P1716" s="4" t="n">
        <x:f>IF(AND('계산 과정'!$L$7,O1716&lt;&gt;0),('계산 과정'!$L$23-'계산 과정'!$C$49*D1716-'계산 과정'!$D$49*E1716)/O1716,"")</x:f>
        <x:v>8.847835833940904</x:v>
      </x:c>
      <x:c r="Q1716" s="4" t="str">
        <x:f>IF(AND(ISNUMBER(P1716),P1716&gt;1E-9,P1716&lt;1-1E-9),'계산 과정'!$C$47*(D1716-'계산 과정'!$C$50+P1716*('계산 과정'!$C$32-D1716))+'계산 과정'!$D$47*(E1716-'계산 과정'!$D$50+P1716*('계산 과정'!$D$32-E1716))+'계산 과정'!$E$47*(0-'계산 과정'!$E$50+P1716*('계산 과정'!$E$32-0)),"")</x:f>
      </x:c>
      <x:c r="R1716" s="4" t="str">
        <x:f>IF(AND(ISNUMBER(P1716),P1716&gt;1E-9,P1716&lt;1-1E-9),'계산 과정'!$C$48*(D1716-'계산 과정'!$C$50+P1716*('계산 과정'!$C$32-D1716))+'계산 과정'!$D$48*(E1716-'계산 과정'!$D$50+P1716*('계산 과정'!$D$32-E1716))+'계산 과정'!$E$48*(0-'계산 과정'!$E$50+P1716*('계산 과정'!$E$32-0)),"")</x:f>
      </x:c>
      <x:c r="S1716" s="17" t="n">
        <x:f>IF('계산 과정'!$C$78,IF(AND(ISNUMBER(Q1716),ISNUMBER(R1716),ABS(Q1716-'계산 과정'!$C$88)&lt;='계산 과정'!$D$23/2,ABS(R1716-'계산 과정'!$C$89)&lt;='계산 과정'!$D$24/2),1,0),"")</x:f>
        <x:v>0</x:v>
      </x:c>
      <x:c r="T1716" s="4"/>
      <x:c r="U1716" s="4"/>
      <x:c r="V1716" s="4"/>
      <x:c r="W1716" s="4"/>
      <x:c r="X1716" s="4"/>
      <x:c r="Y1716" s="4"/>
      <x:c r="Z1716" s="4"/>
    </x:row>
    <x:row r="1717" ht="23" customHeight="1">
      <x:c r="A1717" s="17" t="n">
        <x:f>ROW()-6</x:f>
        <x:v>1711</x:v>
      </x:c>
      <x:c r="B1717" s="4" t="n">
        <x:f>IF('계산 과정'!$L$5,'계산 과정'!$L$11*SQRT((A1717+0.5)/'계산 과정'!$L$30),"")</x:f>
        <x:v>137.12439821540696</x:v>
      </x:c>
      <x:c r="C1717" s="4" t="n">
        <x:f>A1717*PI()*(3-SQRT(5))</x:f>
        <x:v>4106.337086065725</x:v>
      </x:c>
      <x:c r="D1717" s="4" t="n">
        <x:f>IF('계산 과정'!$L$5,B1717*COS(C1717),"")</x:f>
        <x:v>-131.95379588187612</x:v>
      </x:c>
      <x:c r="E1717" s="4" t="n">
        <x:f>IF('계산 과정'!$L$5,B1717*SIN(C1717),"")</x:f>
        <x:v>-37.30008496373264</x:v>
      </x:c>
      <x:c r="F1717" s="4" t="n">
        <x:f>IF('계산 과정'!$L$7,'계산 과정'!$L$22+'계산 과정'!$C$49*D1717+'계산 과정'!$D$49*E1717,"")</x:f>
        <x:v>743.3054238713801</x:v>
      </x:c>
      <x:c r="G1717" s="4" t="n">
        <x:f>IF('계산 과정'!$L$7,IF(ABS(F1717)&gt;=1E-12*MAX(1,SQRT((D1717-'계산 과정'!$C$33)^2+(E1717-'계산 과정'!$D$33)^2+'계산 과정'!$E$33^2)),('계산 과정'!$L$23-'계산 과정'!$C$49*D1717-'계산 과정'!$D$49*E1717)/F1717,""),"")</x:f>
        <x:v>0.41260909214311026</x:v>
      </x:c>
      <x:c r="H1717" s="4" t="n">
        <x:f>IF(AND(ISNUMBER(G1717),G1717&gt;0),('계산 과정'!$D$56+'계산 과정'!$D$57*D1717+'계산 과정'!$D$58*E1717)/F1717,"")</x:f>
        <x:v>-131.80409010697852</x:v>
      </x:c>
      <x:c r="I1717" s="4" t="n">
        <x:f>IF(AND(ISNUMBER(G1717),G1717&gt;0),('계산 과정'!$E$56+'계산 과정'!$E$57*D1717+'계산 과정'!$E$58*E1717)/F1717,"")</x:f>
        <x:v>-52.69043915747925</x:v>
      </x:c>
      <x:c r="J1717" s="4" t="n">
        <x:f>IF('계산 과정'!$L$5,'계산 과정'!$D$6+'계산 과정'!$C$35*D1717+'계산 과정'!$D$35*E1717,"")</x:f>
        <x:v>743.3054238713801</x:v>
      </x:c>
      <x:c r="K1717" s="4" t="n">
        <x:f>IF(AND('계산 과정'!$L$6,J1717&gt;0),'계산 과정'!$D$10*('계산 과정'!$C$38*(D1717-'계산 과정'!$C$32)+'계산 과정'!$D$38*(E1717-'계산 과정'!$D$32)-'계산 과정'!$E$38*'계산 과정'!$E$32)/J1717,"")</x:f>
        <x:v>-1.0042216389103114</x:v>
      </x:c>
      <x:c r="L1717" s="4" t="n">
        <x:f>IF(AND('계산 과정'!$L$6,J1717&gt;0),'계산 과정'!$D$10*('계산 과정'!$C$39*(D1717-'계산 과정'!$C$32)+'계산 과정'!$D$39*(E1717-'계산 과정'!$D$32)-'계산 과정'!$E$39*'계산 과정'!$E$32)/J1717,"")</x:f>
        <x:v>-0.4014509650093656</x:v>
      </x:c>
      <x:c r="M1717" s="17" t="n">
        <x:f>IF('계산 과정'!$L$6,IF(J1717&lt;=0,0,IF(AND(ABS(K1717)&lt;='계산 과정'!$D$11/2,ABS(L1717)&lt;='계산 과정'!$D$12/2),1,0)),"")</x:f>
        <x:v>1</x:v>
      </x:c>
      <x:c r="N1717" s="17" t="n">
        <x:f>IF('계산 과정'!$C$78,IF(AND(ISNUMBER(H1717),ISNUMBER(I1717),ABS(H1717-'계산 과정'!$C$88)&lt;='계산 과정'!$D$23/2,ABS(I1717-'계산 과정'!$C$89)&lt;='계산 과정'!$D$24/2),1,0),"")</x:f>
        <x:v>1</x:v>
      </x:c>
      <x:c r="O1717" s="4" t="n">
        <x:f>IF('계산 과정'!$L$7,'계산 과정'!$C$49*('계산 과정'!$C$32-D1717)+'계산 과정'!$D$49*('계산 과정'!$D$32-E1717)+'계산 과정'!$E$49*'계산 과정'!$E$32,"")</x:f>
        <x:v>-93.30542387138001</x:v>
      </x:c>
      <x:c r="P1717" s="4" t="n">
        <x:f>IF(AND('계산 과정'!$L$7,O1717&lt;&gt;0),('계산 과정'!$L$23-'계산 과정'!$C$49*D1717-'계산 과정'!$D$49*E1717)/O1717,"")</x:f>
        <x:v>-3.286996225979245</x:v>
      </x:c>
      <x:c r="Q1717" s="4" t="str">
        <x:f>IF(AND(ISNUMBER(P1717),P1717&gt;1E-9,P1717&lt;1-1E-9),'계산 과정'!$C$47*(D1717-'계산 과정'!$C$50+P1717*('계산 과정'!$C$32-D1717))+'계산 과정'!$D$47*(E1717-'계산 과정'!$D$50+P1717*('계산 과정'!$D$32-E1717))+'계산 과정'!$E$47*(0-'계산 과정'!$E$50+P1717*('계산 과정'!$E$32-0)),"")</x:f>
      </x:c>
      <x:c r="R1717" s="4" t="str">
        <x:f>IF(AND(ISNUMBER(P1717),P1717&gt;1E-9,P1717&lt;1-1E-9),'계산 과정'!$C$48*(D1717-'계산 과정'!$C$50+P1717*('계산 과정'!$C$32-D1717))+'계산 과정'!$D$48*(E1717-'계산 과정'!$D$50+P1717*('계산 과정'!$D$32-E1717))+'계산 과정'!$E$48*(0-'계산 과정'!$E$50+P1717*('계산 과정'!$E$32-0)),"")</x:f>
      </x:c>
      <x:c r="S1717" s="17" t="n">
        <x:f>IF('계산 과정'!$C$78,IF(AND(ISNUMBER(Q1717),ISNUMBER(R1717),ABS(Q1717-'계산 과정'!$C$88)&lt;='계산 과정'!$D$23/2,ABS(R1717-'계산 과정'!$C$89)&lt;='계산 과정'!$D$24/2),1,0),"")</x:f>
        <x:v>0</x:v>
      </x:c>
      <x:c r="T1717" s="4"/>
      <x:c r="U1717" s="4"/>
      <x:c r="V1717" s="4"/>
      <x:c r="W1717" s="4"/>
      <x:c r="X1717" s="4"/>
      <x:c r="Y1717" s="4"/>
      <x:c r="Z1717" s="4"/>
    </x:row>
    <x:row r="1718" ht="23" customHeight="1">
      <x:c r="A1718" s="17" t="n">
        <x:f>ROW()-6</x:f>
        <x:v>1712</x:v>
      </x:c>
      <x:c r="B1718" s="4" t="n">
        <x:f>IF('계산 과정'!$L$5,'계산 과정'!$L$11*SQRT((A1718+0.5)/'계산 과정'!$L$30),"")</x:f>
        <x:v>137.16445207874563</x:v>
      </x:c>
      <x:c r="C1718" s="4" t="n">
        <x:f>A1718*PI()*(3-SQRT(5))</x:f>
        <x:v>4108.737049295453</x:v>
      </x:c>
      <x:c r="D1718" s="4" t="n">
        <x:f>IF('계산 과정'!$L$5,B1718*COS(C1718),"")</x:f>
        <x:v>122.53024827485947</x:v>
      </x:c>
      <x:c r="E1718" s="4" t="n">
        <x:f>IF('계산 과정'!$L$5,B1718*SIN(C1718),"")</x:f>
        <x:v>-61.64758853161901</x:v>
      </x:c>
      <x:c r="F1718" s="4" t="n">
        <x:f>IF('계산 과정'!$L$7,'계산 과정'!$L$22+'계산 과정'!$C$49*D1718+'계산 과정'!$D$49*E1718,"")</x:f>
        <x:v>563.3580305443757</x:v>
      </x:c>
      <x:c r="G1718" s="4" t="n">
        <x:f>IF('계산 과정'!$L$7,IF(ABS(F1718)&gt;=1E-12*MAX(1,SQRT((D1718-'계산 과정'!$C$33)^2+(E1718-'계산 과정'!$D$33)^2+'계산 과정'!$E$33^2)),('계산 과정'!$L$23-'계산 과정'!$C$49*D1718-'계산 과정'!$D$49*E1718)/F1718,""),"")</x:f>
        <x:v>0.8638236131743429</x:v>
      </x:c>
      <x:c r="H1718" s="4" t="n">
        <x:f>IF(AND(ISNUMBER(G1718),G1718&gt;0),('계산 과정'!$D$56+'계산 과정'!$D$57*D1718+'계산 과정'!$D$58*E1718)/F1718,"")</x:f>
        <x:v>161.48534856332282</x:v>
      </x:c>
      <x:c r="I1718" s="4" t="n">
        <x:f>IF(AND(ISNUMBER(G1718),G1718&gt;0),('계산 과정'!$E$56+'계산 과정'!$E$57*D1718+'계산 과정'!$E$58*E1718)/F1718,"")</x:f>
        <x:v>-114.90023120048731</x:v>
      </x:c>
      <x:c r="J1718" s="4" t="n">
        <x:f>IF('계산 과정'!$L$5,'계산 과정'!$D$6+'계산 과정'!$C$35*D1718+'계산 과정'!$D$35*E1718,"")</x:f>
        <x:v>563.3580305443757</x:v>
      </x:c>
      <x:c r="K1718" s="4" t="n">
        <x:f>IF(AND('계산 과정'!$L$6,J1718&gt;0),'계산 과정'!$D$10*('계산 과정'!$C$38*(D1718-'계산 과정'!$C$32)+'계산 과정'!$D$38*(E1718-'계산 과정'!$D$32)-'계산 과정'!$E$38*'계산 과정'!$E$32)/J1718,"")</x:f>
        <x:v>1.2303645604824605</x:v>
      </x:c>
      <x:c r="L1718" s="4" t="n">
        <x:f>IF(AND('계산 과정'!$L$6,J1718&gt;0),'계산 과정'!$D$10*('계산 과정'!$C$39*(D1718-'계산 과정'!$C$32)+'계산 과정'!$D$39*(E1718-'계산 과정'!$D$32)-'계산 과정'!$E$39*'계산 과정'!$E$32)/J1718,"")</x:f>
        <x:v>-0.8754303329560938</x:v>
      </x:c>
      <x:c r="M1718" s="17" t="n">
        <x:f>IF('계산 과정'!$L$6,IF(J1718&lt;=0,0,IF(AND(ABS(K1718)&lt;='계산 과정'!$D$11/2,ABS(L1718)&lt;='계산 과정'!$D$12/2),1,0)),"")</x:f>
        <x:v>1</x:v>
      </x:c>
      <x:c r="N1718" s="17" t="n">
        <x:f>IF('계산 과정'!$C$78,IF(AND(ISNUMBER(H1718),ISNUMBER(I1718),ABS(H1718-'계산 과정'!$C$88)&lt;='계산 과정'!$D$23/2,ABS(I1718-'계산 과정'!$C$89)&lt;='계산 과정'!$D$24/2),1,0),"")</x:f>
        <x:v>1</x:v>
      </x:c>
      <x:c r="O1718" s="4" t="n">
        <x:f>IF('계산 과정'!$L$7,'계산 과정'!$C$49*('계산 과정'!$C$32-D1718)+'계산 과정'!$D$49*('계산 과정'!$D$32-E1718)+'계산 과정'!$E$49*'계산 과정'!$E$32,"")</x:f>
        <x:v>86.64196945562449</x:v>
      </x:c>
      <x:c r="P1718" s="4" t="n">
        <x:f>IF(AND('계산 과정'!$L$7,O1718&lt;&gt;0),('계산 과정'!$L$23-'계산 과정'!$C$49*D1718-'계산 과정'!$D$49*E1718)/O1718,"")</x:f>
        <x:v>5.616700226382416</x:v>
      </x:c>
      <x:c r="Q1718" s="4" t="str">
        <x:f>IF(AND(ISNUMBER(P1718),P1718&gt;1E-9,P1718&lt;1-1E-9),'계산 과정'!$C$47*(D1718-'계산 과정'!$C$50+P1718*('계산 과정'!$C$32-D1718))+'계산 과정'!$D$47*(E1718-'계산 과정'!$D$50+P1718*('계산 과정'!$D$32-E1718))+'계산 과정'!$E$47*(0-'계산 과정'!$E$50+P1718*('계산 과정'!$E$32-0)),"")</x:f>
      </x:c>
      <x:c r="R1718" s="4" t="str">
        <x:f>IF(AND(ISNUMBER(P1718),P1718&gt;1E-9,P1718&lt;1-1E-9),'계산 과정'!$C$48*(D1718-'계산 과정'!$C$50+P1718*('계산 과정'!$C$32-D1718))+'계산 과정'!$D$48*(E1718-'계산 과정'!$D$50+P1718*('계산 과정'!$D$32-E1718))+'계산 과정'!$E$48*(0-'계산 과정'!$E$50+P1718*('계산 과정'!$E$32-0)),"")</x:f>
      </x:c>
      <x:c r="S1718" s="17" t="n">
        <x:f>IF('계산 과정'!$C$78,IF(AND(ISNUMBER(Q1718),ISNUMBER(R1718),ABS(Q1718-'계산 과정'!$C$88)&lt;='계산 과정'!$D$23/2,ABS(R1718-'계산 과정'!$C$89)&lt;='계산 과정'!$D$24/2),1,0),"")</x:f>
        <x:v>0</x:v>
      </x:c>
      <x:c r="T1718" s="4"/>
      <x:c r="U1718" s="4"/>
      <x:c r="V1718" s="4"/>
      <x:c r="W1718" s="4"/>
      <x:c r="X1718" s="4"/>
      <x:c r="Y1718" s="4"/>
      <x:c r="Z1718" s="4"/>
    </x:row>
    <x:row r="1719" ht="23" customHeight="1">
      <x:c r="A1719" s="17" t="n">
        <x:f>ROW()-6</x:f>
        <x:v>1713</x:v>
      </x:c>
      <x:c r="B1719" s="4" t="n">
        <x:f>IF('계산 과정'!$L$5,'계산 과정'!$L$11*SQRT((A1719+0.5)/'계산 과정'!$L$30),"")</x:f>
        <x:v>137.20449424923186</x:v>
      </x:c>
      <x:c r="C1719" s="4" t="n">
        <x:f>A1719*PI()*(3-SQRT(5))</x:f>
        <x:v>4111.137012525182</x:v>
      </x:c>
      <x:c r="D1719" s="4" t="n">
        <x:f>IF('계산 과정'!$L$5,B1719*COS(C1719),"")</x:f>
        <x:v>-48.72186311785208</x:v>
      </x:c>
      <x:c r="E1719" s="4" t="n">
        <x:f>IF('계산 과정'!$L$5,B1719*SIN(C1719),"")</x:f>
        <x:v>128.26243914924112</x:v>
      </x:c>
      <x:c r="F1719" s="4" t="n">
        <x:f>IF('계산 과정'!$L$7,'계산 과정'!$L$22+'계산 과정'!$C$49*D1719+'계산 과정'!$D$49*E1719,"")</x:f>
        <x:v>684.451559802676</x:v>
      </x:c>
      <x:c r="G1719" s="4" t="n">
        <x:f>IF('계산 과정'!$L$7,IF(ABS(F1719)&gt;=1E-12*MAX(1,SQRT((D1719-'계산 과정'!$C$33)^2+(E1719-'계산 과정'!$D$33)^2+'계산 과정'!$E$33^2)),('계산 과정'!$L$23-'계산 과정'!$C$49*D1719-'계산 과정'!$D$49*E1719)/F1719,""),"")</x:f>
        <x:v>0.5340749611304997</x:v>
      </x:c>
      <x:c r="H1719" s="4" t="n">
        <x:f>IF(AND(ISNUMBER(G1719),G1719&gt;0),('계산 과정'!$D$56+'계산 과정'!$D$57*D1719+'계산 과정'!$D$58*E1719)/F1719,"")</x:f>
        <x:v>-52.85127526517531</x:v>
      </x:c>
      <x:c r="I1719" s="4" t="n">
        <x:f>IF(AND(ISNUMBER(G1719),G1719&gt;0),('계산 과정'!$E$56+'계산 과정'!$E$57*D1719+'계산 과정'!$E$58*E1719)/F1719,"")</x:f>
        <x:v>196.76419635237517</x:v>
      </x:c>
      <x:c r="J1719" s="4" t="n">
        <x:f>IF('계산 과정'!$L$5,'계산 과정'!$D$6+'계산 과정'!$C$35*D1719+'계산 과정'!$D$35*E1719,"")</x:f>
        <x:v>684.451559802676</x:v>
      </x:c>
      <x:c r="K1719" s="4" t="n">
        <x:f>IF(AND('계산 과정'!$L$6,J1719&gt;0),'계산 과정'!$D$10*('계산 과정'!$C$38*(D1719-'계산 과정'!$C$32)+'계산 과정'!$D$38*(E1719-'계산 과정'!$D$32)-'계산 과정'!$E$38*'계산 과정'!$E$32)/J1719,"")</x:f>
        <x:v>-0.4026763829727633</x:v>
      </x:c>
      <x:c r="L1719" s="4" t="n">
        <x:f>IF(AND('계산 과정'!$L$6,J1719&gt;0),'계산 과정'!$D$10*('계산 과정'!$C$39*(D1719-'계산 과정'!$C$32)+'계산 과정'!$D$39*(E1719-'계산 과정'!$D$32)-'계산 과정'!$E$39*'계산 과정'!$E$32)/J1719,"")</x:f>
        <x:v>1.499155781732382</x:v>
      </x:c>
      <x:c r="M1719" s="17" t="n">
        <x:f>IF('계산 과정'!$L$6,IF(J1719&lt;=0,0,IF(AND(ABS(K1719)&lt;='계산 과정'!$D$11/2,ABS(L1719)&lt;='계산 과정'!$D$12/2),1,0)),"")</x:f>
        <x:v>1</x:v>
      </x:c>
      <x:c r="N1719" s="17" t="n">
        <x:f>IF('계산 과정'!$C$78,IF(AND(ISNUMBER(H1719),ISNUMBER(I1719),ABS(H1719-'계산 과정'!$C$88)&lt;='계산 과정'!$D$23/2,ABS(I1719-'계산 과정'!$C$89)&lt;='계산 과정'!$D$24/2),1,0),"")</x:f>
        <x:v>1</x:v>
      </x:c>
      <x:c r="O1719" s="4" t="n">
        <x:f>IF('계산 과정'!$L$7,'계산 과정'!$C$49*('계산 과정'!$C$32-D1719)+'계산 과정'!$D$49*('계산 과정'!$D$32-E1719)+'계산 과정'!$E$49*'계산 과정'!$E$32,"")</x:f>
        <x:v>-34.45155980267583</x:v>
      </x:c>
      <x:c r="P1719" s="4" t="n">
        <x:f>IF(AND('계산 과정'!$L$7,O1719&lt;&gt;0),('계산 과정'!$L$23-'계산 과정'!$C$49*D1719-'계산 과정'!$D$49*E1719)/O1719,"")</x:f>
        <x:v>-10.61050478675082</x:v>
      </x:c>
      <x:c r="Q1719" s="4" t="str">
        <x:f>IF(AND(ISNUMBER(P1719),P1719&gt;1E-9,P1719&lt;1-1E-9),'계산 과정'!$C$47*(D1719-'계산 과정'!$C$50+P1719*('계산 과정'!$C$32-D1719))+'계산 과정'!$D$47*(E1719-'계산 과정'!$D$50+P1719*('계산 과정'!$D$32-E1719))+'계산 과정'!$E$47*(0-'계산 과정'!$E$50+P1719*('계산 과정'!$E$32-0)),"")</x:f>
      </x:c>
      <x:c r="R1719" s="4" t="str">
        <x:f>IF(AND(ISNUMBER(P1719),P1719&gt;1E-9,P1719&lt;1-1E-9),'계산 과정'!$C$48*(D1719-'계산 과정'!$C$50+P1719*('계산 과정'!$C$32-D1719))+'계산 과정'!$D$48*(E1719-'계산 과정'!$D$50+P1719*('계산 과정'!$D$32-E1719))+'계산 과정'!$E$48*(0-'계산 과정'!$E$50+P1719*('계산 과정'!$E$32-0)),"")</x:f>
      </x:c>
      <x:c r="S1719" s="17" t="n">
        <x:f>IF('계산 과정'!$C$78,IF(AND(ISNUMBER(Q1719),ISNUMBER(R1719),ABS(Q1719-'계산 과정'!$C$88)&lt;='계산 과정'!$D$23/2,ABS(R1719-'계산 과정'!$C$89)&lt;='계산 과정'!$D$24/2),1,0),"")</x:f>
        <x:v>0</x:v>
      </x:c>
      <x:c r="T1719" s="4"/>
      <x:c r="U1719" s="4"/>
      <x:c r="V1719" s="4"/>
      <x:c r="W1719" s="4"/>
      <x:c r="X1719" s="4"/>
      <x:c r="Y1719" s="4"/>
      <x:c r="Z1719" s="4"/>
    </x:row>
    <x:row r="1720" ht="23" customHeight="1">
      <x:c r="A1720" s="17" t="n">
        <x:f>ROW()-6</x:f>
        <x:v>1714</x:v>
      </x:c>
      <x:c r="B1720" s="4" t="n">
        <x:f>IF('계산 과정'!$L$5,'계산 과정'!$L$11*SQRT((A1720+0.5)/'계산 과정'!$L$30),"")</x:f>
        <x:v>137.24452473710016</x:v>
      </x:c>
      <x:c r="C1720" s="4" t="n">
        <x:f>A1720*PI()*(3-SQRT(5))</x:f>
        <x:v>4113.536975754911</x:v>
      </x:c>
      <x:c r="D1720" s="4" t="n">
        <x:f>IF('계산 과정'!$L$5,B1720*COS(C1720),"")</x:f>
        <x:v>-50.72884343982261</x:v>
      </x:c>
      <x:c r="E1720" s="4" t="n">
        <x:f>IF('계산 과정'!$L$5,B1720*SIN(C1720),"")</x:f>
        <x:v>-127.52507209788381</x:v>
      </x:c>
      <x:c r="F1720" s="4" t="n">
        <x:f>IF('계산 과정'!$L$7,'계산 과정'!$L$22+'계산 과정'!$C$49*D1720+'계산 과정'!$D$49*E1720,"")</x:f>
        <x:v>685.8707091980493</x:v>
      </x:c>
      <x:c r="G1720" s="4" t="n">
        <x:f>IF('계산 과정'!$L$7,IF(ABS(F1720)&gt;=1E-12*MAX(1,SQRT((D1720-'계산 과정'!$C$33)^2+(E1720-'계산 과정'!$D$33)^2+'계산 과정'!$E$33^2)),('계산 과정'!$L$23-'계산 과정'!$C$49*D1720-'계산 과정'!$D$49*E1720)/F1720,""),"")</x:f>
        <x:v>0.5309007746193258</x:v>
      </x:c>
      <x:c r="H1720" s="4" t="n">
        <x:f>IF(AND(ISNUMBER(G1720),G1720&gt;0),('계산 과정'!$D$56+'계산 과정'!$D$57*D1720+'계산 과정'!$D$58*E1720)/F1720,"")</x:f>
        <x:v>-54.91449649743833</x:v>
      </x:c>
      <x:c r="I1720" s="4" t="n">
        <x:f>IF(AND(ISNUMBER(G1720),G1720&gt;0),('계산 과정'!$E$56+'계산 과정'!$E$57*D1720+'계산 과정'!$E$58*E1720)/F1720,"")</x:f>
        <x:v>-195.2282316580357</x:v>
      </x:c>
      <x:c r="J1720" s="4" t="n">
        <x:f>IF('계산 과정'!$L$5,'계산 과정'!$D$6+'계산 과정'!$C$35*D1720+'계산 과정'!$D$35*E1720,"")</x:f>
        <x:v>685.8707091980493</x:v>
      </x:c>
      <x:c r="K1720" s="4" t="n">
        <x:f>IF(AND('계산 과정'!$L$6,J1720&gt;0),'계산 과정'!$D$10*('계산 과정'!$C$38*(D1720-'계산 과정'!$C$32)+'계산 과정'!$D$38*(E1720-'계산 과정'!$D$32)-'계산 과정'!$E$38*'계산 과정'!$E$32)/J1720,"")</x:f>
        <x:v>-0.4183961637900053</x:v>
      </x:c>
      <x:c r="L1720" s="4" t="n">
        <x:f>IF(AND('계산 과정'!$L$6,J1720&gt;0),'계산 과정'!$D$10*('계산 과정'!$C$39*(D1720-'계산 과정'!$C$32)+'계산 과정'!$D$39*(E1720-'계산 과정'!$D$32)-'계산 과정'!$E$39*'계산 과정'!$E$32)/J1720,"")</x:f>
        <x:v>-1.4874531935850337</x:v>
      </x:c>
      <x:c r="M1720" s="17" t="n">
        <x:f>IF('계산 과정'!$L$6,IF(J1720&lt;=0,0,IF(AND(ABS(K1720)&lt;='계산 과정'!$D$11/2,ABS(L1720)&lt;='계산 과정'!$D$12/2),1,0)),"")</x:f>
        <x:v>1</x:v>
      </x:c>
      <x:c r="N1720" s="17" t="n">
        <x:f>IF('계산 과정'!$C$78,IF(AND(ISNUMBER(H1720),ISNUMBER(I1720),ABS(H1720-'계산 과정'!$C$88)&lt;='계산 과정'!$D$23/2,ABS(I1720-'계산 과정'!$C$89)&lt;='계산 과정'!$D$24/2),1,0),"")</x:f>
        <x:v>1</x:v>
      </x:c>
      <x:c r="O1720" s="4" t="n">
        <x:f>IF('계산 과정'!$L$7,'계산 과정'!$C$49*('계산 과정'!$C$32-D1720)+'계산 과정'!$D$49*('계산 과정'!$D$32-E1720)+'계산 과정'!$E$49*'계산 과정'!$E$32,"")</x:f>
        <x:v>-35.870709198049155</x:v>
      </x:c>
      <x:c r="P1720" s="4" t="n">
        <x:f>IF(AND('계산 과정'!$L$7,O1720&lt;&gt;0),('계산 과정'!$L$23-'계산 과정'!$C$49*D1720-'계산 과정'!$D$49*E1720)/O1720,"")</x:f>
        <x:v>-10.15115950988095</x:v>
      </x:c>
      <x:c r="Q1720" s="4" t="str">
        <x:f>IF(AND(ISNUMBER(P1720),P1720&gt;1E-9,P1720&lt;1-1E-9),'계산 과정'!$C$47*(D1720-'계산 과정'!$C$50+P1720*('계산 과정'!$C$32-D1720))+'계산 과정'!$D$47*(E1720-'계산 과정'!$D$50+P1720*('계산 과정'!$D$32-E1720))+'계산 과정'!$E$47*(0-'계산 과정'!$E$50+P1720*('계산 과정'!$E$32-0)),"")</x:f>
      </x:c>
      <x:c r="R1720" s="4" t="str">
        <x:f>IF(AND(ISNUMBER(P1720),P1720&gt;1E-9,P1720&lt;1-1E-9),'계산 과정'!$C$48*(D1720-'계산 과정'!$C$50+P1720*('계산 과정'!$C$32-D1720))+'계산 과정'!$D$48*(E1720-'계산 과정'!$D$50+P1720*('계산 과정'!$D$32-E1720))+'계산 과정'!$E$48*(0-'계산 과정'!$E$50+P1720*('계산 과정'!$E$32-0)),"")</x:f>
      </x:c>
      <x:c r="S1720" s="17" t="n">
        <x:f>IF('계산 과정'!$C$78,IF(AND(ISNUMBER(Q1720),ISNUMBER(R1720),ABS(Q1720-'계산 과정'!$C$88)&lt;='계산 과정'!$D$23/2,ABS(R1720-'계산 과정'!$C$89)&lt;='계산 과정'!$D$24/2),1,0),"")</x:f>
        <x:v>0</x:v>
      </x:c>
      <x:c r="T1720" s="4"/>
      <x:c r="U1720" s="4"/>
      <x:c r="V1720" s="4"/>
      <x:c r="W1720" s="4"/>
      <x:c r="X1720" s="4"/>
      <x:c r="Y1720" s="4"/>
      <x:c r="Z1720" s="4"/>
    </x:row>
    <x:row r="1721" ht="23" customHeight="1">
      <x:c r="A1721" s="17" t="n">
        <x:f>ROW()-6</x:f>
        <x:v>1715</x:v>
      </x:c>
      <x:c r="B1721" s="4" t="n">
        <x:f>IF('계산 과정'!$L$5,'계산 과정'!$L$11*SQRT((A1721+0.5)/'계산 과정'!$L$30),"")</x:f>
        <x:v>137.28454355257003</x:v>
      </x:c>
      <x:c r="C1721" s="4" t="n">
        <x:f>A1721*PI()*(3-SQRT(5))</x:f>
        <x:v>4115.93693898464</x:v>
      </x:c>
      <x:c r="D1721" s="4" t="n">
        <x:f>IF('계산 과정'!$L$5,B1721*COS(C1721),"")</x:f>
        <x:v>123.58384387501344</x:v>
      </x:c>
      <x:c r="E1721" s="4" t="n">
        <x:f>IF('계산 과정'!$L$5,B1721*SIN(C1721),"")</x:f>
        <x:v>59.7836050394571</x:v>
      </x:c>
      <x:c r="F1721" s="4" t="n">
        <x:f>IF('계산 과정'!$L$7,'계산 과정'!$L$22+'계산 과정'!$C$49*D1721+'계산 과정'!$D$49*E1721,"")</x:f>
        <x:v>562.6130259508784</x:v>
      </x:c>
      <x:c r="G1721" s="4" t="n">
        <x:f>IF('계산 과정'!$L$7,IF(ABS(F1721)&gt;=1E-12*MAX(1,SQRT((D1721-'계산 과정'!$C$33)^2+(E1721-'계산 과정'!$D$33)^2+'계산 과정'!$E$33^2)),('계산 과정'!$L$23-'계산 과정'!$C$49*D1721-'계산 과정'!$D$49*E1721)/F1721,""),"")</x:f>
        <x:v>0.8662916633069125</x:v>
      </x:c>
      <x:c r="H1721" s="4" t="n">
        <x:f>IF(AND(ISNUMBER(G1721),G1721&gt;0),('계산 과정'!$D$56+'계산 과정'!$D$57*D1721+'계산 과정'!$D$58*E1721)/F1721,"")</x:f>
        <x:v>163.08958114949303</x:v>
      </x:c>
      <x:c r="I1721" s="4" t="n">
        <x:f>IF(AND(ISNUMBER(G1721),G1721&gt;0),('계산 과정'!$E$56+'계산 과정'!$E$57*D1721+'계산 과정'!$E$58*E1721)/F1721,"")</x:f>
        <x:v>111.57364368757192</x:v>
      </x:c>
      <x:c r="J1721" s="4" t="n">
        <x:f>IF('계산 과정'!$L$5,'계산 과정'!$D$6+'계산 과정'!$C$35*D1721+'계산 과정'!$D$35*E1721,"")</x:f>
        <x:v>562.6130259508784</x:v>
      </x:c>
      <x:c r="K1721" s="4" t="n">
        <x:f>IF(AND('계산 과정'!$L$6,J1721&gt;0),'계산 과정'!$D$10*('계산 과정'!$C$38*(D1721-'계산 과정'!$C$32)+'계산 과정'!$D$38*(E1721-'계산 과정'!$D$32)-'계산 과정'!$E$38*'계산 과정'!$E$32)/J1721,"")</x:f>
        <x:v>1.242587284948519</x:v>
      </x:c>
      <x:c r="L1721" s="4" t="n">
        <x:f>IF(AND('계산 과정'!$L$6,J1721&gt;0),'계산 과정'!$D$10*('계산 과정'!$C$39*(D1721-'계산 과정'!$C$32)+'계산 과정'!$D$39*(E1721-'계산 과정'!$D$32)-'계산 과정'!$E$39*'계산 과정'!$E$32)/J1721,"")</x:f>
        <x:v>0.8500849042862622</x:v>
      </x:c>
      <x:c r="M1721" s="17" t="n">
        <x:f>IF('계산 과정'!$L$6,IF(J1721&lt;=0,0,IF(AND(ABS(K1721)&lt;='계산 과정'!$D$11/2,ABS(L1721)&lt;='계산 과정'!$D$12/2),1,0)),"")</x:f>
        <x:v>1</x:v>
      </x:c>
      <x:c r="N1721" s="17" t="n">
        <x:f>IF('계산 과정'!$C$78,IF(AND(ISNUMBER(H1721),ISNUMBER(I1721),ABS(H1721-'계산 과정'!$C$88)&lt;='계산 과정'!$D$23/2,ABS(I1721-'계산 과정'!$C$89)&lt;='계산 과정'!$D$24/2),1,0),"")</x:f>
        <x:v>1</x:v>
      </x:c>
      <x:c r="O1721" s="4" t="n">
        <x:f>IF('계산 과정'!$L$7,'계산 과정'!$C$49*('계산 과정'!$C$32-D1721)+'계산 과정'!$D$49*('계산 과정'!$D$32-E1721)+'계산 과정'!$E$49*'계산 과정'!$E$32,"")</x:f>
        <x:v>87.38697404912168</x:v>
      </x:c>
      <x:c r="P1721" s="4" t="n">
        <x:f>IF(AND('계산 과정'!$L$7,O1721&lt;&gt;0),('계산 과정'!$L$23-'계산 과정'!$C$49*D1721-'계산 과정'!$D$49*E1721)/O1721,"")</x:f>
        <x:v>5.577341238239389</x:v>
      </x:c>
      <x:c r="Q1721" s="4" t="str">
        <x:f>IF(AND(ISNUMBER(P1721),P1721&gt;1E-9,P1721&lt;1-1E-9),'계산 과정'!$C$47*(D1721-'계산 과정'!$C$50+P1721*('계산 과정'!$C$32-D1721))+'계산 과정'!$D$47*(E1721-'계산 과정'!$D$50+P1721*('계산 과정'!$D$32-E1721))+'계산 과정'!$E$47*(0-'계산 과정'!$E$50+P1721*('계산 과정'!$E$32-0)),"")</x:f>
      </x:c>
      <x:c r="R1721" s="4" t="str">
        <x:f>IF(AND(ISNUMBER(P1721),P1721&gt;1E-9,P1721&lt;1-1E-9),'계산 과정'!$C$48*(D1721-'계산 과정'!$C$50+P1721*('계산 과정'!$C$32-D1721))+'계산 과정'!$D$48*(E1721-'계산 과정'!$D$50+P1721*('계산 과정'!$D$32-E1721))+'계산 과정'!$E$48*(0-'계산 과정'!$E$50+P1721*('계산 과정'!$E$32-0)),"")</x:f>
      </x:c>
      <x:c r="S1721" s="17" t="n">
        <x:f>IF('계산 과정'!$C$78,IF(AND(ISNUMBER(Q1721),ISNUMBER(R1721),ABS(Q1721-'계산 과정'!$C$88)&lt;='계산 과정'!$D$23/2,ABS(R1721-'계산 과정'!$C$89)&lt;='계산 과정'!$D$24/2),1,0),"")</x:f>
        <x:v>0</x:v>
      </x:c>
      <x:c r="T1721" s="4"/>
      <x:c r="U1721" s="4"/>
      <x:c r="V1721" s="4"/>
      <x:c r="W1721" s="4"/>
      <x:c r="X1721" s="4"/>
      <x:c r="Y1721" s="4"/>
      <x:c r="Z1721" s="4"/>
    </x:row>
    <x:row r="1722" ht="23" customHeight="1">
      <x:c r="A1722" s="17" t="n">
        <x:f>ROW()-6</x:f>
        <x:v>1716</x:v>
      </x:c>
      <x:c r="B1722" s="4" t="n">
        <x:f>IF('계산 과정'!$L$5,'계산 과정'!$L$11*SQRT((A1722+0.5)/'계산 과정'!$L$30),"")</x:f>
        <x:v>137.32455070584612</x:v>
      </x:c>
      <x:c r="C1722" s="4" t="n">
        <x:f>A1722*PI()*(3-SQRT(5))</x:f>
        <x:v>4118.336902214369</x:v>
      </x:c>
      <x:c r="D1722" s="4" t="n">
        <x:f>IF('계산 과정'!$L$5,B1722*COS(C1722),"")</x:f>
        <x:v>-131.54844965213184</x:v>
      </x:c>
      <x:c r="E1722" s="4" t="n">
        <x:f>IF('계산 과정'!$L$5,B1722*SIN(C1722),"")</x:f>
        <x:v>39.408598309037075</x:v>
      </x:c>
      <x:c r="F1722" s="4" t="n">
        <x:f>IF('계산 과정'!$L$7,'계산 과정'!$L$22+'계산 과정'!$C$49*D1722+'계산 과정'!$D$49*E1722,"")</x:f>
        <x:v>743.0188008035996</x:v>
      </x:c>
      <x:c r="G1722" s="4" t="n">
        <x:f>IF('계산 과정'!$L$7,IF(ABS(F1722)&gt;=1E-12*MAX(1,SQRT((D1722-'계산 과정'!$C$33)^2+(E1722-'계산 과정'!$D$33)^2+'계산 과정'!$E$33^2)),('계산 과정'!$L$23-'계산 과정'!$C$49*D1722-'계산 과정'!$D$49*E1722)/F1722,""),"")</x:f>
        <x:v>0.4131540128787994</x:v>
      </x:c>
      <x:c r="H1722" s="4" t="n">
        <x:f>IF(AND(ISNUMBER(G1722),G1722&gt;0),('계산 과정'!$D$56+'계산 과정'!$D$57*D1722+'계산 과정'!$D$58*E1722)/F1722,"")</x:f>
        <x:v>-131.44989162878053</x:v>
      </x:c>
      <x:c r="I1722" s="4" t="n">
        <x:f>IF(AND(ISNUMBER(G1722),G1722&gt;0),('계산 과정'!$E$56+'계산 과정'!$E$57*D1722+'계산 과정'!$E$58*E1722)/F1722,"")</x:f>
        <x:v>55.690418842344414</x:v>
      </x:c>
      <x:c r="J1722" s="4" t="n">
        <x:f>IF('계산 과정'!$L$5,'계산 과정'!$D$6+'계산 과정'!$C$35*D1722+'계산 과정'!$D$35*E1722,"")</x:f>
        <x:v>743.0188008035996</x:v>
      </x:c>
      <x:c r="K1722" s="4" t="n">
        <x:f>IF(AND('계산 과정'!$L$6,J1722&gt;0),'계산 과정'!$D$10*('계산 과정'!$C$38*(D1722-'계산 과정'!$C$32)+'계산 과정'!$D$38*(E1722-'계산 과정'!$D$32)-'계산 과정'!$E$38*'계산 과정'!$E$32)/J1722,"")</x:f>
        <x:v>-1.0015229838383264</x:v>
      </x:c>
      <x:c r="L1722" s="4" t="n">
        <x:f>IF(AND('계산 과정'!$L$6,J1722&gt;0),'계산 과정'!$D$10*('계산 과정'!$C$39*(D1722-'계산 과정'!$C$32)+'계산 과정'!$D$39*(E1722-'계산 과정'!$D$32)-'계산 과정'!$E$39*'계산 과정'!$E$32)/J1722,"")</x:f>
        <x:v>0.42430795308452884</x:v>
      </x:c>
      <x:c r="M1722" s="17" t="n">
        <x:f>IF('계산 과정'!$L$6,IF(J1722&lt;=0,0,IF(AND(ABS(K1722)&lt;='계산 과정'!$D$11/2,ABS(L1722)&lt;='계산 과정'!$D$12/2),1,0)),"")</x:f>
        <x:v>1</x:v>
      </x:c>
      <x:c r="N1722" s="17" t="n">
        <x:f>IF('계산 과정'!$C$78,IF(AND(ISNUMBER(H1722),ISNUMBER(I1722),ABS(H1722-'계산 과정'!$C$88)&lt;='계산 과정'!$D$23/2,ABS(I1722-'계산 과정'!$C$89)&lt;='계산 과정'!$D$24/2),1,0),"")</x:f>
        <x:v>1</x:v>
      </x:c>
      <x:c r="O1722" s="4" t="n">
        <x:f>IF('계산 과정'!$L$7,'계산 과정'!$C$49*('계산 과정'!$C$32-D1722)+'계산 과정'!$D$49*('계산 과정'!$D$32-E1722)+'계산 과정'!$E$49*'계산 과정'!$E$32,"")</x:f>
        <x:v>-93.01880080359939</x:v>
      </x:c>
      <x:c r="P1722" s="4" t="n">
        <x:f>IF(AND('계산 과정'!$L$7,O1722&lt;&gt;0),('계산 과정'!$L$23-'계산 과정'!$C$49*D1722-'계산 과정'!$D$49*E1722)/O1722,"")</x:f>
        <x:v>-3.3002059427164934</x:v>
      </x:c>
      <x:c r="Q1722" s="4" t="str">
        <x:f>IF(AND(ISNUMBER(P1722),P1722&gt;1E-9,P1722&lt;1-1E-9),'계산 과정'!$C$47*(D1722-'계산 과정'!$C$50+P1722*('계산 과정'!$C$32-D1722))+'계산 과정'!$D$47*(E1722-'계산 과정'!$D$50+P1722*('계산 과정'!$D$32-E1722))+'계산 과정'!$E$47*(0-'계산 과정'!$E$50+P1722*('계산 과정'!$E$32-0)),"")</x:f>
      </x:c>
      <x:c r="R1722" s="4" t="str">
        <x:f>IF(AND(ISNUMBER(P1722),P1722&gt;1E-9,P1722&lt;1-1E-9),'계산 과정'!$C$48*(D1722-'계산 과정'!$C$50+P1722*('계산 과정'!$C$32-D1722))+'계산 과정'!$D$48*(E1722-'계산 과정'!$D$50+P1722*('계산 과정'!$D$32-E1722))+'계산 과정'!$E$48*(0-'계산 과정'!$E$50+P1722*('계산 과정'!$E$32-0)),"")</x:f>
      </x:c>
      <x:c r="S1722" s="17" t="n">
        <x:f>IF('계산 과정'!$C$78,IF(AND(ISNUMBER(Q1722),ISNUMBER(R1722),ABS(Q1722-'계산 과정'!$C$88)&lt;='계산 과정'!$D$23/2,ABS(R1722-'계산 과정'!$C$89)&lt;='계산 과정'!$D$24/2),1,0),"")</x:f>
        <x:v>0</x:v>
      </x:c>
      <x:c r="T1722" s="4"/>
      <x:c r="U1722" s="4"/>
      <x:c r="V1722" s="4"/>
      <x:c r="W1722" s="4"/>
      <x:c r="X1722" s="4"/>
      <x:c r="Y1722" s="4"/>
      <x:c r="Z1722" s="4"/>
    </x:row>
    <x:row r="1723" ht="23" customHeight="1">
      <x:c r="A1723" s="17" t="n">
        <x:f>ROW()-6</x:f>
        <x:v>1717</x:v>
      </x:c>
      <x:c r="B1723" s="4" t="n">
        <x:f>IF('계산 과정'!$L$5,'계산 과정'!$L$11*SQRT((A1723+0.5)/'계산 과정'!$L$30),"")</x:f>
        <x:v>137.36454620711817</x:v>
      </x:c>
      <x:c r="C1723" s="4" t="n">
        <x:f>A1723*PI()*(3-SQRT(5))</x:f>
        <x:v>4120.736865444097</x:v>
      </x:c>
      <x:c r="D1723" s="4" t="n">
        <x:f>IF('계산 과정'!$L$5,B1723*COS(C1723),"")</x:f>
        <x:v>70.40010498474479</x:v>
      </x:c>
      <x:c r="E1723" s="4" t="n">
        <x:f>IF('계산 과정'!$L$5,B1723*SIN(C1723),"")</x:f>
        <x:v>-117.95271837827399</x:v>
      </x:c>
      <x:c r="F1723" s="4" t="n">
        <x:f>IF('계산 과정'!$L$7,'계산 과정'!$L$22+'계산 과정'!$C$49*D1723+'계산 과정'!$D$49*E1723,"")</x:f>
        <x:v>600.2196083690421</x:v>
      </x:c>
      <x:c r="G1723" s="4" t="n">
        <x:f>IF('계산 과정'!$L$7,IF(ABS(F1723)&gt;=1E-12*MAX(1,SQRT((D1723-'계산 과정'!$C$33)^2+(E1723-'계산 과정'!$D$33)^2+'계산 과정'!$E$33^2)),('계산 과정'!$L$23-'계산 과정'!$C$49*D1723-'계산 과정'!$D$49*E1723)/F1723,""),"")</x:f>
        <x:v>0.7493597099453849</x:v>
      </x:c>
      <x:c r="H1723" s="4" t="n">
        <x:f>IF(AND(ISNUMBER(G1723),G1723&gt;0),('계산 과정'!$D$56+'계산 과정'!$D$57*D1723+'계산 과정'!$D$58*E1723)/F1723,"")</x:f>
        <x:v>87.08381146450009</x:v>
      </x:c>
      <x:c r="I1723" s="4" t="n">
        <x:f>IF(AND(ISNUMBER(G1723),G1723&gt;0),('계산 과정'!$E$56+'계산 과정'!$E$57*D1723+'계산 과정'!$E$58*E1723)/F1723,"")</x:f>
        <x:v>-206.34173320948705</x:v>
      </x:c>
      <x:c r="J1723" s="4" t="n">
        <x:f>IF('계산 과정'!$L$5,'계산 과정'!$D$6+'계산 과정'!$C$35*D1723+'계산 과정'!$D$35*E1723,"")</x:f>
        <x:v>600.2196083690421</x:v>
      </x:c>
      <x:c r="K1723" s="4" t="n">
        <x:f>IF(AND('계산 과정'!$L$6,J1723&gt;0),'계산 과정'!$D$10*('계산 과정'!$C$38*(D1723-'계산 과정'!$C$32)+'계산 과정'!$D$38*(E1723-'계산 과정'!$D$32)-'계산 과정'!$E$38*'계산 과정'!$E$32)/J1723,"")</x:f>
        <x:v>0.663495706396192</x:v>
      </x:c>
      <x:c r="L1723" s="4" t="n">
        <x:f>IF(AND('계산 과정'!$L$6,J1723&gt;0),'계산 과정'!$D$10*('계산 과정'!$C$39*(D1723-'계산 과정'!$C$32)+'계산 과정'!$D$39*(E1723-'계산 과정'!$D$32)-'계산 과정'!$E$39*'계산 과정'!$E$32)/J1723,"")</x:f>
        <x:v>-1.5721274911199012</x:v>
      </x:c>
      <x:c r="M1723" s="17" t="n">
        <x:f>IF('계산 과정'!$L$6,IF(J1723&lt;=0,0,IF(AND(ABS(K1723)&lt;='계산 과정'!$D$11/2,ABS(L1723)&lt;='계산 과정'!$D$12/2),1,0)),"")</x:f>
        <x:v>1</x:v>
      </x:c>
      <x:c r="N1723" s="17" t="n">
        <x:f>IF('계산 과정'!$C$78,IF(AND(ISNUMBER(H1723),ISNUMBER(I1723),ABS(H1723-'계산 과정'!$C$88)&lt;='계산 과정'!$D$23/2,ABS(I1723-'계산 과정'!$C$89)&lt;='계산 과정'!$D$24/2),1,0),"")</x:f>
        <x:v>1</x:v>
      </x:c>
      <x:c r="O1723" s="4" t="n">
        <x:f>IF('계산 과정'!$L$7,'계산 과정'!$C$49*('계산 과정'!$C$32-D1723)+'계산 과정'!$D$49*('계산 과정'!$D$32-E1723)+'계산 과정'!$E$49*'계산 과정'!$E$32,"")</x:f>
        <x:v>49.78039163095798</x:v>
      </x:c>
      <x:c r="P1723" s="4" t="n">
        <x:f>IF(AND('계산 과정'!$L$7,O1723&lt;&gt;0),('계산 과정'!$L$23-'계산 과정'!$C$49*D1723-'계산 과정'!$D$49*E1723)/O1723,"")</x:f>
        <x:v>9.035292348950577</x:v>
      </x:c>
      <x:c r="Q1723" s="4" t="str">
        <x:f>IF(AND(ISNUMBER(P1723),P1723&gt;1E-9,P1723&lt;1-1E-9),'계산 과정'!$C$47*(D1723-'계산 과정'!$C$50+P1723*('계산 과정'!$C$32-D1723))+'계산 과정'!$D$47*(E1723-'계산 과정'!$D$50+P1723*('계산 과정'!$D$32-E1723))+'계산 과정'!$E$47*(0-'계산 과정'!$E$50+P1723*('계산 과정'!$E$32-0)),"")</x:f>
      </x:c>
      <x:c r="R1723" s="4" t="str">
        <x:f>IF(AND(ISNUMBER(P1723),P1723&gt;1E-9,P1723&lt;1-1E-9),'계산 과정'!$C$48*(D1723-'계산 과정'!$C$50+P1723*('계산 과정'!$C$32-D1723))+'계산 과정'!$D$48*(E1723-'계산 과정'!$D$50+P1723*('계산 과정'!$D$32-E1723))+'계산 과정'!$E$48*(0-'계산 과정'!$E$50+P1723*('계산 과정'!$E$32-0)),"")</x:f>
      </x:c>
      <x:c r="S1723" s="17" t="n">
        <x:f>IF('계산 과정'!$C$78,IF(AND(ISNUMBER(Q1723),ISNUMBER(R1723),ABS(Q1723-'계산 과정'!$C$88)&lt;='계산 과정'!$D$23/2,ABS(R1723-'계산 과정'!$C$89)&lt;='계산 과정'!$D$24/2),1,0),"")</x:f>
        <x:v>0</x:v>
      </x:c>
      <x:c r="T1723" s="4"/>
      <x:c r="U1723" s="4"/>
      <x:c r="V1723" s="4"/>
      <x:c r="W1723" s="4"/>
      <x:c r="X1723" s="4"/>
      <x:c r="Y1723" s="4"/>
      <x:c r="Z1723" s="4"/>
    </x:row>
    <x:row r="1724" ht="23" customHeight="1">
      <x:c r="A1724" s="17" t="n">
        <x:f>ROW()-6</x:f>
        <x:v>1718</x:v>
      </x:c>
      <x:c r="B1724" s="4" t="n">
        <x:f>IF('계산 과정'!$L$5,'계산 과정'!$L$11*SQRT((A1724+0.5)/'계산 과정'!$L$30),"")</x:f>
        <x:v>137.40453006656114</x:v>
      </x:c>
      <x:c r="C1724" s="4" t="n">
        <x:f>A1724*PI()*(3-SQRT(5))</x:f>
        <x:v>4123.136828673826</x:v>
      </x:c>
      <x:c r="D1724" s="4" t="n">
        <x:f>IF('계산 과정'!$L$5,B1724*COS(C1724),"")</x:f>
        <x:v>27.773151830623124</x:v>
      </x:c>
      <x:c r="E1724" s="4" t="n">
        <x:f>IF('계산 과정'!$L$5,B1724*SIN(C1724),"")</x:f>
        <x:v>134.56840981525218</x:v>
      </x:c>
      <x:c r="F1724" s="4" t="n">
        <x:f>IF('계산 과정'!$L$7,'계산 과정'!$L$22+'계산 과정'!$C$49*D1724+'계산 과정'!$D$49*E1724,"")</x:f>
        <x:v>630.3614160056428</x:v>
      </x:c>
      <x:c r="G1724" s="4" t="n">
        <x:f>IF('계산 과정'!$L$7,IF(ABS(F1724)&gt;=1E-12*MAX(1,SQRT((D1724-'계산 과정'!$C$33)^2+(E1724-'계산 과정'!$D$33)^2+'계산 과정'!$E$33^2)),('계산 과정'!$L$23-'계산 과정'!$C$49*D1724-'계산 과정'!$D$49*E1724)/F1724,""),"")</x:f>
        <x:v>0.6657110878604294</x:v>
      </x:c>
      <x:c r="H1724" s="4" t="n">
        <x:f>IF(AND(ISNUMBER(G1724),G1724&gt;0),('계산 과정'!$D$56+'계산 과정'!$D$57*D1724+'계산 과정'!$D$58*E1724)/F1724,"")</x:f>
        <x:v>32.71220710927902</x:v>
      </x:c>
      <x:c r="I1724" s="4" t="n">
        <x:f>IF(AND(ISNUMBER(G1724),G1724&gt;0),('계산 과정'!$E$56+'계산 과정'!$E$57*D1724+'계산 과정'!$E$58*E1724)/F1724,"")</x:f>
        <x:v>224.15209230501182</x:v>
      </x:c>
      <x:c r="J1724" s="4" t="n">
        <x:f>IF('계산 과정'!$L$5,'계산 과정'!$D$6+'계산 과정'!$C$35*D1724+'계산 과정'!$D$35*E1724,"")</x:f>
        <x:v>630.3614160056428</x:v>
      </x:c>
      <x:c r="K1724" s="4" t="n">
        <x:f>IF(AND('계산 과정'!$L$6,J1724&gt;0),'계산 과정'!$D$10*('계산 과정'!$C$38*(D1724-'계산 과정'!$C$32)+'계산 과정'!$D$38*(E1724-'계산 과정'!$D$32)-'계산 과정'!$E$38*'계산 과정'!$E$32)/J1724,"")</x:f>
        <x:v>0.2492358636897458</x:v>
      </x:c>
      <x:c r="L1724" s="4" t="n">
        <x:f>IF(AND('계산 과정'!$L$6,J1724&gt;0),'계산 과정'!$D$10*('계산 과정'!$C$39*(D1724-'계산 과정'!$C$32)+'계산 과정'!$D$39*(E1724-'계산 과정'!$D$32)-'계산 과정'!$E$39*'계산 과정'!$E$32)/J1724,"")</x:f>
        <x:v>1.7078254651810423</x:v>
      </x:c>
      <x:c r="M1724" s="17" t="n">
        <x:f>IF('계산 과정'!$L$6,IF(J1724&lt;=0,0,IF(AND(ABS(K1724)&lt;='계산 과정'!$D$11/2,ABS(L1724)&lt;='계산 과정'!$D$12/2),1,0)),"")</x:f>
        <x:v>1</x:v>
      </x:c>
      <x:c r="N1724" s="17" t="n">
        <x:f>IF('계산 과정'!$C$78,IF(AND(ISNUMBER(H1724),ISNUMBER(I1724),ABS(H1724-'계산 과정'!$C$88)&lt;='계산 과정'!$D$23/2,ABS(I1724-'계산 과정'!$C$89)&lt;='계산 과정'!$D$24/2),1,0),"")</x:f>
        <x:v>1</x:v>
      </x:c>
      <x:c r="O1724" s="4" t="n">
        <x:f>IF('계산 과정'!$L$7,'계산 과정'!$C$49*('계산 과정'!$C$32-D1724)+'계산 과정'!$D$49*('계산 과정'!$D$32-E1724)+'계산 과정'!$E$49*'계산 과정'!$E$32,"")</x:f>
        <x:v>19.638583994357305</x:v>
      </x:c>
      <x:c r="P1724" s="4" t="n">
        <x:f>IF(AND('계산 과정'!$L$7,O1724&lt;&gt;0),('계산 과정'!$L$23-'계산 과정'!$C$49*D1724-'계산 과정'!$D$49*E1724)/O1724,"")</x:f>
        <x:v>21.368067275875426</x:v>
      </x:c>
      <x:c r="Q1724" s="4" t="str">
        <x:f>IF(AND(ISNUMBER(P1724),P1724&gt;1E-9,P1724&lt;1-1E-9),'계산 과정'!$C$47*(D1724-'계산 과정'!$C$50+P1724*('계산 과정'!$C$32-D1724))+'계산 과정'!$D$47*(E1724-'계산 과정'!$D$50+P1724*('계산 과정'!$D$32-E1724))+'계산 과정'!$E$47*(0-'계산 과정'!$E$50+P1724*('계산 과정'!$E$32-0)),"")</x:f>
      </x:c>
      <x:c r="R1724" s="4" t="str">
        <x:f>IF(AND(ISNUMBER(P1724),P1724&gt;1E-9,P1724&lt;1-1E-9),'계산 과정'!$C$48*(D1724-'계산 과정'!$C$50+P1724*('계산 과정'!$C$32-D1724))+'계산 과정'!$D$48*(E1724-'계산 과정'!$D$50+P1724*('계산 과정'!$D$32-E1724))+'계산 과정'!$E$48*(0-'계산 과정'!$E$50+P1724*('계산 과정'!$E$32-0)),"")</x:f>
      </x:c>
      <x:c r="S1724" s="17" t="n">
        <x:f>IF('계산 과정'!$C$78,IF(AND(ISNUMBER(Q1724),ISNUMBER(R1724),ABS(Q1724-'계산 과정'!$C$88)&lt;='계산 과정'!$D$23/2,ABS(R1724-'계산 과정'!$C$89)&lt;='계산 과정'!$D$24/2),1,0),"")</x:f>
        <x:v>0</x:v>
      </x:c>
      <x:c r="T1724" s="4"/>
      <x:c r="U1724" s="4"/>
      <x:c r="V1724" s="4"/>
      <x:c r="W1724" s="4"/>
      <x:c r="X1724" s="4"/>
      <x:c r="Y1724" s="4"/>
      <x:c r="Z1724" s="4"/>
    </x:row>
    <x:row r="1725" ht="23" customHeight="1">
      <x:c r="A1725" s="17" t="n">
        <x:f>ROW()-6</x:f>
        <x:v>1719</x:v>
      </x:c>
      <x:c r="B1725" s="4" t="n">
        <x:f>IF('계산 과정'!$L$5,'계산 과정'!$L$11*SQRT((A1725+0.5)/'계산 과정'!$L$30),"")</x:f>
        <x:v>137.44450229433517</x:v>
      </x:c>
      <x:c r="C1725" s="4" t="n">
        <x:f>A1725*PI()*(3-SQRT(5))</x:f>
        <x:v>4125.536791903554</x:v>
      </x:c>
      <x:c r="D1725" s="4" t="n">
        <x:f>IF('계산 과정'!$L$5,B1725*COS(C1725),"")</x:f>
        <x:v>-111.41111363119195</x:v>
      </x:c>
      <x:c r="E1725" s="4" t="n">
        <x:f>IF('계산 과정'!$L$5,B1725*SIN(C1725),"")</x:f>
        <x:v>-80.48947117726107</x:v>
      </x:c>
      <x:c r="F1725" s="4" t="n">
        <x:f>IF('계산 과정'!$L$7,'계산 과정'!$L$22+'계산 과정'!$C$49*D1725+'계산 과정'!$D$49*E1725,"")</x:f>
        <x:v>728.7795539481608</x:v>
      </x:c>
      <x:c r="G1725" s="4" t="n">
        <x:f>IF('계산 과정'!$L$7,IF(ABS(F1725)&gt;=1E-12*MAX(1,SQRT((D1725-'계산 과정'!$C$33)^2+(E1725-'계산 과정'!$D$33)^2+'계산 과정'!$E$33^2)),('계산 과정'!$L$23-'계산 과정'!$C$49*D1725-'계산 과정'!$D$49*E1725)/F1725,""),"")</x:f>
        <x:v>0.4407648983998364</x:v>
      </x:c>
      <x:c r="H1725" s="4" t="n">
        <x:f>IF(AND(ISNUMBER(G1725),G1725&gt;0),('계산 과정'!$D$56+'계산 과정'!$D$57*D1725+'계산 과정'!$D$58*E1725)/F1725,"")</x:f>
        <x:v>-113.5028160401065</x:v>
      </x:c>
      <x:c r="I1725" s="4" t="n">
        <x:f>IF(AND(ISNUMBER(G1725),G1725&gt;0),('계산 과정'!$E$56+'계산 과정'!$E$57*D1725+'계산 과정'!$E$58*E1725)/F1725,"")</x:f>
        <x:v>-115.9664047629631</x:v>
      </x:c>
      <x:c r="J1725" s="4" t="n">
        <x:f>IF('계산 과정'!$L$5,'계산 과정'!$D$6+'계산 과정'!$C$35*D1725+'계산 과정'!$D$35*E1725,"")</x:f>
        <x:v>728.7795539481608</x:v>
      </x:c>
      <x:c r="K1725" s="4" t="n">
        <x:f>IF(AND('계산 과정'!$L$6,J1725&gt;0),'계산 과정'!$D$10*('계산 과정'!$C$38*(D1725-'계산 과정'!$C$32)+'계산 과정'!$D$38*(E1725-'계산 과정'!$D$32)-'계산 과정'!$E$38*'계산 과정'!$E$32)/J1725,"")</x:f>
        <x:v>-0.8647833603055721</x:v>
      </x:c>
      <x:c r="L1725" s="4" t="n">
        <x:f>IF(AND('계산 과정'!$L$6,J1725&gt;0),'계산 과정'!$D$10*('계산 과정'!$C$39*(D1725-'계산 과정'!$C$32)+'계산 과정'!$D$39*(E1725-'계산 과정'!$D$32)-'계산 과정'!$E$39*'계산 과정'!$E$32)/J1725,"")</x:f>
        <x:v>-0.8835535600987665</x:v>
      </x:c>
      <x:c r="M1725" s="17" t="n">
        <x:f>IF('계산 과정'!$L$6,IF(J1725&lt;=0,0,IF(AND(ABS(K1725)&lt;='계산 과정'!$D$11/2,ABS(L1725)&lt;='계산 과정'!$D$12/2),1,0)),"")</x:f>
        <x:v>1</x:v>
      </x:c>
      <x:c r="N1725" s="17" t="n">
        <x:f>IF('계산 과정'!$C$78,IF(AND(ISNUMBER(H1725),ISNUMBER(I1725),ABS(H1725-'계산 과정'!$C$88)&lt;='계산 과정'!$D$23/2,ABS(I1725-'계산 과정'!$C$89)&lt;='계산 과정'!$D$24/2),1,0),"")</x:f>
        <x:v>1</x:v>
      </x:c>
      <x:c r="O1725" s="4" t="n">
        <x:f>IF('계산 과정'!$L$7,'계산 과정'!$C$49*('계산 과정'!$C$32-D1725)+'계산 과정'!$D$49*('계산 과정'!$D$32-E1725)+'계산 과정'!$E$49*'계산 과정'!$E$32,"")</x:f>
        <x:v>-78.7795539481607</x:v>
      </x:c>
      <x:c r="P1725" s="4" t="n">
        <x:f>IF(AND('계산 과정'!$L$7,O1725&lt;&gt;0),('계산 과정'!$L$23-'계산 과정'!$C$49*D1725-'계산 과정'!$D$49*E1725)/O1725,"")</x:f>
        <x:v>-4.077459568547594</x:v>
      </x:c>
      <x:c r="Q1725" s="4" t="str">
        <x:f>IF(AND(ISNUMBER(P1725),P1725&gt;1E-9,P1725&lt;1-1E-9),'계산 과정'!$C$47*(D1725-'계산 과정'!$C$50+P1725*('계산 과정'!$C$32-D1725))+'계산 과정'!$D$47*(E1725-'계산 과정'!$D$50+P1725*('계산 과정'!$D$32-E1725))+'계산 과정'!$E$47*(0-'계산 과정'!$E$50+P1725*('계산 과정'!$E$32-0)),"")</x:f>
      </x:c>
      <x:c r="R1725" s="4" t="str">
        <x:f>IF(AND(ISNUMBER(P1725),P1725&gt;1E-9,P1725&lt;1-1E-9),'계산 과정'!$C$48*(D1725-'계산 과정'!$C$50+P1725*('계산 과정'!$C$32-D1725))+'계산 과정'!$D$48*(E1725-'계산 과정'!$D$50+P1725*('계산 과정'!$D$32-E1725))+'계산 과정'!$E$48*(0-'계산 과정'!$E$50+P1725*('계산 과정'!$E$32-0)),"")</x:f>
      </x:c>
      <x:c r="S1725" s="17" t="n">
        <x:f>IF('계산 과정'!$C$78,IF(AND(ISNUMBER(Q1725),ISNUMBER(R1725),ABS(Q1725-'계산 과정'!$C$88)&lt;='계산 과정'!$D$23/2,ABS(R1725-'계산 과정'!$C$89)&lt;='계산 과정'!$D$24/2),1,0),"")</x:f>
        <x:v>0</x:v>
      </x:c>
      <x:c r="T1725" s="4"/>
      <x:c r="U1725" s="4"/>
      <x:c r="V1725" s="4"/>
      <x:c r="W1725" s="4"/>
      <x:c r="X1725" s="4"/>
      <x:c r="Y1725" s="4"/>
      <x:c r="Z1725" s="4"/>
    </x:row>
    <x:row r="1726" ht="23" customHeight="1">
      <x:c r="A1726" s="17" t="n">
        <x:f>ROW()-6</x:f>
        <x:v>1720</x:v>
      </x:c>
      <x:c r="B1726" s="4" t="n">
        <x:f>IF('계산 과정'!$L$5,'계산 과정'!$L$11*SQRT((A1726+0.5)/'계산 과정'!$L$30),"")</x:f>
        <x:v>137.4844629005856</x:v>
      </x:c>
      <x:c r="C1726" s="4" t="n">
        <x:f>A1726*PI()*(3-SQRT(5))</x:f>
        <x:v>4127.9367551332825</x:v>
      </x:c>
      <x:c r="D1726" s="4" t="n">
        <x:f>IF('계산 과정'!$L$5,B1726*COS(C1726),"")</x:f>
        <x:v>136.5606365252578</x:v>
      </x:c>
      <x:c r="E1726" s="4" t="n">
        <x:f>IF('계산 과정'!$L$5,B1726*SIN(C1726),"")</x:f>
        <x:v>-15.911319583206483</x:v>
      </x:c>
      <x:c r="F1726" s="4" t="n">
        <x:f>IF('계산 과정'!$L$7,'계산 과정'!$L$22+'계산 과정'!$C$49*D1726+'계산 과정'!$D$49*E1726,"")</x:f>
        <x:v>553.4370478698389</x:v>
      </x:c>
      <x:c r="G1726" s="4" t="n">
        <x:f>IF('계산 과정'!$L$7,IF(ABS(F1726)&gt;=1E-12*MAX(1,SQRT((D1726-'계산 과정'!$C$33)^2+(E1726-'계산 과정'!$D$33)^2+'계산 과정'!$E$33^2)),('계산 과정'!$L$23-'계산 과정'!$C$49*D1726-'계산 과정'!$D$49*E1726)/F1726,""),"")</x:f>
        <x:v>0.8972347515248855</x:v>
      </x:c>
      <x:c r="H1726" s="4" t="n">
        <x:f>IF(AND(ISNUMBER(G1726),G1726&gt;0),('계산 과정'!$D$56+'계산 과정'!$D$57*D1726+'계산 과정'!$D$58*E1726)/F1726,"")</x:f>
        <x:v>183.20258849117553</x:v>
      </x:c>
      <x:c r="I1726" s="4" t="n">
        <x:f>IF(AND(ISNUMBER(G1726),G1726&gt;0),('계산 과정'!$E$56+'계산 과정'!$E$57*D1726+'계산 과정'!$E$58*E1726)/F1726,"")</x:f>
        <x:v>-30.187508455877794</x:v>
      </x:c>
      <x:c r="J1726" s="4" t="n">
        <x:f>IF('계산 과정'!$L$5,'계산 과정'!$D$6+'계산 과정'!$C$35*D1726+'계산 과정'!$D$35*E1726,"")</x:f>
        <x:v>553.4370478698389</x:v>
      </x:c>
      <x:c r="K1726" s="4" t="n">
        <x:f>IF(AND('계산 과정'!$L$6,J1726&gt;0),'계산 과정'!$D$10*('계산 과정'!$C$38*(D1726-'계산 과정'!$C$32)+'계산 과정'!$D$38*(E1726-'계산 과정'!$D$32)-'계산 과정'!$E$38*'계산 과정'!$E$32)/J1726,"")</x:f>
        <x:v>1.3958292456470527</x:v>
      </x:c>
      <x:c r="L1726" s="4" t="n">
        <x:f>IF(AND('계산 과정'!$L$6,J1726&gt;0),'계산 과정'!$D$10*('계산 과정'!$C$39*(D1726-'계산 과정'!$C$32)+'계산 과정'!$D$39*(E1726-'계산 과정'!$D$32)-'계산 과정'!$E$39*'계산 과정'!$E$32)/J1726,"")</x:f>
        <x:v>-0.2300000644257356</x:v>
      </x:c>
      <x:c r="M1726" s="17" t="n">
        <x:f>IF('계산 과정'!$L$6,IF(J1726&lt;=0,0,IF(AND(ABS(K1726)&lt;='계산 과정'!$D$11/2,ABS(L1726)&lt;='계산 과정'!$D$12/2),1,0)),"")</x:f>
        <x:v>1</x:v>
      </x:c>
      <x:c r="N1726" s="17" t="n">
        <x:f>IF('계산 과정'!$C$78,IF(AND(ISNUMBER(H1726),ISNUMBER(I1726),ABS(H1726-'계산 과정'!$C$88)&lt;='계산 과정'!$D$23/2,ABS(I1726-'계산 과정'!$C$89)&lt;='계산 과정'!$D$24/2),1,0),"")</x:f>
        <x:v>1</x:v>
      </x:c>
      <x:c r="O1726" s="4" t="n">
        <x:f>IF('계산 과정'!$L$7,'계산 과정'!$C$49*('계산 과정'!$C$32-D1726)+'계산 과정'!$D$49*('계산 과정'!$D$32-E1726)+'계산 과정'!$E$49*'계산 과정'!$E$32,"")</x:f>
        <x:v>96.56295213016122</x:v>
      </x:c>
      <x:c r="P1726" s="4" t="n">
        <x:f>IF(AND('계산 과정'!$L$7,O1726&lt;&gt;0),('계산 과정'!$L$23-'계산 과정'!$C$49*D1726-'계산 과정'!$D$49*E1726)/O1726,"")</x:f>
        <x:v>5.14237542635216</x:v>
      </x:c>
      <x:c r="Q1726" s="4" t="str">
        <x:f>IF(AND(ISNUMBER(P1726),P1726&gt;1E-9,P1726&lt;1-1E-9),'계산 과정'!$C$47*(D1726-'계산 과정'!$C$50+P1726*('계산 과정'!$C$32-D1726))+'계산 과정'!$D$47*(E1726-'계산 과정'!$D$50+P1726*('계산 과정'!$D$32-E1726))+'계산 과정'!$E$47*(0-'계산 과정'!$E$50+P1726*('계산 과정'!$E$32-0)),"")</x:f>
      </x:c>
      <x:c r="R1726" s="4" t="str">
        <x:f>IF(AND(ISNUMBER(P1726),P1726&gt;1E-9,P1726&lt;1-1E-9),'계산 과정'!$C$48*(D1726-'계산 과정'!$C$50+P1726*('계산 과정'!$C$32-D1726))+'계산 과정'!$D$48*(E1726-'계산 과정'!$D$50+P1726*('계산 과정'!$D$32-E1726))+'계산 과정'!$E$48*(0-'계산 과정'!$E$50+P1726*('계산 과정'!$E$32-0)),"")</x:f>
      </x:c>
      <x:c r="S1726" s="17" t="n">
        <x:f>IF('계산 과정'!$C$78,IF(AND(ISNUMBER(Q1726),ISNUMBER(R1726),ABS(Q1726-'계산 과정'!$C$88)&lt;='계산 과정'!$D$23/2,ABS(R1726-'계산 과정'!$C$89)&lt;='계산 과정'!$D$24/2),1,0),"")</x:f>
        <x:v>0</x:v>
      </x:c>
      <x:c r="T1726" s="4"/>
      <x:c r="U1726" s="4"/>
      <x:c r="V1726" s="4"/>
      <x:c r="W1726" s="4"/>
      <x:c r="X1726" s="4"/>
      <x:c r="Y1726" s="4"/>
      <x:c r="Z1726" s="4"/>
    </x:row>
    <x:row r="1727" ht="23" customHeight="1">
      <x:c r="A1727" s="17" t="n">
        <x:f>ROW()-6</x:f>
        <x:v>1721</x:v>
      </x:c>
      <x:c r="B1727" s="4" t="n">
        <x:f>IF('계산 과정'!$L$5,'계산 과정'!$L$11*SQRT((A1727+0.5)/'계산 과정'!$L$30),"")</x:f>
        <x:v>137.52441189544314</x:v>
      </x:c>
      <x:c r="C1727" s="4" t="n">
        <x:f>A1727*PI()*(3-SQRT(5))</x:f>
        <x:v>4130.336718363012</x:v>
      </x:c>
      <x:c r="D1727" s="4" t="n">
        <x:f>IF('계산 과정'!$L$5,B1727*COS(C1727),"")</x:f>
        <x:v>-89.97375756531517</x:v>
      </x:c>
      <x:c r="E1727" s="4" t="n">
        <x:f>IF('계산 과정'!$L$5,B1727*SIN(C1727),"")</x:f>
        <x:v>104.00810937982381</x:v>
      </x:c>
      <x:c r="F1727" s="4" t="n">
        <x:f>IF('계산 과정'!$L$7,'계산 과정'!$L$22+'계산 과정'!$C$49*D1727+'계산 과정'!$D$49*E1727,"")</x:f>
        <x:v>713.6210541032688</x:v>
      </x:c>
      <x:c r="G1727" s="4" t="n">
        <x:f>IF('계산 과정'!$L$7,IF(ABS(F1727)&gt;=1E-12*MAX(1,SQRT((D1727-'계산 과정'!$C$33)^2+(E1727-'계산 과정'!$D$33)^2+'계산 과정'!$E$33^2)),('계산 과정'!$L$23-'계산 과정'!$C$49*D1727-'계산 과정'!$D$49*E1727)/F1727,""),"")</x:f>
        <x:v>0.4713691446778048</x:v>
      </x:c>
      <x:c r="H1727" s="4" t="n">
        <x:f>IF(AND(ISNUMBER(G1727),G1727&gt;0),('계산 과정'!$D$56+'계산 과정'!$D$57*D1727+'계산 과정'!$D$58*E1727)/F1727,"")</x:f>
        <x:v>-93.61005595942707</x:v>
      </x:c>
      <x:c r="I1727" s="4" t="n">
        <x:f>IF(AND(ISNUMBER(G1727),G1727&gt;0),('계산 과정'!$E$56+'계산 과정'!$E$57*D1727+'계산 과정'!$E$58*E1727)/F1727,"")</x:f>
        <x:v>153.03432293774694</x:v>
      </x:c>
      <x:c r="J1727" s="4" t="n">
        <x:f>IF('계산 과정'!$L$5,'계산 과정'!$D$6+'계산 과정'!$C$35*D1727+'계산 과정'!$D$35*E1727,"")</x:f>
        <x:v>713.6210541032688</x:v>
      </x:c>
      <x:c r="K1727" s="4" t="n">
        <x:f>IF(AND('계산 과정'!$L$6,J1727&gt;0),'계산 과정'!$D$10*('계산 과정'!$C$38*(D1727-'계산 과정'!$C$32)+'계산 과정'!$D$38*(E1727-'계산 과정'!$D$32)-'계산 과정'!$E$38*'계산 과정'!$E$32)/J1727,"")</x:f>
        <x:v>-0.7132194739765859</x:v>
      </x:c>
      <x:c r="L1727" s="4" t="n">
        <x:f>IF(AND('계산 과정'!$L$6,J1727&gt;0),'계산 과정'!$D$10*('계산 과정'!$C$39*(D1727-'계산 과정'!$C$32)+'계산 과정'!$D$39*(E1727-'계산 과정'!$D$32)-'계산 과정'!$E$39*'계산 과정'!$E$32)/J1727,"")</x:f>
        <x:v>1.165975793811405</x:v>
      </x:c>
      <x:c r="M1727" s="17" t="n">
        <x:f>IF('계산 과정'!$L$6,IF(J1727&lt;=0,0,IF(AND(ABS(K1727)&lt;='계산 과정'!$D$11/2,ABS(L1727)&lt;='계산 과정'!$D$12/2),1,0)),"")</x:f>
        <x:v>1</x:v>
      </x:c>
      <x:c r="N1727" s="17" t="n">
        <x:f>IF('계산 과정'!$C$78,IF(AND(ISNUMBER(H1727),ISNUMBER(I1727),ABS(H1727-'계산 과정'!$C$88)&lt;='계산 과정'!$D$23/2,ABS(I1727-'계산 과정'!$C$89)&lt;='계산 과정'!$D$24/2),1,0),"")</x:f>
        <x:v>1</x:v>
      </x:c>
      <x:c r="O1727" s="4" t="n">
        <x:f>IF('계산 과정'!$L$7,'계산 과정'!$C$49*('계산 과정'!$C$32-D1727)+'계산 과정'!$D$49*('계산 과정'!$D$32-E1727)+'계산 과정'!$E$49*'계산 과정'!$E$32,"")</x:f>
        <x:v>-63.62105410326865</x:v>
      </x:c>
      <x:c r="P1727" s="4" t="n">
        <x:f>IF(AND('계산 과정'!$L$7,O1727&lt;&gt;0),('계산 과정'!$L$23-'계산 과정'!$C$49*D1727-'계산 과정'!$D$49*E1727)/O1727,"")</x:f>
        <x:v>-5.287226856548564</x:v>
      </x:c>
      <x:c r="Q1727" s="4" t="str">
        <x:f>IF(AND(ISNUMBER(P1727),P1727&gt;1E-9,P1727&lt;1-1E-9),'계산 과정'!$C$47*(D1727-'계산 과정'!$C$50+P1727*('계산 과정'!$C$32-D1727))+'계산 과정'!$D$47*(E1727-'계산 과정'!$D$50+P1727*('계산 과정'!$D$32-E1727))+'계산 과정'!$E$47*(0-'계산 과정'!$E$50+P1727*('계산 과정'!$E$32-0)),"")</x:f>
      </x:c>
      <x:c r="R1727" s="4" t="str">
        <x:f>IF(AND(ISNUMBER(P1727),P1727&gt;1E-9,P1727&lt;1-1E-9),'계산 과정'!$C$48*(D1727-'계산 과정'!$C$50+P1727*('계산 과정'!$C$32-D1727))+'계산 과정'!$D$48*(E1727-'계산 과정'!$D$50+P1727*('계산 과정'!$D$32-E1727))+'계산 과정'!$E$48*(0-'계산 과정'!$E$50+P1727*('계산 과정'!$E$32-0)),"")</x:f>
      </x:c>
      <x:c r="S1727" s="17" t="n">
        <x:f>IF('계산 과정'!$C$78,IF(AND(ISNUMBER(Q1727),ISNUMBER(R1727),ABS(Q1727-'계산 과정'!$C$88)&lt;='계산 과정'!$D$23/2,ABS(R1727-'계산 과정'!$C$89)&lt;='계산 과정'!$D$24/2),1,0),"")</x:f>
        <x:v>0</x:v>
      </x:c>
      <x:c r="T1727" s="4"/>
      <x:c r="U1727" s="4"/>
      <x:c r="V1727" s="4"/>
      <x:c r="W1727" s="4"/>
      <x:c r="X1727" s="4"/>
      <x:c r="Y1727" s="4"/>
      <x:c r="Z1727" s="4"/>
    </x:row>
    <x:row r="1728" ht="23" customHeight="1">
      <x:c r="A1728" s="17" t="n">
        <x:f>ROW()-6</x:f>
        <x:v>1722</x:v>
      </x:c>
      <x:c r="B1728" s="4" t="n">
        <x:f>IF('계산 과정'!$L$5,'계산 과정'!$L$11*SQRT((A1728+0.5)/'계산 과정'!$L$30),"")</x:f>
        <x:v>137.56434928902365</x:v>
      </x:c>
      <x:c r="C1728" s="4" t="n">
        <x:f>A1728*PI()*(3-SQRT(5))</x:f>
        <x:v>4132.73668159274</x:v>
      </x:c>
      <x:c r="D1728" s="4" t="n">
        <x:f>IF('계산 과정'!$L$5,B1728*COS(C1728),"")</x:f>
        <x:v>-3.913755971628271</x:v>
      </x:c>
      <x:c r="E1728" s="4" t="n">
        <x:f>IF('계산 과정'!$L$5,B1728*SIN(C1728),"")</x:f>
        <x:v>-137.5086641252363</x:v>
      </x:c>
      <x:c r="F1728" s="4" t="n">
        <x:f>IF('계산 과정'!$L$7,'계산 과정'!$L$22+'계산 과정'!$C$49*D1728+'계산 과정'!$D$49*E1728,"")</x:f>
        <x:v>652.7674433874477</x:v>
      </x:c>
      <x:c r="G1728" s="4" t="n">
        <x:f>IF('계산 과정'!$L$7,IF(ABS(F1728)&gt;=1E-12*MAX(1,SQRT((D1728-'계산 과정'!$C$33)^2+(E1728-'계산 과정'!$D$33)^2+'계산 과정'!$E$33^2)),('계산 과정'!$L$23-'계산 과정'!$C$49*D1728-'계산 과정'!$D$49*E1728)/F1728,""),"")</x:f>
        <x:v>0.6085361036867404</x:v>
      </x:c>
      <x:c r="H1728" s="4" t="n">
        <x:f>IF(AND(ISNUMBER(G1728),G1728&gt;0),('계산 과정'!$D$56+'계산 과정'!$D$57*D1728+'계산 과정'!$D$58*E1728)/F1728,"")</x:f>
        <x:v>-4.4515326036188645</x:v>
      </x:c>
      <x:c r="I1728" s="4" t="n">
        <x:f>IF(AND(ISNUMBER(G1728),G1728&gt;0),('계산 과정'!$E$56+'계산 과정'!$E$57*D1728+'계산 과정'!$E$58*E1728)/F1728,"")</x:f>
        <x:v>-221.18765081517626</x:v>
      </x:c>
      <x:c r="J1728" s="4" t="n">
        <x:f>IF('계산 과정'!$L$5,'계산 과정'!$D$6+'계산 과정'!$C$35*D1728+'계산 과정'!$D$35*E1728,"")</x:f>
        <x:v>652.7674433874477</x:v>
      </x:c>
      <x:c r="K1728" s="4" t="n">
        <x:f>IF(AND('계산 과정'!$L$6,J1728&gt;0),'계산 과정'!$D$10*('계산 과정'!$C$38*(D1728-'계산 과정'!$C$32)+'계산 과정'!$D$38*(E1728-'계산 과정'!$D$32)-'계산 과정'!$E$38*'계산 과정'!$E$32)/J1728,"")</x:f>
        <x:v>-0.0339164388847145</x:v>
      </x:c>
      <x:c r="L1728" s="4" t="n">
        <x:f>IF(AND('계산 과정'!$L$6,J1728&gt;0),'계산 과정'!$D$10*('계산 과정'!$C$39*(D1728-'계산 과정'!$C$32)+'계산 과정'!$D$39*(E1728-'계산 과정'!$D$32)-'계산 과정'!$E$39*'계산 과정'!$E$32)/J1728,"")</x:f>
        <x:v>-1.6852392443061048</x:v>
      </x:c>
      <x:c r="M1728" s="17" t="n">
        <x:f>IF('계산 과정'!$L$6,IF(J1728&lt;=0,0,IF(AND(ABS(K1728)&lt;='계산 과정'!$D$11/2,ABS(L1728)&lt;='계산 과정'!$D$12/2),1,0)),"")</x:f>
        <x:v>1</x:v>
      </x:c>
      <x:c r="N1728" s="17" t="n">
        <x:f>IF('계산 과정'!$C$78,IF(AND(ISNUMBER(H1728),ISNUMBER(I1728),ABS(H1728-'계산 과정'!$C$88)&lt;='계산 과정'!$D$23/2,ABS(I1728-'계산 과정'!$C$89)&lt;='계산 과정'!$D$24/2),1,0),"")</x:f>
        <x:v>1</x:v>
      </x:c>
      <x:c r="O1728" s="4" t="n">
        <x:f>IF('계산 과정'!$L$7,'계산 과정'!$C$49*('계산 과정'!$C$32-D1728)+'계산 과정'!$D$49*('계산 과정'!$D$32-E1728)+'계산 과정'!$E$49*'계산 과정'!$E$32,"")</x:f>
        <x:v>-2.7674433874475994</x:v>
      </x:c>
      <x:c r="P1728" s="4" t="n">
        <x:f>IF(AND('계산 과정'!$L$7,O1728&lt;&gt;0),('계산 과정'!$L$23-'계산 과정'!$C$49*D1728-'계산 과정'!$D$49*E1728)/O1728,"")</x:f>
        <x:v>-143.5377353749296</x:v>
      </x:c>
      <x:c r="Q1728" s="4" t="str">
        <x:f>IF(AND(ISNUMBER(P1728),P1728&gt;1E-9,P1728&lt;1-1E-9),'계산 과정'!$C$47*(D1728-'계산 과정'!$C$50+P1728*('계산 과정'!$C$32-D1728))+'계산 과정'!$D$47*(E1728-'계산 과정'!$D$50+P1728*('계산 과정'!$D$32-E1728))+'계산 과정'!$E$47*(0-'계산 과정'!$E$50+P1728*('계산 과정'!$E$32-0)),"")</x:f>
      </x:c>
      <x:c r="R1728" s="4" t="str">
        <x:f>IF(AND(ISNUMBER(P1728),P1728&gt;1E-9,P1728&lt;1-1E-9),'계산 과정'!$C$48*(D1728-'계산 과정'!$C$50+P1728*('계산 과정'!$C$32-D1728))+'계산 과정'!$D$48*(E1728-'계산 과정'!$D$50+P1728*('계산 과정'!$D$32-E1728))+'계산 과정'!$E$48*(0-'계산 과정'!$E$50+P1728*('계산 과정'!$E$32-0)),"")</x:f>
      </x:c>
      <x:c r="S1728" s="17" t="n">
        <x:f>IF('계산 과정'!$C$78,IF(AND(ISNUMBER(Q1728),ISNUMBER(R1728),ABS(Q1728-'계산 과정'!$C$88)&lt;='계산 과정'!$D$23/2,ABS(R1728-'계산 과정'!$C$89)&lt;='계산 과정'!$D$24/2),1,0),"")</x:f>
        <x:v>0</x:v>
      </x:c>
      <x:c r="T1728" s="4"/>
      <x:c r="U1728" s="4"/>
      <x:c r="V1728" s="4"/>
      <x:c r="W1728" s="4"/>
      <x:c r="X1728" s="4"/>
      <x:c r="Y1728" s="4"/>
      <x:c r="Z1728" s="4"/>
    </x:row>
    <x:row r="1729" ht="23" customHeight="1">
      <x:c r="A1729" s="17" t="n">
        <x:f>ROW()-6</x:f>
        <x:v>1723</x:v>
      </x:c>
      <x:c r="B1729" s="4" t="n">
        <x:f>IF('계산 과정'!$L$5,'계산 과정'!$L$11*SQRT((A1729+0.5)/'계산 과정'!$L$30),"")</x:f>
        <x:v>137.6042750914284</x:v>
      </x:c>
      <x:c r="C1729" s="4" t="n">
        <x:f>A1729*PI()*(3-SQRT(5))</x:f>
        <x:v>4135.136644822469</x:v>
      </x:c>
      <x:c r="D1729" s="4" t="n">
        <x:f>IF('계산 과정'!$L$5,B1729*COS(C1729),"")</x:f>
        <x:v>95.79944599823573</x:v>
      </x:c>
      <x:c r="E1729" s="4" t="n">
        <x:f>IF('계산 과정'!$L$5,B1729*SIN(C1729),"")</x:f>
        <x:v>98.77956605426357</x:v>
      </x:c>
      <x:c r="F1729" s="4" t="n">
        <x:f>IF('계산 과정'!$L$7,'계산 과정'!$L$22+'계산 과정'!$C$49*D1729+'계산 과정'!$D$49*E1729,"")</x:f>
        <x:v>582.2595621007331</x:v>
      </x:c>
      <x:c r="G1729" s="4" t="n">
        <x:f>IF('계산 과정'!$L$7,IF(ABS(F1729)&gt;=1E-12*MAX(1,SQRT((D1729-'계산 과정'!$C$33)^2+(E1729-'계산 과정'!$D$33)^2+'계산 과정'!$E$33^2)),('계산 과정'!$L$23-'계산 과정'!$C$49*D1729-'계산 과정'!$D$49*E1729)/F1729,""),"")</x:f>
        <x:v>0.8033194615331127</x:v>
      </x:c>
      <x:c r="H1729" s="4" t="n">
        <x:f>IF(AND(ISNUMBER(G1729),G1729&gt;0),('계산 과정'!$D$56+'계산 과정'!$D$57*D1729+'계산 과정'!$D$58*E1729)/F1729,"")</x:f>
        <x:v>122.15764999652323</x:v>
      </x:c>
      <x:c r="I1729" s="4" t="n">
        <x:f>IF(AND(ISNUMBER(G1729),G1729&gt;0),('계산 과정'!$E$56+'계산 과정'!$E$57*D1729+'계산 과정'!$E$58*E1729)/F1729,"")</x:f>
        <x:v>178.13111386744913</x:v>
      </x:c>
      <x:c r="J1729" s="4" t="n">
        <x:f>IF('계산 과정'!$L$5,'계산 과정'!$D$6+'계산 과정'!$C$35*D1729+'계산 과정'!$D$35*E1729,"")</x:f>
        <x:v>582.2595621007331</x:v>
      </x:c>
      <x:c r="K1729" s="4" t="n">
        <x:f>IF(AND('계산 과정'!$L$6,J1729&gt;0),'계산 과정'!$D$10*('계산 과정'!$C$38*(D1729-'계산 과정'!$C$32)+'계산 과정'!$D$38*(E1729-'계산 과정'!$D$32)-'계산 과정'!$E$38*'계산 과정'!$E$32)/J1729,"")</x:f>
        <x:v>0.9307249523544637</x:v>
      </x:c>
      <x:c r="L1729" s="4" t="n">
        <x:f>IF(AND('계산 과정'!$L$6,J1729&gt;0),'계산 과정'!$D$10*('계산 과정'!$C$39*(D1729-'계산 과정'!$C$32)+'계산 과정'!$D$39*(E1729-'계산 과정'!$D$32)-'계산 과정'!$E$39*'계산 과정'!$E$32)/J1729,"")</x:f>
        <x:v>1.3571894389900885</x:v>
      </x:c>
      <x:c r="M1729" s="17" t="n">
        <x:f>IF('계산 과정'!$L$6,IF(J1729&lt;=0,0,IF(AND(ABS(K1729)&lt;='계산 과정'!$D$11/2,ABS(L1729)&lt;='계산 과정'!$D$12/2),1,0)),"")</x:f>
        <x:v>1</x:v>
      </x:c>
      <x:c r="N1729" s="17" t="n">
        <x:f>IF('계산 과정'!$C$78,IF(AND(ISNUMBER(H1729),ISNUMBER(I1729),ABS(H1729-'계산 과정'!$C$88)&lt;='계산 과정'!$D$23/2,ABS(I1729-'계산 과정'!$C$89)&lt;='계산 과정'!$D$24/2),1,0),"")</x:f>
        <x:v>1</x:v>
      </x:c>
      <x:c r="O1729" s="4" t="n">
        <x:f>IF('계산 과정'!$L$7,'계산 과정'!$C$49*('계산 과정'!$C$32-D1729)+'계산 과정'!$D$49*('계산 과정'!$D$32-E1729)+'계산 과정'!$E$49*'계산 과정'!$E$32,"")</x:f>
        <x:v>67.74043789926708</x:v>
      </x:c>
      <x:c r="P1729" s="4" t="n">
        <x:f>IF(AND('계산 과정'!$L$7,O1729&lt;&gt;0),('계산 과정'!$L$23-'계산 과정'!$C$49*D1729-'계산 과정'!$D$49*E1729)/O1729,"")</x:f>
        <x:v>6.904892445407821</x:v>
      </x:c>
      <x:c r="Q1729" s="4" t="str">
        <x:f>IF(AND(ISNUMBER(P1729),P1729&gt;1E-9,P1729&lt;1-1E-9),'계산 과정'!$C$47*(D1729-'계산 과정'!$C$50+P1729*('계산 과정'!$C$32-D1729))+'계산 과정'!$D$47*(E1729-'계산 과정'!$D$50+P1729*('계산 과정'!$D$32-E1729))+'계산 과정'!$E$47*(0-'계산 과정'!$E$50+P1729*('계산 과정'!$E$32-0)),"")</x:f>
      </x:c>
      <x:c r="R1729" s="4" t="str">
        <x:f>IF(AND(ISNUMBER(P1729),P1729&gt;1E-9,P1729&lt;1-1E-9),'계산 과정'!$C$48*(D1729-'계산 과정'!$C$50+P1729*('계산 과정'!$C$32-D1729))+'계산 과정'!$D$48*(E1729-'계산 과정'!$D$50+P1729*('계산 과정'!$D$32-E1729))+'계산 과정'!$E$48*(0-'계산 과정'!$E$50+P1729*('계산 과정'!$E$32-0)),"")</x:f>
      </x:c>
      <x:c r="S1729" s="17" t="n">
        <x:f>IF('계산 과정'!$C$78,IF(AND(ISNUMBER(Q1729),ISNUMBER(R1729),ABS(Q1729-'계산 과정'!$C$88)&lt;='계산 과정'!$D$23/2,ABS(R1729-'계산 과정'!$C$89)&lt;='계산 과정'!$D$24/2),1,0),"")</x:f>
        <x:v>0</x:v>
      </x:c>
      <x:c r="T1729" s="4"/>
      <x:c r="U1729" s="4"/>
      <x:c r="V1729" s="4"/>
      <x:c r="W1729" s="4"/>
      <x:c r="X1729" s="4"/>
      <x:c r="Y1729" s="4"/>
      <x:c r="Z1729" s="4"/>
    </x:row>
    <x:row r="1730" ht="23" customHeight="1">
      <x:c r="A1730" s="17" t="n">
        <x:f>ROW()-6</x:f>
        <x:v>1724</x:v>
      </x:c>
      <x:c r="B1730" s="4" t="n">
        <x:f>IF('계산 과정'!$L$5,'계산 과정'!$L$11*SQRT((A1730+0.5)/'계산 과정'!$L$30),"")</x:f>
        <x:v>137.64418931274398</x:v>
      </x:c>
      <x:c r="C1730" s="4" t="n">
        <x:f>A1730*PI()*(3-SQRT(5))</x:f>
        <x:v>4137.536608052198</x:v>
      </x:c>
      <x:c r="D1730" s="4" t="n">
        <x:f>IF('계산 과정'!$L$5,B1730*COS(C1730),"")</x:f>
        <x:v>-137.40401273189278</x:v>
      </x:c>
      <x:c r="E1730" s="4" t="n">
        <x:f>IF('계산 과정'!$L$5,B1730*SIN(C1730),"")</x:f>
        <x:v>-8.127738722200231</x:v>
      </x:c>
      <x:c r="F1730" s="4" t="n">
        <x:f>IF('계산 과정'!$L$7,'계산 과정'!$L$22+'계산 과정'!$C$49*D1730+'계산 과정'!$D$49*E1730,"")</x:f>
        <x:v>747.159309164964</x:v>
      </x:c>
      <x:c r="G1730" s="4" t="n">
        <x:f>IF('계산 과정'!$L$7,IF(ABS(F1730)&gt;=1E-12*MAX(1,SQRT((D1730-'계산 과정'!$C$33)^2+(E1730-'계산 과정'!$D$33)^2+'계산 과정'!$E$33^2)),('계산 과정'!$L$23-'계산 과정'!$C$49*D1730-'계산 과정'!$D$49*E1730)/F1730,""),"")</x:f>
        <x:v>0.4053227834014342</x:v>
      </x:c>
      <x:c r="H1730" s="4" t="n">
        <x:f>IF(AND(ISNUMBER(G1730),G1730&gt;0),('계산 과정'!$D$56+'계산 과정'!$D$57*D1730+'계산 과정'!$D$58*E1730)/F1730,"")</x:f>
        <x:v>-136.54019078906796</x:v>
      </x:c>
      <x:c r="I1730" s="4" t="n">
        <x:f>IF(AND(ISNUMBER(G1730),G1730&gt;0),('계산 과정'!$E$56+'계산 과정'!$E$57*D1730+'계산 과정'!$E$58*E1730)/F1730,"")</x:f>
        <x:v>-11.422096403842044</x:v>
      </x:c>
      <x:c r="J1730" s="4" t="n">
        <x:f>IF('계산 과정'!$L$5,'계산 과정'!$D$6+'계산 과정'!$C$35*D1730+'계산 과정'!$D$35*E1730,"")</x:f>
        <x:v>747.159309164964</x:v>
      </x:c>
      <x:c r="K1730" s="4" t="n">
        <x:f>IF(AND('계산 과정'!$L$6,J1730&gt;0),'계산 과정'!$D$10*('계산 과정'!$C$38*(D1730-'계산 과정'!$C$32)+'계산 과정'!$D$38*(E1730-'계산 과정'!$D$32)-'계산 과정'!$E$38*'계산 과정'!$E$32)/J1730,"")</x:f>
        <x:v>-1.040306215535755</x:v>
      </x:c>
      <x:c r="L1730" s="4" t="n">
        <x:f>IF(AND('계산 과정'!$L$6,J1730&gt;0),'계산 과정'!$D$10*('계산 과정'!$C$39*(D1730-'계산 과정'!$C$32)+'계산 과정'!$D$39*(E1730-'계산 과정'!$D$32)-'계산 과정'!$E$39*'계산 과정'!$E$32)/J1730,"")</x:f>
        <x:v>-0.08702549641022511</x:v>
      </x:c>
      <x:c r="M1730" s="17" t="n">
        <x:f>IF('계산 과정'!$L$6,IF(J1730&lt;=0,0,IF(AND(ABS(K1730)&lt;='계산 과정'!$D$11/2,ABS(L1730)&lt;='계산 과정'!$D$12/2),1,0)),"")</x:f>
        <x:v>1</x:v>
      </x:c>
      <x:c r="N1730" s="17" t="n">
        <x:f>IF('계산 과정'!$C$78,IF(AND(ISNUMBER(H1730),ISNUMBER(I1730),ABS(H1730-'계산 과정'!$C$88)&lt;='계산 과정'!$D$23/2,ABS(I1730-'계산 과정'!$C$89)&lt;='계산 과정'!$D$24/2),1,0),"")</x:f>
        <x:v>1</x:v>
      </x:c>
      <x:c r="O1730" s="4" t="n">
        <x:f>IF('계산 과정'!$L$7,'계산 과정'!$C$49*('계산 과정'!$C$32-D1730)+'계산 과정'!$D$49*('계산 과정'!$D$32-E1730)+'계산 과정'!$E$49*'계산 과정'!$E$32,"")</x:f>
        <x:v>-97.15930916496393</x:v>
      </x:c>
      <x:c r="P1730" s="4" t="n">
        <x:f>IF(AND('계산 과정'!$L$7,O1730&lt;&gt;0),('계산 과정'!$L$23-'계산 과정'!$C$49*D1730-'계산 과정'!$D$49*E1730)/O1730,"")</x:f>
        <x:v>-3.116949816109248</x:v>
      </x:c>
      <x:c r="Q1730" s="4" t="str">
        <x:f>IF(AND(ISNUMBER(P1730),P1730&gt;1E-9,P1730&lt;1-1E-9),'계산 과정'!$C$47*(D1730-'계산 과정'!$C$50+P1730*('계산 과정'!$C$32-D1730))+'계산 과정'!$D$47*(E1730-'계산 과정'!$D$50+P1730*('계산 과정'!$D$32-E1730))+'계산 과정'!$E$47*(0-'계산 과정'!$E$50+P1730*('계산 과정'!$E$32-0)),"")</x:f>
      </x:c>
      <x:c r="R1730" s="4" t="str">
        <x:f>IF(AND(ISNUMBER(P1730),P1730&gt;1E-9,P1730&lt;1-1E-9),'계산 과정'!$C$48*(D1730-'계산 과정'!$C$50+P1730*('계산 과정'!$C$32-D1730))+'계산 과정'!$D$48*(E1730-'계산 과정'!$D$50+P1730*('계산 과정'!$D$32-E1730))+'계산 과정'!$E$48*(0-'계산 과정'!$E$50+P1730*('계산 과정'!$E$32-0)),"")</x:f>
      </x:c>
      <x:c r="S1730" s="17" t="n">
        <x:f>IF('계산 과정'!$C$78,IF(AND(ISNUMBER(Q1730),ISNUMBER(R1730),ABS(Q1730-'계산 과정'!$C$88)&lt;='계산 과정'!$D$23/2,ABS(R1730-'계산 과정'!$C$89)&lt;='계산 과정'!$D$24/2),1,0),"")</x:f>
        <x:v>0</x:v>
      </x:c>
      <x:c r="T1730" s="4"/>
      <x:c r="U1730" s="4"/>
      <x:c r="V1730" s="4"/>
      <x:c r="W1730" s="4"/>
      <x:c r="X1730" s="4"/>
      <x:c r="Y1730" s="4"/>
      <x:c r="Z1730" s="4"/>
    </x:row>
    <x:row r="1731" ht="23" customHeight="1">
      <x:c r="A1731" s="17" t="n">
        <x:f>ROW()-6</x:f>
        <x:v>1725</x:v>
      </x:c>
      <x:c r="B1731" s="4" t="n">
        <x:f>IF('계산 과정'!$L$5,'계산 과정'!$L$11*SQRT((A1731+0.5)/'계산 과정'!$L$30),"")</x:f>
        <x:v>137.68409196304233</x:v>
      </x:c>
      <x:c r="C1731" s="4" t="n">
        <x:f>A1731*PI()*(3-SQRT(5))</x:f>
        <x:v>4139.936571281926</x:v>
      </x:c>
      <x:c r="D1731" s="4" t="n">
        <x:f>IF('계산 과정'!$L$5,B1731*COS(C1731),"")</x:f>
        <x:v>106.83861456026679</x:v>
      </x:c>
      <x:c r="E1731" s="4" t="n">
        <x:f>IF('계산 과정'!$L$5,B1731*SIN(C1731),"")</x:f>
        <x:v>-86.84710483677763</x:v>
      </x:c>
      <x:c r="F1731" s="4" t="n">
        <x:f>IF('계산 과정'!$L$7,'계산 과정'!$L$22+'계산 과정'!$C$49*D1731+'계산 과정'!$D$49*E1731,"")</x:f>
        <x:v>574.4536911518595</x:v>
      </x:c>
      <x:c r="G1731" s="4" t="n">
        <x:f>IF('계산 과정'!$L$7,IF(ABS(F1731)&gt;=1E-12*MAX(1,SQRT((D1731-'계산 과정'!$C$33)^2+(E1731-'계산 과정'!$D$33)^2+'계산 과정'!$E$33^2)),('계산 과정'!$L$23-'계산 과정'!$C$49*D1731-'계산 과정'!$D$49*E1731)/F1731,""),"")</x:f>
        <x:v>0.827823575986785</x:v>
      </x:c>
      <x:c r="H1731" s="4" t="n">
        <x:f>IF(AND(ISNUMBER(G1731),G1731&gt;0),('계산 과정'!$D$56+'계산 과정'!$D$57*D1731+'계산 과정'!$D$58*E1731)/F1731,"")</x:f>
        <x:v>138.0853243914101</x:v>
      </x:c>
      <x:c r="I1731" s="4" t="n">
        <x:f>IF(AND(ISNUMBER(G1731),G1731&gt;0),('계산 과정'!$E$56+'계산 과정'!$E$57*D1731+'계산 과정'!$E$58*E1731)/F1731,"")</x:f>
        <x:v>-158.7411857268581</x:v>
      </x:c>
      <x:c r="J1731" s="4" t="n">
        <x:f>IF('계산 과정'!$L$5,'계산 과정'!$D$6+'계산 과정'!$C$35*D1731+'계산 과정'!$D$35*E1731,"")</x:f>
        <x:v>574.4536911518595</x:v>
      </x:c>
      <x:c r="K1731" s="4" t="n">
        <x:f>IF(AND('계산 과정'!$L$6,J1731&gt;0),'계산 과정'!$D$10*('계산 과정'!$C$38*(D1731-'계산 과정'!$C$32)+'계산 과정'!$D$38*(E1731-'계산 과정'!$D$32)-'계산 과정'!$E$38*'계산 과정'!$E$32)/J1731,"")</x:f>
        <x:v>1.0520786620297922</x:v>
      </x:c>
      <x:c r="L1731" s="4" t="n">
        <x:f>IF(AND('계산 과정'!$L$6,J1731&gt;0),'계산 과정'!$D$10*('계산 과정'!$C$39*(D1731-'계산 과정'!$C$32)+'계산 과정'!$D$39*(E1731-'계산 과정'!$D$32)-'계산 과정'!$E$39*'계산 과정'!$E$32)/J1731,"")</x:f>
        <x:v>-1.2094566531570141</x:v>
      </x:c>
      <x:c r="M1731" s="17" t="n">
        <x:f>IF('계산 과정'!$L$6,IF(J1731&lt;=0,0,IF(AND(ABS(K1731)&lt;='계산 과정'!$D$11/2,ABS(L1731)&lt;='계산 과정'!$D$12/2),1,0)),"")</x:f>
        <x:v>1</x:v>
      </x:c>
      <x:c r="N1731" s="17" t="n">
        <x:f>IF('계산 과정'!$C$78,IF(AND(ISNUMBER(H1731),ISNUMBER(I1731),ABS(H1731-'계산 과정'!$C$88)&lt;='계산 과정'!$D$23/2,ABS(I1731-'계산 과정'!$C$89)&lt;='계산 과정'!$D$24/2),1,0),"")</x:f>
        <x:v>1</x:v>
      </x:c>
      <x:c r="O1731" s="4" t="n">
        <x:f>IF('계산 과정'!$L$7,'계산 과정'!$C$49*('계산 과정'!$C$32-D1731)+'계산 과정'!$D$49*('계산 과정'!$D$32-E1731)+'계산 과정'!$E$49*'계산 과정'!$E$32,"")</x:f>
        <x:v>75.5463088481406</x:v>
      </x:c>
      <x:c r="P1731" s="4" t="n">
        <x:f>IF(AND('계산 과정'!$L$7,O1731&lt;&gt;0),('계산 과정'!$L$23-'계산 과정'!$C$49*D1731-'계산 과정'!$D$49*E1731)/O1731,"")</x:f>
        <x:v>6.294765635791152</x:v>
      </x:c>
      <x:c r="Q1731" s="4" t="str">
        <x:f>IF(AND(ISNUMBER(P1731),P1731&gt;1E-9,P1731&lt;1-1E-9),'계산 과정'!$C$47*(D1731-'계산 과정'!$C$50+P1731*('계산 과정'!$C$32-D1731))+'계산 과정'!$D$47*(E1731-'계산 과정'!$D$50+P1731*('계산 과정'!$D$32-E1731))+'계산 과정'!$E$47*(0-'계산 과정'!$E$50+P1731*('계산 과정'!$E$32-0)),"")</x:f>
      </x:c>
      <x:c r="R1731" s="4" t="str">
        <x:f>IF(AND(ISNUMBER(P1731),P1731&gt;1E-9,P1731&lt;1-1E-9),'계산 과정'!$C$48*(D1731-'계산 과정'!$C$50+P1731*('계산 과정'!$C$32-D1731))+'계산 과정'!$D$48*(E1731-'계산 과정'!$D$50+P1731*('계산 과정'!$D$32-E1731))+'계산 과정'!$E$48*(0-'계산 과정'!$E$50+P1731*('계산 과정'!$E$32-0)),"")</x:f>
      </x:c>
      <x:c r="S1731" s="17" t="n">
        <x:f>IF('계산 과정'!$C$78,IF(AND(ISNUMBER(Q1731),ISNUMBER(R1731),ABS(Q1731-'계산 과정'!$C$88)&lt;='계산 과정'!$D$23/2,ABS(R1731-'계산 과정'!$C$89)&lt;='계산 과정'!$D$24/2),1,0),"")</x:f>
        <x:v>0</x:v>
      </x:c>
      <x:c r="T1731" s="4"/>
      <x:c r="U1731" s="4"/>
      <x:c r="V1731" s="4"/>
      <x:c r="W1731" s="4"/>
      <x:c r="X1731" s="4"/>
      <x:c r="Y1731" s="4"/>
      <x:c r="Z1731" s="4"/>
    </x:row>
    <x:row r="1732" ht="23" customHeight="1">
      <x:c r="A1732" s="17" t="n">
        <x:f>ROW()-6</x:f>
        <x:v>1726</x:v>
      </x:c>
      <x:c r="B1732" s="4" t="n">
        <x:f>IF('계산 과정'!$L$5,'계산 과정'!$L$11*SQRT((A1732+0.5)/'계산 과정'!$L$30),"")</x:f>
        <x:v>137.7239830523809</x:v>
      </x:c>
      <x:c r="C1732" s="4" t="n">
        <x:f>A1732*PI()*(3-SQRT(5))</x:f>
        <x:v>4142.3365345116545</x:v>
      </x:c>
      <x:c r="D1732" s="4" t="n">
        <x:f>IF('계산 과정'!$L$5,B1732*COS(C1732),"")</x:f>
        <x:v>-20.120920879693745</x:v>
      </x:c>
      <x:c r="E1732" s="4" t="n">
        <x:f>IF('계산 과정'!$L$5,B1732*SIN(C1732),"")</x:f>
        <x:v>136.24626252035543</x:v>
      </x:c>
      <x:c r="F1732" s="4" t="n">
        <x:f>IF('계산 과정'!$L$7,'계산 과정'!$L$22+'계산 과정'!$C$49*D1732+'계산 과정'!$D$49*E1732,"")</x:f>
        <x:v>664.2276395977494</x:v>
      </x:c>
      <x:c r="G1732" s="4" t="n">
        <x:f>IF('계산 과정'!$L$7,IF(ABS(F1732)&gt;=1E-12*MAX(1,SQRT((D1732-'계산 과정'!$C$33)^2+(E1732-'계산 과정'!$D$33)^2+'계산 과정'!$E$33^2)),('계산 과정'!$L$23-'계산 과정'!$C$49*D1732-'계산 과정'!$D$49*E1732)/F1732,""),"")</x:f>
        <x:v>0.5807833601080964</x:v>
      </x:c>
      <x:c r="H1732" s="4" t="n">
        <x:f>IF(AND(ISNUMBER(G1732),G1732&gt;0),('계산 과정'!$D$56+'계산 과정'!$D$57*D1732+'계산 과정'!$D$58*E1732)/F1732,"")</x:f>
        <x:v>-22.490815929737483</x:v>
      </x:c>
      <x:c r="I1732" s="4" t="n">
        <x:f>IF(AND(ISNUMBER(G1732),G1732&gt;0),('계산 과정'!$E$56+'계산 과정'!$E$57*D1732+'계산 과정'!$E$58*E1732)/F1732,"")</x:f>
        <x:v>215.37582466909726</x:v>
      </x:c>
      <x:c r="J1732" s="4" t="n">
        <x:f>IF('계산 과정'!$L$5,'계산 과정'!$D$6+'계산 과정'!$C$35*D1732+'계산 과정'!$D$35*E1732,"")</x:f>
        <x:v>664.2276395977494</x:v>
      </x:c>
      <x:c r="K1732" s="4" t="n">
        <x:f>IF(AND('계산 과정'!$L$6,J1732&gt;0),'계산 과정'!$D$10*('계산 과정'!$C$38*(D1732-'계산 과정'!$C$32)+'계산 과정'!$D$38*(E1732-'계산 과정'!$D$32)-'계산 과정'!$E$38*'계산 과정'!$E$32)/J1732,"")</x:f>
        <x:v>-0.17135859755990362</x:v>
      </x:c>
      <x:c r="L1732" s="4" t="n">
        <x:f>IF(AND('계산 과정'!$L$6,J1732&gt;0),'계산 과정'!$D$10*('계산 과정'!$C$39*(D1732-'계산 과정'!$C$32)+'계산 과정'!$D$39*(E1732-'계산 과정'!$D$32)-'계산 과정'!$E$39*'계산 과정'!$E$32)/J1732,"")</x:f>
        <x:v>1.640958664145503</x:v>
      </x:c>
      <x:c r="M1732" s="17" t="n">
        <x:f>IF('계산 과정'!$L$6,IF(J1732&lt;=0,0,IF(AND(ABS(K1732)&lt;='계산 과정'!$D$11/2,ABS(L1732)&lt;='계산 과정'!$D$12/2),1,0)),"")</x:f>
        <x:v>1</x:v>
      </x:c>
      <x:c r="N1732" s="17" t="n">
        <x:f>IF('계산 과정'!$C$78,IF(AND(ISNUMBER(H1732),ISNUMBER(I1732),ABS(H1732-'계산 과정'!$C$88)&lt;='계산 과정'!$D$23/2,ABS(I1732-'계산 과정'!$C$89)&lt;='계산 과정'!$D$24/2),1,0),"")</x:f>
        <x:v>1</x:v>
      </x:c>
      <x:c r="O1732" s="4" t="n">
        <x:f>IF('계산 과정'!$L$7,'계산 과정'!$C$49*('계산 과정'!$C$32-D1732)+'계산 과정'!$D$49*('계산 과정'!$D$32-E1732)+'계산 과정'!$E$49*'계산 과정'!$E$32,"")</x:f>
        <x:v>-14.227639597749317</x:v>
      </x:c>
      <x:c r="P1732" s="4" t="n">
        <x:f>IF(AND('계산 과정'!$L$7,O1732&lt;&gt;0),('계산 과정'!$L$23-'계산 과정'!$C$49*D1732-'계산 과정'!$D$49*E1732)/O1732,"")</x:f>
        <x:v>-27.114291007432904</x:v>
      </x:c>
      <x:c r="Q1732" s="4" t="str">
        <x:f>IF(AND(ISNUMBER(P1732),P1732&gt;1E-9,P1732&lt;1-1E-9),'계산 과정'!$C$47*(D1732-'계산 과정'!$C$50+P1732*('계산 과정'!$C$32-D1732))+'계산 과정'!$D$47*(E1732-'계산 과정'!$D$50+P1732*('계산 과정'!$D$32-E1732))+'계산 과정'!$E$47*(0-'계산 과정'!$E$50+P1732*('계산 과정'!$E$32-0)),"")</x:f>
      </x:c>
      <x:c r="R1732" s="4" t="str">
        <x:f>IF(AND(ISNUMBER(P1732),P1732&gt;1E-9,P1732&lt;1-1E-9),'계산 과정'!$C$48*(D1732-'계산 과정'!$C$50+P1732*('계산 과정'!$C$32-D1732))+'계산 과정'!$D$48*(E1732-'계산 과정'!$D$50+P1732*('계산 과정'!$D$32-E1732))+'계산 과정'!$E$48*(0-'계산 과정'!$E$50+P1732*('계산 과정'!$E$32-0)),"")</x:f>
      </x:c>
      <x:c r="S1732" s="17" t="n">
        <x:f>IF('계산 과정'!$C$78,IF(AND(ISNUMBER(Q1732),ISNUMBER(R1732),ABS(Q1732-'계산 과정'!$C$88)&lt;='계산 과정'!$D$23/2,ABS(R1732-'계산 과정'!$C$89)&lt;='계산 과정'!$D$24/2),1,0),"")</x:f>
        <x:v>0</x:v>
      </x:c>
      <x:c r="T1732" s="4"/>
      <x:c r="U1732" s="4"/>
      <x:c r="V1732" s="4"/>
      <x:c r="W1732" s="4"/>
      <x:c r="X1732" s="4"/>
      <x:c r="Y1732" s="4"/>
      <x:c r="Z1732" s="4"/>
    </x:row>
    <x:row r="1733" ht="23" customHeight="1">
      <x:c r="A1733" s="17" t="n">
        <x:f>ROW()-6</x:f>
        <x:v>1727</x:v>
      </x:c>
      <x:c r="B1733" s="4" t="n">
        <x:f>IF('계산 과정'!$L$5,'계산 과정'!$L$11*SQRT((A1733+0.5)/'계산 과정'!$L$30),"")</x:f>
        <x:v>137.76386259080246</x:v>
      </x:c>
      <x:c r="C1733" s="4" t="n">
        <x:f>A1733*PI()*(3-SQRT(5))</x:f>
        <x:v>4144.736497741384</x:v>
      </x:c>
      <x:c r="D1733" s="4" t="n">
        <x:f>IF('계산 과정'!$L$5,B1733*COS(C1733),"")</x:f>
        <x:v>-77.21884022365147</x:v>
      </x:c>
      <x:c r="E1733" s="4" t="n">
        <x:f>IF('계산 과정'!$L$5,B1733*SIN(C1733),"")</x:f>
        <x:v>-114.0882664889413</x:v>
      </x:c>
      <x:c r="F1733" s="4" t="n">
        <x:f>IF('계산 과정'!$L$7,'계산 과정'!$L$22+'계산 과정'!$C$49*D1733+'계산 과정'!$D$49*E1733,"")</x:f>
        <x:v>704.6019655575045</x:v>
      </x:c>
      <x:c r="G1733" s="4" t="n">
        <x:f>IF('계산 과정'!$L$7,IF(ABS(F1733)&gt;=1E-12*MAX(1,SQRT((D1733-'계산 과정'!$C$33)^2+(E1733-'계산 과정'!$D$33)^2+'계산 과정'!$E$33^2)),('계산 과정'!$L$23-'계산 과정'!$C$49*D1733-'계산 과정'!$D$49*E1733)/F1733,""),"")</x:f>
        <x:v>0.4902030526826661</x:v>
      </x:c>
      <x:c r="H1733" s="4" t="n">
        <x:f>IF(AND(ISNUMBER(G1733),G1733&gt;0),('계산 과정'!$D$56+'계산 과정'!$D$57*D1733+'계산 과정'!$D$58*E1733)/F1733,"")</x:f>
        <x:v>-81.36801575626711</x:v>
      </x:c>
      <x:c r="I1733" s="4" t="n">
        <x:f>IF(AND(ISNUMBER(G1733),G1733&gt;0),('계산 과정'!$E$56+'계산 과정'!$E$57*D1733+'계산 과정'!$E$58*E1733)/F1733,"")</x:f>
        <x:v>-170.01468299709384</x:v>
      </x:c>
      <x:c r="J1733" s="4" t="n">
        <x:f>IF('계산 과정'!$L$5,'계산 과정'!$D$6+'계산 과정'!$C$35*D1733+'계산 과정'!$D$35*E1733,"")</x:f>
        <x:v>704.6019655575045</x:v>
      </x:c>
      <x:c r="K1733" s="4" t="n">
        <x:f>IF(AND('계산 과정'!$L$6,J1733&gt;0),'계산 과정'!$D$10*('계산 과정'!$C$38*(D1733-'계산 과정'!$C$32)+'계산 과정'!$D$38*(E1733-'계산 과정'!$D$32)-'계산 과정'!$E$38*'계산 과정'!$E$32)/J1733,"")</x:f>
        <x:v>-0.6199467867144147</x:v>
      </x:c>
      <x:c r="L1733" s="4" t="n">
        <x:f>IF(AND('계산 과정'!$L$6,J1733&gt;0),'계산 과정'!$D$10*('계산 과정'!$C$39*(D1733-'계산 과정'!$C$32)+'계산 과정'!$D$39*(E1733-'계산 과정'!$D$32)-'계산 과정'!$E$39*'계산 과정'!$E$32)/J1733,"")</x:f>
        <x:v>-1.2953499656921437</x:v>
      </x:c>
      <x:c r="M1733" s="17" t="n">
        <x:f>IF('계산 과정'!$L$6,IF(J1733&lt;=0,0,IF(AND(ABS(K1733)&lt;='계산 과정'!$D$11/2,ABS(L1733)&lt;='계산 과정'!$D$12/2),1,0)),"")</x:f>
        <x:v>1</x:v>
      </x:c>
      <x:c r="N1733" s="17" t="n">
        <x:f>IF('계산 과정'!$C$78,IF(AND(ISNUMBER(H1733),ISNUMBER(I1733),ABS(H1733-'계산 과정'!$C$88)&lt;='계산 과정'!$D$23/2,ABS(I1733-'계산 과정'!$C$89)&lt;='계산 과정'!$D$24/2),1,0),"")</x:f>
        <x:v>1</x:v>
      </x:c>
      <x:c r="O1733" s="4" t="n">
        <x:f>IF('계산 과정'!$L$7,'계산 과정'!$C$49*('계산 과정'!$C$32-D1733)+'계산 과정'!$D$49*('계산 과정'!$D$32-E1733)+'계산 과정'!$E$49*'계산 과정'!$E$32,"")</x:f>
        <x:v>-54.60196555750434</x:v>
      </x:c>
      <x:c r="P1733" s="4" t="n">
        <x:f>IF(AND('계산 과정'!$L$7,O1733&lt;&gt;0),('계산 과정'!$L$23-'계산 과정'!$C$49*D1733-'계산 과정'!$D$49*E1733)/O1733,"")</x:f>
        <x:v>-6.325743604939236</x:v>
      </x:c>
      <x:c r="Q1733" s="4" t="str">
        <x:f>IF(AND(ISNUMBER(P1733),P1733&gt;1E-9,P1733&lt;1-1E-9),'계산 과정'!$C$47*(D1733-'계산 과정'!$C$50+P1733*('계산 과정'!$C$32-D1733))+'계산 과정'!$D$47*(E1733-'계산 과정'!$D$50+P1733*('계산 과정'!$D$32-E1733))+'계산 과정'!$E$47*(0-'계산 과정'!$E$50+P1733*('계산 과정'!$E$32-0)),"")</x:f>
      </x:c>
      <x:c r="R1733" s="4" t="str">
        <x:f>IF(AND(ISNUMBER(P1733),P1733&gt;1E-9,P1733&lt;1-1E-9),'계산 과정'!$C$48*(D1733-'계산 과정'!$C$50+P1733*('계산 과정'!$C$32-D1733))+'계산 과정'!$D$48*(E1733-'계산 과정'!$D$50+P1733*('계산 과정'!$D$32-E1733))+'계산 과정'!$E$48*(0-'계산 과정'!$E$50+P1733*('계산 과정'!$E$32-0)),"")</x:f>
      </x:c>
      <x:c r="S1733" s="17" t="n">
        <x:f>IF('계산 과정'!$C$78,IF(AND(ISNUMBER(Q1733),ISNUMBER(R1733),ABS(Q1733-'계산 과정'!$C$88)&lt;='계산 과정'!$D$23/2,ABS(R1733-'계산 과정'!$C$89)&lt;='계산 과정'!$D$24/2),1,0),"")</x:f>
        <x:v>0</x:v>
      </x:c>
      <x:c r="T1733" s="4"/>
      <x:c r="U1733" s="4"/>
      <x:c r="V1733" s="4"/>
      <x:c r="W1733" s="4"/>
      <x:c r="X1733" s="4"/>
      <x:c r="Y1733" s="4"/>
      <x:c r="Z1733" s="4"/>
    </x:row>
    <x:row r="1734" ht="23" customHeight="1">
      <x:c r="A1734" s="17" t="n">
        <x:f>ROW()-6</x:f>
        <x:v>1728</x:v>
      </x:c>
      <x:c r="B1734" s="4" t="n">
        <x:f>IF('계산 과정'!$L$5,'계산 과정'!$L$11*SQRT((A1734+0.5)/'계산 과정'!$L$30),"")</x:f>
        <x:v>137.8037305883353</x:v>
      </x:c>
      <x:c r="C1734" s="4" t="n">
        <x:f>A1734*PI()*(3-SQRT(5))</x:f>
        <x:v>4147.136460971112</x:v>
      </x:c>
      <x:c r="D1734" s="4" t="n">
        <x:f>IF('계산 과정'!$L$5,B1734*COS(C1734),"")</x:f>
        <x:v>134.0430662843761</x:v>
      </x:c>
      <x:c r="E1734" s="4" t="n">
        <x:f>IF('계산 과정'!$L$5,B1734*SIN(C1734),"")</x:f>
        <x:v>31.973810300695362</x:v>
      </x:c>
      <x:c r="F1734" s="4" t="n">
        <x:f>IF('계산 과정'!$L$7,'계산 과정'!$L$22+'계산 과정'!$C$49*D1734+'계산 과정'!$D$49*E1734,"")</x:f>
        <x:v>555.2172388592797</x:v>
      </x:c>
      <x:c r="G1734" s="4" t="n">
        <x:f>IF('계산 과정'!$L$7,IF(ABS(F1734)&gt;=1E-12*MAX(1,SQRT((D1734-'계산 과정'!$C$33)^2+(E1734-'계산 과정'!$D$33)^2+'계산 과정'!$E$33^2)),('계산 과정'!$L$23-'계산 과정'!$C$49*D1734-'계산 과정'!$D$49*E1734)/F1734,""),"")</x:f>
        <x:v>0.8911516547239688</x:v>
      </x:c>
      <x:c r="H1734" s="4" t="n">
        <x:f>IF(AND(ISNUMBER(G1734),G1734&gt;0),('계산 과정'!$D$56+'계산 과정'!$D$57*D1734+'계산 과정'!$D$58*E1734)/F1734,"")</x:f>
        <x:v>179.24857557057965</x:v>
      </x:c>
      <x:c r="I1734" s="4" t="n">
        <x:f>IF(AND(ISNUMBER(G1734),G1734&gt;0),('계산 과정'!$E$56+'계산 과정'!$E$57*D1734+'계산 과정'!$E$58*E1734)/F1734,"")</x:f>
        <x:v>60.46732425799031</x:v>
      </x:c>
      <x:c r="J1734" s="4" t="n">
        <x:f>IF('계산 과정'!$L$5,'계산 과정'!$D$6+'계산 과정'!$C$35*D1734+'계산 과정'!$D$35*E1734,"")</x:f>
        <x:v>555.2172388592797</x:v>
      </x:c>
      <x:c r="K1734" s="4" t="n">
        <x:f>IF(AND('계산 과정'!$L$6,J1734&gt;0),'계산 과정'!$D$10*('계산 과정'!$C$38*(D1734-'계산 과정'!$C$32)+'계산 과정'!$D$38*(E1734-'계산 과정'!$D$32)-'계산 과정'!$E$38*'계산 과정'!$E$32)/J1734,"")</x:f>
        <x:v>1.365703432918703</x:v>
      </x:c>
      <x:c r="L1734" s="4" t="n">
        <x:f>IF(AND('계산 과정'!$L$6,J1734&gt;0),'계산 과정'!$D$10*('계산 과정'!$C$39*(D1734-'계산 과정'!$C$32)+'계산 과정'!$D$39*(E1734-'계산 과정'!$D$32)-'계산 과정'!$E$39*'계산 과정'!$E$32)/J1734,"")</x:f>
        <x:v>0.46070342291802147</x:v>
      </x:c>
      <x:c r="M1734" s="17" t="n">
        <x:f>IF('계산 과정'!$L$6,IF(J1734&lt;=0,0,IF(AND(ABS(K1734)&lt;='계산 과정'!$D$11/2,ABS(L1734)&lt;='계산 과정'!$D$12/2),1,0)),"")</x:f>
        <x:v>1</x:v>
      </x:c>
      <x:c r="N1734" s="17" t="n">
        <x:f>IF('계산 과정'!$C$78,IF(AND(ISNUMBER(H1734),ISNUMBER(I1734),ABS(H1734-'계산 과정'!$C$88)&lt;='계산 과정'!$D$23/2,ABS(I1734-'계산 과정'!$C$89)&lt;='계산 과정'!$D$24/2),1,0),"")</x:f>
        <x:v>1</x:v>
      </x:c>
      <x:c r="O1734" s="4" t="n">
        <x:f>IF('계산 과정'!$L$7,'계산 과정'!$C$49*('계산 과정'!$C$32-D1734)+'계산 과정'!$D$49*('계산 과정'!$D$32-E1734)+'계산 과정'!$E$49*'계산 과정'!$E$32,"")</x:f>
        <x:v>94.78276114072031</x:v>
      </x:c>
      <x:c r="P1734" s="4" t="n">
        <x:f>IF(AND('계산 과정'!$L$7,O1734&lt;&gt;0),('계산 과정'!$L$23-'계산 과정'!$C$49*D1734-'계산 과정'!$D$49*E1734)/O1734,"")</x:f>
        <x:v>5.220176698652356</x:v>
      </x:c>
      <x:c r="Q1734" s="4" t="str">
        <x:f>IF(AND(ISNUMBER(P1734),P1734&gt;1E-9,P1734&lt;1-1E-9),'계산 과정'!$C$47*(D1734-'계산 과정'!$C$50+P1734*('계산 과정'!$C$32-D1734))+'계산 과정'!$D$47*(E1734-'계산 과정'!$D$50+P1734*('계산 과정'!$D$32-E1734))+'계산 과정'!$E$47*(0-'계산 과정'!$E$50+P1734*('계산 과정'!$E$32-0)),"")</x:f>
      </x:c>
      <x:c r="R1734" s="4" t="str">
        <x:f>IF(AND(ISNUMBER(P1734),P1734&gt;1E-9,P1734&lt;1-1E-9),'계산 과정'!$C$48*(D1734-'계산 과정'!$C$50+P1734*('계산 과정'!$C$32-D1734))+'계산 과정'!$D$48*(E1734-'계산 과정'!$D$50+P1734*('계산 과정'!$D$32-E1734))+'계산 과정'!$E$48*(0-'계산 과정'!$E$50+P1734*('계산 과정'!$E$32-0)),"")</x:f>
      </x:c>
      <x:c r="S1734" s="17" t="n">
        <x:f>IF('계산 과정'!$C$78,IF(AND(ISNUMBER(Q1734),ISNUMBER(R1734),ABS(Q1734-'계산 과정'!$C$88)&lt;='계산 과정'!$D$23/2,ABS(R1734-'계산 과정'!$C$89)&lt;='계산 과정'!$D$24/2),1,0),"")</x:f>
        <x:v>0</x:v>
      </x:c>
      <x:c r="T1734" s="4"/>
      <x:c r="U1734" s="4"/>
      <x:c r="V1734" s="4"/>
      <x:c r="W1734" s="4"/>
      <x:c r="X1734" s="4"/>
      <x:c r="Y1734" s="4"/>
      <x:c r="Z1734" s="4"/>
    </x:row>
    <x:row r="1735" ht="23" customHeight="1">
      <x:c r="A1735" s="17" t="n">
        <x:f>ROW()-6</x:f>
        <x:v>1729</x:v>
      </x:c>
      <x:c r="B1735" s="4" t="n">
        <x:f>IF('계산 과정'!$L$5,'계산 과정'!$L$11*SQRT((A1735+0.5)/'계산 과정'!$L$30),"")</x:f>
        <x:v>137.84358705499324</x:v>
      </x:c>
      <x:c r="C1735" s="4" t="n">
        <x:f>A1735*PI()*(3-SQRT(5))</x:f>
        <x:v>4149.536424200841</x:v>
      </x:c>
      <x:c r="D1735" s="4" t="n">
        <x:f>IF('계산 과정'!$L$5,B1735*COS(C1735),"")</x:f>
        <x:v>-120.47201753317626</x:v>
      </x:c>
      <x:c r="E1735" s="4" t="n">
        <x:f>IF('계산 과정'!$L$5,B1735*SIN(C1735),"")</x:f>
        <x:v>66.98766665344876</x:v>
      </x:c>
      <x:c r="F1735" s="4" t="n">
        <x:f>IF('계산 과정'!$L$7,'계산 과정'!$L$22+'계산 과정'!$C$49*D1735+'계산 과정'!$D$49*E1735,"")</x:f>
        <x:v>735.1865805409336</x:v>
      </x:c>
      <x:c r="G1735" s="4" t="n">
        <x:f>IF('계산 과정'!$L$7,IF(ABS(F1735)&gt;=1E-12*MAX(1,SQRT((D1735-'계산 과정'!$C$33)^2+(E1735-'계산 과정'!$D$33)^2+'계산 과정'!$E$33^2)),('계산 과정'!$L$23-'계산 과정'!$C$49*D1735-'계산 과정'!$D$49*E1735)/F1735,""),"")</x:f>
        <x:v>0.4282088762113066</x:v>
      </x:c>
      <x:c r="H1735" s="4" t="n">
        <x:f>IF(AND(ISNUMBER(G1735),G1735&gt;0),('계산 과정'!$D$56+'계산 과정'!$D$57*D1735+'계산 과정'!$D$58*E1735)/F1735,"")</x:f>
        <x:v>-121.66423046265083</x:v>
      </x:c>
      <x:c r="I1735" s="4" t="n">
        <x:f>IF(AND(ISNUMBER(G1735),G1735&gt;0),('계산 과정'!$E$56+'계산 과정'!$E$57*D1735+'계산 과정'!$E$58*E1735)/F1735,"")</x:f>
        <x:v>95.67238011113965</x:v>
      </x:c>
      <x:c r="J1735" s="4" t="n">
        <x:f>IF('계산 과정'!$L$5,'계산 과정'!$D$6+'계산 과정'!$C$35*D1735+'계산 과정'!$D$35*E1735,"")</x:f>
        <x:v>735.1865805409336</x:v>
      </x:c>
      <x:c r="K1735" s="4" t="n">
        <x:f>IF(AND('계산 과정'!$L$6,J1735&gt;0),'계산 과정'!$D$10*('계산 과정'!$C$38*(D1735-'계산 과정'!$C$32)+'계산 과정'!$D$38*(E1735-'계산 과정'!$D$32)-'계산 과정'!$E$38*'계산 과정'!$E$32)/J1735,"")</x:f>
        <x:v>-0.9269655654297194</x:v>
      </x:c>
      <x:c r="L1735" s="4" t="n">
        <x:f>IF(AND('계산 과정'!$L$6,J1735&gt;0),'계산 과정'!$D$10*('계산 과정'!$C$39*(D1735-'계산 과정'!$C$32)+'계산 과정'!$D$39*(E1735-'계산 과정'!$D$32)-'계산 과정'!$E$39*'계산 과정'!$E$32)/J1735,"")</x:f>
        <x:v>0.7289324198943974</x:v>
      </x:c>
      <x:c r="M1735" s="17" t="n">
        <x:f>IF('계산 과정'!$L$6,IF(J1735&lt;=0,0,IF(AND(ABS(K1735)&lt;='계산 과정'!$D$11/2,ABS(L1735)&lt;='계산 과정'!$D$12/2),1,0)),"")</x:f>
        <x:v>1</x:v>
      </x:c>
      <x:c r="N1735" s="17" t="n">
        <x:f>IF('계산 과정'!$C$78,IF(AND(ISNUMBER(H1735),ISNUMBER(I1735),ABS(H1735-'계산 과정'!$C$88)&lt;='계산 과정'!$D$23/2,ABS(I1735-'계산 과정'!$C$89)&lt;='계산 과정'!$D$24/2),1,0),"")</x:f>
        <x:v>1</x:v>
      </x:c>
      <x:c r="O1735" s="4" t="n">
        <x:f>IF('계산 과정'!$L$7,'계산 과정'!$C$49*('계산 과정'!$C$32-D1735)+'계산 과정'!$D$49*('계산 과정'!$D$32-E1735)+'계산 과정'!$E$49*'계산 과정'!$E$32,"")</x:f>
        <x:v>-85.18658054093339</x:v>
      </x:c>
      <x:c r="P1735" s="4" t="n">
        <x:f>IF(AND('계산 과정'!$L$7,O1735&lt;&gt;0),('계산 과정'!$L$23-'계산 과정'!$C$49*D1735-'계산 과정'!$D$49*E1735)/O1735,"")</x:f>
        <x:v>-3.6955752591547446</x:v>
      </x:c>
      <x:c r="Q1735" s="4" t="str">
        <x:f>IF(AND(ISNUMBER(P1735),P1735&gt;1E-9,P1735&lt;1-1E-9),'계산 과정'!$C$47*(D1735-'계산 과정'!$C$50+P1735*('계산 과정'!$C$32-D1735))+'계산 과정'!$D$47*(E1735-'계산 과정'!$D$50+P1735*('계산 과정'!$D$32-E1735))+'계산 과정'!$E$47*(0-'계산 과정'!$E$50+P1735*('계산 과정'!$E$32-0)),"")</x:f>
      </x:c>
      <x:c r="R1735" s="4" t="str">
        <x:f>IF(AND(ISNUMBER(P1735),P1735&gt;1E-9,P1735&lt;1-1E-9),'계산 과정'!$C$48*(D1735-'계산 과정'!$C$50+P1735*('계산 과정'!$C$32-D1735))+'계산 과정'!$D$48*(E1735-'계산 과정'!$D$50+P1735*('계산 과정'!$D$32-E1735))+'계산 과정'!$E$48*(0-'계산 과정'!$E$50+P1735*('계산 과정'!$E$32-0)),"")</x:f>
      </x:c>
      <x:c r="S1735" s="17" t="n">
        <x:f>IF('계산 과정'!$C$78,IF(AND(ISNUMBER(Q1735),ISNUMBER(R1735),ABS(Q1735-'계산 과정'!$C$88)&lt;='계산 과정'!$D$23/2,ABS(R1735-'계산 과정'!$C$89)&lt;='계산 과정'!$D$24/2),1,0),"")</x:f>
        <x:v>0</x:v>
      </x:c>
      <x:c r="T1735" s="4"/>
      <x:c r="U1735" s="4"/>
      <x:c r="V1735" s="4"/>
      <x:c r="W1735" s="4"/>
      <x:c r="X1735" s="4"/>
      <x:c r="Y1735" s="4"/>
      <x:c r="Z1735" s="4"/>
    </x:row>
    <x:row r="1736" ht="23" customHeight="1">
      <x:c r="A1736" s="17" t="n">
        <x:f>ROW()-6</x:f>
        <x:v>1730</x:v>
      </x:c>
      <x:c r="B1736" s="4" t="n">
        <x:f>IF('계산 과정'!$L$5,'계산 과정'!$L$11*SQRT((A1736+0.5)/'계산 과정'!$L$30),"")</x:f>
        <x:v>137.88343200077557</x:v>
      </x:c>
      <x:c r="C1736" s="4" t="n">
        <x:f>A1736*PI()*(3-SQRT(5))</x:f>
        <x:v>4151.93638743057</x:v>
      </x:c>
      <x:c r="D1736" s="4" t="n">
        <x:f>IF('계산 과정'!$L$5,B1736*COS(C1736),"")</x:f>
        <x:v>43.59539575380311</x:v>
      </x:c>
      <x:c r="E1736" s="4" t="n">
        <x:f>IF('계산 과정'!$L$5,B1736*SIN(C1736),"")</x:f>
        <x:v>-130.81010010462413</x:v>
      </x:c>
      <x:c r="F1736" s="4" t="n">
        <x:f>IF('계산 과정'!$L$7,'계산 과정'!$L$22+'계산 과정'!$C$49*D1736+'계산 과정'!$D$49*E1736,"")</x:f>
        <x:v>619.1734000339746</x:v>
      </x:c>
      <x:c r="G1736" s="4" t="n">
        <x:f>IF('계산 과정'!$L$7,IF(ABS(F1736)&gt;=1E-12*MAX(1,SQRT((D1736-'계산 과정'!$C$33)^2+(E1736-'계산 과정'!$D$33)^2+'계산 과정'!$E$33^2)),('계산 과정'!$L$23-'계산 과정'!$C$49*D1736-'계산 과정'!$D$49*E1736)/F1736,""),"")</x:f>
        <x:v>0.6958092837037017</x:v>
      </x:c>
      <x:c r="H1736" s="4" t="n">
        <x:f>IF(AND(ISNUMBER(G1736),G1736&gt;0),('계산 과정'!$D$56+'계산 과정'!$D$57*D1736+'계산 과정'!$D$58*E1736)/F1736,"")</x:f>
        <x:v>52.27603440740598</x:v>
      </x:c>
      <x:c r="I1736" s="4" t="n">
        <x:f>IF(AND(ISNUMBER(G1736),G1736&gt;0),('계산 과정'!$E$56+'계산 과정'!$E$57*D1736+'계산 과정'!$E$58*E1736)/F1736,"")</x:f>
        <x:v>-221.82898215963212</x:v>
      </x:c>
      <x:c r="J1736" s="4" t="n">
        <x:f>IF('계산 과정'!$L$5,'계산 과정'!$D$6+'계산 과정'!$C$35*D1736+'계산 과정'!$D$35*E1736,"")</x:f>
        <x:v>619.1734000339746</x:v>
      </x:c>
      <x:c r="K1736" s="4" t="n">
        <x:f>IF(AND('계산 과정'!$L$6,J1736&gt;0),'계산 과정'!$D$10*('계산 과정'!$C$38*(D1736-'계산 과정'!$C$32)+'계산 과정'!$D$38*(E1736-'계산 과정'!$D$32)-'계산 과정'!$E$38*'계산 과정'!$E$32)/J1736,"")</x:f>
        <x:v>0.3982935954849989</x:v>
      </x:c>
      <x:c r="L1736" s="4" t="n">
        <x:f>IF(AND('계산 과정'!$L$6,J1736&gt;0),'계산 과정'!$D$10*('계산 과정'!$C$39*(D1736-'계산 과정'!$C$32)+'계산 과정'!$D$39*(E1736-'계산 과정'!$D$32)-'계산 과정'!$E$39*'계산 과정'!$E$32)/J1736,"")</x:f>
        <x:v>-1.690125578359102</x:v>
      </x:c>
      <x:c r="M1736" s="17" t="n">
        <x:f>IF('계산 과정'!$L$6,IF(J1736&lt;=0,0,IF(AND(ABS(K1736)&lt;='계산 과정'!$D$11/2,ABS(L1736)&lt;='계산 과정'!$D$12/2),1,0)),"")</x:f>
        <x:v>1</x:v>
      </x:c>
      <x:c r="N1736" s="17" t="n">
        <x:f>IF('계산 과정'!$C$78,IF(AND(ISNUMBER(H1736),ISNUMBER(I1736),ABS(H1736-'계산 과정'!$C$88)&lt;='계산 과정'!$D$23/2,ABS(I1736-'계산 과정'!$C$89)&lt;='계산 과정'!$D$24/2),1,0),"")</x:f>
        <x:v>1</x:v>
      </x:c>
      <x:c r="O1736" s="4" t="n">
        <x:f>IF('계산 과정'!$L$7,'계산 과정'!$C$49*('계산 과정'!$C$32-D1736)+'계산 과정'!$D$49*('계산 과정'!$D$32-E1736)+'계산 과정'!$E$49*'계산 과정'!$E$32,"")</x:f>
        <x:v>30.826599966025526</x:v>
      </x:c>
      <x:c r="P1736" s="4" t="n">
        <x:f>IF(AND('계산 과정'!$L$7,O1736&lt;&gt;0),('계산 과정'!$L$23-'계산 과정'!$C$49*D1736-'계산 과정'!$D$49*E1736)/O1736,"")</x:f>
        <x:v>13.975806622879139</x:v>
      </x:c>
      <x:c r="Q1736" s="4" t="str">
        <x:f>IF(AND(ISNUMBER(P1736),P1736&gt;1E-9,P1736&lt;1-1E-9),'계산 과정'!$C$47*(D1736-'계산 과정'!$C$50+P1736*('계산 과정'!$C$32-D1736))+'계산 과정'!$D$47*(E1736-'계산 과정'!$D$50+P1736*('계산 과정'!$D$32-E1736))+'계산 과정'!$E$47*(0-'계산 과정'!$E$50+P1736*('계산 과정'!$E$32-0)),"")</x:f>
      </x:c>
      <x:c r="R1736" s="4" t="str">
        <x:f>IF(AND(ISNUMBER(P1736),P1736&gt;1E-9,P1736&lt;1-1E-9),'계산 과정'!$C$48*(D1736-'계산 과정'!$C$50+P1736*('계산 과정'!$C$32-D1736))+'계산 과정'!$D$48*(E1736-'계산 과정'!$D$50+P1736*('계산 과정'!$D$32-E1736))+'계산 과정'!$E$48*(0-'계산 과정'!$E$50+P1736*('계산 과정'!$E$32-0)),"")</x:f>
      </x:c>
      <x:c r="S1736" s="17" t="n">
        <x:f>IF('계산 과정'!$C$78,IF(AND(ISNUMBER(Q1736),ISNUMBER(R1736),ABS(Q1736-'계산 과정'!$C$88)&lt;='계산 과정'!$D$23/2,ABS(R1736-'계산 과정'!$C$89)&lt;='계산 과정'!$D$24/2),1,0),"")</x:f>
        <x:v>0</x:v>
      </x:c>
      <x:c r="T1736" s="4"/>
      <x:c r="U1736" s="4"/>
      <x:c r="V1736" s="4"/>
      <x:c r="W1736" s="4"/>
      <x:c r="X1736" s="4"/>
      <x:c r="Y1736" s="4"/>
      <x:c r="Z1736" s="4"/>
    </x:row>
    <x:row r="1737" ht="23" customHeight="1">
      <x:c r="A1737" s="17" t="n">
        <x:f>ROW()-6</x:f>
        <x:v>1731</x:v>
      </x:c>
      <x:c r="B1737" s="4" t="n">
        <x:f>IF('계산 과정'!$L$5,'계산 과정'!$L$11*SQRT((A1737+0.5)/'계산 과정'!$L$30),"")</x:f>
        <x:v>137.92326543566716</x:v>
      </x:c>
      <x:c r="C1737" s="4" t="n">
        <x:f>A1737*PI()*(3-SQRT(5))</x:f>
        <x:v>4154.336350660298</x:v>
      </x:c>
      <x:c r="D1737" s="4" t="n">
        <x:f>IF('계산 과정'!$L$5,B1737*COS(C1737),"")</x:f>
        <x:v>56.23130504418487</x:v>
      </x:c>
      <x:c r="E1737" s="4" t="n">
        <x:f>IF('계산 과정'!$L$5,B1737*SIN(C1737),"")</x:f>
        <x:v>125.93993600707176</x:v>
      </x:c>
      <x:c r="F1737" s="4" t="n">
        <x:f>IF('계산 과정'!$L$7,'계산 과정'!$L$22+'계산 과정'!$C$49*D1737+'계산 과정'!$D$49*E1737,"")</x:f>
        <x:v>610.2384628882876</x:v>
      </x:c>
      <x:c r="G1737" s="4" t="n">
        <x:f>IF('계산 과정'!$L$7,IF(ABS(F1737)&gt;=1E-12*MAX(1,SQRT((D1737-'계산 과정'!$C$33)^2+(E1737-'계산 과정'!$D$33)^2+'계산 과정'!$E$33^2)),('계산 과정'!$L$23-'계산 과정'!$C$49*D1737-'계산 과정'!$D$49*E1737)/F1737,""),"")</x:f>
        <x:v>0.720638838512899</x:v>
      </x:c>
      <x:c r="H1737" s="4" t="n">
        <x:f>IF(AND(ISNUMBER(G1737),G1737&gt;0),('계산 과정'!$D$56+'계산 과정'!$D$57*D1737+'계산 과정'!$D$58*E1737)/F1737,"")</x:f>
        <x:v>68.41524503338432</x:v>
      </x:c>
      <x:c r="I1737" s="4" t="n">
        <x:f>IF(AND(ISNUMBER(G1737),G1737&gt;0),('계산 과정'!$E$56+'계산 과정'!$E$57*D1737+'계산 과정'!$E$58*E1737)/F1737,"")</x:f>
        <x:v>216.6971452135968</x:v>
      </x:c>
      <x:c r="J1737" s="4" t="n">
        <x:f>IF('계산 과정'!$L$5,'계산 과정'!$D$6+'계산 과정'!$C$35*D1737+'계산 과정'!$D$35*E1737,"")</x:f>
        <x:v>610.2384628882876</x:v>
      </x:c>
      <x:c r="K1737" s="4" t="n">
        <x:f>IF(AND('계산 과정'!$L$6,J1737&gt;0),'계산 과정'!$D$10*('계산 과정'!$C$38*(D1737-'계산 과정'!$C$32)+'계산 과정'!$D$38*(E1737-'계산 과정'!$D$32)-'계산 과정'!$E$38*'계산 과정'!$E$32)/J1737,"")</x:f>
        <x:v>0.5212590097781667</x:v>
      </x:c>
      <x:c r="L1737" s="4" t="n">
        <x:f>IF(AND('계산 과정'!$L$6,J1737&gt;0),'계산 과정'!$D$10*('계산 과정'!$C$39*(D1737-'계산 과정'!$C$32)+'계산 과정'!$D$39*(E1737-'계산 과정'!$D$32)-'계산 과정'!$E$39*'계산 과정'!$E$32)/J1737,"")</x:f>
        <x:v>1.6510258682940708</x:v>
      </x:c>
      <x:c r="M1737" s="17" t="n">
        <x:f>IF('계산 과정'!$L$6,IF(J1737&lt;=0,0,IF(AND(ABS(K1737)&lt;='계산 과정'!$D$11/2,ABS(L1737)&lt;='계산 과정'!$D$12/2),1,0)),"")</x:f>
        <x:v>1</x:v>
      </x:c>
      <x:c r="N1737" s="17" t="n">
        <x:f>IF('계산 과정'!$C$78,IF(AND(ISNUMBER(H1737),ISNUMBER(I1737),ABS(H1737-'계산 과정'!$C$88)&lt;='계산 과정'!$D$23/2,ABS(I1737-'계산 과정'!$C$89)&lt;='계산 과정'!$D$24/2),1,0),"")</x:f>
        <x:v>1</x:v>
      </x:c>
      <x:c r="O1737" s="4" t="n">
        <x:f>IF('계산 과정'!$L$7,'계산 과정'!$C$49*('계산 과정'!$C$32-D1737)+'계산 과정'!$D$49*('계산 과정'!$D$32-E1737)+'계산 과정'!$E$49*'계산 과정'!$E$32,"")</x:f>
        <x:v>39.76153711171253</x:v>
      </x:c>
      <x:c r="P1737" s="4" t="n">
        <x:f>IF(AND('계산 과정'!$L$7,O1737&lt;&gt;0),('계산 과정'!$L$23-'계산 과정'!$C$49*D1737-'계산 과정'!$D$49*E1737)/O1737,"")</x:f>
        <x:v>11.059973256973814</x:v>
      </x:c>
      <x:c r="Q1737" s="4" t="str">
        <x:f>IF(AND(ISNUMBER(P1737),P1737&gt;1E-9,P1737&lt;1-1E-9),'계산 과정'!$C$47*(D1737-'계산 과정'!$C$50+P1737*('계산 과정'!$C$32-D1737))+'계산 과정'!$D$47*(E1737-'계산 과정'!$D$50+P1737*('계산 과정'!$D$32-E1737))+'계산 과정'!$E$47*(0-'계산 과정'!$E$50+P1737*('계산 과정'!$E$32-0)),"")</x:f>
      </x:c>
      <x:c r="R1737" s="4" t="str">
        <x:f>IF(AND(ISNUMBER(P1737),P1737&gt;1E-9,P1737&lt;1-1E-9),'계산 과정'!$C$48*(D1737-'계산 과정'!$C$50+P1737*('계산 과정'!$C$32-D1737))+'계산 과정'!$D$48*(E1737-'계산 과정'!$D$50+P1737*('계산 과정'!$D$32-E1737))+'계산 과정'!$E$48*(0-'계산 과정'!$E$50+P1737*('계산 과정'!$E$32-0)),"")</x:f>
      </x:c>
      <x:c r="S1737" s="17" t="n">
        <x:f>IF('계산 과정'!$C$78,IF(AND(ISNUMBER(Q1737),ISNUMBER(R1737),ABS(Q1737-'계산 과정'!$C$88)&lt;='계산 과정'!$D$23/2,ABS(R1737-'계산 과정'!$C$89)&lt;='계산 과정'!$D$24/2),1,0),"")</x:f>
        <x:v>0</x:v>
      </x:c>
      <x:c r="T1737" s="4"/>
      <x:c r="U1737" s="4"/>
      <x:c r="V1737" s="4"/>
      <x:c r="W1737" s="4"/>
      <x:c r="X1737" s="4"/>
      <x:c r="Y1737" s="4"/>
      <x:c r="Z1737" s="4"/>
    </x:row>
    <x:row r="1738" ht="23" customHeight="1">
      <x:c r="A1738" s="17" t="n">
        <x:f>ROW()-6</x:f>
        <x:v>1732</x:v>
      </x:c>
      <x:c r="B1738" s="4" t="n">
        <x:f>IF('계산 과정'!$L$5,'계산 과정'!$L$11*SQRT((A1738+0.5)/'계산 과정'!$L$30),"")</x:f>
        <x:v>137.96308736963846</x:v>
      </x:c>
      <x:c r="C1738" s="4" t="n">
        <x:f>A1738*PI()*(3-SQRT(5))</x:f>
        <x:v>4156.736313890027</x:v>
      </x:c>
      <x:c r="D1738" s="4" t="n">
        <x:f>IF('계산 과정'!$L$5,B1738*COS(C1738),"")</x:f>
        <x:v>-126.57095243195702</x:v>
      </x:c>
      <x:c r="E1738" s="4" t="n">
        <x:f>IF('계산 과정'!$L$5,B1738*SIN(C1738),"")</x:f>
        <x:v>-54.89633391247331</x:v>
      </x:c>
      <x:c r="F1738" s="4" t="n">
        <x:f>IF('계산 과정'!$L$7,'계산 과정'!$L$22+'계산 과정'!$C$49*D1738+'계산 과정'!$D$49*E1738,"")</x:f>
        <x:v>739.4991787658768</x:v>
      </x:c>
      <x:c r="G1738" s="4" t="n">
        <x:f>IF('계산 과정'!$L$7,IF(ABS(F1738)&gt;=1E-12*MAX(1,SQRT((D1738-'계산 과정'!$C$33)^2+(E1738-'계산 과정'!$D$33)^2+'계산 과정'!$E$33^2)),('계산 과정'!$L$23-'계산 과정'!$C$49*D1738-'계산 과정'!$D$49*E1738)/F1738,""),"")</x:f>
        <x:v>0.4198798729598412</x:v>
      </x:c>
      <x:c r="H1738" s="4" t="n">
        <x:f>IF(AND(ISNUMBER(G1738),G1738&gt;0),('계산 과정'!$D$56+'계산 과정'!$D$57*D1738+'계산 과정'!$D$58*E1738)/F1738,"")</x:f>
        <x:v>-127.07808257610333</x:v>
      </x:c>
      <x:c r="I1738" s="4" t="n">
        <x:f>IF(AND(ISNUMBER(G1738),G1738&gt;0),('계산 과정'!$E$56+'계산 과정'!$E$57*D1738+'계산 과정'!$E$58*E1738)/F1738,"")</x:f>
        <x:v>-77.94619962160363</x:v>
      </x:c>
      <x:c r="J1738" s="4" t="n">
        <x:f>IF('계산 과정'!$L$5,'계산 과정'!$D$6+'계산 과정'!$C$35*D1738+'계산 과정'!$D$35*E1738,"")</x:f>
        <x:v>739.4991787658768</x:v>
      </x:c>
      <x:c r="K1738" s="4" t="n">
        <x:f>IF(AND('계산 과정'!$L$6,J1738&gt;0),'계산 과정'!$D$10*('계산 과정'!$C$38*(D1738-'계산 과정'!$C$32)+'계산 과정'!$D$38*(E1738-'계산 과정'!$D$32)-'계산 과정'!$E$38*'계산 과정'!$E$32)/J1738,"")</x:f>
        <x:v>-0.9682139624845959</x:v>
      </x:c>
      <x:c r="L1738" s="4" t="n">
        <x:f>IF(AND('계산 과정'!$L$6,J1738&gt;0),'계산 과정'!$D$10*('계산 과정'!$C$39*(D1738-'계산 과정'!$C$32)+'계산 과정'!$D$39*(E1738-'계산 과정'!$D$32)-'계산 과정'!$E$39*'계산 과정'!$E$32)/J1738,"")</x:f>
        <x:v>-0.5938758066407895</x:v>
      </x:c>
      <x:c r="M1738" s="17" t="n">
        <x:f>IF('계산 과정'!$L$6,IF(J1738&lt;=0,0,IF(AND(ABS(K1738)&lt;='계산 과정'!$D$11/2,ABS(L1738)&lt;='계산 과정'!$D$12/2),1,0)),"")</x:f>
        <x:v>1</x:v>
      </x:c>
      <x:c r="N1738" s="17" t="n">
        <x:f>IF('계산 과정'!$C$78,IF(AND(ISNUMBER(H1738),ISNUMBER(I1738),ABS(H1738-'계산 과정'!$C$88)&lt;='계산 과정'!$D$23/2,ABS(I1738-'계산 과정'!$C$89)&lt;='계산 과정'!$D$24/2),1,0),"")</x:f>
        <x:v>1</x:v>
      </x:c>
      <x:c r="O1738" s="4" t="n">
        <x:f>IF('계산 과정'!$L$7,'계산 과정'!$C$49*('계산 과정'!$C$32-D1738)+'계산 과정'!$D$49*('계산 과정'!$D$32-E1738)+'계산 과정'!$E$49*'계산 과정'!$E$32,"")</x:f>
        <x:v>-89.49917876587665</x:v>
      </x:c>
      <x:c r="P1738" s="4" t="n">
        <x:f>IF(AND('계산 과정'!$L$7,O1738&lt;&gt;0),('계산 과정'!$L$23-'계산 과정'!$C$49*D1738-'계산 과정'!$D$49*E1738)/O1738,"")</x:f>
        <x:v>-3.469314752556231</x:v>
      </x:c>
      <x:c r="Q1738" s="4" t="str">
        <x:f>IF(AND(ISNUMBER(P1738),P1738&gt;1E-9,P1738&lt;1-1E-9),'계산 과정'!$C$47*(D1738-'계산 과정'!$C$50+P1738*('계산 과정'!$C$32-D1738))+'계산 과정'!$D$47*(E1738-'계산 과정'!$D$50+P1738*('계산 과정'!$D$32-E1738))+'계산 과정'!$E$47*(0-'계산 과정'!$E$50+P1738*('계산 과정'!$E$32-0)),"")</x:f>
      </x:c>
      <x:c r="R1738" s="4" t="str">
        <x:f>IF(AND(ISNUMBER(P1738),P1738&gt;1E-9,P1738&lt;1-1E-9),'계산 과정'!$C$48*(D1738-'계산 과정'!$C$50+P1738*('계산 과정'!$C$32-D1738))+'계산 과정'!$D$48*(E1738-'계산 과정'!$D$50+P1738*('계산 과정'!$D$32-E1738))+'계산 과정'!$E$48*(0-'계산 과정'!$E$50+P1738*('계산 과정'!$E$32-0)),"")</x:f>
      </x:c>
      <x:c r="S1738" s="17" t="n">
        <x:f>IF('계산 과정'!$C$78,IF(AND(ISNUMBER(Q1738),ISNUMBER(R1738),ABS(Q1738-'계산 과정'!$C$88)&lt;='계산 과정'!$D$23/2,ABS(R1738-'계산 과정'!$C$89)&lt;='계산 과정'!$D$24/2),1,0),"")</x:f>
        <x:v>0</x:v>
      </x:c>
      <x:c r="T1738" s="4"/>
      <x:c r="U1738" s="4"/>
      <x:c r="V1738" s="4"/>
      <x:c r="W1738" s="4"/>
      <x:c r="X1738" s="4"/>
      <x:c r="Y1738" s="4"/>
      <x:c r="Z1738" s="4"/>
    </x:row>
    <x:row r="1739" ht="23" customHeight="1">
      <x:c r="A1739" s="17" t="n">
        <x:f>ROW()-6</x:f>
        <x:v>1733</x:v>
      </x:c>
      <x:c r="B1739" s="4" t="n">
        <x:f>IF('계산 과정'!$L$5,'계산 과정'!$L$11*SQRT((A1739+0.5)/'계산 과정'!$L$30),"")</x:f>
        <x:v>138.00289781264559</x:v>
      </x:c>
      <x:c r="C1739" s="4" t="n">
        <x:f>A1739*PI()*(3-SQRT(5))</x:f>
        <x:v>4159.1362771197555</x:v>
      </x:c>
      <x:c r="D1739" s="4" t="n">
        <x:f>IF('계산 과정'!$L$5,B1739*COS(C1739),"")</x:f>
        <x:v>130.44905328503532</x:v>
      </x:c>
      <x:c r="E1739" s="4" t="n">
        <x:f>IF('계산 과정'!$L$5,B1739*SIN(C1739),"")</x:f>
        <x:v>-45.03159226282716</x:v>
      </x:c>
      <x:c r="F1739" s="4" t="n">
        <x:f>IF('계산 과정'!$L$7,'계산 과정'!$L$22+'계산 과정'!$C$49*D1739+'계산 과정'!$D$49*E1739,"")</x:f>
        <x:v>557.7585898227862</x:v>
      </x:c>
      <x:c r="G1739" s="4" t="n">
        <x:f>IF('계산 과정'!$L$7,IF(ABS(F1739)&gt;=1E-12*MAX(1,SQRT((D1739-'계산 과정'!$C$33)^2+(E1739-'계산 과정'!$D$33)^2+'계산 과정'!$E$33^2)),('계산 과정'!$L$23-'계산 과정'!$C$49*D1739-'계산 과정'!$D$49*E1739)/F1739,""),"")</x:f>
        <x:v>0.8825348800699082</x:v>
      </x:c>
      <x:c r="H1739" s="4" t="n">
        <x:f>IF(AND(ISNUMBER(G1739),G1739&gt;0),('계산 과정'!$D$56+'계산 과정'!$D$57*D1739+'계산 과정'!$D$58*E1739)/F1739,"")</x:f>
        <x:v>173.6476720454402</x:v>
      </x:c>
      <x:c r="I1739" s="4" t="n">
        <x:f>IF(AND(ISNUMBER(G1739),G1739&gt;0),('계산 과정'!$E$56+'계산 과정'!$E$57*D1739+'계산 과정'!$E$58*E1739)/F1739,"")</x:f>
        <x:v>-84.77354313985833</x:v>
      </x:c>
      <x:c r="J1739" s="4" t="n">
        <x:f>IF('계산 과정'!$L$5,'계산 과정'!$D$6+'계산 과정'!$C$35*D1739+'계산 과정'!$D$35*E1739,"")</x:f>
        <x:v>557.7585898227862</x:v>
      </x:c>
      <x:c r="K1739" s="4" t="n">
        <x:f>IF(AND('계산 과정'!$L$6,J1739&gt;0),'계산 과정'!$D$10*('계산 과정'!$C$38*(D1739-'계산 과정'!$C$32)+'계산 과정'!$D$38*(E1739-'계산 과정'!$D$32)-'계산 과정'!$E$38*'계산 과정'!$E$32)/J1739,"")</x:f>
        <x:v>1.3230298822509743</x:v>
      </x:c>
      <x:c r="L1739" s="4" t="n">
        <x:f>IF(AND('계산 과정'!$L$6,J1739&gt;0),'계산 과정'!$D$10*('계산 과정'!$C$39*(D1739-'계산 과정'!$C$32)+'계산 과정'!$D$39*(E1739-'계산 과정'!$D$32)-'계산 과정'!$E$39*'계산 과정'!$E$32)/J1739,"")</x:f>
        <x:v>-0.6458936620179683</x:v>
      </x:c>
      <x:c r="M1739" s="17" t="n">
        <x:f>IF('계산 과정'!$L$6,IF(J1739&lt;=0,0,IF(AND(ABS(K1739)&lt;='계산 과정'!$D$11/2,ABS(L1739)&lt;='계산 과정'!$D$12/2),1,0)),"")</x:f>
        <x:v>1</x:v>
      </x:c>
      <x:c r="N1739" s="17" t="n">
        <x:f>IF('계산 과정'!$C$78,IF(AND(ISNUMBER(H1739),ISNUMBER(I1739),ABS(H1739-'계산 과정'!$C$88)&lt;='계산 과정'!$D$23/2,ABS(I1739-'계산 과정'!$C$89)&lt;='계산 과정'!$D$24/2),1,0),"")</x:f>
        <x:v>1</x:v>
      </x:c>
      <x:c r="O1739" s="4" t="n">
        <x:f>IF('계산 과정'!$L$7,'계산 과정'!$C$49*('계산 과정'!$C$32-D1739)+'계산 과정'!$D$49*('계산 과정'!$D$32-E1739)+'계산 과정'!$E$49*'계산 과정'!$E$32,"")</x:f>
        <x:v>92.24141017721388</x:v>
      </x:c>
      <x:c r="P1739" s="4" t="n">
        <x:f>IF(AND('계산 과정'!$L$7,O1739&lt;&gt;0),('계산 과정'!$L$23-'계산 과정'!$C$49*D1739-'계산 과정'!$D$49*E1739)/O1739,"")</x:f>
        <x:v>5.336447147019124</x:v>
      </x:c>
      <x:c r="Q1739" s="4" t="str">
        <x:f>IF(AND(ISNUMBER(P1739),P1739&gt;1E-9,P1739&lt;1-1E-9),'계산 과정'!$C$47*(D1739-'계산 과정'!$C$50+P1739*('계산 과정'!$C$32-D1739))+'계산 과정'!$D$47*(E1739-'계산 과정'!$D$50+P1739*('계산 과정'!$D$32-E1739))+'계산 과정'!$E$47*(0-'계산 과정'!$E$50+P1739*('계산 과정'!$E$32-0)),"")</x:f>
      </x:c>
      <x:c r="R1739" s="4" t="str">
        <x:f>IF(AND(ISNUMBER(P1739),P1739&gt;1E-9,P1739&lt;1-1E-9),'계산 과정'!$C$48*(D1739-'계산 과정'!$C$50+P1739*('계산 과정'!$C$32-D1739))+'계산 과정'!$D$48*(E1739-'계산 과정'!$D$50+P1739*('계산 과정'!$D$32-E1739))+'계산 과정'!$E$48*(0-'계산 과정'!$E$50+P1739*('계산 과정'!$E$32-0)),"")</x:f>
      </x:c>
      <x:c r="S1739" s="17" t="n">
        <x:f>IF('계산 과정'!$C$78,IF(AND(ISNUMBER(Q1739),ISNUMBER(R1739),ABS(Q1739-'계산 과정'!$C$88)&lt;='계산 과정'!$D$23/2,ABS(R1739-'계산 과정'!$C$89)&lt;='계산 과정'!$D$24/2),1,0),"")</x:f>
        <x:v>0</x:v>
      </x:c>
      <x:c r="T1739" s="4"/>
      <x:c r="U1739" s="4"/>
      <x:c r="V1739" s="4"/>
      <x:c r="W1739" s="4"/>
      <x:c r="X1739" s="4"/>
      <x:c r="Y1739" s="4"/>
      <x:c r="Z1739" s="4"/>
    </x:row>
    <x:row r="1740" ht="23" customHeight="1">
      <x:c r="A1740" s="17" t="n">
        <x:f>ROW()-6</x:f>
        <x:v>1734</x:v>
      </x:c>
      <x:c r="B1740" s="4" t="n">
        <x:f>IF('계산 과정'!$L$5,'계산 과정'!$L$11*SQRT((A1740+0.5)/'계산 과정'!$L$30),"")</x:f>
        <x:v>138.0426967746302</x:v>
      </x:c>
      <x:c r="C1740" s="4" t="n">
        <x:f>A1740*PI()*(3-SQRT(5))</x:f>
        <x:v>4161.536240349484</x:v>
      </x:c>
      <x:c r="D1740" s="4" t="n">
        <x:f>IF('계산 과정'!$L$5,B1740*COS(C1740),"")</x:f>
        <x:v>-65.78963630750583</x:v>
      </x:c>
      <x:c r="E1740" s="4" t="n">
        <x:f>IF('계산 과정'!$L$5,B1740*SIN(C1740),"")</x:f>
        <x:v>121.35695236507306</x:v>
      </x:c>
      <x:c r="F1740" s="4" t="n">
        <x:f>IF('계산 과정'!$L$7,'계산 과정'!$L$22+'계산 과정'!$C$49*D1740+'계산 과정'!$D$49*E1740,"")</x:f>
        <x:v>696.5202979648341</x:v>
      </x:c>
      <x:c r="G1740" s="4" t="n">
        <x:f>IF('계산 과정'!$L$7,IF(ABS(F1740)&gt;=1E-12*MAX(1,SQRT((D1740-'계산 과정'!$C$33)^2+(E1740-'계산 과정'!$D$33)^2+'계산 과정'!$E$33^2)),('계산 과정'!$L$23-'계산 과정'!$C$49*D1740-'계산 과정'!$D$49*E1740)/F1740,""),"")</x:f>
        <x:v>0.5074937558431534</x:v>
      </x:c>
      <x:c r="H1740" s="4" t="n">
        <x:f>IF(AND(ISNUMBER(G1740),G1740&gt;0),('계산 과정'!$D$56+'계산 과정'!$D$57*D1740+'계산 과정'!$D$58*E1740)/F1740,"")</x:f>
        <x:v>-70.12905870195044</x:v>
      </x:c>
      <x:c r="I1740" s="4" t="n">
        <x:f>IF(AND(ISNUMBER(G1740),G1740&gt;0),('계산 과정'!$E$56+'계산 과정'!$E$57*D1740+'계산 과정'!$E$58*E1740)/F1740,"")</x:f>
        <x:v>182.94484791850263</x:v>
      </x:c>
      <x:c r="J1740" s="4" t="n">
        <x:f>IF('계산 과정'!$L$5,'계산 과정'!$D$6+'계산 과정'!$C$35*D1740+'계산 과정'!$D$35*E1740,"")</x:f>
        <x:v>696.5202979648341</x:v>
      </x:c>
      <x:c r="K1740" s="4" t="n">
        <x:f>IF(AND('계산 과정'!$L$6,J1740&gt;0),'계산 과정'!$D$10*('계산 과정'!$C$38*(D1740-'계산 과정'!$C$32)+'계산 과정'!$D$38*(E1740-'계산 과정'!$D$32)-'계산 과정'!$E$38*'계산 과정'!$E$32)/J1740,"")</x:f>
        <x:v>-0.5343166377291453</x:v>
      </x:c>
      <x:c r="L1740" s="4" t="n">
        <x:f>IF(AND('계산 과정'!$L$6,J1740&gt;0),'계산 과정'!$D$10*('계산 과정'!$C$39*(D1740-'계산 과정'!$C$32)+'계산 과정'!$D$39*(E1740-'계산 과정'!$D$32)-'계산 과정'!$E$39*'계산 과정'!$E$32)/J1740,"")</x:f>
        <x:v>1.3938655079504962</x:v>
      </x:c>
      <x:c r="M1740" s="17" t="n">
        <x:f>IF('계산 과정'!$L$6,IF(J1740&lt;=0,0,IF(AND(ABS(K1740)&lt;='계산 과정'!$D$11/2,ABS(L1740)&lt;='계산 과정'!$D$12/2),1,0)),"")</x:f>
        <x:v>1</x:v>
      </x:c>
      <x:c r="N1740" s="17" t="n">
        <x:f>IF('계산 과정'!$C$78,IF(AND(ISNUMBER(H1740),ISNUMBER(I1740),ABS(H1740-'계산 과정'!$C$88)&lt;='계산 과정'!$D$23/2,ABS(I1740-'계산 과정'!$C$89)&lt;='계산 과정'!$D$24/2),1,0),"")</x:f>
        <x:v>1</x:v>
      </x:c>
      <x:c r="O1740" s="4" t="n">
        <x:f>IF('계산 과정'!$L$7,'계산 과정'!$C$49*('계산 과정'!$C$32-D1740)+'계산 과정'!$D$49*('계산 과정'!$D$32-E1740)+'계산 과정'!$E$49*'계산 과정'!$E$32,"")</x:f>
        <x:v>-46.52029796483396</x:v>
      </x:c>
      <x:c r="P1740" s="4" t="n">
        <x:f>IF(AND('계산 과정'!$L$7,O1740&lt;&gt;0),('계산 과정'!$L$23-'계산 과정'!$C$49*D1740-'계산 과정'!$D$49*E1740)/O1740,"")</x:f>
        <x:v>-7.598397205073181</x:v>
      </x:c>
      <x:c r="Q1740" s="4" t="str">
        <x:f>IF(AND(ISNUMBER(P1740),P1740&gt;1E-9,P1740&lt;1-1E-9),'계산 과정'!$C$47*(D1740-'계산 과정'!$C$50+P1740*('계산 과정'!$C$32-D1740))+'계산 과정'!$D$47*(E1740-'계산 과정'!$D$50+P1740*('계산 과정'!$D$32-E1740))+'계산 과정'!$E$47*(0-'계산 과정'!$E$50+P1740*('계산 과정'!$E$32-0)),"")</x:f>
      </x:c>
      <x:c r="R1740" s="4" t="str">
        <x:f>IF(AND(ISNUMBER(P1740),P1740&gt;1E-9,P1740&lt;1-1E-9),'계산 과정'!$C$48*(D1740-'계산 과정'!$C$50+P1740*('계산 과정'!$C$32-D1740))+'계산 과정'!$D$48*(E1740-'계산 과정'!$D$50+P1740*('계산 과정'!$D$32-E1740))+'계산 과정'!$E$48*(0-'계산 과정'!$E$50+P1740*('계산 과정'!$E$32-0)),"")</x:f>
      </x:c>
      <x:c r="S1740" s="17" t="n">
        <x:f>IF('계산 과정'!$C$78,IF(AND(ISNUMBER(Q1740),ISNUMBER(R1740),ABS(Q1740-'계산 과정'!$C$88)&lt;='계산 과정'!$D$23/2,ABS(R1740-'계산 과정'!$C$89)&lt;='계산 과정'!$D$24/2),1,0),"")</x:f>
        <x:v>0</x:v>
      </x:c>
      <x:c r="T1740" s="4"/>
      <x:c r="U1740" s="4"/>
      <x:c r="V1740" s="4"/>
      <x:c r="W1740" s="4"/>
      <x:c r="X1740" s="4"/>
      <x:c r="Y1740" s="4"/>
      <x:c r="Z1740" s="4"/>
    </x:row>
    <x:row r="1741" ht="23" customHeight="1">
      <x:c r="A1741" s="17" t="n">
        <x:f>ROW()-6</x:f>
        <x:v>1735</x:v>
      </x:c>
      <x:c r="B1741" s="4" t="n">
        <x:f>IF('계산 과정'!$L$5,'계산 과정'!$L$11*SQRT((A1741+0.5)/'계산 과정'!$L$30),"")</x:f>
        <x:v>138.08248426551972</x:v>
      </x:c>
      <x:c r="C1741" s="4" t="n">
        <x:f>A1741*PI()*(3-SQRT(5))</x:f>
        <x:v>4163.936203579213</x:v>
      </x:c>
      <x:c r="D1741" s="4" t="n">
        <x:f>IF('계산 과정'!$L$5,B1741*COS(C1741),"")</x:f>
        <x:v>-33.47385840592522</x:v>
      </x:c>
      <x:c r="E1741" s="4" t="n">
        <x:f>IF('계산 과정'!$L$5,B1741*SIN(C1741),"")</x:f>
        <x:v>-133.96370129388623</x:v>
      </x:c>
      <x:c r="F1741" s="4" t="n">
        <x:f>IF('계산 과정'!$L$7,'계산 과정'!$L$22+'계산 과정'!$C$49*D1741+'계산 과정'!$D$49*E1741,"")</x:f>
        <x:v>673.669592271308</x:v>
      </x:c>
      <x:c r="G1741" s="4" t="n">
        <x:f>IF('계산 과정'!$L$7,IF(ABS(F1741)&gt;=1E-12*MAX(1,SQRT((D1741-'계산 과정'!$C$33)^2+(E1741-'계산 과정'!$D$33)^2+'계산 과정'!$E$33^2)),('계산 과정'!$L$23-'계산 과정'!$C$49*D1741-'계산 과정'!$D$49*E1741)/F1741,""),"")</x:f>
        <x:v>0.5586275706164452</x:v>
      </x:c>
      <x:c r="H1741" s="4" t="n">
        <x:f>IF(AND(ISNUMBER(G1741),G1741&gt;0),('계산 과정'!$D$56+'계산 과정'!$D$57*D1741+'계산 과정'!$D$58*E1741)/F1741,"")</x:f>
        <x:v>-36.892079099310756</x:v>
      </x:c>
      <x:c r="I1741" s="4" t="n">
        <x:f>IF(AND(ISNUMBER(G1741),G1741&gt;0),('계산 과정'!$E$56+'계산 과정'!$E$57*D1741+'계산 과정'!$E$58*E1741)/F1741,"")</x:f>
        <x:v>-208.79951829847704</x:v>
      </x:c>
      <x:c r="J1741" s="4" t="n">
        <x:f>IF('계산 과정'!$L$5,'계산 과정'!$D$6+'계산 과정'!$C$35*D1741+'계산 과정'!$D$35*E1741,"")</x:f>
        <x:v>673.669592271308</x:v>
      </x:c>
      <x:c r="K1741" s="4" t="n">
        <x:f>IF(AND('계산 과정'!$L$6,J1741&gt;0),'계산 과정'!$D$10*('계산 과정'!$C$38*(D1741-'계산 과정'!$C$32)+'계산 과정'!$D$38*(E1741-'계산 과정'!$D$32)-'계산 과정'!$E$38*'계산 과정'!$E$32)/J1741,"")</x:f>
        <x:v>-0.2810825074233191</x:v>
      </x:c>
      <x:c r="L1741" s="4" t="n">
        <x:f>IF(AND('계산 과정'!$L$6,J1741&gt;0),'계산 과정'!$D$10*('계산 과정'!$C$39*(D1741-'계산 과정'!$C$32)+'계산 과정'!$D$39*(E1741-'계산 과정'!$D$32)-'계산 과정'!$E$39*'계산 과정'!$E$32)/J1741,"")</x:f>
        <x:v>-1.5908534727503012</x:v>
      </x:c>
      <x:c r="M1741" s="17" t="n">
        <x:f>IF('계산 과정'!$L$6,IF(J1741&lt;=0,0,IF(AND(ABS(K1741)&lt;='계산 과정'!$D$11/2,ABS(L1741)&lt;='계산 과정'!$D$12/2),1,0)),"")</x:f>
        <x:v>1</x:v>
      </x:c>
      <x:c r="N1741" s="17" t="n">
        <x:f>IF('계산 과정'!$C$78,IF(AND(ISNUMBER(H1741),ISNUMBER(I1741),ABS(H1741-'계산 과정'!$C$88)&lt;='계산 과정'!$D$23/2,ABS(I1741-'계산 과정'!$C$89)&lt;='계산 과정'!$D$24/2),1,0),"")</x:f>
        <x:v>1</x:v>
      </x:c>
      <x:c r="O1741" s="4" t="n">
        <x:f>IF('계산 과정'!$L$7,'계산 과정'!$C$49*('계산 과정'!$C$32-D1741)+'계산 과정'!$D$49*('계산 과정'!$D$32-E1741)+'계산 과정'!$E$49*'계산 과정'!$E$32,"")</x:f>
        <x:v>-23.66959227130792</x:v>
      </x:c>
      <x:c r="P1741" s="4" t="n">
        <x:f>IF(AND('계산 과정'!$L$7,O1741&lt;&gt;0),('계산 과정'!$L$23-'계산 과정'!$C$49*D1741-'계산 과정'!$D$49*E1741)/O1741,"")</x:f>
        <x:v>-15.899319405889239</x:v>
      </x:c>
      <x:c r="Q1741" s="4" t="str">
        <x:f>IF(AND(ISNUMBER(P1741),P1741&gt;1E-9,P1741&lt;1-1E-9),'계산 과정'!$C$47*(D1741-'계산 과정'!$C$50+P1741*('계산 과정'!$C$32-D1741))+'계산 과정'!$D$47*(E1741-'계산 과정'!$D$50+P1741*('계산 과정'!$D$32-E1741))+'계산 과정'!$E$47*(0-'계산 과정'!$E$50+P1741*('계산 과정'!$E$32-0)),"")</x:f>
      </x:c>
      <x:c r="R1741" s="4" t="str">
        <x:f>IF(AND(ISNUMBER(P1741),P1741&gt;1E-9,P1741&lt;1-1E-9),'계산 과정'!$C$48*(D1741-'계산 과정'!$C$50+P1741*('계산 과정'!$C$32-D1741))+'계산 과정'!$D$48*(E1741-'계산 과정'!$D$50+P1741*('계산 과정'!$D$32-E1741))+'계산 과정'!$E$48*(0-'계산 과정'!$E$50+P1741*('계산 과정'!$E$32-0)),"")</x:f>
      </x:c>
      <x:c r="S1741" s="17" t="n">
        <x:f>IF('계산 과정'!$C$78,IF(AND(ISNUMBER(Q1741),ISNUMBER(R1741),ABS(Q1741-'계산 과정'!$C$88)&lt;='계산 과정'!$D$23/2,ABS(R1741-'계산 과정'!$C$89)&lt;='계산 과정'!$D$24/2),1,0),"")</x:f>
        <x:v>0</x:v>
      </x:c>
      <x:c r="T1741" s="4"/>
      <x:c r="U1741" s="4"/>
      <x:c r="V1741" s="4"/>
      <x:c r="W1741" s="4"/>
      <x:c r="X1741" s="4"/>
      <x:c r="Y1741" s="4"/>
      <x:c r="Z1741" s="4"/>
    </x:row>
    <x:row r="1742" ht="23" customHeight="1">
      <x:c r="A1742" s="17" t="n">
        <x:f>ROW()-6</x:f>
        <x:v>1736</x:v>
      </x:c>
      <x:c r="B1742" s="4" t="n">
        <x:f>IF('계산 과정'!$L$5,'계산 과정'!$L$11*SQRT((A1742+0.5)/'계산 과정'!$L$30),"")</x:f>
        <x:v>138.12226029522722</x:v>
      </x:c>
      <x:c r="C1742" s="4" t="n">
        <x:f>A1742*PI()*(3-SQRT(5))</x:f>
        <x:v>4166.336166808941</x:v>
      </x:c>
      <x:c r="D1742" s="4" t="n">
        <x:f>IF('계산 과정'!$L$5,B1742*COS(C1742),"")</x:f>
        <x:v>115.20693836991711</x:v>
      </x:c>
      <x:c r="E1742" s="4" t="n">
        <x:f>IF('계산 과정'!$L$5,B1742*SIN(C1742),"")</x:f>
        <x:v>76.19133901233539</x:v>
      </x:c>
      <x:c r="F1742" s="4" t="n">
        <x:f>IF('계산 과정'!$L$7,'계산 과정'!$L$22+'계산 과정'!$C$49*D1742+'계산 과정'!$D$49*E1742,"")</x:f>
        <x:v>568.5363926388909</x:v>
      </x:c>
      <x:c r="G1742" s="4" t="n">
        <x:f>IF('계산 과정'!$L$7,IF(ABS(F1742)&gt;=1E-12*MAX(1,SQRT((D1742-'계산 과정'!$C$33)^2+(E1742-'계산 과정'!$D$33)^2+'계산 과정'!$E$33^2)),('계산 과정'!$L$23-'계산 과정'!$C$49*D1742-'계산 과정'!$D$49*E1742)/F1742,""),"")</x:f>
        <x:v>0.846847472905597</x:v>
      </x:c>
      <x:c r="H1742" s="4" t="n">
        <x:f>IF(AND(ISNUMBER(G1742),G1742&gt;0),('계산 과정'!$D$56+'계산 과정'!$D$57*D1742+'계산 과정'!$D$58*E1742)/F1742,"")</x:f>
        <x:v>150.45085738863793</x:v>
      </x:c>
      <x:c r="I1742" s="4" t="n">
        <x:f>IF(AND(ISNUMBER(G1742),G1742&gt;0),('계산 과정'!$E$56+'계산 과정'!$E$57*D1742+'계산 과정'!$E$58*E1742)/F1742,"")</x:f>
        <x:v>140.71378191222527</x:v>
      </x:c>
      <x:c r="J1742" s="4" t="n">
        <x:f>IF('계산 과정'!$L$5,'계산 과정'!$D$6+'계산 과정'!$C$35*D1742+'계산 과정'!$D$35*E1742,"")</x:f>
        <x:v>568.5363926388909</x:v>
      </x:c>
      <x:c r="K1742" s="4" t="n">
        <x:f>IF(AND('계산 과정'!$L$6,J1742&gt;0),'계산 과정'!$D$10*('계산 과정'!$C$38*(D1742-'계산 과정'!$C$32)+'계산 과정'!$D$38*(E1742-'계산 과정'!$D$32)-'계산 과정'!$E$38*'계산 과정'!$E$32)/J1742,"")</x:f>
        <x:v>1.1462922467705758</x:v>
      </x:c>
      <x:c r="L1742" s="4" t="n">
        <x:f>IF(AND('계산 과정'!$L$6,J1742&gt;0),'계산 과정'!$D$10*('계산 과정'!$C$39*(D1742-'계산 과정'!$C$32)+'계산 과정'!$D$39*(E1742-'계산 과정'!$D$32)-'계산 과정'!$E$39*'계산 과정'!$E$32)/J1742,"")</x:f>
        <x:v>1.0721050050455256</x:v>
      </x:c>
      <x:c r="M1742" s="17" t="n">
        <x:f>IF('계산 과정'!$L$6,IF(J1742&lt;=0,0,IF(AND(ABS(K1742)&lt;='계산 과정'!$D$11/2,ABS(L1742)&lt;='계산 과정'!$D$12/2),1,0)),"")</x:f>
        <x:v>1</x:v>
      </x:c>
      <x:c r="N1742" s="17" t="n">
        <x:f>IF('계산 과정'!$C$78,IF(AND(ISNUMBER(H1742),ISNUMBER(I1742),ABS(H1742-'계산 과정'!$C$88)&lt;='계산 과정'!$D$23/2,ABS(I1742-'계산 과정'!$C$89)&lt;='계산 과정'!$D$24/2),1,0),"")</x:f>
        <x:v>1</x:v>
      </x:c>
      <x:c r="O1742" s="4" t="n">
        <x:f>IF('계산 과정'!$L$7,'계산 과정'!$C$49*('계산 과정'!$C$32-D1742)+'계산 과정'!$D$49*('계산 과정'!$D$32-E1742)+'계산 과정'!$E$49*'계산 과정'!$E$32,"")</x:f>
        <x:v>81.46360736110915</x:v>
      </x:c>
      <x:c r="P1742" s="4" t="n">
        <x:f>IF(AND('계산 과정'!$L$7,O1742&lt;&gt;0),('계산 과정'!$L$23-'계산 과정'!$C$49*D1742-'계산 과정'!$D$49*E1742)/O1742,"")</x:f>
        <x:v>5.910168024193838</x:v>
      </x:c>
      <x:c r="Q1742" s="4" t="str">
        <x:f>IF(AND(ISNUMBER(P1742),P1742&gt;1E-9,P1742&lt;1-1E-9),'계산 과정'!$C$47*(D1742-'계산 과정'!$C$50+P1742*('계산 과정'!$C$32-D1742))+'계산 과정'!$D$47*(E1742-'계산 과정'!$D$50+P1742*('계산 과정'!$D$32-E1742))+'계산 과정'!$E$47*(0-'계산 과정'!$E$50+P1742*('계산 과정'!$E$32-0)),"")</x:f>
      </x:c>
      <x:c r="R1742" s="4" t="str">
        <x:f>IF(AND(ISNUMBER(P1742),P1742&gt;1E-9,P1742&lt;1-1E-9),'계산 과정'!$C$48*(D1742-'계산 과정'!$C$50+P1742*('계산 과정'!$C$32-D1742))+'계산 과정'!$D$48*(E1742-'계산 과정'!$D$50+P1742*('계산 과정'!$D$32-E1742))+'계산 과정'!$E$48*(0-'계산 과정'!$E$50+P1742*('계산 과정'!$E$32-0)),"")</x:f>
      </x:c>
      <x:c r="S1742" s="17" t="n">
        <x:f>IF('계산 과정'!$C$78,IF(AND(ISNUMBER(Q1742),ISNUMBER(R1742),ABS(Q1742-'계산 과정'!$C$88)&lt;='계산 과정'!$D$23/2,ABS(R1742-'계산 과정'!$C$89)&lt;='계산 과정'!$D$24/2),1,0),"")</x:f>
        <x:v>0</x:v>
      </x:c>
      <x:c r="T1742" s="4"/>
      <x:c r="U1742" s="4"/>
      <x:c r="V1742" s="4"/>
      <x:c r="W1742" s="4"/>
      <x:c r="X1742" s="4"/>
      <x:c r="Y1742" s="4"/>
      <x:c r="Z1742" s="4"/>
    </x:row>
    <x:row r="1743" ht="23" customHeight="1">
      <x:c r="A1743" s="17" t="n">
        <x:f>ROW()-6</x:f>
        <x:v>1737</x:v>
      </x:c>
      <x:c r="B1743" s="4" t="n">
        <x:f>IF('계산 과정'!$L$5,'계산 과정'!$L$11*SQRT((A1743+0.5)/'계산 과정'!$L$30),"")</x:f>
        <x:v>138.16202487365152</x:v>
      </x:c>
      <x:c r="C1743" s="4" t="n">
        <x:f>A1743*PI()*(3-SQRT(5))</x:f>
        <x:v>4168.73613003867</x:v>
      </x:c>
      <x:c r="D1743" s="4" t="n">
        <x:f>IF('계산 과정'!$L$5,B1743*COS(C1743),"")</x:f>
        <x:v>-136.4557944084793</x:v>
      </x:c>
      <x:c r="E1743" s="4" t="n">
        <x:f>IF('계산 과정'!$L$5,B1743*SIN(C1743),"")</x:f>
        <x:v>21.646276574467304</x:v>
      </x:c>
      <x:c r="F1743" s="4" t="n">
        <x:f>IF('계산 과정'!$L$7,'계산 과정'!$L$22+'계산 과정'!$C$49*D1743+'계산 과정'!$D$49*E1743,"")</x:f>
        <x:v>746.4888175584331</x:v>
      </x:c>
      <x:c r="G1743" s="4" t="n">
        <x:f>IF('계산 과정'!$L$7,IF(ABS(F1743)&gt;=1E-12*MAX(1,SQRT((D1743-'계산 과정'!$C$33)^2+(E1743-'계산 과정'!$D$33)^2+'계산 과정'!$E$33^2)),('계산 과정'!$L$23-'계산 과정'!$C$49*D1743-'계산 과정'!$D$49*E1743)/F1743,""),"")</x:f>
        <x:v>0.4065850355726312</x:v>
      </x:c>
      <x:c r="H1743" s="4" t="n">
        <x:f>IF(AND(ISNUMBER(G1743),G1743&gt;0),('계산 과정'!$D$56+'계산 과정'!$D$57*D1743+'계산 과정'!$D$58*E1743)/F1743,"")</x:f>
        <x:v>-135.71972687778987</x:v>
      </x:c>
      <x:c r="I1743" s="4" t="n">
        <x:f>IF(AND(ISNUMBER(G1743),G1743&gt;0),('계산 과정'!$E$56+'계산 과정'!$E$57*D1743+'계산 과정'!$E$58*E1743)/F1743,"")</x:f>
        <x:v>30.447328705512106</x:v>
      </x:c>
      <x:c r="J1743" s="4" t="n">
        <x:f>IF('계산 과정'!$L$5,'계산 과정'!$D$6+'계산 과정'!$C$35*D1743+'계산 과정'!$D$35*E1743,"")</x:f>
        <x:v>746.4888175584331</x:v>
      </x:c>
      <x:c r="K1743" s="4" t="n">
        <x:f>IF(AND('계산 과정'!$L$6,J1743&gt;0),'계산 과정'!$D$10*('계산 과정'!$C$38*(D1743-'계산 과정'!$C$32)+'계산 과정'!$D$38*(E1743-'계산 과정'!$D$32)-'계산 과정'!$E$38*'계산 과정'!$E$32)/J1743,"")</x:f>
        <x:v>-1.034055061926017</x:v>
      </x:c>
      <x:c r="L1743" s="4" t="n">
        <x:f>IF(AND('계산 과정'!$L$6,J1743&gt;0),'계산 과정'!$D$10*('계산 과정'!$C$39*(D1743-'계산 과정'!$C$32)+'계산 과정'!$D$39*(E1743-'계산 과정'!$D$32)-'계산 과정'!$E$39*'계산 과정'!$E$32)/J1743,"")</x:f>
        <x:v>0.23197964728009224</x:v>
      </x:c>
      <x:c r="M1743" s="17" t="n">
        <x:f>IF('계산 과정'!$L$6,IF(J1743&lt;=0,0,IF(AND(ABS(K1743)&lt;='계산 과정'!$D$11/2,ABS(L1743)&lt;='계산 과정'!$D$12/2),1,0)),"")</x:f>
        <x:v>1</x:v>
      </x:c>
      <x:c r="N1743" s="17" t="n">
        <x:f>IF('계산 과정'!$C$78,IF(AND(ISNUMBER(H1743),ISNUMBER(I1743),ABS(H1743-'계산 과정'!$C$88)&lt;='계산 과정'!$D$23/2,ABS(I1743-'계산 과정'!$C$89)&lt;='계산 과정'!$D$24/2),1,0),"")</x:f>
        <x:v>1</x:v>
      </x:c>
      <x:c r="O1743" s="4" t="n">
        <x:f>IF('계산 과정'!$L$7,'계산 과정'!$C$49*('계산 과정'!$C$32-D1743)+'계산 과정'!$D$49*('계산 과정'!$D$32-E1743)+'계산 과정'!$E$49*'계산 과정'!$E$32,"")</x:f>
        <x:v>-96.48881755843297</x:v>
      </x:c>
      <x:c r="P1743" s="4" t="n">
        <x:f>IF(AND('계산 과정'!$L$7,O1743&lt;&gt;0),('계산 과정'!$L$23-'계산 과정'!$C$49*D1743-'계산 과정'!$D$49*E1743)/O1743,"")</x:f>
        <x:v>-3.1455581084073563</x:v>
      </x:c>
      <x:c r="Q1743" s="4" t="str">
        <x:f>IF(AND(ISNUMBER(P1743),P1743&gt;1E-9,P1743&lt;1-1E-9),'계산 과정'!$C$47*(D1743-'계산 과정'!$C$50+P1743*('계산 과정'!$C$32-D1743))+'계산 과정'!$D$47*(E1743-'계산 과정'!$D$50+P1743*('계산 과정'!$D$32-E1743))+'계산 과정'!$E$47*(0-'계산 과정'!$E$50+P1743*('계산 과정'!$E$32-0)),"")</x:f>
      </x:c>
      <x:c r="R1743" s="4" t="str">
        <x:f>IF(AND(ISNUMBER(P1743),P1743&gt;1E-9,P1743&lt;1-1E-9),'계산 과정'!$C$48*(D1743-'계산 과정'!$C$50+P1743*('계산 과정'!$C$32-D1743))+'계산 과정'!$D$48*(E1743-'계산 과정'!$D$50+P1743*('계산 과정'!$D$32-E1743))+'계산 과정'!$E$48*(0-'계산 과정'!$E$50+P1743*('계산 과정'!$E$32-0)),"")</x:f>
      </x:c>
      <x:c r="S1743" s="17" t="n">
        <x:f>IF('계산 과정'!$C$78,IF(AND(ISNUMBER(Q1743),ISNUMBER(R1743),ABS(Q1743-'계산 과정'!$C$88)&lt;='계산 과정'!$D$23/2,ABS(R1743-'계산 과정'!$C$89)&lt;='계산 과정'!$D$24/2),1,0),"")</x:f>
        <x:v>0</x:v>
      </x:c>
      <x:c r="T1743" s="4"/>
      <x:c r="U1743" s="4"/>
      <x:c r="V1743" s="4"/>
      <x:c r="W1743" s="4"/>
      <x:c r="X1743" s="4"/>
      <x:c r="Y1743" s="4"/>
      <x:c r="Z1743" s="4"/>
    </x:row>
    <x:row r="1744" ht="23" customHeight="1">
      <x:c r="A1744" s="17" t="n">
        <x:f>ROW()-6</x:f>
        <x:v>1738</x:v>
      </x:c>
      <x:c r="B1744" s="4" t="n">
        <x:f>IF('계산 과정'!$L$5,'계산 과정'!$L$11*SQRT((A1744+0.5)/'계산 과정'!$L$30),"")</x:f>
        <x:v>138.2017780106772</x:v>
      </x:c>
      <x:c r="C1744" s="4" t="n">
        <x:f>A1744*PI()*(3-SQRT(5))</x:f>
        <x:v>4171.136093268399</x:v>
      </x:c>
      <x:c r="D1744" s="4" t="n">
        <x:f>IF('계산 과정'!$L$5,B1744*COS(C1744),"")</x:f>
        <x:v>86.02114990492302</x:v>
      </x:c>
      <x:c r="E1744" s="4" t="n">
        <x:f>IF('계산 과정'!$L$5,B1744*SIN(C1744),"")</x:f>
        <x:v>-108.16696914653411</x:v>
      </x:c>
      <x:c r="F1744" s="4" t="n">
        <x:f>IF('계산 과정'!$L$7,'계산 과정'!$L$22+'계산 과정'!$C$49*D1744+'계산 과정'!$D$49*E1744,"")</x:f>
        <x:v>589.1738615767644</x:v>
      </x:c>
      <x:c r="G1744" s="4" t="n">
        <x:f>IF('계산 과정'!$L$7,IF(ABS(F1744)&gt;=1E-12*MAX(1,SQRT((D1744-'계산 과정'!$C$33)^2+(E1744-'계산 과정'!$D$33)^2+'계산 과정'!$E$33^2)),('계산 과정'!$L$23-'계산 과정'!$C$49*D1744-'계산 과정'!$D$49*E1744)/F1744,""),"")</x:f>
        <x:v>0.7821564541067032</x:v>
      </x:c>
      <x:c r="H1744" s="4" t="n">
        <x:f>IF(AND(ISNUMBER(G1744),G1744&gt;0),('계산 과정'!$D$56+'계산 과정'!$D$57*D1744+'계산 과정'!$D$58*E1744)/F1744,"")</x:f>
        <x:v>108.40169516935698</x:v>
      </x:c>
      <x:c r="I1744" s="4" t="n">
        <x:f>IF(AND(ISNUMBER(G1744),G1744&gt;0),('계산 과정'!$E$56+'계산 과정'!$E$57*D1744+'계산 과정'!$E$58*E1744)/F1744,"")</x:f>
        <x:v>-192.7704621856564</x:v>
      </x:c>
      <x:c r="J1744" s="4" t="n">
        <x:f>IF('계산 과정'!$L$5,'계산 과정'!$D$6+'계산 과정'!$C$35*D1744+'계산 과정'!$D$35*E1744,"")</x:f>
        <x:v>589.1738615767644</x:v>
      </x:c>
      <x:c r="K1744" s="4" t="n">
        <x:f>IF(AND('계산 과정'!$L$6,J1744&gt;0),'계산 과정'!$D$10*('계산 과정'!$C$38*(D1744-'계산 과정'!$C$32)+'계산 과정'!$D$38*(E1744-'계산 과정'!$D$32)-'계산 과정'!$E$38*'계산 과정'!$E$32)/J1744,"")</x:f>
        <x:v>0.8259176774808163</x:v>
      </x:c>
      <x:c r="L1744" s="4" t="n">
        <x:f>IF(AND('계산 과정'!$L$6,J1744&gt;0),'계산 과정'!$D$10*('계산 과정'!$C$39*(D1744-'계산 과정'!$C$32)+'계산 과정'!$D$39*(E1744-'계산 과정'!$D$32)-'계산 과정'!$E$39*'계산 과정'!$E$32)/J1744,"")</x:f>
        <x:v>-1.4687273309383346</x:v>
      </x:c>
      <x:c r="M1744" s="17" t="n">
        <x:f>IF('계산 과정'!$L$6,IF(J1744&lt;=0,0,IF(AND(ABS(K1744)&lt;='계산 과정'!$D$11/2,ABS(L1744)&lt;='계산 과정'!$D$12/2),1,0)),"")</x:f>
        <x:v>1</x:v>
      </x:c>
      <x:c r="N1744" s="17" t="n">
        <x:f>IF('계산 과정'!$C$78,IF(AND(ISNUMBER(H1744),ISNUMBER(I1744),ABS(H1744-'계산 과정'!$C$88)&lt;='계산 과정'!$D$23/2,ABS(I1744-'계산 과정'!$C$89)&lt;='계산 과정'!$D$24/2),1,0),"")</x:f>
        <x:v>1</x:v>
      </x:c>
      <x:c r="O1744" s="4" t="n">
        <x:f>IF('계산 과정'!$L$7,'계산 과정'!$C$49*('계산 과정'!$C$32-D1744)+'계산 과정'!$D$49*('계산 과정'!$D$32-E1744)+'계산 과정'!$E$49*'계산 과정'!$E$32,"")</x:f>
        <x:v>60.82613842323576</x:v>
      </x:c>
      <x:c r="P1744" s="4" t="n">
        <x:f>IF(AND('계산 과정'!$L$7,O1744&lt;&gt;0),('계산 과정'!$L$23-'계산 과정'!$C$49*D1744-'계산 과정'!$D$49*E1744)/O1744,"")</x:f>
        <x:v>7.576120239900001</x:v>
      </x:c>
      <x:c r="Q1744" s="4" t="str">
        <x:f>IF(AND(ISNUMBER(P1744),P1744&gt;1E-9,P1744&lt;1-1E-9),'계산 과정'!$C$47*(D1744-'계산 과정'!$C$50+P1744*('계산 과정'!$C$32-D1744))+'계산 과정'!$D$47*(E1744-'계산 과정'!$D$50+P1744*('계산 과정'!$D$32-E1744))+'계산 과정'!$E$47*(0-'계산 과정'!$E$50+P1744*('계산 과정'!$E$32-0)),"")</x:f>
      </x:c>
      <x:c r="R1744" s="4" t="str">
        <x:f>IF(AND(ISNUMBER(P1744),P1744&gt;1E-9,P1744&lt;1-1E-9),'계산 과정'!$C$48*(D1744-'계산 과정'!$C$50+P1744*('계산 과정'!$C$32-D1744))+'계산 과정'!$D$48*(E1744-'계산 과정'!$D$50+P1744*('계산 과정'!$D$32-E1744))+'계산 과정'!$E$48*(0-'계산 과정'!$E$50+P1744*('계산 과정'!$E$32-0)),"")</x:f>
      </x:c>
      <x:c r="S1744" s="17" t="n">
        <x:f>IF('계산 과정'!$C$78,IF(AND(ISNUMBER(Q1744),ISNUMBER(R1744),ABS(Q1744-'계산 과정'!$C$88)&lt;='계산 과정'!$D$23/2,ABS(R1744-'계산 과정'!$C$89)&lt;='계산 과정'!$D$24/2),1,0),"")</x:f>
        <x:v>0</x:v>
      </x:c>
      <x:c r="T1744" s="4"/>
      <x:c r="U1744" s="4"/>
      <x:c r="V1744" s="4"/>
      <x:c r="W1744" s="4"/>
      <x:c r="X1744" s="4"/>
      <x:c r="Y1744" s="4"/>
      <x:c r="Z1744" s="4"/>
    </x:row>
    <x:row r="1745" ht="23" customHeight="1">
      <x:c r="A1745" s="17" t="n">
        <x:f>ROW()-6</x:f>
        <x:v>1739</x:v>
      </x:c>
      <x:c r="B1745" s="4" t="n">
        <x:f>IF('계산 과정'!$L$5,'계산 과정'!$L$11*SQRT((A1745+0.5)/'계산 과정'!$L$30),"")</x:f>
        <x:v>138.24151971617462</x:v>
      </x:c>
      <x:c r="C1745" s="4" t="n">
        <x:f>A1745*PI()*(3-SQRT(5))</x:f>
        <x:v>4173.536056498127</x:v>
      </x:c>
      <x:c r="D1745" s="4" t="n">
        <x:f>IF('계산 과정'!$L$5,B1745*COS(C1745),"")</x:f>
        <x:v>9.639190098530905</x:v>
      </x:c>
      <x:c r="E1745" s="4" t="n">
        <x:f>IF('계산 과정'!$L$5,B1745*SIN(C1745),"")</x:f>
        <x:v>137.90505352481424</x:v>
      </x:c>
      <x:c r="F1745" s="4" t="n">
        <x:f>IF('계산 과정'!$L$7,'계산 과정'!$L$22+'계산 과정'!$C$49*D1745+'계산 과정'!$D$49*E1745,"")</x:f>
        <x:v>643.1840633161826</x:v>
      </x:c>
      <x:c r="G1745" s="4" t="n">
        <x:f>IF('계산 과정'!$L$7,IF(ABS(F1745)&gt;=1E-12*MAX(1,SQRT((D1745-'계산 과정'!$C$33)^2+(E1745-'계산 과정'!$D$33)^2+'계산 과정'!$E$33^2)),('계산 과정'!$L$23-'계산 과정'!$C$49*D1745-'계산 과정'!$D$49*E1745)/F1745,""),"")</x:f>
        <x:v>0.6325031353953665</x:v>
      </x:c>
      <x:c r="H1745" s="4" t="n">
        <x:f>IF(AND(ISNUMBER(G1745),G1745&gt;0),('계산 과정'!$D$56+'계산 과정'!$D$57*D1745+'계산 과정'!$D$58*E1745)/F1745,"")</x:f>
        <x:v>11.127038006988137</x:v>
      </x:c>
      <x:c r="I1745" s="4" t="n">
        <x:f>IF(AND(ISNUMBER(G1745),G1745&gt;0),('계산 과정'!$E$56+'계산 과정'!$E$57*D1745+'계산 과정'!$E$58*E1745)/F1745,"")</x:f>
        <x:v>225.13043226612507</x:v>
      </x:c>
      <x:c r="J1745" s="4" t="n">
        <x:f>IF('계산 과정'!$L$5,'계산 과정'!$D$6+'계산 과정'!$C$35*D1745+'계산 과정'!$D$35*E1745,"")</x:f>
        <x:v>643.1840633161826</x:v>
      </x:c>
      <x:c r="K1745" s="4" t="n">
        <x:f>IF(AND('계산 과정'!$L$6,J1745&gt;0),'계산 과정'!$D$10*('계산 과정'!$C$38*(D1745-'계산 과정'!$C$32)+'계산 과정'!$D$38*(E1745-'계산 과정'!$D$32)-'계산 과정'!$E$38*'계산 과정'!$E$32)/J1745,"")</x:f>
        <x:v>0.08477743243419615</x:v>
      </x:c>
      <x:c r="L1745" s="4" t="n">
        <x:f>IF(AND('계산 과정'!$L$6,J1745&gt;0),'계산 과정'!$D$10*('계산 과정'!$C$39*(D1745-'계산 과정'!$C$32)+'계산 과정'!$D$39*(E1745-'계산 과정'!$D$32)-'계산 과정'!$E$39*'계산 과정'!$E$32)/J1745,"")</x:f>
        <x:v>1.7152794839323815</x:v>
      </x:c>
      <x:c r="M1745" s="17" t="n">
        <x:f>IF('계산 과정'!$L$6,IF(J1745&lt;=0,0,IF(AND(ABS(K1745)&lt;='계산 과정'!$D$11/2,ABS(L1745)&lt;='계산 과정'!$D$12/2),1,0)),"")</x:f>
        <x:v>1</x:v>
      </x:c>
      <x:c r="N1745" s="17" t="n">
        <x:f>IF('계산 과정'!$C$78,IF(AND(ISNUMBER(H1745),ISNUMBER(I1745),ABS(H1745-'계산 과정'!$C$88)&lt;='계산 과정'!$D$23/2,ABS(I1745-'계산 과정'!$C$89)&lt;='계산 과정'!$D$24/2),1,0),"")</x:f>
        <x:v>1</x:v>
      </x:c>
      <x:c r="O1745" s="4" t="n">
        <x:f>IF('계산 과정'!$L$7,'계산 과정'!$C$49*('계산 과정'!$C$32-D1745)+'계산 과정'!$D$49*('계산 과정'!$D$32-E1745)+'계산 과정'!$E$49*'계산 과정'!$E$32,"")</x:f>
        <x:v>6.81593668381754</x:v>
      </x:c>
      <x:c r="P1745" s="4" t="n">
        <x:f>IF(AND('계산 과정'!$L$7,O1745&lt;&gt;0),('계산 과정'!$L$23-'계산 과정'!$C$49*D1745-'계산 과정'!$D$49*E1745)/O1745,"")</x:f>
        <x:v>59.685991163867996</x:v>
      </x:c>
      <x:c r="Q1745" s="4" t="str">
        <x:f>IF(AND(ISNUMBER(P1745),P1745&gt;1E-9,P1745&lt;1-1E-9),'계산 과정'!$C$47*(D1745-'계산 과정'!$C$50+P1745*('계산 과정'!$C$32-D1745))+'계산 과정'!$D$47*(E1745-'계산 과정'!$D$50+P1745*('계산 과정'!$D$32-E1745))+'계산 과정'!$E$47*(0-'계산 과정'!$E$50+P1745*('계산 과정'!$E$32-0)),"")</x:f>
      </x:c>
      <x:c r="R1745" s="4" t="str">
        <x:f>IF(AND(ISNUMBER(P1745),P1745&gt;1E-9,P1745&lt;1-1E-9),'계산 과정'!$C$48*(D1745-'계산 과정'!$C$50+P1745*('계산 과정'!$C$32-D1745))+'계산 과정'!$D$48*(E1745-'계산 과정'!$D$50+P1745*('계산 과정'!$D$32-E1745))+'계산 과정'!$E$48*(0-'계산 과정'!$E$50+P1745*('계산 과정'!$E$32-0)),"")</x:f>
      </x:c>
      <x:c r="S1745" s="17" t="n">
        <x:f>IF('계산 과정'!$C$78,IF(AND(ISNUMBER(Q1745),ISNUMBER(R1745),ABS(Q1745-'계산 과정'!$C$88)&lt;='계산 과정'!$D$23/2,ABS(R1745-'계산 과정'!$C$89)&lt;='계산 과정'!$D$24/2),1,0),"")</x:f>
        <x:v>0</x:v>
      </x:c>
      <x:c r="T1745" s="4"/>
      <x:c r="U1745" s="4"/>
      <x:c r="V1745" s="4"/>
      <x:c r="W1745" s="4"/>
      <x:c r="X1745" s="4"/>
      <x:c r="Y1745" s="4"/>
      <x:c r="Z1745" s="4"/>
    </x:row>
    <x:row r="1746" ht="23" customHeight="1">
      <x:c r="A1746" s="17" t="n">
        <x:f>ROW()-6</x:f>
        <x:v>1740</x:v>
      </x:c>
      <x:c r="B1746" s="4" t="n">
        <x:f>IF('계산 과정'!$L$5,'계산 과정'!$L$11*SQRT((A1746+0.5)/'계산 과정'!$L$30),"")</x:f>
        <x:v>138.28125</x:v>
      </x:c>
      <x:c r="C1746" s="4" t="n">
        <x:f>A1746*PI()*(3-SQRT(5))</x:f>
        <x:v>4175.936019727857</x:v>
      </x:c>
      <x:c r="D1746" s="4" t="n">
        <x:f>IF('계산 과정'!$L$5,B1746*COS(C1746),"")</x:f>
        <x:v>-100.28997879407994</x:v>
      </x:c>
      <x:c r="E1746" s="4" t="n">
        <x:f>IF('계산 과정'!$L$5,B1746*SIN(C1746),"")</x:f>
        <x:v>-95.2030685169627</x:v>
      </x:c>
      <x:c r="F1746" s="4" t="n">
        <x:f>IF('계산 과정'!$L$7,'계산 과정'!$L$22+'계산 과정'!$C$49*D1746+'계산 과정'!$D$49*E1746,"")</x:f>
        <x:v>720.9157240903489</x:v>
      </x:c>
      <x:c r="G1746" s="4" t="n">
        <x:f>IF('계산 과정'!$L$7,IF(ABS(F1746)&gt;=1E-12*MAX(1,SQRT((D1746-'계산 과정'!$C$33)^2+(E1746-'계산 과정'!$D$33)^2+'계산 과정'!$E$33^2)),('계산 과정'!$L$23-'계산 과정'!$C$49*D1746-'계산 과정'!$D$49*E1746)/F1746,""),"")</x:f>
        <x:v>0.45648092407040974</x:v>
      </x:c>
      <x:c r="H1746" s="4" t="n">
        <x:f>IF(AND(ISNUMBER(G1746),G1746&gt;0),('계산 과정'!$D$56+'계산 과정'!$D$57*D1746+'계산 과정'!$D$58*E1746)/F1746,"")</x:f>
        <x:v>-103.28739935423383</x:v>
      </x:c>
      <x:c r="I1746" s="4" t="n">
        <x:f>IF(AND(ISNUMBER(G1746),G1746&gt;0),('계산 과정'!$E$56+'계산 과정'!$E$57*D1746+'계산 과정'!$E$58*E1746)/F1746,"")</x:f>
        <x:v>-138.66145320792438</x:v>
      </x:c>
      <x:c r="J1746" s="4" t="n">
        <x:f>IF('계산 과정'!$L$5,'계산 과정'!$D$6+'계산 과정'!$C$35*D1746+'계산 과정'!$D$35*E1746,"")</x:f>
        <x:v>720.9157240903489</x:v>
      </x:c>
      <x:c r="K1746" s="4" t="n">
        <x:f>IF(AND('계산 과정'!$L$6,J1746&gt;0),'계산 과정'!$D$10*('계산 과정'!$C$38*(D1746-'계산 과정'!$C$32)+'계산 과정'!$D$38*(E1746-'계산 과정'!$D$32)-'계산 과정'!$E$38*'계산 과정'!$E$32)/J1746,"")</x:f>
        <x:v>-0.7869516141274949</x:v>
      </x:c>
      <x:c r="L1746" s="4" t="n">
        <x:f>IF(AND('계산 과정'!$L$6,J1746&gt;0),'계산 과정'!$D$10*('계산 과정'!$C$39*(D1746-'계산 과정'!$C$32)+'계산 과정'!$D$39*(E1746-'계산 과정'!$D$32)-'계산 과정'!$E$39*'계산 과정'!$E$32)/J1746,"")</x:f>
        <x:v>-1.056468214917519</x:v>
      </x:c>
      <x:c r="M1746" s="17" t="n">
        <x:f>IF('계산 과정'!$L$6,IF(J1746&lt;=0,0,IF(AND(ABS(K1746)&lt;='계산 과정'!$D$11/2,ABS(L1746)&lt;='계산 과정'!$D$12/2),1,0)),"")</x:f>
        <x:v>1</x:v>
      </x:c>
      <x:c r="N1746" s="17" t="n">
        <x:f>IF('계산 과정'!$C$78,IF(AND(ISNUMBER(H1746),ISNUMBER(I1746),ABS(H1746-'계산 과정'!$C$88)&lt;='계산 과정'!$D$23/2,ABS(I1746-'계산 과정'!$C$89)&lt;='계산 과정'!$D$24/2),1,0),"")</x:f>
        <x:v>1</x:v>
      </x:c>
      <x:c r="O1746" s="4" t="n">
        <x:f>IF('계산 과정'!$L$7,'계산 과정'!$C$49*('계산 과정'!$C$32-D1746)+'계산 과정'!$D$49*('계산 과정'!$D$32-E1746)+'계산 과정'!$E$49*'계산 과정'!$E$32,"")</x:f>
        <x:v>-70.91572409034887</x:v>
      </x:c>
      <x:c r="P1746" s="4" t="n">
        <x:f>IF(AND('계산 과정'!$L$7,O1746&lt;&gt;0),('계산 과정'!$L$23-'계산 과정'!$C$49*D1746-'계산 과정'!$D$49*E1746)/O1746,"")</x:f>
        <x:v>-4.640498001407801</x:v>
      </x:c>
      <x:c r="Q1746" s="4" t="str">
        <x:f>IF(AND(ISNUMBER(P1746),P1746&gt;1E-9,P1746&lt;1-1E-9),'계산 과정'!$C$47*(D1746-'계산 과정'!$C$50+P1746*('계산 과정'!$C$32-D1746))+'계산 과정'!$D$47*(E1746-'계산 과정'!$D$50+P1746*('계산 과정'!$D$32-E1746))+'계산 과정'!$E$47*(0-'계산 과정'!$E$50+P1746*('계산 과정'!$E$32-0)),"")</x:f>
      </x:c>
      <x:c r="R1746" s="4" t="str">
        <x:f>IF(AND(ISNUMBER(P1746),P1746&gt;1E-9,P1746&lt;1-1E-9),'계산 과정'!$C$48*(D1746-'계산 과정'!$C$50+P1746*('계산 과정'!$C$32-D1746))+'계산 과정'!$D$48*(E1746-'계산 과정'!$D$50+P1746*('계산 과정'!$D$32-E1746))+'계산 과정'!$E$48*(0-'계산 과정'!$E$50+P1746*('계산 과정'!$E$32-0)),"")</x:f>
      </x:c>
      <x:c r="S1746" s="17" t="n">
        <x:f>IF('계산 과정'!$C$78,IF(AND(ISNUMBER(Q1746),ISNUMBER(R1746),ABS(Q1746-'계산 과정'!$C$88)&lt;='계산 과정'!$D$23/2,ABS(R1746-'계산 과정'!$C$89)&lt;='계산 과정'!$D$24/2),1,0),"")</x:f>
        <x:v>0</x:v>
      </x:c>
      <x:c r="T1746" s="4"/>
      <x:c r="U1746" s="4"/>
      <x:c r="V1746" s="4"/>
      <x:c r="W1746" s="4"/>
      <x:c r="X1746" s="4"/>
      <x:c r="Y1746" s="4"/>
      <x:c r="Z1746" s="4"/>
    </x:row>
    <x:row r="1747" ht="23" customHeight="1">
      <x:c r="A1747" s="17" t="n">
        <x:f>ROW()-6</x:f>
        <x:v>1741</x:v>
      </x:c>
      <x:c r="B1747" s="4" t="n">
        <x:f>IF('계산 과정'!$L$5,'계산 과정'!$L$11*SQRT((A1747+0.5)/'계산 과정'!$L$30),"")</x:f>
        <x:v>138.32096887199532</x:v>
      </x:c>
      <x:c r="C1747" s="4" t="n">
        <x:f>A1747*PI()*(3-SQRT(5))</x:f>
        <x:v>4178.335982957585</x:v>
      </x:c>
      <x:c r="D1747" s="4" t="n">
        <x:f>IF('계산 과정'!$L$5,B1747*COS(C1747),"")</x:f>
        <x:v>138.2991705256127</x:v>
      </x:c>
      <x:c r="E1747" s="4" t="n">
        <x:f>IF('계산 과정'!$L$5,B1747*SIN(C1747),"")</x:f>
        <x:v>2.4555776540346064</x:v>
      </x:c>
      <x:c r="F1747" s="4" t="n">
        <x:f>IF('계산 과정'!$L$7,'계산 과정'!$L$22+'계산 과정'!$C$49*D1747+'계산 과정'!$D$49*E1747,"")</x:f>
        <x:v>552.2077186888646</x:v>
      </x:c>
      <x:c r="G1747" s="4" t="n">
        <x:f>IF('계산 과정'!$L$7,IF(ABS(F1747)&gt;=1E-12*MAX(1,SQRT((D1747-'계산 과정'!$C$33)^2+(E1747-'계산 과정'!$D$33)^2+'계산 과정'!$E$33^2)),('계산 과정'!$L$23-'계산 과정'!$C$49*D1747-'계산 과정'!$D$49*E1747)/F1747,""),"")</x:f>
        <x:v>0.9014583905003527</x:v>
      </x:c>
      <x:c r="H1747" s="4" t="n">
        <x:f>IF(AND(ISNUMBER(G1747),G1747&gt;0),('계산 과정'!$D$56+'계산 과정'!$D$57*D1747+'계산 과정'!$D$58*E1747)/F1747,"")</x:f>
        <x:v>185.94795382522926</x:v>
      </x:c>
      <x:c r="I1747" s="4" t="n">
        <x:f>IF(AND(ISNUMBER(G1747),G1747&gt;0),('계산 과정'!$E$56+'계산 과정'!$E$57*D1747+'계산 과정'!$E$58*E1747)/F1747,"")</x:f>
        <x:v>4.669178733789274</x:v>
      </x:c>
      <x:c r="J1747" s="4" t="n">
        <x:f>IF('계산 과정'!$L$5,'계산 과정'!$D$6+'계산 과정'!$C$35*D1747+'계산 과정'!$D$35*E1747,"")</x:f>
        <x:v>552.2077186888646</x:v>
      </x:c>
      <x:c r="K1747" s="4" t="n">
        <x:f>IF(AND('계산 과정'!$L$6,J1747&gt;0),'계산 과정'!$D$10*('계산 과정'!$C$38*(D1747-'계산 과정'!$C$32)+'계산 과정'!$D$38*(E1747-'계산 과정'!$D$32)-'계산 과정'!$E$38*'계산 과정'!$E$32)/J1747,"")</x:f>
        <x:v>1.4167463148588901</x:v>
      </x:c>
      <x:c r="L1747" s="4" t="n">
        <x:f>IF(AND('계산 과정'!$L$6,J1747&gt;0),'계산 과정'!$D$10*('계산 과정'!$C$39*(D1747-'계산 과정'!$C$32)+'계산 과정'!$D$39*(E1747-'계산 과정'!$D$32)-'계산 과정'!$E$39*'계산 과정'!$E$32)/J1747,"")</x:f>
        <x:v>0.03557469511458495</x:v>
      </x:c>
      <x:c r="M1747" s="17" t="n">
        <x:f>IF('계산 과정'!$L$6,IF(J1747&lt;=0,0,IF(AND(ABS(K1747)&lt;='계산 과정'!$D$11/2,ABS(L1747)&lt;='계산 과정'!$D$12/2),1,0)),"")</x:f>
        <x:v>1</x:v>
      </x:c>
      <x:c r="N1747" s="17" t="n">
        <x:f>IF('계산 과정'!$C$78,IF(AND(ISNUMBER(H1747),ISNUMBER(I1747),ABS(H1747-'계산 과정'!$C$88)&lt;='계산 과정'!$D$23/2,ABS(I1747-'계산 과정'!$C$89)&lt;='계산 과정'!$D$24/2),1,0),"")</x:f>
        <x:v>1</x:v>
      </x:c>
      <x:c r="O1747" s="4" t="n">
        <x:f>IF('계산 과정'!$L$7,'계산 과정'!$C$49*('계산 과정'!$C$32-D1747)+'계산 과정'!$D$49*('계산 과정'!$D$32-E1747)+'계산 과정'!$E$49*'계산 과정'!$E$32,"")</x:f>
        <x:v>97.79228131113553</x:v>
      </x:c>
      <x:c r="P1747" s="4" t="n">
        <x:f>IF(AND('계산 과정'!$L$7,O1747&lt;&gt;0),('계산 과정'!$L$23-'계산 과정'!$C$49*D1747-'계산 과정'!$D$49*E1747)/O1747,"")</x:f>
        <x:v>5.090302369850249</x:v>
      </x:c>
      <x:c r="Q1747" s="4" t="str">
        <x:f>IF(AND(ISNUMBER(P1747),P1747&gt;1E-9,P1747&lt;1-1E-9),'계산 과정'!$C$47*(D1747-'계산 과정'!$C$50+P1747*('계산 과정'!$C$32-D1747))+'계산 과정'!$D$47*(E1747-'계산 과정'!$D$50+P1747*('계산 과정'!$D$32-E1747))+'계산 과정'!$E$47*(0-'계산 과정'!$E$50+P1747*('계산 과정'!$E$32-0)),"")</x:f>
      </x:c>
      <x:c r="R1747" s="4" t="str">
        <x:f>IF(AND(ISNUMBER(P1747),P1747&gt;1E-9,P1747&lt;1-1E-9),'계산 과정'!$C$48*(D1747-'계산 과정'!$C$50+P1747*('계산 과정'!$C$32-D1747))+'계산 과정'!$D$48*(E1747-'계산 과정'!$D$50+P1747*('계산 과정'!$D$32-E1747))+'계산 과정'!$E$48*(0-'계산 과정'!$E$50+P1747*('계산 과정'!$E$32-0)),"")</x:f>
      </x:c>
      <x:c r="S1747" s="17" t="n">
        <x:f>IF('계산 과정'!$C$78,IF(AND(ISNUMBER(Q1747),ISNUMBER(R1747),ABS(Q1747-'계산 과정'!$C$88)&lt;='계산 과정'!$D$23/2,ABS(R1747-'계산 과정'!$C$89)&lt;='계산 과정'!$D$24/2),1,0),"")</x:f>
        <x:v>0</x:v>
      </x:c>
      <x:c r="T1747" s="4"/>
      <x:c r="U1747" s="4"/>
      <x:c r="V1747" s="4"/>
      <x:c r="W1747" s="4"/>
      <x:c r="X1747" s="4"/>
      <x:c r="Y1747" s="4"/>
      <x:c r="Z1747" s="4"/>
    </x:row>
    <x:row r="1748" ht="23" customHeight="1">
      <x:c r="A1748" s="17" t="n">
        <x:f>ROW()-6</x:f>
        <x:v>1742</x:v>
      </x:c>
      <x:c r="B1748" s="4" t="n">
        <x:f>IF('계산 과정'!$L$5,'계산 과정'!$L$11*SQRT((A1748+0.5)/'계산 과정'!$L$30),"")</x:f>
        <x:v>138.36067634198852</x:v>
      </x:c>
      <x:c r="C1748" s="4" t="n">
        <x:f>A1748*PI()*(3-SQRT(5))</x:f>
        <x:v>4180.735946187313</x:v>
      </x:c>
      <x:c r="D1748" s="4" t="n">
        <x:f>IF('계산 과정'!$L$5,B1748*COS(C1748),"")</x:f>
        <x:v>-103.66597368460181</x:v>
      </x:c>
      <x:c r="E1748" s="4" t="n">
        <x:f>IF('계산 과정'!$L$5,B1748*SIN(C1748),"")</x:f>
        <x:v>91.6353788546539</x:v>
      </x:c>
      <x:c r="F1748" s="4" t="n">
        <x:f>IF('계산 과정'!$L$7,'계산 과정'!$L$22+'계산 과정'!$C$49*D1748+'계산 과정'!$D$49*E1748,"")</x:f>
        <x:v>723.3029129706881</x:v>
      </x:c>
      <x:c r="G1748" s="4" t="n">
        <x:f>IF('계산 과정'!$L$7,IF(ABS(F1748)&gt;=1E-12*MAX(1,SQRT((D1748-'계산 과정'!$C$33)^2+(E1748-'계산 과정'!$D$33)^2+'계산 과정'!$E$33^2)),('계산 과정'!$L$23-'계산 과정'!$C$49*D1748-'계산 과정'!$D$49*E1748)/F1748,""),"")</x:f>
        <x:v>0.4516739545365986</x:v>
      </x:c>
      <x:c r="H1748" s="4" t="n">
        <x:f>IF(AND(ISNUMBER(G1748),G1748&gt;0),('계산 과정'!$D$56+'계산 과정'!$D$57*D1748+'계산 과정'!$D$58*E1748)/F1748,"")</x:f>
        <x:v>-106.41192955121107</x:v>
      </x:c>
      <x:c r="I1748" s="4" t="n">
        <x:f>IF(AND(ISNUMBER(G1748),G1748&gt;0),('계산 과정'!$E$56+'계산 과정'!$E$57*D1748+'계산 과정'!$E$58*E1748)/F1748,"")</x:f>
        <x:v>133.0246927973948</x:v>
      </x:c>
      <x:c r="J1748" s="4" t="n">
        <x:f>IF('계산 과정'!$L$5,'계산 과정'!$D$6+'계산 과정'!$C$35*D1748+'계산 과정'!$D$35*E1748,"")</x:f>
        <x:v>723.3029129706881</x:v>
      </x:c>
      <x:c r="K1748" s="4" t="n">
        <x:f>IF(AND('계산 과정'!$L$6,J1748&gt;0),'계산 과정'!$D$10*('계산 과정'!$C$38*(D1748-'계산 과정'!$C$32)+'계산 과정'!$D$38*(E1748-'계산 과정'!$D$32)-'계산 과정'!$E$38*'계산 과정'!$E$32)/J1748,"")</x:f>
        <x:v>-0.8107575584854166</x:v>
      </x:c>
      <x:c r="L1748" s="4" t="n">
        <x:f>IF(AND('계산 과정'!$L$6,J1748&gt;0),'계산 과정'!$D$10*('계산 과정'!$C$39*(D1748-'계산 과정'!$C$32)+'계산 과정'!$D$39*(E1748-'계산 과정'!$D$32)-'계산 과정'!$E$39*'계산 과정'!$E$32)/J1748,"")</x:f>
        <x:v>1.013521468932532</x:v>
      </x:c>
      <x:c r="M1748" s="17" t="n">
        <x:f>IF('계산 과정'!$L$6,IF(J1748&lt;=0,0,IF(AND(ABS(K1748)&lt;='계산 과정'!$D$11/2,ABS(L1748)&lt;='계산 과정'!$D$12/2),1,0)),"")</x:f>
        <x:v>1</x:v>
      </x:c>
      <x:c r="N1748" s="17" t="n">
        <x:f>IF('계산 과정'!$C$78,IF(AND(ISNUMBER(H1748),ISNUMBER(I1748),ABS(H1748-'계산 과정'!$C$88)&lt;='계산 과정'!$D$23/2,ABS(I1748-'계산 과정'!$C$89)&lt;='계산 과정'!$D$24/2),1,0),"")</x:f>
        <x:v>1</x:v>
      </x:c>
      <x:c r="O1748" s="4" t="n">
        <x:f>IF('계산 과정'!$L$7,'계산 과정'!$C$49*('계산 과정'!$C$32-D1748)+'계산 과정'!$D$49*('계산 과정'!$D$32-E1748)+'계산 과정'!$E$49*'계산 과정'!$E$32,"")</x:f>
        <x:v>-73.302912970688</x:v>
      </x:c>
      <x:c r="P1748" s="4" t="n">
        <x:f>IF(AND('계산 과정'!$L$7,O1748&lt;&gt;0),('계산 과정'!$L$23-'계산 과정'!$C$49*D1748-'계산 과정'!$D$49*E1748)/O1748,"")</x:f>
        <x:v>-4.456809065145199</x:v>
      </x:c>
      <x:c r="Q1748" s="4" t="str">
        <x:f>IF(AND(ISNUMBER(P1748),P1748&gt;1E-9,P1748&lt;1-1E-9),'계산 과정'!$C$47*(D1748-'계산 과정'!$C$50+P1748*('계산 과정'!$C$32-D1748))+'계산 과정'!$D$47*(E1748-'계산 과정'!$D$50+P1748*('계산 과정'!$D$32-E1748))+'계산 과정'!$E$47*(0-'계산 과정'!$E$50+P1748*('계산 과정'!$E$32-0)),"")</x:f>
      </x:c>
      <x:c r="R1748" s="4" t="str">
        <x:f>IF(AND(ISNUMBER(P1748),P1748&gt;1E-9,P1748&lt;1-1E-9),'계산 과정'!$C$48*(D1748-'계산 과정'!$C$50+P1748*('계산 과정'!$C$32-D1748))+'계산 과정'!$D$48*(E1748-'계산 과정'!$D$50+P1748*('계산 과정'!$D$32-E1748))+'계산 과정'!$E$48*(0-'계산 과정'!$E$50+P1748*('계산 과정'!$E$32-0)),"")</x:f>
      </x:c>
      <x:c r="S1748" s="17" t="n">
        <x:f>IF('계산 과정'!$C$78,IF(AND(ISNUMBER(Q1748),ISNUMBER(R1748),ABS(Q1748-'계산 과정'!$C$88)&lt;='계산 과정'!$D$23/2,ABS(R1748-'계산 과정'!$C$89)&lt;='계산 과정'!$D$24/2),1,0),"")</x:f>
        <x:v>0</x:v>
      </x:c>
      <x:c r="T1748" s="4"/>
      <x:c r="U1748" s="4"/>
      <x:c r="V1748" s="4"/>
      <x:c r="W1748" s="4"/>
      <x:c r="X1748" s="4"/>
      <x:c r="Y1748" s="4"/>
      <x:c r="Z1748" s="4"/>
    </x:row>
    <x:row r="1749" ht="23" customHeight="1">
      <x:c r="A1749" s="17" t="n">
        <x:f>ROW()-6</x:f>
        <x:v>1743</x:v>
      </x:c>
      <x:c r="B1749" s="4" t="n">
        <x:f>IF('계산 과정'!$L$5,'계산 과정'!$L$11*SQRT((A1749+0.5)/'계산 과정'!$L$30),"")</x:f>
        <x:v>138.40037241979337</x:v>
      </x:c>
      <x:c r="C1749" s="4" t="n">
        <x:f>A1749*PI()*(3-SQRT(5))</x:f>
        <x:v>4183.135909417042</x:v>
      </x:c>
      <x:c r="D1749" s="4" t="n">
        <x:f>IF('계산 과정'!$L$5,B1749*COS(C1749),"")</x:f>
        <x:v>14.545425611173451</x:v>
      </x:c>
      <x:c r="E1749" s="4" t="n">
        <x:f>IF('계산 과정'!$L$5,B1749*SIN(C1749),"")</x:f>
        <x:v>-137.63391180856308</x:v>
      </x:c>
      <x:c r="F1749" s="4" t="n">
        <x:f>IF('계산 과정'!$L$7,'계산 과정'!$L$22+'계산 과정'!$C$49*D1749+'계산 과정'!$D$49*E1749,"")</x:f>
        <x:v>639.7148309150948</x:v>
      </x:c>
      <x:c r="G1749" s="4" t="n">
        <x:f>IF('계산 과정'!$L$7,IF(ABS(F1749)&gt;=1E-12*MAX(1,SQRT((D1749-'계산 과정'!$C$33)^2+(E1749-'계산 과정'!$D$33)^2+'계산 과정'!$E$33^2)),('계산 과정'!$L$23-'계산 과정'!$C$49*D1749-'계산 과정'!$D$49*E1749)/F1749,""),"")</x:f>
        <x:v>0.6413563501380817</x:v>
      </x:c>
      <x:c r="H1749" s="4" t="n">
        <x:f>IF(AND(ISNUMBER(G1749),G1749&gt;0),('계산 과정'!$D$56+'계산 과정'!$D$57*D1749+'계산 과정'!$D$58*E1749)/F1749,"")</x:f>
        <x:v>16.88162758975297</x:v>
      </x:c>
      <x:c r="I1749" s="4" t="n">
        <x:f>IF(AND(ISNUMBER(G1749),G1749&gt;0),('계산 과정'!$E$56+'계산 과정'!$E$57*D1749+'계산 과정'!$E$58*E1749)/F1749,"")</x:f>
        <x:v>-225.9062951413297</x:v>
      </x:c>
      <x:c r="J1749" s="4" t="n">
        <x:f>IF('계산 과정'!$L$5,'계산 과정'!$D$6+'계산 과정'!$C$35*D1749+'계산 과정'!$D$35*E1749,"")</x:f>
        <x:v>639.7148309150948</x:v>
      </x:c>
      <x:c r="K1749" s="4" t="n">
        <x:f>IF(AND('계산 과정'!$L$6,J1749&gt;0),'계산 과정'!$D$10*('계산 과정'!$C$38*(D1749-'계산 과정'!$C$32)+'계산 과정'!$D$38*(E1749-'계산 과정'!$D$32)-'계산 과정'!$E$38*'계산 과정'!$E$32)/J1749,"")</x:f>
        <x:v>0.12862192449335705</x:v>
      </x:c>
      <x:c r="L1749" s="4" t="n">
        <x:f>IF(AND('계산 과정'!$L$6,J1749&gt;0),'계산 과정'!$D$10*('계산 과정'!$C$39*(D1749-'계산 과정'!$C$32)+'계산 과정'!$D$39*(E1749-'계산 과정'!$D$32)-'계산 과정'!$E$39*'계산 과정'!$E$32)/J1749,"")</x:f>
        <x:v>-1.7211908201244168</x:v>
      </x:c>
      <x:c r="M1749" s="17" t="n">
        <x:f>IF('계산 과정'!$L$6,IF(J1749&lt;=0,0,IF(AND(ABS(K1749)&lt;='계산 과정'!$D$11/2,ABS(L1749)&lt;='계산 과정'!$D$12/2),1,0)),"")</x:f>
        <x:v>1</x:v>
      </x:c>
      <x:c r="N1749" s="17" t="n">
        <x:f>IF('계산 과정'!$C$78,IF(AND(ISNUMBER(H1749),ISNUMBER(I1749),ABS(H1749-'계산 과정'!$C$88)&lt;='계산 과정'!$D$23/2,ABS(I1749-'계산 과정'!$C$89)&lt;='계산 과정'!$D$24/2),1,0),"")</x:f>
        <x:v>1</x:v>
      </x:c>
      <x:c r="O1749" s="4" t="n">
        <x:f>IF('계산 과정'!$L$7,'계산 과정'!$C$49*('계산 과정'!$C$32-D1749)+'계산 과정'!$D$49*('계산 과정'!$D$32-E1749)+'계산 과정'!$E$49*'계산 과정'!$E$32,"")</x:f>
        <x:v>10.285169084905363</x:v>
      </x:c>
      <x:c r="P1749" s="4" t="n">
        <x:f>IF(AND('계산 과정'!$L$7,O1749&lt;&gt;0),('계산 과정'!$L$23-'계산 과정'!$C$49*D1749-'계산 과정'!$D$49*E1749)/O1749,"")</x:f>
        <x:v>39.89095032837571</x:v>
      </x:c>
      <x:c r="Q1749" s="4" t="str">
        <x:f>IF(AND(ISNUMBER(P1749),P1749&gt;1E-9,P1749&lt;1-1E-9),'계산 과정'!$C$47*(D1749-'계산 과정'!$C$50+P1749*('계산 과정'!$C$32-D1749))+'계산 과정'!$D$47*(E1749-'계산 과정'!$D$50+P1749*('계산 과정'!$D$32-E1749))+'계산 과정'!$E$47*(0-'계산 과정'!$E$50+P1749*('계산 과정'!$E$32-0)),"")</x:f>
      </x:c>
      <x:c r="R1749" s="4" t="str">
        <x:f>IF(AND(ISNUMBER(P1749),P1749&gt;1E-9,P1749&lt;1-1E-9),'계산 과정'!$C$48*(D1749-'계산 과정'!$C$50+P1749*('계산 과정'!$C$32-D1749))+'계산 과정'!$D$48*(E1749-'계산 과정'!$D$50+P1749*('계산 과정'!$D$32-E1749))+'계산 과정'!$E$48*(0-'계산 과정'!$E$50+P1749*('계산 과정'!$E$32-0)),"")</x:f>
      </x:c>
      <x:c r="S1749" s="17" t="n">
        <x:f>IF('계산 과정'!$C$78,IF(AND(ISNUMBER(Q1749),ISNUMBER(R1749),ABS(Q1749-'계산 과정'!$C$88)&lt;='계산 과정'!$D$23/2,ABS(R1749-'계산 과정'!$C$89)&lt;='계산 과정'!$D$24/2),1,0),"")</x:f>
        <x:v>0</x:v>
      </x:c>
      <x:c r="T1749" s="4"/>
      <x:c r="U1749" s="4"/>
      <x:c r="V1749" s="4"/>
      <x:c r="W1749" s="4"/>
      <x:c r="X1749" s="4"/>
      <x:c r="Y1749" s="4"/>
      <x:c r="Z1749" s="4"/>
    </x:row>
    <x:row r="1750" ht="23" customHeight="1">
      <x:c r="A1750" s="17" t="n">
        <x:f>ROW()-6</x:f>
        <x:v>1744</x:v>
      </x:c>
      <x:c r="B1750" s="4" t="n">
        <x:f>IF('계산 과정'!$L$5,'계산 과정'!$L$11*SQRT((A1750+0.5)/'계산 과정'!$L$30),"")</x:f>
        <x:v>138.4400571152096</x:v>
      </x:c>
      <x:c r="C1750" s="4" t="n">
        <x:f>A1750*PI()*(3-SQRT(5))</x:f>
        <x:v>4185.53587264677</x:v>
      </x:c>
      <x:c r="D1750" s="4" t="n">
        <x:f>IF('계산 과정'!$L$5,B1750*COS(C1750),"")</x:f>
        <x:v>82.26861022794571</x:v>
      </x:c>
      <x:c r="E1750" s="4" t="n">
        <x:f>IF('계산 과정'!$L$5,B1750*SIN(C1750),"")</x:f>
        <x:v>111.34417445571566</x:v>
      </x:c>
      <x:c r="F1750" s="4" t="n">
        <x:f>IF('계산 과정'!$L$7,'계산 과정'!$L$22+'계산 과정'!$C$49*D1750+'계산 과정'!$D$49*E1750,"")</x:f>
        <x:v>591.8273078290266</x:v>
      </x:c>
      <x:c r="G1750" s="4" t="n">
        <x:f>IF('계산 과정'!$L$7,IF(ABS(F1750)&gt;=1E-12*MAX(1,SQRT((D1750-'계산 과정'!$C$33)^2+(E1750-'계산 과정'!$D$33)^2+'계산 과정'!$E$33^2)),('계산 과정'!$L$23-'계산 과정'!$C$49*D1750-'계산 과정'!$D$49*E1750)/F1750,""),"")</x:f>
        <x:v>0.7741661902213799</x:v>
      </x:c>
      <x:c r="H1750" s="4" t="n">
        <x:f>IF(AND(ISNUMBER(G1750),G1750&gt;0),('계산 과정'!$D$56+'계산 과정'!$D$57*D1750+'계산 과정'!$D$58*E1750)/F1750,"")</x:f>
        <x:v>103.20802364389684</x:v>
      </x:c>
      <x:c r="I1750" s="4" t="n">
        <x:f>IF(AND(ISNUMBER(G1750),G1750&gt;0),('계산 과정'!$E$56+'계산 과정'!$E$57*D1750+'계산 과정'!$E$58*E1750)/F1750,"")</x:f>
        <x:v>197.54306979744175</x:v>
      </x:c>
      <x:c r="J1750" s="4" t="n">
        <x:f>IF('계산 과정'!$L$5,'계산 과정'!$D$6+'계산 과정'!$C$35*D1750+'계산 과정'!$D$35*E1750,"")</x:f>
        <x:v>591.8273078290266</x:v>
      </x:c>
      <x:c r="K1750" s="4" t="n">
        <x:f>IF(AND('계산 과정'!$L$6,J1750&gt;0),'계산 과정'!$D$10*('계산 과정'!$C$38*(D1750-'계산 과정'!$C$32)+'계산 과정'!$D$38*(E1750-'계산 과정'!$D$32)-'계산 과정'!$E$38*'계산 과정'!$E$32)/J1750,"")</x:f>
        <x:v>0.7863468468106435</x:v>
      </x:c>
      <x:c r="L1750" s="4" t="n">
        <x:f>IF(AND('계산 과정'!$L$6,J1750&gt;0),'계산 과정'!$D$10*('계산 과정'!$C$39*(D1750-'계산 과정'!$C$32)+'계산 과정'!$D$39*(E1750-'계산 과정'!$D$32)-'계산 과정'!$E$39*'계산 과정'!$E$32)/J1750,"")</x:f>
        <x:v>1.505090055599556</x:v>
      </x:c>
      <x:c r="M1750" s="17" t="n">
        <x:f>IF('계산 과정'!$L$6,IF(J1750&lt;=0,0,IF(AND(ABS(K1750)&lt;='계산 과정'!$D$11/2,ABS(L1750)&lt;='계산 과정'!$D$12/2),1,0)),"")</x:f>
        <x:v>1</x:v>
      </x:c>
      <x:c r="N1750" s="17" t="n">
        <x:f>IF('계산 과정'!$C$78,IF(AND(ISNUMBER(H1750),ISNUMBER(I1750),ABS(H1750-'계산 과정'!$C$88)&lt;='계산 과정'!$D$23/2,ABS(I1750-'계산 과정'!$C$89)&lt;='계산 과정'!$D$24/2),1,0),"")</x:f>
        <x:v>1</x:v>
      </x:c>
      <x:c r="O1750" s="4" t="n">
        <x:f>IF('계산 과정'!$L$7,'계산 과정'!$C$49*('계산 과정'!$C$32-D1750)+'계산 과정'!$D$49*('계산 과정'!$D$32-E1750)+'계산 과정'!$E$49*'계산 과정'!$E$32,"")</x:f>
        <x:v>58.172692170973505</x:v>
      </x:c>
      <x:c r="P1750" s="4" t="n">
        <x:f>IF(AND('계산 과정'!$L$7,O1750&lt;&gt;0),('계산 과정'!$L$23-'계산 과정'!$C$49*D1750-'계산 과정'!$D$49*E1750)/O1750,"")</x:f>
        <x:v>7.876078535687718</x:v>
      </x:c>
      <x:c r="Q1750" s="4" t="str">
        <x:f>IF(AND(ISNUMBER(P1750),P1750&gt;1E-9,P1750&lt;1-1E-9),'계산 과정'!$C$47*(D1750-'계산 과정'!$C$50+P1750*('계산 과정'!$C$32-D1750))+'계산 과정'!$D$47*(E1750-'계산 과정'!$D$50+P1750*('계산 과정'!$D$32-E1750))+'계산 과정'!$E$47*(0-'계산 과정'!$E$50+P1750*('계산 과정'!$E$32-0)),"")</x:f>
      </x:c>
      <x:c r="R1750" s="4" t="str">
        <x:f>IF(AND(ISNUMBER(P1750),P1750&gt;1E-9,P1750&lt;1-1E-9),'계산 과정'!$C$48*(D1750-'계산 과정'!$C$50+P1750*('계산 과정'!$C$32-D1750))+'계산 과정'!$D$48*(E1750-'계산 과정'!$D$50+P1750*('계산 과정'!$D$32-E1750))+'계산 과정'!$E$48*(0-'계산 과정'!$E$50+P1750*('계산 과정'!$E$32-0)),"")</x:f>
      </x:c>
      <x:c r="S1750" s="17" t="n">
        <x:f>IF('계산 과정'!$C$78,IF(AND(ISNUMBER(Q1750),ISNUMBER(R1750),ABS(Q1750-'계산 과정'!$C$88)&lt;='계산 과정'!$D$23/2,ABS(R1750-'계산 과정'!$C$89)&lt;='계산 과정'!$D$24/2),1,0),"")</x:f>
        <x:v>0</x:v>
      </x:c>
      <x:c r="T1750" s="4"/>
      <x:c r="U1750" s="4"/>
      <x:c r="V1750" s="4"/>
      <x:c r="W1750" s="4"/>
      <x:c r="X1750" s="4"/>
      <x:c r="Y1750" s="4"/>
      <x:c r="Z1750" s="4"/>
    </x:row>
    <x:row r="1751" ht="23" customHeight="1">
      <x:c r="A1751" s="17" t="n">
        <x:f>ROW()-6</x:f>
        <x:v>1745</x:v>
      </x:c>
      <x:c r="B1751" s="4" t="n">
        <x:f>IF('계산 과정'!$L$5,'계산 과정'!$L$11*SQRT((A1751+0.5)/'계산 과정'!$L$30),"")</x:f>
        <x:v>138.47973043802295</x:v>
      </x:c>
      <x:c r="C1751" s="4" t="n">
        <x:f>A1751*PI()*(3-SQRT(5))</x:f>
        <x:v>4187.935835876499</x:v>
      </x:c>
      <x:c r="D1751" s="4" t="n">
        <x:f>IF('계산 과정'!$L$5,B1751*COS(C1751),"")</x:f>
        <x:v>-135.91316001337248</x:v>
      </x:c>
      <x:c r="E1751" s="4" t="n">
        <x:f>IF('계산 과정'!$L$5,B1751*SIN(C1751),"")</x:f>
        <x:v>-26.537684099538744</x:v>
      </x:c>
      <x:c r="F1751" s="4" t="n">
        <x:f>IF('계산 과정'!$L$7,'계산 과정'!$L$22+'계산 과정'!$C$49*D1751+'계산 과정'!$D$49*E1751,"")</x:f>
        <x:v>746.105117097948</x:v>
      </x:c>
      <x:c r="G1751" s="4" t="n">
        <x:f>IF('계산 과정'!$L$7,IF(ABS(F1751)&gt;=1E-12*MAX(1,SQRT((D1751-'계산 과정'!$C$33)^2+(E1751-'계산 과정'!$D$33)^2+'계산 과정'!$E$33^2)),('계산 과정'!$L$23-'계산 과정'!$C$49*D1751-'계산 과정'!$D$49*E1751)/F1751,""),"")</x:f>
        <x:v>0.407308401910018</x:v>
      </x:c>
      <x:c r="H1751" s="4" t="n">
        <x:f>IF(AND(ISNUMBER(G1751),G1751&gt;0),('계산 과정'!$D$56+'계산 과정'!$D$57*D1751+'계산 과정'!$D$58*E1751)/F1751,"")</x:f>
        <x:v>-135.24953875848846</x:v>
      </x:c>
      <x:c r="I1751" s="4" t="n">
        <x:f>IF(AND(ISNUMBER(G1751),G1751&gt;0),('계산 과정'!$E$56+'계산 과정'!$E$57*D1751+'계산 과정'!$E$58*E1751)/F1751,"")</x:f>
        <x:v>-37.34670580051476</x:v>
      </x:c>
      <x:c r="J1751" s="4" t="n">
        <x:f>IF('계산 과정'!$L$5,'계산 과정'!$D$6+'계산 과정'!$C$35*D1751+'계산 과정'!$D$35*E1751,"")</x:f>
        <x:v>746.105117097948</x:v>
      </x:c>
      <x:c r="K1751" s="4" t="n">
        <x:f>IF(AND('계산 과정'!$L$6,J1751&gt;0),'계산 과정'!$D$10*('계산 과정'!$C$38*(D1751-'계산 과정'!$C$32)+'계산 과정'!$D$38*(E1751-'계산 과정'!$D$32)-'계산 과정'!$E$38*'계산 과정'!$E$32)/J1751,"")</x:f>
        <x:v>-1.030472676255149</x:v>
      </x:c>
      <x:c r="L1751" s="4" t="n">
        <x:f>IF(AND('계산 과정'!$L$6,J1751&gt;0),'계산 과정'!$D$10*('계산 과정'!$C$39*(D1751-'계산 과정'!$C$32)+'계산 과정'!$D$39*(E1751-'계산 과정'!$D$32)-'계산 과정'!$E$39*'계산 과정'!$E$32)/J1751,"")</x:f>
        <x:v>-0.2845463299086839</x:v>
      </x:c>
      <x:c r="M1751" s="17" t="n">
        <x:f>IF('계산 과정'!$L$6,IF(J1751&lt;=0,0,IF(AND(ABS(K1751)&lt;='계산 과정'!$D$11/2,ABS(L1751)&lt;='계산 과정'!$D$12/2),1,0)),"")</x:f>
        <x:v>1</x:v>
      </x:c>
      <x:c r="N1751" s="17" t="n">
        <x:f>IF('계산 과정'!$C$78,IF(AND(ISNUMBER(H1751),ISNUMBER(I1751),ABS(H1751-'계산 과정'!$C$88)&lt;='계산 과정'!$D$23/2,ABS(I1751-'계산 과정'!$C$89)&lt;='계산 과정'!$D$24/2),1,0),"")</x:f>
        <x:v>1</x:v>
      </x:c>
      <x:c r="O1751" s="4" t="n">
        <x:f>IF('계산 과정'!$L$7,'계산 과정'!$C$49*('계산 과정'!$C$32-D1751)+'계산 과정'!$D$49*('계산 과정'!$D$32-E1751)+'계산 과정'!$E$49*'계산 과정'!$E$32,"")</x:f>
        <x:v>-96.10511709794787</x:v>
      </x:c>
      <x:c r="P1751" s="4" t="n">
        <x:f>IF(AND('계산 과정'!$L$7,O1751&lt;&gt;0),('계산 과정'!$L$23-'계산 과정'!$C$49*D1751-'계산 과정'!$D$49*E1751)/O1751,"")</x:f>
        <x:v>-3.1621092828213313</x:v>
      </x:c>
      <x:c r="Q1751" s="4" t="str">
        <x:f>IF(AND(ISNUMBER(P1751),P1751&gt;1E-9,P1751&lt;1-1E-9),'계산 과정'!$C$47*(D1751-'계산 과정'!$C$50+P1751*('계산 과정'!$C$32-D1751))+'계산 과정'!$D$47*(E1751-'계산 과정'!$D$50+P1751*('계산 과정'!$D$32-E1751))+'계산 과정'!$E$47*(0-'계산 과정'!$E$50+P1751*('계산 과정'!$E$32-0)),"")</x:f>
      </x:c>
      <x:c r="R1751" s="4" t="str">
        <x:f>IF(AND(ISNUMBER(P1751),P1751&gt;1E-9,P1751&lt;1-1E-9),'계산 과정'!$C$48*(D1751-'계산 과정'!$C$50+P1751*('계산 과정'!$C$32-D1751))+'계산 과정'!$D$48*(E1751-'계산 과정'!$D$50+P1751*('계산 과정'!$D$32-E1751))+'계산 과정'!$E$48*(0-'계산 과정'!$E$50+P1751*('계산 과정'!$E$32-0)),"")</x:f>
      </x:c>
      <x:c r="S1751" s="17" t="n">
        <x:f>IF('계산 과정'!$C$78,IF(AND(ISNUMBER(Q1751),ISNUMBER(R1751),ABS(Q1751-'계산 과정'!$C$88)&lt;='계산 과정'!$D$23/2,ABS(R1751-'계산 과정'!$C$89)&lt;='계산 과정'!$D$24/2),1,0),"")</x:f>
        <x:v>0</x:v>
      </x:c>
      <x:c r="T1751" s="4"/>
      <x:c r="U1751" s="4"/>
      <x:c r="V1751" s="4"/>
      <x:c r="W1751" s="4"/>
      <x:c r="X1751" s="4"/>
      <x:c r="Y1751" s="4"/>
      <x:c r="Z1751" s="4"/>
    </x:row>
    <x:row r="1752" ht="23" customHeight="1">
      <x:c r="A1752" s="17" t="n">
        <x:f>ROW()-6</x:f>
        <x:v>1746</x:v>
      </x:c>
      <x:c r="B1752" s="4" t="n">
        <x:f>IF('계산 과정'!$L$5,'계산 과정'!$L$11*SQRT((A1752+0.5)/'계산 과정'!$L$30),"")</x:f>
        <x:v>138.51939239800504</x:v>
      </x:c>
      <x:c r="C1752" s="4" t="n">
        <x:f>A1752*PI()*(3-SQRT(5))</x:f>
        <x:v>4190.3357991062285</x:v>
      </x:c>
      <x:c r="D1752" s="4" t="n">
        <x:f>IF('계산 과정'!$L$5,B1752*COS(C1752),"")</x:f>
        <x:v>118.17791998648458</x:v>
      </x:c>
      <x:c r="E1752" s="4" t="n">
        <x:f>IF('계산 과정'!$L$5,B1752*SIN(C1752),"")</x:f>
        <x:v>-72.26064833628703</x:v>
      </x:c>
      <x:c r="F1752" s="4" t="n">
        <x:f>IF('계산 과정'!$L$7,'계산 과정'!$L$22+'계산 과정'!$C$49*D1752+'계산 과정'!$D$49*E1752,"")</x:f>
        <x:v>566.4355913910356</x:v>
      </x:c>
      <x:c r="G1752" s="4" t="n">
        <x:f>IF('계산 과정'!$L$7,IF(ABS(F1752)&gt;=1E-12*MAX(1,SQRT((D1752-'계산 과정'!$C$33)^2+(E1752-'계산 과정'!$D$33)^2+'계산 과정'!$E$33^2)),('계산 과정'!$L$23-'계산 과정'!$C$49*D1752-'계산 과정'!$D$49*E1752)/F1752,""),"")</x:f>
        <x:v>0.8536970768758394</x:v>
      </x:c>
      <x:c r="H1752" s="4" t="n">
        <x:f>IF(AND(ISNUMBER(G1752),G1752&gt;0),('계산 과정'!$D$56+'계산 과정'!$D$57*D1752+'계산 과정'!$D$58*E1752)/F1752,"")</x:f>
        <x:v>154.9030999692956</x:v>
      </x:c>
      <x:c r="I1752" s="4" t="n">
        <x:f>IF(AND(ISNUMBER(G1752),G1752&gt;0),('계산 과정'!$E$56+'계산 과정'!$E$57*D1752+'계산 과정'!$E$58*E1752)/F1752,"")</x:f>
        <x:v>-133.94935259412827</x:v>
      </x:c>
      <x:c r="J1752" s="4" t="n">
        <x:f>IF('계산 과정'!$L$5,'계산 과정'!$D$6+'계산 과정'!$C$35*D1752+'계산 과정'!$D$35*E1752,"")</x:f>
        <x:v>566.4355913910356</x:v>
      </x:c>
      <x:c r="K1752" s="4" t="n">
        <x:f>IF(AND('계산 과정'!$L$6,J1752&gt;0),'계산 과정'!$D$10*('계산 과정'!$C$38*(D1752-'계산 과정'!$C$32)+'계산 과정'!$D$38*(E1752-'계산 과정'!$D$32)-'계산 과정'!$E$38*'계산 과정'!$E$32)/J1752,"")</x:f>
        <x:v>1.1802140950041577</x:v>
      </x:c>
      <x:c r="L1752" s="4" t="n">
        <x:f>IF(AND('계산 과정'!$L$6,J1752&gt;0),'계산 과정'!$D$10*('계산 과정'!$C$39*(D1752-'계산 과정'!$C$32)+'계산 과정'!$D$39*(E1752-'계산 과정'!$D$32)-'계산 과정'!$E$39*'계산 과정'!$E$32)/J1752,"")</x:f>
        <x:v>-1.020566495955263</x:v>
      </x:c>
      <x:c r="M1752" s="17" t="n">
        <x:f>IF('계산 과정'!$L$6,IF(J1752&lt;=0,0,IF(AND(ABS(K1752)&lt;='계산 과정'!$D$11/2,ABS(L1752)&lt;='계산 과정'!$D$12/2),1,0)),"")</x:f>
        <x:v>1</x:v>
      </x:c>
      <x:c r="N1752" s="17" t="n">
        <x:f>IF('계산 과정'!$C$78,IF(AND(ISNUMBER(H1752),ISNUMBER(I1752),ABS(H1752-'계산 과정'!$C$88)&lt;='계산 과정'!$D$23/2,ABS(I1752-'계산 과정'!$C$89)&lt;='계산 과정'!$D$24/2),1,0),"")</x:f>
        <x:v>1</x:v>
      </x:c>
      <x:c r="O1752" s="4" t="n">
        <x:f>IF('계산 과정'!$L$7,'계산 과정'!$C$49*('계산 과정'!$C$32-D1752)+'계산 과정'!$D$49*('계산 과정'!$D$32-E1752)+'계산 과정'!$E$49*'계산 과정'!$E$32,"")</x:f>
        <x:v>83.56440860896458</x:v>
      </x:c>
      <x:c r="P1752" s="4" t="n">
        <x:f>IF(AND('계산 과정'!$L$7,O1752&lt;&gt;0),('계산 과정'!$L$23-'계산 과정'!$C$49*D1752-'계산 과정'!$D$49*E1752)/O1752,"")</x:f>
        <x:v>5.786726869231847</x:v>
      </x:c>
      <x:c r="Q1752" s="4" t="str">
        <x:f>IF(AND(ISNUMBER(P1752),P1752&gt;1E-9,P1752&lt;1-1E-9),'계산 과정'!$C$47*(D1752-'계산 과정'!$C$50+P1752*('계산 과정'!$C$32-D1752))+'계산 과정'!$D$47*(E1752-'계산 과정'!$D$50+P1752*('계산 과정'!$D$32-E1752))+'계산 과정'!$E$47*(0-'계산 과정'!$E$50+P1752*('계산 과정'!$E$32-0)),"")</x:f>
      </x:c>
      <x:c r="R1752" s="4" t="str">
        <x:f>IF(AND(ISNUMBER(P1752),P1752&gt;1E-9,P1752&lt;1-1E-9),'계산 과정'!$C$48*(D1752-'계산 과정'!$C$50+P1752*('계산 과정'!$C$32-D1752))+'계산 과정'!$D$48*(E1752-'계산 과정'!$D$50+P1752*('계산 과정'!$D$32-E1752))+'계산 과정'!$E$48*(0-'계산 과정'!$E$50+P1752*('계산 과정'!$E$32-0)),"")</x:f>
      </x:c>
      <x:c r="S1752" s="17" t="n">
        <x:f>IF('계산 과정'!$C$78,IF(AND(ISNUMBER(Q1752),ISNUMBER(R1752),ABS(Q1752-'계산 과정'!$C$88)&lt;='계산 과정'!$D$23/2,ABS(R1752-'계산 과정'!$C$89)&lt;='계산 과정'!$D$24/2),1,0),"")</x:f>
        <x:v>0</x:v>
      </x:c>
      <x:c r="T1752" s="4"/>
      <x:c r="U1752" s="4"/>
      <x:c r="V1752" s="4"/>
      <x:c r="W1752" s="4"/>
      <x:c r="X1752" s="4"/>
      <x:c r="Y1752" s="4"/>
      <x:c r="Z1752" s="4"/>
    </x:row>
    <x:row r="1753" ht="23" customHeight="1">
      <x:c r="A1753" s="17" t="n">
        <x:f>ROW()-6</x:f>
        <x:v>1747</x:v>
      </x:c>
      <x:c r="B1753" s="4" t="n">
        <x:f>IF('계산 과정'!$L$5,'계산 과정'!$L$11*SQRT((A1753+0.5)/'계산 과정'!$L$30),"")</x:f>
        <x:v>138.5590430049136</x:v>
      </x:c>
      <x:c r="C1753" s="4" t="n">
        <x:f>A1753*PI()*(3-SQRT(5))</x:f>
        <x:v>4192.735762335957</x:v>
      </x:c>
      <x:c r="D1753" s="4" t="n">
        <x:f>IF('계산 과정'!$L$5,B1753*COS(C1753),"")</x:f>
        <x:v>-38.34032528579083</x:v>
      </x:c>
      <x:c r="E1753" s="4" t="n">
        <x:f>IF('계산 과정'!$L$5,B1753*SIN(C1753),"")</x:f>
        <x:v>133.14889355686455</x:v>
      </x:c>
      <x:c r="F1753" s="4" t="n">
        <x:f>IF('계산 과정'!$L$7,'계산 과정'!$L$22+'계산 과정'!$C$49*D1753+'계산 과정'!$D$49*E1753,"")</x:f>
        <x:v>677.1107040024807</x:v>
      </x:c>
      <x:c r="G1753" s="4" t="n">
        <x:f>IF('계산 과정'!$L$7,IF(ABS(F1753)&gt;=1E-12*MAX(1,SQRT((D1753-'계산 과정'!$C$33)^2+(E1753-'계산 과정'!$D$33)^2+'계산 과정'!$E$33^2)),('계산 과정'!$L$23-'계산 과정'!$C$49*D1753-'계산 과정'!$D$49*E1753)/F1753,""),"")</x:f>
        <x:v>0.5507065444296286</x:v>
      </x:c>
      <x:c r="H1753" s="4" t="n">
        <x:f>IF(AND(ISNUMBER(G1753),G1753&gt;0),('계산 과정'!$D$56+'계산 과정'!$D$57*D1753+'계산 과정'!$D$58*E1753)/F1753,"")</x:f>
        <x:v>-42.04074612074155</x:v>
      </x:c>
      <x:c r="I1753" s="4" t="n">
        <x:f>IF(AND(ISNUMBER(G1753),G1753&gt;0),('계산 과정'!$E$56+'계산 과정'!$E$57*D1753+'계산 과정'!$E$58*E1753)/F1753,"")</x:f>
        <x:v>206.47486062219386</x:v>
      </x:c>
      <x:c r="J1753" s="4" t="n">
        <x:f>IF('계산 과정'!$L$5,'계산 과정'!$D$6+'계산 과정'!$C$35*D1753+'계산 과정'!$D$35*E1753,"")</x:f>
        <x:v>677.1107040024807</x:v>
      </x:c>
      <x:c r="K1753" s="4" t="n">
        <x:f>IF(AND('계산 과정'!$L$6,J1753&gt;0),'계산 과정'!$D$10*('계산 과정'!$C$38*(D1753-'계산 과정'!$C$32)+'계산 과정'!$D$38*(E1753-'계산 과정'!$D$32)-'계산 과정'!$E$38*'계산 과정'!$E$32)/J1753,"")</x:f>
        <x:v>-0.3203104466342205</x:v>
      </x:c>
      <x:c r="L1753" s="4" t="n">
        <x:f>IF(AND('계산 과정'!$L$6,J1753&gt;0),'계산 과정'!$D$10*('계산 과정'!$C$39*(D1753-'계산 과정'!$C$32)+'계산 과정'!$D$39*(E1753-'계산 과정'!$D$32)-'계산 과정'!$E$39*'계산 과정'!$E$32)/J1753,"")</x:f>
        <x:v>1.5731417952167153</x:v>
      </x:c>
      <x:c r="M1753" s="17" t="n">
        <x:f>IF('계산 과정'!$L$6,IF(J1753&lt;=0,0,IF(AND(ABS(K1753)&lt;='계산 과정'!$D$11/2,ABS(L1753)&lt;='계산 과정'!$D$12/2),1,0)),"")</x:f>
        <x:v>1</x:v>
      </x:c>
      <x:c r="N1753" s="17" t="n">
        <x:f>IF('계산 과정'!$C$78,IF(AND(ISNUMBER(H1753),ISNUMBER(I1753),ABS(H1753-'계산 과정'!$C$88)&lt;='계산 과정'!$D$23/2,ABS(I1753-'계산 과정'!$C$89)&lt;='계산 과정'!$D$24/2),1,0),"")</x:f>
        <x:v>1</x:v>
      </x:c>
      <x:c r="O1753" s="4" t="n">
        <x:f>IF('계산 과정'!$L$7,'계산 과정'!$C$49*('계산 과정'!$C$32-D1753)+'계산 과정'!$D$49*('계산 과정'!$D$32-E1753)+'계산 과정'!$E$49*'계산 과정'!$E$32,"")</x:f>
        <x:v>-27.110704002480645</x:v>
      </x:c>
      <x:c r="P1753" s="4" t="n">
        <x:f>IF(AND('계산 과정'!$L$7,O1753&lt;&gt;0),('계산 과정'!$L$23-'계산 과정'!$C$49*D1753-'계산 과정'!$D$49*E1753)/O1753,"")</x:f>
        <x:v>-13.754319915978561</x:v>
      </x:c>
      <x:c r="Q1753" s="4" t="str">
        <x:f>IF(AND(ISNUMBER(P1753),P1753&gt;1E-9,P1753&lt;1-1E-9),'계산 과정'!$C$47*(D1753-'계산 과정'!$C$50+P1753*('계산 과정'!$C$32-D1753))+'계산 과정'!$D$47*(E1753-'계산 과정'!$D$50+P1753*('계산 과정'!$D$32-E1753))+'계산 과정'!$E$47*(0-'계산 과정'!$E$50+P1753*('계산 과정'!$E$32-0)),"")</x:f>
      </x:c>
      <x:c r="R1753" s="4" t="str">
        <x:f>IF(AND(ISNUMBER(P1753),P1753&gt;1E-9,P1753&lt;1-1E-9),'계산 과정'!$C$48*(D1753-'계산 과정'!$C$50+P1753*('계산 과정'!$C$32-D1753))+'계산 과정'!$D$48*(E1753-'계산 과정'!$D$50+P1753*('계산 과정'!$D$32-E1753))+'계산 과정'!$E$48*(0-'계산 과정'!$E$50+P1753*('계산 과정'!$E$32-0)),"")</x:f>
      </x:c>
      <x:c r="S1753" s="17" t="n">
        <x:f>IF('계산 과정'!$C$78,IF(AND(ISNUMBER(Q1753),ISNUMBER(R1753),ABS(Q1753-'계산 과정'!$C$88)&lt;='계산 과정'!$D$23/2,ABS(R1753-'계산 과정'!$C$89)&lt;='계산 과정'!$D$24/2),1,0),"")</x:f>
        <x:v>0</x:v>
      </x:c>
      <x:c r="T1753" s="4"/>
      <x:c r="U1753" s="4"/>
      <x:c r="V1753" s="4"/>
      <x:c r="W1753" s="4"/>
      <x:c r="X1753" s="4"/>
      <x:c r="Y1753" s="4"/>
      <x:c r="Z1753" s="4"/>
    </x:row>
    <x:row r="1754" ht="23" customHeight="1">
      <x:c r="A1754" s="17" t="n">
        <x:f>ROW()-6</x:f>
        <x:v>1748</x:v>
      </x:c>
      <x:c r="B1754" s="4" t="n">
        <x:f>IF('계산 과정'!$L$5,'계산 과정'!$L$11*SQRT((A1754+0.5)/'계산 과정'!$L$30),"")</x:f>
        <x:v>138.59868226849235</x:v>
      </x:c>
      <x:c r="C1754" s="4" t="n">
        <x:f>A1754*PI()*(3-SQRT(5))</x:f>
        <x:v>4195.135725565685</x:v>
      </x:c>
      <x:c r="D1754" s="4" t="n">
        <x:f>IF('계산 과정'!$L$5,B1754*COS(C1754),"")</x:f>
        <x:v>-61.68746528131138</x:v>
      </x:c>
      <x:c r="E1754" s="4" t="n">
        <x:f>IF('계산 과정'!$L$5,B1754*SIN(C1754),"")</x:f>
        <x:v>-124.11386447020936</x:v>
      </x:c>
      <x:c r="F1754" s="4" t="n">
        <x:f>IF('계산 과정'!$L$7,'계산 과정'!$L$22+'계산 과정'!$C$49*D1754+'계산 과정'!$D$49*E1754,"")</x:f>
        <x:v>693.619625014625</x:v>
      </x:c>
      <x:c r="G1754" s="4" t="n">
        <x:f>IF('계산 과정'!$L$7,IF(ABS(F1754)&gt;=1E-12*MAX(1,SQRT((D1754-'계산 과정'!$C$33)^2+(E1754-'계산 과정'!$D$33)^2+'계산 과정'!$E$33^2)),('계산 과정'!$L$23-'계산 과정'!$C$49*D1754-'계산 과정'!$D$49*E1754)/F1754,""),"")</x:f>
        <x:v>0.5137979984027423</x:v>
      </x:c>
      <x:c r="H1754" s="4" t="n">
        <x:f>IF(AND(ISNUMBER(G1754),G1754&gt;0),('계산 과정'!$D$56+'계산 과정'!$D$57*D1754+'계산 과정'!$D$58*E1754)/F1754,"")</x:f>
        <x:v>-66.03130103821763</x:v>
      </x:c>
      <x:c r="I1754" s="4" t="n">
        <x:f>IF(AND(ISNUMBER(G1754),G1754&gt;0),('계산 과정'!$E$56+'계산 과정'!$E$57*D1754+'계산 과정'!$E$58*E1754)/F1754,"")</x:f>
        <x:v>-187.88331960903218</x:v>
      </x:c>
      <x:c r="J1754" s="4" t="n">
        <x:f>IF('계산 과정'!$L$5,'계산 과정'!$D$6+'계산 과정'!$C$35*D1754+'계산 과정'!$D$35*E1754,"")</x:f>
        <x:v>693.619625014625</x:v>
      </x:c>
      <x:c r="K1754" s="4" t="n">
        <x:f>IF(AND('계산 과정'!$L$6,J1754&gt;0),'계산 과정'!$D$10*('계산 과정'!$C$38*(D1754-'계산 과정'!$C$32)+'계산 과정'!$D$38*(E1754-'계산 과정'!$D$32)-'계산 과정'!$E$38*'계산 과정'!$E$32)/J1754,"")</x:f>
        <x:v>-0.5030956269578472</x:v>
      </x:c>
      <x:c r="L1754" s="4" t="n">
        <x:f>IF(AND('계산 과정'!$L$6,J1754&gt;0),'계산 과정'!$D$10*('계산 과정'!$C$39*(D1754-'계산 과정'!$C$32)+'계산 과정'!$D$39*(E1754-'계산 과정'!$D$32)-'계산 과정'!$E$39*'계산 과정'!$E$32)/J1754,"")</x:f>
        <x:v>-1.4314919589259596</x:v>
      </x:c>
      <x:c r="M1754" s="17" t="n">
        <x:f>IF('계산 과정'!$L$6,IF(J1754&lt;=0,0,IF(AND(ABS(K1754)&lt;='계산 과정'!$D$11/2,ABS(L1754)&lt;='계산 과정'!$D$12/2),1,0)),"")</x:f>
        <x:v>1</x:v>
      </x:c>
      <x:c r="N1754" s="17" t="n">
        <x:f>IF('계산 과정'!$C$78,IF(AND(ISNUMBER(H1754),ISNUMBER(I1754),ABS(H1754-'계산 과정'!$C$88)&lt;='계산 과정'!$D$23/2,ABS(I1754-'계산 과정'!$C$89)&lt;='계산 과정'!$D$24/2),1,0),"")</x:f>
        <x:v>1</x:v>
      </x:c>
      <x:c r="O1754" s="4" t="n">
        <x:f>IF('계산 과정'!$L$7,'계산 과정'!$C$49*('계산 과정'!$C$32-D1754)+'계산 과정'!$D$49*('계산 과정'!$D$32-E1754)+'계산 과정'!$E$49*'계산 과정'!$E$32,"")</x:f>
        <x:v>-43.61962501462483</x:v>
      </x:c>
      <x:c r="P1754" s="4" t="n">
        <x:f>IF(AND('계산 과정'!$L$7,O1754&lt;&gt;0),('계산 과정'!$L$23-'계산 과정'!$C$49*D1754-'계산 과정'!$D$49*E1754)/O1754,"")</x:f>
        <x:v>-8.170184288972852</x:v>
      </x:c>
      <x:c r="Q1754" s="4" t="str">
        <x:f>IF(AND(ISNUMBER(P1754),P1754&gt;1E-9,P1754&lt;1-1E-9),'계산 과정'!$C$47*(D1754-'계산 과정'!$C$50+P1754*('계산 과정'!$C$32-D1754))+'계산 과정'!$D$47*(E1754-'계산 과정'!$D$50+P1754*('계산 과정'!$D$32-E1754))+'계산 과정'!$E$47*(0-'계산 과정'!$E$50+P1754*('계산 과정'!$E$32-0)),"")</x:f>
      </x:c>
      <x:c r="R1754" s="4" t="str">
        <x:f>IF(AND(ISNUMBER(P1754),P1754&gt;1E-9,P1754&lt;1-1E-9),'계산 과정'!$C$48*(D1754-'계산 과정'!$C$50+P1754*('계산 과정'!$C$32-D1754))+'계산 과정'!$D$48*(E1754-'계산 과정'!$D$50+P1754*('계산 과정'!$D$32-E1754))+'계산 과정'!$E$48*(0-'계산 과정'!$E$50+P1754*('계산 과정'!$E$32-0)),"")</x:f>
      </x:c>
      <x:c r="S1754" s="17" t="n">
        <x:f>IF('계산 과정'!$C$78,IF(AND(ISNUMBER(Q1754),ISNUMBER(R1754),ABS(Q1754-'계산 과정'!$C$88)&lt;='계산 과정'!$D$23/2,ABS(R1754-'계산 과정'!$C$89)&lt;='계산 과정'!$D$24/2),1,0),"")</x:f>
        <x:v>0</x:v>
      </x:c>
      <x:c r="T1754" s="4"/>
      <x:c r="U1754" s="4"/>
      <x:c r="V1754" s="4"/>
      <x:c r="W1754" s="4"/>
      <x:c r="X1754" s="4"/>
      <x:c r="Y1754" s="4"/>
      <x:c r="Z1754" s="4"/>
    </x:row>
    <x:row r="1755" ht="23" customHeight="1">
      <x:c r="A1755" s="17" t="n">
        <x:f>ROW()-6</x:f>
        <x:v>1749</x:v>
      </x:c>
      <x:c r="B1755" s="4" t="n">
        <x:f>IF('계산 과정'!$L$5,'계산 과정'!$L$11*SQRT((A1755+0.5)/'계산 과정'!$L$30),"")</x:f>
        <x:v>138.63831019847112</x:v>
      </x:c>
      <x:c r="C1755" s="4" t="n">
        <x:f>A1755*PI()*(3-SQRT(5))</x:f>
        <x:v>4197.535688795414</x:v>
      </x:c>
      <x:c r="D1755" s="4" t="n">
        <x:f>IF('계산 과정'!$L$5,B1755*COS(C1755),"")</x:f>
        <x:v>129.3611040619981</x:v>
      </x:c>
      <x:c r="E1755" s="4" t="n">
        <x:f>IF('계산 과정'!$L$5,B1755*SIN(C1755),"")</x:f>
        <x:v>49.86266950884596</x:v>
      </x:c>
      <x:c r="F1755" s="4" t="n">
        <x:f>IF('계산 과정'!$L$7,'계산 과정'!$L$22+'계산 과정'!$C$49*D1755+'계산 과정'!$D$49*E1755,"")</x:f>
        <x:v>558.5278860959825</x:v>
      </x:c>
      <x:c r="G1755" s="4" t="n">
        <x:f>IF('계산 과정'!$L$7,IF(ABS(F1755)&gt;=1E-12*MAX(1,SQRT((D1755-'계산 과정'!$C$33)^2+(E1755-'계산 과정'!$D$33)^2+'계산 과정'!$E$33^2)),('계산 과정'!$L$23-'계산 과정'!$C$49*D1755-'계산 과정'!$D$49*E1755)/F1755,""),"")</x:f>
        <x:v>0.879941944061784</x:v>
      </x:c>
      <x:c r="H1755" s="4" t="n">
        <x:f>IF(AND(ISNUMBER(G1755),G1755&gt;0),('계산 과정'!$D$56+'계산 과정'!$D$57*D1755+'계산 과정'!$D$58*E1755)/F1755,"")</x:f>
        <x:v>171.96226364015953</x:v>
      </x:c>
      <x:c r="I1755" s="4" t="n">
        <x:f>IF(AND(ISNUMBER(G1755),G1755&gt;0),('계산 과정'!$E$56+'계산 과정'!$E$57*D1755+'계산 과정'!$E$58*E1755)/F1755,"")</x:f>
        <x:v>93.73892385257012</x:v>
      </x:c>
      <x:c r="J1755" s="4" t="n">
        <x:f>IF('계산 과정'!$L$5,'계산 과정'!$D$6+'계산 과정'!$C$35*D1755+'계산 과정'!$D$35*E1755,"")</x:f>
        <x:v>558.5278860959825</x:v>
      </x:c>
      <x:c r="K1755" s="4" t="n">
        <x:f>IF(AND('계산 과정'!$L$6,J1755&gt;0),'계산 과정'!$D$10*('계산 과정'!$C$38*(D1755-'계산 과정'!$C$32)+'계산 과정'!$D$38*(E1755-'계산 과정'!$D$32)-'계산 과정'!$E$38*'계산 과정'!$E$32)/J1755,"")</x:f>
        <x:v>1.3101886753535972</x:v>
      </x:c>
      <x:c r="L1755" s="4" t="n">
        <x:f>IF(AND('계산 과정'!$L$6,J1755&gt;0),'계산 과정'!$D$10*('계산 과정'!$C$39*(D1755-'계산 과정'!$C$32)+'계산 과정'!$D$39*(E1755-'계산 과정'!$D$32)-'계산 과정'!$E$39*'계산 과정'!$E$32)/J1755,"")</x:f>
        <x:v>0.7142013245910105</x:v>
      </x:c>
      <x:c r="M1755" s="17" t="n">
        <x:f>IF('계산 과정'!$L$6,IF(J1755&lt;=0,0,IF(AND(ABS(K1755)&lt;='계산 과정'!$D$11/2,ABS(L1755)&lt;='계산 과정'!$D$12/2),1,0)),"")</x:f>
        <x:v>1</x:v>
      </x:c>
      <x:c r="N1755" s="17" t="n">
        <x:f>IF('계산 과정'!$C$78,IF(AND(ISNUMBER(H1755),ISNUMBER(I1755),ABS(H1755-'계산 과정'!$C$88)&lt;='계산 과정'!$D$23/2,ABS(I1755-'계산 과정'!$C$89)&lt;='계산 과정'!$D$24/2),1,0),"")</x:f>
        <x:v>1</x:v>
      </x:c>
      <x:c r="O1755" s="4" t="n">
        <x:f>IF('계산 과정'!$L$7,'계산 과정'!$C$49*('계산 과정'!$C$32-D1755)+'계산 과정'!$D$49*('계산 과정'!$D$32-E1755)+'계산 과정'!$E$49*'계산 과정'!$E$32,"")</x:f>
        <x:v>91.47211390401762</x:v>
      </x:c>
      <x:c r="P1755" s="4" t="n">
        <x:f>IF(AND('계산 과정'!$L$7,O1755&lt;&gt;0),('계산 과정'!$L$23-'계산 과정'!$C$49*D1755-'계산 과정'!$D$49*E1755)/O1755,"")</x:f>
        <x:v>5.372917416336556</x:v>
      </x:c>
      <x:c r="Q1755" s="4" t="str">
        <x:f>IF(AND(ISNUMBER(P1755),P1755&gt;1E-9,P1755&lt;1-1E-9),'계산 과정'!$C$47*(D1755-'계산 과정'!$C$50+P1755*('계산 과정'!$C$32-D1755))+'계산 과정'!$D$47*(E1755-'계산 과정'!$D$50+P1755*('계산 과정'!$D$32-E1755))+'계산 과정'!$E$47*(0-'계산 과정'!$E$50+P1755*('계산 과정'!$E$32-0)),"")</x:f>
      </x:c>
      <x:c r="R1755" s="4" t="str">
        <x:f>IF(AND(ISNUMBER(P1755),P1755&gt;1E-9,P1755&lt;1-1E-9),'계산 과정'!$C$48*(D1755-'계산 과정'!$C$50+P1755*('계산 과정'!$C$32-D1755))+'계산 과정'!$D$48*(E1755-'계산 과정'!$D$50+P1755*('계산 과정'!$D$32-E1755))+'계산 과정'!$E$48*(0-'계산 과정'!$E$50+P1755*('계산 과정'!$E$32-0)),"")</x:f>
      </x:c>
      <x:c r="S1755" s="17" t="n">
        <x:f>IF('계산 과정'!$C$78,IF(AND(ISNUMBER(Q1755),ISNUMBER(R1755),ABS(Q1755-'계산 과정'!$C$88)&lt;='계산 과정'!$D$23/2,ABS(R1755-'계산 과정'!$C$89)&lt;='계산 과정'!$D$24/2),1,0),"")</x:f>
        <x:v>0</x:v>
      </x:c>
      <x:c r="T1755" s="4"/>
      <x:c r="U1755" s="4"/>
      <x:c r="V1755" s="4"/>
      <x:c r="W1755" s="4"/>
      <x:c r="X1755" s="4"/>
      <x:c r="Y1755" s="4"/>
      <x:c r="Z1755" s="4"/>
    </x:row>
    <x:row r="1756" ht="23" customHeight="1">
      <x:c r="A1756" s="17" t="n">
        <x:f>ROW()-6</x:f>
        <x:v>1750</x:v>
      </x:c>
      <x:c r="B1756" s="4" t="n">
        <x:f>IF('계산 과정'!$L$5,'계산 과정'!$L$11*SQRT((A1756+0.5)/'계산 과정'!$L$30),"")</x:f>
        <x:v>138.67792680456577</x:v>
      </x:c>
      <x:c r="C1756" s="4" t="n">
        <x:f>A1756*PI()*(3-SQRT(5))</x:f>
        <x:v>4199.935652025142</x:v>
      </x:c>
      <x:c r="D1756" s="4" t="n">
        <x:f>IF('계산 과정'!$L$5,B1756*COS(C1756),"")</x:f>
        <x:v>-129.10548348122921</x:v>
      </x:c>
      <x:c r="E1756" s="4" t="n">
        <x:f>IF('계산 과정'!$L$5,B1756*SIN(C1756),"")</x:f>
        <x:v>50.62945306726657</x:v>
      </x:c>
      <x:c r="F1756" s="4" t="n">
        <x:f>IF('계산 과정'!$L$7,'계산 과정'!$L$22+'계산 과정'!$C$49*D1756+'계산 과정'!$D$49*E1756,"")</x:f>
        <x:v>741.2913628579449</x:v>
      </x:c>
      <x:c r="G1756" s="4" t="n">
        <x:f>IF('계산 과정'!$L$7,IF(ABS(F1756)&gt;=1E-12*MAX(1,SQRT((D1756-'계산 과정'!$C$33)^2+(E1756-'계산 과정'!$D$33)^2+'계산 과정'!$E$33^2)),('계산 과정'!$L$23-'계산 과정'!$C$49*D1756-'계산 과정'!$D$49*E1756)/F1756,""),"")</x:f>
        <x:v>0.4164470984146803</x:v>
      </x:c>
      <x:c r="H1756" s="4" t="n">
        <x:f>IF(AND(ISNUMBER(G1756),G1756&gt;0),('계산 과정'!$D$56+'계산 과정'!$D$57*D1756+'계산 과정'!$D$58*E1756)/F1756,"")</x:f>
        <x:v>-129.309386030458</x:v>
      </x:c>
      <x:c r="I1756" s="4" t="n">
        <x:f>IF(AND(ISNUMBER(G1756),G1756&gt;0),('계산 과정'!$E$56+'계산 과정'!$E$57*D1756+'계산 과정'!$E$58*E1756)/F1756,"")</x:f>
        <x:v>71.71394189145197</x:v>
      </x:c>
      <x:c r="J1756" s="4" t="n">
        <x:f>IF('계산 과정'!$L$5,'계산 과정'!$D$6+'계산 과정'!$C$35*D1756+'계산 과정'!$D$35*E1756,"")</x:f>
        <x:v>741.2913628579449</x:v>
      </x:c>
      <x:c r="K1756" s="4" t="n">
        <x:f>IF(AND('계산 과정'!$L$6,J1756&gt;0),'계산 과정'!$D$10*('계산 과정'!$C$38*(D1756-'계산 과정'!$C$32)+'계산 과정'!$D$38*(E1756-'계산 과정'!$D$32)-'계산 과정'!$E$38*'계산 과정'!$E$32)/J1756,"")</x:f>
        <x:v>-0.9852143697558696</x:v>
      </x:c>
      <x:c r="L1756" s="4" t="n">
        <x:f>IF(AND('계산 과정'!$L$6,J1756&gt;0),'계산 과정'!$D$10*('계산 과정'!$C$39*(D1756-'계산 과정'!$C$32)+'계산 과정'!$D$39*(E1756-'계산 과정'!$D$32)-'계산 과정'!$E$39*'계산 과정'!$E$32)/J1756,"")</x:f>
        <x:v>0.5463919382205864</x:v>
      </x:c>
      <x:c r="M1756" s="17" t="n">
        <x:f>IF('계산 과정'!$L$6,IF(J1756&lt;=0,0,IF(AND(ABS(K1756)&lt;='계산 과정'!$D$11/2,ABS(L1756)&lt;='계산 과정'!$D$12/2),1,0)),"")</x:f>
        <x:v>1</x:v>
      </x:c>
      <x:c r="N1756" s="17" t="n">
        <x:f>IF('계산 과정'!$C$78,IF(AND(ISNUMBER(H1756),ISNUMBER(I1756),ABS(H1756-'계산 과정'!$C$88)&lt;='계산 과정'!$D$23/2,ABS(I1756-'계산 과정'!$C$89)&lt;='계산 과정'!$D$24/2),1,0),"")</x:f>
        <x:v>1</x:v>
      </x:c>
      <x:c r="O1756" s="4" t="n">
        <x:f>IF('계산 과정'!$L$7,'계산 과정'!$C$49*('계산 과정'!$C$32-D1756)+'계산 과정'!$D$49*('계산 과정'!$D$32-E1756)+'계산 과정'!$E$49*'계산 과정'!$E$32,"")</x:f>
        <x:v>-91.29136285794488</x:v>
      </x:c>
      <x:c r="P1756" s="4" t="n">
        <x:f>IF(AND('계산 과정'!$L$7,O1756&lt;&gt;0),('계산 과정'!$L$23-'계산 과정'!$C$49*D1756-'계산 과정'!$D$49*E1756)/O1756,"")</x:f>
        <x:v>-3.381575512487695</x:v>
      </x:c>
      <x:c r="Q1756" s="4" t="str">
        <x:f>IF(AND(ISNUMBER(P1756),P1756&gt;1E-9,P1756&lt;1-1E-9),'계산 과정'!$C$47*(D1756-'계산 과정'!$C$50+P1756*('계산 과정'!$C$32-D1756))+'계산 과정'!$D$47*(E1756-'계산 과정'!$D$50+P1756*('계산 과정'!$D$32-E1756))+'계산 과정'!$E$47*(0-'계산 과정'!$E$50+P1756*('계산 과정'!$E$32-0)),"")</x:f>
      </x:c>
      <x:c r="R1756" s="4" t="str">
        <x:f>IF(AND(ISNUMBER(P1756),P1756&gt;1E-9,P1756&lt;1-1E-9),'계산 과정'!$C$48*(D1756-'계산 과정'!$C$50+P1756*('계산 과정'!$C$32-D1756))+'계산 과정'!$D$48*(E1756-'계산 과정'!$D$50+P1756*('계산 과정'!$D$32-E1756))+'계산 과정'!$E$48*(0-'계산 과정'!$E$50+P1756*('계산 과정'!$E$32-0)),"")</x:f>
      </x:c>
      <x:c r="S1756" s="17" t="n">
        <x:f>IF('계산 과정'!$C$78,IF(AND(ISNUMBER(Q1756),ISNUMBER(R1756),ABS(Q1756-'계산 과정'!$C$88)&lt;='계산 과정'!$D$23/2,ABS(R1756-'계산 과정'!$C$89)&lt;='계산 과정'!$D$24/2),1,0),"")</x:f>
        <x:v>0</x:v>
      </x:c>
      <x:c r="T1756" s="4"/>
      <x:c r="U1756" s="4"/>
      <x:c r="V1756" s="4"/>
      <x:c r="W1756" s="4"/>
      <x:c r="X1756" s="4"/>
      <x:c r="Y1756" s="4"/>
      <x:c r="Z1756" s="4"/>
    </x:row>
    <x:row r="1757" ht="23" customHeight="1">
      <x:c r="A1757" s="17" t="n">
        <x:f>ROW()-6</x:f>
        <x:v>1751</x:v>
      </x:c>
      <x:c r="B1757" s="4" t="n">
        <x:f>IF('계산 과정'!$L$5,'계산 과정'!$L$11*SQRT((A1757+0.5)/'계산 과정'!$L$30),"")</x:f>
        <x:v>138.71753209647835</x:v>
      </x:c>
      <x:c r="C1757" s="4" t="n">
        <x:f>A1757*PI()*(3-SQRT(5))</x:f>
        <x:v>4202.335615254871</x:v>
      </x:c>
      <x:c r="D1757" s="4" t="n">
        <x:f>IF('계산 과정'!$L$5,B1757*COS(C1757),"")</x:f>
        <x:v>61.01608208095243</x:v>
      </x:c>
      <x:c r="E1757" s="4" t="n">
        <x:f>IF('계산 과정'!$L$5,B1757*SIN(C1757),"")</x:f>
        <x:v>-124.57765224320121</x:v>
      </x:c>
      <x:c r="F1757" s="4" t="n">
        <x:f>IF('계산 과정'!$L$7,'계산 과정'!$L$22+'계산 과정'!$C$49*D1757+'계산 과정'!$D$49*E1757,"")</x:f>
        <x:v>606.8551145991236</x:v>
      </x:c>
      <x:c r="G1757" s="4" t="n">
        <x:f>IF('계산 과정'!$L$7,IF(ABS(F1757)&gt;=1E-12*MAX(1,SQRT((D1757-'계산 과정'!$C$33)^2+(E1757-'계산 과정'!$D$33)^2+'계산 과정'!$E$33^2)),('계산 과정'!$L$23-'계산 과정'!$C$49*D1757-'계산 과정'!$D$49*E1757)/F1757,""),"")</x:f>
        <x:v>0.7302317715384324</x:v>
      </x:c>
      <x:c r="H1757" s="4" t="n">
        <x:f>IF(AND(ISNUMBER(G1757),G1757&gt;0),('계산 과정'!$D$56+'계산 과정'!$D$57*D1757+'계산 과정'!$D$58*E1757)/F1757,"")</x:f>
        <x:v>74.65065149998101</x:v>
      </x:c>
      <x:c r="I1757" s="4" t="n">
        <x:f>IF(AND(ISNUMBER(G1757),G1757&gt;0),('계산 과정'!$E$56+'계산 과정'!$E$57*D1757+'계산 과정'!$E$58*E1757)/F1757,"")</x:f>
        <x:v>-215.54821193485282</x:v>
      </x:c>
      <x:c r="J1757" s="4" t="n">
        <x:f>IF('계산 과정'!$L$5,'계산 과정'!$D$6+'계산 과정'!$C$35*D1757+'계산 과정'!$D$35*E1757,"")</x:f>
        <x:v>606.8551145991236</x:v>
      </x:c>
      <x:c r="K1757" s="4" t="n">
        <x:f>IF(AND('계산 과정'!$L$6,J1757&gt;0),'계산 과정'!$D$10*('계산 과정'!$C$38*(D1757-'계산 과정'!$C$32)+'계산 과정'!$D$38*(E1757-'계산 과정'!$D$32)-'계산 과정'!$E$38*'계산 과정'!$E$32)/J1757,"")</x:f>
        <x:v>0.5687668685712844</x:v>
      </x:c>
      <x:c r="L1757" s="4" t="n">
        <x:f>IF(AND('계산 과정'!$L$6,J1757&gt;0),'계산 과정'!$D$10*('계산 과정'!$C$39*(D1757-'계산 과정'!$C$32)+'계산 과정'!$D$39*(E1757-'계산 과정'!$D$32)-'계산 과정'!$E$39*'계산 과정'!$E$32)/J1757,"")</x:f>
        <x:v>-1.642272090932212</x:v>
      </x:c>
      <x:c r="M1757" s="17" t="n">
        <x:f>IF('계산 과정'!$L$6,IF(J1757&lt;=0,0,IF(AND(ABS(K1757)&lt;='계산 과정'!$D$11/2,ABS(L1757)&lt;='계산 과정'!$D$12/2),1,0)),"")</x:f>
        <x:v>1</x:v>
      </x:c>
      <x:c r="N1757" s="17" t="n">
        <x:f>IF('계산 과정'!$C$78,IF(AND(ISNUMBER(H1757),ISNUMBER(I1757),ABS(H1757-'계산 과정'!$C$88)&lt;='계산 과정'!$D$23/2,ABS(I1757-'계산 과정'!$C$89)&lt;='계산 과정'!$D$24/2),1,0),"")</x:f>
        <x:v>1</x:v>
      </x:c>
      <x:c r="O1757" s="4" t="n">
        <x:f>IF('계산 과정'!$L$7,'계산 과정'!$C$49*('계산 과정'!$C$32-D1757)+'계산 과정'!$D$49*('계산 과정'!$D$32-E1757)+'계산 과정'!$E$49*'계산 과정'!$E$32,"")</x:f>
        <x:v>43.14488540087655</x:v>
      </x:c>
      <x:c r="P1757" s="4" t="n">
        <x:f>IF(AND('계산 과정'!$L$7,O1757&lt;&gt;0),('계산 과정'!$L$23-'계산 과정'!$C$49*D1757-'계산 과정'!$D$49*E1757)/O1757,"")</x:f>
        <x:v>10.271087320859435</x:v>
      </x:c>
      <x:c r="Q1757" s="4" t="str">
        <x:f>IF(AND(ISNUMBER(P1757),P1757&gt;1E-9,P1757&lt;1-1E-9),'계산 과정'!$C$47*(D1757-'계산 과정'!$C$50+P1757*('계산 과정'!$C$32-D1757))+'계산 과정'!$D$47*(E1757-'계산 과정'!$D$50+P1757*('계산 과정'!$D$32-E1757))+'계산 과정'!$E$47*(0-'계산 과정'!$E$50+P1757*('계산 과정'!$E$32-0)),"")</x:f>
      </x:c>
      <x:c r="R1757" s="4" t="str">
        <x:f>IF(AND(ISNUMBER(P1757),P1757&gt;1E-9,P1757&lt;1-1E-9),'계산 과정'!$C$48*(D1757-'계산 과정'!$C$50+P1757*('계산 과정'!$C$32-D1757))+'계산 과정'!$D$48*(E1757-'계산 과정'!$D$50+P1757*('계산 과정'!$D$32-E1757))+'계산 과정'!$E$48*(0-'계산 과정'!$E$50+P1757*('계산 과정'!$E$32-0)),"")</x:f>
      </x:c>
      <x:c r="S1757" s="17" t="n">
        <x:f>IF('계산 과정'!$C$78,IF(AND(ISNUMBER(Q1757),ISNUMBER(R1757),ABS(Q1757-'계산 과정'!$C$88)&lt;='계산 과정'!$D$23/2,ABS(R1757-'계산 과정'!$C$89)&lt;='계산 과정'!$D$24/2),1,0),"")</x:f>
        <x:v>0</x:v>
      </x:c>
      <x:c r="T1757" s="4"/>
      <x:c r="U1757" s="4"/>
      <x:c r="V1757" s="4"/>
      <x:c r="W1757" s="4"/>
      <x:c r="X1757" s="4"/>
      <x:c r="Y1757" s="4"/>
      <x:c r="Z1757" s="4"/>
    </x:row>
    <x:row r="1758" ht="23" customHeight="1">
      <x:c r="A1758" s="17" t="n">
        <x:f>ROW()-6</x:f>
        <x:v>1752</x:v>
      </x:c>
      <x:c r="B1758" s="4" t="n">
        <x:f>IF('계산 과정'!$L$5,'계산 과정'!$L$11*SQRT((A1758+0.5)/'계산 과정'!$L$30),"")</x:f>
        <x:v>138.75712608389705</x:v>
      </x:c>
      <x:c r="C1758" s="4" t="n">
        <x:f>A1758*PI()*(3-SQRT(5))</x:f>
        <x:v>4204.7355784846</x:v>
      </x:c>
      <x:c r="D1758" s="4" t="n">
        <x:f>IF('계산 과정'!$L$5,B1758*COS(C1758),"")</x:f>
        <x:v>39.17081227341827</x:v>
      </x:c>
      <x:c r="E1758" s="4" t="n">
        <x:f>IF('계산 과정'!$L$5,B1758*SIN(C1758),"")</x:f>
        <x:v>133.11343848350973</x:v>
      </x:c>
      <x:c r="F1758" s="4" t="n">
        <x:f>IF('계산 과정'!$L$7,'계산 과정'!$L$22+'계산 과정'!$C$49*D1758+'계산 과정'!$D$49*E1758,"")</x:f>
        <x:v>622.3020530168807</x:v>
      </x:c>
      <x:c r="G1758" s="4" t="n">
        <x:f>IF('계산 과정'!$L$7,IF(ABS(F1758)&gt;=1E-12*MAX(1,SQRT((D1758-'계산 과정'!$C$33)^2+(E1758-'계산 과정'!$D$33)^2+'계산 과정'!$E$33^2)),('계산 과정'!$L$23-'계산 과정'!$C$49*D1758-'계산 과정'!$D$49*E1758)/F1758,""),"")</x:f>
        <x:v>0.6872835223822048</x:v>
      </x:c>
      <x:c r="H1758" s="4" t="n">
        <x:f>IF(AND(ISNUMBER(G1758),G1758&gt;0),('계산 과정'!$D$56+'계산 과정'!$D$57*D1758+'계산 과정'!$D$58*E1758)/F1758,"")</x:f>
        <x:v>46.734289548433</x:v>
      </x:c>
      <x:c r="I1758" s="4" t="n">
        <x:f>IF(AND(ISNUMBER(G1758),G1758&gt;0),('계산 과정'!$E$56+'계산 과정'!$E$57*D1758+'계산 과정'!$E$58*E1758)/F1758,"")</x:f>
        <x:v>224.60011136086325</x:v>
      </x:c>
      <x:c r="J1758" s="4" t="n">
        <x:f>IF('계산 과정'!$L$5,'계산 과정'!$D$6+'계산 과정'!$C$35*D1758+'계산 과정'!$D$35*E1758,"")</x:f>
        <x:v>622.3020530168807</x:v>
      </x:c>
      <x:c r="K1758" s="4" t="n">
        <x:f>IF(AND('계산 과정'!$L$6,J1758&gt;0),'계산 과정'!$D$10*('계산 과정'!$C$38*(D1758-'계산 과정'!$C$32)+'계산 과정'!$D$38*(E1758-'계산 과정'!$D$32)-'계산 과정'!$E$38*'계산 과정'!$E$32)/J1758,"")</x:f>
        <x:v>0.3560707775118715</x:v>
      </x:c>
      <x:c r="L1758" s="4" t="n">
        <x:f>IF(AND('계산 과정'!$L$6,J1758&gt;0),'계산 과정'!$D$10*('계산 과정'!$C$39*(D1758-'계산 과정'!$C$32)+'계산 과정'!$D$39*(E1758-'계산 과정'!$D$32)-'계산 과정'!$E$39*'계산 과정'!$E$32)/J1758,"")</x:f>
        <x:v>1.711238943701815</x:v>
      </x:c>
      <x:c r="M1758" s="17" t="n">
        <x:f>IF('계산 과정'!$L$6,IF(J1758&lt;=0,0,IF(AND(ABS(K1758)&lt;='계산 과정'!$D$11/2,ABS(L1758)&lt;='계산 과정'!$D$12/2),1,0)),"")</x:f>
        <x:v>1</x:v>
      </x:c>
      <x:c r="N1758" s="17" t="n">
        <x:f>IF('계산 과정'!$C$78,IF(AND(ISNUMBER(H1758),ISNUMBER(I1758),ABS(H1758-'계산 과정'!$C$88)&lt;='계산 과정'!$D$23/2,ABS(I1758-'계산 과정'!$C$89)&lt;='계산 과정'!$D$24/2),1,0),"")</x:f>
        <x:v>1</x:v>
      </x:c>
      <x:c r="O1758" s="4" t="n">
        <x:f>IF('계산 과정'!$L$7,'계산 과정'!$C$49*('계산 과정'!$C$32-D1758)+'계산 과정'!$D$49*('계산 과정'!$D$32-E1758)+'계산 과정'!$E$49*'계산 과정'!$E$32,"")</x:f>
        <x:v>27.697946983119436</x:v>
      </x:c>
      <x:c r="P1758" s="4" t="n">
        <x:f>IF(AND('계산 과정'!$L$7,O1758&lt;&gt;0),('계산 과정'!$L$23-'계산 과정'!$C$49*D1758-'계산 과정'!$D$49*E1758)/O1758,"")</x:f>
        <x:v>15.441503561393219</x:v>
      </x:c>
      <x:c r="Q1758" s="4" t="str">
        <x:f>IF(AND(ISNUMBER(P1758),P1758&gt;1E-9,P1758&lt;1-1E-9),'계산 과정'!$C$47*(D1758-'계산 과정'!$C$50+P1758*('계산 과정'!$C$32-D1758))+'계산 과정'!$D$47*(E1758-'계산 과정'!$D$50+P1758*('계산 과정'!$D$32-E1758))+'계산 과정'!$E$47*(0-'계산 과정'!$E$50+P1758*('계산 과정'!$E$32-0)),"")</x:f>
      </x:c>
      <x:c r="R1758" s="4" t="str">
        <x:f>IF(AND(ISNUMBER(P1758),P1758&gt;1E-9,P1758&lt;1-1E-9),'계산 과정'!$C$48*(D1758-'계산 과정'!$C$50+P1758*('계산 과정'!$C$32-D1758))+'계산 과정'!$D$48*(E1758-'계산 과정'!$D$50+P1758*('계산 과정'!$D$32-E1758))+'계산 과정'!$E$48*(0-'계산 과정'!$E$50+P1758*('계산 과정'!$E$32-0)),"")</x:f>
      </x:c>
      <x:c r="S1758" s="17" t="n">
        <x:f>IF('계산 과정'!$C$78,IF(AND(ISNUMBER(Q1758),ISNUMBER(R1758),ABS(Q1758-'계산 과정'!$C$88)&lt;='계산 과정'!$D$23/2,ABS(R1758-'계산 과정'!$C$89)&lt;='계산 과정'!$D$24/2),1,0),"")</x:f>
        <x:v>0</x:v>
      </x:c>
      <x:c r="T1758" s="4"/>
      <x:c r="U1758" s="4"/>
      <x:c r="V1758" s="4"/>
      <x:c r="W1758" s="4"/>
      <x:c r="X1758" s="4"/>
      <x:c r="Y1758" s="4"/>
      <x:c r="Z1758" s="4"/>
    </x:row>
    <x:row r="1759" ht="23" customHeight="1">
      <x:c r="A1759" s="17" t="n">
        <x:f>ROW()-6</x:f>
        <x:v>1753</x:v>
      </x:c>
      <x:c r="B1759" s="4" t="n">
        <x:f>IF('계산 과정'!$L$5,'계산 과정'!$L$11*SQRT((A1759+0.5)/'계산 과정'!$L$30),"")</x:f>
        <x:v>138.7967087764962</x:v>
      </x:c>
      <x:c r="C1759" s="4" t="n">
        <x:f>A1759*PI()*(3-SQRT(5))</x:f>
        <x:v>4207.135541714329</x:v>
      </x:c>
      <x:c r="D1759" s="4" t="n">
        <x:f>IF('계산 과정'!$L$5,B1759*COS(C1759),"")</x:f>
        <x:v>-118.83406328316282</x:v>
      </x:c>
      <x:c r="E1759" s="4" t="n">
        <x:f>IF('계산 과정'!$L$5,B1759*SIN(C1759),"")</x:f>
        <x:v>-71.71465520241136</x:v>
      </x:c>
      <x:c r="F1759" s="4" t="n">
        <x:f>IF('계산 과정'!$L$7,'계산 과정'!$L$22+'계산 과정'!$C$49*D1759+'계산 과정'!$D$49*E1759,"")</x:f>
        <x:v>734.0283719834757</x:v>
      </x:c>
      <x:c r="G1759" s="4" t="n">
        <x:f>IF('계산 과정'!$L$7,IF(ABS(F1759)&gt;=1E-12*MAX(1,SQRT((D1759-'계산 과정'!$C$33)^2+(E1759-'계산 과정'!$D$33)^2+'계산 과정'!$E$33^2)),('계산 과정'!$L$23-'계산 과정'!$C$49*D1759-'계산 과정'!$D$49*E1759)/F1759,""),"")</x:f>
        <x:v>0.4304624181797122</x:v>
      </x:c>
      <x:c r="H1759" s="4" t="n">
        <x:f>IF(AND(ISNUMBER(G1759),G1759&gt;0),('계산 과정'!$D$56+'계산 과정'!$D$57*D1759+'계산 과정'!$D$58*E1759)/F1759,"")</x:f>
        <x:v>-120.19942818318725</x:v>
      </x:c>
      <x:c r="I1759" s="4" t="n">
        <x:f>IF(AND(ISNUMBER(G1759),G1759&gt;0),('계산 과정'!$E$56+'계산 과정'!$E$57*D1759+'계산 과정'!$E$58*E1759)/F1759,"")</x:f>
        <x:v>-102.58511909976565</x:v>
      </x:c>
      <x:c r="J1759" s="4" t="n">
        <x:f>IF('계산 과정'!$L$5,'계산 과정'!$D$6+'계산 과정'!$C$35*D1759+'계산 과정'!$D$35*E1759,"")</x:f>
        <x:v>734.0283719834757</x:v>
      </x:c>
      <x:c r="K1759" s="4" t="n">
        <x:f>IF(AND('계산 과정'!$L$6,J1759&gt;0),'계산 과정'!$D$10*('계산 과정'!$C$38*(D1759-'계산 과정'!$C$32)+'계산 과정'!$D$38*(E1759-'계산 과정'!$D$32)-'계산 과정'!$E$38*'계산 과정'!$E$32)/J1759,"")</x:f>
        <x:v>-0.9158051671099967</x:v>
      </x:c>
      <x:c r="L1759" s="4" t="n">
        <x:f>IF(AND('계산 과정'!$L$6,J1759&gt;0),'계산 과정'!$D$10*('계산 과정'!$C$39*(D1759-'계산 과정'!$C$32)+'계산 과정'!$D$39*(E1759-'계산 과정'!$D$32)-'계산 과정'!$E$39*'계산 과정'!$E$32)/J1759,"")</x:f>
        <x:v>-0.7816009074267858</x:v>
      </x:c>
      <x:c r="M1759" s="17" t="n">
        <x:f>IF('계산 과정'!$L$6,IF(J1759&lt;=0,0,IF(AND(ABS(K1759)&lt;='계산 과정'!$D$11/2,ABS(L1759)&lt;='계산 과정'!$D$12/2),1,0)),"")</x:f>
        <x:v>1</x:v>
      </x:c>
      <x:c r="N1759" s="17" t="n">
        <x:f>IF('계산 과정'!$C$78,IF(AND(ISNUMBER(H1759),ISNUMBER(I1759),ABS(H1759-'계산 과정'!$C$88)&lt;='계산 과정'!$D$23/2,ABS(I1759-'계산 과정'!$C$89)&lt;='계산 과정'!$D$24/2),1,0),"")</x:f>
        <x:v>1</x:v>
      </x:c>
      <x:c r="O1759" s="4" t="n">
        <x:f>IF('계산 과정'!$L$7,'계산 과정'!$C$49*('계산 과정'!$C$32-D1759)+'계산 과정'!$D$49*('계산 과정'!$D$32-E1759)+'계산 과정'!$E$49*'계산 과정'!$E$32,"")</x:f>
        <x:v>-84.02837198347561</x:v>
      </x:c>
      <x:c r="P1759" s="4" t="n">
        <x:f>IF(AND('계산 과정'!$L$7,O1759&lt;&gt;0),('계산 과정'!$L$23-'계산 과정'!$C$49*D1759-'계산 과정'!$D$49*E1759)/O1759,"")</x:f>
        <x:v>-3.760296915887659</x:v>
      </x:c>
      <x:c r="Q1759" s="4" t="str">
        <x:f>IF(AND(ISNUMBER(P1759),P1759&gt;1E-9,P1759&lt;1-1E-9),'계산 과정'!$C$47*(D1759-'계산 과정'!$C$50+P1759*('계산 과정'!$C$32-D1759))+'계산 과정'!$D$47*(E1759-'계산 과정'!$D$50+P1759*('계산 과정'!$D$32-E1759))+'계산 과정'!$E$47*(0-'계산 과정'!$E$50+P1759*('계산 과정'!$E$32-0)),"")</x:f>
      </x:c>
      <x:c r="R1759" s="4" t="str">
        <x:f>IF(AND(ISNUMBER(P1759),P1759&gt;1E-9,P1759&lt;1-1E-9),'계산 과정'!$C$48*(D1759-'계산 과정'!$C$50+P1759*('계산 과정'!$C$32-D1759))+'계산 과정'!$D$48*(E1759-'계산 과정'!$D$50+P1759*('계산 과정'!$D$32-E1759))+'계산 과정'!$E$48*(0-'계산 과정'!$E$50+P1759*('계산 과정'!$E$32-0)),"")</x:f>
      </x:c>
      <x:c r="S1759" s="17" t="n">
        <x:f>IF('계산 과정'!$C$78,IF(AND(ISNUMBER(Q1759),ISNUMBER(R1759),ABS(Q1759-'계산 과정'!$C$88)&lt;='계산 과정'!$D$23/2,ABS(R1759-'계산 과정'!$C$89)&lt;='계산 과정'!$D$24/2),1,0),"")</x:f>
        <x:v>0</x:v>
      </x:c>
      <x:c r="T1759" s="4"/>
      <x:c r="U1759" s="4"/>
      <x:c r="V1759" s="4"/>
      <x:c r="W1759" s="4"/>
      <x:c r="X1759" s="4"/>
      <x:c r="Y1759" s="4"/>
      <x:c r="Z1759" s="4"/>
    </x:row>
    <x:row r="1760" ht="23" customHeight="1">
      <x:c r="A1760" s="17" t="n">
        <x:f>ROW()-6</x:f>
        <x:v>1754</x:v>
      </x:c>
      <x:c r="B1760" s="4" t="n">
        <x:f>IF('계산 과정'!$L$5,'계산 과정'!$L$11*SQRT((A1760+0.5)/'계산 과정'!$L$30),"")</x:f>
        <x:v>138.83628018393645</x:v>
      </x:c>
      <x:c r="C1760" s="4" t="n">
        <x:f>A1760*PI()*(3-SQRT(5))</x:f>
        <x:v>4209.535504944058</x:v>
      </x:c>
      <x:c r="D1760" s="4" t="n">
        <x:f>IF('계산 과정'!$L$5,B1760*COS(C1760),"")</x:f>
        <x:v>136.10588665110225</x:v>
      </x:c>
      <x:c r="E1760" s="4" t="n">
        <x:f>IF('계산 과정'!$L$5,B1760*SIN(C1760),"")</x:f>
        <x:v>-27.39891082196166</x:v>
      </x:c>
      <x:c r="F1760" s="4" t="n">
        <x:f>IF('계산 과정'!$L$7,'계산 과정'!$L$22+'계산 과정'!$C$49*D1760+'계산 과정'!$D$49*E1760,"")</x:f>
        <x:v>553.758604589598</x:v>
      </x:c>
      <x:c r="G1760" s="4" t="n">
        <x:f>IF('계산 과정'!$L$7,IF(ABS(F1760)&gt;=1E-12*MAX(1,SQRT((D1760-'계산 과정'!$C$33)^2+(E1760-'계산 과정'!$D$33)^2+'계산 과정'!$E$33^2)),('계산 과정'!$L$23-'계산 과정'!$C$49*D1760-'계산 과정'!$D$49*E1760)/F1760,""),"")</x:f>
        <x:v>0.8961330646558111</x:v>
      </x:c>
      <x:c r="H1760" s="4" t="n">
        <x:f>IF(AND(ISNUMBER(G1760),G1760&gt;0),('계산 과정'!$D$56+'계산 과정'!$D$57*D1760+'계산 과정'!$D$58*E1760)/F1760,"")</x:f>
        <x:v>182.48649202627718</x:v>
      </x:c>
      <x:c r="I1760" s="4" t="n">
        <x:f>IF(AND(ISNUMBER(G1760),G1760&gt;0),('계산 과정'!$E$56+'계산 과정'!$E$57*D1760+'계산 과정'!$E$58*E1760)/F1760,"")</x:f>
        <x:v>-51.95198074507743</x:v>
      </x:c>
      <x:c r="J1760" s="4" t="n">
        <x:f>IF('계산 과정'!$L$5,'계산 과정'!$D$6+'계산 과정'!$C$35*D1760+'계산 과정'!$D$35*E1760,"")</x:f>
        <x:v>553.758604589598</x:v>
      </x:c>
      <x:c r="K1760" s="4" t="n">
        <x:f>IF(AND('계산 과정'!$L$6,J1760&gt;0),'계산 과정'!$D$10*('계산 과정'!$C$38*(D1760-'계산 과정'!$C$32)+'계산 과정'!$D$38*(E1760-'계산 과정'!$D$32)-'계산 과정'!$E$38*'계산 과정'!$E$32)/J1760,"")</x:f>
        <x:v>1.3903732725811604</x:v>
      </x:c>
      <x:c r="L1760" s="4" t="n">
        <x:f>IF(AND('계산 과정'!$L$6,J1760&gt;0),'계산 과정'!$D$10*('계산 과정'!$C$39*(D1760-'계산 과정'!$C$32)+'계산 과정'!$D$39*(E1760-'계산 과정'!$D$32)-'계산 과정'!$E$39*'계산 과정'!$E$32)/J1760,"")</x:f>
        <x:v>-0.39582461520059</x:v>
      </x:c>
      <x:c r="M1760" s="17" t="n">
        <x:f>IF('계산 과정'!$L$6,IF(J1760&lt;=0,0,IF(AND(ABS(K1760)&lt;='계산 과정'!$D$11/2,ABS(L1760)&lt;='계산 과정'!$D$12/2),1,0)),"")</x:f>
        <x:v>1</x:v>
      </x:c>
      <x:c r="N1760" s="17" t="n">
        <x:f>IF('계산 과정'!$C$78,IF(AND(ISNUMBER(H1760),ISNUMBER(I1760),ABS(H1760-'계산 과정'!$C$88)&lt;='계산 과정'!$D$23/2,ABS(I1760-'계산 과정'!$C$89)&lt;='계산 과정'!$D$24/2),1,0),"")</x:f>
        <x:v>1</x:v>
      </x:c>
      <x:c r="O1760" s="4" t="n">
        <x:f>IF('계산 과정'!$L$7,'계산 과정'!$C$49*('계산 과정'!$C$32-D1760)+'계산 과정'!$D$49*('계산 과정'!$D$32-E1760)+'계산 과정'!$E$49*'계산 과정'!$E$32,"")</x:f>
        <x:v>96.2413954104021</x:v>
      </x:c>
      <x:c r="P1760" s="4" t="n">
        <x:f>IF(AND('계산 과정'!$L$7,O1760&lt;&gt;0),('계산 과정'!$L$23-'계산 과정'!$C$49*D1760-'계산 과정'!$D$49*E1760)/O1760,"")</x:f>
        <x:v>5.156215714602642</x:v>
      </x:c>
      <x:c r="Q1760" s="4" t="str">
        <x:f>IF(AND(ISNUMBER(P1760),P1760&gt;1E-9,P1760&lt;1-1E-9),'계산 과정'!$C$47*(D1760-'계산 과정'!$C$50+P1760*('계산 과정'!$C$32-D1760))+'계산 과정'!$D$47*(E1760-'계산 과정'!$D$50+P1760*('계산 과정'!$D$32-E1760))+'계산 과정'!$E$47*(0-'계산 과정'!$E$50+P1760*('계산 과정'!$E$32-0)),"")</x:f>
      </x:c>
      <x:c r="R1760" s="4" t="str">
        <x:f>IF(AND(ISNUMBER(P1760),P1760&gt;1E-9,P1760&lt;1-1E-9),'계산 과정'!$C$48*(D1760-'계산 과정'!$C$50+P1760*('계산 과정'!$C$32-D1760))+'계산 과정'!$D$48*(E1760-'계산 과정'!$D$50+P1760*('계산 과정'!$D$32-E1760))+'계산 과정'!$E$48*(0-'계산 과정'!$E$50+P1760*('계산 과정'!$E$32-0)),"")</x:f>
      </x:c>
      <x:c r="S1760" s="17" t="n">
        <x:f>IF('계산 과정'!$C$78,IF(AND(ISNUMBER(Q1760),ISNUMBER(R1760),ABS(Q1760-'계산 과정'!$C$88)&lt;='계산 과정'!$D$23/2,ABS(R1760-'계산 과정'!$C$89)&lt;='계산 과정'!$D$24/2),1,0),"")</x:f>
        <x:v>0</x:v>
      </x:c>
      <x:c r="T1760" s="4"/>
      <x:c r="U1760" s="4"/>
      <x:c r="V1760" s="4"/>
      <x:c r="W1760" s="4"/>
      <x:c r="X1760" s="4"/>
      <x:c r="Y1760" s="4"/>
      <x:c r="Z1760" s="4"/>
    </x:row>
    <x:row r="1761" ht="23" customHeight="1">
      <x:c r="A1761" s="17" t="n">
        <x:f>ROW()-6</x:f>
        <x:v>1755</x:v>
      </x:c>
      <x:c r="B1761" s="4" t="n">
        <x:f>IF('계산 과정'!$L$5,'계산 과정'!$L$11*SQRT((A1761+0.5)/'계산 과정'!$L$30),"")</x:f>
        <x:v>138.8758403158645</x:v>
      </x:c>
      <x:c r="C1761" s="4" t="n">
        <x:f>A1761*PI()*(3-SQRT(5))</x:f>
        <x:v>4211.935468173786</x:v>
      </x:c>
      <x:c r="D1761" s="4" t="n">
        <x:f>IF('계산 과정'!$L$5,B1761*COS(C1761),"")</x:f>
        <x:v>-81.87586974286066</x:v>
      </x:c>
      <x:c r="E1761" s="4" t="n">
        <x:f>IF('계산 과정'!$L$5,B1761*SIN(C1761),"")</x:f>
        <x:v>112.17326320156515</x:v>
      </x:c>
      <x:c r="F1761" s="4" t="n">
        <x:f>IF('계산 과정'!$L$7,'계산 과정'!$L$22+'계산 과정'!$C$49*D1761+'계산 과정'!$D$49*E1761,"")</x:f>
        <x:v>707.8949827107232</x:v>
      </x:c>
      <x:c r="G1761" s="4" t="n">
        <x:f>IF('계산 과정'!$L$7,IF(ABS(F1761)&gt;=1E-12*MAX(1,SQRT((D1761-'계산 과정'!$C$33)^2+(E1761-'계산 과정'!$D$33)^2+'계산 과정'!$E$33^2)),('계산 과정'!$L$23-'계산 과정'!$C$49*D1761-'계산 과정'!$D$49*E1761)/F1761,""),"")</x:f>
        <x:v>0.48327086028956334</x:v>
      </x:c>
      <x:c r="H1761" s="4" t="n">
        <x:f>IF(AND(ISNUMBER(G1761),G1761&gt;0),('계산 과정'!$D$56+'계산 과정'!$D$57*D1761+'계산 과정'!$D$58*E1761)/F1761,"")</x:f>
        <x:v>-85.87394081178398</x:v>
      </x:c>
      <x:c r="I1761" s="4" t="n">
        <x:f>IF(AND(ISNUMBER(G1761),G1761&gt;0),('계산 과정'!$E$56+'계산 과정'!$E$57*D1761+'계산 과정'!$E$58*E1761)/F1761,"")</x:f>
        <x:v>166.38333261047316</x:v>
      </x:c>
      <x:c r="J1761" s="4" t="n">
        <x:f>IF('계산 과정'!$L$5,'계산 과정'!$D$6+'계산 과정'!$C$35*D1761+'계산 과정'!$D$35*E1761,"")</x:f>
        <x:v>707.8949827107232</x:v>
      </x:c>
      <x:c r="K1761" s="4" t="n">
        <x:f>IF(AND('계산 과정'!$L$6,J1761&gt;0),'계산 과정'!$D$10*('계산 과정'!$C$38*(D1761-'계산 과정'!$C$32)+'계산 과정'!$D$38*(E1761-'계산 과정'!$D$32)-'계산 과정'!$E$38*'계산 과정'!$E$32)/J1761,"")</x:f>
        <x:v>-0.654277644280258</x:v>
      </x:c>
      <x:c r="L1761" s="4" t="n">
        <x:f>IF(AND('계산 과정'!$L$6,J1761&gt;0),'계산 과정'!$D$10*('계산 과정'!$C$39*(D1761-'계산 과정'!$C$32)+'계산 과정'!$D$39*(E1761-'계산 과정'!$D$32)-'계산 과정'!$E$39*'계산 과정'!$E$32)/J1761,"")</x:f>
        <x:v>1.2676825341750337</x:v>
      </x:c>
      <x:c r="M1761" s="17" t="n">
        <x:f>IF('계산 과정'!$L$6,IF(J1761&lt;=0,0,IF(AND(ABS(K1761)&lt;='계산 과정'!$D$11/2,ABS(L1761)&lt;='계산 과정'!$D$12/2),1,0)),"")</x:f>
        <x:v>1</x:v>
      </x:c>
      <x:c r="N1761" s="17" t="n">
        <x:f>IF('계산 과정'!$C$78,IF(AND(ISNUMBER(H1761),ISNUMBER(I1761),ABS(H1761-'계산 과정'!$C$88)&lt;='계산 과정'!$D$23/2,ABS(I1761-'계산 과정'!$C$89)&lt;='계산 과정'!$D$24/2),1,0),"")</x:f>
        <x:v>1</x:v>
      </x:c>
      <x:c r="O1761" s="4" t="n">
        <x:f>IF('계산 과정'!$L$7,'계산 과정'!$C$49*('계산 과정'!$C$32-D1761)+'계산 과정'!$D$49*('계산 과정'!$D$32-E1761)+'계산 과정'!$E$49*'계산 과정'!$E$32,"")</x:f>
        <x:v>-57.89498271072313</x:v>
      </x:c>
      <x:c r="P1761" s="4" t="n">
        <x:f>IF(AND('계산 과정'!$L$7,O1761&lt;&gt;0),('계산 과정'!$L$23-'계산 과정'!$C$49*D1761-'계산 과정'!$D$49*E1761)/O1761,"")</x:f>
        <x:v>-5.909061567539136</x:v>
      </x:c>
      <x:c r="Q1761" s="4" t="str">
        <x:f>IF(AND(ISNUMBER(P1761),P1761&gt;1E-9,P1761&lt;1-1E-9),'계산 과정'!$C$47*(D1761-'계산 과정'!$C$50+P1761*('계산 과정'!$C$32-D1761))+'계산 과정'!$D$47*(E1761-'계산 과정'!$D$50+P1761*('계산 과정'!$D$32-E1761))+'계산 과정'!$E$47*(0-'계산 과정'!$E$50+P1761*('계산 과정'!$E$32-0)),"")</x:f>
      </x:c>
      <x:c r="R1761" s="4" t="str">
        <x:f>IF(AND(ISNUMBER(P1761),P1761&gt;1E-9,P1761&lt;1-1E-9),'계산 과정'!$C$48*(D1761-'계산 과정'!$C$50+P1761*('계산 과정'!$C$32-D1761))+'계산 과정'!$D$48*(E1761-'계산 과정'!$D$50+P1761*('계산 과정'!$D$32-E1761))+'계산 과정'!$E$48*(0-'계산 과정'!$E$50+P1761*('계산 과정'!$E$32-0)),"")</x:f>
      </x:c>
      <x:c r="S1761" s="17" t="n">
        <x:f>IF('계산 과정'!$C$78,IF(AND(ISNUMBER(Q1761),ISNUMBER(R1761),ABS(Q1761-'계산 과정'!$C$88)&lt;='계산 과정'!$D$23/2,ABS(R1761-'계산 과정'!$C$89)&lt;='계산 과정'!$D$24/2),1,0),"")</x:f>
        <x:v>0</x:v>
      </x:c>
      <x:c r="T1761" s="4"/>
      <x:c r="U1761" s="4"/>
      <x:c r="V1761" s="4"/>
      <x:c r="W1761" s="4"/>
      <x:c r="X1761" s="4"/>
      <x:c r="Y1761" s="4"/>
      <x:c r="Z1761" s="4"/>
    </x:row>
    <x:row r="1762" ht="23" customHeight="1">
      <x:c r="A1762" s="17" t="n">
        <x:f>ROW()-6</x:f>
        <x:v>1756</x:v>
      </x:c>
      <x:c r="B1762" s="4" t="n">
        <x:f>IF('계산 과정'!$L$5,'계산 과정'!$L$11*SQRT((A1762+0.5)/'계산 과정'!$L$30),"")</x:f>
        <x:v>138.91538918191353</x:v>
      </x:c>
      <x:c r="C1762" s="4" t="n">
        <x:f>A1762*PI()*(3-SQRT(5))</x:f>
        <x:v>4214.335431403514</x:v>
      </x:c>
      <x:c r="D1762" s="4" t="n">
        <x:f>IF('계산 과정'!$L$5,B1762*COS(C1762),"")</x:f>
        <x:v>-15.403617726066742</x:v>
      </x:c>
      <x:c r="E1762" s="4" t="n">
        <x:f>IF('계산 과정'!$L$5,B1762*SIN(C1762),"")</x:f>
        <x:v>-138.0587335611612</x:v>
      </x:c>
      <x:c r="F1762" s="4" t="n">
        <x:f>IF('계산 과정'!$L$7,'계산 과정'!$L$22+'계산 과정'!$C$49*D1762+'계산 과정'!$D$49*E1762,"")</x:f>
        <x:v>660.892002548907</x:v>
      </x:c>
      <x:c r="G1762" s="4" t="n">
        <x:f>IF('계산 과정'!$L$7,IF(ABS(F1762)&gt;=1E-12*MAX(1,SQRT((D1762-'계산 과정'!$C$33)^2+(E1762-'계산 과정'!$D$33)^2+'계산 과정'!$E$33^2)),('계산 과정'!$L$23-'계산 과정'!$C$49*D1762-'계산 과정'!$D$49*E1762)/F1762,""),"")</x:f>
        <x:v>0.588761849062167</x:v>
      </x:c>
      <x:c r="H1762" s="4" t="n">
        <x:f>IF(AND(ISNUMBER(G1762),G1762&gt;0),('계산 과정'!$D$56+'계산 과정'!$D$57*D1762+'계산 과정'!$D$58*E1762)/F1762,"")</x:f>
        <x:v>-17.3047981095916</x:v>
      </x:c>
      <x:c r="I1762" s="4" t="n">
        <x:f>IF(AND(ISNUMBER(G1762),G1762&gt;0),('계산 과정'!$E$56+'계산 과정'!$E$57*D1762+'계산 과정'!$E$58*E1762)/F1762,"")</x:f>
        <x:v>-219.34244881181155</x:v>
      </x:c>
      <x:c r="J1762" s="4" t="n">
        <x:f>IF('계산 과정'!$L$5,'계산 과정'!$D$6+'계산 과정'!$C$35*D1762+'계산 과정'!$D$35*E1762,"")</x:f>
        <x:v>660.892002548907</x:v>
      </x:c>
      <x:c r="K1762" s="4" t="n">
        <x:f>IF(AND('계산 과정'!$L$6,J1762&gt;0),'계산 과정'!$D$10*('계산 과정'!$C$38*(D1762-'계산 과정'!$C$32)+'계산 과정'!$D$38*(E1762-'계산 과정'!$D$32)-'계산 과정'!$E$38*'계산 과정'!$E$32)/J1762,"")</x:f>
        <x:v>-0.13184608083498273</x:v>
      </x:c>
      <x:c r="L1762" s="4" t="n">
        <x:f>IF(AND('계산 과정'!$L$6,J1762&gt;0),'계산 과정'!$D$10*('계산 과정'!$C$39*(D1762-'계산 과정'!$C$32)+'계산 과정'!$D$39*(E1762-'계산 과정'!$D$32)-'계산 과정'!$E$39*'계산 과정'!$E$32)/J1762,"")</x:f>
        <x:v>-1.671180562375707</x:v>
      </x:c>
      <x:c r="M1762" s="17" t="n">
        <x:f>IF('계산 과정'!$L$6,IF(J1762&lt;=0,0,IF(AND(ABS(K1762)&lt;='계산 과정'!$D$11/2,ABS(L1762)&lt;='계산 과정'!$D$12/2),1,0)),"")</x:f>
        <x:v>1</x:v>
      </x:c>
      <x:c r="N1762" s="17" t="n">
        <x:f>IF('계산 과정'!$C$78,IF(AND(ISNUMBER(H1762),ISNUMBER(I1762),ABS(H1762-'계산 과정'!$C$88)&lt;='계산 과정'!$D$23/2,ABS(I1762-'계산 과정'!$C$89)&lt;='계산 과정'!$D$24/2),1,0),"")</x:f>
        <x:v>1</x:v>
      </x:c>
      <x:c r="O1762" s="4" t="n">
        <x:f>IF('계산 과정'!$L$7,'계산 과정'!$C$49*('계산 과정'!$C$32-D1762)+'계산 과정'!$D$49*('계산 과정'!$D$32-E1762)+'계산 과정'!$E$49*'계산 과정'!$E$32,"")</x:f>
        <x:v>-10.892002548906987</x:v>
      </x:c>
      <x:c r="P1762" s="4" t="n">
        <x:f>IF(AND('계산 과정'!$L$7,O1762&lt;&gt;0),('계산 과정'!$L$23-'계산 과정'!$C$49*D1762-'계산 과정'!$D$49*E1762)/O1762,"")</x:f>
        <x:v>-35.724192654558266</x:v>
      </x:c>
      <x:c r="Q1762" s="4" t="str">
        <x:f>IF(AND(ISNUMBER(P1762),P1762&gt;1E-9,P1762&lt;1-1E-9),'계산 과정'!$C$47*(D1762-'계산 과정'!$C$50+P1762*('계산 과정'!$C$32-D1762))+'계산 과정'!$D$47*(E1762-'계산 과정'!$D$50+P1762*('계산 과정'!$D$32-E1762))+'계산 과정'!$E$47*(0-'계산 과정'!$E$50+P1762*('계산 과정'!$E$32-0)),"")</x:f>
      </x:c>
      <x:c r="R1762" s="4" t="str">
        <x:f>IF(AND(ISNUMBER(P1762),P1762&gt;1E-9,P1762&lt;1-1E-9),'계산 과정'!$C$48*(D1762-'계산 과정'!$C$50+P1762*('계산 과정'!$C$32-D1762))+'계산 과정'!$D$48*(E1762-'계산 과정'!$D$50+P1762*('계산 과정'!$D$32-E1762))+'계산 과정'!$E$48*(0-'계산 과정'!$E$50+P1762*('계산 과정'!$E$32-0)),"")</x:f>
      </x:c>
      <x:c r="S1762" s="17" t="n">
        <x:f>IF('계산 과정'!$C$78,IF(AND(ISNUMBER(Q1762),ISNUMBER(R1762),ABS(Q1762-'계산 과정'!$C$88)&lt;='계산 과정'!$D$23/2,ABS(R1762-'계산 과정'!$C$89)&lt;='계산 과정'!$D$24/2),1,0),"")</x:f>
        <x:v>0</x:v>
      </x:c>
      <x:c r="T1762" s="4"/>
      <x:c r="U1762" s="4"/>
      <x:c r="V1762" s="4"/>
      <x:c r="W1762" s="4"/>
      <x:c r="X1762" s="4"/>
      <x:c r="Y1762" s="4"/>
      <x:c r="Z1762" s="4"/>
    </x:row>
    <x:row r="1763" ht="23" customHeight="1">
      <x:c r="A1763" s="17" t="n">
        <x:f>ROW()-6</x:f>
        <x:v>1757</x:v>
      </x:c>
      <x:c r="B1763" s="4" t="n">
        <x:f>IF('계산 과정'!$L$5,'계산 과정'!$L$11*SQRT((A1763+0.5)/'계산 과정'!$L$30),"")</x:f>
        <x:v>138.95492679170286</x:v>
      </x:c>
      <x:c r="C1763" s="4" t="n">
        <x:f>A1763*PI()*(3-SQRT(5))</x:f>
        <x:v>4216.735394633243</x:v>
      </x:c>
      <x:c r="D1763" s="4" t="n">
        <x:f>IF('계산 과정'!$L$5,B1763*COS(C1763),"")</x:f>
        <x:v>104.64525817059726</x:v>
      </x:c>
      <x:c r="E1763" s="4" t="n">
        <x:f>IF('계산 과정'!$L$5,B1763*SIN(C1763),"")</x:f>
        <x:v>91.4212317905231</x:v>
      </x:c>
      <x:c r="F1763" s="4" t="n">
        <x:f>IF('계산 과정'!$L$7,'계산 과정'!$L$22+'계산 과정'!$C$49*D1763+'계산 과정'!$D$49*E1763,"")</x:f>
        <x:v>576.0046283285537</x:v>
      </x:c>
      <x:c r="G1763" s="4" t="n">
        <x:f>IF('계산 과정'!$L$7,IF(ABS(F1763)&gt;=1E-12*MAX(1,SQRT((D1763-'계산 과정'!$C$33)^2+(E1763-'계산 과정'!$D$33)^2+'계산 과정'!$E$33^2)),('계산 과정'!$L$23-'계산 과정'!$C$49*D1763-'계산 과정'!$D$49*E1763)/F1763,""),"")</x:f>
        <x:v>0.8229020191155109</x:v>
      </x:c>
      <x:c r="H1763" s="4" t="n">
        <x:f>IF(AND(ISNUMBER(G1763),G1763&gt;0),('계산 과정'!$D$56+'계산 과정'!$D$57*D1763+'계산 과정'!$D$58*E1763)/F1763,"")</x:f>
        <x:v>134.88631242508202</x:v>
      </x:c>
      <x:c r="I1763" s="4" t="n">
        <x:f>IF(AND(ISNUMBER(G1763),G1763&gt;0),('계산 과정'!$E$56+'계산 과정'!$E$57*D1763+'계산 과정'!$E$58*E1763)/F1763,"")</x:f>
        <x:v>166.65194802097167</x:v>
      </x:c>
      <x:c r="J1763" s="4" t="n">
        <x:f>IF('계산 과정'!$L$5,'계산 과정'!$D$6+'계산 과정'!$C$35*D1763+'계산 과정'!$D$35*E1763,"")</x:f>
        <x:v>576.0046283285537</x:v>
      </x:c>
      <x:c r="K1763" s="4" t="n">
        <x:f>IF(AND('계산 과정'!$L$6,J1763&gt;0),'계산 과정'!$D$10*('계산 과정'!$C$38*(D1763-'계산 과정'!$C$32)+'계산 과정'!$D$38*(E1763-'계산 과정'!$D$32)-'계산 과정'!$E$38*'계산 과정'!$E$32)/J1763,"")</x:f>
        <x:v>1.0277052375244353</x:v>
      </x:c>
      <x:c r="L1763" s="4" t="n">
        <x:f>IF(AND('계산 과정'!$L$6,J1763&gt;0),'계산 과정'!$D$10*('계산 과정'!$C$39*(D1763-'계산 과정'!$C$32)+'계산 과정'!$D$39*(E1763-'계산 과정'!$D$32)-'계산 과정'!$E$39*'계산 과정'!$E$32)/J1763,"")</x:f>
        <x:v>1.2697291277788318</x:v>
      </x:c>
      <x:c r="M1763" s="17" t="n">
        <x:f>IF('계산 과정'!$L$6,IF(J1763&lt;=0,0,IF(AND(ABS(K1763)&lt;='계산 과정'!$D$11/2,ABS(L1763)&lt;='계산 과정'!$D$12/2),1,0)),"")</x:f>
        <x:v>1</x:v>
      </x:c>
      <x:c r="N1763" s="17" t="n">
        <x:f>IF('계산 과정'!$C$78,IF(AND(ISNUMBER(H1763),ISNUMBER(I1763),ABS(H1763-'계산 과정'!$C$88)&lt;='계산 과정'!$D$23/2,ABS(I1763-'계산 과정'!$C$89)&lt;='계산 과정'!$D$24/2),1,0),"")</x:f>
        <x:v>1</x:v>
      </x:c>
      <x:c r="O1763" s="4" t="n">
        <x:f>IF('계산 과정'!$L$7,'계산 과정'!$C$49*('계산 과정'!$C$32-D1763)+'계산 과정'!$D$49*('계산 과정'!$D$32-E1763)+'계산 과정'!$E$49*'계산 과정'!$E$32,"")</x:f>
        <x:v>73.99537167144638</x:v>
      </x:c>
      <x:c r="P1763" s="4" t="n">
        <x:f>IF(AND('계산 과정'!$L$7,O1763&lt;&gt;0),('계산 과정'!$L$23-'계산 과정'!$C$49*D1763-'계산 과정'!$D$49*E1763)/O1763,"")</x:f>
        <x:v>6.405743507527424</x:v>
      </x:c>
      <x:c r="Q1763" s="4" t="str">
        <x:f>IF(AND(ISNUMBER(P1763),P1763&gt;1E-9,P1763&lt;1-1E-9),'계산 과정'!$C$47*(D1763-'계산 과정'!$C$50+P1763*('계산 과정'!$C$32-D1763))+'계산 과정'!$D$47*(E1763-'계산 과정'!$D$50+P1763*('계산 과정'!$D$32-E1763))+'계산 과정'!$E$47*(0-'계산 과정'!$E$50+P1763*('계산 과정'!$E$32-0)),"")</x:f>
      </x:c>
      <x:c r="R1763" s="4" t="str">
        <x:f>IF(AND(ISNUMBER(P1763),P1763&gt;1E-9,P1763&lt;1-1E-9),'계산 과정'!$C$48*(D1763-'계산 과정'!$C$50+P1763*('계산 과정'!$C$32-D1763))+'계산 과정'!$D$48*(E1763-'계산 과정'!$D$50+P1763*('계산 과정'!$D$32-E1763))+'계산 과정'!$E$48*(0-'계산 과정'!$E$50+P1763*('계산 과정'!$E$32-0)),"")</x:f>
      </x:c>
      <x:c r="S1763" s="17" t="n">
        <x:f>IF('계산 과정'!$C$78,IF(AND(ISNUMBER(Q1763),ISNUMBER(R1763),ABS(Q1763-'계산 과정'!$C$88)&lt;='계산 과정'!$D$23/2,ABS(R1763-'계산 과정'!$C$89)&lt;='계산 과정'!$D$24/2),1,0),"")</x:f>
        <x:v>0</x:v>
      </x:c>
      <x:c r="T1763" s="4"/>
      <x:c r="U1763" s="4"/>
      <x:c r="V1763" s="4"/>
      <x:c r="W1763" s="4"/>
      <x:c r="X1763" s="4"/>
      <x:c r="Y1763" s="4"/>
      <x:c r="Z1763" s="4"/>
    </x:row>
    <x:row r="1764" ht="23" customHeight="1">
      <x:c r="A1764" s="17" t="n">
        <x:f>ROW()-6</x:f>
        <x:v>1758</x:v>
      </x:c>
      <x:c r="B1764" s="4" t="n">
        <x:f>IF('계산 과정'!$L$5,'계산 과정'!$L$11*SQRT((A1764+0.5)/'계산 과정'!$L$30),"")</x:f>
        <x:v>138.99445315483817</x:v>
      </x:c>
      <x:c r="C1764" s="4" t="n">
        <x:f>A1764*PI()*(3-SQRT(5))</x:f>
        <x:v>4219.135357862971</x:v>
      </x:c>
      <x:c r="D1764" s="4" t="n">
        <x:f>IF('계산 과정'!$L$5,B1764*COS(C1764),"")</x:f>
        <x:v>-138.9558267562038</x:v>
      </x:c>
      <x:c r="E1764" s="4" t="n">
        <x:f>IF('계산 과정'!$L$5,B1764*SIN(C1764),"")</x:f>
        <x:v>3.2766169004588788</x:v>
      </x:c>
      <x:c r="F1764" s="4" t="n">
        <x:f>IF('계산 과정'!$L$7,'계산 과정'!$L$22+'계산 과정'!$C$49*D1764+'계산 과정'!$D$49*E1764,"")</x:f>
        <x:v>748.2566073846948</x:v>
      </x:c>
      <x:c r="G1764" s="4" t="n">
        <x:f>IF('계산 과정'!$L$7,IF(ABS(F1764)&gt;=1E-12*MAX(1,SQRT((D1764-'계산 과정'!$C$33)^2+(E1764-'계산 과정'!$D$33)^2+'계산 과정'!$E$33^2)),('계산 과정'!$L$23-'계산 과정'!$C$49*D1764-'계산 과정'!$D$49*E1764)/F1764,""),"")</x:f>
        <x:v>0.4032619152805856</x:v>
      </x:c>
      <x:c r="H1764" s="4" t="n">
        <x:f>IF(AND(ISNUMBER(G1764),G1764&gt;0),('계산 과정'!$D$56+'계산 과정'!$D$57*D1764+'계산 과정'!$D$58*E1764)/F1764,"")</x:f>
        <x:v>-137.8797550676195</x:v>
      </x:c>
      <x:c r="I1764" s="4" t="n">
        <x:f>IF(AND(ISNUMBER(G1764),G1764&gt;0),('계산 과정'!$E$56+'계산 과정'!$E$57*D1764+'계산 과정'!$E$58*E1764)/F1764,"")</x:f>
        <x:v>4.5979517073786615</x:v>
      </x:c>
      <x:c r="J1764" s="4" t="n">
        <x:f>IF('계산 과정'!$L$5,'계산 과정'!$D$6+'계산 과정'!$C$35*D1764+'계산 과정'!$D$35*E1764,"")</x:f>
        <x:v>748.2566073846948</x:v>
      </x:c>
      <x:c r="K1764" s="4" t="n">
        <x:f>IF(AND('계산 과정'!$L$6,J1764&gt;0),'계산 과정'!$D$10*('계산 과정'!$C$38*(D1764-'계산 과정'!$C$32)+'계산 과정'!$D$38*(E1764-'계산 과정'!$D$32)-'계산 과정'!$E$38*'계산 과정'!$E$32)/J1764,"")</x:f>
        <x:v>-1.0505124195628142</x:v>
      </x:c>
      <x:c r="L1764" s="4" t="n">
        <x:f>IF(AND('계산 과정'!$L$6,J1764&gt;0),'계산 과정'!$D$10*('계산 과정'!$C$39*(D1764-'계산 과정'!$C$32)+'계산 과정'!$D$39*(E1764-'계산 과정'!$D$32)-'계산 과정'!$E$39*'계산 과정'!$E$32)/J1764,"")</x:f>
        <x:v>0.03503201300859933</x:v>
      </x:c>
      <x:c r="M1764" s="17" t="n">
        <x:f>IF('계산 과정'!$L$6,IF(J1764&lt;=0,0,IF(AND(ABS(K1764)&lt;='계산 과정'!$D$11/2,ABS(L1764)&lt;='계산 과정'!$D$12/2),1,0)),"")</x:f>
        <x:v>1</x:v>
      </x:c>
      <x:c r="N1764" s="17" t="n">
        <x:f>IF('계산 과정'!$C$78,IF(AND(ISNUMBER(H1764),ISNUMBER(I1764),ABS(H1764-'계산 과정'!$C$88)&lt;='계산 과정'!$D$23/2,ABS(I1764-'계산 과정'!$C$89)&lt;='계산 과정'!$D$24/2),1,0),"")</x:f>
        <x:v>1</x:v>
      </x:c>
      <x:c r="O1764" s="4" t="n">
        <x:f>IF('계산 과정'!$L$7,'계산 과정'!$C$49*('계산 과정'!$C$32-D1764)+'계산 과정'!$D$49*('계산 과정'!$D$32-E1764)+'계산 과정'!$E$49*'계산 과정'!$E$32,"")</x:f>
        <x:v>-98.25660738469469</x:v>
      </x:c>
      <x:c r="P1764" s="4" t="n">
        <x:f>IF(AND('계산 과정'!$L$7,O1764&lt;&gt;0),('계산 과정'!$L$23-'계산 과정'!$C$49*D1764-'계산 과정'!$D$49*E1764)/O1764,"")</x:f>
        <x:v>-3.0709730434098765</x:v>
      </x:c>
      <x:c r="Q1764" s="4" t="str">
        <x:f>IF(AND(ISNUMBER(P1764),P1764&gt;1E-9,P1764&lt;1-1E-9),'계산 과정'!$C$47*(D1764-'계산 과정'!$C$50+P1764*('계산 과정'!$C$32-D1764))+'계산 과정'!$D$47*(E1764-'계산 과정'!$D$50+P1764*('계산 과정'!$D$32-E1764))+'계산 과정'!$E$47*(0-'계산 과정'!$E$50+P1764*('계산 과정'!$E$32-0)),"")</x:f>
      </x:c>
      <x:c r="R1764" s="4" t="str">
        <x:f>IF(AND(ISNUMBER(P1764),P1764&gt;1E-9,P1764&lt;1-1E-9),'계산 과정'!$C$48*(D1764-'계산 과정'!$C$50+P1764*('계산 과정'!$C$32-D1764))+'계산 과정'!$D$48*(E1764-'계산 과정'!$D$50+P1764*('계산 과정'!$D$32-E1764))+'계산 과정'!$E$48*(0-'계산 과정'!$E$50+P1764*('계산 과정'!$E$32-0)),"")</x:f>
      </x:c>
      <x:c r="S1764" s="17" t="n">
        <x:f>IF('계산 과정'!$C$78,IF(AND(ISNUMBER(Q1764),ISNUMBER(R1764),ABS(Q1764-'계산 과정'!$C$88)&lt;='계산 과정'!$D$23/2,ABS(R1764-'계산 과정'!$C$89)&lt;='계산 과정'!$D$24/2),1,0),"")</x:f>
        <x:v>0</x:v>
      </x:c>
      <x:c r="T1764" s="4"/>
      <x:c r="U1764" s="4"/>
      <x:c r="V1764" s="4"/>
      <x:c r="W1764" s="4"/>
      <x:c r="X1764" s="4"/>
      <x:c r="Y1764" s="4"/>
      <x:c r="Z1764" s="4"/>
    </x:row>
    <x:row r="1765" ht="23" customHeight="1">
      <x:c r="A1765" s="17" t="n">
        <x:f>ROW()-6</x:f>
        <x:v>1759</x:v>
      </x:c>
      <x:c r="B1765" s="4" t="n">
        <x:f>IF('계산 과정'!$L$5,'계산 과정'!$L$11*SQRT((A1765+0.5)/'계산 과정'!$L$30),"")</x:f>
        <x:v>139.03396828091147</x:v>
      </x:c>
      <x:c r="C1765" s="4" t="n">
        <x:f>A1765*PI()*(3-SQRT(5))</x:f>
        <x:v>4221.5353210927005</x:v>
      </x:c>
      <x:c r="D1765" s="4" t="n">
        <x:f>IF('계산 과정'!$L$5,B1765*COS(C1765),"")</x:f>
        <x:v>100.27687905858771</x:v>
      </x:c>
      <x:c r="E1765" s="4" t="n">
        <x:f>IF('계산 과정'!$L$5,B1765*SIN(C1765),"")</x:f>
        <x:v>-96.30675917196503</x:v>
      </x:c>
      <x:c r="F1765" s="4" t="n">
        <x:f>IF('계산 과정'!$L$7,'계산 과정'!$L$22+'계산 과정'!$C$49*D1765+'계산 과정'!$D$49*E1765,"")</x:f>
        <x:v>579.0935388214493</x:v>
      </x:c>
      <x:c r="G1765" s="4" t="n">
        <x:f>IF('계산 과정'!$L$7,IF(ABS(F1765)&gt;=1E-12*MAX(1,SQRT((D1765-'계산 과정'!$C$33)^2+(E1765-'계산 과정'!$D$33)^2+'계산 과정'!$E$33^2)),('계산 과정'!$L$23-'계산 과정'!$C$49*D1765-'계산 과정'!$D$49*E1765)/F1765,""),"")</x:f>
        <x:v>0.8131785792963997</x:v>
      </x:c>
      <x:c r="H1765" s="4" t="n">
        <x:f>IF(AND(ISNUMBER(G1765),G1765&gt;0),('계산 과정'!$D$56+'계산 과정'!$D$57*D1765+'계산 과정'!$D$58*E1765)/F1765,"")</x:f>
        <x:v>128.56607654265972</x:v>
      </x:c>
      <x:c r="I1765" s="4" t="n">
        <x:f>IF(AND(ISNUMBER(G1765),G1765&gt;0),('계산 과정'!$E$56+'계산 과정'!$E$57*D1765+'계산 과정'!$E$58*E1765)/F1765,"")</x:f>
        <x:v>-174.62135277206409</x:v>
      </x:c>
      <x:c r="J1765" s="4" t="n">
        <x:f>IF('계산 과정'!$L$5,'계산 과정'!$D$6+'계산 과정'!$C$35*D1765+'계산 과정'!$D$35*E1765,"")</x:f>
        <x:v>579.0935388214493</x:v>
      </x:c>
      <x:c r="K1765" s="4" t="n">
        <x:f>IF(AND('계산 과정'!$L$6,J1765&gt;0),'계산 과정'!$D$10*('계산 과정'!$C$38*(D1765-'계산 과정'!$C$32)+'계산 과정'!$D$38*(E1765-'계산 과정'!$D$32)-'계산 과정'!$E$38*'계산 과정'!$E$32)/J1765,"")</x:f>
        <x:v>0.9795510593726467</x:v>
      </x:c>
      <x:c r="L1765" s="4" t="n">
        <x:f>IF(AND('계산 과정'!$L$6,J1765&gt;0),'계산 과정'!$D$10*('계산 과정'!$C$39*(D1765-'계산 과정'!$C$32)+'계산 과정'!$D$39*(E1765-'계산 과정'!$D$32)-'계산 과정'!$E$39*'계산 과정'!$E$32)/J1765,"")</x:f>
        <x:v>-1.330448402072869</x:v>
      </x:c>
      <x:c r="M1765" s="17" t="n">
        <x:f>IF('계산 과정'!$L$6,IF(J1765&lt;=0,0,IF(AND(ABS(K1765)&lt;='계산 과정'!$D$11/2,ABS(L1765)&lt;='계산 과정'!$D$12/2),1,0)),"")</x:f>
        <x:v>1</x:v>
      </x:c>
      <x:c r="N1765" s="17" t="n">
        <x:f>IF('계산 과정'!$C$78,IF(AND(ISNUMBER(H1765),ISNUMBER(I1765),ABS(H1765-'계산 과정'!$C$88)&lt;='계산 과정'!$D$23/2,ABS(I1765-'계산 과정'!$C$89)&lt;='계산 과정'!$D$24/2),1,0),"")</x:f>
        <x:v>1</x:v>
      </x:c>
      <x:c r="O1765" s="4" t="n">
        <x:f>IF('계산 과정'!$L$7,'계산 과정'!$C$49*('계산 과정'!$C$32-D1765)+'계산 과정'!$D$49*('계산 과정'!$D$32-E1765)+'계산 과정'!$E$49*'계산 과정'!$E$32,"")</x:f>
        <x:v>70.90646117855079</x:v>
      </x:c>
      <x:c r="P1765" s="4" t="n">
        <x:f>IF(AND('계산 과정'!$L$7,O1765&lt;&gt;0),('계산 과정'!$L$23-'계산 과정'!$C$49*D1765-'계산 과정'!$D$49*E1765)/O1765,"")</x:f>
        <x:v>6.641234851542696</x:v>
      </x:c>
      <x:c r="Q1765" s="4" t="str">
        <x:f>IF(AND(ISNUMBER(P1765),P1765&gt;1E-9,P1765&lt;1-1E-9),'계산 과정'!$C$47*(D1765-'계산 과정'!$C$50+P1765*('계산 과정'!$C$32-D1765))+'계산 과정'!$D$47*(E1765-'계산 과정'!$D$50+P1765*('계산 과정'!$D$32-E1765))+'계산 과정'!$E$47*(0-'계산 과정'!$E$50+P1765*('계산 과정'!$E$32-0)),"")</x:f>
      </x:c>
      <x:c r="R1765" s="4" t="str">
        <x:f>IF(AND(ISNUMBER(P1765),P1765&gt;1E-9,P1765&lt;1-1E-9),'계산 과정'!$C$48*(D1765-'계산 과정'!$C$50+P1765*('계산 과정'!$C$32-D1765))+'계산 과정'!$D$48*(E1765-'계산 과정'!$D$50+P1765*('계산 과정'!$D$32-E1765))+'계산 과정'!$E$48*(0-'계산 과정'!$E$50+P1765*('계산 과정'!$E$32-0)),"")</x:f>
      </x:c>
      <x:c r="S1765" s="17" t="n">
        <x:f>IF('계산 과정'!$C$78,IF(AND(ISNUMBER(Q1765),ISNUMBER(R1765),ABS(Q1765-'계산 과정'!$C$88)&lt;='계산 과정'!$D$23/2,ABS(R1765-'계산 과정'!$C$89)&lt;='계산 과정'!$D$24/2),1,0),"")</x:f>
        <x:v>0</x:v>
      </x:c>
      <x:c r="T1765" s="4"/>
      <x:c r="U1765" s="4"/>
      <x:c r="V1765" s="4"/>
      <x:c r="W1765" s="4"/>
      <x:c r="X1765" s="4"/>
      <x:c r="Y1765" s="4"/>
      <x:c r="Z1765" s="4"/>
    </x:row>
    <x:row r="1766" ht="23" customHeight="1">
      <x:c r="A1766" s="17" t="n">
        <x:f>ROW()-6</x:f>
        <x:v>1760</x:v>
      </x:c>
      <x:c r="B1766" s="4" t="n">
        <x:f>IF('계산 과정'!$L$5,'계산 과정'!$L$11*SQRT((A1766+0.5)/'계산 과정'!$L$30),"")</x:f>
        <x:v>139.0734721795012</x:v>
      </x:c>
      <x:c r="C1766" s="4" t="n">
        <x:f>A1766*PI()*(3-SQRT(5))</x:f>
        <x:v>4223.93528432243</x:v>
      </x:c>
      <x:c r="D1766" s="4" t="n">
        <x:f>IF('계산 과정'!$L$5,B1766*COS(C1766),"")</x:f>
        <x:v>-8.889293725165674</x:v>
      </x:c>
      <x:c r="E1766" s="4" t="n">
        <x:f>IF('계산 과정'!$L$5,B1766*SIN(C1766),"")</x:f>
        <x:v>138.78908862417904</x:v>
      </x:c>
      <x:c r="F1766" s="4" t="n">
        <x:f>IF('계산 과정'!$L$7,'계산 과정'!$L$22+'계산 과정'!$C$49*D1766+'계산 과정'!$D$49*E1766,"")</x:f>
        <x:v>656.2856798730237</x:v>
      </x:c>
      <x:c r="G1766" s="4" t="n">
        <x:f>IF('계산 과정'!$L$7,IF(ABS(F1766)&gt;=1E-12*MAX(1,SQRT((D1766-'계산 과정'!$C$33)^2+(E1766-'계산 과정'!$D$33)^2+'계산 과정'!$E$33^2)),('계산 과정'!$L$23-'계산 과정'!$C$49*D1766-'계산 과정'!$D$49*E1766)/F1766,""),"")</x:f>
        <x:v>0.5999130138008665</x:v>
      </x:c>
      <x:c r="H1766" s="4" t="n">
        <x:f>IF(AND(ISNUMBER(G1766),G1766&gt;0),('계산 과정'!$D$56+'계산 과정'!$D$57*D1766+'계산 과정'!$D$58*E1766)/F1766,"")</x:f>
        <x:v>-10.05654102943687</x:v>
      </x:c>
      <x:c r="I1766" s="4" t="n">
        <x:f>IF(AND(ISNUMBER(G1766),G1766&gt;0),('계산 과정'!$E$56+'계산 과정'!$E$57*D1766+'계산 과정'!$E$58*E1766)/F1766,"")</x:f>
        <x:v>222.05046906338586</x:v>
      </x:c>
      <x:c r="J1766" s="4" t="n">
        <x:f>IF('계산 과정'!$L$5,'계산 과정'!$D$6+'계산 과정'!$C$35*D1766+'계산 과정'!$D$35*E1766,"")</x:f>
        <x:v>656.2856798730237</x:v>
      </x:c>
      <x:c r="K1766" s="4" t="n">
        <x:f>IF(AND('계산 과정'!$L$6,J1766&gt;0),'계산 과정'!$D$10*('계산 과정'!$C$38*(D1766-'계산 과정'!$C$32)+'계산 과정'!$D$38*(E1766-'계산 과정'!$D$32)-'계산 과정'!$E$38*'계산 과정'!$E$32)/J1766,"")</x:f>
        <x:v>-0.07662126498618436</x:v>
      </x:c>
      <x:c r="L1766" s="4" t="n">
        <x:f>IF(AND('계산 과정'!$L$6,J1766&gt;0),'계산 과정'!$D$10*('계산 과정'!$C$39*(D1766-'계산 과정'!$C$32)+'계산 과정'!$D$39*(E1766-'계산 과정'!$D$32)-'계산 과정'!$E$39*'계산 과정'!$E$32)/J1766,"")</x:f>
        <x:v>1.691813097625797</x:v>
      </x:c>
      <x:c r="M1766" s="17" t="n">
        <x:f>IF('계산 과정'!$L$6,IF(J1766&lt;=0,0,IF(AND(ABS(K1766)&lt;='계산 과정'!$D$11/2,ABS(L1766)&lt;='계산 과정'!$D$12/2),1,0)),"")</x:f>
        <x:v>1</x:v>
      </x:c>
      <x:c r="N1766" s="17" t="n">
        <x:f>IF('계산 과정'!$C$78,IF(AND(ISNUMBER(H1766),ISNUMBER(I1766),ABS(H1766-'계산 과정'!$C$88)&lt;='계산 과정'!$D$23/2,ABS(I1766-'계산 과정'!$C$89)&lt;='계산 과정'!$D$24/2),1,0),"")</x:f>
        <x:v>1</x:v>
      </x:c>
      <x:c r="O1766" s="4" t="n">
        <x:f>IF('계산 과정'!$L$7,'계산 과정'!$C$49*('계산 과정'!$C$32-D1766)+'계산 과정'!$D$49*('계산 과정'!$D$32-E1766)+'계산 과정'!$E$49*'계산 과정'!$E$32,"")</x:f>
        <x:v>-6.2856798730235255</x:v>
      </x:c>
      <x:c r="P1766" s="4" t="n">
        <x:f>IF(AND('계산 과정'!$L$7,O1766&lt;&gt;0),('계산 과정'!$L$23-'계산 과정'!$C$49*D1766-'계산 과정'!$D$49*E1766)/O1766,"")</x:f>
        <x:v>-62.63671203121463</x:v>
      </x:c>
      <x:c r="Q1766" s="4" t="str">
        <x:f>IF(AND(ISNUMBER(P1766),P1766&gt;1E-9,P1766&lt;1-1E-9),'계산 과정'!$C$47*(D1766-'계산 과정'!$C$50+P1766*('계산 과정'!$C$32-D1766))+'계산 과정'!$D$47*(E1766-'계산 과정'!$D$50+P1766*('계산 과정'!$D$32-E1766))+'계산 과정'!$E$47*(0-'계산 과정'!$E$50+P1766*('계산 과정'!$E$32-0)),"")</x:f>
      </x:c>
      <x:c r="R1766" s="4" t="str">
        <x:f>IF(AND(ISNUMBER(P1766),P1766&gt;1E-9,P1766&lt;1-1E-9),'계산 과정'!$C$48*(D1766-'계산 과정'!$C$50+P1766*('계산 과정'!$C$32-D1766))+'계산 과정'!$D$48*(E1766-'계산 과정'!$D$50+P1766*('계산 과정'!$D$32-E1766))+'계산 과정'!$E$48*(0-'계산 과정'!$E$50+P1766*('계산 과정'!$E$32-0)),"")</x:f>
      </x:c>
      <x:c r="S1766" s="17" t="n">
        <x:f>IF('계산 과정'!$C$78,IF(AND(ISNUMBER(Q1766),ISNUMBER(R1766),ABS(Q1766-'계산 과정'!$C$88)&lt;='계산 과정'!$D$23/2,ABS(R1766-'계산 과정'!$C$89)&lt;='계산 과정'!$D$24/2),1,0),"")</x:f>
        <x:v>0</x:v>
      </x:c>
      <x:c r="T1766" s="4"/>
      <x:c r="U1766" s="4"/>
      <x:c r="V1766" s="4"/>
      <x:c r="W1766" s="4"/>
      <x:c r="X1766" s="4"/>
      <x:c r="Y1766" s="4"/>
      <x:c r="Z1766" s="4"/>
    </x:row>
    <x:row r="1767" ht="23" customHeight="1">
      <x:c r="A1767" s="17" t="n">
        <x:f>ROW()-6</x:f>
        <x:v>1761</x:v>
      </x:c>
      <x:c r="B1767" s="4" t="n">
        <x:f>IF('계산 과정'!$L$5,'계산 과정'!$L$11*SQRT((A1767+0.5)/'계산 과정'!$L$30),"")</x:f>
        <x:v>139.11296486017218</x:v>
      </x:c>
      <x:c r="C1767" s="4" t="n">
        <x:f>A1767*PI()*(3-SQRT(5))</x:f>
        <x:v>4226.335247552158</x:v>
      </x:c>
      <x:c r="D1767" s="4" t="n">
        <x:f>IF('계산 과정'!$L$5,B1767*COS(C1767),"")</x:f>
        <x:v>-87.22075481211135</x:v>
      </x:c>
      <x:c r="E1767" s="4" t="n">
        <x:f>IF('계산 과정'!$L$5,B1767*SIN(C1767),"")</x:f>
        <x:v>-108.37415246355128</x:v>
      </x:c>
      <x:c r="F1767" s="4" t="n">
        <x:f>IF('계산 과정'!$L$7,'계산 과정'!$L$22+'계산 과정'!$C$49*D1767+'계산 과정'!$D$49*E1767,"")</x:f>
        <x:v>711.6743871878531</x:v>
      </x:c>
      <x:c r="G1767" s="4" t="n">
        <x:f>IF('계산 과정'!$L$7,IF(ABS(F1767)&gt;=1E-12*MAX(1,SQRT((D1767-'계산 과정'!$C$33)^2+(E1767-'계산 과정'!$D$33)^2+'계산 과정'!$E$33^2)),('계산 과정'!$L$23-'계산 과정'!$C$49*D1767-'계산 과정'!$D$49*E1767)/F1767,""),"")</x:f>
        <x:v>0.47539383024450854</x:v>
      </x:c>
      <x:c r="H1767" s="4" t="n">
        <x:f>IF(AND(ISNUMBER(G1767),G1767&gt;0),('계산 과정'!$D$56+'계산 과정'!$D$57*D1767+'계산 과정'!$D$58*E1767)/F1767,"")</x:f>
        <x:v>-90.99401034106961</x:v>
      </x:c>
      <x:c r="I1767" s="4" t="n">
        <x:f>IF(AND(ISNUMBER(G1767),G1767&gt;0),('계산 과정'!$E$56+'계산 과정'!$E$57*D1767+'계산 과정'!$E$58*E1767)/F1767,"")</x:f>
        <x:v>-159.89455590270128</x:v>
      </x:c>
      <x:c r="J1767" s="4" t="n">
        <x:f>IF('계산 과정'!$L$5,'계산 과정'!$D$6+'계산 과정'!$C$35*D1767+'계산 과정'!$D$35*E1767,"")</x:f>
        <x:v>711.6743871878531</x:v>
      </x:c>
      <x:c r="K1767" s="4" t="n">
        <x:f>IF(AND('계산 과정'!$L$6,J1767&gt;0),'계산 과정'!$D$10*('계산 과정'!$C$38*(D1767-'계산 과정'!$C$32)+'계산 과정'!$D$38*(E1767-'계산 과정'!$D$32)-'계산 과정'!$E$38*'계산 과정'!$E$32)/J1767,"")</x:f>
        <x:v>-0.6932876978367193</x:v>
      </x:c>
      <x:c r="L1767" s="4" t="n">
        <x:f>IF(AND('계산 과정'!$L$6,J1767&gt;0),'계산 과정'!$D$10*('계산 과정'!$C$39*(D1767-'계산 과정'!$C$32)+'계산 과정'!$D$39*(E1767-'계산 과정'!$D$32)-'계산 과정'!$E$39*'계산 과정'!$E$32)/J1767,"")</x:f>
        <x:v>-1.2182442354491525</x:v>
      </x:c>
      <x:c r="M1767" s="17" t="n">
        <x:f>IF('계산 과정'!$L$6,IF(J1767&lt;=0,0,IF(AND(ABS(K1767)&lt;='계산 과정'!$D$11/2,ABS(L1767)&lt;='계산 과정'!$D$12/2),1,0)),"")</x:f>
        <x:v>1</x:v>
      </x:c>
      <x:c r="N1767" s="17" t="n">
        <x:f>IF('계산 과정'!$C$78,IF(AND(ISNUMBER(H1767),ISNUMBER(I1767),ABS(H1767-'계산 과정'!$C$88)&lt;='계산 과정'!$D$23/2,ABS(I1767-'계산 과정'!$C$89)&lt;='계산 과정'!$D$24/2),1,0),"")</x:f>
        <x:v>1</x:v>
      </x:c>
      <x:c r="O1767" s="4" t="n">
        <x:f>IF('계산 과정'!$L$7,'계산 과정'!$C$49*('계산 과정'!$C$32-D1767)+'계산 과정'!$D$49*('계산 과정'!$D$32-E1767)+'계산 과정'!$E$49*'계산 과정'!$E$32,"")</x:f>
        <x:v>-61.67438718785297</x:v>
      </x:c>
      <x:c r="P1767" s="4" t="n">
        <x:f>IF(AND('계산 과정'!$L$7,O1767&lt;&gt;0),('계산 과정'!$L$23-'계산 과정'!$C$49*D1767-'계산 과정'!$D$49*E1767)/O1767,"")</x:f>
        <x:v>-5.485674495340287</x:v>
      </x:c>
      <x:c r="Q1767" s="4" t="str">
        <x:f>IF(AND(ISNUMBER(P1767),P1767&gt;1E-9,P1767&lt;1-1E-9),'계산 과정'!$C$47*(D1767-'계산 과정'!$C$50+P1767*('계산 과정'!$C$32-D1767))+'계산 과정'!$D$47*(E1767-'계산 과정'!$D$50+P1767*('계산 과정'!$D$32-E1767))+'계산 과정'!$E$47*(0-'계산 과정'!$E$50+P1767*('계산 과정'!$E$32-0)),"")</x:f>
      </x:c>
      <x:c r="R1767" s="4" t="str">
        <x:f>IF(AND(ISNUMBER(P1767),P1767&gt;1E-9,P1767&lt;1-1E-9),'계산 과정'!$C$48*(D1767-'계산 과정'!$C$50+P1767*('계산 과정'!$C$32-D1767))+'계산 과정'!$D$48*(E1767-'계산 과정'!$D$50+P1767*('계산 과정'!$D$32-E1767))+'계산 과정'!$E$48*(0-'계산 과정'!$E$50+P1767*('계산 과정'!$E$32-0)),"")</x:f>
      </x:c>
      <x:c r="S1767" s="17" t="n">
        <x:f>IF('계산 과정'!$C$78,IF(AND(ISNUMBER(Q1767),ISNUMBER(R1767),ABS(Q1767-'계산 과정'!$C$88)&lt;='계산 과정'!$D$23/2,ABS(R1767-'계산 과정'!$C$89)&lt;='계산 과정'!$D$24/2),1,0),"")</x:f>
        <x:v>0</x:v>
      </x:c>
      <x:c r="T1767" s="4"/>
      <x:c r="U1767" s="4"/>
      <x:c r="V1767" s="4"/>
      <x:c r="W1767" s="4"/>
      <x:c r="X1767" s="4"/>
      <x:c r="Y1767" s="4"/>
      <x:c r="Z1767" s="4"/>
    </x:row>
    <x:row r="1768" ht="23" customHeight="1">
      <x:c r="A1768" s="17" t="n">
        <x:f>ROW()-6</x:f>
        <x:v>1762</x:v>
      </x:c>
      <x:c r="B1768" s="4" t="n">
        <x:f>IF('계산 과정'!$L$5,'계산 과정'!$L$11*SQRT((A1768+0.5)/'계산 과정'!$L$30),"")</x:f>
        <x:v>139.1524463324756</x:v>
      </x:c>
      <x:c r="C1768" s="4" t="n">
        <x:f>A1768*PI()*(3-SQRT(5))</x:f>
        <x:v>4228.735210781886</x:v>
      </x:c>
      <x:c r="D1768" s="4" t="n">
        <x:f>IF('계산 과정'!$L$5,B1768*COS(C1768),"")</x:f>
        <x:v>137.5585875085254</x:v>
      </x:c>
      <x:c r="E1768" s="4" t="n">
        <x:f>IF('계산 과정'!$L$5,B1768*SIN(C1768),"")</x:f>
        <x:v>21.00091243188891</x:v>
      </x:c>
      <x:c r="F1768" s="4" t="n">
        <x:f>IF('계산 과정'!$L$7,'계산 과정'!$L$22+'계산 과정'!$C$49*D1768+'계산 과정'!$D$49*E1768,"")</x:f>
        <x:v>552.7313899622786</x:v>
      </x:c>
      <x:c r="G1768" s="4" t="n">
        <x:f>IF('계산 과정'!$L$7,IF(ABS(F1768)&gt;=1E-12*MAX(1,SQRT((D1768-'계산 과정'!$C$33)^2+(E1768-'계산 과정'!$D$33)^2+'계산 과정'!$E$33^2)),('계산 과정'!$L$23-'계산 과정'!$C$49*D1768-'계산 과정'!$D$49*E1768)/F1768,""),"")</x:f>
        <x:v>0.8996569021919628</x:v>
      </x:c>
      <x:c r="H1768" s="4" t="n">
        <x:f>IF(AND(ISNUMBER(G1768),G1768&gt;0),('계산 과정'!$D$56+'계산 과정'!$D$57*D1768+'계산 과정'!$D$58*E1768)/F1768,"")</x:f>
        <x:v>184.77698642477583</x:v>
      </x:c>
      <x:c r="I1768" s="4" t="n">
        <x:f>IF(AND(ISNUMBER(G1768),G1768&gt;0),('계산 과정'!$E$56+'계산 과정'!$E$57*D1768+'계산 과정'!$E$58*E1768)/F1768,"")</x:f>
        <x:v>39.89452825356677</x:v>
      </x:c>
      <x:c r="J1768" s="4" t="n">
        <x:f>IF('계산 과정'!$L$5,'계산 과정'!$D$6+'계산 과정'!$C$35*D1768+'계산 과정'!$D$35*E1768,"")</x:f>
        <x:v>552.7313899622786</x:v>
      </x:c>
      <x:c r="K1768" s="4" t="n">
        <x:f>IF(AND('계산 과정'!$L$6,J1768&gt;0),'계산 과정'!$D$10*('계산 과정'!$C$38*(D1768-'계산 과정'!$C$32)+'계산 과정'!$D$38*(E1768-'계산 과정'!$D$32)-'계산 과정'!$E$38*'계산 과정'!$E$32)/J1768,"")</x:f>
        <x:v>1.4078246584744838</x:v>
      </x:c>
      <x:c r="L1768" s="4" t="n">
        <x:f>IF(AND('계산 과정'!$L$6,J1768&gt;0),'계산 과정'!$D$10*('계산 과정'!$C$39*(D1768-'계산 과정'!$C$32)+'계산 과정'!$D$39*(E1768-'계산 과정'!$D$32)-'계산 과정'!$E$39*'계산 과정'!$E$32)/J1768,"")</x:f>
        <x:v>0.30395831050336586</x:v>
      </x:c>
      <x:c r="M1768" s="17" t="n">
        <x:f>IF('계산 과정'!$L$6,IF(J1768&lt;=0,0,IF(AND(ABS(K1768)&lt;='계산 과정'!$D$11/2,ABS(L1768)&lt;='계산 과정'!$D$12/2),1,0)),"")</x:f>
        <x:v>1</x:v>
      </x:c>
      <x:c r="N1768" s="17" t="n">
        <x:f>IF('계산 과정'!$C$78,IF(AND(ISNUMBER(H1768),ISNUMBER(I1768),ABS(H1768-'계산 과정'!$C$88)&lt;='계산 과정'!$D$23/2,ABS(I1768-'계산 과정'!$C$89)&lt;='계산 과정'!$D$24/2),1,0),"")</x:f>
        <x:v>1</x:v>
      </x:c>
      <x:c r="O1768" s="4" t="n">
        <x:f>IF('계산 과정'!$L$7,'계산 과정'!$C$49*('계산 과정'!$C$32-D1768)+'계산 과정'!$D$49*('계산 과정'!$D$32-E1768)+'계산 과정'!$E$49*'계산 과정'!$E$32,"")</x:f>
        <x:v>97.26861003772154</x:v>
      </x:c>
      <x:c r="P1768" s="4" t="n">
        <x:f>IF(AND('계산 과정'!$L$7,O1768&lt;&gt;0),('계산 과정'!$L$23-'계산 과정'!$C$49*D1768-'계산 과정'!$D$49*E1768)/O1768,"")</x:f>
        <x:v>5.112323593859074</x:v>
      </x:c>
      <x:c r="Q1768" s="4" t="str">
        <x:f>IF(AND(ISNUMBER(P1768),P1768&gt;1E-9,P1768&lt;1-1E-9),'계산 과정'!$C$47*(D1768-'계산 과정'!$C$50+P1768*('계산 과정'!$C$32-D1768))+'계산 과정'!$D$47*(E1768-'계산 과정'!$D$50+P1768*('계산 과정'!$D$32-E1768))+'계산 과정'!$E$47*(0-'계산 과정'!$E$50+P1768*('계산 과정'!$E$32-0)),"")</x:f>
      </x:c>
      <x:c r="R1768" s="4" t="str">
        <x:f>IF(AND(ISNUMBER(P1768),P1768&gt;1E-9,P1768&lt;1-1E-9),'계산 과정'!$C$48*(D1768-'계산 과정'!$C$50+P1768*('계산 과정'!$C$32-D1768))+'계산 과정'!$D$48*(E1768-'계산 과정'!$D$50+P1768*('계산 과정'!$D$32-E1768))+'계산 과정'!$E$48*(0-'계산 과정'!$E$50+P1768*('계산 과정'!$E$32-0)),"")</x:f>
      </x:c>
      <x:c r="S1768" s="17" t="n">
        <x:f>IF('계산 과정'!$C$78,IF(AND(ISNUMBER(Q1768),ISNUMBER(R1768),ABS(Q1768-'계산 과정'!$C$88)&lt;='계산 과정'!$D$23/2,ABS(R1768-'계산 과정'!$C$89)&lt;='계산 과정'!$D$24/2),1,0),"")</x:f>
        <x:v>0</x:v>
      </x:c>
      <x:c r="T1768" s="4"/>
      <x:c r="U1768" s="4"/>
      <x:c r="V1768" s="4"/>
      <x:c r="W1768" s="4"/>
      <x:c r="X1768" s="4"/>
      <x:c r="Y1768" s="4"/>
      <x:c r="Z1768" s="4"/>
    </x:row>
    <x:row r="1769" ht="23" customHeight="1">
      <x:c r="A1769" s="17" t="n">
        <x:f>ROW()-6</x:f>
        <x:v>1763</x:v>
      </x:c>
      <x:c r="B1769" s="4" t="n">
        <x:f>IF('계산 과정'!$L$5,'계산 과정'!$L$11*SQRT((A1769+0.5)/'계산 과정'!$L$30),"")</x:f>
        <x:v>139.19191660594913</x:v>
      </x:c>
      <x:c r="C1769" s="4" t="n">
        <x:f>A1769*PI()*(3-SQRT(5))</x:f>
        <x:v>4231.135174011615</x:v>
      </x:c>
      <x:c r="D1769" s="4" t="n">
        <x:f>IF('계산 과정'!$L$5,B1769*COS(C1769),"")</x:f>
        <x:v>-115.65012845220473</x:v>
      </x:c>
      <x:c r="E1769" s="4" t="n">
        <x:f>IF('계산 과정'!$L$5,B1769*SIN(C1769),"")</x:f>
        <x:v>77.45603551322547</x:v>
      </x:c>
      <x:c r="F1769" s="4" t="n">
        <x:f>IF('계산 과정'!$L$7,'계산 과정'!$L$22+'계산 과정'!$C$49*D1769+'계산 과정'!$D$49*E1769,"")</x:f>
        <x:v>731.7769900736492</x:v>
      </x:c>
      <x:c r="G1769" s="4" t="n">
        <x:f>IF('계산 과정'!$L$7,IF(ABS(F1769)&gt;=1E-12*MAX(1,SQRT((D1769-'계산 과정'!$C$33)^2+(E1769-'계산 과정'!$D$33)^2+'계산 과정'!$E$33^2)),('계산 과정'!$L$23-'계산 과정'!$C$49*D1769-'계산 과정'!$D$49*E1769)/F1769,""),"")</x:f>
        <x:v>0.43486337264352</x:v>
      </x:c>
      <x:c r="H1769" s="4" t="n">
        <x:f>IF(AND(ISNUMBER(G1769),G1769&gt;0),('계산 과정'!$D$56+'계산 과정'!$D$57*D1769+'계산 과정'!$D$58*E1769)/F1769,"")</x:f>
        <x:v>-117.33880778171215</x:v>
      </x:c>
      <x:c r="I1769" s="4" t="n">
        <x:f>IF(AND(ISNUMBER(G1769),G1769&gt;0),('계산 과정'!$E$56+'계산 과정'!$E$57*D1769+'계산 과정'!$E$58*E1769)/F1769,"")</x:f>
        <x:v>111.13882834810296</x:v>
      </x:c>
      <x:c r="J1769" s="4" t="n">
        <x:f>IF('계산 과정'!$L$5,'계산 과정'!$D$6+'계산 과정'!$C$35*D1769+'계산 과정'!$D$35*E1769,"")</x:f>
        <x:v>731.7769900736492</x:v>
      </x:c>
      <x:c r="K1769" s="4" t="n">
        <x:f>IF(AND('계산 과정'!$L$6,J1769&gt;0),'계산 과정'!$D$10*('계산 과정'!$C$38*(D1769-'계산 과정'!$C$32)+'계산 과정'!$D$38*(E1769-'계산 과정'!$D$32)-'계산 과정'!$E$38*'계산 과정'!$E$32)/J1769,"")</x:f>
        <x:v>-0.8940099640511391</x:v>
      </x:c>
      <x:c r="L1769" s="4" t="n">
        <x:f>IF(AND('계산 과정'!$L$6,J1769&gt;0),'계산 과정'!$D$10*('계산 과정'!$C$39*(D1769-'계산 과정'!$C$32)+'계산 과정'!$D$39*(E1769-'계산 과정'!$D$32)-'계산 과정'!$E$39*'계산 과정'!$E$32)/J1769,"")</x:f>
        <x:v>0.8467720255093559</x:v>
      </x:c>
      <x:c r="M1769" s="17" t="n">
        <x:f>IF('계산 과정'!$L$6,IF(J1769&lt;=0,0,IF(AND(ABS(K1769)&lt;='계산 과정'!$D$11/2,ABS(L1769)&lt;='계산 과정'!$D$12/2),1,0)),"")</x:f>
        <x:v>1</x:v>
      </x:c>
      <x:c r="N1769" s="17" t="n">
        <x:f>IF('계산 과정'!$C$78,IF(AND(ISNUMBER(H1769),ISNUMBER(I1769),ABS(H1769-'계산 과정'!$C$88)&lt;='계산 과정'!$D$23/2,ABS(I1769-'계산 과정'!$C$89)&lt;='계산 과정'!$D$24/2),1,0),"")</x:f>
        <x:v>1</x:v>
      </x:c>
      <x:c r="O1769" s="4" t="n">
        <x:f>IF('계산 과정'!$L$7,'계산 과정'!$C$49*('계산 과정'!$C$32-D1769)+'계산 과정'!$D$49*('계산 과정'!$D$32-E1769)+'계산 과정'!$E$49*'계산 과정'!$E$32,"")</x:f>
        <x:v>-81.77699007364913</x:v>
      </x:c>
      <x:c r="P1769" s="4" t="n">
        <x:f>IF(AND('계산 과정'!$L$7,O1769&lt;&gt;0),('계산 과정'!$L$23-'계산 과정'!$C$49*D1769-'계산 과정'!$D$49*E1769)/O1769,"")</x:f>
        <x:v>-3.8913514625539056</x:v>
      </x:c>
      <x:c r="Q1769" s="4" t="str">
        <x:f>IF(AND(ISNUMBER(P1769),P1769&gt;1E-9,P1769&lt;1-1E-9),'계산 과정'!$C$47*(D1769-'계산 과정'!$C$50+P1769*('계산 과정'!$C$32-D1769))+'계산 과정'!$D$47*(E1769-'계산 과정'!$D$50+P1769*('계산 과정'!$D$32-E1769))+'계산 과정'!$E$47*(0-'계산 과정'!$E$50+P1769*('계산 과정'!$E$32-0)),"")</x:f>
      </x:c>
      <x:c r="R1769" s="4" t="str">
        <x:f>IF(AND(ISNUMBER(P1769),P1769&gt;1E-9,P1769&lt;1-1E-9),'계산 과정'!$C$48*(D1769-'계산 과정'!$C$50+P1769*('계산 과정'!$C$32-D1769))+'계산 과정'!$D$48*(E1769-'계산 과정'!$D$50+P1769*('계산 과정'!$D$32-E1769))+'계산 과정'!$E$48*(0-'계산 과정'!$E$50+P1769*('계산 과정'!$E$32-0)),"")</x:f>
      </x:c>
      <x:c r="S1769" s="17" t="n">
        <x:f>IF('계산 과정'!$C$78,IF(AND(ISNUMBER(Q1769),ISNUMBER(R1769),ABS(Q1769-'계산 과정'!$C$88)&lt;='계산 과정'!$D$23/2,ABS(R1769-'계산 과정'!$C$89)&lt;='계산 과정'!$D$24/2),1,0),"")</x:f>
        <x:v>0</x:v>
      </x:c>
      <x:c r="T1769" s="4"/>
      <x:c r="U1769" s="4"/>
      <x:c r="V1769" s="4"/>
      <x:c r="W1769" s="4"/>
      <x:c r="X1769" s="4"/>
      <x:c r="Y1769" s="4"/>
      <x:c r="Z1769" s="4"/>
    </x:row>
    <x:row r="1770" ht="23" customHeight="1">
      <x:c r="A1770" s="17" t="n">
        <x:f>ROW()-6</x:f>
        <x:v>1764</x:v>
      </x:c>
      <x:c r="B1770" s="4" t="n">
        <x:f>IF('계산 과정'!$L$5,'계산 과정'!$L$11*SQRT((A1770+0.5)/'계산 과정'!$L$30),"")</x:f>
        <x:v>139.231375690117</x:v>
      </x:c>
      <x:c r="C1770" s="4" t="n">
        <x:f>A1770*PI()*(3-SQRT(5))</x:f>
        <x:v>4233.535137241343</x:v>
      </x:c>
      <x:c r="D1770" s="4" t="n">
        <x:f>IF('계산 과정'!$L$5,B1770*COS(C1770),"")</x:f>
        <x:v>32.9653478407745</x:v>
      </x:c>
      <x:c r="E1770" s="4" t="n">
        <x:f>IF('계산 과정'!$L$5,B1770*SIN(C1770),"")</x:f>
        <x:v>-135.27254643237575</x:v>
      </x:c>
      <x:c r="F1770" s="4" t="n">
        <x:f>IF('계산 과정'!$L$7,'계산 과정'!$L$22+'계산 과정'!$C$49*D1770+'계산 과정'!$D$49*E1770,"")</x:f>
        <x:v>626.6899789976151</x:v>
      </x:c>
      <x:c r="G1770" s="4" t="n">
        <x:f>IF('계산 과정'!$L$7,IF(ABS(F1770)&gt;=1E-12*MAX(1,SQRT((D1770-'계산 과정'!$C$33)^2+(E1770-'계산 과정'!$D$33)^2+'계산 과정'!$E$33^2)),('계산 과정'!$L$23-'계산 과정'!$C$49*D1770-'계산 과정'!$D$49*E1770)/F1770,""),"")</x:f>
        <x:v>0.6754695865401669</x:v>
      </x:c>
      <x:c r="H1770" s="4" t="n">
        <x:f>IF(AND(ISNUMBER(G1770),G1770&gt;0),('계산 과정'!$D$56+'계산 과정'!$D$57*D1770+'계산 과정'!$D$58*E1770)/F1770,"")</x:f>
        <x:v>39.05523125110843</x:v>
      </x:c>
      <x:c r="I1770" s="4" t="n">
        <x:f>IF(AND(ISNUMBER(G1770),G1770&gt;0),('계산 과정'!$E$56+'계산 과정'!$E$57*D1770+'계산 과정'!$E$58*E1770)/F1770,"")</x:f>
        <x:v>-226.64503744128814</x:v>
      </x:c>
      <x:c r="J1770" s="4" t="n">
        <x:f>IF('계산 과정'!$L$5,'계산 과정'!$D$6+'계산 과정'!$C$35*D1770+'계산 과정'!$D$35*E1770,"")</x:f>
        <x:v>626.6899789976151</x:v>
      </x:c>
      <x:c r="K1770" s="4" t="n">
        <x:f>IF(AND('계산 과정'!$L$6,J1770&gt;0),'계산 과정'!$D$10*('계산 과정'!$C$38*(D1770-'계산 과정'!$C$32)+'계산 과정'!$D$38*(E1770-'계산 과정'!$D$32)-'계산 과정'!$E$38*'계산 과정'!$E$32)/J1770,"")</x:f>
        <x:v>0.29756366667511297</x:v>
      </x:c>
      <x:c r="L1770" s="4" t="n">
        <x:f>IF(AND('계산 과정'!$L$6,J1770&gt;0),'계산 과정'!$D$10*('계산 과정'!$C$39*(D1770-'계산 과정'!$C$32)+'계산 과정'!$D$39*(E1770-'계산 과정'!$D$32)-'계산 과정'!$E$39*'계산 과정'!$E$32)/J1770,"")</x:f>
        <x:v>-1.7268193328860046</x:v>
      </x:c>
      <x:c r="M1770" s="17" t="n">
        <x:f>IF('계산 과정'!$L$6,IF(J1770&lt;=0,0,IF(AND(ABS(K1770)&lt;='계산 과정'!$D$11/2,ABS(L1770)&lt;='계산 과정'!$D$12/2),1,0)),"")</x:f>
        <x:v>1</x:v>
      </x:c>
      <x:c r="N1770" s="17" t="n">
        <x:f>IF('계산 과정'!$C$78,IF(AND(ISNUMBER(H1770),ISNUMBER(I1770),ABS(H1770-'계산 과정'!$C$88)&lt;='계산 과정'!$D$23/2,ABS(I1770-'계산 과정'!$C$89)&lt;='계산 과정'!$D$24/2),1,0),"")</x:f>
        <x:v>1</x:v>
      </x:c>
      <x:c r="O1770" s="4" t="n">
        <x:f>IF('계산 과정'!$L$7,'계산 과정'!$C$49*('계산 과정'!$C$32-D1770)+'계산 과정'!$D$49*('계산 과정'!$D$32-E1770)+'계산 과정'!$E$49*'계산 과정'!$E$32,"")</x:f>
        <x:v>23.310021002385042</x:v>
      </x:c>
      <x:c r="P1770" s="4" t="n">
        <x:f>IF(AND('계산 과정'!$L$7,O1770&lt;&gt;0),('계산 과정'!$L$23-'계산 과정'!$C$49*D1770-'계산 과정'!$D$49*E1770)/O1770,"")</x:f>
        <x:v>18.160001698800382</x:v>
      </x:c>
      <x:c r="Q1770" s="4" t="str">
        <x:f>IF(AND(ISNUMBER(P1770),P1770&gt;1E-9,P1770&lt;1-1E-9),'계산 과정'!$C$47*(D1770-'계산 과정'!$C$50+P1770*('계산 과정'!$C$32-D1770))+'계산 과정'!$D$47*(E1770-'계산 과정'!$D$50+P1770*('계산 과정'!$D$32-E1770))+'계산 과정'!$E$47*(0-'계산 과정'!$E$50+P1770*('계산 과정'!$E$32-0)),"")</x:f>
      </x:c>
      <x:c r="R1770" s="4" t="str">
        <x:f>IF(AND(ISNUMBER(P1770),P1770&gt;1E-9,P1770&lt;1-1E-9),'계산 과정'!$C$48*(D1770-'계산 과정'!$C$50+P1770*('계산 과정'!$C$32-D1770))+'계산 과정'!$D$48*(E1770-'계산 과정'!$D$50+P1770*('계산 과정'!$D$32-E1770))+'계산 과정'!$E$48*(0-'계산 과정'!$E$50+P1770*('계산 과정'!$E$32-0)),"")</x:f>
      </x:c>
      <x:c r="S1770" s="17" t="n">
        <x:f>IF('계산 과정'!$C$78,IF(AND(ISNUMBER(Q1770),ISNUMBER(R1770),ABS(Q1770-'계산 과정'!$C$88)&lt;='계산 과정'!$D$23/2,ABS(R1770-'계산 과정'!$C$89)&lt;='계산 과정'!$D$24/2),1,0),"")</x:f>
        <x:v>0</x:v>
      </x:c>
      <x:c r="T1770" s="4"/>
      <x:c r="U1770" s="4"/>
      <x:c r="V1770" s="4"/>
      <x:c r="W1770" s="4"/>
      <x:c r="X1770" s="4"/>
      <x:c r="Y1770" s="4"/>
      <x:c r="Z1770" s="4"/>
    </x:row>
    <x:row r="1771" ht="23" customHeight="1">
      <x:c r="A1771" s="17" t="n">
        <x:f>ROW()-6</x:f>
        <x:v>1765</x:v>
      </x:c>
      <x:c r="B1771" s="4" t="n">
        <x:f>IF('계산 과정'!$L$5,'계산 과정'!$L$11*SQRT((A1771+0.5)/'계산 과정'!$L$30),"")</x:f>
        <x:v>139.2708235944898</x:v>
      </x:c>
      <x:c r="C1771" s="4" t="n">
        <x:f>A1771*PI()*(3-SQRT(5))</x:f>
        <x:v>4235.9351004710725</x:v>
      </x:c>
      <x:c r="D1771" s="4" t="n">
        <x:f>IF('계산 과정'!$L$5,B1771*COS(C1771),"")</x:f>
        <x:v>67.08667267425437</x:v>
      </x:c>
      <x:c r="E1771" s="4" t="n">
        <x:f>IF('계산 과정'!$L$5,B1771*SIN(C1771),"")</x:f>
        <x:v>122.04810795004137</x:v>
      </x:c>
      <x:c r="F1771" s="4" t="n">
        <x:f>IF('계산 과정'!$L$7,'계산 과정'!$L$22+'계산 과정'!$C$49*D1771+'계산 과정'!$D$49*E1771,"")</x:f>
        <x:v>602.5625588247925</x:v>
      </x:c>
      <x:c r="G1771" s="4" t="n">
        <x:f>IF('계산 과정'!$L$7,IF(ABS(F1771)&gt;=1E-12*MAX(1,SQRT((D1771-'계산 과정'!$C$33)^2+(E1771-'계산 과정'!$D$33)^2+'계산 과정'!$E$33^2)),('계산 과정'!$L$23-'계산 과정'!$C$49*D1771-'계산 과정'!$D$49*E1771)/F1771,""),"")</x:f>
        <x:v>0.7425576558355482</x:v>
      </x:c>
      <x:c r="H1771" s="4" t="n">
        <x:f>IF(AND(ISNUMBER(G1771),G1771&gt;0),('계산 과정'!$D$56+'계산 과정'!$D$57*D1771+'계산 과정'!$D$58*E1771)/F1771,"")</x:f>
        <x:v>82.66247629310624</x:v>
      </x:c>
      <x:c r="I1771" s="4" t="n">
        <x:f>IF(AND(ISNUMBER(G1771),G1771&gt;0),('계산 과정'!$E$56+'계산 과정'!$E$57*D1771+'계산 과정'!$E$58*E1771)/F1771,"")</x:f>
        <x:v>212.67586488858802</x:v>
      </x:c>
      <x:c r="J1771" s="4" t="n">
        <x:f>IF('계산 과정'!$L$5,'계산 과정'!$D$6+'계산 과정'!$C$35*D1771+'계산 과정'!$D$35*E1771,"")</x:f>
        <x:v>602.5625588247925</x:v>
      </x:c>
      <x:c r="K1771" s="4" t="n">
        <x:f>IF(AND('계산 과정'!$L$6,J1771&gt;0),'계산 과정'!$D$10*('계산 과정'!$C$38*(D1771-'계산 과정'!$C$32)+'계산 과정'!$D$38*(E1771-'계산 과정'!$D$32)-'계산 과정'!$E$38*'계산 과정'!$E$32)/J1771,"")</x:f>
        <x:v>0.6298093431855722</x:v>
      </x:c>
      <x:c r="L1771" s="4" t="n">
        <x:f>IF(AND('계산 과정'!$L$6,J1771&gt;0),'계산 과정'!$D$10*('계산 과정'!$C$39*(D1771-'계산 과정'!$C$32)+'계산 과정'!$D$39*(E1771-'계산 과정'!$D$32)-'계산 과정'!$E$39*'계산 과정'!$E$32)/J1771,"")</x:f>
        <x:v>1.6203875420082896</x:v>
      </x:c>
      <x:c r="M1771" s="17" t="n">
        <x:f>IF('계산 과정'!$L$6,IF(J1771&lt;=0,0,IF(AND(ABS(K1771)&lt;='계산 과정'!$D$11/2,ABS(L1771)&lt;='계산 과정'!$D$12/2),1,0)),"")</x:f>
        <x:v>1</x:v>
      </x:c>
      <x:c r="N1771" s="17" t="n">
        <x:f>IF('계산 과정'!$C$78,IF(AND(ISNUMBER(H1771),ISNUMBER(I1771),ABS(H1771-'계산 과정'!$C$88)&lt;='계산 과정'!$D$23/2,ABS(I1771-'계산 과정'!$C$89)&lt;='계산 과정'!$D$24/2),1,0),"")</x:f>
        <x:v>1</x:v>
      </x:c>
      <x:c r="O1771" s="4" t="n">
        <x:f>IF('계산 과정'!$L$7,'계산 과정'!$C$49*('계산 과정'!$C$32-D1771)+'계산 과정'!$D$49*('계산 과정'!$D$32-E1771)+'계산 과정'!$E$49*'계산 과정'!$E$32,"")</x:f>
        <x:v>47.43744117520765</x:v>
      </x:c>
      <x:c r="P1771" s="4" t="n">
        <x:f>IF(AND('계산 과정'!$L$7,O1771&lt;&gt;0),('계산 과정'!$L$23-'계산 과정'!$C$49*D1771-'계산 과정'!$D$49*E1771)/O1771,"")</x:f>
        <x:v>9.432158018865758</x:v>
      </x:c>
      <x:c r="Q1771" s="4" t="str">
        <x:f>IF(AND(ISNUMBER(P1771),P1771&gt;1E-9,P1771&lt;1-1E-9),'계산 과정'!$C$47*(D1771-'계산 과정'!$C$50+P1771*('계산 과정'!$C$32-D1771))+'계산 과정'!$D$47*(E1771-'계산 과정'!$D$50+P1771*('계산 과정'!$D$32-E1771))+'계산 과정'!$E$47*(0-'계산 과정'!$E$50+P1771*('계산 과정'!$E$32-0)),"")</x:f>
      </x:c>
      <x:c r="R1771" s="4" t="str">
        <x:f>IF(AND(ISNUMBER(P1771),P1771&gt;1E-9,P1771&lt;1-1E-9),'계산 과정'!$C$48*(D1771-'계산 과정'!$C$50+P1771*('계산 과정'!$C$32-D1771))+'계산 과정'!$D$48*(E1771-'계산 과정'!$D$50+P1771*('계산 과정'!$D$32-E1771))+'계산 과정'!$E$48*(0-'계산 과정'!$E$50+P1771*('계산 과정'!$E$32-0)),"")</x:f>
      </x:c>
      <x:c r="S1771" s="17" t="n">
        <x:f>IF('계산 과정'!$C$78,IF(AND(ISNUMBER(Q1771),ISNUMBER(R1771),ABS(Q1771-'계산 과정'!$C$88)&lt;='계산 과정'!$D$23/2,ABS(R1771-'계산 과정'!$C$89)&lt;='계산 과정'!$D$24/2),1,0),"")</x:f>
        <x:v>0</x:v>
      </x:c>
      <x:c r="T1771" s="4"/>
      <x:c r="U1771" s="4"/>
      <x:c r="V1771" s="4"/>
      <x:c r="W1771" s="4"/>
      <x:c r="X1771" s="4"/>
      <x:c r="Y1771" s="4"/>
      <x:c r="Z1771" s="4"/>
    </x:row>
    <x:row r="1772" ht="23" customHeight="1">
      <x:c r="A1772" s="17" t="n">
        <x:f>ROW()-6</x:f>
        <x:v>1766</x:v>
      </x:c>
      <x:c r="B1772" s="4" t="n">
        <x:f>IF('계산 과정'!$L$5,'계산 과정'!$L$11*SQRT((A1772+0.5)/'계산 과정'!$L$30),"")</x:f>
        <x:v>139.31026032856482</x:v>
      </x:c>
      <x:c r="C1772" s="4" t="n">
        <x:f>A1772*PI()*(3-SQRT(5))</x:f>
        <x:v>4238.335063700801</x:v>
      </x:c>
      <x:c r="D1772" s="4" t="n">
        <x:f>IF('계산 과정'!$L$5,B1772*COS(C1772),"")</x:f>
        <x:v>-131.94728929979414</x:v>
      </x:c>
      <x:c r="E1772" s="4" t="n">
        <x:f>IF('계산 과정'!$L$5,B1772*SIN(C1772),"")</x:f>
        <x:v>-44.69073146916409</x:v>
      </x:c>
      <x:c r="F1772" s="4" t="n">
        <x:f>IF('계산 과정'!$L$7,'계산 과정'!$L$22+'계산 과정'!$C$49*D1772+'계산 과정'!$D$49*E1772,"")</x:f>
        <x:v>743.3008230230676</x:v>
      </x:c>
      <x:c r="G1772" s="4" t="n">
        <x:f>IF('계산 과정'!$L$7,IF(ABS(F1772)&gt;=1E-12*MAX(1,SQRT((D1772-'계산 과정'!$C$33)^2+(E1772-'계산 과정'!$D$33)^2+'계산 과정'!$E$33^2)),('계산 과정'!$L$23-'계산 과정'!$C$49*D1772-'계산 과정'!$D$49*E1772)/F1772,""),"")</x:f>
        <x:v>0.4126178358441214</x:v>
      </x:c>
      <x:c r="H1772" s="4" t="n">
        <x:f>IF(AND(ISNUMBER(G1772),G1772&gt;0),('계산 과정'!$D$56+'계산 과정'!$D$57*D1772+'계산 과정'!$D$58*E1772)/F1772,"")</x:f>
        <x:v>-131.79840670132128</x:v>
      </x:c>
      <x:c r="I1772" s="4" t="n">
        <x:f>IF(AND(ISNUMBER(G1772),G1772&gt;0),('계산 과정'!$E$56+'계산 과정'!$E$57*D1772+'계산 과정'!$E$58*E1772)/F1772,"")</x:f>
        <x:v>-63.13092437026135</x:v>
      </x:c>
      <x:c r="J1772" s="4" t="n">
        <x:f>IF('계산 과정'!$L$5,'계산 과정'!$D$6+'계산 과정'!$C$35*D1772+'계산 과정'!$D$35*E1772,"")</x:f>
        <x:v>743.3008230230676</x:v>
      </x:c>
      <x:c r="K1772" s="4" t="n">
        <x:f>IF(AND('계산 과정'!$L$6,J1772&gt;0),'계산 과정'!$D$10*('계산 과정'!$C$38*(D1772-'계산 과정'!$C$32)+'계산 과정'!$D$38*(E1772-'계산 과정'!$D$32)-'계산 과정'!$E$38*'계산 과정'!$E$32)/J1772,"")</x:f>
        <x:v>-1.00417833677197</x:v>
      </x:c>
      <x:c r="L1772" s="4" t="n">
        <x:f>IF(AND('계산 과정'!$L$6,J1772&gt;0),'계산 과정'!$D$10*('계산 과정'!$C$39*(D1772-'계산 과정'!$C$32)+'계산 과정'!$D$39*(E1772-'계산 과정'!$D$32)-'계산 과정'!$E$39*'계산 과정'!$E$32)/J1772,"")</x:f>
        <x:v>-0.48099751901151505</x:v>
      </x:c>
      <x:c r="M1772" s="17" t="n">
        <x:f>IF('계산 과정'!$L$6,IF(J1772&lt;=0,0,IF(AND(ABS(K1772)&lt;='계산 과정'!$D$11/2,ABS(L1772)&lt;='계산 과정'!$D$12/2),1,0)),"")</x:f>
        <x:v>1</x:v>
      </x:c>
      <x:c r="N1772" s="17" t="n">
        <x:f>IF('계산 과정'!$C$78,IF(AND(ISNUMBER(H1772),ISNUMBER(I1772),ABS(H1772-'계산 과정'!$C$88)&lt;='계산 과정'!$D$23/2,ABS(I1772-'계산 과정'!$C$89)&lt;='계산 과정'!$D$24/2),1,0),"")</x:f>
        <x:v>1</x:v>
      </x:c>
      <x:c r="O1772" s="4" t="n">
        <x:f>IF('계산 과정'!$L$7,'계산 과정'!$C$49*('계산 과정'!$C$32-D1772)+'계산 과정'!$D$49*('계산 과정'!$D$32-E1772)+'계산 과정'!$E$49*'계산 과정'!$E$32,"")</x:f>
        <x:v>-93.30082302306744</x:v>
      </x:c>
      <x:c r="P1772" s="4" t="n">
        <x:f>IF(AND('계산 과정'!$L$7,O1772&lt;&gt;0),('계산 과정'!$L$23-'계산 과정'!$C$49*D1772-'계산 과정'!$D$49*E1772)/O1772,"")</x:f>
        <x:v>-3.2872076262511096</x:v>
      </x:c>
      <x:c r="Q1772" s="4" t="str">
        <x:f>IF(AND(ISNUMBER(P1772),P1772&gt;1E-9,P1772&lt;1-1E-9),'계산 과정'!$C$47*(D1772-'계산 과정'!$C$50+P1772*('계산 과정'!$C$32-D1772))+'계산 과정'!$D$47*(E1772-'계산 과정'!$D$50+P1772*('계산 과정'!$D$32-E1772))+'계산 과정'!$E$47*(0-'계산 과정'!$E$50+P1772*('계산 과정'!$E$32-0)),"")</x:f>
      </x:c>
      <x:c r="R1772" s="4" t="str">
        <x:f>IF(AND(ISNUMBER(P1772),P1772&gt;1E-9,P1772&lt;1-1E-9),'계산 과정'!$C$48*(D1772-'계산 과정'!$C$50+P1772*('계산 과정'!$C$32-D1772))+'계산 과정'!$D$48*(E1772-'계산 과정'!$D$50+P1772*('계산 과정'!$D$32-E1772))+'계산 과정'!$E$48*(0-'계산 과정'!$E$50+P1772*('계산 과정'!$E$32-0)),"")</x:f>
      </x:c>
      <x:c r="S1772" s="17" t="n">
        <x:f>IF('계산 과정'!$C$78,IF(AND(ISNUMBER(Q1772),ISNUMBER(R1772),ABS(Q1772-'계산 과정'!$C$88)&lt;='계산 과정'!$D$23/2,ABS(R1772-'계산 과정'!$C$89)&lt;='계산 과정'!$D$24/2),1,0),"")</x:f>
        <x:v>0</x:v>
      </x:c>
      <x:c r="T1772" s="4"/>
      <x:c r="U1772" s="4"/>
      <x:c r="V1772" s="4"/>
      <x:c r="W1772" s="4"/>
      <x:c r="X1772" s="4"/>
      <x:c r="Y1772" s="4"/>
      <x:c r="Z1772" s="4"/>
    </x:row>
    <x:row r="1773" ht="23" customHeight="1">
      <x:c r="A1773" s="17" t="n">
        <x:f>ROW()-6</x:f>
        <x:v>1767</x:v>
      </x:c>
      <x:c r="B1773" s="4" t="n">
        <x:f>IF('계산 과정'!$L$5,'계산 과정'!$L$11*SQRT((A1773+0.5)/'계산 과정'!$L$30),"")</x:f>
        <x:v>139.34968590182578</x:v>
      </x:c>
      <x:c r="C1773" s="4" t="n">
        <x:f>A1773*PI()*(3-SQRT(5))</x:f>
        <x:v>4240.73502693053</x:v>
      </x:c>
      <x:c r="D1773" s="4" t="n">
        <x:f>IF('계산 과정'!$L$5,B1773*COS(C1773),"")</x:f>
        <x:v>127.5180581319518</x:v>
      </x:c>
      <x:c r="E1773" s="4" t="n">
        <x:f>IF('계산 과정'!$L$5,B1773*SIN(C1773),"")</x:f>
        <x:v>-56.19145674560913</x:v>
      </x:c>
      <x:c r="F1773" s="4" t="n">
        <x:f>IF('계산 과정'!$L$7,'계산 과정'!$L$22+'계산 과정'!$C$49*D1773+'계산 과정'!$D$49*E1773,"")</x:f>
        <x:v>559.8311163711566</x:v>
      </x:c>
      <x:c r="G1773" s="4" t="n">
        <x:f>IF('계산 과정'!$L$7,IF(ABS(F1773)&gt;=1E-12*MAX(1,SQRT((D1773-'계산 과정'!$C$33)^2+(E1773-'계산 과정'!$D$33)^2+'계산 과정'!$E$33^2)),('계산 과정'!$L$23-'계산 과정'!$C$49*D1773-'계산 과정'!$D$49*E1773)/F1773,""),"")</x:f>
        <x:v>0.8755656291599762</x:v>
      </x:c>
      <x:c r="H1773" s="4" t="n">
        <x:f>IF(AND(ISNUMBER(G1773),G1773&gt;0),('계산 과정'!$D$56+'계산 과정'!$D$57*D1773+'계산 과정'!$D$58*E1773)/F1773,"")</x:f>
        <x:v>169.1176589539844</x:v>
      </x:c>
      <x:c r="I1773" s="4" t="n">
        <x:f>IF(AND(ISNUMBER(G1773),G1773&gt;0),('계산 과정'!$E$56+'계산 과정'!$E$57*D1773+'계산 과정'!$E$58*E1773)/F1773,"")</x:f>
        <x:v>-105.39076492449398</x:v>
      </x:c>
      <x:c r="J1773" s="4" t="n">
        <x:f>IF('계산 과정'!$L$5,'계산 과정'!$D$6+'계산 과정'!$C$35*D1773+'계산 과정'!$D$35*E1773,"")</x:f>
        <x:v>559.8311163711566</x:v>
      </x:c>
      <x:c r="K1773" s="4" t="n">
        <x:f>IF(AND('계산 과정'!$L$6,J1773&gt;0),'계산 과정'!$D$10*('계산 과정'!$C$38*(D1773-'계산 과정'!$C$32)+'계산 과정'!$D$38*(E1773-'계산 과정'!$D$32)-'계산 과정'!$E$38*'계산 과정'!$E$32)/J1773,"")</x:f>
        <x:v>1.288515496792263</x:v>
      </x:c>
      <x:c r="L1773" s="4" t="n">
        <x:f>IF(AND('계산 과정'!$L$6,J1773&gt;0),'계산 과정'!$D$10*('계산 과정'!$C$39*(D1773-'계산 과정'!$C$32)+'계산 과정'!$D$39*(E1773-'계산 과정'!$D$32)-'계산 과정'!$E$39*'계산 과정'!$E$32)/J1773,"")</x:f>
        <x:v>-0.8029772565675731</x:v>
      </x:c>
      <x:c r="M1773" s="17" t="n">
        <x:f>IF('계산 과정'!$L$6,IF(J1773&lt;=0,0,IF(AND(ABS(K1773)&lt;='계산 과정'!$D$11/2,ABS(L1773)&lt;='계산 과정'!$D$12/2),1,0)),"")</x:f>
        <x:v>1</x:v>
      </x:c>
      <x:c r="N1773" s="17" t="n">
        <x:f>IF('계산 과정'!$C$78,IF(AND(ISNUMBER(H1773),ISNUMBER(I1773),ABS(H1773-'계산 과정'!$C$88)&lt;='계산 과정'!$D$23/2,ABS(I1773-'계산 과정'!$C$89)&lt;='계산 과정'!$D$24/2),1,0),"")</x:f>
        <x:v>1</x:v>
      </x:c>
      <x:c r="O1773" s="4" t="n">
        <x:f>IF('계산 과정'!$L$7,'계산 과정'!$C$49*('계산 과정'!$C$32-D1773)+'계산 과정'!$D$49*('계산 과정'!$D$32-E1773)+'계산 과정'!$E$49*'계산 과정'!$E$32,"")</x:f>
        <x:v>90.16888362884362</x:v>
      </x:c>
      <x:c r="P1773" s="4" t="n">
        <x:f>IF(AND('계산 과정'!$L$7,O1773&lt;&gt;0),('계산 과정'!$L$23-'계산 과정'!$C$49*D1773-'계산 과정'!$D$49*E1773)/O1773,"")</x:f>
        <x:v>5.436120132600224</x:v>
      </x:c>
      <x:c r="Q1773" s="4" t="str">
        <x:f>IF(AND(ISNUMBER(P1773),P1773&gt;1E-9,P1773&lt;1-1E-9),'계산 과정'!$C$47*(D1773-'계산 과정'!$C$50+P1773*('계산 과정'!$C$32-D1773))+'계산 과정'!$D$47*(E1773-'계산 과정'!$D$50+P1773*('계산 과정'!$D$32-E1773))+'계산 과정'!$E$47*(0-'계산 과정'!$E$50+P1773*('계산 과정'!$E$32-0)),"")</x:f>
      </x:c>
      <x:c r="R1773" s="4" t="str">
        <x:f>IF(AND(ISNUMBER(P1773),P1773&gt;1E-9,P1773&lt;1-1E-9),'계산 과정'!$C$48*(D1773-'계산 과정'!$C$50+P1773*('계산 과정'!$C$32-D1773))+'계산 과정'!$D$48*(E1773-'계산 과정'!$D$50+P1773*('계산 과정'!$D$32-E1773))+'계산 과정'!$E$48*(0-'계산 과정'!$E$50+P1773*('계산 과정'!$E$32-0)),"")</x:f>
      </x:c>
      <x:c r="S1773" s="17" t="n">
        <x:f>IF('계산 과정'!$C$78,IF(AND(ISNUMBER(Q1773),ISNUMBER(R1773),ABS(Q1773-'계산 과정'!$C$88)&lt;='계산 과정'!$D$23/2,ABS(R1773-'계산 과정'!$C$89)&lt;='계산 과정'!$D$24/2),1,0),"")</x:f>
        <x:v>0</x:v>
      </x:c>
      <x:c r="T1773" s="4"/>
      <x:c r="U1773" s="4"/>
      <x:c r="V1773" s="4"/>
      <x:c r="W1773" s="4"/>
      <x:c r="X1773" s="4"/>
      <x:c r="Y1773" s="4"/>
      <x:c r="Z1773" s="4"/>
    </x:row>
    <x:row r="1774" ht="23" customHeight="1">
      <x:c r="A1774" s="17" t="n">
        <x:f>ROW()-6</x:f>
        <x:v>1768</x:v>
      </x:c>
      <x:c r="B1774" s="4" t="n">
        <x:f>IF('계산 과정'!$L$5,'계산 과정'!$L$11*SQRT((A1774+0.5)/'계산 과정'!$L$30),"")</x:f>
        <x:v>139.38910032374304</x:v>
      </x:c>
      <x:c r="C1774" s="4" t="n">
        <x:f>A1774*PI()*(3-SQRT(5))</x:f>
        <x:v>4243.134990160259</x:v>
      </x:c>
      <x:c r="D1774" s="4" t="n">
        <x:f>IF('계산 과정'!$L$5,B1774*COS(C1774),"")</x:f>
        <x:v>-56.08692325165494</x:v>
      </x:c>
      <x:c r="E1774" s="4" t="n">
        <x:f>IF('계산 과정'!$L$5,B1774*SIN(C1774),"")</x:f>
        <x:v>127.60712491559971</x:v>
      </x:c>
      <x:c r="F1774" s="4" t="n">
        <x:f>IF('계산 과정'!$L$7,'계산 과정'!$L$22+'계산 과정'!$C$49*D1774+'계산 과정'!$D$49*E1774,"")</x:f>
        <x:v>689.6594437671347</x:v>
      </x:c>
      <x:c r="G1774" s="4" t="n">
        <x:f>IF('계산 과정'!$L$7,IF(ABS(F1774)&gt;=1E-12*MAX(1,SQRT((D1774-'계산 과정'!$C$33)^2+(E1774-'계산 과정'!$D$33)^2+'계산 과정'!$E$33^2)),('계산 과정'!$L$23-'계산 과정'!$C$49*D1774-'계산 과정'!$D$49*E1774)/F1774,""),"")</x:f>
        <x:v>0.5224905705119806</x:v>
      </x:c>
      <x:c r="H1774" s="4" t="n">
        <x:f>IF(AND(ISNUMBER(G1774),G1774&gt;0),('계산 과정'!$D$56+'계산 과정'!$D$57*D1774+'계산 과정'!$D$58*E1774)/F1774,"")</x:f>
        <x:v>-60.38112916721276</x:v>
      </x:c>
      <x:c r="I1774" s="4" t="n">
        <x:f>IF(AND(ISNUMBER(G1774),G1774&gt;0),('계산 과정'!$E$56+'계산 과정'!$E$57*D1774+'계산 과정'!$E$58*E1774)/F1774,"")</x:f>
        <x:v>194.28064441414494</x:v>
      </x:c>
      <x:c r="J1774" s="4" t="n">
        <x:f>IF('계산 과정'!$L$5,'계산 과정'!$D$6+'계산 과정'!$C$35*D1774+'계산 과정'!$D$35*E1774,"")</x:f>
        <x:v>689.6594437671347</x:v>
      </x:c>
      <x:c r="K1774" s="4" t="n">
        <x:f>IF(AND('계산 과정'!$L$6,J1774&gt;0),'계산 과정'!$D$10*('계산 과정'!$C$38*(D1774-'계산 과정'!$C$32)+'계산 과정'!$D$38*(E1774-'계산 과정'!$D$32)-'계산 과정'!$E$38*'계산 과정'!$E$32)/J1774,"")</x:f>
        <x:v>-0.4600466984168587</x:v>
      </x:c>
      <x:c r="L1774" s="4" t="n">
        <x:f>IF(AND('계산 과정'!$L$6,J1774&gt;0),'계산 과정'!$D$10*('계산 과정'!$C$39*(D1774-'계산 과정'!$C$32)+'계산 과정'!$D$39*(E1774-'계산 과정'!$D$32)-'계산 과정'!$E$39*'계산 과정'!$E$32)/J1774,"")</x:f>
        <x:v>1.4802334812506284</x:v>
      </x:c>
      <x:c r="M1774" s="17" t="n">
        <x:f>IF('계산 과정'!$L$6,IF(J1774&lt;=0,0,IF(AND(ABS(K1774)&lt;='계산 과정'!$D$11/2,ABS(L1774)&lt;='계산 과정'!$D$12/2),1,0)),"")</x:f>
        <x:v>1</x:v>
      </x:c>
      <x:c r="N1774" s="17" t="n">
        <x:f>IF('계산 과정'!$C$78,IF(AND(ISNUMBER(H1774),ISNUMBER(I1774),ABS(H1774-'계산 과정'!$C$88)&lt;='계산 과정'!$D$23/2,ABS(I1774-'계산 과정'!$C$89)&lt;='계산 과정'!$D$24/2),1,0),"")</x:f>
        <x:v>1</x:v>
      </x:c>
      <x:c r="O1774" s="4" t="n">
        <x:f>IF('계산 과정'!$L$7,'계산 과정'!$C$49*('계산 과정'!$C$32-D1774)+'계산 과정'!$D$49*('계산 과정'!$D$32-E1774)+'계산 과정'!$E$49*'계산 과정'!$E$32,"")</x:f>
        <x:v>-39.659443767134576</x:v>
      </x:c>
      <x:c r="P1774" s="4" t="n">
        <x:f>IF(AND('계산 과정'!$L$7,O1774&lt;&gt;0),('계산 과정'!$L$23-'계산 과정'!$C$49*D1774-'계산 과정'!$D$49*E1774)/O1774,"")</x:f>
        <x:v>-9.085870148574205</x:v>
      </x:c>
      <x:c r="Q1774" s="4" t="str">
        <x:f>IF(AND(ISNUMBER(P1774),P1774&gt;1E-9,P1774&lt;1-1E-9),'계산 과정'!$C$47*(D1774-'계산 과정'!$C$50+P1774*('계산 과정'!$C$32-D1774))+'계산 과정'!$D$47*(E1774-'계산 과정'!$D$50+P1774*('계산 과정'!$D$32-E1774))+'계산 과정'!$E$47*(0-'계산 과정'!$E$50+P1774*('계산 과정'!$E$32-0)),"")</x:f>
      </x:c>
      <x:c r="R1774" s="4" t="str">
        <x:f>IF(AND(ISNUMBER(P1774),P1774&gt;1E-9,P1774&lt;1-1E-9),'계산 과정'!$C$48*(D1774-'계산 과정'!$C$50+P1774*('계산 과정'!$C$32-D1774))+'계산 과정'!$D$48*(E1774-'계산 과정'!$D$50+P1774*('계산 과정'!$D$32-E1774))+'계산 과정'!$E$48*(0-'계산 과정'!$E$50+P1774*('계산 과정'!$E$32-0)),"")</x:f>
      </x:c>
      <x:c r="S1774" s="17" t="n">
        <x:f>IF('계산 과정'!$C$78,IF(AND(ISNUMBER(Q1774),ISNUMBER(R1774),ABS(Q1774-'계산 과정'!$C$88)&lt;='계산 과정'!$D$23/2,ABS(R1774-'계산 과정'!$C$89)&lt;='계산 과정'!$D$24/2),1,0),"")</x:f>
        <x:v>0</x:v>
      </x:c>
      <x:c r="T1774" s="4"/>
      <x:c r="U1774" s="4"/>
      <x:c r="V1774" s="4"/>
      <x:c r="W1774" s="4"/>
      <x:c r="X1774" s="4"/>
      <x:c r="Y1774" s="4"/>
      <x:c r="Z1774" s="4"/>
    </x:row>
    <x:row r="1775" ht="23" customHeight="1">
      <x:c r="A1775" s="17" t="n">
        <x:f>ROW()-6</x:f>
        <x:v>1769</x:v>
      </x:c>
      <x:c r="B1775" s="4" t="n">
        <x:f>IF('계산 과정'!$L$5,'계산 과정'!$L$11*SQRT((A1775+0.5)/'계산 과정'!$L$30),"")</x:f>
        <x:v>139.42850360377358</x:v>
      </x:c>
      <x:c r="C1775" s="4" t="n">
        <x:f>A1775*PI()*(3-SQRT(5))</x:f>
        <x:v>4245.534953389987</x:v>
      </x:c>
      <x:c r="D1775" s="4" t="n">
        <x:f>IF('계산 과정'!$L$5,B1775*COS(C1775),"")</x:f>
        <x:v>-44.85329848087971</x:v>
      </x:c>
      <x:c r="E1775" s="4" t="n">
        <x:f>IF('계산 과정'!$L$5,B1775*SIN(C1775),"")</x:f>
        <x:v>-132.0170035736784</x:v>
      </x:c>
      <x:c r="F1775" s="4" t="n">
        <x:f>IF('계산 과정'!$L$7,'계산 과정'!$L$22+'계산 과정'!$C$49*D1775+'계산 과정'!$D$49*E1775,"")</x:f>
        <x:v>681.7160715144144</x:v>
      </x:c>
      <x:c r="G1775" s="4" t="n">
        <x:f>IF('계산 과정'!$L$7,IF(ABS(F1775)&gt;=1E-12*MAX(1,SQRT((D1775-'계산 과정'!$C$33)^2+(E1775-'계산 과정'!$D$33)^2+'계산 과정'!$E$33^2)),('계산 과정'!$L$23-'계산 과정'!$C$49*D1775-'계산 과정'!$D$49*E1775)/F1775,""),"")</x:f>
        <x:v>0.5402306676846457</x:v>
      </x:c>
      <x:c r="H1775" s="4" t="n">
        <x:f>IF(AND(ISNUMBER(G1775),G1775&gt;0),('계산 과정'!$D$56+'계산 과정'!$D$57*D1775+'계산 과정'!$D$58*E1775)/F1775,"")</x:f>
        <x:v>-48.85006600498044</x:v>
      </x:c>
      <x:c r="I1775" s="4" t="n">
        <x:f>IF(AND(ISNUMBER(G1775),G1775&gt;0),('계산 과정'!$E$56+'계산 과정'!$E$57*D1775+'계산 과정'!$E$58*E1775)/F1775,"")</x:f>
        <x:v>-203.33663756001295</x:v>
      </x:c>
      <x:c r="J1775" s="4" t="n">
        <x:f>IF('계산 과정'!$L$5,'계산 과정'!$D$6+'계산 과정'!$C$35*D1775+'계산 과정'!$D$35*E1775,"")</x:f>
        <x:v>681.7160715144144</x:v>
      </x:c>
      <x:c r="K1775" s="4" t="n">
        <x:f>IF(AND('계산 과정'!$L$6,J1775&gt;0),'계산 과정'!$D$10*('계산 과정'!$C$38*(D1775-'계산 과정'!$C$32)+'계산 과정'!$D$38*(E1775-'계산 과정'!$D$32)-'계산 과정'!$E$38*'계산 과정'!$E$32)/J1775,"")</x:f>
        <x:v>-0.3721909790855642</x:v>
      </x:c>
      <x:c r="L1775" s="4" t="n">
        <x:f>IF(AND('계산 과정'!$L$6,J1775&gt;0),'계산 과정'!$D$10*('계산 과정'!$C$39*(D1775-'계산 과정'!$C$32)+'계산 과정'!$D$39*(E1775-'계산 과정'!$D$32)-'계산 과정'!$E$39*'계산 과정'!$E$32)/J1775,"")</x:f>
        <x:v>-1.5492315242667651</x:v>
      </x:c>
      <x:c r="M1775" s="17" t="n">
        <x:f>IF('계산 과정'!$L$6,IF(J1775&lt;=0,0,IF(AND(ABS(K1775)&lt;='계산 과정'!$D$11/2,ABS(L1775)&lt;='계산 과정'!$D$12/2),1,0)),"")</x:f>
        <x:v>1</x:v>
      </x:c>
      <x:c r="N1775" s="17" t="n">
        <x:f>IF('계산 과정'!$C$78,IF(AND(ISNUMBER(H1775),ISNUMBER(I1775),ABS(H1775-'계산 과정'!$C$88)&lt;='계산 과정'!$D$23/2,ABS(I1775-'계산 과정'!$C$89)&lt;='계산 과정'!$D$24/2),1,0),"")</x:f>
        <x:v>1</x:v>
      </x:c>
      <x:c r="O1775" s="4" t="n">
        <x:f>IF('계산 과정'!$L$7,'계산 과정'!$C$49*('계산 과정'!$C$32-D1775)+'계산 과정'!$D$49*('계산 과정'!$D$32-E1775)+'계산 과정'!$E$49*'계산 과정'!$E$32,"")</x:f>
        <x:v>-31.716071514414182</x:v>
      </x:c>
      <x:c r="P1775" s="4" t="n">
        <x:f>IF(AND('계산 과정'!$L$7,O1775&lt;&gt;0),('계산 과정'!$L$23-'계산 과정'!$C$49*D1775-'계산 과정'!$D$49*E1775)/O1775,"")</x:f>
        <x:v>-11.61190244883291</x:v>
      </x:c>
      <x:c r="Q1775" s="4" t="str">
        <x:f>IF(AND(ISNUMBER(P1775),P1775&gt;1E-9,P1775&lt;1-1E-9),'계산 과정'!$C$47*(D1775-'계산 과정'!$C$50+P1775*('계산 과정'!$C$32-D1775))+'계산 과정'!$D$47*(E1775-'계산 과정'!$D$50+P1775*('계산 과정'!$D$32-E1775))+'계산 과정'!$E$47*(0-'계산 과정'!$E$50+P1775*('계산 과정'!$E$32-0)),"")</x:f>
      </x:c>
      <x:c r="R1775" s="4" t="str">
        <x:f>IF(AND(ISNUMBER(P1775),P1775&gt;1E-9,P1775&lt;1-1E-9),'계산 과정'!$C$48*(D1775-'계산 과정'!$C$50+P1775*('계산 과정'!$C$32-D1775))+'계산 과정'!$D$48*(E1775-'계산 과정'!$D$50+P1775*('계산 과정'!$D$32-E1775))+'계산 과정'!$E$48*(0-'계산 과정'!$E$50+P1775*('계산 과정'!$E$32-0)),"")</x:f>
      </x:c>
      <x:c r="S1775" s="17" t="n">
        <x:f>IF('계산 과정'!$C$78,IF(AND(ISNUMBER(Q1775),ISNUMBER(R1775),ABS(Q1775-'계산 과정'!$C$88)&lt;='계산 과정'!$D$23/2,ABS(R1775-'계산 과정'!$C$89)&lt;='계산 과정'!$D$24/2),1,0),"")</x:f>
        <x:v>0</x:v>
      </x:c>
      <x:c r="T1775" s="4"/>
      <x:c r="U1775" s="4"/>
      <x:c r="V1775" s="4"/>
      <x:c r="W1775" s="4"/>
      <x:c r="X1775" s="4"/>
      <x:c r="Y1775" s="4"/>
      <x:c r="Z1775" s="4"/>
    </x:row>
    <x:row r="1776" ht="23" customHeight="1">
      <x:c r="A1776" s="17" t="n">
        <x:f>ROW()-6</x:f>
        <x:v>1770</x:v>
      </x:c>
      <x:c r="B1776" s="4" t="n">
        <x:f>IF('계산 과정'!$L$5,'계산 과정'!$L$11*SQRT((A1776+0.5)/'계산 과정'!$L$30),"")</x:f>
        <x:v>139.467895751361</x:v>
      </x:c>
      <x:c r="C1776" s="4" t="n">
        <x:f>A1776*PI()*(3-SQRT(5))</x:f>
        <x:v>4247.934916619715</x:v>
      </x:c>
      <x:c r="D1776" s="4" t="n">
        <x:f>IF('계산 과정'!$L$5,B1776*COS(C1776),"")</x:f>
        <x:v>122.28416964358944</x:v>
      </x:c>
      <x:c r="E1776" s="4" t="n">
        <x:f>IF('계산 과정'!$L$5,B1776*SIN(C1776),"")</x:f>
        <x:v>67.06620460328989</x:v>
      </x:c>
      <x:c r="F1776" s="4" t="n">
        <x:f>IF('계산 과정'!$L$7,'계산 과정'!$L$22+'계산 과정'!$C$49*D1776+'계산 과정'!$D$49*E1776,"")</x:f>
        <x:v>563.5320344132517</x:v>
      </x:c>
      <x:c r="G1776" s="4" t="n">
        <x:f>IF('계산 과정'!$L$7,IF(ABS(F1776)&gt;=1E-12*MAX(1,SQRT((D1776-'계산 과정'!$C$33)^2+(E1776-'계산 과정'!$D$33)^2+'계산 과정'!$E$33^2)),('계산 과정'!$L$23-'계산 과정'!$C$49*D1776-'계산 과정'!$D$49*E1776)/F1776,""),"")</x:f>
        <x:v>0.863248113469286</x:v>
      </x:c>
      <x:c r="H1776" s="4" t="n">
        <x:f>IF(AND(ISNUMBER(G1776),G1776&gt;0),('계산 과정'!$D$56+'계산 과정'!$D$57*D1776+'계산 과정'!$D$58*E1776)/F1776,"")</x:f>
        <x:v>161.11127375503574</x:v>
      </x:c>
      <x:c r="I1776" s="4" t="n">
        <x:f>IF(AND(ISNUMBER(G1776),G1776&gt;0),('계산 과정'!$E$56+'계산 과정'!$E$57*D1776+'계산 과정'!$E$58*E1776)/F1776,"")</x:f>
        <x:v>124.96097920462502</x:v>
      </x:c>
      <x:c r="J1776" s="4" t="n">
        <x:f>IF('계산 과정'!$L$5,'계산 과정'!$D$6+'계산 과정'!$C$35*D1776+'계산 과정'!$D$35*E1776,"")</x:f>
        <x:v>563.5320344132517</x:v>
      </x:c>
      <x:c r="K1776" s="4" t="n">
        <x:f>IF(AND('계산 과정'!$L$6,J1776&gt;0),'계산 과정'!$D$10*('계산 과정'!$C$38*(D1776-'계산 과정'!$C$32)+'계산 과정'!$D$38*(E1776-'계산 과정'!$D$32)-'계산 과정'!$E$38*'계산 과정'!$E$32)/J1776,"")</x:f>
        <x:v>1.2275144667050353</x:v>
      </x:c>
      <x:c r="L1776" s="4" t="n">
        <x:f>IF(AND('계산 과정'!$L$6,J1776&gt;0),'계산 과정'!$D$10*('계산 과정'!$C$39*(D1776-'계산 과정'!$C$32)+'계산 과정'!$D$39*(E1776-'계산 과정'!$D$32)-'계산 과정'!$E$39*'계산 과정'!$E$32)/J1776,"")</x:f>
        <x:v>0.9520836510828573</x:v>
      </x:c>
      <x:c r="M1776" s="17" t="n">
        <x:f>IF('계산 과정'!$L$6,IF(J1776&lt;=0,0,IF(AND(ABS(K1776)&lt;='계산 과정'!$D$11/2,ABS(L1776)&lt;='계산 과정'!$D$12/2),1,0)),"")</x:f>
        <x:v>1</x:v>
      </x:c>
      <x:c r="N1776" s="17" t="n">
        <x:f>IF('계산 과정'!$C$78,IF(AND(ISNUMBER(H1776),ISNUMBER(I1776),ABS(H1776-'계산 과정'!$C$88)&lt;='계산 과정'!$D$23/2,ABS(I1776-'계산 과정'!$C$89)&lt;='계산 과정'!$D$24/2),1,0),"")</x:f>
        <x:v>1</x:v>
      </x:c>
      <x:c r="O1776" s="4" t="n">
        <x:f>IF('계산 과정'!$L$7,'계산 과정'!$C$49*('계산 과정'!$C$32-D1776)+'계산 과정'!$D$49*('계산 과정'!$D$32-E1776)+'계산 과정'!$E$49*'계산 과정'!$E$32,"")</x:f>
        <x:v>86.46796558674836</x:v>
      </x:c>
      <x:c r="P1776" s="4" t="n">
        <x:f>IF(AND('계산 과정'!$L$7,O1776&lt;&gt;0),('계산 과정'!$L$23-'계산 과정'!$C$49*D1776-'계산 과정'!$D$49*E1776)/O1776,"")</x:f>
        <x:v>5.625990646197207</x:v>
      </x:c>
      <x:c r="Q1776" s="4" t="str">
        <x:f>IF(AND(ISNUMBER(P1776),P1776&gt;1E-9,P1776&lt;1-1E-9),'계산 과정'!$C$47*(D1776-'계산 과정'!$C$50+P1776*('계산 과정'!$C$32-D1776))+'계산 과정'!$D$47*(E1776-'계산 과정'!$D$50+P1776*('계산 과정'!$D$32-E1776))+'계산 과정'!$E$47*(0-'계산 과정'!$E$50+P1776*('계산 과정'!$E$32-0)),"")</x:f>
      </x:c>
      <x:c r="R1776" s="4" t="str">
        <x:f>IF(AND(ISNUMBER(P1776),P1776&gt;1E-9,P1776&lt;1-1E-9),'계산 과정'!$C$48*(D1776-'계산 과정'!$C$50+P1776*('계산 과정'!$C$32-D1776))+'계산 과정'!$D$48*(E1776-'계산 과정'!$D$50+P1776*('계산 과정'!$D$32-E1776))+'계산 과정'!$E$48*(0-'계산 과정'!$E$50+P1776*('계산 과정'!$E$32-0)),"")</x:f>
      </x:c>
      <x:c r="S1776" s="17" t="n">
        <x:f>IF('계산 과정'!$C$78,IF(AND(ISNUMBER(Q1776),ISNUMBER(R1776),ABS(Q1776-'계산 과정'!$C$88)&lt;='계산 과정'!$D$23/2,ABS(R1776-'계산 과정'!$C$89)&lt;='계산 과정'!$D$24/2),1,0),"")</x:f>
        <x:v>0</x:v>
      </x:c>
      <x:c r="T1776" s="4"/>
      <x:c r="U1776" s="4"/>
      <x:c r="V1776" s="4"/>
      <x:c r="W1776" s="4"/>
      <x:c r="X1776" s="4"/>
      <x:c r="Y1776" s="4"/>
      <x:c r="Z1776" s="4"/>
    </x:row>
    <x:row r="1777" ht="23" customHeight="1">
      <x:c r="A1777" s="17" t="n">
        <x:f>ROW()-6</x:f>
        <x:v>1771</x:v>
      </x:c>
      <x:c r="B1777" s="4" t="n">
        <x:f>IF('계산 과정'!$L$5,'계산 과정'!$L$11*SQRT((A1777+0.5)/'계산 과정'!$L$30),"")</x:f>
        <x:v>139.5072767759356</x:v>
      </x:c>
      <x:c r="C1777" s="4" t="n">
        <x:f>A1777*PI()*(3-SQRT(5))</x:f>
        <x:v>4250.334879849444</x:v>
      </x:c>
      <x:c r="D1777" s="4" t="n">
        <x:f>IF('계산 과정'!$L$5,B1777*COS(C1777),"")</x:f>
        <x:v>-135.50936372691442</x:v>
      </x:c>
      <x:c r="E1777" s="4" t="n">
        <x:f>IF('계산 과정'!$L$5,B1777*SIN(C1777),"")</x:f>
        <x:v>33.15859791614098</x:v>
      </x:c>
      <x:c r="F1777" s="4" t="n">
        <x:f>IF('계산 과정'!$L$7,'계산 과정'!$L$22+'계산 과정'!$C$49*D1777+'계산 과정'!$D$49*E1777,"")</x:f>
        <x:v>745.8195900055755</x:v>
      </x:c>
      <x:c r="G1777" s="4" t="n">
        <x:f>IF('계산 과정'!$L$7,IF(ABS(F1777)&gt;=1E-12*MAX(1,SQRT((D1777-'계산 과정'!$C$33)^2+(E1777-'계산 과정'!$D$33)^2+'계산 과정'!$E$33^2)),('계산 과정'!$L$23-'계산 과정'!$C$49*D1777-'계산 과정'!$D$49*E1777)/F1777,""),"")</x:f>
        <x:v>0.40784717118003094</x:v>
      </x:c>
      <x:c r="H1777" s="4" t="n">
        <x:f>IF(AND(ISNUMBER(G1777),G1777&gt;0),('계산 과정'!$D$56+'계산 과정'!$D$57*D1777+'계산 과정'!$D$58*E1777)/F1777,"")</x:f>
        <x:v>-134.89933873298003</x:v>
      </x:c>
      <x:c r="I1777" s="4" t="n">
        <x:f>IF(AND(ISNUMBER(G1777),G1777&gt;0),('계산 과정'!$E$56+'계산 과정'!$E$57*D1777+'계산 과정'!$E$58*E1777)/F1777,"")</x:f>
        <x:v>46.68223827653515</x:v>
      </x:c>
      <x:c r="J1777" s="4" t="n">
        <x:f>IF('계산 과정'!$L$5,'계산 과정'!$D$6+'계산 과정'!$C$35*D1777+'계산 과정'!$D$35*E1777,"")</x:f>
        <x:v>745.8195900055755</x:v>
      </x:c>
      <x:c r="K1777" s="4" t="n">
        <x:f>IF(AND('계산 과정'!$L$6,J1777&gt;0),'계산 과정'!$D$10*('계산 과정'!$C$38*(D1777-'계산 과정'!$C$32)+'계산 과정'!$D$38*(E1777-'계산 과정'!$D$32)-'계산 과정'!$E$38*'계산 과정'!$E$32)/J1777,"")</x:f>
        <x:v>-1.027804485584609</x:v>
      </x:c>
      <x:c r="L1777" s="4" t="n">
        <x:f>IF(AND('계산 과정'!$L$6,J1777&gt;0),'계산 과정'!$D$10*('계산 과정'!$C$39*(D1777-'계산 과정'!$C$32)+'계산 과정'!$D$39*(E1777-'계산 과정'!$D$32)-'계산 과정'!$E$39*'계산 과정'!$E$32)/J1777,"")</x:f>
        <x:v>0.35567419639264874</x:v>
      </x:c>
      <x:c r="M1777" s="17" t="n">
        <x:f>IF('계산 과정'!$L$6,IF(J1777&lt;=0,0,IF(AND(ABS(K1777)&lt;='계산 과정'!$D$11/2,ABS(L1777)&lt;='계산 과정'!$D$12/2),1,0)),"")</x:f>
        <x:v>1</x:v>
      </x:c>
      <x:c r="N1777" s="17" t="n">
        <x:f>IF('계산 과정'!$C$78,IF(AND(ISNUMBER(H1777),ISNUMBER(I1777),ABS(H1777-'계산 과정'!$C$88)&lt;='계산 과정'!$D$23/2,ABS(I1777-'계산 과정'!$C$89)&lt;='계산 과정'!$D$24/2),1,0),"")</x:f>
        <x:v>1</x:v>
      </x:c>
      <x:c r="O1777" s="4" t="n">
        <x:f>IF('계산 과정'!$L$7,'계산 과정'!$C$49*('계산 과정'!$C$32-D1777)+'계산 과정'!$D$49*('계산 과정'!$D$32-E1777)+'계산 과정'!$E$49*'계산 과정'!$E$32,"")</x:f>
        <x:v>-95.81959000557544</x:v>
      </x:c>
      <x:c r="P1777" s="4" t="n">
        <x:f>IF(AND('계산 과정'!$L$7,O1777&lt;&gt;0),('계산 과정'!$L$23-'계산 과정'!$C$49*D1777-'계산 과정'!$D$49*E1777)/O1777,"")</x:f>
        <x:v>-3.174511704513922</x:v>
      </x:c>
      <x:c r="Q1777" s="4" t="str">
        <x:f>IF(AND(ISNUMBER(P1777),P1777&gt;1E-9,P1777&lt;1-1E-9),'계산 과정'!$C$47*(D1777-'계산 과정'!$C$50+P1777*('계산 과정'!$C$32-D1777))+'계산 과정'!$D$47*(E1777-'계산 과정'!$D$50+P1777*('계산 과정'!$D$32-E1777))+'계산 과정'!$E$47*(0-'계산 과정'!$E$50+P1777*('계산 과정'!$E$32-0)),"")</x:f>
      </x:c>
      <x:c r="R1777" s="4" t="str">
        <x:f>IF(AND(ISNUMBER(P1777),P1777&gt;1E-9,P1777&lt;1-1E-9),'계산 과정'!$C$48*(D1777-'계산 과정'!$C$50+P1777*('계산 과정'!$C$32-D1777))+'계산 과정'!$D$48*(E1777-'계산 과정'!$D$50+P1777*('계산 과정'!$D$32-E1777))+'계산 과정'!$E$48*(0-'계산 과정'!$E$50+P1777*('계산 과정'!$E$32-0)),"")</x:f>
      </x:c>
      <x:c r="S1777" s="17" t="n">
        <x:f>IF('계산 과정'!$C$78,IF(AND(ISNUMBER(Q1777),ISNUMBER(R1777),ABS(Q1777-'계산 과정'!$C$88)&lt;='계산 과정'!$D$23/2,ABS(R1777-'계산 과정'!$C$89)&lt;='계산 과정'!$D$24/2),1,0),"")</x:f>
        <x:v>0</x:v>
      </x:c>
      <x:c r="T1777" s="4"/>
      <x:c r="U1777" s="4"/>
      <x:c r="V1777" s="4"/>
      <x:c r="W1777" s="4"/>
      <x:c r="X1777" s="4"/>
      <x:c r="Y1777" s="4"/>
      <x:c r="Z1777" s="4"/>
    </x:row>
    <x:row r="1778" ht="23" customHeight="1">
      <x:c r="A1778" s="17" t="n">
        <x:f>ROW()-6</x:f>
        <x:v>1772</x:v>
      </x:c>
      <x:c r="B1778" s="4" t="n">
        <x:f>IF('계산 과정'!$L$5,'계산 과정'!$L$11*SQRT((A1778+0.5)/'계산 과정'!$L$30),"")</x:f>
        <x:v>139.54664668691436</x:v>
      </x:c>
      <x:c r="C1778" s="4" t="n">
        <x:f>A1778*PI()*(3-SQRT(5))</x:f>
        <x:v>4252.734843079173</x:v>
      </x:c>
      <x:c r="D1778" s="4" t="n">
        <x:f>IF('계산 과정'!$L$5,B1778*COS(C1778),"")</x:f>
        <x:v>77.54395369871916</x:v>
      </x:c>
      <x:c r="E1778" s="4" t="n">
        <x:f>IF('계산 과정'!$L$5,B1778*SIN(C1778),"")</x:f>
        <x:v>-116.01810999293777</x:v>
      </x:c>
      <x:c r="F1778" s="4" t="n">
        <x:f>IF('계산 과정'!$L$7,'계산 과정'!$L$22+'계산 과정'!$C$49*D1778+'계산 과정'!$D$49*E1778,"")</x:f>
        <x:v>595.16814449962</x:v>
      </x:c>
      <x:c r="G1778" s="4" t="n">
        <x:f>IF('계산 과정'!$L$7,IF(ABS(F1778)&gt;=1E-12*MAX(1,SQRT((D1778-'계산 과정'!$C$33)^2+(E1778-'계산 과정'!$D$33)^2+'계산 과정'!$E$33^2)),('계산 과정'!$L$23-'계산 과정'!$C$49*D1778-'계산 과정'!$D$49*E1778)/F1778,""),"")</x:f>
        <x:v>0.7642073247767218</x:v>
      </x:c>
      <x:c r="H1778" s="4" t="n">
        <x:f>IF(AND(ISNUMBER(G1778),G1778&gt;0),('계산 과정'!$D$56+'계산 과정'!$D$57*D1778+'계산 과정'!$D$58*E1778)/F1778,"")</x:f>
        <x:v>96.73476110486907</x:v>
      </x:c>
      <x:c r="I1778" s="4" t="n">
        <x:f>IF(AND(ISNUMBER(G1778),G1778&gt;0),('계산 과정'!$E$56+'계산 과정'!$E$57*D1778+'계산 과정'!$E$58*E1778)/F1778,"")</x:f>
        <x:v>-204.6799994562922</x:v>
      </x:c>
      <x:c r="J1778" s="4" t="n">
        <x:f>IF('계산 과정'!$L$5,'계산 과정'!$D$6+'계산 과정'!$C$35*D1778+'계산 과정'!$D$35*E1778,"")</x:f>
        <x:v>595.16814449962</x:v>
      </x:c>
      <x:c r="K1778" s="4" t="n">
        <x:f>IF(AND('계산 과정'!$L$6,J1778&gt;0),'계산 과정'!$D$10*('계산 과정'!$C$38*(D1778-'계산 과정'!$C$32)+'계산 과정'!$D$38*(E1778-'계산 과정'!$D$32)-'계산 과정'!$E$38*'계산 과정'!$E$32)/J1778,"")</x:f>
        <x:v>0.737026751275194</x:v>
      </x:c>
      <x:c r="L1778" s="4" t="n">
        <x:f>IF(AND('계산 과정'!$L$6,J1778&gt;0),'계산 과정'!$D$10*('계산 과정'!$C$39*(D1778-'계산 과정'!$C$32)+'계산 과정'!$D$39*(E1778-'계산 과정'!$D$32)-'계산 과정'!$E$39*'계산 과정'!$E$32)/J1778,"")</x:f>
        <x:v>-1.5594666625241311</x:v>
      </x:c>
      <x:c r="M1778" s="17" t="n">
        <x:f>IF('계산 과정'!$L$6,IF(J1778&lt;=0,0,IF(AND(ABS(K1778)&lt;='계산 과정'!$D$11/2,ABS(L1778)&lt;='계산 과정'!$D$12/2),1,0)),"")</x:f>
        <x:v>1</x:v>
      </x:c>
      <x:c r="N1778" s="17" t="n">
        <x:f>IF('계산 과정'!$C$78,IF(AND(ISNUMBER(H1778),ISNUMBER(I1778),ABS(H1778-'계산 과정'!$C$88)&lt;='계산 과정'!$D$23/2,ABS(I1778-'계산 과정'!$C$89)&lt;='계산 과정'!$D$24/2),1,0),"")</x:f>
        <x:v>1</x:v>
      </x:c>
      <x:c r="O1778" s="4" t="n">
        <x:f>IF('계산 과정'!$L$7,'계산 과정'!$C$49*('계산 과정'!$C$32-D1778)+'계산 과정'!$D$49*('계산 과정'!$D$32-E1778)+'계산 과정'!$E$49*'계산 과정'!$E$32,"")</x:f>
        <x:v>54.83185550038013</x:v>
      </x:c>
      <x:c r="P1778" s="4" t="n">
        <x:f>IF(AND('계산 과정'!$L$7,O1778&lt;&gt;0),('계산 과정'!$L$23-'계산 과정'!$C$49*D1778-'계산 과정'!$D$49*E1778)/O1778,"")</x:f>
        <x:v>8.295029437718496</x:v>
      </x:c>
      <x:c r="Q1778" s="4" t="str">
        <x:f>IF(AND(ISNUMBER(P1778),P1778&gt;1E-9,P1778&lt;1-1E-9),'계산 과정'!$C$47*(D1778-'계산 과정'!$C$50+P1778*('계산 과정'!$C$32-D1778))+'계산 과정'!$D$47*(E1778-'계산 과정'!$D$50+P1778*('계산 과정'!$D$32-E1778))+'계산 과정'!$E$47*(0-'계산 과정'!$E$50+P1778*('계산 과정'!$E$32-0)),"")</x:f>
      </x:c>
      <x:c r="R1778" s="4" t="str">
        <x:f>IF(AND(ISNUMBER(P1778),P1778&gt;1E-9,P1778&lt;1-1E-9),'계산 과정'!$C$48*(D1778-'계산 과정'!$C$50+P1778*('계산 과정'!$C$32-D1778))+'계산 과정'!$D$48*(E1778-'계산 과정'!$D$50+P1778*('계산 과정'!$D$32-E1778))+'계산 과정'!$E$48*(0-'계산 과정'!$E$50+P1778*('계산 과정'!$E$32-0)),"")</x:f>
      </x:c>
      <x:c r="S1778" s="17" t="n">
        <x:f>IF('계산 과정'!$C$78,IF(AND(ISNUMBER(Q1778),ISNUMBER(R1778),ABS(Q1778-'계산 과정'!$C$88)&lt;='계산 과정'!$D$23/2,ABS(R1778-'계산 과정'!$C$89)&lt;='계산 과정'!$D$24/2),1,0),"")</x:f>
        <x:v>0</x:v>
      </x:c>
      <x:c r="T1778" s="4"/>
      <x:c r="U1778" s="4"/>
      <x:c r="V1778" s="4"/>
      <x:c r="W1778" s="4"/>
      <x:c r="X1778" s="4"/>
      <x:c r="Y1778" s="4"/>
      <x:c r="Z1778" s="4"/>
    </x:row>
    <x:row r="1779" ht="23" customHeight="1">
      <x:c r="A1779" s="17" t="n">
        <x:f>ROW()-6</x:f>
        <x:v>1773</x:v>
      </x:c>
      <x:c r="B1779" s="4" t="n">
        <x:f>IF('계산 과정'!$L$5,'계산 과정'!$L$11*SQRT((A1779+0.5)/'계산 과정'!$L$30),"")</x:f>
        <x:v>139.58600549370092</x:v>
      </x:c>
      <x:c r="C1779" s="4" t="n">
        <x:f>A1779*PI()*(3-SQRT(5))</x:f>
        <x:v>4255.134806308902</x:v>
      </x:c>
      <x:c r="D1779" s="4" t="n">
        <x:f>IF('계산 과정'!$L$5,B1779*COS(C1779),"")</x:f>
        <x:v>21.196585880113535</x:v>
      </x:c>
      <x:c r="E1779" s="4" t="n">
        <x:f>IF('계산 과정'!$L$5,B1779*SIN(C1779),"")</x:f>
        <x:v>137.96723406923283</x:v>
      </x:c>
      <x:c r="F1779" s="4" t="n">
        <x:f>IF('계산 과정'!$L$7,'계산 과정'!$L$22+'계산 과정'!$C$49*D1779+'계산 과정'!$D$49*E1779,"")</x:f>
        <x:v>635.0117503861687</x:v>
      </x:c>
      <x:c r="G1779" s="4" t="n">
        <x:f>IF('계산 과정'!$L$7,IF(ABS(F1779)&gt;=1E-12*MAX(1,SQRT((D1779-'계산 과정'!$C$33)^2+(E1779-'계산 과정'!$D$33)^2+'계산 과정'!$E$33^2)),('계산 과정'!$L$23-'계산 과정'!$C$49*D1779-'계산 과정'!$D$49*E1779)/F1779,""),"")</x:f>
        <x:v>0.6535127095860276</x:v>
      </x:c>
      <x:c r="H1779" s="4" t="n">
        <x:f>IF(AND(ISNUMBER(G1779),G1779&gt;0),('계산 과정'!$D$56+'계산 과정'!$D$57*D1779+'계산 과정'!$D$58*E1779)/F1779,"")</x:f>
        <x:v>24.78326123091782</x:v>
      </x:c>
      <x:c r="I1779" s="4" t="n">
        <x:f>IF(AND(ISNUMBER(G1779),G1779&gt;0),('계산 과정'!$E$56+'계산 과정'!$E$57*D1779+'계산 과정'!$E$58*E1779)/F1779,"")</x:f>
        <x:v>228.13057503990686</x:v>
      </x:c>
      <x:c r="J1779" s="4" t="n">
        <x:f>IF('계산 과정'!$L$5,'계산 과정'!$D$6+'계산 과정'!$C$35*D1779+'계산 과정'!$D$35*E1779,"")</x:f>
        <x:v>635.0117503861687</x:v>
      </x:c>
      <x:c r="K1779" s="4" t="n">
        <x:f>IF(AND('계산 과정'!$L$6,J1779&gt;0),'계산 과정'!$D$10*('계산 과정'!$C$38*(D1779-'계산 과정'!$C$32)+'계산 과정'!$D$38*(E1779-'계산 과정'!$D$32)-'계산 과정'!$E$38*'계산 과정'!$E$32)/J1779,"")</x:f>
        <x:v>0.18882484747366074</x:v>
      </x:c>
      <x:c r="L1779" s="4" t="n">
        <x:f>IF(AND('계산 과정'!$L$6,J1779&gt;0),'계산 과정'!$D$10*('계산 과정'!$C$39*(D1779-'계산 과정'!$C$32)+'계산 과정'!$D$39*(E1779-'계산 과정'!$D$32)-'계산 과정'!$E$39*'계산 과정'!$E$32)/J1779,"")</x:f>
        <x:v>1.7381377145897665</x:v>
      </x:c>
      <x:c r="M1779" s="17" t="n">
        <x:f>IF('계산 과정'!$L$6,IF(J1779&lt;=0,0,IF(AND(ABS(K1779)&lt;='계산 과정'!$D$11/2,ABS(L1779)&lt;='계산 과정'!$D$12/2),1,0)),"")</x:f>
        <x:v>1</x:v>
      </x:c>
      <x:c r="N1779" s="17" t="n">
        <x:f>IF('계산 과정'!$C$78,IF(AND(ISNUMBER(H1779),ISNUMBER(I1779),ABS(H1779-'계산 과정'!$C$88)&lt;='계산 과정'!$D$23/2,ABS(I1779-'계산 과정'!$C$89)&lt;='계산 과정'!$D$24/2),1,0),"")</x:f>
        <x:v>1</x:v>
      </x:c>
      <x:c r="O1779" s="4" t="n">
        <x:f>IF('계산 과정'!$L$7,'계산 과정'!$C$49*('계산 과정'!$C$32-D1779)+'계산 과정'!$D$49*('계산 과정'!$D$32-E1779)+'계산 과정'!$E$49*'계산 과정'!$E$32,"")</x:f>
        <x:v>14.988249613831442</x:v>
      </x:c>
      <x:c r="P1779" s="4" t="n">
        <x:f>IF(AND('계산 과정'!$L$7,O1779&lt;&gt;0),('계산 과정'!$L$23-'계산 과정'!$C$49*D1779-'계산 과정'!$D$49*E1779)/O1779,"")</x:f>
        <x:v>27.687572618944927</x:v>
      </x:c>
      <x:c r="Q1779" s="4" t="str">
        <x:f>IF(AND(ISNUMBER(P1779),P1779&gt;1E-9,P1779&lt;1-1E-9),'계산 과정'!$C$47*(D1779-'계산 과정'!$C$50+P1779*('계산 과정'!$C$32-D1779))+'계산 과정'!$D$47*(E1779-'계산 과정'!$D$50+P1779*('계산 과정'!$D$32-E1779))+'계산 과정'!$E$47*(0-'계산 과정'!$E$50+P1779*('계산 과정'!$E$32-0)),"")</x:f>
      </x:c>
      <x:c r="R1779" s="4" t="str">
        <x:f>IF(AND(ISNUMBER(P1779),P1779&gt;1E-9,P1779&lt;1-1E-9),'계산 과정'!$C$48*(D1779-'계산 과정'!$C$50+P1779*('계산 과정'!$C$32-D1779))+'계산 과정'!$D$48*(E1779-'계산 과정'!$D$50+P1779*('계산 과정'!$D$32-E1779))+'계산 과정'!$E$48*(0-'계산 과정'!$E$50+P1779*('계산 과정'!$E$32-0)),"")</x:f>
      </x:c>
      <x:c r="S1779" s="17" t="n">
        <x:f>IF('계산 과정'!$C$78,IF(AND(ISNUMBER(Q1779),ISNUMBER(R1779),ABS(Q1779-'계산 과정'!$C$88)&lt;='계산 과정'!$D$23/2,ABS(R1779-'계산 과정'!$C$89)&lt;='계산 과정'!$D$24/2),1,0),"")</x:f>
        <x:v>0</x:v>
      </x:c>
      <x:c r="T1779" s="4"/>
      <x:c r="U1779" s="4"/>
      <x:c r="V1779" s="4"/>
      <x:c r="W1779" s="4"/>
      <x:c r="X1779" s="4"/>
      <x:c r="Y1779" s="4"/>
      <x:c r="Z1779" s="4"/>
    </x:row>
    <x:row r="1780" ht="23" customHeight="1">
      <x:c r="A1780" s="17" t="n">
        <x:f>ROW()-6</x:f>
        <x:v>1774</x:v>
      </x:c>
      <x:c r="B1780" s="4" t="n">
        <x:f>IF('계산 과정'!$L$5,'계산 과정'!$L$11*SQRT((A1780+0.5)/'계산 과정'!$L$30),"")</x:f>
        <x:v>139.62535320568574</x:v>
      </x:c>
      <x:c r="C1780" s="4" t="n">
        <x:f>A1780*PI()*(3-SQRT(5))</x:f>
        <x:v>4257.534769538631</x:v>
      </x:c>
      <x:c r="D1780" s="4" t="n">
        <x:f>IF('계산 과정'!$L$5,B1780*COS(C1780),"")</x:f>
        <x:v>-108.85590688763955</x:v>
      </x:c>
      <x:c r="E1780" s="4" t="n">
        <x:f>IF('계산 과정'!$L$5,B1780*SIN(C1780),"")</x:f>
        <x:v>-87.43929776411775</x:v>
      </x:c>
      <x:c r="F1780" s="4" t="n">
        <x:f>IF('계산 과정'!$L$7,'계산 과정'!$L$22+'계산 과정'!$C$49*D1780+'계산 과정'!$D$49*E1780,"")</x:f>
        <x:v>726.9727499324613</x:v>
      </x:c>
      <x:c r="G1780" s="4" t="n">
        <x:f>IF('계산 과정'!$L$7,IF(ABS(F1780)&gt;=1E-12*MAX(1,SQRT((D1780-'계산 과정'!$C$33)^2+(E1780-'계산 과정'!$D$33)^2+'계산 과정'!$E$33^2)),('계산 과정'!$L$23-'계산 과정'!$C$49*D1780-'계산 과정'!$D$49*E1780)/F1780,""),"")</x:f>
        <x:v>0.44434574761921847</x:v>
      </x:c>
      <x:c r="H1780" s="4" t="n">
        <x:f>IF(AND(ISNUMBER(G1780),G1780&gt;0),('계산 과정'!$D$56+'계산 과정'!$D$57*D1780+'계산 과정'!$D$58*E1780)/F1780,"")</x:f>
        <x:v>-111.17526404750815</x:v>
      </x:c>
      <x:c r="I1780" s="4" t="n">
        <x:f>IF(AND(ISNUMBER(G1780),G1780&gt;0),('계산 과정'!$E$56+'계산 과정'!$E$57*D1780+'계산 과정'!$E$58*E1780)/F1780,"")</x:f>
        <x:v>-126.29257790041412</x:v>
      </x:c>
      <x:c r="J1780" s="4" t="n">
        <x:f>IF('계산 과정'!$L$5,'계산 과정'!$D$6+'계산 과정'!$C$35*D1780+'계산 과정'!$D$35*E1780,"")</x:f>
        <x:v>726.9727499324613</x:v>
      </x:c>
      <x:c r="K1780" s="4" t="n">
        <x:f>IF(AND('계산 과정'!$L$6,J1780&gt;0),'계산 과정'!$D$10*('계산 과정'!$C$38*(D1780-'계산 과정'!$C$32)+'계산 과정'!$D$38*(E1780-'계산 과정'!$D$32)-'계산 과정'!$E$38*'계산 과정'!$E$32)/J1780,"")</x:f>
        <x:v>-0.8470496308381564</x:v>
      </x:c>
      <x:c r="L1780" s="4" t="n">
        <x:f>IF(AND('계산 과정'!$L$6,J1780&gt;0),'계산 과정'!$D$10*('계산 과정'!$C$39*(D1780-'계산 과정'!$C$32)+'계산 과정'!$D$39*(E1780-'계산 과정'!$D$32)-'계산 과정'!$E$39*'계산 과정'!$E$32)/J1780,"")</x:f>
        <x:v>-0.9622291649555361</x:v>
      </x:c>
      <x:c r="M1780" s="17" t="n">
        <x:f>IF('계산 과정'!$L$6,IF(J1780&lt;=0,0,IF(AND(ABS(K1780)&lt;='계산 과정'!$D$11/2,ABS(L1780)&lt;='계산 과정'!$D$12/2),1,0)),"")</x:f>
        <x:v>1</x:v>
      </x:c>
      <x:c r="N1780" s="17" t="n">
        <x:f>IF('계산 과정'!$C$78,IF(AND(ISNUMBER(H1780),ISNUMBER(I1780),ABS(H1780-'계산 과정'!$C$88)&lt;='계산 과정'!$D$23/2,ABS(I1780-'계산 과정'!$C$89)&lt;='계산 과정'!$D$24/2),1,0),"")</x:f>
        <x:v>1</x:v>
      </x:c>
      <x:c r="O1780" s="4" t="n">
        <x:f>IF('계산 과정'!$L$7,'계산 과정'!$C$49*('계산 과정'!$C$32-D1780)+'계산 과정'!$D$49*('계산 과정'!$D$32-E1780)+'계산 과정'!$E$49*'계산 과정'!$E$32,"")</x:f>
        <x:v>-76.97274993246123</x:v>
      </x:c>
      <x:c r="P1780" s="4" t="n">
        <x:f>IF(AND('계산 과정'!$L$7,O1780&lt;&gt;0),('계산 과정'!$L$23-'계산 과정'!$C$49*D1780-'계산 과정'!$D$49*E1780)/O1780,"")</x:f>
        <x:v>-4.196644271524336</x:v>
      </x:c>
      <x:c r="Q1780" s="4" t="str">
        <x:f>IF(AND(ISNUMBER(P1780),P1780&gt;1E-9,P1780&lt;1-1E-9),'계산 과정'!$C$47*(D1780-'계산 과정'!$C$50+P1780*('계산 과정'!$C$32-D1780))+'계산 과정'!$D$47*(E1780-'계산 과정'!$D$50+P1780*('계산 과정'!$D$32-E1780))+'계산 과정'!$E$47*(0-'계산 과정'!$E$50+P1780*('계산 과정'!$E$32-0)),"")</x:f>
      </x:c>
      <x:c r="R1780" s="4" t="str">
        <x:f>IF(AND(ISNUMBER(P1780),P1780&gt;1E-9,P1780&lt;1-1E-9),'계산 과정'!$C$48*(D1780-'계산 과정'!$C$50+P1780*('계산 과정'!$C$32-D1780))+'계산 과정'!$D$48*(E1780-'계산 과정'!$D$50+P1780*('계산 과정'!$D$32-E1780))+'계산 과정'!$E$48*(0-'계산 과정'!$E$50+P1780*('계산 과정'!$E$32-0)),"")</x:f>
      </x:c>
      <x:c r="S1780" s="17" t="n">
        <x:f>IF('계산 과정'!$C$78,IF(AND(ISNUMBER(Q1780),ISNUMBER(R1780),ABS(Q1780-'계산 과정'!$C$88)&lt;='계산 과정'!$D$23/2,ABS(R1780-'계산 과정'!$C$89)&lt;='계산 과정'!$D$24/2),1,0),"")</x:f>
        <x:v>0</x:v>
      </x:c>
      <x:c r="T1780" s="4"/>
      <x:c r="U1780" s="4"/>
      <x:c r="V1780" s="4"/>
      <x:c r="W1780" s="4"/>
      <x:c r="X1780" s="4"/>
      <x:c r="Y1780" s="4"/>
      <x:c r="Z1780" s="4"/>
    </x:row>
    <x:row r="1781" ht="23" customHeight="1">
      <x:c r="A1781" s="17" t="n">
        <x:f>ROW()-6</x:f>
        <x:v>1775</x:v>
      </x:c>
      <x:c r="B1781" s="4" t="n">
        <x:f>IF('계산 과정'!$L$5,'계산 과정'!$L$11*SQRT((A1781+0.5)/'계산 과정'!$L$30),"")</x:f>
        <x:v>139.66468983224607</x:v>
      </x:c>
      <x:c r="C1781" s="4" t="n">
        <x:f>A1781*PI()*(3-SQRT(5))</x:f>
        <x:v>4259.934732768359</x:v>
      </x:c>
      <x:c r="D1781" s="4" t="n">
        <x:f>IF('계산 과정'!$L$5,B1781*COS(C1781),"")</x:f>
        <x:v>139.37060870910923</x:v>
      </x:c>
      <x:c r="E1781" s="4" t="n">
        <x:f>IF('계산 과정'!$L$5,B1781*SIN(C1781),"")</x:f>
        <x:v>-9.058643054556553</x:v>
      </x:c>
      <x:c r="F1781" s="4" t="n">
        <x:f>IF('계산 과정'!$L$7,'계산 과정'!$L$22+'계산 과정'!$C$49*D1781+'계산 과정'!$D$49*E1781,"")</x:f>
        <x:v>551.4500974836919</x:v>
      </x:c>
      <x:c r="G1781" s="4" t="n">
        <x:f>IF('계산 과정'!$L$7,IF(ABS(F1781)&gt;=1E-12*MAX(1,SQRT((D1781-'계산 과정'!$C$33)^2+(E1781-'계산 과정'!$D$33)^2+'계산 과정'!$E$33^2)),('계산 과정'!$L$23-'계산 과정'!$C$49*D1781-'계산 과정'!$D$49*E1781)/F1781,""),"")</x:f>
        <x:v>0.904070748724551</x:v>
      </x:c>
      <x:c r="H1781" s="4" t="n">
        <x:f>IF(AND(ISNUMBER(G1781),G1781&gt;0),('계산 과정'!$D$56+'계산 과정'!$D$57*D1781+'계산 과정'!$D$58*E1781)/F1781,"")</x:f>
        <x:v>187.64598667095808</x:v>
      </x:c>
      <x:c r="I1781" s="4" t="n">
        <x:f>IF(AND(ISNUMBER(G1781),G1781&gt;0),('계산 과정'!$E$56+'계산 과정'!$E$57*D1781+'계산 과정'!$E$58*E1781)/F1781,"")</x:f>
        <x:v>-17.24829726331795</x:v>
      </x:c>
      <x:c r="J1781" s="4" t="n">
        <x:f>IF('계산 과정'!$L$5,'계산 과정'!$D$6+'계산 과정'!$C$35*D1781+'계산 과정'!$D$35*E1781,"")</x:f>
        <x:v>551.4500974836919</x:v>
      </x:c>
      <x:c r="K1781" s="4" t="n">
        <x:f>IF(AND('계산 과정'!$L$6,J1781&gt;0),'계산 과정'!$D$10*('계산 과정'!$C$38*(D1781-'계산 과정'!$C$32)+'계산 과정'!$D$38*(E1781-'계산 과정'!$D$32)-'계산 과정'!$E$38*'계산 과정'!$E$32)/J1781,"")</x:f>
        <x:v>1.429683707969205</x:v>
      </x:c>
      <x:c r="L1781" s="4" t="n">
        <x:f>IF(AND('계산 과정'!$L$6,J1781&gt;0),'계산 과정'!$D$10*('계산 과정'!$C$39*(D1781-'계산 과정'!$C$32)+'계산 과정'!$D$39*(E1781-'계산 과정'!$D$32)-'계산 과정'!$E$39*'계산 과정'!$E$32)/J1781,"")</x:f>
        <x:v>-0.1314155981967082</x:v>
      </x:c>
      <x:c r="M1781" s="17" t="n">
        <x:f>IF('계산 과정'!$L$6,IF(J1781&lt;=0,0,IF(AND(ABS(K1781)&lt;='계산 과정'!$D$11/2,ABS(L1781)&lt;='계산 과정'!$D$12/2),1,0)),"")</x:f>
        <x:v>1</x:v>
      </x:c>
      <x:c r="N1781" s="17" t="n">
        <x:f>IF('계산 과정'!$C$78,IF(AND(ISNUMBER(H1781),ISNUMBER(I1781),ABS(H1781-'계산 과정'!$C$88)&lt;='계산 과정'!$D$23/2,ABS(I1781-'계산 과정'!$C$89)&lt;='계산 과정'!$D$24/2),1,0),"")</x:f>
        <x:v>1</x:v>
      </x:c>
      <x:c r="O1781" s="4" t="n">
        <x:f>IF('계산 과정'!$L$7,'계산 과정'!$C$49*('계산 과정'!$C$32-D1781)+'계산 과정'!$D$49*('계산 과정'!$D$32-E1781)+'계산 과정'!$E$49*'계산 과정'!$E$32,"")</x:f>
        <x:v>98.54990251630812</x:v>
      </x:c>
      <x:c r="P1781" s="4" t="n">
        <x:f>IF(AND('계산 과정'!$L$7,O1781&lt;&gt;0),('계산 과정'!$L$23-'계산 과정'!$C$49*D1781-'계산 과정'!$D$49*E1781)/O1781,"")</x:f>
        <x:v>5.0588573888625366</x:v>
      </x:c>
      <x:c r="Q1781" s="4" t="str">
        <x:f>IF(AND(ISNUMBER(P1781),P1781&gt;1E-9,P1781&lt;1-1E-9),'계산 과정'!$C$47*(D1781-'계산 과정'!$C$50+P1781*('계산 과정'!$C$32-D1781))+'계산 과정'!$D$47*(E1781-'계산 과정'!$D$50+P1781*('계산 과정'!$D$32-E1781))+'계산 과정'!$E$47*(0-'계산 과정'!$E$50+P1781*('계산 과정'!$E$32-0)),"")</x:f>
      </x:c>
      <x:c r="R1781" s="4" t="str">
        <x:f>IF(AND(ISNUMBER(P1781),P1781&gt;1E-9,P1781&lt;1-1E-9),'계산 과정'!$C$48*(D1781-'계산 과정'!$C$50+P1781*('계산 과정'!$C$32-D1781))+'계산 과정'!$D$48*(E1781-'계산 과정'!$D$50+P1781*('계산 과정'!$D$32-E1781))+'계산 과정'!$E$48*(0-'계산 과정'!$E$50+P1781*('계산 과정'!$E$32-0)),"")</x:f>
      </x:c>
      <x:c r="S1781" s="17" t="n">
        <x:f>IF('계산 과정'!$C$78,IF(AND(ISNUMBER(Q1781),ISNUMBER(R1781),ABS(Q1781-'계산 과정'!$C$88)&lt;='계산 과정'!$D$23/2,ABS(R1781-'계산 과정'!$C$89)&lt;='계산 과정'!$D$24/2),1,0),"")</x:f>
        <x:v>0</x:v>
      </x:c>
      <x:c r="T1781" s="4"/>
      <x:c r="U1781" s="4"/>
      <x:c r="V1781" s="4"/>
      <x:c r="W1781" s="4"/>
      <x:c r="X1781" s="4"/>
      <x:c r="Y1781" s="4"/>
      <x:c r="Z1781" s="4"/>
    </x:row>
    <x:row r="1782" ht="23" customHeight="1">
      <x:c r="A1782" s="17" t="n">
        <x:f>ROW()-6</x:f>
        <x:v>1776</x:v>
      </x:c>
      <x:c r="B1782" s="4" t="n">
        <x:f>IF('계산 과정'!$L$5,'계산 과정'!$L$11*SQRT((A1782+0.5)/'계산 과정'!$L$30),"")</x:f>
        <x:v>139.7040153827459</x:v>
      </x:c>
      <x:c r="C1782" s="4" t="n">
        <x:f>A1782*PI()*(3-SQRT(5))</x:f>
        <x:v>4262.334695998087</x:v>
      </x:c>
      <x:c r="D1782" s="4" t="n">
        <x:f>IF('계산 과정'!$L$5,B1782*COS(C1782),"")</x:f>
        <x:v>-96.67573735656894</x:v>
      </x:c>
      <x:c r="E1782" s="4" t="n">
        <x:f>IF('계산 과정'!$L$5,B1782*SIN(C1782),"")</x:f>
        <x:v>100.85144382023593</x:v>
      </x:c>
      <x:c r="F1782" s="4" t="n">
        <x:f>IF('계산 과정'!$L$7,'계산 과정'!$L$22+'계산 과정'!$C$49*D1782+'계산 과정'!$D$49*E1782,"")</x:f>
        <x:v>718.3600694610395</x:v>
      </x:c>
      <x:c r="G1782" s="4" t="n">
        <x:f>IF('계산 과정'!$L$7,IF(ABS(F1782)&gt;=1E-12*MAX(1,SQRT((D1782-'계산 과정'!$C$33)^2+(E1782-'계산 과정'!$D$33)^2+'계산 과정'!$E$33^2)),('계산 과정'!$L$23-'계산 과정'!$C$49*D1782-'계산 과정'!$D$49*E1782)/F1782,""),"")</x:f>
        <x:v>0.4616625347616806</x:v>
      </x:c>
      <x:c r="H1782" s="4" t="n">
        <x:f>IF(AND(ISNUMBER(G1782),G1782&gt;0),('계산 과정'!$D$56+'계산 과정'!$D$57*D1782+'계산 과정'!$D$58*E1782)/F1782,"")</x:f>
        <x:v>-99.91935240490773</x:v>
      </x:c>
      <x:c r="I1782" s="4" t="n">
        <x:f>IF(AND(ISNUMBER(G1782),G1782&gt;0),('계산 과정'!$E$56+'계산 과정'!$E$57*D1782+'계산 과정'!$E$58*E1782)/F1782,"")</x:f>
        <x:v>147.41077700866128</x:v>
      </x:c>
      <x:c r="J1782" s="4" t="n">
        <x:f>IF('계산 과정'!$L$5,'계산 과정'!$D$6+'계산 과정'!$C$35*D1782+'계산 과정'!$D$35*E1782,"")</x:f>
        <x:v>718.3600694610395</x:v>
      </x:c>
      <x:c r="K1782" s="4" t="n">
        <x:f>IF(AND('계산 과정'!$L$6,J1782&gt;0),'계산 과정'!$D$10*('계산 과정'!$C$38*(D1782-'계산 과정'!$C$32)+'계산 과정'!$D$38*(E1782-'계산 과정'!$D$32)-'계산 과정'!$E$38*'계산 과정'!$E$32)/J1782,"")</x:f>
        <x:v>-0.7612903040373912</x:v>
      </x:c>
      <x:c r="L1782" s="4" t="n">
        <x:f>IF(AND('계산 과정'!$L$6,J1782&gt;0),'계산 과정'!$D$10*('계산 과정'!$C$39*(D1782-'계산 과정'!$C$32)+'계산 과정'!$D$39*(E1782-'계산 과정'!$D$32)-'계산 과정'!$E$39*'계산 과정'!$E$32)/J1782,"")</x:f>
        <x:v>1.1231297295898002</x:v>
      </x:c>
      <x:c r="M1782" s="17" t="n">
        <x:f>IF('계산 과정'!$L$6,IF(J1782&lt;=0,0,IF(AND(ABS(K1782)&lt;='계산 과정'!$D$11/2,ABS(L1782)&lt;='계산 과정'!$D$12/2),1,0)),"")</x:f>
        <x:v>1</x:v>
      </x:c>
      <x:c r="N1782" s="17" t="n">
        <x:f>IF('계산 과정'!$C$78,IF(AND(ISNUMBER(H1782),ISNUMBER(I1782),ABS(H1782-'계산 과정'!$C$88)&lt;='계산 과정'!$D$23/2,ABS(I1782-'계산 과정'!$C$89)&lt;='계산 과정'!$D$24/2),1,0),"")</x:f>
        <x:v>1</x:v>
      </x:c>
      <x:c r="O1782" s="4" t="n">
        <x:f>IF('계산 과정'!$L$7,'계산 과정'!$C$49*('계산 과정'!$C$32-D1782)+'계산 과정'!$D$49*('계산 과정'!$D$32-E1782)+'계산 과정'!$E$49*'계산 과정'!$E$32,"")</x:f>
        <x:v>-68.36006946103936</x:v>
      </x:c>
      <x:c r="P1782" s="4" t="n">
        <x:f>IF(AND('계산 과정'!$L$7,O1782&lt;&gt;0),('계산 과정'!$L$23-'계산 과정'!$C$49*D1782-'계산 과정'!$D$49*E1782)/O1782,"")</x:f>
        <x:v>-4.8513691275280655</x:v>
      </x:c>
      <x:c r="Q1782" s="4" t="str">
        <x:f>IF(AND(ISNUMBER(P1782),P1782&gt;1E-9,P1782&lt;1-1E-9),'계산 과정'!$C$47*(D1782-'계산 과정'!$C$50+P1782*('계산 과정'!$C$32-D1782))+'계산 과정'!$D$47*(E1782-'계산 과정'!$D$50+P1782*('계산 과정'!$D$32-E1782))+'계산 과정'!$E$47*(0-'계산 과정'!$E$50+P1782*('계산 과정'!$E$32-0)),"")</x:f>
      </x:c>
      <x:c r="R1782" s="4" t="str">
        <x:f>IF(AND(ISNUMBER(P1782),P1782&gt;1E-9,P1782&lt;1-1E-9),'계산 과정'!$C$48*(D1782-'계산 과정'!$C$50+P1782*('계산 과정'!$C$32-D1782))+'계산 과정'!$D$48*(E1782-'계산 과정'!$D$50+P1782*('계산 과정'!$D$32-E1782))+'계산 과정'!$E$48*(0-'계산 과정'!$E$50+P1782*('계산 과정'!$E$32-0)),"")</x:f>
      </x:c>
      <x:c r="S1782" s="17" t="n">
        <x:f>IF('계산 과정'!$C$78,IF(AND(ISNUMBER(Q1782),ISNUMBER(R1782),ABS(Q1782-'계산 과정'!$C$88)&lt;='계산 과정'!$D$23/2,ABS(R1782-'계산 과정'!$C$89)&lt;='계산 과정'!$D$24/2),1,0),"")</x:f>
        <x:v>0</x:v>
      </x:c>
      <x:c r="T1782" s="4"/>
      <x:c r="U1782" s="4"/>
      <x:c r="V1782" s="4"/>
      <x:c r="W1782" s="4"/>
      <x:c r="X1782" s="4"/>
      <x:c r="Y1782" s="4"/>
      <x:c r="Z1782" s="4"/>
    </x:row>
    <x:row r="1783" ht="23" customHeight="1">
      <x:c r="A1783" s="17" t="n">
        <x:f>ROW()-6</x:f>
        <x:v>1777</x:v>
      </x:c>
      <x:c r="B1783" s="4" t="n">
        <x:f>IF('계산 과정'!$L$5,'계산 과정'!$L$11*SQRT((A1783+0.5)/'계산 과정'!$L$30),"")</x:f>
        <x:v>139.74332986653602</x:v>
      </x:c>
      <x:c r="C1783" s="4" t="n">
        <x:f>A1783*PI()*(3-SQRT(5))</x:f>
        <x:v>4264.734659227815</x:v>
      </x:c>
      <x:c r="D1783" s="4" t="n">
        <x:f>IF('계산 과정'!$L$5,B1783*COS(C1783),"")</x:f>
        <x:v>3.1623982177562873</x:v>
      </x:c>
      <x:c r="E1783" s="4" t="n">
        <x:f>IF('계산 과정'!$L$5,B1783*SIN(C1783),"")</x:f>
        <x:v>-139.70754267289877</x:v>
      </x:c>
      <x:c r="F1783" s="4" t="n">
        <x:f>IF('계산 과정'!$L$7,'계산 과정'!$L$22+'계산 과정'!$C$49*D1783+'계산 과정'!$D$49*E1783,"")</x:f>
        <x:v>647.7638467754123</x:v>
      </x:c>
      <x:c r="G1783" s="4" t="n">
        <x:f>IF('계산 과정'!$L$7,IF(ABS(F1783)&gt;=1E-12*MAX(1,SQRT((D1783-'계산 과정'!$C$33)^2+(E1783-'계산 과정'!$D$33)^2+'계산 과정'!$E$33^2)),('계산 과정'!$L$23-'계산 과정'!$C$49*D1783-'계산 과정'!$D$49*E1783)/F1783,""),"")</x:f>
        <x:v>0.6209611036906911</x:v>
      </x:c>
      <x:c r="H1783" s="4" t="n">
        <x:f>IF(AND(ISNUMBER(G1783),G1783&gt;0),('계산 과정'!$D$56+'계산 과정'!$D$57*D1783+'계산 과정'!$D$58*E1783)/F1783,"")</x:f>
        <x:v>3.6247173989491004</x:v>
      </x:c>
      <x:c r="I1783" s="4" t="n">
        <x:f>IF(AND(ISNUMBER(G1783),G1783&gt;0),('계산 과정'!$E$56+'계산 과정'!$E$57*D1783+'계산 과정'!$E$58*E1783)/F1783,"")</x:f>
        <x:v>-226.4604925649763</x:v>
      </x:c>
      <x:c r="J1783" s="4" t="n">
        <x:f>IF('계산 과정'!$L$5,'계산 과정'!$D$6+'계산 과정'!$C$35*D1783+'계산 과정'!$D$35*E1783,"")</x:f>
        <x:v>647.7638467754123</x:v>
      </x:c>
      <x:c r="K1783" s="4" t="n">
        <x:f>IF(AND('계산 과정'!$L$6,J1783&gt;0),'계산 과정'!$D$10*('계산 과정'!$C$38*(D1783-'계산 과정'!$C$32)+'계산 과정'!$D$38*(E1783-'계산 과정'!$D$32)-'계산 과정'!$E$38*'계산 과정'!$E$32)/J1783,"")</x:f>
        <x:v>0.027616894468184498</x:v>
      </x:c>
      <x:c r="L1783" s="4" t="n">
        <x:f>IF(AND('계산 과정'!$L$6,J1783&gt;0),'계산 과정'!$D$10*('계산 과정'!$C$39*(D1783-'계산 과정'!$C$32)+'계산 과정'!$D$39*(E1783-'계산 과정'!$D$32)-'계산 과정'!$E$39*'계산 과정'!$E$32)/J1783,"")</x:f>
        <x:v>-1.725413276685534</x:v>
      </x:c>
      <x:c r="M1783" s="17" t="n">
        <x:f>IF('계산 과정'!$L$6,IF(J1783&lt;=0,0,IF(AND(ABS(K1783)&lt;='계산 과정'!$D$11/2,ABS(L1783)&lt;='계산 과정'!$D$12/2),1,0)),"")</x:f>
        <x:v>1</x:v>
      </x:c>
      <x:c r="N1783" s="17" t="n">
        <x:f>IF('계산 과정'!$C$78,IF(AND(ISNUMBER(H1783),ISNUMBER(I1783),ABS(H1783-'계산 과정'!$C$88)&lt;='계산 과정'!$D$23/2,ABS(I1783-'계산 과정'!$C$89)&lt;='계산 과정'!$D$24/2),1,0),"")</x:f>
        <x:v>1</x:v>
      </x:c>
      <x:c r="O1783" s="4" t="n">
        <x:f>IF('계산 과정'!$L$7,'계산 과정'!$C$49*('계산 과정'!$C$32-D1783)+'계산 과정'!$D$49*('계산 과정'!$D$32-E1783)+'계산 과정'!$E$49*'계산 과정'!$E$32,"")</x:f>
        <x:v>2.236153224587838</x:v>
      </x:c>
      <x:c r="P1783" s="4" t="n">
        <x:f>IF(AND('계산 과정'!$L$7,O1783&lt;&gt;0),('계산 과정'!$L$23-'계산 과정'!$C$49*D1783-'계산 과정'!$D$49*E1783)/O1783,"")</x:f>
        <x:v>179.87861869292382</x:v>
      </x:c>
      <x:c r="Q1783" s="4" t="str">
        <x:f>IF(AND(ISNUMBER(P1783),P1783&gt;1E-9,P1783&lt;1-1E-9),'계산 과정'!$C$47*(D1783-'계산 과정'!$C$50+P1783*('계산 과정'!$C$32-D1783))+'계산 과정'!$D$47*(E1783-'계산 과정'!$D$50+P1783*('계산 과정'!$D$32-E1783))+'계산 과정'!$E$47*(0-'계산 과정'!$E$50+P1783*('계산 과정'!$E$32-0)),"")</x:f>
      </x:c>
      <x:c r="R1783" s="4" t="str">
        <x:f>IF(AND(ISNUMBER(P1783),P1783&gt;1E-9,P1783&lt;1-1E-9),'계산 과정'!$C$48*(D1783-'계산 과정'!$C$50+P1783*('계산 과정'!$C$32-D1783))+'계산 과정'!$D$48*(E1783-'계산 과정'!$D$50+P1783*('계산 과정'!$D$32-E1783))+'계산 과정'!$E$48*(0-'계산 과정'!$E$50+P1783*('계산 과정'!$E$32-0)),"")</x:f>
      </x:c>
      <x:c r="S1783" s="17" t="n">
        <x:f>IF('계산 과정'!$C$78,IF(AND(ISNUMBER(Q1783),ISNUMBER(R1783),ABS(Q1783-'계산 과정'!$C$88)&lt;='계산 과정'!$D$23/2,ABS(R1783-'계산 과정'!$C$89)&lt;='계산 과정'!$D$24/2),1,0),"")</x:f>
        <x:v>0</x:v>
      </x:c>
      <x:c r="T1783" s="4"/>
      <x:c r="U1783" s="4"/>
      <x:c r="V1783" s="4"/>
      <x:c r="W1783" s="4"/>
      <x:c r="X1783" s="4"/>
      <x:c r="Y1783" s="4"/>
      <x:c r="Z1783" s="4"/>
    </x:row>
    <x:row r="1784" ht="23" customHeight="1">
      <x:c r="A1784" s="17" t="n">
        <x:f>ROW()-6</x:f>
        <x:v>1778</x:v>
      </x:c>
      <x:c r="B1784" s="4" t="n">
        <x:f>IF('계산 과정'!$L$5,'계산 과정'!$L$11*SQRT((A1784+0.5)/'계산 과정'!$L$30),"")</x:f>
        <x:v>139.78263329295416</x:v>
      </x:c>
      <x:c r="C1784" s="4" t="n">
        <x:f>A1784*PI()*(3-SQRT(5))</x:f>
        <x:v>4267.1346224575445</x:v>
      </x:c>
      <x:c r="D1784" s="4" t="n">
        <x:f>IF('계산 과정'!$L$5,B1784*COS(C1784),"")</x:f>
        <x:v>92.06512152461397</x:v>
      </x:c>
      <x:c r="E1784" s="4" t="n">
        <x:f>IF('계산 과정'!$L$5,B1784*SIN(C1784),"")</x:f>
        <x:v>105.18173781113602</x:v>
      </x:c>
      <x:c r="F1784" s="4" t="n">
        <x:f>IF('계산 과정'!$L$7,'계산 과정'!$L$22+'계산 과정'!$C$49*D1784+'계산 과정'!$D$49*E1784,"")</x:f>
        <x:v>584.9001282591819</x:v>
      </x:c>
      <x:c r="G1784" s="4" t="n">
        <x:f>IF('계산 과정'!$L$7,IF(ABS(F1784)&gt;=1E-12*MAX(1,SQRT((D1784-'계산 과정'!$C$33)^2+(E1784-'계산 과정'!$D$33)^2+'계산 과정'!$E$33^2)),('계산 과정'!$L$23-'계산 과정'!$C$49*D1784-'계산 과정'!$D$49*E1784)/F1784,""),"")</x:f>
        <x:v>0.7951782693655391</x:v>
      </x:c>
      <x:c r="H1784" s="4" t="n">
        <x:f>IF(AND(ISNUMBER(G1784),G1784&gt;0),('계산 과정'!$D$56+'계산 과정'!$D$57*D1784+'계산 과정'!$D$58*E1784)/F1784,"")</x:f>
        <x:v>116.86587508760033</x:v>
      </x:c>
      <x:c r="I1784" s="4" t="n">
        <x:f>IF(AND(ISNUMBER(G1784),G1784&gt;0),('계산 과정'!$E$56+'계산 과정'!$E$57*D1784+'계산 과정'!$E$58*E1784)/F1784,"")</x:f>
        <x:v>188.81997005265504</x:v>
      </x:c>
      <x:c r="J1784" s="4" t="n">
        <x:f>IF('계산 과정'!$L$5,'계산 과정'!$D$6+'계산 과정'!$C$35*D1784+'계산 과정'!$D$35*E1784,"")</x:f>
        <x:v>584.9001282591819</x:v>
      </x:c>
      <x:c r="K1784" s="4" t="n">
        <x:f>IF(AND('계산 과정'!$L$6,J1784&gt;0),'계산 과정'!$D$10*('계산 과정'!$C$38*(D1784-'계산 과정'!$C$32)+'계산 과정'!$D$38*(E1784-'계산 과정'!$D$32)-'계산 과정'!$E$38*'계산 과정'!$E$32)/J1784,"")</x:f>
        <x:v>0.8904066673340986</x:v>
      </x:c>
      <x:c r="L1784" s="4" t="n">
        <x:f>IF(AND('계산 과정'!$L$6,J1784&gt;0),'계산 과정'!$D$10*('계산 과정'!$C$39*(D1784-'계산 과정'!$C$32)+'계산 과정'!$D$39*(E1784-'계산 과정'!$D$32)-'계산 과정'!$E$39*'계산 과정'!$E$32)/J1784,"")</x:f>
        <x:v>1.4386283432583242</x:v>
      </x:c>
      <x:c r="M1784" s="17" t="n">
        <x:f>IF('계산 과정'!$L$6,IF(J1784&lt;=0,0,IF(AND(ABS(K1784)&lt;='계산 과정'!$D$11/2,ABS(L1784)&lt;='계산 과정'!$D$12/2),1,0)),"")</x:f>
        <x:v>1</x:v>
      </x:c>
      <x:c r="N1784" s="17" t="n">
        <x:f>IF('계산 과정'!$C$78,IF(AND(ISNUMBER(H1784),ISNUMBER(I1784),ABS(H1784-'계산 과정'!$C$88)&lt;='계산 과정'!$D$23/2,ABS(I1784-'계산 과정'!$C$89)&lt;='계산 과정'!$D$24/2),1,0),"")</x:f>
        <x:v>1</x:v>
      </x:c>
      <x:c r="O1784" s="4" t="n">
        <x:f>IF('계산 과정'!$L$7,'계산 과정'!$C$49*('계산 과정'!$C$32-D1784)+'계산 과정'!$D$49*('계산 과정'!$D$32-E1784)+'계산 과정'!$E$49*'계산 과정'!$E$32,"")</x:f>
        <x:v>65.09987174081823</x:v>
      </x:c>
      <x:c r="P1784" s="4" t="n">
        <x:f>IF(AND('계산 과정'!$L$7,O1784&lt;&gt;0),('계산 과정'!$L$23-'계산 과정'!$C$49*D1784-'계산 과정'!$D$49*E1784)/O1784,"")</x:f>
        <x:v>7.144405346795732</x:v>
      </x:c>
      <x:c r="Q1784" s="4" t="str">
        <x:f>IF(AND(ISNUMBER(P1784),P1784&gt;1E-9,P1784&lt;1-1E-9),'계산 과정'!$C$47*(D1784-'계산 과정'!$C$50+P1784*('계산 과정'!$C$32-D1784))+'계산 과정'!$D$47*(E1784-'계산 과정'!$D$50+P1784*('계산 과정'!$D$32-E1784))+'계산 과정'!$E$47*(0-'계산 과정'!$E$50+P1784*('계산 과정'!$E$32-0)),"")</x:f>
      </x:c>
      <x:c r="R1784" s="4" t="str">
        <x:f>IF(AND(ISNUMBER(P1784),P1784&gt;1E-9,P1784&lt;1-1E-9),'계산 과정'!$C$48*(D1784-'계산 과정'!$C$50+P1784*('계산 과정'!$C$32-D1784))+'계산 과정'!$D$48*(E1784-'계산 과정'!$D$50+P1784*('계산 과정'!$D$32-E1784))+'계산 과정'!$E$48*(0-'계산 과정'!$E$50+P1784*('계산 과정'!$E$32-0)),"")</x:f>
      </x:c>
      <x:c r="S1784" s="17" t="n">
        <x:f>IF('계산 과정'!$C$78,IF(AND(ISNUMBER(Q1784),ISNUMBER(R1784),ABS(Q1784-'계산 과정'!$C$88)&lt;='계산 과정'!$D$23/2,ABS(R1784-'계산 과정'!$C$89)&lt;='계산 과정'!$D$24/2),1,0),"")</x:f>
        <x:v>0</x:v>
      </x:c>
      <x:c r="T1784" s="4"/>
      <x:c r="U1784" s="4"/>
      <x:c r="V1784" s="4"/>
      <x:c r="W1784" s="4"/>
      <x:c r="X1784" s="4"/>
      <x:c r="Y1784" s="4"/>
      <x:c r="Z1784" s="4"/>
    </x:row>
    <x:row r="1785" ht="23" customHeight="1">
      <x:c r="A1785" s="17" t="n">
        <x:f>ROW()-6</x:f>
        <x:v>1779</x:v>
      </x:c>
      <x:c r="B1785" s="4" t="n">
        <x:f>IF('계산 과정'!$L$5,'계산 과정'!$L$11*SQRT((A1785+0.5)/'계산 과정'!$L$30),"")</x:f>
        <x:v>139.8219256713249</x:v>
      </x:c>
      <x:c r="C1785" s="4" t="n">
        <x:f>A1785*PI()*(3-SQRT(5))</x:f>
        <x:v>4269.534585687274</x:v>
      </x:c>
      <x:c r="D1785" s="4" t="n">
        <x:f>IF('계산 과정'!$L$5,B1785*COS(C1785),"")</x:f>
        <x:v>-138.9742525612966</x:v>
      </x:c>
      <x:c r="E1785" s="4" t="n">
        <x:f>IF('계산 과정'!$L$5,B1785*SIN(C1785),"")</x:f>
        <x:v>-15.37296404296999</x:v>
      </x:c>
      <x:c r="F1785" s="4" t="n">
        <x:f>IF('계산 과정'!$L$7,'계산 과정'!$L$22+'계산 과정'!$C$49*D1785+'계산 과정'!$D$49*E1785,"")</x:f>
        <x:v>748.2696363964247</x:v>
      </x:c>
      <x:c r="G1785" s="4" t="n">
        <x:f>IF('계산 과정'!$L$7,IF(ABS(F1785)&gt;=1E-12*MAX(1,SQRT((D1785-'계산 과정'!$C$33)^2+(E1785-'계산 과정'!$D$33)^2+'계산 과정'!$E$33^2)),('계산 과정'!$L$23-'계산 과정'!$C$49*D1785-'계산 과정'!$D$49*E1785)/F1785,""),"")</x:f>
        <x:v>0.40323748142002913</x:v>
      </x:c>
      <x:c r="H1785" s="4" t="n">
        <x:f>IF(AND(ISNUMBER(G1785),G1785&gt;0),('계산 과정'!$D$56+'계산 과정'!$D$57*D1785+'계산 과정'!$D$58*E1785)/F1785,"")</x:f>
        <x:v>-137.89563707698122</x:v>
      </x:c>
      <x:c r="I1785" s="4" t="n">
        <x:f>IF(AND(ISNUMBER(G1785),G1785&gt;0),('계산 과정'!$E$56+'계산 과정'!$E$57*D1785+'계산 과정'!$E$58*E1785)/F1785,"")</x:f>
        <x:v>-21.571919345617875</x:v>
      </x:c>
      <x:c r="J1785" s="4" t="n">
        <x:f>IF('계산 과정'!$L$5,'계산 과정'!$D$6+'계산 과정'!$C$35*D1785+'계산 과정'!$D$35*E1785,"")</x:f>
        <x:v>748.2696363964247</x:v>
      </x:c>
      <x:c r="K1785" s="4" t="n">
        <x:f>IF(AND('계산 과정'!$L$6,J1785&gt;0),'계산 과정'!$D$10*('계산 과정'!$C$38*(D1785-'계산 과정'!$C$32)+'계산 과정'!$D$38*(E1785-'계산 과정'!$D$32)-'계산 과정'!$E$38*'계산 과정'!$E$32)/J1785,"")</x:f>
        <x:v>-1.0506334253484273</x:v>
      </x:c>
      <x:c r="L1785" s="4" t="n">
        <x:f>IF(AND('계산 과정'!$L$6,J1785&gt;0),'계산 과정'!$D$10*('계산 과정'!$C$39*(D1785-'계산 과정'!$C$32)+'계산 과정'!$D$39*(E1785-'계산 과정'!$D$32)-'계산 과정'!$E$39*'계산 과정'!$E$32)/J1785,"")</x:f>
        <x:v>-0.16435748072851716</x:v>
      </x:c>
      <x:c r="M1785" s="17" t="n">
        <x:f>IF('계산 과정'!$L$6,IF(J1785&lt;=0,0,IF(AND(ABS(K1785)&lt;='계산 과정'!$D$11/2,ABS(L1785)&lt;='계산 과정'!$D$12/2),1,0)),"")</x:f>
        <x:v>1</x:v>
      </x:c>
      <x:c r="N1785" s="17" t="n">
        <x:f>IF('계산 과정'!$C$78,IF(AND(ISNUMBER(H1785),ISNUMBER(I1785),ABS(H1785-'계산 과정'!$C$88)&lt;='계산 과정'!$D$23/2,ABS(I1785-'계산 과정'!$C$89)&lt;='계산 과정'!$D$24/2),1,0),"")</x:f>
        <x:v>1</x:v>
      </x:c>
      <x:c r="O1785" s="4" t="n">
        <x:f>IF('계산 과정'!$L$7,'계산 과정'!$C$49*('계산 과정'!$C$32-D1785)+'계산 과정'!$D$49*('계산 과정'!$D$32-E1785)+'계산 과정'!$E$49*'계산 과정'!$E$32,"")</x:f>
        <x:v>-98.26963639642457</x:v>
      </x:c>
      <x:c r="P1785" s="4" t="n">
        <x:f>IF(AND('계산 과정'!$L$7,O1785&lt;&gt;0),('계산 과정'!$L$23-'계산 과정'!$C$49*D1785-'계산 과정'!$D$49*E1785)/O1785,"")</x:f>
        <x:v>-3.070433296266408</x:v>
      </x:c>
      <x:c r="Q1785" s="4" t="str">
        <x:f>IF(AND(ISNUMBER(P1785),P1785&gt;1E-9,P1785&lt;1-1E-9),'계산 과정'!$C$47*(D1785-'계산 과정'!$C$50+P1785*('계산 과정'!$C$32-D1785))+'계산 과정'!$D$47*(E1785-'계산 과정'!$D$50+P1785*('계산 과정'!$D$32-E1785))+'계산 과정'!$E$47*(0-'계산 과정'!$E$50+P1785*('계산 과정'!$E$32-0)),"")</x:f>
      </x:c>
      <x:c r="R1785" s="4" t="str">
        <x:f>IF(AND(ISNUMBER(P1785),P1785&gt;1E-9,P1785&lt;1-1E-9),'계산 과정'!$C$48*(D1785-'계산 과정'!$C$50+P1785*('계산 과정'!$C$32-D1785))+'계산 과정'!$D$48*(E1785-'계산 과정'!$D$50+P1785*('계산 과정'!$D$32-E1785))+'계산 과정'!$E$48*(0-'계산 과정'!$E$50+P1785*('계산 과정'!$E$32-0)),"")</x:f>
      </x:c>
      <x:c r="S1785" s="17" t="n">
        <x:f>IF('계산 과정'!$C$78,IF(AND(ISNUMBER(Q1785),ISNUMBER(R1785),ABS(Q1785-'계산 과정'!$C$88)&lt;='계산 과정'!$D$23/2,ABS(R1785-'계산 과정'!$C$89)&lt;='계산 과정'!$D$24/2),1,0),"")</x:f>
        <x:v>0</x:v>
      </x:c>
      <x:c r="T1785" s="4"/>
      <x:c r="U1785" s="4"/>
      <x:c r="V1785" s="4"/>
      <x:c r="W1785" s="4"/>
      <x:c r="X1785" s="4"/>
      <x:c r="Y1785" s="4"/>
      <x:c r="Z1785" s="4"/>
    </x:row>
    <x:row r="1786" ht="23" customHeight="1">
      <x:c r="A1786" s="17" t="n">
        <x:f>ROW()-6</x:f>
        <x:v>1780</x:v>
      </x:c>
      <x:c r="B1786" s="4" t="n">
        <x:f>IF('계산 과정'!$L$5,'계산 과정'!$L$11*SQRT((A1786+0.5)/'계산 과정'!$L$30),"")</x:f>
        <x:v>139.86120701095962</x:v>
      </x:c>
      <x:c r="C1786" s="4" t="n">
        <x:f>A1786*PI()*(3-SQRT(5))</x:f>
        <x:v>4271.934548917002</x:v>
      </x:c>
      <x:c r="D1786" s="4" t="n">
        <x:f>IF('계산 과정'!$L$5,B1786*COS(C1786),"")</x:f>
        <x:v>112.89128327999961</x:v>
      </x:c>
      <x:c r="E1786" s="4" t="n">
        <x:f>IF('계산 과정'!$L$5,B1786*SIN(C1786),"")</x:f>
        <x:v>-82.56340221888497</x:v>
      </x:c>
      <x:c r="F1786" s="4" t="n">
        <x:f>IF('계산 과정'!$L$7,'계산 과정'!$L$22+'계산 과정'!$C$49*D1786+'계산 과정'!$D$49*E1786,"")</x:f>
        <x:v>570.1738080558607</x:v>
      </x:c>
      <x:c r="G1786" s="4" t="n">
        <x:f>IF('계산 과정'!$L$7,IF(ABS(F1786)&gt;=1E-12*MAX(1,SQRT((D1786-'계산 과정'!$C$33)^2+(E1786-'계산 과정'!$D$33)^2+'계산 과정'!$E$33^2)),('계산 과정'!$L$23-'계산 과정'!$C$49*D1786-'계산 과정'!$D$49*E1786)/F1786,""),"")</x:f>
        <x:v>0.8415437278331277</x:v>
      </x:c>
      <x:c r="H1786" s="4" t="n">
        <x:f>IF(AND(ISNUMBER(G1786),G1786&gt;0),('계산 과정'!$D$56+'계산 과정'!$D$57*D1786+'계산 과정'!$D$58*E1786)/F1786,"")</x:f>
        <x:v>147.00342309153288</x:v>
      </x:c>
      <x:c r="I1786" s="4" t="n">
        <x:f>IF(AND(ISNUMBER(G1786),G1786&gt;0),('계산 과정'!$E$56+'계산 과정'!$E$57*D1786+'계산 과정'!$E$58*E1786)/F1786,"")</x:f>
        <x:v>-152.04411550475137</x:v>
      </x:c>
      <x:c r="J1786" s="4" t="n">
        <x:f>IF('계산 과정'!$L$5,'계산 과정'!$D$6+'계산 과정'!$C$35*D1786+'계산 과정'!$D$35*E1786,"")</x:f>
        <x:v>570.1738080558607</x:v>
      </x:c>
      <x:c r="K1786" s="4" t="n">
        <x:f>IF(AND('계산 과정'!$L$6,J1786&gt;0),'계산 과정'!$D$10*('계산 과정'!$C$38*(D1786-'계산 과정'!$C$32)+'계산 과정'!$D$38*(E1786-'계산 과정'!$D$32)-'계산 과정'!$E$38*'계산 과정'!$E$32)/J1786,"")</x:f>
        <x:v>1.1200260806973938</x:v>
      </x:c>
      <x:c r="L1786" s="4" t="n">
        <x:f>IF(AND('계산 과정'!$L$6,J1786&gt;0),'계산 과정'!$D$10*('계산 과정'!$C$39*(D1786-'계산 과정'!$C$32)+'계산 과정'!$D$39*(E1786-'계산 과정'!$D$32)-'계산 과정'!$E$39*'계산 과정'!$E$32)/J1786,"")</x:f>
        <x:v>-1.158431356226677</x:v>
      </x:c>
      <x:c r="M1786" s="17" t="n">
        <x:f>IF('계산 과정'!$L$6,IF(J1786&lt;=0,0,IF(AND(ABS(K1786)&lt;='계산 과정'!$D$11/2,ABS(L1786)&lt;='계산 과정'!$D$12/2),1,0)),"")</x:f>
        <x:v>1</x:v>
      </x:c>
      <x:c r="N1786" s="17" t="n">
        <x:f>IF('계산 과정'!$C$78,IF(AND(ISNUMBER(H1786),ISNUMBER(I1786),ABS(H1786-'계산 과정'!$C$88)&lt;='계산 과정'!$D$23/2,ABS(I1786-'계산 과정'!$C$89)&lt;='계산 과정'!$D$24/2),1,0),"")</x:f>
        <x:v>1</x:v>
      </x:c>
      <x:c r="O1786" s="4" t="n">
        <x:f>IF('계산 과정'!$L$7,'계산 과정'!$C$49*('계산 과정'!$C$32-D1786)+'계산 과정'!$D$49*('계산 과정'!$D$32-E1786)+'계산 과정'!$E$49*'계산 과정'!$E$32,"")</x:f>
        <x:v>79.82619194413931</x:v>
      </x:c>
      <x:c r="P1786" s="4" t="n">
        <x:f>IF(AND('계산 과정'!$L$7,O1786&lt;&gt;0),('계산 과정'!$L$23-'계산 과정'!$C$49*D1786-'계산 과정'!$D$49*E1786)/O1786,"")</x:f>
        <x:v>6.010886655847388</x:v>
      </x:c>
      <x:c r="Q1786" s="4" t="str">
        <x:f>IF(AND(ISNUMBER(P1786),P1786&gt;1E-9,P1786&lt;1-1E-9),'계산 과정'!$C$47*(D1786-'계산 과정'!$C$50+P1786*('계산 과정'!$C$32-D1786))+'계산 과정'!$D$47*(E1786-'계산 과정'!$D$50+P1786*('계산 과정'!$D$32-E1786))+'계산 과정'!$E$47*(0-'계산 과정'!$E$50+P1786*('계산 과정'!$E$32-0)),"")</x:f>
      </x:c>
      <x:c r="R1786" s="4" t="str">
        <x:f>IF(AND(ISNUMBER(P1786),P1786&gt;1E-9,P1786&lt;1-1E-9),'계산 과정'!$C$48*(D1786-'계산 과정'!$C$50+P1786*('계산 과정'!$C$32-D1786))+'계산 과정'!$D$48*(E1786-'계산 과정'!$D$50+P1786*('계산 과정'!$D$32-E1786))+'계산 과정'!$E$48*(0-'계산 과정'!$E$50+P1786*('계산 과정'!$E$32-0)),"")</x:f>
      </x:c>
      <x:c r="S1786" s="17" t="n">
        <x:f>IF('계산 과정'!$C$78,IF(AND(ISNUMBER(Q1786),ISNUMBER(R1786),ABS(Q1786-'계산 과정'!$C$88)&lt;='계산 과정'!$D$23/2,ABS(R1786-'계산 과정'!$C$89)&lt;='계산 과정'!$D$24/2),1,0),"")</x:f>
        <x:v>0</x:v>
      </x:c>
      <x:c r="T1786" s="4"/>
      <x:c r="U1786" s="4"/>
      <x:c r="V1786" s="4"/>
      <x:c r="W1786" s="4"/>
      <x:c r="X1786" s="4"/>
      <x:c r="Y1786" s="4"/>
      <x:c r="Z1786" s="4"/>
    </x:row>
    <x:row r="1787" ht="23" customHeight="1">
      <x:c r="A1787" s="17" t="n">
        <x:f>ROW()-6</x:f>
        <x:v>1781</x:v>
      </x:c>
      <x:c r="B1787" s="4" t="n">
        <x:f>IF('계산 과정'!$L$5,'계산 과정'!$L$11*SQRT((A1787+0.5)/'계산 과정'!$L$30),"")</x:f>
        <x:v>139.90047732115676</x:v>
      </x:c>
      <x:c r="C1787" s="4" t="n">
        <x:f>A1787*PI()*(3-SQRT(5))</x:f>
        <x:v>4274.334512146731</x:v>
      </x:c>
      <x:c r="D1787" s="4" t="n">
        <x:f>IF('계산 과정'!$L$5,B1787*COS(C1787),"")</x:f>
        <x:v>-27.47945556853021</x:v>
      </x:c>
      <x:c r="E1787" s="4" t="n">
        <x:f>IF('계산 과정'!$L$5,B1787*SIN(C1787),"")</x:f>
        <x:v>137.17515473417433</x:v>
      </x:c>
      <x:c r="F1787" s="4" t="n">
        <x:f>IF('계산 과정'!$L$7,'계산 과정'!$L$22+'계산 과정'!$C$49*D1787+'계산 과정'!$D$49*E1787,"")</x:f>
        <x:v>669.4309093758221</x:v>
      </x:c>
      <x:c r="G1787" s="4" t="n">
        <x:f>IF('계산 과정'!$L$7,IF(ABS(F1787)&gt;=1E-12*MAX(1,SQRT((D1787-'계산 과정'!$C$33)^2+(E1787-'계산 과정'!$D$33)^2+'계산 과정'!$E$33^2)),('계산 과정'!$L$23-'계산 과정'!$C$49*D1787-'계산 과정'!$D$49*E1787)/F1787,""),"")</x:f>
        <x:v>0.5684964427158298</x:v>
      </x:c>
      <x:c r="H1787" s="4" t="n">
        <x:f>IF(AND(ISNUMBER(G1787),G1787&gt;0),('계산 과정'!$D$56+'계산 과정'!$D$57*D1787+'계산 과정'!$D$58*E1787)/F1787,"")</x:f>
        <x:v>-30.477312234710816</x:v>
      </x:c>
      <x:c r="I1787" s="4" t="n">
        <x:f>IF(AND(ISNUMBER(G1787),G1787&gt;0),('계산 과정'!$E$56+'계산 과정'!$E$57*D1787+'계산 과정'!$E$58*E1787)/F1787,"")</x:f>
        <x:v>215.15874222954596</x:v>
      </x:c>
      <x:c r="J1787" s="4" t="n">
        <x:f>IF('계산 과정'!$L$5,'계산 과정'!$D$6+'계산 과정'!$C$35*D1787+'계산 과정'!$D$35*E1787,"")</x:f>
        <x:v>669.4309093758221</x:v>
      </x:c>
      <x:c r="K1787" s="4" t="n">
        <x:f>IF(AND('계산 과정'!$L$6,J1787&gt;0),'계산 과정'!$D$10*('계산 과정'!$C$38*(D1787-'계산 과정'!$C$32)+'계산 과정'!$D$38*(E1787-'계산 과정'!$D$32)-'계산 과정'!$E$38*'계산 과정'!$E$32)/J1787,"")</x:f>
        <x:v>-0.2322080932168432</x:v>
      </x:c>
      <x:c r="L1787" s="4" t="n">
        <x:f>IF(AND('계산 과정'!$L$6,J1787&gt;0),'계산 과정'!$D$10*('계산 과정'!$C$39*(D1787-'계산 과정'!$C$32)+'계산 과정'!$D$39*(E1787-'계산 과정'!$D$32)-'계산 과정'!$E$39*'계산 과정'!$E$32)/J1787,"")</x:f>
        <x:v>1.6393047027013024</x:v>
      </x:c>
      <x:c r="M1787" s="17" t="n">
        <x:f>IF('계산 과정'!$L$6,IF(J1787&lt;=0,0,IF(AND(ABS(K1787)&lt;='계산 과정'!$D$11/2,ABS(L1787)&lt;='계산 과정'!$D$12/2),1,0)),"")</x:f>
        <x:v>1</x:v>
      </x:c>
      <x:c r="N1787" s="17" t="n">
        <x:f>IF('계산 과정'!$C$78,IF(AND(ISNUMBER(H1787),ISNUMBER(I1787),ABS(H1787-'계산 과정'!$C$88)&lt;='계산 과정'!$D$23/2,ABS(I1787-'계산 과정'!$C$89)&lt;='계산 과정'!$D$24/2),1,0),"")</x:f>
        <x:v>1</x:v>
      </x:c>
      <x:c r="O1787" s="4" t="n">
        <x:f>IF('계산 과정'!$L$7,'계산 과정'!$C$49*('계산 과정'!$C$32-D1787)+'계산 과정'!$D$49*('계산 과정'!$D$32-E1787)+'계산 과정'!$E$49*'계산 과정'!$E$32,"")</x:f>
        <x:v>-19.43090937582207</x:v>
      </x:c>
      <x:c r="P1787" s="4" t="n">
        <x:f>IF(AND('계산 과정'!$L$7,O1787&lt;&gt;0),('계산 과정'!$L$23-'계산 과정'!$C$49*D1787-'계산 과정'!$D$49*E1787)/O1787,"")</x:f>
        <x:v>-19.585758096207325</x:v>
      </x:c>
      <x:c r="Q1787" s="4" t="str">
        <x:f>IF(AND(ISNUMBER(P1787),P1787&gt;1E-9,P1787&lt;1-1E-9),'계산 과정'!$C$47*(D1787-'계산 과정'!$C$50+P1787*('계산 과정'!$C$32-D1787))+'계산 과정'!$D$47*(E1787-'계산 과정'!$D$50+P1787*('계산 과정'!$D$32-E1787))+'계산 과정'!$E$47*(0-'계산 과정'!$E$50+P1787*('계산 과정'!$E$32-0)),"")</x:f>
      </x:c>
      <x:c r="R1787" s="4" t="str">
        <x:f>IF(AND(ISNUMBER(P1787),P1787&gt;1E-9,P1787&lt;1-1E-9),'계산 과정'!$C$48*(D1787-'계산 과정'!$C$50+P1787*('계산 과정'!$C$32-D1787))+'계산 과정'!$D$48*(E1787-'계산 과정'!$D$50+P1787*('계산 과정'!$D$32-E1787))+'계산 과정'!$E$48*(0-'계산 과정'!$E$50+P1787*('계산 과정'!$E$32-0)),"")</x:f>
      </x:c>
      <x:c r="S1787" s="17" t="n">
        <x:f>IF('계산 과정'!$C$78,IF(AND(ISNUMBER(Q1787),ISNUMBER(R1787),ABS(Q1787-'계산 과정'!$C$88)&lt;='계산 과정'!$D$23/2,ABS(R1787-'계산 과정'!$C$89)&lt;='계산 과정'!$D$24/2),1,0),"")</x:f>
        <x:v>0</x:v>
      </x:c>
      <x:c r="T1787" s="4"/>
      <x:c r="U1787" s="4"/>
      <x:c r="V1787" s="4"/>
      <x:c r="W1787" s="4"/>
      <x:c r="X1787" s="4"/>
      <x:c r="Y1787" s="4"/>
      <x:c r="Z1787" s="4"/>
    </x:row>
    <x:row r="1788" ht="23" customHeight="1">
      <x:c r="A1788" s="17" t="n">
        <x:f>ROW()-6</x:f>
        <x:v>1782</x:v>
      </x:c>
      <x:c r="B1788" s="4" t="n">
        <x:f>IF('계산 과정'!$L$5,'계산 과정'!$L$11*SQRT((A1788+0.5)/'계산 과정'!$L$30),"")</x:f>
        <x:v>139.93973661120168</x:v>
      </x:c>
      <x:c r="C1788" s="4" t="n">
        <x:f>A1788*PI()*(3-SQRT(5))</x:f>
        <x:v>4276.73447537646</x:v>
      </x:c>
      <x:c r="D1788" s="4" t="n">
        <x:f>IF('계산 과정'!$L$5,B1788*COS(C1788),"")</x:f>
        <x:v>-72.41830685433926</x:v>
      </x:c>
      <x:c r="E1788" s="4" t="n">
        <x:f>IF('계산 과정'!$L$5,B1788*SIN(C1788),"")</x:f>
        <x:v>-119.74438907591143</x:v>
      </x:c>
      <x:c r="F1788" s="4" t="n">
        <x:f>IF('계산 과정'!$L$7,'계산 과정'!$L$22+'계산 과정'!$C$49*D1788+'계산 과정'!$D$49*E1788,"")</x:f>
        <x:v>701.2074758587515</x:v>
      </x:c>
      <x:c r="G1788" s="4" t="n">
        <x:f>IF('계산 과정'!$L$7,IF(ABS(F1788)&gt;=1E-12*MAX(1,SQRT((D1788-'계산 과정'!$C$33)^2+(E1788-'계산 과정'!$D$33)^2+'계산 과정'!$E$33^2)),('계산 과정'!$L$23-'계산 과정'!$C$49*D1788-'계산 과정'!$D$49*E1788)/F1788,""),"")</x:f>
        <x:v>0.4974170073045654</x:v>
      </x:c>
      <x:c r="H1788" s="4" t="n">
        <x:f>IF(AND(ISNUMBER(G1788),G1788&gt;0),('계산 과정'!$D$56+'계산 과정'!$D$57*D1788+'계산 과정'!$D$58*E1788)/F1788,"")</x:f>
        <x:v>-76.67894525203262</x:v>
      </x:c>
      <x:c r="I1788" s="4" t="n">
        <x:f>IF(AND(ISNUMBER(G1788),G1788&gt;0),('계산 과정'!$E$56+'계산 과정'!$E$57*D1788+'계산 과정'!$E$58*E1788)/F1788,"")</x:f>
        <x:v>-179.30728473156478</x:v>
      </x:c>
      <x:c r="J1788" s="4" t="n">
        <x:f>IF('계산 과정'!$L$5,'계산 과정'!$D$6+'계산 과정'!$C$35*D1788+'계산 과정'!$D$35*E1788,"")</x:f>
        <x:v>701.2074758587515</x:v>
      </x:c>
      <x:c r="K1788" s="4" t="n">
        <x:f>IF(AND('계산 과정'!$L$6,J1788&gt;0),'계산 과정'!$D$10*('계산 과정'!$C$38*(D1788-'계산 과정'!$C$32)+'계산 과정'!$D$38*(E1788-'계산 과정'!$D$32)-'계산 과정'!$E$38*'계산 과정'!$E$32)/J1788,"")</x:f>
        <x:v>-0.5842205352535803</x:v>
      </x:c>
      <x:c r="L1788" s="4" t="n">
        <x:f>IF(AND('계산 과정'!$L$6,J1788&gt;0),'계산 과정'!$D$10*('계산 과정'!$C$39*(D1788-'계산 과정'!$C$32)+'계산 과정'!$D$39*(E1788-'계산 과정'!$D$32)-'계산 과정'!$E$39*'계산 과정'!$E$32)/J1788,"")</x:f>
        <x:v>-1.3661507408119222</x:v>
      </x:c>
      <x:c r="M1788" s="17" t="n">
        <x:f>IF('계산 과정'!$L$6,IF(J1788&lt;=0,0,IF(AND(ABS(K1788)&lt;='계산 과정'!$D$11/2,ABS(L1788)&lt;='계산 과정'!$D$12/2),1,0)),"")</x:f>
        <x:v>1</x:v>
      </x:c>
      <x:c r="N1788" s="17" t="n">
        <x:f>IF('계산 과정'!$C$78,IF(AND(ISNUMBER(H1788),ISNUMBER(I1788),ABS(H1788-'계산 과정'!$C$88)&lt;='계산 과정'!$D$23/2,ABS(I1788-'계산 과정'!$C$89)&lt;='계산 과정'!$D$24/2),1,0),"")</x:f>
        <x:v>1</x:v>
      </x:c>
      <x:c r="O1788" s="4" t="n">
        <x:f>IF('계산 과정'!$L$7,'계산 과정'!$C$49*('계산 과정'!$C$32-D1788)+'계산 과정'!$D$49*('계산 과정'!$D$32-E1788)+'계산 과정'!$E$49*'계산 과정'!$E$32,"")</x:f>
        <x:v>-51.207475858751366</x:v>
      </x:c>
      <x:c r="P1788" s="4" t="n">
        <x:f>IF(AND('계산 과정'!$L$7,O1788&lt;&gt;0),('계산 과정'!$L$23-'계산 과정'!$C$49*D1788-'계산 과정'!$D$49*E1788)/O1788,"")</x:f>
        <x:v>-6.811359441018801</x:v>
      </x:c>
      <x:c r="Q1788" s="4" t="str">
        <x:f>IF(AND(ISNUMBER(P1788),P1788&gt;1E-9,P1788&lt;1-1E-9),'계산 과정'!$C$47*(D1788-'계산 과정'!$C$50+P1788*('계산 과정'!$C$32-D1788))+'계산 과정'!$D$47*(E1788-'계산 과정'!$D$50+P1788*('계산 과정'!$D$32-E1788))+'계산 과정'!$E$47*(0-'계산 과정'!$E$50+P1788*('계산 과정'!$E$32-0)),"")</x:f>
      </x:c>
      <x:c r="R1788" s="4" t="str">
        <x:f>IF(AND(ISNUMBER(P1788),P1788&gt;1E-9,P1788&lt;1-1E-9),'계산 과정'!$C$48*(D1788-'계산 과정'!$C$50+P1788*('계산 과정'!$C$32-D1788))+'계산 과정'!$D$48*(E1788-'계산 과정'!$D$50+P1788*('계산 과정'!$D$32-E1788))+'계산 과정'!$E$48*(0-'계산 과정'!$E$50+P1788*('계산 과정'!$E$32-0)),"")</x:f>
      </x:c>
      <x:c r="S1788" s="17" t="n">
        <x:f>IF('계산 과정'!$C$78,IF(AND(ISNUMBER(Q1788),ISNUMBER(R1788),ABS(Q1788-'계산 과정'!$C$88)&lt;='계산 과정'!$D$23/2,ABS(R1788-'계산 과정'!$C$89)&lt;='계산 과정'!$D$24/2),1,0),"")</x:f>
        <x:v>0</x:v>
      </x:c>
      <x:c r="T1788" s="4"/>
      <x:c r="U1788" s="4"/>
      <x:c r="V1788" s="4"/>
      <x:c r="W1788" s="4"/>
      <x:c r="X1788" s="4"/>
      <x:c r="Y1788" s="4"/>
      <x:c r="Z1788" s="4"/>
    </x:row>
    <x:row r="1789" ht="23" customHeight="1">
      <x:c r="A1789" s="17" t="n">
        <x:f>ROW()-6</x:f>
        <x:v>1783</x:v>
      </x:c>
      <x:c r="B1789" s="4" t="n">
        <x:f>IF('계산 과정'!$L$5,'계산 과정'!$L$11*SQRT((A1789+0.5)/'계산 과정'!$L$30),"")</x:f>
        <x:v>139.97898489036666</x:v>
      </x:c>
      <x:c r="C1789" s="4" t="n">
        <x:f>A1789*PI()*(3-SQRT(5))</x:f>
        <x:v>4279.134438606188</x:v>
      </x:c>
      <x:c r="D1789" s="4" t="n">
        <x:f>IF('계산 과정'!$L$5,B1789*COS(C1789),"")</x:f>
        <x:v>134.32284066078248</x:v>
      </x:c>
      <x:c r="E1789" s="4" t="n">
        <x:f>IF('계산 과정'!$L$5,B1789*SIN(C1789),"")</x:f>
        <x:v>39.38896657384583</x:v>
      </x:c>
      <x:c r="F1789" s="4" t="n">
        <x:f>IF('계산 과정'!$L$7,'계산 과정'!$L$22+'계산 과정'!$C$49*D1789+'계산 과정'!$D$49*E1789,"")</x:f>
        <x:v>555.0194085005206</x:v>
      </x:c>
      <x:c r="G1789" s="4" t="n">
        <x:f>IF('계산 과정'!$L$7,IF(ABS(F1789)&gt;=1E-12*MAX(1,SQRT((D1789-'계산 과정'!$C$33)^2+(E1789-'계산 과정'!$D$33)^2+'계산 과정'!$E$33^2)),('계산 과정'!$L$23-'계산 과정'!$C$49*D1789-'계산 과정'!$D$49*E1789)/F1789,""),"")</x:f>
        <x:v>0.8918257342328869</x:v>
      </x:c>
      <x:c r="H1789" s="4" t="n">
        <x:f>IF(AND(ISNUMBER(G1789),G1789&gt;0),('계산 과정'!$D$56+'계산 과정'!$D$57*D1789+'계산 과정'!$D$58*E1789)/F1789,"")</x:f>
        <x:v>179.68672725137642</x:v>
      </x:c>
      <x:c r="I1789" s="4" t="n">
        <x:f>IF(AND(ISNUMBER(G1789),G1789&gt;0),('계산 과정'!$E$56+'계산 과정'!$E$57*D1789+'계산 과정'!$E$58*E1789)/F1789,"")</x:f>
        <x:v>74.51706060924052</x:v>
      </x:c>
      <x:c r="J1789" s="4" t="n">
        <x:f>IF('계산 과정'!$L$5,'계산 과정'!$D$6+'계산 과정'!$C$35*D1789+'계산 과정'!$D$35*E1789,"")</x:f>
        <x:v>555.0194085005206</x:v>
      </x:c>
      <x:c r="K1789" s="4" t="n">
        <x:f>IF(AND('계산 과정'!$L$6,J1789&gt;0),'계산 과정'!$D$10*('계산 과정'!$C$38*(D1789-'계산 과정'!$C$32)+'계산 과정'!$D$38*(E1789-'계산 과정'!$D$32)-'계산 과정'!$E$38*'계산 과정'!$E$32)/J1789,"")</x:f>
        <x:v>1.3690417314390595</x:v>
      </x:c>
      <x:c r="L1789" s="4" t="n">
        <x:f>IF(AND('계산 과정'!$L$6,J1789&gt;0),'계산 과정'!$D$10*('계산 과정'!$C$39*(D1789-'계산 과정'!$C$32)+'계산 과정'!$D$39*(E1789-'계산 과정'!$D$32)-'계산 과정'!$E$39*'계산 과정'!$E$32)/J1789,"")</x:f>
        <x:v>0.5677490332132611</x:v>
      </x:c>
      <x:c r="M1789" s="17" t="n">
        <x:f>IF('계산 과정'!$L$6,IF(J1789&lt;=0,0,IF(AND(ABS(K1789)&lt;='계산 과정'!$D$11/2,ABS(L1789)&lt;='계산 과정'!$D$12/2),1,0)),"")</x:f>
        <x:v>1</x:v>
      </x:c>
      <x:c r="N1789" s="17" t="n">
        <x:f>IF('계산 과정'!$C$78,IF(AND(ISNUMBER(H1789),ISNUMBER(I1789),ABS(H1789-'계산 과정'!$C$88)&lt;='계산 과정'!$D$23/2,ABS(I1789-'계산 과정'!$C$89)&lt;='계산 과정'!$D$24/2),1,0),"")</x:f>
        <x:v>1</x:v>
      </x:c>
      <x:c r="O1789" s="4" t="n">
        <x:f>IF('계산 과정'!$L$7,'계산 과정'!$C$49*('계산 과정'!$C$32-D1789)+'계산 과정'!$D$49*('계산 과정'!$D$32-E1789)+'계산 과정'!$E$49*'계산 과정'!$E$32,"")</x:f>
        <x:v>94.98059149947952</x:v>
      </x:c>
      <x:c r="P1789" s="4" t="n">
        <x:f>IF(AND('계산 과정'!$L$7,O1789&lt;&gt;0),('계산 과정'!$L$23-'계산 과정'!$C$49*D1789-'계산 과정'!$D$49*E1789)/O1789,"")</x:f>
        <x:v>5.211386702115788</x:v>
      </x:c>
      <x:c r="Q1789" s="4" t="str">
        <x:f>IF(AND(ISNUMBER(P1789),P1789&gt;1E-9,P1789&lt;1-1E-9),'계산 과정'!$C$47*(D1789-'계산 과정'!$C$50+P1789*('계산 과정'!$C$32-D1789))+'계산 과정'!$D$47*(E1789-'계산 과정'!$D$50+P1789*('계산 과정'!$D$32-E1789))+'계산 과정'!$E$47*(0-'계산 과정'!$E$50+P1789*('계산 과정'!$E$32-0)),"")</x:f>
      </x:c>
      <x:c r="R1789" s="4" t="str">
        <x:f>IF(AND(ISNUMBER(P1789),P1789&gt;1E-9,P1789&lt;1-1E-9),'계산 과정'!$C$48*(D1789-'계산 과정'!$C$50+P1789*('계산 과정'!$C$32-D1789))+'계산 과정'!$D$48*(E1789-'계산 과정'!$D$50+P1789*('계산 과정'!$D$32-E1789))+'계산 과정'!$E$48*(0-'계산 과정'!$E$50+P1789*('계산 과정'!$E$32-0)),"")</x:f>
      </x:c>
      <x:c r="S1789" s="17" t="n">
        <x:f>IF('계산 과정'!$C$78,IF(AND(ISNUMBER(Q1789),ISNUMBER(R1789),ABS(Q1789-'계산 과정'!$C$88)&lt;='계산 과정'!$D$23/2,ABS(R1789-'계산 과정'!$C$89)&lt;='계산 과정'!$D$24/2),1,0),"")</x:f>
        <x:v>0</x:v>
      </x:c>
      <x:c r="T1789" s="4"/>
      <x:c r="U1789" s="4"/>
      <x:c r="V1789" s="4"/>
      <x:c r="W1789" s="4"/>
      <x:c r="X1789" s="4"/>
      <x:c r="Y1789" s="4"/>
      <x:c r="Z1789" s="4"/>
    </x:row>
    <x:row r="1790" ht="23" customHeight="1">
      <x:c r="A1790" s="17" t="n">
        <x:f>ROW()-6</x:f>
        <x:v>1784</x:v>
      </x:c>
      <x:c r="B1790" s="4" t="n">
        <x:f>IF('계산 과정'!$L$5,'계산 과정'!$L$11*SQRT((A1790+0.5)/'계산 과정'!$L$30),"")</x:f>
        <x:v>140.01822216791106</x:v>
      </x:c>
      <x:c r="C1790" s="4" t="n">
        <x:f>A1790*PI()*(3-SQRT(5))</x:f>
        <x:v>4281.5344018359165</x:v>
      </x:c>
      <x:c r="D1790" s="4" t="n">
        <x:f>IF('계산 과정'!$L$5,B1790*COS(C1790),"")</x:f>
        <x:v>-125.6875683413063</x:v>
      </x:c>
      <x:c r="E1790" s="4" t="n">
        <x:f>IF('계산 과정'!$L$5,B1790*SIN(C1790),"")</x:f>
        <x:v>61.70686917606466</x:v>
      </x:c>
      <x:c r="F1790" s="4" t="n">
        <x:f>IF('계산 과정'!$L$7,'계산 과정'!$L$22+'계산 과정'!$C$49*D1790+'계산 과정'!$D$49*E1790,"")</x:f>
        <x:v>738.8745318849853</x:v>
      </x:c>
      <x:c r="G1790" s="4" t="n">
        <x:f>IF('계산 과정'!$L$7,IF(ABS(F1790)&gt;=1E-12*MAX(1,SQRT((D1790-'계산 과정'!$C$33)^2+(E1790-'계산 과정'!$D$33)^2+'계산 과정'!$E$33^2)),('계산 과정'!$L$23-'계산 과정'!$C$49*D1790-'계산 과정'!$D$49*E1790)/F1790,""),"")</x:f>
        <x:v>0.4210802439235314</x:v>
      </x:c>
      <x:c r="H1790" s="4" t="n">
        <x:f>IF(AND(ISNUMBER(G1790),G1790&gt;0),('계산 과정'!$D$56+'계산 과정'!$D$57*D1790+'계산 과정'!$D$58*E1790)/F1790,"")</x:f>
        <x:v>-126.29784144970472</x:v>
      </x:c>
      <x:c r="I1790" s="4" t="n">
        <x:f>IF(AND(ISNUMBER(G1790),G1790&gt;0),('계산 과정'!$E$56+'계산 과정'!$E$57*D1790+'계산 과정'!$E$58*E1790)/F1790,"")</x:f>
        <x:v>87.6904127004794</x:v>
      </x:c>
      <x:c r="J1790" s="4" t="n">
        <x:f>IF('계산 과정'!$L$5,'계산 과정'!$D$6+'계산 과정'!$C$35*D1790+'계산 과정'!$D$35*E1790,"")</x:f>
        <x:v>738.8745318849853</x:v>
      </x:c>
      <x:c r="K1790" s="4" t="n">
        <x:f>IF(AND('계산 과정'!$L$6,J1790&gt;0),'계산 과정'!$D$10*('계산 과정'!$C$38*(D1790-'계산 과정'!$C$32)+'계산 과정'!$D$38*(E1790-'계산 과정'!$D$32)-'계산 과정'!$E$38*'계산 과정'!$E$32)/J1790,"")</x:f>
        <x:v>-0.9622692681882252</x:v>
      </x:c>
      <x:c r="L1790" s="4" t="n">
        <x:f>IF(AND('계산 과정'!$L$6,J1790&gt;0),'계산 과정'!$D$10*('계산 과정'!$C$39*(D1790-'계산 과정'!$C$32)+'계산 과정'!$D$39*(E1790-'계산 과정'!$D$32)-'계산 과정'!$E$39*'계산 과정'!$E$32)/J1790,"")</x:f>
        <x:v>0.6681174300988907</x:v>
      </x:c>
      <x:c r="M1790" s="17" t="n">
        <x:f>IF('계산 과정'!$L$6,IF(J1790&lt;=0,0,IF(AND(ABS(K1790)&lt;='계산 과정'!$D$11/2,ABS(L1790)&lt;='계산 과정'!$D$12/2),1,0)),"")</x:f>
        <x:v>1</x:v>
      </x:c>
      <x:c r="N1790" s="17" t="n">
        <x:f>IF('계산 과정'!$C$78,IF(AND(ISNUMBER(H1790),ISNUMBER(I1790),ABS(H1790-'계산 과정'!$C$88)&lt;='계산 과정'!$D$23/2,ABS(I1790-'계산 과정'!$C$89)&lt;='계산 과정'!$D$24/2),1,0),"")</x:f>
        <x:v>1</x:v>
      </x:c>
      <x:c r="O1790" s="4" t="n">
        <x:f>IF('계산 과정'!$L$7,'계산 과정'!$C$49*('계산 과정'!$C$32-D1790)+'계산 과정'!$D$49*('계산 과정'!$D$32-E1790)+'계산 과정'!$E$49*'계산 과정'!$E$32,"")</x:f>
        <x:v>-88.87453188498517</x:v>
      </x:c>
      <x:c r="P1790" s="4" t="n">
        <x:f>IF(AND('계산 과정'!$L$7,O1790&lt;&gt;0),('계산 과정'!$L$23-'계산 과정'!$C$49*D1790-'계산 과정'!$D$49*E1790)/O1790,"")</x:f>
        <x:v>-3.500726940735398</x:v>
      </x:c>
      <x:c r="Q1790" s="4" t="str">
        <x:f>IF(AND(ISNUMBER(P1790),P1790&gt;1E-9,P1790&lt;1-1E-9),'계산 과정'!$C$47*(D1790-'계산 과정'!$C$50+P1790*('계산 과정'!$C$32-D1790))+'계산 과정'!$D$47*(E1790-'계산 과정'!$D$50+P1790*('계산 과정'!$D$32-E1790))+'계산 과정'!$E$47*(0-'계산 과정'!$E$50+P1790*('계산 과정'!$E$32-0)),"")</x:f>
      </x:c>
      <x:c r="R1790" s="4" t="str">
        <x:f>IF(AND(ISNUMBER(P1790),P1790&gt;1E-9,P1790&lt;1-1E-9),'계산 과정'!$C$48*(D1790-'계산 과정'!$C$50+P1790*('계산 과정'!$C$32-D1790))+'계산 과정'!$D$48*(E1790-'계산 과정'!$D$50+P1790*('계산 과정'!$D$32-E1790))+'계산 과정'!$E$48*(0-'계산 과정'!$E$50+P1790*('계산 과정'!$E$32-0)),"")</x:f>
      </x:c>
      <x:c r="S1790" s="17" t="n">
        <x:f>IF('계산 과정'!$C$78,IF(AND(ISNUMBER(Q1790),ISNUMBER(R1790),ABS(Q1790-'계산 과정'!$C$88)&lt;='계산 과정'!$D$23/2,ABS(R1790-'계산 과정'!$C$89)&lt;='계산 과정'!$D$24/2),1,0),"")</x:f>
        <x:v>0</x:v>
      </x:c>
      <x:c r="T1790" s="4"/>
      <x:c r="U1790" s="4"/>
      <x:c r="V1790" s="4"/>
      <x:c r="W1790" s="4"/>
      <x:c r="X1790" s="4"/>
      <x:c r="Y1790" s="4"/>
      <x:c r="Z1790" s="4"/>
    </x:row>
    <x:row r="1791" ht="23" customHeight="1">
      <x:c r="A1791" s="17" t="n">
        <x:f>ROW()-6</x:f>
        <x:v>1785</x:v>
      </x:c>
      <x:c r="B1791" s="4" t="n">
        <x:f>IF('계산 과정'!$L$5,'계산 과정'!$L$11*SQRT((A1791+0.5)/'계산 과정'!$L$30),"")</x:f>
        <x:v>140.0574484530812</x:v>
      </x:c>
      <x:c r="C1791" s="4" t="n">
        <x:f>A1791*PI()*(3-SQRT(5))</x:f>
        <x:v>4283.934365065646</x:v>
      </x:c>
      <x:c r="D1791" s="4" t="n">
        <x:f>IF('계산 과정'!$L$5,B1791*COS(C1791),"")</x:f>
        <x:v>51.00999655239187</x:v>
      </x:c>
      <x:c r="E1791" s="4" t="n">
        <x:f>IF('계산 과정'!$L$5,B1791*SIN(C1791),"")</x:f>
        <x:v>-130.43798955408838</x:v>
      </x:c>
      <x:c r="F1791" s="4" t="n">
        <x:f>IF('계산 과정'!$L$7,'계산 과정'!$L$22+'계산 과정'!$C$49*D1791+'계산 과정'!$D$49*E1791,"")</x:f>
        <x:v>613.9304855295013</x:v>
      </x:c>
      <x:c r="G1791" s="4" t="n">
        <x:f>IF('계산 과정'!$L$7,IF(ABS(F1791)&gt;=1E-12*MAX(1,SQRT((D1791-'계산 과정'!$C$33)^2+(E1791-'계산 과정'!$D$33)^2+'계산 과정'!$E$33^2)),('계산 과정'!$L$23-'계산 과정'!$C$49*D1791-'계산 과정'!$D$49*E1791)/F1791,""),"")</x:f>
        <x:v>0.7102913517878143</x:v>
      </x:c>
      <x:c r="H1791" s="4" t="n">
        <x:f>IF(AND(ISNUMBER(G1791),G1791&gt;0),('계산 과정'!$D$56+'계산 과정'!$D$57*D1791+'계산 과정'!$D$58*E1791)/F1791,"")</x:f>
        <x:v>61.68937866207925</x:v>
      </x:c>
      <x:c r="I1791" s="4" t="n">
        <x:f>IF(AND(ISNUMBER(G1791),G1791&gt;0),('계산 과정'!$E$56+'계산 과정'!$E$57*D1791+'계산 과정'!$E$58*E1791)/F1791,"")</x:f>
        <x:v>-223.0869654789466</x:v>
      </x:c>
      <x:c r="J1791" s="4" t="n">
        <x:f>IF('계산 과정'!$L$5,'계산 과정'!$D$6+'계산 과정'!$C$35*D1791+'계산 과정'!$D$35*E1791,"")</x:f>
        <x:v>613.9304855295013</x:v>
      </x:c>
      <x:c r="K1791" s="4" t="n">
        <x:f>IF(AND('계산 과정'!$L$6,J1791&gt;0),'계산 과정'!$D$10*('계산 과정'!$C$38*(D1791-'계산 과정'!$C$32)+'계산 과정'!$D$38*(E1791-'계산 과정'!$D$32)-'계산 과정'!$E$38*'계산 과정'!$E$32)/J1791,"")</x:f>
        <x:v>0.47001431361584256</x:v>
      </x:c>
      <x:c r="L1791" s="4" t="n">
        <x:f>IF(AND('계산 과정'!$L$6,J1791&gt;0),'계산 과정'!$D$10*('계산 과정'!$C$39*(D1791-'계산 과정'!$C$32)+'계산 과정'!$D$39*(E1791-'계산 과정'!$D$32)-'계산 과정'!$E$39*'계산 과정'!$E$32)/J1791,"")</x:f>
        <x:v>-1.6997102131729267</x:v>
      </x:c>
      <x:c r="M1791" s="17" t="n">
        <x:f>IF('계산 과정'!$L$6,IF(J1791&lt;=0,0,IF(AND(ABS(K1791)&lt;='계산 과정'!$D$11/2,ABS(L1791)&lt;='계산 과정'!$D$12/2),1,0)),"")</x:f>
        <x:v>1</x:v>
      </x:c>
      <x:c r="N1791" s="17" t="n">
        <x:f>IF('계산 과정'!$C$78,IF(AND(ISNUMBER(H1791),ISNUMBER(I1791),ABS(H1791-'계산 과정'!$C$88)&lt;='계산 과정'!$D$23/2,ABS(I1791-'계산 과정'!$C$89)&lt;='계산 과정'!$D$24/2),1,0),"")</x:f>
        <x:v>1</x:v>
      </x:c>
      <x:c r="O1791" s="4" t="n">
        <x:f>IF('계산 과정'!$L$7,'계산 과정'!$C$49*('계산 과정'!$C$32-D1791)+'계산 과정'!$D$49*('계산 과정'!$D$32-E1791)+'계산 과정'!$E$49*'계산 과정'!$E$32,"")</x:f>
        <x:v>36.0695144704988</x:v>
      </x:c>
      <x:c r="P1791" s="4" t="n">
        <x:f>IF(AND('계산 과정'!$L$7,O1791&lt;&gt;0),('계산 과정'!$L$23-'계산 과정'!$C$49*D1791-'계산 과정'!$D$49*E1791)/O1791,"")</x:f>
        <x:v>12.089697376635309</x:v>
      </x:c>
      <x:c r="Q1791" s="4" t="str">
        <x:f>IF(AND(ISNUMBER(P1791),P1791&gt;1E-9,P1791&lt;1-1E-9),'계산 과정'!$C$47*(D1791-'계산 과정'!$C$50+P1791*('계산 과정'!$C$32-D1791))+'계산 과정'!$D$47*(E1791-'계산 과정'!$D$50+P1791*('계산 과정'!$D$32-E1791))+'계산 과정'!$E$47*(0-'계산 과정'!$E$50+P1791*('계산 과정'!$E$32-0)),"")</x:f>
      </x:c>
      <x:c r="R1791" s="4" t="str">
        <x:f>IF(AND(ISNUMBER(P1791),P1791&gt;1E-9,P1791&lt;1-1E-9),'계산 과정'!$C$48*(D1791-'계산 과정'!$C$50+P1791*('계산 과정'!$C$32-D1791))+'계산 과정'!$D$48*(E1791-'계산 과정'!$D$50+P1791*('계산 과정'!$D$32-E1791))+'계산 과정'!$E$48*(0-'계산 과정'!$E$50+P1791*('계산 과정'!$E$32-0)),"")</x:f>
      </x:c>
      <x:c r="S1791" s="17" t="n">
        <x:f>IF('계산 과정'!$C$78,IF(AND(ISNUMBER(Q1791),ISNUMBER(R1791),ABS(Q1791-'계산 과정'!$C$88)&lt;='계산 과정'!$D$23/2,ABS(R1791-'계산 과정'!$C$89)&lt;='계산 과정'!$D$24/2),1,0),"")</x:f>
        <x:v>0</x:v>
      </x:c>
      <x:c r="T1791" s="4"/>
      <x:c r="U1791" s="4"/>
      <x:c r="V1791" s="4"/>
      <x:c r="W1791" s="4"/>
      <x:c r="X1791" s="4"/>
      <x:c r="Y1791" s="4"/>
      <x:c r="Z1791" s="4"/>
    </x:row>
    <x:row r="1792" ht="23" customHeight="1">
      <x:c r="A1792" s="17" t="n">
        <x:f>ROW()-6</x:f>
        <x:v>1786</x:v>
      </x:c>
      <x:c r="B1792" s="4" t="n">
        <x:f>IF('계산 과정'!$L$5,'계산 과정'!$L$11*SQRT((A1792+0.5)/'계산 과정'!$L$30),"")</x:f>
        <x:v>140.0966637551105</x:v>
      </x:c>
      <x:c r="C1792" s="4" t="n">
        <x:f>A1792*PI()*(3-SQRT(5))</x:f>
        <x:v>4286.334328295374</x:v>
      </x:c>
      <x:c r="D1792" s="4" t="n">
        <x:f>IF('계산 과정'!$L$5,B1792*COS(C1792),"")</x:f>
        <x:v>50.51055073108361</x:v>
      </x:c>
      <x:c r="E1792" s="4" t="n">
        <x:f>IF('계산 과정'!$L$5,B1792*SIN(C1792),"")</x:f>
        <x:v>130.6742494149292</x:v>
      </x:c>
      <x:c r="F1792" s="4" t="n">
        <x:f>IF('계산 과정'!$L$7,'계산 과정'!$L$22+'계산 과정'!$C$49*D1792+'계산 과정'!$D$49*E1792,"")</x:f>
        <x:v>614.2836470565836</x:v>
      </x:c>
      <x:c r="G1792" s="4" t="n">
        <x:f>IF('계산 과정'!$L$7,IF(ABS(F1792)&gt;=1E-12*MAX(1,SQRT((D1792-'계산 과정'!$C$33)^2+(E1792-'계산 과정'!$D$33)^2+'계산 과정'!$E$33^2)),('계산 과정'!$L$23-'계산 과정'!$C$49*D1792-'계산 과정'!$D$49*E1792)/F1792,""),"")</x:f>
        <x:v>0.7093080778418982</x:v>
      </x:c>
      <x:c r="H1792" s="4" t="n">
        <x:f>IF(AND(ISNUMBER(G1792),G1792&gt;0),('계산 과정'!$D$56+'계산 과정'!$D$57*D1792+'계산 과정'!$D$58*E1792)/F1792,"")</x:f>
        <x:v>61.05025059723371</x:v>
      </x:c>
      <x:c r="I1792" s="4" t="n">
        <x:f>IF(AND(ISNUMBER(G1792),G1792&gt;0),('계산 과정'!$E$56+'계산 과정'!$E$57*D1792+'계산 과정'!$E$58*E1792)/F1792,"")</x:f>
        <x:v>223.3625500908654</x:v>
      </x:c>
      <x:c r="J1792" s="4" t="n">
        <x:f>IF('계산 과정'!$L$5,'계산 과정'!$D$6+'계산 과정'!$C$35*D1792+'계산 과정'!$D$35*E1792,"")</x:f>
        <x:v>614.2836470565836</x:v>
      </x:c>
      <x:c r="K1792" s="4" t="n">
        <x:f>IF(AND('계산 과정'!$L$6,J1792&gt;0),'계산 과정'!$D$10*('계산 과정'!$C$38*(D1792-'계산 과정'!$C$32)+'계산 과정'!$D$38*(E1792-'계산 과정'!$D$32)-'계산 과정'!$E$38*'계산 과정'!$E$32)/J1792,"")</x:f>
        <x:v>0.46514476645511527</x:v>
      </x:c>
      <x:c r="L1792" s="4" t="n">
        <x:f>IF(AND('계산 과정'!$L$6,J1792&gt;0),'계산 과정'!$D$10*('계산 과정'!$C$39*(D1792-'계산 과정'!$C$32)+'계산 과정'!$D$39*(E1792-'계산 과정'!$D$32)-'계산 과정'!$E$39*'계산 과정'!$E$32)/J1792,"")</x:f>
        <x:v>1.7018099054542126</x:v>
      </x:c>
      <x:c r="M1792" s="17" t="n">
        <x:f>IF('계산 과정'!$L$6,IF(J1792&lt;=0,0,IF(AND(ABS(K1792)&lt;='계산 과정'!$D$11/2,ABS(L1792)&lt;='계산 과정'!$D$12/2),1,0)),"")</x:f>
        <x:v>1</x:v>
      </x:c>
      <x:c r="N1792" s="17" t="n">
        <x:f>IF('계산 과정'!$C$78,IF(AND(ISNUMBER(H1792),ISNUMBER(I1792),ABS(H1792-'계산 과정'!$C$88)&lt;='계산 과정'!$D$23/2,ABS(I1792-'계산 과정'!$C$89)&lt;='계산 과정'!$D$24/2),1,0),"")</x:f>
        <x:v>1</x:v>
      </x:c>
      <x:c r="O1792" s="4" t="n">
        <x:f>IF('계산 과정'!$L$7,'계산 과정'!$C$49*('계산 과정'!$C$32-D1792)+'계산 과정'!$D$49*('계산 과정'!$D$32-E1792)+'계산 과정'!$E$49*'계산 과정'!$E$32,"")</x:f>
        <x:v>35.716352943416496</x:v>
      </x:c>
      <x:c r="P1792" s="4" t="n">
        <x:f>IF(AND('계산 과정'!$L$7,O1792&lt;&gt;0),('계산 과정'!$L$23-'계산 과정'!$C$49*D1792-'계산 과정'!$D$49*E1792)/O1792,"")</x:f>
        <x:v>12.1993517544666</x:v>
      </x:c>
      <x:c r="Q1792" s="4" t="str">
        <x:f>IF(AND(ISNUMBER(P1792),P1792&gt;1E-9,P1792&lt;1-1E-9),'계산 과정'!$C$47*(D1792-'계산 과정'!$C$50+P1792*('계산 과정'!$C$32-D1792))+'계산 과정'!$D$47*(E1792-'계산 과정'!$D$50+P1792*('계산 과정'!$D$32-E1792))+'계산 과정'!$E$47*(0-'계산 과정'!$E$50+P1792*('계산 과정'!$E$32-0)),"")</x:f>
      </x:c>
      <x:c r="R1792" s="4" t="str">
        <x:f>IF(AND(ISNUMBER(P1792),P1792&gt;1E-9,P1792&lt;1-1E-9),'계산 과정'!$C$48*(D1792-'계산 과정'!$C$50+P1792*('계산 과정'!$C$32-D1792))+'계산 과정'!$D$48*(E1792-'계산 과정'!$D$50+P1792*('계산 과정'!$D$32-E1792))+'계산 과정'!$E$48*(0-'계산 과정'!$E$50+P1792*('계산 과정'!$E$32-0)),"")</x:f>
      </x:c>
      <x:c r="S1792" s="17" t="n">
        <x:f>IF('계산 과정'!$C$78,IF(AND(ISNUMBER(Q1792),ISNUMBER(R1792),ABS(Q1792-'계산 과정'!$C$88)&lt;='계산 과정'!$D$23/2,ABS(R1792-'계산 과정'!$C$89)&lt;='계산 과정'!$D$24/2),1,0),"")</x:f>
        <x:v>0</x:v>
      </x:c>
      <x:c r="T1792" s="4"/>
      <x:c r="U1792" s="4"/>
      <x:c r="V1792" s="4"/>
      <x:c r="W1792" s="4"/>
      <x:c r="X1792" s="4"/>
      <x:c r="Y1792" s="4"/>
      <x:c r="Z1792" s="4"/>
    </x:row>
    <x:row r="1793" ht="23" customHeight="1">
      <x:c r="A1793" s="17" t="n">
        <x:f>ROW()-6</x:f>
        <x:v>1787</x:v>
      </x:c>
      <x:c r="B1793" s="4" t="n">
        <x:f>IF('계산 과정'!$L$5,'계산 과정'!$L$11*SQRT((A1793+0.5)/'계산 과정'!$L$30),"")</x:f>
        <x:v>140.13586808321952</x:v>
      </x:c>
      <x:c r="C1793" s="4" t="n">
        <x:f>A1793*PI()*(3-SQRT(5))</x:f>
        <x:v>4288.734291525103</x:v>
      </x:c>
      <x:c r="D1793" s="4" t="n">
        <x:f>IF('계산 과정'!$L$5,B1793*COS(C1793),"")</x:f>
        <x:v>-125.54921888906482</x:v>
      </x:c>
      <x:c r="E1793" s="4" t="n">
        <x:f>IF('계산 과정'!$L$5,B1793*SIN(C1793),"")</x:f>
        <x:v>-62.253153813949034</x:v>
      </x:c>
      <x:c r="F1793" s="4" t="n">
        <x:f>IF('계산 과정'!$L$7,'계산 과정'!$L$22+'계산 과정'!$C$49*D1793+'계산 과정'!$D$49*E1793,"")</x:f>
        <x:v>738.7767040491319</x:v>
      </x:c>
      <x:c r="G1793" s="4" t="n">
        <x:f>IF('계산 과정'!$L$7,IF(ABS(F1793)&gt;=1E-12*MAX(1,SQRT((D1793-'계산 과정'!$C$33)^2+(E1793-'계산 과정'!$D$33)^2+'계산 과정'!$E$33^2)),('계산 과정'!$L$23-'계산 과정'!$C$49*D1793-'계산 과정'!$D$49*E1793)/F1793,""),"")</x:f>
        <x:v>0.4212684214933913</x:v>
      </x:c>
      <x:c r="H1793" s="4" t="n">
        <x:f>IF(AND(ISNUMBER(G1793),G1793&gt;0),('계산 과정'!$D$56+'계산 과정'!$D$57*D1793+'계산 과정'!$D$58*E1793)/F1793,"")</x:f>
        <x:v>-126.1755260292958</x:v>
      </x:c>
      <x:c r="I1793" s="4" t="n">
        <x:f>IF(AND(ISNUMBER(G1793),G1793&gt;0),('계산 과정'!$E$56+'계산 과정'!$E$57*D1793+'계산 과정'!$E$58*E1793)/F1793,"")</x:f>
        <x:v>-88.47844165413663</x:v>
      </x:c>
      <x:c r="J1793" s="4" t="n">
        <x:f>IF('계산 과정'!$L$5,'계산 과정'!$D$6+'계산 과정'!$C$35*D1793+'계산 과정'!$D$35*E1793,"")</x:f>
        <x:v>738.7767040491319</x:v>
      </x:c>
      <x:c r="K1793" s="4" t="n">
        <x:f>IF(AND('계산 과정'!$L$6,J1793&gt;0),'계산 과정'!$D$10*('계산 과정'!$C$38*(D1793-'계산 과정'!$C$32)+'계산 과정'!$D$38*(E1793-'계산 과정'!$D$32)-'계산 과정'!$E$38*'계산 과정'!$E$32)/J1793,"")</x:f>
        <x:v>-0.9613373411755861</x:v>
      </x:c>
      <x:c r="L1793" s="4" t="n">
        <x:f>IF(AND('계산 과정'!$L$6,J1793&gt;0),'계산 과정'!$D$10*('계산 과정'!$C$39*(D1793-'계산 과정'!$C$32)+'계산 과정'!$D$39*(E1793-'계산 과정'!$D$32)-'계산 과정'!$E$39*'계산 과정'!$E$32)/J1793,"")</x:f>
        <x:v>-0.6741214602219934</x:v>
      </x:c>
      <x:c r="M1793" s="17" t="n">
        <x:f>IF('계산 과정'!$L$6,IF(J1793&lt;=0,0,IF(AND(ABS(K1793)&lt;='계산 과정'!$D$11/2,ABS(L1793)&lt;='계산 과정'!$D$12/2),1,0)),"")</x:f>
        <x:v>1</x:v>
      </x:c>
      <x:c r="N1793" s="17" t="n">
        <x:f>IF('계산 과정'!$C$78,IF(AND(ISNUMBER(H1793),ISNUMBER(I1793),ABS(H1793-'계산 과정'!$C$88)&lt;='계산 과정'!$D$23/2,ABS(I1793-'계산 과정'!$C$89)&lt;='계산 과정'!$D$24/2),1,0),"")</x:f>
        <x:v>1</x:v>
      </x:c>
      <x:c r="O1793" s="4" t="n">
        <x:f>IF('계산 과정'!$L$7,'계산 과정'!$C$49*('계산 과정'!$C$32-D1793)+'계산 과정'!$D$49*('계산 과정'!$D$32-E1793)+'계산 과정'!$E$49*'계산 과정'!$E$32,"")</x:f>
        <x:v>-88.77670404913181</x:v>
      </x:c>
      <x:c r="P1793" s="4" t="n">
        <x:f>IF(AND('계산 과정'!$L$7,O1793&lt;&gt;0),('계산 과정'!$L$23-'계산 과정'!$C$49*D1793-'계산 과정'!$D$49*E1793)/O1793,"")</x:f>
        <x:v>-3.5056865343708568</x:v>
      </x:c>
      <x:c r="Q1793" s="4" t="str">
        <x:f>IF(AND(ISNUMBER(P1793),P1793&gt;1E-9,P1793&lt;1-1E-9),'계산 과정'!$C$47*(D1793-'계산 과정'!$C$50+P1793*('계산 과정'!$C$32-D1793))+'계산 과정'!$D$47*(E1793-'계산 과정'!$D$50+P1793*('계산 과정'!$D$32-E1793))+'계산 과정'!$E$47*(0-'계산 과정'!$E$50+P1793*('계산 과정'!$E$32-0)),"")</x:f>
      </x:c>
      <x:c r="R1793" s="4" t="str">
        <x:f>IF(AND(ISNUMBER(P1793),P1793&gt;1E-9,P1793&lt;1-1E-9),'계산 과정'!$C$48*(D1793-'계산 과정'!$C$50+P1793*('계산 과정'!$C$32-D1793))+'계산 과정'!$D$48*(E1793-'계산 과정'!$D$50+P1793*('계산 과정'!$D$32-E1793))+'계산 과정'!$E$48*(0-'계산 과정'!$E$50+P1793*('계산 과정'!$E$32-0)),"")</x:f>
      </x:c>
      <x:c r="S1793" s="17" t="n">
        <x:f>IF('계산 과정'!$C$78,IF(AND(ISNUMBER(Q1793),ISNUMBER(R1793),ABS(Q1793-'계산 과정'!$C$88)&lt;='계산 과정'!$D$23/2,ABS(R1793-'계산 과정'!$C$89)&lt;='계산 과정'!$D$24/2),1,0),"")</x:f>
        <x:v>0</x:v>
      </x:c>
      <x:c r="T1793" s="4"/>
      <x:c r="U1793" s="4"/>
      <x:c r="V1793" s="4"/>
      <x:c r="W1793" s="4"/>
      <x:c r="X1793" s="4"/>
      <x:c r="Y1793" s="4"/>
      <x:c r="Z1793" s="4"/>
    </x:row>
    <x:row r="1794" ht="23" customHeight="1">
      <x:c r="A1794" s="17" t="n">
        <x:f>ROW()-6</x:f>
        <x:v>1788</x:v>
      </x:c>
      <x:c r="B1794" s="4" t="n">
        <x:f>IF('계산 과정'!$L$5,'계산 과정'!$L$11*SQRT((A1794+0.5)/'계산 과정'!$L$30),"")</x:f>
        <x:v>140.17506144661576</x:v>
      </x:c>
      <x:c r="C1794" s="4" t="n">
        <x:f>A1794*PI()*(3-SQRT(5))</x:f>
        <x:v>4291.134254754831</x:v>
      </x:c>
      <x:c r="D1794" s="4" t="n">
        <x:f>IF('계산 과정'!$L$5,B1794*COS(C1794),"")</x:f>
        <x:v>134.66514063749148</x:v>
      </x:c>
      <x:c r="E1794" s="4" t="n">
        <x:f>IF('계산 과정'!$L$5,B1794*SIN(C1794),"")</x:f>
        <x:v>-38.91462127076592</x:v>
      </x:c>
      <x:c r="F1794" s="4" t="n">
        <x:f>IF('계산 과정'!$L$7,'계산 과정'!$L$22+'계산 과정'!$C$49*D1794+'계산 과정'!$D$49*E1794,"")</x:f>
        <x:v>554.7773658657896</x:v>
      </x:c>
      <x:c r="G1794" s="4" t="n">
        <x:f>IF('계산 과정'!$L$7,IF(ABS(F1794)&gt;=1E-12*MAX(1,SQRT((D1794-'계산 과정'!$C$33)^2+(E1794-'계산 과정'!$D$33)^2+'계산 과정'!$E$33^2)),('계산 과정'!$L$23-'계산 과정'!$C$49*D1794-'계산 과정'!$D$49*E1794)/F1794,""),"")</x:f>
        <x:v>0.8926511148510218</x:v>
      </x:c>
      <x:c r="H1794" s="4" t="n">
        <x:f>IF(AND(ISNUMBER(G1794),G1794&gt;0),('계산 과정'!$D$56+'계산 과정'!$D$57*D1794+'계산 과정'!$D$58*E1794)/F1794,"")</x:f>
        <x:v>180.22322465316407</x:v>
      </x:c>
      <x:c r="I1794" s="4" t="n">
        <x:f>IF(AND(ISNUMBER(G1794),G1794&gt;0),('계산 과정'!$E$56+'계산 과정'!$E$57*D1794+'계산 과정'!$E$58*E1794)/F1794,"")</x:f>
        <x:v>-73.65180133212041</x:v>
      </x:c>
      <x:c r="J1794" s="4" t="n">
        <x:f>IF('계산 과정'!$L$5,'계산 과정'!$D$6+'계산 과정'!$C$35*D1794+'계산 과정'!$D$35*E1794,"")</x:f>
        <x:v>554.7773658657896</x:v>
      </x:c>
      <x:c r="K1794" s="4" t="n">
        <x:f>IF(AND('계산 과정'!$L$6,J1794&gt;0),'계산 과정'!$D$10*('계산 과정'!$C$38*(D1794-'계산 과정'!$C$32)+'계산 과정'!$D$38*(E1794-'계산 과정'!$D$32)-'계산 과정'!$E$38*'계산 과정'!$E$32)/J1794,"")</x:f>
        <x:v>1.3731293306907748</x:v>
      </x:c>
      <x:c r="L1794" s="4" t="n">
        <x:f>IF(AND('계산 과정'!$L$6,J1794&gt;0),'계산 과정'!$D$10*('계산 과정'!$C$39*(D1794-'계산 과정'!$C$32)+'계산 과정'!$D$39*(E1794-'계산 과정'!$D$32)-'계산 과정'!$E$39*'계산 과정'!$E$32)/J1794,"")</x:f>
        <x:v>-0.5611565815780603</x:v>
      </x:c>
      <x:c r="M1794" s="17" t="n">
        <x:f>IF('계산 과정'!$L$6,IF(J1794&lt;=0,0,IF(AND(ABS(K1794)&lt;='계산 과정'!$D$11/2,ABS(L1794)&lt;='계산 과정'!$D$12/2),1,0)),"")</x:f>
        <x:v>1</x:v>
      </x:c>
      <x:c r="N1794" s="17" t="n">
        <x:f>IF('계산 과정'!$C$78,IF(AND(ISNUMBER(H1794),ISNUMBER(I1794),ABS(H1794-'계산 과정'!$C$88)&lt;='계산 과정'!$D$23/2,ABS(I1794-'계산 과정'!$C$89)&lt;='계산 과정'!$D$24/2),1,0),"")</x:f>
        <x:v>1</x:v>
      </x:c>
      <x:c r="O1794" s="4" t="n">
        <x:f>IF('계산 과정'!$L$7,'계산 과정'!$C$49*('계산 과정'!$C$32-D1794)+'계산 과정'!$D$49*('계산 과정'!$D$32-E1794)+'계산 과정'!$E$49*'계산 과정'!$E$32,"")</x:f>
        <x:v>95.22263413421047</x:v>
      </x:c>
      <x:c r="P1794" s="4" t="n">
        <x:f>IF(AND('계산 과정'!$L$7,O1794&lt;&gt;0),('계산 과정'!$L$23-'계산 과정'!$C$49*D1794-'계산 과정'!$D$49*E1794)/O1794,"")</x:f>
        <x:v>5.200681945389417</x:v>
      </x:c>
      <x:c r="Q1794" s="4" t="str">
        <x:f>IF(AND(ISNUMBER(P1794),P1794&gt;1E-9,P1794&lt;1-1E-9),'계산 과정'!$C$47*(D1794-'계산 과정'!$C$50+P1794*('계산 과정'!$C$32-D1794))+'계산 과정'!$D$47*(E1794-'계산 과정'!$D$50+P1794*('계산 과정'!$D$32-E1794))+'계산 과정'!$E$47*(0-'계산 과정'!$E$50+P1794*('계산 과정'!$E$32-0)),"")</x:f>
      </x:c>
      <x:c r="R1794" s="4" t="str">
        <x:f>IF(AND(ISNUMBER(P1794),P1794&gt;1E-9,P1794&lt;1-1E-9),'계산 과정'!$C$48*(D1794-'계산 과정'!$C$50+P1794*('계산 과정'!$C$32-D1794))+'계산 과정'!$D$48*(E1794-'계산 과정'!$D$50+P1794*('계산 과정'!$D$32-E1794))+'계산 과정'!$E$48*(0-'계산 과정'!$E$50+P1794*('계산 과정'!$E$32-0)),"")</x:f>
      </x:c>
      <x:c r="S1794" s="17" t="n">
        <x:f>IF('계산 과정'!$C$78,IF(AND(ISNUMBER(Q1794),ISNUMBER(R1794),ABS(Q1794-'계산 과정'!$C$88)&lt;='계산 과정'!$D$23/2,ABS(R1794-'계산 과정'!$C$89)&lt;='계산 과정'!$D$24/2),1,0),"")</x:f>
        <x:v>0</x:v>
      </x:c>
      <x:c r="T1794" s="4"/>
      <x:c r="U1794" s="4"/>
      <x:c r="V1794" s="4"/>
      <x:c r="W1794" s="4"/>
      <x:c r="X1794" s="4"/>
      <x:c r="Y1794" s="4"/>
      <x:c r="Z1794" s="4"/>
    </x:row>
    <x:row r="1795" ht="23" customHeight="1">
      <x:c r="A1795" s="17" t="n">
        <x:f>ROW()-6</x:f>
        <x:v>1789</x:v>
      </x:c>
      <x:c r="B1795" s="4" t="n">
        <x:f>IF('계산 과정'!$L$5,'계산 과정'!$L$11*SQRT((A1795+0.5)/'계산 과정'!$L$30),"")</x:f>
        <x:v>140.21424385449396</x:v>
      </x:c>
      <x:c r="C1795" s="4" t="n">
        <x:f>A1795*PI()*(3-SQRT(5))</x:f>
        <x:v>4293.53421798456</x:v>
      </x:c>
      <x:c r="D1795" s="4" t="n">
        <x:f>IF('계산 과정'!$L$5,B1795*COS(C1795),"")</x:f>
        <x:v>-73.03184320256631</x:v>
      </x:c>
      <x:c r="E1795" s="4" t="n">
        <x:f>IF('계산 과정'!$L$5,B1795*SIN(C1795),"")</x:f>
        <x:v>119.69287388196202</x:v>
      </x:c>
      <x:c r="F1795" s="4" t="n">
        <x:f>IF('계산 과정'!$L$7,'계산 과정'!$L$22+'계산 과정'!$C$49*D1795+'계산 과정'!$D$49*E1795,"")</x:f>
        <x:v>701.6413115710873</x:v>
      </x:c>
      <x:c r="G1795" s="4" t="n">
        <x:f>IF('계산 과정'!$L$7,IF(ABS(F1795)&gt;=1E-12*MAX(1,SQRT((D1795-'계산 과정'!$C$33)^2+(E1795-'계산 과정'!$D$33)^2+'계산 과정'!$E$33^2)),('계산 과정'!$L$23-'계산 과정'!$C$49*D1795-'계산 과정'!$D$49*E1795)/F1795,""),"")</x:f>
        <x:v>0.4964911311292116</x:v>
      </x:c>
      <x:c r="H1795" s="4" t="n">
        <x:f>IF(AND(ISNUMBER(G1795),G1795&gt;0),('계산 과정'!$D$56+'계산 과정'!$D$57*D1795+'계산 과정'!$D$58*E1795)/F1795,"")</x:f>
        <x:v>-77.28076476601261</x:v>
      </x:c>
      <x:c r="I1795" s="4" t="n">
        <x:f>IF(AND(ISNUMBER(G1795),G1795&gt;0),('계산 과정'!$E$56+'계산 과정'!$E$57*D1795+'계산 과정'!$E$58*E1795)/F1795,"")</x:f>
        <x:v>179.1193242237234</x:v>
      </x:c>
      <x:c r="J1795" s="4" t="n">
        <x:f>IF('계산 과정'!$L$5,'계산 과정'!$D$6+'계산 과정'!$C$35*D1795+'계산 과정'!$D$35*E1795,"")</x:f>
        <x:v>701.6413115710873</x:v>
      </x:c>
      <x:c r="K1795" s="4" t="n">
        <x:f>IF(AND('계산 과정'!$L$6,J1795&gt;0),'계산 과정'!$D$10*('계산 과정'!$C$38*(D1795-'계산 과정'!$C$32)+'계산 과정'!$D$38*(E1795-'계산 과정'!$D$32)-'계산 과정'!$E$38*'계산 과정'!$E$32)/J1795,"")</x:f>
        <x:v>-0.5888058267886662</x:v>
      </x:c>
      <x:c r="L1795" s="4" t="n">
        <x:f>IF(AND('계산 과정'!$L$6,J1795&gt;0),'계산 과정'!$D$10*('계산 과정'!$C$39*(D1795-'계산 과정'!$C$32)+'계산 과정'!$D$39*(E1795-'계산 과정'!$D$32)-'계산 과정'!$E$39*'계산 과정'!$E$32)/J1795,"")</x:f>
        <x:v>1.3647186607521784</x:v>
      </x:c>
      <x:c r="M1795" s="17" t="n">
        <x:f>IF('계산 과정'!$L$6,IF(J1795&lt;=0,0,IF(AND(ABS(K1795)&lt;='계산 과정'!$D$11/2,ABS(L1795)&lt;='계산 과정'!$D$12/2),1,0)),"")</x:f>
        <x:v>1</x:v>
      </x:c>
      <x:c r="N1795" s="17" t="n">
        <x:f>IF('계산 과정'!$C$78,IF(AND(ISNUMBER(H1795),ISNUMBER(I1795),ABS(H1795-'계산 과정'!$C$88)&lt;='계산 과정'!$D$23/2,ABS(I1795-'계산 과정'!$C$89)&lt;='계산 과정'!$D$24/2),1,0),"")</x:f>
        <x:v>1</x:v>
      </x:c>
      <x:c r="O1795" s="4" t="n">
        <x:f>IF('계산 과정'!$L$7,'계산 과정'!$C$49*('계산 과정'!$C$32-D1795)+'계산 과정'!$D$49*('계산 과정'!$D$32-E1795)+'계산 과정'!$E$49*'계산 과정'!$E$32,"")</x:f>
        <x:v>-51.64131157108716</x:v>
      </x:c>
      <x:c r="P1795" s="4" t="n">
        <x:f>IF(AND('계산 과정'!$L$7,O1795&lt;&gt;0),('계산 과정'!$L$23-'계산 과정'!$C$49*D1795-'계산 과정'!$D$49*E1795)/O1795,"")</x:f>
        <x:v>-6.745736655998318</x:v>
      </x:c>
      <x:c r="Q1795" s="4" t="str">
        <x:f>IF(AND(ISNUMBER(P1795),P1795&gt;1E-9,P1795&lt;1-1E-9),'계산 과정'!$C$47*(D1795-'계산 과정'!$C$50+P1795*('계산 과정'!$C$32-D1795))+'계산 과정'!$D$47*(E1795-'계산 과정'!$D$50+P1795*('계산 과정'!$D$32-E1795))+'계산 과정'!$E$47*(0-'계산 과정'!$E$50+P1795*('계산 과정'!$E$32-0)),"")</x:f>
      </x:c>
      <x:c r="R1795" s="4" t="str">
        <x:f>IF(AND(ISNUMBER(P1795),P1795&gt;1E-9,P1795&lt;1-1E-9),'계산 과정'!$C$48*(D1795-'계산 과정'!$C$50+P1795*('계산 과정'!$C$32-D1795))+'계산 과정'!$D$48*(E1795-'계산 과정'!$D$50+P1795*('계산 과정'!$D$32-E1795))+'계산 과정'!$E$48*(0-'계산 과정'!$E$50+P1795*('계산 과정'!$E$32-0)),"")</x:f>
      </x:c>
      <x:c r="S1795" s="17" t="n">
        <x:f>IF('계산 과정'!$C$78,IF(AND(ISNUMBER(Q1795),ISNUMBER(R1795),ABS(Q1795-'계산 과정'!$C$88)&lt;='계산 과정'!$D$23/2,ABS(R1795-'계산 과정'!$C$89)&lt;='계산 과정'!$D$24/2),1,0),"")</x:f>
        <x:v>0</x:v>
      </x:c>
      <x:c r="T1795" s="4"/>
      <x:c r="U1795" s="4"/>
      <x:c r="V1795" s="4"/>
      <x:c r="W1795" s="4"/>
      <x:c r="X1795" s="4"/>
      <x:c r="Y1795" s="4"/>
      <x:c r="Z1795" s="4"/>
    </x:row>
    <x:row r="1796" ht="23" customHeight="1">
      <x:c r="A1796" s="17" t="n">
        <x:f>ROW()-6</x:f>
        <x:v>1790</x:v>
      </x:c>
      <x:c r="B1796" s="4" t="n">
        <x:f>IF('계산 과정'!$L$5,'계산 과정'!$L$11*SQRT((A1796+0.5)/'계산 과정'!$L$30),"")</x:f>
        <x:v>140.25341531603607</x:v>
      </x:c>
      <x:c r="C1796" s="4" t="n">
        <x:f>A1796*PI()*(3-SQRT(5))</x:f>
        <x:v>4295.934181214289</x:v>
      </x:c>
      <x:c r="D1796" s="4" t="n">
        <x:f>IF('계산 과정'!$L$5,B1796*COS(C1796),"")</x:f>
        <x:v>-27.007509256865543</x:v>
      </x:c>
      <x:c r="E1796" s="4" t="n">
        <x:f>IF('계산 과정'!$L$5,B1796*SIN(C1796),"")</x:f>
        <x:v>-137.6285397421364</x:v>
      </x:c>
      <x:c r="F1796" s="4" t="n">
        <x:f>IF('계산 과정'!$L$7,'계산 과정'!$L$22+'계산 과정'!$C$49*D1796+'계산 과정'!$D$49*E1796,"")</x:f>
        <x:v>669.0971929384881</x:v>
      </x:c>
      <x:c r="G1796" s="4" t="n">
        <x:f>IF('계산 과정'!$L$7,IF(ABS(F1796)&gt;=1E-12*MAX(1,SQRT((D1796-'계산 과정'!$C$33)^2+(E1796-'계산 과정'!$D$33)^2+'계산 과정'!$E$33^2)),('계산 과정'!$L$23-'계산 과정'!$C$49*D1796-'계산 과정'!$D$49*E1796)/F1796,""),"")</x:f>
        <x:v>0.5692787401912316</x:v>
      </x:c>
      <x:c r="H1796" s="4" t="n">
        <x:f>IF(AND(ISNUMBER(G1796),G1796&gt;0),('계산 과정'!$D$56+'계산 과정'!$D$57*D1796+'계산 과정'!$D$58*E1796)/F1796,"")</x:f>
        <x:v>-29.968818875699576</x:v>
      </x:c>
      <x:c r="I1796" s="4" t="n">
        <x:f>IF(AND(ISNUMBER(G1796),G1796&gt;0),('계산 과정'!$E$56+'계산 과정'!$E$57*D1796+'계산 과정'!$E$58*E1796)/F1796,"")</x:f>
        <x:v>-215.97754146089866</x:v>
      </x:c>
      <x:c r="J1796" s="4" t="n">
        <x:f>IF('계산 과정'!$L$5,'계산 과정'!$D$6+'계산 과정'!$C$35*D1796+'계산 과정'!$D$35*E1796,"")</x:f>
        <x:v>669.0971929384881</x:v>
      </x:c>
      <x:c r="K1796" s="4" t="n">
        <x:f>IF(AND('계산 과정'!$L$6,J1796&gt;0),'계산 과정'!$D$10*('계산 과정'!$C$38*(D1796-'계산 과정'!$C$32)+'계산 과정'!$D$38*(E1796-'계산 과정'!$D$32)-'계산 과정'!$E$38*'계산 과정'!$E$32)/J1796,"")</x:f>
        <x:v>-0.22833385810056744</x:v>
      </x:c>
      <x:c r="L1796" s="4" t="n">
        <x:f>IF(AND('계산 과정'!$L$6,J1796&gt;0),'계산 과정'!$D$10*('계산 과정'!$C$39*(D1796-'계산 과정'!$C$32)+'계산 과정'!$D$39*(E1796-'계산 과정'!$D$32)-'계산 과정'!$E$39*'계산 과정'!$E$32)/J1796,"")</x:f>
        <x:v>-1.6455431730354184</x:v>
      </x:c>
      <x:c r="M1796" s="17" t="n">
        <x:f>IF('계산 과정'!$L$6,IF(J1796&lt;=0,0,IF(AND(ABS(K1796)&lt;='계산 과정'!$D$11/2,ABS(L1796)&lt;='계산 과정'!$D$12/2),1,0)),"")</x:f>
        <x:v>1</x:v>
      </x:c>
      <x:c r="N1796" s="17" t="n">
        <x:f>IF('계산 과정'!$C$78,IF(AND(ISNUMBER(H1796),ISNUMBER(I1796),ABS(H1796-'계산 과정'!$C$88)&lt;='계산 과정'!$D$23/2,ABS(I1796-'계산 과정'!$C$89)&lt;='계산 과정'!$D$24/2),1,0),"")</x:f>
        <x:v>1</x:v>
      </x:c>
      <x:c r="O1796" s="4" t="n">
        <x:f>IF('계산 과정'!$L$7,'계산 과정'!$C$49*('계산 과정'!$C$32-D1796)+'계산 과정'!$D$49*('계산 과정'!$D$32-E1796)+'계산 과정'!$E$49*'계산 과정'!$E$32,"")</x:f>
        <x:v>-19.09719293848798</x:v>
      </x:c>
      <x:c r="P1796" s="4" t="n">
        <x:f>IF(AND('계산 과정'!$L$7,O1796&lt;&gt;0),('계산 과정'!$L$23-'계산 과정'!$C$49*D1796-'계산 과정'!$D$49*E1796)/O1796,"")</x:f>
        <x:v>-19.945486663322672</x:v>
      </x:c>
      <x:c r="Q1796" s="4" t="str">
        <x:f>IF(AND(ISNUMBER(P1796),P1796&gt;1E-9,P1796&lt;1-1E-9),'계산 과정'!$C$47*(D1796-'계산 과정'!$C$50+P1796*('계산 과정'!$C$32-D1796))+'계산 과정'!$D$47*(E1796-'계산 과정'!$D$50+P1796*('계산 과정'!$D$32-E1796))+'계산 과정'!$E$47*(0-'계산 과정'!$E$50+P1796*('계산 과정'!$E$32-0)),"")</x:f>
      </x:c>
      <x:c r="R1796" s="4" t="str">
        <x:f>IF(AND(ISNUMBER(P1796),P1796&gt;1E-9,P1796&lt;1-1E-9),'계산 과정'!$C$48*(D1796-'계산 과정'!$C$50+P1796*('계산 과정'!$C$32-D1796))+'계산 과정'!$D$48*(E1796-'계산 과정'!$D$50+P1796*('계산 과정'!$D$32-E1796))+'계산 과정'!$E$48*(0-'계산 과정'!$E$50+P1796*('계산 과정'!$E$32-0)),"")</x:f>
      </x:c>
      <x:c r="S1796" s="17" t="n">
        <x:f>IF('계산 과정'!$C$78,IF(AND(ISNUMBER(Q1796),ISNUMBER(R1796),ABS(Q1796-'계산 과정'!$C$88)&lt;='계산 과정'!$D$23/2,ABS(R1796-'계산 과정'!$C$89)&lt;='계산 과정'!$D$24/2),1,0),"")</x:f>
        <x:v>0</x:v>
      </x:c>
      <x:c r="T1796" s="4"/>
      <x:c r="U1796" s="4"/>
      <x:c r="V1796" s="4"/>
      <x:c r="W1796" s="4"/>
      <x:c r="X1796" s="4"/>
      <x:c r="Y1796" s="4"/>
      <x:c r="Z1796" s="4"/>
    </x:row>
    <x:row r="1797" ht="23" customHeight="1">
      <x:c r="A1797" s="17" t="n">
        <x:f>ROW()-6</x:f>
        <x:v>1791</x:v>
      </x:c>
      <x:c r="B1797" s="4" t="n">
        <x:f>IF('계산 과정'!$L$5,'계산 과정'!$L$11*SQRT((A1797+0.5)/'계산 과정'!$L$30),"")</x:f>
        <x:v>140.2925758404111</x:v>
      </x:c>
      <x:c r="C1797" s="4" t="n">
        <x:f>A1797*PI()*(3-SQRT(5))</x:f>
        <x:v>4298.3341444440175</x:v>
      </x:c>
      <x:c r="D1797" s="4" t="n">
        <x:f>IF('계산 과정'!$L$5,B1797*COS(C1797),"")</x:f>
        <x:v>112.9127574769828</x:v>
      </x:c>
      <x:c r="E1797" s="4" t="n">
        <x:f>IF('계산 과정'!$L$5,B1797*SIN(C1797),"")</x:f>
        <x:v>83.26293313883176</x:v>
      </x:c>
      <x:c r="F1797" s="4" t="n">
        <x:f>IF('계산 과정'!$L$7,'계산 과정'!$L$22+'계산 과정'!$C$49*D1797+'계산 과정'!$D$49*E1797,"")</x:f>
        <x:v>570.1586235055535</x:v>
      </x:c>
      <x:c r="G1797" s="4" t="n">
        <x:f>IF('계산 과정'!$L$7,IF(ABS(F1797)&gt;=1E-12*MAX(1,SQRT((D1797-'계산 과정'!$C$33)^2+(E1797-'계산 과정'!$D$33)^2+'계산 과정'!$E$33^2)),('계산 과정'!$L$23-'계산 과정'!$C$49*D1797-'계산 과정'!$D$49*E1797)/F1797,""),"")</x:f>
        <x:v>0.8415927721029599</x:v>
      </x:c>
      <x:c r="H1797" s="4" t="n">
        <x:f>IF(AND(ISNUMBER(G1797),G1797&gt;0),('계산 과정'!$D$56+'계산 과정'!$D$57*D1797+'계산 과정'!$D$58*E1797)/F1797,"")</x:f>
        <x:v>147.0353018669239</x:v>
      </x:c>
      <x:c r="I1797" s="4" t="n">
        <x:f>IF(AND(ISNUMBER(G1797),G1797&gt;0),('계산 과정'!$E$56+'계산 과정'!$E$57*D1797+'계산 과정'!$E$58*E1797)/F1797,"")</x:f>
        <x:v>153.33641585256458</x:v>
      </x:c>
      <x:c r="J1797" s="4" t="n">
        <x:f>IF('계산 과정'!$L$5,'계산 과정'!$D$6+'계산 과정'!$C$35*D1797+'계산 과정'!$D$35*E1797,"")</x:f>
        <x:v>570.1586235055535</x:v>
      </x:c>
      <x:c r="K1797" s="4" t="n">
        <x:f>IF(AND('계산 과정'!$L$6,J1797&gt;0),'계산 과정'!$D$10*('계산 과정'!$C$38*(D1797-'계산 과정'!$C$32)+'계산 과정'!$D$38*(E1797-'계산 과정'!$D$32)-'계산 과정'!$E$38*'계산 과정'!$E$32)/J1797,"")</x:f>
        <x:v>1.1202689666051353</x:v>
      </x:c>
      <x:c r="L1797" s="4" t="n">
        <x:f>IF(AND('계산 과정'!$L$6,J1797&gt;0),'계산 과정'!$D$10*('계산 과정'!$C$39*(D1797-'계산 과정'!$C$32)+'계산 과정'!$D$39*(E1797-'계산 과정'!$D$32)-'계산 과정'!$E$39*'계산 과정'!$E$32)/J1797,"")</x:f>
        <x:v>1.1682774541147778</x:v>
      </x:c>
      <x:c r="M1797" s="17" t="n">
        <x:f>IF('계산 과정'!$L$6,IF(J1797&lt;=0,0,IF(AND(ABS(K1797)&lt;='계산 과정'!$D$11/2,ABS(L1797)&lt;='계산 과정'!$D$12/2),1,0)),"")</x:f>
        <x:v>1</x:v>
      </x:c>
      <x:c r="N1797" s="17" t="n">
        <x:f>IF('계산 과정'!$C$78,IF(AND(ISNUMBER(H1797),ISNUMBER(I1797),ABS(H1797-'계산 과정'!$C$88)&lt;='계산 과정'!$D$23/2,ABS(I1797-'계산 과정'!$C$89)&lt;='계산 과정'!$D$24/2),1,0),"")</x:f>
        <x:v>1</x:v>
      </x:c>
      <x:c r="O1797" s="4" t="n">
        <x:f>IF('계산 과정'!$L$7,'계산 과정'!$C$49*('계산 과정'!$C$32-D1797)+'계산 과정'!$D$49*('계산 과정'!$D$32-E1797)+'계산 과정'!$E$49*'계산 과정'!$E$32,"")</x:f>
        <x:v>79.84137649444668</x:v>
      </x:c>
      <x:c r="P1797" s="4" t="n">
        <x:f>IF(AND('계산 과정'!$L$7,O1797&lt;&gt;0),('계산 과정'!$L$23-'계산 과정'!$C$49*D1797-'계산 과정'!$D$49*E1797)/O1797,"")</x:f>
        <x:v>6.0099336655076545</x:v>
      </x:c>
      <x:c r="Q1797" s="4" t="str">
        <x:f>IF(AND(ISNUMBER(P1797),P1797&gt;1E-9,P1797&lt;1-1E-9),'계산 과정'!$C$47*(D1797-'계산 과정'!$C$50+P1797*('계산 과정'!$C$32-D1797))+'계산 과정'!$D$47*(E1797-'계산 과정'!$D$50+P1797*('계산 과정'!$D$32-E1797))+'계산 과정'!$E$47*(0-'계산 과정'!$E$50+P1797*('계산 과정'!$E$32-0)),"")</x:f>
      </x:c>
      <x:c r="R1797" s="4" t="str">
        <x:f>IF(AND(ISNUMBER(P1797),P1797&gt;1E-9,P1797&lt;1-1E-9),'계산 과정'!$C$48*(D1797-'계산 과정'!$C$50+P1797*('계산 과정'!$C$32-D1797))+'계산 과정'!$D$48*(E1797-'계산 과정'!$D$50+P1797*('계산 과정'!$D$32-E1797))+'계산 과정'!$E$48*(0-'계산 과정'!$E$50+P1797*('계산 과정'!$E$32-0)),"")</x:f>
      </x:c>
      <x:c r="S1797" s="17" t="n">
        <x:f>IF('계산 과정'!$C$78,IF(AND(ISNUMBER(Q1797),ISNUMBER(R1797),ABS(Q1797-'계산 과정'!$C$88)&lt;='계산 과정'!$D$23/2,ABS(R1797-'계산 과정'!$C$89)&lt;='계산 과정'!$D$24/2),1,0),"")</x:f>
        <x:v>0</x:v>
      </x:c>
      <x:c r="T1797" s="4"/>
      <x:c r="U1797" s="4"/>
      <x:c r="V1797" s="4"/>
      <x:c r="W1797" s="4"/>
      <x:c r="X1797" s="4"/>
      <x:c r="Y1797" s="4"/>
      <x:c r="Z1797" s="4"/>
    </x:row>
    <x:row r="1798" ht="23" customHeight="1">
      <x:c r="A1798" s="17" t="n">
        <x:f>ROW()-6</x:f>
        <x:v>1792</x:v>
      </x:c>
      <x:c r="B1798" s="4" t="n">
        <x:f>IF('계산 과정'!$L$5,'계산 과정'!$L$11*SQRT((A1798+0.5)/'계산 과정'!$L$30),"")</x:f>
        <x:v>140.33172543677534</x:v>
      </x:c>
      <x:c r="C1798" s="4" t="n">
        <x:f>A1798*PI()*(3-SQRT(5))</x:f>
        <x:v>4300.734107673746</x:v>
      </x:c>
      <x:c r="D1798" s="4" t="n">
        <x:f>IF('계산 과정'!$L$5,B1798*COS(C1798),"")</x:f>
        <x:v>-139.5405853935041</x:v>
      </x:c>
      <x:c r="E1798" s="4" t="n">
        <x:f>IF('계산 과정'!$L$5,B1798*SIN(C1798),"")</x:f>
        <x:v>14.880127422192585</x:v>
      </x:c>
      <x:c r="F1798" s="4" t="n">
        <x:f>IF('계산 과정'!$L$7,'계산 과정'!$L$22+'계산 과정'!$C$49*D1798+'계산 과정'!$D$49*E1798,"")</x:f>
        <x:v>748.6700941824872</x:v>
      </x:c>
      <x:c r="G1798" s="4" t="n">
        <x:f>IF('계산 과정'!$L$7,IF(ABS(F1798)&gt;=1E-12*MAX(1,SQRT((D1798-'계산 과정'!$C$33)^2+(E1798-'계산 과정'!$D$33)^2+'계산 과정'!$E$33^2)),('계산 과정'!$L$23-'계산 과정'!$C$49*D1798-'계산 과정'!$D$49*E1798)/F1798,""),"")</x:f>
        <x:v>0.40248690065088144</x:v>
      </x:c>
      <x:c r="H1798" s="4" t="n">
        <x:f>IF(AND(ISNUMBER(G1798),G1798&gt;0),('계산 과정'!$D$56+'계산 과정'!$D$57*D1798+'계산 과정'!$D$58*E1798)/F1798,"")</x:f>
        <x:v>-138.38351457692724</x:v>
      </x:c>
      <x:c r="I1798" s="4" t="n">
        <x:f>IF(AND(ISNUMBER(G1798),G1798&gt;0),('계산 과정'!$E$56+'계산 과정'!$E$57*D1798+'계산 과정'!$E$58*E1798)/F1798,"")</x:f>
        <x:v>20.869183789641067</x:v>
      </x:c>
      <x:c r="J1798" s="4" t="n">
        <x:f>IF('계산 과정'!$L$5,'계산 과정'!$D$6+'계산 과정'!$C$35*D1798+'계산 과정'!$D$35*E1798,"")</x:f>
        <x:v>748.6700941824872</x:v>
      </x:c>
      <x:c r="K1798" s="4" t="n">
        <x:f>IF(AND('계산 과정'!$L$6,J1798&gt;0),'계산 과정'!$D$10*('계산 과정'!$C$38*(D1798-'계산 과정'!$C$32)+'계산 과정'!$D$38*(E1798-'계산 과정'!$D$32)-'계산 과정'!$E$38*'계산 과정'!$E$32)/J1798,"")</x:f>
        <x:v>-1.0543505872527783</x:v>
      </x:c>
      <x:c r="L1798" s="4" t="n">
        <x:f>IF(AND('계산 과정'!$L$6,J1798&gt;0),'계산 과정'!$D$10*('계산 과정'!$C$39*(D1798-'계산 과정'!$C$32)+'계산 과정'!$D$39*(E1798-'계산 과정'!$D$32)-'계산 과정'!$E$39*'계산 과정'!$E$32)/J1798,"")</x:f>
        <x:v>0.15900330506393195</x:v>
      </x:c>
      <x:c r="M1798" s="17" t="n">
        <x:f>IF('계산 과정'!$L$6,IF(J1798&lt;=0,0,IF(AND(ABS(K1798)&lt;='계산 과정'!$D$11/2,ABS(L1798)&lt;='계산 과정'!$D$12/2),1,0)),"")</x:f>
        <x:v>1</x:v>
      </x:c>
      <x:c r="N1798" s="17" t="n">
        <x:f>IF('계산 과정'!$C$78,IF(AND(ISNUMBER(H1798),ISNUMBER(I1798),ABS(H1798-'계산 과정'!$C$88)&lt;='계산 과정'!$D$23/2,ABS(I1798-'계산 과정'!$C$89)&lt;='계산 과정'!$D$24/2),1,0),"")</x:f>
        <x:v>1</x:v>
      </x:c>
      <x:c r="O1798" s="4" t="n">
        <x:f>IF('계산 과정'!$L$7,'계산 과정'!$C$49*('계산 과정'!$C$32-D1798)+'계산 과정'!$D$49*('계산 과정'!$D$32-E1798)+'계산 과정'!$E$49*'계산 과정'!$E$32,"")</x:f>
        <x:v>-98.6700941824871</x:v>
      </x:c>
      <x:c r="P1798" s="4" t="n">
        <x:f>IF(AND('계산 과정'!$L$7,O1798&lt;&gt;0),('계산 과정'!$L$23-'계산 과정'!$C$49*D1798-'계산 과정'!$D$49*E1798)/O1798,"")</x:f>
        <x:v>-3.053913227854156</x:v>
      </x:c>
      <x:c r="Q1798" s="4" t="str">
        <x:f>IF(AND(ISNUMBER(P1798),P1798&gt;1E-9,P1798&lt;1-1E-9),'계산 과정'!$C$47*(D1798-'계산 과정'!$C$50+P1798*('계산 과정'!$C$32-D1798))+'계산 과정'!$D$47*(E1798-'계산 과정'!$D$50+P1798*('계산 과정'!$D$32-E1798))+'계산 과정'!$E$47*(0-'계산 과정'!$E$50+P1798*('계산 과정'!$E$32-0)),"")</x:f>
      </x:c>
      <x:c r="R1798" s="4" t="str">
        <x:f>IF(AND(ISNUMBER(P1798),P1798&gt;1E-9,P1798&lt;1-1E-9),'계산 과정'!$C$48*(D1798-'계산 과정'!$C$50+P1798*('계산 과정'!$C$32-D1798))+'계산 과정'!$D$48*(E1798-'계산 과정'!$D$50+P1798*('계산 과정'!$D$32-E1798))+'계산 과정'!$E$48*(0-'계산 과정'!$E$50+P1798*('계산 과정'!$E$32-0)),"")</x:f>
      </x:c>
      <x:c r="S1798" s="17" t="n">
        <x:f>IF('계산 과정'!$C$78,IF(AND(ISNUMBER(Q1798),ISNUMBER(R1798),ABS(Q1798-'계산 과정'!$C$88)&lt;='계산 과정'!$D$23/2,ABS(R1798-'계산 과정'!$C$89)&lt;='계산 과정'!$D$24/2),1,0),"")</x:f>
        <x:v>0</x:v>
      </x:c>
      <x:c r="T1798" s="4"/>
      <x:c r="U1798" s="4"/>
      <x:c r="V1798" s="4"/>
      <x:c r="W1798" s="4"/>
      <x:c r="X1798" s="4"/>
      <x:c r="Y1798" s="4"/>
      <x:c r="Z1798" s="4"/>
    </x:row>
    <x:row r="1799" ht="23" customHeight="1">
      <x:c r="A1799" s="17" t="n">
        <x:f>ROW()-6</x:f>
        <x:v>1793</x:v>
      </x:c>
      <x:c r="B1799" s="4" t="n">
        <x:f>IF('계산 과정'!$L$5,'계산 과정'!$L$11*SQRT((A1799+0.5)/'계산 과정'!$L$30),"")</x:f>
        <x:v>140.3708641142723</x:v>
      </x:c>
      <x:c r="C1799" s="4" t="n">
        <x:f>A1799*PI()*(3-SQRT(5))</x:f>
        <x:v>4303.134070903475</x:v>
      </x:c>
      <x:c r="D1799" s="4" t="n">
        <x:f>IF('계산 과정'!$L$5,B1799*COS(C1799),"")</x:f>
        <x:v>92.86739684761048</x:v>
      </x:c>
      <x:c r="E1799" s="4" t="n">
        <x:f>IF('계산 과정'!$L$5,B1799*SIN(C1799),"")</x:f>
        <x:v>-105.25980284484636</x:v>
      </x:c>
      <x:c r="F1799" s="4" t="n">
        <x:f>IF('계산 과정'!$L$7,'계산 과정'!$L$22+'계산 과정'!$C$49*D1799+'계산 과정'!$D$49*E1799,"")</x:f>
        <x:v>584.3328339379125</x:v>
      </x:c>
      <x:c r="G1799" s="4" t="n">
        <x:f>IF('계산 과정'!$L$7,IF(ABS(F1799)&gt;=1E-12*MAX(1,SQRT((D1799-'계산 과정'!$C$33)^2+(E1799-'계산 과정'!$D$33)^2+'계산 과정'!$E$33^2)),('계산 과정'!$L$23-'계산 과정'!$C$49*D1799-'계산 과정'!$D$49*E1799)/F1799,""),"")</x:f>
        <x:v>0.7969211021805536</x:v>
      </x:c>
      <x:c r="H1799" s="4" t="n">
        <x:f>IF(AND(ISNUMBER(G1799),G1799&gt;0),('계산 과정'!$D$56+'계산 과정'!$D$57*D1799+'계산 과정'!$D$58*E1799)/F1799,"")</x:f>
        <x:v>117.99871641735974</x:v>
      </x:c>
      <x:c r="I1799" s="4" t="n">
        <x:f>IF(AND(ISNUMBER(G1799),G1799&gt;0),('계산 과정'!$E$56+'계산 과정'!$E$57*D1799+'계산 과정'!$E$58*E1799)/F1799,"")</x:f>
        <x:v>-189.14356094326908</x:v>
      </x:c>
      <x:c r="J1799" s="4" t="n">
        <x:f>IF('계산 과정'!$L$5,'계산 과정'!$D$6+'계산 과정'!$C$35*D1799+'계산 과정'!$D$35*E1799,"")</x:f>
        <x:v>584.3328339379125</x:v>
      </x:c>
      <x:c r="K1799" s="4" t="n">
        <x:f>IF(AND('계산 과정'!$L$6,J1799&gt;0),'계산 과정'!$D$10*('계산 과정'!$C$38*(D1799-'계산 과정'!$C$32)+'계산 과정'!$D$38*(E1799-'계산 과정'!$D$32)-'계산 과정'!$E$38*'계산 과정'!$E$32)/J1799,"")</x:f>
        <x:v>0.8990378393703614</x:v>
      </x:c>
      <x:c r="L1799" s="4" t="n">
        <x:f>IF(AND('계산 과정'!$L$6,J1799&gt;0),'계산 과정'!$D$10*('계산 과정'!$C$39*(D1799-'계산 과정'!$C$32)+'계산 과정'!$D$39*(E1799-'계산 과정'!$D$32)-'계산 과정'!$E$39*'계산 과정'!$E$32)/J1799,"")</x:f>
        <x:v>-1.4410937976630025</x:v>
      </x:c>
      <x:c r="M1799" s="17" t="n">
        <x:f>IF('계산 과정'!$L$6,IF(J1799&lt;=0,0,IF(AND(ABS(K1799)&lt;='계산 과정'!$D$11/2,ABS(L1799)&lt;='계산 과정'!$D$12/2),1,0)),"")</x:f>
        <x:v>1</x:v>
      </x:c>
      <x:c r="N1799" s="17" t="n">
        <x:f>IF('계산 과정'!$C$78,IF(AND(ISNUMBER(H1799),ISNUMBER(I1799),ABS(H1799-'계산 과정'!$C$88)&lt;='계산 과정'!$D$23/2,ABS(I1799-'계산 과정'!$C$89)&lt;='계산 과정'!$D$24/2),1,0),"")</x:f>
        <x:v>1</x:v>
      </x:c>
      <x:c r="O1799" s="4" t="n">
        <x:f>IF('계산 과정'!$L$7,'계산 과정'!$C$49*('계산 과정'!$C$32-D1799)+'계산 과정'!$D$49*('계산 과정'!$D$32-E1799)+'계산 과정'!$E$49*'계산 과정'!$E$32,"")</x:f>
        <x:v>65.66716606208769</x:v>
      </x:c>
      <x:c r="P1799" s="4" t="n">
        <x:f>IF(AND('계산 과정'!$L$7,O1799&lt;&gt;0),('계산 과정'!$L$23-'계산 과정'!$C$49*D1799-'계산 과정'!$D$49*E1799)/O1799,"")</x:f>
        <x:v>7.09132423381578</x:v>
      </x:c>
      <x:c r="Q1799" s="4" t="str">
        <x:f>IF(AND(ISNUMBER(P1799),P1799&gt;1E-9,P1799&lt;1-1E-9),'계산 과정'!$C$47*(D1799-'계산 과정'!$C$50+P1799*('계산 과정'!$C$32-D1799))+'계산 과정'!$D$47*(E1799-'계산 과정'!$D$50+P1799*('계산 과정'!$D$32-E1799))+'계산 과정'!$E$47*(0-'계산 과정'!$E$50+P1799*('계산 과정'!$E$32-0)),"")</x:f>
      </x:c>
      <x:c r="R1799" s="4" t="str">
        <x:f>IF(AND(ISNUMBER(P1799),P1799&gt;1E-9,P1799&lt;1-1E-9),'계산 과정'!$C$48*(D1799-'계산 과정'!$C$50+P1799*('계산 과정'!$C$32-D1799))+'계산 과정'!$D$48*(E1799-'계산 과정'!$D$50+P1799*('계산 과정'!$D$32-E1799))+'계산 과정'!$E$48*(0-'계산 과정'!$E$50+P1799*('계산 과정'!$E$32-0)),"")</x:f>
      </x:c>
      <x:c r="S1799" s="17" t="n">
        <x:f>IF('계산 과정'!$C$78,IF(AND(ISNUMBER(Q1799),ISNUMBER(R1799),ABS(Q1799-'계산 과정'!$C$88)&lt;='계산 과정'!$D$23/2,ABS(R1799-'계산 과정'!$C$89)&lt;='계산 과정'!$D$24/2),1,0),"")</x:f>
        <x:v>0</x:v>
      </x:c>
      <x:c r="T1799" s="4"/>
      <x:c r="U1799" s="4"/>
      <x:c r="V1799" s="4"/>
      <x:c r="W1799" s="4"/>
      <x:c r="X1799" s="4"/>
      <x:c r="Y1799" s="4"/>
      <x:c r="Z1799" s="4"/>
    </x:row>
    <x:row r="1800" ht="23" customHeight="1">
      <x:c r="A1800" s="17" t="n">
        <x:f>ROW()-6</x:f>
        <x:v>1794</x:v>
      </x:c>
      <x:c r="B1800" s="4" t="n">
        <x:f>IF('계산 과정'!$L$5,'계산 과정'!$L$11*SQRT((A1800+0.5)/'계산 과정'!$L$30),"")</x:f>
        <x:v>140.40999188203276</x:v>
      </x:c>
      <x:c r="C1800" s="4" t="n">
        <x:f>A1800*PI()*(3-SQRT(5))</x:f>
        <x:v>4305.534034133203</x:v>
      </x:c>
      <x:c r="D1800" s="4" t="n">
        <x:f>IF('계산 과정'!$L$5,B1800*COS(C1800),"")</x:f>
        <x:v>2.6251785272398585</x:v>
      </x:c>
      <x:c r="E1800" s="4" t="n">
        <x:f>IF('계산 과정'!$L$5,B1800*SIN(C1800),"")</x:f>
        <x:v>140.385448882755</x:v>
      </x:c>
      <x:c r="F1800" s="4" t="n">
        <x:f>IF('계산 과정'!$L$7,'계산 과정'!$L$22+'계산 과정'!$C$49*D1800+'계산 과정'!$D$49*E1800,"")</x:f>
        <x:v>648.1437184615634</x:v>
      </x:c>
      <x:c r="G1800" s="4" t="n">
        <x:f>IF('계산 과정'!$L$7,IF(ABS(F1800)&gt;=1E-12*MAX(1,SQRT((D1800-'계산 과정'!$C$33)^2+(E1800-'계산 과정'!$D$33)^2+'계산 과정'!$E$33^2)),('계산 과정'!$L$23-'계산 과정'!$C$49*D1800-'계산 과정'!$D$49*E1800)/F1800,""),"")</x:f>
        <x:v>0.620011071760881</x:v>
      </x:c>
      <x:c r="H1800" s="4" t="n">
        <x:f>IF(AND(ISNUMBER(G1800),G1800&gt;0),('계산 과정'!$D$56+'계산 과정'!$D$57*D1800+'계산 과정'!$D$58*E1800)/F1800,"")</x:f>
        <x:v>3.0071966445725287</x:v>
      </x:c>
      <x:c r="I1800" s="4" t="n">
        <x:f>IF(AND(ISNUMBER(G1800),G1800&gt;0),('계산 과정'!$E$56+'계산 과정'!$E$57*D1800+'계산 과정'!$E$58*E1800)/F1800,"")</x:f>
        <x:v>227.4259815041843</x:v>
      </x:c>
      <x:c r="J1800" s="4" t="n">
        <x:f>IF('계산 과정'!$L$5,'계산 과정'!$D$6+'계산 과정'!$C$35*D1800+'계산 과정'!$D$35*E1800,"")</x:f>
        <x:v>648.1437184615634</x:v>
      </x:c>
      <x:c r="K1800" s="4" t="n">
        <x:f>IF(AND('계산 과정'!$L$6,J1800&gt;0),'계산 과정'!$D$10*('계산 과정'!$C$38*(D1800-'계산 과정'!$C$32)+'계산 과정'!$D$38*(E1800-'계산 과정'!$D$32)-'계산 과정'!$E$38*'계산 과정'!$E$32)/J1800,"")</x:f>
        <x:v>0.022911974434839368</x:v>
      </x:c>
      <x:c r="L1800" s="4" t="n">
        <x:f>IF(AND('계산 과정'!$L$6,J1800&gt;0),'계산 과정'!$D$10*('계산 과정'!$C$39*(D1800-'계산 과정'!$C$32)+'계산 과정'!$D$39*(E1800-'계산 과정'!$D$32)-'계산 과정'!$E$39*'계산 과정'!$E$32)/J1800,"")</x:f>
        <x:v>1.7327693828890234</x:v>
      </x:c>
      <x:c r="M1800" s="17" t="n">
        <x:f>IF('계산 과정'!$L$6,IF(J1800&lt;=0,0,IF(AND(ABS(K1800)&lt;='계산 과정'!$D$11/2,ABS(L1800)&lt;='계산 과정'!$D$12/2),1,0)),"")</x:f>
        <x:v>1</x:v>
      </x:c>
      <x:c r="N1800" s="17" t="n">
        <x:f>IF('계산 과정'!$C$78,IF(AND(ISNUMBER(H1800),ISNUMBER(I1800),ABS(H1800-'계산 과정'!$C$88)&lt;='계산 과정'!$D$23/2,ABS(I1800-'계산 과정'!$C$89)&lt;='계산 과정'!$D$24/2),1,0),"")</x:f>
        <x:v>1</x:v>
      </x:c>
      <x:c r="O1800" s="4" t="n">
        <x:f>IF('계산 과정'!$L$7,'계산 과정'!$C$49*('계산 과정'!$C$32-D1800)+'계산 과정'!$D$49*('계산 과정'!$D$32-E1800)+'계산 과정'!$E$49*'계산 과정'!$E$32,"")</x:f>
        <x:v>1.8562815384367468</x:v>
      </x:c>
      <x:c r="P1800" s="4" t="n">
        <x:f>IF(AND('계산 과정'!$L$7,O1800&lt;&gt;0),('계산 과정'!$L$23-'계산 과정'!$C$49*D1800-'계산 과정'!$D$49*E1800)/O1800,"")</x:f>
        <x:v>216.4845543186605</x:v>
      </x:c>
      <x:c r="Q1800" s="4" t="str">
        <x:f>IF(AND(ISNUMBER(P1800),P1800&gt;1E-9,P1800&lt;1-1E-9),'계산 과정'!$C$47*(D1800-'계산 과정'!$C$50+P1800*('계산 과정'!$C$32-D1800))+'계산 과정'!$D$47*(E1800-'계산 과정'!$D$50+P1800*('계산 과정'!$D$32-E1800))+'계산 과정'!$E$47*(0-'계산 과정'!$E$50+P1800*('계산 과정'!$E$32-0)),"")</x:f>
      </x:c>
      <x:c r="R1800" s="4" t="str">
        <x:f>IF(AND(ISNUMBER(P1800),P1800&gt;1E-9,P1800&lt;1-1E-9),'계산 과정'!$C$48*(D1800-'계산 과정'!$C$50+P1800*('계산 과정'!$C$32-D1800))+'계산 과정'!$D$48*(E1800-'계산 과정'!$D$50+P1800*('계산 과정'!$D$32-E1800))+'계산 과정'!$E$48*(0-'계산 과정'!$E$50+P1800*('계산 과정'!$E$32-0)),"")</x:f>
      </x:c>
      <x:c r="S1800" s="17" t="n">
        <x:f>IF('계산 과정'!$C$78,IF(AND(ISNUMBER(Q1800),ISNUMBER(R1800),ABS(Q1800-'계산 과정'!$C$88)&lt;='계산 과정'!$D$23/2,ABS(R1800-'계산 과정'!$C$89)&lt;='계산 과정'!$D$24/2),1,0),"")</x:f>
        <x:v>0</x:v>
      </x:c>
      <x:c r="T1800" s="4"/>
      <x:c r="U1800" s="4"/>
      <x:c r="V1800" s="4"/>
      <x:c r="W1800" s="4"/>
      <x:c r="X1800" s="4"/>
      <x:c r="Y1800" s="4"/>
      <x:c r="Z1800" s="4"/>
    </x:row>
    <x:row r="1801" ht="23" customHeight="1">
      <x:c r="A1801" s="17" t="n">
        <x:f>ROW()-6</x:f>
        <x:v>1795</x:v>
      </x:c>
      <x:c r="B1801" s="4" t="n">
        <x:f>IF('계산 과정'!$L$5,'계산 과정'!$L$11*SQRT((A1801+0.5)/'계산 과정'!$L$30),"")</x:f>
        <x:v>140.44910874917468</x:v>
      </x:c>
      <x:c r="C1801" s="4" t="n">
        <x:f>A1801*PI()*(3-SQRT(5))</x:f>
        <x:v>4307.933997362932</x:v>
      </x:c>
      <x:c r="D1801" s="4" t="n">
        <x:f>IF('계산 과정'!$L$5,B1801*COS(C1801),"")</x:f>
        <x:v>-96.79169084092564</x:v>
      </x:c>
      <x:c r="E1801" s="4" t="n">
        <x:f>IF('계산 과정'!$L$5,B1801*SIN(C1801),"")</x:f>
        <x:v>-101.77092282470552</x:v>
      </x:c>
      <x:c r="F1801" s="4" t="n">
        <x:f>IF('계산 과정'!$L$7,'계산 과정'!$L$22+'계산 과정'!$C$49*D1801+'계산 과정'!$D$49*E1801,"")</x:f>
        <x:v>718.4420609561304</x:v>
      </x:c>
      <x:c r="G1801" s="4" t="n">
        <x:f>IF('계산 과정'!$L$7,IF(ABS(F1801)&gt;=1E-12*MAX(1,SQRT((D1801-'계산 과정'!$C$33)^2+(E1801-'계산 과정'!$D$33)^2+'계산 과정'!$E$33^2)),('계산 과정'!$L$23-'계산 과정'!$C$49*D1801-'계산 과정'!$D$49*E1801)/F1801,""),"")</x:f>
        <x:v>0.4614957239594513</x:v>
      </x:c>
      <x:c r="H1801" s="4" t="n">
        <x:f>IF(AND(ISNUMBER(G1801),G1801&gt;0),('계산 과정'!$D$56+'계산 과정'!$D$57*D1801+'계산 과정'!$D$58*E1801)/F1801,"")</x:f>
        <x:v>-100.02777942635676</x:v>
      </x:c>
      <x:c r="I1801" s="4" t="n">
        <x:f>IF(AND(ISNUMBER(G1801),G1801&gt;0),('계산 과정'!$E$56+'계산 과정'!$E$57*D1801+'계산 과정'!$E$58*E1801)/F1801,"")</x:f>
        <x:v>-148.73776853171444</x:v>
      </x:c>
      <x:c r="J1801" s="4" t="n">
        <x:f>IF('계산 과정'!$L$5,'계산 과정'!$D$6+'계산 과정'!$C$35*D1801+'계산 과정'!$D$35*E1801,"")</x:f>
        <x:v>718.4420609561304</x:v>
      </x:c>
      <x:c r="K1801" s="4" t="n">
        <x:f>IF(AND('계산 과정'!$L$6,J1801&gt;0),'계산 과정'!$D$10*('계산 과정'!$C$38*(D1801-'계산 과정'!$C$32)+'계산 과정'!$D$38*(E1801-'계산 과정'!$D$32)-'계산 과정'!$E$38*'계산 과정'!$E$32)/J1801,"")</x:f>
        <x:v>-0.7621164146770031</x:v>
      </x:c>
      <x:c r="L1801" s="4" t="n">
        <x:f>IF(AND('계산 과정'!$L$6,J1801&gt;0),'계산 과정'!$D$10*('계산 과정'!$C$39*(D1801-'계산 과정'!$C$32)+'계산 과정'!$D$39*(E1801-'계산 과정'!$D$32)-'계산 과정'!$E$39*'계산 과정'!$E$32)/J1801,"")</x:f>
        <x:v>-1.1332401411940147</x:v>
      </x:c>
      <x:c r="M1801" s="17" t="n">
        <x:f>IF('계산 과정'!$L$6,IF(J1801&lt;=0,0,IF(AND(ABS(K1801)&lt;='계산 과정'!$D$11/2,ABS(L1801)&lt;='계산 과정'!$D$12/2),1,0)),"")</x:f>
        <x:v>1</x:v>
      </x:c>
      <x:c r="N1801" s="17" t="n">
        <x:f>IF('계산 과정'!$C$78,IF(AND(ISNUMBER(H1801),ISNUMBER(I1801),ABS(H1801-'계산 과정'!$C$88)&lt;='계산 과정'!$D$23/2,ABS(I1801-'계산 과정'!$C$89)&lt;='계산 과정'!$D$24/2),1,0),"")</x:f>
        <x:v>1</x:v>
      </x:c>
      <x:c r="O1801" s="4" t="n">
        <x:f>IF('계산 과정'!$L$7,'계산 과정'!$C$49*('계산 과정'!$C$32-D1801)+'계산 과정'!$D$49*('계산 과정'!$D$32-E1801)+'계산 과정'!$E$49*'계산 과정'!$E$32,"")</x:f>
        <x:v>-68.44206095613026</x:v>
      </x:c>
      <x:c r="P1801" s="4" t="n">
        <x:f>IF(AND('계산 과정'!$L$7,O1801&lt;&gt;0),('계산 과정'!$L$23-'계산 과정'!$C$49*D1801-'계산 과정'!$D$49*E1801)/O1801,"")</x:f>
        <x:v>-4.8443593663316245</x:v>
      </x:c>
      <x:c r="Q1801" s="4" t="str">
        <x:f>IF(AND(ISNUMBER(P1801),P1801&gt;1E-9,P1801&lt;1-1E-9),'계산 과정'!$C$47*(D1801-'계산 과정'!$C$50+P1801*('계산 과정'!$C$32-D1801))+'계산 과정'!$D$47*(E1801-'계산 과정'!$D$50+P1801*('계산 과정'!$D$32-E1801))+'계산 과정'!$E$47*(0-'계산 과정'!$E$50+P1801*('계산 과정'!$E$32-0)),"")</x:f>
      </x:c>
      <x:c r="R1801" s="4" t="str">
        <x:f>IF(AND(ISNUMBER(P1801),P1801&gt;1E-9,P1801&lt;1-1E-9),'계산 과정'!$C$48*(D1801-'계산 과정'!$C$50+P1801*('계산 과정'!$C$32-D1801))+'계산 과정'!$D$48*(E1801-'계산 과정'!$D$50+P1801*('계산 과정'!$D$32-E1801))+'계산 과정'!$E$48*(0-'계산 과정'!$E$50+P1801*('계산 과정'!$E$32-0)),"")</x:f>
      </x:c>
      <x:c r="S1801" s="17" t="n">
        <x:f>IF('계산 과정'!$C$78,IF(AND(ISNUMBER(Q1801),ISNUMBER(R1801),ABS(Q1801-'계산 과정'!$C$88)&lt;='계산 과정'!$D$23/2,ABS(R1801-'계산 과정'!$C$89)&lt;='계산 과정'!$D$24/2),1,0),"")</x:f>
        <x:v>0</x:v>
      </x:c>
      <x:c r="T1801" s="4"/>
      <x:c r="U1801" s="4"/>
      <x:c r="V1801" s="4"/>
      <x:c r="W1801" s="4"/>
      <x:c r="X1801" s="4"/>
      <x:c r="Y1801" s="4"/>
      <x:c r="Z1801" s="4"/>
    </x:row>
    <x:row r="1802" ht="23" customHeight="1">
      <x:c r="A1802" s="17" t="n">
        <x:f>ROW()-6</x:f>
        <x:v>1796</x:v>
      </x:c>
      <x:c r="B1802" s="4" t="n">
        <x:f>IF('계산 과정'!$L$5,'계산 과정'!$L$11*SQRT((A1802+0.5)/'계산 과정'!$L$30),"")</x:f>
        <x:v>140.48821472480353</x:v>
      </x:c>
      <x:c r="C1802" s="4" t="n">
        <x:f>A1802*PI()*(3-SQRT(5))</x:f>
        <x:v>4310.333960592661</x:v>
      </x:c>
      <x:c r="D1802" s="4" t="n">
        <x:f>IF('계산 과정'!$L$5,B1802*COS(C1802),"")</x:f>
        <x:v>140.15546444082645</x:v>
      </x:c>
      <x:c r="E1802" s="4" t="n">
        <x:f>IF('계산 과정'!$L$5,B1802*SIN(C1802),"")</x:f>
        <x:v>9.663553380549855</x:v>
      </x:c>
      <x:c r="F1802" s="4" t="n">
        <x:f>IF('계산 과정'!$L$7,'계산 과정'!$L$22+'계산 과정'!$C$49*D1802+'계산 과정'!$D$49*E1802,"")</x:f>
        <x:v>550.8951206735416</x:v>
      </x:c>
      <x:c r="G1802" s="4" t="n">
        <x:f>IF('계산 과정'!$L$7,IF(ABS(F1802)&gt;=1E-12*MAX(1,SQRT((D1802-'계산 과정'!$C$33)^2+(E1802-'계산 과정'!$D$33)^2+'계산 과정'!$E$33^2)),('계산 과정'!$L$23-'계산 과정'!$C$49*D1802-'계산 과정'!$D$49*E1802)/F1802,""),"")</x:f>
        <x:v>0.9059889271051034</x:v>
      </x:c>
      <x:c r="H1802" s="4" t="n">
        <x:f>IF(AND(ISNUMBER(G1802),G1802&gt;0),('계산 과정'!$D$56+'계산 과정'!$D$57*D1802+'계산 과정'!$D$58*E1802)/F1802,"")</x:f>
        <x:v>188.89280261831712</x:v>
      </x:c>
      <x:c r="I1802" s="4" t="n">
        <x:f>IF(AND(ISNUMBER(G1802),G1802&gt;0),('계산 과정'!$E$56+'계산 과정'!$E$57*D1802+'계산 과정'!$E$58*E1802)/F1802,"")</x:f>
        <x:v>18.418625739817113</x:v>
      </x:c>
      <x:c r="J1802" s="4" t="n">
        <x:f>IF('계산 과정'!$L$5,'계산 과정'!$D$6+'계산 과정'!$C$35*D1802+'계산 과정'!$D$35*E1802,"")</x:f>
        <x:v>550.8951206735416</x:v>
      </x:c>
      <x:c r="K1802" s="4" t="n">
        <x:f>IF(AND('계산 과정'!$L$6,J1802&gt;0),'계산 과정'!$D$10*('계산 과정'!$C$38*(D1802-'계산 과정'!$C$32)+'계산 과정'!$D$38*(E1802-'계산 과정'!$D$32)-'계산 과정'!$E$38*'계산 과정'!$E$32)/J1802,"")</x:f>
        <x:v>1.4391832580443218</x:v>
      </x:c>
      <x:c r="L1802" s="4" t="n">
        <x:f>IF(AND('계산 과정'!$L$6,J1802&gt;0),'계산 과정'!$D$10*('계산 과정'!$C$39*(D1802-'계산 과정'!$C$32)+'계산 과정'!$D$39*(E1802-'계산 과정'!$D$32)-'계산 과정'!$E$39*'계산 과정'!$E$32)/J1802,"")</x:f>
        <x:v>0.14033238658908279</x:v>
      </x:c>
      <x:c r="M1802" s="17" t="n">
        <x:f>IF('계산 과정'!$L$6,IF(J1802&lt;=0,0,IF(AND(ABS(K1802)&lt;='계산 과정'!$D$11/2,ABS(L1802)&lt;='계산 과정'!$D$12/2),1,0)),"")</x:f>
        <x:v>1</x:v>
      </x:c>
      <x:c r="N1802" s="17" t="n">
        <x:f>IF('계산 과정'!$C$78,IF(AND(ISNUMBER(H1802),ISNUMBER(I1802),ABS(H1802-'계산 과정'!$C$88)&lt;='계산 과정'!$D$23/2,ABS(I1802-'계산 과정'!$C$89)&lt;='계산 과정'!$D$24/2),1,0),"")</x:f>
        <x:v>1</x:v>
      </x:c>
      <x:c r="O1802" s="4" t="n">
        <x:f>IF('계산 과정'!$L$7,'계산 과정'!$C$49*('계산 과정'!$C$32-D1802)+'계산 과정'!$D$49*('계산 과정'!$D$32-E1802)+'계산 과정'!$E$49*'계산 과정'!$E$32,"")</x:f>
        <x:v>99.1048793264585</x:v>
      </x:c>
      <x:c r="P1802" s="4" t="n">
        <x:f>IF(AND('계산 과정'!$L$7,O1802&lt;&gt;0),('계산 과정'!$L$23-'계산 과정'!$C$49*D1802-'계산 과정'!$D$49*E1802)/O1802,"")</x:f>
        <x:v>5.036128218090772</x:v>
      </x:c>
      <x:c r="Q1802" s="4" t="str">
        <x:f>IF(AND(ISNUMBER(P1802),P1802&gt;1E-9,P1802&lt;1-1E-9),'계산 과정'!$C$47*(D1802-'계산 과정'!$C$50+P1802*('계산 과정'!$C$32-D1802))+'계산 과정'!$D$47*(E1802-'계산 과정'!$D$50+P1802*('계산 과정'!$D$32-E1802))+'계산 과정'!$E$47*(0-'계산 과정'!$E$50+P1802*('계산 과정'!$E$32-0)),"")</x:f>
      </x:c>
      <x:c r="R1802" s="4" t="str">
        <x:f>IF(AND(ISNUMBER(P1802),P1802&gt;1E-9,P1802&lt;1-1E-9),'계산 과정'!$C$48*(D1802-'계산 과정'!$C$50+P1802*('계산 과정'!$C$32-D1802))+'계산 과정'!$D$48*(E1802-'계산 과정'!$D$50+P1802*('계산 과정'!$D$32-E1802))+'계산 과정'!$E$48*(0-'계산 과정'!$E$50+P1802*('계산 과정'!$E$32-0)),"")</x:f>
      </x:c>
      <x:c r="S1802" s="17" t="n">
        <x:f>IF('계산 과정'!$C$78,IF(AND(ISNUMBER(Q1802),ISNUMBER(R1802),ABS(Q1802-'계산 과정'!$C$88)&lt;='계산 과정'!$D$23/2,ABS(R1802-'계산 과정'!$C$89)&lt;='계산 과정'!$D$24/2),1,0),"")</x:f>
        <x:v>0</x:v>
      </x:c>
      <x:c r="T1802" s="4"/>
      <x:c r="U1802" s="4"/>
      <x:c r="V1802" s="4"/>
      <x:c r="W1802" s="4"/>
      <x:c r="X1802" s="4"/>
      <x:c r="Y1802" s="4"/>
      <x:c r="Z1802" s="4"/>
    </x:row>
    <x:row r="1803" ht="23" customHeight="1">
      <x:c r="A1803" s="17" t="n">
        <x:f>ROW()-6</x:f>
        <x:v>1797</x:v>
      </x:c>
      <x:c r="B1803" s="4" t="n">
        <x:f>IF('계산 과정'!$L$5,'계산 과정'!$L$11*SQRT((A1803+0.5)/'계산 과정'!$L$30),"")</x:f>
        <x:v>140.52730981801187</x:v>
      </x:c>
      <x:c r="C1803" s="4" t="n">
        <x:f>A1803*PI()*(3-SQRT(5))</x:f>
        <x:v>4312.733923822389</x:v>
      </x:c>
      <x:c r="D1803" s="4" t="n">
        <x:f>IF('계산 과정'!$L$5,B1803*COS(C1803),"")</x:f>
        <x:v>-109.90448982635431</x:v>
      </x:c>
      <x:c r="E1803" s="4" t="n">
        <x:f>IF('계산 과정'!$L$5,B1803*SIN(C1803),"")</x:f>
        <x:v>87.57241529555</x:v>
      </x:c>
      <x:c r="F1803" s="4" t="n">
        <x:f>IF('계산 과정'!$L$7,'계산 과정'!$L$22+'계산 과정'!$C$49*D1803+'계산 과정'!$D$49*E1803,"")</x:f>
        <x:v>727.714210039063</x:v>
      </x:c>
      <x:c r="G1803" s="4" t="n">
        <x:f>IF('계산 과정'!$L$7,IF(ABS(F1803)&gt;=1E-12*MAX(1,SQRT((D1803-'계산 과정'!$C$33)^2+(E1803-'계산 과정'!$D$33)^2+'계산 과정'!$E$33^2)),('계산 과정'!$L$23-'계산 과정'!$C$49*D1803-'계산 과정'!$D$49*E1803)/F1803,""),"")</x:f>
        <x:v>0.44287411942064037</x:v>
      </x:c>
      <x:c r="H1803" s="4" t="n">
        <x:f>IF(AND(ISNUMBER(G1803),G1803&gt;0),('계산 과정'!$D$56+'계산 과정'!$D$57*D1803+'계산 과정'!$D$58*E1803)/F1803,"")</x:f>
        <x:v>-112.13182237658393</x:v>
      </x:c>
      <x:c r="I1803" s="4" t="n">
        <x:f>IF(AND(ISNUMBER(G1803),G1803&gt;0),('계산 과정'!$E$56+'계산 과정'!$E$57*D1803+'계산 과정'!$E$58*E1803)/F1803,"")</x:f>
        <x:v>126.35597160510534</x:v>
      </x:c>
      <x:c r="J1803" s="4" t="n">
        <x:f>IF('계산 과정'!$L$5,'계산 과정'!$D$6+'계산 과정'!$C$35*D1803+'계산 과정'!$D$35*E1803,"")</x:f>
        <x:v>727.714210039063</x:v>
      </x:c>
      <x:c r="K1803" s="4" t="n">
        <x:f>IF(AND('계산 과정'!$L$6,J1803&gt;0),'계산 과정'!$D$10*('계산 과정'!$C$38*(D1803-'계산 과정'!$C$32)+'계산 과정'!$D$38*(E1803-'계산 과정'!$D$32)-'계산 과정'!$E$38*'계산 과정'!$E$32)/J1803,"")</x:f>
        <x:v>-0.8543376942977807</x:v>
      </x:c>
      <x:c r="L1803" s="4" t="n">
        <x:f>IF(AND('계산 과정'!$L$6,J1803&gt;0),'계산 과정'!$D$10*('계산 과정'!$C$39*(D1803-'계산 과정'!$C$32)+'계산 과정'!$D$39*(E1803-'계산 과정'!$D$32)-'계산 과정'!$E$39*'계산 과정'!$E$32)/J1803,"")</x:f>
        <x:v>0.9627121646103264</x:v>
      </x:c>
      <x:c r="M1803" s="17" t="n">
        <x:f>IF('계산 과정'!$L$6,IF(J1803&lt;=0,0,IF(AND(ABS(K1803)&lt;='계산 과정'!$D$11/2,ABS(L1803)&lt;='계산 과정'!$D$12/2),1,0)),"")</x:f>
        <x:v>1</x:v>
      </x:c>
      <x:c r="N1803" s="17" t="n">
        <x:f>IF('계산 과정'!$C$78,IF(AND(ISNUMBER(H1803),ISNUMBER(I1803),ABS(H1803-'계산 과정'!$C$88)&lt;='계산 과정'!$D$23/2,ABS(I1803-'계산 과정'!$C$89)&lt;='계산 과정'!$D$24/2),1,0),"")</x:f>
        <x:v>1</x:v>
      </x:c>
      <x:c r="O1803" s="4" t="n">
        <x:f>IF('계산 과정'!$L$7,'계산 과정'!$C$49*('계산 과정'!$C$32-D1803)+'계산 과정'!$D$49*('계산 과정'!$D$32-E1803)+'계산 과정'!$E$49*'계산 과정'!$E$32,"")</x:f>
        <x:v>-77.71421003906289</x:v>
      </x:c>
      <x:c r="P1803" s="4" t="n">
        <x:f>IF(AND('계산 과정'!$L$7,O1803&lt;&gt;0),('계산 과정'!$L$23-'계산 과정'!$C$49*D1803-'계산 과정'!$D$49*E1803)/O1803,"")</x:f>
        <x:v>-4.147063835544885</x:v>
      </x:c>
      <x:c r="Q1803" s="4" t="str">
        <x:f>IF(AND(ISNUMBER(P1803),P1803&gt;1E-9,P1803&lt;1-1E-9),'계산 과정'!$C$47*(D1803-'계산 과정'!$C$50+P1803*('계산 과정'!$C$32-D1803))+'계산 과정'!$D$47*(E1803-'계산 과정'!$D$50+P1803*('계산 과정'!$D$32-E1803))+'계산 과정'!$E$47*(0-'계산 과정'!$E$50+P1803*('계산 과정'!$E$32-0)),"")</x:f>
      </x:c>
      <x:c r="R1803" s="4" t="str">
        <x:f>IF(AND(ISNUMBER(P1803),P1803&gt;1E-9,P1803&lt;1-1E-9),'계산 과정'!$C$48*(D1803-'계산 과정'!$C$50+P1803*('계산 과정'!$C$32-D1803))+'계산 과정'!$D$48*(E1803-'계산 과정'!$D$50+P1803*('계산 과정'!$D$32-E1803))+'계산 과정'!$E$48*(0-'계산 과정'!$E$50+P1803*('계산 과정'!$E$32-0)),"")</x:f>
      </x:c>
      <x:c r="S1803" s="17" t="n">
        <x:f>IF('계산 과정'!$C$78,IF(AND(ISNUMBER(Q1803),ISNUMBER(R1803),ABS(Q1803-'계산 과정'!$C$88)&lt;='계산 과정'!$D$23/2,ABS(R1803-'계산 과정'!$C$89)&lt;='계산 과정'!$D$24/2),1,0),"")</x:f>
        <x:v>0</x:v>
      </x:c>
      <x:c r="T1803" s="4"/>
      <x:c r="U1803" s="4"/>
      <x:c r="V1803" s="4"/>
      <x:c r="W1803" s="4"/>
      <x:c r="X1803" s="4"/>
      <x:c r="Y1803" s="4"/>
      <x:c r="Z1803" s="4"/>
    </x:row>
    <x:row r="1804" ht="23" customHeight="1">
      <x:c r="A1804" s="17" t="n">
        <x:f>ROW()-6</x:f>
        <x:v>1798</x:v>
      </x:c>
      <x:c r="B1804" s="4" t="n">
        <x:f>IF('계산 과정'!$L$5,'계산 과정'!$L$11*SQRT((A1804+0.5)/'계산 과정'!$L$30),"")</x:f>
        <x:v>140.56639403787983</x:v>
      </x:c>
      <x:c r="C1804" s="4" t="n">
        <x:f>A1804*PI()*(3-SQRT(5))</x:f>
        <x:v>4315.133887052118</x:v>
      </x:c>
      <x:c r="D1804" s="4" t="n">
        <x:f>IF('계산 과정'!$L$5,B1804*COS(C1804),"")</x:f>
        <x:v>21.891920788931923</x:v>
      </x:c>
      <x:c r="E1804" s="4" t="n">
        <x:f>IF('계산 과정'!$L$5,B1804*SIN(C1804),"")</x:f>
        <x:v>-138.85119710317096</x:v>
      </x:c>
      <x:c r="F1804" s="4" t="n">
        <x:f>IF('계산 과정'!$L$7,'계산 과정'!$L$22+'계산 과정'!$C$49*D1804+'계산 과정'!$D$49*E1804,"")</x:f>
        <x:v>634.5200743569475</x:v>
      </x:c>
      <x:c r="G1804" s="4" t="n">
        <x:f>IF('계산 과정'!$L$7,IF(ABS(F1804)&gt;=1E-12*MAX(1,SQRT((D1804-'계산 과정'!$C$33)^2+(E1804-'계산 과정'!$D$33)^2+'계산 과정'!$E$33^2)),('계산 과정'!$L$23-'계산 과정'!$C$49*D1804-'계산 과정'!$D$49*E1804)/F1804,""),"")</x:f>
        <x:v>0.6547939812055898</x:v>
      </x:c>
      <x:c r="H1804" s="4" t="n">
        <x:f>IF(AND(ISNUMBER(G1804),G1804&gt;0),('계산 과정'!$D$56+'계산 과정'!$D$57*D1804+'계산 과정'!$D$58*E1804)/F1804,"")</x:f>
        <x:v>25.61608778363326</x:v>
      </x:c>
      <x:c r="I1804" s="4" t="n">
        <x:f>IF(AND(ISNUMBER(G1804),G1804&gt;0),('계산 과정'!$E$56+'계산 과정'!$E$57*D1804+'계산 과정'!$E$58*E1804)/F1804,"")</x:f>
        <x:v>-229.77012524951832</x:v>
      </x:c>
      <x:c r="J1804" s="4" t="n">
        <x:f>IF('계산 과정'!$L$5,'계산 과정'!$D$6+'계산 과정'!$C$35*D1804+'계산 과정'!$D$35*E1804,"")</x:f>
        <x:v>634.5200743569475</x:v>
      </x:c>
      <x:c r="K1804" s="4" t="n">
        <x:f>IF(AND('계산 과정'!$L$6,J1804&gt;0),'계산 과정'!$D$10*('계산 과정'!$C$38*(D1804-'계산 과정'!$C$32)+'계산 과정'!$D$38*(E1804-'계산 과정'!$D$32)-'계산 과정'!$E$38*'계산 과정'!$E$32)/J1804,"")</x:f>
        <x:v>0.19517019263720675</x:v>
      </x:c>
      <x:c r="L1804" s="4" t="n">
        <x:f>IF(AND('계산 과정'!$L$6,J1804&gt;0),'계산 과정'!$D$10*('계산 과정'!$C$39*(D1804-'계산 과정'!$C$32)+'계산 과정'!$D$39*(E1804-'계산 과정'!$D$32)-'계산 과정'!$E$39*'계산 과정'!$E$32)/J1804,"")</x:f>
        <x:v>-1.750629525710616</x:v>
      </x:c>
      <x:c r="M1804" s="17" t="n">
        <x:f>IF('계산 과정'!$L$6,IF(J1804&lt;=0,0,IF(AND(ABS(K1804)&lt;='계산 과정'!$D$11/2,ABS(L1804)&lt;='계산 과정'!$D$12/2),1,0)),"")</x:f>
        <x:v>1</x:v>
      </x:c>
      <x:c r="N1804" s="17" t="n">
        <x:f>IF('계산 과정'!$C$78,IF(AND(ISNUMBER(H1804),ISNUMBER(I1804),ABS(H1804-'계산 과정'!$C$88)&lt;='계산 과정'!$D$23/2,ABS(I1804-'계산 과정'!$C$89)&lt;='계산 과정'!$D$24/2),1,0),"")</x:f>
        <x:v>1</x:v>
      </x:c>
      <x:c r="O1804" s="4" t="n">
        <x:f>IF('계산 과정'!$L$7,'계산 과정'!$C$49*('계산 과정'!$C$32-D1804)+'계산 과정'!$D$49*('계산 과정'!$D$32-E1804)+'계산 과정'!$E$49*'계산 과정'!$E$32,"")</x:f>
        <x:v>15.479925643052638</x:v>
      </x:c>
      <x:c r="P1804" s="4" t="n">
        <x:f>IF(AND('계산 과정'!$L$7,O1804&lt;&gt;0),('계산 과정'!$L$23-'계산 과정'!$C$49*D1804-'계산 과정'!$D$49*E1804)/O1804,"")</x:f>
        <x:v>26.8399174016394</x:v>
      </x:c>
      <x:c r="Q1804" s="4" t="str">
        <x:f>IF(AND(ISNUMBER(P1804),P1804&gt;1E-9,P1804&lt;1-1E-9),'계산 과정'!$C$47*(D1804-'계산 과정'!$C$50+P1804*('계산 과정'!$C$32-D1804))+'계산 과정'!$D$47*(E1804-'계산 과정'!$D$50+P1804*('계산 과정'!$D$32-E1804))+'계산 과정'!$E$47*(0-'계산 과정'!$E$50+P1804*('계산 과정'!$E$32-0)),"")</x:f>
      </x:c>
      <x:c r="R1804" s="4" t="str">
        <x:f>IF(AND(ISNUMBER(P1804),P1804&gt;1E-9,P1804&lt;1-1E-9),'계산 과정'!$C$48*(D1804-'계산 과정'!$C$50+P1804*('계산 과정'!$C$32-D1804))+'계산 과정'!$D$48*(E1804-'계산 과정'!$D$50+P1804*('계산 과정'!$D$32-E1804))+'계산 과정'!$E$48*(0-'계산 과정'!$E$50+P1804*('계산 과정'!$E$32-0)),"")</x:f>
      </x:c>
      <x:c r="S1804" s="17" t="n">
        <x:f>IF('계산 과정'!$C$78,IF(AND(ISNUMBER(Q1804),ISNUMBER(R1804),ABS(Q1804-'계산 과정'!$C$88)&lt;='계산 과정'!$D$23/2,ABS(R1804-'계산 과정'!$C$89)&lt;='계산 과정'!$D$24/2),1,0),"")</x:f>
        <x:v>0</x:v>
      </x:c>
      <x:c r="T1804" s="4"/>
      <x:c r="U1804" s="4"/>
      <x:c r="V1804" s="4"/>
      <x:c r="W1804" s="4"/>
      <x:c r="X1804" s="4"/>
      <x:c r="Y1804" s="4"/>
      <x:c r="Z1804" s="4"/>
    </x:row>
    <x:row r="1805" ht="23" customHeight="1">
      <x:c r="A1805" s="17" t="n">
        <x:f>ROW()-6</x:f>
        <x:v>1799</x:v>
      </x:c>
      <x:c r="B1805" s="4" t="n">
        <x:f>IF('계산 과정'!$L$5,'계산 과정'!$L$11*SQRT((A1805+0.5)/'계산 과정'!$L$30),"")</x:f>
        <x:v>140.60546739347478</x:v>
      </x:c>
      <x:c r="C1805" s="4" t="n">
        <x:f>A1805*PI()*(3-SQRT(5))</x:f>
        <x:v>4317.533850281846</x:v>
      </x:c>
      <x:c r="D1805" s="4" t="n">
        <x:f>IF('계산 과정'!$L$5,B1805*COS(C1805),"")</x:f>
        <x:v>77.67179941251713</x:v>
      </x:c>
      <x:c r="E1805" s="4" t="n">
        <x:f>IF('계산 과정'!$L$5,B1805*SIN(C1805),"")</x:f>
        <x:v>117.20490193229635</x:v>
      </x:c>
      <x:c r="F1805" s="4" t="n">
        <x:f>IF('계산 과정'!$L$7,'계산 과정'!$L$22+'계산 과정'!$C$49*D1805+'계산 과정'!$D$49*E1805,"")</x:f>
        <x:v>595.0777439284478</x:v>
      </x:c>
      <x:c r="G1805" s="4" t="n">
        <x:f>IF('계산 과정'!$L$7,IF(ABS(F1805)&gt;=1E-12*MAX(1,SQRT((D1805-'계산 과정'!$C$33)^2+(E1805-'계산 과정'!$D$33)^2+'계산 과정'!$E$33^2)),('계산 과정'!$L$23-'계산 과정'!$C$49*D1805-'계산 과정'!$D$49*E1805)/F1805,""),"")</x:f>
        <x:v>0.7644753323630468</x:v>
      </x:c>
      <x:c r="H1805" s="4" t="n">
        <x:f>IF(AND(ISNUMBER(G1805),G1805&gt;0),('계산 과정'!$D$56+'계산 과정'!$D$57*D1805+'계산 과정'!$D$58*E1805)/F1805,"")</x:f>
        <x:v>96.90896603598027</x:v>
      </x:c>
      <x:c r="I1805" s="4" t="n">
        <x:f>IF(AND(ISNUMBER(G1805),G1805&gt;0),('계산 과정'!$E$56+'계산 과정'!$E$57*D1805+'계산 과정'!$E$58*E1805)/F1805,"")</x:f>
        <x:v>206.80515829156693</x:v>
      </x:c>
      <x:c r="J1805" s="4" t="n">
        <x:f>IF('계산 과정'!$L$5,'계산 과정'!$D$6+'계산 과정'!$C$35*D1805+'계산 과정'!$D$35*E1805,"")</x:f>
        <x:v>595.0777439284478</x:v>
      </x:c>
      <x:c r="K1805" s="4" t="n">
        <x:f>IF(AND('계산 과정'!$L$6,J1805&gt;0),'계산 과정'!$D$10*('계산 과정'!$C$38*(D1805-'계산 과정'!$C$32)+'계산 과정'!$D$38*(E1805-'계산 과정'!$D$32)-'계산 과정'!$E$38*'계산 과정'!$E$32)/J1805,"")</x:f>
        <x:v>0.7383540269408029</x:v>
      </x:c>
      <x:c r="L1805" s="4" t="n">
        <x:f>IF(AND('계산 과정'!$L$6,J1805&gt;0),'계산 과정'!$D$10*('계산 과정'!$C$39*(D1805-'계산 과정'!$C$32)+'계산 과정'!$D$39*(E1805-'계산 과정'!$D$32)-'계산 과정'!$E$39*'계산 과정'!$E$32)/J1805,"")</x:f>
        <x:v>1.5756583488881288</x:v>
      </x:c>
      <x:c r="M1805" s="17" t="n">
        <x:f>IF('계산 과정'!$L$6,IF(J1805&lt;=0,0,IF(AND(ABS(K1805)&lt;='계산 과정'!$D$11/2,ABS(L1805)&lt;='계산 과정'!$D$12/2),1,0)),"")</x:f>
        <x:v>1</x:v>
      </x:c>
      <x:c r="N1805" s="17" t="n">
        <x:f>IF('계산 과정'!$C$78,IF(AND(ISNUMBER(H1805),ISNUMBER(I1805),ABS(H1805-'계산 과정'!$C$88)&lt;='계산 과정'!$D$23/2,ABS(I1805-'계산 과정'!$C$89)&lt;='계산 과정'!$D$24/2),1,0),"")</x:f>
        <x:v>1</x:v>
      </x:c>
      <x:c r="O1805" s="4" t="n">
        <x:f>IF('계산 과정'!$L$7,'계산 과정'!$C$49*('계산 과정'!$C$32-D1805)+'계산 과정'!$D$49*('계산 과정'!$D$32-E1805)+'계산 과정'!$E$49*'계산 과정'!$E$32,"")</x:f>
        <x:v>54.92225607155228</x:v>
      </x:c>
      <x:c r="P1805" s="4" t="n">
        <x:f>IF(AND('계산 과정'!$L$7,O1805&lt;&gt;0),('계산 과정'!$L$23-'계산 과정'!$C$49*D1805-'계산 과정'!$D$49*E1805)/O1805,"")</x:f>
        <x:v>8.28302201349637</x:v>
      </x:c>
      <x:c r="Q1805" s="4" t="str">
        <x:f>IF(AND(ISNUMBER(P1805),P1805&gt;1E-9,P1805&lt;1-1E-9),'계산 과정'!$C$47*(D1805-'계산 과정'!$C$50+P1805*('계산 과정'!$C$32-D1805))+'계산 과정'!$D$47*(E1805-'계산 과정'!$D$50+P1805*('계산 과정'!$D$32-E1805))+'계산 과정'!$E$47*(0-'계산 과정'!$E$50+P1805*('계산 과정'!$E$32-0)),"")</x:f>
      </x:c>
      <x:c r="R1805" s="4" t="str">
        <x:f>IF(AND(ISNUMBER(P1805),P1805&gt;1E-9,P1805&lt;1-1E-9),'계산 과정'!$C$48*(D1805-'계산 과정'!$C$50+P1805*('계산 과정'!$C$32-D1805))+'계산 과정'!$D$48*(E1805-'계산 과정'!$D$50+P1805*('계산 과정'!$D$32-E1805))+'계산 과정'!$E$48*(0-'계산 과정'!$E$50+P1805*('계산 과정'!$E$32-0)),"")</x:f>
      </x:c>
      <x:c r="S1805" s="17" t="n">
        <x:f>IF('계산 과정'!$C$78,IF(AND(ISNUMBER(Q1805),ISNUMBER(R1805),ABS(Q1805-'계산 과정'!$C$88)&lt;='계산 과정'!$D$23/2,ABS(R1805-'계산 과정'!$C$89)&lt;='계산 과정'!$D$24/2),1,0),"")</x:f>
        <x:v>0</x:v>
      </x:c>
      <x:c r="T1805" s="4"/>
      <x:c r="U1805" s="4"/>
      <x:c r="V1805" s="4"/>
      <x:c r="W1805" s="4"/>
      <x:c r="X1805" s="4"/>
      <x:c r="Y1805" s="4"/>
      <x:c r="Z1805" s="4"/>
    </x:row>
    <x:row r="1806" ht="23" customHeight="1">
      <x:c r="A1806" s="17" t="n">
        <x:f>ROW()-6</x:f>
        <x:v>1800</x:v>
      </x:c>
      <x:c r="B1806" s="4" t="n">
        <x:f>IF('계산 과정'!$L$5,'계산 과정'!$L$11*SQRT((A1806+0.5)/'계산 과정'!$L$30),"")</x:f>
        <x:v>140.64452989385154</x:v>
      </x:c>
      <x:c r="C1806" s="4" t="n">
        <x:f>A1806*PI()*(3-SQRT(5))</x:f>
        <x:v>4319.933813511575</x:v>
      </x:c>
      <x:c r="D1806" s="4" t="n">
        <x:f>IF('계산 과정'!$L$5,B1806*COS(C1806),"")</x:f>
        <x:v>-136.4814475354351</x:v>
      </x:c>
      <x:c r="E1806" s="4" t="n">
        <x:f>IF('계산 과정'!$L$5,B1806*SIN(C1806),"")</x:f>
        <x:v>-33.966134129376194</x:v>
      </x:c>
      <x:c r="F1806" s="4" t="n">
        <x:f>IF('계산 과정'!$L$7,'계산 과정'!$L$22+'계산 과정'!$C$49*D1806+'계산 과정'!$D$49*E1806,"")</x:f>
        <x:v>746.5069570584621</x:v>
      </x:c>
      <x:c r="G1806" s="4" t="n">
        <x:f>IF('계산 과정'!$L$7,IF(ABS(F1806)&gt;=1E-12*MAX(1,SQRT((D1806-'계산 과정'!$C$33)^2+(E1806-'계산 과정'!$D$33)^2+'계산 과정'!$E$33^2)),('계산 과정'!$L$23-'계산 과정'!$C$49*D1806-'계산 과정'!$D$49*E1806)/F1806,""),"")</x:f>
        <x:v>0.4065508567226521</x:v>
      </x:c>
      <x:c r="H1806" s="4" t="n">
        <x:f>IF(AND(ISNUMBER(G1806),G1806&gt;0),('계산 과정'!$D$56+'계산 과정'!$D$57*D1806+'계산 과정'!$D$58*E1806)/F1806,"")</x:f>
        <x:v>-135.74194313027633</x:v>
      </x:c>
      <x:c r="I1806" s="4" t="n">
        <x:f>IF(AND(ISNUMBER(G1806),G1806&gt;0),('계산 과정'!$E$56+'계산 과정'!$E$57*D1806+'계산 과정'!$E$58*E1806)/F1806,"")</x:f>
        <x:v>-47.775095059230594</x:v>
      </x:c>
      <x:c r="J1806" s="4" t="n">
        <x:f>IF('계산 과정'!$L$5,'계산 과정'!$D$6+'계산 과정'!$C$35*D1806+'계산 과정'!$D$35*E1806,"")</x:f>
        <x:v>746.5069570584621</x:v>
      </x:c>
      <x:c r="K1806" s="4" t="n">
        <x:f>IF(AND('계산 과정'!$L$6,J1806&gt;0),'계산 과정'!$D$10*('계산 과정'!$C$38*(D1806-'계산 과정'!$C$32)+'계산 과정'!$D$38*(E1806-'계산 과정'!$D$32)-'계산 과정'!$E$38*'계산 과정'!$E$32)/J1806,"")</x:f>
        <x:v>-1.0342243286116284</x:v>
      </x:c>
      <x:c r="L1806" s="4" t="n">
        <x:f>IF(AND('계산 과정'!$L$6,J1806&gt;0),'계산 과정'!$D$10*('계산 과정'!$C$39*(D1806-'계산 과정'!$C$32)+'계산 과정'!$D$39*(E1806-'계산 과정'!$D$32)-'계산 과정'!$E$39*'계산 과정'!$E$32)/J1806,"")</x:f>
        <x:v>-0.36400072426080454</x:v>
      </x:c>
      <x:c r="M1806" s="17" t="n">
        <x:f>IF('계산 과정'!$L$6,IF(J1806&lt;=0,0,IF(AND(ABS(K1806)&lt;='계산 과정'!$D$11/2,ABS(L1806)&lt;='계산 과정'!$D$12/2),1,0)),"")</x:f>
        <x:v>1</x:v>
      </x:c>
      <x:c r="N1806" s="17" t="n">
        <x:f>IF('계산 과정'!$C$78,IF(AND(ISNUMBER(H1806),ISNUMBER(I1806),ABS(H1806-'계산 과정'!$C$88)&lt;='계산 과정'!$D$23/2,ABS(I1806-'계산 과정'!$C$89)&lt;='계산 과정'!$D$24/2),1,0),"")</x:f>
        <x:v>1</x:v>
      </x:c>
      <x:c r="O1806" s="4" t="n">
        <x:f>IF('계산 과정'!$L$7,'계산 과정'!$C$49*('계산 과정'!$C$32-D1806)+'계산 과정'!$D$49*('계산 과정'!$D$32-E1806)+'계산 과정'!$E$49*'계산 과정'!$E$32,"")</x:f>
        <x:v>-96.50695705846204</x:v>
      </x:c>
      <x:c r="P1806" s="4" t="n">
        <x:f>IF(AND('계산 과정'!$L$7,O1806&lt;&gt;0),('계산 과정'!$L$23-'계산 과정'!$C$49*D1806-'계산 과정'!$D$49*E1806)/O1806,"")</x:f>
        <x:v>-3.1447789070552465</x:v>
      </x:c>
      <x:c r="Q1806" s="4" t="str">
        <x:f>IF(AND(ISNUMBER(P1806),P1806&gt;1E-9,P1806&lt;1-1E-9),'계산 과정'!$C$47*(D1806-'계산 과정'!$C$50+P1806*('계산 과정'!$C$32-D1806))+'계산 과정'!$D$47*(E1806-'계산 과정'!$D$50+P1806*('계산 과정'!$D$32-E1806))+'계산 과정'!$E$47*(0-'계산 과정'!$E$50+P1806*('계산 과정'!$E$32-0)),"")</x:f>
      </x:c>
      <x:c r="R1806" s="4" t="str">
        <x:f>IF(AND(ISNUMBER(P1806),P1806&gt;1E-9,P1806&lt;1-1E-9),'계산 과정'!$C$48*(D1806-'계산 과정'!$C$50+P1806*('계산 과정'!$C$32-D1806))+'계산 과정'!$D$48*(E1806-'계산 과정'!$D$50+P1806*('계산 과정'!$D$32-E1806))+'계산 과정'!$E$48*(0-'계산 과정'!$E$50+P1806*('계산 과정'!$E$32-0)),"")</x:f>
      </x:c>
      <x:c r="S1806" s="17" t="n">
        <x:f>IF('계산 과정'!$C$78,IF(AND(ISNUMBER(Q1806),ISNUMBER(R1806),ABS(Q1806-'계산 과정'!$C$88)&lt;='계산 과정'!$D$23/2,ABS(R1806-'계산 과정'!$C$89)&lt;='계산 과정'!$D$24/2),1,0),"")</x:f>
        <x:v>0</x:v>
      </x:c>
      <x:c r="T1806" s="4"/>
      <x:c r="U1806" s="4"/>
      <x:c r="V1806" s="4"/>
      <x:c r="W1806" s="4"/>
      <x:c r="X1806" s="4"/>
      <x:c r="Y1806" s="4"/>
      <x:c r="Z1806" s="4"/>
    </x:row>
    <x:row r="1807" ht="23" customHeight="1">
      <x:c r="A1807" s="17" t="n">
        <x:f>ROW()-6</x:f>
        <x:v>1801</x:v>
      </x:c>
      <x:c r="B1807" s="4" t="n">
        <x:f>IF('계산 과정'!$L$5,'계산 과정'!$L$11*SQRT((A1807+0.5)/'계산 과정'!$L$30),"")</x:f>
        <x:v>140.68358154805236</x:v>
      </x:c>
      <x:c r="C1807" s="4" t="n">
        <x:f>A1807*PI()*(3-SQRT(5))</x:f>
        <x:v>4322.333776741304</x:v>
      </x:c>
      <x:c r="D1807" s="4" t="n">
        <x:f>IF('계산 과정'!$L$5,B1807*COS(C1807),"")</x:f>
        <x:v>123.61527953503581</x:v>
      </x:c>
      <x:c r="E1807" s="4" t="n">
        <x:f>IF('계산 과정'!$L$5,B1807*SIN(C1807),"")</x:f>
        <x:v>-67.16496692966098</x:v>
      </x:c>
      <x:c r="F1807" s="4" t="n">
        <x:f>IF('계산 과정'!$L$7,'계산 과정'!$L$22+'계산 과정'!$C$49*D1807+'계산 과정'!$D$49*E1807,"")</x:f>
        <x:v>562.5907975825055</x:v>
      </x:c>
      <x:c r="G1807" s="4" t="n">
        <x:f>IF('계산 과정'!$L$7,IF(ABS(F1807)&gt;=1E-12*MAX(1,SQRT((D1807-'계산 과정'!$C$33)^2+(E1807-'계산 과정'!$D$33)^2+'계산 과정'!$E$33^2)),('계산 과정'!$L$23-'계산 과정'!$C$49*D1807-'계산 과정'!$D$49*E1807)/F1807,""),"")</x:f>
        <x:v>0.8663654018372289</x:v>
      </x:c>
      <x:c r="H1807" s="4" t="n">
        <x:f>IF(AND(ISNUMBER(G1807),G1807&gt;0),('계산 과정'!$D$56+'계산 과정'!$D$57*D1807+'계산 과정'!$D$58*E1807)/F1807,"")</x:f>
        <x:v>163.13751119419865</x:v>
      </x:c>
      <x:c r="I1807" s="4" t="n">
        <x:f>IF(AND(ISNUMBER(G1807),G1807&gt;0),('계산 과정'!$E$56+'계산 과정'!$E$57*D1807+'계산 과정'!$E$58*E1807)/F1807,"")</x:f>
        <x:v>-125.3543704930609</x:v>
      </x:c>
      <x:c r="J1807" s="4" t="n">
        <x:f>IF('계산 과정'!$L$5,'계산 과정'!$D$6+'계산 과정'!$C$35*D1807+'계산 과정'!$D$35*E1807,"")</x:f>
        <x:v>562.5907975825055</x:v>
      </x:c>
      <x:c r="K1807" s="4" t="n">
        <x:f>IF(AND('계산 과정'!$L$6,J1807&gt;0),'계산 과정'!$D$10*('계산 과정'!$C$38*(D1807-'계산 과정'!$C$32)+'계산 과정'!$D$38*(E1807-'계산 과정'!$D$32)-'계산 과정'!$E$38*'계산 과정'!$E$32)/J1807,"")</x:f>
        <x:v>1.2429524662415146</x:v>
      </x:c>
      <x:c r="L1807" s="4" t="n">
        <x:f>IF(AND('계산 과정'!$L$6,J1807&gt;0),'계산 과정'!$D$10*('계산 과정'!$C$39*(D1807-'계산 과정'!$C$32)+'계산 과정'!$D$39*(E1807-'계산 과정'!$D$32)-'계산 과정'!$E$39*'계산 과정'!$E$32)/J1807,"")</x:f>
        <x:v>-0.9550809180423687</x:v>
      </x:c>
      <x:c r="M1807" s="17" t="n">
        <x:f>IF('계산 과정'!$L$6,IF(J1807&lt;=0,0,IF(AND(ABS(K1807)&lt;='계산 과정'!$D$11/2,ABS(L1807)&lt;='계산 과정'!$D$12/2),1,0)),"")</x:f>
        <x:v>1</x:v>
      </x:c>
      <x:c r="N1807" s="17" t="n">
        <x:f>IF('계산 과정'!$C$78,IF(AND(ISNUMBER(H1807),ISNUMBER(I1807),ABS(H1807-'계산 과정'!$C$88)&lt;='계산 과정'!$D$23/2,ABS(I1807-'계산 과정'!$C$89)&lt;='계산 과정'!$D$24/2),1,0),"")</x:f>
        <x:v>1</x:v>
      </x:c>
      <x:c r="O1807" s="4" t="n">
        <x:f>IF('계산 과정'!$L$7,'계산 과정'!$C$49*('계산 과정'!$C$32-D1807)+'계산 과정'!$D$49*('계산 과정'!$D$32-E1807)+'계산 과정'!$E$49*'계산 과정'!$E$32,"")</x:f>
        <x:v>87.40920241749458</x:v>
      </x:c>
      <x:c r="P1807" s="4" t="n">
        <x:f>IF(AND('계산 과정'!$L$7,O1807&lt;&gt;0),('계산 과정'!$L$23-'계산 과정'!$C$49*D1807-'계산 과정'!$D$49*E1807)/O1807,"")</x:f>
        <x:v>5.576177209459831</x:v>
      </x:c>
      <x:c r="Q1807" s="4" t="str">
        <x:f>IF(AND(ISNUMBER(P1807),P1807&gt;1E-9,P1807&lt;1-1E-9),'계산 과정'!$C$47*(D1807-'계산 과정'!$C$50+P1807*('계산 과정'!$C$32-D1807))+'계산 과정'!$D$47*(E1807-'계산 과정'!$D$50+P1807*('계산 과정'!$D$32-E1807))+'계산 과정'!$E$47*(0-'계산 과정'!$E$50+P1807*('계산 과정'!$E$32-0)),"")</x:f>
      </x:c>
      <x:c r="R1807" s="4" t="str">
        <x:f>IF(AND(ISNUMBER(P1807),P1807&gt;1E-9,P1807&lt;1-1E-9),'계산 과정'!$C$48*(D1807-'계산 과정'!$C$50+P1807*('계산 과정'!$C$32-D1807))+'계산 과정'!$D$48*(E1807-'계산 과정'!$D$50+P1807*('계산 과정'!$D$32-E1807))+'계산 과정'!$E$48*(0-'계산 과정'!$E$50+P1807*('계산 과정'!$E$32-0)),"")</x:f>
      </x:c>
      <x:c r="S1807" s="17" t="n">
        <x:f>IF('계산 과정'!$C$78,IF(AND(ISNUMBER(Q1807),ISNUMBER(R1807),ABS(Q1807-'계산 과정'!$C$88)&lt;='계산 과정'!$D$23/2,ABS(R1807-'계산 과정'!$C$89)&lt;='계산 과정'!$D$24/2),1,0),"")</x:f>
        <x:v>0</x:v>
      </x:c>
      <x:c r="T1807" s="4"/>
      <x:c r="U1807" s="4"/>
      <x:c r="V1807" s="4"/>
      <x:c r="W1807" s="4"/>
      <x:c r="X1807" s="4"/>
      <x:c r="Y1807" s="4"/>
      <x:c r="Z1807" s="4"/>
    </x:row>
    <x:row r="1808" ht="23" customHeight="1">
      <x:c r="A1808" s="17" t="n">
        <x:f>ROW()-6</x:f>
        <x:v>1802</x:v>
      </x:c>
      <x:c r="B1808" s="4" t="n">
        <x:f>IF('계산 과정'!$L$5,'계산 과정'!$L$11*SQRT((A1808+0.5)/'계산 과정'!$L$30),"")</x:f>
        <x:v>140.72262236510696</x:v>
      </x:c>
      <x:c r="C1808" s="4" t="n">
        <x:f>A1808*PI()*(3-SQRT(5))</x:f>
        <x:v>4324.733739971032</x:v>
      </x:c>
      <x:c r="D1808" s="4" t="n">
        <x:f>IF('계산 과정'!$L$5,B1808*COS(C1808),"")</x:f>
        <x:v>-45.7934812396813</x:v>
      </x:c>
      <x:c r="E1808" s="4" t="n">
        <x:f>IF('계산 과정'!$L$5,B1808*SIN(C1808),"")</x:f>
        <x:v>133.06319371360158</x:v>
      </x:c>
      <x:c r="F1808" s="4" t="n">
        <x:f>IF('계산 과정'!$L$7,'계산 과정'!$L$22+'계산 과정'!$C$49*D1808+'계산 과정'!$D$49*E1808,"")</x:f>
        <x:v>682.3808811187176</x:v>
      </x:c>
      <x:c r="G1808" s="4" t="n">
        <x:f>IF('계산 과정'!$L$7,IF(ABS(F1808)&gt;=1E-12*MAX(1,SQRT((D1808-'계산 과정'!$C$33)^2+(E1808-'계산 과정'!$D$33)^2+'계산 과정'!$E$33^2)),('계산 과정'!$L$23-'계산 과정'!$C$49*D1808-'계산 과정'!$D$49*E1808)/F1808,""),"")</x:f>
        <x:v>0.5387300978869682</x:v>
      </x:c>
      <x:c r="H1808" s="4" t="n">
        <x:f>IF(AND(ISNUMBER(G1808),G1808&gt;0),('계산 과정'!$D$56+'계산 과정'!$D$57*D1808+'계산 과정'!$D$58*E1808)/F1808,"")</x:f>
        <x:v>-49.825436373470716</x:v>
      </x:c>
      <x:c r="I1808" s="4" t="n">
        <x:f>IF(AND(ISNUMBER(G1808),G1808&gt;0),('계산 과정'!$E$56+'계산 과정'!$E$57*D1808+'계산 과정'!$E$58*E1808)/F1808,"")</x:f>
        <x:v>204.74834108808275</x:v>
      </x:c>
      <x:c r="J1808" s="4" t="n">
        <x:f>IF('계산 과정'!$L$5,'계산 과정'!$D$6+'계산 과정'!$C$35*D1808+'계산 과정'!$D$35*E1808,"")</x:f>
        <x:v>682.3808811187176</x:v>
      </x:c>
      <x:c r="K1808" s="4" t="n">
        <x:f>IF(AND('계산 과정'!$L$6,J1808&gt;0),'계산 과정'!$D$10*('계산 과정'!$C$38*(D1808-'계산 과정'!$C$32)+'계산 과정'!$D$38*(E1808-'계산 과정'!$D$32)-'계산 과정'!$E$38*'계산 과정'!$E$32)/J1808,"")</x:f>
        <x:v>-0.3796223723692997</x:v>
      </x:c>
      <x:c r="L1808" s="4" t="n">
        <x:f>IF(AND('계산 과정'!$L$6,J1808&gt;0),'계산 과정'!$D$10*('계산 과정'!$C$39*(D1808-'계산 과정'!$C$32)+'계산 과정'!$D$39*(E1808-'계산 과정'!$D$32)-'계산 과정'!$E$39*'계산 과정'!$E$32)/J1808,"")</x:f>
        <x:v>1.5599873606711068</x:v>
      </x:c>
      <x:c r="M1808" s="17" t="n">
        <x:f>IF('계산 과정'!$L$6,IF(J1808&lt;=0,0,IF(AND(ABS(K1808)&lt;='계산 과정'!$D$11/2,ABS(L1808)&lt;='계산 과정'!$D$12/2),1,0)),"")</x:f>
        <x:v>1</x:v>
      </x:c>
      <x:c r="N1808" s="17" t="n">
        <x:f>IF('계산 과정'!$C$78,IF(AND(ISNUMBER(H1808),ISNUMBER(I1808),ABS(H1808-'계산 과정'!$C$88)&lt;='계산 과정'!$D$23/2,ABS(I1808-'계산 과정'!$C$89)&lt;='계산 과정'!$D$24/2),1,0),"")</x:f>
        <x:v>1</x:v>
      </x:c>
      <x:c r="O1808" s="4" t="n">
        <x:f>IF('계산 과정'!$L$7,'계산 과정'!$C$49*('계산 과정'!$C$32-D1808)+'계산 과정'!$D$49*('계산 과정'!$D$32-E1808)+'계산 과정'!$E$49*'계산 과정'!$E$32,"")</x:f>
        <x:v>-32.38088111871747</x:v>
      </x:c>
      <x:c r="P1808" s="4" t="n">
        <x:f>IF(AND('계산 과정'!$L$7,O1808&lt;&gt;0),('계산 과정'!$L$23-'계산 과정'!$C$49*D1808-'계산 과정'!$D$49*E1808)/O1808,"")</x:f>
        <x:v>-11.352968362209996</x:v>
      </x:c>
      <x:c r="Q1808" s="4" t="str">
        <x:f>IF(AND(ISNUMBER(P1808),P1808&gt;1E-9,P1808&lt;1-1E-9),'계산 과정'!$C$47*(D1808-'계산 과정'!$C$50+P1808*('계산 과정'!$C$32-D1808))+'계산 과정'!$D$47*(E1808-'계산 과정'!$D$50+P1808*('계산 과정'!$D$32-E1808))+'계산 과정'!$E$47*(0-'계산 과정'!$E$50+P1808*('계산 과정'!$E$32-0)),"")</x:f>
      </x:c>
      <x:c r="R1808" s="4" t="str">
        <x:f>IF(AND(ISNUMBER(P1808),P1808&gt;1E-9,P1808&lt;1-1E-9),'계산 과정'!$C$48*(D1808-'계산 과정'!$C$50+P1808*('계산 과정'!$C$32-D1808))+'계산 과정'!$D$48*(E1808-'계산 과정'!$D$50+P1808*('계산 과정'!$D$32-E1808))+'계산 과정'!$E$48*(0-'계산 과정'!$E$50+P1808*('계산 과정'!$E$32-0)),"")</x:f>
      </x:c>
      <x:c r="S1808" s="17" t="n">
        <x:f>IF('계산 과정'!$C$78,IF(AND(ISNUMBER(Q1808),ISNUMBER(R1808),ABS(Q1808-'계산 과정'!$C$88)&lt;='계산 과정'!$D$23/2,ABS(R1808-'계산 과정'!$C$89)&lt;='계산 과정'!$D$24/2),1,0),"")</x:f>
        <x:v>0</x:v>
      </x:c>
      <x:c r="T1808" s="4"/>
      <x:c r="U1808" s="4"/>
      <x:c r="V1808" s="4"/>
      <x:c r="W1808" s="4"/>
      <x:c r="X1808" s="4"/>
      <x:c r="Y1808" s="4"/>
      <x:c r="Z1808" s="4"/>
    </x:row>
    <x:row r="1809" ht="23" customHeight="1">
      <x:c r="A1809" s="17" t="n">
        <x:f>ROW()-6</x:f>
        <x:v>1803</x:v>
      </x:c>
      <x:c r="B1809" s="4" t="n">
        <x:f>IF('계산 과정'!$L$5,'계산 과정'!$L$11*SQRT((A1809+0.5)/'계산 과정'!$L$30),"")</x:f>
        <x:v>140.7616523540325</x:v>
      </x:c>
      <x:c r="C1809" s="4" t="n">
        <x:f>A1809*PI()*(3-SQRT(5))</x:f>
        <x:v>4327.133703200761</x:v>
      </x:c>
      <x:c r="D1809" s="4" t="n">
        <x:f>IF('계산 과정'!$L$5,B1809*COS(C1809),"")</x:f>
        <x:v>-56.13177204934749</x:v>
      </x:c>
      <x:c r="E1809" s="4" t="n">
        <x:f>IF('계산 과정'!$L$5,B1809*SIN(C1809),"")</x:f>
        <x:v>-129.08550243942034</x:v>
      </x:c>
      <x:c r="F1809" s="4" t="n">
        <x:f>IF('계산 과정'!$L$7,'계산 과정'!$L$22+'계산 과정'!$C$49*D1809+'계산 과정'!$D$49*E1809,"")</x:f>
        <x:v>689.6911566561112</x:v>
      </x:c>
      <x:c r="G1809" s="4" t="n">
        <x:f>IF('계산 과정'!$L$7,IF(ABS(F1809)&gt;=1E-12*MAX(1,SQRT((D1809-'계산 과정'!$C$33)^2+(E1809-'계산 과정'!$D$33)^2+'계산 과정'!$E$33^2)),('계산 과정'!$L$23-'계산 과정'!$C$49*D1809-'계산 과정'!$D$49*E1809)/F1809,""),"")</x:f>
        <x:v>0.5224205644317743</x:v>
      </x:c>
      <x:c r="H1809" s="4" t="n">
        <x:f>IF(AND(ISNUMBER(G1809),G1809&gt;0),('계산 과정'!$D$56+'계산 과정'!$D$57*D1809+'계산 과정'!$D$58*E1809)/F1809,"")</x:f>
        <x:v>-60.42663311934679</x:v>
      </x:c>
      <x:c r="I1809" s="4" t="n">
        <x:f>IF(AND(ISNUMBER(G1809),G1809&gt;0),('계산 과정'!$E$56+'계산 과정'!$E$57*D1809+'계산 과정'!$E$58*E1809)/F1809,"")</x:f>
        <x:v>-196.5224234837815</x:v>
      </x:c>
      <x:c r="J1809" s="4" t="n">
        <x:f>IF('계산 과정'!$L$5,'계산 과정'!$D$6+'계산 과정'!$C$35*D1809+'계산 과정'!$D$35*E1809,"")</x:f>
        <x:v>689.6911566561112</x:v>
      </x:c>
      <x:c r="K1809" s="4" t="n">
        <x:f>IF(AND('계산 과정'!$L$6,J1809&gt;0),'계산 과정'!$D$10*('계산 과정'!$C$38*(D1809-'계산 과정'!$C$32)+'계산 과정'!$D$38*(E1809-'계산 과정'!$D$32)-'계산 과정'!$E$38*'계산 과정'!$E$32)/J1809,"")</x:f>
        <x:v>-0.46039339519502204</x:v>
      </x:c>
      <x:c r="L1809" s="4" t="n">
        <x:f>IF(AND('계산 과정'!$L$6,J1809&gt;0),'계산 과정'!$D$10*('계산 과정'!$C$39*(D1809-'계산 과정'!$C$32)+'계산 과정'!$D$39*(E1809-'계산 과정'!$D$32)-'계산 과정'!$E$39*'계산 과정'!$E$32)/J1809,"")</x:f>
        <x:v>-1.4973137027335732</x:v>
      </x:c>
      <x:c r="M1809" s="17" t="n">
        <x:f>IF('계산 과정'!$L$6,IF(J1809&lt;=0,0,IF(AND(ABS(K1809)&lt;='계산 과정'!$D$11/2,ABS(L1809)&lt;='계산 과정'!$D$12/2),1,0)),"")</x:f>
        <x:v>1</x:v>
      </x:c>
      <x:c r="N1809" s="17" t="n">
        <x:f>IF('계산 과정'!$C$78,IF(AND(ISNUMBER(H1809),ISNUMBER(I1809),ABS(H1809-'계산 과정'!$C$88)&lt;='계산 과정'!$D$23/2,ABS(I1809-'계산 과정'!$C$89)&lt;='계산 과정'!$D$24/2),1,0),"")</x:f>
        <x:v>1</x:v>
      </x:c>
      <x:c r="O1809" s="4" t="n">
        <x:f>IF('계산 과정'!$L$7,'계산 과정'!$C$49*('계산 과정'!$C$32-D1809)+'계산 과정'!$D$49*('계산 과정'!$D$32-E1809)+'계산 과정'!$E$49*'계산 과정'!$E$32,"")</x:f>
        <x:v>-39.691156656110934</x:v>
      </x:c>
      <x:c r="P1809" s="4" t="n">
        <x:f>IF(AND('계산 과정'!$L$7,O1809&lt;&gt;0),('계산 과정'!$L$23-'계산 과정'!$C$49*D1809-'계산 과정'!$D$49*E1809)/O1809,"")</x:f>
        <x:v>-9.077811626041767</x:v>
      </x:c>
      <x:c r="Q1809" s="4" t="str">
        <x:f>IF(AND(ISNUMBER(P1809),P1809&gt;1E-9,P1809&lt;1-1E-9),'계산 과정'!$C$47*(D1809-'계산 과정'!$C$50+P1809*('계산 과정'!$C$32-D1809))+'계산 과정'!$D$47*(E1809-'계산 과정'!$D$50+P1809*('계산 과정'!$D$32-E1809))+'계산 과정'!$E$47*(0-'계산 과정'!$E$50+P1809*('계산 과정'!$E$32-0)),"")</x:f>
      </x:c>
      <x:c r="R1809" s="4" t="str">
        <x:f>IF(AND(ISNUMBER(P1809),P1809&gt;1E-9,P1809&lt;1-1E-9),'계산 과정'!$C$48*(D1809-'계산 과정'!$C$50+P1809*('계산 과정'!$C$32-D1809))+'계산 과정'!$D$48*(E1809-'계산 과정'!$D$50+P1809*('계산 과정'!$D$32-E1809))+'계산 과정'!$E$48*(0-'계산 과정'!$E$50+P1809*('계산 과정'!$E$32-0)),"")</x:f>
      </x:c>
      <x:c r="S1809" s="17" t="n">
        <x:f>IF('계산 과정'!$C$78,IF(AND(ISNUMBER(Q1809),ISNUMBER(R1809),ABS(Q1809-'계산 과정'!$C$88)&lt;='계산 과정'!$D$23/2,ABS(R1809-'계산 과정'!$C$89)&lt;='계산 과정'!$D$24/2),1,0),"")</x:f>
        <x:v>0</x:v>
      </x:c>
      <x:c r="T1809" s="4"/>
      <x:c r="U1809" s="4"/>
      <x:c r="V1809" s="4"/>
      <x:c r="W1809" s="4"/>
      <x:c r="X1809" s="4"/>
      <x:c r="Y1809" s="4"/>
      <x:c r="Z1809" s="4"/>
    </x:row>
    <x:row r="1810" ht="23" customHeight="1">
      <x:c r="A1810" s="17" t="n">
        <x:f>ROW()-6</x:f>
        <x:v>1804</x:v>
      </x:c>
      <x:c r="B1810" s="4" t="n">
        <x:f>IF('계산 과정'!$L$5,'계산 과정'!$L$11*SQRT((A1810+0.5)/'계산 과정'!$L$30),"")</x:f>
        <x:v>140.80067152383364</x:v>
      </x:c>
      <x:c r="C1810" s="4" t="n">
        <x:f>A1810*PI()*(3-SQRT(5))</x:f>
        <x:v>4329.5336664304905</x:v>
      </x:c>
      <x:c r="D1810" s="4" t="n">
        <x:f>IF('계산 과정'!$L$5,B1810*COS(C1810),"")</x:f>
        <x:v>128.62146983549255</x:v>
      </x:c>
      <x:c r="E1810" s="4" t="n">
        <x:f>IF('계산 과정'!$L$5,B1810*SIN(C1810),"")</x:f>
        <x:v>57.28303936524297</x:v>
      </x:c>
      <x:c r="F1810" s="4" t="n">
        <x:f>IF('계산 과정'!$L$7,'계산 과정'!$L$22+'계산 과정'!$C$49*D1810+'계산 과정'!$D$49*E1810,"")</x:f>
        <x:v>559.0508864731422</x:v>
      </x:c>
      <x:c r="G1810" s="4" t="n">
        <x:f>IF('계산 과정'!$L$7,IF(ABS(F1810)&gt;=1E-12*MAX(1,SQRT((D1810-'계산 과정'!$C$33)^2+(E1810-'계산 과정'!$D$33)^2+'계산 과정'!$E$33^2)),('계산 과정'!$L$23-'계산 과정'!$C$49*D1810-'계산 과정'!$D$49*E1810)/F1810,""),"")</x:f>
        <x:v>0.8781832305536355</x:v>
      </x:c>
      <x:c r="H1810" s="4" t="n">
        <x:f>IF(AND(ISNUMBER(G1810),G1810&gt;0),('계산 과정'!$D$56+'계산 과정'!$D$57*D1810+'계산 과정'!$D$58*E1810)/F1810,"")</x:f>
        <x:v>170.81909985986294</x:v>
      </x:c>
      <x:c r="I1810" s="4" t="n">
        <x:f>IF(AND(ISNUMBER(G1810),G1810&gt;0),('계산 과정'!$E$56+'계산 과정'!$E$57*D1810+'계산 과정'!$E$58*E1810)/F1810,"")</x:f>
        <x:v>107.58804393094313</x:v>
      </x:c>
      <x:c r="J1810" s="4" t="n">
        <x:f>IF('계산 과정'!$L$5,'계산 과정'!$D$6+'계산 과정'!$C$35*D1810+'계산 과정'!$D$35*E1810,"")</x:f>
        <x:v>559.0508864731422</x:v>
      </x:c>
      <x:c r="K1810" s="4" t="n">
        <x:f>IF(AND('계산 과정'!$L$6,J1810&gt;0),'계산 과정'!$D$10*('계산 과정'!$C$38*(D1810-'계산 과정'!$C$32)+'계산 과정'!$D$38*(E1810-'계산 과정'!$D$32)-'계산 과정'!$E$38*'계산 과정'!$E$32)/J1810,"")</x:f>
        <x:v>1.3014788560751476</x:v>
      </x:c>
      <x:c r="L1810" s="4" t="n">
        <x:f>IF(AND('계산 과정'!$L$6,J1810&gt;0),'계산 과정'!$D$10*('계산 과정'!$C$39*(D1810-'계산 과정'!$C$32)+'계산 과정'!$D$39*(E1810-'계산 과정'!$D$32)-'계산 과정'!$E$39*'계산 과정'!$E$32)/J1810,"")</x:f>
        <x:v>0.8197184299500428</x:v>
      </x:c>
      <x:c r="M1810" s="17" t="n">
        <x:f>IF('계산 과정'!$L$6,IF(J1810&lt;=0,0,IF(AND(ABS(K1810)&lt;='계산 과정'!$D$11/2,ABS(L1810)&lt;='계산 과정'!$D$12/2),1,0)),"")</x:f>
        <x:v>1</x:v>
      </x:c>
      <x:c r="N1810" s="17" t="n">
        <x:f>IF('계산 과정'!$C$78,IF(AND(ISNUMBER(H1810),ISNUMBER(I1810),ABS(H1810-'계산 과정'!$C$88)&lt;='계산 과정'!$D$23/2,ABS(I1810-'계산 과정'!$C$89)&lt;='계산 과정'!$D$24/2),1,0),"")</x:f>
        <x:v>1</x:v>
      </x:c>
      <x:c r="O1810" s="4" t="n">
        <x:f>IF('계산 과정'!$L$7,'계산 과정'!$C$49*('계산 과정'!$C$32-D1810)+'계산 과정'!$D$49*('계산 과정'!$D$32-E1810)+'계산 과정'!$E$49*'계산 과정'!$E$32,"")</x:f>
        <x:v>90.94911352685787</x:v>
      </x:c>
      <x:c r="P1810" s="4" t="n">
        <x:f>IF(AND('계산 과정'!$L$7,O1810&lt;&gt;0),('계산 과정'!$L$23-'계산 과정'!$C$49*D1810-'계산 과정'!$D$49*E1810)/O1810,"")</x:f>
        <x:v>5.398063757728405</x:v>
      </x:c>
      <x:c r="Q1810" s="4" t="str">
        <x:f>IF(AND(ISNUMBER(P1810),P1810&gt;1E-9,P1810&lt;1-1E-9),'계산 과정'!$C$47*(D1810-'계산 과정'!$C$50+P1810*('계산 과정'!$C$32-D1810))+'계산 과정'!$D$47*(E1810-'계산 과정'!$D$50+P1810*('계산 과정'!$D$32-E1810))+'계산 과정'!$E$47*(0-'계산 과정'!$E$50+P1810*('계산 과정'!$E$32-0)),"")</x:f>
      </x:c>
      <x:c r="R1810" s="4" t="str">
        <x:f>IF(AND(ISNUMBER(P1810),P1810&gt;1E-9,P1810&lt;1-1E-9),'계산 과정'!$C$48*(D1810-'계산 과정'!$C$50+P1810*('계산 과정'!$C$32-D1810))+'계산 과정'!$D$48*(E1810-'계산 과정'!$D$50+P1810*('계산 과정'!$D$32-E1810))+'계산 과정'!$E$48*(0-'계산 과정'!$E$50+P1810*('계산 과정'!$E$32-0)),"")</x:f>
      </x:c>
      <x:c r="S1810" s="17" t="n">
        <x:f>IF('계산 과정'!$C$78,IF(AND(ISNUMBER(Q1810),ISNUMBER(R1810),ABS(Q1810-'계산 과정'!$C$88)&lt;='계산 과정'!$D$23/2,ABS(R1810-'계산 과정'!$C$89)&lt;='계산 과정'!$D$24/2),1,0),"")</x:f>
        <x:v>0</x:v>
      </x:c>
      <x:c r="T1810" s="4"/>
      <x:c r="U1810" s="4"/>
      <x:c r="V1810" s="4"/>
      <x:c r="W1810" s="4"/>
      <x:c r="X1810" s="4"/>
      <x:c r="Y1810" s="4"/>
      <x:c r="Z1810" s="4"/>
    </x:row>
    <x:row r="1811" ht="23" customHeight="1">
      <x:c r="A1811" s="17" t="n">
        <x:f>ROW()-6</x:f>
        <x:v>1805</x:v>
      </x:c>
      <x:c r="B1811" s="4" t="n">
        <x:f>IF('계산 과정'!$L$5,'계산 과정'!$L$11*SQRT((A1811+0.5)/'계산 과정'!$L$30),"")</x:f>
        <x:v>140.83967988350264</x:v>
      </x:c>
      <x:c r="C1811" s="4" t="n">
        <x:f>A1811*PI()*(3-SQRT(5))</x:f>
        <x:v>4331.933629660219</x:v>
      </x:c>
      <x:c r="D1811" s="4" t="n">
        <x:f>IF('계산 과정'!$L$5,B1811*COS(C1811),"")</x:f>
        <x:v>-133.57260162372094</x:v>
      </x:c>
      <x:c r="E1811" s="4" t="n">
        <x:f>IF('계산 과정'!$L$5,B1811*SIN(C1811),"")</x:f>
        <x:v>44.656192461496715</x:v>
      </x:c>
      <x:c r="F1811" s="4" t="n">
        <x:f>IF('계산 과정'!$L$7,'계산 과정'!$L$22+'계산 과정'!$C$49*D1811+'계산 과정'!$D$49*E1811,"")</x:f>
        <x:v>744.4500923888623</x:v>
      </x:c>
      <x:c r="G1811" s="4" t="n">
        <x:f>IF('계산 과정'!$L$7,IF(ABS(F1811)&gt;=1E-12*MAX(1,SQRT((D1811-'계산 과정'!$C$33)^2+(E1811-'계산 과정'!$D$33)^2+'계산 과정'!$E$33^2)),('계산 과정'!$L$23-'계산 과정'!$C$49*D1811-'계산 과정'!$D$49*E1811)/F1811,""),"")</x:f>
        <x:v>0.4104370605028203</x:v>
      </x:c>
      <x:c r="H1811" s="4" t="n">
        <x:f>IF(AND(ISNUMBER(G1811),G1811&gt;0),('계산 과정'!$D$56+'계산 과정'!$D$57*D1811+'계산 과정'!$D$58*E1811)/F1811,"")</x:f>
        <x:v>-133.21591067316692</x:v>
      </x:c>
      <x:c r="I1811" s="4" t="n">
        <x:f>IF(AND(ISNUMBER(G1811),G1811&gt;0),('계산 과정'!$E$56+'계산 과정'!$E$57*D1811+'계산 과정'!$E$58*E1811)/F1811,"")</x:f>
        <x:v>62.98474882864163</x:v>
      </x:c>
      <x:c r="J1811" s="4" t="n">
        <x:f>IF('계산 과정'!$L$5,'계산 과정'!$D$6+'계산 과정'!$C$35*D1811+'계산 과정'!$D$35*E1811,"")</x:f>
        <x:v>744.4500923888623</x:v>
      </x:c>
      <x:c r="K1811" s="4" t="n">
        <x:f>IF(AND('계산 과정'!$L$6,J1811&gt;0),'계산 과정'!$D$10*('계산 과정'!$C$38*(D1811-'계산 과정'!$C$32)+'계산 과정'!$D$38*(E1811-'계산 과정'!$D$32)-'계산 과정'!$E$38*'계산 과정'!$E$32)/J1811,"")</x:f>
        <x:v>-1.0149783670336519</x:v>
      </x:c>
      <x:c r="L1811" s="4" t="n">
        <x:f>IF(AND('계산 과정'!$L$6,J1811&gt;0),'계산 과정'!$D$10*('계산 과정'!$C$39*(D1811-'계산 과정'!$C$32)+'계산 과정'!$D$39*(E1811-'계산 과정'!$D$32)-'계산 과정'!$E$39*'계산 과정'!$E$32)/J1811,"")</x:f>
        <x:v>0.47988380059917435</x:v>
      </x:c>
      <x:c r="M1811" s="17" t="n">
        <x:f>IF('계산 과정'!$L$6,IF(J1811&lt;=0,0,IF(AND(ABS(K1811)&lt;='계산 과정'!$D$11/2,ABS(L1811)&lt;='계산 과정'!$D$12/2),1,0)),"")</x:f>
        <x:v>1</x:v>
      </x:c>
      <x:c r="N1811" s="17" t="n">
        <x:f>IF('계산 과정'!$C$78,IF(AND(ISNUMBER(H1811),ISNUMBER(I1811),ABS(H1811-'계산 과정'!$C$88)&lt;='계산 과정'!$D$23/2,ABS(I1811-'계산 과정'!$C$89)&lt;='계산 과정'!$D$24/2),1,0),"")</x:f>
        <x:v>1</x:v>
      </x:c>
      <x:c r="O1811" s="4" t="n">
        <x:f>IF('계산 과정'!$L$7,'계산 과정'!$C$49*('계산 과정'!$C$32-D1811)+'계산 과정'!$D$49*('계산 과정'!$D$32-E1811)+'계산 과정'!$E$49*'계산 과정'!$E$32,"")</x:f>
        <x:v>-94.45009238886223</x:v>
      </x:c>
      <x:c r="P1811" s="4" t="n">
        <x:f>IF(AND('계산 과정'!$L$7,O1811&lt;&gt;0),('계산 과정'!$L$23-'계산 과정'!$C$49*D1811-'계산 과정'!$D$49*E1811)/O1811,"")</x:f>
        <x:v>-3.2350408547315386</x:v>
      </x:c>
      <x:c r="Q1811" s="4" t="str">
        <x:f>IF(AND(ISNUMBER(P1811),P1811&gt;1E-9,P1811&lt;1-1E-9),'계산 과정'!$C$47*(D1811-'계산 과정'!$C$50+P1811*('계산 과정'!$C$32-D1811))+'계산 과정'!$D$47*(E1811-'계산 과정'!$D$50+P1811*('계산 과정'!$D$32-E1811))+'계산 과정'!$E$47*(0-'계산 과정'!$E$50+P1811*('계산 과정'!$E$32-0)),"")</x:f>
      </x:c>
      <x:c r="R1811" s="4" t="str">
        <x:f>IF(AND(ISNUMBER(P1811),P1811&gt;1E-9,P1811&lt;1-1E-9),'계산 과정'!$C$48*(D1811-'계산 과정'!$C$50+P1811*('계산 과정'!$C$32-D1811))+'계산 과정'!$D$48*(E1811-'계산 과정'!$D$50+P1811*('계산 과정'!$D$32-E1811))+'계산 과정'!$E$48*(0-'계산 과정'!$E$50+P1811*('계산 과정'!$E$32-0)),"")</x:f>
      </x:c>
      <x:c r="S1811" s="17" t="n">
        <x:f>IF('계산 과정'!$C$78,IF(AND(ISNUMBER(Q1811),ISNUMBER(R1811),ABS(Q1811-'계산 과정'!$C$88)&lt;='계산 과정'!$D$23/2,ABS(R1811-'계산 과정'!$C$89)&lt;='계산 과정'!$D$24/2),1,0),"")</x:f>
        <x:v>0</x:v>
      </x:c>
      <x:c r="T1811" s="4"/>
      <x:c r="U1811" s="4"/>
      <x:c r="V1811" s="4"/>
      <x:c r="W1811" s="4"/>
      <x:c r="X1811" s="4"/>
      <x:c r="Y1811" s="4"/>
      <x:c r="Z1811" s="4"/>
    </x:row>
    <x:row r="1812" ht="23" customHeight="1">
      <x:c r="A1812" s="17" t="n">
        <x:f>ROW()-6</x:f>
        <x:v>1806</x:v>
      </x:c>
      <x:c r="B1812" s="4" t="n">
        <x:f>IF('계산 과정'!$L$5,'계산 과정'!$L$11*SQRT((A1812+0.5)/'계산 과정'!$L$30),"")</x:f>
        <x:v>140.87867744201924</x:v>
      </x:c>
      <x:c r="C1812" s="4" t="n">
        <x:f>A1812*PI()*(3-SQRT(5))</x:f>
        <x:v>4334.333592889947</x:v>
      </x:c>
      <x:c r="D1812" s="4" t="n">
        <x:f>IF('계산 과정'!$L$5,B1812*COS(C1812),"")</x:f>
        <x:v>68.34637422672722</x:v>
      </x:c>
      <x:c r="E1812" s="4" t="n">
        <x:f>IF('계산 과정'!$L$5,B1812*SIN(C1812),"")</x:f>
        <x:v>-123.18918332334482</x:v>
      </x:c>
      <x:c r="F1812" s="4" t="n">
        <x:f>IF('계산 과정'!$L$7,'계산 과정'!$L$22+'계산 과정'!$C$49*D1812+'계산 과정'!$D$49*E1812,"")</x:f>
        <x:v>601.6718153147677</x:v>
      </x:c>
      <x:c r="G1812" s="4" t="n">
        <x:f>IF('계산 과정'!$L$7,IF(ABS(F1812)&gt;=1E-12*MAX(1,SQRT((D1812-'계산 과정'!$C$33)^2+(E1812-'계산 과정'!$D$33)^2+'계산 과정'!$E$33^2)),('계산 과정'!$L$23-'계산 과정'!$C$49*D1812-'계산 과정'!$D$49*E1812)/F1812,""),"")</x:f>
        <x:v>0.7451374208889726</x:v>
      </x:c>
      <x:c r="H1812" s="4" t="n">
        <x:f>IF(AND(ISNUMBER(G1812),G1812&gt;0),('계산 과정'!$D$56+'계산 과정'!$D$57*D1812+'계산 과정'!$D$58*E1812)/F1812,"")</x:f>
        <x:v>84.33932357783213</x:v>
      </x:c>
      <x:c r="I1812" s="4" t="n">
        <x:f>IF(AND(ISNUMBER(G1812),G1812&gt;0),('계산 과정'!$E$56+'계산 과정'!$E$57*D1812+'계산 과정'!$E$58*E1812)/F1812,"")</x:f>
        <x:v>-214.9820536663208</x:v>
      </x:c>
      <x:c r="J1812" s="4" t="n">
        <x:f>IF('계산 과정'!$L$5,'계산 과정'!$D$6+'계산 과정'!$C$35*D1812+'계산 과정'!$D$35*E1812,"")</x:f>
        <x:v>601.6718153147677</x:v>
      </x:c>
      <x:c r="K1812" s="4" t="n">
        <x:f>IF(AND('계산 과정'!$L$6,J1812&gt;0),'계산 과정'!$D$10*('계산 과정'!$C$38*(D1812-'계산 과정'!$C$32)+'계산 과정'!$D$38*(E1812-'계산 과정'!$D$32)-'계산 과정'!$E$38*'계산 과정'!$E$32)/J1812,"")</x:f>
        <x:v>0.6425853224977697</x:v>
      </x:c>
      <x:c r="L1812" s="4" t="n">
        <x:f>IF(AND('계산 과정'!$L$6,J1812&gt;0),'계산 과정'!$D$10*('계산 과정'!$C$39*(D1812-'계산 과정'!$C$32)+'계산 과정'!$D$39*(E1812-'계산 과정'!$D$32)-'계산 과정'!$E$39*'계산 과정'!$E$32)/J1812,"")</x:f>
        <x:v>-1.637958504124349</x:v>
      </x:c>
      <x:c r="M1812" s="17" t="n">
        <x:f>IF('계산 과정'!$L$6,IF(J1812&lt;=0,0,IF(AND(ABS(K1812)&lt;='계산 과정'!$D$11/2,ABS(L1812)&lt;='계산 과정'!$D$12/2),1,0)),"")</x:f>
        <x:v>1</x:v>
      </x:c>
      <x:c r="N1812" s="17" t="n">
        <x:f>IF('계산 과정'!$C$78,IF(AND(ISNUMBER(H1812),ISNUMBER(I1812),ABS(H1812-'계산 과정'!$C$88)&lt;='계산 과정'!$D$23/2,ABS(I1812-'계산 과정'!$C$89)&lt;='계산 과정'!$D$24/2),1,0),"")</x:f>
        <x:v>1</x:v>
      </x:c>
      <x:c r="O1812" s="4" t="n">
        <x:f>IF('계산 과정'!$L$7,'계산 과정'!$C$49*('계산 과정'!$C$32-D1812)+'계산 과정'!$D$49*('계산 과정'!$D$32-E1812)+'계산 과정'!$E$49*'계산 과정'!$E$32,"")</x:f>
        <x:v>48.32818468523243</x:v>
      </x:c>
      <x:c r="P1812" s="4" t="n">
        <x:f>IF(AND('계산 과정'!$L$7,O1812&lt;&gt;0),('계산 과정'!$L$23-'계산 과정'!$C$49*D1812-'계산 과정'!$D$49*E1812)/O1812,"")</x:f>
        <x:v>9.276743738777908</x:v>
      </x:c>
      <x:c r="Q1812" s="4" t="str">
        <x:f>IF(AND(ISNUMBER(P1812),P1812&gt;1E-9,P1812&lt;1-1E-9),'계산 과정'!$C$47*(D1812-'계산 과정'!$C$50+P1812*('계산 과정'!$C$32-D1812))+'계산 과정'!$D$47*(E1812-'계산 과정'!$D$50+P1812*('계산 과정'!$D$32-E1812))+'계산 과정'!$E$47*(0-'계산 과정'!$E$50+P1812*('계산 과정'!$E$32-0)),"")</x:f>
      </x:c>
      <x:c r="R1812" s="4" t="str">
        <x:f>IF(AND(ISNUMBER(P1812),P1812&gt;1E-9,P1812&lt;1-1E-9),'계산 과정'!$C$48*(D1812-'계산 과정'!$C$50+P1812*('계산 과정'!$C$32-D1812))+'계산 과정'!$D$48*(E1812-'계산 과정'!$D$50+P1812*('계산 과정'!$D$32-E1812))+'계산 과정'!$E$48*(0-'계산 과정'!$E$50+P1812*('계산 과정'!$E$32-0)),"")</x:f>
      </x:c>
      <x:c r="S1812" s="17" t="n">
        <x:f>IF('계산 과정'!$C$78,IF(AND(ISNUMBER(Q1812),ISNUMBER(R1812),ABS(Q1812-'계산 과정'!$C$88)&lt;='계산 과정'!$D$23/2,ABS(R1812-'계산 과정'!$C$89)&lt;='계산 과정'!$D$24/2),1,0),"")</x:f>
        <x:v>0</x:v>
      </x:c>
      <x:c r="T1812" s="4"/>
      <x:c r="U1812" s="4"/>
      <x:c r="V1812" s="4"/>
      <x:c r="W1812" s="4"/>
      <x:c r="X1812" s="4"/>
      <x:c r="Y1812" s="4"/>
      <x:c r="Z1812" s="4"/>
    </x:row>
    <x:row r="1813" ht="23" customHeight="1">
      <x:c r="A1813" s="17" t="n">
        <x:f>ROW()-6</x:f>
        <x:v>1807</x:v>
      </x:c>
      <x:c r="B1813" s="4" t="n">
        <x:f>IF('계산 과정'!$L$5,'계산 과정'!$L$11*SQRT((A1813+0.5)/'계산 과정'!$L$30),"")</x:f>
        <x:v>140.91766420835074</x:v>
      </x:c>
      <x:c r="C1813" s="4" t="n">
        <x:f>A1813*PI()*(3-SQRT(5))</x:f>
        <x:v>4336.733556119676</x:v>
      </x:c>
      <x:c r="D1813" s="4" t="n">
        <x:f>IF('계산 과정'!$L$5,B1813*COS(C1813),"")</x:f>
        <x:v>32.82569007705321</x:v>
      </x:c>
      <x:c r="E1813" s="4" t="n">
        <x:f>IF('계산 과정'!$L$5,B1813*SIN(C1813),"")</x:f>
        <x:v>137.0410965984392</x:v>
      </x:c>
      <x:c r="F1813" s="4" t="n">
        <x:f>IF('계산 과정'!$L$7,'계산 과정'!$L$22+'계산 과정'!$C$49*D1813+'계산 과정'!$D$49*E1813,"")</x:f>
        <x:v>626.7887319493877</x:v>
      </x:c>
      <x:c r="G1813" s="4" t="n">
        <x:f>IF('계산 과정'!$L$7,IF(ABS(F1813)&gt;=1E-12*MAX(1,SQRT((D1813-'계산 과정'!$C$33)^2+(E1813-'계산 과정'!$D$33)^2+'계산 과정'!$E$33^2)),('계산 과정'!$L$23-'계산 과정'!$C$49*D1813-'계산 과정'!$D$49*E1813)/F1813,""),"")</x:f>
        <x:v>0.6752056099259709</x:v>
      </x:c>
      <x:c r="H1813" s="4" t="n">
        <x:f>IF(AND(ISNUMBER(G1813),G1813&gt;0),('계산 과정'!$D$56+'계산 과정'!$D$57*D1813+'계산 과정'!$D$58*E1813)/F1813,"")</x:f>
        <x:v>38.883646451881056</x:v>
      </x:c>
      <x:c r="I1813" s="4" t="n">
        <x:f>IF(AND(ISNUMBER(G1813),G1813&gt;0),('계산 과정'!$E$56+'계산 과정'!$E$57*D1813+'계산 과정'!$E$58*E1813)/F1813,"")</x:f>
        <x:v>229.57201381211223</x:v>
      </x:c>
      <x:c r="J1813" s="4" t="n">
        <x:f>IF('계산 과정'!$L$5,'계산 과정'!$D$6+'계산 과정'!$C$35*D1813+'계산 과정'!$D$35*E1813,"")</x:f>
        <x:v>626.7887319493877</x:v>
      </x:c>
      <x:c r="K1813" s="4" t="n">
        <x:f>IF(AND('계산 과정'!$L$6,J1813&gt;0),'계산 과정'!$D$10*('계산 과정'!$C$38*(D1813-'계산 과정'!$C$32)+'계산 과정'!$D$38*(E1813-'계산 과정'!$D$32)-'계산 과정'!$E$38*'계산 과정'!$E$32)/J1813,"")</x:f>
        <x:v>0.2962563539190942</x:v>
      </x:c>
      <x:c r="L1813" s="4" t="n">
        <x:f>IF(AND('계산 과정'!$L$6,J1813&gt;0),'계산 과정'!$D$10*('계산 과정'!$C$39*(D1813-'계산 과정'!$C$32)+'계산 과정'!$D$39*(E1813-'계산 과정'!$D$32)-'계산 과정'!$E$39*'계산 과정'!$E$32)/J1813,"")</x:f>
        <x:v>1.7491201052351408</x:v>
      </x:c>
      <x:c r="M1813" s="17" t="n">
        <x:f>IF('계산 과정'!$L$6,IF(J1813&lt;=0,0,IF(AND(ABS(K1813)&lt;='계산 과정'!$D$11/2,ABS(L1813)&lt;='계산 과정'!$D$12/2),1,0)),"")</x:f>
        <x:v>1</x:v>
      </x:c>
      <x:c r="N1813" s="17" t="n">
        <x:f>IF('계산 과정'!$C$78,IF(AND(ISNUMBER(H1813),ISNUMBER(I1813),ABS(H1813-'계산 과정'!$C$88)&lt;='계산 과정'!$D$23/2,ABS(I1813-'계산 과정'!$C$89)&lt;='계산 과정'!$D$24/2),1,0),"")</x:f>
        <x:v>1</x:v>
      </x:c>
      <x:c r="O1813" s="4" t="n">
        <x:f>IF('계산 과정'!$L$7,'계산 과정'!$C$49*('계산 과정'!$C$32-D1813)+'계산 과정'!$D$49*('계산 과정'!$D$32-E1813)+'계산 과정'!$E$49*'계산 과정'!$E$32,"")</x:f>
        <x:v>23.211268050612375</x:v>
      </x:c>
      <x:c r="P1813" s="4" t="n">
        <x:f>IF(AND('계산 과정'!$L$7,O1813&lt;&gt;0),('계산 과정'!$L$23-'계산 과정'!$C$49*D1813-'계산 과정'!$D$49*E1813)/O1813,"")</x:f>
        <x:v>18.23300937836728</x:v>
      </x:c>
      <x:c r="Q1813" s="4" t="str">
        <x:f>IF(AND(ISNUMBER(P1813),P1813&gt;1E-9,P1813&lt;1-1E-9),'계산 과정'!$C$47*(D1813-'계산 과정'!$C$50+P1813*('계산 과정'!$C$32-D1813))+'계산 과정'!$D$47*(E1813-'계산 과정'!$D$50+P1813*('계산 과정'!$D$32-E1813))+'계산 과정'!$E$47*(0-'계산 과정'!$E$50+P1813*('계산 과정'!$E$32-0)),"")</x:f>
      </x:c>
      <x:c r="R1813" s="4" t="str">
        <x:f>IF(AND(ISNUMBER(P1813),P1813&gt;1E-9,P1813&lt;1-1E-9),'계산 과정'!$C$48*(D1813-'계산 과정'!$C$50+P1813*('계산 과정'!$C$32-D1813))+'계산 과정'!$D$48*(E1813-'계산 과정'!$D$50+P1813*('계산 과정'!$D$32-E1813))+'계산 과정'!$E$48*(0-'계산 과정'!$E$50+P1813*('계산 과정'!$E$32-0)),"")</x:f>
      </x:c>
      <x:c r="S1813" s="17" t="n">
        <x:f>IF('계산 과정'!$C$78,IF(AND(ISNUMBER(Q1813),ISNUMBER(R1813),ABS(Q1813-'계산 과정'!$C$88)&lt;='계산 과정'!$D$23/2,ABS(R1813-'계산 과정'!$C$89)&lt;='계산 과정'!$D$24/2),1,0),"")</x:f>
        <x:v>0</x:v>
      </x:c>
      <x:c r="T1813" s="4"/>
      <x:c r="U1813" s="4"/>
      <x:c r="V1813" s="4"/>
      <x:c r="W1813" s="4"/>
      <x:c r="X1813" s="4"/>
      <x:c r="Y1813" s="4"/>
      <x:c r="Z1813" s="4"/>
    </x:row>
    <x:row r="1814" ht="23" customHeight="1">
      <x:c r="A1814" s="17" t="n">
        <x:f>ROW()-6</x:f>
        <x:v>1808</x:v>
      </x:c>
      <x:c r="B1814" s="4" t="n">
        <x:f>IF('계산 과정'!$L$5,'계산 과정'!$L$11*SQRT((A1814+0.5)/'계산 과정'!$L$30),"")</x:f>
        <x:v>140.95664019145212</x:v>
      </x:c>
      <x:c r="C1814" s="4" t="n">
        <x:f>A1814*PI()*(3-SQRT(5))</x:f>
        <x:v>4339.133519349404</x:v>
      </x:c>
      <x:c r="D1814" s="4" t="n">
        <x:f>IF('계산 과정'!$L$5,B1814*COS(C1814),"")</x:f>
        <x:v>-116.80687125128064</x:v>
      </x:c>
      <x:c r="E1814" s="4" t="n">
        <x:f>IF('계산 과정'!$L$5,B1814*SIN(C1814),"")</x:f>
        <x:v>-78.89822078189877</x:v>
      </x:c>
      <x:c r="F1814" s="4" t="n">
        <x:f>IF('계산 과정'!$L$7,'계산 과정'!$L$22+'계산 과정'!$C$49*D1814+'계산 과정'!$D$49*E1814,"")</x:f>
        <x:v>732.5949307509645</x:v>
      </x:c>
      <x:c r="G1814" s="4" t="n">
        <x:f>IF('계산 과정'!$L$7,IF(ABS(F1814)&gt;=1E-12*MAX(1,SQRT((D1814-'계산 과정'!$C$33)^2+(E1814-'계산 과정'!$D$33)^2+'계산 과정'!$E$33^2)),('계산 과정'!$L$23-'계산 과정'!$C$49*D1814-'계산 과정'!$D$49*E1814)/F1814,""),"")</x:f>
        <x:v>0.43326135074900335</x:v>
      </x:c>
      <x:c r="H1814" s="4" t="n">
        <x:f>IF(AND(ISNUMBER(G1814),G1814&gt;0),('계산 과정'!$D$56+'계산 과정'!$D$57*D1814+'계산 과정'!$D$58*E1814)/F1814,"")</x:f>
        <x:v>-118.38012201314794</x:v>
      </x:c>
      <x:c r="I1814" s="4" t="n">
        <x:f>IF(AND(ISNUMBER(G1814),G1814&gt;0),('계산 과정'!$E$56+'계산 과정'!$E$57*D1814+'계산 과정'!$E$58*E1814)/F1814,"")</x:f>
        <x:v>-113.08177048955733</x:v>
      </x:c>
      <x:c r="J1814" s="4" t="n">
        <x:f>IF('계산 과정'!$L$5,'계산 과정'!$D$6+'계산 과정'!$C$35*D1814+'계산 과정'!$D$35*E1814,"")</x:f>
        <x:v>732.5949307509645</x:v>
      </x:c>
      <x:c r="K1814" s="4" t="n">
        <x:f>IF(AND('계산 과정'!$L$6,J1814&gt;0),'계산 과정'!$D$10*('계산 과정'!$C$38*(D1814-'계산 과정'!$C$32)+'계산 과정'!$D$38*(E1814-'계산 과정'!$D$32)-'계산 과정'!$E$38*'계산 과정'!$E$32)/J1814,"")</x:f>
        <x:v>-0.9019437867668404</x:v>
      </x:c>
      <x:c r="L1814" s="4" t="n">
        <x:f>IF(AND('계산 과정'!$L$6,J1814&gt;0),'계산 과정'!$D$10*('계산 과정'!$C$39*(D1814-'계산 과정'!$C$32)+'계산 과정'!$D$39*(E1814-'계산 과정'!$D$32)-'계산 과정'!$E$39*'계산 과정'!$E$32)/J1814,"")</x:f>
        <x:v>-0.861575394206151</x:v>
      </x:c>
      <x:c r="M1814" s="17" t="n">
        <x:f>IF('계산 과정'!$L$6,IF(J1814&lt;=0,0,IF(AND(ABS(K1814)&lt;='계산 과정'!$D$11/2,ABS(L1814)&lt;='계산 과정'!$D$12/2),1,0)),"")</x:f>
        <x:v>1</x:v>
      </x:c>
      <x:c r="N1814" s="17" t="n">
        <x:f>IF('계산 과정'!$C$78,IF(AND(ISNUMBER(H1814),ISNUMBER(I1814),ABS(H1814-'계산 과정'!$C$88)&lt;='계산 과정'!$D$23/2,ABS(I1814-'계산 과정'!$C$89)&lt;='계산 과정'!$D$24/2),1,0),"")</x:f>
        <x:v>1</x:v>
      </x:c>
      <x:c r="O1814" s="4" t="n">
        <x:f>IF('계산 과정'!$L$7,'계산 과정'!$C$49*('계산 과정'!$C$32-D1814)+'계산 과정'!$D$49*('계산 과정'!$D$32-E1814)+'계산 과정'!$E$49*'계산 과정'!$E$32,"")</x:f>
        <x:v>-82.59493075096441</x:v>
      </x:c>
      <x:c r="P1814" s="4" t="n">
        <x:f>IF(AND('계산 과정'!$L$7,O1814&lt;&gt;0),('계산 과정'!$L$23-'계산 과정'!$C$49*D1814-'계산 과정'!$D$49*E1814)/O1814,"")</x:f>
        <x:v>-3.8429122267328655</x:v>
      </x:c>
      <x:c r="Q1814" s="4" t="str">
        <x:f>IF(AND(ISNUMBER(P1814),P1814&gt;1E-9,P1814&lt;1-1E-9),'계산 과정'!$C$47*(D1814-'계산 과정'!$C$50+P1814*('계산 과정'!$C$32-D1814))+'계산 과정'!$D$47*(E1814-'계산 과정'!$D$50+P1814*('계산 과정'!$D$32-E1814))+'계산 과정'!$E$47*(0-'계산 과정'!$E$50+P1814*('계산 과정'!$E$32-0)),"")</x:f>
      </x:c>
      <x:c r="R1814" s="4" t="str">
        <x:f>IF(AND(ISNUMBER(P1814),P1814&gt;1E-9,P1814&lt;1-1E-9),'계산 과정'!$C$48*(D1814-'계산 과정'!$C$50+P1814*('계산 과정'!$C$32-D1814))+'계산 과정'!$D$48*(E1814-'계산 과정'!$D$50+P1814*('계산 과정'!$D$32-E1814))+'계산 과정'!$E$48*(0-'계산 과정'!$E$50+P1814*('계산 과정'!$E$32-0)),"")</x:f>
      </x:c>
      <x:c r="S1814" s="17" t="n">
        <x:f>IF('계산 과정'!$C$78,IF(AND(ISNUMBER(Q1814),ISNUMBER(R1814),ABS(Q1814-'계산 과정'!$C$88)&lt;='계산 과정'!$D$23/2,ABS(R1814-'계산 과정'!$C$89)&lt;='계산 과정'!$D$24/2),1,0),"")</x:f>
        <x:v>0</x:v>
      </x:c>
      <x:c r="T1814" s="4"/>
      <x:c r="U1814" s="4"/>
      <x:c r="V1814" s="4"/>
      <x:c r="W1814" s="4"/>
      <x:c r="X1814" s="4"/>
      <x:c r="Y1814" s="4"/>
      <x:c r="Z1814" s="4"/>
    </x:row>
    <x:row r="1815" ht="23" customHeight="1">
      <x:c r="A1815" s="17" t="n">
        <x:f>ROW()-6</x:f>
        <x:v>1809</x:v>
      </x:c>
      <x:c r="B1815" s="4" t="n">
        <x:f>IF('계산 과정'!$L$5,'계산 과정'!$L$11*SQRT((A1815+0.5)/'계산 과정'!$L$30),"")</x:f>
        <x:v>140.99560540026593</x:v>
      </x:c>
      <x:c r="C1815" s="4" t="n">
        <x:f>A1815*PI()*(3-SQRT(5))</x:f>
        <x:v>4341.533482579133</x:v>
      </x:c>
      <x:c r="D1815" s="4" t="n">
        <x:f>IF('계산 과정'!$L$5,B1815*COS(C1815),"")</x:f>
        <x:v>139.46327571692217</x:v>
      </x:c>
      <x:c r="E1815" s="4" t="n">
        <x:f>IF('계산 과정'!$L$5,B1815*SIN(C1815),"")</x:f>
        <x:v>-20.730544336636274</x:v>
      </x:c>
      <x:c r="F1815" s="4" t="n">
        <x:f>IF('계산 과정'!$L$7,'계산 과정'!$L$22+'계산 과정'!$C$49*D1815+'계산 과정'!$D$49*E1815,"")</x:f>
        <x:v>551.3845720140752</x:v>
      </x:c>
      <x:c r="G1815" s="4" t="n">
        <x:f>IF('계산 과정'!$L$7,IF(ABS(F1815)&gt;=1E-12*MAX(1,SQRT((D1815-'계산 과정'!$C$33)^2+(E1815-'계산 과정'!$D$33)^2+'계산 과정'!$E$33^2)),('계산 과정'!$L$23-'계산 과정'!$C$49*D1815-'계산 과정'!$D$49*E1815)/F1815,""),"")</x:f>
        <x:v>0.9042970247872599</x:v>
      </x:c>
      <x:c r="H1815" s="4" t="n">
        <x:f>IF(AND(ISNUMBER(G1815),G1815&gt;0),('계산 과정'!$D$56+'계산 과정'!$D$57*D1815+'계산 과정'!$D$58*E1815)/F1815,"")</x:f>
        <x:v>187.79306611171887</x:v>
      </x:c>
      <x:c r="I1815" s="4" t="n">
        <x:f>IF(AND(ISNUMBER(G1815),G1815&gt;0),('계산 과정'!$E$56+'계산 과정'!$E$57*D1815+'계산 과정'!$E$58*E1815)/F1815,"")</x:f>
        <x:v>-39.47711390247684</x:v>
      </x:c>
      <x:c r="J1815" s="4" t="n">
        <x:f>IF('계산 과정'!$L$5,'계산 과정'!$D$6+'계산 과정'!$C$35*D1815+'계산 과정'!$D$35*E1815,"")</x:f>
        <x:v>551.3845720140752</x:v>
      </x:c>
      <x:c r="K1815" s="4" t="n">
        <x:f>IF(AND('계산 과정'!$L$6,J1815&gt;0),'계산 과정'!$D$10*('계산 과정'!$C$38*(D1815-'계산 과정'!$C$32)+'계산 과정'!$D$38*(E1815-'계산 과정'!$D$32)-'계산 과정'!$E$38*'계산 과정'!$E$32)/J1815,"")</x:f>
        <x:v>1.4308043132321444</x:v>
      </x:c>
      <x:c r="L1815" s="4" t="n">
        <x:f>IF(AND('계산 과정'!$L$6,J1815&gt;0),'계산 과정'!$D$10*('계산 과정'!$C$39*(D1815-'계산 과정'!$C$32)+'계산 과정'!$D$39*(E1815-'계산 과정'!$D$32)-'계산 과정'!$E$39*'계산 과정'!$E$32)/J1815,"")</x:f>
        <x:v>-0.30077801068553783</x:v>
      </x:c>
      <x:c r="M1815" s="17" t="n">
        <x:f>IF('계산 과정'!$L$6,IF(J1815&lt;=0,0,IF(AND(ABS(K1815)&lt;='계산 과정'!$D$11/2,ABS(L1815)&lt;='계산 과정'!$D$12/2),1,0)),"")</x:f>
        <x:v>1</x:v>
      </x:c>
      <x:c r="N1815" s="17" t="n">
        <x:f>IF('계산 과정'!$C$78,IF(AND(ISNUMBER(H1815),ISNUMBER(I1815),ABS(H1815-'계산 과정'!$C$88)&lt;='계산 과정'!$D$23/2,ABS(I1815-'계산 과정'!$C$89)&lt;='계산 과정'!$D$24/2),1,0),"")</x:f>
        <x:v>1</x:v>
      </x:c>
      <x:c r="O1815" s="4" t="n">
        <x:f>IF('계산 과정'!$L$7,'계산 과정'!$C$49*('계산 과정'!$C$32-D1815)+'계산 과정'!$D$49*('계산 과정'!$D$32-E1815)+'계산 과정'!$E$49*'계산 과정'!$E$32,"")</x:f>
        <x:v>98.61542798592492</x:v>
      </x:c>
      <x:c r="P1815" s="4" t="n">
        <x:f>IF(AND('계산 과정'!$L$7,O1815&lt;&gt;0),('계산 과정'!$L$23-'계산 과정'!$C$49*D1815-'계산 과정'!$D$49*E1815)/O1815,"")</x:f>
        <x:v>5.0561604626112935</x:v>
      </x:c>
      <x:c r="Q1815" s="4" t="str">
        <x:f>IF(AND(ISNUMBER(P1815),P1815&gt;1E-9,P1815&lt;1-1E-9),'계산 과정'!$C$47*(D1815-'계산 과정'!$C$50+P1815*('계산 과정'!$C$32-D1815))+'계산 과정'!$D$47*(E1815-'계산 과정'!$D$50+P1815*('계산 과정'!$D$32-E1815))+'계산 과정'!$E$47*(0-'계산 과정'!$E$50+P1815*('계산 과정'!$E$32-0)),"")</x:f>
      </x:c>
      <x:c r="R1815" s="4" t="str">
        <x:f>IF(AND(ISNUMBER(P1815),P1815&gt;1E-9,P1815&lt;1-1E-9),'계산 과정'!$C$48*(D1815-'계산 과정'!$C$50+P1815*('계산 과정'!$C$32-D1815))+'계산 과정'!$D$48*(E1815-'계산 과정'!$D$50+P1815*('계산 과정'!$D$32-E1815))+'계산 과정'!$E$48*(0-'계산 과정'!$E$50+P1815*('계산 과정'!$E$32-0)),"")</x:f>
      </x:c>
      <x:c r="S1815" s="17" t="n">
        <x:f>IF('계산 과정'!$C$78,IF(AND(ISNUMBER(Q1815),ISNUMBER(R1815),ABS(Q1815-'계산 과정'!$C$88)&lt;='계산 과정'!$D$23/2,ABS(R1815-'계산 과정'!$C$89)&lt;='계산 과정'!$D$24/2),1,0),"")</x:f>
        <x:v>0</x:v>
      </x:c>
      <x:c r="T1815" s="4"/>
      <x:c r="U1815" s="4"/>
      <x:c r="V1815" s="4"/>
      <x:c r="W1815" s="4"/>
      <x:c r="X1815" s="4"/>
      <x:c r="Y1815" s="4"/>
      <x:c r="Z1815" s="4"/>
    </x:row>
    <x:row r="1816" ht="23" customHeight="1">
      <x:c r="A1816" s="17" t="n">
        <x:f>ROW()-6</x:f>
        <x:v>1810</x:v>
      </x:c>
      <x:c r="B1816" s="4" t="n">
        <x:f>IF('계산 과정'!$L$5,'계산 과정'!$L$11*SQRT((A1816+0.5)/'계산 과정'!$L$30),"")</x:f>
        <x:v>141.03455984372235</x:v>
      </x:c>
      <x:c r="C1816" s="4" t="n">
        <x:f>A1816*PI()*(3-SQRT(5))</x:f>
        <x:v>4343.9334458088615</x:v>
      </x:c>
      <x:c r="D1816" s="4" t="n">
        <x:f>IF('계산 과정'!$L$5,B1816*COS(C1816),"")</x:f>
        <x:v>-88.85714043628118</x:v>
      </x:c>
      <x:c r="E1816" s="4" t="n">
        <x:f>IF('계산 과정'!$L$5,B1816*SIN(C1816),"")</x:f>
        <x:v>109.52239800058938</x:v>
      </x:c>
      <x:c r="F1816" s="4" t="n">
        <x:f>IF('계산 과정'!$L$7,'계산 과정'!$L$22+'계산 과정'!$C$49*D1816+'계산 과정'!$D$49*E1816,"")</x:f>
        <x:v>712.8314865593399</x:v>
      </x:c>
      <x:c r="G1816" s="4" t="n">
        <x:f>IF('계산 과정'!$L$7,IF(ABS(F1816)&gt;=1E-12*MAX(1,SQRT((D1816-'계산 과정'!$C$33)^2+(E1816-'계산 과정'!$D$33)^2+'계산 과정'!$E$33^2)),('계산 과정'!$L$23-'계산 과정'!$C$49*D1816-'계산 과정'!$D$49*E1816)/F1816,""),"")</x:f>
        <x:v>0.47299890619042195</x:v>
      </x:c>
      <x:c r="H1816" s="4" t="n">
        <x:f>IF(AND(ISNUMBER(G1816),G1816&gt;0),('계산 과정'!$D$56+'계산 과정'!$D$57*D1816+'계산 과정'!$D$58*E1816)/F1816,"")</x:f>
        <x:v>-92.55071097622586</x:v>
      </x:c>
      <x:c r="I1816" s="4" t="n">
        <x:f>IF(AND(ISNUMBER(G1816),G1816&gt;0),('계산 과정'!$E$56+'계산 과정'!$E$57*D1816+'계산 과정'!$E$58*E1816)/F1816,"")</x:f>
        <x:v>161.3263724582202</x:v>
      </x:c>
      <x:c r="J1816" s="4" t="n">
        <x:f>IF('계산 과정'!$L$5,'계산 과정'!$D$6+'계산 과정'!$C$35*D1816+'계산 과정'!$D$35*E1816,"")</x:f>
        <x:v>712.8314865593399</x:v>
      </x:c>
      <x:c r="K1816" s="4" t="n">
        <x:f>IF(AND('계산 과정'!$L$6,J1816&gt;0),'계산 과정'!$D$10*('계산 과정'!$C$38*(D1816-'계산 과정'!$C$32)+'계산 과정'!$D$38*(E1816-'계산 과정'!$D$32)-'계산 과정'!$E$38*'계산 과정'!$E$32)/J1816,"")</x:f>
        <x:v>-0.7051482741045768</x:v>
      </x:c>
      <x:c r="L1816" s="4" t="n">
        <x:f>IF(AND('계산 과정'!$L$6,J1816&gt;0),'계산 과정'!$D$10*('계산 과정'!$C$39*(D1816-'계산 과정'!$C$32)+'계산 과정'!$D$39*(E1816-'계산 과정'!$D$32)-'계산 과정'!$E$39*'계산 과정'!$E$32)/J1816,"")</x:f>
        <x:v>1.229153313967392</x:v>
      </x:c>
      <x:c r="M1816" s="17" t="n">
        <x:f>IF('계산 과정'!$L$6,IF(J1816&lt;=0,0,IF(AND(ABS(K1816)&lt;='계산 과정'!$D$11/2,ABS(L1816)&lt;='계산 과정'!$D$12/2),1,0)),"")</x:f>
        <x:v>1</x:v>
      </x:c>
      <x:c r="N1816" s="17" t="n">
        <x:f>IF('계산 과정'!$C$78,IF(AND(ISNUMBER(H1816),ISNUMBER(I1816),ABS(H1816-'계산 과정'!$C$88)&lt;='계산 과정'!$D$23/2,ABS(I1816-'계산 과정'!$C$89)&lt;='계산 과정'!$D$24/2),1,0),"")</x:f>
        <x:v>1</x:v>
      </x:c>
      <x:c r="O1816" s="4" t="n">
        <x:f>IF('계산 과정'!$L$7,'계산 과정'!$C$49*('계산 과정'!$C$32-D1816)+'계산 과정'!$D$49*('계산 과정'!$D$32-E1816)+'계산 과정'!$E$49*'계산 과정'!$E$32,"")</x:f>
        <x:v>-62.83148655933968</x:v>
      </x:c>
      <x:c r="P1816" s="4" t="n">
        <x:f>IF(AND('계산 과정'!$L$7,O1816&lt;&gt;0),('계산 과정'!$L$23-'계산 과정'!$C$49*D1816-'계산 과정'!$D$49*E1816)/O1816,"")</x:f>
        <x:v>-5.366234859368313</x:v>
      </x:c>
      <x:c r="Q1816" s="4" t="str">
        <x:f>IF(AND(ISNUMBER(P1816),P1816&gt;1E-9,P1816&lt;1-1E-9),'계산 과정'!$C$47*(D1816-'계산 과정'!$C$50+P1816*('계산 과정'!$C$32-D1816))+'계산 과정'!$D$47*(E1816-'계산 과정'!$D$50+P1816*('계산 과정'!$D$32-E1816))+'계산 과정'!$E$47*(0-'계산 과정'!$E$50+P1816*('계산 과정'!$E$32-0)),"")</x:f>
      </x:c>
      <x:c r="R1816" s="4" t="str">
        <x:f>IF(AND(ISNUMBER(P1816),P1816&gt;1E-9,P1816&lt;1-1E-9),'계산 과정'!$C$48*(D1816-'계산 과정'!$C$50+P1816*('계산 과정'!$C$32-D1816))+'계산 과정'!$D$48*(E1816-'계산 과정'!$D$50+P1816*('계산 과정'!$D$32-E1816))+'계산 과정'!$E$48*(0-'계산 과정'!$E$50+P1816*('계산 과정'!$E$32-0)),"")</x:f>
      </x:c>
      <x:c r="S1816" s="17" t="n">
        <x:f>IF('계산 과정'!$C$78,IF(AND(ISNUMBER(Q1816),ISNUMBER(R1816),ABS(Q1816-'계산 과정'!$C$88)&lt;='계산 과정'!$D$23/2,ABS(R1816-'계산 과정'!$C$89)&lt;='계산 과정'!$D$24/2),1,0),"")</x:f>
        <x:v>0</x:v>
      </x:c>
      <x:c r="T1816" s="4"/>
      <x:c r="U1816" s="4"/>
      <x:c r="V1816" s="4"/>
      <x:c r="W1816" s="4"/>
      <x:c r="X1816" s="4"/>
      <x:c r="Y1816" s="4"/>
      <x:c r="Z1816" s="4"/>
    </x:row>
    <x:row r="1817" ht="23" customHeight="1">
      <x:c r="A1817" s="17" t="n">
        <x:f>ROW()-6</x:f>
        <x:v>1811</x:v>
      </x:c>
      <x:c r="B1817" s="4" t="n">
        <x:f>IF('계산 과정'!$L$5,'계산 과정'!$L$11*SQRT((A1817+0.5)/'계산 과정'!$L$30),"")</x:f>
        <x:v>141.07350353073926</x:v>
      </x:c>
      <x:c r="C1817" s="4" t="n">
        <x:f>A1817*PI()*(3-SQRT(5))</x:f>
        <x:v>4346.333409038591</x:v>
      </x:c>
      <x:c r="D1817" s="4" t="n">
        <x:f>IF('계산 과정'!$L$5,B1817*COS(C1817),"")</x:f>
        <x:v>-8.463163177807381</x:v>
      </x:c>
      <x:c r="E1817" s="4" t="n">
        <x:f>IF('계산 과정'!$L$5,B1817*SIN(C1817),"")</x:f>
        <x:v>-140.81941722455502</x:v>
      </x:c>
      <x:c r="F1817" s="4" t="n">
        <x:f>IF('계산 과정'!$L$7,'계산 과정'!$L$22+'계산 과정'!$C$49*D1817+'계산 과정'!$D$49*E1817,"")</x:f>
        <x:v>655.9843600733159</x:v>
      </x:c>
      <x:c r="G1817" s="4" t="n">
        <x:f>IF('계산 과정'!$L$7,IF(ABS(F1817)&gt;=1E-12*MAX(1,SQRT((D1817-'계산 과정'!$C$33)^2+(E1817-'계산 과정'!$D$33)^2+'계산 과정'!$E$33^2)),('계산 과정'!$L$23-'계산 과정'!$C$49*D1817-'계산 과정'!$D$49*E1817)/F1817,""),"")</x:f>
        <x:v>0.6006479177074391</x:v>
      </x:c>
      <x:c r="H1817" s="4" t="n">
        <x:f>IF(AND(ISNUMBER(G1817),G1817&gt;0),('계산 과정'!$D$56+'계산 과정'!$D$57*D1817+'계산 과정'!$D$58*E1817)/F1817,"")</x:f>
        <x:v>-9.578853490164732</x:v>
      </x:c>
      <x:c r="I1817" s="4" t="n">
        <x:f>IF(AND(ISNUMBER(G1817),G1817&gt;0),('계산 과정'!$E$56+'계산 과정'!$E$57*D1817+'계산 과정'!$E$58*E1817)/F1817,"")</x:f>
        <x:v>-225.4023069532591</x:v>
      </x:c>
      <x:c r="J1817" s="4" t="n">
        <x:f>IF('계산 과정'!$L$5,'계산 과정'!$D$6+'계산 과정'!$C$35*D1817+'계산 과정'!$D$35*E1817,"")</x:f>
        <x:v>655.9843600733159</x:v>
      </x:c>
      <x:c r="K1817" s="4" t="n">
        <x:f>IF(AND('계산 과정'!$L$6,J1817&gt;0),'계산 과정'!$D$10*('계산 과정'!$C$38*(D1817-'계산 과정'!$C$32)+'계산 과정'!$D$38*(E1817-'계산 과정'!$D$32)-'계산 과정'!$E$38*'계산 과정'!$E$32)/J1817,"")</x:f>
        <x:v>-0.07298174087744462</x:v>
      </x:c>
      <x:c r="L1817" s="4" t="n">
        <x:f>IF(AND('계산 과정'!$L$6,J1817&gt;0),'계산 과정'!$D$10*('계산 과정'!$C$39*(D1817-'계산 과정'!$C$32)+'계산 과정'!$D$39*(E1817-'계산 과정'!$D$32)-'계산 과정'!$E$39*'계산 과정'!$E$32)/J1817,"")</x:f>
        <x:v>-1.7173509101200692</x:v>
      </x:c>
      <x:c r="M1817" s="17" t="n">
        <x:f>IF('계산 과정'!$L$6,IF(J1817&lt;=0,0,IF(AND(ABS(K1817)&lt;='계산 과정'!$D$11/2,ABS(L1817)&lt;='계산 과정'!$D$12/2),1,0)),"")</x:f>
        <x:v>1</x:v>
      </x:c>
      <x:c r="N1817" s="17" t="n">
        <x:f>IF('계산 과정'!$C$78,IF(AND(ISNUMBER(H1817),ISNUMBER(I1817),ABS(H1817-'계산 과정'!$C$88)&lt;='계산 과정'!$D$23/2,ABS(I1817-'계산 과정'!$C$89)&lt;='계산 과정'!$D$24/2),1,0),"")</x:f>
        <x:v>1</x:v>
      </x:c>
      <x:c r="O1817" s="4" t="n">
        <x:f>IF('계산 과정'!$L$7,'계산 과정'!$C$49*('계산 과정'!$C$32-D1817)+'계산 과정'!$D$49*('계산 과정'!$D$32-E1817)+'계산 과정'!$E$49*'계산 과정'!$E$32,"")</x:f>
        <x:v>-5.98436007331577</x:v>
      </x:c>
      <x:c r="P1817" s="4" t="n">
        <x:f>IF(AND('계산 과정'!$L$7,O1817&lt;&gt;0),('계산 과정'!$L$23-'계산 과정'!$C$49*D1817-'계산 과정'!$D$49*E1817)/O1817,"")</x:f>
        <x:v>-65.84089779015768</x:v>
      </x:c>
      <x:c r="Q1817" s="4" t="str">
        <x:f>IF(AND(ISNUMBER(P1817),P1817&gt;1E-9,P1817&lt;1-1E-9),'계산 과정'!$C$47*(D1817-'계산 과정'!$C$50+P1817*('계산 과정'!$C$32-D1817))+'계산 과정'!$D$47*(E1817-'계산 과정'!$D$50+P1817*('계산 과정'!$D$32-E1817))+'계산 과정'!$E$47*(0-'계산 과정'!$E$50+P1817*('계산 과정'!$E$32-0)),"")</x:f>
      </x:c>
      <x:c r="R1817" s="4" t="str">
        <x:f>IF(AND(ISNUMBER(P1817),P1817&gt;1E-9,P1817&lt;1-1E-9),'계산 과정'!$C$48*(D1817-'계산 과정'!$C$50+P1817*('계산 과정'!$C$32-D1817))+'계산 과정'!$D$48*(E1817-'계산 과정'!$D$50+P1817*('계산 과정'!$D$32-E1817))+'계산 과정'!$E$48*(0-'계산 과정'!$E$50+P1817*('계산 과정'!$E$32-0)),"")</x:f>
      </x:c>
      <x:c r="S1817" s="17" t="n">
        <x:f>IF('계산 과정'!$C$78,IF(AND(ISNUMBER(Q1817),ISNUMBER(R1817),ABS(Q1817-'계산 과정'!$C$88)&lt;='계산 과정'!$D$23/2,ABS(R1817-'계산 과정'!$C$89)&lt;='계산 과정'!$D$24/2),1,0),"")</x:f>
        <x:v>0</x:v>
      </x:c>
      <x:c r="T1817" s="4"/>
      <x:c r="U1817" s="4"/>
      <x:c r="V1817" s="4"/>
      <x:c r="W1817" s="4"/>
      <x:c r="X1817" s="4"/>
      <x:c r="Y1817" s="4"/>
      <x:c r="Z1817" s="4"/>
    </x:row>
    <x:row r="1818" ht="23" customHeight="1">
      <x:c r="A1818" s="17" t="n">
        <x:f>ROW()-6</x:f>
        <x:v>1812</x:v>
      </x:c>
      <x:c r="B1818" s="4" t="n">
        <x:f>IF('계산 과정'!$L$5,'계산 과정'!$L$11*SQRT((A1818+0.5)/'계산 과정'!$L$30),"")</x:f>
        <x:v>141.1124364702222</x:v>
      </x:c>
      <x:c r="C1818" s="4" t="n">
        <x:f>A1818*PI()*(3-SQRT(5))</x:f>
        <x:v>4348.733372268319</x:v>
      </x:c>
      <x:c r="D1818" s="4" t="n">
        <x:f>IF('계산 과정'!$L$5,B1818*COS(C1818),"")</x:f>
        <x:v>101.39059639487486</x:v>
      </x:c>
      <x:c r="E1818" s="4" t="n">
        <x:f>IF('계산 과정'!$L$5,B1818*SIN(C1818),"")</x:f>
        <x:v>98.1461496404932</x:v>
      </x:c>
      <x:c r="F1818" s="4" t="n">
        <x:f>IF('계산 과정'!$L$7,'계산 과정'!$L$22+'계산 과정'!$C$49*D1818+'계산 과정'!$D$49*E1818,"")</x:f>
        <x:v>578.3060217406356</x:v>
      </x:c>
      <x:c r="G1818" s="4" t="n">
        <x:f>IF('계산 과정'!$L$7,IF(ABS(F1818)&gt;=1E-12*MAX(1,SQRT((D1818-'계산 과정'!$C$33)^2+(E1818-'계산 과정'!$D$33)^2+'계산 과정'!$E$33^2)),('계산 과정'!$L$23-'계산 과정'!$C$49*D1818-'계산 과정'!$D$49*E1818)/F1818,""),"")</x:f>
        <x:v>0.8156477029922996</x:v>
      </x:c>
      <x:c r="H1818" s="4" t="n">
        <x:f>IF(AND(ISNUMBER(G1818),G1818&gt;0),('계산 과정'!$D$56+'계산 과정'!$D$57*D1818+'계산 과정'!$D$58*E1818)/F1818,"")</x:f>
        <x:v>130.17100694499462</x:v>
      </x:c>
      <x:c r="I1818" s="4" t="n">
        <x:f>IF(AND(ISNUMBER(G1818),G1818&gt;0),('계산 과정'!$E$56+'계산 과정'!$E$57*D1818+'계산 과정'!$E$58*E1818)/F1818,"")</x:f>
        <x:v>178.19883115230002</x:v>
      </x:c>
      <x:c r="J1818" s="4" t="n">
        <x:f>IF('계산 과정'!$L$5,'계산 과정'!$D$6+'계산 과정'!$C$35*D1818+'계산 과정'!$D$35*E1818,"")</x:f>
        <x:v>578.3060217406356</x:v>
      </x:c>
      <x:c r="K1818" s="4" t="n">
        <x:f>IF(AND('계산 과정'!$L$6,J1818&gt;0),'계산 과정'!$D$10*('계산 과정'!$C$38*(D1818-'계산 과정'!$C$32)+'계산 과정'!$D$38*(E1818-'계산 과정'!$D$32)-'계산 과정'!$E$38*'계산 과정'!$E$32)/J1818,"")</x:f>
        <x:v>0.9917791005332932</x:v>
      </x:c>
      <x:c r="L1818" s="4" t="n">
        <x:f>IF(AND('계산 과정'!$L$6,J1818&gt;0),'계산 과정'!$D$10*('계산 과정'!$C$39*(D1818-'계산 과정'!$C$32)+'계산 과정'!$D$39*(E1818-'계산 과정'!$D$32)-'계산 과정'!$E$39*'계산 과정'!$E$32)/J1818,"")</x:f>
        <x:v>1.3577053802080001</x:v>
      </x:c>
      <x:c r="M1818" s="17" t="n">
        <x:f>IF('계산 과정'!$L$6,IF(J1818&lt;=0,0,IF(AND(ABS(K1818)&lt;='계산 과정'!$D$11/2,ABS(L1818)&lt;='계산 과정'!$D$12/2),1,0)),"")</x:f>
        <x:v>1</x:v>
      </x:c>
      <x:c r="N1818" s="17" t="n">
        <x:f>IF('계산 과정'!$C$78,IF(AND(ISNUMBER(H1818),ISNUMBER(I1818),ABS(H1818-'계산 과정'!$C$88)&lt;='계산 과정'!$D$23/2,ABS(I1818-'계산 과정'!$C$89)&lt;='계산 과정'!$D$24/2),1,0),"")</x:f>
        <x:v>1</x:v>
      </x:c>
      <x:c r="O1818" s="4" t="n">
        <x:f>IF('계산 과정'!$L$7,'계산 과정'!$C$49*('계산 과정'!$C$32-D1818)+'계산 과정'!$D$49*('계산 과정'!$D$32-E1818)+'계산 과정'!$E$49*'계산 과정'!$E$32,"")</x:f>
        <x:v>71.69397825936446</x:v>
      </x:c>
      <x:c r="P1818" s="4" t="n">
        <x:f>IF(AND('계산 과정'!$L$7,O1818&lt;&gt;0),('계산 과정'!$L$23-'계산 과정'!$C$49*D1818-'계산 과정'!$D$49*E1818)/O1818,"")</x:f>
        <x:v>6.57926913405385</x:v>
      </x:c>
      <x:c r="Q1818" s="4" t="str">
        <x:f>IF(AND(ISNUMBER(P1818),P1818&gt;1E-9,P1818&lt;1-1E-9),'계산 과정'!$C$47*(D1818-'계산 과정'!$C$50+P1818*('계산 과정'!$C$32-D1818))+'계산 과정'!$D$47*(E1818-'계산 과정'!$D$50+P1818*('계산 과정'!$D$32-E1818))+'계산 과정'!$E$47*(0-'계산 과정'!$E$50+P1818*('계산 과정'!$E$32-0)),"")</x:f>
      </x:c>
      <x:c r="R1818" s="4" t="str">
        <x:f>IF(AND(ISNUMBER(P1818),P1818&gt;1E-9,P1818&lt;1-1E-9),'계산 과정'!$C$48*(D1818-'계산 과정'!$C$50+P1818*('계산 과정'!$C$32-D1818))+'계산 과정'!$D$48*(E1818-'계산 과정'!$D$50+P1818*('계산 과정'!$D$32-E1818))+'계산 과정'!$E$48*(0-'계산 과정'!$E$50+P1818*('계산 과정'!$E$32-0)),"")</x:f>
      </x:c>
      <x:c r="S1818" s="17" t="n">
        <x:f>IF('계산 과정'!$C$78,IF(AND(ISNUMBER(Q1818),ISNUMBER(R1818),ABS(Q1818-'계산 과정'!$C$88)&lt;='계산 과정'!$D$23/2,ABS(R1818-'계산 과정'!$C$89)&lt;='계산 과정'!$D$24/2),1,0),"")</x:f>
        <x:v>0</x:v>
      </x:c>
      <x:c r="T1818" s="4"/>
      <x:c r="U1818" s="4"/>
      <x:c r="V1818" s="4"/>
      <x:c r="W1818" s="4"/>
      <x:c r="X1818" s="4"/>
      <x:c r="Y1818" s="4"/>
      <x:c r="Z1818" s="4"/>
    </x:row>
    <x:row r="1819" ht="23" customHeight="1">
      <x:c r="A1819" s="17" t="n">
        <x:f>ROW()-6</x:f>
        <x:v>1813</x:v>
      </x:c>
      <x:c r="B1819" s="4" t="n">
        <x:f>IF('계산 과정'!$L$5,'계산 과정'!$L$11*SQRT((A1819+0.5)/'계산 과정'!$L$30),"")</x:f>
        <x:v>141.15135867106451</x:v>
      </x:c>
      <x:c r="C1819" s="4" t="n">
        <x:f>A1819*PI()*(3-SQRT(5))</x:f>
        <x:v>4351.133335498047</x:v>
      </x:c>
      <x:c r="D1819" s="4" t="n">
        <x:f>IF('계산 과정'!$L$5,B1819*COS(C1819),"")</x:f>
        <x:v>-141.0979492859874</x:v>
      </x:c>
      <x:c r="E1819" s="4" t="n">
        <x:f>IF('계산 과정'!$L$5,B1819*SIN(C1819),"")</x:f>
        <x:v>-3.882623079366736</x:v>
      </x:c>
      <x:c r="F1819" s="4" t="n">
        <x:f>IF('계산 과정'!$L$7,'계산 과정'!$L$22+'계산 과정'!$C$49*D1819+'계산 과정'!$D$49*E1819,"")</x:f>
        <x:v>749.7713167516373</x:v>
      </x:c>
      <x:c r="G1819" s="4" t="n">
        <x:f>IF('계산 과정'!$L$7,IF(ABS(F1819)&gt;=1E-12*MAX(1,SQRT((D1819-'계산 과정'!$C$33)^2+(E1819-'계산 과정'!$D$33)^2+'계산 과정'!$E$33^2)),('계산 과정'!$L$23-'계산 과정'!$C$49*D1819-'계산 과정'!$D$49*E1819)/F1819,""),"")</x:f>
        <x:v>0.40042700559564604</x:v>
      </x:c>
      <x:c r="H1819" s="4" t="n">
        <x:f>IF(AND(ISNUMBER(G1819),G1819&gt;0),('계산 과정'!$D$56+'계산 과정'!$D$57*D1819+'계산 과정'!$D$58*E1819)/F1819,"")</x:f>
        <x:v>-139.72244636283023</x:v>
      </x:c>
      <x:c r="I1819" s="4" t="n">
        <x:f>IF(AND(ISNUMBER(G1819),G1819&gt;0),('계산 과정'!$E$56+'계산 과정'!$E$57*D1819+'계산 과정'!$E$58*E1819)/F1819,"")</x:f>
        <x:v>-5.437330212894104</x:v>
      </x:c>
      <x:c r="J1819" s="4" t="n">
        <x:f>IF('계산 과정'!$L$5,'계산 과정'!$D$6+'계산 과정'!$C$35*D1819+'계산 과정'!$D$35*E1819,"")</x:f>
        <x:v>749.7713167516373</x:v>
      </x:c>
      <x:c r="K1819" s="4" t="n">
        <x:f>IF(AND('계산 과정'!$L$6,J1819&gt;0),'계산 과정'!$D$10*('계산 과정'!$C$38*(D1819-'계산 과정'!$C$32)+'계산 과정'!$D$38*(E1819-'계산 과정'!$D$32)-'계산 과정'!$E$38*'계산 과정'!$E$32)/J1819,"")</x:f>
        <x:v>-1.064551972288229</x:v>
      </x:c>
      <x:c r="L1819" s="4" t="n">
        <x:f>IF(AND('계산 과정'!$L$6,J1819&gt;0),'계산 과정'!$D$10*('계산 과정'!$C$39*(D1819-'계산 과정'!$C$32)+'계산 과정'!$D$39*(E1819-'계산 과정'!$D$32)-'계산 과정'!$E$39*'계산 과정'!$E$32)/J1819,"")</x:f>
        <x:v>-0.04142727781252651</x:v>
      </x:c>
      <x:c r="M1819" s="17" t="n">
        <x:f>IF('계산 과정'!$L$6,IF(J1819&lt;=0,0,IF(AND(ABS(K1819)&lt;='계산 과정'!$D$11/2,ABS(L1819)&lt;='계산 과정'!$D$12/2),1,0)),"")</x:f>
        <x:v>1</x:v>
      </x:c>
      <x:c r="N1819" s="17" t="n">
        <x:f>IF('계산 과정'!$C$78,IF(AND(ISNUMBER(H1819),ISNUMBER(I1819),ABS(H1819-'계산 과정'!$C$88)&lt;='계산 과정'!$D$23/2,ABS(I1819-'계산 과정'!$C$89)&lt;='계산 과정'!$D$24/2),1,0),"")</x:f>
        <x:v>1</x:v>
      </x:c>
      <x:c r="O1819" s="4" t="n">
        <x:f>IF('계산 과정'!$L$7,'계산 과정'!$C$49*('계산 과정'!$C$32-D1819)+'계산 과정'!$D$49*('계산 과정'!$D$32-E1819)+'계산 과정'!$E$49*'계산 과정'!$E$32,"")</x:f>
        <x:v>-99.77131675163713</x:v>
      </x:c>
      <x:c r="P1819" s="4" t="n">
        <x:f>IF(AND('계산 과정'!$L$7,O1819&lt;&gt;0),('계산 과정'!$L$23-'계산 과정'!$C$49*D1819-'계산 과정'!$D$49*E1819)/O1819,"")</x:f>
        <x:v>-3.0091682962922945</x:v>
      </x:c>
      <x:c r="Q1819" s="4" t="str">
        <x:f>IF(AND(ISNUMBER(P1819),P1819&gt;1E-9,P1819&lt;1-1E-9),'계산 과정'!$C$47*(D1819-'계산 과정'!$C$50+P1819*('계산 과정'!$C$32-D1819))+'계산 과정'!$D$47*(E1819-'계산 과정'!$D$50+P1819*('계산 과정'!$D$32-E1819))+'계산 과정'!$E$47*(0-'계산 과정'!$E$50+P1819*('계산 과정'!$E$32-0)),"")</x:f>
      </x:c>
      <x:c r="R1819" s="4" t="str">
        <x:f>IF(AND(ISNUMBER(P1819),P1819&gt;1E-9,P1819&lt;1-1E-9),'계산 과정'!$C$48*(D1819-'계산 과정'!$C$50+P1819*('계산 과정'!$C$32-D1819))+'계산 과정'!$D$48*(E1819-'계산 과정'!$D$50+P1819*('계산 과정'!$D$32-E1819))+'계산 과정'!$E$48*(0-'계산 과정'!$E$50+P1819*('계산 과정'!$E$32-0)),"")</x:f>
      </x:c>
      <x:c r="S1819" s="17" t="n">
        <x:f>IF('계산 과정'!$C$78,IF(AND(ISNUMBER(Q1819),ISNUMBER(R1819),ABS(Q1819-'계산 과정'!$C$88)&lt;='계산 과정'!$D$23/2,ABS(R1819-'계산 과정'!$C$89)&lt;='계산 과정'!$D$24/2),1,0),"")</x:f>
        <x:v>0</x:v>
      </x:c>
      <x:c r="T1819" s="4"/>
      <x:c r="U1819" s="4"/>
      <x:c r="V1819" s="4"/>
      <x:c r="W1819" s="4"/>
      <x:c r="X1819" s="4"/>
      <x:c r="Y1819" s="4"/>
      <x:c r="Z1819" s="4"/>
    </x:row>
    <x:row r="1820" ht="23" customHeight="1">
      <x:c r="A1820" s="17" t="n">
        <x:f>ROW()-6</x:f>
        <x:v>1814</x:v>
      </x:c>
      <x:c r="B1820" s="4" t="n">
        <x:f>IF('계산 과정'!$L$5,'계산 과정'!$L$11*SQRT((A1820+0.5)/'계산 과정'!$L$30),"")</x:f>
        <x:v>141.1902701421472</x:v>
      </x:c>
      <x:c r="C1820" s="4" t="n">
        <x:f>A1820*PI()*(3-SQRT(5))</x:f>
        <x:v>4353.533298727776</x:v>
      </x:c>
      <x:c r="D1820" s="4" t="n">
        <x:f>IF('계산 과정'!$L$5,B1820*COS(C1820),"")</x:f>
        <x:v>106.69331501946621</x:v>
      </x:c>
      <x:c r="E1820" s="4" t="n">
        <x:f>IF('계산 과정'!$L$5,B1820*SIN(C1820),"")</x:f>
        <x:v>-92.47285500604733</x:v>
      </x:c>
      <x:c r="F1820" s="4" t="n">
        <x:f>IF('계산 과정'!$L$7,'계산 과정'!$L$22+'계산 과정'!$C$49*D1820+'계산 과정'!$D$49*E1820,"")</x:f>
        <x:v>574.5564334424629</x:v>
      </x:c>
      <x:c r="G1820" s="4" t="n">
        <x:f>IF('계산 과정'!$L$7,IF(ABS(F1820)&gt;=1E-12*MAX(1,SQRT((D1820-'계산 과정'!$C$33)^2+(E1820-'계산 과정'!$D$33)^2+'계산 과정'!$E$33^2)),('계산 과정'!$L$23-'계산 과정'!$C$49*D1820-'계산 과정'!$D$49*E1820)/F1820,""),"")</x:f>
        <x:v>0.8274967242276103</x:v>
      </x:c>
      <x:c r="H1820" s="4" t="n">
        <x:f>IF(AND(ISNUMBER(G1820),G1820&gt;0),('계산 과정'!$D$56+'계산 과정'!$D$57*D1820+'계산 과정'!$D$58*E1820)/F1820,"")</x:f>
        <x:v>137.87287074794662</x:v>
      </x:c>
      <x:c r="I1820" s="4" t="n">
        <x:f>IF(AND(ISNUMBER(G1820),G1820&gt;0),('계산 과정'!$E$56+'계산 과정'!$E$57*D1820+'계산 과정'!$E$58*E1820)/F1820,"")</x:f>
        <x:v>-168.99383960352628</x:v>
      </x:c>
      <x:c r="J1820" s="4" t="n">
        <x:f>IF('계산 과정'!$L$5,'계산 과정'!$D$6+'계산 과정'!$C$35*D1820+'계산 과정'!$D$35*E1820,"")</x:f>
        <x:v>574.5564334424629</x:v>
      </x:c>
      <x:c r="K1820" s="4" t="n">
        <x:f>IF(AND('계산 과정'!$L$6,J1820&gt;0),'계산 과정'!$D$10*('계산 과정'!$C$38*(D1820-'계산 과정'!$C$32)+'계산 과정'!$D$38*(E1820-'계산 과정'!$D$32)-'계산 과정'!$E$38*'계산 과정'!$E$32)/J1820,"")</x:f>
        <x:v>1.0504599676034039</x:v>
      </x:c>
      <x:c r="L1820" s="4" t="n">
        <x:f>IF(AND('계산 과정'!$L$6,J1820&gt;0),'계산 과정'!$D$10*('계산 과정'!$C$39*(D1820-'계산 과정'!$C$32)+'계산 과정'!$D$39*(E1820-'계산 과정'!$D$32)-'계산 과정'!$E$39*'계산 과정'!$E$32)/J1820,"")</x:f>
        <x:v>-1.287572111264962</x:v>
      </x:c>
      <x:c r="M1820" s="17" t="n">
        <x:f>IF('계산 과정'!$L$6,IF(J1820&lt;=0,0,IF(AND(ABS(K1820)&lt;='계산 과정'!$D$11/2,ABS(L1820)&lt;='계산 과정'!$D$12/2),1,0)),"")</x:f>
        <x:v>1</x:v>
      </x:c>
      <x:c r="N1820" s="17" t="n">
        <x:f>IF('계산 과정'!$C$78,IF(AND(ISNUMBER(H1820),ISNUMBER(I1820),ABS(H1820-'계산 과정'!$C$88)&lt;='계산 과정'!$D$23/2,ABS(I1820-'계산 과정'!$C$89)&lt;='계산 과정'!$D$24/2),1,0),"")</x:f>
        <x:v>1</x:v>
      </x:c>
      <x:c r="O1820" s="4" t="n">
        <x:f>IF('계산 과정'!$L$7,'계산 과정'!$C$49*('계산 과정'!$C$32-D1820)+'계산 과정'!$D$49*('계산 과정'!$D$32-E1820)+'계산 과정'!$E$49*'계산 과정'!$E$32,"")</x:f>
        <x:v>75.4435665575372</x:v>
      </x:c>
      <x:c r="P1820" s="4" t="n">
        <x:f>IF(AND('계산 과정'!$L$7,O1820&lt;&gt;0),('계산 과정'!$L$23-'계산 과정'!$C$49*D1820-'계산 과정'!$D$49*E1820)/O1820,"")</x:f>
        <x:v>6.3019762751398956</x:v>
      </x:c>
      <x:c r="Q1820" s="4" t="str">
        <x:f>IF(AND(ISNUMBER(P1820),P1820&gt;1E-9,P1820&lt;1-1E-9),'계산 과정'!$C$47*(D1820-'계산 과정'!$C$50+P1820*('계산 과정'!$C$32-D1820))+'계산 과정'!$D$47*(E1820-'계산 과정'!$D$50+P1820*('계산 과정'!$D$32-E1820))+'계산 과정'!$E$47*(0-'계산 과정'!$E$50+P1820*('계산 과정'!$E$32-0)),"")</x:f>
      </x:c>
      <x:c r="R1820" s="4" t="str">
        <x:f>IF(AND(ISNUMBER(P1820),P1820&gt;1E-9,P1820&lt;1-1E-9),'계산 과정'!$C$48*(D1820-'계산 과정'!$C$50+P1820*('계산 과정'!$C$32-D1820))+'계산 과정'!$D$48*(E1820-'계산 과정'!$D$50+P1820*('계산 과정'!$D$32-E1820))+'계산 과정'!$E$48*(0-'계산 과정'!$E$50+P1820*('계산 과정'!$E$32-0)),"")</x:f>
      </x:c>
      <x:c r="S1820" s="17" t="n">
        <x:f>IF('계산 과정'!$C$78,IF(AND(ISNUMBER(Q1820),ISNUMBER(R1820),ABS(Q1820-'계산 과정'!$C$88)&lt;='계산 과정'!$D$23/2,ABS(R1820-'계산 과정'!$C$89)&lt;='계산 과정'!$D$24/2),1,0),"")</x:f>
        <x:v>0</x:v>
      </x:c>
      <x:c r="T1820" s="4"/>
      <x:c r="U1820" s="4"/>
      <x:c r="V1820" s="4"/>
      <x:c r="W1820" s="4"/>
      <x:c r="X1820" s="4"/>
      <x:c r="Y1820" s="4"/>
      <x:c r="Z1820" s="4"/>
    </x:row>
    <x:row r="1821" ht="23" customHeight="1">
      <x:c r="A1821" s="17" t="n">
        <x:f>ROW()-6</x:f>
        <x:v>1815</x:v>
      </x:c>
      <x:c r="B1821" s="4" t="n">
        <x:f>IF('계산 과정'!$L$5,'계산 과정'!$L$11*SQRT((A1821+0.5)/'계산 과정'!$L$30),"")</x:f>
        <x:v>141.22917089233903</x:v>
      </x:c>
      <x:c r="C1821" s="4" t="n">
        <x:f>A1821*PI()*(3-SQRT(5))</x:f>
        <x:v>4355.933261957505</x:v>
      </x:c>
      <x:c r="D1821" s="4" t="n">
        <x:f>IF('계산 과정'!$L$5,B1821*COS(C1821),"")</x:f>
        <x:v>-16.21227953288665</x:v>
      </x:c>
      <x:c r="E1821" s="4" t="n">
        <x:f>IF('계산 과정'!$L$5,B1821*SIN(C1821),"")</x:f>
        <x:v>140.29554769587324</x:v>
      </x:c>
      <x:c r="F1821" s="4" t="n">
        <x:f>IF('계산 과정'!$L$7,'계산 과정'!$L$22+'계산 과정'!$C$49*D1821+'계산 과정'!$D$49*E1821,"")</x:f>
        <x:v>661.4638127961961</x:v>
      </x:c>
      <x:c r="G1821" s="4" t="n">
        <x:f>IF('계산 과정'!$L$7,IF(ABS(F1821)&gt;=1E-12*MAX(1,SQRT((D1821-'계산 과정'!$C$33)^2+(E1821-'계산 과정'!$D$33)^2+'계산 과정'!$E$33^2)),('계산 과정'!$L$23-'계산 과정'!$C$49*D1821-'계산 과정'!$D$49*E1821)/F1821,""),"")</x:f>
        <x:v>0.5873884250165565</x:v>
      </x:c>
      <x:c r="H1821" s="4" t="n">
        <x:f>IF(AND(ISNUMBER(G1821),G1821&gt;0),('계산 과정'!$D$56+'계산 과정'!$D$57*D1821+'계산 과정'!$D$58*E1821)/F1821,"")</x:f>
        <x:v>-18.19752373923837</x:v>
      </x:c>
      <x:c r="I1821" s="4" t="n">
        <x:f>IF(AND(ISNUMBER(G1821),G1821&gt;0),('계산 과정'!$E$56+'계산 과정'!$E$57*D1821+'계산 과정'!$E$58*E1821)/F1821,"")</x:f>
        <x:v>222.7035284937874</x:v>
      </x:c>
      <x:c r="J1821" s="4" t="n">
        <x:f>IF('계산 과정'!$L$5,'계산 과정'!$D$6+'계산 과정'!$C$35*D1821+'계산 과정'!$D$35*E1821,"")</x:f>
        <x:v>661.4638127961961</x:v>
      </x:c>
      <x:c r="K1821" s="4" t="n">
        <x:f>IF(AND('계산 과정'!$L$6,J1821&gt;0),'계산 과정'!$D$10*('계산 과정'!$C$38*(D1821-'계산 과정'!$C$32)+'계산 과정'!$D$38*(E1821-'계산 과정'!$D$32)-'계산 과정'!$E$38*'계산 과정'!$E$32)/J1821,"")</x:f>
        <x:v>-0.13864779991800555</x:v>
      </x:c>
      <x:c r="L1821" s="4" t="n">
        <x:f>IF(AND('계산 과정'!$L$6,J1821&gt;0),'계산 과정'!$D$10*('계산 과정'!$C$39*(D1821-'계산 과정'!$C$32)+'계산 과정'!$D$39*(E1821-'계산 과정'!$D$32)-'계산 과정'!$E$39*'계산 과정'!$E$32)/J1821,"")</x:f>
        <x:v>1.6967887885240944</x:v>
      </x:c>
      <x:c r="M1821" s="17" t="n">
        <x:f>IF('계산 과정'!$L$6,IF(J1821&lt;=0,0,IF(AND(ABS(K1821)&lt;='계산 과정'!$D$11/2,ABS(L1821)&lt;='계산 과정'!$D$12/2),1,0)),"")</x:f>
        <x:v>1</x:v>
      </x:c>
      <x:c r="N1821" s="17" t="n">
        <x:f>IF('계산 과정'!$C$78,IF(AND(ISNUMBER(H1821),ISNUMBER(I1821),ABS(H1821-'계산 과정'!$C$88)&lt;='계산 과정'!$D$23/2,ABS(I1821-'계산 과정'!$C$89)&lt;='계산 과정'!$D$24/2),1,0),"")</x:f>
        <x:v>1</x:v>
      </x:c>
      <x:c r="O1821" s="4" t="n">
        <x:f>IF('계산 과정'!$L$7,'계산 과정'!$C$49*('계산 과정'!$C$32-D1821)+'계산 과정'!$D$49*('계산 과정'!$D$32-E1821)+'계산 과정'!$E$49*'계산 과정'!$E$32,"")</x:f>
        <x:v>-11.463812796195896</x:v>
      </x:c>
      <x:c r="P1821" s="4" t="n">
        <x:f>IF(AND('계산 과정'!$L$7,O1821&lt;&gt;0),('계산 과정'!$L$23-'계산 과정'!$C$49*D1821-'계산 과정'!$D$49*E1821)/O1821,"")</x:f>
        <x:v>-33.892405093420074</x:v>
      </x:c>
      <x:c r="Q1821" s="4" t="str">
        <x:f>IF(AND(ISNUMBER(P1821),P1821&gt;1E-9,P1821&lt;1-1E-9),'계산 과정'!$C$47*(D1821-'계산 과정'!$C$50+P1821*('계산 과정'!$C$32-D1821))+'계산 과정'!$D$47*(E1821-'계산 과정'!$D$50+P1821*('계산 과정'!$D$32-E1821))+'계산 과정'!$E$47*(0-'계산 과정'!$E$50+P1821*('계산 과정'!$E$32-0)),"")</x:f>
      </x:c>
      <x:c r="R1821" s="4" t="str">
        <x:f>IF(AND(ISNUMBER(P1821),P1821&gt;1E-9,P1821&lt;1-1E-9),'계산 과정'!$C$48*(D1821-'계산 과정'!$C$50+P1821*('계산 과정'!$C$32-D1821))+'계산 과정'!$D$48*(E1821-'계산 과정'!$D$50+P1821*('계산 과정'!$D$32-E1821))+'계산 과정'!$E$48*(0-'계산 과정'!$E$50+P1821*('계산 과정'!$E$32-0)),"")</x:f>
      </x:c>
      <x:c r="S1821" s="17" t="n">
        <x:f>IF('계산 과정'!$C$78,IF(AND(ISNUMBER(Q1821),ISNUMBER(R1821),ABS(Q1821-'계산 과정'!$C$88)&lt;='계산 과정'!$D$23/2,ABS(R1821-'계산 과정'!$C$89)&lt;='계산 과정'!$D$24/2),1,0),"")</x:f>
        <x:v>0</x:v>
      </x:c>
      <x:c r="T1821" s="4"/>
      <x:c r="U1821" s="4"/>
      <x:c r="V1821" s="4"/>
      <x:c r="W1821" s="4"/>
      <x:c r="X1821" s="4"/>
      <x:c r="Y1821" s="4"/>
      <x:c r="Z1821" s="4"/>
    </x:row>
    <x:row r="1822" ht="23" customHeight="1">
      <x:c r="A1822" s="17" t="n">
        <x:f>ROW()-6</x:f>
        <x:v>1816</x:v>
      </x:c>
      <x:c r="B1822" s="4" t="n">
        <x:f>IF('계산 과정'!$L$5,'계산 과정'!$L$11*SQRT((A1822+0.5)/'계산 과정'!$L$30),"")</x:f>
        <x:v>141.2680609304966</x:v>
      </x:c>
      <x:c r="C1822" s="4" t="n">
        <x:f>A1822*PI()*(3-SQRT(5))</x:f>
        <x:v>4358.333225187233</x:v>
      </x:c>
      <x:c r="D1822" s="4" t="n">
        <x:f>IF('계산 과정'!$L$5,B1822*COS(C1822),"")</x:f>
        <x:v>-82.83665473652576</x:v>
      </x:c>
      <x:c r="E1822" s="4" t="n">
        <x:f>IF('계산 과정'!$L$5,B1822*SIN(C1822),"")</x:f>
        <x:v>-114.43231043339169</x:v>
      </x:c>
      <x:c r="F1822" s="4" t="n">
        <x:f>IF('계산 과정'!$L$7,'계산 과정'!$L$22+'계산 과정'!$C$49*D1822+'계산 과정'!$D$49*E1822,"")</x:f>
        <x:v>708.574360295006</x:v>
      </x:c>
      <x:c r="G1822" s="4" t="n">
        <x:f>IF('계산 과정'!$L$7,IF(ABS(F1822)&gt;=1E-12*MAX(1,SQRT((D1822-'계산 과정'!$C$33)^2+(E1822-'계산 과정'!$D$33)^2+'계산 과정'!$E$33^2)),('계산 과정'!$L$23-'계산 과정'!$C$49*D1822-'계산 과정'!$D$49*E1822)/F1822,""),"")</x:f>
        <x:v>0.48184870754121784</x:v>
      </x:c>
      <x:c r="H1822" s="4" t="n">
        <x:f>IF(AND(ISNUMBER(G1822),G1822&gt;0),('계산 과정'!$D$56+'계산 과정'!$D$57*D1822+'계산 과정'!$D$58*E1822)/F1822,"")</x:f>
        <x:v>-86.79834009820856</x:v>
      </x:c>
      <x:c r="I1822" s="4" t="n">
        <x:f>IF(AND(ISNUMBER(G1822),G1822&gt;0),('계산 과정'!$E$56+'계산 과정'!$E$57*D1822+'계산 과정'!$E$58*E1822)/F1822,"")</x:f>
        <x:v>-169.5713713166769</x:v>
      </x:c>
      <x:c r="J1822" s="4" t="n">
        <x:f>IF('계산 과정'!$L$5,'계산 과정'!$D$6+'계산 과정'!$C$35*D1822+'계산 과정'!$D$35*E1822,"")</x:f>
        <x:v>708.574360295006</x:v>
      </x:c>
      <x:c r="K1822" s="4" t="n">
        <x:f>IF(AND('계산 과정'!$L$6,J1822&gt;0),'계산 과정'!$D$10*('계산 과정'!$C$38*(D1822-'계산 과정'!$C$32)+'계산 과정'!$D$38*(E1822-'계산 과정'!$D$32)-'계산 과정'!$E$38*'계산 과정'!$E$32)/J1822,"")</x:f>
        <x:v>-0.6613206864625397</x:v>
      </x:c>
      <x:c r="L1822" s="4" t="n">
        <x:f>IF(AND('계산 과정'!$L$6,J1822&gt;0),'계산 과정'!$D$10*('계산 과정'!$C$39*(D1822-'계산 과정'!$C$32)+'계산 과정'!$D$39*(E1822-'계산 과정'!$D$32)-'계산 과정'!$E$39*'계산 과정'!$E$32)/J1822,"")</x:f>
        <x:v>-1.2919723528889668</x:v>
      </x:c>
      <x:c r="M1822" s="17" t="n">
        <x:f>IF('계산 과정'!$L$6,IF(J1822&lt;=0,0,IF(AND(ABS(K1822)&lt;='계산 과정'!$D$11/2,ABS(L1822)&lt;='계산 과정'!$D$12/2),1,0)),"")</x:f>
        <x:v>1</x:v>
      </x:c>
      <x:c r="N1822" s="17" t="n">
        <x:f>IF('계산 과정'!$C$78,IF(AND(ISNUMBER(H1822),ISNUMBER(I1822),ABS(H1822-'계산 과정'!$C$88)&lt;='계산 과정'!$D$23/2,ABS(I1822-'계산 과정'!$C$89)&lt;='계산 과정'!$D$24/2),1,0),"")</x:f>
        <x:v>1</x:v>
      </x:c>
      <x:c r="O1822" s="4" t="n">
        <x:f>IF('계산 과정'!$L$7,'계산 과정'!$C$49*('계산 과정'!$C$32-D1822)+'계산 과정'!$D$49*('계산 과정'!$D$32-E1822)+'계산 과정'!$E$49*'계산 과정'!$E$32,"")</x:f>
        <x:v>-58.57436029500593</x:v>
      </x:c>
      <x:c r="P1822" s="4" t="n">
        <x:f>IF(AND('계산 과정'!$L$7,O1822&lt;&gt;0),('계산 과정'!$L$23-'계산 과정'!$C$49*D1822-'계산 과정'!$D$49*E1822)/O1822,"")</x:f>
        <x:v>-5.828926478845454</x:v>
      </x:c>
      <x:c r="Q1822" s="4" t="str">
        <x:f>IF(AND(ISNUMBER(P1822),P1822&gt;1E-9,P1822&lt;1-1E-9),'계산 과정'!$C$47*(D1822-'계산 과정'!$C$50+P1822*('계산 과정'!$C$32-D1822))+'계산 과정'!$D$47*(E1822-'계산 과정'!$D$50+P1822*('계산 과정'!$D$32-E1822))+'계산 과정'!$E$47*(0-'계산 과정'!$E$50+P1822*('계산 과정'!$E$32-0)),"")</x:f>
      </x:c>
      <x:c r="R1822" s="4" t="str">
        <x:f>IF(AND(ISNUMBER(P1822),P1822&gt;1E-9,P1822&lt;1-1E-9),'계산 과정'!$C$48*(D1822-'계산 과정'!$C$50+P1822*('계산 과정'!$C$32-D1822))+'계산 과정'!$D$48*(E1822-'계산 과정'!$D$50+P1822*('계산 과정'!$D$32-E1822))+'계산 과정'!$E$48*(0-'계산 과정'!$E$50+P1822*('계산 과정'!$E$32-0)),"")</x:f>
      </x:c>
      <x:c r="S1822" s="17" t="n">
        <x:f>IF('계산 과정'!$C$78,IF(AND(ISNUMBER(Q1822),ISNUMBER(R1822),ABS(Q1822-'계산 과정'!$C$88)&lt;='계산 과정'!$D$23/2,ABS(R1822-'계산 과정'!$C$89)&lt;='계산 과정'!$D$24/2),1,0),"")</x:f>
        <x:v>0</x:v>
      </x:c>
      <x:c r="T1822" s="4"/>
      <x:c r="U1822" s="4"/>
      <x:c r="V1822" s="4"/>
      <x:c r="W1822" s="4"/>
      <x:c r="X1822" s="4"/>
      <x:c r="Y1822" s="4"/>
      <x:c r="Z1822" s="4"/>
    </x:row>
    <x:row r="1823" ht="23" customHeight="1">
      <x:c r="A1823" s="17" t="n">
        <x:f>ROW()-6</x:f>
        <x:v>1817</x:v>
      </x:c>
      <x:c r="B1823" s="4" t="n">
        <x:f>IF('계산 과정'!$L$5,'계산 과정'!$L$11*SQRT((A1823+0.5)/'계산 과정'!$L$30),"")</x:f>
        <x:v>141.30694026546433</x:v>
      </x:c>
      <x:c r="C1823" s="4" t="n">
        <x:f>A1823*PI()*(3-SQRT(5))</x:f>
        <x:v>4360.733188416963</x:v>
      </x:c>
      <x:c r="D1823" s="4" t="n">
        <x:f>IF('계산 과정'!$L$5,B1823*COS(C1823),"")</x:f>
        <x:v>138.41717045526704</x:v>
      </x:c>
      <x:c r="E1823" s="4" t="n">
        <x:f>IF('계산 과정'!$L$5,B1823*SIN(C1823),"")</x:f>
        <x:v>28.431290690804968</x:v>
      </x:c>
      <x:c r="F1823" s="4" t="n">
        <x:f>IF('계산 과정'!$L$7,'계산 과정'!$L$22+'계산 과정'!$C$49*D1823+'계산 과정'!$D$49*E1823,"")</x:f>
        <x:v>552.1242801384265</x:v>
      </x:c>
      <x:c r="G1823" s="4" t="n">
        <x:f>IF('계산 과정'!$L$7,IF(ABS(F1823)&gt;=1E-12*MAX(1,SQRT((D1823-'계산 과정'!$C$33)^2+(E1823-'계산 과정'!$D$33)^2+'계산 과정'!$E$33^2)),('계산 과정'!$L$23-'계산 과정'!$C$49*D1823-'계산 과정'!$D$49*E1823)/F1823,""),"")</x:f>
        <x:v>0.9017457441588116</x:v>
      </x:c>
      <x:c r="H1823" s="4" t="n">
        <x:f>IF(AND(ISNUMBER(G1823),G1823&gt;0),('계산 과정'!$D$56+'계산 과정'!$D$57*D1823+'계산 과정'!$D$58*E1823)/F1823,"")</x:f>
        <x:v>186.1347337032275</x:v>
      </x:c>
      <x:c r="I1823" s="4" t="n">
        <x:f>IF(AND(ISNUMBER(G1823),G1823&gt;0),('계산 과정'!$E$56+'계산 과정'!$E$57*D1823+'계산 과정'!$E$58*E1823)/F1823,"")</x:f>
        <x:v>54.06908607218038</x:v>
      </x:c>
      <x:c r="J1823" s="4" t="n">
        <x:f>IF('계산 과정'!$L$5,'계산 과정'!$D$6+'계산 과정'!$C$35*D1823+'계산 과정'!$D$35*E1823,"")</x:f>
        <x:v>552.1242801384265</x:v>
      </x:c>
      <x:c r="K1823" s="4" t="n">
        <x:f>IF(AND('계산 과정'!$L$6,J1823&gt;0),'계산 과정'!$D$10*('계산 과정'!$C$38*(D1823-'계산 과정'!$C$32)+'계산 과정'!$D$38*(E1823-'계산 과정'!$D$32)-'계산 과정'!$E$38*'계산 과정'!$E$32)/J1823,"")</x:f>
        <x:v>1.4181693996436393</x:v>
      </x:c>
      <x:c r="L1823" s="4" t="n">
        <x:f>IF(AND('계산 과정'!$L$6,J1823&gt;0),'계산 과정'!$D$10*('계산 과정'!$C$39*(D1823-'계산 과정'!$C$32)+'계산 과정'!$D$39*(E1823-'계산 과정'!$D$32)-'계산 과정'!$E$39*'계산 과정'!$E$32)/J1823,"")</x:f>
        <x:v>0.41195494150232675</x:v>
      </x:c>
      <x:c r="M1823" s="17" t="n">
        <x:f>IF('계산 과정'!$L$6,IF(J1823&lt;=0,0,IF(AND(ABS(K1823)&lt;='계산 과정'!$D$11/2,ABS(L1823)&lt;='계산 과정'!$D$12/2),1,0)),"")</x:f>
        <x:v>1</x:v>
      </x:c>
      <x:c r="N1823" s="17" t="n">
        <x:f>IF('계산 과정'!$C$78,IF(AND(ISNUMBER(H1823),ISNUMBER(I1823),ABS(H1823-'계산 과정'!$C$88)&lt;='계산 과정'!$D$23/2,ABS(I1823-'계산 과정'!$C$89)&lt;='계산 과정'!$D$24/2),1,0),"")</x:f>
        <x:v>1</x:v>
      </x:c>
      <x:c r="O1823" s="4" t="n">
        <x:f>IF('계산 과정'!$L$7,'계산 과정'!$C$49*('계산 과정'!$C$32-D1823)+'계산 과정'!$D$49*('계산 과정'!$D$32-E1823)+'계산 과정'!$E$49*'계산 과정'!$E$32,"")</x:f>
        <x:v>97.87571986157369</x:v>
      </x:c>
      <x:c r="P1823" s="4" t="n">
        <x:f>IF(AND('계산 과정'!$L$7,O1823&lt;&gt;0),('계산 과정'!$L$23-'계산 과정'!$C$49*D1823-'계산 과정'!$D$49*E1823)/O1823,"")</x:f>
        <x:v>5.086815408006426</x:v>
      </x:c>
      <x:c r="Q1823" s="4" t="str">
        <x:f>IF(AND(ISNUMBER(P1823),P1823&gt;1E-9,P1823&lt;1-1E-9),'계산 과정'!$C$47*(D1823-'계산 과정'!$C$50+P1823*('계산 과정'!$C$32-D1823))+'계산 과정'!$D$47*(E1823-'계산 과정'!$D$50+P1823*('계산 과정'!$D$32-E1823))+'계산 과정'!$E$47*(0-'계산 과정'!$E$50+P1823*('계산 과정'!$E$32-0)),"")</x:f>
      </x:c>
      <x:c r="R1823" s="4" t="str">
        <x:f>IF(AND(ISNUMBER(P1823),P1823&gt;1E-9,P1823&lt;1-1E-9),'계산 과정'!$C$48*(D1823-'계산 과정'!$C$50+P1823*('계산 과정'!$C$32-D1823))+'계산 과정'!$D$48*(E1823-'계산 과정'!$D$50+P1823*('계산 과정'!$D$32-E1823))+'계산 과정'!$E$48*(0-'계산 과정'!$E$50+P1823*('계산 과정'!$E$32-0)),"")</x:f>
      </x:c>
      <x:c r="S1823" s="17" t="n">
        <x:f>IF('계산 과정'!$C$78,IF(AND(ISNUMBER(Q1823),ISNUMBER(R1823),ABS(Q1823-'계산 과정'!$C$88)&lt;='계산 과정'!$D$23/2,ABS(R1823-'계산 과정'!$C$89)&lt;='계산 과정'!$D$24/2),1,0),"")</x:f>
        <x:v>0</x:v>
      </x:c>
      <x:c r="T1823" s="4"/>
      <x:c r="U1823" s="4"/>
      <x:c r="V1823" s="4"/>
      <x:c r="W1823" s="4"/>
      <x:c r="X1823" s="4"/>
      <x:c r="Y1823" s="4"/>
      <x:c r="Z1823" s="4"/>
    </x:row>
    <x:row r="1824" ht="23" customHeight="1">
      <x:c r="A1824" s="17" t="n">
        <x:f>ROW()-6</x:f>
        <x:v>1818</x:v>
      </x:c>
      <x:c r="B1824" s="4" t="n">
        <x:f>IF('계산 과정'!$L$5,'계산 과정'!$L$11*SQRT((A1824+0.5)/'계산 과정'!$L$30),"")</x:f>
        <x:v>141.34580890607438</x:v>
      </x:c>
      <x:c r="C1824" s="4" t="n">
        <x:f>A1824*PI()*(3-SQRT(5))</x:f>
        <x:v>4363.133151646692</x:v>
      </x:c>
      <x:c r="D1824" s="4" t="n">
        <x:f>IF('계산 과정'!$L$5,B1824*COS(C1824),"")</x:f>
        <x:v>-121.3029316563223</x:v>
      </x:c>
      <x:c r="E1824" s="4" t="n">
        <x:f>IF('계산 과정'!$L$5,B1824*SIN(C1824),"")</x:f>
        <x:v>72.55505817580259</x:v>
      </x:c>
      <x:c r="F1824" s="4" t="n">
        <x:f>IF('계산 과정'!$L$7,'계산 과정'!$L$22+'계산 과정'!$C$49*D1824+'계산 과정'!$D$49*E1824,"")</x:f>
        <x:v>735.7741255519938</x:v>
      </x:c>
      <x:c r="G1824" s="4" t="n">
        <x:f>IF('계산 과정'!$L$7,IF(ABS(F1824)&gt;=1E-12*MAX(1,SQRT((D1824-'계산 과정'!$C$33)^2+(E1824-'계산 과정'!$D$33)^2+'계산 과정'!$E$33^2)),('계산 과정'!$L$23-'계산 과정'!$C$49*D1824-'계산 과정'!$D$49*E1824)/F1824,""),"")</x:f>
        <x:v>0.4270683944101283</x:v>
      </x:c>
      <x:c r="H1824" s="4" t="n">
        <x:f>IF(AND(ISNUMBER(G1824),G1824&gt;0),('계산 과정'!$D$56+'계산 과정'!$D$57*D1824+'계산 과정'!$D$58*E1824)/F1824,"")</x:f>
        <x:v>-122.4055436334167</x:v>
      </x:c>
      <x:c r="I1824" s="4" t="n">
        <x:f>IF(AND(ISNUMBER(G1824),G1824&gt;0),('계산 과정'!$E$56+'계산 과정'!$E$57*D1824+'계산 과정'!$E$58*E1824)/F1824,"")</x:f>
        <x:v>103.54103037727604</x:v>
      </x:c>
      <x:c r="J1824" s="4" t="n">
        <x:f>IF('계산 과정'!$L$5,'계산 과정'!$D$6+'계산 과정'!$C$35*D1824+'계산 과정'!$D$35*E1824,"")</x:f>
        <x:v>735.7741255519938</x:v>
      </x:c>
      <x:c r="K1824" s="4" t="n">
        <x:f>IF(AND('계산 과정'!$L$6,J1824&gt;0),'계산 과정'!$D$10*('계산 과정'!$C$38*(D1824-'계산 과정'!$C$32)+'계산 과정'!$D$38*(E1824-'계산 과정'!$D$32)-'계산 과정'!$E$38*'계산 과정'!$E$32)/J1824,"")</x:f>
        <x:v>-0.9326136657784123</x:v>
      </x:c>
      <x:c r="L1824" s="4" t="n">
        <x:f>IF(AND('계산 과정'!$L$6,J1824&gt;0),'계산 과정'!$D$10*('계산 과정'!$C$39*(D1824-'계산 과정'!$C$32)+'계산 과정'!$D$39*(E1824-'계산 과정'!$D$32)-'계산 과정'!$E$39*'계산 과정'!$E$32)/J1824,"")</x:f>
        <x:v>0.7888840409697223</x:v>
      </x:c>
      <x:c r="M1824" s="17" t="n">
        <x:f>IF('계산 과정'!$L$6,IF(J1824&lt;=0,0,IF(AND(ABS(K1824)&lt;='계산 과정'!$D$11/2,ABS(L1824)&lt;='계산 과정'!$D$12/2),1,0)),"")</x:f>
        <x:v>1</x:v>
      </x:c>
      <x:c r="N1824" s="17" t="n">
        <x:f>IF('계산 과정'!$C$78,IF(AND(ISNUMBER(H1824),ISNUMBER(I1824),ABS(H1824-'계산 과정'!$C$88)&lt;='계산 과정'!$D$23/2,ABS(I1824-'계산 과정'!$C$89)&lt;='계산 과정'!$D$24/2),1,0),"")</x:f>
        <x:v>1</x:v>
      </x:c>
      <x:c r="O1824" s="4" t="n">
        <x:f>IF('계산 과정'!$L$7,'계산 과정'!$C$49*('계산 과정'!$C$32-D1824)+'계산 과정'!$D$49*('계산 과정'!$D$32-E1824)+'계산 과정'!$E$49*'계산 과정'!$E$32,"")</x:f>
        <x:v>-85.77412555199373</x:v>
      </x:c>
      <x:c r="P1824" s="4" t="n">
        <x:f>IF(AND('계산 과정'!$L$7,O1824&lt;&gt;0),('계산 과정'!$L$23-'계산 과정'!$C$49*D1824-'계산 과정'!$D$49*E1824)/O1824,"")</x:f>
        <x:v>-3.6634109928352663</x:v>
      </x:c>
      <x:c r="Q1824" s="4" t="str">
        <x:f>IF(AND(ISNUMBER(P1824),P1824&gt;1E-9,P1824&lt;1-1E-9),'계산 과정'!$C$47*(D1824-'계산 과정'!$C$50+P1824*('계산 과정'!$C$32-D1824))+'계산 과정'!$D$47*(E1824-'계산 과정'!$D$50+P1824*('계산 과정'!$D$32-E1824))+'계산 과정'!$E$47*(0-'계산 과정'!$E$50+P1824*('계산 과정'!$E$32-0)),"")</x:f>
      </x:c>
      <x:c r="R1824" s="4" t="str">
        <x:f>IF(AND(ISNUMBER(P1824),P1824&gt;1E-9,P1824&lt;1-1E-9),'계산 과정'!$C$48*(D1824-'계산 과정'!$C$50+P1824*('계산 과정'!$C$32-D1824))+'계산 과정'!$D$48*(E1824-'계산 과정'!$D$50+P1824*('계산 과정'!$D$32-E1824))+'계산 과정'!$E$48*(0-'계산 과정'!$E$50+P1824*('계산 과정'!$E$32-0)),"")</x:f>
      </x:c>
      <x:c r="S1824" s="17" t="n">
        <x:f>IF('계산 과정'!$C$78,IF(AND(ISNUMBER(Q1824),ISNUMBER(R1824),ABS(Q1824-'계산 과정'!$C$88)&lt;='계산 과정'!$D$23/2,ABS(R1824-'계산 과정'!$C$89)&lt;='계산 과정'!$D$24/2),1,0),"")</x:f>
        <x:v>0</x:v>
      </x:c>
      <x:c r="T1824" s="4"/>
      <x:c r="U1824" s="4"/>
      <x:c r="V1824" s="4"/>
      <x:c r="W1824" s="4"/>
      <x:c r="X1824" s="4"/>
      <x:c r="Y1824" s="4"/>
      <x:c r="Z1824" s="4"/>
    </x:row>
    <x:row r="1825" ht="23" customHeight="1">
      <x:c r="A1825" s="17" t="n">
        <x:f>ROW()-6</x:f>
        <x:v>1819</x:v>
      </x:c>
      <x:c r="B1825" s="4" t="n">
        <x:f>IF('계산 과정'!$L$5,'계산 과정'!$L$11*SQRT((A1825+0.5)/'계산 과정'!$L$30),"")</x:f>
        <x:v>141.38466686114694</x:v>
      </x:c>
      <x:c r="C1825" s="4" t="n">
        <x:f>A1825*PI()*(3-SQRT(5))</x:f>
        <x:v>4365.53311487642</x:v>
      </x:c>
      <x:c r="D1825" s="4" t="n">
        <x:f>IF('계산 과정'!$L$5,B1825*COS(C1825),"")</x:f>
        <x:v>40.445885113551974</x:v>
      </x:c>
      <x:c r="E1825" s="4" t="n">
        <x:f>IF('계산 과정'!$L$5,B1825*SIN(C1825),"")</x:f>
        <x:v>-135.47602887898233</x:v>
      </x:c>
      <x:c r="F1825" s="4" t="n">
        <x:f>IF('계산 과정'!$L$7,'계산 과정'!$L$22+'계산 과정'!$C$49*D1825+'계산 과정'!$D$49*E1825,"")</x:f>
        <x:v>621.4004403651154</x:v>
      </x:c>
      <x:c r="G1825" s="4" t="n">
        <x:f>IF('계산 과정'!$L$7,IF(ABS(F1825)&gt;=1E-12*MAX(1,SQRT((D1825-'계산 과정'!$C$33)^2+(E1825-'계산 과정'!$D$33)^2+'계산 과정'!$E$33^2)),('계산 과정'!$L$23-'계산 과정'!$C$49*D1825-'계산 과정'!$D$49*E1825)/F1825,""),"")</x:f>
        <x:v>0.6897316638254279</x:v>
      </x:c>
      <x:c r="H1825" s="4" t="n">
        <x:f>IF(AND(ISNUMBER(G1825),G1825&gt;0),('계산 과정'!$D$56+'계산 과정'!$D$57*D1825+'계산 과정'!$D$58*E1825)/F1825,"")</x:f>
        <x:v>48.32558148652805</x:v>
      </x:c>
      <x:c r="I1825" s="4" t="n">
        <x:f>IF(AND(ISNUMBER(G1825),G1825&gt;0),('계산 과정'!$E$56+'계산 과정'!$E$57*D1825+'계산 과정'!$E$58*E1825)/F1825,"")</x:f>
        <x:v>-228.91813568614455</x:v>
      </x:c>
      <x:c r="J1825" s="4" t="n">
        <x:f>IF('계산 과정'!$L$5,'계산 과정'!$D$6+'계산 과정'!$C$35*D1825+'계산 과정'!$D$35*E1825,"")</x:f>
        <x:v>621.4004403651154</x:v>
      </x:c>
      <x:c r="K1825" s="4" t="n">
        <x:f>IF(AND('계산 과정'!$L$6,J1825&gt;0),'계산 과정'!$D$10*('계산 과정'!$C$38*(D1825-'계산 과정'!$C$32)+'계산 과정'!$D$38*(E1825-'계산 과정'!$D$32)-'계산 과정'!$E$38*'계산 과정'!$E$32)/J1825,"")</x:f>
        <x:v>0.36819490656402437</x:v>
      </x:c>
      <x:c r="L1825" s="4" t="n">
        <x:f>IF(AND('계산 과정'!$L$6,J1825&gt;0),'계산 과정'!$D$10*('계산 과정'!$C$39*(D1825-'계산 과정'!$C$32)+'계산 과정'!$D$39*(E1825-'계산 과정'!$D$32)-'계산 과정'!$E$39*'계산 과정'!$E$32)/J1825,"")</x:f>
        <x:v>-1.7441381766563393</x:v>
      </x:c>
      <x:c r="M1825" s="17" t="n">
        <x:f>IF('계산 과정'!$L$6,IF(J1825&lt;=0,0,IF(AND(ABS(K1825)&lt;='계산 과정'!$D$11/2,ABS(L1825)&lt;='계산 과정'!$D$12/2),1,0)),"")</x:f>
        <x:v>1</x:v>
      </x:c>
      <x:c r="N1825" s="17" t="n">
        <x:f>IF('계산 과정'!$C$78,IF(AND(ISNUMBER(H1825),ISNUMBER(I1825),ABS(H1825-'계산 과정'!$C$88)&lt;='계산 과정'!$D$23/2,ABS(I1825-'계산 과정'!$C$89)&lt;='계산 과정'!$D$24/2),1,0),"")</x:f>
        <x:v>1</x:v>
      </x:c>
      <x:c r="O1825" s="4" t="n">
        <x:f>IF('계산 과정'!$L$7,'계산 과정'!$C$49*('계산 과정'!$C$32-D1825)+'계산 과정'!$D$49*('계산 과정'!$D$32-E1825)+'계산 과정'!$E$49*'계산 과정'!$E$32,"")</x:f>
        <x:v>28.59955963488477</x:v>
      </x:c>
      <x:c r="P1825" s="4" t="n">
        <x:f>IF(AND('계산 과정'!$L$7,O1825&lt;&gt;0),('계산 과정'!$L$23-'계산 과정'!$C$49*D1825-'계산 과정'!$D$49*E1825)/O1825,"")</x:f>
        <x:v>14.986229337324954</x:v>
      </x:c>
      <x:c r="Q1825" s="4" t="str">
        <x:f>IF(AND(ISNUMBER(P1825),P1825&gt;1E-9,P1825&lt;1-1E-9),'계산 과정'!$C$47*(D1825-'계산 과정'!$C$50+P1825*('계산 과정'!$C$32-D1825))+'계산 과정'!$D$47*(E1825-'계산 과정'!$D$50+P1825*('계산 과정'!$D$32-E1825))+'계산 과정'!$E$47*(0-'계산 과정'!$E$50+P1825*('계산 과정'!$E$32-0)),"")</x:f>
      </x:c>
      <x:c r="R1825" s="4" t="str">
        <x:f>IF(AND(ISNUMBER(P1825),P1825&gt;1E-9,P1825&lt;1-1E-9),'계산 과정'!$C$48*(D1825-'계산 과정'!$C$50+P1825*('계산 과정'!$C$32-D1825))+'계산 과정'!$D$48*(E1825-'계산 과정'!$D$50+P1825*('계산 과정'!$D$32-E1825))+'계산 과정'!$E$48*(0-'계산 과정'!$E$50+P1825*('계산 과정'!$E$32-0)),"")</x:f>
      </x:c>
      <x:c r="S1825" s="17" t="n">
        <x:f>IF('계산 과정'!$C$78,IF(AND(ISNUMBER(Q1825),ISNUMBER(R1825),ABS(Q1825-'계산 과정'!$C$88)&lt;='계산 과정'!$D$23/2,ABS(R1825-'계산 과정'!$C$89)&lt;='계산 과정'!$D$24/2),1,0),"")</x:f>
        <x:v>0</x:v>
      </x:c>
      <x:c r="T1825" s="4"/>
      <x:c r="U1825" s="4"/>
      <x:c r="V1825" s="4"/>
      <x:c r="W1825" s="4"/>
      <x:c r="X1825" s="4"/>
      <x:c r="Y1825" s="4"/>
      <x:c r="Z1825" s="4"/>
    </x:row>
    <x:row r="1826" ht="23" customHeight="1">
      <x:c r="A1826" s="17" t="n">
        <x:f>ROW()-6</x:f>
        <x:v>1820</x:v>
      </x:c>
      <x:c r="B1826" s="4" t="n">
        <x:f>IF('계산 과정'!$L$5,'계산 과정'!$L$11*SQRT((A1826+0.5)/'계산 과정'!$L$30),"")</x:f>
        <x:v>141.4235141394899</x:v>
      </x:c>
      <x:c r="C1826" s="4" t="n">
        <x:f>A1826*PI()*(3-SQRT(5))</x:f>
        <x:v>4367.933078106148</x:v>
      </x:c>
      <x:c r="D1826" s="4" t="n">
        <x:f>IF('계산 과정'!$L$5,B1826*COS(C1826),"")</x:f>
        <x:v>61.70615559642321</x:v>
      </x:c>
      <x:c r="E1826" s="4" t="n">
        <x:f>IF('계산 과정'!$L$5,B1826*SIN(C1826),"")</x:f>
        <x:v>127.25156467828796</x:v>
      </x:c>
      <x:c r="F1826" s="4" t="n">
        <x:f>IF('계산 과정'!$L$7,'계산 과정'!$L$22+'계산 과정'!$C$49*D1826+'계산 과정'!$D$49*E1826,"")</x:f>
        <x:v>606.367158936817</x:v>
      </x:c>
      <x:c r="G1826" s="4" t="n">
        <x:f>IF('계산 과정'!$L$7,IF(ABS(F1826)&gt;=1E-12*MAX(1,SQRT((D1826-'계산 과정'!$C$33)^2+(E1826-'계산 과정'!$D$33)^2+'계산 과정'!$E$33^2)),('계산 과정'!$L$23-'계산 과정'!$C$49*D1826-'계산 과정'!$D$49*E1826)/F1826,""),"")</x:f>
        <x:v>0.7316241233133955</x:v>
      </x:c>
      <x:c r="H1826" s="4" t="n">
        <x:f>IF(AND(ISNUMBER(G1826),G1826&gt;0),('계산 과정'!$D$56+'계산 과정'!$D$57*D1826+'계산 과정'!$D$58*E1826)/F1826,"")</x:f>
        <x:v>75.55568015370703</x:v>
      </x:c>
      <x:c r="I1826" s="4" t="n">
        <x:f>IF(AND(ISNUMBER(G1826),G1826&gt;0),('계산 과정'!$E$56+'계산 과정'!$E$57*D1826+'계산 과정'!$E$58*E1826)/F1826,"")</x:f>
        <x:v>220.35187912629826</x:v>
      </x:c>
      <x:c r="J1826" s="4" t="n">
        <x:f>IF('계산 과정'!$L$5,'계산 과정'!$D$6+'계산 과정'!$C$35*D1826+'계산 과정'!$D$35*E1826,"")</x:f>
        <x:v>606.367158936817</x:v>
      </x:c>
      <x:c r="K1826" s="4" t="n">
        <x:f>IF(AND('계산 과정'!$L$6,J1826&gt;0),'계산 과정'!$D$10*('계산 과정'!$C$38*(D1826-'계산 과정'!$C$32)+'계산 과정'!$D$38*(E1826-'계산 과정'!$D$32)-'계산 과정'!$E$38*'계산 과정'!$E$32)/J1826,"")</x:f>
        <x:v>0.5756623249806259</x:v>
      </x:c>
      <x:c r="L1826" s="4" t="n">
        <x:f>IF(AND('계산 과정'!$L$6,J1826&gt;0),'계산 과정'!$D$10*('계산 과정'!$C$39*(D1826-'계산 과정'!$C$32)+'계산 과정'!$D$39*(E1826-'계산 과정'!$D$32)-'계산 과정'!$E$39*'계산 과정'!$E$32)/J1826,"")</x:f>
        <x:v>1.6788714600098913</x:v>
      </x:c>
      <x:c r="M1826" s="17" t="n">
        <x:f>IF('계산 과정'!$L$6,IF(J1826&lt;=0,0,IF(AND(ABS(K1826)&lt;='계산 과정'!$D$11/2,ABS(L1826)&lt;='계산 과정'!$D$12/2),1,0)),"")</x:f>
        <x:v>1</x:v>
      </x:c>
      <x:c r="N1826" s="17" t="n">
        <x:f>IF('계산 과정'!$C$78,IF(AND(ISNUMBER(H1826),ISNUMBER(I1826),ABS(H1826-'계산 과정'!$C$88)&lt;='계산 과정'!$D$23/2,ABS(I1826-'계산 과정'!$C$89)&lt;='계산 과정'!$D$24/2),1,0),"")</x:f>
        <x:v>1</x:v>
      </x:c>
      <x:c r="O1826" s="4" t="n">
        <x:f>IF('계산 과정'!$L$7,'계산 과정'!$C$49*('계산 과정'!$C$32-D1826)+'계산 과정'!$D$49*('계산 과정'!$D$32-E1826)+'계산 과정'!$E$49*'계산 과정'!$E$32,"")</x:f>
        <x:v>43.63284106318321</x:v>
      </x:c>
      <x:c r="P1826" s="4" t="n">
        <x:f>IF(AND('계산 과정'!$L$7,O1826&lt;&gt;0),('계산 과정'!$L$23-'계산 과정'!$C$49*D1826-'계산 과정'!$D$49*E1826)/O1826,"")</x:f>
        <x:v>10.167406711398273</x:v>
      </x:c>
      <x:c r="Q1826" s="4" t="str">
        <x:f>IF(AND(ISNUMBER(P1826),P1826&gt;1E-9,P1826&lt;1-1E-9),'계산 과정'!$C$47*(D1826-'계산 과정'!$C$50+P1826*('계산 과정'!$C$32-D1826))+'계산 과정'!$D$47*(E1826-'계산 과정'!$D$50+P1826*('계산 과정'!$D$32-E1826))+'계산 과정'!$E$47*(0-'계산 과정'!$E$50+P1826*('계산 과정'!$E$32-0)),"")</x:f>
      </x:c>
      <x:c r="R1826" s="4" t="str">
        <x:f>IF(AND(ISNUMBER(P1826),P1826&gt;1E-9,P1826&lt;1-1E-9),'계산 과정'!$C$48*(D1826-'계산 과정'!$C$50+P1826*('계산 과정'!$C$32-D1826))+'계산 과정'!$D$48*(E1826-'계산 과정'!$D$50+P1826*('계산 과정'!$D$32-E1826))+'계산 과정'!$E$48*(0-'계산 과정'!$E$50+P1826*('계산 과정'!$E$32-0)),"")</x:f>
      </x:c>
      <x:c r="S1826" s="17" t="n">
        <x:f>IF('계산 과정'!$C$78,IF(AND(ISNUMBER(Q1826),ISNUMBER(R1826),ABS(Q1826-'계산 과정'!$C$88)&lt;='계산 과정'!$D$23/2,ABS(R1826-'계산 과정'!$C$89)&lt;='계산 과정'!$D$24/2),1,0),"")</x:f>
        <x:v>0</x:v>
      </x:c>
      <x:c r="T1826" s="4"/>
      <x:c r="U1826" s="4"/>
      <x:c r="V1826" s="4"/>
      <x:c r="W1826" s="4"/>
      <x:c r="X1826" s="4"/>
      <x:c r="Y1826" s="4"/>
      <x:c r="Z1826" s="4"/>
    </x:row>
    <x:row r="1827" ht="23" customHeight="1">
      <x:c r="A1827" s="17" t="n">
        <x:f>ROW()-6</x:f>
        <x:v>1821</x:v>
      </x:c>
      <x:c r="B1827" s="4" t="n">
        <x:f>IF('계산 과정'!$L$5,'계산 과정'!$L$11*SQRT((A1827+0.5)/'계산 과정'!$L$30),"")</x:f>
        <x:v>141.46235074989917</x:v>
      </x:c>
      <x:c r="C1827" s="4" t="n">
        <x:f>A1827*PI()*(3-SQRT(5))</x:f>
        <x:v>4370.333041335876</x:v>
      </x:c>
      <x:c r="D1827" s="4" t="n">
        <x:f>IF('계산 과정'!$L$5,B1827*COS(C1827),"")</x:f>
        <x:v>-131.49349538597153</x:v>
      </x:c>
      <x:c r="E1827" s="4" t="n">
        <x:f>IF('계산 과정'!$L$5,B1827*SIN(C1827),"")</x:f>
        <x:v>-52.1637551453783</x:v>
      </x:c>
      <x:c r="F1827" s="4" t="n">
        <x:f>IF('계산 과정'!$L$7,'계산 과정'!$L$22+'계산 과정'!$C$49*D1827+'계산 과정'!$D$49*E1827,"")</x:f>
        <x:v>742.9799422693425</x:v>
      </x:c>
      <x:c r="G1827" s="4" t="n">
        <x:f>IF('계산 과정'!$L$7,IF(ABS(F1827)&gt;=1E-12*MAX(1,SQRT((D1827-'계산 과정'!$C$33)^2+(E1827-'계산 과정'!$D$33)^2+'계산 과정'!$E$33^2)),('계산 과정'!$L$23-'계산 과정'!$C$49*D1827-'계산 과정'!$D$49*E1827)/F1827,""),"")</x:f>
        <x:v>0.4132279221332703</x:v>
      </x:c>
      <x:c r="H1827" s="4" t="n">
        <x:f>IF(AND(ISNUMBER(G1827),G1827&gt;0),('계산 과정'!$D$56+'계산 과정'!$D$57*D1827+'계산 과정'!$D$58*E1827)/F1827,"")</x:f>
        <x:v>-131.40185061337442</x:v>
      </x:c>
      <x:c r="I1827" s="4" t="n">
        <x:f>IF(AND(ISNUMBER(G1827),G1827&gt;0),('계산 과정'!$E$56+'계산 과정'!$E$57*D1827+'계산 과정'!$E$58*E1827)/F1827,"")</x:f>
        <x:v>-73.71927529477168</x:v>
      </x:c>
      <x:c r="J1827" s="4" t="n">
        <x:f>IF('계산 과정'!$L$5,'계산 과정'!$D$6+'계산 과정'!$C$35*D1827+'계산 과정'!$D$35*E1827,"")</x:f>
        <x:v>742.9799422693425</x:v>
      </x:c>
      <x:c r="K1827" s="4" t="n">
        <x:f>IF(AND('계산 과정'!$L$6,J1827&gt;0),'계산 과정'!$D$10*('계산 과정'!$C$38*(D1827-'계산 과정'!$C$32)+'계산 과정'!$D$38*(E1827-'계산 과정'!$D$32)-'계산 과정'!$E$38*'계산 과정'!$E$32)/J1827,"")</x:f>
        <x:v>-1.0011569570542804</x:v>
      </x:c>
      <x:c r="L1827" s="4" t="n">
        <x:f>IF(AND('계산 과정'!$L$6,J1827&gt;0),'계산 과정'!$D$10*('계산 과정'!$C$39*(D1827-'계산 과정'!$C$32)+'계산 과정'!$D$39*(E1827-'계산 과정'!$D$32)-'계산 과정'!$E$39*'계산 과정'!$E$32)/J1827,"")</x:f>
        <x:v>-0.561670668912546</x:v>
      </x:c>
      <x:c r="M1827" s="17" t="n">
        <x:f>IF('계산 과정'!$L$6,IF(J1827&lt;=0,0,IF(AND(ABS(K1827)&lt;='계산 과정'!$D$11/2,ABS(L1827)&lt;='계산 과정'!$D$12/2),1,0)),"")</x:f>
        <x:v>1</x:v>
      </x:c>
      <x:c r="N1827" s="17" t="n">
        <x:f>IF('계산 과정'!$C$78,IF(AND(ISNUMBER(H1827),ISNUMBER(I1827),ABS(H1827-'계산 과정'!$C$88)&lt;='계산 과정'!$D$23/2,ABS(I1827-'계산 과정'!$C$89)&lt;='계산 과정'!$D$24/2),1,0),"")</x:f>
        <x:v>1</x:v>
      </x:c>
      <x:c r="O1827" s="4" t="n">
        <x:f>IF('계산 과정'!$L$7,'계산 과정'!$C$49*('계산 과정'!$C$32-D1827)+'계산 과정'!$D$49*('계산 과정'!$D$32-E1827)+'계산 과정'!$E$49*'계산 과정'!$E$32,"")</x:f>
        <x:v>-92.97994226934236</x:v>
      </x:c>
      <x:c r="P1827" s="4" t="n">
        <x:f>IF(AND('계산 과정'!$L$7,O1827&lt;&gt;0),('계산 과정'!$L$23-'계산 과정'!$C$49*D1827-'계산 과정'!$D$49*E1827)/O1827,"")</x:f>
        <x:v>-3.3020031012848796</x:v>
      </x:c>
      <x:c r="Q1827" s="4" t="str">
        <x:f>IF(AND(ISNUMBER(P1827),P1827&gt;1E-9,P1827&lt;1-1E-9),'계산 과정'!$C$47*(D1827-'계산 과정'!$C$50+P1827*('계산 과정'!$C$32-D1827))+'계산 과정'!$D$47*(E1827-'계산 과정'!$D$50+P1827*('계산 과정'!$D$32-E1827))+'계산 과정'!$E$47*(0-'계산 과정'!$E$50+P1827*('계산 과정'!$E$32-0)),"")</x:f>
      </x:c>
      <x:c r="R1827" s="4" t="str">
        <x:f>IF(AND(ISNUMBER(P1827),P1827&gt;1E-9,P1827&lt;1-1E-9),'계산 과정'!$C$48*(D1827-'계산 과정'!$C$50+P1827*('계산 과정'!$C$32-D1827))+'계산 과정'!$D$48*(E1827-'계산 과정'!$D$50+P1827*('계산 과정'!$D$32-E1827))+'계산 과정'!$E$48*(0-'계산 과정'!$E$50+P1827*('계산 과정'!$E$32-0)),"")</x:f>
      </x:c>
      <x:c r="S1827" s="17" t="n">
        <x:f>IF('계산 과정'!$C$78,IF(AND(ISNUMBER(Q1827),ISNUMBER(R1827),ABS(Q1827-'계산 과정'!$C$88)&lt;='계산 과정'!$D$23/2,ABS(R1827-'계산 과정'!$C$89)&lt;='계산 과정'!$D$24/2),1,0),"")</x:f>
        <x:v>0</x:v>
      </x:c>
      <x:c r="T1827" s="4"/>
      <x:c r="U1827" s="4"/>
      <x:c r="V1827" s="4"/>
      <x:c r="W1827" s="4"/>
      <x:c r="X1827" s="4"/>
      <x:c r="Y1827" s="4"/>
      <x:c r="Z1827" s="4"/>
    </x:row>
    <x:row r="1828" ht="23" customHeight="1">
      <x:c r="A1828" s="17" t="n">
        <x:f>ROW()-6</x:f>
        <x:v>1822</x:v>
      </x:c>
      <x:c r="B1828" s="4" t="n">
        <x:f>IF('계산 과정'!$L$5,'계산 과정'!$L$11*SQRT((A1828+0.5)/'계산 과정'!$L$30),"")</x:f>
        <x:v>141.50117670115856</x:v>
      </x:c>
      <x:c r="C1828" s="4" t="n">
        <x:f>A1828*PI()*(3-SQRT(5))</x:f>
        <x:v>4372.733004565605</x:v>
      </x:c>
      <x:c r="D1828" s="4" t="n">
        <x:f>IF('계산 과정'!$L$5,B1828*COS(C1828),"")</x:f>
        <x:v>132.23160398997763</x:v>
      </x:c>
      <x:c r="E1828" s="4" t="n">
        <x:f>IF('계산 과정'!$L$5,B1828*SIN(C1828),"")</x:f>
        <x:v>-50.3724717881725</x:v>
      </x:c>
      <x:c r="F1828" s="4" t="n">
        <x:f>IF('계산 과정'!$L$7,'계산 과정'!$L$22+'계산 과정'!$C$49*D1828+'계산 과정'!$D$49*E1828,"")</x:f>
        <x:v>556.4981361315126</x:v>
      </x:c>
      <x:c r="G1828" s="4" t="n">
        <x:f>IF('계산 과정'!$L$7,IF(ABS(F1828)&gt;=1E-12*MAX(1,SQRT((D1828-'계산 과정'!$C$33)^2+(E1828-'계산 과정'!$D$33)^2+'계산 과정'!$E$33^2)),('계산 과정'!$L$23-'계산 과정'!$C$49*D1828-'계산 과정'!$D$49*E1828)/F1828,""),"")</x:f>
        <x:v>0.886798772227805</x:v>
      </x:c>
      <x:c r="H1828" s="4" t="n">
        <x:f>IF(AND(ISNUMBER(G1828),G1828&gt;0),('계산 과정'!$D$56+'계산 과정'!$D$57*D1828+'계산 과정'!$D$58*E1828)/F1828,"")</x:f>
        <x:v>176.41920194807315</x:v>
      </x:c>
      <x:c r="I1828" s="4" t="n">
        <x:f>IF(AND(ISNUMBER(G1828),G1828&gt;0),('계산 과정'!$E$56+'계산 과정'!$E$57*D1828+'계산 과정'!$E$58*E1828)/F1828,"")</x:f>
        <x:v>-95.04271792400361</x:v>
      </x:c>
      <x:c r="J1828" s="4" t="n">
        <x:f>IF('계산 과정'!$L$5,'계산 과정'!$D$6+'계산 과정'!$C$35*D1828+'계산 과정'!$D$35*E1828,"")</x:f>
        <x:v>556.4981361315126</x:v>
      </x:c>
      <x:c r="K1828" s="4" t="n">
        <x:f>IF(AND('계산 과정'!$L$6,J1828&gt;0),'계산 과정'!$D$10*('계산 과정'!$C$38*(D1828-'계산 과정'!$C$32)+'계산 과정'!$D$38*(E1828-'계산 과정'!$D$32)-'계산 과정'!$E$38*'계산 과정'!$E$32)/J1828,"")</x:f>
        <x:v>1.344146300556749</x:v>
      </x:c>
      <x:c r="L1828" s="4" t="n">
        <x:f>IF(AND('계산 과정'!$L$6,J1828&gt;0),'계산 과정'!$D$10*('계산 과정'!$C$39*(D1828-'계산 과정'!$C$32)+'계산 과정'!$D$39*(E1828-'계산 과정'!$D$32)-'계산 과정'!$E$39*'계산 과정'!$E$32)/J1828,"")</x:f>
        <x:v>-0.7241349937066942</x:v>
      </x:c>
      <x:c r="M1828" s="17" t="n">
        <x:f>IF('계산 과정'!$L$6,IF(J1828&lt;=0,0,IF(AND(ABS(K1828)&lt;='계산 과정'!$D$11/2,ABS(L1828)&lt;='계산 과정'!$D$12/2),1,0)),"")</x:f>
        <x:v>1</x:v>
      </x:c>
      <x:c r="N1828" s="17" t="n">
        <x:f>IF('계산 과정'!$C$78,IF(AND(ISNUMBER(H1828),ISNUMBER(I1828),ABS(H1828-'계산 과정'!$C$88)&lt;='계산 과정'!$D$23/2,ABS(I1828-'계산 과정'!$C$89)&lt;='계산 과정'!$D$24/2),1,0),"")</x:f>
        <x:v>1</x:v>
      </x:c>
      <x:c r="O1828" s="4" t="n">
        <x:f>IF('계산 과정'!$L$7,'계산 과정'!$C$49*('계산 과정'!$C$32-D1828)+'계산 과정'!$D$49*('계산 과정'!$D$32-E1828)+'계산 과정'!$E$49*'계산 과정'!$E$32,"")</x:f>
        <x:v>93.50186386848745</x:v>
      </x:c>
      <x:c r="P1828" s="4" t="n">
        <x:f>IF(AND('계산 과정'!$L$7,O1828&lt;&gt;0),('계산 과정'!$L$23-'계산 과정'!$C$49*D1828-'계산 과정'!$D$49*E1828)/O1828,"")</x:f>
        <x:v>5.277989587059026</x:v>
      </x:c>
      <x:c r="Q1828" s="4" t="str">
        <x:f>IF(AND(ISNUMBER(P1828),P1828&gt;1E-9,P1828&lt;1-1E-9),'계산 과정'!$C$47*(D1828-'계산 과정'!$C$50+P1828*('계산 과정'!$C$32-D1828))+'계산 과정'!$D$47*(E1828-'계산 과정'!$D$50+P1828*('계산 과정'!$D$32-E1828))+'계산 과정'!$E$47*(0-'계산 과정'!$E$50+P1828*('계산 과정'!$E$32-0)),"")</x:f>
      </x:c>
      <x:c r="R1828" s="4" t="str">
        <x:f>IF(AND(ISNUMBER(P1828),P1828&gt;1E-9,P1828&lt;1-1E-9),'계산 과정'!$C$48*(D1828-'계산 과정'!$C$50+P1828*('계산 과정'!$C$32-D1828))+'계산 과정'!$D$48*(E1828-'계산 과정'!$D$50+P1828*('계산 과정'!$D$32-E1828))+'계산 과정'!$E$48*(0-'계산 과정'!$E$50+P1828*('계산 과정'!$E$32-0)),"")</x:f>
      </x:c>
      <x:c r="S1828" s="17" t="n">
        <x:f>IF('계산 과정'!$C$78,IF(AND(ISNUMBER(Q1828),ISNUMBER(R1828),ABS(Q1828-'계산 과정'!$C$88)&lt;='계산 과정'!$D$23/2,ABS(R1828-'계산 과정'!$C$89)&lt;='계산 과정'!$D$24/2),1,0),"")</x:f>
        <x:v>0</x:v>
      </x:c>
      <x:c r="T1828" s="4"/>
      <x:c r="U1828" s="4"/>
      <x:c r="V1828" s="4"/>
      <x:c r="W1828" s="4"/>
      <x:c r="X1828" s="4"/>
      <x:c r="Y1828" s="4"/>
      <x:c r="Z1828" s="4"/>
    </x:row>
    <x:row r="1829" ht="23" customHeight="1">
      <x:c r="A1829" s="17" t="n">
        <x:f>ROW()-6</x:f>
        <x:v>1823</x:v>
      </x:c>
      <x:c r="B1829" s="4" t="n">
        <x:f>IF('계산 과정'!$L$5,'계산 과정'!$L$11*SQRT((A1829+0.5)/'계산 과정'!$L$30),"")</x:f>
        <x:v>141.53999200203984</x:v>
      </x:c>
      <x:c r="C1829" s="4" t="n">
        <x:f>A1829*PI()*(3-SQRT(5))</x:f>
        <x:v>4375.1329677953345</x:v>
      </x:c>
      <x:c r="D1829" s="4" t="n">
        <x:f>IF('계산 과정'!$L$5,B1829*COS(C1829),"")</x:f>
        <x:v>-63.49476621339872</x:v>
      </x:c>
      <x:c r="E1829" s="4" t="n">
        <x:f>IF('계산 과정'!$L$5,B1829*SIN(C1829),"")</x:f>
        <x:v>126.49894861003132</x:v>
      </x:c>
      <x:c r="F1829" s="4" t="n">
        <x:f>IF('계산 과정'!$L$7,'계산 과정'!$L$22+'계산 과정'!$C$49*D1829+'계산 과정'!$D$49*E1829,"")</x:f>
        <x:v>694.8975797593487</x:v>
      </x:c>
      <x:c r="G1829" s="4" t="n">
        <x:f>IF('계산 과정'!$L$7,IF(ABS(F1829)&gt;=1E-12*MAX(1,SQRT((D1829-'계산 과정'!$C$33)^2+(E1829-'계산 과정'!$D$33)^2+'계산 과정'!$E$33^2)),('계산 과정'!$L$23-'계산 과정'!$C$49*D1829-'계산 과정'!$D$49*E1829)/F1829,""),"")</x:f>
        <x:v>0.5110140408945265</x:v>
      </x:c>
      <x:c r="H1829" s="4" t="n">
        <x:f>IF(AND(ISNUMBER(G1829),G1829&gt;0),('계산 과정'!$D$56+'계산 과정'!$D$57*D1829+'계산 과정'!$D$58*E1829)/F1829,"")</x:f>
        <x:v>-67.84087341855793</x:v>
      </x:c>
      <x:c r="I1829" s="4" t="n">
        <x:f>IF(AND(ISNUMBER(G1829),G1829&gt;0),('계산 과정'!$E$56+'계산 과정'!$E$57*D1829+'계산 과정'!$E$58*E1829)/F1829,"")</x:f>
        <x:v>191.14168750815247</x:v>
      </x:c>
      <x:c r="J1829" s="4" t="n">
        <x:f>IF('계산 과정'!$L$5,'계산 과정'!$D$6+'계산 과정'!$C$35*D1829+'계산 과정'!$D$35*E1829,"")</x:f>
        <x:v>694.8975797593487</x:v>
      </x:c>
      <x:c r="K1829" s="4" t="n">
        <x:f>IF(AND('계산 과정'!$L$6,J1829&gt;0),'계산 과정'!$D$10*('계산 과정'!$C$38*(D1829-'계산 과정'!$C$32)+'계산 과정'!$D$38*(E1829-'계산 과정'!$D$32)-'계산 과정'!$E$38*'계산 과정'!$E$32)/J1829,"")</x:f>
        <x:v>-0.5168828450937739</x:v>
      </x:c>
      <x:c r="L1829" s="4" t="n">
        <x:f>IF(AND('계산 과정'!$L$6,J1829&gt;0),'계산 과정'!$D$10*('계산 과정'!$C$39*(D1829-'계산 과정'!$C$32)+'계산 과정'!$D$39*(E1829-'계산 과정'!$D$32)-'계산 과정'!$E$39*'계산 과정'!$E$32)/J1829,"")</x:f>
        <x:v>1.4563176191097331</x:v>
      </x:c>
      <x:c r="M1829" s="17" t="n">
        <x:f>IF('계산 과정'!$L$6,IF(J1829&lt;=0,0,IF(AND(ABS(K1829)&lt;='계산 과정'!$D$11/2,ABS(L1829)&lt;='계산 과정'!$D$12/2),1,0)),"")</x:f>
        <x:v>1</x:v>
      </x:c>
      <x:c r="N1829" s="17" t="n">
        <x:f>IF('계산 과정'!$C$78,IF(AND(ISNUMBER(H1829),ISNUMBER(I1829),ABS(H1829-'계산 과정'!$C$88)&lt;='계산 과정'!$D$23/2,ABS(I1829-'계산 과정'!$C$89)&lt;='계산 과정'!$D$24/2),1,0),"")</x:f>
        <x:v>1</x:v>
      </x:c>
      <x:c r="O1829" s="4" t="n">
        <x:f>IF('계산 과정'!$L$7,'계산 과정'!$C$49*('계산 과정'!$C$32-D1829)+'계산 과정'!$D$49*('계산 과정'!$D$32-E1829)+'계산 과정'!$E$49*'계산 과정'!$E$32,"")</x:f>
        <x:v>-44.897579759348616</x:v>
      </x:c>
      <x:c r="P1829" s="4" t="n">
        <x:f>IF(AND('계산 과정'!$L$7,O1829&lt;&gt;0),('계산 과정'!$L$23-'계산 과정'!$C$49*D1829-'계산 과정'!$D$49*E1829)/O1829,"")</x:f>
        <x:v>-7.909166198801874</x:v>
      </x:c>
      <x:c r="Q1829" s="4" t="str">
        <x:f>IF(AND(ISNUMBER(P1829),P1829&gt;1E-9,P1829&lt;1-1E-9),'계산 과정'!$C$47*(D1829-'계산 과정'!$C$50+P1829*('계산 과정'!$C$32-D1829))+'계산 과정'!$D$47*(E1829-'계산 과정'!$D$50+P1829*('계산 과정'!$D$32-E1829))+'계산 과정'!$E$47*(0-'계산 과정'!$E$50+P1829*('계산 과정'!$E$32-0)),"")</x:f>
      </x:c>
      <x:c r="R1829" s="4" t="str">
        <x:f>IF(AND(ISNUMBER(P1829),P1829&gt;1E-9,P1829&lt;1-1E-9),'계산 과정'!$C$48*(D1829-'계산 과정'!$C$50+P1829*('계산 과정'!$C$32-D1829))+'계산 과정'!$D$48*(E1829-'계산 과정'!$D$50+P1829*('계산 과정'!$D$32-E1829))+'계산 과정'!$E$48*(0-'계산 과정'!$E$50+P1829*('계산 과정'!$E$32-0)),"")</x:f>
      </x:c>
      <x:c r="S1829" s="17" t="n">
        <x:f>IF('계산 과정'!$C$78,IF(AND(ISNUMBER(Q1829),ISNUMBER(R1829),ABS(Q1829-'계산 과정'!$C$88)&lt;='계산 과정'!$D$23/2,ABS(R1829-'계산 과정'!$C$89)&lt;='계산 과정'!$D$24/2),1,0),"")</x:f>
        <x:v>0</x:v>
      </x:c>
      <x:c r="T1829" s="4"/>
      <x:c r="U1829" s="4"/>
      <x:c r="V1829" s="4"/>
      <x:c r="W1829" s="4"/>
      <x:c r="X1829" s="4"/>
      <x:c r="Y1829" s="4"/>
      <x:c r="Z1829" s="4"/>
    </x:row>
    <x:row r="1830" ht="23" customHeight="1">
      <x:c r="A1830" s="17" t="n">
        <x:f>ROW()-6</x:f>
        <x:v>1824</x:v>
      </x:c>
      <x:c r="B1830" s="4" t="n">
        <x:f>IF('계산 과정'!$L$5,'계산 과정'!$L$11*SQRT((A1830+0.5)/'계산 과정'!$L$30),"")</x:f>
        <x:v>141.5787966613027</x:v>
      </x:c>
      <x:c r="C1830" s="4" t="n">
        <x:f>A1830*PI()*(3-SQRT(5))</x:f>
        <x:v>4377.532931025063</x:v>
      </x:c>
      <x:c r="D1830" s="4" t="n">
        <x:f>IF('계산 과정'!$L$5,B1830*COS(C1830),"")</x:f>
        <x:v>-38.640338240404965</x:v>
      </x:c>
      <x:c r="E1830" s="4" t="n">
        <x:f>IF('계산 과정'!$L$5,B1830*SIN(C1830),"")</x:f>
        <x:v>-136.20381758500602</x:v>
      </x:c>
      <x:c r="F1830" s="4" t="n">
        <x:f>IF('계산 과정'!$L$7,'계산 과정'!$L$22+'계산 과정'!$C$49*D1830+'계산 과정'!$D$49*E1830,"")</x:f>
        <x:v>677.3228451971322</x:v>
      </x:c>
      <x:c r="G1830" s="4" t="n">
        <x:f>IF('계산 과정'!$L$7,IF(ABS(F1830)&gt;=1E-12*MAX(1,SQRT((D1830-'계산 과정'!$C$33)^2+(E1830-'계산 과정'!$D$33)^2+'계산 과정'!$E$33^2)),('계산 과정'!$L$23-'계산 과정'!$C$49*D1830-'계산 과정'!$D$49*E1830)/F1830,""),"")</x:f>
        <x:v>0.5502208547157472</x:v>
      </x:c>
      <x:c r="H1830" s="4" t="n">
        <x:f>IF(AND(ISNUMBER(G1830),G1830&gt;0),('계산 과정'!$D$56+'계산 과정'!$D$57*D1830+'계산 과정'!$D$58*E1830)/F1830,"")</x:f>
        <x:v>-42.35644443476448</x:v>
      </x:c>
      <x:c r="I1830" s="4" t="n">
        <x:f>IF(AND(ISNUMBER(G1830),G1830&gt;0),('계산 과정'!$E$56+'계산 과정'!$E$57*D1830+'계산 과정'!$E$58*E1830)/F1830,"")</x:f>
        <x:v>-211.14599851217577</x:v>
      </x:c>
      <x:c r="J1830" s="4" t="n">
        <x:f>IF('계산 과정'!$L$5,'계산 과정'!$D$6+'계산 과정'!$C$35*D1830+'계산 과정'!$D$35*E1830,"")</x:f>
        <x:v>677.3228451971322</x:v>
      </x:c>
      <x:c r="K1830" s="4" t="n">
        <x:f>IF(AND('계산 과정'!$L$6,J1830&gt;0),'계산 과정'!$D$10*('계산 과정'!$C$38*(D1830-'계산 과정'!$C$32)+'계산 과정'!$D$38*(E1830-'계산 과정'!$D$32)-'계산 과정'!$E$38*'계산 과정'!$E$32)/J1830,"")</x:f>
        <x:v>-0.32271576712201405</x:v>
      </x:c>
      <x:c r="L1830" s="4" t="n">
        <x:f>IF(AND('계산 과정'!$L$6,J1830&gt;0),'계산 과정'!$D$10*('계산 과정'!$C$39*(D1830-'계산 과정'!$C$32)+'계산 과정'!$D$39*(E1830-'계산 과정'!$D$32)-'계산 과정'!$E$39*'계산 과정'!$E$32)/J1830,"")</x:f>
        <x:v>-1.6087314172356248</x:v>
      </x:c>
      <x:c r="M1830" s="17" t="n">
        <x:f>IF('계산 과정'!$L$6,IF(J1830&lt;=0,0,IF(AND(ABS(K1830)&lt;='계산 과정'!$D$11/2,ABS(L1830)&lt;='계산 과정'!$D$12/2),1,0)),"")</x:f>
        <x:v>1</x:v>
      </x:c>
      <x:c r="N1830" s="17" t="n">
        <x:f>IF('계산 과정'!$C$78,IF(AND(ISNUMBER(H1830),ISNUMBER(I1830),ABS(H1830-'계산 과정'!$C$88)&lt;='계산 과정'!$D$23/2,ABS(I1830-'계산 과정'!$C$89)&lt;='계산 과정'!$D$24/2),1,0),"")</x:f>
        <x:v>1</x:v>
      </x:c>
      <x:c r="O1830" s="4" t="n">
        <x:f>IF('계산 과정'!$L$7,'계산 과정'!$C$49*('계산 과정'!$C$32-D1830)+'계산 과정'!$D$49*('계산 과정'!$D$32-E1830)+'계산 과정'!$E$49*'계산 과정'!$E$32,"")</x:f>
        <x:v>-27.322845197132096</x:v>
      </x:c>
      <x:c r="P1830" s="4" t="n">
        <x:f>IF(AND('계산 과정'!$L$7,O1830&lt;&gt;0),('계산 과정'!$L$23-'계산 과정'!$C$49*D1830-'계산 과정'!$D$49*E1830)/O1830,"")</x:f>
        <x:v>-13.639763798902807</x:v>
      </x:c>
      <x:c r="Q1830" s="4" t="str">
        <x:f>IF(AND(ISNUMBER(P1830),P1830&gt;1E-9,P1830&lt;1-1E-9),'계산 과정'!$C$47*(D1830-'계산 과정'!$C$50+P1830*('계산 과정'!$C$32-D1830))+'계산 과정'!$D$47*(E1830-'계산 과정'!$D$50+P1830*('계산 과정'!$D$32-E1830))+'계산 과정'!$E$47*(0-'계산 과정'!$E$50+P1830*('계산 과정'!$E$32-0)),"")</x:f>
      </x:c>
      <x:c r="R1830" s="4" t="str">
        <x:f>IF(AND(ISNUMBER(P1830),P1830&gt;1E-9,P1830&lt;1-1E-9),'계산 과정'!$C$48*(D1830-'계산 과정'!$C$50+P1830*('계산 과정'!$C$32-D1830))+'계산 과정'!$D$48*(E1830-'계산 과정'!$D$50+P1830*('계산 과정'!$D$32-E1830))+'계산 과정'!$E$48*(0-'계산 과정'!$E$50+P1830*('계산 과정'!$E$32-0)),"")</x:f>
      </x:c>
      <x:c r="S1830" s="17" t="n">
        <x:f>IF('계산 과정'!$C$78,IF(AND(ISNUMBER(Q1830),ISNUMBER(R1830),ABS(Q1830-'계산 과정'!$C$88)&lt;='계산 과정'!$D$23/2,ABS(R1830-'계산 과정'!$C$89)&lt;='계산 과정'!$D$24/2),1,0),"")</x:f>
        <x:v>0</x:v>
      </x:c>
      <x:c r="T1830" s="4"/>
      <x:c r="U1830" s="4"/>
      <x:c r="V1830" s="4"/>
      <x:c r="W1830" s="4"/>
      <x:c r="X1830" s="4"/>
      <x:c r="Y1830" s="4"/>
      <x:c r="Z1830" s="4"/>
    </x:row>
    <x:row r="1831" ht="23" customHeight="1">
      <x:c r="A1831" s="17" t="n">
        <x:f>ROW()-6</x:f>
        <x:v>1825</x:v>
      </x:c>
      <x:c r="B1831" s="4" t="n">
        <x:f>IF('계산 과정'!$L$5,'계산 과정'!$L$11*SQRT((A1831+0.5)/'계산 과정'!$L$30),"")</x:f>
        <x:v>141.61759068769496</x:v>
      </x:c>
      <x:c r="C1831" s="4" t="n">
        <x:f>A1831*PI()*(3-SQRT(5))</x:f>
        <x:v>4379.932894254792</x:v>
      </x:c>
      <x:c r="D1831" s="4" t="n">
        <x:f>IF('계산 과정'!$L$5,B1831*COS(C1831),"")</x:f>
        <x:v>120.52955695102915</x:v>
      </x:c>
      <x:c r="E1831" s="4" t="n">
        <x:f>IF('계산 과정'!$L$5,B1831*SIN(C1831),"")</x:f>
        <x:v>74.35165023976353</x:v>
      </x:c>
      <x:c r="F1831" s="4" t="n">
        <x:f>IF('계산 과정'!$L$7,'계산 과정'!$L$22+'계산 과정'!$C$49*D1831+'계산 과정'!$D$49*E1831,"")</x:f>
        <x:v>564.7727329465172</x:v>
      </x:c>
      <x:c r="G1831" s="4" t="n">
        <x:f>IF('계산 과정'!$L$7,IF(ABS(F1831)&gt;=1E-12*MAX(1,SQRT((D1831-'계산 과정'!$C$33)^2+(E1831-'계산 과정'!$D$33)^2+'계산 과정'!$E$33^2)),('계산 과정'!$L$23-'계산 과정'!$C$49*D1831-'계산 과정'!$D$49*E1831)/F1831,""),"")</x:f>
        <x:v>0.8591549109001211</x:v>
      </x:c>
      <x:c r="H1831" s="4" t="n">
        <x:f>IF(AND(ISNUMBER(G1831),G1831&gt;0),('계산 과정'!$D$56+'계산 과정'!$D$57*D1831+'계산 과정'!$D$58*E1831)/F1831,"")</x:f>
        <x:v>158.4506920850787</x:v>
      </x:c>
      <x:c r="I1831" s="4" t="n">
        <x:f>IF(AND(ISNUMBER(G1831),G1831&gt;0),('계산 과정'!$E$56+'계산 과정'!$E$57*D1831+'계산 과정'!$E$58*E1831)/F1831,"")</x:f>
        <x:v>138.23123567678454</x:v>
      </x:c>
      <x:c r="J1831" s="4" t="n">
        <x:f>IF('계산 과정'!$L$5,'계산 과정'!$D$6+'계산 과정'!$C$35*D1831+'계산 과정'!$D$35*E1831,"")</x:f>
        <x:v>564.7727329465172</x:v>
      </x:c>
      <x:c r="K1831" s="4" t="n">
        <x:f>IF(AND('계산 과정'!$L$6,J1831&gt;0),'계산 과정'!$D$10*('계산 과정'!$C$38*(D1831-'계산 과정'!$C$32)+'계산 과정'!$D$38*(E1831-'계산 과정'!$D$32)-'계산 과정'!$E$38*'계산 과정'!$E$32)/J1831,"")</x:f>
        <x:v>1.207243368267267</x:v>
      </x:c>
      <x:c r="L1831" s="4" t="n">
        <x:f>IF(AND('계산 과정'!$L$6,J1831&gt;0),'계산 과정'!$D$10*('계산 과정'!$C$39*(D1831-'계산 과정'!$C$32)+'계산 과정'!$D$39*(E1831-'계산 과정'!$D$32)-'계산 과정'!$E$39*'계산 과정'!$E$32)/J1831,"")</x:f>
        <x:v>1.0531903670612155</x:v>
      </x:c>
      <x:c r="M1831" s="17" t="n">
        <x:f>IF('계산 과정'!$L$6,IF(J1831&lt;=0,0,IF(AND(ABS(K1831)&lt;='계산 과정'!$D$11/2,ABS(L1831)&lt;='계산 과정'!$D$12/2),1,0)),"")</x:f>
        <x:v>1</x:v>
      </x:c>
      <x:c r="N1831" s="17" t="n">
        <x:f>IF('계산 과정'!$C$78,IF(AND(ISNUMBER(H1831),ISNUMBER(I1831),ABS(H1831-'계산 과정'!$C$88)&lt;='계산 과정'!$D$23/2,ABS(I1831-'계산 과정'!$C$89)&lt;='계산 과정'!$D$24/2),1,0),"")</x:f>
        <x:v>1</x:v>
      </x:c>
      <x:c r="O1831" s="4" t="n">
        <x:f>IF('계산 과정'!$L$7,'계산 과정'!$C$49*('계산 과정'!$C$32-D1831)+'계산 과정'!$D$49*('계산 과정'!$D$32-E1831)+'계산 과정'!$E$49*'계산 과정'!$E$32,"")</x:f>
        <x:v>85.22726705348296</x:v>
      </x:c>
      <x:c r="P1831" s="4" t="n">
        <x:f>IF(AND('계산 과정'!$L$7,O1831&lt;&gt;0),('계산 과정'!$L$23-'계산 과정'!$C$49*D1831-'계산 과정'!$D$49*E1831)/O1831,"")</x:f>
        <x:v>5.69333364578013</x:v>
      </x:c>
      <x:c r="Q1831" s="4" t="str">
        <x:f>IF(AND(ISNUMBER(P1831),P1831&gt;1E-9,P1831&lt;1-1E-9),'계산 과정'!$C$47*(D1831-'계산 과정'!$C$50+P1831*('계산 과정'!$C$32-D1831))+'계산 과정'!$D$47*(E1831-'계산 과정'!$D$50+P1831*('계산 과정'!$D$32-E1831))+'계산 과정'!$E$47*(0-'계산 과정'!$E$50+P1831*('계산 과정'!$E$32-0)),"")</x:f>
      </x:c>
      <x:c r="R1831" s="4" t="str">
        <x:f>IF(AND(ISNUMBER(P1831),P1831&gt;1E-9,P1831&lt;1-1E-9),'계산 과정'!$C$48*(D1831-'계산 과정'!$C$50+P1831*('계산 과정'!$C$32-D1831))+'계산 과정'!$D$48*(E1831-'계산 과정'!$D$50+P1831*('계산 과정'!$D$32-E1831))+'계산 과정'!$E$48*(0-'계산 과정'!$E$50+P1831*('계산 과정'!$E$32-0)),"")</x:f>
      </x:c>
      <x:c r="S1831" s="17" t="n">
        <x:f>IF('계산 과정'!$C$78,IF(AND(ISNUMBER(Q1831),ISNUMBER(R1831),ABS(Q1831-'계산 과정'!$C$88)&lt;='계산 과정'!$D$23/2,ABS(R1831-'계산 과정'!$C$89)&lt;='계산 과정'!$D$24/2),1,0),"")</x:f>
        <x:v>0</x:v>
      </x:c>
      <x:c r="T1831" s="4"/>
      <x:c r="U1831" s="4"/>
      <x:c r="V1831" s="4"/>
      <x:c r="W1831" s="4"/>
      <x:c r="X1831" s="4"/>
      <x:c r="Y1831" s="4"/>
      <x:c r="Z1831" s="4"/>
    </x:row>
    <x:row r="1832" ht="23" customHeight="1">
      <x:c r="A1832" s="17" t="n">
        <x:f>ROW()-6</x:f>
        <x:v>1826</x:v>
      </x:c>
      <x:c r="B1832" s="4" t="n">
        <x:f>IF('계산 과정'!$L$5,'계산 과정'!$L$11*SQRT((A1832+0.5)/'계산 과정'!$L$30),"")</x:f>
        <x:v>141.65637408995227</x:v>
      </x:c>
      <x:c r="C1832" s="4" t="n">
        <x:f>A1832*PI()*(3-SQRT(5))</x:f>
        <x:v>4382.33285748452</x:v>
      </x:c>
      <x:c r="D1832" s="4" t="n">
        <x:f>IF('계산 과정'!$L$5,B1832*COS(C1832),"")</x:f>
        <x:v>-139.13665582451378</x:v>
      </x:c>
      <x:c r="E1832" s="4" t="n">
        <x:f>IF('계산 과정'!$L$5,B1832*SIN(C1832),"")</x:f>
        <x:v>26.59923544546529</x:v>
      </x:c>
      <x:c r="F1832" s="4" t="n">
        <x:f>IF('계산 과정'!$L$7,'계산 과정'!$L$22+'계산 과정'!$C$49*D1832+'계산 과정'!$D$49*E1832,"")</x:f>
        <x:v>748.3844728451324</x:v>
      </x:c>
      <x:c r="G1832" s="4" t="n">
        <x:f>IF('계산 과정'!$L$7,IF(ABS(F1832)&gt;=1E-12*MAX(1,SQRT((D1832-'계산 과정'!$C$33)^2+(E1832-'계산 과정'!$D$33)^2+'계산 과정'!$E$33^2)),('계산 과정'!$L$23-'계산 과정'!$C$49*D1832-'계산 과정'!$D$49*E1832)/F1832,""),"")</x:f>
        <x:v>0.4030221605322945</x:v>
      </x:c>
      <x:c r="H1832" s="4" t="n">
        <x:f>IF(AND(ISNUMBER(G1832),G1832&gt;0),('계산 과정'!$D$56+'계산 과정'!$D$57*D1832+'계산 과정'!$D$58*E1832)/F1832,"")</x:f>
        <x:v>-138.0355956540087</x:v>
      </x:c>
      <x:c r="I1832" s="4" t="n">
        <x:f>IF(AND(ISNUMBER(G1832),G1832&gt;0),('계산 과정'!$E$56+'계산 과정'!$E$57*D1832+'계산 과정'!$E$58*E1832)/F1832,"")</x:f>
        <x:v>37.3193167832039</x:v>
      </x:c>
      <x:c r="J1832" s="4" t="n">
        <x:f>IF('계산 과정'!$L$5,'계산 과정'!$D$6+'계산 과정'!$C$35*D1832+'계산 과정'!$D$35*E1832,"")</x:f>
        <x:v>748.3844728451324</x:v>
      </x:c>
      <x:c r="K1832" s="4" t="n">
        <x:f>IF(AND('계산 과정'!$L$6,J1832&gt;0),'계산 과정'!$D$10*('계산 과정'!$C$38*(D1832-'계산 과정'!$C$32)+'계산 과정'!$D$38*(E1832-'계산 과정'!$D$32)-'계산 과정'!$E$38*'계산 과정'!$E$32)/J1832,"")</x:f>
        <x:v>-1.051699776411494</x:v>
      </x:c>
      <x:c r="L1832" s="4" t="n">
        <x:f>IF(AND('계산 과정'!$L$6,J1832&gt;0),'계산 과정'!$D$10*('계산 과정'!$C$39*(D1832-'계산 과정'!$C$32)+'계산 과정'!$D$39*(E1832-'계산 과정'!$D$32)-'계산 과정'!$E$39*'계산 과정'!$E$32)/J1832,"")</x:f>
        <x:v>0.2843376516815535</x:v>
      </x:c>
      <x:c r="M1832" s="17" t="n">
        <x:f>IF('계산 과정'!$L$6,IF(J1832&lt;=0,0,IF(AND(ABS(K1832)&lt;='계산 과정'!$D$11/2,ABS(L1832)&lt;='계산 과정'!$D$12/2),1,0)),"")</x:f>
        <x:v>1</x:v>
      </x:c>
      <x:c r="N1832" s="17" t="n">
        <x:f>IF('계산 과정'!$C$78,IF(AND(ISNUMBER(H1832),ISNUMBER(I1832),ABS(H1832-'계산 과정'!$C$88)&lt;='계산 과정'!$D$23/2,ABS(I1832-'계산 과정'!$C$89)&lt;='계산 과정'!$D$24/2),1,0),"")</x:f>
        <x:v>1</x:v>
      </x:c>
      <x:c r="O1832" s="4" t="n">
        <x:f>IF('계산 과정'!$L$7,'계산 과정'!$C$49*('계산 과정'!$C$32-D1832)+'계산 과정'!$D$49*('계산 과정'!$D$32-E1832)+'계산 과정'!$E$49*'계산 과정'!$E$32,"")</x:f>
        <x:v>-98.38447284513234</x:v>
      </x:c>
      <x:c r="P1832" s="4" t="n">
        <x:f>IF(AND('계산 과정'!$L$7,O1832&lt;&gt;0),('계산 과정'!$L$23-'계산 과정'!$C$49*D1832-'계산 과정'!$D$49*E1832)/O1832,"")</x:f>
        <x:v>-3.065682199971154</x:v>
      </x:c>
      <x:c r="Q1832" s="4" t="str">
        <x:f>IF(AND(ISNUMBER(P1832),P1832&gt;1E-9,P1832&lt;1-1E-9),'계산 과정'!$C$47*(D1832-'계산 과정'!$C$50+P1832*('계산 과정'!$C$32-D1832))+'계산 과정'!$D$47*(E1832-'계산 과정'!$D$50+P1832*('계산 과정'!$D$32-E1832))+'계산 과정'!$E$47*(0-'계산 과정'!$E$50+P1832*('계산 과정'!$E$32-0)),"")</x:f>
      </x:c>
      <x:c r="R1832" s="4" t="str">
        <x:f>IF(AND(ISNUMBER(P1832),P1832&gt;1E-9,P1832&lt;1-1E-9),'계산 과정'!$C$48*(D1832-'계산 과정'!$C$50+P1832*('계산 과정'!$C$32-D1832))+'계산 과정'!$D$48*(E1832-'계산 과정'!$D$50+P1832*('계산 과정'!$D$32-E1832))+'계산 과정'!$E$48*(0-'계산 과정'!$E$50+P1832*('계산 과정'!$E$32-0)),"")</x:f>
      </x:c>
      <x:c r="S1832" s="17" t="n">
        <x:f>IF('계산 과정'!$C$78,IF(AND(ISNUMBER(Q1832),ISNUMBER(R1832),ABS(Q1832-'계산 과정'!$C$88)&lt;='계산 과정'!$D$23/2,ABS(R1832-'계산 과정'!$C$89)&lt;='계산 과정'!$D$24/2),1,0),"")</x:f>
        <x:v>0</x:v>
      </x:c>
      <x:c r="T1832" s="4"/>
      <x:c r="U1832" s="4"/>
      <x:c r="V1832" s="4"/>
      <x:c r="W1832" s="4"/>
      <x:c r="X1832" s="4"/>
      <x:c r="Y1832" s="4"/>
      <x:c r="Z1832" s="4"/>
    </x:row>
    <x:row r="1833" ht="23" customHeight="1">
      <x:c r="A1833" s="17" t="n">
        <x:f>ROW()-6</x:f>
        <x:v>1827</x:v>
      </x:c>
      <x:c r="B1833" s="4" t="n">
        <x:f>IF('계산 과정'!$L$5,'계산 과정'!$L$11*SQRT((A1833+0.5)/'계산 과정'!$L$30),"")</x:f>
        <x:v>141.6951468767985</x:v>
      </x:c>
      <x:c r="C1833" s="4" t="n">
        <x:f>A1833*PI()*(3-SQRT(5))</x:f>
        <x:v>4384.732820714248</x:v>
      </x:c>
      <x:c r="D1833" s="4" t="n">
        <x:f>IF('계산 과정'!$L$5,B1833*COS(C1833),"")</x:f>
        <x:v>84.65067783598737</x:v>
      </x:c>
      <x:c r="E1833" s="4" t="n">
        <x:f>IF('계산 과정'!$L$5,B1833*SIN(C1833),"")</x:f>
        <x:v>-113.63000215764046</x:v>
      </x:c>
      <x:c r="F1833" s="4" t="n">
        <x:f>IF('계산 과정'!$L$7,'계산 과정'!$L$22+'계산 과정'!$C$49*D1833+'계산 과정'!$D$49*E1833,"")</x:f>
        <x:v>590.1429316701356</x:v>
      </x:c>
      <x:c r="G1833" s="4" t="n">
        <x:f>IF('계산 과정'!$L$7,IF(ABS(F1833)&gt;=1E-12*MAX(1,SQRT((D1833-'계산 과정'!$C$33)^2+(E1833-'계산 과정'!$D$33)^2+'계산 과정'!$E$33^2)),('계산 과정'!$L$23-'계산 과정'!$C$49*D1833-'계산 과정'!$D$49*E1833)/F1833,""),"")</x:f>
        <x:v>0.7792299859094215</x:v>
      </x:c>
      <x:c r="H1833" s="4" t="n">
        <x:f>IF(AND(ISNUMBER(G1833),G1833&gt;0),('계산 과정'!$D$56+'계산 과정'!$D$57*D1833+'계산 과정'!$D$58*E1833)/F1833,"")</x:f>
        <x:v>106.4994908411239</x:v>
      </x:c>
      <x:c r="I1833" s="4" t="n">
        <x:f>IF(AND(ISNUMBER(G1833),G1833&gt;0),('계산 과정'!$E$56+'계산 과정'!$E$57*D1833+'계산 과정'!$E$58*E1833)/F1833,"")</x:f>
        <x:v>-202.17390713782618</x:v>
      </x:c>
      <x:c r="J1833" s="4" t="n">
        <x:f>IF('계산 과정'!$L$5,'계산 과정'!$D$6+'계산 과정'!$C$35*D1833+'계산 과정'!$D$35*E1833,"")</x:f>
        <x:v>590.1429316701356</x:v>
      </x:c>
      <x:c r="K1833" s="4" t="n">
        <x:f>IF(AND('계산 과정'!$L$6,J1833&gt;0),'계산 과정'!$D$10*('계산 과정'!$C$38*(D1833-'계산 과정'!$C$32)+'계산 과정'!$D$38*(E1833-'계산 과정'!$D$32)-'계산 과정'!$E$38*'계산 과정'!$E$32)/J1833,"")</x:f>
        <x:v>0.8114246921228501</x:v>
      </x:c>
      <x:c r="L1833" s="4" t="n">
        <x:f>IF(AND('계산 과정'!$L$6,J1833&gt;0),'계산 과정'!$D$10*('계산 과정'!$C$39*(D1833-'계산 과정'!$C$32)+'계산 과정'!$D$39*(E1833-'계산 과정'!$D$32)-'계산 과정'!$E$39*'계산 과정'!$E$32)/J1833,"")</x:f>
        <x:v>-1.540372625812009</x:v>
      </x:c>
      <x:c r="M1833" s="17" t="n">
        <x:f>IF('계산 과정'!$L$6,IF(J1833&lt;=0,0,IF(AND(ABS(K1833)&lt;='계산 과정'!$D$11/2,ABS(L1833)&lt;='계산 과정'!$D$12/2),1,0)),"")</x:f>
        <x:v>1</x:v>
      </x:c>
      <x:c r="N1833" s="17" t="n">
        <x:f>IF('계산 과정'!$C$78,IF(AND(ISNUMBER(H1833),ISNUMBER(I1833),ABS(H1833-'계산 과정'!$C$88)&lt;='계산 과정'!$D$23/2,ABS(I1833-'계산 과정'!$C$89)&lt;='계산 과정'!$D$24/2),1,0),"")</x:f>
        <x:v>1</x:v>
      </x:c>
      <x:c r="O1833" s="4" t="n">
        <x:f>IF('계산 과정'!$L$7,'계산 과정'!$C$49*('계산 과정'!$C$32-D1833)+'계산 과정'!$D$49*('계산 과정'!$D$32-E1833)+'계산 과정'!$E$49*'계산 과정'!$E$32,"")</x:f>
        <x:v>59.857068329864546</x:v>
      </x:c>
      <x:c r="P1833" s="4" t="n">
        <x:f>IF(AND('계산 과정'!$L$7,O1833&lt;&gt;0),('계산 과정'!$L$23-'계산 과정'!$C$49*D1833-'계산 과정'!$D$49*E1833)/O1833,"")</x:f>
        <x:v>7.682585886025218</x:v>
      </x:c>
      <x:c r="Q1833" s="4" t="str">
        <x:f>IF(AND(ISNUMBER(P1833),P1833&gt;1E-9,P1833&lt;1-1E-9),'계산 과정'!$C$47*(D1833-'계산 과정'!$C$50+P1833*('계산 과정'!$C$32-D1833))+'계산 과정'!$D$47*(E1833-'계산 과정'!$D$50+P1833*('계산 과정'!$D$32-E1833))+'계산 과정'!$E$47*(0-'계산 과정'!$E$50+P1833*('계산 과정'!$E$32-0)),"")</x:f>
      </x:c>
      <x:c r="R1833" s="4" t="str">
        <x:f>IF(AND(ISNUMBER(P1833),P1833&gt;1E-9,P1833&lt;1-1E-9),'계산 과정'!$C$48*(D1833-'계산 과정'!$C$50+P1833*('계산 과정'!$C$32-D1833))+'계산 과정'!$D$48*(E1833-'계산 과정'!$D$50+P1833*('계산 과정'!$D$32-E1833))+'계산 과정'!$E$48*(0-'계산 과정'!$E$50+P1833*('계산 과정'!$E$32-0)),"")</x:f>
      </x:c>
      <x:c r="S1833" s="17" t="n">
        <x:f>IF('계산 과정'!$C$78,IF(AND(ISNUMBER(Q1833),ISNUMBER(R1833),ABS(Q1833-'계산 과정'!$C$88)&lt;='계산 과정'!$D$23/2,ABS(R1833-'계산 과정'!$C$89)&lt;='계산 과정'!$D$24/2),1,0),"")</x:f>
        <x:v>0</x:v>
      </x:c>
      <x:c r="T1833" s="4"/>
      <x:c r="U1833" s="4"/>
      <x:c r="V1833" s="4"/>
      <x:c r="W1833" s="4"/>
      <x:c r="X1833" s="4"/>
      <x:c r="Y1833" s="4"/>
      <x:c r="Z1833" s="4"/>
    </x:row>
    <x:row r="1834" ht="23" customHeight="1">
      <x:c r="A1834" s="17" t="n">
        <x:f>ROW()-6</x:f>
        <x:v>1828</x:v>
      </x:c>
      <x:c r="B1834" s="4" t="n">
        <x:f>IF('계산 과정'!$L$5,'계산 과정'!$L$11*SQRT((A1834+0.5)/'계산 과정'!$L$30),"")</x:f>
        <x:v>141.7339090569455</x:v>
      </x:c>
      <x:c r="C1834" s="4" t="n">
        <x:f>A1834*PI()*(3-SQRT(5))</x:f>
        <x:v>4387.132783943977</x:v>
      </x:c>
      <x:c r="D1834" s="4" t="n">
        <x:f>IF('계산 과정'!$L$5,B1834*COS(C1834),"")</x:f>
        <x:v>14.341110336706794</x:v>
      </x:c>
      <x:c r="E1834" s="4" t="n">
        <x:f>IF('계산 과정'!$L$5,B1834*SIN(C1834),"")</x:f>
        <x:v>141.00650173262542</x:v>
      </x:c>
      <x:c r="F1834" s="4" t="n">
        <x:f>IF('계산 과정'!$L$7,'계산 과정'!$L$22+'계산 과정'!$C$49*D1834+'계산 과정'!$D$49*E1834,"")</x:f>
        <x:v>639.8593036311702</x:v>
      </x:c>
      <x:c r="G1834" s="4" t="n">
        <x:f>IF('계산 과정'!$L$7,IF(ABS(F1834)&gt;=1E-12*MAX(1,SQRT((D1834-'계산 과정'!$C$33)^2+(E1834-'계산 과정'!$D$33)^2+'계산 과정'!$E$33^2)),('계산 과정'!$L$23-'계산 과정'!$C$49*D1834-'계산 과정'!$D$49*E1834)/F1834,""),"")</x:f>
        <x:v>0.6409857511507632</x:v>
      </x:c>
      <x:c r="H1834" s="4" t="n">
        <x:f>IF(AND(ISNUMBER(G1834),G1834&gt;0),('계산 과정'!$D$56+'계산 과정'!$D$57*D1834+'계산 과정'!$D$58*E1834)/F1834,"")</x:f>
        <x:v>16.64073824799598</x:v>
      </x:c>
      <x:c r="I1834" s="4" t="n">
        <x:f>IF(AND(ISNUMBER(G1834),G1834&gt;0),('계산 과정'!$E$56+'계산 과정'!$E$57*D1834+'계산 과정'!$E$58*E1834)/F1834,"")</x:f>
        <x:v>231.38966016285372</x:v>
      </x:c>
      <x:c r="J1834" s="4" t="n">
        <x:f>IF('계산 과정'!$L$5,'계산 과정'!$D$6+'계산 과정'!$C$35*D1834+'계산 과정'!$D$35*E1834,"")</x:f>
        <x:v>639.8593036311702</x:v>
      </x:c>
      <x:c r="K1834" s="4" t="n">
        <x:f>IF(AND('계산 과정'!$L$6,J1834&gt;0),'계산 과정'!$D$10*('계산 과정'!$C$38*(D1834-'계산 과정'!$C$32)+'계산 과정'!$D$38*(E1834-'계산 과정'!$D$32)-'계산 과정'!$E$38*'계산 과정'!$E$32)/J1834,"")</x:f>
        <x:v>0.12678657712758945</x:v>
      </x:c>
      <x:c r="L1834" s="4" t="n">
        <x:f>IF(AND('계산 과정'!$L$6,J1834&gt;0),'계산 과정'!$D$10*('계산 과정'!$C$39*(D1834-'계산 과정'!$C$32)+'계산 과정'!$D$39*(E1834-'계산 과정'!$D$32)-'계산 과정'!$E$39*'계산 과정'!$E$32)/J1834,"")</x:f>
        <x:v>1.7629688393360283</x:v>
      </x:c>
      <x:c r="M1834" s="17" t="n">
        <x:f>IF('계산 과정'!$L$6,IF(J1834&lt;=0,0,IF(AND(ABS(K1834)&lt;='계산 과정'!$D$11/2,ABS(L1834)&lt;='계산 과정'!$D$12/2),1,0)),"")</x:f>
        <x:v>1</x:v>
      </x:c>
      <x:c r="N1834" s="17" t="n">
        <x:f>IF('계산 과정'!$C$78,IF(AND(ISNUMBER(H1834),ISNUMBER(I1834),ABS(H1834-'계산 과정'!$C$88)&lt;='계산 과정'!$D$23/2,ABS(I1834-'계산 과정'!$C$89)&lt;='계산 과정'!$D$24/2),1,0),"")</x:f>
        <x:v>1</x:v>
      </x:c>
      <x:c r="O1834" s="4" t="n">
        <x:f>IF('계산 과정'!$L$7,'계산 과정'!$C$49*('계산 과정'!$C$32-D1834)+'계산 과정'!$D$49*('계산 과정'!$D$32-E1834)+'계산 과정'!$E$49*'계산 과정'!$E$32,"")</x:f>
        <x:v>10.140696368829992</x:v>
      </x:c>
      <x:c r="P1834" s="4" t="n">
        <x:f>IF(AND('계산 과정'!$L$7,O1834&lt;&gt;0),('계산 과정'!$L$23-'계산 과정'!$C$49*D1834-'계산 과정'!$D$49*E1834)/O1834,"")</x:f>
        <x:v>40.44502285163586</x:v>
      </x:c>
      <x:c r="Q1834" s="4" t="str">
        <x:f>IF(AND(ISNUMBER(P1834),P1834&gt;1E-9,P1834&lt;1-1E-9),'계산 과정'!$C$47*(D1834-'계산 과정'!$C$50+P1834*('계산 과정'!$C$32-D1834))+'계산 과정'!$D$47*(E1834-'계산 과정'!$D$50+P1834*('계산 과정'!$D$32-E1834))+'계산 과정'!$E$47*(0-'계산 과정'!$E$50+P1834*('계산 과정'!$E$32-0)),"")</x:f>
      </x:c>
      <x:c r="R1834" s="4" t="str">
        <x:f>IF(AND(ISNUMBER(P1834),P1834&gt;1E-9,P1834&lt;1-1E-9),'계산 과정'!$C$48*(D1834-'계산 과정'!$C$50+P1834*('계산 과정'!$C$32-D1834))+'계산 과정'!$D$48*(E1834-'계산 과정'!$D$50+P1834*('계산 과정'!$D$32-E1834))+'계산 과정'!$E$48*(0-'계산 과정'!$E$50+P1834*('계산 과정'!$E$32-0)),"")</x:f>
      </x:c>
      <x:c r="S1834" s="17" t="n">
        <x:f>IF('계산 과정'!$C$78,IF(AND(ISNUMBER(Q1834),ISNUMBER(R1834),ABS(Q1834-'계산 과정'!$C$88)&lt;='계산 과정'!$D$23/2,ABS(R1834-'계산 과정'!$C$89)&lt;='계산 과정'!$D$24/2),1,0),"")</x:f>
        <x:v>0</x:v>
      </x:c>
      <x:c r="T1834" s="4"/>
      <x:c r="U1834" s="4"/>
      <x:c r="V1834" s="4"/>
      <x:c r="W1834" s="4"/>
      <x:c r="X1834" s="4"/>
      <x:c r="Y1834" s="4"/>
      <x:c r="Z1834" s="4"/>
    </x:row>
    <x:row r="1835" ht="23" customHeight="1">
      <x:c r="A1835" s="17" t="n">
        <x:f>ROW()-6</x:f>
        <x:v>1829</x:v>
      </x:c>
      <x:c r="B1835" s="4" t="n">
        <x:f>IF('계산 과정'!$L$5,'계산 과정'!$L$11*SQRT((A1835+0.5)/'계산 과정'!$L$30),"")</x:f>
        <x:v>141.77266063909326</x:v>
      </x:c>
      <x:c r="C1835" s="4" t="n">
        <x:f>A1835*PI()*(3-SQRT(5))</x:f>
        <x:v>4389.532747173706</x:v>
      </x:c>
      <x:c r="D1835" s="4" t="n">
        <x:f>IF('계산 과정'!$L$5,B1835*COS(C1835),"")</x:f>
        <x:v>-105.85214499699613</x:v>
      </x:c>
      <x:c r="E1835" s="4" t="n">
        <x:f>IF('계산 과정'!$L$5,B1835*SIN(C1835),"")</x:f>
        <x:v>-94.31230409772847</x:v>
      </x:c>
      <x:c r="F1835" s="4" t="n">
        <x:f>IF('계산 과정'!$L$7,'계산 과정'!$L$22+'계산 과정'!$C$49*D1835+'계산 과정'!$D$49*E1835,"")</x:f>
        <x:v>724.8487695305176</x:v>
      </x:c>
      <x:c r="G1835" s="4" t="n">
        <x:f>IF('계산 과정'!$L$7,IF(ABS(F1835)&gt;=1E-12*MAX(1,SQRT((D1835-'계산 과정'!$C$33)^2+(E1835-'계산 과정'!$D$33)^2+'계산 과정'!$E$33^2)),('계산 과정'!$L$23-'계산 과정'!$C$49*D1835-'계산 과정'!$D$49*E1835)/F1835,""),"")</x:f>
        <x:v>0.4485780263931217</x:v>
      </x:c>
      <x:c r="H1835" s="4" t="n">
        <x:f>IF(AND(ISNUMBER(G1835),G1835&gt;0),('계산 과정'!$D$56+'계산 과정'!$D$57*D1835+'계산 과정'!$D$58*E1835)/F1835,"")</x:f>
        <x:v>-108.42428284447101</x:v>
      </x:c>
      <x:c r="I1835" s="4" t="n">
        <x:f>IF(AND(ISNUMBER(G1835),G1835&gt;0),('계산 과정'!$E$56+'계산 과정'!$E$57*D1835+'계산 과정'!$E$58*E1835)/F1835,"")</x:f>
        <x:v>-136.61873133447546</x:v>
      </x:c>
      <x:c r="J1835" s="4" t="n">
        <x:f>IF('계산 과정'!$L$5,'계산 과정'!$D$6+'계산 과정'!$C$35*D1835+'계산 과정'!$D$35*E1835,"")</x:f>
        <x:v>724.8487695305176</x:v>
      </x:c>
      <x:c r="K1835" s="4" t="n">
        <x:f>IF(AND('계산 과정'!$L$6,J1835&gt;0),'계산 과정'!$D$10*('계산 과정'!$C$38*(D1835-'계산 과정'!$C$32)+'계산 과정'!$D$38*(E1835-'계산 과정'!$D$32)-'계산 과정'!$E$38*'계산 과정'!$E$32)/J1835,"")</x:f>
        <x:v>-0.8260897740531115</x:v>
      </x:c>
      <x:c r="L1835" s="4" t="n">
        <x:f>IF(AND('계산 과정'!$L$6,J1835&gt;0),'계산 과정'!$D$10*('계산 과정'!$C$39*(D1835-'계산 과정'!$C$32)+'계산 과정'!$D$39*(E1835-'계산 과정'!$D$32)-'계산 과정'!$E$39*'계산 과정'!$E$32)/J1835,"")</x:f>
        <x:v>-1.0409046196912415</x:v>
      </x:c>
      <x:c r="M1835" s="17" t="n">
        <x:f>IF('계산 과정'!$L$6,IF(J1835&lt;=0,0,IF(AND(ABS(K1835)&lt;='계산 과정'!$D$11/2,ABS(L1835)&lt;='계산 과정'!$D$12/2),1,0)),"")</x:f>
        <x:v>1</x:v>
      </x:c>
      <x:c r="N1835" s="17" t="n">
        <x:f>IF('계산 과정'!$C$78,IF(AND(ISNUMBER(H1835),ISNUMBER(I1835),ABS(H1835-'계산 과정'!$C$88)&lt;='계산 과정'!$D$23/2,ABS(I1835-'계산 과정'!$C$89)&lt;='계산 과정'!$D$24/2),1,0),"")</x:f>
        <x:v>1</x:v>
      </x:c>
      <x:c r="O1835" s="4" t="n">
        <x:f>IF('계산 과정'!$L$7,'계산 과정'!$C$49*('계산 과정'!$C$32-D1835)+'계산 과정'!$D$49*('계산 과정'!$D$32-E1835)+'계산 과정'!$E$49*'계산 과정'!$E$32,"")</x:f>
        <x:v>-74.84876953051753</x:v>
      </x:c>
      <x:c r="P1835" s="4" t="n">
        <x:f>IF(AND('계산 과정'!$L$7,O1835&lt;&gt;0),('계산 과정'!$L$23-'계산 과정'!$C$49*D1835-'계산 과정'!$D$49*E1835)/O1835,"")</x:f>
        <x:v>-4.344109228634826</x:v>
      </x:c>
      <x:c r="Q1835" s="4" t="str">
        <x:f>IF(AND(ISNUMBER(P1835),P1835&gt;1E-9,P1835&lt;1-1E-9),'계산 과정'!$C$47*(D1835-'계산 과정'!$C$50+P1835*('계산 과정'!$C$32-D1835))+'계산 과정'!$D$47*(E1835-'계산 과정'!$D$50+P1835*('계산 과정'!$D$32-E1835))+'계산 과정'!$E$47*(0-'계산 과정'!$E$50+P1835*('계산 과정'!$E$32-0)),"")</x:f>
      </x:c>
      <x:c r="R1835" s="4" t="str">
        <x:f>IF(AND(ISNUMBER(P1835),P1835&gt;1E-9,P1835&lt;1-1E-9),'계산 과정'!$C$48*(D1835-'계산 과정'!$C$50+P1835*('계산 과정'!$C$32-D1835))+'계산 과정'!$D$48*(E1835-'계산 과정'!$D$50+P1835*('계산 과정'!$D$32-E1835))+'계산 과정'!$E$48*(0-'계산 과정'!$E$50+P1835*('계산 과정'!$E$32-0)),"")</x:f>
      </x:c>
      <x:c r="S1835" s="17" t="n">
        <x:f>IF('계산 과정'!$C$78,IF(AND(ISNUMBER(Q1835),ISNUMBER(R1835),ABS(Q1835-'계산 과정'!$C$88)&lt;='계산 과정'!$D$23/2,ABS(R1835-'계산 과정'!$C$89)&lt;='계산 과정'!$D$24/2),1,0),"")</x:f>
        <x:v>0</x:v>
      </x:c>
      <x:c r="T1835" s="4"/>
      <x:c r="U1835" s="4"/>
      <x:c r="V1835" s="4"/>
      <x:c r="W1835" s="4"/>
      <x:c r="X1835" s="4"/>
      <x:c r="Y1835" s="4"/>
      <x:c r="Z1835" s="4"/>
    </x:row>
    <x:row r="1836" ht="23" customHeight="1">
      <x:c r="A1836" s="17" t="n">
        <x:f>ROW()-6</x:f>
        <x:v>1830</x:v>
      </x:c>
      <x:c r="B1836" s="4" t="n">
        <x:f>IF('계산 과정'!$L$5,'계산 과정'!$L$11*SQRT((A1836+0.5)/'계산 과정'!$L$30),"")</x:f>
        <x:v>141.81140163192978</x:v>
      </x:c>
      <x:c r="C1836" s="4" t="n">
        <x:f>A1836*PI()*(3-SQRT(5))</x:f>
        <x:v>4391.932710403435</x:v>
      </x:c>
      <x:c r="D1836" s="4" t="n">
        <x:f>IF('계산 과정'!$L$5,B1836*COS(C1836),"")</x:f>
        <x:v>141.79786073971917</x:v>
      </x:c>
      <x:c r="E1836" s="4" t="n">
        <x:f>IF('계산 과정'!$L$5,B1836*SIN(C1836),"")</x:f>
        <x:v>-1.9596740677221416</x:v>
      </x:c>
      <x:c r="F1836" s="4" t="n">
        <x:f>IF('계산 과정'!$L$7,'계산 과정'!$L$22+'계산 과정'!$C$49*D1836+'계산 과정'!$D$49*E1836,"")</x:f>
        <x:v>549.7337711131988</x:v>
      </x:c>
      <x:c r="G1836" s="4" t="n">
        <x:f>IF('계산 과정'!$L$7,IF(ABS(F1836)&gt;=1E-12*MAX(1,SQRT((D1836-'계산 과정'!$C$33)^2+(E1836-'계산 과정'!$D$33)^2+'계산 과정'!$E$33^2)),('계산 과정'!$L$23-'계산 과정'!$C$49*D1836-'계산 과정'!$D$49*E1836)/F1836,""),"")</x:f>
        <x:v>0.9100154568888372</x:v>
      </x:c>
      <x:c r="H1836" s="4" t="n">
        <x:f>IF(AND(ISNUMBER(G1836),G1836&gt;0),('계산 과정'!$D$56+'계산 과정'!$D$57*D1836+'계산 과정'!$D$58*E1836)/F1836,"")</x:f>
        <x:v>191.51004697774414</x:v>
      </x:c>
      <x:c r="I1836" s="4" t="n">
        <x:f>IF(AND(ISNUMBER(G1836),G1836&gt;0),('계산 과정'!$E$56+'계산 과정'!$E$57*D1836+'계산 과정'!$E$58*E1836)/F1836,"")</x:f>
        <x:v>-3.7430077598135125</x:v>
      </x:c>
      <x:c r="J1836" s="4" t="n">
        <x:f>IF('계산 과정'!$L$5,'계산 과정'!$D$6+'계산 과정'!$C$35*D1836+'계산 과정'!$D$35*E1836,"")</x:f>
        <x:v>549.7337711131988</x:v>
      </x:c>
      <x:c r="K1836" s="4" t="n">
        <x:f>IF(AND('계산 과정'!$L$6,J1836&gt;0),'계산 과정'!$D$10*('계산 과정'!$C$38*(D1836-'계산 과정'!$C$32)+'계산 과정'!$D$38*(E1836-'계산 과정'!$D$32)-'계산 과정'!$E$38*'계산 과정'!$E$32)/J1836,"")</x:f>
        <x:v>1.45912416744948</x:v>
      </x:c>
      <x:c r="L1836" s="4" t="n">
        <x:f>IF(AND('계산 과정'!$L$6,J1836&gt;0),'계산 과정'!$D$10*('계산 과정'!$C$39*(D1836-'계산 과정'!$C$32)+'계산 과정'!$D$39*(E1836-'계산 과정'!$D$32)-'계산 과정'!$E$39*'계산 과정'!$E$32)/J1836,"")</x:f>
        <x:v>-0.028518154360483907</x:v>
      </x:c>
      <x:c r="M1836" s="17" t="n">
        <x:f>IF('계산 과정'!$L$6,IF(J1836&lt;=0,0,IF(AND(ABS(K1836)&lt;='계산 과정'!$D$11/2,ABS(L1836)&lt;='계산 과정'!$D$12/2),1,0)),"")</x:f>
        <x:v>1</x:v>
      </x:c>
      <x:c r="N1836" s="17" t="n">
        <x:f>IF('계산 과정'!$C$78,IF(AND(ISNUMBER(H1836),ISNUMBER(I1836),ABS(H1836-'계산 과정'!$C$88)&lt;='계산 과정'!$D$23/2,ABS(I1836-'계산 과정'!$C$89)&lt;='계산 과정'!$D$24/2),1,0),"")</x:f>
        <x:v>1</x:v>
      </x:c>
      <x:c r="O1836" s="4" t="n">
        <x:f>IF('계산 과정'!$L$7,'계산 과정'!$C$49*('계산 과정'!$C$32-D1836)+'계산 과정'!$D$49*('계산 과정'!$D$32-E1836)+'계산 과정'!$E$49*'계산 과정'!$E$32,"")</x:f>
        <x:v>100.26622888680126</x:v>
      </x:c>
      <x:c r="P1836" s="4" t="n">
        <x:f>IF(AND('계산 과정'!$L$7,O1836&lt;&gt;0),('계산 과정'!$L$23-'계산 과정'!$C$49*D1836-'계산 과정'!$D$49*E1836)/O1836,"")</x:f>
        <x:v>4.989379120377536</x:v>
      </x:c>
      <x:c r="Q1836" s="4" t="str">
        <x:f>IF(AND(ISNUMBER(P1836),P1836&gt;1E-9,P1836&lt;1-1E-9),'계산 과정'!$C$47*(D1836-'계산 과정'!$C$50+P1836*('계산 과정'!$C$32-D1836))+'계산 과정'!$D$47*(E1836-'계산 과정'!$D$50+P1836*('계산 과정'!$D$32-E1836))+'계산 과정'!$E$47*(0-'계산 과정'!$E$50+P1836*('계산 과정'!$E$32-0)),"")</x:f>
      </x:c>
      <x:c r="R1836" s="4" t="str">
        <x:f>IF(AND(ISNUMBER(P1836),P1836&gt;1E-9,P1836&lt;1-1E-9),'계산 과정'!$C$48*(D1836-'계산 과정'!$C$50+P1836*('계산 과정'!$C$32-D1836))+'계산 과정'!$D$48*(E1836-'계산 과정'!$D$50+P1836*('계산 과정'!$D$32-E1836))+'계산 과정'!$E$48*(0-'계산 과정'!$E$50+P1836*('계산 과정'!$E$32-0)),"")</x:f>
      </x:c>
      <x:c r="S1836" s="17" t="n">
        <x:f>IF('계산 과정'!$C$78,IF(AND(ISNUMBER(Q1836),ISNUMBER(R1836),ABS(Q1836-'계산 과정'!$C$88)&lt;='계산 과정'!$D$23/2,ABS(R1836-'계산 과정'!$C$89)&lt;='계산 과정'!$D$24/2),1,0),"")</x:f>
        <x:v>0</x:v>
      </x:c>
      <x:c r="T1836" s="4"/>
      <x:c r="U1836" s="4"/>
      <x:c r="V1836" s="4"/>
      <x:c r="W1836" s="4"/>
      <x:c r="X1836" s="4"/>
      <x:c r="Y1836" s="4"/>
      <x:c r="Z1836" s="4"/>
    </x:row>
    <x:row r="1837" ht="23" customHeight="1">
      <x:c r="A1837" s="17" t="n">
        <x:f>ROW()-6</x:f>
        <x:v>1831</x:v>
      </x:c>
      <x:c r="B1837" s="4" t="n">
        <x:f>IF('계산 과정'!$L$5,'계산 과정'!$L$11*SQRT((A1837+0.5)/'계산 과정'!$L$30),"")</x:f>
        <x:v>141.85013204413136</x:v>
      </x:c>
      <x:c r="C1837" s="4" t="n">
        <x:f>A1837*PI()*(3-SQRT(5))</x:f>
        <x:v>4394.332673633164</x:v>
      </x:c>
      <x:c r="D1837" s="4" t="n">
        <x:f>IF('계산 과정'!$L$5,B1837*COS(C1837),"")</x:f>
        <x:v>-103.26178301894663</x:v>
      </x:c>
      <x:c r="E1837" s="4" t="n">
        <x:f>IF('계산 과정'!$L$5,B1837*SIN(C1837),"")</x:f>
        <x:v>97.2546355125836</x:v>
      </x:c>
      <x:c r="F1837" s="4" t="n">
        <x:f>IF('계산 과정'!$L$7,'계산 과정'!$L$22+'계산 과정'!$C$49*D1837+'계산 과정'!$D$49*E1837,"")</x:f>
        <x:v>723.017107010111</x:v>
      </x:c>
      <x:c r="G1837" s="4" t="n">
        <x:f>IF('계산 과정'!$L$7,IF(ABS(F1837)&gt;=1E-12*MAX(1,SQRT((D1837-'계산 과정'!$C$33)^2+(E1837-'계산 과정'!$D$33)^2+'계산 과정'!$E$33^2)),('계산 과정'!$L$23-'계산 과정'!$C$49*D1837-'계산 과정'!$D$49*E1837)/F1837,""),"")</x:f>
        <x:v>0.45224779582610386</x:v>
      </x:c>
      <x:c r="H1837" s="4" t="n">
        <x:f>IF(AND(ISNUMBER(G1837),G1837&gt;0),('계산 과정'!$D$56+'계산 과정'!$D$57*D1837+'계산 과정'!$D$58*E1837)/F1837,"")</x:f>
        <x:v>-106.03893271303265</x:v>
      </x:c>
      <x:c r="I1837" s="4" t="n">
        <x:f>IF(AND(ISNUMBER(G1837),G1837&gt;0),('계산 과정'!$E$56+'계산 과정'!$E$57*D1837+'계산 과정'!$E$58*E1837)/F1837,"")</x:f>
        <x:v>141.2378300570207</x:v>
      </x:c>
      <x:c r="J1837" s="4" t="n">
        <x:f>IF('계산 과정'!$L$5,'계산 과정'!$D$6+'계산 과정'!$C$35*D1837+'계산 과정'!$D$35*E1837,"")</x:f>
        <x:v>723.017107010111</x:v>
      </x:c>
      <x:c r="K1837" s="4" t="n">
        <x:f>IF(AND('계산 과정'!$L$6,J1837&gt;0),'계산 과정'!$D$10*('계산 과정'!$C$38*(D1837-'계산 과정'!$C$32)+'계산 과정'!$D$38*(E1837-'계산 과정'!$D$32)-'계산 과정'!$E$38*'계산 과정'!$E$32)/J1837,"")</x:f>
        <x:v>-0.8079156778135811</x:v>
      </x:c>
      <x:c r="L1837" s="4" t="n">
        <x:f>IF(AND('계산 과정'!$L$6,J1837&gt;0),'계산 과정'!$D$10*('계산 과정'!$C$39*(D1837-'계산 과정'!$C$32)+'계산 과정'!$D$39*(E1837-'계산 과정'!$D$32)-'계산 과정'!$E$39*'계산 과정'!$E$32)/J1837,"")</x:f>
        <x:v>1.0760977528153957</x:v>
      </x:c>
      <x:c r="M1837" s="17" t="n">
        <x:f>IF('계산 과정'!$L$6,IF(J1837&lt;=0,0,IF(AND(ABS(K1837)&lt;='계산 과정'!$D$11/2,ABS(L1837)&lt;='계산 과정'!$D$12/2),1,0)),"")</x:f>
        <x:v>1</x:v>
      </x:c>
      <x:c r="N1837" s="17" t="n">
        <x:f>IF('계산 과정'!$C$78,IF(AND(ISNUMBER(H1837),ISNUMBER(I1837),ABS(H1837-'계산 과정'!$C$88)&lt;='계산 과정'!$D$23/2,ABS(I1837-'계산 과정'!$C$89)&lt;='계산 과정'!$D$24/2),1,0),"")</x:f>
        <x:v>1</x:v>
      </x:c>
      <x:c r="O1837" s="4" t="n">
        <x:f>IF('계산 과정'!$L$7,'계산 과정'!$C$49*('계산 과정'!$C$32-D1837)+'계산 과정'!$D$49*('계산 과정'!$D$32-E1837)+'계산 과정'!$E$49*'계산 과정'!$E$32,"")</x:f>
        <x:v>-73.01710701011092</x:v>
      </x:c>
      <x:c r="P1837" s="4" t="n">
        <x:f>IF(AND('계산 과정'!$L$7,O1837&lt;&gt;0),('계산 과정'!$L$23-'계산 과정'!$C$49*D1837-'계산 과정'!$D$49*E1837)/O1837,"")</x:f>
        <x:v>-4.478168286571674</x:v>
      </x:c>
      <x:c r="Q1837" s="4" t="str">
        <x:f>IF(AND(ISNUMBER(P1837),P1837&gt;1E-9,P1837&lt;1-1E-9),'계산 과정'!$C$47*(D1837-'계산 과정'!$C$50+P1837*('계산 과정'!$C$32-D1837))+'계산 과정'!$D$47*(E1837-'계산 과정'!$D$50+P1837*('계산 과정'!$D$32-E1837))+'계산 과정'!$E$47*(0-'계산 과정'!$E$50+P1837*('계산 과정'!$E$32-0)),"")</x:f>
      </x:c>
      <x:c r="R1837" s="4" t="str">
        <x:f>IF(AND(ISNUMBER(P1837),P1837&gt;1E-9,P1837&lt;1-1E-9),'계산 과정'!$C$48*(D1837-'계산 과정'!$C$50+P1837*('계산 과정'!$C$32-D1837))+'계산 과정'!$D$48*(E1837-'계산 과정'!$D$50+P1837*('계산 과정'!$D$32-E1837))+'계산 과정'!$E$48*(0-'계산 과정'!$E$50+P1837*('계산 과정'!$E$32-0)),"")</x:f>
      </x:c>
      <x:c r="S1837" s="17" t="n">
        <x:f>IF('계산 과정'!$C$78,IF(AND(ISNUMBER(Q1837),ISNUMBER(R1837),ABS(Q1837-'계산 과정'!$C$88)&lt;='계산 과정'!$D$23/2,ABS(R1837-'계산 과정'!$C$89)&lt;='계산 과정'!$D$24/2),1,0),"")</x:f>
        <x:v>0</x:v>
      </x:c>
      <x:c r="T1837" s="4"/>
      <x:c r="U1837" s="4"/>
      <x:c r="V1837" s="4"/>
      <x:c r="W1837" s="4"/>
      <x:c r="X1837" s="4"/>
      <x:c r="Y1837" s="4"/>
      <x:c r="Z1837" s="4"/>
    </x:row>
    <x:row r="1838" ht="23" customHeight="1">
      <x:c r="A1838" s="17" t="n">
        <x:f>ROW()-6</x:f>
        <x:v>1832</x:v>
      </x:c>
      <x:c r="B1838" s="4" t="n">
        <x:f>IF('계산 과정'!$L$5,'계산 과정'!$L$11*SQRT((A1838+0.5)/'계산 과정'!$L$30),"")</x:f>
        <x:v>141.88885188436228</x:v>
      </x:c>
      <x:c r="C1838" s="4" t="n">
        <x:f>A1838*PI()*(3-SQRT(5))</x:f>
        <x:v>4396.732636862892</x:v>
      </x:c>
      <x:c r="D1838" s="4" t="n">
        <x:f>IF('계산 과정'!$L$5,B1838*COS(C1838),"")</x:f>
        <x:v>10.450314503255274</x:v>
      </x:c>
      <x:c r="E1838" s="4" t="n">
        <x:f>IF('계산 과정'!$L$5,B1838*SIN(C1838),"")</x:f>
        <x:v>-141.50348835221536</x:v>
      </x:c>
      <x:c r="F1838" s="4" t="n">
        <x:f>IF('계산 과정'!$L$7,'계산 과정'!$L$22+'계산 과정'!$C$49*D1838+'계산 과정'!$D$49*E1838,"")</x:f>
        <x:v>642.610511749216</x:v>
      </x:c>
      <x:c r="G1838" s="4" t="n">
        <x:f>IF('계산 과정'!$L$7,IF(ABS(F1838)&gt;=1E-12*MAX(1,SQRT((D1838-'계산 과정'!$C$33)^2+(E1838-'계산 과정'!$D$33)^2+'계산 과정'!$E$33^2)),('계산 과정'!$L$23-'계산 과정'!$C$49*D1838-'계산 과정'!$D$49*E1838)/F1838,""),"")</x:f>
        <x:v>0.6339601995333854</x:v>
      </x:c>
      <x:c r="H1838" s="4" t="n">
        <x:f>IF(AND(ISNUMBER(G1838),G1838&gt;0),('계산 과정'!$D$56+'계산 과정'!$D$57*D1838+'계산 과정'!$D$58*E1838)/F1838,"")</x:f>
        <x:v>12.074129696700409</x:v>
      </x:c>
      <x:c r="I1838" s="4" t="n">
        <x:f>IF(AND(ISNUMBER(G1838),G1838&gt;0),('계산 과정'!$E$56+'계산 과정'!$E$57*D1838+'계산 과정'!$E$58*E1838)/F1838,"")</x:f>
        <x:v>-231.2110680626559</x:v>
      </x:c>
      <x:c r="J1838" s="4" t="n">
        <x:f>IF('계산 과정'!$L$5,'계산 과정'!$D$6+'계산 과정'!$C$35*D1838+'계산 과정'!$D$35*E1838,"")</x:f>
        <x:v>642.610511749216</x:v>
      </x:c>
      <x:c r="K1838" s="4" t="n">
        <x:f>IF(AND('계산 과정'!$L$6,J1838&gt;0),'계산 과정'!$D$10*('계산 과정'!$C$38*(D1838-'계산 과정'!$C$32)+'계산 과정'!$D$38*(E1838-'계산 과정'!$D$32)-'계산 과정'!$E$38*'계산 과정'!$E$32)/J1838,"")</x:f>
        <x:v>0.09199336911771891</x:v>
      </x:c>
      <x:c r="L1838" s="4" t="n">
        <x:f>IF(AND('계산 과정'!$L$6,J1838&gt;0),'계산 과정'!$D$10*('계산 과정'!$C$39*(D1838-'계산 과정'!$C$32)+'계산 과정'!$D$39*(E1838-'계산 과정'!$D$32)-'계산 과정'!$E$39*'계산 과정'!$E$32)/J1838,"")</x:f>
        <x:v>-1.7616081376202355</x:v>
      </x:c>
      <x:c r="M1838" s="17" t="n">
        <x:f>IF('계산 과정'!$L$6,IF(J1838&lt;=0,0,IF(AND(ABS(K1838)&lt;='계산 과정'!$D$11/2,ABS(L1838)&lt;='계산 과정'!$D$12/2),1,0)),"")</x:f>
        <x:v>1</x:v>
      </x:c>
      <x:c r="N1838" s="17" t="n">
        <x:f>IF('계산 과정'!$C$78,IF(AND(ISNUMBER(H1838),ISNUMBER(I1838),ABS(H1838-'계산 과정'!$C$88)&lt;='계산 과정'!$D$23/2,ABS(I1838-'계산 과정'!$C$89)&lt;='계산 과정'!$D$24/2),1,0),"")</x:f>
        <x:v>1</x:v>
      </x:c>
      <x:c r="O1838" s="4" t="n">
        <x:f>IF('계산 과정'!$L$7,'계산 과정'!$C$49*('계산 과정'!$C$32-D1838)+'계산 과정'!$D$49*('계산 과정'!$D$32-E1838)+'계산 과정'!$E$49*'계산 과정'!$E$32,"")</x:f>
        <x:v>7.389488250784041</x:v>
      </x:c>
      <x:c r="P1838" s="4" t="n">
        <x:f>IF(AND('계산 과정'!$L$7,O1838&lt;&gt;0),('계산 과정'!$L$23-'계산 과정'!$C$49*D1838-'계산 과정'!$D$49*E1838)/O1838,"")</x:f>
        <x:v>55.130947424885484</x:v>
      </x:c>
      <x:c r="Q1838" s="4" t="str">
        <x:f>IF(AND(ISNUMBER(P1838),P1838&gt;1E-9,P1838&lt;1-1E-9),'계산 과정'!$C$47*(D1838-'계산 과정'!$C$50+P1838*('계산 과정'!$C$32-D1838))+'계산 과정'!$D$47*(E1838-'계산 과정'!$D$50+P1838*('계산 과정'!$D$32-E1838))+'계산 과정'!$E$47*(0-'계산 과정'!$E$50+P1838*('계산 과정'!$E$32-0)),"")</x:f>
      </x:c>
      <x:c r="R1838" s="4" t="str">
        <x:f>IF(AND(ISNUMBER(P1838),P1838&gt;1E-9,P1838&lt;1-1E-9),'계산 과정'!$C$48*(D1838-'계산 과정'!$C$50+P1838*('계산 과정'!$C$32-D1838))+'계산 과정'!$D$48*(E1838-'계산 과정'!$D$50+P1838*('계산 과정'!$D$32-E1838))+'계산 과정'!$E$48*(0-'계산 과정'!$E$50+P1838*('계산 과정'!$E$32-0)),"")</x:f>
      </x:c>
      <x:c r="S1838" s="17" t="n">
        <x:f>IF('계산 과정'!$C$78,IF(AND(ISNUMBER(Q1838),ISNUMBER(R1838),ABS(Q1838-'계산 과정'!$C$88)&lt;='계산 과정'!$D$23/2,ABS(R1838-'계산 과정'!$C$89)&lt;='계산 과정'!$D$24/2),1,0),"")</x:f>
        <x:v>0</x:v>
      </x:c>
      <x:c r="T1838" s="4"/>
      <x:c r="U1838" s="4"/>
      <x:c r="V1838" s="4"/>
      <x:c r="W1838" s="4"/>
      <x:c r="X1838" s="4"/>
      <x:c r="Y1838" s="4"/>
      <x:c r="Z1838" s="4"/>
    </x:row>
    <x:row r="1839" ht="23" customHeight="1">
      <x:c r="A1839" s="17" t="n">
        <x:f>ROW()-6</x:f>
        <x:v>1833</x:v>
      </x:c>
      <x:c r="B1839" s="4" t="n">
        <x:f>IF('계산 과정'!$L$5,'계산 과정'!$L$11*SQRT((A1839+0.5)/'계산 과정'!$L$30),"")</x:f>
        <x:v>141.92756116127515</x:v>
      </x:c>
      <x:c r="C1839" s="4" t="n">
        <x:f>A1839*PI()*(3-SQRT(5))</x:f>
        <x:v>4399.132600092621</x:v>
      </x:c>
      <x:c r="D1839" s="4" t="n">
        <x:f>IF('계산 과정'!$L$5,B1839*COS(C1839),"")</x:f>
        <x:v>87.90247079651004</x:v>
      </x:c>
      <x:c r="E1839" s="4" t="n">
        <x:f>IF('계산 과정'!$L$5,B1839*SIN(C1839),"")</x:f>
        <x:v>111.42974578206754</x:v>
      </x:c>
      <x:c r="F1839" s="4" t="n">
        <x:f>IF('계산 과정'!$L$7,'계산 과정'!$L$22+'계산 과정'!$C$49*D1839+'계산 과정'!$D$49*E1839,"")</x:f>
        <x:v>587.8435668167353</x:v>
      </x:c>
      <x:c r="G1839" s="4" t="n">
        <x:f>IF('계산 과정'!$L$7,IF(ABS(F1839)&gt;=1E-12*MAX(1,SQRT((D1839-'계산 과정'!$C$33)^2+(E1839-'계산 과정'!$D$33)^2+'계산 과정'!$E$33^2)),('계산 과정'!$L$23-'계산 과정'!$C$49*D1839-'계산 과정'!$D$49*E1839)/F1839,""),"")</x:f>
        <x:v>0.7861894886183988</x:v>
      </x:c>
      <x:c r="H1839" s="4" t="n">
        <x:f>IF(AND(ISNUMBER(G1839),G1839&gt;0),('계산 과정'!$D$56+'계산 과정'!$D$57*D1839+'계산 과정'!$D$58*E1839)/F1839,"")</x:f>
        <x:v>111.02316760195917</x:v>
      </x:c>
      <x:c r="I1839" s="4" t="n">
        <x:f>IF(AND(ISNUMBER(G1839),G1839&gt;0),('계산 과정'!$E$56+'계산 과정'!$E$57*D1839+'계산 과정'!$E$58*E1839)/F1839,"")</x:f>
        <x:v>199.0346406353494</x:v>
      </x:c>
      <x:c r="J1839" s="4" t="n">
        <x:f>IF('계산 과정'!$L$5,'계산 과정'!$D$6+'계산 과정'!$C$35*D1839+'계산 과정'!$D$35*E1839,"")</x:f>
        <x:v>587.8435668167353</x:v>
      </x:c>
      <x:c r="K1839" s="4" t="n">
        <x:f>IF(AND('계산 과정'!$L$6,J1839&gt;0),'계산 과정'!$D$10*('계산 과정'!$C$38*(D1839-'계산 과정'!$C$32)+'계산 과정'!$D$38*(E1839-'계산 과정'!$D$32)-'계산 과정'!$E$38*'계산 과정'!$E$32)/J1839,"")</x:f>
        <x:v>0.8458908007768324</x:v>
      </x:c>
      <x:c r="L1839" s="4" t="n">
        <x:f>IF(AND('계산 과정'!$L$6,J1839&gt;0),'계산 과정'!$D$10*('계산 과정'!$C$39*(D1839-'계산 과정'!$C$32)+'계산 과정'!$D$39*(E1839-'계산 과정'!$D$32)-'계산 과정'!$E$39*'계산 과정'!$E$32)/J1839,"")</x:f>
        <x:v>1.5164544048407573</x:v>
      </x:c>
      <x:c r="M1839" s="17" t="n">
        <x:f>IF('계산 과정'!$L$6,IF(J1839&lt;=0,0,IF(AND(ABS(K1839)&lt;='계산 과정'!$D$11/2,ABS(L1839)&lt;='계산 과정'!$D$12/2),1,0)),"")</x:f>
        <x:v>1</x:v>
      </x:c>
      <x:c r="N1839" s="17" t="n">
        <x:f>IF('계산 과정'!$C$78,IF(AND(ISNUMBER(H1839),ISNUMBER(I1839),ABS(H1839-'계산 과정'!$C$88)&lt;='계산 과정'!$D$23/2,ABS(I1839-'계산 과정'!$C$89)&lt;='계산 과정'!$D$24/2),1,0),"")</x:f>
        <x:v>1</x:v>
      </x:c>
      <x:c r="O1839" s="4" t="n">
        <x:f>IF('계산 과정'!$L$7,'계산 과정'!$C$49*('계산 과정'!$C$32-D1839)+'계산 과정'!$D$49*('계산 과정'!$D$32-E1839)+'계산 과정'!$E$49*'계산 과정'!$E$32,"")</x:f>
        <x:v>62.156433183264824</x:v>
      </x:c>
      <x:c r="P1839" s="4" t="n">
        <x:f>IF(AND('계산 과정'!$L$7,O1839&lt;&gt;0),('계산 과정'!$L$23-'계산 과정'!$C$49*D1839-'계산 과정'!$D$49*E1839)/O1839,"")</x:f>
        <x:v>7.435375704725879</x:v>
      </x:c>
      <x:c r="Q1839" s="4" t="str">
        <x:f>IF(AND(ISNUMBER(P1839),P1839&gt;1E-9,P1839&lt;1-1E-9),'계산 과정'!$C$47*(D1839-'계산 과정'!$C$50+P1839*('계산 과정'!$C$32-D1839))+'계산 과정'!$D$47*(E1839-'계산 과정'!$D$50+P1839*('계산 과정'!$D$32-E1839))+'계산 과정'!$E$47*(0-'계산 과정'!$E$50+P1839*('계산 과정'!$E$32-0)),"")</x:f>
      </x:c>
      <x:c r="R1839" s="4" t="str">
        <x:f>IF(AND(ISNUMBER(P1839),P1839&gt;1E-9,P1839&lt;1-1E-9),'계산 과정'!$C$48*(D1839-'계산 과정'!$C$50+P1839*('계산 과정'!$C$32-D1839))+'계산 과정'!$D$48*(E1839-'계산 과정'!$D$50+P1839*('계산 과정'!$D$32-E1839))+'계산 과정'!$E$48*(0-'계산 과정'!$E$50+P1839*('계산 과정'!$E$32-0)),"")</x:f>
      </x:c>
      <x:c r="S1839" s="17" t="n">
        <x:f>IF('계산 과정'!$C$78,IF(AND(ISNUMBER(Q1839),ISNUMBER(R1839),ABS(Q1839-'계산 과정'!$C$88)&lt;='계산 과정'!$D$23/2,ABS(R1839-'계산 과정'!$C$89)&lt;='계산 과정'!$D$24/2),1,0),"")</x:f>
        <x:v>0</x:v>
      </x:c>
      <x:c r="T1839" s="4"/>
      <x:c r="U1839" s="4"/>
      <x:c r="V1839" s="4"/>
      <x:c r="W1839" s="4"/>
      <x:c r="X1839" s="4"/>
      <x:c r="Y1839" s="4"/>
      <x:c r="Z1839" s="4"/>
    </x:row>
    <x:row r="1840" ht="23" customHeight="1">
      <x:c r="A1840" s="17" t="n">
        <x:f>ROW()-6</x:f>
        <x:v>1834</x:v>
      </x:c>
      <x:c r="B1840" s="4" t="n">
        <x:f>IF('계산 과정'!$L$5,'계산 과정'!$L$11*SQRT((A1840+0.5)/'계산 과정'!$L$30),"")</x:f>
        <x:v>141.9662598835107</x:v>
      </x:c>
      <x:c r="C1840" s="4" t="n">
        <x:f>A1840*PI()*(3-SQRT(5))</x:f>
        <x:v>4401.532563322349</x:v>
      </x:c>
      <x:c r="D1840" s="4" t="n">
        <x:f>IF('계산 과정'!$L$5,B1840*COS(C1840),"")</x:f>
        <x:v>-140.12445470211273</x:v>
      </x:c>
      <x:c r="E1840" s="4" t="n">
        <x:f>IF('계산 과정'!$L$5,B1840*SIN(C1840),"")</x:f>
        <x:v>-22.793774144446978</x:v>
      </x:c>
      <x:c r="F1840" s="4" t="n">
        <x:f>IF('계산 과정'!$L$7,'계산 과정'!$L$22+'계산 과정'!$C$49*D1840+'계산 과정'!$D$49*E1840,"")</x:f>
        <x:v>749.0829521299311</x:v>
      </x:c>
      <x:c r="G1840" s="4" t="n">
        <x:f>IF('계산 과정'!$L$7,IF(ABS(F1840)&gt;=1E-12*MAX(1,SQRT((D1840-'계산 과정'!$C$33)^2+(E1840-'계산 과정'!$D$33)^2+'계산 과정'!$E$33^2)),('계산 과정'!$L$23-'계산 과정'!$C$49*D1840-'계산 과정'!$D$49*E1840)/F1840,""),"")</x:f>
        <x:v>0.4017139183510264</x:v>
      </x:c>
      <x:c r="H1840" s="4" t="n">
        <x:f>IF(AND(ISNUMBER(G1840),G1840&gt;0),('계산 과정'!$D$56+'계산 과정'!$D$57*D1840+'계산 과정'!$D$58*E1840)/F1840,"")</x:f>
        <x:v>-138.88595307183306</x:v>
      </x:c>
      <x:c r="I1840" s="4" t="n">
        <x:f>IF(AND(ISNUMBER(G1840),G1840&gt;0),('계산 과정'!$E$56+'계산 과정'!$E$57*D1840+'계산 과정'!$E$58*E1840)/F1840,"")</x:f>
        <x:v>-31.950350470021085</x:v>
      </x:c>
      <x:c r="J1840" s="4" t="n">
        <x:f>IF('계산 과정'!$L$5,'계산 과정'!$D$6+'계산 과정'!$C$35*D1840+'계산 과정'!$D$35*E1840,"")</x:f>
        <x:v>749.0829521299311</x:v>
      </x:c>
      <x:c r="K1840" s="4" t="n">
        <x:f>IF(AND('계산 과정'!$L$6,J1840&gt;0),'계산 과정'!$D$10*('계산 과정'!$C$38*(D1840-'계산 과정'!$C$32)+'계산 과정'!$D$38*(E1840-'계산 과정'!$D$32)-'계산 과정'!$E$38*'계산 과정'!$E$32)/J1840,"")</x:f>
        <x:v>-1.058178690071108</x:v>
      </x:c>
      <x:c r="L1840" s="4" t="n">
        <x:f>IF(AND('계산 과정'!$L$6,J1840&gt;0),'계산 과정'!$D$10*('계산 과정'!$C$39*(D1840-'계산 과정'!$C$32)+'계산 과정'!$D$39*(E1840-'계산 과정'!$D$32)-'계산 과정'!$E$39*'계산 과정'!$E$32)/J1840,"")</x:f>
        <x:v>-0.24343124167635113</x:v>
      </x:c>
      <x:c r="M1840" s="17" t="n">
        <x:f>IF('계산 과정'!$L$6,IF(J1840&lt;=0,0,IF(AND(ABS(K1840)&lt;='계산 과정'!$D$11/2,ABS(L1840)&lt;='계산 과정'!$D$12/2),1,0)),"")</x:f>
        <x:v>1</x:v>
      </x:c>
      <x:c r="N1840" s="17" t="n">
        <x:f>IF('계산 과정'!$C$78,IF(AND(ISNUMBER(H1840),ISNUMBER(I1840),ABS(H1840-'계산 과정'!$C$88)&lt;='계산 과정'!$D$23/2,ABS(I1840-'계산 과정'!$C$89)&lt;='계산 과정'!$D$24/2),1,0),"")</x:f>
        <x:v>1</x:v>
      </x:c>
      <x:c r="O1840" s="4" t="n">
        <x:f>IF('계산 과정'!$L$7,'계산 과정'!$C$49*('계산 과정'!$C$32-D1840)+'계산 과정'!$D$49*('계산 과정'!$D$32-E1840)+'계산 과정'!$E$49*'계산 과정'!$E$32,"")</x:f>
        <x:v>-99.08295212993102</x:v>
      </x:c>
      <x:c r="P1840" s="4" t="n">
        <x:f>IF(AND('계산 과정'!$L$7,O1840&lt;&gt;0),('계산 과정'!$L$23-'계산 과정'!$C$49*D1840-'계산 과정'!$D$49*E1840)/O1840,"")</x:f>
        <x:v>-3.037021418936586</x:v>
      </x:c>
      <x:c r="Q1840" s="4" t="str">
        <x:f>IF(AND(ISNUMBER(P1840),P1840&gt;1E-9,P1840&lt;1-1E-9),'계산 과정'!$C$47*(D1840-'계산 과정'!$C$50+P1840*('계산 과정'!$C$32-D1840))+'계산 과정'!$D$47*(E1840-'계산 과정'!$D$50+P1840*('계산 과정'!$D$32-E1840))+'계산 과정'!$E$47*(0-'계산 과정'!$E$50+P1840*('계산 과정'!$E$32-0)),"")</x:f>
      </x:c>
      <x:c r="R1840" s="4" t="str">
        <x:f>IF(AND(ISNUMBER(P1840),P1840&gt;1E-9,P1840&lt;1-1E-9),'계산 과정'!$C$48*(D1840-'계산 과정'!$C$50+P1840*('계산 과정'!$C$32-D1840))+'계산 과정'!$D$48*(E1840-'계산 과정'!$D$50+P1840*('계산 과정'!$D$32-E1840))+'계산 과정'!$E$48*(0-'계산 과정'!$E$50+P1840*('계산 과정'!$E$32-0)),"")</x:f>
      </x:c>
      <x:c r="S1840" s="17" t="n">
        <x:f>IF('계산 과정'!$C$78,IF(AND(ISNUMBER(Q1840),ISNUMBER(R1840),ABS(Q1840-'계산 과정'!$C$88)&lt;='계산 과정'!$D$23/2,ABS(R1840-'계산 과정'!$C$89)&lt;='계산 과정'!$D$24/2),1,0),"")</x:f>
        <x:v>0</x:v>
      </x:c>
      <x:c r="T1840" s="4"/>
      <x:c r="U1840" s="4"/>
      <x:c r="V1840" s="4"/>
      <x:c r="W1840" s="4"/>
      <x:c r="X1840" s="4"/>
      <x:c r="Y1840" s="4"/>
      <x:c r="Z1840" s="4"/>
    </x:row>
    <x:row r="1841" ht="23" customHeight="1">
      <x:c r="A1841" s="17" t="n">
        <x:f>ROW()-6</x:f>
        <x:v>1835</x:v>
      </x:c>
      <x:c r="B1841" s="4" t="n">
        <x:f>IF('계산 과정'!$L$5,'계산 과정'!$L$11*SQRT((A1841+0.5)/'계산 과정'!$L$30),"")</x:f>
        <x:v>142.0049480596979</x:v>
      </x:c>
      <x:c r="C1841" s="4" t="n">
        <x:f>A1841*PI()*(3-SQRT(5))</x:f>
        <x:v>4403.932526552077</x:v>
      </x:c>
      <x:c r="D1841" s="4" t="n">
        <x:f>IF('계산 과정'!$L$5,B1841*COS(C1841),"")</x:f>
        <x:v>118.75273844635645</x:v>
      </x:c>
      <x:c r="E1841" s="4" t="n">
        <x:f>IF('계산 과정'!$L$5,B1841*SIN(C1841),"")</x:f>
        <x:v>-77.86650361309898</x:v>
      </x:c>
      <x:c r="F1841" s="4" t="n">
        <x:f>IF('계산 과정'!$L$7,'계산 과정'!$L$22+'계산 과정'!$C$49*D1841+'계산 과정'!$D$49*E1841,"")</x:f>
        <x:v>566.029133360109</x:v>
      </x:c>
      <x:c r="G1841" s="4" t="n">
        <x:f>IF('계산 과정'!$L$7,IF(ABS(F1841)&gt;=1E-12*MAX(1,SQRT((D1841-'계산 과정'!$C$33)^2+(E1841-'계산 과정'!$D$33)^2+'계산 과정'!$E$33^2)),('계산 과정'!$L$23-'계산 과정'!$C$49*D1841-'계산 과정'!$D$49*E1841)/F1841,""),"")</x:f>
        <x:v>0.8550281922184874</x:v>
      </x:c>
      <x:c r="H1841" s="4" t="n">
        <x:f>IF(AND(ISNUMBER(G1841),G1841&gt;0),('계산 과정'!$D$56+'계산 과정'!$D$57*D1841+'계산 과정'!$D$58*E1841)/F1841,"")</x:f>
        <x:v>155.76832494201676</x:v>
      </x:c>
      <x:c r="I1841" s="4" t="n">
        <x:f>IF(AND(ISNUMBER(G1841),G1841&gt;0),('계산 과정'!$E$56+'계산 과정'!$E$57*D1841+'계산 과정'!$E$58*E1841)/F1841,"")</x:f>
        <x:v>-144.4445594317813</x:v>
      </x:c>
      <x:c r="J1841" s="4" t="n">
        <x:f>IF('계산 과정'!$L$5,'계산 과정'!$D$6+'계산 과정'!$C$35*D1841+'계산 과정'!$D$35*E1841,"")</x:f>
        <x:v>566.029133360109</x:v>
      </x:c>
      <x:c r="K1841" s="4" t="n">
        <x:f>IF(AND('계산 과정'!$L$6,J1841&gt;0),'계산 과정'!$D$10*('계산 과정'!$C$38*(D1841-'계산 과정'!$C$32)+'계산 과정'!$D$38*(E1841-'계산 과정'!$D$32)-'계산 과정'!$E$38*'계산 과정'!$E$32)/J1841,"")</x:f>
        <x:v>1.1868062852725092</x:v>
      </x:c>
      <x:c r="L1841" s="4" t="n">
        <x:f>IF(AND('계산 과정'!$L$6,J1841&gt;0),'계산 과정'!$D$10*('계산 과정'!$C$39*(D1841-'계산 과정'!$C$32)+'계산 과정'!$D$39*(E1841-'계산 과정'!$D$32)-'계산 과정'!$E$39*'계산 과정'!$E$32)/J1841,"")</x:f>
        <x:v>-1.1005299766230958</x:v>
      </x:c>
      <x:c r="M1841" s="17" t="n">
        <x:f>IF('계산 과정'!$L$6,IF(J1841&lt;=0,0,IF(AND(ABS(K1841)&lt;='계산 과정'!$D$11/2,ABS(L1841)&lt;='계산 과정'!$D$12/2),1,0)),"")</x:f>
        <x:v>1</x:v>
      </x:c>
      <x:c r="N1841" s="17" t="n">
        <x:f>IF('계산 과정'!$C$78,IF(AND(ISNUMBER(H1841),ISNUMBER(I1841),ABS(H1841-'계산 과정'!$C$88)&lt;='계산 과정'!$D$23/2,ABS(I1841-'계산 과정'!$C$89)&lt;='계산 과정'!$D$24/2),1,0),"")</x:f>
        <x:v>1</x:v>
      </x:c>
      <x:c r="O1841" s="4" t="n">
        <x:f>IF('계산 과정'!$L$7,'계산 과정'!$C$49*('계산 과정'!$C$32-D1841)+'계산 과정'!$D$49*('계산 과정'!$D$32-E1841)+'계산 과정'!$E$49*'계산 과정'!$E$32,"")</x:f>
        <x:v>83.97086663989117</x:v>
      </x:c>
      <x:c r="P1841" s="4" t="n">
        <x:f>IF(AND('계산 과정'!$L$7,O1841&lt;&gt;0),('계산 과정'!$L$23-'계산 과정'!$C$49*D1841-'계산 과정'!$D$49*E1841)/O1841,"")</x:f>
        <x:v>5.763556885930436</x:v>
      </x:c>
      <x:c r="Q1841" s="4" t="str">
        <x:f>IF(AND(ISNUMBER(P1841),P1841&gt;1E-9,P1841&lt;1-1E-9),'계산 과정'!$C$47*(D1841-'계산 과정'!$C$50+P1841*('계산 과정'!$C$32-D1841))+'계산 과정'!$D$47*(E1841-'계산 과정'!$D$50+P1841*('계산 과정'!$D$32-E1841))+'계산 과정'!$E$47*(0-'계산 과정'!$E$50+P1841*('계산 과정'!$E$32-0)),"")</x:f>
      </x:c>
      <x:c r="R1841" s="4" t="str">
        <x:f>IF(AND(ISNUMBER(P1841),P1841&gt;1E-9,P1841&lt;1-1E-9),'계산 과정'!$C$48*(D1841-'계산 과정'!$C$50+P1841*('계산 과정'!$C$32-D1841))+'계산 과정'!$D$48*(E1841-'계산 과정'!$D$50+P1841*('계산 과정'!$D$32-E1841))+'계산 과정'!$E$48*(0-'계산 과정'!$E$50+P1841*('계산 과정'!$E$32-0)),"")</x:f>
      </x:c>
      <x:c r="S1841" s="17" t="n">
        <x:f>IF('계산 과정'!$C$78,IF(AND(ISNUMBER(Q1841),ISNUMBER(R1841),ABS(Q1841-'계산 과정'!$C$88)&lt;='계산 과정'!$D$23/2,ABS(R1841-'계산 과정'!$C$89)&lt;='계산 과정'!$D$24/2),1,0),"")</x:f>
        <x:v>0</x:v>
      </x:c>
      <x:c r="T1841" s="4"/>
      <x:c r="U1841" s="4"/>
      <x:c r="V1841" s="4"/>
      <x:c r="W1841" s="4"/>
      <x:c r="X1841" s="4"/>
      <x:c r="Y1841" s="4"/>
      <x:c r="Z1841" s="4"/>
    </x:row>
    <x:row r="1842" ht="23" customHeight="1">
      <x:c r="A1842" s="17" t="n">
        <x:f>ROW()-6</x:f>
        <x:v>1836</x:v>
      </x:c>
      <x:c r="B1842" s="4" t="n">
        <x:f>IF('계산 과정'!$L$5,'계산 과정'!$L$11*SQRT((A1842+0.5)/'계산 과정'!$L$30),"")</x:f>
        <x:v>142.043625698454</x:v>
      </x:c>
      <x:c r="C1842" s="4" t="n">
        <x:f>A1842*PI()*(3-SQRT(5))</x:f>
        <x:v>4406.3324897818065</x:v>
      </x:c>
      <x:c r="D1842" s="4" t="n">
        <x:f>IF('계산 과정'!$L$5,B1842*COS(C1842),"")</x:f>
        <x:v>-34.97602984421388</x:v>
      </x:c>
      <x:c r="E1842" s="4" t="n">
        <x:f>IF('계산 과정'!$L$5,B1842*SIN(C1842),"")</x:f>
        <x:v>137.67014541250097</x:v>
      </x:c>
      <x:c r="F1842" s="4" t="n">
        <x:f>IF('계산 과정'!$L$7,'계산 과정'!$L$22+'계산 과정'!$C$49*D1842+'계산 과정'!$D$49*E1842,"")</x:f>
        <x:v>674.7317878818267</x:v>
      </x:c>
      <x:c r="G1842" s="4" t="n">
        <x:f>IF('계산 과정'!$L$7,IF(ABS(F1842)&gt;=1E-12*MAX(1,SQRT((D1842-'계산 과정'!$C$33)^2+(E1842-'계산 과정'!$D$33)^2+'계산 과정'!$E$33^2)),('계산 과정'!$L$23-'계산 과정'!$C$49*D1842-'계산 과정'!$D$49*E1842)/F1842,""),"")</x:f>
        <x:v>0.5561739032575389</x:v>
      </x:c>
      <x:c r="H1842" s="4" t="n">
        <x:f>IF(AND(ISNUMBER(G1842),G1842&gt;0),('계산 과정'!$D$56+'계산 과정'!$D$57*D1842+'계산 과정'!$D$58*E1842)/F1842,"")</x:f>
        <x:v>-38.486962882599876</x:v>
      </x:c>
      <x:c r="I1842" s="4" t="n">
        <x:f>IF(AND(ISNUMBER(G1842),G1842&gt;0),('계산 과정'!$E$56+'계산 과정'!$E$57*D1842+'계산 과정'!$E$58*E1842)/F1842,"")</x:f>
        <x:v>214.2386875486046</x:v>
      </x:c>
      <x:c r="J1842" s="4" t="n">
        <x:f>IF('계산 과정'!$L$5,'계산 과정'!$D$6+'계산 과정'!$C$35*D1842+'계산 과정'!$D$35*E1842,"")</x:f>
        <x:v>674.7317878818267</x:v>
      </x:c>
      <x:c r="K1842" s="4" t="n">
        <x:f>IF(AND('계산 과정'!$L$6,J1842&gt;0),'계산 과정'!$D$10*('계산 과정'!$C$38*(D1842-'계산 과정'!$C$32)+'계산 과정'!$D$38*(E1842-'계산 과정'!$D$32)-'계산 과정'!$E$38*'계산 과정'!$E$32)/J1842,"")</x:f>
        <x:v>-0.2932340029150455</x:v>
      </x:c>
      <x:c r="L1842" s="4" t="n">
        <x:f>IF(AND('계산 과정'!$L$6,J1842&gt;0),'계산 과정'!$D$10*('계산 과정'!$C$39*(D1842-'계산 과정'!$C$32)+'계산 과정'!$D$39*(E1842-'계산 과정'!$D$32)-'계산 과정'!$E$39*'계산 과정'!$E$32)/J1842,"")</x:f>
        <x:v>1.6322947622750827</x:v>
      </x:c>
      <x:c r="M1842" s="17" t="n">
        <x:f>IF('계산 과정'!$L$6,IF(J1842&lt;=0,0,IF(AND(ABS(K1842)&lt;='계산 과정'!$D$11/2,ABS(L1842)&lt;='계산 과정'!$D$12/2),1,0)),"")</x:f>
        <x:v>1</x:v>
      </x:c>
      <x:c r="N1842" s="17" t="n">
        <x:f>IF('계산 과정'!$C$78,IF(AND(ISNUMBER(H1842),ISNUMBER(I1842),ABS(H1842-'계산 과정'!$C$88)&lt;='계산 과정'!$D$23/2,ABS(I1842-'계산 과정'!$C$89)&lt;='계산 과정'!$D$24/2),1,0),"")</x:f>
        <x:v>1</x:v>
      </x:c>
      <x:c r="O1842" s="4" t="n">
        <x:f>IF('계산 과정'!$L$7,'계산 과정'!$C$49*('계산 과정'!$C$32-D1842)+'계산 과정'!$D$49*('계산 과정'!$D$32-E1842)+'계산 과정'!$E$49*'계산 과정'!$E$32,"")</x:f>
        <x:v>-24.731787881826563</x:v>
      </x:c>
      <x:c r="P1842" s="4" t="n">
        <x:f>IF(AND('계산 과정'!$L$7,O1842&lt;&gt;0),('계산 과정'!$L$23-'계산 과정'!$C$49*D1842-'계산 과정'!$D$49*E1842)/O1842,"")</x:f>
        <x:v>-15.173517333695406</x:v>
      </x:c>
      <x:c r="Q1842" s="4" t="str">
        <x:f>IF(AND(ISNUMBER(P1842),P1842&gt;1E-9,P1842&lt;1-1E-9),'계산 과정'!$C$47*(D1842-'계산 과정'!$C$50+P1842*('계산 과정'!$C$32-D1842))+'계산 과정'!$D$47*(E1842-'계산 과정'!$D$50+P1842*('계산 과정'!$D$32-E1842))+'계산 과정'!$E$47*(0-'계산 과정'!$E$50+P1842*('계산 과정'!$E$32-0)),"")</x:f>
      </x:c>
      <x:c r="R1842" s="4" t="str">
        <x:f>IF(AND(ISNUMBER(P1842),P1842&gt;1E-9,P1842&lt;1-1E-9),'계산 과정'!$C$48*(D1842-'계산 과정'!$C$50+P1842*('계산 과정'!$C$32-D1842))+'계산 과정'!$D$48*(E1842-'계산 과정'!$D$50+P1842*('계산 과정'!$D$32-E1842))+'계산 과정'!$E$48*(0-'계산 과정'!$E$50+P1842*('계산 과정'!$E$32-0)),"")</x:f>
      </x:c>
      <x:c r="S1842" s="17" t="n">
        <x:f>IF('계산 과정'!$C$78,IF(AND(ISNUMBER(Q1842),ISNUMBER(R1842),ABS(Q1842-'계산 과정'!$C$88)&lt;='계산 과정'!$D$23/2,ABS(R1842-'계산 과정'!$C$89)&lt;='계산 과정'!$D$24/2),1,0),"")</x:f>
        <x:v>0</x:v>
      </x:c>
      <x:c r="T1842" s="4"/>
      <x:c r="U1842" s="4"/>
      <x:c r="V1842" s="4"/>
      <x:c r="W1842" s="4"/>
      <x:c r="X1842" s="4"/>
      <x:c r="Y1842" s="4"/>
      <x:c r="Z1842" s="4"/>
    </x:row>
    <x:row r="1843" ht="23" customHeight="1">
      <x:c r="A1843" s="17" t="n">
        <x:f>ROW()-6</x:f>
        <x:v>1837</x:v>
      </x:c>
      <x:c r="B1843" s="4" t="n">
        <x:f>IF('계산 과정'!$L$5,'계산 과정'!$L$11*SQRT((A1843+0.5)/'계산 과정'!$L$30),"")</x:f>
        <x:v>142.08229280838447</x:v>
      </x:c>
      <x:c r="C1843" s="4" t="n">
        <x:f>A1843*PI()*(3-SQRT(5))</x:f>
        <x:v>4408.732453011536</x:v>
      </x:c>
      <x:c r="D1843" s="4" t="n">
        <x:f>IF('계산 과정'!$L$5,B1843*COS(C1843),"")</x:f>
        <x:v>-67.22290558627407</x:v>
      </x:c>
      <x:c r="E1843" s="4" t="n">
        <x:f>IF('계산 과정'!$L$5,B1843*SIN(C1843),"")</x:f>
        <x:v>-125.17371486948201</x:v>
      </x:c>
      <x:c r="F1843" s="4" t="n">
        <x:f>IF('계산 과정'!$L$7,'계산 과정'!$L$22+'계산 과정'!$C$49*D1843+'계산 과정'!$D$49*E1843,"")</x:f>
        <x:v>697.5337723911174</x:v>
      </x:c>
      <x:c r="G1843" s="4" t="n">
        <x:f>IF('계산 과정'!$L$7,IF(ABS(F1843)&gt;=1E-12*MAX(1,SQRT((D1843-'계산 과정'!$C$33)^2+(E1843-'계산 과정'!$D$33)^2+'계산 과정'!$E$33^2)),('계산 과정'!$L$23-'계산 과정'!$C$49*D1843-'계산 과정'!$D$49*E1843)/F1843,""),"")</x:f>
        <x:v>0.5053034584987085</x:v>
      </x:c>
      <x:c r="H1843" s="4" t="n">
        <x:f>IF(AND(ISNUMBER(G1843),G1843&gt;0),('계산 과정'!$D$56+'계산 과정'!$D$57*D1843+'계산 과정'!$D$58*E1843)/F1843,"")</x:f>
        <x:v>-71.55275197583963</x:v>
      </x:c>
      <x:c r="I1843" s="4" t="n">
        <x:f>IF(AND(ISNUMBER(G1843),G1843&gt;0),('계산 과정'!$E$56+'계산 과정'!$E$57*D1843+'계산 과정'!$E$58*E1843)/F1843,"")</x:f>
        <x:v>-188.4244259061625</x:v>
      </x:c>
      <x:c r="J1843" s="4" t="n">
        <x:f>IF('계산 과정'!$L$5,'계산 과정'!$D$6+'계산 과정'!$C$35*D1843+'계산 과정'!$D$35*E1843,"")</x:f>
        <x:v>697.5337723911174</x:v>
      </x:c>
      <x:c r="K1843" s="4" t="n">
        <x:f>IF(AND('계산 과정'!$L$6,J1843&gt;0),'계산 과정'!$D$10*('계산 과정'!$C$38*(D1843-'계산 과정'!$C$32)+'계산 과정'!$D$38*(E1843-'계산 과정'!$D$32)-'계산 과정'!$E$38*'계산 과정'!$E$32)/J1843,"")</x:f>
        <x:v>-0.545163824577825</x:v>
      </x:c>
      <x:c r="L1843" s="4" t="n">
        <x:f>IF(AND('계산 과정'!$L$6,J1843&gt;0),'계산 과정'!$D$10*('계산 과정'!$C$39*(D1843-'계산 과정'!$C$32)+'계산 과정'!$D$39*(E1843-'계산 과정'!$D$32)-'계산 과정'!$E$39*'계산 과정'!$E$32)/J1843,"")</x:f>
        <x:v>-1.4356146735707618</x:v>
      </x:c>
      <x:c r="M1843" s="17" t="n">
        <x:f>IF('계산 과정'!$L$6,IF(J1843&lt;=0,0,IF(AND(ABS(K1843)&lt;='계산 과정'!$D$11/2,ABS(L1843)&lt;='계산 과정'!$D$12/2),1,0)),"")</x:f>
        <x:v>1</x:v>
      </x:c>
      <x:c r="N1843" s="17" t="n">
        <x:f>IF('계산 과정'!$C$78,IF(AND(ISNUMBER(H1843),ISNUMBER(I1843),ABS(H1843-'계산 과정'!$C$88)&lt;='계산 과정'!$D$23/2,ABS(I1843-'계산 과정'!$C$89)&lt;='계산 과정'!$D$24/2),1,0),"")</x:f>
        <x:v>1</x:v>
      </x:c>
      <x:c r="O1843" s="4" t="n">
        <x:f>IF('계산 과정'!$L$7,'계산 과정'!$C$49*('계산 과정'!$C$32-D1843)+'계산 과정'!$D$49*('계산 과정'!$D$32-E1843)+'계산 과정'!$E$49*'계산 과정'!$E$32,"")</x:f>
        <x:v>-47.53377239111734</x:v>
      </x:c>
      <x:c r="P1843" s="4" t="n">
        <x:f>IF(AND('계산 과정'!$L$7,O1843&lt;&gt;0),('계산 과정'!$L$23-'계산 과정'!$C$49*D1843-'계산 과정'!$D$49*E1843)/O1843,"")</x:f>
        <x:v>-7.415069536428127</x:v>
      </x:c>
      <x:c r="Q1843" s="4" t="str">
        <x:f>IF(AND(ISNUMBER(P1843),P1843&gt;1E-9,P1843&lt;1-1E-9),'계산 과정'!$C$47*(D1843-'계산 과정'!$C$50+P1843*('계산 과정'!$C$32-D1843))+'계산 과정'!$D$47*(E1843-'계산 과정'!$D$50+P1843*('계산 과정'!$D$32-E1843))+'계산 과정'!$E$47*(0-'계산 과정'!$E$50+P1843*('계산 과정'!$E$32-0)),"")</x:f>
      </x:c>
      <x:c r="R1843" s="4" t="str">
        <x:f>IF(AND(ISNUMBER(P1843),P1843&gt;1E-9,P1843&lt;1-1E-9),'계산 과정'!$C$48*(D1843-'계산 과정'!$C$50+P1843*('계산 과정'!$C$32-D1843))+'계산 과정'!$D$48*(E1843-'계산 과정'!$D$50+P1843*('계산 과정'!$D$32-E1843))+'계산 과정'!$E$48*(0-'계산 과정'!$E$50+P1843*('계산 과정'!$E$32-0)),"")</x:f>
      </x:c>
      <x:c r="S1843" s="17" t="n">
        <x:f>IF('계산 과정'!$C$78,IF(AND(ISNUMBER(Q1843),ISNUMBER(R1843),ABS(Q1843-'계산 과정'!$C$88)&lt;='계산 과정'!$D$23/2,ABS(R1843-'계산 과정'!$C$89)&lt;='계산 과정'!$D$24/2),1,0),"")</x:f>
        <x:v>0</x:v>
      </x:c>
      <x:c r="T1843" s="4"/>
      <x:c r="U1843" s="4"/>
      <x:c r="V1843" s="4"/>
      <x:c r="W1843" s="4"/>
      <x:c r="X1843" s="4"/>
      <x:c r="Y1843" s="4"/>
      <x:c r="Z1843" s="4"/>
    </x:row>
    <x:row r="1844" ht="23" customHeight="1">
      <x:c r="A1844" s="17" t="n">
        <x:f>ROW()-6</x:f>
        <x:v>1838</x:v>
      </x:c>
      <x:c r="B1844" s="4" t="n">
        <x:f>IF('계산 과정'!$L$5,'계산 과정'!$L$11*SQRT((A1844+0.5)/'계산 과정'!$L$30),"")</x:f>
        <x:v>142.12094939808313</x:v>
      </x:c>
      <x:c r="C1844" s="4" t="n">
        <x:f>A1844*PI()*(3-SQRT(5))</x:f>
        <x:v>4411.132416241264</x:v>
      </x:c>
      <x:c r="D1844" s="4" t="n">
        <x:f>IF('계산 과정'!$L$5,B1844*COS(C1844),"")</x:f>
        <x:v>134.1581987031278</x:v>
      </x:c>
      <x:c r="E1844" s="4" t="n">
        <x:f>IF('계산 과정'!$L$5,B1844*SIN(C1844),"")</x:f>
        <x:v>46.90353908336323</x:v>
      </x:c>
      <x:c r="F1844" s="4" t="n">
        <x:f>IF('계산 과정'!$L$7,'계산 과정'!$L$22+'계산 과정'!$C$49*D1844+'계산 과정'!$D$49*E1844,"")</x:f>
        <x:v>555.1358279452461</x:v>
      </x:c>
      <x:c r="G1844" s="4" t="n">
        <x:f>IF('계산 과정'!$L$7,IF(ABS(F1844)&gt;=1E-12*MAX(1,SQRT((D1844-'계산 과정'!$C$33)^2+(E1844-'계산 과정'!$D$33)^2+'계산 과정'!$E$33^2)),('계산 과정'!$L$23-'계산 과정'!$C$49*D1844-'계산 과정'!$D$49*E1844)/F1844,""),"")</x:f>
        <x:v>0.8914289929483044</x:v>
      </x:c>
      <x:c r="H1844" s="4" t="n">
        <x:f>IF(AND(ISNUMBER(G1844),G1844&gt;0),('계산 과정'!$D$56+'계산 과정'!$D$57*D1844+'계산 과정'!$D$58*E1844)/F1844,"")</x:f>
        <x:v>179.42884541639785</x:v>
      </x:c>
      <x:c r="I1844" s="4" t="n">
        <x:f>IF(AND(ISNUMBER(G1844),G1844&gt;0),('계산 과정'!$E$56+'계산 과정'!$E$57*D1844+'계산 과정'!$E$58*E1844)/F1844,"")</x:f>
        <x:v>88.71471369415715</x:v>
      </x:c>
      <x:c r="J1844" s="4" t="n">
        <x:f>IF('계산 과정'!$L$5,'계산 과정'!$D$6+'계산 과정'!$C$35*D1844+'계산 과정'!$D$35*E1844,"")</x:f>
        <x:v>555.1358279452461</x:v>
      </x:c>
      <x:c r="K1844" s="4" t="n">
        <x:f>IF(AND('계산 과정'!$L$6,J1844&gt;0),'계산 과정'!$D$10*('계산 과정'!$C$38*(D1844-'계산 과정'!$C$32)+'계산 과정'!$D$38*(E1844-'계산 과정'!$D$32)-'계산 과정'!$E$38*'계산 과정'!$E$32)/J1844,"")</x:f>
        <x:v>1.3670769174582706</x:v>
      </x:c>
      <x:c r="L1844" s="4" t="n">
        <x:f>IF(AND('계산 과정'!$L$6,J1844&gt;0),'계산 과정'!$D$10*('계산 과정'!$C$39*(D1844-'계산 과정'!$C$32)+'계산 과정'!$D$39*(E1844-'계산 과정'!$D$32)-'계산 과정'!$E$39*'계산 과정'!$E$32)/J1844,"")</x:f>
        <x:v>0.6759216281459592</x:v>
      </x:c>
      <x:c r="M1844" s="17" t="n">
        <x:f>IF('계산 과정'!$L$6,IF(J1844&lt;=0,0,IF(AND(ABS(K1844)&lt;='계산 과정'!$D$11/2,ABS(L1844)&lt;='계산 과정'!$D$12/2),1,0)),"")</x:f>
        <x:v>1</x:v>
      </x:c>
      <x:c r="N1844" s="17" t="n">
        <x:f>IF('계산 과정'!$C$78,IF(AND(ISNUMBER(H1844),ISNUMBER(I1844),ABS(H1844-'계산 과정'!$C$88)&lt;='계산 과정'!$D$23/2,ABS(I1844-'계산 과정'!$C$89)&lt;='계산 과정'!$D$24/2),1,0),"")</x:f>
        <x:v>1</x:v>
      </x:c>
      <x:c r="O1844" s="4" t="n">
        <x:f>IF('계산 과정'!$L$7,'계산 과정'!$C$49*('계산 과정'!$C$32-D1844)+'계산 과정'!$D$49*('계산 과정'!$D$32-E1844)+'계산 과정'!$E$49*'계산 과정'!$E$32,"")</x:f>
        <x:v>94.86417205475408</x:v>
      </x:c>
      <x:c r="P1844" s="4" t="n">
        <x:f>IF(AND('계산 과정'!$L$7,O1844&lt;&gt;0),('계산 과정'!$L$23-'계산 과정'!$C$49*D1844-'계산 과정'!$D$49*E1844)/O1844,"")</x:f>
        <x:v>5.216555010558952</x:v>
      </x:c>
      <x:c r="Q1844" s="4" t="str">
        <x:f>IF(AND(ISNUMBER(P1844),P1844&gt;1E-9,P1844&lt;1-1E-9),'계산 과정'!$C$47*(D1844-'계산 과정'!$C$50+P1844*('계산 과정'!$C$32-D1844))+'계산 과정'!$D$47*(E1844-'계산 과정'!$D$50+P1844*('계산 과정'!$D$32-E1844))+'계산 과정'!$E$47*(0-'계산 과정'!$E$50+P1844*('계산 과정'!$E$32-0)),"")</x:f>
      </x:c>
      <x:c r="R1844" s="4" t="str">
        <x:f>IF(AND(ISNUMBER(P1844),P1844&gt;1E-9,P1844&lt;1-1E-9),'계산 과정'!$C$48*(D1844-'계산 과정'!$C$50+P1844*('계산 과정'!$C$32-D1844))+'계산 과정'!$D$48*(E1844-'계산 과정'!$D$50+P1844*('계산 과정'!$D$32-E1844))+'계산 과정'!$E$48*(0-'계산 과정'!$E$50+P1844*('계산 과정'!$E$32-0)),"")</x:f>
      </x:c>
      <x:c r="S1844" s="17" t="n">
        <x:f>IF('계산 과정'!$C$78,IF(AND(ISNUMBER(Q1844),ISNUMBER(R1844),ABS(Q1844-'계산 과정'!$C$88)&lt;='계산 과정'!$D$23/2,ABS(R1844-'계산 과정'!$C$89)&lt;='계산 과정'!$D$24/2),1,0),"")</x:f>
        <x:v>0</x:v>
      </x:c>
      <x:c r="T1844" s="4"/>
      <x:c r="U1844" s="4"/>
      <x:c r="V1844" s="4"/>
      <x:c r="W1844" s="4"/>
      <x:c r="X1844" s="4"/>
      <x:c r="Y1844" s="4"/>
      <x:c r="Z1844" s="4"/>
    </x:row>
    <x:row r="1845" ht="23" customHeight="1">
      <x:c r="A1845" s="17" t="n">
        <x:f>ROW()-6</x:f>
        <x:v>1839</x:v>
      </x:c>
      <x:c r="B1845" s="4" t="n">
        <x:f>IF('계산 과정'!$L$5,'계산 과정'!$L$11*SQRT((A1845+0.5)/'계산 과정'!$L$30),"")</x:f>
        <x:v>142.15959547613204</x:v>
      </x:c>
      <x:c r="C1845" s="4" t="n">
        <x:f>A1845*PI()*(3-SQRT(5))</x:f>
        <x:v>4413.532379470993</x:v>
      </x:c>
      <x:c r="D1845" s="4" t="n">
        <x:f>IF('계산 과정'!$L$5,B1845*COS(C1845),"")</x:f>
        <x:v>-130.64248103122083</x:v>
      </x:c>
      <x:c r="E1845" s="4" t="n">
        <x:f>IF('계산 과정'!$L$5,B1845*SIN(C1845),"")</x:f>
        <x:v>56.052589020888306</x:v>
      </x:c>
      <x:c r="F1845" s="4" t="n">
        <x:f>IF('계산 과정'!$L$7,'계산 과정'!$L$22+'계산 과정'!$C$49*D1845+'계산 과정'!$D$49*E1845,"")</x:f>
        <x:v>742.3781842482111</x:v>
      </x:c>
      <x:c r="G1845" s="4" t="n">
        <x:f>IF('계산 과정'!$L$7,IF(ABS(F1845)&gt;=1E-12*MAX(1,SQRT((D1845-'계산 과정'!$C$33)^2+(E1845-'계산 과정'!$D$33)^2+'계산 과정'!$E$33^2)),('계산 과정'!$L$23-'계산 과정'!$C$49*D1845-'계산 과정'!$D$49*E1845)/F1845,""),"")</x:f>
        <x:v>0.4143734585402859</x:v>
      </x:c>
      <x:c r="H1845" s="4" t="n">
        <x:f>IF(AND(ISNUMBER(G1845),G1845&gt;0),('계산 과정'!$D$56+'계산 과정'!$D$57*D1845+'계산 과정'!$D$58*E1845)/F1845,"")</x:f>
        <x:v>-130.6572519488143</x:v>
      </x:c>
      <x:c r="I1845" s="4" t="n">
        <x:f>IF(AND(ISNUMBER(G1845),G1845&gt;0),('계산 과정'!$E$56+'계산 과정'!$E$57*D1845+'계산 과정'!$E$58*E1845)/F1845,"")</x:f>
        <x:v>79.27929419361105</x:v>
      </x:c>
      <x:c r="J1845" s="4" t="n">
        <x:f>IF('계산 과정'!$L$5,'계산 과정'!$D$6+'계산 과정'!$C$35*D1845+'계산 과정'!$D$35*E1845,"")</x:f>
        <x:v>742.3781842482111</x:v>
      </x:c>
      <x:c r="K1845" s="4" t="n">
        <x:f>IF(AND('계산 과정'!$L$6,J1845&gt;0),'계산 과정'!$D$10*('계산 과정'!$C$38*(D1845-'계산 과정'!$C$32)+'계산 과정'!$D$38*(E1845-'계산 과정'!$D$32)-'계산 과정'!$E$38*'계산 과정'!$E$32)/J1845,"")</x:f>
        <x:v>-0.995483824371918</x:v>
      </x:c>
      <x:c r="L1845" s="4" t="n">
        <x:f>IF(AND('계산 과정'!$L$6,J1845&gt;0),'계산 과정'!$D$10*('계산 과정'!$C$39*(D1845-'계산 과정'!$C$32)+'계산 과정'!$D$39*(E1845-'계산 과정'!$D$32)-'계산 과정'!$E$39*'계산 과정'!$E$32)/J1845,"")</x:f>
        <x:v>0.6040327176656081</x:v>
      </x:c>
      <x:c r="M1845" s="17" t="n">
        <x:f>IF('계산 과정'!$L$6,IF(J1845&lt;=0,0,IF(AND(ABS(K1845)&lt;='계산 과정'!$D$11/2,ABS(L1845)&lt;='계산 과정'!$D$12/2),1,0)),"")</x:f>
        <x:v>1</x:v>
      </x:c>
      <x:c r="N1845" s="17" t="n">
        <x:f>IF('계산 과정'!$C$78,IF(AND(ISNUMBER(H1845),ISNUMBER(I1845),ABS(H1845-'계산 과정'!$C$88)&lt;='계산 과정'!$D$23/2,ABS(I1845-'계산 과정'!$C$89)&lt;='계산 과정'!$D$24/2),1,0),"")</x:f>
        <x:v>1</x:v>
      </x:c>
      <x:c r="O1845" s="4" t="n">
        <x:f>IF('계산 과정'!$L$7,'계산 과정'!$C$49*('계산 과정'!$C$32-D1845)+'계산 과정'!$D$49*('계산 과정'!$D$32-E1845)+'계산 과정'!$E$49*'계산 과정'!$E$32,"")</x:f>
        <x:v>-92.37818424821108</x:v>
      </x:c>
      <x:c r="P1845" s="4" t="n">
        <x:f>IF(AND('계산 과정'!$L$7,O1845&lt;&gt;0),('계산 과정'!$L$23-'계산 과정'!$C$49*D1845-'계산 과정'!$D$49*E1845)/O1845,"")</x:f>
        <x:v>-3.3300266535358536</x:v>
      </x:c>
      <x:c r="Q1845" s="4" t="str">
        <x:f>IF(AND(ISNUMBER(P1845),P1845&gt;1E-9,P1845&lt;1-1E-9),'계산 과정'!$C$47*(D1845-'계산 과정'!$C$50+P1845*('계산 과정'!$C$32-D1845))+'계산 과정'!$D$47*(E1845-'계산 과정'!$D$50+P1845*('계산 과정'!$D$32-E1845))+'계산 과정'!$E$47*(0-'계산 과정'!$E$50+P1845*('계산 과정'!$E$32-0)),"")</x:f>
      </x:c>
      <x:c r="R1845" s="4" t="str">
        <x:f>IF(AND(ISNUMBER(P1845),P1845&gt;1E-9,P1845&lt;1-1E-9),'계산 과정'!$C$48*(D1845-'계산 과정'!$C$50+P1845*('계산 과정'!$C$32-D1845))+'계산 과정'!$D$48*(E1845-'계산 과정'!$D$50+P1845*('계산 과정'!$D$32-E1845))+'계산 과정'!$E$48*(0-'계산 과정'!$E$50+P1845*('계산 과정'!$E$32-0)),"")</x:f>
      </x:c>
      <x:c r="S1845" s="17" t="n">
        <x:f>IF('계산 과정'!$C$78,IF(AND(ISNUMBER(Q1845),ISNUMBER(R1845),ABS(Q1845-'계산 과정'!$C$88)&lt;='계산 과정'!$D$23/2,ABS(R1845-'계산 과정'!$C$89)&lt;='계산 과정'!$D$24/2),1,0),"")</x:f>
        <x:v>0</x:v>
      </x:c>
      <x:c r="T1845" s="4"/>
      <x:c r="U1845" s="4"/>
      <x:c r="V1845" s="4"/>
      <x:c r="W1845" s="4"/>
      <x:c r="X1845" s="4"/>
      <x:c r="Y1845" s="4"/>
      <x:c r="Z1845" s="4"/>
    </x:row>
    <x:row r="1846" ht="23" customHeight="1">
      <x:c r="A1846" s="17" t="n">
        <x:f>ROW()-6</x:f>
        <x:v>1840</x:v>
      </x:c>
      <x:c r="B1846" s="4" t="n">
        <x:f>IF('계산 과정'!$L$5,'계산 과정'!$L$11*SQRT((A1846+0.5)/'계산 과정'!$L$30),"")</x:f>
        <x:v>142.1982310511017</x:v>
      </x:c>
      <x:c r="C1846" s="4" t="n">
        <x:f>A1846*PI()*(3-SQRT(5))</x:f>
        <x:v>4415.932342700721</x:v>
      </x:c>
      <x:c r="D1846" s="4" t="n">
        <x:f>IF('계산 과정'!$L$5,B1846*COS(C1846),"")</x:f>
        <x:v>58.48461021385589</x:v>
      </x:c>
      <x:c r="E1846" s="4" t="n">
        <x:f>IF('계산 과정'!$L$5,B1846*SIN(C1846),"")</x:f>
        <x:v>-129.61437914905832</x:v>
      </x:c>
      <x:c r="F1846" s="4" t="n">
        <x:f>IF('계산 과정'!$L$7,'계산 과정'!$L$22+'계산 과정'!$C$49*D1846+'계산 과정'!$D$49*E1846,"")</x:f>
        <x:v>608.6451355227305</x:v>
      </x:c>
      <x:c r="G1846" s="4" t="n">
        <x:f>IF('계산 과정'!$L$7,IF(ABS(F1846)&gt;=1E-12*MAX(1,SQRT((D1846-'계산 과정'!$C$33)^2+(E1846-'계산 과정'!$D$33)^2+'계산 과정'!$E$33^2)),('계산 과정'!$L$23-'계산 과정'!$C$49*D1846-'계산 과정'!$D$49*E1846)/F1846,""),"")</x:f>
        <x:v>0.7251431724632369</x:v>
      </x:c>
      <x:c r="H1846" s="4" t="n">
        <x:f>IF(AND(ISNUMBER(G1846),G1846&gt;0),('계산 과정'!$D$56+'계산 과정'!$D$57*D1846+'계산 과정'!$D$58*E1846)/F1846,"")</x:f>
        <x:v>71.34306210110385</x:v>
      </x:c>
      <x:c r="I1846" s="4" t="n">
        <x:f>IF(AND(ISNUMBER(G1846),G1846&gt;0),('계산 과정'!$E$56+'계산 과정'!$E$57*D1846+'계산 과정'!$E$58*E1846)/F1846,"")</x:f>
        <x:v>-223.6033612420593</x:v>
      </x:c>
      <x:c r="J1846" s="4" t="n">
        <x:f>IF('계산 과정'!$L$5,'계산 과정'!$D$6+'계산 과정'!$C$35*D1846+'계산 과정'!$D$35*E1846,"")</x:f>
        <x:v>608.6451355227305</x:v>
      </x:c>
      <x:c r="K1846" s="4" t="n">
        <x:f>IF(AND('계산 과정'!$L$6,J1846&gt;0),'계산 과정'!$D$10*('계산 과정'!$C$38*(D1846-'계산 과정'!$C$32)+'계산 과정'!$D$38*(E1846-'계산 과정'!$D$32)-'계산 과정'!$E$38*'계산 과정'!$E$32)/J1846,"")</x:f>
        <x:v>0.5435661874369827</x:v>
      </x:c>
      <x:c r="L1846" s="4" t="n">
        <x:f>IF(AND('계산 과정'!$L$6,J1846&gt;0),'계산 과정'!$D$10*('계산 과정'!$C$39*(D1846-'계산 과정'!$C$32)+'계산 과정'!$D$39*(E1846-'계산 과정'!$D$32)-'계산 과정'!$E$39*'계산 과정'!$E$32)/J1846,"")</x:f>
        <x:v>-1.7036446570823565</x:v>
      </x:c>
      <x:c r="M1846" s="17" t="n">
        <x:f>IF('계산 과정'!$L$6,IF(J1846&lt;=0,0,IF(AND(ABS(K1846)&lt;='계산 과정'!$D$11/2,ABS(L1846)&lt;='계산 과정'!$D$12/2),1,0)),"")</x:f>
        <x:v>1</x:v>
      </x:c>
      <x:c r="N1846" s="17" t="n">
        <x:f>IF('계산 과정'!$C$78,IF(AND(ISNUMBER(H1846),ISNUMBER(I1846),ABS(H1846-'계산 과정'!$C$88)&lt;='계산 과정'!$D$23/2,ABS(I1846-'계산 과정'!$C$89)&lt;='계산 과정'!$D$24/2),1,0),"")</x:f>
        <x:v>1</x:v>
      </x:c>
      <x:c r="O1846" s="4" t="n">
        <x:f>IF('계산 과정'!$L$7,'계산 과정'!$C$49*('계산 과정'!$C$32-D1846)+'계산 과정'!$D$49*('계산 과정'!$D$32-E1846)+'계산 과정'!$E$49*'계산 과정'!$E$32,"")</x:f>
        <x:v>41.35486447726964</x:v>
      </x:c>
      <x:c r="P1846" s="4" t="n">
        <x:f>IF(AND('계산 과정'!$L$7,O1846&lt;&gt;0),('계산 과정'!$L$23-'계산 과정'!$C$49*D1846-'계산 과정'!$D$49*E1846)/O1846,"")</x:f>
        <x:v>10.672380868757449</x:v>
      </x:c>
      <x:c r="Q1846" s="4" t="str">
        <x:f>IF(AND(ISNUMBER(P1846),P1846&gt;1E-9,P1846&lt;1-1E-9),'계산 과정'!$C$47*(D1846-'계산 과정'!$C$50+P1846*('계산 과정'!$C$32-D1846))+'계산 과정'!$D$47*(E1846-'계산 과정'!$D$50+P1846*('계산 과정'!$D$32-E1846))+'계산 과정'!$E$47*(0-'계산 과정'!$E$50+P1846*('계산 과정'!$E$32-0)),"")</x:f>
      </x:c>
      <x:c r="R1846" s="4" t="str">
        <x:f>IF(AND(ISNUMBER(P1846),P1846&gt;1E-9,P1846&lt;1-1E-9),'계산 과정'!$C$48*(D1846-'계산 과정'!$C$50+P1846*('계산 과정'!$C$32-D1846))+'계산 과정'!$D$48*(E1846-'계산 과정'!$D$50+P1846*('계산 과정'!$D$32-E1846))+'계산 과정'!$E$48*(0-'계산 과정'!$E$50+P1846*('계산 과정'!$E$32-0)),"")</x:f>
      </x:c>
      <x:c r="S1846" s="17" t="n">
        <x:f>IF('계산 과정'!$C$78,IF(AND(ISNUMBER(Q1846),ISNUMBER(R1846),ABS(Q1846-'계산 과정'!$C$88)&lt;='계산 과정'!$D$23/2,ABS(R1846-'계산 과정'!$C$89)&lt;='계산 과정'!$D$24/2),1,0),"")</x:f>
        <x:v>0</x:v>
      </x:c>
      <x:c r="T1846" s="4"/>
      <x:c r="U1846" s="4"/>
      <x:c r="V1846" s="4"/>
      <x:c r="W1846" s="4"/>
      <x:c r="X1846" s="4"/>
      <x:c r="Y1846" s="4"/>
      <x:c r="Z1846" s="4"/>
    </x:row>
    <x:row r="1847" ht="23" customHeight="1">
      <x:c r="A1847" s="17" t="n">
        <x:f>ROW()-6</x:f>
        <x:v>1841</x:v>
      </x:c>
      <x:c r="B1847" s="4" t="n">
        <x:f>IF('계산 과정'!$L$5,'계산 과정'!$L$11*SQRT((A1847+0.5)/'계산 과정'!$L$30),"")</x:f>
        <x:v>142.23685613155087</x:v>
      </x:c>
      <x:c r="C1847" s="4" t="n">
        <x:f>A1847*PI()*(3-SQRT(5))</x:f>
        <x:v>4418.33230593045</x:v>
      </x:c>
      <x:c r="D1847" s="4" t="n">
        <x:f>IF('계산 과정'!$L$5,B1847*COS(C1847),"")</x:f>
        <x:v>44.440591743197366</x:v>
      </x:c>
      <x:c r="E1847" s="4" t="n">
        <x:f>IF('계산 과정'!$L$5,B1847*SIN(C1847),"")</x:f>
        <x:v>135.11608730163096</x:v>
      </x:c>
      <x:c r="F1847" s="4" t="n">
        <x:f>IF('계산 과정'!$L$7,'계산 과정'!$L$22+'계산 과정'!$C$49*D1847+'계산 과정'!$D$49*E1847,"")</x:f>
        <x:v>618.5757562184423</x:v>
      </x:c>
      <x:c r="G1847" s="4" t="n">
        <x:f>IF('계산 과정'!$L$7,IF(ABS(F1847)&gt;=1E-12*MAX(1,SQRT((D1847-'계산 과정'!$C$33)^2+(E1847-'계산 과정'!$D$33)^2+'계산 과정'!$E$33^2)),('계산 과정'!$L$23-'계산 과정'!$C$49*D1847-'계산 과정'!$D$49*E1847)/F1847,""),"")</x:f>
        <x:v>0.6974477086185797</x:v>
      </x:c>
      <x:c r="H1847" s="4" t="n">
        <x:f>IF(AND(ISNUMBER(G1847),G1847&gt;0),('계산 과정'!$D$56+'계산 과정'!$D$57*D1847+'계산 과정'!$D$58*E1847)/F1847,"")</x:f>
        <x:v>53.34101060207675</x:v>
      </x:c>
      <x:c r="I1847" s="4" t="n">
        <x:f>IF(AND(ISNUMBER(G1847),G1847&gt;0),('계산 과정'!$E$56+'계산 과정'!$E$57*D1847+'계산 과정'!$E$58*E1847)/F1847,"")</x:f>
        <x:v>229.35249278766145</x:v>
      </x:c>
      <x:c r="J1847" s="4" t="n">
        <x:f>IF('계산 과정'!$L$5,'계산 과정'!$D$6+'계산 과정'!$C$35*D1847+'계산 과정'!$D$35*E1847,"")</x:f>
        <x:v>618.5757562184423</x:v>
      </x:c>
      <x:c r="K1847" s="4" t="n">
        <x:f>IF(AND('계산 과정'!$L$6,J1847&gt;0),'계산 과정'!$D$10*('계산 과정'!$C$38*(D1847-'계산 과정'!$C$32)+'계산 과정'!$D$38*(E1847-'계산 과정'!$D$32)-'계산 과정'!$E$38*'계산 과정'!$E$32)/J1847,"")</x:f>
        <x:v>0.4064076998253478</x:v>
      </x:c>
      <x:c r="L1847" s="4" t="n">
        <x:f>IF(AND('계산 과정'!$L$6,J1847&gt;0),'계산 과정'!$D$10*('계산 과정'!$C$39*(D1847-'계산 과정'!$C$32)+'계산 과정'!$D$39*(E1847-'계산 과정'!$D$32)-'계산 과정'!$E$39*'계산 과정'!$E$32)/J1847,"")</x:f>
        <x:v>1.7474475640964682</x:v>
      </x:c>
      <x:c r="M1847" s="17" t="n">
        <x:f>IF('계산 과정'!$L$6,IF(J1847&lt;=0,0,IF(AND(ABS(K1847)&lt;='계산 과정'!$D$11/2,ABS(L1847)&lt;='계산 과정'!$D$12/2),1,0)),"")</x:f>
        <x:v>1</x:v>
      </x:c>
      <x:c r="N1847" s="17" t="n">
        <x:f>IF('계산 과정'!$C$78,IF(AND(ISNUMBER(H1847),ISNUMBER(I1847),ABS(H1847-'계산 과정'!$C$88)&lt;='계산 과정'!$D$23/2,ABS(I1847-'계산 과정'!$C$89)&lt;='계산 과정'!$D$24/2),1,0),"")</x:f>
        <x:v>1</x:v>
      </x:c>
      <x:c r="O1847" s="4" t="n">
        <x:f>IF('계산 과정'!$L$7,'계산 과정'!$C$49*('계산 과정'!$C$32-D1847)+'계산 과정'!$D$49*('계산 과정'!$D$32-E1847)+'계산 과정'!$E$49*'계산 과정'!$E$32,"")</x:f>
        <x:v>31.42424378155789</x:v>
      </x:c>
      <x:c r="P1847" s="4" t="n">
        <x:f>IF(AND('계산 과정'!$L$7,O1847&lt;&gt;0),('계산 과정'!$L$23-'계산 과정'!$C$49*D1847-'계산 과정'!$D$49*E1847)/O1847,"")</x:f>
        <x:v>13.729025486836056</x:v>
      </x:c>
      <x:c r="Q1847" s="4" t="str">
        <x:f>IF(AND(ISNUMBER(P1847),P1847&gt;1E-9,P1847&lt;1-1E-9),'계산 과정'!$C$47*(D1847-'계산 과정'!$C$50+P1847*('계산 과정'!$C$32-D1847))+'계산 과정'!$D$47*(E1847-'계산 과정'!$D$50+P1847*('계산 과정'!$D$32-E1847))+'계산 과정'!$E$47*(0-'계산 과정'!$E$50+P1847*('계산 과정'!$E$32-0)),"")</x:f>
      </x:c>
      <x:c r="R1847" s="4" t="str">
        <x:f>IF(AND(ISNUMBER(P1847),P1847&gt;1E-9,P1847&lt;1-1E-9),'계산 과정'!$C$48*(D1847-'계산 과정'!$C$50+P1847*('계산 과정'!$C$32-D1847))+'계산 과정'!$D$48*(E1847-'계산 과정'!$D$50+P1847*('계산 과정'!$D$32-E1847))+'계산 과정'!$E$48*(0-'계산 과정'!$E$50+P1847*('계산 과정'!$E$32-0)),"")</x:f>
      </x:c>
      <x:c r="S1847" s="17" t="n">
        <x:f>IF('계산 과정'!$C$78,IF(AND(ISNUMBER(Q1847),ISNUMBER(R1847),ABS(Q1847-'계산 과정'!$C$88)&lt;='계산 과정'!$D$23/2,ABS(R1847-'계산 과정'!$C$89)&lt;='계산 과정'!$D$24/2),1,0),"")</x:f>
        <x:v>0</x:v>
      </x:c>
      <x:c r="T1847" s="4"/>
      <x:c r="U1847" s="4"/>
      <x:c r="V1847" s="4"/>
      <x:c r="W1847" s="4"/>
      <x:c r="X1847" s="4"/>
      <x:c r="Y1847" s="4"/>
      <x:c r="Z1847" s="4"/>
    </x:row>
    <x:row r="1848" ht="23" customHeight="1">
      <x:c r="A1848" s="17" t="n">
        <x:f>ROW()-6</x:f>
        <x:v>1842</x:v>
      </x:c>
      <x:c r="B1848" s="4" t="n">
        <x:f>IF('계산 과정'!$L$5,'계산 과정'!$L$11*SQRT((A1848+0.5)/'계산 과정'!$L$30),"")</x:f>
        <x:v>142.27547072602678</x:v>
      </x:c>
      <x:c r="C1848" s="4" t="n">
        <x:f>A1848*PI()*(3-SQRT(5))</x:f>
        <x:v>4420.7322691601785</x:v>
      </x:c>
      <x:c r="D1848" s="4" t="n">
        <x:f>IF('계산 과정'!$L$5,B1848*COS(C1848),"")</x:f>
        <x:v>-124.0723889917863</x:v>
      </x:c>
      <x:c r="E1848" s="4" t="n">
        <x:f>IF('계산 과정'!$L$5,B1848*SIN(C1848),"")</x:f>
        <x:v>-69.63010742619439</x:v>
      </x:c>
      <x:c r="F1848" s="4" t="n">
        <x:f>IF('계산 과정'!$L$7,'계산 과정'!$L$22+'계산 과정'!$C$49*D1848+'계산 과정'!$D$49*E1848,"")</x:f>
        <x:v>737.7324276141072</x:v>
      </x:c>
      <x:c r="G1848" s="4" t="n">
        <x:f>IF('계산 과정'!$L$7,IF(ABS(F1848)&gt;=1E-12*MAX(1,SQRT((D1848-'계산 과정'!$C$33)^2+(E1848-'계산 과정'!$D$33)^2+'계산 과정'!$E$33^2)),('계산 과정'!$L$23-'계산 과정'!$C$49*D1848-'계산 과정'!$D$49*E1848)/F1848,""),"")</x:f>
        <x:v>0.42328025812257447</x:v>
      </x:c>
      <x:c r="H1848" s="4" t="n">
        <x:f>IF(AND(ISNUMBER(G1848),G1848&gt;0),('계산 과정'!$D$56+'계산 과정'!$D$57*D1848+'계산 과정'!$D$58*E1848)/F1848,"")</x:f>
        <x:v>-124.86783222032678</x:v>
      </x:c>
      <x:c r="I1848" s="4" t="n">
        <x:f>IF(AND(ISNUMBER(G1848),G1848&gt;0),('계산 과정'!$E$56+'계산 과정'!$E$57*D1848+'계산 과정'!$E$58*E1848)/F1848,"")</x:f>
        <x:v>-99.10315727065652</x:v>
      </x:c>
      <x:c r="J1848" s="4" t="n">
        <x:f>IF('계산 과정'!$L$5,'계산 과정'!$D$6+'계산 과정'!$C$35*D1848+'계산 과정'!$D$35*E1848,"")</x:f>
        <x:v>737.7324276141072</x:v>
      </x:c>
      <x:c r="K1848" s="4" t="n">
        <x:f>IF(AND('계산 과정'!$L$6,J1848&gt;0),'계산 과정'!$D$10*('계산 과정'!$C$38*(D1848-'계산 과정'!$C$32)+'계산 과정'!$D$38*(E1848-'계산 과정'!$D$32)-'계산 과정'!$E$38*'계산 과정'!$E$32)/J1848,"")</x:f>
        <x:v>-0.951373959773917</x:v>
      </x:c>
      <x:c r="L1848" s="4" t="n">
        <x:f>IF(AND('계산 과정'!$L$6,J1848&gt;0),'계산 과정'!$D$10*('계산 과정'!$C$39*(D1848-'계산 과정'!$C$32)+'계산 과정'!$D$39*(E1848-'계산 과정'!$D$32)-'계산 과정'!$E$39*'계산 과정'!$E$32)/J1848,"")</x:f>
        <x:v>-0.7550716744430974</x:v>
      </x:c>
      <x:c r="M1848" s="17" t="n">
        <x:f>IF('계산 과정'!$L$6,IF(J1848&lt;=0,0,IF(AND(ABS(K1848)&lt;='계산 과정'!$D$11/2,ABS(L1848)&lt;='계산 과정'!$D$12/2),1,0)),"")</x:f>
        <x:v>1</x:v>
      </x:c>
      <x:c r="N1848" s="17" t="n">
        <x:f>IF('계산 과정'!$C$78,IF(AND(ISNUMBER(H1848),ISNUMBER(I1848),ABS(H1848-'계산 과정'!$C$88)&lt;='계산 과정'!$D$23/2,ABS(I1848-'계산 과정'!$C$89)&lt;='계산 과정'!$D$24/2),1,0),"")</x:f>
        <x:v>1</x:v>
      </x:c>
      <x:c r="O1848" s="4" t="n">
        <x:f>IF('계산 과정'!$L$7,'계산 과정'!$C$49*('계산 과정'!$C$32-D1848)+'계산 과정'!$D$49*('계산 과정'!$D$32-E1848)+'계산 과정'!$E$49*'계산 과정'!$E$32,"")</x:f>
        <x:v>-87.73242761410711</x:v>
      </x:c>
      <x:c r="P1848" s="4" t="n">
        <x:f>IF(AND('계산 과정'!$L$7,O1848&lt;&gt;0),('계산 과정'!$L$23-'계산 과정'!$C$49*D1848-'계산 과정'!$D$49*E1848)/O1848,"")</x:f>
        <x:v>-3.5593175850485768</x:v>
      </x:c>
      <x:c r="Q1848" s="4" t="str">
        <x:f>IF(AND(ISNUMBER(P1848),P1848&gt;1E-9,P1848&lt;1-1E-9),'계산 과정'!$C$47*(D1848-'계산 과정'!$C$50+P1848*('계산 과정'!$C$32-D1848))+'계산 과정'!$D$47*(E1848-'계산 과정'!$D$50+P1848*('계산 과정'!$D$32-E1848))+'계산 과정'!$E$47*(0-'계산 과정'!$E$50+P1848*('계산 과정'!$E$32-0)),"")</x:f>
      </x:c>
      <x:c r="R1848" s="4" t="str">
        <x:f>IF(AND(ISNUMBER(P1848),P1848&gt;1E-9,P1848&lt;1-1E-9),'계산 과정'!$C$48*(D1848-'계산 과정'!$C$50+P1848*('계산 과정'!$C$32-D1848))+'계산 과정'!$D$48*(E1848-'계산 과정'!$D$50+P1848*('계산 과정'!$D$32-E1848))+'계산 과정'!$E$48*(0-'계산 과정'!$E$50+P1848*('계산 과정'!$E$32-0)),"")</x:f>
      </x:c>
      <x:c r="S1848" s="17" t="n">
        <x:f>IF('계산 과정'!$C$78,IF(AND(ISNUMBER(Q1848),ISNUMBER(R1848),ABS(Q1848-'계산 과정'!$C$88)&lt;='계산 과정'!$D$23/2,ABS(R1848-'계산 과정'!$C$89)&lt;='계산 과정'!$D$24/2),1,0),"")</x:f>
        <x:v>0</x:v>
      </x:c>
      <x:c r="T1848" s="4"/>
      <x:c r="U1848" s="4"/>
      <x:c r="V1848" s="4"/>
      <x:c r="W1848" s="4"/>
      <x:c r="X1848" s="4"/>
      <x:c r="Y1848" s="4"/>
      <x:c r="Z1848" s="4"/>
    </x:row>
    <x:row r="1849" ht="23" customHeight="1">
      <x:c r="A1849" s="17" t="n">
        <x:f>ROW()-6</x:f>
        <x:v>1843</x:v>
      </x:c>
      <x:c r="B1849" s="4" t="n">
        <x:f>IF('계산 과정'!$L$5,'계산 과정'!$L$11*SQRT((A1849+0.5)/'계산 과정'!$L$30),"")</x:f>
        <x:v>142.314074843065</x:v>
      </x:c>
      <x:c r="C1849" s="4" t="n">
        <x:f>A1849*PI()*(3-SQRT(5))</x:f>
        <x:v>4423.132232389907</x:v>
      </x:c>
      <x:c r="D1849" s="4" t="n">
        <x:f>IF('계산 과정'!$L$5,B1849*COS(C1849),"")</x:f>
        <x:v>138.55916558646155</x:v>
      </x:c>
      <x:c r="E1849" s="4" t="n">
        <x:f>IF('계산 과정'!$L$5,B1849*SIN(C1849),"")</x:f>
        <x:v>-32.47542964182364</x:v>
      </x:c>
      <x:c r="F1849" s="4" t="n">
        <x:f>IF('계산 과정'!$L$7,'계산 과정'!$L$22+'계산 과정'!$C$49*D1849+'계산 과정'!$D$49*E1849,"")</x:f>
        <x:v>552.0238744182633</x:v>
      </x:c>
      <x:c r="G1849" s="4" t="n">
        <x:f>IF('계산 과정'!$L$7,IF(ABS(F1849)&gt;=1E-12*MAX(1,SQRT((D1849-'계산 과정'!$C$33)^2+(E1849-'계산 과정'!$D$33)^2+'계산 과정'!$E$33^2)),('계산 과정'!$L$23-'계산 과정'!$C$49*D1849-'계산 과정'!$D$49*E1849)/F1849,""),"")</x:f>
        <x:v>0.9020916461385234</x:v>
      </x:c>
      <x:c r="H1849" s="4" t="n">
        <x:f>IF(AND(ISNUMBER(G1849),G1849&gt;0),('계산 과정'!$D$56+'계산 과정'!$D$57*D1849+'계산 과정'!$D$58*E1849)/F1849,"")</x:f>
        <x:v>186.35956999004014</x:v>
      </x:c>
      <x:c r="I1849" s="4" t="n">
        <x:f>IF(AND(ISNUMBER(G1849),G1849&gt;0),('계산 과정'!$E$56+'계산 과정'!$E$57*D1849+'계산 과정'!$E$58*E1849)/F1849,"")</x:f>
        <x:v>-61.771243426472125</x:v>
      </x:c>
      <x:c r="J1849" s="4" t="n">
        <x:f>IF('계산 과정'!$L$5,'계산 과정'!$D$6+'계산 과정'!$C$35*D1849+'계산 과정'!$D$35*E1849,"")</x:f>
        <x:v>552.0238744182633</x:v>
      </x:c>
      <x:c r="K1849" s="4" t="n">
        <x:f>IF(AND('계산 과정'!$L$6,J1849&gt;0),'계산 과정'!$D$10*('계산 과정'!$C$38*(D1849-'계산 과정'!$C$32)+'계산 과정'!$D$38*(E1849-'계산 과정'!$D$32)-'계산 과정'!$E$38*'계산 과정'!$E$32)/J1849,"")</x:f>
        <x:v>1.4198824380193538</x:v>
      </x:c>
      <x:c r="L1849" s="4" t="n">
        <x:f>IF(AND('계산 과정'!$L$6,J1849&gt;0),'계산 과정'!$D$10*('계산 과정'!$C$39*(D1849-'계산 과정'!$C$32)+'계산 과정'!$D$39*(E1849-'계산 과정'!$D$32)-'계산 과정'!$E$39*'계산 과정'!$E$32)/J1849,"")</x:f>
        <x:v>-0.4706380451540733</x:v>
      </x:c>
      <x:c r="M1849" s="17" t="n">
        <x:f>IF('계산 과정'!$L$6,IF(J1849&lt;=0,0,IF(AND(ABS(K1849)&lt;='계산 과정'!$D$11/2,ABS(L1849)&lt;='계산 과정'!$D$12/2),1,0)),"")</x:f>
        <x:v>1</x:v>
      </x:c>
      <x:c r="N1849" s="17" t="n">
        <x:f>IF('계산 과정'!$C$78,IF(AND(ISNUMBER(H1849),ISNUMBER(I1849),ABS(H1849-'계산 과정'!$C$88)&lt;='계산 과정'!$D$23/2,ABS(I1849-'계산 과정'!$C$89)&lt;='계산 과정'!$D$24/2),1,0),"")</x:f>
        <x:v>1</x:v>
      </x:c>
      <x:c r="O1849" s="4" t="n">
        <x:f>IF('계산 과정'!$L$7,'계산 과정'!$C$49*('계산 과정'!$C$32-D1849)+'계산 과정'!$D$49*('계산 과정'!$D$32-E1849)+'계산 과정'!$E$49*'계산 과정'!$E$32,"")</x:f>
        <x:v>97.97612558173677</x:v>
      </x:c>
      <x:c r="P1849" s="4" t="n">
        <x:f>IF(AND('계산 과정'!$L$7,O1849&lt;&gt;0),('계산 과정'!$L$23-'계산 과정'!$C$49*D1849-'계산 과정'!$D$49*E1849)/O1849,"")</x:f>
        <x:v>5.082627248474927</x:v>
      </x:c>
      <x:c r="Q1849" s="4" t="str">
        <x:f>IF(AND(ISNUMBER(P1849),P1849&gt;1E-9,P1849&lt;1-1E-9),'계산 과정'!$C$47*(D1849-'계산 과정'!$C$50+P1849*('계산 과정'!$C$32-D1849))+'계산 과정'!$D$47*(E1849-'계산 과정'!$D$50+P1849*('계산 과정'!$D$32-E1849))+'계산 과정'!$E$47*(0-'계산 과정'!$E$50+P1849*('계산 과정'!$E$32-0)),"")</x:f>
      </x:c>
      <x:c r="R1849" s="4" t="str">
        <x:f>IF(AND(ISNUMBER(P1849),P1849&gt;1E-9,P1849&lt;1-1E-9),'계산 과정'!$C$48*(D1849-'계산 과정'!$C$50+P1849*('계산 과정'!$C$32-D1849))+'계산 과정'!$D$48*(E1849-'계산 과정'!$D$50+P1849*('계산 과정'!$D$32-E1849))+'계산 과정'!$E$48*(0-'계산 과정'!$E$50+P1849*('계산 과정'!$E$32-0)),"")</x:f>
      </x:c>
      <x:c r="S1849" s="17" t="n">
        <x:f>IF('계산 과정'!$C$78,IF(AND(ISNUMBER(Q1849),ISNUMBER(R1849),ABS(Q1849-'계산 과정'!$C$88)&lt;='계산 과정'!$D$23/2,ABS(R1849-'계산 과정'!$C$89)&lt;='계산 과정'!$D$24/2),1,0),"")</x:f>
        <x:v>0</x:v>
      </x:c>
      <x:c r="T1849" s="4"/>
      <x:c r="U1849" s="4"/>
      <x:c r="V1849" s="4"/>
      <x:c r="W1849" s="4"/>
      <x:c r="X1849" s="4"/>
      <x:c r="Y1849" s="4"/>
      <x:c r="Z1849" s="4"/>
    </x:row>
    <x:row r="1850" ht="23" customHeight="1">
      <x:c r="A1850" s="17" t="n">
        <x:f>ROW()-6</x:f>
        <x:v>1844</x:v>
      </x:c>
      <x:c r="B1850" s="4" t="n">
        <x:f>IF('계산 과정'!$L$5,'계산 과정'!$L$11*SQRT((A1850+0.5)/'계산 과정'!$L$30),"")</x:f>
        <x:v>142.35266849118952</x:v>
      </x:c>
      <x:c r="C1850" s="4" t="n">
        <x:f>A1850*PI()*(3-SQRT(5))</x:f>
        <x:v>4425.532195619636</x:v>
      </x:c>
      <x:c r="D1850" s="4" t="n">
        <x:f>IF('계산 과정'!$L$5,B1850*COS(C1850),"")</x:f>
        <x:v>-80.25413688466094</x:v>
      </x:c>
      <x:c r="E1850" s="4" t="n">
        <x:f>IF('계산 과정'!$L$5,B1850*SIN(C1850),"")</x:f>
        <x:v>117.57361838210393</x:v>
      </x:c>
      <x:c r="F1850" s="4" t="n">
        <x:f>IF('계산 과정'!$L$7,'계산 과정'!$L$22+'계산 과정'!$C$49*D1850+'계산 과정'!$D$49*E1850,"")</x:f>
        <x:v>706.7482444094171</x:v>
      </x:c>
      <x:c r="G1850" s="4" t="n">
        <x:f>IF('계산 과정'!$L$7,IF(ABS(F1850)&gt;=1E-12*MAX(1,SQRT((D1850-'계산 과정'!$C$33)^2+(E1850-'계산 과정'!$D$33)^2+'계산 과정'!$E$33^2)),('계산 과정'!$L$23-'계산 과정'!$C$49*D1850-'계산 과정'!$D$49*E1850)/F1850,""),"")</x:f>
        <x:v>0.4856775496873228</x:v>
      </x:c>
      <x:c r="H1850" s="4" t="n">
        <x:f>IF(AND(ISNUMBER(G1850),G1850&gt;0),('계산 과정'!$D$56+'계산 과정'!$D$57*D1850+'계산 과정'!$D$58*E1850)/F1850,"")</x:f>
        <x:v>-84.30959270324036</x:v>
      </x:c>
      <x:c r="I1850" s="4" t="n">
        <x:f>IF(AND(ISNUMBER(G1850),G1850&gt;0),('계산 과정'!$E$56+'계산 과정'!$E$57*D1850+'계산 과정'!$E$58*E1850)/F1850,"")</x:f>
        <x:v>174.67648526579654</x:v>
      </x:c>
      <x:c r="J1850" s="4" t="n">
        <x:f>IF('계산 과정'!$L$5,'계산 과정'!$D$6+'계산 과정'!$C$35*D1850+'계산 과정'!$D$35*E1850,"")</x:f>
        <x:v>706.7482444094171</x:v>
      </x:c>
      <x:c r="K1850" s="4" t="n">
        <x:f>IF(AND('계산 과정'!$L$6,J1850&gt;0),'계산 과정'!$D$10*('계산 과정'!$C$38*(D1850-'계산 과정'!$C$32)+'계산 과정'!$D$38*(E1850-'계산 과정'!$D$32)-'계산 과정'!$E$38*'계산 과정'!$E$32)/J1850,"")</x:f>
        <x:v>-0.6423588015484969</x:v>
      </x:c>
      <x:c r="L1850" s="4" t="n">
        <x:f>IF(AND('계산 과정'!$L$6,J1850&gt;0),'계산 과정'!$D$10*('계산 과정'!$C$39*(D1850-'계산 과정'!$C$32)+'계산 과정'!$D$39*(E1850-'계산 과정'!$D$32)-'계산 과정'!$E$39*'계산 과정'!$E$32)/J1850,"")</x:f>
        <x:v>1.3308684591679738</x:v>
      </x:c>
      <x:c r="M1850" s="17" t="n">
        <x:f>IF('계산 과정'!$L$6,IF(J1850&lt;=0,0,IF(AND(ABS(K1850)&lt;='계산 과정'!$D$11/2,ABS(L1850)&lt;='계산 과정'!$D$12/2),1,0)),"")</x:f>
        <x:v>1</x:v>
      </x:c>
      <x:c r="N1850" s="17" t="n">
        <x:f>IF('계산 과정'!$C$78,IF(AND(ISNUMBER(H1850),ISNUMBER(I1850),ABS(H1850-'계산 과정'!$C$88)&lt;='계산 과정'!$D$23/2,ABS(I1850-'계산 과정'!$C$89)&lt;='계산 과정'!$D$24/2),1,0),"")</x:f>
        <x:v>1</x:v>
      </x:c>
      <x:c r="O1850" s="4" t="n">
        <x:f>IF('계산 과정'!$L$7,'계산 과정'!$C$49*('계산 과정'!$C$32-D1850)+'계산 과정'!$D$49*('계산 과정'!$D$32-E1850)+'계산 과정'!$E$49*'계산 과정'!$E$32,"")</x:f>
        <x:v>-56.748244409417055</x:v>
      </x:c>
      <x:c r="P1850" s="4" t="n">
        <x:f>IF(AND('계산 과정'!$L$7,O1850&lt;&gt;0),('계산 과정'!$L$23-'계산 과정'!$C$49*D1850-'계산 과정'!$D$49*E1850)/O1850,"")</x:f>
        <x:v>-6.048676204221431</x:v>
      </x:c>
      <x:c r="Q1850" s="4" t="str">
        <x:f>IF(AND(ISNUMBER(P1850),P1850&gt;1E-9,P1850&lt;1-1E-9),'계산 과정'!$C$47*(D1850-'계산 과정'!$C$50+P1850*('계산 과정'!$C$32-D1850))+'계산 과정'!$D$47*(E1850-'계산 과정'!$D$50+P1850*('계산 과정'!$D$32-E1850))+'계산 과정'!$E$47*(0-'계산 과정'!$E$50+P1850*('계산 과정'!$E$32-0)),"")</x:f>
      </x:c>
      <x:c r="R1850" s="4" t="str">
        <x:f>IF(AND(ISNUMBER(P1850),P1850&gt;1E-9,P1850&lt;1-1E-9),'계산 과정'!$C$48*(D1850-'계산 과정'!$C$50+P1850*('계산 과정'!$C$32-D1850))+'계산 과정'!$D$48*(E1850-'계산 과정'!$D$50+P1850*('계산 과정'!$D$32-E1850))+'계산 과정'!$E$48*(0-'계산 과정'!$E$50+P1850*('계산 과정'!$E$32-0)),"")</x:f>
      </x:c>
      <x:c r="S1850" s="17" t="n">
        <x:f>IF('계산 과정'!$C$78,IF(AND(ISNUMBER(Q1850),ISNUMBER(R1850),ABS(Q1850-'계산 과정'!$C$88)&lt;='계산 과정'!$D$23/2,ABS(R1850-'계산 과정'!$C$89)&lt;='계산 과정'!$D$24/2),1,0),"")</x:f>
        <x:v>0</x:v>
      </x:c>
      <x:c r="T1850" s="4"/>
      <x:c r="U1850" s="4"/>
      <x:c r="V1850" s="4"/>
      <x:c r="W1850" s="4"/>
      <x:c r="X1850" s="4"/>
      <x:c r="Y1850" s="4"/>
      <x:c r="Z1850" s="4"/>
    </x:row>
    <x:row r="1851" ht="23" customHeight="1">
      <x:c r="A1851" s="17" t="n">
        <x:f>ROW()-6</x:f>
        <x:v>1845</x:v>
      </x:c>
      <x:c r="B1851" s="4" t="n">
        <x:f>IF('계산 과정'!$L$5,'계산 과정'!$L$11*SQRT((A1851+0.5)/'계산 과정'!$L$30),"")</x:f>
        <x:v>142.39125167891285</x:v>
      </x:c>
      <x:c r="C1851" s="4" t="n">
        <x:f>A1851*PI()*(3-SQRT(5))</x:f>
        <x:v>4427.932158849365</x:v>
      </x:c>
      <x:c r="D1851" s="4" t="n">
        <x:f>IF('계산 과정'!$L$5,B1851*COS(C1851),"")</x:f>
        <x:v>-20.248421836314602</x:v>
      </x:c>
      <x:c r="E1851" s="4" t="n">
        <x:f>IF('계산 과정'!$L$5,B1851*SIN(C1851),"")</x:f>
        <x:v>-140.94420870623298</x:v>
      </x:c>
      <x:c r="F1851" s="4" t="n">
        <x:f>IF('계산 과정'!$L$7,'계산 과정'!$L$22+'계산 과정'!$C$49*D1851+'계산 과정'!$D$49*E1851,"")</x:f>
        <x:v>664.3177963887838</x:v>
      </x:c>
      <x:c r="G1851" s="4" t="n">
        <x:f>IF('계산 과정'!$L$7,IF(ABS(F1851)&gt;=1E-12*MAX(1,SQRT((D1851-'계산 과정'!$C$33)^2+(E1851-'계산 과정'!$D$33)^2+'계산 과정'!$E$33^2)),('계산 과정'!$L$23-'계산 과정'!$C$49*D1851-'계산 과정'!$D$49*E1851)/F1851,""),"")</x:f>
        <x:v>0.5805688267088068</x:v>
      </x:c>
      <x:c r="H1851" s="4" t="n">
        <x:f>IF(AND(ISNUMBER(G1851),G1851&gt;0),('계산 과정'!$D$56+'계산 과정'!$D$57*D1851+'계산 과정'!$D$58*E1851)/F1851,"")</x:f>
        <x:v>-22.630262639275752</x:v>
      </x:c>
      <x:c r="I1851" s="4" t="n">
        <x:f>IF(AND(ISNUMBER(G1851),G1851&gt;0),('계산 과정'!$E$56+'계산 과정'!$E$57*D1851+'계산 과정'!$E$58*E1851)/F1851,"")</x:f>
        <x:v>-222.77202258621188</x:v>
      </x:c>
      <x:c r="J1851" s="4" t="n">
        <x:f>IF('계산 과정'!$L$5,'계산 과정'!$D$6+'계산 과정'!$C$35*D1851+'계산 과정'!$D$35*E1851,"")</x:f>
        <x:v>664.3177963887838</x:v>
      </x:c>
      <x:c r="K1851" s="4" t="n">
        <x:f>IF(AND('계산 과정'!$L$6,J1851&gt;0),'계산 과정'!$D$10*('계산 과정'!$C$38*(D1851-'계산 과정'!$C$32)+'계산 과정'!$D$38*(E1851-'계산 과정'!$D$32)-'계산 과정'!$E$38*'계산 과정'!$E$32)/J1851,"")</x:f>
        <x:v>-0.17242104868019495</x:v>
      </x:c>
      <x:c r="L1851" s="4" t="n">
        <x:f>IF(AND('계산 과정'!$L$6,J1851&gt;0),'계산 과정'!$D$10*('계산 과정'!$C$39*(D1851-'계산 과정'!$C$32)+'계산 과정'!$D$39*(E1851-'계산 과정'!$D$32)-'계산 과정'!$E$39*'계산 과정'!$E$32)/J1851,"")</x:f>
        <x:v>-1.6973106482759</x:v>
      </x:c>
      <x:c r="M1851" s="17" t="n">
        <x:f>IF('계산 과정'!$L$6,IF(J1851&lt;=0,0,IF(AND(ABS(K1851)&lt;='계산 과정'!$D$11/2,ABS(L1851)&lt;='계산 과정'!$D$12/2),1,0)),"")</x:f>
        <x:v>1</x:v>
      </x:c>
      <x:c r="N1851" s="17" t="n">
        <x:f>IF('계산 과정'!$C$78,IF(AND(ISNUMBER(H1851),ISNUMBER(I1851),ABS(H1851-'계산 과정'!$C$88)&lt;='계산 과정'!$D$23/2,ABS(I1851-'계산 과정'!$C$89)&lt;='계산 과정'!$D$24/2),1,0),"")</x:f>
        <x:v>1</x:v>
      </x:c>
      <x:c r="O1851" s="4" t="n">
        <x:f>IF('계산 과정'!$L$7,'계산 과정'!$C$49*('계산 과정'!$C$32-D1851)+'계산 과정'!$D$49*('계산 과정'!$D$32-E1851)+'계산 과정'!$E$49*'계산 과정'!$E$32,"")</x:f>
        <x:v>-14.317796388783734</x:v>
      </x:c>
      <x:c r="P1851" s="4" t="n">
        <x:f>IF(AND('계산 과정'!$L$7,O1851&lt;&gt;0),('계산 과정'!$L$23-'계산 과정'!$C$49*D1851-'계산 과정'!$D$49*E1851)/O1851,"")</x:f>
        <x:v>-26.937259976217547</x:v>
      </x:c>
      <x:c r="Q1851" s="4" t="str">
        <x:f>IF(AND(ISNUMBER(P1851),P1851&gt;1E-9,P1851&lt;1-1E-9),'계산 과정'!$C$47*(D1851-'계산 과정'!$C$50+P1851*('계산 과정'!$C$32-D1851))+'계산 과정'!$D$47*(E1851-'계산 과정'!$D$50+P1851*('계산 과정'!$D$32-E1851))+'계산 과정'!$E$47*(0-'계산 과정'!$E$50+P1851*('계산 과정'!$E$32-0)),"")</x:f>
      </x:c>
      <x:c r="R1851" s="4" t="str">
        <x:f>IF(AND(ISNUMBER(P1851),P1851&gt;1E-9,P1851&lt;1-1E-9),'계산 과정'!$C$48*(D1851-'계산 과정'!$C$50+P1851*('계산 과정'!$C$32-D1851))+'계산 과정'!$D$48*(E1851-'계산 과정'!$D$50+P1851*('계산 과정'!$D$32-E1851))+'계산 과정'!$E$48*(0-'계산 과정'!$E$50+P1851*('계산 과정'!$E$32-0)),"")</x:f>
      </x:c>
      <x:c r="S1851" s="17" t="n">
        <x:f>IF('계산 과정'!$C$78,IF(AND(ISNUMBER(Q1851),ISNUMBER(R1851),ABS(Q1851-'계산 과정'!$C$88)&lt;='계산 과정'!$D$23/2,ABS(R1851-'계산 과정'!$C$89)&lt;='계산 과정'!$D$24/2),1,0),"")</x:f>
        <x:v>0</x:v>
      </x:c>
      <x:c r="T1851" s="4"/>
      <x:c r="U1851" s="4"/>
      <x:c r="V1851" s="4"/>
      <x:c r="W1851" s="4"/>
      <x:c r="X1851" s="4"/>
      <x:c r="Y1851" s="4"/>
      <x:c r="Z1851" s="4"/>
    </x:row>
    <x:row r="1852" ht="23" customHeight="1">
      <x:c r="A1852" s="17" t="n">
        <x:f>ROW()-6</x:f>
        <x:v>1846</x:v>
      </x:c>
      <x:c r="B1852" s="4" t="n">
        <x:f>IF('계산 과정'!$L$5,'계산 과정'!$L$11*SQRT((A1852+0.5)/'계산 과정'!$L$30),"")</x:f>
        <x:v>142.42982441473592</x:v>
      </x:c>
      <x:c r="C1852" s="4" t="n">
        <x:f>A1852*PI()*(3-SQRT(5))</x:f>
        <x:v>4430.332122079093</x:v>
      </x:c>
      <x:c r="D1852" s="4" t="n">
        <x:f>IF('계산 과정'!$L$5,B1852*COS(C1852),"")</x:f>
        <x:v>110.16683640392309</x:v>
      </x:c>
      <x:c r="E1852" s="4" t="n">
        <x:f>IF('계산 과정'!$L$5,B1852*SIN(C1852),"")</x:f>
        <x:v>90.27470874815245</x:v>
      </x:c>
      <x:c r="F1852" s="4" t="n">
        <x:f>IF('계산 과정'!$L$7,'계산 과정'!$L$22+'계산 과정'!$C$49*D1852+'계산 과정'!$D$49*E1852,"")</x:f>
        <x:v>572.100282916917</x:v>
      </x:c>
      <x:c r="G1852" s="4" t="n">
        <x:f>IF('계산 과정'!$L$7,IF(ABS(F1852)&gt;=1E-12*MAX(1,SQRT((D1852-'계산 과정'!$C$33)^2+(E1852-'계산 과정'!$D$33)^2+'계산 과정'!$E$33^2)),('계산 과정'!$L$23-'계산 과정'!$C$49*D1852-'계산 과정'!$D$49*E1852)/F1852,""),"")</x:f>
        <x:v>0.8353425638009794</x:v>
      </x:c>
      <x:c r="H1852" s="4" t="n">
        <x:f>IF(AND(ISNUMBER(G1852),G1852&gt;0),('계산 과정'!$D$56+'계산 과정'!$D$57*D1852+'계산 과정'!$D$58*E1852)/F1852,"")</x:f>
        <x:v>142.97266647063645</x:v>
      </x:c>
      <x:c r="I1852" s="4" t="n">
        <x:f>IF(AND(ISNUMBER(G1852),G1852&gt;0),('계산 과정'!$E$56+'계산 과정'!$E$57*D1852+'계산 과정'!$E$58*E1852)/F1852,"")</x:f>
        <x:v>165.6850154002208</x:v>
      </x:c>
      <x:c r="J1852" s="4" t="n">
        <x:f>IF('계산 과정'!$L$5,'계산 과정'!$D$6+'계산 과정'!$C$35*D1852+'계산 과정'!$D$35*E1852,"")</x:f>
        <x:v>572.100282916917</x:v>
      </x:c>
      <x:c r="K1852" s="4" t="n">
        <x:f>IF(AND('계산 과정'!$L$6,J1852&gt;0),'계산 과정'!$D$10*('계산 과정'!$C$38*(D1852-'계산 과정'!$C$32)+'계산 과정'!$D$38*(E1852-'계산 과정'!$D$32)-'계산 과정'!$E$38*'계산 과정'!$E$32)/J1852,"")</x:f>
        <x:v>1.0893155540619928</x:v>
      </x:c>
      <x:c r="L1852" s="4" t="n">
        <x:f>IF(AND('계산 과정'!$L$6,J1852&gt;0),'계산 과정'!$D$10*('계산 과정'!$C$39*(D1852-'계산 과정'!$C$32)+'계산 과정'!$D$39*(E1852-'계산 과정'!$D$32)-'계산 과정'!$E$39*'계산 과정'!$E$32)/J1852,"")</x:f>
        <x:v>1.2623620220969205</x:v>
      </x:c>
      <x:c r="M1852" s="17" t="n">
        <x:f>IF('계산 과정'!$L$6,IF(J1852&lt;=0,0,IF(AND(ABS(K1852)&lt;='계산 과정'!$D$11/2,ABS(L1852)&lt;='계산 과정'!$D$12/2),1,0)),"")</x:f>
        <x:v>1</x:v>
      </x:c>
      <x:c r="N1852" s="17" t="n">
        <x:f>IF('계산 과정'!$C$78,IF(AND(ISNUMBER(H1852),ISNUMBER(I1852),ABS(H1852-'계산 과정'!$C$88)&lt;='계산 과정'!$D$23/2,ABS(I1852-'계산 과정'!$C$89)&lt;='계산 과정'!$D$24/2),1,0),"")</x:f>
        <x:v>1</x:v>
      </x:c>
      <x:c r="O1852" s="4" t="n">
        <x:f>IF('계산 과정'!$L$7,'계산 과정'!$C$49*('계산 과정'!$C$32-D1852)+'계산 과정'!$D$49*('계산 과정'!$D$32-E1852)+'계산 과정'!$E$49*'계산 과정'!$E$32,"")</x:f>
        <x:v>77.89971708308312</x:v>
      </x:c>
      <x:c r="P1852" s="4" t="n">
        <x:f>IF(AND('계산 과정'!$L$7,O1852&lt;&gt;0),('계산 과정'!$L$23-'계산 과정'!$C$49*D1852-'계산 과정'!$D$49*E1852)/O1852,"")</x:f>
        <x:v>6.134806838558658</x:v>
      </x:c>
      <x:c r="Q1852" s="4" t="str">
        <x:f>IF(AND(ISNUMBER(P1852),P1852&gt;1E-9,P1852&lt;1-1E-9),'계산 과정'!$C$47*(D1852-'계산 과정'!$C$50+P1852*('계산 과정'!$C$32-D1852))+'계산 과정'!$D$47*(E1852-'계산 과정'!$D$50+P1852*('계산 과정'!$D$32-E1852))+'계산 과정'!$E$47*(0-'계산 과정'!$E$50+P1852*('계산 과정'!$E$32-0)),"")</x:f>
      </x:c>
      <x:c r="R1852" s="4" t="str">
        <x:f>IF(AND(ISNUMBER(P1852),P1852&gt;1E-9,P1852&lt;1-1E-9),'계산 과정'!$C$48*(D1852-'계산 과정'!$C$50+P1852*('계산 과정'!$C$32-D1852))+'계산 과정'!$D$48*(E1852-'계산 과정'!$D$50+P1852*('계산 과정'!$D$32-E1852))+'계산 과정'!$E$48*(0-'계산 과정'!$E$50+P1852*('계산 과정'!$E$32-0)),"")</x:f>
      </x:c>
      <x:c r="S1852" s="17" t="n">
        <x:f>IF('계산 과정'!$C$78,IF(AND(ISNUMBER(Q1852),ISNUMBER(R1852),ABS(Q1852-'계산 과정'!$C$88)&lt;='계산 과정'!$D$23/2,ABS(R1852-'계산 과정'!$C$89)&lt;='계산 과정'!$D$24/2),1,0),"")</x:f>
        <x:v>0</x:v>
      </x:c>
      <x:c r="T1852" s="4"/>
      <x:c r="U1852" s="4"/>
      <x:c r="V1852" s="4"/>
      <x:c r="W1852" s="4"/>
      <x:c r="X1852" s="4"/>
      <x:c r="Y1852" s="4"/>
      <x:c r="Z1852" s="4"/>
    </x:row>
    <x:row r="1853" ht="23" customHeight="1">
      <x:c r="A1853" s="17" t="n">
        <x:f>ROW()-6</x:f>
        <x:v>1847</x:v>
      </x:c>
      <x:c r="B1853" s="4" t="n">
        <x:f>IF('계산 과정'!$L$5,'계산 과정'!$L$11*SQRT((A1853+0.5)/'계산 과정'!$L$30),"")</x:f>
        <x:v>142.4683867071481</x:v>
      </x:c>
      <x:c r="C1853" s="4" t="n">
        <x:f>A1853*PI()*(3-SQRT(5))</x:f>
        <x:v>4432.732085308822</x:v>
      </x:c>
      <x:c r="D1853" s="4" t="n">
        <x:f>IF('계산 과정'!$L$5,B1853*COS(C1853),"")</x:f>
        <x:v>-142.25178980282422</x:v>
      </x:c>
      <x:c r="E1853" s="4" t="n">
        <x:f>IF('계산 과정'!$L$5,B1853*SIN(C1853),"")</x:f>
        <x:v>7.852993622218926</x:v>
      </x:c>
      <x:c r="F1853" s="4" t="n">
        <x:f>IF('계산 과정'!$L$7,'계산 과정'!$L$22+'계산 과정'!$C$49*D1853+'계산 과정'!$D$49*E1853,"")</x:f>
        <x:v>750.5872052055004</x:v>
      </x:c>
      <x:c r="G1853" s="4" t="n">
        <x:f>IF('계산 과정'!$L$7,IF(ABS(F1853)&gt;=1E-12*MAX(1,SQRT((D1853-'계산 과정'!$C$33)^2+(E1853-'계산 과정'!$D$33)^2+'계산 과정'!$E$33^2)),('계산 과정'!$L$23-'계산 과정'!$C$49*D1853-'계산 과정'!$D$49*E1853)/F1853,""),"")</x:f>
        <x:v>0.3989047411386723</x:v>
      </x:c>
      <x:c r="H1853" s="4" t="n">
        <x:f>IF(AND(ISNUMBER(G1853),G1853&gt;0),('계산 과정'!$D$56+'계산 과정'!$D$57*D1853+'계산 과정'!$D$58*E1853)/F1853,"")</x:f>
        <x:v>-140.71191825986315</x:v>
      </x:c>
      <x:c r="I1853" s="4" t="n">
        <x:f>IF(AND(ISNUMBER(G1853),G1853&gt;0),('계산 과정'!$E$56+'계산 과정'!$E$57*D1853+'계산 과정'!$E$58*E1853)/F1853,"")</x:f>
        <x:v>10.985590010253812</x:v>
      </x:c>
      <x:c r="J1853" s="4" t="n">
        <x:f>IF('계산 과정'!$L$5,'계산 과정'!$D$6+'계산 과정'!$C$35*D1853+'계산 과정'!$D$35*E1853,"")</x:f>
        <x:v>750.5872052055004</x:v>
      </x:c>
      <x:c r="K1853" s="4" t="n">
        <x:f>IF(AND('계산 과정'!$L$6,J1853&gt;0),'계산 과정'!$D$10*('계산 과정'!$C$38*(D1853-'계산 과정'!$C$32)+'계산 과정'!$D$38*(E1853-'계산 과정'!$D$32)-'계산 과정'!$E$38*'계산 과정'!$E$32)/J1853,"")</x:f>
        <x:v>-1.0720908057894325</x:v>
      </x:c>
      <x:c r="L1853" s="4" t="n">
        <x:f>IF(AND('계산 과정'!$L$6,J1853&gt;0),'계산 과정'!$D$10*('계산 과정'!$C$39*(D1853-'계산 과정'!$C$32)+'계산 과정'!$D$39*(E1853-'계산 과정'!$D$32)-'계산 과정'!$E$39*'계산 과정'!$E$32)/J1853,"")</x:f>
        <x:v>0.0836997334114576</x:v>
      </x:c>
      <x:c r="M1853" s="17" t="n">
        <x:f>IF('계산 과정'!$L$6,IF(J1853&lt;=0,0,IF(AND(ABS(K1853)&lt;='계산 과정'!$D$11/2,ABS(L1853)&lt;='계산 과정'!$D$12/2),1,0)),"")</x:f>
        <x:v>1</x:v>
      </x:c>
      <x:c r="N1853" s="17" t="n">
        <x:f>IF('계산 과정'!$C$78,IF(AND(ISNUMBER(H1853),ISNUMBER(I1853),ABS(H1853-'계산 과정'!$C$88)&lt;='계산 과정'!$D$23/2,ABS(I1853-'계산 과정'!$C$89)&lt;='계산 과정'!$D$24/2),1,0),"")</x:f>
        <x:v>1</x:v>
      </x:c>
      <x:c r="O1853" s="4" t="n">
        <x:f>IF('계산 과정'!$L$7,'계산 과정'!$C$49*('계산 과정'!$C$32-D1853)+'계산 과정'!$D$49*('계산 과정'!$D$32-E1853)+'계산 과정'!$E$49*'계산 과정'!$E$32,"")</x:f>
        <x:v>-100.58720520550025</x:v>
      </x:c>
      <x:c r="P1853" s="4" t="n">
        <x:f>IF(AND('계산 과정'!$L$7,O1853&lt;&gt;0),('계산 과정'!$L$23-'계산 과정'!$C$49*D1853-'계산 과정'!$D$49*E1853)/O1853,"")</x:f>
        <x:v>-2.9766489105925302</x:v>
      </x:c>
      <x:c r="Q1853" s="4" t="str">
        <x:f>IF(AND(ISNUMBER(P1853),P1853&gt;1E-9,P1853&lt;1-1E-9),'계산 과정'!$C$47*(D1853-'계산 과정'!$C$50+P1853*('계산 과정'!$C$32-D1853))+'계산 과정'!$D$47*(E1853-'계산 과정'!$D$50+P1853*('계산 과정'!$D$32-E1853))+'계산 과정'!$E$47*(0-'계산 과정'!$E$50+P1853*('계산 과정'!$E$32-0)),"")</x:f>
      </x:c>
      <x:c r="R1853" s="4" t="str">
        <x:f>IF(AND(ISNUMBER(P1853),P1853&gt;1E-9,P1853&lt;1-1E-9),'계산 과정'!$C$48*(D1853-'계산 과정'!$C$50+P1853*('계산 과정'!$C$32-D1853))+'계산 과정'!$D$48*(E1853-'계산 과정'!$D$50+P1853*('계산 과정'!$D$32-E1853))+'계산 과정'!$E$48*(0-'계산 과정'!$E$50+P1853*('계산 과정'!$E$32-0)),"")</x:f>
      </x:c>
      <x:c r="S1853" s="17" t="n">
        <x:f>IF('계산 과정'!$C$78,IF(AND(ISNUMBER(Q1853),ISNUMBER(R1853),ABS(Q1853-'계산 과정'!$C$88)&lt;='계산 과정'!$D$23/2,ABS(R1853-'계산 과정'!$C$89)&lt;='계산 과정'!$D$24/2),1,0),"")</x:f>
        <x:v>0</x:v>
      </x:c>
      <x:c r="T1853" s="4"/>
      <x:c r="U1853" s="4"/>
      <x:c r="V1853" s="4"/>
      <x:c r="W1853" s="4"/>
      <x:c r="X1853" s="4"/>
      <x:c r="Y1853" s="4"/>
      <x:c r="Z1853" s="4"/>
    </x:row>
    <x:row r="1854" ht="23" customHeight="1">
      <x:c r="A1854" s="17" t="n">
        <x:f>ROW()-6</x:f>
        <x:v>1848</x:v>
      </x:c>
      <x:c r="B1854" s="4" t="n">
        <x:f>IF('계산 과정'!$L$5,'계산 과정'!$L$11*SQRT((A1854+0.5)/'계산 과정'!$L$30),"")</x:f>
        <x:v>142.50693856462746</x:v>
      </x:c>
      <x:c r="C1854" s="4" t="n">
        <x:f>A1854*PI()*(3-SQRT(5))</x:f>
        <x:v>4435.13204853855</x:v>
      </x:c>
      <x:c r="D1854" s="4" t="n">
        <x:f>IF('계산 과정'!$L$5,B1854*COS(C1854),"")</x:f>
        <x:v>99.6143699736073</x:v>
      </x:c>
      <x:c r="E1854" s="4" t="n">
        <x:f>IF('계산 과정'!$L$5,B1854*SIN(C1854),"")</x:f>
        <x:v>-101.9078251844469</x:v>
      </x:c>
      <x:c r="F1854" s="4" t="n">
        <x:f>IF('계산 과정'!$L$7,'계산 과정'!$L$22+'계산 과정'!$C$49*D1854+'계산 과정'!$D$49*E1854,"")</x:f>
        <x:v>579.5620034880367</x:v>
      </x:c>
      <x:c r="G1854" s="4" t="n">
        <x:f>IF('계산 과정'!$L$7,IF(ABS(F1854)&gt;=1E-12*MAX(1,SQRT((D1854-'계산 과정'!$C$33)^2+(E1854-'계산 과정'!$D$33)^2+'계산 과정'!$E$33^2)),('계산 과정'!$L$23-'계산 과정'!$C$49*D1854-'계산 과정'!$D$49*E1854)/F1854,""),"")</x:f>
        <x:v>0.8117129723492547</x:v>
      </x:c>
      <x:c r="H1854" s="4" t="n">
        <x:f>IF(AND(ISNUMBER(G1854),G1854&gt;0),('계산 과정'!$D$56+'계산 과정'!$D$57*D1854+'계산 과정'!$D$58*E1854)/F1854,"")</x:f>
        <x:v>127.61343202701542</x:v>
      </x:c>
      <x:c r="I1854" s="4" t="n">
        <x:f>IF(AND(ISNUMBER(G1854),G1854&gt;0),('계산 과정'!$E$56+'계산 과정'!$E$57*D1854+'계산 과정'!$E$58*E1854)/F1854,"")</x:f>
        <x:v>-184.62772887056255</x:v>
      </x:c>
      <x:c r="J1854" s="4" t="n">
        <x:f>IF('계산 과정'!$L$5,'계산 과정'!$D$6+'계산 과정'!$C$35*D1854+'계산 과정'!$D$35*E1854,"")</x:f>
        <x:v>579.5620034880367</x:v>
      </x:c>
      <x:c r="K1854" s="4" t="n">
        <x:f>IF(AND('계산 과정'!$L$6,J1854&gt;0),'계산 과정'!$D$10*('계산 과정'!$C$38*(D1854-'계산 과정'!$C$32)+'계산 과정'!$D$38*(E1854-'계산 과정'!$D$32)-'계산 과정'!$E$38*'계산 과정'!$E$32)/J1854,"")</x:f>
        <x:v>0.9722928154439275</x:v>
      </x:c>
      <x:c r="L1854" s="4" t="n">
        <x:f>IF(AND('계산 과정'!$L$6,J1854&gt;0),'계산 과정'!$D$10*('계산 과정'!$C$39*(D1854-'계산 과정'!$C$32)+'계산 과정'!$D$39*(E1854-'계산 과정'!$D$32)-'계산 과정'!$E$39*'계산 과정'!$E$32)/J1854,"")</x:f>
        <x:v>-1.4066874580614288</x:v>
      </x:c>
      <x:c r="M1854" s="17" t="n">
        <x:f>IF('계산 과정'!$L$6,IF(J1854&lt;=0,0,IF(AND(ABS(K1854)&lt;='계산 과정'!$D$11/2,ABS(L1854)&lt;='계산 과정'!$D$12/2),1,0)),"")</x:f>
        <x:v>1</x:v>
      </x:c>
      <x:c r="N1854" s="17" t="n">
        <x:f>IF('계산 과정'!$C$78,IF(AND(ISNUMBER(H1854),ISNUMBER(I1854),ABS(H1854-'계산 과정'!$C$88)&lt;='계산 과정'!$D$23/2,ABS(I1854-'계산 과정'!$C$89)&lt;='계산 과정'!$D$24/2),1,0),"")</x:f>
        <x:v>1</x:v>
      </x:c>
      <x:c r="O1854" s="4" t="n">
        <x:f>IF('계산 과정'!$L$7,'계산 과정'!$C$49*('계산 과정'!$C$32-D1854)+'계산 과정'!$D$49*('계산 과정'!$D$32-E1854)+'계산 과정'!$E$49*'계산 과정'!$E$32,"")</x:f>
        <x:v>70.4379965119634</x:v>
      </x:c>
      <x:c r="P1854" s="4" t="n">
        <x:f>IF(AND('계산 과정'!$L$7,O1854&lt;&gt;0),('계산 과정'!$L$23-'계산 과정'!$C$49*D1854-'계산 과정'!$D$49*E1854)/O1854,"")</x:f>
        <x:v>6.678753227060663</x:v>
      </x:c>
      <x:c r="Q1854" s="4" t="str">
        <x:f>IF(AND(ISNUMBER(P1854),P1854&gt;1E-9,P1854&lt;1-1E-9),'계산 과정'!$C$47*(D1854-'계산 과정'!$C$50+P1854*('계산 과정'!$C$32-D1854))+'계산 과정'!$D$47*(E1854-'계산 과정'!$D$50+P1854*('계산 과정'!$D$32-E1854))+'계산 과정'!$E$47*(0-'계산 과정'!$E$50+P1854*('계산 과정'!$E$32-0)),"")</x:f>
      </x:c>
      <x:c r="R1854" s="4" t="str">
        <x:f>IF(AND(ISNUMBER(P1854),P1854&gt;1E-9,P1854&lt;1-1E-9),'계산 과정'!$C$48*(D1854-'계산 과정'!$C$50+P1854*('계산 과정'!$C$32-D1854))+'계산 과정'!$D$48*(E1854-'계산 과정'!$D$50+P1854*('계산 과정'!$D$32-E1854))+'계산 과정'!$E$48*(0-'계산 과정'!$E$50+P1854*('계산 과정'!$E$32-0)),"")</x:f>
      </x:c>
      <x:c r="S1854" s="17" t="n">
        <x:f>IF('계산 과정'!$C$78,IF(AND(ISNUMBER(Q1854),ISNUMBER(R1854),ABS(Q1854-'계산 과정'!$C$88)&lt;='계산 과정'!$D$23/2,ABS(R1854-'계산 과정'!$C$89)&lt;='계산 과정'!$D$24/2),1,0),"")</x:f>
        <x:v>0</x:v>
      </x:c>
      <x:c r="T1854" s="4"/>
      <x:c r="U1854" s="4"/>
      <x:c r="V1854" s="4"/>
      <x:c r="W1854" s="4"/>
      <x:c r="X1854" s="4"/>
      <x:c r="Y1854" s="4"/>
      <x:c r="Z1854" s="4"/>
    </x:row>
    <x:row r="1855" ht="23" customHeight="1">
      <x:c r="A1855" s="17" t="n">
        <x:f>ROW()-6</x:f>
        <x:v>1849</x:v>
      </x:c>
      <x:c r="B1855" s="4" t="n">
        <x:f>IF('계산 과정'!$L$5,'계산 과정'!$L$11*SQRT((A1855+0.5)/'계산 과정'!$L$30),"")</x:f>
        <x:v>142.54547999564033</x:v>
      </x:c>
      <x:c r="C1855" s="4" t="n">
        <x:f>A1855*PI()*(3-SQRT(5))</x:f>
        <x:v>4437.532011768279</x:v>
      </x:c>
      <x:c r="D1855" s="4" t="n">
        <x:f>IF('계산 과정'!$L$5,B1855*COS(C1855),"")</x:f>
        <x:v>-4.6160374901617764</x:v>
      </x:c>
      <x:c r="E1855" s="4" t="n">
        <x:f>IF('계산 과정'!$L$5,B1855*SIN(C1855),"")</x:f>
        <x:v>142.47072002722848</x:v>
      </x:c>
      <x:c r="F1855" s="4" t="n">
        <x:f>IF('계산 과정'!$L$7,'계산 과정'!$L$22+'계산 과정'!$C$49*D1855+'계산 과정'!$D$49*E1855,"")</x:f>
        <x:v>653.2640314115047</x:v>
      </x:c>
      <x:c r="G1855" s="4" t="n">
        <x:f>IF('계산 과정'!$L$7,IF(ABS(F1855)&gt;=1E-12*MAX(1,SQRT((D1855-'계산 과정'!$C$33)^2+(E1855-'계산 과정'!$D$33)^2+'계산 과정'!$E$33^2)),('계산 과정'!$L$23-'계산 과정'!$C$49*D1855-'계산 과정'!$D$49*E1855)/F1855,""),"")</x:f>
        <x:v>0.6073133518942864</x:v>
      </x:c>
      <x:c r="H1855" s="4" t="n">
        <x:f>IF(AND(ISNUMBER(G1855),G1855&gt;0),('계산 과정'!$D$56+'계산 과정'!$D$57*D1855+'계산 과정'!$D$58*E1855)/F1855,"")</x:f>
        <x:v>-5.24632126871401</x:v>
      </x:c>
      <x:c r="I1855" s="4" t="n">
        <x:f>IF(AND(ISNUMBER(G1855),G1855&gt;0),('계산 과정'!$E$56+'계산 과정'!$E$57*D1855+'계산 과정'!$E$58*E1855)/F1855,"")</x:f>
        <x:v>228.99509055375705</x:v>
      </x:c>
      <x:c r="J1855" s="4" t="n">
        <x:f>IF('계산 과정'!$L$5,'계산 과정'!$D$6+'계산 과정'!$C$35*D1855+'계산 과정'!$D$35*E1855,"")</x:f>
        <x:v>653.2640314115047</x:v>
      </x:c>
      <x:c r="K1855" s="4" t="n">
        <x:f>IF(AND('계산 과정'!$L$6,J1855&gt;0),'계산 과정'!$D$10*('계산 과정'!$C$38*(D1855-'계산 과정'!$C$32)+'계산 과정'!$D$38*(E1855-'계산 과정'!$D$32)-'계산 과정'!$E$38*'계산 과정'!$E$32)/J1855,"")</x:f>
        <x:v>-0.03997197157115359</x:v>
      </x:c>
      <x:c r="L1855" s="4" t="n">
        <x:f>IF(AND('계산 과정'!$L$6,J1855&gt;0),'계산 과정'!$D$10*('계산 과정'!$C$39*(D1855-'계산 과정'!$C$32)+'계산 과정'!$D$39*(E1855-'계산 과정'!$D$32)-'계산 과정'!$E$39*'계산 과정'!$E$32)/J1855,"")</x:f>
        <x:v>1.7447244994571967</x:v>
      </x:c>
      <x:c r="M1855" s="17" t="n">
        <x:f>IF('계산 과정'!$L$6,IF(J1855&lt;=0,0,IF(AND(ABS(K1855)&lt;='계산 과정'!$D$11/2,ABS(L1855)&lt;='계산 과정'!$D$12/2),1,0)),"")</x:f>
        <x:v>1</x:v>
      </x:c>
      <x:c r="N1855" s="17" t="n">
        <x:f>IF('계산 과정'!$C$78,IF(AND(ISNUMBER(H1855),ISNUMBER(I1855),ABS(H1855-'계산 과정'!$C$88)&lt;='계산 과정'!$D$23/2,ABS(I1855-'계산 과정'!$C$89)&lt;='계산 과정'!$D$24/2),1,0),"")</x:f>
        <x:v>1</x:v>
      </x:c>
      <x:c r="O1855" s="4" t="n">
        <x:f>IF('계산 과정'!$L$7,'계산 과정'!$C$49*('계산 과정'!$C$32-D1855)+'계산 과정'!$D$49*('계산 과정'!$D$32-E1855)+'계산 과정'!$E$49*'계산 과정'!$E$32,"")</x:f>
        <x:v>-3.264031411504618</x:v>
      </x:c>
      <x:c r="P1855" s="4" t="n">
        <x:f>IF(AND('계산 과정'!$L$7,O1855&lt;&gt;0),('계산 과정'!$L$23-'계산 과정'!$C$49*D1855-'계산 과정'!$D$49*E1855)/O1855,"")</x:f>
        <x:v>-121.5478402536611</x:v>
      </x:c>
      <x:c r="Q1855" s="4" t="str">
        <x:f>IF(AND(ISNUMBER(P1855),P1855&gt;1E-9,P1855&lt;1-1E-9),'계산 과정'!$C$47*(D1855-'계산 과정'!$C$50+P1855*('계산 과정'!$C$32-D1855))+'계산 과정'!$D$47*(E1855-'계산 과정'!$D$50+P1855*('계산 과정'!$D$32-E1855))+'계산 과정'!$E$47*(0-'계산 과정'!$E$50+P1855*('계산 과정'!$E$32-0)),"")</x:f>
      </x:c>
      <x:c r="R1855" s="4" t="str">
        <x:f>IF(AND(ISNUMBER(P1855),P1855&gt;1E-9,P1855&lt;1-1E-9),'계산 과정'!$C$48*(D1855-'계산 과정'!$C$50+P1855*('계산 과정'!$C$32-D1855))+'계산 과정'!$D$48*(E1855-'계산 과정'!$D$50+P1855*('계산 과정'!$D$32-E1855))+'계산 과정'!$E$48*(0-'계산 과정'!$E$50+P1855*('계산 과정'!$E$32-0)),"")</x:f>
      </x:c>
      <x:c r="S1855" s="17" t="n">
        <x:f>IF('계산 과정'!$C$78,IF(AND(ISNUMBER(Q1855),ISNUMBER(R1855),ABS(Q1855-'계산 과정'!$C$88)&lt;='계산 과정'!$D$23/2,ABS(R1855-'계산 과정'!$C$89)&lt;='계산 과정'!$D$24/2),1,0),"")</x:f>
        <x:v>0</x:v>
      </x:c>
      <x:c r="T1855" s="4"/>
      <x:c r="U1855" s="4"/>
      <x:c r="V1855" s="4"/>
      <x:c r="W1855" s="4"/>
      <x:c r="X1855" s="4"/>
      <x:c r="Y1855" s="4"/>
      <x:c r="Z1855" s="4"/>
    </x:row>
    <x:row r="1856" ht="23" customHeight="1">
      <x:c r="A1856" s="17" t="n">
        <x:f>ROW()-6</x:f>
        <x:v>1850</x:v>
      </x:c>
      <x:c r="B1856" s="4" t="n">
        <x:f>IF('계산 과정'!$L$5,'계산 과정'!$L$11*SQRT((A1856+0.5)/'계산 과정'!$L$30),"")</x:f>
        <x:v>142.58401100864185</x:v>
      </x:c>
      <x:c r="C1856" s="4" t="n">
        <x:f>A1856*PI()*(3-SQRT(5))</x:f>
        <x:v>4439.931974998008</x:v>
      </x:c>
      <x:c r="D1856" s="4" t="n">
        <x:f>IF('계산 과정'!$L$5,B1856*COS(C1856),"")</x:f>
        <x:v>-92.85895983510567</x:v>
      </x:c>
      <x:c r="E1856" s="4" t="n">
        <x:f>IF('계산 과정'!$L$5,B1856*SIN(C1856),"")</x:f>
        <x:v>-108.20080301760579</x:v>
      </x:c>
      <x:c r="F1856" s="4" t="n">
        <x:f>IF('계산 과정'!$L$7,'계산 과정'!$L$22+'계산 과정'!$C$49*D1856+'계산 과정'!$D$49*E1856,"")</x:f>
        <x:v>715.6612001933324</x:v>
      </x:c>
      <x:c r="G1856" s="4" t="n">
        <x:f>IF('계산 과정'!$L$7,IF(ABS(F1856)&gt;=1E-12*MAX(1,SQRT((D1856-'계산 과정'!$C$33)^2+(E1856-'계산 과정'!$D$33)^2+'계산 과정'!$E$33^2)),('계산 과정'!$L$23-'계산 과정'!$C$49*D1856-'계산 과정'!$D$49*E1856)/F1856,""),"")</x:f>
        <x:v>0.46717469064460604</x:v>
      </x:c>
      <x:c r="H1856" s="4" t="n">
        <x:f>IF(AND(ISNUMBER(G1856),G1856&gt;0),('계산 과정'!$D$56+'계산 과정'!$D$57*D1856+'계산 과정'!$D$58*E1856)/F1856,"")</x:f>
        <x:v>-96.33645108100625</x:v>
      </x:c>
      <x:c r="I1856" s="4" t="n">
        <x:f>IF(AND(ISNUMBER(G1856),G1856&gt;0),('계산 과정'!$E$56+'계산 과정'!$E$57*D1856+'계산 과정'!$E$58*E1856)/F1856,"")</x:f>
        <x:v>-158.74947969485373</x:v>
      </x:c>
      <x:c r="J1856" s="4" t="n">
        <x:f>IF('계산 과정'!$L$5,'계산 과정'!$D$6+'계산 과정'!$C$35*D1856+'계산 과정'!$D$35*E1856,"")</x:f>
        <x:v>715.6612001933324</x:v>
      </x:c>
      <x:c r="K1856" s="4" t="n">
        <x:f>IF(AND('계산 과정'!$L$6,J1856&gt;0),'계산 과정'!$D$10*('계산 과정'!$C$38*(D1856-'계산 과정'!$C$32)+'계산 과정'!$D$38*(E1856-'계산 과정'!$D$32)-'계산 과정'!$E$38*'계산 과정'!$E$32)/J1856,"")</x:f>
        <x:v>-0.7339920082362373</x:v>
      </x:c>
      <x:c r="L1856" s="4" t="n">
        <x:f>IF(AND('계산 과정'!$L$6,J1856&gt;0),'계산 과정'!$D$10*('계산 과정'!$C$39*(D1856-'계산 과정'!$C$32)+'계산 과정'!$D$39*(E1856-'계산 과정'!$D$32)-'계산 과정'!$E$39*'계산 과정'!$E$32)/J1856,"")</x:f>
        <x:v>-1.2095198452941238</x:v>
      </x:c>
      <x:c r="M1856" s="17" t="n">
        <x:f>IF('계산 과정'!$L$6,IF(J1856&lt;=0,0,IF(AND(ABS(K1856)&lt;='계산 과정'!$D$11/2,ABS(L1856)&lt;='계산 과정'!$D$12/2),1,0)),"")</x:f>
        <x:v>1</x:v>
      </x:c>
      <x:c r="N1856" s="17" t="n">
        <x:f>IF('계산 과정'!$C$78,IF(AND(ISNUMBER(H1856),ISNUMBER(I1856),ABS(H1856-'계산 과정'!$C$88)&lt;='계산 과정'!$D$23/2,ABS(I1856-'계산 과정'!$C$89)&lt;='계산 과정'!$D$24/2),1,0),"")</x:f>
        <x:v>1</x:v>
      </x:c>
      <x:c r="O1856" s="4" t="n">
        <x:f>IF('계산 과정'!$L$7,'계산 과정'!$C$49*('계산 과정'!$C$32-D1856)+'계산 과정'!$D$49*('계산 과정'!$D$32-E1856)+'계산 과정'!$E$49*'계산 과정'!$E$32,"")</x:f>
        <x:v>-65.66120019333238</x:v>
      </x:c>
      <x:c r="P1856" s="4" t="n">
        <x:f>IF(AND('계산 과정'!$L$7,O1856&lt;&gt;0),('계산 과정'!$L$23-'계산 과정'!$C$49*D1856-'계산 과정'!$D$49*E1856)/O1856,"")</x:f>
        <x:v>-5.091877681526423</x:v>
      </x:c>
      <x:c r="Q1856" s="4" t="str">
        <x:f>IF(AND(ISNUMBER(P1856),P1856&gt;1E-9,P1856&lt;1-1E-9),'계산 과정'!$C$47*(D1856-'계산 과정'!$C$50+P1856*('계산 과정'!$C$32-D1856))+'계산 과정'!$D$47*(E1856-'계산 과정'!$D$50+P1856*('계산 과정'!$D$32-E1856))+'계산 과정'!$E$47*(0-'계산 과정'!$E$50+P1856*('계산 과정'!$E$32-0)),"")</x:f>
      </x:c>
      <x:c r="R1856" s="4" t="str">
        <x:f>IF(AND(ISNUMBER(P1856),P1856&gt;1E-9,P1856&lt;1-1E-9),'계산 과정'!$C$48*(D1856-'계산 과정'!$C$50+P1856*('계산 과정'!$C$32-D1856))+'계산 과정'!$D$48*(E1856-'계산 과정'!$D$50+P1856*('계산 과정'!$D$32-E1856))+'계산 과정'!$E$48*(0-'계산 과정'!$E$50+P1856*('계산 과정'!$E$32-0)),"")</x:f>
      </x:c>
      <x:c r="S1856" s="17" t="n">
        <x:f>IF('계산 과정'!$C$78,IF(AND(ISNUMBER(Q1856),ISNUMBER(R1856),ABS(Q1856-'계산 과정'!$C$88)&lt;='계산 과정'!$D$23/2,ABS(R1856-'계산 과정'!$C$89)&lt;='계산 과정'!$D$24/2),1,0),"")</x:f>
        <x:v>0</x:v>
      </x:c>
      <x:c r="T1856" s="4"/>
      <x:c r="U1856" s="4"/>
      <x:c r="V1856" s="4"/>
      <x:c r="W1856" s="4"/>
      <x:c r="X1856" s="4"/>
      <x:c r="Y1856" s="4"/>
      <x:c r="Z1856" s="4"/>
    </x:row>
    <x:row r="1857" ht="23" customHeight="1">
      <x:c r="A1857" s="17" t="n">
        <x:f>ROW()-6</x:f>
        <x:v>1851</x:v>
      </x:c>
      <x:c r="B1857" s="4" t="n">
        <x:f>IF('계산 과정'!$L$5,'계산 과정'!$L$11*SQRT((A1857+0.5)/'계산 과정'!$L$30),"")</x:f>
        <x:v>142.6225316120756</x:v>
      </x:c>
      <x:c r="C1857" s="4" t="n">
        <x:f>A1857*PI()*(3-SQRT(5))</x:f>
        <x:v>4442.331938227737</x:v>
      </x:c>
      <x:c r="D1857" s="4" t="n">
        <x:f>IF('계산 과정'!$L$5,B1857*COS(C1857),"")</x:f>
        <x:v>141.59814323146617</x:v>
      </x:c>
      <x:c r="E1857" s="4" t="n">
        <x:f>IF('계산 과정'!$L$5,B1857*SIN(C1857),"")</x:f>
        <x:v>17.063187182900293</x:v>
      </x:c>
      <x:c r="F1857" s="4" t="n">
        <x:f>IF('계산 과정'!$L$7,'계산 과정'!$L$22+'계산 과정'!$C$49*D1857+'계산 과정'!$D$49*E1857,"")</x:f>
        <x:v>549.8749927176062</x:v>
      </x:c>
      <x:c r="G1857" s="4" t="n">
        <x:f>IF('계산 과정'!$L$7,IF(ABS(F1857)&gt;=1E-12*MAX(1,SQRT((D1857-'계산 과정'!$C$33)^2+(E1857-'계산 과정'!$D$33)^2+'계산 과정'!$E$33^2)),('계산 과정'!$L$23-'계산 과정'!$C$49*D1857-'계산 과정'!$D$49*E1857)/F1857,""),"")</x:f>
        <x:v>0.9095249173101384</x:v>
      </x:c>
      <x:c r="H1857" s="4" t="n">
        <x:f>IF(AND(ISNUMBER(G1857),G1857&gt;0),('계산 과정'!$D$56+'계산 과정'!$D$57*D1857+'계산 과정'!$D$58*E1857)/F1857,"")</x:f>
        <x:v>191.19119625158987</x:v>
      </x:c>
      <x:c r="I1857" s="4" t="n">
        <x:f>IF(AND(ISNUMBER(G1857),G1857&gt;0),('계산 과정'!$E$56+'계산 과정'!$E$57*D1857+'계산 과정'!$E$58*E1857)/F1857,"")</x:f>
        <x:v>32.582581094475096</x:v>
      </x:c>
      <x:c r="J1857" s="4" t="n">
        <x:f>IF('계산 과정'!$L$5,'계산 과정'!$D$6+'계산 과정'!$C$35*D1857+'계산 과정'!$D$35*E1857,"")</x:f>
        <x:v>549.8749927176062</x:v>
      </x:c>
      <x:c r="K1857" s="4" t="n">
        <x:f>IF(AND('계산 과정'!$L$6,J1857&gt;0),'계산 과정'!$D$10*('계산 과정'!$C$38*(D1857-'계산 과정'!$C$32)+'계산 과정'!$D$38*(E1857-'계산 과정'!$D$32)-'계산 과정'!$E$38*'계산 과정'!$E$32)/J1857,"")</x:f>
        <x:v>1.4566948285835426</x:v>
      </x:c>
      <x:c r="L1857" s="4" t="n">
        <x:f>IF(AND('계산 과정'!$L$6,J1857&gt;0),'계산 과정'!$D$10*('계산 과정'!$C$39*(D1857-'계산 과정'!$C$32)+'계산 과정'!$D$39*(E1857-'계산 과정'!$D$32)-'계산 과정'!$E$39*'계산 과정'!$E$32)/J1857,"")</x:f>
        <x:v>0.24824823691028644</x:v>
      </x:c>
      <x:c r="M1857" s="17" t="n">
        <x:f>IF('계산 과정'!$L$6,IF(J1857&lt;=0,0,IF(AND(ABS(K1857)&lt;='계산 과정'!$D$11/2,ABS(L1857)&lt;='계산 과정'!$D$12/2),1,0)),"")</x:f>
        <x:v>1</x:v>
      </x:c>
      <x:c r="N1857" s="17" t="n">
        <x:f>IF('계산 과정'!$C$78,IF(AND(ISNUMBER(H1857),ISNUMBER(I1857),ABS(H1857-'계산 과정'!$C$88)&lt;='계산 과정'!$D$23/2,ABS(I1857-'계산 과정'!$C$89)&lt;='계산 과정'!$D$24/2),1,0),"")</x:f>
        <x:v>1</x:v>
      </x:c>
      <x:c r="O1857" s="4" t="n">
        <x:f>IF('계산 과정'!$L$7,'계산 과정'!$C$49*('계산 과정'!$C$32-D1857)+'계산 과정'!$D$49*('계산 과정'!$D$32-E1857)+'계산 과정'!$E$49*'계산 과정'!$E$32,"")</x:f>
        <x:v>100.12500728239388</x:v>
      </x:c>
      <x:c r="P1857" s="4" t="n">
        <x:f>IF(AND('계산 과정'!$L$7,O1857&lt;&gt;0),('계산 과정'!$L$23-'계산 과정'!$C$49*D1857-'계산 과정'!$D$49*E1857)/O1857,"")</x:f>
        <x:v>4.995005951628395</x:v>
      </x:c>
      <x:c r="Q1857" s="4" t="str">
        <x:f>IF(AND(ISNUMBER(P1857),P1857&gt;1E-9,P1857&lt;1-1E-9),'계산 과정'!$C$47*(D1857-'계산 과정'!$C$50+P1857*('계산 과정'!$C$32-D1857))+'계산 과정'!$D$47*(E1857-'계산 과정'!$D$50+P1857*('계산 과정'!$D$32-E1857))+'계산 과정'!$E$47*(0-'계산 과정'!$E$50+P1857*('계산 과정'!$E$32-0)),"")</x:f>
      </x:c>
      <x:c r="R1857" s="4" t="str">
        <x:f>IF(AND(ISNUMBER(P1857),P1857&gt;1E-9,P1857&lt;1-1E-9),'계산 과정'!$C$48*(D1857-'계산 과정'!$C$50+P1857*('계산 과정'!$C$32-D1857))+'계산 과정'!$D$48*(E1857-'계산 과정'!$D$50+P1857*('계산 과정'!$D$32-E1857))+'계산 과정'!$E$48*(0-'계산 과정'!$E$50+P1857*('계산 과정'!$E$32-0)),"")</x:f>
      </x:c>
      <x:c r="S1857" s="17" t="n">
        <x:f>IF('계산 과정'!$C$78,IF(AND(ISNUMBER(Q1857),ISNUMBER(R1857),ABS(Q1857-'계산 과정'!$C$88)&lt;='계산 과정'!$D$23/2,ABS(R1857-'계산 과정'!$C$89)&lt;='계산 과정'!$D$24/2),1,0),"")</x:f>
        <x:v>0</x:v>
      </x:c>
      <x:c r="T1857" s="4"/>
      <x:c r="U1857" s="4"/>
      <x:c r="V1857" s="4"/>
      <x:c r="W1857" s="4"/>
      <x:c r="X1857" s="4"/>
      <x:c r="Y1857" s="4"/>
      <x:c r="Z1857" s="4"/>
    </x:row>
    <x:row r="1858" ht="23" customHeight="1">
      <x:c r="A1858" s="17" t="n">
        <x:f>ROW()-6</x:f>
        <x:v>1852</x:v>
      </x:c>
      <x:c r="B1858" s="4" t="n">
        <x:f>IF('계산 과정'!$L$5,'계산 과정'!$L$11*SQRT((A1858+0.5)/'계산 과정'!$L$30),"")</x:f>
        <x:v>142.66104181437376</x:v>
      </x:c>
      <x:c r="C1858" s="4" t="n">
        <x:f>A1858*PI()*(3-SQRT(5))</x:f>
        <x:v>4444.731901457465</x:v>
      </x:c>
      <x:c r="D1858" s="4" t="n">
        <x:f>IF('계산 과정'!$L$5,B1858*COS(C1858),"")</x:f>
        <x:v>-115.96738580801743</x:v>
      </x:c>
      <x:c r="E1858" s="4" t="n">
        <x:f>IF('계산 과정'!$L$5,B1858*SIN(C1858),"")</x:f>
        <x:v>83.08873738610386</x:v>
      </x:c>
      <x:c r="F1858" s="4" t="n">
        <x:f>IF('계산 과정'!$L$7,'계산 과정'!$L$22+'계산 과정'!$C$49*D1858+'계산 과정'!$D$49*E1858,"")</x:f>
        <x:v>732.0013249013257</x:v>
      </x:c>
      <x:c r="G1858" s="4" t="n">
        <x:f>IF('계산 과정'!$L$7,IF(ABS(F1858)&gt;=1E-12*MAX(1,SQRT((D1858-'계산 과정'!$C$33)^2+(E1858-'계산 과정'!$D$33)^2+'계산 과정'!$E$33^2)),('계산 과정'!$L$23-'계산 과정'!$C$49*D1858-'계산 과정'!$D$49*E1858)/F1858,""),"")</x:f>
        <x:v>0.43442363323801464</x:v>
      </x:c>
      <x:c r="H1858" s="4" t="n">
        <x:f>IF(AND(ISNUMBER(G1858),G1858&gt;0),('계산 과정'!$D$56+'계산 과정'!$D$57*D1858+'계산 과정'!$D$58*E1858)/F1858,"")</x:f>
        <x:v>-117.62463839529065</x:v>
      </x:c>
      <x:c r="I1858" s="4" t="n">
        <x:f>IF(AND(ISNUMBER(G1858),G1858&gt;0),('계산 과정'!$E$56+'계산 과정'!$E$57*D1858+'계산 과정'!$E$58*E1858)/F1858,"")</x:f>
        <x:v>119.18444856253434</x:v>
      </x:c>
      <x:c r="J1858" s="4" t="n">
        <x:f>IF('계산 과정'!$L$5,'계산 과정'!$D$6+'계산 과정'!$C$35*D1858+'계산 과정'!$D$35*E1858,"")</x:f>
        <x:v>732.0013249013257</x:v>
      </x:c>
      <x:c r="K1858" s="4" t="n">
        <x:f>IF(AND('계산 과정'!$L$6,J1858&gt;0),'계산 과정'!$D$10*('계산 과정'!$C$38*(D1858-'계산 과정'!$C$32)+'계산 과정'!$D$38*(E1858-'계산 과정'!$D$32)-'계산 과정'!$E$38*'계산 과정'!$E$32)/J1858,"")</x:f>
        <x:v>-0.8961877211069751</x:v>
      </x:c>
      <x:c r="L1858" s="4" t="n">
        <x:f>IF(AND('계산 과정'!$L$6,J1858&gt;0),'계산 과정'!$D$10*('계산 과정'!$C$39*(D1858-'계산 과정'!$C$32)+'계산 과정'!$D$39*(E1858-'계산 과정'!$D$32)-'계산 과정'!$E$39*'계산 과정'!$E$32)/J1858,"")</x:f>
        <x:v>0.9080719890478808</x:v>
      </x:c>
      <x:c r="M1858" s="17" t="n">
        <x:f>IF('계산 과정'!$L$6,IF(J1858&lt;=0,0,IF(AND(ABS(K1858)&lt;='계산 과정'!$D$11/2,ABS(L1858)&lt;='계산 과정'!$D$12/2),1,0)),"")</x:f>
        <x:v>1</x:v>
      </x:c>
      <x:c r="N1858" s="17" t="n">
        <x:f>IF('계산 과정'!$C$78,IF(AND(ISNUMBER(H1858),ISNUMBER(I1858),ABS(H1858-'계산 과정'!$C$88)&lt;='계산 과정'!$D$23/2,ABS(I1858-'계산 과정'!$C$89)&lt;='계산 과정'!$D$24/2),1,0),"")</x:f>
        <x:v>1</x:v>
      </x:c>
      <x:c r="O1858" s="4" t="n">
        <x:f>IF('계산 과정'!$L$7,'계산 과정'!$C$49*('계산 과정'!$C$32-D1858)+'계산 과정'!$D$49*('계산 과정'!$D$32-E1858)+'계산 과정'!$E$49*'계산 과정'!$E$32,"")</x:f>
        <x:v>-82.00132490132557</x:v>
      </x:c>
      <x:c r="P1858" s="4" t="n">
        <x:f>IF(AND('계산 과정'!$L$7,O1858&lt;&gt;0),('계산 과정'!$L$23-'계산 과정'!$C$49*D1858-'계산 과정'!$D$49*E1858)/O1858,"")</x:f>
        <x:v>-3.8779699655015425</x:v>
      </x:c>
      <x:c r="Q1858" s="4" t="str">
        <x:f>IF(AND(ISNUMBER(P1858),P1858&gt;1E-9,P1858&lt;1-1E-9),'계산 과정'!$C$47*(D1858-'계산 과정'!$C$50+P1858*('계산 과정'!$C$32-D1858))+'계산 과정'!$D$47*(E1858-'계산 과정'!$D$50+P1858*('계산 과정'!$D$32-E1858))+'계산 과정'!$E$47*(0-'계산 과정'!$E$50+P1858*('계산 과정'!$E$32-0)),"")</x:f>
      </x:c>
      <x:c r="R1858" s="4" t="str">
        <x:f>IF(AND(ISNUMBER(P1858),P1858&gt;1E-9,P1858&lt;1-1E-9),'계산 과정'!$C$48*(D1858-'계산 과정'!$C$50+P1858*('계산 과정'!$C$32-D1858))+'계산 과정'!$D$48*(E1858-'계산 과정'!$D$50+P1858*('계산 과정'!$D$32-E1858))+'계산 과정'!$E$48*(0-'계산 과정'!$E$50+P1858*('계산 과정'!$E$32-0)),"")</x:f>
      </x:c>
      <x:c r="S1858" s="17" t="n">
        <x:f>IF('계산 과정'!$C$78,IF(AND(ISNUMBER(Q1858),ISNUMBER(R1858),ABS(Q1858-'계산 과정'!$C$88)&lt;='계산 과정'!$D$23/2,ABS(R1858-'계산 과정'!$C$89)&lt;='계산 과정'!$D$24/2),1,0),"")</x:f>
        <x:v>0</x:v>
      </x:c>
      <x:c r="T1858" s="4"/>
      <x:c r="U1858" s="4"/>
      <x:c r="V1858" s="4"/>
      <x:c r="W1858" s="4"/>
      <x:c r="X1858" s="4"/>
      <x:c r="Y1858" s="4"/>
      <x:c r="Z1858" s="4"/>
    </x:row>
    <x:row r="1859" ht="23" customHeight="1">
      <x:c r="A1859" s="17" t="n">
        <x:f>ROW()-6</x:f>
        <x:v>1853</x:v>
      </x:c>
      <x:c r="B1859" s="4" t="n">
        <x:f>IF('계산 과정'!$L$5,'계산 과정'!$L$11*SQRT((A1859+0.5)/'계산 과정'!$L$30),"")</x:f>
        <x:v>142.6995416239572</x:v>
      </x:c>
      <x:c r="C1859" s="4" t="n">
        <x:f>A1859*PI()*(3-SQRT(5))</x:f>
        <x:v>4447.131864687194</x:v>
      </x:c>
      <x:c r="D1859" s="4" t="n">
        <x:f>IF('계산 과정'!$L$5,B1859*COS(C1859),"")</x:f>
        <x:v>29.393035632754714</x:v>
      </x:c>
      <x:c r="E1859" s="4" t="n">
        <x:f>IF('계산 과정'!$L$5,B1859*SIN(C1859),"")</x:f>
        <x:v>-139.63956687120992</x:v>
      </x:c>
      <x:c r="F1859" s="4" t="n">
        <x:f>IF('계산 과정'!$L$7,'계산 과정'!$L$22+'계산 과정'!$C$49*D1859+'계산 과정'!$D$49*E1859,"")</x:f>
        <x:v>629.2159851844214</x:v>
      </x:c>
      <x:c r="G1859" s="4" t="n">
        <x:f>IF('계산 과정'!$L$7,IF(ABS(F1859)&gt;=1E-12*MAX(1,SQRT((D1859-'계산 과정'!$C$33)^2+(E1859-'계산 과정'!$D$33)^2+'계산 과정'!$E$33^2)),('계산 과정'!$L$23-'계산 과정'!$C$49*D1859-'계산 과정'!$D$49*E1859)/F1859,""),"")</x:f>
        <x:v>0.668743364319087</x:v>
      </x:c>
      <x:c r="H1859" s="4" t="n">
        <x:f>IF(AND(ISNUMBER(G1859),G1859&gt;0),('계산 과정'!$D$56+'계산 과정'!$D$57*D1859+'계산 과정'!$D$58*E1859)/F1859,"")</x:f>
        <x:v>34.683186807406415</x:v>
      </x:c>
      <x:c r="I1859" s="4" t="n">
        <x:f>IF(AND(ISNUMBER(G1859),G1859&gt;0),('계산 과정'!$E$56+'계산 과정'!$E$57*D1859+'계산 과정'!$E$58*E1859)/F1859,"")</x:f>
        <x:v>-233.02260061272295</x:v>
      </x:c>
      <x:c r="J1859" s="4" t="n">
        <x:f>IF('계산 과정'!$L$5,'계산 과정'!$D$6+'계산 과정'!$C$35*D1859+'계산 과정'!$D$35*E1859,"")</x:f>
        <x:v>629.2159851844214</x:v>
      </x:c>
      <x:c r="K1859" s="4" t="n">
        <x:f>IF(AND('계산 과정'!$L$6,J1859&gt;0),'계산 과정'!$D$10*('계산 과정'!$C$38*(D1859-'계산 과정'!$C$32)+'계산 과정'!$D$38*(E1859-'계산 과정'!$D$32)-'계산 과정'!$E$38*'계산 과정'!$E$32)/J1859,"")</x:f>
        <x:v>0.26425285186595465</x:v>
      </x:c>
      <x:c r="L1859" s="4" t="n">
        <x:f>IF(AND('계산 과정'!$L$6,J1859&gt;0),'계산 과정'!$D$10*('계산 과정'!$C$39*(D1859-'계산 과정'!$C$32)+'계산 과정'!$D$39*(E1859-'계산 과정'!$D$32)-'계산 과정'!$E$39*'계산 과정'!$E$32)/J1859,"")</x:f>
        <x:v>-1.775410290382651</x:v>
      </x:c>
      <x:c r="M1859" s="17" t="n">
        <x:f>IF('계산 과정'!$L$6,IF(J1859&lt;=0,0,IF(AND(ABS(K1859)&lt;='계산 과정'!$D$11/2,ABS(L1859)&lt;='계산 과정'!$D$12/2),1,0)),"")</x:f>
        <x:v>1</x:v>
      </x:c>
      <x:c r="N1859" s="17" t="n">
        <x:f>IF('계산 과정'!$C$78,IF(AND(ISNUMBER(H1859),ISNUMBER(I1859),ABS(H1859-'계산 과정'!$C$88)&lt;='계산 과정'!$D$23/2,ABS(I1859-'계산 과정'!$C$89)&lt;='계산 과정'!$D$24/2),1,0),"")</x:f>
        <x:v>1</x:v>
      </x:c>
      <x:c r="O1859" s="4" t="n">
        <x:f>IF('계산 과정'!$L$7,'계산 과정'!$C$49*('계산 과정'!$C$32-D1859)+'계산 과정'!$D$49*('계산 과정'!$D$32-E1859)+'계산 과정'!$E$49*'계산 과정'!$E$32,"")</x:f>
        <x:v>20.784014815578814</x:v>
      </x:c>
      <x:c r="P1859" s="4" t="n">
        <x:f>IF(AND('계산 과정'!$L$7,O1859&lt;&gt;0),('계산 과정'!$L$23-'계산 과정'!$C$49*D1859-'계산 과정'!$D$49*E1859)/O1859,"")</x:f>
        <x:v>20.245559799167236</x:v>
      </x:c>
      <x:c r="Q1859" s="4" t="str">
        <x:f>IF(AND(ISNUMBER(P1859),P1859&gt;1E-9,P1859&lt;1-1E-9),'계산 과정'!$C$47*(D1859-'계산 과정'!$C$50+P1859*('계산 과정'!$C$32-D1859))+'계산 과정'!$D$47*(E1859-'계산 과정'!$D$50+P1859*('계산 과정'!$D$32-E1859))+'계산 과정'!$E$47*(0-'계산 과정'!$E$50+P1859*('계산 과정'!$E$32-0)),"")</x:f>
      </x:c>
      <x:c r="R1859" s="4" t="str">
        <x:f>IF(AND(ISNUMBER(P1859),P1859&gt;1E-9,P1859&lt;1-1E-9),'계산 과정'!$C$48*(D1859-'계산 과정'!$C$50+P1859*('계산 과정'!$C$32-D1859))+'계산 과정'!$D$48*(E1859-'계산 과정'!$D$50+P1859*('계산 과정'!$D$32-E1859))+'계산 과정'!$E$48*(0-'계산 과정'!$E$50+P1859*('계산 과정'!$E$32-0)),"")</x:f>
      </x:c>
      <x:c r="S1859" s="17" t="n">
        <x:f>IF('계산 과정'!$C$78,IF(AND(ISNUMBER(Q1859),ISNUMBER(R1859),ABS(Q1859-'계산 과정'!$C$88)&lt;='계산 과정'!$D$23/2,ABS(R1859-'계산 과정'!$C$89)&lt;='계산 과정'!$D$24/2),1,0),"")</x:f>
        <x:v>0</x:v>
      </x:c>
      <x:c r="T1859" s="4"/>
      <x:c r="U1859" s="4"/>
      <x:c r="V1859" s="4"/>
      <x:c r="W1859" s="4"/>
      <x:c r="X1859" s="4"/>
      <x:c r="Y1859" s="4"/>
      <x:c r="Z1859" s="4"/>
    </x:row>
    <x:row r="1860" ht="23" customHeight="1">
      <x:c r="A1860" s="17" t="n">
        <x:f>ROW()-6</x:f>
        <x:v>1854</x:v>
      </x:c>
      <x:c r="B1860" s="4" t="n">
        <x:f>IF('계산 과정'!$L$5,'계산 과정'!$L$11*SQRT((A1860+0.5)/'계산 과정'!$L$30),"")</x:f>
        <x:v>142.73803104923545</x:v>
      </x:c>
      <x:c r="C1860" s="4" t="n">
        <x:f>A1860*PI()*(3-SQRT(5))</x:f>
        <x:v>4449.531827916922</x:v>
      </x:c>
      <x:c r="D1860" s="4" t="n">
        <x:f>IF('계산 과정'!$L$5,B1860*COS(C1860),"")</x:f>
        <x:v>72.67125827204751</x:v>
      </x:c>
      <x:c r="E1860" s="4" t="n">
        <x:f>IF('계산 과정'!$L$5,B1860*SIN(C1860),"")</x:f>
        <x:v>122.8537086496369</x:v>
      </x:c>
      <x:c r="F1860" s="4" t="n">
        <x:f>IF('계산 과정'!$L$7,'계산 과정'!$L$22+'계산 과정'!$C$49*D1860+'계산 과정'!$D$49*E1860,"")</x:f>
        <x:v>598.6136604784763</x:v>
      </x:c>
      <x:c r="G1860" s="4" t="n">
        <x:f>IF('계산 과정'!$L$7,IF(ABS(F1860)&gt;=1E-12*MAX(1,SQRT((D1860-'계산 과정'!$C$33)^2+(E1860-'계산 과정'!$D$33)^2+'계산 과정'!$E$33^2)),('계산 과정'!$L$23-'계산 과정'!$C$49*D1860-'계산 과정'!$D$49*E1860)/F1860,""),"")</x:f>
        <x:v>0.7540528546587584</x:v>
      </x:c>
      <x:c r="H1860" s="4" t="n">
        <x:f>IF(AND(ISNUMBER(G1860),G1860&gt;0),('계산 과정'!$D$56+'계산 과정'!$D$57*D1860+'계산 과정'!$D$58*E1860)/F1860,"")</x:f>
        <x:v>90.13435552819286</x:v>
      </x:c>
      <x:c r="I1860" s="4" t="n">
        <x:f>IF(AND(ISNUMBER(G1860),G1860&gt;0),('계산 과정'!$E$56+'계산 과정'!$E$57*D1860+'계산 과정'!$E$58*E1860)/F1860,"")</x:f>
        <x:v>215.491898362311</x:v>
      </x:c>
      <x:c r="J1860" s="4" t="n">
        <x:f>IF('계산 과정'!$L$5,'계산 과정'!$D$6+'계산 과정'!$C$35*D1860+'계산 과정'!$D$35*E1860,"")</x:f>
        <x:v>598.6136604784763</x:v>
      </x:c>
      <x:c r="K1860" s="4" t="n">
        <x:f>IF(AND('계산 과정'!$L$6,J1860&gt;0),'계산 과정'!$D$10*('계산 과정'!$C$38*(D1860-'계산 과정'!$C$32)+'계산 과정'!$D$38*(E1860-'계산 과정'!$D$32)-'계산 과정'!$E$38*'계산 과정'!$E$32)/J1860,"")</x:f>
        <x:v>0.6867379468814702</x:v>
      </x:c>
      <x:c r="L1860" s="4" t="n">
        <x:f>IF(AND('계산 과정'!$L$6,J1860&gt;0),'계산 과정'!$D$10*('계산 과정'!$C$39*(D1860-'계산 과정'!$C$32)+'계산 과정'!$D$39*(E1860-'계산 과정'!$D$32)-'계산 과정'!$E$39*'계산 과정'!$E$32)/J1860,"")</x:f>
        <x:v>1.641843035141417</x:v>
      </x:c>
      <x:c r="M1860" s="17" t="n">
        <x:f>IF('계산 과정'!$L$6,IF(J1860&lt;=0,0,IF(AND(ABS(K1860)&lt;='계산 과정'!$D$11/2,ABS(L1860)&lt;='계산 과정'!$D$12/2),1,0)),"")</x:f>
        <x:v>1</x:v>
      </x:c>
      <x:c r="N1860" s="17" t="n">
        <x:f>IF('계산 과정'!$C$78,IF(AND(ISNUMBER(H1860),ISNUMBER(I1860),ABS(H1860-'계산 과정'!$C$88)&lt;='계산 과정'!$D$23/2,ABS(I1860-'계산 과정'!$C$89)&lt;='계산 과정'!$D$24/2),1,0),"")</x:f>
        <x:v>1</x:v>
      </x:c>
      <x:c r="O1860" s="4" t="n">
        <x:f>IF('계산 과정'!$L$7,'계산 과정'!$C$49*('계산 과정'!$C$32-D1860)+'계산 과정'!$D$49*('계산 과정'!$D$32-E1860)+'계산 과정'!$E$49*'계산 과정'!$E$32,"")</x:f>
        <x:v>51.386339521523894</x:v>
      </x:c>
      <x:c r="P1860" s="4" t="n">
        <x:f>IF(AND('계산 과정'!$L$7,O1860&lt;&gt;0),('계산 과정'!$L$23-'계산 과정'!$C$49*D1860-'계산 과정'!$D$49*E1860)/O1860,"")</x:f>
        <x:v>8.784169951090878</x:v>
      </x:c>
      <x:c r="Q1860" s="4" t="str">
        <x:f>IF(AND(ISNUMBER(P1860),P1860&gt;1E-9,P1860&lt;1-1E-9),'계산 과정'!$C$47*(D1860-'계산 과정'!$C$50+P1860*('계산 과정'!$C$32-D1860))+'계산 과정'!$D$47*(E1860-'계산 과정'!$D$50+P1860*('계산 과정'!$D$32-E1860))+'계산 과정'!$E$47*(0-'계산 과정'!$E$50+P1860*('계산 과정'!$E$32-0)),"")</x:f>
      </x:c>
      <x:c r="R1860" s="4" t="str">
        <x:f>IF(AND(ISNUMBER(P1860),P1860&gt;1E-9,P1860&lt;1-1E-9),'계산 과정'!$C$48*(D1860-'계산 과정'!$C$50+P1860*('계산 과정'!$C$32-D1860))+'계산 과정'!$D$48*(E1860-'계산 과정'!$D$50+P1860*('계산 과정'!$D$32-E1860))+'계산 과정'!$E$48*(0-'계산 과정'!$E$50+P1860*('계산 과정'!$E$32-0)),"")</x:f>
      </x:c>
      <x:c r="S1860" s="17" t="n">
        <x:f>IF('계산 과정'!$C$78,IF(AND(ISNUMBER(Q1860),ISNUMBER(R1860),ABS(Q1860-'계산 과정'!$C$88)&lt;='계산 과정'!$D$23/2,ABS(R1860-'계산 과정'!$C$89)&lt;='계산 과정'!$D$24/2),1,0),"")</x:f>
        <x:v>0</x:v>
      </x:c>
      <x:c r="T1860" s="4"/>
      <x:c r="U1860" s="4"/>
      <x:c r="V1860" s="4"/>
      <x:c r="W1860" s="4"/>
      <x:c r="X1860" s="4"/>
      <x:c r="Y1860" s="4"/>
      <x:c r="Z1860" s="4"/>
    </x:row>
    <x:row r="1861" ht="23" customHeight="1">
      <x:c r="A1861" s="17" t="n">
        <x:f>ROW()-6</x:f>
        <x:v>1855</x:v>
      </x:c>
      <x:c r="B1861" s="4" t="n">
        <x:f>IF('계산 과정'!$L$5,'계산 과정'!$L$11*SQRT((A1861+0.5)/'계산 과정'!$L$30),"")</x:f>
        <x:v>142.77651009860656</x:v>
      </x:c>
      <x:c r="C1861" s="4" t="n">
        <x:f>A1861*PI()*(3-SQRT(5))</x:f>
        <x:v>4451.931791146651</x:v>
      </x:c>
      <x:c r="D1861" s="4" t="n">
        <x:f>IF('계산 과정'!$L$5,B1861*COS(C1861),"")</x:f>
        <x:v>-136.6088288130177</x:v>
      </x:c>
      <x:c r="E1861" s="4" t="n">
        <x:f>IF('계산 과정'!$L$5,B1861*SIN(C1861),"")</x:f>
        <x:v>-41.51095911049428</x:v>
      </x:c>
      <x:c r="F1861" s="4" t="n">
        <x:f>IF('계산 과정'!$L$7,'계산 과정'!$L$22+'계산 과정'!$C$49*D1861+'계산 과정'!$D$49*E1861,"")</x:f>
        <x:v>746.597029223637</x:v>
      </x:c>
      <x:c r="G1861" s="4" t="n">
        <x:f>IF('계산 과정'!$L$7,IF(ABS(F1861)&gt;=1E-12*MAX(1,SQRT((D1861-'계산 과정'!$C$33)^2+(E1861-'계산 과정'!$D$33)^2+'계산 과정'!$E$33^2)),('계산 과정'!$L$23-'계산 과정'!$C$49*D1861-'계산 과정'!$D$49*E1861)/F1861,""),"")</x:f>
        <x:v>0.40638116534144564</x:v>
      </x:c>
      <x:c r="H1861" s="4" t="n">
        <x:f>IF(AND(ISNUMBER(G1861),G1861&gt;0),('계산 과정'!$D$56+'계산 과정'!$D$57*D1861+'계산 과정'!$D$58*E1861)/F1861,"")</x:f>
        <x:v>-135.8522425280605</x:v>
      </x:c>
      <x:c r="I1861" s="4" t="n">
        <x:f>IF(AND(ISNUMBER(G1861),G1861&gt;0),('계산 과정'!$E$56+'계산 과정'!$E$57*D1861+'계산 과정'!$E$58*E1861)/F1861,"")</x:f>
        <x:v>-58.38023104825804</x:v>
      </x:c>
      <x:c r="J1861" s="4" t="n">
        <x:f>IF('계산 과정'!$L$5,'계산 과정'!$D$6+'계산 과정'!$C$35*D1861+'계산 과정'!$D$35*E1861,"")</x:f>
        <x:v>746.597029223637</x:v>
      </x:c>
      <x:c r="K1861" s="4" t="n">
        <x:f>IF(AND('계산 과정'!$L$6,J1861&gt;0),'계산 과정'!$D$10*('계산 과정'!$C$38*(D1861-'계산 과정'!$C$32)+'계산 과정'!$D$38*(E1861-'계산 과정'!$D$32)-'계산 과정'!$E$38*'계산 과정'!$E$32)/J1861,"")</x:f>
        <x:v>-1.0350647049756978</x:v>
      </x:c>
      <x:c r="L1861" s="4" t="n">
        <x:f>IF(AND('계산 과정'!$L$6,J1861&gt;0),'계산 과정'!$D$10*('계산 과정'!$C$39*(D1861-'계산 과정'!$C$32)+'계산 과정'!$D$39*(E1861-'계산 과정'!$D$32)-'계산 과정'!$E$39*'계산 과정'!$E$32)/J1861,"")</x:f>
        <x:v>-0.4448017603676803</x:v>
      </x:c>
      <x:c r="M1861" s="17" t="n">
        <x:f>IF('계산 과정'!$L$6,IF(J1861&lt;=0,0,IF(AND(ABS(K1861)&lt;='계산 과정'!$D$11/2,ABS(L1861)&lt;='계산 과정'!$D$12/2),1,0)),"")</x:f>
        <x:v>1</x:v>
      </x:c>
      <x:c r="N1861" s="17" t="n">
        <x:f>IF('계산 과정'!$C$78,IF(AND(ISNUMBER(H1861),ISNUMBER(I1861),ABS(H1861-'계산 과정'!$C$88)&lt;='계산 과정'!$D$23/2,ABS(I1861-'계산 과정'!$C$89)&lt;='계산 과정'!$D$24/2),1,0),"")</x:f>
        <x:v>1</x:v>
      </x:c>
      <x:c r="O1861" s="4" t="n">
        <x:f>IF('계산 과정'!$L$7,'계산 과정'!$C$49*('계산 과정'!$C$32-D1861)+'계산 과정'!$D$49*('계산 과정'!$D$32-E1861)+'계산 과정'!$E$49*'계산 과정'!$E$32,"")</x:f>
        <x:v>-96.59702922363692</x:v>
      </x:c>
      <x:c r="P1861" s="4" t="n">
        <x:f>IF(AND('계산 과정'!$L$7,O1861&lt;&gt;0),('계산 과정'!$L$23-'계산 과정'!$C$49*D1861-'계산 과정'!$D$49*E1861)/O1861,"")</x:f>
        <x:v>-3.1409140965809477</x:v>
      </x:c>
      <x:c r="Q1861" s="4" t="str">
        <x:f>IF(AND(ISNUMBER(P1861),P1861&gt;1E-9,P1861&lt;1-1E-9),'계산 과정'!$C$47*(D1861-'계산 과정'!$C$50+P1861*('계산 과정'!$C$32-D1861))+'계산 과정'!$D$47*(E1861-'계산 과정'!$D$50+P1861*('계산 과정'!$D$32-E1861))+'계산 과정'!$E$47*(0-'계산 과정'!$E$50+P1861*('계산 과정'!$E$32-0)),"")</x:f>
      </x:c>
      <x:c r="R1861" s="4" t="str">
        <x:f>IF(AND(ISNUMBER(P1861),P1861&gt;1E-9,P1861&lt;1-1E-9),'계산 과정'!$C$48*(D1861-'계산 과정'!$C$50+P1861*('계산 과정'!$C$32-D1861))+'계산 과정'!$D$48*(E1861-'계산 과정'!$D$50+P1861*('계산 과정'!$D$32-E1861))+'계산 과정'!$E$48*(0-'계산 과정'!$E$50+P1861*('계산 과정'!$E$32-0)),"")</x:f>
      </x:c>
      <x:c r="S1861" s="17" t="n">
        <x:f>IF('계산 과정'!$C$78,IF(AND(ISNUMBER(Q1861),ISNUMBER(R1861),ABS(Q1861-'계산 과정'!$C$88)&lt;='계산 과정'!$D$23/2,ABS(R1861-'계산 과정'!$C$89)&lt;='계산 과정'!$D$24/2),1,0),"")</x:f>
        <x:v>0</x:v>
      </x:c>
      <x:c r="T1861" s="4"/>
      <x:c r="U1861" s="4"/>
      <x:c r="V1861" s="4"/>
      <x:c r="W1861" s="4"/>
      <x:c r="X1861" s="4"/>
      <x:c r="Y1861" s="4"/>
      <x:c r="Z1861" s="4"/>
    </x:row>
    <x:row r="1862" ht="23" customHeight="1">
      <x:c r="A1862" s="17" t="n">
        <x:f>ROW()-6</x:f>
        <x:v>1856</x:v>
      </x:c>
      <x:c r="B1862" s="4" t="n">
        <x:f>IF('계산 과정'!$L$5,'계산 과정'!$L$11*SQRT((A1862+0.5)/'계산 과정'!$L$30),"")</x:f>
        <x:v>142.8149787804574</x:v>
      </x:c>
      <x:c r="C1862" s="4" t="n">
        <x:f>A1862*PI()*(3-SQRT(5))</x:f>
        <x:v>4454.33175437638</x:v>
      </x:c>
      <x:c r="D1862" s="4" t="n">
        <x:f>IF('계산 과정'!$L$5,B1862*COS(C1862),"")</x:f>
        <x:v>128.8060440533969</x:v>
      </x:c>
      <x:c r="E1862" s="4" t="n">
        <x:f>IF('계산 과정'!$L$5,B1862*SIN(C1862),"")</x:f>
        <x:v>-61.68566429387685</x:v>
      </x:c>
      <x:c r="F1862" s="4" t="n">
        <x:f>IF('계산 과정'!$L$7,'계산 과정'!$L$22+'계산 과정'!$C$49*D1862+'계산 과정'!$D$49*E1862,"")</x:f>
        <x:v>558.9203727920299</x:v>
      </x:c>
      <x:c r="G1862" s="4" t="n">
        <x:f>IF('계산 과정'!$L$7,IF(ABS(F1862)&gt;=1E-12*MAX(1,SQRT((D1862-'계산 과정'!$C$33)^2+(E1862-'계산 과정'!$D$33)^2+'계산 과정'!$E$33^2)),('계산 과정'!$L$23-'계산 과정'!$C$49*D1862-'계산 과정'!$D$49*E1862)/F1862,""),"")</x:f>
        <x:v>0.8786218057410071</x:v>
      </x:c>
      <x:c r="H1862" s="4" t="n">
        <x:f>IF(AND(ISNUMBER(G1862),G1862&gt;0),('계산 과정'!$D$56+'계산 과정'!$D$57*D1862+'계산 과정'!$D$58*E1862)/F1862,"")</x:f>
        <x:v>171.1041737316545</x:v>
      </x:c>
      <x:c r="I1862" s="4" t="n">
        <x:f>IF(AND(ISNUMBER(G1862),G1862&gt;0),('계산 과정'!$E$56+'계산 과정'!$E$57*D1862+'계산 과정'!$E$58*E1862)/F1862,"")</x:f>
        <x:v>-115.88403404409648</x:v>
      </x:c>
      <x:c r="J1862" s="4" t="n">
        <x:f>IF('계산 과정'!$L$5,'계산 과정'!$D$6+'계산 과정'!$C$35*D1862+'계산 과정'!$D$35*E1862,"")</x:f>
        <x:v>558.9203727920299</x:v>
      </x:c>
      <x:c r="K1862" s="4" t="n">
        <x:f>IF(AND('계산 과정'!$L$6,J1862&gt;0),'계산 과정'!$D$10*('계산 과정'!$C$38*(D1862-'계산 과정'!$C$32)+'계산 과정'!$D$38*(E1862-'계산 과정'!$D$32)-'계산 과정'!$E$38*'계산 과정'!$E$32)/J1862,"")</x:f>
        <x:v>1.3036508474792736</x:v>
      </x:c>
      <x:c r="L1862" s="4" t="n">
        <x:f>IF(AND('계산 과정'!$L$6,J1862&gt;0),'계산 과정'!$D$10*('계산 과정'!$C$39*(D1862-'계산 과정'!$C$32)+'계산 과정'!$D$39*(E1862-'계산 과정'!$D$32)-'계산 과정'!$E$39*'계산 과정'!$E$32)/J1862,"")</x:f>
        <x:v>-0.8829259736693066</x:v>
      </x:c>
      <x:c r="M1862" s="17" t="n">
        <x:f>IF('계산 과정'!$L$6,IF(J1862&lt;=0,0,IF(AND(ABS(K1862)&lt;='계산 과정'!$D$11/2,ABS(L1862)&lt;='계산 과정'!$D$12/2),1,0)),"")</x:f>
        <x:v>1</x:v>
      </x:c>
      <x:c r="N1862" s="17" t="n">
        <x:f>IF('계산 과정'!$C$78,IF(AND(ISNUMBER(H1862),ISNUMBER(I1862),ABS(H1862-'계산 과정'!$C$88)&lt;='계산 과정'!$D$23/2,ABS(I1862-'계산 과정'!$C$89)&lt;='계산 과정'!$D$24/2),1,0),"")</x:f>
        <x:v>1</x:v>
      </x:c>
      <x:c r="O1862" s="4" t="n">
        <x:f>IF('계산 과정'!$L$7,'계산 과정'!$C$49*('계산 과정'!$C$32-D1862)+'계산 과정'!$D$49*('계산 과정'!$D$32-E1862)+'계산 과정'!$E$49*'계산 과정'!$E$32,"")</x:f>
        <x:v>91.07962720797025</x:v>
      </x:c>
      <x:c r="P1862" s="4" t="n">
        <x:f>IF(AND('계산 과정'!$L$7,O1862&lt;&gt;0),('계산 과정'!$L$23-'계산 과정'!$C$49*D1862-'계산 과정'!$D$49*E1862)/O1862,"")</x:f>
        <x:v>5.39176149773477</x:v>
      </x:c>
      <x:c r="Q1862" s="4" t="str">
        <x:f>IF(AND(ISNUMBER(P1862),P1862&gt;1E-9,P1862&lt;1-1E-9),'계산 과정'!$C$47*(D1862-'계산 과정'!$C$50+P1862*('계산 과정'!$C$32-D1862))+'계산 과정'!$D$47*(E1862-'계산 과정'!$D$50+P1862*('계산 과정'!$D$32-E1862))+'계산 과정'!$E$47*(0-'계산 과정'!$E$50+P1862*('계산 과정'!$E$32-0)),"")</x:f>
      </x:c>
      <x:c r="R1862" s="4" t="str">
        <x:f>IF(AND(ISNUMBER(P1862),P1862&gt;1E-9,P1862&lt;1-1E-9),'계산 과정'!$C$48*(D1862-'계산 과정'!$C$50+P1862*('계산 과정'!$C$32-D1862))+'계산 과정'!$D$48*(E1862-'계산 과정'!$D$50+P1862*('계산 과정'!$D$32-E1862))+'계산 과정'!$E$48*(0-'계산 과정'!$E$50+P1862*('계산 과정'!$E$32-0)),"")</x:f>
      </x:c>
      <x:c r="S1862" s="17" t="n">
        <x:f>IF('계산 과정'!$C$78,IF(AND(ISNUMBER(Q1862),ISNUMBER(R1862),ABS(Q1862-'계산 과정'!$C$88)&lt;='계산 과정'!$D$23/2,ABS(R1862-'계산 과정'!$C$89)&lt;='계산 과정'!$D$24/2),1,0),"")</x:f>
        <x:v>0</x:v>
      </x:c>
      <x:c r="T1862" s="4"/>
      <x:c r="U1862" s="4"/>
      <x:c r="V1862" s="4"/>
      <x:c r="W1862" s="4"/>
      <x:c r="X1862" s="4"/>
      <x:c r="Y1862" s="4"/>
      <x:c r="Z1862" s="4"/>
    </x:row>
    <x:row r="1863" ht="23" customHeight="1">
      <x:c r="A1863" s="17" t="n">
        <x:f>ROW()-6</x:f>
        <x:v>1857</x:v>
      </x:c>
      <x:c r="B1863" s="4" t="n">
        <x:f>IF('계산 과정'!$L$5,'계산 과정'!$L$11*SQRT((A1863+0.5)/'계산 과정'!$L$30),"")</x:f>
        <x:v>142.85343710316354</x:v>
      </x:c>
      <x:c r="C1863" s="4" t="n">
        <x:f>A1863*PI()*(3-SQRT(5))</x:f>
        <x:v>4456.731717606108</x:v>
      </x:c>
      <x:c r="D1863" s="4" t="n">
        <x:f>IF('계산 과정'!$L$5,B1863*COS(C1863),"")</x:f>
        <x:v>-53.3238562626042</x:v>
      </x:c>
      <x:c r="E1863" s="4" t="n">
        <x:f>IF('계산 과정'!$L$5,B1863*SIN(C1863),"")</x:f>
        <x:v>132.5280002319232</x:v>
      </x:c>
      <x:c r="F1863" s="4" t="n">
        <x:f>IF('계산 과정'!$L$7,'계산 과정'!$L$22+'계산 과정'!$C$49*D1863+'계산 과정'!$D$49*E1863,"")</x:f>
        <x:v>687.7056603623042</x:v>
      </x:c>
      <x:c r="G1863" s="4" t="n">
        <x:f>IF('계산 과정'!$L$7,IF(ABS(F1863)&gt;=1E-12*MAX(1,SQRT((D1863-'계산 과정'!$C$33)^2+(E1863-'계산 과정'!$D$33)^2+'계산 과정'!$E$33^2)),('계산 과정'!$L$23-'계산 과정'!$C$49*D1863-'계산 과정'!$D$49*E1863)/F1863,""),"")</x:f>
        <x:v>0.5268159919562508</x:v>
      </x:c>
      <x:c r="H1863" s="4" t="n">
        <x:f>IF(AND(ISNUMBER(G1863),G1863&gt;0),('계산 과정'!$D$56+'계산 과정'!$D$57*D1863+'계산 과정'!$D$58*E1863)/F1863,"")</x:f>
        <x:v>-57.56960522843706</x:v>
      </x:c>
      <x:c r="I1863" s="4" t="n">
        <x:f>IF(AND(ISNUMBER(G1863),G1863&gt;0),('계산 과정'!$E$56+'계산 과정'!$E$57*D1863+'계산 과정'!$E$58*E1863)/F1863,"")</x:f>
        <x:v>202.34587013608203</x:v>
      </x:c>
      <x:c r="J1863" s="4" t="n">
        <x:f>IF('계산 과정'!$L$5,'계산 과정'!$D$6+'계산 과정'!$C$35*D1863+'계산 과정'!$D$35*E1863,"")</x:f>
        <x:v>687.7056603623042</x:v>
      </x:c>
      <x:c r="K1863" s="4" t="n">
        <x:f>IF(AND('계산 과정'!$L$6,J1863&gt;0),'계산 과정'!$D$10*('계산 과정'!$C$38*(D1863-'계산 과정'!$C$32)+'계산 과정'!$D$38*(E1863-'계산 과정'!$D$32)-'계산 과정'!$E$38*'계산 과정'!$E$32)/J1863,"")</x:f>
        <x:v>-0.43862556364523375</x:v>
      </x:c>
      <x:c r="L1863" s="4" t="n">
        <x:f>IF(AND('계산 과정'!$L$6,J1863&gt;0),'계산 과정'!$D$10*('계산 과정'!$C$39*(D1863-'계산 과정'!$C$32)+'계산 과정'!$D$39*(E1863-'계산 과정'!$D$32)-'계산 과정'!$E$39*'계산 과정'!$E$32)/J1863,"")</x:f>
        <x:v>1.5416828200844346</x:v>
      </x:c>
      <x:c r="M1863" s="17" t="n">
        <x:f>IF('계산 과정'!$L$6,IF(J1863&lt;=0,0,IF(AND(ABS(K1863)&lt;='계산 과정'!$D$11/2,ABS(L1863)&lt;='계산 과정'!$D$12/2),1,0)),"")</x:f>
        <x:v>1</x:v>
      </x:c>
      <x:c r="N1863" s="17" t="n">
        <x:f>IF('계산 과정'!$C$78,IF(AND(ISNUMBER(H1863),ISNUMBER(I1863),ABS(H1863-'계산 과정'!$C$88)&lt;='계산 과정'!$D$23/2,ABS(I1863-'계산 과정'!$C$89)&lt;='계산 과정'!$D$24/2),1,0),"")</x:f>
        <x:v>1</x:v>
      </x:c>
      <x:c r="O1863" s="4" t="n">
        <x:f>IF('계산 과정'!$L$7,'계산 과정'!$C$49*('계산 과정'!$C$32-D1863)+'계산 과정'!$D$49*('계산 과정'!$D$32-E1863)+'계산 과정'!$E$49*'계산 과정'!$E$32,"")</x:f>
        <x:v>-37.70566036230406</x:v>
      </x:c>
      <x:c r="P1863" s="4" t="n">
        <x:f>IF(AND('계산 과정'!$L$7,O1863&lt;&gt;0),('계산 과정'!$L$23-'계산 과정'!$C$49*D1863-'계산 과정'!$D$49*E1863)/O1863,"")</x:f>
        <x:v>-9.608486793667106</x:v>
      </x:c>
      <x:c r="Q1863" s="4" t="str">
        <x:f>IF(AND(ISNUMBER(P1863),P1863&gt;1E-9,P1863&lt;1-1E-9),'계산 과정'!$C$47*(D1863-'계산 과정'!$C$50+P1863*('계산 과정'!$C$32-D1863))+'계산 과정'!$D$47*(E1863-'계산 과정'!$D$50+P1863*('계산 과정'!$D$32-E1863))+'계산 과정'!$E$47*(0-'계산 과정'!$E$50+P1863*('계산 과정'!$E$32-0)),"")</x:f>
      </x:c>
      <x:c r="R1863" s="4" t="str">
        <x:f>IF(AND(ISNUMBER(P1863),P1863&gt;1E-9,P1863&lt;1-1E-9),'계산 과정'!$C$48*(D1863-'계산 과정'!$C$50+P1863*('계산 과정'!$C$32-D1863))+'계산 과정'!$D$48*(E1863-'계산 과정'!$D$50+P1863*('계산 과정'!$D$32-E1863))+'계산 과정'!$E$48*(0-'계산 과정'!$E$50+P1863*('계산 과정'!$E$32-0)),"")</x:f>
      </x:c>
      <x:c r="S1863" s="17" t="n">
        <x:f>IF('계산 과정'!$C$78,IF(AND(ISNUMBER(Q1863),ISNUMBER(R1863),ABS(Q1863-'계산 과정'!$C$88)&lt;='계산 과정'!$D$23/2,ABS(R1863-'계산 과정'!$C$89)&lt;='계산 과정'!$D$24/2),1,0),"")</x:f>
        <x:v>0</x:v>
      </x:c>
      <x:c r="T1863" s="4"/>
      <x:c r="U1863" s="4"/>
      <x:c r="V1863" s="4"/>
      <x:c r="W1863" s="4"/>
      <x:c r="X1863" s="4"/>
      <x:c r="Y1863" s="4"/>
      <x:c r="Z1863" s="4"/>
    </x:row>
    <x:row r="1864" ht="23" customHeight="1">
      <x:c r="A1864" s="17" t="n">
        <x:f>ROW()-6</x:f>
        <x:v>1858</x:v>
      </x:c>
      <x:c r="B1864" s="4" t="n">
        <x:f>IF('계산 과정'!$L$5,'계산 과정'!$L$11*SQRT((A1864+0.5)/'계산 과정'!$L$30),"")</x:f>
        <x:v>142.89188507508922</x:v>
      </x:c>
      <x:c r="C1864" s="4" t="n">
        <x:f>A1864*PI()*(3-SQRT(5))</x:f>
        <x:v>4459.131680835837</x:v>
      </x:c>
      <x:c r="D1864" s="4" t="n">
        <x:f>IF('계산 과정'!$L$5,B1864*COS(C1864),"")</x:f>
        <x:v>-50.215537320370295</x:v>
      </x:c>
      <x:c r="E1864" s="4" t="n">
        <x:f>IF('계산 과정'!$L$5,B1864*SIN(C1864),"")</x:f>
        <x:v>-133.77776583550423</x:v>
      </x:c>
      <x:c r="F1864" s="4" t="n">
        <x:f>IF('계산 과정'!$L$7,'계산 과정'!$L$22+'계산 과정'!$C$49*D1864+'계산 과정'!$D$49*E1864,"")</x:f>
        <x:v>685.50774696016</x:v>
      </x:c>
      <x:c r="G1864" s="4" t="n">
        <x:f>IF('계산 과정'!$L$7,IF(ABS(F1864)&gt;=1E-12*MAX(1,SQRT((D1864-'계산 과정'!$C$33)^2+(E1864-'계산 과정'!$D$33)^2+'계산 과정'!$E$33^2)),('계산 과정'!$L$23-'계산 과정'!$C$49*D1864-'계산 과정'!$D$49*E1864)/F1864,""),"")</x:f>
        <x:v>0.5317113550593081</x:v>
      </x:c>
      <x:c r="H1864" s="4" t="n">
        <x:f>IF(AND(ISNUMBER(G1864),G1864&gt;0),('계산 과정'!$D$56+'계산 과정'!$D$57*D1864+'계산 과정'!$D$58*E1864)/F1864,"")</x:f>
        <x:v>-54.3876192114498</x:v>
      </x:c>
      <x:c r="I1864" s="4" t="n">
        <x:f>IF(AND(ISNUMBER(G1864),G1864&gt;0),('계산 과정'!$E$56+'계산 과정'!$E$57*D1864+'계산 과정'!$E$58*E1864)/F1864,"")</x:f>
        <x:v>-204.908922984707</x:v>
      </x:c>
      <x:c r="J1864" s="4" t="n">
        <x:f>IF('계산 과정'!$L$5,'계산 과정'!$D$6+'계산 과정'!$C$35*D1864+'계산 과정'!$D$35*E1864,"")</x:f>
        <x:v>685.50774696016</x:v>
      </x:c>
      <x:c r="K1864" s="4" t="n">
        <x:f>IF(AND('계산 과정'!$L$6,J1864&gt;0),'계산 과정'!$D$10*('계산 과정'!$C$38*(D1864-'계산 과정'!$C$32)+'계산 과정'!$D$38*(E1864-'계산 과정'!$D$32)-'계산 과정'!$E$38*'계산 과정'!$E$32)/J1864,"")</x:f>
        <x:v>-0.4143818606586641</x:v>
      </x:c>
      <x:c r="L1864" s="4" t="n">
        <x:f>IF(AND('계산 과정'!$L$6,J1864&gt;0),'계산 과정'!$D$10*('계산 과정'!$C$39*(D1864-'계산 과정'!$C$32)+'계산 과정'!$D$39*(E1864-'계산 과정'!$D$32)-'계산 과정'!$E$39*'계산 과정'!$E$32)/J1864,"")</x:f>
        <x:v>-1.5612108417882438</x:v>
      </x:c>
      <x:c r="M1864" s="17" t="n">
        <x:f>IF('계산 과정'!$L$6,IF(J1864&lt;=0,0,IF(AND(ABS(K1864)&lt;='계산 과정'!$D$11/2,ABS(L1864)&lt;='계산 과정'!$D$12/2),1,0)),"")</x:f>
        <x:v>1</x:v>
      </x:c>
      <x:c r="N1864" s="17" t="n">
        <x:f>IF('계산 과정'!$C$78,IF(AND(ISNUMBER(H1864),ISNUMBER(I1864),ABS(H1864-'계산 과정'!$C$88)&lt;='계산 과정'!$D$23/2,ABS(I1864-'계산 과정'!$C$89)&lt;='계산 과정'!$D$24/2),1,0),"")</x:f>
        <x:v>1</x:v>
      </x:c>
      <x:c r="O1864" s="4" t="n">
        <x:f>IF('계산 과정'!$L$7,'계산 과정'!$C$49*('계산 과정'!$C$32-D1864)+'계산 과정'!$D$49*('계산 과정'!$D$32-E1864)+'계산 과정'!$E$49*'계산 과정'!$E$32,"")</x:f>
        <x:v>-35.507746960159864</x:v>
      </x:c>
      <x:c r="P1864" s="4" t="n">
        <x:f>IF(AND('계산 과정'!$L$7,O1864&lt;&gt;0),('계산 과정'!$L$23-'계산 과정'!$C$49*D1864-'계산 과정'!$D$49*E1864)/O1864,"")</x:f>
        <x:v>-10.265147305707819</x:v>
      </x:c>
      <x:c r="Q1864" s="4" t="str">
        <x:f>IF(AND(ISNUMBER(P1864),P1864&gt;1E-9,P1864&lt;1-1E-9),'계산 과정'!$C$47*(D1864-'계산 과정'!$C$50+P1864*('계산 과정'!$C$32-D1864))+'계산 과정'!$D$47*(E1864-'계산 과정'!$D$50+P1864*('계산 과정'!$D$32-E1864))+'계산 과정'!$E$47*(0-'계산 과정'!$E$50+P1864*('계산 과정'!$E$32-0)),"")</x:f>
      </x:c>
      <x:c r="R1864" s="4" t="str">
        <x:f>IF(AND(ISNUMBER(P1864),P1864&gt;1E-9,P1864&lt;1-1E-9),'계산 과정'!$C$48*(D1864-'계산 과정'!$C$50+P1864*('계산 과정'!$C$32-D1864))+'계산 과정'!$D$48*(E1864-'계산 과정'!$D$50+P1864*('계산 과정'!$D$32-E1864))+'계산 과정'!$E$48*(0-'계산 과정'!$E$50+P1864*('계산 과정'!$E$32-0)),"")</x:f>
      </x:c>
      <x:c r="S1864" s="17" t="n">
        <x:f>IF('계산 과정'!$C$78,IF(AND(ISNUMBER(Q1864),ISNUMBER(R1864),ABS(Q1864-'계산 과정'!$C$88)&lt;='계산 과정'!$D$23/2,ABS(R1864-'계산 과정'!$C$89)&lt;='계산 과정'!$D$24/2),1,0),"")</x:f>
        <x:v>0</x:v>
      </x:c>
      <x:c r="T1864" s="4"/>
      <x:c r="U1864" s="4"/>
      <x:c r="V1864" s="4"/>
      <x:c r="W1864" s="4"/>
      <x:c r="X1864" s="4"/>
      <x:c r="Y1864" s="4"/>
      <x:c r="Z1864" s="4"/>
    </x:row>
    <x:row r="1865" ht="23" customHeight="1">
      <x:c r="A1865" s="17" t="n">
        <x:f>ROW()-6</x:f>
        <x:v>1859</x:v>
      </x:c>
      <x:c r="B1865" s="4" t="n">
        <x:f>IF('계산 과정'!$L$5,'계산 과정'!$L$11*SQRT((A1865+0.5)/'계산 과정'!$L$30),"")</x:f>
        <x:v>142.93032270458744</x:v>
      </x:c>
      <x:c r="C1865" s="4" t="n">
        <x:f>A1865*PI()*(3-SQRT(5))</x:f>
        <x:v>4461.531644065566</x:v>
      </x:c>
      <x:c r="D1865" s="4" t="n">
        <x:f>IF('계산 과정'!$L$5,B1865*COS(C1865),"")</x:f>
        <x:v>127.42722527485846</x:v>
      </x:c>
      <x:c r="E1865" s="4" t="n">
        <x:f>IF('계산 과정'!$L$5,B1865*SIN(C1865),"")</x:f>
        <x:v>64.74086350357072</x:v>
      </x:c>
      <x:c r="F1865" s="4" t="n">
        <x:f>IF('계산 과정'!$L$7,'계산 과정'!$L$22+'계산 과정'!$C$49*D1865+'계산 과정'!$D$49*E1865,"")</x:f>
        <x:v>559.8953449003618</x:v>
      </x:c>
      <x:c r="G1865" s="4" t="n">
        <x:f>IF('계산 과정'!$L$7,IF(ABS(F1865)&gt;=1E-12*MAX(1,SQRT((D1865-'계산 과정'!$C$33)^2+(E1865-'계산 과정'!$D$33)^2+'계산 과정'!$E$33^2)),('계산 과정'!$L$23-'계산 과정'!$C$49*D1865-'계산 과정'!$D$49*E1865)/F1865,""),"")</x:f>
        <x:v>0.8753504731975519</x:v>
      </x:c>
      <x:c r="H1865" s="4" t="n">
        <x:f>IF(AND(ISNUMBER(G1865),G1865&gt;0),('계산 과정'!$D$56+'계산 과정'!$D$57*D1865+'계산 과정'!$D$58*E1865)/F1865,"")</x:f>
        <x:v>168.9778075784087</x:v>
      </x:c>
      <x:c r="I1865" s="4" t="n">
        <x:f>IF(AND(ISNUMBER(G1865),G1865&gt;0),('계산 과정'!$E$56+'계산 과정'!$E$57*D1865+'계산 과정'!$E$58*E1865)/F1865,"")</x:f>
        <x:v>121.41180900663947</x:v>
      </x:c>
      <x:c r="J1865" s="4" t="n">
        <x:f>IF('계산 과정'!$L$5,'계산 과정'!$D$6+'계산 과정'!$C$35*D1865+'계산 과정'!$D$35*E1865,"")</x:f>
        <x:v>559.8953449003618</x:v>
      </x:c>
      <x:c r="K1865" s="4" t="n">
        <x:f>IF(AND('계산 과정'!$L$6,J1865&gt;0),'계산 과정'!$D$10*('계산 과정'!$C$38*(D1865-'계산 과정'!$C$32)+'계산 과정'!$D$38*(E1865-'계산 과정'!$D$32)-'계산 과정'!$E$38*'계산 과정'!$E$32)/J1865,"")</x:f>
        <x:v>1.2874499625021623</x:v>
      </x:c>
      <x:c r="L1865" s="4" t="n">
        <x:f>IF(AND('계산 과정'!$L$6,J1865&gt;0),'계산 과정'!$D$10*('계산 과정'!$C$39*(D1865-'계산 과정'!$C$32)+'계산 과정'!$D$39*(E1865-'계산 과정'!$D$32)-'계산 과정'!$E$39*'계산 과정'!$E$32)/J1865,"")</x:f>
        <x:v>0.9250423543363007</x:v>
      </x:c>
      <x:c r="M1865" s="17" t="n">
        <x:f>IF('계산 과정'!$L$6,IF(J1865&lt;=0,0,IF(AND(ABS(K1865)&lt;='계산 과정'!$D$11/2,ABS(L1865)&lt;='계산 과정'!$D$12/2),1,0)),"")</x:f>
        <x:v>1</x:v>
      </x:c>
      <x:c r="N1865" s="17" t="n">
        <x:f>IF('계산 과정'!$C$78,IF(AND(ISNUMBER(H1865),ISNUMBER(I1865),ABS(H1865-'계산 과정'!$C$88)&lt;='계산 과정'!$D$23/2,ABS(I1865-'계산 과정'!$C$89)&lt;='계산 과정'!$D$24/2),1,0),"")</x:f>
        <x:v>1</x:v>
      </x:c>
      <x:c r="O1865" s="4" t="n">
        <x:f>IF('계산 과정'!$L$7,'계산 과정'!$C$49*('계산 과정'!$C$32-D1865)+'계산 과정'!$D$49*('계산 과정'!$D$32-E1865)+'계산 과정'!$E$49*'계산 과정'!$E$32,"")</x:f>
        <x:v>90.10465509963836</x:v>
      </x:c>
      <x:c r="P1865" s="4" t="n">
        <x:f>IF(AND('계산 과정'!$L$7,O1865&lt;&gt;0),('계산 과정'!$L$23-'계산 과정'!$C$49*D1865-'계산 과정'!$D$49*E1865)/O1865,"")</x:f>
        <x:v>5.439282294102087</x:v>
      </x:c>
      <x:c r="Q1865" s="4" t="str">
        <x:f>IF(AND(ISNUMBER(P1865),P1865&gt;1E-9,P1865&lt;1-1E-9),'계산 과정'!$C$47*(D1865-'계산 과정'!$C$50+P1865*('계산 과정'!$C$32-D1865))+'계산 과정'!$D$47*(E1865-'계산 과정'!$D$50+P1865*('계산 과정'!$D$32-E1865))+'계산 과정'!$E$47*(0-'계산 과정'!$E$50+P1865*('계산 과정'!$E$32-0)),"")</x:f>
      </x:c>
      <x:c r="R1865" s="4" t="str">
        <x:f>IF(AND(ISNUMBER(P1865),P1865&gt;1E-9,P1865&lt;1-1E-9),'계산 과정'!$C$48*(D1865-'계산 과정'!$C$50+P1865*('계산 과정'!$C$32-D1865))+'계산 과정'!$D$48*(E1865-'계산 과정'!$D$50+P1865*('계산 과정'!$D$32-E1865))+'계산 과정'!$E$48*(0-'계산 과정'!$E$50+P1865*('계산 과정'!$E$32-0)),"")</x:f>
      </x:c>
      <x:c r="S1865" s="17" t="n">
        <x:f>IF('계산 과정'!$C$78,IF(AND(ISNUMBER(Q1865),ISNUMBER(R1865),ABS(Q1865-'계산 과정'!$C$88)&lt;='계산 과정'!$D$23/2,ABS(R1865-'계산 과정'!$C$89)&lt;='계산 과정'!$D$24/2),1,0),"")</x:f>
        <x:v>0</x:v>
      </x:c>
      <x:c r="T1865" s="4"/>
      <x:c r="U1865" s="4"/>
      <x:c r="V1865" s="4"/>
      <x:c r="W1865" s="4"/>
      <x:c r="X1865" s="4"/>
      <x:c r="Y1865" s="4"/>
      <x:c r="Z1865" s="4"/>
    </x:row>
    <x:row r="1866" ht="23" customHeight="1">
      <x:c r="A1866" s="17" t="n">
        <x:f>ROW()-6</x:f>
        <x:v>1860</x:v>
      </x:c>
      <x:c r="B1866" s="4" t="n">
        <x:f>IF('계산 과정'!$L$5,'계산 과정'!$L$11*SQRT((A1866+0.5)/'계산 과정'!$L$30),"")</x:f>
        <x:v>142.96875</x:v>
      </x:c>
      <x:c r="C1866" s="4" t="n">
        <x:f>A1866*PI()*(3-SQRT(5))</x:f>
        <x:v>4463.931607295294</x:v>
      </x:c>
      <x:c r="D1866" s="4" t="n">
        <x:f>IF('계산 과정'!$L$5,B1866*COS(C1866),"")</x:f>
        <x:v>-137.7297142180134</x:v>
      </x:c>
      <x:c r="E1866" s="4" t="n">
        <x:f>IF('계산 과정'!$L$5,B1866*SIN(C1866),"")</x:f>
        <x:v>38.34826329818406</x:v>
      </x:c>
      <x:c r="F1866" s="4" t="n">
        <x:f>IF('계산 과정'!$L$7,'계산 과정'!$L$22+'계산 과정'!$C$49*D1866+'계산 과정'!$D$49*E1866,"")</x:f>
        <x:v>747.3896148944425</x:v>
      </x:c>
      <x:c r="G1866" s="4" t="n">
        <x:f>IF('계산 과정'!$L$7,IF(ABS(F1866)&gt;=1E-12*MAX(1,SQRT((D1866-'계산 과정'!$C$33)^2+(E1866-'계산 과정'!$D$33)^2+'계산 과정'!$E$33^2)),('계산 과정'!$L$23-'계산 과정'!$C$49*D1866-'계산 과정'!$D$49*E1866)/F1866,""),"")</x:f>
        <x:v>0.404889737661523</x:v>
      </x:c>
      <x:c r="H1866" s="4" t="n">
        <x:f>IF(AND(ISNUMBER(G1866),G1866&gt;0),('계산 과정'!$D$56+'계산 과정'!$D$57*D1866+'계산 과정'!$D$58*E1866)/F1866,"")</x:f>
        <x:v>-136.82167052001026</x:v>
      </x:c>
      <x:c r="I1866" s="4" t="n">
        <x:f>IF(AND(ISNUMBER(G1866),G1866&gt;0),('계산 과정'!$E$56+'계산 과정'!$E$57*D1866+'계산 과정'!$E$58*E1866)/F1866,"")</x:f>
        <x:v>53.875081564760805</x:v>
      </x:c>
      <x:c r="J1866" s="4" t="n">
        <x:f>IF('계산 과정'!$L$5,'계산 과정'!$D$6+'계산 과정'!$C$35*D1866+'계산 과정'!$D$35*E1866,"")</x:f>
        <x:v>747.3896148944425</x:v>
      </x:c>
      <x:c r="K1866" s="4" t="n">
        <x:f>IF(AND('계산 과정'!$L$6,J1866&gt;0),'계산 과정'!$D$10*('계산 과정'!$C$38*(D1866-'계산 과정'!$C$32)+'계산 과정'!$D$38*(E1866-'계산 과정'!$D$32)-'계산 과정'!$E$38*'계산 과정'!$E$32)/J1866,"")</x:f>
        <x:v>-1.0424508230096012</x:v>
      </x:c>
      <x:c r="L1866" s="4" t="n">
        <x:f>IF(AND('계산 과정'!$L$6,J1866&gt;0),'계산 과정'!$D$10*('계산 과정'!$C$39*(D1866-'계산 과정'!$C$32)+'계산 과정'!$D$39*(E1866-'계산 과정'!$D$32)-'계산 과정'!$E$39*'계산 과정'!$E$32)/J1866,"")</x:f>
        <x:v>0.41047681192198715</x:v>
      </x:c>
      <x:c r="M1866" s="17" t="n">
        <x:f>IF('계산 과정'!$L$6,IF(J1866&lt;=0,0,IF(AND(ABS(K1866)&lt;='계산 과정'!$D$11/2,ABS(L1866)&lt;='계산 과정'!$D$12/2),1,0)),"")</x:f>
        <x:v>1</x:v>
      </x:c>
      <x:c r="N1866" s="17" t="n">
        <x:f>IF('계산 과정'!$C$78,IF(AND(ISNUMBER(H1866),ISNUMBER(I1866),ABS(H1866-'계산 과정'!$C$88)&lt;='계산 과정'!$D$23/2,ABS(I1866-'계산 과정'!$C$89)&lt;='계산 과정'!$D$24/2),1,0),"")</x:f>
        <x:v>1</x:v>
      </x:c>
      <x:c r="O1866" s="4" t="n">
        <x:f>IF('계산 과정'!$L$7,'계산 과정'!$C$49*('계산 과정'!$C$32-D1866)+'계산 과정'!$D$49*('계산 과정'!$D$32-E1866)+'계산 과정'!$E$49*'계산 과정'!$E$32,"")</x:f>
        <x:v>-97.38961489444245</x:v>
      </x:c>
      <x:c r="P1866" s="4" t="n">
        <x:f>IF(AND('계산 과정'!$L$7,O1866&lt;&gt;0),('계산 과정'!$L$23-'계산 과정'!$C$49*D1866-'계산 과정'!$D$49*E1866)/O1866,"")</x:f>
        <x:v>-3.1072141052569866</x:v>
      </x:c>
      <x:c r="Q1866" s="4" t="str">
        <x:f>IF(AND(ISNUMBER(P1866),P1866&gt;1E-9,P1866&lt;1-1E-9),'계산 과정'!$C$47*(D1866-'계산 과정'!$C$50+P1866*('계산 과정'!$C$32-D1866))+'계산 과정'!$D$47*(E1866-'계산 과정'!$D$50+P1866*('계산 과정'!$D$32-E1866))+'계산 과정'!$E$47*(0-'계산 과정'!$E$50+P1866*('계산 과정'!$E$32-0)),"")</x:f>
      </x:c>
      <x:c r="R1866" s="4" t="str">
        <x:f>IF(AND(ISNUMBER(P1866),P1866&gt;1E-9,P1866&lt;1-1E-9),'계산 과정'!$C$48*(D1866-'계산 과정'!$C$50+P1866*('계산 과정'!$C$32-D1866))+'계산 과정'!$D$48*(E1866-'계산 과정'!$D$50+P1866*('계산 과정'!$D$32-E1866))+'계산 과정'!$E$48*(0-'계산 과정'!$E$50+P1866*('계산 과정'!$E$32-0)),"")</x:f>
      </x:c>
      <x:c r="S1866" s="17" t="n">
        <x:f>IF('계산 과정'!$C$78,IF(AND(ISNUMBER(Q1866),ISNUMBER(R1866),ABS(Q1866-'계산 과정'!$C$88)&lt;='계산 과정'!$D$23/2,ABS(R1866-'계산 과정'!$C$89)&lt;='계산 과정'!$D$24/2),1,0),"")</x:f>
        <x:v>0</x:v>
      </x:c>
      <x:c r="T1866" s="4"/>
      <x:c r="U1866" s="4"/>
      <x:c r="V1866" s="4"/>
      <x:c r="W1866" s="4"/>
      <x:c r="X1866" s="4"/>
      <x:c r="Y1866" s="4"/>
      <x:c r="Z1866" s="4"/>
    </x:row>
    <x:row r="1867" ht="23" customHeight="1">
      <x:c r="A1867" s="17" t="n">
        <x:f>ROW()-6</x:f>
        <x:v>1861</x:v>
      </x:c>
      <x:c r="B1867" s="4" t="n">
        <x:f>IF('계산 과정'!$L$5,'계산 과정'!$L$11*SQRT((A1867+0.5)/'계산 과정'!$L$30),"")</x:f>
        <x:v>143.0071669696575</x:v>
      </x:c>
      <x:c r="C1867" s="4" t="n">
        <x:f>A1867*PI()*(3-SQRT(5))</x:f>
        <x:v>4466.331570525023</x:v>
      </x:c>
      <x:c r="D1867" s="4" t="n">
        <x:f>IF('계산 과정'!$L$5,B1867*COS(C1867),"")</x:f>
        <x:v>75.67405401749149</x:v>
      </x:c>
      <x:c r="E1867" s="4" t="n">
        <x:f>IF('계산 과정'!$L$5,B1867*SIN(C1867),"")</x:f>
        <x:v>-121.34449865257709</x:v>
      </x:c>
      <x:c r="F1867" s="4" t="n">
        <x:f>IF('계산 과정'!$L$7,'계산 과정'!$L$22+'계산 과정'!$C$49*D1867+'계산 과정'!$D$49*E1867,"")</x:f>
        <x:v>596.4903632443546</x:v>
      </x:c>
      <x:c r="G1867" s="4" t="n">
        <x:f>IF('계산 과정'!$L$7,IF(ABS(F1867)&gt;=1E-12*MAX(1,SQRT((D1867-'계산 과정'!$C$33)^2+(E1867-'계산 과정'!$D$33)^2+'계산 과정'!$E$33^2)),('계산 과정'!$L$23-'계산 과정'!$C$49*D1867-'계산 과정'!$D$49*E1867)/F1867,""),"")</x:f>
        <x:v>0.7602966698220794</x:v>
      </x:c>
      <x:c r="H1867" s="4" t="n">
        <x:f>IF(AND(ISNUMBER(G1867),G1867&gt;0),('계산 과정'!$D$56+'계산 과정'!$D$57*D1867+'계산 과정'!$D$58*E1867)/F1867,"")</x:f>
        <x:v>94.19283538435153</x:v>
      </x:c>
      <x:c r="I1867" s="4" t="n">
        <x:f>IF(AND(ISNUMBER(G1867),G1867&gt;0),('계산 과정'!$E$56+'계산 과정'!$E$57*D1867+'계산 과정'!$E$58*E1867)/F1867,"")</x:f>
        <x:v>-213.60231687936127</x:v>
      </x:c>
      <x:c r="J1867" s="4" t="n">
        <x:f>IF('계산 과정'!$L$5,'계산 과정'!$D$6+'계산 과정'!$C$35*D1867+'계산 과정'!$D$35*E1867,"")</x:f>
        <x:v>596.4903632443546</x:v>
      </x:c>
      <x:c r="K1867" s="4" t="n">
        <x:f>IF(AND('계산 과정'!$L$6,J1867&gt;0),'계산 과정'!$D$10*('계산 과정'!$C$38*(D1867-'계산 과정'!$C$32)+'계산 과정'!$D$38*(E1867-'계산 과정'!$D$32)-'계산 과정'!$E$38*'계산 과정'!$E$32)/J1867,"")</x:f>
        <x:v>0.7176596981664883</x:v>
      </x:c>
      <x:c r="L1867" s="4" t="n">
        <x:f>IF(AND('계산 과정'!$L$6,J1867&gt;0),'계산 과정'!$D$10*('계산 과정'!$C$39*(D1867-'계산 과정'!$C$32)+'계산 과정'!$D$39*(E1867-'계산 과정'!$D$32)-'계산 과정'!$E$39*'계산 과정'!$E$32)/J1867,"")</x:f>
        <x:v>-1.6274462238427525</x:v>
      </x:c>
      <x:c r="M1867" s="17" t="n">
        <x:f>IF('계산 과정'!$L$6,IF(J1867&lt;=0,0,IF(AND(ABS(K1867)&lt;='계산 과정'!$D$11/2,ABS(L1867)&lt;='계산 과정'!$D$12/2),1,0)),"")</x:f>
        <x:v>1</x:v>
      </x:c>
      <x:c r="N1867" s="17" t="n">
        <x:f>IF('계산 과정'!$C$78,IF(AND(ISNUMBER(H1867),ISNUMBER(I1867),ABS(H1867-'계산 과정'!$C$88)&lt;='계산 과정'!$D$23/2,ABS(I1867-'계산 과정'!$C$89)&lt;='계산 과정'!$D$24/2),1,0),"")</x:f>
        <x:v>1</x:v>
      </x:c>
      <x:c r="O1867" s="4" t="n">
        <x:f>IF('계산 과정'!$L$7,'계산 과정'!$C$49*('계산 과정'!$C$32-D1867)+'계산 과정'!$D$49*('계산 과정'!$D$32-E1867)+'계산 과정'!$E$49*'계산 과정'!$E$32,"")</x:f>
        <x:v>53.50963675564543</x:v>
      </x:c>
      <x:c r="P1867" s="4" t="n">
        <x:f>IF(AND('계산 과정'!$L$7,O1867&lt;&gt;0),('계산 과정'!$L$23-'계산 과정'!$C$49*D1867-'계산 과정'!$D$49*E1867)/O1867,"")</x:f>
        <x:v>8.47528901806269</x:v>
      </x:c>
      <x:c r="Q1867" s="4" t="str">
        <x:f>IF(AND(ISNUMBER(P1867),P1867&gt;1E-9,P1867&lt;1-1E-9),'계산 과정'!$C$47*(D1867-'계산 과정'!$C$50+P1867*('계산 과정'!$C$32-D1867))+'계산 과정'!$D$47*(E1867-'계산 과정'!$D$50+P1867*('계산 과정'!$D$32-E1867))+'계산 과정'!$E$47*(0-'계산 과정'!$E$50+P1867*('계산 과정'!$E$32-0)),"")</x:f>
      </x:c>
      <x:c r="R1867" s="4" t="str">
        <x:f>IF(AND(ISNUMBER(P1867),P1867&gt;1E-9,P1867&lt;1-1E-9),'계산 과정'!$C$48*(D1867-'계산 과정'!$C$50+P1867*('계산 과정'!$C$32-D1867))+'계산 과정'!$D$48*(E1867-'계산 과정'!$D$50+P1867*('계산 과정'!$D$32-E1867))+'계산 과정'!$E$48*(0-'계산 과정'!$E$50+P1867*('계산 과정'!$E$32-0)),"")</x:f>
      </x:c>
      <x:c r="S1867" s="17" t="n">
        <x:f>IF('계산 과정'!$C$78,IF(AND(ISNUMBER(Q1867),ISNUMBER(R1867),ABS(Q1867-'계산 과정'!$C$88)&lt;='계산 과정'!$D$23/2,ABS(R1867-'계산 과정'!$C$89)&lt;='계산 과정'!$D$24/2),1,0),"")</x:f>
        <x:v>0</x:v>
      </x:c>
      <x:c r="T1867" s="4"/>
      <x:c r="U1867" s="4"/>
      <x:c r="V1867" s="4"/>
      <x:c r="W1867" s="4"/>
      <x:c r="X1867" s="4"/>
      <x:c r="Y1867" s="4"/>
      <x:c r="Z1867" s="4"/>
    </x:row>
    <x:row r="1868" ht="23" customHeight="1">
      <x:c r="A1868" s="17" t="n">
        <x:f>ROW()-6</x:f>
        <x:v>1862</x:v>
      </x:c>
      <x:c r="B1868" s="4" t="n">
        <x:f>IF('계산 과정'!$L$5,'계산 과정'!$L$11*SQRT((A1868+0.5)/'계산 과정'!$L$30),"")</x:f>
        <x:v>143.04557362187933</x:v>
      </x:c>
      <x:c r="C1868" s="4" t="n">
        <x:f>A1868*PI()*(3-SQRT(5))</x:f>
        <x:v>4468.731533754752</x:v>
      </x:c>
      <x:c r="D1868" s="4" t="n">
        <x:f>IF('계산 과정'!$L$5,B1868*COS(C1868),"")</x:f>
        <x:v>26.17436641037176</x:v>
      </x:c>
      <x:c r="E1868" s="4" t="n">
        <x:f>IF('계산 과정'!$L$5,B1868*SIN(C1868),"")</x:f>
        <x:v>140.63050407300722</x:v>
      </x:c>
      <x:c r="F1868" s="4" t="n">
        <x:f>IF('계산 과정'!$L$7,'계산 과정'!$L$22+'계산 과정'!$C$49*D1868+'계산 과정'!$D$49*E1868,"")</x:f>
        <x:v>631.4919280179647</x:v>
      </x:c>
      <x:c r="G1868" s="4" t="n">
        <x:f>IF('계산 과정'!$L$7,IF(ABS(F1868)&gt;=1E-12*MAX(1,SQRT((D1868-'계산 과정'!$C$33)^2+(E1868-'계산 과정'!$D$33)^2+'계산 과정'!$E$33^2)),('계산 과정'!$L$23-'계산 과정'!$C$49*D1868-'계산 과정'!$D$49*E1868)/F1868,""),"")</x:f>
        <x:v>0.6627290918754698</x:v>
      </x:c>
      <x:c r="H1868" s="4" t="n">
        <x:f>IF(AND(ISNUMBER(G1868),G1868&gt;0),('계산 과정'!$D$56+'계산 과정'!$D$57*D1868+'계산 과정'!$D$58*E1868)/F1868,"")</x:f>
        <x:v>30.77390971905521</x:v>
      </x:c>
      <x:c r="I1868" s="4" t="n">
        <x:f>IF(AND(ISNUMBER(G1868),G1868&gt;0),('계산 과정'!$E$56+'계산 과정'!$E$57*D1868+'계산 과정'!$E$58*E1868)/F1868,"")</x:f>
        <x:v>233.83043032730086</x:v>
      </x:c>
      <x:c r="J1868" s="4" t="n">
        <x:f>IF('계산 과정'!$L$5,'계산 과정'!$D$6+'계산 과정'!$C$35*D1868+'계산 과정'!$D$35*E1868,"")</x:f>
        <x:v>631.4919280179647</x:v>
      </x:c>
      <x:c r="K1868" s="4" t="n">
        <x:f>IF(AND('계산 과정'!$L$6,J1868&gt;0),'계산 과정'!$D$10*('계산 과정'!$C$38*(D1868-'계산 과정'!$C$32)+'계산 과정'!$D$38*(E1868-'계산 과정'!$D$32)-'계산 과정'!$E$38*'계산 과정'!$E$32)/J1868,"")</x:f>
        <x:v>0.23446788357375514</x:v>
      </x:c>
      <x:c r="L1868" s="4" t="n">
        <x:f>IF(AND('계산 과정'!$L$6,J1868&gt;0),'계산 과정'!$D$10*('계산 과정'!$C$39*(D1868-'계산 과정'!$C$32)+'계산 과정'!$D$39*(E1868-'계산 과정'!$D$32)-'계산 과정'!$E$39*'계산 과정'!$E$32)/J1868,"")</x:f>
        <x:v>1.7815651834461017</x:v>
      </x:c>
      <x:c r="M1868" s="17" t="n">
        <x:f>IF('계산 과정'!$L$6,IF(J1868&lt;=0,0,IF(AND(ABS(K1868)&lt;='계산 과정'!$D$11/2,ABS(L1868)&lt;='계산 과정'!$D$12/2),1,0)),"")</x:f>
        <x:v>1</x:v>
      </x:c>
      <x:c r="N1868" s="17" t="n">
        <x:f>IF('계산 과정'!$C$78,IF(AND(ISNUMBER(H1868),ISNUMBER(I1868),ABS(H1868-'계산 과정'!$C$88)&lt;='계산 과정'!$D$23/2,ABS(I1868-'계산 과정'!$C$89)&lt;='계산 과정'!$D$24/2),1,0),"")</x:f>
        <x:v>1</x:v>
      </x:c>
      <x:c r="O1868" s="4" t="n">
        <x:f>IF('계산 과정'!$L$7,'계산 과정'!$C$49*('계산 과정'!$C$32-D1868)+'계산 과정'!$D$49*('계산 과정'!$D$32-E1868)+'계산 과정'!$E$49*'계산 과정'!$E$32,"")</x:f>
        <x:v>18.508071982035403</x:v>
      </x:c>
      <x:c r="P1868" s="4" t="n">
        <x:f>IF(AND('계산 과정'!$L$7,O1868&lt;&gt;0),('계산 과정'!$L$23-'계산 과정'!$C$49*D1868-'계산 과정'!$D$49*E1868)/O1868,"")</x:f>
        <x:v>22.612191717659957</x:v>
      </x:c>
      <x:c r="Q1868" s="4" t="str">
        <x:f>IF(AND(ISNUMBER(P1868),P1868&gt;1E-9,P1868&lt;1-1E-9),'계산 과정'!$C$47*(D1868-'계산 과정'!$C$50+P1868*('계산 과정'!$C$32-D1868))+'계산 과정'!$D$47*(E1868-'계산 과정'!$D$50+P1868*('계산 과정'!$D$32-E1868))+'계산 과정'!$E$47*(0-'계산 과정'!$E$50+P1868*('계산 과정'!$E$32-0)),"")</x:f>
      </x:c>
      <x:c r="R1868" s="4" t="str">
        <x:f>IF(AND(ISNUMBER(P1868),P1868&gt;1E-9,P1868&lt;1-1E-9),'계산 과정'!$C$48*(D1868-'계산 과정'!$C$50+P1868*('계산 과정'!$C$32-D1868))+'계산 과정'!$D$48*(E1868-'계산 과정'!$D$50+P1868*('계산 과정'!$D$32-E1868))+'계산 과정'!$E$48*(0-'계산 과정'!$E$50+P1868*('계산 과정'!$E$32-0)),"")</x:f>
      </x:c>
      <x:c r="S1868" s="17" t="n">
        <x:f>IF('계산 과정'!$C$78,IF(AND(ISNUMBER(Q1868),ISNUMBER(R1868),ABS(Q1868-'계산 과정'!$C$88)&lt;='계산 과정'!$D$23/2,ABS(R1868-'계산 과정'!$C$89)&lt;='계산 과정'!$D$24/2),1,0),"")</x:f>
        <x:v>0</x:v>
      </x:c>
      <x:c r="T1868" s="4"/>
      <x:c r="U1868" s="4"/>
      <x:c r="V1868" s="4"/>
      <x:c r="W1868" s="4"/>
      <x:c r="X1868" s="4"/>
      <x:c r="Y1868" s="4"/>
      <x:c r="Z1868" s="4"/>
    </x:row>
    <x:row r="1869" ht="23" customHeight="1">
      <x:c r="A1869" s="17" t="n">
        <x:f>ROW()-6</x:f>
        <x:v>1863</x:v>
      </x:c>
      <x:c r="B1869" s="4" t="n">
        <x:f>IF('계산 과정'!$L$5,'계산 과정'!$L$11*SQRT((A1869+0.5)/'계산 과정'!$L$30),"")</x:f>
        <x:v>143.0839699649737</x:v>
      </x:c>
      <x:c r="C1869" s="4" t="n">
        <x:f>A1869*PI()*(3-SQRT(5))</x:f>
        <x:v>4471.13149698448</x:v>
      </x:c>
      <x:c r="D1869" s="4" t="n">
        <x:f>IF('계산 과정'!$L$5,B1869*COS(C1869),"")</x:f>
        <x:v>-114.32538279740287</x:v>
      </x:c>
      <x:c r="E1869" s="4" t="n">
        <x:f>IF('계산 과정'!$L$5,B1869*SIN(C1869),"")</x:f>
        <x:v>-86.03911499524388</x:v>
      </x:c>
      <x:c r="F1869" s="4" t="n">
        <x:f>IF('계산 과정'!$L$7,'계산 과정'!$L$22+'계산 과정'!$C$49*D1869+'계산 과정'!$D$49*E1869,"")</x:f>
        <x:v>730.8402534377915</x:v>
      </x:c>
      <x:c r="G1869" s="4" t="n">
        <x:f>IF('계산 과정'!$L$7,IF(ABS(F1869)&gt;=1E-12*MAX(1,SQRT((D1869-'계산 과정'!$C$33)^2+(E1869-'계산 과정'!$D$33)^2+'계산 과정'!$E$33^2)),('계산 과정'!$L$23-'계산 과정'!$C$49*D1869-'계산 과정'!$D$49*E1869)/F1869,""),"")</x:f>
        <x:v>0.4367024737087435</x:v>
      </x:c>
      <x:c r="H1869" s="4" t="n">
        <x:f>IF(AND(ISNUMBER(G1869),G1869&gt;0),('계산 과정'!$D$56+'계산 과정'!$D$57*D1869+'계산 과정'!$D$58*E1869)/F1869,"")</x:f>
        <x:v>-116.14339208931683</x:v>
      </x:c>
      <x:c r="I1869" s="4" t="n">
        <x:f>IF(AND(ISNUMBER(G1869),G1869&gt;0),('계산 과정'!$E$56+'계산 과정'!$E$57*D1869+'계산 과정'!$E$58*E1869)/F1869,"")</x:f>
        <x:v>-123.61260934937792</x:v>
      </x:c>
      <x:c r="J1869" s="4" t="n">
        <x:f>IF('계산 과정'!$L$5,'계산 과정'!$D$6+'계산 과정'!$C$35*D1869+'계산 과정'!$D$35*E1869,"")</x:f>
        <x:v>730.8402534377915</x:v>
      </x:c>
      <x:c r="K1869" s="4" t="n">
        <x:f>IF(AND('계산 과정'!$L$6,J1869&gt;0),'계산 과정'!$D$10*('계산 과정'!$C$38*(D1869-'계산 과정'!$C$32)+'계산 과정'!$D$38*(E1869-'계산 과정'!$D$32)-'계산 과정'!$E$38*'계산 과정'!$E$32)/J1869,"")</x:f>
        <x:v>-0.8849020349662224</x:v>
      </x:c>
      <x:c r="L1869" s="4" t="n">
        <x:f>IF(AND('계산 과정'!$L$6,J1869&gt;0),'계산 과정'!$D$10*('계산 과정'!$C$39*(D1869-'계산 과정'!$C$32)+'계산 과정'!$D$39*(E1869-'계산 과정'!$D$32)-'계산 과정'!$E$39*'계산 과정'!$E$32)/J1869,"")</x:f>
        <x:v>-0.9418103569476413</x:v>
      </x:c>
      <x:c r="M1869" s="17" t="n">
        <x:f>IF('계산 과정'!$L$6,IF(J1869&lt;=0,0,IF(AND(ABS(K1869)&lt;='계산 과정'!$D$11/2,ABS(L1869)&lt;='계산 과정'!$D$12/2),1,0)),"")</x:f>
        <x:v>1</x:v>
      </x:c>
      <x:c r="N1869" s="17" t="n">
        <x:f>IF('계산 과정'!$C$78,IF(AND(ISNUMBER(H1869),ISNUMBER(I1869),ABS(H1869-'계산 과정'!$C$88)&lt;='계산 과정'!$D$23/2,ABS(I1869-'계산 과정'!$C$89)&lt;='계산 과정'!$D$24/2),1,0),"")</x:f>
        <x:v>1</x:v>
      </x:c>
      <x:c r="O1869" s="4" t="n">
        <x:f>IF('계산 과정'!$L$7,'계산 과정'!$C$49*('계산 과정'!$C$32-D1869)+'계산 과정'!$D$49*('계산 과정'!$D$32-E1869)+'계산 과정'!$E$49*'계산 과정'!$E$32,"")</x:f>
        <x:v>-80.84025343779132</x:v>
      </x:c>
      <x:c r="P1869" s="4" t="n">
        <x:f>IF(AND('계산 과정'!$L$7,O1869&lt;&gt;0),('계산 과정'!$L$23-'계산 과정'!$C$49*D1869-'계산 과정'!$D$49*E1869)/O1869,"")</x:f>
        <x:v>-3.9480300096759384</x:v>
      </x:c>
      <x:c r="Q1869" s="4" t="str">
        <x:f>IF(AND(ISNUMBER(P1869),P1869&gt;1E-9,P1869&lt;1-1E-9),'계산 과정'!$C$47*(D1869-'계산 과정'!$C$50+P1869*('계산 과정'!$C$32-D1869))+'계산 과정'!$D$47*(E1869-'계산 과정'!$D$50+P1869*('계산 과정'!$D$32-E1869))+'계산 과정'!$E$47*(0-'계산 과정'!$E$50+P1869*('계산 과정'!$E$32-0)),"")</x:f>
      </x:c>
      <x:c r="R1869" s="4" t="str">
        <x:f>IF(AND(ISNUMBER(P1869),P1869&gt;1E-9,P1869&lt;1-1E-9),'계산 과정'!$C$48*(D1869-'계산 과정'!$C$50+P1869*('계산 과정'!$C$32-D1869))+'계산 과정'!$D$48*(E1869-'계산 과정'!$D$50+P1869*('계산 과정'!$D$32-E1869))+'계산 과정'!$E$48*(0-'계산 과정'!$E$50+P1869*('계산 과정'!$E$32-0)),"")</x:f>
      </x:c>
      <x:c r="S1869" s="17" t="n">
        <x:f>IF('계산 과정'!$C$78,IF(AND(ISNUMBER(Q1869),ISNUMBER(R1869),ABS(Q1869-'계산 과정'!$C$88)&lt;='계산 과정'!$D$23/2,ABS(R1869-'계산 과정'!$C$89)&lt;='계산 과정'!$D$24/2),1,0),"")</x:f>
        <x:v>0</x:v>
      </x:c>
      <x:c r="T1869" s="4"/>
      <x:c r="U1869" s="4"/>
      <x:c r="V1869" s="4"/>
      <x:c r="W1869" s="4"/>
      <x:c r="X1869" s="4"/>
      <x:c r="Y1869" s="4"/>
      <x:c r="Z1869" s="4"/>
    </x:row>
    <x:row r="1870" ht="23" customHeight="1">
      <x:c r="A1870" s="17" t="n">
        <x:f>ROW()-6</x:f>
        <x:v>1864</x:v>
      </x:c>
      <x:c r="B1870" s="4" t="n">
        <x:f>IF('계산 과정'!$L$5,'계산 과정'!$L$11*SQRT((A1870+0.5)/'계산 과정'!$L$30),"")</x:f>
        <x:v>143.12235600723776</x:v>
      </x:c>
      <x:c r="C1870" s="4" t="n">
        <x:f>A1870*PI()*(3-SQRT(5))</x:f>
        <x:v>4473.531460214209</x:v>
      </x:c>
      <x:c r="D1870" s="4" t="n">
        <x:f>IF('계산 과정'!$L$5,B1870*COS(C1870),"")</x:f>
        <x:v>142.45677388556612</x:v>
      </x:c>
      <x:c r="E1870" s="4" t="n">
        <x:f>IF('계산 과정'!$L$5,B1870*SIN(C1870),"")</x:f>
        <x:v>-13.786818457468497</x:v>
      </x:c>
      <x:c r="F1870" s="4" t="n">
        <x:f>IF('계산 과정'!$L$7,'계산 과정'!$L$22+'계산 과정'!$C$49*D1870+'계산 과정'!$D$49*E1870,"")</x:f>
        <x:v>549.2678491595575</x:v>
      </x:c>
      <x:c r="G1870" s="4" t="n">
        <x:f>IF('계산 과정'!$L$7,IF(ABS(F1870)&gt;=1E-12*MAX(1,SQRT((D1870-'계산 과정'!$C$33)^2+(E1870-'계산 과정'!$D$33)^2+'계산 과정'!$E$33^2)),('계산 과정'!$L$23-'계산 과정'!$C$49*D1870-'계산 과정'!$D$49*E1870)/F1870,""),"")</x:f>
        <x:v>0.9116356466278153</x:v>
      </x:c>
      <x:c r="H1870" s="4" t="n">
        <x:f>IF(AND(ISNUMBER(G1870),G1870&gt;0),('계산 과정'!$D$56+'계산 과정'!$D$57*D1870+'계산 과정'!$D$58*E1870)/F1870,"")</x:f>
        <x:v>192.5631703080798</x:v>
      </x:c>
      <x:c r="I1870" s="4" t="n">
        <x:f>IF(AND(ISNUMBER(G1870),G1870&gt;0),('계산 과정'!$E$56+'계산 과정'!$E$57*D1870+'계산 과정'!$E$58*E1870)/F1870,"")</x:f>
        <x:v>-26.35537361688309</x:v>
      </x:c>
      <x:c r="J1870" s="4" t="n">
        <x:f>IF('계산 과정'!$L$5,'계산 과정'!$D$6+'계산 과정'!$C$35*D1870+'계산 과정'!$D$35*E1870,"")</x:f>
        <x:v>549.2678491595575</x:v>
      </x:c>
      <x:c r="K1870" s="4" t="n">
        <x:f>IF(AND('계산 과정'!$L$6,J1870&gt;0),'계산 과정'!$D$10*('계산 과정'!$C$38*(D1870-'계산 과정'!$C$32)+'계산 과정'!$D$38*(E1870-'계산 과정'!$D$32)-'계산 과정'!$E$38*'계산 과정'!$E$32)/J1870,"")</x:f>
        <x:v>1.4671479642520375</x:v>
      </x:c>
      <x:c r="L1870" s="4" t="n">
        <x:f>IF(AND('계산 과정'!$L$6,J1870&gt;0),'계산 과정'!$D$10*('계산 과정'!$C$39*(D1870-'계산 과정'!$C$32)+'계산 과정'!$D$39*(E1870-'계산 과정'!$D$32)-'계산 과정'!$E$39*'계산 과정'!$E$32)/J1870,"")</x:f>
        <x:v>-0.20080284660482353</x:v>
      </x:c>
      <x:c r="M1870" s="17" t="n">
        <x:f>IF('계산 과정'!$L$6,IF(J1870&lt;=0,0,IF(AND(ABS(K1870)&lt;='계산 과정'!$D$11/2,ABS(L1870)&lt;='계산 과정'!$D$12/2),1,0)),"")</x:f>
        <x:v>1</x:v>
      </x:c>
      <x:c r="N1870" s="17" t="n">
        <x:f>IF('계산 과정'!$C$78,IF(AND(ISNUMBER(H1870),ISNUMBER(I1870),ABS(H1870-'계산 과정'!$C$88)&lt;='계산 과정'!$D$23/2,ABS(I1870-'계산 과정'!$C$89)&lt;='계산 과정'!$D$24/2),1,0),"")</x:f>
        <x:v>1</x:v>
      </x:c>
      <x:c r="O1870" s="4" t="n">
        <x:f>IF('계산 과정'!$L$7,'계산 과정'!$C$49*('계산 과정'!$C$32-D1870)+'계산 과정'!$D$49*('계산 과정'!$D$32-E1870)+'계산 과정'!$E$49*'계산 과정'!$E$32,"")</x:f>
        <x:v>100.73215084044259</x:v>
      </x:c>
      <x:c r="P1870" s="4" t="n">
        <x:f>IF(AND('계산 과정'!$L$7,O1870&lt;&gt;0),('계산 과정'!$L$23-'계산 과정'!$C$49*D1870-'계산 과정'!$D$49*E1870)/O1870,"")</x:f>
        <x:v>4.970926825871024</x:v>
      </x:c>
      <x:c r="Q1870" s="4" t="str">
        <x:f>IF(AND(ISNUMBER(P1870),P1870&gt;1E-9,P1870&lt;1-1E-9),'계산 과정'!$C$47*(D1870-'계산 과정'!$C$50+P1870*('계산 과정'!$C$32-D1870))+'계산 과정'!$D$47*(E1870-'계산 과정'!$D$50+P1870*('계산 과정'!$D$32-E1870))+'계산 과정'!$E$47*(0-'계산 과정'!$E$50+P1870*('계산 과정'!$E$32-0)),"")</x:f>
      </x:c>
      <x:c r="R1870" s="4" t="str">
        <x:f>IF(AND(ISNUMBER(P1870),P1870&gt;1E-9,P1870&lt;1-1E-9),'계산 과정'!$C$48*(D1870-'계산 과정'!$C$50+P1870*('계산 과정'!$C$32-D1870))+'계산 과정'!$D$48*(E1870-'계산 과정'!$D$50+P1870*('계산 과정'!$D$32-E1870))+'계산 과정'!$E$48*(0-'계산 과정'!$E$50+P1870*('계산 과정'!$E$32-0)),"")</x:f>
      </x:c>
      <x:c r="S1870" s="17" t="n">
        <x:f>IF('계산 과정'!$C$78,IF(AND(ISNUMBER(Q1870),ISNUMBER(R1870),ABS(Q1870-'계산 과정'!$C$88)&lt;='계산 과정'!$D$23/2,ABS(R1870-'계산 과정'!$C$89)&lt;='계산 과정'!$D$24/2),1,0),"")</x:f>
        <x:v>0</x:v>
      </x:c>
      <x:c r="T1870" s="4"/>
      <x:c r="U1870" s="4"/>
      <x:c r="V1870" s="4"/>
      <x:c r="W1870" s="4"/>
      <x:c r="X1870" s="4"/>
      <x:c r="Y1870" s="4"/>
      <x:c r="Z1870" s="4"/>
    </x:row>
    <x:row r="1871" ht="23" customHeight="1">
      <x:c r="A1871" s="17" t="n">
        <x:f>ROW()-6</x:f>
        <x:v>1865</x:v>
      </x:c>
      <x:c r="B1871" s="4" t="n">
        <x:f>IF('계산 과정'!$L$5,'계산 과정'!$L$11*SQRT((A1871+0.5)/'계산 과정'!$L$30),"")</x:f>
        <x:v>143.16073175695738</x:v>
      </x:c>
      <x:c r="C1871" s="4" t="n">
        <x:f>A1871*PI()*(3-SQRT(5))</x:f>
        <x:v>4475.931423443937</x:v>
      </x:c>
      <x:c r="D1871" s="4" t="n">
        <x:f>IF('계산 과정'!$L$5,B1871*COS(C1871),"")</x:f>
        <x:v>-95.75599788679816</x:v>
      </x:c>
      <x:c r="E1871" s="4" t="n">
        <x:f>IF('계산 과정'!$L$5,B1871*SIN(C1871),"")</x:f>
        <x:v>106.42266669225599</x:v>
      </x:c>
      <x:c r="F1871" s="4" t="n">
        <x:f>IF('계산 과정'!$L$7,'계산 과정'!$L$22+'계산 과정'!$C$49*D1871+'계산 과정'!$D$49*E1871,"")</x:f>
        <x:v>717.7097154450397</x:v>
      </x:c>
      <x:c r="G1871" s="4" t="n">
        <x:f>IF('계산 과정'!$L$7,IF(ABS(F1871)&gt;=1E-12*MAX(1,SQRT((D1871-'계산 과정'!$C$33)^2+(E1871-'계산 과정'!$D$33)^2+'계산 과정'!$E$33^2)),('계산 과정'!$L$23-'계산 과정'!$C$49*D1871-'계산 과정'!$D$49*E1871)/F1871,""),"")</x:f>
        <x:v>0.4629870230318851</x:v>
      </x:c>
      <x:c r="H1871" s="4" t="n">
        <x:f>IF(AND(ISNUMBER(G1871),G1871&gt;0),('계산 과정'!$D$56+'계산 과정'!$D$57*D1871+'계산 과정'!$D$58*E1871)/F1871,"")</x:f>
        <x:v>-99.05843502927479</x:v>
      </x:c>
      <x:c r="I1871" s="4" t="n">
        <x:f>IF(AND(ISNUMBER(G1871),G1871&gt;0),('계산 과정'!$E$56+'계산 과정'!$E$57*D1871+'계산 과정'!$E$58*E1871)/F1871,"")</x:f>
        <x:v>155.69498032721813</x:v>
      </x:c>
      <x:c r="J1871" s="4" t="n">
        <x:f>IF('계산 과정'!$L$5,'계산 과정'!$D$6+'계산 과정'!$C$35*D1871+'계산 과정'!$D$35*E1871,"")</x:f>
        <x:v>717.7097154450397</x:v>
      </x:c>
      <x:c r="K1871" s="4" t="n">
        <x:f>IF(AND('계산 과정'!$L$6,J1871&gt;0),'계산 과정'!$D$10*('계산 과정'!$C$38*(D1871-'계산 과정'!$C$32)+'계산 과정'!$D$38*(E1871-'계산 과정'!$D$32)-'계산 과정'!$E$38*'계산 과정'!$E$32)/J1871,"")</x:f>
        <x:v>-0.754730933556378</x:v>
      </x:c>
      <x:c r="L1871" s="4" t="n">
        <x:f>IF(AND('계산 과정'!$L$6,J1871&gt;0),'계산 과정'!$D$10*('계산 과정'!$C$39*(D1871-'계산 과정'!$C$32)+'계산 과정'!$D$39*(E1871-'계산 과정'!$D$32)-'계산 과정'!$E$39*'계산 과정'!$E$32)/J1871,"")</x:f>
        <x:v>1.1862474691597573</x:v>
      </x:c>
      <x:c r="M1871" s="17" t="n">
        <x:f>IF('계산 과정'!$L$6,IF(J1871&lt;=0,0,IF(AND(ABS(K1871)&lt;='계산 과정'!$D$11/2,ABS(L1871)&lt;='계산 과정'!$D$12/2),1,0)),"")</x:f>
        <x:v>1</x:v>
      </x:c>
      <x:c r="N1871" s="17" t="n">
        <x:f>IF('계산 과정'!$C$78,IF(AND(ISNUMBER(H1871),ISNUMBER(I1871),ABS(H1871-'계산 과정'!$C$88)&lt;='계산 과정'!$D$23/2,ABS(I1871-'계산 과정'!$C$89)&lt;='계산 과정'!$D$24/2),1,0),"")</x:f>
        <x:v>1</x:v>
      </x:c>
      <x:c r="O1871" s="4" t="n">
        <x:f>IF('계산 과정'!$L$7,'계산 과정'!$C$49*('계산 과정'!$C$32-D1871)+'계산 과정'!$D$49*('계산 과정'!$D$32-E1871)+'계산 과정'!$E$49*'계산 과정'!$E$32,"")</x:f>
        <x:v>-67.70971544503954</x:v>
      </x:c>
      <x:c r="P1871" s="4" t="n">
        <x:f>IF(AND('계산 과정'!$L$7,O1871&lt;&gt;0),('계산 과정'!$L$23-'계산 과정'!$C$49*D1871-'계산 과정'!$D$49*E1871)/O1871,"")</x:f>
        <x:v>-4.9075717180451415</x:v>
      </x:c>
      <x:c r="Q1871" s="4" t="str">
        <x:f>IF(AND(ISNUMBER(P1871),P1871&gt;1E-9,P1871&lt;1-1E-9),'계산 과정'!$C$47*(D1871-'계산 과정'!$C$50+P1871*('계산 과정'!$C$32-D1871))+'계산 과정'!$D$47*(E1871-'계산 과정'!$D$50+P1871*('계산 과정'!$D$32-E1871))+'계산 과정'!$E$47*(0-'계산 과정'!$E$50+P1871*('계산 과정'!$E$32-0)),"")</x:f>
      </x:c>
      <x:c r="R1871" s="4" t="str">
        <x:f>IF(AND(ISNUMBER(P1871),P1871&gt;1E-9,P1871&lt;1-1E-9),'계산 과정'!$C$48*(D1871-'계산 과정'!$C$50+P1871*('계산 과정'!$C$32-D1871))+'계산 과정'!$D$48*(E1871-'계산 과정'!$D$50+P1871*('계산 과정'!$D$32-E1871))+'계산 과정'!$E$48*(0-'계산 과정'!$E$50+P1871*('계산 과정'!$E$32-0)),"")</x:f>
      </x:c>
      <x:c r="S1871" s="17" t="n">
        <x:f>IF('계산 과정'!$C$78,IF(AND(ISNUMBER(Q1871),ISNUMBER(R1871),ABS(Q1871-'계산 과정'!$C$88)&lt;='계산 과정'!$D$23/2,ABS(R1871-'계산 과정'!$C$89)&lt;='계산 과정'!$D$24/2),1,0),"")</x:f>
        <x:v>0</x:v>
      </x:c>
      <x:c r="T1871" s="4"/>
      <x:c r="U1871" s="4"/>
      <x:c r="V1871" s="4"/>
      <x:c r="W1871" s="4"/>
      <x:c r="X1871" s="4"/>
      <x:c r="Y1871" s="4"/>
      <x:c r="Z1871" s="4"/>
    </x:row>
    <x:row r="1872" ht="23" customHeight="1">
      <x:c r="A1872" s="17" t="n">
        <x:f>ROW()-6</x:f>
        <x:v>1866</x:v>
      </x:c>
      <x:c r="B1872" s="4" t="n">
        <x:f>IF('계산 과정'!$L$5,'계산 과정'!$L$11*SQRT((A1872+0.5)/'계산 과정'!$L$30),"")</x:f>
        <x:v>143.19909722240746</x:v>
      </x:c>
      <x:c r="C1872" s="4" t="n">
        <x:f>A1872*PI()*(3-SQRT(5))</x:f>
        <x:v>4478.331386673666</x:v>
      </x:c>
      <x:c r="D1872" s="4" t="n">
        <x:f>IF('계산 과정'!$L$5,B1872*COS(C1872),"")</x:f>
        <x:v>-1.2803287306935658</x:v>
      </x:c>
      <x:c r="E1872" s="4" t="n">
        <x:f>IF('계산 과정'!$L$5,B1872*SIN(C1872),"")</x:f>
        <x:v>-143.19337346278934</x:v>
      </x:c>
      <x:c r="F1872" s="4" t="n">
        <x:f>IF('계산 과정'!$L$7,'계산 과정'!$L$22+'계산 과정'!$C$49*D1872+'계산 과정'!$D$49*E1872,"")</x:f>
        <x:v>650.9053291276214</x:v>
      </x:c>
      <x:c r="G1872" s="4" t="n">
        <x:f>IF('계산 과정'!$L$7,IF(ABS(F1872)&gt;=1E-12*MAX(1,SQRT((D1872-'계산 과정'!$C$33)^2+(E1872-'계산 과정'!$D$33)^2+'계산 과정'!$E$33^2)),('계산 과정'!$L$23-'계산 과정'!$C$49*D1872-'계산 과정'!$D$49*E1872)/F1872,""),"")</x:f>
        <x:v>0.6131378143842622</x:v>
      </x:c>
      <x:c r="H1872" s="4" t="n">
        <x:f>IF(AND(ISNUMBER(G1872),G1872&gt;0),('계산 과정'!$D$56+'계산 과정'!$D$57*D1872+'계산 과정'!$D$58*E1872)/F1872,"")</x:f>
        <x:v>-1.4604206502296864</x:v>
      </x:c>
      <x:c r="I1872" s="4" t="n">
        <x:f>IF(AND(ISNUMBER(G1872),G1872&gt;0),('계산 과정'!$E$56+'계산 과정'!$E$57*D1872+'계산 과정'!$E$58*E1872)/F1872,"")</x:f>
        <x:v>-230.99064550207342</x:v>
      </x:c>
      <x:c r="J1872" s="4" t="n">
        <x:f>IF('계산 과정'!$L$5,'계산 과정'!$D$6+'계산 과정'!$C$35*D1872+'계산 과정'!$D$35*E1872,"")</x:f>
        <x:v>650.9053291276214</x:v>
      </x:c>
      <x:c r="K1872" s="4" t="n">
        <x:f>IF(AND('계산 과정'!$L$6,J1872&gt;0),'계산 과정'!$D$10*('계산 과정'!$C$38*(D1872-'계산 과정'!$C$32)+'계산 과정'!$D$38*(E1872-'계산 과정'!$D$32)-'계산 과정'!$E$38*'계산 과정'!$E$32)/J1872,"")</x:f>
        <x:v>-0.011127014477939427</x:v>
      </x:c>
      <x:c r="L1872" s="4" t="n">
        <x:f>IF(AND('계산 과정'!$L$6,J1872&gt;0),'계산 과정'!$D$10*('계산 과정'!$C$39*(D1872-'계산 과정'!$C$32)+'계산 과정'!$D$39*(E1872-'계산 과정'!$D$32)-'계산 과정'!$E$39*'계산 과정'!$E$32)/J1872,"")</x:f>
        <x:v>-1.759928727634845</x:v>
      </x:c>
      <x:c r="M1872" s="17" t="n">
        <x:f>IF('계산 과정'!$L$6,IF(J1872&lt;=0,0,IF(AND(ABS(K1872)&lt;='계산 과정'!$D$11/2,ABS(L1872)&lt;='계산 과정'!$D$12/2),1,0)),"")</x:f>
        <x:v>1</x:v>
      </x:c>
      <x:c r="N1872" s="17" t="n">
        <x:f>IF('계산 과정'!$C$78,IF(AND(ISNUMBER(H1872),ISNUMBER(I1872),ABS(H1872-'계산 과정'!$C$88)&lt;='계산 과정'!$D$23/2,ABS(I1872-'계산 과정'!$C$89)&lt;='계산 과정'!$D$24/2),1,0),"")</x:f>
        <x:v>1</x:v>
      </x:c>
      <x:c r="O1872" s="4" t="n">
        <x:f>IF('계산 과정'!$L$7,'계산 과정'!$C$49*('계산 과정'!$C$32-D1872)+'계산 과정'!$D$49*('계산 과정'!$D$32-E1872)+'계산 과정'!$E$49*'계산 과정'!$E$32,"")</x:f>
        <x:v>-0.9053291276212576</x:v>
      </x:c>
      <x:c r="P1872" s="4" t="n">
        <x:f>IF(AND('계산 과정'!$L$7,O1872&lt;&gt;0),('계산 과정'!$L$23-'계산 과정'!$C$49*D1872-'계산 과정'!$D$49*E1872)/O1872,"")</x:f>
        <x:v>-440.8282675285125</x:v>
      </x:c>
      <x:c r="Q1872" s="4" t="str">
        <x:f>IF(AND(ISNUMBER(P1872),P1872&gt;1E-9,P1872&lt;1-1E-9),'계산 과정'!$C$47*(D1872-'계산 과정'!$C$50+P1872*('계산 과정'!$C$32-D1872))+'계산 과정'!$D$47*(E1872-'계산 과정'!$D$50+P1872*('계산 과정'!$D$32-E1872))+'계산 과정'!$E$47*(0-'계산 과정'!$E$50+P1872*('계산 과정'!$E$32-0)),"")</x:f>
      </x:c>
      <x:c r="R1872" s="4" t="str">
        <x:f>IF(AND(ISNUMBER(P1872),P1872&gt;1E-9,P1872&lt;1-1E-9),'계산 과정'!$C$48*(D1872-'계산 과정'!$C$50+P1872*('계산 과정'!$C$32-D1872))+'계산 과정'!$D$48*(E1872-'계산 과정'!$D$50+P1872*('계산 과정'!$D$32-E1872))+'계산 과정'!$E$48*(0-'계산 과정'!$E$50+P1872*('계산 과정'!$E$32-0)),"")</x:f>
      </x:c>
      <x:c r="S1872" s="17" t="n">
        <x:f>IF('계산 과정'!$C$78,IF(AND(ISNUMBER(Q1872),ISNUMBER(R1872),ABS(Q1872-'계산 과정'!$C$88)&lt;='계산 과정'!$D$23/2,ABS(R1872-'계산 과정'!$C$89)&lt;='계산 과정'!$D$24/2),1,0),"")</x:f>
        <x:v>0</x:v>
      </x:c>
      <x:c r="T1872" s="4"/>
      <x:c r="U1872" s="4"/>
      <x:c r="V1872" s="4"/>
      <x:c r="W1872" s="4"/>
      <x:c r="X1872" s="4"/>
      <x:c r="Y1872" s="4"/>
      <x:c r="Z1872" s="4"/>
    </x:row>
    <x:row r="1873" ht="23" customHeight="1">
      <x:c r="A1873" s="17" t="n">
        <x:f>ROW()-6</x:f>
        <x:v>1867</x:v>
      </x:c>
      <x:c r="B1873" s="4" t="n">
        <x:f>IF('계산 과정'!$L$5,'계산 과정'!$L$11*SQRT((A1873+0.5)/'계산 과정'!$L$30),"")</x:f>
        <x:v>143.23745241185176</x:v>
      </x:c>
      <x:c r="C1873" s="4" t="n">
        <x:f>A1873*PI()*(3-SQRT(5))</x:f>
        <x:v>4480.731349903395</x:v>
      </x:c>
      <x:c r="D1873" s="4" t="n">
        <x:f>IF('계산 과정'!$L$5,B1873*COS(C1873),"")</x:f>
        <x:v>97.69596892480757</x:v>
      </x:c>
      <x:c r="E1873" s="4" t="n">
        <x:f>IF('계산 과정'!$L$5,B1873*SIN(C1873),"")</x:f>
        <x:v>104.74953665425224</x:v>
      </x:c>
      <x:c r="F1873" s="4" t="n">
        <x:f>IF('계산 과정'!$L$7,'계산 과정'!$L$22+'계산 과정'!$C$49*D1873+'계산 과정'!$D$49*E1873,"")</x:f>
        <x:v>580.9185178786784</x:v>
      </x:c>
      <x:c r="G1873" s="4" t="n">
        <x:f>IF('계산 과정'!$L$7,IF(ABS(F1873)&gt;=1E-12*MAX(1,SQRT((D1873-'계산 과정'!$C$33)^2+(E1873-'계산 과정'!$D$33)^2+'계산 과정'!$E$33^2)),('계산 과정'!$L$23-'계산 과정'!$C$49*D1873-'계산 과정'!$D$49*E1873)/F1873,""),"")</x:f>
        <x:v>0.807482405336727</x:v>
      </x:c>
      <x:c r="H1873" s="4" t="n">
        <x:f>IF(AND(ISNUMBER(G1873),G1873&gt;0),('계산 과정'!$D$56+'계산 과정'!$D$57*D1873+'계산 과정'!$D$58*E1873)/F1873,"")</x:f>
        <x:v>124.86356346887247</x:v>
      </x:c>
      <x:c r="I1873" s="4" t="n">
        <x:f>IF(AND(ISNUMBER(G1873),G1873&gt;0),('계산 과정'!$E$56+'계산 과정'!$E$57*D1873+'계산 과정'!$E$58*E1873)/F1873,"")</x:f>
        <x:v>189.33294446973548</x:v>
      </x:c>
      <x:c r="J1873" s="4" t="n">
        <x:f>IF('계산 과정'!$L$5,'계산 과정'!$D$6+'계산 과정'!$C$35*D1873+'계산 과정'!$D$35*E1873,"")</x:f>
        <x:v>580.9185178786784</x:v>
      </x:c>
      <x:c r="K1873" s="4" t="n">
        <x:f>IF(AND('계산 과정'!$L$6,J1873&gt;0),'계산 과정'!$D$10*('계산 과정'!$C$38*(D1873-'계산 과정'!$C$32)+'계산 과정'!$D$38*(E1873-'계산 과정'!$D$32)-'계산 과정'!$E$38*'계산 과정'!$E$32)/J1873,"")</x:f>
        <x:v>0.951341435953315</x:v>
      </x:c>
      <x:c r="L1873" s="4" t="n">
        <x:f>IF(AND('계산 과정'!$L$6,J1873&gt;0),'계산 과정'!$D$10*('계산 과정'!$C$39*(D1873-'계산 과정'!$C$32)+'계산 과정'!$D$39*(E1873-'계산 과정'!$D$32)-'계산 과정'!$E$39*'계산 과정'!$E$32)/J1873,"")</x:f>
        <x:v>1.4425367197694132</x:v>
      </x:c>
      <x:c r="M1873" s="17" t="n">
        <x:f>IF('계산 과정'!$L$6,IF(J1873&lt;=0,0,IF(AND(ABS(K1873)&lt;='계산 과정'!$D$11/2,ABS(L1873)&lt;='계산 과정'!$D$12/2),1,0)),"")</x:f>
        <x:v>1</x:v>
      </x:c>
      <x:c r="N1873" s="17" t="n">
        <x:f>IF('계산 과정'!$C$78,IF(AND(ISNUMBER(H1873),ISNUMBER(I1873),ABS(H1873-'계산 과정'!$C$88)&lt;='계산 과정'!$D$23/2,ABS(I1873-'계산 과정'!$C$89)&lt;='계산 과정'!$D$24/2),1,0),"")</x:f>
        <x:v>1</x:v>
      </x:c>
      <x:c r="O1873" s="4" t="n">
        <x:f>IF('계산 과정'!$L$7,'계산 과정'!$C$49*('계산 과정'!$C$32-D1873)+'계산 과정'!$D$49*('계산 과정'!$D$32-E1873)+'계산 과정'!$E$49*'계산 과정'!$E$32,"")</x:f>
        <x:v>69.08148212132176</x:v>
      </x:c>
      <x:c r="P1873" s="4" t="n">
        <x:f>IF(AND('계산 과정'!$L$7,O1873&lt;&gt;0),('계산 과정'!$L$23-'계산 과정'!$C$49*D1873-'계산 과정'!$D$49*E1873)/O1873,"")</x:f>
        <x:v>6.79026372505319</x:v>
      </x:c>
      <x:c r="Q1873" s="4" t="str">
        <x:f>IF(AND(ISNUMBER(P1873),P1873&gt;1E-9,P1873&lt;1-1E-9),'계산 과정'!$C$47*(D1873-'계산 과정'!$C$50+P1873*('계산 과정'!$C$32-D1873))+'계산 과정'!$D$47*(E1873-'계산 과정'!$D$50+P1873*('계산 과정'!$D$32-E1873))+'계산 과정'!$E$47*(0-'계산 과정'!$E$50+P1873*('계산 과정'!$E$32-0)),"")</x:f>
      </x:c>
      <x:c r="R1873" s="4" t="str">
        <x:f>IF(AND(ISNUMBER(P1873),P1873&gt;1E-9,P1873&lt;1-1E-9),'계산 과정'!$C$48*(D1873-'계산 과정'!$C$50+P1873*('계산 과정'!$C$32-D1873))+'계산 과정'!$D$48*(E1873-'계산 과정'!$D$50+P1873*('계산 과정'!$D$32-E1873))+'계산 과정'!$E$48*(0-'계산 과정'!$E$50+P1873*('계산 과정'!$E$32-0)),"")</x:f>
      </x:c>
      <x:c r="S1873" s="17" t="n">
        <x:f>IF('계산 과정'!$C$78,IF(AND(ISNUMBER(Q1873),ISNUMBER(R1873),ABS(Q1873-'계산 과정'!$C$88)&lt;='계산 과정'!$D$23/2,ABS(R1873-'계산 과정'!$C$89)&lt;='계산 과정'!$D$24/2),1,0),"")</x:f>
        <x:v>0</x:v>
      </x:c>
      <x:c r="T1873" s="4"/>
      <x:c r="U1873" s="4"/>
      <x:c r="V1873" s="4"/>
      <x:c r="W1873" s="4"/>
      <x:c r="X1873" s="4"/>
      <x:c r="Y1873" s="4"/>
      <x:c r="Z1873" s="4"/>
    </x:row>
    <x:row r="1874" ht="23" customHeight="1">
      <x:c r="A1874" s="17" t="n">
        <x:f>ROW()-6</x:f>
        <x:v>1868</x:v>
      </x:c>
      <x:c r="B1874" s="4" t="n">
        <x:f>IF('계산 과정'!$L$5,'계산 과정'!$L$11*SQRT((A1874+0.5)/'계산 과정'!$L$30),"")</x:f>
        <x:v>143.27579733354304</x:v>
      </x:c>
      <x:c r="C1874" s="4" t="n">
        <x:f>A1874*PI()*(3-SQRT(5))</x:f>
        <x:v>4483.1313131331235</x:v>
      </x:c>
      <x:c r="D1874" s="4" t="n">
        <x:f>IF('계산 과정'!$L$5,B1874*COS(C1874),"")</x:f>
        <x:v>-142.83348888382292</x:v>
      </x:c>
      <x:c r="E1874" s="4" t="n">
        <x:f>IF('계산 과정'!$L$5,B1874*SIN(C1874),"")</x:f>
        <x:v>-11.249380197918914</x:v>
      </x:c>
      <x:c r="F1874" s="4" t="n">
        <x:f>IF('계산 과정'!$L$7,'계산 과정'!$L$22+'계산 과정'!$C$49*D1874+'계산 과정'!$D$49*E1874,"")</x:f>
        <x:v>750.9985285702845</x:v>
      </x:c>
      <x:c r="G1874" s="4" t="n">
        <x:f>IF('계산 과정'!$L$7,IF(ABS(F1874)&gt;=1E-12*MAX(1,SQRT((D1874-'계산 과정'!$C$33)^2+(E1874-'계산 과정'!$D$33)^2+'계산 과정'!$E$33^2)),('계산 과정'!$L$23-'계산 과정'!$C$49*D1874-'계산 과정'!$D$49*E1874)/F1874,""),"")</x:f>
        <x:v>0.3981385582724647</x:v>
      </x:c>
      <x:c r="H1874" s="4" t="n">
        <x:f>IF(AND(ISNUMBER(G1874),G1874&gt;0),('계산 과정'!$D$56+'계산 과정'!$D$57*D1874+'계산 과정'!$D$58*E1874)/F1874,"")</x:f>
        <x:v>-141.2099371228981</x:v>
      </x:c>
      <x:c r="I1874" s="4" t="n">
        <x:f>IF(AND(ISNUMBER(G1874),G1874&gt;0),('계산 과정'!$E$56+'계산 과정'!$E$57*D1874+'계산 과정'!$E$58*E1874)/F1874,"")</x:f>
        <x:v>-15.728192211377163</x:v>
      </x:c>
      <x:c r="J1874" s="4" t="n">
        <x:f>IF('계산 과정'!$L$5,'계산 과정'!$D$6+'계산 과정'!$C$35*D1874+'계산 과정'!$D$35*E1874,"")</x:f>
        <x:v>750.9985285702845</x:v>
      </x:c>
      <x:c r="K1874" s="4" t="n">
        <x:f>IF(AND('계산 과정'!$L$6,J1874&gt;0),'계산 과정'!$D$10*('계산 과정'!$C$38*(D1874-'계산 과정'!$C$32)+'계산 과정'!$D$38*(E1874-'계산 과정'!$D$32)-'계산 과정'!$E$38*'계산 과정'!$E$32)/J1874,"")</x:f>
        <x:v>-1.07588523522208</x:v>
      </x:c>
      <x:c r="L1874" s="4" t="n">
        <x:f>IF(AND('계산 과정'!$L$6,J1874&gt;0),'계산 과정'!$D$10*('계산 과정'!$C$39*(D1874-'계산 과정'!$C$32)+'계산 과정'!$D$39*(E1874-'계산 과정'!$D$32)-'계산 과정'!$E$39*'계산 과정'!$E$32)/J1874,"")</x:f>
        <x:v>-0.11983384542001649</x:v>
      </x:c>
      <x:c r="M1874" s="17" t="n">
        <x:f>IF('계산 과정'!$L$6,IF(J1874&lt;=0,0,IF(AND(ABS(K1874)&lt;='계산 과정'!$D$11/2,ABS(L1874)&lt;='계산 과정'!$D$12/2),1,0)),"")</x:f>
        <x:v>1</x:v>
      </x:c>
      <x:c r="N1874" s="17" t="n">
        <x:f>IF('계산 과정'!$C$78,IF(AND(ISNUMBER(H1874),ISNUMBER(I1874),ABS(H1874-'계산 과정'!$C$88)&lt;='계산 과정'!$D$23/2,ABS(I1874-'계산 과정'!$C$89)&lt;='계산 과정'!$D$24/2),1,0),"")</x:f>
        <x:v>1</x:v>
      </x:c>
      <x:c r="O1874" s="4" t="n">
        <x:f>IF('계산 과정'!$L$7,'계산 과정'!$C$49*('계산 과정'!$C$32-D1874)+'계산 과정'!$D$49*('계산 과정'!$D$32-E1874)+'계산 과정'!$E$49*'계산 과정'!$E$32,"")</x:f>
        <x:v>-100.99852857028446</x:v>
      </x:c>
      <x:c r="P1874" s="4" t="n">
        <x:f>IF(AND('계산 과정'!$L$7,O1874&lt;&gt;0),('계산 과정'!$L$23-'계산 과정'!$C$49*D1874-'계산 과정'!$D$49*E1874)/O1874,"")</x:f>
        <x:v>-2.9604537379140288</x:v>
      </x:c>
      <x:c r="Q1874" s="4" t="str">
        <x:f>IF(AND(ISNUMBER(P1874),P1874&gt;1E-9,P1874&lt;1-1E-9),'계산 과정'!$C$47*(D1874-'계산 과정'!$C$50+P1874*('계산 과정'!$C$32-D1874))+'계산 과정'!$D$47*(E1874-'계산 과정'!$D$50+P1874*('계산 과정'!$D$32-E1874))+'계산 과정'!$E$47*(0-'계산 과정'!$E$50+P1874*('계산 과정'!$E$32-0)),"")</x:f>
      </x:c>
      <x:c r="R1874" s="4" t="str">
        <x:f>IF(AND(ISNUMBER(P1874),P1874&gt;1E-9,P1874&lt;1-1E-9),'계산 과정'!$C$48*(D1874-'계산 과정'!$C$50+P1874*('계산 과정'!$C$32-D1874))+'계산 과정'!$D$48*(E1874-'계산 과정'!$D$50+P1874*('계산 과정'!$D$32-E1874))+'계산 과정'!$E$48*(0-'계산 과정'!$E$50+P1874*('계산 과정'!$E$32-0)),"")</x:f>
      </x:c>
      <x:c r="S1874" s="17" t="n">
        <x:f>IF('계산 과정'!$C$78,IF(AND(ISNUMBER(Q1874),ISNUMBER(R1874),ABS(Q1874-'계산 과정'!$C$88)&lt;='계산 과정'!$D$23/2,ABS(R1874-'계산 과정'!$C$89)&lt;='계산 과정'!$D$24/2),1,0),"")</x:f>
        <x:v>0</x:v>
      </x:c>
      <x:c r="T1874" s="4"/>
      <x:c r="U1874" s="4"/>
      <x:c r="V1874" s="4"/>
      <x:c r="W1874" s="4"/>
      <x:c r="X1874" s="4"/>
      <x:c r="Y1874" s="4"/>
      <x:c r="Z1874" s="4"/>
    </x:row>
    <x:row r="1875" ht="23" customHeight="1">
      <x:c r="A1875" s="17" t="n">
        <x:f>ROW()-6</x:f>
        <x:v>1869</x:v>
      </x:c>
      <x:c r="B1875" s="4" t="n">
        <x:f>IF('계산 과정'!$L$5,'계산 과정'!$L$11*SQRT((A1875+0.5)/'계산 과정'!$L$30),"")</x:f>
        <x:v>143.31413199572296</x:v>
      </x:c>
      <x:c r="C1875" s="4" t="n">
        <x:f>A1875*PI()*(3-SQRT(5))</x:f>
        <x:v>4485.531276362853</x:v>
      </x:c>
      <x:c r="D1875" s="4" t="n">
        <x:f>IF('계산 과정'!$L$5,B1875*COS(C1875),"")</x:f>
        <x:v>112.95002925096695</x:v>
      </x:c>
      <x:c r="E1875" s="4" t="n">
        <x:f>IF('계산 과정'!$L$5,B1875*SIN(C1875),"")</x:f>
        <x:v>-88.21128795054075</x:v>
      </x:c>
      <x:c r="F1875" s="4" t="n">
        <x:f>IF('계산 과정'!$L$7,'계산 과정'!$L$22+'계산 과정'!$C$49*D1875+'계산 과정'!$D$49*E1875,"")</x:f>
        <x:v>570.1322683814224</x:v>
      </x:c>
      <x:c r="G1875" s="4" t="n">
        <x:f>IF('계산 과정'!$L$7,IF(ABS(F1875)&gt;=1E-12*MAX(1,SQRT((D1875-'계산 과정'!$C$33)^2+(E1875-'계산 과정'!$D$33)^2+'계산 과정'!$E$33^2)),('계산 과정'!$L$23-'계산 과정'!$C$49*D1875-'계산 과정'!$D$49*E1875)/F1875,""),"")</x:f>
        <x:v>0.841677902183819</x:v>
      </x:c>
      <x:c r="H1875" s="4" t="n">
        <x:f>IF(AND(ISNUMBER(G1875),G1875&gt;0),('계산 과정'!$D$56+'계산 과정'!$D$57*D1875+'계산 과정'!$D$58*E1875)/F1875,"")</x:f>
        <x:v>147.09063641948222</x:v>
      </x:c>
      <x:c r="I1875" s="4" t="n">
        <x:f>IF(AND(ISNUMBER(G1875),G1875&gt;0),('계산 과정'!$E$56+'계산 과정'!$E$57*D1875+'계산 과정'!$E$58*E1875)/F1875,"")</x:f>
        <x:v>-162.45677974168467</x:v>
      </x:c>
      <x:c r="J1875" s="4" t="n">
        <x:f>IF('계산 과정'!$L$5,'계산 과정'!$D$6+'계산 과정'!$C$35*D1875+'계산 과정'!$D$35*E1875,"")</x:f>
        <x:v>570.1322683814224</x:v>
      </x:c>
      <x:c r="K1875" s="4" t="n">
        <x:f>IF(AND('계산 과정'!$L$6,J1875&gt;0),'계산 과정'!$D$10*('계산 과정'!$C$38*(D1875-'계산 과정'!$C$32)+'계산 과정'!$D$38*(E1875-'계산 과정'!$D$32)-'계산 과정'!$E$38*'계산 과정'!$E$32)/J1875,"")</x:f>
        <x:v>1.1206905631960558</x:v>
      </x:c>
      <x:c r="L1875" s="4" t="n">
        <x:f>IF(AND('계산 과정'!$L$6,J1875&gt;0),'계산 과정'!$D$10*('계산 과정'!$C$39*(D1875-'계산 과정'!$C$32)+'계산 과정'!$D$39*(E1875-'계산 과정'!$D$32)-'계산 과정'!$E$39*'계산 과정'!$E$32)/J1875,"")</x:f>
        <x:v>-1.237765940889026</x:v>
      </x:c>
      <x:c r="M1875" s="17" t="n">
        <x:f>IF('계산 과정'!$L$6,IF(J1875&lt;=0,0,IF(AND(ABS(K1875)&lt;='계산 과정'!$D$11/2,ABS(L1875)&lt;='계산 과정'!$D$12/2),1,0)),"")</x:f>
        <x:v>1</x:v>
      </x:c>
      <x:c r="N1875" s="17" t="n">
        <x:f>IF('계산 과정'!$C$78,IF(AND(ISNUMBER(H1875),ISNUMBER(I1875),ABS(H1875-'계산 과정'!$C$88)&lt;='계산 과정'!$D$23/2,ABS(I1875-'계산 과정'!$C$89)&lt;='계산 과정'!$D$24/2),1,0),"")</x:f>
        <x:v>1</x:v>
      </x:c>
      <x:c r="O1875" s="4" t="n">
        <x:f>IF('계산 과정'!$L$7,'계산 과정'!$C$49*('계산 과정'!$C$32-D1875)+'계산 과정'!$D$49*('계산 과정'!$D$32-E1875)+'계산 과정'!$E$49*'계산 과정'!$E$32,"")</x:f>
        <x:v>79.86773161857775</x:v>
      </x:c>
      <x:c r="P1875" s="4" t="n">
        <x:f>IF(AND('계산 과정'!$L$7,O1875&lt;&gt;0),('계산 과정'!$L$23-'계산 과정'!$C$49*D1875-'계산 과정'!$D$49*E1875)/O1875,"")</x:f>
        <x:v>6.008280464384158</x:v>
      </x:c>
      <x:c r="Q1875" s="4" t="str">
        <x:f>IF(AND(ISNUMBER(P1875),P1875&gt;1E-9,P1875&lt;1-1E-9),'계산 과정'!$C$47*(D1875-'계산 과정'!$C$50+P1875*('계산 과정'!$C$32-D1875))+'계산 과정'!$D$47*(E1875-'계산 과정'!$D$50+P1875*('계산 과정'!$D$32-E1875))+'계산 과정'!$E$47*(0-'계산 과정'!$E$50+P1875*('계산 과정'!$E$32-0)),"")</x:f>
      </x:c>
      <x:c r="R1875" s="4" t="str">
        <x:f>IF(AND(ISNUMBER(P1875),P1875&gt;1E-9,P1875&lt;1-1E-9),'계산 과정'!$C$48*(D1875-'계산 과정'!$C$50+P1875*('계산 과정'!$C$32-D1875))+'계산 과정'!$D$48*(E1875-'계산 과정'!$D$50+P1875*('계산 과정'!$D$32-E1875))+'계산 과정'!$E$48*(0-'계산 과정'!$E$50+P1875*('계산 과정'!$E$32-0)),"")</x:f>
      </x:c>
      <x:c r="S1875" s="17" t="n">
        <x:f>IF('계산 과정'!$C$78,IF(AND(ISNUMBER(Q1875),ISNUMBER(R1875),ABS(Q1875-'계산 과정'!$C$88)&lt;='계산 과정'!$D$23/2,ABS(R1875-'계산 과정'!$C$89)&lt;='계산 과정'!$D$24/2),1,0),"")</x:f>
        <x:v>0</x:v>
      </x:c>
      <x:c r="T1875" s="4"/>
      <x:c r="U1875" s="4"/>
      <x:c r="V1875" s="4"/>
      <x:c r="W1875" s="4"/>
      <x:c r="X1875" s="4"/>
      <x:c r="Y1875" s="4"/>
      <x:c r="Z1875" s="4"/>
    </x:row>
    <x:row r="1876" ht="23" customHeight="1">
      <x:c r="A1876" s="17" t="n">
        <x:f>ROW()-6</x:f>
        <x:v>1870</x:v>
      </x:c>
      <x:c r="B1876" s="4" t="n">
        <x:f>IF('계산 과정'!$L$5,'계산 과정'!$L$11*SQRT((A1876+0.5)/'계산 과정'!$L$30),"")</x:f>
        <x:v>143.35245640662214</x:v>
      </x:c>
      <x:c r="C1876" s="4" t="n">
        <x:f>A1876*PI()*(3-SQRT(5))</x:f>
        <x:v>4487.931239592581</x:v>
      </x:c>
      <x:c r="D1876" s="4" t="n">
        <x:f>IF('계산 과정'!$L$5,B1876*COS(C1876),"")</x:f>
        <x:v>-23.706305229844414</x:v>
      </x:c>
      <x:c r="E1876" s="4" t="n">
        <x:f>IF('계산 과정'!$L$5,B1876*SIN(C1876),"")</x:f>
        <x:v>141.3787036655873</x:v>
      </x:c>
      <x:c r="F1876" s="4" t="n">
        <x:f>IF('계산 과정'!$L$7,'계산 과정'!$L$22+'계산 과정'!$C$49*D1876+'계산 과정'!$D$49*E1876,"")</x:f>
        <x:v>666.762889184901</x:v>
      </x:c>
      <x:c r="G1876" s="4" t="n">
        <x:f>IF('계산 과정'!$L$7,IF(ABS(F1876)&gt;=1E-12*MAX(1,SQRT((D1876-'계산 과정'!$C$33)^2+(E1876-'계산 과정'!$D$33)^2+'계산 과정'!$E$33^2)),('계산 과정'!$L$23-'계산 과정'!$C$49*D1876-'계산 과정'!$D$49*E1876)/F1876,""),"")</x:f>
        <x:v>0.574772707106713</x:v>
      </x:c>
      <x:c r="H1876" s="4" t="n">
        <x:f>IF(AND(ISNUMBER(G1876),G1876&gt;0),('계산 과정'!$D$56+'계산 과정'!$D$57*D1876+'계산 과정'!$D$58*E1876)/F1876,"")</x:f>
        <x:v>-26.39774038063667</x:v>
      </x:c>
      <x:c r="I1876" s="4" t="n">
        <x:f>IF(AND(ISNUMBER(G1876),G1876&gt;0),('계산 과정'!$E$56+'계산 과정'!$E$57*D1876+'계산 과정'!$E$58*E1876)/F1876,"")</x:f>
        <x:v>222.6393238986947</x:v>
      </x:c>
      <x:c r="J1876" s="4" t="n">
        <x:f>IF('계산 과정'!$L$5,'계산 과정'!$D$6+'계산 과정'!$C$35*D1876+'계산 과정'!$D$35*E1876,"")</x:f>
        <x:v>666.762889184901</x:v>
      </x:c>
      <x:c r="K1876" s="4" t="n">
        <x:f>IF(AND('계산 과정'!$L$6,J1876&gt;0),'계산 과정'!$D$10*('계산 과정'!$C$38*(D1876-'계산 과정'!$C$32)+'계산 과정'!$D$38*(E1876-'계산 과정'!$D$32)-'계산 과정'!$E$38*'계산 과정'!$E$32)/J1876,"")</x:f>
        <x:v>-0.20112564099532607</x:v>
      </x:c>
      <x:c r="L1876" s="4" t="n">
        <x:f>IF(AND('계산 과정'!$L$6,J1876&gt;0),'계산 과정'!$D$10*('계산 과정'!$C$39*(D1876-'계산 과정'!$C$32)+'계산 과정'!$D$39*(E1876-'계산 과정'!$D$32)-'계산 과정'!$E$39*'계산 과정'!$E$32)/J1876,"")</x:f>
        <x:v>1.6962996106567214</x:v>
      </x:c>
      <x:c r="M1876" s="17" t="n">
        <x:f>IF('계산 과정'!$L$6,IF(J1876&lt;=0,0,IF(AND(ABS(K1876)&lt;='계산 과정'!$D$11/2,ABS(L1876)&lt;='계산 과정'!$D$12/2),1,0)),"")</x:f>
        <x:v>1</x:v>
      </x:c>
      <x:c r="N1876" s="17" t="n">
        <x:f>IF('계산 과정'!$C$78,IF(AND(ISNUMBER(H1876),ISNUMBER(I1876),ABS(H1876-'계산 과정'!$C$88)&lt;='계산 과정'!$D$23/2,ABS(I1876-'계산 과정'!$C$89)&lt;='계산 과정'!$D$24/2),1,0),"")</x:f>
        <x:v>1</x:v>
      </x:c>
      <x:c r="O1876" s="4" t="n">
        <x:f>IF('계산 과정'!$L$7,'계산 과정'!$C$49*('계산 과정'!$C$32-D1876)+'계산 과정'!$D$49*('계산 과정'!$D$32-E1876)+'계산 과정'!$E$49*'계산 과정'!$E$32,"")</x:f>
        <x:v>-16.762889184900985</x:v>
      </x:c>
      <x:c r="P1876" s="4" t="n">
        <x:f>IF(AND('계산 과정'!$L$7,O1876&lt;&gt;0),('계산 과정'!$L$23-'계산 과정'!$C$49*D1876-'계산 과정'!$D$49*E1876)/O1876,"")</x:f>
        <x:v>-22.862234939803585</x:v>
      </x:c>
      <x:c r="Q1876" s="4" t="str">
        <x:f>IF(AND(ISNUMBER(P1876),P1876&gt;1E-9,P1876&lt;1-1E-9),'계산 과정'!$C$47*(D1876-'계산 과정'!$C$50+P1876*('계산 과정'!$C$32-D1876))+'계산 과정'!$D$47*(E1876-'계산 과정'!$D$50+P1876*('계산 과정'!$D$32-E1876))+'계산 과정'!$E$47*(0-'계산 과정'!$E$50+P1876*('계산 과정'!$E$32-0)),"")</x:f>
      </x:c>
      <x:c r="R1876" s="4" t="str">
        <x:f>IF(AND(ISNUMBER(P1876),P1876&gt;1E-9,P1876&lt;1-1E-9),'계산 과정'!$C$48*(D1876-'계산 과정'!$C$50+P1876*('계산 과정'!$C$32-D1876))+'계산 과정'!$D$48*(E1876-'계산 과정'!$D$50+P1876*('계산 과정'!$D$32-E1876))+'계산 과정'!$E$48*(0-'계산 과정'!$E$50+P1876*('계산 과정'!$E$32-0)),"")</x:f>
      </x:c>
      <x:c r="S1876" s="17" t="n">
        <x:f>IF('계산 과정'!$C$78,IF(AND(ISNUMBER(Q1876),ISNUMBER(R1876),ABS(Q1876-'계산 과정'!$C$88)&lt;='계산 과정'!$D$23/2,ABS(R1876-'계산 과정'!$C$89)&lt;='계산 과정'!$D$24/2),1,0),"")</x:f>
        <x:v>0</x:v>
      </x:c>
      <x:c r="T1876" s="4"/>
      <x:c r="U1876" s="4"/>
      <x:c r="V1876" s="4"/>
      <x:c r="W1876" s="4"/>
      <x:c r="X1876" s="4"/>
      <x:c r="Y1876" s="4"/>
      <x:c r="Z1876" s="4"/>
    </x:row>
    <x:row r="1877" ht="23" customHeight="1">
      <x:c r="A1877" s="17" t="n">
        <x:f>ROW()-6</x:f>
        <x:v>1871</x:v>
      </x:c>
      <x:c r="B1877" s="4" t="n">
        <x:f>IF('계산 과정'!$L$5,'계산 과정'!$L$11*SQRT((A1877+0.5)/'계산 과정'!$L$30),"")</x:f>
        <x:v>143.39077057446028</x:v>
      </x:c>
      <x:c r="C1877" s="4" t="n">
        <x:f>A1877*PI()*(3-SQRT(5))</x:f>
        <x:v>4490.331202822309</x:v>
      </x:c>
      <x:c r="D1877" s="4" t="n">
        <x:f>IF('계산 과정'!$L$5,B1877*COS(C1877),"")</x:f>
        <x:v>-78.04050295689456</x:v>
      </x:c>
      <x:c r="E1877" s="4" t="n">
        <x:f>IF('계산 과정'!$L$5,B1877*SIN(C1877),"")</x:f>
        <x:v>-120.29377782816714</x:v>
      </x:c>
      <x:c r="F1877" s="4" t="n">
        <x:f>IF('계산 과정'!$L$7,'계산 과정'!$L$22+'계산 과정'!$C$49*D1877+'계산 과정'!$D$49*E1877,"")</x:f>
        <x:v>705.182968848029</x:v>
      </x:c>
      <x:c r="G1877" s="4" t="n">
        <x:f>IF('계산 과정'!$L$7,IF(ABS(F1877)&gt;=1E-12*MAX(1,SQRT((D1877-'계산 과정'!$C$33)^2+(E1877-'계산 과정'!$D$33)^2+'계산 과정'!$E$33^2)),('계산 과정'!$L$23-'계산 과정'!$C$49*D1877-'계산 과정'!$D$49*E1877)/F1877,""),"")</x:f>
        <x:v>0.48897526795812496</x:v>
      </x:c>
      <x:c r="H1877" s="4" t="n">
        <x:f>IF(AND(ISNUMBER(G1877),G1877&gt;0),('계산 과정'!$D$56+'계산 과정'!$D$57*D1877+'계산 과정'!$D$58*E1877)/F1877,"")</x:f>
        <x:v>-82.1660758272189</x:v>
      </x:c>
      <x:c r="I1877" s="4" t="n">
        <x:f>IF(AND(ISNUMBER(G1877),G1877&gt;0),('계산 과정'!$E$56+'계산 과정'!$E$57*D1877+'계산 과정'!$E$58*E1877)/F1877,"")</x:f>
        <x:v>-179.1144600753903</x:v>
      </x:c>
      <x:c r="J1877" s="4" t="n">
        <x:f>IF('계산 과정'!$L$5,'계산 과정'!$D$6+'계산 과정'!$C$35*D1877+'계산 과정'!$D$35*E1877,"")</x:f>
        <x:v>705.182968848029</x:v>
      </x:c>
      <x:c r="K1877" s="4" t="n">
        <x:f>IF(AND('계산 과정'!$L$6,J1877&gt;0),'계산 과정'!$D$10*('계산 과정'!$C$38*(D1877-'계산 과정'!$C$32)+'계산 과정'!$D$38*(E1877-'계산 과정'!$D$32)-'계산 과정'!$E$38*'계산 과정'!$E$32)/J1877,"")</x:f>
        <x:v>-0.6260272443978574</x:v>
      </x:c>
      <x:c r="L1877" s="4" t="n">
        <x:f>IF(AND('계산 과정'!$L$6,J1877&gt;0),'계산 과정'!$D$10*('계산 과정'!$C$39*(D1877-'계산 과정'!$C$32)+'계산 과정'!$D$39*(E1877-'계산 과정'!$D$32)-'계산 과정'!$E$39*'계산 과정'!$E$32)/J1877,"")</x:f>
        <x:v>-1.3646816005744025</x:v>
      </x:c>
      <x:c r="M1877" s="17" t="n">
        <x:f>IF('계산 과정'!$L$6,IF(J1877&lt;=0,0,IF(AND(ABS(K1877)&lt;='계산 과정'!$D$11/2,ABS(L1877)&lt;='계산 과정'!$D$12/2),1,0)),"")</x:f>
        <x:v>1</x:v>
      </x:c>
      <x:c r="N1877" s="17" t="n">
        <x:f>IF('계산 과정'!$C$78,IF(AND(ISNUMBER(H1877),ISNUMBER(I1877),ABS(H1877-'계산 과정'!$C$88)&lt;='계산 과정'!$D$23/2,ABS(I1877-'계산 과정'!$C$89)&lt;='계산 과정'!$D$24/2),1,0),"")</x:f>
        <x:v>1</x:v>
      </x:c>
      <x:c r="O1877" s="4" t="n">
        <x:f>IF('계산 과정'!$L$7,'계산 과정'!$C$49*('계산 과정'!$C$32-D1877)+'계산 과정'!$D$49*('계산 과정'!$D$32-E1877)+'계산 과정'!$E$49*'계산 과정'!$E$32,"")</x:f>
        <x:v>-55.18296884802885</x:v>
      </x:c>
      <x:c r="P1877" s="4" t="n">
        <x:f>IF(AND('계산 과정'!$L$7,O1877&lt;&gt;0),('계산 과정'!$L$23-'계산 과정'!$C$49*D1877-'계산 과정'!$D$49*E1877)/O1877,"")</x:f>
        <x:v>-6.248613265110473</x:v>
      </x:c>
      <x:c r="Q1877" s="4" t="str">
        <x:f>IF(AND(ISNUMBER(P1877),P1877&gt;1E-9,P1877&lt;1-1E-9),'계산 과정'!$C$47*(D1877-'계산 과정'!$C$50+P1877*('계산 과정'!$C$32-D1877))+'계산 과정'!$D$47*(E1877-'계산 과정'!$D$50+P1877*('계산 과정'!$D$32-E1877))+'계산 과정'!$E$47*(0-'계산 과정'!$E$50+P1877*('계산 과정'!$E$32-0)),"")</x:f>
      </x:c>
      <x:c r="R1877" s="4" t="str">
        <x:f>IF(AND(ISNUMBER(P1877),P1877&gt;1E-9,P1877&lt;1-1E-9),'계산 과정'!$C$48*(D1877-'계산 과정'!$C$50+P1877*('계산 과정'!$C$32-D1877))+'계산 과정'!$D$48*(E1877-'계산 과정'!$D$50+P1877*('계산 과정'!$D$32-E1877))+'계산 과정'!$E$48*(0-'계산 과정'!$E$50+P1877*('계산 과정'!$E$32-0)),"")</x:f>
      </x:c>
      <x:c r="S1877" s="17" t="n">
        <x:f>IF('계산 과정'!$C$78,IF(AND(ISNUMBER(Q1877),ISNUMBER(R1877),ABS(Q1877-'계산 과정'!$C$88)&lt;='계산 과정'!$D$23/2,ABS(R1877-'계산 과정'!$C$89)&lt;='계산 과정'!$D$24/2),1,0),"")</x:f>
        <x:v>0</x:v>
      </x:c>
      <x:c r="T1877" s="4"/>
      <x:c r="U1877" s="4"/>
      <x:c r="V1877" s="4"/>
      <x:c r="W1877" s="4"/>
      <x:c r="X1877" s="4"/>
      <x:c r="Y1877" s="4"/>
      <x:c r="Z1877" s="4"/>
    </x:row>
    <x:row r="1878" ht="23" customHeight="1">
      <x:c r="A1878" s="17" t="n">
        <x:f>ROW()-6</x:f>
        <x:v>1872</x:v>
      </x:c>
      <x:c r="B1878" s="4" t="n">
        <x:f>IF('계산 과정'!$L$5,'계산 과정'!$L$11*SQRT((A1878+0.5)/'계산 과정'!$L$30),"")</x:f>
        <x:v>143.42907450744602</x:v>
      </x:c>
      <x:c r="C1878" s="4" t="n">
        <x:f>A1878*PI()*(3-SQRT(5))</x:f>
        <x:v>4492.731166052038</x:v>
      </x:c>
      <x:c r="D1878" s="4" t="n">
        <x:f>IF('계산 과정'!$L$5,B1878*COS(C1878),"")</x:f>
        <x:v>138.83899560701173</x:v>
      </x:c>
      <x:c r="E1878" s="4" t="n">
        <x:f>IF('계산 과정'!$L$5,B1878*SIN(C1878),"")</x:f>
        <x:v>35.99489842878687</x:v>
      </x:c>
      <x:c r="F1878" s="4" t="n">
        <x:f>IF('계산 과정'!$L$7,'계산 과정'!$L$22+'계산 과정'!$C$49*D1878+'계산 과정'!$D$49*E1878,"")</x:f>
        <x:v>551.8260047131528</x:v>
      </x:c>
      <x:c r="G1878" s="4" t="n">
        <x:f>IF('계산 과정'!$L$7,IF(ABS(F1878)&gt;=1E-12*MAX(1,SQRT((D1878-'계산 과정'!$C$33)^2+(E1878-'계산 과정'!$D$33)^2+'계산 과정'!$E$33^2)),('계산 과정'!$L$23-'계산 과정'!$C$49*D1878-'계산 과정'!$D$49*E1878)/F1878,""),"")</x:f>
        <x:v>0.9027736841539488</x:v>
      </x:c>
      <x:c r="H1878" s="4" t="n">
        <x:f>IF(AND(ISNUMBER(G1878),G1878&gt;0),('계산 과정'!$D$56+'계산 과정'!$D$57*D1878+'계산 과정'!$D$58*E1878)/F1878,"")</x:f>
        <x:v>186.8028947000667</x:v>
      </x:c>
      <x:c r="I1878" s="4" t="n">
        <x:f>IF(AND(ISNUMBER(G1878),G1878&gt;0),('계산 과정'!$E$56+'계산 과정'!$E$57*D1878+'계산 과정'!$E$58*E1878)/F1878,"")</x:f>
        <x:v>68.49014549408997</x:v>
      </x:c>
      <x:c r="J1878" s="4" t="n">
        <x:f>IF('계산 과정'!$L$5,'계산 과정'!$D$6+'계산 과정'!$C$35*D1878+'계산 과정'!$D$35*E1878,"")</x:f>
        <x:v>551.8260047131528</x:v>
      </x:c>
      <x:c r="K1878" s="4" t="n">
        <x:f>IF(AND('계산 과정'!$L$6,J1878&gt;0),'계산 과정'!$D$10*('계산 과정'!$C$38*(D1878-'계산 과정'!$C$32)+'계산 과정'!$D$38*(E1878-'계산 과정'!$D$32)-'계산 과정'!$E$38*'계산 과정'!$E$32)/J1878,"")</x:f>
        <x:v>1.4232601500957471</x:v>
      </x:c>
      <x:c r="L1878" s="4" t="n">
        <x:f>IF(AND('계산 과정'!$L$6,J1878&gt;0),'계산 과정'!$D$10*('계산 과정'!$C$39*(D1878-'계산 과정'!$C$32)+'계산 과정'!$D$39*(E1878-'계산 과정'!$D$32)-'계산 과정'!$E$39*'계산 과정'!$E$32)/J1878,"")</x:f>
        <x:v>0.5218296799549712</x:v>
      </x:c>
      <x:c r="M1878" s="17" t="n">
        <x:f>IF('계산 과정'!$L$6,IF(J1878&lt;=0,0,IF(AND(ABS(K1878)&lt;='계산 과정'!$D$11/2,ABS(L1878)&lt;='계산 과정'!$D$12/2),1,0)),"")</x:f>
        <x:v>1</x:v>
      </x:c>
      <x:c r="N1878" s="17" t="n">
        <x:f>IF('계산 과정'!$C$78,IF(AND(ISNUMBER(H1878),ISNUMBER(I1878),ABS(H1878-'계산 과정'!$C$88)&lt;='계산 과정'!$D$23/2,ABS(I1878-'계산 과정'!$C$89)&lt;='계산 과정'!$D$24/2),1,0),"")</x:f>
        <x:v>1</x:v>
      </x:c>
      <x:c r="O1878" s="4" t="n">
        <x:f>IF('계산 과정'!$L$7,'계산 과정'!$C$49*('계산 과정'!$C$32-D1878)+'계산 과정'!$D$49*('계산 과정'!$D$32-E1878)+'계산 과정'!$E$49*'계산 과정'!$E$32,"")</x:f>
        <x:v>98.17399528684737</x:v>
      </x:c>
      <x:c r="P1878" s="4" t="n">
        <x:f>IF(AND('계산 과정'!$L$7,O1878&lt;&gt;0),('계산 과정'!$L$23-'계산 과정'!$C$49*D1878-'계산 과정'!$D$49*E1878)/O1878,"")</x:f>
        <x:v>5.074398712523304</x:v>
      </x:c>
      <x:c r="Q1878" s="4" t="str">
        <x:f>IF(AND(ISNUMBER(P1878),P1878&gt;1E-9,P1878&lt;1-1E-9),'계산 과정'!$C$47*(D1878-'계산 과정'!$C$50+P1878*('계산 과정'!$C$32-D1878))+'계산 과정'!$D$47*(E1878-'계산 과정'!$D$50+P1878*('계산 과정'!$D$32-E1878))+'계산 과정'!$E$47*(0-'계산 과정'!$E$50+P1878*('계산 과정'!$E$32-0)),"")</x:f>
      </x:c>
      <x:c r="R1878" s="4" t="str">
        <x:f>IF(AND(ISNUMBER(P1878),P1878&gt;1E-9,P1878&lt;1-1E-9),'계산 과정'!$C$48*(D1878-'계산 과정'!$C$50+P1878*('계산 과정'!$C$32-D1878))+'계산 과정'!$D$48*(E1878-'계산 과정'!$D$50+P1878*('계산 과정'!$D$32-E1878))+'계산 과정'!$E$48*(0-'계산 과정'!$E$50+P1878*('계산 과정'!$E$32-0)),"")</x:f>
      </x:c>
      <x:c r="S1878" s="17" t="n">
        <x:f>IF('계산 과정'!$C$78,IF(AND(ISNUMBER(Q1878),ISNUMBER(R1878),ABS(Q1878-'계산 과정'!$C$88)&lt;='계산 과정'!$D$23/2,ABS(R1878-'계산 과정'!$C$89)&lt;='계산 과정'!$D$24/2),1,0),"")</x:f>
        <x:v>0</x:v>
      </x:c>
      <x:c r="T1878" s="4"/>
      <x:c r="U1878" s="4"/>
      <x:c r="V1878" s="4"/>
      <x:c r="W1878" s="4"/>
      <x:c r="X1878" s="4"/>
      <x:c r="Y1878" s="4"/>
      <x:c r="Z1878" s="4"/>
    </x:row>
    <x:row r="1879" ht="23" customHeight="1">
      <x:c r="A1879" s="17" t="n">
        <x:f>ROW()-6</x:f>
        <x:v>1873</x:v>
      </x:c>
      <x:c r="B1879" s="4" t="n">
        <x:f>IF('계산 과정'!$L$5,'계산 과정'!$L$11*SQRT((A1879+0.5)/'계산 과정'!$L$30),"")</x:f>
        <x:v>143.4673682137771</x:v>
      </x:c>
      <x:c r="C1879" s="4" t="n">
        <x:f>A1879*PI()*(3-SQRT(5))</x:f>
        <x:v>4495.131129281767</x:v>
      </x:c>
      <x:c r="D1879" s="4" t="n">
        <x:f>IF('계산 과정'!$L$5,B1879*COS(C1879),"")</x:f>
        <x:v>-126.72358348162305</x:v>
      </x:c>
      <x:c r="E1879" s="4" t="n">
        <x:f>IF('계산 과정'!$L$5,B1879*SIN(C1879),"")</x:f>
        <x:v>67.26082910404548</x:v>
      </x:c>
      <x:c r="F1879" s="4" t="n">
        <x:f>IF('계산 과정'!$L$7,'계산 과정'!$L$22+'계산 과정'!$C$49*D1879+'계산 과정'!$D$49*E1879,"")</x:f>
        <x:v>739.6071052161152</x:v>
      </x:c>
      <x:c r="G1879" s="4" t="n">
        <x:f>IF('계산 과정'!$L$7,IF(ABS(F1879)&gt;=1E-12*MAX(1,SQRT((D1879-'계산 과정'!$C$33)^2+(E1879-'계산 과정'!$D$33)^2+'계산 과정'!$E$33^2)),('계산 과정'!$L$23-'계산 과정'!$C$49*D1879-'계산 과정'!$D$49*E1879)/F1879,""),"")</x:f>
        <x:v>0.41967267836507216</x:v>
      </x:c>
      <x:c r="H1879" s="4" t="n">
        <x:f>IF(AND(ISNUMBER(G1879),G1879&gt;0),('계산 과정'!$D$56+'계산 과정'!$D$57*D1879+'계산 과정'!$D$58*E1879)/F1879,"")</x:f>
        <x:v>-127.21275906270327</x:v>
      </x:c>
      <x:c r="I1879" s="4" t="n">
        <x:f>IF(AND(ISNUMBER(G1879),G1879&gt;0),('계산 과정'!$E$56+'계산 과정'!$E$57*D1879+'계산 과정'!$E$58*E1879)/F1879,"")</x:f>
        <x:v>95.48836140319565</x:v>
      </x:c>
      <x:c r="J1879" s="4" t="n">
        <x:f>IF('계산 과정'!$L$5,'계산 과정'!$D$6+'계산 과정'!$C$35*D1879+'계산 과정'!$D$35*E1879,"")</x:f>
        <x:v>739.6071052161152</x:v>
      </x:c>
      <x:c r="K1879" s="4" t="n">
        <x:f>IF(AND('계산 과정'!$L$6,J1879&gt;0),'계산 과정'!$D$10*('계산 과정'!$C$38*(D1879-'계산 과정'!$C$32)+'계산 과정'!$D$38*(E1879-'계산 과정'!$D$32)-'계산 과정'!$E$38*'계산 과정'!$E$32)/J1879,"")</x:f>
        <x:v>-0.9692400690491665</x:v>
      </x:c>
      <x:c r="L1879" s="4" t="n">
        <x:f>IF(AND('계산 과정'!$L$6,J1879&gt;0),'계산 과정'!$D$10*('계산 과정'!$C$39*(D1879-'계산 과정'!$C$32)+'계산 과정'!$D$39*(E1879-'계산 과정'!$D$32)-'계산 과정'!$E$39*'계산 과정'!$E$32)/J1879,"")</x:f>
        <x:v>0.7275303725957764</x:v>
      </x:c>
      <x:c r="M1879" s="17" t="n">
        <x:f>IF('계산 과정'!$L$6,IF(J1879&lt;=0,0,IF(AND(ABS(K1879)&lt;='계산 과정'!$D$11/2,ABS(L1879)&lt;='계산 과정'!$D$12/2),1,0)),"")</x:f>
        <x:v>1</x:v>
      </x:c>
      <x:c r="N1879" s="17" t="n">
        <x:f>IF('계산 과정'!$C$78,IF(AND(ISNUMBER(H1879),ISNUMBER(I1879),ABS(H1879-'계산 과정'!$C$88)&lt;='계산 과정'!$D$23/2,ABS(I1879-'계산 과정'!$C$89)&lt;='계산 과정'!$D$24/2),1,0),"")</x:f>
        <x:v>1</x:v>
      </x:c>
      <x:c r="O1879" s="4" t="n">
        <x:f>IF('계산 과정'!$L$7,'계산 과정'!$C$49*('계산 과정'!$C$32-D1879)+'계산 과정'!$D$49*('계산 과정'!$D$32-E1879)+'계산 과정'!$E$49*'계산 과정'!$E$32,"")</x:f>
        <x:v>-89.60710521611503</x:v>
      </x:c>
      <x:c r="P1879" s="4" t="n">
        <x:f>IF(AND('계산 과정'!$L$7,O1879&lt;&gt;0),('계산 과정'!$L$23-'계산 과정'!$C$49*D1879-'계산 과정'!$D$49*E1879)/O1879,"")</x:f>
        <x:v>-3.463931727682499</x:v>
      </x:c>
      <x:c r="Q1879" s="4" t="str">
        <x:f>IF(AND(ISNUMBER(P1879),P1879&gt;1E-9,P1879&lt;1-1E-9),'계산 과정'!$C$47*(D1879-'계산 과정'!$C$50+P1879*('계산 과정'!$C$32-D1879))+'계산 과정'!$D$47*(E1879-'계산 과정'!$D$50+P1879*('계산 과정'!$D$32-E1879))+'계산 과정'!$E$47*(0-'계산 과정'!$E$50+P1879*('계산 과정'!$E$32-0)),"")</x:f>
      </x:c>
      <x:c r="R1879" s="4" t="str">
        <x:f>IF(AND(ISNUMBER(P1879),P1879&gt;1E-9,P1879&lt;1-1E-9),'계산 과정'!$C$48*(D1879-'계산 과정'!$C$50+P1879*('계산 과정'!$C$32-D1879))+'계산 과정'!$D$48*(E1879-'계산 과정'!$D$50+P1879*('계산 과정'!$D$32-E1879))+'계산 과정'!$E$48*(0-'계산 과정'!$E$50+P1879*('계산 과정'!$E$32-0)),"")</x:f>
      </x:c>
      <x:c r="S1879" s="17" t="n">
        <x:f>IF('계산 과정'!$C$78,IF(AND(ISNUMBER(Q1879),ISNUMBER(R1879),ABS(Q1879-'계산 과정'!$C$88)&lt;='계산 과정'!$D$23/2,ABS(R1879-'계산 과정'!$C$89)&lt;='계산 과정'!$D$24/2),1,0),"")</x:f>
        <x:v>0</x:v>
      </x:c>
      <x:c r="T1879" s="4"/>
      <x:c r="U1879" s="4"/>
      <x:c r="V1879" s="4"/>
      <x:c r="W1879" s="4"/>
      <x:c r="X1879" s="4"/>
      <x:c r="Y1879" s="4"/>
      <x:c r="Z1879" s="4"/>
    </x:row>
    <x:row r="1880" ht="23" customHeight="1">
      <x:c r="A1880" s="17" t="n">
        <x:f>ROW()-6</x:f>
        <x:v>1874</x:v>
      </x:c>
      <x:c r="B1880" s="4" t="n">
        <x:f>IF('계산 과정'!$L$5,'계산 과정'!$L$11*SQRT((A1880+0.5)/'계산 과정'!$L$30),"")</x:f>
        <x:v>143.5056517016403</x:v>
      </x:c>
      <x:c r="C1880" s="4" t="n">
        <x:f>A1880*PI()*(3-SQRT(5))</x:f>
        <x:v>4497.531092511495</x:v>
      </x:c>
      <x:c r="D1880" s="4" t="n">
        <x:f>IF('계산 과정'!$L$5,B1880*COS(C1880),"")</x:f>
        <x:v>48.02080000524614</x:v>
      </x:c>
      <x:c r="E1880" s="4" t="n">
        <x:f>IF('계산 과정'!$L$5,B1880*SIN(C1880),"")</x:f>
        <x:v>-135.23266926733587</x:v>
      </x:c>
      <x:c r="F1880" s="4" t="n">
        <x:f>IF('계산 과정'!$L$7,'계산 과정'!$L$22+'계산 과정'!$C$49*D1880+'계산 과정'!$D$49*E1880,"")</x:f>
        <x:v>616.0441666782874</x:v>
      </x:c>
      <x:c r="G1880" s="4" t="n">
        <x:f>IF('계산 과정'!$L$7,IF(ABS(F1880)&gt;=1E-12*MAX(1,SQRT((D1880-'계산 과정'!$C$33)^2+(E1880-'계산 과정'!$D$33)^2+'계산 과정'!$E$33^2)),('계산 과정'!$L$23-'계산 과정'!$C$49*D1880-'계산 과정'!$D$49*E1880)/F1880,""),"")</x:f>
        <x:v>0.7044232488420499</x:v>
      </x:c>
      <x:c r="H1880" s="4" t="n">
        <x:f>IF(AND(ISNUMBER(G1880),G1880&gt;0),('계산 과정'!$D$56+'계산 과정'!$D$57*D1880+'계산 과정'!$D$58*E1880)/F1880,"")</x:f>
        <x:v>57.87511174733232</x:v>
      </x:c>
      <x:c r="I1880" s="4" t="n">
        <x:f>IF(AND(ISNUMBER(G1880),G1880&gt;0),('계산 과정'!$E$56+'계산 과정'!$E$57*D1880+'계산 과정'!$E$58*E1880)/F1880,"")</x:f>
        <x:v>-230.49370550221502</x:v>
      </x:c>
      <x:c r="J1880" s="4" t="n">
        <x:f>IF('계산 과정'!$L$5,'계산 과정'!$D$6+'계산 과정'!$C$35*D1880+'계산 과정'!$D$35*E1880,"")</x:f>
        <x:v>616.0441666782874</x:v>
      </x:c>
      <x:c r="K1880" s="4" t="n">
        <x:f>IF(AND('계산 과정'!$L$6,J1880&gt;0),'계산 과정'!$D$10*('계산 과정'!$C$38*(D1880-'계산 과정'!$C$32)+'계산 과정'!$D$38*(E1880-'계산 과정'!$D$32)-'계산 과정'!$E$38*'계산 과정'!$E$32)/J1880,"")</x:f>
        <x:v>0.4409532323606279</x:v>
      </x:c>
      <x:c r="L1880" s="4" t="n">
        <x:f>IF(AND('계산 과정'!$L$6,J1880&gt;0),'계산 과정'!$D$10*('계산 과정'!$C$39*(D1880-'계산 과정'!$C$32)+'계산 과정'!$D$39*(E1880-'계산 과정'!$D$32)-'계산 과정'!$E$39*'계산 과정'!$E$32)/J1880,"")</x:f>
        <x:v>-1.7561425181121146</x:v>
      </x:c>
      <x:c r="M1880" s="17" t="n">
        <x:f>IF('계산 과정'!$L$6,IF(J1880&lt;=0,0,IF(AND(ABS(K1880)&lt;='계산 과정'!$D$11/2,ABS(L1880)&lt;='계산 과정'!$D$12/2),1,0)),"")</x:f>
        <x:v>1</x:v>
      </x:c>
      <x:c r="N1880" s="17" t="n">
        <x:f>IF('계산 과정'!$C$78,IF(AND(ISNUMBER(H1880),ISNUMBER(I1880),ABS(H1880-'계산 과정'!$C$88)&lt;='계산 과정'!$D$23/2,ABS(I1880-'계산 과정'!$C$89)&lt;='계산 과정'!$D$24/2),1,0),"")</x:f>
        <x:v>1</x:v>
      </x:c>
      <x:c r="O1880" s="4" t="n">
        <x:f>IF('계산 과정'!$L$7,'계산 과정'!$C$49*('계산 과정'!$C$32-D1880)+'계산 과정'!$D$49*('계산 과정'!$D$32-E1880)+'계산 과정'!$E$49*'계산 과정'!$E$32,"")</x:f>
        <x:v>33.955833321712646</x:v>
      </x:c>
      <x:c r="P1880" s="4" t="n">
        <x:f>IF(AND('계산 과정'!$L$7,O1880&lt;&gt;0),('계산 과정'!$L$23-'계산 과정'!$C$49*D1880-'계산 과정'!$D$49*E1880)/O1880,"")</x:f>
        <x:v>12.78000834820404</x:v>
      </x:c>
      <x:c r="Q1880" s="4" t="str">
        <x:f>IF(AND(ISNUMBER(P1880),P1880&gt;1E-9,P1880&lt;1-1E-9),'계산 과정'!$C$47*(D1880-'계산 과정'!$C$50+P1880*('계산 과정'!$C$32-D1880))+'계산 과정'!$D$47*(E1880-'계산 과정'!$D$50+P1880*('계산 과정'!$D$32-E1880))+'계산 과정'!$E$47*(0-'계산 과정'!$E$50+P1880*('계산 과정'!$E$32-0)),"")</x:f>
      </x:c>
      <x:c r="R1880" s="4" t="str">
        <x:f>IF(AND(ISNUMBER(P1880),P1880&gt;1E-9,P1880&lt;1-1E-9),'계산 과정'!$C$48*(D1880-'계산 과정'!$C$50+P1880*('계산 과정'!$C$32-D1880))+'계산 과정'!$D$48*(E1880-'계산 과정'!$D$50+P1880*('계산 과정'!$D$32-E1880))+'계산 과정'!$E$48*(0-'계산 과정'!$E$50+P1880*('계산 과정'!$E$32-0)),"")</x:f>
      </x:c>
      <x:c r="S1880" s="17" t="n">
        <x:f>IF('계산 과정'!$C$78,IF(AND(ISNUMBER(Q1880),ISNUMBER(R1880),ABS(Q1880-'계산 과정'!$C$88)&lt;='계산 과정'!$D$23/2,ABS(R1880-'계산 과정'!$C$89)&lt;='계산 과정'!$D$24/2),1,0),"")</x:f>
        <x:v>0</x:v>
      </x:c>
      <x:c r="T1880" s="4"/>
      <x:c r="U1880" s="4"/>
      <x:c r="V1880" s="4"/>
      <x:c r="W1880" s="4"/>
      <x:c r="X1880" s="4"/>
      <x:c r="Y1880" s="4"/>
      <x:c r="Z1880" s="4"/>
    </x:row>
    <x:row r="1881" ht="23" customHeight="1">
      <x:c r="A1881" s="17" t="n">
        <x:f>ROW()-6</x:f>
        <x:v>1875</x:v>
      </x:c>
      <x:c r="B1881" s="4" t="n">
        <x:f>IF('계산 과정'!$L$5,'계산 과정'!$L$11*SQRT((A1881+0.5)/'계산 과정'!$L$30),"")</x:f>
        <x:v>143.5439249792115</x:v>
      </x:c>
      <x:c r="C1881" s="4" t="n">
        <x:f>A1881*PI()*(3-SQRT(5))</x:f>
        <x:v>4499.931055741225</x:v>
      </x:c>
      <x:c r="D1881" s="4" t="n">
        <x:f>IF('계산 과정'!$L$5,B1881*COS(C1881),"")</x:f>
        <x:v>55.954231272197845</x:v>
      </x:c>
      <x:c r="E1881" s="4" t="n">
        <x:f>IF('계산 과정'!$L$5,B1881*SIN(C1881),"")</x:f>
        <x:v>132.1891916957468</x:v>
      </x:c>
      <x:c r="F1881" s="4" t="n">
        <x:f>IF('계산 과정'!$L$7,'계산 과정'!$L$22+'계산 과정'!$C$49*D1881+'계산 과정'!$D$49*E1881,"")</x:f>
        <x:v>610.4343836313485</x:v>
      </x:c>
      <x:c r="G1881" s="4" t="n">
        <x:f>IF('계산 과정'!$L$7,IF(ABS(F1881)&gt;=1E-12*MAX(1,SQRT((D1881-'계산 과정'!$C$33)^2+(E1881-'계산 과정'!$D$33)^2+'계산 과정'!$E$33^2)),('계산 과정'!$L$23-'계산 과정'!$C$49*D1881-'계산 과정'!$D$49*E1881)/F1881,""),"")</x:f>
        <x:v>0.7200865943261029</x:v>
      </x:c>
      <x:c r="H1881" s="4" t="n">
        <x:f>IF(AND(ISNUMBER(G1881),G1881&gt;0),('계산 과정'!$D$56+'계산 과정'!$D$57*D1881+'계산 과정'!$D$58*E1881)/F1881,"")</x:f>
        <x:v>68.05628631196673</x:v>
      </x:c>
      <x:c r="I1881" s="4" t="n">
        <x:f>IF(AND(ISNUMBER(G1881),G1881&gt;0),('계산 과정'!$E$56+'계산 과정'!$E$57*D1881+'계산 과정'!$E$58*E1881)/F1881,"")</x:f>
        <x:v>227.3768565506575</x:v>
      </x:c>
      <x:c r="J1881" s="4" t="n">
        <x:f>IF('계산 과정'!$L$5,'계산 과정'!$D$6+'계산 과정'!$C$35*D1881+'계산 과정'!$D$35*E1881,"")</x:f>
        <x:v>610.4343836313485</x:v>
      </x:c>
      <x:c r="K1881" s="4" t="n">
        <x:f>IF(AND('계산 과정'!$L$6,J1881&gt;0),'계산 과정'!$D$10*('계산 과정'!$C$38*(D1881-'계산 과정'!$C$32)+'계산 과정'!$D$38*(E1881-'계산 과정'!$D$32)-'계산 과정'!$E$38*'계산 과정'!$E$32)/J1881,"")</x:f>
        <x:v>0.5185240861864141</x:v>
      </x:c>
      <x:c r="L1881" s="4" t="n">
        <x:f>IF(AND('계산 과정'!$L$6,J1881&gt;0),'계산 과정'!$D$10*('계산 과정'!$C$39*(D1881-'계산 과정'!$C$32)+'계산 과정'!$D$39*(E1881-'계산 과정'!$D$32)-'계산 과정'!$E$39*'계산 과정'!$E$32)/J1881,"")</x:f>
        <x:v>1.732395097528819</x:v>
      </x:c>
      <x:c r="M1881" s="17" t="n">
        <x:f>IF('계산 과정'!$L$6,IF(J1881&lt;=0,0,IF(AND(ABS(K1881)&lt;='계산 과정'!$D$11/2,ABS(L1881)&lt;='계산 과정'!$D$12/2),1,0)),"")</x:f>
        <x:v>1</x:v>
      </x:c>
      <x:c r="N1881" s="17" t="n">
        <x:f>IF('계산 과정'!$C$78,IF(AND(ISNUMBER(H1881),ISNUMBER(I1881),ABS(H1881-'계산 과정'!$C$88)&lt;='계산 과정'!$D$23/2,ABS(I1881-'계산 과정'!$C$89)&lt;='계산 과정'!$D$24/2),1,0),"")</x:f>
        <x:v>1</x:v>
      </x:c>
      <x:c r="O1881" s="4" t="n">
        <x:f>IF('계산 과정'!$L$7,'계산 과정'!$C$49*('계산 과정'!$C$32-D1881)+'계산 과정'!$D$49*('계산 과정'!$D$32-E1881)+'계산 과정'!$E$49*'계산 과정'!$E$32,"")</x:f>
        <x:v>39.565616368651604</x:v>
      </x:c>
      <x:c r="P1881" s="4" t="n">
        <x:f>IF(AND('계산 과정'!$L$7,O1881&lt;&gt;0),('계산 과정'!$L$23-'계산 과정'!$C$49*D1881-'계산 과정'!$D$49*E1881)/O1881,"")</x:f>
        <x:v>11.109788162353146</x:v>
      </x:c>
      <x:c r="Q1881" s="4" t="str">
        <x:f>IF(AND(ISNUMBER(P1881),P1881&gt;1E-9,P1881&lt;1-1E-9),'계산 과정'!$C$47*(D1881-'계산 과정'!$C$50+P1881*('계산 과정'!$C$32-D1881))+'계산 과정'!$D$47*(E1881-'계산 과정'!$D$50+P1881*('계산 과정'!$D$32-E1881))+'계산 과정'!$E$47*(0-'계산 과정'!$E$50+P1881*('계산 과정'!$E$32-0)),"")</x:f>
      </x:c>
      <x:c r="R1881" s="4" t="str">
        <x:f>IF(AND(ISNUMBER(P1881),P1881&gt;1E-9,P1881&lt;1-1E-9),'계산 과정'!$C$48*(D1881-'계산 과정'!$C$50+P1881*('계산 과정'!$C$32-D1881))+'계산 과정'!$D$48*(E1881-'계산 과정'!$D$50+P1881*('계산 과정'!$D$32-E1881))+'계산 과정'!$E$48*(0-'계산 과정'!$E$50+P1881*('계산 과정'!$E$32-0)),"")</x:f>
      </x:c>
      <x:c r="S1881" s="17" t="n">
        <x:f>IF('계산 과정'!$C$78,IF(AND(ISNUMBER(Q1881),ISNUMBER(R1881),ABS(Q1881-'계산 과정'!$C$88)&lt;='계산 과정'!$D$23/2,ABS(R1881-'계산 과정'!$C$89)&lt;='계산 과정'!$D$24/2),1,0),"")</x:f>
        <x:v>0</x:v>
      </x:c>
      <x:c r="T1881" s="4"/>
      <x:c r="U1881" s="4"/>
      <x:c r="V1881" s="4"/>
      <x:c r="W1881" s="4"/>
      <x:c r="X1881" s="4"/>
      <x:c r="Y1881" s="4"/>
      <x:c r="Z1881" s="4"/>
    </x:row>
    <x:row r="1882" ht="23" customHeight="1">
      <x:c r="A1882" s="17" t="n">
        <x:f>ROW()-6</x:f>
        <x:v>1876</x:v>
      </x:c>
      <x:c r="B1882" s="4" t="n">
        <x:f>IF('계산 과정'!$L$5,'계산 과정'!$L$11*SQRT((A1882+0.5)/'계산 과정'!$L$30),"")</x:f>
        <x:v>143.58218805465566</x:v>
      </x:c>
      <x:c r="C1882" s="4" t="n">
        <x:f>A1882*PI()*(3-SQRT(5))</x:f>
        <x:v>4502.331018970953</x:v>
      </x:c>
      <x:c r="D1882" s="4" t="n">
        <x:f>IF('계산 과정'!$L$5,B1882*COS(C1882),"")</x:f>
        <x:v>-130.58622452765843</x:v>
      </x:c>
      <x:c r="E1882" s="4" t="n">
        <x:f>IF('계산 과정'!$L$5,B1882*SIN(C1882),"")</x:f>
        <x:v>-59.69156297312446</x:v>
      </x:c>
      <x:c r="F1882" s="4" t="n">
        <x:f>IF('계산 과정'!$L$7,'계산 과정'!$L$22+'계산 과정'!$C$49*D1882+'계산 과정'!$D$49*E1882,"")</x:f>
        <x:v>742.3384048930563</x:v>
      </x:c>
      <x:c r="G1882" s="4" t="n">
        <x:f>IF('계산 과정'!$L$7,IF(ABS(F1882)&gt;=1E-12*MAX(1,SQRT((D1882-'계산 과정'!$C$33)^2+(E1882-'계산 과정'!$D$33)^2+'계산 과정'!$E$33^2)),('계산 과정'!$L$23-'계산 과정'!$C$49*D1882-'계산 과정'!$D$49*E1882)/F1882,""),"")</x:f>
        <x:v>0.4144492499364442</x:v>
      </x:c>
      <x:c r="H1882" s="4" t="n">
        <x:f>IF(AND(ISNUMBER(G1882),G1882&gt;0),('계산 과정'!$D$56+'계산 과정'!$D$57*D1882+'계산 과정'!$D$58*E1882)/F1882,"")</x:f>
        <x:v>-130.60798754131136</x:v>
      </x:c>
      <x:c r="I1882" s="4" t="n">
        <x:f>IF(AND(ISNUMBER(G1882),G1882&gt;0),('계산 과정'!$E$56+'계산 과정'!$E$57*D1882+'계산 과정'!$E$58*E1882)/F1882,"")</x:f>
        <x:v>-84.43068647486992</x:v>
      </x:c>
      <x:c r="J1882" s="4" t="n">
        <x:f>IF('계산 과정'!$L$5,'계산 과정'!$D$6+'계산 과정'!$C$35*D1882+'계산 과정'!$D$35*E1882,"")</x:f>
        <x:v>742.3384048930563</x:v>
      </x:c>
      <x:c r="K1882" s="4" t="n">
        <x:f>IF(AND('계산 과정'!$L$6,J1882&gt;0),'계산 과정'!$D$10*('계산 과정'!$C$38*(D1882-'계산 과정'!$C$32)+'계산 과정'!$D$38*(E1882-'계산 과정'!$D$32)-'계산 과정'!$E$38*'계산 과정'!$E$32)/J1882,"")</x:f>
        <x:v>-0.9951084765052279</x:v>
      </x:c>
      <x:c r="L1882" s="4" t="n">
        <x:f>IF(AND('계산 과정'!$L$6,J1882&gt;0),'계산 과정'!$D$10*('계산 과정'!$C$39*(D1882-'계산 과정'!$C$32)+'계산 과정'!$D$39*(E1882-'계산 과정'!$D$32)-'계산 과정'!$E$39*'계산 과정'!$E$32)/J1882,"")</x:f>
        <x:v>-0.6432814207609137</x:v>
      </x:c>
      <x:c r="M1882" s="17" t="n">
        <x:f>IF('계산 과정'!$L$6,IF(J1882&lt;=0,0,IF(AND(ABS(K1882)&lt;='계산 과정'!$D$11/2,ABS(L1882)&lt;='계산 과정'!$D$12/2),1,0)),"")</x:f>
        <x:v>1</x:v>
      </x:c>
      <x:c r="N1882" s="17" t="n">
        <x:f>IF('계산 과정'!$C$78,IF(AND(ISNUMBER(H1882),ISNUMBER(I1882),ABS(H1882-'계산 과정'!$C$88)&lt;='계산 과정'!$D$23/2,ABS(I1882-'계산 과정'!$C$89)&lt;='계산 과정'!$D$24/2),1,0),"")</x:f>
        <x:v>1</x:v>
      </x:c>
      <x:c r="O1882" s="4" t="n">
        <x:f>IF('계산 과정'!$L$7,'계산 과정'!$C$49*('계산 과정'!$C$32-D1882)+'계산 과정'!$D$49*('계산 과정'!$D$32-E1882)+'계산 과정'!$E$49*'계산 과정'!$E$32,"")</x:f>
        <x:v>-92.33840489305618</x:v>
      </x:c>
      <x:c r="P1882" s="4" t="n">
        <x:f>IF(AND('계산 과정'!$L$7,O1882&lt;&gt;0),('계산 과정'!$L$23-'계산 과정'!$C$49*D1882-'계산 과정'!$D$49*E1882)/O1882,"")</x:f>
        <x:v>-3.331892027626738</x:v>
      </x:c>
      <x:c r="Q1882" s="4" t="str">
        <x:f>IF(AND(ISNUMBER(P1882),P1882&gt;1E-9,P1882&lt;1-1E-9),'계산 과정'!$C$47*(D1882-'계산 과정'!$C$50+P1882*('계산 과정'!$C$32-D1882))+'계산 과정'!$D$47*(E1882-'계산 과정'!$D$50+P1882*('계산 과정'!$D$32-E1882))+'계산 과정'!$E$47*(0-'계산 과정'!$E$50+P1882*('계산 과정'!$E$32-0)),"")</x:f>
      </x:c>
      <x:c r="R1882" s="4" t="str">
        <x:f>IF(AND(ISNUMBER(P1882),P1882&gt;1E-9,P1882&lt;1-1E-9),'계산 과정'!$C$48*(D1882-'계산 과정'!$C$50+P1882*('계산 과정'!$C$32-D1882))+'계산 과정'!$D$48*(E1882-'계산 과정'!$D$50+P1882*('계산 과정'!$D$32-E1882))+'계산 과정'!$E$48*(0-'계산 과정'!$E$50+P1882*('계산 과정'!$E$32-0)),"")</x:f>
      </x:c>
      <x:c r="S1882" s="17" t="n">
        <x:f>IF('계산 과정'!$C$78,IF(AND(ISNUMBER(Q1882),ISNUMBER(R1882),ABS(Q1882-'계산 과정'!$C$88)&lt;='계산 과정'!$D$23/2,ABS(R1882-'계산 과정'!$C$89)&lt;='계산 과정'!$D$24/2),1,0),"")</x:f>
        <x:v>0</x:v>
      </x:c>
      <x:c r="T1882" s="4"/>
      <x:c r="U1882" s="4"/>
      <x:c r="V1882" s="4"/>
      <x:c r="W1882" s="4"/>
      <x:c r="X1882" s="4"/>
      <x:c r="Y1882" s="4"/>
      <x:c r="Z1882" s="4"/>
    </x:row>
    <x:row r="1883" ht="23" customHeight="1">
      <x:c r="A1883" s="17" t="n">
        <x:f>ROW()-6</x:f>
        <x:v>1877</x:v>
      </x:c>
      <x:c r="B1883" s="4" t="n">
        <x:f>IF('계산 과정'!$L$5,'계산 과정'!$L$11*SQRT((A1883+0.5)/'계산 과정'!$L$30),"")</x:f>
        <x:v>143.62044093612684</x:v>
      </x:c>
      <x:c r="C1883" s="4" t="n">
        <x:f>A1883*PI()*(3-SQRT(5))</x:f>
        <x:v>4504.730982200681</x:v>
      </x:c>
      <x:c r="D1883" s="4" t="n">
        <x:f>IF('계산 과정'!$L$5,B1883*COS(C1883),"")</x:f>
        <x:v>136.64768501853695</x:v>
      </x:c>
      <x:c r="E1883" s="4" t="n">
        <x:f>IF('계산 과정'!$L$5,B1883*SIN(C1883),"")</x:f>
        <x:v>-44.206800763708394</x:v>
      </x:c>
      <x:c r="F1883" s="4" t="n">
        <x:f>IF('계산 과정'!$L$7,'계산 과정'!$L$22+'계산 과정'!$C$49*D1883+'계산 과정'!$D$49*E1883,"")</x:f>
        <x:v>553.3754952899492</x:v>
      </x:c>
      <x:c r="G1883" s="4" t="n">
        <x:f>IF('계산 과정'!$L$7,IF(ABS(F1883)&gt;=1E-12*MAX(1,SQRT((D1883-'계산 과정'!$C$33)^2+(E1883-'계산 과정'!$D$33)^2+'계산 과정'!$E$33^2)),('계산 과정'!$L$23-'계산 과정'!$C$49*D1883-'계산 과정'!$D$49*E1883)/F1883,""),"")</x:f>
        <x:v>0.8974457830841194</x:v>
      </x:c>
      <x:c r="H1883" s="4" t="n">
        <x:f>IF(AND(ISNUMBER(G1883),G1883&gt;0),('계산 과정'!$D$56+'계산 과정'!$D$57*D1883+'계산 과정'!$D$58*E1883)/F1883,"")</x:f>
        <x:v>183.33975900467755</x:v>
      </x:c>
      <x:c r="I1883" s="4" t="n">
        <x:f>IF(AND(ISNUMBER(G1883),G1883&gt;0),('계산 과정'!$E$56+'계산 과정'!$E$57*D1883+'계산 과정'!$E$58*E1883)/F1883,"")</x:f>
        <x:v>-83.88000769273832</x:v>
      </x:c>
      <x:c r="J1883" s="4" t="n">
        <x:f>IF('계산 과정'!$L$5,'계산 과정'!$D$6+'계산 과정'!$C$35*D1883+'계산 과정'!$D$35*E1883,"")</x:f>
        <x:v>553.3754952899492</x:v>
      </x:c>
      <x:c r="K1883" s="4" t="n">
        <x:f>IF(AND('계산 과정'!$L$6,J1883&gt;0),'계산 과정'!$D$10*('계산 과정'!$C$38*(D1883-'계산 과정'!$C$32)+'계산 과정'!$D$38*(E1883-'계산 과정'!$D$32)-'계산 과정'!$E$38*'계산 과정'!$E$32)/J1883,"")</x:f>
        <x:v>1.396874354321354</x:v>
      </x:c>
      <x:c r="L1883" s="4" t="n">
        <x:f>IF(AND('계산 과정'!$L$6,J1883&gt;0),'계산 과정'!$D$10*('계산 과정'!$C$39*(D1883-'계산 과정'!$C$32)+'계산 과정'!$D$39*(E1883-'계산 과정'!$D$32)-'계산 과정'!$E$39*'계산 과정'!$E$32)/J1883,"")</x:f>
        <x:v>-0.6390857728970538</x:v>
      </x:c>
      <x:c r="M1883" s="17" t="n">
        <x:f>IF('계산 과정'!$L$6,IF(J1883&lt;=0,0,IF(AND(ABS(K1883)&lt;='계산 과정'!$D$11/2,ABS(L1883)&lt;='계산 과정'!$D$12/2),1,0)),"")</x:f>
        <x:v>1</x:v>
      </x:c>
      <x:c r="N1883" s="17" t="n">
        <x:f>IF('계산 과정'!$C$78,IF(AND(ISNUMBER(H1883),ISNUMBER(I1883),ABS(H1883-'계산 과정'!$C$88)&lt;='계산 과정'!$D$23/2,ABS(I1883-'계산 과정'!$C$89)&lt;='계산 과정'!$D$24/2),1,0),"")</x:f>
        <x:v>1</x:v>
      </x:c>
      <x:c r="O1883" s="4" t="n">
        <x:f>IF('계산 과정'!$L$7,'계산 과정'!$C$49*('계산 과정'!$C$32-D1883)+'계산 과정'!$D$49*('계산 과정'!$D$32-E1883)+'계산 과정'!$E$49*'계산 과정'!$E$32,"")</x:f>
        <x:v>96.62450471005099</x:v>
      </x:c>
      <x:c r="P1883" s="4" t="n">
        <x:f>IF(AND('계산 과정'!$L$7,O1883&lt;&gt;0),('계산 과정'!$L$23-'계산 과정'!$C$49*D1883-'계산 과정'!$D$49*E1883)/O1883,"")</x:f>
        <x:v>5.139736614436601</x:v>
      </x:c>
      <x:c r="Q1883" s="4" t="str">
        <x:f>IF(AND(ISNUMBER(P1883),P1883&gt;1E-9,P1883&lt;1-1E-9),'계산 과정'!$C$47*(D1883-'계산 과정'!$C$50+P1883*('계산 과정'!$C$32-D1883))+'계산 과정'!$D$47*(E1883-'계산 과정'!$D$50+P1883*('계산 과정'!$D$32-E1883))+'계산 과정'!$E$47*(0-'계산 과정'!$E$50+P1883*('계산 과정'!$E$32-0)),"")</x:f>
      </x:c>
      <x:c r="R1883" s="4" t="str">
        <x:f>IF(AND(ISNUMBER(P1883),P1883&gt;1E-9,P1883&lt;1-1E-9),'계산 과정'!$C$48*(D1883-'계산 과정'!$C$50+P1883*('계산 과정'!$C$32-D1883))+'계산 과정'!$D$48*(E1883-'계산 과정'!$D$50+P1883*('계산 과정'!$D$32-E1883))+'계산 과정'!$E$48*(0-'계산 과정'!$E$50+P1883*('계산 과정'!$E$32-0)),"")</x:f>
      </x:c>
      <x:c r="S1883" s="17" t="n">
        <x:f>IF('계산 과정'!$C$78,IF(AND(ISNUMBER(Q1883),ISNUMBER(R1883),ABS(Q1883-'계산 과정'!$C$88)&lt;='계산 과정'!$D$23/2,ABS(R1883-'계산 과정'!$C$89)&lt;='계산 과정'!$D$24/2),1,0),"")</x:f>
        <x:v>0</x:v>
      </x:c>
      <x:c r="T1883" s="4"/>
      <x:c r="U1883" s="4"/>
      <x:c r="V1883" s="4"/>
      <x:c r="W1883" s="4"/>
      <x:c r="X1883" s="4"/>
      <x:c r="Y1883" s="4"/>
      <x:c r="Z1883" s="4"/>
    </x:row>
    <x:row r="1884" ht="23" customHeight="1">
      <x:c r="A1884" s="17" t="n">
        <x:f>ROW()-6</x:f>
        <x:v>1878</x:v>
      </x:c>
      <x:c r="B1884" s="4" t="n">
        <x:f>IF('계산 과정'!$L$5,'계산 과정'!$L$11*SQRT((A1884+0.5)/'계산 과정'!$L$30),"")</x:f>
        <x:v>143.65868363176833</x:v>
      </x:c>
      <x:c r="C1884" s="4" t="n">
        <x:f>A1884*PI()*(3-SQRT(5))</x:f>
        <x:v>4507.13094543041</x:v>
      </x:c>
      <x:c r="D1884" s="4" t="n">
        <x:f>IF('계산 과정'!$L$5,B1884*COS(C1884),"")</x:f>
        <x:v>-70.91736391245325</x:v>
      </x:c>
      <x:c r="E1884" s="4" t="n">
        <x:f>IF('계산 과정'!$L$5,B1884*SIN(C1884),"")</x:f>
        <x:v>124.93416217560822</x:v>
      </x:c>
      <x:c r="F1884" s="4" t="n">
        <x:f>IF('계산 과정'!$L$7,'계산 과정'!$L$22+'계산 과정'!$C$49*D1884+'계산 과정'!$D$49*E1884,"")</x:f>
        <x:v>700.1461489263698</x:v>
      </x:c>
      <x:c r="G1884" s="4" t="n">
        <x:f>IF('계산 과정'!$L$7,IF(ABS(F1884)&gt;=1E-12*MAX(1,SQRT((D1884-'계산 과정'!$C$33)^2+(E1884-'계산 과정'!$D$33)^2+'계산 과정'!$E$33^2)),('계산 과정'!$L$23-'계산 과정'!$C$49*D1884-'계산 과정'!$D$49*E1884)/F1884,""),"")</x:f>
        <x:v>0.49968688910180975</x:v>
      </x:c>
      <x:c r="H1884" s="4" t="n">
        <x:f>IF(AND(ISNUMBER(G1884),G1884&gt;0),('계산 과정'!$D$56+'계산 과정'!$D$57*D1884+'계산 과정'!$D$58*E1884)/F1884,"")</x:f>
        <x:v>-75.20352208382377</x:v>
      </x:c>
      <x:c r="I1884" s="4" t="n">
        <x:f>IF(AND(ISNUMBER(G1884),G1884&gt;0),('계산 과정'!$E$56+'계산 과정'!$E$57*D1884+'계산 과정'!$E$58*E1884)/F1884,"")</x:f>
        <x:v>187.36212501567888</x:v>
      </x:c>
      <x:c r="J1884" s="4" t="n">
        <x:f>IF('계산 과정'!$L$5,'계산 과정'!$D$6+'계산 과정'!$C$35*D1884+'계산 과정'!$D$35*E1884,"")</x:f>
        <x:v>700.1461489263698</x:v>
      </x:c>
      <x:c r="K1884" s="4" t="n">
        <x:f>IF(AND('계산 과정'!$L$6,J1884&gt;0),'계산 과정'!$D$10*('계산 과정'!$C$38*(D1884-'계산 과정'!$C$32)+'계산 과정'!$D$38*(E1884-'계산 과정'!$D$32)-'계산 과정'!$E$38*'계산 과정'!$E$32)/J1884,"")</x:f>
        <x:v>-0.572979215876751</x:v>
      </x:c>
      <x:c r="L1884" s="4" t="n">
        <x:f>IF(AND('계산 과정'!$L$6,J1884&gt;0),'계산 과정'!$D$10*('계산 과정'!$C$39*(D1884-'계산 과정'!$C$32)+'계산 과정'!$D$39*(E1884-'계산 과정'!$D$32)-'계산 과정'!$E$39*'계산 과정'!$E$32)/J1884,"")</x:f>
        <x:v>1.4275209525004104</x:v>
      </x:c>
      <x:c r="M1884" s="17" t="n">
        <x:f>IF('계산 과정'!$L$6,IF(J1884&lt;=0,0,IF(AND(ABS(K1884)&lt;='계산 과정'!$D$11/2,ABS(L1884)&lt;='계산 과정'!$D$12/2),1,0)),"")</x:f>
        <x:v>1</x:v>
      </x:c>
      <x:c r="N1884" s="17" t="n">
        <x:f>IF('계산 과정'!$C$78,IF(AND(ISNUMBER(H1884),ISNUMBER(I1884),ABS(H1884-'계산 과정'!$C$88)&lt;='계산 과정'!$D$23/2,ABS(I1884-'계산 과정'!$C$89)&lt;='계산 과정'!$D$24/2),1,0),"")</x:f>
        <x:v>1</x:v>
      </x:c>
      <x:c r="O1884" s="4" t="n">
        <x:f>IF('계산 과정'!$L$7,'계산 과정'!$C$49*('계산 과정'!$C$32-D1884)+'계산 과정'!$D$49*('계산 과정'!$D$32-E1884)+'계산 과정'!$E$49*'계산 과정'!$E$32,"")</x:f>
        <x:v>-50.146148926369676</x:v>
      </x:c>
      <x:c r="P1884" s="4" t="n">
        <x:f>IF(AND('계산 과정'!$L$7,O1884&lt;&gt;0),('계산 과정'!$L$23-'계산 과정'!$C$49*D1884-'계산 과정'!$D$49*E1884)/O1884,"")</x:f>
        <x:v>-6.97668432300406</x:v>
      </x:c>
      <x:c r="Q1884" s="4" t="str">
        <x:f>IF(AND(ISNUMBER(P1884),P1884&gt;1E-9,P1884&lt;1-1E-9),'계산 과정'!$C$47*(D1884-'계산 과정'!$C$50+P1884*('계산 과정'!$C$32-D1884))+'계산 과정'!$D$47*(E1884-'계산 과정'!$D$50+P1884*('계산 과정'!$D$32-E1884))+'계산 과정'!$E$47*(0-'계산 과정'!$E$50+P1884*('계산 과정'!$E$32-0)),"")</x:f>
      </x:c>
      <x:c r="R1884" s="4" t="str">
        <x:f>IF(AND(ISNUMBER(P1884),P1884&gt;1E-9,P1884&lt;1-1E-9),'계산 과정'!$C$48*(D1884-'계산 과정'!$C$50+P1884*('계산 과정'!$C$32-D1884))+'계산 과정'!$D$48*(E1884-'계산 과정'!$D$50+P1884*('계산 과정'!$D$32-E1884))+'계산 과정'!$E$48*(0-'계산 과정'!$E$50+P1884*('계산 과정'!$E$32-0)),"")</x:f>
      </x:c>
      <x:c r="S1884" s="17" t="n">
        <x:f>IF('계산 과정'!$C$78,IF(AND(ISNUMBER(Q1884),ISNUMBER(R1884),ABS(Q1884-'계산 과정'!$C$88)&lt;='계산 과정'!$D$23/2,ABS(R1884-'계산 과정'!$C$89)&lt;='계산 과정'!$D$24/2),1,0),"")</x:f>
        <x:v>0</x:v>
      </x:c>
      <x:c r="T1884" s="4"/>
      <x:c r="U1884" s="4"/>
      <x:c r="V1884" s="4"/>
      <x:c r="W1884" s="4"/>
      <x:c r="X1884" s="4"/>
      <x:c r="Y1884" s="4"/>
      <x:c r="Z1884" s="4"/>
    </x:row>
    <x:row r="1885" ht="23" customHeight="1">
      <x:c r="A1885" s="17" t="n">
        <x:f>ROW()-6</x:f>
        <x:v>1879</x:v>
      </x:c>
      <x:c r="B1885" s="4" t="n">
        <x:f>IF('계산 과정'!$L$5,'계산 과정'!$L$11*SQRT((A1885+0.5)/'계산 과정'!$L$30),"")</x:f>
        <x:v>143.69691614971248</x:v>
      </x:c>
      <x:c r="C1885" s="4" t="n">
        <x:f>A1885*PI()*(3-SQRT(5))</x:f>
        <x:v>4509.530908660138</x:v>
      </x:c>
      <x:c r="D1885" s="4" t="n">
        <x:f>IF('계산 과정'!$L$5,B1885*COS(C1885),"")</x:f>
        <x:v>-32.10809970338493</x:v>
      </x:c>
      <x:c r="E1885" s="4" t="n">
        <x:f>IF('계산 과정'!$L$5,B1885*SIN(C1885),"")</x:f>
        <x:v>-140.06381989784154</x:v>
      </x:c>
      <x:c r="F1885" s="4" t="n">
        <x:f>IF('계산 과정'!$L$7,'계산 과정'!$L$22+'계산 과정'!$C$49*D1885+'계산 과정'!$D$49*E1885,"")</x:f>
        <x:v>672.7038550312773</x:v>
      </x:c>
      <x:c r="G1885" s="4" t="n">
        <x:f>IF('계산 과정'!$L$7,IF(ABS(F1885)&gt;=1E-12*MAX(1,SQRT((D1885-'계산 과정'!$C$33)^2+(E1885-'계산 과정'!$D$33)^2+'계산 과정'!$E$33^2)),('계산 과정'!$L$23-'계산 과정'!$C$49*D1885-'계산 과정'!$D$49*E1885)/F1885,""),"")</x:f>
        <x:v>0.5608651446648546</x:v>
      </x:c>
      <x:c r="H1885" s="4" t="n">
        <x:f>IF(AND(ISNUMBER(G1885),G1885&gt;0),('계산 과정'!$D$56+'계산 과정'!$D$57*D1885+'계산 과정'!$D$58*E1885)/F1885,"")</x:f>
        <x:v>-35.437655967844584</x:v>
      </x:c>
      <x:c r="I1885" s="4" t="n">
        <x:f>IF(AND(ISNUMBER(G1885),G1885&gt;0),('계산 과정'!$E$56+'계산 과정'!$E$57*D1885+'계산 과정'!$E$58*E1885)/F1885,"")</x:f>
        <x:v>-218.62073450715658</x:v>
      </x:c>
      <x:c r="J1885" s="4" t="n">
        <x:f>IF('계산 과정'!$L$5,'계산 과정'!$D$6+'계산 과정'!$C$35*D1885+'계산 과정'!$D$35*E1885,"")</x:f>
        <x:v>672.7038550312773</x:v>
      </x:c>
      <x:c r="K1885" s="4" t="n">
        <x:f>IF(AND('계산 과정'!$L$6,J1885&gt;0),'계산 과정'!$D$10*('계산 과정'!$C$38*(D1885-'계산 과정'!$C$32)+'계산 과정'!$D$38*(E1885-'계산 과정'!$D$32)-'계산 과정'!$E$38*'계산 과정'!$E$32)/J1885,"")</x:f>
        <x:v>-0.27000118832643416</x:v>
      </x:c>
      <x:c r="L1885" s="4" t="n">
        <x:f>IF(AND('계산 과정'!$L$6,J1885&gt;0),'계산 과정'!$D$10*('계산 과정'!$C$39*(D1885-'계산 과정'!$C$32)+'계산 과정'!$D$39*(E1885-'계산 과정'!$D$32)-'계산 과정'!$E$39*'계산 과정'!$E$32)/J1885,"")</x:f>
        <x:v>-1.665681786721193</x:v>
      </x:c>
      <x:c r="M1885" s="17" t="n">
        <x:f>IF('계산 과정'!$L$6,IF(J1885&lt;=0,0,IF(AND(ABS(K1885)&lt;='계산 과정'!$D$11/2,ABS(L1885)&lt;='계산 과정'!$D$12/2),1,0)),"")</x:f>
        <x:v>1</x:v>
      </x:c>
      <x:c r="N1885" s="17" t="n">
        <x:f>IF('계산 과정'!$C$78,IF(AND(ISNUMBER(H1885),ISNUMBER(I1885),ABS(H1885-'계산 과정'!$C$88)&lt;='계산 과정'!$D$23/2,ABS(I1885-'계산 과정'!$C$89)&lt;='계산 과정'!$D$24/2),1,0),"")</x:f>
        <x:v>1</x:v>
      </x:c>
      <x:c r="O1885" s="4" t="n">
        <x:f>IF('계산 과정'!$L$7,'계산 과정'!$C$49*('계산 과정'!$C$32-D1885)+'계산 과정'!$D$49*('계산 과정'!$D$32-E1885)+'계산 과정'!$E$49*'계산 과정'!$E$32,"")</x:f>
        <x:v>-22.703855031277158</x:v>
      </x:c>
      <x:c r="P1885" s="4" t="n">
        <x:f>IF(AND('계산 과정'!$L$7,O1885&lt;&gt;0),('계산 과정'!$L$23-'계산 과정'!$C$49*D1885-'계산 과정'!$D$49*E1885)/O1885,"")</x:f>
        <x:v>-16.618153368621943</x:v>
      </x:c>
      <x:c r="Q1885" s="4" t="str">
        <x:f>IF(AND(ISNUMBER(P1885),P1885&gt;1E-9,P1885&lt;1-1E-9),'계산 과정'!$C$47*(D1885-'계산 과정'!$C$50+P1885*('계산 과정'!$C$32-D1885))+'계산 과정'!$D$47*(E1885-'계산 과정'!$D$50+P1885*('계산 과정'!$D$32-E1885))+'계산 과정'!$E$47*(0-'계산 과정'!$E$50+P1885*('계산 과정'!$E$32-0)),"")</x:f>
      </x:c>
      <x:c r="R1885" s="4" t="str">
        <x:f>IF(AND(ISNUMBER(P1885),P1885&gt;1E-9,P1885&lt;1-1E-9),'계산 과정'!$C$48*(D1885-'계산 과정'!$C$50+P1885*('계산 과정'!$C$32-D1885))+'계산 과정'!$D$48*(E1885-'계산 과정'!$D$50+P1885*('계산 과정'!$D$32-E1885))+'계산 과정'!$E$48*(0-'계산 과정'!$E$50+P1885*('계산 과정'!$E$32-0)),"")</x:f>
      </x:c>
      <x:c r="S1885" s="17" t="n">
        <x:f>IF('계산 과정'!$C$78,IF(AND(ISNUMBER(Q1885),ISNUMBER(R1885),ABS(Q1885-'계산 과정'!$C$88)&lt;='계산 과정'!$D$23/2,ABS(R1885-'계산 과정'!$C$89)&lt;='계산 과정'!$D$24/2),1,0),"")</x:f>
        <x:v>0</x:v>
      </x:c>
      <x:c r="T1885" s="4"/>
      <x:c r="U1885" s="4"/>
      <x:c r="V1885" s="4"/>
      <x:c r="W1885" s="4"/>
      <x:c r="X1885" s="4"/>
      <x:c r="Y1885" s="4"/>
      <x:c r="Z1885" s="4"/>
    </x:row>
    <x:row r="1886" ht="23" customHeight="1">
      <x:c r="A1886" s="17" t="n">
        <x:f>ROW()-6</x:f>
        <x:v>1880</x:v>
      </x:c>
      <x:c r="B1886" s="4" t="n">
        <x:f>IF('계산 과정'!$L$5,'계산 과정'!$L$11*SQRT((A1886+0.5)/'계산 과정'!$L$30),"")</x:f>
        <x:v>143.73513849808091</x:v>
      </x:c>
      <x:c r="C1886" s="4" t="n">
        <x:f>A1886*PI()*(3-SQRT(5))</x:f>
        <x:v>4511.930871889867</x:v>
      </x:c>
      <x:c r="D1886" s="4" t="n">
        <x:f>IF('계산 과정'!$L$5,B1886*COS(C1886),"")</x:f>
        <x:v>118.3187279370242</x:v>
      </x:c>
      <x:c r="E1886" s="4" t="n">
        <x:f>IF('계산 과정'!$L$5,B1886*SIN(C1886),"")</x:f>
        <x:v>81.6116943729693</x:v>
      </x:c>
      <x:c r="F1886" s="4" t="n">
        <x:f>IF('계산 과정'!$L$7,'계산 과정'!$L$22+'계산 과정'!$C$49*D1886+'계산 과정'!$D$49*E1886,"")</x:f>
        <x:v>566.336025134364</x:v>
      </x:c>
      <x:c r="G1886" s="4" t="n">
        <x:f>IF('계산 과정'!$L$7,IF(ABS(F1886)&gt;=1E-12*MAX(1,SQRT((D1886-'계산 과정'!$C$33)^2+(E1886-'계산 과정'!$D$33)^2+'계산 과정'!$E$33^2)),('계산 과정'!$L$23-'계산 과정'!$C$49*D1886-'계산 과정'!$D$49*E1886)/F1886,""),"")</x:f>
        <x:v>0.8540229711696091</x:v>
      </x:c>
      <x:c r="H1886" s="4" t="n">
        <x:f>IF(AND(ISNUMBER(G1886),G1886&gt;0),('계산 과정'!$D$56+'계산 과정'!$D$57*D1886+'계산 과정'!$D$58*E1886)/F1886,"")</x:f>
        <x:v>155.1149312602459</x:v>
      </x:c>
      <x:c r="I1886" s="4" t="n">
        <x:f>IF(AND(ISNUMBER(G1886),G1886&gt;0),('계산 과정'!$E$56+'계산 과정'!$E$57*D1886+'계산 과정'!$E$58*E1886)/F1886,"")</x:f>
        <x:v>151.3099560835586</x:v>
      </x:c>
      <x:c r="J1886" s="4" t="n">
        <x:f>IF('계산 과정'!$L$5,'계산 과정'!$D$6+'계산 과정'!$C$35*D1886+'계산 과정'!$D$35*E1886,"")</x:f>
        <x:v>566.336025134364</x:v>
      </x:c>
      <x:c r="K1886" s="4" t="n">
        <x:f>IF(AND('계산 과정'!$L$6,J1886&gt;0),'계산 과정'!$D$10*('계산 과정'!$C$38*(D1886-'계산 과정'!$C$32)+'계산 과정'!$D$38*(E1886-'계산 과정'!$D$32)-'계산 과정'!$E$38*'계산 과정'!$E$32)/J1886,"")</x:f>
        <x:v>1.1818280476971128</x:v>
      </x:c>
      <x:c r="L1886" s="4" t="n">
        <x:f>IF(AND('계산 과정'!$L$6,J1886&gt;0),'계산 과정'!$D$10*('계산 과정'!$C$39*(D1886-'계산 과정'!$C$32)+'계산 과정'!$D$39*(E1886-'계산 과정'!$D$32)-'계산 과정'!$E$39*'계산 과정'!$E$32)/J1886,"")</x:f>
        <x:v>1.152837760636637</x:v>
      </x:c>
      <x:c r="M1886" s="17" t="n">
        <x:f>IF('계산 과정'!$L$6,IF(J1886&lt;=0,0,IF(AND(ABS(K1886)&lt;='계산 과정'!$D$11/2,ABS(L1886)&lt;='계산 과정'!$D$12/2),1,0)),"")</x:f>
        <x:v>1</x:v>
      </x:c>
      <x:c r="N1886" s="17" t="n">
        <x:f>IF('계산 과정'!$C$78,IF(AND(ISNUMBER(H1886),ISNUMBER(I1886),ABS(H1886-'계산 과정'!$C$88)&lt;='계산 과정'!$D$23/2,ABS(I1886-'계산 과정'!$C$89)&lt;='계산 과정'!$D$24/2),1,0),"")</x:f>
        <x:v>1</x:v>
      </x:c>
      <x:c r="O1886" s="4" t="n">
        <x:f>IF('계산 과정'!$L$7,'계산 과정'!$C$49*('계산 과정'!$C$32-D1886)+'계산 과정'!$D$49*('계산 과정'!$D$32-E1886)+'계산 과정'!$E$49*'계산 과정'!$E$32,"")</x:f>
        <x:v>83.66397486563613</x:v>
      </x:c>
      <x:c r="P1886" s="4" t="n">
        <x:f>IF(AND('계산 과정'!$L$7,O1886&lt;&gt;0),('계산 과정'!$L$23-'계산 과정'!$C$49*D1886-'계산 과정'!$D$49*E1886)/O1886,"")</x:f>
        <x:v>5.781030313732973</x:v>
      </x:c>
      <x:c r="Q1886" s="4" t="str">
        <x:f>IF(AND(ISNUMBER(P1886),P1886&gt;1E-9,P1886&lt;1-1E-9),'계산 과정'!$C$47*(D1886-'계산 과정'!$C$50+P1886*('계산 과정'!$C$32-D1886))+'계산 과정'!$D$47*(E1886-'계산 과정'!$D$50+P1886*('계산 과정'!$D$32-E1886))+'계산 과정'!$E$47*(0-'계산 과정'!$E$50+P1886*('계산 과정'!$E$32-0)),"")</x:f>
      </x:c>
      <x:c r="R1886" s="4" t="str">
        <x:f>IF(AND(ISNUMBER(P1886),P1886&gt;1E-9,P1886&lt;1-1E-9),'계산 과정'!$C$48*(D1886-'계산 과정'!$C$50+P1886*('계산 과정'!$C$32-D1886))+'계산 과정'!$D$48*(E1886-'계산 과정'!$D$50+P1886*('계산 과정'!$D$32-E1886))+'계산 과정'!$E$48*(0-'계산 과정'!$E$50+P1886*('계산 과정'!$E$32-0)),"")</x:f>
      </x:c>
      <x:c r="S1886" s="17" t="n">
        <x:f>IF('계산 과정'!$C$78,IF(AND(ISNUMBER(Q1886),ISNUMBER(R1886),ABS(Q1886-'계산 과정'!$C$88)&lt;='계산 과정'!$D$23/2,ABS(R1886-'계산 과정'!$C$89)&lt;='계산 과정'!$D$24/2),1,0),"")</x:f>
        <x:v>0</x:v>
      </x:c>
      <x:c r="T1886" s="4"/>
      <x:c r="U1886" s="4"/>
      <x:c r="V1886" s="4"/>
      <x:c r="W1886" s="4"/>
      <x:c r="X1886" s="4"/>
      <x:c r="Y1886" s="4"/>
      <x:c r="Z1886" s="4"/>
    </x:row>
    <x:row r="1887" ht="23" customHeight="1">
      <x:c r="A1887" s="17" t="n">
        <x:f>ROW()-6</x:f>
        <x:v>1881</x:v>
      </x:c>
      <x:c r="B1887" s="4" t="n">
        <x:f>IF('계산 과정'!$L$5,'계산 과정'!$L$11*SQRT((A1887+0.5)/'계산 과정'!$L$30),"")</x:f>
        <x:v>143.7733506849844</x:v>
      </x:c>
      <x:c r="C1887" s="4" t="n">
        <x:f>A1887*PI()*(3-SQRT(5))</x:f>
        <x:v>4514.3308351195965</x:v>
      </x:c>
      <x:c r="D1887" s="4" t="n">
        <x:f>IF('계산 과정'!$L$5,B1887*COS(C1887),"")</x:f>
        <x:v>-142.4103050373937</x:v>
      </x:c>
      <x:c r="E1887" s="4" t="n">
        <x:f>IF('계산 과정'!$L$5,B1887*SIN(C1887),"")</x:f>
        <x:v>19.750478129503055</x:v>
      </x:c>
      <x:c r="F1887" s="4" t="n">
        <x:f>IF('계산 과정'!$L$7,'계산 과정'!$L$22+'계산 과정'!$C$49*D1887+'계산 과정'!$D$49*E1887,"")</x:f>
        <x:v>750.6992924027859</x:v>
      </x:c>
      <x:c r="G1887" s="4" t="n">
        <x:f>IF('계산 과정'!$L$7,IF(ABS(F1887)&gt;=1E-12*MAX(1,SQRT((D1887-'계산 과정'!$C$33)^2+(E1887-'계산 과정'!$D$33)^2+'계산 과정'!$E$33^2)),('계산 과정'!$L$23-'계산 과정'!$C$49*D1887-'계산 과정'!$D$49*E1887)/F1887,""),"")</x:f>
        <x:v>0.39869587013893854</x:v>
      </x:c>
      <x:c r="H1887" s="4" t="n">
        <x:f>IF(AND(ISNUMBER(G1887),G1887&gt;0),('계산 과정'!$D$56+'계산 과정'!$D$57*D1887+'계산 과정'!$D$58*E1887)/F1887,"")</x:f>
        <x:v>-140.84768440969006</x:v>
      </x:c>
      <x:c r="I1887" s="4" t="n">
        <x:f>IF(AND(ISNUMBER(G1887),G1887&gt;0),('계산 과정'!$E$56+'계산 과정'!$E$57*D1887+'계산 과정'!$E$58*E1887)/F1887,"")</x:f>
        <x:v>27.624912193005347</x:v>
      </x:c>
      <x:c r="J1887" s="4" t="n">
        <x:f>IF('계산 과정'!$L$5,'계산 과정'!$D$6+'계산 과정'!$C$35*D1887+'계산 과정'!$D$35*E1887,"")</x:f>
        <x:v>750.6992924027859</x:v>
      </x:c>
      <x:c r="K1887" s="4" t="n">
        <x:f>IF(AND('계산 과정'!$L$6,J1887&gt;0),'계산 과정'!$D$10*('계산 과정'!$C$38*(D1887-'계산 과정'!$C$32)+'계산 과정'!$D$38*(E1887-'계산 과정'!$D$32)-'계산 과정'!$E$38*'계산 과정'!$E$32)/J1887,"")</x:f>
        <x:v>-1.0731252145500179</x:v>
      </x:c>
      <x:c r="L1887" s="4" t="n">
        <x:f>IF(AND('계산 과정'!$L$6,J1887&gt;0),'계산 과정'!$D$10*('계산 과정'!$C$39*(D1887-'계산 과정'!$C$32)+'계산 과정'!$D$39*(E1887-'계산 과정'!$D$32)-'계산 과정'!$E$39*'계산 과정'!$E$32)/J1887,"")</x:f>
        <x:v>0.21047552147051693</x:v>
      </x:c>
      <x:c r="M1887" s="17" t="n">
        <x:f>IF('계산 과정'!$L$6,IF(J1887&lt;=0,0,IF(AND(ABS(K1887)&lt;='계산 과정'!$D$11/2,ABS(L1887)&lt;='계산 과정'!$D$12/2),1,0)),"")</x:f>
        <x:v>1</x:v>
      </x:c>
      <x:c r="N1887" s="17" t="n">
        <x:f>IF('계산 과정'!$C$78,IF(AND(ISNUMBER(H1887),ISNUMBER(I1887),ABS(H1887-'계산 과정'!$C$88)&lt;='계산 과정'!$D$23/2,ABS(I1887-'계산 과정'!$C$89)&lt;='계산 과정'!$D$24/2),1,0),"")</x:f>
        <x:v>1</x:v>
      </x:c>
      <x:c r="O1887" s="4" t="n">
        <x:f>IF('계산 과정'!$L$7,'계산 과정'!$C$49*('계산 과정'!$C$32-D1887)+'계산 과정'!$D$49*('계산 과정'!$D$32-E1887)+'계산 과정'!$E$49*'계산 과정'!$E$32,"")</x:f>
        <x:v>-100.69929240278566</x:v>
      </x:c>
      <x:c r="P1887" s="4" t="n">
        <x:f>IF(AND('계산 과정'!$L$7,O1887&lt;&gt;0),('계산 과정'!$L$23-'계산 과정'!$C$49*D1887-'계산 과정'!$D$49*E1887)/O1887,"")</x:f>
        <x:v>-2.972222549489678</x:v>
      </x:c>
      <x:c r="Q1887" s="4" t="str">
        <x:f>IF(AND(ISNUMBER(P1887),P1887&gt;1E-9,P1887&lt;1-1E-9),'계산 과정'!$C$47*(D1887-'계산 과정'!$C$50+P1887*('계산 과정'!$C$32-D1887))+'계산 과정'!$D$47*(E1887-'계산 과정'!$D$50+P1887*('계산 과정'!$D$32-E1887))+'계산 과정'!$E$47*(0-'계산 과정'!$E$50+P1887*('계산 과정'!$E$32-0)),"")</x:f>
      </x:c>
      <x:c r="R1887" s="4" t="str">
        <x:f>IF(AND(ISNUMBER(P1887),P1887&gt;1E-9,P1887&lt;1-1E-9),'계산 과정'!$C$48*(D1887-'계산 과정'!$C$50+P1887*('계산 과정'!$C$32-D1887))+'계산 과정'!$D$48*(E1887-'계산 과정'!$D$50+P1887*('계산 과정'!$D$32-E1887))+'계산 과정'!$E$48*(0-'계산 과정'!$E$50+P1887*('계산 과정'!$E$32-0)),"")</x:f>
      </x:c>
      <x:c r="S1887" s="17" t="n">
        <x:f>IF('계산 과정'!$C$78,IF(AND(ISNUMBER(Q1887),ISNUMBER(R1887),ABS(Q1887-'계산 과정'!$C$88)&lt;='계산 과정'!$D$23/2,ABS(R1887-'계산 과정'!$C$89)&lt;='계산 과정'!$D$24/2),1,0),"")</x:f>
        <x:v>0</x:v>
      </x:c>
      <x:c r="T1887" s="4"/>
      <x:c r="U1887" s="4"/>
      <x:c r="V1887" s="4"/>
      <x:c r="W1887" s="4"/>
      <x:c r="X1887" s="4"/>
      <x:c r="Y1887" s="4"/>
      <x:c r="Z1887" s="4"/>
    </x:row>
    <x:row r="1888" ht="23" customHeight="1">
      <x:c r="A1888" s="17" t="n">
        <x:f>ROW()-6</x:f>
        <x:v>1882</x:v>
      </x:c>
      <x:c r="B1888" s="4" t="n">
        <x:f>IF('계산 과정'!$L$5,'계산 과정'!$L$11*SQRT((A1888+0.5)/'계산 과정'!$L$30),"")</x:f>
        <x:v>143.81155271852293</x:v>
      </x:c>
      <x:c r="C1888" s="4" t="n">
        <x:f>A1888*PI()*(3-SQRT(5))</x:f>
        <x:v>4516.730798349325</x:v>
      </x:c>
      <x:c r="D1888" s="4" t="n">
        <x:f>IF('계산 과정'!$L$5,B1888*COS(C1888),"")</x:f>
        <x:v>91.69202759594518</x:v>
      </x:c>
      <x:c r="E1888" s="4" t="n">
        <x:f>IF('계산 과정'!$L$5,B1888*SIN(C1888),"")</x:f>
        <x:v>-110.78959685212746</x:v>
      </x:c>
      <x:c r="F1888" s="4" t="n">
        <x:f>IF('계산 과정'!$L$7,'계산 과정'!$L$22+'계산 과정'!$C$49*D1888+'계산 과정'!$D$49*E1888,"")</x:f>
        <x:v>585.1639455061631</x:v>
      </x:c>
      <x:c r="G1888" s="4" t="n">
        <x:f>IF('계산 과정'!$L$7,IF(ABS(F1888)&gt;=1E-12*MAX(1,SQRT((D1888-'계산 과정'!$C$33)^2+(E1888-'계산 과정'!$D$33)^2+'계산 과정'!$E$33^2)),('계산 과정'!$L$23-'계산 과정'!$C$49*D1888-'계산 과정'!$D$49*E1888)/F1888,""),"")</x:f>
        <x:v>0.7943689252620589</x:v>
      </x:c>
      <x:c r="H1888" s="4" t="n">
        <x:f>IF(AND(ISNUMBER(G1888),G1888&gt;0),('계산 과정'!$D$56+'계산 과정'!$D$57*D1888+'계산 과정'!$D$58*E1888)/F1888,"")</x:f>
        <x:v>116.33980142033829</x:v>
      </x:c>
      <x:c r="I1888" s="4" t="n">
        <x:f>IF(AND(ISNUMBER(G1888),G1888&gt;0),('계산 과정'!$E$56+'계산 과정'!$E$57*D1888+'계산 과정'!$E$58*E1888)/F1888,"")</x:f>
        <x:v>-198.79740983376874</x:v>
      </x:c>
      <x:c r="J1888" s="4" t="n">
        <x:f>IF('계산 과정'!$L$5,'계산 과정'!$D$6+'계산 과정'!$C$35*D1888+'계산 과정'!$D$35*E1888,"")</x:f>
        <x:v>585.1639455061631</x:v>
      </x:c>
      <x:c r="K1888" s="4" t="n">
        <x:f>IF(AND('계산 과정'!$L$6,J1888&gt;0),'계산 과정'!$D$10*('계산 과정'!$C$38*(D1888-'계산 과정'!$C$32)+'계산 과정'!$D$38*(E1888-'계산 과정'!$D$32)-'계산 과정'!$E$38*'계산 과정'!$E$32)/J1888,"")</x:f>
        <x:v>0.8863984870121023</x:v>
      </x:c>
      <x:c r="L1888" s="4" t="n">
        <x:f>IF(AND('계산 과정'!$L$6,J1888&gt;0),'계산 과정'!$D$10*('계산 과정'!$C$39*(D1888-'계산 과정'!$C$32)+'계산 과정'!$D$39*(E1888-'계산 과정'!$D$32)-'계산 과정'!$E$39*'계산 과정'!$E$32)/J1888,"")</x:f>
        <x:v>-1.5146469320668094</x:v>
      </x:c>
      <x:c r="M1888" s="17" t="n">
        <x:f>IF('계산 과정'!$L$6,IF(J1888&lt;=0,0,IF(AND(ABS(K1888)&lt;='계산 과정'!$D$11/2,ABS(L1888)&lt;='계산 과정'!$D$12/2),1,0)),"")</x:f>
        <x:v>1</x:v>
      </x:c>
      <x:c r="N1888" s="17" t="n">
        <x:f>IF('계산 과정'!$C$78,IF(AND(ISNUMBER(H1888),ISNUMBER(I1888),ABS(H1888-'계산 과정'!$C$88)&lt;='계산 과정'!$D$23/2,ABS(I1888-'계산 과정'!$C$89)&lt;='계산 과정'!$D$24/2),1,0),"")</x:f>
        <x:v>1</x:v>
      </x:c>
      <x:c r="O1888" s="4" t="n">
        <x:f>IF('계산 과정'!$L$7,'계산 과정'!$C$49*('계산 과정'!$C$32-D1888)+'계산 과정'!$D$49*('계산 과정'!$D$32-E1888)+'계산 과정'!$E$49*'계산 과정'!$E$32,"")</x:f>
        <x:v>64.83605449383703</x:v>
      </x:c>
      <x:c r="P1888" s="4" t="n">
        <x:f>IF(AND('계산 과정'!$L$7,O1888&lt;&gt;0),('계산 과정'!$L$23-'계산 과정'!$C$49*D1888-'계산 과정'!$D$49*E1888)/O1888,"")</x:f>
        <x:v>7.169406869722798</x:v>
      </x:c>
      <x:c r="Q1888" s="4" t="str">
        <x:f>IF(AND(ISNUMBER(P1888),P1888&gt;1E-9,P1888&lt;1-1E-9),'계산 과정'!$C$47*(D1888-'계산 과정'!$C$50+P1888*('계산 과정'!$C$32-D1888))+'계산 과정'!$D$47*(E1888-'계산 과정'!$D$50+P1888*('계산 과정'!$D$32-E1888))+'계산 과정'!$E$47*(0-'계산 과정'!$E$50+P1888*('계산 과정'!$E$32-0)),"")</x:f>
      </x:c>
      <x:c r="R1888" s="4" t="str">
        <x:f>IF(AND(ISNUMBER(P1888),P1888&gt;1E-9,P1888&lt;1-1E-9),'계산 과정'!$C$48*(D1888-'계산 과정'!$C$50+P1888*('계산 과정'!$C$32-D1888))+'계산 과정'!$D$48*(E1888-'계산 과정'!$D$50+P1888*('계산 과정'!$D$32-E1888))+'계산 과정'!$E$48*(0-'계산 과정'!$E$50+P1888*('계산 과정'!$E$32-0)),"")</x:f>
      </x:c>
      <x:c r="S1888" s="17" t="n">
        <x:f>IF('계산 과정'!$C$78,IF(AND(ISNUMBER(Q1888),ISNUMBER(R1888),ABS(Q1888-'계산 과정'!$C$88)&lt;='계산 과정'!$D$23/2,ABS(R1888-'계산 과정'!$C$89)&lt;='계산 과정'!$D$24/2),1,0),"")</x:f>
        <x:v>0</x:v>
      </x:c>
      <x:c r="T1888" s="4"/>
      <x:c r="U1888" s="4"/>
      <x:c r="V1888" s="4"/>
      <x:c r="W1888" s="4"/>
      <x:c r="X1888" s="4"/>
      <x:c r="Y1888" s="4"/>
      <x:c r="Z1888" s="4"/>
    </x:row>
    <x:row r="1889" ht="23" customHeight="1">
      <x:c r="A1889" s="17" t="n">
        <x:f>ROW()-6</x:f>
        <x:v>1883</x:v>
      </x:c>
      <x:c r="B1889" s="4" t="n">
        <x:f>IF('계산 과정'!$L$5,'계산 과정'!$L$11*SQRT((A1889+0.5)/'계산 과정'!$L$30),"")</x:f>
        <x:v>143.8497446067858</x:v>
      </x:c>
      <x:c r="C1889" s="4" t="n">
        <x:f>A1889*PI()*(3-SQRT(5))</x:f>
        <x:v>4519.130761579054</x:v>
      </x:c>
      <x:c r="D1889" s="4" t="n">
        <x:f>IF('계산 과정'!$L$5,B1889*COS(C1889),"")</x:f>
        <x:v>7.228368982508852</x:v>
      </x:c>
      <x:c r="E1889" s="4" t="n">
        <x:f>IF('계산 과정'!$L$5,B1889*SIN(C1889),"")</x:f>
        <x:v>143.66801907623773</x:v>
      </x:c>
      <x:c r="F1889" s="4" t="n">
        <x:f>IF('계산 과정'!$L$7,'계산 과정'!$L$22+'계산 과정'!$C$49*D1889+'계산 과정'!$D$49*E1889,"")</x:f>
        <x:v>644.8887712755495</x:v>
      </x:c>
      <x:c r="G1889" s="4" t="n">
        <x:f>IF('계산 과정'!$L$7,IF(ABS(F1889)&gt;=1E-12*MAX(1,SQRT((D1889-'계산 과정'!$C$33)^2+(E1889-'계산 과정'!$D$33)^2+'계산 과정'!$E$33^2)),('계산 과정'!$L$23-'계산 과정'!$C$49*D1889-'계산 과정'!$D$49*E1889)/F1889,""),"")</x:f>
        <x:v>0.6281877538713629</x:v>
      </x:c>
      <x:c r="H1889" s="4" t="n">
        <x:f>IF(AND(ISNUMBER(G1889),G1889&gt;0),('계산 과정'!$D$56+'계산 과정'!$D$57*D1889+'계산 과정'!$D$58*E1889)/F1889,"")</x:f>
        <x:v>8.322040016385762</x:v>
      </x:c>
      <x:c r="I1889" s="4" t="n">
        <x:f>IF(AND(ISNUMBER(G1889),G1889&gt;0),('계산 과정'!$E$56+'계산 과정'!$E$57*D1889+'계산 과정'!$E$58*E1889)/F1889,"")</x:f>
        <x:v>233.91850928288758</x:v>
      </x:c>
      <x:c r="J1889" s="4" t="n">
        <x:f>IF('계산 과정'!$L$5,'계산 과정'!$D$6+'계산 과정'!$C$35*D1889+'계산 과정'!$D$35*E1889,"")</x:f>
        <x:v>644.8887712755495</x:v>
      </x:c>
      <x:c r="K1889" s="4" t="n">
        <x:f>IF(AND('계산 과정'!$L$6,J1889&gt;0),'계산 과정'!$D$10*('계산 과정'!$C$38*(D1889-'계산 과정'!$C$32)+'계산 과정'!$D$38*(E1889-'계산 과정'!$D$32)-'계산 과정'!$E$38*'계산 과정'!$E$32)/J1889,"")</x:f>
        <x:v>0.06340601917246413</x:v>
      </x:c>
      <x:c r="L1889" s="4" t="n">
        <x:f>IF(AND('계산 과정'!$L$6,J1889&gt;0),'계산 과정'!$D$10*('계산 과정'!$C$39*(D1889-'계산 과정'!$C$32)+'계산 과정'!$D$39*(E1889-'계산 과정'!$D$32)-'계산 과정'!$E$39*'계산 과정'!$E$32)/J1889,"")</x:f>
        <x:v>1.7822362612029532</x:v>
      </x:c>
      <x:c r="M1889" s="17" t="n">
        <x:f>IF('계산 과정'!$L$6,IF(J1889&lt;=0,0,IF(AND(ABS(K1889)&lt;='계산 과정'!$D$11/2,ABS(L1889)&lt;='계산 과정'!$D$12/2),1,0)),"")</x:f>
        <x:v>1</x:v>
      </x:c>
      <x:c r="N1889" s="17" t="n">
        <x:f>IF('계산 과정'!$C$78,IF(AND(ISNUMBER(H1889),ISNUMBER(I1889),ABS(H1889-'계산 과정'!$C$88)&lt;='계산 과정'!$D$23/2,ABS(I1889-'계산 과정'!$C$89)&lt;='계산 과정'!$D$24/2),1,0),"")</x:f>
        <x:v>1</x:v>
      </x:c>
      <x:c r="O1889" s="4" t="n">
        <x:f>IF('계산 과정'!$L$7,'계산 과정'!$C$49*('계산 과정'!$C$32-D1889)+'계산 과정'!$D$49*('계산 과정'!$D$32-E1889)+'계산 과정'!$E$49*'계산 과정'!$E$32,"")</x:f>
        <x:v>5.111228724450655</x:v>
      </x:c>
      <x:c r="P1889" s="4" t="n">
        <x:f>IF(AND('계산 과정'!$L$7,O1889&lt;&gt;0),('계산 과정'!$L$23-'계산 과정'!$C$49*D1889-'계산 과정'!$D$49*E1889)/O1889,"")</x:f>
        <x:v>79.25906872187394</x:v>
      </x:c>
      <x:c r="Q1889" s="4" t="str">
        <x:f>IF(AND(ISNUMBER(P1889),P1889&gt;1E-9,P1889&lt;1-1E-9),'계산 과정'!$C$47*(D1889-'계산 과정'!$C$50+P1889*('계산 과정'!$C$32-D1889))+'계산 과정'!$D$47*(E1889-'계산 과정'!$D$50+P1889*('계산 과정'!$D$32-E1889))+'계산 과정'!$E$47*(0-'계산 과정'!$E$50+P1889*('계산 과정'!$E$32-0)),"")</x:f>
      </x:c>
      <x:c r="R1889" s="4" t="str">
        <x:f>IF(AND(ISNUMBER(P1889),P1889&gt;1E-9,P1889&lt;1-1E-9),'계산 과정'!$C$48*(D1889-'계산 과정'!$C$50+P1889*('계산 과정'!$C$32-D1889))+'계산 과정'!$D$48*(E1889-'계산 과정'!$D$50+P1889*('계산 과정'!$D$32-E1889))+'계산 과정'!$E$48*(0-'계산 과정'!$E$50+P1889*('계산 과정'!$E$32-0)),"")</x:f>
      </x:c>
      <x:c r="S1889" s="17" t="n">
        <x:f>IF('계산 과정'!$C$78,IF(AND(ISNUMBER(Q1889),ISNUMBER(R1889),ABS(Q1889-'계산 과정'!$C$88)&lt;='계산 과정'!$D$23/2,ABS(R1889-'계산 과정'!$C$89)&lt;='계산 과정'!$D$24/2),1,0),"")</x:f>
        <x:v>0</x:v>
      </x:c>
      <x:c r="T1889" s="4"/>
      <x:c r="U1889" s="4"/>
      <x:c r="V1889" s="4"/>
      <x:c r="W1889" s="4"/>
      <x:c r="X1889" s="4"/>
      <x:c r="Y1889" s="4"/>
      <x:c r="Z1889" s="4"/>
    </x:row>
    <x:row r="1890" ht="23" customHeight="1">
      <x:c r="A1890" s="17" t="n">
        <x:f>ROW()-6</x:f>
        <x:v>1884</x:v>
      </x:c>
      <x:c r="B1890" s="4" t="n">
        <x:f>IF('계산 과정'!$L$5,'계산 과정'!$L$11*SQRT((A1890+0.5)/'계산 과정'!$L$30),"")</x:f>
        <x:v>143.8879263578515</x:v>
      </x:c>
      <x:c r="C1890" s="4" t="n">
        <x:f>A1890*PI()*(3-SQRT(5))</x:f>
        <x:v>4521.530724808782</x:v>
      </x:c>
      <x:c r="D1890" s="4" t="n">
        <x:f>IF('계산 과정'!$L$5,B1890*COS(C1890),"")</x:f>
        <x:v>-102.40350035321492</x:v>
      </x:c>
      <x:c r="E1890" s="4" t="n">
        <x:f>IF('계산 과정'!$L$5,B1890*SIN(C1890),"")</x:f>
        <x:v>-101.08045541533541</x:v>
      </x:c>
      <x:c r="F1890" s="4" t="n">
        <x:f>IF('계산 과정'!$L$7,'계산 과정'!$L$22+'계산 과정'!$C$49*D1890+'계산 과정'!$D$49*E1890,"")</x:f>
        <x:v>722.4102095169973</x:v>
      </x:c>
      <x:c r="G1890" s="4" t="n">
        <x:f>IF('계산 과정'!$L$7,IF(ABS(F1890)&gt;=1E-12*MAX(1,SQRT((D1890-'계산 과정'!$C$33)^2+(E1890-'계산 과정'!$D$33)^2+'계산 과정'!$E$33^2)),('계산 과정'!$L$23-'계산 과정'!$C$49*D1890-'계산 과정'!$D$49*E1890)/F1890,""),"")</x:f>
        <x:v>0.45346783055852563</x:v>
      </x:c>
      <x:c r="H1890" s="4" t="n">
        <x:f>IF(AND(ISNUMBER(G1890),G1890&gt;0),('계산 과정'!$D$56+'계산 과정'!$D$57*D1890+'계산 과정'!$D$58*E1890)/F1890,"")</x:f>
        <x:v>-105.24591013695847</x:v>
      </x:c>
      <x:c r="I1890" s="4" t="n">
        <x:f>IF(AND(ISNUMBER(G1890),G1890&gt;0),('계산 과정'!$E$56+'계산 과정'!$E$57*D1890+'계산 과정'!$E$58*E1890)/F1890,"")</x:f>
        <x:v>-146.91719024439533</x:v>
      </x:c>
      <x:c r="J1890" s="4" t="n">
        <x:f>IF('계산 과정'!$L$5,'계산 과정'!$D$6+'계산 과정'!$C$35*D1890+'계산 과정'!$D$35*E1890,"")</x:f>
        <x:v>722.4102095169973</x:v>
      </x:c>
      <x:c r="K1890" s="4" t="n">
        <x:f>IF(AND('계산 과정'!$L$6,J1890&gt;0),'계산 과정'!$D$10*('계산 과정'!$C$38*(D1890-'계산 과정'!$C$32)+'계산 과정'!$D$38*(E1890-'계산 과정'!$D$32)-'계산 과정'!$E$38*'계산 과정'!$E$32)/J1890,"")</x:f>
        <x:v>-0.801873601043492</x:v>
      </x:c>
      <x:c r="L1890" s="4" t="n">
        <x:f>IF(AND('계산 과정'!$L$6,J1890&gt;0),'계산 과정'!$D$10*('계산 과정'!$C$39*(D1890-'계산 과정'!$C$32)+'계산 과정'!$D$39*(E1890-'계산 과정'!$D$32)-'계산 과정'!$E$39*'계산 과정'!$E$32)/J1890,"")</x:f>
        <x:v>-1.1193690685287263</x:v>
      </x:c>
      <x:c r="M1890" s="17" t="n">
        <x:f>IF('계산 과정'!$L$6,IF(J1890&lt;=0,0,IF(AND(ABS(K1890)&lt;='계산 과정'!$D$11/2,ABS(L1890)&lt;='계산 과정'!$D$12/2),1,0)),"")</x:f>
        <x:v>1</x:v>
      </x:c>
      <x:c r="N1890" s="17" t="n">
        <x:f>IF('계산 과정'!$C$78,IF(AND(ISNUMBER(H1890),ISNUMBER(I1890),ABS(H1890-'계산 과정'!$C$88)&lt;='계산 과정'!$D$23/2,ABS(I1890-'계산 과정'!$C$89)&lt;='계산 과정'!$D$24/2),1,0),"")</x:f>
        <x:v>1</x:v>
      </x:c>
      <x:c r="O1890" s="4" t="n">
        <x:f>IF('계산 과정'!$L$7,'계산 과정'!$C$49*('계산 과정'!$C$32-D1890)+'계산 과정'!$D$49*('계산 과정'!$D$32-E1890)+'계산 과정'!$E$49*'계산 과정'!$E$32,"")</x:f>
        <x:v>-72.41020951699716</x:v>
      </x:c>
      <x:c r="P1890" s="4" t="n">
        <x:f>IF(AND('계산 과정'!$L$7,O1890&lt;&gt;0),('계산 과정'!$L$23-'계산 과정'!$C$49*D1890-'계산 과정'!$D$49*E1890)/O1890,"")</x:f>
        <x:v>-4.5240828975381735</x:v>
      </x:c>
      <x:c r="Q1890" s="4" t="str">
        <x:f>IF(AND(ISNUMBER(P1890),P1890&gt;1E-9,P1890&lt;1-1E-9),'계산 과정'!$C$47*(D1890-'계산 과정'!$C$50+P1890*('계산 과정'!$C$32-D1890))+'계산 과정'!$D$47*(E1890-'계산 과정'!$D$50+P1890*('계산 과정'!$D$32-E1890))+'계산 과정'!$E$47*(0-'계산 과정'!$E$50+P1890*('계산 과정'!$E$32-0)),"")</x:f>
      </x:c>
      <x:c r="R1890" s="4" t="str">
        <x:f>IF(AND(ISNUMBER(P1890),P1890&gt;1E-9,P1890&lt;1-1E-9),'계산 과정'!$C$48*(D1890-'계산 과정'!$C$50+P1890*('계산 과정'!$C$32-D1890))+'계산 과정'!$D$48*(E1890-'계산 과정'!$D$50+P1890*('계산 과정'!$D$32-E1890))+'계산 과정'!$E$48*(0-'계산 과정'!$E$50+P1890*('계산 과정'!$E$32-0)),"")</x:f>
      </x:c>
      <x:c r="S1890" s="17" t="n">
        <x:f>IF('계산 과정'!$C$78,IF(AND(ISNUMBER(Q1890),ISNUMBER(R1890),ABS(Q1890-'계산 과정'!$C$88)&lt;='계산 과정'!$D$23/2,ABS(R1890-'계산 과정'!$C$89)&lt;='계산 과정'!$D$24/2),1,0),"")</x:f>
        <x:v>0</x:v>
      </x:c>
      <x:c r="T1890" s="4"/>
      <x:c r="U1890" s="4"/>
      <x:c r="V1890" s="4"/>
      <x:c r="W1890" s="4"/>
      <x:c r="X1890" s="4"/>
      <x:c r="Y1890" s="4"/>
      <x:c r="Z1890" s="4"/>
    </x:row>
    <x:row r="1891" ht="23" customHeight="1">
      <x:c r="A1891" s="17" t="n">
        <x:f>ROW()-6</x:f>
        <x:v>1885</x:v>
      </x:c>
      <x:c r="B1891" s="4" t="n">
        <x:f>IF('계산 과정'!$L$5,'계산 과정'!$L$11*SQRT((A1891+0.5)/'계산 과정'!$L$30),"")</x:f>
        <x:v>143.92609797978787</x:v>
      </x:c>
      <x:c r="C1891" s="4" t="n">
        <x:f>A1891*PI()*(3-SQRT(5))</x:f>
        <x:v>4523.93068803851</x:v>
      </x:c>
      <x:c r="D1891" s="4" t="n">
        <x:f>IF('계산 과정'!$L$5,B1891*COS(C1891),"")</x:f>
        <x:v>143.82616585759584</x:v>
      </x:c>
      <x:c r="E1891" s="4" t="n">
        <x:f>IF('계산 과정'!$L$5,B1891*SIN(C1891),"")</x:f>
        <x:v>5.362433625773742</x:v>
      </x:c>
      <x:c r="F1891" s="4" t="n">
        <x:f>IF('계산 과정'!$L$7,'계산 과정'!$L$22+'계산 과정'!$C$49*D1891+'계산 과정'!$D$49*E1891,"")</x:f>
        <x:v>548.2995428100329</x:v>
      </x:c>
      <x:c r="G1891" s="4" t="n">
        <x:f>IF('계산 과정'!$L$7,IF(ABS(F1891)&gt;=1E-12*MAX(1,SQRT((D1891-'계산 과정'!$C$33)^2+(E1891-'계산 과정'!$D$33)^2+'계산 과정'!$E$33^2)),('계산 과정'!$L$23-'계산 과정'!$C$49*D1891-'계산 과정'!$D$49*E1891)/F1891,""),"")</x:f>
        <x:v>0.915011627802486</x:v>
      </x:c>
      <x:c r="H1891" s="4" t="n">
        <x:f>IF(AND(ISNUMBER(G1891),G1891&gt;0),('계산 과정'!$D$56+'계산 과정'!$D$57*D1891+'계산 과정'!$D$58*E1891)/F1891,"")</x:f>
        <x:v>194.75755807161588</x:v>
      </x:c>
      <x:c r="I1891" s="4" t="n">
        <x:f>IF(AND(ISNUMBER(G1891),G1891&gt;0),('계산 과정'!$E$56+'계산 과정'!$E$57*D1891+'계산 과정'!$E$58*E1891)/F1891,"")</x:f>
        <x:v>10.26912274667576</x:v>
      </x:c>
      <x:c r="J1891" s="4" t="n">
        <x:f>IF('계산 과정'!$L$5,'계산 과정'!$D$6+'계산 과정'!$C$35*D1891+'계산 과정'!$D$35*E1891,"")</x:f>
        <x:v>548.2995428100329</x:v>
      </x:c>
      <x:c r="K1891" s="4" t="n">
        <x:f>IF(AND('계산 과정'!$L$6,J1891&gt;0),'계산 과정'!$D$10*('계산 과정'!$C$38*(D1891-'계산 과정'!$C$32)+'계산 과정'!$D$38*(E1891-'계산 과정'!$D$32)-'계산 과정'!$E$38*'계산 과정'!$E$32)/J1891,"")</x:f>
        <x:v>1.4838671091170739</x:v>
      </x:c>
      <x:c r="L1891" s="4" t="n">
        <x:f>IF(AND('계산 과정'!$L$6,J1891&gt;0),'계산 과정'!$D$10*('계산 과정'!$C$39*(D1891-'계산 과정'!$C$32)+'계산 과정'!$D$39*(E1891-'계산 과정'!$D$32)-'계산 과정'!$E$39*'계산 과정'!$E$32)/J1891,"")</x:f>
        <x:v>0.0782409352127677</x:v>
      </x:c>
      <x:c r="M1891" s="17" t="n">
        <x:f>IF('계산 과정'!$L$6,IF(J1891&lt;=0,0,IF(AND(ABS(K1891)&lt;='계산 과정'!$D$11/2,ABS(L1891)&lt;='계산 과정'!$D$12/2),1,0)),"")</x:f>
        <x:v>1</x:v>
      </x:c>
      <x:c r="N1891" s="17" t="n">
        <x:f>IF('계산 과정'!$C$78,IF(AND(ISNUMBER(H1891),ISNUMBER(I1891),ABS(H1891-'계산 과정'!$C$88)&lt;='계산 과정'!$D$23/2,ABS(I1891-'계산 과정'!$C$89)&lt;='계산 과정'!$D$24/2),1,0),"")</x:f>
        <x:v>1</x:v>
      </x:c>
      <x:c r="O1891" s="4" t="n">
        <x:f>IF('계산 과정'!$L$7,'계산 과정'!$C$49*('계산 과정'!$C$32-D1891)+'계산 과정'!$D$49*('계산 과정'!$D$32-E1891)+'계산 과정'!$E$49*'계산 과정'!$E$32,"")</x:f>
        <x:v>101.70045718996721</x:v>
      </x:c>
      <x:c r="P1891" s="4" t="n">
        <x:f>IF(AND('계산 과정'!$L$7,O1891&lt;&gt;0),('계산 과정'!$L$23-'계산 과정'!$C$49*D1891-'계산 과정'!$D$49*E1891)/O1891,"")</x:f>
        <x:v>4.9331189952552155</x:v>
      </x:c>
      <x:c r="Q1891" s="4" t="str">
        <x:f>IF(AND(ISNUMBER(P1891),P1891&gt;1E-9,P1891&lt;1-1E-9),'계산 과정'!$C$47*(D1891-'계산 과정'!$C$50+P1891*('계산 과정'!$C$32-D1891))+'계산 과정'!$D$47*(E1891-'계산 과정'!$D$50+P1891*('계산 과정'!$D$32-E1891))+'계산 과정'!$E$47*(0-'계산 과정'!$E$50+P1891*('계산 과정'!$E$32-0)),"")</x:f>
      </x:c>
      <x:c r="R1891" s="4" t="str">
        <x:f>IF(AND(ISNUMBER(P1891),P1891&gt;1E-9,P1891&lt;1-1E-9),'계산 과정'!$C$48*(D1891-'계산 과정'!$C$50+P1891*('계산 과정'!$C$32-D1891))+'계산 과정'!$D$48*(E1891-'계산 과정'!$D$50+P1891*('계산 과정'!$D$32-E1891))+'계산 과정'!$E$48*(0-'계산 과정'!$E$50+P1891*('계산 과정'!$E$32-0)),"")</x:f>
      </x:c>
      <x:c r="S1891" s="17" t="n">
        <x:f>IF('계산 과정'!$C$78,IF(AND(ISNUMBER(Q1891),ISNUMBER(R1891),ABS(Q1891-'계산 과정'!$C$88)&lt;='계산 과정'!$D$23/2,ABS(R1891-'계산 과정'!$C$89)&lt;='계산 과정'!$D$24/2),1,0),"")</x:f>
        <x:v>0</x:v>
      </x:c>
      <x:c r="T1891" s="4"/>
      <x:c r="U1891" s="4"/>
      <x:c r="V1891" s="4"/>
      <x:c r="W1891" s="4"/>
      <x:c r="X1891" s="4"/>
      <x:c r="Y1891" s="4"/>
      <x:c r="Z1891" s="4"/>
    </x:row>
    <x:row r="1892" ht="23" customHeight="1">
      <x:c r="A1892" s="17" t="n">
        <x:f>ROW()-6</x:f>
        <x:v>1886</x:v>
      </x:c>
      <x:c r="B1892" s="4" t="n">
        <x:f>IF('계산 과정'!$L$5,'계산 과정'!$L$11*SQRT((A1892+0.5)/'계산 과정'!$L$30),"")</x:f>
        <x:v>143.964259480652</x:v>
      </x:c>
      <x:c r="C1892" s="4" t="n">
        <x:f>A1892*PI()*(3-SQRT(5))</x:f>
        <x:v>4526.330651268239</x:v>
      </x:c>
      <x:c r="D1892" s="4" t="n">
        <x:f>IF('계산 과정'!$L$5,B1892*COS(C1892),"")</x:f>
        <x:v>-109.70429042256832</x:v>
      </x:c>
      <x:c r="E1892" s="4" t="n">
        <x:f>IF('계산 과정'!$L$5,B1892*SIN(C1892),"")</x:f>
        <x:v>93.22379884285603</x:v>
      </x:c>
      <x:c r="F1892" s="4" t="n">
        <x:f>IF('계산 과정'!$L$7,'계산 과정'!$L$22+'계산 과정'!$C$49*D1892+'계산 과정'!$D$49*E1892,"")</x:f>
        <x:v>727.5726476830565</x:v>
      </x:c>
      <x:c r="G1892" s="4" t="n">
        <x:f>IF('계산 과정'!$L$7,IF(ABS(F1892)&gt;=1E-12*MAX(1,SQRT((D1892-'계산 과정'!$C$33)^2+(E1892-'계산 과정'!$D$33)^2+'계산 과정'!$E$33^2)),('계산 과정'!$L$23-'계산 과정'!$C$49*D1892-'계산 과정'!$D$49*E1892)/F1892,""),"")</x:f>
        <x:v>0.4431548565544737</x:v>
      </x:c>
      <x:c r="H1892" s="4" t="n">
        <x:f>IF(AND(ISNUMBER(G1892),G1892&gt;0),('계산 과정'!$D$56+'계산 과정'!$D$57*D1892+'계산 과정'!$D$58*E1892)/F1892,"")</x:f>
        <x:v>-111.94934323959222</x:v>
      </x:c>
      <x:c r="I1892" s="4" t="n">
        <x:f>IF(AND(ISNUMBER(G1892),G1892&gt;0),('계산 과정'!$E$56+'계산 과정'!$E$57*D1892+'계산 과정'!$E$58*E1892)/F1892,"")</x:f>
        <x:v>134.536378046525</x:v>
      </x:c>
      <x:c r="J1892" s="4" t="n">
        <x:f>IF('계산 과정'!$L$5,'계산 과정'!$D$6+'계산 과정'!$C$35*D1892+'계산 과정'!$D$35*E1892,"")</x:f>
        <x:v>727.5726476830565</x:v>
      </x:c>
      <x:c r="K1892" s="4" t="n">
        <x:f>IF(AND('계산 과정'!$L$6,J1892&gt;0),'계산 과정'!$D$10*('계산 과정'!$C$38*(D1892-'계산 과정'!$C$32)+'계산 과정'!$D$38*(E1892-'계산 과정'!$D$32)-'계산 과정'!$E$38*'계산 과정'!$E$32)/J1892,"")</x:f>
        <x:v>-0.8529473770635586</x:v>
      </x:c>
      <x:c r="L1892" s="4" t="n">
        <x:f>IF(AND('계산 과정'!$L$6,J1892&gt;0),'계산 과정'!$D$10*('계산 과정'!$C$39*(D1892-'계산 과정'!$C$32)+'계산 과정'!$D$39*(E1892-'계산 과정'!$D$32)-'계산 과정'!$E$39*'계산 과정'!$E$32)/J1892,"")</x:f>
        <x:v>1.0250390708306667</x:v>
      </x:c>
      <x:c r="M1892" s="17" t="n">
        <x:f>IF('계산 과정'!$L$6,IF(J1892&lt;=0,0,IF(AND(ABS(K1892)&lt;='계산 과정'!$D$11/2,ABS(L1892)&lt;='계산 과정'!$D$12/2),1,0)),"")</x:f>
        <x:v>1</x:v>
      </x:c>
      <x:c r="N1892" s="17" t="n">
        <x:f>IF('계산 과정'!$C$78,IF(AND(ISNUMBER(H1892),ISNUMBER(I1892),ABS(H1892-'계산 과정'!$C$88)&lt;='계산 과정'!$D$23/2,ABS(I1892-'계산 과정'!$C$89)&lt;='계산 과정'!$D$24/2),1,0),"")</x:f>
        <x:v>1</x:v>
      </x:c>
      <x:c r="O1892" s="4" t="n">
        <x:f>IF('계산 과정'!$L$7,'계산 과정'!$C$49*('계산 과정'!$C$32-D1892)+'계산 과정'!$D$49*('계산 과정'!$D$32-E1892)+'계산 과정'!$E$49*'계산 과정'!$E$32,"")</x:f>
        <x:v>-77.57264768305635</x:v>
      </x:c>
      <x:c r="P1892" s="4" t="n">
        <x:f>IF(AND('계산 과정'!$L$7,O1892&lt;&gt;0),('계산 과정'!$L$23-'계산 과정'!$C$49*D1892-'계산 과정'!$D$49*E1892)/O1892,"")</x:f>
        <x:v>-4.156456714411839</x:v>
      </x:c>
      <x:c r="Q1892" s="4" t="str">
        <x:f>IF(AND(ISNUMBER(P1892),P1892&gt;1E-9,P1892&lt;1-1E-9),'계산 과정'!$C$47*(D1892-'계산 과정'!$C$50+P1892*('계산 과정'!$C$32-D1892))+'계산 과정'!$D$47*(E1892-'계산 과정'!$D$50+P1892*('계산 과정'!$D$32-E1892))+'계산 과정'!$E$47*(0-'계산 과정'!$E$50+P1892*('계산 과정'!$E$32-0)),"")</x:f>
      </x:c>
      <x:c r="R1892" s="4" t="str">
        <x:f>IF(AND(ISNUMBER(P1892),P1892&gt;1E-9,P1892&lt;1-1E-9),'계산 과정'!$C$48*(D1892-'계산 과정'!$C$50+P1892*('계산 과정'!$C$32-D1892))+'계산 과정'!$D$48*(E1892-'계산 과정'!$D$50+P1892*('계산 과정'!$D$32-E1892))+'계산 과정'!$E$48*(0-'계산 과정'!$E$50+P1892*('계산 과정'!$E$32-0)),"")</x:f>
      </x:c>
      <x:c r="S1892" s="17" t="n">
        <x:f>IF('계산 과정'!$C$78,IF(AND(ISNUMBER(Q1892),ISNUMBER(R1892),ABS(Q1892-'계산 과정'!$C$88)&lt;='계산 과정'!$D$23/2,ABS(R1892-'계산 과정'!$C$89)&lt;='계산 과정'!$D$24/2),1,0),"")</x:f>
        <x:v>0</x:v>
      </x:c>
      <x:c r="T1892" s="4"/>
      <x:c r="U1892" s="4"/>
      <x:c r="V1892" s="4"/>
      <x:c r="W1892" s="4"/>
      <x:c r="X1892" s="4"/>
      <x:c r="Y1892" s="4"/>
      <x:c r="Z1892" s="4"/>
    </x:row>
    <x:row r="1893" ht="23" customHeight="1">
      <x:c r="A1893" s="17" t="n">
        <x:f>ROW()-6</x:f>
        <x:v>1887</x:v>
      </x:c>
      <x:c r="B1893" s="4" t="n">
        <x:f>IF('계산 과정'!$L$5,'계산 과정'!$L$11*SQRT((A1893+0.5)/'계산 과정'!$L$30),"")</x:f>
        <x:v>144.00241086849033</x:v>
      </x:c>
      <x:c r="C1893" s="4" t="n">
        <x:f>A1893*PI()*(3-SQRT(5))</x:f>
        <x:v>4528.7306144979675</x:v>
      </x:c>
      <x:c r="D1893" s="4" t="n">
        <x:f>IF('계산 과정'!$L$5,B1893*COS(C1893),"")</x:f>
        <x:v>17.925507344535806</x:v>
      </x:c>
      <x:c r="E1893" s="4" t="n">
        <x:f>IF('계산 과정'!$L$5,B1893*SIN(C1893),"")</x:f>
        <x:v>-142.88236603016657</x:v>
      </x:c>
      <x:c r="F1893" s="4" t="n">
        <x:f>IF('계산 과정'!$L$7,'계산 과정'!$L$22+'계산 과정'!$C$49*D1893+'계산 과정'!$D$49*E1893,"")</x:f>
        <x:v>637.3247522004694</x:v>
      </x:c>
      <x:c r="G1893" s="4" t="n">
        <x:f>IF('계산 과정'!$L$7,IF(ABS(F1893)&gt;=1E-12*MAX(1,SQRT((D1893-'계산 과정'!$C$33)^2+(E1893-'계산 과정'!$D$33)^2+'계산 과정'!$E$33^2)),('계산 과정'!$L$23-'계산 과정'!$C$49*D1893-'계산 과정'!$D$49*E1893)/F1893,""),"")</x:f>
        <x:v>0.6475117220454734</x:v>
      </x:c>
      <x:c r="H1893" s="4" t="n">
        <x:f>IF(AND(ISNUMBER(G1893),G1893&gt;0),('계산 과정'!$D$56+'계산 과정'!$D$57*D1893+'계산 과정'!$D$58*E1893)/F1893,"")</x:f>
        <x:v>20.882619329557528</x:v>
      </x:c>
      <x:c r="I1893" s="4" t="n">
        <x:f>IF(AND(ISNUMBER(G1893),G1893&gt;0),('계산 과정'!$E$56+'계산 과정'!$E$57*D1893+'계산 과정'!$E$58*E1893)/F1893,"")</x:f>
        <x:v>-235.4003729082914</x:v>
      </x:c>
      <x:c r="J1893" s="4" t="n">
        <x:f>IF('계산 과정'!$L$5,'계산 과정'!$D$6+'계산 과정'!$C$35*D1893+'계산 과정'!$D$35*E1893,"")</x:f>
        <x:v>637.3247522004694</x:v>
      </x:c>
      <x:c r="K1893" s="4" t="n">
        <x:f>IF(AND('계산 과정'!$L$6,J1893&gt;0),'계산 과정'!$D$10*('계산 과정'!$C$38*(D1893-'계산 과정'!$C$32)+'계산 과정'!$D$38*(E1893-'계산 과정'!$D$32)-'계산 과정'!$E$38*'계산 과정'!$E$32)/J1893,"")</x:f>
        <x:v>0.15910567108234422</x:v>
      </x:c>
      <x:c r="L1893" s="4" t="n">
        <x:f>IF(AND('계산 과정'!$L$6,J1893&gt;0),'계산 과정'!$D$10*('계산 과정'!$C$39*(D1893-'계산 과정'!$C$32)+'계산 과정'!$D$39*(E1893-'계산 과정'!$D$32)-'계산 과정'!$E$39*'계산 과정'!$E$32)/J1893,"")</x:f>
        <x:v>-1.7935266507298389</x:v>
      </x:c>
      <x:c r="M1893" s="17" t="n">
        <x:f>IF('계산 과정'!$L$6,IF(J1893&lt;=0,0,IF(AND(ABS(K1893)&lt;='계산 과정'!$D$11/2,ABS(L1893)&lt;='계산 과정'!$D$12/2),1,0)),"")</x:f>
        <x:v>1</x:v>
      </x:c>
      <x:c r="N1893" s="17" t="n">
        <x:f>IF('계산 과정'!$C$78,IF(AND(ISNUMBER(H1893),ISNUMBER(I1893),ABS(H1893-'계산 과정'!$C$88)&lt;='계산 과정'!$D$23/2,ABS(I1893-'계산 과정'!$C$89)&lt;='계산 과정'!$D$24/2),1,0),"")</x:f>
        <x:v>1</x:v>
      </x:c>
      <x:c r="O1893" s="4" t="n">
        <x:f>IF('계산 과정'!$L$7,'계산 과정'!$C$49*('계산 과정'!$C$32-D1893)+'계산 과정'!$D$49*('계산 과정'!$D$32-E1893)+'계산 과정'!$E$49*'계산 과정'!$E$32,"")</x:f>
        <x:v>12.67524779953061</x:v>
      </x:c>
      <x:c r="P1893" s="4" t="n">
        <x:f>IF(AND('계산 과정'!$L$7,O1893&lt;&gt;0),('계산 과정'!$L$23-'계산 과정'!$C$49*D1893-'계산 과정'!$D$49*E1893)/O1893,"")</x:f>
        <x:v>32.55756844570824</x:v>
      </x:c>
      <x:c r="Q1893" s="4" t="str">
        <x:f>IF(AND(ISNUMBER(P1893),P1893&gt;1E-9,P1893&lt;1-1E-9),'계산 과정'!$C$47*(D1893-'계산 과정'!$C$50+P1893*('계산 과정'!$C$32-D1893))+'계산 과정'!$D$47*(E1893-'계산 과정'!$D$50+P1893*('계산 과정'!$D$32-E1893))+'계산 과정'!$E$47*(0-'계산 과정'!$E$50+P1893*('계산 과정'!$E$32-0)),"")</x:f>
      </x:c>
      <x:c r="R1893" s="4" t="str">
        <x:f>IF(AND(ISNUMBER(P1893),P1893&gt;1E-9,P1893&lt;1-1E-9),'계산 과정'!$C$48*(D1893-'계산 과정'!$C$50+P1893*('계산 과정'!$C$32-D1893))+'계산 과정'!$D$48*(E1893-'계산 과정'!$D$50+P1893*('계산 과정'!$D$32-E1893))+'계산 과정'!$E$48*(0-'계산 과정'!$E$50+P1893*('계산 과정'!$E$32-0)),"")</x:f>
      </x:c>
      <x:c r="S1893" s="17" t="n">
        <x:f>IF('계산 과정'!$C$78,IF(AND(ISNUMBER(Q1893),ISNUMBER(R1893),ABS(Q1893-'계산 과정'!$C$88)&lt;='계산 과정'!$D$23/2,ABS(R1893-'계산 과정'!$C$89)&lt;='계산 과정'!$D$24/2),1,0),"")</x:f>
        <x:v>0</x:v>
      </x:c>
      <x:c r="T1893" s="4"/>
      <x:c r="U1893" s="4"/>
      <x:c r="V1893" s="4"/>
      <x:c r="W1893" s="4"/>
      <x:c r="X1893" s="4"/>
      <x:c r="Y1893" s="4"/>
      <x:c r="Z1893" s="4"/>
    </x:row>
    <x:row r="1894" ht="23" customHeight="1">
      <x:c r="A1894" s="17" t="n">
        <x:f>ROW()-6</x:f>
        <x:v>1888</x:v>
      </x:c>
      <x:c r="B1894" s="4" t="n">
        <x:f>IF('계산 과정'!$L$5,'계산 과정'!$L$11*SQRT((A1894+0.5)/'계산 과정'!$L$30),"")</x:f>
        <x:v>144.04055215133863</x:v>
      </x:c>
      <x:c r="C1894" s="4" t="n">
        <x:f>A1894*PI()*(3-SQRT(5))</x:f>
        <x:v>4531.130577727697</x:v>
      </x:c>
      <x:c r="D1894" s="4" t="n">
        <x:f>IF('계산 과정'!$L$5,B1894*COS(C1894),"")</x:f>
        <x:v>83.32000299252104</x:v>
      </x:c>
      <x:c r="E1894" s="4" t="n">
        <x:f>IF('계산 과정'!$L$5,B1894*SIN(C1894),"")</x:f>
        <x:v>117.49662874052511</x:v>
      </x:c>
      <x:c r="F1894" s="4" t="n">
        <x:f>IF('계산 과정'!$L$7,'계산 과정'!$L$22+'계산 과정'!$C$49*D1894+'계산 과정'!$D$49*E1894,"")</x:f>
        <x:v>591.0838608755049</x:v>
      </x:c>
      <x:c r="G1894" s="4" t="n">
        <x:f>IF('계산 과정'!$L$7,IF(ABS(F1894)&gt;=1E-12*MAX(1,SQRT((D1894-'계산 과정'!$C$33)^2+(E1894-'계산 과정'!$D$33)^2+'계산 과정'!$E$33^2)),('계산 과정'!$L$23-'계산 과정'!$C$49*D1894-'계산 과정'!$D$49*E1894)/F1894,""),"")</x:f>
        <x:v>0.7763976814470201</x:v>
      </x:c>
      <x:c r="H1894" s="4" t="n">
        <x:f>IF(AND(ISNUMBER(G1894),G1894&gt;0),('계산 과정'!$D$56+'계산 과정'!$D$57*D1894+'계산 과정'!$D$58*E1894)/F1894,"")</x:f>
        <x:v>104.65849294056301</x:v>
      </x:c>
      <x:c r="I1894" s="4" t="n">
        <x:f>IF(AND(ISNUMBER(G1894),G1894&gt;0),('계산 과정'!$E$56+'계산 과정'!$E$57*D1894+'계산 과정'!$E$58*E1894)/F1894,"")</x:f>
        <x:v>208.72073887251014</x:v>
      </x:c>
      <x:c r="J1894" s="4" t="n">
        <x:f>IF('계산 과정'!$L$5,'계산 과정'!$D$6+'계산 과정'!$C$35*D1894+'계산 과정'!$D$35*E1894,"")</x:f>
        <x:v>591.0838608755049</x:v>
      </x:c>
      <x:c r="K1894" s="4" t="n">
        <x:f>IF(AND('계산 과정'!$L$6,J1894&gt;0),'계산 과정'!$D$10*('계산 과정'!$C$38*(D1894-'계산 과정'!$C$32)+'계산 과정'!$D$38*(E1894-'계산 과정'!$D$32)-'계산 과정'!$E$38*'계산 과정'!$E$32)/J1894,"")</x:f>
        <x:v>0.7973980414519097</x:v>
      </x:c>
      <x:c r="L1894" s="4" t="n">
        <x:f>IF(AND('계산 과정'!$L$6,J1894&gt;0),'계산 과정'!$D$10*('계산 과정'!$C$39*(D1894-'계산 과정'!$C$32)+'계산 과정'!$D$39*(E1894-'계산 과정'!$D$32)-'계산 과정'!$E$39*'계산 과정'!$E$32)/J1894,"")</x:f>
        <x:v>1.590253248552458</x:v>
      </x:c>
      <x:c r="M1894" s="17" t="n">
        <x:f>IF('계산 과정'!$L$6,IF(J1894&lt;=0,0,IF(AND(ABS(K1894)&lt;='계산 과정'!$D$11/2,ABS(L1894)&lt;='계산 과정'!$D$12/2),1,0)),"")</x:f>
        <x:v>1</x:v>
      </x:c>
      <x:c r="N1894" s="17" t="n">
        <x:f>IF('계산 과정'!$C$78,IF(AND(ISNUMBER(H1894),ISNUMBER(I1894),ABS(H1894-'계산 과정'!$C$88)&lt;='계산 과정'!$D$23/2,ABS(I1894-'계산 과정'!$C$89)&lt;='계산 과정'!$D$24/2),1,0),"")</x:f>
        <x:v>1</x:v>
      </x:c>
      <x:c r="O1894" s="4" t="n">
        <x:f>IF('계산 과정'!$L$7,'계산 과정'!$C$49*('계산 과정'!$C$32-D1894)+'계산 과정'!$D$49*('계산 과정'!$D$32-E1894)+'계산 과정'!$E$49*'계산 과정'!$E$32,"")</x:f>
        <x:v>58.916139124495146</x:v>
      </x:c>
      <x:c r="P1894" s="4" t="n">
        <x:f>IF(AND('계산 과정'!$L$7,O1894&lt;&gt;0),('계산 과정'!$L$23-'계산 과정'!$C$49*D1894-'계산 과정'!$D$49*E1894)/O1894,"")</x:f>
        <x:v>7.7893111453682256</x:v>
      </x:c>
      <x:c r="Q1894" s="4" t="str">
        <x:f>IF(AND(ISNUMBER(P1894),P1894&gt;1E-9,P1894&lt;1-1E-9),'계산 과정'!$C$47*(D1894-'계산 과정'!$C$50+P1894*('계산 과정'!$C$32-D1894))+'계산 과정'!$D$47*(E1894-'계산 과정'!$D$50+P1894*('계산 과정'!$D$32-E1894))+'계산 과정'!$E$47*(0-'계산 과정'!$E$50+P1894*('계산 과정'!$E$32-0)),"")</x:f>
      </x:c>
      <x:c r="R1894" s="4" t="str">
        <x:f>IF(AND(ISNUMBER(P1894),P1894&gt;1E-9,P1894&lt;1-1E-9),'계산 과정'!$C$48*(D1894-'계산 과정'!$C$50+P1894*('계산 과정'!$C$32-D1894))+'계산 과정'!$D$48*(E1894-'계산 과정'!$D$50+P1894*('계산 과정'!$D$32-E1894))+'계산 과정'!$E$48*(0-'계산 과정'!$E$50+P1894*('계산 과정'!$E$32-0)),"")</x:f>
      </x:c>
      <x:c r="S1894" s="17" t="n">
        <x:f>IF('계산 과정'!$C$78,IF(AND(ISNUMBER(Q1894),ISNUMBER(R1894),ABS(Q1894-'계산 과정'!$C$88)&lt;='계산 과정'!$D$23/2,ABS(R1894-'계산 과정'!$C$89)&lt;='계산 과정'!$D$24/2),1,0),"")</x:f>
        <x:v>0</x:v>
      </x:c>
      <x:c r="T1894" s="4"/>
      <x:c r="U1894" s="4"/>
      <x:c r="V1894" s="4"/>
      <x:c r="W1894" s="4"/>
      <x:c r="X1894" s="4"/>
      <x:c r="Y1894" s="4"/>
      <x:c r="Z1894" s="4"/>
    </x:row>
    <x:row r="1895" ht="23" customHeight="1">
      <x:c r="A1895" s="17" t="n">
        <x:f>ROW()-6</x:f>
        <x:v>1889</x:v>
      </x:c>
      <x:c r="B1895" s="4" t="n">
        <x:f>IF('계산 과정'!$L$5,'계산 과정'!$L$11*SQRT((A1895+0.5)/'계산 과정'!$L$30),"")</x:f>
        <x:v>144.07868333722203</x:v>
      </x:c>
      <x:c r="C1895" s="4" t="n">
        <x:f>A1895*PI()*(3-SQRT(5))</x:f>
        <x:v>4533.530540957426</x:v>
      </x:c>
      <x:c r="D1895" s="4" t="n">
        <x:f>IF('계산 과정'!$L$5,B1895*COS(C1895),"")</x:f>
        <x:v>-140.84268421233085</x:v>
      </x:c>
      <x:c r="E1895" s="4" t="n">
        <x:f>IF('계산 과정'!$L$5,B1895*SIN(C1895),"")</x:f>
        <x:v>-30.364540109363613</x:v>
      </x:c>
      <x:c r="F1895" s="4" t="n">
        <x:f>IF('계산 과정'!$L$7,'계산 과정'!$L$22+'계산 과정'!$C$49*D1895+'계산 과정'!$D$49*E1895,"")</x:f>
        <x:v>749.5908170870546</x:v>
      </x:c>
      <x:c r="G1895" s="4" t="n">
        <x:f>IF('계산 과정'!$L$7,IF(ABS(F1895)&gt;=1E-12*MAX(1,SQRT((D1895-'계산 과정'!$C$33)^2+(E1895-'계산 과정'!$D$33)^2+'계산 과정'!$E$33^2)),('계산 과정'!$L$23-'계산 과정'!$C$49*D1895-'계산 과정'!$D$49*E1895)/F1895,""),"")</x:f>
        <x:v>0.40076422504793974</x:v>
      </x:c>
      <x:c r="H1895" s="4" t="n">
        <x:f>IF(AND(ISNUMBER(G1895),G1895&gt;0),('계산 과정'!$D$56+'계산 과정'!$D$57*D1895+'계산 과정'!$D$58*E1895)/F1895,"")</x:f>
        <x:v>-139.50325371883935</x:v>
      </x:c>
      <x:c r="I1895" s="4" t="n">
        <x:f>IF(AND(ISNUMBER(G1895),G1895&gt;0),('계산 과정'!$E$56+'계산 과정'!$E$57*D1895+'계산 과정'!$E$58*E1895)/F1895,"")</x:f>
        <x:v>-42.533561495229804</x:v>
      </x:c>
      <x:c r="J1895" s="4" t="n">
        <x:f>IF('계산 과정'!$L$5,'계산 과정'!$D$6+'계산 과정'!$C$35*D1895+'계산 과정'!$D$35*E1895,"")</x:f>
        <x:v>749.5908170870546</x:v>
      </x:c>
      <x:c r="K1895" s="4" t="n">
        <x:f>IF(AND('계산 과정'!$L$6,J1895&gt;0),'계산 과정'!$D$10*('계산 과정'!$C$38*(D1895-'계산 과정'!$C$32)+'계산 과정'!$D$38*(E1895-'계산 과정'!$D$32)-'계산 과정'!$E$38*'계산 과정'!$E$32)/J1895,"")</x:f>
        <x:v>-1.0628819330959178</x:v>
      </x:c>
      <x:c r="L1895" s="4" t="n">
        <x:f>IF(AND('계산 과정'!$L$6,J1895&gt;0),'계산 과정'!$D$10*('계산 과정'!$C$39*(D1895-'계산 과정'!$C$32)+'계산 과정'!$D$39*(E1895-'계산 과정'!$D$32)-'계산 과정'!$E$39*'계산 과정'!$E$32)/J1895,"")</x:f>
        <x:v>-0.32406523043984614</x:v>
      </x:c>
      <x:c r="M1895" s="17" t="n">
        <x:f>IF('계산 과정'!$L$6,IF(J1895&lt;=0,0,IF(AND(ABS(K1895)&lt;='계산 과정'!$D$11/2,ABS(L1895)&lt;='계산 과정'!$D$12/2),1,0)),"")</x:f>
        <x:v>1</x:v>
      </x:c>
      <x:c r="N1895" s="17" t="n">
        <x:f>IF('계산 과정'!$C$78,IF(AND(ISNUMBER(H1895),ISNUMBER(I1895),ABS(H1895-'계산 과정'!$C$88)&lt;='계산 과정'!$D$23/2,ABS(I1895-'계산 과정'!$C$89)&lt;='계산 과정'!$D$24/2),1,0),"")</x:f>
        <x:v>1</x:v>
      </x:c>
      <x:c r="O1895" s="4" t="n">
        <x:f>IF('계산 과정'!$L$7,'계산 과정'!$C$49*('계산 과정'!$C$32-D1895)+'계산 과정'!$D$49*('계산 과정'!$D$32-E1895)+'계산 과정'!$E$49*'계산 과정'!$E$32,"")</x:f>
        <x:v>-99.59081708705452</x:v>
      </x:c>
      <x:c r="P1895" s="4" t="n">
        <x:f>IF(AND('계산 과정'!$L$7,O1895&lt;&gt;0),('계산 과정'!$L$23-'계산 과정'!$C$49*D1895-'계산 과정'!$D$49*E1895)/O1895,"")</x:f>
        <x:v>-3.0164345639452996</x:v>
      </x:c>
      <x:c r="Q1895" s="4" t="str">
        <x:f>IF(AND(ISNUMBER(P1895),P1895&gt;1E-9,P1895&lt;1-1E-9),'계산 과정'!$C$47*(D1895-'계산 과정'!$C$50+P1895*('계산 과정'!$C$32-D1895))+'계산 과정'!$D$47*(E1895-'계산 과정'!$D$50+P1895*('계산 과정'!$D$32-E1895))+'계산 과정'!$E$47*(0-'계산 과정'!$E$50+P1895*('계산 과정'!$E$32-0)),"")</x:f>
      </x:c>
      <x:c r="R1895" s="4" t="str">
        <x:f>IF(AND(ISNUMBER(P1895),P1895&gt;1E-9,P1895&lt;1-1E-9),'계산 과정'!$C$48*(D1895-'계산 과정'!$C$50+P1895*('계산 과정'!$C$32-D1895))+'계산 과정'!$D$48*(E1895-'계산 과정'!$D$50+P1895*('계산 과정'!$D$32-E1895))+'계산 과정'!$E$48*(0-'계산 과정'!$E$50+P1895*('계산 과정'!$E$32-0)),"")</x:f>
      </x:c>
      <x:c r="S1895" s="17" t="n">
        <x:f>IF('계산 과정'!$C$78,IF(AND(ISNUMBER(Q1895),ISNUMBER(R1895),ABS(Q1895-'계산 과정'!$C$88)&lt;='계산 과정'!$D$23/2,ABS(R1895-'계산 과정'!$C$89)&lt;='계산 과정'!$D$24/2),1,0),"")</x:f>
        <x:v>0</x:v>
      </x:c>
      <x:c r="T1895" s="4"/>
      <x:c r="U1895" s="4"/>
      <x:c r="V1895" s="4"/>
      <x:c r="W1895" s="4"/>
      <x:c r="X1895" s="4"/>
      <x:c r="Y1895" s="4"/>
      <x:c r="Z1895" s="4"/>
    </x:row>
    <x:row r="1896" ht="23" customHeight="1">
      <x:c r="A1896" s="17" t="n">
        <x:f>ROW()-6</x:f>
        <x:v>1890</x:v>
      </x:c>
      <x:c r="B1896" s="4" t="n">
        <x:f>IF('계산 과정'!$L$5,'계산 과정'!$L$11*SQRT((A1896+0.5)/'계산 과정'!$L$30),"")</x:f>
        <x:v>144.11680443415509</x:v>
      </x:c>
      <x:c r="C1896" s="4" t="n">
        <x:f>A1896*PI()*(3-SQRT(5))</x:f>
        <x:v>4535.930504187154</x:v>
      </x:c>
      <x:c r="D1896" s="4" t="n">
        <x:f>IF('계산 과정'!$L$5,B1896*COS(C1896),"")</x:f>
        <x:v>124.39686904943802</x:v>
      </x:c>
      <x:c r="E1896" s="4" t="n">
        <x:f>IF('계산 과정'!$L$5,B1896*SIN(C1896),"")</x:f>
        <x:v>-72.76724737826402</x:v>
      </x:c>
      <x:c r="F1896" s="4" t="n">
        <x:f>IF('계산 과정'!$L$7,'계산 과정'!$L$22+'계산 과정'!$C$49*D1896+'계산 과정'!$D$49*E1896,"")</x:f>
        <x:v>562.0381303367674</x:v>
      </x:c>
      <x:c r="G1896" s="4" t="n">
        <x:f>IF('계산 과정'!$L$7,IF(ABS(F1896)&gt;=1E-12*MAX(1,SQRT((D1896-'계산 과정'!$C$33)^2+(E1896-'계산 과정'!$D$33)^2+'계산 과정'!$E$33^2)),('계산 과정'!$L$23-'계산 과정'!$C$49*D1896-'계산 과정'!$D$49*E1896)/F1896,""),"")</x:f>
        <x:v>0.8682006492528379</x:v>
      </x:c>
      <x:c r="H1896" s="4" t="n">
        <x:f>IF(AND(ISNUMBER(G1896),G1896&gt;0),('계산 과정'!$D$56+'계산 과정'!$D$57*D1896+'계산 과정'!$D$58*E1896)/F1896,"")</x:f>
        <x:v>164.33042201434455</x:v>
      </x:c>
      <x:c r="I1896" s="4" t="n">
        <x:f>IF(AND(ISNUMBER(G1896),G1896&gt;0),('계산 과정'!$E$56+'계산 과정'!$E$57*D1896+'계산 과정'!$E$58*E1896)/F1896,"")</x:f>
        <x:v>-135.94381879641472</x:v>
      </x:c>
      <x:c r="J1896" s="4" t="n">
        <x:f>IF('계산 과정'!$L$5,'계산 과정'!$D$6+'계산 과정'!$C$35*D1896+'계산 과정'!$D$35*E1896,"")</x:f>
        <x:v>562.0381303367674</x:v>
      </x:c>
      <x:c r="K1896" s="4" t="n">
        <x:f>IF(AND('계산 과정'!$L$6,J1896&gt;0),'계산 과정'!$D$10*('계산 과정'!$C$38*(D1896-'계산 과정'!$C$32)+'계산 과정'!$D$38*(E1896-'계산 과정'!$D$32)-'계산 과정'!$E$38*'계산 과정'!$E$32)/J1896,"")</x:f>
        <x:v>1.252041310585483</x:v>
      </x:c>
      <x:c r="L1896" s="4" t="n">
        <x:f>IF(AND('계산 과정'!$L$6,J1896&gt;0),'계산 과정'!$D$10*('계산 과정'!$C$39*(D1896-'계산 과정'!$C$32)+'계산 과정'!$D$39*(E1896-'계산 과정'!$D$32)-'계산 과정'!$E$39*'계산 과정'!$E$32)/J1896,"")</x:f>
        <x:v>-1.0357624289250644</x:v>
      </x:c>
      <x:c r="M1896" s="17" t="n">
        <x:f>IF('계산 과정'!$L$6,IF(J1896&lt;=0,0,IF(AND(ABS(K1896)&lt;='계산 과정'!$D$11/2,ABS(L1896)&lt;='계산 과정'!$D$12/2),1,0)),"")</x:f>
        <x:v>1</x:v>
      </x:c>
      <x:c r="N1896" s="17" t="n">
        <x:f>IF('계산 과정'!$C$78,IF(AND(ISNUMBER(H1896),ISNUMBER(I1896),ABS(H1896-'계산 과정'!$C$88)&lt;='계산 과정'!$D$23/2,ABS(I1896-'계산 과정'!$C$89)&lt;='계산 과정'!$D$24/2),1,0),"")</x:f>
        <x:v>1</x:v>
      </x:c>
      <x:c r="O1896" s="4" t="n">
        <x:f>IF('계산 과정'!$L$7,'계산 과정'!$C$49*('계산 과정'!$C$32-D1896)+'계산 과정'!$D$49*('계산 과정'!$D$32-E1896)+'계산 과정'!$E$49*'계산 과정'!$E$32,"")</x:f>
        <x:v>87.96186966323268</x:v>
      </x:c>
      <x:c r="P1896" s="4" t="n">
        <x:f>IF(AND('계산 과정'!$L$7,O1896&lt;&gt;0),('계산 과정'!$L$23-'계산 과정'!$C$49*D1896-'계산 과정'!$D$49*E1896)/O1896,"")</x:f>
        <x:v>5.547424941414093</x:v>
      </x:c>
      <x:c r="Q1896" s="4" t="str">
        <x:f>IF(AND(ISNUMBER(P1896),P1896&gt;1E-9,P1896&lt;1-1E-9),'계산 과정'!$C$47*(D1896-'계산 과정'!$C$50+P1896*('계산 과정'!$C$32-D1896))+'계산 과정'!$D$47*(E1896-'계산 과정'!$D$50+P1896*('계산 과정'!$D$32-E1896))+'계산 과정'!$E$47*(0-'계산 과정'!$E$50+P1896*('계산 과정'!$E$32-0)),"")</x:f>
      </x:c>
      <x:c r="R1896" s="4" t="str">
        <x:f>IF(AND(ISNUMBER(P1896),P1896&gt;1E-9,P1896&lt;1-1E-9),'계산 과정'!$C$48*(D1896-'계산 과정'!$C$50+P1896*('계산 과정'!$C$32-D1896))+'계산 과정'!$D$48*(E1896-'계산 과정'!$D$50+P1896*('계산 과정'!$D$32-E1896))+'계산 과정'!$E$48*(0-'계산 과정'!$E$50+P1896*('계산 과정'!$E$32-0)),"")</x:f>
      </x:c>
      <x:c r="S1896" s="17" t="n">
        <x:f>IF('계산 과정'!$C$78,IF(AND(ISNUMBER(Q1896),ISNUMBER(R1896),ABS(Q1896-'계산 과정'!$C$88)&lt;='계산 과정'!$D$23/2,ABS(R1896-'계산 과정'!$C$89)&lt;='계산 과정'!$D$24/2),1,0),"")</x:f>
        <x:v>0</x:v>
      </x:c>
      <x:c r="T1896" s="4"/>
      <x:c r="U1896" s="4"/>
      <x:c r="V1896" s="4"/>
      <x:c r="W1896" s="4"/>
      <x:c r="X1896" s="4"/>
      <x:c r="Y1896" s="4"/>
      <x:c r="Z1896" s="4"/>
    </x:row>
    <x:row r="1897" ht="23" customHeight="1">
      <x:c r="A1897" s="17" t="n">
        <x:f>ROW()-6</x:f>
        <x:v>1891</x:v>
      </x:c>
      <x:c r="B1897" s="4" t="n">
        <x:f>IF('계산 과정'!$L$5,'계산 과정'!$L$11*SQRT((A1897+0.5)/'계산 과정'!$L$30),"")</x:f>
        <x:v>144.1549154501417</x:v>
      </x:c>
      <x:c r="C1897" s="4" t="n">
        <x:f>A1897*PI()*(3-SQRT(5))</x:f>
        <x:v>4538.330467416883</x:v>
      </x:c>
      <x:c r="D1897" s="4" t="n">
        <x:f>IF('계산 과정'!$L$5,B1897*COS(C1897),"")</x:f>
        <x:v>-42.58406860428293</x:v>
      </x:c>
      <x:c r="E1897" s="4" t="n">
        <x:f>IF('계산 과정'!$L$5,B1897*SIN(C1897),"")</x:f>
        <x:v>137.7215914428207</x:v>
      </x:c>
      <x:c r="F1897" s="4" t="n">
        <x:f>IF('계산 과정'!$L$7,'계산 과정'!$L$22+'계산 과정'!$C$49*D1897+'계산 과정'!$D$49*E1897,"")</x:f>
        <x:v>680.1114836806016</x:v>
      </x:c>
      <x:c r="G1897" s="4" t="n">
        <x:f>IF('계산 과정'!$L$7,IF(ABS(F1897)&gt;=1E-12*MAX(1,SQRT((D1897-'계산 과정'!$C$33)^2+(E1897-'계산 과정'!$D$33)^2+'계산 과정'!$E$33^2)),('계산 과정'!$L$23-'계산 과정'!$C$49*D1897-'계산 과정'!$D$49*E1897)/F1897,""),"")</x:f>
        <x:v>0.5438645357341265</x:v>
      </x:c>
      <x:c r="H1897" s="4" t="n">
        <x:f>IF(AND(ISNUMBER(G1897),G1897&gt;0),('계산 과정'!$D$56+'계산 과정'!$D$57*D1897+'계산 과정'!$D$58*E1897)/F1897,"")</x:f>
        <x:v>-46.48805177281786</x:v>
      </x:c>
      <x:c r="I1897" s="4" t="n">
        <x:f>IF(AND(ISNUMBER(G1897),G1897&gt;0),('계산 과정'!$E$56+'계산 과정'!$E$57*D1897+'계산 과정'!$E$58*E1897)/F1897,"")</x:f>
        <x:v>212.62348083343548</x:v>
      </x:c>
      <x:c r="J1897" s="4" t="n">
        <x:f>IF('계산 과정'!$L$5,'계산 과정'!$D$6+'계산 과정'!$C$35*D1897+'계산 과정'!$D$35*E1897,"")</x:f>
        <x:v>680.1114836806016</x:v>
      </x:c>
      <x:c r="K1897" s="4" t="n">
        <x:f>IF(AND('계산 과정'!$L$6,J1897&gt;0),'계산 과정'!$D$10*('계산 과정'!$C$38*(D1897-'계산 과정'!$C$32)+'계산 과정'!$D$38*(E1897-'계산 과정'!$D$32)-'계산 과정'!$E$38*'계산 과정'!$E$32)/J1897,"")</x:f>
        <x:v>-0.35419468017384953</x:v>
      </x:c>
      <x:c r="L1897" s="4" t="n">
        <x:f>IF(AND('계산 과정'!$L$6,J1897&gt;0),'계산 과정'!$D$10*('계산 과정'!$C$39*(D1897-'계산 과정'!$C$32)+'계산 과정'!$D$39*(E1897-'계산 과정'!$D$32)-'계산 과정'!$E$39*'계산 과정'!$E$32)/J1897,"")</x:f>
        <x:v>1.6199884253976033</x:v>
      </x:c>
      <x:c r="M1897" s="17" t="n">
        <x:f>IF('계산 과정'!$L$6,IF(J1897&lt;=0,0,IF(AND(ABS(K1897)&lt;='계산 과정'!$D$11/2,ABS(L1897)&lt;='계산 과정'!$D$12/2),1,0)),"")</x:f>
        <x:v>1</x:v>
      </x:c>
      <x:c r="N1897" s="17" t="n">
        <x:f>IF('계산 과정'!$C$78,IF(AND(ISNUMBER(H1897),ISNUMBER(I1897),ABS(H1897-'계산 과정'!$C$88)&lt;='계산 과정'!$D$23/2,ABS(I1897-'계산 과정'!$C$89)&lt;='계산 과정'!$D$24/2),1,0),"")</x:f>
        <x:v>1</x:v>
      </x:c>
      <x:c r="O1897" s="4" t="n">
        <x:f>IF('계산 과정'!$L$7,'계산 과정'!$C$49*('계산 과정'!$C$32-D1897)+'계산 과정'!$D$49*('계산 과정'!$D$32-E1897)+'계산 과정'!$E$49*'계산 과정'!$E$32,"")</x:f>
        <x:v>-30.11148368060151</x:v>
      </x:c>
      <x:c r="P1897" s="4" t="n">
        <x:f>IF(AND('계산 과정'!$L$7,O1897&lt;&gt;0),('계산 과정'!$L$23-'계산 과정'!$C$49*D1897-'계산 과정'!$D$49*E1897)/O1897,"")</x:f>
        <x:v>-12.283968476707404</x:v>
      </x:c>
      <x:c r="Q1897" s="4" t="str">
        <x:f>IF(AND(ISNUMBER(P1897),P1897&gt;1E-9,P1897&lt;1-1E-9),'계산 과정'!$C$47*(D1897-'계산 과정'!$C$50+P1897*('계산 과정'!$C$32-D1897))+'계산 과정'!$D$47*(E1897-'계산 과정'!$D$50+P1897*('계산 과정'!$D$32-E1897))+'계산 과정'!$E$47*(0-'계산 과정'!$E$50+P1897*('계산 과정'!$E$32-0)),"")</x:f>
      </x:c>
      <x:c r="R1897" s="4" t="str">
        <x:f>IF(AND(ISNUMBER(P1897),P1897&gt;1E-9,P1897&lt;1-1E-9),'계산 과정'!$C$48*(D1897-'계산 과정'!$C$50+P1897*('계산 과정'!$C$32-D1897))+'계산 과정'!$D$48*(E1897-'계산 과정'!$D$50+P1897*('계산 과정'!$D$32-E1897))+'계산 과정'!$E$48*(0-'계산 과정'!$E$50+P1897*('계산 과정'!$E$32-0)),"")</x:f>
      </x:c>
      <x:c r="S1897" s="17" t="n">
        <x:f>IF('계산 과정'!$C$78,IF(AND(ISNUMBER(Q1897),ISNUMBER(R1897),ABS(Q1897-'계산 과정'!$C$88)&lt;='계산 과정'!$D$23/2,ABS(R1897-'계산 과정'!$C$89)&lt;='계산 과정'!$D$24/2),1,0),"")</x:f>
        <x:v>0</x:v>
      </x:c>
      <x:c r="T1897" s="4"/>
      <x:c r="U1897" s="4"/>
      <x:c r="V1897" s="4"/>
      <x:c r="W1897" s="4"/>
      <x:c r="X1897" s="4"/>
      <x:c r="Y1897" s="4"/>
      <x:c r="Z1897" s="4"/>
    </x:row>
    <x:row r="1898" ht="23" customHeight="1">
      <x:c r="A1898" s="17" t="n">
        <x:f>ROW()-6</x:f>
        <x:v>1892</x:v>
      </x:c>
      <x:c r="B1898" s="4" t="n">
        <x:f>IF('계산 과정'!$L$5,'계산 과정'!$L$11*SQRT((A1898+0.5)/'계산 과정'!$L$30),"")</x:f>
        <x:v>144.1930163931752</x:v>
      </x:c>
      <x:c r="C1898" s="4" t="n">
        <x:f>A1898*PI()*(3-SQRT(5))</x:f>
        <x:v>4540.730430646611</x:v>
      </x:c>
      <x:c r="D1898" s="4" t="n">
        <x:f>IF('계산 과정'!$L$5,B1898*COS(C1898),"")</x:f>
        <x:v>-61.64572043945335</x:v>
      </x:c>
      <x:c r="E1898" s="4" t="n">
        <x:f>IF('계산 과정'!$L$5,B1898*SIN(C1898),"")</x:f>
        <x:v>-130.35118383836513</x:v>
      </x:c>
      <x:c r="F1898" s="4" t="n">
        <x:f>IF('계산 과정'!$L$7,'계산 과정'!$L$22+'계산 과정'!$C$49*D1898+'계산 과정'!$D$49*E1898,"")</x:f>
        <x:v>693.5901069538676</x:v>
      </x:c>
      <x:c r="G1898" s="4" t="n">
        <x:f>IF('계산 과정'!$L$7,IF(ABS(F1898)&gt;=1E-12*MAX(1,SQRT((D1898-'계산 과정'!$C$33)^2+(E1898-'계산 과정'!$D$33)^2+'계산 과정'!$E$33^2)),('계산 과정'!$L$23-'계산 과정'!$C$49*D1898-'계산 과정'!$D$49*E1898)/F1898,""),"")</x:f>
        <x:v>0.5138624231701132</x:v>
      </x:c>
      <x:c r="H1898" s="4" t="n">
        <x:f>IF(AND(ISNUMBER(G1898),G1898&gt;0),('계산 과정'!$D$56+'계산 과정'!$D$57*D1898+'계산 과정'!$D$58*E1898)/F1898,"")</x:f>
        <x:v>-65.98942493942657</x:v>
      </x:c>
      <x:c r="I1898" s="4" t="n">
        <x:f>IF(AND(ISNUMBER(G1898),G1898&gt;0),('계산 과정'!$E$56+'계산 과정'!$E$57*D1898+'계산 과정'!$E$58*E1898)/F1898,"")</x:f>
        <x:v>-197.33375902864034</x:v>
      </x:c>
      <x:c r="J1898" s="4" t="n">
        <x:f>IF('계산 과정'!$L$5,'계산 과정'!$D$6+'계산 과정'!$C$35*D1898+'계산 과정'!$D$35*E1898,"")</x:f>
        <x:v>693.5901069538676</x:v>
      </x:c>
      <x:c r="K1898" s="4" t="n">
        <x:f>IF(AND('계산 과정'!$L$6,J1898&gt;0),'계산 과정'!$D$10*('계산 과정'!$C$38*(D1898-'계산 과정'!$C$32)+'계산 과정'!$D$38*(E1898-'계산 과정'!$D$32)-'계산 과정'!$E$38*'계산 과정'!$E$32)/J1898,"")</x:f>
        <x:v>-0.5027765709670587</x:v>
      </x:c>
      <x:c r="L1898" s="4" t="n">
        <x:f>IF(AND('계산 과정'!$L$6,J1898&gt;0),'계산 과정'!$D$10*('계산 과정'!$C$39*(D1898-'계산 과정'!$C$32)+'계산 과정'!$D$39*(E1898-'계산 과정'!$D$32)-'계산 과정'!$E$39*'계산 과정'!$E$32)/J1898,"")</x:f>
        <x:v>-1.5034953068848789</x:v>
      </x:c>
      <x:c r="M1898" s="17" t="n">
        <x:f>IF('계산 과정'!$L$6,IF(J1898&lt;=0,0,IF(AND(ABS(K1898)&lt;='계산 과정'!$D$11/2,ABS(L1898)&lt;='계산 과정'!$D$12/2),1,0)),"")</x:f>
        <x:v>1</x:v>
      </x:c>
      <x:c r="N1898" s="17" t="n">
        <x:f>IF('계산 과정'!$C$78,IF(AND(ISNUMBER(H1898),ISNUMBER(I1898),ABS(H1898-'계산 과정'!$C$88)&lt;='계산 과정'!$D$23/2,ABS(I1898-'계산 과정'!$C$89)&lt;='계산 과정'!$D$24/2),1,0),"")</x:f>
        <x:v>1</x:v>
      </x:c>
      <x:c r="O1898" s="4" t="n">
        <x:f>IF('계산 과정'!$L$7,'계산 과정'!$C$49*('계산 과정'!$C$32-D1898)+'계산 과정'!$D$49*('계산 과정'!$D$32-E1898)+'계산 과정'!$E$49*'계산 과정'!$E$32,"")</x:f>
        <x:v>-43.59010695386752</x:v>
      </x:c>
      <x:c r="P1898" s="4" t="n">
        <x:f>IF(AND('계산 과정'!$L$7,O1898&lt;&gt;0),('계산 과정'!$L$23-'계산 과정'!$C$49*D1898-'계산 과정'!$D$49*E1898)/O1898,"")</x:f>
        <x:v>-8.176394093809629</x:v>
      </x:c>
      <x:c r="Q1898" s="4" t="str">
        <x:f>IF(AND(ISNUMBER(P1898),P1898&gt;1E-9,P1898&lt;1-1E-9),'계산 과정'!$C$47*(D1898-'계산 과정'!$C$50+P1898*('계산 과정'!$C$32-D1898))+'계산 과정'!$D$47*(E1898-'계산 과정'!$D$50+P1898*('계산 과정'!$D$32-E1898))+'계산 과정'!$E$47*(0-'계산 과정'!$E$50+P1898*('계산 과정'!$E$32-0)),"")</x:f>
      </x:c>
      <x:c r="R1898" s="4" t="str">
        <x:f>IF(AND(ISNUMBER(P1898),P1898&gt;1E-9,P1898&lt;1-1E-9),'계산 과정'!$C$48*(D1898-'계산 과정'!$C$50+P1898*('계산 과정'!$C$32-D1898))+'계산 과정'!$D$48*(E1898-'계산 과정'!$D$50+P1898*('계산 과정'!$D$32-E1898))+'계산 과정'!$E$48*(0-'계산 과정'!$E$50+P1898*('계산 과정'!$E$32-0)),"")</x:f>
      </x:c>
      <x:c r="S1898" s="17" t="n">
        <x:f>IF('계산 과정'!$C$78,IF(AND(ISNUMBER(Q1898),ISNUMBER(R1898),ABS(Q1898-'계산 과정'!$C$88)&lt;='계산 과정'!$D$23/2,ABS(R1898-'계산 과정'!$C$89)&lt;='계산 과정'!$D$24/2),1,0),"")</x:f>
        <x:v>0</x:v>
      </x:c>
      <x:c r="T1898" s="4"/>
      <x:c r="U1898" s="4"/>
      <x:c r="V1898" s="4"/>
      <x:c r="W1898" s="4"/>
      <x:c r="X1898" s="4"/>
      <x:c r="Y1898" s="4"/>
      <x:c r="Z1898" s="4"/>
    </x:row>
    <x:row r="1899" ht="23" customHeight="1">
      <x:c r="A1899" s="17" t="n">
        <x:f>ROW()-6</x:f>
        <x:v>1893</x:v>
      </x:c>
      <x:c r="B1899" s="4" t="n">
        <x:f>IF('계산 과정'!$L$5,'계산 과정'!$L$11*SQRT((A1899+0.5)/'계산 과정'!$L$30),"")</x:f>
        <x:v>144.23110727123847</x:v>
      </x:c>
      <x:c r="C1899" s="4" t="n">
        <x:f>A1899*PI()*(3-SQRT(5))</x:f>
        <x:v>4543.130393876339</x:v>
      </x:c>
      <x:c r="D1899" s="4" t="n">
        <x:f>IF('계산 과정'!$L$5,B1899*COS(C1899),"")</x:f>
        <x:v>133.54186313710434</x:v>
      </x:c>
      <x:c r="E1899" s="4" t="n">
        <x:f>IF('계산 과정'!$L$5,B1899*SIN(C1899),"")</x:f>
        <x:v>54.49021099755803</x:v>
      </x:c>
      <x:c r="F1899" s="4" t="n">
        <x:f>IF('계산 과정'!$L$7,'계산 과정'!$L$22+'계산 과정'!$C$49*D1899+'계산 과정'!$D$49*E1899,"")</x:f>
        <x:v>555.5716430034677</x:v>
      </x:c>
      <x:c r="G1899" s="4" t="n">
        <x:f>IF('계산 과정'!$L$7,IF(ABS(F1899)&gt;=1E-12*MAX(1,SQRT((D1899-'계산 과정'!$C$33)^2+(E1899-'계산 과정'!$D$33)^2+'계산 과정'!$E$33^2)),('계산 과정'!$L$23-'계산 과정'!$C$49*D1899-'계산 과정'!$D$49*E1899)/F1899,""),"")</x:f>
        <x:v>0.8899452720869814</x:v>
      </x:c>
      <x:c r="H1899" s="4" t="n">
        <x:f>IF(AND(ISNUMBER(G1899),G1899&gt;0),('계산 과정'!$D$56+'계산 과정'!$D$57*D1899+'계산 과정'!$D$58*E1899)/F1899,"")</x:f>
        <x:v>178.4644268565378</x:v>
      </x:c>
      <x:c r="I1899" s="4" t="n">
        <x:f>IF(AND(ISNUMBER(G1899),G1899&gt;0),('계산 과정'!$E$56+'계산 과정'!$E$57*D1899+'계산 과정'!$E$58*E1899)/F1899,"")</x:f>
        <x:v>102.98351664985684</x:v>
      </x:c>
      <x:c r="J1899" s="4" t="n">
        <x:f>IF('계산 과정'!$L$5,'계산 과정'!$D$6+'계산 과정'!$C$35*D1899+'계산 과정'!$D$35*E1899,"")</x:f>
        <x:v>555.5716430034677</x:v>
      </x:c>
      <x:c r="K1899" s="4" t="n">
        <x:f>IF(AND('계산 과정'!$L$6,J1899&gt;0),'계산 과정'!$D$10*('계산 과정'!$C$38*(D1899-'계산 과정'!$C$32)+'계산 과정'!$D$38*(E1899-'계산 과정'!$D$32)-'계산 과정'!$E$38*'계산 과정'!$E$32)/J1899,"")</x:f>
        <x:v>1.3597289665260026</x:v>
      </x:c>
      <x:c r="L1899" s="4" t="n">
        <x:f>IF(AND('계산 과정'!$L$6,J1899&gt;0),'계산 과정'!$D$10*('계산 과정'!$C$39*(D1899-'계산 과정'!$C$32)+'계산 과정'!$D$39*(E1899-'계산 과정'!$D$32)-'계산 과정'!$E$39*'계산 과정'!$E$32)/J1899,"")</x:f>
        <x:v>0.7846363173322426</x:v>
      </x:c>
      <x:c r="M1899" s="17" t="n">
        <x:f>IF('계산 과정'!$L$6,IF(J1899&lt;=0,0,IF(AND(ABS(K1899)&lt;='계산 과정'!$D$11/2,ABS(L1899)&lt;='계산 과정'!$D$12/2),1,0)),"")</x:f>
        <x:v>1</x:v>
      </x:c>
      <x:c r="N1899" s="17" t="n">
        <x:f>IF('계산 과정'!$C$78,IF(AND(ISNUMBER(H1899),ISNUMBER(I1899),ABS(H1899-'계산 과정'!$C$88)&lt;='계산 과정'!$D$23/2,ABS(I1899-'계산 과정'!$C$89)&lt;='계산 과정'!$D$24/2),1,0),"")</x:f>
        <x:v>1</x:v>
      </x:c>
      <x:c r="O1899" s="4" t="n">
        <x:f>IF('계산 과정'!$L$7,'계산 과정'!$C$49*('계산 과정'!$C$32-D1899)+'계산 과정'!$D$49*('계산 과정'!$D$32-E1899)+'계산 과정'!$E$49*'계산 과정'!$E$32,"")</x:f>
        <x:v>94.42835699653241</x:v>
      </x:c>
      <x:c r="P1899" s="4" t="n">
        <x:f>IF(AND('계산 과정'!$L$7,O1899&lt;&gt;0),('계산 과정'!$L$23-'계산 과정'!$C$49*D1899-'계산 과정'!$D$49*E1899)/O1899,"")</x:f>
        <x:v>5.236015670744845</x:v>
      </x:c>
      <x:c r="Q1899" s="4" t="str">
        <x:f>IF(AND(ISNUMBER(P1899),P1899&gt;1E-9,P1899&lt;1-1E-9),'계산 과정'!$C$47*(D1899-'계산 과정'!$C$50+P1899*('계산 과정'!$C$32-D1899))+'계산 과정'!$D$47*(E1899-'계산 과정'!$D$50+P1899*('계산 과정'!$D$32-E1899))+'계산 과정'!$E$47*(0-'계산 과정'!$E$50+P1899*('계산 과정'!$E$32-0)),"")</x:f>
      </x:c>
      <x:c r="R1899" s="4" t="str">
        <x:f>IF(AND(ISNUMBER(P1899),P1899&gt;1E-9,P1899&lt;1-1E-9),'계산 과정'!$C$48*(D1899-'계산 과정'!$C$50+P1899*('계산 과정'!$C$32-D1899))+'계산 과정'!$D$48*(E1899-'계산 과정'!$D$50+P1899*('계산 과정'!$D$32-E1899))+'계산 과정'!$E$48*(0-'계산 과정'!$E$50+P1899*('계산 과정'!$E$32-0)),"")</x:f>
      </x:c>
      <x:c r="S1899" s="17" t="n">
        <x:f>IF('계산 과정'!$C$78,IF(AND(ISNUMBER(Q1899),ISNUMBER(R1899),ABS(Q1899-'계산 과정'!$C$88)&lt;='계산 과정'!$D$23/2,ABS(R1899-'계산 과정'!$C$89)&lt;='계산 과정'!$D$24/2),1,0),"")</x:f>
        <x:v>0</x:v>
      </x:c>
      <x:c r="T1899" s="4"/>
      <x:c r="U1899" s="4"/>
      <x:c r="V1899" s="4"/>
      <x:c r="W1899" s="4"/>
      <x:c r="X1899" s="4"/>
      <x:c r="Y1899" s="4"/>
      <x:c r="Z1899" s="4"/>
    </x:row>
    <x:row r="1900" ht="23" customHeight="1">
      <x:c r="A1900" s="17" t="n">
        <x:f>ROW()-6</x:f>
        <x:v>1894</x:v>
      </x:c>
      <x:c r="B1900" s="4" t="n">
        <x:f>IF('계산 과정'!$L$5,'계산 과정'!$L$11*SQRT((A1900+0.5)/'계산 과정'!$L$30),"")</x:f>
        <x:v>144.2691880923037</x:v>
      </x:c>
      <x:c r="C1900" s="4" t="n">
        <x:f>A1900*PI()*(3-SQRT(5))</x:f>
        <x:v>4545.530357106069</x:v>
      </x:c>
      <x:c r="D1900" s="4" t="n">
        <x:f>IF('계산 과정'!$L$5,B1900*COS(C1900),"")</x:f>
        <x:v>-135.3129392180584</x:v>
      </x:c>
      <x:c r="E1900" s="4" t="n">
        <x:f>IF('계산 과정'!$L$5,B1900*SIN(C1900),"")</x:f>
        <x:v>50.0400550857264</x:v>
      </x:c>
      <x:c r="F1900" s="4" t="n">
        <x:f>IF('계산 과정'!$L$7,'계산 과정'!$L$22+'계산 과정'!$C$49*D1900+'계산 과정'!$D$49*E1900,"")</x:f>
        <x:v>745.6806969033722</x:v>
      </x:c>
      <x:c r="G1900" s="4" t="n">
        <x:f>IF('계산 과정'!$L$7,IF(ABS(F1900)&gt;=1E-12*MAX(1,SQRT((D1900-'계산 과정'!$C$33)^2+(E1900-'계산 과정'!$D$33)^2+'계산 과정'!$E$33^2)),('계산 과정'!$L$23-'계산 과정'!$C$49*D1900-'계산 과정'!$D$49*E1900)/F1900,""),"")</x:f>
        <x:v>0.4081094017323912</x:v>
      </x:c>
      <x:c r="H1900" s="4" t="n">
        <x:f>IF(AND(ISNUMBER(G1900),G1900&gt;0),('계산 과정'!$D$56+'계산 과정'!$D$57*D1900+'계산 과정'!$D$58*E1900)/F1900,"")</x:f>
        <x:v>-134.72888887394586</x:v>
      </x:c>
      <x:c r="I1900" s="4" t="n">
        <x:f>IF(AND(ISNUMBER(G1900),G1900&gt;0),('계산 과정'!$E$56+'계산 과정'!$E$57*D1900+'계산 과정'!$E$58*E1900)/F1900,"")</x:f>
        <x:v>70.4618720294181</x:v>
      </x:c>
      <x:c r="J1900" s="4" t="n">
        <x:f>IF('계산 과정'!$L$5,'계산 과정'!$D$6+'계산 과정'!$C$35*D1900+'계산 과정'!$D$35*E1900,"")</x:f>
        <x:v>745.6806969033722</x:v>
      </x:c>
      <x:c r="K1900" s="4" t="n">
        <x:f>IF(AND('계산 과정'!$L$6,J1900&gt;0),'계산 과정'!$D$10*('계산 과정'!$C$38*(D1900-'계산 과정'!$C$32)+'계산 과정'!$D$38*(E1900-'계산 과정'!$D$32)-'계산 과정'!$E$38*'계산 과정'!$E$32)/J1900,"")</x:f>
        <x:v>-1.0265058199919674</x:v>
      </x:c>
      <x:c r="L1900" s="4" t="n">
        <x:f>IF(AND('계산 과정'!$L$6,J1900&gt;0),'계산 과정'!$D$10*('계산 과정'!$C$39*(D1900-'계산 과정'!$C$32)+'계산 과정'!$D$39*(E1900-'계산 과정'!$D$32)-'계산 과정'!$E$39*'계산 과정'!$E$32)/J1900,"")</x:f>
        <x:v>0.536852358319376</x:v>
      </x:c>
      <x:c r="M1900" s="17" t="n">
        <x:f>IF('계산 과정'!$L$6,IF(J1900&lt;=0,0,IF(AND(ABS(K1900)&lt;='계산 과정'!$D$11/2,ABS(L1900)&lt;='계산 과정'!$D$12/2),1,0)),"")</x:f>
        <x:v>1</x:v>
      </x:c>
      <x:c r="N1900" s="17" t="n">
        <x:f>IF('계산 과정'!$C$78,IF(AND(ISNUMBER(H1900),ISNUMBER(I1900),ABS(H1900-'계산 과정'!$C$88)&lt;='계산 과정'!$D$23/2,ABS(I1900-'계산 과정'!$C$89)&lt;='계산 과정'!$D$24/2),1,0),"")</x:f>
        <x:v>1</x:v>
      </x:c>
      <x:c r="O1900" s="4" t="n">
        <x:f>IF('계산 과정'!$L$7,'계산 과정'!$C$49*('계산 과정'!$C$32-D1900)+'계산 과정'!$D$49*('계산 과정'!$D$32-E1900)+'계산 과정'!$E$49*'계산 과정'!$E$32,"")</x:f>
        <x:v>-95.68069690337211</x:v>
      </x:c>
      <x:c r="P1900" s="4" t="n">
        <x:f>IF(AND('계산 과정'!$L$7,O1900&lt;&gt;0),('계산 과정'!$L$23-'계산 과정'!$C$49*D1900-'계산 과정'!$D$49*E1900)/O1900,"")</x:f>
        <x:v>-3.1805715567055253</x:v>
      </x:c>
      <x:c r="Q1900" s="4" t="str">
        <x:f>IF(AND(ISNUMBER(P1900),P1900&gt;1E-9,P1900&lt;1-1E-9),'계산 과정'!$C$47*(D1900-'계산 과정'!$C$50+P1900*('계산 과정'!$C$32-D1900))+'계산 과정'!$D$47*(E1900-'계산 과정'!$D$50+P1900*('계산 과정'!$D$32-E1900))+'계산 과정'!$E$47*(0-'계산 과정'!$E$50+P1900*('계산 과정'!$E$32-0)),"")</x:f>
      </x:c>
      <x:c r="R1900" s="4" t="str">
        <x:f>IF(AND(ISNUMBER(P1900),P1900&gt;1E-9,P1900&lt;1-1E-9),'계산 과정'!$C$48*(D1900-'계산 과정'!$C$50+P1900*('계산 과정'!$C$32-D1900))+'계산 과정'!$D$48*(E1900-'계산 과정'!$D$50+P1900*('계산 과정'!$D$32-E1900))+'계산 과정'!$E$48*(0-'계산 과정'!$E$50+P1900*('계산 과정'!$E$32-0)),"")</x:f>
      </x:c>
      <x:c r="S1900" s="17" t="n">
        <x:f>IF('계산 과정'!$C$78,IF(AND(ISNUMBER(Q1900),ISNUMBER(R1900),ABS(Q1900-'계산 과정'!$C$88)&lt;='계산 과정'!$D$23/2,ABS(R1900-'계산 과정'!$C$89)&lt;='계산 과정'!$D$24/2),1,0),"")</x:f>
        <x:v>0</x:v>
      </x:c>
      <x:c r="T1900" s="4"/>
      <x:c r="U1900" s="4"/>
      <x:c r="V1900" s="4"/>
      <x:c r="W1900" s="4"/>
      <x:c r="X1900" s="4"/>
      <x:c r="Y1900" s="4"/>
      <x:c r="Z1900" s="4"/>
    </x:row>
    <x:row r="1901" ht="23" customHeight="1">
      <x:c r="A1901" s="17" t="n">
        <x:f>ROW()-6</x:f>
        <x:v>1895</x:v>
      </x:c>
      <x:c r="B1901" s="4" t="n">
        <x:f>IF('계산 과정'!$L$5,'계산 과정'!$L$11*SQRT((A1901+0.5)/'계산 과정'!$L$30),"")</x:f>
        <x:v>144.3072588643326</x:v>
      </x:c>
      <x:c r="C1901" s="4" t="n">
        <x:f>A1901*PI()*(3-SQRT(5))</x:f>
        <x:v>4547.930320335798</x:v>
      </x:c>
      <x:c r="D1901" s="4" t="n">
        <x:f>IF('계산 과정'!$L$5,B1901*COS(C1901),"")</x:f>
        <x:v>65.99138832536102</x:v>
      </x:c>
      <x:c r="E1901" s="4" t="n">
        <x:f>IF('계산 과정'!$L$5,B1901*SIN(C1901),"")</x:f>
        <x:v>-128.33441326405364</x:v>
      </x:c>
      <x:c r="F1901" s="4" t="n">
        <x:f>IF('계산 과정'!$L$7,'계산 과정'!$L$22+'계산 과정'!$C$49*D1901+'계산 과정'!$D$49*E1901,"")</x:f>
        <x:v>603.3370418152225</x:v>
      </x:c>
      <x:c r="G1901" s="4" t="n">
        <x:f>IF('계산 과정'!$L$7,IF(ABS(F1901)&gt;=1E-12*MAX(1,SQRT((D1901-'계산 과정'!$C$33)^2+(E1901-'계산 과정'!$D$33)^2+'계산 과정'!$E$33^2)),('계산 과정'!$L$23-'계산 과정'!$C$49*D1901-'계산 과정'!$D$49*E1901)/F1901,""),"")</x:f>
        <x:v>0.7403207945610808</x:v>
      </x:c>
      <x:c r="H1901" s="4" t="n">
        <x:f>IF(AND(ISNUMBER(G1901),G1901&gt;0),('계산 과정'!$D$56+'계산 과정'!$D$57*D1901+'계산 과정'!$D$58*E1901)/F1901,"")</x:f>
        <x:v>81.20851646470244</x:v>
      </x:c>
      <x:c r="I1901" s="4" t="n">
        <x:f>IF(AND(ISNUMBER(G1901),G1901&gt;0),('계산 과정'!$E$56+'계산 과정'!$E$57*D1901+'계산 과정'!$E$58*E1901)/F1901,"")</x:f>
        <x:v>-223.3430480612279</x:v>
      </x:c>
      <x:c r="J1901" s="4" t="n">
        <x:f>IF('계산 과정'!$L$5,'계산 과정'!$D$6+'계산 과정'!$C$35*D1901+'계산 과정'!$D$35*E1901,"")</x:f>
        <x:v>603.3370418152225</x:v>
      </x:c>
      <x:c r="K1901" s="4" t="n">
        <x:f>IF(AND('계산 과정'!$L$6,J1901&gt;0),'계산 과정'!$D$10*('계산 과정'!$C$38*(D1901-'계산 과정'!$C$32)+'계산 과정'!$D$38*(E1901-'계산 과정'!$D$32)-'계산 과정'!$E$38*'계산 과정'!$E$32)/J1901,"")</x:f>
        <x:v>0.6187315540167814</x:v>
      </x:c>
      <x:c r="L1901" s="4" t="n">
        <x:f>IF(AND('계산 과정'!$L$6,J1901&gt;0),'계산 과정'!$D$10*('계산 과정'!$C$39*(D1901-'계산 과정'!$C$32)+'계산 과정'!$D$39*(E1901-'계산 과정'!$D$32)-'계산 과정'!$E$39*'계산 과정'!$E$32)/J1901,"")</x:f>
        <x:v>-1.7016613185617366</x:v>
      </x:c>
      <x:c r="M1901" s="17" t="n">
        <x:f>IF('계산 과정'!$L$6,IF(J1901&lt;=0,0,IF(AND(ABS(K1901)&lt;='계산 과정'!$D$11/2,ABS(L1901)&lt;='계산 과정'!$D$12/2),1,0)),"")</x:f>
        <x:v>1</x:v>
      </x:c>
      <x:c r="N1901" s="17" t="n">
        <x:f>IF('계산 과정'!$C$78,IF(AND(ISNUMBER(H1901),ISNUMBER(I1901),ABS(H1901-'계산 과정'!$C$88)&lt;='계산 과정'!$D$23/2,ABS(I1901-'계산 과정'!$C$89)&lt;='계산 과정'!$D$24/2),1,0),"")</x:f>
        <x:v>1</x:v>
      </x:c>
      <x:c r="O1901" s="4" t="n">
        <x:f>IF('계산 과정'!$L$7,'계산 과정'!$C$49*('계산 과정'!$C$32-D1901)+'계산 과정'!$D$49*('계산 과정'!$D$32-E1901)+'계산 과정'!$E$49*'계산 과정'!$E$32,"")</x:f>
        <x:v>46.662958184777665</x:v>
      </x:c>
      <x:c r="P1901" s="4" t="n">
        <x:f>IF(AND('계산 과정'!$L$7,O1901&lt;&gt;0),('계산 과정'!$L$23-'계산 과정'!$C$49*D1901-'계산 과정'!$D$49*E1901)/O1901,"")</x:f>
        <x:v>9.57210977529683</x:v>
      </x:c>
      <x:c r="Q1901" s="4" t="str">
        <x:f>IF(AND(ISNUMBER(P1901),P1901&gt;1E-9,P1901&lt;1-1E-9),'계산 과정'!$C$47*(D1901-'계산 과정'!$C$50+P1901*('계산 과정'!$C$32-D1901))+'계산 과정'!$D$47*(E1901-'계산 과정'!$D$50+P1901*('계산 과정'!$D$32-E1901))+'계산 과정'!$E$47*(0-'계산 과정'!$E$50+P1901*('계산 과정'!$E$32-0)),"")</x:f>
      </x:c>
      <x:c r="R1901" s="4" t="str">
        <x:f>IF(AND(ISNUMBER(P1901),P1901&gt;1E-9,P1901&lt;1-1E-9),'계산 과정'!$C$48*(D1901-'계산 과정'!$C$50+P1901*('계산 과정'!$C$32-D1901))+'계산 과정'!$D$48*(E1901-'계산 과정'!$D$50+P1901*('계산 과정'!$D$32-E1901))+'계산 과정'!$E$48*(0-'계산 과정'!$E$50+P1901*('계산 과정'!$E$32-0)),"")</x:f>
      </x:c>
      <x:c r="S1901" s="17" t="n">
        <x:f>IF('계산 과정'!$C$78,IF(AND(ISNUMBER(Q1901),ISNUMBER(R1901),ABS(Q1901-'계산 과정'!$C$88)&lt;='계산 과정'!$D$23/2,ABS(R1901-'계산 과정'!$C$89)&lt;='계산 과정'!$D$24/2),1,0),"")</x:f>
        <x:v>0</x:v>
      </x:c>
      <x:c r="T1901" s="4"/>
      <x:c r="U1901" s="4"/>
      <x:c r="V1901" s="4"/>
      <x:c r="W1901" s="4"/>
      <x:c r="X1901" s="4"/>
      <x:c r="Y1901" s="4"/>
      <x:c r="Z1901" s="4"/>
    </x:row>
    <x:row r="1902" ht="23" customHeight="1">
      <x:c r="A1902" s="17" t="n">
        <x:f>ROW()-6</x:f>
        <x:v>1896</x:v>
      </x:c>
      <x:c r="B1902" s="4" t="n">
        <x:f>IF('계산 과정'!$L$5,'계산 과정'!$L$11*SQRT((A1902+0.5)/'계산 과정'!$L$30),"")</x:f>
        <x:v>144.34531959527644</x:v>
      </x:c>
      <x:c r="C1902" s="4" t="n">
        <x:f>A1902*PI()*(3-SQRT(5))</x:f>
        <x:v>4550.330283565526</x:v>
      </x:c>
      <x:c r="D1902" s="4" t="n">
        <x:f>IF('계산 과정'!$L$5,B1902*COS(C1902),"")</x:f>
        <x:v>38.038684583709966</x:v>
      </x:c>
      <x:c r="E1902" s="4" t="n">
        <x:f>IF('계산 과정'!$L$5,B1902*SIN(C1902),"")</x:f>
        <x:v>139.24306002168842</x:v>
      </x:c>
      <x:c r="F1902" s="4" t="n">
        <x:f>IF('계산 과정'!$L$7,'계산 과정'!$L$22+'계산 과정'!$C$49*D1902+'계산 과정'!$D$49*E1902,"")</x:f>
        <x:v>623.1025881834425</x:v>
      </x:c>
      <x:c r="G1902" s="4" t="n">
        <x:f>IF('계산 과정'!$L$7,IF(ABS(F1902)&gt;=1E-12*MAX(1,SQRT((D1902-'계산 과정'!$C$33)^2+(E1902-'계산 과정'!$D$33)^2+'계산 과정'!$E$33^2)),('계산 과정'!$L$23-'계산 과정'!$C$49*D1902-'계산 과정'!$D$49*E1902)/F1902,""),"")</x:f>
        <x:v>0.6851157737301488</x:v>
      </x:c>
      <x:c r="H1902" s="4" t="n">
        <x:f>IF(AND(ISNUMBER(G1902),G1902&gt;0),('계산 과정'!$D$56+'계산 과정'!$D$57*D1902+'계산 과정'!$D$58*E1902)/F1902,"")</x:f>
        <x:v>45.32525292459663</x:v>
      </x:c>
      <x:c r="I1902" s="4" t="n">
        <x:f>IF(AND(ISNUMBER(G1902),G1902&gt;0),('계산 과정'!$E$56+'계산 과정'!$E$57*D1902+'계산 과정'!$E$58*E1902)/F1902,"")</x:f>
        <x:v>234.640676825001</x:v>
      </x:c>
      <x:c r="J1902" s="4" t="n">
        <x:f>IF('계산 과정'!$L$5,'계산 과정'!$D$6+'계산 과정'!$C$35*D1902+'계산 과정'!$D$35*E1902,"")</x:f>
        <x:v>623.1025881834425</x:v>
      </x:c>
      <x:c r="K1902" s="4" t="n">
        <x:f>IF(AND('계산 과정'!$L$6,J1902&gt;0),'계산 과정'!$D$10*('계산 과정'!$C$38*(D1902-'계산 과정'!$C$32)+'계산 과정'!$D$38*(E1902-'계산 과정'!$D$32)-'계산 과정'!$E$38*'계산 과정'!$E$32)/J1902,"")</x:f>
        <x:v>0.34533526037788</x:v>
      </x:c>
      <x:c r="L1902" s="4" t="n">
        <x:f>IF(AND('계산 과정'!$L$6,J1902&gt;0),'계산 과정'!$D$10*('계산 과정'!$C$39*(D1902-'계산 과정'!$C$32)+'계산 과정'!$D$39*(E1902-'계산 과정'!$D$32)-'계산 과정'!$E$39*'계산 과정'!$E$32)/J1902,"")</x:f>
        <x:v>1.7877384900952458</x:v>
      </x:c>
      <x:c r="M1902" s="17" t="n">
        <x:f>IF('계산 과정'!$L$6,IF(J1902&lt;=0,0,IF(AND(ABS(K1902)&lt;='계산 과정'!$D$11/2,ABS(L1902)&lt;='계산 과정'!$D$12/2),1,0)),"")</x:f>
        <x:v>1</x:v>
      </x:c>
      <x:c r="N1902" s="17" t="n">
        <x:f>IF('계산 과정'!$C$78,IF(AND(ISNUMBER(H1902),ISNUMBER(I1902),ABS(H1902-'계산 과정'!$C$88)&lt;='계산 과정'!$D$23/2,ABS(I1902-'계산 과정'!$C$89)&lt;='계산 과정'!$D$24/2),1,0),"")</x:f>
        <x:v>1</x:v>
      </x:c>
      <x:c r="O1902" s="4" t="n">
        <x:f>IF('계산 과정'!$L$7,'계산 과정'!$C$49*('계산 과정'!$C$32-D1902)+'계산 과정'!$D$49*('계산 과정'!$D$32-E1902)+'계산 과정'!$E$49*'계산 과정'!$E$32,"")</x:f>
        <x:v>26.897411816557565</x:v>
      </x:c>
      <x:c r="P1902" s="4" t="n">
        <x:f>IF(AND('계산 과정'!$L$7,O1902&lt;&gt;0),('계산 과정'!$L$23-'계산 과정'!$C$49*D1902-'계산 과정'!$D$49*E1902)/O1902,"")</x:f>
        <x:v>15.87131931979296</x:v>
      </x:c>
      <x:c r="Q1902" s="4" t="str">
        <x:f>IF(AND(ISNUMBER(P1902),P1902&gt;1E-9,P1902&lt;1-1E-9),'계산 과정'!$C$47*(D1902-'계산 과정'!$C$50+P1902*('계산 과정'!$C$32-D1902))+'계산 과정'!$D$47*(E1902-'계산 과정'!$D$50+P1902*('계산 과정'!$D$32-E1902))+'계산 과정'!$E$47*(0-'계산 과정'!$E$50+P1902*('계산 과정'!$E$32-0)),"")</x:f>
      </x:c>
      <x:c r="R1902" s="4" t="str">
        <x:f>IF(AND(ISNUMBER(P1902),P1902&gt;1E-9,P1902&lt;1-1E-9),'계산 과정'!$C$48*(D1902-'계산 과정'!$C$50+P1902*('계산 과정'!$C$32-D1902))+'계산 과정'!$D$48*(E1902-'계산 과정'!$D$50+P1902*('계산 과정'!$D$32-E1902))+'계산 과정'!$E$48*(0-'계산 과정'!$E$50+P1902*('계산 과정'!$E$32-0)),"")</x:f>
      </x:c>
      <x:c r="S1902" s="17" t="n">
        <x:f>IF('계산 과정'!$C$78,IF(AND(ISNUMBER(Q1902),ISNUMBER(R1902),ABS(Q1902-'계산 과정'!$C$88)&lt;='계산 과정'!$D$23/2,ABS(R1902-'계산 과정'!$C$89)&lt;='계산 과정'!$D$24/2),1,0),"")</x:f>
        <x:v>0</x:v>
      </x:c>
      <x:c r="T1902" s="4"/>
      <x:c r="U1902" s="4"/>
      <x:c r="V1902" s="4"/>
      <x:c r="W1902" s="4"/>
      <x:c r="X1902" s="4"/>
      <x:c r="Y1902" s="4"/>
      <x:c r="Z1902" s="4"/>
    </x:row>
    <x:row r="1903" ht="23" customHeight="1">
      <x:c r="A1903" s="17" t="n">
        <x:f>ROW()-6</x:f>
        <x:v>1897</x:v>
      </x:c>
      <x:c r="B1903" s="4" t="n">
        <x:f>IF('계산 과정'!$L$5,'계산 과정'!$L$11*SQRT((A1903+0.5)/'계산 과정'!$L$30),"")</x:f>
        <x:v>144.38337029307598</x:v>
      </x:c>
      <x:c r="C1903" s="4" t="n">
        <x:f>A1903*PI()*(3-SQRT(5))</x:f>
        <x:v>4552.730246795255</x:v>
      </x:c>
      <x:c r="D1903" s="4" t="n">
        <x:f>IF('계산 과정'!$L$5,B1903*COS(C1903),"")</x:f>
        <x:v>-122.13806594797823</x:v>
      </x:c>
      <x:c r="E1903" s="4" t="n">
        <x:f>IF('계산 과정'!$L$5,B1903*SIN(C1903),"")</x:f>
        <x:v>-76.99902897877878</x:v>
      </x:c>
      <x:c r="F1903" s="4" t="n">
        <x:f>IF('계산 과정'!$L$7,'계산 과정'!$L$22+'계산 과정'!$C$49*D1903+'계산 과정'!$D$49*E1903,"")</x:f>
        <x:v>736.3646546728252</x:v>
      </x:c>
      <x:c r="G1903" s="4" t="n">
        <x:f>IF('계산 과정'!$L$7,IF(ABS(F1903)&gt;=1E-12*MAX(1,SQRT((D1903-'계산 과정'!$C$33)^2+(E1903-'계산 과정'!$D$33)^2+'계산 과정'!$E$33^2)),('계산 과정'!$L$23-'계산 과정'!$C$49*D1903-'계산 과정'!$D$49*E1903)/F1903,""),"")</x:f>
        <x:v>0.4259239540313439</x:v>
      </x:c>
      <x:c r="H1903" s="4" t="n">
        <x:f>IF(AND(ISNUMBER(G1903),G1903&gt;0),('계산 과정'!$D$56+'계산 과정'!$D$57*D1903+'계산 과정'!$D$58*E1903)/F1903,"")</x:f>
        <x:v>-123.14942987962657</x:v>
      </x:c>
      <x:c r="I1903" s="4" t="n">
        <x:f>IF(AND(ISNUMBER(G1903),G1903&gt;0),('계산 과정'!$E$56+'계산 과정'!$E$57*D1903+'계산 과정'!$E$58*E1903)/F1903,"")</x:f>
        <x:v>-109.79475985799426</x:v>
      </x:c>
      <x:c r="J1903" s="4" t="n">
        <x:f>IF('계산 과정'!$L$5,'계산 과정'!$D$6+'계산 과정'!$C$35*D1903+'계산 과정'!$D$35*E1903,"")</x:f>
        <x:v>736.3646546728252</x:v>
      </x:c>
      <x:c r="K1903" s="4" t="n">
        <x:f>IF(AND('계산 과정'!$L$6,J1903&gt;0),'계산 과정'!$D$10*('계산 과정'!$C$38*(D1903-'계산 과정'!$C$32)+'계산 과정'!$D$38*(E1903-'계산 과정'!$D$32)-'계산 과정'!$E$38*'계산 과정'!$E$32)/J1903,"")</x:f>
        <x:v>-0.9382813705114396</x:v>
      </x:c>
      <x:c r="L1903" s="4" t="n">
        <x:f>IF(AND('계산 과정'!$L$6,J1903&gt;0),'계산 과정'!$D$10*('계산 과정'!$C$39*(D1903-'계산 과정'!$C$32)+'계산 과정'!$D$39*(E1903-'계산 과정'!$D$32)-'계산 과정'!$E$39*'계산 과정'!$E$32)/J1903,"")</x:f>
        <x:v>-0.8365315036799563</x:v>
      </x:c>
      <x:c r="M1903" s="17" t="n">
        <x:f>IF('계산 과정'!$L$6,IF(J1903&lt;=0,0,IF(AND(ABS(K1903)&lt;='계산 과정'!$D$11/2,ABS(L1903)&lt;='계산 과정'!$D$12/2),1,0)),"")</x:f>
        <x:v>1</x:v>
      </x:c>
      <x:c r="N1903" s="17" t="n">
        <x:f>IF('계산 과정'!$C$78,IF(AND(ISNUMBER(H1903),ISNUMBER(I1903),ABS(H1903-'계산 과정'!$C$88)&lt;='계산 과정'!$D$23/2,ABS(I1903-'계산 과정'!$C$89)&lt;='계산 과정'!$D$24/2),1,0),"")</x:f>
        <x:v>1</x:v>
      </x:c>
      <x:c r="O1903" s="4" t="n">
        <x:f>IF('계산 과정'!$L$7,'계산 과정'!$C$49*('계산 과정'!$C$32-D1903)+'계산 과정'!$D$49*('계산 과정'!$D$32-E1903)+'계산 과정'!$E$49*'계산 과정'!$E$32,"")</x:f>
        <x:v>-86.36465467282505</x:v>
      </x:c>
      <x:c r="P1903" s="4" t="n">
        <x:f>IF(AND('계산 과정'!$L$7,O1903&lt;&gt;0),('계산 과정'!$L$23-'계산 과정'!$C$49*D1903-'계산 과정'!$D$49*E1903)/O1903,"")</x:f>
        <x:v>-3.631524337303479</x:v>
      </x:c>
      <x:c r="Q1903" s="4" t="str">
        <x:f>IF(AND(ISNUMBER(P1903),P1903&gt;1E-9,P1903&lt;1-1E-9),'계산 과정'!$C$47*(D1903-'계산 과정'!$C$50+P1903*('계산 과정'!$C$32-D1903))+'계산 과정'!$D$47*(E1903-'계산 과정'!$D$50+P1903*('계산 과정'!$D$32-E1903))+'계산 과정'!$E$47*(0-'계산 과정'!$E$50+P1903*('계산 과정'!$E$32-0)),"")</x:f>
      </x:c>
      <x:c r="R1903" s="4" t="str">
        <x:f>IF(AND(ISNUMBER(P1903),P1903&gt;1E-9,P1903&lt;1-1E-9),'계산 과정'!$C$48*(D1903-'계산 과정'!$C$50+P1903*('계산 과정'!$C$32-D1903))+'계산 과정'!$D$48*(E1903-'계산 과정'!$D$50+P1903*('계산 과정'!$D$32-E1903))+'계산 과정'!$E$48*(0-'계산 과정'!$E$50+P1903*('계산 과정'!$E$32-0)),"")</x:f>
      </x:c>
      <x:c r="S1903" s="17" t="n">
        <x:f>IF('계산 과정'!$C$78,IF(AND(ISNUMBER(Q1903),ISNUMBER(R1903),ABS(Q1903-'계산 과정'!$C$88)&lt;='계산 과정'!$D$23/2,ABS(R1903-'계산 과정'!$C$89)&lt;='계산 과정'!$D$24/2),1,0),"")</x:f>
        <x:v>0</x:v>
      </x:c>
      <x:c r="T1903" s="4"/>
      <x:c r="U1903" s="4"/>
      <x:c r="V1903" s="4"/>
      <x:c r="W1903" s="4"/>
      <x:c r="X1903" s="4"/>
      <x:c r="Y1903" s="4"/>
      <x:c r="Z1903" s="4"/>
    </x:row>
    <x:row r="1904" ht="23" customHeight="1">
      <x:c r="A1904" s="17" t="n">
        <x:f>ROW()-6</x:f>
        <x:v>1898</x:v>
      </x:c>
      <x:c r="B1904" s="4" t="n">
        <x:f>IF('계산 과정'!$L$5,'계산 과정'!$L$11*SQRT((A1904+0.5)/'계산 과정'!$L$30),"")</x:f>
        <x:v>144.42141096566152</x:v>
      </x:c>
      <x:c r="C1904" s="4" t="n">
        <x:f>A1904*PI()*(3-SQRT(5))</x:f>
        <x:v>4555.130210024983</x:v>
      </x:c>
      <x:c r="D1904" s="4" t="n">
        <x:f>IF('계산 과정'!$L$5,B1904*COS(C1904),"")</x:f>
        <x:v>142.11033733605612</x:v>
      </x:c>
      <x:c r="E1904" s="4" t="n">
        <x:f>IF('계산 과정'!$L$5,B1904*SIN(C1904),"")</x:f>
        <x:v>-25.73316862620754</x:v>
      </x:c>
      <x:c r="F1904" s="4" t="n">
        <x:f>IF('계산 과정'!$L$7,'계산 과정'!$L$22+'계산 과정'!$C$49*D1904+'계산 과정'!$D$49*E1904,"")</x:f>
        <x:v>549.5128167929669</x:v>
      </x:c>
      <x:c r="G1904" s="4" t="n">
        <x:f>IF('계산 과정'!$L$7,IF(ABS(F1904)&gt;=1E-12*MAX(1,SQRT((D1904-'계산 과정'!$C$33)^2+(E1904-'계산 과정'!$D$33)^2+'계산 과정'!$E$33^2)),('계산 과정'!$L$23-'계산 과정'!$C$49*D1904-'계산 과정'!$D$49*E1904)/F1904,""),"")</x:f>
        <x:v>0.9107834574777451</x:v>
      </x:c>
      <x:c r="H1904" s="4" t="n">
        <x:f>IF(AND(ISNUMBER(G1904),G1904&gt;0),('계산 과정'!$D$56+'계산 과정'!$D$57*D1904+'계산 과정'!$D$58*E1904)/F1904,"")</x:f>
        <x:v>192.0092473605342</x:v>
      </x:c>
      <x:c r="I1904" s="4" t="n">
        <x:f>IF(AND(ISNUMBER(G1904),G1904&gt;0),('계산 과정'!$E$56+'계산 과정'!$E$57*D1904+'계산 과정'!$E$58*E1904)/F1904,"")</x:f>
        <x:v>-49.17051291944268</x:v>
      </x:c>
      <x:c r="J1904" s="4" t="n">
        <x:f>IF('계산 과정'!$L$5,'계산 과정'!$D$6+'계산 과정'!$C$35*D1904+'계산 과정'!$D$35*E1904,"")</x:f>
        <x:v>549.5128167929669</x:v>
      </x:c>
      <x:c r="K1904" s="4" t="n">
        <x:f>IF(AND('계산 과정'!$L$6,J1904&gt;0),'계산 과정'!$D$10*('계산 과정'!$C$38*(D1904-'계산 과정'!$C$32)+'계산 과정'!$D$38*(E1904-'계산 과정'!$D$32)-'계산 과정'!$E$38*'계산 과정'!$E$32)/J1904,"")</x:f>
        <x:v>1.462927598937404</x:v>
      </x:c>
      <x:c r="L1904" s="4" t="n">
        <x:f>IF(AND('계산 과정'!$L$6,J1904&gt;0),'계산 과정'!$D$10*('계산 과정'!$C$39*(D1904-'계산 과정'!$C$32)+'계산 과정'!$D$39*(E1904-'계산 과정'!$D$32)-'계산 과정'!$E$39*'계산 과정'!$E$32)/J1904,"")</x:f>
        <x:v>-0.37463247938622996</x:v>
      </x:c>
      <x:c r="M1904" s="17" t="n">
        <x:f>IF('계산 과정'!$L$6,IF(J1904&lt;=0,0,IF(AND(ABS(K1904)&lt;='계산 과정'!$D$11/2,ABS(L1904)&lt;='계산 과정'!$D$12/2),1,0)),"")</x:f>
        <x:v>1</x:v>
      </x:c>
      <x:c r="N1904" s="17" t="n">
        <x:f>IF('계산 과정'!$C$78,IF(AND(ISNUMBER(H1904),ISNUMBER(I1904),ABS(H1904-'계산 과정'!$C$88)&lt;='계산 과정'!$D$23/2,ABS(I1904-'계산 과정'!$C$89)&lt;='계산 과정'!$D$24/2),1,0),"")</x:f>
        <x:v>1</x:v>
      </x:c>
      <x:c r="O1904" s="4" t="n">
        <x:f>IF('계산 과정'!$L$7,'계산 과정'!$C$49*('계산 과정'!$C$32-D1904)+'계산 과정'!$D$49*('계산 과정'!$D$32-E1904)+'계산 과정'!$E$49*'계산 과정'!$E$32,"")</x:f>
        <x:v>100.48718320703318</x:v>
      </x:c>
      <x:c r="P1904" s="4" t="n">
        <x:f>IF(AND('계산 과정'!$L$7,O1904&lt;&gt;0),('계산 과정'!$L$23-'계산 과정'!$C$49*D1904-'계산 과정'!$D$49*E1904)/O1904,"")</x:f>
        <x:v>4.980607150425166</x:v>
      </x:c>
      <x:c r="Q1904" s="4" t="str">
        <x:f>IF(AND(ISNUMBER(P1904),P1904&gt;1E-9,P1904&lt;1-1E-9),'계산 과정'!$C$47*(D1904-'계산 과정'!$C$50+P1904*('계산 과정'!$C$32-D1904))+'계산 과정'!$D$47*(E1904-'계산 과정'!$D$50+P1904*('계산 과정'!$D$32-E1904))+'계산 과정'!$E$47*(0-'계산 과정'!$E$50+P1904*('계산 과정'!$E$32-0)),"")</x:f>
      </x:c>
      <x:c r="R1904" s="4" t="str">
        <x:f>IF(AND(ISNUMBER(P1904),P1904&gt;1E-9,P1904&lt;1-1E-9),'계산 과정'!$C$48*(D1904-'계산 과정'!$C$50+P1904*('계산 과정'!$C$32-D1904))+'계산 과정'!$D$48*(E1904-'계산 과정'!$D$50+P1904*('계산 과정'!$D$32-E1904))+'계산 과정'!$E$48*(0-'계산 과정'!$E$50+P1904*('계산 과정'!$E$32-0)),"")</x:f>
      </x:c>
      <x:c r="S1904" s="17" t="n">
        <x:f>IF('계산 과정'!$C$78,IF(AND(ISNUMBER(Q1904),ISNUMBER(R1904),ABS(Q1904-'계산 과정'!$C$88)&lt;='계산 과정'!$D$23/2,ABS(R1904-'계산 과정'!$C$89)&lt;='계산 과정'!$D$24/2),1,0),"")</x:f>
        <x:v>0</x:v>
      </x:c>
      <x:c r="T1904" s="4"/>
      <x:c r="U1904" s="4"/>
      <x:c r="V1904" s="4"/>
      <x:c r="W1904" s="4"/>
      <x:c r="X1904" s="4"/>
      <x:c r="Y1904" s="4"/>
      <x:c r="Z1904" s="4"/>
    </x:row>
    <x:row r="1905" ht="23" customHeight="1">
      <x:c r="A1905" s="17" t="n">
        <x:f>ROW()-6</x:f>
        <x:v>1899</x:v>
      </x:c>
      <x:c r="B1905" s="4" t="n">
        <x:f>IF('계산 과정'!$L$5,'계산 과정'!$L$11*SQRT((A1905+0.5)/'계산 과정'!$L$30),"")</x:f>
        <x:v>144.4594416209529</x:v>
      </x:c>
      <x:c r="C1905" s="4" t="n">
        <x:f>A1905*PI()*(3-SQRT(5))</x:f>
        <x:v>4557.530173254711</x:v>
      </x:c>
      <x:c r="D1905" s="4" t="n">
        <x:f>IF('계산 과정'!$L$5,B1905*COS(C1905),"")</x:f>
        <x:v>-87.42825087747757</x:v>
      </x:c>
      <x:c r="E1905" s="4" t="n">
        <x:f>IF('계산 과정'!$L$5,B1905*SIN(C1905),"")</x:f>
        <x:v>114.99926618001675</x:v>
      </x:c>
      <x:c r="F1905" s="4" t="n">
        <x:f>IF('계산 과정'!$L$7,'계산 과정'!$L$22+'계산 과정'!$C$49*D1905+'계산 과정'!$D$49*E1905,"")</x:f>
        <x:v>711.8211090627431</x:v>
      </x:c>
      <x:c r="G1905" s="4" t="n">
        <x:f>IF('계산 과정'!$L$7,IF(ABS(F1905)&gt;=1E-12*MAX(1,SQRT((D1905-'계산 과정'!$C$33)^2+(E1905-'계산 과정'!$D$33)^2+'계산 과정'!$E$33^2)),('계산 과정'!$L$23-'계산 과정'!$C$49*D1905-'계산 과정'!$D$49*E1905)/F1905,""),"")</x:f>
        <x:v>0.4750897193573509</x:v>
      </x:c>
      <x:c r="H1905" s="4" t="n">
        <x:f>IF(AND(ISNUMBER(G1905),G1905&gt;0),('계산 과정'!$D$56+'계산 과정'!$D$57*D1905+'계산 과정'!$D$58*E1905)/F1905,"")</x:f>
        <x:v>-91.19168241772205</x:v>
      </x:c>
      <x:c r="I1905" s="4" t="n">
        <x:f>IF(AND(ISNUMBER(G1905),G1905&gt;0),('계산 과정'!$E$56+'계산 과정'!$E$57*D1905+'계산 과정'!$E$58*E1905)/F1905,"")</x:f>
        <x:v>169.6342352757822</x:v>
      </x:c>
      <x:c r="J1905" s="4" t="n">
        <x:f>IF('계산 과정'!$L$5,'계산 과정'!$D$6+'계산 과정'!$C$35*D1905+'계산 과정'!$D$35*E1905,"")</x:f>
        <x:v>711.8211090627431</x:v>
      </x:c>
      <x:c r="K1905" s="4" t="n">
        <x:f>IF(AND('계산 과정'!$L$6,J1905&gt;0),'계산 과정'!$D$10*('계산 과정'!$C$38*(D1905-'계산 과정'!$C$32)+'계산 과정'!$D$38*(E1905-'계산 과정'!$D$32)-'계산 과정'!$E$38*'계산 과정'!$E$32)/J1905,"")</x:f>
        <x:v>-0.6947937708016909</x:v>
      </x:c>
      <x:c r="L1905" s="4" t="n">
        <x:f>IF(AND('계산 과정'!$L$6,J1905&gt;0),'계산 과정'!$D$10*('계산 과정'!$C$39*(D1905-'계산 과정'!$C$32)+'계산 과정'!$D$39*(E1905-'계산 과정'!$D$32)-'계산 과정'!$E$39*'계산 과정'!$E$32)/J1905,"")</x:f>
        <x:v>1.292451316386912</x:v>
      </x:c>
      <x:c r="M1905" s="17" t="n">
        <x:f>IF('계산 과정'!$L$6,IF(J1905&lt;=0,0,IF(AND(ABS(K1905)&lt;='계산 과정'!$D$11/2,ABS(L1905)&lt;='계산 과정'!$D$12/2),1,0)),"")</x:f>
        <x:v>1</x:v>
      </x:c>
      <x:c r="N1905" s="17" t="n">
        <x:f>IF('계산 과정'!$C$78,IF(AND(ISNUMBER(H1905),ISNUMBER(I1905),ABS(H1905-'계산 과정'!$C$88)&lt;='계산 과정'!$D$23/2,ABS(I1905-'계산 과정'!$C$89)&lt;='계산 과정'!$D$24/2),1,0),"")</x:f>
        <x:v>1</x:v>
      </x:c>
      <x:c r="O1905" s="4" t="n">
        <x:f>IF('계산 과정'!$L$7,'계산 과정'!$C$49*('계산 과정'!$C$32-D1905)+'계산 과정'!$D$49*('계산 과정'!$D$32-E1905)+'계산 과정'!$E$49*'계산 과정'!$E$32,"")</x:f>
        <x:v>-61.821109062743005</x:v>
      </x:c>
      <x:c r="P1905" s="4" t="n">
        <x:f>IF(AND('계산 과정'!$L$7,O1905&lt;&gt;0),('계산 과정'!$L$23-'계산 과정'!$C$49*D1905-'계산 과정'!$D$49*E1905)/O1905,"")</x:f>
        <x:v>-5.470281851366254</x:v>
      </x:c>
      <x:c r="Q1905" s="4" t="str">
        <x:f>IF(AND(ISNUMBER(P1905),P1905&gt;1E-9,P1905&lt;1-1E-9),'계산 과정'!$C$47*(D1905-'계산 과정'!$C$50+P1905*('계산 과정'!$C$32-D1905))+'계산 과정'!$D$47*(E1905-'계산 과정'!$D$50+P1905*('계산 과정'!$D$32-E1905))+'계산 과정'!$E$47*(0-'계산 과정'!$E$50+P1905*('계산 과정'!$E$32-0)),"")</x:f>
      </x:c>
      <x:c r="R1905" s="4" t="str">
        <x:f>IF(AND(ISNUMBER(P1905),P1905&gt;1E-9,P1905&lt;1-1E-9),'계산 과정'!$C$48*(D1905-'계산 과정'!$C$50+P1905*('계산 과정'!$C$32-D1905))+'계산 과정'!$D$48*(E1905-'계산 과정'!$D$50+P1905*('계산 과정'!$D$32-E1905))+'계산 과정'!$E$48*(0-'계산 과정'!$E$50+P1905*('계산 과정'!$E$32-0)),"")</x:f>
      </x:c>
      <x:c r="S1905" s="17" t="n">
        <x:f>IF('계산 과정'!$C$78,IF(AND(ISNUMBER(Q1905),ISNUMBER(R1905),ABS(Q1905-'계산 과정'!$C$88)&lt;='계산 과정'!$D$23/2,ABS(R1905-'계산 과정'!$C$89)&lt;='계산 과정'!$D$24/2),1,0),"")</x:f>
        <x:v>0</x:v>
      </x:c>
      <x:c r="T1905" s="4"/>
      <x:c r="U1905" s="4"/>
      <x:c r="V1905" s="4"/>
      <x:c r="W1905" s="4"/>
      <x:c r="X1905" s="4"/>
      <x:c r="Y1905" s="4"/>
      <x:c r="Z1905" s="4"/>
    </x:row>
    <x:row r="1906" ht="23" customHeight="1">
      <x:c r="A1906" s="17" t="n">
        <x:f>ROW()-6</x:f>
        <x:v>1900</x:v>
      </x:c>
      <x:c r="B1906" s="4" t="n">
        <x:f>IF('계산 과정'!$L$5,'계산 과정'!$L$11*SQRT((A1906+0.5)/'계산 과정'!$L$30),"")</x:f>
        <x:v>144.49746226685954</x:v>
      </x:c>
      <x:c r="C1906" s="4" t="n">
        <x:f>A1906*PI()*(3-SQRT(5))</x:f>
        <x:v>4559.9301364844405</x:v>
      </x:c>
      <x:c r="D1906" s="4" t="n">
        <x:f>IF('계산 과정'!$L$5,B1906*COS(C1906),"")</x:f>
        <x:v>-13.217494720392823</x:v>
      </x:c>
      <x:c r="E1906" s="4" t="n">
        <x:f>IF('계산 과정'!$L$5,B1906*SIN(C1906),"")</x:f>
        <x:v>-143.89167604444285</x:v>
      </x:c>
      <x:c r="F1906" s="4" t="n">
        <x:f>IF('계산 과정'!$L$7,'계산 과정'!$L$22+'계산 과정'!$C$49*D1906+'계산 과정'!$D$49*E1906,"")</x:f>
        <x:v>659.3461801470871</x:v>
      </x:c>
      <x:c r="G1906" s="4" t="n">
        <x:f>IF('계산 과정'!$L$7,IF(ABS(F1906)&gt;=1E-12*MAX(1,SQRT((D1906-'계산 과정'!$C$33)^2+(E1906-'계산 과정'!$D$33)^2+'계산 과정'!$E$33^2)),('계산 과정'!$L$23-'계산 과정'!$C$49*D1906-'계산 과정'!$D$49*E1906)/F1906,""),"")</x:f>
        <x:v>0.5924866657538923</x:v>
      </x:c>
      <x:c r="H1906" s="4" t="n">
        <x:f>IF(AND(ISNUMBER(G1906),G1906&gt;0),('계산 과정'!$D$56+'계산 과정'!$D$57*D1906+'계산 과정'!$D$58*E1906)/F1906,"")</x:f>
        <x:v>-14.883667259970164</x:v>
      </x:c>
      <x:c r="I1906" s="4" t="n">
        <x:f>IF(AND(ISNUMBER(G1906),G1906&gt;0),('계산 과정'!$E$56+'계산 과정'!$E$57*D1906+'계산 과정'!$E$58*E1906)/F1906,"")</x:f>
        <x:v>-229.14557541375402</x:v>
      </x:c>
      <x:c r="J1906" s="4" t="n">
        <x:f>IF('계산 과정'!$L$5,'계산 과정'!$D$6+'계산 과정'!$C$35*D1906+'계산 과정'!$D$35*E1906,"")</x:f>
        <x:v>659.3461801470871</x:v>
      </x:c>
      <x:c r="K1906" s="4" t="n">
        <x:f>IF(AND('계산 과정'!$L$6,J1906&gt;0),'계산 과정'!$D$10*('계산 과정'!$C$38*(D1906-'계산 과정'!$C$32)+'계산 과정'!$D$38*(E1906-'계산 과정'!$D$32)-'계산 과정'!$E$38*'계산 과정'!$E$32)/J1906,"")</x:f>
        <x:v>-0.1133993695997721</x:v>
      </x:c>
      <x:c r="L1906" s="4" t="n">
        <x:f>IF(AND('계산 과정'!$L$6,J1906&gt;0),'계산 과정'!$D$10*('계산 과정'!$C$39*(D1906-'계산 과정'!$C$32)+'계산 과정'!$D$39*(E1906-'계산 과정'!$D$32)-'계산 과정'!$E$39*'계산 과정'!$E$32)/J1906,"")</x:f>
        <x:v>-1.7458710507714592</x:v>
      </x:c>
      <x:c r="M1906" s="17" t="n">
        <x:f>IF('계산 과정'!$L$6,IF(J1906&lt;=0,0,IF(AND(ABS(K1906)&lt;='계산 과정'!$D$11/2,ABS(L1906)&lt;='계산 과정'!$D$12/2),1,0)),"")</x:f>
        <x:v>1</x:v>
      </x:c>
      <x:c r="N1906" s="17" t="n">
        <x:f>IF('계산 과정'!$C$78,IF(AND(ISNUMBER(H1906),ISNUMBER(I1906),ABS(H1906-'계산 과정'!$C$88)&lt;='계산 과정'!$D$23/2,ABS(I1906-'계산 과정'!$C$89)&lt;='계산 과정'!$D$24/2),1,0),"")</x:f>
        <x:v>1</x:v>
      </x:c>
      <x:c r="O1906" s="4" t="n">
        <x:f>IF('계산 과정'!$L$7,'계산 과정'!$C$49*('계산 과정'!$C$32-D1906)+'계산 과정'!$D$49*('계산 과정'!$D$32-E1906)+'계산 과정'!$E$49*'계산 과정'!$E$32,"")</x:f>
        <x:v>-9.346180147087068</x:v>
      </x:c>
      <x:c r="P1906" s="4" t="n">
        <x:f>IF(AND('계산 과정'!$L$7,O1906&lt;&gt;0),('계산 과정'!$L$23-'계산 과정'!$C$49*D1906-'계산 과정'!$D$49*E1906)/O1906,"")</x:f>
        <x:v>-41.79823347131483</x:v>
      </x:c>
      <x:c r="Q1906" s="4" t="str">
        <x:f>IF(AND(ISNUMBER(P1906),P1906&gt;1E-9,P1906&lt;1-1E-9),'계산 과정'!$C$47*(D1906-'계산 과정'!$C$50+P1906*('계산 과정'!$C$32-D1906))+'계산 과정'!$D$47*(E1906-'계산 과정'!$D$50+P1906*('계산 과정'!$D$32-E1906))+'계산 과정'!$E$47*(0-'계산 과정'!$E$50+P1906*('계산 과정'!$E$32-0)),"")</x:f>
      </x:c>
      <x:c r="R1906" s="4" t="str">
        <x:f>IF(AND(ISNUMBER(P1906),P1906&gt;1E-9,P1906&lt;1-1E-9),'계산 과정'!$C$48*(D1906-'계산 과정'!$C$50+P1906*('계산 과정'!$C$32-D1906))+'계산 과정'!$D$48*(E1906-'계산 과정'!$D$50+P1906*('계산 과정'!$D$32-E1906))+'계산 과정'!$E$48*(0-'계산 과정'!$E$50+P1906*('계산 과정'!$E$32-0)),"")</x:f>
      </x:c>
      <x:c r="S1906" s="17" t="n">
        <x:f>IF('계산 과정'!$C$78,IF(AND(ISNUMBER(Q1906),ISNUMBER(R1906),ABS(Q1906-'계산 과정'!$C$88)&lt;='계산 과정'!$D$23/2,ABS(R1906-'계산 과정'!$C$89)&lt;='계산 과정'!$D$24/2),1,0),"")</x:f>
        <x:v>0</x:v>
      </x:c>
      <x:c r="T1906" s="4"/>
      <x:c r="U1906" s="4"/>
      <x:c r="V1906" s="4"/>
      <x:c r="W1906" s="4"/>
      <x:c r="X1906" s="4"/>
      <x:c r="Y1906" s="4"/>
      <x:c r="Z1906" s="4"/>
    </x:row>
    <x:row r="1907" ht="23" customHeight="1">
      <x:c r="A1907" s="17" t="n">
        <x:f>ROW()-6</x:f>
        <x:v>1901</x:v>
      </x:c>
      <x:c r="B1907" s="4" t="n">
        <x:f>IF('계산 과정'!$L$5,'계산 과정'!$L$11*SQRT((A1907+0.5)/'계산 과정'!$L$30),"")</x:f>
        <x:v>144.5354729112805</x:v>
      </x:c>
      <x:c r="C1907" s="4" t="n">
        <x:f>A1907*PI()*(3-SQRT(5))</x:f>
        <x:v>4562.330099714169</x:v>
      </x:c>
      <x:c r="D1907" s="4" t="n">
        <x:f>IF('계산 과정'!$L$5,B1907*COS(C1907),"")</x:f>
        <x:v>106.9717317944321</x:v>
      </x:c>
      <x:c r="E1907" s="4" t="n">
        <x:f>IF('계산 과정'!$L$5,B1907*SIN(C1907),"")</x:f>
        <x:v>97.19851607194207</x:v>
      </x:c>
      <x:c r="F1907" s="4" t="n">
        <x:f>IF('계산 과정'!$L$7,'계산 과정'!$L$22+'계산 과정'!$C$49*D1907+'계산 과정'!$D$49*E1907,"")</x:f>
        <x:v>574.3595630528885</x:v>
      </x:c>
      <x:c r="G1907" s="4" t="n">
        <x:f>IF('계산 과정'!$L$7,IF(ABS(F1907)&gt;=1E-12*MAX(1,SQRT((D1907-'계산 과정'!$C$33)^2+(E1907-'계산 과정'!$D$33)^2+'계산 과정'!$E$33^2)),('계산 과정'!$L$23-'계산 과정'!$C$49*D1907-'계산 과정'!$D$49*E1907)/F1907,""),"")</x:f>
        <x:v>0.8281231262502952</x:v>
      </x:c>
      <x:c r="H1907" s="4" t="n">
        <x:f>IF(AND(ISNUMBER(G1907),G1907&gt;0),('계산 과정'!$D$56+'계산 과정'!$D$57*D1907+'계산 과정'!$D$58*E1907)/F1907,"")</x:f>
        <x:v>138.28003206269182</x:v>
      </x:c>
      <x:c r="I1907" s="4" t="n">
        <x:f>IF(AND(ISNUMBER(G1907),G1907&gt;0),('계산 과정'!$E$56+'계산 과정'!$E$57*D1907+'계산 과정'!$E$58*E1907)/F1907,"")</x:f>
        <x:v>177.6908550683283</x:v>
      </x:c>
      <x:c r="J1907" s="4" t="n">
        <x:f>IF('계산 과정'!$L$5,'계산 과정'!$D$6+'계산 과정'!$C$35*D1907+'계산 과정'!$D$35*E1907,"")</x:f>
        <x:v>574.3595630528885</x:v>
      </x:c>
      <x:c r="K1907" s="4" t="n">
        <x:f>IF(AND('계산 과정'!$L$6,J1907&gt;0),'계산 과정'!$D$10*('계산 과정'!$C$38*(D1907-'계산 과정'!$C$32)+'계산 과정'!$D$38*(E1907-'계산 과정'!$D$32)-'계산 과정'!$E$38*'계산 과정'!$E$32)/J1907,"")</x:f>
        <x:v>1.0535621490490814</x:v>
      </x:c>
      <x:c r="L1907" s="4" t="n">
        <x:f>IF(AND('계산 과정'!$L$6,J1907&gt;0),'계산 과정'!$D$10*('계산 과정'!$C$39*(D1907-'계산 과정'!$C$32)+'계산 과정'!$D$39*(E1907-'계산 과정'!$D$32)-'계산 과정'!$E$39*'계산 과정'!$E$32)/J1907,"")</x:f>
        <x:v>1.3538350862348822</x:v>
      </x:c>
      <x:c r="M1907" s="17" t="n">
        <x:f>IF('계산 과정'!$L$6,IF(J1907&lt;=0,0,IF(AND(ABS(K1907)&lt;='계산 과정'!$D$11/2,ABS(L1907)&lt;='계산 과정'!$D$12/2),1,0)),"")</x:f>
        <x:v>1</x:v>
      </x:c>
      <x:c r="N1907" s="17" t="n">
        <x:f>IF('계산 과정'!$C$78,IF(AND(ISNUMBER(H1907),ISNUMBER(I1907),ABS(H1907-'계산 과정'!$C$88)&lt;='계산 과정'!$D$23/2,ABS(I1907-'계산 과정'!$C$89)&lt;='계산 과정'!$D$24/2),1,0),"")</x:f>
        <x:v>1</x:v>
      </x:c>
      <x:c r="O1907" s="4" t="n">
        <x:f>IF('계산 과정'!$L$7,'계산 과정'!$C$49*('계산 과정'!$C$32-D1907)+'계산 과정'!$D$49*('계산 과정'!$D$32-E1907)+'계산 과정'!$E$49*'계산 과정'!$E$32,"")</x:f>
        <x:v>75.64043694711165</x:v>
      </x:c>
      <x:c r="P1907" s="4" t="n">
        <x:f>IF(AND('계산 과정'!$L$7,O1907&lt;&gt;0),('계산 과정'!$L$23-'계산 과정'!$C$49*D1907-'계산 과정'!$D$49*E1907)/O1907,"")</x:f>
        <x:v>6.288176749688567</x:v>
      </x:c>
      <x:c r="Q1907" s="4" t="str">
        <x:f>IF(AND(ISNUMBER(P1907),P1907&gt;1E-9,P1907&lt;1-1E-9),'계산 과정'!$C$47*(D1907-'계산 과정'!$C$50+P1907*('계산 과정'!$C$32-D1907))+'계산 과정'!$D$47*(E1907-'계산 과정'!$D$50+P1907*('계산 과정'!$D$32-E1907))+'계산 과정'!$E$47*(0-'계산 과정'!$E$50+P1907*('계산 과정'!$E$32-0)),"")</x:f>
      </x:c>
      <x:c r="R1907" s="4" t="str">
        <x:f>IF(AND(ISNUMBER(P1907),P1907&gt;1E-9,P1907&lt;1-1E-9),'계산 과정'!$C$48*(D1907-'계산 과정'!$C$50+P1907*('계산 과정'!$C$32-D1907))+'계산 과정'!$D$48*(E1907-'계산 과정'!$D$50+P1907*('계산 과정'!$D$32-E1907))+'계산 과정'!$E$48*(0-'계산 과정'!$E$50+P1907*('계산 과정'!$E$32-0)),"")</x:f>
      </x:c>
      <x:c r="S1907" s="17" t="n">
        <x:f>IF('계산 과정'!$C$78,IF(AND(ISNUMBER(Q1907),ISNUMBER(R1907),ABS(Q1907-'계산 과정'!$C$88)&lt;='계산 과정'!$D$23/2,ABS(R1907-'계산 과정'!$C$89)&lt;='계산 과정'!$D$24/2),1,0),"")</x:f>
        <x:v>0</x:v>
      </x:c>
      <x:c r="T1907" s="4"/>
      <x:c r="U1907" s="4"/>
      <x:c r="V1907" s="4"/>
      <x:c r="W1907" s="4"/>
      <x:c r="X1907" s="4"/>
      <x:c r="Y1907" s="4"/>
      <x:c r="Z1907" s="4"/>
    </x:row>
    <x:row r="1908" ht="23" customHeight="1">
      <x:c r="A1908" s="17" t="n">
        <x:f>ROW()-6</x:f>
        <x:v>1902</x:v>
      </x:c>
      <x:c r="B1908" s="4" t="n">
        <x:f>IF('계산 과정'!$L$5,'계산 과정'!$L$11*SQRT((A1908+0.5)/'계산 과정'!$L$30),"")</x:f>
        <x:v>144.5734735621044</x:v>
      </x:c>
      <x:c r="C1908" s="4" t="n">
        <x:f>A1908*PI()*(3-SQRT(5))</x:f>
        <x:v>4564.730062943898</x:v>
      </x:c>
      <x:c r="D1908" s="4" t="n">
        <x:f>IF('계산 과정'!$L$5,B1908*COS(C1908),"")</x:f>
        <x:v>-144.57228041978567</x:v>
      </x:c>
      <x:c r="E1908" s="4" t="n">
        <x:f>IF('계산 과정'!$L$5,B1908*SIN(C1908),"")</x:f>
        <x:v>0.5873602262323812</x:v>
      </x:c>
      <x:c r="F1908" s="4" t="n">
        <x:f>IF('계산 과정'!$L$7,'계산 과정'!$L$22+'계산 과정'!$C$49*D1908+'계산 과정'!$D$49*E1908,"")</x:f>
        <x:v>752.2280398564336</x:v>
      </x:c>
      <x:c r="G1908" s="4" t="n">
        <x:f>IF('계산 과정'!$L$7,IF(ABS(F1908)&gt;=1E-12*MAX(1,SQRT((D1908-'계산 과정'!$C$33)^2+(E1908-'계산 과정'!$D$33)^2+'계산 과정'!$E$33^2)),('계산 과정'!$L$23-'계산 과정'!$C$49*D1908-'계산 과정'!$D$49*E1908)/F1908,""),"")</x:f>
        <x:v>0.3958533109193825</x:v>
      </x:c>
      <x:c r="H1908" s="4" t="n">
        <x:f>IF(AND(ISNUMBER(G1908),G1908&gt;0),('계산 과정'!$D$56+'계산 과정'!$D$57*D1908+'계산 과정'!$D$58*E1908)/F1908,"")</x:f>
        <x:v>-142.69534790240152</x:v>
      </x:c>
      <x:c r="I1908" s="4" t="n">
        <x:f>IF(AND(ISNUMBER(G1908),G1908&gt;0),('계산 과정'!$E$56+'계산 과정'!$E$57*D1908+'계산 과정'!$E$58*E1908)/F1908,"")</x:f>
        <x:v>0.8198687164888266</x:v>
      </x:c>
      <x:c r="J1908" s="4" t="n">
        <x:f>IF('계산 과정'!$L$5,'계산 과정'!$D$6+'계산 과정'!$C$35*D1908+'계산 과정'!$D$35*E1908,"")</x:f>
        <x:v>752.2280398564336</x:v>
      </x:c>
      <x:c r="K1908" s="4" t="n">
        <x:f>IF(AND('계산 과정'!$L$6,J1908&gt;0),'계산 과정'!$D$10*('계산 과정'!$C$38*(D1908-'계산 과정'!$C$32)+'계산 과정'!$D$38*(E1908-'계산 과정'!$D$32)-'계산 과정'!$E$38*'계산 과정'!$E$32)/J1908,"")</x:f>
        <x:v>-1.0872026506849628</x:v>
      </x:c>
      <x:c r="L1908" s="4" t="n">
        <x:f>IF(AND('계산 과정'!$L$6,J1908&gt;0),'계산 과정'!$D$10*('계산 과정'!$C$39*(D1908-'계산 과정'!$C$32)+'계산 과정'!$D$39*(E1908-'계산 과정'!$D$32)-'계산 과정'!$E$39*'계산 과정'!$E$32)/J1908,"")</x:f>
        <x:v>0.0062466187922958225</x:v>
      </x:c>
      <x:c r="M1908" s="17" t="n">
        <x:f>IF('계산 과정'!$L$6,IF(J1908&lt;=0,0,IF(AND(ABS(K1908)&lt;='계산 과정'!$D$11/2,ABS(L1908)&lt;='계산 과정'!$D$12/2),1,0)),"")</x:f>
        <x:v>1</x:v>
      </x:c>
      <x:c r="N1908" s="17" t="n">
        <x:f>IF('계산 과정'!$C$78,IF(AND(ISNUMBER(H1908),ISNUMBER(I1908),ABS(H1908-'계산 과정'!$C$88)&lt;='계산 과정'!$D$23/2,ABS(I1908-'계산 과정'!$C$89)&lt;='계산 과정'!$D$24/2),1,0),"")</x:f>
        <x:v>1</x:v>
      </x:c>
      <x:c r="O1908" s="4" t="n">
        <x:f>IF('계산 과정'!$L$7,'계산 과정'!$C$49*('계산 과정'!$C$32-D1908)+'계산 과정'!$D$49*('계산 과정'!$D$32-E1908)+'계산 과정'!$E$49*'계산 과정'!$E$32,"")</x:f>
        <x:v>-102.22803985643344</x:v>
      </x:c>
      <x:c r="P1908" s="4" t="n">
        <x:f>IF(AND('계산 과정'!$L$7,O1908&lt;&gt;0),('계산 과정'!$L$23-'계산 과정'!$C$49*D1908-'계산 과정'!$D$49*E1908)/O1908,"")</x:f>
        <x:v>-2.912820793216324</x:v>
      </x:c>
      <x:c r="Q1908" s="4" t="str">
        <x:f>IF(AND(ISNUMBER(P1908),P1908&gt;1E-9,P1908&lt;1-1E-9),'계산 과정'!$C$47*(D1908-'계산 과정'!$C$50+P1908*('계산 과정'!$C$32-D1908))+'계산 과정'!$D$47*(E1908-'계산 과정'!$D$50+P1908*('계산 과정'!$D$32-E1908))+'계산 과정'!$E$47*(0-'계산 과정'!$E$50+P1908*('계산 과정'!$E$32-0)),"")</x:f>
      </x:c>
      <x:c r="R1908" s="4" t="str">
        <x:f>IF(AND(ISNUMBER(P1908),P1908&gt;1E-9,P1908&lt;1-1E-9),'계산 과정'!$C$48*(D1908-'계산 과정'!$C$50+P1908*('계산 과정'!$C$32-D1908))+'계산 과정'!$D$48*(E1908-'계산 과정'!$D$50+P1908*('계산 과정'!$D$32-E1908))+'계산 과정'!$E$48*(0-'계산 과정'!$E$50+P1908*('계산 과정'!$E$32-0)),"")</x:f>
      </x:c>
      <x:c r="S1908" s="17" t="n">
        <x:f>IF('계산 과정'!$C$78,IF(AND(ISNUMBER(Q1908),ISNUMBER(R1908),ABS(Q1908-'계산 과정'!$C$88)&lt;='계산 과정'!$D$23/2,ABS(R1908-'계산 과정'!$C$89)&lt;='계산 과정'!$D$24/2),1,0),"")</x:f>
        <x:v>0</x:v>
      </x:c>
      <x:c r="T1908" s="4"/>
      <x:c r="U1908" s="4"/>
      <x:c r="V1908" s="4"/>
      <x:c r="W1908" s="4"/>
      <x:c r="X1908" s="4"/>
      <x:c r="Y1908" s="4"/>
      <x:c r="Z1908" s="4"/>
    </x:row>
    <x:row r="1909" ht="23" customHeight="1">
      <x:c r="A1909" s="17" t="n">
        <x:f>ROW()-6</x:f>
        <x:v>1903</x:v>
      </x:c>
      <x:c r="B1909" s="4" t="n">
        <x:f>IF('계산 과정'!$L$5,'계산 과정'!$L$11*SQRT((A1909+0.5)/'계산 과정'!$L$30),"")</x:f>
        <x:v>144.61146422720952</x:v>
      </x:c>
      <x:c r="C1909" s="4" t="n">
        <x:f>A1909*PI()*(3-SQRT(5))</x:f>
        <x:v>4567.130026173627</x:v>
      </x:c>
      <x:c r="D1909" s="4" t="n">
        <x:f>IF('계산 과정'!$L$5,B1909*COS(C1909),"")</x:f>
        <x:v>106.23425272665956</x:v>
      </x:c>
      <x:c r="E1909" s="4" t="n">
        <x:f>IF('계산 과정'!$L$5,B1909*SIN(C1909),"")</x:f>
        <x:v>-98.11604931684585</x:v>
      </x:c>
      <x:c r="F1909" s="4" t="n">
        <x:f>IF('계산 과정'!$L$7,'계산 과정'!$L$22+'계산 과정'!$C$49*D1909+'계산 과정'!$D$49*E1909,"")</x:f>
        <x:v>574.8810395026935</x:v>
      </x:c>
      <x:c r="G1909" s="4" t="n">
        <x:f>IF('계산 과정'!$L$7,IF(ABS(F1909)&gt;=1E-12*MAX(1,SQRT((D1909-'계산 과정'!$C$33)^2+(E1909-'계산 과정'!$D$33)^2+'계산 과정'!$E$33^2)),('계산 과정'!$L$23-'계산 과정'!$C$49*D1909-'계산 과정'!$D$49*E1909)/F1909,""),"")</x:f>
        <x:v>0.8264648298512554</x:v>
      </x:c>
      <x:c r="H1909" s="4" t="n">
        <x:f>IF(AND(ISNUMBER(G1909),G1909&gt;0),('계산 과정'!$D$56+'계산 과정'!$D$57*D1909+'계산 과정'!$D$58*E1909)/F1909,"")</x:f>
        <x:v>137.20213940331593</x:v>
      </x:c>
      <x:c r="I1909" s="4" t="n">
        <x:f>IF(AND(ISNUMBER(G1909),G1909&gt;0),('계산 과정'!$E$56+'계산 과정'!$E$57*D1909+'계산 과정'!$E$58*E1909)/F1909,"")</x:f>
        <x:v>-179.20551332117026</x:v>
      </x:c>
      <x:c r="J1909" s="4" t="n">
        <x:f>IF('계산 과정'!$L$5,'계산 과정'!$D$6+'계산 과정'!$C$35*D1909+'계산 과정'!$D$35*E1909,"")</x:f>
        <x:v>574.8810395026935</x:v>
      </x:c>
      <x:c r="K1909" s="4" t="n">
        <x:f>IF(AND('계산 과정'!$L$6,J1909&gt;0),'계산 과정'!$D$10*('계산 과정'!$C$38*(D1909-'계산 과정'!$C$32)+'계산 과정'!$D$38*(E1909-'계산 과정'!$D$32)-'계산 과정'!$E$38*'계산 과정'!$E$32)/J1909,"")</x:f>
        <x:v>1.0453496335490744</x:v>
      </x:c>
      <x:c r="L1909" s="4" t="n">
        <x:f>IF(AND('계산 과정'!$L$6,J1909&gt;0),'계산 과정'!$D$10*('계산 과정'!$C$39*(D1909-'계산 과정'!$C$32)+'계산 과정'!$D$39*(E1909-'계산 과정'!$D$32)-'계산 과정'!$E$39*'계산 과정'!$E$32)/J1909,"")</x:f>
        <x:v>-1.3653753395898685</x:v>
      </x:c>
      <x:c r="M1909" s="17" t="n">
        <x:f>IF('계산 과정'!$L$6,IF(J1909&lt;=0,0,IF(AND(ABS(K1909)&lt;='계산 과정'!$D$11/2,ABS(L1909)&lt;='계산 과정'!$D$12/2),1,0)),"")</x:f>
        <x:v>1</x:v>
      </x:c>
      <x:c r="N1909" s="17" t="n">
        <x:f>IF('계산 과정'!$C$78,IF(AND(ISNUMBER(H1909),ISNUMBER(I1909),ABS(H1909-'계산 과정'!$C$88)&lt;='계산 과정'!$D$23/2,ABS(I1909-'계산 과정'!$C$89)&lt;='계산 과정'!$D$24/2),1,0),"")</x:f>
        <x:v>1</x:v>
      </x:c>
      <x:c r="O1909" s="4" t="n">
        <x:f>IF('계산 과정'!$L$7,'계산 과정'!$C$49*('계산 과정'!$C$32-D1909)+'계산 과정'!$D$49*('계산 과정'!$D$32-E1909)+'계산 과정'!$E$49*'계산 과정'!$E$32,"")</x:f>
        <x:v>75.11896049730657</x:v>
      </x:c>
      <x:c r="P1909" s="4" t="n">
        <x:f>IF(AND('계산 과정'!$L$7,O1909&lt;&gt;0),('계산 과정'!$L$23-'계산 과정'!$C$49*D1909-'계산 과정'!$D$49*E1909)/O1909,"")</x:f>
        <x:v>6.324887316755961</x:v>
      </x:c>
      <x:c r="Q1909" s="4" t="str">
        <x:f>IF(AND(ISNUMBER(P1909),P1909&gt;1E-9,P1909&lt;1-1E-9),'계산 과정'!$C$47*(D1909-'계산 과정'!$C$50+P1909*('계산 과정'!$C$32-D1909))+'계산 과정'!$D$47*(E1909-'계산 과정'!$D$50+P1909*('계산 과정'!$D$32-E1909))+'계산 과정'!$E$47*(0-'계산 과정'!$E$50+P1909*('계산 과정'!$E$32-0)),"")</x:f>
      </x:c>
      <x:c r="R1909" s="4" t="str">
        <x:f>IF(AND(ISNUMBER(P1909),P1909&gt;1E-9,P1909&lt;1-1E-9),'계산 과정'!$C$48*(D1909-'계산 과정'!$C$50+P1909*('계산 과정'!$C$32-D1909))+'계산 과정'!$D$48*(E1909-'계산 과정'!$D$50+P1909*('계산 과정'!$D$32-E1909))+'계산 과정'!$E$48*(0-'계산 과정'!$E$50+P1909*('계산 과정'!$E$32-0)),"")</x:f>
      </x:c>
      <x:c r="S1909" s="17" t="n">
        <x:f>IF('계산 과정'!$C$78,IF(AND(ISNUMBER(Q1909),ISNUMBER(R1909),ABS(Q1909-'계산 과정'!$C$88)&lt;='계산 과정'!$D$23/2,ABS(R1909-'계산 과정'!$C$89)&lt;='계산 과정'!$D$24/2),1,0),"")</x:f>
        <x:v>0</x:v>
      </x:c>
      <x:c r="T1909" s="4"/>
      <x:c r="U1909" s="4"/>
      <x:c r="V1909" s="4"/>
      <x:c r="W1909" s="4"/>
      <x:c r="X1909" s="4"/>
      <x:c r="Y1909" s="4"/>
      <x:c r="Z1909" s="4"/>
    </x:row>
    <x:row r="1910" ht="23" customHeight="1">
      <x:c r="A1910" s="17" t="n">
        <x:f>ROW()-6</x:f>
        <x:v>1904</x:v>
      </x:c>
      <x:c r="B1910" s="4" t="n">
        <x:f>IF('계산 과정'!$L$5,'계산 과정'!$L$11*SQRT((A1910+0.5)/'계산 과정'!$L$30),"")</x:f>
        <x:v>144.6494449144638</x:v>
      </x:c>
      <x:c r="C1910" s="4" t="n">
        <x:f>A1910*PI()*(3-SQRT(5))</x:f>
        <x:v>4569.529989403355</x:v>
      </x:c>
      <x:c r="D1910" s="4" t="n">
        <x:f>IF('계산 과정'!$L$5,B1910*COS(C1910),"")</x:f>
        <x:v>-12.06055946964492</x:v>
      </x:c>
      <x:c r="E1910" s="4" t="n">
        <x:f>IF('계산 과정'!$L$5,B1910*SIN(C1910),"")</x:f>
        <x:v>144.14577627992315</x:v>
      </x:c>
      <x:c r="F1910" s="4" t="n">
        <x:f>IF('계산 과정'!$L$7,'계산 과정'!$L$22+'계산 과정'!$C$49*D1910+'계산 과정'!$D$49*E1910,"")</x:f>
        <x:v>658.5281033858896</x:v>
      </x:c>
      <x:c r="G1910" s="4" t="n">
        <x:f>IF('계산 과정'!$L$7,IF(ABS(F1910)&gt;=1E-12*MAX(1,SQRT((D1910-'계산 과정'!$C$33)^2+(E1910-'계산 과정'!$D$33)^2+'계산 과정'!$E$33^2)),('계산 과정'!$L$23-'계산 과정'!$C$49*D1910-'계산 과정'!$D$49*E1910)/F1910,""),"")</x:f>
        <x:v>0.5944649812229996</x:v>
      </x:c>
      <x:c r="H1910" s="4" t="n">
        <x:f>IF(AND(ISNUMBER(G1910),G1910&gt;0),('계산 과정'!$D$56+'계산 과정'!$D$57*D1910+'계산 과정'!$D$58*E1910)/F1910,"")</x:f>
        <x:v>-13.597762205050305</x:v>
      </x:c>
      <x:c r="I1910" s="4" t="n">
        <x:f>IF(AND(ISNUMBER(G1910),G1910&gt;0),('계산 과정'!$E$56+'계산 과정'!$E$57*D1910+'계산 과정'!$E$58*E1910)/F1910,"")</x:f>
        <x:v>229.83539246954237</x:v>
      </x:c>
      <x:c r="J1910" s="4" t="n">
        <x:f>IF('계산 과정'!$L$5,'계산 과정'!$D$6+'계산 과정'!$C$35*D1910+'계산 과정'!$D$35*E1910,"")</x:f>
        <x:v>658.5281033858896</x:v>
      </x:c>
      <x:c r="K1910" s="4" t="n">
        <x:f>IF(AND('계산 과정'!$L$6,J1910&gt;0),'계산 과정'!$D$10*('계산 과정'!$C$38*(D1910-'계산 과정'!$C$32)+'계산 과정'!$D$38*(E1910-'계산 과정'!$D$32)-'계산 과정'!$E$38*'계산 과정'!$E$32)/J1910,"")</x:f>
        <x:v>-0.1036019977527633</x:v>
      </x:c>
      <x:c r="L1910" s="4" t="n">
        <x:f>IF(AND('계산 과정'!$L$6,J1910&gt;0),'계산 과정'!$D$10*('계산 과정'!$C$39*(D1910-'계산 과정'!$C$32)+'계산 과정'!$D$39*(E1910-'계산 과정'!$D$32)-'계산 과정'!$E$39*'계산 과정'!$E$32)/J1910,"")</x:f>
        <x:v>1.7511267997679418</x:v>
      </x:c>
      <x:c r="M1910" s="17" t="n">
        <x:f>IF('계산 과정'!$L$6,IF(J1910&lt;=0,0,IF(AND(ABS(K1910)&lt;='계산 과정'!$D$11/2,ABS(L1910)&lt;='계산 과정'!$D$12/2),1,0)),"")</x:f>
        <x:v>1</x:v>
      </x:c>
      <x:c r="N1910" s="17" t="n">
        <x:f>IF('계산 과정'!$C$78,IF(AND(ISNUMBER(H1910),ISNUMBER(I1910),ABS(H1910-'계산 과정'!$C$88)&lt;='계산 과정'!$D$23/2,ABS(I1910-'계산 과정'!$C$89)&lt;='계산 과정'!$D$24/2),1,0),"")</x:f>
        <x:v>1</x:v>
      </x:c>
      <x:c r="O1910" s="4" t="n">
        <x:f>IF('계산 과정'!$L$7,'계산 과정'!$C$49*('계산 과정'!$C$32-D1910)+'계산 과정'!$D$49*('계산 과정'!$D$32-E1910)+'계산 과정'!$E$49*'계산 과정'!$E$32,"")</x:f>
        <x:v>-8.528103385889438</x:v>
      </x:c>
      <x:c r="P1910" s="4" t="n">
        <x:f>IF(AND('계산 과정'!$L$7,O1910&lt;&gt;0),('계산 과정'!$L$23-'계산 과정'!$C$49*D1910-'계산 과정'!$D$49*E1910)/O1910,"")</x:f>
        <x:v>-45.90374657767847</x:v>
      </x:c>
      <x:c r="Q1910" s="4" t="str">
        <x:f>IF(AND(ISNUMBER(P1910),P1910&gt;1E-9,P1910&lt;1-1E-9),'계산 과정'!$C$47*(D1910-'계산 과정'!$C$50+P1910*('계산 과정'!$C$32-D1910))+'계산 과정'!$D$47*(E1910-'계산 과정'!$D$50+P1910*('계산 과정'!$D$32-E1910))+'계산 과정'!$E$47*(0-'계산 과정'!$E$50+P1910*('계산 과정'!$E$32-0)),"")</x:f>
      </x:c>
      <x:c r="R1910" s="4" t="str">
        <x:f>IF(AND(ISNUMBER(P1910),P1910&gt;1E-9,P1910&lt;1-1E-9),'계산 과정'!$C$48*(D1910-'계산 과정'!$C$50+P1910*('계산 과정'!$C$32-D1910))+'계산 과정'!$D$48*(E1910-'계산 과정'!$D$50+P1910*('계산 과정'!$D$32-E1910))+'계산 과정'!$E$48*(0-'계산 과정'!$E$50+P1910*('계산 과정'!$E$32-0)),"")</x:f>
      </x:c>
      <x:c r="S1910" s="17" t="n">
        <x:f>IF('계산 과정'!$C$78,IF(AND(ISNUMBER(Q1910),ISNUMBER(R1910),ABS(Q1910-'계산 과정'!$C$88)&lt;='계산 과정'!$D$23/2,ABS(R1910-'계산 과정'!$C$89)&lt;='계산 과정'!$D$24/2),1,0),"")</x:f>
        <x:v>0</x:v>
      </x:c>
      <x:c r="T1910" s="4"/>
      <x:c r="U1910" s="4"/>
      <x:c r="V1910" s="4"/>
      <x:c r="W1910" s="4"/>
      <x:c r="X1910" s="4"/>
      <x:c r="Y1910" s="4"/>
      <x:c r="Z1910" s="4"/>
    </x:row>
    <x:row r="1911" ht="23" customHeight="1">
      <x:c r="A1911" s="17" t="n">
        <x:f>ROW()-6</x:f>
        <x:v>1905</x:v>
      </x:c>
      <x:c r="B1911" s="4" t="n">
        <x:f>IF('계산 과정'!$L$5,'계산 과정'!$L$11*SQRT((A1911+0.5)/'계산 과정'!$L$30),"")</x:f>
        <x:v>144.68741563172486</x:v>
      </x:c>
      <x:c r="C1911" s="4" t="n">
        <x:f>A1911*PI()*(3-SQRT(5))</x:f>
        <x:v>4571.929952633084</x:v>
      </x:c>
      <x:c r="D1911" s="4" t="n">
        <x:f>IF('계산 과정'!$L$5,B1911*COS(C1911),"")</x:f>
        <x:v>-88.49921672405978</x:v>
      </x:c>
      <x:c r="E1911" s="4" t="n">
        <x:f>IF('계산 과정'!$L$5,B1911*SIN(C1911),"")</x:f>
        <x:v>-114.46543968122167</x:v>
      </x:c>
      <x:c r="F1911" s="4" t="n">
        <x:f>IF('계산 과정'!$L$7,'계산 과정'!$L$22+'계산 과정'!$C$49*D1911+'계산 과정'!$D$49*E1911,"")</x:f>
        <x:v>712.5783962752806</x:v>
      </x:c>
      <x:c r="G1911" s="4" t="n">
        <x:f>IF('계산 과정'!$L$7,IF(ABS(F1911)&gt;=1E-12*MAX(1,SQRT((D1911-'계산 과정'!$C$33)^2+(E1911-'계산 과정'!$D$33)^2+'계산 과정'!$E$33^2)),('계산 과정'!$L$23-'계산 과정'!$C$49*D1911-'계산 과정'!$D$49*E1911)/F1911,""),"")</x:f>
        <x:v>0.47352207909818245</x:v>
      </x:c>
      <x:c r="H1911" s="4" t="n">
        <x:f>IF(AND(ISNUMBER(G1911),G1911&gt;0),('계산 과정'!$D$56+'계산 과정'!$D$57*D1911+'계산 과정'!$D$58*E1911)/F1911,"")</x:f>
        <x:v>-92.21064858618152</x:v>
      </x:c>
      <x:c r="I1911" s="4" t="n">
        <x:f>IF(AND(ISNUMBER(G1911),G1911&gt;0),('계산 과정'!$E$56+'계산 과정'!$E$57*D1911+'계산 과정'!$E$58*E1911)/F1911,"")</x:f>
        <x:v>-168.66735266396134</x:v>
      </x:c>
      <x:c r="J1911" s="4" t="n">
        <x:f>IF('계산 과정'!$L$5,'계산 과정'!$D$6+'계산 과정'!$C$35*D1911+'계산 과정'!$D$35*E1911,"")</x:f>
        <x:v>712.5783962752806</x:v>
      </x:c>
      <x:c r="K1911" s="4" t="n">
        <x:f>IF(AND('계산 과정'!$L$6,J1911&gt;0),'계산 과정'!$D$10*('계산 과정'!$C$38*(D1911-'계산 과정'!$C$32)+'계산 과정'!$D$38*(E1911-'계산 과정'!$D$32)-'계산 과정'!$E$38*'계산 과정'!$E$32)/J1911,"")</x:f>
        <x:v>-0.7025573225613825</x:v>
      </x:c>
      <x:c r="L1911" s="4" t="n">
        <x:f>IF(AND('계산 과정'!$L$6,J1911&gt;0),'계산 과정'!$D$10*('계산 과정'!$C$39*(D1911-'계산 과정'!$C$32)+'계산 과정'!$D$39*(E1911-'계산 과정'!$D$32)-'계산 과정'!$E$39*'계산 과정'!$E$32)/J1911,"")</x:f>
        <x:v>-1.2850845917254197</x:v>
      </x:c>
      <x:c r="M1911" s="17" t="n">
        <x:f>IF('계산 과정'!$L$6,IF(J1911&lt;=0,0,IF(AND(ABS(K1911)&lt;='계산 과정'!$D$11/2,ABS(L1911)&lt;='계산 과정'!$D$12/2),1,0)),"")</x:f>
        <x:v>1</x:v>
      </x:c>
      <x:c r="N1911" s="17" t="n">
        <x:f>IF('계산 과정'!$C$78,IF(AND(ISNUMBER(H1911),ISNUMBER(I1911),ABS(H1911-'계산 과정'!$C$88)&lt;='계산 과정'!$D$23/2,ABS(I1911-'계산 과정'!$C$89)&lt;='계산 과정'!$D$24/2),1,0),"")</x:f>
        <x:v>1</x:v>
      </x:c>
      <x:c r="O1911" s="4" t="n">
        <x:f>IF('계산 과정'!$L$7,'계산 과정'!$C$49*('계산 과정'!$C$32-D1911)+'계산 과정'!$D$49*('계산 과정'!$D$32-E1911)+'계산 과정'!$E$49*'계산 과정'!$E$32,"")</x:f>
        <x:v>-62.57839627528051</x:v>
      </x:c>
      <x:c r="P1911" s="4" t="n">
        <x:f>IF(AND('계산 과정'!$L$7,O1911&lt;&gt;0),('계산 과정'!$L$23-'계산 과정'!$C$49*D1911-'계산 과정'!$D$49*E1911)/O1911,"")</x:f>
        <x:v>-5.391982278363475</x:v>
      </x:c>
      <x:c r="Q1911" s="4" t="str">
        <x:f>IF(AND(ISNUMBER(P1911),P1911&gt;1E-9,P1911&lt;1-1E-9),'계산 과정'!$C$47*(D1911-'계산 과정'!$C$50+P1911*('계산 과정'!$C$32-D1911))+'계산 과정'!$D$47*(E1911-'계산 과정'!$D$50+P1911*('계산 과정'!$D$32-E1911))+'계산 과정'!$E$47*(0-'계산 과정'!$E$50+P1911*('계산 과정'!$E$32-0)),"")</x:f>
      </x:c>
      <x:c r="R1911" s="4" t="str">
        <x:f>IF(AND(ISNUMBER(P1911),P1911&gt;1E-9,P1911&lt;1-1E-9),'계산 과정'!$C$48*(D1911-'계산 과정'!$C$50+P1911*('계산 과정'!$C$32-D1911))+'계산 과정'!$D$48*(E1911-'계산 과정'!$D$50+P1911*('계산 과정'!$D$32-E1911))+'계산 과정'!$E$48*(0-'계산 과정'!$E$50+P1911*('계산 과정'!$E$32-0)),"")</x:f>
      </x:c>
      <x:c r="S1911" s="17" t="n">
        <x:f>IF('계산 과정'!$C$78,IF(AND(ISNUMBER(Q1911),ISNUMBER(R1911),ABS(Q1911-'계산 과정'!$C$88)&lt;='계산 과정'!$D$23/2,ABS(R1911-'계산 과정'!$C$89)&lt;='계산 과정'!$D$24/2),1,0),"")</x:f>
        <x:v>0</x:v>
      </x:c>
      <x:c r="T1911" s="4"/>
      <x:c r="U1911" s="4"/>
      <x:c r="V1911" s="4"/>
      <x:c r="W1911" s="4"/>
      <x:c r="X1911" s="4"/>
      <x:c r="Y1911" s="4"/>
      <x:c r="Z1911" s="4"/>
    </x:row>
    <x:row r="1912" ht="23" customHeight="1">
      <x:c r="A1912" s="17" t="n">
        <x:f>ROW()-6</x:f>
        <x:v>1906</x:v>
      </x:c>
      <x:c r="B1912" s="4" t="n">
        <x:f>IF('계산 과정'!$L$5,'계산 과정'!$L$11*SQRT((A1912+0.5)/'계산 과정'!$L$30),"")</x:f>
        <x:v>144.72537638683997</x:v>
      </x:c>
      <x:c r="C1912" s="4" t="n">
        <x:f>A1912*PI()*(3-SQRT(5))</x:f>
        <x:v>4574.329915862812</x:v>
      </x:c>
      <x:c r="D1912" s="4" t="n">
        <x:f>IF('계산 과정'!$L$5,B1912*COS(C1912),"")</x:f>
        <x:v>142.61426870162654</x:v>
      </x:c>
      <x:c r="E1912" s="4" t="n">
        <x:f>IF('계산 과정'!$L$5,B1912*SIN(C1912),"")</x:f>
        <x:v>24.62935104733285</x:v>
      </x:c>
      <x:c r="F1912" s="4" t="n">
        <x:f>IF('계산 과정'!$L$7,'계산 과정'!$L$22+'계산 과정'!$C$49*D1912+'계산 과정'!$D$49*E1912,"")</x:f>
        <x:v>549.1564835071194</x:v>
      </x:c>
      <x:c r="G1912" s="4" t="n">
        <x:f>IF('계산 과정'!$L$7,IF(ABS(F1912)&gt;=1E-12*MAX(1,SQRT((D1912-'계산 과정'!$C$33)^2+(E1912-'계산 과정'!$D$33)^2+'계산 과정'!$E$33^2)),('계산 과정'!$L$23-'계산 과정'!$C$49*D1912-'계산 과정'!$D$49*E1912)/F1912,""),"")</x:f>
        <x:v>0.9120233149107261</x:v>
      </x:c>
      <x:c r="H1912" s="4" t="n">
        <x:f>IF(AND(ISNUMBER(G1912),G1912&gt;0),('계산 과정'!$D$56+'계산 과정'!$D$57*D1912+'계산 과정'!$D$58*E1912)/F1912,"")</x:f>
        <x:v>192.81515469197183</x:v>
      </x:c>
      <x:c r="I1912" s="4" t="n">
        <x:f>IF(AND(ISNUMBER(G1912),G1912&gt;0),('계산 과정'!$E$56+'계산 과정'!$E$57*D1912+'계산 과정'!$E$58*E1912)/F1912,"")</x:f>
        <x:v>47.09189343362132</x:v>
      </x:c>
      <x:c r="J1912" s="4" t="n">
        <x:f>IF('계산 과정'!$L$5,'계산 과정'!$D$6+'계산 과정'!$C$35*D1912+'계산 과정'!$D$35*E1912,"")</x:f>
        <x:v>549.1564835071194</x:v>
      </x:c>
      <x:c r="K1912" s="4" t="n">
        <x:f>IF(AND('계산 과정'!$L$6,J1912&gt;0),'계산 과정'!$D$10*('계산 과정'!$C$38*(D1912-'계산 과정'!$C$32)+'계산 과정'!$D$38*(E1912-'계산 과정'!$D$32)-'계산 과정'!$E$38*'계산 과정'!$E$32)/J1912,"")</x:f>
        <x:v>1.4690678452721673</x:v>
      </x:c>
      <x:c r="L1912" s="4" t="n">
        <x:f>IF(AND('계산 과정'!$L$6,J1912&gt;0),'계산 과정'!$D$10*('계산 과정'!$C$39*(D1912-'계산 과정'!$C$32)+'계산 과정'!$D$39*(E1912-'계산 과정'!$D$32)-'계산 과정'!$E$39*'계산 과정'!$E$32)/J1912,"")</x:f>
        <x:v>0.3587953785418767</x:v>
      </x:c>
      <x:c r="M1912" s="17" t="n">
        <x:f>IF('계산 과정'!$L$6,IF(J1912&lt;=0,0,IF(AND(ABS(K1912)&lt;='계산 과정'!$D$11/2,ABS(L1912)&lt;='계산 과정'!$D$12/2),1,0)),"")</x:f>
        <x:v>1</x:v>
      </x:c>
      <x:c r="N1912" s="17" t="n">
        <x:f>IF('계산 과정'!$C$78,IF(AND(ISNUMBER(H1912),ISNUMBER(I1912),ABS(H1912-'계산 과정'!$C$88)&lt;='계산 과정'!$D$23/2,ABS(I1912-'계산 과정'!$C$89)&lt;='계산 과정'!$D$24/2),1,0),"")</x:f>
        <x:v>1</x:v>
      </x:c>
      <x:c r="O1912" s="4" t="n">
        <x:f>IF('계산 과정'!$L$7,'계산 과정'!$C$49*('계산 과정'!$C$32-D1912)+'계산 과정'!$D$49*('계산 과정'!$D$32-E1912)+'계산 과정'!$E$49*'계산 과정'!$E$32,"")</x:f>
        <x:v>100.84351649288064</x:v>
      </x:c>
      <x:c r="P1912" s="4" t="n">
        <x:f>IF(AND('계산 과정'!$L$7,O1912&lt;&gt;0),('계산 과정'!$L$23-'계산 과정'!$C$49*D1912-'계산 과정'!$D$49*E1912)/O1912,"")</x:f>
        <x:v>4.966541567679655</x:v>
      </x:c>
      <x:c r="Q1912" s="4" t="str">
        <x:f>IF(AND(ISNUMBER(P1912),P1912&gt;1E-9,P1912&lt;1-1E-9),'계산 과정'!$C$47*(D1912-'계산 과정'!$C$50+P1912*('계산 과정'!$C$32-D1912))+'계산 과정'!$D$47*(E1912-'계산 과정'!$D$50+P1912*('계산 과정'!$D$32-E1912))+'계산 과정'!$E$47*(0-'계산 과정'!$E$50+P1912*('계산 과정'!$E$32-0)),"")</x:f>
      </x:c>
      <x:c r="R1912" s="4" t="str">
        <x:f>IF(AND(ISNUMBER(P1912),P1912&gt;1E-9,P1912&lt;1-1E-9),'계산 과정'!$C$48*(D1912-'계산 과정'!$C$50+P1912*('계산 과정'!$C$32-D1912))+'계산 과정'!$D$48*(E1912-'계산 과정'!$D$50+P1912*('계산 과정'!$D$32-E1912))+'계산 과정'!$E$48*(0-'계산 과정'!$E$50+P1912*('계산 과정'!$E$32-0)),"")</x:f>
      </x:c>
      <x:c r="S1912" s="17" t="n">
        <x:f>IF('계산 과정'!$C$78,IF(AND(ISNUMBER(Q1912),ISNUMBER(R1912),ABS(Q1912-'계산 과정'!$C$88)&lt;='계산 과정'!$D$23/2,ABS(R1912-'계산 과정'!$C$89)&lt;='계산 과정'!$D$24/2),1,0),"")</x:f>
        <x:v>0</x:v>
      </x:c>
      <x:c r="T1912" s="4"/>
      <x:c r="U1912" s="4"/>
      <x:c r="V1912" s="4"/>
      <x:c r="W1912" s="4"/>
      <x:c r="X1912" s="4"/>
      <x:c r="Y1912" s="4"/>
      <x:c r="Z1912" s="4"/>
    </x:row>
    <x:row r="1913" ht="23" customHeight="1">
      <x:c r="A1913" s="17" t="n">
        <x:f>ROW()-6</x:f>
        <x:v>1907</x:v>
      </x:c>
      <x:c r="B1913" s="4" t="n">
        <x:f>IF('계산 과정'!$L$5,'계산 과정'!$L$11*SQRT((A1913+0.5)/'계산 과정'!$L$30),"")</x:f>
        <x:v>144.76332718764618</x:v>
      </x:c>
      <x:c r="C1913" s="4" t="n">
        <x:f>A1913*PI()*(3-SQRT(5))</x:f>
        <x:v>4576.729879092541</x:v>
      </x:c>
      <x:c r="D1913" s="4" t="n">
        <x:f>IF('계산 과정'!$L$5,B1913*COS(C1913),"")</x:f>
        <x:v>-121.82814906732084</x:v>
      </x:c>
      <x:c r="E1913" s="4" t="n">
        <x:f>IF('계산 과정'!$L$5,B1913*SIN(C1913),"")</x:f>
        <x:v>78.1941365657819</x:v>
      </x:c>
      <x:c r="F1913" s="4" t="n">
        <x:f>IF('계산 과정'!$L$7,'계산 과정'!$L$22+'계산 과정'!$C$49*D1913+'계산 과정'!$D$49*E1913,"")</x:f>
        <x:v>736.1455103449081</x:v>
      </x:c>
      <x:c r="G1913" s="4" t="n">
        <x:f>IF('계산 과정'!$L$7,IF(ABS(F1913)&gt;=1E-12*MAX(1,SQRT((D1913-'계산 과정'!$C$33)^2+(E1913-'계산 과정'!$D$33)^2+'계산 과정'!$E$33^2)),('계산 과정'!$L$23-'계산 과정'!$C$49*D1913-'계산 과정'!$D$49*E1913)/F1913,""),"")</x:f>
        <x:v>0.42634843960135116</x:v>
      </x:c>
      <x:c r="H1913" s="4" t="n">
        <x:f>IF(AND(ISNUMBER(G1913),G1913&gt;0),('계산 과정'!$D$56+'계산 과정'!$D$57*D1913+'계산 과정'!$D$58*E1913)/F1913,"")</x:f>
        <x:v>-122.8735142591219</x:v>
      </x:c>
      <x:c r="I1913" s="4" t="n">
        <x:f>IF(AND(ISNUMBER(G1913),G1913&gt;0),('계산 과정'!$E$56+'계산 과정'!$E$57*D1913+'계산 과정'!$E$58*E1913)/F1913,"")</x:f>
        <x:v>111.53208467657798</x:v>
      </x:c>
      <x:c r="J1913" s="4" t="n">
        <x:f>IF('계산 과정'!$L$5,'계산 과정'!$D$6+'계산 과정'!$C$35*D1913+'계산 과정'!$D$35*E1913,"")</x:f>
        <x:v>736.1455103449081</x:v>
      </x:c>
      <x:c r="K1913" s="4" t="n">
        <x:f>IF(AND('계산 과정'!$L$6,J1913&gt;0),'계산 과정'!$D$10*('계산 과정'!$C$38*(D1913-'계산 과정'!$C$32)+'계산 과정'!$D$38*(E1913-'계산 과정'!$D$32)-'계산 과정'!$E$38*'계산 과정'!$E$32)/J1913,"")</x:f>
        <x:v>-0.9361791562599754</x:v>
      </x:c>
      <x:c r="L1913" s="4" t="n">
        <x:f>IF(AND('계산 과정'!$L$6,J1913&gt;0),'계산 과정'!$D$10*('계산 과정'!$C$39*(D1913-'계산 과정'!$C$32)+'계산 과정'!$D$39*(E1913-'계산 과정'!$D$32)-'계산 과정'!$E$39*'계산 과정'!$E$32)/J1913,"")</x:f>
        <x:v>0.8497682642024988</x:v>
      </x:c>
      <x:c r="M1913" s="17" t="n">
        <x:f>IF('계산 과정'!$L$6,IF(J1913&lt;=0,0,IF(AND(ABS(K1913)&lt;='계산 과정'!$D$11/2,ABS(L1913)&lt;='계산 과정'!$D$12/2),1,0)),"")</x:f>
        <x:v>1</x:v>
      </x:c>
      <x:c r="N1913" s="17" t="n">
        <x:f>IF('계산 과정'!$C$78,IF(AND(ISNUMBER(H1913),ISNUMBER(I1913),ABS(H1913-'계산 과정'!$C$88)&lt;='계산 과정'!$D$23/2,ABS(I1913-'계산 과정'!$C$89)&lt;='계산 과정'!$D$24/2),1,0),"")</x:f>
        <x:v>1</x:v>
      </x:c>
      <x:c r="O1913" s="4" t="n">
        <x:f>IF('계산 과정'!$L$7,'계산 과정'!$C$49*('계산 과정'!$C$32-D1913)+'계산 과정'!$D$49*('계산 과정'!$D$32-E1913)+'계산 과정'!$E$49*'계산 과정'!$E$32,"")</x:f>
        <x:v>-86.14551034490802</x:v>
      </x:c>
      <x:c r="P1913" s="4" t="n">
        <x:f>IF(AND('계산 과정'!$L$7,O1913&lt;&gt;0),('계산 과정'!$L$23-'계산 과정'!$C$49*D1913-'계산 과정'!$D$49*E1913)/O1913,"")</x:f>
        <x:v>-3.643306405620981</x:v>
      </x:c>
      <x:c r="Q1913" s="4" t="str">
        <x:f>IF(AND(ISNUMBER(P1913),P1913&gt;1E-9,P1913&lt;1-1E-9),'계산 과정'!$C$47*(D1913-'계산 과정'!$C$50+P1913*('계산 과정'!$C$32-D1913))+'계산 과정'!$D$47*(E1913-'계산 과정'!$D$50+P1913*('계산 과정'!$D$32-E1913))+'계산 과정'!$E$47*(0-'계산 과정'!$E$50+P1913*('계산 과정'!$E$32-0)),"")</x:f>
      </x:c>
      <x:c r="R1913" s="4" t="str">
        <x:f>IF(AND(ISNUMBER(P1913),P1913&gt;1E-9,P1913&lt;1-1E-9),'계산 과정'!$C$48*(D1913-'계산 과정'!$C$50+P1913*('계산 과정'!$C$32-D1913))+'계산 과정'!$D$48*(E1913-'계산 과정'!$D$50+P1913*('계산 과정'!$D$32-E1913))+'계산 과정'!$E$48*(0-'계산 과정'!$E$50+P1913*('계산 과정'!$E$32-0)),"")</x:f>
      </x:c>
      <x:c r="S1913" s="17" t="n">
        <x:f>IF('계산 과정'!$C$78,IF(AND(ISNUMBER(Q1913),ISNUMBER(R1913),ABS(Q1913-'계산 과정'!$C$88)&lt;='계산 과정'!$D$23/2,ABS(R1913-'계산 과정'!$C$89)&lt;='계산 과정'!$D$24/2),1,0),"")</x:f>
        <x:v>0</x:v>
      </x:c>
      <x:c r="T1913" s="4"/>
      <x:c r="U1913" s="4"/>
      <x:c r="V1913" s="4"/>
      <x:c r="W1913" s="4"/>
      <x:c r="X1913" s="4"/>
      <x:c r="Y1913" s="4"/>
      <x:c r="Z1913" s="4"/>
    </x:row>
    <x:row r="1914" ht="23" customHeight="1">
      <x:c r="A1914" s="17" t="n">
        <x:f>ROW()-6</x:f>
        <x:v>1908</x:v>
      </x:c>
      <x:c r="B1914" s="4" t="n">
        <x:f>IF('계산 과정'!$L$5,'계산 과정'!$L$11*SQRT((A1914+0.5)/'계산 과정'!$L$30),"")</x:f>
        <x:v>144.8012680419702</x:v>
      </x:c>
      <x:c r="C1914" s="4" t="n">
        <x:f>A1914*PI()*(3-SQRT(5))</x:f>
        <x:v>4579.12984232227</x:v>
      </x:c>
      <x:c r="D1914" s="4" t="n">
        <x:f>IF('계산 과정'!$L$5,B1914*COS(C1914),"")</x:f>
        <x:v>37.0226059477232</x:v>
      </x:c>
      <x:c r="E1914" s="4" t="n">
        <x:f>IF('계산 과정'!$L$5,B1914*SIN(C1914),"")</x:f>
        <x:v>-139.98833478330295</x:v>
      </x:c>
      <x:c r="F1914" s="4" t="n">
        <x:f>IF('계산 과정'!$L$7,'계산 과정'!$L$22+'계산 과정'!$C$49*D1914+'계산 과정'!$D$49*E1914,"")</x:f>
        <x:v>623.8210642771675</x:v>
      </x:c>
      <x:c r="G1914" s="4" t="n">
        <x:f>IF('계산 과정'!$L$7,IF(ABS(F1914)&gt;=1E-12*MAX(1,SQRT((D1914-'계산 과정'!$C$33)^2+(E1914-'계산 과정'!$D$33)^2+'계산 과정'!$E$33^2)),('계산 과정'!$L$23-'계산 과정'!$C$49*D1914-'계산 과정'!$D$49*E1914)/F1914,""),"")</x:f>
        <x:v>0.6831749681563792</x:v>
      </x:c>
      <x:c r="H1914" s="4" t="n">
        <x:f>IF(AND(ISNUMBER(G1914),G1914&gt;0),('계산 과정'!$D$56+'계산 과정'!$D$57*D1914+'계산 과정'!$D$58*E1914)/F1914,"")</x:f>
        <x:v>44.063729301646354</x:v>
      </x:c>
      <x:c r="I1914" s="4" t="n">
        <x:f>IF(AND(ISNUMBER(G1914),G1914&gt;0),('계산 과정'!$E$56+'계산 과정'!$E$57*D1914+'계산 과정'!$E$58*E1914)/F1914,"")</x:f>
        <x:v>-235.62486094115047</x:v>
      </x:c>
      <x:c r="J1914" s="4" t="n">
        <x:f>IF('계산 과정'!$L$5,'계산 과정'!$D$6+'계산 과정'!$C$35*D1914+'계산 과정'!$D$35*E1914,"")</x:f>
        <x:v>623.8210642771675</x:v>
      </x:c>
      <x:c r="K1914" s="4" t="n">
        <x:f>IF(AND('계산 과정'!$L$6,J1914&gt;0),'계산 과정'!$D$10*('계산 과정'!$C$38*(D1914-'계산 과정'!$C$32)+'계산 과정'!$D$38*(E1914-'계산 과정'!$D$32)-'계산 과정'!$E$38*'계산 과정'!$E$32)/J1914,"")</x:f>
        <x:v>0.33572365182206826</x:v>
      </x:c>
      <x:c r="L1914" s="4" t="n">
        <x:f>IF(AND('계산 과정'!$L$6,J1914&gt;0),'계산 과정'!$D$10*('계산 과정'!$C$39*(D1914-'계산 과정'!$C$32)+'계산 과정'!$D$39*(E1914-'계산 과정'!$D$32)-'계산 과정'!$E$39*'계산 과정'!$E$32)/J1914,"")</x:f>
        <x:v>-1.795237035742099</x:v>
      </x:c>
      <x:c r="M1914" s="17" t="n">
        <x:f>IF('계산 과정'!$L$6,IF(J1914&lt;=0,0,IF(AND(ABS(K1914)&lt;='계산 과정'!$D$11/2,ABS(L1914)&lt;='계산 과정'!$D$12/2),1,0)),"")</x:f>
        <x:v>1</x:v>
      </x:c>
      <x:c r="N1914" s="17" t="n">
        <x:f>IF('계산 과정'!$C$78,IF(AND(ISNUMBER(H1914),ISNUMBER(I1914),ABS(H1914-'계산 과정'!$C$88)&lt;='계산 과정'!$D$23/2,ABS(I1914-'계산 과정'!$C$89)&lt;='계산 과정'!$D$24/2),1,0),"")</x:f>
        <x:v>1</x:v>
      </x:c>
      <x:c r="O1914" s="4" t="n">
        <x:f>IF('계산 과정'!$L$7,'계산 과정'!$C$49*('계산 과정'!$C$32-D1914)+'계산 과정'!$D$49*('계산 과정'!$D$32-E1914)+'계산 과정'!$E$49*'계산 과정'!$E$32,"")</x:f>
        <x:v>26.17893572283259</x:v>
      </x:c>
      <x:c r="P1914" s="4" t="n">
        <x:f>IF(AND('계산 과정'!$L$7,O1914&lt;&gt;0),('계산 과정'!$L$23-'계산 과정'!$C$49*D1914-'계산 과정'!$D$49*E1914)/O1914,"")</x:f>
        <x:v>16.27945995341324</x:v>
      </x:c>
      <x:c r="Q1914" s="4" t="str">
        <x:f>IF(AND(ISNUMBER(P1914),P1914&gt;1E-9,P1914&lt;1-1E-9),'계산 과정'!$C$47*(D1914-'계산 과정'!$C$50+P1914*('계산 과정'!$C$32-D1914))+'계산 과정'!$D$47*(E1914-'계산 과정'!$D$50+P1914*('계산 과정'!$D$32-E1914))+'계산 과정'!$E$47*(0-'계산 과정'!$E$50+P1914*('계산 과정'!$E$32-0)),"")</x:f>
      </x:c>
      <x:c r="R1914" s="4" t="str">
        <x:f>IF(AND(ISNUMBER(P1914),P1914&gt;1E-9,P1914&lt;1-1E-9),'계산 과정'!$C$48*(D1914-'계산 과정'!$C$50+P1914*('계산 과정'!$C$32-D1914))+'계산 과정'!$D$48*(E1914-'계산 과정'!$D$50+P1914*('계산 과정'!$D$32-E1914))+'계산 과정'!$E$48*(0-'계산 과정'!$E$50+P1914*('계산 과정'!$E$32-0)),"")</x:f>
      </x:c>
      <x:c r="S1914" s="17" t="n">
        <x:f>IF('계산 과정'!$C$78,IF(AND(ISNUMBER(Q1914),ISNUMBER(R1914),ABS(Q1914-'계산 과정'!$C$88)&lt;='계산 과정'!$D$23/2,ABS(R1914-'계산 과정'!$C$89)&lt;='계산 과정'!$D$24/2),1,0),"")</x:f>
        <x:v>0</x:v>
      </x:c>
      <x:c r="T1914" s="4"/>
      <x:c r="U1914" s="4"/>
      <x:c r="V1914" s="4"/>
      <x:c r="W1914" s="4"/>
      <x:c r="X1914" s="4"/>
      <x:c r="Y1914" s="4"/>
      <x:c r="Z1914" s="4"/>
    </x:row>
    <x:row r="1915" ht="23" customHeight="1">
      <x:c r="A1915" s="17" t="n">
        <x:f>ROW()-6</x:f>
        <x:v>1909</x:v>
      </x:c>
      <x:c r="B1915" s="4" t="n">
        <x:f>IF('계산 과정'!$L$5,'계산 과정'!$L$11*SQRT((A1915+0.5)/'계산 과정'!$L$30),"")</x:f>
        <x:v>144.83919895762853</x:v>
      </x:c>
      <x:c r="C1915" s="4" t="n">
        <x:f>A1915*PI()*(3-SQRT(5))</x:f>
        <x:v>4581.529805551998</x:v>
      </x:c>
      <x:c r="D1915" s="4" t="n">
        <x:f>IF('계산 과정'!$L$5,B1915*COS(C1915),"")</x:f>
        <x:v>67.27906328388644</x:v>
      </x:c>
      <x:c r="E1915" s="4" t="n">
        <x:f>IF('계산 과정'!$L$5,B1915*SIN(C1915),"")</x:f>
        <x:v>128.26504277600466</x:v>
      </x:c>
      <x:c r="F1915" s="4" t="n">
        <x:f>IF('계산 과정'!$L$7,'계산 과정'!$L$22+'계산 과정'!$C$49*D1915+'계산 과정'!$D$49*E1915,"")</x:f>
        <x:v>602.426518120085</x:v>
      </x:c>
      <x:c r="G1915" s="4" t="n">
        <x:f>IF('계산 과정'!$L$7,IF(ABS(F1915)&gt;=1E-12*MAX(1,SQRT((D1915-'계산 과정'!$C$33)^2+(E1915-'계산 과정'!$D$33)^2+'계산 과정'!$E$33^2)),('계산 과정'!$L$23-'계산 과정'!$C$49*D1915-'계산 과정'!$D$49*E1915)/F1915,""),"")</x:f>
        <x:v>0.7429511623701427</x:v>
      </x:c>
      <x:c r="H1915" s="4" t="n">
        <x:f>IF(AND(ISNUMBER(G1915),G1915&gt;0),('계산 과정'!$D$56+'계산 과정'!$D$57*D1915+'계산 과정'!$D$58*E1915)/F1915,"")</x:f>
        <x:v>82.91825554059264</x:v>
      </x:c>
      <x:c r="I1915" s="4" t="n">
        <x:f>IF(AND(ISNUMBER(G1915),G1915&gt;0),('계산 과정'!$E$56+'계산 과정'!$E$57*D1915+'계산 과정'!$E$58*E1915)/F1915,"")</x:f>
        <x:v>223.5597053978934</x:v>
      </x:c>
      <x:c r="J1915" s="4" t="n">
        <x:f>IF('계산 과정'!$L$5,'계산 과정'!$D$6+'계산 과정'!$C$35*D1915+'계산 과정'!$D$35*E1915,"")</x:f>
        <x:v>602.426518120085</x:v>
      </x:c>
      <x:c r="K1915" s="4" t="n">
        <x:f>IF(AND('계산 과정'!$L$6,J1915&gt;0),'계산 과정'!$D$10*('계산 과정'!$C$38*(D1915-'계산 과정'!$C$32)+'계산 과정'!$D$38*(E1915-'계산 과정'!$D$32)-'계산 과정'!$E$38*'계산 과정'!$E$32)/J1915,"")</x:f>
        <x:v>0.6317581374521353</x:v>
      </x:c>
      <x:c r="L1915" s="4" t="n">
        <x:f>IF(AND('계산 과정'!$L$6,J1915&gt;0),'계산 과정'!$D$10*('계산 과정'!$C$39*(D1915-'계산 과정'!$C$32)+'계산 과정'!$D$39*(E1915-'계산 과정'!$D$32)-'계산 과정'!$E$39*'계산 과정'!$E$32)/J1915,"")</x:f>
        <x:v>1.7033120411268068</x:v>
      </x:c>
      <x:c r="M1915" s="17" t="n">
        <x:f>IF('계산 과정'!$L$6,IF(J1915&lt;=0,0,IF(AND(ABS(K1915)&lt;='계산 과정'!$D$11/2,ABS(L1915)&lt;='계산 과정'!$D$12/2),1,0)),"")</x:f>
        <x:v>1</x:v>
      </x:c>
      <x:c r="N1915" s="17" t="n">
        <x:f>IF('계산 과정'!$C$78,IF(AND(ISNUMBER(H1915),ISNUMBER(I1915),ABS(H1915-'계산 과정'!$C$88)&lt;='계산 과정'!$D$23/2,ABS(I1915-'계산 과정'!$C$89)&lt;='계산 과정'!$D$24/2),1,0),"")</x:f>
        <x:v>1</x:v>
      </x:c>
      <x:c r="O1915" s="4" t="n">
        <x:f>IF('계산 과정'!$L$7,'계산 과정'!$C$49*('계산 과정'!$C$32-D1915)+'계산 과정'!$D$49*('계산 과정'!$D$32-E1915)+'계산 과정'!$E$49*'계산 과정'!$E$32,"")</x:f>
        <x:v>47.57348187991511</x:v>
      </x:c>
      <x:c r="P1915" s="4" t="n">
        <x:f>IF(AND('계산 과정'!$L$7,O1915&lt;&gt;0),('계산 과정'!$L$23-'계산 과정'!$C$49*D1915-'계산 과정'!$D$49*E1915)/O1915,"")</x:f>
        <x:v>9.408045494960389</x:v>
      </x:c>
      <x:c r="Q1915" s="4" t="str">
        <x:f>IF(AND(ISNUMBER(P1915),P1915&gt;1E-9,P1915&lt;1-1E-9),'계산 과정'!$C$47*(D1915-'계산 과정'!$C$50+P1915*('계산 과정'!$C$32-D1915))+'계산 과정'!$D$47*(E1915-'계산 과정'!$D$50+P1915*('계산 과정'!$D$32-E1915))+'계산 과정'!$E$47*(0-'계산 과정'!$E$50+P1915*('계산 과정'!$E$32-0)),"")</x:f>
      </x:c>
      <x:c r="R1915" s="4" t="str">
        <x:f>IF(AND(ISNUMBER(P1915),P1915&gt;1E-9,P1915&lt;1-1E-9),'계산 과정'!$C$48*(D1915-'계산 과정'!$C$50+P1915*('계산 과정'!$C$32-D1915))+'계산 과정'!$D$48*(E1915-'계산 과정'!$D$50+P1915*('계산 과정'!$D$32-E1915))+'계산 과정'!$E$48*(0-'계산 과정'!$E$50+P1915*('계산 과정'!$E$32-0)),"")</x:f>
      </x:c>
      <x:c r="S1915" s="17" t="n">
        <x:f>IF('계산 과정'!$C$78,IF(AND(ISNUMBER(Q1915),ISNUMBER(R1915),ABS(Q1915-'계산 과정'!$C$88)&lt;='계산 과정'!$D$23/2,ABS(R1915-'계산 과정'!$C$89)&lt;='계산 과정'!$D$24/2),1,0),"")</x:f>
        <x:v>0</x:v>
      </x:c>
      <x:c r="T1915" s="4"/>
      <x:c r="U1915" s="4"/>
      <x:c r="V1915" s="4"/>
      <x:c r="W1915" s="4"/>
      <x:c r="X1915" s="4"/>
      <x:c r="Y1915" s="4"/>
      <x:c r="Z1915" s="4"/>
    </x:row>
    <x:row r="1916" ht="23" customHeight="1">
      <x:c r="A1916" s="17" t="n">
        <x:f>ROW()-6</x:f>
        <x:v>1910</x:v>
      </x:c>
      <x:c r="B1916" s="4" t="n">
        <x:f>IF('계산 과정'!$L$5,'계산 과정'!$L$11*SQRT((A1916+0.5)/'계산 과정'!$L$30),"")</x:f>
        <x:v>144.8771199424274</x:v>
      </x:c>
      <x:c r="C1916" s="4" t="n">
        <x:f>A1916*PI()*(3-SQRT(5))</x:f>
        <x:v>4583.929768781727</x:v>
      </x:c>
      <x:c r="D1916" s="4" t="n">
        <x:f>IF('계산 과정'!$L$5,B1916*COS(C1916),"")</x:f>
        <x:v>-136.28695144385736</x:v>
      </x:c>
      <x:c r="E1916" s="4" t="n">
        <x:f>IF('계산 과정'!$L$5,B1916*SIN(C1916),"")</x:f>
        <x:v>-49.145159974835394</x:v>
      </x:c>
      <x:c r="F1916" s="4" t="n">
        <x:f>IF('계산 과정'!$L$7,'계산 과정'!$L$22+'계산 과정'!$C$49*D1916+'계산 과정'!$D$49*E1916,"")</x:f>
        <x:v>746.3694275531933</x:v>
      </x:c>
      <x:c r="G1916" s="4" t="n">
        <x:f>IF('계산 과정'!$L$7,IF(ABS(F1916)&gt;=1E-12*MAX(1,SQRT((D1916-'계산 과정'!$C$33)^2+(E1916-'계산 과정'!$D$33)^2+'계산 과정'!$E$33^2)),('계산 과정'!$L$23-'계산 과정'!$C$49*D1916-'계산 과정'!$D$49*E1916)/F1916,""),"")</x:f>
        <x:v>0.40681003433137963</x:v>
      </x:c>
      <x:c r="H1916" s="4" t="n">
        <x:f>IF(AND(ISNUMBER(G1916),G1916&gt;0),('계산 과정'!$D$56+'계산 과정'!$D$57*D1916+'계산 과정'!$D$58*E1916)/F1916,"")</x:f>
        <x:v>-135.57347768460338</x:v>
      </x:c>
      <x:c r="I1916" s="4" t="n">
        <x:f>IF(AND(ISNUMBER(G1916),G1916&gt;0),('계산 과정'!$E$56+'계산 과정'!$E$57*D1916+'계산 과정'!$E$58*E1916)/F1916,"")</x:f>
        <x:v>-69.13790419141932</x:v>
      </x:c>
      <x:c r="J1916" s="4" t="n">
        <x:f>IF('계산 과정'!$L$5,'계산 과정'!$D$6+'계산 과정'!$C$35*D1916+'계산 과정'!$D$35*E1916,"")</x:f>
        <x:v>746.3694275531933</x:v>
      </x:c>
      <x:c r="K1916" s="4" t="n">
        <x:f>IF(AND('계산 과정'!$L$6,J1916&gt;0),'계산 과정'!$D$10*('계산 과정'!$C$38*(D1916-'계산 과정'!$C$32)+'계산 과정'!$D$38*(E1916-'계산 과정'!$D$32)-'계산 과정'!$E$38*'계산 과정'!$E$32)/J1916,"")</x:f>
        <x:v>-1.0329407823588814</x:v>
      </x:c>
      <x:c r="L1916" s="4" t="n">
        <x:f>IF(AND('계산 과정'!$L$6,J1916&gt;0),'계산 과정'!$D$10*('계산 과정'!$C$39*(D1916-'계산 과정'!$C$32)+'계산 과정'!$D$39*(E1916-'계산 과정'!$D$32)-'계산 과정'!$E$39*'계산 과정'!$E$32)/J1916,"")</x:f>
        <x:v>-0.5267649843155758</x:v>
      </x:c>
      <x:c r="M1916" s="17" t="n">
        <x:f>IF('계산 과정'!$L$6,IF(J1916&lt;=0,0,IF(AND(ABS(K1916)&lt;='계산 과정'!$D$11/2,ABS(L1916)&lt;='계산 과정'!$D$12/2),1,0)),"")</x:f>
        <x:v>1</x:v>
      </x:c>
      <x:c r="N1916" s="17" t="n">
        <x:f>IF('계산 과정'!$C$78,IF(AND(ISNUMBER(H1916),ISNUMBER(I1916),ABS(H1916-'계산 과정'!$C$88)&lt;='계산 과정'!$D$23/2,ABS(I1916-'계산 과정'!$C$89)&lt;='계산 과정'!$D$24/2),1,0),"")</x:f>
        <x:v>1</x:v>
      </x:c>
      <x:c r="O1916" s="4" t="n">
        <x:f>IF('계산 과정'!$L$7,'계산 과정'!$C$49*('계산 과정'!$C$32-D1916)+'계산 과정'!$D$49*('계산 과정'!$D$32-E1916)+'계산 과정'!$E$49*'계산 과정'!$E$32,"")</x:f>
        <x:v>-96.36942755319313</x:v>
      </x:c>
      <x:c r="P1916" s="4" t="n">
        <x:f>IF(AND('계산 과정'!$L$7,O1916&lt;&gt;0),('계산 과정'!$L$23-'계산 과정'!$C$49*D1916-'계산 과정'!$D$49*E1916)/O1916,"")</x:f>
        <x:v>-3.1506939509338836</x:v>
      </x:c>
      <x:c r="Q1916" s="4" t="str">
        <x:f>IF(AND(ISNUMBER(P1916),P1916&gt;1E-9,P1916&lt;1-1E-9),'계산 과정'!$C$47*(D1916-'계산 과정'!$C$50+P1916*('계산 과정'!$C$32-D1916))+'계산 과정'!$D$47*(E1916-'계산 과정'!$D$50+P1916*('계산 과정'!$D$32-E1916))+'계산 과정'!$E$47*(0-'계산 과정'!$E$50+P1916*('계산 과정'!$E$32-0)),"")</x:f>
      </x:c>
      <x:c r="R1916" s="4" t="str">
        <x:f>IF(AND(ISNUMBER(P1916),P1916&gt;1E-9,P1916&lt;1-1E-9),'계산 과정'!$C$48*(D1916-'계산 과정'!$C$50+P1916*('계산 과정'!$C$32-D1916))+'계산 과정'!$D$48*(E1916-'계산 과정'!$D$50+P1916*('계산 과정'!$D$32-E1916))+'계산 과정'!$E$48*(0-'계산 과정'!$E$50+P1916*('계산 과정'!$E$32-0)),"")</x:f>
      </x:c>
      <x:c r="S1916" s="17" t="n">
        <x:f>IF('계산 과정'!$C$78,IF(AND(ISNUMBER(Q1916),ISNUMBER(R1916),ABS(Q1916-'계산 과정'!$C$88)&lt;='계산 과정'!$D$23/2,ABS(R1916-'계산 과정'!$C$89)&lt;='계산 과정'!$D$24/2),1,0),"")</x:f>
        <x:v>0</x:v>
      </x:c>
      <x:c r="T1916" s="4"/>
      <x:c r="U1916" s="4"/>
      <x:c r="V1916" s="4"/>
      <x:c r="W1916" s="4"/>
      <x:c r="X1916" s="4"/>
      <x:c r="Y1916" s="4"/>
      <x:c r="Z1916" s="4"/>
    </x:row>
    <x:row r="1917" ht="23" customHeight="1">
      <x:c r="A1917" s="17" t="n">
        <x:f>ROW()-6</x:f>
        <x:v>1911</x:v>
      </x:c>
      <x:c r="B1917" s="4" t="n">
        <x:f>IF('계산 과정'!$L$5,'계산 과정'!$L$11*SQRT((A1917+0.5)/'계산 과정'!$L$30),"")</x:f>
        <x:v>144.91503100416293</x:v>
      </x:c>
      <x:c r="C1917" s="4" t="n">
        <x:f>A1917*PI()*(3-SQRT(5))</x:f>
        <x:v>4586.329732011456</x:v>
      </x:c>
      <x:c r="D1917" s="4" t="n">
        <x:f>IF('계산 과정'!$L$5,B1917*COS(C1917),"")</x:f>
        <x:v>133.7258189201078</x:v>
      </x:c>
      <x:c r="E1917" s="4" t="n">
        <x:f>IF('계산 과정'!$L$5,B1917*SIN(C1917),"")</x:f>
        <x:v>-55.837008919569115</x:v>
      </x:c>
      <x:c r="F1917" s="4" t="n">
        <x:f>IF('계산 과정'!$L$7,'계산 과정'!$L$22+'계산 과정'!$C$49*D1917+'계산 과정'!$D$49*E1917,"")</x:f>
        <x:v>555.4415666218674</x:v>
      </x:c>
      <x:c r="G1917" s="4" t="n">
        <x:f>IF('계산 과정'!$L$7,IF(ABS(F1917)&gt;=1E-12*MAX(1,SQRT((D1917-'계산 과정'!$C$33)^2+(E1917-'계산 과정'!$D$33)^2+'계산 과정'!$E$33^2)),('계산 과정'!$L$23-'계산 과정'!$C$49*D1917-'계산 과정'!$D$49*E1917)/F1917,""),"")</x:f>
        <x:v>0.8903878699355916</x:v>
      </x:c>
      <x:c r="H1917" s="4" t="n">
        <x:f>IF(AND(ISNUMBER(G1917),G1917&gt;0),('계산 과정'!$D$56+'계산 과정'!$D$57*D1917+'계산 과정'!$D$58*E1917)/F1917,"")</x:f>
        <x:v>178.75211545813445</x:v>
      </x:c>
      <x:c r="I1917" s="4" t="n">
        <x:f>IF(AND(ISNUMBER(G1917),G1917&gt;0),('계산 과정'!$E$56+'계산 과정'!$E$57*D1917+'계산 과정'!$E$58*E1917)/F1917,"")</x:f>
        <x:v>-105.5536043550389</x:v>
      </x:c>
      <x:c r="J1917" s="4" t="n">
        <x:f>IF('계산 과정'!$L$5,'계산 과정'!$D$6+'계산 과정'!$C$35*D1917+'계산 과정'!$D$35*E1917,"")</x:f>
        <x:v>555.4415666218674</x:v>
      </x:c>
      <x:c r="K1917" s="4" t="n">
        <x:f>IF(AND('계산 과정'!$L$6,J1917&gt;0),'계산 과정'!$D$10*('계산 과정'!$C$38*(D1917-'계산 과정'!$C$32)+'계산 과정'!$D$38*(E1917-'계산 과정'!$D$32)-'계산 과정'!$E$38*'계산 과정'!$E$32)/J1917,"")</x:f>
        <x:v>1.3619208796810256</x:v>
      </x:c>
      <x:c r="L1917" s="4" t="n">
        <x:f>IF(AND('계산 과정'!$L$6,J1917&gt;0),'계산 과정'!$D$10*('계산 과정'!$C$39*(D1917-'계산 과정'!$C$32)+'계산 과정'!$D$39*(E1917-'계산 과정'!$D$32)-'계산 과정'!$E$39*'계산 과정'!$E$32)/J1917,"")</x:f>
        <x:v>-0.8042179379431534</x:v>
      </x:c>
      <x:c r="M1917" s="17" t="n">
        <x:f>IF('계산 과정'!$L$6,IF(J1917&lt;=0,0,IF(AND(ABS(K1917)&lt;='계산 과정'!$D$11/2,ABS(L1917)&lt;='계산 과정'!$D$12/2),1,0)),"")</x:f>
        <x:v>1</x:v>
      </x:c>
      <x:c r="N1917" s="17" t="n">
        <x:f>IF('계산 과정'!$C$78,IF(AND(ISNUMBER(H1917),ISNUMBER(I1917),ABS(H1917-'계산 과정'!$C$88)&lt;='계산 과정'!$D$23/2,ABS(I1917-'계산 과정'!$C$89)&lt;='계산 과정'!$D$24/2),1,0),"")</x:f>
        <x:v>1</x:v>
      </x:c>
      <x:c r="O1917" s="4" t="n">
        <x:f>IF('계산 과정'!$L$7,'계산 과정'!$C$49*('계산 과정'!$C$32-D1917)+'계산 과정'!$D$49*('계산 과정'!$D$32-E1917)+'계산 과정'!$E$49*'계산 과정'!$E$32,"")</x:f>
        <x:v>94.55843337813266</x:v>
      </x:c>
      <x:c r="P1917" s="4" t="n">
        <x:f>IF(AND('계산 과정'!$L$7,O1917&lt;&gt;0),('계산 과정'!$L$23-'계산 과정'!$C$49*D1917-'계산 과정'!$D$49*E1917)/O1917,"")</x:f>
        <x:v>5.230188526923108</x:v>
      </x:c>
      <x:c r="Q1917" s="4" t="str">
        <x:f>IF(AND(ISNUMBER(P1917),P1917&gt;1E-9,P1917&lt;1-1E-9),'계산 과정'!$C$47*(D1917-'계산 과정'!$C$50+P1917*('계산 과정'!$C$32-D1917))+'계산 과정'!$D$47*(E1917-'계산 과정'!$D$50+P1917*('계산 과정'!$D$32-E1917))+'계산 과정'!$E$47*(0-'계산 과정'!$E$50+P1917*('계산 과정'!$E$32-0)),"")</x:f>
      </x:c>
      <x:c r="R1917" s="4" t="str">
        <x:f>IF(AND(ISNUMBER(P1917),P1917&gt;1E-9,P1917&lt;1-1E-9),'계산 과정'!$C$48*(D1917-'계산 과정'!$C$50+P1917*('계산 과정'!$C$32-D1917))+'계산 과정'!$D$48*(E1917-'계산 과정'!$D$50+P1917*('계산 과정'!$D$32-E1917))+'계산 과정'!$E$48*(0-'계산 과정'!$E$50+P1917*('계산 과정'!$E$32-0)),"")</x:f>
      </x:c>
      <x:c r="S1917" s="17" t="n">
        <x:f>IF('계산 과정'!$C$78,IF(AND(ISNUMBER(Q1917),ISNUMBER(R1917),ABS(Q1917-'계산 과정'!$C$88)&lt;='계산 과정'!$D$23/2,ABS(R1917-'계산 과정'!$C$89)&lt;='계산 과정'!$D$24/2),1,0),"")</x:f>
        <x:v>0</x:v>
      </x:c>
      <x:c r="T1917" s="4"/>
      <x:c r="U1917" s="4"/>
      <x:c r="V1917" s="4"/>
      <x:c r="W1917" s="4"/>
      <x:c r="X1917" s="4"/>
      <x:c r="Y1917" s="4"/>
      <x:c r="Z1917" s="4"/>
    </x:row>
    <x:row r="1918" ht="23" customHeight="1">
      <x:c r="A1918" s="17" t="n">
        <x:f>ROW()-6</x:f>
        <x:v>1912</x:v>
      </x:c>
      <x:c r="B1918" s="4" t="n">
        <x:f>IF('계산 과정'!$L$5,'계산 과정'!$L$11*SQRT((A1918+0.5)/'계산 과정'!$L$30),"")</x:f>
        <x:v>144.95293215062088</x:v>
      </x:c>
      <x:c r="C1918" s="4" t="n">
        <x:f>A1918*PI()*(3-SQRT(5))</x:f>
        <x:v>4588.729695241184</x:v>
      </x:c>
      <x:c r="D1918" s="4" t="n">
        <x:f>IF('계산 과정'!$L$5,B1918*COS(C1918),"")</x:f>
        <x:v>-60.903824131728115</x:v>
      </x:c>
      <x:c r="E1918" s="4" t="n">
        <x:f>IF('계산 과정'!$L$5,B1918*SIN(C1918),"")</x:f>
        <x:v>131.53735874341567</x:v>
      </x:c>
      <x:c r="F1918" s="4" t="n">
        <x:f>IF('계산 과정'!$L$7,'계산 과정'!$L$22+'계산 과정'!$C$49*D1918+'계산 과정'!$D$49*E1918,"")</x:f>
        <x:v>693.0655070437379</x:v>
      </x:c>
      <x:c r="G1918" s="4" t="n">
        <x:f>IF('계산 과정'!$L$7,IF(ABS(F1918)&gt;=1E-12*MAX(1,SQRT((D1918-'계산 과정'!$C$33)^2+(E1918-'계산 과정'!$D$33)^2+'계산 과정'!$E$33^2)),('계산 과정'!$L$23-'계산 과정'!$C$49*D1918-'계산 과정'!$D$49*E1918)/F1918,""),"")</x:f>
        <x:v>0.5150083063270047</x:v>
      </x:c>
      <x:c r="H1918" s="4" t="n">
        <x:f>IF(AND(ISNUMBER(G1918),G1918&gt;0),('계산 과정'!$D$56+'계산 과정'!$D$57*D1918+'계산 과정'!$D$58*E1918)/F1918,"")</x:f>
        <x:v>-65.24460088744708</x:v>
      </x:c>
      <x:c r="I1918" s="4" t="n">
        <x:f>IF(AND(ISNUMBER(G1918),G1918&gt;0),('계산 과정'!$E$56+'계산 과정'!$E$57*D1918+'계산 과정'!$E$58*E1918)/F1918,"")</x:f>
        <x:v>199.28019108858982</x:v>
      </x:c>
      <x:c r="J1918" s="4" t="n">
        <x:f>IF('계산 과정'!$L$5,'계산 과정'!$D$6+'계산 과정'!$C$35*D1918+'계산 과정'!$D$35*E1918,"")</x:f>
        <x:v>693.0655070437379</x:v>
      </x:c>
      <x:c r="K1918" s="4" t="n">
        <x:f>IF(AND('계산 과정'!$L$6,J1918&gt;0),'계산 과정'!$D$10*('계산 과정'!$C$38*(D1918-'계산 과정'!$C$32)+'계산 과정'!$D$38*(E1918-'계산 과정'!$D$32)-'계산 과정'!$E$38*'계산 과정'!$E$32)/J1918,"")</x:f>
        <x:v>-0.49710172104721506</x:v>
      </x:c>
      <x:c r="L1918" s="4" t="n">
        <x:f>IF(AND('계산 과정'!$L$6,J1918&gt;0),'계산 과정'!$D$10*('계산 과정'!$C$39*(D1918-'계산 과정'!$C$32)+'계산 과정'!$D$39*(E1918-'계산 과정'!$D$32)-'계산 과정'!$E$39*'계산 과정'!$E$32)/J1918,"")</x:f>
        <x:v>1.5183252654368746</x:v>
      </x:c>
      <x:c r="M1918" s="17" t="n">
        <x:f>IF('계산 과정'!$L$6,IF(J1918&lt;=0,0,IF(AND(ABS(K1918)&lt;='계산 과정'!$D$11/2,ABS(L1918)&lt;='계산 과정'!$D$12/2),1,0)),"")</x:f>
        <x:v>1</x:v>
      </x:c>
      <x:c r="N1918" s="17" t="n">
        <x:f>IF('계산 과정'!$C$78,IF(AND(ISNUMBER(H1918),ISNUMBER(I1918),ABS(H1918-'계산 과정'!$C$88)&lt;='계산 과정'!$D$23/2,ABS(I1918-'계산 과정'!$C$89)&lt;='계산 과정'!$D$24/2),1,0),"")</x:f>
        <x:v>1</x:v>
      </x:c>
      <x:c r="O1918" s="4" t="n">
        <x:f>IF('계산 과정'!$L$7,'계산 과정'!$C$49*('계산 과정'!$C$32-D1918)+'계산 과정'!$D$49*('계산 과정'!$D$32-E1918)+'계산 과정'!$E$49*'계산 과정'!$E$32,"")</x:f>
        <x:v>-43.06550704373774</x:v>
      </x:c>
      <x:c r="P1918" s="4" t="n">
        <x:f>IF(AND('계산 과정'!$L$7,O1918&lt;&gt;0),('계산 과정'!$L$23-'계산 과정'!$C$49*D1918-'계산 과정'!$D$49*E1918)/O1918,"")</x:f>
        <x:v>-8.288175792142795</x:v>
      </x:c>
      <x:c r="Q1918" s="4" t="str">
        <x:f>IF(AND(ISNUMBER(P1918),P1918&gt;1E-9,P1918&lt;1-1E-9),'계산 과정'!$C$47*(D1918-'계산 과정'!$C$50+P1918*('계산 과정'!$C$32-D1918))+'계산 과정'!$D$47*(E1918-'계산 과정'!$D$50+P1918*('계산 과정'!$D$32-E1918))+'계산 과정'!$E$47*(0-'계산 과정'!$E$50+P1918*('계산 과정'!$E$32-0)),"")</x:f>
      </x:c>
      <x:c r="R1918" s="4" t="str">
        <x:f>IF(AND(ISNUMBER(P1918),P1918&gt;1E-9,P1918&lt;1-1E-9),'계산 과정'!$C$48*(D1918-'계산 과정'!$C$50+P1918*('계산 과정'!$C$32-D1918))+'계산 과정'!$D$48*(E1918-'계산 과정'!$D$50+P1918*('계산 과정'!$D$32-E1918))+'계산 과정'!$E$48*(0-'계산 과정'!$E$50+P1918*('계산 과정'!$E$32-0)),"")</x:f>
      </x:c>
      <x:c r="S1918" s="17" t="n">
        <x:f>IF('계산 과정'!$C$78,IF(AND(ISNUMBER(Q1918),ISNUMBER(R1918),ABS(Q1918-'계산 과정'!$C$88)&lt;='계산 과정'!$D$23/2,ABS(R1918-'계산 과정'!$C$89)&lt;='계산 과정'!$D$24/2),1,0),"")</x:f>
        <x:v>0</x:v>
      </x:c>
      <x:c r="T1918" s="4"/>
      <x:c r="U1918" s="4"/>
      <x:c r="V1918" s="4"/>
      <x:c r="W1918" s="4"/>
      <x:c r="X1918" s="4"/>
      <x:c r="Y1918" s="4"/>
      <x:c r="Z1918" s="4"/>
    </x:row>
    <x:row r="1919" ht="23" customHeight="1">
      <x:c r="A1919" s="17" t="n">
        <x:f>ROW()-6</x:f>
        <x:v>1913</x:v>
      </x:c>
      <x:c r="B1919" s="4" t="n">
        <x:f>IF('계산 과정'!$L$5,'계산 과정'!$L$11*SQRT((A1919+0.5)/'계산 과정'!$L$30),"")</x:f>
        <x:v>144.99082338957697</x:v>
      </x:c>
      <x:c r="C1919" s="4" t="n">
        <x:f>A1919*PI()*(3-SQRT(5))</x:f>
        <x:v>4591.129658470913</x:v>
      </x:c>
      <x:c r="D1919" s="4" t="n">
        <x:f>IF('계산 과정'!$L$5,B1919*COS(C1919),"")</x:f>
        <x:v>-43.95511172129987</x:v>
      </x:c>
      <x:c r="E1919" s="4" t="n">
        <x:f>IF('계산 과정'!$L$5,B1919*SIN(C1919),"")</x:f>
        <x:v>-138.16760481659784</x:v>
      </x:c>
      <x:c r="F1919" s="4" t="n">
        <x:f>IF('계산 과정'!$L$7,'계산 과정'!$L$22+'계산 과정'!$C$49*D1919+'계산 과정'!$D$49*E1919,"")</x:f>
        <x:v>681.0809575659434</x:v>
      </x:c>
      <x:c r="G1919" s="4" t="n">
        <x:f>IF('계산 과정'!$L$7,IF(ABS(F1919)&gt;=1E-12*MAX(1,SQRT((D1919-'계산 과정'!$C$33)^2+(E1919-'계산 과정'!$D$33)^2+'계산 과정'!$E$33^2)),('계산 과정'!$L$23-'계산 과정'!$C$49*D1919-'계산 과정'!$D$49*E1919)/F1919,""),"")</x:f>
        <x:v>0.5416669462504201</x:v>
      </x:c>
      <x:c r="H1919" s="4" t="n">
        <x:f>IF(AND(ISNUMBER(G1919),G1919&gt;0),('계산 과정'!$D$56+'계산 과정'!$D$57*D1919+'계산 과정'!$D$58*E1919)/F1919,"")</x:f>
        <x:v>-47.91648493722703</x:v>
      </x:c>
      <x:c r="I1919" s="4" t="n">
        <x:f>IF(AND(ISNUMBER(G1919),G1919&gt;0),('계산 과정'!$E$56+'계산 과정'!$E$57*D1919+'계산 과정'!$E$58*E1919)/F1919,"")</x:f>
        <x:v>-213.0084293883392</x:v>
      </x:c>
      <x:c r="J1919" s="4" t="n">
        <x:f>IF('계산 과정'!$L$5,'계산 과정'!$D$6+'계산 과정'!$C$35*D1919+'계산 과정'!$D$35*E1919,"")</x:f>
        <x:v>681.0809575659434</x:v>
      </x:c>
      <x:c r="K1919" s="4" t="n">
        <x:f>IF(AND('계산 과정'!$L$6,J1919&gt;0),'계산 과정'!$D$10*('계산 과정'!$C$38*(D1919-'계산 과정'!$C$32)+'계산 과정'!$D$38*(E1919-'계산 과정'!$D$32)-'계산 과정'!$E$38*'계산 과정'!$E$32)/J1919,"")</x:f>
        <x:v>-0.3650779804741098</x:v>
      </x:c>
      <x:c r="L1919" s="4" t="n">
        <x:f>IF(AND('계산 과정'!$L$6,J1919&gt;0),'계산 과정'!$D$10*('계산 과정'!$C$39*(D1919-'계산 과정'!$C$32)+'계산 과정'!$D$39*(E1919-'계산 과정'!$D$32)-'계산 과정'!$E$39*'계산 과정'!$E$32)/J1919,"")</x:f>
        <x:v>-1.622921366768299</x:v>
      </x:c>
      <x:c r="M1919" s="17" t="n">
        <x:f>IF('계산 과정'!$L$6,IF(J1919&lt;=0,0,IF(AND(ABS(K1919)&lt;='계산 과정'!$D$11/2,ABS(L1919)&lt;='계산 과정'!$D$12/2),1,0)),"")</x:f>
        <x:v>1</x:v>
      </x:c>
      <x:c r="N1919" s="17" t="n">
        <x:f>IF('계산 과정'!$C$78,IF(AND(ISNUMBER(H1919),ISNUMBER(I1919),ABS(H1919-'계산 과정'!$C$88)&lt;='계산 과정'!$D$23/2,ABS(I1919-'계산 과정'!$C$89)&lt;='계산 과정'!$D$24/2),1,0),"")</x:f>
        <x:v>1</x:v>
      </x:c>
      <x:c r="O1919" s="4" t="n">
        <x:f>IF('계산 과정'!$L$7,'계산 과정'!$C$49*('계산 과정'!$C$32-D1919)+'계산 과정'!$D$49*('계산 과정'!$D$32-E1919)+'계산 과정'!$E$49*'계산 과정'!$E$32,"")</x:f>
        <x:v>-31.080957565943322</x:v>
      </x:c>
      <x:c r="P1919" s="4" t="n">
        <x:f>IF(AND('계산 과정'!$L$7,O1919&lt;&gt;0),('계산 과정'!$L$23-'계산 과정'!$C$49*D1919-'계산 과정'!$D$49*E1919)/O1919,"")</x:f>
        <x:v>-11.869616360800165</x:v>
      </x:c>
      <x:c r="Q1919" s="4" t="str">
        <x:f>IF(AND(ISNUMBER(P1919),P1919&gt;1E-9,P1919&lt;1-1E-9),'계산 과정'!$C$47*(D1919-'계산 과정'!$C$50+P1919*('계산 과정'!$C$32-D1919))+'계산 과정'!$D$47*(E1919-'계산 과정'!$D$50+P1919*('계산 과정'!$D$32-E1919))+'계산 과정'!$E$47*(0-'계산 과정'!$E$50+P1919*('계산 과정'!$E$32-0)),"")</x:f>
      </x:c>
      <x:c r="R1919" s="4" t="str">
        <x:f>IF(AND(ISNUMBER(P1919),P1919&gt;1E-9,P1919&lt;1-1E-9),'계산 과정'!$C$48*(D1919-'계산 과정'!$C$50+P1919*('계산 과정'!$C$32-D1919))+'계산 과정'!$D$48*(E1919-'계산 과정'!$D$50+P1919*('계산 과정'!$D$32-E1919))+'계산 과정'!$E$48*(0-'계산 과정'!$E$50+P1919*('계산 과정'!$E$32-0)),"")</x:f>
      </x:c>
      <x:c r="S1919" s="17" t="n">
        <x:f>IF('계산 과정'!$C$78,IF(AND(ISNUMBER(Q1919),ISNUMBER(R1919),ABS(Q1919-'계산 과정'!$C$88)&lt;='계산 과정'!$D$23/2,ABS(R1919-'계산 과정'!$C$89)&lt;='계산 과정'!$D$24/2),1,0),"")</x:f>
        <x:v>0</x:v>
      </x:c>
      <x:c r="T1919" s="4"/>
      <x:c r="U1919" s="4"/>
      <x:c r="V1919" s="4"/>
      <x:c r="W1919" s="4"/>
      <x:c r="X1919" s="4"/>
      <x:c r="Y1919" s="4"/>
      <x:c r="Z1919" s="4"/>
    </x:row>
    <x:row r="1920" ht="23" customHeight="1">
      <x:c r="A1920" s="17" t="n">
        <x:f>ROW()-6</x:f>
        <x:v>1914</x:v>
      </x:c>
      <x:c r="B1920" s="4" t="n">
        <x:f>IF('계산 과정'!$L$5,'계산 과정'!$L$11*SQRT((A1920+0.5)/'계산 과정'!$L$30),"")</x:f>
        <x:v>145.0287047287967</x:v>
      </x:c>
      <x:c r="C1920" s="4" t="n">
        <x:f>A1920*PI()*(3-SQRT(5))</x:f>
        <x:v>4593.529621700642</x:v>
      </x:c>
      <x:c r="D1920" s="4" t="n">
        <x:f>IF('계산 과정'!$L$5,B1920*COS(C1920),"")</x:f>
        <x:v>125.774859706619</x:v>
      </x:c>
      <x:c r="E1920" s="4" t="n">
        <x:f>IF('계산 과정'!$L$5,B1920*SIN(C1920),"")</x:f>
        <x:v>72.20810107662993</x:v>
      </x:c>
      <x:c r="F1920" s="4" t="n">
        <x:f>IF('계산 과정'!$L$7,'계산 과정'!$L$22+'계산 과정'!$C$49*D1920+'계산 과정'!$D$49*E1920,"")</x:f>
        <x:v>561.063743798663</x:v>
      </x:c>
      <x:c r="G1920" s="4" t="n">
        <x:f>IF('계산 과정'!$L$7,IF(ABS(F1920)&gt;=1E-12*MAX(1,SQRT((D1920-'계산 과정'!$C$33)^2+(E1920-'계산 과정'!$D$33)^2+'계산 과정'!$E$33^2)),('계산 과정'!$L$23-'계산 과정'!$C$49*D1920-'계산 과정'!$D$49*E1920)/F1920,""),"")</x:f>
        <x:v>0.8714451104806926</x:v>
      </x:c>
      <x:c r="H1920" s="4" t="n">
        <x:f>IF(AND(ISNUMBER(G1920),G1920&gt;0),('계산 과정'!$D$56+'계산 과정'!$D$57*D1920+'계산 과정'!$D$58*E1920)/F1920,"")</x:f>
        <x:v>166.43932181245015</x:v>
      </x:c>
      <x:c r="I1920" s="4" t="n">
        <x:f>IF(AND(ISNUMBER(G1920),G1920&gt;0),('계산 과정'!$E$56+'계산 과정'!$E$57*D1920+'계산 과정'!$E$58*E1920)/F1920,"")</x:f>
        <x:v>135.13349769695472</x:v>
      </x:c>
      <x:c r="J1920" s="4" t="n">
        <x:f>IF('계산 과정'!$L$5,'계산 과정'!$D$6+'계산 과정'!$C$35*D1920+'계산 과정'!$D$35*E1920,"")</x:f>
        <x:v>561.063743798663</x:v>
      </x:c>
      <x:c r="K1920" s="4" t="n">
        <x:f>IF(AND('계산 과정'!$L$6,J1920&gt;0),'계산 과정'!$D$10*('계산 과정'!$C$38*(D1920-'계산 과정'!$C$32)+'계산 과정'!$D$38*(E1920-'계산 과정'!$D$32)-'계산 과정'!$E$38*'계산 과정'!$E$32)/J1920,"")</x:f>
        <x:v>1.2681091185710494</x:v>
      </x:c>
      <x:c r="L1920" s="4" t="n">
        <x:f>IF(AND('계산 과정'!$L$6,J1920&gt;0),'계산 과정'!$D$10*('계산 과정'!$C$39*(D1920-'계산 과정'!$C$32)+'계산 과정'!$D$39*(E1920-'계산 과정'!$D$32)-'계산 과정'!$E$39*'계산 과정'!$E$32)/J1920,"")</x:f>
        <x:v>1.02958855388156</x:v>
      </x:c>
      <x:c r="M1920" s="17" t="n">
        <x:f>IF('계산 과정'!$L$6,IF(J1920&lt;=0,0,IF(AND(ABS(K1920)&lt;='계산 과정'!$D$11/2,ABS(L1920)&lt;='계산 과정'!$D$12/2),1,0)),"")</x:f>
        <x:v>1</x:v>
      </x:c>
      <x:c r="N1920" s="17" t="n">
        <x:f>IF('계산 과정'!$C$78,IF(AND(ISNUMBER(H1920),ISNUMBER(I1920),ABS(H1920-'계산 과정'!$C$88)&lt;='계산 과정'!$D$23/2,ABS(I1920-'계산 과정'!$C$89)&lt;='계산 과정'!$D$24/2),1,0),"")</x:f>
        <x:v>1</x:v>
      </x:c>
      <x:c r="O1920" s="4" t="n">
        <x:f>IF('계산 과정'!$L$7,'계산 과정'!$C$49*('계산 과정'!$C$32-D1920)+'계산 과정'!$D$49*('계산 과정'!$D$32-E1920)+'계산 과정'!$E$49*'계산 과정'!$E$32,"")</x:f>
        <x:v>88.93625620133705</x:v>
      </x:c>
      <x:c r="P1920" s="4" t="n">
        <x:f>IF(AND('계산 과정'!$L$7,O1920&lt;&gt;0),('계산 과정'!$L$23-'계산 과정'!$C$49*D1920-'계산 과정'!$D$49*E1920)/O1920,"")</x:f>
        <x:v>5.497603306962525</x:v>
      </x:c>
      <x:c r="Q1920" s="4" t="str">
        <x:f>IF(AND(ISNUMBER(P1920),P1920&gt;1E-9,P1920&lt;1-1E-9),'계산 과정'!$C$47*(D1920-'계산 과정'!$C$50+P1920*('계산 과정'!$C$32-D1920))+'계산 과정'!$D$47*(E1920-'계산 과정'!$D$50+P1920*('계산 과정'!$D$32-E1920))+'계산 과정'!$E$47*(0-'계산 과정'!$E$50+P1920*('계산 과정'!$E$32-0)),"")</x:f>
      </x:c>
      <x:c r="R1920" s="4" t="str">
        <x:f>IF(AND(ISNUMBER(P1920),P1920&gt;1E-9,P1920&lt;1-1E-9),'계산 과정'!$C$48*(D1920-'계산 과정'!$C$50+P1920*('계산 과정'!$C$32-D1920))+'계산 과정'!$D$48*(E1920-'계산 과정'!$D$50+P1920*('계산 과정'!$D$32-E1920))+'계산 과정'!$E$48*(0-'계산 과정'!$E$50+P1920*('계산 과정'!$E$32-0)),"")</x:f>
      </x:c>
      <x:c r="S1920" s="17" t="n">
        <x:f>IF('계산 과정'!$C$78,IF(AND(ISNUMBER(Q1920),ISNUMBER(R1920),ABS(Q1920-'계산 과정'!$C$88)&lt;='계산 과정'!$D$23/2,ABS(R1920-'계산 과정'!$C$89)&lt;='계산 과정'!$D$24/2),1,0),"")</x:f>
        <x:v>0</x:v>
      </x:c>
      <x:c r="T1920" s="4"/>
      <x:c r="U1920" s="4"/>
      <x:c r="V1920" s="4"/>
      <x:c r="W1920" s="4"/>
      <x:c r="X1920" s="4"/>
      <x:c r="Y1920" s="4"/>
      <x:c r="Z1920" s="4"/>
    </x:row>
    <x:row r="1921" ht="23" customHeight="1">
      <x:c r="A1921" s="17" t="n">
        <x:f>ROW()-6</x:f>
        <x:v>1915</x:v>
      </x:c>
      <x:c r="B1921" s="4" t="n">
        <x:f>IF('계산 과정'!$L$5,'계산 과정'!$L$11*SQRT((A1921+0.5)/'계산 과정'!$L$30),"")</x:f>
        <x:v>145.06657617603545</x:v>
      </x:c>
      <x:c r="C1921" s="4" t="n">
        <x:f>A1921*PI()*(3-SQRT(5))</x:f>
        <x:v>4595.92958493037</x:v>
      </x:c>
      <x:c r="D1921" s="4" t="n">
        <x:f>IF('계산 과정'!$L$5,B1921*COS(C1921),"")</x:f>
        <x:v>-141.55529341951456</x:v>
      </x:c>
      <x:c r="E1921" s="4" t="n">
        <x:f>IF('계산 과정'!$L$5,B1921*SIN(C1921),"")</x:f>
        <x:v>31.723972455426168</x:v>
      </x:c>
      <x:c r="F1921" s="4" t="n">
        <x:f>IF('계산 과정'!$L$7,'계산 과정'!$L$22+'계산 과정'!$C$49*D1921+'계산 과정'!$D$49*E1921,"")</x:f>
        <x:v>750.0947078897902</x:v>
      </x:c>
      <x:c r="G1921" s="4" t="n">
        <x:f>IF('계산 과정'!$L$7,IF(ABS(F1921)&gt;=1E-12*MAX(1,SQRT((D1921-'계산 과정'!$C$33)^2+(E1921-'계산 과정'!$D$33)^2+'계산 과정'!$E$33^2)),('계산 과정'!$L$23-'계산 과정'!$C$49*D1921-'계산 과정'!$D$49*E1921)/F1921,""),"")</x:f>
        <x:v>0.3998232342605385</x:v>
      </x:c>
      <x:c r="H1921" s="4" t="n">
        <x:f>IF(AND(ISNUMBER(G1921),G1921&gt;0),('계산 과정'!$D$56+'계산 과정'!$D$57*D1921+'계산 과정'!$D$58*E1921)/F1921,"")</x:f>
        <x:v>-140.1148977306501</x:v>
      </x:c>
      <x:c r="I1921" s="4" t="n">
        <x:f>IF(AND(ISNUMBER(G1921),G1921&gt;0),('계산 과정'!$E$56+'계산 과정'!$E$57*D1921+'계산 과정'!$E$58*E1921)/F1921,"")</x:f>
        <x:v>44.40795372614689</x:v>
      </x:c>
      <x:c r="J1921" s="4" t="n">
        <x:f>IF('계산 과정'!$L$5,'계산 과정'!$D$6+'계산 과정'!$C$35*D1921+'계산 과정'!$D$35*E1921,"")</x:f>
        <x:v>750.0947078897902</x:v>
      </x:c>
      <x:c r="K1921" s="4" t="n">
        <x:f>IF(AND('계산 과정'!$L$6,J1921&gt;0),'계산 과정'!$D$10*('계산 과정'!$C$38*(D1921-'계산 과정'!$C$32)+'계산 과정'!$D$38*(E1921-'계산 과정'!$D$32)-'계산 과정'!$E$38*'계산 과정'!$E$32)/J1921,"")</x:f>
        <x:v>-1.067542077947809</x:v>
      </x:c>
      <x:c r="L1921" s="4" t="n">
        <x:f>IF(AND('계산 과정'!$L$6,J1921&gt;0),'계산 과정'!$D$10*('계산 과정'!$C$39*(D1921-'계산 과정'!$C$32)+'계산 과정'!$D$39*(E1921-'계산 과정'!$D$32)-'계산 과정'!$E$39*'계산 과정'!$E$32)/J1921,"")</x:f>
        <x:v>0.3383463141039763</x:v>
      </x:c>
      <x:c r="M1921" s="17" t="n">
        <x:f>IF('계산 과정'!$L$6,IF(J1921&lt;=0,0,IF(AND(ABS(K1921)&lt;='계산 과정'!$D$11/2,ABS(L1921)&lt;='계산 과정'!$D$12/2),1,0)),"")</x:f>
        <x:v>1</x:v>
      </x:c>
      <x:c r="N1921" s="17" t="n">
        <x:f>IF('계산 과정'!$C$78,IF(AND(ISNUMBER(H1921),ISNUMBER(I1921),ABS(H1921-'계산 과정'!$C$88)&lt;='계산 과정'!$D$23/2,ABS(I1921-'계산 과정'!$C$89)&lt;='계산 과정'!$D$24/2),1,0),"")</x:f>
        <x:v>1</x:v>
      </x:c>
      <x:c r="O1921" s="4" t="n">
        <x:f>IF('계산 과정'!$L$7,'계산 과정'!$C$49*('계산 과정'!$C$32-D1921)+'계산 과정'!$D$49*('계산 과정'!$D$32-E1921)+'계산 과정'!$E$49*'계산 과정'!$E$32,"")</x:f>
        <x:v>-100.09470788979007</x:v>
      </x:c>
      <x:c r="P1921" s="4" t="n">
        <x:f>IF(AND('계산 과정'!$L$7,O1921&lt;&gt;0),('계산 과정'!$L$23-'계산 과정'!$C$49*D1921-'계산 과정'!$D$49*E1921)/O1921,"")</x:f>
        <x:v>-2.9962152688474046</x:v>
      </x:c>
      <x:c r="Q1921" s="4" t="str">
        <x:f>IF(AND(ISNUMBER(P1921),P1921&gt;1E-9,P1921&lt;1-1E-9),'계산 과정'!$C$47*(D1921-'계산 과정'!$C$50+P1921*('계산 과정'!$C$32-D1921))+'계산 과정'!$D$47*(E1921-'계산 과정'!$D$50+P1921*('계산 과정'!$D$32-E1921))+'계산 과정'!$E$47*(0-'계산 과정'!$E$50+P1921*('계산 과정'!$E$32-0)),"")</x:f>
      </x:c>
      <x:c r="R1921" s="4" t="str">
        <x:f>IF(AND(ISNUMBER(P1921),P1921&gt;1E-9,P1921&lt;1-1E-9),'계산 과정'!$C$48*(D1921-'계산 과정'!$C$50+P1921*('계산 과정'!$C$32-D1921))+'계산 과정'!$D$48*(E1921-'계산 과정'!$D$50+P1921*('계산 과정'!$D$32-E1921))+'계산 과정'!$E$48*(0-'계산 과정'!$E$50+P1921*('계산 과정'!$E$32-0)),"")</x:f>
      </x:c>
      <x:c r="S1921" s="17" t="n">
        <x:f>IF('계산 과정'!$C$78,IF(AND(ISNUMBER(Q1921),ISNUMBER(R1921),ABS(Q1921-'계산 과정'!$C$88)&lt;='계산 과정'!$D$23/2,ABS(R1921-'계산 과정'!$C$89)&lt;='계산 과정'!$D$24/2),1,0),"")</x:f>
        <x:v>0</x:v>
      </x:c>
      <x:c r="T1921" s="4"/>
      <x:c r="U1921" s="4"/>
      <x:c r="V1921" s="4"/>
      <x:c r="W1921" s="4"/>
      <x:c r="X1921" s="4"/>
      <x:c r="Y1921" s="4"/>
      <x:c r="Z1921" s="4"/>
    </x:row>
    <x:row r="1922" ht="23" customHeight="1">
      <x:c r="A1922" s="17" t="n">
        <x:f>ROW()-6</x:f>
        <x:v>1916</x:v>
      </x:c>
      <x:c r="B1922" s="4" t="n">
        <x:f>IF('계산 과정'!$L$5,'계산 과정'!$L$11*SQRT((A1922+0.5)/'계산 과정'!$L$30),"")</x:f>
        <x:v>145.1044377390385</x:v>
      </x:c>
      <x:c r="C1922" s="4" t="n">
        <x:f>A1922*PI()*(3-SQRT(5))</x:f>
        <x:v>4598.329548160099</x:v>
      </x:c>
      <x:c r="D1922" s="4" t="n">
        <x:f>IF('계산 과정'!$L$5,B1922*COS(C1922),"")</x:f>
        <x:v>82.97088169035581</x:v>
      </x:c>
      <x:c r="E1922" s="4" t="n">
        <x:f>IF('계산 과정'!$L$5,B1922*SIN(C1922),"")</x:f>
        <x:v>-119.04255811720226</x:v>
      </x:c>
      <x:c r="F1922" s="4" t="n">
        <x:f>IF('계산 과정'!$L$7,'계산 과정'!$L$22+'계산 과정'!$C$49*D1922+'계산 과정'!$D$49*E1922,"")</x:f>
        <x:v>591.3307269157226</x:v>
      </x:c>
      <x:c r="G1922" s="4" t="n">
        <x:f>IF('계산 과정'!$L$7,IF(ABS(F1922)&gt;=1E-12*MAX(1,SQRT((D1922-'계산 과정'!$C$33)^2+(E1922-'계산 과정'!$D$33)^2+'계산 과정'!$E$33^2)),('계산 과정'!$L$23-'계산 과정'!$C$49*D1922-'계산 과정'!$D$49*E1922)/F1922,""),"")</x:f>
        <x:v>0.7756560790889657</x:v>
      </x:c>
      <x:c r="H1922" s="4" t="n">
        <x:f>IF(AND(ISNUMBER(G1922),G1922&gt;0),('계산 과정'!$D$56+'계산 과정'!$D$57*D1922+'계산 과정'!$D$58*E1922)/F1922,"")</x:f>
        <x:v>104.17645140782761</x:v>
      </x:c>
      <x:c r="I1922" s="4" t="n">
        <x:f>IF(AND(ISNUMBER(G1922),G1922&gt;0),('계산 과정'!$E$56+'계산 과정'!$E$57*D1922+'계산 과정'!$E$58*E1922)/F1922,"")</x:f>
        <x:v>-211.3786419911117</x:v>
      </x:c>
      <x:c r="J1922" s="4" t="n">
        <x:f>IF('계산 과정'!$L$5,'계산 과정'!$D$6+'계산 과정'!$C$35*D1922+'계산 과정'!$D$35*E1922,"")</x:f>
        <x:v>591.3307269157226</x:v>
      </x:c>
      <x:c r="K1922" s="4" t="n">
        <x:f>IF(AND('계산 과정'!$L$6,J1922&gt;0),'계산 과정'!$D$10*('계산 과정'!$C$38*(D1922-'계산 과정'!$C$32)+'계산 과정'!$D$38*(E1922-'계산 과정'!$D$32)-'계산 과정'!$E$38*'계산 과정'!$E$32)/J1922,"")</x:f>
        <x:v>0.7937253440596396</x:v>
      </x:c>
      <x:c r="L1922" s="4" t="n">
        <x:f>IF(AND('계산 과정'!$L$6,J1922&gt;0),'계산 과정'!$D$10*('계산 과정'!$C$39*(D1922-'계산 과정'!$C$32)+'계산 과정'!$D$39*(E1922-'계산 과정'!$D$32)-'계산 과정'!$E$39*'계산 과정'!$E$32)/J1922,"")</x:f>
        <x:v>-1.6105039389798987</x:v>
      </x:c>
      <x:c r="M1922" s="17" t="n">
        <x:f>IF('계산 과정'!$L$6,IF(J1922&lt;=0,0,IF(AND(ABS(K1922)&lt;='계산 과정'!$D$11/2,ABS(L1922)&lt;='계산 과정'!$D$12/2),1,0)),"")</x:f>
        <x:v>1</x:v>
      </x:c>
      <x:c r="N1922" s="17" t="n">
        <x:f>IF('계산 과정'!$C$78,IF(AND(ISNUMBER(H1922),ISNUMBER(I1922),ABS(H1922-'계산 과정'!$C$88)&lt;='계산 과정'!$D$23/2,ABS(I1922-'계산 과정'!$C$89)&lt;='계산 과정'!$D$24/2),1,0),"")</x:f>
        <x:v>1</x:v>
      </x:c>
      <x:c r="O1922" s="4" t="n">
        <x:f>IF('계산 과정'!$L$7,'계산 과정'!$C$49*('계산 과정'!$C$32-D1922)+'계산 과정'!$D$49*('계산 과정'!$D$32-E1922)+'계산 과정'!$E$49*'계산 과정'!$E$32,"")</x:f>
        <x:v>58.66927308427745</x:v>
      </x:c>
      <x:c r="P1922" s="4" t="n">
        <x:f>IF(AND('계산 과정'!$L$7,O1922&lt;&gt;0),('계산 과정'!$L$23-'계산 과정'!$C$49*D1922-'계산 과정'!$D$49*E1922)/O1922,"")</x:f>
        <x:v>7.81787891636916</x:v>
      </x:c>
      <x:c r="Q1922" s="4" t="str">
        <x:f>IF(AND(ISNUMBER(P1922),P1922&gt;1E-9,P1922&lt;1-1E-9),'계산 과정'!$C$47*(D1922-'계산 과정'!$C$50+P1922*('계산 과정'!$C$32-D1922))+'계산 과정'!$D$47*(E1922-'계산 과정'!$D$50+P1922*('계산 과정'!$D$32-E1922))+'계산 과정'!$E$47*(0-'계산 과정'!$E$50+P1922*('계산 과정'!$E$32-0)),"")</x:f>
      </x:c>
      <x:c r="R1922" s="4" t="str">
        <x:f>IF(AND(ISNUMBER(P1922),P1922&gt;1E-9,P1922&lt;1-1E-9),'계산 과정'!$C$48*(D1922-'계산 과정'!$C$50+P1922*('계산 과정'!$C$32-D1922))+'계산 과정'!$D$48*(E1922-'계산 과정'!$D$50+P1922*('계산 과정'!$D$32-E1922))+'계산 과정'!$E$48*(0-'계산 과정'!$E$50+P1922*('계산 과정'!$E$32-0)),"")</x:f>
      </x:c>
      <x:c r="S1922" s="17" t="n">
        <x:f>IF('계산 과정'!$C$78,IF(AND(ISNUMBER(Q1922),ISNUMBER(R1922),ABS(Q1922-'계산 과정'!$C$88)&lt;='계산 과정'!$D$23/2,ABS(R1922-'계산 과정'!$C$89)&lt;='계산 과정'!$D$24/2),1,0),"")</x:f>
        <x:v>0</x:v>
      </x:c>
      <x:c r="T1922" s="4"/>
      <x:c r="U1922" s="4"/>
      <x:c r="V1922" s="4"/>
      <x:c r="W1922" s="4"/>
      <x:c r="X1922" s="4"/>
      <x:c r="Y1922" s="4"/>
      <x:c r="Z1922" s="4"/>
    </x:row>
    <x:row r="1923" ht="23" customHeight="1">
      <x:c r="A1923" s="17" t="n">
        <x:f>ROW()-6</x:f>
        <x:v>1917</x:v>
      </x:c>
      <x:c r="B1923" s="4" t="n">
        <x:f>IF('계산 과정'!$L$5,'계산 과정'!$L$11*SQRT((A1923+0.5)/'계산 과정'!$L$30),"")</x:f>
        <x:v>145.14228942554095</x:v>
      </x:c>
      <x:c r="C1923" s="4" t="n">
        <x:f>A1923*PI()*(3-SQRT(5))</x:f>
        <x:v>4600.729511389828</x:v>
      </x:c>
      <x:c r="D1923" s="4" t="n">
        <x:f>IF('계산 과정'!$L$5,B1923*COS(C1923),"")</x:f>
        <x:v>19.23696347850951</x:v>
      </x:c>
      <x:c r="E1923" s="4" t="n">
        <x:f>IF('계산 과정'!$L$5,B1923*SIN(C1923),"")</x:f>
        <x:v>143.86182056339337</x:v>
      </x:c>
      <x:c r="F1923" s="4" t="n">
        <x:f>IF('계산 과정'!$L$7,'계산 과정'!$L$22+'계산 과정'!$C$49*D1923+'계산 과정'!$D$49*E1923,"")</x:f>
        <x:v>636.397412674908</x:v>
      </x:c>
      <x:c r="G1923" s="4" t="n">
        <x:f>IF('계산 과정'!$L$7,IF(ABS(F1923)&gt;=1E-12*MAX(1,SQRT((D1923-'계산 과정'!$C$33)^2+(E1923-'계산 과정'!$D$33)^2+'계산 과정'!$E$33^2)),('계산 과정'!$L$23-'계산 과정'!$C$49*D1923-'계산 과정'!$D$49*E1923)/F1923,""),"")</x:f>
        <x:v>0.649912427498151</x:v>
      </x:c>
      <x:c r="H1923" s="4" t="n">
        <x:f>IF(AND(ISNUMBER(G1923),G1923&gt;0),('계산 과정'!$D$56+'계산 과정'!$D$57*D1923+'계산 과정'!$D$58*E1923)/F1923,"")</x:f>
        <x:v>22.44307787379806</x:v>
      </x:c>
      <x:c r="I1923" s="4" t="n">
        <x:f>IF(AND(ISNUMBER(G1923),G1923&gt;0),('계산 과정'!$E$56+'계산 과정'!$E$57*D1923+'계산 과정'!$E$58*E1923)/F1923,"")</x:f>
        <x:v>237.35940559005175</x:v>
      </x:c>
      <x:c r="J1923" s="4" t="n">
        <x:f>IF('계산 과정'!$L$5,'계산 과정'!$D$6+'계산 과정'!$C$35*D1923+'계산 과정'!$D$35*E1923,"")</x:f>
        <x:v>636.397412674908</x:v>
      </x:c>
      <x:c r="K1923" s="4" t="n">
        <x:f>IF(AND('계산 과정'!$L$6,J1923&gt;0),'계산 과정'!$D$10*('계산 과정'!$C$38*(D1923-'계산 과정'!$C$32)+'계산 과정'!$D$38*(E1923-'계산 과정'!$D$32)-'계산 과정'!$E$38*'계산 과정'!$E$32)/J1923,"")</x:f>
        <x:v>0.17099487903846228</x:v>
      </x:c>
      <x:c r="L1923" s="4" t="n">
        <x:f>IF(AND('계산 과정'!$L$6,J1923&gt;0),'계산 과정'!$D$10*('계산 과정'!$C$39*(D1923-'계산 과정'!$C$32)+'계산 과정'!$D$39*(E1923-'계산 과정'!$D$32)-'계산 과정'!$E$39*'계산 과정'!$E$32)/J1923,"")</x:f>
        <x:v>1.8084526140194421</x:v>
      </x:c>
      <x:c r="M1923" s="17" t="n">
        <x:f>IF('계산 과정'!$L$6,IF(J1923&lt;=0,0,IF(AND(ABS(K1923)&lt;='계산 과정'!$D$11/2,ABS(L1923)&lt;='계산 과정'!$D$12/2),1,0)),"")</x:f>
        <x:v>1</x:v>
      </x:c>
      <x:c r="N1923" s="17" t="n">
        <x:f>IF('계산 과정'!$C$78,IF(AND(ISNUMBER(H1923),ISNUMBER(I1923),ABS(H1923-'계산 과정'!$C$88)&lt;='계산 과정'!$D$23/2,ABS(I1923-'계산 과정'!$C$89)&lt;='계산 과정'!$D$24/2),1,0),"")</x:f>
        <x:v>1</x:v>
      </x:c>
      <x:c r="O1923" s="4" t="n">
        <x:f>IF('계산 과정'!$L$7,'계산 과정'!$C$49*('계산 과정'!$C$32-D1923)+'계산 과정'!$D$49*('계산 과정'!$D$32-E1923)+'계산 과정'!$E$49*'계산 과정'!$E$32,"")</x:f>
        <x:v>13.602587325092145</x:v>
      </x:c>
      <x:c r="P1923" s="4" t="n">
        <x:f>IF(AND('계산 과정'!$L$7,O1923&lt;&gt;0),('계산 과정'!$L$23-'계산 과정'!$C$49*D1923-'계산 과정'!$D$49*E1923)/O1923,"")</x:f>
        <x:v>30.406170343941554</x:v>
      </x:c>
      <x:c r="Q1923" s="4" t="str">
        <x:f>IF(AND(ISNUMBER(P1923),P1923&gt;1E-9,P1923&lt;1-1E-9),'계산 과정'!$C$47*(D1923-'계산 과정'!$C$50+P1923*('계산 과정'!$C$32-D1923))+'계산 과정'!$D$47*(E1923-'계산 과정'!$D$50+P1923*('계산 과정'!$D$32-E1923))+'계산 과정'!$E$47*(0-'계산 과정'!$E$50+P1923*('계산 과정'!$E$32-0)),"")</x:f>
      </x:c>
      <x:c r="R1923" s="4" t="str">
        <x:f>IF(AND(ISNUMBER(P1923),P1923&gt;1E-9,P1923&lt;1-1E-9),'계산 과정'!$C$48*(D1923-'계산 과정'!$C$50+P1923*('계산 과정'!$C$32-D1923))+'계산 과정'!$D$48*(E1923-'계산 과정'!$D$50+P1923*('계산 과정'!$D$32-E1923))+'계산 과정'!$E$48*(0-'계산 과정'!$E$50+P1923*('계산 과정'!$E$32-0)),"")</x:f>
      </x:c>
      <x:c r="S1923" s="17" t="n">
        <x:f>IF('계산 과정'!$C$78,IF(AND(ISNUMBER(Q1923),ISNUMBER(R1923),ABS(Q1923-'계산 과정'!$C$88)&lt;='계산 과정'!$D$23/2,ABS(R1923-'계산 과정'!$C$89)&lt;='계산 과정'!$D$24/2),1,0),"")</x:f>
        <x:v>0</x:v>
      </x:c>
      <x:c r="T1923" s="4"/>
      <x:c r="U1923" s="4"/>
      <x:c r="V1923" s="4"/>
      <x:c r="W1923" s="4"/>
      <x:c r="X1923" s="4"/>
      <x:c r="Y1923" s="4"/>
      <x:c r="Z1923" s="4"/>
    </x:row>
    <x:row r="1924" ht="23" customHeight="1">
      <x:c r="A1924" s="17" t="n">
        <x:f>ROW()-6</x:f>
        <x:v>1918</x:v>
      </x:c>
      <x:c r="B1924" s="4" t="n">
        <x:f>IF('계산 과정'!$L$5,'계산 과정'!$L$11*SQRT((A1924+0.5)/'계산 과정'!$L$30),"")</x:f>
        <x:v>145.18013124326794</x:v>
      </x:c>
      <x:c r="C1924" s="4" t="n">
        <x:f>A1924*PI()*(3-SQRT(5))</x:f>
        <x:v>4603.129474619556</x:v>
      </x:c>
      <x:c r="D1924" s="4" t="n">
        <x:f>IF('계산 과정'!$L$5,B1924*COS(C1924),"")</x:f>
        <x:v>-111.3910362298132</x:v>
      </x:c>
      <x:c r="E1924" s="4" t="n">
        <x:f>IF('계산 과정'!$L$5,B1924*SIN(C1924),"")</x:f>
        <x:v>-93.10911639286965</x:v>
      </x:c>
      <x:c r="F1924" s="4" t="n">
        <x:f>IF('계산 과정'!$L$7,'계산 과정'!$L$22+'계산 과정'!$C$49*D1924+'계산 과정'!$D$49*E1924,"")</x:f>
        <x:v>728.7653570814973</x:v>
      </x:c>
      <x:c r="G1924" s="4" t="n">
        <x:f>IF('계산 과정'!$L$7,IF(ABS(F1924)&gt;=1E-12*MAX(1,SQRT((D1924-'계산 과정'!$C$33)^2+(E1924-'계산 과정'!$D$33)^2+'계산 과정'!$E$33^2)),('계산 과정'!$L$23-'계산 과정'!$C$49*D1924-'계산 과정'!$D$49*E1924)/F1924,""),"")</x:f>
        <x:v>0.44079296552316666</x:v>
      </x:c>
      <x:c r="H1924" s="4" t="n">
        <x:f>IF(AND(ISNUMBER(G1924),G1924&gt;0),('계산 과정'!$D$56+'계산 과정'!$D$57*D1924+'계산 과정'!$D$58*E1924)/F1924,"")</x:f>
        <x:v>-113.48457240994179</x:v>
      </x:c>
      <x:c r="I1924" s="4" t="n">
        <x:f>IF(AND(ISNUMBER(G1924),G1924&gt;0),('계산 과정'!$E$56+'계산 과정'!$E$57*D1924+'계산 과정'!$E$58*E1924)/F1924,"")</x:f>
        <x:v>-134.15095992492434</x:v>
      </x:c>
      <x:c r="J1924" s="4" t="n">
        <x:f>IF('계산 과정'!$L$5,'계산 과정'!$D$6+'계산 과정'!$C$35*D1924+'계산 과정'!$D$35*E1924,"")</x:f>
        <x:v>728.7653570814973</x:v>
      </x:c>
      <x:c r="K1924" s="4" t="n">
        <x:f>IF(AND('계산 과정'!$L$6,J1924&gt;0),'계산 과정'!$D$10*('계산 과정'!$C$38*(D1924-'계산 과정'!$C$32)+'계산 과정'!$D$38*(E1924-'계산 과정'!$D$32)-'계산 과정'!$E$38*'계산 과정'!$E$32)/J1924,"")</x:f>
        <x:v>-0.8646443612186026</x:v>
      </x:c>
      <x:c r="L1924" s="4" t="n">
        <x:f>IF(AND('계산 과정'!$L$6,J1924&gt;0),'계산 과정'!$D$10*('계산 과정'!$C$39*(D1924-'계산 과정'!$C$32)+'계산 과정'!$D$39*(E1924-'계산 과정'!$D$32)-'계산 과정'!$E$39*'계산 과정'!$E$32)/J1924,"")</x:f>
        <x:v>-1.0221025518089475</x:v>
      </x:c>
      <x:c r="M1924" s="17" t="n">
        <x:f>IF('계산 과정'!$L$6,IF(J1924&lt;=0,0,IF(AND(ABS(K1924)&lt;='계산 과정'!$D$11/2,ABS(L1924)&lt;='계산 과정'!$D$12/2),1,0)),"")</x:f>
        <x:v>1</x:v>
      </x:c>
      <x:c r="N1924" s="17" t="n">
        <x:f>IF('계산 과정'!$C$78,IF(AND(ISNUMBER(H1924),ISNUMBER(I1924),ABS(H1924-'계산 과정'!$C$88)&lt;='계산 과정'!$D$23/2,ABS(I1924-'계산 과정'!$C$89)&lt;='계산 과정'!$D$24/2),1,0),"")</x:f>
        <x:v>1</x:v>
      </x:c>
      <x:c r="O1924" s="4" t="n">
        <x:f>IF('계산 과정'!$L$7,'계산 과정'!$C$49*('계산 과정'!$C$32-D1924)+'계산 과정'!$D$49*('계산 과정'!$D$32-E1924)+'계산 과정'!$E$49*'계산 과정'!$E$32,"")</x:f>
        <x:v>-78.76535708149714</x:v>
      </x:c>
      <x:c r="P1924" s="4" t="n">
        <x:f>IF(AND('계산 과정'!$L$7,O1924&lt;&gt;0),('계산 과정'!$L$23-'계산 과정'!$C$49*D1924-'계산 과정'!$D$49*E1924)/O1924,"")</x:f>
        <x:v>-4.0783747426692525</x:v>
      </x:c>
      <x:c r="Q1924" s="4" t="str">
        <x:f>IF(AND(ISNUMBER(P1924),P1924&gt;1E-9,P1924&lt;1-1E-9),'계산 과정'!$C$47*(D1924-'계산 과정'!$C$50+P1924*('계산 과정'!$C$32-D1924))+'계산 과정'!$D$47*(E1924-'계산 과정'!$D$50+P1924*('계산 과정'!$D$32-E1924))+'계산 과정'!$E$47*(0-'계산 과정'!$E$50+P1924*('계산 과정'!$E$32-0)),"")</x:f>
      </x:c>
      <x:c r="R1924" s="4" t="str">
        <x:f>IF(AND(ISNUMBER(P1924),P1924&gt;1E-9,P1924&lt;1-1E-9),'계산 과정'!$C$48*(D1924-'계산 과정'!$C$50+P1924*('계산 과정'!$C$32-D1924))+'계산 과정'!$D$48*(E1924-'계산 과정'!$D$50+P1924*('계산 과정'!$D$32-E1924))+'계산 과정'!$E$48*(0-'계산 과정'!$E$50+P1924*('계산 과정'!$E$32-0)),"")</x:f>
      </x:c>
      <x:c r="S1924" s="17" t="n">
        <x:f>IF('계산 과정'!$C$78,IF(AND(ISNUMBER(Q1924),ISNUMBER(R1924),ABS(Q1924-'계산 과정'!$C$88)&lt;='계산 과정'!$D$23/2,ABS(R1924-'계산 과정'!$C$89)&lt;='계산 과정'!$D$24/2),1,0),"")</x:f>
        <x:v>0</x:v>
      </x:c>
      <x:c r="T1924" s="4"/>
      <x:c r="U1924" s="4"/>
      <x:c r="V1924" s="4"/>
      <x:c r="W1924" s="4"/>
      <x:c r="X1924" s="4"/>
      <x:c r="Y1924" s="4"/>
      <x:c r="Z1924" s="4"/>
    </x:row>
    <x:row r="1925" ht="23" customHeight="1">
      <x:c r="A1925" s="17" t="n">
        <x:f>ROW()-6</x:f>
        <x:v>1919</x:v>
      </x:c>
      <x:c r="B1925" s="4" t="n">
        <x:f>IF('계산 과정'!$L$5,'계산 과정'!$L$11*SQRT((A1925+0.5)/'계산 과정'!$L$30),"")</x:f>
        <x:v>145.2179631999344</x:v>
      </x:c>
      <x:c r="C1925" s="4" t="n">
        <x:f>A1925*PI()*(3-SQRT(5))</x:f>
        <x:v>4605.529437849285</x:v>
      </x:c>
      <x:c r="D1925" s="4" t="n">
        <x:f>IF('계산 과정'!$L$5,B1925*COS(C1925),"")</x:f>
        <x:v>145.06838083111347</x:v>
      </x:c>
      <x:c r="E1925" s="4" t="n">
        <x:f>IF('계산 과정'!$L$5,B1925*SIN(C1925),"")</x:f>
        <x:v>-6.589515837793029</x:v>
      </x:c>
      <x:c r="F1925" s="4" t="n">
        <x:f>IF('계산 과정'!$L$7,'계산 과정'!$L$22+'계산 과정'!$C$49*D1925+'계산 과정'!$D$49*E1925,"")</x:f>
        <x:v>547.4211641785671</x:v>
      </x:c>
      <x:c r="G1925" s="4" t="n">
        <x:f>IF('계산 과정'!$L$7,IF(ABS(F1925)&gt;=1E-12*MAX(1,SQRT((D1925-'계산 과정'!$C$33)^2+(E1925-'계산 과정'!$D$33)^2+'계산 과정'!$E$33^2)),('계산 과정'!$L$23-'계산 과정'!$C$49*D1925-'계산 과정'!$D$49*E1925)/F1925,""),"")</x:f>
        <x:v>0.9180844086939489</x:v>
      </x:c>
      <x:c r="H1925" s="4" t="n">
        <x:f>IF(AND(ISNUMBER(G1925),G1925&gt;0),('계산 과정'!$D$56+'계산 과정'!$D$57*D1925+'계산 과정'!$D$58*E1925)/F1925,"")</x:f>
        <x:v>196.75486565106672</x:v>
      </x:c>
      <x:c r="I1925" s="4" t="n">
        <x:f>IF(AND(ISNUMBER(G1925),G1925&gt;0),('계산 과정'!$E$56+'계산 과정'!$E$57*D1925+'계산 과정'!$E$58*E1925)/F1925,"")</x:f>
        <x:v>-12.639247589312653</x:v>
      </x:c>
      <x:c r="J1925" s="4" t="n">
        <x:f>IF('계산 과정'!$L$5,'계산 과정'!$D$6+'계산 과정'!$C$35*D1925+'계산 과정'!$D$35*E1925,"")</x:f>
        <x:v>547.4211641785671</x:v>
      </x:c>
      <x:c r="K1925" s="4" t="n">
        <x:f>IF(AND('계산 과정'!$L$6,J1925&gt;0),'계산 과정'!$D$10*('계산 과정'!$C$38*(D1925-'계산 과정'!$C$32)+'계산 과정'!$D$38*(E1925-'계산 과정'!$D$32)-'계산 과정'!$E$38*'계산 과정'!$E$32)/J1925,"")</x:f>
        <x:v>1.4990846906747946</x:v>
      </x:c>
      <x:c r="L1925" s="4" t="n">
        <x:f>IF(AND('계산 과정'!$L$6,J1925&gt;0),'계산 과정'!$D$10*('계산 과정'!$C$39*(D1925-'계산 과정'!$C$32)+'계산 과정'!$D$39*(E1925-'계산 과정'!$D$32)-'계산 과정'!$E$39*'계산 과정'!$E$32)/J1925,"")</x:f>
        <x:v>-0.09629902925190593</x:v>
      </x:c>
      <x:c r="M1925" s="17" t="n">
        <x:f>IF('계산 과정'!$L$6,IF(J1925&lt;=0,0,IF(AND(ABS(K1925)&lt;='계산 과정'!$D$11/2,ABS(L1925)&lt;='계산 과정'!$D$12/2),1,0)),"")</x:f>
        <x:v>1</x:v>
      </x:c>
      <x:c r="N1925" s="17" t="n">
        <x:f>IF('계산 과정'!$C$78,IF(AND(ISNUMBER(H1925),ISNUMBER(I1925),ABS(H1925-'계산 과정'!$C$88)&lt;='계산 과정'!$D$23/2,ABS(I1925-'계산 과정'!$C$89)&lt;='계산 과정'!$D$24/2),1,0),"")</x:f>
        <x:v>1</x:v>
      </x:c>
      <x:c r="O1925" s="4" t="n">
        <x:f>IF('계산 과정'!$L$7,'계산 과정'!$C$49*('계산 과정'!$C$32-D1925)+'계산 과정'!$D$49*('계산 과정'!$D$32-E1925)+'계산 과정'!$E$49*'계산 과정'!$E$32,"")</x:f>
        <x:v>102.57883582143302</x:v>
      </x:c>
      <x:c r="P1925" s="4" t="n">
        <x:f>IF(AND('계산 과정'!$L$7,O1925&lt;&gt;0),('계산 과정'!$L$23-'계산 과정'!$C$49*D1925-'계산 과정'!$D$49*E1925)/O1925,"")</x:f>
        <x:v>4.899439848355377</x:v>
      </x:c>
      <x:c r="Q1925" s="4" t="str">
        <x:f>IF(AND(ISNUMBER(P1925),P1925&gt;1E-9,P1925&lt;1-1E-9),'계산 과정'!$C$47*(D1925-'계산 과정'!$C$50+P1925*('계산 과정'!$C$32-D1925))+'계산 과정'!$D$47*(E1925-'계산 과정'!$D$50+P1925*('계산 과정'!$D$32-E1925))+'계산 과정'!$E$47*(0-'계산 과정'!$E$50+P1925*('계산 과정'!$E$32-0)),"")</x:f>
      </x:c>
      <x:c r="R1925" s="4" t="str">
        <x:f>IF(AND(ISNUMBER(P1925),P1925&gt;1E-9,P1925&lt;1-1E-9),'계산 과정'!$C$48*(D1925-'계산 과정'!$C$50+P1925*('계산 과정'!$C$32-D1925))+'계산 과정'!$D$48*(E1925-'계산 과정'!$D$50+P1925*('계산 과정'!$D$32-E1925))+'계산 과정'!$E$48*(0-'계산 과정'!$E$50+P1925*('계산 과정'!$E$32-0)),"")</x:f>
      </x:c>
      <x:c r="S1925" s="17" t="n">
        <x:f>IF('계산 과정'!$C$78,IF(AND(ISNUMBER(Q1925),ISNUMBER(R1925),ABS(Q1925-'계산 과정'!$C$88)&lt;='계산 과정'!$D$23/2,ABS(R1925-'계산 과정'!$C$89)&lt;='계산 과정'!$D$24/2),1,0),"")</x:f>
        <x:v>0</x:v>
      </x:c>
      <x:c r="T1925" s="4"/>
      <x:c r="U1925" s="4"/>
      <x:c r="V1925" s="4"/>
      <x:c r="W1925" s="4"/>
      <x:c r="X1925" s="4"/>
      <x:c r="Y1925" s="4"/>
      <x:c r="Z1925" s="4"/>
    </x:row>
    <x:row r="1926" ht="23" customHeight="1">
      <x:c r="A1926" s="17" t="n">
        <x:f>ROW()-6</x:f>
        <x:v>1920</x:v>
      </x:c>
      <x:c r="B1926" s="4" t="n">
        <x:f>IF('계산 과정'!$L$5,'계산 과정'!$L$11*SQRT((A1926+0.5)/'계산 과정'!$L$30),"")</x:f>
        <x:v>145.25578530324532</x:v>
      </x:c>
      <x:c r="C1926" s="4" t="n">
        <x:f>A1926*PI()*(3-SQRT(5))</x:f>
        <x:v>4607.929401079014</x:v>
      </x:c>
      <x:c r="D1926" s="4" t="n">
        <x:f>IF('계산 과정'!$L$5,B1926*COS(C1926),"")</x:f>
        <x:v>-102.54445603492884</x:v>
      </x:c>
      <x:c r="E1926" s="4" t="n">
        <x:f>IF('계산 과정'!$L$5,B1926*SIN(C1926),"")</x:f>
        <x:v>102.87797480784236</x:v>
      </x:c>
      <x:c r="F1926" s="4" t="n">
        <x:f>IF('계산 과정'!$L$7,'계산 과정'!$L$22+'계산 과정'!$C$49*D1926+'계산 과정'!$D$49*E1926,"")</x:f>
        <x:v>722.509880235384</x:v>
      </x:c>
      <x:c r="G1926" s="4" t="n">
        <x:f>IF('계산 과정'!$L$7,IF(ABS(F1926)&gt;=1E-12*MAX(1,SQRT((D1926-'계산 과정'!$C$33)^2+(E1926-'계산 과정'!$D$33)^2+'계산 과정'!$E$33^2)),('계산 과정'!$L$23-'계산 과정'!$C$49*D1926-'계산 과정'!$D$49*E1926)/F1926,""),"")</x:f>
        <x:v>0.4532673237048664</x:v>
      </x:c>
      <x:c r="H1926" s="4" t="n">
        <x:f>IF(AND(ISNUMBER(G1926),G1926&gt;0),('계산 과정'!$D$56+'계산 과정'!$D$57*D1926+'계산 과정'!$D$58*E1926)/F1926,"")</x:f>
        <x:v>-105.37623959183698</x:v>
      </x:c>
      <x:c r="I1926" s="4" t="n">
        <x:f>IF(AND(ISNUMBER(G1926),G1926&gt;0),('계산 과정'!$E$56+'계산 과정'!$E$57*D1926+'계산 과정'!$E$58*E1926)/F1926,"")</x:f>
        <x:v>149.50919911716971</x:v>
      </x:c>
      <x:c r="J1926" s="4" t="n">
        <x:f>IF('계산 과정'!$L$5,'계산 과정'!$D$6+'계산 과정'!$C$35*D1926+'계산 과정'!$D$35*E1926,"")</x:f>
        <x:v>722.509880235384</x:v>
      </x:c>
      <x:c r="K1926" s="4" t="n">
        <x:f>IF(AND('계산 과정'!$L$6,J1926&gt;0),'계산 과정'!$D$10*('계산 과정'!$C$38*(D1926-'계산 과정'!$C$32)+'계산 과정'!$D$38*(E1926-'계산 과정'!$D$32)-'계산 과정'!$E$38*'계산 과정'!$E$32)/J1926,"")</x:f>
        <x:v>-0.8028665873663763</x:v>
      </x:c>
      <x:c r="L1926" s="4" t="n">
        <x:f>IF(AND('계산 과정'!$L$6,J1926&gt;0),'계산 과정'!$D$10*('계산 과정'!$C$39*(D1926-'계산 과정'!$C$32)+'계산 과정'!$D$39*(E1926-'계산 과정'!$D$32)-'계산 과정'!$E$39*'계산 과정'!$E$32)/J1926,"")</x:f>
        <x:v>1.1391177075593883</x:v>
      </x:c>
      <x:c r="M1926" s="17" t="n">
        <x:f>IF('계산 과정'!$L$6,IF(J1926&lt;=0,0,IF(AND(ABS(K1926)&lt;='계산 과정'!$D$11/2,ABS(L1926)&lt;='계산 과정'!$D$12/2),1,0)),"")</x:f>
        <x:v>1</x:v>
      </x:c>
      <x:c r="N1926" s="17" t="n">
        <x:f>IF('계산 과정'!$C$78,IF(AND(ISNUMBER(H1926),ISNUMBER(I1926),ABS(H1926-'계산 과정'!$C$88)&lt;='계산 과정'!$D$23/2,ABS(I1926-'계산 과정'!$C$89)&lt;='계산 과정'!$D$24/2),1,0),"")</x:f>
        <x:v>1</x:v>
      </x:c>
      <x:c r="O1926" s="4" t="n">
        <x:f>IF('계산 과정'!$L$7,'계산 과정'!$C$49*('계산 과정'!$C$32-D1926)+'계산 과정'!$D$49*('계산 과정'!$D$32-E1926)+'계산 과정'!$E$49*'계산 과정'!$E$32,"")</x:f>
        <x:v>-72.50988023538389</x:v>
      </x:c>
      <x:c r="P1926" s="4" t="n">
        <x:f>IF(AND('계산 과정'!$L$7,O1926&lt;&gt;0),('계산 과정'!$L$23-'계산 과정'!$C$49*D1926-'계산 과정'!$D$49*E1926)/O1926,"")</x:f>
        <x:v>-4.51648959702467</x:v>
      </x:c>
      <x:c r="Q1926" s="4" t="str">
        <x:f>IF(AND(ISNUMBER(P1926),P1926&gt;1E-9,P1926&lt;1-1E-9),'계산 과정'!$C$47*(D1926-'계산 과정'!$C$50+P1926*('계산 과정'!$C$32-D1926))+'계산 과정'!$D$47*(E1926-'계산 과정'!$D$50+P1926*('계산 과정'!$D$32-E1926))+'계산 과정'!$E$47*(0-'계산 과정'!$E$50+P1926*('계산 과정'!$E$32-0)),"")</x:f>
      </x:c>
      <x:c r="R1926" s="4" t="str">
        <x:f>IF(AND(ISNUMBER(P1926),P1926&gt;1E-9,P1926&lt;1-1E-9),'계산 과정'!$C$48*(D1926-'계산 과정'!$C$50+P1926*('계산 과정'!$C$32-D1926))+'계산 과정'!$D$48*(E1926-'계산 과정'!$D$50+P1926*('계산 과정'!$D$32-E1926))+'계산 과정'!$E$48*(0-'계산 과정'!$E$50+P1926*('계산 과정'!$E$32-0)),"")</x:f>
      </x:c>
      <x:c r="S1926" s="17" t="n">
        <x:f>IF('계산 과정'!$C$78,IF(AND(ISNUMBER(Q1926),ISNUMBER(R1926),ABS(Q1926-'계산 과정'!$C$88)&lt;='계산 과정'!$D$23/2,ABS(R1926-'계산 과정'!$C$89)&lt;='계산 과정'!$D$24/2),1,0),"")</x:f>
        <x:v>0</x:v>
      </x:c>
      <x:c r="T1926" s="4"/>
      <x:c r="U1926" s="4"/>
      <x:c r="V1926" s="4"/>
      <x:c r="W1926" s="4"/>
      <x:c r="X1926" s="4"/>
      <x:c r="Y1926" s="4"/>
      <x:c r="Z1926" s="4"/>
    </x:row>
    <x:row r="1927" ht="23" customHeight="1">
      <x:c r="A1927" s="17" t="n">
        <x:f>ROW()-6</x:f>
        <x:v>1921</x:v>
      </x:c>
      <x:c r="B1927" s="4" t="n">
        <x:f>IF('계산 과정'!$L$5,'계산 과정'!$L$11*SQRT((A1927+0.5)/'계산 과정'!$L$30),"")</x:f>
        <x:v>145.29359756089565</x:v>
      </x:c>
      <x:c r="C1927" s="4" t="n">
        <x:f>A1927*PI()*(3-SQRT(5))</x:f>
        <x:v>4610.329364308742</x:v>
      </x:c>
      <x:c r="D1927" s="4" t="n">
        <x:f>IF('계산 과정'!$L$5,B1927*COS(C1927),"")</x:f>
        <x:v>6.121610155725287</x:v>
      </x:c>
      <x:c r="E1927" s="4" t="n">
        <x:f>IF('계산 과정'!$L$5,B1927*SIN(C1927),"")</x:f>
        <x:v>-145.1645803262243</x:v>
      </x:c>
      <x:c r="F1927" s="4" t="n">
        <x:f>IF('계산 과정'!$L$7,'계산 과정'!$L$22+'계산 과정'!$C$49*D1927+'계산 과정'!$D$49*E1927,"")</x:f>
        <x:v>645.6713679471062</x:v>
      </x:c>
      <x:c r="G1927" s="4" t="n">
        <x:f>IF('계산 과정'!$L$7,IF(ABS(F1927)&gt;=1E-12*MAX(1,SQRT((D1927-'계산 과정'!$C$33)^2+(E1927-'계산 과정'!$D$33)^2+'계산 과정'!$E$33^2)),('계산 과정'!$L$23-'계산 과정'!$C$49*D1927-'계산 과정'!$D$49*E1927)/F1927,""),"")</x:f>
        <x:v>0.6262142819472469</x:v>
      </x:c>
      <x:c r="H1927" s="4" t="n">
        <x:f>IF(AND(ISNUMBER(G1927),G1927&gt;0),('계산 과정'!$D$56+'계산 과정'!$D$57*D1927+'계산 과정'!$D$58*E1927)/F1927,"")</x:f>
        <x:v>7.039283265710396</x:v>
      </x:c>
      <x:c r="I1927" s="4" t="n">
        <x:f>IF(AND(ISNUMBER(G1927),G1927&gt;0),('계산 과정'!$E$56+'계산 과정'!$E$57*D1927+'계산 과정'!$E$58*E1927)/F1927,"")</x:f>
        <x:v>-236.06871375938428</x:v>
      </x:c>
      <x:c r="J1927" s="4" t="n">
        <x:f>IF('계산 과정'!$L$5,'계산 과정'!$D$6+'계산 과정'!$C$35*D1927+'계산 과정'!$D$35*E1927,"")</x:f>
        <x:v>645.6713679471062</x:v>
      </x:c>
      <x:c r="K1927" s="4" t="n">
        <x:f>IF(AND('계산 과정'!$L$6,J1927&gt;0),'계산 과정'!$D$10*('계산 과정'!$C$38*(D1927-'계산 과정'!$C$32)+'계산 과정'!$D$38*(E1927-'계산 과정'!$D$32)-'계산 과정'!$E$38*'계산 과정'!$E$32)/J1927,"")</x:f>
        <x:v>0.053632634405413486</x:v>
      </x:c>
      <x:c r="L1927" s="4" t="n">
        <x:f>IF(AND('계산 과정'!$L$6,J1927&gt;0),'계산 과정'!$D$10*('계산 과정'!$C$39*(D1927-'계산 과정'!$C$32)+'계산 과정'!$D$39*(E1927-'계산 과정'!$D$32)-'계산 과정'!$E$39*'계산 과정'!$E$32)/J1927,"")</x:f>
        <x:v>-1.7986187715000708</x:v>
      </x:c>
      <x:c r="M1927" s="17" t="n">
        <x:f>IF('계산 과정'!$L$6,IF(J1927&lt;=0,0,IF(AND(ABS(K1927)&lt;='계산 과정'!$D$11/2,ABS(L1927)&lt;='계산 과정'!$D$12/2),1,0)),"")</x:f>
        <x:v>1</x:v>
      </x:c>
      <x:c r="N1927" s="17" t="n">
        <x:f>IF('계산 과정'!$C$78,IF(AND(ISNUMBER(H1927),ISNUMBER(I1927),ABS(H1927-'계산 과정'!$C$88)&lt;='계산 과정'!$D$23/2,ABS(I1927-'계산 과정'!$C$89)&lt;='계산 과정'!$D$24/2),1,0),"")</x:f>
        <x:v>1</x:v>
      </x:c>
      <x:c r="O1927" s="4" t="n">
        <x:f>IF('계산 과정'!$L$7,'계산 과정'!$C$49*('계산 과정'!$C$32-D1927)+'계산 과정'!$D$49*('계산 과정'!$D$32-E1927)+'계산 과정'!$E$49*'계산 과정'!$E$32,"")</x:f>
        <x:v>4.328632052893909</x:v>
      </x:c>
      <x:c r="P1927" s="4" t="n">
        <x:f>IF(AND('계산 과정'!$L$7,O1927&lt;&gt;0),('계산 과정'!$L$23-'계산 과정'!$C$49*D1927-'계산 과정'!$D$49*E1927)/O1927,"")</x:f>
        <x:v>93.40794669359336</x:v>
      </x:c>
      <x:c r="Q1927" s="4" t="str">
        <x:f>IF(AND(ISNUMBER(P1927),P1927&gt;1E-9,P1927&lt;1-1E-9),'계산 과정'!$C$47*(D1927-'계산 과정'!$C$50+P1927*('계산 과정'!$C$32-D1927))+'계산 과정'!$D$47*(E1927-'계산 과정'!$D$50+P1927*('계산 과정'!$D$32-E1927))+'계산 과정'!$E$47*(0-'계산 과정'!$E$50+P1927*('계산 과정'!$E$32-0)),"")</x:f>
      </x:c>
      <x:c r="R1927" s="4" t="str">
        <x:f>IF(AND(ISNUMBER(P1927),P1927&gt;1E-9,P1927&lt;1-1E-9),'계산 과정'!$C$48*(D1927-'계산 과정'!$C$50+P1927*('계산 과정'!$C$32-D1927))+'계산 과정'!$D$48*(E1927-'계산 과정'!$D$50+P1927*('계산 과정'!$D$32-E1927))+'계산 과정'!$E$48*(0-'계산 과정'!$E$50+P1927*('계산 과정'!$E$32-0)),"")</x:f>
      </x:c>
      <x:c r="S1927" s="17" t="n">
        <x:f>IF('계산 과정'!$C$78,IF(AND(ISNUMBER(Q1927),ISNUMBER(R1927),ABS(Q1927-'계산 과정'!$C$88)&lt;='계산 과정'!$D$23/2,ABS(R1927-'계산 과정'!$C$89)&lt;='계산 과정'!$D$24/2),1,0),"")</x:f>
        <x:v>0</x:v>
      </x:c>
      <x:c r="T1927" s="4"/>
      <x:c r="U1927" s="4"/>
      <x:c r="V1927" s="4"/>
      <x:c r="W1927" s="4"/>
      <x:c r="X1927" s="4"/>
      <x:c r="Y1927" s="4"/>
      <x:c r="Z1927" s="4"/>
    </x:row>
    <x:row r="1928" ht="23" customHeight="1">
      <x:c r="A1928" s="17" t="n">
        <x:f>ROW()-6</x:f>
        <x:v>1922</x:v>
      </x:c>
      <x:c r="B1928" s="4" t="n">
        <x:f>IF('계산 과정'!$L$5,'계산 과정'!$L$11*SQRT((A1928+0.5)/'계산 과정'!$L$30),"")</x:f>
        <x:v>145.33139998057027</x:v>
      </x:c>
      <x:c r="C1928" s="4" t="n">
        <x:f>A1928*PI()*(3-SQRT(5))</x:f>
        <x:v>4612.729327538471</x:v>
      </x:c>
      <x:c r="D1928" s="4" t="n">
        <x:f>IF('계산 과정'!$L$5,B1928*COS(C1928),"")</x:f>
        <x:v>93.56771834085241</x:v>
      </x:c>
      <x:c r="E1928" s="4" t="n">
        <x:f>IF('계산 과정'!$L$5,B1928*SIN(C1928),"")</x:f>
        <x:v>111.20385741870383</x:v>
      </x:c>
      <x:c r="F1928" s="4" t="n">
        <x:f>IF('계산 과정'!$L$7,'계산 과정'!$L$22+'계산 과정'!$C$49*D1928+'계산 과정'!$D$49*E1928,"")</x:f>
        <x:v>583.8376318610303</x:v>
      </x:c>
      <x:c r="G1928" s="4" t="n">
        <x:f>IF('계산 과정'!$L$7,IF(ABS(F1928)&gt;=1E-12*MAX(1,SQRT((D1928-'계산 과정'!$C$33)^2+(E1928-'계산 과정'!$D$33)^2+'계산 과정'!$E$33^2)),('계산 과정'!$L$23-'계산 과정'!$C$49*D1928-'계산 과정'!$D$49*E1928)/F1928,""),"")</x:f>
        <x:v>0.7984452229518656</x:v>
      </x:c>
      <x:c r="H1928" s="4" t="n">
        <x:f>IF(AND(ISNUMBER(G1928),G1928&gt;0),('계산 과정'!$D$56+'계산 과정'!$D$57*D1928+'계산 과정'!$D$58*E1928)/F1928,"")</x:f>
        <x:v>118.98939491871256</x:v>
      </x:c>
      <x:c r="I1928" s="4" t="n">
        <x:f>IF(AND(ISNUMBER(G1928),G1928&gt;0),('계산 과정'!$E$56+'계산 과정'!$E$57*D1928+'계산 과정'!$E$58*E1928)/F1928,"")</x:f>
        <x:v>199.9940461484883</x:v>
      </x:c>
      <x:c r="J1928" s="4" t="n">
        <x:f>IF('계산 과정'!$L$5,'계산 과정'!$D$6+'계산 과정'!$C$35*D1928+'계산 과정'!$D$35*E1928,"")</x:f>
        <x:v>583.8376318610303</x:v>
      </x:c>
      <x:c r="K1928" s="4" t="n">
        <x:f>IF(AND('계산 과정'!$L$6,J1928&gt;0),'계산 과정'!$D$10*('계산 과정'!$C$38*(D1928-'계산 과정'!$C$32)+'계산 과정'!$D$38*(E1928-'계산 과정'!$D$32)-'계산 과정'!$E$38*'계산 과정'!$E$32)/J1928,"")</x:f>
        <x:v>0.906585866047335</x:v>
      </x:c>
      <x:c r="L1928" s="4" t="n">
        <x:f>IF(AND('계산 과정'!$L$6,J1928&gt;0),'계산 과정'!$D$10*('계산 과정'!$C$39*(D1928-'계산 과정'!$C$32)+'계산 과정'!$D$39*(E1928-'계산 과정'!$D$32)-'계산 과정'!$E$39*'계산 과정'!$E$32)/J1928,"")</x:f>
        <x:v>1.5237641611313395</x:v>
      </x:c>
      <x:c r="M1928" s="17" t="n">
        <x:f>IF('계산 과정'!$L$6,IF(J1928&lt;=0,0,IF(AND(ABS(K1928)&lt;='계산 과정'!$D$11/2,ABS(L1928)&lt;='계산 과정'!$D$12/2),1,0)),"")</x:f>
        <x:v>1</x:v>
      </x:c>
      <x:c r="N1928" s="17" t="n">
        <x:f>IF('계산 과정'!$C$78,IF(AND(ISNUMBER(H1928),ISNUMBER(I1928),ABS(H1928-'계산 과정'!$C$88)&lt;='계산 과정'!$D$23/2,ABS(I1928-'계산 과정'!$C$89)&lt;='계산 과정'!$D$24/2),1,0),"")</x:f>
        <x:v>1</x:v>
      </x:c>
      <x:c r="O1928" s="4" t="n">
        <x:f>IF('계산 과정'!$L$7,'계산 과정'!$C$49*('계산 과정'!$C$32-D1928)+'계산 과정'!$D$49*('계산 과정'!$D$32-E1928)+'계산 과정'!$E$49*'계산 과정'!$E$32,"")</x:f>
        <x:v>66.16236813896973</x:v>
      </x:c>
      <x:c r="P1928" s="4" t="n">
        <x:f>IF(AND('계산 과정'!$L$7,O1928&lt;&gt;0),('계산 과정'!$L$23-'계산 과정'!$C$49*D1928-'계산 과정'!$D$49*E1928)/O1928,"")</x:f>
        <x:v>7.045732812341694</x:v>
      </x:c>
      <x:c r="Q1928" s="4" t="str">
        <x:f>IF(AND(ISNUMBER(P1928),P1928&gt;1E-9,P1928&lt;1-1E-9),'계산 과정'!$C$47*(D1928-'계산 과정'!$C$50+P1928*('계산 과정'!$C$32-D1928))+'계산 과정'!$D$47*(E1928-'계산 과정'!$D$50+P1928*('계산 과정'!$D$32-E1928))+'계산 과정'!$E$47*(0-'계산 과정'!$E$50+P1928*('계산 과정'!$E$32-0)),"")</x:f>
      </x:c>
      <x:c r="R1928" s="4" t="str">
        <x:f>IF(AND(ISNUMBER(P1928),P1928&gt;1E-9,P1928&lt;1-1E-9),'계산 과정'!$C$48*(D1928-'계산 과정'!$C$50+P1928*('계산 과정'!$C$32-D1928))+'계산 과정'!$D$48*(E1928-'계산 과정'!$D$50+P1928*('계산 과정'!$D$32-E1928))+'계산 과정'!$E$48*(0-'계산 과정'!$E$50+P1928*('계산 과정'!$E$32-0)),"")</x:f>
      </x:c>
      <x:c r="S1928" s="17" t="n">
        <x:f>IF('계산 과정'!$C$78,IF(AND(ISNUMBER(Q1928),ISNUMBER(R1928),ABS(Q1928-'계산 과정'!$C$88)&lt;='계산 과정'!$D$23/2,ABS(R1928-'계산 과정'!$C$89)&lt;='계산 과정'!$D$24/2),1,0),"")</x:f>
        <x:v>0</x:v>
      </x:c>
      <x:c r="T1928" s="4"/>
      <x:c r="U1928" s="4"/>
      <x:c r="V1928" s="4"/>
      <x:c r="W1928" s="4"/>
      <x:c r="X1928" s="4"/>
      <x:c r="Y1928" s="4"/>
      <x:c r="Z1928" s="4"/>
    </x:row>
    <x:row r="1929" ht="23" customHeight="1">
      <x:c r="A1929" s="17" t="n">
        <x:f>ROW()-6</x:f>
        <x:v>1923</x:v>
      </x:c>
      <x:c r="B1929" s="4" t="n">
        <x:f>IF('계산 과정'!$L$5,'계산 과정'!$L$11*SQRT((A1929+0.5)/'계산 과정'!$L$30),"")</x:f>
        <x:v>145.36919256994412</x:v>
      </x:c>
      <x:c r="C1929" s="4" t="n">
        <x:f>A1929*PI()*(3-SQRT(5))</x:f>
        <x:v>4615.129290768199</x:v>
      </x:c>
      <x:c r="D1929" s="4" t="n">
        <x:f>IF('계산 과정'!$L$5,B1929*COS(C1929),"")</x:f>
        <x:v>-144.14852511251846</x:v>
      </x:c>
      <x:c r="E1929" s="4" t="n">
        <x:f>IF('계산 과정'!$L$5,B1929*SIN(C1929),"")</x:f>
        <x:v>-18.799065304507312</x:v>
      </x:c>
      <x:c r="F1929" s="4" t="n">
        <x:f>IF('계산 과정'!$L$7,'계산 과정'!$L$22+'계산 과정'!$C$49*D1929+'계산 과정'!$D$49*E1929,"")</x:f>
        <x:v>751.9283996051012</x:v>
      </x:c>
      <x:c r="G1929" s="4" t="n">
        <x:f>IF('계산 과정'!$L$7,IF(ABS(F1929)&gt;=1E-12*MAX(1,SQRT((D1929-'계산 과정'!$C$33)^2+(E1929-'계산 과정'!$D$33)^2+'계산 과정'!$E$33^2)),('계산 과정'!$L$23-'계산 과정'!$C$49*D1929-'계산 과정'!$D$49*E1929)/F1929,""),"")</x:f>
        <x:v>0.39640955249388177</x:v>
      </x:c>
      <x:c r="H1929" s="4" t="n">
        <x:f>IF(AND(ISNUMBER(G1929),G1929&gt;0),('계산 과정'!$D$56+'계산 과정'!$D$57*D1929+'계산 과정'!$D$58*E1929)/F1929,"")</x:f>
        <x:v>-142.33379087897697</x:v>
      </x:c>
      <x:c r="I1929" s="4" t="n">
        <x:f>IF(AND(ISNUMBER(G1929),G1929&gt;0),('계산 과정'!$E$56+'계산 과정'!$E$57*D1929+'계산 과정'!$E$58*E1929)/F1929,"")</x:f>
        <x:v>-26.251194369170314</x:v>
      </x:c>
      <x:c r="J1929" s="4" t="n">
        <x:f>IF('계산 과정'!$L$5,'계산 과정'!$D$6+'계산 과정'!$C$35*D1929+'계산 과정'!$D$35*E1929,"")</x:f>
        <x:v>751.9283996051012</x:v>
      </x:c>
      <x:c r="K1929" s="4" t="n">
        <x:f>IF(AND('계산 과정'!$L$6,J1929&gt;0),'계산 과정'!$D$10*('계산 과정'!$C$38*(D1929-'계산 과정'!$C$32)+'계산 과정'!$D$38*(E1929-'계산 과정'!$D$32)-'계산 과정'!$E$38*'계산 과정'!$E$32)/J1929,"")</x:f>
        <x:v>-1.0844479305064898</x:v>
      </x:c>
      <x:c r="L1929" s="4" t="n">
        <x:f>IF(AND('계산 과정'!$L$6,J1929&gt;0),'계산 과정'!$D$10*('계산 과정'!$C$39*(D1929-'계산 과정'!$C$32)+'계산 과정'!$D$39*(E1929-'계산 과정'!$D$32)-'계산 과정'!$E$39*'계산 과정'!$E$32)/J1929,"")</x:f>
        <x:v>-0.20000909995558336</x:v>
      </x:c>
      <x:c r="M1929" s="17" t="n">
        <x:f>IF('계산 과정'!$L$6,IF(J1929&lt;=0,0,IF(AND(ABS(K1929)&lt;='계산 과정'!$D$11/2,ABS(L1929)&lt;='계산 과정'!$D$12/2),1,0)),"")</x:f>
        <x:v>1</x:v>
      </x:c>
      <x:c r="N1929" s="17" t="n">
        <x:f>IF('계산 과정'!$C$78,IF(AND(ISNUMBER(H1929),ISNUMBER(I1929),ABS(H1929-'계산 과정'!$C$88)&lt;='계산 과정'!$D$23/2,ABS(I1929-'계산 과정'!$C$89)&lt;='계산 과정'!$D$24/2),1,0),"")</x:f>
        <x:v>1</x:v>
      </x:c>
      <x:c r="O1929" s="4" t="n">
        <x:f>IF('계산 과정'!$L$7,'계산 과정'!$C$49*('계산 과정'!$C$32-D1929)+'계산 과정'!$D$49*('계산 과정'!$D$32-E1929)+'계산 과정'!$E$49*'계산 과정'!$E$32,"")</x:f>
        <x:v>-101.92839960510099</x:v>
      </x:c>
      <x:c r="P1929" s="4" t="n">
        <x:f>IF(AND('계산 과정'!$L$7,O1929&lt;&gt;0),('계산 과정'!$L$23-'계산 과정'!$C$49*D1929-'계산 과정'!$D$49*E1929)/O1929,"")</x:f>
        <x:v>-2.924323363750547</x:v>
      </x:c>
      <x:c r="Q1929" s="4" t="str">
        <x:f>IF(AND(ISNUMBER(P1929),P1929&gt;1E-9,P1929&lt;1-1E-9),'계산 과정'!$C$47*(D1929-'계산 과정'!$C$50+P1929*('계산 과정'!$C$32-D1929))+'계산 과정'!$D$47*(E1929-'계산 과정'!$D$50+P1929*('계산 과정'!$D$32-E1929))+'계산 과정'!$E$47*(0-'계산 과정'!$E$50+P1929*('계산 과정'!$E$32-0)),"")</x:f>
      </x:c>
      <x:c r="R1929" s="4" t="str">
        <x:f>IF(AND(ISNUMBER(P1929),P1929&gt;1E-9,P1929&lt;1-1E-9),'계산 과정'!$C$48*(D1929-'계산 과정'!$C$50+P1929*('계산 과정'!$C$32-D1929))+'계산 과정'!$D$48*(E1929-'계산 과정'!$D$50+P1929*('계산 과정'!$D$32-E1929))+'계산 과정'!$E$48*(0-'계산 과정'!$E$50+P1929*('계산 과정'!$E$32-0)),"")</x:f>
      </x:c>
      <x:c r="S1929" s="17" t="n">
        <x:f>IF('계산 과정'!$C$78,IF(AND(ISNUMBER(Q1929),ISNUMBER(R1929),ABS(Q1929-'계산 과정'!$C$88)&lt;='계산 과정'!$D$23/2,ABS(R1929-'계산 과정'!$C$89)&lt;='계산 과정'!$D$24/2),1,0),"")</x:f>
        <x:v>0</x:v>
      </x:c>
      <x:c r="T1929" s="4"/>
      <x:c r="U1929" s="4"/>
      <x:c r="V1929" s="4"/>
      <x:c r="W1929" s="4"/>
      <x:c r="X1929" s="4"/>
      <x:c r="Y1929" s="4"/>
      <x:c r="Z1929" s="4"/>
    </x:row>
    <x:row r="1930" ht="23" customHeight="1">
      <x:c r="A1930" s="17" t="n">
        <x:f>ROW()-6</x:f>
        <x:v>1924</x:v>
      </x:c>
      <x:c r="B1930" s="4" t="n">
        <x:f>IF('계산 과정'!$L$5,'계산 과정'!$L$11*SQRT((A1930+0.5)/'계산 과정'!$L$30),"")</x:f>
        <x:v>145.4069753366822</x:v>
      </x:c>
      <x:c r="C1930" s="4" t="n">
        <x:f>A1930*PI()*(3-SQRT(5))</x:f>
        <x:v>4617.529253997928</x:v>
      </x:c>
      <x:c r="D1930" s="4" t="n">
        <x:f>IF('계산 과정'!$L$5,B1930*COS(C1930),"")</x:f>
        <x:v>119.02014876739739</x:v>
      </x:c>
      <x:c r="E1930" s="4" t="n">
        <x:f>IF('계산 과정'!$L$5,B1930*SIN(C1930),"")</x:f>
        <x:v>-83.53078871858627</x:v>
      </x:c>
      <x:c r="F1930" s="4" t="n">
        <x:f>IF('계산 과정'!$L$7,'계산 과정'!$L$22+'계산 과정'!$C$49*D1930+'계산 과정'!$D$49*E1930,"")</x:f>
        <x:v>565.8400457087416</x:v>
      </x:c>
      <x:c r="G1930" s="4" t="n">
        <x:f>IF('계산 과정'!$L$7,IF(ABS(F1930)&gt;=1E-12*MAX(1,SQRT((D1930-'계산 과정'!$C$33)^2+(E1930-'계산 과정'!$D$33)^2+'계산 과정'!$E$33^2)),('계산 과정'!$L$23-'계산 과정'!$C$49*D1930-'계산 과정'!$D$49*E1930)/F1930,""),"")</x:f>
        <x:v>0.8556480898852342</x:v>
      </x:c>
      <x:c r="H1930" s="4" t="n">
        <x:f>IF(AND(ISNUMBER(G1930),G1930&gt;0),('계산 과정'!$D$56+'계산 과정'!$D$57*D1930+'계산 과정'!$D$58*E1930)/F1930,"")</x:f>
        <x:v>156.17125842540216</x:v>
      </x:c>
      <x:c r="I1930" s="4" t="n">
        <x:f>IF(AND(ISNUMBER(G1930),G1930&gt;0),('계산 과정'!$E$56+'계산 과정'!$E$57*D1930+'계산 과정'!$E$58*E1930)/F1930,"")</x:f>
        <x:v>-155.00374853225168</x:v>
      </x:c>
      <x:c r="J1930" s="4" t="n">
        <x:f>IF('계산 과정'!$L$5,'계산 과정'!$D$6+'계산 과정'!$C$35*D1930+'계산 과정'!$D$35*E1930,"")</x:f>
        <x:v>565.8400457087416</x:v>
      </x:c>
      <x:c r="K1930" s="4" t="n">
        <x:f>IF(AND('계산 과정'!$L$6,J1930&gt;0),'계산 과정'!$D$10*('계산 과정'!$C$38*(D1930-'계산 과정'!$C$32)+'계산 과정'!$D$38*(E1930-'계산 과정'!$D$32)-'계산 과정'!$E$38*'계산 과정'!$E$32)/J1930,"")</x:f>
        <x:v>1.1898762546697317</x:v>
      </x:c>
      <x:c r="L1930" s="4" t="n">
        <x:f>IF(AND('계산 과정'!$L$6,J1930&gt;0),'계산 과정'!$D$10*('계산 과정'!$C$39*(D1930-'계산 과정'!$C$32)+'계산 과정'!$D$39*(E1930-'계산 과정'!$D$32)-'계산 과정'!$E$39*'계산 과정'!$E$32)/J1930,"")</x:f>
        <x:v>-1.180980941198108</x:v>
      </x:c>
      <x:c r="M1930" s="17" t="n">
        <x:f>IF('계산 과정'!$L$6,IF(J1930&lt;=0,0,IF(AND(ABS(K1930)&lt;='계산 과정'!$D$11/2,ABS(L1930)&lt;='계산 과정'!$D$12/2),1,0)),"")</x:f>
        <x:v>1</x:v>
      </x:c>
      <x:c r="N1930" s="17" t="n">
        <x:f>IF('계산 과정'!$C$78,IF(AND(ISNUMBER(H1930),ISNUMBER(I1930),ABS(H1930-'계산 과정'!$C$88)&lt;='계산 과정'!$D$23/2,ABS(I1930-'계산 과정'!$C$89)&lt;='계산 과정'!$D$24/2),1,0),"")</x:f>
        <x:v>1</x:v>
      </x:c>
      <x:c r="O1930" s="4" t="n">
        <x:f>IF('계산 과정'!$L$7,'계산 과정'!$C$49*('계산 과정'!$C$32-D1930)+'계산 과정'!$D$49*('계산 과정'!$D$32-E1930)+'계산 과정'!$E$49*'계산 과정'!$E$32,"")</x:f>
        <x:v>84.15995429125849</x:v>
      </x:c>
      <x:c r="P1930" s="4" t="n">
        <x:f>IF(AND('계산 과정'!$L$7,O1930&lt;&gt;0),('계산 과정'!$L$23-'계산 과정'!$C$49*D1930-'계산 과정'!$D$49*E1930)/O1930,"")</x:f>
        <x:v>5.7528542923834145</x:v>
      </x:c>
      <x:c r="Q1930" s="4" t="str">
        <x:f>IF(AND(ISNUMBER(P1930),P1930&gt;1E-9,P1930&lt;1-1E-9),'계산 과정'!$C$47*(D1930-'계산 과정'!$C$50+P1930*('계산 과정'!$C$32-D1930))+'계산 과정'!$D$47*(E1930-'계산 과정'!$D$50+P1930*('계산 과정'!$D$32-E1930))+'계산 과정'!$E$47*(0-'계산 과정'!$E$50+P1930*('계산 과정'!$E$32-0)),"")</x:f>
      </x:c>
      <x:c r="R1930" s="4" t="str">
        <x:f>IF(AND(ISNUMBER(P1930),P1930&gt;1E-9,P1930&lt;1-1E-9),'계산 과정'!$C$48*(D1930-'계산 과정'!$C$50+P1930*('계산 과정'!$C$32-D1930))+'계산 과정'!$D$48*(E1930-'계산 과정'!$D$50+P1930*('계산 과정'!$D$32-E1930))+'계산 과정'!$E$48*(0-'계산 과정'!$E$50+P1930*('계산 과정'!$E$32-0)),"")</x:f>
      </x:c>
      <x:c r="S1930" s="17" t="n">
        <x:f>IF('계산 과정'!$C$78,IF(AND(ISNUMBER(Q1930),ISNUMBER(R1930),ABS(Q1930-'계산 과정'!$C$88)&lt;='계산 과정'!$D$23/2,ABS(R1930-'계산 과정'!$C$89)&lt;='계산 과정'!$D$24/2),1,0),"")</x:f>
        <x:v>0</x:v>
      </x:c>
      <x:c r="T1930" s="4"/>
      <x:c r="U1930" s="4"/>
      <x:c r="V1930" s="4"/>
      <x:c r="W1930" s="4"/>
      <x:c r="X1930" s="4"/>
      <x:c r="Y1930" s="4"/>
      <x:c r="Z1930" s="4"/>
    </x:row>
    <x:row r="1931" ht="23" customHeight="1">
      <x:c r="A1931" s="17" t="n">
        <x:f>ROW()-6</x:f>
        <x:v>1925</x:v>
      </x:c>
      <x:c r="B1931" s="4" t="n">
        <x:f>IF('계산 과정'!$L$5,'계산 과정'!$L$11*SQRT((A1931+0.5)/'계산 과정'!$L$30),"")</x:f>
        <x:v>145.4447482884394</x:v>
      </x:c>
      <x:c r="C1931" s="4" t="n">
        <x:f>A1931*PI()*(3-SQRT(5))</x:f>
        <x:v>4619.929217227657</x:v>
      </x:c>
      <x:c r="D1931" s="4" t="n">
        <x:f>IF('계산 과정'!$L$5,B1931*COS(C1931),"")</x:f>
        <x:v>-31.345657186026774</x:v>
      </x:c>
      <x:c r="E1931" s="4" t="n">
        <x:f>IF('계산 과정'!$L$5,B1931*SIN(C1931),"")</x:f>
        <x:v>142.0268445761701</x:v>
      </x:c>
      <x:c r="F1931" s="4" t="n">
        <x:f>IF('계산 과정'!$L$7,'계산 과정'!$L$22+'계산 과정'!$C$49*D1931+'계산 과정'!$D$49*E1931,"")</x:f>
        <x:v>672.1647267569883</x:v>
      </x:c>
      <x:c r="G1931" s="4" t="n">
        <x:f>IF('계산 과정'!$L$7,IF(ABS(F1931)&gt;=1E-12*MAX(1,SQRT((D1931-'계산 과정'!$C$33)^2+(E1931-'계산 과정'!$D$33)^2+'계산 과정'!$E$33^2)),('계산 과정'!$L$23-'계산 과정'!$C$49*D1931-'계산 과정'!$D$49*E1931)/F1931,""),"")</x:f>
        <x:v>0.5621170796420155</x:v>
      </x:c>
      <x:c r="H1931" s="4" t="n">
        <x:f>IF(AND(ISNUMBER(G1931),G1931&gt;0),('계산 과정'!$D$56+'계산 과정'!$D$57*D1931+'계산 과정'!$D$58*E1931)/F1931,"")</x:f>
        <x:v>-34.623898232690024</x:v>
      </x:c>
      <x:c r="I1931" s="4" t="n">
        <x:f>IF(AND(ISNUMBER(G1931),G1931&gt;0),('계산 과정'!$E$56+'계산 과정'!$E$57*D1931+'계산 과정'!$E$58*E1931)/F1931,"")</x:f>
        <x:v>221.8625596800973</x:v>
      </x:c>
      <x:c r="J1931" s="4" t="n">
        <x:f>IF('계산 과정'!$L$5,'계산 과정'!$D$6+'계산 과정'!$C$35*D1931+'계산 과정'!$D$35*E1931,"")</x:f>
        <x:v>672.1647267569883</x:v>
      </x:c>
      <x:c r="K1931" s="4" t="n">
        <x:f>IF(AND('계산 과정'!$L$6,J1931&gt;0),'계산 과정'!$D$10*('계산 과정'!$C$38*(D1931-'계산 과정'!$C$32)+'계산 과정'!$D$38*(E1931-'계산 과정'!$D$32)-'계산 과정'!$E$38*'계산 과정'!$E$32)/J1931,"")</x:f>
        <x:v>-0.2638011293919227</x:v>
      </x:c>
      <x:c r="L1931" s="4" t="n">
        <x:f>IF(AND('계산 과정'!$L$6,J1931&gt;0),'계산 과정'!$D$10*('계산 과정'!$C$39*(D1931-'계산 과정'!$C$32)+'계산 과정'!$D$39*(E1931-'계산 과정'!$D$32)-'계산 과정'!$E$39*'계산 과정'!$E$32)/J1931,"")</x:f>
        <x:v>1.6903814070864556</x:v>
      </x:c>
      <x:c r="M1931" s="17" t="n">
        <x:f>IF('계산 과정'!$L$6,IF(J1931&lt;=0,0,IF(AND(ABS(K1931)&lt;='계산 과정'!$D$11/2,ABS(L1931)&lt;='계산 과정'!$D$12/2),1,0)),"")</x:f>
        <x:v>1</x:v>
      </x:c>
      <x:c r="N1931" s="17" t="n">
        <x:f>IF('계산 과정'!$C$78,IF(AND(ISNUMBER(H1931),ISNUMBER(I1931),ABS(H1931-'계산 과정'!$C$88)&lt;='계산 과정'!$D$23/2,ABS(I1931-'계산 과정'!$C$89)&lt;='계산 과정'!$D$24/2),1,0),"")</x:f>
        <x:v>1</x:v>
      </x:c>
      <x:c r="O1931" s="4" t="n">
        <x:f>IF('계산 과정'!$L$7,'계산 과정'!$C$49*('계산 과정'!$C$32-D1931)+'계산 과정'!$D$49*('계산 과정'!$D$32-E1931)+'계산 과정'!$E$49*'계산 과정'!$E$32,"")</x:f>
        <x:v>-22.164726756988216</x:v>
      </x:c>
      <x:c r="P1931" s="4" t="n">
        <x:f>IF(AND('계산 과정'!$L$7,O1931&lt;&gt;0),('계산 과정'!$L$23-'계산 과정'!$C$49*D1931-'계산 과정'!$D$49*E1931)/O1931,"")</x:f>
        <x:v>-17.046692133206</x:v>
      </x:c>
      <x:c r="Q1931" s="4" t="str">
        <x:f>IF(AND(ISNUMBER(P1931),P1931&gt;1E-9,P1931&lt;1-1E-9),'계산 과정'!$C$47*(D1931-'계산 과정'!$C$50+P1931*('계산 과정'!$C$32-D1931))+'계산 과정'!$D$47*(E1931-'계산 과정'!$D$50+P1931*('계산 과정'!$D$32-E1931))+'계산 과정'!$E$47*(0-'계산 과정'!$E$50+P1931*('계산 과정'!$E$32-0)),"")</x:f>
      </x:c>
      <x:c r="R1931" s="4" t="str">
        <x:f>IF(AND(ISNUMBER(P1931),P1931&gt;1E-9,P1931&lt;1-1E-9),'계산 과정'!$C$48*(D1931-'계산 과정'!$C$50+P1931*('계산 과정'!$C$32-D1931))+'계산 과정'!$D$48*(E1931-'계산 과정'!$D$50+P1931*('계산 과정'!$D$32-E1931))+'계산 과정'!$E$48*(0-'계산 과정'!$E$50+P1931*('계산 과정'!$E$32-0)),"")</x:f>
      </x:c>
      <x:c r="S1931" s="17" t="n">
        <x:f>IF('계산 과정'!$C$78,IF(AND(ISNUMBER(Q1931),ISNUMBER(R1931),ABS(Q1931-'계산 과정'!$C$88)&lt;='계산 과정'!$D$23/2,ABS(R1931-'계산 과정'!$C$89)&lt;='계산 과정'!$D$24/2),1,0),"")</x:f>
        <x:v>0</x:v>
      </x:c>
      <x:c r="T1931" s="4"/>
      <x:c r="U1931" s="4"/>
      <x:c r="V1931" s="4"/>
      <x:c r="W1931" s="4"/>
      <x:c r="X1931" s="4"/>
      <x:c r="Y1931" s="4"/>
      <x:c r="Z1931" s="4"/>
    </x:row>
    <x:row r="1932" ht="23" customHeight="1">
      <x:c r="A1932" s="17" t="n">
        <x:f>ROW()-6</x:f>
        <x:v>1926</x:v>
      </x:c>
      <x:c r="B1932" s="4" t="n">
        <x:f>IF('계산 과정'!$L$5,'계산 과정'!$L$11*SQRT((A1932+0.5)/'계산 과정'!$L$30),"")</x:f>
        <x:v>145.4825114328609</x:v>
      </x:c>
      <x:c r="C1932" s="4" t="n">
        <x:f>A1932*PI()*(3-SQRT(5))</x:f>
        <x:v>4622.3291804573855</x:v>
      </x:c>
      <x:c r="D1932" s="4" t="n">
        <x:f>IF('계산 과정'!$L$5,B1932*COS(C1932),"")</x:f>
        <x:v>-72.84335103722952</x:v>
      </x:c>
      <x:c r="E1932" s="4" t="n">
        <x:f>IF('계산 과정'!$L$5,B1932*SIN(C1932),"")</x:f>
        <x:v>-125.93255076619171</x:v>
      </x:c>
      <x:c r="F1932" s="4" t="n">
        <x:f>IF('계산 과정'!$L$7,'계산 과정'!$L$22+'계산 과정'!$C$49*D1932+'계산 과정'!$D$49*E1932,"")</x:f>
        <x:v>701.5080274827772</x:v>
      </x:c>
      <x:c r="G1932" s="4" t="n">
        <x:f>IF('계산 과정'!$L$7,IF(ABS(F1932)&gt;=1E-12*MAX(1,SQRT((D1932-'계산 과정'!$C$33)^2+(E1932-'계산 과정'!$D$33)^2+'계산 과정'!$E$33^2)),('계산 과정'!$L$23-'계산 과정'!$C$49*D1932-'계산 과정'!$D$49*E1932)/F1932,""),"")</x:f>
        <x:v>0.4967754592455875</x:v>
      </x:c>
      <x:c r="H1932" s="4" t="n">
        <x:f>IF(AND(ISNUMBER(G1932),G1932&gt;0),('계산 과정'!$D$56+'계산 과정'!$D$57*D1932+'계산 과정'!$D$58*E1932)/F1932,"")</x:f>
        <x:v>-77.09595149036821</x:v>
      </x:c>
      <x:c r="I1932" s="4" t="n">
        <x:f>IF(AND(ISNUMBER(G1932),G1932&gt;0),('계산 과정'!$E$56+'계산 과정'!$E$57*D1932+'계산 과정'!$E$58*E1932)/F1932,"")</x:f>
        <x:v>-188.49275150703485</x:v>
      </x:c>
      <x:c r="J1932" s="4" t="n">
        <x:f>IF('계산 과정'!$L$5,'계산 과정'!$D$6+'계산 과정'!$C$35*D1932+'계산 과정'!$D$35*E1932,"")</x:f>
        <x:v>701.5080274827772</x:v>
      </x:c>
      <x:c r="K1932" s="4" t="n">
        <x:f>IF(AND('계산 과정'!$L$6,J1932&gt;0),'계산 과정'!$D$10*('계산 과정'!$C$38*(D1932-'계산 과정'!$C$32)+'계산 과정'!$D$38*(E1932-'계산 과정'!$D$32)-'계산 과정'!$E$38*'계산 과정'!$E$32)/J1932,"")</x:f>
        <x:v>-0.5873977256408999</x:v>
      </x:c>
      <x:c r="L1932" s="4" t="n">
        <x:f>IF(AND('계산 과정'!$L$6,J1932&gt;0),'계산 과정'!$D$10*('계산 과정'!$C$39*(D1932-'계산 과정'!$C$32)+'계산 과정'!$D$39*(E1932-'계산 과정'!$D$32)-'계산 과정'!$E$39*'계산 과정'!$E$32)/J1932,"")</x:f>
        <x:v>-1.4361352495774085</x:v>
      </x:c>
      <x:c r="M1932" s="17" t="n">
        <x:f>IF('계산 과정'!$L$6,IF(J1932&lt;=0,0,IF(AND(ABS(K1932)&lt;='계산 과정'!$D$11/2,ABS(L1932)&lt;='계산 과정'!$D$12/2),1,0)),"")</x:f>
        <x:v>1</x:v>
      </x:c>
      <x:c r="N1932" s="17" t="n">
        <x:f>IF('계산 과정'!$C$78,IF(AND(ISNUMBER(H1932),ISNUMBER(I1932),ABS(H1932-'계산 과정'!$C$88)&lt;='계산 과정'!$D$23/2,ABS(I1932-'계산 과정'!$C$89)&lt;='계산 과정'!$D$24/2),1,0),"")</x:f>
        <x:v>1</x:v>
      </x:c>
      <x:c r="O1932" s="4" t="n">
        <x:f>IF('계산 과정'!$L$7,'계산 과정'!$C$49*('계산 과정'!$C$32-D1932)+'계산 과정'!$D$49*('계산 과정'!$D$32-E1932)+'계산 과정'!$E$49*'계산 과정'!$E$32,"")</x:f>
        <x:v>-51.50802748277704</x:v>
      </x:c>
      <x:c r="P1932" s="4" t="n">
        <x:f>IF(AND('계산 과정'!$L$7,O1932&lt;&gt;0),('계산 과정'!$L$23-'계산 과정'!$C$49*D1932-'계산 과정'!$D$49*E1932)/O1932,"")</x:f>
        <x:v>-6.765779812355455</x:v>
      </x:c>
      <x:c r="Q1932" s="4" t="str">
        <x:f>IF(AND(ISNUMBER(P1932),P1932&gt;1E-9,P1932&lt;1-1E-9),'계산 과정'!$C$47*(D1932-'계산 과정'!$C$50+P1932*('계산 과정'!$C$32-D1932))+'계산 과정'!$D$47*(E1932-'계산 과정'!$D$50+P1932*('계산 과정'!$D$32-E1932))+'계산 과정'!$E$47*(0-'계산 과정'!$E$50+P1932*('계산 과정'!$E$32-0)),"")</x:f>
      </x:c>
      <x:c r="R1932" s="4" t="str">
        <x:f>IF(AND(ISNUMBER(P1932),P1932&gt;1E-9,P1932&lt;1-1E-9),'계산 과정'!$C$48*(D1932-'계산 과정'!$C$50+P1932*('계산 과정'!$C$32-D1932))+'계산 과정'!$D$48*(E1932-'계산 과정'!$D$50+P1932*('계산 과정'!$D$32-E1932))+'계산 과정'!$E$48*(0-'계산 과정'!$E$50+P1932*('계산 과정'!$E$32-0)),"")</x:f>
      </x:c>
      <x:c r="S1932" s="17" t="n">
        <x:f>IF('계산 과정'!$C$78,IF(AND(ISNUMBER(Q1932),ISNUMBER(R1932),ABS(Q1932-'계산 과정'!$C$88)&lt;='계산 과정'!$D$23/2,ABS(R1932-'계산 과정'!$C$89)&lt;='계산 과정'!$D$24/2),1,0),"")</x:f>
        <x:v>0</x:v>
      </x:c>
      <x:c r="T1932" s="4"/>
      <x:c r="U1932" s="4"/>
      <x:c r="V1932" s="4"/>
      <x:c r="W1932" s="4"/>
      <x:c r="X1932" s="4"/>
      <x:c r="Y1932" s="4"/>
      <x:c r="Z1932" s="4"/>
    </x:row>
    <x:row r="1933" ht="23" customHeight="1">
      <x:c r="A1933" s="17" t="n">
        <x:f>ROW()-6</x:f>
        <x:v>1927</x:v>
      </x:c>
      <x:c r="B1933" s="4" t="n">
        <x:f>IF('계산 과정'!$L$5,'계산 과정'!$L$11*SQRT((A1933+0.5)/'계산 과정'!$L$30),"")</x:f>
        <x:v>145.52026477758176</x:v>
      </x:c>
      <x:c r="C1933" s="4" t="n">
        <x:f>A1933*PI()*(3-SQRT(5))</x:f>
        <x:v>4624.729143687114</x:v>
      </x:c>
      <x:c r="D1933" s="4" t="n">
        <x:f>IF('계산 과정'!$L$5,B1933*COS(C1933),"")</x:f>
        <x:v>138.8146494637922</x:v>
      </x:c>
      <x:c r="E1933" s="4" t="n">
        <x:f>IF('계산 과정'!$L$5,B1933*SIN(C1933),"")</x:f>
        <x:v>43.66509538729994</x:v>
      </x:c>
      <x:c r="F1933" s="4" t="n">
        <x:f>IF('계산 과정'!$L$7,'계산 과정'!$L$22+'계산 과정'!$C$49*D1933+'계산 과정'!$D$49*E1933,"")</x:f>
        <x:v>551.843220036119</x:v>
      </x:c>
      <x:c r="G1933" s="4" t="n">
        <x:f>IF('계산 과정'!$L$7,IF(ABS(F1933)&gt;=1E-12*MAX(1,SQRT((D1933-'계산 과정'!$C$33)^2+(E1933-'계산 과정'!$D$33)^2+'계산 과정'!$E$33^2)),('계산 과정'!$L$23-'계산 과정'!$C$49*D1933-'계산 과정'!$D$49*E1933)/F1933,""),"")</x:f>
        <x:v>0.9027143251506757</x:v>
      </x:c>
      <x:c r="H1933" s="4" t="n">
        <x:f>IF(AND(ISNUMBER(G1933),G1933&gt;0),('계산 과정'!$D$56+'계산 과정'!$D$57*D1933+'계산 과정'!$D$58*E1933)/F1933,"")</x:f>
        <x:v>186.76431134793913</x:v>
      </x:c>
      <x:c r="I1933" s="4" t="n">
        <x:f>IF(AND(ISNUMBER(G1933),G1933&gt;0),('계산 과정'!$E$56+'계산 과정'!$E$57*D1933+'계산 과정'!$E$58*E1933)/F1933,"")</x:f>
        <x:v>83.0822025024863</x:v>
      </x:c>
      <x:c r="J1933" s="4" t="n">
        <x:f>IF('계산 과정'!$L$5,'계산 과정'!$D$6+'계산 과정'!$C$35*D1933+'계산 과정'!$D$35*E1933,"")</x:f>
        <x:v>551.843220036119</x:v>
      </x:c>
      <x:c r="K1933" s="4" t="n">
        <x:f>IF(AND('계산 과정'!$L$6,J1933&gt;0),'계산 과정'!$D$10*('계산 과정'!$C$38*(D1933-'계산 과정'!$C$32)+'계산 과정'!$D$38*(E1933-'계산 과정'!$D$32)-'계산 과정'!$E$38*'계산 과정'!$E$32)/J1933,"")</x:f>
        <x:v>1.4229661816985846</x:v>
      </x:c>
      <x:c r="L1933" s="4" t="n">
        <x:f>IF(AND('계산 과정'!$L$6,J1933&gt;0),'계산 과정'!$D$10*('계산 과정'!$C$39*(D1933-'계산 과정'!$C$32)+'계산 과정'!$D$39*(E1933-'계산 과정'!$D$32)-'계산 과정'!$E$39*'계산 과정'!$E$32)/J1933,"")</x:f>
        <x:v>0.6330072571618004</x:v>
      </x:c>
      <x:c r="M1933" s="17" t="n">
        <x:f>IF('계산 과정'!$L$6,IF(J1933&lt;=0,0,IF(AND(ABS(K1933)&lt;='계산 과정'!$D$11/2,ABS(L1933)&lt;='계산 과정'!$D$12/2),1,0)),"")</x:f>
        <x:v>1</x:v>
      </x:c>
      <x:c r="N1933" s="17" t="n">
        <x:f>IF('계산 과정'!$C$78,IF(AND(ISNUMBER(H1933),ISNUMBER(I1933),ABS(H1933-'계산 과정'!$C$88)&lt;='계산 과정'!$D$23/2,ABS(I1933-'계산 과정'!$C$89)&lt;='계산 과정'!$D$24/2),1,0),"")</x:f>
        <x:v>1</x:v>
      </x:c>
      <x:c r="O1933" s="4" t="n">
        <x:f>IF('계산 과정'!$L$7,'계산 과정'!$C$49*('계산 과정'!$C$32-D1933)+'계산 과정'!$D$49*('계산 과정'!$D$32-E1933)+'계산 과정'!$E$49*'계산 과정'!$E$32,"")</x:f>
        <x:v>98.15677996388112</x:v>
      </x:c>
      <x:c r="P1933" s="4" t="n">
        <x:f>IF(AND('계산 과정'!$L$7,O1933&lt;&gt;0),('계산 과정'!$L$23-'계산 과정'!$C$49*D1933-'계산 과정'!$D$49*E1933)/O1933,"")</x:f>
        <x:v>5.075113304931033</x:v>
      </x:c>
      <x:c r="Q1933" s="4" t="str">
        <x:f>IF(AND(ISNUMBER(P1933),P1933&gt;1E-9,P1933&lt;1-1E-9),'계산 과정'!$C$47*(D1933-'계산 과정'!$C$50+P1933*('계산 과정'!$C$32-D1933))+'계산 과정'!$D$47*(E1933-'계산 과정'!$D$50+P1933*('계산 과정'!$D$32-E1933))+'계산 과정'!$E$47*(0-'계산 과정'!$E$50+P1933*('계산 과정'!$E$32-0)),"")</x:f>
      </x:c>
      <x:c r="R1933" s="4" t="str">
        <x:f>IF(AND(ISNUMBER(P1933),P1933&gt;1E-9,P1933&lt;1-1E-9),'계산 과정'!$C$48*(D1933-'계산 과정'!$C$50+P1933*('계산 과정'!$C$32-D1933))+'계산 과정'!$D$48*(E1933-'계산 과정'!$D$50+P1933*('계산 과정'!$D$32-E1933))+'계산 과정'!$E$48*(0-'계산 과정'!$E$50+P1933*('계산 과정'!$E$32-0)),"")</x:f>
      </x:c>
      <x:c r="S1933" s="17" t="n">
        <x:f>IF('계산 과정'!$C$78,IF(AND(ISNUMBER(Q1933),ISNUMBER(R1933),ABS(Q1933-'계산 과정'!$C$88)&lt;='계산 과정'!$D$23/2,ABS(R1933-'계산 과정'!$C$89)&lt;='계산 과정'!$D$24/2),1,0),"")</x:f>
        <x:v>0</x:v>
      </x:c>
      <x:c r="T1933" s="4"/>
      <x:c r="U1933" s="4"/>
      <x:c r="V1933" s="4"/>
      <x:c r="W1933" s="4"/>
      <x:c r="X1933" s="4"/>
      <x:c r="Y1933" s="4"/>
      <x:c r="Z1933" s="4"/>
    </x:row>
    <x:row r="1934" ht="23" customHeight="1">
      <x:c r="A1934" s="17" t="n">
        <x:f>ROW()-6</x:f>
        <x:v>1928</x:v>
      </x:c>
      <x:c r="B1934" s="4" t="n">
        <x:f>IF('계산 과정'!$L$5,'계산 과정'!$L$11*SQRT((A1934+0.5)/'계산 과정'!$L$30),"")</x:f>
        <x:v>145.55800833022724</x:v>
      </x:c>
      <x:c r="C1934" s="4" t="n">
        <x:f>A1934*PI()*(3-SQRT(5))</x:f>
        <x:v>4627.129106916843</x:v>
      </x:c>
      <x:c r="D1934" s="4" t="n">
        <x:f>IF('계산 과정'!$L$5,B1934*COS(C1934),"")</x:f>
        <x:v>-131.88714913304693</x:v>
      </x:c>
      <x:c r="E1934" s="4" t="n">
        <x:f>IF('계산 과정'!$L$5,B1934*SIN(C1934),"")</x:f>
        <x:v>61.58663558451573</x:v>
      </x:c>
      <x:c r="F1934" s="4" t="n">
        <x:f>IF('계산 과정'!$L$7,'계산 과정'!$L$22+'계산 과정'!$C$49*D1934+'계산 과정'!$D$49*E1934,"")</x:f>
        <x:v>743.258297503339</x:v>
      </x:c>
      <x:c r="G1934" s="4" t="n">
        <x:f>IF('계산 과정'!$L$7,IF(ABS(F1934)&gt;=1E-12*MAX(1,SQRT((D1934-'계산 과정'!$C$33)^2+(E1934-'계산 과정'!$D$33)^2+'계산 과정'!$E$33^2)),('계산 과정'!$L$23-'계산 과정'!$C$49*D1934-'계산 과정'!$D$49*E1934)/F1934,""),"")</x:f>
        <x:v>0.4126986587664473</x:v>
      </x:c>
      <x:c r="H1934" s="4" t="n">
        <x:f>IF(AND(ISNUMBER(G1934),G1934&gt;0),('계산 과정'!$D$56+'계산 과정'!$D$57*D1934+'계산 과정'!$D$58*E1934)/F1934,"")</x:f>
        <x:v>-131.74587180180941</x:v>
      </x:c>
      <x:c r="I1934" s="4" t="n">
        <x:f>IF(AND(ISNUMBER(G1934),G1934&gt;0),('계산 과정'!$E$56+'계산 과정'!$E$57*D1934+'계산 과정'!$E$58*E1934)/F1934,"")</x:f>
        <x:v>87.00335748818333</x:v>
      </x:c>
      <x:c r="J1934" s="4" t="n">
        <x:f>IF('계산 과정'!$L$5,'계산 과정'!$D$6+'계산 과정'!$C$35*D1934+'계산 과정'!$D$35*E1934,"")</x:f>
        <x:v>743.258297503339</x:v>
      </x:c>
      <x:c r="K1934" s="4" t="n">
        <x:f>IF(AND('계산 과정'!$L$6,J1934&gt;0),'계산 과정'!$D$10*('계산 과정'!$C$38*(D1934-'계산 과정'!$C$32)+'계산 과정'!$D$38*(E1934-'계산 과정'!$D$32)-'계산 과정'!$E$38*'계산 과정'!$E$32)/J1934,"")</x:f>
        <x:v>-1.0037780708709276</x:v>
      </x:c>
      <x:c r="L1934" s="4" t="n">
        <x:f>IF(AND('계산 과정'!$L$6,J1934&gt;0),'계산 과정'!$D$10*('계산 과정'!$C$39*(D1934-'계산 과정'!$C$32)+'계산 과정'!$D$39*(E1934-'계산 과정'!$D$32)-'계산 과정'!$E$39*'계산 과정'!$E$32)/J1934,"")</x:f>
        <x:v>0.662882723719492</x:v>
      </x:c>
      <x:c r="M1934" s="17" t="n">
        <x:f>IF('계산 과정'!$L$6,IF(J1934&lt;=0,0,IF(AND(ABS(K1934)&lt;='계산 과정'!$D$11/2,ABS(L1934)&lt;='계산 과정'!$D$12/2),1,0)),"")</x:f>
        <x:v>1</x:v>
      </x:c>
      <x:c r="N1934" s="17" t="n">
        <x:f>IF('계산 과정'!$C$78,IF(AND(ISNUMBER(H1934),ISNUMBER(I1934),ABS(H1934-'계산 과정'!$C$88)&lt;='계산 과정'!$D$23/2,ABS(I1934-'계산 과정'!$C$89)&lt;='계산 과정'!$D$24/2),1,0),"")</x:f>
        <x:v>1</x:v>
      </x:c>
      <x:c r="O1934" s="4" t="n">
        <x:f>IF('계산 과정'!$L$7,'계산 과정'!$C$49*('계산 과정'!$C$32-D1934)+'계산 과정'!$D$49*('계산 과정'!$D$32-E1934)+'계산 과정'!$E$49*'계산 과정'!$E$32,"")</x:f>
        <x:v>-93.25829750333884</x:v>
      </x:c>
      <x:c r="P1934" s="4" t="n">
        <x:f>IF(AND('계산 과정'!$L$7,O1934&lt;&gt;0),('계산 과정'!$L$23-'계산 과정'!$C$49*D1934-'계산 과정'!$D$49*E1934)/O1934,"")</x:f>
        <x:v>-3.289162580795334</x:v>
      </x:c>
      <x:c r="Q1934" s="4" t="str">
        <x:f>IF(AND(ISNUMBER(P1934),P1934&gt;1E-9,P1934&lt;1-1E-9),'계산 과정'!$C$47*(D1934-'계산 과정'!$C$50+P1934*('계산 과정'!$C$32-D1934))+'계산 과정'!$D$47*(E1934-'계산 과정'!$D$50+P1934*('계산 과정'!$D$32-E1934))+'계산 과정'!$E$47*(0-'계산 과정'!$E$50+P1934*('계산 과정'!$E$32-0)),"")</x:f>
      </x:c>
      <x:c r="R1934" s="4" t="str">
        <x:f>IF(AND(ISNUMBER(P1934),P1934&gt;1E-9,P1934&lt;1-1E-9),'계산 과정'!$C$48*(D1934-'계산 과정'!$C$50+P1934*('계산 과정'!$C$32-D1934))+'계산 과정'!$D$48*(E1934-'계산 과정'!$D$50+P1934*('계산 과정'!$D$32-E1934))+'계산 과정'!$E$48*(0-'계산 과정'!$E$50+P1934*('계산 과정'!$E$32-0)),"")</x:f>
      </x:c>
      <x:c r="S1934" s="17" t="n">
        <x:f>IF('계산 과정'!$C$78,IF(AND(ISNUMBER(Q1934),ISNUMBER(R1934),ABS(Q1934-'계산 과정'!$C$88)&lt;='계산 과정'!$D$23/2,ABS(R1934-'계산 과정'!$C$89)&lt;='계산 과정'!$D$24/2),1,0),"")</x:f>
        <x:v>0</x:v>
      </x:c>
      <x:c r="T1934" s="4"/>
      <x:c r="U1934" s="4"/>
      <x:c r="V1934" s="4"/>
      <x:c r="W1934" s="4"/>
      <x:c r="X1934" s="4"/>
      <x:c r="Y1934" s="4"/>
      <x:c r="Z1934" s="4"/>
    </x:row>
    <x:row r="1935" ht="23" customHeight="1">
      <x:c r="A1935" s="17" t="n">
        <x:f>ROW()-6</x:f>
        <x:v>1929</x:v>
      </x:c>
      <x:c r="B1935" s="4" t="n">
        <x:f>IF('계산 과정'!$L$5,'계산 과정'!$L$11*SQRT((A1935+0.5)/'계산 과정'!$L$30),"")</x:f>
        <x:v>145.5957420984127</x:v>
      </x:c>
      <x:c r="C1935" s="4" t="n">
        <x:f>A1935*PI()*(3-SQRT(5))</x:f>
        <x:v>4629.529070146571</x:v>
      </x:c>
      <x:c r="D1935" s="4" t="n">
        <x:f>IF('계산 과정'!$L$5,B1935*COS(C1935),"")</x:f>
        <x:v>55.66273059829006</x:v>
      </x:c>
      <x:c r="E1935" s="4" t="n">
        <x:f>IF('계산 과정'!$L$5,B1935*SIN(C1935),"")</x:f>
        <x:v>-134.5354248498502</x:v>
      </x:c>
      <x:c r="F1935" s="4" t="n">
        <x:f>IF('계산 과정'!$L$7,'계산 과정'!$L$22+'계산 과정'!$C$49*D1935+'계산 과정'!$D$49*E1935,"")</x:f>
        <x:v>610.6405057345892</x:v>
      </x:c>
      <x:c r="G1935" s="4" t="n">
        <x:f>IF('계산 과정'!$L$7,IF(ABS(F1935)&gt;=1E-12*MAX(1,SQRT((D1935-'계산 과정'!$C$33)^2+(E1935-'계산 과정'!$D$33)^2+'계산 과정'!$E$33^2)),('계산 과정'!$L$23-'계산 과정'!$C$49*D1935-'계산 과정'!$D$49*E1935)/F1935,""),"")</x:f>
        <x:v>0.7195059779679527</x:v>
      </x:c>
      <x:c r="H1935" s="4" t="n">
        <x:f>IF(AND(ISNUMBER(G1935),G1935&gt;0),('계산 과정'!$D$56+'계산 과정'!$D$57*D1935+'계산 과정'!$D$58*E1935)/F1935,"")</x:f>
        <x:v>67.67888567916917</x:v>
      </x:c>
      <x:c r="I1935" s="4" t="n">
        <x:f>IF(AND(ISNUMBER(G1935),G1935&gt;0),('계산 과정'!$E$56+'계산 과정'!$E$57*D1935+'계산 과정'!$E$58*E1935)/F1935,"")</x:f>
        <x:v>-231.33446727777564</x:v>
      </x:c>
      <x:c r="J1935" s="4" t="n">
        <x:f>IF('계산 과정'!$L$5,'계산 과정'!$D$6+'계산 과정'!$C$35*D1935+'계산 과정'!$D$35*E1935,"")</x:f>
        <x:v>610.6405057345892</x:v>
      </x:c>
      <x:c r="K1935" s="4" t="n">
        <x:f>IF(AND('계산 과정'!$L$6,J1935&gt;0),'계산 과정'!$D$10*('계산 과정'!$C$38*(D1935-'계산 과정'!$C$32)+'계산 과정'!$D$38*(E1935-'계산 과정'!$D$32)-'계산 과정'!$E$38*'계산 과정'!$E$32)/J1935,"")</x:f>
        <x:v>0.5156486527936707</x:v>
      </x:c>
      <x:c r="L1935" s="4" t="n">
        <x:f>IF(AND('계산 과정'!$L$6,J1935&gt;0),'계산 과정'!$D$10*('계산 과정'!$C$39*(D1935-'계산 과정'!$C$32)+'계산 과정'!$D$39*(E1935-'계산 과정'!$D$32)-'계산 과정'!$E$39*'계산 과정'!$E$32)/J1935,"")</x:f>
        <x:v>-1.762548322116386</x:v>
      </x:c>
      <x:c r="M1935" s="17" t="n">
        <x:f>IF('계산 과정'!$L$6,IF(J1935&lt;=0,0,IF(AND(ABS(K1935)&lt;='계산 과정'!$D$11/2,ABS(L1935)&lt;='계산 과정'!$D$12/2),1,0)),"")</x:f>
        <x:v>1</x:v>
      </x:c>
      <x:c r="N1935" s="17" t="n">
        <x:f>IF('계산 과정'!$C$78,IF(AND(ISNUMBER(H1935),ISNUMBER(I1935),ABS(H1935-'계산 과정'!$C$88)&lt;='계산 과정'!$D$23/2,ABS(I1935-'계산 과정'!$C$89)&lt;='계산 과정'!$D$24/2),1,0),"")</x:f>
        <x:v>1</x:v>
      </x:c>
      <x:c r="O1935" s="4" t="n">
        <x:f>IF('계산 과정'!$L$7,'계산 과정'!$C$49*('계산 과정'!$C$32-D1935)+'계산 과정'!$D$49*('계산 과정'!$D$32-E1935)+'계산 과정'!$E$49*'계산 과정'!$E$32,"")</x:f>
        <x:v>39.359494265410945</x:v>
      </x:c>
      <x:c r="P1935" s="4" t="n">
        <x:f>IF(AND('계산 과정'!$L$7,O1935&lt;&gt;0),('계산 과정'!$L$23-'계산 과정'!$C$49*D1935-'계산 과정'!$D$49*E1935)/O1935,"")</x:f>
        <x:v>11.162732206432825</x:v>
      </x:c>
      <x:c r="Q1935" s="4" t="str">
        <x:f>IF(AND(ISNUMBER(P1935),P1935&gt;1E-9,P1935&lt;1-1E-9),'계산 과정'!$C$47*(D1935-'계산 과정'!$C$50+P1935*('계산 과정'!$C$32-D1935))+'계산 과정'!$D$47*(E1935-'계산 과정'!$D$50+P1935*('계산 과정'!$D$32-E1935))+'계산 과정'!$E$47*(0-'계산 과정'!$E$50+P1935*('계산 과정'!$E$32-0)),"")</x:f>
      </x:c>
      <x:c r="R1935" s="4" t="str">
        <x:f>IF(AND(ISNUMBER(P1935),P1935&gt;1E-9,P1935&lt;1-1E-9),'계산 과정'!$C$48*(D1935-'계산 과정'!$C$50+P1935*('계산 과정'!$C$32-D1935))+'계산 과정'!$D$48*(E1935-'계산 과정'!$D$50+P1935*('계산 과정'!$D$32-E1935))+'계산 과정'!$E$48*(0-'계산 과정'!$E$50+P1935*('계산 과정'!$E$32-0)),"")</x:f>
      </x:c>
      <x:c r="S1935" s="17" t="n">
        <x:f>IF('계산 과정'!$C$78,IF(AND(ISNUMBER(Q1935),ISNUMBER(R1935),ABS(Q1935-'계산 과정'!$C$88)&lt;='계산 과정'!$D$23/2,ABS(R1935-'계산 과정'!$C$89)&lt;='계산 과정'!$D$24/2),1,0),"")</x:f>
        <x:v>0</x:v>
      </x:c>
      <x:c r="T1935" s="4"/>
      <x:c r="U1935" s="4"/>
      <x:c r="V1935" s="4"/>
      <x:c r="W1935" s="4"/>
      <x:c r="X1935" s="4"/>
      <x:c r="Y1935" s="4"/>
      <x:c r="Z1935" s="4"/>
    </x:row>
    <x:row r="1936" ht="23" customHeight="1">
      <x:c r="A1936" s="17" t="n">
        <x:f>ROW()-6</x:f>
        <x:v>1930</x:v>
      </x:c>
      <x:c r="B1936" s="4" t="n">
        <x:f>IF('계산 과정'!$L$5,'계산 과정'!$L$11*SQRT((A1936+0.5)/'계산 과정'!$L$30),"")</x:f>
        <x:v>145.6334660897436</x:v>
      </x:c>
      <x:c r="C1936" s="4" t="n">
        <x:f>A1936*PI()*(3-SQRT(5))</x:f>
        <x:v>4631.9290333763</x:v>
      </x:c>
      <x:c r="D1936" s="4" t="n">
        <x:f>IF('계산 과정'!$L$5,B1936*COS(C1936),"")</x:f>
        <x:v>49.846320390523374</x:v>
      </x:c>
      <x:c r="E1936" s="4" t="n">
        <x:f>IF('계산 과정'!$L$5,B1936*SIN(C1936),"")</x:f>
        <x:v>136.83731504541365</x:v>
      </x:c>
      <x:c r="F1936" s="4" t="n">
        <x:f>IF('계산 과정'!$L$7,'계산 과정'!$L$22+'계산 과정'!$C$49*D1936+'계산 과정'!$D$49*E1936,"")</x:f>
        <x:v>614.7533288346636</x:v>
      </x:c>
      <x:c r="G1936" s="4" t="n">
        <x:f>IF('계산 과정'!$L$7,IF(ABS(F1936)&gt;=1E-12*MAX(1,SQRT((D1936-'계산 과정'!$C$33)^2+(E1936-'계산 과정'!$D$33)^2+'계산 과정'!$E$33^2)),('계산 과정'!$L$23-'계산 과정'!$C$49*D1936-'계산 과정'!$D$49*E1936)/F1936,""),"")</x:f>
        <x:v>0.7080021380126513</x:v>
      </x:c>
      <x:c r="H1936" s="4" t="n">
        <x:f>IF(AND(ISNUMBER(G1936),G1936&gt;0),('계산 과정'!$D$56+'계산 과정'!$D$57*D1936+'계산 과정'!$D$58*E1936)/F1936,"")</x:f>
        <x:v>60.20138970822326</x:v>
      </x:c>
      <x:c r="I1936" s="4" t="n">
        <x:f>IF(AND(ISNUMBER(G1936),G1936&gt;0),('계산 과정'!$E$56+'계산 과정'!$E$57*D1936+'계산 과정'!$E$58*E1936)/F1936,"")</x:f>
        <x:v>233.71842665747724</x:v>
      </x:c>
      <x:c r="J1936" s="4" t="n">
        <x:f>IF('계산 과정'!$L$5,'계산 과정'!$D$6+'계산 과정'!$C$35*D1936+'계산 과정'!$D$35*E1936,"")</x:f>
        <x:v>614.7533288346636</x:v>
      </x:c>
      <x:c r="K1936" s="4" t="n">
        <x:f>IF(AND('계산 과정'!$L$6,J1936&gt;0),'계산 과정'!$D$10*('계산 과정'!$C$38*(D1936-'계산 과정'!$C$32)+'계산 과정'!$D$38*(E1936-'계산 과정'!$D$32)-'계산 과정'!$E$38*'계산 과정'!$E$32)/J1936,"")</x:f>
        <x:v>0.458677254919797</x:v>
      </x:c>
      <x:c r="L1936" s="4" t="n">
        <x:f>IF(AND('계산 과정'!$L$6,J1936&gt;0),'계산 과정'!$D$10*('계산 과정'!$C$39*(D1936-'계산 과정'!$C$32)+'계산 과정'!$D$39*(E1936-'계산 과정'!$D$32)-'계산 과정'!$E$39*'계산 과정'!$E$32)/J1936,"")</x:f>
        <x:v>1.7807118221522076</x:v>
      </x:c>
      <x:c r="M1936" s="17" t="n">
        <x:f>IF('계산 과정'!$L$6,IF(J1936&lt;=0,0,IF(AND(ABS(K1936)&lt;='계산 과정'!$D$11/2,ABS(L1936)&lt;='계산 과정'!$D$12/2),1,0)),"")</x:f>
        <x:v>1</x:v>
      </x:c>
      <x:c r="N1936" s="17" t="n">
        <x:f>IF('계산 과정'!$C$78,IF(AND(ISNUMBER(H1936),ISNUMBER(I1936),ABS(H1936-'계산 과정'!$C$88)&lt;='계산 과정'!$D$23/2,ABS(I1936-'계산 과정'!$C$89)&lt;='계산 과정'!$D$24/2),1,0),"")</x:f>
        <x:v>1</x:v>
      </x:c>
      <x:c r="O1936" s="4" t="n">
        <x:f>IF('계산 과정'!$L$7,'계산 과정'!$C$49*('계산 과정'!$C$32-D1936)+'계산 과정'!$D$49*('계산 과정'!$D$32-E1936)+'계산 과정'!$E$49*'계산 과정'!$E$32,"")</x:f>
        <x:v>35.246671165336465</x:v>
      </x:c>
      <x:c r="P1936" s="4" t="n">
        <x:f>IF(AND('계산 과정'!$L$7,O1936&lt;&gt;0),('계산 과정'!$L$23-'계산 과정'!$C$49*D1936-'계산 과정'!$D$49*E1936)/O1936,"")</x:f>
        <x:v>12.348589434833837</x:v>
      </x:c>
      <x:c r="Q1936" s="4" t="str">
        <x:f>IF(AND(ISNUMBER(P1936),P1936&gt;1E-9,P1936&lt;1-1E-9),'계산 과정'!$C$47*(D1936-'계산 과정'!$C$50+P1936*('계산 과정'!$C$32-D1936))+'계산 과정'!$D$47*(E1936-'계산 과정'!$D$50+P1936*('계산 과정'!$D$32-E1936))+'계산 과정'!$E$47*(0-'계산 과정'!$E$50+P1936*('계산 과정'!$E$32-0)),"")</x:f>
      </x:c>
      <x:c r="R1936" s="4" t="str">
        <x:f>IF(AND(ISNUMBER(P1936),P1936&gt;1E-9,P1936&lt;1-1E-9),'계산 과정'!$C$48*(D1936-'계산 과정'!$C$50+P1936*('계산 과정'!$C$32-D1936))+'계산 과정'!$D$48*(E1936-'계산 과정'!$D$50+P1936*('계산 과정'!$D$32-E1936))+'계산 과정'!$E$48*(0-'계산 과정'!$E$50+P1936*('계산 과정'!$E$32-0)),"")</x:f>
      </x:c>
      <x:c r="S1936" s="17" t="n">
        <x:f>IF('계산 과정'!$C$78,IF(AND(ISNUMBER(Q1936),ISNUMBER(R1936),ABS(Q1936-'계산 과정'!$C$88)&lt;='계산 과정'!$D$23/2,ABS(R1936-'계산 과정'!$C$89)&lt;='계산 과정'!$D$24/2),1,0),"")</x:f>
        <x:v>0</x:v>
      </x:c>
      <x:c r="T1936" s="4"/>
      <x:c r="U1936" s="4"/>
      <x:c r="V1936" s="4"/>
      <x:c r="W1936" s="4"/>
      <x:c r="X1936" s="4"/>
      <x:c r="Y1936" s="4"/>
      <x:c r="Z1936" s="4"/>
    </x:row>
    <x:row r="1937" ht="23" customHeight="1">
      <x:c r="A1937" s="17" t="n">
        <x:f>ROW()-6</x:f>
        <x:v>1931</x:v>
      </x:c>
      <x:c r="B1937" s="4" t="n">
        <x:f>IF('계산 과정'!$L$5,'계산 과정'!$L$11*SQRT((A1937+0.5)/'계산 과정'!$L$30),"")</x:f>
        <x:v>145.67118031181562</x:v>
      </x:c>
      <x:c r="C1937" s="4" t="n">
        <x:f>A1937*PI()*(3-SQRT(5))</x:f>
        <x:v>4634.328996606029</x:v>
      </x:c>
      <x:c r="D1937" s="4" t="n">
        <x:f>IF('계산 과정'!$L$5,B1937*COS(C1937),"")</x:f>
        <x:v>-129.22085878772708</x:v>
      </x:c>
      <x:c r="E1937" s="4" t="n">
        <x:f>IF('계산 과정'!$L$5,B1937*SIN(C1937),"")</x:f>
        <x:v>-67.24628188680619</x:v>
      </x:c>
      <x:c r="F1937" s="4" t="n">
        <x:f>IF('계산 과정'!$L$7,'계산 과정'!$L$22+'계산 과정'!$C$49*D1937+'계산 과정'!$D$49*E1937,"")</x:f>
        <x:v>741.3729455195511</x:v>
      </x:c>
      <x:c r="G1937" s="4" t="n">
        <x:f>IF('계산 과정'!$L$7,IF(ABS(F1937)&gt;=1E-12*MAX(1,SQRT((D1937-'계산 과정'!$C$33)^2+(E1937-'계산 과정'!$D$33)^2+'계산 과정'!$E$33^2)),('계산 과정'!$L$23-'계산 과정'!$C$49*D1937-'계산 과정'!$D$49*E1937)/F1937,""),"")</x:f>
        <x:v>0.4162912287879137</x:v>
      </x:c>
      <x:c r="H1937" s="4" t="n">
        <x:f>IF(AND(ISNUMBER(G1937),G1937&gt;0),('계산 과정'!$D$56+'계산 과정'!$D$57*D1937+'계산 과정'!$D$58*E1937)/F1937,"")</x:f>
        <x:v>-129.41070128785626</x:v>
      </x:c>
      <x:c r="I1937" s="4" t="n">
        <x:f>IF(AND(ISNUMBER(G1937),G1937&gt;0),('계산 과정'!$E$56+'계산 과정'!$E$57*D1937+'계산 과정'!$E$58*E1937)/F1937,"")</x:f>
        <x:v>-95.24031920488316</x:v>
      </x:c>
      <x:c r="J1937" s="4" t="n">
        <x:f>IF('계산 과정'!$L$5,'계산 과정'!$D$6+'계산 과정'!$C$35*D1937+'계산 과정'!$D$35*E1937,"")</x:f>
        <x:v>741.3729455195511</x:v>
      </x:c>
      <x:c r="K1937" s="4" t="n">
        <x:f>IF(AND('계산 과정'!$L$6,J1937&gt;0),'계산 과정'!$D$10*('계산 과정'!$C$38*(D1937-'계산 과정'!$C$32)+'계산 과정'!$D$38*(E1937-'계산 과정'!$D$32)-'계산 과정'!$E$38*'계산 과정'!$E$32)/J1937,"")</x:f>
        <x:v>-0.9859862955265221</x:v>
      </x:c>
      <x:c r="L1937" s="4" t="n">
        <x:f>IF(AND('계산 과정'!$L$6,J1937&gt;0),'계산 과정'!$D$10*('계산 과정'!$C$39*(D1937-'계산 과정'!$C$32)+'계산 과정'!$D$39*(E1937-'계산 과정'!$D$32)-'계산 과정'!$E$39*'계산 과정'!$E$32)/J1937,"")</x:f>
        <x:v>-0.7256405272753003</x:v>
      </x:c>
      <x:c r="M1937" s="17" t="n">
        <x:f>IF('계산 과정'!$L$6,IF(J1937&lt;=0,0,IF(AND(ABS(K1937)&lt;='계산 과정'!$D$11/2,ABS(L1937)&lt;='계산 과정'!$D$12/2),1,0)),"")</x:f>
        <x:v>1</x:v>
      </x:c>
      <x:c r="N1937" s="17" t="n">
        <x:f>IF('계산 과정'!$C$78,IF(AND(ISNUMBER(H1937),ISNUMBER(I1937),ABS(H1937-'계산 과정'!$C$88)&lt;='계산 과정'!$D$23/2,ABS(I1937-'계산 과정'!$C$89)&lt;='계산 과정'!$D$24/2),1,0),"")</x:f>
        <x:v>1</x:v>
      </x:c>
      <x:c r="O1937" s="4" t="n">
        <x:f>IF('계산 과정'!$L$7,'계산 과정'!$C$49*('계산 과정'!$C$32-D1937)+'계산 과정'!$D$49*('계산 과정'!$D$32-E1937)+'계산 과정'!$E$49*'계산 과정'!$E$32,"")</x:f>
        <x:v>-91.37294551955091</x:v>
      </x:c>
      <x:c r="P1937" s="4" t="n">
        <x:f>IF(AND('계산 과정'!$L$7,O1937&lt;&gt;0),('계산 과정'!$L$23-'계산 과정'!$C$49*D1937-'계산 과정'!$D$49*E1937)/O1937,"")</x:f>
        <x:v>-3.3776634071013123</x:v>
      </x:c>
      <x:c r="Q1937" s="4" t="str">
        <x:f>IF(AND(ISNUMBER(P1937),P1937&gt;1E-9,P1937&lt;1-1E-9),'계산 과정'!$C$47*(D1937-'계산 과정'!$C$50+P1937*('계산 과정'!$C$32-D1937))+'계산 과정'!$D$47*(E1937-'계산 과정'!$D$50+P1937*('계산 과정'!$D$32-E1937))+'계산 과정'!$E$47*(0-'계산 과정'!$E$50+P1937*('계산 과정'!$E$32-0)),"")</x:f>
      </x:c>
      <x:c r="R1937" s="4" t="str">
        <x:f>IF(AND(ISNUMBER(P1937),P1937&gt;1E-9,P1937&lt;1-1E-9),'계산 과정'!$C$48*(D1937-'계산 과정'!$C$50+P1937*('계산 과정'!$C$32-D1937))+'계산 과정'!$D$48*(E1937-'계산 과정'!$D$50+P1937*('계산 과정'!$D$32-E1937))+'계산 과정'!$E$48*(0-'계산 과정'!$E$50+P1937*('계산 과정'!$E$32-0)),"")</x:f>
      </x:c>
      <x:c r="S1937" s="17" t="n">
        <x:f>IF('계산 과정'!$C$78,IF(AND(ISNUMBER(Q1937),ISNUMBER(R1937),ABS(Q1937-'계산 과정'!$C$88)&lt;='계산 과정'!$D$23/2,ABS(R1937-'계산 과정'!$C$89)&lt;='계산 과정'!$D$24/2),1,0),"")</x:f>
        <x:v>0</x:v>
      </x:c>
      <x:c r="T1937" s="4"/>
      <x:c r="U1937" s="4"/>
      <x:c r="V1937" s="4"/>
      <x:c r="W1937" s="4"/>
      <x:c r="X1937" s="4"/>
      <x:c r="Y1937" s="4"/>
      <x:c r="Z1937" s="4"/>
    </x:row>
    <x:row r="1938" ht="23" customHeight="1">
      <x:c r="A1938" s="17" t="n">
        <x:f>ROW()-6</x:f>
        <x:v>1932</x:v>
      </x:c>
      <x:c r="B1938" s="4" t="n">
        <x:f>IF('계산 과정'!$L$5,'계산 과정'!$L$11*SQRT((A1938+0.5)/'계산 과정'!$L$30),"")</x:f>
        <x:v>145.70888477221456</x:v>
      </x:c>
      <x:c r="C1938" s="4" t="n">
        <x:f>A1938*PI()*(3-SQRT(5))</x:f>
        <x:v>4636.728959835757</x:v>
      </x:c>
      <x:c r="D1938" s="4" t="n">
        <x:f>IF('계산 과정'!$L$5,B1938*COS(C1938),"")</x:f>
        <x:v>140.7440701450246</x:v>
      </x:c>
      <x:c r="E1938" s="4" t="n">
        <x:f>IF('계산 과정'!$L$5,B1938*SIN(C1938),"")</x:f>
        <x:v>-37.71187903797551</x:v>
      </x:c>
      <x:c r="F1938" s="4" t="n">
        <x:f>IF('계산 과정'!$L$7,'계산 과정'!$L$22+'계산 과정'!$C$49*D1938+'계산 과정'!$D$49*E1938,"")</x:f>
        <x:v>550.478913588658</x:v>
      </x:c>
      <x:c r="G1938" s="4" t="n">
        <x:f>IF('계산 과정'!$L$7,IF(ABS(F1938)&gt;=1E-12*MAX(1,SQRT((D1938-'계산 과정'!$C$33)^2+(E1938-'계산 과정'!$D$33)^2+'계산 과정'!$E$33^2)),('계산 과정'!$L$23-'계산 과정'!$C$49*D1938-'계산 과정'!$D$49*E1938)/F1938,""),"")</x:f>
        <x:v>0.9074300106336246</x:v>
      </x:c>
      <x:c r="H1938" s="4" t="n">
        <x:f>IF(AND(ISNUMBER(G1938),G1938&gt;0),('계산 과정'!$D$56+'계산 과정'!$D$57*D1938+'계산 과정'!$D$58*E1938)/F1938,"")</x:f>
        <x:v>189.82950691185587</x:v>
      </x:c>
      <x:c r="I1938" s="4" t="n">
        <x:f>IF(AND(ISNUMBER(G1938),G1938&gt;0),('계산 과정'!$E$56+'계산 과정'!$E$57*D1938+'계산 과정'!$E$58*E1938)/F1938,"")</x:f>
        <x:v>-71.93276983441959</x:v>
      </x:c>
      <x:c r="J1938" s="4" t="n">
        <x:f>IF('계산 과정'!$L$5,'계산 과정'!$D$6+'계산 과정'!$C$35*D1938+'계산 과정'!$D$35*E1938,"")</x:f>
        <x:v>550.478913588658</x:v>
      </x:c>
      <x:c r="K1938" s="4" t="n">
        <x:f>IF(AND('계산 과정'!$L$6,J1938&gt;0),'계산 과정'!$D$10*('계산 과정'!$C$38*(D1938-'계산 과정'!$C$32)+'계산 과정'!$D$38*(E1938-'계산 과정'!$D$32)-'계산 과정'!$E$38*'계산 과정'!$E$32)/J1938,"")</x:f>
        <x:v>1.4463200526617594</x:v>
      </x:c>
      <x:c r="L1938" s="4" t="n">
        <x:f>IF(AND('계산 과정'!$L$6,J1938&gt;0),'계산 과정'!$D$10*('계산 과정'!$C$39*(D1938-'계산 과정'!$C$32)+'계산 과정'!$D$39*(E1938-'계산 과정'!$D$32)-'계산 과정'!$E$39*'계산 과정'!$E$32)/J1938,"")</x:f>
        <x:v>-0.5480591987384349</x:v>
      </x:c>
      <x:c r="M1938" s="17" t="n">
        <x:f>IF('계산 과정'!$L$6,IF(J1938&lt;=0,0,IF(AND(ABS(K1938)&lt;='계산 과정'!$D$11/2,ABS(L1938)&lt;='계산 과정'!$D$12/2),1,0)),"")</x:f>
        <x:v>1</x:v>
      </x:c>
      <x:c r="N1938" s="17" t="n">
        <x:f>IF('계산 과정'!$C$78,IF(AND(ISNUMBER(H1938),ISNUMBER(I1938),ABS(H1938-'계산 과정'!$C$88)&lt;='계산 과정'!$D$23/2,ABS(I1938-'계산 과정'!$C$89)&lt;='계산 과정'!$D$24/2),1,0),"")</x:f>
        <x:v>1</x:v>
      </x:c>
      <x:c r="O1938" s="4" t="n">
        <x:f>IF('계산 과정'!$L$7,'계산 과정'!$C$49*('계산 과정'!$C$32-D1938)+'계산 과정'!$D$49*('계산 과정'!$D$32-E1938)+'계산 과정'!$E$49*'계산 과정'!$E$32,"")</x:f>
        <x:v>99.52108641134208</x:v>
      </x:c>
      <x:c r="P1938" s="4" t="n">
        <x:f>IF(AND('계산 과정'!$L$7,O1938&lt;&gt;0),('계산 과정'!$L$23-'계산 과정'!$C$49*D1938-'계산 과정'!$D$49*E1938)/O1938,"")</x:f>
        <x:v>5.019248728321894</x:v>
      </x:c>
      <x:c r="Q1938" s="4" t="str">
        <x:f>IF(AND(ISNUMBER(P1938),P1938&gt;1E-9,P1938&lt;1-1E-9),'계산 과정'!$C$47*(D1938-'계산 과정'!$C$50+P1938*('계산 과정'!$C$32-D1938))+'계산 과정'!$D$47*(E1938-'계산 과정'!$D$50+P1938*('계산 과정'!$D$32-E1938))+'계산 과정'!$E$47*(0-'계산 과정'!$E$50+P1938*('계산 과정'!$E$32-0)),"")</x:f>
      </x:c>
      <x:c r="R1938" s="4" t="str">
        <x:f>IF(AND(ISNUMBER(P1938),P1938&gt;1E-9,P1938&lt;1-1E-9),'계산 과정'!$C$48*(D1938-'계산 과정'!$C$50+P1938*('계산 과정'!$C$32-D1938))+'계산 과정'!$D$48*(E1938-'계산 과정'!$D$50+P1938*('계산 과정'!$D$32-E1938))+'계산 과정'!$E$48*(0-'계산 과정'!$E$50+P1938*('계산 과정'!$E$32-0)),"")</x:f>
      </x:c>
      <x:c r="S1938" s="17" t="n">
        <x:f>IF('계산 과정'!$C$78,IF(AND(ISNUMBER(Q1938),ISNUMBER(R1938),ABS(Q1938-'계산 과정'!$C$88)&lt;='계산 과정'!$D$23/2,ABS(R1938-'계산 과정'!$C$89)&lt;='계산 과정'!$D$24/2),1,0),"")</x:f>
        <x:v>0</x:v>
      </x:c>
      <x:c r="T1938" s="4"/>
      <x:c r="U1938" s="4"/>
      <x:c r="V1938" s="4"/>
      <x:c r="W1938" s="4"/>
      <x:c r="X1938" s="4"/>
      <x:c r="Y1938" s="4"/>
      <x:c r="Z1938" s="4"/>
    </x:row>
    <x:row r="1939" ht="23" customHeight="1">
      <x:c r="A1939" s="17" t="n">
        <x:f>ROW()-6</x:f>
        <x:v>1933</x:v>
      </x:c>
      <x:c r="B1939" s="4" t="n">
        <x:f>IF('계산 과정'!$L$5,'계산 과정'!$L$11*SQRT((A1939+0.5)/'계산 과정'!$L$30),"")</x:f>
        <x:v>145.74657947851642</x:v>
      </x:c>
      <x:c r="C1939" s="4" t="n">
        <x:f>A1939*PI()*(3-SQRT(5))</x:f>
        <x:v>4639.128923065487</x:v>
      </x:c>
      <x:c r="D1939" s="4" t="n">
        <x:f>IF('계산 과정'!$L$5,B1939*COS(C1939),"")</x:f>
        <x:v>-78.32654656956154</x:v>
      </x:c>
      <x:c r="E1939" s="4" t="n">
        <x:f>IF('계산 과정'!$L$5,B1939*SIN(C1939),"")</x:f>
        <x:v>122.91060789115727</x:v>
      </x:c>
      <x:c r="F1939" s="4" t="n">
        <x:f>IF('계산 과정'!$L$7,'계산 과정'!$L$22+'계산 과정'!$C$49*D1939+'계산 과정'!$D$49*E1939,"")</x:f>
        <x:v>705.3852322262609</x:v>
      </x:c>
      <x:c r="G1939" s="4" t="n">
        <x:f>IF('계산 과정'!$L$7,IF(ABS(F1939)&gt;=1E-12*MAX(1,SQRT((D1939-'계산 과정'!$C$33)^2+(E1939-'계산 과정'!$D$33)^2+'계산 과정'!$E$33^2)),('계산 과정'!$L$23-'계산 과정'!$C$49*D1939-'계산 과정'!$D$49*E1939)/F1939,""),"")</x:f>
        <x:v>0.48854831662140574</x:v>
      </x:c>
      <x:c r="H1939" s="4" t="n">
        <x:f>IF(AND(ISNUMBER(G1939),G1939&gt;0),('계산 과정'!$D$56+'계산 과정'!$D$57*D1939+'계산 과정'!$D$58*E1939)/F1939,"")</x:f>
        <x:v>-82.44359419608638</x:v>
      </x:c>
      <x:c r="I1939" s="4" t="n">
        <x:f>IF(AND(ISNUMBER(G1939),G1939&gt;0),('계산 과정'!$E$56+'계산 과정'!$E$57*D1939+'계산 과정'!$E$58*E1939)/F1939,"")</x:f>
        <x:v>182.95837847129582</x:v>
      </x:c>
      <x:c r="J1939" s="4" t="n">
        <x:f>IF('계산 과정'!$L$5,'계산 과정'!$D$6+'계산 과정'!$C$35*D1939+'계산 과정'!$D$35*E1939,"")</x:f>
        <x:v>705.3852322262609</x:v>
      </x:c>
      <x:c r="K1939" s="4" t="n">
        <x:f>IF(AND('계산 과정'!$L$6,J1939&gt;0),'계산 과정'!$D$10*('계산 과정'!$C$38*(D1939-'계산 과정'!$C$32)+'계산 과정'!$D$38*(E1939-'계산 과정'!$D$32)-'계산 과정'!$E$38*'계산 과정'!$E$32)/J1939,"")</x:f>
        <x:v>-0.6281416700654192</x:v>
      </x:c>
      <x:c r="L1939" s="4" t="n">
        <x:f>IF(AND('계산 과정'!$L$6,J1939&gt;0),'계산 과정'!$D$10*('계산 과정'!$C$39*(D1939-'계산 과정'!$C$32)+'계산 과정'!$D$39*(E1939-'계산 과정'!$D$32)-'계산 과정'!$E$39*'계산 과정'!$E$32)/J1939,"")</x:f>
        <x:v>1.3939685978765397</x:v>
      </x:c>
      <x:c r="M1939" s="17" t="n">
        <x:f>IF('계산 과정'!$L$6,IF(J1939&lt;=0,0,IF(AND(ABS(K1939)&lt;='계산 과정'!$D$11/2,ABS(L1939)&lt;='계산 과정'!$D$12/2),1,0)),"")</x:f>
        <x:v>1</x:v>
      </x:c>
      <x:c r="N1939" s="17" t="n">
        <x:f>IF('계산 과정'!$C$78,IF(AND(ISNUMBER(H1939),ISNUMBER(I1939),ABS(H1939-'계산 과정'!$C$88)&lt;='계산 과정'!$D$23/2,ABS(I1939-'계산 과정'!$C$89)&lt;='계산 과정'!$D$24/2),1,0),"")</x:f>
        <x:v>1</x:v>
      </x:c>
      <x:c r="O1939" s="4" t="n">
        <x:f>IF('계산 과정'!$L$7,'계산 과정'!$C$49*('계산 과정'!$C$32-D1939)+'계산 과정'!$D$49*('계산 과정'!$D$32-E1939)+'계산 과정'!$E$49*'계산 과정'!$E$32,"")</x:f>
        <x:v>-55.38523222626071</x:v>
      </x:c>
      <x:c r="P1939" s="4" t="n">
        <x:f>IF(AND('계산 과정'!$L$7,O1939&lt;&gt;0),('계산 과정'!$L$23-'계산 과정'!$C$49*D1939-'계산 과정'!$D$49*E1939)/O1939,"")</x:f>
        <x:v>-6.222141786205985</x:v>
      </x:c>
      <x:c r="Q1939" s="4" t="str">
        <x:f>IF(AND(ISNUMBER(P1939),P1939&gt;1E-9,P1939&lt;1-1E-9),'계산 과정'!$C$47*(D1939-'계산 과정'!$C$50+P1939*('계산 과정'!$C$32-D1939))+'계산 과정'!$D$47*(E1939-'계산 과정'!$D$50+P1939*('계산 과정'!$D$32-E1939))+'계산 과정'!$E$47*(0-'계산 과정'!$E$50+P1939*('계산 과정'!$E$32-0)),"")</x:f>
      </x:c>
      <x:c r="R1939" s="4" t="str">
        <x:f>IF(AND(ISNUMBER(P1939),P1939&gt;1E-9,P1939&lt;1-1E-9),'계산 과정'!$C$48*(D1939-'계산 과정'!$C$50+P1939*('계산 과정'!$C$32-D1939))+'계산 과정'!$D$48*(E1939-'계산 과정'!$D$50+P1939*('계산 과정'!$D$32-E1939))+'계산 과정'!$E$48*(0-'계산 과정'!$E$50+P1939*('계산 과정'!$E$32-0)),"")</x:f>
      </x:c>
      <x:c r="S1939" s="17" t="n">
        <x:f>IF('계산 과정'!$C$78,IF(AND(ISNUMBER(Q1939),ISNUMBER(R1939),ABS(Q1939-'계산 과정'!$C$88)&lt;='계산 과정'!$D$23/2,ABS(R1939-'계산 과정'!$C$89)&lt;='계산 과정'!$D$24/2),1,0),"")</x:f>
        <x:v>0</x:v>
      </x:c>
      <x:c r="T1939" s="4"/>
      <x:c r="U1939" s="4"/>
      <x:c r="V1939" s="4"/>
      <x:c r="W1939" s="4"/>
      <x:c r="X1939" s="4"/>
      <x:c r="Y1939" s="4"/>
      <x:c r="Z1939" s="4"/>
    </x:row>
    <x:row r="1940" ht="23" customHeight="1">
      <x:c r="A1940" s="17" t="n">
        <x:f>ROW()-6</x:f>
        <x:v>1934</x:v>
      </x:c>
      <x:c r="B1940" s="4" t="n">
        <x:f>IF('계산 과정'!$L$5,'계산 과정'!$L$11*SQRT((A1940+0.5)/'계산 과정'!$L$30),"")</x:f>
        <x:v>145.78426443828738</x:v>
      </x:c>
      <x:c r="C1940" s="4" t="n">
        <x:f>A1940*PI()*(3-SQRT(5))</x:f>
        <x:v>4641.528886295215</x:v>
      </x:c>
      <x:c r="D1940" s="4" t="n">
        <x:f>IF('계산 과정'!$L$5,B1940*COS(C1940),"")</x:f>
        <x:v>-25.27589869713122</x:v>
      </x:c>
      <x:c r="E1940" s="4" t="n">
        <x:f>IF('계산 과정'!$L$5,B1940*SIN(C1940),"")</x:f>
        <x:v>-143.57639326457837</x:v>
      </x:c>
      <x:c r="F1940" s="4" t="n">
        <x:f>IF('계산 과정'!$L$7,'계산 과정'!$L$22+'계산 과정'!$C$49*D1940+'계산 과정'!$D$49*E1940,"")</x:f>
        <x:v>667.8727593693256</x:v>
      </x:c>
      <x:c r="G1940" s="4" t="n">
        <x:f>IF('계산 과정'!$L$7,IF(ABS(F1940)&gt;=1E-12*MAX(1,SQRT((D1940-'계산 과정'!$C$33)^2+(E1940-'계산 과정'!$D$33)^2+'계산 과정'!$E$33^2)),('계산 과정'!$L$23-'계산 과정'!$C$49*D1940-'계산 과정'!$D$49*E1940)/F1940,""),"")</x:f>
        <x:v>0.572155751630772</x:v>
      </x:c>
      <x:c r="H1940" s="4" t="n">
        <x:f>IF(AND(ISNUMBER(G1940),G1940&gt;0),('계산 과정'!$D$56+'계산 과정'!$D$57*D1940+'계산 과정'!$D$58*E1940)/F1940,"")</x:f>
        <x:v>-28.0987614399983</x:v>
      </x:c>
      <x:c r="I1940" s="4" t="n">
        <x:f>IF(AND(ISNUMBER(G1940),G1940&gt;0),('계산 과정'!$E$56+'계산 과정'!$E$57*D1940+'계산 과정'!$E$58*E1940)/F1940,"")</x:f>
        <x:v>-225.72445246930855</x:v>
      </x:c>
      <x:c r="J1940" s="4" t="n">
        <x:f>IF('계산 과정'!$L$5,'계산 과정'!$D$6+'계산 과정'!$C$35*D1940+'계산 과정'!$D$35*E1940,"")</x:f>
        <x:v>667.8727593693256</x:v>
      </x:c>
      <x:c r="K1940" s="4" t="n">
        <x:f>IF(AND('계산 과정'!$L$6,J1940&gt;0),'계산 과정'!$D$10*('계산 과정'!$C$38*(D1940-'계산 과정'!$C$32)+'계산 과정'!$D$38*(E1940-'계산 과정'!$D$32)-'계산 과정'!$E$38*'계산 과정'!$E$32)/J1940,"")</x:f>
        <x:v>-0.2140858014476052</x:v>
      </x:c>
      <x:c r="L1940" s="4" t="n">
        <x:f>IF(AND('계산 과정'!$L$6,J1940&gt;0),'계산 과정'!$D$10*('계산 과정'!$C$39*(D1940-'계산 과정'!$C$32)+'계산 과정'!$D$39*(E1940-'계산 과정'!$D$32)-'계산 과정'!$E$39*'계산 과정'!$E$32)/J1940,"")</x:f>
        <x:v>-1.7198053521471126</x:v>
      </x:c>
      <x:c r="M1940" s="17" t="n">
        <x:f>IF('계산 과정'!$L$6,IF(J1940&lt;=0,0,IF(AND(ABS(K1940)&lt;='계산 과정'!$D$11/2,ABS(L1940)&lt;='계산 과정'!$D$12/2),1,0)),"")</x:f>
        <x:v>1</x:v>
      </x:c>
      <x:c r="N1940" s="17" t="n">
        <x:f>IF('계산 과정'!$C$78,IF(AND(ISNUMBER(H1940),ISNUMBER(I1940),ABS(H1940-'계산 과정'!$C$88)&lt;='계산 과정'!$D$23/2,ABS(I1940-'계산 과정'!$C$89)&lt;='계산 과정'!$D$24/2),1,0),"")</x:f>
        <x:v>1</x:v>
      </x:c>
      <x:c r="O1940" s="4" t="n">
        <x:f>IF('계산 과정'!$L$7,'계산 과정'!$C$49*('계산 과정'!$C$32-D1940)+'계산 과정'!$D$49*('계산 과정'!$D$32-E1940)+'계산 과정'!$E$49*'계산 과정'!$E$32,"")</x:f>
        <x:v>-17.872759369325593</x:v>
      </x:c>
      <x:c r="P1940" s="4" t="n">
        <x:f>IF(AND('계산 과정'!$L$7,O1940&lt;&gt;0),('계산 과정'!$L$23-'계산 과정'!$C$49*D1940-'계산 과정'!$D$49*E1940)/O1940,"")</x:f>
        <x:v>-21.38042776352186</x:v>
      </x:c>
      <x:c r="Q1940" s="4" t="str">
        <x:f>IF(AND(ISNUMBER(P1940),P1940&gt;1E-9,P1940&lt;1-1E-9),'계산 과정'!$C$47*(D1940-'계산 과정'!$C$50+P1940*('계산 과정'!$C$32-D1940))+'계산 과정'!$D$47*(E1940-'계산 과정'!$D$50+P1940*('계산 과정'!$D$32-E1940))+'계산 과정'!$E$47*(0-'계산 과정'!$E$50+P1940*('계산 과정'!$E$32-0)),"")</x:f>
      </x:c>
      <x:c r="R1940" s="4" t="str">
        <x:f>IF(AND(ISNUMBER(P1940),P1940&gt;1E-9,P1940&lt;1-1E-9),'계산 과정'!$C$48*(D1940-'계산 과정'!$C$50+P1940*('계산 과정'!$C$32-D1940))+'계산 과정'!$D$48*(E1940-'계산 과정'!$D$50+P1940*('계산 과정'!$D$32-E1940))+'계산 과정'!$E$48*(0-'계산 과정'!$E$50+P1940*('계산 과정'!$E$32-0)),"")</x:f>
      </x:c>
      <x:c r="S1940" s="17" t="n">
        <x:f>IF('계산 과정'!$C$78,IF(AND(ISNUMBER(Q1940),ISNUMBER(R1940),ABS(Q1940-'계산 과정'!$C$88)&lt;='계산 과정'!$D$23/2,ABS(R1940-'계산 과정'!$C$89)&lt;='계산 과정'!$D$24/2),1,0),"")</x:f>
        <x:v>0</x:v>
      </x:c>
      <x:c r="T1940" s="4"/>
      <x:c r="U1940" s="4"/>
      <x:c r="V1940" s="4"/>
      <x:c r="W1940" s="4"/>
      <x:c r="X1940" s="4"/>
      <x:c r="Y1940" s="4"/>
      <x:c r="Z1940" s="4"/>
    </x:row>
    <x:row r="1941" ht="23" customHeight="1">
      <x:c r="A1941" s="17" t="n">
        <x:f>ROW()-6</x:f>
        <x:v>1935</x:v>
      </x:c>
      <x:c r="B1941" s="4" t="n">
        <x:f>IF('계산 과정'!$L$5,'계산 과정'!$L$11*SQRT((A1941+0.5)/'계산 과정'!$L$30),"")</x:f>
        <x:v>145.82193965908388</x:v>
      </x:c>
      <x:c r="C1941" s="4" t="n">
        <x:f>A1941*PI()*(3-SQRT(5))</x:f>
        <x:v>4643.928849524943</x:v>
      </x:c>
      <x:c r="D1941" s="4" t="n">
        <x:f>IF('계산 과정'!$L$5,B1941*COS(C1941),"")</x:f>
        <x:v>115.65200157818211</x:v>
      </x:c>
      <x:c r="E1941" s="4" t="n">
        <x:f>IF('계산 과정'!$L$5,B1941*SIN(C1941),"")</x:f>
        <x:v>88.81808721706219</x:v>
      </x:c>
      <x:c r="F1941" s="4" t="n">
        <x:f>IF('계산 과정'!$L$7,'계산 과정'!$L$22+'계산 과정'!$C$49*D1941+'계산 과정'!$D$49*E1941,"")</x:f>
        <x:v>568.2216854262701</x:v>
      </x:c>
      <x:c r="G1941" s="4" t="n">
        <x:f>IF('계산 과정'!$L$7,IF(ABS(F1941)&gt;=1E-12*MAX(1,SQRT((D1941-'계산 과정'!$C$33)^2+(E1941-'계산 과정'!$D$33)^2+'계산 과정'!$E$33^2)),('계산 과정'!$L$23-'계산 과정'!$C$49*D1941-'계산 과정'!$D$49*E1941)/F1941,""),"")</x:f>
        <x:v>0.8478703416824158</x:v>
      </x:c>
      <x:c r="H1941" s="4" t="n">
        <x:f>IF(AND(ISNUMBER(G1941),G1941&gt;0),('계산 과정'!$D$56+'계산 과정'!$D$57*D1941+'계산 과정'!$D$58*E1941)/F1941,"")</x:f>
        <x:v>151.1157220935702</x:v>
      </x:c>
      <x:c r="I1941" s="4" t="n">
        <x:f>IF(AND(ISNUMBER(G1941),G1941&gt;0),('계산 과정'!$E$56+'계산 과정'!$E$57*D1941+'계산 과정'!$E$58*E1941)/F1941,"")</x:f>
        <x:v>164.1243091733713</x:v>
      </x:c>
      <x:c r="J1941" s="4" t="n">
        <x:f>IF('계산 과정'!$L$5,'계산 과정'!$D$6+'계산 과정'!$C$35*D1941+'계산 과정'!$D$35*E1941,"")</x:f>
        <x:v>568.2216854262701</x:v>
      </x:c>
      <x:c r="K1941" s="4" t="n">
        <x:f>IF(AND('계산 과정'!$L$6,J1941&gt;0),'계산 과정'!$D$10*('계산 과정'!$C$38*(D1941-'계산 과정'!$C$32)+'계산 과정'!$D$38*(E1941-'계산 과정'!$D$32)-'계산 과정'!$E$38*'계산 과정'!$E$32)/J1941,"")</x:f>
        <x:v>1.1513578826176782</x:v>
      </x:c>
      <x:c r="L1941" s="4" t="n">
        <x:f>IF(AND('계산 과정'!$L$6,J1941&gt;0),'계산 과정'!$D$10*('계산 과정'!$C$39*(D1941-'계산 과정'!$C$32)+'계산 과정'!$D$39*(E1941-'계산 과정'!$D$32)-'계산 과정'!$E$39*'계산 과정'!$E$32)/J1941,"")</x:f>
        <x:v>1.25047092703521</x:v>
      </x:c>
      <x:c r="M1941" s="17" t="n">
        <x:f>IF('계산 과정'!$L$6,IF(J1941&lt;=0,0,IF(AND(ABS(K1941)&lt;='계산 과정'!$D$11/2,ABS(L1941)&lt;='계산 과정'!$D$12/2),1,0)),"")</x:f>
        <x:v>1</x:v>
      </x:c>
      <x:c r="N1941" s="17" t="n">
        <x:f>IF('계산 과정'!$C$78,IF(AND(ISNUMBER(H1941),ISNUMBER(I1941),ABS(H1941-'계산 과정'!$C$88)&lt;='계산 과정'!$D$23/2,ABS(I1941-'계산 과정'!$C$89)&lt;='계산 과정'!$D$24/2),1,0),"")</x:f>
        <x:v>1</x:v>
      </x:c>
      <x:c r="O1941" s="4" t="n">
        <x:f>IF('계산 과정'!$L$7,'계산 과정'!$C$49*('계산 과정'!$C$32-D1941)+'계산 과정'!$D$49*('계산 과정'!$D$32-E1941)+'계산 과정'!$E$49*'계산 과정'!$E$32,"")</x:f>
        <x:v>81.77831457372994</x:v>
      </x:c>
      <x:c r="P1941" s="4" t="n">
        <x:f>IF(AND('계산 과정'!$L$7,O1941&lt;&gt;0),('계산 과정'!$L$23-'계산 과정'!$C$49*D1941-'계산 과정'!$D$49*E1941)/O1941,"")</x:f>
        <x:v>5.8912722411192116</x:v>
      </x:c>
      <x:c r="Q1941" s="4" t="str">
        <x:f>IF(AND(ISNUMBER(P1941),P1941&gt;1E-9,P1941&lt;1-1E-9),'계산 과정'!$C$47*(D1941-'계산 과정'!$C$50+P1941*('계산 과정'!$C$32-D1941))+'계산 과정'!$D$47*(E1941-'계산 과정'!$D$50+P1941*('계산 과정'!$D$32-E1941))+'계산 과정'!$E$47*(0-'계산 과정'!$E$50+P1941*('계산 과정'!$E$32-0)),"")</x:f>
      </x:c>
      <x:c r="R1941" s="4" t="str">
        <x:f>IF(AND(ISNUMBER(P1941),P1941&gt;1E-9,P1941&lt;1-1E-9),'계산 과정'!$C$48*(D1941-'계산 과정'!$C$50+P1941*('계산 과정'!$C$32-D1941))+'계산 과정'!$D$48*(E1941-'계산 과정'!$D$50+P1941*('계산 과정'!$D$32-E1941))+'계산 과정'!$E$48*(0-'계산 과정'!$E$50+P1941*('계산 과정'!$E$32-0)),"")</x:f>
      </x:c>
      <x:c r="S1941" s="17" t="n">
        <x:f>IF('계산 과정'!$C$78,IF(AND(ISNUMBER(Q1941),ISNUMBER(R1941),ABS(Q1941-'계산 과정'!$C$88)&lt;='계산 과정'!$D$23/2,ABS(R1941-'계산 과정'!$C$89)&lt;='계산 과정'!$D$24/2),1,0),"")</x:f>
        <x:v>0</x:v>
      </x:c>
      <x:c r="T1941" s="4"/>
      <x:c r="U1941" s="4"/>
      <x:c r="V1941" s="4"/>
      <x:c r="W1941" s="4"/>
      <x:c r="X1941" s="4"/>
      <x:c r="Y1941" s="4"/>
      <x:c r="Z1941" s="4"/>
    </x:row>
    <x:row r="1942" ht="23" customHeight="1">
      <x:c r="A1942" s="17" t="n">
        <x:f>ROW()-6</x:f>
        <x:v>1936</x:v>
      </x:c>
      <x:c r="B1942" s="4" t="n">
        <x:f>IF('계산 과정'!$L$5,'계산 과정'!$L$11*SQRT((A1942+0.5)/'계산 과정'!$L$30),"")</x:f>
        <x:v>145.8596051484526</x:v>
      </x:c>
      <x:c r="C1942" s="4" t="n">
        <x:f>A1942*PI()*(3-SQRT(5))</x:f>
        <x:v>4646.328812754672</x:v>
      </x:c>
      <x:c r="D1942" s="4" t="n">
        <x:f>IF('계산 과정'!$L$5,B1942*COS(C1942),"")</x:f>
        <x:v>-145.3114664641227</x:v>
      </x:c>
      <x:c r="E1942" s="4" t="n">
        <x:f>IF('계산 과정'!$L$5,B1942*SIN(C1942),"")</x:f>
        <x:v>12.633373583831084</x:v>
      </x:c>
      <x:c r="F1942" s="4" t="n">
        <x:f>IF('계산 과정'!$L$7,'계산 과정'!$L$22+'계산 과정'!$C$49*D1942+'계산 과정'!$D$49*E1942,"")</x:f>
        <x:v>752.7507233209427</x:v>
      </x:c>
      <x:c r="G1942" s="4" t="n">
        <x:f>IF('계산 과정'!$L$7,IF(ABS(F1942)&gt;=1E-12*MAX(1,SQRT((D1942-'계산 과정'!$C$33)^2+(E1942-'계산 과정'!$D$33)^2+'계산 과정'!$E$33^2)),('계산 과정'!$L$23-'계산 과정'!$C$49*D1942-'계산 과정'!$D$49*E1942)/F1942,""),"")</x:f>
        <x:v>0.3948840797756658</x:v>
      </x:c>
      <x:c r="H1942" s="4" t="n">
        <x:f>IF(AND(ISNUMBER(G1942),G1942&gt;0),('계산 과정'!$D$56+'계산 과정'!$D$57*D1942+'계산 과정'!$D$58*E1942)/F1942,"")</x:f>
        <x:v>-143.3253481458174</x:v>
      </x:c>
      <x:c r="I1942" s="4" t="n">
        <x:f>IF(AND(ISNUMBER(G1942),G1942&gt;0),('계산 과정'!$E$56+'계산 과정'!$E$57*D1942+'계산 과정'!$E$58*E1942)/F1942,"")</x:f>
        <x:v>17.622091685944426</x:v>
      </x:c>
      <x:c r="J1942" s="4" t="n">
        <x:f>IF('계산 과정'!$L$5,'계산 과정'!$D$6+'계산 과정'!$C$35*D1942+'계산 과정'!$D$35*E1942,"")</x:f>
        <x:v>752.7507233209427</x:v>
      </x:c>
      <x:c r="K1942" s="4" t="n">
        <x:f>IF(AND('계산 과정'!$L$6,J1942&gt;0),'계산 과정'!$D$10*('계산 과정'!$C$38*(D1942-'계산 과정'!$C$32)+'계산 과정'!$D$38*(E1942-'계산 과정'!$D$32)-'계산 과정'!$E$38*'계산 과정'!$E$32)/J1942,"")</x:f>
        <x:v>-1.0920026525395599</x:v>
      </x:c>
      <x:c r="L1942" s="4" t="n">
        <x:f>IF(AND('계산 과정'!$L$6,J1942&gt;0),'계산 과정'!$D$10*('계산 과정'!$C$39*(D1942-'계산 과정'!$C$32)+'계산 과정'!$D$39*(E1942-'계산 과정'!$D$32)-'계산 과정'!$E$39*'계산 과정'!$E$32)/J1942,"")</x:f>
        <x:v>0.13426355570243373</x:v>
      </x:c>
      <x:c r="M1942" s="17" t="n">
        <x:f>IF('계산 과정'!$L$6,IF(J1942&lt;=0,0,IF(AND(ABS(K1942)&lt;='계산 과정'!$D$11/2,ABS(L1942)&lt;='계산 과정'!$D$12/2),1,0)),"")</x:f>
        <x:v>1</x:v>
      </x:c>
      <x:c r="N1942" s="17" t="n">
        <x:f>IF('계산 과정'!$C$78,IF(AND(ISNUMBER(H1942),ISNUMBER(I1942),ABS(H1942-'계산 과정'!$C$88)&lt;='계산 과정'!$D$23/2,ABS(I1942-'계산 과정'!$C$89)&lt;='계산 과정'!$D$24/2),1,0),"")</x:f>
        <x:v>1</x:v>
      </x:c>
      <x:c r="O1942" s="4" t="n">
        <x:f>IF('계산 과정'!$L$7,'계산 과정'!$C$49*('계산 과정'!$C$32-D1942)+'계산 과정'!$D$49*('계산 과정'!$D$32-E1942)+'계산 과정'!$E$49*'계산 과정'!$E$32,"")</x:f>
        <x:v>-102.7507233209426</x:v>
      </x:c>
      <x:c r="P1942" s="4" t="n">
        <x:f>IF(AND('계산 과정'!$L$7,O1942&lt;&gt;0),('계산 과정'!$L$23-'계산 과정'!$C$49*D1942-'계산 과정'!$D$49*E1942)/O1942,"")</x:f>
        <x:v>-2.892916634276112</x:v>
      </x:c>
      <x:c r="Q1942" s="4" t="str">
        <x:f>IF(AND(ISNUMBER(P1942),P1942&gt;1E-9,P1942&lt;1-1E-9),'계산 과정'!$C$47*(D1942-'계산 과정'!$C$50+P1942*('계산 과정'!$C$32-D1942))+'계산 과정'!$D$47*(E1942-'계산 과정'!$D$50+P1942*('계산 과정'!$D$32-E1942))+'계산 과정'!$E$47*(0-'계산 과정'!$E$50+P1942*('계산 과정'!$E$32-0)),"")</x:f>
      </x:c>
      <x:c r="R1942" s="4" t="str">
        <x:f>IF(AND(ISNUMBER(P1942),P1942&gt;1E-9,P1942&lt;1-1E-9),'계산 과정'!$C$48*(D1942-'계산 과정'!$C$50+P1942*('계산 과정'!$C$32-D1942))+'계산 과정'!$D$48*(E1942-'계산 과정'!$D$50+P1942*('계산 과정'!$D$32-E1942))+'계산 과정'!$E$48*(0-'계산 과정'!$E$50+P1942*('계산 과정'!$E$32-0)),"")</x:f>
      </x:c>
      <x:c r="S1942" s="17" t="n">
        <x:f>IF('계산 과정'!$C$78,IF(AND(ISNUMBER(Q1942),ISNUMBER(R1942),ABS(Q1942-'계산 과정'!$C$88)&lt;='계산 과정'!$D$23/2,ABS(R1942-'계산 과정'!$C$89)&lt;='계산 과정'!$D$24/2),1,0),"")</x:f>
        <x:v>0</x:v>
      </x:c>
      <x:c r="T1942" s="4"/>
      <x:c r="U1942" s="4"/>
      <x:c r="V1942" s="4"/>
      <x:c r="W1942" s="4"/>
      <x:c r="X1942" s="4"/>
      <x:c r="Y1942" s="4"/>
      <x:c r="Z1942" s="4"/>
    </x:row>
    <x:row r="1943" ht="23" customHeight="1">
      <x:c r="A1943" s="17" t="n">
        <x:f>ROW()-6</x:f>
        <x:v>1937</x:v>
      </x:c>
      <x:c r="B1943" s="4" t="n">
        <x:f>IF('계산 과정'!$L$5,'계산 과정'!$L$11*SQRT((A1943+0.5)/'계산 과정'!$L$30),"")</x:f>
        <x:v>145.89726091393047</x:v>
      </x:c>
      <x:c r="C1943" s="4" t="n">
        <x:f>A1943*PI()*(3-SQRT(5))</x:f>
        <x:v>4648.7287759844</x:v>
      </x:c>
      <x:c r="D1943" s="4" t="n">
        <x:f>IF('계산 과정'!$L$5,B1943*COS(C1943),"")</x:f>
        <x:v>98.63989049989479</x:v>
      </x:c>
      <x:c r="E1943" s="4" t="n">
        <x:f>IF('계산 과정'!$L$5,B1943*SIN(C1943),"")</x:f>
        <x:v>-107.49968718259727</x:v>
      </x:c>
      <x:c r="F1943" s="4" t="n">
        <x:f>IF('계산 과정'!$L$7,'계산 과정'!$L$22+'계산 과정'!$C$49*D1943+'계산 과정'!$D$49*E1943,"")</x:f>
        <x:v>580.2510645320259</x:v>
      </x:c>
      <x:c r="G1943" s="4" t="n">
        <x:f>IF('계산 과정'!$L$7,IF(ABS(F1943)&gt;=1E-12*MAX(1,SQRT((D1943-'계산 과정'!$C$33)^2+(E1943-'계산 과정'!$D$33)^2+'계산 과정'!$E$33^2)),('계산 과정'!$L$23-'계산 과정'!$C$49*D1943-'계산 과정'!$D$49*E1943)/F1943,""),"")</x:f>
        <x:v>0.809561522901863</x:v>
      </x:c>
      <x:c r="H1943" s="4" t="n">
        <x:f>IF(AND(ISNUMBER(G1943),G1943&gt;0),('계산 과정'!$D$56+'계산 과정'!$D$57*D1943+'계산 과정'!$D$58*E1943)/F1943,"")</x:f>
        <x:v>126.2149898862109</x:v>
      </x:c>
      <x:c r="I1943" s="4" t="n">
        <x:f>IF(AND(ISNUMBER(G1943),G1943&gt;0),('계산 과정'!$E$56+'계산 과정'!$E$57*D1943+'계산 과정'!$E$58*E1943)/F1943,"")</x:f>
        <x:v>-194.5272976496146</x:v>
      </x:c>
      <x:c r="J1943" s="4" t="n">
        <x:f>IF('계산 과정'!$L$5,'계산 과정'!$D$6+'계산 과정'!$C$35*D1943+'계산 과정'!$D$35*E1943,"")</x:f>
        <x:v>580.2510645320259</x:v>
      </x:c>
      <x:c r="K1943" s="4" t="n">
        <x:f>IF(AND('계산 과정'!$L$6,J1943&gt;0),'계산 과정'!$D$10*('계산 과정'!$C$38*(D1943-'계산 과정'!$C$32)+'계산 과정'!$D$38*(E1943-'계산 과정'!$D$32)-'계산 과정'!$E$38*'계산 과정'!$E$32)/J1943,"")</x:f>
        <x:v>0.9616380181806558</x:v>
      </x:c>
      <x:c r="L1943" s="4" t="n">
        <x:f>IF(AND('계산 과정'!$L$6,J1943&gt;0),'계산 과정'!$D$10*('계산 과정'!$C$39*(D1943-'계산 과정'!$C$32)+'계산 과정'!$D$39*(E1943-'계산 과정'!$D$32)-'계산 과정'!$E$39*'계산 과정'!$E$32)/J1943,"")</x:f>
        <x:v>-1.4821127439970636</x:v>
      </x:c>
      <x:c r="M1943" s="17" t="n">
        <x:f>IF('계산 과정'!$L$6,IF(J1943&lt;=0,0,IF(AND(ABS(K1943)&lt;='계산 과정'!$D$11/2,ABS(L1943)&lt;='계산 과정'!$D$12/2),1,0)),"")</x:f>
        <x:v>1</x:v>
      </x:c>
      <x:c r="N1943" s="17" t="n">
        <x:f>IF('계산 과정'!$C$78,IF(AND(ISNUMBER(H1943),ISNUMBER(I1943),ABS(H1943-'계산 과정'!$C$88)&lt;='계산 과정'!$D$23/2,ABS(I1943-'계산 과정'!$C$89)&lt;='계산 과정'!$D$24/2),1,0),"")</x:f>
        <x:v>1</x:v>
      </x:c>
      <x:c r="O1943" s="4" t="n">
        <x:f>IF('계산 과정'!$L$7,'계산 과정'!$C$49*('계산 과정'!$C$32-D1943)+'계산 과정'!$D$49*('계산 과정'!$D$32-E1943)+'계산 과정'!$E$49*'계산 과정'!$E$32,"")</x:f>
        <x:v>69.74893546797423</x:v>
      </x:c>
      <x:c r="P1943" s="4" t="n">
        <x:f>IF(AND('계산 과정'!$L$7,O1943&lt;&gt;0),('계산 과정'!$L$23-'계산 과정'!$C$49*D1943-'계산 과정'!$D$49*E1943)/O1943,"")</x:f>
        <x:v>6.734854551058532</x:v>
      </x:c>
      <x:c r="Q1943" s="4" t="str">
        <x:f>IF(AND(ISNUMBER(P1943),P1943&gt;1E-9,P1943&lt;1-1E-9),'계산 과정'!$C$47*(D1943-'계산 과정'!$C$50+P1943*('계산 과정'!$C$32-D1943))+'계산 과정'!$D$47*(E1943-'계산 과정'!$D$50+P1943*('계산 과정'!$D$32-E1943))+'계산 과정'!$E$47*(0-'계산 과정'!$E$50+P1943*('계산 과정'!$E$32-0)),"")</x:f>
      </x:c>
      <x:c r="R1943" s="4" t="str">
        <x:f>IF(AND(ISNUMBER(P1943),P1943&gt;1E-9,P1943&lt;1-1E-9),'계산 과정'!$C$48*(D1943-'계산 과정'!$C$50+P1943*('계산 과정'!$C$32-D1943))+'계산 과정'!$D$48*(E1943-'계산 과정'!$D$50+P1943*('계산 과정'!$D$32-E1943))+'계산 과정'!$E$48*(0-'계산 과정'!$E$50+P1943*('계산 과정'!$E$32-0)),"")</x:f>
      </x:c>
      <x:c r="S1943" s="17" t="n">
        <x:f>IF('계산 과정'!$C$78,IF(AND(ISNUMBER(Q1943),ISNUMBER(R1943),ABS(Q1943-'계산 과정'!$C$88)&lt;='계산 과정'!$D$23/2,ABS(R1943-'계산 과정'!$C$89)&lt;='계산 과정'!$D$24/2),1,0),"")</x:f>
        <x:v>0</x:v>
      </x:c>
      <x:c r="T1943" s="4"/>
      <x:c r="U1943" s="4"/>
      <x:c r="V1943" s="4"/>
      <x:c r="W1943" s="4"/>
      <x:c r="X1943" s="4"/>
      <x:c r="Y1943" s="4"/>
      <x:c r="Z1943" s="4"/>
    </x:row>
    <x:row r="1944" ht="23" customHeight="1">
      <x:c r="A1944" s="17" t="n">
        <x:f>ROW()-6</x:f>
        <x:v>1938</x:v>
      </x:c>
      <x:c r="B1944" s="4" t="n">
        <x:f>IF('계산 과정'!$L$5,'계산 과정'!$L$11*SQRT((A1944+0.5)/'계산 과정'!$L$30),"")</x:f>
        <x:v>145.93490696304465</x:v>
      </x:c>
      <x:c r="C1944" s="4" t="n">
        <x:f>A1944*PI()*(3-SQRT(5))</x:f>
        <x:v>4651.128739214129</x:v>
      </x:c>
      <x:c r="D1944" s="4" t="n">
        <x:f>IF('계산 과정'!$L$5,B1944*COS(C1944),"")</x:f>
        <x:v>-0.11902076690005114</x:v>
      </x:c>
      <x:c r="E1944" s="4" t="n">
        <x:f>IF('계산 과정'!$L$5,B1944*SIN(C1944),"")</x:f>
        <x:v>145.93485842789428</x:v>
      </x:c>
      <x:c r="F1944" s="4" t="n">
        <x:f>IF('계산 과정'!$L$7,'계산 과정'!$L$22+'계산 과정'!$C$49*D1944+'계산 과정'!$D$49*E1944,"")</x:f>
        <x:v>650.084160391377</x:v>
      </x:c>
      <x:c r="G1944" s="4" t="n">
        <x:f>IF('계산 과정'!$L$7,IF(ABS(F1944)&gt;=1E-12*MAX(1,SQRT((D1944-'계산 과정'!$C$33)^2+(E1944-'계산 과정'!$D$33)^2+'계산 과정'!$E$33^2)),('계산 과정'!$L$23-'계산 과정'!$C$49*D1944-'계산 과정'!$D$49*E1944)/F1944,""),"")</x:f>
        <x:v>0.6151754864598722</x:v>
      </x:c>
      <x:c r="H1944" s="4" t="n">
        <x:f>IF(AND(ISNUMBER(G1944),G1944&gt;0),('계산 과정'!$D$56+'계산 과정'!$D$57*D1944+'계산 과정'!$D$58*E1944)/F1944,"")</x:f>
        <x:v>-0.13593380108319295</x:v>
      </x:c>
      <x:c r="I1944" s="4" t="n">
        <x:f>IF(AND(ISNUMBER(G1944),G1944&gt;0),('계산 과정'!$E$56+'계산 과정'!$E$57*D1944+'계산 과정'!$E$58*E1944)/F1944,"")</x:f>
        <x:v>235.71040595272675</x:v>
      </x:c>
      <x:c r="J1944" s="4" t="n">
        <x:f>IF('계산 과정'!$L$5,'계산 과정'!$D$6+'계산 과정'!$C$35*D1944+'계산 과정'!$D$35*E1944,"")</x:f>
        <x:v>650.084160391377</x:v>
      </x:c>
      <x:c r="K1944" s="4" t="n">
        <x:f>IF(AND('계산 과정'!$L$6,J1944&gt;0),'계산 과정'!$D$10*('계산 과정'!$C$38*(D1944-'계산 과정'!$C$32)+'계산 과정'!$D$38*(E1944-'계산 과정'!$D$32)-'계산 과정'!$E$38*'계산 과정'!$E$32)/J1944,"")</x:f>
        <x:v>-0.0010356861034901837</x:v>
      </x:c>
      <x:c r="L1944" s="4" t="n">
        <x:f>IF(AND('계산 과정'!$L$6,J1944&gt;0),'계산 과정'!$D$10*('계산 과정'!$C$39*(D1944-'계산 과정'!$C$32)+'계산 과정'!$D$39*(E1944-'계산 과정'!$D$32)-'계산 과정'!$E$39*'계산 과정'!$E$32)/J1944,"")</x:f>
        <x:v>1.7958888072588703</x:v>
      </x:c>
      <x:c r="M1944" s="17" t="n">
        <x:f>IF('계산 과정'!$L$6,IF(J1944&lt;=0,0,IF(AND(ABS(K1944)&lt;='계산 과정'!$D$11/2,ABS(L1944)&lt;='계산 과정'!$D$12/2),1,0)),"")</x:f>
        <x:v>1</x:v>
      </x:c>
      <x:c r="N1944" s="17" t="n">
        <x:f>IF('계산 과정'!$C$78,IF(AND(ISNUMBER(H1944),ISNUMBER(I1944),ABS(H1944-'계산 과정'!$C$88)&lt;='계산 과정'!$D$23/2,ABS(I1944-'계산 과정'!$C$89)&lt;='계산 과정'!$D$24/2),1,0),"")</x:f>
        <x:v>1</x:v>
      </x:c>
      <x:c r="O1944" s="4" t="n">
        <x:f>IF('계산 과정'!$L$7,'계산 과정'!$C$49*('계산 과정'!$C$32-D1944)+'계산 과정'!$D$49*('계산 과정'!$D$32-E1944)+'계산 과정'!$E$49*'계산 과정'!$E$32,"")</x:f>
        <x:v>-0.08416039137694042</x:v>
      </x:c>
      <x:c r="P1944" s="4" t="n">
        <x:f>IF(AND('계산 과정'!$L$7,O1944&lt;&gt;0),('계산 과정'!$L$23-'계산 과정'!$C$49*D1944-'계산 과정'!$D$49*E1944)/O1944,"")</x:f>
        <x:v>-4751.829608508666</x:v>
      </x:c>
      <x:c r="Q1944" s="4" t="str">
        <x:f>IF(AND(ISNUMBER(P1944),P1944&gt;1E-9,P1944&lt;1-1E-9),'계산 과정'!$C$47*(D1944-'계산 과정'!$C$50+P1944*('계산 과정'!$C$32-D1944))+'계산 과정'!$D$47*(E1944-'계산 과정'!$D$50+P1944*('계산 과정'!$D$32-E1944))+'계산 과정'!$E$47*(0-'계산 과정'!$E$50+P1944*('계산 과정'!$E$32-0)),"")</x:f>
      </x:c>
      <x:c r="R1944" s="4" t="str">
        <x:f>IF(AND(ISNUMBER(P1944),P1944&gt;1E-9,P1944&lt;1-1E-9),'계산 과정'!$C$48*(D1944-'계산 과정'!$C$50+P1944*('계산 과정'!$C$32-D1944))+'계산 과정'!$D$48*(E1944-'계산 과정'!$D$50+P1944*('계산 과정'!$D$32-E1944))+'계산 과정'!$E$48*(0-'계산 과정'!$E$50+P1944*('계산 과정'!$E$32-0)),"")</x:f>
      </x:c>
      <x:c r="S1944" s="17" t="n">
        <x:f>IF('계산 과정'!$C$78,IF(AND(ISNUMBER(Q1944),ISNUMBER(R1944),ABS(Q1944-'계산 과정'!$C$88)&lt;='계산 과정'!$D$23/2,ABS(R1944-'계산 과정'!$C$89)&lt;='계산 과정'!$D$24/2),1,0),"")</x:f>
        <x:v>0</x:v>
      </x:c>
      <x:c r="T1944" s="4"/>
      <x:c r="U1944" s="4"/>
      <x:c r="V1944" s="4"/>
      <x:c r="W1944" s="4"/>
      <x:c r="X1944" s="4"/>
      <x:c r="Y1944" s="4"/>
      <x:c r="Z1944" s="4"/>
    </x:row>
    <x:row r="1945" ht="23" customHeight="1">
      <x:c r="A1945" s="17" t="n">
        <x:f>ROW()-6</x:f>
        <x:v>1939</x:v>
      </x:c>
      <x:c r="B1945" s="4" t="n">
        <x:f>IF('계산 과정'!$L$5,'계산 과정'!$L$11*SQRT((A1945+0.5)/'계산 과정'!$L$30),"")</x:f>
        <x:v>145.9725433033127</x:v>
      </x:c>
      <x:c r="C1945" s="4" t="n">
        <x:f>A1945*PI()*(3-SQRT(5))</x:f>
        <x:v>4653.5287024438585</x:v>
      </x:c>
      <x:c r="D1945" s="4" t="n">
        <x:f>IF('계산 과정'!$L$5,B1945*COS(C1945),"")</x:f>
        <x:v>-98.51521859346312</x:v>
      </x:c>
      <x:c r="E1945" s="4" t="n">
        <x:f>IF('계산 과정'!$L$5,B1945*SIN(C1945),"")</x:f>
        <x:v>-107.71599279549757</x:v>
      </x:c>
      <x:c r="F1945" s="4" t="n">
        <x:f>IF('계산 과정'!$L$7,'계산 과정'!$L$22+'계산 과정'!$C$49*D1945+'계산 과정'!$D$49*E1945,"")</x:f>
        <x:v>719.6607791175128</x:v>
      </x:c>
      <x:c r="G1945" s="4" t="n">
        <x:f>IF('계산 과정'!$L$7,IF(ABS(F1945)&gt;=1E-12*MAX(1,SQRT((D1945-'계산 과정'!$C$33)^2+(E1945-'계산 과정'!$D$33)^2+'계산 과정'!$E$33^2)),('계산 과정'!$L$23-'계산 과정'!$C$49*D1945-'계산 과정'!$D$49*E1945)/F1945,""),"")</x:f>
        <x:v>0.45902073653029574</x:v>
      </x:c>
      <x:c r="H1945" s="4" t="n">
        <x:f>IF(AND(ISNUMBER(G1945),G1945&gt;0),('계산 과정'!$D$56+'계산 과정'!$D$57*D1945+'계산 과정'!$D$58*E1945)/F1945,"")</x:f>
        <x:v>-101.63652125530793</x:v>
      </x:c>
      <x:c r="I1945" s="4" t="n">
        <x:f>IF(AND(ISNUMBER(G1945),G1945&gt;0),('계산 과정'!$E$56+'계산 과정'!$E$57*D1945+'계산 과정'!$E$58*E1945)/F1945,"")</x:f>
        <x:v>-157.1598671445789</x:v>
      </x:c>
      <x:c r="J1945" s="4" t="n">
        <x:f>IF('계산 과정'!$L$5,'계산 과정'!$D$6+'계산 과정'!$C$35*D1945+'계산 과정'!$D$35*E1945,"")</x:f>
        <x:v>719.6607791175128</x:v>
      </x:c>
      <x:c r="K1945" s="4" t="n">
        <x:f>IF(AND('계산 과정'!$L$6,J1945&gt;0),'계산 과정'!$D$10*('계산 과정'!$C$38*(D1945-'계산 과정'!$C$32)+'계산 과정'!$D$38*(E1945-'계산 과정'!$D$32)-'계산 과정'!$E$38*'계산 과정'!$E$32)/J1945,"")</x:f>
        <x:v>-0.7743734952785359</x:v>
      </x:c>
      <x:c r="L1945" s="4" t="n">
        <x:f>IF(AND('계산 과정'!$L$6,J1945&gt;0),'계산 과정'!$D$10*('계산 과정'!$C$39*(D1945-'계산 과정'!$C$32)+'계산 과정'!$D$39*(E1945-'계산 과정'!$D$32)-'계산 과정'!$E$39*'계산 과정'!$E$32)/J1945,"")</x:f>
        <x:v>-1.197408511577744</x:v>
      </x:c>
      <x:c r="M1945" s="17" t="n">
        <x:f>IF('계산 과정'!$L$6,IF(J1945&lt;=0,0,IF(AND(ABS(K1945)&lt;='계산 과정'!$D$11/2,ABS(L1945)&lt;='계산 과정'!$D$12/2),1,0)),"")</x:f>
        <x:v>1</x:v>
      </x:c>
      <x:c r="N1945" s="17" t="n">
        <x:f>IF('계산 과정'!$C$78,IF(AND(ISNUMBER(H1945),ISNUMBER(I1945),ABS(H1945-'계산 과정'!$C$88)&lt;='계산 과정'!$D$23/2,ABS(I1945-'계산 과정'!$C$89)&lt;='계산 과정'!$D$24/2),1,0),"")</x:f>
        <x:v>1</x:v>
      </x:c>
      <x:c r="O1945" s="4" t="n">
        <x:f>IF('계산 과정'!$L$7,'계산 과정'!$C$49*('계산 과정'!$C$32-D1945)+'계산 과정'!$D$49*('계산 과정'!$D$32-E1945)+'계산 과정'!$E$49*'계산 과정'!$E$32,"")</x:f>
        <x:v>-69.66077911751273</x:v>
      </x:c>
      <x:c r="P1945" s="4" t="n">
        <x:f>IF(AND('계산 과정'!$L$7,O1945&lt;&gt;0),('계산 과정'!$L$23-'계산 과정'!$C$49*D1945-'계산 과정'!$D$49*E1945)/O1945,"")</x:f>
        <x:v>-4.742112061727427</x:v>
      </x:c>
      <x:c r="Q1945" s="4" t="str">
        <x:f>IF(AND(ISNUMBER(P1945),P1945&gt;1E-9,P1945&lt;1-1E-9),'계산 과정'!$C$47*(D1945-'계산 과정'!$C$50+P1945*('계산 과정'!$C$32-D1945))+'계산 과정'!$D$47*(E1945-'계산 과정'!$D$50+P1945*('계산 과정'!$D$32-E1945))+'계산 과정'!$E$47*(0-'계산 과정'!$E$50+P1945*('계산 과정'!$E$32-0)),"")</x:f>
      </x:c>
      <x:c r="R1945" s="4" t="str">
        <x:f>IF(AND(ISNUMBER(P1945),P1945&gt;1E-9,P1945&lt;1-1E-9),'계산 과정'!$C$48*(D1945-'계산 과정'!$C$50+P1945*('계산 과정'!$C$32-D1945))+'계산 과정'!$D$48*(E1945-'계산 과정'!$D$50+P1945*('계산 과정'!$D$32-E1945))+'계산 과정'!$E$48*(0-'계산 과정'!$E$50+P1945*('계산 과정'!$E$32-0)),"")</x:f>
      </x:c>
      <x:c r="S1945" s="17" t="n">
        <x:f>IF('계산 과정'!$C$78,IF(AND(ISNUMBER(Q1945),ISNUMBER(R1945),ABS(Q1945-'계산 과정'!$C$88)&lt;='계산 과정'!$D$23/2,ABS(R1945-'계산 과정'!$C$89)&lt;='계산 과정'!$D$24/2),1,0),"")</x:f>
        <x:v>0</x:v>
      </x:c>
      <x:c r="T1945" s="4"/>
      <x:c r="U1945" s="4"/>
      <x:c r="V1945" s="4"/>
      <x:c r="W1945" s="4"/>
      <x:c r="X1945" s="4"/>
      <x:c r="Y1945" s="4"/>
      <x:c r="Z1945" s="4"/>
    </x:row>
    <x:row r="1946" ht="23" customHeight="1">
      <x:c r="A1946" s="17" t="n">
        <x:f>ROW()-6</x:f>
        <x:v>1940</x:v>
      </x:c>
      <x:c r="B1946" s="4" t="n">
        <x:f>IF('계산 과정'!$L$5,'계산 과정'!$L$11*SQRT((A1946+0.5)/'계산 과정'!$L$30),"")</x:f>
        <x:v>146.01016994224238</x:v>
      </x:c>
      <x:c r="C1946" s="4" t="n">
        <x:f>A1946*PI()*(3-SQRT(5))</x:f>
        <x:v>4655.928665673587</x:v>
      </x:c>
      <x:c r="D1946" s="4" t="n">
        <x:f>IF('계산 과정'!$L$5,B1946*COS(C1946),"")</x:f>
        <x:v>145.4406437507505</x:v>
      </x:c>
      <x:c r="E1946" s="4" t="n">
        <x:f>IF('계산 과정'!$L$5,B1946*SIN(C1946),"")</x:f>
        <x:v>12.883666866610007</x:v>
      </x:c>
      <x:c r="F1946" s="4" t="n">
        <x:f>IF('계산 과정'!$L$7,'계산 과정'!$L$22+'계산 과정'!$C$49*D1946+'계산 과정'!$D$49*E1946,"")</x:f>
        <x:v>547.1579345437075</x:v>
      </x:c>
      <x:c r="G1946" s="4" t="n">
        <x:f>IF('계산 과정'!$L$7,IF(ABS(F1946)&gt;=1E-12*MAX(1,SQRT((D1946-'계산 과정'!$C$33)^2+(E1946-'계산 과정'!$D$33)^2+'계산 과정'!$E$33^2)),('계산 과정'!$L$23-'계산 과정'!$C$49*D1946-'계산 과정'!$D$49*E1946)/F1946,""),"")</x:f>
        <x:v>0.9190071708923103</x:v>
      </x:c>
      <x:c r="H1946" s="4" t="n">
        <x:f>IF(AND(ISNUMBER(G1946),G1946&gt;0),('계산 과정'!$D$56+'계산 과정'!$D$57*D1946+'계산 과정'!$D$58*E1946)/F1946,"")</x:f>
        <x:v>197.35466108000168</x:v>
      </x:c>
      <x:c r="I1946" s="4" t="n">
        <x:f>IF(AND(ISNUMBER(G1946),G1946&gt;0),('계산 과정'!$E$56+'계산 과정'!$E$57*D1946+'계산 과정'!$E$58*E1946)/F1946,"")</x:f>
        <x:v>24.723849104412263</x:v>
      </x:c>
      <x:c r="J1946" s="4" t="n">
        <x:f>IF('계산 과정'!$L$5,'계산 과정'!$D$6+'계산 과정'!$C$35*D1946+'계산 과정'!$D$35*E1946,"")</x:f>
        <x:v>547.1579345437075</x:v>
      </x:c>
      <x:c r="K1946" s="4" t="n">
        <x:f>IF(AND('계산 과정'!$L$6,J1946&gt;0),'계산 과정'!$D$10*('계산 과정'!$C$38*(D1946-'계산 과정'!$C$32)+'계산 과정'!$D$38*(E1946-'계산 과정'!$D$32)-'계산 과정'!$E$38*'계산 과정'!$E$32)/J1946,"")</x:f>
        <x:v>1.503654560609537</x:v>
      </x:c>
      <x:c r="L1946" s="4" t="n">
        <x:f>IF(AND('계산 과정'!$L$6,J1946&gt;0),'계산 과정'!$D$10*('계산 과정'!$C$39*(D1946-'계산 과정'!$C$32)+'계산 과정'!$D$39*(E1946-'계산 과정'!$D$32)-'계산 과정'!$E$39*'계산 과정'!$E$32)/J1946,"")</x:f>
        <x:v>0.18837218365266487</x:v>
      </x:c>
      <x:c r="M1946" s="17" t="n">
        <x:f>IF('계산 과정'!$L$6,IF(J1946&lt;=0,0,IF(AND(ABS(K1946)&lt;='계산 과정'!$D$11/2,ABS(L1946)&lt;='계산 과정'!$D$12/2),1,0)),"")</x:f>
        <x:v>1</x:v>
      </x:c>
      <x:c r="N1946" s="17" t="n">
        <x:f>IF('계산 과정'!$C$78,IF(AND(ISNUMBER(H1946),ISNUMBER(I1946),ABS(H1946-'계산 과정'!$C$88)&lt;='계산 과정'!$D$23/2,ABS(I1946-'계산 과정'!$C$89)&lt;='계산 과정'!$D$24/2),1,0),"")</x:f>
        <x:v>1</x:v>
      </x:c>
      <x:c r="O1946" s="4" t="n">
        <x:f>IF('계산 과정'!$L$7,'계산 과정'!$C$49*('계산 과정'!$C$32-D1946)+'계산 과정'!$D$49*('계산 과정'!$D$32-E1946)+'계산 과정'!$E$49*'계산 과정'!$E$32,"")</x:f>
        <x:v>102.84206545629266</x:v>
      </x:c>
      <x:c r="P1946" s="4" t="n">
        <x:f>IF(AND('계산 과정'!$L$7,O1946&lt;&gt;0),('계산 과정'!$L$23-'계산 과정'!$C$49*D1946-'계산 과정'!$D$49*E1946)/O1946,"")</x:f>
        <x:v>4.889459028513947</x:v>
      </x:c>
      <x:c r="Q1946" s="4" t="str">
        <x:f>IF(AND(ISNUMBER(P1946),P1946&gt;1E-9,P1946&lt;1-1E-9),'계산 과정'!$C$47*(D1946-'계산 과정'!$C$50+P1946*('계산 과정'!$C$32-D1946))+'계산 과정'!$D$47*(E1946-'계산 과정'!$D$50+P1946*('계산 과정'!$D$32-E1946))+'계산 과정'!$E$47*(0-'계산 과정'!$E$50+P1946*('계산 과정'!$E$32-0)),"")</x:f>
      </x:c>
      <x:c r="R1946" s="4" t="str">
        <x:f>IF(AND(ISNUMBER(P1946),P1946&gt;1E-9,P1946&lt;1-1E-9),'계산 과정'!$C$48*(D1946-'계산 과정'!$C$50+P1946*('계산 과정'!$C$32-D1946))+'계산 과정'!$D$48*(E1946-'계산 과정'!$D$50+P1946*('계산 과정'!$D$32-E1946))+'계산 과정'!$E$48*(0-'계산 과정'!$E$50+P1946*('계산 과정'!$E$32-0)),"")</x:f>
      </x:c>
      <x:c r="S1946" s="17" t="n">
        <x:f>IF('계산 과정'!$C$78,IF(AND(ISNUMBER(Q1946),ISNUMBER(R1946),ABS(Q1946-'계산 과정'!$C$88)&lt;='계산 과정'!$D$23/2,ABS(R1946-'계산 과정'!$C$89)&lt;='계산 과정'!$D$24/2),1,0),"")</x:f>
        <x:v>0</x:v>
      </x:c>
      <x:c r="T1946" s="4"/>
      <x:c r="U1946" s="4"/>
      <x:c r="V1946" s="4"/>
      <x:c r="W1946" s="4"/>
      <x:c r="X1946" s="4"/>
      <x:c r="Y1946" s="4"/>
      <x:c r="Z1946" s="4"/>
    </x:row>
    <x:row r="1947" ht="23" customHeight="1">
      <x:c r="A1947" s="17" t="n">
        <x:f>ROW()-6</x:f>
        <x:v>1941</x:v>
      </x:c>
      <x:c r="B1947" s="4" t="n">
        <x:f>IF('계산 과정'!$L$5,'계산 과정'!$L$11*SQRT((A1947+0.5)/'계산 과정'!$L$30),"")</x:f>
        <x:v>146.04778688733185</x:v>
      </x:c>
      <x:c r="C1947" s="4" t="n">
        <x:f>A1947*PI()*(3-SQRT(5))</x:f>
        <x:v>4658.328628903315</x:v>
      </x:c>
      <x:c r="D1947" s="4" t="n">
        <x:f>IF('계산 과정'!$L$5,B1947*COS(C1947),"")</x:f>
        <x:v>-115.9760677248376</x:v>
      </x:c>
      <x:c r="E1947" s="4" t="n">
        <x:f>IF('계산 과정'!$L$5,B1947*SIN(C1947),"")</x:f>
        <x:v>88.76659151826989</x:v>
      </x:c>
      <x:c r="F1947" s="4" t="n">
        <x:f>IF('계산 과정'!$L$7,'계산 과정'!$L$22+'계산 과정'!$C$49*D1947+'계산 과정'!$D$49*E1947,"")</x:f>
        <x:v>732.0074639435829</x:v>
      </x:c>
      <x:c r="G1947" s="4" t="n">
        <x:f>IF('계산 과정'!$L$7,IF(ABS(F1947)&gt;=1E-12*MAX(1,SQRT((D1947-'계산 과정'!$C$33)^2+(E1947-'계산 과정'!$D$33)^2+'계산 과정'!$E$33^2)),('계산 과정'!$L$23-'계산 과정'!$C$49*D1947-'계산 과정'!$D$49*E1947)/F1947,""),"")</x:f>
        <x:v>0.43441160332338535</x:v>
      </x:c>
      <x:c r="H1947" s="4" t="n">
        <x:f>IF(AND(ISNUMBER(G1947),G1947&gt;0),('계산 과정'!$D$56+'계산 과정'!$D$57*D1947+'계산 과정'!$D$58*E1947)/F1947,"")</x:f>
        <x:v>-117.63245783979968</x:v>
      </x:c>
      <x:c r="I1947" s="4" t="n">
        <x:f>IF(AND(ISNUMBER(G1947),G1947&gt;0),('계산 과정'!$E$56+'계산 과정'!$E$57*D1947+'계산 과정'!$E$58*E1947)/F1947,"")</x:f>
        <x:v>127.32782886127355</x:v>
      </x:c>
      <x:c r="J1947" s="4" t="n">
        <x:f>IF('계산 과정'!$L$5,'계산 과정'!$D$6+'계산 과정'!$C$35*D1947+'계산 과정'!$D$35*E1947,"")</x:f>
        <x:v>732.0074639435829</x:v>
      </x:c>
      <x:c r="K1947" s="4" t="n">
        <x:f>IF(AND('계산 과정'!$L$6,J1947&gt;0),'계산 과정'!$D$10*('계산 과정'!$C$38*(D1947-'계산 과정'!$C$32)+'계산 과정'!$D$38*(E1947-'계산 과정'!$D$32)-'계산 과정'!$E$38*'계산 과정'!$E$32)/J1947,"")</x:f>
        <x:v>-0.8962472978270445</x:v>
      </x:c>
      <x:c r="L1947" s="4" t="n">
        <x:f>IF(AND('계산 과정'!$L$6,J1947&gt;0),'계산 과정'!$D$10*('계산 과정'!$C$39*(D1947-'계산 과정'!$C$32)+'계산 과정'!$D$39*(E1947-'계산 과정'!$D$32)-'계산 과정'!$E$39*'계산 과정'!$E$32)/J1947,"")</x:f>
        <x:v>0.9701167913239889</x:v>
      </x:c>
      <x:c r="M1947" s="17" t="n">
        <x:f>IF('계산 과정'!$L$6,IF(J1947&lt;=0,0,IF(AND(ABS(K1947)&lt;='계산 과정'!$D$11/2,ABS(L1947)&lt;='계산 과정'!$D$12/2),1,0)),"")</x:f>
        <x:v>1</x:v>
      </x:c>
      <x:c r="N1947" s="17" t="n">
        <x:f>IF('계산 과정'!$C$78,IF(AND(ISNUMBER(H1947),ISNUMBER(I1947),ABS(H1947-'계산 과정'!$C$88)&lt;='계산 과정'!$D$23/2,ABS(I1947-'계산 과정'!$C$89)&lt;='계산 과정'!$D$24/2),1,0),"")</x:f>
        <x:v>1</x:v>
      </x:c>
      <x:c r="O1947" s="4" t="n">
        <x:f>IF('계산 과정'!$L$7,'계산 과정'!$C$49*('계산 과정'!$C$32-D1947)+'계산 과정'!$D$49*('계산 과정'!$D$32-E1947)+'계산 과정'!$E$49*'계산 과정'!$E$32,"")</x:f>
        <x:v>-82.00746394358288</x:v>
      </x:c>
      <x:c r="P1947" s="4" t="n">
        <x:f>IF(AND('계산 과정'!$L$7,O1947&lt;&gt;0),('계산 과정'!$L$23-'계산 과정'!$C$49*D1947-'계산 과정'!$D$49*E1947)/O1947,"")</x:f>
        <x:v>-3.877604802840634</x:v>
      </x:c>
      <x:c r="Q1947" s="4" t="str">
        <x:f>IF(AND(ISNUMBER(P1947),P1947&gt;1E-9,P1947&lt;1-1E-9),'계산 과정'!$C$47*(D1947-'계산 과정'!$C$50+P1947*('계산 과정'!$C$32-D1947))+'계산 과정'!$D$47*(E1947-'계산 과정'!$D$50+P1947*('계산 과정'!$D$32-E1947))+'계산 과정'!$E$47*(0-'계산 과정'!$E$50+P1947*('계산 과정'!$E$32-0)),"")</x:f>
      </x:c>
      <x:c r="R1947" s="4" t="str">
        <x:f>IF(AND(ISNUMBER(P1947),P1947&gt;1E-9,P1947&lt;1-1E-9),'계산 과정'!$C$48*(D1947-'계산 과정'!$C$50+P1947*('계산 과정'!$C$32-D1947))+'계산 과정'!$D$48*(E1947-'계산 과정'!$D$50+P1947*('계산 과정'!$D$32-E1947))+'계산 과정'!$E$48*(0-'계산 과정'!$E$50+P1947*('계산 과정'!$E$32-0)),"")</x:f>
      </x:c>
      <x:c r="S1947" s="17" t="n">
        <x:f>IF('계산 과정'!$C$78,IF(AND(ISNUMBER(Q1947),ISNUMBER(R1947),ABS(Q1947-'계산 과정'!$C$88)&lt;='계산 과정'!$D$23/2,ABS(R1947-'계산 과정'!$C$89)&lt;='계산 과정'!$D$24/2),1,0),"")</x:f>
        <x:v>0</x:v>
      </x:c>
      <x:c r="T1947" s="4"/>
      <x:c r="U1947" s="4"/>
      <x:c r="V1947" s="4"/>
      <x:c r="W1947" s="4"/>
      <x:c r="X1947" s="4"/>
      <x:c r="Y1947" s="4"/>
      <x:c r="Z1947" s="4"/>
    </x:row>
    <x:row r="1948" ht="23" customHeight="1">
      <x:c r="A1948" s="17" t="n">
        <x:f>ROW()-6</x:f>
        <x:v>1942</x:v>
      </x:c>
      <x:c r="B1948" s="4" t="n">
        <x:f>IF('계산 과정'!$L$5,'계산 과정'!$L$11*SQRT((A1948+0.5)/'계산 과정'!$L$30),"")</x:f>
        <x:v>146.08539414606958</x:v>
      </x:c>
      <x:c r="C1948" s="4" t="n">
        <x:f>A1948*PI()*(3-SQRT(5))</x:f>
        <x:v>4660.728592133044</x:v>
      </x:c>
      <x:c r="D1948" s="4" t="n">
        <x:f>IF('계산 과정'!$L$5,B1948*COS(C1948),"")</x:f>
        <x:v>25.56275262314765</x:v>
      </x:c>
      <x:c r="E1948" s="4" t="n">
        <x:f>IF('계산 과정'!$L$5,B1948*SIN(C1948),"")</x:f>
        <x:v>-143.83145713348057</x:v>
      </x:c>
      <x:c r="F1948" s="4" t="n">
        <x:f>IF('계산 과정'!$L$7,'계산 과정'!$L$22+'계산 과정'!$C$49*D1948+'계산 과정'!$D$49*E1948,"")</x:f>
        <x:v>631.924404274378</x:v>
      </x:c>
      <x:c r="G1948" s="4" t="n">
        <x:f>IF('계산 과정'!$L$7,IF(ABS(F1948)&gt;=1E-12*MAX(1,SQRT((D1948-'계산 과정'!$C$33)^2+(E1948-'계산 과정'!$D$33)^2+'계산 과정'!$E$33^2)),('계산 과정'!$L$23-'계산 과정'!$C$49*D1948-'계산 과정'!$D$49*E1948)/F1948,""),"")</x:f>
        <x:v>0.6615911537799952</x:v>
      </x:c>
      <x:c r="H1948" s="4" t="n">
        <x:f>IF(AND(ISNUMBER(G1948),G1948&gt;0),('계산 과정'!$D$56+'계산 과정'!$D$57*D1948+'계산 과정'!$D$58*E1948)/F1948,"")</x:f>
        <x:v>30.034249956996753</x:v>
      </x:c>
      <x:c r="I1948" s="4" t="n">
        <x:f>IF(AND(ISNUMBER(G1948),G1948&gt;0),('계산 과정'!$E$56+'계산 과정'!$E$57*D1948+'계산 과정'!$E$58*E1948)/F1948,"")</x:f>
        <x:v>-238.98907680827793</x:v>
      </x:c>
      <x:c r="J1948" s="4" t="n">
        <x:f>IF('계산 과정'!$L$5,'계산 과정'!$D$6+'계산 과정'!$C$35*D1948+'계산 과정'!$D$35*E1948,"")</x:f>
        <x:v>631.924404274378</x:v>
      </x:c>
      <x:c r="K1948" s="4" t="n">
        <x:f>IF(AND('계산 과정'!$L$6,J1948&gt;0),'계산 과정'!$D$10*('계산 과정'!$C$38*(D1948-'계산 과정'!$C$32)+'계산 과정'!$D$38*(E1948-'계산 과정'!$D$32)-'계산 과정'!$E$38*'계산 과정'!$E$32)/J1948,"")</x:f>
        <x:v>0.2288323806247385</x:v>
      </x:c>
      <x:c r="L1948" s="4" t="n">
        <x:f>IF(AND('계산 과정'!$L$6,J1948&gt;0),'계산 과정'!$D$10*('계산 과정'!$C$39*(D1948-'계산 과정'!$C$32)+'계산 과정'!$D$39*(E1948-'계산 과정'!$D$32)-'계산 과정'!$E$39*'계산 과정'!$E$32)/J1948,"")</x:f>
        <x:v>-1.8208691566344983</x:v>
      </x:c>
      <x:c r="M1948" s="17" t="n">
        <x:f>IF('계산 과정'!$L$6,IF(J1948&lt;=0,0,IF(AND(ABS(K1948)&lt;='계산 과정'!$D$11/2,ABS(L1948)&lt;='계산 과정'!$D$12/2),1,0)),"")</x:f>
        <x:v>1</x:v>
      </x:c>
      <x:c r="N1948" s="17" t="n">
        <x:f>IF('계산 과정'!$C$78,IF(AND(ISNUMBER(H1948),ISNUMBER(I1948),ABS(H1948-'계산 과정'!$C$88)&lt;='계산 과정'!$D$23/2,ABS(I1948-'계산 과정'!$C$89)&lt;='계산 과정'!$D$24/2),1,0),"")</x:f>
        <x:v>1</x:v>
      </x:c>
      <x:c r="O1948" s="4" t="n">
        <x:f>IF('계산 과정'!$L$7,'계산 과정'!$C$49*('계산 과정'!$C$32-D1948)+'계산 과정'!$D$49*('계산 과정'!$D$32-E1948)+'계산 과정'!$E$49*'계산 과정'!$E$32,"")</x:f>
        <x:v>18.075595725622065</x:v>
      </x:c>
      <x:c r="P1948" s="4" t="n">
        <x:f>IF(AND('계산 과정'!$L$7,O1948&lt;&gt;0),('계산 과정'!$L$23-'계산 과정'!$C$49*D1948-'계산 과정'!$D$49*E1948)/O1948,"")</x:f>
        <x:v>23.129284482336693</x:v>
      </x:c>
      <x:c r="Q1948" s="4" t="str">
        <x:f>IF(AND(ISNUMBER(P1948),P1948&gt;1E-9,P1948&lt;1-1E-9),'계산 과정'!$C$47*(D1948-'계산 과정'!$C$50+P1948*('계산 과정'!$C$32-D1948))+'계산 과정'!$D$47*(E1948-'계산 과정'!$D$50+P1948*('계산 과정'!$D$32-E1948))+'계산 과정'!$E$47*(0-'계산 과정'!$E$50+P1948*('계산 과정'!$E$32-0)),"")</x:f>
      </x:c>
      <x:c r="R1948" s="4" t="str">
        <x:f>IF(AND(ISNUMBER(P1948),P1948&gt;1E-9,P1948&lt;1-1E-9),'계산 과정'!$C$48*(D1948-'계산 과정'!$C$50+P1948*('계산 과정'!$C$32-D1948))+'계산 과정'!$D$48*(E1948-'계산 과정'!$D$50+P1948*('계산 과정'!$D$32-E1948))+'계산 과정'!$E$48*(0-'계산 과정'!$E$50+P1948*('계산 과정'!$E$32-0)),"")</x:f>
      </x:c>
      <x:c r="S1948" s="17" t="n">
        <x:f>IF('계산 과정'!$C$78,IF(AND(ISNUMBER(Q1948),ISNUMBER(R1948),ABS(Q1948-'계산 과정'!$C$88)&lt;='계산 과정'!$D$23/2,ABS(R1948-'계산 과정'!$C$89)&lt;='계산 과정'!$D$24/2),1,0),"")</x:f>
        <x:v>0</x:v>
      </x:c>
      <x:c r="T1948" s="4"/>
      <x:c r="U1948" s="4"/>
      <x:c r="V1948" s="4"/>
      <x:c r="W1948" s="4"/>
      <x:c r="X1948" s="4"/>
      <x:c r="Y1948" s="4"/>
      <x:c r="Z1948" s="4"/>
    </x:row>
    <x:row r="1949" ht="23" customHeight="1">
      <x:c r="A1949" s="17" t="n">
        <x:f>ROW()-6</x:f>
        <x:v>1943</x:v>
      </x:c>
      <x:c r="B1949" s="4" t="n">
        <x:f>IF('계산 과정'!$L$5,'계산 과정'!$L$11*SQRT((A1949+0.5)/'계산 과정'!$L$30),"")</x:f>
        <x:v>146.12299172593444</x:v>
      </x:c>
      <x:c r="C1949" s="4" t="n">
        <x:f>A1949*PI()*(3-SQRT(5))</x:f>
        <x:v>4663.128555362772</x:v>
      </x:c>
      <x:c r="D1949" s="4" t="n">
        <x:f>IF('계산 과정'!$L$5,B1949*COS(C1949),"")</x:f>
        <x:v>78.3277288774101</x:v>
      </x:c>
      <x:c r="E1949" s="4" t="n">
        <x:f>IF('계산 과정'!$L$5,B1949*SIN(C1949),"")</x:f>
        <x:v>123.3559710749522</x:v>
      </x:c>
      <x:c r="F1949" s="4" t="n">
        <x:f>IF('계산 과정'!$L$7,'계산 과정'!$L$22+'계산 과정'!$C$49*D1949+'계산 과정'!$D$49*E1949,"")</x:f>
        <x:v>594.6139317558419</x:v>
      </x:c>
      <x:c r="G1949" s="4" t="n">
        <x:f>IF('계산 과정'!$L$7,IF(ABS(F1949)&gt;=1E-12*MAX(1,SQRT((D1949-'계산 과정'!$C$33)^2+(E1949-'계산 과정'!$D$33)^2+'계산 과정'!$E$33^2)),('계산 과정'!$L$23-'계산 과정'!$C$49*D1949-'계산 과정'!$D$49*E1949)/F1949,""),"")</x:f>
        <x:v>0.7658516626064303</x:v>
      </x:c>
      <x:c r="H1949" s="4" t="n">
        <x:f>IF(AND(ISNUMBER(G1949),G1949&gt;0),('계산 과정'!$D$56+'계산 과정'!$D$57*D1949+'계산 과정'!$D$58*E1949)/F1949,"")</x:f>
        <x:v>97.80358069417959</x:v>
      </x:c>
      <x:c r="I1949" s="4" t="n">
        <x:f>IF(AND(ISNUMBER(G1949),G1949&gt;0),('계산 과정'!$E$56+'계산 과정'!$E$57*D1949+'계산 과정'!$E$58*E1949)/F1949,"")</x:f>
        <x:v>217.82834661513508</x:v>
      </x:c>
      <x:c r="J1949" s="4" t="n">
        <x:f>IF('계산 과정'!$L$5,'계산 과정'!$D$6+'계산 과정'!$C$35*D1949+'계산 과정'!$D$35*E1949,"")</x:f>
        <x:v>594.6139317558419</x:v>
      </x:c>
      <x:c r="K1949" s="4" t="n">
        <x:f>IF(AND('계산 과정'!$L$6,J1949&gt;0),'계산 과정'!$D$10*('계산 과정'!$C$38*(D1949-'계산 과정'!$C$32)+'계산 과정'!$D$38*(E1949-'계산 과정'!$D$32)-'계산 과정'!$E$38*'계산 과정'!$E$32)/J1949,"")</x:f>
        <x:v>0.7451701386223213</x:v>
      </x:c>
      <x:c r="L1949" s="4" t="n">
        <x:f>IF(AND('계산 과정'!$L$6,J1949&gt;0),'계산 과정'!$D$10*('계산 과정'!$C$39*(D1949-'계산 과정'!$C$32)+'계산 과정'!$D$39*(E1949-'계산 과정'!$D$32)-'계산 과정'!$E$39*'계산 과정'!$E$32)/J1949,"")</x:f>
        <x:v>1.6596445456391244</x:v>
      </x:c>
      <x:c r="M1949" s="17" t="n">
        <x:f>IF('계산 과정'!$L$6,IF(J1949&lt;=0,0,IF(AND(ABS(K1949)&lt;='계산 과정'!$D$11/2,ABS(L1949)&lt;='계산 과정'!$D$12/2),1,0)),"")</x:f>
        <x:v>1</x:v>
      </x:c>
      <x:c r="N1949" s="17" t="n">
        <x:f>IF('계산 과정'!$C$78,IF(AND(ISNUMBER(H1949),ISNUMBER(I1949),ABS(H1949-'계산 과정'!$C$88)&lt;='계산 과정'!$D$23/2,ABS(I1949-'계산 과정'!$C$89)&lt;='계산 과정'!$D$24/2),1,0),"")</x:f>
        <x:v>1</x:v>
      </x:c>
      <x:c r="O1949" s="4" t="n">
        <x:f>IF('계산 과정'!$L$7,'계산 과정'!$C$49*('계산 과정'!$C$32-D1949)+'계산 과정'!$D$49*('계산 과정'!$D$32-E1949)+'계산 과정'!$E$49*'계산 과정'!$E$32,"")</x:f>
        <x:v>55.38606824415814</x:v>
      </x:c>
      <x:c r="P1949" s="4" t="n">
        <x:f>IF(AND('계산 과정'!$L$7,O1949&lt;&gt;0),('계산 과정'!$L$23-'계산 과정'!$C$49*D1949-'계산 과정'!$D$49*E1949)/O1949,"")</x:f>
        <x:v>8.222032772513872</x:v>
      </x:c>
      <x:c r="Q1949" s="4" t="str">
        <x:f>IF(AND(ISNUMBER(P1949),P1949&gt;1E-9,P1949&lt;1-1E-9),'계산 과정'!$C$47*(D1949-'계산 과정'!$C$50+P1949*('계산 과정'!$C$32-D1949))+'계산 과정'!$D$47*(E1949-'계산 과정'!$D$50+P1949*('계산 과정'!$D$32-E1949))+'계산 과정'!$E$47*(0-'계산 과정'!$E$50+P1949*('계산 과정'!$E$32-0)),"")</x:f>
      </x:c>
      <x:c r="R1949" s="4" t="str">
        <x:f>IF(AND(ISNUMBER(P1949),P1949&gt;1E-9,P1949&lt;1-1E-9),'계산 과정'!$C$48*(D1949-'계산 과정'!$C$50+P1949*('계산 과정'!$C$32-D1949))+'계산 과정'!$D$48*(E1949-'계산 과정'!$D$50+P1949*('계산 과정'!$D$32-E1949))+'계산 과정'!$E$48*(0-'계산 과정'!$E$50+P1949*('계산 과정'!$E$32-0)),"")</x:f>
      </x:c>
      <x:c r="S1949" s="17" t="n">
        <x:f>IF('계산 과정'!$C$78,IF(AND(ISNUMBER(Q1949),ISNUMBER(R1949),ABS(Q1949-'계산 과정'!$C$88)&lt;='계산 과정'!$D$23/2,ABS(R1949-'계산 과정'!$C$89)&lt;='계산 과정'!$D$24/2),1,0),"")</x:f>
        <x:v>0</x:v>
      </x:c>
      <x:c r="T1949" s="4"/>
      <x:c r="U1949" s="4"/>
      <x:c r="V1949" s="4"/>
      <x:c r="W1949" s="4"/>
      <x:c r="X1949" s="4"/>
      <x:c r="Y1949" s="4"/>
      <x:c r="Z1949" s="4"/>
    </x:row>
    <x:row r="1950" ht="23" customHeight="1">
      <x:c r="A1950" s="17" t="n">
        <x:f>ROW()-6</x:f>
        <x:v>1944</x:v>
      </x:c>
      <x:c r="B1950" s="4" t="n">
        <x:f>IF('계산 과정'!$L$5,'계산 과정'!$L$11*SQRT((A1950+0.5)/'계산 과정'!$L$30),"")</x:f>
        <x:v>146.16057963439562</x:v>
      </x:c>
      <x:c r="C1950" s="4" t="n">
        <x:f>A1950*PI()*(3-SQRT(5))</x:f>
        <x:v>4665.528518592501</x:v>
      </x:c>
      <x:c r="D1950" s="4" t="n">
        <x:f>IF('계산 과정'!$L$5,B1950*COS(C1950),"")</x:f>
        <x:v>-141.11848200445905</x:v>
      </x:c>
      <x:c r="E1950" s="4" t="n">
        <x:f>IF('계산 과정'!$L$5,B1950*SIN(C1950),"")</x:f>
        <x:v>-38.05902095193292</x:v>
      </x:c>
      <x:c r="F1950" s="4" t="n">
        <x:f>IF('계산 과정'!$L$7,'계산 과정'!$L$22+'계산 과정'!$C$49*D1950+'계산 과정'!$D$49*E1950,"")</x:f>
        <x:v>749.7858355761048</x:v>
      </x:c>
      <x:c r="G1950" s="4" t="n">
        <x:f>IF('계산 과정'!$L$7,IF(ABS(F1950)&gt;=1E-12*MAX(1,SQRT((D1950-'계산 과정'!$C$33)^2+(E1950-'계산 과정'!$D$33)^2+'계산 과정'!$E$33^2)),('계산 과정'!$L$23-'계산 과정'!$C$49*D1950-'계산 과정'!$D$49*E1950)/F1950,""),"")</x:f>
        <x:v>0.40039988778025254</x:v>
      </x:c>
      <x:c r="H1950" s="4" t="n">
        <x:f>IF(AND(ISNUMBER(G1950),G1950&gt;0),('계산 과정'!$D$56+'계산 과정'!$D$57*D1950+'계산 과정'!$D$58*E1950)/F1950,"")</x:f>
        <x:v>-139.740072942836</x:v>
      </x:c>
      <x:c r="I1950" s="4" t="n">
        <x:f>IF(AND(ISNUMBER(G1950),G1950&gt;0),('계산 과정'!$E$56+'계산 과정'!$E$57*D1950+'계산 과정'!$E$58*E1950)/F1950,"")</x:f>
        <x:v>-53.29784867011314</x:v>
      </x:c>
      <x:c r="J1950" s="4" t="n">
        <x:f>IF('계산 과정'!$L$5,'계산 과정'!$D$6+'계산 과정'!$C$35*D1950+'계산 과정'!$D$35*E1950,"")</x:f>
        <x:v>749.7858355761048</x:v>
      </x:c>
      <x:c r="K1950" s="4" t="n">
        <x:f>IF(AND('계산 과정'!$L$6,J1950&gt;0),'계산 과정'!$D$10*('계산 과정'!$C$38*(D1950-'계산 과정'!$C$32)+'계산 과정'!$D$38*(E1950-'계산 과정'!$D$32)-'계산 과정'!$E$38*'계산 과정'!$E$32)/J1950,"")</x:f>
        <x:v>-1.0646862700406536</x:v>
      </x:c>
      <x:c r="L1950" s="4" t="n">
        <x:f>IF(AND('계산 과정'!$L$6,J1950&gt;0),'계산 과정'!$D$10*('계산 과정'!$C$39*(D1950-'계산 과정'!$C$32)+'계산 과정'!$D$39*(E1950-'계산 과정'!$D$32)-'계산 과정'!$E$39*'계산 과정'!$E$32)/J1950,"")</x:f>
        <x:v>-0.4060788470103859</x:v>
      </x:c>
      <x:c r="M1950" s="17" t="n">
        <x:f>IF('계산 과정'!$L$6,IF(J1950&lt;=0,0,IF(AND(ABS(K1950)&lt;='계산 과정'!$D$11/2,ABS(L1950)&lt;='계산 과정'!$D$12/2),1,0)),"")</x:f>
        <x:v>1</x:v>
      </x:c>
      <x:c r="N1950" s="17" t="n">
        <x:f>IF('계산 과정'!$C$78,IF(AND(ISNUMBER(H1950),ISNUMBER(I1950),ABS(H1950-'계산 과정'!$C$88)&lt;='계산 과정'!$D$23/2,ABS(I1950-'계산 과정'!$C$89)&lt;='계산 과정'!$D$24/2),1,0),"")</x:f>
        <x:v>1</x:v>
      </x:c>
      <x:c r="O1950" s="4" t="n">
        <x:f>IF('계산 과정'!$L$7,'계산 과정'!$C$49*('계산 과정'!$C$32-D1950)+'계산 과정'!$D$49*('계산 과정'!$D$32-E1950)+'계산 과정'!$E$49*'계산 과정'!$E$32,"")</x:f>
        <x:v>-99.7858355761046</x:v>
      </x:c>
      <x:c r="P1950" s="4" t="n">
        <x:f>IF(AND('계산 과정'!$L$7,O1950&lt;&gt;0),('계산 과정'!$L$23-'계산 과정'!$C$49*D1950-'계산 과정'!$D$49*E1950)/O1950,"")</x:f>
        <x:v>-3.008584962892134</x:v>
      </x:c>
      <x:c r="Q1950" s="4" t="str">
        <x:f>IF(AND(ISNUMBER(P1950),P1950&gt;1E-9,P1950&lt;1-1E-9),'계산 과정'!$C$47*(D1950-'계산 과정'!$C$50+P1950*('계산 과정'!$C$32-D1950))+'계산 과정'!$D$47*(E1950-'계산 과정'!$D$50+P1950*('계산 과정'!$D$32-E1950))+'계산 과정'!$E$47*(0-'계산 과정'!$E$50+P1950*('계산 과정'!$E$32-0)),"")</x:f>
      </x:c>
      <x:c r="R1950" s="4" t="str">
        <x:f>IF(AND(ISNUMBER(P1950),P1950&gt;1E-9,P1950&lt;1-1E-9),'계산 과정'!$C$48*(D1950-'계산 과정'!$C$50+P1950*('계산 과정'!$C$32-D1950))+'계산 과정'!$D$48*(E1950-'계산 과정'!$D$50+P1950*('계산 과정'!$D$32-E1950))+'계산 과정'!$E$48*(0-'계산 과정'!$E$50+P1950*('계산 과정'!$E$32-0)),"")</x:f>
      </x:c>
      <x:c r="S1950" s="17" t="n">
        <x:f>IF('계산 과정'!$C$78,IF(AND(ISNUMBER(Q1950),ISNUMBER(R1950),ABS(Q1950-'계산 과정'!$C$88)&lt;='계산 과정'!$D$23/2,ABS(R1950-'계산 과정'!$C$89)&lt;='계산 과정'!$D$24/2),1,0),"")</x:f>
        <x:v>0</x:v>
      </x:c>
      <x:c r="T1950" s="4"/>
      <x:c r="U1950" s="4"/>
      <x:c r="V1950" s="4"/>
      <x:c r="W1950" s="4"/>
      <x:c r="X1950" s="4"/>
      <x:c r="Y1950" s="4"/>
      <x:c r="Z1950" s="4"/>
    </x:row>
    <x:row r="1951" ht="23" customHeight="1">
      <x:c r="A1951" s="17" t="n">
        <x:f>ROW()-6</x:f>
        <x:v>1945</x:v>
      </x:c>
      <x:c r="B1951" s="4" t="n">
        <x:f>IF('계산 과정'!$L$5,'계산 과정'!$L$11*SQRT((A1951+0.5)/'계산 과정'!$L$30),"")</x:f>
        <x:v>146.19815787891275</x:v>
      </x:c>
      <x:c r="C1951" s="4" t="n">
        <x:f>A1951*PI()*(3-SQRT(5))</x:f>
        <x:v>4667.9284818222295</x:v>
      </x:c>
      <x:c r="D1951" s="4" t="n">
        <x:f>IF('계산 과정'!$L$5,B1951*COS(C1951),"")</x:f>
        <x:v>129.79823888262956</x:v>
      </x:c>
      <x:c r="E1951" s="4" t="n">
        <x:f>IF('계산 과정'!$L$5,B1951*SIN(C1951),"")</x:f>
        <x:v>-67.27792022762989</x:v>
      </x:c>
      <x:c r="F1951" s="4" t="n">
        <x:f>IF('계산 과정'!$L$7,'계산 과정'!$L$22+'계산 과정'!$C$49*D1951+'계산 과정'!$D$49*E1951,"")</x:f>
        <x:v>558.2187851000213</x:v>
      </x:c>
      <x:c r="G1951" s="4" t="n">
        <x:f>IF('계산 과정'!$L$7,IF(ABS(F1951)&gt;=1E-12*MAX(1,SQRT((D1951-'계산 과정'!$C$33)^2+(E1951-'계산 과정'!$D$33)^2+'계산 과정'!$E$33^2)),('계산 과정'!$L$23-'계산 과정'!$C$49*D1951-'계산 과정'!$D$49*E1951)/F1951,""),"")</x:f>
        <x:v>0.8809829192900804</x:v>
      </x:c>
      <x:c r="H1951" s="4" t="n">
        <x:f>IF(AND(ISNUMBER(G1951),G1951&gt;0),('계산 과정'!$D$56+'계산 과정'!$D$57*D1951+'계산 과정'!$D$58*E1951)/F1951,"")</x:f>
        <x:v>172.63889753855221</x:v>
      </x:c>
      <x:c r="I1951" s="4" t="n">
        <x:f>IF(AND(ISNUMBER(G1951),G1951&gt;0),('계산 과정'!$E$56+'계산 과정'!$E$57*D1951+'계산 과정'!$E$58*E1951)/F1951,"")</x:f>
        <x:v>-126.54861879353243</x:v>
      </x:c>
      <x:c r="J1951" s="4" t="n">
        <x:f>IF('계산 과정'!$L$5,'계산 과정'!$D$6+'계산 과정'!$C$35*D1951+'계산 과정'!$D$35*E1951,"")</x:f>
        <x:v>558.2187851000213</x:v>
      </x:c>
      <x:c r="K1951" s="4" t="n">
        <x:f>IF(AND('계산 과정'!$L$6,J1951&gt;0),'계산 과정'!$D$10*('계산 과정'!$C$38*(D1951-'계산 과정'!$C$32)+'계산 과정'!$D$38*(E1951-'계산 과정'!$D$32)-'계산 과정'!$E$38*'계산 과정'!$E$32)/J1951,"")</x:f>
        <x:v>1.3153439812461127</x:v>
      </x:c>
      <x:c r="L1951" s="4" t="n">
        <x:f>IF(AND('계산 과정'!$L$6,J1951&gt;0),'계산 과정'!$D$10*('계산 과정'!$C$39*(D1951-'계산 과정'!$C$32)+'계산 과정'!$D$39*(E1951-'계산 과정'!$D$32)-'계산 과정'!$E$39*'계산 과정'!$E$32)/J1951,"")</x:f>
        <x:v>-0.964179952712628</x:v>
      </x:c>
      <x:c r="M1951" s="17" t="n">
        <x:f>IF('계산 과정'!$L$6,IF(J1951&lt;=0,0,IF(AND(ABS(K1951)&lt;='계산 과정'!$D$11/2,ABS(L1951)&lt;='계산 과정'!$D$12/2),1,0)),"")</x:f>
        <x:v>1</x:v>
      </x:c>
      <x:c r="N1951" s="17" t="n">
        <x:f>IF('계산 과정'!$C$78,IF(AND(ISNUMBER(H1951),ISNUMBER(I1951),ABS(H1951-'계산 과정'!$C$88)&lt;='계산 과정'!$D$23/2,ABS(I1951-'계산 과정'!$C$89)&lt;='계산 과정'!$D$24/2),1,0),"")</x:f>
        <x:v>1</x:v>
      </x:c>
      <x:c r="O1951" s="4" t="n">
        <x:f>IF('계산 과정'!$L$7,'계산 과정'!$C$49*('계산 과정'!$C$32-D1951)+'계산 과정'!$D$49*('계산 과정'!$D$32-E1951)+'계산 과정'!$E$49*'계산 과정'!$E$32,"")</x:f>
        <x:v>91.78121489997886</x:v>
      </x:c>
      <x:c r="P1951" s="4" t="n">
        <x:f>IF(AND('계산 과정'!$L$7,O1951&lt;&gt;0),('계산 과정'!$L$23-'계산 과정'!$C$49*D1951-'계산 과정'!$D$49*E1951)/O1951,"")</x:f>
        <x:v>5.358190294559852</x:v>
      </x:c>
      <x:c r="Q1951" s="4" t="str">
        <x:f>IF(AND(ISNUMBER(P1951),P1951&gt;1E-9,P1951&lt;1-1E-9),'계산 과정'!$C$47*(D1951-'계산 과정'!$C$50+P1951*('계산 과정'!$C$32-D1951))+'계산 과정'!$D$47*(E1951-'계산 과정'!$D$50+P1951*('계산 과정'!$D$32-E1951))+'계산 과정'!$E$47*(0-'계산 과정'!$E$50+P1951*('계산 과정'!$E$32-0)),"")</x:f>
      </x:c>
      <x:c r="R1951" s="4" t="str">
        <x:f>IF(AND(ISNUMBER(P1951),P1951&gt;1E-9,P1951&lt;1-1E-9),'계산 과정'!$C$48*(D1951-'계산 과정'!$C$50+P1951*('계산 과정'!$C$32-D1951))+'계산 과정'!$D$48*(E1951-'계산 과정'!$D$50+P1951*('계산 과정'!$D$32-E1951))+'계산 과정'!$E$48*(0-'계산 과정'!$E$50+P1951*('계산 과정'!$E$32-0)),"")</x:f>
      </x:c>
      <x:c r="S1951" s="17" t="n">
        <x:f>IF('계산 과정'!$C$78,IF(AND(ISNUMBER(Q1951),ISNUMBER(R1951),ABS(Q1951-'계산 과정'!$C$88)&lt;='계산 과정'!$D$23/2,ABS(R1951-'계산 과정'!$C$89)&lt;='계산 과정'!$D$24/2),1,0),"")</x:f>
        <x:v>0</x:v>
      </x:c>
      <x:c r="T1951" s="4"/>
      <x:c r="U1951" s="4"/>
      <x:c r="V1951" s="4"/>
      <x:c r="W1951" s="4"/>
      <x:c r="X1951" s="4"/>
      <x:c r="Y1951" s="4"/>
      <x:c r="Z1951" s="4"/>
    </x:row>
    <x:row r="1952" ht="23" customHeight="1">
      <x:c r="A1952" s="17" t="n">
        <x:f>ROW()-6</x:f>
        <x:v>1946</x:v>
      </x:c>
      <x:c r="B1952" s="4" t="n">
        <x:f>IF('계산 과정'!$L$5,'계산 과정'!$L$11*SQRT((A1952+0.5)/'계산 과정'!$L$30),"")</x:f>
        <x:v>146.23572646693592</x:v>
      </x:c>
      <x:c r="C1952" s="4" t="n">
        <x:f>A1952*PI()*(3-SQRT(5))</x:f>
        <x:v>4670.328445051959</x:v>
      </x:c>
      <x:c r="D1952" s="4" t="n">
        <x:f>IF('계산 과정'!$L$5,B1952*COS(C1952),"")</x:f>
        <x:v>-50.2765159031199</x:v>
      </x:c>
      <x:c r="E1952" s="4" t="n">
        <x:f>IF('계산 과정'!$L$5,B1952*SIN(C1952),"")</x:f>
        <x:v>137.32137358749304</x:v>
      </x:c>
      <x:c r="F1952" s="4" t="n">
        <x:f>IF('계산 과정'!$L$7,'계산 과정'!$L$22+'계산 과정'!$C$49*D1952+'계산 과정'!$D$49*E1952,"")</x:f>
        <x:v>685.5508653295294</x:v>
      </x:c>
      <x:c r="G1952" s="4" t="n">
        <x:f>IF('계산 과정'!$L$7,IF(ABS(F1952)&gt;=1E-12*MAX(1,SQRT((D1952-'계산 과정'!$C$33)^2+(E1952-'계산 과정'!$D$33)^2+'계산 과정'!$E$33^2)),('계산 과정'!$L$23-'계산 과정'!$C$49*D1952-'계산 과정'!$D$49*E1952)/F1952,""),"")</x:f>
        <x:v>0.531615016626502</x:v>
      </x:c>
      <x:c r="H1952" s="4" t="n">
        <x:f>IF(AND(ISNUMBER(G1952),G1952&gt;0),('계산 과정'!$D$56+'계산 과정'!$D$57*D1952+'계산 과정'!$D$58*E1952)/F1952,"")</x:f>
        <x:v>-54.45023919277379</x:v>
      </x:c>
      <x:c r="I1952" s="4" t="n">
        <x:f>IF(AND(ISNUMBER(G1952),G1952&gt;0),('계산 과정'!$E$56+'계산 과정'!$E$57*D1952+'계산 과정'!$E$58*E1952)/F1952,"")</x:f>
        <x:v>210.32347789038226</x:v>
      </x:c>
      <x:c r="J1952" s="4" t="n">
        <x:f>IF('계산 과정'!$L$5,'계산 과정'!$D$6+'계산 과정'!$C$35*D1952+'계산 과정'!$D$35*E1952,"")</x:f>
        <x:v>685.5508653295294</x:v>
      </x:c>
      <x:c r="K1952" s="4" t="n">
        <x:f>IF(AND('계산 과정'!$L$6,J1952&gt;0),'계산 과정'!$D$10*('계산 과정'!$C$38*(D1952-'계산 과정'!$C$32)+'계산 과정'!$D$38*(E1952-'계산 과정'!$D$32)-'계산 과정'!$E$38*'계산 과정'!$E$32)/J1952,"")</x:f>
        <x:v>-0.41485896527827537</x:v>
      </x:c>
      <x:c r="L1952" s="4" t="n">
        <x:f>IF(AND('계산 과정'!$L$6,J1952&gt;0),'계산 과정'!$D$10*('계산 과정'!$C$39*(D1952-'계산 과정'!$C$32)+'계산 과정'!$D$39*(E1952-'계산 과정'!$D$32)-'계산 과정'!$E$39*'계산 과정'!$E$32)/J1952,"")</x:f>
        <x:v>1.6024645934505313</x:v>
      </x:c>
      <x:c r="M1952" s="17" t="n">
        <x:f>IF('계산 과정'!$L$6,IF(J1952&lt;=0,0,IF(AND(ABS(K1952)&lt;='계산 과정'!$D$11/2,ABS(L1952)&lt;='계산 과정'!$D$12/2),1,0)),"")</x:f>
        <x:v>1</x:v>
      </x:c>
      <x:c r="N1952" s="17" t="n">
        <x:f>IF('계산 과정'!$C$78,IF(AND(ISNUMBER(H1952),ISNUMBER(I1952),ABS(H1952-'계산 과정'!$C$88)&lt;='계산 과정'!$D$23/2,ABS(I1952-'계산 과정'!$C$89)&lt;='계산 과정'!$D$24/2),1,0),"")</x:f>
        <x:v>1</x:v>
      </x:c>
      <x:c r="O1952" s="4" t="n">
        <x:f>IF('계산 과정'!$L$7,'계산 과정'!$C$49*('계산 과정'!$C$32-D1952)+'계산 과정'!$D$49*('계산 과정'!$D$32-E1952)+'계산 과정'!$E$49*'계산 과정'!$E$32,"")</x:f>
        <x:v>-35.550865329529245</x:v>
      </x:c>
      <x:c r="P1952" s="4" t="n">
        <x:f>IF(AND('계산 과정'!$L$7,O1952&lt;&gt;0),('계산 과정'!$L$23-'계산 과정'!$C$49*D1952-'계산 과정'!$D$49*E1952)/O1952,"")</x:f>
        <x:v>-10.25148421261499</x:v>
      </x:c>
      <x:c r="Q1952" s="4" t="str">
        <x:f>IF(AND(ISNUMBER(P1952),P1952&gt;1E-9,P1952&lt;1-1E-9),'계산 과정'!$C$47*(D1952-'계산 과정'!$C$50+P1952*('계산 과정'!$C$32-D1952))+'계산 과정'!$D$47*(E1952-'계산 과정'!$D$50+P1952*('계산 과정'!$D$32-E1952))+'계산 과정'!$E$47*(0-'계산 과정'!$E$50+P1952*('계산 과정'!$E$32-0)),"")</x:f>
      </x:c>
      <x:c r="R1952" s="4" t="str">
        <x:f>IF(AND(ISNUMBER(P1952),P1952&gt;1E-9,P1952&lt;1-1E-9),'계산 과정'!$C$48*(D1952-'계산 과정'!$C$50+P1952*('계산 과정'!$C$32-D1952))+'계산 과정'!$D$48*(E1952-'계산 과정'!$D$50+P1952*('계산 과정'!$D$32-E1952))+'계산 과정'!$E$48*(0-'계산 과정'!$E$50+P1952*('계산 과정'!$E$32-0)),"")</x:f>
      </x:c>
      <x:c r="S1952" s="17" t="n">
        <x:f>IF('계산 과정'!$C$78,IF(AND(ISNUMBER(Q1952),ISNUMBER(R1952),ABS(Q1952-'계산 과정'!$C$88)&lt;='계산 과정'!$D$23/2,ABS(R1952-'계산 과정'!$C$89)&lt;='계산 과정'!$D$24/2),1,0),"")</x:f>
        <x:v>0</x:v>
      </x:c>
      <x:c r="T1952" s="4"/>
      <x:c r="U1952" s="4"/>
      <x:c r="V1952" s="4"/>
      <x:c r="W1952" s="4"/>
      <x:c r="X1952" s="4"/>
      <x:c r="Y1952" s="4"/>
      <x:c r="Z1952" s="4"/>
    </x:row>
    <x:row r="1953" ht="23" customHeight="1">
      <x:c r="A1953" s="17" t="n">
        <x:f>ROW()-6</x:f>
        <x:v>1947</x:v>
      </x:c>
      <x:c r="B1953" s="4" t="n">
        <x:f>IF('계산 과정'!$L$5,'계산 과정'!$L$11*SQRT((A1953+0.5)/'계산 과정'!$L$30),"")</x:f>
        <x:v>146.27328540590554</x:v>
      </x:c>
      <x:c r="C1953" s="4" t="n">
        <x:f>A1953*PI()*(3-SQRT(5))</x:f>
        <x:v>4672.728408281688</x:v>
      </x:c>
      <x:c r="D1953" s="4" t="n">
        <x:f>IF('계산 과정'!$L$5,B1953*COS(C1953),"")</x:f>
        <x:v>-55.70121946222121</x:v>
      </x:c>
      <x:c r="E1953" s="4" t="n">
        <x:f>IF('계산 과정'!$L$5,B1953*SIN(C1953),"")</x:f>
        <x:v>-135.25253481491194</x:v>
      </x:c>
      <x:c r="F1953" s="4" t="n">
        <x:f>IF('계산 과정'!$L$7,'계산 과정'!$L$22+'계산 과정'!$C$49*D1953+'계산 과정'!$D$49*E1953,"")</x:f>
        <x:v>689.3867100020967</x:v>
      </x:c>
      <x:c r="G1953" s="4" t="n">
        <x:f>IF('계산 과정'!$L$7,IF(ABS(F1953)&gt;=1E-12*MAX(1,SQRT((D1953-'계산 과정'!$C$33)^2+(E1953-'계산 과정'!$D$33)^2+'계산 과정'!$E$33^2)),('계산 과정'!$L$23-'계산 과정'!$C$49*D1953-'계산 과정'!$D$49*E1953)/F1953,""),"")</x:f>
        <x:v>0.5230928951282025</x:v>
      </x:c>
      <x:c r="H1953" s="4" t="n">
        <x:f>IF(AND(ISNUMBER(G1953),G1953&gt;0),('계산 과정'!$D$56+'계산 과정'!$D$57*D1953+'계산 과정'!$D$58*E1953)/F1953,"")</x:f>
        <x:v>-59.989618166668535</x:v>
      </x:c>
      <x:c r="I1953" s="4" t="n">
        <x:f>IF(AND(ISNUMBER(G1953),G1953&gt;0),('계산 과정'!$E$56+'계산 과정'!$E$57*D1953+'계산 과정'!$E$58*E1953)/F1953,"")</x:f>
        <x:v>-206.00217482467224</x:v>
      </x:c>
      <x:c r="J1953" s="4" t="n">
        <x:f>IF('계산 과정'!$L$5,'계산 과정'!$D$6+'계산 과정'!$C$35*D1953+'계산 과정'!$D$35*E1953,"")</x:f>
        <x:v>689.3867100020967</x:v>
      </x:c>
      <x:c r="K1953" s="4" t="n">
        <x:f>IF(AND('계산 과정'!$L$6,J1953&gt;0),'계산 과정'!$D$10*('계산 과정'!$C$38*(D1953-'계산 과정'!$C$32)+'계산 과정'!$D$38*(E1953-'계산 과정'!$D$32)-'계산 과정'!$E$38*'계산 과정'!$E$32)/J1953,"")</x:f>
        <x:v>-0.4570637574603302</x:v>
      </x:c>
      <x:c r="L1953" s="4" t="n">
        <x:f>IF(AND('계산 과정'!$L$6,J1953&gt;0),'계산 과정'!$D$10*('계산 과정'!$C$39*(D1953-'계산 과정'!$C$32)+'계산 과정'!$D$39*(E1953-'계산 과정'!$D$32)-'계산 과정'!$E$39*'계산 과정'!$E$32)/J1953,"")</x:f>
        <x:v>-1.5695403796165501</x:v>
      </x:c>
      <x:c r="M1953" s="17" t="n">
        <x:f>IF('계산 과정'!$L$6,IF(J1953&lt;=0,0,IF(AND(ABS(K1953)&lt;='계산 과정'!$D$11/2,ABS(L1953)&lt;='계산 과정'!$D$12/2),1,0)),"")</x:f>
        <x:v>1</x:v>
      </x:c>
      <x:c r="N1953" s="17" t="n">
        <x:f>IF('계산 과정'!$C$78,IF(AND(ISNUMBER(H1953),ISNUMBER(I1953),ABS(H1953-'계산 과정'!$C$88)&lt;='계산 과정'!$D$23/2,ABS(I1953-'계산 과정'!$C$89)&lt;='계산 과정'!$D$24/2),1,0),"")</x:f>
        <x:v>1</x:v>
      </x:c>
      <x:c r="O1953" s="4" t="n">
        <x:f>IF('계산 과정'!$L$7,'계산 과정'!$C$49*('계산 과정'!$C$32-D1953)+'계산 과정'!$D$49*('계산 과정'!$D$32-E1953)+'계산 과정'!$E$49*'계산 과정'!$E$32,"")</x:f>
        <x:v>-39.38671000209655</x:v>
      </x:c>
      <x:c r="P1953" s="4" t="n">
        <x:f>IF(AND('계산 과정'!$L$7,O1953&lt;&gt;0),('계산 과정'!$L$23-'계산 과정'!$C$49*D1953-'계산 과정'!$D$49*E1953)/O1953,"")</x:f>
        <x:v>-9.155709882310756</x:v>
      </x:c>
      <x:c r="Q1953" s="4" t="str">
        <x:f>IF(AND(ISNUMBER(P1953),P1953&gt;1E-9,P1953&lt;1-1E-9),'계산 과정'!$C$47*(D1953-'계산 과정'!$C$50+P1953*('계산 과정'!$C$32-D1953))+'계산 과정'!$D$47*(E1953-'계산 과정'!$D$50+P1953*('계산 과정'!$D$32-E1953))+'계산 과정'!$E$47*(0-'계산 과정'!$E$50+P1953*('계산 과정'!$E$32-0)),"")</x:f>
      </x:c>
      <x:c r="R1953" s="4" t="str">
        <x:f>IF(AND(ISNUMBER(P1953),P1953&gt;1E-9,P1953&lt;1-1E-9),'계산 과정'!$C$48*(D1953-'계산 과정'!$C$50+P1953*('계산 과정'!$C$32-D1953))+'계산 과정'!$D$48*(E1953-'계산 과정'!$D$50+P1953*('계산 과정'!$D$32-E1953))+'계산 과정'!$E$48*(0-'계산 과정'!$E$50+P1953*('계산 과정'!$E$32-0)),"")</x:f>
      </x:c>
      <x:c r="S1953" s="17" t="n">
        <x:f>IF('계산 과정'!$C$78,IF(AND(ISNUMBER(Q1953),ISNUMBER(R1953),ABS(Q1953-'계산 과정'!$C$88)&lt;='계산 과정'!$D$23/2,ABS(R1953-'계산 과정'!$C$89)&lt;='계산 과정'!$D$24/2),1,0),"")</x:f>
        <x:v>0</x:v>
      </x:c>
      <x:c r="T1953" s="4"/>
      <x:c r="U1953" s="4"/>
      <x:c r="V1953" s="4"/>
      <x:c r="W1953" s="4"/>
      <x:c r="X1953" s="4"/>
      <x:c r="Y1953" s="4"/>
      <x:c r="Z1953" s="4"/>
    </x:row>
    <x:row r="1954" ht="23" customHeight="1">
      <x:c r="A1954" s="17" t="n">
        <x:f>ROW()-6</x:f>
        <x:v>1948</x:v>
      </x:c>
      <x:c r="B1954" s="4" t="n">
        <x:f>IF('계산 과정'!$L$5,'계산 과정'!$L$11*SQRT((A1954+0.5)/'계산 과정'!$L$30),"")</x:f>
        <x:v>146.31083470325257</x:v>
      </x:c>
      <x:c r="C1954" s="4" t="n">
        <x:f>A1954*PI()*(3-SQRT(5))</x:f>
        <x:v>4675.128371511416</x:v>
      </x:c>
      <x:c r="D1954" s="4" t="n">
        <x:f>IF('계산 과정'!$L$5,B1954*COS(C1954),"")</x:f>
        <x:v>132.46811693846584</x:v>
      </x:c>
      <x:c r="E1954" s="4" t="n">
        <x:f>IF('계산 과정'!$L$5,B1954*SIN(C1954),"")</x:f>
        <x:v>62.12131957983054</x:v>
      </x:c>
      <x:c r="F1954" s="4" t="n">
        <x:f>IF('계산 과정'!$L$7,'계산 과정'!$L$22+'계산 과정'!$C$49*D1954+'계산 과정'!$D$49*E1954,"")</x:f>
        <x:v>556.3308962217983</x:v>
      </x:c>
      <x:c r="G1954" s="4" t="n">
        <x:f>IF('계산 과정'!$L$7,IF(ABS(F1954)&gt;=1E-12*MAX(1,SQRT((D1954-'계산 과정'!$C$33)^2+(E1954-'계산 과정'!$D$33)^2+'계산 과정'!$E$33^2)),('계산 과정'!$L$23-'계산 과정'!$C$49*D1954-'계산 과정'!$D$49*E1954)/F1954,""),"")</x:f>
        <x:v>0.8873659671444627</x:v>
      </x:c>
      <x:c r="H1954" s="4" t="n">
        <x:f>IF(AND(ISNUMBER(G1954),G1954&gt;0),('계산 과정'!$D$56+'계산 과정'!$D$57*D1954+'계산 과정'!$D$58*E1954)/F1954,"")</x:f>
        <x:v>176.7878786439007</x:v>
      </x:c>
      <x:c r="I1954" s="4" t="n">
        <x:f>IF(AND(ISNUMBER(G1954),G1954&gt;0),('계산 과정'!$E$56+'계산 과정'!$E$57*D1954+'계산 과정'!$E$58*E1954)/F1954,"")</x:f>
        <x:v>117.24566440907711</x:v>
      </x:c>
      <x:c r="J1954" s="4" t="n">
        <x:f>IF('계산 과정'!$L$5,'계산 과정'!$D$6+'계산 과정'!$C$35*D1954+'계산 과정'!$D$35*E1954,"")</x:f>
        <x:v>556.3308962217983</x:v>
      </x:c>
      <x:c r="K1954" s="4" t="n">
        <x:f>IF(AND('계산 과정'!$L$6,J1954&gt;0),'계산 과정'!$D$10*('계산 과정'!$C$38*(D1954-'계산 과정'!$C$32)+'계산 과정'!$D$38*(E1954-'계산 과정'!$D$32)-'계산 과정'!$E$38*'계산 과정'!$E$32)/J1954,"")</x:f>
        <x:v>1.3469552658582922</x:v>
      </x:c>
      <x:c r="L1954" s="4" t="n">
        <x:f>IF(AND('계산 과정'!$L$6,J1954&gt;0),'계산 과정'!$D$10*('계산 과정'!$C$39*(D1954-'계산 과정'!$C$32)+'계산 과정'!$D$39*(E1954-'계산 과정'!$D$32)-'계산 과정'!$E$39*'계산 과정'!$E$32)/J1954,"")</x:f>
        <x:v>0.8933003002596351</x:v>
      </x:c>
      <x:c r="M1954" s="17" t="n">
        <x:f>IF('계산 과정'!$L$6,IF(J1954&lt;=0,0,IF(AND(ABS(K1954)&lt;='계산 과정'!$D$11/2,ABS(L1954)&lt;='계산 과정'!$D$12/2),1,0)),"")</x:f>
        <x:v>1</x:v>
      </x:c>
      <x:c r="N1954" s="17" t="n">
        <x:f>IF('계산 과정'!$C$78,IF(AND(ISNUMBER(H1954),ISNUMBER(I1954),ABS(H1954-'계산 과정'!$C$88)&lt;='계산 과정'!$D$23/2,ABS(I1954-'계산 과정'!$C$89)&lt;='계산 과정'!$D$24/2),1,0),"")</x:f>
        <x:v>1</x:v>
      </x:c>
      <x:c r="O1954" s="4" t="n">
        <x:f>IF('계산 과정'!$L$7,'계산 과정'!$C$49*('계산 과정'!$C$32-D1954)+'계산 과정'!$D$49*('계산 과정'!$D$32-E1954)+'계산 과정'!$E$49*'계산 과정'!$E$32,"")</x:f>
        <x:v>93.66910377820187</x:v>
      </x:c>
      <x:c r="P1954" s="4" t="n">
        <x:f>IF(AND('계산 과정'!$L$7,O1954&lt;&gt;0),('계산 과정'!$L$23-'계산 과정'!$C$49*D1954-'계산 과정'!$D$49*E1954)/O1954,"")</x:f>
        <x:v>5.2703515232424545</x:v>
      </x:c>
      <x:c r="Q1954" s="4" t="str">
        <x:f>IF(AND(ISNUMBER(P1954),P1954&gt;1E-9,P1954&lt;1-1E-9),'계산 과정'!$C$47*(D1954-'계산 과정'!$C$50+P1954*('계산 과정'!$C$32-D1954))+'계산 과정'!$D$47*(E1954-'계산 과정'!$D$50+P1954*('계산 과정'!$D$32-E1954))+'계산 과정'!$E$47*(0-'계산 과정'!$E$50+P1954*('계산 과정'!$E$32-0)),"")</x:f>
      </x:c>
      <x:c r="R1954" s="4" t="str">
        <x:f>IF(AND(ISNUMBER(P1954),P1954&gt;1E-9,P1954&lt;1-1E-9),'계산 과정'!$C$48*(D1954-'계산 과정'!$C$50+P1954*('계산 과정'!$C$32-D1954))+'계산 과정'!$D$48*(E1954-'계산 과정'!$D$50+P1954*('계산 과정'!$D$32-E1954))+'계산 과정'!$E$48*(0-'계산 과정'!$E$50+P1954*('계산 과정'!$E$32-0)),"")</x:f>
      </x:c>
      <x:c r="S1954" s="17" t="n">
        <x:f>IF('계산 과정'!$C$78,IF(AND(ISNUMBER(Q1954),ISNUMBER(R1954),ABS(Q1954-'계산 과정'!$C$88)&lt;='계산 과정'!$D$23/2,ABS(R1954-'계산 과정'!$C$89)&lt;='계산 과정'!$D$24/2),1,0),"")</x:f>
        <x:v>0</x:v>
      </x:c>
      <x:c r="T1954" s="4"/>
      <x:c r="U1954" s="4"/>
      <x:c r="V1954" s="4"/>
      <x:c r="W1954" s="4"/>
      <x:c r="X1954" s="4"/>
      <x:c r="Y1954" s="4"/>
      <x:c r="Z1954" s="4"/>
    </x:row>
    <x:row r="1955" ht="23" customHeight="1">
      <x:c r="A1955" s="17" t="n">
        <x:f>ROW()-6</x:f>
        <x:v>1949</x:v>
      </x:c>
      <x:c r="B1955" s="4" t="n">
        <x:f>IF('계산 과정'!$L$5,'계산 과정'!$L$11*SQRT((A1955+0.5)/'계산 과정'!$L$30),"")</x:f>
        <x:v>146.34837436639842</x:v>
      </x:c>
      <x:c r="C1955" s="4" t="n">
        <x:f>A1955*PI()*(3-SQRT(5))</x:f>
        <x:v>4677.528334741144</x:v>
      </x:c>
      <x:c r="D1955" s="4" t="n">
        <x:f>IF('계산 과정'!$L$5,B1955*COS(C1955),"")</x:f>
        <x:v>-139.67604336167827</x:v>
      </x:c>
      <x:c r="E1955" s="4" t="n">
        <x:f>IF('계산 과정'!$L$5,B1955*SIN(C1955),"")</x:f>
        <x:v>43.68580536643537</x:v>
      </x:c>
      <x:c r="F1955" s="4" t="n">
        <x:f>IF('계산 과정'!$L$7,'계산 과정'!$L$22+'계산 과정'!$C$49*D1955+'계산 과정'!$D$49*E1955,"")</x:f>
        <x:v>748.765877430349</x:v>
      </x:c>
      <x:c r="G1955" s="4" t="n">
        <x:f>IF('계산 과정'!$L$7,IF(ABS(F1955)&gt;=1E-12*MAX(1,SQRT((D1955-'계산 과정'!$C$33)^2+(E1955-'계산 과정'!$D$33)^2+'계산 과정'!$E$33^2)),('계산 과정'!$L$23-'계산 과정'!$C$49*D1955-'계산 과정'!$D$49*E1955)/F1955,""),"")</x:f>
        <x:v>0.4023074924346725</x:v>
      </x:c>
      <x:c r="H1955" s="4" t="n">
        <x:f>IF(AND(ISNUMBER(G1955),G1955&gt;0),('계산 과정'!$D$56+'계산 과정'!$D$57*D1955+'계산 과정'!$D$58*E1955)/F1955,"")</x:f>
        <x:v>-138.500129917463</x:v>
      </x:c>
      <x:c r="I1955" s="4" t="n">
        <x:f>IF(AND(ISNUMBER(G1955),G1955&gt;0),('계산 과정'!$E$56+'계산 과정'!$E$57*D1955+'계산 과정'!$E$58*E1955)/F1955,"")</x:f>
        <x:v>61.26093217839514</x:v>
      </x:c>
      <x:c r="J1955" s="4" t="n">
        <x:f>IF('계산 과정'!$L$5,'계산 과정'!$D$6+'계산 과정'!$C$35*D1955+'계산 과정'!$D$35*E1955,"")</x:f>
        <x:v>748.765877430349</x:v>
      </x:c>
      <x:c r="K1955" s="4" t="n">
        <x:f>IF(AND('계산 과정'!$L$6,J1955&gt;0),'계산 과정'!$D$10*('계산 과정'!$C$38*(D1955-'계산 과정'!$C$32)+'계산 과정'!$D$38*(E1955-'계산 과정'!$D$32)-'계산 과정'!$E$38*'계산 과정'!$E$32)/J1955,"")</x:f>
        <x:v>-1.0552390850854312</x:v>
      </x:c>
      <x:c r="L1955" s="4" t="n">
        <x:f>IF(AND('계산 과정'!$L$6,J1955&gt;0),'계산 과정'!$D$10*('계산 과정'!$C$39*(D1955-'계산 과정'!$C$32)+'계산 과정'!$D$39*(E1955-'계산 과정'!$D$32)-'계산 과정'!$E$39*'계산 과정'!$E$32)/J1955,"")</x:f>
        <x:v>0.46674995945443915</x:v>
      </x:c>
      <x:c r="M1955" s="17" t="n">
        <x:f>IF('계산 과정'!$L$6,IF(J1955&lt;=0,0,IF(AND(ABS(K1955)&lt;='계산 과정'!$D$11/2,ABS(L1955)&lt;='계산 과정'!$D$12/2),1,0)),"")</x:f>
        <x:v>1</x:v>
      </x:c>
      <x:c r="N1955" s="17" t="n">
        <x:f>IF('계산 과정'!$C$78,IF(AND(ISNUMBER(H1955),ISNUMBER(I1955),ABS(H1955-'계산 과정'!$C$88)&lt;='계산 과정'!$D$23/2,ABS(I1955-'계산 과정'!$C$89)&lt;='계산 과정'!$D$24/2),1,0),"")</x:f>
        <x:v>1</x:v>
      </x:c>
      <x:c r="O1955" s="4" t="n">
        <x:f>IF('계산 과정'!$L$7,'계산 과정'!$C$49*('계산 과정'!$C$32-D1955)+'계산 과정'!$D$49*('계산 과정'!$D$32-E1955)+'계산 과정'!$E$49*'계산 과정'!$E$32,"")</x:f>
        <x:v>-98.76587743034884</x:v>
      </x:c>
      <x:c r="P1955" s="4" t="n">
        <x:f>IF(AND('계산 과정'!$L$7,O1955&lt;&gt;0),('계산 과정'!$L$23-'계산 과정'!$C$49*D1955-'계산 과정'!$D$49*E1955)/O1955,"")</x:f>
        <x:v>-3.049981738704097</x:v>
      </x:c>
      <x:c r="Q1955" s="4" t="str">
        <x:f>IF(AND(ISNUMBER(P1955),P1955&gt;1E-9,P1955&lt;1-1E-9),'계산 과정'!$C$47*(D1955-'계산 과정'!$C$50+P1955*('계산 과정'!$C$32-D1955))+'계산 과정'!$D$47*(E1955-'계산 과정'!$D$50+P1955*('계산 과정'!$D$32-E1955))+'계산 과정'!$E$47*(0-'계산 과정'!$E$50+P1955*('계산 과정'!$E$32-0)),"")</x:f>
      </x:c>
      <x:c r="R1955" s="4" t="str">
        <x:f>IF(AND(ISNUMBER(P1955),P1955&gt;1E-9,P1955&lt;1-1E-9),'계산 과정'!$C$48*(D1955-'계산 과정'!$C$50+P1955*('계산 과정'!$C$32-D1955))+'계산 과정'!$D$48*(E1955-'계산 과정'!$D$50+P1955*('계산 과정'!$D$32-E1955))+'계산 과정'!$E$48*(0-'계산 과정'!$E$50+P1955*('계산 과정'!$E$32-0)),"")</x:f>
      </x:c>
      <x:c r="S1955" s="17" t="n">
        <x:f>IF('계산 과정'!$C$78,IF(AND(ISNUMBER(Q1955),ISNUMBER(R1955),ABS(Q1955-'계산 과정'!$C$88)&lt;='계산 과정'!$D$23/2,ABS(R1955-'계산 과정'!$C$89)&lt;='계산 과정'!$D$24/2),1,0),"")</x:f>
        <x:v>0</x:v>
      </x:c>
      <x:c r="T1955" s="4"/>
      <x:c r="U1955" s="4"/>
      <x:c r="V1955" s="4"/>
      <x:c r="W1955" s="4"/>
      <x:c r="X1955" s="4"/>
      <x:c r="Y1955" s="4"/>
      <x:c r="Z1955" s="4"/>
    </x:row>
    <x:row r="1956" ht="23" customHeight="1">
      <x:c r="A1956" s="17" t="n">
        <x:f>ROW()-6</x:f>
        <x:v>1950</x:v>
      </x:c>
      <x:c r="B1956" s="4" t="n">
        <x:f>IF('계산 과정'!$L$5,'계산 과정'!$L$11*SQRT((A1956+0.5)/'계산 과정'!$L$30),"")</x:f>
        <x:v>146.38590440275493</x:v>
      </x:c>
      <x:c r="C1956" s="4" t="n">
        <x:f>A1956*PI()*(3-SQRT(5))</x:f>
        <x:v>4679.928297970873</x:v>
      </x:c>
      <x:c r="D1956" s="4" t="n">
        <x:f>IF('계산 과정'!$L$5,B1956*COS(C1956),"")</x:f>
        <x:v>73.50227418739443</x:v>
      </x:c>
      <x:c r="E1956" s="4" t="n">
        <x:f>IF('계산 과정'!$L$5,B1956*SIN(C1956),"")</x:f>
        <x:v>-126.59482097263536</x:v>
      </x:c>
      <x:c r="F1956" s="4" t="n">
        <x:f>IF('계산 과정'!$L$7,'계산 과정'!$L$22+'계산 과정'!$C$49*D1956+'계산 과정'!$D$49*E1956,"")</x:f>
        <x:v>598.0260434894604</x:v>
      </x:c>
      <x:c r="G1956" s="4" t="n">
        <x:f>IF('계산 과정'!$L$7,IF(ABS(F1956)&gt;=1E-12*MAX(1,SQRT((D1956-'계산 과정'!$C$33)^2+(E1956-'계산 과정'!$D$33)^2+'계산 과정'!$E$33^2)),('계산 과정'!$L$23-'계산 과정'!$C$49*D1956-'계산 과정'!$D$49*E1956)/F1956,""),"")</x:f>
        <x:v>0.7557763770174418</x:v>
      </x:c>
      <x:c r="H1956" s="4" t="n">
        <x:f>IF(AND(ISNUMBER(G1956),G1956&gt;0),('계산 과정'!$D$56+'계산 과정'!$D$57*D1956+'계산 과정'!$D$58*E1956)/F1956,"")</x:f>
        <x:v>91.2546450613371</x:v>
      </x:c>
      <x:c r="I1956" s="4" t="n">
        <x:f>IF(AND(ISNUMBER(G1956),G1956&gt;0),('계산 과정'!$E$56+'계산 과정'!$E$57*D1956+'계산 과정'!$E$58*E1956)/F1956,"")</x:f>
        <x:v>-222.2721961165054</x:v>
      </x:c>
      <x:c r="J1956" s="4" t="n">
        <x:f>IF('계산 과정'!$L$5,'계산 과정'!$D$6+'계산 과정'!$C$35*D1956+'계산 과정'!$D$35*E1956,"")</x:f>
        <x:v>598.0260434894604</x:v>
      </x:c>
      <x:c r="K1956" s="4" t="n">
        <x:f>IF(AND('계산 과정'!$L$6,J1956&gt;0),'계산 과정'!$D$10*('계산 과정'!$C$38*(D1956-'계산 과정'!$C$32)+'계산 과정'!$D$38*(E1956-'계산 과정'!$D$32)-'계산 과정'!$E$38*'계산 과정'!$E$32)/J1956,"")</x:f>
        <x:v>0.6952734861816169</x:v>
      </x:c>
      <x:c r="L1956" s="4" t="n">
        <x:f>IF(AND('계산 과정'!$L$6,J1956&gt;0),'계산 과정'!$D$10*('계산 과정'!$C$39*(D1956-'계산 과정'!$C$32)+'계산 과정'!$D$39*(E1956-'계산 과정'!$D$32)-'계산 과정'!$E$39*'계산 과정'!$E$32)/J1956,"")</x:f>
        <x:v>-1.6935024466019457</x:v>
      </x:c>
      <x:c r="M1956" s="17" t="n">
        <x:f>IF('계산 과정'!$L$6,IF(J1956&lt;=0,0,IF(AND(ABS(K1956)&lt;='계산 과정'!$D$11/2,ABS(L1956)&lt;='계산 과정'!$D$12/2),1,0)),"")</x:f>
        <x:v>1</x:v>
      </x:c>
      <x:c r="N1956" s="17" t="n">
        <x:f>IF('계산 과정'!$C$78,IF(AND(ISNUMBER(H1956),ISNUMBER(I1956),ABS(H1956-'계산 과정'!$C$88)&lt;='계산 과정'!$D$23/2,ABS(I1956-'계산 과정'!$C$89)&lt;='계산 과정'!$D$24/2),1,0),"")</x:f>
        <x:v>1</x:v>
      </x:c>
      <x:c r="O1956" s="4" t="n">
        <x:f>IF('계산 과정'!$L$7,'계산 과정'!$C$49*('계산 과정'!$C$32-D1956)+'계산 과정'!$D$49*('계산 과정'!$D$32-E1956)+'계산 과정'!$E$49*'계산 과정'!$E$32,"")</x:f>
        <x:v>51.973956510539665</x:v>
      </x:c>
      <x:c r="P1956" s="4" t="n">
        <x:f>IF(AND('계산 과정'!$L$7,O1956&lt;&gt;0),('계산 과정'!$L$23-'계산 과정'!$C$49*D1956-'계산 과정'!$D$49*E1956)/O1956,"")</x:f>
        <x:v>8.696162209988476</x:v>
      </x:c>
      <x:c r="Q1956" s="4" t="str">
        <x:f>IF(AND(ISNUMBER(P1956),P1956&gt;1E-9,P1956&lt;1-1E-9),'계산 과정'!$C$47*(D1956-'계산 과정'!$C$50+P1956*('계산 과정'!$C$32-D1956))+'계산 과정'!$D$47*(E1956-'계산 과정'!$D$50+P1956*('계산 과정'!$D$32-E1956))+'계산 과정'!$E$47*(0-'계산 과정'!$E$50+P1956*('계산 과정'!$E$32-0)),"")</x:f>
      </x:c>
      <x:c r="R1956" s="4" t="str">
        <x:f>IF(AND(ISNUMBER(P1956),P1956&gt;1E-9,P1956&lt;1-1E-9),'계산 과정'!$C$48*(D1956-'계산 과정'!$C$50+P1956*('계산 과정'!$C$32-D1956))+'계산 과정'!$D$48*(E1956-'계산 과정'!$D$50+P1956*('계산 과정'!$D$32-E1956))+'계산 과정'!$E$48*(0-'계산 과정'!$E$50+P1956*('계산 과정'!$E$32-0)),"")</x:f>
      </x:c>
      <x:c r="S1956" s="17" t="n">
        <x:f>IF('계산 과정'!$C$78,IF(AND(ISNUMBER(Q1956),ISNUMBER(R1956),ABS(Q1956-'계산 과정'!$C$88)&lt;='계산 과정'!$D$23/2,ABS(R1956-'계산 과정'!$C$89)&lt;='계산 과정'!$D$24/2),1,0),"")</x:f>
        <x:v>0</x:v>
      </x:c>
      <x:c r="T1956" s="4"/>
      <x:c r="U1956" s="4"/>
      <x:c r="V1956" s="4"/>
      <x:c r="W1956" s="4"/>
      <x:c r="X1956" s="4"/>
      <x:c r="Y1956" s="4"/>
      <x:c r="Z1956" s="4"/>
    </x:row>
    <x:row r="1957" ht="23" customHeight="1">
      <x:c r="A1957" s="17" t="n">
        <x:f>ROW()-6</x:f>
        <x:v>1951</x:v>
      </x:c>
      <x:c r="B1957" s="4" t="n">
        <x:f>IF('계산 과정'!$L$5,'계산 과정'!$L$11*SQRT((A1957+0.5)/'계산 과정'!$L$30),"")</x:f>
        <x:v>146.42342481972446</x:v>
      </x:c>
      <x:c r="C1957" s="4" t="n">
        <x:f>A1957*PI()*(3-SQRT(5))</x:f>
        <x:v>4682.328261200601</x:v>
      </x:c>
      <x:c r="D1957" s="4" t="n">
        <x:f>IF('계산 과정'!$L$5,B1957*COS(C1957),"")</x:f>
        <x:v>31.32330988996846</x:v>
      </x:c>
      <x:c r="E1957" s="4" t="n">
        <x:f>IF('계산 과정'!$L$5,B1957*SIN(C1957),"")</x:f>
        <x:v>143.03380577148363</x:v>
      </x:c>
      <x:c r="F1957" s="4" t="n">
        <x:f>IF('계산 과정'!$L$7,'계산 과정'!$L$22+'계산 과정'!$C$49*D1957+'계산 과정'!$D$49*E1957,"")</x:f>
        <x:v>627.8510751675957</x:v>
      </x:c>
      <x:c r="G1957" s="4" t="n">
        <x:f>IF('계산 과정'!$L$7,IF(ABS(F1957)&gt;=1E-12*MAX(1,SQRT((D1957-'계산 과정'!$C$33)^2+(E1957-'계산 과정'!$D$33)^2+'계산 과정'!$E$33^2)),('계산 과정'!$L$23-'계산 과정'!$C$49*D1957-'계산 과정'!$D$49*E1957)/F1957,""),"")</x:f>
        <x:v>0.6723711108079538</x:v>
      </x:c>
      <x:c r="H1957" s="4" t="n">
        <x:f>IF(AND(ISNUMBER(G1957),G1957&gt;0),('계산 과정'!$D$56+'계산 과정'!$D$57*D1957+'계산 과정'!$D$58*E1957)/F1957,"")</x:f>
        <x:v>37.041222025169816</x:v>
      </x:c>
      <x:c r="I1957" s="4" t="n">
        <x:f>IF(AND(ISNUMBER(G1957),G1957&gt;0),('계산 과정'!$E$56+'계산 과정'!$E$57*D1957+'계산 과정'!$E$58*E1957)/F1957,"")</x:f>
        <x:v>239.20560464114516</x:v>
      </x:c>
      <x:c r="J1957" s="4" t="n">
        <x:f>IF('계산 과정'!$L$5,'계산 과정'!$D$6+'계산 과정'!$C$35*D1957+'계산 과정'!$D$35*E1957,"")</x:f>
        <x:v>627.8510751675957</x:v>
      </x:c>
      <x:c r="K1957" s="4" t="n">
        <x:f>IF(AND('계산 과정'!$L$6,J1957&gt;0),'계산 과정'!$D$10*('계산 과정'!$C$38*(D1957-'계산 과정'!$C$32)+'계산 과정'!$D$38*(E1957-'계산 과정'!$D$32)-'계산 과정'!$E$38*'계산 과정'!$E$32)/J1957,"")</x:f>
        <x:v>0.28221883447748536</x:v>
      </x:c>
      <x:c r="L1957" s="4" t="n">
        <x:f>IF(AND('계산 과정'!$L$6,J1957&gt;0),'계산 과정'!$D$10*('계산 과정'!$C$39*(D1957-'계산 과정'!$C$32)+'계산 과정'!$D$39*(E1957-'계산 과정'!$D$32)-'계산 과정'!$E$39*'계산 과정'!$E$32)/J1957,"")</x:f>
        <x:v>1.822518892503963</x:v>
      </x:c>
      <x:c r="M1957" s="17" t="n">
        <x:f>IF('계산 과정'!$L$6,IF(J1957&lt;=0,0,IF(AND(ABS(K1957)&lt;='계산 과정'!$D$11/2,ABS(L1957)&lt;='계산 과정'!$D$12/2),1,0)),"")</x:f>
        <x:v>1</x:v>
      </x:c>
      <x:c r="N1957" s="17" t="n">
        <x:f>IF('계산 과정'!$C$78,IF(AND(ISNUMBER(H1957),ISNUMBER(I1957),ABS(H1957-'계산 과정'!$C$88)&lt;='계산 과정'!$D$23/2,ABS(I1957-'계산 과정'!$C$89)&lt;='계산 과정'!$D$24/2),1,0),"")</x:f>
        <x:v>1</x:v>
      </x:c>
      <x:c r="O1957" s="4" t="n">
        <x:f>IF('계산 과정'!$L$7,'계산 과정'!$C$49*('계산 과정'!$C$32-D1957)+'계산 과정'!$D$49*('계산 과정'!$D$32-E1957)+'계산 과정'!$E$49*'계산 과정'!$E$32,"")</x:f>
        <x:v>22.148924832404475</x:v>
      </x:c>
      <x:c r="P1957" s="4" t="n">
        <x:f>IF(AND('계산 과정'!$L$7,O1957&lt;&gt;0),('계산 과정'!$L$23-'계산 과정'!$C$49*D1957-'계산 과정'!$D$49*E1957)/O1957,"")</x:f>
        <x:v>19.059567361698257</x:v>
      </x:c>
      <x:c r="Q1957" s="4" t="str">
        <x:f>IF(AND(ISNUMBER(P1957),P1957&gt;1E-9,P1957&lt;1-1E-9),'계산 과정'!$C$47*(D1957-'계산 과정'!$C$50+P1957*('계산 과정'!$C$32-D1957))+'계산 과정'!$D$47*(E1957-'계산 과정'!$D$50+P1957*('계산 과정'!$D$32-E1957))+'계산 과정'!$E$47*(0-'계산 과정'!$E$50+P1957*('계산 과정'!$E$32-0)),"")</x:f>
      </x:c>
      <x:c r="R1957" s="4" t="str">
        <x:f>IF(AND(ISNUMBER(P1957),P1957&gt;1E-9,P1957&lt;1-1E-9),'계산 과정'!$C$48*(D1957-'계산 과정'!$C$50+P1957*('계산 과정'!$C$32-D1957))+'계산 과정'!$D$48*(E1957-'계산 과정'!$D$50+P1957*('계산 과정'!$D$32-E1957))+'계산 과정'!$E$48*(0-'계산 과정'!$E$50+P1957*('계산 과정'!$E$32-0)),"")</x:f>
      </x:c>
      <x:c r="S1957" s="17" t="n">
        <x:f>IF('계산 과정'!$C$78,IF(AND(ISNUMBER(Q1957),ISNUMBER(R1957),ABS(Q1957-'계산 과정'!$C$88)&lt;='계산 과정'!$D$23/2,ABS(R1957-'계산 과정'!$C$89)&lt;='계산 과정'!$D$24/2),1,0),"")</x:f>
        <x:v>0</x:v>
      </x:c>
      <x:c r="T1957" s="4"/>
      <x:c r="U1957" s="4"/>
      <x:c r="V1957" s="4"/>
      <x:c r="W1957" s="4"/>
      <x:c r="X1957" s="4"/>
      <x:c r="Y1957" s="4"/>
      <x:c r="Z1957" s="4"/>
    </x:row>
    <x:row r="1958" ht="23" customHeight="1">
      <x:c r="A1958" s="17" t="n">
        <x:f>ROW()-6</x:f>
        <x:v>1952</x:v>
      </x:c>
      <x:c r="B1958" s="4" t="n">
        <x:f>IF('계산 과정'!$L$5,'계산 과정'!$L$11*SQRT((A1958+0.5)/'계산 과정'!$L$30),"")</x:f>
        <x:v>146.46093562469994</x:v>
      </x:c>
      <x:c r="C1958" s="4" t="n">
        <x:f>A1958*PI()*(3-SQRT(5))</x:f>
        <x:v>4684.728224430331</x:v>
      </x:c>
      <x:c r="D1958" s="4" t="n">
        <x:f>IF('계산 과정'!$L$5,B1958*COS(C1958),"")</x:f>
        <x:v>-119.74544999637573</x:v>
      </x:c>
      <x:c r="E1958" s="4" t="n">
        <x:f>IF('계산 과정'!$L$5,B1958*SIN(C1958),"")</x:f>
        <x:v>-84.3316836617649</x:v>
      </x:c>
      <x:c r="F1958" s="4" t="n">
        <x:f>IF('계산 과정'!$L$7,'계산 과정'!$L$22+'계산 과정'!$C$49*D1958+'계산 과정'!$D$49*E1958,"")</x:f>
        <x:v>734.6728197086719</x:v>
      </x:c>
      <x:c r="G1958" s="4" t="n">
        <x:f>IF('계산 과정'!$L$7,IF(ABS(F1958)&gt;=1E-12*MAX(1,SQRT((D1958-'계산 과정'!$C$33)^2+(E1958-'계산 과정'!$D$33)^2+'계산 과정'!$E$33^2)),('계산 과정'!$L$23-'계산 과정'!$C$49*D1958-'계산 과정'!$D$49*E1958)/F1958,""),"")</x:f>
        <x:v>0.42920763070609896</x:v>
      </x:c>
      <x:c r="H1958" s="4" t="n">
        <x:f>IF(AND(ISNUMBER(G1958),G1958&gt;0),('계산 과정'!$D$56+'계산 과정'!$D$57*D1958+'계산 과정'!$D$58*E1958)/F1958,"")</x:f>
        <x:v>-121.0150400410358</x:v>
      </x:c>
      <x:c r="I1958" s="4" t="n">
        <x:f>IF(AND(ISNUMBER(G1958),G1958&gt;0),('계산 과정'!$E$56+'계산 과정'!$E$57*D1958+'계산 과정'!$E$58*E1958)/F1958,"")</x:f>
        <x:v>-120.52748579968724</x:v>
      </x:c>
      <x:c r="J1958" s="4" t="n">
        <x:f>IF('계산 과정'!$L$5,'계산 과정'!$D$6+'계산 과정'!$C$35*D1958+'계산 과정'!$D$35*E1958,"")</x:f>
        <x:v>734.6728197086719</x:v>
      </x:c>
      <x:c r="K1958" s="4" t="n">
        <x:f>IF(AND('계산 과정'!$L$6,J1958&gt;0),'계산 과정'!$D$10*('계산 과정'!$C$38*(D1958-'계산 과정'!$C$32)+'계산 과정'!$D$38*(E1958-'계산 과정'!$D$32)-'계산 과정'!$E$38*'계산 과정'!$E$32)/J1958,"")</x:f>
        <x:v>-0.9220193526936045</x:v>
      </x:c>
      <x:c r="L1958" s="4" t="n">
        <x:f>IF(AND('계산 과정'!$L$6,J1958&gt;0),'계산 과정'!$D$10*('계산 과정'!$C$39*(D1958-'계산 과정'!$C$32)+'계산 과정'!$D$39*(E1958-'계산 과정'!$D$32)-'계산 과정'!$E$39*'계산 과정'!$E$32)/J1958,"")</x:f>
        <x:v>-0.9183046537119028</x:v>
      </x:c>
      <x:c r="M1958" s="17" t="n">
        <x:f>IF('계산 과정'!$L$6,IF(J1958&lt;=0,0,IF(AND(ABS(K1958)&lt;='계산 과정'!$D$11/2,ABS(L1958)&lt;='계산 과정'!$D$12/2),1,0)),"")</x:f>
        <x:v>1</x:v>
      </x:c>
      <x:c r="N1958" s="17" t="n">
        <x:f>IF('계산 과정'!$C$78,IF(AND(ISNUMBER(H1958),ISNUMBER(I1958),ABS(H1958-'계산 과정'!$C$88)&lt;='계산 과정'!$D$23/2,ABS(I1958-'계산 과정'!$C$89)&lt;='계산 과정'!$D$24/2),1,0),"")</x:f>
        <x:v>1</x:v>
      </x:c>
      <x:c r="O1958" s="4" t="n">
        <x:f>IF('계산 과정'!$L$7,'계산 과정'!$C$49*('계산 과정'!$C$32-D1958)+'계산 과정'!$D$49*('계산 과정'!$D$32-E1958)+'계산 과정'!$E$49*'계산 과정'!$E$32,"")</x:f>
        <x:v>-84.67281970867174</x:v>
      </x:c>
      <x:c r="P1958" s="4" t="n">
        <x:f>IF(AND('계산 과정'!$L$7,O1958&lt;&gt;0),('계산 과정'!$L$23-'계산 과정'!$C$49*D1958-'계산 과정'!$D$49*E1958)/O1958,"")</x:f>
        <x:v>-3.7240661333383462</x:v>
      </x:c>
      <x:c r="Q1958" s="4" t="str">
        <x:f>IF(AND(ISNUMBER(P1958),P1958&gt;1E-9,P1958&lt;1-1E-9),'계산 과정'!$C$47*(D1958-'계산 과정'!$C$50+P1958*('계산 과정'!$C$32-D1958))+'계산 과정'!$D$47*(E1958-'계산 과정'!$D$50+P1958*('계산 과정'!$D$32-E1958))+'계산 과정'!$E$47*(0-'계산 과정'!$E$50+P1958*('계산 과정'!$E$32-0)),"")</x:f>
      </x:c>
      <x:c r="R1958" s="4" t="str">
        <x:f>IF(AND(ISNUMBER(P1958),P1958&gt;1E-9,P1958&lt;1-1E-9),'계산 과정'!$C$48*(D1958-'계산 과정'!$C$50+P1958*('계산 과정'!$C$32-D1958))+'계산 과정'!$D$48*(E1958-'계산 과정'!$D$50+P1958*('계산 과정'!$D$32-E1958))+'계산 과정'!$E$48*(0-'계산 과정'!$E$50+P1958*('계산 과정'!$E$32-0)),"")</x:f>
      </x:c>
      <x:c r="S1958" s="17" t="n">
        <x:f>IF('계산 과정'!$C$78,IF(AND(ISNUMBER(Q1958),ISNUMBER(R1958),ABS(Q1958-'계산 과정'!$C$88)&lt;='계산 과정'!$D$23/2,ABS(R1958-'계산 과정'!$C$89)&lt;='계산 과정'!$D$24/2),1,0),"")</x:f>
        <x:v>0</x:v>
      </x:c>
      <x:c r="T1958" s="4"/>
      <x:c r="U1958" s="4"/>
      <x:c r="V1958" s="4"/>
      <x:c r="W1958" s="4"/>
      <x:c r="X1958" s="4"/>
      <x:c r="Y1958" s="4"/>
      <x:c r="Z1958" s="4"/>
    </x:row>
    <x:row r="1959" ht="23" customHeight="1">
      <x:c r="A1959" s="17" t="n">
        <x:f>ROW()-6</x:f>
        <x:v>1953</x:v>
      </x:c>
      <x:c r="B1959" s="4" t="n">
        <x:f>IF('계산 과정'!$L$5,'계산 과정'!$L$11*SQRT((A1959+0.5)/'계산 과정'!$L$30),"")</x:f>
        <x:v>146.4984368250648</x:v>
      </x:c>
      <x:c r="C1959" s="4" t="n">
        <x:f>A1959*PI()*(3-SQRT(5))</x:f>
        <x:v>4687.12818766006</x:v>
      </x:c>
      <x:c r="D1959" s="4" t="n">
        <x:f>IF('계산 과정'!$L$5,B1959*COS(C1959),"")</x:f>
        <x:v>145.2989960942581</x:v>
      </x:c>
      <x:c r="E1959" s="4" t="n">
        <x:f>IF('계산 과정'!$L$5,B1959*SIN(C1959),"")</x:f>
        <x:v>-18.708119258447113</x:v>
      </x:c>
      <x:c r="F1959" s="4" t="n">
        <x:f>IF('계산 과정'!$L$7,'계산 과정'!$L$22+'계산 과정'!$C$49*D1959+'계산 과정'!$D$49*E1959,"")</x:f>
        <x:v>547.2580945621525</x:v>
      </x:c>
      <x:c r="G1959" s="4" t="n">
        <x:f>IF('계산 과정'!$L$7,IF(ABS(F1959)&gt;=1E-12*MAX(1,SQRT((D1959-'계산 과정'!$C$33)^2+(E1959-'계산 과정'!$D$33)^2+'계산 과정'!$E$33^2)),('계산 과정'!$L$23-'계산 과정'!$C$49*D1959-'계산 과정'!$D$49*E1959)/F1959,""),"")</x:f>
        <x:v>0.9186559512474253</x:v>
      </x:c>
      <x:c r="H1959" s="4" t="n">
        <x:f>IF(AND(ISNUMBER(G1959),G1959&gt;0),('계산 과정'!$D$56+'계산 과정'!$D$57*D1959+'계산 과정'!$D$58*E1959)/F1959,"")</x:f>
        <x:v>197.12636831082636</x:v>
      </x:c>
      <x:c r="I1959" s="4" t="n">
        <x:f>IF(AND(ISNUMBER(G1959),G1959&gt;0),('계산 과정'!$E$56+'계산 과정'!$E$57*D1959+'계산 과정'!$E$58*E1959)/F1959,"")</x:f>
        <x:v>-35.89444435186612</x:v>
      </x:c>
      <x:c r="J1959" s="4" t="n">
        <x:f>IF('계산 과정'!$L$5,'계산 과정'!$D$6+'계산 과정'!$C$35*D1959+'계산 과정'!$D$35*E1959,"")</x:f>
        <x:v>547.2580945621525</x:v>
      </x:c>
      <x:c r="K1959" s="4" t="n">
        <x:f>IF(AND('계산 과정'!$L$6,J1959&gt;0),'계산 과정'!$D$10*('계산 과정'!$C$38*(D1959-'계산 과정'!$C$32)+'계산 과정'!$D$38*(E1959-'계산 과정'!$D$32)-'계산 과정'!$E$38*'계산 과정'!$E$32)/J1959,"")</x:f>
        <x:v>1.5019151871301064</x:v>
      </x:c>
      <x:c r="L1959" s="4" t="n">
        <x:f>IF(AND('계산 과정'!$L$6,J1959&gt;0),'계산 과정'!$D$10*('계산 과정'!$C$39*(D1959-'계산 과정'!$C$32)+'계산 과정'!$D$39*(E1959-'계산 과정'!$D$32)-'계산 과정'!$E$39*'계산 과정'!$E$32)/J1959,"")</x:f>
        <x:v>-0.27348148077612283</x:v>
      </x:c>
      <x:c r="M1959" s="17" t="n">
        <x:f>IF('계산 과정'!$L$6,IF(J1959&lt;=0,0,IF(AND(ABS(K1959)&lt;='계산 과정'!$D$11/2,ABS(L1959)&lt;='계산 과정'!$D$12/2),1,0)),"")</x:f>
        <x:v>1</x:v>
      </x:c>
      <x:c r="N1959" s="17" t="n">
        <x:f>IF('계산 과정'!$C$78,IF(AND(ISNUMBER(H1959),ISNUMBER(I1959),ABS(H1959-'계산 과정'!$C$88)&lt;='계산 과정'!$D$23/2,ABS(I1959-'계산 과정'!$C$89)&lt;='계산 과정'!$D$24/2),1,0),"")</x:f>
        <x:v>1</x:v>
      </x:c>
      <x:c r="O1959" s="4" t="n">
        <x:f>IF('계산 과정'!$L$7,'계산 과정'!$C$49*('계산 과정'!$C$32-D1959)+'계산 과정'!$D$49*('계산 과정'!$D$32-E1959)+'계산 과정'!$E$49*'계산 과정'!$E$32,"")</x:f>
        <x:v>102.74190543784769</x:v>
      </x:c>
      <x:c r="P1959" s="4" t="n">
        <x:f>IF(AND('계산 과정'!$L$7,O1959&lt;&gt;0),('계산 과정'!$L$23-'계산 과정'!$C$49*D1959-'계산 과정'!$D$49*E1959)/O1959,"")</x:f>
        <x:v>4.893250746084074</x:v>
      </x:c>
      <x:c r="Q1959" s="4" t="str">
        <x:f>IF(AND(ISNUMBER(P1959),P1959&gt;1E-9,P1959&lt;1-1E-9),'계산 과정'!$C$47*(D1959-'계산 과정'!$C$50+P1959*('계산 과정'!$C$32-D1959))+'계산 과정'!$D$47*(E1959-'계산 과정'!$D$50+P1959*('계산 과정'!$D$32-E1959))+'계산 과정'!$E$47*(0-'계산 과정'!$E$50+P1959*('계산 과정'!$E$32-0)),"")</x:f>
      </x:c>
      <x:c r="R1959" s="4" t="str">
        <x:f>IF(AND(ISNUMBER(P1959),P1959&gt;1E-9,P1959&lt;1-1E-9),'계산 과정'!$C$48*(D1959-'계산 과정'!$C$50+P1959*('계산 과정'!$C$32-D1959))+'계산 과정'!$D$48*(E1959-'계산 과정'!$D$50+P1959*('계산 과정'!$D$32-E1959))+'계산 과정'!$E$48*(0-'계산 과정'!$E$50+P1959*('계산 과정'!$E$32-0)),"")</x:f>
      </x:c>
      <x:c r="S1959" s="17" t="n">
        <x:f>IF('계산 과정'!$C$78,IF(AND(ISNUMBER(Q1959),ISNUMBER(R1959),ABS(Q1959-'계산 과정'!$C$88)&lt;='계산 과정'!$D$23/2,ABS(R1959-'계산 과정'!$C$89)&lt;='계산 과정'!$D$24/2),1,0),"")</x:f>
        <x:v>0</x:v>
      </x:c>
      <x:c r="T1959" s="4"/>
      <x:c r="U1959" s="4"/>
      <x:c r="V1959" s="4"/>
      <x:c r="W1959" s="4"/>
      <x:c r="X1959" s="4"/>
      <x:c r="Y1959" s="4"/>
      <x:c r="Z1959" s="4"/>
    </x:row>
    <x:row r="1960" ht="23" customHeight="1">
      <x:c r="A1960" s="17" t="n">
        <x:f>ROW()-6</x:f>
        <x:v>1954</x:v>
      </x:c>
      <x:c r="B1960" s="4" t="n">
        <x:f>IF('계산 과정'!$L$5,'계산 과정'!$L$11*SQRT((A1960+0.5)/'계산 과정'!$L$30),"")</x:f>
        <x:v>146.535928428193</x:v>
      </x:c>
      <x:c r="C1960" s="4" t="n">
        <x:f>A1960*PI()*(3-SQRT(5))</x:f>
        <x:v>4689.528150889788</x:v>
      </x:c>
      <x:c r="D1960" s="4" t="n">
        <x:f>IF('계산 과정'!$L$5,B1960*COS(C1960),"")</x:f>
        <x:v>-94.5259894762118</x:v>
      </x:c>
      <x:c r="E1960" s="4" t="n">
        <x:f>IF('계산 과정'!$L$5,B1960*SIN(C1960),"")</x:f>
        <x:v>111.97149473797157</x:v>
      </x:c>
      <x:c r="F1960" s="4" t="n">
        <x:f>IF('계산 과정'!$L$7,'계산 과정'!$L$22+'계산 과정'!$C$49*D1960+'계산 과정'!$D$49*E1960,"")</x:f>
        <x:v>716.8399681569975</x:v>
      </x:c>
      <x:c r="G1960" s="4" t="n">
        <x:f>IF('계산 과정'!$L$7,IF(ABS(F1960)&gt;=1E-12*MAX(1,SQRT((D1960-'계산 과정'!$C$33)^2+(E1960-'계산 과정'!$D$33)^2+'계산 과정'!$E$33^2)),('계산 과정'!$L$23-'계산 과정'!$C$49*D1960-'계산 과정'!$D$49*E1960)/F1960,""),"")</x:f>
        <x:v>0.4647620761152033</x:v>
      </x:c>
      <x:c r="H1960" s="4" t="n">
        <x:f>IF(AND(ISNUMBER(G1960),G1960&gt;0),('계산 과정'!$D$56+'계산 과정'!$D$57*D1960+'계산 과정'!$D$58*E1960)/F1960,"")</x:f>
        <x:v>-97.904650525118</x:v>
      </x:c>
      <x:c r="I1960" s="4" t="n">
        <x:f>IF(AND(ISNUMBER(G1960),G1960&gt;0),('계산 과정'!$E$56+'계산 과정'!$E$57*D1960+'계산 과정'!$E$58*E1960)/F1960,"")</x:f>
        <x:v>164.0115990981138</x:v>
      </x:c>
      <x:c r="J1960" s="4" t="n">
        <x:f>IF('계산 과정'!$L$5,'계산 과정'!$D$6+'계산 과정'!$C$35*D1960+'계산 과정'!$D$35*E1960,"")</x:f>
        <x:v>716.8399681569975</x:v>
      </x:c>
      <x:c r="K1960" s="4" t="n">
        <x:f>IF(AND('계산 과정'!$L$6,J1960&gt;0),'계산 과정'!$D$10*('계산 과정'!$C$38*(D1960-'계산 과정'!$C$32)+'계산 과정'!$D$38*(E1960-'계산 과정'!$D$32)-'계산 과정'!$E$38*'계산 과정'!$E$32)/J1960,"")</x:f>
        <x:v>-0.745940194477088</x:v>
      </x:c>
      <x:c r="L1960" s="4" t="n">
        <x:f>IF(AND('계산 과정'!$L$6,J1960&gt;0),'계산 과정'!$D$10*('계산 과정'!$C$39*(D1960-'계산 과정'!$C$32)+'계산 과정'!$D$39*(E1960-'계산 과정'!$D$32)-'계산 과정'!$E$39*'계산 과정'!$E$32)/J1960,"")</x:f>
        <x:v>1.2496121836046765</x:v>
      </x:c>
      <x:c r="M1960" s="17" t="n">
        <x:f>IF('계산 과정'!$L$6,IF(J1960&lt;=0,0,IF(AND(ABS(K1960)&lt;='계산 과정'!$D$11/2,ABS(L1960)&lt;='계산 과정'!$D$12/2),1,0)),"")</x:f>
        <x:v>1</x:v>
      </x:c>
      <x:c r="N1960" s="17" t="n">
        <x:f>IF('계산 과정'!$C$78,IF(AND(ISNUMBER(H1960),ISNUMBER(I1960),ABS(H1960-'계산 과정'!$C$88)&lt;='계산 과정'!$D$23/2,ABS(I1960-'계산 과정'!$C$89)&lt;='계산 과정'!$D$24/2),1,0),"")</x:f>
        <x:v>1</x:v>
      </x:c>
      <x:c r="O1960" s="4" t="n">
        <x:f>IF('계산 과정'!$L$7,'계산 과정'!$C$49*('계산 과정'!$C$32-D1960)+'계산 과정'!$D$49*('계산 과정'!$D$32-E1960)+'계산 과정'!$E$49*'계산 과정'!$E$32,"")</x:f>
        <x:v>-66.83996815699743</x:v>
      </x:c>
      <x:c r="P1960" s="4" t="n">
        <x:f>IF(AND('계산 과정'!$L$7,O1960&lt;&gt;0),('계산 과정'!$L$23-'계산 과정'!$C$49*D1960-'계산 과정'!$D$49*E1960)/O1960,"")</x:f>
        <x:v>-4.984443305844455</x:v>
      </x:c>
      <x:c r="Q1960" s="4" t="str">
        <x:f>IF(AND(ISNUMBER(P1960),P1960&gt;1E-9,P1960&lt;1-1E-9),'계산 과정'!$C$47*(D1960-'계산 과정'!$C$50+P1960*('계산 과정'!$C$32-D1960))+'계산 과정'!$D$47*(E1960-'계산 과정'!$D$50+P1960*('계산 과정'!$D$32-E1960))+'계산 과정'!$E$47*(0-'계산 과정'!$E$50+P1960*('계산 과정'!$E$32-0)),"")</x:f>
      </x:c>
      <x:c r="R1960" s="4" t="str">
        <x:f>IF(AND(ISNUMBER(P1960),P1960&gt;1E-9,P1960&lt;1-1E-9),'계산 과정'!$C$48*(D1960-'계산 과정'!$C$50+P1960*('계산 과정'!$C$32-D1960))+'계산 과정'!$D$48*(E1960-'계산 과정'!$D$50+P1960*('계산 과정'!$D$32-E1960))+'계산 과정'!$E$48*(0-'계산 과정'!$E$50+P1960*('계산 과정'!$E$32-0)),"")</x:f>
      </x:c>
      <x:c r="S1960" s="17" t="n">
        <x:f>IF('계산 과정'!$C$78,IF(AND(ISNUMBER(Q1960),ISNUMBER(R1960),ABS(Q1960-'계산 과정'!$C$88)&lt;='계산 과정'!$D$23/2,ABS(R1960-'계산 과정'!$C$89)&lt;='계산 과정'!$D$24/2),1,0),"")</x:f>
        <x:v>0</x:v>
      </x:c>
      <x:c r="T1960" s="4"/>
      <x:c r="U1960" s="4"/>
      <x:c r="V1960" s="4"/>
      <x:c r="W1960" s="4"/>
      <x:c r="X1960" s="4"/>
      <x:c r="Y1960" s="4"/>
      <x:c r="Z1960" s="4"/>
    </x:row>
    <x:row r="1961" ht="23" customHeight="1">
      <x:c r="A1961" s="17" t="n">
        <x:f>ROW()-6</x:f>
        <x:v>1955</x:v>
      </x:c>
      <x:c r="B1961" s="4" t="n">
        <x:f>IF('계산 과정'!$L$5,'계산 과정'!$L$11*SQRT((A1961+0.5)/'계산 과정'!$L$30),"")</x:f>
        <x:v>146.57341044144908</x:v>
      </x:c>
      <x:c r="C1961" s="4" t="n">
        <x:f>A1961*PI()*(3-SQRT(5))</x:f>
        <x:v>4691.928114119517</x:v>
      </x:c>
      <x:c r="D1961" s="4" t="n">
        <x:f>IF('계산 과정'!$L$5,B1961*COS(C1961),"")</x:f>
        <x:v>-5.936653251600973</x:v>
      </x:c>
      <x:c r="E1961" s="4" t="n">
        <x:f>IF('계산 과정'!$L$5,B1961*SIN(C1961),"")</x:f>
        <x:v>-146.45313515458707</x:v>
      </x:c>
      <x:c r="F1961" s="4" t="n">
        <x:f>IF('계산 과정'!$L$7,'계산 과정'!$L$22+'계산 과정'!$C$49*D1961+'계산 과정'!$D$49*E1961,"")</x:f>
        <x:v>654.1978477717602</x:v>
      </x:c>
      <x:c r="G1961" s="4" t="n">
        <x:f>IF('계산 과정'!$L$7,IF(ABS(F1961)&gt;=1E-12*MAX(1,SQRT((D1961-'계산 과정'!$C$33)^2+(E1961-'계산 과정'!$D$33)^2+'계산 과정'!$E$33^2)),('계산 과정'!$L$23-'계산 과정'!$C$49*D1961-'계산 과정'!$D$49*E1961)/F1961,""),"")</x:f>
        <x:v>0.6050190375531918</x:v>
      </x:c>
      <x:c r="H1961" s="4" t="n">
        <x:f>IF(AND(ISNUMBER(G1961),G1961&gt;0),('계산 과정'!$D$56+'계산 과정'!$D$57*D1961+'계산 과정'!$D$58*E1961)/F1961,"")</x:f>
        <x:v>-6.737625590425505</x:v>
      </x:c>
      <x:c r="I1961" s="4" t="n">
        <x:f>IF(AND(ISNUMBER(G1961),G1961&gt;0),('계산 과정'!$E$56+'계산 과정'!$E$57*D1961+'계산 과정'!$E$58*E1961)/F1961,"")</x:f>
        <x:v>-235.06007003246287</x:v>
      </x:c>
      <x:c r="J1961" s="4" t="n">
        <x:f>IF('계산 과정'!$L$5,'계산 과정'!$D$6+'계산 과정'!$C$35*D1961+'계산 과정'!$D$35*E1961,"")</x:f>
        <x:v>654.1978477717602</x:v>
      </x:c>
      <x:c r="K1961" s="4" t="n">
        <x:f>IF(AND('계산 과정'!$L$6,J1961&gt;0),'계산 과정'!$D$10*('계산 과정'!$C$38*(D1961-'계산 과정'!$C$32)+'계산 과정'!$D$38*(E1961-'계산 과정'!$D$32)-'계산 과정'!$E$38*'계산 과정'!$E$32)/J1961,"")</x:f>
        <x:v>-0.051334290212764984</x:v>
      </x:c>
      <x:c r="L1961" s="4" t="n">
        <x:f>IF(AND('계산 과정'!$L$6,J1961&gt;0),'계산 과정'!$D$10*('계산 과정'!$C$39*(D1961-'계산 과정'!$C$32)+'계산 과정'!$D$39*(E1961-'계산 과정'!$D$32)-'계산 과정'!$E$39*'계산 과정'!$E$32)/J1961,"")</x:f>
        <x:v>-1.790933866914003</x:v>
      </x:c>
      <x:c r="M1961" s="17" t="n">
        <x:f>IF('계산 과정'!$L$6,IF(J1961&lt;=0,0,IF(AND(ABS(K1961)&lt;='계산 과정'!$D$11/2,ABS(L1961)&lt;='계산 과정'!$D$12/2),1,0)),"")</x:f>
        <x:v>1</x:v>
      </x:c>
      <x:c r="N1961" s="17" t="n">
        <x:f>IF('계산 과정'!$C$78,IF(AND(ISNUMBER(H1961),ISNUMBER(I1961),ABS(H1961-'계산 과정'!$C$88)&lt;='계산 과정'!$D$23/2,ABS(I1961-'계산 과정'!$C$89)&lt;='계산 과정'!$D$24/2),1,0),"")</x:f>
        <x:v>1</x:v>
      </x:c>
      <x:c r="O1961" s="4" t="n">
        <x:f>IF('계산 과정'!$L$7,'계산 과정'!$C$49*('계산 과정'!$C$32-D1961)+'계산 과정'!$D$49*('계산 과정'!$D$32-E1961)+'계산 과정'!$E$49*'계산 과정'!$E$32,"")</x:f>
        <x:v>-4.1978477717601095</x:v>
      </x:c>
      <x:c r="P1961" s="4" t="n">
        <x:f>IF(AND('계산 과정'!$L$7,O1961&lt;&gt;0),('계산 과정'!$L$23-'계산 과정'!$C$49*D1961-'계산 과정'!$D$49*E1961)/O1961,"")</x:f>
        <x:v>-94.28692362093075</x:v>
      </x:c>
      <x:c r="Q1961" s="4" t="str">
        <x:f>IF(AND(ISNUMBER(P1961),P1961&gt;1E-9,P1961&lt;1-1E-9),'계산 과정'!$C$47*(D1961-'계산 과정'!$C$50+P1961*('계산 과정'!$C$32-D1961))+'계산 과정'!$D$47*(E1961-'계산 과정'!$D$50+P1961*('계산 과정'!$D$32-E1961))+'계산 과정'!$E$47*(0-'계산 과정'!$E$50+P1961*('계산 과정'!$E$32-0)),"")</x:f>
      </x:c>
      <x:c r="R1961" s="4" t="str">
        <x:f>IF(AND(ISNUMBER(P1961),P1961&gt;1E-9,P1961&lt;1-1E-9),'계산 과정'!$C$48*(D1961-'계산 과정'!$C$50+P1961*('계산 과정'!$C$32-D1961))+'계산 과정'!$D$48*(E1961-'계산 과정'!$D$50+P1961*('계산 과정'!$D$32-E1961))+'계산 과정'!$E$48*(0-'계산 과정'!$E$50+P1961*('계산 과정'!$E$32-0)),"")</x:f>
      </x:c>
      <x:c r="S1961" s="17" t="n">
        <x:f>IF('계산 과정'!$C$78,IF(AND(ISNUMBER(Q1961),ISNUMBER(R1961),ABS(Q1961-'계산 과정'!$C$88)&lt;='계산 과정'!$D$23/2,ABS(R1961-'계산 과정'!$C$89)&lt;='계산 과정'!$D$24/2),1,0),"")</x:f>
        <x:v>0</x:v>
      </x:c>
      <x:c r="T1961" s="4"/>
      <x:c r="U1961" s="4"/>
      <x:c r="V1961" s="4"/>
      <x:c r="W1961" s="4"/>
      <x:c r="X1961" s="4"/>
      <x:c r="Y1961" s="4"/>
      <x:c r="Z1961" s="4"/>
    </x:row>
    <x:row r="1962" ht="23" customHeight="1">
      <x:c r="A1962" s="17" t="n">
        <x:f>ROW()-6</x:f>
        <x:v>1956</x:v>
      </x:c>
      <x:c r="B1962" s="4" t="n">
        <x:f>IF('계산 과정'!$L$5,'계산 과정'!$L$11*SQRT((A1962+0.5)/'계산 과정'!$L$30),"")</x:f>
        <x:v>146.61088287218826</x:v>
      </x:c>
      <x:c r="C1962" s="4" t="n">
        <x:f>A1962*PI()*(3-SQRT(5))</x:f>
        <x:v>4694.328077349245</x:v>
      </x:c>
      <x:c r="D1962" s="4" t="n">
        <x:f>IF('계산 과정'!$L$5,B1962*COS(C1962),"")</x:f>
        <x:v>103.33158533808663</x:v>
      </x:c>
      <x:c r="E1962" s="4" t="n">
        <x:f>IF('계산 과정'!$L$5,B1962*SIN(C1962),"")</x:f>
        <x:v>104.0064154178973</x:v>
      </x:c>
      <x:c r="F1962" s="4" t="n">
        <x:f>IF('계산 과정'!$L$7,'계산 과정'!$L$22+'계산 과정'!$C$49*D1962+'계산 과정'!$D$49*E1962,"")</x:f>
        <x:v>576.9335352966825</x:v>
      </x:c>
      <x:c r="G1962" s="4" t="n">
        <x:f>IF('계산 과정'!$L$7,IF(ABS(F1962)&gt;=1E-12*MAX(1,SQRT((D1962-'계산 과정'!$C$33)^2+(E1962-'계산 과정'!$D$33)^2+'계산 과정'!$E$33^2)),('계산 과정'!$L$23-'계산 과정'!$C$49*D1962-'계산 과정'!$D$49*E1962)/F1962,""),"")</x:f>
        <x:v>0.8199670079154744</x:v>
      </x:c>
      <x:c r="H1962" s="4" t="n">
        <x:f>IF(AND(ISNUMBER(G1962),G1962&gt;0),('계산 과정'!$D$56+'계산 과정'!$D$57*D1962+'계산 과정'!$D$58*E1962)/F1962,"")</x:f>
        <x:v>132.97855514505824</x:v>
      </x:c>
      <x:c r="I1962" s="4" t="n">
        <x:f>IF(AND(ISNUMBER(G1962),G1962&gt;0),('계산 과정'!$E$56+'계산 과정'!$E$57*D1962+'계산 과정'!$E$58*E1962)/F1962,"")</x:f>
        <x:v>189.28824467212442</x:v>
      </x:c>
      <x:c r="J1962" s="4" t="n">
        <x:f>IF('계산 과정'!$L$5,'계산 과정'!$D$6+'계산 과정'!$C$35*D1962+'계산 과정'!$D$35*E1962,"")</x:f>
        <x:v>576.9335352966825</x:v>
      </x:c>
      <x:c r="K1962" s="4" t="n">
        <x:f>IF(AND('계산 과정'!$L$6,J1962&gt;0),'계산 과정'!$D$10*('계산 과정'!$C$38*(D1962-'계산 과정'!$C$32)+'계산 과정'!$D$38*(E1962-'계산 과정'!$D$32)-'계산 과정'!$E$38*'계산 과정'!$E$32)/J1962,"")</x:f>
        <x:v>1.0131699439623492</x:v>
      </x:c>
      <x:c r="L1962" s="4" t="n">
        <x:f>IF(AND('계산 과정'!$L$6,J1962&gt;0),'계산 과정'!$D$10*('계산 과정'!$C$39*(D1962-'계산 과정'!$C$32)+'계산 과정'!$D$39*(E1962-'계산 과정'!$D$32)-'계산 과정'!$E$39*'계산 과정'!$E$32)/J1962,"")</x:f>
        <x:v>1.4421961498828526</x:v>
      </x:c>
      <x:c r="M1962" s="17" t="n">
        <x:f>IF('계산 과정'!$L$6,IF(J1962&lt;=0,0,IF(AND(ABS(K1962)&lt;='계산 과정'!$D$11/2,ABS(L1962)&lt;='계산 과정'!$D$12/2),1,0)),"")</x:f>
        <x:v>1</x:v>
      </x:c>
      <x:c r="N1962" s="17" t="n">
        <x:f>IF('계산 과정'!$C$78,IF(AND(ISNUMBER(H1962),ISNUMBER(I1962),ABS(H1962-'계산 과정'!$C$88)&lt;='계산 과정'!$D$23/2,ABS(I1962-'계산 과정'!$C$89)&lt;='계산 과정'!$D$24/2),1,0),"")</x:f>
        <x:v>1</x:v>
      </x:c>
      <x:c r="O1962" s="4" t="n">
        <x:f>IF('계산 과정'!$L$7,'계산 과정'!$C$49*('계산 과정'!$C$32-D1962)+'계산 과정'!$D$49*('계산 과정'!$D$32-E1962)+'계산 과정'!$E$49*'계산 과정'!$E$32,"")</x:f>
        <x:v>73.06646470331756</x:v>
      </x:c>
      <x:c r="P1962" s="4" t="n">
        <x:f>IF(AND('계산 과정'!$L$7,O1962&lt;&gt;0),('계산 과정'!$L$23-'계산 과정'!$C$49*D1962-'계산 과정'!$D$49*E1962)/O1962,"")</x:f>
        <x:v>6.474467686703857</x:v>
      </x:c>
      <x:c r="Q1962" s="4" t="str">
        <x:f>IF(AND(ISNUMBER(P1962),P1962&gt;1E-9,P1962&lt;1-1E-9),'계산 과정'!$C$47*(D1962-'계산 과정'!$C$50+P1962*('계산 과정'!$C$32-D1962))+'계산 과정'!$D$47*(E1962-'계산 과정'!$D$50+P1962*('계산 과정'!$D$32-E1962))+'계산 과정'!$E$47*(0-'계산 과정'!$E$50+P1962*('계산 과정'!$E$32-0)),"")</x:f>
      </x:c>
      <x:c r="R1962" s="4" t="str">
        <x:f>IF(AND(ISNUMBER(P1962),P1962&gt;1E-9,P1962&lt;1-1E-9),'계산 과정'!$C$48*(D1962-'계산 과정'!$C$50+P1962*('계산 과정'!$C$32-D1962))+'계산 과정'!$D$48*(E1962-'계산 과정'!$D$50+P1962*('계산 과정'!$D$32-E1962))+'계산 과정'!$E$48*(0-'계산 과정'!$E$50+P1962*('계산 과정'!$E$32-0)),"")</x:f>
      </x:c>
      <x:c r="S1962" s="17" t="n">
        <x:f>IF('계산 과정'!$C$78,IF(AND(ISNUMBER(Q1962),ISNUMBER(R1962),ABS(Q1962-'계산 과정'!$C$88)&lt;='계산 과정'!$D$23/2,ABS(R1962-'계산 과정'!$C$89)&lt;='계산 과정'!$D$24/2),1,0),"")</x:f>
        <x:v>0</x:v>
      </x:c>
      <x:c r="T1962" s="4"/>
      <x:c r="U1962" s="4"/>
      <x:c r="V1962" s="4"/>
      <x:c r="W1962" s="4"/>
      <x:c r="X1962" s="4"/>
      <x:c r="Y1962" s="4"/>
      <x:c r="Z1962" s="4"/>
    </x:row>
    <x:row r="1963" ht="23" customHeight="1">
      <x:c r="A1963" s="17" t="n">
        <x:f>ROW()-6</x:f>
        <x:v>1957</x:v>
      </x:c>
      <x:c r="B1963" s="4" t="n">
        <x:f>IF('계산 과정'!$L$5,'계산 과정'!$L$11*SQRT((A1963+0.5)/'계산 과정'!$L$30),"")</x:f>
        <x:v>146.64834572775615</x:v>
      </x:c>
      <x:c r="C1963" s="4" t="n">
        <x:f>A1963*PI()*(3-SQRT(5))</x:f>
        <x:v>4696.728040578973</x:v>
      </x:c>
      <x:c r="D1963" s="4" t="n">
        <x:f>IF('계산 과정'!$L$5,B1963*COS(C1963),"")</x:f>
        <x:v>-146.48624075067795</x:v>
      </x:c>
      <x:c r="E1963" s="4" t="n">
        <x:f>IF('계산 과정'!$L$5,B1963*SIN(C1963),"")</x:f>
        <x:v>-6.893371847065792</x:v>
      </x:c>
      <x:c r="F1963" s="4" t="n">
        <x:f>IF('계산 과정'!$L$7,'계산 과정'!$L$22+'계산 과정'!$C$49*D1963+'계산 과정'!$D$49*E1963,"")</x:f>
        <x:v>753.5814141853295</x:v>
      </x:c>
      <x:c r="G1963" s="4" t="n">
        <x:f>IF('계산 과정'!$L$7,IF(ABS(F1963)&gt;=1E-12*MAX(1,SQRT((D1963-'계산 과정'!$C$33)^2+(E1963-'계산 과정'!$D$33)^2+'계산 과정'!$E$33^2)),('계산 과정'!$L$23-'계산 과정'!$C$49*D1963-'계산 과정'!$D$49*E1963)/F1963,""),"")</x:f>
        <x:v>0.3933464656040093</x:v>
      </x:c>
      <x:c r="H1963" s="4" t="n">
        <x:f>IF(AND(ISNUMBER(G1963),G1963&gt;0),('계산 과정'!$D$56+'계산 과정'!$D$57*D1963+'계산 과정'!$D$58*E1963)/F1963,"")</x:f>
        <x:v>-144.32479735739406</x:v>
      </x:c>
      <x:c r="I1963" s="4" t="n">
        <x:f>IF(AND(ISNUMBER(G1963),G1963&gt;0),('계산 과정'!$E$56+'계산 과정'!$E$57*D1963+'계산 과정'!$E$58*E1963)/F1963,"")</x:f>
        <x:v>-9.604855299203303</x:v>
      </x:c>
      <x:c r="J1963" s="4" t="n">
        <x:f>IF('계산 과정'!$L$5,'계산 과정'!$D$6+'계산 과정'!$C$35*D1963+'계산 과정'!$D$35*E1963,"")</x:f>
        <x:v>753.5814141853295</x:v>
      </x:c>
      <x:c r="K1963" s="4" t="n">
        <x:f>IF(AND('계산 과정'!$L$6,J1963&gt;0),'계산 과정'!$D$10*('계산 과정'!$C$38*(D1963-'계산 과정'!$C$32)+'계산 과정'!$D$38*(E1963-'계산 과정'!$D$32)-'계산 과정'!$E$38*'계산 과정'!$E$32)/J1963,"")</x:f>
        <x:v>-1.0996175036753817</x:v>
      </x:c>
      <x:c r="L1963" s="4" t="n">
        <x:f>IF(AND('계산 과정'!$L$6,J1963&gt;0),'계산 과정'!$D$10*('계산 과정'!$C$39*(D1963-'계산 과정'!$C$32)+'계산 과정'!$D$39*(E1963-'계산 과정'!$D$32)-'계산 과정'!$E$39*'계산 과정'!$E$32)/J1963,"")</x:f>
        <x:v>-0.07317984989869183</x:v>
      </x:c>
      <x:c r="M1963" s="17" t="n">
        <x:f>IF('계산 과정'!$L$6,IF(J1963&lt;=0,0,IF(AND(ABS(K1963)&lt;='계산 과정'!$D$11/2,ABS(L1963)&lt;='계산 과정'!$D$12/2),1,0)),"")</x:f>
        <x:v>1</x:v>
      </x:c>
      <x:c r="N1963" s="17" t="n">
        <x:f>IF('계산 과정'!$C$78,IF(AND(ISNUMBER(H1963),ISNUMBER(I1963),ABS(H1963-'계산 과정'!$C$88)&lt;='계산 과정'!$D$23/2,ABS(I1963-'계산 과정'!$C$89)&lt;='계산 과정'!$D$24/2),1,0),"")</x:f>
        <x:v>1</x:v>
      </x:c>
      <x:c r="O1963" s="4" t="n">
        <x:f>IF('계산 과정'!$L$7,'계산 과정'!$C$49*('계산 과정'!$C$32-D1963)+'계산 과정'!$D$49*('계산 과정'!$D$32-E1963)+'계산 과정'!$E$49*'계산 과정'!$E$32,"")</x:f>
        <x:v>-103.58141418532938</x:v>
      </x:c>
      <x:c r="P1963" s="4" t="n">
        <x:f>IF(AND('계산 과정'!$L$7,O1963&lt;&gt;0),('계산 과정'!$L$23-'계산 과정'!$C$49*D1963-'계산 과정'!$D$49*E1963)/O1963,"")</x:f>
        <x:v>-2.861696648438435</x:v>
      </x:c>
      <x:c r="Q1963" s="4" t="str">
        <x:f>IF(AND(ISNUMBER(P1963),P1963&gt;1E-9,P1963&lt;1-1E-9),'계산 과정'!$C$47*(D1963-'계산 과정'!$C$50+P1963*('계산 과정'!$C$32-D1963))+'계산 과정'!$D$47*(E1963-'계산 과정'!$D$50+P1963*('계산 과정'!$D$32-E1963))+'계산 과정'!$E$47*(0-'계산 과정'!$E$50+P1963*('계산 과정'!$E$32-0)),"")</x:f>
      </x:c>
      <x:c r="R1963" s="4" t="str">
        <x:f>IF(AND(ISNUMBER(P1963),P1963&gt;1E-9,P1963&lt;1-1E-9),'계산 과정'!$C$48*(D1963-'계산 과정'!$C$50+P1963*('계산 과정'!$C$32-D1963))+'계산 과정'!$D$48*(E1963-'계산 과정'!$D$50+P1963*('계산 과정'!$D$32-E1963))+'계산 과정'!$E$48*(0-'계산 과정'!$E$50+P1963*('계산 과정'!$E$32-0)),"")</x:f>
      </x:c>
      <x:c r="S1963" s="17" t="n">
        <x:f>IF('계산 과정'!$C$78,IF(AND(ISNUMBER(Q1963),ISNUMBER(R1963),ABS(Q1963-'계산 과정'!$C$88)&lt;='계산 과정'!$D$23/2,ABS(R1963-'계산 과정'!$C$89)&lt;='계산 과정'!$D$24/2),1,0),"")</x:f>
        <x:v>0</x:v>
      </x:c>
      <x:c r="T1963" s="4"/>
      <x:c r="U1963" s="4"/>
      <x:c r="V1963" s="4"/>
      <x:c r="W1963" s="4"/>
      <x:c r="X1963" s="4"/>
      <x:c r="Y1963" s="4"/>
      <x:c r="Z1963" s="4"/>
    </x:row>
    <x:row r="1964" ht="23" customHeight="1">
      <x:c r="A1964" s="17" t="n">
        <x:f>ROW()-6</x:f>
        <x:v>1958</x:v>
      </x:c>
      <x:c r="B1964" s="4" t="n">
        <x:f>IF('계산 과정'!$L$5,'계산 과정'!$L$11*SQRT((A1964+0.5)/'계산 과정'!$L$30),"")</x:f>
        <x:v>146.6857990154892</x:v>
      </x:c>
      <x:c r="C1964" s="4" t="n">
        <x:f>A1964*PI()*(3-SQRT(5))</x:f>
        <x:v>4699.1280038087025</x:v>
      </x:c>
      <x:c r="D1964" s="4" t="n">
        <x:f>IF('계산 과정'!$L$5,B1964*COS(C1964),"")</x:f>
        <x:v>112.69957635859285</x:v>
      </x:c>
      <x:c r="E1964" s="4" t="n">
        <x:f>IF('계산 과정'!$L$5,B1964*SIN(C1964),"")</x:f>
        <x:v>-93.89104920814441</x:v>
      </x:c>
      <x:c r="F1964" s="4" t="n">
        <x:f>IF('계산 과정'!$L$7,'계산 과정'!$L$22+'계산 과정'!$C$49*D1964+'계산 과정'!$D$49*E1964,"")</x:f>
        <x:v>570.3093653199879</x:v>
      </x:c>
      <x:c r="G1964" s="4" t="n">
        <x:f>IF('계산 과정'!$L$7,IF(ABS(F1964)&gt;=1E-12*MAX(1,SQRT((D1964-'계산 과정'!$C$33)^2+(E1964-'계산 과정'!$D$33)^2+'계산 과정'!$E$33^2)),('계산 과정'!$L$23-'계산 과정'!$C$49*D1964-'계산 과정'!$D$49*E1964)/F1964,""),"")</x:f>
        <x:v>0.8411060099124767</x:v>
      </x:c>
      <x:c r="H1964" s="4" t="n">
        <x:f>IF(AND(ISNUMBER(G1964),G1964&gt;0),('계산 과정'!$D$56+'계산 과정'!$D$57*D1964+'계산 과정'!$D$58*E1964)/F1964,"")</x:f>
        <x:v>146.7189064431099</x:v>
      </x:c>
      <x:c r="I1964" s="4" t="n">
        <x:f>IF(AND(ISNUMBER(G1964),G1964&gt;0),('계산 과정'!$E$56+'계산 과정'!$E$57*D1964+'계산 과정'!$E$58*E1964)/F1964,"")</x:f>
        <x:v>-172.86337497410275</x:v>
      </x:c>
      <x:c r="J1964" s="4" t="n">
        <x:f>IF('계산 과정'!$L$5,'계산 과정'!$D$6+'계산 과정'!$C$35*D1964+'계산 과정'!$D$35*E1964,"")</x:f>
        <x:v>570.3093653199879</x:v>
      </x:c>
      <x:c r="K1964" s="4" t="n">
        <x:f>IF(AND('계산 과정'!$L$6,J1964&gt;0),'계산 과정'!$D$10*('계산 과정'!$C$38*(D1964-'계산 과정'!$C$32)+'계산 과정'!$D$38*(E1964-'계산 과정'!$D$32)-'계산 과정'!$E$38*'계산 과정'!$E$32)/J1964,"")</x:f>
        <x:v>1.1178583348046474</x:v>
      </x:c>
      <x:c r="L1964" s="4" t="n">
        <x:f>IF(AND('계산 과정'!$L$6,J1964&gt;0),'계산 과정'!$D$10*('계산 과정'!$C$39*(D1964-'계산 과정'!$C$32)+'계산 과정'!$D$39*(E1964-'계산 과정'!$D$32)-'계산 과정'!$E$39*'계산 과정'!$E$32)/J1964,"")</x:f>
        <x:v>-1.3170542855169733</x:v>
      </x:c>
      <x:c r="M1964" s="17" t="n">
        <x:f>IF('계산 과정'!$L$6,IF(J1964&lt;=0,0,IF(AND(ABS(K1964)&lt;='계산 과정'!$D$11/2,ABS(L1964)&lt;='계산 과정'!$D$12/2),1,0)),"")</x:f>
        <x:v>1</x:v>
      </x:c>
      <x:c r="N1964" s="17" t="n">
        <x:f>IF('계산 과정'!$C$78,IF(AND(ISNUMBER(H1964),ISNUMBER(I1964),ABS(H1964-'계산 과정'!$C$88)&lt;='계산 과정'!$D$23/2,ABS(I1964-'계산 과정'!$C$89)&lt;='계산 과정'!$D$24/2),1,0),"")</x:f>
        <x:v>1</x:v>
      </x:c>
      <x:c r="O1964" s="4" t="n">
        <x:f>IF('계산 과정'!$L$7,'계산 과정'!$C$49*('계산 과정'!$C$32-D1964)+'계산 과정'!$D$49*('계산 과정'!$D$32-E1964)+'계산 과정'!$E$49*'계산 과정'!$E$32,"")</x:f>
        <x:v>79.69063468001221</x:v>
      </x:c>
      <x:c r="P1964" s="4" t="n">
        <x:f>IF(AND('계산 과정'!$L$7,O1964&lt;&gt;0),('계산 과정'!$L$23-'계산 과정'!$C$49*D1964-'계산 과정'!$D$49*E1964)/O1964,"")</x:f>
        <x:v>6.019410393782782</x:v>
      </x:c>
      <x:c r="Q1964" s="4" t="str">
        <x:f>IF(AND(ISNUMBER(P1964),P1964&gt;1E-9,P1964&lt;1-1E-9),'계산 과정'!$C$47*(D1964-'계산 과정'!$C$50+P1964*('계산 과정'!$C$32-D1964))+'계산 과정'!$D$47*(E1964-'계산 과정'!$D$50+P1964*('계산 과정'!$D$32-E1964))+'계산 과정'!$E$47*(0-'계산 과정'!$E$50+P1964*('계산 과정'!$E$32-0)),"")</x:f>
      </x:c>
      <x:c r="R1964" s="4" t="str">
        <x:f>IF(AND(ISNUMBER(P1964),P1964&gt;1E-9,P1964&lt;1-1E-9),'계산 과정'!$C$48*(D1964-'계산 과정'!$C$50+P1964*('계산 과정'!$C$32-D1964))+'계산 과정'!$D$48*(E1964-'계산 과정'!$D$50+P1964*('계산 과정'!$D$32-E1964))+'계산 과정'!$E$48*(0-'계산 과정'!$E$50+P1964*('계산 과정'!$E$32-0)),"")</x:f>
      </x:c>
      <x:c r="S1964" s="17" t="n">
        <x:f>IF('계산 과정'!$C$78,IF(AND(ISNUMBER(Q1964),ISNUMBER(R1964),ABS(Q1964-'계산 과정'!$C$88)&lt;='계산 과정'!$D$23/2,ABS(R1964-'계산 과정'!$C$89)&lt;='계산 과정'!$D$24/2),1,0),"")</x:f>
        <x:v>0</x:v>
      </x:c>
      <x:c r="T1964" s="4"/>
      <x:c r="U1964" s="4"/>
      <x:c r="V1964" s="4"/>
      <x:c r="W1964" s="4"/>
      <x:c r="X1964" s="4"/>
      <x:c r="Y1964" s="4"/>
      <x:c r="Z1964" s="4"/>
    </x:row>
    <x:row r="1965" ht="23" customHeight="1">
      <x:c r="A1965" s="17" t="n">
        <x:f>ROW()-6</x:f>
        <x:v>1959</x:v>
      </x:c>
      <x:c r="B1965" s="4" t="n">
        <x:f>IF('계산 과정'!$L$5,'계산 과정'!$L$11*SQRT((A1965+0.5)/'계산 과정'!$L$30),"")</x:f>
        <x:v>146.72324274271443</x:v>
      </x:c>
      <x:c r="C1965" s="4" t="n">
        <x:f>A1965*PI()*(3-SQRT(5))</x:f>
        <x:v>4701.527967038431</x:v>
      </x:c>
      <x:c r="D1965" s="4" t="n">
        <x:f>IF('계산 과정'!$L$5,B1965*COS(C1965),"")</x:f>
        <x:v>-19.683690993234418</x:v>
      </x:c>
      <x:c r="E1965" s="4" t="n">
        <x:f>IF('계산 과정'!$L$5,B1965*SIN(C1965),"")</x:f>
        <x:v>145.39691286206997</x:v>
      </x:c>
      <x:c r="F1965" s="4" t="n">
        <x:f>IF('계산 과정'!$L$7,'계산 과정'!$L$22+'계산 과정'!$C$49*D1965+'계산 과정'!$D$49*E1965,"")</x:f>
        <x:v>663.9184713800967</x:v>
      </x:c>
      <x:c r="G1965" s="4" t="n">
        <x:f>IF('계산 과정'!$L$7,IF(ABS(F1965)&gt;=1E-12*MAX(1,SQRT((D1965-'계산 과정'!$C$33)^2+(E1965-'계산 과정'!$D$33)^2+'계산 과정'!$E$33^2)),('계산 과정'!$L$23-'계산 과정'!$C$49*D1965-'계산 과정'!$D$49*E1965)/F1965,""),"")</x:f>
        <x:v>0.5815194865980311</x:v>
      </x:c>
      <x:c r="H1965" s="4" t="n">
        <x:f>IF(AND(ISNUMBER(G1965),G1965&gt;0),('계산 과정'!$D$56+'계산 과정'!$D$57*D1965+'계산 과정'!$D$58*E1965)/F1965,"")</x:f>
        <x:v>-22.012333711279922</x:v>
      </x:c>
      <x:c r="I1965" s="4" t="n">
        <x:f>IF(AND(ISNUMBER(G1965),G1965&gt;0),('계산 과정'!$E$56+'계산 과정'!$E$57*D1965+'계산 과정'!$E$58*E1965)/F1965,"")</x:f>
        <x:v>229.94805098255955</x:v>
      </x:c>
      <x:c r="J1965" s="4" t="n">
        <x:f>IF('계산 과정'!$L$5,'계산 과정'!$D$6+'계산 과정'!$C$35*D1965+'계산 과정'!$D$35*E1965,"")</x:f>
        <x:v>663.9184713800967</x:v>
      </x:c>
      <x:c r="K1965" s="4" t="n">
        <x:f>IF(AND('계산 과정'!$L$6,J1965&gt;0),'계산 과정'!$D$10*('계산 과정'!$C$38*(D1965-'계산 과정'!$C$32)+'계산 과정'!$D$38*(E1965-'계산 과정'!$D$32)-'계산 과정'!$E$38*'계산 과정'!$E$32)/J1965,"")</x:f>
        <x:v>-0.16771301875260777</x:v>
      </x:c>
      <x:c r="L1965" s="4" t="n">
        <x:f>IF(AND('계산 과정'!$L$6,J1965&gt;0),'계산 과정'!$D$10*('계산 과정'!$C$39*(D1965-'계산 과정'!$C$32)+'계산 과정'!$D$39*(E1965-'계산 과정'!$D$32)-'계산 과정'!$E$39*'계산 과정'!$E$32)/J1965,"")</x:f>
        <x:v>1.7519851503433108</x:v>
      </x:c>
      <x:c r="M1965" s="17" t="n">
        <x:f>IF('계산 과정'!$L$6,IF(J1965&lt;=0,0,IF(AND(ABS(K1965)&lt;='계산 과정'!$D$11/2,ABS(L1965)&lt;='계산 과정'!$D$12/2),1,0)),"")</x:f>
        <x:v>1</x:v>
      </x:c>
      <x:c r="N1965" s="17" t="n">
        <x:f>IF('계산 과정'!$C$78,IF(AND(ISNUMBER(H1965),ISNUMBER(I1965),ABS(H1965-'계산 과정'!$C$88)&lt;='계산 과정'!$D$23/2,ABS(I1965-'계산 과정'!$C$89)&lt;='계산 과정'!$D$24/2),1,0),"")</x:f>
        <x:v>1</x:v>
      </x:c>
      <x:c r="O1965" s="4" t="n">
        <x:f>IF('계산 과정'!$L$7,'계산 과정'!$C$49*('계산 과정'!$C$32-D1965)+'계산 과정'!$D$49*('계산 과정'!$D$32-E1965)+'계산 과정'!$E$49*'계산 과정'!$E$32,"")</x:f>
        <x:v>-13.918471380096491</x:v>
      </x:c>
      <x:c r="P1965" s="4" t="n">
        <x:f>IF(AND('계산 과정'!$L$7,O1965&lt;&gt;0),('계산 과정'!$L$23-'계산 과정'!$C$49*D1965-'계산 과정'!$D$49*E1965)/O1965,"")</x:f>
        <x:v>-27.738788123816715</x:v>
      </x:c>
      <x:c r="Q1965" s="4" t="str">
        <x:f>IF(AND(ISNUMBER(P1965),P1965&gt;1E-9,P1965&lt;1-1E-9),'계산 과정'!$C$47*(D1965-'계산 과정'!$C$50+P1965*('계산 과정'!$C$32-D1965))+'계산 과정'!$D$47*(E1965-'계산 과정'!$D$50+P1965*('계산 과정'!$D$32-E1965))+'계산 과정'!$E$47*(0-'계산 과정'!$E$50+P1965*('계산 과정'!$E$32-0)),"")</x:f>
      </x:c>
      <x:c r="R1965" s="4" t="str">
        <x:f>IF(AND(ISNUMBER(P1965),P1965&gt;1E-9,P1965&lt;1-1E-9),'계산 과정'!$C$48*(D1965-'계산 과정'!$C$50+P1965*('계산 과정'!$C$32-D1965))+'계산 과정'!$D$48*(E1965-'계산 과정'!$D$50+P1965*('계산 과정'!$D$32-E1965))+'계산 과정'!$E$48*(0-'계산 과정'!$E$50+P1965*('계산 과정'!$E$32-0)),"")</x:f>
      </x:c>
      <x:c r="S1965" s="17" t="n">
        <x:f>IF('계산 과정'!$C$78,IF(AND(ISNUMBER(Q1965),ISNUMBER(R1965),ABS(Q1965-'계산 과정'!$C$88)&lt;='계산 과정'!$D$23/2,ABS(R1965-'계산 과정'!$C$89)&lt;='계산 과정'!$D$24/2),1,0),"")</x:f>
        <x:v>0</x:v>
      </x:c>
      <x:c r="T1965" s="4"/>
      <x:c r="U1965" s="4"/>
      <x:c r="V1965" s="4"/>
      <x:c r="W1965" s="4"/>
      <x:c r="X1965" s="4"/>
      <x:c r="Y1965" s="4"/>
      <x:c r="Z1965" s="4"/>
    </x:row>
    <x:row r="1966" ht="23" customHeight="1">
      <x:c r="A1966" s="17" t="n">
        <x:f>ROW()-6</x:f>
        <x:v>1960</x:v>
      </x:c>
      <x:c r="B1966" s="4" t="n">
        <x:f>IF('계산 과정'!$L$5,'계산 과정'!$L$11*SQRT((A1966+0.5)/'계산 과정'!$L$30),"")</x:f>
        <x:v>146.7606769167494</x:v>
      </x:c>
      <x:c r="C1966" s="4" t="n">
        <x:f>A1966*PI()*(3-SQRT(5))</x:f>
        <x:v>4703.92793026816</x:v>
      </x:c>
      <x:c r="D1966" s="4" t="n">
        <x:f>IF('계산 과정'!$L$5,B1966*COS(C1966),"")</x:f>
        <x:v>-83.72141709062329</x:v>
      </x:c>
      <x:c r="E1966" s="4" t="n">
        <x:f>IF('계산 과정'!$L$5,B1966*SIN(C1966),"")</x:f>
        <x:v>-120.53804631484776</x:v>
      </x:c>
      <x:c r="F1966" s="4" t="n">
        <x:f>IF('계산 과정'!$L$7,'계산 과정'!$L$22+'계산 과정'!$C$49*D1966+'계산 과정'!$D$49*E1966,"")</x:f>
        <x:v>709.199981755327</x:v>
      </x:c>
      <x:c r="G1966" s="4" t="n">
        <x:f>IF('계산 과정'!$L$7,IF(ABS(F1966)&gt;=1E-12*MAX(1,SQRT((D1966-'계산 과정'!$C$33)^2+(E1966-'계산 과정'!$D$33)^2+'계산 과정'!$E$33^2)),('계산 과정'!$L$23-'계산 과정'!$C$49*D1966-'계산 과정'!$D$49*E1966)/F1966,""),"")</x:f>
        <x:v>0.4805414932487244</x:v>
      </x:c>
      <x:c r="H1966" s="4" t="n">
        <x:f>IF(AND(ISNUMBER(G1966),G1966&gt;0),('계산 과정'!$D$56+'계산 과정'!$D$57*D1966+'계산 과정'!$D$58*E1966)/F1966,"")</x:f>
        <x:v>-87.64802938832928</x:v>
      </x:c>
      <x:c r="I1966" s="4" t="n">
        <x:f>IF(AND(ISNUMBER(G1966),G1966&gt;0),('계산 과정'!$E$56+'계산 과정'!$E$57*D1966+'계산 과정'!$E$58*E1966)/F1966,"")</x:f>
        <x:v>-178.4615790842686</x:v>
      </x:c>
      <x:c r="J1966" s="4" t="n">
        <x:f>IF('계산 과정'!$L$5,'계산 과정'!$D$6+'계산 과정'!$C$35*D1966+'계산 과정'!$D$35*E1966,"")</x:f>
        <x:v>709.199981755327</x:v>
      </x:c>
      <x:c r="K1966" s="4" t="n">
        <x:f>IF(AND('계산 과정'!$L$6,J1966&gt;0),'계산 과정'!$D$10*('계산 과정'!$C$38*(D1966-'계산 과정'!$C$32)+'계산 과정'!$D$38*(E1966-'계산 과정'!$D$32)-'계산 과정'!$E$38*'계산 과정'!$E$32)/J1966,"")</x:f>
        <x:v>-0.6677945096253648</x:v>
      </x:c>
      <x:c r="L1966" s="4" t="n">
        <x:f>IF(AND('계산 과정'!$L$6,J1966&gt;0),'계산 과정'!$D$10*('계산 과정'!$C$39*(D1966-'계산 과정'!$C$32)+'계산 과정'!$D$39*(E1966-'계산 과정'!$D$32)-'계산 과정'!$E$39*'계산 과정'!$E$32)/J1966,"")</x:f>
        <x:v>-1.359707269213475</x:v>
      </x:c>
      <x:c r="M1966" s="17" t="n">
        <x:f>IF('계산 과정'!$L$6,IF(J1966&lt;=0,0,IF(AND(ABS(K1966)&lt;='계산 과정'!$D$11/2,ABS(L1966)&lt;='계산 과정'!$D$12/2),1,0)),"")</x:f>
        <x:v>1</x:v>
      </x:c>
      <x:c r="N1966" s="17" t="n">
        <x:f>IF('계산 과정'!$C$78,IF(AND(ISNUMBER(H1966),ISNUMBER(I1966),ABS(H1966-'계산 과정'!$C$88)&lt;='계산 과정'!$D$23/2,ABS(I1966-'계산 과정'!$C$89)&lt;='계산 과정'!$D$24/2),1,0),"")</x:f>
        <x:v>1</x:v>
      </x:c>
      <x:c r="O1966" s="4" t="n">
        <x:f>IF('계산 과정'!$L$7,'계산 과정'!$C$49*('계산 과정'!$C$32-D1966)+'계산 과정'!$D$49*('계산 과정'!$D$32-E1966)+'계산 과정'!$E$49*'계산 과정'!$E$32,"")</x:f>
        <x:v>-59.19998175532692</x:v>
      </x:c>
      <x:c r="P1966" s="4" t="n">
        <x:f>IF(AND('계산 과정'!$L$7,O1966&lt;&gt;0),('계산 과정'!$L$23-'계산 과정'!$C$49*D1966-'계산 과정'!$D$49*E1966)/O1966,"")</x:f>
        <x:v>-5.7567588391022975</x:v>
      </x:c>
      <x:c r="Q1966" s="4" t="str">
        <x:f>IF(AND(ISNUMBER(P1966),P1966&gt;1E-9,P1966&lt;1-1E-9),'계산 과정'!$C$47*(D1966-'계산 과정'!$C$50+P1966*('계산 과정'!$C$32-D1966))+'계산 과정'!$D$47*(E1966-'계산 과정'!$D$50+P1966*('계산 과정'!$D$32-E1966))+'계산 과정'!$E$47*(0-'계산 과정'!$E$50+P1966*('계산 과정'!$E$32-0)),"")</x:f>
      </x:c>
      <x:c r="R1966" s="4" t="str">
        <x:f>IF(AND(ISNUMBER(P1966),P1966&gt;1E-9,P1966&lt;1-1E-9),'계산 과정'!$C$48*(D1966-'계산 과정'!$C$50+P1966*('계산 과정'!$C$32-D1966))+'계산 과정'!$D$48*(E1966-'계산 과정'!$D$50+P1966*('계산 과정'!$D$32-E1966))+'계산 과정'!$E$48*(0-'계산 과정'!$E$50+P1966*('계산 과정'!$E$32-0)),"")</x:f>
      </x:c>
      <x:c r="S1966" s="17" t="n">
        <x:f>IF('계산 과정'!$C$78,IF(AND(ISNUMBER(Q1966),ISNUMBER(R1966),ABS(Q1966-'계산 과정'!$C$88)&lt;='계산 과정'!$D$23/2,ABS(R1966-'계산 과정'!$C$89)&lt;='계산 과정'!$D$24/2),1,0),"")</x:f>
        <x:v>0</x:v>
      </x:c>
      <x:c r="T1966" s="4"/>
      <x:c r="U1966" s="4"/>
      <x:c r="V1966" s="4"/>
      <x:c r="W1966" s="4"/>
      <x:c r="X1966" s="4"/>
      <x:c r="Y1966" s="4"/>
      <x:c r="Z1966" s="4"/>
    </x:row>
    <x:row r="1967" ht="23" customHeight="1">
      <x:c r="A1967" s="17" t="n">
        <x:f>ROW()-6</x:f>
        <x:v>1961</x:v>
      </x:c>
      <x:c r="B1967" s="4" t="n">
        <x:f>IF('계산 과정'!$L$5,'계산 과정'!$L$11*SQRT((A1967+0.5)/'계산 과정'!$L$30),"")</x:f>
        <x:v>146.79810154490247</x:v>
      </x:c>
      <x:c r="C1967" s="4" t="n">
        <x:f>A1967*PI()*(3-SQRT(5))</x:f>
        <x:v>4706.327893497889</x:v>
      </x:c>
      <x:c r="D1967" s="4" t="n">
        <x:f>IF('계산 과정'!$L$5,B1967*COS(C1967),"")</x:f>
        <x:v>143.1923531467688</x:v>
      </x:c>
      <x:c r="E1967" s="4" t="n">
        <x:f>IF('계산 과정'!$L$5,B1967*SIN(C1967),"")</x:f>
        <x:v>32.33624309468475</x:v>
      </x:c>
      <x:c r="F1967" s="4" t="n">
        <x:f>IF('계산 과정'!$L$7,'계산 과정'!$L$22+'계산 과정'!$C$49*D1967+'계산 과정'!$D$49*E1967,"")</x:f>
        <x:v>548.7477160758609</x:v>
      </x:c>
      <x:c r="G1967" s="4" t="n">
        <x:f>IF('계산 과정'!$L$7,IF(ABS(F1967)&gt;=1E-12*MAX(1,SQRT((D1967-'계산 과정'!$C$33)^2+(E1967-'계산 과정'!$D$33)^2+'계산 과정'!$E$33^2)),('계산 과정'!$L$23-'계산 과정'!$C$49*D1967-'계산 과정'!$D$49*E1967)/F1967,""),"")</x:f>
        <x:v>0.9134475993971045</x:v>
      </x:c>
      <x:c r="H1967" s="4" t="n">
        <x:f>IF(AND(ISNUMBER(G1967),G1967&gt;0),('계산 과정'!$D$56+'계산 과정'!$D$57*D1967+'계산 과정'!$D$58*E1967)/F1967,"")</x:f>
        <x:v>193.7409396081179</x:v>
      </x:c>
      <x:c r="I1967" s="4" t="n">
        <x:f>IF(AND(ISNUMBER(G1967),G1967&gt;0),('계산 과정'!$E$56+'계산 과정'!$E$57*D1967+'계산 과정'!$E$58*E1967)/F1967,"")</x:f>
        <x:v>61.87370672304573</x:v>
      </x:c>
      <x:c r="J1967" s="4" t="n">
        <x:f>IF('계산 과정'!$L$5,'계산 과정'!$D$6+'계산 과정'!$C$35*D1967+'계산 과정'!$D$35*E1967,"")</x:f>
        <x:v>548.7477160758609</x:v>
      </x:c>
      <x:c r="K1967" s="4" t="n">
        <x:f>IF(AND('계산 과정'!$L$6,J1967&gt;0),'계산 과정'!$D$10*('계산 과정'!$C$38*(D1967-'계산 과정'!$C$32)+'계산 과정'!$D$38*(E1967-'계산 과정'!$D$32)-'계산 과정'!$E$38*'계산 과정'!$E$32)/J1967,"")</x:f>
        <x:v>1.4761214446332802</x:v>
      </x:c>
      <x:c r="L1967" s="4" t="n">
        <x:f>IF(AND('계산 과정'!$L$6,J1967&gt;0),'계산 과정'!$D$10*('계산 과정'!$C$39*(D1967-'계산 과정'!$C$32)+'계산 과정'!$D$39*(E1967-'계산 과정'!$D$32)-'계산 과정'!$E$39*'계산 과정'!$E$32)/J1967,"")</x:f>
        <x:v>0.4714187178898722</x:v>
      </x:c>
      <x:c r="M1967" s="17" t="n">
        <x:f>IF('계산 과정'!$L$6,IF(J1967&lt;=0,0,IF(AND(ABS(K1967)&lt;='계산 과정'!$D$11/2,ABS(L1967)&lt;='계산 과정'!$D$12/2),1,0)),"")</x:f>
        <x:v>1</x:v>
      </x:c>
      <x:c r="N1967" s="17" t="n">
        <x:f>IF('계산 과정'!$C$78,IF(AND(ISNUMBER(H1967),ISNUMBER(I1967),ABS(H1967-'계산 과정'!$C$88)&lt;='계산 과정'!$D$23/2,ABS(I1967-'계산 과정'!$C$89)&lt;='계산 과정'!$D$24/2),1,0),"")</x:f>
        <x:v>1</x:v>
      </x:c>
      <x:c r="O1967" s="4" t="n">
        <x:f>IF('계산 과정'!$L$7,'계산 과정'!$C$49*('계산 과정'!$C$32-D1967)+'계산 과정'!$D$49*('계산 과정'!$D$32-E1967)+'계산 과정'!$E$49*'계산 과정'!$E$32,"")</x:f>
        <x:v>101.25228392413922</x:v>
      </x:c>
      <x:c r="P1967" s="4" t="n">
        <x:f>IF(AND('계산 과정'!$L$7,O1967&lt;&gt;0),('계산 과정'!$L$23-'계산 과정'!$C$49*D1967-'계산 과정'!$D$49*E1967)/O1967,"")</x:f>
        <x:v>4.950528170798497</x:v>
      </x:c>
      <x:c r="Q1967" s="4" t="str">
        <x:f>IF(AND(ISNUMBER(P1967),P1967&gt;1E-9,P1967&lt;1-1E-9),'계산 과정'!$C$47*(D1967-'계산 과정'!$C$50+P1967*('계산 과정'!$C$32-D1967))+'계산 과정'!$D$47*(E1967-'계산 과정'!$D$50+P1967*('계산 과정'!$D$32-E1967))+'계산 과정'!$E$47*(0-'계산 과정'!$E$50+P1967*('계산 과정'!$E$32-0)),"")</x:f>
      </x:c>
      <x:c r="R1967" s="4" t="str">
        <x:f>IF(AND(ISNUMBER(P1967),P1967&gt;1E-9,P1967&lt;1-1E-9),'계산 과정'!$C$48*(D1967-'계산 과정'!$C$50+P1967*('계산 과정'!$C$32-D1967))+'계산 과정'!$D$48*(E1967-'계산 과정'!$D$50+P1967*('계산 과정'!$D$32-E1967))+'계산 과정'!$E$48*(0-'계산 과정'!$E$50+P1967*('계산 과정'!$E$32-0)),"")</x:f>
      </x:c>
      <x:c r="S1967" s="17" t="n">
        <x:f>IF('계산 과정'!$C$78,IF(AND(ISNUMBER(Q1967),ISNUMBER(R1967),ABS(Q1967-'계산 과정'!$C$88)&lt;='계산 과정'!$D$23/2,ABS(R1967-'계산 과정'!$C$89)&lt;='계산 과정'!$D$24/2),1,0),"")</x:f>
        <x:v>0</x:v>
      </x:c>
      <x:c r="T1967" s="4"/>
      <x:c r="U1967" s="4"/>
      <x:c r="V1967" s="4"/>
      <x:c r="W1967" s="4"/>
      <x:c r="X1967" s="4"/>
      <x:c r="Y1967" s="4"/>
      <x:c r="Z1967" s="4"/>
    </x:row>
    <x:row r="1968" ht="23" customHeight="1">
      <x:c r="A1968" s="17" t="n">
        <x:f>ROW()-6</x:f>
        <x:v>1962</x:v>
      </x:c>
      <x:c r="B1968" s="4" t="n">
        <x:f>IF('계산 과정'!$L$5,'계산 과정'!$L$11*SQRT((A1968+0.5)/'계산 과정'!$L$30),"")</x:f>
        <x:v>146.83551663447267</x:v>
      </x:c>
      <x:c r="C1968" s="4" t="n">
        <x:f>A1968*PI()*(3-SQRT(5))</x:f>
        <x:v>4708.727856727617</x:v>
      </x:c>
      <x:c r="D1968" s="4" t="n">
        <x:f>IF('계산 과정'!$L$5,B1968*COS(C1968),"")</x:f>
        <x:v>-127.46088140032978</x:v>
      </x:c>
      <x:c r="E1968" s="4" t="n">
        <x:f>IF('계산 과정'!$L$5,B1968*SIN(C1968),"")</x:f>
        <x:v>72.89988105589453</x:v>
      </x:c>
      <x:c r="F1968" s="4" t="n">
        <x:f>IF('계산 과정'!$L$7,'계산 과정'!$L$22+'계산 과정'!$C$49*D1968+'계산 과정'!$D$49*E1968,"")</x:f>
        <x:v>740.1284535741875</x:v>
      </x:c>
      <x:c r="G1968" s="4" t="n">
        <x:f>IF('계산 과정'!$L$7,IF(ABS(F1968)&gt;=1E-12*MAX(1,SQRT((D1968-'계산 과정'!$C$33)^2+(E1968-'계산 과정'!$D$33)^2+'계산 과정'!$E$33^2)),('계산 과정'!$L$23-'계산 과정'!$C$49*D1968-'계산 과정'!$D$49*E1968)/F1968,""),"")</x:f>
        <x:v>0.418672657333194</x:v>
      </x:c>
      <x:c r="H1968" s="4" t="n">
        <x:f>IF(AND(ISNUMBER(G1968),G1968&gt;0),('계산 과정'!$D$56+'계산 과정'!$D$57*D1968+'계산 과정'!$D$58*E1968)/F1968,"")</x:f>
        <x:v>-127.8627727334241</x:v>
      </x:c>
      <x:c r="I1968" s="4" t="n">
        <x:f>IF(AND(ISNUMBER(G1968),G1968&gt;0),('계산 과정'!$E$56+'계산 과정'!$E$57*D1968+'계산 과정'!$E$58*E1968)/F1968,"")</x:f>
        <x:v>103.42106797683964</x:v>
      </x:c>
      <x:c r="J1968" s="4" t="n">
        <x:f>IF('계산 과정'!$L$5,'계산 과정'!$D$6+'계산 과정'!$C$35*D1968+'계산 과정'!$D$35*E1968,"")</x:f>
        <x:v>740.1284535741875</x:v>
      </x:c>
      <x:c r="K1968" s="4" t="n">
        <x:f>IF(AND('계산 과정'!$L$6,J1968&gt;0),'계산 과정'!$D$10*('계산 과정'!$C$38*(D1968-'계산 과정'!$C$32)+'계산 과정'!$D$38*(E1968-'계산 과정'!$D$32)-'계산 과정'!$E$38*'계산 과정'!$E$32)/J1968,"")</x:f>
        <x:v>-0.9741925541594204</x:v>
      </x:c>
      <x:c r="L1968" s="4" t="n">
        <x:f>IF(AND('계산 과정'!$L$6,J1968&gt;0),'계산 과정'!$D$10*('계산 과정'!$C$39*(D1968-'계산 과정'!$C$32)+'계산 과정'!$D$39*(E1968-'계산 과정'!$D$32)-'계산 과정'!$E$39*'계산 과정'!$E$32)/J1968,"")</x:f>
        <x:v>0.7879700417283021</x:v>
      </x:c>
      <x:c r="M1968" s="17" t="n">
        <x:f>IF('계산 과정'!$L$6,IF(J1968&lt;=0,0,IF(AND(ABS(K1968)&lt;='계산 과정'!$D$11/2,ABS(L1968)&lt;='계산 과정'!$D$12/2),1,0)),"")</x:f>
        <x:v>1</x:v>
      </x:c>
      <x:c r="N1968" s="17" t="n">
        <x:f>IF('계산 과정'!$C$78,IF(AND(ISNUMBER(H1968),ISNUMBER(I1968),ABS(H1968-'계산 과정'!$C$88)&lt;='계산 과정'!$D$23/2,ABS(I1968-'계산 과정'!$C$89)&lt;='계산 과정'!$D$24/2),1,0),"")</x:f>
        <x:v>1</x:v>
      </x:c>
      <x:c r="O1968" s="4" t="n">
        <x:f>IF('계산 과정'!$L$7,'계산 과정'!$C$49*('계산 과정'!$C$32-D1968)+'계산 과정'!$D$49*('계산 과정'!$D$32-E1968)+'계산 과정'!$E$49*'계산 과정'!$E$32,"")</x:f>
        <x:v>-90.12845357418735</x:v>
      </x:c>
      <x:c r="P1968" s="4" t="n">
        <x:f>IF(AND('계산 과정'!$L$7,O1968&lt;&gt;0),('계산 과정'!$L$23-'계산 과정'!$C$49*D1968-'계산 과정'!$D$49*E1968)/O1968,"")</x:f>
        <x:v>-3.438110098835195</x:v>
      </x:c>
      <x:c r="Q1968" s="4" t="str">
        <x:f>IF(AND(ISNUMBER(P1968),P1968&gt;1E-9,P1968&lt;1-1E-9),'계산 과정'!$C$47*(D1968-'계산 과정'!$C$50+P1968*('계산 과정'!$C$32-D1968))+'계산 과정'!$D$47*(E1968-'계산 과정'!$D$50+P1968*('계산 과정'!$D$32-E1968))+'계산 과정'!$E$47*(0-'계산 과정'!$E$50+P1968*('계산 과정'!$E$32-0)),"")</x:f>
      </x:c>
      <x:c r="R1968" s="4" t="str">
        <x:f>IF(AND(ISNUMBER(P1968),P1968&gt;1E-9,P1968&lt;1-1E-9),'계산 과정'!$C$48*(D1968-'계산 과정'!$C$50+P1968*('계산 과정'!$C$32-D1968))+'계산 과정'!$D$48*(E1968-'계산 과정'!$D$50+P1968*('계산 과정'!$D$32-E1968))+'계산 과정'!$E$48*(0-'계산 과정'!$E$50+P1968*('계산 과정'!$E$32-0)),"")</x:f>
      </x:c>
      <x:c r="S1968" s="17" t="n">
        <x:f>IF('계산 과정'!$C$78,IF(AND(ISNUMBER(Q1968),ISNUMBER(R1968),ABS(Q1968-'계산 과정'!$C$88)&lt;='계산 과정'!$D$23/2,ABS(R1968-'계산 과정'!$C$89)&lt;='계산 과정'!$D$24/2),1,0),"")</x:f>
        <x:v>0</x:v>
      </x:c>
      <x:c r="T1968" s="4"/>
      <x:c r="U1968" s="4"/>
      <x:c r="V1968" s="4"/>
      <x:c r="W1968" s="4"/>
      <x:c r="X1968" s="4"/>
      <x:c r="Y1968" s="4"/>
      <x:c r="Z1968" s="4"/>
    </x:row>
    <x:row r="1969" ht="23" customHeight="1">
      <x:c r="A1969" s="17" t="n">
        <x:f>ROW()-6</x:f>
        <x:v>1963</x:v>
      </x:c>
      <x:c r="B1969" s="4" t="n">
        <x:f>IF('계산 과정'!$L$5,'계산 과정'!$L$11*SQRT((A1969+0.5)/'계산 과정'!$L$30),"")</x:f>
        <x:v>146.87292219274968</x:v>
      </x:c>
      <x:c r="C1969" s="4" t="n">
        <x:f>A1969*PI()*(3-SQRT(5))</x:f>
        <x:v>4711.127819957345</x:v>
      </x:c>
      <x:c r="D1969" s="4" t="n">
        <x:f>IF('계산 과정'!$L$5,B1969*COS(C1969),"")</x:f>
        <x:v>44.753922928545784</x:v>
      </x:c>
      <x:c r="E1969" s="4" t="n">
        <x:f>IF('계산 과정'!$L$5,B1969*SIN(C1969),"")</x:f>
        <x:v>-139.8883185113871</x:v>
      </x:c>
      <x:c r="F1969" s="4" t="n">
        <x:f>IF('계산 과정'!$L$7,'계산 과정'!$L$22+'계산 과정'!$C$49*D1969+'계산 과정'!$D$49*E1969,"")</x:f>
        <x:v>618.3541976125251</x:v>
      </x:c>
      <x:c r="G1969" s="4" t="n">
        <x:f>IF('계산 과정'!$L$7,IF(ABS(F1969)&gt;=1E-12*MAX(1,SQRT((D1969-'계산 과정'!$C$33)^2+(E1969-'계산 과정'!$D$33)^2+'계산 과정'!$E$33^2)),('계산 과정'!$L$23-'계산 과정'!$C$49*D1969-'계산 과정'!$D$49*E1969)/F1969,""),"")</x:f>
        <x:v>0.6980559104378458</x:v>
      </x:c>
      <x:c r="H1969" s="4" t="n">
        <x:f>IF(AND(ISNUMBER(G1969),G1969&gt;0),('계산 과정'!$D$56+'계산 과정'!$D$57*D1969+'계산 과정'!$D$58*E1969)/F1969,"")</x:f>
        <x:v>53.73634178459964</x:v>
      </x:c>
      <x:c r="I1969" s="4" t="n">
        <x:f>IF(AND(ISNUMBER(G1969),G1969&gt;0),('계산 과정'!$E$56+'계산 과정'!$E$57*D1969+'계산 과정'!$E$58*E1969)/F1969,"")</x:f>
        <x:v>-237.5381860494728</x:v>
      </x:c>
      <x:c r="J1969" s="4" t="n">
        <x:f>IF('계산 과정'!$L$5,'계산 과정'!$D$6+'계산 과정'!$C$35*D1969+'계산 과정'!$D$35*E1969,"")</x:f>
        <x:v>618.3541976125251</x:v>
      </x:c>
      <x:c r="K1969" s="4" t="n">
        <x:f>IF(AND('계산 과정'!$L$6,J1969&gt;0),'계산 과정'!$D$10*('계산 과정'!$C$38*(D1969-'계산 과정'!$C$32)+'계산 과정'!$D$38*(E1969-'계산 과정'!$D$32)-'계산 과정'!$E$38*'계산 과정'!$E$32)/J1969,"")</x:f>
        <x:v>0.4094197469302835</x:v>
      </x:c>
      <x:c r="L1969" s="4" t="n">
        <x:f>IF(AND('계산 과정'!$L$6,J1969&gt;0),'계산 과정'!$D$10*('계산 과정'!$C$39*(D1969-'계산 과정'!$C$32)+'계산 과정'!$D$39*(E1969-'계산 과정'!$D$32)-'계산 과정'!$E$39*'계산 과정'!$E$32)/J1969,"")</x:f>
        <x:v>-1.809814750853126</x:v>
      </x:c>
      <x:c r="M1969" s="17" t="n">
        <x:f>IF('계산 과정'!$L$6,IF(J1969&lt;=0,0,IF(AND(ABS(K1969)&lt;='계산 과정'!$D$11/2,ABS(L1969)&lt;='계산 과정'!$D$12/2),1,0)),"")</x:f>
        <x:v>1</x:v>
      </x:c>
      <x:c r="N1969" s="17" t="n">
        <x:f>IF('계산 과정'!$C$78,IF(AND(ISNUMBER(H1969),ISNUMBER(I1969),ABS(H1969-'계산 과정'!$C$88)&lt;='계산 과정'!$D$23/2,ABS(I1969-'계산 과정'!$C$89)&lt;='계산 과정'!$D$24/2),1,0),"")</x:f>
        <x:v>1</x:v>
      </x:c>
      <x:c r="O1969" s="4" t="n">
        <x:f>IF('계산 과정'!$L$7,'계산 과정'!$C$49*('계산 과정'!$C$32-D1969)+'계산 과정'!$D$49*('계산 과정'!$D$32-E1969)+'계산 과정'!$E$49*'계산 과정'!$E$32,"")</x:f>
        <x:v>31.64580238747493</x:v>
      </x:c>
      <x:c r="P1969" s="4" t="n">
        <x:f>IF(AND('계산 과정'!$L$7,O1969&lt;&gt;0),('계산 과정'!$L$23-'계산 과정'!$C$49*D1969-'계산 과정'!$D$49*E1969)/O1969,"")</x:f>
        <x:v>13.63990702786906</x:v>
      </x:c>
      <x:c r="Q1969" s="4" t="str">
        <x:f>IF(AND(ISNUMBER(P1969),P1969&gt;1E-9,P1969&lt;1-1E-9),'계산 과정'!$C$47*(D1969-'계산 과정'!$C$50+P1969*('계산 과정'!$C$32-D1969))+'계산 과정'!$D$47*(E1969-'계산 과정'!$D$50+P1969*('계산 과정'!$D$32-E1969))+'계산 과정'!$E$47*(0-'계산 과정'!$E$50+P1969*('계산 과정'!$E$32-0)),"")</x:f>
      </x:c>
      <x:c r="R1969" s="4" t="str">
        <x:f>IF(AND(ISNUMBER(P1969),P1969&gt;1E-9,P1969&lt;1-1E-9),'계산 과정'!$C$48*(D1969-'계산 과정'!$C$50+P1969*('계산 과정'!$C$32-D1969))+'계산 과정'!$D$48*(E1969-'계산 과정'!$D$50+P1969*('계산 과정'!$D$32-E1969))+'계산 과정'!$E$48*(0-'계산 과정'!$E$50+P1969*('계산 과정'!$E$32-0)),"")</x:f>
      </x:c>
      <x:c r="S1969" s="17" t="n">
        <x:f>IF('계산 과정'!$C$78,IF(AND(ISNUMBER(Q1969),ISNUMBER(R1969),ABS(Q1969-'계산 과정'!$C$88)&lt;='계산 과정'!$D$23/2,ABS(R1969-'계산 과정'!$C$89)&lt;='계산 과정'!$D$24/2),1,0),"")</x:f>
        <x:v>0</x:v>
      </x:c>
      <x:c r="T1969" s="4"/>
      <x:c r="U1969" s="4"/>
      <x:c r="V1969" s="4"/>
      <x:c r="W1969" s="4"/>
      <x:c r="X1969" s="4"/>
      <x:c r="Y1969" s="4"/>
      <x:c r="Z1969" s="4"/>
    </x:row>
    <x:row r="1970" ht="23" customHeight="1">
      <x:c r="A1970" s="17" t="n">
        <x:f>ROW()-6</x:f>
        <x:v>1964</x:v>
      </x:c>
      <x:c r="B1970" s="4" t="n">
        <x:f>IF('계산 과정'!$L$5,'계산 과정'!$L$11*SQRT((A1970+0.5)/'계산 과정'!$L$30),"")</x:f>
        <x:v>146.91031822701393</x:v>
      </x:c>
      <x:c r="C1970" s="4" t="n">
        <x:f>A1970*PI()*(3-SQRT(5))</x:f>
        <x:v>4713.527783187074</x:v>
      </x:c>
      <x:c r="D1970" s="4" t="n">
        <x:f>IF('계산 과정'!$L$5,B1970*COS(C1970),"")</x:f>
        <x:v>61.508708542622024</x:v>
      </x:c>
      <x:c r="E1970" s="4" t="n">
        <x:f>IF('계산 과정'!$L$5,B1970*SIN(C1970),"")</x:f>
        <x:v>133.41409361451014</x:v>
      </x:c>
      <x:c r="F1970" s="4" t="n">
        <x:f>IF('계산 과정'!$L$7,'계산 과정'!$L$22+'계산 과정'!$C$49*D1970+'계산 과정'!$D$49*E1970,"")</x:f>
        <x:v>606.506775087485</x:v>
      </x:c>
      <x:c r="G1970" s="4" t="n">
        <x:f>IF('계산 과정'!$L$7,IF(ABS(F1970)&gt;=1E-12*MAX(1,SQRT((D1970-'계산 과정'!$C$33)^2+(E1970-'계산 과정'!$D$33)^2+'계산 과정'!$E$33^2)),('계산 과정'!$L$23-'계산 과정'!$C$49*D1970-'계산 과정'!$D$49*E1970)/F1970,""),"")</x:f>
        <x:v>0.7312255083194144</x:v>
      </x:c>
      <x:c r="H1970" s="4" t="n">
        <x:f>IF(AND(ISNUMBER(G1970),G1970&gt;0),('계산 과정'!$D$56+'계산 과정'!$D$57*D1970+'계산 과정'!$D$58*E1970)/F1970,"")</x:f>
        <x:v>75.29658040761923</x:v>
      </x:c>
      <x:c r="I1970" s="4" t="n">
        <x:f>IF(AND(ISNUMBER(G1970),G1970&gt;0),('계산 과정'!$E$56+'계산 과정'!$E$57*D1970+'계산 과정'!$E$58*E1970)/F1970,"")</x:f>
        <x:v>230.96988203475425</x:v>
      </x:c>
      <x:c r="J1970" s="4" t="n">
        <x:f>IF('계산 과정'!$L$5,'계산 과정'!$D$6+'계산 과정'!$C$35*D1970+'계산 과정'!$D$35*E1970,"")</x:f>
        <x:v>606.506775087485</x:v>
      </x:c>
      <x:c r="K1970" s="4" t="n">
        <x:f>IF(AND('계산 과정'!$L$6,J1970&gt;0),'계산 과정'!$D$10*('계산 과정'!$C$38*(D1970-'계산 과정'!$C$32)+'계산 과정'!$D$38*(E1970-'계산 과정'!$D$32)-'계산 과정'!$E$38*'계산 과정'!$E$32)/J1970,"")</x:f>
        <x:v>0.5736882316770997</x:v>
      </x:c>
      <x:c r="L1970" s="4" t="n">
        <x:f>IF(AND('계산 과정'!$L$6,J1970&gt;0),'계산 과정'!$D$10*('계산 과정'!$C$39*(D1970-'계산 과정'!$C$32)+'계산 과정'!$D$39*(E1970-'계산 과정'!$D$32)-'계산 과정'!$E$39*'계산 과정'!$E$32)/J1970,"")</x:f>
        <x:v>1.7597705297886037</x:v>
      </x:c>
      <x:c r="M1970" s="17" t="n">
        <x:f>IF('계산 과정'!$L$6,IF(J1970&lt;=0,0,IF(AND(ABS(K1970)&lt;='계산 과정'!$D$11/2,ABS(L1970)&lt;='계산 과정'!$D$12/2),1,0)),"")</x:f>
        <x:v>1</x:v>
      </x:c>
      <x:c r="N1970" s="17" t="n">
        <x:f>IF('계산 과정'!$C$78,IF(AND(ISNUMBER(H1970),ISNUMBER(I1970),ABS(H1970-'계산 과정'!$C$88)&lt;='계산 과정'!$D$23/2,ABS(I1970-'계산 과정'!$C$89)&lt;='계산 과정'!$D$24/2),1,0),"")</x:f>
        <x:v>1</x:v>
      </x:c>
      <x:c r="O1970" s="4" t="n">
        <x:f>IF('계산 과정'!$L$7,'계산 과정'!$C$49*('계산 과정'!$C$32-D1970)+'계산 과정'!$D$49*('계산 과정'!$D$32-E1970)+'계산 과정'!$E$49*'계산 과정'!$E$32,"")</x:f>
        <x:v>43.493224912515075</x:v>
      </x:c>
      <x:c r="P1970" s="4" t="n">
        <x:f>IF(AND('계산 과정'!$L$7,O1970&lt;&gt;0),('계산 과정'!$L$23-'계산 과정'!$C$49*D1970-'계산 과정'!$D$49*E1970)/O1970,"")</x:f>
        <x:v>10.196834697923281</x:v>
      </x:c>
      <x:c r="Q1970" s="4" t="str">
        <x:f>IF(AND(ISNUMBER(P1970),P1970&gt;1E-9,P1970&lt;1-1E-9),'계산 과정'!$C$47*(D1970-'계산 과정'!$C$50+P1970*('계산 과정'!$C$32-D1970))+'계산 과정'!$D$47*(E1970-'계산 과정'!$D$50+P1970*('계산 과정'!$D$32-E1970))+'계산 과정'!$E$47*(0-'계산 과정'!$E$50+P1970*('계산 과정'!$E$32-0)),"")</x:f>
      </x:c>
      <x:c r="R1970" s="4" t="str">
        <x:f>IF(AND(ISNUMBER(P1970),P1970&gt;1E-9,P1970&lt;1-1E-9),'계산 과정'!$C$48*(D1970-'계산 과정'!$C$50+P1970*('계산 과정'!$C$32-D1970))+'계산 과정'!$D$48*(E1970-'계산 과정'!$D$50+P1970*('계산 과정'!$D$32-E1970))+'계산 과정'!$E$48*(0-'계산 과정'!$E$50+P1970*('계산 과정'!$E$32-0)),"")</x:f>
      </x:c>
      <x:c r="S1970" s="17" t="n">
        <x:f>IF('계산 과정'!$C$78,IF(AND(ISNUMBER(Q1970),ISNUMBER(R1970),ABS(Q1970-'계산 과정'!$C$88)&lt;='계산 과정'!$D$23/2,ABS(R1970-'계산 과정'!$C$89)&lt;='계산 과정'!$D$24/2),1,0),"")</x:f>
        <x:v>0</x:v>
      </x:c>
      <x:c r="T1970" s="4"/>
      <x:c r="U1970" s="4"/>
      <x:c r="V1970" s="4"/>
      <x:c r="W1970" s="4"/>
      <x:c r="X1970" s="4"/>
      <x:c r="Y1970" s="4"/>
      <x:c r="Z1970" s="4"/>
    </x:row>
    <x:row r="1971" ht="23" customHeight="1">
      <x:c r="A1971" s="17" t="n">
        <x:f>ROW()-6</x:f>
        <x:v>1965</x:v>
      </x:c>
      <x:c r="B1971" s="4" t="n">
        <x:f>IF('계산 과정'!$L$5,'계산 과정'!$L$11*SQRT((A1971+0.5)/'계산 과정'!$L$30),"")</x:f>
        <x:v>146.94770474453657</x:v>
      </x:c>
      <x:c r="C1971" s="4" t="n">
        <x:f>A1971*PI()*(3-SQRT(5))</x:f>
        <x:v>4715.927746416803</x:v>
      </x:c>
      <x:c r="D1971" s="4" t="n">
        <x:f>IF('계산 과정'!$L$5,B1971*COS(C1971),"")</x:f>
        <x:v>-135.50900904258685</x:v>
      </x:c>
      <x:c r="E1971" s="4" t="n">
        <x:f>IF('계산 과정'!$L$5,B1971*SIN(C1971),"")</x:f>
        <x:v>-56.84132649739633</x:v>
      </x:c>
      <x:c r="F1971" s="4" t="n">
        <x:f>IF('계산 과정'!$L$7,'계산 과정'!$L$22+'계산 과정'!$C$49*D1971+'계산 과정'!$D$49*E1971,"")</x:f>
        <x:v>745.8193392058823</x:v>
      </x:c>
      <x:c r="G1971" s="4" t="n">
        <x:f>IF('계산 과정'!$L$7,IF(ABS(F1971)&gt;=1E-12*MAX(1,SQRT((D1971-'계산 과정'!$C$33)^2+(E1971-'계산 과정'!$D$33)^2+'계산 과정'!$E$33^2)),('계산 과정'!$L$23-'계산 과정'!$C$49*D1971-'계산 과정'!$D$49*E1971)/F1971,""),"")</x:f>
        <x:v>0.4078476446025075</x:v>
      </x:c>
      <x:c r="H1971" s="4" t="n">
        <x:f>IF(AND(ISNUMBER(G1971),G1971&gt;0),('계산 과정'!$D$56+'계산 과정'!$D$57*D1971+'계산 과정'!$D$58*E1971)/F1971,"")</x:f>
        <x:v>-134.8990310083703</x:v>
      </x:c>
      <x:c r="I1971" s="4" t="n">
        <x:f>IF(AND(ISNUMBER(G1971),G1971&gt;0),('계산 과정'!$E$56+'계산 과정'!$E$57*D1971+'계산 과정'!$E$58*E1971)/F1971,"")</x:f>
        <x:v>-80.02392762544152</x:v>
      </x:c>
      <x:c r="J1971" s="4" t="n">
        <x:f>IF('계산 과정'!$L$5,'계산 과정'!$D$6+'계산 과정'!$C$35*D1971+'계산 과정'!$D$35*E1971,"")</x:f>
        <x:v>745.8193392058823</x:v>
      </x:c>
      <x:c r="K1971" s="4" t="n">
        <x:f>IF(AND('계산 과정'!$L$6,J1971&gt;0),'계산 과정'!$D$10*('계산 과정'!$C$38*(D1971-'계산 과정'!$C$32)+'계산 과정'!$D$38*(E1971-'계산 과정'!$D$32)-'계산 과정'!$E$38*'계산 과정'!$E$32)/J1971,"")</x:f>
        <x:v>-1.0278021410161535</x:v>
      </x:c>
      <x:c r="L1971" s="4" t="n">
        <x:f>IF(AND('계산 과정'!$L$6,J1971&gt;0),'계산 과정'!$D$10*('계산 과정'!$C$39*(D1971-'계산 과정'!$C$32)+'계산 과정'!$D$39*(E1971-'계산 과정'!$D$32)-'계산 과정'!$E$39*'계산 과정'!$E$32)/J1971,"")</x:f>
        <x:v>-0.6097061152414592</x:v>
      </x:c>
      <x:c r="M1971" s="17" t="n">
        <x:f>IF('계산 과정'!$L$6,IF(J1971&lt;=0,0,IF(AND(ABS(K1971)&lt;='계산 과정'!$D$11/2,ABS(L1971)&lt;='계산 과정'!$D$12/2),1,0)),"")</x:f>
        <x:v>1</x:v>
      </x:c>
      <x:c r="N1971" s="17" t="n">
        <x:f>IF('계산 과정'!$C$78,IF(AND(ISNUMBER(H1971),ISNUMBER(I1971),ABS(H1971-'계산 과정'!$C$88)&lt;='계산 과정'!$D$23/2,ABS(I1971-'계산 과정'!$C$89)&lt;='계산 과정'!$D$24/2),1,0),"")</x:f>
        <x:v>1</x:v>
      </x:c>
      <x:c r="O1971" s="4" t="n">
        <x:f>IF('계산 과정'!$L$7,'계산 과정'!$C$49*('계산 과정'!$C$32-D1971)+'계산 과정'!$D$49*('계산 과정'!$D$32-E1971)+'계산 과정'!$E$49*'계산 과정'!$E$32,"")</x:f>
        <x:v>-95.81933920588222</x:v>
      </x:c>
      <x:c r="P1971" s="4" t="n">
        <x:f>IF(AND('계산 과정'!$L$7,O1971&lt;&gt;0),('계산 과정'!$L$23-'계산 과정'!$C$49*D1971-'계산 과정'!$D$49*E1971)/O1971,"")</x:f>
        <x:v>-3.174522630974734</x:v>
      </x:c>
      <x:c r="Q1971" s="4" t="str">
        <x:f>IF(AND(ISNUMBER(P1971),P1971&gt;1E-9,P1971&lt;1-1E-9),'계산 과정'!$C$47*(D1971-'계산 과정'!$C$50+P1971*('계산 과정'!$C$32-D1971))+'계산 과정'!$D$47*(E1971-'계산 과정'!$D$50+P1971*('계산 과정'!$D$32-E1971))+'계산 과정'!$E$47*(0-'계산 과정'!$E$50+P1971*('계산 과정'!$E$32-0)),"")</x:f>
      </x:c>
      <x:c r="R1971" s="4" t="str">
        <x:f>IF(AND(ISNUMBER(P1971),P1971&gt;1E-9,P1971&lt;1-1E-9),'계산 과정'!$C$48*(D1971-'계산 과정'!$C$50+P1971*('계산 과정'!$C$32-D1971))+'계산 과정'!$D$48*(E1971-'계산 과정'!$D$50+P1971*('계산 과정'!$D$32-E1971))+'계산 과정'!$E$48*(0-'계산 과정'!$E$50+P1971*('계산 과정'!$E$32-0)),"")</x:f>
      </x:c>
      <x:c r="S1971" s="17" t="n">
        <x:f>IF('계산 과정'!$C$78,IF(AND(ISNUMBER(Q1971),ISNUMBER(R1971),ABS(Q1971-'계산 과정'!$C$88)&lt;='계산 과정'!$D$23/2,ABS(R1971-'계산 과정'!$C$89)&lt;='계산 과정'!$D$24/2),1,0),"")</x:f>
        <x:v>0</x:v>
      </x:c>
      <x:c r="T1971" s="4"/>
      <x:c r="U1971" s="4"/>
      <x:c r="V1971" s="4"/>
      <x:c r="W1971" s="4"/>
      <x:c r="X1971" s="4"/>
      <x:c r="Y1971" s="4"/>
      <x:c r="Z1971" s="4"/>
    </x:row>
    <x:row r="1972" ht="23" customHeight="1">
      <x:c r="A1972" s="17" t="n">
        <x:f>ROW()-6</x:f>
        <x:v>1966</x:v>
      </x:c>
      <x:c r="B1972" s="4" t="n">
        <x:f>IF('계산 과정'!$L$5,'계산 과정'!$L$11*SQRT((A1972+0.5)/'계산 과정'!$L$30),"")</x:f>
        <x:v>146.98508175257956</x:v>
      </x:c>
      <x:c r="C1972" s="4" t="n">
        <x:f>A1972*PI()*(3-SQRT(5))</x:f>
        <x:v>4718.327709646532</x:v>
      </x:c>
      <x:c r="D1972" s="4" t="n">
        <x:f>IF('계산 과정'!$L$5,B1972*COS(C1972),"")</x:f>
        <x:v>138.35107178476954</x:v>
      </x:c>
      <x:c r="E1972" s="4" t="n">
        <x:f>IF('계산 과정'!$L$5,B1972*SIN(C1972),"")</x:f>
        <x:v>-49.63461689000973</x:v>
      </x:c>
      <x:c r="F1972" s="4" t="n">
        <x:f>IF('계산 과정'!$L$7,'계산 과정'!$L$22+'계산 과정'!$C$49*D1972+'계산 과정'!$D$49*E1972,"")</x:f>
        <x:v>552.1710189565626</x:v>
      </x:c>
      <x:c r="G1972" s="4" t="n">
        <x:f>IF('계산 과정'!$L$7,IF(ABS(F1972)&gt;=1E-12*MAX(1,SQRT((D1972-'계산 과정'!$C$33)^2+(E1972-'계산 과정'!$D$33)^2+'계산 과정'!$E$33^2)),('계산 과정'!$L$23-'계산 과정'!$C$49*D1972-'계산 과정'!$D$49*E1972)/F1972,""),"")</x:f>
        <x:v>0.9015847698493568</x:v>
      </x:c>
      <x:c r="H1972" s="4" t="n">
        <x:f>IF(AND(ISNUMBER(G1972),G1972&gt;0),('계산 과정'!$D$56+'계산 과정'!$D$57*D1972+'계산 과정'!$D$58*E1972)/F1972,"")</x:f>
        <x:v>186.03010040208184</x:v>
      </x:c>
      <x:c r="I1972" s="4" t="n">
        <x:f>IF(AND(ISNUMBER(G1972),G1972&gt;0),('계산 과정'!$E$56+'계산 과정'!$E$57*D1972+'계산 과정'!$E$58*E1972)/F1972,"")</x:f>
        <x:v>-94.38443153535015</x:v>
      </x:c>
      <x:c r="J1972" s="4" t="n">
        <x:f>IF('계산 과정'!$L$5,'계산 과정'!$D$6+'계산 과정'!$C$35*D1972+'계산 과정'!$D$35*E1972,"")</x:f>
        <x:v>552.1710189565626</x:v>
      </x:c>
      <x:c r="K1972" s="4" t="n">
        <x:f>IF(AND('계산 과정'!$L$6,J1972&gt;0),'계산 과정'!$D$10*('계산 과정'!$C$38*(D1972-'계산 과정'!$C$32)+'계산 과정'!$D$38*(E1972-'계산 과정'!$D$32)-'계산 과정'!$E$38*'계산 과정'!$E$32)/J1972,"")</x:f>
        <x:v>1.4173721935396721</x:v>
      </x:c>
      <x:c r="L1972" s="4" t="n">
        <x:f>IF(AND('계산 과정'!$L$6,J1972&gt;0),'계산 과정'!$D$10*('계산 과정'!$C$39*(D1972-'계산 과정'!$C$32)+'계산 과정'!$D$39*(E1972-'계산 과정'!$D$32)-'계산 과정'!$E$39*'계산 과정'!$E$32)/J1972,"")</x:f>
        <x:v>-0.7191194783645726</x:v>
      </x:c>
      <x:c r="M1972" s="17" t="n">
        <x:f>IF('계산 과정'!$L$6,IF(J1972&lt;=0,0,IF(AND(ABS(K1972)&lt;='계산 과정'!$D$11/2,ABS(L1972)&lt;='계산 과정'!$D$12/2),1,0)),"")</x:f>
        <x:v>1</x:v>
      </x:c>
      <x:c r="N1972" s="17" t="n">
        <x:f>IF('계산 과정'!$C$78,IF(AND(ISNUMBER(H1972),ISNUMBER(I1972),ABS(H1972-'계산 과정'!$C$88)&lt;='계산 과정'!$D$23/2,ABS(I1972-'계산 과정'!$C$89)&lt;='계산 과정'!$D$24/2),1,0),"")</x:f>
        <x:v>1</x:v>
      </x:c>
      <x:c r="O1972" s="4" t="n">
        <x:f>IF('계산 과정'!$L$7,'계산 과정'!$C$49*('계산 과정'!$C$32-D1972)+'계산 과정'!$D$49*('계산 과정'!$D$32-E1972)+'계산 과정'!$E$49*'계산 과정'!$E$32,"")</x:f>
        <x:v>97.82898104343747</x:v>
      </x:c>
      <x:c r="P1972" s="4" t="n">
        <x:f>IF(AND('계산 과정'!$L$7,O1972&lt;&gt;0),('계산 과정'!$L$23-'계산 과정'!$C$49*D1972-'계산 과정'!$D$49*E1972)/O1972,"")</x:f>
        <x:v>5.088767926780247</x:v>
      </x:c>
      <x:c r="Q1972" s="4" t="str">
        <x:f>IF(AND(ISNUMBER(P1972),P1972&gt;1E-9,P1972&lt;1-1E-9),'계산 과정'!$C$47*(D1972-'계산 과정'!$C$50+P1972*('계산 과정'!$C$32-D1972))+'계산 과정'!$D$47*(E1972-'계산 과정'!$D$50+P1972*('계산 과정'!$D$32-E1972))+'계산 과정'!$E$47*(0-'계산 과정'!$E$50+P1972*('계산 과정'!$E$32-0)),"")</x:f>
      </x:c>
      <x:c r="R1972" s="4" t="str">
        <x:f>IF(AND(ISNUMBER(P1972),P1972&gt;1E-9,P1972&lt;1-1E-9),'계산 과정'!$C$48*(D1972-'계산 과정'!$C$50+P1972*('계산 과정'!$C$32-D1972))+'계산 과정'!$D$48*(E1972-'계산 과정'!$D$50+P1972*('계산 과정'!$D$32-E1972))+'계산 과정'!$E$48*(0-'계산 과정'!$E$50+P1972*('계산 과정'!$E$32-0)),"")</x:f>
      </x:c>
      <x:c r="S1972" s="17" t="n">
        <x:f>IF('계산 과정'!$C$78,IF(AND(ISNUMBER(Q1972),ISNUMBER(R1972),ABS(Q1972-'계산 과정'!$C$88)&lt;='계산 과정'!$D$23/2,ABS(R1972-'계산 과정'!$C$89)&lt;='계산 과정'!$D$24/2),1,0),"")</x:f>
        <x:v>0</x:v>
      </x:c>
      <x:c r="T1972" s="4"/>
      <x:c r="U1972" s="4"/>
      <x:c r="V1972" s="4"/>
      <x:c r="W1972" s="4"/>
      <x:c r="X1972" s="4"/>
      <x:c r="Y1972" s="4"/>
      <x:c r="Z1972" s="4"/>
    </x:row>
    <x:row r="1973" ht="23" customHeight="1">
      <x:c r="A1973" s="17" t="n">
        <x:f>ROW()-6</x:f>
        <x:v>1967</x:v>
      </x:c>
      <x:c r="B1973" s="4" t="n">
        <x:f>IF('계산 과정'!$L$5,'계산 과정'!$L$11*SQRT((A1973+0.5)/'계산 과정'!$L$30),"")</x:f>
        <x:v>147.02244925839557</x:v>
      </x:c>
      <x:c r="C1973" s="4" t="n">
        <x:f>A1973*PI()*(3-SQRT(5))</x:f>
        <x:v>4720.72767287626</x:v>
      </x:c>
      <x:c r="D1973" s="4" t="n">
        <x:f>IF('계산 과정'!$L$5,B1973*COS(C1973),"")</x:f>
        <x:v>-68.50548409857669</x:v>
      </x:c>
      <x:c r="E1973" s="4" t="n">
        <x:f>IF('계산 과정'!$L$5,B1973*SIN(C1973),"")</x:f>
        <x:v>130.08689109344243</x:v>
      </x:c>
      <x:c r="F1973" s="4" t="n">
        <x:f>IF('계산 과정'!$L$7,'계산 과정'!$L$22+'계산 과정'!$C$49*D1973+'계산 과정'!$D$49*E1973,"")</x:f>
        <x:v>698.4406923545707</x:v>
      </x:c>
      <x:c r="G1973" s="4" t="n">
        <x:f>IF('계산 과정'!$L$7,IF(ABS(F1973)&gt;=1E-12*MAX(1,SQRT((D1973-'계산 과정'!$C$33)^2+(E1973-'계산 과정'!$D$33)^2+'계산 과정'!$E$33^2)),('계산 과정'!$L$23-'계산 과정'!$C$49*D1973-'계산 과정'!$D$49*E1973)/F1973,""),"")</x:f>
        <x:v>0.5033488333279362</x:v>
      </x:c>
      <x:c r="H1973" s="4" t="n">
        <x:f>IF(AND(ISNUMBER(G1973),G1973&gt;0),('계산 과정'!$D$56+'계산 과정'!$D$57*D1973+'계산 과정'!$D$58*E1973)/F1973,"")</x:f>
        <x:v>-72.82325833684159</x:v>
      </x:c>
      <x:c r="I1973" s="4" t="n">
        <x:f>IF(AND(ISNUMBER(G1973),G1973&gt;0),('계산 과정'!$E$56+'계산 과정'!$E$57*D1973+'계산 과정'!$E$58*E1973)/F1973,"")</x:f>
        <x:v>195.565975956585</x:v>
      </x:c>
      <x:c r="J1973" s="4" t="n">
        <x:f>IF('계산 과정'!$L$5,'계산 과정'!$D$6+'계산 과정'!$C$35*D1973+'계산 과정'!$D$35*E1973,"")</x:f>
        <x:v>698.4406923545707</x:v>
      </x:c>
      <x:c r="K1973" s="4" t="n">
        <x:f>IF(AND('계산 과정'!$L$6,J1973&gt;0),'계산 과정'!$D$10*('계산 과정'!$C$38*(D1973-'계산 과정'!$C$32)+'계산 과정'!$D$38*(E1973-'계산 과정'!$D$32)-'계산 과정'!$E$38*'계산 과정'!$E$32)/J1973,"")</x:f>
        <x:v>-0.5548438730426011</x:v>
      </x:c>
      <x:c r="L1973" s="4" t="n">
        <x:f>IF(AND('계산 과정'!$L$6,J1973&gt;0),'계산 과정'!$D$10*('계산 과정'!$C$39*(D1973-'계산 과정'!$C$32)+'계산 과정'!$D$39*(E1973-'계산 과정'!$D$32)-'계산 과정'!$E$39*'계산 과정'!$E$32)/J1973,"")</x:f>
        <x:v>1.490026483478743</x:v>
      </x:c>
      <x:c r="M1973" s="17" t="n">
        <x:f>IF('계산 과정'!$L$6,IF(J1973&lt;=0,0,IF(AND(ABS(K1973)&lt;='계산 과정'!$D$11/2,ABS(L1973)&lt;='계산 과정'!$D$12/2),1,0)),"")</x:f>
        <x:v>1</x:v>
      </x:c>
      <x:c r="N1973" s="17" t="n">
        <x:f>IF('계산 과정'!$C$78,IF(AND(ISNUMBER(H1973),ISNUMBER(I1973),ABS(H1973-'계산 과정'!$C$88)&lt;='계산 과정'!$D$23/2,ABS(I1973-'계산 과정'!$C$89)&lt;='계산 과정'!$D$24/2),1,0),"")</x:f>
        <x:v>1</x:v>
      </x:c>
      <x:c r="O1973" s="4" t="n">
        <x:f>IF('계산 과정'!$L$7,'계산 과정'!$C$49*('계산 과정'!$C$32-D1973)+'계산 과정'!$D$49*('계산 과정'!$D$32-E1973)+'계산 과정'!$E$49*'계산 과정'!$E$32,"")</x:f>
        <x:v>-48.440692354570615</x:v>
      </x:c>
      <x:c r="P1973" s="4" t="n">
        <x:f>IF(AND('계산 과정'!$L$7,O1973&lt;&gt;0),('계산 과정'!$L$23-'계산 과정'!$C$49*D1973-'계산 과정'!$D$49*E1973)/O1973,"")</x:f>
        <x:v>-7.257520290422891</x:v>
      </x:c>
      <x:c r="Q1973" s="4" t="str">
        <x:f>IF(AND(ISNUMBER(P1973),P1973&gt;1E-9,P1973&lt;1-1E-9),'계산 과정'!$C$47*(D1973-'계산 과정'!$C$50+P1973*('계산 과정'!$C$32-D1973))+'계산 과정'!$D$47*(E1973-'계산 과정'!$D$50+P1973*('계산 과정'!$D$32-E1973))+'계산 과정'!$E$47*(0-'계산 과정'!$E$50+P1973*('계산 과정'!$E$32-0)),"")</x:f>
      </x:c>
      <x:c r="R1973" s="4" t="str">
        <x:f>IF(AND(ISNUMBER(P1973),P1973&gt;1E-9,P1973&lt;1-1E-9),'계산 과정'!$C$48*(D1973-'계산 과정'!$C$50+P1973*('계산 과정'!$C$32-D1973))+'계산 과정'!$D$48*(E1973-'계산 과정'!$D$50+P1973*('계산 과정'!$D$32-E1973))+'계산 과정'!$E$48*(0-'계산 과정'!$E$50+P1973*('계산 과정'!$E$32-0)),"")</x:f>
      </x:c>
      <x:c r="S1973" s="17" t="n">
        <x:f>IF('계산 과정'!$C$78,IF(AND(ISNUMBER(Q1973),ISNUMBER(R1973),ABS(Q1973-'계산 과정'!$C$88)&lt;='계산 과정'!$D$23/2,ABS(R1973-'계산 과정'!$C$89)&lt;='계산 과정'!$D$24/2),1,0),"")</x:f>
        <x:v>0</x:v>
      </x:c>
      <x:c r="T1973" s="4"/>
      <x:c r="U1973" s="4"/>
      <x:c r="V1973" s="4"/>
      <x:c r="W1973" s="4"/>
      <x:c r="X1973" s="4"/>
      <x:c r="Y1973" s="4"/>
      <x:c r="Z1973" s="4"/>
    </x:row>
    <x:row r="1974" ht="23" customHeight="1">
      <x:c r="A1974" s="17" t="n">
        <x:f>ROW()-6</x:f>
        <x:v>1968</x:v>
      </x:c>
      <x:c r="B1974" s="4" t="n">
        <x:f>IF('계산 과정'!$L$5,'계산 과정'!$L$11*SQRT((A1974+0.5)/'계산 과정'!$L$30),"")</x:f>
        <x:v>147.05980726922806</x:v>
      </x:c>
      <x:c r="C1974" s="4" t="n">
        <x:f>A1974*PI()*(3-SQRT(5))</x:f>
        <x:v>4723.127636105989</x:v>
      </x:c>
      <x:c r="D1974" s="4" t="n">
        <x:f>IF('계산 과정'!$L$5,B1974*COS(C1974),"")</x:f>
        <x:v>-37.36811311767822</x:v>
      </x:c>
      <x:c r="E1974" s="4" t="n">
        <x:f>IF('계산 과정'!$L$5,B1974*SIN(C1974),"")</x:f>
        <x:v>-142.23294638053065</x:v>
      </x:c>
      <x:c r="F1974" s="4" t="n">
        <x:f>IF('계산 과정'!$L$7,'계산 과정'!$L$22+'계산 과정'!$C$49*D1974+'계산 과정'!$D$49*E1974,"")</x:f>
        <x:v>676.4232461856562</x:v>
      </x:c>
      <x:c r="G1974" s="4" t="n">
        <x:f>IF('계산 과정'!$L$7,IF(ABS(F1974)&gt;=1E-12*MAX(1,SQRT((D1974-'계산 과정'!$C$33)^2+(E1974-'계산 과정'!$D$33)^2+'계산 과정'!$E$33^2)),('계산 과정'!$L$23-'계산 과정'!$C$49*D1974-'계산 과정'!$D$49*E1974)/F1974,""),"")</x:f>
        <x:v>0.5522825478292464</x:v>
      </x:c>
      <x:c r="H1974" s="4" t="n">
        <x:f>IF(AND(ISNUMBER(G1974),G1974&gt;0),('계산 과정'!$D$56+'계산 과정'!$D$57*D1974+'계산 과정'!$D$58*E1974)/F1974,"")</x:f>
        <x:v>-41.01634391099002</x:v>
      </x:c>
      <x:c r="I1974" s="4" t="n">
        <x:f>IF(AND(ISNUMBER(G1974),G1974&gt;0),('계산 과정'!$E$56+'계산 과정'!$E$57*D1974+'계산 과정'!$E$58*E1974)/F1974,"")</x:f>
        <x:v>-220.7857203928307</x:v>
      </x:c>
      <x:c r="J1974" s="4" t="n">
        <x:f>IF('계산 과정'!$L$5,'계산 과정'!$D$6+'계산 과정'!$C$35*D1974+'계산 과정'!$D$35*E1974,"")</x:f>
        <x:v>676.4232461856562</x:v>
      </x:c>
      <x:c r="K1974" s="4" t="n">
        <x:f>IF(AND('계산 과정'!$L$6,J1974&gt;0),'계산 과정'!$D$10*('계산 과정'!$C$38*(D1974-'계산 과정'!$C$32)+'계산 과정'!$D$38*(E1974-'계산 과정'!$D$32)-'계산 과정'!$E$38*'계산 과정'!$E$32)/J1974,"")</x:f>
        <x:v>-0.31250547741706575</x:v>
      </x:c>
      <x:c r="L1974" s="4" t="n">
        <x:f>IF(AND('계산 과정'!$L$6,J1974&gt;0),'계산 과정'!$D$10*('계산 과정'!$C$39*(D1974-'계산 과정'!$C$32)+'계산 과정'!$D$39*(E1974-'계산 과정'!$D$32)-'계산 과정'!$E$39*'계산 과정'!$E$32)/J1974,"")</x:f>
        <x:v>-1.68217691727871</x:v>
      </x:c>
      <x:c r="M1974" s="17" t="n">
        <x:f>IF('계산 과정'!$L$6,IF(J1974&lt;=0,0,IF(AND(ABS(K1974)&lt;='계산 과정'!$D$11/2,ABS(L1974)&lt;='계산 과정'!$D$12/2),1,0)),"")</x:f>
        <x:v>1</x:v>
      </x:c>
      <x:c r="N1974" s="17" t="n">
        <x:f>IF('계산 과정'!$C$78,IF(AND(ISNUMBER(H1974),ISNUMBER(I1974),ABS(H1974-'계산 과정'!$C$88)&lt;='계산 과정'!$D$23/2,ABS(I1974-'계산 과정'!$C$89)&lt;='계산 과정'!$D$24/2),1,0),"")</x:f>
        <x:v>1</x:v>
      </x:c>
      <x:c r="O1974" s="4" t="n">
        <x:f>IF('계산 과정'!$L$7,'계산 과정'!$C$49*('계산 과정'!$C$32-D1974)+'계산 과정'!$D$49*('계산 과정'!$D$32-E1974)+'계산 과정'!$E$49*'계산 과정'!$E$32,"")</x:f>
        <x:v>-26.423246185656126</x:v>
      </x:c>
      <x:c r="P1974" s="4" t="n">
        <x:f>IF(AND('계산 과정'!$L$7,O1974&lt;&gt;0),('계산 과정'!$L$23-'계산 과정'!$C$49*D1974-'계산 과정'!$D$49*E1974)/O1974,"")</x:f>
        <x:v>-14.138185414066955</x:v>
      </x:c>
      <x:c r="Q1974" s="4" t="str">
        <x:f>IF(AND(ISNUMBER(P1974),P1974&gt;1E-9,P1974&lt;1-1E-9),'계산 과정'!$C$47*(D1974-'계산 과정'!$C$50+P1974*('계산 과정'!$C$32-D1974))+'계산 과정'!$D$47*(E1974-'계산 과정'!$D$50+P1974*('계산 과정'!$D$32-E1974))+'계산 과정'!$E$47*(0-'계산 과정'!$E$50+P1974*('계산 과정'!$E$32-0)),"")</x:f>
      </x:c>
      <x:c r="R1974" s="4" t="str">
        <x:f>IF(AND(ISNUMBER(P1974),P1974&gt;1E-9,P1974&lt;1-1E-9),'계산 과정'!$C$48*(D1974-'계산 과정'!$C$50+P1974*('계산 과정'!$C$32-D1974))+'계산 과정'!$D$48*(E1974-'계산 과정'!$D$50+P1974*('계산 과정'!$D$32-E1974))+'계산 과정'!$E$48*(0-'계산 과정'!$E$50+P1974*('계산 과정'!$E$32-0)),"")</x:f>
      </x:c>
      <x:c r="S1974" s="17" t="n">
        <x:f>IF('계산 과정'!$C$78,IF(AND(ISNUMBER(Q1974),ISNUMBER(R1974),ABS(Q1974-'계산 과정'!$C$88)&lt;='계산 과정'!$D$23/2,ABS(R1974-'계산 과정'!$C$89)&lt;='계산 과정'!$D$24/2),1,0),"")</x:f>
        <x:v>0</x:v>
      </x:c>
      <x:c r="T1974" s="4"/>
      <x:c r="U1974" s="4"/>
      <x:c r="V1974" s="4"/>
      <x:c r="W1974" s="4"/>
      <x:c r="X1974" s="4"/>
      <x:c r="Y1974" s="4"/>
      <x:c r="Z1974" s="4"/>
    </x:row>
    <x:row r="1975" ht="23" customHeight="1">
      <x:c r="A1975" s="17" t="n">
        <x:f>ROW()-6</x:f>
        <x:v>1969</x:v>
      </x:c>
      <x:c r="B1975" s="4" t="n">
        <x:f>IF('계산 과정'!$L$5,'계산 과정'!$L$11*SQRT((A1975+0.5)/'계산 과정'!$L$30),"")</x:f>
        <x:v>147.0971557923113</x:v>
      </x:c>
      <x:c r="C1975" s="4" t="n">
        <x:f>A1975*PI()*(3-SQRT(5))</x:f>
        <x:v>4725.527599335718</x:v>
      </x:c>
      <x:c r="D1975" s="4" t="n">
        <x:f>IF('계산 과정'!$L$5,B1975*COS(C1975),"")</x:f>
        <x:v>123.66245681427488</x:v>
      </x:c>
      <x:c r="E1975" s="4" t="n">
        <x:f>IF('계산 과정'!$L$5,B1975*SIN(C1975),"")</x:f>
        <x:v>79.65657547776644</x:v>
      </x:c>
      <x:c r="F1975" s="4" t="n">
        <x:f>IF('계산 과정'!$L$7,'계산 과정'!$L$22+'계산 과정'!$C$49*D1975+'계산 과정'!$D$49*E1975,"")</x:f>
        <x:v>562.5574382084377</x:v>
      </x:c>
      <x:c r="G1975" s="4" t="n">
        <x:f>IF('계산 과정'!$L$7,IF(ABS(F1975)&gt;=1E-12*MAX(1,SQRT((D1975-'계산 과정'!$C$33)^2+(E1975-'계산 과정'!$D$33)^2+'계산 과정'!$E$33^2)),('계산 과정'!$L$23-'계산 과정'!$C$49*D1975-'계산 과정'!$D$49*E1975)/F1975,""),"")</x:f>
        <x:v>0.8664760763699227</x:v>
      </x:c>
      <x:c r="H1975" s="4" t="n">
        <x:f>IF(AND(ISNUMBER(G1975),G1975&gt;0),('계산 과정'!$D$56+'계산 과정'!$D$57*D1975+'계산 과정'!$D$58*E1975)/F1975,"")</x:f>
        <x:v>163.2094496404497</x:v>
      </x:c>
      <x:c r="I1975" s="4" t="n">
        <x:f>IF(AND(ISNUMBER(G1975),G1975&gt;0),('계산 과정'!$E$56+'계산 과정'!$E$57*D1975+'계산 과정'!$E$58*E1975)/F1975,"")</x:f>
        <x:v>148.67709245480611</x:v>
      </x:c>
      <x:c r="J1975" s="4" t="n">
        <x:f>IF('계산 과정'!$L$5,'계산 과정'!$D$6+'계산 과정'!$C$35*D1975+'계산 과정'!$D$35*E1975,"")</x:f>
        <x:v>562.5574382084377</x:v>
      </x:c>
      <x:c r="K1975" s="4" t="n">
        <x:f>IF(AND('계산 과정'!$L$6,J1975&gt;0),'계산 과정'!$D$10*('계산 과정'!$C$38*(D1975-'계산 과정'!$C$32)+'계산 과정'!$D$38*(E1975-'계산 과정'!$D$32)-'계산 과정'!$E$38*'계산 과정'!$E$32)/J1975,"")</x:f>
        <x:v>1.2435005686891418</x:v>
      </x:c>
      <x:c r="L1975" s="4" t="n">
        <x:f>IF(AND('계산 과정'!$L$6,J1975&gt;0),'계산 과정'!$D$10*('계산 과정'!$C$39*(D1975-'계산 과정'!$C$32)+'계산 과정'!$D$39*(E1975-'계산 과정'!$D$32)-'계산 과정'!$E$39*'계산 과정'!$E$32)/J1975,"")</x:f>
        <x:v>1.1327778472747132</x:v>
      </x:c>
      <x:c r="M1975" s="17" t="n">
        <x:f>IF('계산 과정'!$L$6,IF(J1975&lt;=0,0,IF(AND(ABS(K1975)&lt;='계산 과정'!$D$11/2,ABS(L1975)&lt;='계산 과정'!$D$12/2),1,0)),"")</x:f>
        <x:v>1</x:v>
      </x:c>
      <x:c r="N1975" s="17" t="n">
        <x:f>IF('계산 과정'!$C$78,IF(AND(ISNUMBER(H1975),ISNUMBER(I1975),ABS(H1975-'계산 과정'!$C$88)&lt;='계산 과정'!$D$23/2,ABS(I1975-'계산 과정'!$C$89)&lt;='계산 과정'!$D$24/2),1,0),"")</x:f>
        <x:v>1</x:v>
      </x:c>
      <x:c r="O1975" s="4" t="n">
        <x:f>IF('계산 과정'!$L$7,'계산 과정'!$C$49*('계산 과정'!$C$32-D1975)+'계산 과정'!$D$49*('계산 과정'!$D$32-E1975)+'계산 과정'!$E$49*'계산 과정'!$E$32,"")</x:f>
        <x:v>87.44256179156247</x:v>
      </x:c>
      <x:c r="P1975" s="4" t="n">
        <x:f>IF(AND('계산 과정'!$L$7,O1975&lt;&gt;0),('계산 과정'!$L$23-'계산 과정'!$C$49*D1975-'계산 과정'!$D$49*E1975)/O1975,"")</x:f>
        <x:v>5.574431395931458</x:v>
      </x:c>
      <x:c r="Q1975" s="4" t="str">
        <x:f>IF(AND(ISNUMBER(P1975),P1975&gt;1E-9,P1975&lt;1-1E-9),'계산 과정'!$C$47*(D1975-'계산 과정'!$C$50+P1975*('계산 과정'!$C$32-D1975))+'계산 과정'!$D$47*(E1975-'계산 과정'!$D$50+P1975*('계산 과정'!$D$32-E1975))+'계산 과정'!$E$47*(0-'계산 과정'!$E$50+P1975*('계산 과정'!$E$32-0)),"")</x:f>
      </x:c>
      <x:c r="R1975" s="4" t="str">
        <x:f>IF(AND(ISNUMBER(P1975),P1975&gt;1E-9,P1975&lt;1-1E-9),'계산 과정'!$C$48*(D1975-'계산 과정'!$C$50+P1975*('계산 과정'!$C$32-D1975))+'계산 과정'!$D$48*(E1975-'계산 과정'!$D$50+P1975*('계산 과정'!$D$32-E1975))+'계산 과정'!$E$48*(0-'계산 과정'!$E$50+P1975*('계산 과정'!$E$32-0)),"")</x:f>
      </x:c>
      <x:c r="S1975" s="17" t="n">
        <x:f>IF('계산 과정'!$C$78,IF(AND(ISNUMBER(Q1975),ISNUMBER(R1975),ABS(Q1975-'계산 과정'!$C$88)&lt;='계산 과정'!$D$23/2,ABS(R1975-'계산 과정'!$C$89)&lt;='계산 과정'!$D$24/2),1,0),"")</x:f>
        <x:v>0</x:v>
      </x:c>
      <x:c r="T1975" s="4"/>
      <x:c r="U1975" s="4"/>
      <x:c r="V1975" s="4"/>
      <x:c r="W1975" s="4"/>
      <x:c r="X1975" s="4"/>
      <x:c r="Y1975" s="4"/>
      <x:c r="Z1975" s="4"/>
    </x:row>
    <x:row r="1976" ht="23" customHeight="1">
      <x:c r="A1976" s="17" t="n">
        <x:f>ROW()-6</x:f>
        <x:v>1970</x:v>
      </x:c>
      <x:c r="B1976" s="4" t="n">
        <x:f>IF('계산 과정'!$L$5,'계산 과정'!$L$11*SQRT((A1976+0.5)/'계산 과정'!$L$30),"")</x:f>
        <x:v>147.1344948348704</x:v>
      </x:c>
      <x:c r="C1976" s="4" t="n">
        <x:f>A1976*PI()*(3-SQRT(5))</x:f>
        <x:v>4727.927562565446</x:v>
      </x:c>
      <x:c r="D1976" s="4" t="n">
        <x:f>IF('계산 과정'!$L$5,B1976*COS(C1976),"")</x:f>
        <x:v>-145.0288953451281</x:v>
      </x:c>
      <x:c r="E1976" s="4" t="n">
        <x:f>IF('계산 과정'!$L$5,B1976*SIN(C1976),"")</x:f>
        <x:v>24.8028039802839</x:v>
      </x:c>
      <x:c r="F1976" s="4" t="n">
        <x:f>IF('계산 과정'!$L$7,'계산 과정'!$L$22+'계산 과정'!$C$49*D1976+'계산 과정'!$D$49*E1976,"")</x:f>
        <x:v>752.5509153665341</x:v>
      </x:c>
      <x:c r="G1976" s="4" t="n">
        <x:f>IF('계산 과정'!$L$7,IF(ABS(F1976)&gt;=1E-12*MAX(1,SQRT((D1976-'계산 과정'!$C$33)^2+(E1976-'계산 과정'!$D$33)^2+'계산 과정'!$E$33^2)),('계산 과정'!$L$23-'계산 과정'!$C$49*D1976-'계산 과정'!$D$49*E1976)/F1976,""),"")</x:f>
        <x:v>0.39525443203878313</x:v>
      </x:c>
      <x:c r="H1976" s="4" t="n">
        <x:f>IF(AND(ISNUMBER(G1976),G1976&gt;0),('계산 과정'!$D$56+'계산 과정'!$D$57*D1976+'계산 과정'!$D$58*E1976)/F1976,"")</x:f>
        <x:v>-143.08461917479113</x:v>
      </x:c>
      <x:c r="I1976" s="4" t="n">
        <x:f>IF(AND(ISNUMBER(G1976),G1976&gt;0),('계산 과정'!$E$56+'계산 과정'!$E$57*D1976+'계산 과정'!$E$58*E1976)/F1976,"")</x:f>
        <x:v>34.60622218048029</x:v>
      </x:c>
      <x:c r="J1976" s="4" t="n">
        <x:f>IF('계산 과정'!$L$5,'계산 과정'!$D$6+'계산 과정'!$C$35*D1976+'계산 과정'!$D$35*E1976,"")</x:f>
        <x:v>752.5509153665341</x:v>
      </x:c>
      <x:c r="K1976" s="4" t="n">
        <x:f>IF(AND('계산 과정'!$L$6,J1976&gt;0),'계산 과정'!$D$10*('계산 과정'!$C$38*(D1976-'계산 과정'!$C$32)+'계산 과정'!$D$38*(E1976-'계산 과정'!$D$32)-'계산 과정'!$E$38*'계산 과정'!$E$32)/J1976,"")</x:f>
        <x:v>-1.090168527046026</x:v>
      </x:c>
      <x:c r="L1976" s="4" t="n">
        <x:f>IF(AND('계산 과정'!$L$6,J1976&gt;0),'계산 과정'!$D$10*('계산 과정'!$C$39*(D1976-'계산 과정'!$C$32)+'계산 과정'!$D$39*(E1976-'계산 과정'!$D$32)-'계산 과정'!$E$39*'계산 과정'!$E$32)/J1976,"")</x:f>
        <x:v>0.2636664547084212</x:v>
      </x:c>
      <x:c r="M1976" s="17" t="n">
        <x:f>IF('계산 과정'!$L$6,IF(J1976&lt;=0,0,IF(AND(ABS(K1976)&lt;='계산 과정'!$D$11/2,ABS(L1976)&lt;='계산 과정'!$D$12/2),1,0)),"")</x:f>
        <x:v>1</x:v>
      </x:c>
      <x:c r="N1976" s="17" t="n">
        <x:f>IF('계산 과정'!$C$78,IF(AND(ISNUMBER(H1976),ISNUMBER(I1976),ABS(H1976-'계산 과정'!$C$88)&lt;='계산 과정'!$D$23/2,ABS(I1976-'계산 과정'!$C$89)&lt;='계산 과정'!$D$24/2),1,0),"")</x:f>
        <x:v>1</x:v>
      </x:c>
      <x:c r="O1976" s="4" t="n">
        <x:f>IF('계산 과정'!$L$7,'계산 과정'!$C$49*('계산 과정'!$C$32-D1976)+'계산 과정'!$D$49*('계산 과정'!$D$32-E1976)+'계산 과정'!$E$49*'계산 과정'!$E$32,"")</x:f>
        <x:v>-102.55091536653401</x:v>
      </x:c>
      <x:c r="P1976" s="4" t="n">
        <x:f>IF(AND('계산 과정'!$L$7,O1976&lt;&gt;0),('계산 과정'!$L$23-'계산 과정'!$C$49*D1976-'계산 과정'!$D$49*E1976)/O1976,"")</x:f>
        <x:v>-2.9005015076689795</x:v>
      </x:c>
      <x:c r="Q1976" s="4" t="str">
        <x:f>IF(AND(ISNUMBER(P1976),P1976&gt;1E-9,P1976&lt;1-1E-9),'계산 과정'!$C$47*(D1976-'계산 과정'!$C$50+P1976*('계산 과정'!$C$32-D1976))+'계산 과정'!$D$47*(E1976-'계산 과정'!$D$50+P1976*('계산 과정'!$D$32-E1976))+'계산 과정'!$E$47*(0-'계산 과정'!$E$50+P1976*('계산 과정'!$E$32-0)),"")</x:f>
      </x:c>
      <x:c r="R1976" s="4" t="str">
        <x:f>IF(AND(ISNUMBER(P1976),P1976&gt;1E-9,P1976&lt;1-1E-9),'계산 과정'!$C$48*(D1976-'계산 과정'!$C$50+P1976*('계산 과정'!$C$32-D1976))+'계산 과정'!$D$48*(E1976-'계산 과정'!$D$50+P1976*('계산 과정'!$D$32-E1976))+'계산 과정'!$E$48*(0-'계산 과정'!$E$50+P1976*('계산 과정'!$E$32-0)),"")</x:f>
      </x:c>
      <x:c r="S1976" s="17" t="n">
        <x:f>IF('계산 과정'!$C$78,IF(AND(ISNUMBER(Q1976),ISNUMBER(R1976),ABS(Q1976-'계산 과정'!$C$88)&lt;='계산 과정'!$D$23/2,ABS(R1976-'계산 과정'!$C$89)&lt;='계산 과정'!$D$24/2),1,0),"")</x:f>
        <x:v>0</x:v>
      </x:c>
      <x:c r="T1976" s="4"/>
      <x:c r="U1976" s="4"/>
      <x:c r="V1976" s="4"/>
      <x:c r="W1976" s="4"/>
      <x:c r="X1976" s="4"/>
      <x:c r="Y1976" s="4"/>
      <x:c r="Z1976" s="4"/>
    </x:row>
    <x:row r="1977" ht="23" customHeight="1">
      <x:c r="A1977" s="17" t="n">
        <x:f>ROW()-6</x:f>
        <x:v>1971</x:v>
      </x:c>
      <x:c r="B1977" s="4" t="n">
        <x:f>IF('계산 과정'!$L$5,'계산 과정'!$L$11*SQRT((A1977+0.5)/'계산 과정'!$L$30),"")</x:f>
        <x:v>147.17182440412125</x:v>
      </x:c>
      <x:c r="C1977" s="4" t="n">
        <x:f>A1977*PI()*(3-SQRT(5))</x:f>
        <x:v>4730.327525795175</x:v>
      </x:c>
      <x:c r="D1977" s="4" t="n">
        <x:f>IF('계산 과정'!$L$5,B1977*COS(C1977),"")</x:f>
        <x:v>90.2086215615206</x:v>
      </x:c>
      <x:c r="E1977" s="4" t="n">
        <x:f>IF('계산 과정'!$L$5,B1977*SIN(C1977),"")</x:f>
        <x:v>-116.28392190843864</x:v>
      </x:c>
      <x:c r="F1977" s="4" t="n">
        <x:f>IF('계산 과정'!$L$7,'계산 과정'!$L$22+'계산 과정'!$C$49*D1977+'계산 과정'!$D$49*E1977,"")</x:f>
        <x:v>586.2128719723578</x:v>
      </x:c>
      <x:c r="G1977" s="4" t="n">
        <x:f>IF('계산 과정'!$L$7,IF(ABS(F1977)&gt;=1E-12*MAX(1,SQRT((D1977-'계산 과정'!$C$33)^2+(E1977-'계산 과정'!$D$33)^2+'계산 과정'!$E$33^2)),('계산 과정'!$L$23-'계산 과정'!$C$49*D1977-'계산 과정'!$D$49*E1977)/F1977,""),"")</x:f>
        <x:v>0.7911582126594988</x:v>
      </x:c>
      <x:c r="H1977" s="4" t="n">
        <x:f>IF(AND(ISNUMBER(G1977),G1977&gt;0),('계산 과정'!$D$56+'계산 과정'!$D$57*D1977+'계산 과정'!$D$58*E1977)/F1977,"")</x:f>
        <x:v>114.25283822867416</x:v>
      </x:c>
      <x:c r="I1977" s="4" t="n">
        <x:f>IF(AND(ISNUMBER(G1977),G1977&gt;0),('계산 과정'!$E$56+'계산 과정'!$E$57*D1977+'계산 과정'!$E$58*E1977)/F1977,"")</x:f>
        <x:v>-208.2829017265557</x:v>
      </x:c>
      <x:c r="J1977" s="4" t="n">
        <x:f>IF('계산 과정'!$L$5,'계산 과정'!$D$6+'계산 과정'!$C$35*D1977+'계산 과정'!$D$35*E1977,"")</x:f>
        <x:v>586.2128719723578</x:v>
      </x:c>
      <x:c r="K1977" s="4" t="n">
        <x:f>IF(AND('계산 과정'!$L$6,J1977&gt;0),'계산 과정'!$D$10*('계산 과정'!$C$38*(D1977-'계산 과정'!$C$32)+'계산 과정'!$D$38*(E1977-'계산 과정'!$D$32)-'계산 과정'!$E$38*'계산 과정'!$E$32)/J1977,"")</x:f>
        <x:v>0.8704978150756133</x:v>
      </x:c>
      <x:c r="L1977" s="4" t="n">
        <x:f>IF(AND('계산 과정'!$L$6,J1977&gt;0),'계산 과정'!$D$10*('계산 과정'!$C$39*(D1977-'계산 과정'!$C$32)+'계산 과정'!$D$39*(E1977-'계산 과정'!$D$32)-'계산 과정'!$E$39*'계산 과정'!$E$32)/J1977,"")</x:f>
        <x:v>-1.5869173464880435</x:v>
      </x:c>
      <x:c r="M1977" s="17" t="n">
        <x:f>IF('계산 과정'!$L$6,IF(J1977&lt;=0,0,IF(AND(ABS(K1977)&lt;='계산 과정'!$D$11/2,ABS(L1977)&lt;='계산 과정'!$D$12/2),1,0)),"")</x:f>
        <x:v>1</x:v>
      </x:c>
      <x:c r="N1977" s="17" t="n">
        <x:f>IF('계산 과정'!$C$78,IF(AND(ISNUMBER(H1977),ISNUMBER(I1977),ABS(H1977-'계산 과정'!$C$88)&lt;='계산 과정'!$D$23/2,ABS(I1977-'계산 과정'!$C$89)&lt;='계산 과정'!$D$24/2),1,0),"")</x:f>
        <x:v>1</x:v>
      </x:c>
      <x:c r="O1977" s="4" t="n">
        <x:f>IF('계산 과정'!$L$7,'계산 과정'!$C$49*('계산 과정'!$C$32-D1977)+'계산 과정'!$D$49*('계산 과정'!$D$32-E1977)+'계산 과정'!$E$49*'계산 과정'!$E$32,"")</x:f>
        <x:v>63.787128027642325</x:v>
      </x:c>
      <x:c r="P1977" s="4" t="n">
        <x:f>IF(AND('계산 과정'!$L$7,O1977&lt;&gt;0),('계산 과정'!$L$23-'계산 과정'!$C$49*D1977-'계산 과정'!$D$49*E1977)/O1977,"")</x:f>
        <x:v>7.270857653704973</x:v>
      </x:c>
      <x:c r="Q1977" s="4" t="str">
        <x:f>IF(AND(ISNUMBER(P1977),P1977&gt;1E-9,P1977&lt;1-1E-9),'계산 과정'!$C$47*(D1977-'계산 과정'!$C$50+P1977*('계산 과정'!$C$32-D1977))+'계산 과정'!$D$47*(E1977-'계산 과정'!$D$50+P1977*('계산 과정'!$D$32-E1977))+'계산 과정'!$E$47*(0-'계산 과정'!$E$50+P1977*('계산 과정'!$E$32-0)),"")</x:f>
      </x:c>
      <x:c r="R1977" s="4" t="str">
        <x:f>IF(AND(ISNUMBER(P1977),P1977&gt;1E-9,P1977&lt;1-1E-9),'계산 과정'!$C$48*(D1977-'계산 과정'!$C$50+P1977*('계산 과정'!$C$32-D1977))+'계산 과정'!$D$48*(E1977-'계산 과정'!$D$50+P1977*('계산 과정'!$D$32-E1977))+'계산 과정'!$E$48*(0-'계산 과정'!$E$50+P1977*('계산 과정'!$E$32-0)),"")</x:f>
      </x:c>
      <x:c r="S1977" s="17" t="n">
        <x:f>IF('계산 과정'!$C$78,IF(AND(ISNUMBER(Q1977),ISNUMBER(R1977),ABS(Q1977-'계산 과정'!$C$88)&lt;='계산 과정'!$D$23/2,ABS(R1977-'계산 과정'!$C$89)&lt;='계산 과정'!$D$24/2),1,0),"")</x:f>
        <x:v>0</x:v>
      </x:c>
      <x:c r="T1977" s="4"/>
      <x:c r="U1977" s="4"/>
      <x:c r="V1977" s="4"/>
      <x:c r="W1977" s="4"/>
      <x:c r="X1977" s="4"/>
      <x:c r="Y1977" s="4"/>
      <x:c r="Z1977" s="4"/>
    </x:row>
    <x:row r="1978" ht="23" customHeight="1">
      <x:c r="A1978" s="17" t="n">
        <x:f>ROW()-6</x:f>
        <x:v>1972</x:v>
      </x:c>
      <x:c r="B1978" s="4" t="n">
        <x:f>IF('계산 과정'!$L$5,'계산 과정'!$L$11*SQRT((A1978+0.5)/'계산 과정'!$L$30),"")</x:f>
        <x:v>147.20914450727068</x:v>
      </x:c>
      <x:c r="C1978" s="4" t="n">
        <x:f>A1978*PI()*(3-SQRT(5))</x:f>
        <x:v>4732.727489024904</x:v>
      </x:c>
      <x:c r="D1978" s="4" t="n">
        <x:f>IF('계산 과정'!$L$5,B1978*COS(C1978),"")</x:f>
        <x:v>12.034681557043779</x:v>
      </x:c>
      <x:c r="E1978" s="4" t="n">
        <x:f>IF('계산 과정'!$L$5,B1978*SIN(C1978),"")</x:f>
        <x:v>146.71638854055485</x:v>
      </x:c>
      <x:c r="F1978" s="4" t="n">
        <x:f>IF('계산 과정'!$L$7,'계산 과정'!$L$22+'계산 과정'!$C$49*D1978+'계산 과정'!$D$49*E1978,"")</x:f>
        <x:v>641.4901950615937</x:v>
      </x:c>
      <x:c r="G1978" s="4" t="n">
        <x:f>IF('계산 과정'!$L$7,IF(ABS(F1978)&gt;=1E-12*MAX(1,SQRT((D1978-'계산 과정'!$C$33)^2+(E1978-'계산 과정'!$D$33)^2+'계산 과정'!$E$33^2)),('계산 과정'!$L$23-'계산 과정'!$C$49*D1978-'계산 과정'!$D$49*E1978)/F1978,""),"")</x:f>
        <x:v>0.6368137940115868</x:v>
      </x:c>
      <x:c r="H1978" s="4" t="n">
        <x:f>IF(AND(ISNUMBER(G1978),G1978&gt;0),('계산 과정'!$D$56+'계산 과정'!$D$57*D1978+'계산 과정'!$D$58*E1978)/F1978,"")</x:f>
        <x:v>13.928966107531297</x:v>
      </x:c>
      <x:c r="I1978" s="4" t="n">
        <x:f>IF(AND(ISNUMBER(G1978),G1978&gt;0),('계산 과정'!$E$56+'계산 과정'!$E$57*D1978+'계산 과정'!$E$58*E1978)/F1978,"")</x:f>
        <x:v>240.14740857074366</x:v>
      </x:c>
      <x:c r="J1978" s="4" t="n">
        <x:f>IF('계산 과정'!$L$5,'계산 과정'!$D$6+'계산 과정'!$C$35*D1978+'계산 과정'!$D$35*E1978,"")</x:f>
        <x:v>641.4901950615937</x:v>
      </x:c>
      <x:c r="K1978" s="4" t="n">
        <x:f>IF(AND('계산 과정'!$L$6,J1978&gt;0),'계산 과정'!$D$10*('계산 과정'!$C$38*(D1978-'계산 과정'!$C$32)+'계산 과정'!$D$38*(E1978-'계산 과정'!$D$32)-'계산 과정'!$E$38*'계산 과정'!$E$32)/J1978,"")</x:f>
        <x:v>0.10612545605738197</x:v>
      </x:c>
      <x:c r="L1978" s="4" t="n">
        <x:f>IF(AND('계산 과정'!$L$6,J1978&gt;0),'계산 과정'!$D$10*('계산 과정'!$C$39*(D1978-'계산 과정'!$C$32)+'계산 과정'!$D$39*(E1978-'계산 과정'!$D$32)-'계산 과정'!$E$39*'계산 과정'!$E$32)/J1978,"")</x:f>
        <x:v>1.8296945414913803</x:v>
      </x:c>
      <x:c r="M1978" s="17" t="n">
        <x:f>IF('계산 과정'!$L$6,IF(J1978&lt;=0,0,IF(AND(ABS(K1978)&lt;='계산 과정'!$D$11/2,ABS(L1978)&lt;='계산 과정'!$D$12/2),1,0)),"")</x:f>
        <x:v>1</x:v>
      </x:c>
      <x:c r="N1978" s="17" t="n">
        <x:f>IF('계산 과정'!$C$78,IF(AND(ISNUMBER(H1978),ISNUMBER(I1978),ABS(H1978-'계산 과정'!$C$88)&lt;='계산 과정'!$D$23/2,ABS(I1978-'계산 과정'!$C$89)&lt;='계산 과정'!$D$24/2),1,0),"")</x:f>
        <x:v>1</x:v>
      </x:c>
      <x:c r="O1978" s="4" t="n">
        <x:f>IF('계산 과정'!$L$7,'계산 과정'!$C$49*('계산 과정'!$C$32-D1978)+'계산 과정'!$D$49*('계산 과정'!$D$32-E1978)+'계산 과정'!$E$49*'계산 과정'!$E$32,"")</x:f>
        <x:v>8.509804938406432</x:v>
      </x:c>
      <x:c r="P1978" s="4" t="n">
        <x:f>IF(AND('계산 과정'!$L$7,O1978&lt;&gt;0),('계산 과정'!$L$23-'계산 과정'!$C$49*D1978-'계산 과정'!$D$49*E1978)/O1978,"")</x:f>
        <x:v>48.00460267834352</x:v>
      </x:c>
      <x:c r="Q1978" s="4" t="str">
        <x:f>IF(AND(ISNUMBER(P1978),P1978&gt;1E-9,P1978&lt;1-1E-9),'계산 과정'!$C$47*(D1978-'계산 과정'!$C$50+P1978*('계산 과정'!$C$32-D1978))+'계산 과정'!$D$47*(E1978-'계산 과정'!$D$50+P1978*('계산 과정'!$D$32-E1978))+'계산 과정'!$E$47*(0-'계산 과정'!$E$50+P1978*('계산 과정'!$E$32-0)),"")</x:f>
      </x:c>
      <x:c r="R1978" s="4" t="str">
        <x:f>IF(AND(ISNUMBER(P1978),P1978&gt;1E-9,P1978&lt;1-1E-9),'계산 과정'!$C$48*(D1978-'계산 과정'!$C$50+P1978*('계산 과정'!$C$32-D1978))+'계산 과정'!$D$48*(E1978-'계산 과정'!$D$50+P1978*('계산 과정'!$D$32-E1978))+'계산 과정'!$E$48*(0-'계산 과정'!$E$50+P1978*('계산 과정'!$E$32-0)),"")</x:f>
      </x:c>
      <x:c r="S1978" s="17" t="n">
        <x:f>IF('계산 과정'!$C$78,IF(AND(ISNUMBER(Q1978),ISNUMBER(R1978),ABS(Q1978-'계산 과정'!$C$88)&lt;='계산 과정'!$D$23/2,ABS(R1978-'계산 과정'!$C$89)&lt;='계산 과정'!$D$24/2),1,0),"")</x:f>
        <x:v>0</x:v>
      </x:c>
      <x:c r="T1978" s="4"/>
      <x:c r="U1978" s="4"/>
      <x:c r="V1978" s="4"/>
      <x:c r="W1978" s="4"/>
      <x:c r="X1978" s="4"/>
      <x:c r="Y1978" s="4"/>
      <x:c r="Z1978" s="4"/>
    </x:row>
    <x:row r="1979" ht="23" customHeight="1">
      <x:c r="A1979" s="17" t="n">
        <x:f>ROW()-6</x:f>
        <x:v>1973</x:v>
      </x:c>
      <x:c r="B1979" s="4" t="n">
        <x:f>IF('계산 과정'!$L$5,'계산 과정'!$L$11*SQRT((A1979+0.5)/'계산 과정'!$L$30),"")</x:f>
        <x:v>147.2464551515163</x:v>
      </x:c>
      <x:c r="C1979" s="4" t="n">
        <x:f>A1979*PI()*(3-SQRT(5))</x:f>
        <x:v>4735.127452254632</x:v>
      </x:c>
      <x:c r="D1979" s="4" t="n">
        <x:f>IF('계산 과정'!$L$5,B1979*COS(C1979),"")</x:f>
        <x:v>-108.00686386623256</x:v>
      </x:c>
      <x:c r="E1979" s="4" t="n">
        <x:f>IF('계산 과정'!$L$5,B1979*SIN(C1979),"")</x:f>
        <x:v>-100.08014744427894</x:v>
      </x:c>
      <x:c r="F1979" s="4" t="n">
        <x:f>IF('계산 과정'!$L$7,'계산 과정'!$L$22+'계산 과정'!$C$49*D1979+'계산 과정'!$D$49*E1979,"")</x:f>
        <x:v>726.3723858545053</x:v>
      </x:c>
      <x:c r="G1979" s="4" t="n">
        <x:f>IF('계산 과정'!$L$7,IF(ABS(F1979)&gt;=1E-12*MAX(1,SQRT((D1979-'계산 과정'!$C$33)^2+(E1979-'계산 과정'!$D$33)^2+'계산 과정'!$E$33^2)),('계산 과정'!$L$23-'계산 과정'!$C$49*D1979-'계산 과정'!$D$49*E1979)/F1979,""),"")</x:f>
        <x:v>0.4455395337816688</x:v>
      </x:c>
      <x:c r="H1979" s="4" t="n">
        <x:f>IF(AND(ISNUMBER(G1979),G1979&gt;0),('계산 과정'!$D$56+'계산 과정'!$D$57*D1979+'계산 과정'!$D$58*E1979)/F1979,"")</x:f>
        <x:v>-110.39930304191549</x:v>
      </x:c>
      <x:c r="I1979" s="4" t="n">
        <x:f>IF(AND(ISNUMBER(G1979),G1979&gt;0),('계산 과정'!$E$56+'계산 과정'!$E$57*D1979+'계산 과정'!$E$58*E1979)/F1979,"")</x:f>
        <x:v>-144.66980967740363</x:v>
      </x:c>
      <x:c r="J1979" s="4" t="n">
        <x:f>IF('계산 과정'!$L$5,'계산 과정'!$D$6+'계산 과정'!$C$35*D1979+'계산 과정'!$D$35*E1979,"")</x:f>
        <x:v>726.3723858545053</x:v>
      </x:c>
      <x:c r="K1979" s="4" t="n">
        <x:f>IF(AND('계산 과정'!$L$6,J1979&gt;0),'계산 과정'!$D$10*('계산 과정'!$C$38*(D1979-'계산 과정'!$C$32)+'계산 과정'!$D$38*(E1979-'계산 과정'!$D$32)-'계산 과정'!$E$38*'계산 과정'!$E$32)/J1979,"")</x:f>
        <x:v>-0.8411375469860219</x:v>
      </x:c>
      <x:c r="L1979" s="4" t="n">
        <x:f>IF(AND('계산 과정'!$L$6,J1979&gt;0),'계산 과정'!$D$10*('계산 과정'!$C$39*(D1979-'계산 과정'!$C$32)+'계산 과정'!$D$39*(E1979-'계산 과정'!$D$32)-'계산 과정'!$E$39*'계산 과정'!$E$32)/J1979,"")</x:f>
        <x:v>-1.1022461689706944</x:v>
      </x:c>
      <x:c r="M1979" s="17" t="n">
        <x:f>IF('계산 과정'!$L$6,IF(J1979&lt;=0,0,IF(AND(ABS(K1979)&lt;='계산 과정'!$D$11/2,ABS(L1979)&lt;='계산 과정'!$D$12/2),1,0)),"")</x:f>
        <x:v>1</x:v>
      </x:c>
      <x:c r="N1979" s="17" t="n">
        <x:f>IF('계산 과정'!$C$78,IF(AND(ISNUMBER(H1979),ISNUMBER(I1979),ABS(H1979-'계산 과정'!$C$88)&lt;='계산 과정'!$D$23/2,ABS(I1979-'계산 과정'!$C$89)&lt;='계산 과정'!$D$24/2),1,0),"")</x:f>
        <x:v>1</x:v>
      </x:c>
      <x:c r="O1979" s="4" t="n">
        <x:f>IF('계산 과정'!$L$7,'계산 과정'!$C$49*('계산 과정'!$C$32-D1979)+'계산 과정'!$D$49*('계산 과정'!$D$32-E1979)+'계산 과정'!$E$49*'계산 과정'!$E$32,"")</x:f>
        <x:v>-76.37238585450524</x:v>
      </x:c>
      <x:c r="P1979" s="4" t="n">
        <x:f>IF(AND('계산 과정'!$L$7,O1979&lt;&gt;0),('계산 과정'!$L$23-'계산 과정'!$C$49*D1979-'계산 과정'!$D$49*E1979)/O1979,"")</x:f>
        <x:v>-4.2374951433627865</x:v>
      </x:c>
      <x:c r="Q1979" s="4" t="str">
        <x:f>IF(AND(ISNUMBER(P1979),P1979&gt;1E-9,P1979&lt;1-1E-9),'계산 과정'!$C$47*(D1979-'계산 과정'!$C$50+P1979*('계산 과정'!$C$32-D1979))+'계산 과정'!$D$47*(E1979-'계산 과정'!$D$50+P1979*('계산 과정'!$D$32-E1979))+'계산 과정'!$E$47*(0-'계산 과정'!$E$50+P1979*('계산 과정'!$E$32-0)),"")</x:f>
      </x:c>
      <x:c r="R1979" s="4" t="str">
        <x:f>IF(AND(ISNUMBER(P1979),P1979&gt;1E-9,P1979&lt;1-1E-9),'계산 과정'!$C$48*(D1979-'계산 과정'!$C$50+P1979*('계산 과정'!$C$32-D1979))+'계산 과정'!$D$48*(E1979-'계산 과정'!$D$50+P1979*('계산 과정'!$D$32-E1979))+'계산 과정'!$E$48*(0-'계산 과정'!$E$50+P1979*('계산 과정'!$E$32-0)),"")</x:f>
      </x:c>
      <x:c r="S1979" s="17" t="n">
        <x:f>IF('계산 과정'!$C$78,IF(AND(ISNUMBER(Q1979),ISNUMBER(R1979),ABS(Q1979-'계산 과정'!$C$88)&lt;='계산 과정'!$D$23/2,ABS(R1979-'계산 과정'!$C$89)&lt;='계산 과정'!$D$24/2),1,0),"")</x:f>
        <x:v>0</x:v>
      </x:c>
      <x:c r="T1979" s="4"/>
      <x:c r="U1979" s="4"/>
      <x:c r="V1979" s="4"/>
      <x:c r="W1979" s="4"/>
      <x:c r="X1979" s="4"/>
      <x:c r="Y1979" s="4"/>
      <x:c r="Z1979" s="4"/>
    </x:row>
    <x:row r="1980" ht="23" customHeight="1">
      <x:c r="A1980" s="17" t="n">
        <x:f>ROW()-6</x:f>
        <x:v>1974</x:v>
      </x:c>
      <x:c r="B1980" s="4" t="n">
        <x:f>IF('계산 과정'!$L$5,'계산 과정'!$L$11*SQRT((A1980+0.5)/'계산 과정'!$L$30),"")</x:f>
        <x:v>147.28375634404665</x:v>
      </x:c>
      <x:c r="C1980" s="4" t="n">
        <x:f>A1980*PI()*(3-SQRT(5))</x:f>
        <x:v>4737.527415484361</x:v>
      </x:c>
      <x:c r="D1980" s="4" t="n">
        <x:f>IF('계산 과정'!$L$5,B1980*COS(C1980),"")</x:f>
        <x:v>147.28136886855054</x:v>
      </x:c>
      <x:c r="E1980" s="4" t="n">
        <x:f>IF('계산 과정'!$L$5,B1980*SIN(C1980),"")</x:f>
        <x:v>0.8386101707313235</x:v>
      </x:c>
      <x:c r="F1980" s="4" t="n">
        <x:f>IF('계산 과정'!$L$7,'계산 과정'!$L$22+'계산 과정'!$C$49*D1980+'계산 과정'!$D$49*E1980,"")</x:f>
        <x:v>545.8563453306107</x:v>
      </x:c>
      <x:c r="G1980" s="4" t="n">
        <x:f>IF('계산 과정'!$L$7,IF(ABS(F1980)&gt;=1E-12*MAX(1,SQRT((D1980-'계산 과정'!$C$33)^2+(E1980-'계산 과정'!$D$33)^2+'계산 과정'!$E$33^2)),('계산 과정'!$L$23-'계산 과정'!$C$49*D1980-'계산 과정'!$D$49*E1980)/F1980,""),"")</x:f>
        <x:v>0.9235830250613701</x:v>
      </x:c>
      <x:c r="H1980" s="4" t="n">
        <x:f>IF(AND(ISNUMBER(G1980),G1980&gt;0),('계산 과정'!$D$56+'계산 과정'!$D$57*D1980+'계산 과정'!$D$58*E1980)/F1980,"")</x:f>
        <x:v>200.3289662898906</x:v>
      </x:c>
      <x:c r="I1980" s="4" t="n">
        <x:f>IF(AND(ISNUMBER(G1980),G1980&gt;0),('계산 과정'!$E$56+'계산 과정'!$E$57*D1980+'계산 과정'!$E$58*E1980)/F1980,"")</x:f>
        <x:v>1.6131362890625913</x:v>
      </x:c>
      <x:c r="J1980" s="4" t="n">
        <x:f>IF('계산 과정'!$L$5,'계산 과정'!$D$6+'계산 과정'!$C$35*D1980+'계산 과정'!$D$35*E1980,"")</x:f>
        <x:v>545.8563453306107</x:v>
      </x:c>
      <x:c r="K1980" s="4" t="n">
        <x:f>IF(AND('계산 과정'!$L$6,J1980&gt;0),'계산 과정'!$D$10*('계산 과정'!$C$38*(D1980-'계산 과정'!$C$32)+'계산 과정'!$D$38*(E1980-'계산 과정'!$D$32)-'계산 과정'!$E$38*'계산 과정'!$E$32)/J1980,"")</x:f>
        <x:v>1.5263159336372625</x:v>
      </x:c>
      <x:c r="L1980" s="4" t="n">
        <x:f>IF(AND('계산 과정'!$L$6,J1980&gt;0),'계산 과정'!$D$10*('계산 과정'!$C$39*(D1980-'계산 과정'!$C$32)+'계산 과정'!$D$39*(E1980-'계산 과정'!$D$32)-'계산 과정'!$E$39*'계산 과정'!$E$32)/J1980,"")</x:f>
        <x:v>0.012290562202381648</x:v>
      </x:c>
      <x:c r="M1980" s="17" t="n">
        <x:f>IF('계산 과정'!$L$6,IF(J1980&lt;=0,0,IF(AND(ABS(K1980)&lt;='계산 과정'!$D$11/2,ABS(L1980)&lt;='계산 과정'!$D$12/2),1,0)),"")</x:f>
        <x:v>1</x:v>
      </x:c>
      <x:c r="N1980" s="17" t="n">
        <x:f>IF('계산 과정'!$C$78,IF(AND(ISNUMBER(H1980),ISNUMBER(I1980),ABS(H1980-'계산 과정'!$C$88)&lt;='계산 과정'!$D$23/2,ABS(I1980-'계산 과정'!$C$89)&lt;='계산 과정'!$D$24/2),1,0),"")</x:f>
        <x:v>1</x:v>
      </x:c>
      <x:c r="O1980" s="4" t="n">
        <x:f>IF('계산 과정'!$L$7,'계산 과정'!$C$49*('계산 과정'!$C$32-D1980)+'계산 과정'!$D$49*('계산 과정'!$D$32-E1980)+'계산 과정'!$E$49*'계산 과정'!$E$32,"")</x:f>
        <x:v>104.14365466938946</x:v>
      </x:c>
      <x:c r="P1980" s="4" t="n">
        <x:f>IF(AND('계산 과정'!$L$7,O1980&lt;&gt;0),('계산 과정'!$L$23-'계산 과정'!$C$49*D1980-'계산 과정'!$D$49*E1980)/O1980,"")</x:f>
        <x:v>4.840848501714529</x:v>
      </x:c>
      <x:c r="Q1980" s="4" t="str">
        <x:f>IF(AND(ISNUMBER(P1980),P1980&gt;1E-9,P1980&lt;1-1E-9),'계산 과정'!$C$47*(D1980-'계산 과정'!$C$50+P1980*('계산 과정'!$C$32-D1980))+'계산 과정'!$D$47*(E1980-'계산 과정'!$D$50+P1980*('계산 과정'!$D$32-E1980))+'계산 과정'!$E$47*(0-'계산 과정'!$E$50+P1980*('계산 과정'!$E$32-0)),"")</x:f>
      </x:c>
      <x:c r="R1980" s="4" t="str">
        <x:f>IF(AND(ISNUMBER(P1980),P1980&gt;1E-9,P1980&lt;1-1E-9),'계산 과정'!$C$48*(D1980-'계산 과정'!$C$50+P1980*('계산 과정'!$C$32-D1980))+'계산 과정'!$D$48*(E1980-'계산 과정'!$D$50+P1980*('계산 과정'!$D$32-E1980))+'계산 과정'!$E$48*(0-'계산 과정'!$E$50+P1980*('계산 과정'!$E$32-0)),"")</x:f>
      </x:c>
      <x:c r="S1980" s="17" t="n">
        <x:f>IF('계산 과정'!$C$78,IF(AND(ISNUMBER(Q1980),ISNUMBER(R1980),ABS(Q1980-'계산 과정'!$C$88)&lt;='계산 과정'!$D$23/2,ABS(R1980-'계산 과정'!$C$89)&lt;='계산 과정'!$D$24/2),1,0),"")</x:f>
        <x:v>0</x:v>
      </x:c>
      <x:c r="T1980" s="4"/>
      <x:c r="U1980" s="4"/>
      <x:c r="V1980" s="4"/>
      <x:c r="W1980" s="4"/>
      <x:c r="X1980" s="4"/>
      <x:c r="Y1980" s="4"/>
      <x:c r="Z1980" s="4"/>
    </x:row>
    <x:row r="1981" ht="23" customHeight="1">
      <x:c r="A1981" s="17" t="n">
        <x:f>ROW()-6</x:f>
        <x:v>1975</x:v>
      </x:c>
      <x:c r="B1981" s="4" t="n">
        <x:f>IF('계산 과정'!$L$5,'계산 과정'!$L$11*SQRT((A1981+0.5)/'계산 과정'!$L$30),"")</x:f>
        <x:v>147.32104809204114</x:v>
      </x:c>
      <x:c r="C1981" s="4" t="n">
        <x:f>A1981*PI()*(3-SQRT(5))</x:f>
        <x:v>4739.92737871409</x:v>
      </x:c>
      <x:c r="D1981" s="4" t="n">
        <x:f>IF('계산 과정'!$L$5,B1981*COS(C1981),"")</x:f>
        <x:v>-109.19481151317754</x:v>
      </x:c>
      <x:c r="E1981" s="4" t="n">
        <x:f>IF('계산 과정'!$L$5,B1981*SIN(C1981),"")</x:f>
        <x:v>98.89380339302926</x:v>
      </x:c>
      <x:c r="F1981" s="4" t="n">
        <x:f>IF('계산 과정'!$L$7,'계산 과정'!$L$22+'계산 과정'!$C$49*D1981+'계산 과정'!$D$49*E1981,"")</x:f>
        <x:v>727.2123916913547</x:v>
      </x:c>
      <x:c r="G1981" s="4" t="n">
        <x:f>IF('계산 과정'!$L$7,IF(ABS(F1981)&gt;=1E-12*MAX(1,SQRT((D1981-'계산 과정'!$C$33)^2+(E1981-'계산 과정'!$D$33)^2+'계산 과정'!$E$33^2)),('계산 과정'!$L$23-'계산 과정'!$C$49*D1981-'계산 과정'!$D$49*E1981)/F1981,""),"")</x:f>
        <x:v>0.4438697854940344</x:v>
      </x:c>
      <x:c r="H1981" s="4" t="n">
        <x:f>IF(AND(ISNUMBER(G1981),G1981&gt;0),('계산 과정'!$D$56+'계산 과정'!$D$57*D1981+'계산 과정'!$D$58*E1981)/F1981,"")</x:f>
        <x:v>-111.48463942887784</x:v>
      </x:c>
      <x:c r="I1981" s="4" t="n">
        <x:f>IF(AND(ISNUMBER(G1981),G1981&gt;0),('계산 과정'!$E$56+'계산 과정'!$E$57*D1981+'계산 과정'!$E$58*E1981)/F1981,"")</x:f>
        <x:v>142.78977469178238</x:v>
      </x:c>
      <x:c r="J1981" s="4" t="n">
        <x:f>IF('계산 과정'!$L$5,'계산 과정'!$D$6+'계산 과정'!$C$35*D1981+'계산 과정'!$D$35*E1981,"")</x:f>
        <x:v>727.2123916913547</x:v>
      </x:c>
      <x:c r="K1981" s="4" t="n">
        <x:f>IF(AND('계산 과정'!$L$6,J1981&gt;0),'계산 과정'!$D$10*('계산 과정'!$C$38*(D1981-'계산 과정'!$C$32)+'계산 과정'!$D$38*(E1981-'계산 과정'!$D$32)-'계산 과정'!$E$38*'계산 과정'!$E$32)/J1981,"")</x:f>
        <x:v>-0.8494067766009733</x:v>
      </x:c>
      <x:c r="L1981" s="4" t="n">
        <x:f>IF(AND('계산 과정'!$L$6,J1981&gt;0),'계산 과정'!$D$10*('계산 과정'!$C$39*(D1981-'계산 과정'!$C$32)+'계산 과정'!$D$39*(E1981-'계산 과정'!$D$32)-'계산 과정'!$E$39*'계산 과정'!$E$32)/J1981,"")</x:f>
        <x:v>1.0879220928897704</x:v>
      </x:c>
      <x:c r="M1981" s="17" t="n">
        <x:f>IF('계산 과정'!$L$6,IF(J1981&lt;=0,0,IF(AND(ABS(K1981)&lt;='계산 과정'!$D$11/2,ABS(L1981)&lt;='계산 과정'!$D$12/2),1,0)),"")</x:f>
        <x:v>1</x:v>
      </x:c>
      <x:c r="N1981" s="17" t="n">
        <x:f>IF('계산 과정'!$C$78,IF(AND(ISNUMBER(H1981),ISNUMBER(I1981),ABS(H1981-'계산 과정'!$C$88)&lt;='계산 과정'!$D$23/2,ABS(I1981-'계산 과정'!$C$89)&lt;='계산 과정'!$D$24/2),1,0),"")</x:f>
        <x:v>1</x:v>
      </x:c>
      <x:c r="O1981" s="4" t="n">
        <x:f>IF('계산 과정'!$L$7,'계산 과정'!$C$49*('계산 과정'!$C$32-D1981)+'계산 과정'!$D$49*('계산 과정'!$D$32-E1981)+'계산 과정'!$E$49*'계산 과정'!$E$32,"")</x:f>
        <x:v>-77.21239169135464</x:v>
      </x:c>
      <x:c r="P1981" s="4" t="n">
        <x:f>IF(AND('계산 과정'!$L$7,O1981&lt;&gt;0),('계산 과정'!$L$23-'계산 과정'!$C$49*D1981-'계산 과정'!$D$49*E1981)/O1981,"")</x:f>
        <x:v>-4.180515604269092</x:v>
      </x:c>
      <x:c r="Q1981" s="4" t="str">
        <x:f>IF(AND(ISNUMBER(P1981),P1981&gt;1E-9,P1981&lt;1-1E-9),'계산 과정'!$C$47*(D1981-'계산 과정'!$C$50+P1981*('계산 과정'!$C$32-D1981))+'계산 과정'!$D$47*(E1981-'계산 과정'!$D$50+P1981*('계산 과정'!$D$32-E1981))+'계산 과정'!$E$47*(0-'계산 과정'!$E$50+P1981*('계산 과정'!$E$32-0)),"")</x:f>
      </x:c>
      <x:c r="R1981" s="4" t="str">
        <x:f>IF(AND(ISNUMBER(P1981),P1981&gt;1E-9,P1981&lt;1-1E-9),'계산 과정'!$C$48*(D1981-'계산 과정'!$C$50+P1981*('계산 과정'!$C$32-D1981))+'계산 과정'!$D$48*(E1981-'계산 과정'!$D$50+P1981*('계산 과정'!$D$32-E1981))+'계산 과정'!$E$48*(0-'계산 과정'!$E$50+P1981*('계산 과정'!$E$32-0)),"")</x:f>
      </x:c>
      <x:c r="S1981" s="17" t="n">
        <x:f>IF('계산 과정'!$C$78,IF(AND(ISNUMBER(Q1981),ISNUMBER(R1981),ABS(Q1981-'계산 과정'!$C$88)&lt;='계산 과정'!$D$23/2,ABS(R1981-'계산 과정'!$C$89)&lt;='계산 과정'!$D$24/2),1,0),"")</x:f>
        <x:v>0</x:v>
      </x:c>
      <x:c r="T1981" s="4"/>
      <x:c r="U1981" s="4"/>
      <x:c r="V1981" s="4"/>
      <x:c r="W1981" s="4"/>
      <x:c r="X1981" s="4"/>
      <x:c r="Y1981" s="4"/>
      <x:c r="Z1981" s="4"/>
    </x:row>
    <x:row r="1982" ht="23" customHeight="1">
      <x:c r="A1982" s="17" t="n">
        <x:f>ROW()-6</x:f>
        <x:v>1976</x:v>
      </x:c>
      <x:c r="B1982" s="4" t="n">
        <x:f>IF('계산 과정'!$L$5,'계산 과정'!$L$11*SQRT((A1982+0.5)/'계산 과정'!$L$30),"")</x:f>
        <x:v>147.35833040267016</x:v>
      </x:c>
      <x:c r="C1982" s="4" t="n">
        <x:f>A1982*PI()*(3-SQRT(5))</x:f>
        <x:v>4742.327341943818</x:v>
      </x:c>
      <x:c r="D1982" s="4" t="n">
        <x:f>IF('계산 과정'!$L$5,B1982*COS(C1982),"")</x:f>
        <x:v>13.718522149679554</x:v>
      </x:c>
      <x:c r="E1982" s="4" t="n">
        <x:f>IF('계산 과정'!$L$5,B1982*SIN(C1982),"")</x:f>
        <x:v>-146.71836861515078</x:v>
      </x:c>
      <x:c r="F1982" s="4" t="n">
        <x:f>IF('계산 과정'!$L$7,'계산 과정'!$L$22+'계산 과정'!$C$49*D1982+'계산 과정'!$D$49*E1982,"")</x:f>
        <x:v>640.2995399601037</x:v>
      </x:c>
      <x:c r="G1982" s="4" t="n">
        <x:f>IF('계산 과정'!$L$7,IF(ABS(F1982)&gt;=1E-12*MAX(1,SQRT((D1982-'계산 과정'!$C$33)^2+(E1982-'계산 과정'!$D$33)^2+'계산 과정'!$E$33^2)),('계산 과정'!$L$23-'계산 과정'!$C$49*D1982-'계산 과정'!$D$49*E1982)/F1982,""),"")</x:f>
        <x:v>0.6398574955487617</x:v>
      </x:c>
      <x:c r="H1982" s="4" t="n">
        <x:f>IF(AND(ISNUMBER(G1982),G1982&gt;0),('계산 과정'!$D$56+'계산 과정'!$D$57*D1982+'계산 과정'!$D$58*E1982)/F1982,"")</x:f>
        <x:v>15.90737210669502</x:v>
      </x:c>
      <x:c r="I1982" s="4" t="n">
        <x:f>IF(AND(ISNUMBER(G1982),G1982&gt;0),('계산 과정'!$E$56+'계산 과정'!$E$57*D1982+'계산 과정'!$E$58*E1982)/F1982,"")</x:f>
        <x:v>-240.5972165082412</x:v>
      </x:c>
      <x:c r="J1982" s="4" t="n">
        <x:f>IF('계산 과정'!$L$5,'계산 과정'!$D$6+'계산 과정'!$C$35*D1982+'계산 과정'!$D$35*E1982,"")</x:f>
        <x:v>640.2995399601037</x:v>
      </x:c>
      <x:c r="K1982" s="4" t="n">
        <x:f>IF(AND('계산 과정'!$L$6,J1982&gt;0),'계산 과정'!$D$10*('계산 과정'!$C$38*(D1982-'계산 과정'!$C$32)+'계산 과정'!$D$38*(E1982-'계산 과정'!$D$32)-'계산 과정'!$E$38*'계산 과정'!$E$32)/J1982,"")</x:f>
        <x:v>0.12119902557481993</x:v>
      </x:c>
      <x:c r="L1982" s="4" t="n">
        <x:f>IF(AND('계산 과정'!$L$6,J1982&gt;0),'계산 과정'!$D$10*('계산 과정'!$C$39*(D1982-'계산 과정'!$C$32)+'계산 과정'!$D$39*(E1982-'계산 과정'!$D$32)-'계산 과정'!$E$39*'계산 과정'!$E$32)/J1982,"")</x:f>
        <x:v>-1.8331216495865996</x:v>
      </x:c>
      <x:c r="M1982" s="17" t="n">
        <x:f>IF('계산 과정'!$L$6,IF(J1982&lt;=0,0,IF(AND(ABS(K1982)&lt;='계산 과정'!$D$11/2,ABS(L1982)&lt;='계산 과정'!$D$12/2),1,0)),"")</x:f>
        <x:v>1</x:v>
      </x:c>
      <x:c r="N1982" s="17" t="n">
        <x:f>IF('계산 과정'!$C$78,IF(AND(ISNUMBER(H1982),ISNUMBER(I1982),ABS(H1982-'계산 과정'!$C$88)&lt;='계산 과정'!$D$23/2,ABS(I1982-'계산 과정'!$C$89)&lt;='계산 과정'!$D$24/2),1,0),"")</x:f>
        <x:v>1</x:v>
      </x:c>
      <x:c r="O1982" s="4" t="n">
        <x:f>IF('계산 과정'!$L$7,'계산 과정'!$C$49*('계산 과정'!$C$32-D1982)+'계산 과정'!$D$49*('계산 과정'!$D$32-E1982)+'계산 과정'!$E$49*'계산 과정'!$E$32,"")</x:f>
        <x:v>9.70046003989637</x:v>
      </x:c>
      <x:c r="P1982" s="4" t="n">
        <x:f>IF(AND('계산 과정'!$L$7,O1982&lt;&gt;0),('계산 과정'!$L$23-'계산 과정'!$C$49*D1982-'계산 과정'!$D$49*E1982)/O1982,"")</x:f>
        <x:v>42.23515775075273</x:v>
      </x:c>
      <x:c r="Q1982" s="4" t="str">
        <x:f>IF(AND(ISNUMBER(P1982),P1982&gt;1E-9,P1982&lt;1-1E-9),'계산 과정'!$C$47*(D1982-'계산 과정'!$C$50+P1982*('계산 과정'!$C$32-D1982))+'계산 과정'!$D$47*(E1982-'계산 과정'!$D$50+P1982*('계산 과정'!$D$32-E1982))+'계산 과정'!$E$47*(0-'계산 과정'!$E$50+P1982*('계산 과정'!$E$32-0)),"")</x:f>
      </x:c>
      <x:c r="R1982" s="4" t="str">
        <x:f>IF(AND(ISNUMBER(P1982),P1982&gt;1E-9,P1982&lt;1-1E-9),'계산 과정'!$C$48*(D1982-'계산 과정'!$C$50+P1982*('계산 과정'!$C$32-D1982))+'계산 과정'!$D$48*(E1982-'계산 과정'!$D$50+P1982*('계산 과정'!$D$32-E1982))+'계산 과정'!$E$48*(0-'계산 과정'!$E$50+P1982*('계산 과정'!$E$32-0)),"")</x:f>
      </x:c>
      <x:c r="S1982" s="17" t="n">
        <x:f>IF('계산 과정'!$C$78,IF(AND(ISNUMBER(Q1982),ISNUMBER(R1982),ABS(Q1982-'계산 과정'!$C$88)&lt;='계산 과정'!$D$23/2,ABS(R1982-'계산 과정'!$C$89)&lt;='계산 과정'!$D$24/2),1,0),"")</x:f>
        <x:v>0</x:v>
      </x:c>
      <x:c r="T1982" s="4"/>
      <x:c r="U1982" s="4"/>
      <x:c r="V1982" s="4"/>
      <x:c r="W1982" s="4"/>
      <x:c r="X1982" s="4"/>
      <x:c r="Y1982" s="4"/>
      <x:c r="Z1982" s="4"/>
    </x:row>
    <x:row r="1983" ht="23" customHeight="1">
      <x:c r="A1983" s="17" t="n">
        <x:f>ROW()-6</x:f>
        <x:v>1977</x:v>
      </x:c>
      <x:c r="B1983" s="4" t="n">
        <x:f>IF('계산 과정'!$L$5,'계산 과정'!$L$11*SQRT((A1983+0.5)/'계산 과정'!$L$30),"")</x:f>
        <x:v>147.3956032830949</x:v>
      </x:c>
      <x:c r="C1983" s="4" t="n">
        <x:f>A1983*PI()*(3-SQRT(5))</x:f>
        <x:v>4744.7273051735465</x:v>
      </x:c>
      <x:c r="D1983" s="4" t="n">
        <x:f>IF('계산 과정'!$L$5,B1983*COS(C1983),"")</x:f>
        <x:v>89.01373218179198</x:v>
      </x:c>
      <x:c r="E1983" s="4" t="n">
        <x:f>IF('계산 과정'!$L$5,B1983*SIN(C1983),"")</x:f>
        <x:v>117.48199585577235</x:v>
      </x:c>
      <x:c r="F1983" s="4" t="n">
        <x:f>IF('계산 과정'!$L$7,'계산 과정'!$L$22+'계산 과정'!$C$49*D1983+'계산 과정'!$D$49*E1983,"")</x:f>
        <x:v>587.0577863555317</x:v>
      </x:c>
      <x:c r="G1983" s="4" t="n">
        <x:f>IF('계산 과정'!$L$7,IF(ABS(F1983)&gt;=1E-12*MAX(1,SQRT((D1983-'계산 과정'!$C$33)^2+(E1983-'계산 과정'!$D$33)^2+'계산 과정'!$E$33^2)),('계산 과정'!$L$23-'계산 과정'!$C$49*D1983-'계산 과정'!$D$49*E1983)/F1983,""),"")</x:f>
        <x:v>0.7885803142454243</x:v>
      </x:c>
      <x:c r="H1983" s="4" t="n">
        <x:f>IF(AND(ISNUMBER(G1983),G1983&gt;0),('계산 과정'!$D$56+'계산 과정'!$D$57*D1983+'계산 과정'!$D$58*E1983)/F1983,"")</x:f>
        <x:v>112.57720425952569</x:v>
      </x:c>
      <x:c r="I1983" s="4" t="n">
        <x:f>IF(AND(ISNUMBER(G1983),G1983&gt;0),('계산 과정'!$E$56+'계산 과정'!$E$57*D1983+'계산 과정'!$E$58*E1983)/F1983,"")</x:f>
        <x:v>210.12598506589697</x:v>
      </x:c>
      <x:c r="J1983" s="4" t="n">
        <x:f>IF('계산 과정'!$L$5,'계산 과정'!$D$6+'계산 과정'!$C$35*D1983+'계산 과정'!$D$35*E1983,"")</x:f>
        <x:v>587.0577863555317</x:v>
      </x:c>
      <x:c r="K1983" s="4" t="n">
        <x:f>IF(AND('계산 과정'!$L$6,J1983&gt;0),'계산 과정'!$D$10*('계산 과정'!$C$38*(D1983-'계산 과정'!$C$32)+'계산 과정'!$D$38*(E1983-'계산 과정'!$D$32)-'계산 과정'!$E$38*'계산 과정'!$E$32)/J1983,"")</x:f>
        <x:v>0.8577310800725775</x:v>
      </x:c>
      <x:c r="L1983" s="4" t="n">
        <x:f>IF(AND('계산 과정'!$L$6,J1983&gt;0),'계산 과정'!$D$10*('계산 과정'!$C$39*(D1983-'계산 과정'!$C$32)+'계산 과정'!$D$39*(E1983-'계산 과정'!$D$32)-'계산 과정'!$E$39*'계산 과정'!$E$32)/J1983,"")</x:f>
        <x:v>1.6009598862163577</x:v>
      </x:c>
      <x:c r="M1983" s="17" t="n">
        <x:f>IF('계산 과정'!$L$6,IF(J1983&lt;=0,0,IF(AND(ABS(K1983)&lt;='계산 과정'!$D$11/2,ABS(L1983)&lt;='계산 과정'!$D$12/2),1,0)),"")</x:f>
        <x:v>1</x:v>
      </x:c>
      <x:c r="N1983" s="17" t="n">
        <x:f>IF('계산 과정'!$C$78,IF(AND(ISNUMBER(H1983),ISNUMBER(I1983),ABS(H1983-'계산 과정'!$C$88)&lt;='계산 과정'!$D$23/2,ABS(I1983-'계산 과정'!$C$89)&lt;='계산 과정'!$D$24/2),1,0),"")</x:f>
        <x:v>1</x:v>
      </x:c>
      <x:c r="O1983" s="4" t="n">
        <x:f>IF('계산 과정'!$L$7,'계산 과정'!$C$49*('계산 과정'!$C$32-D1983)+'계산 과정'!$D$49*('계산 과정'!$D$32-E1983)+'계산 과정'!$E$49*'계산 과정'!$E$32,"")</x:f>
        <x:v>62.94221364446844</x:v>
      </x:c>
      <x:c r="P1983" s="4" t="n">
        <x:f>IF(AND('계산 과정'!$L$7,O1983&lt;&gt;0),('계산 과정'!$L$23-'계산 과정'!$C$49*D1983-'계산 과정'!$D$49*E1983)/O1983,"")</x:f>
        <x:v>7.3550354656958135</x:v>
      </x:c>
      <x:c r="Q1983" s="4" t="str">
        <x:f>IF(AND(ISNUMBER(P1983),P1983&gt;1E-9,P1983&lt;1-1E-9),'계산 과정'!$C$47*(D1983-'계산 과정'!$C$50+P1983*('계산 과정'!$C$32-D1983))+'계산 과정'!$D$47*(E1983-'계산 과정'!$D$50+P1983*('계산 과정'!$D$32-E1983))+'계산 과정'!$E$47*(0-'계산 과정'!$E$50+P1983*('계산 과정'!$E$32-0)),"")</x:f>
      </x:c>
      <x:c r="R1983" s="4" t="str">
        <x:f>IF(AND(ISNUMBER(P1983),P1983&gt;1E-9,P1983&lt;1-1E-9),'계산 과정'!$C$48*(D1983-'계산 과정'!$C$50+P1983*('계산 과정'!$C$32-D1983))+'계산 과정'!$D$48*(E1983-'계산 과정'!$D$50+P1983*('계산 과정'!$D$32-E1983))+'계산 과정'!$E$48*(0-'계산 과정'!$E$50+P1983*('계산 과정'!$E$32-0)),"")</x:f>
      </x:c>
      <x:c r="S1983" s="17" t="n">
        <x:f>IF('계산 과정'!$C$78,IF(AND(ISNUMBER(Q1983),ISNUMBER(R1983),ABS(Q1983-'계산 과정'!$C$88)&lt;='계산 과정'!$D$23/2,ABS(R1983-'계산 과정'!$C$89)&lt;='계산 과정'!$D$24/2),1,0),"")</x:f>
        <x:v>0</x:v>
      </x:c>
      <x:c r="T1983" s="4"/>
      <x:c r="U1983" s="4"/>
      <x:c r="V1983" s="4"/>
      <x:c r="W1983" s="4"/>
      <x:c r="X1983" s="4"/>
      <x:c r="Y1983" s="4"/>
      <x:c r="Z1983" s="4"/>
    </x:row>
    <x:row r="1984" ht="23" customHeight="1">
      <x:c r="A1984" s="17" t="n">
        <x:f>ROW()-6</x:f>
        <x:v>1978</x:v>
      </x:c>
      <x:c r="B1984" s="4" t="n">
        <x:f>IF('계산 과정'!$L$5,'계산 과정'!$L$11*SQRT((A1984+0.5)/'계산 과정'!$L$30),"")</x:f>
        <x:v>147.4328667404677</x:v>
      </x:c>
      <x:c r="C1984" s="4" t="n">
        <x:f>A1984*PI()*(3-SQRT(5))</x:f>
        <x:v>4747.127268403275</x:v>
      </x:c>
      <x:c r="D1984" s="4" t="n">
        <x:f>IF('계산 과정'!$L$5,B1984*COS(C1984),"")</x:f>
        <x:v>-145.03056006112422</x:v>
      </x:c>
      <x:c r="E1984" s="4" t="n">
        <x:f>IF('계산 과정'!$L$5,B1984*SIN(C1984),"")</x:f>
        <x:v>-26.506354778979798</x:v>
      </x:c>
      <x:c r="F1984" s="4" t="n">
        <x:f>IF('계산 과정'!$L$7,'계산 과정'!$L$22+'계산 과정'!$C$49*D1984+'계산 과정'!$D$49*E1984,"")</x:f>
        <x:v>752.5520924985038</x:v>
      </x:c>
      <x:c r="G1984" s="4" t="n">
        <x:f>IF('계산 과정'!$L$7,IF(ABS(F1984)&gt;=1E-12*MAX(1,SQRT((D1984-'계산 과정'!$C$33)^2+(E1984-'계산 과정'!$D$33)^2+'계산 과정'!$E$33^2)),('계산 과정'!$L$23-'계산 과정'!$C$49*D1984-'계산 과정'!$D$49*E1984)/F1984,""),"")</x:f>
        <x:v>0.3952522496003658</x:v>
      </x:c>
      <x:c r="H1984" s="4" t="n">
        <x:f>IF(AND(ISNUMBER(G1984),G1984&gt;0),('계산 과정'!$D$56+'계산 과정'!$D$57*D1984+'계산 과정'!$D$58*E1984)/F1984,"")</x:f>
        <x:v>-143.08603775976235</x:v>
      </x:c>
      <x:c r="I1984" s="4" t="n">
        <x:f>IF(AND(ISNUMBER(G1984),G1984&gt;0),('계산 과정'!$E$56+'계산 과정'!$E$57*D1984+'계산 과정'!$E$58*E1984)/F1984,"")</x:f>
        <x:v>-36.98305113407697</x:v>
      </x:c>
      <x:c r="J1984" s="4" t="n">
        <x:f>IF('계산 과정'!$L$5,'계산 과정'!$D$6+'계산 과정'!$C$35*D1984+'계산 과정'!$D$35*E1984,"")</x:f>
        <x:v>752.5520924985038</x:v>
      </x:c>
      <x:c r="K1984" s="4" t="n">
        <x:f>IF(AND('계산 과정'!$L$6,J1984&gt;0),'계산 과정'!$D$10*('계산 과정'!$C$38*(D1984-'계산 과정'!$C$32)+'계산 과정'!$D$38*(E1984-'계산 과정'!$D$32)-'계산 과정'!$E$38*'계산 과정'!$E$32)/J1984,"")</x:f>
        <x:v>-1.0901793353124738</x:v>
      </x:c>
      <x:c r="L1984" s="4" t="n">
        <x:f>IF(AND('계산 과정'!$L$6,J1984&gt;0),'계산 과정'!$D$10*('계산 과정'!$C$39*(D1984-'계산 과정'!$C$32)+'계산 과정'!$D$39*(E1984-'계산 과정'!$D$32)-'계산 과정'!$E$39*'계산 과정'!$E$32)/J1984,"")</x:f>
        <x:v>-0.28177562768820547</x:v>
      </x:c>
      <x:c r="M1984" s="17" t="n">
        <x:f>IF('계산 과정'!$L$6,IF(J1984&lt;=0,0,IF(AND(ABS(K1984)&lt;='계산 과정'!$D$11/2,ABS(L1984)&lt;='계산 과정'!$D$12/2),1,0)),"")</x:f>
        <x:v>1</x:v>
      </x:c>
      <x:c r="N1984" s="17" t="n">
        <x:f>IF('계산 과정'!$C$78,IF(AND(ISNUMBER(H1984),ISNUMBER(I1984),ABS(H1984-'계산 과정'!$C$88)&lt;='계산 과정'!$D$23/2,ABS(I1984-'계산 과정'!$C$89)&lt;='계산 과정'!$D$24/2),1,0),"")</x:f>
        <x:v>1</x:v>
      </x:c>
      <x:c r="O1984" s="4" t="n">
        <x:f>IF('계산 과정'!$L$7,'계산 과정'!$C$49*('계산 과정'!$C$32-D1984)+'계산 과정'!$D$49*('계산 과정'!$D$32-E1984)+'계산 과정'!$E$49*'계산 과정'!$E$32,"")</x:f>
        <x:v>-102.55209249850367</x:v>
      </x:c>
      <x:c r="P1984" s="4" t="n">
        <x:f>IF(AND('계산 과정'!$L$7,O1984&lt;&gt;0),('계산 과정'!$L$23-'계산 과정'!$C$49*D1984-'계산 과정'!$D$49*E1984)/O1984,"")</x:f>
        <x:v>-2.9004567362273592</x:v>
      </x:c>
      <x:c r="Q1984" s="4" t="str">
        <x:f>IF(AND(ISNUMBER(P1984),P1984&gt;1E-9,P1984&lt;1-1E-9),'계산 과정'!$C$47*(D1984-'계산 과정'!$C$50+P1984*('계산 과정'!$C$32-D1984))+'계산 과정'!$D$47*(E1984-'계산 과정'!$D$50+P1984*('계산 과정'!$D$32-E1984))+'계산 과정'!$E$47*(0-'계산 과정'!$E$50+P1984*('계산 과정'!$E$32-0)),"")</x:f>
      </x:c>
      <x:c r="R1984" s="4" t="str">
        <x:f>IF(AND(ISNUMBER(P1984),P1984&gt;1E-9,P1984&lt;1-1E-9),'계산 과정'!$C$48*(D1984-'계산 과정'!$C$50+P1984*('계산 과정'!$C$32-D1984))+'계산 과정'!$D$48*(E1984-'계산 과정'!$D$50+P1984*('계산 과정'!$D$32-E1984))+'계산 과정'!$E$48*(0-'계산 과정'!$E$50+P1984*('계산 과정'!$E$32-0)),"")</x:f>
      </x:c>
      <x:c r="S1984" s="17" t="n">
        <x:f>IF('계산 과정'!$C$78,IF(AND(ISNUMBER(Q1984),ISNUMBER(R1984),ABS(Q1984-'계산 과정'!$C$88)&lt;='계산 과정'!$D$23/2,ABS(R1984-'계산 과정'!$C$89)&lt;='계산 과정'!$D$24/2),1,0),"")</x:f>
        <x:v>0</x:v>
      </x:c>
      <x:c r="T1984" s="4"/>
      <x:c r="U1984" s="4"/>
      <x:c r="V1984" s="4"/>
      <x:c r="W1984" s="4"/>
      <x:c r="X1984" s="4"/>
      <x:c r="Y1984" s="4"/>
      <x:c r="Z1984" s="4"/>
    </x:row>
    <x:row r="1985" ht="23" customHeight="1">
      <x:c r="A1985" s="17" t="n">
        <x:f>ROW()-6</x:f>
        <x:v>1979</x:v>
      </x:c>
      <x:c r="B1985" s="4" t="n">
        <x:f>IF('계산 과정'!$L$5,'계산 과정'!$L$11*SQRT((A1985+0.5)/'계산 과정'!$L$30),"")</x:f>
        <x:v>147.47012078193163</x:v>
      </x:c>
      <x:c r="C1985" s="4" t="n">
        <x:f>A1985*PI()*(3-SQRT(5))</x:f>
        <x:v>4749.527231633004</x:v>
      </x:c>
      <x:c r="D1985" s="4" t="n">
        <x:f>IF('계산 과정'!$L$5,B1985*COS(C1985),"")</x:f>
        <x:v>124.87735338401495</x:v>
      </x:c>
      <x:c r="E1985" s="4" t="n">
        <x:f>IF('계산 과정'!$L$5,B1985*SIN(C1985),"")</x:f>
        <x:v>-78.44159059606932</x:v>
      </x:c>
      <x:c r="F1985" s="4" t="n">
        <x:f>IF('계산 과정'!$L$7,'계산 과정'!$L$22+'계산 과정'!$C$49*D1985+'계산 과정'!$D$49*E1985,"")</x:f>
        <x:v>561.6983766055341</x:v>
      </x:c>
      <x:c r="G1985" s="4" t="n">
        <x:f>IF('계산 과정'!$L$7,IF(ABS(F1985)&gt;=1E-12*MAX(1,SQRT((D1985-'계산 과정'!$C$33)^2+(E1985-'계산 과정'!$D$33)^2+'계산 과정'!$E$33^2)),('계산 과정'!$L$23-'계산 과정'!$C$49*D1985-'계산 과정'!$D$49*E1985)/F1985,""),"")</x:f>
        <x:v>0.8693306652324315</x:v>
      </x:c>
      <x:c r="H1985" s="4" t="n">
        <x:f>IF(AND(ISNUMBER(G1985),G1985&gt;0),('계산 과정'!$D$56+'계산 과정'!$D$57*D1985+'계산 과정'!$D$58*E1985)/F1985,"")</x:f>
        <x:v>165.06493240108037</x:v>
      </x:c>
      <x:c r="I1985" s="4" t="n">
        <x:f>IF(AND(ISNUMBER(G1985),G1985&gt;0),('계산 과정'!$E$56+'계산 과정'!$E$57*D1985+'계산 과정'!$E$58*E1985)/F1985,"")</x:f>
        <x:v>-146.6332707308403</x:v>
      </x:c>
      <x:c r="J1985" s="4" t="n">
        <x:f>IF('계산 과정'!$L$5,'계산 과정'!$D$6+'계산 과정'!$C$35*D1985+'계산 과정'!$D$35*E1985,"")</x:f>
        <x:v>561.6983766055341</x:v>
      </x:c>
      <x:c r="K1985" s="4" t="n">
        <x:f>IF(AND('계산 과정'!$L$6,J1985&gt;0),'계산 과정'!$D$10*('계산 과정'!$C$38*(D1985-'계산 과정'!$C$32)+'계산 과정'!$D$38*(E1985-'계산 과정'!$D$32)-'계산 과정'!$E$38*'계산 과정'!$E$32)/J1985,"")</x:f>
        <x:v>1.2576375801987085</x:v>
      </x:c>
      <x:c r="L1985" s="4" t="n">
        <x:f>IF(AND('계산 과정'!$L$6,J1985&gt;0),'계산 과정'!$D$10*('계산 과정'!$C$39*(D1985-'계산 과정'!$C$32)+'계산 과정'!$D$39*(E1985-'계산 과정'!$D$32)-'계산 과정'!$E$39*'계산 과정'!$E$32)/J1985,"")</x:f>
        <x:v>-1.1172058722349738</x:v>
      </x:c>
      <x:c r="M1985" s="17" t="n">
        <x:f>IF('계산 과정'!$L$6,IF(J1985&lt;=0,0,IF(AND(ABS(K1985)&lt;='계산 과정'!$D$11/2,ABS(L1985)&lt;='계산 과정'!$D$12/2),1,0)),"")</x:f>
        <x:v>1</x:v>
      </x:c>
      <x:c r="N1985" s="17" t="n">
        <x:f>IF('계산 과정'!$C$78,IF(AND(ISNUMBER(H1985),ISNUMBER(I1985),ABS(H1985-'계산 과정'!$C$88)&lt;='계산 과정'!$D$23/2,ABS(I1985-'계산 과정'!$C$89)&lt;='계산 과정'!$D$24/2),1,0),"")</x:f>
        <x:v>1</x:v>
      </x:c>
      <x:c r="O1985" s="4" t="n">
        <x:f>IF('계산 과정'!$L$7,'계산 과정'!$C$49*('계산 과정'!$C$32-D1985)+'계산 과정'!$D$49*('계산 과정'!$D$32-E1985)+'계산 과정'!$E$49*'계산 과정'!$E$32,"")</x:f>
        <x:v>88.30162339446593</x:v>
      </x:c>
      <x:c r="P1985" s="4" t="n">
        <x:f>IF(AND('계산 과정'!$L$7,O1985&lt;&gt;0),('계산 과정'!$L$23-'계산 과정'!$C$49*D1985-'계산 과정'!$D$49*E1985)/O1985,"")</x:f>
        <x:v>5.529928042354301</x:v>
      </x:c>
      <x:c r="Q1985" s="4" t="str">
        <x:f>IF(AND(ISNUMBER(P1985),P1985&gt;1E-9,P1985&lt;1-1E-9),'계산 과정'!$C$47*(D1985-'계산 과정'!$C$50+P1985*('계산 과정'!$C$32-D1985))+'계산 과정'!$D$47*(E1985-'계산 과정'!$D$50+P1985*('계산 과정'!$D$32-E1985))+'계산 과정'!$E$47*(0-'계산 과정'!$E$50+P1985*('계산 과정'!$E$32-0)),"")</x:f>
      </x:c>
      <x:c r="R1985" s="4" t="str">
        <x:f>IF(AND(ISNUMBER(P1985),P1985&gt;1E-9,P1985&lt;1-1E-9),'계산 과정'!$C$48*(D1985-'계산 과정'!$C$50+P1985*('계산 과정'!$C$32-D1985))+'계산 과정'!$D$48*(E1985-'계산 과정'!$D$50+P1985*('계산 과정'!$D$32-E1985))+'계산 과정'!$E$48*(0-'계산 과정'!$E$50+P1985*('계산 과정'!$E$32-0)),"")</x:f>
      </x:c>
      <x:c r="S1985" s="17" t="n">
        <x:f>IF('계산 과정'!$C$78,IF(AND(ISNUMBER(Q1985),ISNUMBER(R1985),ABS(Q1985-'계산 과정'!$C$88)&lt;='계산 과정'!$D$23/2,ABS(R1985-'계산 과정'!$C$89)&lt;='계산 과정'!$D$24/2),1,0),"")</x:f>
        <x:v>0</x:v>
      </x:c>
      <x:c r="T1985" s="4"/>
      <x:c r="U1985" s="4"/>
      <x:c r="V1985" s="4"/>
      <x:c r="W1985" s="4"/>
      <x:c r="X1985" s="4"/>
      <x:c r="Y1985" s="4"/>
      <x:c r="Z1985" s="4"/>
    </x:row>
    <x:row r="1986" ht="23" customHeight="1">
      <x:c r="A1986" s="17" t="n">
        <x:f>ROW()-6</x:f>
        <x:v>1980</x:v>
      </x:c>
      <x:c r="B1986" s="4" t="n">
        <x:f>IF('계산 과정'!$L$5,'계산 과정'!$L$11*SQRT((A1986+0.5)/'계산 과정'!$L$30),"")</x:f>
        <x:v>147.5073654146209</x:v>
      </x:c>
      <x:c r="C1986" s="4" t="n">
        <x:f>A1986*PI()*(3-SQRT(5))</x:f>
        <x:v>4751.927194862733</x:v>
      </x:c>
      <x:c r="D1986" s="4" t="n">
        <x:f>IF('계산 과정'!$L$5,B1986*COS(C1986),"")</x:f>
        <x:v>-39.104014352747065</x:v>
      </x:c>
      <x:c r="E1986" s="4" t="n">
        <x:f>IF('계산 과정'!$L$5,B1986*SIN(C1986),"")</x:f>
        <x:v>142.22973990365955</x:v>
      </x:c>
      <x:c r="F1986" s="4" t="n">
        <x:f>IF('계산 과정'!$L$7,'계산 과정'!$L$22+'계산 과정'!$C$49*D1986+'계산 과정'!$D$49*E1986,"")</x:f>
        <x:v>677.6507137204435</x:v>
      </x:c>
      <x:c r="G1986" s="4" t="n">
        <x:f>IF('계산 과정'!$L$7,IF(ABS(F1986)&gt;=1E-12*MAX(1,SQRT((D1986-'계산 과정'!$C$33)^2+(E1986-'계산 과정'!$D$33)^2+'계산 과정'!$E$33^2)),('계산 과정'!$L$23-'계산 과정'!$C$49*D1986-'계산 과정'!$D$49*E1986)/F1986,""),"")</x:f>
        <x:v>0.5494708095787008</x:v>
      </x:c>
      <x:c r="H1986" s="4" t="n">
        <x:f>IF(AND(ISNUMBER(G1986),G1986&gt;0),('계산 과정'!$D$56+'계산 과정'!$D$57*D1986+'계산 과정'!$D$58*E1986)/F1986,"")</x:f>
        <x:v>-42.84397377384465</x:v>
      </x:c>
      <x:c r="I1986" s="4" t="n">
        <x:f>IF(AND(ISNUMBER(G1986),G1986&gt;0),('계산 과정'!$E$56+'계산 과정'!$E$57*D1986+'계산 과정'!$E$58*E1986)/F1986,"")</x:f>
        <x:v>220.3808302346914</x:v>
      </x:c>
      <x:c r="J1986" s="4" t="n">
        <x:f>IF('계산 과정'!$L$5,'계산 과정'!$D$6+'계산 과정'!$C$35*D1986+'계산 과정'!$D$35*E1986,"")</x:f>
        <x:v>677.6507137204435</x:v>
      </x:c>
      <x:c r="K1986" s="4" t="n">
        <x:f>IF(AND('계산 과정'!$L$6,J1986&gt;0),'계산 과정'!$D$10*('계산 과정'!$C$38*(D1986-'계산 과정'!$C$32)+'계산 과정'!$D$38*(E1986-'계산 과정'!$D$32)-'계산 과정'!$E$38*'계산 과정'!$E$32)/J1986,"")</x:f>
        <x:v>-0.326430276372149</x:v>
      </x:c>
      <x:c r="L1986" s="4" t="n">
        <x:f>IF(AND('계산 과정'!$L$6,J1986&gt;0),'계산 과정'!$D$10*('계산 과정'!$C$39*(D1986-'계산 과정'!$C$32)+'계산 과정'!$D$39*(E1986-'계산 과정'!$D$32)-'계산 과정'!$E$39*'계산 과정'!$E$32)/J1986,"")</x:f>
        <x:v>1.679092039883363</x:v>
      </x:c>
      <x:c r="M1986" s="17" t="n">
        <x:f>IF('계산 과정'!$L$6,IF(J1986&lt;=0,0,IF(AND(ABS(K1986)&lt;='계산 과정'!$D$11/2,ABS(L1986)&lt;='계산 과정'!$D$12/2),1,0)),"")</x:f>
        <x:v>1</x:v>
      </x:c>
      <x:c r="N1986" s="17" t="n">
        <x:f>IF('계산 과정'!$C$78,IF(AND(ISNUMBER(H1986),ISNUMBER(I1986),ABS(H1986-'계산 과정'!$C$88)&lt;='계산 과정'!$D$23/2,ABS(I1986-'계산 과정'!$C$89)&lt;='계산 과정'!$D$24/2),1,0),"")</x:f>
        <x:v>1</x:v>
      </x:c>
      <x:c r="O1986" s="4" t="n">
        <x:f>IF('계산 과정'!$L$7,'계산 과정'!$C$49*('계산 과정'!$C$32-D1986)+'계산 과정'!$D$49*('계산 과정'!$D$32-E1986)+'계산 과정'!$E$49*'계산 과정'!$E$32,"")</x:f>
        <x:v>-27.650713720443434</x:v>
      </x:c>
      <x:c r="P1986" s="4" t="n">
        <x:f>IF(AND('계산 과정'!$L$7,O1986&lt;&gt;0),('계산 과정'!$L$23-'계산 과정'!$C$49*D1986-'계산 과정'!$D$49*E1986)/O1986,"")</x:f>
        <x:v>-13.466172701511919</x:v>
      </x:c>
      <x:c r="Q1986" s="4" t="str">
        <x:f>IF(AND(ISNUMBER(P1986),P1986&gt;1E-9,P1986&lt;1-1E-9),'계산 과정'!$C$47*(D1986-'계산 과정'!$C$50+P1986*('계산 과정'!$C$32-D1986))+'계산 과정'!$D$47*(E1986-'계산 과정'!$D$50+P1986*('계산 과정'!$D$32-E1986))+'계산 과정'!$E$47*(0-'계산 과정'!$E$50+P1986*('계산 과정'!$E$32-0)),"")</x:f>
      </x:c>
      <x:c r="R1986" s="4" t="str">
        <x:f>IF(AND(ISNUMBER(P1986),P1986&gt;1E-9,P1986&lt;1-1E-9),'계산 과정'!$C$48*(D1986-'계산 과정'!$C$50+P1986*('계산 과정'!$C$32-D1986))+'계산 과정'!$D$48*(E1986-'계산 과정'!$D$50+P1986*('계산 과정'!$D$32-E1986))+'계산 과정'!$E$48*(0-'계산 과정'!$E$50+P1986*('계산 과정'!$E$32-0)),"")</x:f>
      </x:c>
      <x:c r="S1986" s="17" t="n">
        <x:f>IF('계산 과정'!$C$78,IF(AND(ISNUMBER(Q1986),ISNUMBER(R1986),ABS(Q1986-'계산 과정'!$C$88)&lt;='계산 과정'!$D$23/2,ABS(R1986-'계산 과정'!$C$89)&lt;='계산 과정'!$D$24/2),1,0),"")</x:f>
        <x:v>0</x:v>
      </x:c>
      <x:c r="T1986" s="4"/>
      <x:c r="U1986" s="4"/>
      <x:c r="V1986" s="4"/>
      <x:c r="W1986" s="4"/>
      <x:c r="X1986" s="4"/>
      <x:c r="Y1986" s="4"/>
      <x:c r="Z1986" s="4"/>
    </x:row>
    <x:row r="1987" ht="23" customHeight="1">
      <x:c r="A1987" s="17" t="n">
        <x:f>ROW()-6</x:f>
        <x:v>1981</x:v>
      </x:c>
      <x:c r="B1987" s="4" t="n">
        <x:f>IF('계산 과정'!$L$5,'계산 과정'!$L$11*SQRT((A1987+0.5)/'계산 과정'!$L$30),"")</x:f>
        <x:v>147.5446006456607</x:v>
      </x:c>
      <x:c r="C1987" s="4" t="n">
        <x:f>A1987*PI()*(3-SQRT(5))</x:f>
        <x:v>4754.327158092461</x:v>
      </x:c>
      <x:c r="D1987" s="4" t="n">
        <x:f>IF('계산 과정'!$L$5,B1987*COS(C1987),"")</x:f>
        <x:v>-67.2576992208029</x:v>
      </x:c>
      <x:c r="E1987" s="4" t="n">
        <x:f>IF('계산 과정'!$L$5,B1987*SIN(C1987),"")</x:f>
        <x:v>-131.32330743326375</x:v>
      </x:c>
      <x:c r="F1987" s="4" t="n">
        <x:f>IF('계산 과정'!$L$7,'계산 과정'!$L$22+'계산 과정'!$C$49*D1987+'계산 과정'!$D$49*E1987,"")</x:f>
        <x:v>697.558375206035</x:v>
      </x:c>
      <x:c r="G1987" s="4" t="n">
        <x:f>IF('계산 과정'!$L$7,IF(ABS(F1987)&gt;=1E-12*MAX(1,SQRT((D1987-'계산 과정'!$C$33)^2+(E1987-'계산 과정'!$D$33)^2+'계산 과정'!$E$33^2)),('계산 과정'!$L$23-'계산 과정'!$C$49*D1987-'계산 과정'!$D$49*E1987)/F1987,""),"")</x:f>
        <x:v>0.5052503665945748</x:v>
      </x:c>
      <x:c r="H1987" s="4" t="n">
        <x:f>IF(AND(ISNUMBER(G1987),G1987&gt;0),('계산 과정'!$D$56+'계산 과정'!$D$57*D1987+'계산 과정'!$D$58*E1987)/F1987,"")</x:f>
        <x:v>-71.5872617135265</x:v>
      </x:c>
      <x:c r="I1987" s="4" t="n">
        <x:f>IF(AND(ISNUMBER(G1987),G1987&gt;0),('계산 과정'!$E$56+'계산 과정'!$E$57*D1987+'계산 과정'!$E$58*E1987)/F1987,"")</x:f>
        <x:v>-197.6744566563323</x:v>
      </x:c>
      <x:c r="J1987" s="4" t="n">
        <x:f>IF('계산 과정'!$L$5,'계산 과정'!$D$6+'계산 과정'!$C$35*D1987+'계산 과정'!$D$35*E1987,"")</x:f>
        <x:v>697.558375206035</x:v>
      </x:c>
      <x:c r="K1987" s="4" t="n">
        <x:f>IF(AND('계산 과정'!$L$6,J1987&gt;0),'계산 과정'!$D$10*('계산 과정'!$C$38*(D1987-'계산 과정'!$C$32)+'계산 과정'!$D$38*(E1987-'계산 과정'!$D$32)-'계산 과정'!$E$38*'계산 과정'!$E$32)/J1987,"")</x:f>
        <x:v>-0.5454267559125818</x:v>
      </x:c>
      <x:c r="L1987" s="4" t="n">
        <x:f>IF(AND('계산 과정'!$L$6,J1987&gt;0),'계산 과정'!$D$10*('계산 과정'!$C$39*(D1987-'계산 과정'!$C$32)+'계산 과정'!$D$39*(E1987-'계산 과정'!$D$32)-'계산 과정'!$E$39*'계산 과정'!$E$32)/J1987,"")</x:f>
        <x:v>-1.5060910983339604</x:v>
      </x:c>
      <x:c r="M1987" s="17" t="n">
        <x:f>IF('계산 과정'!$L$6,IF(J1987&lt;=0,0,IF(AND(ABS(K1987)&lt;='계산 과정'!$D$11/2,ABS(L1987)&lt;='계산 과정'!$D$12/2),1,0)),"")</x:f>
        <x:v>1</x:v>
      </x:c>
      <x:c r="N1987" s="17" t="n">
        <x:f>IF('계산 과정'!$C$78,IF(AND(ISNUMBER(H1987),ISNUMBER(I1987),ABS(H1987-'계산 과정'!$C$88)&lt;='계산 과정'!$D$23/2,ABS(I1987-'계산 과정'!$C$89)&lt;='계산 과정'!$D$24/2),1,0),"")</x:f>
        <x:v>1</x:v>
      </x:c>
      <x:c r="O1987" s="4" t="n">
        <x:f>IF('계산 과정'!$L$7,'계산 과정'!$C$49*('계산 과정'!$C$32-D1987)+'계산 과정'!$D$49*('계산 과정'!$D$32-E1987)+'계산 과정'!$E$49*'계산 과정'!$E$32,"")</x:f>
        <x:v>-47.55837520603478</x:v>
      </x:c>
      <x:c r="P1987" s="4" t="n">
        <x:f>IF(AND('계산 과정'!$L$7,O1987&lt;&gt;0),('계산 과정'!$L$23-'계산 과정'!$C$49*D1987-'계산 과정'!$D$49*E1987)/O1987,"")</x:f>
        <x:v>-7.41071626747339</x:v>
      </x:c>
      <x:c r="Q1987" s="4" t="str">
        <x:f>IF(AND(ISNUMBER(P1987),P1987&gt;1E-9,P1987&lt;1-1E-9),'계산 과정'!$C$47*(D1987-'계산 과정'!$C$50+P1987*('계산 과정'!$C$32-D1987))+'계산 과정'!$D$47*(E1987-'계산 과정'!$D$50+P1987*('계산 과정'!$D$32-E1987))+'계산 과정'!$E$47*(0-'계산 과정'!$E$50+P1987*('계산 과정'!$E$32-0)),"")</x:f>
      </x:c>
      <x:c r="R1987" s="4" t="str">
        <x:f>IF(AND(ISNUMBER(P1987),P1987&gt;1E-9,P1987&lt;1-1E-9),'계산 과정'!$C$48*(D1987-'계산 과정'!$C$50+P1987*('계산 과정'!$C$32-D1987))+'계산 과정'!$D$48*(E1987-'계산 과정'!$D$50+P1987*('계산 과정'!$D$32-E1987))+'계산 과정'!$E$48*(0-'계산 과정'!$E$50+P1987*('계산 과정'!$E$32-0)),"")</x:f>
      </x:c>
      <x:c r="S1987" s="17" t="n">
        <x:f>IF('계산 과정'!$C$78,IF(AND(ISNUMBER(Q1987),ISNUMBER(R1987),ABS(Q1987-'계산 과정'!$C$88)&lt;='계산 과정'!$D$23/2,ABS(R1987-'계산 과정'!$C$89)&lt;='계산 과정'!$D$24/2),1,0),"")</x:f>
        <x:v>0</x:v>
      </x:c>
      <x:c r="T1987" s="4"/>
      <x:c r="U1987" s="4"/>
      <x:c r="V1987" s="4"/>
      <x:c r="W1987" s="4"/>
      <x:c r="X1987" s="4"/>
      <x:c r="Y1987" s="4"/>
      <x:c r="Z1987" s="4"/>
    </x:row>
    <x:row r="1988" ht="23" customHeight="1">
      <x:c r="A1988" s="17" t="n">
        <x:f>ROW()-6</x:f>
        <x:v>1982</x:v>
      </x:c>
      <x:c r="B1988" s="4" t="n">
        <x:f>IF('계산 과정'!$L$5,'계산 과정'!$L$11*SQRT((A1988+0.5)/'계산 과정'!$L$30),"")</x:f>
        <x:v>147.58182648216717</x:v>
      </x:c>
      <x:c r="C1988" s="4" t="n">
        <x:f>A1988*PI()*(3-SQRT(5))</x:f>
        <x:v>4756.72712132219</x:v>
      </x:c>
      <x:c r="D1988" s="4" t="n">
        <x:f>IF('계산 과정'!$L$5,B1988*COS(C1988),"")</x:f>
        <x:v>138.3362475424584</x:v>
      </x:c>
      <x:c r="E1988" s="4" t="n">
        <x:f>IF('계산 과정'!$L$5,B1988*SIN(C1988),"")</x:f>
        <x:v>51.41476561926709</x:v>
      </x:c>
      <x:c r="F1988" s="4" t="n">
        <x:f>IF('계산 과정'!$L$7,'계산 과정'!$L$22+'계산 과정'!$C$49*D1988+'계산 과정'!$D$49*E1988,"")</x:f>
        <x:v>552.1815012788268</x:v>
      </x:c>
      <x:c r="G1988" s="4" t="n">
        <x:f>IF('계산 과정'!$L$7,IF(ABS(F1988)&gt;=1E-12*MAX(1,SQRT((D1988-'계산 과정'!$C$33)^2+(E1988-'계산 과정'!$D$33)^2+'계산 과정'!$E$33^2)),('계산 과정'!$L$23-'계산 과정'!$C$49*D1988-'계산 과정'!$D$49*E1988)/F1988,""),"")</x:f>
        <x:v>0.9015486711674489</x:v>
      </x:c>
      <x:c r="H1988" s="4" t="n">
        <x:f>IF(AND(ISNUMBER(G1988),G1988&gt;0),('계산 과정'!$D$56+'계산 과정'!$D$57*D1988+'계산 과정'!$D$58*E1988)/F1988,"")</x:f>
        <x:v>186.00663625884164</x:v>
      </x:c>
      <x:c r="I1988" s="4" t="n">
        <x:f>IF(AND(ISNUMBER(G1988),G1988&gt;0),('계산 과정'!$E$56+'계산 과정'!$E$57*D1988+'계산 과정'!$E$58*E1988)/F1988,"")</x:f>
        <x:v>97.76767924170316</x:v>
      </x:c>
      <x:c r="J1988" s="4" t="n">
        <x:f>IF('계산 과정'!$L$5,'계산 과정'!$D$6+'계산 과정'!$C$35*D1988+'계산 과정'!$D$35*E1988,"")</x:f>
        <x:v>552.1815012788268</x:v>
      </x:c>
      <x:c r="K1988" s="4" t="n">
        <x:f>IF(AND('계산 과정'!$L$6,J1988&gt;0),'계산 과정'!$D$10*('계산 과정'!$C$38*(D1988-'계산 과정'!$C$32)+'계산 과정'!$D$38*(E1988-'계산 과정'!$D$32)-'계산 과정'!$E$38*'계산 과정'!$E$32)/J1988,"")</x:f>
        <x:v>1.4171934191149846</x:v>
      </x:c>
      <x:c r="L1988" s="4" t="n">
        <x:f>IF(AND('계산 과정'!$L$6,J1988&gt;0),'계산 과정'!$D$10*('계산 과정'!$C$39*(D1988-'계산 과정'!$C$32)+'계산 과정'!$D$39*(E1988-'계산 과정'!$D$32)-'계산 과정'!$E$39*'계산 과정'!$E$32)/J1988,"")</x:f>
        <x:v>0.7448966037463098</x:v>
      </x:c>
      <x:c r="M1988" s="17" t="n">
        <x:f>IF('계산 과정'!$L$6,IF(J1988&lt;=0,0,IF(AND(ABS(K1988)&lt;='계산 과정'!$D$11/2,ABS(L1988)&lt;='계산 과정'!$D$12/2),1,0)),"")</x:f>
        <x:v>1</x:v>
      </x:c>
      <x:c r="N1988" s="17" t="n">
        <x:f>IF('계산 과정'!$C$78,IF(AND(ISNUMBER(H1988),ISNUMBER(I1988),ABS(H1988-'계산 과정'!$C$88)&lt;='계산 과정'!$D$23/2,ABS(I1988-'계산 과정'!$C$89)&lt;='계산 과정'!$D$24/2),1,0),"")</x:f>
        <x:v>1</x:v>
      </x:c>
      <x:c r="O1988" s="4" t="n">
        <x:f>IF('계산 과정'!$L$7,'계산 과정'!$C$49*('계산 과정'!$C$32-D1988)+'계산 과정'!$D$49*('계산 과정'!$D$32-E1988)+'계산 과정'!$E$49*'계산 과정'!$E$32,"")</x:f>
        <x:v>97.81849872117331</x:v>
      </x:c>
      <x:c r="P1988" s="4" t="n">
        <x:f>IF(AND('계산 과정'!$L$7,O1988&lt;&gt;0),('계산 과정'!$L$23-'계산 과정'!$C$49*D1988-'계산 과정'!$D$49*E1988)/O1988,"")</x:f>
        <x:v>5.08920608299438</x:v>
      </x:c>
      <x:c r="Q1988" s="4" t="str">
        <x:f>IF(AND(ISNUMBER(P1988),P1988&gt;1E-9,P1988&lt;1-1E-9),'계산 과정'!$C$47*(D1988-'계산 과정'!$C$50+P1988*('계산 과정'!$C$32-D1988))+'계산 과정'!$D$47*(E1988-'계산 과정'!$D$50+P1988*('계산 과정'!$D$32-E1988))+'계산 과정'!$E$47*(0-'계산 과정'!$E$50+P1988*('계산 과정'!$E$32-0)),"")</x:f>
      </x:c>
      <x:c r="R1988" s="4" t="str">
        <x:f>IF(AND(ISNUMBER(P1988),P1988&gt;1E-9,P1988&lt;1-1E-9),'계산 과정'!$C$48*(D1988-'계산 과정'!$C$50+P1988*('계산 과정'!$C$32-D1988))+'계산 과정'!$D$48*(E1988-'계산 과정'!$D$50+P1988*('계산 과정'!$D$32-E1988))+'계산 과정'!$E$48*(0-'계산 과정'!$E$50+P1988*('계산 과정'!$E$32-0)),"")</x:f>
      </x:c>
      <x:c r="S1988" s="17" t="n">
        <x:f>IF('계산 과정'!$C$78,IF(AND(ISNUMBER(Q1988),ISNUMBER(R1988),ABS(Q1988-'계산 과정'!$C$88)&lt;='계산 과정'!$D$23/2,ABS(R1988-'계산 과정'!$C$89)&lt;='계산 과정'!$D$24/2),1,0),"")</x:f>
        <x:v>0</x:v>
      </x:c>
      <x:c r="T1988" s="4"/>
      <x:c r="U1988" s="4"/>
      <x:c r="V1988" s="4"/>
      <x:c r="W1988" s="4"/>
      <x:c r="X1988" s="4"/>
      <x:c r="Y1988" s="4"/>
      <x:c r="Z1988" s="4"/>
    </x:row>
    <x:row r="1989" ht="23" customHeight="1">
      <x:c r="A1989" s="17" t="n">
        <x:f>ROW()-6</x:f>
        <x:v>1983</x:v>
      </x:c>
      <x:c r="B1989" s="4" t="n">
        <x:f>IF('계산 과정'!$L$5,'계산 과정'!$L$11*SQRT((A1989+0.5)/'계산 과정'!$L$30),"")</x:f>
        <x:v>147.61904293124752</x:v>
      </x:c>
      <x:c r="C1989" s="4" t="n">
        <x:f>A1989*PI()*(3-SQRT(5))</x:f>
        <x:v>4759.127084551919</x:v>
      </x:c>
      <x:c r="D1989" s="4" t="n">
        <x:f>IF('계산 과정'!$L$5,B1989*COS(C1989),"")</x:f>
        <x:v>-136.76949996072707</x:v>
      </x:c>
      <x:c r="E1989" s="4" t="n">
        <x:f>IF('계산 과정'!$L$5,B1989*SIN(C1989),"")</x:f>
        <x:v>55.547148589555626</x:v>
      </x:c>
      <x:c r="F1989" s="4" t="n">
        <x:f>IF('계산 과정'!$L$7,'계산 과정'!$L$22+'계산 과정'!$C$49*D1989+'계산 과정'!$D$49*E1989,"")</x:f>
        <x:v>746.7106408817233</x:v>
      </x:c>
      <x:c r="G1989" s="4" t="n">
        <x:f>IF('계산 과정'!$L$7,IF(ABS(F1989)&gt;=1E-12*MAX(1,SQRT((D1989-'계산 과정'!$C$33)^2+(E1989-'계산 과정'!$D$33)^2+'계산 과정'!$E$33^2)),('계산 과정'!$L$23-'계산 과정'!$C$49*D1989-'계산 과정'!$D$49*E1989)/F1989,""),"")</x:f>
        <x:v>0.4061671851363328</x:v>
      </x:c>
      <x:c r="H1989" s="4" t="n">
        <x:f>IF(AND(ISNUMBER(G1989),G1989&gt;0),('계산 과정'!$D$56+'계산 과정'!$D$57*D1989+'계산 과정'!$D$58*E1989)/F1989,"")</x:f>
        <x:v>-135.99132966138384</x:v>
      </x:c>
      <x:c r="I1989" s="4" t="n">
        <x:f>IF(AND(ISNUMBER(G1989),G1989&gt;0),('계산 과정'!$E$56+'계산 과정'!$E$57*D1989+'계산 과정'!$E$58*E1989)/F1989,"")</x:f>
        <x:v>78.10857757452506</x:v>
      </x:c>
      <x:c r="J1989" s="4" t="n">
        <x:f>IF('계산 과정'!$L$5,'계산 과정'!$D$6+'계산 과정'!$C$35*D1989+'계산 과정'!$D$35*E1989,"")</x:f>
        <x:v>746.7106408817233</x:v>
      </x:c>
      <x:c r="K1989" s="4" t="n">
        <x:f>IF(AND('계산 과정'!$L$6,J1989&gt;0),'계산 과정'!$D$10*('계산 과정'!$C$38*(D1989-'계산 과정'!$C$32)+'계산 과정'!$D$38*(E1989-'계산 과정'!$D$32)-'계산 과정'!$E$38*'계산 과정'!$E$32)/J1989,"")</x:f>
        <x:v>-1.0361244164676857</x:v>
      </x:c>
      <x:c r="L1989" s="4" t="n">
        <x:f>IF(AND('계산 과정'!$L$6,J1989&gt;0),'계산 과정'!$D$10*('계산 과정'!$C$39*(D1989-'계산 과정'!$C$32)+'계산 과정'!$D$39*(E1989-'계산 과정'!$D$32)-'계산 과정'!$E$39*'계산 과정'!$E$32)/J1989,"")</x:f>
        <x:v>0.5951129719963814</x:v>
      </x:c>
      <x:c r="M1989" s="17" t="n">
        <x:f>IF('계산 과정'!$L$6,IF(J1989&lt;=0,0,IF(AND(ABS(K1989)&lt;='계산 과정'!$D$11/2,ABS(L1989)&lt;='계산 과정'!$D$12/2),1,0)),"")</x:f>
        <x:v>1</x:v>
      </x:c>
      <x:c r="N1989" s="17" t="n">
        <x:f>IF('계산 과정'!$C$78,IF(AND(ISNUMBER(H1989),ISNUMBER(I1989),ABS(H1989-'계산 과정'!$C$88)&lt;='계산 과정'!$D$23/2,ABS(I1989-'계산 과정'!$C$89)&lt;='계산 과정'!$D$24/2),1,0),"")</x:f>
        <x:v>1</x:v>
      </x:c>
      <x:c r="O1989" s="4" t="n">
        <x:f>IF('계산 과정'!$L$7,'계산 과정'!$C$49*('계산 과정'!$C$32-D1989)+'계산 과정'!$D$49*('계산 과정'!$D$32-E1989)+'계산 과정'!$E$49*'계산 과정'!$E$32,"")</x:f>
        <x:v>-96.71064088172324</x:v>
      </x:c>
      <x:c r="P1989" s="4" t="n">
        <x:f>IF(AND('계산 과정'!$L$7,O1989&lt;&gt;0),('계산 과정'!$L$23-'계산 과정'!$C$49*D1989-'계산 과정'!$D$49*E1989)/O1989,"")</x:f>
        <x:v>-3.136049522091353</x:v>
      </x:c>
      <x:c r="Q1989" s="4" t="str">
        <x:f>IF(AND(ISNUMBER(P1989),P1989&gt;1E-9,P1989&lt;1-1E-9),'계산 과정'!$C$47*(D1989-'계산 과정'!$C$50+P1989*('계산 과정'!$C$32-D1989))+'계산 과정'!$D$47*(E1989-'계산 과정'!$D$50+P1989*('계산 과정'!$D$32-E1989))+'계산 과정'!$E$47*(0-'계산 과정'!$E$50+P1989*('계산 과정'!$E$32-0)),"")</x:f>
      </x:c>
      <x:c r="R1989" s="4" t="str">
        <x:f>IF(AND(ISNUMBER(P1989),P1989&gt;1E-9,P1989&lt;1-1E-9),'계산 과정'!$C$48*(D1989-'계산 과정'!$C$50+P1989*('계산 과정'!$C$32-D1989))+'계산 과정'!$D$48*(E1989-'계산 과정'!$D$50+P1989*('계산 과정'!$D$32-E1989))+'계산 과정'!$E$48*(0-'계산 과정'!$E$50+P1989*('계산 과정'!$E$32-0)),"")</x:f>
      </x:c>
      <x:c r="S1989" s="17" t="n">
        <x:f>IF('계산 과정'!$C$78,IF(AND(ISNUMBER(Q1989),ISNUMBER(R1989),ABS(Q1989-'계산 과정'!$C$88)&lt;='계산 과정'!$D$23/2,ABS(R1989-'계산 과정'!$C$89)&lt;='계산 과정'!$D$24/2),1,0),"")</x:f>
        <x:v>0</x:v>
      </x:c>
      <x:c r="T1989" s="4"/>
      <x:c r="U1989" s="4"/>
      <x:c r="V1989" s="4"/>
      <x:c r="W1989" s="4"/>
      <x:c r="X1989" s="4"/>
      <x:c r="Y1989" s="4"/>
      <x:c r="Z1989" s="4"/>
    </x:row>
    <x:row r="1990" ht="23" customHeight="1">
      <x:c r="A1990" s="17" t="n">
        <x:f>ROW()-6</x:f>
        <x:v>1984</x:v>
      </x:c>
      <x:c r="B1990" s="4" t="n">
        <x:f>IF('계산 과정'!$L$5,'계산 과정'!$L$11*SQRT((A1990+0.5)/'계산 과정'!$L$30),"")</x:f>
        <x:v>147.65625</x:v>
      </x:c>
      <x:c r="C1990" s="4" t="n">
        <x:f>A1990*PI()*(3-SQRT(5))</x:f>
        <x:v>4761.5270477816475</x:v>
      </x:c>
      <x:c r="D1990" s="4" t="n">
        <x:f>IF('계산 과정'!$L$5,B1990*COS(C1990),"")</x:f>
        <x:v>63.343974687416</x:v>
      </x:c>
      <x:c r="E1990" s="4" t="n">
        <x:f>IF('계산 과정'!$L$5,B1990*SIN(C1990),"")</x:f>
        <x:v>-133.37881778926706</x:v>
      </x:c>
      <x:c r="F1990" s="4" t="n">
        <x:f>IF('계산 과정'!$L$7,'계산 과정'!$L$22+'계산 과정'!$C$49*D1990+'계산 과정'!$D$49*E1990,"")</x:f>
        <x:v>605.2090459512191</x:v>
      </x:c>
      <x:c r="G1990" s="4" t="n">
        <x:f>IF('계산 과정'!$L$7,IF(ABS(F1990)&gt;=1E-12*MAX(1,SQRT((D1990-'계산 과정'!$C$33)^2+(E1990-'계산 과정'!$D$33)^2+'계산 과정'!$E$33^2)),('계산 과정'!$L$23-'계산 과정'!$C$49*D1990-'계산 과정'!$D$49*E1990)/F1990,""),"")</x:f>
        <x:v>0.7349377161897739</x:v>
      </x:c>
      <x:c r="H1990" s="4" t="n">
        <x:f>IF(AND(ISNUMBER(G1990),G1990&gt;0),('계산 과정'!$D$56+'계산 과정'!$D$57*D1990+'계산 과정'!$D$58*E1990)/F1990,"")</x:f>
        <x:v>77.70951552335289</x:v>
      </x:c>
      <x:c r="I1990" s="4" t="n">
        <x:f>IF(AND(ISNUMBER(G1990),G1990&gt;0),('계산 과정'!$E$56+'계산 과정'!$E$57*D1990+'계산 과정'!$E$58*E1990)/F1990,"")</x:f>
        <x:v>-231.40394152340298</x:v>
      </x:c>
      <x:c r="J1990" s="4" t="n">
        <x:f>IF('계산 과정'!$L$5,'계산 과정'!$D$6+'계산 과정'!$C$35*D1990+'계산 과정'!$D$35*E1990,"")</x:f>
        <x:v>605.2090459512191</x:v>
      </x:c>
      <x:c r="K1990" s="4" t="n">
        <x:f>IF(AND('계산 과정'!$L$6,J1990&gt;0),'계산 과정'!$D$10*('계산 과정'!$C$38*(D1990-'계산 과정'!$C$32)+'계산 과정'!$D$38*(E1990-'계산 과정'!$D$32)-'계산 과정'!$E$38*'계산 과정'!$E$32)/J1990,"")</x:f>
        <x:v>0.5920724992255465</x:v>
      </x:c>
      <x:c r="L1990" s="4" t="n">
        <x:f>IF(AND('계산 과정'!$L$6,J1990&gt;0),'계산 과정'!$D$10*('계산 과정'!$C$39*(D1990-'계산 과정'!$C$32)+'계산 과정'!$D$39*(E1990-'계산 과정'!$D$32)-'계산 과정'!$E$39*'계산 과정'!$E$32)/J1990,"")</x:f>
        <x:v>-1.763077649702118</x:v>
      </x:c>
      <x:c r="M1990" s="17" t="n">
        <x:f>IF('계산 과정'!$L$6,IF(J1990&lt;=0,0,IF(AND(ABS(K1990)&lt;='계산 과정'!$D$11/2,ABS(L1990)&lt;='계산 과정'!$D$12/2),1,0)),"")</x:f>
        <x:v>1</x:v>
      </x:c>
      <x:c r="N1990" s="17" t="n">
        <x:f>IF('계산 과정'!$C$78,IF(AND(ISNUMBER(H1990),ISNUMBER(I1990),ABS(H1990-'계산 과정'!$C$88)&lt;='계산 과정'!$D$23/2,ABS(I1990-'계산 과정'!$C$89)&lt;='계산 과정'!$D$24/2),1,0),"")</x:f>
        <x:v>1</x:v>
      </x:c>
      <x:c r="O1990" s="4" t="n">
        <x:f>IF('계산 과정'!$L$7,'계산 과정'!$C$49*('계산 과정'!$C$32-D1990)+'계산 과정'!$D$49*('계산 과정'!$D$32-E1990)+'계산 과정'!$E$49*'계산 과정'!$E$32,"")</x:f>
        <x:v>44.790954048780975</x:v>
      </x:c>
      <x:c r="P1990" s="4" t="n">
        <x:f>IF(AND('계산 과정'!$L$7,O1990&lt;&gt;0),('계산 과정'!$L$23-'계산 과정'!$C$49*D1990-'계산 과정'!$D$49*E1990)/O1990,"")</x:f>
        <x:v>9.930374636904753</x:v>
      </x:c>
      <x:c r="Q1990" s="4" t="str">
        <x:f>IF(AND(ISNUMBER(P1990),P1990&gt;1E-9,P1990&lt;1-1E-9),'계산 과정'!$C$47*(D1990-'계산 과정'!$C$50+P1990*('계산 과정'!$C$32-D1990))+'계산 과정'!$D$47*(E1990-'계산 과정'!$D$50+P1990*('계산 과정'!$D$32-E1990))+'계산 과정'!$E$47*(0-'계산 과정'!$E$50+P1990*('계산 과정'!$E$32-0)),"")</x:f>
      </x:c>
      <x:c r="R1990" s="4" t="str">
        <x:f>IF(AND(ISNUMBER(P1990),P1990&gt;1E-9,P1990&lt;1-1E-9),'계산 과정'!$C$48*(D1990-'계산 과정'!$C$50+P1990*('계산 과정'!$C$32-D1990))+'계산 과정'!$D$48*(E1990-'계산 과정'!$D$50+P1990*('계산 과정'!$D$32-E1990))+'계산 과정'!$E$48*(0-'계산 과정'!$E$50+P1990*('계산 과정'!$E$32-0)),"")</x:f>
      </x:c>
      <x:c r="S1990" s="17" t="n">
        <x:f>IF('계산 과정'!$C$78,IF(AND(ISNUMBER(Q1990),ISNUMBER(R1990),ABS(Q1990-'계산 과정'!$C$88)&lt;='계산 과정'!$D$23/2,ABS(R1990-'계산 과정'!$C$89)&lt;='계산 과정'!$D$24/2),1,0),"")</x:f>
        <x:v>0</x:v>
      </x:c>
      <x:c r="T1990" s="4"/>
      <x:c r="U1990" s="4"/>
      <x:c r="V1990" s="4"/>
      <x:c r="W1990" s="4"/>
      <x:c r="X1990" s="4"/>
      <x:c r="Y1990" s="4"/>
      <x:c r="Z1990" s="4"/>
    </x:row>
    <x:row r="1991" ht="23" customHeight="1">
      <x:c r="A1991" s="17" t="n">
        <x:f>ROW()-6</x:f>
        <x:v>1985</x:v>
      </x:c>
      <x:c r="B1991" s="4" t="n">
        <x:f>IF('계산 과정'!$L$5,'계산 과정'!$L$11*SQRT((A1991+0.5)/'계산 과정'!$L$30),"")</x:f>
        <x:v>147.6934476955139</x:v>
      </x:c>
      <x:c r="C1991" s="4" t="n">
        <x:f>A1991*PI()*(3-SQRT(5))</x:f>
        <x:v>4763.927011011376</x:v>
      </x:c>
      <x:c r="D1991" s="4" t="n">
        <x:f>IF('계산 과정'!$L$5,B1991*COS(C1991),"")</x:f>
        <x:v>43.39915172831132</x:v>
      </x:c>
      <x:c r="E1991" s="4" t="n">
        <x:f>IF('계산 과정'!$L$5,B1991*SIN(C1991),"")</x:f>
        <x:v>141.1731848526855</x:v>
      </x:c>
      <x:c r="F1991" s="4" t="n">
        <x:f>IF('계산 과정'!$L$7,'계산 과정'!$L$22+'계산 과정'!$C$49*D1991+'계산 과정'!$D$49*E1991,"")</x:f>
        <x:v>619.3121655151672</x:v>
      </x:c>
      <x:c r="G1991" s="4" t="n">
        <x:f>IF('계산 과정'!$L$7,IF(ABS(F1991)&gt;=1E-12*MAX(1,SQRT((D1991-'계산 과정'!$C$33)^2+(E1991-'계산 과정'!$D$33)^2+'계산 과정'!$E$33^2)),('계산 과정'!$L$23-'계산 과정'!$C$49*D1991-'계산 과정'!$D$49*E1991)/F1991,""),"")</x:f>
        <x:v>0.6954293141110355</x:v>
      </x:c>
      <x:c r="H1991" s="4" t="n">
        <x:f>IF(AND(ISNUMBER(G1991),G1991&gt;0),('계산 과정'!$D$56+'계산 과정'!$D$57*D1991+'계산 과정'!$D$58*E1991)/F1991,"")</x:f>
        <x:v>52.02905417217296</x:v>
      </x:c>
      <x:c r="I1991" s="4" t="n">
        <x:f>IF(AND(ISNUMBER(G1991),G1991&gt;0),('계산 과정'!$E$56+'계산 과정'!$E$57*D1991+'계산 과정'!$E$58*E1991)/F1991,"")</x:f>
        <x:v>239.349155965659</x:v>
      </x:c>
      <x:c r="J1991" s="4" t="n">
        <x:f>IF('계산 과정'!$L$5,'계산 과정'!$D$6+'계산 과정'!$C$35*D1991+'계산 과정'!$D$35*E1991,"")</x:f>
        <x:v>619.3121655151672</x:v>
      </x:c>
      <x:c r="K1991" s="4" t="n">
        <x:f>IF(AND('계산 과정'!$L$6,J1991&gt;0),'계산 과정'!$D$10*('계산 과정'!$C$38*(D1991-'계산 과정'!$C$32)+'계산 과정'!$D$38*(E1991-'계산 과정'!$D$32)-'계산 과정'!$E$38*'계산 과정'!$E$32)/J1991,"")</x:f>
        <x:v>0.39641184131179497</x:v>
      </x:c>
      <x:c r="L1991" s="4" t="n">
        <x:f>IF(AND('계산 과정'!$L$6,J1991&gt;0),'계산 과정'!$D$10*('계산 과정'!$C$39*(D1991-'계산 과정'!$C$32)+'계산 과정'!$D$39*(E1991-'계산 과정'!$D$32)-'계산 과정'!$E$39*'계산 과정'!$E$32)/J1991,"")</x:f>
        <x:v>1.8236126168812115</x:v>
      </x:c>
      <x:c r="M1991" s="17" t="n">
        <x:f>IF('계산 과정'!$L$6,IF(J1991&lt;=0,0,IF(AND(ABS(K1991)&lt;='계산 과정'!$D$11/2,ABS(L1991)&lt;='계산 과정'!$D$12/2),1,0)),"")</x:f>
        <x:v>1</x:v>
      </x:c>
      <x:c r="N1991" s="17" t="n">
        <x:f>IF('계산 과정'!$C$78,IF(AND(ISNUMBER(H1991),ISNUMBER(I1991),ABS(H1991-'계산 과정'!$C$88)&lt;='계산 과정'!$D$23/2,ABS(I1991-'계산 과정'!$C$89)&lt;='계산 과정'!$D$24/2),1,0),"")</x:f>
        <x:v>1</x:v>
      </x:c>
      <x:c r="O1991" s="4" t="n">
        <x:f>IF('계산 과정'!$L$7,'계산 과정'!$C$49*('계산 과정'!$C$32-D1991)+'계산 과정'!$D$49*('계산 과정'!$D$32-E1991)+'계산 과정'!$E$49*'계산 과정'!$E$32,"")</x:f>
        <x:v>30.687834484832933</x:v>
      </x:c>
      <x:c r="P1991" s="4" t="n">
        <x:f>IF(AND('계산 과정'!$L$7,O1991&lt;&gt;0),('계산 과정'!$L$23-'계산 과정'!$C$49*D1991-'계산 과정'!$D$49*E1991)/O1991,"")</x:f>
        <x:v>14.034481145865627</x:v>
      </x:c>
      <x:c r="Q1991" s="4" t="str">
        <x:f>IF(AND(ISNUMBER(P1991),P1991&gt;1E-9,P1991&lt;1-1E-9),'계산 과정'!$C$47*(D1991-'계산 과정'!$C$50+P1991*('계산 과정'!$C$32-D1991))+'계산 과정'!$D$47*(E1991-'계산 과정'!$D$50+P1991*('계산 과정'!$D$32-E1991))+'계산 과정'!$E$47*(0-'계산 과정'!$E$50+P1991*('계산 과정'!$E$32-0)),"")</x:f>
      </x:c>
      <x:c r="R1991" s="4" t="str">
        <x:f>IF(AND(ISNUMBER(P1991),P1991&gt;1E-9,P1991&lt;1-1E-9),'계산 과정'!$C$48*(D1991-'계산 과정'!$C$50+P1991*('계산 과정'!$C$32-D1991))+'계산 과정'!$D$48*(E1991-'계산 과정'!$D$50+P1991*('계산 과정'!$D$32-E1991))+'계산 과정'!$E$48*(0-'계산 과정'!$E$50+P1991*('계산 과정'!$E$32-0)),"")</x:f>
      </x:c>
      <x:c r="S1991" s="17" t="n">
        <x:f>IF('계산 과정'!$C$78,IF(AND(ISNUMBER(Q1991),ISNUMBER(R1991),ABS(Q1991-'계산 과정'!$C$88)&lt;='계산 과정'!$D$23/2,ABS(R1991-'계산 과정'!$C$89)&lt;='계산 과정'!$D$24/2),1,0),"")</x:f>
        <x:v>0</x:v>
      </x:c>
      <x:c r="T1991" s="4"/>
      <x:c r="U1991" s="4"/>
      <x:c r="V1991" s="4"/>
      <x:c r="W1991" s="4"/>
      <x:c r="X1991" s="4"/>
      <x:c r="Y1991" s="4"/>
      <x:c r="Z1991" s="4"/>
    </x:row>
    <x:row r="1992" ht="23" customHeight="1">
      <x:c r="A1992" s="17" t="n">
        <x:f>ROW()-6</x:f>
        <x:v>1986</x:v>
      </x:c>
      <x:c r="B1992" s="4" t="n">
        <x:f>IF('계산 과정'!$L$5,'계산 과정'!$L$11*SQRT((A1992+0.5)/'계산 과정'!$L$30),"")</x:f>
        <x:v>147.7306360248696</x:v>
      </x:c>
      <x:c r="C1992" s="4" t="n">
        <x:f>A1992*PI()*(3-SQRT(5))</x:f>
        <x:v>4766.326974241105</x:v>
      </x:c>
      <x:c r="D1992" s="4" t="n">
        <x:f>IF('계산 과정'!$L$5,B1992*COS(C1992),"")</x:f>
        <x:v>-127.39436906500923</x:v>
      </x:c>
      <x:c r="E1992" s="4" t="n">
        <x:f>IF('계산 과정'!$L$5,B1992*SIN(C1992),"")</x:f>
        <x:v>-74.79983656961235</x:v>
      </x:c>
      <x:c r="F1992" s="4" t="n">
        <x:f>IF('계산 과정'!$L$7,'계산 과정'!$L$22+'계산 과정'!$C$49*D1992+'계산 과정'!$D$49*E1992,"")</x:f>
        <x:v>740.0814222508498</x:v>
      </x:c>
      <x:c r="G1992" s="4" t="n">
        <x:f>IF('계산 과정'!$L$7,IF(ABS(F1992)&gt;=1E-12*MAX(1,SQRT((D1992-'계산 과정'!$C$33)^2+(E1992-'계산 과정'!$D$33)^2+'계산 과정'!$E$33^2)),('계산 과정'!$L$23-'계산 과정'!$C$49*D1992-'계산 과정'!$D$49*E1992)/F1992,""),"")</x:f>
        <x:v>0.4187628123491846</x:v>
      </x:c>
      <x:c r="H1992" s="4" t="n">
        <x:f>IF(AND(ISNUMBER(G1992),G1992&gt;0),('계산 과정'!$D$56+'계산 과정'!$D$57*D1992+'계산 과정'!$D$58*E1992)/F1992,"")</x:f>
        <x:v>-127.80417197303015</x:v>
      </x:c>
      <x:c r="I1992" s="4" t="n">
        <x:f>IF(AND(ISNUMBER(G1992),G1992&gt;0),('계산 과정'!$E$56+'계산 과정'!$E$57*D1992+'계산 과정'!$E$58*E1992)/F1992,"")</x:f>
        <x:v>-106.1232264947626</x:v>
      </x:c>
      <x:c r="J1992" s="4" t="n">
        <x:f>IF('계산 과정'!$L$5,'계산 과정'!$D$6+'계산 과정'!$C$35*D1992+'계산 과정'!$D$35*E1992,"")</x:f>
        <x:v>740.0814222508498</x:v>
      </x:c>
      <x:c r="K1992" s="4" t="n">
        <x:f>IF(AND('계산 과정'!$L$6,J1992&gt;0),'계산 과정'!$D$10*('계산 과정'!$C$38*(D1992-'계산 과정'!$C$32)+'계산 과정'!$D$38*(E1992-'계산 과정'!$D$32)-'계산 과정'!$E$38*'계산 과정'!$E$32)/J1992,"")</x:f>
        <x:v>-0.9737460721754667</x:v>
      </x:c>
      <x:c r="L1992" s="4" t="n">
        <x:f>IF(AND('계산 과정'!$L$6,J1992&gt;0),'계산 과정'!$D$10*('계산 과정'!$C$39*(D1992-'계산 과정'!$C$32)+'계산 과정'!$D$39*(E1992-'계산 과정'!$D$32)-'계산 과정'!$E$39*'계산 과정'!$E$32)/J1992,"")</x:f>
        <x:v>-0.8085579161505723</x:v>
      </x:c>
      <x:c r="M1992" s="17" t="n">
        <x:f>IF('계산 과정'!$L$6,IF(J1992&lt;=0,0,IF(AND(ABS(K1992)&lt;='계산 과정'!$D$11/2,ABS(L1992)&lt;='계산 과정'!$D$12/2),1,0)),"")</x:f>
        <x:v>1</x:v>
      </x:c>
      <x:c r="N1992" s="17" t="n">
        <x:f>IF('계산 과정'!$C$78,IF(AND(ISNUMBER(H1992),ISNUMBER(I1992),ABS(H1992-'계산 과정'!$C$88)&lt;='계산 과정'!$D$23/2,ABS(I1992-'계산 과정'!$C$89)&lt;='계산 과정'!$D$24/2),1,0),"")</x:f>
        <x:v>1</x:v>
      </x:c>
      <x:c r="O1992" s="4" t="n">
        <x:f>IF('계산 과정'!$L$7,'계산 과정'!$C$49*('계산 과정'!$C$32-D1992)+'계산 과정'!$D$49*('계산 과정'!$D$32-E1992)+'계산 과정'!$E$49*'계산 과정'!$E$32,"")</x:f>
        <x:v>-90.08142225084958</x:v>
      </x:c>
      <x:c r="P1992" s="4" t="n">
        <x:f>IF(AND('계산 과정'!$L$7,O1992&lt;&gt;0),('계산 과정'!$L$23-'계산 과정'!$C$49*D1992-'계산 과정'!$D$49*E1992)/O1992,"")</x:f>
        <x:v>-3.440427226893915</x:v>
      </x:c>
      <x:c r="Q1992" s="4" t="str">
        <x:f>IF(AND(ISNUMBER(P1992),P1992&gt;1E-9,P1992&lt;1-1E-9),'계산 과정'!$C$47*(D1992-'계산 과정'!$C$50+P1992*('계산 과정'!$C$32-D1992))+'계산 과정'!$D$47*(E1992-'계산 과정'!$D$50+P1992*('계산 과정'!$D$32-E1992))+'계산 과정'!$E$47*(0-'계산 과정'!$E$50+P1992*('계산 과정'!$E$32-0)),"")</x:f>
      </x:c>
      <x:c r="R1992" s="4" t="str">
        <x:f>IF(AND(ISNUMBER(P1992),P1992&gt;1E-9,P1992&lt;1-1E-9),'계산 과정'!$C$48*(D1992-'계산 과정'!$C$50+P1992*('계산 과정'!$C$32-D1992))+'계산 과정'!$D$48*(E1992-'계산 과정'!$D$50+P1992*('계산 과정'!$D$32-E1992))+'계산 과정'!$E$48*(0-'계산 과정'!$E$50+P1992*('계산 과정'!$E$32-0)),"")</x:f>
      </x:c>
      <x:c r="S1992" s="17" t="n">
        <x:f>IF('계산 과정'!$C$78,IF(AND(ISNUMBER(Q1992),ISNUMBER(R1992),ABS(Q1992-'계산 과정'!$C$88)&lt;='계산 과정'!$D$23/2,ABS(R1992-'계산 과정'!$C$89)&lt;='계산 과정'!$D$24/2),1,0),"")</x:f>
        <x:v>0</x:v>
      </x:c>
      <x:c r="T1992" s="4"/>
      <x:c r="U1992" s="4"/>
      <x:c r="V1992" s="4"/>
      <x:c r="W1992" s="4"/>
      <x:c r="X1992" s="4"/>
      <x:c r="Y1992" s="4"/>
      <x:c r="Z1992" s="4"/>
    </x:row>
    <x:row r="1993" ht="23" customHeight="1">
      <x:c r="A1993" s="17" t="n">
        <x:f>ROW()-6</x:f>
        <x:v>1987</x:v>
      </x:c>
      <x:c r="B1993" s="4" t="n">
        <x:f>IF('계산 과정'!$L$5,'계산 과정'!$L$11*SQRT((A1993+0.5)/'계산 과정'!$L$30),"")</x:f>
        <x:v>147.76781499513856</x:v>
      </x:c>
      <x:c r="C1993" s="4" t="n">
        <x:f>A1993*PI()*(3-SQRT(5))</x:f>
        <x:v>4768.726937470833</x:v>
      </x:c>
      <x:c r="D1993" s="4" t="n">
        <x:f>IF('계산 과정'!$L$5,B1993*COS(C1993),"")</x:f>
        <x:v>144.49956327119838</x:v>
      </x:c>
      <x:c r="E1993" s="4" t="n">
        <x:f>IF('계산 과정'!$L$5,B1993*SIN(C1993),"")</x:f>
        <x:v>-30.90636443955237</x:v>
      </x:c>
      <x:c r="F1993" s="4" t="n">
        <x:f>IF('계산 과정'!$L$7,'계산 과정'!$L$22+'계산 과정'!$C$49*D1993+'계산 과정'!$D$49*E1993,"")</x:f>
        <x:v>547.8233789324411</x:v>
      </x:c>
      <x:c r="G1993" s="4" t="n">
        <x:f>IF('계산 과정'!$L$7,IF(ABS(F1993)&gt;=1E-12*MAX(1,SQRT((D1993-'계산 과정'!$C$33)^2+(E1993-'계산 과정'!$D$33)^2+'계산 과정'!$E$33^2)),('계산 과정'!$L$23-'계산 과정'!$C$49*D1993-'계산 과정'!$D$49*E1993)/F1993,""),"")</x:f>
        <x:v>0.9166761412157414</x:v>
      </x:c>
      <x:c r="H1993" s="4" t="n">
        <x:f>IF(AND(ISNUMBER(G1993),G1993&gt;0),('계산 과정'!$D$56+'계산 과정'!$D$57*D1993+'계산 과정'!$D$58*E1993)/F1993,"")</x:f>
        <x:v>195.83949179023182</x:v>
      </x:c>
      <x:c r="I1993" s="4" t="n">
        <x:f>IF(AND(ISNUMBER(G1993),G1993&gt;0),('계산 과정'!$E$56+'계산 과정'!$E$57*D1993+'계산 과정'!$E$58*E1993)/F1993,"")</x:f>
        <x:v>-59.23749133300864</x:v>
      </x:c>
      <x:c r="J1993" s="4" t="n">
        <x:f>IF('계산 과정'!$L$5,'계산 과정'!$D$6+'계산 과정'!$C$35*D1993+'계산 과정'!$D$35*E1993,"")</x:f>
        <x:v>547.8233789324411</x:v>
      </x:c>
      <x:c r="K1993" s="4" t="n">
        <x:f>IF(AND('계산 과정'!$L$6,J1993&gt;0),'계산 과정'!$D$10*('계산 과정'!$C$38*(D1993-'계산 과정'!$C$32)+'계산 과정'!$D$38*(E1993-'계산 과정'!$D$32)-'계산 과정'!$E$38*'계산 과정'!$E$32)/J1993,"")</x:f>
        <x:v>1.4921104136398622</x:v>
      </x:c>
      <x:c r="L1993" s="4" t="n">
        <x:f>IF(AND('계산 과정'!$L$6,J1993&gt;0),'계산 과정'!$D$10*('계산 과정'!$C$39*(D1993-'계산 과정'!$C$32)+'계산 과정'!$D$39*(E1993-'계산 과정'!$D$32)-'계산 과정'!$E$39*'계산 과정'!$E$32)/J1993,"")</x:f>
        <x:v>-0.4513332672991135</x:v>
      </x:c>
      <x:c r="M1993" s="17" t="n">
        <x:f>IF('계산 과정'!$L$6,IF(J1993&lt;=0,0,IF(AND(ABS(K1993)&lt;='계산 과정'!$D$11/2,ABS(L1993)&lt;='계산 과정'!$D$12/2),1,0)),"")</x:f>
        <x:v>1</x:v>
      </x:c>
      <x:c r="N1993" s="17" t="n">
        <x:f>IF('계산 과정'!$C$78,IF(AND(ISNUMBER(H1993),ISNUMBER(I1993),ABS(H1993-'계산 과정'!$C$88)&lt;='계산 과정'!$D$23/2,ABS(I1993-'계산 과정'!$C$89)&lt;='계산 과정'!$D$24/2),1,0),"")</x:f>
        <x:v>1</x:v>
      </x:c>
      <x:c r="O1993" s="4" t="n">
        <x:f>IF('계산 과정'!$L$7,'계산 과정'!$C$49*('계산 과정'!$C$32-D1993)+'계산 과정'!$D$49*('계산 과정'!$D$32-E1993)+'계산 과정'!$E$49*'계산 과정'!$E$32,"")</x:f>
        <x:v>102.17662106755907</x:v>
      </x:c>
      <x:c r="P1993" s="4" t="n">
        <x:f>IF(AND('계산 과정'!$L$7,O1993&lt;&gt;0),('계산 과정'!$L$23-'계산 과정'!$C$49*D1993-'계산 과정'!$D$49*E1993)/O1993,"")</x:f>
        <x:v>4.914789859174539</x:v>
      </x:c>
      <x:c r="Q1993" s="4" t="str">
        <x:f>IF(AND(ISNUMBER(P1993),P1993&gt;1E-9,P1993&lt;1-1E-9),'계산 과정'!$C$47*(D1993-'계산 과정'!$C$50+P1993*('계산 과정'!$C$32-D1993))+'계산 과정'!$D$47*(E1993-'계산 과정'!$D$50+P1993*('계산 과정'!$D$32-E1993))+'계산 과정'!$E$47*(0-'계산 과정'!$E$50+P1993*('계산 과정'!$E$32-0)),"")</x:f>
      </x:c>
      <x:c r="R1993" s="4" t="str">
        <x:f>IF(AND(ISNUMBER(P1993),P1993&gt;1E-9,P1993&lt;1-1E-9),'계산 과정'!$C$48*(D1993-'계산 과정'!$C$50+P1993*('계산 과정'!$C$32-D1993))+'계산 과정'!$D$48*(E1993-'계산 과정'!$D$50+P1993*('계산 과정'!$D$32-E1993))+'계산 과정'!$E$48*(0-'계산 과정'!$E$50+P1993*('계산 과정'!$E$32-0)),"")</x:f>
      </x:c>
      <x:c r="S1993" s="17" t="n">
        <x:f>IF('계산 과정'!$C$78,IF(AND(ISNUMBER(Q1993),ISNUMBER(R1993),ABS(Q1993-'계산 과정'!$C$88)&lt;='계산 과정'!$D$23/2,ABS(R1993-'계산 과정'!$C$89)&lt;='계산 과정'!$D$24/2),1,0),"")</x:f>
        <x:v>0</x:v>
      </x:c>
      <x:c r="T1993" s="4"/>
      <x:c r="U1993" s="4"/>
      <x:c r="V1993" s="4"/>
      <x:c r="W1993" s="4"/>
      <x:c r="X1993" s="4"/>
      <x:c r="Y1993" s="4"/>
      <x:c r="Z1993" s="4"/>
    </x:row>
    <x:row r="1994" ht="23" customHeight="1">
      <x:c r="A1994" s="17" t="n">
        <x:f>ROW()-6</x:f>
        <x:v>1988</x:v>
      </x:c>
      <x:c r="B1994" s="4" t="n">
        <x:f>IF('계산 과정'!$L$5,'계산 과정'!$L$11*SQRT((A1994+0.5)/'계산 과정'!$L$30),"")</x:f>
        <x:v>147.8049846133834</x:v>
      </x:c>
      <x:c r="C1994" s="4" t="n">
        <x:f>A1994*PI()*(3-SQRT(5))</x:f>
        <x:v>4771.126900700562</x:v>
      </x:c>
      <x:c r="D1994" s="4" t="n">
        <x:f>IF('계산 과정'!$L$5,B1994*COS(C1994),"")</x:f>
        <x:v>-85.69408177010064</x:v>
      </x:c>
      <x:c r="E1994" s="4" t="n">
        <x:f>IF('계산 과정'!$L$5,B1994*SIN(C1994),"")</x:f>
        <x:v>120.42772864312357</x:v>
      </x:c>
      <x:c r="F1994" s="4" t="n">
        <x:f>IF('계산 과정'!$L$7,'계산 과정'!$L$22+'계산 과정'!$C$49*D1994+'계산 과정'!$D$49*E1994,"")</x:f>
        <x:v>710.5948663271927</x:v>
      </x:c>
      <x:c r="G1994" s="4" t="n">
        <x:f>IF('계산 과정'!$L$7,IF(ABS(F1994)&gt;=1E-12*MAX(1,SQRT((D1994-'계산 과정'!$C$33)^2+(E1994-'계산 과정'!$D$33)^2+'계산 과정'!$E$33^2)),('계산 과정'!$L$23-'계산 과정'!$C$49*D1994-'계산 과정'!$D$49*E1994)/F1994,""),"")</x:f>
        <x:v>0.47763521769734907</x:v>
      </x:c>
      <x:c r="H1994" s="4" t="n">
        <x:f>IF(AND(ISNUMBER(G1994),G1994&gt;0),('계산 과정'!$D$56+'계산 과정'!$D$57*D1994+'계산 과정'!$D$58*E1994)/F1994,"")</x:f>
        <x:v>-89.53710849672322</x:v>
      </x:c>
      <x:c r="I1994" s="4" t="n">
        <x:f>IF(AND(ISNUMBER(G1994),G1994&gt;0),('계산 과정'!$E$56+'계산 과정'!$E$57*D1994+'계산 과정'!$E$58*E1994)/F1994,"")</x:f>
        <x:v>177.9482530303792</x:v>
      </x:c>
      <x:c r="J1994" s="4" t="n">
        <x:f>IF('계산 과정'!$L$5,'계산 과정'!$D$6+'계산 과정'!$C$35*D1994+'계산 과정'!$D$35*E1994,"")</x:f>
        <x:v>710.5948663271927</x:v>
      </x:c>
      <x:c r="K1994" s="4" t="n">
        <x:f>IF(AND('계산 과정'!$L$6,J1994&gt;0),'계산 과정'!$D$10*('계산 과정'!$C$38*(D1994-'계산 과정'!$C$32)+'계산 과정'!$D$38*(E1994-'계산 과정'!$D$32)-'계산 과정'!$E$38*'계산 과정'!$E$32)/J1994,"")</x:f>
        <x:v>-0.6821874933083666</x:v>
      </x:c>
      <x:c r="L1994" s="4" t="n">
        <x:f>IF(AND('계산 과정'!$L$6,J1994&gt;0),'계산 과정'!$D$10*('계산 과정'!$C$39*(D1994-'계산 과정'!$C$32)+'계산 과정'!$D$39*(E1994-'계산 과정'!$D$32)-'계산 과정'!$E$39*'계산 과정'!$E$32)/J1994,"")</x:f>
        <x:v>1.3557962135647936</x:v>
      </x:c>
      <x:c r="M1994" s="17" t="n">
        <x:f>IF('계산 과정'!$L$6,IF(J1994&lt;=0,0,IF(AND(ABS(K1994)&lt;='계산 과정'!$D$11/2,ABS(L1994)&lt;='계산 과정'!$D$12/2),1,0)),"")</x:f>
        <x:v>1</x:v>
      </x:c>
      <x:c r="N1994" s="17" t="n">
        <x:f>IF('계산 과정'!$C$78,IF(AND(ISNUMBER(H1994),ISNUMBER(I1994),ABS(H1994-'계산 과정'!$C$88)&lt;='계산 과정'!$D$23/2,ABS(I1994-'계산 과정'!$C$89)&lt;='계산 과정'!$D$24/2),1,0),"")</x:f>
        <x:v>1</x:v>
      </x:c>
      <x:c r="O1994" s="4" t="n">
        <x:f>IF('계산 과정'!$L$7,'계산 과정'!$C$49*('계산 과정'!$C$32-D1994)+'계산 과정'!$D$49*('계산 과정'!$D$32-E1994)+'계산 과정'!$E$49*'계산 과정'!$E$32,"")</x:f>
        <x:v>-60.59486632719256</x:v>
      </x:c>
      <x:c r="P1994" s="4" t="n">
        <x:f>IF(AND('계산 과정'!$L$7,O1994&lt;&gt;0),('계산 과정'!$L$23-'계산 과정'!$C$49*D1994-'계산 과정'!$D$49*E1994)/O1994,"")</x:f>
        <x:v>-5.6012192821769755</x:v>
      </x:c>
      <x:c r="Q1994" s="4" t="str">
        <x:f>IF(AND(ISNUMBER(P1994),P1994&gt;1E-9,P1994&lt;1-1E-9),'계산 과정'!$C$47*(D1994-'계산 과정'!$C$50+P1994*('계산 과정'!$C$32-D1994))+'계산 과정'!$D$47*(E1994-'계산 과정'!$D$50+P1994*('계산 과정'!$D$32-E1994))+'계산 과정'!$E$47*(0-'계산 과정'!$E$50+P1994*('계산 과정'!$E$32-0)),"")</x:f>
      </x:c>
      <x:c r="R1994" s="4" t="str">
        <x:f>IF(AND(ISNUMBER(P1994),P1994&gt;1E-9,P1994&lt;1-1E-9),'계산 과정'!$C$48*(D1994-'계산 과정'!$C$50+P1994*('계산 과정'!$C$32-D1994))+'계산 과정'!$D$48*(E1994-'계산 과정'!$D$50+P1994*('계산 과정'!$D$32-E1994))+'계산 과정'!$E$48*(0-'계산 과정'!$E$50+P1994*('계산 과정'!$E$32-0)),"")</x:f>
      </x:c>
      <x:c r="S1994" s="17" t="n">
        <x:f>IF('계산 과정'!$C$78,IF(AND(ISNUMBER(Q1994),ISNUMBER(R1994),ABS(Q1994-'계산 과정'!$C$88)&lt;='계산 과정'!$D$23/2,ABS(R1994-'계산 과정'!$C$89)&lt;='계산 과정'!$D$24/2),1,0),"")</x:f>
        <x:v>0</x:v>
      </x:c>
      <x:c r="T1994" s="4"/>
      <x:c r="U1994" s="4"/>
      <x:c r="V1994" s="4"/>
      <x:c r="W1994" s="4"/>
      <x:c r="X1994" s="4"/>
      <x:c r="Y1994" s="4"/>
      <x:c r="Z1994" s="4"/>
    </x:row>
    <x:row r="1995" ht="23" customHeight="1">
      <x:c r="A1995" s="17" t="n">
        <x:f>ROW()-6</x:f>
        <x:v>1989</x:v>
      </x:c>
      <x:c r="B1995" s="4" t="n">
        <x:f>IF('계산 과정'!$L$5,'계산 과정'!$L$11*SQRT((A1995+0.5)/'계산 과정'!$L$30),"")</x:f>
        <x:v>147.84214488665774</x:v>
      </x:c>
      <x:c r="C1995" s="4" t="n">
        <x:f>A1995*PI()*(3-SQRT(5))</x:f>
        <x:v>4773.52686393029</x:v>
      </x:c>
      <x:c r="D1995" s="4" t="n">
        <x:f>IF('계산 과정'!$L$5,B1995*COS(C1995),"")</x:f>
        <x:v>-18.164178510403154</x:v>
      </x:c>
      <x:c r="E1995" s="4" t="n">
        <x:f>IF('계산 과정'!$L$5,B1995*SIN(C1995),"")</x:f>
        <x:v>-146.72205840884902</x:v>
      </x:c>
      <x:c r="F1995" s="4" t="n">
        <x:f>IF('계산 과정'!$L$7,'계산 과정'!$L$22+'계산 과정'!$C$49*D1995+'계산 과정'!$D$49*E1995,"")</x:f>
        <x:v>662.844013799389</x:v>
      </x:c>
      <x:c r="G1995" s="4" t="n">
        <x:f>IF('계산 과정'!$L$7,IF(ABS(F1995)&gt;=1E-12*MAX(1,SQRT((D1995-'계산 과정'!$C$33)^2+(E1995-'계산 과정'!$D$33)^2+'계산 과정'!$E$33^2)),('계산 과정'!$L$23-'계산 과정'!$C$49*D1995-'계산 과정'!$D$49*E1995)/F1995,""),"")</x:f>
        <x:v>0.584083099704638</x:v>
      </x:c>
      <x:c r="H1995" s="4" t="n">
        <x:f>IF(AND(ISNUMBER(G1995),G1995&gt;0),('계산 과정'!$D$56+'계산 과정'!$D$57*D1995+'계산 과정'!$D$58*E1995)/F1995,"")</x:f>
        <x:v>-20.345985191985438</x:v>
      </x:c>
      <x:c r="I1995" s="4" t="n">
        <x:f>IF(AND(ISNUMBER(G1995),G1995&gt;0),('계산 과정'!$E$56+'계산 과정'!$E$57*D1995+'계산 과정'!$E$58*E1995)/F1995,"")</x:f>
        <x:v>-232.4199330793345</x:v>
      </x:c>
      <x:c r="J1995" s="4" t="n">
        <x:f>IF('계산 과정'!$L$5,'계산 과정'!$D$6+'계산 과정'!$C$35*D1995+'계산 과정'!$D$35*E1995,"")</x:f>
        <x:v>662.844013799389</x:v>
      </x:c>
      <x:c r="K1995" s="4" t="n">
        <x:f>IF(AND('계산 과정'!$L$6,J1995&gt;0),'계산 과정'!$D$10*('계산 과정'!$C$38*(D1995-'계산 과정'!$C$32)+'계산 과정'!$D$38*(E1995-'계산 과정'!$D$32)-'계산 과정'!$E$38*'계산 과정'!$E$32)/J1995,"")</x:f>
        <x:v>-0.15501703003417372</x:v>
      </x:c>
      <x:c r="L1995" s="4" t="n">
        <x:f>IF(AND('계산 과정'!$L$6,J1995&gt;0),'계산 과정'!$D$10*('계산 과정'!$C$39*(D1995-'계산 과정'!$C$32)+'계산 과정'!$D$39*(E1995-'계산 과정'!$D$32)-'계산 과정'!$E$39*'계산 과정'!$E$32)/J1995,"")</x:f>
        <x:v>-1.7708185377473105</x:v>
      </x:c>
      <x:c r="M1995" s="17" t="n">
        <x:f>IF('계산 과정'!$L$6,IF(J1995&lt;=0,0,IF(AND(ABS(K1995)&lt;='계산 과정'!$D$11/2,ABS(L1995)&lt;='계산 과정'!$D$12/2),1,0)),"")</x:f>
        <x:v>1</x:v>
      </x:c>
      <x:c r="N1995" s="17" t="n">
        <x:f>IF('계산 과정'!$C$78,IF(AND(ISNUMBER(H1995),ISNUMBER(I1995),ABS(H1995-'계산 과정'!$C$88)&lt;='계산 과정'!$D$23/2,ABS(I1995-'계산 과정'!$C$89)&lt;='계산 과정'!$D$24/2),1,0),"")</x:f>
        <x:v>1</x:v>
      </x:c>
      <x:c r="O1995" s="4" t="n">
        <x:f>IF('계산 과정'!$L$7,'계산 과정'!$C$49*('계산 과정'!$C$32-D1995)+'계산 과정'!$D$49*('계산 과정'!$D$32-E1995)+'계산 과정'!$E$49*'계산 과정'!$E$32,"")</x:f>
        <x:v>-12.844013799388904</x:v>
      </x:c>
      <x:c r="P1995" s="4" t="n">
        <x:f>IF(AND('계산 과정'!$L$7,O1995&lt;&gt;0),('계산 과정'!$L$23-'계산 과정'!$C$49*D1995-'계산 과정'!$D$49*E1995)/O1995,"")</x:f>
        <x:v>-30.14291266325416</x:v>
      </x:c>
      <x:c r="Q1995" s="4" t="str">
        <x:f>IF(AND(ISNUMBER(P1995),P1995&gt;1E-9,P1995&lt;1-1E-9),'계산 과정'!$C$47*(D1995-'계산 과정'!$C$50+P1995*('계산 과정'!$C$32-D1995))+'계산 과정'!$D$47*(E1995-'계산 과정'!$D$50+P1995*('계산 과정'!$D$32-E1995))+'계산 과정'!$E$47*(0-'계산 과정'!$E$50+P1995*('계산 과정'!$E$32-0)),"")</x:f>
      </x:c>
      <x:c r="R1995" s="4" t="str">
        <x:f>IF(AND(ISNUMBER(P1995),P1995&gt;1E-9,P1995&lt;1-1E-9),'계산 과정'!$C$48*(D1995-'계산 과정'!$C$50+P1995*('계산 과정'!$C$32-D1995))+'계산 과정'!$D$48*(E1995-'계산 과정'!$D$50+P1995*('계산 과정'!$D$32-E1995))+'계산 과정'!$E$48*(0-'계산 과정'!$E$50+P1995*('계산 과정'!$E$32-0)),"")</x:f>
      </x:c>
      <x:c r="S1995" s="17" t="n">
        <x:f>IF('계산 과정'!$C$78,IF(AND(ISNUMBER(Q1995),ISNUMBER(R1995),ABS(Q1995-'계산 과정'!$C$88)&lt;='계산 과정'!$D$23/2,ABS(R1995-'계산 과정'!$C$89)&lt;='계산 과정'!$D$24/2),1,0),"")</x:f>
        <x:v>0</x:v>
      </x:c>
      <x:c r="T1995" s="4"/>
      <x:c r="U1995" s="4"/>
      <x:c r="V1995" s="4"/>
      <x:c r="W1995" s="4"/>
      <x:c r="X1995" s="4"/>
      <x:c r="Y1995" s="4"/>
      <x:c r="Z1995" s="4"/>
    </x:row>
    <x:row r="1996" ht="23" customHeight="1">
      <x:c r="A1996" s="17" t="n">
        <x:f>ROW()-6</x:f>
        <x:v>1990</x:v>
      </x:c>
      <x:c r="B1996" s="4" t="n">
        <x:f>IF('계산 과정'!$L$5,'계산 과정'!$L$11*SQRT((A1996+0.5)/'계산 과정'!$L$30),"")</x:f>
        <x:v>147.87929582200647</x:v>
      </x:c>
      <x:c r="C1996" s="4" t="n">
        <x:f>A1996*PI()*(3-SQRT(5))</x:f>
        <x:v>4775.9268271600195</x:v>
      </x:c>
      <x:c r="D1996" s="4" t="n">
        <x:f>IF('계산 과정'!$L$5,B1996*COS(C1996),"")</x:f>
        <x:v>112.5312969827159</x:v>
      </x:c>
      <x:c r="E1996" s="4" t="n">
        <x:f>IF('계산 과정'!$L$5,B1996*SIN(C1996),"")</x:f>
        <x:v>95.94265647875451</x:v>
      </x:c>
      <x:c r="F1996" s="4" t="n">
        <x:f>IF('계산 과정'!$L$7,'계산 과정'!$L$22+'계산 과정'!$C$49*D1996+'계산 과정'!$D$49*E1996,"")</x:f>
        <x:v>570.4283568078043</x:v>
      </x:c>
      <x:c r="G1996" s="4" t="n">
        <x:f>IF('계산 과정'!$L$7,IF(ABS(F1996)&gt;=1E-12*MAX(1,SQRT((D1996-'계산 과정'!$C$33)^2+(E1996-'계산 과정'!$D$33)^2+'계산 과정'!$E$33^2)),('계산 과정'!$L$23-'계산 과정'!$C$49*D1996-'계산 과정'!$D$49*E1996)/F1996,""),"")</x:f>
        <x:v>0.8407219547708754</x:v>
      </x:c>
      <x:c r="H1996" s="4" t="n">
        <x:f>IF(AND(ISNUMBER(G1996),G1996&gt;0),('계산 과정'!$D$56+'계산 과정'!$D$57*D1996+'계산 과정'!$D$58*E1996)/F1996,"")</x:f>
        <x:v>146.46927060106898</x:v>
      </x:c>
      <x:c r="I1996" s="4" t="n">
        <x:f>IF(AND(ISNUMBER(G1996),G1996&gt;0),('계산 과정'!$E$56+'계산 과정'!$E$57*D1996+'계산 과정'!$E$58*E1996)/F1996,"")</x:f>
        <x:v>176.60375417948362</x:v>
      </x:c>
      <x:c r="J1996" s="4" t="n">
        <x:f>IF('계산 과정'!$L$5,'계산 과정'!$D$6+'계산 과정'!$C$35*D1996+'계산 과정'!$D$35*E1996,"")</x:f>
        <x:v>570.4283568078043</x:v>
      </x:c>
      <x:c r="K1996" s="4" t="n">
        <x:f>IF(AND('계산 과정'!$L$6,J1996&gt;0),'계산 과정'!$D$10*('계산 과정'!$C$38*(D1996-'계산 과정'!$C$32)+'계산 과정'!$D$38*(E1996-'계산 과정'!$D$32)-'계산 과정'!$E$38*'계산 과정'!$E$32)/J1996,"")</x:f>
        <x:v>1.115956347436717</x:v>
      </x:c>
      <x:c r="L1996" s="4" t="n">
        <x:f>IF(AND('계산 과정'!$L$6,J1996&gt;0),'계산 과정'!$D$10*('계산 과정'!$C$39*(D1996-'계산 과정'!$C$32)+'계산 과정'!$D$39*(E1996-'계산 과정'!$D$32)-'계산 과정'!$E$39*'계산 과정'!$E$32)/J1996,"")</x:f>
        <x:v>1.3455524127960656</x:v>
      </x:c>
      <x:c r="M1996" s="17" t="n">
        <x:f>IF('계산 과정'!$L$6,IF(J1996&lt;=0,0,IF(AND(ABS(K1996)&lt;='계산 과정'!$D$11/2,ABS(L1996)&lt;='계산 과정'!$D$12/2),1,0)),"")</x:f>
        <x:v>1</x:v>
      </x:c>
      <x:c r="N1996" s="17" t="n">
        <x:f>IF('계산 과정'!$C$78,IF(AND(ISNUMBER(H1996),ISNUMBER(I1996),ABS(H1996-'계산 과정'!$C$88)&lt;='계산 과정'!$D$23/2,ABS(I1996-'계산 과정'!$C$89)&lt;='계산 과정'!$D$24/2),1,0),"")</x:f>
        <x:v>1</x:v>
      </x:c>
      <x:c r="O1996" s="4" t="n">
        <x:f>IF('계산 과정'!$L$7,'계산 과정'!$C$49*('계산 과정'!$C$32-D1996)+'계산 과정'!$D$49*('계산 과정'!$D$32-E1996)+'계산 과정'!$E$49*'계산 과정'!$E$32,"")</x:f>
        <x:v>79.57164319219581</x:v>
      </x:c>
      <x:c r="P1996" s="4" t="n">
        <x:f>IF(AND('계산 과정'!$L$7,O1996&lt;&gt;0),('계산 과정'!$L$23-'계산 과정'!$C$49*D1996-'계산 과정'!$D$49*E1996)/O1996,"")</x:f>
        <x:v>6.02691642340284</x:v>
      </x:c>
      <x:c r="Q1996" s="4" t="str">
        <x:f>IF(AND(ISNUMBER(P1996),P1996&gt;1E-9,P1996&lt;1-1E-9),'계산 과정'!$C$47*(D1996-'계산 과정'!$C$50+P1996*('계산 과정'!$C$32-D1996))+'계산 과정'!$D$47*(E1996-'계산 과정'!$D$50+P1996*('계산 과정'!$D$32-E1996))+'계산 과정'!$E$47*(0-'계산 과정'!$E$50+P1996*('계산 과정'!$E$32-0)),"")</x:f>
      </x:c>
      <x:c r="R1996" s="4" t="str">
        <x:f>IF(AND(ISNUMBER(P1996),P1996&gt;1E-9,P1996&lt;1-1E-9),'계산 과정'!$C$48*(D1996-'계산 과정'!$C$50+P1996*('계산 과정'!$C$32-D1996))+'계산 과정'!$D$48*(E1996-'계산 과정'!$D$50+P1996*('계산 과정'!$D$32-E1996))+'계산 과정'!$E$48*(0-'계산 과정'!$E$50+P1996*('계산 과정'!$E$32-0)),"")</x:f>
      </x:c>
      <x:c r="S1996" s="17" t="n">
        <x:f>IF('계산 과정'!$C$78,IF(AND(ISNUMBER(Q1996),ISNUMBER(R1996),ABS(Q1996-'계산 과정'!$C$88)&lt;='계산 과정'!$D$23/2,ABS(R1996-'계산 과정'!$C$89)&lt;='계산 과정'!$D$24/2),1,0),"")</x:f>
        <x:v>0</x:v>
      </x:c>
      <x:c r="T1996" s="4"/>
      <x:c r="U1996" s="4"/>
      <x:c r="V1996" s="4"/>
      <x:c r="W1996" s="4"/>
      <x:c r="X1996" s="4"/>
      <x:c r="Y1996" s="4"/>
      <x:c r="Z1996" s="4"/>
    </x:row>
    <x:row r="1997" ht="23" customHeight="1">
      <x:c r="A1997" s="17" t="n">
        <x:f>ROW()-6</x:f>
        <x:v>1991</x:v>
      </x:c>
      <x:c r="B1997" s="4" t="n">
        <x:f>IF('계산 과정'!$L$5,'계산 과정'!$L$11*SQRT((A1997+0.5)/'계산 과정'!$L$30),"")</x:f>
        <x:v>147.91643742646556</x:v>
      </x:c>
      <x:c r="C1997" s="4" t="n">
        <x:f>A1997*PI()*(3-SQRT(5))</x:f>
        <x:v>4778.326790389748</x:v>
      </x:c>
      <x:c r="D1997" s="4" t="n">
        <x:f>IF('계산 과정'!$L$5,B1997*COS(C1997),"")</x:f>
        <x:v>-147.8225274857154</x:v>
      </x:c>
      <x:c r="E1997" s="4" t="n">
        <x:f>IF('계산 과정'!$L$5,B1997*SIN(C1997),"")</x:f>
        <x:v>5.2699932326724115</x:v>
      </x:c>
      <x:c r="F1997" s="4" t="n">
        <x:f>IF('계산 과정'!$L$7,'계산 과정'!$L$22+'계산 과정'!$C$49*D1997+'계산 과정'!$D$49*E1997,"")</x:f>
        <x:v>754.5263115972841</x:v>
      </x:c>
      <x:c r="G1997" s="4" t="n">
        <x:f>IF('계산 과정'!$L$7,IF(ABS(F1997)&gt;=1E-12*MAX(1,SQRT((D1997-'계산 과정'!$C$33)^2+(E1997-'계산 과정'!$D$33)^2+'계산 과정'!$E$33^2)),('계산 과정'!$L$23-'계산 과정'!$C$49*D1997-'계산 과정'!$D$49*E1997)/F1997,""),"")</x:f>
        <x:v>0.3916015702318146</x:v>
      </x:c>
      <x:c r="H1997" s="4" t="n">
        <x:f>IF(AND(ISNUMBER(G1997),G1997&gt;0),('계산 과정'!$D$56+'계산 과정'!$D$57*D1997+'계산 과정'!$D$58*E1997)/F1997,"")</x:f>
        <x:v>-145.4589793493207</x:v>
      </x:c>
      <x:c r="I1997" s="4" t="n">
        <x:f>IF(AND(ISNUMBER(G1997),G1997&gt;0),('계산 과정'!$E$56+'계산 과정'!$E$57*D1997+'계산 과정'!$E$58*E1997)/F1997,"")</x:f>
        <x:v>7.333730857697964</x:v>
      </x:c>
      <x:c r="J1997" s="4" t="n">
        <x:f>IF('계산 과정'!$L$5,'계산 과정'!$D$6+'계산 과정'!$C$35*D1997+'계산 과정'!$D$35*E1997,"")</x:f>
        <x:v>754.5263115972841</x:v>
      </x:c>
      <x:c r="K1997" s="4" t="n">
        <x:f>IF(AND('계산 과정'!$L$6,J1997&gt;0),'계산 과정'!$D$10*('계산 과정'!$C$38*(D1997-'계산 과정'!$C$32)+'계산 과정'!$D$38*(E1997-'계산 과정'!$D$32)-'계산 과정'!$E$38*'계산 과정'!$E$32)/J1997,"")</x:f>
        <x:v>-1.1082588902805373</x:v>
      </x:c>
      <x:c r="L1997" s="4" t="n">
        <x:f>IF(AND('계산 과정'!$L$6,J1997&gt;0),'계산 과정'!$D$10*('계산 과정'!$C$39*(D1997-'계산 과정'!$C$32)+'계산 과정'!$D$39*(E1997-'계산 과정'!$D$32)-'계산 과정'!$E$39*'계산 과정'!$E$32)/J1997,"")</x:f>
        <x:v>0.05587604463007973</x:v>
      </x:c>
      <x:c r="M1997" s="17" t="n">
        <x:f>IF('계산 과정'!$L$6,IF(J1997&lt;=0,0,IF(AND(ABS(K1997)&lt;='계산 과정'!$D$11/2,ABS(L1997)&lt;='계산 과정'!$D$12/2),1,0)),"")</x:f>
        <x:v>1</x:v>
      </x:c>
      <x:c r="N1997" s="17" t="n">
        <x:f>IF('계산 과정'!$C$78,IF(AND(ISNUMBER(H1997),ISNUMBER(I1997),ABS(H1997-'계산 과정'!$C$88)&lt;='계산 과정'!$D$23/2,ABS(I1997-'계산 과정'!$C$89)&lt;='계산 과정'!$D$24/2),1,0),"")</x:f>
        <x:v>1</x:v>
      </x:c>
      <x:c r="O1997" s="4" t="n">
        <x:f>IF('계산 과정'!$L$7,'계산 과정'!$C$49*('계산 과정'!$C$32-D1997)+'계산 과정'!$D$49*('계산 과정'!$D$32-E1997)+'계산 과정'!$E$49*'계산 과정'!$E$32,"")</x:f>
        <x:v>-104.526311597284</x:v>
      </x:c>
      <x:c r="P1997" s="4" t="n">
        <x:f>IF(AND('계산 과정'!$L$7,O1997&lt;&gt;0),('계산 과정'!$L$23-'계산 과정'!$C$49*D1997-'계산 과정'!$D$49*E1997)/O1997,"")</x:f>
        <x:v>-2.826787666067358</x:v>
      </x:c>
      <x:c r="Q1997" s="4" t="str">
        <x:f>IF(AND(ISNUMBER(P1997),P1997&gt;1E-9,P1997&lt;1-1E-9),'계산 과정'!$C$47*(D1997-'계산 과정'!$C$50+P1997*('계산 과정'!$C$32-D1997))+'계산 과정'!$D$47*(E1997-'계산 과정'!$D$50+P1997*('계산 과정'!$D$32-E1997))+'계산 과정'!$E$47*(0-'계산 과정'!$E$50+P1997*('계산 과정'!$E$32-0)),"")</x:f>
      </x:c>
      <x:c r="R1997" s="4" t="str">
        <x:f>IF(AND(ISNUMBER(P1997),P1997&gt;1E-9,P1997&lt;1-1E-9),'계산 과정'!$C$48*(D1997-'계산 과정'!$C$50+P1997*('계산 과정'!$C$32-D1997))+'계산 과정'!$D$48*(E1997-'계산 과정'!$D$50+P1997*('계산 과정'!$D$32-E1997))+'계산 과정'!$E$48*(0-'계산 과정'!$E$50+P1997*('계산 과정'!$E$32-0)),"")</x:f>
      </x:c>
      <x:c r="S1997" s="17" t="n">
        <x:f>IF('계산 과정'!$C$78,IF(AND(ISNUMBER(Q1997),ISNUMBER(R1997),ABS(Q1997-'계산 과정'!$C$88)&lt;='계산 과정'!$D$23/2,ABS(R1997-'계산 과정'!$C$89)&lt;='계산 과정'!$D$24/2),1,0),"")</x:f>
        <x:v>0</x:v>
      </x:c>
      <x:c r="T1997" s="4"/>
      <x:c r="U1997" s="4"/>
      <x:c r="V1997" s="4"/>
      <x:c r="W1997" s="4"/>
      <x:c r="X1997" s="4"/>
      <x:c r="Y1997" s="4"/>
      <x:c r="Z1997" s="4"/>
    </x:row>
    <x:row r="1998" ht="23" customHeight="1">
      <x:c r="A1998" s="17" t="n">
        <x:f>ROW()-6</x:f>
        <x:v>1992</x:v>
      </x:c>
      <x:c r="B1998" s="4" t="n">
        <x:f>IF('계산 과정'!$L$5,'계산 과정'!$L$11*SQRT((A1998+0.5)/'계산 과정'!$L$30),"")</x:f>
        <x:v>147.95356970706214</x:v>
      </x:c>
      <x:c r="C1998" s="4" t="n">
        <x:f>A1998*PI()*(3-SQRT(5))</x:f>
        <x:v>4780.726753619477</x:v>
      </x:c>
      <x:c r="D1998" s="4" t="n">
        <x:f>IF('계산 과정'!$L$5,B1998*COS(C1998),"")</x:f>
        <x:v>105.46637112859385</x:v>
      </x:c>
      <x:c r="E1998" s="4" t="n">
        <x:f>IF('계산 과정'!$L$5,B1998*SIN(C1998),"")</x:f>
        <x:v>-103.76465366408834</x:v>
      </x:c>
      <x:c r="F1998" s="4" t="n">
        <x:f>IF('계산 과정'!$L$7,'계산 과정'!$L$22+'계산 과정'!$C$49*D1998+'계산 과정'!$D$49*E1998,"")</x:f>
        <x:v>575.4240137878342</x:v>
      </x:c>
      <x:c r="G1998" s="4" t="n">
        <x:f>IF('계산 과정'!$L$7,IF(ABS(F1998)&gt;=1E-12*MAX(1,SQRT((D1998-'계산 과정'!$C$33)^2+(E1998-'계산 과정'!$D$33)^2+'계산 과정'!$E$33^2)),('계산 과정'!$L$23-'계산 과정'!$C$49*D1998-'계산 과정'!$D$49*E1998)/F1998,""),"")</x:f>
        <x:v>0.8247413643517975</x:v>
      </x:c>
      <x:c r="H1998" s="4" t="n">
        <x:f>IF(AND(ISNUMBER(G1998),G1998&gt;0),('계산 과정'!$D$56+'계산 과정'!$D$57*D1998+'계산 과정'!$D$58*E1998)/F1998,"")</x:f>
        <x:v>136.08188682866822</x:v>
      </x:c>
      <x:c r="I1998" s="4" t="n">
        <x:f>IF(AND(ISNUMBER(G1998),G1998&gt;0),('계산 과정'!$E$56+'계산 과정'!$E$57*D1998+'계산 과정'!$E$58*E1998)/F1998,"")</x:f>
        <x:v>-189.3436556985003</x:v>
      </x:c>
      <x:c r="J1998" s="4" t="n">
        <x:f>IF('계산 과정'!$L$5,'계산 과정'!$D$6+'계산 과정'!$C$35*D1998+'계산 과정'!$D$35*E1998,"")</x:f>
        <x:v>575.4240137878342</x:v>
      </x:c>
      <x:c r="K1998" s="4" t="n">
        <x:f>IF(AND('계산 과정'!$L$6,J1998&gt;0),'계산 과정'!$D$10*('계산 과정'!$C$38*(D1998-'계산 과정'!$C$32)+'계산 과정'!$D$38*(E1998-'계산 과정'!$D$32)-'계산 과정'!$E$38*'계산 과정'!$E$32)/J1998,"")</x:f>
        <x:v>1.0368143758374726</x:v>
      </x:c>
      <x:c r="L1998" s="4" t="n">
        <x:f>IF(AND('계산 과정'!$L$6,J1998&gt;0),'계산 과정'!$D$10*('계산 과정'!$C$39*(D1998-'계산 과정'!$C$32)+'계산 과정'!$D$39*(E1998-'계산 과정'!$D$32)-'계산 과정'!$E$39*'계산 과정'!$E$32)/J1998,"")</x:f>
        <x:v>-1.442618329131431</x:v>
      </x:c>
      <x:c r="M1998" s="17" t="n">
        <x:f>IF('계산 과정'!$L$6,IF(J1998&lt;=0,0,IF(AND(ABS(K1998)&lt;='계산 과정'!$D$11/2,ABS(L1998)&lt;='계산 과정'!$D$12/2),1,0)),"")</x:f>
        <x:v>1</x:v>
      </x:c>
      <x:c r="N1998" s="17" t="n">
        <x:f>IF('계산 과정'!$C$78,IF(AND(ISNUMBER(H1998),ISNUMBER(I1998),ABS(H1998-'계산 과정'!$C$88)&lt;='계산 과정'!$D$23/2,ABS(I1998-'계산 과정'!$C$89)&lt;='계산 과정'!$D$24/2),1,0),"")</x:f>
        <x:v>1</x:v>
      </x:c>
      <x:c r="O1998" s="4" t="n">
        <x:f>IF('계산 과정'!$L$7,'계산 과정'!$C$49*('계산 과정'!$C$32-D1998)+'계산 과정'!$D$49*('계산 과정'!$D$32-E1998)+'계산 과정'!$E$49*'계산 과정'!$E$32,"")</x:f>
        <x:v>74.57598621216593</x:v>
      </x:c>
      <x:c r="P1998" s="4" t="n">
        <x:f>IF(AND('계산 과정'!$L$7,O1998&lt;&gt;0),('계산 과정'!$L$23-'계산 과정'!$C$49*D1998-'계산 과정'!$D$49*E1998)/O1998,"")</x:f>
        <x:v>6.363656859488451</x:v>
      </x:c>
      <x:c r="Q1998" s="4" t="str">
        <x:f>IF(AND(ISNUMBER(P1998),P1998&gt;1E-9,P1998&lt;1-1E-9),'계산 과정'!$C$47*(D1998-'계산 과정'!$C$50+P1998*('계산 과정'!$C$32-D1998))+'계산 과정'!$D$47*(E1998-'계산 과정'!$D$50+P1998*('계산 과정'!$D$32-E1998))+'계산 과정'!$E$47*(0-'계산 과정'!$E$50+P1998*('계산 과정'!$E$32-0)),"")</x:f>
      </x:c>
      <x:c r="R1998" s="4" t="str">
        <x:f>IF(AND(ISNUMBER(P1998),P1998&gt;1E-9,P1998&lt;1-1E-9),'계산 과정'!$C$48*(D1998-'계산 과정'!$C$50+P1998*('계산 과정'!$C$32-D1998))+'계산 과정'!$D$48*(E1998-'계산 과정'!$D$50+P1998*('계산 과정'!$D$32-E1998))+'계산 과정'!$E$48*(0-'계산 과정'!$E$50+P1998*('계산 과정'!$E$32-0)),"")</x:f>
      </x:c>
      <x:c r="S1998" s="17" t="n">
        <x:f>IF('계산 과정'!$C$78,IF(AND(ISNUMBER(Q1998),ISNUMBER(R1998),ABS(Q1998-'계산 과정'!$C$88)&lt;='계산 과정'!$D$23/2,ABS(R1998-'계산 과정'!$C$89)&lt;='계산 과정'!$D$24/2),1,0),"")</x:f>
        <x:v>0</x:v>
      </x:c>
      <x:c r="T1998" s="4"/>
      <x:c r="U1998" s="4"/>
      <x:c r="V1998" s="4"/>
      <x:c r="W1998" s="4"/>
      <x:c r="X1998" s="4"/>
      <x:c r="Y1998" s="4"/>
      <x:c r="Z1998" s="4"/>
    </x:row>
    <x:row r="1999" ht="23" customHeight="1">
      <x:c r="A1999" s="17" t="n">
        <x:f>ROW()-6</x:f>
        <x:v>1993</x:v>
      </x:c>
      <x:c r="B1999" s="4" t="n">
        <x:f>IF('계산 과정'!$L$5,'계산 과정'!$L$11*SQRT((A1999+0.5)/'계산 과정'!$L$30),"")</x:f>
        <x:v>147.9906926708146</x:v>
      </x:c>
      <x:c r="C1999" s="4" t="n">
        <x:f>A1999*PI()*(3-SQRT(5))</x:f>
        <x:v>4783.126716849205</x:v>
      </x:c>
      <x:c r="D1999" s="4" t="n">
        <x:f>IF('계산 과정'!$L$5,B1999*COS(C1999),"")</x:f>
        <x:v>-7.6775291986981715</x:v>
      </x:c>
      <x:c r="E1999" s="4" t="n">
        <x:f>IF('계산 과정'!$L$5,B1999*SIN(C1999),"")</x:f>
        <x:v>147.79140929902061</x:v>
      </x:c>
      <x:c r="F1999" s="4" t="n">
        <x:f>IF('계산 과정'!$L$7,'계산 과정'!$L$22+'계산 과정'!$C$49*D1999+'계산 과정'!$D$49*E1999,"")</x:f>
        <x:v>655.4288329591571</x:v>
      </x:c>
      <x:c r="G1999" s="4" t="n">
        <x:f>IF('계산 과정'!$L$7,IF(ABS(F1999)&gt;=1E-12*MAX(1,SQRT((D1999-'계산 과정'!$C$33)^2+(E1999-'계산 과정'!$D$33)^2+'계산 과정'!$E$33^2)),('계산 과정'!$L$23-'계산 과정'!$C$49*D1999-'계산 과정'!$D$49*E1999)/F1999,""),"")</x:f>
        <x:v>0.6020045918020064</x:v>
      </x:c>
      <x:c r="H1999" s="4" t="n">
        <x:f>IF(AND(ISNUMBER(G1999),G1999&gt;0),('계산 과정'!$D$56+'계산 과정'!$D$57*D1999+'계산 과정'!$D$58*E1999)/F1999,"")</x:f>
        <x:v>-8.697015328696018</x:v>
      </x:c>
      <x:c r="I1999" s="4" t="n">
        <x:f>IF(AND(ISNUMBER(G1999),G1999&gt;0),('계산 과정'!$E$56+'계산 과정'!$E$57*D1999+'계산 과정'!$E$58*E1999)/F1999,"")</x:f>
        <x:v>236.76251632592076</x:v>
      </x:c>
      <x:c r="J1999" s="4" t="n">
        <x:f>IF('계산 과정'!$L$5,'계산 과정'!$D$6+'계산 과정'!$C$35*D1999+'계산 과정'!$D$35*E1999,"")</x:f>
        <x:v>655.4288329591571</x:v>
      </x:c>
      <x:c r="K1999" s="4" t="n">
        <x:f>IF(AND('계산 과정'!$L$6,J1999&gt;0),'계산 과정'!$D$10*('계산 과정'!$C$38*(D1999-'계산 과정'!$C$32)+'계산 과정'!$D$38*(E1999-'계산 과정'!$D$32)-'계산 과정'!$E$38*'계산 과정'!$E$32)/J1999,"")</x:f>
        <x:v>-0.06626297393292127</x:v>
      </x:c>
      <x:c r="L1999" s="4" t="n">
        <x:f>IF(AND('계산 과정'!$L$6,J1999&gt;0),'계산 과정'!$D$10*('계산 과정'!$C$39*(D1999-'계산 과정'!$C$32)+'계산 과정'!$D$39*(E1999-'계산 과정'!$D$32)-'계산 과정'!$E$39*'계산 과정'!$E$32)/J1999,"")</x:f>
        <x:v>1.8039048862927298</x:v>
      </x:c>
      <x:c r="M1999" s="17" t="n">
        <x:f>IF('계산 과정'!$L$6,IF(J1999&lt;=0,0,IF(AND(ABS(K1999)&lt;='계산 과정'!$D$11/2,ABS(L1999)&lt;='계산 과정'!$D$12/2),1,0)),"")</x:f>
        <x:v>1</x:v>
      </x:c>
      <x:c r="N1999" s="17" t="n">
        <x:f>IF('계산 과정'!$C$78,IF(AND(ISNUMBER(H1999),ISNUMBER(I1999),ABS(H1999-'계산 과정'!$C$88)&lt;='계산 과정'!$D$23/2,ABS(I1999-'계산 과정'!$C$89)&lt;='계산 과정'!$D$24/2),1,0),"")</x:f>
        <x:v>1</x:v>
      </x:c>
      <x:c r="O1999" s="4" t="n">
        <x:f>IF('계산 과정'!$L$7,'계산 과정'!$C$49*('계산 과정'!$C$32-D1999)+'계산 과정'!$D$49*('계산 과정'!$D$32-E1999)+'계산 과정'!$E$49*'계산 과정'!$E$32,"")</x:f>
        <x:v>-5.428832959157091</x:v>
      </x:c>
      <x:c r="P1999" s="4" t="n">
        <x:f>IF(AND('계산 과정'!$L$7,O1999&lt;&gt;0),('계산 과정'!$L$23-'계산 과정'!$C$49*D1999-'계산 과정'!$D$49*E1999)/O1999,"")</x:f>
        <x:v>-72.68066083619304</x:v>
      </x:c>
      <x:c r="Q1999" s="4" t="str">
        <x:f>IF(AND(ISNUMBER(P1999),P1999&gt;1E-9,P1999&lt;1-1E-9),'계산 과정'!$C$47*(D1999-'계산 과정'!$C$50+P1999*('계산 과정'!$C$32-D1999))+'계산 과정'!$D$47*(E1999-'계산 과정'!$D$50+P1999*('계산 과정'!$D$32-E1999))+'계산 과정'!$E$47*(0-'계산 과정'!$E$50+P1999*('계산 과정'!$E$32-0)),"")</x:f>
      </x:c>
      <x:c r="R1999" s="4" t="str">
        <x:f>IF(AND(ISNUMBER(P1999),P1999&gt;1E-9,P1999&lt;1-1E-9),'계산 과정'!$C$48*(D1999-'계산 과정'!$C$50+P1999*('계산 과정'!$C$32-D1999))+'계산 과정'!$D$48*(E1999-'계산 과정'!$D$50+P1999*('계산 과정'!$D$32-E1999))+'계산 과정'!$E$48*(0-'계산 과정'!$E$50+P1999*('계산 과정'!$E$32-0)),"")</x:f>
      </x:c>
      <x:c r="S1999" s="17" t="n">
        <x:f>IF('계산 과정'!$C$78,IF(AND(ISNUMBER(Q1999),ISNUMBER(R1999),ABS(Q1999-'계산 과정'!$C$88)&lt;='계산 과정'!$D$23/2,ABS(R1999-'계산 과정'!$C$89)&lt;='계산 과정'!$D$24/2),1,0),"")</x:f>
        <x:v>0</x:v>
      </x:c>
      <x:c r="T1999" s="4"/>
      <x:c r="U1999" s="4"/>
      <x:c r="V1999" s="4"/>
      <x:c r="W1999" s="4"/>
      <x:c r="X1999" s="4"/>
      <x:c r="Y1999" s="4"/>
      <x:c r="Z1999" s="4"/>
    </x:row>
    <x:row r="2000" ht="23" customHeight="1">
      <x:c r="A2000" s="17" t="n">
        <x:f>ROW()-6</x:f>
        <x:v>1994</x:v>
      </x:c>
      <x:c r="B2000" s="4" t="n">
        <x:f>IF('계산 과정'!$L$5,'계산 과정'!$L$11*SQRT((A2000+0.5)/'계산 과정'!$L$30),"")</x:f>
        <x:v>148.02780632473244</x:v>
      </x:c>
      <x:c r="C2000" s="4" t="n">
        <x:f>A2000*PI()*(3-SQRT(5))</x:f>
        <x:v>4785.526680078934</x:v>
      </x:c>
      <x:c r="D2000" s="4" t="n">
        <x:f>IF('계산 과정'!$L$5,B2000*COS(C2000),"")</x:f>
        <x:v>-94.1941078895741</x:v>
      </x:c>
      <x:c r="E2000" s="4" t="n">
        <x:f>IF('계산 과정'!$L$5,B2000*SIN(C2000),"")</x:f>
        <x:v>-114.19151231242965</x:v>
      </x:c>
      <x:c r="F2000" s="4" t="n">
        <x:f>IF('계산 과정'!$L$7,'계산 과정'!$L$22+'계산 과정'!$C$49*D2000+'계산 과정'!$D$49*E2000,"")</x:f>
        <x:v>716.6052924365351</x:v>
      </x:c>
      <x:c r="G2000" s="4" t="n">
        <x:f>IF('계산 과정'!$L$7,IF(ABS(F2000)&gt;=1E-12*MAX(1,SQRT((D2000-'계산 과정'!$C$33)^2+(E2000-'계산 과정'!$D$33)^2+'계산 과정'!$E$33^2)),('계산 과정'!$L$23-'계산 과정'!$C$49*D2000-'계산 과정'!$D$49*E2000)/F2000,""),"")</x:f>
        <x:v>0.4652417601185821</x:v>
      </x:c>
      <x:c r="H2000" s="4" t="n">
        <x:f>IF(AND(ISNUMBER(G2000),G2000&gt;0),('계산 과정'!$D$56+'계산 과정'!$D$57*D2000+'계산 과정'!$D$58*E2000)/F2000,"")</x:f>
        <x:v>-97.59285592292173</x:v>
      </x:c>
      <x:c r="I2000" s="4" t="n">
        <x:f>IF(AND(ISNUMBER(G2000),G2000&gt;0),('계산 과정'!$E$56+'계산 과정'!$E$57*D2000+'계산 과정'!$E$58*E2000)/F2000,"")</x:f>
        <x:v>-167.31817249126715</x:v>
      </x:c>
      <x:c r="J2000" s="4" t="n">
        <x:f>IF('계산 과정'!$L$5,'계산 과정'!$D$6+'계산 과정'!$C$35*D2000+'계산 과정'!$D$35*E2000,"")</x:f>
        <x:v>716.6052924365351</x:v>
      </x:c>
      <x:c r="K2000" s="4" t="n">
        <x:f>IF(AND('계산 과정'!$L$6,J2000&gt;0),'계산 과정'!$D$10*('계산 과정'!$C$38*(D2000-'계산 과정'!$C$32)+'계산 과정'!$D$38*(E2000-'계산 과정'!$D$32)-'계산 과정'!$E$38*'계산 과정'!$E$32)/J2000,"")</x:f>
        <x:v>-0.7435646165555927</x:v>
      </x:c>
      <x:c r="L2000" s="4" t="n">
        <x:f>IF(AND('계산 과정'!$L$6,J2000&gt;0),'계산 과정'!$D$10*('계산 과정'!$C$39*(D2000-'계산 과정'!$C$32)+'계산 과정'!$D$39*(E2000-'계산 과정'!$D$32)-'계산 과정'!$E$39*'계산 과정'!$E$32)/J2000,"")</x:f>
        <x:v>-1.2748051237429878</x:v>
      </x:c>
      <x:c r="M2000" s="17" t="n">
        <x:f>IF('계산 과정'!$L$6,IF(J2000&lt;=0,0,IF(AND(ABS(K2000)&lt;='계산 과정'!$D$11/2,ABS(L2000)&lt;='계산 과정'!$D$12/2),1,0)),"")</x:f>
        <x:v>1</x:v>
      </x:c>
      <x:c r="N2000" s="17" t="n">
        <x:f>IF('계산 과정'!$C$78,IF(AND(ISNUMBER(H2000),ISNUMBER(I2000),ABS(H2000-'계산 과정'!$C$88)&lt;='계산 과정'!$D$23/2,ABS(I2000-'계산 과정'!$C$89)&lt;='계산 과정'!$D$24/2),1,0),"")</x:f>
        <x:v>1</x:v>
      </x:c>
      <x:c r="O2000" s="4" t="n">
        <x:f>IF('계산 과정'!$L$7,'계산 과정'!$C$49*('계산 과정'!$C$32-D2000)+'계산 과정'!$D$49*('계산 과정'!$D$32-E2000)+'계산 과정'!$E$49*'계산 과정'!$E$32,"")</x:f>
        <x:v>-66.60529243653497</x:v>
      </x:c>
      <x:c r="P2000" s="4" t="n">
        <x:f>IF(AND('계산 과정'!$L$7,O2000&lt;&gt;0),('계산 과정'!$L$23-'계산 과정'!$C$49*D2000-'계산 과정'!$D$49*E2000)/O2000,"")</x:f>
        <x:v>-5.005528770572412</x:v>
      </x:c>
      <x:c r="Q2000" s="4" t="str">
        <x:f>IF(AND(ISNUMBER(P2000),P2000&gt;1E-9,P2000&lt;1-1E-9),'계산 과정'!$C$47*(D2000-'계산 과정'!$C$50+P2000*('계산 과정'!$C$32-D2000))+'계산 과정'!$D$47*(E2000-'계산 과정'!$D$50+P2000*('계산 과정'!$D$32-E2000))+'계산 과정'!$E$47*(0-'계산 과정'!$E$50+P2000*('계산 과정'!$E$32-0)),"")</x:f>
      </x:c>
      <x:c r="R2000" s="4" t="str">
        <x:f>IF(AND(ISNUMBER(P2000),P2000&gt;1E-9,P2000&lt;1-1E-9),'계산 과정'!$C$48*(D2000-'계산 과정'!$C$50+P2000*('계산 과정'!$C$32-D2000))+'계산 과정'!$D$48*(E2000-'계산 과정'!$D$50+P2000*('계산 과정'!$D$32-E2000))+'계산 과정'!$E$48*(0-'계산 과정'!$E$50+P2000*('계산 과정'!$E$32-0)),"")</x:f>
      </x:c>
      <x:c r="S2000" s="17" t="n">
        <x:f>IF('계산 과정'!$C$78,IF(AND(ISNUMBER(Q2000),ISNUMBER(R2000),ABS(Q2000-'계산 과정'!$C$88)&lt;='계산 과정'!$D$23/2,ABS(R2000-'계산 과정'!$C$89)&lt;='계산 과정'!$D$24/2),1,0),"")</x:f>
        <x:v>0</x:v>
      </x:c>
      <x:c r="T2000" s="4"/>
      <x:c r="U2000" s="4"/>
      <x:c r="V2000" s="4"/>
      <x:c r="W2000" s="4"/>
      <x:c r="X2000" s="4"/>
      <x:c r="Y2000" s="4"/>
      <x:c r="Z2000" s="4"/>
    </x:row>
    <x:row r="2001" ht="23" customHeight="1">
      <x:c r="A2001" s="17" t="n">
        <x:f>ROW()-6</x:f>
        <x:v>1995</x:v>
      </x:c>
      <x:c r="B2001" s="4" t="n">
        <x:f>IF('계산 과정'!$L$5,'계산 과정'!$L$11*SQRT((A2001+0.5)/'계산 과정'!$L$30),"")</x:f>
        <x:v>148.06491067581644</x:v>
      </x:c>
      <x:c r="C2001" s="4" t="n">
        <x:f>A2001*PI()*(3-SQRT(5))</x:f>
        <x:v>4787.926643308662</x:v>
      </x:c>
      <x:c r="D2001" s="4" t="n">
        <x:f>IF('계산 과정'!$L$5,B2001*COS(C2001),"")</x:f>
        <x:v>146.62780612985395</x:v>
      </x:c>
      <x:c r="E2001" s="4" t="n">
        <x:f>IF('계산 과정'!$L$5,B2001*SIN(C2001),"")</x:f>
        <x:v>20.57921871654665</x:v>
      </x:c>
      <x:c r="F2001" s="4" t="n">
        <x:f>IF('계산 과정'!$L$7,'계산 과정'!$L$22+'계산 과정'!$C$49*D2001+'계산 과정'!$D$49*E2001,"")</x:f>
        <x:v>546.3184839750738</x:v>
      </x:c>
      <x:c r="G2001" s="4" t="n">
        <x:f>IF('계산 과정'!$L$7,IF(ABS(F2001)&gt;=1E-12*MAX(1,SQRT((D2001-'계산 과정'!$C$33)^2+(E2001-'계산 과정'!$D$33)^2+'계산 과정'!$E$33^2)),('계산 과정'!$L$23-'계산 과정'!$C$49*D2001-'계산 과정'!$D$49*E2001)/F2001,""),"")</x:f>
        <x:v>0.9219558385798767</x:v>
      </x:c>
      <x:c r="H2001" s="4" t="n">
        <x:f>IF(AND(ISNUMBER(G2001),G2001&gt;0),('계산 과정'!$D$56+'계산 과정'!$D$57*D2001+'계산 과정'!$D$58*E2001)/F2001,"")</x:f>
        <x:v>199.27129507691978</x:v>
      </x:c>
      <x:c r="I2001" s="4" t="n">
        <x:f>IF(AND(ISNUMBER(G2001),G2001&gt;0),('계산 과정'!$E$56+'계산 과정'!$E$57*D2001+'계산 과정'!$E$58*E2001)/F2001,"")</x:f>
        <x:v>39.55234956567911</x:v>
      </x:c>
      <x:c r="J2001" s="4" t="n">
        <x:f>IF('계산 과정'!$L$5,'계산 과정'!$D$6+'계산 과정'!$C$35*D2001+'계산 과정'!$D$35*E2001,"")</x:f>
        <x:v>546.3184839750738</x:v>
      </x:c>
      <x:c r="K2001" s="4" t="n">
        <x:f>IF(AND('계산 과정'!$L$6,J2001&gt;0),'계산 과정'!$D$10*('계산 과정'!$C$38*(D2001-'계산 과정'!$C$32)+'계산 과정'!$D$38*(E2001-'계산 과정'!$D$32)-'계산 과정'!$E$38*'계산 과정'!$E$32)/J2001,"")</x:f>
        <x:v>1.5182574863003426</x:v>
      </x:c>
      <x:c r="L2001" s="4" t="n">
        <x:f>IF(AND('계산 과정'!$L$6,J2001&gt;0),'계산 과정'!$D$10*('계산 과정'!$C$39*(D2001-'계산 과정'!$C$32)+'계산 과정'!$D$39*(E2001-'계산 과정'!$D$32)-'계산 과정'!$E$39*'계산 과정'!$E$32)/J2001,"")</x:f>
        <x:v>0.3013512347861266</x:v>
      </x:c>
      <x:c r="M2001" s="17" t="n">
        <x:f>IF('계산 과정'!$L$6,IF(J2001&lt;=0,0,IF(AND(ABS(K2001)&lt;='계산 과정'!$D$11/2,ABS(L2001)&lt;='계산 과정'!$D$12/2),1,0)),"")</x:f>
        <x:v>1</x:v>
      </x:c>
      <x:c r="N2001" s="17" t="n">
        <x:f>IF('계산 과정'!$C$78,IF(AND(ISNUMBER(H2001),ISNUMBER(I2001),ABS(H2001-'계산 과정'!$C$88)&lt;='계산 과정'!$D$23/2,ABS(I2001-'계산 과정'!$C$89)&lt;='계산 과정'!$D$24/2),1,0),"")</x:f>
        <x:v>1</x:v>
      </x:c>
      <x:c r="O2001" s="4" t="n">
        <x:f>IF('계산 과정'!$L$7,'계산 과정'!$C$49*('계산 과정'!$C$32-D2001)+'계산 과정'!$D$49*('계산 과정'!$D$32-E2001)+'계산 과정'!$E$49*'계산 과정'!$E$32,"")</x:f>
        <x:v>103.68151602492628</x:v>
      </x:c>
      <x:c r="P2001" s="4" t="n">
        <x:f>IF(AND('계산 과정'!$L$7,O2001&lt;&gt;0),('계산 과정'!$L$23-'계산 과정'!$C$49*D2001-'계산 과정'!$D$49*E2001)/O2001,"")</x:f>
        <x:v>4.857968279551729</x:v>
      </x:c>
      <x:c r="Q2001" s="4" t="str">
        <x:f>IF(AND(ISNUMBER(P2001),P2001&gt;1E-9,P2001&lt;1-1E-9),'계산 과정'!$C$47*(D2001-'계산 과정'!$C$50+P2001*('계산 과정'!$C$32-D2001))+'계산 과정'!$D$47*(E2001-'계산 과정'!$D$50+P2001*('계산 과정'!$D$32-E2001))+'계산 과정'!$E$47*(0-'계산 과정'!$E$50+P2001*('계산 과정'!$E$32-0)),"")</x:f>
      </x:c>
      <x:c r="R2001" s="4" t="str">
        <x:f>IF(AND(ISNUMBER(P2001),P2001&gt;1E-9,P2001&lt;1-1E-9),'계산 과정'!$C$48*(D2001-'계산 과정'!$C$50+P2001*('계산 과정'!$C$32-D2001))+'계산 과정'!$D$48*(E2001-'계산 과정'!$D$50+P2001*('계산 과정'!$D$32-E2001))+'계산 과정'!$E$48*(0-'계산 과정'!$E$50+P2001*('계산 과정'!$E$32-0)),"")</x:f>
      </x:c>
      <x:c r="S2001" s="17" t="n">
        <x:f>IF('계산 과정'!$C$78,IF(AND(ISNUMBER(Q2001),ISNUMBER(R2001),ABS(Q2001-'계산 과정'!$C$88)&lt;='계산 과정'!$D$23/2,ABS(R2001-'계산 과정'!$C$89)&lt;='계산 과정'!$D$24/2),1,0),"")</x:f>
        <x:v>0</x:v>
      </x:c>
      <x:c r="T2001" s="4"/>
      <x:c r="U2001" s="4"/>
      <x:c r="V2001" s="4"/>
      <x:c r="W2001" s="4"/>
      <x:c r="X2001" s="4"/>
      <x:c r="Y2001" s="4"/>
      <x:c r="Z2001" s="4"/>
    </x:row>
    <x:row r="2002" ht="23" customHeight="1">
      <x:c r="A2002" s="17" t="n">
        <x:f>ROW()-6</x:f>
        <x:v>1996</x:v>
      </x:c>
      <x:c r="B2002" s="4" t="n">
        <x:f>IF('계산 과정'!$L$5,'계산 과정'!$L$11*SQRT((A2002+0.5)/'계산 과정'!$L$30),"")</x:f>
        <x:v>148.10200573105854</x:v>
      </x:c>
      <x:c r="C2002" s="4" t="n">
        <x:f>A2002*PI()*(3-SQRT(5))</x:f>
        <x:v>4790.326606538391</x:v>
      </x:c>
      <x:c r="D2002" s="4" t="n">
        <x:f>IF('계산 과정'!$L$5,B2002*COS(C2002),"")</x:f>
        <x:v>-122.0504133300221</x:v>
      </x:c>
      <x:c r="E2002" s="4" t="n">
        <x:f>IF('계산 과정'!$L$5,B2002*SIN(C2002),"")</x:f>
        <x:v>83.89219694067656</x:v>
      </x:c>
      <x:c r="F2002" s="4" t="n">
        <x:f>IF('계산 과정'!$L$7,'계산 과정'!$L$22+'계산 과정'!$C$49*D2002+'계산 과정'!$D$49*E2002,"")</x:f>
        <x:v>736.3026749122796</x:v>
      </x:c>
      <x:c r="G2002" s="4" t="n">
        <x:f>IF('계산 과정'!$L$7,IF(ABS(F2002)&gt;=1E-12*MAX(1,SQRT((D2002-'계산 과정'!$C$33)^2+(E2002-'계산 과정'!$D$33)^2+'계산 과정'!$E$33^2)),('계산 과정'!$L$23-'계산 과정'!$C$49*D2002-'계산 과정'!$D$49*E2002)/F2002,""),"")</x:f>
        <x:v>0.42604398405192967</x:v>
      </x:c>
      <x:c r="H2002" s="4" t="n">
        <x:f>IF(AND(ISNUMBER(G2002),G2002&gt;0),('계산 과정'!$D$56+'계산 과정'!$D$57*D2002+'계산 과정'!$D$58*E2002)/F2002,"")</x:f>
        <x:v>-123.07141036624587</x:v>
      </x:c>
      <x:c r="I2002" s="4" t="n">
        <x:f>IF(AND(ISNUMBER(G2002),G2002&gt;0),('계산 과정'!$E$56+'계산 과정'!$E$57*D2002+'계산 과정'!$E$58*E2002)/F2002,"")</x:f>
        <x:v>119.6339627561515</x:v>
      </x:c>
      <x:c r="J2002" s="4" t="n">
        <x:f>IF('계산 과정'!$L$5,'계산 과정'!$D$6+'계산 과정'!$C$35*D2002+'계산 과정'!$D$35*E2002,"")</x:f>
        <x:v>736.3026749122796</x:v>
      </x:c>
      <x:c r="K2002" s="4" t="n">
        <x:f>IF(AND('계산 과정'!$L$6,J2002&gt;0),'계산 과정'!$D$10*('계산 과정'!$C$38*(D2002-'계산 과정'!$C$32)+'계산 과정'!$D$38*(E2002-'계산 과정'!$D$32)-'계산 과정'!$E$38*'계산 과정'!$E$32)/J2002,"")</x:f>
        <x:v>-0.9376869361237775</x:v>
      </x:c>
      <x:c r="L2002" s="4" t="n">
        <x:f>IF(AND('계산 과정'!$L$6,J2002&gt;0),'계산 과정'!$D$10*('계산 과정'!$C$39*(D2002-'계산 과정'!$C$32)+'계산 과정'!$D$39*(E2002-'계산 과정'!$D$32)-'계산 과정'!$E$39*'계산 과정'!$E$32)/J2002,"")</x:f>
        <x:v>0.9114968590944876</x:v>
      </x:c>
      <x:c r="M2002" s="17" t="n">
        <x:f>IF('계산 과정'!$L$6,IF(J2002&lt;=0,0,IF(AND(ABS(K2002)&lt;='계산 과정'!$D$11/2,ABS(L2002)&lt;='계산 과정'!$D$12/2),1,0)),"")</x:f>
        <x:v>1</x:v>
      </x:c>
      <x:c r="N2002" s="17" t="n">
        <x:f>IF('계산 과정'!$C$78,IF(AND(ISNUMBER(H2002),ISNUMBER(I2002),ABS(H2002-'계산 과정'!$C$88)&lt;='계산 과정'!$D$23/2,ABS(I2002-'계산 과정'!$C$89)&lt;='계산 과정'!$D$24/2),1,0),"")</x:f>
        <x:v>1</x:v>
      </x:c>
      <x:c r="O2002" s="4" t="n">
        <x:f>IF('계산 과정'!$L$7,'계산 과정'!$C$49*('계산 과정'!$C$32-D2002)+'계산 과정'!$D$49*('계산 과정'!$D$32-E2002)+'계산 과정'!$E$49*'계산 과정'!$E$32,"")</x:f>
        <x:v>-86.30267491227954</x:v>
      </x:c>
      <x:c r="P2002" s="4" t="n">
        <x:f>IF(AND('계산 과정'!$L$7,O2002&lt;&gt;0),('계산 과정'!$L$23-'계산 과정'!$C$49*D2002-'계산 과정'!$D$49*E2002)/O2002,"")</x:f>
        <x:v>-3.6348505467133103</x:v>
      </x:c>
      <x:c r="Q2002" s="4" t="str">
        <x:f>IF(AND(ISNUMBER(P2002),P2002&gt;1E-9,P2002&lt;1-1E-9),'계산 과정'!$C$47*(D2002-'계산 과정'!$C$50+P2002*('계산 과정'!$C$32-D2002))+'계산 과정'!$D$47*(E2002-'계산 과정'!$D$50+P2002*('계산 과정'!$D$32-E2002))+'계산 과정'!$E$47*(0-'계산 과정'!$E$50+P2002*('계산 과정'!$E$32-0)),"")</x:f>
      </x:c>
      <x:c r="R2002" s="4" t="str">
        <x:f>IF(AND(ISNUMBER(P2002),P2002&gt;1E-9,P2002&lt;1-1E-9),'계산 과정'!$C$48*(D2002-'계산 과정'!$C$50+P2002*('계산 과정'!$C$32-D2002))+'계산 과정'!$D$48*(E2002-'계산 과정'!$D$50+P2002*('계산 과정'!$D$32-E2002))+'계산 과정'!$E$48*(0-'계산 과정'!$E$50+P2002*('계산 과정'!$E$32-0)),"")</x:f>
      </x:c>
      <x:c r="S2002" s="17" t="n">
        <x:f>IF('계산 과정'!$C$78,IF(AND(ISNUMBER(Q2002),ISNUMBER(R2002),ABS(Q2002-'계산 과정'!$C$88)&lt;='계산 과정'!$D$23/2,ABS(R2002-'계산 과정'!$C$89)&lt;='계산 과정'!$D$24/2),1,0),"")</x:f>
        <x:v>0</x:v>
      </x:c>
      <x:c r="T2002" s="4"/>
      <x:c r="U2002" s="4"/>
      <x:c r="V2002" s="4"/>
      <x:c r="W2002" s="4"/>
      <x:c r="X2002" s="4"/>
      <x:c r="Y2002" s="4"/>
      <x:c r="Z2002" s="4"/>
    </x:row>
    <x:row r="2003" ht="23" customHeight="1">
      <x:c r="A2003" s="17" t="n">
        <x:f>ROW()-6</x:f>
        <x:v>1997</x:v>
      </x:c>
      <x:c r="B2003" s="4" t="n">
        <x:f>IF('계산 과정'!$L$5,'계산 과정'!$L$11*SQRT((A2003+0.5)/'계산 과정'!$L$30),"")</x:f>
        <x:v>148.13909149744202</x:v>
      </x:c>
      <x:c r="C2003" s="4" t="n">
        <x:f>A2003*PI()*(3-SQRT(5))</x:f>
        <x:v>4792.7265697681205</x:v>
      </x:c>
      <x:c r="D2003" s="4" t="n">
        <x:f>IF('계산 과정'!$L$5,B2003*COS(C2003),"")</x:f>
        <x:v>33.33615706299498</x:v>
      </x:c>
      <x:c r="E2003" s="4" t="n">
        <x:f>IF('계산 과정'!$L$5,B2003*SIN(C2003),"")</x:f>
        <x:v>-144.33949931310843</x:v>
      </x:c>
      <x:c r="F2003" s="4" t="n">
        <x:f>IF('계산 과정'!$L$7,'계산 과정'!$L$22+'계산 과정'!$C$49*D2003+'계산 과정'!$D$49*E2003,"")</x:f>
        <x:v>626.4277772820565</x:v>
      </x:c>
      <x:c r="G2003" s="4" t="n">
        <x:f>IF('계산 과정'!$L$7,IF(ABS(F2003)&gt;=1E-12*MAX(1,SQRT((D2003-'계산 과정'!$C$33)^2+(E2003-'계산 과정'!$D$33)^2+'계산 과정'!$E$33^2)),('계산 과정'!$L$23-'계산 과정'!$C$49*D2003-'계산 과정'!$D$49*E2003)/F2003,""),"")</x:f>
        <x:v>0.6761708820699776</x:v>
      </x:c>
      <x:c r="H2003" s="4" t="n">
        <x:f>IF(AND(ISNUMBER(G2003),G2003&gt;0),('계산 과정'!$D$56+'계산 과정'!$D$57*D2003+'계산 과정'!$D$58*E2003)/F2003,"")</x:f>
        <x:v>39.51107334548533</x:v>
      </x:c>
      <x:c r="I2003" s="4" t="n">
        <x:f>IF(AND(ISNUMBER(G2003),G2003&gt;0),('계산 과정'!$E$56+'계산 과정'!$E$57*D2003+'계산 과정'!$E$58*E2003)/F2003,"")</x:f>
        <x:v>-241.9376658811919</x:v>
      </x:c>
      <x:c r="J2003" s="4" t="n">
        <x:f>IF('계산 과정'!$L$5,'계산 과정'!$D$6+'계산 과정'!$C$35*D2003+'계산 과정'!$D$35*E2003,"")</x:f>
        <x:v>626.4277772820565</x:v>
      </x:c>
      <x:c r="K2003" s="4" t="n">
        <x:f>IF(AND('계산 과정'!$L$6,J2003&gt;0),'계산 과정'!$D$10*('계산 과정'!$C$38*(D2003-'계산 과정'!$C$32)+'계산 과정'!$D$38*(E2003-'계산 과정'!$D$32)-'계산 과정'!$E$38*'계산 과정'!$E$32)/J2003,"")</x:f>
        <x:v>0.3010367492989369</x:v>
      </x:c>
      <x:c r="L2003" s="4" t="n">
        <x:f>IF(AND('계산 과정'!$L$6,J2003&gt;0),'계산 과정'!$D$10*('계산 과정'!$C$39*(D2003-'계산 과정'!$C$32)+'계산 과정'!$D$39*(E2003-'계산 과정'!$D$32)-'계산 과정'!$E$39*'계산 과정'!$E$32)/J2003,"")</x:f>
        <x:v>-1.8433345971900332</x:v>
      </x:c>
      <x:c r="M2003" s="17" t="n">
        <x:f>IF('계산 과정'!$L$6,IF(J2003&lt;=0,0,IF(AND(ABS(K2003)&lt;='계산 과정'!$D$11/2,ABS(L2003)&lt;='계산 과정'!$D$12/2),1,0)),"")</x:f>
        <x:v>1</x:v>
      </x:c>
      <x:c r="N2003" s="17" t="n">
        <x:f>IF('계산 과정'!$C$78,IF(AND(ISNUMBER(H2003),ISNUMBER(I2003),ABS(H2003-'계산 과정'!$C$88)&lt;='계산 과정'!$D$23/2,ABS(I2003-'계산 과정'!$C$89)&lt;='계산 과정'!$D$24/2),1,0),"")</x:f>
        <x:v>1</x:v>
      </x:c>
      <x:c r="O2003" s="4" t="n">
        <x:f>IF('계산 과정'!$L$7,'계산 과정'!$C$49*('계산 과정'!$C$32-D2003)+'계산 과정'!$D$49*('계산 과정'!$D$32-E2003)+'계산 과정'!$E$49*'계산 과정'!$E$32,"")</x:f>
        <x:v>23.572222717943703</x:v>
      </x:c>
      <x:c r="P2003" s="4" t="n">
        <x:f>IF(AND('계산 과정'!$L$7,O2003&lt;&gt;0),('계산 과정'!$L$23-'계산 과정'!$C$49*D2003-'계산 과정'!$D$49*E2003)/O2003,"")</x:f>
        <x:v>17.969125261807022</x:v>
      </x:c>
      <x:c r="Q2003" s="4" t="str">
        <x:f>IF(AND(ISNUMBER(P2003),P2003&gt;1E-9,P2003&lt;1-1E-9),'계산 과정'!$C$47*(D2003-'계산 과정'!$C$50+P2003*('계산 과정'!$C$32-D2003))+'계산 과정'!$D$47*(E2003-'계산 과정'!$D$50+P2003*('계산 과정'!$D$32-E2003))+'계산 과정'!$E$47*(0-'계산 과정'!$E$50+P2003*('계산 과정'!$E$32-0)),"")</x:f>
      </x:c>
      <x:c r="R2003" s="4" t="str">
        <x:f>IF(AND(ISNUMBER(P2003),P2003&gt;1E-9,P2003&lt;1-1E-9),'계산 과정'!$C$48*(D2003-'계산 과정'!$C$50+P2003*('계산 과정'!$C$32-D2003))+'계산 과정'!$D$48*(E2003-'계산 과정'!$D$50+P2003*('계산 과정'!$D$32-E2003))+'계산 과정'!$E$48*(0-'계산 과정'!$E$50+P2003*('계산 과정'!$E$32-0)),"")</x:f>
      </x:c>
      <x:c r="S2003" s="17" t="n">
        <x:f>IF('계산 과정'!$C$78,IF(AND(ISNUMBER(Q2003),ISNUMBER(R2003),ABS(Q2003-'계산 과정'!$C$88)&lt;='계산 과정'!$D$23/2,ABS(R2003-'계산 과정'!$C$89)&lt;='계산 과정'!$D$24/2),1,0),"")</x:f>
        <x:v>0</x:v>
      </x:c>
      <x:c r="T2003" s="4"/>
      <x:c r="U2003" s="4"/>
      <x:c r="V2003" s="4"/>
      <x:c r="W2003" s="4"/>
      <x:c r="X2003" s="4"/>
      <x:c r="Y2003" s="4"/>
      <x:c r="Z2003" s="4"/>
    </x:row>
    <x:row r="2004" ht="23" customHeight="1">
      <x:c r="A2004" s="17" t="n">
        <x:f>ROW()-6</x:f>
        <x:v>1998</x:v>
      </x:c>
      <x:c r="B2004" s="4" t="n">
        <x:f>IF('계산 과정'!$L$5,'계산 과정'!$L$11*SQRT((A2004+0.5)/'계산 과정'!$L$30),"")</x:f>
        <x:v>148.17616798194135</x:v>
      </x:c>
      <x:c r="C2004" s="4" t="n">
        <x:f>A2004*PI()*(3-SQRT(5))</x:f>
        <x:v>4795.126532997849</x:v>
      </x:c>
      <x:c r="D2004" s="4" t="n">
        <x:f>IF('계산 과정'!$L$5,B2004*COS(C2004),"")</x:f>
        <x:v>72.93713638500111</x:v>
      </x:c>
      <x:c r="E2004" s="4" t="n">
        <x:f>IF('계산 과정'!$L$5,B2004*SIN(C2004),"")</x:f>
        <x:v>128.98197894965114</x:v>
      </x:c>
      <x:c r="F2004" s="4" t="n">
        <x:f>IF('계산 과정'!$L$7,'계산 과정'!$L$22+'계산 과정'!$C$49*D2004+'계산 과정'!$D$49*E2004,"")</x:f>
        <x:v>598.4256562618376</x:v>
      </x:c>
      <x:c r="G2004" s="4" t="n">
        <x:f>IF('계산 과정'!$L$7,IF(ABS(F2004)&gt;=1E-12*MAX(1,SQRT((D2004-'계산 과정'!$C$33)^2+(E2004-'계산 과정'!$D$33)^2+'계산 과정'!$E$33^2)),('계산 과정'!$L$23-'계산 과정'!$C$49*D2004-'계산 과정'!$D$49*E2004)/F2004,""),"")</x:f>
        <x:v>0.7546039161472359</x:v>
      </x:c>
      <x:c r="H2004" s="4" t="n">
        <x:f>IF(AND(ISNUMBER(G2004),G2004&gt;0),('계산 과정'!$D$56+'계산 과정'!$D$57*D2004+'계산 과정'!$D$58*E2004)/F2004,"")</x:f>
        <x:v>90.49254549570325</x:v>
      </x:c>
      <x:c r="I2004" s="4" t="n">
        <x:f>IF(AND(ISNUMBER(G2004),G2004&gt;0),('계산 과정'!$E$56+'계산 과정'!$E$57*D2004+'계산 과정'!$E$58*E2004)/F2004,"")</x:f>
        <x:v>226.31228537747822</x:v>
      </x:c>
      <x:c r="J2004" s="4" t="n">
        <x:f>IF('계산 과정'!$L$5,'계산 과정'!$D$6+'계산 과정'!$C$35*D2004+'계산 과정'!$D$35*E2004,"")</x:f>
        <x:v>598.4256562618376</x:v>
      </x:c>
      <x:c r="K2004" s="4" t="n">
        <x:f>IF(AND('계산 과정'!$L$6,J2004&gt;0),'계산 과정'!$D$10*('계산 과정'!$C$38*(D2004-'계산 과정'!$C$32)+'계산 과정'!$D$38*(E2004-'계산 과정'!$D$32)-'계산 과정'!$E$38*'계산 과정'!$E$32)/J2004,"")</x:f>
        <x:v>0.6894670133005973</x:v>
      </x:c>
      <x:c r="L2004" s="4" t="n">
        <x:f>IF(AND('계산 과정'!$L$6,J2004&gt;0),'계산 과정'!$D$10*('계산 과정'!$C$39*(D2004-'계산 과정'!$C$32)+'계산 과정'!$D$39*(E2004-'계산 과정'!$D$32)-'계산 과정'!$E$39*'계산 과정'!$E$32)/J2004,"")</x:f>
        <x:v>1.7242840790665008</x:v>
      </x:c>
      <x:c r="M2004" s="17" t="n">
        <x:f>IF('계산 과정'!$L$6,IF(J2004&lt;=0,0,IF(AND(ABS(K2004)&lt;='계산 과정'!$D$11/2,ABS(L2004)&lt;='계산 과정'!$D$12/2),1,0)),"")</x:f>
        <x:v>1</x:v>
      </x:c>
      <x:c r="N2004" s="17" t="n">
        <x:f>IF('계산 과정'!$C$78,IF(AND(ISNUMBER(H2004),ISNUMBER(I2004),ABS(H2004-'계산 과정'!$C$88)&lt;='계산 과정'!$D$23/2,ABS(I2004-'계산 과정'!$C$89)&lt;='계산 과정'!$D$24/2),1,0),"")</x:f>
        <x:v>1</x:v>
      </x:c>
      <x:c r="O2004" s="4" t="n">
        <x:f>IF('계산 과정'!$L$7,'계산 과정'!$C$49*('계산 과정'!$C$32-D2004)+'계산 과정'!$D$49*('계산 과정'!$D$32-E2004)+'계산 과정'!$E$49*'계산 과정'!$E$32,"")</x:f>
        <x:v>51.57434373816244</x:v>
      </x:c>
      <x:c r="P2004" s="4" t="n">
        <x:f>IF(AND('계산 과정'!$L$7,O2004&lt;&gt;0),('계산 과정'!$L$23-'계산 과정'!$C$49*D2004-'계산 과정'!$D$49*E2004)/O2004,"")</x:f>
        <x:v>8.755794276913306</x:v>
      </x:c>
      <x:c r="Q2004" s="4" t="str">
        <x:f>IF(AND(ISNUMBER(P2004),P2004&gt;1E-9,P2004&lt;1-1E-9),'계산 과정'!$C$47*(D2004-'계산 과정'!$C$50+P2004*('계산 과정'!$C$32-D2004))+'계산 과정'!$D$47*(E2004-'계산 과정'!$D$50+P2004*('계산 과정'!$D$32-E2004))+'계산 과정'!$E$47*(0-'계산 과정'!$E$50+P2004*('계산 과정'!$E$32-0)),"")</x:f>
      </x:c>
      <x:c r="R2004" s="4" t="str">
        <x:f>IF(AND(ISNUMBER(P2004),P2004&gt;1E-9,P2004&lt;1-1E-9),'계산 과정'!$C$48*(D2004-'계산 과정'!$C$50+P2004*('계산 과정'!$C$32-D2004))+'계산 과정'!$D$48*(E2004-'계산 과정'!$D$50+P2004*('계산 과정'!$D$32-E2004))+'계산 과정'!$E$48*(0-'계산 과정'!$E$50+P2004*('계산 과정'!$E$32-0)),"")</x:f>
      </x:c>
      <x:c r="S2004" s="17" t="n">
        <x:f>IF('계산 과정'!$C$78,IF(AND(ISNUMBER(Q2004),ISNUMBER(R2004),ABS(Q2004-'계산 과정'!$C$88)&lt;='계산 과정'!$D$23/2,ABS(R2004-'계산 과정'!$C$89)&lt;='계산 과정'!$D$24/2),1,0),"")</x:f>
        <x:v>0</x:v>
      </x:c>
      <x:c r="T2004" s="4"/>
      <x:c r="U2004" s="4"/>
      <x:c r="V2004" s="4"/>
      <x:c r="W2004" s="4"/>
      <x:c r="X2004" s="4"/>
      <x:c r="Y2004" s="4"/>
      <x:c r="Z2004" s="4"/>
    </x:row>
    <x:row r="2005" ht="23" customHeight="1">
      <x:c r="A2005" s="17" t="n">
        <x:f>ROW()-6</x:f>
        <x:v>1999</x:v>
      </x:c>
      <x:c r="B2005" s="4" t="n">
        <x:f>IF('계산 과정'!$L$5,'계산 과정'!$L$11*SQRT((A2005+0.5)/'계산 과정'!$L$30),"")</x:f>
        <x:v>148.2132351915223</x:v>
      </x:c>
      <x:c r="C2005" s="4" t="n">
        <x:f>A2005*PI()*(3-SQRT(5))</x:f>
        <x:v>4797.526496227577</x:v>
      </x:c>
      <x:c r="D2005" s="4" t="n">
        <x:f>IF('계산 과정'!$L$5,B2005*COS(C2005),"")</x:f>
        <x:v>-140.94289828508406</x:v>
      </x:c>
      <x:c r="E2005" s="4" t="n">
        <x:f>IF('계산 과정'!$L$5,B2005*SIN(C2005),"")</x:f>
        <x:v>-45.85043630041002</x:v>
      </x:c>
      <x:c r="F2005" s="4" t="n">
        <x:f>IF('계산 과정'!$L$7,'계산 과정'!$L$22+'계산 과정'!$C$49*D2005+'계산 과정'!$D$49*E2005,"")</x:f>
        <x:v>749.6616791374688</x:v>
      </x:c>
      <x:c r="G2005" s="4" t="n">
        <x:f>IF('계산 과정'!$L$7,IF(ABS(F2005)&gt;=1E-12*MAX(1,SQRT((D2005-'계산 과정'!$C$33)^2+(E2005-'계산 과정'!$D$33)^2+'계산 과정'!$E$33^2)),('계산 과정'!$L$23-'계산 과정'!$C$49*D2005-'계산 과정'!$D$49*E2005)/F2005,""),"")</x:f>
        <x:v>0.4006318172860172</x:v>
      </x:c>
      <x:c r="H2005" s="4" t="n">
        <x:f>IF(AND(ISNUMBER(G2005),G2005&gt;0),('계산 과정'!$D$56+'계산 과정'!$D$57*D2005+'계산 과정'!$D$58*E2005)/F2005,"")</x:f>
        <x:v>-139.58931876408894</x:v>
      </x:c>
      <x:c r="I2005" s="4" t="n">
        <x:f>IF(AND(ISNUMBER(G2005),G2005&gt;0),('계산 과정'!$E$56+'계산 과정'!$E$57*D2005+'계산 과정'!$E$58*E2005)/F2005,"")</x:f>
        <x:v>-64.21957991880005</x:v>
      </x:c>
      <x:c r="J2005" s="4" t="n">
        <x:f>IF('계산 과정'!$L$5,'계산 과정'!$D$6+'계산 과정'!$C$35*D2005+'계산 과정'!$D$35*E2005,"")</x:f>
        <x:v>749.6616791374688</x:v>
      </x:c>
      <x:c r="K2005" s="4" t="n">
        <x:f>IF(AND('계산 과정'!$L$6,J2005&gt;0),'계산 과정'!$D$10*('계산 과정'!$C$38*(D2005-'계산 과정'!$C$32)+'계산 과정'!$D$38*(E2005-'계산 과정'!$D$32)-'계산 과정'!$E$38*'계산 과정'!$E$32)/J2005,"")</x:f>
        <x:v>-1.06353766677401</x:v>
      </x:c>
      <x:c r="L2005" s="4" t="n">
        <x:f>IF(AND('계산 과정'!$L$6,J2005&gt;0),'계산 과정'!$D$10*('계산 과정'!$C$39*(D2005-'계산 과정'!$C$32)+'계산 과정'!$D$39*(E2005-'계산 과정'!$D$32)-'계산 과정'!$E$39*'계산 과정'!$E$32)/J2005,"")</x:f>
        <x:v>-0.4892920374765718</x:v>
      </x:c>
      <x:c r="M2005" s="17" t="n">
        <x:f>IF('계산 과정'!$L$6,IF(J2005&lt;=0,0,IF(AND(ABS(K2005)&lt;='계산 과정'!$D$11/2,ABS(L2005)&lt;='계산 과정'!$D$12/2),1,0)),"")</x:f>
        <x:v>1</x:v>
      </x:c>
      <x:c r="N2005" s="17" t="n">
        <x:f>IF('계산 과정'!$C$78,IF(AND(ISNUMBER(H2005),ISNUMBER(I2005),ABS(H2005-'계산 과정'!$C$88)&lt;='계산 과정'!$D$23/2,ABS(I2005-'계산 과정'!$C$89)&lt;='계산 과정'!$D$24/2),1,0),"")</x:f>
        <x:v>1</x:v>
      </x:c>
      <x:c r="O2005" s="4" t="n">
        <x:f>IF('계산 과정'!$L$7,'계산 과정'!$C$49*('계산 과정'!$C$32-D2005)+'계산 과정'!$D$49*('계산 과정'!$D$32-E2005)+'계산 과정'!$E$49*'계산 과정'!$E$32,"")</x:f>
        <x:v>-99.66167913746864</x:v>
      </x:c>
      <x:c r="P2005" s="4" t="n">
        <x:f>IF(AND('계산 과정'!$L$7,O2005&lt;&gt;0),('계산 과정'!$L$23-'계산 과정'!$C$49*D2005-'계산 과정'!$D$49*E2005)/O2005,"")</x:f>
        <x:v>-3.01357877432768</x:v>
      </x:c>
      <x:c r="Q2005" s="4" t="str">
        <x:f>IF(AND(ISNUMBER(P2005),P2005&gt;1E-9,P2005&lt;1-1E-9),'계산 과정'!$C$47*(D2005-'계산 과정'!$C$50+P2005*('계산 과정'!$C$32-D2005))+'계산 과정'!$D$47*(E2005-'계산 과정'!$D$50+P2005*('계산 과정'!$D$32-E2005))+'계산 과정'!$E$47*(0-'계산 과정'!$E$50+P2005*('계산 과정'!$E$32-0)),"")</x:f>
      </x:c>
      <x:c r="R2005" s="4" t="str">
        <x:f>IF(AND(ISNUMBER(P2005),P2005&gt;1E-9,P2005&lt;1-1E-9),'계산 과정'!$C$48*(D2005-'계산 과정'!$C$50+P2005*('계산 과정'!$C$32-D2005))+'계산 과정'!$D$48*(E2005-'계산 과정'!$D$50+P2005*('계산 과정'!$D$32-E2005))+'계산 과정'!$E$48*(0-'계산 과정'!$E$50+P2005*('계산 과정'!$E$32-0)),"")</x:f>
      </x:c>
      <x:c r="S2005" s="17" t="n">
        <x:f>IF('계산 과정'!$C$78,IF(AND(ISNUMBER(Q2005),ISNUMBER(R2005),ABS(Q2005-'계산 과정'!$C$88)&lt;='계산 과정'!$D$23/2,ABS(R2005-'계산 과정'!$C$89)&lt;='계산 과정'!$D$24/2),1,0),"")</x:f>
        <x:v>0</x:v>
      </x:c>
      <x:c r="T2005" s="4"/>
      <x:c r="U2005" s="4"/>
      <x:c r="V2005" s="4"/>
      <x:c r="W2005" s="4"/>
      <x:c r="X2005" s="4"/>
      <x:c r="Y2005" s="4"/>
      <x:c r="Z2005" s="4"/>
    </x:row>
    <x:row r="2006" ht="23" customHeight="1">
      <x:c r="A2006" s="17" t="n">
        <x:f>ROW()-6</x:f>
        <x:v>2000</x:v>
      </x:c>
      <x:c r="B2006" s="4" t="n">
        <x:f>IF('계산 과정'!$L$5,'계산 과정'!$L$11*SQRT((A2006+0.5)/'계산 과정'!$L$30),"")</x:f>
        <x:v>148.2502931331419</x:v>
      </x:c>
      <x:c r="C2006" s="4" t="n">
        <x:f>A2006*PI()*(3-SQRT(5))</x:f>
        <x:v>4799.926459457305</x:v>
      </x:c>
      <x:c r="D2006" s="4" t="n">
        <x:f>IF('계산 과정'!$L$5,B2006*COS(C2006),"")</x:f>
        <x:v>134.93216031463717</x:v>
      </x:c>
      <x:c r="E2006" s="4" t="n">
        <x:f>IF('계산 과정'!$L$5,B2006*SIN(C2006),"")</x:f>
        <x:v>-61.41222620038741</x:v>
      </x:c>
      <x:c r="F2006" s="4" t="n">
        <x:f>IF('계산 과정'!$L$7,'계산 과정'!$L$22+'계산 과정'!$C$49*D2006+'계산 과정'!$D$49*E2006,"")</x:f>
        <x:v>554.5885544413698</x:v>
      </x:c>
      <x:c r="G2006" s="4" t="n">
        <x:f>IF('계산 과정'!$L$7,IF(ABS(F2006)&gt;=1E-12*MAX(1,SQRT((D2006-'계산 과정'!$C$33)^2+(E2006-'계산 과정'!$D$33)^2+'계산 과정'!$E$33^2)),('계산 과정'!$L$23-'계산 과정'!$C$49*D2006-'계산 과정'!$D$49*E2006)/F2006,""),"")</x:f>
        <x:v>0.8932954738989379</x:v>
      </x:c>
      <x:c r="H2006" s="4" t="n">
        <x:f>IF(AND(ISNUMBER(G2006),G2006&gt;0),('계산 과정'!$D$56+'계산 과정'!$D$57*D2006+'계산 과정'!$D$58*E2006)/F2006,"")</x:f>
        <x:v>180.64205803430957</x:v>
      </x:c>
      <x:c r="I2006" s="4" t="n">
        <x:f>IF(AND(ISNUMBER(G2006),G2006&gt;0),('계산 과정'!$E$56+'계산 과정'!$E$57*D2006+'계산 과정'!$E$58*E2006)/F2006,"")</x:f>
        <x:v>-116.27148990725125</x:v>
      </x:c>
      <x:c r="J2006" s="4" t="n">
        <x:f>IF('계산 과정'!$L$5,'계산 과정'!$D$6+'계산 과정'!$C$35*D2006+'계산 과정'!$D$35*E2006,"")</x:f>
        <x:v>554.5885544413698</x:v>
      </x:c>
      <x:c r="K2006" s="4" t="n">
        <x:f>IF(AND('계산 과정'!$L$6,J2006&gt;0),'계산 과정'!$D$10*('계산 과정'!$C$38*(D2006-'계산 과정'!$C$32)+'계산 과정'!$D$38*(E2006-'계산 과정'!$D$32)-'계산 과정'!$E$38*'계산 과정'!$E$32)/J2006,"")</x:f>
        <x:v>1.3763204421661688</x:v>
      </x:c>
      <x:c r="L2006" s="4" t="n">
        <x:f>IF(AND('계산 과정'!$L$6,J2006&gt;0),'계산 과정'!$D$10*('계산 과정'!$C$39*(D2006-'계산 과정'!$C$32)+'계산 과정'!$D$39*(E2006-'계산 과정'!$D$32)-'계산 과정'!$E$39*'계산 과정'!$E$32)/J2006,"")</x:f>
        <x:v>-0.8858780183409618</x:v>
      </x:c>
      <x:c r="M2006" s="17" t="n">
        <x:f>IF('계산 과정'!$L$6,IF(J2006&lt;=0,0,IF(AND(ABS(K2006)&lt;='계산 과정'!$D$11/2,ABS(L2006)&lt;='계산 과정'!$D$12/2),1,0)),"")</x:f>
        <x:v>1</x:v>
      </x:c>
      <x:c r="N2006" s="17" t="n">
        <x:f>IF('계산 과정'!$C$78,IF(AND(ISNUMBER(H2006),ISNUMBER(I2006),ABS(H2006-'계산 과정'!$C$88)&lt;='계산 과정'!$D$23/2,ABS(I2006-'계산 과정'!$C$89)&lt;='계산 과정'!$D$24/2),1,0),"")</x:f>
        <x:v>1</x:v>
      </x:c>
      <x:c r="O2006" s="4" t="n">
        <x:f>IF('계산 과정'!$L$7,'계산 과정'!$C$49*('계산 과정'!$C$32-D2006)+'계산 과정'!$D$49*('계산 과정'!$D$32-E2006)+'계산 과정'!$E$49*'계산 과정'!$E$32,"")</x:f>
        <x:v>95.41144555863039</x:v>
      </x:c>
      <x:c r="P2006" s="4" t="n">
        <x:f>IF(AND('계산 과정'!$L$7,O2006&lt;&gt;0),('계산 과정'!$L$23-'계산 과정'!$C$49*D2006-'계산 과정'!$D$49*E2006)/O2006,"")</x:f>
        <x:v>5.192369140389972</x:v>
      </x:c>
      <x:c r="Q2006" s="4" t="str">
        <x:f>IF(AND(ISNUMBER(P2006),P2006&gt;1E-9,P2006&lt;1-1E-9),'계산 과정'!$C$47*(D2006-'계산 과정'!$C$50+P2006*('계산 과정'!$C$32-D2006))+'계산 과정'!$D$47*(E2006-'계산 과정'!$D$50+P2006*('계산 과정'!$D$32-E2006))+'계산 과정'!$E$47*(0-'계산 과정'!$E$50+P2006*('계산 과정'!$E$32-0)),"")</x:f>
      </x:c>
      <x:c r="R2006" s="4" t="str">
        <x:f>IF(AND(ISNUMBER(P2006),P2006&gt;1E-9,P2006&lt;1-1E-9),'계산 과정'!$C$48*(D2006-'계산 과정'!$C$50+P2006*('계산 과정'!$C$32-D2006))+'계산 과정'!$D$48*(E2006-'계산 과정'!$D$50+P2006*('계산 과정'!$D$32-E2006))+'계산 과정'!$E$48*(0-'계산 과정'!$E$50+P2006*('계산 과정'!$E$32-0)),"")</x:f>
      </x:c>
      <x:c r="S2006" s="17" t="n">
        <x:f>IF('계산 과정'!$C$78,IF(AND(ISNUMBER(Q2006),ISNUMBER(R2006),ABS(Q2006-'계산 과정'!$C$88)&lt;='계산 과정'!$D$23/2,ABS(R2006-'계산 과정'!$C$89)&lt;='계산 과정'!$D$24/2),1,0),"")</x:f>
        <x:v>0</x:v>
      </x:c>
      <x:c r="T2006" s="4"/>
      <x:c r="U2006" s="4"/>
      <x:c r="V2006" s="4"/>
      <x:c r="W2006" s="4"/>
      <x:c r="X2006" s="4"/>
      <x:c r="Y2006" s="4"/>
      <x:c r="Z2006" s="4"/>
    </x:row>
    <x:row r="2007" ht="23" customHeight="1">
      <x:c r="A2007" s="17" t="n">
        <x:f>ROW()-6</x:f>
        <x:v>2001</x:v>
      </x:c>
      <x:c r="B2007" s="4" t="n">
        <x:f>IF('계산 과정'!$L$5,'계산 과정'!$L$11*SQRT((A2007+0.5)/'계산 과정'!$L$30),"")</x:f>
        <x:v>148.28734181374855</x:v>
      </x:c>
      <x:c r="C2007" s="4" t="n">
        <x:f>A2007*PI()*(3-SQRT(5))</x:f>
        <x:v>4802.326422687034</x:v>
      </x:c>
      <x:c r="D2007" s="4" t="n">
        <x:f>IF('계산 과정'!$L$5,B2007*COS(C2007),"")</x:f>
        <x:v>-58.0259103375206</x:v>
      </x:c>
      <x:c r="E2007" s="4" t="n">
        <x:f>IF('계산 과정'!$L$5,B2007*SIN(C2007),"")</x:f>
        <x:v>136.46292343229908</x:v>
      </x:c>
      <x:c r="F2007" s="4" t="n">
        <x:f>IF('계산 과정'!$L$7,'계산 과정'!$L$22+'계산 과정'!$C$49*D2007+'계산 과정'!$D$49*E2007,"")</x:f>
        <x:v>691.0305146841833</x:v>
      </x:c>
      <x:c r="G2007" s="4" t="n">
        <x:f>IF('계산 과정'!$L$7,IF(ABS(F2007)&gt;=1E-12*MAX(1,SQRT((D2007-'계산 과정'!$C$33)^2+(E2007-'계산 과정'!$D$33)^2+'계산 과정'!$E$33^2)),('계산 과정'!$L$23-'계산 과정'!$C$49*D2007-'계산 과정'!$D$49*E2007)/F2007,""),"")</x:f>
        <x:v>0.5194698029795021</x:v>
      </x:c>
      <x:c r="H2007" s="4" t="n">
        <x:f>IF(AND(ISNUMBER(G2007),G2007&gt;0),('계산 과정'!$D$56+'계산 과정'!$D$57*D2007+'계산 과정'!$D$58*E2007)/F2007,"")</x:f>
        <x:v>-62.344628063323846</x:v>
      </x:c>
      <x:c r="I2007" s="4" t="n">
        <x:f>IF(AND(ISNUMBER(G2007),G2007&gt;0),('계산 과정'!$E$56+'계산 과정'!$E$57*D2007+'계산 과정'!$E$58*E2007)/F2007,"")</x:f>
        <x:v>207.3512913816824</x:v>
      </x:c>
      <x:c r="J2007" s="4" t="n">
        <x:f>IF('계산 과정'!$L$5,'계산 과정'!$D$6+'계산 과정'!$C$35*D2007+'계산 과정'!$D$35*E2007,"")</x:f>
        <x:v>691.0305146841833</x:v>
      </x:c>
      <x:c r="K2007" s="4" t="n">
        <x:f>IF(AND('계산 과정'!$L$6,J2007&gt;0),'계산 과정'!$D$10*('계산 과정'!$C$38*(D2007-'계산 과정'!$C$32)+'계산 과정'!$D$38*(E2007-'계산 과정'!$D$32)-'계산 과정'!$E$38*'계산 과정'!$E$32)/J2007,"")</x:f>
        <x:v>-0.475006690006276</x:v>
      </x:c>
      <x:c r="L2007" s="4" t="n">
        <x:f>IF(AND('계산 과정'!$L$6,J2007&gt;0),'계산 과정'!$D$10*('계산 과정'!$C$39*(D2007-'계산 과정'!$C$32)+'계산 과정'!$D$39*(E2007-'계산 과정'!$D$32)-'계산 과정'!$E$39*'계산 과정'!$E$32)/J2007,"")</x:f>
        <x:v>1.5798193629080561</x:v>
      </x:c>
      <x:c r="M2007" s="17" t="n">
        <x:f>IF('계산 과정'!$L$6,IF(J2007&lt;=0,0,IF(AND(ABS(K2007)&lt;='계산 과정'!$D$11/2,ABS(L2007)&lt;='계산 과정'!$D$12/2),1,0)),"")</x:f>
        <x:v>1</x:v>
      </x:c>
      <x:c r="N2007" s="17" t="n">
        <x:f>IF('계산 과정'!$C$78,IF(AND(ISNUMBER(H2007),ISNUMBER(I2007),ABS(H2007-'계산 과정'!$C$88)&lt;='계산 과정'!$D$23/2,ABS(I2007-'계산 과정'!$C$89)&lt;='계산 과정'!$D$24/2),1,0),"")</x:f>
        <x:v>1</x:v>
      </x:c>
      <x:c r="O2007" s="4" t="n">
        <x:f>IF('계산 과정'!$L$7,'계산 과정'!$C$49*('계산 과정'!$C$32-D2007)+'계산 과정'!$D$49*('계산 과정'!$D$32-E2007)+'계산 과정'!$E$49*'계산 과정'!$E$32,"")</x:f>
        <x:v>-41.03051468418329</x:v>
      </x:c>
      <x:c r="P2007" s="4" t="n">
        <x:f>IF(AND('계산 과정'!$L$7,O2007&lt;&gt;0),('계산 과정'!$L$23-'계산 과정'!$C$49*D2007-'계산 과정'!$D$49*E2007)/O2007,"")</x:f>
        <x:v>-8.748841882166165</x:v>
      </x:c>
      <x:c r="Q2007" s="4" t="str">
        <x:f>IF(AND(ISNUMBER(P2007),P2007&gt;1E-9,P2007&lt;1-1E-9),'계산 과정'!$C$47*(D2007-'계산 과정'!$C$50+P2007*('계산 과정'!$C$32-D2007))+'계산 과정'!$D$47*(E2007-'계산 과정'!$D$50+P2007*('계산 과정'!$D$32-E2007))+'계산 과정'!$E$47*(0-'계산 과정'!$E$50+P2007*('계산 과정'!$E$32-0)),"")</x:f>
      </x:c>
      <x:c r="R2007" s="4" t="str">
        <x:f>IF(AND(ISNUMBER(P2007),P2007&gt;1E-9,P2007&lt;1-1E-9),'계산 과정'!$C$48*(D2007-'계산 과정'!$C$50+P2007*('계산 과정'!$C$32-D2007))+'계산 과정'!$D$48*(E2007-'계산 과정'!$D$50+P2007*('계산 과정'!$D$32-E2007))+'계산 과정'!$E$48*(0-'계산 과정'!$E$50+P2007*('계산 과정'!$E$32-0)),"")</x:f>
      </x:c>
      <x:c r="S2007" s="17" t="n">
        <x:f>IF('계산 과정'!$C$78,IF(AND(ISNUMBER(Q2007),ISNUMBER(R2007),ABS(Q2007-'계산 과정'!$C$88)&lt;='계산 과정'!$D$23/2,ABS(R2007-'계산 과정'!$C$89)&lt;='계산 과정'!$D$24/2),1,0),"")</x:f>
        <x:v>0</x:v>
      </x:c>
      <x:c r="T2007" s="4"/>
      <x:c r="U2007" s="4"/>
      <x:c r="V2007" s="4"/>
      <x:c r="W2007" s="4"/>
      <x:c r="X2007" s="4"/>
      <x:c r="Y2007" s="4"/>
      <x:c r="Z2007" s="4"/>
    </x:row>
    <x:row r="2008" ht="23" customHeight="1">
      <x:c r="A2008" s="17" t="n">
        <x:f>ROW()-6</x:f>
        <x:v>2002</x:v>
      </x:c>
      <x:c r="B2008" s="4" t="n">
        <x:f>IF('계산 과정'!$L$5,'계산 과정'!$L$11*SQRT((A2008+0.5)/'계산 과정'!$L$30),"")</x:f>
        <x:v>148.32438124028195</x:v>
      </x:c>
      <x:c r="C2008" s="4" t="n">
        <x:f>A2008*PI()*(3-SQRT(5))</x:f>
        <x:v>4804.726385916763</x:v>
      </x:c>
      <x:c r="D2008" s="4" t="n">
        <x:f>IF('계산 과정'!$L$5,B2008*COS(C2008),"")</x:f>
        <x:v>-49.40521732487764</x:v>
      </x:c>
      <x:c r="E2008" s="4" t="n">
        <x:f>IF('계산 과정'!$L$5,B2008*SIN(C2008),"")</x:f>
        <x:v>-139.85437630404746</x:v>
      </x:c>
      <x:c r="F2008" s="4" t="n">
        <x:f>IF('계산 과정'!$L$7,'계산 과정'!$L$22+'계산 과정'!$C$49*D2008+'계산 과정'!$D$49*E2008,"")</x:f>
        <x:v>684.934764196416</x:v>
      </x:c>
      <x:c r="G2008" s="4" t="n">
        <x:f>IF('계산 과정'!$L$7,IF(ABS(F2008)&gt;=1E-12*MAX(1,SQRT((D2008-'계산 과정'!$C$33)^2+(E2008-'계산 과정'!$D$33)^2+'계산 과정'!$E$33^2)),('계산 과정'!$L$23-'계산 과정'!$C$49*D2008-'계산 과정'!$D$49*E2008)/F2008,""),"")</x:f>
        <x:v>0.532992709505537</x:v>
      </x:c>
      <x:c r="H2008" s="4" t="n">
        <x:f>IF(AND(ISNUMBER(G2008),G2008&gt;0),('계산 과정'!$D$56+'계산 과정'!$D$57*D2008+'계산 과정'!$D$58*E2008)/F2008,"")</x:f>
        <x:v>-53.55473882140104</x:v>
      </x:c>
      <x:c r="I2008" s="4" t="n">
        <x:f>IF(AND(ISNUMBER(G2008),G2008&gt;0),('계산 과정'!$E$56+'계산 과정'!$E$57*D2008+'계산 과정'!$E$58*E2008)/F2008,"")</x:f>
        <x:v>-214.3957392665487</x:v>
      </x:c>
      <x:c r="J2008" s="4" t="n">
        <x:f>IF('계산 과정'!$L$5,'계산 과정'!$D$6+'계산 과정'!$C$35*D2008+'계산 과정'!$D$35*E2008,"")</x:f>
        <x:v>684.934764196416</x:v>
      </x:c>
      <x:c r="K2008" s="4" t="n">
        <x:f>IF(AND('계산 과정'!$L$6,J2008&gt;0),'계산 과정'!$D$10*('계산 과정'!$C$38*(D2008-'계산 과정'!$C$32)+'계산 과정'!$D$38*(E2008-'계산 과정'!$D$32)-'계산 과정'!$E$38*'계산 과정'!$E$32)/J2008,"")</x:f>
        <x:v>-0.40803610530591194</x:v>
      </x:c>
      <x:c r="L2008" s="4" t="n">
        <x:f>IF(AND('계산 과정'!$L$6,J2008&gt;0),'계산 과정'!$D$10*('계산 과정'!$C$39*(D2008-'계산 과정'!$C$32)+'계산 과정'!$D$39*(E2008-'계산 과정'!$D$32)-'계산 과정'!$E$39*'계산 과정'!$E$32)/J2008,"")</x:f>
        <x:v>-1.633491346792752</x:v>
      </x:c>
      <x:c r="M2008" s="17" t="n">
        <x:f>IF('계산 과정'!$L$6,IF(J2008&lt;=0,0,IF(AND(ABS(K2008)&lt;='계산 과정'!$D$11/2,ABS(L2008)&lt;='계산 과정'!$D$12/2),1,0)),"")</x:f>
        <x:v>1</x:v>
      </x:c>
      <x:c r="N2008" s="17" t="n">
        <x:f>IF('계산 과정'!$C$78,IF(AND(ISNUMBER(H2008),ISNUMBER(I2008),ABS(H2008-'계산 과정'!$C$88)&lt;='계산 과정'!$D$23/2,ABS(I2008-'계산 과정'!$C$89)&lt;='계산 과정'!$D$24/2),1,0),"")</x:f>
        <x:v>1</x:v>
      </x:c>
      <x:c r="O2008" s="4" t="n">
        <x:f>IF('계산 과정'!$L$7,'계산 과정'!$C$49*('계산 과정'!$C$32-D2008)+'계산 과정'!$D$49*('계산 과정'!$D$32-E2008)+'계산 과정'!$E$49*'계산 과정'!$E$32,"")</x:f>
        <x:v>-34.93476419641598</x:v>
      </x:c>
      <x:c r="P2008" s="4" t="n">
        <x:f>IF(AND('계산 과정'!$L$7,O2008&lt;&gt;0),('계산 과정'!$L$23-'계산 과정'!$C$49*D2008-'계산 과정'!$D$49*E2008)/O2008,"")</x:f>
        <x:v>-10.449912693014157</x:v>
      </x:c>
      <x:c r="Q2008" s="4" t="str">
        <x:f>IF(AND(ISNUMBER(P2008),P2008&gt;1E-9,P2008&lt;1-1E-9),'계산 과정'!$C$47*(D2008-'계산 과정'!$C$50+P2008*('계산 과정'!$C$32-D2008))+'계산 과정'!$D$47*(E2008-'계산 과정'!$D$50+P2008*('계산 과정'!$D$32-E2008))+'계산 과정'!$E$47*(0-'계산 과정'!$E$50+P2008*('계산 과정'!$E$32-0)),"")</x:f>
      </x:c>
      <x:c r="R2008" s="4" t="str">
        <x:f>IF(AND(ISNUMBER(P2008),P2008&gt;1E-9,P2008&lt;1-1E-9),'계산 과정'!$C$48*(D2008-'계산 과정'!$C$50+P2008*('계산 과정'!$C$32-D2008))+'계산 과정'!$D$48*(E2008-'계산 과정'!$D$50+P2008*('계산 과정'!$D$32-E2008))+'계산 과정'!$E$48*(0-'계산 과정'!$E$50+P2008*('계산 과정'!$E$32-0)),"")</x:f>
      </x:c>
      <x:c r="S2008" s="17" t="n">
        <x:f>IF('계산 과정'!$C$78,IF(AND(ISNUMBER(Q2008),ISNUMBER(R2008),ABS(Q2008-'계산 과정'!$C$88)&lt;='계산 과정'!$D$23/2,ABS(R2008-'계산 과정'!$C$89)&lt;='계산 과정'!$D$24/2),1,0),"")</x:f>
        <x:v>0</x:v>
      </x:c>
      <x:c r="T2008" s="4"/>
      <x:c r="U2008" s="4"/>
      <x:c r="V2008" s="4"/>
      <x:c r="W2008" s="4"/>
      <x:c r="X2008" s="4"/>
      <x:c r="Y2008" s="4"/>
      <x:c r="Z2008" s="4"/>
    </x:row>
    <x:row r="2009" ht="23" customHeight="1">
      <x:c r="A2009" s="17" t="n">
        <x:f>ROW()-6</x:f>
        <x:v>2003</x:v>
      </x:c>
      <x:c r="B2009" s="4" t="n">
        <x:f>IF('계산 과정'!$L$5,'계산 과정'!$L$11*SQRT((A2009+0.5)/'계산 과정'!$L$30),"")</x:f>
        <x:v>148.36141141967306</x:v>
      </x:c>
      <x:c r="C2009" s="4" t="n">
        <x:f>A2009*PI()*(3-SQRT(5))</x:f>
        <x:v>4807.1263491464915</x:v>
      </x:c>
      <x:c r="D2009" s="4" t="n">
        <x:f>IF('계산 과정'!$L$5,B2009*COS(C2009),"")</x:f>
        <x:v>130.93282357471406</x:v>
      </x:c>
      <x:c r="E2009" s="4" t="n">
        <x:f>IF('계산 과정'!$L$5,B2009*SIN(C2009),"")</x:f>
        <x:v>69.76893369681306</x:v>
      </x:c>
      <x:c r="F2009" s="4" t="n">
        <x:f>IF('계산 과정'!$L$7,'계산 과정'!$L$22+'계산 과정'!$C$49*D2009+'계산 과정'!$D$49*E2009,"")</x:f>
        <x:v>557.4165125704178</x:v>
      </x:c>
      <x:c r="G2009" s="4" t="n">
        <x:f>IF('계산 과정'!$L$7,IF(ABS(F2009)&gt;=1E-12*MAX(1,SQRT((D2009-'계산 과정'!$C$33)^2+(E2009-'계산 과정'!$D$33)^2+'계산 과정'!$E$33^2)),('계산 과정'!$L$23-'계산 과정'!$C$49*D2009-'계산 과정'!$D$49*E2009)/F2009,""),"")</x:f>
        <x:v>0.8836901604477579</x:v>
      </x:c>
      <x:c r="H2009" s="4" t="n">
        <x:f>IF(AND(ISNUMBER(G2009),G2009&gt;0),('계산 과정'!$D$56+'계산 과정'!$D$57*D2009+'계산 과정'!$D$58*E2009)/F2009,"")</x:f>
        <x:v>174.39860429104252</x:v>
      </x:c>
      <x:c r="I2009" s="4" t="n">
        <x:f>IF(AND(ISNUMBER(G2009),G2009&gt;0),('계산 과정'!$E$56+'계산 과정'!$E$57*D2009+'계산 과정'!$E$58*E2009)/F2009,"")</x:f>
        <x:v>131.42305390961877</x:v>
      </x:c>
      <x:c r="J2009" s="4" t="n">
        <x:f>IF('계산 과정'!$L$5,'계산 과정'!$D$6+'계산 과정'!$C$35*D2009+'계산 과정'!$D$35*E2009,"")</x:f>
        <x:v>557.4165125704178</x:v>
      </x:c>
      <x:c r="K2009" s="4" t="n">
        <x:f>IF(AND('계산 과정'!$L$6,J2009&gt;0),'계산 과정'!$D$10*('계산 과정'!$C$38*(D2009-'계산 과정'!$C$32)+'계산 과정'!$D$38*(E2009-'계산 과정'!$D$32)-'계산 과정'!$E$38*'계산 과정'!$E$32)/J2009,"")</x:f>
        <x:v>1.3287512707888964</x:v>
      </x:c>
      <x:c r="L2009" s="4" t="n">
        <x:f>IF(AND('계산 과정'!$L$6,J2009&gt;0),'계산 과정'!$D$10*('계산 과정'!$C$39*(D2009-'계산 과정'!$C$32)+'계산 과정'!$D$39*(E2009-'계산 과정'!$D$32)-'계산 과정'!$E$39*'계산 과정'!$E$32)/J2009,"")</x:f>
        <x:v>1.0013185059780478</x:v>
      </x:c>
      <x:c r="M2009" s="17" t="n">
        <x:f>IF('계산 과정'!$L$6,IF(J2009&lt;=0,0,IF(AND(ABS(K2009)&lt;='계산 과정'!$D$11/2,ABS(L2009)&lt;='계산 과정'!$D$12/2),1,0)),"")</x:f>
        <x:v>1</x:v>
      </x:c>
      <x:c r="N2009" s="17" t="n">
        <x:f>IF('계산 과정'!$C$78,IF(AND(ISNUMBER(H2009),ISNUMBER(I2009),ABS(H2009-'계산 과정'!$C$88)&lt;='계산 과정'!$D$23/2,ABS(I2009-'계산 과정'!$C$89)&lt;='계산 과정'!$D$24/2),1,0),"")</x:f>
        <x:v>1</x:v>
      </x:c>
      <x:c r="O2009" s="4" t="n">
        <x:f>IF('계산 과정'!$L$7,'계산 과정'!$C$49*('계산 과정'!$C$32-D2009)+'계산 과정'!$D$49*('계산 과정'!$D$32-E2009)+'계산 과정'!$E$49*'계산 과정'!$E$32,"")</x:f>
        <x:v>92.58348742958228</x:v>
      </x:c>
      <x:c r="P2009" s="4" t="n">
        <x:f>IF(AND('계산 과정'!$L$7,O2009&lt;&gt;0),('계산 과정'!$L$23-'계산 과정'!$C$49*D2009-'계산 과정'!$D$49*E2009)/O2009,"")</x:f>
        <x:v>5.320424852263579</x:v>
      </x:c>
      <x:c r="Q2009" s="4" t="str">
        <x:f>IF(AND(ISNUMBER(P2009),P2009&gt;1E-9,P2009&lt;1-1E-9),'계산 과정'!$C$47*(D2009-'계산 과정'!$C$50+P2009*('계산 과정'!$C$32-D2009))+'계산 과정'!$D$47*(E2009-'계산 과정'!$D$50+P2009*('계산 과정'!$D$32-E2009))+'계산 과정'!$E$47*(0-'계산 과정'!$E$50+P2009*('계산 과정'!$E$32-0)),"")</x:f>
      </x:c>
      <x:c r="R2009" s="4" t="str">
        <x:f>IF(AND(ISNUMBER(P2009),P2009&gt;1E-9,P2009&lt;1-1E-9),'계산 과정'!$C$48*(D2009-'계산 과정'!$C$50+P2009*('계산 과정'!$C$32-D2009))+'계산 과정'!$D$48*(E2009-'계산 과정'!$D$50+P2009*('계산 과정'!$D$32-E2009))+'계산 과정'!$E$48*(0-'계산 과정'!$E$50+P2009*('계산 과정'!$E$32-0)),"")</x:f>
      </x:c>
      <x:c r="S2009" s="17" t="n">
        <x:f>IF('계산 과정'!$C$78,IF(AND(ISNUMBER(Q2009),ISNUMBER(R2009),ABS(Q2009-'계산 과정'!$C$88)&lt;='계산 과정'!$D$23/2,ABS(R2009-'계산 과정'!$C$89)&lt;='계산 과정'!$D$24/2),1,0),"")</x:f>
        <x:v>0</x:v>
      </x:c>
      <x:c r="T2009" s="4"/>
      <x:c r="U2009" s="4"/>
      <x:c r="V2009" s="4"/>
      <x:c r="W2009" s="4"/>
      <x:c r="X2009" s="4"/>
      <x:c r="Y2009" s="4"/>
      <x:c r="Z2009" s="4"/>
    </x:row>
    <x:row r="2010" ht="23" customHeight="1">
      <x:c r="A2010" s="17" t="n">
        <x:f>ROW()-6</x:f>
        <x:v>2004</x:v>
      </x:c>
      <x:c r="B2010" s="4" t="n">
        <x:f>IF('계산 과정'!$L$5,'계산 과정'!$L$11*SQRT((A2010+0.5)/'계산 과정'!$L$30),"")</x:f>
        <x:v>148.39843235884433</x:v>
      </x:c>
      <x:c r="C2010" s="4" t="n">
        <x:f>A2010*PI()*(3-SQRT(5))</x:f>
        <x:v>4809.526312376221</x:v>
      </x:c>
      <x:c r="D2010" s="4" t="n">
        <x:f>IF('계산 과정'!$L$5,B2010*COS(C2010),"")</x:f>
        <x:v>-143.70987806219506</x:v>
      </x:c>
      <x:c r="E2010" s="4" t="n">
        <x:f>IF('계산 과정'!$L$5,B2010*SIN(C2010),"")</x:f>
        <x:v>37.0076434525562</x:v>
      </x:c>
      <x:c r="F2010" s="4" t="n">
        <x:f>IF('계산 과정'!$L$7,'계산 과정'!$L$22+'계산 과정'!$C$49*D2010+'계산 과정'!$D$49*E2010,"")</x:f>
        <x:v>751.6182293012699</x:v>
      </x:c>
      <x:c r="G2010" s="4" t="n">
        <x:f>IF('계산 과정'!$L$7,IF(ABS(F2010)&gt;=1E-12*MAX(1,SQRT((D2010-'계산 과정'!$C$33)^2+(E2010-'계산 과정'!$D$33)^2+'계산 과정'!$E$33^2)),('계산 과정'!$L$23-'계산 과정'!$C$49*D2010-'계산 과정'!$D$49*E2010)/F2010,""),"")</x:f>
        <x:v>0.3969858088409004</x:v>
      </x:c>
      <x:c r="H2010" s="4" t="n">
        <x:f>IF(AND(ISNUMBER(G2010),G2010&gt;0),('계산 과정'!$D$56+'계산 과정'!$D$57*D2010+'계산 과정'!$D$58*E2010)/F2010,"")</x:f>
        <x:v>-141.95922425341487</x:v>
      </x:c>
      <x:c r="I2010" s="4" t="n">
        <x:f>IF(AND(ISNUMBER(G2010),G2010&gt;0),('계산 과정'!$E$56+'계산 과정'!$E$57*D2010+'계산 과정'!$E$58*E2010)/F2010,"")</x:f>
        <x:v>51.69915272186488</x:v>
      </x:c>
      <x:c r="J2010" s="4" t="n">
        <x:f>IF('계산 과정'!$L$5,'계산 과정'!$D$6+'계산 과정'!$C$35*D2010+'계산 과정'!$D$35*E2010,"")</x:f>
        <x:v>751.6182293012699</x:v>
      </x:c>
      <x:c r="K2010" s="4" t="n">
        <x:f>IF(AND('계산 과정'!$L$6,J2010&gt;0),'계산 과정'!$D$10*('계산 과정'!$C$38*(D2010-'계산 과정'!$C$32)+'계산 과정'!$D$38*(E2010-'계산 과정'!$D$32)-'계산 과정'!$E$38*'계산 과정'!$E$32)/J2010,"")</x:f>
        <x:v>-1.0815940895498273</x:v>
      </x:c>
      <x:c r="L2010" s="4" t="n">
        <x:f>IF(AND('계산 과정'!$L$6,J2010&gt;0),'계산 과정'!$D$10*('계산 과정'!$C$39*(D2010-'계산 과정'!$C$32)+'계산 과정'!$D$39*(E2010-'계산 과정'!$D$32)-'계산 과정'!$E$39*'계산 과정'!$E$32)/J2010,"")</x:f>
        <x:v>0.39389830645230384</x:v>
      </x:c>
      <x:c r="M2010" s="17" t="n">
        <x:f>IF('계산 과정'!$L$6,IF(J2010&lt;=0,0,IF(AND(ABS(K2010)&lt;='계산 과정'!$D$11/2,ABS(L2010)&lt;='계산 과정'!$D$12/2),1,0)),"")</x:f>
        <x:v>1</x:v>
      </x:c>
      <x:c r="N2010" s="17" t="n">
        <x:f>IF('계산 과정'!$C$78,IF(AND(ISNUMBER(H2010),ISNUMBER(I2010),ABS(H2010-'계산 과정'!$C$88)&lt;='계산 과정'!$D$23/2,ABS(I2010-'계산 과정'!$C$89)&lt;='계산 과정'!$D$24/2),1,0),"")</x:f>
        <x:v>1</x:v>
      </x:c>
      <x:c r="O2010" s="4" t="n">
        <x:f>IF('계산 과정'!$L$7,'계산 과정'!$C$49*('계산 과정'!$C$32-D2010)+'계산 과정'!$D$49*('계산 과정'!$D$32-E2010)+'계산 과정'!$E$49*'계산 과정'!$E$32,"")</x:f>
        <x:v>-101.61822930126988</x:v>
      </x:c>
      <x:c r="P2010" s="4" t="n">
        <x:f>IF(AND('계산 과정'!$L$7,O2010&lt;&gt;0),('계산 과정'!$L$23-'계산 과정'!$C$49*D2010-'계산 과정'!$D$49*E2010)/O2010,"")</x:f>
        <x:v>-2.9363016138975495</x:v>
      </x:c>
      <x:c r="Q2010" s="4" t="str">
        <x:f>IF(AND(ISNUMBER(P2010),P2010&gt;1E-9,P2010&lt;1-1E-9),'계산 과정'!$C$47*(D2010-'계산 과정'!$C$50+P2010*('계산 과정'!$C$32-D2010))+'계산 과정'!$D$47*(E2010-'계산 과정'!$D$50+P2010*('계산 과정'!$D$32-E2010))+'계산 과정'!$E$47*(0-'계산 과정'!$E$50+P2010*('계산 과정'!$E$32-0)),"")</x:f>
      </x:c>
      <x:c r="R2010" s="4" t="str">
        <x:f>IF(AND(ISNUMBER(P2010),P2010&gt;1E-9,P2010&lt;1-1E-9),'계산 과정'!$C$48*(D2010-'계산 과정'!$C$50+P2010*('계산 과정'!$C$32-D2010))+'계산 과정'!$D$48*(E2010-'계산 과정'!$D$50+P2010*('계산 과정'!$D$32-E2010))+'계산 과정'!$E$48*(0-'계산 과정'!$E$50+P2010*('계산 과정'!$E$32-0)),"")</x:f>
      </x:c>
      <x:c r="S2010" s="17" t="n">
        <x:f>IF('계산 과정'!$C$78,IF(AND(ISNUMBER(Q2010),ISNUMBER(R2010),ABS(Q2010-'계산 과정'!$C$88)&lt;='계산 과정'!$D$23/2,ABS(R2010-'계산 과정'!$C$89)&lt;='계산 과정'!$D$24/2),1,0),"")</x:f>
        <x:v>0</x:v>
      </x:c>
      <x:c r="T2010" s="4"/>
      <x:c r="U2010" s="4"/>
      <x:c r="V2010" s="4"/>
      <x:c r="W2010" s="4"/>
      <x:c r="X2010" s="4"/>
      <x:c r="Y2010" s="4"/>
      <x:c r="Z2010" s="4"/>
    </x:row>
    <x:row r="2011" ht="23" customHeight="1">
      <x:c r="A2011" s="17" t="n">
        <x:f>ROW()-6</x:f>
        <x:v>2005</x:v>
      </x:c>
      <x:c r="B2011" s="4" t="n">
        <x:f>IF('계산 과정'!$L$5,'계산 과정'!$L$11*SQRT((A2011+0.5)/'계산 과정'!$L$30),"")</x:f>
        <x:v>148.4354440647095</x:v>
      </x:c>
      <x:c r="C2011" s="4" t="n">
        <x:f>A2011*PI()*(3-SQRT(5))</x:f>
        <x:v>4811.92627560595</x:v>
      </x:c>
      <x:c r="D2011" s="4" t="n">
        <x:f>IF('계산 과정'!$L$5,B2011*COS(C2011),"")</x:f>
        <x:v>80.9890818506997</x:v>
      </x:c>
      <x:c r="E2011" s="4" t="n">
        <x:f>IF('계산 과정'!$L$5,B2011*SIN(C2011),"")</x:f>
        <x:v>-124.39392941646375</x:v>
      </x:c>
      <x:c r="F2011" s="4" t="n">
        <x:f>IF('계산 과정'!$L$7,'계산 과정'!$L$22+'계산 과정'!$C$49*D2011+'계산 과정'!$D$49*E2011,"")</x:f>
        <x:v>592.7320710212979</x:v>
      </x:c>
      <x:c r="G2011" s="4" t="n">
        <x:f>IF('계산 과정'!$L$7,IF(ABS(F2011)&gt;=1E-12*MAX(1,SQRT((D2011-'계산 과정'!$C$33)^2+(E2011-'계산 과정'!$D$33)^2+'계산 과정'!$E$33^2)),('계산 과정'!$L$23-'계산 과정'!$C$49*D2011-'계산 과정'!$D$49*E2011)/F2011,""),"")</x:f>
        <x:v>0.7714580521867387</x:v>
      </x:c>
      <x:c r="H2011" s="4" t="n">
        <x:f>IF(AND(ISNUMBER(G2011),G2011&gt;0),('계산 과정'!$D$56+'계산 과정'!$D$57*D2011+'계산 과정'!$D$58*E2011)/F2011,"")</x:f>
        <x:v>101.44773392138002</x:v>
      </x:c>
      <x:c r="I2011" s="4" t="n">
        <x:f>IF(AND(ISNUMBER(G2011),G2011&gt;0),('계산 과정'!$E$56+'계산 과정'!$E$57*D2011+'계산 과정'!$E$58*E2011)/F2011,"")</x:f>
        <x:v>-220.35862790794351</x:v>
      </x:c>
      <x:c r="J2011" s="4" t="n">
        <x:f>IF('계산 과정'!$L$5,'계산 과정'!$D$6+'계산 과정'!$C$35*D2011+'계산 과정'!$D$35*E2011,"")</x:f>
        <x:v>592.7320710212979</x:v>
      </x:c>
      <x:c r="K2011" s="4" t="n">
        <x:f>IF(AND('계산 과정'!$L$6,J2011&gt;0),'계산 과정'!$D$10*('계산 과정'!$C$38*(D2011-'계산 과정'!$C$32)+'계산 과정'!$D$38*(E2011-'계산 과정'!$D$32)-'계산 과정'!$E$38*'계산 과정'!$E$32)/J2011,"")</x:f>
        <x:v>0.7729351155914677</x:v>
      </x:c>
      <x:c r="L2011" s="4" t="n">
        <x:f>IF(AND('계산 과정'!$L$6,J2011&gt;0),'계산 과정'!$D$10*('계산 과정'!$C$39*(D2011-'계산 과정'!$C$32)+'계산 과정'!$D$39*(E2011-'계산 과정'!$D$32)-'계산 과정'!$E$39*'계산 과정'!$E$32)/J2011,"")</x:f>
        <x:v>-1.6789228792986173</x:v>
      </x:c>
      <x:c r="M2011" s="17" t="n">
        <x:f>IF('계산 과정'!$L$6,IF(J2011&lt;=0,0,IF(AND(ABS(K2011)&lt;='계산 과정'!$D$11/2,ABS(L2011)&lt;='계산 과정'!$D$12/2),1,0)),"")</x:f>
        <x:v>1</x:v>
      </x:c>
      <x:c r="N2011" s="17" t="n">
        <x:f>IF('계산 과정'!$C$78,IF(AND(ISNUMBER(H2011),ISNUMBER(I2011),ABS(H2011-'계산 과정'!$C$88)&lt;='계산 과정'!$D$23/2,ABS(I2011-'계산 과정'!$C$89)&lt;='계산 과정'!$D$24/2),1,0),"")</x:f>
        <x:v>1</x:v>
      </x:c>
      <x:c r="O2011" s="4" t="n">
        <x:f>IF('계산 과정'!$L$7,'계산 과정'!$C$49*('계산 과정'!$C$32-D2011)+'계산 과정'!$D$49*('계산 과정'!$D$32-E2011)+'계산 과정'!$E$49*'계산 과정'!$E$32,"")</x:f>
        <x:v>57.26792897870217</x:v>
      </x:c>
      <x:c r="P2011" s="4" t="n">
        <x:f>IF(AND('계산 과정'!$L$7,O2011&lt;&gt;0),('계산 과정'!$L$23-'계산 과정'!$C$49*D2011-'계산 과정'!$D$49*E2011)/O2011,"")</x:f>
        <x:v>7.9847121614745165</x:v>
      </x:c>
      <x:c r="Q2011" s="4" t="str">
        <x:f>IF(AND(ISNUMBER(P2011),P2011&gt;1E-9,P2011&lt;1-1E-9),'계산 과정'!$C$47*(D2011-'계산 과정'!$C$50+P2011*('계산 과정'!$C$32-D2011))+'계산 과정'!$D$47*(E2011-'계산 과정'!$D$50+P2011*('계산 과정'!$D$32-E2011))+'계산 과정'!$E$47*(0-'계산 과정'!$E$50+P2011*('계산 과정'!$E$32-0)),"")</x:f>
      </x:c>
      <x:c r="R2011" s="4" t="str">
        <x:f>IF(AND(ISNUMBER(P2011),P2011&gt;1E-9,P2011&lt;1-1E-9),'계산 과정'!$C$48*(D2011-'계산 과정'!$C$50+P2011*('계산 과정'!$C$32-D2011))+'계산 과정'!$D$48*(E2011-'계산 과정'!$D$50+P2011*('계산 과정'!$D$32-E2011))+'계산 과정'!$E$48*(0-'계산 과정'!$E$50+P2011*('계산 과정'!$E$32-0)),"")</x:f>
      </x:c>
      <x:c r="S2011" s="17" t="n">
        <x:f>IF('계산 과정'!$C$78,IF(AND(ISNUMBER(Q2011),ISNUMBER(R2011),ABS(Q2011-'계산 과정'!$C$88)&lt;='계산 과정'!$D$23/2,ABS(R2011-'계산 과정'!$C$89)&lt;='계산 과정'!$D$24/2),1,0),"")</x:f>
        <x:v>0</x:v>
      </x:c>
      <x:c r="T2011" s="4"/>
      <x:c r="U2011" s="4"/>
      <x:c r="V2011" s="4"/>
      <x:c r="W2011" s="4"/>
      <x:c r="X2011" s="4"/>
      <x:c r="Y2011" s="4"/>
      <x:c r="Z2011" s="4"/>
    </x:row>
    <x:row r="2012" ht="23" customHeight="1">
      <x:c r="A2012" s="17" t="n">
        <x:f>ROW()-6</x:f>
        <x:v>2006</x:v>
      </x:c>
      <x:c r="B2012" s="4" t="n">
        <x:f>IF('계산 과정'!$L$5,'계산 과정'!$L$11*SQRT((A2012+0.5)/'계산 과정'!$L$30),"")</x:f>
        <x:v>148.47244654417364</x:v>
      </x:c>
      <x:c r="C2012" s="4" t="n">
        <x:f>A2012*PI()*(3-SQRT(5))</x:f>
        <x:v>4814.326238835678</x:v>
      </x:c>
      <x:c r="D2012" s="4" t="n">
        <x:f>IF('계산 과정'!$L$5,B2012*COS(C2012),"")</x:f>
        <x:v>24.314123159747993</x:v>
      </x:c>
      <x:c r="E2012" s="4" t="n">
        <x:f>IF('계산 과정'!$L$5,B2012*SIN(C2012),"")</x:f>
        <x:v>146.468053847196</x:v>
      </x:c>
      <x:c r="F2012" s="4" t="n">
        <x:f>IF('계산 과정'!$L$7,'계산 과정'!$L$22+'계산 과정'!$C$49*D2012+'계산 과정'!$D$49*E2012,"")</x:f>
        <x:v>632.8073186351373</x:v>
      </x:c>
      <x:c r="G2012" s="4" t="n">
        <x:f>IF('계산 과정'!$L$7,IF(ABS(F2012)&gt;=1E-12*MAX(1,SQRT((D2012-'계산 과정'!$C$33)^2+(E2012-'계산 과정'!$D$33)^2+'계산 과정'!$E$33^2)),('계산 과정'!$L$23-'계산 과정'!$C$49*D2012-'계산 과정'!$D$49*E2012)/F2012,""),"")</x:f>
        <x:v>0.6592728451129162</x:v>
      </x:c>
      <x:c r="H2012" s="4" t="n">
        <x:f>IF(AND(ISNUMBER(G2012),G2012&gt;0),('계산 과정'!$D$56+'계산 과정'!$D$57*D2012+'계산 과정'!$D$58*E2012)/F2012,"")</x:f>
        <x:v>28.527349323395427</x:v>
      </x:c>
      <x:c r="I2012" s="4" t="n">
        <x:f>IF(AND(ISNUMBER(G2012),G2012&gt;0),('계산 과정'!$E$56+'계산 과정'!$E$57*D2012+'계산 과정'!$E$58*E2012)/F2012,"")</x:f>
        <x:v>243.0304644251887</x:v>
      </x:c>
      <x:c r="J2012" s="4" t="n">
        <x:f>IF('계산 과정'!$L$5,'계산 과정'!$D$6+'계산 과정'!$C$35*D2012+'계산 과정'!$D$35*E2012,"")</x:f>
        <x:v>632.8073186351373</x:v>
      </x:c>
      <x:c r="K2012" s="4" t="n">
        <x:f>IF(AND('계산 과정'!$L$6,J2012&gt;0),'계산 과정'!$D$10*('계산 과정'!$C$38*(D2012-'계산 과정'!$C$32)+'계산 과정'!$D$38*(E2012-'계산 과정'!$D$32)-'계산 과정'!$E$38*'계산 과정'!$E$32)/J2012,"")</x:f>
        <x:v>0.2173512329401561</x:v>
      </x:c>
      <x:c r="L2012" s="4" t="n">
        <x:f>IF(AND('계산 과정'!$L$6,J2012&gt;0),'계산 과정'!$D$10*('계산 과정'!$C$39*(D2012-'계산 과정'!$C$32)+'계산 과정'!$D$39*(E2012-'계산 과정'!$D$32)-'계산 과정'!$E$39*'계산 과정'!$E$32)/J2012,"")</x:f>
        <x:v>1.851660681334771</x:v>
      </x:c>
      <x:c r="M2012" s="17" t="n">
        <x:f>IF('계산 과정'!$L$6,IF(J2012&lt;=0,0,IF(AND(ABS(K2012)&lt;='계산 과정'!$D$11/2,ABS(L2012)&lt;='계산 과정'!$D$12/2),1,0)),"")</x:f>
        <x:v>1</x:v>
      </x:c>
      <x:c r="N2012" s="17" t="n">
        <x:f>IF('계산 과정'!$C$78,IF(AND(ISNUMBER(H2012),ISNUMBER(I2012),ABS(H2012-'계산 과정'!$C$88)&lt;='계산 과정'!$D$23/2,ABS(I2012-'계산 과정'!$C$89)&lt;='계산 과정'!$D$24/2),1,0),"")</x:f>
        <x:v>1</x:v>
      </x:c>
      <x:c r="O2012" s="4" t="n">
        <x:f>IF('계산 과정'!$L$7,'계산 과정'!$C$49*('계산 과정'!$C$32-D2012)+'계산 과정'!$D$49*('계산 과정'!$D$32-E2012)+'계산 과정'!$E$49*'계산 과정'!$E$32,"")</x:f>
        <x:v>17.19268136486278</x:v>
      </x:c>
      <x:c r="P2012" s="4" t="n">
        <x:f>IF(AND('계산 과정'!$L$7,O2012&lt;&gt;0),('계산 과정'!$L$23-'계산 과정'!$C$49*D2012-'계산 과정'!$D$49*E2012)/O2012,"")</x:f>
        <x:v>24.26571356213769</x:v>
      </x:c>
      <x:c r="Q2012" s="4" t="str">
        <x:f>IF(AND(ISNUMBER(P2012),P2012&gt;1E-9,P2012&lt;1-1E-9),'계산 과정'!$C$47*(D2012-'계산 과정'!$C$50+P2012*('계산 과정'!$C$32-D2012))+'계산 과정'!$D$47*(E2012-'계산 과정'!$D$50+P2012*('계산 과정'!$D$32-E2012))+'계산 과정'!$E$47*(0-'계산 과정'!$E$50+P2012*('계산 과정'!$E$32-0)),"")</x:f>
      </x:c>
      <x:c r="R2012" s="4" t="str">
        <x:f>IF(AND(ISNUMBER(P2012),P2012&gt;1E-9,P2012&lt;1-1E-9),'계산 과정'!$C$48*(D2012-'계산 과정'!$C$50+P2012*('계산 과정'!$C$32-D2012))+'계산 과정'!$D$48*(E2012-'계산 과정'!$D$50+P2012*('계산 과정'!$D$32-E2012))+'계산 과정'!$E$48*(0-'계산 과정'!$E$50+P2012*('계산 과정'!$E$32-0)),"")</x:f>
      </x:c>
      <x:c r="S2012" s="17" t="n">
        <x:f>IF('계산 과정'!$C$78,IF(AND(ISNUMBER(Q2012),ISNUMBER(R2012),ABS(Q2012-'계산 과정'!$C$88)&lt;='계산 과정'!$D$23/2,ABS(R2012-'계산 과정'!$C$89)&lt;='계산 과정'!$D$24/2),1,0),"")</x:f>
        <x:v>0</x:v>
      </x:c>
      <x:c r="T2012" s="4"/>
      <x:c r="U2012" s="4"/>
      <x:c r="V2012" s="4"/>
      <x:c r="W2012" s="4"/>
      <x:c r="X2012" s="4"/>
      <x:c r="Y2012" s="4"/>
      <x:c r="Z2012" s="4"/>
    </x:row>
    <x:row r="2013" ht="23" customHeight="1">
      <x:c r="A2013" s="17" t="n">
        <x:f>ROW()-6</x:f>
        <x:v>2007</x:v>
      </x:c>
      <x:c r="B2013" s="4" t="n">
        <x:f>IF('계산 과정'!$L$5,'계산 과정'!$L$11*SQRT((A2013+0.5)/'계산 과정'!$L$30),"")</x:f>
        <x:v>148.5094398041333</x:v>
      </x:c>
      <x:c r="C2013" s="4" t="n">
        <x:f>A2013*PI()*(3-SQRT(5))</x:f>
        <x:v>4816.726202065406</x:v>
      </x:c>
      <x:c r="D2013" s="4" t="n">
        <x:f>IF('계산 과정'!$L$5,B2013*COS(C2013),"")</x:f>
        <x:v>-116.89534479183395</x:v>
      </x:c>
      <x:c r="E2013" s="4" t="n">
        <x:f>IF('계산 과정'!$L$5,B2013*SIN(C2013),"")</x:f>
        <x:v>-91.59984758140023</x:v>
      </x:c>
      <x:c r="F2013" s="4" t="n">
        <x:f>IF('계산 과정'!$L$7,'계산 과정'!$L$22+'계산 과정'!$C$49*D2013+'계산 과정'!$D$49*E2013,"")</x:f>
        <x:v>732.6574909914453</x:v>
      </x:c>
      <x:c r="G2013" s="4" t="n">
        <x:f>IF('계산 과정'!$L$7,IF(ABS(F2013)&gt;=1E-12*MAX(1,SQRT((D2013-'계산 과정'!$C$33)^2+(E2013-'계산 과정'!$D$33)^2+'계산 과정'!$E$33^2)),('계산 과정'!$L$23-'계산 과정'!$C$49*D2013-'계산 과정'!$D$49*E2013)/F2013,""),"")</x:f>
        <x:v>0.43313896726712103</x:v>
      </x:c>
      <x:c r="H2013" s="4" t="n">
        <x:f>IF(AND(ISNUMBER(G2013),G2013&gt;0),('계산 과정'!$D$56+'계산 과정'!$D$57*D2013+'계산 과정'!$D$58*E2013)/F2013,"")</x:f>
        <x:v>-118.45967127637148</x:v>
      </x:c>
      <x:c r="I2013" s="4" t="n">
        <x:f>IF(AND(ISNUMBER(G2013),G2013&gt;0),('계산 과정'!$E$56+'계산 과정'!$E$57*D2013+'계산 과정'!$E$58*E2013)/F2013,"")</x:f>
        <x:v>-131.27531096463363</x:v>
      </x:c>
      <x:c r="J2013" s="4" t="n">
        <x:f>IF('계산 과정'!$L$5,'계산 과정'!$D$6+'계산 과정'!$C$35*D2013+'계산 과정'!$D$35*E2013,"")</x:f>
        <x:v>732.6574909914453</x:v>
      </x:c>
      <x:c r="K2013" s="4" t="n">
        <x:f>IF(AND('계산 과정'!$L$6,J2013&gt;0),'계산 과정'!$D$10*('계산 과정'!$C$38*(D2013-'계산 과정'!$C$32)+'계산 과정'!$D$38*(E2013-'계산 과정'!$D$32)-'계산 과정'!$E$38*'계산 과정'!$E$32)/J2013,"")</x:f>
        <x:v>-0.9025498763914007</x:v>
      </x:c>
      <x:c r="L2013" s="4" t="n">
        <x:f>IF(AND('계산 과정'!$L$6,J2013&gt;0),'계산 과정'!$D$10*('계산 과정'!$C$39*(D2013-'계산 과정'!$C$32)+'계산 과정'!$D$39*(E2013-'계산 과정'!$D$32)-'계산 과정'!$E$39*'계산 과정'!$E$32)/J2013,"")</x:f>
        <x:v>-1.0001928454448274</x:v>
      </x:c>
      <x:c r="M2013" s="17" t="n">
        <x:f>IF('계산 과정'!$L$6,IF(J2013&lt;=0,0,IF(AND(ABS(K2013)&lt;='계산 과정'!$D$11/2,ABS(L2013)&lt;='계산 과정'!$D$12/2),1,0)),"")</x:f>
        <x:v>1</x:v>
      </x:c>
      <x:c r="N2013" s="17" t="n">
        <x:f>IF('계산 과정'!$C$78,IF(AND(ISNUMBER(H2013),ISNUMBER(I2013),ABS(H2013-'계산 과정'!$C$88)&lt;='계산 과정'!$D$23/2,ABS(I2013-'계산 과정'!$C$89)&lt;='계산 과정'!$D$24/2),1,0),"")</x:f>
        <x:v>1</x:v>
      </x:c>
      <x:c r="O2013" s="4" t="n">
        <x:f>IF('계산 과정'!$L$7,'계산 과정'!$C$49*('계산 과정'!$C$32-D2013)+'계산 과정'!$D$49*('계산 과정'!$D$32-E2013)+'계산 과정'!$E$49*'계산 과정'!$E$32,"")</x:f>
        <x:v>-82.65749099144523</x:v>
      </x:c>
      <x:c r="P2013" s="4" t="n">
        <x:f>IF(AND('계산 과정'!$L$7,O2013&lt;&gt;0),('계산 과정'!$L$23-'계산 과정'!$C$49*D2013-'계산 과정'!$D$49*E2013)/O2013,"")</x:f>
        <x:v>-3.8392468148034946</x:v>
      </x:c>
      <x:c r="Q2013" s="4" t="str">
        <x:f>IF(AND(ISNUMBER(P2013),P2013&gt;1E-9,P2013&lt;1-1E-9),'계산 과정'!$C$47*(D2013-'계산 과정'!$C$50+P2013*('계산 과정'!$C$32-D2013))+'계산 과정'!$D$47*(E2013-'계산 과정'!$D$50+P2013*('계산 과정'!$D$32-E2013))+'계산 과정'!$E$47*(0-'계산 과정'!$E$50+P2013*('계산 과정'!$E$32-0)),"")</x:f>
      </x:c>
      <x:c r="R2013" s="4" t="str">
        <x:f>IF(AND(ISNUMBER(P2013),P2013&gt;1E-9,P2013&lt;1-1E-9),'계산 과정'!$C$48*(D2013-'계산 과정'!$C$50+P2013*('계산 과정'!$C$32-D2013))+'계산 과정'!$D$48*(E2013-'계산 과정'!$D$50+P2013*('계산 과정'!$D$32-E2013))+'계산 과정'!$E$48*(0-'계산 과정'!$E$50+P2013*('계산 과정'!$E$32-0)),"")</x:f>
      </x:c>
      <x:c r="S2013" s="17" t="n">
        <x:f>IF('계산 과정'!$C$78,IF(AND(ISNUMBER(Q2013),ISNUMBER(R2013),ABS(Q2013-'계산 과정'!$C$88)&lt;='계산 과정'!$D$23/2,ABS(R2013-'계산 과정'!$C$89)&lt;='계산 과정'!$D$24/2),1,0),"")</x:f>
        <x:v>0</x:v>
      </x:c>
      <x:c r="T2013" s="4"/>
      <x:c r="U2013" s="4"/>
      <x:c r="V2013" s="4"/>
      <x:c r="W2013" s="4"/>
      <x:c r="X2013" s="4"/>
      <x:c r="Y2013" s="4"/>
      <x:c r="Z2013" s="4"/>
    </x:row>
    <x:row r="2014" ht="23" customHeight="1">
      <x:c r="A2014" s="17" t="n">
        <x:f>ROW()-6</x:f>
        <x:v>2008</x:v>
      </x:c>
      <x:c r="B2014" s="4" t="n">
        <x:f>IF('계산 과정'!$L$5,'계산 과정'!$L$11*SQRT((A2014+0.5)/'계산 과정'!$L$30),"")</x:f>
        <x:v>148.54642385147648</x:v>
      </x:c>
      <x:c r="C2014" s="4" t="n">
        <x:f>A2014*PI()*(3-SQRT(5))</x:f>
        <x:v>4819.126165295135</x:v>
      </x:c>
      <x:c r="D2014" s="4" t="n">
        <x:f>IF('계산 과정'!$L$5,B2014*COS(C2014),"")</x:f>
        <x:v>148.10667179976883</x:v>
      </x:c>
      <x:c r="E2014" s="4" t="n">
        <x:f>IF('계산 과정'!$L$5,B2014*SIN(C2014),"")</x:f>
        <x:v>-11.421637687217368</x:v>
      </x:c>
      <x:c r="F2014" s="4" t="n">
        <x:f>IF('계산 과정'!$L$7,'계산 과정'!$L$22+'계산 과정'!$C$49*D2014+'계산 과정'!$D$49*E2014,"")</x:f>
        <x:v>545.2727680314131</x:v>
      </x:c>
      <x:c r="G2014" s="4" t="n">
        <x:f>IF('계산 과정'!$L$7,IF(ABS(F2014)&gt;=1E-12*MAX(1,SQRT((D2014-'계산 과정'!$C$33)^2+(E2014-'계산 과정'!$D$33)^2+'계산 과정'!$E$33^2)),('계산 과정'!$L$23-'계산 과정'!$C$49*D2014-'계산 과정'!$D$49*E2014)/F2014,""),"")</x:f>
        <x:v>0.925641736686747</x:v>
      </x:c>
      <x:c r="H2014" s="4" t="n">
        <x:f>IF(AND(ISNUMBER(G2014),G2014&gt;0),('계산 과정'!$D$56+'계산 과정'!$D$57*D2014+'계산 과정'!$D$58*E2014)/F2014,"")</x:f>
        <x:v>201.6671288463855</x:v>
      </x:c>
      <x:c r="I2014" s="4" t="n">
        <x:f>IF(AND(ISNUMBER(G2014),G2014&gt;0),('계산 과정'!$E$56+'계산 과정'!$E$57*D2014+'계산 과정'!$E$58*E2014)/F2014,"")</x:f>
        <x:v>-21.993982231820052</x:v>
      </x:c>
      <x:c r="J2014" s="4" t="n">
        <x:f>IF('계산 과정'!$L$5,'계산 과정'!$D$6+'계산 과정'!$C$35*D2014+'계산 과정'!$D$35*E2014,"")</x:f>
        <x:v>545.2727680314131</x:v>
      </x:c>
      <x:c r="K2014" s="4" t="n">
        <x:f>IF(AND('계산 과정'!$L$6,J2014&gt;0),'계산 과정'!$D$10*('계산 과정'!$C$38*(D2014-'계산 과정'!$C$32)+'계산 과정'!$D$38*(E2014-'계산 과정'!$D$32)-'계산 과정'!$E$38*'계산 과정'!$E$32)/J2014,"")</x:f>
        <x:v>1.5365114578772234</x:v>
      </x:c>
      <x:c r="L2014" s="4" t="n">
        <x:f>IF(AND('계산 과정'!$L$6,J2014&gt;0),'계산 과정'!$D$10*('계산 과정'!$C$39*(D2014-'계산 과정'!$C$32)+'계산 과정'!$D$39*(E2014-'계산 과정'!$D$32)-'계산 과정'!$E$39*'계산 과정'!$E$32)/J2014,"")</x:f>
        <x:v>-0.1675731979567242</x:v>
      </x:c>
      <x:c r="M2014" s="17" t="n">
        <x:f>IF('계산 과정'!$L$6,IF(J2014&lt;=0,0,IF(AND(ABS(K2014)&lt;='계산 과정'!$D$11/2,ABS(L2014)&lt;='계산 과정'!$D$12/2),1,0)),"")</x:f>
        <x:v>1</x:v>
      </x:c>
      <x:c r="N2014" s="17" t="n">
        <x:f>IF('계산 과정'!$C$78,IF(AND(ISNUMBER(H2014),ISNUMBER(I2014),ABS(H2014-'계산 과정'!$C$88)&lt;='계산 과정'!$D$23/2,ABS(I2014-'계산 과정'!$C$89)&lt;='계산 과정'!$D$24/2),1,0),"")</x:f>
        <x:v>1</x:v>
      </x:c>
      <x:c r="O2014" s="4" t="n">
        <x:f>IF('계산 과정'!$L$7,'계산 과정'!$C$49*('계산 과정'!$C$32-D2014)+'계산 과정'!$D$49*('계산 과정'!$D$32-E2014)+'계산 과정'!$E$49*'계산 과정'!$E$32,"")</x:f>
        <x:v>104.72723196858706</x:v>
      </x:c>
      <x:c r="P2014" s="4" t="n">
        <x:f>IF(AND('계산 과정'!$L$7,O2014&lt;&gt;0),('계산 과정'!$L$23-'계산 과정'!$C$49*D2014-'계산 과정'!$D$49*E2014)/O2014,"")</x:f>
        <x:v>4.81944593093017</x:v>
      </x:c>
      <x:c r="Q2014" s="4" t="str">
        <x:f>IF(AND(ISNUMBER(P2014),P2014&gt;1E-9,P2014&lt;1-1E-9),'계산 과정'!$C$47*(D2014-'계산 과정'!$C$50+P2014*('계산 과정'!$C$32-D2014))+'계산 과정'!$D$47*(E2014-'계산 과정'!$D$50+P2014*('계산 과정'!$D$32-E2014))+'계산 과정'!$E$47*(0-'계산 과정'!$E$50+P2014*('계산 과정'!$E$32-0)),"")</x:f>
      </x:c>
      <x:c r="R2014" s="4" t="str">
        <x:f>IF(AND(ISNUMBER(P2014),P2014&gt;1E-9,P2014&lt;1-1E-9),'계산 과정'!$C$48*(D2014-'계산 과정'!$C$50+P2014*('계산 과정'!$C$32-D2014))+'계산 과정'!$D$48*(E2014-'계산 과정'!$D$50+P2014*('계산 과정'!$D$32-E2014))+'계산 과정'!$E$48*(0-'계산 과정'!$E$50+P2014*('계산 과정'!$E$32-0)),"")</x:f>
      </x:c>
      <x:c r="S2014" s="17" t="n">
        <x:f>IF('계산 과정'!$C$78,IF(AND(ISNUMBER(Q2014),ISNUMBER(R2014),ABS(Q2014-'계산 과정'!$C$88)&lt;='계산 과정'!$D$23/2,ABS(R2014-'계산 과정'!$C$89)&lt;='계산 과정'!$D$24/2),1,0),"")</x:f>
        <x:v>0</x:v>
      </x:c>
      <x:c r="T2014" s="4"/>
      <x:c r="U2014" s="4"/>
      <x:c r="V2014" s="4"/>
      <x:c r="W2014" s="4"/>
      <x:c r="X2014" s="4"/>
      <x:c r="Y2014" s="4"/>
      <x:c r="Z2014" s="4"/>
    </x:row>
    <x:row r="2015" ht="23" customHeight="1">
      <x:c r="A2015" s="17" t="n">
        <x:f>ROW()-6</x:f>
        <x:v>2009</x:v>
      </x:c>
      <x:c r="B2015" s="4" t="n">
        <x:f>IF('계산 과정'!$L$5,'계산 과정'!$L$11*SQRT((A2015+0.5)/'계산 과정'!$L$30),"")</x:f>
        <x:v>148.58339869308247</x:v>
      </x:c>
      <x:c r="C2015" s="4" t="n">
        <x:f>A2015*PI()*(3-SQRT(5))</x:f>
        <x:v>4821.526128524863</x:v>
      </x:c>
      <x:c r="D2015" s="4" t="n">
        <x:f>IF('계산 과정'!$L$5,B2015*COS(C2015),"")</x:f>
        <x:v>-101.51930800465689</x:v>
      </x:c>
      <x:c r="E2015" s="4" t="n">
        <x:f>IF('계산 과정'!$L$5,B2015*SIN(C2015),"")</x:f>
        <x:v>108.49357801014357</x:v>
      </x:c>
      <x:c r="F2015" s="4" t="n">
        <x:f>IF('계산 과정'!$L$7,'계산 과정'!$L$22+'계산 과정'!$C$49*D2015+'계산 과정'!$D$49*E2015,"")</x:f>
        <x:v>721.7849911114587</x:v>
      </x:c>
      <x:c r="G2015" s="4" t="n">
        <x:f>IF('계산 과정'!$L$7,IF(ABS(F2015)&gt;=1E-12*MAX(1,SQRT((D2015-'계산 과정'!$C$33)^2+(E2015-'계산 과정'!$D$33)^2+'계산 과정'!$E$33^2)),('계산 과정'!$L$23-'계산 과정'!$C$49*D2015-'계산 과정'!$D$49*E2015)/F2015,""),"")</x:f>
        <x:v>0.454726840998912</x:v>
      </x:c>
      <x:c r="H2015" s="4" t="n">
        <x:f>IF(AND(ISNUMBER(G2015),G2015&gt;0),('계산 과정'!$D$56+'계산 과정'!$D$57*D2015+'계산 과정'!$D$58*E2015)/F2015,"")</x:f>
        <x:v>-104.42755335070733</x:v>
      </x:c>
      <x:c r="I2015" s="4" t="n">
        <x:f>IF(AND(ISNUMBER(G2015),G2015&gt;0),('계산 과정'!$E$56+'계산 과정'!$E$57*D2015+'계산 과정'!$E$58*E2015)/F2015,"")</x:f>
        <x:v>157.82852000736517</x:v>
      </x:c>
      <x:c r="J2015" s="4" t="n">
        <x:f>IF('계산 과정'!$L$5,'계산 과정'!$D$6+'계산 과정'!$C$35*D2015+'계산 과정'!$D$35*E2015,"")</x:f>
        <x:v>721.7849911114587</x:v>
      </x:c>
      <x:c r="K2015" s="4" t="n">
        <x:f>IF(AND('계산 과정'!$L$6,J2015&gt;0),'계산 과정'!$D$10*('계산 과정'!$C$38*(D2015-'계산 과정'!$C$32)+'계산 과정'!$D$38*(E2015-'계산 과정'!$D$32)-'계산 과정'!$E$38*'계산 과정'!$E$32)/J2015,"")</x:f>
        <x:v>-0.7956385017196737</x:v>
      </x:c>
      <x:c r="L2015" s="4" t="n">
        <x:f>IF(AND('계산 과정'!$L$6,J2015&gt;0),'계산 과정'!$D$10*('계산 과정'!$C$39*(D2015-'계산 과정'!$C$32)+'계산 과정'!$D$39*(E2015-'계산 과정'!$D$32)-'계산 과정'!$E$39*'계산 과정'!$E$32)/J2015,"")</x:f>
        <x:v>1.202503009579925</x:v>
      </x:c>
      <x:c r="M2015" s="17" t="n">
        <x:f>IF('계산 과정'!$L$6,IF(J2015&lt;=0,0,IF(AND(ABS(K2015)&lt;='계산 과정'!$D$11/2,ABS(L2015)&lt;='계산 과정'!$D$12/2),1,0)),"")</x:f>
        <x:v>1</x:v>
      </x:c>
      <x:c r="N2015" s="17" t="n">
        <x:f>IF('계산 과정'!$C$78,IF(AND(ISNUMBER(H2015),ISNUMBER(I2015),ABS(H2015-'계산 과정'!$C$88)&lt;='계산 과정'!$D$23/2,ABS(I2015-'계산 과정'!$C$89)&lt;='계산 과정'!$D$24/2),1,0),"")</x:f>
        <x:v>1</x:v>
      </x:c>
      <x:c r="O2015" s="4" t="n">
        <x:f>IF('계산 과정'!$L$7,'계산 과정'!$C$49*('계산 과정'!$C$32-D2015)+'계산 과정'!$D$49*('계산 과정'!$D$32-E2015)+'계산 과정'!$E$49*'계산 과정'!$E$32,"")</x:f>
        <x:v>-71.78499111145851</x:v>
      </x:c>
      <x:c r="P2015" s="4" t="n">
        <x:f>IF(AND('계산 과정'!$L$7,O2015&lt;&gt;0),('계산 과정'!$L$23-'계산 과정'!$C$49*D2015-'계산 과정'!$D$49*E2015)/O2015,"")</x:f>
        <x:v>-4.572195438165219</x:v>
      </x:c>
      <x:c r="Q2015" s="4" t="str">
        <x:f>IF(AND(ISNUMBER(P2015),P2015&gt;1E-9,P2015&lt;1-1E-9),'계산 과정'!$C$47*(D2015-'계산 과정'!$C$50+P2015*('계산 과정'!$C$32-D2015))+'계산 과정'!$D$47*(E2015-'계산 과정'!$D$50+P2015*('계산 과정'!$D$32-E2015))+'계산 과정'!$E$47*(0-'계산 과정'!$E$50+P2015*('계산 과정'!$E$32-0)),"")</x:f>
      </x:c>
      <x:c r="R2015" s="4" t="str">
        <x:f>IF(AND(ISNUMBER(P2015),P2015&gt;1E-9,P2015&lt;1-1E-9),'계산 과정'!$C$48*(D2015-'계산 과정'!$C$50+P2015*('계산 과정'!$C$32-D2015))+'계산 과정'!$D$48*(E2015-'계산 과정'!$D$50+P2015*('계산 과정'!$D$32-E2015))+'계산 과정'!$E$48*(0-'계산 과정'!$E$50+P2015*('계산 과정'!$E$32-0)),"")</x:f>
      </x:c>
      <x:c r="S2015" s="17" t="n">
        <x:f>IF('계산 과정'!$C$78,IF(AND(ISNUMBER(Q2015),ISNUMBER(R2015),ABS(Q2015-'계산 과정'!$C$88)&lt;='계산 과정'!$D$23/2,ABS(R2015-'계산 과정'!$C$89)&lt;='계산 과정'!$D$24/2),1,0),"")</x:f>
        <x:v>0</x:v>
      </x:c>
      <x:c r="T2015" s="4"/>
      <x:c r="U2015" s="4"/>
      <x:c r="V2015" s="4"/>
      <x:c r="W2015" s="4"/>
      <x:c r="X2015" s="4"/>
      <x:c r="Y2015" s="4"/>
      <x:c r="Z2015" s="4"/>
    </x:row>
    <x:row r="2016" ht="23" customHeight="1">
      <x:c r="A2016" s="17" t="n">
        <x:f>ROW()-6</x:f>
        <x:v>2010</x:v>
      </x:c>
      <x:c r="B2016" s="4" t="n">
        <x:f>IF('계산 과정'!$L$5,'계산 과정'!$L$11*SQRT((A2016+0.5)/'계산 과정'!$L$30),"")</x:f>
        <x:v>148.6203643358221</x:v>
      </x:c>
      <x:c r="C2016" s="4" t="n">
        <x:f>A2016*PI()*(3-SQRT(5))</x:f>
        <x:v>4823.926091754593</x:v>
      </x:c>
      <x:c r="D2016" s="4" t="n">
        <x:f>IF('계산 과정'!$L$5,B2016*COS(C2016),"")</x:f>
        <x:v>1.5712101108770606</x:v>
      </x:c>
      <x:c r="E2016" s="4" t="n">
        <x:f>IF('계산 과정'!$L$5,B2016*SIN(C2016),"")</x:f>
        <x:v>-148.612058710254</x:v>
      </x:c>
      <x:c r="F2016" s="4" t="n">
        <x:f>IF('계산 과정'!$L$7,'계산 과정'!$L$22+'계산 과정'!$C$49*D2016+'계산 과정'!$D$49*E2016,"")</x:f>
        <x:v>648.8889866759299</x:v>
      </x:c>
      <x:c r="G2016" s="4" t="n">
        <x:f>IF('계산 과정'!$L$7,IF(ABS(F2016)&gt;=1E-12*MAX(1,SQRT((D2016-'계산 과정'!$C$33)^2+(E2016-'계산 과정'!$D$33)^2+'계산 과정'!$E$33^2)),('계산 과정'!$L$23-'계산 과정'!$C$49*D2016-'계산 과정'!$D$49*E2016)/F2016,""),"")</x:f>
        <x:v>0.6181504410775184</x:v>
      </x:c>
      <x:c r="H2016" s="4" t="n">
        <x:f>IF(AND(ISNUMBER(G2016),G2016&gt;0),('계산 과정'!$D$56+'계산 과정'!$D$57*D2016+'계산 과정'!$D$58*E2016)/F2016,"")</x:f>
        <x:v>1.7977867003868169</x:v>
      </x:c>
      <x:c r="I2016" s="4" t="n">
        <x:f>IF(AND(ISNUMBER(G2016),G2016&gt;0),('계산 과정'!$E$56+'계산 과정'!$E$57*D2016+'계산 과정'!$E$58*E2016)/F2016,"")</x:f>
        <x:v>-240.47666835143556</x:v>
      </x:c>
      <x:c r="J2016" s="4" t="n">
        <x:f>IF('계산 과정'!$L$5,'계산 과정'!$D$6+'계산 과정'!$C$35*D2016+'계산 과정'!$D$35*E2016,"")</x:f>
        <x:v>648.8889866759299</x:v>
      </x:c>
      <x:c r="K2016" s="4" t="n">
        <x:f>IF(AND('계산 과정'!$L$6,J2016&gt;0),'계산 과정'!$D$10*('계산 과정'!$C$38*(D2016-'계산 과정'!$C$32)+'계산 과정'!$D$38*(E2016-'계산 과정'!$D$32)-'계산 과정'!$E$38*'계산 과정'!$E$32)/J2016,"")</x:f>
        <x:v>0.013697422479138422</x:v>
      </x:c>
      <x:c r="L2016" s="4" t="n">
        <x:f>IF(AND('계산 과정'!$L$6,J2016&gt;0),'계산 과정'!$D$10*('계산 과정'!$C$39*(D2016-'계산 과정'!$C$32)+'계산 과정'!$D$39*(E2016-'계산 과정'!$D$32)-'계산 과정'!$E$39*'계산 과정'!$E$32)/J2016,"")</x:f>
        <x:v>-1.832203187439509</x:v>
      </x:c>
      <x:c r="M2016" s="17" t="n">
        <x:f>IF('계산 과정'!$L$6,IF(J2016&lt;=0,0,IF(AND(ABS(K2016)&lt;='계산 과정'!$D$11/2,ABS(L2016)&lt;='계산 과정'!$D$12/2),1,0)),"")</x:f>
        <x:v>1</x:v>
      </x:c>
      <x:c r="N2016" s="17" t="n">
        <x:f>IF('계산 과정'!$C$78,IF(AND(ISNUMBER(H2016),ISNUMBER(I2016),ABS(H2016-'계산 과정'!$C$88)&lt;='계산 과정'!$D$23/2,ABS(I2016-'계산 과정'!$C$89)&lt;='계산 과정'!$D$24/2),1,0),"")</x:f>
        <x:v>1</x:v>
      </x:c>
      <x:c r="O2016" s="4" t="n">
        <x:f>IF('계산 과정'!$L$7,'계산 과정'!$C$49*('계산 과정'!$C$32-D2016)+'계산 과정'!$D$49*('계산 과정'!$D$32-E2016)+'계산 과정'!$E$49*'계산 과정'!$E$32,"")</x:f>
        <x:v>1.111013324070143</x:v>
      </x:c>
      <x:c r="P2016" s="4" t="n">
        <x:f>IF(AND('계산 과정'!$L$7,O2016&lt;&gt;0),('계산 과정'!$L$23-'계산 과정'!$C$49*D2016-'계산 과정'!$D$49*E2016)/O2016,"")</x:f>
        <x:v>361.03168578988726</x:v>
      </x:c>
      <x:c r="Q2016" s="4" t="str">
        <x:f>IF(AND(ISNUMBER(P2016),P2016&gt;1E-9,P2016&lt;1-1E-9),'계산 과정'!$C$47*(D2016-'계산 과정'!$C$50+P2016*('계산 과정'!$C$32-D2016))+'계산 과정'!$D$47*(E2016-'계산 과정'!$D$50+P2016*('계산 과정'!$D$32-E2016))+'계산 과정'!$E$47*(0-'계산 과정'!$E$50+P2016*('계산 과정'!$E$32-0)),"")</x:f>
      </x:c>
      <x:c r="R2016" s="4" t="str">
        <x:f>IF(AND(ISNUMBER(P2016),P2016&gt;1E-9,P2016&lt;1-1E-9),'계산 과정'!$C$48*(D2016-'계산 과정'!$C$50+P2016*('계산 과정'!$C$32-D2016))+'계산 과정'!$D$48*(E2016-'계산 과정'!$D$50+P2016*('계산 과정'!$D$32-E2016))+'계산 과정'!$E$48*(0-'계산 과정'!$E$50+P2016*('계산 과정'!$E$32-0)),"")</x:f>
      </x:c>
      <x:c r="S2016" s="17" t="n">
        <x:f>IF('계산 과정'!$C$78,IF(AND(ISNUMBER(Q2016),ISNUMBER(R2016),ABS(Q2016-'계산 과정'!$C$88)&lt;='계산 과정'!$D$23/2,ABS(R2016-'계산 과정'!$C$89)&lt;='계산 과정'!$D$24/2),1,0),"")</x:f>
        <x:v>0</x:v>
      </x:c>
      <x:c r="T2016" s="4"/>
      <x:c r="U2016" s="4"/>
      <x:c r="V2016" s="4"/>
      <x:c r="W2016" s="4"/>
      <x:c r="X2016" s="4"/>
      <x:c r="Y2016" s="4"/>
      <x:c r="Z2016" s="4"/>
    </x:row>
    <x:row r="2017" ht="23" customHeight="1">
      <x:c r="A2017" s="17" t="n">
        <x:f>ROW()-6</x:f>
        <x:v>2011</x:v>
      </x:c>
      <x:c r="B2017" s="4" t="n">
        <x:f>IF('계산 과정'!$L$5,'계산 과정'!$L$11*SQRT((A2017+0.5)/'계산 과정'!$L$30),"")</x:f>
        <x:v>148.65732078655762</x:v>
      </x:c>
      <x:c r="C2017" s="4" t="n">
        <x:f>A2017*PI()*(3-SQRT(5))</x:f>
        <x:v>4826.326054984321</x:v>
      </x:c>
      <x:c r="D2017" s="4" t="n">
        <x:f>IF('계산 과정'!$L$5,B2017*COS(C2017),"")</x:f>
        <x:v>99.25211606918627</x:v>
      </x:c>
      <x:c r="E2017" s="4" t="n">
        <x:f>IF('계산 과정'!$L$5,B2017*SIN(C2017),"")</x:f>
        <x:v>110.67075710966412</x:v>
      </x:c>
      <x:c r="F2017" s="4" t="n">
        <x:f>IF('계산 과정'!$L$7,'계산 과정'!$L$22+'계산 과정'!$C$49*D2017+'계산 과정'!$D$49*E2017,"")</x:f>
        <x:v>579.818155680364</x:v>
      </x:c>
      <x:c r="G2017" s="4" t="n">
        <x:f>IF('계산 과정'!$L$7,IF(ABS(F2017)&gt;=1E-12*MAX(1,SQRT((D2017-'계산 과정'!$C$33)^2+(E2017-'계산 과정'!$D$33)^2+'계산 과정'!$E$33^2)),('계산 과정'!$L$23-'계산 과정'!$C$49*D2017-'계산 과정'!$D$49*E2017)/F2017,""),"")</x:f>
        <x:v>0.8109125933939066</x:v>
      </x:c>
      <x:c r="H2017" s="4" t="n">
        <x:f>IF(AND(ISNUMBER(G2017),G2017&gt;0),('계산 과정'!$D$56+'계산 과정'!$D$57*D2017+'계산 과정'!$D$58*E2017)/F2017,"")</x:f>
        <x:v>127.09318570603921</x:v>
      </x:c>
      <x:c r="I2017" s="4" t="n">
        <x:f>IF(AND(ISNUMBER(G2017),G2017&gt;0),('계산 과정'!$E$56+'계산 과정'!$E$57*D2017+'계산 과정'!$E$58*E2017)/F2017,"")</x:f>
        <x:v>200.415067770329</x:v>
      </x:c>
      <x:c r="J2017" s="4" t="n">
        <x:f>IF('계산 과정'!$L$5,'계산 과정'!$D$6+'계산 과정'!$C$35*D2017+'계산 과정'!$D$35*E2017,"")</x:f>
        <x:v>579.818155680364</x:v>
      </x:c>
      <x:c r="K2017" s="4" t="n">
        <x:f>IF(AND('계산 과정'!$L$6,J2017&gt;0),'계산 과정'!$D$10*('계산 과정'!$C$38*(D2017-'계산 과정'!$C$32)+'계산 과정'!$D$38*(E2017-'계산 과정'!$D$32)-'계산 과정'!$E$38*'계산 과정'!$E$32)/J2017,"")</x:f>
        <x:v>0.9683290339507757</x:v>
      </x:c>
      <x:c r="L2017" s="4" t="n">
        <x:f>IF(AND('계산 과정'!$L$6,J2017&gt;0),'계산 과정'!$D$10*('계산 과정'!$C$39*(D2017-'계산 과정'!$C$32)+'계산 과정'!$D$39*(E2017-'계산 과정'!$D$32)-'계산 과정'!$E$39*'계산 과정'!$E$32)/J2017,"")</x:f>
        <x:v>1.5269719449167924</x:v>
      </x:c>
      <x:c r="M2017" s="17" t="n">
        <x:f>IF('계산 과정'!$L$6,IF(J2017&lt;=0,0,IF(AND(ABS(K2017)&lt;='계산 과정'!$D$11/2,ABS(L2017)&lt;='계산 과정'!$D$12/2),1,0)),"")</x:f>
        <x:v>1</x:v>
      </x:c>
      <x:c r="N2017" s="17" t="n">
        <x:f>IF('계산 과정'!$C$78,IF(AND(ISNUMBER(H2017),ISNUMBER(I2017),ABS(H2017-'계산 과정'!$C$88)&lt;='계산 과정'!$D$23/2,ABS(I2017-'계산 과정'!$C$89)&lt;='계산 과정'!$D$24/2),1,0),"")</x:f>
        <x:v>1</x:v>
      </x:c>
      <x:c r="O2017" s="4" t="n">
        <x:f>IF('계산 과정'!$L$7,'계산 과정'!$C$49*('계산 과정'!$C$32-D2017)+'계산 과정'!$D$49*('계산 과정'!$D$32-E2017)+'계산 과정'!$E$49*'계산 과정'!$E$32,"")</x:f>
        <x:v>70.18184431963604</x:v>
      </x:c>
      <x:c r="P2017" s="4" t="n">
        <x:f>IF(AND('계산 과정'!$L$7,O2017&lt;&gt;0),('계산 과정'!$L$23-'계산 과정'!$C$49*D2017-'계산 과정'!$D$49*E2017)/O2017,"")</x:f>
        <x:v>6.699479742627462</x:v>
      </x:c>
      <x:c r="Q2017" s="4" t="str">
        <x:f>IF(AND(ISNUMBER(P2017),P2017&gt;1E-9,P2017&lt;1-1E-9),'계산 과정'!$C$47*(D2017-'계산 과정'!$C$50+P2017*('계산 과정'!$C$32-D2017))+'계산 과정'!$D$47*(E2017-'계산 과정'!$D$50+P2017*('계산 과정'!$D$32-E2017))+'계산 과정'!$E$47*(0-'계산 과정'!$E$50+P2017*('계산 과정'!$E$32-0)),"")</x:f>
      </x:c>
      <x:c r="R2017" s="4" t="str">
        <x:f>IF(AND(ISNUMBER(P2017),P2017&gt;1E-9,P2017&lt;1-1E-9),'계산 과정'!$C$48*(D2017-'계산 과정'!$C$50+P2017*('계산 과정'!$C$32-D2017))+'계산 과정'!$D$48*(E2017-'계산 과정'!$D$50+P2017*('계산 과정'!$D$32-E2017))+'계산 과정'!$E$48*(0-'계산 과정'!$E$50+P2017*('계산 과정'!$E$32-0)),"")</x:f>
      </x:c>
      <x:c r="S2017" s="17" t="n">
        <x:f>IF('계산 과정'!$C$78,IF(AND(ISNUMBER(Q2017),ISNUMBER(R2017),ABS(Q2017-'계산 과정'!$C$88)&lt;='계산 과정'!$D$23/2,ABS(R2017-'계산 과정'!$C$89)&lt;='계산 과정'!$D$24/2),1,0),"")</x:f>
        <x:v>0</x:v>
      </x:c>
      <x:c r="T2017" s="4"/>
      <x:c r="U2017" s="4"/>
      <x:c r="V2017" s="4"/>
      <x:c r="W2017" s="4"/>
      <x:c r="X2017" s="4"/>
      <x:c r="Y2017" s="4"/>
      <x:c r="Z2017" s="4"/>
    </x:row>
    <x:row r="2018" ht="23" customHeight="1">
      <x:c r="A2018" s="17" t="n">
        <x:f>ROW()-6</x:f>
        <x:v>2012</x:v>
      </x:c>
      <x:c r="B2018" s="4" t="n">
        <x:f>IF('계산 과정'!$L$5,'계산 과정'!$L$11*SQRT((A2018+0.5)/'계산 과정'!$L$30),"")</x:f>
        <x:v>148.69426805214283</x:v>
      </x:c>
      <x:c r="C2018" s="4" t="n">
        <x:f>A2018*PI()*(3-SQRT(5))</x:f>
        <x:v>4828.72601821405</x:v>
      </x:c>
      <x:c r="D2018" s="4" t="n">
        <x:f>IF('계산 과정'!$L$5,B2018*COS(C2018),"")</x:f>
        <x:v>-147.9792133491497</x:v>
      </x:c>
      <x:c r="E2018" s="4" t="n">
        <x:f>IF('계산 과정'!$L$5,B2018*SIN(C2018),"")</x:f>
        <x:v>-14.564949987190017</x:v>
      </x:c>
      <x:c r="F2018" s="4" t="n">
        <x:f>IF('계산 과정'!$L$7,'계산 과정'!$L$22+'계산 과정'!$C$49*D2018+'계산 과정'!$D$49*E2018,"")</x:f>
        <x:v>754.6371052338346</x:v>
      </x:c>
      <x:c r="G2018" s="4" t="n">
        <x:f>IF('계산 과정'!$L$7,IF(ABS(F2018)&gt;=1E-12*MAX(1,SQRT((D2018-'계산 과정'!$C$33)^2+(E2018-'계산 과정'!$D$33)^2+'계산 과정'!$E$33^2)),('계산 과정'!$L$23-'계산 과정'!$C$49*D2018-'계산 과정'!$D$49*E2018)/F2018,""),"")</x:f>
        <x:v>0.3913972593153144</x:v>
      </x:c>
      <x:c r="H2018" s="4" t="n">
        <x:f>IF(AND(ISNUMBER(G2018),G2018&gt;0),('계산 과정'!$D$56+'계산 과정'!$D$57*D2018+'계산 과정'!$D$58*E2018)/F2018,"")</x:f>
        <x:v>-145.59178144504577</x:v>
      </x:c>
      <x:c r="I2018" s="4" t="n">
        <x:f>IF(AND(ISNUMBER(G2018),G2018&gt;0),('계산 과정'!$E$56+'계산 과정'!$E$57*D2018+'계산 과정'!$E$58*E2018)/F2018,"")</x:f>
        <x:v>-20.265631494240814</x:v>
      </x:c>
      <x:c r="J2018" s="4" t="n">
        <x:f>IF('계산 과정'!$L$5,'계산 과정'!$D$6+'계산 과정'!$C$35*D2018+'계산 과정'!$D$35*E2018,"")</x:f>
        <x:v>754.6371052338346</x:v>
      </x:c>
      <x:c r="K2018" s="4" t="n">
        <x:f>IF(AND('계산 과정'!$L$6,J2018&gt;0),'계산 과정'!$D$10*('계산 과정'!$C$38*(D2018-'계산 과정'!$C$32)+'계산 과정'!$D$38*(E2018-'계산 과정'!$D$32)-'계산 과정'!$E$38*'계산 과정'!$E$32)/J2018,"")</x:f>
        <x:v>-1.109270715771777</x:v>
      </x:c>
      <x:c r="L2018" s="4" t="n">
        <x:f>IF(AND('계산 과정'!$L$6,J2018&gt;0),'계산 과정'!$D$10*('계산 과정'!$C$39*(D2018-'계산 과정'!$C$32)+'계산 과정'!$D$39*(E2018-'계산 과정'!$D$32)-'계산 과정'!$E$39*'계산 과정'!$E$32)/J2018,"")</x:f>
        <x:v>-0.15440481138469192</x:v>
      </x:c>
      <x:c r="M2018" s="17" t="n">
        <x:f>IF('계산 과정'!$L$6,IF(J2018&lt;=0,0,IF(AND(ABS(K2018)&lt;='계산 과정'!$D$11/2,ABS(L2018)&lt;='계산 과정'!$D$12/2),1,0)),"")</x:f>
        <x:v>1</x:v>
      </x:c>
      <x:c r="N2018" s="17" t="n">
        <x:f>IF('계산 과정'!$C$78,IF(AND(ISNUMBER(H2018),ISNUMBER(I2018),ABS(H2018-'계산 과정'!$C$88)&lt;='계산 과정'!$D$23/2,ABS(I2018-'계산 과정'!$C$89)&lt;='계산 과정'!$D$24/2),1,0),"")</x:f>
        <x:v>1</x:v>
      </x:c>
      <x:c r="O2018" s="4" t="n">
        <x:f>IF('계산 과정'!$L$7,'계산 과정'!$C$49*('계산 과정'!$C$32-D2018)+'계산 과정'!$D$49*('계산 과정'!$D$32-E2018)+'계산 과정'!$E$49*'계산 과정'!$E$32,"")</x:f>
        <x:v>-104.63710523383452</x:v>
      </x:c>
      <x:c r="P2018" s="4" t="n">
        <x:f>IF(AND('계산 과정'!$L$7,O2018&lt;&gt;0),('계산 과정'!$L$23-'계산 과정'!$C$49*D2018-'계산 과정'!$D$49*E2018)/O2018,"")</x:f>
        <x:v>-2.822735721770134</x:v>
      </x:c>
      <x:c r="Q2018" s="4" t="str">
        <x:f>IF(AND(ISNUMBER(P2018),P2018&gt;1E-9,P2018&lt;1-1E-9),'계산 과정'!$C$47*(D2018-'계산 과정'!$C$50+P2018*('계산 과정'!$C$32-D2018))+'계산 과정'!$D$47*(E2018-'계산 과정'!$D$50+P2018*('계산 과정'!$D$32-E2018))+'계산 과정'!$E$47*(0-'계산 과정'!$E$50+P2018*('계산 과정'!$E$32-0)),"")</x:f>
      </x:c>
      <x:c r="R2018" s="4" t="str">
        <x:f>IF(AND(ISNUMBER(P2018),P2018&gt;1E-9,P2018&lt;1-1E-9),'계산 과정'!$C$48*(D2018-'계산 과정'!$C$50+P2018*('계산 과정'!$C$32-D2018))+'계산 과정'!$D$48*(E2018-'계산 과정'!$D$50+P2018*('계산 과정'!$D$32-E2018))+'계산 과정'!$E$48*(0-'계산 과정'!$E$50+P2018*('계산 과정'!$E$32-0)),"")</x:f>
      </x:c>
      <x:c r="S2018" s="17" t="n">
        <x:f>IF('계산 과정'!$C$78,IF(AND(ISNUMBER(Q2018),ISNUMBER(R2018),ABS(Q2018-'계산 과정'!$C$88)&lt;='계산 과정'!$D$23/2,ABS(R2018-'계산 과정'!$C$89)&lt;='계산 과정'!$D$24/2),1,0),"")</x:f>
        <x:v>0</x:v>
      </x:c>
      <x:c r="T2018" s="4"/>
      <x:c r="U2018" s="4"/>
      <x:c r="V2018" s="4"/>
      <x:c r="W2018" s="4"/>
      <x:c r="X2018" s="4"/>
      <x:c r="Y2018" s="4"/>
      <x:c r="Z2018" s="4"/>
    </x:row>
    <x:row r="2019" ht="23" customHeight="1">
      <x:c r="A2019" s="17" t="n">
        <x:f>ROW()-6</x:f>
        <x:v>2013</x:v>
      </x:c>
      <x:c r="B2019" s="4" t="n">
        <x:f>IF('계산 과정'!$L$5,'계산 과정'!$L$11*SQRT((A2019+0.5)/'계산 과정'!$L$30),"")</x:f>
        <x:v>148.73120613942288</x:v>
      </x:c>
      <x:c r="C2019" s="4" t="n">
        <x:f>A2019*PI()*(3-SQRT(5))</x:f>
        <x:v>4831.125981443778</x:v>
      </x:c>
      <x:c r="D2019" s="4" t="n">
        <x:f>IF('계산 과정'!$L$5,B2019*COS(C2019),"")</x:f>
        <x:v>118.98329893495679</x:v>
      </x:c>
      <x:c r="E2019" s="4" t="n">
        <x:f>IF('계산 과정'!$L$5,B2019*SIN(C2019),"")</x:f>
        <x:v>-89.24094494256664</x:v>
      </x:c>
      <x:c r="F2019" s="4" t="n">
        <x:f>IF('계산 과정'!$L$7,'계산 과정'!$L$22+'계산 과정'!$C$49*D2019+'계산 과정'!$D$49*E2019,"")</x:f>
        <x:v>565.8661024751459</x:v>
      </x:c>
      <x:c r="G2019" s="4" t="n">
        <x:f>IF('계산 과정'!$L$7,IF(ABS(F2019)&gt;=1E-12*MAX(1,SQRT((D2019-'계산 과정'!$C$33)^2+(E2019-'계산 과정'!$D$33)^2+'계산 과정'!$E$33^2)),('계산 과정'!$L$23-'계산 과정'!$C$49*D2019-'계산 과정'!$D$49*E2019)/F2019,""),"")</x:f>
        <x:v>0.855562641775522</x:v>
      </x:c>
      <x:c r="H2019" s="4" t="n">
        <x:f>IF(AND(ISNUMBER(G2019),G2019&gt;0),('계산 과정'!$D$56+'계산 과정'!$D$57*D2019+'계산 과정'!$D$58*E2019)/F2019,"")</x:f>
        <x:v>156.11571715408917</x:v>
      </x:c>
      <x:c r="I2019" s="4" t="n">
        <x:f>IF(AND(ISNUMBER(G2019),G2019&gt;0),('계산 과정'!$E$56+'계산 과정'!$E$57*D2019+'계산 과정'!$E$58*E2019)/F2019,"")</x:f>
        <x:v>-165.59216355217285</x:v>
      </x:c>
      <x:c r="J2019" s="4" t="n">
        <x:f>IF('계산 과정'!$L$5,'계산 과정'!$D$6+'계산 과정'!$C$35*D2019+'계산 과정'!$D$35*E2019,"")</x:f>
        <x:v>565.8661024751459</x:v>
      </x:c>
      <x:c r="K2019" s="4" t="n">
        <x:f>IF(AND('계산 과정'!$L$6,J2019&gt;0),'계산 과정'!$D$10*('계산 과정'!$C$38*(D2019-'계산 과정'!$C$32)+'계산 과정'!$D$38*(E2019-'계산 과정'!$D$32)-'계산 과정'!$E$38*'계산 과정'!$E$32)/J2019,"")</x:f>
        <x:v>1.1894530830787753</x:v>
      </x:c>
      <x:c r="L2019" s="4" t="n">
        <x:f>IF(AND('계산 과정'!$L$6,J2019&gt;0),'계산 과정'!$D$10*('계산 과정'!$C$39*(D2019-'계산 과정'!$C$32)+'계산 과정'!$D$39*(E2019-'계산 과정'!$D$32)-'계산 과정'!$E$39*'계산 과정'!$E$32)/J2019,"")</x:f>
        <x:v>-1.2616545794451266</x:v>
      </x:c>
      <x:c r="M2019" s="17" t="n">
        <x:f>IF('계산 과정'!$L$6,IF(J2019&lt;=0,0,IF(AND(ABS(K2019)&lt;='계산 과정'!$D$11/2,ABS(L2019)&lt;='계산 과정'!$D$12/2),1,0)),"")</x:f>
        <x:v>1</x:v>
      </x:c>
      <x:c r="N2019" s="17" t="n">
        <x:f>IF('계산 과정'!$C$78,IF(AND(ISNUMBER(H2019),ISNUMBER(I2019),ABS(H2019-'계산 과정'!$C$88)&lt;='계산 과정'!$D$23/2,ABS(I2019-'계산 과정'!$C$89)&lt;='계산 과정'!$D$24/2),1,0),"")</x:f>
        <x:v>1</x:v>
      </x:c>
      <x:c r="O2019" s="4" t="n">
        <x:f>IF('계산 과정'!$L$7,'계산 과정'!$C$49*('계산 과정'!$C$32-D2019)+'계산 과정'!$D$49*('계산 과정'!$D$32-E2019)+'계산 과정'!$E$49*'계산 과정'!$E$32,"")</x:f>
        <x:v>84.13389752485418</x:v>
      </x:c>
      <x:c r="P2019" s="4" t="n">
        <x:f>IF(AND('계산 과정'!$L$7,O2019&lt;&gt;0),('계산 과정'!$L$23-'계산 과정'!$C$49*D2019-'계산 과정'!$D$49*E2019)/O2019,"")</x:f>
        <x:v>5.754326279509814</x:v>
      </x:c>
      <x:c r="Q2019" s="4" t="str">
        <x:f>IF(AND(ISNUMBER(P2019),P2019&gt;1E-9,P2019&lt;1-1E-9),'계산 과정'!$C$47*(D2019-'계산 과정'!$C$50+P2019*('계산 과정'!$C$32-D2019))+'계산 과정'!$D$47*(E2019-'계산 과정'!$D$50+P2019*('계산 과정'!$D$32-E2019))+'계산 과정'!$E$47*(0-'계산 과정'!$E$50+P2019*('계산 과정'!$E$32-0)),"")</x:f>
      </x:c>
      <x:c r="R2019" s="4" t="str">
        <x:f>IF(AND(ISNUMBER(P2019),P2019&gt;1E-9,P2019&lt;1-1E-9),'계산 과정'!$C$48*(D2019-'계산 과정'!$C$50+P2019*('계산 과정'!$C$32-D2019))+'계산 과정'!$D$48*(E2019-'계산 과정'!$D$50+P2019*('계산 과정'!$D$32-E2019))+'계산 과정'!$E$48*(0-'계산 과정'!$E$50+P2019*('계산 과정'!$E$32-0)),"")</x:f>
      </x:c>
      <x:c r="S2019" s="17" t="n">
        <x:f>IF('계산 과정'!$C$78,IF(AND(ISNUMBER(Q2019),ISNUMBER(R2019),ABS(Q2019-'계산 과정'!$C$88)&lt;='계산 과정'!$D$23/2,ABS(R2019-'계산 과정'!$C$89)&lt;='계산 과정'!$D$24/2),1,0),"")</x:f>
        <x:v>0</x:v>
      </x:c>
      <x:c r="T2019" s="4"/>
      <x:c r="U2019" s="4"/>
      <x:c r="V2019" s="4"/>
      <x:c r="W2019" s="4"/>
      <x:c r="X2019" s="4"/>
      <x:c r="Y2019" s="4"/>
      <x:c r="Z2019" s="4"/>
    </x:row>
    <x:row r="2020" ht="23" customHeight="1">
      <x:c r="A2020" s="17" t="n">
        <x:f>ROW()-6</x:f>
        <x:v>2014</x:v>
      </x:c>
      <x:c r="B2020" s="4" t="n">
        <x:f>IF('계산 과정'!$L$5,'계산 과정'!$L$11*SQRT((A2020+0.5)/'계산 과정'!$L$30),"")</x:f>
        <x:v>148.76813505523452</x:v>
      </x:c>
      <x:c r="C2020" s="4" t="n">
        <x:f>A2020*PI()*(3-SQRT(5))</x:f>
        <x:v>4833.525944673506</x:v>
      </x:c>
      <x:c r="D2020" s="4" t="n">
        <x:f>IF('계산 과정'!$L$5,B2020*COS(C2020),"")</x:f>
        <x:v>-27.46000592071969</x:v>
      </x:c>
      <x:c r="E2020" s="4" t="n">
        <x:f>IF('계산 과정'!$L$5,B2020*SIN(C2020),"")</x:f>
        <x:v>146.21185342730095</x:v>
      </x:c>
      <x:c r="F2020" s="4" t="n">
        <x:f>IF('계산 과정'!$L$7,'계산 과정'!$L$22+'계산 과정'!$C$49*D2020+'계산 과정'!$D$49*E2020,"")</x:f>
        <x:v>669.4171563979636</x:v>
      </x:c>
      <x:c r="G2020" s="4" t="n">
        <x:f>IF('계산 과정'!$L$7,IF(ABS(F2020)&gt;=1E-12*MAX(1,SQRT((D2020-'계산 과정'!$C$33)^2+(E2020-'계산 과정'!$D$33)^2+'계산 과정'!$E$33^2)),('계산 과정'!$L$23-'계산 과정'!$C$49*D2020-'계산 과정'!$D$49*E2020)/F2020,""),"")</x:f>
        <x:v>0.5685286670122071</x:v>
      </x:c>
      <x:c r="H2020" s="4" t="n">
        <x:f>IF(AND(ISNUMBER(G2020),G2020&gt;0),('계산 과정'!$D$56+'계산 과정'!$D$57*D2020+'계산 과정'!$D$58*E2020)/F2020,"")</x:f>
        <x:v>-30.456366442065573</x:v>
      </x:c>
      <x:c r="I2020" s="4" t="n">
        <x:f>IF(AND(ISNUMBER(G2020),G2020&gt;0),('계산 과정'!$E$56+'계산 과정'!$E$57*D2020+'계산 과정'!$E$58*E2020)/F2020,"")</x:f>
        <x:v>229.33748355770857</x:v>
      </x:c>
      <x:c r="J2020" s="4" t="n">
        <x:f>IF('계산 과정'!$L$5,'계산 과정'!$D$6+'계산 과정'!$C$35*D2020+'계산 과정'!$D$35*E2020,"")</x:f>
        <x:v>669.4171563979636</x:v>
      </x:c>
      <x:c r="K2020" s="4" t="n">
        <x:f>IF(AND('계산 과정'!$L$6,J2020&gt;0),'계산 과정'!$D$10*('계산 과정'!$C$38*(D2020-'계산 과정'!$C$32)+'계산 과정'!$D$38*(E2020-'계산 과정'!$D$32)-'계산 과정'!$E$38*'계산 과정'!$E$32)/J2020,"")</x:f>
        <x:v>-0.23204850622526077</x:v>
      </x:c>
      <x:c r="L2020" s="4" t="n">
        <x:f>IF(AND('계산 과정'!$L$6,J2020&gt;0),'계산 과정'!$D$10*('계산 과정'!$C$39*(D2020-'계산 과정'!$C$32)+'계산 과정'!$D$39*(E2020-'계산 과정'!$D$32)-'계산 과정'!$E$39*'계산 과정'!$E$32)/J2020,"")</x:f>
        <x:v>1.7473332080587318</x:v>
      </x:c>
      <x:c r="M2020" s="17" t="n">
        <x:f>IF('계산 과정'!$L$6,IF(J2020&lt;=0,0,IF(AND(ABS(K2020)&lt;='계산 과정'!$D$11/2,ABS(L2020)&lt;='계산 과정'!$D$12/2),1,0)),"")</x:f>
        <x:v>1</x:v>
      </x:c>
      <x:c r="N2020" s="17" t="n">
        <x:f>IF('계산 과정'!$C$78,IF(AND(ISNUMBER(H2020),ISNUMBER(I2020),ABS(H2020-'계산 과정'!$C$88)&lt;='계산 과정'!$D$23/2,ABS(I2020-'계산 과정'!$C$89)&lt;='계산 과정'!$D$24/2),1,0),"")</x:f>
        <x:v>1</x:v>
      </x:c>
      <x:c r="O2020" s="4" t="n">
        <x:f>IF('계산 과정'!$L$7,'계산 과정'!$C$49*('계산 과정'!$C$32-D2020)+'계산 과정'!$D$49*('계산 과정'!$D$32-E2020)+'계산 과정'!$E$49*'계산 과정'!$E$32,"")</x:f>
        <x:v>-19.417156397963538</x:v>
      </x:c>
      <x:c r="P2020" s="4" t="n">
        <x:f>IF(AND('계산 과정'!$L$7,O2020&lt;&gt;0),('계산 과정'!$L$23-'계산 과정'!$C$49*D2020-'계산 과정'!$D$49*E2020)/O2020,"")</x:f>
        <x:v>-19.600338782971935</x:v>
      </x:c>
      <x:c r="Q2020" s="4" t="str">
        <x:f>IF(AND(ISNUMBER(P2020),P2020&gt;1E-9,P2020&lt;1-1E-9),'계산 과정'!$C$47*(D2020-'계산 과정'!$C$50+P2020*('계산 과정'!$C$32-D2020))+'계산 과정'!$D$47*(E2020-'계산 과정'!$D$50+P2020*('계산 과정'!$D$32-E2020))+'계산 과정'!$E$47*(0-'계산 과정'!$E$50+P2020*('계산 과정'!$E$32-0)),"")</x:f>
      </x:c>
      <x:c r="R2020" s="4" t="str">
        <x:f>IF(AND(ISNUMBER(P2020),P2020&gt;1E-9,P2020&lt;1-1E-9),'계산 과정'!$C$48*(D2020-'계산 과정'!$C$50+P2020*('계산 과정'!$C$32-D2020))+'계산 과정'!$D$48*(E2020-'계산 과정'!$D$50+P2020*('계산 과정'!$D$32-E2020))+'계산 과정'!$E$48*(0-'계산 과정'!$E$50+P2020*('계산 과정'!$E$32-0)),"")</x:f>
      </x:c>
      <x:c r="S2020" s="17" t="n">
        <x:f>IF('계산 과정'!$C$78,IF(AND(ISNUMBER(Q2020),ISNUMBER(R2020),ABS(Q2020-'계산 과정'!$C$88)&lt;='계산 과정'!$D$23/2,ABS(R2020-'계산 과정'!$C$89)&lt;='계산 과정'!$D$24/2),1,0),"")</x:f>
        <x:v>0</x:v>
      </x:c>
      <x:c r="T2020" s="4"/>
      <x:c r="U2020" s="4"/>
      <x:c r="V2020" s="4"/>
      <x:c r="W2020" s="4"/>
      <x:c r="X2020" s="4"/>
      <x:c r="Y2020" s="4"/>
      <x:c r="Z2020" s="4"/>
    </x:row>
    <x:row r="2021" ht="23" customHeight="1">
      <x:c r="A2021" s="17" t="n">
        <x:f>ROW()-6</x:f>
        <x:v>2015</x:v>
      </x:c>
      <x:c r="B2021" s="4" t="n">
        <x:f>IF('계산 과정'!$L$5,'계산 과정'!$L$11*SQRT((A2021+0.5)/'계산 과정'!$L$30),"")</x:f>
        <x:v>148.80505480640602</x:v>
      </x:c>
      <x:c r="C2021" s="4" t="n">
        <x:f>A2021*PI()*(3-SQRT(5))</x:f>
        <x:v>4835.925907903235</x:v>
      </x:c>
      <x:c r="D2021" s="4" t="n">
        <x:f>IF('계산 과정'!$L$5,B2021*COS(C2021),"")</x:f>
        <x:v>-78.53601956708684</x:v>
      </x:c>
      <x:c r="E2021" s="4" t="n">
        <x:f>IF('계산 과정'!$L$5,B2021*SIN(C2021),"")</x:f>
        <x:v>-126.39239679069169</x:v>
      </x:c>
      <x:c r="F2021" s="4" t="n">
        <x:f>IF('계산 과정'!$L$7,'계산 과정'!$L$22+'계산 과정'!$C$49*D2021+'계산 과정'!$D$49*E2021,"")</x:f>
        <x:v>705.5333520032865</x:v>
      </x:c>
      <x:c r="G2021" s="4" t="n">
        <x:f>IF('계산 과정'!$L$7,IF(ABS(F2021)&gt;=1E-12*MAX(1,SQRT((D2021-'계산 과정'!$C$33)^2+(E2021-'계산 과정'!$D$33)^2+'계산 과정'!$E$33^2)),('계산 과정'!$L$23-'계산 과정'!$C$49*D2021-'계산 과정'!$D$49*E2021)/F2021,""),"")</x:f>
        <x:v>0.4882358105660594</x:v>
      </x:c>
      <x:c r="H2021" s="4" t="n">
        <x:f>IF(AND(ISNUMBER(G2021),G2021&gt;0),('계산 과정'!$D$56+'계산 과정'!$D$57*D2021+'계산 과정'!$D$58*E2021)/F2021,"")</x:f>
        <x:v>-82.6467231320615</x:v>
      </x:c>
      <x:c r="I2021" s="4" t="n">
        <x:f>IF(AND(ISNUMBER(G2021),G2021&gt;0),('계산 과정'!$E$56+'계산 과정'!$E$57*D2021+'계산 과정'!$E$58*E2021)/F2021,"")</x:f>
        <x:v>-188.10169108718208</x:v>
      </x:c>
      <x:c r="J2021" s="4" t="n">
        <x:f>IF('계산 과정'!$L$5,'계산 과정'!$D$6+'계산 과정'!$C$35*D2021+'계산 과정'!$D$35*E2021,"")</x:f>
        <x:v>705.5333520032865</x:v>
      </x:c>
      <x:c r="K2021" s="4" t="n">
        <x:f>IF(AND('계산 과정'!$L$6,J2021&gt;0),'계산 과정'!$D$10*('계산 과정'!$C$38*(D2021-'계산 과정'!$C$32)+'계산 과정'!$D$38*(E2021-'계산 과정'!$D$32)-'계산 과정'!$E$38*'계산 과정'!$E$32)/J2021,"")</x:f>
        <x:v>-0.6296893191014193</x:v>
      </x:c>
      <x:c r="L2021" s="4" t="n">
        <x:f>IF(AND('계산 과정'!$L$6,J2021&gt;0),'계산 과정'!$D$10*('계산 과정'!$C$39*(D2021-'계산 과정'!$C$32)+'계산 과정'!$D$39*(E2021-'계산 과정'!$D$32)-'계산 과정'!$E$39*'계산 과정'!$E$32)/J2021,"")</x:f>
        <x:v>-1.4331557416166252</x:v>
      </x:c>
      <x:c r="M2021" s="17" t="n">
        <x:f>IF('계산 과정'!$L$6,IF(J2021&lt;=0,0,IF(AND(ABS(K2021)&lt;='계산 과정'!$D$11/2,ABS(L2021)&lt;='계산 과정'!$D$12/2),1,0)),"")</x:f>
        <x:v>1</x:v>
      </x:c>
      <x:c r="N2021" s="17" t="n">
        <x:f>IF('계산 과정'!$C$78,IF(AND(ISNUMBER(H2021),ISNUMBER(I2021),ABS(H2021-'계산 과정'!$C$88)&lt;='계산 과정'!$D$23/2,ABS(I2021-'계산 과정'!$C$89)&lt;='계산 과정'!$D$24/2),1,0),"")</x:f>
        <x:v>1</x:v>
      </x:c>
      <x:c r="O2021" s="4" t="n">
        <x:f>IF('계산 과정'!$L$7,'계산 과정'!$C$49*('계산 과정'!$C$32-D2021)+'계산 과정'!$D$49*('계산 과정'!$D$32-E2021)+'계산 과정'!$E$49*'계산 과정'!$E$32,"")</x:f>
        <x:v>-55.533352003286325</x:v>
      </x:c>
      <x:c r="P2021" s="4" t="n">
        <x:f>IF(AND('계산 과정'!$L$7,O2021&lt;&gt;0),('계산 과정'!$L$23-'계산 과정'!$C$49*D2021-'계산 과정'!$D$49*E2021)/O2021,"")</x:f>
        <x:v>-6.202878730899025</x:v>
      </x:c>
      <x:c r="Q2021" s="4" t="str">
        <x:f>IF(AND(ISNUMBER(P2021),P2021&gt;1E-9,P2021&lt;1-1E-9),'계산 과정'!$C$47*(D2021-'계산 과정'!$C$50+P2021*('계산 과정'!$C$32-D2021))+'계산 과정'!$D$47*(E2021-'계산 과정'!$D$50+P2021*('계산 과정'!$D$32-E2021))+'계산 과정'!$E$47*(0-'계산 과정'!$E$50+P2021*('계산 과정'!$E$32-0)),"")</x:f>
      </x:c>
      <x:c r="R2021" s="4" t="str">
        <x:f>IF(AND(ISNUMBER(P2021),P2021&gt;1E-9,P2021&lt;1-1E-9),'계산 과정'!$C$48*(D2021-'계산 과정'!$C$50+P2021*('계산 과정'!$C$32-D2021))+'계산 과정'!$D$48*(E2021-'계산 과정'!$D$50+P2021*('계산 과정'!$D$32-E2021))+'계산 과정'!$E$48*(0-'계산 과정'!$E$50+P2021*('계산 과정'!$E$32-0)),"")</x:f>
      </x:c>
      <x:c r="S2021" s="17" t="n">
        <x:f>IF('계산 과정'!$C$78,IF(AND(ISNUMBER(Q2021),ISNUMBER(R2021),ABS(Q2021-'계산 과정'!$C$88)&lt;='계산 과정'!$D$23/2,ABS(R2021-'계산 과정'!$C$89)&lt;='계산 과정'!$D$24/2),1,0),"")</x:f>
        <x:v>0</x:v>
      </x:c>
      <x:c r="T2021" s="4"/>
      <x:c r="U2021" s="4"/>
      <x:c r="V2021" s="4"/>
      <x:c r="W2021" s="4"/>
      <x:c r="X2021" s="4"/>
      <x:c r="Y2021" s="4"/>
      <x:c r="Z2021" s="4"/>
    </x:row>
    <x:row r="2022" ht="23" customHeight="1">
      <x:c r="A2022" s="17" t="n">
        <x:f>ROW()-6</x:f>
        <x:v>2016</x:v>
      </x:c>
      <x:c r="B2022" s="4" t="n">
        <x:f>IF('계산 과정'!$L$5,'계산 과정'!$L$11*SQRT((A2022+0.5)/'계산 과정'!$L$30),"")</x:f>
        <x:v>148.84196539975713</x:v>
      </x:c>
      <x:c r="C2022" s="4" t="n">
        <x:f>A2022*PI()*(3-SQRT(5))</x:f>
        <x:v>4838.3258711329645</x:v>
      </x:c>
      <x:c r="D2022" s="4" t="n">
        <x:f>IF('계산 과정'!$L$5,B2022*COS(C2022),"")</x:f>
        <x:v>143.32239575965065</x:v>
      </x:c>
      <x:c r="E2022" s="4" t="n">
        <x:f>IF('계산 과정'!$L$5,B2022*SIN(C2022),"")</x:f>
        <x:v>40.15745930430079</x:v>
      </x:c>
      <x:c r="F2022" s="4" t="n">
        <x:f>IF('계산 과정'!$L$7,'계산 과정'!$L$22+'계산 과정'!$C$49*D2022+'계산 과정'!$D$49*E2022,"")</x:f>
        <x:v>548.655762062449</x:v>
      </x:c>
      <x:c r="G2022" s="4" t="n">
        <x:f>IF('계산 과정'!$L$7,IF(ABS(F2022)&gt;=1E-12*MAX(1,SQRT((D2022-'계산 과정'!$C$33)^2+(E2022-'계산 과정'!$D$33)^2+'계산 과정'!$E$33^2)),('계산 과정'!$L$23-'계산 과정'!$C$49*D2022-'계산 과정'!$D$49*E2022)/F2022,""),"")</x:f>
        <x:v>0.91376829080032</x:v>
      </x:c>
      <x:c r="H2022" s="4" t="n">
        <x:f>IF(AND(ISNUMBER(G2022),G2022&gt;0),('계산 과정'!$D$56+'계산 과정'!$D$57*D2022+'계산 과정'!$D$58*E2022)/F2022,"")</x:f>
        <x:v>193.94938902020795</x:v>
      </x:c>
      <x:c r="I2022" s="4" t="n">
        <x:f>IF(AND(ISNUMBER(G2022),G2022&gt;0),('계산 과정'!$E$56+'계산 과정'!$E$57*D2022+'계산 과정'!$E$58*E2022)/F2022,"")</x:f>
        <x:v>76.85207225567513</x:v>
      </x:c>
      <x:c r="J2022" s="4" t="n">
        <x:f>IF('계산 과정'!$L$5,'계산 과정'!$D$6+'계산 과정'!$C$35*D2022+'계산 과정'!$D$35*E2022,"")</x:f>
        <x:v>548.655762062449</x:v>
      </x:c>
      <x:c r="K2022" s="4" t="n">
        <x:f>IF(AND('계산 과정'!$L$6,J2022&gt;0),'계산 과정'!$D$10*('계산 과정'!$C$38*(D2022-'계산 과정'!$C$32)+'계산 과정'!$D$38*(E2022-'계산 과정'!$D$32)-'계산 과정'!$E$38*'계산 과정'!$E$32)/J2022,"")</x:f>
        <x:v>1.4777096306301567</x:v>
      </x:c>
      <x:c r="L2022" s="4" t="n">
        <x:f>IF(AND('계산 과정'!$L$6,J2022&gt;0),'계산 과정'!$D$10*('계산 과정'!$C$39*(D2022-'계산 과정'!$C$32)+'계산 과정'!$D$39*(E2022-'계산 과정'!$D$32)-'계산 과정'!$E$39*'계산 과정'!$E$32)/J2022,"")</x:f>
        <x:v>0.5855395981384771</x:v>
      </x:c>
      <x:c r="M2022" s="17" t="n">
        <x:f>IF('계산 과정'!$L$6,IF(J2022&lt;=0,0,IF(AND(ABS(K2022)&lt;='계산 과정'!$D$11/2,ABS(L2022)&lt;='계산 과정'!$D$12/2),1,0)),"")</x:f>
        <x:v>1</x:v>
      </x:c>
      <x:c r="N2022" s="17" t="n">
        <x:f>IF('계산 과정'!$C$78,IF(AND(ISNUMBER(H2022),ISNUMBER(I2022),ABS(H2022-'계산 과정'!$C$88)&lt;='계산 과정'!$D$23/2,ABS(I2022-'계산 과정'!$C$89)&lt;='계산 과정'!$D$24/2),1,0),"")</x:f>
        <x:v>1</x:v>
      </x:c>
      <x:c r="O2022" s="4" t="n">
        <x:f>IF('계산 과정'!$L$7,'계산 과정'!$C$49*('계산 과정'!$C$32-D2022)+'계산 과정'!$D$49*('계산 과정'!$D$32-E2022)+'계산 과정'!$E$49*'계산 과정'!$E$32,"")</x:f>
        <x:v>101.34423793755116</x:v>
      </x:c>
      <x:c r="P2022" s="4" t="n">
        <x:f>IF(AND('계산 과정'!$L$7,O2022&lt;&gt;0),('계산 과정'!$L$23-'계산 과정'!$C$49*D2022-'계산 과정'!$D$49*E2022)/O2022,"")</x:f>
        <x:v>4.946943685604325</x:v>
      </x:c>
      <x:c r="Q2022" s="4" t="str">
        <x:f>IF(AND(ISNUMBER(P2022),P2022&gt;1E-9,P2022&lt;1-1E-9),'계산 과정'!$C$47*(D2022-'계산 과정'!$C$50+P2022*('계산 과정'!$C$32-D2022))+'계산 과정'!$D$47*(E2022-'계산 과정'!$D$50+P2022*('계산 과정'!$D$32-E2022))+'계산 과정'!$E$47*(0-'계산 과정'!$E$50+P2022*('계산 과정'!$E$32-0)),"")</x:f>
      </x:c>
      <x:c r="R2022" s="4" t="str">
        <x:f>IF(AND(ISNUMBER(P2022),P2022&gt;1E-9,P2022&lt;1-1E-9),'계산 과정'!$C$48*(D2022-'계산 과정'!$C$50+P2022*('계산 과정'!$C$32-D2022))+'계산 과정'!$D$48*(E2022-'계산 과정'!$D$50+P2022*('계산 과정'!$D$32-E2022))+'계산 과정'!$E$48*(0-'계산 과정'!$E$50+P2022*('계산 과정'!$E$32-0)),"")</x:f>
      </x:c>
      <x:c r="S2022" s="17" t="n">
        <x:f>IF('계산 과정'!$C$78,IF(AND(ISNUMBER(Q2022),ISNUMBER(R2022),ABS(Q2022-'계산 과정'!$C$88)&lt;='계산 과정'!$D$23/2,ABS(R2022-'계산 과정'!$C$89)&lt;='계산 과정'!$D$24/2),1,0),"")</x:f>
        <x:v>0</x:v>
      </x:c>
      <x:c r="T2022" s="4"/>
      <x:c r="U2022" s="4"/>
      <x:c r="V2022" s="4"/>
      <x:c r="W2022" s="4"/>
      <x:c r="X2022" s="4"/>
      <x:c r="Y2022" s="4"/>
      <x:c r="Z2022" s="4"/>
    </x:row>
    <x:row r="2023" ht="23" customHeight="1">
      <x:c r="A2023" s="17" t="n">
        <x:f>ROW()-6</x:f>
        <x:v>2017</x:v>
      </x:c>
      <x:c r="B2023" s="4" t="n">
        <x:f>IF('계산 과정'!$L$5,'계산 과정'!$L$11*SQRT((A2023+0.5)/'계산 과정'!$L$30),"")</x:f>
        <x:v>148.87886684209917</x:v>
      </x:c>
      <x:c r="C2023" s="4" t="n">
        <x:f>A2023*PI()*(3-SQRT(5))</x:f>
        <x:v>4840.725834362693</x:v>
      </x:c>
      <x:c r="D2023" s="4" t="n">
        <x:f>IF('계산 과정'!$L$5,B2023*COS(C2023),"")</x:f>
        <x:v>-132.8403742734281</x:v>
      </x:c>
      <x:c r="E2023" s="4" t="n">
        <x:f>IF('계산 과정'!$L$5,B2023*SIN(C2023),"")</x:f>
        <x:v>67.21868754359188</x:v>
      </x:c>
      <x:c r="F2023" s="4" t="n">
        <x:f>IF('계산 과정'!$L$7,'계산 과정'!$L$22+'계산 과정'!$C$49*D2023+'계산 과정'!$D$49*E2023,"")</x:f>
        <x:v>743.9323294641</x:v>
      </x:c>
      <x:c r="G2023" s="4" t="n">
        <x:f>IF('계산 과정'!$L$7,IF(ABS(F2023)&gt;=1E-12*MAX(1,SQRT((D2023-'계산 과정'!$C$33)^2+(E2023-'계산 과정'!$D$33)^2+'계산 과정'!$E$33^2)),('계산 과정'!$L$23-'계산 과정'!$C$49*D2023-'계산 과정'!$D$49*E2023)/F2023,""),"")</x:f>
        <x:v>0.4114186981985032</x:v>
      </x:c>
      <x:c r="H2023" s="4" t="n">
        <x:f>IF(AND(ISNUMBER(G2023),G2023&gt;0),('계산 과정'!$D$56+'계산 과정'!$D$57*D2023+'계산 과정'!$D$58*E2023)/F2023,"")</x:f>
        <x:v>-132.57784617097306</x:v>
      </x:c>
      <x:c r="I2023" s="4" t="n">
        <x:f>IF(AND(ISNUMBER(G2023),G2023&gt;0),('계산 과정'!$E$56+'계산 과정'!$E$57*D2023+'계산 과정'!$E$58*E2023)/F2023,"")</x:f>
        <x:v>94.87371246738839</x:v>
      </x:c>
      <x:c r="J2023" s="4" t="n">
        <x:f>IF('계산 과정'!$L$5,'계산 과정'!$D$6+'계산 과정'!$C$35*D2023+'계산 과정'!$D$35*E2023,"")</x:f>
        <x:v>743.9323294641</x:v>
      </x:c>
      <x:c r="K2023" s="4" t="n">
        <x:f>IF(AND('계산 과정'!$L$6,J2023&gt;0),'계산 과정'!$D$10*('계산 과정'!$C$38*(D2023-'계산 과정'!$C$32)+'계산 과정'!$D$38*(E2023-'계산 과정'!$D$32)-'계산 과정'!$E$38*'계산 과정'!$E$32)/J2023,"")</x:f>
        <x:v>-1.0101169232074128</x:v>
      </x:c>
      <x:c r="L2023" s="4" t="n">
        <x:f>IF(AND('계산 과정'!$L$6,J2023&gt;0),'계산 과정'!$D$10*('계산 과정'!$C$39*(D2023-'계산 과정'!$C$32)+'계산 과정'!$D$39*(E2023-'계산 과정'!$D$32)-'계산 과정'!$E$39*'계산 과정'!$E$32)/J2023,"")</x:f>
        <x:v>0.7228473330848639</x:v>
      </x:c>
      <x:c r="M2023" s="17" t="n">
        <x:f>IF('계산 과정'!$L$6,IF(J2023&lt;=0,0,IF(AND(ABS(K2023)&lt;='계산 과정'!$D$11/2,ABS(L2023)&lt;='계산 과정'!$D$12/2),1,0)),"")</x:f>
        <x:v>1</x:v>
      </x:c>
      <x:c r="N2023" s="17" t="n">
        <x:f>IF('계산 과정'!$C$78,IF(AND(ISNUMBER(H2023),ISNUMBER(I2023),ABS(H2023-'계산 과정'!$C$88)&lt;='계산 과정'!$D$23/2,ABS(I2023-'계산 과정'!$C$89)&lt;='계산 과정'!$D$24/2),1,0),"")</x:f>
        <x:v>1</x:v>
      </x:c>
      <x:c r="O2023" s="4" t="n">
        <x:f>IF('계산 과정'!$L$7,'계산 과정'!$C$49*('계산 과정'!$C$32-D2023)+'계산 과정'!$D$49*('계산 과정'!$D$32-E2023)+'계산 과정'!$E$49*'계산 과정'!$E$32,"")</x:f>
        <x:v>-93.9323294640999</x:v>
      </x:c>
      <x:c r="P2023" s="4" t="n">
        <x:f>IF(AND('계산 과정'!$L$7,O2023&lt;&gt;0),('계산 과정'!$L$23-'계산 과정'!$C$49*D2023-'계산 과정'!$D$49*E2023)/O2023,"")</x:f>
        <x:v>-3.25838475721904</x:v>
      </x:c>
      <x:c r="Q2023" s="4" t="str">
        <x:f>IF(AND(ISNUMBER(P2023),P2023&gt;1E-9,P2023&lt;1-1E-9),'계산 과정'!$C$47*(D2023-'계산 과정'!$C$50+P2023*('계산 과정'!$C$32-D2023))+'계산 과정'!$D$47*(E2023-'계산 과정'!$D$50+P2023*('계산 과정'!$D$32-E2023))+'계산 과정'!$E$47*(0-'계산 과정'!$E$50+P2023*('계산 과정'!$E$32-0)),"")</x:f>
      </x:c>
      <x:c r="R2023" s="4" t="str">
        <x:f>IF(AND(ISNUMBER(P2023),P2023&gt;1E-9,P2023&lt;1-1E-9),'계산 과정'!$C$48*(D2023-'계산 과정'!$C$50+P2023*('계산 과정'!$C$32-D2023))+'계산 과정'!$D$48*(E2023-'계산 과정'!$D$50+P2023*('계산 과정'!$D$32-E2023))+'계산 과정'!$E$48*(0-'계산 과정'!$E$50+P2023*('계산 과정'!$E$32-0)),"")</x:f>
      </x:c>
      <x:c r="S2023" s="17" t="n">
        <x:f>IF('계산 과정'!$C$78,IF(AND(ISNUMBER(Q2023),ISNUMBER(R2023),ABS(Q2023-'계산 과정'!$C$88)&lt;='계산 과정'!$D$23/2,ABS(R2023-'계산 과정'!$C$89)&lt;='계산 과정'!$D$24/2),1,0),"")</x:f>
        <x:v>0</x:v>
      </x:c>
      <x:c r="T2023" s="4"/>
      <x:c r="U2023" s="4"/>
      <x:c r="V2023" s="4"/>
      <x:c r="W2023" s="4"/>
      <x:c r="X2023" s="4"/>
      <x:c r="Y2023" s="4"/>
      <x:c r="Z2023" s="4"/>
    </x:row>
    <x:row r="2024" ht="23" customHeight="1">
      <x:c r="A2024" s="17" t="n">
        <x:f>ROW()-6</x:f>
        <x:v>2018</x:v>
      </x:c>
      <x:c r="B2024" s="4" t="n">
        <x:f>IF('계산 과정'!$L$5,'계산 과정'!$L$11*SQRT((A2024+0.5)/'계산 과정'!$L$30),"")</x:f>
        <x:v>148.91575914023505</x:v>
      </x:c>
      <x:c r="C2024" s="4" t="n">
        <x:f>A2024*PI()*(3-SQRT(5))</x:f>
        <x:v>4843.125797592422</x:v>
      </x:c>
      <x:c r="D2024" s="4" t="n">
        <x:f>IF('계산 과정'!$L$5,B2024*COS(C2024),"")</x:f>
        <x:v>52.559807847183954</x:v>
      </x:c>
      <x:c r="E2024" s="4" t="n">
        <x:f>IF('계산 과정'!$L$5,B2024*SIN(C2024),"")</x:f>
        <x:v>-139.33186971895412</x:v>
      </x:c>
      <x:c r="F2024" s="4" t="n">
        <x:f>IF('계산 과정'!$L$7,'계산 과정'!$L$22+'계산 과정'!$C$49*D2024+'계산 과정'!$D$49*E2024,"")</x:f>
        <x:v>612.8346034533943</x:v>
      </x:c>
      <x:c r="G2024" s="4" t="n">
        <x:f>IF('계산 과정'!$L$7,IF(ABS(F2024)&gt;=1E-12*MAX(1,SQRT((D2024-'계산 과정'!$C$33)^2+(E2024-'계산 과정'!$D$33)^2+'계산 과정'!$E$33^2)),('계산 과정'!$L$23-'계산 과정'!$C$49*D2024-'계산 과정'!$D$49*E2024)/F2024,""),"")</x:f>
        <x:v>0.7133497261465456</x:v>
      </x:c>
      <x:c r="H2024" s="4" t="n">
        <x:f>IF(AND(ISNUMBER(G2024),G2024&gt;0),('계산 과정'!$D$56+'계산 과정'!$D$57*D2024+'계산 과정'!$D$58*E2024)/F2024,"")</x:f>
        <x:v>63.67732199525452</x:v>
      </x:c>
      <x:c r="I2024" s="4" t="n">
        <x:f>IF(AND(ISNUMBER(G2024),G2024&gt;0),('계산 과정'!$E$56+'계산 과정'!$E$57*D2024+'계산 과정'!$E$58*E2024)/F2024,"")</x:f>
        <x:v>-238.72422082645625</x:v>
      </x:c>
      <x:c r="J2024" s="4" t="n">
        <x:f>IF('계산 과정'!$L$5,'계산 과정'!$D$6+'계산 과정'!$C$35*D2024+'계산 과정'!$D$35*E2024,"")</x:f>
        <x:v>612.8346034533943</x:v>
      </x:c>
      <x:c r="K2024" s="4" t="n">
        <x:f>IF(AND('계산 과정'!$L$6,J2024&gt;0),'계산 과정'!$D$10*('계산 과정'!$C$38*(D2024-'계산 과정'!$C$32)+'계산 과정'!$D$38*(E2024-'계산 과정'!$D$32)-'계산 과정'!$E$38*'계산 과정'!$E$32)/J2024,"")</x:f>
        <x:v>0.48516054853527324</x:v>
      </x:c>
      <x:c r="L2024" s="4" t="n">
        <x:f>IF(AND('계산 과정'!$L$6,J2024&gt;0),'계산 과정'!$D$10*('계산 과정'!$C$39*(D2024-'계산 과정'!$C$32)+'계산 과정'!$D$39*(E2024-'계산 과정'!$D$32)-'계산 과정'!$E$39*'계산 과정'!$E$32)/J2024,"")</x:f>
        <x:v>-1.8188512062968094</x:v>
      </x:c>
      <x:c r="M2024" s="17" t="n">
        <x:f>IF('계산 과정'!$L$6,IF(J2024&lt;=0,0,IF(AND(ABS(K2024)&lt;='계산 과정'!$D$11/2,ABS(L2024)&lt;='계산 과정'!$D$12/2),1,0)),"")</x:f>
        <x:v>1</x:v>
      </x:c>
      <x:c r="N2024" s="17" t="n">
        <x:f>IF('계산 과정'!$C$78,IF(AND(ISNUMBER(H2024),ISNUMBER(I2024),ABS(H2024-'계산 과정'!$C$88)&lt;='계산 과정'!$D$23/2,ABS(I2024-'계산 과정'!$C$89)&lt;='계산 과정'!$D$24/2),1,0),"")</x:f>
        <x:v>1</x:v>
      </x:c>
      <x:c r="O2024" s="4" t="n">
        <x:f>IF('계산 과정'!$L$7,'계산 과정'!$C$49*('계산 과정'!$C$32-D2024)+'계산 과정'!$D$49*('계산 과정'!$D$32-E2024)+'계산 과정'!$E$49*'계산 과정'!$E$32,"")</x:f>
        <x:v>37.16539654660579</x:v>
      </x:c>
      <x:c r="P2024" s="4" t="n">
        <x:f>IF(AND('계산 과정'!$L$7,O2024&lt;&gt;0),('계산 과정'!$L$23-'계산 과정'!$C$49*D2024-'계산 과정'!$D$49*E2024)/O2024,"")</x:f>
        <x:v>11.76269963912253</x:v>
      </x:c>
      <x:c r="Q2024" s="4" t="str">
        <x:f>IF(AND(ISNUMBER(P2024),P2024&gt;1E-9,P2024&lt;1-1E-9),'계산 과정'!$C$47*(D2024-'계산 과정'!$C$50+P2024*('계산 과정'!$C$32-D2024))+'계산 과정'!$D$47*(E2024-'계산 과정'!$D$50+P2024*('계산 과정'!$D$32-E2024))+'계산 과정'!$E$47*(0-'계산 과정'!$E$50+P2024*('계산 과정'!$E$32-0)),"")</x:f>
      </x:c>
      <x:c r="R2024" s="4" t="str">
        <x:f>IF(AND(ISNUMBER(P2024),P2024&gt;1E-9,P2024&lt;1-1E-9),'계산 과정'!$C$48*(D2024-'계산 과정'!$C$50+P2024*('계산 과정'!$C$32-D2024))+'계산 과정'!$D$48*(E2024-'계산 과정'!$D$50+P2024*('계산 과정'!$D$32-E2024))+'계산 과정'!$E$48*(0-'계산 과정'!$E$50+P2024*('계산 과정'!$E$32-0)),"")</x:f>
      </x:c>
      <x:c r="S2024" s="17" t="n">
        <x:f>IF('계산 과정'!$C$78,IF(AND(ISNUMBER(Q2024),ISNUMBER(R2024),ABS(Q2024-'계산 과정'!$C$88)&lt;='계산 과정'!$D$23/2,ABS(R2024-'계산 과정'!$C$89)&lt;='계산 과정'!$D$24/2),1,0),"")</x:f>
        <x:v>0</x:v>
      </x:c>
      <x:c r="T2024" s="4"/>
      <x:c r="U2024" s="4"/>
      <x:c r="V2024" s="4"/>
      <x:c r="W2024" s="4"/>
      <x:c r="X2024" s="4"/>
      <x:c r="Y2024" s="4"/>
      <x:c r="Z2024" s="4"/>
    </x:row>
    <x:row r="2025" ht="23" customHeight="1">
      <x:c r="A2025" s="17" t="n">
        <x:f>ROW()-6</x:f>
        <x:v>2019</x:v>
      </x:c>
      <x:c r="B2025" s="4" t="n">
        <x:f>IF('계산 과정'!$L$5,'계산 과정'!$L$11*SQRT((A2025+0.5)/'계산 과정'!$L$30),"")</x:f>
        <x:v>148.9526423009592</x:v>
      </x:c>
      <x:c r="C2025" s="4" t="n">
        <x:f>A2025*PI()*(3-SQRT(5))</x:f>
        <x:v>4845.525760822151</x:v>
      </x:c>
      <x:c r="D2025" s="4" t="n">
        <x:f>IF('계산 과정'!$L$5,B2025*COS(C2025),"")</x:f>
        <x:v>55.37507092405712</x:v>
      </x:c>
      <x:c r="E2025" s="4" t="n">
        <x:f>IF('계산 과정'!$L$5,B2025*SIN(C2025),"")</x:f>
        <x:v>138.27686418411847</x:v>
      </x:c>
      <x:c r="F2025" s="4" t="n">
        <x:f>IF('계산 과정'!$L$7,'계산 과정'!$L$22+'계산 과정'!$C$49*D2025+'계산 과정'!$D$49*E2025,"")</x:f>
        <x:v>610.8439118409132</x:v>
      </x:c>
      <x:c r="G2025" s="4" t="n">
        <x:f>IF('계산 과정'!$L$7,IF(ABS(F2025)&gt;=1E-12*MAX(1,SQRT((D2025-'계산 과정'!$C$33)^2+(E2025-'계산 과정'!$D$33)^2+'계산 과정'!$E$33^2)),('계산 과정'!$L$23-'계산 과정'!$C$49*D2025-'계산 과정'!$D$49*E2025)/F2025,""),"")</x:f>
        <x:v>0.7189333963165695</x:v>
      </x:c>
      <x:c r="H2025" s="4" t="n">
        <x:f>IF(AND(ISNUMBER(G2025),G2025&gt;0),('계산 과정'!$D$56+'계산 과정'!$D$57*D2025+'계산 과정'!$D$58*E2025)/F2025,"")</x:f>
        <x:v>67.30670760577</x:v>
      </x:c>
      <x:c r="I2025" s="4" t="n">
        <x:f>IF(AND(ISNUMBER(G2025),G2025&gt;0),('계산 과정'!$E$56+'계산 과정'!$E$57*D2025+'계산 과정'!$E$58*E2025)/F2025,"")</x:f>
        <x:v>237.68871978401174</x:v>
      </x:c>
      <x:c r="J2025" s="4" t="n">
        <x:f>IF('계산 과정'!$L$5,'계산 과정'!$D$6+'계산 과정'!$C$35*D2025+'계산 과정'!$D$35*E2025,"")</x:f>
        <x:v>610.8439118409132</x:v>
      </x:c>
      <x:c r="K2025" s="4" t="n">
        <x:f>IF(AND('계산 과정'!$L$6,J2025&gt;0),'계산 과정'!$D$10*('계산 과정'!$C$38*(D2025-'계산 과정'!$C$32)+'계산 과정'!$D$38*(E2025-'계산 과정'!$D$32)-'계산 과정'!$E$38*'계산 과정'!$E$32)/J2025,"")</x:f>
        <x:v>0.5128130103296773</x:v>
      </x:c>
      <x:c r="L2025" s="4" t="n">
        <x:f>IF(AND('계산 과정'!$L$6,J2025&gt;0),'계산 과정'!$D$10*('계산 과정'!$C$39*(D2025-'계산 과정'!$C$32)+'계산 과정'!$D$39*(E2025-'계산 과정'!$D$32)-'계산 과정'!$E$39*'계산 과정'!$E$32)/J2025,"")</x:f>
        <x:v>1.8109616745448516</x:v>
      </x:c>
      <x:c r="M2025" s="17" t="n">
        <x:f>IF('계산 과정'!$L$6,IF(J2025&lt;=0,0,IF(AND(ABS(K2025)&lt;='계산 과정'!$D$11/2,ABS(L2025)&lt;='계산 과정'!$D$12/2),1,0)),"")</x:f>
        <x:v>1</x:v>
      </x:c>
      <x:c r="N2025" s="17" t="n">
        <x:f>IF('계산 과정'!$C$78,IF(AND(ISNUMBER(H2025),ISNUMBER(I2025),ABS(H2025-'계산 과정'!$C$88)&lt;='계산 과정'!$D$23/2,ABS(I2025-'계산 과정'!$C$89)&lt;='계산 과정'!$D$24/2),1,0),"")</x:f>
        <x:v>1</x:v>
      </x:c>
      <x:c r="O2025" s="4" t="n">
        <x:f>IF('계산 과정'!$L$7,'계산 과정'!$C$49*('계산 과정'!$C$32-D2025)+'계산 과정'!$D$49*('계산 과정'!$D$32-E2025)+'계산 과정'!$E$49*'계산 과정'!$E$32,"")</x:f>
        <x:v>39.15608815908695</x:v>
      </x:c>
      <x:c r="P2025" s="4" t="n">
        <x:f>IF(AND('계산 과정'!$L$7,O2025&lt;&gt;0),('계산 과정'!$L$23-'계산 과정'!$C$49*D2025-'계산 과정'!$D$49*E2025)/O2025,"")</x:f>
        <x:v>11.215525064067768</x:v>
      </x:c>
      <x:c r="Q2025" s="4" t="str">
        <x:f>IF(AND(ISNUMBER(P2025),P2025&gt;1E-9,P2025&lt;1-1E-9),'계산 과정'!$C$47*(D2025-'계산 과정'!$C$50+P2025*('계산 과정'!$C$32-D2025))+'계산 과정'!$D$47*(E2025-'계산 과정'!$D$50+P2025*('계산 과정'!$D$32-E2025))+'계산 과정'!$E$47*(0-'계산 과정'!$E$50+P2025*('계산 과정'!$E$32-0)),"")</x:f>
      </x:c>
      <x:c r="R2025" s="4" t="str">
        <x:f>IF(AND(ISNUMBER(P2025),P2025&gt;1E-9,P2025&lt;1-1E-9),'계산 과정'!$C$48*(D2025-'계산 과정'!$C$50+P2025*('계산 과정'!$C$32-D2025))+'계산 과정'!$D$48*(E2025-'계산 과정'!$D$50+P2025*('계산 과정'!$D$32-E2025))+'계산 과정'!$E$48*(0-'계산 과정'!$E$50+P2025*('계산 과정'!$E$32-0)),"")</x:f>
      </x:c>
      <x:c r="S2025" s="17" t="n">
        <x:f>IF('계산 과정'!$C$78,IF(AND(ISNUMBER(Q2025),ISNUMBER(R2025),ABS(Q2025-'계산 과정'!$C$88)&lt;='계산 과정'!$D$23/2,ABS(R2025-'계산 과정'!$C$89)&lt;='계산 과정'!$D$24/2),1,0),"")</x:f>
        <x:v>0</x:v>
      </x:c>
      <x:c r="T2025" s="4"/>
      <x:c r="U2025" s="4"/>
      <x:c r="V2025" s="4"/>
      <x:c r="W2025" s="4"/>
      <x:c r="X2025" s="4"/>
      <x:c r="Y2025" s="4"/>
      <x:c r="Z2025" s="4"/>
    </x:row>
    <x:row r="2026" ht="23" customHeight="1">
      <x:c r="A2026" s="17" t="n">
        <x:f>ROW()-6</x:f>
        <x:v>2020</x:v>
      </x:c>
      <x:c r="B2026" s="4" t="n">
        <x:f>IF('계산 과정'!$L$5,'계산 과정'!$L$11*SQRT((A2026+0.5)/'계산 과정'!$L$30),"")</x:f>
        <x:v>148.98951633105767</x:v>
      </x:c>
      <x:c r="C2026" s="4" t="n">
        <x:f>A2026*PI()*(3-SQRT(5))</x:f>
        <x:v>4847.925724051879</x:v>
      </x:c>
      <x:c r="D2026" s="4" t="n">
        <x:f>IF('계산 과정'!$L$5,B2026*COS(C2026),"")</x:f>
        <x:v>-134.26976457610536</x:v>
      </x:c>
      <x:c r="E2026" s="4" t="n">
        <x:f>IF('계산 과정'!$L$5,B2026*SIN(C2026),"")</x:f>
        <x:v>-64.5717143743276</x:v>
      </x:c>
      <x:c r="F2026" s="4" t="n">
        <x:f>IF('계산 과정'!$L$7,'계산 과정'!$L$22+'계산 과정'!$C$49*D2026+'계산 과정'!$D$49*E2026,"")</x:f>
        <x:v>744.9430610400854</x:v>
      </x:c>
      <x:c r="G2026" s="4" t="n">
        <x:f>IF('계산 과정'!$L$7,IF(ABS(F2026)&gt;=1E-12*MAX(1,SQRT((D2026-'계산 과정'!$C$33)^2+(E2026-'계산 과정'!$D$33)^2+'계산 과정'!$E$33^2)),('계산 과정'!$L$23-'계산 과정'!$C$49*D2026-'계산 과정'!$D$49*E2026)/F2026,""),"")</x:f>
        <x:v>0.409503698892095</x:v>
      </x:c>
      <x:c r="H2026" s="4" t="n">
        <x:f>IF(AND(ISNUMBER(G2026),G2026&gt;0),('계산 과정'!$D$56+'계산 과정'!$D$57*D2026+'계산 과정'!$D$58*E2026)/F2026,"")</x:f>
        <x:v>-133.82259572013842</x:v>
      </x:c>
      <x:c r="I2026" s="4" t="n">
        <x:f>IF(AND(ISNUMBER(G2026),G2026&gt;0),('계산 과정'!$E$56+'계산 과정'!$E$57*D2026+'계산 과정'!$E$58*E2026)/F2026,"")</x:f>
        <x:v>-91.0140702544186</x:v>
      </x:c>
      <x:c r="J2026" s="4" t="n">
        <x:f>IF('계산 과정'!$L$5,'계산 과정'!$D$6+'계산 과정'!$C$35*D2026+'계산 과정'!$D$35*E2026,"")</x:f>
        <x:v>744.9430610400854</x:v>
      </x:c>
      <x:c r="K2026" s="4" t="n">
        <x:f>IF(AND('계산 과정'!$L$6,J2026&gt;0),'계산 과정'!$D$10*('계산 과정'!$C$38*(D2026-'계산 과정'!$C$32)+'계산 과정'!$D$38*(E2026-'계산 과정'!$D$32)-'계산 과정'!$E$38*'계산 과정'!$E$32)/J2026,"")</x:f>
        <x:v>-1.0196007292962914</x:v>
      </x:c>
      <x:c r="L2026" s="4" t="n">
        <x:f>IF(AND('계산 과정'!$L$6,J2026&gt;0),'계산 과정'!$D$10*('계산 과정'!$C$39*(D2026-'계산 과정'!$C$32)+'계산 과정'!$D$39*(E2026-'계산 과정'!$D$32)-'계산 과정'!$E$39*'계산 과정'!$E$32)/J2026,"")</x:f>
        <x:v>-0.6934405352717609</x:v>
      </x:c>
      <x:c r="M2026" s="17" t="n">
        <x:f>IF('계산 과정'!$L$6,IF(J2026&lt;=0,0,IF(AND(ABS(K2026)&lt;='계산 과정'!$D$11/2,ABS(L2026)&lt;='계산 과정'!$D$12/2),1,0)),"")</x:f>
        <x:v>1</x:v>
      </x:c>
      <x:c r="N2026" s="17" t="n">
        <x:f>IF('계산 과정'!$C$78,IF(AND(ISNUMBER(H2026),ISNUMBER(I2026),ABS(H2026-'계산 과정'!$C$88)&lt;='계산 과정'!$D$23/2,ABS(I2026-'계산 과정'!$C$89)&lt;='계산 과정'!$D$24/2),1,0),"")</x:f>
        <x:v>1</x:v>
      </x:c>
      <x:c r="O2026" s="4" t="n">
        <x:f>IF('계산 과정'!$L$7,'계산 과정'!$C$49*('계산 과정'!$C$32-D2026)+'계산 과정'!$D$49*('계산 과정'!$D$32-E2026)+'계산 과정'!$E$49*'계산 과정'!$E$32,"")</x:f>
        <x:v>-94.94306104008524</x:v>
      </x:c>
      <x:c r="P2026" s="4" t="n">
        <x:f>IF(AND('계산 과정'!$L$7,O2026&lt;&gt;0),('계산 과정'!$L$23-'계산 과정'!$C$49*D2026-'계산 과정'!$D$49*E2026)/O2026,"")</x:f>
        <x:v>-3.2130514396530643</x:v>
      </x:c>
      <x:c r="Q2026" s="4" t="str">
        <x:f>IF(AND(ISNUMBER(P2026),P2026&gt;1E-9,P2026&lt;1-1E-9),'계산 과정'!$C$47*(D2026-'계산 과정'!$C$50+P2026*('계산 과정'!$C$32-D2026))+'계산 과정'!$D$47*(E2026-'계산 과정'!$D$50+P2026*('계산 과정'!$D$32-E2026))+'계산 과정'!$E$47*(0-'계산 과정'!$E$50+P2026*('계산 과정'!$E$32-0)),"")</x:f>
      </x:c>
      <x:c r="R2026" s="4" t="str">
        <x:f>IF(AND(ISNUMBER(P2026),P2026&gt;1E-9,P2026&lt;1-1E-9),'계산 과정'!$C$48*(D2026-'계산 과정'!$C$50+P2026*('계산 과정'!$C$32-D2026))+'계산 과정'!$D$48*(E2026-'계산 과정'!$D$50+P2026*('계산 과정'!$D$32-E2026))+'계산 과정'!$E$48*(0-'계산 과정'!$E$50+P2026*('계산 과정'!$E$32-0)),"")</x:f>
      </x:c>
      <x:c r="S2026" s="17" t="n">
        <x:f>IF('계산 과정'!$C$78,IF(AND(ISNUMBER(Q2026),ISNUMBER(R2026),ABS(Q2026-'계산 과정'!$C$88)&lt;='계산 과정'!$D$23/2,ABS(R2026-'계산 과정'!$C$89)&lt;='계산 과정'!$D$24/2),1,0),"")</x:f>
        <x:v>0</x:v>
      </x:c>
      <x:c r="T2026" s="4"/>
      <x:c r="U2026" s="4"/>
      <x:c r="V2026" s="4"/>
      <x:c r="W2026" s="4"/>
      <x:c r="X2026" s="4"/>
      <x:c r="Y2026" s="4"/>
      <x:c r="Z2026" s="4"/>
    </x:row>
    <x:row r="2027" ht="23" customHeight="1">
      <x:c r="A2027" s="17" t="n">
        <x:f>ROW()-6</x:f>
        <x:v>2021</x:v>
      </x:c>
      <x:c r="B2027" s="4" t="n">
        <x:f>IF('계산 과정'!$L$5,'계산 과정'!$L$11*SQRT((A2027+0.5)/'계산 과정'!$L$30),"")</x:f>
        <x:v>149.02638123730813</x:v>
      </x:c>
      <x:c r="C2027" s="4" t="n">
        <x:f>A2027*PI()*(3-SQRT(5))</x:f>
        <x:v>4850.325687281607</x:v>
      </x:c>
      <x:c r="D2027" s="4" t="n">
        <x:f>IF('계산 과정'!$L$5,B2027*COS(C2027),"")</x:f>
        <x:v>142.65920185538067</x:v>
      </x:c>
      <x:c r="E2027" s="4" t="n">
        <x:f>IF('계산 과정'!$L$5,B2027*SIN(C2027),"")</x:f>
        <x:v>-43.095410784366116</x:v>
      </x:c>
      <x:c r="F2027" s="4" t="n">
        <x:f>IF('계산 과정'!$L$7,'계산 과정'!$L$22+'계산 과정'!$C$49*D2027+'계산 과정'!$D$49*E2027,"")</x:f>
        <x:v>549.1247109693999</x:v>
      </x:c>
      <x:c r="G2027" s="4" t="n">
        <x:f>IF('계산 과정'!$L$7,IF(ABS(F2027)&gt;=1E-12*MAX(1,SQRT((D2027-'계산 과정'!$C$33)^2+(E2027-'계산 과정'!$D$33)^2+'계산 과정'!$E$33^2)),('계산 과정'!$L$23-'계산 과정'!$C$49*D2027-'계산 과정'!$D$49*E2027)/F2027,""),"")</x:f>
        <x:v>0.9121339452132424</x:v>
      </x:c>
      <x:c r="H2027" s="4" t="n">
        <x:f>IF(AND(ISNUMBER(G2027),G2027&gt;0),('계산 과정'!$D$56+'계산 과정'!$D$57*D2027+'계산 과정'!$D$58*E2027)/F2027,"")</x:f>
        <x:v>192.88706438860754</x:v>
      </x:c>
      <x:c r="I2027" s="4" t="n">
        <x:f>IF(AND(ISNUMBER(G2027),G2027&gt;0),('계산 과정'!$E$56+'계산 과정'!$E$57*D2027+'계산 과정'!$E$58*E2027)/F2027,"")</x:f>
        <x:v>-82.4041978436953</x:v>
      </x:c>
      <x:c r="J2027" s="4" t="n">
        <x:f>IF('계산 과정'!$L$5,'계산 과정'!$D$6+'계산 과정'!$C$35*D2027+'계산 과정'!$D$35*E2027,"")</x:f>
        <x:v>549.1247109693999</x:v>
      </x:c>
      <x:c r="K2027" s="4" t="n">
        <x:f>IF(AND('계산 과정'!$L$6,J2027&gt;0),'계산 과정'!$D$10*('계산 과정'!$C$38*(D2027-'계산 과정'!$C$32)+'계산 과정'!$D$38*(E2027-'계산 과정'!$D$32)-'계산 과정'!$E$38*'계산 과정'!$E$32)/J2027,"")</x:f>
        <x:v>1.469615728675106</x:v>
      </x:c>
      <x:c r="L2027" s="4" t="n">
        <x:f>IF(AND('계산 과정'!$L$6,J2027&gt;0),'계산 과정'!$D$10*('계산 과정'!$C$39*(D2027-'계산 과정'!$C$32)+'계산 과정'!$D$39*(E2027-'계산 과정'!$D$32)-'계산 과정'!$E$39*'계산 과정'!$E$32)/J2027,"")</x:f>
        <x:v>-0.6278415073805356</x:v>
      </x:c>
      <x:c r="M2027" s="17" t="n">
        <x:f>IF('계산 과정'!$L$6,IF(J2027&lt;=0,0,IF(AND(ABS(K2027)&lt;='계산 과정'!$D$11/2,ABS(L2027)&lt;='계산 과정'!$D$12/2),1,0)),"")</x:f>
        <x:v>1</x:v>
      </x:c>
      <x:c r="N2027" s="17" t="n">
        <x:f>IF('계산 과정'!$C$78,IF(AND(ISNUMBER(H2027),ISNUMBER(I2027),ABS(H2027-'계산 과정'!$C$88)&lt;='계산 과정'!$D$23/2,ABS(I2027-'계산 과정'!$C$89)&lt;='계산 과정'!$D$24/2),1,0),"")</x:f>
        <x:v>1</x:v>
      </x:c>
      <x:c r="O2027" s="4" t="n">
        <x:f>IF('계산 과정'!$L$7,'계산 과정'!$C$49*('계산 과정'!$C$32-D2027)+'계산 과정'!$D$49*('계산 과정'!$D$32-E2027)+'계산 과정'!$E$49*'계산 과정'!$E$32,"")</x:f>
        <x:v>100.87528903060027</x:v>
      </x:c>
      <x:c r="P2027" s="4" t="n">
        <x:f>IF(AND('계산 과정'!$L$7,O2027&lt;&gt;0),('계산 과정'!$L$23-'계산 과정'!$C$49*D2027-'계산 과정'!$D$49*E2027)/O2027,"")</x:f>
        <x:v>4.96529223206152</x:v>
      </x:c>
      <x:c r="Q2027" s="4" t="str">
        <x:f>IF(AND(ISNUMBER(P2027),P2027&gt;1E-9,P2027&lt;1-1E-9),'계산 과정'!$C$47*(D2027-'계산 과정'!$C$50+P2027*('계산 과정'!$C$32-D2027))+'계산 과정'!$D$47*(E2027-'계산 과정'!$D$50+P2027*('계산 과정'!$D$32-E2027))+'계산 과정'!$E$47*(0-'계산 과정'!$E$50+P2027*('계산 과정'!$E$32-0)),"")</x:f>
      </x:c>
      <x:c r="R2027" s="4" t="str">
        <x:f>IF(AND(ISNUMBER(P2027),P2027&gt;1E-9,P2027&lt;1-1E-9),'계산 과정'!$C$48*(D2027-'계산 과정'!$C$50+P2027*('계산 과정'!$C$32-D2027))+'계산 과정'!$D$48*(E2027-'계산 과정'!$D$50+P2027*('계산 과정'!$D$32-E2027))+'계산 과정'!$E$48*(0-'계산 과정'!$E$50+P2027*('계산 과정'!$E$32-0)),"")</x:f>
      </x:c>
      <x:c r="S2027" s="17" t="n">
        <x:f>IF('계산 과정'!$C$78,IF(AND(ISNUMBER(Q2027),ISNUMBER(R2027),ABS(Q2027-'계산 과정'!$C$88)&lt;='계산 과정'!$D$23/2,ABS(R2027-'계산 과정'!$C$89)&lt;='계산 과정'!$D$24/2),1,0),"")</x:f>
        <x:v>0</x:v>
      </x:c>
      <x:c r="T2027" s="4"/>
      <x:c r="U2027" s="4"/>
      <x:c r="V2027" s="4"/>
      <x:c r="W2027" s="4"/>
      <x:c r="X2027" s="4"/>
      <x:c r="Y2027" s="4"/>
      <x:c r="Z2027" s="4"/>
    </x:row>
    <x:row r="2028" ht="23" customHeight="1">
      <x:c r="A2028" s="17" t="n">
        <x:f>ROW()-6</x:f>
        <x:v>2022</x:v>
      </x:c>
      <x:c r="B2028" s="4" t="n">
        <x:f>IF('계산 과정'!$L$5,'계산 과정'!$L$11*SQRT((A2028+0.5)/'계산 과정'!$L$30),"")</x:f>
        <x:v>149.0632370264798</x:v>
      </x:c>
      <x:c r="C2028" s="4" t="n">
        <x:f>A2028*PI()*(3-SQRT(5))</x:f>
        <x:v>4852.7256505113355</x:v>
      </x:c>
      <x:c r="D2028" s="4" t="n">
        <x:f>IF('계산 과정'!$L$5,B2028*COS(C2028),"")</x:f>
        <x:v>-76.10073976634308</x:v>
      </x:c>
      <x:c r="E2028" s="4" t="n">
        <x:f>IF('계산 과정'!$L$5,B2028*SIN(C2028),"")</x:f>
        <x:v>128.17381183310354</x:v>
      </x:c>
      <x:c r="F2028" s="4" t="n">
        <x:f>IF('계산 과정'!$L$7,'계산 과정'!$L$22+'계산 과정'!$C$49*D2028+'계산 과정'!$D$49*E2028,"")</x:f>
        <x:v>703.811349142094</x:v>
      </x:c>
      <x:c r="G2028" s="4" t="n">
        <x:f>IF('계산 과정'!$L$7,IF(ABS(F2028)&gt;=1E-12*MAX(1,SQRT((D2028-'계산 과정'!$C$33)^2+(E2028-'계산 과정'!$D$33)^2+'계산 과정'!$E$33^2)),('계산 과정'!$L$23-'계산 과정'!$C$49*D2028-'계산 과정'!$D$49*E2028)/F2028,""),"")</x:f>
        <x:v>0.4918770509738019</x:v>
      </x:c>
      <x:c r="H2028" s="4" t="n">
        <x:f>IF(AND(ISNUMBER(G2028),G2028&gt;0),('계산 과정'!$D$56+'계산 과정'!$D$57*D2028+'계산 과정'!$D$58*E2028)/F2028,"")</x:f>
        <x:v>-80.27991686702887</x:v>
      </x:c>
      <x:c r="I2028" s="4" t="n">
        <x:f>IF(AND(ISNUMBER(G2028),G2028&gt;0),('계산 과정'!$E$56+'계산 과정'!$E$57*D2028+'계산 과정'!$E$58*E2028)/F2028,"")</x:f>
        <x:v>191.2195684096415</x:v>
      </x:c>
      <x:c r="J2028" s="4" t="n">
        <x:f>IF('계산 과정'!$L$5,'계산 과정'!$D$6+'계산 과정'!$C$35*D2028+'계산 과정'!$D$35*E2028,"")</x:f>
        <x:v>703.811349142094</x:v>
      </x:c>
      <x:c r="K2028" s="4" t="n">
        <x:f>IF(AND('계산 과정'!$L$6,J2028&gt;0),'계산 과정'!$D$10*('계산 과정'!$C$38*(D2028-'계산 과정'!$C$32)+'계산 과정'!$D$38*(E2028-'계산 과정'!$D$32)-'계산 과정'!$E$38*'계산 과정'!$E$32)/J2028,"")</x:f>
        <x:v>-0.6116565094630761</x:v>
      </x:c>
      <x:c r="L2028" s="4" t="n">
        <x:f>IF(AND('계산 과정'!$L$6,J2028&gt;0),'계산 과정'!$D$10*('계산 과정'!$C$39*(D2028-'계산 과정'!$C$32)+'계산 과정'!$D$39*(E2028-'계산 과정'!$D$32)-'계산 과정'!$E$39*'계산 과정'!$E$32)/J2028,"")</x:f>
        <x:v>1.4569109974067924</x:v>
      </x:c>
      <x:c r="M2028" s="17" t="n">
        <x:f>IF('계산 과정'!$L$6,IF(J2028&lt;=0,0,IF(AND(ABS(K2028)&lt;='계산 과정'!$D$11/2,ABS(L2028)&lt;='계산 과정'!$D$12/2),1,0)),"")</x:f>
        <x:v>1</x:v>
      </x:c>
      <x:c r="N2028" s="17" t="n">
        <x:f>IF('계산 과정'!$C$78,IF(AND(ISNUMBER(H2028),ISNUMBER(I2028),ABS(H2028-'계산 과정'!$C$88)&lt;='계산 과정'!$D$23/2,ABS(I2028-'계산 과정'!$C$89)&lt;='계산 과정'!$D$24/2),1,0),"")</x:f>
        <x:v>1</x:v>
      </x:c>
      <x:c r="O2028" s="4" t="n">
        <x:f>IF('계산 과정'!$L$7,'계산 과정'!$C$49*('계산 과정'!$C$32-D2028)+'계산 과정'!$D$49*('계산 과정'!$D$32-E2028)+'계산 과정'!$E$49*'계산 과정'!$E$32,"")</x:f>
        <x:v>-53.81134914209383</x:v>
      </x:c>
      <x:c r="P2028" s="4" t="n">
        <x:f>IF(AND('계산 과정'!$L$7,O2028&lt;&gt;0),('계산 과정'!$L$23-'계산 과정'!$C$49*D2028-'계산 과정'!$D$49*E2028)/O2028,"")</x:f>
        <x:v>-6.433376162782372</x:v>
      </x:c>
      <x:c r="Q2028" s="4" t="str">
        <x:f>IF(AND(ISNUMBER(P2028),P2028&gt;1E-9,P2028&lt;1-1E-9),'계산 과정'!$C$47*(D2028-'계산 과정'!$C$50+P2028*('계산 과정'!$C$32-D2028))+'계산 과정'!$D$47*(E2028-'계산 과정'!$D$50+P2028*('계산 과정'!$D$32-E2028))+'계산 과정'!$E$47*(0-'계산 과정'!$E$50+P2028*('계산 과정'!$E$32-0)),"")</x:f>
      </x:c>
      <x:c r="R2028" s="4" t="str">
        <x:f>IF(AND(ISNUMBER(P2028),P2028&gt;1E-9,P2028&lt;1-1E-9),'계산 과정'!$C$48*(D2028-'계산 과정'!$C$50+P2028*('계산 과정'!$C$32-D2028))+'계산 과정'!$D$48*(E2028-'계산 과정'!$D$50+P2028*('계산 과정'!$D$32-E2028))+'계산 과정'!$E$48*(0-'계산 과정'!$E$50+P2028*('계산 과정'!$E$32-0)),"")</x:f>
      </x:c>
      <x:c r="S2028" s="17" t="n">
        <x:f>IF('계산 과정'!$C$78,IF(AND(ISNUMBER(Q2028),ISNUMBER(R2028),ABS(Q2028-'계산 과정'!$C$88)&lt;='계산 과정'!$D$23/2,ABS(R2028-'계산 과정'!$C$89)&lt;='계산 과정'!$D$24/2),1,0),"")</x:f>
        <x:v>0</x:v>
      </x:c>
      <x:c r="T2028" s="4"/>
      <x:c r="U2028" s="4"/>
      <x:c r="V2028" s="4"/>
      <x:c r="W2028" s="4"/>
      <x:c r="X2028" s="4"/>
      <x:c r="Y2028" s="4"/>
      <x:c r="Z2028" s="4"/>
    </x:row>
    <x:row r="2029" ht="23" customHeight="1">
      <x:c r="A2029" s="17" t="n">
        <x:f>ROW()-6</x:f>
        <x:v>2023</x:v>
      </x:c>
      <x:c r="B2029" s="4" t="n">
        <x:f>IF('계산 과정'!$L$5,'계산 과정'!$L$11*SQRT((A2029+0.5)/'계산 과정'!$L$30),"")</x:f>
        <x:v>149.10008370533365</x:v>
      </x:c>
      <x:c r="C2029" s="4" t="n">
        <x:f>A2029*PI()*(3-SQRT(5))</x:f>
        <x:v>4855.125613741065</x:v>
      </x:c>
      <x:c r="D2029" s="4" t="n">
        <x:f>IF('계산 과정'!$L$5,B2029*COS(C2029),"")</x:f>
        <x:v>-30.473379568723782</x:v>
      </x:c>
      <x:c r="E2029" s="4" t="n">
        <x:f>IF('계산 과정'!$L$5,B2029*SIN(C2029),"")</x:f>
        <x:v>-145.9527598183672</x:v>
      </x:c>
      <x:c r="F2029" s="4" t="n">
        <x:f>IF('계산 과정'!$L$7,'계산 과정'!$L$22+'계산 과정'!$C$49*D2029+'계산 과정'!$D$49*E2029,"")</x:f>
        <x:v>671.5479333387161</x:v>
      </x:c>
      <x:c r="G2029" s="4" t="n">
        <x:f>IF('계산 과정'!$L$7,IF(ABS(F2029)&gt;=1E-12*MAX(1,SQRT((D2029-'계산 과정'!$C$33)^2+(E2029-'계산 과정'!$D$33)^2+'계산 과정'!$E$33^2)),('계산 과정'!$L$23-'계산 과정'!$C$49*D2029-'계산 과정'!$D$49*E2029)/F2029,""),"")</x:f>
        <x:v>0.5635518298444375</x:v>
      </x:c>
      <x:c r="H2029" s="4" t="n">
        <x:f>IF(AND(ISNUMBER(G2029),G2029&gt;0),('계산 과정'!$D$56+'계산 과정'!$D$57*D2029+'계산 과정'!$D$58*E2029)/F2029,"")</x:f>
        <x:v>-33.69131060111576</x:v>
      </x:c>
      <x:c r="I2029" s="4" t="n">
        <x:f>IF(AND(ISNUMBER(G2029),G2029&gt;0),('계산 과정'!$E$56+'계산 과정'!$E$57*D2029+'계산 과정'!$E$58*E2029)/F2029,"")</x:f>
        <x:v>-228.20470468485377</x:v>
      </x:c>
      <x:c r="J2029" s="4" t="n">
        <x:f>IF('계산 과정'!$L$5,'계산 과정'!$D$6+'계산 과정'!$C$35*D2029+'계산 과정'!$D$35*E2029,"")</x:f>
        <x:v>671.5479333387161</x:v>
      </x:c>
      <x:c r="K2029" s="4" t="n">
        <x:f>IF(AND('계산 과정'!$L$6,J2029&gt;0),'계산 과정'!$D$10*('계산 과정'!$C$38*(D2029-'계산 과정'!$C$32)+'계산 과정'!$D$38*(E2029-'계산 과정'!$D$32)-'계산 과정'!$E$38*'계산 과정'!$E$32)/J2029,"")</x:f>
        <x:v>-0.2566956998180239</x:v>
      </x:c>
      <x:c r="L2029" s="4" t="n">
        <x:f>IF(AND('계산 과정'!$L$6,J2029&gt;0),'계산 과정'!$D$10*('계산 과정'!$C$39*(D2029-'계산 과정'!$C$32)+'계산 과정'!$D$39*(E2029-'계산 과정'!$D$32)-'계산 과정'!$E$39*'계산 과정'!$E$32)/J2029,"")</x:f>
        <x:v>-1.7387025118846</x:v>
      </x:c>
      <x:c r="M2029" s="17" t="n">
        <x:f>IF('계산 과정'!$L$6,IF(J2029&lt;=0,0,IF(AND(ABS(K2029)&lt;='계산 과정'!$D$11/2,ABS(L2029)&lt;='계산 과정'!$D$12/2),1,0)),"")</x:f>
        <x:v>1</x:v>
      </x:c>
      <x:c r="N2029" s="17" t="n">
        <x:f>IF('계산 과정'!$C$78,IF(AND(ISNUMBER(H2029),ISNUMBER(I2029),ABS(H2029-'계산 과정'!$C$88)&lt;='계산 과정'!$D$23/2,ABS(I2029-'계산 과정'!$C$89)&lt;='계산 과정'!$D$24/2),1,0),"")</x:f>
        <x:v>1</x:v>
      </x:c>
      <x:c r="O2029" s="4" t="n">
        <x:f>IF('계산 과정'!$L$7,'계산 과정'!$C$49*('계산 과정'!$C$32-D2029)+'계산 과정'!$D$49*('계산 과정'!$D$32-E2029)+'계산 과정'!$E$49*'계산 과정'!$E$32,"")</x:f>
        <x:v>-21.547933338716064</x:v>
      </x:c>
      <x:c r="P2029" s="4" t="n">
        <x:f>IF(AND('계산 과정'!$L$7,O2029&lt;&gt;0),('계산 과정'!$L$23-'계산 과정'!$C$49*D2029-'계산 과정'!$D$49*E2029)/O2029,"")</x:f>
        <x:v>-17.563265149948432</x:v>
      </x:c>
      <x:c r="Q2029" s="4" t="str">
        <x:f>IF(AND(ISNUMBER(P2029),P2029&gt;1E-9,P2029&lt;1-1E-9),'계산 과정'!$C$47*(D2029-'계산 과정'!$C$50+P2029*('계산 과정'!$C$32-D2029))+'계산 과정'!$D$47*(E2029-'계산 과정'!$D$50+P2029*('계산 과정'!$D$32-E2029))+'계산 과정'!$E$47*(0-'계산 과정'!$E$50+P2029*('계산 과정'!$E$32-0)),"")</x:f>
      </x:c>
      <x:c r="R2029" s="4" t="str">
        <x:f>IF(AND(ISNUMBER(P2029),P2029&gt;1E-9,P2029&lt;1-1E-9),'계산 과정'!$C$48*(D2029-'계산 과정'!$C$50+P2029*('계산 과정'!$C$32-D2029))+'계산 과정'!$D$48*(E2029-'계산 과정'!$D$50+P2029*('계산 과정'!$D$32-E2029))+'계산 과정'!$E$48*(0-'계산 과정'!$E$50+P2029*('계산 과정'!$E$32-0)),"")</x:f>
      </x:c>
      <x:c r="S2029" s="17" t="n">
        <x:f>IF('계산 과정'!$C$78,IF(AND(ISNUMBER(Q2029),ISNUMBER(R2029),ABS(Q2029-'계산 과정'!$C$88)&lt;='계산 과정'!$D$23/2,ABS(R2029-'계산 과정'!$C$89)&lt;='계산 과정'!$D$24/2),1,0),"")</x:f>
        <x:v>0</x:v>
      </x:c>
      <x:c r="T2029" s="4"/>
      <x:c r="U2029" s="4"/>
      <x:c r="V2029" s="4"/>
      <x:c r="W2029" s="4"/>
      <x:c r="X2029" s="4"/>
      <x:c r="Y2029" s="4"/>
      <x:c r="Z2029" s="4"/>
    </x:row>
    <x:row r="2030" ht="23" customHeight="1">
      <x:c r="A2030" s="17" t="n">
        <x:f>ROW()-6</x:f>
        <x:v>2024</x:v>
      </x:c>
      <x:c r="B2030" s="4" t="n">
        <x:f>IF('계산 과정'!$L$5,'계산 과정'!$L$11*SQRT((A2030+0.5)/'계산 과정'!$L$30),"")</x:f>
        <x:v>149.1369212806222</x:v>
      </x:c>
      <x:c r="C2030" s="4" t="n">
        <x:f>A2030*PI()*(3-SQRT(5))</x:f>
        <x:v>4857.525576970794</x:v>
      </x:c>
      <x:c r="D2030" s="4" t="n">
        <x:f>IF('계산 과정'!$L$5,B2030*COS(C2030),"")</x:f>
        <x:v>121.08970415232744</x:v>
      </x:c>
      <x:c r="E2030" s="4" t="n">
        <x:f>IF('계산 과정'!$L$5,B2030*SIN(C2030),"")</x:f>
        <x:v>87.05805440833328</x:v>
      </x:c>
      <x:c r="F2030" s="4" t="n">
        <x:f>IF('계산 과정'!$L$7,'계산 과정'!$L$22+'계산 과정'!$C$49*D2030+'계산 과정'!$D$49*E2030,"")</x:f>
        <x:v>564.3766490620164</x:v>
      </x:c>
      <x:c r="G2030" s="4" t="n">
        <x:f>IF('계산 과정'!$L$7,IF(ABS(F2030)&gt;=1E-12*MAX(1,SQRT((D2030-'계산 과정'!$C$33)^2+(E2030-'계산 과정'!$D$33)^2+'계산 과정'!$E$33^2)),('계산 과정'!$L$23-'계산 과정'!$C$49*D2030-'계산 과정'!$D$49*E2030)/F2030,""),"")</x:f>
        <x:v>0.8604596801534589</x:v>
      </x:c>
      <x:c r="H2030" s="4" t="n">
        <x:f>IF(AND(ISNUMBER(G2030),G2030&gt;0),('계산 과정'!$D$56+'계산 과정'!$D$57*D2030+'계산 과정'!$D$58*E2030)/F2030,"")</x:f>
        <x:v>159.2987920997482</x:v>
      </x:c>
      <x:c r="I2030" s="4" t="n">
        <x:f>IF(AND(ISNUMBER(G2030),G2030&gt;0),('계산 과정'!$E$56+'계산 과정'!$E$57*D2030+'계산 과정'!$E$58*E2030)/F2030,"")</x:f>
        <x:v>161.96800005931016</x:v>
      </x:c>
      <x:c r="J2030" s="4" t="n">
        <x:f>IF('계산 과정'!$L$5,'계산 과정'!$D$6+'계산 과정'!$C$35*D2030+'계산 과정'!$D$35*E2030,"")</x:f>
        <x:v>564.3766490620164</x:v>
      </x:c>
      <x:c r="K2030" s="4" t="n">
        <x:f>IF(AND('계산 과정'!$L$6,J2030&gt;0),'계산 과정'!$D$10*('계산 과정'!$C$38*(D2030-'계산 과정'!$C$32)+'계산 과정'!$D$38*(E2030-'계산 과정'!$D$32)-'계산 과정'!$E$38*'계산 과정'!$E$32)/J2030,"")</x:f>
        <x:v>1.213705082664749</x:v>
      </x:c>
      <x:c r="L2030" s="4" t="n">
        <x:f>IF(AND('계산 과정'!$L$6,J2030&gt;0),'계산 과정'!$D$10*('계산 과정'!$C$39*(D2030-'계산 과정'!$C$32)+'계산 과정'!$D$39*(E2030-'계산 과정'!$D$32)-'계산 과정'!$E$39*'계산 과정'!$E$32)/J2030,"")</x:f>
        <x:v>1.2340419052137916</x:v>
      </x:c>
      <x:c r="M2030" s="17" t="n">
        <x:f>IF('계산 과정'!$L$6,IF(J2030&lt;=0,0,IF(AND(ABS(K2030)&lt;='계산 과정'!$D$11/2,ABS(L2030)&lt;='계산 과정'!$D$12/2),1,0)),"")</x:f>
        <x:v>1</x:v>
      </x:c>
      <x:c r="N2030" s="17" t="n">
        <x:f>IF('계산 과정'!$C$78,IF(AND(ISNUMBER(H2030),ISNUMBER(I2030),ABS(H2030-'계산 과정'!$C$88)&lt;='계산 과정'!$D$23/2,ABS(I2030-'계산 과정'!$C$89)&lt;='계산 과정'!$D$24/2),1,0),"")</x:f>
        <x:v>1</x:v>
      </x:c>
      <x:c r="O2030" s="4" t="n">
        <x:f>IF('계산 과정'!$L$7,'계산 과정'!$C$49*('계산 과정'!$C$32-D2030)+'계산 과정'!$D$49*('계산 과정'!$D$32-E2030)+'계산 과정'!$E$49*'계산 과정'!$E$32,"")</x:f>
        <x:v>85.62335093798367</x:v>
      </x:c>
      <x:c r="P2030" s="4" t="n">
        <x:f>IF(AND('계산 과정'!$L$7,O2030&lt;&gt;0),('계산 과정'!$L$23-'계산 과정'!$C$49*D2030-'계산 과정'!$D$49*E2030)/O2030,"")</x:f>
        <x:v>5.671622818052482</x:v>
      </x:c>
      <x:c r="Q2030" s="4" t="str">
        <x:f>IF(AND(ISNUMBER(P2030),P2030&gt;1E-9,P2030&lt;1-1E-9),'계산 과정'!$C$47*(D2030-'계산 과정'!$C$50+P2030*('계산 과정'!$C$32-D2030))+'계산 과정'!$D$47*(E2030-'계산 과정'!$D$50+P2030*('계산 과정'!$D$32-E2030))+'계산 과정'!$E$47*(0-'계산 과정'!$E$50+P2030*('계산 과정'!$E$32-0)),"")</x:f>
      </x:c>
      <x:c r="R2030" s="4" t="str">
        <x:f>IF(AND(ISNUMBER(P2030),P2030&gt;1E-9,P2030&lt;1-1E-9),'계산 과정'!$C$48*(D2030-'계산 과정'!$C$50+P2030*('계산 과정'!$C$32-D2030))+'계산 과정'!$D$48*(E2030-'계산 과정'!$D$50+P2030*('계산 과정'!$D$32-E2030))+'계산 과정'!$E$48*(0-'계산 과정'!$E$50+P2030*('계산 과정'!$E$32-0)),"")</x:f>
      </x:c>
      <x:c r="S2030" s="17" t="n">
        <x:f>IF('계산 과정'!$C$78,IF(AND(ISNUMBER(Q2030),ISNUMBER(R2030),ABS(Q2030-'계산 과정'!$C$88)&lt;='계산 과정'!$D$23/2,ABS(R2030-'계산 과정'!$C$89)&lt;='계산 과정'!$D$24/2),1,0),"")</x:f>
        <x:v>0</x:v>
      </x:c>
      <x:c r="T2030" s="4"/>
      <x:c r="U2030" s="4"/>
      <x:c r="V2030" s="4"/>
      <x:c r="W2030" s="4"/>
      <x:c r="X2030" s="4"/>
      <x:c r="Y2030" s="4"/>
      <x:c r="Z2030" s="4"/>
    </x:row>
    <x:row r="2031" ht="23" customHeight="1">
      <x:c r="A2031" s="17" t="n">
        <x:f>ROW()-6</x:f>
        <x:v>2025</x:v>
      </x:c>
      <x:c r="B2031" s="4" t="n">
        <x:f>IF('계산 과정'!$L$5,'계산 과정'!$L$11*SQRT((A2031+0.5)/'계산 과정'!$L$30),"")</x:f>
        <x:v>149.17374975908965</x:v>
      </x:c>
      <x:c r="C2031" s="4" t="n">
        <x:f>A2031*PI()*(3-SQRT(5))</x:f>
        <x:v>4859.925540200522</x:v>
      </x:c>
      <x:c r="D2031" s="4" t="n">
        <x:f>IF('계산 과정'!$L$5,B2031*COS(C2031),"")</x:f>
        <x:v>-148.13122118352624</x:v>
      </x:c>
      <x:c r="E2031" s="4" t="n">
        <x:f>IF('계산 과정'!$L$5,B2031*SIN(C2031),"")</x:f>
        <x:v>17.605366450736746</x:v>
      </x:c>
      <x:c r="F2031" s="4" t="n">
        <x:f>IF('계산 과정'!$L$7,'계산 과정'!$L$22+'계산 과정'!$C$49*D2031+'계산 과정'!$D$49*E2031,"")</x:f>
        <x:v>754.7445910043158</x:v>
      </x:c>
      <x:c r="G2031" s="4" t="n">
        <x:f>IF('계산 과정'!$L$7,IF(ABS(F2031)&gt;=1E-12*MAX(1,SQRT((D2031-'계산 과정'!$C$33)^2+(E2031-'계산 과정'!$D$33)^2+'계산 과정'!$E$33^2)),('계산 과정'!$L$23-'계산 과정'!$C$49*D2031-'계산 과정'!$D$49*E2031)/F2031,""),"")</x:f>
        <x:v>0.39119910565082266</x:v>
      </x:c>
      <x:c r="H2031" s="4" t="n">
        <x:f>IF(AND(ISNUMBER(G2031),G2031&gt;0),('계산 과정'!$D$56+'계산 과정'!$D$57*D2031+'계산 과정'!$D$58*E2031)/F2031,"")</x:f>
        <x:v>-145.7205813269654</x:v>
      </x:c>
      <x:c r="I2031" s="4" t="n">
        <x:f>IF(AND(ISNUMBER(G2031),G2031&gt;0),('계산 과정'!$E$56+'계산 과정'!$E$57*D2031+'계산 과정'!$E$58*E2031)/F2031,"")</x:f>
        <x:v>24.49257006091996</x:v>
      </x:c>
      <x:c r="J2031" s="4" t="n">
        <x:f>IF('계산 과정'!$L$5,'계산 과정'!$D$6+'계산 과정'!$C$35*D2031+'계산 과정'!$D$35*E2031,"")</x:f>
        <x:v>754.7445910043158</x:v>
      </x:c>
      <x:c r="K2031" s="4" t="n">
        <x:f>IF(AND('계산 과정'!$L$6,J2031&gt;0),'계산 과정'!$D$10*('계산 과정'!$C$38*(D2031-'계산 과정'!$C$32)+'계산 과정'!$D$38*(E2031-'계산 과정'!$D$32)-'계산 과정'!$E$38*'계산 과정'!$E$32)/J2031,"")</x:f>
        <x:v>-1.1102520482054494</x:v>
      </x:c>
      <x:c r="L2031" s="4" t="n">
        <x:f>IF(AND('계산 과정'!$L$6,J2031&gt;0),'계산 과정'!$D$10*('계산 과정'!$C$39*(D2031-'계산 과정'!$C$32)+'계산 과정'!$D$39*(E2031-'계산 과정'!$D$32)-'계산 과정'!$E$39*'계산 과정'!$E$32)/J2031,"")</x:f>
        <x:v>0.1866100576070092</x:v>
      </x:c>
      <x:c r="M2031" s="17" t="n">
        <x:f>IF('계산 과정'!$L$6,IF(J2031&lt;=0,0,IF(AND(ABS(K2031)&lt;='계산 과정'!$D$11/2,ABS(L2031)&lt;='계산 과정'!$D$12/2),1,0)),"")</x:f>
        <x:v>1</x:v>
      </x:c>
      <x:c r="N2031" s="17" t="n">
        <x:f>IF('계산 과정'!$C$78,IF(AND(ISNUMBER(H2031),ISNUMBER(I2031),ABS(H2031-'계산 과정'!$C$88)&lt;='계산 과정'!$D$23/2,ABS(I2031-'계산 과정'!$C$89)&lt;='계산 과정'!$D$24/2),1,0),"")</x:f>
        <x:v>1</x:v>
      </x:c>
      <x:c r="O2031" s="4" t="n">
        <x:f>IF('계산 과정'!$L$7,'계산 과정'!$C$49*('계산 과정'!$C$32-D2031)+'계산 과정'!$D$49*('계산 과정'!$D$32-E2031)+'계산 과정'!$E$49*'계산 과정'!$E$32,"")</x:f>
        <x:v>-104.74459100431562</x:v>
      </x:c>
      <x:c r="P2031" s="4" t="n">
        <x:f>IF(AND('계산 과정'!$L$7,O2031&lt;&gt;0),('계산 과정'!$L$23-'계산 과정'!$C$49*D2031-'계산 과정'!$D$49*E2031)/O2031,"")</x:f>
        <x:v>-2.81881294456073</x:v>
      </x:c>
      <x:c r="Q2031" s="4" t="str">
        <x:f>IF(AND(ISNUMBER(P2031),P2031&gt;1E-9,P2031&lt;1-1E-9),'계산 과정'!$C$47*(D2031-'계산 과정'!$C$50+P2031*('계산 과정'!$C$32-D2031))+'계산 과정'!$D$47*(E2031-'계산 과정'!$D$50+P2031*('계산 과정'!$D$32-E2031))+'계산 과정'!$E$47*(0-'계산 과정'!$E$50+P2031*('계산 과정'!$E$32-0)),"")</x:f>
      </x:c>
      <x:c r="R2031" s="4" t="str">
        <x:f>IF(AND(ISNUMBER(P2031),P2031&gt;1E-9,P2031&lt;1-1E-9),'계산 과정'!$C$48*(D2031-'계산 과정'!$C$50+P2031*('계산 과정'!$C$32-D2031))+'계산 과정'!$D$48*(E2031-'계산 과정'!$D$50+P2031*('계산 과정'!$D$32-E2031))+'계산 과정'!$E$48*(0-'계산 과정'!$E$50+P2031*('계산 과정'!$E$32-0)),"")</x:f>
      </x:c>
      <x:c r="S2031" s="17" t="n">
        <x:f>IF('계산 과정'!$C$78,IF(AND(ISNUMBER(Q2031),ISNUMBER(R2031),ABS(Q2031-'계산 과정'!$C$88)&lt;='계산 과정'!$D$23/2,ABS(R2031-'계산 과정'!$C$89)&lt;='계산 과정'!$D$24/2),1,0),"")</x:f>
        <x:v>0</x:v>
      </x:c>
      <x:c r="T2031" s="4"/>
      <x:c r="U2031" s="4"/>
      <x:c r="V2031" s="4"/>
      <x:c r="W2031" s="4"/>
      <x:c r="X2031" s="4"/>
      <x:c r="Y2031" s="4"/>
      <x:c r="Z2031" s="4"/>
    </x:row>
    <x:row r="2032" ht="23" customHeight="1">
      <x:c r="A2032" s="17" t="n">
        <x:f>ROW()-6</x:f>
        <x:v>2026</x:v>
      </x:c>
      <x:c r="B2032" s="4" t="n">
        <x:f>IF('계산 과정'!$L$5,'계산 과정'!$L$11*SQRT((A2032+0.5)/'계산 과정'!$L$30),"")</x:f>
        <x:v>149.21056914747192</x:v>
      </x:c>
      <x:c r="C2032" s="4" t="n">
        <x:f>A2032*PI()*(3-SQRT(5))</x:f>
        <x:v>4862.325503430251</x:v>
      </x:c>
      <x:c r="D2032" s="4" t="n">
        <x:f>IF('계산 과정'!$L$5,B2032*COS(C2032),"")</x:f>
        <x:v>97.3591226681298</x:v>
      </x:c>
      <x:c r="E2032" s="4" t="n">
        <x:f>IF('계산 과정'!$L$5,B2032*SIN(C2032),"")</x:f>
        <x:v>-113.07075297619873</x:v>
      </x:c>
      <x:c r="F2032" s="4" t="n">
        <x:f>IF('계산 과정'!$L$7,'계산 과정'!$L$22+'계산 과정'!$C$49*D2032+'계산 과정'!$D$49*E2032,"")</x:f>
        <x:v>581.1567041509925</x:v>
      </x:c>
      <x:c r="G2032" s="4" t="n">
        <x:f>IF('계산 과정'!$L$7,IF(ABS(F2032)&gt;=1E-12*MAX(1,SQRT((D2032-'계산 과정'!$C$33)^2+(E2032-'계산 과정'!$D$33)^2+'계산 과정'!$E$33^2)),('계산 과정'!$L$23-'계산 과정'!$C$49*D2032-'계산 과정'!$D$49*E2032)/F2032,""),"")</x:f>
        <x:v>0.8067416111699808</x:v>
      </x:c>
      <x:c r="H2032" s="4" t="n">
        <x:f>IF(AND(ISNUMBER(G2032),G2032&gt;0),('계산 과정'!$D$56+'계산 과정'!$D$57*D2032+'계산 과정'!$D$58*E2032)/F2032,"")</x:f>
        <x:v>124.38204726048735</x:v>
      </x:c>
      <x:c r="I2032" s="4" t="n">
        <x:f>IF(AND(ISNUMBER(G2032),G2032&gt;0),('계산 과정'!$E$56+'계산 과정'!$E$57*D2032+'계산 과정'!$E$58*E2032)/F2032,"")</x:f>
        <x:v>-204.2896344084202</x:v>
      </x:c>
      <x:c r="J2032" s="4" t="n">
        <x:f>IF('계산 과정'!$L$5,'계산 과정'!$D$6+'계산 과정'!$C$35*D2032+'계산 과정'!$D$35*E2032,"")</x:f>
        <x:v>581.1567041509925</x:v>
      </x:c>
      <x:c r="K2032" s="4" t="n">
        <x:f>IF(AND('계산 과정'!$L$6,J2032&gt;0),'계산 과정'!$D$10*('계산 과정'!$C$38*(D2032-'계산 과정'!$C$32)+'계산 과정'!$D$38*(E2032-'계산 과정'!$D$32)-'계산 과정'!$E$38*'계산 과정'!$E$32)/J2032,"")</x:f>
        <x:v>0.9476727410322848</x:v>
      </x:c>
      <x:c r="L2032" s="4" t="n">
        <x:f>IF(AND('계산 과정'!$L$6,J2032&gt;0),'계산 과정'!$D$10*('계산 과정'!$C$39*(D2032-'계산 과정'!$C$32)+'계산 과정'!$D$39*(E2032-'계산 과정'!$D$32)-'계산 과정'!$E$39*'계산 과정'!$E$32)/J2032,"")</x:f>
        <x:v>-1.5564924526355823</x:v>
      </x:c>
      <x:c r="M2032" s="17" t="n">
        <x:f>IF('계산 과정'!$L$6,IF(J2032&lt;=0,0,IF(AND(ABS(K2032)&lt;='계산 과정'!$D$11/2,ABS(L2032)&lt;='계산 과정'!$D$12/2),1,0)),"")</x:f>
        <x:v>1</x:v>
      </x:c>
      <x:c r="N2032" s="17" t="n">
        <x:f>IF('계산 과정'!$C$78,IF(AND(ISNUMBER(H2032),ISNUMBER(I2032),ABS(H2032-'계산 과정'!$C$88)&lt;='계산 과정'!$D$23/2,ABS(I2032-'계산 과정'!$C$89)&lt;='계산 과정'!$D$24/2),1,0),"")</x:f>
        <x:v>1</x:v>
      </x:c>
      <x:c r="O2032" s="4" t="n">
        <x:f>IF('계산 과정'!$L$7,'계산 과정'!$C$49*('계산 과정'!$C$32-D2032)+'계산 과정'!$D$49*('계산 과정'!$D$32-E2032)+'계산 과정'!$E$49*'계산 과정'!$E$32,"")</x:f>
        <x:v>68.84329584900757</x:v>
      </x:c>
      <x:c r="P2032" s="4" t="n">
        <x:f>IF(AND('계산 과정'!$L$7,O2032&lt;&gt;0),('계산 과정'!$L$23-'계산 과정'!$C$49*D2032-'계산 과정'!$D$49*E2032)/O2032,"")</x:f>
        <x:v>6.810297067666702</x:v>
      </x:c>
      <x:c r="Q2032" s="4" t="str">
        <x:f>IF(AND(ISNUMBER(P2032),P2032&gt;1E-9,P2032&lt;1-1E-9),'계산 과정'!$C$47*(D2032-'계산 과정'!$C$50+P2032*('계산 과정'!$C$32-D2032))+'계산 과정'!$D$47*(E2032-'계산 과정'!$D$50+P2032*('계산 과정'!$D$32-E2032))+'계산 과정'!$E$47*(0-'계산 과정'!$E$50+P2032*('계산 과정'!$E$32-0)),"")</x:f>
      </x:c>
      <x:c r="R2032" s="4" t="str">
        <x:f>IF(AND(ISNUMBER(P2032),P2032&gt;1E-9,P2032&lt;1-1E-9),'계산 과정'!$C$48*(D2032-'계산 과정'!$C$50+P2032*('계산 과정'!$C$32-D2032))+'계산 과정'!$D$48*(E2032-'계산 과정'!$D$50+P2032*('계산 과정'!$D$32-E2032))+'계산 과정'!$E$48*(0-'계산 과정'!$E$50+P2032*('계산 과정'!$E$32-0)),"")</x:f>
      </x:c>
      <x:c r="S2032" s="17" t="n">
        <x:f>IF('계산 과정'!$C$78,IF(AND(ISNUMBER(Q2032),ISNUMBER(R2032),ABS(Q2032-'계산 과정'!$C$88)&lt;='계산 과정'!$D$23/2,ABS(R2032-'계산 과정'!$C$89)&lt;='계산 과정'!$D$24/2),1,0),"")</x:f>
        <x:v>0</x:v>
      </x:c>
      <x:c r="T2032" s="4"/>
      <x:c r="U2032" s="4"/>
      <x:c r="V2032" s="4"/>
      <x:c r="W2032" s="4"/>
      <x:c r="X2032" s="4"/>
      <x:c r="Y2032" s="4"/>
      <x:c r="Z2032" s="4"/>
    </x:row>
    <x:row r="2033" ht="23" customHeight="1">
      <x:c r="A2033" s="17" t="n">
        <x:f>ROW()-6</x:f>
        <x:v>2027</x:v>
      </x:c>
      <x:c r="B2033" s="4" t="n">
        <x:f>IF('계산 과정'!$L$5,'계산 과정'!$L$11*SQRT((A2033+0.5)/'계산 과정'!$L$30),"")</x:f>
        <x:v>149.24737945249657</x:v>
      </x:c>
      <x:c r="C2033" s="4" t="n">
        <x:f>A2033*PI()*(3-SQRT(5))</x:f>
        <x:v>4864.725466659979</x:v>
      </x:c>
      <x:c r="D2033" s="4" t="n">
        <x:f>IF('계산 과정'!$L$5,B2033*COS(C2033),"")</x:f>
        <x:v>4.589741159492281</x:v>
      </x:c>
      <x:c r="E2033" s="4" t="n">
        <x:f>IF('계산 과정'!$L$5,B2033*SIN(C2033),"")</x:f>
        <x:v>149.17678958043828</x:v>
      </x:c>
      <x:c r="F2033" s="4" t="n">
        <x:f>IF('계산 과정'!$L$7,'계산 과정'!$L$22+'계산 과정'!$C$49*D2033+'계산 과정'!$D$49*E2033,"")</x:f>
        <x:v>646.754562902232</x:v>
      </x:c>
      <x:c r="G2033" s="4" t="n">
        <x:f>IF('계산 과정'!$L$7,IF(ABS(F2033)&gt;=1E-12*MAX(1,SQRT((D2033-'계산 과정'!$C$33)^2+(E2033-'계산 과정'!$D$33)^2+'계산 과정'!$E$33^2)),('계산 과정'!$L$23-'계산 과정'!$C$49*D2033-'계산 과정'!$D$49*E2033)/F2033,""),"")</x:f>
        <x:v>0.6234906720847139</x:v>
      </x:c>
      <x:c r="H2033" s="4" t="n">
        <x:f>IF(AND(ISNUMBER(G2033),G2033&gt;0),('계산 과정'!$D$56+'계산 과정'!$D$57*D2033+'계산 과정'!$D$58*E2033)/F2033,"")</x:f>
        <x:v>5.268936855063919</x:v>
      </x:c>
      <x:c r="I2033" s="4" t="n">
        <x:f>IF(AND(ISNUMBER(G2033),G2033&gt;0),('계산 과정'!$E$56+'계산 과정'!$E$57*D2033+'계산 과정'!$E$58*E2033)/F2033,"")</x:f>
        <x:v>242.18712637538567</x:v>
      </x:c>
      <x:c r="J2033" s="4" t="n">
        <x:f>IF('계산 과정'!$L$5,'계산 과정'!$D$6+'계산 과정'!$C$35*D2033+'계산 과정'!$D$35*E2033,"")</x:f>
        <x:v>646.754562902232</x:v>
      </x:c>
      <x:c r="K2033" s="4" t="n">
        <x:f>IF(AND('계산 과정'!$L$6,J2033&gt;0),'계산 과정'!$D$10*('계산 과정'!$C$38*(D2033-'계산 과정'!$C$32)+'계산 과정'!$D$38*(E2033-'계산 과정'!$D$32)-'계산 과정'!$E$38*'계산 과정'!$E$32)/J2033,"")</x:f>
        <x:v>0.04014428080048775</x:v>
      </x:c>
      <x:c r="L2033" s="4" t="n">
        <x:f>IF(AND('계산 과정'!$L$6,J2033&gt;0),'계산 과정'!$D$10*('계산 과정'!$C$39*(D2033-'계산 과정'!$C$32)+'계산 과정'!$D$39*(E2033-'계산 과정'!$D$32)-'계산 과정'!$E$39*'계산 과정'!$E$32)/J2033,"")</x:f>
        <x:v>1.845235248574367</x:v>
      </x:c>
      <x:c r="M2033" s="17" t="n">
        <x:f>IF('계산 과정'!$L$6,IF(J2033&lt;=0,0,IF(AND(ABS(K2033)&lt;='계산 과정'!$D$11/2,ABS(L2033)&lt;='계산 과정'!$D$12/2),1,0)),"")</x:f>
        <x:v>1</x:v>
      </x:c>
      <x:c r="N2033" s="17" t="n">
        <x:f>IF('계산 과정'!$C$78,IF(AND(ISNUMBER(H2033),ISNUMBER(I2033),ABS(H2033-'계산 과정'!$C$88)&lt;='계산 과정'!$D$23/2,ABS(I2033-'계산 과정'!$C$89)&lt;='계산 과정'!$D$24/2),1,0),"")</x:f>
        <x:v>1</x:v>
      </x:c>
      <x:c r="O2033" s="4" t="n">
        <x:f>IF('계산 과정'!$L$7,'계산 과정'!$C$49*('계산 과정'!$C$32-D2033)+'계산 과정'!$D$49*('계산 과정'!$D$32-E2033)+'계산 과정'!$E$49*'계산 과정'!$E$32,"")</x:f>
        <x:v>3.2454370977681037</x:v>
      </x:c>
      <x:c r="P2033" s="4" t="n">
        <x:f>IF(AND('계산 과정'!$L$7,O2033&lt;&gt;0),('계산 과정'!$L$23-'계산 과정'!$C$49*D2033-'계산 과정'!$D$49*E2033)/O2033,"")</x:f>
        <x:v>124.24996231634901</x:v>
      </x:c>
      <x:c r="Q2033" s="4" t="str">
        <x:f>IF(AND(ISNUMBER(P2033),P2033&gt;1E-9,P2033&lt;1-1E-9),'계산 과정'!$C$47*(D2033-'계산 과정'!$C$50+P2033*('계산 과정'!$C$32-D2033))+'계산 과정'!$D$47*(E2033-'계산 과정'!$D$50+P2033*('계산 과정'!$D$32-E2033))+'계산 과정'!$E$47*(0-'계산 과정'!$E$50+P2033*('계산 과정'!$E$32-0)),"")</x:f>
      </x:c>
      <x:c r="R2033" s="4" t="str">
        <x:f>IF(AND(ISNUMBER(P2033),P2033&gt;1E-9,P2033&lt;1-1E-9),'계산 과정'!$C$48*(D2033-'계산 과정'!$C$50+P2033*('계산 과정'!$C$32-D2033))+'계산 과정'!$D$48*(E2033-'계산 과정'!$D$50+P2033*('계산 과정'!$D$32-E2033))+'계산 과정'!$E$48*(0-'계산 과정'!$E$50+P2033*('계산 과정'!$E$32-0)),"")</x:f>
      </x:c>
      <x:c r="S2033" s="17" t="n">
        <x:f>IF('계산 과정'!$C$78,IF(AND(ISNUMBER(Q2033),ISNUMBER(R2033),ABS(Q2033-'계산 과정'!$C$88)&lt;='계산 과정'!$D$23/2,ABS(R2033-'계산 과정'!$C$89)&lt;='계산 과정'!$D$24/2),1,0),"")</x:f>
        <x:v>0</x:v>
      </x:c>
      <x:c r="T2033" s="4"/>
      <x:c r="U2033" s="4"/>
      <x:c r="V2033" s="4"/>
      <x:c r="W2033" s="4"/>
      <x:c r="X2033" s="4"/>
      <x:c r="Y2033" s="4"/>
      <x:c r="Z2033" s="4"/>
    </x:row>
    <x:row r="2034" ht="23" customHeight="1">
      <x:c r="A2034" s="17" t="n">
        <x:f>ROW()-6</x:f>
        <x:v>2028</x:v>
      </x:c>
      <x:c r="B2034" s="4" t="n">
        <x:f>IF('계산 과정'!$L$5,'계산 과정'!$L$11*SQRT((A2034+0.5)/'계산 과정'!$L$30),"")</x:f>
        <x:v>149.28418068088294</x:v>
      </x:c>
      <x:c r="C2034" s="4" t="n">
        <x:f>A2034*PI()*(3-SQRT(5))</x:f>
        <x:v>4867.125429889707</x:v>
      </x:c>
      <x:c r="D2034" s="4" t="n">
        <x:f>IF('계산 과정'!$L$5,B2034*COS(C2034),"")</x:f>
        <x:v>-104.17748739954477</x:v>
      </x:c>
      <x:c r="E2034" s="4" t="n">
        <x:f>IF('계산 과정'!$L$5,B2034*SIN(C2034),"")</x:f>
        <x:v>-106.92435513333805</x:v>
      </x:c>
      <x:c r="F2034" s="4" t="n">
        <x:f>IF('계산 과정'!$L$7,'계산 과정'!$L$22+'계산 과정'!$C$49*D2034+'계산 과정'!$D$49*E2034,"")</x:f>
        <x:v>723.6646077871942</x:v>
      </x:c>
      <x:c r="G2034" s="4" t="n">
        <x:f>IF('계산 과정'!$L$7,IF(ABS(F2034)&gt;=1E-12*MAX(1,SQRT((D2034-'계산 과정'!$C$33)^2+(E2034-'계산 과정'!$D$33)^2+'계산 과정'!$E$33^2)),('계산 과정'!$L$23-'계산 과정'!$C$49*D2034-'계산 과정'!$D$49*E2034)/F2034,""),"")</x:f>
        <x:v>0.45094839335955234</x:v>
      </x:c>
      <x:c r="H2034" s="4" t="n">
        <x:f>IF(AND(ISNUMBER(G2034),G2034&gt;0),('계산 과정'!$D$56+'계산 과정'!$D$57*D2034+'계산 과정'!$D$58*E2034)/F2034,"")</x:f>
        <x:v>-106.88354431629115</x:v>
      </x:c>
      <x:c r="I2034" s="4" t="n">
        <x:f>IF(AND(ISNUMBER(G2034),G2034&gt;0),('계산 과정'!$E$56+'계산 과정'!$E$57*D2034+'계산 과정'!$E$58*E2034)/F2034,"")</x:f>
        <x:v>-155.14172129172306</x:v>
      </x:c>
      <x:c r="J2034" s="4" t="n">
        <x:f>IF('계산 과정'!$L$5,'계산 과정'!$D$6+'계산 과정'!$C$35*D2034+'계산 과정'!$D$35*E2034,"")</x:f>
        <x:v>723.6646077871942</x:v>
      </x:c>
      <x:c r="K2034" s="4" t="n">
        <x:f>IF(AND('계산 과정'!$L$6,J2034&gt;0),'계산 과정'!$D$10*('계산 과정'!$C$38*(D2034-'계산 과정'!$C$32)+'계산 과정'!$D$38*(E2034-'계산 과정'!$D$32)-'계산 과정'!$E$38*'계산 과정'!$E$32)/J2034,"")</x:f>
        <x:v>-0.8143508138384081</x:v>
      </x:c>
      <x:c r="L2034" s="4" t="n">
        <x:f>IF(AND('계산 과정'!$L$6,J2034&gt;0),'계산 과정'!$D$10*('계산 과정'!$C$39*(D2034-'계산 과정'!$C$32)+'계산 과정'!$D$39*(E2034-'계산 과정'!$D$32)-'계산 과정'!$E$39*'계산 과정'!$E$32)/J2034,"")</x:f>
        <x:v>-1.1820321622226517</x:v>
      </x:c>
      <x:c r="M2034" s="17" t="n">
        <x:f>IF('계산 과정'!$L$6,IF(J2034&lt;=0,0,IF(AND(ABS(K2034)&lt;='계산 과정'!$D$11/2,ABS(L2034)&lt;='계산 과정'!$D$12/2),1,0)),"")</x:f>
        <x:v>1</x:v>
      </x:c>
      <x:c r="N2034" s="17" t="n">
        <x:f>IF('계산 과정'!$C$78,IF(AND(ISNUMBER(H2034),ISNUMBER(I2034),ABS(H2034-'계산 과정'!$C$88)&lt;='계산 과정'!$D$23/2,ABS(I2034-'계산 과정'!$C$89)&lt;='계산 과정'!$D$24/2),1,0),"")</x:f>
        <x:v>1</x:v>
      </x:c>
      <x:c r="O2034" s="4" t="n">
        <x:f>IF('계산 과정'!$L$7,'계산 과정'!$C$49*('계산 과정'!$C$32-D2034)+'계산 과정'!$D$49*('계산 과정'!$D$32-E2034)+'계산 과정'!$E$49*'계산 과정'!$E$32,"")</x:f>
        <x:v>-73.66460778719414</x:v>
      </x:c>
      <x:c r="P2034" s="4" t="n">
        <x:f>IF(AND('계산 과정'!$L$7,O2034&lt;&gt;0),('계산 과정'!$L$23-'계산 과정'!$C$49*D2034-'계산 과정'!$D$49*E2034)/O2034,"")</x:f>
        <x:v>-4.43001601468563</x:v>
      </x:c>
      <x:c r="Q2034" s="4" t="str">
        <x:f>IF(AND(ISNUMBER(P2034),P2034&gt;1E-9,P2034&lt;1-1E-9),'계산 과정'!$C$47*(D2034-'계산 과정'!$C$50+P2034*('계산 과정'!$C$32-D2034))+'계산 과정'!$D$47*(E2034-'계산 과정'!$D$50+P2034*('계산 과정'!$D$32-E2034))+'계산 과정'!$E$47*(0-'계산 과정'!$E$50+P2034*('계산 과정'!$E$32-0)),"")</x:f>
      </x:c>
      <x:c r="R2034" s="4" t="str">
        <x:f>IF(AND(ISNUMBER(P2034),P2034&gt;1E-9,P2034&lt;1-1E-9),'계산 과정'!$C$48*(D2034-'계산 과정'!$C$50+P2034*('계산 과정'!$C$32-D2034))+'계산 과정'!$D$48*(E2034-'계산 과정'!$D$50+P2034*('계산 과정'!$D$32-E2034))+'계산 과정'!$E$48*(0-'계산 과정'!$E$50+P2034*('계산 과정'!$E$32-0)),"")</x:f>
      </x:c>
      <x:c r="S2034" s="17" t="n">
        <x:f>IF('계산 과정'!$C$78,IF(AND(ISNUMBER(Q2034),ISNUMBER(R2034),ABS(Q2034-'계산 과정'!$C$88)&lt;='계산 과정'!$D$23/2,ABS(R2034-'계산 과정'!$C$89)&lt;='계산 과정'!$D$24/2),1,0),"")</x:f>
        <x:v>0</x:v>
      </x:c>
      <x:c r="T2034" s="4"/>
      <x:c r="U2034" s="4"/>
      <x:c r="V2034" s="4"/>
      <x:c r="W2034" s="4"/>
      <x:c r="X2034" s="4"/>
      <x:c r="Y2034" s="4"/>
      <x:c r="Z2034" s="4"/>
    </x:row>
    <x:row r="2035" ht="23" customHeight="1">
      <x:c r="A2035" s="17" t="n">
        <x:f>ROW()-6</x:f>
        <x:v>2029</x:v>
      </x:c>
      <x:c r="B2035" s="4" t="n">
        <x:f>IF('계산 과정'!$L$5,'계산 과정'!$L$11*SQRT((A2035+0.5)/'계산 과정'!$L$30),"")</x:f>
        <x:v>149.32097283934195</x:v>
      </x:c>
      <x:c r="C2035" s="4" t="n">
        <x:f>A2035*PI()*(3-SQRT(5))</x:f>
        <x:v>4869.525393119437</x:v>
      </x:c>
      <x:c r="D2035" s="4" t="n">
        <x:f>IF('계산 과정'!$L$5,B2035*COS(C2035),"")</x:f>
        <x:v>149.08033398345677</x:v>
      </x:c>
      <x:c r="E2035" s="4" t="n">
        <x:f>IF('계산 과정'!$L$5,B2035*SIN(C2035),"")</x:f>
        <x:v>8.473898103498804</x:v>
      </x:c>
      <x:c r="F2035" s="4" t="n">
        <x:f>IF('계산 과정'!$L$7,'계산 과정'!$L$22+'계산 과정'!$C$49*D2035+'계산 과정'!$D$49*E2035,"")</x:f>
        <x:v>544.5842848987425</x:v>
      </x:c>
      <x:c r="G2035" s="4" t="n">
        <x:f>IF('계산 과정'!$L$7,IF(ABS(F2035)&gt;=1E-12*MAX(1,SQRT((D2035-'계산 과정'!$C$33)^2+(E2035-'계산 과정'!$D$33)^2+'계산 과정'!$E$33^2)),('계산 과정'!$L$23-'계산 과정'!$C$49*D2035-'계산 과정'!$D$49*E2035)/F2035,""),"")</x:f>
        <x:v>0.9280762025573915</x:v>
      </x:c>
      <x:c r="H2035" s="4" t="n">
        <x:f>IF(AND(ISNUMBER(G2035),G2035&gt;0),('계산 과정'!$D$56+'계산 과정'!$D$57*D2035+'계산 과정'!$D$58*E2035)/F2035,"")</x:f>
        <x:v>203.24953166230455</x:v>
      </x:c>
      <x:c r="I2035" s="4" t="n">
        <x:f>IF(AND(ISNUMBER(G2035),G2035&gt;0),('계산 과정'!$E$56+'계산 과정'!$E$57*D2035+'계산 과정'!$E$58*E2035)/F2035,"")</x:f>
        <x:v>16.338321276252255</x:v>
      </x:c>
      <x:c r="J2035" s="4" t="n">
        <x:f>IF('계산 과정'!$L$5,'계산 과정'!$D$6+'계산 과정'!$C$35*D2035+'계산 과정'!$D$35*E2035,"")</x:f>
        <x:v>544.5842848987425</x:v>
      </x:c>
      <x:c r="K2035" s="4" t="n">
        <x:f>IF(AND('계산 과정'!$L$6,J2035&gt;0),'계산 과정'!$D$10*('계산 과정'!$C$38*(D2035-'계산 과정'!$C$32)+'계산 과정'!$D$38*(E2035-'계산 과정'!$D$32)-'계산 과정'!$E$38*'계산 과정'!$E$32)/J2035,"")</x:f>
        <x:v>1.5485678602842254</x:v>
      </x:c>
      <x:c r="L2035" s="4" t="n">
        <x:f>IF(AND('계산 과정'!$L$6,J2035&gt;0),'계산 과정'!$D$10*('계산 과정'!$C$39*(D2035-'계산 과정'!$C$32)+'계산 과정'!$D$39*(E2035-'계산 과정'!$D$32)-'계산 과정'!$E$39*'계산 과정'!$E$32)/J2035,"")</x:f>
        <x:v>0.12448244781906481</x:v>
      </x:c>
      <x:c r="M2035" s="17" t="n">
        <x:f>IF('계산 과정'!$L$6,IF(J2035&lt;=0,0,IF(AND(ABS(K2035)&lt;='계산 과정'!$D$11/2,ABS(L2035)&lt;='계산 과정'!$D$12/2),1,0)),"")</x:f>
        <x:v>1</x:v>
      </x:c>
      <x:c r="N2035" s="17" t="n">
        <x:f>IF('계산 과정'!$C$78,IF(AND(ISNUMBER(H2035),ISNUMBER(I2035),ABS(H2035-'계산 과정'!$C$88)&lt;='계산 과정'!$D$23/2,ABS(I2035-'계산 과정'!$C$89)&lt;='계산 과정'!$D$24/2),1,0),"")</x:f>
        <x:v>1</x:v>
      </x:c>
      <x:c r="O2035" s="4" t="n">
        <x:f>IF('계산 과정'!$L$7,'계산 과정'!$C$49*('계산 과정'!$C$32-D2035)+'계산 과정'!$D$49*('계산 과정'!$D$32-E2035)+'계산 과정'!$E$49*'계산 과정'!$E$32,"")</x:f>
        <x:v>105.41571510125766</x:v>
      </x:c>
      <x:c r="P2035" s="4" t="n">
        <x:f>IF(AND('계산 과정'!$L$7,O2035&lt;&gt;0),('계산 과정'!$L$23-'계산 과정'!$C$49*D2035-'계산 과정'!$D$49*E2035)/O2035,"")</x:f>
        <x:v>4.794500655009338</x:v>
      </x:c>
      <x:c r="Q2035" s="4" t="str">
        <x:f>IF(AND(ISNUMBER(P2035),P2035&gt;1E-9,P2035&lt;1-1E-9),'계산 과정'!$C$47*(D2035-'계산 과정'!$C$50+P2035*('계산 과정'!$C$32-D2035))+'계산 과정'!$D$47*(E2035-'계산 과정'!$D$50+P2035*('계산 과정'!$D$32-E2035))+'계산 과정'!$E$47*(0-'계산 과정'!$E$50+P2035*('계산 과정'!$E$32-0)),"")</x:f>
      </x:c>
      <x:c r="R2035" s="4" t="str">
        <x:f>IF(AND(ISNUMBER(P2035),P2035&gt;1E-9,P2035&lt;1-1E-9),'계산 과정'!$C$48*(D2035-'계산 과정'!$C$50+P2035*('계산 과정'!$C$32-D2035))+'계산 과정'!$D$48*(E2035-'계산 과정'!$D$50+P2035*('계산 과정'!$D$32-E2035))+'계산 과정'!$E$48*(0-'계산 과정'!$E$50+P2035*('계산 과정'!$E$32-0)),"")</x:f>
      </x:c>
      <x:c r="S2035" s="17" t="n">
        <x:f>IF('계산 과정'!$C$78,IF(AND(ISNUMBER(Q2035),ISNUMBER(R2035),ABS(Q2035-'계산 과정'!$C$88)&lt;='계산 과정'!$D$23/2,ABS(R2035-'계산 과정'!$C$89)&lt;='계산 과정'!$D$24/2),1,0),"")</x:f>
        <x:v>0</x:v>
      </x:c>
      <x:c r="T2035" s="4"/>
      <x:c r="U2035" s="4"/>
      <x:c r="V2035" s="4"/>
      <x:c r="W2035" s="4"/>
      <x:c r="X2035" s="4"/>
      <x:c r="Y2035" s="4"/>
      <x:c r="Z2035" s="4"/>
    </x:row>
    <x:row r="2036" ht="23" customHeight="1">
      <x:c r="A2036" s="17" t="n">
        <x:f>ROW()-6</x:f>
        <x:v>2030</x:v>
      </x:c>
      <x:c r="B2036" s="4" t="n">
        <x:f>IF('계산 과정'!$L$5,'계산 과정'!$L$11*SQRT((A2036+0.5)/'계산 과정'!$L$30),"")</x:f>
        <x:v>149.35775593457643</x:v>
      </x:c>
      <x:c r="C2036" s="4" t="n">
        <x:f>A2036*PI()*(3-SQRT(5))</x:f>
        <x:v>4871.925356349166</x:v>
      </x:c>
      <x:c r="D2036" s="4" t="n">
        <x:f>IF('계산 과정'!$L$5,B2036*COS(C2036),"")</x:f>
        <x:v>-115.67972357112225</x:v>
      </x:c>
      <x:c r="E2036" s="4" t="n">
        <x:f>IF('계산 과정'!$L$5,B2036*SIN(C2036),"")</x:f>
        <x:v>94.4771973140675</x:v>
      </x:c>
      <x:c r="F2036" s="4" t="n">
        <x:f>IF('계산 과정'!$L$7,'계산 과정'!$L$22+'계산 과정'!$C$49*D2036+'계산 과정'!$D$49*E2036,"")</x:f>
        <x:v>731.7979169829258</x:v>
      </x:c>
      <x:c r="G2036" s="4" t="n">
        <x:f>IF('계산 과정'!$L$7,IF(ABS(F2036)&gt;=1E-12*MAX(1,SQRT((D2036-'계산 과정'!$C$33)^2+(E2036-'계산 과정'!$D$33)^2+'계산 과정'!$E$33^2)),('계산 과정'!$L$23-'계산 과정'!$C$49*D2036-'계산 과정'!$D$49*E2036)/F2036,""),"")</x:f>
        <x:v>0.4348223404747658</x:v>
      </x:c>
      <x:c r="H2036" s="4" t="n">
        <x:f>IF(AND(ISNUMBER(G2036),G2036&gt;0),('계산 과정'!$D$56+'계산 과정'!$D$57*D2036+'계산 과정'!$D$58*E2036)/F2036,"")</x:f>
        <x:v>-117.36547869140239</x:v>
      </x:c>
      <x:c r="I2036" s="4" t="n">
        <x:f>IF(AND(ISNUMBER(G2036),G2036&gt;0),('계산 과정'!$E$56+'계산 과정'!$E$57*D2036+'계산 과정'!$E$58*E2036)/F2036,"")</x:f>
        <x:v>135.55799337166658</x:v>
      </x:c>
      <x:c r="J2036" s="4" t="n">
        <x:f>IF('계산 과정'!$L$5,'계산 과정'!$D$6+'계산 과정'!$C$35*D2036+'계산 과정'!$D$35*E2036,"")</x:f>
        <x:v>731.7979169829258</x:v>
      </x:c>
      <x:c r="K2036" s="4" t="n">
        <x:f>IF(AND('계산 과정'!$L$6,J2036&gt;0),'계산 과정'!$D$10*('계산 과정'!$C$38*(D2036-'계산 과정'!$C$32)+'계산 과정'!$D$38*(E2036-'계산 과정'!$D$32)-'계산 과정'!$E$38*'계산 과정'!$E$32)/J2036,"")</x:f>
        <x:v>-0.8942131709821127</x:v>
      </x:c>
      <x:c r="L2036" s="4" t="n">
        <x:f>IF(AND('계산 과정'!$L$6,J2036&gt;0),'계산 과정'!$D$10*('계산 과정'!$C$39*(D2036-'계산 과정'!$C$32)+'계산 과정'!$D$39*(E2036-'계산 과정'!$D$32)-'계산 과정'!$E$39*'계산 과정'!$E$32)/J2036,"")</x:f>
        <x:v>1.0328228066412692</x:v>
      </x:c>
      <x:c r="M2036" s="17" t="n">
        <x:f>IF('계산 과정'!$L$6,IF(J2036&lt;=0,0,IF(AND(ABS(K2036)&lt;='계산 과정'!$D$11/2,ABS(L2036)&lt;='계산 과정'!$D$12/2),1,0)),"")</x:f>
        <x:v>1</x:v>
      </x:c>
      <x:c r="N2036" s="17" t="n">
        <x:f>IF('계산 과정'!$C$78,IF(AND(ISNUMBER(H2036),ISNUMBER(I2036),ABS(H2036-'계산 과정'!$C$88)&lt;='계산 과정'!$D$23/2,ABS(I2036-'계산 과정'!$C$89)&lt;='계산 과정'!$D$24/2),1,0),"")</x:f>
        <x:v>1</x:v>
      </x:c>
      <x:c r="O2036" s="4" t="n">
        <x:f>IF('계산 과정'!$L$7,'계산 과정'!$C$49*('계산 과정'!$C$32-D2036)+'계산 과정'!$D$49*('계산 과정'!$D$32-E2036)+'계산 과정'!$E$49*'계산 과정'!$E$32,"")</x:f>
        <x:v>-81.79791698292576</x:v>
      </x:c>
      <x:c r="P2036" s="4" t="n">
        <x:f>IF(AND('계산 과정'!$L$7,O2036&lt;&gt;0),('계산 과정'!$L$23-'계산 과정'!$C$49*D2036-'계산 과정'!$D$49*E2036)/O2036,"")</x:f>
        <x:v>-3.890100075329482</x:v>
      </x:c>
      <x:c r="Q2036" s="4" t="str">
        <x:f>IF(AND(ISNUMBER(P2036),P2036&gt;1E-9,P2036&lt;1-1E-9),'계산 과정'!$C$47*(D2036-'계산 과정'!$C$50+P2036*('계산 과정'!$C$32-D2036))+'계산 과정'!$D$47*(E2036-'계산 과정'!$D$50+P2036*('계산 과정'!$D$32-E2036))+'계산 과정'!$E$47*(0-'계산 과정'!$E$50+P2036*('계산 과정'!$E$32-0)),"")</x:f>
      </x:c>
      <x:c r="R2036" s="4" t="str">
        <x:f>IF(AND(ISNUMBER(P2036),P2036&gt;1E-9,P2036&lt;1-1E-9),'계산 과정'!$C$48*(D2036-'계산 과정'!$C$50+P2036*('계산 과정'!$C$32-D2036))+'계산 과정'!$D$48*(E2036-'계산 과정'!$D$50+P2036*('계산 과정'!$D$32-E2036))+'계산 과정'!$E$48*(0-'계산 과정'!$E$50+P2036*('계산 과정'!$E$32-0)),"")</x:f>
      </x:c>
      <x:c r="S2036" s="17" t="n">
        <x:f>IF('계산 과정'!$C$78,IF(AND(ISNUMBER(Q2036),ISNUMBER(R2036),ABS(Q2036-'계산 과정'!$C$88)&lt;='계산 과정'!$D$23/2,ABS(R2036-'계산 과정'!$C$89)&lt;='계산 과정'!$D$24/2),1,0),"")</x:f>
        <x:v>0</x:v>
      </x:c>
      <x:c r="T2036" s="4"/>
      <x:c r="U2036" s="4"/>
      <x:c r="V2036" s="4"/>
      <x:c r="W2036" s="4"/>
      <x:c r="X2036" s="4"/>
      <x:c r="Y2036" s="4"/>
      <x:c r="Z2036" s="4"/>
    </x:row>
    <x:row r="2037" ht="23" customHeight="1">
      <x:c r="A2037" s="17" t="n">
        <x:f>ROW()-6</x:f>
        <x:v>2031</x:v>
      </x:c>
      <x:c r="B2037" s="4" t="n">
        <x:f>IF('계산 과정'!$L$5,'계산 과정'!$L$11*SQRT((A2037+0.5)/'계산 과정'!$L$30),"")</x:f>
        <x:v>149.3945299732808</x:v>
      </x:c>
      <x:c r="C2037" s="4" t="n">
        <x:f>A2037*PI()*(3-SQRT(5))</x:f>
        <x:v>4874.325319578894</x:v>
      </x:c>
      <x:c r="D2037" s="4" t="n">
        <x:f>IF('계산 과정'!$L$5,B2037*COS(C2037),"")</x:f>
        <x:v>21.485486906616853</x:v>
      </x:c>
      <x:c r="E2037" s="4" t="n">
        <x:f>IF('계산 과정'!$L$5,B2037*SIN(C2037),"")</x:f>
        <x:v>-147.84146724895248</x:v>
      </x:c>
      <x:c r="F2037" s="4" t="n">
        <x:f>IF('계산 과정'!$L$7,'계산 과정'!$L$22+'계산 과정'!$C$49*D2037+'계산 과정'!$D$49*E2037,"")</x:f>
        <x:v>634.8074665112365</x:v>
      </x:c>
      <x:c r="G2037" s="4" t="n">
        <x:f>IF('계산 과정'!$L$7,IF(ABS(F2037)&gt;=1E-12*MAX(1,SQRT((D2037-'계산 과정'!$C$33)^2+(E2037-'계산 과정'!$D$33)^2+'계산 과정'!$E$33^2)),('계산 과정'!$L$23-'계산 과정'!$C$49*D2037-'계산 과정'!$D$49*E2037)/F2037,""),"")</x:f>
        <x:v>0.6540448173531594</x:v>
      </x:c>
      <x:c r="H2037" s="4" t="n">
        <x:f>IF(AND(ISNUMBER(G2037),G2037&gt;0),('계산 과정'!$D$56+'계산 과정'!$D$57*D2037+'계산 과정'!$D$58*E2037)/F2037,"")</x:f>
        <x:v>25.12913127955356</x:v>
      </x:c>
      <x:c r="I2037" s="4" t="n">
        <x:f>IF(AND(ISNUMBER(G2037),G2037&gt;0),('계산 과정'!$E$56+'계산 과정'!$E$57*D2037+'계산 과정'!$E$58*E2037)/F2037,"")</x:f>
        <x:v>-244.53641269301667</x:v>
      </x:c>
      <x:c r="J2037" s="4" t="n">
        <x:f>IF('계산 과정'!$L$5,'계산 과정'!$D$6+'계산 과정'!$C$35*D2037+'계산 과정'!$D$35*E2037,"")</x:f>
        <x:v>634.8074665112365</x:v>
      </x:c>
      <x:c r="K2037" s="4" t="n">
        <x:f>IF(AND('계산 과정'!$L$6,J2037&gt;0),'계산 과정'!$D$10*('계산 과정'!$C$38*(D2037-'계산 과정'!$C$32)+'계산 과정'!$D$38*(E2037-'계산 과정'!$D$32)-'계산 과정'!$E$38*'계산 과정'!$E$32)/J2037,"")</x:f>
        <x:v>0.1914600478442185</x:v>
      </x:c>
      <x:c r="L2037" s="4" t="n">
        <x:f>IF(AND('계산 과정'!$L$6,J2037&gt;0),'계산 과정'!$D$10*('계산 과정'!$C$39*(D2037-'계산 과정'!$C$32)+'계산 과정'!$D$39*(E2037-'계산 과정'!$D$32)-'계산 과정'!$E$39*'계산 과정'!$E$32)/J2037,"")</x:f>
        <x:v>-1.8631345728991748</x:v>
      </x:c>
      <x:c r="M2037" s="17" t="n">
        <x:f>IF('계산 과정'!$L$6,IF(J2037&lt;=0,0,IF(AND(ABS(K2037)&lt;='계산 과정'!$D$11/2,ABS(L2037)&lt;='계산 과정'!$D$12/2),1,0)),"")</x:f>
        <x:v>1</x:v>
      </x:c>
      <x:c r="N2037" s="17" t="n">
        <x:f>IF('계산 과정'!$C$78,IF(AND(ISNUMBER(H2037),ISNUMBER(I2037),ABS(H2037-'계산 과정'!$C$88)&lt;='계산 과정'!$D$23/2,ABS(I2037-'계산 과정'!$C$89)&lt;='계산 과정'!$D$24/2),1,0),"")</x:f>
        <x:v>1</x:v>
      </x:c>
      <x:c r="O2037" s="4" t="n">
        <x:f>IF('계산 과정'!$L$7,'계산 과정'!$C$49*('계산 과정'!$C$32-D2037)+'계산 과정'!$D$49*('계산 과정'!$D$32-E2037)+'계산 과정'!$E$49*'계산 과정'!$E$32,"")</x:f>
        <x:v>15.192533488763672</x:v>
      </x:c>
      <x:c r="P2037" s="4" t="n">
        <x:f>IF(AND('계산 과정'!$L$7,O2037&lt;&gt;0),('계산 과정'!$L$23-'계산 과정'!$C$49*D2037-'계산 과정'!$D$49*E2037)/O2037,"")</x:f>
        <x:v>27.32872261205401</x:v>
      </x:c>
      <x:c r="Q2037" s="4" t="str">
        <x:f>IF(AND(ISNUMBER(P2037),P2037&gt;1E-9,P2037&lt;1-1E-9),'계산 과정'!$C$47*(D2037-'계산 과정'!$C$50+P2037*('계산 과정'!$C$32-D2037))+'계산 과정'!$D$47*(E2037-'계산 과정'!$D$50+P2037*('계산 과정'!$D$32-E2037))+'계산 과정'!$E$47*(0-'계산 과정'!$E$50+P2037*('계산 과정'!$E$32-0)),"")</x:f>
      </x:c>
      <x:c r="R2037" s="4" t="str">
        <x:f>IF(AND(ISNUMBER(P2037),P2037&gt;1E-9,P2037&lt;1-1E-9),'계산 과정'!$C$48*(D2037-'계산 과정'!$C$50+P2037*('계산 과정'!$C$32-D2037))+'계산 과정'!$D$48*(E2037-'계산 과정'!$D$50+P2037*('계산 과정'!$D$32-E2037))+'계산 과정'!$E$48*(0-'계산 과정'!$E$50+P2037*('계산 과정'!$E$32-0)),"")</x:f>
      </x:c>
      <x:c r="S2037" s="17" t="n">
        <x:f>IF('계산 과정'!$C$78,IF(AND(ISNUMBER(Q2037),ISNUMBER(R2037),ABS(Q2037-'계산 과정'!$C$88)&lt;='계산 과정'!$D$23/2,ABS(R2037-'계산 과정'!$C$89)&lt;='계산 과정'!$D$24/2),1,0),"")</x:f>
        <x:v>0</x:v>
      </x:c>
      <x:c r="T2037" s="4"/>
      <x:c r="U2037" s="4"/>
      <x:c r="V2037" s="4"/>
      <x:c r="W2037" s="4"/>
      <x:c r="X2037" s="4"/>
      <x:c r="Y2037" s="4"/>
      <x:c r="Z2037" s="4"/>
    </x:row>
    <x:row r="2038" ht="23" customHeight="1">
      <x:c r="A2038" s="17" t="n">
        <x:f>ROW()-6</x:f>
        <x:v>2032</x:v>
      </x:c>
      <x:c r="B2038" s="4" t="n">
        <x:f>IF('계산 과정'!$L$5,'계산 과정'!$L$11*SQRT((A2038+0.5)/'계산 과정'!$L$30),"")</x:f>
        <x:v>149.43129496214138</x:v>
      </x:c>
      <x:c r="C2038" s="4" t="n">
        <x:f>A2038*PI()*(3-SQRT(5))</x:f>
        <x:v>4876.725282808623</x:v>
      </x:c>
      <x:c r="D2038" s="4" t="n">
        <x:f>IF('계산 과정'!$L$5,B2038*COS(C2038),"")</x:f>
        <x:v>84.04342427347817</x:v>
      </x:c>
      <x:c r="E2038" s="4" t="n">
        <x:f>IF('계산 과정'!$L$5,B2038*SIN(C2038),"")</x:f>
        <x:v>123.55733385942999</x:v>
      </x:c>
      <x:c r="F2038" s="4" t="n">
        <x:f>IF('계산 과정'!$L$7,'계산 과정'!$L$22+'계산 과정'!$C$49*D2038+'계산 과정'!$D$49*E2038,"")</x:f>
        <x:v>590.5723247820855</x:v>
      </x:c>
      <x:c r="G2038" s="4" t="n">
        <x:f>IF('계산 과정'!$L$7,IF(ABS(F2038)&gt;=1E-12*MAX(1,SQRT((D2038-'계산 과정'!$C$33)^2+(E2038-'계산 과정'!$D$33)^2+'계산 과정'!$E$33^2)),('계산 과정'!$L$23-'계산 과정'!$C$49*D2038-'계산 과정'!$D$49*E2038)/F2038,""),"")</x:f>
        <x:v>0.7779363440158462</x:v>
      </x:c>
      <x:c r="H2038" s="4" t="n">
        <x:f>IF(AND(ISNUMBER(G2038),G2038&gt;0),('계산 과정'!$D$56+'계산 과정'!$D$57*D2038+'계산 과정'!$D$58*E2038)/F2038,"")</x:f>
        <x:v>105.65862361029993</x:v>
      </x:c>
      <x:c r="I2038" s="4" t="n">
        <x:f>IF(AND(ISNUMBER(G2038),G2038&gt;0),('계산 과정'!$E$56+'계산 과정'!$E$57*D2038+'계산 과정'!$E$58*E2038)/F2038,"")</x:f>
        <x:v>219.67707443838026</x:v>
      </x:c>
      <x:c r="J2038" s="4" t="n">
        <x:f>IF('계산 과정'!$L$5,'계산 과정'!$D$6+'계산 과정'!$C$35*D2038+'계산 과정'!$D$35*E2038,"")</x:f>
        <x:v>590.5723247820855</x:v>
      </x:c>
      <x:c r="K2038" s="4" t="n">
        <x:f>IF(AND('계산 과정'!$L$6,J2038&gt;0),'계산 과정'!$D$10*('계산 과정'!$C$38*(D2038-'계산 과정'!$C$32)+'계산 과정'!$D$38*(E2038-'계산 과정'!$D$32)-'계산 과정'!$E$38*'계산 과정'!$E$32)/J2038,"")</x:f>
        <x:v>0.8050180846499055</x:v>
      </x:c>
      <x:c r="L2038" s="4" t="n">
        <x:f>IF(AND('계산 과정'!$L$6,J2038&gt;0),'계산 과정'!$D$10*('계산 과정'!$C$39*(D2038-'계산 과정'!$C$32)+'계산 과정'!$D$39*(E2038-'계산 과정'!$D$32)-'계산 과정'!$E$39*'계산 과정'!$E$32)/J2038,"")</x:f>
        <x:v>1.6737300909590878</x:v>
      </x:c>
      <x:c r="M2038" s="17" t="n">
        <x:f>IF('계산 과정'!$L$6,IF(J2038&lt;=0,0,IF(AND(ABS(K2038)&lt;='계산 과정'!$D$11/2,ABS(L2038)&lt;='계산 과정'!$D$12/2),1,0)),"")</x:f>
        <x:v>1</x:v>
      </x:c>
      <x:c r="N2038" s="17" t="n">
        <x:f>IF('계산 과정'!$C$78,IF(AND(ISNUMBER(H2038),ISNUMBER(I2038),ABS(H2038-'계산 과정'!$C$88)&lt;='계산 과정'!$D$23/2,ABS(I2038-'계산 과정'!$C$89)&lt;='계산 과정'!$D$24/2),1,0),"")</x:f>
        <x:v>1</x:v>
      </x:c>
      <x:c r="O2038" s="4" t="n">
        <x:f>IF('계산 과정'!$L$7,'계산 과정'!$C$49*('계산 과정'!$C$32-D2038)+'계산 과정'!$D$49*('계산 과정'!$D$32-E2038)+'계산 과정'!$E$49*'계산 과정'!$E$32,"")</x:f>
        <x:v>59.42767521791461</x:v>
      </x:c>
      <x:c r="P2038" s="4" t="n">
        <x:f>IF(AND('계산 과정'!$L$7,O2038&lt;&gt;0),('계산 과정'!$L$23-'계산 과정'!$C$49*D2038-'계산 과정'!$D$49*E2038)/O2038,"")</x:f>
        <x:v>7.730870735448506</x:v>
      </x:c>
      <x:c r="Q2038" s="4" t="str">
        <x:f>IF(AND(ISNUMBER(P2038),P2038&gt;1E-9,P2038&lt;1-1E-9),'계산 과정'!$C$47*(D2038-'계산 과정'!$C$50+P2038*('계산 과정'!$C$32-D2038))+'계산 과정'!$D$47*(E2038-'계산 과정'!$D$50+P2038*('계산 과정'!$D$32-E2038))+'계산 과정'!$E$47*(0-'계산 과정'!$E$50+P2038*('계산 과정'!$E$32-0)),"")</x:f>
      </x:c>
      <x:c r="R2038" s="4" t="str">
        <x:f>IF(AND(ISNUMBER(P2038),P2038&gt;1E-9,P2038&lt;1-1E-9),'계산 과정'!$C$48*(D2038-'계산 과정'!$C$50+P2038*('계산 과정'!$C$32-D2038))+'계산 과정'!$D$48*(E2038-'계산 과정'!$D$50+P2038*('계산 과정'!$D$32-E2038))+'계산 과정'!$E$48*(0-'계산 과정'!$E$50+P2038*('계산 과정'!$E$32-0)),"")</x:f>
      </x:c>
      <x:c r="S2038" s="17" t="n">
        <x:f>IF('계산 과정'!$C$78,IF(AND(ISNUMBER(Q2038),ISNUMBER(R2038),ABS(Q2038-'계산 과정'!$C$88)&lt;='계산 과정'!$D$23/2,ABS(R2038-'계산 과정'!$C$89)&lt;='계산 과정'!$D$24/2),1,0),"")</x:f>
        <x:v>0</x:v>
      </x:c>
      <x:c r="T2038" s="4"/>
      <x:c r="U2038" s="4"/>
      <x:c r="V2038" s="4"/>
      <x:c r="W2038" s="4"/>
      <x:c r="X2038" s="4"/>
      <x:c r="Y2038" s="4"/>
      <x:c r="Z2038" s="4"/>
    </x:row>
    <x:row r="2039" ht="23" customHeight="1">
      <x:c r="A2039" s="17" t="n">
        <x:f>ROW()-6</x:f>
        <x:v>2033</x:v>
      </x:c>
      <x:c r="B2039" s="4" t="n">
        <x:f>IF('계산 과정'!$L$5,'계산 과정'!$L$11*SQRT((A2039+0.5)/'계산 과정'!$L$30),"")</x:f>
        <x:v>149.46805090783616</x:v>
      </x:c>
      <x:c r="C2039" s="4" t="n">
        <x:f>A2039*PI()*(3-SQRT(5))</x:f>
        <x:v>4879.125246038351</x:v>
      </x:c>
      <x:c r="D2039" s="4" t="n">
        <x:f>IF('계산 과정'!$L$5,B2039*COS(C2039),"")</x:f>
        <x:v>-145.4685576967205</x:v>
      </x:c>
      <x:c r="E2039" s="4" t="n">
        <x:f>IF('계산 과정'!$L$5,B2039*SIN(C2039),"")</x:f>
        <x:v>-34.34526115526562</x:v>
      </x:c>
      <x:c r="F2039" s="4" t="n">
        <x:f>IF('계산 과정'!$L$7,'계산 과정'!$L$22+'계산 과정'!$C$49*D2039+'계산 과정'!$D$49*E2039,"")</x:f>
        <x:v>752.8618035967776</x:v>
      </x:c>
      <x:c r="G2039" s="4" t="n">
        <x:f>IF('계산 과정'!$L$7,IF(ABS(F2039)&gt;=1E-12*MAX(1,SQRT((D2039-'계산 과정'!$C$33)^2+(E2039-'계산 과정'!$D$33)^2+'계산 과정'!$E$33^2)),('계산 과정'!$L$23-'계산 과정'!$C$49*D2039-'계산 과정'!$D$49*E2039)/F2039,""),"")</x:f>
        <x:v>0.3946782729362181</x:v>
      </x:c>
      <x:c r="H2039" s="4" t="n">
        <x:f>IF(AND(ISNUMBER(G2039),G2039&gt;0),('계산 과정'!$D$56+'계산 과정'!$D$57*D2039+'계산 과정'!$D$58*E2039)/F2039,"")</x:f>
        <x:v>-143.4591225914584</x:v>
      </x:c>
      <x:c r="I2039" s="4" t="n">
        <x:f>IF(AND(ISNUMBER(G2039),G2039&gt;0),('계산 과정'!$E$56+'계산 과정'!$E$57*D2039+'계산 과정'!$E$58*E2039)/F2039,"")</x:f>
        <x:v>-47.90058951156923</x:v>
      </x:c>
      <x:c r="J2039" s="4" t="n">
        <x:f>IF('계산 과정'!$L$5,'계산 과정'!$D$6+'계산 과정'!$C$35*D2039+'계산 과정'!$D$35*E2039,"")</x:f>
        <x:v>752.8618035967776</x:v>
      </x:c>
      <x:c r="K2039" s="4" t="n">
        <x:f>IF(AND('계산 과정'!$L$6,J2039&gt;0),'계산 과정'!$D$10*('계산 과정'!$C$38*(D2039-'계산 과정'!$C$32)+'계산 과정'!$D$38*(E2039-'계산 과정'!$D$32)-'계산 과정'!$E$38*'계산 과정'!$E$32)/J2039,"")</x:f>
        <x:v>-1.0930218864111103</x:v>
      </x:c>
      <x:c r="L2039" s="4" t="n">
        <x:f>IF(AND('계산 과정'!$L$6,J2039&gt;0),'계산 과정'!$D$10*('계산 과정'!$C$39*(D2039-'계산 과정'!$C$32)+'계산 과정'!$D$39*(E2039-'계산 과정'!$D$32)-'계산 과정'!$E$39*'계산 과정'!$E$32)/J2039,"")</x:f>
        <x:v>-0.3649568724690989</x:v>
      </x:c>
      <x:c r="M2039" s="17" t="n">
        <x:f>IF('계산 과정'!$L$6,IF(J2039&lt;=0,0,IF(AND(ABS(K2039)&lt;='계산 과정'!$D$11/2,ABS(L2039)&lt;='계산 과정'!$D$12/2),1,0)),"")</x:f>
        <x:v>1</x:v>
      </x:c>
      <x:c r="N2039" s="17" t="n">
        <x:f>IF('계산 과정'!$C$78,IF(AND(ISNUMBER(H2039),ISNUMBER(I2039),ABS(H2039-'계산 과정'!$C$88)&lt;='계산 과정'!$D$23/2,ABS(I2039-'계산 과정'!$C$89)&lt;='계산 과정'!$D$24/2),1,0),"")</x:f>
        <x:v>1</x:v>
      </x:c>
      <x:c r="O2039" s="4" t="n">
        <x:f>IF('계산 과정'!$L$7,'계산 과정'!$C$49*('계산 과정'!$C$32-D2039)+'계산 과정'!$D$49*('계산 과정'!$D$32-E2039)+'계산 과정'!$E$49*'계산 과정'!$E$32,"")</x:f>
        <x:v>-102.86180359677746</x:v>
      </x:c>
      <x:c r="P2039" s="4" t="n">
        <x:f>IF(AND('계산 과정'!$L$7,O2039&lt;&gt;0),('계산 과정'!$L$23-'계산 과정'!$C$49*D2039-'계산 과정'!$D$49*E2039)/O2039,"")</x:f>
        <x:v>-2.8887126806371826</x:v>
      </x:c>
      <x:c r="Q2039" s="4" t="str">
        <x:f>IF(AND(ISNUMBER(P2039),P2039&gt;1E-9,P2039&lt;1-1E-9),'계산 과정'!$C$47*(D2039-'계산 과정'!$C$50+P2039*('계산 과정'!$C$32-D2039))+'계산 과정'!$D$47*(E2039-'계산 과정'!$D$50+P2039*('계산 과정'!$D$32-E2039))+'계산 과정'!$E$47*(0-'계산 과정'!$E$50+P2039*('계산 과정'!$E$32-0)),"")</x:f>
      </x:c>
      <x:c r="R2039" s="4" t="str">
        <x:f>IF(AND(ISNUMBER(P2039),P2039&gt;1E-9,P2039&lt;1-1E-9),'계산 과정'!$C$48*(D2039-'계산 과정'!$C$50+P2039*('계산 과정'!$C$32-D2039))+'계산 과정'!$D$48*(E2039-'계산 과정'!$D$50+P2039*('계산 과정'!$D$32-E2039))+'계산 과정'!$E$48*(0-'계산 과정'!$E$50+P2039*('계산 과정'!$E$32-0)),"")</x:f>
      </x:c>
      <x:c r="S2039" s="17" t="n">
        <x:f>IF('계산 과정'!$C$78,IF(AND(ISNUMBER(Q2039),ISNUMBER(R2039),ABS(Q2039-'계산 과정'!$C$88)&lt;='계산 과정'!$D$23/2,ABS(R2039-'계산 과정'!$C$89)&lt;='계산 과정'!$D$24/2),1,0),"")</x:f>
        <x:v>0</x:v>
      </x:c>
      <x:c r="T2039" s="4"/>
      <x:c r="U2039" s="4"/>
      <x:c r="V2039" s="4"/>
      <x:c r="W2039" s="4"/>
      <x:c r="X2039" s="4"/>
      <x:c r="Y2039" s="4"/>
      <x:c r="Z2039" s="4"/>
    </x:row>
    <x:row r="2040" ht="23" customHeight="1">
      <x:c r="A2040" s="17" t="n">
        <x:f>ROW()-6</x:f>
        <x:v>2034</x:v>
      </x:c>
      <x:c r="B2040" s="4" t="n">
        <x:f>IF('계산 과정'!$L$5,'계산 과정'!$L$11*SQRT((A2040+0.5)/'계산 과정'!$L$30),"")</x:f>
        <x:v>149.50479781703496</x:v>
      </x:c>
      <x:c r="C2040" s="4" t="n">
        <x:f>A2040*PI()*(3-SQRT(5))</x:f>
        <x:v>4881.52520926808</x:v>
      </x:c>
      <x:c r="D2040" s="4" t="n">
        <x:f>IF('계산 과정'!$L$5,B2040*COS(C2040),"")</x:f>
        <x:v>130.49595245800674</x:v>
      </x:c>
      <x:c r="E2040" s="4" t="n">
        <x:f>IF('계산 과정'!$L$5,B2040*SIN(C2040),"")</x:f>
        <x:v>-72.95540392863398</x:v>
      </x:c>
      <x:c r="F2040" s="4" t="n">
        <x:f>IF('계산 과정'!$L$7,'계산 과정'!$L$22+'계산 과정'!$C$49*D2040+'계산 과정'!$D$49*E2040,"")</x:f>
        <x:v>557.7254270995461</x:v>
      </x:c>
      <x:c r="G2040" s="4" t="n">
        <x:f>IF('계산 과정'!$L$7,IF(ABS(F2040)&gt;=1E-12*MAX(1,SQRT((D2040-'계산 과정'!$C$33)^2+(E2040-'계산 과정'!$D$33)^2+'계산 과정'!$E$33^2)),('계산 과정'!$L$23-'계산 과정'!$C$49*D2040-'계산 과정'!$D$49*E2040)/F2040,""),"")</x:f>
        <x:v>0.8826468168405559</x:v>
      </x:c>
      <x:c r="H2040" s="4" t="n">
        <x:f>IF(AND(ISNUMBER(G2040),G2040&gt;0),('계산 과정'!$D$56+'계산 과정'!$D$57*D2040+'계산 과정'!$D$58*E2040)/F2040,"")</x:f>
        <x:v>173.72043094636123</x:v>
      </x:c>
      <x:c r="I2040" s="4" t="n">
        <x:f>IF(AND(ISNUMBER(G2040),G2040&gt;0),('계산 과정'!$E$56+'계산 과정'!$E$57*D2040+'계산 과정'!$E$58*E2040)/F2040,"")</x:f>
        <x:v>-137.34925897755974</x:v>
      </x:c>
      <x:c r="J2040" s="4" t="n">
        <x:f>IF('계산 과정'!$L$5,'계산 과정'!$D$6+'계산 과정'!$C$35*D2040+'계산 과정'!$D$35*E2040,"")</x:f>
        <x:v>557.7254270995461</x:v>
      </x:c>
      <x:c r="K2040" s="4" t="n">
        <x:f>IF(AND('계산 과정'!$L$6,J2040&gt;0),'계산 과정'!$D$10*('계산 과정'!$C$38*(D2040-'계산 과정'!$C$32)+'계산 과정'!$D$38*(E2040-'계산 과정'!$D$32)-'계산 과정'!$E$38*'계산 과정'!$E$32)/J2040,"")</x:f>
        <x:v>1.3235842357818008</x:v>
      </x:c>
      <x:c r="L2040" s="4" t="n">
        <x:f>IF(AND('계산 과정'!$L$6,J2040&gt;0),'계산 과정'!$D$10*('계산 과정'!$C$39*(D2040-'계산 과정'!$C$32)+'계산 과정'!$D$39*(E2040-'계산 과정'!$D$32)-'계산 과정'!$E$39*'계산 과정'!$E$32)/J2040,"")</x:f>
        <x:v>-1.0464705445909315</x:v>
      </x:c>
      <x:c r="M2040" s="17" t="n">
        <x:f>IF('계산 과정'!$L$6,IF(J2040&lt;=0,0,IF(AND(ABS(K2040)&lt;='계산 과정'!$D$11/2,ABS(L2040)&lt;='계산 과정'!$D$12/2),1,0)),"")</x:f>
        <x:v>1</x:v>
      </x:c>
      <x:c r="N2040" s="17" t="n">
        <x:f>IF('계산 과정'!$C$78,IF(AND(ISNUMBER(H2040),ISNUMBER(I2040),ABS(H2040-'계산 과정'!$C$88)&lt;='계산 과정'!$D$23/2,ABS(I2040-'계산 과정'!$C$89)&lt;='계산 과정'!$D$24/2),1,0),"")</x:f>
        <x:v>1</x:v>
      </x:c>
      <x:c r="O2040" s="4" t="n">
        <x:f>IF('계산 과정'!$L$7,'계산 과정'!$C$49*('계산 과정'!$C$32-D2040)+'계산 과정'!$D$49*('계산 과정'!$D$32-E2040)+'계산 과정'!$E$49*'계산 과정'!$E$32,"")</x:f>
        <x:v>92.27457290045399</x:v>
      </x:c>
      <x:c r="P2040" s="4" t="n">
        <x:f>IF(AND('계산 과정'!$L$7,O2040&lt;&gt;0),('계산 과정'!$L$23-'계산 과정'!$C$49*D2040-'계산 과정'!$D$49*E2040)/O2040,"")</x:f>
        <x:v>5.334888663548958</x:v>
      </x:c>
      <x:c r="Q2040" s="4" t="str">
        <x:f>IF(AND(ISNUMBER(P2040),P2040&gt;1E-9,P2040&lt;1-1E-9),'계산 과정'!$C$47*(D2040-'계산 과정'!$C$50+P2040*('계산 과정'!$C$32-D2040))+'계산 과정'!$D$47*(E2040-'계산 과정'!$D$50+P2040*('계산 과정'!$D$32-E2040))+'계산 과정'!$E$47*(0-'계산 과정'!$E$50+P2040*('계산 과정'!$E$32-0)),"")</x:f>
      </x:c>
      <x:c r="R2040" s="4" t="str">
        <x:f>IF(AND(ISNUMBER(P2040),P2040&gt;1E-9,P2040&lt;1-1E-9),'계산 과정'!$C$48*(D2040-'계산 과정'!$C$50+P2040*('계산 과정'!$C$32-D2040))+'계산 과정'!$D$48*(E2040-'계산 과정'!$D$50+P2040*('계산 과정'!$D$32-E2040))+'계산 과정'!$E$48*(0-'계산 과정'!$E$50+P2040*('계산 과정'!$E$32-0)),"")</x:f>
      </x:c>
      <x:c r="S2040" s="17" t="n">
        <x:f>IF('계산 과정'!$C$78,IF(AND(ISNUMBER(Q2040),ISNUMBER(R2040),ABS(Q2040-'계산 과정'!$C$88)&lt;='계산 과정'!$D$23/2,ABS(R2040-'계산 과정'!$C$89)&lt;='계산 과정'!$D$24/2),1,0),"")</x:f>
        <x:v>0</x:v>
      </x:c>
      <x:c r="T2040" s="4"/>
      <x:c r="U2040" s="4"/>
      <x:c r="V2040" s="4"/>
      <x:c r="W2040" s="4"/>
      <x:c r="X2040" s="4"/>
      <x:c r="Y2040" s="4"/>
      <x:c r="Z2040" s="4"/>
    </x:row>
    <x:row r="2041" ht="23" customHeight="1">
      <x:c r="A2041" s="17" t="n">
        <x:f>ROW()-6</x:f>
        <x:v>2035</x:v>
      </x:c>
      <x:c r="B2041" s="4" t="n">
        <x:f>IF('계산 과정'!$L$5,'계산 과정'!$L$11*SQRT((A2041+0.5)/'계산 과정'!$L$30),"")</x:f>
        <x:v>149.54153569639942</x:v>
      </x:c>
      <x:c r="C2041" s="4" t="n">
        <x:f>A2041*PI()*(3-SQRT(5))</x:f>
        <x:v>4883.9251724978085</x:v>
      </x:c>
      <x:c r="D2041" s="4" t="n">
        <x:f>IF('계산 과정'!$L$5,B2041*COS(C2041),"")</x:f>
        <x:v>-46.954522110614484</x:v>
      </x:c>
      <x:c r="E2041" s="4" t="n">
        <x:f>IF('계산 과정'!$L$5,B2041*SIN(C2041),"")</x:f>
        <x:v>141.97867358093367</x:v>
      </x:c>
      <x:c r="F2041" s="4" t="n">
        <x:f>IF('계산 과정'!$L$7,'계산 과정'!$L$22+'계산 과정'!$C$49*D2041+'계산 과정'!$D$49*E2041,"")</x:f>
        <x:v>683.2018609917892</x:v>
      </x:c>
      <x:c r="G2041" s="4" t="n">
        <x:f>IF('계산 과정'!$L$7,IF(ABS(F2041)&gt;=1E-12*MAX(1,SQRT((D2041-'계산 과정'!$C$33)^2+(E2041-'계산 과정'!$D$33)^2+'계산 과정'!$E$33^2)),('계산 과정'!$L$23-'계산 과정'!$C$49*D2041-'계산 과정'!$D$49*E2041)/F2041,""),"")</x:f>
        <x:v>0.5368810595388864</x:v>
      </x:c>
      <x:c r="H2041" s="4" t="n">
        <x:f>IF(AND(ISNUMBER(G2041),G2041&gt;0),('계산 과정'!$D$56+'계산 과정'!$D$57*D2041+'계산 과정'!$D$58*E2041)/F2041,"")</x:f>
        <x:v>-51.027311299723905</x:v>
      </x:c>
      <x:c r="I2041" s="4" t="n">
        <x:f>IF(AND(ISNUMBER(G2041),G2041&gt;0),('계산 과정'!$E$56+'계산 과정'!$E$57*D2041+'계산 과정'!$E$58*E2041)/F2041,"")</x:f>
        <x:v>218.20433428499103</x:v>
      </x:c>
      <x:c r="J2041" s="4" t="n">
        <x:f>IF('계산 과정'!$L$5,'계산 과정'!$D$6+'계산 과정'!$C$35*D2041+'계산 과정'!$D$35*E2041,"")</x:f>
        <x:v>683.2018609917892</x:v>
      </x:c>
      <x:c r="K2041" s="4" t="n">
        <x:f>IF(AND('계산 과정'!$L$6,J2041&gt;0),'계산 과정'!$D$10*('계산 과정'!$C$38*(D2041-'계산 과정'!$C$32)+'계산 과정'!$D$38*(E2041-'계산 과정'!$D$32)-'계산 과정'!$E$38*'계산 과정'!$E$32)/J2041,"")</x:f>
        <x:v>-0.3887795146645624</x:v>
      </x:c>
      <x:c r="L2041" s="4" t="n">
        <x:f>IF(AND('계산 과정'!$L$6,J2041&gt;0),'계산 과정'!$D$10*('계산 과정'!$C$39*(D2041-'계산 과정'!$C$32)+'계산 과정'!$D$39*(E2041-'계산 과정'!$D$32)-'계산 과정'!$E$39*'계산 과정'!$E$32)/J2041,"")</x:f>
        <x:v>1.6625092135999318</x:v>
      </x:c>
      <x:c r="M2041" s="17" t="n">
        <x:f>IF('계산 과정'!$L$6,IF(J2041&lt;=0,0,IF(AND(ABS(K2041)&lt;='계산 과정'!$D$11/2,ABS(L2041)&lt;='계산 과정'!$D$12/2),1,0)),"")</x:f>
        <x:v>1</x:v>
      </x:c>
      <x:c r="N2041" s="17" t="n">
        <x:f>IF('계산 과정'!$C$78,IF(AND(ISNUMBER(H2041),ISNUMBER(I2041),ABS(H2041-'계산 과정'!$C$88)&lt;='계산 과정'!$D$23/2,ABS(I2041-'계산 과정'!$C$89)&lt;='계산 과정'!$D$24/2),1,0),"")</x:f>
        <x:v>1</x:v>
      </x:c>
      <x:c r="O2041" s="4" t="n">
        <x:f>IF('계산 과정'!$L$7,'계산 과정'!$C$49*('계산 과정'!$C$32-D2041)+'계산 과정'!$D$49*('계산 과정'!$D$32-E2041)+'계산 과정'!$E$49*'계산 과정'!$E$32,"")</x:f>
        <x:v>-33.20186099178909</x:v>
      </x:c>
      <x:c r="P2041" s="4" t="n">
        <x:f>IF(AND('계산 과정'!$L$7,O2041&lt;&gt;0),('계산 과정'!$L$23-'계산 과정'!$C$49*D2041-'계산 과정'!$D$49*E2041)/O2041,"")</x:f>
        <x:v>-11.047517459907473</x:v>
      </x:c>
      <x:c r="Q2041" s="4" t="str">
        <x:f>IF(AND(ISNUMBER(P2041),P2041&gt;1E-9,P2041&lt;1-1E-9),'계산 과정'!$C$47*(D2041-'계산 과정'!$C$50+P2041*('계산 과정'!$C$32-D2041))+'계산 과정'!$D$47*(E2041-'계산 과정'!$D$50+P2041*('계산 과정'!$D$32-E2041))+'계산 과정'!$E$47*(0-'계산 과정'!$E$50+P2041*('계산 과정'!$E$32-0)),"")</x:f>
      </x:c>
      <x:c r="R2041" s="4" t="str">
        <x:f>IF(AND(ISNUMBER(P2041),P2041&gt;1E-9,P2041&lt;1-1E-9),'계산 과정'!$C$48*(D2041-'계산 과정'!$C$50+P2041*('계산 과정'!$C$32-D2041))+'계산 과정'!$D$48*(E2041-'계산 과정'!$D$50+P2041*('계산 과정'!$D$32-E2041))+'계산 과정'!$E$48*(0-'계산 과정'!$E$50+P2041*('계산 과정'!$E$32-0)),"")</x:f>
      </x:c>
      <x:c r="S2041" s="17" t="n">
        <x:f>IF('계산 과정'!$C$78,IF(AND(ISNUMBER(Q2041),ISNUMBER(R2041),ABS(Q2041-'계산 과정'!$C$88)&lt;='계산 과정'!$D$23/2,ABS(R2041-'계산 과정'!$C$89)&lt;='계산 과정'!$D$24/2),1,0),"")</x:f>
        <x:v>0</x:v>
      </x:c>
      <x:c r="T2041" s="4"/>
      <x:c r="U2041" s="4"/>
      <x:c r="V2041" s="4"/>
      <x:c r="W2041" s="4"/>
      <x:c r="X2041" s="4"/>
      <x:c r="Y2041" s="4"/>
      <x:c r="Z2041" s="4"/>
    </x:row>
    <x:row r="2042" ht="23" customHeight="1">
      <x:c r="A2042" s="17" t="n">
        <x:f>ROW()-6</x:f>
        <x:v>2036</x:v>
      </x:c>
      <x:c r="B2042" s="4" t="n">
        <x:f>IF('계산 과정'!$L$5,'계산 과정'!$L$11*SQRT((A2042+0.5)/'계산 과정'!$L$30),"")</x:f>
        <x:v>149.57826455258297</x:v>
      </x:c>
      <x:c r="C2042" s="4" t="n">
        <x:f>A2042*PI()*(3-SQRT(5))</x:f>
        <x:v>4886.325135727537</x:v>
      </x:c>
      <x:c r="D2042" s="4" t="n">
        <x:f>IF('계산 과정'!$L$5,B2042*COS(C2042),"")</x:f>
        <x:v>-61.29746426352937</x:v>
      </x:c>
      <x:c r="E2042" s="4" t="n">
        <x:f>IF('계산 과정'!$L$5,B2042*SIN(C2042),"")</x:f>
        <x:v>-136.4414823337237</x:v>
      </x:c>
      <x:c r="F2042" s="4" t="n">
        <x:f>IF('계산 과정'!$L$7,'계산 과정'!$L$22+'계산 과정'!$C$49*D2042+'계산 과정'!$D$49*E2042,"")</x:f>
        <x:v>693.3438526502816</x:v>
      </x:c>
      <x:c r="G2042" s="4" t="n">
        <x:f>IF('계산 과정'!$L$7,IF(ABS(F2042)&gt;=1E-12*MAX(1,SQRT((D2042-'계산 과정'!$C$33)^2+(E2042-'계산 과정'!$D$33)^2+'계산 과정'!$E$33^2)),('계산 과정'!$L$23-'계산 과정'!$C$49*D2042-'계산 과정'!$D$49*E2042)/F2042,""),"")</x:f>
        <x:v>0.5144001003058052</x:v>
      </x:c>
      <x:c r="H2042" s="4" t="n">
        <x:f>IF(AND(ISNUMBER(G2042),G2042&gt;0),('계산 과정'!$D$56+'계산 과정'!$D$57*D2042+'계산 과정'!$D$58*E2042)/F2042,"")</x:f>
        <x:v>-65.63993480122674</x:v>
      </x:c>
      <x:c r="I2042" s="4" t="n">
        <x:f>IF(AND(ISNUMBER(G2042),G2042&gt;0),('계산 과정'!$E$56+'계산 과정'!$E$57*D2042+'계산 과정'!$E$58*E2042)/F2042,"")</x:f>
        <x:v>-206.62699453206395</x:v>
      </x:c>
      <x:c r="J2042" s="4" t="n">
        <x:f>IF('계산 과정'!$L$5,'계산 과정'!$D$6+'계산 과정'!$C$35*D2042+'계산 과정'!$D$35*E2042,"")</x:f>
        <x:v>693.3438526502816</x:v>
      </x:c>
      <x:c r="K2042" s="4" t="n">
        <x:f>IF(AND('계산 과정'!$L$6,J2042&gt;0),'계산 과정'!$D$10*('계산 과정'!$C$38*(D2042-'계산 과정'!$C$32)+'계산 과정'!$D$38*(E2042-'계산 과정'!$D$32)-'계산 과정'!$E$38*'계산 과정'!$E$32)/J2042,"")</x:f>
        <x:v>-0.5001137889617268</x:v>
      </x:c>
      <x:c r="L2042" s="4" t="n">
        <x:f>IF(AND('계산 과정'!$L$6,J2042&gt;0),'계산 과정'!$D$10*('계산 과정'!$C$39*(D2042-'계산 과정'!$C$32)+'계산 과정'!$D$39*(E2042-'계산 과정'!$D$32)-'계산 과정'!$E$39*'계산 과정'!$E$32)/J2042,"")</x:f>
        <x:v>-1.5743009107204873</x:v>
      </x:c>
      <x:c r="M2042" s="17" t="n">
        <x:f>IF('계산 과정'!$L$6,IF(J2042&lt;=0,0,IF(AND(ABS(K2042)&lt;='계산 과정'!$D$11/2,ABS(L2042)&lt;='계산 과정'!$D$12/2),1,0)),"")</x:f>
        <x:v>1</x:v>
      </x:c>
      <x:c r="N2042" s="17" t="n">
        <x:f>IF('계산 과정'!$C$78,IF(AND(ISNUMBER(H2042),ISNUMBER(I2042),ABS(H2042-'계산 과정'!$C$88)&lt;='계산 과정'!$D$23/2,ABS(I2042-'계산 과정'!$C$89)&lt;='계산 과정'!$D$24/2),1,0),"")</x:f>
        <x:v>1</x:v>
      </x:c>
      <x:c r="O2042" s="4" t="n">
        <x:f>IF('계산 과정'!$L$7,'계산 과정'!$C$49*('계산 과정'!$C$32-D2042)+'계산 과정'!$D$49*('계산 과정'!$D$32-E2042)+'계산 과정'!$E$49*'계산 과정'!$E$32,"")</x:f>
        <x:v>-43.343852650281576</x:v>
      </x:c>
      <x:c r="P2042" s="4" t="n">
        <x:f>IF(AND('계산 과정'!$L$7,O2042&lt;&gt;0),('계산 과정'!$L$23-'계산 과정'!$C$49*D2042-'계산 과정'!$D$49*E2042)/O2042,"")</x:f>
        <x:v>-8.228528973356072</x:v>
      </x:c>
      <x:c r="Q2042" s="4" t="str">
        <x:f>IF(AND(ISNUMBER(P2042),P2042&gt;1E-9,P2042&lt;1-1E-9),'계산 과정'!$C$47*(D2042-'계산 과정'!$C$50+P2042*('계산 과정'!$C$32-D2042))+'계산 과정'!$D$47*(E2042-'계산 과정'!$D$50+P2042*('계산 과정'!$D$32-E2042))+'계산 과정'!$E$47*(0-'계산 과정'!$E$50+P2042*('계산 과정'!$E$32-0)),"")</x:f>
      </x:c>
      <x:c r="R2042" s="4" t="str">
        <x:f>IF(AND(ISNUMBER(P2042),P2042&gt;1E-9,P2042&lt;1-1E-9),'계산 과정'!$C$48*(D2042-'계산 과정'!$C$50+P2042*('계산 과정'!$C$32-D2042))+'계산 과정'!$D$48*(E2042-'계산 과정'!$D$50+P2042*('계산 과정'!$D$32-E2042))+'계산 과정'!$E$48*(0-'계산 과정'!$E$50+P2042*('계산 과정'!$E$32-0)),"")</x:f>
      </x:c>
      <x:c r="S2042" s="17" t="n">
        <x:f>IF('계산 과정'!$C$78,IF(AND(ISNUMBER(Q2042),ISNUMBER(R2042),ABS(Q2042-'계산 과정'!$C$88)&lt;='계산 과정'!$D$23/2,ABS(R2042-'계산 과정'!$C$89)&lt;='계산 과정'!$D$24/2),1,0),"")</x:f>
        <x:v>0</x:v>
      </x:c>
      <x:c r="T2042" s="4"/>
      <x:c r="U2042" s="4"/>
      <x:c r="V2042" s="4"/>
      <x:c r="W2042" s="4"/>
      <x:c r="X2042" s="4"/>
      <x:c r="Y2042" s="4"/>
      <x:c r="Z2042" s="4"/>
    </x:row>
    <x:row r="2043" ht="23" customHeight="1">
      <x:c r="A2043" s="17" t="n">
        <x:f>ROW()-6</x:f>
        <x:v>2037</x:v>
      </x:c>
      <x:c r="B2043" s="4" t="n">
        <x:f>IF('계산 과정'!$L$5,'계산 과정'!$L$11*SQRT((A2043+0.5)/'계산 과정'!$L$30),"")</x:f>
        <x:v>149.61498439223092</x:v>
      </x:c>
      <x:c r="C2043" s="4" t="n">
        <x:f>A2043*PI()*(3-SQRT(5))</x:f>
        <x:v>4888.725098957266</x:v>
      </x:c>
      <x:c r="D2043" s="4" t="n">
        <x:f>IF('계산 과정'!$L$5,B2043*COS(C2043),"")</x:f>
        <x:v>137.3974608104915</x:v>
      </x:c>
      <x:c r="E2043" s="4" t="n">
        <x:f>IF('계산 과정'!$L$5,B2043*SIN(C2043),"")</x:f>
        <x:v>59.21639399285432</x:v>
      </x:c>
      <x:c r="F2043" s="4" t="n">
        <x:f>IF('계산 과정'!$L$7,'계산 과정'!$L$22+'계산 과정'!$C$49*D2043+'계산 과정'!$D$49*E2043,"")</x:f>
        <x:v>552.8453237430886</x:v>
      </x:c>
      <x:c r="G2043" s="4" t="n">
        <x:f>IF('계산 과정'!$L$7,IF(ABS(F2043)&gt;=1E-12*MAX(1,SQRT((D2043-'계산 과정'!$C$33)^2+(E2043-'계산 과정'!$D$33)^2+'계산 과정'!$E$33^2)),('계산 과정'!$L$23-'계산 과정'!$C$49*D2043-'계산 과정'!$D$49*E2043)/F2043,""),"")</x:f>
        <x:v>0.8992654091579927</x:v>
      </x:c>
      <x:c r="H2043" s="4" t="n">
        <x:f>IF(AND(ISNUMBER(G2043),G2043&gt;0),('계산 과정'!$D$56+'계산 과정'!$D$57*D2043+'계산 과정'!$D$58*E2043)/F2043,"")</x:f>
        <x:v>184.52251595269516</x:v>
      </x:c>
      <x:c r="I2043" s="4" t="n">
        <x:f>IF(AND(ISNUMBER(G2043),G2043&gt;0),('계산 과정'!$E$56+'계산 과정'!$E$57*D2043+'계산 과정'!$E$58*E2043)/F2043,"")</x:f>
        <x:v>112.46764876569937</x:v>
      </x:c>
      <x:c r="J2043" s="4" t="n">
        <x:f>IF('계산 과정'!$L$5,'계산 과정'!$D$6+'계산 과정'!$C$35*D2043+'계산 과정'!$D$35*E2043,"")</x:f>
        <x:v>552.8453237430886</x:v>
      </x:c>
      <x:c r="K2043" s="4" t="n">
        <x:f>IF(AND('계산 과정'!$L$6,J2043&gt;0),'계산 과정'!$D$10*('계산 과정'!$C$38*(D2043-'계산 과정'!$C$32)+'계산 과정'!$D$38*(E2043-'계산 과정'!$D$32)-'계산 과정'!$E$38*'계산 과정'!$E$32)/J2043,"")</x:f>
        <x:v>1.4058858358300592</x:v>
      </x:c>
      <x:c r="L2043" s="4" t="n">
        <x:f>IF(AND('계산 과정'!$L$6,J2043&gt;0),'계산 과정'!$D$10*('계산 과정'!$C$39*(D2043-'계산 과정'!$C$32)+'계산 과정'!$D$39*(E2043-'계산 과정'!$D$32)-'계산 과정'!$E$39*'계산 과정'!$E$32)/J2043,"")</x:f>
        <x:v>0.8568963715481857</x:v>
      </x:c>
      <x:c r="M2043" s="17" t="n">
        <x:f>IF('계산 과정'!$L$6,IF(J2043&lt;=0,0,IF(AND(ABS(K2043)&lt;='계산 과정'!$D$11/2,ABS(L2043)&lt;='계산 과정'!$D$12/2),1,0)),"")</x:f>
        <x:v>1</x:v>
      </x:c>
      <x:c r="N2043" s="17" t="n">
        <x:f>IF('계산 과정'!$C$78,IF(AND(ISNUMBER(H2043),ISNUMBER(I2043),ABS(H2043-'계산 과정'!$C$88)&lt;='계산 과정'!$D$23/2,ABS(I2043-'계산 과정'!$C$89)&lt;='계산 과정'!$D$24/2),1,0),"")</x:f>
        <x:v>1</x:v>
      </x:c>
      <x:c r="O2043" s="4" t="n">
        <x:f>IF('계산 과정'!$L$7,'계산 과정'!$C$49*('계산 과정'!$C$32-D2043)+'계산 과정'!$D$49*('계산 과정'!$D$32-E2043)+'계산 과정'!$E$49*'계산 과정'!$E$32,"")</x:f>
        <x:v>97.15467625691156</x:v>
      </x:c>
      <x:c r="P2043" s="4" t="n">
        <x:f>IF(AND('계산 과정'!$L$7,O2043&lt;&gt;0),('계산 과정'!$L$23-'계산 과정'!$C$49*D2043-'계산 과정'!$D$49*E2043)/O2043,"")</x:f>
        <x:v>5.117146136561224</x:v>
      </x:c>
      <x:c r="Q2043" s="4" t="str">
        <x:f>IF(AND(ISNUMBER(P2043),P2043&gt;1E-9,P2043&lt;1-1E-9),'계산 과정'!$C$47*(D2043-'계산 과정'!$C$50+P2043*('계산 과정'!$C$32-D2043))+'계산 과정'!$D$47*(E2043-'계산 과정'!$D$50+P2043*('계산 과정'!$D$32-E2043))+'계산 과정'!$E$47*(0-'계산 과정'!$E$50+P2043*('계산 과정'!$E$32-0)),"")</x:f>
      </x:c>
      <x:c r="R2043" s="4" t="str">
        <x:f>IF(AND(ISNUMBER(P2043),P2043&gt;1E-9,P2043&lt;1-1E-9),'계산 과정'!$C$48*(D2043-'계산 과정'!$C$50+P2043*('계산 과정'!$C$32-D2043))+'계산 과정'!$D$48*(E2043-'계산 과정'!$D$50+P2043*('계산 과정'!$D$32-E2043))+'계산 과정'!$E$48*(0-'계산 과정'!$E$50+P2043*('계산 과정'!$E$32-0)),"")</x:f>
      </x:c>
      <x:c r="S2043" s="17" t="n">
        <x:f>IF('계산 과정'!$C$78,IF(AND(ISNUMBER(Q2043),ISNUMBER(R2043),ABS(Q2043-'계산 과정'!$C$88)&lt;='계산 과정'!$D$23/2,ABS(R2043-'계산 과정'!$C$89)&lt;='계산 과정'!$D$24/2),1,0),"")</x:f>
        <x:v>0</x:v>
      </x:c>
      <x:c r="T2043" s="4"/>
      <x:c r="U2043" s="4"/>
      <x:c r="V2043" s="4"/>
      <x:c r="W2043" s="4"/>
      <x:c r="X2043" s="4"/>
      <x:c r="Y2043" s="4"/>
      <x:c r="Z2043" s="4"/>
    </x:row>
    <x:row r="2044" ht="23" customHeight="1">
      <x:c r="A2044" s="17" t="n">
        <x:f>ROW()-6</x:f>
        <x:v>2038</x:v>
      </x:c>
      <x:c r="B2044" s="4" t="n">
        <x:f>IF('계산 과정'!$L$5,'계산 과정'!$L$11*SQRT((A2044+0.5)/'계산 과정'!$L$30),"")</x:f>
        <x:v>149.65169522198036</x:v>
      </x:c>
      <x:c r="C2044" s="4" t="n">
        <x:f>A2044*PI()*(3-SQRT(5))</x:f>
        <x:v>4891.125062186995</x:v>
      </x:c>
      <x:c r="D2044" s="4" t="n">
        <x:f>IF('계산 과정'!$L$5,B2044*COS(C2044),"")</x:f>
        <x:v>-141.34738464395556</x:v>
      </x:c>
      <x:c r="E2044" s="4" t="n">
        <x:f>IF('계산 과정'!$L$5,B2044*SIN(C2044),"")</x:f>
        <x:v>49.158384199708756</x:v>
      </x:c>
      <x:c r="F2044" s="4" t="n">
        <x:f>IF('계산 과정'!$L$7,'계산 과정'!$L$22+'계산 과정'!$C$49*D2044+'계산 과정'!$D$49*E2044,"")</x:f>
        <x:v>749.9476941847242</x:v>
      </x:c>
      <x:c r="G2044" s="4" t="n">
        <x:f>IF('계산 과정'!$L$7,IF(ABS(F2044)&gt;=1E-12*MAX(1,SQRT((D2044-'계산 과정'!$C$33)^2+(E2044-'계산 과정'!$D$33)^2+'계산 과정'!$E$33^2)),('계산 과정'!$L$23-'계산 과정'!$C$49*D2044-'계산 과정'!$D$49*E2044)/F2044,""),"")</x:f>
        <x:v>0.4000976443316699</x:v>
      </x:c>
      <x:c r="H2044" s="4" t="n">
        <x:f>IF(AND(ISNUMBER(G2044),G2044&gt;0),('계산 과정'!$D$56+'계산 과정'!$D$57*D2044+'계산 과정'!$D$58*E2044)/F2044,"")</x:f>
        <x:v>-139.93653118441472</x:v>
      </x:c>
      <x:c r="I2044" s="4" t="n">
        <x:f>IF(AND(ISNUMBER(G2044),G2044&gt;0),('계산 과정'!$E$56+'계산 과정'!$E$57*D2044+'계산 과정'!$E$58*E2044)/F2044,"")</x:f>
        <x:v>68.8265379171634</x:v>
      </x:c>
      <x:c r="J2044" s="4" t="n">
        <x:f>IF('계산 과정'!$L$5,'계산 과정'!$D$6+'계산 과정'!$C$35*D2044+'계산 과정'!$D$35*E2044,"")</x:f>
        <x:v>749.9476941847242</x:v>
      </x:c>
      <x:c r="K2044" s="4" t="n">
        <x:f>IF(AND('계산 과정'!$L$6,J2044&gt;0),'계산 과정'!$D$10*('계산 과정'!$C$38*(D2044-'계산 과정'!$C$32)+'계산 과정'!$D$38*(E2044-'계산 과정'!$D$32)-'계산 과정'!$E$38*'계산 과정'!$E$32)/J2044,"")</x:f>
        <x:v>-1.0661830947383972</x:v>
      </x:c>
      <x:c r="L2044" s="4" t="n">
        <x:f>IF(AND('계산 과정'!$L$6,J2044&gt;0),'계산 과정'!$D$10*('계산 과정'!$C$39*(D2044-'계산 과정'!$C$32)+'계산 과정'!$D$39*(E2044-'계산 과정'!$D$32)-'계산 과정'!$E$39*'계산 과정'!$E$32)/J2044,"")</x:f>
        <x:v>0.5243926698450546</x:v>
      </x:c>
      <x:c r="M2044" s="17" t="n">
        <x:f>IF('계산 과정'!$L$6,IF(J2044&lt;=0,0,IF(AND(ABS(K2044)&lt;='계산 과정'!$D$11/2,ABS(L2044)&lt;='계산 과정'!$D$12/2),1,0)),"")</x:f>
        <x:v>1</x:v>
      </x:c>
      <x:c r="N2044" s="17" t="n">
        <x:f>IF('계산 과정'!$C$78,IF(AND(ISNUMBER(H2044),ISNUMBER(I2044),ABS(H2044-'계산 과정'!$C$88)&lt;='계산 과정'!$D$23/2,ABS(I2044-'계산 과정'!$C$89)&lt;='계산 과정'!$D$24/2),1,0),"")</x:f>
        <x:v>1</x:v>
      </x:c>
      <x:c r="O2044" s="4" t="n">
        <x:f>IF('계산 과정'!$L$7,'계산 과정'!$C$49*('계산 과정'!$C$32-D2044)+'계산 과정'!$D$49*('계산 과정'!$D$32-E2044)+'계산 과정'!$E$49*'계산 과정'!$E$32,"")</x:f>
        <x:v>-99.94769418472413</x:v>
      </x:c>
      <x:c r="P2044" s="4" t="n">
        <x:f>IF(AND('계산 과정'!$L$7,O2044&lt;&gt;0),('계산 과정'!$L$23-'계산 과정'!$C$49*D2044-'계산 과정'!$D$49*E2044)/O2044,"")</x:f>
        <x:v>-3.0020933275430717</x:v>
      </x:c>
      <x:c r="Q2044" s="4" t="str">
        <x:f>IF(AND(ISNUMBER(P2044),P2044&gt;1E-9,P2044&lt;1-1E-9),'계산 과정'!$C$47*(D2044-'계산 과정'!$C$50+P2044*('계산 과정'!$C$32-D2044))+'계산 과정'!$D$47*(E2044-'계산 과정'!$D$50+P2044*('계산 과정'!$D$32-E2044))+'계산 과정'!$E$47*(0-'계산 과정'!$E$50+P2044*('계산 과정'!$E$32-0)),"")</x:f>
      </x:c>
      <x:c r="R2044" s="4" t="str">
        <x:f>IF(AND(ISNUMBER(P2044),P2044&gt;1E-9,P2044&lt;1-1E-9),'계산 과정'!$C$48*(D2044-'계산 과정'!$C$50+P2044*('계산 과정'!$C$32-D2044))+'계산 과정'!$D$48*(E2044-'계산 과정'!$D$50+P2044*('계산 과정'!$D$32-E2044))+'계산 과정'!$E$48*(0-'계산 과정'!$E$50+P2044*('계산 과정'!$E$32-0)),"")</x:f>
      </x:c>
      <x:c r="S2044" s="17" t="n">
        <x:f>IF('계산 과정'!$C$78,IF(AND(ISNUMBER(Q2044),ISNUMBER(R2044),ABS(Q2044-'계산 과정'!$C$88)&lt;='계산 과정'!$D$23/2,ABS(R2044-'계산 과정'!$C$89)&lt;='계산 과정'!$D$24/2),1,0),"")</x:f>
        <x:v>0</x:v>
      </x:c>
      <x:c r="T2044" s="4"/>
      <x:c r="U2044" s="4"/>
      <x:c r="V2044" s="4"/>
      <x:c r="W2044" s="4"/>
      <x:c r="X2044" s="4"/>
      <x:c r="Y2044" s="4"/>
      <x:c r="Z2044" s="4"/>
    </x:row>
    <x:row r="2045" ht="23" customHeight="1">
      <x:c r="A2045" s="17" t="n">
        <x:f>ROW()-6</x:f>
        <x:v>2039</x:v>
      </x:c>
      <x:c r="B2045" s="4" t="n">
        <x:f>IF('계산 과정'!$L$5,'계산 과정'!$L$11*SQRT((A2045+0.5)/'계산 과정'!$L$30),"")</x:f>
        <x:v>149.6883970484603</x:v>
      </x:c>
      <x:c r="C2045" s="4" t="n">
        <x:f>A2045*PI()*(3-SQRT(5))</x:f>
        <x:v>4893.525025416723</x:v>
      </x:c>
      <x:c r="D2045" s="4" t="n">
        <x:f>IF('계산 과정'!$L$5,B2045*COS(C2045),"")</x:f>
        <x:v>71.0365683529831</x:v>
      </x:c>
      <x:c r="E2045" s="4" t="n">
        <x:f>IF('계산 과정'!$L$5,B2045*SIN(C2045),"")</x:f>
        <x:v>-131.7589547908204</x:v>
      </x:c>
      <x:c r="F2045" s="4" t="n">
        <x:f>IF('계산 과정'!$L$7,'계산 과정'!$L$22+'계산 과정'!$C$49*D2045+'계산 과정'!$D$49*E2045,"")</x:f>
        <x:v>599.769560805384</x:v>
      </x:c>
      <x:c r="G2045" s="4" t="n">
        <x:f>IF('계산 과정'!$L$7,IF(ABS(F2045)&gt;=1E-12*MAX(1,SQRT((D2045-'계산 과정'!$C$33)^2+(E2045-'계산 과정'!$D$33)^2+'계산 과정'!$E$33^2)),('계산 과정'!$L$23-'계산 과정'!$C$49*D2045-'계산 과정'!$D$49*E2045)/F2045,""),"")</x:f>
        <x:v>0.7506723725526125</x:v>
      </x:c>
      <x:c r="H2045" s="4" t="n">
        <x:f>IF(AND(ISNUMBER(G2045),G2045&gt;0),('계산 과정'!$D$56+'계산 과정'!$D$57*D2045+'계산 과정'!$D$58*E2045)/F2045,"")</x:f>
        <x:v>87.93704215919811</x:v>
      </x:c>
      <x:c r="I2045" s="4" t="n">
        <x:f>IF(AND(ISNUMBER(G2045),G2045&gt;0),('계산 과정'!$E$56+'계산 과정'!$E$57*D2045+'계산 과정'!$E$58*E2045)/F2045,"")</x:f>
        <x:v>-230.66676198869797</x:v>
      </x:c>
      <x:c r="J2045" s="4" t="n">
        <x:f>IF('계산 과정'!$L$5,'계산 과정'!$D$6+'계산 과정'!$C$35*D2045+'계산 과정'!$D$35*E2045,"")</x:f>
        <x:v>599.769560805384</x:v>
      </x:c>
      <x:c r="K2045" s="4" t="n">
        <x:f>IF(AND('계산 과정'!$L$6,J2045&gt;0),'계산 과정'!$D$10*('계산 과정'!$C$38*(D2045-'계산 과정'!$C$32)+'계산 과정'!$D$38*(E2045-'계산 과정'!$D$32)-'계산 과정'!$E$38*'계산 과정'!$E$32)/J2045,"")</x:f>
        <x:v>0.6699965116891293</x:v>
      </x:c>
      <x:c r="L2045" s="4" t="n">
        <x:f>IF(AND('계산 과정'!$L$6,J2045&gt;0),'계산 과정'!$D$10*('계산 과정'!$C$39*(D2045-'계산 과정'!$C$32)+'계산 과정'!$D$39*(E2045-'계산 과정'!$D$32)-'계산 과정'!$E$39*'계산 과정'!$E$32)/J2045,"")</x:f>
        <x:v>-1.7574610437234133</x:v>
      </x:c>
      <x:c r="M2045" s="17" t="n">
        <x:f>IF('계산 과정'!$L$6,IF(J2045&lt;=0,0,IF(AND(ABS(K2045)&lt;='계산 과정'!$D$11/2,ABS(L2045)&lt;='계산 과정'!$D$12/2),1,0)),"")</x:f>
        <x:v>1</x:v>
      </x:c>
      <x:c r="N2045" s="17" t="n">
        <x:f>IF('계산 과정'!$C$78,IF(AND(ISNUMBER(H2045),ISNUMBER(I2045),ABS(H2045-'계산 과정'!$C$88)&lt;='계산 과정'!$D$23/2,ABS(I2045-'계산 과정'!$C$89)&lt;='계산 과정'!$D$24/2),1,0),"")</x:f>
        <x:v>1</x:v>
      </x:c>
      <x:c r="O2045" s="4" t="n">
        <x:f>IF('계산 과정'!$L$7,'계산 과정'!$C$49*('계산 과정'!$C$32-D2045)+'계산 과정'!$D$49*('계산 과정'!$D$32-E2045)+'계산 과정'!$E$49*'계산 과정'!$E$32,"")</x:f>
        <x:v>50.23043919461611</x:v>
      </x:c>
      <x:c r="P2045" s="4" t="n">
        <x:f>IF(AND('계산 과정'!$L$7,O2045&lt;&gt;0),('계산 과정'!$L$23-'계산 과정'!$C$49*D2045-'계산 과정'!$D$49*E2045)/O2045,"")</x:f>
        <x:v>8.96329887640866</x:v>
      </x:c>
      <x:c r="Q2045" s="4" t="str">
        <x:f>IF(AND(ISNUMBER(P2045),P2045&gt;1E-9,P2045&lt;1-1E-9),'계산 과정'!$C$47*(D2045-'계산 과정'!$C$50+P2045*('계산 과정'!$C$32-D2045))+'계산 과정'!$D$47*(E2045-'계산 과정'!$D$50+P2045*('계산 과정'!$D$32-E2045))+'계산 과정'!$E$47*(0-'계산 과정'!$E$50+P2045*('계산 과정'!$E$32-0)),"")</x:f>
      </x:c>
      <x:c r="R2045" s="4" t="str">
        <x:f>IF(AND(ISNUMBER(P2045),P2045&gt;1E-9,P2045&lt;1-1E-9),'계산 과정'!$C$48*(D2045-'계산 과정'!$C$50+P2045*('계산 과정'!$C$32-D2045))+'계산 과정'!$D$48*(E2045-'계산 과정'!$D$50+P2045*('계산 과정'!$D$32-E2045))+'계산 과정'!$E$48*(0-'계산 과정'!$E$50+P2045*('계산 과정'!$E$32-0)),"")</x:f>
      </x:c>
      <x:c r="S2045" s="17" t="n">
        <x:f>IF('계산 과정'!$C$78,IF(AND(ISNUMBER(Q2045),ISNUMBER(R2045),ABS(Q2045-'계산 과정'!$C$88)&lt;='계산 과정'!$D$23/2,ABS(R2045-'계산 과정'!$C$89)&lt;='계산 과정'!$D$24/2),1,0),"")</x:f>
        <x:v>0</x:v>
      </x:c>
      <x:c r="T2045" s="4"/>
      <x:c r="U2045" s="4"/>
      <x:c r="V2045" s="4"/>
      <x:c r="W2045" s="4"/>
      <x:c r="X2045" s="4"/>
      <x:c r="Y2045" s="4"/>
      <x:c r="Z2045" s="4"/>
    </x:row>
    <x:row r="2046" ht="23" customHeight="1">
      <x:c r="A2046" s="17" t="n">
        <x:f>ROW()-6</x:f>
        <x:v>2040</x:v>
      </x:c>
      <x:c r="B2046" s="4" t="n">
        <x:f>IF('계산 과정'!$L$5,'계산 과정'!$L$11*SQRT((A2046+0.5)/'계산 과정'!$L$30),"")</x:f>
        <x:v>149.7250898782916</x:v>
      </x:c>
      <x:c r="C2046" s="4" t="n">
        <x:f>A2046*PI()*(3-SQRT(5))</x:f>
        <x:v>4895.924988646452</x:v>
      </x:c>
      <x:c r="D2046" s="4" t="n">
        <x:f>IF('계산 과정'!$L$5,B2046*COS(C2046),"")</x:f>
        <x:v>36.6307174512353</x:v>
      </x:c>
      <x:c r="E2046" s="4" t="n">
        <x:f>IF('계산 과정'!$L$5,B2046*SIN(C2046),"")</x:f>
        <x:v>145.17504288985165</x:v>
      </x:c>
      <x:c r="F2046" s="4" t="n">
        <x:f>IF('계산 과정'!$L$7,'계산 과정'!$L$22+'계산 과정'!$C$49*D2046+'계산 과정'!$D$49*E2046,"")</x:f>
        <x:v>624.0981712905032</x:v>
      </x:c>
      <x:c r="G2046" s="4" t="n">
        <x:f>IF('계산 과정'!$L$7,IF(ABS(F2046)&gt;=1E-12*MAX(1,SQRT((D2046-'계산 과정'!$C$33)^2+(E2046-'계산 과정'!$D$33)^2+'계산 과정'!$E$33^2)),('계산 과정'!$L$23-'계산 과정'!$C$49*D2046-'계산 과정'!$D$49*E2046)/F2046,""),"")</x:f>
        <x:v>0.6824276184447423</x:v>
      </x:c>
      <x:c r="H2046" s="4" t="n">
        <x:f>IF(AND(ISNUMBER(G2046),G2046&gt;0),('계산 과정'!$D$56+'계산 과정'!$D$57*D2046+'계산 과정'!$D$58*E2046)/F2046,"")</x:f>
        <x:v>43.577951989082386</x:v>
      </x:c>
      <x:c r="I2046" s="4" t="n">
        <x:f>IF(AND(ISNUMBER(G2046),G2046&gt;0),('계산 과정'!$E$56+'계산 과정'!$E$57*D2046+'계산 과정'!$E$58*E2046)/F2046,"")</x:f>
        <x:v>244.24650166678643</x:v>
      </x:c>
      <x:c r="J2046" s="4" t="n">
        <x:f>IF('계산 과정'!$L$5,'계산 과정'!$D$6+'계산 과정'!$C$35*D2046+'계산 과정'!$D$35*E2046,"")</x:f>
        <x:v>624.0981712905032</x:v>
      </x:c>
      <x:c r="K2046" s="4" t="n">
        <x:f>IF(AND('계산 과정'!$L$6,J2046&gt;0),'계산 과정'!$D$10*('계산 과정'!$C$38*(D2046-'계산 과정'!$C$32)+'계산 과정'!$D$38*(E2046-'계산 과정'!$D$32)-'계산 과정'!$E$38*'계산 과정'!$E$32)/J2046,"")</x:f>
        <x:v>0.3320224913453906</x:v>
      </x:c>
      <x:c r="L2046" s="4" t="n">
        <x:f>IF(AND('계산 과정'!$L$6,J2046&gt;0),'계산 과정'!$D$10*('계산 과정'!$C$39*(D2046-'계산 과정'!$C$32)+'계산 과정'!$D$39*(E2046-'계산 과정'!$D$32)-'계산 과정'!$E$39*'계산 과정'!$E$32)/J2046,"")</x:f>
        <x:v>1.8609257269850394</x:v>
      </x:c>
      <x:c r="M2046" s="17" t="n">
        <x:f>IF('계산 과정'!$L$6,IF(J2046&lt;=0,0,IF(AND(ABS(K2046)&lt;='계산 과정'!$D$11/2,ABS(L2046)&lt;='계산 과정'!$D$12/2),1,0)),"")</x:f>
        <x:v>1</x:v>
      </x:c>
      <x:c r="N2046" s="17" t="n">
        <x:f>IF('계산 과정'!$C$78,IF(AND(ISNUMBER(H2046),ISNUMBER(I2046),ABS(H2046-'계산 과정'!$C$88)&lt;='계산 과정'!$D$23/2,ABS(I2046-'계산 과정'!$C$89)&lt;='계산 과정'!$D$24/2),1,0),"")</x:f>
        <x:v>1</x:v>
      </x:c>
      <x:c r="O2046" s="4" t="n">
        <x:f>IF('계산 과정'!$L$7,'계산 과정'!$C$49*('계산 과정'!$C$32-D2046)+'계산 과정'!$D$49*('계산 과정'!$D$32-E2046)+'계산 과정'!$E$49*'계산 과정'!$E$32,"")</x:f>
        <x:v>25.90182870949701</x:v>
      </x:c>
      <x:c r="P2046" s="4" t="n">
        <x:f>IF(AND('계산 과정'!$L$7,O2046&lt;&gt;0),('계산 과정'!$L$23-'계산 과정'!$C$49*D2046-'계산 과정'!$D$49*E2046)/O2046,"")</x:f>
        <x:v>16.442925072442407</x:v>
      </x:c>
      <x:c r="Q2046" s="4" t="str">
        <x:f>IF(AND(ISNUMBER(P2046),P2046&gt;1E-9,P2046&lt;1-1E-9),'계산 과정'!$C$47*(D2046-'계산 과정'!$C$50+P2046*('계산 과정'!$C$32-D2046))+'계산 과정'!$D$47*(E2046-'계산 과정'!$D$50+P2046*('계산 과정'!$D$32-E2046))+'계산 과정'!$E$47*(0-'계산 과정'!$E$50+P2046*('계산 과정'!$E$32-0)),"")</x:f>
      </x:c>
      <x:c r="R2046" s="4" t="str">
        <x:f>IF(AND(ISNUMBER(P2046),P2046&gt;1E-9,P2046&lt;1-1E-9),'계산 과정'!$C$48*(D2046-'계산 과정'!$C$50+P2046*('계산 과정'!$C$32-D2046))+'계산 과정'!$D$48*(E2046-'계산 과정'!$D$50+P2046*('계산 과정'!$D$32-E2046))+'계산 과정'!$E$48*(0-'계산 과정'!$E$50+P2046*('계산 과정'!$E$32-0)),"")</x:f>
      </x:c>
      <x:c r="S2046" s="17" t="n">
        <x:f>IF('계산 과정'!$C$78,IF(AND(ISNUMBER(Q2046),ISNUMBER(R2046),ABS(Q2046-'계산 과정'!$C$88)&lt;='계산 과정'!$D$23/2,ABS(R2046-'계산 과정'!$C$89)&lt;='계산 과정'!$D$24/2),1,0),"")</x:f>
        <x:v>0</x:v>
      </x:c>
      <x:c r="T2046" s="4"/>
      <x:c r="U2046" s="4"/>
      <x:c r="V2046" s="4"/>
      <x:c r="W2046" s="4"/>
      <x:c r="X2046" s="4"/>
      <x:c r="Y2046" s="4"/>
      <x:c r="Z2046" s="4"/>
    </x:row>
    <x:row r="2047" ht="23" customHeight="1">
      <x:c r="A2047" s="17" t="n">
        <x:f>ROW()-6</x:f>
        <x:v>2041</x:v>
      </x:c>
      <x:c r="B2047" s="4" t="n">
        <x:f>IF('계산 과정'!$L$5,'계산 과정'!$L$11*SQRT((A2047+0.5)/'계산 과정'!$L$30),"")</x:f>
        <x:v>149.76177371808703</x:v>
      </x:c>
      <x:c r="C2047" s="4" t="n">
        <x:f>A2047*PI()*(3-SQRT(5))</x:f>
        <x:v>4898.32495187618</x:v>
      </x:c>
      <x:c r="D2047" s="4" t="n">
        <x:f>IF('계산 과정'!$L$5,B2047*COS(C2047),"")</x:f>
        <x:v>-125.10532776520363</x:v>
      </x:c>
      <x:c r="E2047" s="4" t="n">
        <x:f>IF('계산 과정'!$L$5,B2047*SIN(C2047),"")</x:f>
        <x:v>-82.32402949290366</x:v>
      </x:c>
      <x:c r="F2047" s="4" t="n">
        <x:f>IF('계산 과정'!$L$7,'계산 과정'!$L$22+'계산 과정'!$C$49*D2047+'계산 과정'!$D$49*E2047,"")</x:f>
        <x:v>738.4628256253411</x:v>
      </x:c>
      <x:c r="G2047" s="4" t="n">
        <x:f>IF('계산 과정'!$L$7,IF(ABS(F2047)&gt;=1E-12*MAX(1,SQRT((D2047-'계산 과정'!$C$33)^2+(E2047-'계산 과정'!$D$33)^2+'계산 과정'!$E$33^2)),('계산 과정'!$L$23-'계산 과정'!$C$49*D2047-'계산 과정'!$D$49*E2047)/F2047,""),"")</x:f>
        <x:v>0.4218725216274017</x:v>
      </x:c>
      <x:c r="H2047" s="4" t="n">
        <x:f>IF(AND(ISNUMBER(G2047),G2047&gt;0),('계산 과정'!$D$56+'계산 과정'!$D$57*D2047+'계산 과정'!$D$58*E2047)/F2047,"")</x:f>
        <x:v>-125.78286094218907</x:v>
      </x:c>
      <x:c r="I2047" s="4" t="n">
        <x:f>IF(AND(ISNUMBER(G2047),G2047&gt;0),('계산 과정'!$E$56+'계산 과정'!$E$57*D2047+'계산 과정'!$E$58*E2047)/F2047,"")</x:f>
        <x:v>-117.05427540560352</x:v>
      </x:c>
      <x:c r="J2047" s="4" t="n">
        <x:f>IF('계산 과정'!$L$5,'계산 과정'!$D$6+'계산 과정'!$C$35*D2047+'계산 과정'!$D$35*E2047,"")</x:f>
        <x:v>738.4628256253411</x:v>
      </x:c>
      <x:c r="K2047" s="4" t="n">
        <x:f>IF(AND('계산 과정'!$L$6,J2047&gt;0),'계산 과정'!$D$10*('계산 과정'!$C$38*(D2047-'계산 과정'!$C$32)+'계산 과정'!$D$38*(E2047-'계산 과정'!$D$32)-'계산 과정'!$E$38*'계산 과정'!$E$32)/J2047,"")</x:f>
        <x:v>-0.9583456071785821</x:v>
      </x:c>
      <x:c r="L2047" s="4" t="n">
        <x:f>IF(AND('계산 과정'!$L$6,J2047&gt;0),'계산 과정'!$D$10*('계산 과정'!$C$39*(D2047-'계산 과정'!$C$32)+'계산 과정'!$D$39*(E2047-'계산 과정'!$D$32)-'계산 과정'!$E$39*'계산 과정'!$E$32)/J2047,"")</x:f>
        <x:v>-0.8918420983284078</x:v>
      </x:c>
      <x:c r="M2047" s="17" t="n">
        <x:f>IF('계산 과정'!$L$6,IF(J2047&lt;=0,0,IF(AND(ABS(K2047)&lt;='계산 과정'!$D$11/2,ABS(L2047)&lt;='계산 과정'!$D$12/2),1,0)),"")</x:f>
        <x:v>1</x:v>
      </x:c>
      <x:c r="N2047" s="17" t="n">
        <x:f>IF('계산 과정'!$C$78,IF(AND(ISNUMBER(H2047),ISNUMBER(I2047),ABS(H2047-'계산 과정'!$C$88)&lt;='계산 과정'!$D$23/2,ABS(I2047-'계산 과정'!$C$89)&lt;='계산 과정'!$D$24/2),1,0),"")</x:f>
        <x:v>1</x:v>
      </x:c>
      <x:c r="O2047" s="4" t="n">
        <x:f>IF('계산 과정'!$L$7,'계산 과정'!$C$49*('계산 과정'!$C$32-D2047)+'계산 과정'!$D$49*('계산 과정'!$D$32-E2047)+'계산 과정'!$E$49*'계산 과정'!$E$32,"")</x:f>
        <x:v>-88.462825625341</x:v>
      </x:c>
      <x:c r="P2047" s="4" t="n">
        <x:f>IF(AND('계산 과정'!$L$7,O2047&lt;&gt;0),('계산 과정'!$L$23-'계산 과정'!$C$49*D2047-'계산 과정'!$D$49*E2047)/O2047,"")</x:f>
        <x:v>-3.521673337612858</x:v>
      </x:c>
      <x:c r="Q2047" s="4" t="str">
        <x:f>IF(AND(ISNUMBER(P2047),P2047&gt;1E-9,P2047&lt;1-1E-9),'계산 과정'!$C$47*(D2047-'계산 과정'!$C$50+P2047*('계산 과정'!$C$32-D2047))+'계산 과정'!$D$47*(E2047-'계산 과정'!$D$50+P2047*('계산 과정'!$D$32-E2047))+'계산 과정'!$E$47*(0-'계산 과정'!$E$50+P2047*('계산 과정'!$E$32-0)),"")</x:f>
      </x:c>
      <x:c r="R2047" s="4" t="str">
        <x:f>IF(AND(ISNUMBER(P2047),P2047&gt;1E-9,P2047&lt;1-1E-9),'계산 과정'!$C$48*(D2047-'계산 과정'!$C$50+P2047*('계산 과정'!$C$32-D2047))+'계산 과정'!$D$48*(E2047-'계산 과정'!$D$50+P2047*('계산 과정'!$D$32-E2047))+'계산 과정'!$E$48*(0-'계산 과정'!$E$50+P2047*('계산 과정'!$E$32-0)),"")</x:f>
      </x:c>
      <x:c r="S2047" s="17" t="n">
        <x:f>IF('계산 과정'!$C$78,IF(AND(ISNUMBER(Q2047),ISNUMBER(R2047),ABS(Q2047-'계산 과정'!$C$88)&lt;='계산 과정'!$D$23/2,ABS(R2047-'계산 과정'!$C$89)&lt;='계산 과정'!$D$24/2),1,0),"")</x:f>
        <x:v>0</x:v>
      </x:c>
      <x:c r="T2047" s="4"/>
      <x:c r="U2047" s="4"/>
      <x:c r="V2047" s="4"/>
      <x:c r="W2047" s="4"/>
      <x:c r="X2047" s="4"/>
      <x:c r="Y2047" s="4"/>
      <x:c r="Z2047" s="4"/>
    </x:row>
    <x:row r="2048" ht="23" customHeight="1">
      <x:c r="A2048" s="17" t="n">
        <x:f>ROW()-6</x:f>
        <x:v>2042</x:v>
      </x:c>
      <x:c r="B2048" s="4" t="n">
        <x:f>IF('계산 과정'!$L$5,'계산 과정'!$L$11*SQRT((A2048+0.5)/'계산 과정'!$L$30),"")</x:f>
        <x:v>149.79844857445119</x:v>
      </x:c>
      <x:c r="C2048" s="4" t="n">
        <x:f>A2048*PI()*(3-SQRT(5))</x:f>
        <x:v>4900.724915105909</x:v>
      </x:c>
      <x:c r="D2048" s="4" t="n">
        <x:f>IF('계산 과정'!$L$5,B2048*COS(C2048),"")</x:f>
        <x:v>147.89406669312783</x:v>
      </x:c>
      <x:c r="E2048" s="4" t="n">
        <x:f>IF('계산 과정'!$L$5,B2048*SIN(C2048),"")</x:f>
        <x:v>-23.81008677601058</x:v>
      </x:c>
      <x:c r="F2048" s="4" t="n">
        <x:f>IF('계산 과정'!$L$7,'계산 과정'!$L$22+'계산 과정'!$C$49*D2048+'계산 과정'!$D$49*E2048,"")</x:f>
        <x:v>545.4231025440338</x:v>
      </x:c>
      <x:c r="G2048" s="4" t="n">
        <x:f>IF('계산 과정'!$L$7,IF(ABS(F2048)&gt;=1E-12*MAX(1,SQRT((D2048-'계산 과정'!$C$33)^2+(E2048-'계산 과정'!$D$33)^2+'계산 과정'!$E$33^2)),('계산 과정'!$L$23-'계산 과정'!$C$49*D2048-'계산 과정'!$D$49*E2048)/F2048,""),"")</x:f>
        <x:v>0.9251109736687952</x:v>
      </x:c>
      <x:c r="H2048" s="4" t="n">
        <x:f>IF(AND(ISNUMBER(G2048),G2048&gt;0),('계산 과정'!$D$56+'계산 과정'!$D$57*D2048+'계산 과정'!$D$58*E2048)/F2048,"")</x:f>
        <x:v>201.32213288471675</x:v>
      </x:c>
      <x:c r="I2048" s="4" t="n">
        <x:f>IF(AND(ISNUMBER(G2048),G2048&gt;0),('계산 과정'!$E$56+'계산 과정'!$E$57*D2048+'계산 과정'!$E$58*E2048)/F2048,"")</x:f>
        <x:v>-45.83705933650423</x:v>
      </x:c>
      <x:c r="J2048" s="4" t="n">
        <x:f>IF('계산 과정'!$L$5,'계산 과정'!$D$6+'계산 과정'!$C$35*D2048+'계산 과정'!$D$35*E2048,"")</x:f>
        <x:v>545.4231025440338</x:v>
      </x:c>
      <x:c r="K2048" s="4" t="n">
        <x:f>IF(AND('계산 과정'!$L$6,J2048&gt;0),'계산 과정'!$D$10*('계산 과정'!$C$38*(D2048-'계산 과정'!$C$32)+'계산 과정'!$D$38*(E2048-'계산 과정'!$D$32)-'계산 과정'!$E$38*'계산 과정'!$E$32)/J2048,"")</x:f>
        <x:v>1.5338829172168902</x:v>
      </x:c>
      <x:c r="L2048" s="4" t="n">
        <x:f>IF(AND('계산 과정'!$L$6,J2048&gt;0),'계산 과정'!$D$10*('계산 과정'!$C$39*(D2048-'계산 과정'!$C$32)+'계산 과정'!$D$39*(E2048-'계산 과정'!$D$32)-'계산 과정'!$E$39*'계산 과정'!$E$32)/J2048,"")</x:f>
        <x:v>-0.349234737801937</x:v>
      </x:c>
      <x:c r="M2048" s="17" t="n">
        <x:f>IF('계산 과정'!$L$6,IF(J2048&lt;=0,0,IF(AND(ABS(K2048)&lt;='계산 과정'!$D$11/2,ABS(L2048)&lt;='계산 과정'!$D$12/2),1,0)),"")</x:f>
        <x:v>1</x:v>
      </x:c>
      <x:c r="N2048" s="17" t="n">
        <x:f>IF('계산 과정'!$C$78,IF(AND(ISNUMBER(H2048),ISNUMBER(I2048),ABS(H2048-'계산 과정'!$C$88)&lt;='계산 과정'!$D$23/2,ABS(I2048-'계산 과정'!$C$89)&lt;='계산 과정'!$D$24/2),1,0),"")</x:f>
        <x:v>1</x:v>
      </x:c>
      <x:c r="O2048" s="4" t="n">
        <x:f>IF('계산 과정'!$L$7,'계산 과정'!$C$49*('계산 과정'!$C$32-D2048)+'계산 과정'!$D$49*('계산 과정'!$D$32-E2048)+'계산 과정'!$E$49*'계산 과정'!$E$32,"")</x:f>
        <x:v>104.57689745596628</x:v>
      </x:c>
      <x:c r="P2048" s="4" t="n">
        <x:f>IF(AND('계산 과정'!$L$7,O2048&lt;&gt;0),('계산 과정'!$L$23-'계산 과정'!$C$49*D2048-'계산 과정'!$D$49*E2048)/O2048,"")</x:f>
        <x:v>4.824936575197463</x:v>
      </x:c>
      <x:c r="Q2048" s="4" t="str">
        <x:f>IF(AND(ISNUMBER(P2048),P2048&gt;1E-9,P2048&lt;1-1E-9),'계산 과정'!$C$47*(D2048-'계산 과정'!$C$50+P2048*('계산 과정'!$C$32-D2048))+'계산 과정'!$D$47*(E2048-'계산 과정'!$D$50+P2048*('계산 과정'!$D$32-E2048))+'계산 과정'!$E$47*(0-'계산 과정'!$E$50+P2048*('계산 과정'!$E$32-0)),"")</x:f>
      </x:c>
      <x:c r="R2048" s="4" t="str">
        <x:f>IF(AND(ISNUMBER(P2048),P2048&gt;1E-9,P2048&lt;1-1E-9),'계산 과정'!$C$48*(D2048-'계산 과정'!$C$50+P2048*('계산 과정'!$C$32-D2048))+'계산 과정'!$D$48*(E2048-'계산 과정'!$D$50+P2048*('계산 과정'!$D$32-E2048))+'계산 과정'!$E$48*(0-'계산 과정'!$E$50+P2048*('계산 과정'!$E$32-0)),"")</x:f>
      </x:c>
      <x:c r="S2048" s="17" t="n">
        <x:f>IF('계산 과정'!$C$78,IF(AND(ISNUMBER(Q2048),ISNUMBER(R2048),ABS(Q2048-'계산 과정'!$C$88)&lt;='계산 과정'!$D$23/2,ABS(R2048-'계산 과정'!$C$89)&lt;='계산 과정'!$D$24/2),1,0),"")</x:f>
        <x:v>0</x:v>
      </x:c>
      <x:c r="T2048" s="4"/>
      <x:c r="U2048" s="4"/>
      <x:c r="V2048" s="4"/>
      <x:c r="W2048" s="4"/>
      <x:c r="X2048" s="4"/>
      <x:c r="Y2048" s="4"/>
      <x:c r="Z2048" s="4"/>
    </x:row>
    <x:row r="2049" ht="23" customHeight="1">
      <x:c r="A2049" s="17" t="n">
        <x:f>ROW()-6</x:f>
        <x:v>2043</x:v>
      </x:c>
      <x:c r="B2049" s="4" t="n">
        <x:f>IF('계산 과정'!$L$5,'계산 과정'!$L$11*SQRT((A2049+0.5)/'계산 과정'!$L$30),"")</x:f>
        <x:v>149.8351144539807</x:v>
      </x:c>
      <x:c r="C2049" s="4" t="n">
        <x:f>A2049*PI()*(3-SQRT(5))</x:f>
        <x:v>4903.124878335638</x:v>
      </x:c>
      <x:c r="D2049" s="4" t="n">
        <x:f>IF('계산 과정'!$L$5,B2049*COS(C2049),"")</x:f>
        <x:v>-92.99175535334437</x:v>
      </x:c>
      <x:c r="E2049" s="4" t="n">
        <x:f>IF('계산 과정'!$L$5,B2049*SIN(C2049),"")</x:f>
        <x:v>117.48657352966443</x:v>
      </x:c>
      <x:c r="F2049" s="4" t="n">
        <x:f>IF('계산 과정'!$L$7,'계산 과정'!$L$22+'계산 과정'!$C$49*D2049+'계산 과정'!$D$49*E2049,"")</x:f>
        <x:v>715.7551008047902</x:v>
      </x:c>
      <x:c r="G2049" s="4" t="n">
        <x:f>IF('계산 과정'!$L$7,IF(ABS(F2049)&gt;=1E-12*MAX(1,SQRT((D2049-'계산 과정'!$C$33)^2+(E2049-'계산 과정'!$D$33)^2+'계산 과정'!$E$33^2)),('계산 과정'!$L$23-'계산 과정'!$C$49*D2049-'계산 과정'!$D$49*E2049)/F2049,""),"")</x:f>
        <x:v>0.46698221056250533</x:v>
      </x:c>
      <x:c r="H2049" s="4" t="n">
        <x:f>IF(AND(ISNUMBER(G2049),G2049&gt;0),('계산 과정'!$D$56+'계산 과정'!$D$57*D2049+'계산 과정'!$D$58*E2049)/F2049,"")</x:f>
        <x:v>-96.46156313437169</x:v>
      </x:c>
      <x:c r="I2049" s="4" t="n">
        <x:f>IF(AND(ISNUMBER(G2049),G2049&gt;0),('계산 과정'!$E$56+'계산 과정'!$E$57*D2049+'계산 과정'!$E$58*E2049)/F2049,"")</x:f>
        <x:v>172.35071334796143</x:v>
      </x:c>
      <x:c r="J2049" s="4" t="n">
        <x:f>IF('계산 과정'!$L$5,'계산 과정'!$D$6+'계산 과정'!$C$35*D2049+'계산 과정'!$D$35*E2049,"")</x:f>
        <x:v>715.7551008047902</x:v>
      </x:c>
      <x:c r="K2049" s="4" t="n">
        <x:f>IF(AND('계산 과정'!$L$6,J2049&gt;0),'계산 과정'!$D$10*('계산 과정'!$C$38*(D2049-'계산 과정'!$C$32)+'계산 과정'!$D$38*(E2049-'계산 과정'!$D$32)-'계산 과정'!$E$38*'계산 과정'!$E$32)/J2049,"")</x:f>
        <x:v>-0.7349452429285451</x:v>
      </x:c>
      <x:c r="L2049" s="4" t="n">
        <x:f>IF(AND('계산 과정'!$L$6,J2049&gt;0),'계산 과정'!$D$10*('계산 과정'!$C$39*(D2049-'계산 과정'!$C$32)+'계산 과정'!$D$39*(E2049-'계산 과정'!$D$32)-'계산 과정'!$E$39*'계산 과정'!$E$32)/J2049,"")</x:f>
        <x:v>1.3131482921749442</x:v>
      </x:c>
      <x:c r="M2049" s="17" t="n">
        <x:f>IF('계산 과정'!$L$6,IF(J2049&lt;=0,0,IF(AND(ABS(K2049)&lt;='계산 과정'!$D$11/2,ABS(L2049)&lt;='계산 과정'!$D$12/2),1,0)),"")</x:f>
        <x:v>1</x:v>
      </x:c>
      <x:c r="N2049" s="17" t="n">
        <x:f>IF('계산 과정'!$C$78,IF(AND(ISNUMBER(H2049),ISNUMBER(I2049),ABS(H2049-'계산 과정'!$C$88)&lt;='계산 과정'!$D$23/2,ABS(I2049-'계산 과정'!$C$89)&lt;='계산 과정'!$D$24/2),1,0),"")</x:f>
        <x:v>1</x:v>
      </x:c>
      <x:c r="O2049" s="4" t="n">
        <x:f>IF('계산 과정'!$L$7,'계산 과정'!$C$49*('계산 과정'!$C$32-D2049)+'계산 과정'!$D$49*('계산 과정'!$D$32-E2049)+'계산 과정'!$E$49*'계산 과정'!$E$32,"")</x:f>
        <x:v>-65.75510080479012</x:v>
      </x:c>
      <x:c r="P2049" s="4" t="n">
        <x:f>IF(AND('계산 과정'!$L$7,O2049&lt;&gt;0),('계산 과정'!$L$23-'계산 과정'!$C$49*D2049-'계산 과정'!$D$49*E2049)/O2049,"")</x:f>
        <x:v>-5.083178264565306</x:v>
      </x:c>
      <x:c r="Q2049" s="4" t="str">
        <x:f>IF(AND(ISNUMBER(P2049),P2049&gt;1E-9,P2049&lt;1-1E-9),'계산 과정'!$C$47*(D2049-'계산 과정'!$C$50+P2049*('계산 과정'!$C$32-D2049))+'계산 과정'!$D$47*(E2049-'계산 과정'!$D$50+P2049*('계산 과정'!$D$32-E2049))+'계산 과정'!$E$47*(0-'계산 과정'!$E$50+P2049*('계산 과정'!$E$32-0)),"")</x:f>
      </x:c>
      <x:c r="R2049" s="4" t="str">
        <x:f>IF(AND(ISNUMBER(P2049),P2049&gt;1E-9,P2049&lt;1-1E-9),'계산 과정'!$C$48*(D2049-'계산 과정'!$C$50+P2049*('계산 과정'!$C$32-D2049))+'계산 과정'!$D$48*(E2049-'계산 과정'!$D$50+P2049*('계산 과정'!$D$32-E2049))+'계산 과정'!$E$48*(0-'계산 과정'!$E$50+P2049*('계산 과정'!$E$32-0)),"")</x:f>
      </x:c>
      <x:c r="S2049" s="17" t="n">
        <x:f>IF('계산 과정'!$C$78,IF(AND(ISNUMBER(Q2049),ISNUMBER(R2049),ABS(Q2049-'계산 과정'!$C$88)&lt;='계산 과정'!$D$23/2,ABS(R2049-'계산 과정'!$C$89)&lt;='계산 과정'!$D$24/2),1,0),"")</x:f>
        <x:v>0</x:v>
      </x:c>
      <x:c r="T2049" s="4"/>
      <x:c r="U2049" s="4"/>
      <x:c r="V2049" s="4"/>
      <x:c r="W2049" s="4"/>
      <x:c r="X2049" s="4"/>
      <x:c r="Y2049" s="4"/>
      <x:c r="Z2049" s="4"/>
    </x:row>
    <x:row r="2050" ht="23" customHeight="1">
      <x:c r="A2050" s="17" t="n">
        <x:f>ROW()-6</x:f>
        <x:v>2044</x:v>
      </x:c>
      <x:c r="B2050" s="4" t="n">
        <x:f>IF('계산 과정'!$L$5,'계산 과정'!$L$11*SQRT((A2050+0.5)/'계산 과정'!$L$30),"")</x:f>
        <x:v>149.87177136326406</x:v>
      </x:c>
      <x:c r="C2050" s="4" t="n">
        <x:f>A2050*PI()*(3-SQRT(5))</x:f>
        <x:v>4905.524841565366</x:v>
      </x:c>
      <x:c r="D2050" s="4" t="n">
        <x:f>IF('계산 과정'!$L$5,B2050*COS(C2050),"")</x:f>
        <x:v>-10.794454009106422</x:v>
      </x:c>
      <x:c r="E2050" s="4" t="n">
        <x:f>IF('계산 과정'!$L$5,B2050*SIN(C2050),"")</x:f>
        <x:v>-149.482532806371</x:v>
      </x:c>
      <x:c r="F2050" s="4" t="n">
        <x:f>IF('계산 과정'!$L$7,'계산 과정'!$L$22+'계산 과정'!$C$49*D2050+'계산 과정'!$D$49*E2050,"")</x:f>
        <x:v>657.6328316290454</x:v>
      </x:c>
      <x:c r="G2050" s="4" t="n">
        <x:f>IF('계산 과정'!$L$7,IF(ABS(F2050)&gt;=1E-12*MAX(1,SQRT((D2050-'계산 과정'!$C$33)^2+(E2050-'계산 과정'!$D$33)^2+'계산 과정'!$E$33^2)),('계산 과정'!$L$23-'계산 과정'!$C$49*D2050-'계산 과정'!$D$49*E2050)/F2050,""),"")</x:f>
        <x:v>0.5966356141298603</x:v>
      </x:c>
      <x:c r="H2050" s="4" t="n">
        <x:f>IF(AND(ISNUMBER(G2050),G2050&gt;0),('계산 과정'!$D$56+'계산 과정'!$D$57*D2050+'계산 과정'!$D$58*E2050)/F2050,"")</x:f>
        <x:v>-12.186850815590946</x:v>
      </x:c>
      <x:c r="I2050" s="4" t="n">
        <x:f>IF(AND(ISNUMBER(G2050),G2050&gt;0),('계산 과정'!$E$56+'계산 과정'!$E$57*D2050+'계산 과정'!$E$58*E2050)/F2050,"")</x:f>
        <x:v>-238.66913556898717</x:v>
      </x:c>
      <x:c r="J2050" s="4" t="n">
        <x:f>IF('계산 과정'!$L$5,'계산 과정'!$D$6+'계산 과정'!$C$35*D2050+'계산 과정'!$D$35*E2050,"")</x:f>
        <x:v>657.6328316290454</x:v>
      </x:c>
      <x:c r="K2050" s="4" t="n">
        <x:f>IF(AND('계산 과정'!$L$6,J2050&gt;0),'계산 과정'!$D$10*('계산 과정'!$C$38*(D2050-'계산 과정'!$C$32)+'계산 과정'!$D$38*(E2050-'계산 과정'!$D$32)-'계산 과정'!$E$38*'계산 과정'!$E$32)/J2050,"")</x:f>
        <x:v>-0.09285219669021537</x:v>
      </x:c>
      <x:c r="L2050" s="4" t="n">
        <x:f>IF(AND('계산 과정'!$L$6,J2050&gt;0),'계산 과정'!$D$10*('계산 과정'!$C$39*(D2050-'계산 과정'!$C$32)+'계산 과정'!$D$39*(E2050-'계산 과정'!$D$32)-'계산 과정'!$E$39*'계산 과정'!$E$32)/J2050,"")</x:f>
        <x:v>-1.818431509097045</x:v>
      </x:c>
      <x:c r="M2050" s="17" t="n">
        <x:f>IF('계산 과정'!$L$6,IF(J2050&lt;=0,0,IF(AND(ABS(K2050)&lt;='계산 과정'!$D$11/2,ABS(L2050)&lt;='계산 과정'!$D$12/2),1,0)),"")</x:f>
        <x:v>1</x:v>
      </x:c>
      <x:c r="N2050" s="17" t="n">
        <x:f>IF('계산 과정'!$C$78,IF(AND(ISNUMBER(H2050),ISNUMBER(I2050),ABS(H2050-'계산 과정'!$C$88)&lt;='계산 과정'!$D$23/2,ABS(I2050-'계산 과정'!$C$89)&lt;='계산 과정'!$D$24/2),1,0),"")</x:f>
        <x:v>1</x:v>
      </x:c>
      <x:c r="O2050" s="4" t="n">
        <x:f>IF('계산 과정'!$L$7,'계산 과정'!$C$49*('계산 과정'!$C$32-D2050)+'계산 과정'!$D$49*('계산 과정'!$D$32-E2050)+'계산 과정'!$E$49*'계산 과정'!$E$32,"")</x:f>
        <x:v>-7.632831629045313</x:v>
      </x:c>
      <x:c r="P2050" s="4" t="n">
        <x:f>IF(AND('계산 과정'!$L$7,O2050&lt;&gt;0),('계산 과정'!$L$23-'계산 과정'!$C$49*D2050-'계산 과정'!$D$49*E2050)/O2050,"")</x:f>
        <x:v>-51.40519107979202</x:v>
      </x:c>
      <x:c r="Q2050" s="4" t="str">
        <x:f>IF(AND(ISNUMBER(P2050),P2050&gt;1E-9,P2050&lt;1-1E-9),'계산 과정'!$C$47*(D2050-'계산 과정'!$C$50+P2050*('계산 과정'!$C$32-D2050))+'계산 과정'!$D$47*(E2050-'계산 과정'!$D$50+P2050*('계산 과정'!$D$32-E2050))+'계산 과정'!$E$47*(0-'계산 과정'!$E$50+P2050*('계산 과정'!$E$32-0)),"")</x:f>
      </x:c>
      <x:c r="R2050" s="4" t="str">
        <x:f>IF(AND(ISNUMBER(P2050),P2050&gt;1E-9,P2050&lt;1-1E-9),'계산 과정'!$C$48*(D2050-'계산 과정'!$C$50+P2050*('계산 과정'!$C$32-D2050))+'계산 과정'!$D$48*(E2050-'계산 과정'!$D$50+P2050*('계산 과정'!$D$32-E2050))+'계산 과정'!$E$48*(0-'계산 과정'!$E$50+P2050*('계산 과정'!$E$32-0)),"")</x:f>
      </x:c>
      <x:c r="S2050" s="17" t="n">
        <x:f>IF('계산 과정'!$C$78,IF(AND(ISNUMBER(Q2050),ISNUMBER(R2050),ABS(Q2050-'계산 과정'!$C$88)&lt;='계산 과정'!$D$23/2,ABS(R2050-'계산 과정'!$C$89)&lt;='계산 과정'!$D$24/2),1,0),"")</x:f>
        <x:v>0</x:v>
      </x:c>
      <x:c r="T2050" s="4"/>
      <x:c r="U2050" s="4"/>
      <x:c r="V2050" s="4"/>
      <x:c r="W2050" s="4"/>
      <x:c r="X2050" s="4"/>
      <x:c r="Y2050" s="4"/>
      <x:c r="Z2050" s="4"/>
    </x:row>
    <x:row r="2051" ht="23" customHeight="1">
      <x:c r="A2051" s="17" t="n">
        <x:f>ROW()-6</x:f>
        <x:v>2045</x:v>
      </x:c>
      <x:c r="B2051" s="4" t="n">
        <x:f>IF('계산 과정'!$L$5,'계산 과정'!$L$11*SQRT((A2051+0.5)/'계산 과정'!$L$30),"")</x:f>
        <x:v>149.90841930888172</x:v>
      </x:c>
      <x:c r="C2051" s="4" t="n">
        <x:f>A2051*PI()*(3-SQRT(5))</x:f>
        <x:v>4907.924804795095</x:v>
      </x:c>
      <x:c r="D2051" s="4" t="n">
        <x:f>IF('계산 과정'!$L$5,B2051*COS(C2051),"")</x:f>
        <x:v>108.96013187748693</x:v>
      </x:c>
      <x:c r="E2051" s="4" t="n">
        <x:f>IF('계산 과정'!$L$5,B2051*SIN(C2051),"")</x:f>
        <x:v>102.95738847177581</x:v>
      </x:c>
      <x:c r="F2051" s="4" t="n">
        <x:f>IF('계산 과정'!$L$7,'계산 과정'!$L$22+'계산 과정'!$C$49*D2051+'계산 과정'!$D$49*E2051,"")</x:f>
        <x:v>572.9535518704485</x:v>
      </x:c>
      <x:c r="G2051" s="4" t="n">
        <x:f>IF('계산 과정'!$L$7,IF(ABS(F2051)&gt;=1E-12*MAX(1,SQRT((D2051-'계산 과정'!$C$33)^2+(E2051-'계산 과정'!$D$33)^2+'계산 과정'!$E$33^2)),('계산 과정'!$L$23-'계산 과정'!$C$49*D2051-'계산 과정'!$D$49*E2051)/F2051,""),"")</x:f>
        <x:v>0.8326092866903412</x:v>
      </x:c>
      <x:c r="H2051" s="4" t="n">
        <x:f>IF(AND(ISNUMBER(G2051),G2051&gt;0),('계산 과정'!$D$56+'계산 과정'!$D$57*D2051+'계산 과정'!$D$58*E2051)/F2051,"")</x:f>
        <x:v>141.1960363487217</x:v>
      </x:c>
      <x:c r="I2051" s="4" t="n">
        <x:f>IF(AND(ISNUMBER(G2051),G2051&gt;0),('계산 과정'!$E$56+'계산 과정'!$E$57*D2051+'계산 과정'!$E$58*E2051)/F2051,"")</x:f>
        <x:v>188.68066624676143</x:v>
      </x:c>
      <x:c r="J2051" s="4" t="n">
        <x:f>IF('계산 과정'!$L$5,'계산 과정'!$D$6+'계산 과정'!$C$35*D2051+'계산 과정'!$D$35*E2051,"")</x:f>
        <x:v>572.9535518704485</x:v>
      </x:c>
      <x:c r="K2051" s="4" t="n">
        <x:f>IF(AND('계산 과정'!$L$6,J2051&gt;0),'계산 과정'!$D$10*('계산 과정'!$C$38*(D2051-'계산 과정'!$C$32)+'계산 과정'!$D$38*(E2051-'계산 과정'!$D$32)-'계산 과정'!$E$38*'계산 과정'!$E$32)/J2051,"")</x:f>
        <x:v>1.0757793245616896</x:v>
      </x:c>
      <x:c r="L2051" s="4" t="n">
        <x:f>IF(AND('계산 과정'!$L$6,J2051&gt;0),'계산 과정'!$D$10*('계산 과정'!$C$39*(D2051-'계산 과정'!$C$32)+'계산 과정'!$D$39*(E2051-'계산 과정'!$D$32)-'계산 과정'!$E$39*'계산 과정'!$E$32)/J2051,"")</x:f>
        <x:v>1.4375669809277063</x:v>
      </x:c>
      <x:c r="M2051" s="17" t="n">
        <x:f>IF('계산 과정'!$L$6,IF(J2051&lt;=0,0,IF(AND(ABS(K2051)&lt;='계산 과정'!$D$11/2,ABS(L2051)&lt;='계산 과정'!$D$12/2),1,0)),"")</x:f>
        <x:v>1</x:v>
      </x:c>
      <x:c r="N2051" s="17" t="n">
        <x:f>IF('계산 과정'!$C$78,IF(AND(ISNUMBER(H2051),ISNUMBER(I2051),ABS(H2051-'계산 과정'!$C$88)&lt;='계산 과정'!$D$23/2,ABS(I2051-'계산 과정'!$C$89)&lt;='계산 과정'!$D$24/2),1,0),"")</x:f>
        <x:v>1</x:v>
      </x:c>
      <x:c r="O2051" s="4" t="n">
        <x:f>IF('계산 과정'!$L$7,'계산 과정'!$C$49*('계산 과정'!$C$32-D2051)+'계산 과정'!$D$49*('계산 과정'!$D$32-E2051)+'계산 과정'!$E$49*'계산 과정'!$E$32,"")</x:f>
        <x:v>77.0464481295516</x:v>
      </x:c>
      <x:c r="P2051" s="4" t="n">
        <x:f>IF(AND('계산 과정'!$L$7,O2051&lt;&gt;0),('계산 과정'!$L$23-'계산 과정'!$C$49*D2051-'계산 과정'!$D$49*E2051)/O2051,"")</x:f>
        <x:v>6.191673460759803</x:v>
      </x:c>
      <x:c r="Q2051" s="4" t="str">
        <x:f>IF(AND(ISNUMBER(P2051),P2051&gt;1E-9,P2051&lt;1-1E-9),'계산 과정'!$C$47*(D2051-'계산 과정'!$C$50+P2051*('계산 과정'!$C$32-D2051))+'계산 과정'!$D$47*(E2051-'계산 과정'!$D$50+P2051*('계산 과정'!$D$32-E2051))+'계산 과정'!$E$47*(0-'계산 과정'!$E$50+P2051*('계산 과정'!$E$32-0)),"")</x:f>
      </x:c>
      <x:c r="R2051" s="4" t="str">
        <x:f>IF(AND(ISNUMBER(P2051),P2051&gt;1E-9,P2051&lt;1-1E-9),'계산 과정'!$C$48*(D2051-'계산 과정'!$C$50+P2051*('계산 과정'!$C$32-D2051))+'계산 과정'!$D$48*(E2051-'계산 과정'!$D$50+P2051*('계산 과정'!$D$32-E2051))+'계산 과정'!$E$48*(0-'계산 과정'!$E$50+P2051*('계산 과정'!$E$32-0)),"")</x:f>
      </x:c>
      <x:c r="S2051" s="17" t="n">
        <x:f>IF('계산 과정'!$C$78,IF(AND(ISNUMBER(Q2051),ISNUMBER(R2051),ABS(Q2051-'계산 과정'!$C$88)&lt;='계산 과정'!$D$23/2,ABS(R2051-'계산 과정'!$C$89)&lt;='계산 과정'!$D$24/2),1,0),"")</x:f>
        <x:v>0</x:v>
      </x:c>
      <x:c r="T2051" s="4"/>
      <x:c r="U2051" s="4"/>
      <x:c r="V2051" s="4"/>
      <x:c r="W2051" s="4"/>
      <x:c r="X2051" s="4"/>
      <x:c r="Y2051" s="4"/>
      <x:c r="Z2051" s="4"/>
    </x:row>
    <x:row r="2052" ht="23" customHeight="1">
      <x:c r="A2052" s="17" t="n">
        <x:f>ROW()-6</x:f>
        <x:v>2046</x:v>
      </x:c>
      <x:c r="B2052" s="4" t="n">
        <x:f>IF('계산 과정'!$L$5,'계산 과정'!$L$11*SQRT((A2052+0.5)/'계산 과정'!$L$30),"")</x:f>
        <x:v>149.94505829740606</x:v>
      </x:c>
      <x:c r="C2052" s="4" t="n">
        <x:f>A2052*PI()*(3-SQRT(5))</x:f>
        <x:v>4910.324768024824</x:v>
      </x:c>
      <x:c r="D2052" s="4" t="n">
        <x:f>IF('계산 과정'!$L$5,B2052*COS(C2052),"")</x:f>
        <x:v>-149.92716144840472</x:v>
      </x:c>
      <x:c r="E2052" s="4" t="n">
        <x:f>IF('계산 과정'!$L$5,B2052*SIN(C2052),"")</x:f>
        <x:v>-2.3166285495275933</x:v>
      </x:c>
      <x:c r="F2052" s="4" t="n">
        <x:f>IF('계산 과정'!$L$7,'계산 과정'!$L$22+'계산 과정'!$C$49*D2052+'계산 과정'!$D$49*E2052,"")</x:f>
        <x:v>756.0145125442173</x:v>
      </x:c>
      <x:c r="G2052" s="4" t="n">
        <x:f>IF('계산 과정'!$L$7,IF(ABS(F2052)&gt;=1E-12*MAX(1,SQRT((D2052-'계산 과정'!$C$33)^2+(E2052-'계산 과정'!$D$33)^2+'계산 과정'!$E$33^2)),('계산 과정'!$L$23-'계산 과정'!$C$49*D2052-'계산 과정'!$D$49*E2052)/F2052,""),"")</x:f>
        <x:v>0.38886222761310857</x:v>
      </x:c>
      <x:c r="H2052" s="4" t="n">
        <x:f>IF(AND(ISNUMBER(G2052),G2052&gt;0),('계산 과정'!$D$56+'계산 과정'!$D$57*D2052+'계산 과정'!$D$58*E2052)/F2052,"")</x:f>
        <x:v>-147.23955205147962</x:v>
      </x:c>
      <x:c r="I2052" s="4" t="n">
        <x:f>IF(AND(ISNUMBER(G2052),G2052&gt;0),('계산 과정'!$E$56+'계산 과정'!$E$57*D2052+'계산 과정'!$E$58*E2052)/F2052,"")</x:f>
        <x:v>-3.217477887849018</x:v>
      </x:c>
      <x:c r="J2052" s="4" t="n">
        <x:f>IF('계산 과정'!$L$5,'계산 과정'!$D$6+'계산 과정'!$C$35*D2052+'계산 과정'!$D$35*E2052,"")</x:f>
        <x:v>756.0145125442173</x:v>
      </x:c>
      <x:c r="K2052" s="4" t="n">
        <x:f>IF(AND('계산 과정'!$L$6,J2052&gt;0),'계산 과정'!$D$10*('계산 과정'!$C$38*(D2052-'계산 과정'!$C$32)+'계산 과정'!$D$38*(E2052-'계산 과정'!$D$32)-'계산 과정'!$E$38*'계산 과정'!$E$32)/J2052,"")</x:f>
        <x:v>-1.121825158487463</x:v>
      </x:c>
      <x:c r="L2052" s="4" t="n">
        <x:f>IF(AND('계산 과정'!$L$6,J2052&gt;0),'계산 과정'!$D$10*('계산 과정'!$C$39*(D2052-'계산 과정'!$C$32)+'계산 과정'!$D$39*(E2052-'계산 과정'!$D$32)-'계산 과정'!$E$39*'계산 과정'!$E$32)/J2052,"")</x:f>
        <x:v>-0.024514117240754422</x:v>
      </x:c>
      <x:c r="M2052" s="17" t="n">
        <x:f>IF('계산 과정'!$L$6,IF(J2052&lt;=0,0,IF(AND(ABS(K2052)&lt;='계산 과정'!$D$11/2,ABS(L2052)&lt;='계산 과정'!$D$12/2),1,0)),"")</x:f>
        <x:v>1</x:v>
      </x:c>
      <x:c r="N2052" s="17" t="n">
        <x:f>IF('계산 과정'!$C$78,IF(AND(ISNUMBER(H2052),ISNUMBER(I2052),ABS(H2052-'계산 과정'!$C$88)&lt;='계산 과정'!$D$23/2,ABS(I2052-'계산 과정'!$C$89)&lt;='계산 과정'!$D$24/2),1,0),"")</x:f>
        <x:v>1</x:v>
      </x:c>
      <x:c r="O2052" s="4" t="n">
        <x:f>IF('계산 과정'!$L$7,'계산 과정'!$C$49*('계산 과정'!$C$32-D2052)+'계산 과정'!$D$49*('계산 과정'!$D$32-E2052)+'계산 과정'!$E$49*'계산 과정'!$E$32,"")</x:f>
        <x:v>-106.01451254421715</x:v>
      </x:c>
      <x:c r="P2052" s="4" t="n">
        <x:f>IF(AND('계산 과정'!$L$7,O2052&lt;&gt;0),('계산 과정'!$L$23-'계산 과정'!$C$49*D2052-'계산 과정'!$D$49*E2052)/O2052,"")</x:f>
        <x:v>-2.773068331877351</x:v>
      </x:c>
      <x:c r="Q2052" s="4" t="str">
        <x:f>IF(AND(ISNUMBER(P2052),P2052&gt;1E-9,P2052&lt;1-1E-9),'계산 과정'!$C$47*(D2052-'계산 과정'!$C$50+P2052*('계산 과정'!$C$32-D2052))+'계산 과정'!$D$47*(E2052-'계산 과정'!$D$50+P2052*('계산 과정'!$D$32-E2052))+'계산 과정'!$E$47*(0-'계산 과정'!$E$50+P2052*('계산 과정'!$E$32-0)),"")</x:f>
      </x:c>
      <x:c r="R2052" s="4" t="str">
        <x:f>IF(AND(ISNUMBER(P2052),P2052&gt;1E-9,P2052&lt;1-1E-9),'계산 과정'!$C$48*(D2052-'계산 과정'!$C$50+P2052*('계산 과정'!$C$32-D2052))+'계산 과정'!$D$48*(E2052-'계산 과정'!$D$50+P2052*('계산 과정'!$D$32-E2052))+'계산 과정'!$E$48*(0-'계산 과정'!$E$50+P2052*('계산 과정'!$E$32-0)),"")</x:f>
      </x:c>
      <x:c r="S2052" s="17" t="n">
        <x:f>IF('계산 과정'!$C$78,IF(AND(ISNUMBER(Q2052),ISNUMBER(R2052),ABS(Q2052-'계산 과정'!$C$88)&lt;='계산 과정'!$D$23/2,ABS(R2052-'계산 과정'!$C$89)&lt;='계산 과정'!$D$24/2),1,0),"")</x:f>
        <x:v>0</x:v>
      </x:c>
      <x:c r="T2052" s="4"/>
      <x:c r="U2052" s="4"/>
      <x:c r="V2052" s="4"/>
      <x:c r="W2052" s="4"/>
      <x:c r="X2052" s="4"/>
      <x:c r="Y2052" s="4"/>
      <x:c r="Z2052" s="4"/>
    </x:row>
    <x:row r="2053" ht="23" customHeight="1">
      <x:c r="A2053" s="17" t="n">
        <x:f>ROW()-6</x:f>
        <x:v>2047</x:v>
      </x:c>
      <x:c r="B2053" s="4" t="n">
        <x:f>IF('계산 과정'!$L$5,'계산 과정'!$L$11*SQRT((A2053+0.5)/'계산 과정'!$L$30),"")</x:f>
        <x:v>149.98168833540146</x:v>
      </x:c>
      <x:c r="C2053" s="4" t="n">
        <x:f>A2053*PI()*(3-SQRT(5))</x:f>
        <x:v>4912.724731254552</x:v>
      </x:c>
      <x:c r="D2053" s="4" t="n">
        <x:f>IF('계산 과정'!$L$5,B2053*COS(C2053),"")</x:f>
        <x:v>112.1438718367325</x:v>
      </x:c>
      <x:c r="E2053" s="4" t="n">
        <x:f>IF('계산 과정'!$L$5,B2053*SIN(C2053),"")</x:f>
        <x:v>-99.59045559391731</x:v>
      </x:c>
      <x:c r="F2053" s="4" t="n">
        <x:f>IF('계산 과정'!$L$7,'계산 과정'!$L$22+'계산 과정'!$C$49*D2053+'계산 과정'!$D$49*E2053,"")</x:f>
        <x:v>570.7023077557313</x:v>
      </x:c>
      <x:c r="G2053" s="4" t="n">
        <x:f>IF('계산 과정'!$L$7,IF(ABS(F2053)&gt;=1E-12*MAX(1,SQRT((D2053-'계산 과정'!$C$33)^2+(E2053-'계산 과정'!$D$33)^2+'계산 과정'!$E$33^2)),('계산 과정'!$L$23-'계산 과정'!$C$49*D2053-'계산 과정'!$D$49*E2053)/F2053,""),"")</x:f>
        <x:v>0.8398383635929064</x:v>
      </x:c>
      <x:c r="H2053" s="4" t="n">
        <x:f>IF(AND(ISNUMBER(G2053),G2053&gt;0),('계산 과정'!$D$56+'계산 과정'!$D$57*D2053+'계산 과정'!$D$58*E2053)/F2053,"")</x:f>
        <x:v>145.89493633538902</x:v>
      </x:c>
      <x:c r="I2053" s="4" t="n">
        <x:f>IF(AND(ISNUMBER(G2053),G2053&gt;0),('계산 과정'!$E$56+'계산 과정'!$E$57*D2053+'계산 과정'!$E$58*E2053)/F2053,"")</x:f>
        <x:v>-183.23034084938485</x:v>
      </x:c>
      <x:c r="J2053" s="4" t="n">
        <x:f>IF('계산 과정'!$L$5,'계산 과정'!$D$6+'계산 과정'!$C$35*D2053+'계산 과정'!$D$35*E2053,"")</x:f>
        <x:v>570.7023077557313</x:v>
      </x:c>
      <x:c r="K2053" s="4" t="n">
        <x:f>IF(AND('계산 과정'!$L$6,J2053&gt;0),'계산 과정'!$D$10*('계산 과정'!$C$38*(D2053-'계산 과정'!$C$32)+'계산 과정'!$D$38*(E2053-'계산 과정'!$D$32)-'계산 과정'!$E$38*'계산 과정'!$E$32)/J2053,"")</x:f>
        <x:v>1.1115804673172507</x:v>
      </x:c>
      <x:c r="L2053" s="4" t="n">
        <x:f>IF(AND('계산 과정'!$L$6,J2053&gt;0),'계산 과정'!$D$10*('계산 과정'!$C$39*(D2053-'계산 과정'!$C$32)+'계산 과정'!$D$39*(E2053-'계산 과정'!$D$32)-'계산 과정'!$E$39*'계산 과정'!$E$32)/J2053,"")</x:f>
        <x:v>-1.3960406921857893</x:v>
      </x:c>
      <x:c r="M2053" s="17" t="n">
        <x:f>IF('계산 과정'!$L$6,IF(J2053&lt;=0,0,IF(AND(ABS(K2053)&lt;='계산 과정'!$D$11/2,ABS(L2053)&lt;='계산 과정'!$D$12/2),1,0)),"")</x:f>
        <x:v>1</x:v>
      </x:c>
      <x:c r="N2053" s="17" t="n">
        <x:f>IF('계산 과정'!$C$78,IF(AND(ISNUMBER(H2053),ISNUMBER(I2053),ABS(H2053-'계산 과정'!$C$88)&lt;='계산 과정'!$D$23/2,ABS(I2053-'계산 과정'!$C$89)&lt;='계산 과정'!$D$24/2),1,0),"")</x:f>
        <x:v>1</x:v>
      </x:c>
      <x:c r="O2053" s="4" t="n">
        <x:f>IF('계산 과정'!$L$7,'계산 과정'!$C$49*('계산 과정'!$C$32-D2053)+'계산 과정'!$D$49*('계산 과정'!$D$32-E2053)+'계산 과정'!$E$49*'계산 과정'!$E$32,"")</x:f>
        <x:v>79.29769224426875</x:v>
      </x:c>
      <x:c r="P2053" s="4" t="n">
        <x:f>IF(AND('계산 과정'!$L$7,O2053&lt;&gt;0),('계산 과정'!$L$23-'계산 과정'!$C$49*D2053-'계산 과정'!$D$49*E2053)/O2053,"")</x:f>
        <x:v>6.044282988309915</x:v>
      </x:c>
      <x:c r="Q2053" s="4" t="str">
        <x:f>IF(AND(ISNUMBER(P2053),P2053&gt;1E-9,P2053&lt;1-1E-9),'계산 과정'!$C$47*(D2053-'계산 과정'!$C$50+P2053*('계산 과정'!$C$32-D2053))+'계산 과정'!$D$47*(E2053-'계산 과정'!$D$50+P2053*('계산 과정'!$D$32-E2053))+'계산 과정'!$E$47*(0-'계산 과정'!$E$50+P2053*('계산 과정'!$E$32-0)),"")</x:f>
      </x:c>
      <x:c r="R2053" s="4" t="str">
        <x:f>IF(AND(ISNUMBER(P2053),P2053&gt;1E-9,P2053&lt;1-1E-9),'계산 과정'!$C$48*(D2053-'계산 과정'!$C$50+P2053*('계산 과정'!$C$32-D2053))+'계산 과정'!$D$48*(E2053-'계산 과정'!$D$50+P2053*('계산 과정'!$D$32-E2053))+'계산 과정'!$E$48*(0-'계산 과정'!$E$50+P2053*('계산 과정'!$E$32-0)),"")</x:f>
      </x:c>
      <x:c r="S2053" s="17" t="n">
        <x:f>IF('계산 과정'!$C$78,IF(AND(ISNUMBER(Q2053),ISNUMBER(R2053),ABS(Q2053-'계산 과정'!$C$88)&lt;='계산 과정'!$D$23/2,ABS(R2053-'계산 과정'!$C$89)&lt;='계산 과정'!$D$24/2),1,0),"")</x:f>
        <x:v>0</x:v>
      </x:c>
      <x:c r="T2053" s="4"/>
      <x:c r="U2053" s="4"/>
      <x:c r="V2053" s="4"/>
      <x:c r="W2053" s="4"/>
      <x:c r="X2053" s="4"/>
      <x:c r="Y2053" s="4"/>
      <x:c r="Z2053" s="4"/>
    </x:row>
  </x:sheetData>
  <x:pageMargins left="0.7" right="0.7" top="0.75" bottom="0.75" header="0.3" footer="0.3"/>
</x:worksheet>
</file>